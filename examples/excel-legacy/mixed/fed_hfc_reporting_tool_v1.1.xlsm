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gif" ContentType="image/gif"/>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trlProps/ctrlProp15.xml" ContentType="application/vnd.ms-excel.controlproperties+xml"/>
  <Override PartName="/xl/ctrlProps/ctrlProp16.xml" ContentType="application/vnd.ms-excel.controlproperties+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ctrlProps/ctrlProp17.xml" ContentType="application/vnd.ms-excel.controlproperties+xml"/>
  <Override PartName="/xl/comments9.xml" ContentType="application/vnd.openxmlformats-officedocument.spreadsheetml.comments+xml"/>
  <Override PartName="/xl/charts/chart1.xml" ContentType="application/vnd.openxmlformats-officedocument.drawingml.chart+xml"/>
  <Override PartName="/xl/drawings/drawing12.xml" ContentType="application/vnd.openxmlformats-officedocument.drawing+xml"/>
  <Override PartName="/xl/ctrlProps/ctrlProp18.xml" ContentType="application/vnd.ms-excel.controlproperties+xml"/>
  <Override PartName="/xl/comments10.xml" ContentType="application/vnd.openxmlformats-officedocument.spreadsheetml.comments+xml"/>
  <Override PartName="/xl/charts/chart2.xml" ContentType="application/vnd.openxmlformats-officedocument.drawingml.chart+xml"/>
  <Override PartName="/xl/drawings/drawing13.xml" ContentType="application/vnd.openxmlformats-officedocument.drawing+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15756\Desktop\HFC Tool\"/>
    </mc:Choice>
  </mc:AlternateContent>
  <bookViews>
    <workbookView xWindow="240" yWindow="948" windowWidth="14808" windowHeight="7176"/>
  </bookViews>
  <sheets>
    <sheet name="Welcome" sheetId="6" r:id="rId1"/>
    <sheet name="Inputs" sheetId="14" r:id="rId2"/>
    <sheet name="Method Selection" sheetId="21" r:id="rId3"/>
    <sheet name="Definitions" sheetId="24" r:id="rId4"/>
    <sheet name="Simplified Screening 2" sheetId="12" state="hidden" r:id="rId5"/>
    <sheet name="Simplified Screening 1" sheetId="11" state="hidden" r:id="rId6"/>
    <sheet name="Screening" sheetId="10" state="hidden" r:id="rId7"/>
    <sheet name="Simplified Material Balance" sheetId="9" state="hidden" r:id="rId8"/>
    <sheet name="Default - Material Balance" sheetId="8" state="hidden" r:id="rId9"/>
    <sheet name="Equipment Assumptions" sheetId="26" state="hidden" r:id="rId10"/>
    <sheet name="Building Customization" sheetId="25" state="hidden" r:id="rId11"/>
    <sheet name="GHG_Emissions" sheetId="17" r:id="rId12"/>
    <sheet name="FacilityBreakdown" sheetId="20" r:id="rId13"/>
    <sheet name="FEMP Report" sheetId="23" r:id="rId14"/>
    <sheet name="Emissions Database" sheetId="18" state="hidden" r:id="rId15"/>
    <sheet name="Lists" sheetId="13" state="hidden" r:id="rId16"/>
    <sheet name="Default Values" sheetId="15" state="hidden" r:id="rId17"/>
    <sheet name="Conversions" sheetId="7" state="hidden" r:id="rId18"/>
    <sheet name="Checkers" sheetId="22" state="hidden" r:id="rId19"/>
  </sheets>
  <definedNames>
    <definedName name="_xlnm._FilterDatabase" localSheetId="16" hidden="1">'Default Values'!$A$24:$W$72</definedName>
    <definedName name="_xlnm._FilterDatabase" localSheetId="15" hidden="1">Lists!$B$69:$S$232</definedName>
    <definedName name="ChillerSA">Lists!$D$31:$F$31</definedName>
    <definedName name="ColdStorageSA">Lists!$D$30:$F$30</definedName>
    <definedName name="ComApplicationSA">Lists!$D$32:$F$32</definedName>
    <definedName name="CommEU">Lists!$D$16:$I$16</definedName>
    <definedName name="ComRefSA">Lists!$D$33:$F$33</definedName>
    <definedName name="DomRefSA">Lists!$D$28:$F$28</definedName>
    <definedName name="DormEU">Lists!$D$7:$I$7</definedName>
    <definedName name="EighteenthCol">OFFSET(FacilityBreakdown!$V$32,0,0,FacilityBreakdown!$B$32,1)</definedName>
    <definedName name="EigthCol">OFFSET(FacilityBreakdown!$L$32,0,0,FacilityBreakdown!$B$32,1)</definedName>
    <definedName name="EleventhCol">OFFSET(FacilityBreakdown!$O$32,0,0,FacilityBreakdown!$B$32,1)</definedName>
    <definedName name="EndUse">Lists!$C$28:$C$35</definedName>
    <definedName name="EquipType">Lists!$C$39:$C$53</definedName>
    <definedName name="EquipType2">Lists!$C$39:$C$54</definedName>
    <definedName name="Facility">OFFSET(Inputs!$D$15,0,0,Inputs!$A$14,1)</definedName>
    <definedName name="FamilyEU">Lists!$D$6:$I$6</definedName>
    <definedName name="FedBldLabels">OFFSET(FacilityBreakdown!$C$32,0,0,FacilityBreakdown!$B$32,1)</definedName>
    <definedName name="FedBuildingType">Lists!$C$3:$C$22</definedName>
    <definedName name="FedBuildingType2">Lists!$C$3:$C$23</definedName>
    <definedName name="FifteenthCol">OFFSET(FacilityBreakdown!$S$32,0,0,FacilityBreakdown!$B$32,1)</definedName>
    <definedName name="FifthCol">OFFSET(FacilityBreakdown!$I$32,0,0,FacilityBreakdown!$B$32,1)</definedName>
    <definedName name="FirstCol">OFFSET(FacilityBreakdown!$E$32,0,0,FacilityBreakdown!$B$32,1)</definedName>
    <definedName name="FourteenthCol">OFFSET(FacilityBreakdown!$R$32,0,0,FacilityBreakdown!$B$32,1)</definedName>
    <definedName name="FourthCol">OFFSET(FacilityBreakdown!$H$32,0,0,FacilityBreakdown!$B$32,1)</definedName>
    <definedName name="GHGChartList">Lists!$C$58:$C$64</definedName>
    <definedName name="GHGEmis">OFFSET(GHG_Emissions!$E$12,0,0,GHG_Emissions!$B$8,1)</definedName>
    <definedName name="GHGEmisNames">OFFSET(GHG_Emissions!$D$12,0,0,GHG_Emissions!$B$8,1)</definedName>
    <definedName name="GWPSource">Lists!$E$39:$E$40</definedName>
    <definedName name="LabEU">Lists!$D$20:$I$20</definedName>
    <definedName name="LgHospEU">Lists!$D$19:$I$19</definedName>
    <definedName name="MobACEU">Lists!$D$22:$I$22</definedName>
    <definedName name="MobileACSA">Lists!$D$35:$F$35</definedName>
    <definedName name="MuseumEU">Lists!$D$11:$I$11</definedName>
    <definedName name="NavEU">Lists!$D$17:$I$17</definedName>
    <definedName name="NineteenthCol">OFFSET(FacilityBreakdown!$W$32,0,0,FacilityBreakdown!$B$32,1)</definedName>
    <definedName name="NinthCol">OFFSET(FacilityBreakdown!$M$32,0,0,FacilityBreakdown!$B$32,1)</definedName>
    <definedName name="OfficeEU">Lists!$D$3:$I$3</definedName>
    <definedName name="OtherEU">Lists!$D$12:$I$12</definedName>
    <definedName name="PostEU">Lists!$D$8:$I$8</definedName>
    <definedName name="PrisonEU">Lists!$D$10:$I$10</definedName>
    <definedName name="Refrigerants">Lists!$C$71:$C$151</definedName>
    <definedName name="Refrigerants2">Lists!$C$72:$C$151</definedName>
    <definedName name="Refrigerants3">Lists!$N$3:$N$27</definedName>
    <definedName name="Refrigerants4">Lists!$N$4:$N$27</definedName>
    <definedName name="RefWareEU">Lists!$D$15:$I$15</definedName>
    <definedName name="ReportingYear">Lists!$G$39:$G$59</definedName>
    <definedName name="ResComACSA">Lists!$D$29:$F$29</definedName>
    <definedName name="SchoolEU">Lists!$D$5:$I$5</definedName>
    <definedName name="SecondCol">OFFSET(FacilityBreakdown!$F$32,0,0,FacilityBreakdown!$B$32,1)</definedName>
    <definedName name="SeventeenthCol">OFFSET(FacilityBreakdown!$U$32,0,0,FacilityBreakdown!$B$32,1)</definedName>
    <definedName name="SeventhCol">OFFSET(FacilityBreakdown!$K$32,0,0,FacilityBreakdown!$B$32,1)</definedName>
    <definedName name="SixteenthCol">OFFSET(FacilityBreakdown!$T$32,0,0,FacilityBreakdown!$B$32,1)</definedName>
    <definedName name="SixthCol">OFFSET(FacilityBreakdown!$J$32,0,0,FacilityBreakdown!$B$32,1)</definedName>
    <definedName name="TenthCol">OFFSET(FacilityBreakdown!$N$32,0,0,FacilityBreakdown!$B$32,1)</definedName>
    <definedName name="ThirdCol">OFFSET(FacilityBreakdown!$G$32,0,0,FacilityBreakdown!$B$32,1)</definedName>
    <definedName name="ThirteenthCol">OFFSET(FacilityBreakdown!$Q$32,0,0,FacilityBreakdown!$B$32,1)</definedName>
    <definedName name="TransportRefSA">Lists!$D$34:$F$34</definedName>
    <definedName name="TransRefEU">Lists!$D$21:$I$21</definedName>
    <definedName name="TwelfthCol">OFFSET(FacilityBreakdown!$P$32,0,0,FacilityBreakdown!$B$32,1)</definedName>
    <definedName name="TwentiethCol">OFFSET(FacilityBreakdown!$X$32,0,0,FacilityBreakdown!$B$32,1)</definedName>
    <definedName name="TwentyFirstCol">OFFSET(FacilityBreakdown!$Y$32,0,0,FacilityBreakdown!$B$32,1)</definedName>
    <definedName name="WarehouseEU">Lists!$D$14:$I$14</definedName>
  </definedNames>
  <calcPr calcId="152511"/>
</workbook>
</file>

<file path=xl/calcChain.xml><?xml version="1.0" encoding="utf-8"?>
<calcChain xmlns="http://schemas.openxmlformats.org/spreadsheetml/2006/main">
  <c r="B43" i="13" l="1"/>
  <c r="B49" i="13"/>
  <c r="B48" i="13"/>
  <c r="B47" i="13"/>
  <c r="B39" i="13"/>
  <c r="F7" i="11" l="1"/>
  <c r="V96" i="15"/>
  <c r="T96" i="15"/>
  <c r="S96" i="15"/>
  <c r="R96" i="15"/>
  <c r="Q96" i="15"/>
  <c r="P96" i="15"/>
  <c r="O96" i="15"/>
  <c r="N96" i="15"/>
  <c r="M96" i="15"/>
  <c r="L96" i="15"/>
  <c r="K96" i="15"/>
  <c r="J96" i="15"/>
  <c r="I96" i="15"/>
  <c r="H96" i="15"/>
  <c r="G96" i="15"/>
  <c r="V95" i="15"/>
  <c r="U95" i="15"/>
  <c r="S95" i="15"/>
  <c r="R95" i="15"/>
  <c r="Q95" i="15"/>
  <c r="P95" i="15"/>
  <c r="O95" i="15"/>
  <c r="N95" i="15"/>
  <c r="M95" i="15"/>
  <c r="L95" i="15"/>
  <c r="K95" i="15"/>
  <c r="J95" i="15"/>
  <c r="I95" i="15"/>
  <c r="H95" i="15"/>
  <c r="G95" i="15"/>
  <c r="V94" i="15"/>
  <c r="U94" i="15"/>
  <c r="T94" i="15"/>
  <c r="R94" i="15"/>
  <c r="Q94" i="15"/>
  <c r="P94" i="15"/>
  <c r="O94" i="15"/>
  <c r="N94" i="15"/>
  <c r="M94" i="15"/>
  <c r="L94" i="15"/>
  <c r="K94" i="15"/>
  <c r="J94" i="15"/>
  <c r="I94" i="15"/>
  <c r="H94" i="15"/>
  <c r="G94" i="15"/>
  <c r="H72" i="15"/>
  <c r="H71" i="15"/>
  <c r="H69" i="15"/>
  <c r="M53" i="8" l="1"/>
  <c r="M52" i="8"/>
  <c r="M51" i="8"/>
  <c r="M50" i="8"/>
  <c r="M49" i="8"/>
  <c r="M48" i="8"/>
  <c r="M47" i="8"/>
  <c r="M46" i="8"/>
  <c r="M45" i="8"/>
  <c r="M44" i="8"/>
  <c r="M43" i="8"/>
  <c r="M42" i="8"/>
  <c r="M41" i="8"/>
  <c r="M40" i="8"/>
  <c r="M39" i="8"/>
  <c r="M38" i="8"/>
  <c r="M37" i="8"/>
  <c r="M36" i="8"/>
  <c r="M35" i="8"/>
  <c r="M34" i="8"/>
  <c r="M33" i="8"/>
  <c r="M32" i="8"/>
  <c r="M31" i="8"/>
  <c r="M30" i="8"/>
  <c r="M29" i="8"/>
  <c r="M28" i="8"/>
  <c r="M27" i="8"/>
  <c r="M26" i="8"/>
  <c r="M25" i="8"/>
  <c r="M24" i="8"/>
  <c r="M23" i="8"/>
  <c r="M22" i="8"/>
  <c r="M21" i="8"/>
  <c r="M20" i="8"/>
  <c r="M19" i="8"/>
  <c r="M18" i="8"/>
  <c r="M17" i="8"/>
  <c r="M16" i="8"/>
  <c r="M15" i="8"/>
  <c r="M14" i="8"/>
  <c r="M13" i="8"/>
  <c r="AR260" i="18"/>
  <c r="H63" i="15" l="1"/>
  <c r="S97" i="15" l="1"/>
  <c r="R97" i="15"/>
  <c r="Q97" i="15"/>
  <c r="P97" i="15"/>
  <c r="O97" i="15"/>
  <c r="N97" i="15"/>
  <c r="M97" i="15"/>
  <c r="L97" i="15"/>
  <c r="K97" i="15"/>
  <c r="J97" i="15"/>
  <c r="I97" i="15"/>
  <c r="H97" i="15"/>
  <c r="G97" i="15"/>
  <c r="V93" i="15"/>
  <c r="U93" i="15"/>
  <c r="T93" i="15"/>
  <c r="Q93" i="15"/>
  <c r="P93" i="15"/>
  <c r="O93" i="15"/>
  <c r="N93" i="15"/>
  <c r="M93" i="15"/>
  <c r="L93" i="15"/>
  <c r="K93" i="15"/>
  <c r="J93" i="15"/>
  <c r="I93" i="15"/>
  <c r="H93" i="15"/>
  <c r="G93" i="15"/>
  <c r="V92" i="15"/>
  <c r="U92" i="15"/>
  <c r="T92" i="15"/>
  <c r="S92" i="15"/>
  <c r="R92" i="15"/>
  <c r="Q92" i="15"/>
  <c r="N92" i="15"/>
  <c r="M92" i="15"/>
  <c r="L92" i="15"/>
  <c r="K92" i="15"/>
  <c r="J92" i="15"/>
  <c r="H92" i="15"/>
  <c r="V91" i="15"/>
  <c r="U91" i="15"/>
  <c r="T91" i="15"/>
  <c r="S91" i="15"/>
  <c r="R91" i="15"/>
  <c r="Q91" i="15"/>
  <c r="M91" i="15"/>
  <c r="L91" i="15"/>
  <c r="K91" i="15"/>
  <c r="J91" i="15"/>
  <c r="H91" i="15"/>
  <c r="V90" i="15"/>
  <c r="U90" i="15"/>
  <c r="T90" i="15"/>
  <c r="S90" i="15"/>
  <c r="R90" i="15"/>
  <c r="Q90" i="15"/>
  <c r="P90" i="15"/>
  <c r="O90" i="15"/>
  <c r="N90" i="15"/>
  <c r="M90" i="15"/>
  <c r="L90" i="15"/>
  <c r="K90" i="15"/>
  <c r="J90" i="15"/>
  <c r="H90" i="15"/>
  <c r="G90" i="15"/>
  <c r="V89" i="15"/>
  <c r="U89" i="15"/>
  <c r="T89" i="15"/>
  <c r="S89" i="15"/>
  <c r="R89" i="15"/>
  <c r="Q89" i="15"/>
  <c r="P89" i="15"/>
  <c r="O89" i="15"/>
  <c r="N89" i="15"/>
  <c r="M89" i="15"/>
  <c r="L89" i="15"/>
  <c r="K89" i="15"/>
  <c r="J89" i="15"/>
  <c r="H89" i="15"/>
  <c r="G89" i="15"/>
  <c r="V88" i="15"/>
  <c r="U88" i="15"/>
  <c r="T88" i="15"/>
  <c r="S88" i="15"/>
  <c r="R88" i="15"/>
  <c r="Q88" i="15"/>
  <c r="P88" i="15"/>
  <c r="O88" i="15"/>
  <c r="N88" i="15"/>
  <c r="M88" i="15"/>
  <c r="K88" i="15"/>
  <c r="J88" i="15"/>
  <c r="I88" i="15"/>
  <c r="H88" i="15"/>
  <c r="G88" i="15"/>
  <c r="V87" i="15"/>
  <c r="U87" i="15"/>
  <c r="T87" i="15"/>
  <c r="S87" i="15"/>
  <c r="R87" i="15"/>
  <c r="Q87" i="15"/>
  <c r="P87" i="15"/>
  <c r="O87" i="15"/>
  <c r="M87" i="15"/>
  <c r="L87" i="15"/>
  <c r="K87" i="15"/>
  <c r="J87" i="15"/>
  <c r="H87" i="15"/>
  <c r="V86" i="15"/>
  <c r="U86" i="15"/>
  <c r="T86" i="15"/>
  <c r="S86" i="15"/>
  <c r="R86" i="15"/>
  <c r="P86" i="15"/>
  <c r="O86" i="15"/>
  <c r="N86" i="15"/>
  <c r="M86" i="15"/>
  <c r="L86" i="15"/>
  <c r="K86" i="15"/>
  <c r="J86" i="15"/>
  <c r="H86" i="15"/>
  <c r="G86" i="15"/>
  <c r="V85" i="15"/>
  <c r="U85" i="15"/>
  <c r="T85" i="15"/>
  <c r="S85" i="15"/>
  <c r="R85" i="15"/>
  <c r="Q85" i="15"/>
  <c r="N85" i="15"/>
  <c r="M85" i="15"/>
  <c r="L85" i="15"/>
  <c r="K85" i="15"/>
  <c r="J85" i="15"/>
  <c r="H85" i="15"/>
  <c r="G85" i="15"/>
  <c r="V84" i="15"/>
  <c r="U84" i="15"/>
  <c r="T84" i="15"/>
  <c r="S84" i="15"/>
  <c r="R84" i="15"/>
  <c r="Q84" i="15"/>
  <c r="P84" i="15"/>
  <c r="O84" i="15"/>
  <c r="N84" i="15"/>
  <c r="M84" i="15"/>
  <c r="L84" i="15"/>
  <c r="K84" i="15"/>
  <c r="J84" i="15"/>
  <c r="H84" i="15"/>
  <c r="G84" i="15"/>
  <c r="V83" i="15"/>
  <c r="U83" i="15"/>
  <c r="T83" i="15"/>
  <c r="S83" i="15"/>
  <c r="R83" i="15"/>
  <c r="Q83" i="15"/>
  <c r="N83" i="15"/>
  <c r="M83" i="15"/>
  <c r="L83" i="15"/>
  <c r="K83" i="15"/>
  <c r="J83" i="15"/>
  <c r="V82" i="15"/>
  <c r="U82" i="15"/>
  <c r="T82" i="15"/>
  <c r="S82" i="15"/>
  <c r="R82" i="15"/>
  <c r="Q82" i="15"/>
  <c r="P82" i="15"/>
  <c r="O82" i="15"/>
  <c r="N82" i="15"/>
  <c r="M82" i="15"/>
  <c r="L82" i="15"/>
  <c r="K82" i="15"/>
  <c r="J82" i="15"/>
  <c r="V81" i="15"/>
  <c r="U81" i="15"/>
  <c r="T81" i="15"/>
  <c r="S81" i="15"/>
  <c r="R81" i="15"/>
  <c r="Q81" i="15"/>
  <c r="P81" i="15"/>
  <c r="O81" i="15"/>
  <c r="N81" i="15"/>
  <c r="M81" i="15"/>
  <c r="L81" i="15"/>
  <c r="K81" i="15"/>
  <c r="I81" i="15"/>
  <c r="V80" i="15"/>
  <c r="U80" i="15"/>
  <c r="T80" i="15"/>
  <c r="S80" i="15"/>
  <c r="R80" i="15"/>
  <c r="Q80" i="15"/>
  <c r="P80" i="15"/>
  <c r="O80" i="15"/>
  <c r="N80" i="15"/>
  <c r="M80" i="15"/>
  <c r="L80" i="15"/>
  <c r="K80" i="15"/>
  <c r="I80" i="15"/>
  <c r="V79" i="15"/>
  <c r="U79" i="15"/>
  <c r="T79" i="15"/>
  <c r="S79" i="15"/>
  <c r="R79" i="15"/>
  <c r="Q79" i="15"/>
  <c r="N79" i="15"/>
  <c r="M79" i="15"/>
  <c r="L79" i="15"/>
  <c r="K79" i="15"/>
  <c r="J79" i="15"/>
  <c r="V78" i="15"/>
  <c r="U78" i="15"/>
  <c r="T78" i="15"/>
  <c r="S78" i="15"/>
  <c r="R78" i="15"/>
  <c r="Q78" i="15"/>
  <c r="P78" i="15"/>
  <c r="O78" i="15"/>
  <c r="N78" i="15"/>
  <c r="M78" i="15"/>
  <c r="L78" i="15"/>
  <c r="K78" i="15"/>
  <c r="J78" i="15"/>
  <c r="C26" i="26" l="1"/>
  <c r="A51" i="26" s="1"/>
  <c r="J24" i="26"/>
  <c r="H24" i="26"/>
  <c r="G24" i="26"/>
  <c r="F24" i="26"/>
  <c r="E24" i="26"/>
  <c r="D24" i="26"/>
  <c r="C24" i="26"/>
  <c r="B24" i="26"/>
  <c r="J23" i="26"/>
  <c r="H23" i="26"/>
  <c r="G23" i="26"/>
  <c r="F23" i="26"/>
  <c r="D23" i="26"/>
  <c r="C23" i="26"/>
  <c r="B23" i="26"/>
  <c r="J22" i="26"/>
  <c r="H22" i="26"/>
  <c r="G22" i="26"/>
  <c r="F22" i="26"/>
  <c r="D22" i="26"/>
  <c r="C22" i="26"/>
  <c r="B22" i="26"/>
  <c r="J21" i="26"/>
  <c r="H21" i="26"/>
  <c r="G21" i="26"/>
  <c r="F21" i="26"/>
  <c r="E21" i="26"/>
  <c r="D21" i="26"/>
  <c r="C21" i="26"/>
  <c r="B21" i="26"/>
  <c r="J20" i="26"/>
  <c r="H20" i="26"/>
  <c r="G20" i="26"/>
  <c r="F20" i="26"/>
  <c r="E20" i="26"/>
  <c r="D20" i="26"/>
  <c r="C20" i="26"/>
  <c r="B20" i="26"/>
  <c r="J19" i="26"/>
  <c r="H19" i="26"/>
  <c r="G19" i="26"/>
  <c r="F19" i="26"/>
  <c r="E19" i="26"/>
  <c r="D19" i="26"/>
  <c r="C19" i="26"/>
  <c r="B19" i="26"/>
  <c r="J18" i="26"/>
  <c r="H18" i="26"/>
  <c r="G18" i="26"/>
  <c r="F18" i="26"/>
  <c r="E18" i="26"/>
  <c r="D18" i="26"/>
  <c r="C18" i="26"/>
  <c r="B18" i="26"/>
  <c r="J17" i="26"/>
  <c r="H17" i="26"/>
  <c r="G17" i="26"/>
  <c r="F17" i="26"/>
  <c r="E17" i="26"/>
  <c r="D17" i="26"/>
  <c r="C17" i="26"/>
  <c r="B17" i="26"/>
  <c r="J16" i="26"/>
  <c r="H16" i="26"/>
  <c r="G16" i="26"/>
  <c r="F16" i="26"/>
  <c r="E16" i="26"/>
  <c r="D16" i="26"/>
  <c r="C16" i="26"/>
  <c r="B16" i="26"/>
  <c r="J15" i="26"/>
  <c r="H15" i="26"/>
  <c r="G15" i="26"/>
  <c r="F15" i="26"/>
  <c r="E15" i="26"/>
  <c r="D15" i="26"/>
  <c r="C15" i="26"/>
  <c r="B15" i="26"/>
  <c r="J14" i="26"/>
  <c r="H14" i="26"/>
  <c r="G14" i="26"/>
  <c r="F14" i="26"/>
  <c r="E14" i="26"/>
  <c r="D14" i="26"/>
  <c r="C14" i="26"/>
  <c r="B14" i="26"/>
  <c r="J13" i="26"/>
  <c r="H13" i="26"/>
  <c r="G13" i="26"/>
  <c r="F13" i="26"/>
  <c r="E13" i="26"/>
  <c r="D13" i="26"/>
  <c r="C13" i="26"/>
  <c r="B13" i="26"/>
  <c r="J12" i="26"/>
  <c r="H12" i="26"/>
  <c r="G12" i="26"/>
  <c r="F12" i="26"/>
  <c r="E12" i="26"/>
  <c r="D12" i="26"/>
  <c r="C12" i="26"/>
  <c r="B12" i="26"/>
  <c r="J11" i="26"/>
  <c r="H11" i="26"/>
  <c r="G11" i="26"/>
  <c r="F11" i="26"/>
  <c r="E11" i="26"/>
  <c r="D11" i="26"/>
  <c r="C11" i="26"/>
  <c r="B11" i="26"/>
  <c r="J10" i="26"/>
  <c r="H10" i="26"/>
  <c r="G10" i="26"/>
  <c r="F10" i="26"/>
  <c r="E10" i="26"/>
  <c r="D10" i="26"/>
  <c r="C10" i="26"/>
  <c r="B10" i="26"/>
  <c r="J9" i="26"/>
  <c r="H9" i="26"/>
  <c r="G9" i="26"/>
  <c r="F9" i="26"/>
  <c r="E9" i="26"/>
  <c r="D9" i="26"/>
  <c r="C9" i="26"/>
  <c r="B9" i="26"/>
  <c r="H31" i="26" l="1"/>
  <c r="D31" i="26"/>
  <c r="L31" i="26"/>
  <c r="P31" i="26"/>
  <c r="E31" i="26"/>
  <c r="M31" i="26"/>
  <c r="I31" i="26"/>
  <c r="Q31" i="26"/>
  <c r="F31" i="26"/>
  <c r="J31" i="26"/>
  <c r="N31" i="26"/>
  <c r="C31" i="26"/>
  <c r="G31" i="26"/>
  <c r="K31" i="26"/>
  <c r="O31" i="26"/>
  <c r="A52" i="26"/>
  <c r="A36" i="26"/>
  <c r="A37" i="26"/>
  <c r="A42" i="26"/>
  <c r="A48" i="26"/>
  <c r="A41" i="26"/>
  <c r="A32" i="26"/>
  <c r="A38" i="26"/>
  <c r="A44" i="26"/>
  <c r="A49" i="26"/>
  <c r="A35" i="26"/>
  <c r="A46" i="26"/>
  <c r="A33" i="26"/>
  <c r="A40" i="26"/>
  <c r="A45" i="26"/>
  <c r="A50" i="26"/>
  <c r="A34" i="26"/>
  <c r="A39" i="26"/>
  <c r="A43" i="26"/>
  <c r="A47" i="26"/>
  <c r="B53" i="9" l="1"/>
  <c r="B52" i="9"/>
  <c r="B51" i="9"/>
  <c r="B50" i="9"/>
  <c r="B49" i="9"/>
  <c r="B48" i="9"/>
  <c r="B47" i="9"/>
  <c r="B46" i="9"/>
  <c r="B45" i="9"/>
  <c r="B44" i="9"/>
  <c r="B43" i="9"/>
  <c r="B42" i="9"/>
  <c r="B41" i="9"/>
  <c r="B40" i="9"/>
  <c r="B39" i="9"/>
  <c r="B38" i="9"/>
  <c r="B37" i="9"/>
  <c r="B36" i="9"/>
  <c r="B35" i="9"/>
  <c r="B34" i="9"/>
  <c r="B33" i="9"/>
  <c r="B32" i="9"/>
  <c r="B31" i="9"/>
  <c r="B30" i="9"/>
  <c r="B29" i="9"/>
  <c r="B28" i="9"/>
  <c r="B27" i="9"/>
  <c r="B26" i="9"/>
  <c r="B25" i="9"/>
  <c r="B24" i="9"/>
  <c r="B23" i="9"/>
  <c r="B22" i="9"/>
  <c r="B21" i="9"/>
  <c r="B20" i="9"/>
  <c r="B19" i="9"/>
  <c r="B18" i="9"/>
  <c r="B16" i="9"/>
  <c r="B15" i="9"/>
  <c r="B14" i="9"/>
  <c r="B13" i="9"/>
  <c r="B17" i="9"/>
  <c r="B54" i="12"/>
  <c r="B53" i="12"/>
  <c r="B52" i="12"/>
  <c r="B51" i="12"/>
  <c r="B50" i="12"/>
  <c r="B49" i="12"/>
  <c r="B48" i="12"/>
  <c r="B47" i="12"/>
  <c r="B46" i="12"/>
  <c r="B45" i="12"/>
  <c r="B44" i="12"/>
  <c r="B43" i="12"/>
  <c r="B42" i="12"/>
  <c r="B41" i="12"/>
  <c r="B40" i="12"/>
  <c r="B39" i="12"/>
  <c r="B38" i="12"/>
  <c r="B37" i="12"/>
  <c r="B36" i="12"/>
  <c r="B35" i="12"/>
  <c r="B34" i="12"/>
  <c r="B33" i="12"/>
  <c r="B32" i="12"/>
  <c r="B31" i="12"/>
  <c r="B30" i="12"/>
  <c r="B29" i="12"/>
  <c r="B28" i="12"/>
  <c r="B27" i="12"/>
  <c r="B26" i="12"/>
  <c r="B25" i="12"/>
  <c r="B24" i="12"/>
  <c r="B23" i="12"/>
  <c r="B22" i="12"/>
  <c r="B21" i="12"/>
  <c r="B20" i="12"/>
  <c r="B19" i="12"/>
  <c r="B18" i="12"/>
  <c r="B17" i="12"/>
  <c r="B16" i="12"/>
  <c r="B15" i="12"/>
  <c r="B14" i="12"/>
  <c r="B54" i="11"/>
  <c r="B53" i="11"/>
  <c r="B52" i="11"/>
  <c r="B51" i="11"/>
  <c r="B50" i="11"/>
  <c r="B49" i="11"/>
  <c r="B48" i="11"/>
  <c r="B47" i="11"/>
  <c r="B46" i="11"/>
  <c r="B45" i="11"/>
  <c r="B44" i="11"/>
  <c r="B43" i="11"/>
  <c r="B42" i="11"/>
  <c r="B41" i="11"/>
  <c r="B40" i="11"/>
  <c r="B39" i="11"/>
  <c r="B38" i="11"/>
  <c r="B37" i="11"/>
  <c r="B36" i="11"/>
  <c r="B35" i="11"/>
  <c r="B34" i="11"/>
  <c r="B33" i="11"/>
  <c r="B32" i="11"/>
  <c r="B31" i="11"/>
  <c r="B30" i="11"/>
  <c r="B29" i="11"/>
  <c r="B28" i="11"/>
  <c r="B27" i="11"/>
  <c r="B26" i="11"/>
  <c r="B25" i="11"/>
  <c r="B24" i="11"/>
  <c r="B23" i="11"/>
  <c r="B22" i="11"/>
  <c r="B21" i="11"/>
  <c r="B20" i="11"/>
  <c r="B19" i="11"/>
  <c r="B18" i="11"/>
  <c r="B17" i="11"/>
  <c r="B16" i="11"/>
  <c r="B15" i="11"/>
  <c r="B14" i="11"/>
  <c r="B53" i="10"/>
  <c r="B52" i="10"/>
  <c r="B51" i="10"/>
  <c r="B50" i="10"/>
  <c r="B49" i="10"/>
  <c r="B48" i="10"/>
  <c r="B47" i="10"/>
  <c r="B46" i="10"/>
  <c r="B45" i="10"/>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8" i="8"/>
  <c r="B15" i="8"/>
  <c r="B14" i="8"/>
  <c r="B17" i="8"/>
  <c r="R5" i="15"/>
  <c r="G36" i="15" s="1"/>
  <c r="F8" i="9" l="1"/>
  <c r="H70" i="15" l="1"/>
  <c r="H68" i="15"/>
  <c r="H67" i="15" l="1"/>
  <c r="H58" i="15"/>
  <c r="H57" i="15"/>
  <c r="H54" i="15"/>
  <c r="H52" i="15"/>
  <c r="H50" i="15"/>
  <c r="H47" i="15"/>
  <c r="H42" i="15"/>
  <c r="H41" i="15"/>
  <c r="H38" i="15"/>
  <c r="H37" i="15"/>
  <c r="H35" i="15"/>
  <c r="H34" i="15"/>
  <c r="H32" i="15"/>
  <c r="H27" i="15"/>
  <c r="B53" i="8"/>
  <c r="B16" i="8"/>
  <c r="E19" i="15"/>
  <c r="E23" i="26" s="1"/>
  <c r="I7" i="8" l="1"/>
  <c r="B13" i="8"/>
  <c r="D11" i="17"/>
  <c r="R53" i="10" l="1"/>
  <c r="Q53" i="10"/>
  <c r="P53" i="10"/>
  <c r="O53" i="10"/>
  <c r="R52" i="10"/>
  <c r="Q52" i="10"/>
  <c r="P52" i="10"/>
  <c r="O52" i="10"/>
  <c r="R51" i="10"/>
  <c r="Q51" i="10"/>
  <c r="P51" i="10"/>
  <c r="O51" i="10"/>
  <c r="R50" i="10"/>
  <c r="Q50" i="10"/>
  <c r="P50" i="10"/>
  <c r="O50" i="10"/>
  <c r="R49" i="10"/>
  <c r="Q49" i="10"/>
  <c r="P49" i="10"/>
  <c r="O49" i="10"/>
  <c r="R48" i="10"/>
  <c r="Q48" i="10"/>
  <c r="P48" i="10"/>
  <c r="O48" i="10"/>
  <c r="R47" i="10"/>
  <c r="Q47" i="10"/>
  <c r="P47" i="10"/>
  <c r="O47" i="10"/>
  <c r="R46" i="10"/>
  <c r="Q46" i="10"/>
  <c r="P46" i="10"/>
  <c r="O46" i="10"/>
  <c r="R45" i="10"/>
  <c r="Q45" i="10"/>
  <c r="P45" i="10"/>
  <c r="O45" i="10"/>
  <c r="R44" i="10"/>
  <c r="Q44" i="10"/>
  <c r="P44" i="10"/>
  <c r="O44" i="10"/>
  <c r="R43" i="10"/>
  <c r="Q43" i="10"/>
  <c r="P43" i="10"/>
  <c r="O43" i="10"/>
  <c r="R42" i="10"/>
  <c r="Q42" i="10"/>
  <c r="P42" i="10"/>
  <c r="O42" i="10"/>
  <c r="R41" i="10"/>
  <c r="Q41" i="10"/>
  <c r="P41" i="10"/>
  <c r="O41" i="10"/>
  <c r="R40" i="10"/>
  <c r="Q40" i="10"/>
  <c r="P40" i="10"/>
  <c r="O40" i="10"/>
  <c r="R39" i="10"/>
  <c r="Q39" i="10"/>
  <c r="P39" i="10"/>
  <c r="O39" i="10"/>
  <c r="R38" i="10"/>
  <c r="Q38" i="10"/>
  <c r="P38" i="10"/>
  <c r="O38" i="10"/>
  <c r="R37" i="10"/>
  <c r="Q37" i="10"/>
  <c r="P37" i="10"/>
  <c r="O37" i="10"/>
  <c r="R36" i="10"/>
  <c r="Q36" i="10"/>
  <c r="P36" i="10"/>
  <c r="O36" i="10"/>
  <c r="R35" i="10"/>
  <c r="Q35" i="10"/>
  <c r="P35" i="10"/>
  <c r="O35" i="10"/>
  <c r="R34" i="10"/>
  <c r="Q34" i="10"/>
  <c r="P34" i="10"/>
  <c r="O34" i="10"/>
  <c r="R33" i="10"/>
  <c r="Q33" i="10"/>
  <c r="P33" i="10"/>
  <c r="O33" i="10"/>
  <c r="R32" i="10"/>
  <c r="Q32" i="10"/>
  <c r="P32" i="10"/>
  <c r="O32" i="10"/>
  <c r="R31" i="10"/>
  <c r="Q31" i="10"/>
  <c r="P31" i="10"/>
  <c r="O31" i="10"/>
  <c r="R30" i="10"/>
  <c r="Q30" i="10"/>
  <c r="P30" i="10"/>
  <c r="O30" i="10"/>
  <c r="R29" i="10"/>
  <c r="Q29" i="10"/>
  <c r="P29" i="10"/>
  <c r="O29" i="10"/>
  <c r="R28" i="10"/>
  <c r="Q28" i="10"/>
  <c r="P28" i="10"/>
  <c r="O28" i="10"/>
  <c r="R27" i="10"/>
  <c r="Q27" i="10"/>
  <c r="P27" i="10"/>
  <c r="O27" i="10"/>
  <c r="R26" i="10"/>
  <c r="Q26" i="10"/>
  <c r="P26" i="10"/>
  <c r="O26" i="10"/>
  <c r="R25" i="10"/>
  <c r="Q25" i="10"/>
  <c r="P25" i="10"/>
  <c r="O25" i="10"/>
  <c r="R24" i="10"/>
  <c r="Q24" i="10"/>
  <c r="P24" i="10"/>
  <c r="O24" i="10"/>
  <c r="R23" i="10"/>
  <c r="Q23" i="10"/>
  <c r="P23" i="10"/>
  <c r="O23" i="10"/>
  <c r="R22" i="10"/>
  <c r="Q22" i="10"/>
  <c r="P22" i="10"/>
  <c r="O22" i="10"/>
  <c r="R21" i="10"/>
  <c r="Q21" i="10"/>
  <c r="P21" i="10"/>
  <c r="O21" i="10"/>
  <c r="R20" i="10"/>
  <c r="Q20" i="10"/>
  <c r="P20" i="10"/>
  <c r="O20" i="10"/>
  <c r="R19" i="10"/>
  <c r="Q19" i="10"/>
  <c r="P19" i="10"/>
  <c r="O19" i="10"/>
  <c r="R17" i="10"/>
  <c r="Q17" i="10"/>
  <c r="P17" i="10"/>
  <c r="O17" i="10"/>
  <c r="R16" i="10"/>
  <c r="Q16" i="10"/>
  <c r="P16" i="10"/>
  <c r="O16" i="10"/>
  <c r="R15" i="10"/>
  <c r="Q15" i="10"/>
  <c r="P15" i="10"/>
  <c r="O15" i="10"/>
  <c r="R14" i="10"/>
  <c r="Q14" i="10"/>
  <c r="P14" i="10"/>
  <c r="O14" i="10"/>
  <c r="R18" i="10"/>
  <c r="Q18" i="10"/>
  <c r="P18" i="10"/>
  <c r="O18" i="10"/>
  <c r="E18" i="15" l="1"/>
  <c r="E22" i="26" s="1"/>
  <c r="AE38" i="21" l="1"/>
  <c r="AE37" i="21"/>
  <c r="AE36" i="21"/>
  <c r="AE35" i="21"/>
  <c r="AE34" i="21"/>
  <c r="AE33" i="21"/>
  <c r="AD38" i="21"/>
  <c r="AD37" i="21"/>
  <c r="AD36" i="21"/>
  <c r="AD35" i="21"/>
  <c r="AD34" i="21"/>
  <c r="AD33" i="21"/>
  <c r="AC37" i="21"/>
  <c r="AC34" i="21"/>
  <c r="AC33" i="21"/>
  <c r="AC38" i="21"/>
  <c r="AC36" i="21"/>
  <c r="AC35" i="21"/>
  <c r="Y78" i="20" l="1"/>
  <c r="X78" i="20"/>
  <c r="W78" i="20"/>
  <c r="V78" i="20"/>
  <c r="U78" i="20"/>
  <c r="T78" i="20"/>
  <c r="S78" i="20"/>
  <c r="R78" i="20"/>
  <c r="Q78" i="20"/>
  <c r="P78" i="20"/>
  <c r="O78" i="20"/>
  <c r="Y101" i="20"/>
  <c r="X101" i="20"/>
  <c r="W101" i="20"/>
  <c r="V101" i="20"/>
  <c r="U101" i="20"/>
  <c r="T101" i="20"/>
  <c r="S101" i="20"/>
  <c r="AG97" i="15" l="1"/>
  <c r="AG93" i="15"/>
  <c r="AG92" i="15"/>
  <c r="AG91" i="15"/>
  <c r="AG90" i="15"/>
  <c r="AG89" i="15"/>
  <c r="AG88" i="15"/>
  <c r="AG87" i="15"/>
  <c r="AG85" i="15"/>
  <c r="AG84" i="15"/>
  <c r="AG83" i="15"/>
  <c r="AG82" i="15"/>
  <c r="AG81" i="15"/>
  <c r="AG80" i="15"/>
  <c r="AG79" i="15"/>
  <c r="AG78" i="15"/>
  <c r="AL86" i="15"/>
  <c r="AK86" i="15"/>
  <c r="AJ86" i="15"/>
  <c r="AI86" i="15"/>
  <c r="AH86" i="15"/>
  <c r="AF86" i="15"/>
  <c r="AE86" i="15"/>
  <c r="AD86" i="15"/>
  <c r="AC86" i="15"/>
  <c r="AB86" i="15"/>
  <c r="AA86" i="15"/>
  <c r="Z86" i="15"/>
  <c r="W86" i="15"/>
  <c r="X86" i="15"/>
  <c r="H51" i="15" l="1"/>
  <c r="F52" i="15"/>
  <c r="F51" i="15"/>
  <c r="CE110" i="15" l="1"/>
  <c r="CE130" i="15"/>
  <c r="CE170" i="15"/>
  <c r="CE150" i="15"/>
  <c r="CD170" i="15"/>
  <c r="BZ170" i="15"/>
  <c r="BV170" i="15"/>
  <c r="BR170" i="15"/>
  <c r="BN170" i="15"/>
  <c r="BJ170" i="15"/>
  <c r="BF170" i="15"/>
  <c r="BB170" i="15"/>
  <c r="AX170" i="15"/>
  <c r="AT170" i="15"/>
  <c r="AP170" i="15"/>
  <c r="AL170" i="15"/>
  <c r="AH170" i="15"/>
  <c r="AD170" i="15"/>
  <c r="Z170" i="15"/>
  <c r="V170" i="15"/>
  <c r="R170" i="15"/>
  <c r="N170" i="15"/>
  <c r="J170" i="15"/>
  <c r="F170" i="15"/>
  <c r="CA150" i="15"/>
  <c r="BW150" i="15"/>
  <c r="BS150" i="15"/>
  <c r="BO150" i="15"/>
  <c r="BK150" i="15"/>
  <c r="BG150" i="15"/>
  <c r="BC150" i="15"/>
  <c r="AY150" i="15"/>
  <c r="AU150" i="15"/>
  <c r="AQ150" i="15"/>
  <c r="AM150" i="15"/>
  <c r="AI150" i="15"/>
  <c r="AE150" i="15"/>
  <c r="AA150" i="15"/>
  <c r="W150" i="15"/>
  <c r="S150" i="15"/>
  <c r="O150" i="15"/>
  <c r="K150" i="15"/>
  <c r="G150" i="15"/>
  <c r="C150" i="15"/>
  <c r="CB130" i="15"/>
  <c r="BX130" i="15"/>
  <c r="BT130" i="15"/>
  <c r="BP130" i="15"/>
  <c r="BL130" i="15"/>
  <c r="BH130" i="15"/>
  <c r="BD130" i="15"/>
  <c r="AZ130" i="15"/>
  <c r="AV130" i="15"/>
  <c r="AR130" i="15"/>
  <c r="AN130" i="15"/>
  <c r="AF130" i="15"/>
  <c r="AB130" i="15"/>
  <c r="T130" i="15"/>
  <c r="P130" i="15"/>
  <c r="L130" i="15"/>
  <c r="H130" i="15"/>
  <c r="D130" i="15"/>
  <c r="CC110" i="15"/>
  <c r="BY110" i="15"/>
  <c r="BU110" i="15"/>
  <c r="BQ110" i="15"/>
  <c r="BM110" i="15"/>
  <c r="BI110" i="15"/>
  <c r="BE110" i="15"/>
  <c r="BA110" i="15"/>
  <c r="AW110" i="15"/>
  <c r="AS110" i="15"/>
  <c r="AO110" i="15"/>
  <c r="AK110" i="15"/>
  <c r="AG110" i="15"/>
  <c r="AC110" i="15"/>
  <c r="Y110" i="15"/>
  <c r="U110" i="15"/>
  <c r="Q110" i="15"/>
  <c r="M110" i="15"/>
  <c r="I110" i="15"/>
  <c r="E110" i="15"/>
  <c r="BY170" i="15"/>
  <c r="BQ170" i="15"/>
  <c r="BI170" i="15"/>
  <c r="BA170" i="15"/>
  <c r="CA170" i="15"/>
  <c r="BW170" i="15"/>
  <c r="BS170" i="15"/>
  <c r="BO170" i="15"/>
  <c r="BK170" i="15"/>
  <c r="BG170" i="15"/>
  <c r="BC170" i="15"/>
  <c r="AY170" i="15"/>
  <c r="AU170" i="15"/>
  <c r="AQ170" i="15"/>
  <c r="AM170" i="15"/>
  <c r="AI170" i="15"/>
  <c r="AE170" i="15"/>
  <c r="AA170" i="15"/>
  <c r="W170" i="15"/>
  <c r="S170" i="15"/>
  <c r="O170" i="15"/>
  <c r="K170" i="15"/>
  <c r="G170" i="15"/>
  <c r="C170" i="15"/>
  <c r="CB150" i="15"/>
  <c r="BX150" i="15"/>
  <c r="BT150" i="15"/>
  <c r="BP150" i="15"/>
  <c r="BL150" i="15"/>
  <c r="BH150" i="15"/>
  <c r="BD150" i="15"/>
  <c r="AZ150" i="15"/>
  <c r="AV150" i="15"/>
  <c r="AR150" i="15"/>
  <c r="AN150" i="15"/>
  <c r="AF150" i="15"/>
  <c r="AB150" i="15"/>
  <c r="T150" i="15"/>
  <c r="P150" i="15"/>
  <c r="L150" i="15"/>
  <c r="H150" i="15"/>
  <c r="D150" i="15"/>
  <c r="CC130" i="15"/>
  <c r="BY130" i="15"/>
  <c r="BU130" i="15"/>
  <c r="BQ130" i="15"/>
  <c r="BM130" i="15"/>
  <c r="BI130" i="15"/>
  <c r="BE130" i="15"/>
  <c r="BA130" i="15"/>
  <c r="AW130" i="15"/>
  <c r="AS130" i="15"/>
  <c r="AO130" i="15"/>
  <c r="AK130" i="15"/>
  <c r="AG130" i="15"/>
  <c r="AC130" i="15"/>
  <c r="Y130" i="15"/>
  <c r="U130" i="15"/>
  <c r="Q130" i="15"/>
  <c r="M130" i="15"/>
  <c r="I130" i="15"/>
  <c r="E130" i="15"/>
  <c r="CD110" i="15"/>
  <c r="BZ110" i="15"/>
  <c r="BV110" i="15"/>
  <c r="BR110" i="15"/>
  <c r="BN110" i="15"/>
  <c r="BJ110" i="15"/>
  <c r="BF110" i="15"/>
  <c r="BB110" i="15"/>
  <c r="AX110" i="15"/>
  <c r="AT110" i="15"/>
  <c r="AP110" i="15"/>
  <c r="AL110" i="15"/>
  <c r="AH110" i="15"/>
  <c r="AD110" i="15"/>
  <c r="Z110" i="15"/>
  <c r="V110" i="15"/>
  <c r="R110" i="15"/>
  <c r="N110" i="15"/>
  <c r="J110" i="15"/>
  <c r="F110" i="15"/>
  <c r="CC170" i="15"/>
  <c r="BU170" i="15"/>
  <c r="BM170" i="15"/>
  <c r="BE170" i="15"/>
  <c r="BX170" i="15"/>
  <c r="BH170" i="15"/>
  <c r="AV170" i="15"/>
  <c r="AN170" i="15"/>
  <c r="AF170" i="15"/>
  <c r="P170" i="15"/>
  <c r="H170" i="15"/>
  <c r="CC150" i="15"/>
  <c r="BU150" i="15"/>
  <c r="BM150" i="15"/>
  <c r="BE150" i="15"/>
  <c r="AW150" i="15"/>
  <c r="AO150" i="15"/>
  <c r="AG150" i="15"/>
  <c r="Y150" i="15"/>
  <c r="Q150" i="15"/>
  <c r="I150" i="15"/>
  <c r="CD130" i="15"/>
  <c r="BV130" i="15"/>
  <c r="BN130" i="15"/>
  <c r="BF130" i="15"/>
  <c r="AP130" i="15"/>
  <c r="Z130" i="15"/>
  <c r="J130" i="15"/>
  <c r="BO110" i="15"/>
  <c r="AY110" i="15"/>
  <c r="AI110" i="15"/>
  <c r="S110" i="15"/>
  <c r="C110" i="15"/>
  <c r="BT170" i="15"/>
  <c r="AK170" i="15"/>
  <c r="U170" i="15"/>
  <c r="E170" i="15"/>
  <c r="BR150" i="15"/>
  <c r="BB150" i="15"/>
  <c r="AL150" i="15"/>
  <c r="V150" i="15"/>
  <c r="F150" i="15"/>
  <c r="BS130" i="15"/>
  <c r="BC130" i="15"/>
  <c r="AM130" i="15"/>
  <c r="W130" i="15"/>
  <c r="G130" i="15"/>
  <c r="BT110" i="15"/>
  <c r="BD110" i="15"/>
  <c r="AN110" i="15"/>
  <c r="H110" i="15"/>
  <c r="AZ170" i="15"/>
  <c r="T170" i="15"/>
  <c r="D170" i="15"/>
  <c r="BQ150" i="15"/>
  <c r="BA150" i="15"/>
  <c r="AK150" i="15"/>
  <c r="U150" i="15"/>
  <c r="E150" i="15"/>
  <c r="BR130" i="15"/>
  <c r="BB130" i="15"/>
  <c r="AL130" i="15"/>
  <c r="V130" i="15"/>
  <c r="F130" i="15"/>
  <c r="BS110" i="15"/>
  <c r="BC110" i="15"/>
  <c r="AM110" i="15"/>
  <c r="W110" i="15"/>
  <c r="G110" i="15"/>
  <c r="CB170" i="15"/>
  <c r="BL170" i="15"/>
  <c r="AW170" i="15"/>
  <c r="AO170" i="15"/>
  <c r="AG170" i="15"/>
  <c r="Y170" i="15"/>
  <c r="Q170" i="15"/>
  <c r="I170" i="15"/>
  <c r="CD150" i="15"/>
  <c r="BV150" i="15"/>
  <c r="BN150" i="15"/>
  <c r="BF150" i="15"/>
  <c r="AX150" i="15"/>
  <c r="AP150" i="15"/>
  <c r="AH150" i="15"/>
  <c r="Z150" i="15"/>
  <c r="R150" i="15"/>
  <c r="J150" i="15"/>
  <c r="BW130" i="15"/>
  <c r="BO130" i="15"/>
  <c r="BG130" i="15"/>
  <c r="AY130" i="15"/>
  <c r="AQ130" i="15"/>
  <c r="AI130" i="15"/>
  <c r="AA130" i="15"/>
  <c r="S130" i="15"/>
  <c r="K130" i="15"/>
  <c r="C130" i="15"/>
  <c r="BX110" i="15"/>
  <c r="BP110" i="15"/>
  <c r="BH110" i="15"/>
  <c r="AZ110" i="15"/>
  <c r="AR110" i="15"/>
  <c r="AB110" i="15"/>
  <c r="T110" i="15"/>
  <c r="L110" i="15"/>
  <c r="D110" i="15"/>
  <c r="AX130" i="15"/>
  <c r="AH130" i="15"/>
  <c r="R130" i="15"/>
  <c r="BW110" i="15"/>
  <c r="BG110" i="15"/>
  <c r="AQ110" i="15"/>
  <c r="AA110" i="15"/>
  <c r="K110" i="15"/>
  <c r="BD170" i="15"/>
  <c r="AS170" i="15"/>
  <c r="AC170" i="15"/>
  <c r="M170" i="15"/>
  <c r="BZ150" i="15"/>
  <c r="BJ150" i="15"/>
  <c r="AT150" i="15"/>
  <c r="AD150" i="15"/>
  <c r="N150" i="15"/>
  <c r="CA130" i="15"/>
  <c r="BK130" i="15"/>
  <c r="AU130" i="15"/>
  <c r="AE130" i="15"/>
  <c r="O130" i="15"/>
  <c r="CB110" i="15"/>
  <c r="BL110" i="15"/>
  <c r="AV110" i="15"/>
  <c r="AF110" i="15"/>
  <c r="P110" i="15"/>
  <c r="BP170" i="15"/>
  <c r="AR170" i="15"/>
  <c r="AB170" i="15"/>
  <c r="L170" i="15"/>
  <c r="BY150" i="15"/>
  <c r="BI150" i="15"/>
  <c r="AS150" i="15"/>
  <c r="AC150" i="15"/>
  <c r="M150" i="15"/>
  <c r="BZ130" i="15"/>
  <c r="BJ130" i="15"/>
  <c r="AT130" i="15"/>
  <c r="AD130" i="15"/>
  <c r="N130" i="15"/>
  <c r="CA110" i="15"/>
  <c r="BK110" i="15"/>
  <c r="AU110" i="15"/>
  <c r="AE110" i="15"/>
  <c r="O110" i="15"/>
  <c r="L15" i="15"/>
  <c r="I15" i="15"/>
  <c r="J51" i="15" l="1"/>
  <c r="L19" i="26"/>
  <c r="K15" i="15"/>
  <c r="I19" i="26"/>
  <c r="M15" i="15"/>
  <c r="K51" i="15" l="1"/>
  <c r="M19" i="26"/>
  <c r="I51" i="15"/>
  <c r="L51" i="15" s="1"/>
  <c r="K19" i="26"/>
  <c r="R13" i="10"/>
  <c r="Q13" i="10"/>
  <c r="P13" i="10"/>
  <c r="O13" i="10"/>
  <c r="A35" i="14" l="1"/>
  <c r="A34" i="14"/>
  <c r="A33" i="14"/>
  <c r="A32" i="14"/>
  <c r="A31" i="14"/>
  <c r="A30" i="14"/>
  <c r="A29" i="14"/>
  <c r="A28" i="14"/>
  <c r="A27" i="14"/>
  <c r="A26" i="14"/>
  <c r="A25" i="14"/>
  <c r="A24" i="14"/>
  <c r="A23" i="14"/>
  <c r="A22" i="14"/>
  <c r="A21" i="14"/>
  <c r="A20" i="14"/>
  <c r="A19" i="14"/>
  <c r="A18" i="14"/>
  <c r="A17" i="14"/>
  <c r="A16" i="14"/>
  <c r="A14" i="14" l="1"/>
  <c r="Y77" i="20"/>
  <c r="X77" i="20"/>
  <c r="W77" i="20"/>
  <c r="V77" i="20"/>
  <c r="U77" i="20"/>
  <c r="T77" i="20"/>
  <c r="S77" i="20"/>
  <c r="Y76" i="20"/>
  <c r="X76" i="20"/>
  <c r="W76" i="20"/>
  <c r="V76" i="20"/>
  <c r="U76" i="20"/>
  <c r="T76" i="20"/>
  <c r="S76" i="20"/>
  <c r="Y75" i="20"/>
  <c r="X75" i="20"/>
  <c r="W75" i="20"/>
  <c r="V75" i="20"/>
  <c r="U75" i="20"/>
  <c r="T75" i="20"/>
  <c r="S75" i="20"/>
  <c r="Y74" i="20"/>
  <c r="X74" i="20"/>
  <c r="W74" i="20"/>
  <c r="V74" i="20"/>
  <c r="U74" i="20"/>
  <c r="T74" i="20"/>
  <c r="S74" i="20"/>
  <c r="Y73" i="20"/>
  <c r="X73" i="20"/>
  <c r="W73" i="20"/>
  <c r="V73" i="20"/>
  <c r="U73" i="20"/>
  <c r="T73" i="20"/>
  <c r="S73" i="20"/>
  <c r="Y72" i="20"/>
  <c r="X72" i="20"/>
  <c r="W72" i="20"/>
  <c r="V72" i="20"/>
  <c r="U72" i="20"/>
  <c r="T72" i="20"/>
  <c r="S72" i="20"/>
  <c r="Y71" i="20"/>
  <c r="X71" i="20"/>
  <c r="W71" i="20"/>
  <c r="V71" i="20"/>
  <c r="U71" i="20"/>
  <c r="T71" i="20"/>
  <c r="S71" i="20"/>
  <c r="Y70" i="20"/>
  <c r="X70" i="20"/>
  <c r="W70" i="20"/>
  <c r="V70" i="20"/>
  <c r="U70" i="20"/>
  <c r="T70" i="20"/>
  <c r="S70" i="20"/>
  <c r="Y69" i="20"/>
  <c r="X69" i="20"/>
  <c r="W69" i="20"/>
  <c r="V69" i="20"/>
  <c r="U69" i="20"/>
  <c r="T69" i="20"/>
  <c r="S69" i="20"/>
  <c r="Y68" i="20"/>
  <c r="X68" i="20"/>
  <c r="W68" i="20"/>
  <c r="V68" i="20"/>
  <c r="U68" i="20"/>
  <c r="T68" i="20"/>
  <c r="S68" i="20"/>
  <c r="Y67" i="20"/>
  <c r="X67" i="20"/>
  <c r="W67" i="20"/>
  <c r="V67" i="20"/>
  <c r="U67" i="20"/>
  <c r="T67" i="20"/>
  <c r="S67" i="20"/>
  <c r="Y66" i="20"/>
  <c r="X66" i="20"/>
  <c r="W66" i="20"/>
  <c r="V66" i="20"/>
  <c r="U66" i="20"/>
  <c r="T66" i="20"/>
  <c r="S66" i="20"/>
  <c r="Y65" i="20"/>
  <c r="X65" i="20"/>
  <c r="W65" i="20"/>
  <c r="V65" i="20"/>
  <c r="U65" i="20"/>
  <c r="T65" i="20"/>
  <c r="S65" i="20"/>
  <c r="Y64" i="20"/>
  <c r="X64" i="20"/>
  <c r="W64" i="20"/>
  <c r="V64" i="20"/>
  <c r="U64" i="20"/>
  <c r="T64" i="20"/>
  <c r="S64" i="20"/>
  <c r="Y63" i="20"/>
  <c r="X63" i="20"/>
  <c r="W63" i="20"/>
  <c r="V63" i="20"/>
  <c r="U63" i="20"/>
  <c r="T63" i="20"/>
  <c r="S63" i="20"/>
  <c r="Y62" i="20"/>
  <c r="X62" i="20"/>
  <c r="W62" i="20"/>
  <c r="V62" i="20"/>
  <c r="U62" i="20"/>
  <c r="T62" i="20"/>
  <c r="S62" i="20"/>
  <c r="Y61" i="20"/>
  <c r="X61" i="20"/>
  <c r="W61" i="20"/>
  <c r="V61" i="20"/>
  <c r="U61" i="20"/>
  <c r="T61" i="20"/>
  <c r="S61" i="20"/>
  <c r="Y60" i="20"/>
  <c r="X60" i="20"/>
  <c r="W60" i="20"/>
  <c r="V60" i="20"/>
  <c r="U60" i="20"/>
  <c r="T60" i="20"/>
  <c r="S60" i="20"/>
  <c r="Y59" i="20"/>
  <c r="X59" i="20"/>
  <c r="W59" i="20"/>
  <c r="V59" i="20"/>
  <c r="U59" i="20"/>
  <c r="T59" i="20"/>
  <c r="S59" i="20"/>
  <c r="Y82" i="20"/>
  <c r="X82" i="20"/>
  <c r="W82" i="20"/>
  <c r="V82" i="20"/>
  <c r="U82" i="20"/>
  <c r="T82" i="20"/>
  <c r="S82" i="20"/>
  <c r="Y100" i="20"/>
  <c r="X100" i="20"/>
  <c r="W100" i="20"/>
  <c r="V100" i="20"/>
  <c r="U100" i="20"/>
  <c r="T100" i="20"/>
  <c r="S100" i="20"/>
  <c r="Y99" i="20"/>
  <c r="X99" i="20"/>
  <c r="W99" i="20"/>
  <c r="V99" i="20"/>
  <c r="U99" i="20"/>
  <c r="T99" i="20"/>
  <c r="S99" i="20"/>
  <c r="Y98" i="20"/>
  <c r="X98" i="20"/>
  <c r="W98" i="20"/>
  <c r="V98" i="20"/>
  <c r="U98" i="20"/>
  <c r="T98" i="20"/>
  <c r="S98" i="20"/>
  <c r="Y97" i="20"/>
  <c r="X97" i="20"/>
  <c r="W97" i="20"/>
  <c r="V97" i="20"/>
  <c r="U97" i="20"/>
  <c r="T97" i="20"/>
  <c r="S97" i="20"/>
  <c r="Y96" i="20"/>
  <c r="X96" i="20"/>
  <c r="W96" i="20"/>
  <c r="V96" i="20"/>
  <c r="U96" i="20"/>
  <c r="T96" i="20"/>
  <c r="S96" i="20"/>
  <c r="Y95" i="20"/>
  <c r="X95" i="20"/>
  <c r="W95" i="20"/>
  <c r="V95" i="20"/>
  <c r="U95" i="20"/>
  <c r="T95" i="20"/>
  <c r="S95" i="20"/>
  <c r="Y94" i="20"/>
  <c r="X94" i="20"/>
  <c r="W94" i="20"/>
  <c r="V94" i="20"/>
  <c r="U94" i="20"/>
  <c r="T94" i="20"/>
  <c r="S94" i="20"/>
  <c r="Y93" i="20"/>
  <c r="X93" i="20"/>
  <c r="W93" i="20"/>
  <c r="V93" i="20"/>
  <c r="U93" i="20"/>
  <c r="T93" i="20"/>
  <c r="S93" i="20"/>
  <c r="Y92" i="20"/>
  <c r="X92" i="20"/>
  <c r="W92" i="20"/>
  <c r="V92" i="20"/>
  <c r="U92" i="20"/>
  <c r="T92" i="20"/>
  <c r="S92" i="20"/>
  <c r="Y91" i="20"/>
  <c r="X91" i="20"/>
  <c r="W91" i="20"/>
  <c r="V91" i="20"/>
  <c r="U91" i="20"/>
  <c r="T91" i="20"/>
  <c r="S91" i="20"/>
  <c r="Y90" i="20"/>
  <c r="X90" i="20"/>
  <c r="W90" i="20"/>
  <c r="V90" i="20"/>
  <c r="U90" i="20"/>
  <c r="T90" i="20"/>
  <c r="S90" i="20"/>
  <c r="Y89" i="20"/>
  <c r="X89" i="20"/>
  <c r="W89" i="20"/>
  <c r="V89" i="20"/>
  <c r="U89" i="20"/>
  <c r="T89" i="20"/>
  <c r="S89" i="20"/>
  <c r="Y88" i="20"/>
  <c r="X88" i="20"/>
  <c r="W88" i="20"/>
  <c r="V88" i="20"/>
  <c r="U88" i="20"/>
  <c r="T88" i="20"/>
  <c r="S88" i="20"/>
  <c r="Y87" i="20"/>
  <c r="X87" i="20"/>
  <c r="W87" i="20"/>
  <c r="V87" i="20"/>
  <c r="U87" i="20"/>
  <c r="T87" i="20"/>
  <c r="S87" i="20"/>
  <c r="Y86" i="20"/>
  <c r="X86" i="20"/>
  <c r="W86" i="20"/>
  <c r="V86" i="20"/>
  <c r="U86" i="20"/>
  <c r="T86" i="20"/>
  <c r="S86" i="20"/>
  <c r="Y85" i="20"/>
  <c r="X85" i="20"/>
  <c r="W85" i="20"/>
  <c r="V85" i="20"/>
  <c r="U85" i="20"/>
  <c r="T85" i="20"/>
  <c r="S85" i="20"/>
  <c r="Y84" i="20"/>
  <c r="X84" i="20"/>
  <c r="W84" i="20"/>
  <c r="V84" i="20"/>
  <c r="U84" i="20"/>
  <c r="T84" i="20"/>
  <c r="S84" i="20"/>
  <c r="Y83" i="20"/>
  <c r="X83" i="20"/>
  <c r="W83" i="20"/>
  <c r="V83" i="20"/>
  <c r="U83" i="20"/>
  <c r="T83" i="20"/>
  <c r="S83" i="20"/>
  <c r="Y105" i="20"/>
  <c r="X105" i="20"/>
  <c r="W105" i="20"/>
  <c r="V105" i="20"/>
  <c r="U105" i="20"/>
  <c r="T105" i="20"/>
  <c r="S105" i="20"/>
  <c r="R105" i="20"/>
  <c r="Q105" i="20"/>
  <c r="P105" i="20"/>
  <c r="O105" i="20"/>
  <c r="F100" i="17"/>
  <c r="E100" i="17"/>
  <c r="D100" i="17"/>
  <c r="F99" i="17"/>
  <c r="E99" i="17"/>
  <c r="D99" i="17"/>
  <c r="F98" i="17"/>
  <c r="E98" i="17"/>
  <c r="D98" i="17"/>
  <c r="A81" i="17"/>
  <c r="A82" i="17"/>
  <c r="A83" i="17"/>
  <c r="A84" i="17"/>
  <c r="A85" i="17"/>
  <c r="A86" i="17"/>
  <c r="A87" i="17"/>
  <c r="A88" i="17"/>
  <c r="A89" i="17"/>
  <c r="A90" i="17"/>
  <c r="A91" i="17"/>
  <c r="A92" i="17"/>
  <c r="A93" i="17"/>
  <c r="A94" i="17"/>
  <c r="A95" i="17"/>
  <c r="A96" i="17"/>
  <c r="A97" i="17"/>
  <c r="A98" i="17"/>
  <c r="A99" i="17"/>
  <c r="A100" i="17"/>
  <c r="A126" i="17"/>
  <c r="A125" i="17"/>
  <c r="A124" i="17"/>
  <c r="A123" i="17"/>
  <c r="A122" i="17"/>
  <c r="F151" i="17"/>
  <c r="E151" i="17"/>
  <c r="D151" i="17"/>
  <c r="A152" i="17"/>
  <c r="A151" i="17"/>
  <c r="A178" i="17"/>
  <c r="A177" i="17"/>
  <c r="F177" i="17"/>
  <c r="E177" i="17"/>
  <c r="D177" i="17"/>
  <c r="F203" i="17"/>
  <c r="E203" i="17"/>
  <c r="D203" i="17"/>
  <c r="A204" i="17"/>
  <c r="A203" i="17"/>
  <c r="A202" i="17"/>
  <c r="A201" i="17"/>
  <c r="A200" i="17"/>
  <c r="A150" i="17"/>
  <c r="A149" i="17"/>
  <c r="A148" i="17"/>
  <c r="A176" i="17"/>
  <c r="A175" i="17"/>
  <c r="A174" i="17"/>
  <c r="D59" i="17"/>
  <c r="D60" i="17"/>
  <c r="D61" i="17"/>
  <c r="D62" i="17"/>
  <c r="D63" i="17"/>
  <c r="D64" i="17"/>
  <c r="D65" i="17"/>
  <c r="D66" i="17"/>
  <c r="D67" i="17"/>
  <c r="D68" i="17"/>
  <c r="D69" i="17"/>
  <c r="D70" i="17"/>
  <c r="D71" i="17"/>
  <c r="D72" i="17"/>
  <c r="D73" i="17"/>
  <c r="D74" i="17"/>
  <c r="A70" i="17"/>
  <c r="A71" i="17"/>
  <c r="A72" i="17"/>
  <c r="A73" i="17"/>
  <c r="A74" i="17"/>
  <c r="F125" i="17"/>
  <c r="E125" i="17"/>
  <c r="D125" i="17"/>
  <c r="F124" i="17"/>
  <c r="E124" i="17"/>
  <c r="D124" i="17"/>
  <c r="F123" i="17"/>
  <c r="E123" i="17"/>
  <c r="D123" i="17"/>
  <c r="F122" i="17"/>
  <c r="E122" i="17"/>
  <c r="D122" i="17"/>
  <c r="F150" i="17"/>
  <c r="E150" i="17"/>
  <c r="D150" i="17"/>
  <c r="F149" i="17"/>
  <c r="E149" i="17"/>
  <c r="D149" i="17"/>
  <c r="F148" i="17"/>
  <c r="E148" i="17"/>
  <c r="D148" i="17"/>
  <c r="F176" i="17"/>
  <c r="E176" i="17"/>
  <c r="D176" i="17"/>
  <c r="F175" i="17"/>
  <c r="E175" i="17"/>
  <c r="D175" i="17"/>
  <c r="F174" i="17"/>
  <c r="E174" i="17"/>
  <c r="D174" i="17"/>
  <c r="F202" i="17"/>
  <c r="E202" i="17"/>
  <c r="D202" i="17"/>
  <c r="F201" i="17"/>
  <c r="E201" i="17"/>
  <c r="D201" i="17"/>
  <c r="F200" i="17"/>
  <c r="E200" i="17"/>
  <c r="D200" i="17"/>
  <c r="B230" i="18"/>
  <c r="B229" i="18"/>
  <c r="B228" i="18"/>
  <c r="B227" i="18"/>
  <c r="B226" i="18"/>
  <c r="B225" i="18"/>
  <c r="B224" i="18"/>
  <c r="B223" i="18"/>
  <c r="B222" i="18"/>
  <c r="B221" i="18"/>
  <c r="D193" i="18"/>
  <c r="C193" i="18"/>
  <c r="D192" i="18"/>
  <c r="C192" i="18"/>
  <c r="D191" i="18"/>
  <c r="C191" i="18"/>
  <c r="D190" i="18"/>
  <c r="C190" i="18"/>
  <c r="D189" i="18"/>
  <c r="C189" i="18"/>
  <c r="D188" i="18"/>
  <c r="C188" i="18"/>
  <c r="D187" i="18"/>
  <c r="C187" i="18"/>
  <c r="D186" i="18"/>
  <c r="C186" i="18"/>
  <c r="D185" i="18"/>
  <c r="C185" i="18"/>
  <c r="D184" i="18"/>
  <c r="C184" i="18"/>
  <c r="D183" i="18"/>
  <c r="C183" i="18"/>
  <c r="D182" i="18"/>
  <c r="C182" i="18"/>
  <c r="D181" i="18"/>
  <c r="C181" i="18"/>
  <c r="D180" i="18"/>
  <c r="C180" i="18"/>
  <c r="D179" i="18"/>
  <c r="C179" i="18"/>
  <c r="D178" i="18"/>
  <c r="C178" i="18"/>
  <c r="D177" i="18"/>
  <c r="C177" i="18"/>
  <c r="D176" i="18"/>
  <c r="C176" i="18"/>
  <c r="D175" i="18"/>
  <c r="C175" i="18"/>
  <c r="D174" i="18"/>
  <c r="C174" i="18"/>
  <c r="E152" i="18"/>
  <c r="D152" i="18"/>
  <c r="C152" i="18"/>
  <c r="E151" i="18"/>
  <c r="D151" i="18"/>
  <c r="C151" i="18"/>
  <c r="E150" i="18"/>
  <c r="CA150" i="18" s="1"/>
  <c r="CO150" i="18" s="1"/>
  <c r="D150" i="18"/>
  <c r="C150" i="18"/>
  <c r="E149" i="18"/>
  <c r="D149" i="18"/>
  <c r="C149" i="18"/>
  <c r="E148" i="18"/>
  <c r="CD148" i="18" s="1"/>
  <c r="D148" i="18"/>
  <c r="C148" i="18"/>
  <c r="E147" i="18"/>
  <c r="CD147" i="18" s="1"/>
  <c r="D147" i="18"/>
  <c r="C147" i="18"/>
  <c r="E146" i="18"/>
  <c r="BX146" i="18" s="1"/>
  <c r="CM146" i="18" s="1"/>
  <c r="D146" i="18"/>
  <c r="C146" i="18"/>
  <c r="E145" i="18"/>
  <c r="D145" i="18"/>
  <c r="C145" i="18"/>
  <c r="E144" i="18"/>
  <c r="D144" i="18"/>
  <c r="C144" i="18"/>
  <c r="E143" i="18"/>
  <c r="CD143" i="18" s="1"/>
  <c r="D143" i="18"/>
  <c r="C143" i="18"/>
  <c r="E142" i="18"/>
  <c r="CD142" i="18" s="1"/>
  <c r="D142" i="18"/>
  <c r="C142" i="18"/>
  <c r="E141" i="18"/>
  <c r="CD141" i="18" s="1"/>
  <c r="D141" i="18"/>
  <c r="C141" i="18"/>
  <c r="E140" i="18"/>
  <c r="BY140" i="18" s="1"/>
  <c r="D140" i="18"/>
  <c r="C140" i="18"/>
  <c r="E139" i="18"/>
  <c r="CD139" i="18" s="1"/>
  <c r="D139" i="18"/>
  <c r="C139" i="18"/>
  <c r="E138" i="18"/>
  <c r="D138" i="18"/>
  <c r="C138" i="18"/>
  <c r="E137" i="18"/>
  <c r="CD137" i="18" s="1"/>
  <c r="D137" i="18"/>
  <c r="C137" i="18"/>
  <c r="E136" i="18"/>
  <c r="CD136" i="18" s="1"/>
  <c r="D136" i="18"/>
  <c r="C136" i="18"/>
  <c r="E135" i="18"/>
  <c r="D135" i="18"/>
  <c r="C135" i="18"/>
  <c r="E134" i="18"/>
  <c r="CD134" i="18" s="1"/>
  <c r="D134" i="18"/>
  <c r="C134" i="18"/>
  <c r="E133" i="18"/>
  <c r="CD133" i="18" s="1"/>
  <c r="D133" i="18"/>
  <c r="C133" i="18"/>
  <c r="I113" i="18"/>
  <c r="H113" i="18"/>
  <c r="G113" i="18"/>
  <c r="F113" i="18"/>
  <c r="E113" i="18"/>
  <c r="CD113" i="18" s="1"/>
  <c r="D113" i="18"/>
  <c r="C113" i="18"/>
  <c r="I112" i="18"/>
  <c r="H112" i="18"/>
  <c r="G112" i="18"/>
  <c r="F112" i="18"/>
  <c r="E112" i="18"/>
  <c r="CD112" i="18" s="1"/>
  <c r="D112" i="18"/>
  <c r="C112" i="18"/>
  <c r="I111" i="18"/>
  <c r="H111" i="18"/>
  <c r="G111" i="18"/>
  <c r="F111" i="18"/>
  <c r="E111" i="18"/>
  <c r="D111" i="18"/>
  <c r="C111" i="18"/>
  <c r="I110" i="18"/>
  <c r="H110" i="18"/>
  <c r="G110" i="18"/>
  <c r="F110" i="18"/>
  <c r="E110" i="18"/>
  <c r="D110" i="18"/>
  <c r="C110" i="18"/>
  <c r="I109" i="18"/>
  <c r="H109" i="18"/>
  <c r="G109" i="18"/>
  <c r="F109" i="18"/>
  <c r="E109" i="18"/>
  <c r="D109" i="18"/>
  <c r="C109" i="18"/>
  <c r="I108" i="18"/>
  <c r="H108" i="18"/>
  <c r="G108" i="18"/>
  <c r="F108" i="18"/>
  <c r="E108" i="18"/>
  <c r="D108" i="18"/>
  <c r="C108" i="18"/>
  <c r="I107" i="18"/>
  <c r="H107" i="18"/>
  <c r="G107" i="18"/>
  <c r="F107" i="18"/>
  <c r="E107" i="18"/>
  <c r="D107" i="18"/>
  <c r="C107" i="18"/>
  <c r="I106" i="18"/>
  <c r="H106" i="18"/>
  <c r="G106" i="18"/>
  <c r="F106" i="18"/>
  <c r="E106" i="18"/>
  <c r="CD106" i="18" s="1"/>
  <c r="D106" i="18"/>
  <c r="C106" i="18"/>
  <c r="I105" i="18"/>
  <c r="H105" i="18"/>
  <c r="G105" i="18"/>
  <c r="F105" i="18"/>
  <c r="E105" i="18"/>
  <c r="D105" i="18"/>
  <c r="C105" i="18"/>
  <c r="I104" i="18"/>
  <c r="H104" i="18"/>
  <c r="G104" i="18"/>
  <c r="F104" i="18"/>
  <c r="E104" i="18"/>
  <c r="D104" i="18"/>
  <c r="C104" i="18"/>
  <c r="I103" i="18"/>
  <c r="H103" i="18"/>
  <c r="G103" i="18"/>
  <c r="F103" i="18"/>
  <c r="E103" i="18"/>
  <c r="CD103" i="18" s="1"/>
  <c r="D103" i="18"/>
  <c r="C103" i="18"/>
  <c r="I102" i="18"/>
  <c r="H102" i="18"/>
  <c r="G102" i="18"/>
  <c r="F102" i="18"/>
  <c r="E102" i="18"/>
  <c r="CD102" i="18" s="1"/>
  <c r="D102" i="18"/>
  <c r="C102" i="18"/>
  <c r="I101" i="18"/>
  <c r="H101" i="18"/>
  <c r="G101" i="18"/>
  <c r="F101" i="18"/>
  <c r="E101" i="18"/>
  <c r="CD101" i="18" s="1"/>
  <c r="D101" i="18"/>
  <c r="C101" i="18"/>
  <c r="I100" i="18"/>
  <c r="H100" i="18"/>
  <c r="G100" i="18"/>
  <c r="F100" i="18"/>
  <c r="E100" i="18"/>
  <c r="D100" i="18"/>
  <c r="C100" i="18"/>
  <c r="I99" i="18"/>
  <c r="H99" i="18"/>
  <c r="G99" i="18"/>
  <c r="F99" i="18"/>
  <c r="E99" i="18"/>
  <c r="D99" i="18"/>
  <c r="C99" i="18"/>
  <c r="I98" i="18"/>
  <c r="H98" i="18"/>
  <c r="G98" i="18"/>
  <c r="F98" i="18"/>
  <c r="E98" i="18"/>
  <c r="CD98" i="18" s="1"/>
  <c r="D98" i="18"/>
  <c r="C98" i="18"/>
  <c r="I97" i="18"/>
  <c r="H97" i="18"/>
  <c r="G97" i="18"/>
  <c r="F97" i="18"/>
  <c r="E97" i="18"/>
  <c r="D97" i="18"/>
  <c r="C97" i="18"/>
  <c r="I96" i="18"/>
  <c r="H96" i="18"/>
  <c r="G96" i="18"/>
  <c r="F96" i="18"/>
  <c r="E96" i="18"/>
  <c r="CD96" i="18" s="1"/>
  <c r="D96" i="18"/>
  <c r="C96" i="18"/>
  <c r="I95" i="18"/>
  <c r="H95" i="18"/>
  <c r="G95" i="18"/>
  <c r="F95" i="18"/>
  <c r="E95" i="18"/>
  <c r="CD95" i="18" s="1"/>
  <c r="D95" i="18"/>
  <c r="C95" i="18"/>
  <c r="I94" i="18"/>
  <c r="H94" i="18"/>
  <c r="G94" i="18"/>
  <c r="F94" i="18"/>
  <c r="E94" i="18"/>
  <c r="CD94" i="18" s="1"/>
  <c r="D94" i="18"/>
  <c r="C94" i="18"/>
  <c r="I73" i="18"/>
  <c r="H73" i="18"/>
  <c r="G73" i="18"/>
  <c r="F73" i="18"/>
  <c r="E73" i="18"/>
  <c r="D73" i="18"/>
  <c r="C73" i="18"/>
  <c r="I72" i="18"/>
  <c r="H72" i="18"/>
  <c r="G72" i="18"/>
  <c r="F72" i="18"/>
  <c r="E72" i="18"/>
  <c r="D72" i="18"/>
  <c r="C72" i="18"/>
  <c r="I71" i="18"/>
  <c r="H71" i="18"/>
  <c r="G71" i="18"/>
  <c r="F71" i="18"/>
  <c r="E71" i="18"/>
  <c r="D71" i="18"/>
  <c r="C71" i="18"/>
  <c r="I70" i="18"/>
  <c r="H70" i="18"/>
  <c r="G70" i="18"/>
  <c r="F70" i="18"/>
  <c r="E70" i="18"/>
  <c r="CD70" i="18" s="1"/>
  <c r="D70" i="18"/>
  <c r="C70" i="18"/>
  <c r="I69" i="18"/>
  <c r="H69" i="18"/>
  <c r="G69" i="18"/>
  <c r="F69" i="18"/>
  <c r="E69" i="18"/>
  <c r="D69" i="18"/>
  <c r="C69" i="18"/>
  <c r="I68" i="18"/>
  <c r="H68" i="18"/>
  <c r="G68" i="18"/>
  <c r="F68" i="18"/>
  <c r="E68" i="18"/>
  <c r="CD68" i="18" s="1"/>
  <c r="D68" i="18"/>
  <c r="C68" i="18"/>
  <c r="I67" i="18"/>
  <c r="H67" i="18"/>
  <c r="G67" i="18"/>
  <c r="F67" i="18"/>
  <c r="E67" i="18"/>
  <c r="CD67" i="18" s="1"/>
  <c r="D67" i="18"/>
  <c r="C67" i="18"/>
  <c r="I66" i="18"/>
  <c r="H66" i="18"/>
  <c r="G66" i="18"/>
  <c r="F66" i="18"/>
  <c r="E66" i="18"/>
  <c r="CD66" i="18" s="1"/>
  <c r="D66" i="18"/>
  <c r="C66" i="18"/>
  <c r="I65" i="18"/>
  <c r="H65" i="18"/>
  <c r="G65" i="18"/>
  <c r="F65" i="18"/>
  <c r="E65" i="18"/>
  <c r="D65" i="18"/>
  <c r="C65" i="18"/>
  <c r="I64" i="18"/>
  <c r="H64" i="18"/>
  <c r="G64" i="18"/>
  <c r="F64" i="18"/>
  <c r="E64" i="18"/>
  <c r="D64" i="18"/>
  <c r="C64" i="18"/>
  <c r="I63" i="18"/>
  <c r="H63" i="18"/>
  <c r="G63" i="18"/>
  <c r="F63" i="18"/>
  <c r="E63" i="18"/>
  <c r="D63" i="18"/>
  <c r="C63" i="18"/>
  <c r="I62" i="18"/>
  <c r="H62" i="18"/>
  <c r="G62" i="18"/>
  <c r="F62" i="18"/>
  <c r="E62" i="18"/>
  <c r="D62" i="18"/>
  <c r="C62" i="18"/>
  <c r="I61" i="18"/>
  <c r="H61" i="18"/>
  <c r="G61" i="18"/>
  <c r="F61" i="18"/>
  <c r="E61" i="18"/>
  <c r="CD61" i="18" s="1"/>
  <c r="D61" i="18"/>
  <c r="C61" i="18"/>
  <c r="I60" i="18"/>
  <c r="H60" i="18"/>
  <c r="G60" i="18"/>
  <c r="F60" i="18"/>
  <c r="E60" i="18"/>
  <c r="D60" i="18"/>
  <c r="C60" i="18"/>
  <c r="I59" i="18"/>
  <c r="H59" i="18"/>
  <c r="G59" i="18"/>
  <c r="F59" i="18"/>
  <c r="E59" i="18"/>
  <c r="D59" i="18"/>
  <c r="C59" i="18"/>
  <c r="I58" i="18"/>
  <c r="H58" i="18"/>
  <c r="G58" i="18"/>
  <c r="F58" i="18"/>
  <c r="E58" i="18"/>
  <c r="CD58" i="18" s="1"/>
  <c r="D58" i="18"/>
  <c r="C58" i="18"/>
  <c r="I57" i="18"/>
  <c r="H57" i="18"/>
  <c r="G57" i="18"/>
  <c r="F57" i="18"/>
  <c r="E57" i="18"/>
  <c r="D57" i="18"/>
  <c r="C57" i="18"/>
  <c r="I56" i="18"/>
  <c r="H56" i="18"/>
  <c r="G56" i="18"/>
  <c r="F56" i="18"/>
  <c r="E56" i="18"/>
  <c r="CD56" i="18" s="1"/>
  <c r="D56" i="18"/>
  <c r="C56" i="18"/>
  <c r="I55" i="18"/>
  <c r="H55" i="18"/>
  <c r="G55" i="18"/>
  <c r="F55" i="18"/>
  <c r="E55" i="18"/>
  <c r="CD55" i="18" s="1"/>
  <c r="D55" i="18"/>
  <c r="C55" i="18"/>
  <c r="I54" i="18"/>
  <c r="H54" i="18"/>
  <c r="G54" i="18"/>
  <c r="F54" i="18"/>
  <c r="E54" i="18"/>
  <c r="CD54" i="18" s="1"/>
  <c r="D54" i="18"/>
  <c r="C54" i="18"/>
  <c r="G83" i="18"/>
  <c r="G82" i="18"/>
  <c r="G81" i="18"/>
  <c r="G80" i="18"/>
  <c r="G79" i="18"/>
  <c r="G78" i="18"/>
  <c r="G77" i="18"/>
  <c r="G76" i="18"/>
  <c r="G75" i="18"/>
  <c r="G74" i="18"/>
  <c r="G53" i="18"/>
  <c r="G52" i="18"/>
  <c r="G51" i="18"/>
  <c r="G50" i="18"/>
  <c r="G49" i="18"/>
  <c r="G48" i="18"/>
  <c r="G47" i="18"/>
  <c r="G46" i="18"/>
  <c r="G45" i="18"/>
  <c r="G44" i="18"/>
  <c r="J33" i="18"/>
  <c r="F33" i="18"/>
  <c r="E33" i="18"/>
  <c r="D33" i="18"/>
  <c r="C33" i="18"/>
  <c r="F32" i="18"/>
  <c r="E32" i="18"/>
  <c r="CD32" i="18" s="1"/>
  <c r="D32" i="18"/>
  <c r="C32" i="18"/>
  <c r="F31" i="18"/>
  <c r="E31" i="18"/>
  <c r="D31" i="18"/>
  <c r="C31" i="18"/>
  <c r="F30" i="18"/>
  <c r="E30" i="18"/>
  <c r="CD30" i="18" s="1"/>
  <c r="D30" i="18"/>
  <c r="C30" i="18"/>
  <c r="F29" i="18"/>
  <c r="E29" i="18"/>
  <c r="CD29" i="18" s="1"/>
  <c r="D29" i="18"/>
  <c r="C29" i="18"/>
  <c r="F28" i="18"/>
  <c r="E28" i="18"/>
  <c r="D28" i="18"/>
  <c r="C28" i="18"/>
  <c r="F27" i="18"/>
  <c r="E27" i="18"/>
  <c r="D27" i="18"/>
  <c r="C27" i="18"/>
  <c r="F26" i="18"/>
  <c r="E26" i="18"/>
  <c r="D26" i="18"/>
  <c r="C26" i="18"/>
  <c r="F25" i="18"/>
  <c r="E25" i="18"/>
  <c r="D25" i="18"/>
  <c r="C25" i="18"/>
  <c r="F24" i="18"/>
  <c r="E24" i="18"/>
  <c r="CD24" i="18" s="1"/>
  <c r="D24" i="18"/>
  <c r="C24" i="18"/>
  <c r="F23" i="18"/>
  <c r="E23" i="18"/>
  <c r="D23" i="18"/>
  <c r="C23" i="18"/>
  <c r="F22" i="18"/>
  <c r="E22" i="18"/>
  <c r="D22" i="18"/>
  <c r="C22" i="18"/>
  <c r="F21" i="18"/>
  <c r="E21" i="18"/>
  <c r="CD21" i="18" s="1"/>
  <c r="D21" i="18"/>
  <c r="C21" i="18"/>
  <c r="F20" i="18"/>
  <c r="E20" i="18"/>
  <c r="D20" i="18"/>
  <c r="C20" i="18"/>
  <c r="F19" i="18"/>
  <c r="E19" i="18"/>
  <c r="D19" i="18"/>
  <c r="C19" i="18"/>
  <c r="F18" i="18"/>
  <c r="E18" i="18"/>
  <c r="D18" i="18"/>
  <c r="C18" i="18"/>
  <c r="J17" i="18"/>
  <c r="F17" i="18"/>
  <c r="E17" i="18"/>
  <c r="D17" i="18"/>
  <c r="C17" i="18"/>
  <c r="F16" i="18"/>
  <c r="E16" i="18"/>
  <c r="D16" i="18"/>
  <c r="C16" i="18"/>
  <c r="F15" i="18"/>
  <c r="E15" i="18"/>
  <c r="D15" i="18"/>
  <c r="C15" i="18"/>
  <c r="F14" i="18"/>
  <c r="E14" i="18"/>
  <c r="D14" i="18"/>
  <c r="C14" i="18"/>
  <c r="DN3" i="18"/>
  <c r="DM3" i="18"/>
  <c r="DL3" i="18"/>
  <c r="DK3" i="18"/>
  <c r="DJ3" i="18"/>
  <c r="DI3" i="18"/>
  <c r="DH3" i="18"/>
  <c r="DG3" i="18"/>
  <c r="DF3" i="18"/>
  <c r="DE3" i="18"/>
  <c r="J32" i="18"/>
  <c r="J31" i="18"/>
  <c r="J30" i="18"/>
  <c r="J29" i="18"/>
  <c r="J28" i="18"/>
  <c r="J27" i="18"/>
  <c r="J26" i="18"/>
  <c r="J25" i="18"/>
  <c r="J24" i="18"/>
  <c r="J23" i="18"/>
  <c r="J22" i="18"/>
  <c r="J21" i="18"/>
  <c r="J20" i="18"/>
  <c r="J19" i="18"/>
  <c r="J18" i="18"/>
  <c r="J16" i="18"/>
  <c r="J15" i="18"/>
  <c r="J14" i="18"/>
  <c r="L43" i="9"/>
  <c r="L42" i="9"/>
  <c r="L41" i="9"/>
  <c r="L40" i="9"/>
  <c r="L39" i="9"/>
  <c r="L38" i="9"/>
  <c r="L37" i="9"/>
  <c r="L36" i="9"/>
  <c r="L35" i="9"/>
  <c r="L34" i="9"/>
  <c r="L33" i="9"/>
  <c r="L32" i="9"/>
  <c r="L31" i="9"/>
  <c r="L30" i="9"/>
  <c r="L29" i="9"/>
  <c r="L28" i="9"/>
  <c r="L27" i="9"/>
  <c r="L26" i="9"/>
  <c r="L25" i="9"/>
  <c r="L24" i="9"/>
  <c r="S43" i="10"/>
  <c r="S42" i="10"/>
  <c r="S41" i="10"/>
  <c r="S40" i="10"/>
  <c r="S39" i="10"/>
  <c r="S38" i="10"/>
  <c r="S37" i="10"/>
  <c r="S36" i="10"/>
  <c r="S35" i="10"/>
  <c r="S34" i="10"/>
  <c r="S33" i="10"/>
  <c r="S32" i="10"/>
  <c r="S31" i="10"/>
  <c r="S30" i="10"/>
  <c r="S29" i="10"/>
  <c r="S28" i="10"/>
  <c r="S27" i="10"/>
  <c r="S26" i="10"/>
  <c r="S25" i="10"/>
  <c r="S24" i="10"/>
  <c r="R43" i="11"/>
  <c r="F152" i="18" s="1"/>
  <c r="O43" i="11"/>
  <c r="N43" i="11"/>
  <c r="M43" i="11"/>
  <c r="L43" i="11"/>
  <c r="I43" i="11"/>
  <c r="R42" i="11"/>
  <c r="F151" i="18" s="1"/>
  <c r="O42" i="11"/>
  <c r="N42" i="11"/>
  <c r="M42" i="11"/>
  <c r="L42" i="11"/>
  <c r="I42" i="11"/>
  <c r="R41" i="11"/>
  <c r="F150" i="18" s="1"/>
  <c r="O41" i="11"/>
  <c r="N41" i="11"/>
  <c r="M41" i="11"/>
  <c r="L41" i="11"/>
  <c r="I41" i="11"/>
  <c r="R40" i="11"/>
  <c r="F149" i="18" s="1"/>
  <c r="O40" i="11"/>
  <c r="N40" i="11"/>
  <c r="M40" i="11"/>
  <c r="L40" i="11"/>
  <c r="I40" i="11"/>
  <c r="R39" i="11"/>
  <c r="F148" i="18" s="1"/>
  <c r="O39" i="11"/>
  <c r="N39" i="11"/>
  <c r="M39" i="11"/>
  <c r="L39" i="11"/>
  <c r="I39" i="11"/>
  <c r="R38" i="11"/>
  <c r="F147" i="18" s="1"/>
  <c r="O38" i="11"/>
  <c r="N38" i="11"/>
  <c r="M38" i="11"/>
  <c r="L38" i="11"/>
  <c r="I38" i="11"/>
  <c r="R37" i="11"/>
  <c r="F146" i="18" s="1"/>
  <c r="O37" i="11"/>
  <c r="N37" i="11"/>
  <c r="M37" i="11"/>
  <c r="L37" i="11"/>
  <c r="I37" i="11"/>
  <c r="R36" i="11"/>
  <c r="F145" i="18" s="1"/>
  <c r="O36" i="11"/>
  <c r="N36" i="11"/>
  <c r="M36" i="11"/>
  <c r="L36" i="11"/>
  <c r="I36" i="11"/>
  <c r="R35" i="11"/>
  <c r="F144" i="18" s="1"/>
  <c r="O35" i="11"/>
  <c r="N35" i="11"/>
  <c r="M35" i="11"/>
  <c r="L35" i="11"/>
  <c r="I35" i="11"/>
  <c r="R34" i="11"/>
  <c r="F143" i="18" s="1"/>
  <c r="O34" i="11"/>
  <c r="N34" i="11"/>
  <c r="M34" i="11"/>
  <c r="L34" i="11"/>
  <c r="I34" i="11"/>
  <c r="R33" i="11"/>
  <c r="F142" i="18" s="1"/>
  <c r="O33" i="11"/>
  <c r="N33" i="11"/>
  <c r="M33" i="11"/>
  <c r="L33" i="11"/>
  <c r="I33" i="11"/>
  <c r="R32" i="11"/>
  <c r="F141" i="18" s="1"/>
  <c r="O32" i="11"/>
  <c r="N32" i="11"/>
  <c r="M32" i="11"/>
  <c r="L32" i="11"/>
  <c r="I32" i="11"/>
  <c r="R31" i="11"/>
  <c r="F140" i="18" s="1"/>
  <c r="O31" i="11"/>
  <c r="N31" i="11"/>
  <c r="M31" i="11"/>
  <c r="L31" i="11"/>
  <c r="I31" i="11"/>
  <c r="R30" i="11"/>
  <c r="F139" i="18" s="1"/>
  <c r="O30" i="11"/>
  <c r="N30" i="11"/>
  <c r="M30" i="11"/>
  <c r="L30" i="11"/>
  <c r="I30" i="11"/>
  <c r="R29" i="11"/>
  <c r="F138" i="18" s="1"/>
  <c r="O29" i="11"/>
  <c r="N29" i="11"/>
  <c r="M29" i="11"/>
  <c r="L29" i="11"/>
  <c r="I29" i="11"/>
  <c r="R28" i="11"/>
  <c r="F137" i="18" s="1"/>
  <c r="O28" i="11"/>
  <c r="N28" i="11"/>
  <c r="M28" i="11"/>
  <c r="L28" i="11"/>
  <c r="I28" i="11"/>
  <c r="R27" i="11"/>
  <c r="F136" i="18" s="1"/>
  <c r="O27" i="11"/>
  <c r="N27" i="11"/>
  <c r="M27" i="11"/>
  <c r="L27" i="11"/>
  <c r="I27" i="11"/>
  <c r="R26" i="11"/>
  <c r="F135" i="18" s="1"/>
  <c r="O26" i="11"/>
  <c r="N26" i="11"/>
  <c r="M26" i="11"/>
  <c r="L26" i="11"/>
  <c r="I26" i="11"/>
  <c r="R25" i="11"/>
  <c r="F134" i="18" s="1"/>
  <c r="O25" i="11"/>
  <c r="N25" i="11"/>
  <c r="M25" i="11"/>
  <c r="L25" i="11"/>
  <c r="I25" i="11"/>
  <c r="R24" i="11"/>
  <c r="F133" i="18" s="1"/>
  <c r="O24" i="11"/>
  <c r="N24" i="11"/>
  <c r="M24" i="11"/>
  <c r="L24" i="11"/>
  <c r="I24" i="11"/>
  <c r="J44" i="12"/>
  <c r="F193" i="18" s="1"/>
  <c r="G44" i="12"/>
  <c r="J43" i="12"/>
  <c r="F192" i="18" s="1"/>
  <c r="G43" i="12"/>
  <c r="J42" i="12"/>
  <c r="F191" i="18" s="1"/>
  <c r="G42" i="12"/>
  <c r="J41" i="12"/>
  <c r="F190" i="18" s="1"/>
  <c r="G41" i="12"/>
  <c r="J40" i="12"/>
  <c r="F189" i="18" s="1"/>
  <c r="G40" i="12"/>
  <c r="J39" i="12"/>
  <c r="F188" i="18" s="1"/>
  <c r="G39" i="12"/>
  <c r="J38" i="12"/>
  <c r="F187" i="18" s="1"/>
  <c r="G38" i="12"/>
  <c r="J37" i="12"/>
  <c r="F186" i="18" s="1"/>
  <c r="G37" i="12"/>
  <c r="J36" i="12"/>
  <c r="F185" i="18" s="1"/>
  <c r="G36" i="12"/>
  <c r="J35" i="12"/>
  <c r="F184" i="18" s="1"/>
  <c r="G35" i="12"/>
  <c r="J34" i="12"/>
  <c r="F183" i="18" s="1"/>
  <c r="G34" i="12"/>
  <c r="J33" i="12"/>
  <c r="F182" i="18" s="1"/>
  <c r="G33" i="12"/>
  <c r="J32" i="12"/>
  <c r="F181" i="18" s="1"/>
  <c r="G32" i="12"/>
  <c r="J31" i="12"/>
  <c r="F180" i="18" s="1"/>
  <c r="G31" i="12"/>
  <c r="J30" i="12"/>
  <c r="F179" i="18" s="1"/>
  <c r="G30" i="12"/>
  <c r="J29" i="12"/>
  <c r="F178" i="18" s="1"/>
  <c r="G29" i="12"/>
  <c r="J28" i="12"/>
  <c r="F177" i="18" s="1"/>
  <c r="G28" i="12"/>
  <c r="J27" i="12"/>
  <c r="F176" i="18" s="1"/>
  <c r="G27" i="12"/>
  <c r="J26" i="12"/>
  <c r="F175" i="18" s="1"/>
  <c r="G26" i="12"/>
  <c r="J25" i="12"/>
  <c r="F174" i="18" s="1"/>
  <c r="G25" i="12"/>
  <c r="J54" i="18" l="1"/>
  <c r="M24" i="9"/>
  <c r="J58" i="18"/>
  <c r="M28" i="9"/>
  <c r="J62" i="18"/>
  <c r="M32" i="9"/>
  <c r="J66" i="18"/>
  <c r="M36" i="9"/>
  <c r="J70" i="18"/>
  <c r="M40" i="9"/>
  <c r="J55" i="18"/>
  <c r="M25" i="9"/>
  <c r="J59" i="18"/>
  <c r="M29" i="9"/>
  <c r="J63" i="18"/>
  <c r="M33" i="9"/>
  <c r="J67" i="18"/>
  <c r="M37" i="9"/>
  <c r="J71" i="18"/>
  <c r="M41" i="9"/>
  <c r="J56" i="18"/>
  <c r="M26" i="9"/>
  <c r="J60" i="18"/>
  <c r="M30" i="9"/>
  <c r="J64" i="18"/>
  <c r="M34" i="9"/>
  <c r="J68" i="18"/>
  <c r="M38" i="9"/>
  <c r="J72" i="18"/>
  <c r="M42" i="9"/>
  <c r="J57" i="18"/>
  <c r="M27" i="9"/>
  <c r="J61" i="18"/>
  <c r="M31" i="9"/>
  <c r="J65" i="18"/>
  <c r="M35" i="9"/>
  <c r="J69" i="18"/>
  <c r="M39" i="9"/>
  <c r="J73" i="18"/>
  <c r="M43" i="9"/>
  <c r="J94" i="18"/>
  <c r="T24" i="10"/>
  <c r="J102" i="18"/>
  <c r="T32" i="10"/>
  <c r="J106" i="18"/>
  <c r="T36" i="10"/>
  <c r="A135" i="18"/>
  <c r="A139" i="18"/>
  <c r="A143" i="18"/>
  <c r="A147" i="18"/>
  <c r="A151" i="18"/>
  <c r="J95" i="18"/>
  <c r="T25" i="10"/>
  <c r="J99" i="18"/>
  <c r="T29" i="10"/>
  <c r="J103" i="18"/>
  <c r="T33" i="10"/>
  <c r="J107" i="18"/>
  <c r="T37" i="10"/>
  <c r="J111" i="18"/>
  <c r="T41" i="10"/>
  <c r="J96" i="18"/>
  <c r="T26" i="10"/>
  <c r="J100" i="18"/>
  <c r="T30" i="10"/>
  <c r="J104" i="18"/>
  <c r="T34" i="10"/>
  <c r="J108" i="18"/>
  <c r="T38" i="10"/>
  <c r="J112" i="18"/>
  <c r="T42" i="10"/>
  <c r="J98" i="18"/>
  <c r="T28" i="10"/>
  <c r="J110" i="18"/>
  <c r="T40" i="10"/>
  <c r="A133" i="18"/>
  <c r="A137" i="18"/>
  <c r="A141" i="18"/>
  <c r="A145" i="18"/>
  <c r="A149" i="18"/>
  <c r="A134" i="18"/>
  <c r="A136" i="18"/>
  <c r="A138" i="18"/>
  <c r="A140" i="18"/>
  <c r="A142" i="18"/>
  <c r="A144" i="18"/>
  <c r="A146" i="18"/>
  <c r="A148" i="18"/>
  <c r="A150" i="18"/>
  <c r="A152" i="18"/>
  <c r="J97" i="18"/>
  <c r="T27" i="10"/>
  <c r="J101" i="18"/>
  <c r="T31" i="10"/>
  <c r="J105" i="18"/>
  <c r="T35" i="10"/>
  <c r="J109" i="18"/>
  <c r="T39" i="10"/>
  <c r="J113" i="18"/>
  <c r="T43" i="10"/>
  <c r="I175" i="18"/>
  <c r="G175" i="18"/>
  <c r="H175" i="18"/>
  <c r="G177" i="18"/>
  <c r="H177" i="18"/>
  <c r="I177" i="18"/>
  <c r="I179" i="18"/>
  <c r="G179" i="18"/>
  <c r="H179" i="18"/>
  <c r="G181" i="18"/>
  <c r="H181" i="18"/>
  <c r="I181" i="18"/>
  <c r="I183" i="18"/>
  <c r="G183" i="18"/>
  <c r="H183" i="18"/>
  <c r="G185" i="18"/>
  <c r="H185" i="18"/>
  <c r="I185" i="18"/>
  <c r="I187" i="18"/>
  <c r="G187" i="18"/>
  <c r="H187" i="18"/>
  <c r="G189" i="18"/>
  <c r="I189" i="18"/>
  <c r="H189" i="18"/>
  <c r="I191" i="18"/>
  <c r="G191" i="18"/>
  <c r="H191" i="18"/>
  <c r="G193" i="18"/>
  <c r="I193" i="18"/>
  <c r="H193" i="18"/>
  <c r="H174" i="18"/>
  <c r="I174" i="18"/>
  <c r="G174" i="18"/>
  <c r="G176" i="18"/>
  <c r="H176" i="18"/>
  <c r="I176" i="18"/>
  <c r="H178" i="18"/>
  <c r="I178" i="18"/>
  <c r="G178" i="18"/>
  <c r="G180" i="18"/>
  <c r="H180" i="18"/>
  <c r="I180" i="18"/>
  <c r="H182" i="18"/>
  <c r="I182" i="18"/>
  <c r="G182" i="18"/>
  <c r="G184" i="18"/>
  <c r="H184" i="18"/>
  <c r="I184" i="18"/>
  <c r="H186" i="18"/>
  <c r="I186" i="18"/>
  <c r="G186" i="18"/>
  <c r="G188" i="18"/>
  <c r="H188" i="18"/>
  <c r="I188" i="18"/>
  <c r="H190" i="18"/>
  <c r="G190" i="18"/>
  <c r="I190" i="18"/>
  <c r="G192" i="18"/>
  <c r="H192" i="18"/>
  <c r="I192" i="18"/>
  <c r="BC138" i="18"/>
  <c r="AY138" i="18"/>
  <c r="AU138" i="18"/>
  <c r="AQ138" i="18"/>
  <c r="BB138" i="18"/>
  <c r="AX138" i="18"/>
  <c r="AT138" i="18"/>
  <c r="AP138" i="18"/>
  <c r="BA138" i="18"/>
  <c r="AW138" i="18"/>
  <c r="AS138" i="18"/>
  <c r="AR138" i="18"/>
  <c r="AK138" i="18"/>
  <c r="AG138" i="18"/>
  <c r="AC138" i="18"/>
  <c r="AN138" i="18"/>
  <c r="AJ138" i="18"/>
  <c r="AF138" i="18"/>
  <c r="AB138" i="18"/>
  <c r="AZ138" i="18"/>
  <c r="AM138" i="18"/>
  <c r="AI138" i="18"/>
  <c r="AE138" i="18"/>
  <c r="AA138" i="18"/>
  <c r="AV138" i="18"/>
  <c r="AL138" i="18"/>
  <c r="V138" i="18"/>
  <c r="R138" i="18"/>
  <c r="N138" i="18"/>
  <c r="AD138" i="18"/>
  <c r="X138" i="18"/>
  <c r="S138" i="18"/>
  <c r="M138" i="18"/>
  <c r="Y138" i="18"/>
  <c r="W138" i="18"/>
  <c r="Q138" i="18"/>
  <c r="L138" i="18"/>
  <c r="O138" i="18"/>
  <c r="U138" i="18"/>
  <c r="P138" i="18"/>
  <c r="AH138" i="18"/>
  <c r="T138" i="18"/>
  <c r="BA144" i="18"/>
  <c r="AW144" i="18"/>
  <c r="AS144" i="18"/>
  <c r="AZ144" i="18"/>
  <c r="AV144" i="18"/>
  <c r="AR144" i="18"/>
  <c r="BC144" i="18"/>
  <c r="AY144" i="18"/>
  <c r="AU144" i="18"/>
  <c r="AQ144" i="18"/>
  <c r="AT144" i="18"/>
  <c r="AP144" i="18"/>
  <c r="BB144" i="18"/>
  <c r="AX144" i="18"/>
  <c r="AK144" i="18"/>
  <c r="AG144" i="18"/>
  <c r="AC144" i="18"/>
  <c r="AN144" i="18"/>
  <c r="AJ144" i="18"/>
  <c r="AF144" i="18"/>
  <c r="AB144" i="18"/>
  <c r="AM144" i="18"/>
  <c r="AI144" i="18"/>
  <c r="AE144" i="18"/>
  <c r="AA144" i="18"/>
  <c r="AL144" i="18"/>
  <c r="AH144" i="18"/>
  <c r="V144" i="18"/>
  <c r="R144" i="18"/>
  <c r="N144" i="18"/>
  <c r="Y144" i="18"/>
  <c r="T144" i="18"/>
  <c r="O144" i="18"/>
  <c r="AD144" i="18"/>
  <c r="X144" i="18"/>
  <c r="S144" i="18"/>
  <c r="M144" i="18"/>
  <c r="P144" i="18"/>
  <c r="W144" i="18"/>
  <c r="Q144" i="18"/>
  <c r="L144" i="18"/>
  <c r="U144" i="18"/>
  <c r="BA150" i="18"/>
  <c r="AW150" i="18"/>
  <c r="AS150" i="18"/>
  <c r="AZ150" i="18"/>
  <c r="AV150" i="18"/>
  <c r="AR150" i="18"/>
  <c r="BC150" i="18"/>
  <c r="AY150" i="18"/>
  <c r="AU150" i="18"/>
  <c r="AQ150" i="18"/>
  <c r="AP150" i="18"/>
  <c r="BB150" i="18"/>
  <c r="AX150" i="18"/>
  <c r="AK150" i="18"/>
  <c r="AG150" i="18"/>
  <c r="AC150" i="18"/>
  <c r="AN150" i="18"/>
  <c r="AJ150" i="18"/>
  <c r="AF150" i="18"/>
  <c r="AB150" i="18"/>
  <c r="AM150" i="18"/>
  <c r="AI150" i="18"/>
  <c r="AE150" i="18"/>
  <c r="AA150" i="18"/>
  <c r="AH150" i="18"/>
  <c r="AT150" i="18"/>
  <c r="AD150" i="18"/>
  <c r="V150" i="18"/>
  <c r="R150" i="18"/>
  <c r="N150" i="18"/>
  <c r="U150" i="18"/>
  <c r="P150" i="18"/>
  <c r="Y150" i="18"/>
  <c r="T150" i="18"/>
  <c r="O150" i="18"/>
  <c r="AL150" i="18"/>
  <c r="X150" i="18"/>
  <c r="S150" i="18"/>
  <c r="M150" i="18"/>
  <c r="W150" i="18"/>
  <c r="Q150" i="18"/>
  <c r="L150" i="18"/>
  <c r="BC134" i="18"/>
  <c r="AY134" i="18"/>
  <c r="AU134" i="18"/>
  <c r="AQ134" i="18"/>
  <c r="BB134" i="18"/>
  <c r="AX134" i="18"/>
  <c r="AT134" i="18"/>
  <c r="AP134" i="18"/>
  <c r="BA134" i="18"/>
  <c r="AW134" i="18"/>
  <c r="AS134" i="18"/>
  <c r="AZ134" i="18"/>
  <c r="AK134" i="18"/>
  <c r="AG134" i="18"/>
  <c r="AC134" i="18"/>
  <c r="AV134" i="18"/>
  <c r="AN134" i="18"/>
  <c r="AJ134" i="18"/>
  <c r="AF134" i="18"/>
  <c r="AB134" i="18"/>
  <c r="AR134" i="18"/>
  <c r="AM134" i="18"/>
  <c r="AI134" i="18"/>
  <c r="AE134" i="18"/>
  <c r="AA134" i="18"/>
  <c r="AD134" i="18"/>
  <c r="V134" i="18"/>
  <c r="R134" i="18"/>
  <c r="N134" i="18"/>
  <c r="U134" i="18"/>
  <c r="P134" i="18"/>
  <c r="Y134" i="18"/>
  <c r="T134" i="18"/>
  <c r="O134" i="18"/>
  <c r="Q134" i="18"/>
  <c r="AL134" i="18"/>
  <c r="X134" i="18"/>
  <c r="S134" i="18"/>
  <c r="M134" i="18"/>
  <c r="AH134" i="18"/>
  <c r="W134" i="18"/>
  <c r="L134" i="18"/>
  <c r="BA140" i="18"/>
  <c r="AW140" i="18"/>
  <c r="AS140" i="18"/>
  <c r="BC140" i="18"/>
  <c r="AX140" i="18"/>
  <c r="AR140" i="18"/>
  <c r="BB140" i="18"/>
  <c r="AV140" i="18"/>
  <c r="AQ140" i="18"/>
  <c r="AZ140" i="18"/>
  <c r="AU140" i="18"/>
  <c r="AP140" i="18"/>
  <c r="AY140" i="18"/>
  <c r="AK140" i="18"/>
  <c r="AG140" i="18"/>
  <c r="AC140" i="18"/>
  <c r="AT140" i="18"/>
  <c r="AN140" i="18"/>
  <c r="AJ140" i="18"/>
  <c r="AF140" i="18"/>
  <c r="AB140" i="18"/>
  <c r="AM140" i="18"/>
  <c r="AI140" i="18"/>
  <c r="AE140" i="18"/>
  <c r="AA140" i="18"/>
  <c r="AD140" i="18"/>
  <c r="V140" i="18"/>
  <c r="R140" i="18"/>
  <c r="N140" i="18"/>
  <c r="AH140" i="18"/>
  <c r="W140" i="18"/>
  <c r="Q140" i="18"/>
  <c r="L140" i="18"/>
  <c r="M140" i="18"/>
  <c r="U140" i="18"/>
  <c r="P140" i="18"/>
  <c r="Y140" i="18"/>
  <c r="T140" i="18"/>
  <c r="O140" i="18"/>
  <c r="AL140" i="18"/>
  <c r="X140" i="18"/>
  <c r="S140" i="18"/>
  <c r="BA148" i="18"/>
  <c r="AW148" i="18"/>
  <c r="AS148" i="18"/>
  <c r="AZ148" i="18"/>
  <c r="AV148" i="18"/>
  <c r="AR148" i="18"/>
  <c r="BC148" i="18"/>
  <c r="AY148" i="18"/>
  <c r="AU148" i="18"/>
  <c r="AQ148" i="18"/>
  <c r="BB148" i="18"/>
  <c r="AX148" i="18"/>
  <c r="AT148" i="18"/>
  <c r="AK148" i="18"/>
  <c r="AG148" i="18"/>
  <c r="AC148" i="18"/>
  <c r="AP148" i="18"/>
  <c r="AN148" i="18"/>
  <c r="AJ148" i="18"/>
  <c r="AF148" i="18"/>
  <c r="AB148" i="18"/>
  <c r="AM148" i="18"/>
  <c r="AI148" i="18"/>
  <c r="AE148" i="18"/>
  <c r="AA148" i="18"/>
  <c r="AD148" i="18"/>
  <c r="V148" i="18"/>
  <c r="R148" i="18"/>
  <c r="N148" i="18"/>
  <c r="W148" i="18"/>
  <c r="Q148" i="18"/>
  <c r="L148" i="18"/>
  <c r="AL148" i="18"/>
  <c r="U148" i="18"/>
  <c r="P148" i="18"/>
  <c r="AH148" i="18"/>
  <c r="Y148" i="18"/>
  <c r="T148" i="18"/>
  <c r="O148" i="18"/>
  <c r="X148" i="18"/>
  <c r="S148" i="18"/>
  <c r="M148" i="18"/>
  <c r="BA133" i="18"/>
  <c r="AW133" i="18"/>
  <c r="AS133" i="18"/>
  <c r="AZ133" i="18"/>
  <c r="AV133" i="18"/>
  <c r="AR133" i="18"/>
  <c r="BC133" i="18"/>
  <c r="AY133" i="18"/>
  <c r="AU133" i="18"/>
  <c r="AQ133" i="18"/>
  <c r="AX133" i="18"/>
  <c r="AM133" i="18"/>
  <c r="AI133" i="18"/>
  <c r="AE133" i="18"/>
  <c r="AA133" i="18"/>
  <c r="AT133" i="18"/>
  <c r="AL133" i="18"/>
  <c r="AH133" i="18"/>
  <c r="AD133" i="18"/>
  <c r="AP133" i="18"/>
  <c r="AK133" i="18"/>
  <c r="AG133" i="18"/>
  <c r="AC133" i="18"/>
  <c r="BB133" i="18"/>
  <c r="AB133" i="18"/>
  <c r="X133" i="18"/>
  <c r="T133" i="18"/>
  <c r="P133" i="18"/>
  <c r="L133" i="18"/>
  <c r="AN133" i="18"/>
  <c r="Y133" i="18"/>
  <c r="S133" i="18"/>
  <c r="N133" i="18"/>
  <c r="O133" i="18"/>
  <c r="AJ133" i="18"/>
  <c r="W133" i="18"/>
  <c r="R133" i="18"/>
  <c r="M133" i="18"/>
  <c r="U133" i="18"/>
  <c r="AF133" i="18"/>
  <c r="V133" i="18"/>
  <c r="Q133" i="18"/>
  <c r="BC139" i="18"/>
  <c r="BA139" i="18"/>
  <c r="AW139" i="18"/>
  <c r="AS139" i="18"/>
  <c r="AZ139" i="18"/>
  <c r="AV139" i="18"/>
  <c r="AR139" i="18"/>
  <c r="AY139" i="18"/>
  <c r="AU139" i="18"/>
  <c r="AQ139" i="18"/>
  <c r="AT139" i="18"/>
  <c r="AM139" i="18"/>
  <c r="AI139" i="18"/>
  <c r="AE139" i="18"/>
  <c r="AA139" i="18"/>
  <c r="AP139" i="18"/>
  <c r="AL139" i="18"/>
  <c r="AH139" i="18"/>
  <c r="AD139" i="18"/>
  <c r="BB139" i="18"/>
  <c r="AK139" i="18"/>
  <c r="AG139" i="18"/>
  <c r="AC139" i="18"/>
  <c r="AX139" i="18"/>
  <c r="AB139" i="18"/>
  <c r="AN139" i="18"/>
  <c r="X139" i="18"/>
  <c r="T139" i="18"/>
  <c r="P139" i="18"/>
  <c r="L139" i="18"/>
  <c r="U139" i="18"/>
  <c r="O139" i="18"/>
  <c r="AJ139" i="18"/>
  <c r="Y139" i="18"/>
  <c r="S139" i="18"/>
  <c r="N139" i="18"/>
  <c r="V139" i="18"/>
  <c r="AF139" i="18"/>
  <c r="W139" i="18"/>
  <c r="R139" i="18"/>
  <c r="M139" i="18"/>
  <c r="Q139" i="18"/>
  <c r="BC145" i="18"/>
  <c r="AY145" i="18"/>
  <c r="AU145" i="18"/>
  <c r="AQ145" i="18"/>
  <c r="BB145" i="18"/>
  <c r="AX145" i="18"/>
  <c r="AT145" i="18"/>
  <c r="AP145" i="18"/>
  <c r="BA145" i="18"/>
  <c r="AW145" i="18"/>
  <c r="AS145" i="18"/>
  <c r="AV145" i="18"/>
  <c r="AR145" i="18"/>
  <c r="AM145" i="18"/>
  <c r="AI145" i="18"/>
  <c r="AE145" i="18"/>
  <c r="AA145" i="18"/>
  <c r="AL145" i="18"/>
  <c r="AH145" i="18"/>
  <c r="AD145" i="18"/>
  <c r="AK145" i="18"/>
  <c r="AG145" i="18"/>
  <c r="AC145" i="18"/>
  <c r="AN145" i="18"/>
  <c r="AJ145" i="18"/>
  <c r="X145" i="18"/>
  <c r="T145" i="18"/>
  <c r="P145" i="18"/>
  <c r="L145" i="18"/>
  <c r="AB145" i="18"/>
  <c r="V145" i="18"/>
  <c r="Q145" i="18"/>
  <c r="M145" i="18"/>
  <c r="AZ145" i="18"/>
  <c r="U145" i="18"/>
  <c r="O145" i="18"/>
  <c r="Y145" i="18"/>
  <c r="S145" i="18"/>
  <c r="N145" i="18"/>
  <c r="AF145" i="18"/>
  <c r="W145" i="18"/>
  <c r="R145" i="18"/>
  <c r="BC149" i="18"/>
  <c r="AY149" i="18"/>
  <c r="AU149" i="18"/>
  <c r="AQ149" i="18"/>
  <c r="BB149" i="18"/>
  <c r="AX149" i="18"/>
  <c r="AT149" i="18"/>
  <c r="AP149" i="18"/>
  <c r="BA149" i="18"/>
  <c r="AW149" i="18"/>
  <c r="AS149" i="18"/>
  <c r="AZ149" i="18"/>
  <c r="AV149" i="18"/>
  <c r="AR149" i="18"/>
  <c r="AM149" i="18"/>
  <c r="AI149" i="18"/>
  <c r="AE149" i="18"/>
  <c r="AA149" i="18"/>
  <c r="AL149" i="18"/>
  <c r="AH149" i="18"/>
  <c r="AD149" i="18"/>
  <c r="AK149" i="18"/>
  <c r="AG149" i="18"/>
  <c r="AC149" i="18"/>
  <c r="AF149" i="18"/>
  <c r="AB149" i="18"/>
  <c r="X149" i="18"/>
  <c r="T149" i="18"/>
  <c r="P149" i="18"/>
  <c r="L149" i="18"/>
  <c r="AJ149" i="18"/>
  <c r="Y149" i="18"/>
  <c r="S149" i="18"/>
  <c r="N149" i="18"/>
  <c r="W149" i="18"/>
  <c r="R149" i="18"/>
  <c r="M149" i="18"/>
  <c r="V149" i="18"/>
  <c r="Q149" i="18"/>
  <c r="AN149" i="18"/>
  <c r="U149" i="18"/>
  <c r="O149" i="18"/>
  <c r="BC136" i="18"/>
  <c r="AY136" i="18"/>
  <c r="AU136" i="18"/>
  <c r="AQ136" i="18"/>
  <c r="BB136" i="18"/>
  <c r="AX136" i="18"/>
  <c r="AT136" i="18"/>
  <c r="AP136" i="18"/>
  <c r="BA136" i="18"/>
  <c r="AW136" i="18"/>
  <c r="AS136" i="18"/>
  <c r="AK136" i="18"/>
  <c r="AG136" i="18"/>
  <c r="AC136" i="18"/>
  <c r="AZ136" i="18"/>
  <c r="AN136" i="18"/>
  <c r="AJ136" i="18"/>
  <c r="AF136" i="18"/>
  <c r="AB136" i="18"/>
  <c r="AV136" i="18"/>
  <c r="AM136" i="18"/>
  <c r="AI136" i="18"/>
  <c r="AE136" i="18"/>
  <c r="AA136" i="18"/>
  <c r="AL136" i="18"/>
  <c r="AH136" i="18"/>
  <c r="V136" i="18"/>
  <c r="R136" i="18"/>
  <c r="N136" i="18"/>
  <c r="AR136" i="18"/>
  <c r="Y136" i="18"/>
  <c r="T136" i="18"/>
  <c r="O136" i="18"/>
  <c r="P136" i="18"/>
  <c r="X136" i="18"/>
  <c r="S136" i="18"/>
  <c r="M136" i="18"/>
  <c r="W136" i="18"/>
  <c r="Q136" i="18"/>
  <c r="L136" i="18"/>
  <c r="AD136" i="18"/>
  <c r="U136" i="18"/>
  <c r="BA142" i="18"/>
  <c r="AW142" i="18"/>
  <c r="AS142" i="18"/>
  <c r="AZ142" i="18"/>
  <c r="AV142" i="18"/>
  <c r="AR142" i="18"/>
  <c r="BC142" i="18"/>
  <c r="AY142" i="18"/>
  <c r="AU142" i="18"/>
  <c r="AQ142" i="18"/>
  <c r="AP142" i="18"/>
  <c r="BB142" i="18"/>
  <c r="AX142" i="18"/>
  <c r="AK142" i="18"/>
  <c r="AG142" i="18"/>
  <c r="AC142" i="18"/>
  <c r="AN142" i="18"/>
  <c r="AJ142" i="18"/>
  <c r="AF142" i="18"/>
  <c r="AB142" i="18"/>
  <c r="AT142" i="18"/>
  <c r="AM142" i="18"/>
  <c r="AI142" i="18"/>
  <c r="AE142" i="18"/>
  <c r="AA142" i="18"/>
  <c r="AH142" i="18"/>
  <c r="AD142" i="18"/>
  <c r="V142" i="18"/>
  <c r="R142" i="18"/>
  <c r="N142" i="18"/>
  <c r="AL142" i="18"/>
  <c r="U142" i="18"/>
  <c r="P142" i="18"/>
  <c r="W142" i="18"/>
  <c r="Y142" i="18"/>
  <c r="T142" i="18"/>
  <c r="O142" i="18"/>
  <c r="Q142" i="18"/>
  <c r="X142" i="18"/>
  <c r="S142" i="18"/>
  <c r="M142" i="18"/>
  <c r="L142" i="18"/>
  <c r="BA146" i="18"/>
  <c r="AW146" i="18"/>
  <c r="AS146" i="18"/>
  <c r="AZ146" i="18"/>
  <c r="AV146" i="18"/>
  <c r="AR146" i="18"/>
  <c r="BC146" i="18"/>
  <c r="AY146" i="18"/>
  <c r="AU146" i="18"/>
  <c r="AQ146" i="18"/>
  <c r="AX146" i="18"/>
  <c r="AT146" i="18"/>
  <c r="AP146" i="18"/>
  <c r="AK146" i="18"/>
  <c r="AG146" i="18"/>
  <c r="AC146" i="18"/>
  <c r="AN146" i="18"/>
  <c r="AJ146" i="18"/>
  <c r="AF146" i="18"/>
  <c r="AB146" i="18"/>
  <c r="BB146" i="18"/>
  <c r="AM146" i="18"/>
  <c r="AI146" i="18"/>
  <c r="AE146" i="18"/>
  <c r="AA146" i="18"/>
  <c r="AL146" i="18"/>
  <c r="V146" i="18"/>
  <c r="R146" i="18"/>
  <c r="N146" i="18"/>
  <c r="X146" i="18"/>
  <c r="S146" i="18"/>
  <c r="M146" i="18"/>
  <c r="AH146" i="18"/>
  <c r="W146" i="18"/>
  <c r="Q146" i="18"/>
  <c r="L146" i="18"/>
  <c r="AD146" i="18"/>
  <c r="U146" i="18"/>
  <c r="P146" i="18"/>
  <c r="Y146" i="18"/>
  <c r="T146" i="18"/>
  <c r="O146" i="18"/>
  <c r="BA152" i="18"/>
  <c r="AW152" i="18"/>
  <c r="AS152" i="18"/>
  <c r="AZ152" i="18"/>
  <c r="AV152" i="18"/>
  <c r="AR152" i="18"/>
  <c r="BC152" i="18"/>
  <c r="AY152" i="18"/>
  <c r="AU152" i="18"/>
  <c r="AQ152" i="18"/>
  <c r="AT152" i="18"/>
  <c r="AP152" i="18"/>
  <c r="BB152" i="18"/>
  <c r="AK152" i="18"/>
  <c r="AG152" i="18"/>
  <c r="AC152" i="18"/>
  <c r="AX152" i="18"/>
  <c r="AN152" i="18"/>
  <c r="AJ152" i="18"/>
  <c r="AF152" i="18"/>
  <c r="AB152" i="18"/>
  <c r="AM152" i="18"/>
  <c r="AI152" i="18"/>
  <c r="AE152" i="18"/>
  <c r="AA152" i="18"/>
  <c r="AL152" i="18"/>
  <c r="AH152" i="18"/>
  <c r="V152" i="18"/>
  <c r="R152" i="18"/>
  <c r="N152" i="18"/>
  <c r="Y152" i="18"/>
  <c r="T152" i="18"/>
  <c r="O152" i="18"/>
  <c r="X152" i="18"/>
  <c r="S152" i="18"/>
  <c r="M152" i="18"/>
  <c r="W152" i="18"/>
  <c r="Q152" i="18"/>
  <c r="L152" i="18"/>
  <c r="AD152" i="18"/>
  <c r="U152" i="18"/>
  <c r="P152" i="18"/>
  <c r="BA135" i="18"/>
  <c r="AW135" i="18"/>
  <c r="AS135" i="18"/>
  <c r="AZ135" i="18"/>
  <c r="AV135" i="18"/>
  <c r="AR135" i="18"/>
  <c r="BC135" i="18"/>
  <c r="AY135" i="18"/>
  <c r="AU135" i="18"/>
  <c r="AQ135" i="18"/>
  <c r="BB135" i="18"/>
  <c r="AM135" i="18"/>
  <c r="AI135" i="18"/>
  <c r="AE135" i="18"/>
  <c r="AA135" i="18"/>
  <c r="AX135" i="18"/>
  <c r="AL135" i="18"/>
  <c r="AH135" i="18"/>
  <c r="AD135" i="18"/>
  <c r="AT135" i="18"/>
  <c r="AK135" i="18"/>
  <c r="AG135" i="18"/>
  <c r="AC135" i="18"/>
  <c r="AP135" i="18"/>
  <c r="AJ135" i="18"/>
  <c r="AF135" i="18"/>
  <c r="X135" i="18"/>
  <c r="T135" i="18"/>
  <c r="P135" i="18"/>
  <c r="L135" i="18"/>
  <c r="AN135" i="18"/>
  <c r="W135" i="18"/>
  <c r="R135" i="18"/>
  <c r="M135" i="18"/>
  <c r="N135" i="18"/>
  <c r="AB135" i="18"/>
  <c r="V135" i="18"/>
  <c r="Q135" i="18"/>
  <c r="S135" i="18"/>
  <c r="U135" i="18"/>
  <c r="O135" i="18"/>
  <c r="Y135" i="18"/>
  <c r="BA137" i="18"/>
  <c r="AW137" i="18"/>
  <c r="AS137" i="18"/>
  <c r="AZ137" i="18"/>
  <c r="AV137" i="18"/>
  <c r="AR137" i="18"/>
  <c r="BC137" i="18"/>
  <c r="AY137" i="18"/>
  <c r="AU137" i="18"/>
  <c r="AQ137" i="18"/>
  <c r="AP137" i="18"/>
  <c r="AM137" i="18"/>
  <c r="AI137" i="18"/>
  <c r="AE137" i="18"/>
  <c r="AA137" i="18"/>
  <c r="BB137" i="18"/>
  <c r="AL137" i="18"/>
  <c r="AH137" i="18"/>
  <c r="AD137" i="18"/>
  <c r="AX137" i="18"/>
  <c r="AK137" i="18"/>
  <c r="AG137" i="18"/>
  <c r="AC137" i="18"/>
  <c r="AN137" i="18"/>
  <c r="AJ137" i="18"/>
  <c r="X137" i="18"/>
  <c r="T137" i="18"/>
  <c r="P137" i="18"/>
  <c r="L137" i="18"/>
  <c r="V137" i="18"/>
  <c r="Q137" i="18"/>
  <c r="R137" i="18"/>
  <c r="AF137" i="18"/>
  <c r="U137" i="18"/>
  <c r="O137" i="18"/>
  <c r="M137" i="18"/>
  <c r="AB137" i="18"/>
  <c r="Y137" i="18"/>
  <c r="S137" i="18"/>
  <c r="N137" i="18"/>
  <c r="AT137" i="18"/>
  <c r="W137" i="18"/>
  <c r="BC141" i="18"/>
  <c r="AY141" i="18"/>
  <c r="AU141" i="18"/>
  <c r="AQ141" i="18"/>
  <c r="BB141" i="18"/>
  <c r="AX141" i="18"/>
  <c r="AT141" i="18"/>
  <c r="AP141" i="18"/>
  <c r="BA141" i="18"/>
  <c r="AW141" i="18"/>
  <c r="AS141" i="18"/>
  <c r="AZ141" i="18"/>
  <c r="AV141" i="18"/>
  <c r="AM141" i="18"/>
  <c r="AI141" i="18"/>
  <c r="AE141" i="18"/>
  <c r="AA141" i="18"/>
  <c r="AL141" i="18"/>
  <c r="AH141" i="18"/>
  <c r="AD141" i="18"/>
  <c r="AK141" i="18"/>
  <c r="AG141" i="18"/>
  <c r="AC141" i="18"/>
  <c r="AF141" i="18"/>
  <c r="AB141" i="18"/>
  <c r="X141" i="18"/>
  <c r="T141" i="18"/>
  <c r="P141" i="18"/>
  <c r="L141" i="18"/>
  <c r="Y141" i="18"/>
  <c r="S141" i="18"/>
  <c r="N141" i="18"/>
  <c r="O141" i="18"/>
  <c r="AN141" i="18"/>
  <c r="W141" i="18"/>
  <c r="R141" i="18"/>
  <c r="M141" i="18"/>
  <c r="U141" i="18"/>
  <c r="AR141" i="18"/>
  <c r="AJ141" i="18"/>
  <c r="V141" i="18"/>
  <c r="Q141" i="18"/>
  <c r="BC143" i="18"/>
  <c r="AY143" i="18"/>
  <c r="AU143" i="18"/>
  <c r="AQ143" i="18"/>
  <c r="BB143" i="18"/>
  <c r="AX143" i="18"/>
  <c r="AT143" i="18"/>
  <c r="AP143" i="18"/>
  <c r="BA143" i="18"/>
  <c r="AW143" i="18"/>
  <c r="AS143" i="18"/>
  <c r="AR143" i="18"/>
  <c r="AZ143" i="18"/>
  <c r="AM143" i="18"/>
  <c r="AI143" i="18"/>
  <c r="AE143" i="18"/>
  <c r="AA143" i="18"/>
  <c r="AV143" i="18"/>
  <c r="AL143" i="18"/>
  <c r="AH143" i="18"/>
  <c r="AD143" i="18"/>
  <c r="AK143" i="18"/>
  <c r="AG143" i="18"/>
  <c r="AC143" i="18"/>
  <c r="AJ143" i="18"/>
  <c r="AF143" i="18"/>
  <c r="X143" i="18"/>
  <c r="T143" i="18"/>
  <c r="P143" i="18"/>
  <c r="L143" i="18"/>
  <c r="W143" i="18"/>
  <c r="R143" i="18"/>
  <c r="M143" i="18"/>
  <c r="V143" i="18"/>
  <c r="Q143" i="18"/>
  <c r="AN143" i="18"/>
  <c r="U143" i="18"/>
  <c r="O143" i="18"/>
  <c r="AB143" i="18"/>
  <c r="Y143" i="18"/>
  <c r="S143" i="18"/>
  <c r="N143" i="18"/>
  <c r="BC147" i="18"/>
  <c r="AY147" i="18"/>
  <c r="AU147" i="18"/>
  <c r="AQ147" i="18"/>
  <c r="BB147" i="18"/>
  <c r="AX147" i="18"/>
  <c r="AT147" i="18"/>
  <c r="AP147" i="18"/>
  <c r="BA147" i="18"/>
  <c r="AW147" i="18"/>
  <c r="AS147" i="18"/>
  <c r="AZ147" i="18"/>
  <c r="AV147" i="18"/>
  <c r="AR147" i="18"/>
  <c r="AM147" i="18"/>
  <c r="AI147" i="18"/>
  <c r="AE147" i="18"/>
  <c r="AA147" i="18"/>
  <c r="AL147" i="18"/>
  <c r="AH147" i="18"/>
  <c r="AD147" i="18"/>
  <c r="AK147" i="18"/>
  <c r="AG147" i="18"/>
  <c r="AC147" i="18"/>
  <c r="AB147" i="18"/>
  <c r="AN147" i="18"/>
  <c r="X147" i="18"/>
  <c r="T147" i="18"/>
  <c r="P147" i="18"/>
  <c r="L147" i="18"/>
  <c r="AF147" i="18"/>
  <c r="U147" i="18"/>
  <c r="O147" i="18"/>
  <c r="Y147" i="18"/>
  <c r="S147" i="18"/>
  <c r="N147" i="18"/>
  <c r="W147" i="18"/>
  <c r="R147" i="18"/>
  <c r="M147" i="18"/>
  <c r="AJ147" i="18"/>
  <c r="V147" i="18"/>
  <c r="Q147" i="18"/>
  <c r="BC151" i="18"/>
  <c r="AY151" i="18"/>
  <c r="AU151" i="18"/>
  <c r="AQ151" i="18"/>
  <c r="BB151" i="18"/>
  <c r="AX151" i="18"/>
  <c r="AT151" i="18"/>
  <c r="AP151" i="18"/>
  <c r="BA151" i="18"/>
  <c r="AW151" i="18"/>
  <c r="AS151" i="18"/>
  <c r="AR151" i="18"/>
  <c r="AZ151" i="18"/>
  <c r="AM151" i="18"/>
  <c r="AI151" i="18"/>
  <c r="AE151" i="18"/>
  <c r="AA151" i="18"/>
  <c r="AL151" i="18"/>
  <c r="AH151" i="18"/>
  <c r="AD151" i="18"/>
  <c r="AV151" i="18"/>
  <c r="AK151" i="18"/>
  <c r="AG151" i="18"/>
  <c r="AC151" i="18"/>
  <c r="AJ151" i="18"/>
  <c r="AF151" i="18"/>
  <c r="X151" i="18"/>
  <c r="T151" i="18"/>
  <c r="P151" i="18"/>
  <c r="L151" i="18"/>
  <c r="AN151" i="18"/>
  <c r="W151" i="18"/>
  <c r="R151" i="18"/>
  <c r="M151" i="18"/>
  <c r="AB151" i="18"/>
  <c r="V151" i="18"/>
  <c r="Q151" i="18"/>
  <c r="U151" i="18"/>
  <c r="O151" i="18"/>
  <c r="Y151" i="18"/>
  <c r="S151" i="18"/>
  <c r="N151" i="18"/>
  <c r="CF174" i="18"/>
  <c r="CB174" i="18"/>
  <c r="BX174" i="18"/>
  <c r="BT174" i="18"/>
  <c r="CH174" i="18"/>
  <c r="CD174" i="18"/>
  <c r="BZ174" i="18"/>
  <c r="BV174" i="18"/>
  <c r="CC174" i="18"/>
  <c r="BU174" i="18"/>
  <c r="BY174" i="18"/>
  <c r="CE174" i="18"/>
  <c r="CI174" i="18"/>
  <c r="CA174" i="18"/>
  <c r="CG174" i="18"/>
  <c r="BW174" i="18"/>
  <c r="CF176" i="18"/>
  <c r="CB176" i="18"/>
  <c r="BX176" i="18"/>
  <c r="BT176" i="18"/>
  <c r="CH176" i="18"/>
  <c r="CD176" i="18"/>
  <c r="BZ176" i="18"/>
  <c r="BV176" i="18"/>
  <c r="CC176" i="18"/>
  <c r="BU176" i="18"/>
  <c r="BY176" i="18"/>
  <c r="CE176" i="18"/>
  <c r="CI176" i="18"/>
  <c r="CA176" i="18"/>
  <c r="CG176" i="18"/>
  <c r="BW176" i="18"/>
  <c r="CF178" i="18"/>
  <c r="CB178" i="18"/>
  <c r="BX178" i="18"/>
  <c r="BT178" i="18"/>
  <c r="CH178" i="18"/>
  <c r="CD178" i="18"/>
  <c r="BZ178" i="18"/>
  <c r="BV178" i="18"/>
  <c r="CC178" i="18"/>
  <c r="BU178" i="18"/>
  <c r="BY178" i="18"/>
  <c r="CE178" i="18"/>
  <c r="BW178" i="18"/>
  <c r="CI178" i="18"/>
  <c r="CA178" i="18"/>
  <c r="CG178" i="18"/>
  <c r="CF180" i="18"/>
  <c r="CB180" i="18"/>
  <c r="BX180" i="18"/>
  <c r="BT180" i="18"/>
  <c r="CI180" i="18"/>
  <c r="CE180" i="18"/>
  <c r="CA180" i="18"/>
  <c r="BW180" i="18"/>
  <c r="CH180" i="18"/>
  <c r="CD180" i="18"/>
  <c r="BZ180" i="18"/>
  <c r="BV180" i="18"/>
  <c r="CG180" i="18"/>
  <c r="CC180" i="18"/>
  <c r="BY180" i="18"/>
  <c r="BU180" i="18"/>
  <c r="CH182" i="18"/>
  <c r="CF182" i="18"/>
  <c r="CG182" i="18"/>
  <c r="CB182" i="18"/>
  <c r="BX182" i="18"/>
  <c r="BT182" i="18"/>
  <c r="CE182" i="18"/>
  <c r="CA182" i="18"/>
  <c r="BW182" i="18"/>
  <c r="CD182" i="18"/>
  <c r="BZ182" i="18"/>
  <c r="BV182" i="18"/>
  <c r="CI182" i="18"/>
  <c r="CC182" i="18"/>
  <c r="BY182" i="18"/>
  <c r="BU182" i="18"/>
  <c r="CH184" i="18"/>
  <c r="CD184" i="18"/>
  <c r="BZ184" i="18"/>
  <c r="BV184" i="18"/>
  <c r="CF184" i="18"/>
  <c r="CB184" i="18"/>
  <c r="BX184" i="18"/>
  <c r="BT184" i="18"/>
  <c r="CG184" i="18"/>
  <c r="BY184" i="18"/>
  <c r="CE184" i="18"/>
  <c r="BW184" i="18"/>
  <c r="CC184" i="18"/>
  <c r="BU184" i="18"/>
  <c r="CI184" i="18"/>
  <c r="CA184" i="18"/>
  <c r="CH186" i="18"/>
  <c r="CD186" i="18"/>
  <c r="BZ186" i="18"/>
  <c r="BV186" i="18"/>
  <c r="CF186" i="18"/>
  <c r="CB186" i="18"/>
  <c r="BX186" i="18"/>
  <c r="BT186" i="18"/>
  <c r="CG186" i="18"/>
  <c r="BY186" i="18"/>
  <c r="CE186" i="18"/>
  <c r="BW186" i="18"/>
  <c r="CC186" i="18"/>
  <c r="BU186" i="18"/>
  <c r="CI186" i="18"/>
  <c r="CA186" i="18"/>
  <c r="CH188" i="18"/>
  <c r="CD188" i="18"/>
  <c r="BZ188" i="18"/>
  <c r="BV188" i="18"/>
  <c r="CF188" i="18"/>
  <c r="CB188" i="18"/>
  <c r="BX188" i="18"/>
  <c r="BT188" i="18"/>
  <c r="CG188" i="18"/>
  <c r="BY188" i="18"/>
  <c r="CE188" i="18"/>
  <c r="BW188" i="18"/>
  <c r="CC188" i="18"/>
  <c r="BU188" i="18"/>
  <c r="CI188" i="18"/>
  <c r="CA188" i="18"/>
  <c r="CH190" i="18"/>
  <c r="CD190" i="18"/>
  <c r="BZ190" i="18"/>
  <c r="BV190" i="18"/>
  <c r="CF190" i="18"/>
  <c r="CB190" i="18"/>
  <c r="BX190" i="18"/>
  <c r="BT190" i="18"/>
  <c r="CG190" i="18"/>
  <c r="BY190" i="18"/>
  <c r="CE190" i="18"/>
  <c r="BW190" i="18"/>
  <c r="CC190" i="18"/>
  <c r="BU190" i="18"/>
  <c r="CI190" i="18"/>
  <c r="CA190" i="18"/>
  <c r="CH192" i="18"/>
  <c r="CD192" i="18"/>
  <c r="BZ192" i="18"/>
  <c r="BV192" i="18"/>
  <c r="CF192" i="18"/>
  <c r="CB192" i="18"/>
  <c r="BX192" i="18"/>
  <c r="BT192" i="18"/>
  <c r="CG192" i="18"/>
  <c r="BY192" i="18"/>
  <c r="CE192" i="18"/>
  <c r="BW192" i="18"/>
  <c r="CC192" i="18"/>
  <c r="BU192" i="18"/>
  <c r="CI192" i="18"/>
  <c r="CA192" i="18"/>
  <c r="CF175" i="18"/>
  <c r="CB175" i="18"/>
  <c r="BX175" i="18"/>
  <c r="BT175" i="18"/>
  <c r="CH175" i="18"/>
  <c r="CD175" i="18"/>
  <c r="BZ175" i="18"/>
  <c r="BV175" i="18"/>
  <c r="CC175" i="18"/>
  <c r="BU175" i="18"/>
  <c r="BY175" i="18"/>
  <c r="CE175" i="18"/>
  <c r="CI175" i="18"/>
  <c r="CA175" i="18"/>
  <c r="CG175" i="18"/>
  <c r="BW175" i="18"/>
  <c r="CF177" i="18"/>
  <c r="CB177" i="18"/>
  <c r="BX177" i="18"/>
  <c r="BT177" i="18"/>
  <c r="CH177" i="18"/>
  <c r="CD177" i="18"/>
  <c r="BZ177" i="18"/>
  <c r="BV177" i="18"/>
  <c r="CC177" i="18"/>
  <c r="BU177" i="18"/>
  <c r="BY177" i="18"/>
  <c r="CI177" i="18"/>
  <c r="CA177" i="18"/>
  <c r="CG177" i="18"/>
  <c r="CE177" i="18"/>
  <c r="BW177" i="18"/>
  <c r="CF179" i="18"/>
  <c r="CB179" i="18"/>
  <c r="BX179" i="18"/>
  <c r="BT179" i="18"/>
  <c r="CI179" i="18"/>
  <c r="CE179" i="18"/>
  <c r="CA179" i="18"/>
  <c r="CH179" i="18"/>
  <c r="CD179" i="18"/>
  <c r="BZ179" i="18"/>
  <c r="BV179" i="18"/>
  <c r="CG179" i="18"/>
  <c r="CC179" i="18"/>
  <c r="BY179" i="18"/>
  <c r="BU179" i="18"/>
  <c r="BW179" i="18"/>
  <c r="CF181" i="18"/>
  <c r="CB181" i="18"/>
  <c r="BX181" i="18"/>
  <c r="BT181" i="18"/>
  <c r="CI181" i="18"/>
  <c r="CE181" i="18"/>
  <c r="CA181" i="18"/>
  <c r="BW181" i="18"/>
  <c r="CH181" i="18"/>
  <c r="CD181" i="18"/>
  <c r="BZ181" i="18"/>
  <c r="BV181" i="18"/>
  <c r="CG181" i="18"/>
  <c r="CC181" i="18"/>
  <c r="BY181" i="18"/>
  <c r="BU181" i="18"/>
  <c r="CH183" i="18"/>
  <c r="CD183" i="18"/>
  <c r="BZ183" i="18"/>
  <c r="BV183" i="18"/>
  <c r="CF183" i="18"/>
  <c r="CB183" i="18"/>
  <c r="BX183" i="18"/>
  <c r="BT183" i="18"/>
  <c r="CG183" i="18"/>
  <c r="BY183" i="18"/>
  <c r="CE183" i="18"/>
  <c r="BW183" i="18"/>
  <c r="CC183" i="18"/>
  <c r="BU183" i="18"/>
  <c r="CI183" i="18"/>
  <c r="CA183" i="18"/>
  <c r="CH185" i="18"/>
  <c r="CD185" i="18"/>
  <c r="BZ185" i="18"/>
  <c r="BV185" i="18"/>
  <c r="CF185" i="18"/>
  <c r="CB185" i="18"/>
  <c r="BX185" i="18"/>
  <c r="BT185" i="18"/>
  <c r="CG185" i="18"/>
  <c r="BY185" i="18"/>
  <c r="CE185" i="18"/>
  <c r="BW185" i="18"/>
  <c r="CC185" i="18"/>
  <c r="BU185" i="18"/>
  <c r="CI185" i="18"/>
  <c r="CA185" i="18"/>
  <c r="CH187" i="18"/>
  <c r="CD187" i="18"/>
  <c r="BZ187" i="18"/>
  <c r="BV187" i="18"/>
  <c r="CF187" i="18"/>
  <c r="CB187" i="18"/>
  <c r="BX187" i="18"/>
  <c r="BT187" i="18"/>
  <c r="CG187" i="18"/>
  <c r="BY187" i="18"/>
  <c r="CE187" i="18"/>
  <c r="BW187" i="18"/>
  <c r="CC187" i="18"/>
  <c r="BU187" i="18"/>
  <c r="CI187" i="18"/>
  <c r="CA187" i="18"/>
  <c r="CH189" i="18"/>
  <c r="CD189" i="18"/>
  <c r="BZ189" i="18"/>
  <c r="BV189" i="18"/>
  <c r="CF189" i="18"/>
  <c r="CB189" i="18"/>
  <c r="BX189" i="18"/>
  <c r="BT189" i="18"/>
  <c r="CG189" i="18"/>
  <c r="BY189" i="18"/>
  <c r="CE189" i="18"/>
  <c r="BW189" i="18"/>
  <c r="CC189" i="18"/>
  <c r="BU189" i="18"/>
  <c r="CI189" i="18"/>
  <c r="CA189" i="18"/>
  <c r="CH191" i="18"/>
  <c r="CD191" i="18"/>
  <c r="BZ191" i="18"/>
  <c r="BV191" i="18"/>
  <c r="CF191" i="18"/>
  <c r="CB191" i="18"/>
  <c r="BX191" i="18"/>
  <c r="BT191" i="18"/>
  <c r="CG191" i="18"/>
  <c r="BY191" i="18"/>
  <c r="CE191" i="18"/>
  <c r="BW191" i="18"/>
  <c r="CC191" i="18"/>
  <c r="BU191" i="18"/>
  <c r="CI191" i="18"/>
  <c r="CA191" i="18"/>
  <c r="CH193" i="18"/>
  <c r="CD193" i="18"/>
  <c r="BZ193" i="18"/>
  <c r="BV193" i="18"/>
  <c r="CF193" i="18"/>
  <c r="CB193" i="18"/>
  <c r="BX193" i="18"/>
  <c r="BT193" i="18"/>
  <c r="CG193" i="18"/>
  <c r="BY193" i="18"/>
  <c r="CE193" i="18"/>
  <c r="BW193" i="18"/>
  <c r="CC193" i="18"/>
  <c r="BU193" i="18"/>
  <c r="CI193" i="18"/>
  <c r="CA193" i="18"/>
  <c r="DF146" i="18"/>
  <c r="V30" i="20"/>
  <c r="CB147" i="18"/>
  <c r="CP147" i="18" s="1"/>
  <c r="CH147" i="18"/>
  <c r="DL175" i="18"/>
  <c r="CE17" i="18"/>
  <c r="CD17" i="18"/>
  <c r="CC25" i="18"/>
  <c r="CD25" i="18"/>
  <c r="BW33" i="18"/>
  <c r="CD33" i="18"/>
  <c r="BY99" i="18"/>
  <c r="CD99" i="18"/>
  <c r="BX107" i="18"/>
  <c r="CM107" i="18" s="1"/>
  <c r="CD107" i="18"/>
  <c r="CI111" i="18"/>
  <c r="CD111" i="18"/>
  <c r="CE14" i="18"/>
  <c r="CD14" i="18"/>
  <c r="CE18" i="18"/>
  <c r="CD18" i="18"/>
  <c r="BU22" i="18"/>
  <c r="CD22" i="18"/>
  <c r="CB26" i="18"/>
  <c r="CP26" i="18" s="1"/>
  <c r="CD26" i="18"/>
  <c r="C14" i="22"/>
  <c r="CI57" i="18"/>
  <c r="CD57" i="18"/>
  <c r="CB59" i="18"/>
  <c r="CP59" i="18" s="1"/>
  <c r="CD59" i="18"/>
  <c r="BY60" i="18"/>
  <c r="CD60" i="18"/>
  <c r="CG62" i="18"/>
  <c r="CD62" i="18"/>
  <c r="CC63" i="18"/>
  <c r="CD63" i="18"/>
  <c r="CA64" i="18"/>
  <c r="CO64" i="18" s="1"/>
  <c r="CD64" i="18"/>
  <c r="CI65" i="18"/>
  <c r="CD65" i="18"/>
  <c r="CG69" i="18"/>
  <c r="CD69" i="18"/>
  <c r="CF71" i="18"/>
  <c r="CD71" i="18"/>
  <c r="CI72" i="18"/>
  <c r="CD72" i="18"/>
  <c r="BX73" i="18"/>
  <c r="CM73" i="18" s="1"/>
  <c r="CD73" i="18"/>
  <c r="CF110" i="18"/>
  <c r="CD110" i="18"/>
  <c r="BX141" i="18"/>
  <c r="CM141" i="18" s="1"/>
  <c r="CB144" i="18"/>
  <c r="CP144" i="18" s="1"/>
  <c r="CD144" i="18"/>
  <c r="CF145" i="18"/>
  <c r="CD145" i="18"/>
  <c r="CH146" i="18"/>
  <c r="CD146" i="18"/>
  <c r="CH149" i="18"/>
  <c r="CD149" i="18"/>
  <c r="CF150" i="18"/>
  <c r="CD150" i="18"/>
  <c r="BX15" i="18"/>
  <c r="CM15" i="18" s="1"/>
  <c r="CD15" i="18"/>
  <c r="CC19" i="18"/>
  <c r="CD19" i="18"/>
  <c r="CI23" i="18"/>
  <c r="CD23" i="18"/>
  <c r="BT27" i="18"/>
  <c r="CK27" i="18" s="1"/>
  <c r="CD27" i="18"/>
  <c r="CG31" i="18"/>
  <c r="CD31" i="18"/>
  <c r="BT97" i="18"/>
  <c r="CK97" i="18" s="1"/>
  <c r="CD97" i="18"/>
  <c r="BY105" i="18"/>
  <c r="CD105" i="18"/>
  <c r="CE109" i="18"/>
  <c r="CD109" i="18"/>
  <c r="BZ135" i="18"/>
  <c r="CD135" i="18"/>
  <c r="CI151" i="18"/>
  <c r="CD151" i="18"/>
  <c r="CC152" i="18"/>
  <c r="CD152" i="18"/>
  <c r="CG16" i="18"/>
  <c r="CD16" i="18"/>
  <c r="CH20" i="18"/>
  <c r="CD20" i="18"/>
  <c r="CE28" i="18"/>
  <c r="CD28" i="18"/>
  <c r="BU100" i="18"/>
  <c r="CD100" i="18"/>
  <c r="CI104" i="18"/>
  <c r="CA108" i="18"/>
  <c r="CO108" i="18" s="1"/>
  <c r="CD108" i="18"/>
  <c r="BT136" i="18"/>
  <c r="CK136" i="18" s="1"/>
  <c r="BY138" i="18"/>
  <c r="CD138" i="18"/>
  <c r="CG140" i="18"/>
  <c r="CD140" i="18"/>
  <c r="CB146" i="18"/>
  <c r="CP146" i="18" s="1"/>
  <c r="DJ140" i="18"/>
  <c r="CH140" i="18"/>
  <c r="CG150" i="18"/>
  <c r="CC146" i="18"/>
  <c r="BX150" i="18"/>
  <c r="CM150" i="18" s="1"/>
  <c r="CE138" i="18"/>
  <c r="BT146" i="18"/>
  <c r="CK146" i="18" s="1"/>
  <c r="CI146" i="18"/>
  <c r="BY150" i="18"/>
  <c r="H149" i="18"/>
  <c r="H139" i="18"/>
  <c r="H147" i="18"/>
  <c r="H151" i="18"/>
  <c r="H135" i="18"/>
  <c r="H133" i="18"/>
  <c r="H141" i="18"/>
  <c r="H144" i="18"/>
  <c r="H134" i="18"/>
  <c r="H137" i="18"/>
  <c r="H140" i="18"/>
  <c r="H145" i="18"/>
  <c r="H150" i="18"/>
  <c r="H138" i="18"/>
  <c r="H142" i="18"/>
  <c r="H146" i="18"/>
  <c r="H136" i="18"/>
  <c r="H143" i="18"/>
  <c r="H148" i="18"/>
  <c r="H152" i="18"/>
  <c r="CC107" i="18"/>
  <c r="CG72" i="18"/>
  <c r="CH107" i="18"/>
  <c r="CG105" i="18"/>
  <c r="CG100" i="18"/>
  <c r="CG15" i="18"/>
  <c r="BX18" i="18"/>
  <c r="CM18" i="18" s="1"/>
  <c r="CA31" i="18"/>
  <c r="CO31" i="18" s="1"/>
  <c r="DH56" i="18"/>
  <c r="T30" i="20"/>
  <c r="S30" i="20"/>
  <c r="DH174" i="18"/>
  <c r="DH175" i="18"/>
  <c r="DJ176" i="18"/>
  <c r="DN185" i="18"/>
  <c r="DJ186" i="18"/>
  <c r="U30" i="20"/>
  <c r="Y30" i="20"/>
  <c r="DI193" i="18"/>
  <c r="DJ94" i="18"/>
  <c r="X30" i="20"/>
  <c r="W30" i="20"/>
  <c r="DN190" i="18"/>
  <c r="DN138" i="18"/>
  <c r="DM179" i="18"/>
  <c r="DL145" i="18"/>
  <c r="DL174" i="18"/>
  <c r="DL178" i="18"/>
  <c r="DH133" i="18"/>
  <c r="DH150" i="18"/>
  <c r="DF57" i="18"/>
  <c r="DF190" i="18"/>
  <c r="DI181" i="18"/>
  <c r="DI175" i="18"/>
  <c r="DI176" i="18"/>
  <c r="DI188" i="18"/>
  <c r="DI179" i="18"/>
  <c r="DM142" i="18"/>
  <c r="DM193" i="18"/>
  <c r="DM177" i="18"/>
  <c r="DM175" i="18"/>
  <c r="CB24" i="18"/>
  <c r="CP24" i="18" s="1"/>
  <c r="CF24" i="18"/>
  <c r="CI136" i="18"/>
  <c r="CF136" i="18"/>
  <c r="CA136" i="18"/>
  <c r="CO136" i="18" s="1"/>
  <c r="BY136" i="18"/>
  <c r="CG136" i="18"/>
  <c r="CG137" i="18"/>
  <c r="CA137" i="18"/>
  <c r="CO137" i="18" s="1"/>
  <c r="DM189" i="18"/>
  <c r="DG175" i="18"/>
  <c r="DG148" i="18"/>
  <c r="DG178" i="18"/>
  <c r="DK139" i="18"/>
  <c r="DK187" i="18"/>
  <c r="DK94" i="18"/>
  <c r="DG177" i="18"/>
  <c r="DE137" i="18"/>
  <c r="DE190" i="18"/>
  <c r="DE188" i="18"/>
  <c r="DE183" i="18"/>
  <c r="DE176" i="18"/>
  <c r="DE177" i="18"/>
  <c r="BT60" i="18"/>
  <c r="CK60" i="18" s="1"/>
  <c r="CC60" i="18"/>
  <c r="CC97" i="18"/>
  <c r="CE134" i="18"/>
  <c r="CA134" i="18"/>
  <c r="CO134" i="18" s="1"/>
  <c r="BU142" i="18"/>
  <c r="BT142" i="18"/>
  <c r="CK142" i="18" s="1"/>
  <c r="CB142" i="18"/>
  <c r="CP142" i="18" s="1"/>
  <c r="CB148" i="18"/>
  <c r="CP148" i="18" s="1"/>
  <c r="CA148" i="18"/>
  <c r="CO148" i="18" s="1"/>
  <c r="CH148" i="18"/>
  <c r="BX151" i="18"/>
  <c r="CM151" i="18" s="1"/>
  <c r="DL183" i="18"/>
  <c r="DJ183" i="18"/>
  <c r="DN183" i="18"/>
  <c r="DE186" i="18"/>
  <c r="DL189" i="18"/>
  <c r="DN192" i="18"/>
  <c r="DK192" i="18"/>
  <c r="DH193" i="18"/>
  <c r="DN135" i="18"/>
  <c r="DN176" i="18"/>
  <c r="BU72" i="18"/>
  <c r="DK134" i="18"/>
  <c r="CC142" i="18"/>
  <c r="CQ142" i="18" s="1"/>
  <c r="CE144" i="18"/>
  <c r="DN146" i="18"/>
  <c r="CE151" i="18"/>
  <c r="DJ178" i="18"/>
  <c r="DH180" i="18"/>
  <c r="DN188" i="18"/>
  <c r="DM188" i="18"/>
  <c r="DH188" i="18"/>
  <c r="DL188" i="18"/>
  <c r="DG188" i="18"/>
  <c r="DK188" i="18"/>
  <c r="DI191" i="18"/>
  <c r="DL185" i="18"/>
  <c r="DG185" i="18"/>
  <c r="DI186" i="18"/>
  <c r="DN186" i="18"/>
  <c r="DF186" i="18"/>
  <c r="DK186" i="18"/>
  <c r="CH72" i="18"/>
  <c r="BT148" i="18"/>
  <c r="CK148" i="18" s="1"/>
  <c r="DJ177" i="18"/>
  <c r="DI177" i="18"/>
  <c r="DN177" i="18"/>
  <c r="DN179" i="18"/>
  <c r="DL179" i="18"/>
  <c r="DG179" i="18"/>
  <c r="DK179" i="18"/>
  <c r="DE179" i="18"/>
  <c r="DH179" i="18"/>
  <c r="DF183" i="18"/>
  <c r="DF189" i="18"/>
  <c r="DE189" i="18"/>
  <c r="DN191" i="18"/>
  <c r="DN193" i="18"/>
  <c r="DL193" i="18"/>
  <c r="DG193" i="18"/>
  <c r="DK193" i="18"/>
  <c r="DE193" i="18"/>
  <c r="CA140" i="18"/>
  <c r="CO140" i="18" s="1"/>
  <c r="BV146" i="18"/>
  <c r="CE146" i="18"/>
  <c r="DN175" i="18"/>
  <c r="DE175" i="18"/>
  <c r="DK175" i="18"/>
  <c r="DK178" i="18"/>
  <c r="DM181" i="18"/>
  <c r="DK181" i="18"/>
  <c r="DF191" i="18"/>
  <c r="DN174" i="18"/>
  <c r="DF174" i="18"/>
  <c r="DF178" i="18"/>
  <c r="DG174" i="18"/>
  <c r="DK176" i="18"/>
  <c r="DG176" i="18"/>
  <c r="DM176" i="18"/>
  <c r="DL176" i="18"/>
  <c r="DF176" i="18"/>
  <c r="DH176" i="18"/>
  <c r="DK180" i="18"/>
  <c r="DG180" i="18"/>
  <c r="DL180" i="18"/>
  <c r="DF180" i="18"/>
  <c r="DJ180" i="18"/>
  <c r="DE180" i="18"/>
  <c r="DN180" i="18"/>
  <c r="DI180" i="18"/>
  <c r="DM180" i="18"/>
  <c r="DM174" i="18"/>
  <c r="DI174" i="18"/>
  <c r="DE174" i="18"/>
  <c r="DJ174" i="18"/>
  <c r="DK174" i="18"/>
  <c r="DK182" i="18"/>
  <c r="DG182" i="18"/>
  <c r="DM182" i="18"/>
  <c r="DI182" i="18"/>
  <c r="DE182" i="18"/>
  <c r="DJ182" i="18"/>
  <c r="DH182" i="18"/>
  <c r="DN182" i="18"/>
  <c r="DF182" i="18"/>
  <c r="DL182" i="18"/>
  <c r="DL184" i="18"/>
  <c r="DH184" i="18"/>
  <c r="DM184" i="18"/>
  <c r="DG184" i="18"/>
  <c r="DN184" i="18"/>
  <c r="DF184" i="18"/>
  <c r="DJ184" i="18"/>
  <c r="DE184" i="18"/>
  <c r="DL177" i="18"/>
  <c r="DH177" i="18"/>
  <c r="DF177" i="18"/>
  <c r="DK177" i="18"/>
  <c r="DM178" i="18"/>
  <c r="DI178" i="18"/>
  <c r="DE178" i="18"/>
  <c r="DH178" i="18"/>
  <c r="DN178" i="18"/>
  <c r="DE181" i="18"/>
  <c r="DI184" i="18"/>
  <c r="DM187" i="18"/>
  <c r="DI187" i="18"/>
  <c r="DE187" i="18"/>
  <c r="DJ187" i="18"/>
  <c r="DH187" i="18"/>
  <c r="DN187" i="18"/>
  <c r="DG187" i="18"/>
  <c r="DL187" i="18"/>
  <c r="DF187" i="18"/>
  <c r="DN181" i="18"/>
  <c r="DJ181" i="18"/>
  <c r="DF181" i="18"/>
  <c r="DL181" i="18"/>
  <c r="DH181" i="18"/>
  <c r="DG181" i="18"/>
  <c r="DK184" i="18"/>
  <c r="DF175" i="18"/>
  <c r="DJ175" i="18"/>
  <c r="DF179" i="18"/>
  <c r="DJ179" i="18"/>
  <c r="DK183" i="18"/>
  <c r="DG183" i="18"/>
  <c r="DM183" i="18"/>
  <c r="DH183" i="18"/>
  <c r="DI183" i="18"/>
  <c r="DM185" i="18"/>
  <c r="DI185" i="18"/>
  <c r="DE185" i="18"/>
  <c r="DK185" i="18"/>
  <c r="DF185" i="18"/>
  <c r="DJ185" i="18"/>
  <c r="DH185" i="18"/>
  <c r="DK190" i="18"/>
  <c r="DM190" i="18"/>
  <c r="DH190" i="18"/>
  <c r="DI190" i="18"/>
  <c r="DG190" i="18"/>
  <c r="DJ190" i="18"/>
  <c r="DK189" i="18"/>
  <c r="DG189" i="18"/>
  <c r="DN189" i="18"/>
  <c r="DI189" i="18"/>
  <c r="DH189" i="18"/>
  <c r="DJ189" i="18"/>
  <c r="DL190" i="18"/>
  <c r="DL186" i="18"/>
  <c r="DH186" i="18"/>
  <c r="DG186" i="18"/>
  <c r="DM186" i="18"/>
  <c r="DL191" i="18"/>
  <c r="DH191" i="18"/>
  <c r="DJ191" i="18"/>
  <c r="DE191" i="18"/>
  <c r="DM191" i="18"/>
  <c r="DG191" i="18"/>
  <c r="DK191" i="18"/>
  <c r="DM192" i="18"/>
  <c r="DI192" i="18"/>
  <c r="DE192" i="18"/>
  <c r="DL192" i="18"/>
  <c r="DG192" i="18"/>
  <c r="DJ192" i="18"/>
  <c r="DH192" i="18"/>
  <c r="DF192" i="18"/>
  <c r="DF188" i="18"/>
  <c r="DJ188" i="18"/>
  <c r="DF193" i="18"/>
  <c r="DJ193" i="18"/>
  <c r="BX58" i="18"/>
  <c r="CM58" i="18" s="1"/>
  <c r="CF58" i="18"/>
  <c r="CB58" i="18"/>
  <c r="CP58" i="18" s="1"/>
  <c r="CI103" i="18"/>
  <c r="CF103" i="18"/>
  <c r="BU103" i="18"/>
  <c r="CA103" i="18"/>
  <c r="CO103" i="18" s="1"/>
  <c r="CH103" i="18"/>
  <c r="CI62" i="18"/>
  <c r="CA62" i="18"/>
  <c r="CO62" i="18" s="1"/>
  <c r="BY62" i="18"/>
  <c r="BW62" i="18"/>
  <c r="DF103" i="18"/>
  <c r="DF105" i="18"/>
  <c r="DF134" i="18"/>
  <c r="DG138" i="18"/>
  <c r="DE139" i="18"/>
  <c r="CG143" i="18"/>
  <c r="CB143" i="18"/>
  <c r="CP143" i="18" s="1"/>
  <c r="BY143" i="18"/>
  <c r="DH111" i="18"/>
  <c r="DH152" i="18"/>
  <c r="DH137" i="18"/>
  <c r="DH140" i="18"/>
  <c r="DL71" i="18"/>
  <c r="DL150" i="18"/>
  <c r="DL140" i="18"/>
  <c r="DL142" i="18"/>
  <c r="DL136" i="18"/>
  <c r="DE15" i="18"/>
  <c r="BT26" i="18"/>
  <c r="CK26" i="18" s="1"/>
  <c r="BW58" i="18"/>
  <c r="CF62" i="18"/>
  <c r="DI95" i="18"/>
  <c r="BX103" i="18"/>
  <c r="CM103" i="18" s="1"/>
  <c r="DK133" i="18"/>
  <c r="DE133" i="18"/>
  <c r="DI133" i="18"/>
  <c r="DM133" i="18"/>
  <c r="DE66" i="18"/>
  <c r="DE150" i="18"/>
  <c r="DE148" i="18"/>
  <c r="DE135" i="18"/>
  <c r="DE136" i="18"/>
  <c r="DI103" i="18"/>
  <c r="DI146" i="18"/>
  <c r="DM99" i="18"/>
  <c r="DM143" i="18"/>
  <c r="DM141" i="18"/>
  <c r="DM136" i="18"/>
  <c r="DM137" i="18"/>
  <c r="DM135" i="18"/>
  <c r="BZ55" i="18"/>
  <c r="CI55" i="18"/>
  <c r="CI96" i="18"/>
  <c r="BY96" i="18"/>
  <c r="CC96" i="18"/>
  <c r="CQ96" i="18" s="1"/>
  <c r="BT96" i="18"/>
  <c r="CK96" i="18" s="1"/>
  <c r="BU113" i="18"/>
  <c r="CC113" i="18"/>
  <c r="CQ113" i="18" s="1"/>
  <c r="DH134" i="18"/>
  <c r="DL134" i="18"/>
  <c r="DG134" i="18"/>
  <c r="DN134" i="18"/>
  <c r="CG135" i="18"/>
  <c r="CC135" i="18"/>
  <c r="DK138" i="18"/>
  <c r="DH138" i="18"/>
  <c r="DF138" i="18"/>
  <c r="DL138" i="18"/>
  <c r="DI149" i="18"/>
  <c r="DF111" i="18"/>
  <c r="DF142" i="18"/>
  <c r="DF136" i="18"/>
  <c r="DF152" i="18"/>
  <c r="DF143" i="18"/>
  <c r="DF139" i="18"/>
  <c r="DJ152" i="18"/>
  <c r="DJ142" i="18"/>
  <c r="DJ135" i="18"/>
  <c r="DJ150" i="18"/>
  <c r="DN97" i="18"/>
  <c r="DN139" i="18"/>
  <c r="CC18" i="18"/>
  <c r="CI61" i="18"/>
  <c r="CA61" i="18"/>
  <c r="CO61" i="18" s="1"/>
  <c r="BT62" i="18"/>
  <c r="CK62" i="18" s="1"/>
  <c r="CH62" i="18"/>
  <c r="CC73" i="18"/>
  <c r="CB73" i="18"/>
  <c r="CP73" i="18" s="1"/>
  <c r="CE95" i="18"/>
  <c r="BY95" i="18"/>
  <c r="BT95" i="18"/>
  <c r="CK95" i="18" s="1"/>
  <c r="CE96" i="18"/>
  <c r="DN111" i="18"/>
  <c r="DI135" i="18"/>
  <c r="DJ136" i="18"/>
  <c r="DE142" i="18"/>
  <c r="DG113" i="18"/>
  <c r="DK113" i="18"/>
  <c r="DM54" i="18"/>
  <c r="CI97" i="18"/>
  <c r="CE97" i="18"/>
  <c r="BV97" i="18"/>
  <c r="CI107" i="18"/>
  <c r="BT107" i="18"/>
  <c r="CK107" i="18" s="1"/>
  <c r="BY134" i="18"/>
  <c r="DG141" i="18"/>
  <c r="DG144" i="18"/>
  <c r="CH145" i="18"/>
  <c r="BU145" i="18"/>
  <c r="CI145" i="18"/>
  <c r="CA145" i="18"/>
  <c r="CO145" i="18" s="1"/>
  <c r="CI147" i="18"/>
  <c r="CG147" i="18"/>
  <c r="CA147" i="18"/>
  <c r="CO147" i="18" s="1"/>
  <c r="BT147" i="18"/>
  <c r="CK147" i="18" s="1"/>
  <c r="CF147" i="18"/>
  <c r="BX147" i="18"/>
  <c r="CM147" i="18" s="1"/>
  <c r="CC147" i="18"/>
  <c r="CQ147" i="18" s="1"/>
  <c r="BU147" i="18"/>
  <c r="BY147" i="18"/>
  <c r="DM150" i="18"/>
  <c r="CI99" i="18"/>
  <c r="BT99" i="18"/>
  <c r="CK99" i="18" s="1"/>
  <c r="BW111" i="18"/>
  <c r="BV111" i="18"/>
  <c r="DG135" i="18"/>
  <c r="DH136" i="18"/>
  <c r="DN152" i="18"/>
  <c r="BU136" i="18"/>
  <c r="CB136" i="18"/>
  <c r="CP136" i="18" s="1"/>
  <c r="CH136" i="18"/>
  <c r="DL139" i="18"/>
  <c r="DM139" i="18"/>
  <c r="DG139" i="18"/>
  <c r="DI139" i="18"/>
  <c r="CI140" i="18"/>
  <c r="CC140" i="18"/>
  <c r="BX140" i="18"/>
  <c r="CM140" i="18" s="1"/>
  <c r="BT140" i="18"/>
  <c r="CK140" i="18" s="1"/>
  <c r="CB140" i="18"/>
  <c r="CP140" i="18" s="1"/>
  <c r="CI142" i="18"/>
  <c r="CF142" i="18"/>
  <c r="BY142" i="18"/>
  <c r="BX142" i="18"/>
  <c r="CM142" i="18" s="1"/>
  <c r="CG142" i="18"/>
  <c r="CI144" i="18"/>
  <c r="BZ144" i="18"/>
  <c r="BT144" i="18"/>
  <c r="CK144" i="18" s="1"/>
  <c r="CF144" i="18"/>
  <c r="DL146" i="18"/>
  <c r="DM146" i="18"/>
  <c r="DG146" i="18"/>
  <c r="DJ146" i="18"/>
  <c r="DN147" i="18"/>
  <c r="DF147" i="18"/>
  <c r="CI148" i="18"/>
  <c r="CF148" i="18"/>
  <c r="BY148" i="18"/>
  <c r="BU148" i="18"/>
  <c r="CC148" i="18"/>
  <c r="CQ148" i="18" s="1"/>
  <c r="DE149" i="18"/>
  <c r="DM149" i="18"/>
  <c r="DF64" i="18"/>
  <c r="CB69" i="18"/>
  <c r="CP69" i="18" s="1"/>
  <c r="BW72" i="18"/>
  <c r="DE96" i="18"/>
  <c r="DL135" i="18"/>
  <c r="DF135" i="18"/>
  <c r="DK135" i="18"/>
  <c r="BX136" i="18"/>
  <c r="CM136" i="18" s="1"/>
  <c r="CC136" i="18"/>
  <c r="CQ136" i="18" s="1"/>
  <c r="DL137" i="18"/>
  <c r="DK137" i="18"/>
  <c r="DJ139" i="18"/>
  <c r="DM140" i="18"/>
  <c r="DF140" i="18"/>
  <c r="BU140" i="18"/>
  <c r="CF140" i="18"/>
  <c r="DE140" i="18"/>
  <c r="DJ141" i="18"/>
  <c r="DH142" i="18"/>
  <c r="CA142" i="18"/>
  <c r="CO142" i="18" s="1"/>
  <c r="CH142" i="18"/>
  <c r="BX144" i="18"/>
  <c r="CM144" i="18" s="1"/>
  <c r="DE146" i="18"/>
  <c r="DK146" i="18"/>
  <c r="DL148" i="18"/>
  <c r="BX148" i="18"/>
  <c r="CM148" i="18" s="1"/>
  <c r="CG148" i="18"/>
  <c r="CI150" i="18"/>
  <c r="CH150" i="18"/>
  <c r="CB150" i="18"/>
  <c r="CP150" i="18" s="1"/>
  <c r="BU150" i="18"/>
  <c r="BT150" i="18"/>
  <c r="CK150" i="18" s="1"/>
  <c r="CC150" i="18"/>
  <c r="DN143" i="18"/>
  <c r="DI143" i="18"/>
  <c r="BY146" i="18"/>
  <c r="DF150" i="18"/>
  <c r="CG151" i="18"/>
  <c r="CH133" i="18"/>
  <c r="CI133" i="18"/>
  <c r="CC133" i="18"/>
  <c r="CQ133" i="18" s="1"/>
  <c r="BY133" i="18"/>
  <c r="BU133" i="18"/>
  <c r="CF133" i="18"/>
  <c r="CA133" i="18"/>
  <c r="CO133" i="18" s="1"/>
  <c r="CF139" i="18"/>
  <c r="CA139" i="18"/>
  <c r="CO139" i="18" s="1"/>
  <c r="CH139" i="18"/>
  <c r="CB139" i="18"/>
  <c r="CP139" i="18" s="1"/>
  <c r="BV139" i="18"/>
  <c r="CE139" i="18"/>
  <c r="BY139" i="18"/>
  <c r="BT139" i="18"/>
  <c r="CI139" i="18"/>
  <c r="CC139" i="18"/>
  <c r="CQ139" i="18" s="1"/>
  <c r="BX139" i="18"/>
  <c r="CM139" i="18" s="1"/>
  <c r="BV133" i="18"/>
  <c r="CE133" i="18"/>
  <c r="CE137" i="18"/>
  <c r="BX133" i="18"/>
  <c r="CM133" i="18" s="1"/>
  <c r="CG133" i="18"/>
  <c r="CG134" i="18"/>
  <c r="CB134" i="18"/>
  <c r="CP134" i="18" s="1"/>
  <c r="BX134" i="18"/>
  <c r="CM134" i="18" s="1"/>
  <c r="BT134" i="18"/>
  <c r="CF134" i="18"/>
  <c r="CR134" i="18" s="1"/>
  <c r="BZ134" i="18"/>
  <c r="BU134" i="18"/>
  <c r="CI134" i="18"/>
  <c r="CC134" i="18"/>
  <c r="CQ134" i="18" s="1"/>
  <c r="BV134" i="18"/>
  <c r="CH134" i="18"/>
  <c r="BU135" i="18"/>
  <c r="BV137" i="18"/>
  <c r="BU139" i="18"/>
  <c r="CF141" i="18"/>
  <c r="CA141" i="18"/>
  <c r="CO141" i="18" s="1"/>
  <c r="CE141" i="18"/>
  <c r="BY141" i="18"/>
  <c r="BT141" i="18"/>
  <c r="CH141" i="18"/>
  <c r="BZ141" i="18"/>
  <c r="CC141" i="18"/>
  <c r="CQ141" i="18" s="1"/>
  <c r="BV141" i="18"/>
  <c r="CI141" i="18"/>
  <c r="CB141" i="18"/>
  <c r="CP141" i="18" s="1"/>
  <c r="BU141" i="18"/>
  <c r="CG141" i="18"/>
  <c r="DN144" i="18"/>
  <c r="DJ144" i="18"/>
  <c r="DF144" i="18"/>
  <c r="DM144" i="18"/>
  <c r="DH144" i="18"/>
  <c r="DI144" i="18"/>
  <c r="DL144" i="18"/>
  <c r="DE144" i="18"/>
  <c r="DK144" i="18"/>
  <c r="BT133" i="18"/>
  <c r="CB133" i="18"/>
  <c r="CP133" i="18" s="1"/>
  <c r="CG139" i="18"/>
  <c r="CH137" i="18"/>
  <c r="CC137" i="18"/>
  <c r="CQ137" i="18" s="1"/>
  <c r="BY137" i="18"/>
  <c r="BU137" i="18"/>
  <c r="CI137" i="18"/>
  <c r="CB137" i="18"/>
  <c r="CP137" i="18" s="1"/>
  <c r="CF137" i="18"/>
  <c r="BZ137" i="18"/>
  <c r="BT137" i="18"/>
  <c r="BZ133" i="18"/>
  <c r="CF135" i="18"/>
  <c r="CA135" i="18"/>
  <c r="CO135" i="18" s="1"/>
  <c r="CH135" i="18"/>
  <c r="CB135" i="18"/>
  <c r="CP135" i="18" s="1"/>
  <c r="BV135" i="18"/>
  <c r="CE135" i="18"/>
  <c r="BY135" i="18"/>
  <c r="BT135" i="18"/>
  <c r="BX135" i="18"/>
  <c r="CM135" i="18" s="1"/>
  <c r="CI135" i="18"/>
  <c r="BX137" i="18"/>
  <c r="CM137" i="18" s="1"/>
  <c r="CG138" i="18"/>
  <c r="CB138" i="18"/>
  <c r="CP138" i="18" s="1"/>
  <c r="BX138" i="18"/>
  <c r="CM138" i="18" s="1"/>
  <c r="BT138" i="18"/>
  <c r="CF138" i="18"/>
  <c r="BZ138" i="18"/>
  <c r="BU138" i="18"/>
  <c r="CI138" i="18"/>
  <c r="CC138" i="18"/>
  <c r="CH138" i="18"/>
  <c r="CA138" i="18"/>
  <c r="CO138" i="18" s="1"/>
  <c r="BV138" i="18"/>
  <c r="BZ139" i="18"/>
  <c r="DN133" i="18"/>
  <c r="DJ133" i="18"/>
  <c r="DF133" i="18"/>
  <c r="DG133" i="18"/>
  <c r="DL133" i="18"/>
  <c r="DM134" i="18"/>
  <c r="DI134" i="18"/>
  <c r="DE134" i="18"/>
  <c r="DJ134" i="18"/>
  <c r="DK136" i="18"/>
  <c r="DG136" i="18"/>
  <c r="DI136" i="18"/>
  <c r="DN136" i="18"/>
  <c r="DG137" i="18"/>
  <c r="DM138" i="18"/>
  <c r="DI138" i="18"/>
  <c r="DE138" i="18"/>
  <c r="DJ138" i="18"/>
  <c r="DK140" i="18"/>
  <c r="DG140" i="18"/>
  <c r="DI140" i="18"/>
  <c r="DN140" i="18"/>
  <c r="CI143" i="18"/>
  <c r="CE143" i="18"/>
  <c r="BZ143" i="18"/>
  <c r="BV143" i="18"/>
  <c r="CC143" i="18"/>
  <c r="CQ143" i="18" s="1"/>
  <c r="BX143" i="18"/>
  <c r="CM143" i="18" s="1"/>
  <c r="CH143" i="18"/>
  <c r="CA143" i="18"/>
  <c r="CO143" i="18" s="1"/>
  <c r="BT143" i="18"/>
  <c r="CF143" i="18"/>
  <c r="BU143" i="18"/>
  <c r="DM145" i="18"/>
  <c r="DI145" i="18"/>
  <c r="DE145" i="18"/>
  <c r="DK145" i="18"/>
  <c r="DF145" i="18"/>
  <c r="DN145" i="18"/>
  <c r="DG145" i="18"/>
  <c r="DJ145" i="18"/>
  <c r="DH145" i="18"/>
  <c r="CG149" i="18"/>
  <c r="CB149" i="18"/>
  <c r="CP149" i="18" s="1"/>
  <c r="BX149" i="18"/>
  <c r="CM149" i="18" s="1"/>
  <c r="BT149" i="18"/>
  <c r="CE149" i="18"/>
  <c r="BY149" i="18"/>
  <c r="CI149" i="18"/>
  <c r="CA149" i="18"/>
  <c r="CO149" i="18" s="1"/>
  <c r="BU149" i="18"/>
  <c r="CF149" i="18"/>
  <c r="BZ149" i="18"/>
  <c r="BV149" i="18"/>
  <c r="CC149" i="18"/>
  <c r="DN137" i="18"/>
  <c r="DJ137" i="18"/>
  <c r="DF137" i="18"/>
  <c r="DI137" i="18"/>
  <c r="DL141" i="18"/>
  <c r="DH141" i="18"/>
  <c r="DN141" i="18"/>
  <c r="DI141" i="18"/>
  <c r="DK141" i="18"/>
  <c r="DF141" i="18"/>
  <c r="DE141" i="18"/>
  <c r="DL147" i="18"/>
  <c r="DH147" i="18"/>
  <c r="DM147" i="18"/>
  <c r="DG147" i="18"/>
  <c r="DK147" i="18"/>
  <c r="DE147" i="18"/>
  <c r="DJ147" i="18"/>
  <c r="DI147" i="18"/>
  <c r="DH135" i="18"/>
  <c r="BV136" i="18"/>
  <c r="BZ136" i="18"/>
  <c r="CE136" i="18"/>
  <c r="DH139" i="18"/>
  <c r="BV140" i="18"/>
  <c r="BZ140" i="18"/>
  <c r="CN140" i="18" s="1"/>
  <c r="CE140" i="18"/>
  <c r="CR140" i="18" s="1"/>
  <c r="DK142" i="18"/>
  <c r="DG142" i="18"/>
  <c r="DI142" i="18"/>
  <c r="DN142" i="18"/>
  <c r="DH143" i="18"/>
  <c r="BZ145" i="18"/>
  <c r="DK143" i="18"/>
  <c r="DG143" i="18"/>
  <c r="DJ143" i="18"/>
  <c r="DE143" i="18"/>
  <c r="DL143" i="18"/>
  <c r="CG145" i="18"/>
  <c r="CB145" i="18"/>
  <c r="CP145" i="18" s="1"/>
  <c r="BX145" i="18"/>
  <c r="CM145" i="18" s="1"/>
  <c r="BT145" i="18"/>
  <c r="CE145" i="18"/>
  <c r="BY145" i="18"/>
  <c r="BV145" i="18"/>
  <c r="CC145" i="18"/>
  <c r="BV142" i="18"/>
  <c r="BZ142" i="18"/>
  <c r="CE142" i="18"/>
  <c r="CH144" i="18"/>
  <c r="CC144" i="18"/>
  <c r="BY144" i="18"/>
  <c r="BU144" i="18"/>
  <c r="BV144" i="18"/>
  <c r="CA144" i="18"/>
  <c r="CO144" i="18" s="1"/>
  <c r="CG144" i="18"/>
  <c r="CF146" i="18"/>
  <c r="CA146" i="18"/>
  <c r="CO146" i="18" s="1"/>
  <c r="BU146" i="18"/>
  <c r="BZ146" i="18"/>
  <c r="CG146" i="18"/>
  <c r="DN148" i="18"/>
  <c r="DJ148" i="18"/>
  <c r="DF148" i="18"/>
  <c r="DM148" i="18"/>
  <c r="DH148" i="18"/>
  <c r="DK148" i="18"/>
  <c r="DI148" i="18"/>
  <c r="DJ151" i="18"/>
  <c r="DF151" i="18"/>
  <c r="DL151" i="18"/>
  <c r="DG151" i="18"/>
  <c r="DM151" i="18"/>
  <c r="DE151" i="18"/>
  <c r="DK151" i="18"/>
  <c r="DI151" i="18"/>
  <c r="DH151" i="18"/>
  <c r="DH146" i="18"/>
  <c r="BV147" i="18"/>
  <c r="BZ147" i="18"/>
  <c r="CE147" i="18"/>
  <c r="CR147" i="18" s="1"/>
  <c r="DL149" i="18"/>
  <c r="DH149" i="18"/>
  <c r="DK149" i="18"/>
  <c r="DF149" i="18"/>
  <c r="DN149" i="18"/>
  <c r="DG149" i="18"/>
  <c r="DJ149" i="18"/>
  <c r="CI152" i="18"/>
  <c r="CE152" i="18"/>
  <c r="BZ152" i="18"/>
  <c r="BV152" i="18"/>
  <c r="CG152" i="18"/>
  <c r="CB152" i="18"/>
  <c r="CP152" i="18" s="1"/>
  <c r="BX152" i="18"/>
  <c r="CM152" i="18" s="1"/>
  <c r="BT152" i="18"/>
  <c r="CF152" i="18"/>
  <c r="BY152" i="18"/>
  <c r="CH152" i="18"/>
  <c r="BU152" i="18"/>
  <c r="CA152" i="18"/>
  <c r="CO152" i="18" s="1"/>
  <c r="BV148" i="18"/>
  <c r="BZ148" i="18"/>
  <c r="CE148" i="18"/>
  <c r="CA151" i="18"/>
  <c r="CO151" i="18" s="1"/>
  <c r="CH151" i="18"/>
  <c r="CC151" i="18"/>
  <c r="BY151" i="18"/>
  <c r="BU151" i="18"/>
  <c r="CF151" i="18"/>
  <c r="BZ151" i="18"/>
  <c r="BT151" i="18"/>
  <c r="BV151" i="18"/>
  <c r="CB151" i="18"/>
  <c r="CP151" i="18" s="1"/>
  <c r="DK150" i="18"/>
  <c r="DG150" i="18"/>
  <c r="DI150" i="18"/>
  <c r="DN150" i="18"/>
  <c r="DK152" i="18"/>
  <c r="DG152" i="18"/>
  <c r="DM152" i="18"/>
  <c r="DI152" i="18"/>
  <c r="DE152" i="18"/>
  <c r="DL152" i="18"/>
  <c r="BV150" i="18"/>
  <c r="BZ150" i="18"/>
  <c r="CE150" i="18"/>
  <c r="BX57" i="18"/>
  <c r="CM57" i="18" s="1"/>
  <c r="CG57" i="18"/>
  <c r="DK98" i="18"/>
  <c r="DM98" i="18"/>
  <c r="DI98" i="18"/>
  <c r="DE99" i="18"/>
  <c r="CC106" i="18"/>
  <c r="CQ106" i="18" s="1"/>
  <c r="CG106" i="18"/>
  <c r="BY106" i="18"/>
  <c r="BX106" i="18"/>
  <c r="CM106" i="18" s="1"/>
  <c r="CE106" i="18"/>
  <c r="DE109" i="18"/>
  <c r="CC31" i="18"/>
  <c r="CA57" i="18"/>
  <c r="CO57" i="18" s="1"/>
  <c r="CB61" i="18"/>
  <c r="CP61" i="18" s="1"/>
  <c r="DM69" i="18"/>
  <c r="BT71" i="18"/>
  <c r="CK71" i="18" s="1"/>
  <c r="DN98" i="18"/>
  <c r="CI101" i="18"/>
  <c r="CH101" i="18"/>
  <c r="BX101" i="18"/>
  <c r="CM101" i="18" s="1"/>
  <c r="CC101" i="18"/>
  <c r="CQ101" i="18" s="1"/>
  <c r="BT101" i="18"/>
  <c r="CK101" i="18" s="1"/>
  <c r="BY101" i="18"/>
  <c r="BU101" i="18"/>
  <c r="CG101" i="18"/>
  <c r="CF102" i="18"/>
  <c r="CG102" i="18"/>
  <c r="BW102" i="18"/>
  <c r="BU102" i="18"/>
  <c r="DN105" i="18"/>
  <c r="DG105" i="18"/>
  <c r="DK105" i="18"/>
  <c r="DM105" i="18"/>
  <c r="DI105" i="18"/>
  <c r="DL109" i="18"/>
  <c r="DF110" i="18"/>
  <c r="DG112" i="18"/>
  <c r="CF23" i="18"/>
  <c r="CH28" i="18"/>
  <c r="CC59" i="18"/>
  <c r="DG98" i="18"/>
  <c r="DE16" i="18"/>
  <c r="BZ26" i="18"/>
  <c r="CH57" i="18"/>
  <c r="BZ18" i="18"/>
  <c r="DI23" i="18"/>
  <c r="BY24" i="18"/>
  <c r="BU25" i="18"/>
  <c r="CE26" i="18"/>
  <c r="BU57" i="18"/>
  <c r="CB57" i="18"/>
  <c r="CP57" i="18" s="1"/>
  <c r="BX59" i="18"/>
  <c r="CM59" i="18" s="1"/>
  <c r="CF60" i="18"/>
  <c r="BU61" i="18"/>
  <c r="CG61" i="18"/>
  <c r="BU62" i="18"/>
  <c r="CB62" i="18"/>
  <c r="CP62" i="18" s="1"/>
  <c r="BZ63" i="18"/>
  <c r="CC65" i="18"/>
  <c r="DL94" i="18"/>
  <c r="DI97" i="18"/>
  <c r="DJ99" i="18"/>
  <c r="DI99" i="18"/>
  <c r="DM100" i="18"/>
  <c r="DE100" i="18"/>
  <c r="CA102" i="18"/>
  <c r="CO102" i="18" s="1"/>
  <c r="DM29" i="18"/>
  <c r="DM103" i="18"/>
  <c r="CH104" i="18"/>
  <c r="BX104" i="18"/>
  <c r="CM104" i="18" s="1"/>
  <c r="CC104" i="18"/>
  <c r="BU104" i="18"/>
  <c r="BZ104" i="18"/>
  <c r="BV104" i="18"/>
  <c r="CI110" i="18"/>
  <c r="BX110" i="18"/>
  <c r="CM110" i="18" s="1"/>
  <c r="CE110" i="18"/>
  <c r="BT110" i="18"/>
  <c r="CK110" i="18" s="1"/>
  <c r="BZ110" i="18"/>
  <c r="BW110" i="18"/>
  <c r="DI20" i="18"/>
  <c r="BX14" i="18"/>
  <c r="CM14" i="18" s="1"/>
  <c r="DJ17" i="18"/>
  <c r="BT23" i="18"/>
  <c r="CK23" i="18" s="1"/>
  <c r="CH26" i="18"/>
  <c r="BW57" i="18"/>
  <c r="CC57" i="18"/>
  <c r="DN57" i="18"/>
  <c r="BW61" i="18"/>
  <c r="CH61" i="18"/>
  <c r="DF94" i="18"/>
  <c r="DN95" i="18"/>
  <c r="DG95" i="18"/>
  <c r="DM95" i="18"/>
  <c r="DF95" i="18"/>
  <c r="DK95" i="18"/>
  <c r="CH102" i="18"/>
  <c r="CG104" i="18"/>
  <c r="DK111" i="18"/>
  <c r="CC112" i="18"/>
  <c r="CQ112" i="18" s="1"/>
  <c r="BW112" i="18"/>
  <c r="DJ113" i="18"/>
  <c r="CA72" i="18"/>
  <c r="CO72" i="18" s="1"/>
  <c r="DG94" i="18"/>
  <c r="BX96" i="18"/>
  <c r="CM96" i="18" s="1"/>
  <c r="BX97" i="18"/>
  <c r="CM97" i="18" s="1"/>
  <c r="CH97" i="18"/>
  <c r="CE99" i="18"/>
  <c r="DN101" i="18"/>
  <c r="DJ101" i="18"/>
  <c r="DI101" i="18"/>
  <c r="DN103" i="18"/>
  <c r="CE105" i="18"/>
  <c r="CH105" i="18"/>
  <c r="BT105" i="18"/>
  <c r="CK105" i="18" s="1"/>
  <c r="BZ105" i="18"/>
  <c r="DL108" i="18"/>
  <c r="DG108" i="18"/>
  <c r="DM108" i="18"/>
  <c r="DM112" i="18"/>
  <c r="DK112" i="18"/>
  <c r="DF112" i="18"/>
  <c r="DN112" i="18"/>
  <c r="DH112" i="18"/>
  <c r="DJ112" i="18"/>
  <c r="CB72" i="18"/>
  <c r="CP72" i="18" s="1"/>
  <c r="DM94" i="18"/>
  <c r="DH94" i="18"/>
  <c r="DN94" i="18"/>
  <c r="BY97" i="18"/>
  <c r="CI100" i="18"/>
  <c r="CH100" i="18"/>
  <c r="BX100" i="18"/>
  <c r="CM100" i="18" s="1"/>
  <c r="CC100" i="18"/>
  <c r="BT100" i="18"/>
  <c r="CK100" i="18" s="1"/>
  <c r="BY100" i="18"/>
  <c r="DM102" i="18"/>
  <c r="DE104" i="18"/>
  <c r="DM104" i="18"/>
  <c r="DJ104" i="18"/>
  <c r="DJ106" i="18"/>
  <c r="DF107" i="18"/>
  <c r="DG109" i="18"/>
  <c r="DM109" i="18"/>
  <c r="DL112" i="18"/>
  <c r="BW103" i="18"/>
  <c r="CC103" i="18"/>
  <c r="CQ103" i="18" s="1"/>
  <c r="DL103" i="18"/>
  <c r="BV107" i="18"/>
  <c r="CE107" i="18"/>
  <c r="DM111" i="18"/>
  <c r="DJ111" i="18"/>
  <c r="CE113" i="18"/>
  <c r="BT103" i="18"/>
  <c r="CK103" i="18" s="1"/>
  <c r="BY103" i="18"/>
  <c r="CG103" i="18"/>
  <c r="DH103" i="18"/>
  <c r="BY107" i="18"/>
  <c r="DG111" i="18"/>
  <c r="DL111" i="18"/>
  <c r="DL113" i="18"/>
  <c r="DF113" i="18"/>
  <c r="DN113" i="18"/>
  <c r="CF94" i="18"/>
  <c r="BW94" i="18"/>
  <c r="CI94" i="18"/>
  <c r="BZ94" i="18"/>
  <c r="CG94" i="18"/>
  <c r="BX94" i="18"/>
  <c r="CM94" i="18" s="1"/>
  <c r="BT94" i="18"/>
  <c r="CA94" i="18"/>
  <c r="CO94" i="18" s="1"/>
  <c r="CE94" i="18"/>
  <c r="BV94" i="18"/>
  <c r="BY94" i="18"/>
  <c r="CF98" i="18"/>
  <c r="CA98" i="18"/>
  <c r="CO98" i="18" s="1"/>
  <c r="BW98" i="18"/>
  <c r="CH98" i="18"/>
  <c r="BV98" i="18"/>
  <c r="CE98" i="18"/>
  <c r="BY98" i="18"/>
  <c r="BT98" i="18"/>
  <c r="CI98" i="18"/>
  <c r="CC98" i="18"/>
  <c r="CQ98" i="18" s="1"/>
  <c r="BX98" i="18"/>
  <c r="CM98" i="18" s="1"/>
  <c r="CH94" i="18"/>
  <c r="BU94" i="18"/>
  <c r="DK100" i="18"/>
  <c r="DG100" i="18"/>
  <c r="DL100" i="18"/>
  <c r="DH100" i="18"/>
  <c r="DI100" i="18"/>
  <c r="DJ100" i="18"/>
  <c r="DN100" i="18"/>
  <c r="DF100" i="18"/>
  <c r="BU98" i="18"/>
  <c r="CC94" i="18"/>
  <c r="CQ94" i="18" s="1"/>
  <c r="BZ98" i="18"/>
  <c r="DK102" i="18"/>
  <c r="DG102" i="18"/>
  <c r="DJ102" i="18"/>
  <c r="DE102" i="18"/>
  <c r="DL102" i="18"/>
  <c r="DF102" i="18"/>
  <c r="DH102" i="18"/>
  <c r="DI102" i="18"/>
  <c r="DN102" i="18"/>
  <c r="DL96" i="18"/>
  <c r="DH96" i="18"/>
  <c r="DG96" i="18"/>
  <c r="DK96" i="18"/>
  <c r="DF96" i="18"/>
  <c r="DN96" i="18"/>
  <c r="DI96" i="18"/>
  <c r="DM96" i="18"/>
  <c r="DJ96" i="18"/>
  <c r="CG98" i="18"/>
  <c r="CF95" i="18"/>
  <c r="CA95" i="18"/>
  <c r="CO95" i="18" s="1"/>
  <c r="BW95" i="18"/>
  <c r="BZ95" i="18"/>
  <c r="DL97" i="18"/>
  <c r="DH97" i="18"/>
  <c r="DJ97" i="18"/>
  <c r="BU99" i="18"/>
  <c r="CG99" i="18"/>
  <c r="DL107" i="18"/>
  <c r="DH107" i="18"/>
  <c r="DM107" i="18"/>
  <c r="DG107" i="18"/>
  <c r="DJ107" i="18"/>
  <c r="DK107" i="18"/>
  <c r="DE107" i="18"/>
  <c r="DI107" i="18"/>
  <c r="CF96" i="18"/>
  <c r="CA96" i="18"/>
  <c r="CO96" i="18" s="1"/>
  <c r="BW96" i="18"/>
  <c r="BU96" i="18"/>
  <c r="CG96" i="18"/>
  <c r="DF97" i="18"/>
  <c r="DK97" i="18"/>
  <c r="DE98" i="18"/>
  <c r="DJ98" i="18"/>
  <c r="DE94" i="18"/>
  <c r="DI94" i="18"/>
  <c r="DL95" i="18"/>
  <c r="DH95" i="18"/>
  <c r="BX95" i="18"/>
  <c r="CM95" i="18" s="1"/>
  <c r="CC95" i="18"/>
  <c r="CQ95" i="18" s="1"/>
  <c r="CI95" i="18"/>
  <c r="DE95" i="18"/>
  <c r="DJ95" i="18"/>
  <c r="BV96" i="18"/>
  <c r="CH96" i="18"/>
  <c r="CF97" i="18"/>
  <c r="CA97" i="18"/>
  <c r="CO97" i="18" s="1"/>
  <c r="BW97" i="18"/>
  <c r="BU97" i="18"/>
  <c r="BZ97" i="18"/>
  <c r="CG97" i="18"/>
  <c r="DG97" i="18"/>
  <c r="DM97" i="18"/>
  <c r="DF98" i="18"/>
  <c r="DK99" i="18"/>
  <c r="DG99" i="18"/>
  <c r="DL99" i="18"/>
  <c r="DH99" i="18"/>
  <c r="BX99" i="18"/>
  <c r="CM99" i="18" s="1"/>
  <c r="CC99" i="18"/>
  <c r="DF99" i="18"/>
  <c r="DN99" i="18"/>
  <c r="DF101" i="18"/>
  <c r="CH109" i="18"/>
  <c r="CC109" i="18"/>
  <c r="BY109" i="18"/>
  <c r="BU109" i="18"/>
  <c r="CI109" i="18"/>
  <c r="BW109" i="18"/>
  <c r="CF109" i="18"/>
  <c r="BX109" i="18"/>
  <c r="CM109" i="18" s="1"/>
  <c r="BZ109" i="18"/>
  <c r="CG109" i="18"/>
  <c r="BV109" i="18"/>
  <c r="BT109" i="18"/>
  <c r="CA109" i="18"/>
  <c r="CO109" i="18" s="1"/>
  <c r="BU95" i="18"/>
  <c r="CG95" i="18"/>
  <c r="DE97" i="18"/>
  <c r="CF99" i="18"/>
  <c r="CA99" i="18"/>
  <c r="CO99" i="18" s="1"/>
  <c r="BW99" i="18"/>
  <c r="BZ99" i="18"/>
  <c r="BV95" i="18"/>
  <c r="CH95" i="18"/>
  <c r="BZ96" i="18"/>
  <c r="DL98" i="18"/>
  <c r="DH98" i="18"/>
  <c r="BV99" i="18"/>
  <c r="CH99" i="18"/>
  <c r="DK101" i="18"/>
  <c r="DG101" i="18"/>
  <c r="DL101" i="18"/>
  <c r="DH101" i="18"/>
  <c r="DE101" i="18"/>
  <c r="DM101" i="18"/>
  <c r="DL104" i="18"/>
  <c r="DH104" i="18"/>
  <c r="DK104" i="18"/>
  <c r="DF104" i="18"/>
  <c r="DN104" i="18"/>
  <c r="DG104" i="18"/>
  <c r="DI104" i="18"/>
  <c r="DL106" i="18"/>
  <c r="DH106" i="18"/>
  <c r="DN106" i="18"/>
  <c r="DI106" i="18"/>
  <c r="DK106" i="18"/>
  <c r="DE106" i="18"/>
  <c r="DM106" i="18"/>
  <c r="DF106" i="18"/>
  <c r="DG106" i="18"/>
  <c r="DN107" i="18"/>
  <c r="CH108" i="18"/>
  <c r="CC108" i="18"/>
  <c r="BY108" i="18"/>
  <c r="BU108" i="18"/>
  <c r="CE108" i="18"/>
  <c r="BX108" i="18"/>
  <c r="CM108" i="18" s="1"/>
  <c r="CG108" i="18"/>
  <c r="BZ108" i="18"/>
  <c r="CF108" i="18"/>
  <c r="BV108" i="18"/>
  <c r="CI108" i="18"/>
  <c r="BW108" i="18"/>
  <c r="BT108" i="18"/>
  <c r="BW100" i="18"/>
  <c r="CA100" i="18"/>
  <c r="CO100" i="18" s="1"/>
  <c r="CF100" i="18"/>
  <c r="BW101" i="18"/>
  <c r="CA101" i="18"/>
  <c r="CO101" i="18" s="1"/>
  <c r="CF101" i="18"/>
  <c r="BT102" i="18"/>
  <c r="BY102" i="18"/>
  <c r="DK103" i="18"/>
  <c r="DG103" i="18"/>
  <c r="DE103" i="18"/>
  <c r="DJ103" i="18"/>
  <c r="BV105" i="18"/>
  <c r="BU106" i="18"/>
  <c r="DM110" i="18"/>
  <c r="DI110" i="18"/>
  <c r="DE110" i="18"/>
  <c r="DN110" i="18"/>
  <c r="DH110" i="18"/>
  <c r="DK110" i="18"/>
  <c r="DG110" i="18"/>
  <c r="DJ110" i="18"/>
  <c r="DL110" i="18"/>
  <c r="BV100" i="18"/>
  <c r="BZ100" i="18"/>
  <c r="CE100" i="18"/>
  <c r="BV101" i="18"/>
  <c r="BZ101" i="18"/>
  <c r="CE101" i="18"/>
  <c r="CI102" i="18"/>
  <c r="CE102" i="18"/>
  <c r="BZ102" i="18"/>
  <c r="BV102" i="18"/>
  <c r="BX102" i="18"/>
  <c r="CM102" i="18" s="1"/>
  <c r="CC102" i="18"/>
  <c r="CQ102" i="18" s="1"/>
  <c r="CF105" i="18"/>
  <c r="CA105" i="18"/>
  <c r="CO105" i="18" s="1"/>
  <c r="BW105" i="18"/>
  <c r="CI105" i="18"/>
  <c r="CC105" i="18"/>
  <c r="BX105" i="18"/>
  <c r="CM105" i="18" s="1"/>
  <c r="BU105" i="18"/>
  <c r="CF106" i="18"/>
  <c r="CA106" i="18"/>
  <c r="CO106" i="18" s="1"/>
  <c r="BW106" i="18"/>
  <c r="CH106" i="18"/>
  <c r="BV106" i="18"/>
  <c r="BT106" i="18"/>
  <c r="BZ106" i="18"/>
  <c r="CI106" i="18"/>
  <c r="DN108" i="18"/>
  <c r="DJ108" i="18"/>
  <c r="DF108" i="18"/>
  <c r="DK108" i="18"/>
  <c r="DE108" i="18"/>
  <c r="DI108" i="18"/>
  <c r="DH108" i="18"/>
  <c r="BV103" i="18"/>
  <c r="BZ103" i="18"/>
  <c r="CE103" i="18"/>
  <c r="CF104" i="18"/>
  <c r="CA104" i="18"/>
  <c r="CO104" i="18" s="1"/>
  <c r="BW104" i="18"/>
  <c r="BT104" i="18"/>
  <c r="BY104" i="18"/>
  <c r="CE104" i="18"/>
  <c r="DL105" i="18"/>
  <c r="DH105" i="18"/>
  <c r="DE105" i="18"/>
  <c r="DJ105" i="18"/>
  <c r="CF107" i="18"/>
  <c r="CA107" i="18"/>
  <c r="CO107" i="18" s="1"/>
  <c r="BW107" i="18"/>
  <c r="BU107" i="18"/>
  <c r="BZ107" i="18"/>
  <c r="CG107" i="18"/>
  <c r="DN109" i="18"/>
  <c r="DJ109" i="18"/>
  <c r="DF109" i="18"/>
  <c r="DI109" i="18"/>
  <c r="DH109" i="18"/>
  <c r="DK109" i="18"/>
  <c r="CG111" i="18"/>
  <c r="BX111" i="18"/>
  <c r="CM111" i="18" s="1"/>
  <c r="BT111" i="18"/>
  <c r="CF111" i="18"/>
  <c r="BZ111" i="18"/>
  <c r="BU111" i="18"/>
  <c r="CH111" i="18"/>
  <c r="BY111" i="18"/>
  <c r="CA111" i="18"/>
  <c r="CO111" i="18" s="1"/>
  <c r="CC111" i="18"/>
  <c r="CE111" i="18"/>
  <c r="CG112" i="18"/>
  <c r="BX112" i="18"/>
  <c r="CM112" i="18" s="1"/>
  <c r="BT112" i="18"/>
  <c r="CF112" i="18"/>
  <c r="BZ112" i="18"/>
  <c r="BU112" i="18"/>
  <c r="CE112" i="18"/>
  <c r="BY112" i="18"/>
  <c r="CA112" i="18"/>
  <c r="CO112" i="18" s="1"/>
  <c r="CH112" i="18"/>
  <c r="CI112" i="18"/>
  <c r="BV112" i="18"/>
  <c r="CF113" i="18"/>
  <c r="CA113" i="18"/>
  <c r="CO113" i="18" s="1"/>
  <c r="BW113" i="18"/>
  <c r="CG113" i="18"/>
  <c r="BX113" i="18"/>
  <c r="CM113" i="18" s="1"/>
  <c r="BT113" i="18"/>
  <c r="CI113" i="18"/>
  <c r="BZ113" i="18"/>
  <c r="CH113" i="18"/>
  <c r="BY113" i="18"/>
  <c r="BV113" i="18"/>
  <c r="CH110" i="18"/>
  <c r="CC110" i="18"/>
  <c r="BY110" i="18"/>
  <c r="BU110" i="18"/>
  <c r="BV110" i="18"/>
  <c r="CA110" i="18"/>
  <c r="CO110" i="18" s="1"/>
  <c r="CG110" i="18"/>
  <c r="DE111" i="18"/>
  <c r="DI111" i="18"/>
  <c r="DE112" i="18"/>
  <c r="DI112" i="18"/>
  <c r="DE113" i="18"/>
  <c r="DI113" i="18"/>
  <c r="DM113" i="18"/>
  <c r="DH113" i="18"/>
  <c r="BY19" i="18"/>
  <c r="CI21" i="18"/>
  <c r="CF21" i="18"/>
  <c r="BT21" i="18"/>
  <c r="CK21" i="18" s="1"/>
  <c r="BY21" i="18"/>
  <c r="CI29" i="18"/>
  <c r="CB29" i="18"/>
  <c r="CP29" i="18" s="1"/>
  <c r="BW29" i="18"/>
  <c r="DJ72" i="18"/>
  <c r="DH65" i="18"/>
  <c r="DH64" i="18"/>
  <c r="CC21" i="18"/>
  <c r="CQ21" i="18" s="1"/>
  <c r="CA25" i="18"/>
  <c r="CO25" i="18" s="1"/>
  <c r="BY29" i="18"/>
  <c r="CI32" i="18"/>
  <c r="CG32" i="18"/>
  <c r="BU32" i="18"/>
  <c r="CI33" i="18"/>
  <c r="CH33" i="18"/>
  <c r="CB33" i="18"/>
  <c r="CP33" i="18" s="1"/>
  <c r="DH54" i="18"/>
  <c r="DL54" i="18"/>
  <c r="DI54" i="18"/>
  <c r="DG54" i="18"/>
  <c r="DK55" i="18"/>
  <c r="DG55" i="18"/>
  <c r="DI66" i="18"/>
  <c r="DI73" i="18"/>
  <c r="DI61" i="18"/>
  <c r="BZ14" i="18"/>
  <c r="BZ17" i="18"/>
  <c r="DI19" i="18"/>
  <c r="DM19" i="18"/>
  <c r="CG25" i="18"/>
  <c r="CG27" i="18"/>
  <c r="CH27" i="18"/>
  <c r="BY27" i="18"/>
  <c r="BZ28" i="18"/>
  <c r="BT28" i="18"/>
  <c r="CK28" i="18" s="1"/>
  <c r="CF29" i="18"/>
  <c r="CF30" i="18"/>
  <c r="BY30" i="18"/>
  <c r="CA32" i="18"/>
  <c r="CO32" i="18" s="1"/>
  <c r="DM68" i="18"/>
  <c r="DF66" i="18"/>
  <c r="DF67" i="18"/>
  <c r="DF65" i="18"/>
  <c r="DJ30" i="18"/>
  <c r="DJ73" i="18"/>
  <c r="DJ68" i="18"/>
  <c r="DJ63" i="18"/>
  <c r="DN22" i="18"/>
  <c r="DN65" i="18"/>
  <c r="DN64" i="18"/>
  <c r="DN66" i="18"/>
  <c r="CI14" i="18"/>
  <c r="BU15" i="18"/>
  <c r="CC17" i="18"/>
  <c r="BX19" i="18"/>
  <c r="CM19" i="18" s="1"/>
  <c r="CB20" i="18"/>
  <c r="CP20" i="18" s="1"/>
  <c r="BW20" i="18"/>
  <c r="BX21" i="18"/>
  <c r="CM21" i="18" s="1"/>
  <c r="BY23" i="18"/>
  <c r="CI24" i="18"/>
  <c r="CH24" i="18"/>
  <c r="BW24" i="18"/>
  <c r="BT24" i="18"/>
  <c r="CK24" i="18" s="1"/>
  <c r="CE27" i="18"/>
  <c r="BY28" i="18"/>
  <c r="BT29" i="18"/>
  <c r="CK29" i="18" s="1"/>
  <c r="CH29" i="18"/>
  <c r="CI31" i="18"/>
  <c r="BX31" i="18"/>
  <c r="CM31" i="18" s="1"/>
  <c r="BU31" i="18"/>
  <c r="DI55" i="18"/>
  <c r="CG56" i="18"/>
  <c r="CC56" i="18"/>
  <c r="CQ56" i="18" s="1"/>
  <c r="CA56" i="18"/>
  <c r="CO56" i="18" s="1"/>
  <c r="DK69" i="18"/>
  <c r="DI69" i="18"/>
  <c r="DN69" i="18"/>
  <c r="DF69" i="18"/>
  <c r="DG69" i="18"/>
  <c r="DM56" i="18"/>
  <c r="DL57" i="18"/>
  <c r="DH57" i="18"/>
  <c r="DI57" i="18"/>
  <c r="DM59" i="18"/>
  <c r="DN59" i="18"/>
  <c r="DF59" i="18"/>
  <c r="DI59" i="18"/>
  <c r="DL59" i="18"/>
  <c r="CC67" i="18"/>
  <c r="CQ67" i="18" s="1"/>
  <c r="CH67" i="18"/>
  <c r="BX67" i="18"/>
  <c r="CM67" i="18" s="1"/>
  <c r="BZ67" i="18"/>
  <c r="DG27" i="18"/>
  <c r="DG68" i="18"/>
  <c r="DK67" i="18"/>
  <c r="DK65" i="18"/>
  <c r="DK64" i="18"/>
  <c r="DN14" i="18"/>
  <c r="DM15" i="18"/>
  <c r="CI18" i="18"/>
  <c r="BV26" i="18"/>
  <c r="DM57" i="18"/>
  <c r="CI58" i="18"/>
  <c r="CG58" i="18"/>
  <c r="CA58" i="18"/>
  <c r="CO58" i="18" s="1"/>
  <c r="BU58" i="18"/>
  <c r="CH58" i="18"/>
  <c r="BY58" i="18"/>
  <c r="BT58" i="18"/>
  <c r="CK58" i="18" s="1"/>
  <c r="CC58" i="18"/>
  <c r="CQ58" i="18" s="1"/>
  <c r="DJ62" i="18"/>
  <c r="DH62" i="18"/>
  <c r="DE62" i="18"/>
  <c r="CG67" i="18"/>
  <c r="CE70" i="18"/>
  <c r="BX70" i="18"/>
  <c r="CM70" i="18" s="1"/>
  <c r="CE63" i="18"/>
  <c r="BW63" i="18"/>
  <c r="CF63" i="18"/>
  <c r="BU63" i="18"/>
  <c r="CI63" i="18"/>
  <c r="BY63" i="18"/>
  <c r="BY64" i="18"/>
  <c r="CH64" i="18"/>
  <c r="CE65" i="18"/>
  <c r="CF65" i="18"/>
  <c r="BU65" i="18"/>
  <c r="BW65" i="18"/>
  <c r="BZ65" i="18"/>
  <c r="CC68" i="18"/>
  <c r="CQ68" i="18" s="1"/>
  <c r="CH68" i="18"/>
  <c r="BZ68" i="18"/>
  <c r="CI71" i="18"/>
  <c r="CH71" i="18"/>
  <c r="CB71" i="18"/>
  <c r="CP71" i="18" s="1"/>
  <c r="BW71" i="18"/>
  <c r="CG71" i="18"/>
  <c r="CA71" i="18"/>
  <c r="CO71" i="18" s="1"/>
  <c r="BU71" i="18"/>
  <c r="BY71" i="18"/>
  <c r="CC71" i="18"/>
  <c r="BX71" i="18"/>
  <c r="CM71" i="18" s="1"/>
  <c r="CI59" i="18"/>
  <c r="CF59" i="18"/>
  <c r="BY59" i="18"/>
  <c r="BT59" i="18"/>
  <c r="CK59" i="18" s="1"/>
  <c r="CG59" i="18"/>
  <c r="CA59" i="18"/>
  <c r="CO59" i="18" s="1"/>
  <c r="BU59" i="18"/>
  <c r="BW59" i="18"/>
  <c r="CH59" i="18"/>
  <c r="CI60" i="18"/>
  <c r="CG60" i="18"/>
  <c r="CA60" i="18"/>
  <c r="CO60" i="18" s="1"/>
  <c r="BU60" i="18"/>
  <c r="CH60" i="18"/>
  <c r="CB60" i="18"/>
  <c r="CP60" i="18" s="1"/>
  <c r="BW60" i="18"/>
  <c r="BX60" i="18"/>
  <c r="CM60" i="18" s="1"/>
  <c r="DM61" i="18"/>
  <c r="DF61" i="18"/>
  <c r="DL61" i="18"/>
  <c r="DN61" i="18"/>
  <c r="DH61" i="18"/>
  <c r="BT57" i="18"/>
  <c r="CK57" i="18" s="1"/>
  <c r="BY57" i="18"/>
  <c r="CF57" i="18"/>
  <c r="BT61" i="18"/>
  <c r="CK61" i="18" s="1"/>
  <c r="BY61" i="18"/>
  <c r="CF61" i="18"/>
  <c r="DM64" i="18"/>
  <c r="DL64" i="18"/>
  <c r="DG64" i="18"/>
  <c r="DJ64" i="18"/>
  <c r="DM65" i="18"/>
  <c r="DL65" i="18"/>
  <c r="DG65" i="18"/>
  <c r="DJ65" i="18"/>
  <c r="DJ66" i="18"/>
  <c r="DK66" i="18"/>
  <c r="DN68" i="18"/>
  <c r="BU69" i="18"/>
  <c r="DF71" i="18"/>
  <c r="CI73" i="18"/>
  <c r="CG73" i="18"/>
  <c r="CA73" i="18"/>
  <c r="CO73" i="18" s="1"/>
  <c r="BU73" i="18"/>
  <c r="CF73" i="18"/>
  <c r="BY73" i="18"/>
  <c r="BT73" i="18"/>
  <c r="CK73" i="18" s="1"/>
  <c r="BW73" i="18"/>
  <c r="CH73" i="18"/>
  <c r="BX61" i="18"/>
  <c r="CM61" i="18" s="1"/>
  <c r="CC61" i="18"/>
  <c r="CQ61" i="18" s="1"/>
  <c r="DG63" i="18"/>
  <c r="BX62" i="18"/>
  <c r="CM62" i="18" s="1"/>
  <c r="CC62" i="18"/>
  <c r="DI67" i="18"/>
  <c r="DE68" i="18"/>
  <c r="BX72" i="18"/>
  <c r="CM72" i="18" s="1"/>
  <c r="CC72" i="18"/>
  <c r="DM73" i="18"/>
  <c r="BT72" i="18"/>
  <c r="CK72" i="18" s="1"/>
  <c r="BY72" i="18"/>
  <c r="CF72" i="18"/>
  <c r="CH54" i="18"/>
  <c r="CC54" i="18"/>
  <c r="CQ54" i="18" s="1"/>
  <c r="BY54" i="18"/>
  <c r="BU54" i="18"/>
  <c r="CG54" i="18"/>
  <c r="DK58" i="18"/>
  <c r="DG58" i="18"/>
  <c r="DL58" i="18"/>
  <c r="DF58" i="18"/>
  <c r="DN58" i="18"/>
  <c r="DI58" i="18"/>
  <c r="DK60" i="18"/>
  <c r="DG60" i="18"/>
  <c r="DN60" i="18"/>
  <c r="DI60" i="18"/>
  <c r="DL60" i="18"/>
  <c r="DF60" i="18"/>
  <c r="BW54" i="18"/>
  <c r="CI54" i="18"/>
  <c r="CF55" i="18"/>
  <c r="CA55" i="18"/>
  <c r="CO55" i="18" s="1"/>
  <c r="BW55" i="18"/>
  <c r="CH55" i="18"/>
  <c r="CC55" i="18"/>
  <c r="CQ55" i="18" s="1"/>
  <c r="BY55" i="18"/>
  <c r="BU55" i="18"/>
  <c r="BT55" i="18"/>
  <c r="CB55" i="18"/>
  <c r="CP55" i="18" s="1"/>
  <c r="DM60" i="18"/>
  <c r="CF66" i="18"/>
  <c r="CA66" i="18"/>
  <c r="CO66" i="18" s="1"/>
  <c r="BW66" i="18"/>
  <c r="CG66" i="18"/>
  <c r="BZ66" i="18"/>
  <c r="BU66" i="18"/>
  <c r="CH66" i="18"/>
  <c r="BY66" i="18"/>
  <c r="CC66" i="18"/>
  <c r="CQ66" i="18" s="1"/>
  <c r="CE66" i="18"/>
  <c r="BX66" i="18"/>
  <c r="CM66" i="18" s="1"/>
  <c r="BT66" i="18"/>
  <c r="DN54" i="18"/>
  <c r="DJ54" i="18"/>
  <c r="DF54" i="18"/>
  <c r="BX54" i="18"/>
  <c r="CM54" i="18" s="1"/>
  <c r="CE54" i="18"/>
  <c r="DE54" i="18"/>
  <c r="DK54" i="18"/>
  <c r="CE55" i="18"/>
  <c r="BU56" i="18"/>
  <c r="DH58" i="18"/>
  <c r="DE60" i="18"/>
  <c r="CB66" i="18"/>
  <c r="CP66" i="18" s="1"/>
  <c r="CA54" i="18"/>
  <c r="CO54" i="18" s="1"/>
  <c r="DM58" i="18"/>
  <c r="DJ60" i="18"/>
  <c r="CB54" i="18"/>
  <c r="CP54" i="18" s="1"/>
  <c r="DK56" i="18"/>
  <c r="DG56" i="18"/>
  <c r="DN56" i="18"/>
  <c r="DI56" i="18"/>
  <c r="DL56" i="18"/>
  <c r="DF56" i="18"/>
  <c r="DJ56" i="18"/>
  <c r="DE58" i="18"/>
  <c r="BT54" i="18"/>
  <c r="BZ54" i="18"/>
  <c r="CF54" i="18"/>
  <c r="DL55" i="18"/>
  <c r="DH55" i="18"/>
  <c r="DN55" i="18"/>
  <c r="DJ55" i="18"/>
  <c r="DF55" i="18"/>
  <c r="BX55" i="18"/>
  <c r="CM55" i="18" s="1"/>
  <c r="CG55" i="18"/>
  <c r="DE55" i="18"/>
  <c r="DM55" i="18"/>
  <c r="CI56" i="18"/>
  <c r="CE56" i="18"/>
  <c r="BZ56" i="18"/>
  <c r="CH56" i="18"/>
  <c r="CB56" i="18"/>
  <c r="CP56" i="18" s="1"/>
  <c r="BW56" i="18"/>
  <c r="CF56" i="18"/>
  <c r="BY56" i="18"/>
  <c r="BT56" i="18"/>
  <c r="BX56" i="18"/>
  <c r="CM56" i="18" s="1"/>
  <c r="DE56" i="18"/>
  <c r="DJ58" i="18"/>
  <c r="DH60" i="18"/>
  <c r="DK62" i="18"/>
  <c r="DG62" i="18"/>
  <c r="DL62" i="18"/>
  <c r="DF62" i="18"/>
  <c r="DN62" i="18"/>
  <c r="DI62" i="18"/>
  <c r="DM62" i="18"/>
  <c r="CI66" i="18"/>
  <c r="DK57" i="18"/>
  <c r="DG57" i="18"/>
  <c r="DE57" i="18"/>
  <c r="DJ57" i="18"/>
  <c r="DH59" i="18"/>
  <c r="DK61" i="18"/>
  <c r="DG61" i="18"/>
  <c r="DE61" i="18"/>
  <c r="DJ61" i="18"/>
  <c r="DK70" i="18"/>
  <c r="DG70" i="18"/>
  <c r="DJ70" i="18"/>
  <c r="DE70" i="18"/>
  <c r="DL70" i="18"/>
  <c r="DM70" i="18"/>
  <c r="DH70" i="18"/>
  <c r="DN70" i="18"/>
  <c r="DF70" i="18"/>
  <c r="DI70" i="18"/>
  <c r="DK59" i="18"/>
  <c r="DG59" i="18"/>
  <c r="DE59" i="18"/>
  <c r="DJ59" i="18"/>
  <c r="DM63" i="18"/>
  <c r="DI63" i="18"/>
  <c r="DE63" i="18"/>
  <c r="DK63" i="18"/>
  <c r="DF63" i="18"/>
  <c r="DN63" i="18"/>
  <c r="DH63" i="18"/>
  <c r="DL63" i="18"/>
  <c r="CG64" i="18"/>
  <c r="CB64" i="18"/>
  <c r="CP64" i="18" s="1"/>
  <c r="BX64" i="18"/>
  <c r="CM64" i="18" s="1"/>
  <c r="BT64" i="18"/>
  <c r="CI64" i="18"/>
  <c r="CC64" i="18"/>
  <c r="BW64" i="18"/>
  <c r="CF64" i="18"/>
  <c r="BZ64" i="18"/>
  <c r="BU64" i="18"/>
  <c r="CE64" i="18"/>
  <c r="CF70" i="18"/>
  <c r="CA70" i="18"/>
  <c r="CO70" i="18" s="1"/>
  <c r="BW70" i="18"/>
  <c r="CH70" i="18"/>
  <c r="CB70" i="18"/>
  <c r="CP70" i="18" s="1"/>
  <c r="CG70" i="18"/>
  <c r="BY70" i="18"/>
  <c r="CC70" i="18"/>
  <c r="CQ70" i="18" s="1"/>
  <c r="BU70" i="18"/>
  <c r="CI70" i="18"/>
  <c r="BT70" i="18"/>
  <c r="BZ70" i="18"/>
  <c r="BZ57" i="18"/>
  <c r="CE57" i="18"/>
  <c r="BZ58" i="18"/>
  <c r="CE58" i="18"/>
  <c r="BZ59" i="18"/>
  <c r="CE59" i="18"/>
  <c r="BZ60" i="18"/>
  <c r="CE60" i="18"/>
  <c r="BZ61" i="18"/>
  <c r="CE61" i="18"/>
  <c r="BZ62" i="18"/>
  <c r="CE62" i="18"/>
  <c r="CG63" i="18"/>
  <c r="CB63" i="18"/>
  <c r="CP63" i="18" s="1"/>
  <c r="BX63" i="18"/>
  <c r="CM63" i="18" s="1"/>
  <c r="BT63" i="18"/>
  <c r="CA63" i="18"/>
  <c r="CO63" i="18" s="1"/>
  <c r="CH63" i="18"/>
  <c r="BY65" i="18"/>
  <c r="CF67" i="18"/>
  <c r="CA67" i="18"/>
  <c r="CO67" i="18" s="1"/>
  <c r="BW67" i="18"/>
  <c r="CE67" i="18"/>
  <c r="BY67" i="18"/>
  <c r="BT67" i="18"/>
  <c r="BU67" i="18"/>
  <c r="CB67" i="18"/>
  <c r="CP67" i="18" s="1"/>
  <c r="CI67" i="18"/>
  <c r="CF69" i="18"/>
  <c r="CA69" i="18"/>
  <c r="CO69" i="18" s="1"/>
  <c r="BW69" i="18"/>
  <c r="CI69" i="18"/>
  <c r="CC69" i="18"/>
  <c r="BX69" i="18"/>
  <c r="CM69" i="18" s="1"/>
  <c r="CH69" i="18"/>
  <c r="BZ69" i="18"/>
  <c r="BT69" i="18"/>
  <c r="CE69" i="18"/>
  <c r="BY69" i="18"/>
  <c r="CG65" i="18"/>
  <c r="CB65" i="18"/>
  <c r="CP65" i="18" s="1"/>
  <c r="BX65" i="18"/>
  <c r="CM65" i="18" s="1"/>
  <c r="BT65" i="18"/>
  <c r="CA65" i="18"/>
  <c r="CO65" i="18" s="1"/>
  <c r="CH65" i="18"/>
  <c r="DL67" i="18"/>
  <c r="DH67" i="18"/>
  <c r="DM67" i="18"/>
  <c r="DG67" i="18"/>
  <c r="DJ67" i="18"/>
  <c r="DE67" i="18"/>
  <c r="DN67" i="18"/>
  <c r="CF68" i="18"/>
  <c r="CA68" i="18"/>
  <c r="CO68" i="18" s="1"/>
  <c r="BW68" i="18"/>
  <c r="CE68" i="18"/>
  <c r="BY68" i="18"/>
  <c r="BT68" i="18"/>
  <c r="CI68" i="18"/>
  <c r="CB68" i="18"/>
  <c r="CP68" i="18" s="1"/>
  <c r="BU68" i="18"/>
  <c r="CG68" i="18"/>
  <c r="BX68" i="18"/>
  <c r="CM68" i="18" s="1"/>
  <c r="DE64" i="18"/>
  <c r="DI64" i="18"/>
  <c r="DE65" i="18"/>
  <c r="DI65" i="18"/>
  <c r="DL66" i="18"/>
  <c r="DH66" i="18"/>
  <c r="DG66" i="18"/>
  <c r="DM66" i="18"/>
  <c r="DL68" i="18"/>
  <c r="DH68" i="18"/>
  <c r="DK68" i="18"/>
  <c r="DF68" i="18"/>
  <c r="DI68" i="18"/>
  <c r="DK71" i="18"/>
  <c r="DG71" i="18"/>
  <c r="DJ71" i="18"/>
  <c r="DE71" i="18"/>
  <c r="DN71" i="18"/>
  <c r="DI71" i="18"/>
  <c r="DH71" i="18"/>
  <c r="DM71" i="18"/>
  <c r="DL72" i="18"/>
  <c r="DH72" i="18"/>
  <c r="DK72" i="18"/>
  <c r="DG72" i="18"/>
  <c r="DI72" i="18"/>
  <c r="DN72" i="18"/>
  <c r="DF72" i="18"/>
  <c r="DE72" i="18"/>
  <c r="DM72" i="18"/>
  <c r="DL69" i="18"/>
  <c r="DH69" i="18"/>
  <c r="DE69" i="18"/>
  <c r="DJ69" i="18"/>
  <c r="DE73" i="18"/>
  <c r="DL73" i="18"/>
  <c r="DH73" i="18"/>
  <c r="DK73" i="18"/>
  <c r="DG73" i="18"/>
  <c r="DF73" i="18"/>
  <c r="DN73" i="18"/>
  <c r="BZ71" i="18"/>
  <c r="CE71" i="18"/>
  <c r="BZ72" i="18"/>
  <c r="CE72" i="18"/>
  <c r="BZ73" i="18"/>
  <c r="CE73" i="18"/>
  <c r="DJ21" i="18"/>
  <c r="DK26" i="18"/>
  <c r="DH31" i="18"/>
  <c r="DH30" i="18"/>
  <c r="DH23" i="18"/>
  <c r="DH32" i="18"/>
  <c r="CC14" i="18"/>
  <c r="CE15" i="18"/>
  <c r="CC15" i="18"/>
  <c r="BZ15" i="18"/>
  <c r="CI15" i="18"/>
  <c r="DG15" i="18"/>
  <c r="DJ16" i="18"/>
  <c r="DN20" i="18"/>
  <c r="BX20" i="18"/>
  <c r="CM20" i="18" s="1"/>
  <c r="DJ20" i="18"/>
  <c r="DM21" i="18"/>
  <c r="DH22" i="18"/>
  <c r="DN29" i="18"/>
  <c r="DI32" i="18"/>
  <c r="DM14" i="18"/>
  <c r="DE14" i="18"/>
  <c r="DJ14" i="18"/>
  <c r="CI22" i="18"/>
  <c r="CF22" i="18"/>
  <c r="BY22" i="18"/>
  <c r="BT22" i="18"/>
  <c r="CK22" i="18" s="1"/>
  <c r="CC22" i="18"/>
  <c r="BX22" i="18"/>
  <c r="CM22" i="18" s="1"/>
  <c r="CH22" i="18"/>
  <c r="CB22" i="18"/>
  <c r="CP22" i="18" s="1"/>
  <c r="BW22" i="18"/>
  <c r="DE22" i="18"/>
  <c r="DE29" i="18"/>
  <c r="DE24" i="18"/>
  <c r="DE20" i="18"/>
  <c r="DI29" i="18"/>
  <c r="DI26" i="18"/>
  <c r="DI24" i="18"/>
  <c r="DI22" i="18"/>
  <c r="DM24" i="18"/>
  <c r="DM22" i="18"/>
  <c r="DM33" i="18"/>
  <c r="DM20" i="18"/>
  <c r="BU14" i="18"/>
  <c r="CG14" i="18"/>
  <c r="DG14" i="18"/>
  <c r="CE16" i="18"/>
  <c r="BZ16" i="18"/>
  <c r="CI16" i="18"/>
  <c r="BX16" i="18"/>
  <c r="CM16" i="18" s="1"/>
  <c r="BU16" i="18"/>
  <c r="DM16" i="18"/>
  <c r="DG18" i="18"/>
  <c r="DE18" i="18"/>
  <c r="DK18" i="18"/>
  <c r="CI19" i="18"/>
  <c r="CH19" i="18"/>
  <c r="CB19" i="18"/>
  <c r="CP19" i="18" s="1"/>
  <c r="BW19" i="18"/>
  <c r="CG19" i="18"/>
  <c r="CA19" i="18"/>
  <c r="CO19" i="18" s="1"/>
  <c r="BU19" i="18"/>
  <c r="BT19" i="18"/>
  <c r="CK19" i="18" s="1"/>
  <c r="CF19" i="18"/>
  <c r="DE19" i="18"/>
  <c r="DI21" i="18"/>
  <c r="DN21" i="18"/>
  <c r="DH21" i="18"/>
  <c r="DJ22" i="18"/>
  <c r="CA22" i="18"/>
  <c r="CO22" i="18" s="1"/>
  <c r="DM25" i="18"/>
  <c r="DE25" i="18"/>
  <c r="DI25" i="18"/>
  <c r="DN25" i="18"/>
  <c r="DJ25" i="18"/>
  <c r="DH25" i="18"/>
  <c r="DN33" i="18"/>
  <c r="DJ31" i="18"/>
  <c r="DJ28" i="18"/>
  <c r="DN31" i="18"/>
  <c r="DN32" i="18"/>
  <c r="DN27" i="18"/>
  <c r="DI14" i="18"/>
  <c r="DJ15" i="18"/>
  <c r="DI15" i="18"/>
  <c r="DN15" i="18"/>
  <c r="CC16" i="18"/>
  <c r="DN17" i="18"/>
  <c r="DG17" i="18"/>
  <c r="DM17" i="18"/>
  <c r="DE17" i="18"/>
  <c r="DI17" i="18"/>
  <c r="DM18" i="18"/>
  <c r="DJ19" i="18"/>
  <c r="CI20" i="18"/>
  <c r="CG20" i="18"/>
  <c r="CA20" i="18"/>
  <c r="CO20" i="18" s="1"/>
  <c r="BU20" i="18"/>
  <c r="CF20" i="18"/>
  <c r="BY20" i="18"/>
  <c r="BT20" i="18"/>
  <c r="CK20" i="18" s="1"/>
  <c r="CC20" i="18"/>
  <c r="DE21" i="18"/>
  <c r="CG22" i="18"/>
  <c r="DN26" i="18"/>
  <c r="DG16" i="18"/>
  <c r="DN16" i="18"/>
  <c r="BU17" i="18"/>
  <c r="CG17" i="18"/>
  <c r="DH19" i="18"/>
  <c r="DN19" i="18"/>
  <c r="BU21" i="18"/>
  <c r="CA21" i="18"/>
  <c r="CO21" i="18" s="1"/>
  <c r="CG21" i="18"/>
  <c r="DM23" i="18"/>
  <c r="DE23" i="18"/>
  <c r="BU23" i="18"/>
  <c r="CA23" i="18"/>
  <c r="CO23" i="18" s="1"/>
  <c r="CG23" i="18"/>
  <c r="DJ23" i="18"/>
  <c r="DM30" i="18"/>
  <c r="DE30" i="18"/>
  <c r="DI30" i="18"/>
  <c r="CB30" i="18"/>
  <c r="CP30" i="18" s="1"/>
  <c r="DN30" i="18"/>
  <c r="DI16" i="18"/>
  <c r="BX17" i="18"/>
  <c r="CM17" i="18" s="1"/>
  <c r="CI17" i="18"/>
  <c r="BU18" i="18"/>
  <c r="CG18" i="18"/>
  <c r="DH20" i="18"/>
  <c r="BW21" i="18"/>
  <c r="CB21" i="18"/>
  <c r="CP21" i="18" s="1"/>
  <c r="CH21" i="18"/>
  <c r="BW23" i="18"/>
  <c r="CB23" i="18"/>
  <c r="CP23" i="18" s="1"/>
  <c r="CH23" i="18"/>
  <c r="DN23" i="18"/>
  <c r="CI25" i="18"/>
  <c r="CF25" i="18"/>
  <c r="BY25" i="18"/>
  <c r="BT25" i="18"/>
  <c r="CK25" i="18" s="1"/>
  <c r="CH25" i="18"/>
  <c r="CB25" i="18"/>
  <c r="CP25" i="18" s="1"/>
  <c r="BW25" i="18"/>
  <c r="BX25" i="18"/>
  <c r="CM25" i="18" s="1"/>
  <c r="BT30" i="18"/>
  <c r="CK30" i="18" s="1"/>
  <c r="DM31" i="18"/>
  <c r="BX23" i="18"/>
  <c r="CM23" i="18" s="1"/>
  <c r="CC23" i="18"/>
  <c r="DJ24" i="18"/>
  <c r="DE28" i="18"/>
  <c r="CI30" i="18"/>
  <c r="CG30" i="18"/>
  <c r="CA30" i="18"/>
  <c r="CO30" i="18" s="1"/>
  <c r="BU30" i="18"/>
  <c r="CC30" i="18"/>
  <c r="CQ30" i="18" s="1"/>
  <c r="BX30" i="18"/>
  <c r="CM30" i="18" s="1"/>
  <c r="BW30" i="18"/>
  <c r="CH30" i="18"/>
  <c r="BX32" i="18"/>
  <c r="CM32" i="18" s="1"/>
  <c r="CC32" i="18"/>
  <c r="CQ32" i="18" s="1"/>
  <c r="DJ32" i="18"/>
  <c r="BT33" i="18"/>
  <c r="CK33" i="18" s="1"/>
  <c r="BY33" i="18"/>
  <c r="CF33" i="18"/>
  <c r="DF33" i="18"/>
  <c r="BU24" i="18"/>
  <c r="CA24" i="18"/>
  <c r="CO24" i="18" s="1"/>
  <c r="CG24" i="18"/>
  <c r="DH24" i="18"/>
  <c r="DN24" i="18"/>
  <c r="BY26" i="18"/>
  <c r="CG26" i="18"/>
  <c r="DG26" i="18"/>
  <c r="DM27" i="18"/>
  <c r="BZ27" i="18"/>
  <c r="DK27" i="18"/>
  <c r="BV28" i="18"/>
  <c r="CG28" i="18"/>
  <c r="BX29" i="18"/>
  <c r="CM29" i="18" s="1"/>
  <c r="CC29" i="18"/>
  <c r="CQ29" i="18" s="1"/>
  <c r="DJ29" i="18"/>
  <c r="BW31" i="18"/>
  <c r="CB31" i="18"/>
  <c r="CP31" i="18" s="1"/>
  <c r="CH31" i="18"/>
  <c r="DI31" i="18"/>
  <c r="BT32" i="18"/>
  <c r="CK32" i="18" s="1"/>
  <c r="BY32" i="18"/>
  <c r="CF32" i="18"/>
  <c r="DE32" i="18"/>
  <c r="DM32" i="18"/>
  <c r="BU33" i="18"/>
  <c r="CA33" i="18"/>
  <c r="CO33" i="18" s="1"/>
  <c r="CG33" i="18"/>
  <c r="DI33" i="18"/>
  <c r="BX24" i="18"/>
  <c r="CM24" i="18" s="1"/>
  <c r="CC24" i="18"/>
  <c r="CQ24" i="18" s="1"/>
  <c r="BU26" i="18"/>
  <c r="BV27" i="18"/>
  <c r="DI28" i="18"/>
  <c r="BU29" i="18"/>
  <c r="CA29" i="18"/>
  <c r="CO29" i="18" s="1"/>
  <c r="CG29" i="18"/>
  <c r="DH29" i="18"/>
  <c r="BT31" i="18"/>
  <c r="CK31" i="18" s="1"/>
  <c r="BY31" i="18"/>
  <c r="CF31" i="18"/>
  <c r="DE31" i="18"/>
  <c r="BW32" i="18"/>
  <c r="CB32" i="18"/>
  <c r="CP32" i="18" s="1"/>
  <c r="CH32" i="18"/>
  <c r="BX33" i="18"/>
  <c r="CM33" i="18" s="1"/>
  <c r="CC33" i="18"/>
  <c r="DE33" i="18"/>
  <c r="DL14" i="18"/>
  <c r="DH14" i="18"/>
  <c r="BT14" i="18"/>
  <c r="BY14" i="18"/>
  <c r="DF14" i="18"/>
  <c r="DK14" i="18"/>
  <c r="DL15" i="18"/>
  <c r="DH15" i="18"/>
  <c r="BT15" i="18"/>
  <c r="BY15" i="18"/>
  <c r="DF15" i="18"/>
  <c r="DK15" i="18"/>
  <c r="DL16" i="18"/>
  <c r="DH16" i="18"/>
  <c r="BT16" i="18"/>
  <c r="BY16" i="18"/>
  <c r="DF16" i="18"/>
  <c r="DK16" i="18"/>
  <c r="DL17" i="18"/>
  <c r="DH17" i="18"/>
  <c r="BT17" i="18"/>
  <c r="BY17" i="18"/>
  <c r="DF17" i="18"/>
  <c r="DK17" i="18"/>
  <c r="DN18" i="18"/>
  <c r="DJ18" i="18"/>
  <c r="DF18" i="18"/>
  <c r="DL18" i="18"/>
  <c r="DH18" i="18"/>
  <c r="BT18" i="18"/>
  <c r="BY18" i="18"/>
  <c r="DI18" i="18"/>
  <c r="CF14" i="18"/>
  <c r="CA14" i="18"/>
  <c r="CO14" i="18" s="1"/>
  <c r="BW14" i="18"/>
  <c r="BV14" i="18"/>
  <c r="CB14" i="18"/>
  <c r="CP14" i="18" s="1"/>
  <c r="CH14" i="18"/>
  <c r="CF15" i="18"/>
  <c r="CA15" i="18"/>
  <c r="CO15" i="18" s="1"/>
  <c r="BW15" i="18"/>
  <c r="BV15" i="18"/>
  <c r="CB15" i="18"/>
  <c r="CP15" i="18" s="1"/>
  <c r="CH15" i="18"/>
  <c r="CF16" i="18"/>
  <c r="CA16" i="18"/>
  <c r="CO16" i="18" s="1"/>
  <c r="BW16" i="18"/>
  <c r="BV16" i="18"/>
  <c r="CB16" i="18"/>
  <c r="CP16" i="18" s="1"/>
  <c r="CH16" i="18"/>
  <c r="CF17" i="18"/>
  <c r="CA17" i="18"/>
  <c r="CO17" i="18" s="1"/>
  <c r="BW17" i="18"/>
  <c r="BV17" i="18"/>
  <c r="CB17" i="18"/>
  <c r="CP17" i="18" s="1"/>
  <c r="CH17" i="18"/>
  <c r="CF18" i="18"/>
  <c r="CA18" i="18"/>
  <c r="CO18" i="18" s="1"/>
  <c r="BW18" i="18"/>
  <c r="BV18" i="18"/>
  <c r="CB18" i="18"/>
  <c r="CP18" i="18" s="1"/>
  <c r="CH18" i="18"/>
  <c r="DK19" i="18"/>
  <c r="DG19" i="18"/>
  <c r="DF19" i="18"/>
  <c r="DL19" i="18"/>
  <c r="DK20" i="18"/>
  <c r="DG20" i="18"/>
  <c r="DF20" i="18"/>
  <c r="DL20" i="18"/>
  <c r="DK21" i="18"/>
  <c r="DG21" i="18"/>
  <c r="DF21" i="18"/>
  <c r="DL21" i="18"/>
  <c r="DK22" i="18"/>
  <c r="DG22" i="18"/>
  <c r="DF22" i="18"/>
  <c r="DL22" i="18"/>
  <c r="DK23" i="18"/>
  <c r="DG23" i="18"/>
  <c r="DF23" i="18"/>
  <c r="DL23" i="18"/>
  <c r="DK24" i="18"/>
  <c r="DG24" i="18"/>
  <c r="DF24" i="18"/>
  <c r="DL24" i="18"/>
  <c r="DK25" i="18"/>
  <c r="DG25" i="18"/>
  <c r="DF25" i="18"/>
  <c r="DL25" i="18"/>
  <c r="DL26" i="18"/>
  <c r="DH26" i="18"/>
  <c r="DJ26" i="18"/>
  <c r="DE26" i="18"/>
  <c r="DF26" i="18"/>
  <c r="DM26" i="18"/>
  <c r="CF27" i="18"/>
  <c r="CA27" i="18"/>
  <c r="CO27" i="18" s="1"/>
  <c r="BW27" i="18"/>
  <c r="CI27" i="18"/>
  <c r="CC27" i="18"/>
  <c r="BX27" i="18"/>
  <c r="CM27" i="18" s="1"/>
  <c r="BU27" i="18"/>
  <c r="CB27" i="18"/>
  <c r="CP27" i="18" s="1"/>
  <c r="DF27" i="18"/>
  <c r="CF28" i="18"/>
  <c r="CA28" i="18"/>
  <c r="CO28" i="18" s="1"/>
  <c r="BW28" i="18"/>
  <c r="CI28" i="18"/>
  <c r="CC28" i="18"/>
  <c r="BX28" i="18"/>
  <c r="CM28" i="18" s="1"/>
  <c r="BU28" i="18"/>
  <c r="CB28" i="18"/>
  <c r="CP28" i="18" s="1"/>
  <c r="DL27" i="18"/>
  <c r="DH27" i="18"/>
  <c r="DJ27" i="18"/>
  <c r="DE27" i="18"/>
  <c r="DI27" i="18"/>
  <c r="DK28" i="18"/>
  <c r="DG28" i="18"/>
  <c r="DL28" i="18"/>
  <c r="DF28" i="18"/>
  <c r="DN28" i="18"/>
  <c r="DH28" i="18"/>
  <c r="DM28" i="18"/>
  <c r="BV19" i="18"/>
  <c r="BZ19" i="18"/>
  <c r="CE19" i="18"/>
  <c r="BV20" i="18"/>
  <c r="BZ20" i="18"/>
  <c r="CE20" i="18"/>
  <c r="BV21" i="18"/>
  <c r="BZ21" i="18"/>
  <c r="CE21" i="18"/>
  <c r="BV22" i="18"/>
  <c r="BZ22" i="18"/>
  <c r="CE22" i="18"/>
  <c r="BV23" i="18"/>
  <c r="BZ23" i="18"/>
  <c r="CE23" i="18"/>
  <c r="BV24" i="18"/>
  <c r="BZ24" i="18"/>
  <c r="CE24" i="18"/>
  <c r="BV25" i="18"/>
  <c r="BZ25" i="18"/>
  <c r="CE25" i="18"/>
  <c r="CF26" i="18"/>
  <c r="CA26" i="18"/>
  <c r="CO26" i="18" s="1"/>
  <c r="BW26" i="18"/>
  <c r="BX26" i="18"/>
  <c r="CM26" i="18" s="1"/>
  <c r="CC26" i="18"/>
  <c r="CI26" i="18"/>
  <c r="DK29" i="18"/>
  <c r="DG29" i="18"/>
  <c r="DF29" i="18"/>
  <c r="DL29" i="18"/>
  <c r="DK30" i="18"/>
  <c r="DG30" i="18"/>
  <c r="DF30" i="18"/>
  <c r="DL30" i="18"/>
  <c r="DK31" i="18"/>
  <c r="DG31" i="18"/>
  <c r="DF31" i="18"/>
  <c r="DL31" i="18"/>
  <c r="DK32" i="18"/>
  <c r="DG32" i="18"/>
  <c r="DF32" i="18"/>
  <c r="DL32" i="18"/>
  <c r="DL33" i="18"/>
  <c r="DH33" i="18"/>
  <c r="DK33" i="18"/>
  <c r="DG33" i="18"/>
  <c r="DJ33" i="18"/>
  <c r="BV29" i="18"/>
  <c r="BZ29" i="18"/>
  <c r="CE29" i="18"/>
  <c r="BV30" i="18"/>
  <c r="BZ30" i="18"/>
  <c r="CE30" i="18"/>
  <c r="BV31" i="18"/>
  <c r="BZ31" i="18"/>
  <c r="CE31" i="18"/>
  <c r="BV32" i="18"/>
  <c r="BZ32" i="18"/>
  <c r="CE32" i="18"/>
  <c r="BV33" i="18"/>
  <c r="BZ33" i="18"/>
  <c r="CE33" i="18"/>
  <c r="F7" i="12"/>
  <c r="CQ110" i="18" l="1"/>
  <c r="CQ72" i="18"/>
  <c r="CQ62" i="18"/>
  <c r="CR18" i="18"/>
  <c r="CQ107" i="18"/>
  <c r="CN63" i="18"/>
  <c r="CN150" i="18"/>
  <c r="CR109" i="18"/>
  <c r="CQ15" i="18"/>
  <c r="CQ28" i="18"/>
  <c r="CR28" i="18"/>
  <c r="CQ69" i="18"/>
  <c r="CR145" i="18"/>
  <c r="CR17" i="18"/>
  <c r="CR14" i="18"/>
  <c r="CQ59" i="18"/>
  <c r="CQ33" i="18"/>
  <c r="CQ23" i="18"/>
  <c r="CQ14" i="18"/>
  <c r="CQ64" i="18"/>
  <c r="CQ17" i="18"/>
  <c r="CQ135" i="18"/>
  <c r="CQ57" i="18"/>
  <c r="CQ65" i="18"/>
  <c r="CQ60" i="18"/>
  <c r="CQ71" i="18"/>
  <c r="CR150" i="18"/>
  <c r="CQ140" i="18"/>
  <c r="CR71" i="18"/>
  <c r="CQ105" i="18"/>
  <c r="CQ31" i="18"/>
  <c r="CQ22" i="18"/>
  <c r="CN60" i="18"/>
  <c r="CQ151" i="18"/>
  <c r="CQ144" i="18"/>
  <c r="CQ18" i="18"/>
  <c r="CQ27" i="18"/>
  <c r="CQ16" i="18"/>
  <c r="CQ109" i="18"/>
  <c r="CQ149" i="18"/>
  <c r="CQ145" i="18"/>
  <c r="CN138" i="18"/>
  <c r="CQ152" i="18"/>
  <c r="CQ99" i="18"/>
  <c r="CQ100" i="18"/>
  <c r="CQ25" i="18"/>
  <c r="CQ20" i="18"/>
  <c r="CQ108" i="18"/>
  <c r="CN99" i="18"/>
  <c r="CR110" i="18"/>
  <c r="CS146" i="18"/>
  <c r="CQ138" i="18"/>
  <c r="CR138" i="18"/>
  <c r="CS140" i="18"/>
  <c r="CQ146" i="18"/>
  <c r="CQ19" i="18"/>
  <c r="CQ63" i="18"/>
  <c r="CQ26" i="18"/>
  <c r="CR27" i="18"/>
  <c r="CR16" i="18"/>
  <c r="CQ111" i="18"/>
  <c r="CN105" i="18"/>
  <c r="CN135" i="18"/>
  <c r="CQ150" i="18"/>
  <c r="CQ73" i="18"/>
  <c r="CQ97" i="18"/>
  <c r="CR151" i="18"/>
  <c r="CN69" i="18"/>
  <c r="CN67" i="18"/>
  <c r="CN95" i="18"/>
  <c r="CR136" i="18"/>
  <c r="CS72" i="18"/>
  <c r="CR62" i="18"/>
  <c r="CR146" i="18"/>
  <c r="CR97" i="18"/>
  <c r="CR96" i="18"/>
  <c r="CR61" i="18"/>
  <c r="CR69" i="18"/>
  <c r="CN73" i="18"/>
  <c r="CN62" i="18"/>
  <c r="CS150" i="18"/>
  <c r="CN59" i="18"/>
  <c r="CS58" i="18"/>
  <c r="CR142" i="18"/>
  <c r="CN143" i="18"/>
  <c r="CR144" i="18"/>
  <c r="CR26" i="18"/>
  <c r="CR73" i="18"/>
  <c r="CS67" i="18"/>
  <c r="CS71" i="18"/>
  <c r="CN146" i="18"/>
  <c r="CN144" i="18"/>
  <c r="CN145" i="18"/>
  <c r="CR107" i="18"/>
  <c r="CS109" i="18"/>
  <c r="CS107" i="18"/>
  <c r="CR103" i="18"/>
  <c r="CN22" i="18"/>
  <c r="CN30" i="18"/>
  <c r="CS16" i="18"/>
  <c r="CS31" i="18"/>
  <c r="CS24" i="18"/>
  <c r="CR30" i="18"/>
  <c r="CR24" i="18"/>
  <c r="CN19" i="18"/>
  <c r="CN21" i="18"/>
  <c r="CN27" i="18"/>
  <c r="CN28" i="18"/>
  <c r="CN26" i="18"/>
  <c r="CN31" i="18"/>
  <c r="CN23" i="18"/>
  <c r="CR20" i="18"/>
  <c r="CN72" i="18"/>
  <c r="CS57" i="18"/>
  <c r="CR31" i="18"/>
  <c r="CN101" i="18"/>
  <c r="CR72" i="18"/>
  <c r="CN110" i="18"/>
  <c r="CR59" i="18"/>
  <c r="CN58" i="18"/>
  <c r="CN97" i="18"/>
  <c r="CR63" i="18"/>
  <c r="CR104" i="18"/>
  <c r="CN100" i="18"/>
  <c r="CR141" i="18"/>
  <c r="CS141" i="18"/>
  <c r="CS62" i="18"/>
  <c r="CS136" i="18"/>
  <c r="CL25" i="18"/>
  <c r="CR55" i="18"/>
  <c r="CN103" i="18"/>
  <c r="CR100" i="18"/>
  <c r="CN108" i="18"/>
  <c r="CR148" i="18"/>
  <c r="CL103" i="18"/>
  <c r="CR15" i="18"/>
  <c r="CN57" i="18"/>
  <c r="CL100" i="18"/>
  <c r="CR99" i="18"/>
  <c r="CR149" i="18"/>
  <c r="CN134" i="18"/>
  <c r="CN139" i="18"/>
  <c r="CR95" i="18"/>
  <c r="CN136" i="18"/>
  <c r="CS135" i="18"/>
  <c r="CS26" i="18"/>
  <c r="CR23" i="18"/>
  <c r="CN16" i="18"/>
  <c r="CS69" i="18"/>
  <c r="CR58" i="18"/>
  <c r="CN55" i="18"/>
  <c r="CL113" i="18"/>
  <c r="CR112" i="18"/>
  <c r="CL111" i="18"/>
  <c r="CL104" i="18"/>
  <c r="CR102" i="18"/>
  <c r="CL101" i="18"/>
  <c r="CS97" i="18"/>
  <c r="CN94" i="18"/>
  <c r="CS151" i="18"/>
  <c r="CN148" i="18"/>
  <c r="CN152" i="18"/>
  <c r="CR152" i="18"/>
  <c r="CN147" i="18"/>
  <c r="CS145" i="18"/>
  <c r="CN137" i="18"/>
  <c r="CR139" i="18"/>
  <c r="CS148" i="18"/>
  <c r="CS142" i="18"/>
  <c r="CN32" i="18"/>
  <c r="CN113" i="18"/>
  <c r="CL112" i="18"/>
  <c r="CL107" i="18"/>
  <c r="CS143" i="18"/>
  <c r="CR33" i="18"/>
  <c r="CN24" i="18"/>
  <c r="CN20" i="18"/>
  <c r="CS111" i="18"/>
  <c r="CS103" i="18"/>
  <c r="CN106" i="18"/>
  <c r="CN29" i="18"/>
  <c r="CS28" i="18"/>
  <c r="CS14" i="18"/>
  <c r="CN18" i="18"/>
  <c r="CN15" i="18"/>
  <c r="CS33" i="18"/>
  <c r="CR60" i="18"/>
  <c r="CR70" i="18"/>
  <c r="CN64" i="18"/>
  <c r="CR113" i="18"/>
  <c r="CR105" i="18"/>
  <c r="CL102" i="18"/>
  <c r="CL95" i="18"/>
  <c r="CR98" i="18"/>
  <c r="CS100" i="18"/>
  <c r="CS105" i="18"/>
  <c r="CS61" i="18"/>
  <c r="CN151" i="18"/>
  <c r="CS144" i="18"/>
  <c r="CN142" i="18"/>
  <c r="CS137" i="18"/>
  <c r="CS134" i="18"/>
  <c r="CR133" i="18"/>
  <c r="CS147" i="18"/>
  <c r="CK135" i="18"/>
  <c r="CS152" i="18"/>
  <c r="CN149" i="18"/>
  <c r="CS138" i="18"/>
  <c r="CK137" i="18"/>
  <c r="CS139" i="18"/>
  <c r="CR137" i="18"/>
  <c r="CK139" i="18"/>
  <c r="CK151" i="18"/>
  <c r="CK152" i="18"/>
  <c r="CK145" i="18"/>
  <c r="CS149" i="18"/>
  <c r="CR143" i="18"/>
  <c r="CK138" i="18"/>
  <c r="CR135" i="18"/>
  <c r="CK141" i="18"/>
  <c r="CK149" i="18"/>
  <c r="CK143" i="18"/>
  <c r="CK133" i="18"/>
  <c r="CN141" i="18"/>
  <c r="CK134" i="18"/>
  <c r="CS133" i="18"/>
  <c r="CN133" i="18"/>
  <c r="CL21" i="18"/>
  <c r="CR106" i="18"/>
  <c r="CL22" i="18"/>
  <c r="CS27" i="18"/>
  <c r="CN68" i="18"/>
  <c r="CS110" i="18"/>
  <c r="CS104" i="18"/>
  <c r="CR29" i="18"/>
  <c r="CR25" i="18"/>
  <c r="CN14" i="18"/>
  <c r="CS63" i="18"/>
  <c r="CR57" i="18"/>
  <c r="CR65" i="18"/>
  <c r="CS55" i="18"/>
  <c r="CS60" i="18"/>
  <c r="CN104" i="18"/>
  <c r="CS106" i="18"/>
  <c r="CN109" i="18"/>
  <c r="CS94" i="18"/>
  <c r="CN107" i="18"/>
  <c r="CS102" i="18"/>
  <c r="CS96" i="18"/>
  <c r="CS101" i="18"/>
  <c r="CK113" i="18"/>
  <c r="CK112" i="18"/>
  <c r="CK104" i="18"/>
  <c r="CL106" i="18"/>
  <c r="CK102" i="18"/>
  <c r="CS108" i="18"/>
  <c r="CN111" i="18"/>
  <c r="CL97" i="18"/>
  <c r="CL110" i="18"/>
  <c r="CS113" i="18"/>
  <c r="CN112" i="18"/>
  <c r="CS112" i="18"/>
  <c r="CL105" i="18"/>
  <c r="CN102" i="18"/>
  <c r="CL108" i="18"/>
  <c r="CS95" i="18"/>
  <c r="CL109" i="18"/>
  <c r="CL96" i="18"/>
  <c r="CS99" i="18"/>
  <c r="CN96" i="18"/>
  <c r="CL94" i="18"/>
  <c r="CN98" i="18"/>
  <c r="CR94" i="18"/>
  <c r="CL99" i="18"/>
  <c r="CK94" i="18"/>
  <c r="CR111" i="18"/>
  <c r="CK111" i="18"/>
  <c r="CK106" i="18"/>
  <c r="CR101" i="18"/>
  <c r="CK108" i="18"/>
  <c r="CR108" i="18"/>
  <c r="CK109" i="18"/>
  <c r="CS98" i="18"/>
  <c r="CL98" i="18"/>
  <c r="CK98" i="18"/>
  <c r="CR19" i="18"/>
  <c r="CL18" i="18"/>
  <c r="CS17" i="18"/>
  <c r="CS15" i="18"/>
  <c r="CN17" i="18"/>
  <c r="CS29" i="18"/>
  <c r="CS21" i="18"/>
  <c r="CN71" i="18"/>
  <c r="CS68" i="18"/>
  <c r="CS65" i="18"/>
  <c r="CN65" i="18"/>
  <c r="CR66" i="18"/>
  <c r="CS73" i="18"/>
  <c r="CS59" i="18"/>
  <c r="CL29" i="18"/>
  <c r="CS19" i="18"/>
  <c r="CJ31" i="18"/>
  <c r="CR21" i="18"/>
  <c r="CN61" i="18"/>
  <c r="CN33" i="18"/>
  <c r="CL32" i="18"/>
  <c r="CL26" i="18"/>
  <c r="CN25" i="18"/>
  <c r="CR22" i="18"/>
  <c r="CL20" i="18"/>
  <c r="CL17" i="18"/>
  <c r="CL15" i="18"/>
  <c r="CS32" i="18"/>
  <c r="CS25" i="18"/>
  <c r="CN56" i="18"/>
  <c r="CS56" i="18"/>
  <c r="CN66" i="18"/>
  <c r="CK64" i="18"/>
  <c r="CR68" i="18"/>
  <c r="CK69" i="18"/>
  <c r="CK70" i="18"/>
  <c r="CK55" i="18"/>
  <c r="CS54" i="18"/>
  <c r="CR67" i="18"/>
  <c r="CS70" i="18"/>
  <c r="CK54" i="18"/>
  <c r="CR54" i="18"/>
  <c r="CN54" i="18"/>
  <c r="CK67" i="18"/>
  <c r="CK66" i="18"/>
  <c r="CS66" i="18"/>
  <c r="CK65" i="18"/>
  <c r="CK63" i="18"/>
  <c r="CN70" i="18"/>
  <c r="CR64" i="18"/>
  <c r="CK68" i="18"/>
  <c r="CS64" i="18"/>
  <c r="CK56" i="18"/>
  <c r="CR56" i="18"/>
  <c r="CL31" i="18"/>
  <c r="CS23" i="18"/>
  <c r="CL33" i="18"/>
  <c r="CL16" i="18"/>
  <c r="CL14" i="18"/>
  <c r="CS22" i="18"/>
  <c r="CS20" i="18"/>
  <c r="CJ28" i="18"/>
  <c r="CJ22" i="18"/>
  <c r="CR32" i="18"/>
  <c r="CJ30" i="18"/>
  <c r="CL27" i="18"/>
  <c r="CS18" i="18"/>
  <c r="CS30" i="18"/>
  <c r="CJ32" i="18"/>
  <c r="CL30" i="18"/>
  <c r="CJ21" i="18"/>
  <c r="CJ29" i="18"/>
  <c r="CJ33" i="18"/>
  <c r="CL28" i="18"/>
  <c r="CJ27" i="18"/>
  <c r="CJ18" i="18"/>
  <c r="CK18" i="18"/>
  <c r="CJ23" i="18"/>
  <c r="CL23" i="18"/>
  <c r="CJ19" i="18"/>
  <c r="CL19" i="18"/>
  <c r="CJ26" i="18"/>
  <c r="CJ24" i="18"/>
  <c r="CJ20" i="18"/>
  <c r="CJ17" i="18"/>
  <c r="CK17" i="18"/>
  <c r="CJ16" i="18"/>
  <c r="CK16" i="18"/>
  <c r="CJ15" i="18"/>
  <c r="CK15" i="18"/>
  <c r="CJ14" i="18"/>
  <c r="CK14" i="18"/>
  <c r="CL24" i="18"/>
  <c r="CJ25" i="18"/>
  <c r="G19" i="12"/>
  <c r="G18" i="12"/>
  <c r="CT28" i="18" l="1"/>
  <c r="CT31" i="18"/>
  <c r="CT29" i="18"/>
  <c r="CT25" i="18"/>
  <c r="CT21" i="18"/>
  <c r="CT24" i="18"/>
  <c r="CT27" i="18"/>
  <c r="CT16" i="18"/>
  <c r="CT26" i="18"/>
  <c r="CT30" i="18"/>
  <c r="CT19" i="18"/>
  <c r="CT33" i="18"/>
  <c r="CT20" i="18"/>
  <c r="CT14" i="18"/>
  <c r="CT22" i="18"/>
  <c r="CT15" i="18"/>
  <c r="CT17" i="18"/>
  <c r="CT23" i="18"/>
  <c r="CT18" i="18"/>
  <c r="CT32" i="18"/>
  <c r="R76" i="20"/>
  <c r="Q76" i="20"/>
  <c r="P76" i="20"/>
  <c r="O76" i="20"/>
  <c r="F199" i="17"/>
  <c r="E199" i="17"/>
  <c r="D199" i="17"/>
  <c r="A199" i="17"/>
  <c r="F173" i="17"/>
  <c r="E173" i="17"/>
  <c r="D173" i="17"/>
  <c r="A173" i="17"/>
  <c r="F152" i="17"/>
  <c r="E152" i="17"/>
  <c r="D152" i="17"/>
  <c r="F147" i="17"/>
  <c r="E147" i="17"/>
  <c r="D147" i="17"/>
  <c r="A147" i="17"/>
  <c r="F121" i="17"/>
  <c r="E121" i="17"/>
  <c r="D121" i="17"/>
  <c r="A121" i="17"/>
  <c r="A69" i="17"/>
  <c r="AL88" i="15"/>
  <c r="AK88" i="15"/>
  <c r="AJ88" i="15"/>
  <c r="AI88" i="15"/>
  <c r="AH88" i="15"/>
  <c r="AF88" i="15"/>
  <c r="AE88" i="15"/>
  <c r="AD88" i="15"/>
  <c r="AC88" i="15"/>
  <c r="AA88" i="15"/>
  <c r="Z88" i="15"/>
  <c r="Y88" i="15"/>
  <c r="X88" i="15"/>
  <c r="W88" i="15"/>
  <c r="H56" i="15"/>
  <c r="F56" i="15"/>
  <c r="BB152" i="15" l="1"/>
  <c r="CE152" i="15"/>
  <c r="CE132" i="15"/>
  <c r="CE112" i="15"/>
  <c r="CE172" i="15"/>
  <c r="U112" i="15"/>
  <c r="BB112" i="15"/>
  <c r="V152" i="15"/>
  <c r="AL132" i="15"/>
  <c r="AK112" i="15"/>
  <c r="BR132" i="15"/>
  <c r="E112" i="15"/>
  <c r="F132" i="15"/>
  <c r="CC172" i="15"/>
  <c r="BY172" i="15"/>
  <c r="BU172" i="15"/>
  <c r="BQ172" i="15"/>
  <c r="BM172" i="15"/>
  <c r="BI172" i="15"/>
  <c r="BE172" i="15"/>
  <c r="BA172" i="15"/>
  <c r="AW172" i="15"/>
  <c r="AS172" i="15"/>
  <c r="AO172" i="15"/>
  <c r="AK172" i="15"/>
  <c r="AG172" i="15"/>
  <c r="AC172" i="15"/>
  <c r="Y172" i="15"/>
  <c r="U172" i="15"/>
  <c r="Q172" i="15"/>
  <c r="M172" i="15"/>
  <c r="I172" i="15"/>
  <c r="E172" i="15"/>
  <c r="CC152" i="15"/>
  <c r="BY152" i="15"/>
  <c r="BU152" i="15"/>
  <c r="BQ152" i="15"/>
  <c r="BM152" i="15"/>
  <c r="BI152" i="15"/>
  <c r="BE152" i="15"/>
  <c r="BA152" i="15"/>
  <c r="AW152" i="15"/>
  <c r="AS152" i="15"/>
  <c r="AO152" i="15"/>
  <c r="AK152" i="15"/>
  <c r="AG152" i="15"/>
  <c r="AC152" i="15"/>
  <c r="Y152" i="15"/>
  <c r="U152" i="15"/>
  <c r="Q152" i="15"/>
  <c r="M152" i="15"/>
  <c r="I152" i="15"/>
  <c r="E152" i="15"/>
  <c r="CC132" i="15"/>
  <c r="BY132" i="15"/>
  <c r="BU132" i="15"/>
  <c r="BQ132" i="15"/>
  <c r="BM132" i="15"/>
  <c r="BI132" i="15"/>
  <c r="BE132" i="15"/>
  <c r="BA132" i="15"/>
  <c r="AW132" i="15"/>
  <c r="AS132" i="15"/>
  <c r="AO132" i="15"/>
  <c r="AK132" i="15"/>
  <c r="AG132" i="15"/>
  <c r="AC132" i="15"/>
  <c r="Y132" i="15"/>
  <c r="U132" i="15"/>
  <c r="Q132" i="15"/>
  <c r="M132" i="15"/>
  <c r="I132" i="15"/>
  <c r="E132" i="15"/>
  <c r="CC112" i="15"/>
  <c r="BY112" i="15"/>
  <c r="BU112" i="15"/>
  <c r="BQ112" i="15"/>
  <c r="BM112" i="15"/>
  <c r="BI112" i="15"/>
  <c r="BE112" i="15"/>
  <c r="BA112" i="15"/>
  <c r="CA172" i="15"/>
  <c r="BW172" i="15"/>
  <c r="BS172" i="15"/>
  <c r="BO172" i="15"/>
  <c r="BK172" i="15"/>
  <c r="BG172" i="15"/>
  <c r="BC172" i="15"/>
  <c r="AY172" i="15"/>
  <c r="AU172" i="15"/>
  <c r="AQ172" i="15"/>
  <c r="AM172" i="15"/>
  <c r="AI172" i="15"/>
  <c r="AE172" i="15"/>
  <c r="AA172" i="15"/>
  <c r="W172" i="15"/>
  <c r="S172" i="15"/>
  <c r="O172" i="15"/>
  <c r="K172" i="15"/>
  <c r="G172" i="15"/>
  <c r="C172" i="15"/>
  <c r="CA152" i="15"/>
  <c r="BW152" i="15"/>
  <c r="BS152" i="15"/>
  <c r="BO152" i="15"/>
  <c r="BK152" i="15"/>
  <c r="BG152" i="15"/>
  <c r="BC152" i="15"/>
  <c r="AY152" i="15"/>
  <c r="AU152" i="15"/>
  <c r="AQ152" i="15"/>
  <c r="AM152" i="15"/>
  <c r="AI152" i="15"/>
  <c r="AE152" i="15"/>
  <c r="AA152" i="15"/>
  <c r="W152" i="15"/>
  <c r="S152" i="15"/>
  <c r="O152" i="15"/>
  <c r="K152" i="15"/>
  <c r="G152" i="15"/>
  <c r="C152" i="15"/>
  <c r="CA132" i="15"/>
  <c r="BW132" i="15"/>
  <c r="BS132" i="15"/>
  <c r="BO132" i="15"/>
  <c r="BK132" i="15"/>
  <c r="BG132" i="15"/>
  <c r="BC132" i="15"/>
  <c r="AY132" i="15"/>
  <c r="AU132" i="15"/>
  <c r="AQ132" i="15"/>
  <c r="AM132" i="15"/>
  <c r="AI132" i="15"/>
  <c r="AE132" i="15"/>
  <c r="AA132" i="15"/>
  <c r="W132" i="15"/>
  <c r="S132" i="15"/>
  <c r="O132" i="15"/>
  <c r="K132" i="15"/>
  <c r="G132" i="15"/>
  <c r="C132" i="15"/>
  <c r="CA112" i="15"/>
  <c r="BW112" i="15"/>
  <c r="BS112" i="15"/>
  <c r="BO112" i="15"/>
  <c r="BK112" i="15"/>
  <c r="BG112" i="15"/>
  <c r="BC112" i="15"/>
  <c r="BX172" i="15"/>
  <c r="BP172" i="15"/>
  <c r="BH172" i="15"/>
  <c r="AZ172" i="15"/>
  <c r="AR172" i="15"/>
  <c r="AJ172" i="15"/>
  <c r="AB172" i="15"/>
  <c r="T172" i="15"/>
  <c r="L172" i="15"/>
  <c r="D172" i="15"/>
  <c r="BX152" i="15"/>
  <c r="BP152" i="15"/>
  <c r="BH152" i="15"/>
  <c r="AZ152" i="15"/>
  <c r="AR152" i="15"/>
  <c r="AJ152" i="15"/>
  <c r="AB152" i="15"/>
  <c r="T152" i="15"/>
  <c r="L152" i="15"/>
  <c r="D152" i="15"/>
  <c r="BX132" i="15"/>
  <c r="BP132" i="15"/>
  <c r="BH132" i="15"/>
  <c r="AZ132" i="15"/>
  <c r="AR132" i="15"/>
  <c r="AJ132" i="15"/>
  <c r="AB132" i="15"/>
  <c r="T132" i="15"/>
  <c r="L132" i="15"/>
  <c r="D132" i="15"/>
  <c r="BX112" i="15"/>
  <c r="BP112" i="15"/>
  <c r="BH112" i="15"/>
  <c r="AZ112" i="15"/>
  <c r="AV112" i="15"/>
  <c r="AR112" i="15"/>
  <c r="AN112" i="15"/>
  <c r="AJ112" i="15"/>
  <c r="AF112" i="15"/>
  <c r="AB112" i="15"/>
  <c r="T112" i="15"/>
  <c r="P112" i="15"/>
  <c r="L112" i="15"/>
  <c r="H112" i="15"/>
  <c r="D112" i="15"/>
  <c r="BL172" i="15"/>
  <c r="AV172" i="15"/>
  <c r="H172" i="15"/>
  <c r="BT152" i="15"/>
  <c r="BD152" i="15"/>
  <c r="AN152" i="15"/>
  <c r="H152" i="15"/>
  <c r="BT132" i="15"/>
  <c r="BD132" i="15"/>
  <c r="AN132" i="15"/>
  <c r="H132" i="15"/>
  <c r="BT112" i="15"/>
  <c r="BD112" i="15"/>
  <c r="AT112" i="15"/>
  <c r="AL112" i="15"/>
  <c r="AD112" i="15"/>
  <c r="V112" i="15"/>
  <c r="N112" i="15"/>
  <c r="F112" i="15"/>
  <c r="CD172" i="15"/>
  <c r="BV172" i="15"/>
  <c r="BN172" i="15"/>
  <c r="BF172" i="15"/>
  <c r="AX172" i="15"/>
  <c r="AP172" i="15"/>
  <c r="AH172" i="15"/>
  <c r="Z172" i="15"/>
  <c r="R172" i="15"/>
  <c r="J172" i="15"/>
  <c r="CD152" i="15"/>
  <c r="BV152" i="15"/>
  <c r="BN152" i="15"/>
  <c r="BF152" i="15"/>
  <c r="AX152" i="15"/>
  <c r="AP152" i="15"/>
  <c r="AH152" i="15"/>
  <c r="Z152" i="15"/>
  <c r="R152" i="15"/>
  <c r="J152" i="15"/>
  <c r="CD132" i="15"/>
  <c r="BV132" i="15"/>
  <c r="BN132" i="15"/>
  <c r="BF132" i="15"/>
  <c r="AX132" i="15"/>
  <c r="AP132" i="15"/>
  <c r="AH132" i="15"/>
  <c r="Z132" i="15"/>
  <c r="R132" i="15"/>
  <c r="J132" i="15"/>
  <c r="CD112" i="15"/>
  <c r="BV112" i="15"/>
  <c r="BN112" i="15"/>
  <c r="BF112" i="15"/>
  <c r="AY112" i="15"/>
  <c r="AU112" i="15"/>
  <c r="AQ112" i="15"/>
  <c r="AM112" i="15"/>
  <c r="AI112" i="15"/>
  <c r="AE112" i="15"/>
  <c r="AA112" i="15"/>
  <c r="W112" i="15"/>
  <c r="S112" i="15"/>
  <c r="O112" i="15"/>
  <c r="K112" i="15"/>
  <c r="G112" i="15"/>
  <c r="C112" i="15"/>
  <c r="CB172" i="15"/>
  <c r="BT172" i="15"/>
  <c r="BD172" i="15"/>
  <c r="AN172" i="15"/>
  <c r="AF172" i="15"/>
  <c r="P172" i="15"/>
  <c r="CB152" i="15"/>
  <c r="BL152" i="15"/>
  <c r="AV152" i="15"/>
  <c r="AF152" i="15"/>
  <c r="P152" i="15"/>
  <c r="CB132" i="15"/>
  <c r="BL132" i="15"/>
  <c r="AV132" i="15"/>
  <c r="AF132" i="15"/>
  <c r="P132" i="15"/>
  <c r="CB112" i="15"/>
  <c r="BL112" i="15"/>
  <c r="AX112" i="15"/>
  <c r="AP112" i="15"/>
  <c r="AH112" i="15"/>
  <c r="Z112" i="15"/>
  <c r="R112" i="15"/>
  <c r="J112" i="15"/>
  <c r="M112" i="15"/>
  <c r="AC112" i="15"/>
  <c r="AS112" i="15"/>
  <c r="BR112" i="15"/>
  <c r="V132" i="15"/>
  <c r="BB132" i="15"/>
  <c r="F152" i="15"/>
  <c r="AL152" i="15"/>
  <c r="BR152" i="15"/>
  <c r="V172" i="15"/>
  <c r="BB172" i="15"/>
  <c r="Q112" i="15"/>
  <c r="AG112" i="15"/>
  <c r="AW112" i="15"/>
  <c r="BZ112" i="15"/>
  <c r="AD132" i="15"/>
  <c r="BJ132" i="15"/>
  <c r="N152" i="15"/>
  <c r="AT152" i="15"/>
  <c r="BZ152" i="15"/>
  <c r="AD172" i="15"/>
  <c r="BJ172" i="15"/>
  <c r="F172" i="15"/>
  <c r="AL172" i="15"/>
  <c r="BR172" i="15"/>
  <c r="I112" i="15"/>
  <c r="Y112" i="15"/>
  <c r="AO112" i="15"/>
  <c r="BJ112" i="15"/>
  <c r="N132" i="15"/>
  <c r="AT132" i="15"/>
  <c r="BZ132" i="15"/>
  <c r="AD152" i="15"/>
  <c r="BJ152" i="15"/>
  <c r="N172" i="15"/>
  <c r="AT172" i="15"/>
  <c r="BZ172" i="15"/>
  <c r="D169" i="18" l="1"/>
  <c r="F87" i="23"/>
  <c r="F86" i="23"/>
  <c r="F85" i="23"/>
  <c r="F84" i="23"/>
  <c r="F83" i="23"/>
  <c r="F82" i="23"/>
  <c r="F81" i="23"/>
  <c r="F80" i="23"/>
  <c r="F79" i="23"/>
  <c r="F78" i="23"/>
  <c r="F77" i="23"/>
  <c r="F76" i="23"/>
  <c r="F75" i="23"/>
  <c r="F74" i="23"/>
  <c r="F73" i="23"/>
  <c r="F72" i="23"/>
  <c r="F71" i="23"/>
  <c r="F70" i="23"/>
  <c r="F69" i="23"/>
  <c r="F68" i="23"/>
  <c r="F67" i="23"/>
  <c r="F66" i="23"/>
  <c r="F65" i="23"/>
  <c r="F64" i="23"/>
  <c r="F63" i="23"/>
  <c r="F62" i="23"/>
  <c r="F61" i="23"/>
  <c r="F60" i="23"/>
  <c r="F59" i="23"/>
  <c r="F58" i="23"/>
  <c r="F57" i="23"/>
  <c r="F56" i="23"/>
  <c r="F55" i="23"/>
  <c r="F54" i="23"/>
  <c r="F53" i="23"/>
  <c r="F52" i="23"/>
  <c r="F51" i="23"/>
  <c r="F50" i="23"/>
  <c r="F49" i="23"/>
  <c r="F48" i="23"/>
  <c r="F47" i="23"/>
  <c r="F46" i="23"/>
  <c r="F45" i="23"/>
  <c r="F44" i="23"/>
  <c r="F43" i="23"/>
  <c r="F42" i="23"/>
  <c r="F41" i="23"/>
  <c r="F40" i="23"/>
  <c r="F39" i="23"/>
  <c r="F38" i="23"/>
  <c r="F37" i="23"/>
  <c r="F36" i="23"/>
  <c r="F35" i="23"/>
  <c r="F34" i="23"/>
  <c r="F33" i="23"/>
  <c r="F32" i="23"/>
  <c r="F31" i="23"/>
  <c r="F30" i="23"/>
  <c r="F29" i="23"/>
  <c r="F28" i="23"/>
  <c r="F27" i="23"/>
  <c r="F26" i="23"/>
  <c r="F25" i="23"/>
  <c r="F24" i="23"/>
  <c r="F23" i="23"/>
  <c r="F22" i="23"/>
  <c r="F21" i="23"/>
  <c r="F20" i="23"/>
  <c r="F19" i="23"/>
  <c r="F18" i="23"/>
  <c r="F17" i="23"/>
  <c r="F16" i="23"/>
  <c r="F15" i="23"/>
  <c r="F14" i="23"/>
  <c r="F13" i="23"/>
  <c r="F12" i="23"/>
  <c r="F11" i="23"/>
  <c r="F10" i="23"/>
  <c r="F9" i="23"/>
  <c r="C27" i="22" l="1"/>
  <c r="A151" i="13"/>
  <c r="A150" i="13"/>
  <c r="A149" i="13"/>
  <c r="A148" i="13"/>
  <c r="A146" i="13"/>
  <c r="A145" i="13"/>
  <c r="A144" i="13"/>
  <c r="A143" i="13"/>
  <c r="A142" i="13"/>
  <c r="A140" i="13"/>
  <c r="A138" i="13"/>
  <c r="A137" i="13"/>
  <c r="A136" i="13"/>
  <c r="A135" i="13"/>
  <c r="A134" i="13"/>
  <c r="A133" i="13"/>
  <c r="A132" i="13"/>
  <c r="A131" i="13"/>
  <c r="A130" i="13"/>
  <c r="A129" i="13"/>
  <c r="A128" i="13"/>
  <c r="A127" i="13"/>
  <c r="A125" i="13"/>
  <c r="A124" i="13"/>
  <c r="A123" i="13"/>
  <c r="A122" i="13"/>
  <c r="A119" i="13"/>
  <c r="A118" i="13"/>
  <c r="A117" i="13"/>
  <c r="A116" i="13"/>
  <c r="A115" i="13"/>
  <c r="A114" i="13"/>
  <c r="A113" i="13"/>
  <c r="A112" i="13"/>
  <c r="A111" i="13"/>
  <c r="A110" i="13"/>
  <c r="A109" i="13"/>
  <c r="A108" i="13"/>
  <c r="A107" i="13"/>
  <c r="A106" i="13"/>
  <c r="A104" i="13"/>
  <c r="A101" i="13"/>
  <c r="J11" i="17" l="1"/>
  <c r="A198" i="17"/>
  <c r="A197" i="17"/>
  <c r="A196" i="17"/>
  <c r="A195" i="17"/>
  <c r="A194" i="17"/>
  <c r="A193" i="17"/>
  <c r="A192" i="17"/>
  <c r="A191" i="17"/>
  <c r="A190" i="17"/>
  <c r="A189" i="17"/>
  <c r="A188" i="17"/>
  <c r="A187" i="17"/>
  <c r="A186" i="17"/>
  <c r="A185" i="17"/>
  <c r="A184" i="17"/>
  <c r="A183" i="17"/>
  <c r="A182" i="17"/>
  <c r="A181" i="17"/>
  <c r="L53" i="9" l="1"/>
  <c r="M53" i="9" s="1"/>
  <c r="L52" i="9"/>
  <c r="M52" i="9" s="1"/>
  <c r="L51" i="9"/>
  <c r="M51" i="9" s="1"/>
  <c r="L50" i="9"/>
  <c r="M50" i="9" s="1"/>
  <c r="L49" i="9"/>
  <c r="M49" i="9" s="1"/>
  <c r="L48" i="9"/>
  <c r="M48" i="9" s="1"/>
  <c r="L47" i="9"/>
  <c r="M47" i="9" s="1"/>
  <c r="L46" i="9"/>
  <c r="M46" i="9" s="1"/>
  <c r="L45" i="9"/>
  <c r="M45" i="9" s="1"/>
  <c r="L44" i="9"/>
  <c r="M44" i="9" s="1"/>
  <c r="L23" i="9"/>
  <c r="M23" i="9" s="1"/>
  <c r="L22" i="9"/>
  <c r="M22" i="9" s="1"/>
  <c r="L21" i="9"/>
  <c r="M21" i="9" s="1"/>
  <c r="L20" i="9"/>
  <c r="M20" i="9" s="1"/>
  <c r="L19" i="9"/>
  <c r="M19" i="9" s="1"/>
  <c r="L18" i="9"/>
  <c r="M18" i="9" s="1"/>
  <c r="L17" i="9"/>
  <c r="M17" i="9" s="1"/>
  <c r="L16" i="9"/>
  <c r="M16" i="9" s="1"/>
  <c r="L15" i="9"/>
  <c r="M15" i="9" s="1"/>
  <c r="L13" i="9"/>
  <c r="M13" i="9" s="1"/>
  <c r="L14" i="9"/>
  <c r="M14" i="9" s="1"/>
  <c r="M54" i="9" l="1"/>
  <c r="J54" i="12"/>
  <c r="J53" i="12"/>
  <c r="J52" i="12"/>
  <c r="J51" i="12"/>
  <c r="J50" i="12"/>
  <c r="J49" i="12"/>
  <c r="J48" i="12"/>
  <c r="J47" i="12"/>
  <c r="J46" i="12"/>
  <c r="J45" i="12"/>
  <c r="J24" i="12"/>
  <c r="J23" i="12"/>
  <c r="J22" i="12"/>
  <c r="J21" i="12"/>
  <c r="J20" i="12"/>
  <c r="J18" i="12"/>
  <c r="J17" i="12"/>
  <c r="J16" i="12"/>
  <c r="J15" i="12"/>
  <c r="J14" i="12"/>
  <c r="J19" i="12"/>
  <c r="G66" i="15" l="1"/>
  <c r="G65" i="15"/>
  <c r="G61" i="15"/>
  <c r="G60" i="15"/>
  <c r="G49" i="15"/>
  <c r="G48" i="15"/>
  <c r="G44" i="15"/>
  <c r="H44" i="15" s="1"/>
  <c r="G43" i="15"/>
  <c r="H43" i="15" s="1"/>
  <c r="G30" i="15"/>
  <c r="H30" i="15" s="1"/>
  <c r="G29" i="15"/>
  <c r="H29" i="15" s="1"/>
  <c r="L54" i="9" l="1"/>
  <c r="F204" i="17"/>
  <c r="E204" i="17"/>
  <c r="D204" i="17"/>
  <c r="F198" i="17"/>
  <c r="E198" i="17"/>
  <c r="D198" i="17"/>
  <c r="F197" i="17"/>
  <c r="E197" i="17"/>
  <c r="D197" i="17"/>
  <c r="F196" i="17"/>
  <c r="E196" i="17"/>
  <c r="D196" i="17"/>
  <c r="F195" i="17"/>
  <c r="E195" i="17"/>
  <c r="D195" i="17"/>
  <c r="F194" i="17"/>
  <c r="E194" i="17"/>
  <c r="D194" i="17"/>
  <c r="F193" i="17"/>
  <c r="E193" i="17"/>
  <c r="D193" i="17"/>
  <c r="F192" i="17"/>
  <c r="E192" i="17"/>
  <c r="D192" i="17"/>
  <c r="F191" i="17"/>
  <c r="E191" i="17"/>
  <c r="D191" i="17"/>
  <c r="F190" i="17"/>
  <c r="E190" i="17"/>
  <c r="D190" i="17"/>
  <c r="F178" i="17"/>
  <c r="E178" i="17"/>
  <c r="D178" i="17"/>
  <c r="F172" i="17"/>
  <c r="E172" i="17"/>
  <c r="D172" i="17"/>
  <c r="A172" i="17"/>
  <c r="F171" i="17"/>
  <c r="E171" i="17"/>
  <c r="D171" i="17"/>
  <c r="A171" i="17"/>
  <c r="F170" i="17"/>
  <c r="E170" i="17"/>
  <c r="D170" i="17"/>
  <c r="A170" i="17"/>
  <c r="F169" i="17"/>
  <c r="E169" i="17"/>
  <c r="D169" i="17"/>
  <c r="A169" i="17"/>
  <c r="F168" i="17"/>
  <c r="E168" i="17"/>
  <c r="D168" i="17"/>
  <c r="A168" i="17"/>
  <c r="F167" i="17"/>
  <c r="E167" i="17"/>
  <c r="D167" i="17"/>
  <c r="A167" i="17"/>
  <c r="F146" i="17"/>
  <c r="E146" i="17"/>
  <c r="D146" i="17"/>
  <c r="A146" i="17"/>
  <c r="A145" i="17"/>
  <c r="A144" i="17"/>
  <c r="A143" i="17"/>
  <c r="F126" i="17"/>
  <c r="E126" i="17"/>
  <c r="D126" i="17"/>
  <c r="F120" i="17"/>
  <c r="E120" i="17"/>
  <c r="D120" i="17"/>
  <c r="A120" i="17"/>
  <c r="F119" i="17"/>
  <c r="E119" i="17"/>
  <c r="D119" i="17"/>
  <c r="A119" i="17"/>
  <c r="F118" i="17"/>
  <c r="E118" i="17"/>
  <c r="D118" i="17"/>
  <c r="A118" i="17"/>
  <c r="F117" i="17"/>
  <c r="E117" i="17"/>
  <c r="D117" i="17"/>
  <c r="A117" i="17"/>
  <c r="A68" i="17"/>
  <c r="A67" i="17"/>
  <c r="R75" i="20"/>
  <c r="Q75" i="20"/>
  <c r="P75" i="20"/>
  <c r="O75" i="20"/>
  <c r="R74" i="20"/>
  <c r="Q74" i="20"/>
  <c r="P74" i="20"/>
  <c r="O74" i="20"/>
  <c r="R73" i="20"/>
  <c r="Q73" i="20"/>
  <c r="P73" i="20"/>
  <c r="O73" i="20"/>
  <c r="R72" i="20"/>
  <c r="Q72" i="20"/>
  <c r="P72" i="20"/>
  <c r="O72" i="20"/>
  <c r="S53" i="10" l="1"/>
  <c r="T53" i="10" s="1"/>
  <c r="A72" i="13"/>
  <c r="A100" i="13"/>
  <c r="A99" i="13"/>
  <c r="A97" i="13"/>
  <c r="A92" i="13"/>
  <c r="A91" i="13"/>
  <c r="A90" i="13"/>
  <c r="A88" i="13"/>
  <c r="A87" i="13"/>
  <c r="A85" i="13"/>
  <c r="A84" i="13"/>
  <c r="A82" i="13"/>
  <c r="A81" i="13"/>
  <c r="A76" i="13"/>
  <c r="A75" i="13"/>
  <c r="A73" i="13" l="1"/>
  <c r="A74" i="13"/>
  <c r="A77" i="13" s="1"/>
  <c r="H60" i="15"/>
  <c r="F54" i="15"/>
  <c r="H49" i="15"/>
  <c r="A78" i="13" l="1"/>
  <c r="AI97" i="15"/>
  <c r="AH97" i="15"/>
  <c r="AF97" i="15"/>
  <c r="AE97" i="15"/>
  <c r="AD97" i="15"/>
  <c r="AC97" i="15"/>
  <c r="AB97" i="15"/>
  <c r="AA97" i="15"/>
  <c r="Z97" i="15"/>
  <c r="Y97" i="15"/>
  <c r="X97" i="15"/>
  <c r="AL93" i="15"/>
  <c r="AK93" i="15"/>
  <c r="AJ93" i="15"/>
  <c r="AF93" i="15"/>
  <c r="AE93" i="15"/>
  <c r="AD93" i="15"/>
  <c r="AC93" i="15"/>
  <c r="AB93" i="15"/>
  <c r="AA93" i="15"/>
  <c r="Z93" i="15"/>
  <c r="Y93" i="15"/>
  <c r="X93" i="15"/>
  <c r="AL90" i="15"/>
  <c r="AK90" i="15"/>
  <c r="AJ90" i="15"/>
  <c r="AI90" i="15"/>
  <c r="AH90" i="15"/>
  <c r="AF90" i="15"/>
  <c r="AE90" i="15"/>
  <c r="AD90" i="15"/>
  <c r="AC90" i="15"/>
  <c r="AB90" i="15"/>
  <c r="AA90" i="15"/>
  <c r="Z90" i="15"/>
  <c r="X90" i="15"/>
  <c r="AL89" i="15"/>
  <c r="AK89" i="15"/>
  <c r="AJ89" i="15"/>
  <c r="AI89" i="15"/>
  <c r="AH89" i="15"/>
  <c r="AF89" i="15"/>
  <c r="AE89" i="15"/>
  <c r="AD89" i="15"/>
  <c r="AC89" i="15"/>
  <c r="AB89" i="15"/>
  <c r="AA89" i="15"/>
  <c r="Z89" i="15"/>
  <c r="X89" i="15"/>
  <c r="AL84" i="15"/>
  <c r="AK84" i="15"/>
  <c r="AJ84" i="15"/>
  <c r="AI84" i="15"/>
  <c r="AH84" i="15"/>
  <c r="AF84" i="15"/>
  <c r="AE84" i="15"/>
  <c r="AD84" i="15"/>
  <c r="AC84" i="15"/>
  <c r="AB84" i="15"/>
  <c r="AA84" i="15"/>
  <c r="Z84" i="15"/>
  <c r="X84" i="15"/>
  <c r="AL83" i="15"/>
  <c r="AK83" i="15"/>
  <c r="AJ83" i="15"/>
  <c r="AI83" i="15"/>
  <c r="AH83" i="15"/>
  <c r="AD83" i="15"/>
  <c r="AC83" i="15"/>
  <c r="AB83" i="15"/>
  <c r="AA83" i="15"/>
  <c r="Z83" i="15"/>
  <c r="AL82" i="15"/>
  <c r="AK82" i="15"/>
  <c r="AJ82" i="15"/>
  <c r="AI82" i="15"/>
  <c r="AH82" i="15"/>
  <c r="AF82" i="15"/>
  <c r="AE82" i="15"/>
  <c r="AD82" i="15"/>
  <c r="AC82" i="15"/>
  <c r="AB82" i="15"/>
  <c r="AA82" i="15"/>
  <c r="Z82" i="15"/>
  <c r="W97" i="15"/>
  <c r="W93" i="15"/>
  <c r="W90" i="15"/>
  <c r="W89" i="15"/>
  <c r="W84" i="15"/>
  <c r="F58" i="15"/>
  <c r="F57" i="15"/>
  <c r="F47" i="15"/>
  <c r="G46" i="15"/>
  <c r="H46" i="15" s="1"/>
  <c r="G45" i="15"/>
  <c r="F42" i="15"/>
  <c r="F43" i="15"/>
  <c r="F44" i="15"/>
  <c r="F45" i="15"/>
  <c r="F46" i="15"/>
  <c r="G40" i="15"/>
  <c r="G39" i="15"/>
  <c r="F41" i="15"/>
  <c r="F40" i="15"/>
  <c r="F39" i="15"/>
  <c r="F66" i="15"/>
  <c r="F30" i="15"/>
  <c r="F29" i="15"/>
  <c r="CE133" i="15" l="1"/>
  <c r="CE113" i="15"/>
  <c r="CE173" i="15"/>
  <c r="CE153" i="15"/>
  <c r="CE148" i="15"/>
  <c r="CE108" i="15"/>
  <c r="CE168" i="15"/>
  <c r="CE128" i="15"/>
  <c r="CE114" i="15"/>
  <c r="CE154" i="15"/>
  <c r="CE174" i="15"/>
  <c r="CE134" i="15"/>
  <c r="CE167" i="15"/>
  <c r="CE127" i="15"/>
  <c r="CE147" i="15"/>
  <c r="CE107" i="15"/>
  <c r="CE106" i="15"/>
  <c r="CE146" i="15"/>
  <c r="CE166" i="15"/>
  <c r="CE126" i="15"/>
  <c r="A79" i="13"/>
  <c r="AC134" i="15"/>
  <c r="AF154" i="15"/>
  <c r="AF134" i="15"/>
  <c r="AF174" i="15"/>
  <c r="AF114" i="15"/>
  <c r="AF127" i="15"/>
  <c r="AF147" i="15"/>
  <c r="AF107" i="15"/>
  <c r="AF167" i="15"/>
  <c r="AF106" i="15"/>
  <c r="AF126" i="15"/>
  <c r="AF166" i="15"/>
  <c r="AF146" i="15"/>
  <c r="BR128" i="15"/>
  <c r="AF148" i="15"/>
  <c r="AF168" i="15"/>
  <c r="AF108" i="15"/>
  <c r="AF128" i="15"/>
  <c r="U133" i="15"/>
  <c r="AF133" i="15"/>
  <c r="AF153" i="15"/>
  <c r="AF173" i="15"/>
  <c r="AF113" i="15"/>
  <c r="AD108" i="15"/>
  <c r="AO114" i="15"/>
  <c r="C134" i="15"/>
  <c r="L106" i="15"/>
  <c r="F108" i="15"/>
  <c r="AA114" i="15"/>
  <c r="AZ114" i="15"/>
  <c r="AW128" i="15"/>
  <c r="H108" i="15"/>
  <c r="AM108" i="15"/>
  <c r="BJ108" i="15"/>
  <c r="BV134" i="15"/>
  <c r="S108" i="15"/>
  <c r="AX108" i="15"/>
  <c r="BJ114" i="15"/>
  <c r="F114" i="15"/>
  <c r="X108" i="15"/>
  <c r="AG114" i="15"/>
  <c r="BC108" i="15"/>
  <c r="BE114" i="15"/>
  <c r="BZ114" i="15"/>
  <c r="BY128" i="15"/>
  <c r="BG127" i="15"/>
  <c r="BX126" i="15"/>
  <c r="Q108" i="15"/>
  <c r="U114" i="15"/>
  <c r="AS108" i="15"/>
  <c r="AT114" i="15"/>
  <c r="BZ108" i="15"/>
  <c r="R128" i="15"/>
  <c r="A80" i="13"/>
  <c r="D106" i="15"/>
  <c r="J113" i="15"/>
  <c r="AE106" i="15"/>
  <c r="AB113" i="15"/>
  <c r="AT106" i="15"/>
  <c r="AS107" i="15"/>
  <c r="BZ106" i="15"/>
  <c r="BR113" i="15"/>
  <c r="AZ126" i="15"/>
  <c r="AW127" i="15"/>
  <c r="BN133" i="15"/>
  <c r="AX146" i="15"/>
  <c r="H106" i="15"/>
  <c r="K108" i="15"/>
  <c r="L107" i="15"/>
  <c r="M107" i="15"/>
  <c r="M114" i="15"/>
  <c r="N107" i="15"/>
  <c r="N114" i="15"/>
  <c r="O106" i="15"/>
  <c r="O114" i="15"/>
  <c r="P106" i="15"/>
  <c r="P113" i="15"/>
  <c r="Q106" i="15"/>
  <c r="Q113" i="15"/>
  <c r="W106" i="15"/>
  <c r="AB106" i="15"/>
  <c r="AH106" i="15"/>
  <c r="V107" i="15"/>
  <c r="AB107" i="15"/>
  <c r="AH107" i="15"/>
  <c r="V108" i="15"/>
  <c r="AA108" i="15"/>
  <c r="AG108" i="15"/>
  <c r="T113" i="15"/>
  <c r="Y113" i="15"/>
  <c r="AD113" i="15"/>
  <c r="S114" i="15"/>
  <c r="X114" i="15"/>
  <c r="AC114" i="15"/>
  <c r="AL106" i="15"/>
  <c r="AQ106" i="15"/>
  <c r="AW106" i="15"/>
  <c r="BB106" i="15"/>
  <c r="AK107" i="15"/>
  <c r="AQ107" i="15"/>
  <c r="AV107" i="15"/>
  <c r="BA107" i="15"/>
  <c r="AK108" i="15"/>
  <c r="AP108" i="15"/>
  <c r="AU108" i="15"/>
  <c r="BA108" i="15"/>
  <c r="BF108" i="15"/>
  <c r="AM113" i="15"/>
  <c r="AR113" i="15"/>
  <c r="AX113" i="15"/>
  <c r="BC113" i="15"/>
  <c r="AL114" i="15"/>
  <c r="AR114" i="15"/>
  <c r="AW114" i="15"/>
  <c r="BB114" i="15"/>
  <c r="BR106" i="15"/>
  <c r="BJ107" i="15"/>
  <c r="BZ107" i="15"/>
  <c r="BR108" i="15"/>
  <c r="BJ113" i="15"/>
  <c r="BZ113" i="15"/>
  <c r="BR114" i="15"/>
  <c r="J126" i="15"/>
  <c r="Z126" i="15"/>
  <c r="AR126" i="15"/>
  <c r="BH126" i="15"/>
  <c r="N127" i="15"/>
  <c r="AL127" i="15"/>
  <c r="D128" i="15"/>
  <c r="AG128" i="15"/>
  <c r="BJ128" i="15"/>
  <c r="AD148" i="15"/>
  <c r="CC167" i="15"/>
  <c r="BY167" i="15"/>
  <c r="BU167" i="15"/>
  <c r="BQ167" i="15"/>
  <c r="BM167" i="15"/>
  <c r="BI167" i="15"/>
  <c r="BE167" i="15"/>
  <c r="BA167" i="15"/>
  <c r="AW167" i="15"/>
  <c r="AS167" i="15"/>
  <c r="AO167" i="15"/>
  <c r="AK167" i="15"/>
  <c r="AE167" i="15"/>
  <c r="AA167" i="15"/>
  <c r="V167" i="15"/>
  <c r="R167" i="15"/>
  <c r="N167" i="15"/>
  <c r="J167" i="15"/>
  <c r="E167" i="15"/>
  <c r="CD167" i="15"/>
  <c r="BX167" i="15"/>
  <c r="BS167" i="15"/>
  <c r="BN167" i="15"/>
  <c r="BH167" i="15"/>
  <c r="BC167" i="15"/>
  <c r="AX167" i="15"/>
  <c r="AR167" i="15"/>
  <c r="AM167" i="15"/>
  <c r="AG167" i="15"/>
  <c r="Z167" i="15"/>
  <c r="T167" i="15"/>
  <c r="O167" i="15"/>
  <c r="H167" i="15"/>
  <c r="C167" i="15"/>
  <c r="CA167" i="15"/>
  <c r="BV167" i="15"/>
  <c r="BP167" i="15"/>
  <c r="BK167" i="15"/>
  <c r="BF167" i="15"/>
  <c r="AZ167" i="15"/>
  <c r="AU167" i="15"/>
  <c r="AP167" i="15"/>
  <c r="AI167" i="15"/>
  <c r="AC167" i="15"/>
  <c r="W167" i="15"/>
  <c r="Q167" i="15"/>
  <c r="L167" i="15"/>
  <c r="F167" i="15"/>
  <c r="BZ167" i="15"/>
  <c r="BT167" i="15"/>
  <c r="BO167" i="15"/>
  <c r="BJ167" i="15"/>
  <c r="BD167" i="15"/>
  <c r="AY167" i="15"/>
  <c r="AT167" i="15"/>
  <c r="AN167" i="15"/>
  <c r="AH167" i="15"/>
  <c r="AB167" i="15"/>
  <c r="U167" i="15"/>
  <c r="P167" i="15"/>
  <c r="K167" i="15"/>
  <c r="D167" i="15"/>
  <c r="CB167" i="15"/>
  <c r="BG167" i="15"/>
  <c r="AL167" i="15"/>
  <c r="M167" i="15"/>
  <c r="BR167" i="15"/>
  <c r="AV167" i="15"/>
  <c r="Y167" i="15"/>
  <c r="BL167" i="15"/>
  <c r="AQ167" i="15"/>
  <c r="S167" i="15"/>
  <c r="BB167" i="15"/>
  <c r="CB147" i="15"/>
  <c r="BX147" i="15"/>
  <c r="BT147" i="15"/>
  <c r="BP147" i="15"/>
  <c r="BL147" i="15"/>
  <c r="BH147" i="15"/>
  <c r="BD147" i="15"/>
  <c r="AZ147" i="15"/>
  <c r="AV147" i="15"/>
  <c r="AR147" i="15"/>
  <c r="AN147" i="15"/>
  <c r="AI147" i="15"/>
  <c r="AD147" i="15"/>
  <c r="Z147" i="15"/>
  <c r="U147" i="15"/>
  <c r="Q147" i="15"/>
  <c r="M147" i="15"/>
  <c r="H147" i="15"/>
  <c r="D147" i="15"/>
  <c r="G167" i="15"/>
  <c r="CD147" i="15"/>
  <c r="BZ147" i="15"/>
  <c r="BV147" i="15"/>
  <c r="BR147" i="15"/>
  <c r="BN147" i="15"/>
  <c r="BJ147" i="15"/>
  <c r="BF147" i="15"/>
  <c r="BB147" i="15"/>
  <c r="AX147" i="15"/>
  <c r="AT147" i="15"/>
  <c r="AP147" i="15"/>
  <c r="AL147" i="15"/>
  <c r="AG147" i="15"/>
  <c r="AB147" i="15"/>
  <c r="W147" i="15"/>
  <c r="S147" i="15"/>
  <c r="O147" i="15"/>
  <c r="K147" i="15"/>
  <c r="F147" i="15"/>
  <c r="C147" i="15"/>
  <c r="CB127" i="15"/>
  <c r="BX127" i="15"/>
  <c r="BT127" i="15"/>
  <c r="BP127" i="15"/>
  <c r="BL127" i="15"/>
  <c r="BH127" i="15"/>
  <c r="BD127" i="15"/>
  <c r="AZ127" i="15"/>
  <c r="AV127" i="15"/>
  <c r="AR127" i="15"/>
  <c r="AN127" i="15"/>
  <c r="AI127" i="15"/>
  <c r="AD127" i="15"/>
  <c r="Z127" i="15"/>
  <c r="U127" i="15"/>
  <c r="Q127" i="15"/>
  <c r="BW167" i="15"/>
  <c r="CC147" i="15"/>
  <c r="BY147" i="15"/>
  <c r="BU147" i="15"/>
  <c r="BQ147" i="15"/>
  <c r="BM147" i="15"/>
  <c r="BI147" i="15"/>
  <c r="BE147" i="15"/>
  <c r="BA147" i="15"/>
  <c r="AW147" i="15"/>
  <c r="AS147" i="15"/>
  <c r="AO147" i="15"/>
  <c r="AK147" i="15"/>
  <c r="AE147" i="15"/>
  <c r="AA147" i="15"/>
  <c r="V147" i="15"/>
  <c r="R147" i="15"/>
  <c r="N147" i="15"/>
  <c r="J147" i="15"/>
  <c r="E147" i="15"/>
  <c r="CA147" i="15"/>
  <c r="BK147" i="15"/>
  <c r="AU147" i="15"/>
  <c r="AC147" i="15"/>
  <c r="L147" i="15"/>
  <c r="CD127" i="15"/>
  <c r="BY127" i="15"/>
  <c r="BW147" i="15"/>
  <c r="BG147" i="15"/>
  <c r="AQ147" i="15"/>
  <c r="Y147" i="15"/>
  <c r="G147" i="15"/>
  <c r="AD167" i="15"/>
  <c r="BO147" i="15"/>
  <c r="AY147" i="15"/>
  <c r="AH147" i="15"/>
  <c r="P147" i="15"/>
  <c r="T147" i="15"/>
  <c r="CC127" i="15"/>
  <c r="BV127" i="15"/>
  <c r="BQ127" i="15"/>
  <c r="BK127" i="15"/>
  <c r="BF127" i="15"/>
  <c r="BA127" i="15"/>
  <c r="AU127" i="15"/>
  <c r="AP127" i="15"/>
  <c r="AK127" i="15"/>
  <c r="AC127" i="15"/>
  <c r="W127" i="15"/>
  <c r="R127" i="15"/>
  <c r="M127" i="15"/>
  <c r="H127" i="15"/>
  <c r="D127" i="15"/>
  <c r="CC107" i="15"/>
  <c r="BY107" i="15"/>
  <c r="BU107" i="15"/>
  <c r="BQ107" i="15"/>
  <c r="BM107" i="15"/>
  <c r="BI107" i="15"/>
  <c r="BS147" i="15"/>
  <c r="CA127" i="15"/>
  <c r="BU127" i="15"/>
  <c r="BO127" i="15"/>
  <c r="BJ127" i="15"/>
  <c r="BE127" i="15"/>
  <c r="AY127" i="15"/>
  <c r="AT127" i="15"/>
  <c r="AO127" i="15"/>
  <c r="AH127" i="15"/>
  <c r="AB127" i="15"/>
  <c r="V127" i="15"/>
  <c r="P127" i="15"/>
  <c r="L127" i="15"/>
  <c r="G127" i="15"/>
  <c r="CB107" i="15"/>
  <c r="BX107" i="15"/>
  <c r="BT107" i="15"/>
  <c r="BP107" i="15"/>
  <c r="BL107" i="15"/>
  <c r="BH107" i="15"/>
  <c r="BC147" i="15"/>
  <c r="BZ127" i="15"/>
  <c r="BS127" i="15"/>
  <c r="BN127" i="15"/>
  <c r="BI127" i="15"/>
  <c r="BC127" i="15"/>
  <c r="AX127" i="15"/>
  <c r="AS127" i="15"/>
  <c r="AM127" i="15"/>
  <c r="AG127" i="15"/>
  <c r="AA127" i="15"/>
  <c r="T127" i="15"/>
  <c r="O127" i="15"/>
  <c r="K127" i="15"/>
  <c r="F127" i="15"/>
  <c r="C127" i="15"/>
  <c r="CA107" i="15"/>
  <c r="BW107" i="15"/>
  <c r="BS107" i="15"/>
  <c r="BO107" i="15"/>
  <c r="BK107" i="15"/>
  <c r="BG107" i="15"/>
  <c r="BF107" i="15"/>
  <c r="BB107" i="15"/>
  <c r="AX107" i="15"/>
  <c r="AT107" i="15"/>
  <c r="AP107" i="15"/>
  <c r="AL107" i="15"/>
  <c r="AI107" i="15"/>
  <c r="AD107" i="15"/>
  <c r="Z107" i="15"/>
  <c r="U107" i="15"/>
  <c r="O107" i="15"/>
  <c r="K107" i="15"/>
  <c r="CB173" i="15"/>
  <c r="BX173" i="15"/>
  <c r="BT173" i="15"/>
  <c r="BP173" i="15"/>
  <c r="BL173" i="15"/>
  <c r="BH173" i="15"/>
  <c r="BD173" i="15"/>
  <c r="AZ173" i="15"/>
  <c r="AV173" i="15"/>
  <c r="AR173" i="15"/>
  <c r="AN173" i="15"/>
  <c r="AI173" i="15"/>
  <c r="AD173" i="15"/>
  <c r="Z173" i="15"/>
  <c r="V173" i="15"/>
  <c r="R173" i="15"/>
  <c r="N173" i="15"/>
  <c r="J173" i="15"/>
  <c r="F173" i="15"/>
  <c r="CD173" i="15"/>
  <c r="BZ173" i="15"/>
  <c r="BV173" i="15"/>
  <c r="BR173" i="15"/>
  <c r="BN173" i="15"/>
  <c r="BJ173" i="15"/>
  <c r="BF173" i="15"/>
  <c r="BB173" i="15"/>
  <c r="AX173" i="15"/>
  <c r="AT173" i="15"/>
  <c r="AP173" i="15"/>
  <c r="AL173" i="15"/>
  <c r="AG173" i="15"/>
  <c r="AB173" i="15"/>
  <c r="X173" i="15"/>
  <c r="T173" i="15"/>
  <c r="P173" i="15"/>
  <c r="L173" i="15"/>
  <c r="H173" i="15"/>
  <c r="D173" i="15"/>
  <c r="CC173" i="15"/>
  <c r="BY173" i="15"/>
  <c r="BU173" i="15"/>
  <c r="BQ173" i="15"/>
  <c r="BM173" i="15"/>
  <c r="BI173" i="15"/>
  <c r="BE173" i="15"/>
  <c r="BA173" i="15"/>
  <c r="AW173" i="15"/>
  <c r="AS173" i="15"/>
  <c r="AO173" i="15"/>
  <c r="AK173" i="15"/>
  <c r="AE173" i="15"/>
  <c r="AA173" i="15"/>
  <c r="W173" i="15"/>
  <c r="S173" i="15"/>
  <c r="O173" i="15"/>
  <c r="K173" i="15"/>
  <c r="G173" i="15"/>
  <c r="BO173" i="15"/>
  <c r="AY173" i="15"/>
  <c r="AH173" i="15"/>
  <c r="Q173" i="15"/>
  <c r="BW173" i="15"/>
  <c r="BG173" i="15"/>
  <c r="AQ173" i="15"/>
  <c r="Y173" i="15"/>
  <c r="I173" i="15"/>
  <c r="C173" i="15"/>
  <c r="BS173" i="15"/>
  <c r="BC173" i="15"/>
  <c r="AM173" i="15"/>
  <c r="U173" i="15"/>
  <c r="E173" i="15"/>
  <c r="AC173" i="15"/>
  <c r="CA153" i="15"/>
  <c r="BW153" i="15"/>
  <c r="BS153" i="15"/>
  <c r="BO153" i="15"/>
  <c r="BK153" i="15"/>
  <c r="BG153" i="15"/>
  <c r="BC153" i="15"/>
  <c r="AY153" i="15"/>
  <c r="AU153" i="15"/>
  <c r="AQ153" i="15"/>
  <c r="AM153" i="15"/>
  <c r="AH153" i="15"/>
  <c r="AC153" i="15"/>
  <c r="Y153" i="15"/>
  <c r="U153" i="15"/>
  <c r="Q153" i="15"/>
  <c r="M153" i="15"/>
  <c r="I153" i="15"/>
  <c r="E153" i="15"/>
  <c r="BK173" i="15"/>
  <c r="CC153" i="15"/>
  <c r="BY153" i="15"/>
  <c r="BU153" i="15"/>
  <c r="BQ153" i="15"/>
  <c r="BM153" i="15"/>
  <c r="BI153" i="15"/>
  <c r="BE153" i="15"/>
  <c r="BA153" i="15"/>
  <c r="AW153" i="15"/>
  <c r="AS153" i="15"/>
  <c r="AO153" i="15"/>
  <c r="AK153" i="15"/>
  <c r="AE153" i="15"/>
  <c r="AA153" i="15"/>
  <c r="W153" i="15"/>
  <c r="S153" i="15"/>
  <c r="O153" i="15"/>
  <c r="K153" i="15"/>
  <c r="G153" i="15"/>
  <c r="AU173" i="15"/>
  <c r="CB153" i="15"/>
  <c r="BX153" i="15"/>
  <c r="BT153" i="15"/>
  <c r="BP153" i="15"/>
  <c r="BL153" i="15"/>
  <c r="BH153" i="15"/>
  <c r="BD153" i="15"/>
  <c r="AZ153" i="15"/>
  <c r="AV153" i="15"/>
  <c r="AR153" i="15"/>
  <c r="AN153" i="15"/>
  <c r="AI153" i="15"/>
  <c r="AD153" i="15"/>
  <c r="Z153" i="15"/>
  <c r="V153" i="15"/>
  <c r="R153" i="15"/>
  <c r="BV153" i="15"/>
  <c r="BF153" i="15"/>
  <c r="AP153" i="15"/>
  <c r="X153" i="15"/>
  <c r="L153" i="15"/>
  <c r="D153" i="15"/>
  <c r="C153" i="15"/>
  <c r="CA173" i="15"/>
  <c r="CD153" i="15"/>
  <c r="BN153" i="15"/>
  <c r="AX153" i="15"/>
  <c r="AG153" i="15"/>
  <c r="P153" i="15"/>
  <c r="H153" i="15"/>
  <c r="CC133" i="15"/>
  <c r="BY133" i="15"/>
  <c r="BU133" i="15"/>
  <c r="BQ133" i="15"/>
  <c r="BM133" i="15"/>
  <c r="BI133" i="15"/>
  <c r="BE133" i="15"/>
  <c r="BA133" i="15"/>
  <c r="AW133" i="15"/>
  <c r="AS133" i="15"/>
  <c r="AO133" i="15"/>
  <c r="AK133" i="15"/>
  <c r="AE133" i="15"/>
  <c r="AA133" i="15"/>
  <c r="W133" i="15"/>
  <c r="S133" i="15"/>
  <c r="O133" i="15"/>
  <c r="K133" i="15"/>
  <c r="G133" i="15"/>
  <c r="M173" i="15"/>
  <c r="BZ153" i="15"/>
  <c r="BJ153" i="15"/>
  <c r="AT153" i="15"/>
  <c r="AB153" i="15"/>
  <c r="N153" i="15"/>
  <c r="F153" i="15"/>
  <c r="BR153" i="15"/>
  <c r="J153" i="15"/>
  <c r="CA133" i="15"/>
  <c r="BV133" i="15"/>
  <c r="BP133" i="15"/>
  <c r="BK133" i="15"/>
  <c r="BF133" i="15"/>
  <c r="AZ133" i="15"/>
  <c r="AU133" i="15"/>
  <c r="AP133" i="15"/>
  <c r="AI133" i="15"/>
  <c r="AC133" i="15"/>
  <c r="X133" i="15"/>
  <c r="R133" i="15"/>
  <c r="M133" i="15"/>
  <c r="H133" i="15"/>
  <c r="BB153" i="15"/>
  <c r="BZ133" i="15"/>
  <c r="BT133" i="15"/>
  <c r="BO133" i="15"/>
  <c r="BJ133" i="15"/>
  <c r="BD133" i="15"/>
  <c r="AY133" i="15"/>
  <c r="AT133" i="15"/>
  <c r="AN133" i="15"/>
  <c r="AH133" i="15"/>
  <c r="AB133" i="15"/>
  <c r="V133" i="15"/>
  <c r="Q133" i="15"/>
  <c r="L133" i="15"/>
  <c r="F133" i="15"/>
  <c r="T153" i="15"/>
  <c r="CB133" i="15"/>
  <c r="BW133" i="15"/>
  <c r="BR133" i="15"/>
  <c r="BL133" i="15"/>
  <c r="BG133" i="15"/>
  <c r="BB133" i="15"/>
  <c r="AV133" i="15"/>
  <c r="AQ133" i="15"/>
  <c r="AL133" i="15"/>
  <c r="AD133" i="15"/>
  <c r="Y133" i="15"/>
  <c r="T133" i="15"/>
  <c r="N133" i="15"/>
  <c r="I133" i="15"/>
  <c r="D133" i="15"/>
  <c r="CD133" i="15"/>
  <c r="BH133" i="15"/>
  <c r="AM133" i="15"/>
  <c r="P133" i="15"/>
  <c r="C133" i="15"/>
  <c r="CC113" i="15"/>
  <c r="BY113" i="15"/>
  <c r="BU113" i="15"/>
  <c r="BQ113" i="15"/>
  <c r="BM113" i="15"/>
  <c r="BI113" i="15"/>
  <c r="BX133" i="15"/>
  <c r="BC133" i="15"/>
  <c r="AG133" i="15"/>
  <c r="J133" i="15"/>
  <c r="CB113" i="15"/>
  <c r="BX113" i="15"/>
  <c r="BT113" i="15"/>
  <c r="BP113" i="15"/>
  <c r="BL113" i="15"/>
  <c r="BH113" i="15"/>
  <c r="AL153" i="15"/>
  <c r="BS133" i="15"/>
  <c r="AX133" i="15"/>
  <c r="Z133" i="15"/>
  <c r="E133" i="15"/>
  <c r="CA113" i="15"/>
  <c r="BW113" i="15"/>
  <c r="BS113" i="15"/>
  <c r="BO113" i="15"/>
  <c r="BK113" i="15"/>
  <c r="BG113" i="15"/>
  <c r="BE113" i="15"/>
  <c r="BA113" i="15"/>
  <c r="AW113" i="15"/>
  <c r="AS113" i="15"/>
  <c r="AO113" i="15"/>
  <c r="AK113" i="15"/>
  <c r="AE113" i="15"/>
  <c r="AA113" i="15"/>
  <c r="W113" i="15"/>
  <c r="S113" i="15"/>
  <c r="O113" i="15"/>
  <c r="K113" i="15"/>
  <c r="E107" i="15"/>
  <c r="I113" i="15"/>
  <c r="Y106" i="15"/>
  <c r="Y107" i="15"/>
  <c r="AE107" i="15"/>
  <c r="V113" i="15"/>
  <c r="AO106" i="15"/>
  <c r="BE106" i="15"/>
  <c r="AN107" i="15"/>
  <c r="BD107" i="15"/>
  <c r="AU113" i="15"/>
  <c r="AZ113" i="15"/>
  <c r="BJ106" i="15"/>
  <c r="R126" i="15"/>
  <c r="BP126" i="15"/>
  <c r="E127" i="15"/>
  <c r="BR127" i="15"/>
  <c r="CD174" i="15"/>
  <c r="CC174" i="15"/>
  <c r="CB174" i="15"/>
  <c r="BX174" i="15"/>
  <c r="BT174" i="15"/>
  <c r="BP174" i="15"/>
  <c r="BL174" i="15"/>
  <c r="BH174" i="15"/>
  <c r="BD174" i="15"/>
  <c r="BY174" i="15"/>
  <c r="BS174" i="15"/>
  <c r="BN174" i="15"/>
  <c r="BI174" i="15"/>
  <c r="BC174" i="15"/>
  <c r="AY174" i="15"/>
  <c r="AU174" i="15"/>
  <c r="AQ174" i="15"/>
  <c r="AM174" i="15"/>
  <c r="AH174" i="15"/>
  <c r="AC174" i="15"/>
  <c r="Y174" i="15"/>
  <c r="U174" i="15"/>
  <c r="Q174" i="15"/>
  <c r="M174" i="15"/>
  <c r="I174" i="15"/>
  <c r="E174" i="15"/>
  <c r="CA174" i="15"/>
  <c r="BV174" i="15"/>
  <c r="BQ174" i="15"/>
  <c r="BK174" i="15"/>
  <c r="BF174" i="15"/>
  <c r="BA174" i="15"/>
  <c r="AW174" i="15"/>
  <c r="AS174" i="15"/>
  <c r="AO174" i="15"/>
  <c r="AK174" i="15"/>
  <c r="AE174" i="15"/>
  <c r="AA174" i="15"/>
  <c r="W174" i="15"/>
  <c r="S174" i="15"/>
  <c r="O174" i="15"/>
  <c r="K174" i="15"/>
  <c r="G174" i="15"/>
  <c r="BZ174" i="15"/>
  <c r="BU174" i="15"/>
  <c r="BO174" i="15"/>
  <c r="BJ174" i="15"/>
  <c r="BE174" i="15"/>
  <c r="AZ174" i="15"/>
  <c r="AV174" i="15"/>
  <c r="AR174" i="15"/>
  <c r="AN174" i="15"/>
  <c r="AI174" i="15"/>
  <c r="AD174" i="15"/>
  <c r="Z174" i="15"/>
  <c r="V174" i="15"/>
  <c r="R174" i="15"/>
  <c r="N174" i="15"/>
  <c r="J174" i="15"/>
  <c r="F174" i="15"/>
  <c r="BW174" i="15"/>
  <c r="BB174" i="15"/>
  <c r="AL174" i="15"/>
  <c r="T174" i="15"/>
  <c r="D174" i="15"/>
  <c r="BM174" i="15"/>
  <c r="AT174" i="15"/>
  <c r="AB174" i="15"/>
  <c r="L174" i="15"/>
  <c r="BG174" i="15"/>
  <c r="AP174" i="15"/>
  <c r="X174" i="15"/>
  <c r="H174" i="15"/>
  <c r="P174" i="15"/>
  <c r="CD154" i="15"/>
  <c r="BZ154" i="15"/>
  <c r="BV154" i="15"/>
  <c r="BR154" i="15"/>
  <c r="BN154" i="15"/>
  <c r="BJ154" i="15"/>
  <c r="BF154" i="15"/>
  <c r="BB154" i="15"/>
  <c r="AX154" i="15"/>
  <c r="AT154" i="15"/>
  <c r="AP154" i="15"/>
  <c r="AL154" i="15"/>
  <c r="AG154" i="15"/>
  <c r="AB154" i="15"/>
  <c r="X154" i="15"/>
  <c r="T154" i="15"/>
  <c r="P154" i="15"/>
  <c r="L154" i="15"/>
  <c r="H154" i="15"/>
  <c r="D154" i="15"/>
  <c r="AX174" i="15"/>
  <c r="C174" i="15"/>
  <c r="CB154" i="15"/>
  <c r="BX154" i="15"/>
  <c r="BT154" i="15"/>
  <c r="BP154" i="15"/>
  <c r="BL154" i="15"/>
  <c r="BH154" i="15"/>
  <c r="BD154" i="15"/>
  <c r="AZ154" i="15"/>
  <c r="AV154" i="15"/>
  <c r="AR154" i="15"/>
  <c r="AN154" i="15"/>
  <c r="AI154" i="15"/>
  <c r="AD154" i="15"/>
  <c r="Z154" i="15"/>
  <c r="V154" i="15"/>
  <c r="R154" i="15"/>
  <c r="N154" i="15"/>
  <c r="J154" i="15"/>
  <c r="F154" i="15"/>
  <c r="AG174" i="15"/>
  <c r="CA154" i="15"/>
  <c r="BW154" i="15"/>
  <c r="BS154" i="15"/>
  <c r="BO154" i="15"/>
  <c r="BK154" i="15"/>
  <c r="BG154" i="15"/>
  <c r="BC154" i="15"/>
  <c r="AY154" i="15"/>
  <c r="AU154" i="15"/>
  <c r="AQ154" i="15"/>
  <c r="AM154" i="15"/>
  <c r="AH154" i="15"/>
  <c r="AC154" i="15"/>
  <c r="Y154" i="15"/>
  <c r="U154" i="15"/>
  <c r="Q154" i="15"/>
  <c r="M154" i="15"/>
  <c r="I154" i="15"/>
  <c r="E154" i="15"/>
  <c r="BY154" i="15"/>
  <c r="BI154" i="15"/>
  <c r="AS154" i="15"/>
  <c r="AA154" i="15"/>
  <c r="K154" i="15"/>
  <c r="BQ154" i="15"/>
  <c r="BA154" i="15"/>
  <c r="AK154" i="15"/>
  <c r="S154" i="15"/>
  <c r="CB134" i="15"/>
  <c r="BX134" i="15"/>
  <c r="BT134" i="15"/>
  <c r="BP134" i="15"/>
  <c r="BL134" i="15"/>
  <c r="BH134" i="15"/>
  <c r="BD134" i="15"/>
  <c r="AZ134" i="15"/>
  <c r="AV134" i="15"/>
  <c r="AR134" i="15"/>
  <c r="AN134" i="15"/>
  <c r="AI134" i="15"/>
  <c r="AD134" i="15"/>
  <c r="Z134" i="15"/>
  <c r="V134" i="15"/>
  <c r="R134" i="15"/>
  <c r="N134" i="15"/>
  <c r="J134" i="15"/>
  <c r="F134" i="15"/>
  <c r="CC154" i="15"/>
  <c r="BM154" i="15"/>
  <c r="AW154" i="15"/>
  <c r="AE154" i="15"/>
  <c r="O154" i="15"/>
  <c r="C154" i="15"/>
  <c r="BR174" i="15"/>
  <c r="BE154" i="15"/>
  <c r="CD134" i="15"/>
  <c r="BY134" i="15"/>
  <c r="BS134" i="15"/>
  <c r="BN134" i="15"/>
  <c r="BI134" i="15"/>
  <c r="BC134" i="15"/>
  <c r="AX134" i="15"/>
  <c r="AS134" i="15"/>
  <c r="AM134" i="15"/>
  <c r="AG134" i="15"/>
  <c r="AA134" i="15"/>
  <c r="U134" i="15"/>
  <c r="P134" i="15"/>
  <c r="K134" i="15"/>
  <c r="E134" i="15"/>
  <c r="AO154" i="15"/>
  <c r="CC134" i="15"/>
  <c r="BW134" i="15"/>
  <c r="BR134" i="15"/>
  <c r="BM134" i="15"/>
  <c r="BG134" i="15"/>
  <c r="BB134" i="15"/>
  <c r="AW134" i="15"/>
  <c r="AQ134" i="15"/>
  <c r="AL134" i="15"/>
  <c r="AE134" i="15"/>
  <c r="Y134" i="15"/>
  <c r="T134" i="15"/>
  <c r="O134" i="15"/>
  <c r="I134" i="15"/>
  <c r="D134" i="15"/>
  <c r="BU154" i="15"/>
  <c r="G154" i="15"/>
  <c r="BZ134" i="15"/>
  <c r="BU134" i="15"/>
  <c r="BO134" i="15"/>
  <c r="BJ134" i="15"/>
  <c r="BE134" i="15"/>
  <c r="AY134" i="15"/>
  <c r="AT134" i="15"/>
  <c r="AO134" i="15"/>
  <c r="AH134" i="15"/>
  <c r="AB134" i="15"/>
  <c r="W134" i="15"/>
  <c r="Q134" i="15"/>
  <c r="L134" i="15"/>
  <c r="G134" i="15"/>
  <c r="BQ134" i="15"/>
  <c r="AU134" i="15"/>
  <c r="X134" i="15"/>
  <c r="CC114" i="15"/>
  <c r="BY114" i="15"/>
  <c r="BU114" i="15"/>
  <c r="BQ114" i="15"/>
  <c r="BM114" i="15"/>
  <c r="BI114" i="15"/>
  <c r="W154" i="15"/>
  <c r="BK134" i="15"/>
  <c r="AP134" i="15"/>
  <c r="S134" i="15"/>
  <c r="CB114" i="15"/>
  <c r="BX114" i="15"/>
  <c r="BT114" i="15"/>
  <c r="BP114" i="15"/>
  <c r="BL114" i="15"/>
  <c r="BH114" i="15"/>
  <c r="CA134" i="15"/>
  <c r="BF134" i="15"/>
  <c r="AK134" i="15"/>
  <c r="M134" i="15"/>
  <c r="CA114" i="15"/>
  <c r="BW114" i="15"/>
  <c r="BS114" i="15"/>
  <c r="BO114" i="15"/>
  <c r="BK114" i="15"/>
  <c r="BG114" i="15"/>
  <c r="BC114" i="15"/>
  <c r="AY114" i="15"/>
  <c r="AU114" i="15"/>
  <c r="AQ114" i="15"/>
  <c r="AM114" i="15"/>
  <c r="AI114" i="15"/>
  <c r="AD114" i="15"/>
  <c r="Z114" i="15"/>
  <c r="V114" i="15"/>
  <c r="R114" i="15"/>
  <c r="P114" i="15"/>
  <c r="L114" i="15"/>
  <c r="G114" i="15"/>
  <c r="C108" i="15"/>
  <c r="D108" i="15"/>
  <c r="D114" i="15"/>
  <c r="F106" i="15"/>
  <c r="G107" i="15"/>
  <c r="G113" i="15"/>
  <c r="H113" i="15"/>
  <c r="J108" i="15"/>
  <c r="CB166" i="15"/>
  <c r="BX166" i="15"/>
  <c r="BT166" i="15"/>
  <c r="BP166" i="15"/>
  <c r="BL166" i="15"/>
  <c r="BH166" i="15"/>
  <c r="BD166" i="15"/>
  <c r="AZ166" i="15"/>
  <c r="AV166" i="15"/>
  <c r="AR166" i="15"/>
  <c r="AN166" i="15"/>
  <c r="AI166" i="15"/>
  <c r="AD166" i="15"/>
  <c r="Z166" i="15"/>
  <c r="CD166" i="15"/>
  <c r="BY166" i="15"/>
  <c r="BS166" i="15"/>
  <c r="BN166" i="15"/>
  <c r="BI166" i="15"/>
  <c r="BC166" i="15"/>
  <c r="AX166" i="15"/>
  <c r="AS166" i="15"/>
  <c r="AM166" i="15"/>
  <c r="AG166" i="15"/>
  <c r="AA166" i="15"/>
  <c r="V166" i="15"/>
  <c r="R166" i="15"/>
  <c r="N166" i="15"/>
  <c r="J166" i="15"/>
  <c r="E166" i="15"/>
  <c r="CA166" i="15"/>
  <c r="BV166" i="15"/>
  <c r="BQ166" i="15"/>
  <c r="BK166" i="15"/>
  <c r="BF166" i="15"/>
  <c r="BA166" i="15"/>
  <c r="AU166" i="15"/>
  <c r="AP166" i="15"/>
  <c r="AK166" i="15"/>
  <c r="AC166" i="15"/>
  <c r="X166" i="15"/>
  <c r="T166" i="15"/>
  <c r="P166" i="15"/>
  <c r="L166" i="15"/>
  <c r="G166" i="15"/>
  <c r="BZ166" i="15"/>
  <c r="BU166" i="15"/>
  <c r="BO166" i="15"/>
  <c r="BJ166" i="15"/>
  <c r="BE166" i="15"/>
  <c r="AY166" i="15"/>
  <c r="AT166" i="15"/>
  <c r="AO166" i="15"/>
  <c r="AH166" i="15"/>
  <c r="AB166" i="15"/>
  <c r="W166" i="15"/>
  <c r="S166" i="15"/>
  <c r="O166" i="15"/>
  <c r="K166" i="15"/>
  <c r="F166" i="15"/>
  <c r="BR166" i="15"/>
  <c r="AW166" i="15"/>
  <c r="Y166" i="15"/>
  <c r="H166" i="15"/>
  <c r="CC166" i="15"/>
  <c r="BG166" i="15"/>
  <c r="AL166" i="15"/>
  <c r="Q166" i="15"/>
  <c r="BW166" i="15"/>
  <c r="BB166" i="15"/>
  <c r="AE166" i="15"/>
  <c r="M166" i="15"/>
  <c r="C166" i="15"/>
  <c r="AQ166" i="15"/>
  <c r="CA146" i="15"/>
  <c r="BW146" i="15"/>
  <c r="BS146" i="15"/>
  <c r="BO146" i="15"/>
  <c r="BK146" i="15"/>
  <c r="BG146" i="15"/>
  <c r="BC146" i="15"/>
  <c r="AY146" i="15"/>
  <c r="AU146" i="15"/>
  <c r="AQ146" i="15"/>
  <c r="AM146" i="15"/>
  <c r="AH146" i="15"/>
  <c r="AC146" i="15"/>
  <c r="Y146" i="15"/>
  <c r="U146" i="15"/>
  <c r="Q146" i="15"/>
  <c r="M146" i="15"/>
  <c r="H146" i="15"/>
  <c r="D146" i="15"/>
  <c r="D166" i="15"/>
  <c r="CC146" i="15"/>
  <c r="BY146" i="15"/>
  <c r="BU146" i="15"/>
  <c r="BQ146" i="15"/>
  <c r="BM146" i="15"/>
  <c r="BI146" i="15"/>
  <c r="BE146" i="15"/>
  <c r="BA146" i="15"/>
  <c r="AW146" i="15"/>
  <c r="AS146" i="15"/>
  <c r="AO146" i="15"/>
  <c r="AK146" i="15"/>
  <c r="AE146" i="15"/>
  <c r="AA146" i="15"/>
  <c r="W146" i="15"/>
  <c r="S146" i="15"/>
  <c r="O146" i="15"/>
  <c r="K146" i="15"/>
  <c r="F146" i="15"/>
  <c r="BM166" i="15"/>
  <c r="CB146" i="15"/>
  <c r="BX146" i="15"/>
  <c r="BT146" i="15"/>
  <c r="BP146" i="15"/>
  <c r="BL146" i="15"/>
  <c r="BH146" i="15"/>
  <c r="BD146" i="15"/>
  <c r="AZ146" i="15"/>
  <c r="AV146" i="15"/>
  <c r="AR146" i="15"/>
  <c r="AN146" i="15"/>
  <c r="AI146" i="15"/>
  <c r="AD146" i="15"/>
  <c r="Z146" i="15"/>
  <c r="V146" i="15"/>
  <c r="R146" i="15"/>
  <c r="N146" i="15"/>
  <c r="J146" i="15"/>
  <c r="E146" i="15"/>
  <c r="C146" i="15"/>
  <c r="U166" i="15"/>
  <c r="BV146" i="15"/>
  <c r="BF146" i="15"/>
  <c r="AP146" i="15"/>
  <c r="X146" i="15"/>
  <c r="G146" i="15"/>
  <c r="BR146" i="15"/>
  <c r="BB146" i="15"/>
  <c r="AL146" i="15"/>
  <c r="T146" i="15"/>
  <c r="BZ146" i="15"/>
  <c r="BJ146" i="15"/>
  <c r="AT146" i="15"/>
  <c r="AB146" i="15"/>
  <c r="L146" i="15"/>
  <c r="AG146" i="15"/>
  <c r="CA126" i="15"/>
  <c r="BW126" i="15"/>
  <c r="BS126" i="15"/>
  <c r="BO126" i="15"/>
  <c r="BK126" i="15"/>
  <c r="BG126" i="15"/>
  <c r="BC126" i="15"/>
  <c r="AY126" i="15"/>
  <c r="AU126" i="15"/>
  <c r="AQ126" i="15"/>
  <c r="AM126" i="15"/>
  <c r="AH126" i="15"/>
  <c r="AC126" i="15"/>
  <c r="Y126" i="15"/>
  <c r="U126" i="15"/>
  <c r="Q126" i="15"/>
  <c r="M126" i="15"/>
  <c r="H126" i="15"/>
  <c r="D126" i="15"/>
  <c r="CC106" i="15"/>
  <c r="BY106" i="15"/>
  <c r="BU106" i="15"/>
  <c r="BQ106" i="15"/>
  <c r="BM106" i="15"/>
  <c r="BI106" i="15"/>
  <c r="CD146" i="15"/>
  <c r="P146" i="15"/>
  <c r="CD126" i="15"/>
  <c r="BZ126" i="15"/>
  <c r="BV126" i="15"/>
  <c r="BR126" i="15"/>
  <c r="BN126" i="15"/>
  <c r="BJ126" i="15"/>
  <c r="BF126" i="15"/>
  <c r="BB126" i="15"/>
  <c r="AX126" i="15"/>
  <c r="AT126" i="15"/>
  <c r="AP126" i="15"/>
  <c r="AL126" i="15"/>
  <c r="AG126" i="15"/>
  <c r="AB126" i="15"/>
  <c r="X126" i="15"/>
  <c r="T126" i="15"/>
  <c r="P126" i="15"/>
  <c r="L126" i="15"/>
  <c r="G126" i="15"/>
  <c r="CB106" i="15"/>
  <c r="BX106" i="15"/>
  <c r="BT106" i="15"/>
  <c r="BP106" i="15"/>
  <c r="BL106" i="15"/>
  <c r="BH106" i="15"/>
  <c r="BN146" i="15"/>
  <c r="CC126" i="15"/>
  <c r="BY126" i="15"/>
  <c r="BU126" i="15"/>
  <c r="BQ126" i="15"/>
  <c r="BM126" i="15"/>
  <c r="BI126" i="15"/>
  <c r="BE126" i="15"/>
  <c r="BA126" i="15"/>
  <c r="AW126" i="15"/>
  <c r="AS126" i="15"/>
  <c r="AO126" i="15"/>
  <c r="AK126" i="15"/>
  <c r="AE126" i="15"/>
  <c r="AA126" i="15"/>
  <c r="W126" i="15"/>
  <c r="S126" i="15"/>
  <c r="O126" i="15"/>
  <c r="K126" i="15"/>
  <c r="F126" i="15"/>
  <c r="CA106" i="15"/>
  <c r="BW106" i="15"/>
  <c r="BS106" i="15"/>
  <c r="BO106" i="15"/>
  <c r="BK106" i="15"/>
  <c r="BG106" i="15"/>
  <c r="BD106" i="15"/>
  <c r="AZ106" i="15"/>
  <c r="AV106" i="15"/>
  <c r="AR106" i="15"/>
  <c r="AN106" i="15"/>
  <c r="AI106" i="15"/>
  <c r="AD106" i="15"/>
  <c r="Z106" i="15"/>
  <c r="V106" i="15"/>
  <c r="R106" i="15"/>
  <c r="N106" i="15"/>
  <c r="J106" i="15"/>
  <c r="C113" i="15"/>
  <c r="E106" i="15"/>
  <c r="F107" i="15"/>
  <c r="F113" i="15"/>
  <c r="G108" i="15"/>
  <c r="H107" i="15"/>
  <c r="H114" i="15"/>
  <c r="M108" i="15"/>
  <c r="N108" i="15"/>
  <c r="O108" i="15"/>
  <c r="P107" i="15"/>
  <c r="Q107" i="15"/>
  <c r="Q114" i="15"/>
  <c r="S106" i="15"/>
  <c r="X106" i="15"/>
  <c r="AC106" i="15"/>
  <c r="R107" i="15"/>
  <c r="W107" i="15"/>
  <c r="AC107" i="15"/>
  <c r="R108" i="15"/>
  <c r="W108" i="15"/>
  <c r="AB108" i="15"/>
  <c r="AI108" i="15"/>
  <c r="U113" i="15"/>
  <c r="Z113" i="15"/>
  <c r="AG113" i="15"/>
  <c r="T114" i="15"/>
  <c r="Y114" i="15"/>
  <c r="AE114" i="15"/>
  <c r="AM106" i="15"/>
  <c r="AS106" i="15"/>
  <c r="AX106" i="15"/>
  <c r="BC106" i="15"/>
  <c r="AM107" i="15"/>
  <c r="AR107" i="15"/>
  <c r="AW107" i="15"/>
  <c r="BC107" i="15"/>
  <c r="AL108" i="15"/>
  <c r="AQ108" i="15"/>
  <c r="AW108" i="15"/>
  <c r="BB108" i="15"/>
  <c r="AN113" i="15"/>
  <c r="AT113" i="15"/>
  <c r="AY113" i="15"/>
  <c r="BD113" i="15"/>
  <c r="AN114" i="15"/>
  <c r="AS114" i="15"/>
  <c r="AX114" i="15"/>
  <c r="BD114" i="15"/>
  <c r="BV106" i="15"/>
  <c r="BN107" i="15"/>
  <c r="CD107" i="15"/>
  <c r="BV108" i="15"/>
  <c r="BN113" i="15"/>
  <c r="CD113" i="15"/>
  <c r="BV114" i="15"/>
  <c r="C126" i="15"/>
  <c r="N126" i="15"/>
  <c r="AD126" i="15"/>
  <c r="AV126" i="15"/>
  <c r="BL126" i="15"/>
  <c r="CB126" i="15"/>
  <c r="S127" i="15"/>
  <c r="AQ127" i="15"/>
  <c r="BM127" i="15"/>
  <c r="K128" i="15"/>
  <c r="AO128" i="15"/>
  <c r="AR133" i="15"/>
  <c r="BA134" i="15"/>
  <c r="C106" i="15"/>
  <c r="E113" i="15"/>
  <c r="T106" i="15"/>
  <c r="S107" i="15"/>
  <c r="AH113" i="15"/>
  <c r="AY106" i="15"/>
  <c r="AY107" i="15"/>
  <c r="AP113" i="15"/>
  <c r="BF113" i="15"/>
  <c r="BR107" i="15"/>
  <c r="AI126" i="15"/>
  <c r="Y127" i="15"/>
  <c r="CB168" i="15"/>
  <c r="BX168" i="15"/>
  <c r="BT168" i="15"/>
  <c r="BP168" i="15"/>
  <c r="BL168" i="15"/>
  <c r="BH168" i="15"/>
  <c r="BD168" i="15"/>
  <c r="AZ168" i="15"/>
  <c r="AV168" i="15"/>
  <c r="AR168" i="15"/>
  <c r="AN168" i="15"/>
  <c r="AI168" i="15"/>
  <c r="AD168" i="15"/>
  <c r="Z168" i="15"/>
  <c r="V168" i="15"/>
  <c r="R168" i="15"/>
  <c r="N168" i="15"/>
  <c r="J168" i="15"/>
  <c r="F168" i="15"/>
  <c r="CA168" i="15"/>
  <c r="BV168" i="15"/>
  <c r="BQ168" i="15"/>
  <c r="BK168" i="15"/>
  <c r="BF168" i="15"/>
  <c r="BA168" i="15"/>
  <c r="AU168" i="15"/>
  <c r="AP168" i="15"/>
  <c r="AK168" i="15"/>
  <c r="AC168" i="15"/>
  <c r="X168" i="15"/>
  <c r="S168" i="15"/>
  <c r="M168" i="15"/>
  <c r="H168" i="15"/>
  <c r="CD168" i="15"/>
  <c r="BY168" i="15"/>
  <c r="BS168" i="15"/>
  <c r="BN168" i="15"/>
  <c r="BI168" i="15"/>
  <c r="BC168" i="15"/>
  <c r="AX168" i="15"/>
  <c r="AS168" i="15"/>
  <c r="AM168" i="15"/>
  <c r="AG168" i="15"/>
  <c r="AA168" i="15"/>
  <c r="U168" i="15"/>
  <c r="P168" i="15"/>
  <c r="K168" i="15"/>
  <c r="E168" i="15"/>
  <c r="CC168" i="15"/>
  <c r="BW168" i="15"/>
  <c r="BR168" i="15"/>
  <c r="BM168" i="15"/>
  <c r="BG168" i="15"/>
  <c r="BB168" i="15"/>
  <c r="AW168" i="15"/>
  <c r="AQ168" i="15"/>
  <c r="AL168" i="15"/>
  <c r="AE168" i="15"/>
  <c r="Y168" i="15"/>
  <c r="T168" i="15"/>
  <c r="O168" i="15"/>
  <c r="I168" i="15"/>
  <c r="D168" i="15"/>
  <c r="C168" i="15"/>
  <c r="BO168" i="15"/>
  <c r="AT168" i="15"/>
  <c r="W168" i="15"/>
  <c r="BZ168" i="15"/>
  <c r="BE168" i="15"/>
  <c r="AH168" i="15"/>
  <c r="L168" i="15"/>
  <c r="CA148" i="15"/>
  <c r="BW148" i="15"/>
  <c r="BS148" i="15"/>
  <c r="BO148" i="15"/>
  <c r="BK148" i="15"/>
  <c r="BG148" i="15"/>
  <c r="BC148" i="15"/>
  <c r="AY148" i="15"/>
  <c r="AU148" i="15"/>
  <c r="AQ148" i="15"/>
  <c r="AM148" i="15"/>
  <c r="AH148" i="15"/>
  <c r="AC148" i="15"/>
  <c r="Y148" i="15"/>
  <c r="U148" i="15"/>
  <c r="Q148" i="15"/>
  <c r="M148" i="15"/>
  <c r="I148" i="15"/>
  <c r="BU168" i="15"/>
  <c r="AY168" i="15"/>
  <c r="AB168" i="15"/>
  <c r="G168" i="15"/>
  <c r="BJ168" i="15"/>
  <c r="CC148" i="15"/>
  <c r="BX148" i="15"/>
  <c r="BR148" i="15"/>
  <c r="BM148" i="15"/>
  <c r="BH148" i="15"/>
  <c r="BB148" i="15"/>
  <c r="AW148" i="15"/>
  <c r="AR148" i="15"/>
  <c r="AL148" i="15"/>
  <c r="AE148" i="15"/>
  <c r="Z148" i="15"/>
  <c r="T148" i="15"/>
  <c r="O148" i="15"/>
  <c r="J148" i="15"/>
  <c r="E148" i="15"/>
  <c r="Q168" i="15"/>
  <c r="BZ148" i="15"/>
  <c r="BU148" i="15"/>
  <c r="BP148" i="15"/>
  <c r="BJ148" i="15"/>
  <c r="BE148" i="15"/>
  <c r="AZ148" i="15"/>
  <c r="AT148" i="15"/>
  <c r="AO148" i="15"/>
  <c r="AI148" i="15"/>
  <c r="AB148" i="15"/>
  <c r="W148" i="15"/>
  <c r="R148" i="15"/>
  <c r="L148" i="15"/>
  <c r="G148" i="15"/>
  <c r="CA128" i="15"/>
  <c r="BW128" i="15"/>
  <c r="BS128" i="15"/>
  <c r="BO128" i="15"/>
  <c r="BK128" i="15"/>
  <c r="BG128" i="15"/>
  <c r="BC128" i="15"/>
  <c r="AY128" i="15"/>
  <c r="AU128" i="15"/>
  <c r="AQ128" i="15"/>
  <c r="AM128" i="15"/>
  <c r="AH128" i="15"/>
  <c r="AC128" i="15"/>
  <c r="Y128" i="15"/>
  <c r="U128" i="15"/>
  <c r="Q128" i="15"/>
  <c r="M128" i="15"/>
  <c r="I128" i="15"/>
  <c r="E128" i="15"/>
  <c r="CD148" i="15"/>
  <c r="BY148" i="15"/>
  <c r="BT148" i="15"/>
  <c r="BN148" i="15"/>
  <c r="BI148" i="15"/>
  <c r="BD148" i="15"/>
  <c r="AX148" i="15"/>
  <c r="AS148" i="15"/>
  <c r="AN148" i="15"/>
  <c r="AG148" i="15"/>
  <c r="AA148" i="15"/>
  <c r="V148" i="15"/>
  <c r="P148" i="15"/>
  <c r="K148" i="15"/>
  <c r="F148" i="15"/>
  <c r="BL148" i="15"/>
  <c r="AP148" i="15"/>
  <c r="S148" i="15"/>
  <c r="CB128" i="15"/>
  <c r="BV128" i="15"/>
  <c r="BQ128" i="15"/>
  <c r="BL128" i="15"/>
  <c r="BF128" i="15"/>
  <c r="BA128" i="15"/>
  <c r="AV128" i="15"/>
  <c r="AP128" i="15"/>
  <c r="AK128" i="15"/>
  <c r="AD128" i="15"/>
  <c r="X128" i="15"/>
  <c r="S128" i="15"/>
  <c r="N128" i="15"/>
  <c r="H128" i="15"/>
  <c r="CB148" i="15"/>
  <c r="BF148" i="15"/>
  <c r="AK148" i="15"/>
  <c r="N148" i="15"/>
  <c r="BQ148" i="15"/>
  <c r="AV148" i="15"/>
  <c r="X148" i="15"/>
  <c r="D148" i="15"/>
  <c r="AO168" i="15"/>
  <c r="H148" i="15"/>
  <c r="CD128" i="15"/>
  <c r="BX128" i="15"/>
  <c r="BP128" i="15"/>
  <c r="BI128" i="15"/>
  <c r="BB128" i="15"/>
  <c r="AT128" i="15"/>
  <c r="AN128" i="15"/>
  <c r="AE128" i="15"/>
  <c r="W128" i="15"/>
  <c r="P128" i="15"/>
  <c r="J128" i="15"/>
  <c r="CC108" i="15"/>
  <c r="BY108" i="15"/>
  <c r="BU108" i="15"/>
  <c r="BQ108" i="15"/>
  <c r="BM108" i="15"/>
  <c r="BI108" i="15"/>
  <c r="BV148" i="15"/>
  <c r="CC128" i="15"/>
  <c r="BU128" i="15"/>
  <c r="BN128" i="15"/>
  <c r="BH128" i="15"/>
  <c r="AZ128" i="15"/>
  <c r="AS128" i="15"/>
  <c r="AL128" i="15"/>
  <c r="AB128" i="15"/>
  <c r="V128" i="15"/>
  <c r="O128" i="15"/>
  <c r="G128" i="15"/>
  <c r="C128" i="15"/>
  <c r="CB108" i="15"/>
  <c r="BX108" i="15"/>
  <c r="BT108" i="15"/>
  <c r="BP108" i="15"/>
  <c r="BL108" i="15"/>
  <c r="BH108" i="15"/>
  <c r="BA148" i="15"/>
  <c r="C148" i="15"/>
  <c r="BZ128" i="15"/>
  <c r="BT128" i="15"/>
  <c r="BM128" i="15"/>
  <c r="BE128" i="15"/>
  <c r="AX128" i="15"/>
  <c r="AR128" i="15"/>
  <c r="AI128" i="15"/>
  <c r="AA128" i="15"/>
  <c r="T128" i="15"/>
  <c r="L128" i="15"/>
  <c r="F128" i="15"/>
  <c r="CA108" i="15"/>
  <c r="BW108" i="15"/>
  <c r="BS108" i="15"/>
  <c r="BO108" i="15"/>
  <c r="BK108" i="15"/>
  <c r="BG108" i="15"/>
  <c r="BD108" i="15"/>
  <c r="AZ108" i="15"/>
  <c r="AV108" i="15"/>
  <c r="AR108" i="15"/>
  <c r="AN108" i="15"/>
  <c r="AH108" i="15"/>
  <c r="AC108" i="15"/>
  <c r="Y108" i="15"/>
  <c r="U108" i="15"/>
  <c r="P108" i="15"/>
  <c r="L108" i="15"/>
  <c r="I108" i="15"/>
  <c r="C107" i="15"/>
  <c r="C114" i="15"/>
  <c r="D107" i="15"/>
  <c r="D113" i="15"/>
  <c r="E108" i="15"/>
  <c r="E114" i="15"/>
  <c r="G106" i="15"/>
  <c r="I114" i="15"/>
  <c r="J107" i="15"/>
  <c r="J114" i="15"/>
  <c r="K106" i="15"/>
  <c r="K114" i="15"/>
  <c r="L113" i="15"/>
  <c r="M106" i="15"/>
  <c r="M113" i="15"/>
  <c r="N113" i="15"/>
  <c r="U106" i="15"/>
  <c r="AA106" i="15"/>
  <c r="AG106" i="15"/>
  <c r="T107" i="15"/>
  <c r="AA107" i="15"/>
  <c r="AG107" i="15"/>
  <c r="T108" i="15"/>
  <c r="Z108" i="15"/>
  <c r="AE108" i="15"/>
  <c r="R113" i="15"/>
  <c r="X113" i="15"/>
  <c r="AC113" i="15"/>
  <c r="AI113" i="15"/>
  <c r="W114" i="15"/>
  <c r="AB114" i="15"/>
  <c r="AH114" i="15"/>
  <c r="AK106" i="15"/>
  <c r="AP106" i="15"/>
  <c r="AU106" i="15"/>
  <c r="BA106" i="15"/>
  <c r="BF106" i="15"/>
  <c r="AO107" i="15"/>
  <c r="AU107" i="15"/>
  <c r="AZ107" i="15"/>
  <c r="BE107" i="15"/>
  <c r="AO108" i="15"/>
  <c r="AT108" i="15"/>
  <c r="AY108" i="15"/>
  <c r="BE108" i="15"/>
  <c r="AL113" i="15"/>
  <c r="AQ113" i="15"/>
  <c r="AV113" i="15"/>
  <c r="BB113" i="15"/>
  <c r="AK114" i="15"/>
  <c r="AP114" i="15"/>
  <c r="AV114" i="15"/>
  <c r="BA114" i="15"/>
  <c r="BF114" i="15"/>
  <c r="BN106" i="15"/>
  <c r="CD106" i="15"/>
  <c r="BV107" i="15"/>
  <c r="BN108" i="15"/>
  <c r="CD108" i="15"/>
  <c r="BV113" i="15"/>
  <c r="BN114" i="15"/>
  <c r="CD114" i="15"/>
  <c r="E126" i="15"/>
  <c r="V126" i="15"/>
  <c r="AN126" i="15"/>
  <c r="BD126" i="15"/>
  <c r="BT126" i="15"/>
  <c r="J127" i="15"/>
  <c r="AE127" i="15"/>
  <c r="BB127" i="15"/>
  <c r="BW127" i="15"/>
  <c r="Z128" i="15"/>
  <c r="BD128" i="15"/>
  <c r="H134" i="15"/>
  <c r="AM147" i="15"/>
  <c r="A83" i="13" l="1"/>
  <c r="A86" i="13" s="1"/>
  <c r="R71" i="20"/>
  <c r="Q71" i="20"/>
  <c r="P71" i="20"/>
  <c r="O71" i="20"/>
  <c r="C32" i="20"/>
  <c r="C31" i="20"/>
  <c r="D30" i="20"/>
  <c r="C30" i="20"/>
  <c r="C29" i="20"/>
  <c r="A89" i="13" l="1"/>
  <c r="E34" i="7"/>
  <c r="E33" i="7"/>
  <c r="E32" i="7"/>
  <c r="E31" i="7"/>
  <c r="E30" i="7"/>
  <c r="E29" i="7"/>
  <c r="E28" i="7"/>
  <c r="E27" i="7"/>
  <c r="E26" i="7"/>
  <c r="E25" i="7"/>
  <c r="E24" i="7"/>
  <c r="E23" i="7"/>
  <c r="E22" i="7"/>
  <c r="E21" i="7"/>
  <c r="E20" i="7"/>
  <c r="E19" i="7"/>
  <c r="E18" i="7"/>
  <c r="E17" i="7"/>
  <c r="E16" i="7"/>
  <c r="E15" i="7"/>
  <c r="E14" i="7"/>
  <c r="E13" i="7"/>
  <c r="E12" i="7"/>
  <c r="BF19" i="18" l="1"/>
  <c r="BF20" i="18"/>
  <c r="BF22" i="18"/>
  <c r="BF30" i="18"/>
  <c r="BF21" i="18"/>
  <c r="BF17" i="18"/>
  <c r="BF27" i="18"/>
  <c r="BF33" i="18"/>
  <c r="BF23" i="18"/>
  <c r="BF28" i="18"/>
  <c r="BF32" i="18"/>
  <c r="BF25" i="18"/>
  <c r="BF29" i="18"/>
  <c r="BF31" i="18"/>
  <c r="BF24" i="18"/>
  <c r="BF18" i="18"/>
  <c r="BF26" i="18"/>
  <c r="BF14" i="18"/>
  <c r="BF16" i="18"/>
  <c r="BF15" i="18"/>
  <c r="BG20" i="18"/>
  <c r="BG27" i="18"/>
  <c r="BG33" i="18"/>
  <c r="BG30" i="18"/>
  <c r="BG25" i="18"/>
  <c r="BG28" i="18"/>
  <c r="BG19" i="18"/>
  <c r="BG22" i="18"/>
  <c r="BG29" i="18"/>
  <c r="BG31" i="18"/>
  <c r="BG18" i="18"/>
  <c r="BG21" i="18"/>
  <c r="BG14" i="18"/>
  <c r="BG16" i="18"/>
  <c r="BG24" i="18"/>
  <c r="BG26" i="18"/>
  <c r="BG23" i="18"/>
  <c r="BG17" i="18"/>
  <c r="BG32" i="18"/>
  <c r="BG15" i="18"/>
  <c r="BM20" i="18"/>
  <c r="BM22" i="18"/>
  <c r="BM24" i="18"/>
  <c r="BM18" i="18"/>
  <c r="BM23" i="18"/>
  <c r="BM14" i="18"/>
  <c r="BM16" i="18"/>
  <c r="BM21" i="18"/>
  <c r="BM25" i="18"/>
  <c r="BM29" i="18"/>
  <c r="BM30" i="18"/>
  <c r="BM31" i="18"/>
  <c r="BM26" i="18"/>
  <c r="BM32" i="18"/>
  <c r="BM27" i="18"/>
  <c r="BM19" i="18"/>
  <c r="BM33" i="18"/>
  <c r="BM15" i="18"/>
  <c r="BM28" i="18"/>
  <c r="BM17" i="18"/>
  <c r="BN18" i="18"/>
  <c r="BN26" i="18"/>
  <c r="BN14" i="18"/>
  <c r="BN16" i="18"/>
  <c r="BN27" i="18"/>
  <c r="BN19" i="18"/>
  <c r="BN20" i="18"/>
  <c r="BN22" i="18"/>
  <c r="BN25" i="18"/>
  <c r="BN29" i="18"/>
  <c r="BN31" i="18"/>
  <c r="BN23" i="18"/>
  <c r="BN15" i="18"/>
  <c r="BN33" i="18"/>
  <c r="BN21" i="18"/>
  <c r="BN30" i="18"/>
  <c r="BN32" i="18"/>
  <c r="BN24" i="18"/>
  <c r="BN28" i="18"/>
  <c r="BN17" i="18"/>
  <c r="BQ19" i="18"/>
  <c r="BQ24" i="18"/>
  <c r="BQ25" i="18"/>
  <c r="BQ29" i="18"/>
  <c r="BQ30" i="18"/>
  <c r="BQ31" i="18"/>
  <c r="BQ26" i="18"/>
  <c r="BQ32" i="18"/>
  <c r="BQ23" i="18"/>
  <c r="BQ20" i="18"/>
  <c r="BQ22" i="18"/>
  <c r="BQ27" i="18"/>
  <c r="BQ33" i="18"/>
  <c r="BQ21" i="18"/>
  <c r="BQ28" i="18"/>
  <c r="BQ15" i="18"/>
  <c r="BQ17" i="18"/>
  <c r="BQ18" i="18"/>
  <c r="BQ16" i="18"/>
  <c r="BQ14" i="18"/>
  <c r="BH24" i="18"/>
  <c r="BH30" i="18"/>
  <c r="BH21" i="18"/>
  <c r="BH26" i="18"/>
  <c r="BH32" i="18"/>
  <c r="BH15" i="18"/>
  <c r="BH17" i="18"/>
  <c r="BH27" i="18"/>
  <c r="BH18" i="18"/>
  <c r="BH20" i="18"/>
  <c r="BH22" i="18"/>
  <c r="BH25" i="18"/>
  <c r="BH29" i="18"/>
  <c r="BH23" i="18"/>
  <c r="BH14" i="18"/>
  <c r="BH19" i="18"/>
  <c r="BH33" i="18"/>
  <c r="BH28" i="18"/>
  <c r="BH31" i="18"/>
  <c r="BH16" i="18"/>
  <c r="BP25" i="18"/>
  <c r="BP31" i="18"/>
  <c r="BP23" i="18"/>
  <c r="BP28" i="18"/>
  <c r="BP16" i="18"/>
  <c r="BP29" i="18"/>
  <c r="BP33" i="18"/>
  <c r="BP19" i="18"/>
  <c r="BP20" i="18"/>
  <c r="BP22" i="18"/>
  <c r="BP27" i="18"/>
  <c r="BP18" i="18"/>
  <c r="BP24" i="18"/>
  <c r="BP30" i="18"/>
  <c r="BP21" i="18"/>
  <c r="BP26" i="18"/>
  <c r="BP32" i="18"/>
  <c r="BP15" i="18"/>
  <c r="BP17" i="18"/>
  <c r="BP14" i="18"/>
  <c r="BR25" i="18"/>
  <c r="BR29" i="18"/>
  <c r="BR31" i="18"/>
  <c r="BR23" i="18"/>
  <c r="BR15" i="18"/>
  <c r="BR19" i="18"/>
  <c r="BR30" i="18"/>
  <c r="BR21" i="18"/>
  <c r="BR17" i="18"/>
  <c r="BR20" i="18"/>
  <c r="BR18" i="18"/>
  <c r="BR24" i="18"/>
  <c r="BR27" i="18"/>
  <c r="BR33" i="18"/>
  <c r="BR28" i="18"/>
  <c r="BR22" i="18"/>
  <c r="BR32" i="18"/>
  <c r="BR16" i="18"/>
  <c r="BR26" i="18"/>
  <c r="BR14" i="18"/>
  <c r="BI22" i="18"/>
  <c r="BI27" i="18"/>
  <c r="BI33" i="18"/>
  <c r="BI21" i="18"/>
  <c r="BI28" i="18"/>
  <c r="BI15" i="18"/>
  <c r="BI17" i="18"/>
  <c r="BI19" i="18"/>
  <c r="BI24" i="18"/>
  <c r="BI18" i="18"/>
  <c r="BI23" i="18"/>
  <c r="BI14" i="18"/>
  <c r="BI16" i="18"/>
  <c r="BI20" i="18"/>
  <c r="BI25" i="18"/>
  <c r="BI29" i="18"/>
  <c r="BI30" i="18"/>
  <c r="BI31" i="18"/>
  <c r="BI26" i="18"/>
  <c r="BI32" i="18"/>
  <c r="BK28" i="18"/>
  <c r="BK33" i="18"/>
  <c r="BK19" i="18"/>
  <c r="BK22" i="18"/>
  <c r="BK29" i="18"/>
  <c r="BK31" i="18"/>
  <c r="BK18" i="18"/>
  <c r="BK14" i="18"/>
  <c r="BK16" i="18"/>
  <c r="BK24" i="18"/>
  <c r="BK30" i="18"/>
  <c r="BK26" i="18"/>
  <c r="BK32" i="18"/>
  <c r="BK15" i="18"/>
  <c r="BK17" i="18"/>
  <c r="BK20" i="18"/>
  <c r="BK25" i="18"/>
  <c r="BK27" i="18"/>
  <c r="BK21" i="18"/>
  <c r="BK23" i="18"/>
  <c r="BJ27" i="18"/>
  <c r="BJ33" i="18"/>
  <c r="BJ28" i="18"/>
  <c r="BJ32" i="18"/>
  <c r="BJ18" i="18"/>
  <c r="BJ26" i="18"/>
  <c r="BJ14" i="18"/>
  <c r="BJ16" i="18"/>
  <c r="BJ24" i="18"/>
  <c r="BJ20" i="18"/>
  <c r="BJ22" i="18"/>
  <c r="BJ25" i="18"/>
  <c r="BJ29" i="18"/>
  <c r="BJ31" i="18"/>
  <c r="BJ21" i="18"/>
  <c r="BJ23" i="18"/>
  <c r="BJ15" i="18"/>
  <c r="BJ17" i="18"/>
  <c r="BJ19" i="18"/>
  <c r="BJ30" i="18"/>
  <c r="BL29" i="18"/>
  <c r="BL18" i="18"/>
  <c r="BL23" i="18"/>
  <c r="BL14" i="18"/>
  <c r="BL21" i="18"/>
  <c r="BL31" i="18"/>
  <c r="BL33" i="18"/>
  <c r="BL28" i="18"/>
  <c r="BL16" i="18"/>
  <c r="BL22" i="18"/>
  <c r="BL24" i="18"/>
  <c r="BL30" i="18"/>
  <c r="BL19" i="18"/>
  <c r="BL25" i="18"/>
  <c r="BL27" i="18"/>
  <c r="BL20" i="18"/>
  <c r="BL17" i="18"/>
  <c r="BL32" i="18"/>
  <c r="BL15" i="18"/>
  <c r="BL26" i="18"/>
  <c r="BO19" i="18"/>
  <c r="BO22" i="18"/>
  <c r="BO25" i="18"/>
  <c r="BO29" i="18"/>
  <c r="BO31" i="18"/>
  <c r="BO18" i="18"/>
  <c r="BO14" i="18"/>
  <c r="BO16" i="18"/>
  <c r="BO24" i="18"/>
  <c r="BO30" i="18"/>
  <c r="BO21" i="18"/>
  <c r="BO26" i="18"/>
  <c r="BO32" i="18"/>
  <c r="BO15" i="18"/>
  <c r="BO17" i="18"/>
  <c r="BO20" i="18"/>
  <c r="BO27" i="18"/>
  <c r="BO33" i="18"/>
  <c r="BO23" i="18"/>
  <c r="BO28" i="18"/>
  <c r="BE19" i="18"/>
  <c r="BE30" i="18"/>
  <c r="BE31" i="18"/>
  <c r="BE24" i="18"/>
  <c r="BE27" i="18"/>
  <c r="BE33" i="18"/>
  <c r="BE21" i="18"/>
  <c r="BE28" i="18"/>
  <c r="BE15" i="18"/>
  <c r="BE17" i="18"/>
  <c r="BE20" i="18"/>
  <c r="BE25" i="18"/>
  <c r="BE18" i="18"/>
  <c r="BE23" i="18"/>
  <c r="BE14" i="18"/>
  <c r="BE16" i="18"/>
  <c r="BE22" i="18"/>
  <c r="BE29" i="18"/>
  <c r="BE26" i="18"/>
  <c r="BE32" i="18"/>
  <c r="Q68" i="18"/>
  <c r="Q94" i="18"/>
  <c r="AF108" i="18"/>
  <c r="AU103" i="18"/>
  <c r="AU104" i="18"/>
  <c r="AF95" i="18"/>
  <c r="AU94" i="18"/>
  <c r="Q95" i="18"/>
  <c r="Q97" i="18"/>
  <c r="AU95" i="18"/>
  <c r="AU97" i="18"/>
  <c r="AU99" i="18"/>
  <c r="Q103" i="18"/>
  <c r="Q105" i="18"/>
  <c r="Q109" i="18"/>
  <c r="AU112" i="18"/>
  <c r="AU113" i="18"/>
  <c r="AU58" i="18"/>
  <c r="AF67" i="18"/>
  <c r="Q58" i="18"/>
  <c r="Q111" i="18"/>
  <c r="AF97" i="18"/>
  <c r="AF98" i="18"/>
  <c r="Q104" i="18"/>
  <c r="Q102" i="18"/>
  <c r="Q98" i="18"/>
  <c r="AU109" i="18"/>
  <c r="AU101" i="18"/>
  <c r="AF104" i="18"/>
  <c r="AU105" i="18"/>
  <c r="AU107" i="18"/>
  <c r="AF113" i="18"/>
  <c r="AU54" i="18"/>
  <c r="AU64" i="18"/>
  <c r="AU60" i="18"/>
  <c r="AU71" i="18"/>
  <c r="Q108" i="18"/>
  <c r="AU98" i="18"/>
  <c r="Q110" i="18"/>
  <c r="AF112" i="18"/>
  <c r="Q67" i="18"/>
  <c r="Q55" i="18"/>
  <c r="Q60" i="18"/>
  <c r="Q63" i="18"/>
  <c r="Q59" i="18"/>
  <c r="AF58" i="18"/>
  <c r="AF60" i="18"/>
  <c r="AF66" i="18"/>
  <c r="AF64" i="18"/>
  <c r="AU68" i="18"/>
  <c r="AU70" i="18"/>
  <c r="Q72" i="18"/>
  <c r="AF107" i="18"/>
  <c r="AF94" i="18"/>
  <c r="AF96" i="18"/>
  <c r="AF106" i="18"/>
  <c r="AF102" i="18"/>
  <c r="Q106" i="18"/>
  <c r="AF103" i="18"/>
  <c r="AU106" i="18"/>
  <c r="AF63" i="18"/>
  <c r="Q54" i="18"/>
  <c r="AU59" i="18"/>
  <c r="AU56" i="18"/>
  <c r="AF70" i="18"/>
  <c r="Q69" i="18"/>
  <c r="AF71" i="18"/>
  <c r="Q71" i="18"/>
  <c r="Q112" i="18"/>
  <c r="AU62" i="18"/>
  <c r="AU55" i="18"/>
  <c r="AF59" i="18"/>
  <c r="AU61" i="18"/>
  <c r="AF61" i="18"/>
  <c r="AU63" i="18"/>
  <c r="AU57" i="18"/>
  <c r="AF57" i="18"/>
  <c r="Q70" i="18"/>
  <c r="Q64" i="18"/>
  <c r="AU67" i="18"/>
  <c r="AU111" i="18"/>
  <c r="AF105" i="18"/>
  <c r="AF111" i="18"/>
  <c r="AF56" i="18"/>
  <c r="AF55" i="18"/>
  <c r="Q73" i="18"/>
  <c r="Q113" i="18"/>
  <c r="Q101" i="18"/>
  <c r="Q65" i="18"/>
  <c r="AU65" i="18"/>
  <c r="AU73" i="18"/>
  <c r="AF101" i="18"/>
  <c r="Q100" i="18"/>
  <c r="Q107" i="18"/>
  <c r="AU100" i="18"/>
  <c r="AU108" i="18"/>
  <c r="AF109" i="18"/>
  <c r="AU110" i="18"/>
  <c r="AF68" i="18"/>
  <c r="Q61" i="18"/>
  <c r="Q57" i="18"/>
  <c r="AF65" i="18"/>
  <c r="AU66" i="18"/>
  <c r="AF69" i="18"/>
  <c r="AF73" i="18"/>
  <c r="AU72" i="18"/>
  <c r="Q96" i="18"/>
  <c r="AF100" i="18"/>
  <c r="AU96" i="18"/>
  <c r="AF110" i="18"/>
  <c r="AF54" i="18"/>
  <c r="Q56" i="18"/>
  <c r="AF62" i="18"/>
  <c r="Q66" i="18"/>
  <c r="AF72" i="18"/>
  <c r="Q62" i="18"/>
  <c r="AF99" i="18"/>
  <c r="Q99" i="18"/>
  <c r="AU102" i="18"/>
  <c r="AU69" i="18"/>
  <c r="AH105" i="18"/>
  <c r="AW58" i="18"/>
  <c r="S65" i="18"/>
  <c r="AH94" i="18"/>
  <c r="AW107" i="18"/>
  <c r="AH55" i="18"/>
  <c r="AW65" i="18"/>
  <c r="S71" i="18"/>
  <c r="S109" i="18"/>
  <c r="AW68" i="18"/>
  <c r="AH69" i="18"/>
  <c r="AW112" i="18"/>
  <c r="S61" i="18"/>
  <c r="AW106" i="18"/>
  <c r="AH64" i="18"/>
  <c r="AW97" i="18"/>
  <c r="AH99" i="18"/>
  <c r="S94" i="18"/>
  <c r="AH102" i="18"/>
  <c r="S101" i="18"/>
  <c r="AH108" i="18"/>
  <c r="S105" i="18"/>
  <c r="S107" i="18"/>
  <c r="S111" i="18"/>
  <c r="AW71" i="18"/>
  <c r="AW62" i="18"/>
  <c r="S103" i="18"/>
  <c r="AW96" i="18"/>
  <c r="AW99" i="18"/>
  <c r="AH96" i="18"/>
  <c r="AW108" i="18"/>
  <c r="S96" i="18"/>
  <c r="S98" i="18"/>
  <c r="S100" i="18"/>
  <c r="AH104" i="18"/>
  <c r="AH107" i="18"/>
  <c r="AW110" i="18"/>
  <c r="AW111" i="18"/>
  <c r="AH112" i="18"/>
  <c r="AW67" i="18"/>
  <c r="S110" i="18"/>
  <c r="AW100" i="18"/>
  <c r="AW98" i="18"/>
  <c r="AW95" i="18"/>
  <c r="AH98" i="18"/>
  <c r="S106" i="18"/>
  <c r="AW113" i="18"/>
  <c r="AW73" i="18"/>
  <c r="AH54" i="18"/>
  <c r="AW61" i="18"/>
  <c r="AW54" i="18"/>
  <c r="AH59" i="18"/>
  <c r="AW57" i="18"/>
  <c r="AH58" i="18"/>
  <c r="S56" i="18"/>
  <c r="AH60" i="18"/>
  <c r="AW64" i="18"/>
  <c r="AW104" i="18"/>
  <c r="AH113" i="18"/>
  <c r="AW102" i="18"/>
  <c r="S104" i="18"/>
  <c r="AH110" i="18"/>
  <c r="AW94" i="18"/>
  <c r="S97" i="18"/>
  <c r="AH103" i="18"/>
  <c r="AW109" i="18"/>
  <c r="AH56" i="18"/>
  <c r="AH66" i="18"/>
  <c r="AW66" i="18"/>
  <c r="AH61" i="18"/>
  <c r="S58" i="18"/>
  <c r="AW63" i="18"/>
  <c r="AH57" i="18"/>
  <c r="S63" i="18"/>
  <c r="S60" i="18"/>
  <c r="AH65" i="18"/>
  <c r="AW70" i="18"/>
  <c r="AW69" i="18"/>
  <c r="S72" i="18"/>
  <c r="AH68" i="18"/>
  <c r="S67" i="18"/>
  <c r="S69" i="18"/>
  <c r="AH71" i="18"/>
  <c r="AH109" i="18"/>
  <c r="S95" i="18"/>
  <c r="AW105" i="18"/>
  <c r="AW72" i="18"/>
  <c r="AW59" i="18"/>
  <c r="AW56" i="18"/>
  <c r="AH97" i="18"/>
  <c r="AH95" i="18"/>
  <c r="AW103" i="18"/>
  <c r="S59" i="18"/>
  <c r="AH62" i="18"/>
  <c r="AH70" i="18"/>
  <c r="S68" i="18"/>
  <c r="S73" i="18"/>
  <c r="S99" i="18"/>
  <c r="S108" i="18"/>
  <c r="S54" i="18"/>
  <c r="AW101" i="18"/>
  <c r="AH101" i="18"/>
  <c r="AH100" i="18"/>
  <c r="S112" i="18"/>
  <c r="S113" i="18"/>
  <c r="AW60" i="18"/>
  <c r="AW55" i="18"/>
  <c r="S70" i="18"/>
  <c r="AH72" i="18"/>
  <c r="AH73" i="18"/>
  <c r="AH106" i="18"/>
  <c r="S102" i="18"/>
  <c r="AH111" i="18"/>
  <c r="S55" i="18"/>
  <c r="S66" i="18"/>
  <c r="S57" i="18"/>
  <c r="AH63" i="18"/>
  <c r="S62" i="18"/>
  <c r="S64" i="18"/>
  <c r="AH67" i="18"/>
  <c r="AZ108" i="18"/>
  <c r="V94" i="18"/>
  <c r="AZ60" i="18"/>
  <c r="V95" i="18"/>
  <c r="AZ62" i="18"/>
  <c r="AZ69" i="18"/>
  <c r="AK108" i="18"/>
  <c r="V96" i="18"/>
  <c r="V69" i="18"/>
  <c r="V108" i="18"/>
  <c r="AZ102" i="18"/>
  <c r="AK111" i="18"/>
  <c r="AZ97" i="18"/>
  <c r="AZ101" i="18"/>
  <c r="V102" i="18"/>
  <c r="V107" i="18"/>
  <c r="V98" i="18"/>
  <c r="AK106" i="18"/>
  <c r="AZ95" i="18"/>
  <c r="AK104" i="18"/>
  <c r="V103" i="18"/>
  <c r="AZ110" i="18"/>
  <c r="AZ111" i="18"/>
  <c r="AK113" i="18"/>
  <c r="AZ113" i="18"/>
  <c r="AK68" i="18"/>
  <c r="AZ103" i="18"/>
  <c r="AZ106" i="18"/>
  <c r="AZ100" i="18"/>
  <c r="V105" i="18"/>
  <c r="AK67" i="18"/>
  <c r="V99" i="18"/>
  <c r="V113" i="18"/>
  <c r="AK94" i="18"/>
  <c r="V112" i="18"/>
  <c r="AK95" i="18"/>
  <c r="AK96" i="18"/>
  <c r="AK105" i="18"/>
  <c r="V101" i="18"/>
  <c r="AK103" i="18"/>
  <c r="AK109" i="18"/>
  <c r="V109" i="18"/>
  <c r="AZ56" i="18"/>
  <c r="AK57" i="18"/>
  <c r="AK73" i="18"/>
  <c r="AK97" i="18"/>
  <c r="AK66" i="18"/>
  <c r="AK98" i="18"/>
  <c r="AZ104" i="18"/>
  <c r="AK99" i="18"/>
  <c r="AK102" i="18"/>
  <c r="AZ58" i="18"/>
  <c r="AZ72" i="18"/>
  <c r="V67" i="18"/>
  <c r="V54" i="18"/>
  <c r="AZ61" i="18"/>
  <c r="AZ57" i="18"/>
  <c r="AK59" i="18"/>
  <c r="V62" i="18"/>
  <c r="V65" i="18"/>
  <c r="V70" i="18"/>
  <c r="AZ70" i="18"/>
  <c r="AK71" i="18"/>
  <c r="AK64" i="18"/>
  <c r="AZ107" i="18"/>
  <c r="AZ98" i="18"/>
  <c r="AK101" i="18"/>
  <c r="V111" i="18"/>
  <c r="AK112" i="18"/>
  <c r="V68" i="18"/>
  <c r="AK55" i="18"/>
  <c r="V55" i="18"/>
  <c r="V63" i="18"/>
  <c r="AZ55" i="18"/>
  <c r="AK56" i="18"/>
  <c r="AK62" i="18"/>
  <c r="AK65" i="18"/>
  <c r="V66" i="18"/>
  <c r="AZ67" i="18"/>
  <c r="AZ64" i="18"/>
  <c r="V64" i="18"/>
  <c r="AZ68" i="18"/>
  <c r="AK72" i="18"/>
  <c r="AK107" i="18"/>
  <c r="V110" i="18"/>
  <c r="AZ99" i="18"/>
  <c r="AK100" i="18"/>
  <c r="AZ96" i="18"/>
  <c r="AZ109" i="18"/>
  <c r="AK61" i="18"/>
  <c r="AZ59" i="18"/>
  <c r="AK58" i="18"/>
  <c r="AZ65" i="18"/>
  <c r="V60" i="18"/>
  <c r="AZ66" i="18"/>
  <c r="AK70" i="18"/>
  <c r="V72" i="18"/>
  <c r="V97" i="18"/>
  <c r="V106" i="18"/>
  <c r="AZ105" i="18"/>
  <c r="AK110" i="18"/>
  <c r="V100" i="18"/>
  <c r="AZ94" i="18"/>
  <c r="V104" i="18"/>
  <c r="AK69" i="18"/>
  <c r="V56" i="18"/>
  <c r="AZ63" i="18"/>
  <c r="AK54" i="18"/>
  <c r="V57" i="18"/>
  <c r="AZ112" i="18"/>
  <c r="AZ71" i="18"/>
  <c r="AZ54" i="18"/>
  <c r="AK63" i="18"/>
  <c r="AK60" i="18"/>
  <c r="V71" i="18"/>
  <c r="V73" i="18"/>
  <c r="AZ73" i="18"/>
  <c r="V58" i="18"/>
  <c r="V61" i="18"/>
  <c r="V59" i="18"/>
  <c r="AP107" i="18"/>
  <c r="AP105" i="18"/>
  <c r="AA110" i="18"/>
  <c r="AP97" i="18"/>
  <c r="AP68" i="18"/>
  <c r="AP98" i="18"/>
  <c r="L94" i="18"/>
  <c r="AP96" i="18"/>
  <c r="L99" i="18"/>
  <c r="AP108" i="18"/>
  <c r="AA102" i="18"/>
  <c r="AP100" i="18"/>
  <c r="AP102" i="18"/>
  <c r="AP103" i="18"/>
  <c r="AA106" i="18"/>
  <c r="AA108" i="18"/>
  <c r="AA109" i="18"/>
  <c r="AP111" i="18"/>
  <c r="AP112" i="18"/>
  <c r="L100" i="18"/>
  <c r="L97" i="18"/>
  <c r="AP95" i="18"/>
  <c r="L95" i="18"/>
  <c r="AA95" i="18"/>
  <c r="AA97" i="18"/>
  <c r="AA99" i="18"/>
  <c r="L103" i="18"/>
  <c r="L110" i="18"/>
  <c r="L105" i="18"/>
  <c r="L112" i="18"/>
  <c r="AA112" i="18"/>
  <c r="AA113" i="18"/>
  <c r="AP56" i="18"/>
  <c r="AP67" i="18"/>
  <c r="AP94" i="18"/>
  <c r="L102" i="18"/>
  <c r="AP109" i="18"/>
  <c r="L101" i="18"/>
  <c r="L104" i="18"/>
  <c r="L106" i="18"/>
  <c r="AA104" i="18"/>
  <c r="AP101" i="18"/>
  <c r="AA105" i="18"/>
  <c r="L111" i="18"/>
  <c r="AP54" i="18"/>
  <c r="AA57" i="18"/>
  <c r="AP66" i="18"/>
  <c r="L54" i="18"/>
  <c r="AA55" i="18"/>
  <c r="L62" i="18"/>
  <c r="AP62" i="18"/>
  <c r="AA66" i="18"/>
  <c r="AA64" i="18"/>
  <c r="L72" i="18"/>
  <c r="AA94" i="18"/>
  <c r="AA96" i="18"/>
  <c r="AA100" i="18"/>
  <c r="AA101" i="18"/>
  <c r="AP104" i="18"/>
  <c r="L108" i="18"/>
  <c r="AP113" i="18"/>
  <c r="AP64" i="18"/>
  <c r="L61" i="18"/>
  <c r="L60" i="18"/>
  <c r="AP63" i="18"/>
  <c r="L57" i="18"/>
  <c r="AA59" i="18"/>
  <c r="AA58" i="18"/>
  <c r="L65" i="18"/>
  <c r="AA60" i="18"/>
  <c r="AA68" i="18"/>
  <c r="AA70" i="18"/>
  <c r="L73" i="18"/>
  <c r="L98" i="18"/>
  <c r="AA98" i="18"/>
  <c r="AA103" i="18"/>
  <c r="AA107" i="18"/>
  <c r="AP110" i="18"/>
  <c r="L58" i="18"/>
  <c r="AP61" i="18"/>
  <c r="AP55" i="18"/>
  <c r="AP59" i="18"/>
  <c r="AP57" i="18"/>
  <c r="AA62" i="18"/>
  <c r="AA56" i="18"/>
  <c r="L66" i="18"/>
  <c r="AP69" i="18"/>
  <c r="L68" i="18"/>
  <c r="AA72" i="18"/>
  <c r="L107" i="18"/>
  <c r="AP99" i="18"/>
  <c r="L113" i="18"/>
  <c r="L70" i="18"/>
  <c r="AP70" i="18"/>
  <c r="L109" i="18"/>
  <c r="AA63" i="18"/>
  <c r="AA54" i="18"/>
  <c r="AP60" i="18"/>
  <c r="AA71" i="18"/>
  <c r="AP73" i="18"/>
  <c r="L96" i="18"/>
  <c r="AA61" i="18"/>
  <c r="L63" i="18"/>
  <c r="L56" i="18"/>
  <c r="L59" i="18"/>
  <c r="AP58" i="18"/>
  <c r="AP65" i="18"/>
  <c r="L64" i="18"/>
  <c r="AA69" i="18"/>
  <c r="AP106" i="18"/>
  <c r="L55" i="18"/>
  <c r="L71" i="18"/>
  <c r="L69" i="18"/>
  <c r="AA67" i="18"/>
  <c r="AP71" i="18"/>
  <c r="AP72" i="18"/>
  <c r="AA111" i="18"/>
  <c r="AA65" i="18"/>
  <c r="L67" i="18"/>
  <c r="AA73" i="18"/>
  <c r="AB102" i="18"/>
  <c r="M106" i="18"/>
  <c r="AB104" i="18"/>
  <c r="AB101" i="18"/>
  <c r="AB108" i="18"/>
  <c r="AB55" i="18"/>
  <c r="AB109" i="18"/>
  <c r="M99" i="18"/>
  <c r="M113" i="18"/>
  <c r="AB110" i="18"/>
  <c r="M96" i="18"/>
  <c r="M102" i="18"/>
  <c r="AB94" i="18"/>
  <c r="M101" i="18"/>
  <c r="AQ102" i="18"/>
  <c r="AQ103" i="18"/>
  <c r="M108" i="18"/>
  <c r="AQ106" i="18"/>
  <c r="AQ108" i="18"/>
  <c r="M111" i="18"/>
  <c r="AB58" i="18"/>
  <c r="AB97" i="18"/>
  <c r="M103" i="18"/>
  <c r="M94" i="18"/>
  <c r="AQ110" i="18"/>
  <c r="AB95" i="18"/>
  <c r="M107" i="18"/>
  <c r="M98" i="18"/>
  <c r="AQ95" i="18"/>
  <c r="AQ97" i="18"/>
  <c r="AQ99" i="18"/>
  <c r="AQ109" i="18"/>
  <c r="M110" i="18"/>
  <c r="AB112" i="18"/>
  <c r="M112" i="18"/>
  <c r="AQ113" i="18"/>
  <c r="M73" i="18"/>
  <c r="AB60" i="18"/>
  <c r="AB96" i="18"/>
  <c r="AB100" i="18"/>
  <c r="AB105" i="18"/>
  <c r="AB103" i="18"/>
  <c r="AQ107" i="18"/>
  <c r="AB113" i="18"/>
  <c r="M57" i="18"/>
  <c r="AB62" i="18"/>
  <c r="M64" i="18"/>
  <c r="M66" i="18"/>
  <c r="M69" i="18"/>
  <c r="AB61" i="18"/>
  <c r="M58" i="18"/>
  <c r="M54" i="18"/>
  <c r="AB57" i="18"/>
  <c r="AQ62" i="18"/>
  <c r="M70" i="18"/>
  <c r="AB70" i="18"/>
  <c r="AB99" i="18"/>
  <c r="AQ98" i="18"/>
  <c r="AB107" i="18"/>
  <c r="M109" i="18"/>
  <c r="AB56" i="18"/>
  <c r="M63" i="18"/>
  <c r="AB54" i="18"/>
  <c r="AQ55" i="18"/>
  <c r="M62" i="18"/>
  <c r="AB65" i="18"/>
  <c r="M65" i="18"/>
  <c r="AQ66" i="18"/>
  <c r="AQ64" i="18"/>
  <c r="AB69" i="18"/>
  <c r="AB71" i="18"/>
  <c r="AB73" i="18"/>
  <c r="AQ68" i="18"/>
  <c r="AQ70" i="18"/>
  <c r="AQ112" i="18"/>
  <c r="M100" i="18"/>
  <c r="AQ96" i="18"/>
  <c r="AQ101" i="18"/>
  <c r="AQ104" i="18"/>
  <c r="AQ105" i="18"/>
  <c r="M59" i="18"/>
  <c r="AQ63" i="18"/>
  <c r="AQ59" i="18"/>
  <c r="M56" i="18"/>
  <c r="AQ60" i="18"/>
  <c r="M71" i="18"/>
  <c r="M72" i="18"/>
  <c r="AB67" i="18"/>
  <c r="AQ61" i="18"/>
  <c r="AQ57" i="18"/>
  <c r="AQ58" i="18"/>
  <c r="AQ69" i="18"/>
  <c r="AB98" i="18"/>
  <c r="AQ94" i="18"/>
  <c r="AB72" i="18"/>
  <c r="AQ54" i="18"/>
  <c r="AB63" i="18"/>
  <c r="AB59" i="18"/>
  <c r="AQ56" i="18"/>
  <c r="AQ72" i="18"/>
  <c r="M95" i="18"/>
  <c r="M104" i="18"/>
  <c r="AB106" i="18"/>
  <c r="AQ111" i="18"/>
  <c r="M61" i="18"/>
  <c r="M55" i="18"/>
  <c r="M60" i="18"/>
  <c r="AQ65" i="18"/>
  <c r="M68" i="18"/>
  <c r="AQ67" i="18"/>
  <c r="AQ71" i="18"/>
  <c r="M105" i="18"/>
  <c r="AB64" i="18"/>
  <c r="M67" i="18"/>
  <c r="AQ73" i="18"/>
  <c r="M97" i="18"/>
  <c r="AQ100" i="18"/>
  <c r="AB111" i="18"/>
  <c r="AB68" i="18"/>
  <c r="AB66" i="18"/>
  <c r="X104" i="18"/>
  <c r="BB96" i="18"/>
  <c r="X98" i="18"/>
  <c r="AM109" i="18"/>
  <c r="X101" i="18"/>
  <c r="BB97" i="18"/>
  <c r="X99" i="18"/>
  <c r="BB101" i="18"/>
  <c r="X105" i="18"/>
  <c r="BB111" i="18"/>
  <c r="X61" i="18"/>
  <c r="X69" i="18"/>
  <c r="AM72" i="18"/>
  <c r="AM55" i="18"/>
  <c r="BB106" i="18"/>
  <c r="BB99" i="18"/>
  <c r="X106" i="18"/>
  <c r="AM96" i="18"/>
  <c r="AM98" i="18"/>
  <c r="AM100" i="18"/>
  <c r="BB102" i="18"/>
  <c r="AM103" i="18"/>
  <c r="BB109" i="18"/>
  <c r="X110" i="18"/>
  <c r="BB110" i="18"/>
  <c r="X112" i="18"/>
  <c r="X56" i="18"/>
  <c r="BB70" i="18"/>
  <c r="AM60" i="18"/>
  <c r="BB94" i="18"/>
  <c r="X95" i="18"/>
  <c r="AM104" i="18"/>
  <c r="X96" i="18"/>
  <c r="BB98" i="18"/>
  <c r="X102" i="18"/>
  <c r="AM94" i="18"/>
  <c r="X94" i="18"/>
  <c r="BB95" i="18"/>
  <c r="AM102" i="18"/>
  <c r="BB104" i="18"/>
  <c r="AM106" i="18"/>
  <c r="AM108" i="18"/>
  <c r="X111" i="18"/>
  <c r="AM111" i="18"/>
  <c r="AM62" i="18"/>
  <c r="X109" i="18"/>
  <c r="BB108" i="18"/>
  <c r="AM95" i="18"/>
  <c r="AM99" i="18"/>
  <c r="AM101" i="18"/>
  <c r="BB103" i="18"/>
  <c r="BB105" i="18"/>
  <c r="AM112" i="18"/>
  <c r="X71" i="18"/>
  <c r="X63" i="18"/>
  <c r="AM63" i="18"/>
  <c r="AM59" i="18"/>
  <c r="X60" i="18"/>
  <c r="X65" i="18"/>
  <c r="AM66" i="18"/>
  <c r="AM67" i="18"/>
  <c r="AM69" i="18"/>
  <c r="X107" i="18"/>
  <c r="BB100" i="18"/>
  <c r="X100" i="18"/>
  <c r="AM107" i="18"/>
  <c r="X113" i="18"/>
  <c r="X57" i="18"/>
  <c r="AM58" i="18"/>
  <c r="X73" i="18"/>
  <c r="AM64" i="18"/>
  <c r="BB54" i="18"/>
  <c r="BB56" i="18"/>
  <c r="BB59" i="18"/>
  <c r="X54" i="18"/>
  <c r="BB58" i="18"/>
  <c r="BB65" i="18"/>
  <c r="BB60" i="18"/>
  <c r="X67" i="18"/>
  <c r="X68" i="18"/>
  <c r="AM73" i="18"/>
  <c r="BB107" i="18"/>
  <c r="X108" i="18"/>
  <c r="AM113" i="18"/>
  <c r="BB67" i="18"/>
  <c r="X62" i="18"/>
  <c r="AM68" i="18"/>
  <c r="BB71" i="18"/>
  <c r="BB73" i="18"/>
  <c r="AM54" i="18"/>
  <c r="X59" i="18"/>
  <c r="AM57" i="18"/>
  <c r="BB63" i="18"/>
  <c r="AM110" i="18"/>
  <c r="BB69" i="18"/>
  <c r="BB68" i="18"/>
  <c r="AM70" i="18"/>
  <c r="AM97" i="18"/>
  <c r="AM105" i="18"/>
  <c r="BB112" i="18"/>
  <c r="BB113" i="18"/>
  <c r="AM71" i="18"/>
  <c r="BB55" i="18"/>
  <c r="BB61" i="18"/>
  <c r="BB57" i="18"/>
  <c r="AM65" i="18"/>
  <c r="X70" i="18"/>
  <c r="X66" i="18"/>
  <c r="BB64" i="18"/>
  <c r="X72" i="18"/>
  <c r="BB72" i="18"/>
  <c r="X97" i="18"/>
  <c r="BB66" i="18"/>
  <c r="AM61" i="18"/>
  <c r="AM56" i="18"/>
  <c r="X103" i="18"/>
  <c r="X55" i="18"/>
  <c r="X58" i="18"/>
  <c r="BB62" i="18"/>
  <c r="X64" i="18"/>
  <c r="P69" i="18"/>
  <c r="AT109" i="18"/>
  <c r="AE109" i="18"/>
  <c r="AE103" i="18"/>
  <c r="P95" i="18"/>
  <c r="P108" i="18"/>
  <c r="P102" i="18"/>
  <c r="AE95" i="18"/>
  <c r="AE97" i="18"/>
  <c r="AE99" i="18"/>
  <c r="AT104" i="18"/>
  <c r="P104" i="18"/>
  <c r="P110" i="18"/>
  <c r="AE110" i="18"/>
  <c r="AT111" i="18"/>
  <c r="AE113" i="18"/>
  <c r="AE54" i="18"/>
  <c r="P57" i="18"/>
  <c r="AE71" i="18"/>
  <c r="P73" i="18"/>
  <c r="AE62" i="18"/>
  <c r="P97" i="18"/>
  <c r="P105" i="18"/>
  <c r="AT108" i="18"/>
  <c r="AT94" i="18"/>
  <c r="AE101" i="18"/>
  <c r="AT101" i="18"/>
  <c r="AT103" i="18"/>
  <c r="P103" i="18"/>
  <c r="AT107" i="18"/>
  <c r="AE105" i="18"/>
  <c r="AE107" i="18"/>
  <c r="AT110" i="18"/>
  <c r="AE112" i="18"/>
  <c r="P113" i="18"/>
  <c r="AT67" i="18"/>
  <c r="AT55" i="18"/>
  <c r="P61" i="18"/>
  <c r="P100" i="18"/>
  <c r="AT95" i="18"/>
  <c r="P107" i="18"/>
  <c r="AE96" i="18"/>
  <c r="AE100" i="18"/>
  <c r="AT102" i="18"/>
  <c r="P109" i="18"/>
  <c r="AE111" i="18"/>
  <c r="P68" i="18"/>
  <c r="AT61" i="18"/>
  <c r="P63" i="18"/>
  <c r="AT57" i="18"/>
  <c r="AE65" i="18"/>
  <c r="P66" i="18"/>
  <c r="AT69" i="18"/>
  <c r="P64" i="18"/>
  <c r="AE68" i="18"/>
  <c r="AE70" i="18"/>
  <c r="AT71" i="18"/>
  <c r="P71" i="18"/>
  <c r="P99" i="18"/>
  <c r="P98" i="18"/>
  <c r="AT96" i="18"/>
  <c r="AT99" i="18"/>
  <c r="AE102" i="18"/>
  <c r="AT105" i="18"/>
  <c r="AT100" i="18"/>
  <c r="AE108" i="18"/>
  <c r="P111" i="18"/>
  <c r="AT112" i="18"/>
  <c r="AT70" i="18"/>
  <c r="AE66" i="18"/>
  <c r="AE61" i="18"/>
  <c r="AT54" i="18"/>
  <c r="P56" i="18"/>
  <c r="AE57" i="18"/>
  <c r="AT62" i="18"/>
  <c r="P62" i="18"/>
  <c r="AE56" i="18"/>
  <c r="AT68" i="18"/>
  <c r="AE72" i="18"/>
  <c r="AT72" i="18"/>
  <c r="P72" i="18"/>
  <c r="AT73" i="18"/>
  <c r="AE60" i="18"/>
  <c r="AT65" i="18"/>
  <c r="P101" i="18"/>
  <c r="AT98" i="18"/>
  <c r="AT106" i="18"/>
  <c r="P106" i="18"/>
  <c r="AT113" i="18"/>
  <c r="AE64" i="18"/>
  <c r="AT63" i="18"/>
  <c r="P55" i="18"/>
  <c r="AT64" i="18"/>
  <c r="AE69" i="18"/>
  <c r="AE98" i="18"/>
  <c r="AE106" i="18"/>
  <c r="AE63" i="18"/>
  <c r="AE59" i="18"/>
  <c r="AT60" i="18"/>
  <c r="AT66" i="18"/>
  <c r="AE104" i="18"/>
  <c r="P112" i="18"/>
  <c r="AT58" i="18"/>
  <c r="AE67" i="18"/>
  <c r="P94" i="18"/>
  <c r="AT97" i="18"/>
  <c r="AE58" i="18"/>
  <c r="AE55" i="18"/>
  <c r="AT56" i="18"/>
  <c r="AT59" i="18"/>
  <c r="P59" i="18"/>
  <c r="AE73" i="18"/>
  <c r="AE94" i="18"/>
  <c r="P54" i="18"/>
  <c r="P65" i="18"/>
  <c r="P60" i="18"/>
  <c r="P96" i="18"/>
  <c r="P58" i="18"/>
  <c r="P70" i="18"/>
  <c r="P67" i="18"/>
  <c r="AR62" i="18"/>
  <c r="AC95" i="18"/>
  <c r="AR110" i="18"/>
  <c r="AC94" i="18"/>
  <c r="AR102" i="18"/>
  <c r="AC70" i="18"/>
  <c r="AR108" i="18"/>
  <c r="N99" i="18"/>
  <c r="AR100" i="18"/>
  <c r="AR97" i="18"/>
  <c r="N69" i="18"/>
  <c r="N113" i="18"/>
  <c r="N105" i="18"/>
  <c r="N96" i="18"/>
  <c r="N100" i="18"/>
  <c r="AR98" i="18"/>
  <c r="AR94" i="18"/>
  <c r="N97" i="18"/>
  <c r="AC112" i="18"/>
  <c r="AR56" i="18"/>
  <c r="N55" i="18"/>
  <c r="AR58" i="18"/>
  <c r="AR96" i="18"/>
  <c r="N95" i="18"/>
  <c r="N98" i="18"/>
  <c r="AC66" i="18"/>
  <c r="AR107" i="18"/>
  <c r="AR101" i="18"/>
  <c r="AR104" i="18"/>
  <c r="AC96" i="18"/>
  <c r="AC102" i="18"/>
  <c r="AC105" i="18"/>
  <c r="AC106" i="18"/>
  <c r="N106" i="18"/>
  <c r="N104" i="18"/>
  <c r="AR105" i="18"/>
  <c r="AR106" i="18"/>
  <c r="AC108" i="18"/>
  <c r="AC110" i="18"/>
  <c r="AR112" i="18"/>
  <c r="AC113" i="18"/>
  <c r="AC71" i="18"/>
  <c r="N65" i="18"/>
  <c r="N94" i="18"/>
  <c r="AC103" i="18"/>
  <c r="AC104" i="18"/>
  <c r="AR111" i="18"/>
  <c r="AR73" i="18"/>
  <c r="AR72" i="18"/>
  <c r="AC64" i="18"/>
  <c r="N68" i="18"/>
  <c r="N56" i="18"/>
  <c r="AR63" i="18"/>
  <c r="AC54" i="18"/>
  <c r="N59" i="18"/>
  <c r="AC63" i="18"/>
  <c r="N58" i="18"/>
  <c r="AC65" i="18"/>
  <c r="N60" i="18"/>
  <c r="AR69" i="18"/>
  <c r="AR68" i="18"/>
  <c r="AC69" i="18"/>
  <c r="AC72" i="18"/>
  <c r="AR60" i="18"/>
  <c r="AR95" i="18"/>
  <c r="AC98" i="18"/>
  <c r="AR99" i="18"/>
  <c r="N101" i="18"/>
  <c r="N108" i="18"/>
  <c r="N111" i="18"/>
  <c r="N67" i="18"/>
  <c r="AR66" i="18"/>
  <c r="N61" i="18"/>
  <c r="AR59" i="18"/>
  <c r="AC61" i="18"/>
  <c r="AR55" i="18"/>
  <c r="N57" i="18"/>
  <c r="AR65" i="18"/>
  <c r="N70" i="18"/>
  <c r="N71" i="18"/>
  <c r="AC99" i="18"/>
  <c r="N109" i="18"/>
  <c r="N107" i="18"/>
  <c r="AC101" i="18"/>
  <c r="AR103" i="18"/>
  <c r="AC107" i="18"/>
  <c r="N112" i="18"/>
  <c r="N66" i="18"/>
  <c r="AR61" i="18"/>
  <c r="AR57" i="18"/>
  <c r="AC60" i="18"/>
  <c r="AC111" i="18"/>
  <c r="AC62" i="18"/>
  <c r="AC67" i="18"/>
  <c r="AC59" i="18"/>
  <c r="AC73" i="18"/>
  <c r="AR71" i="18"/>
  <c r="AR54" i="18"/>
  <c r="AC57" i="18"/>
  <c r="AC68" i="18"/>
  <c r="N102" i="18"/>
  <c r="AC100" i="18"/>
  <c r="AC97" i="18"/>
  <c r="N110" i="18"/>
  <c r="N103" i="18"/>
  <c r="AR113" i="18"/>
  <c r="N63" i="18"/>
  <c r="N62" i="18"/>
  <c r="AC58" i="18"/>
  <c r="AR70" i="18"/>
  <c r="AR67" i="18"/>
  <c r="AR64" i="18"/>
  <c r="AR109" i="18"/>
  <c r="AC109" i="18"/>
  <c r="AC55" i="18"/>
  <c r="N54" i="18"/>
  <c r="N64" i="18"/>
  <c r="N73" i="18"/>
  <c r="AC56" i="18"/>
  <c r="N72" i="18"/>
  <c r="AG97" i="18"/>
  <c r="AG113" i="18"/>
  <c r="AG106" i="18"/>
  <c r="AG101" i="18"/>
  <c r="AG72" i="18"/>
  <c r="AG98" i="18"/>
  <c r="AG104" i="18"/>
  <c r="R95" i="18"/>
  <c r="R109" i="18"/>
  <c r="AV61" i="18"/>
  <c r="R113" i="18"/>
  <c r="R99" i="18"/>
  <c r="AG107" i="18"/>
  <c r="AG102" i="18"/>
  <c r="R97" i="18"/>
  <c r="R98" i="18"/>
  <c r="R101" i="18"/>
  <c r="AG109" i="18"/>
  <c r="AV109" i="18"/>
  <c r="AG111" i="18"/>
  <c r="R56" i="18"/>
  <c r="AG112" i="18"/>
  <c r="R64" i="18"/>
  <c r="AG100" i="18"/>
  <c r="AV107" i="18"/>
  <c r="AV101" i="18"/>
  <c r="AV105" i="18"/>
  <c r="R100" i="18"/>
  <c r="R107" i="18"/>
  <c r="AG103" i="18"/>
  <c r="R108" i="18"/>
  <c r="R110" i="18"/>
  <c r="AV113" i="18"/>
  <c r="AG58" i="18"/>
  <c r="AG68" i="18"/>
  <c r="AG67" i="18"/>
  <c r="R111" i="18"/>
  <c r="AG94" i="18"/>
  <c r="AG96" i="18"/>
  <c r="R105" i="18"/>
  <c r="R102" i="18"/>
  <c r="AV96" i="18"/>
  <c r="R103" i="18"/>
  <c r="AV103" i="18"/>
  <c r="AG60" i="18"/>
  <c r="AG55" i="18"/>
  <c r="AV55" i="18"/>
  <c r="R63" i="18"/>
  <c r="AV54" i="18"/>
  <c r="AV64" i="18"/>
  <c r="R67" i="18"/>
  <c r="R68" i="18"/>
  <c r="AG73" i="18"/>
  <c r="R66" i="18"/>
  <c r="AV100" i="18"/>
  <c r="AG70" i="18"/>
  <c r="AV95" i="18"/>
  <c r="AG108" i="18"/>
  <c r="AV110" i="18"/>
  <c r="AV98" i="18"/>
  <c r="AG95" i="18"/>
  <c r="AG105" i="18"/>
  <c r="AV111" i="18"/>
  <c r="AV56" i="18"/>
  <c r="AG61" i="18"/>
  <c r="AV63" i="18"/>
  <c r="AG54" i="18"/>
  <c r="R59" i="18"/>
  <c r="AG57" i="18"/>
  <c r="R58" i="18"/>
  <c r="AV58" i="18"/>
  <c r="R60" i="18"/>
  <c r="AV60" i="18"/>
  <c r="AV102" i="18"/>
  <c r="R106" i="18"/>
  <c r="AV106" i="18"/>
  <c r="AV112" i="18"/>
  <c r="AV57" i="18"/>
  <c r="R70" i="18"/>
  <c r="R69" i="18"/>
  <c r="AV59" i="18"/>
  <c r="AV70" i="18"/>
  <c r="R71" i="18"/>
  <c r="AV71" i="18"/>
  <c r="AV104" i="18"/>
  <c r="AG62" i="18"/>
  <c r="AG63" i="18"/>
  <c r="AV65" i="18"/>
  <c r="R65" i="18"/>
  <c r="AV69" i="18"/>
  <c r="AG64" i="18"/>
  <c r="R72" i="18"/>
  <c r="R94" i="18"/>
  <c r="AV99" i="18"/>
  <c r="AG110" i="18"/>
  <c r="AV66" i="18"/>
  <c r="R62" i="18"/>
  <c r="AV62" i="18"/>
  <c r="AG65" i="18"/>
  <c r="AG66" i="18"/>
  <c r="R96" i="18"/>
  <c r="AG99" i="18"/>
  <c r="R104" i="18"/>
  <c r="R54" i="18"/>
  <c r="R61" i="18"/>
  <c r="R57" i="18"/>
  <c r="AG56" i="18"/>
  <c r="AV68" i="18"/>
  <c r="AV72" i="18"/>
  <c r="AV94" i="18"/>
  <c r="AV108" i="18"/>
  <c r="AV73" i="18"/>
  <c r="AG71" i="18"/>
  <c r="AG59" i="18"/>
  <c r="AV97" i="18"/>
  <c r="R112" i="18"/>
  <c r="AV67" i="18"/>
  <c r="R55" i="18"/>
  <c r="AG69" i="18"/>
  <c r="R73" i="18"/>
  <c r="T99" i="18"/>
  <c r="AI110" i="18"/>
  <c r="AX97" i="18"/>
  <c r="T62" i="18"/>
  <c r="AI109" i="18"/>
  <c r="AX96" i="18"/>
  <c r="T95" i="18"/>
  <c r="AI61" i="18"/>
  <c r="AX110" i="18"/>
  <c r="T106" i="18"/>
  <c r="AX94" i="18"/>
  <c r="T107" i="18"/>
  <c r="T104" i="18"/>
  <c r="AI101" i="18"/>
  <c r="AX101" i="18"/>
  <c r="AX106" i="18"/>
  <c r="AI105" i="18"/>
  <c r="AI107" i="18"/>
  <c r="T111" i="18"/>
  <c r="AX111" i="18"/>
  <c r="AX112" i="18"/>
  <c r="T113" i="18"/>
  <c r="T55" i="18"/>
  <c r="AX63" i="18"/>
  <c r="AX99" i="18"/>
  <c r="AX64" i="18"/>
  <c r="T100" i="18"/>
  <c r="T98" i="18"/>
  <c r="AX105" i="18"/>
  <c r="AX113" i="18"/>
  <c r="T109" i="18"/>
  <c r="AI104" i="18"/>
  <c r="T101" i="18"/>
  <c r="AX108" i="18"/>
  <c r="AI96" i="18"/>
  <c r="AI98" i="18"/>
  <c r="AI100" i="18"/>
  <c r="AX104" i="18"/>
  <c r="AI57" i="18"/>
  <c r="T105" i="18"/>
  <c r="AX107" i="18"/>
  <c r="T102" i="18"/>
  <c r="AI94" i="18"/>
  <c r="AI102" i="18"/>
  <c r="AX100" i="18"/>
  <c r="T108" i="18"/>
  <c r="AI108" i="18"/>
  <c r="AI112" i="18"/>
  <c r="AI113" i="18"/>
  <c r="T54" i="18"/>
  <c r="AX56" i="18"/>
  <c r="AI71" i="18"/>
  <c r="AI65" i="18"/>
  <c r="AX59" i="18"/>
  <c r="AX55" i="18"/>
  <c r="T58" i="18"/>
  <c r="AX58" i="18"/>
  <c r="AX65" i="18"/>
  <c r="AI56" i="18"/>
  <c r="AX60" i="18"/>
  <c r="T71" i="18"/>
  <c r="T103" i="18"/>
  <c r="T96" i="18"/>
  <c r="T97" i="18"/>
  <c r="AX109" i="18"/>
  <c r="AI95" i="18"/>
  <c r="AI99" i="18"/>
  <c r="T110" i="18"/>
  <c r="AI55" i="18"/>
  <c r="AI72" i="18"/>
  <c r="T73" i="18"/>
  <c r="AX54" i="18"/>
  <c r="AI59" i="18"/>
  <c r="AX61" i="18"/>
  <c r="AX66" i="18"/>
  <c r="T63" i="18"/>
  <c r="T56" i="18"/>
  <c r="T59" i="18"/>
  <c r="AX57" i="18"/>
  <c r="T70" i="18"/>
  <c r="AX70" i="18"/>
  <c r="T66" i="18"/>
  <c r="AX67" i="18"/>
  <c r="T64" i="18"/>
  <c r="T67" i="18"/>
  <c r="T68" i="18"/>
  <c r="AI67" i="18"/>
  <c r="AI69" i="18"/>
  <c r="AX71" i="18"/>
  <c r="T94" i="18"/>
  <c r="T60" i="18"/>
  <c r="T65" i="18"/>
  <c r="AI58" i="18"/>
  <c r="AX68" i="18"/>
  <c r="AX72" i="18"/>
  <c r="AI73" i="18"/>
  <c r="AX98" i="18"/>
  <c r="AX103" i="18"/>
  <c r="T112" i="18"/>
  <c r="AI66" i="18"/>
  <c r="AI70" i="18"/>
  <c r="AI97" i="18"/>
  <c r="AX102" i="18"/>
  <c r="T61" i="18"/>
  <c r="AI62" i="18"/>
  <c r="AX95" i="18"/>
  <c r="AI111" i="18"/>
  <c r="AI63" i="18"/>
  <c r="AI54" i="18"/>
  <c r="AX62" i="18"/>
  <c r="AI64" i="18"/>
  <c r="AX69" i="18"/>
  <c r="AI68" i="18"/>
  <c r="AX73" i="18"/>
  <c r="AI103" i="18"/>
  <c r="AI60" i="18"/>
  <c r="T72" i="18"/>
  <c r="AI106" i="18"/>
  <c r="T69" i="18"/>
  <c r="T57" i="18"/>
  <c r="AY65" i="18"/>
  <c r="U94" i="18"/>
  <c r="U68" i="18"/>
  <c r="AJ105" i="18"/>
  <c r="U69" i="18"/>
  <c r="AY62" i="18"/>
  <c r="U64" i="18"/>
  <c r="U108" i="18"/>
  <c r="AJ108" i="18"/>
  <c r="U101" i="18"/>
  <c r="AY61" i="18"/>
  <c r="AJ100" i="18"/>
  <c r="U73" i="18"/>
  <c r="AJ98" i="18"/>
  <c r="AY103" i="18"/>
  <c r="AJ103" i="18"/>
  <c r="AJ95" i="18"/>
  <c r="AJ96" i="18"/>
  <c r="AJ97" i="18"/>
  <c r="AJ104" i="18"/>
  <c r="AY109" i="18"/>
  <c r="U106" i="18"/>
  <c r="AY101" i="18"/>
  <c r="U103" i="18"/>
  <c r="AJ107" i="18"/>
  <c r="AY105" i="18"/>
  <c r="AY107" i="18"/>
  <c r="AJ111" i="18"/>
  <c r="AY112" i="18"/>
  <c r="AJ113" i="18"/>
  <c r="AJ67" i="18"/>
  <c r="U67" i="18"/>
  <c r="U112" i="18"/>
  <c r="U97" i="18"/>
  <c r="U99" i="18"/>
  <c r="AY72" i="18"/>
  <c r="U113" i="18"/>
  <c r="U100" i="18"/>
  <c r="AY94" i="18"/>
  <c r="AJ99" i="18"/>
  <c r="AY96" i="18"/>
  <c r="AY98" i="18"/>
  <c r="AY100" i="18"/>
  <c r="U109" i="18"/>
  <c r="AJ110" i="18"/>
  <c r="AY111" i="18"/>
  <c r="U111" i="18"/>
  <c r="AY58" i="18"/>
  <c r="AJ58" i="18"/>
  <c r="AY59" i="18"/>
  <c r="AJ71" i="18"/>
  <c r="AJ109" i="18"/>
  <c r="AY110" i="18"/>
  <c r="U95" i="18"/>
  <c r="U96" i="18"/>
  <c r="AJ94" i="18"/>
  <c r="AJ106" i="18"/>
  <c r="AY106" i="18"/>
  <c r="AY60" i="18"/>
  <c r="U66" i="18"/>
  <c r="AJ70" i="18"/>
  <c r="U61" i="18"/>
  <c r="AJ63" i="18"/>
  <c r="AJ59" i="18"/>
  <c r="AY54" i="18"/>
  <c r="U57" i="18"/>
  <c r="U62" i="18"/>
  <c r="AY56" i="18"/>
  <c r="AY55" i="18"/>
  <c r="U107" i="18"/>
  <c r="AY97" i="18"/>
  <c r="U104" i="18"/>
  <c r="U110" i="18"/>
  <c r="AJ112" i="18"/>
  <c r="AJ55" i="18"/>
  <c r="AJ62" i="18"/>
  <c r="U55" i="18"/>
  <c r="U56" i="18"/>
  <c r="AJ66" i="18"/>
  <c r="AJ64" i="18"/>
  <c r="AY67" i="18"/>
  <c r="AY69" i="18"/>
  <c r="U98" i="18"/>
  <c r="U105" i="18"/>
  <c r="U102" i="18"/>
  <c r="AY99" i="18"/>
  <c r="AY108" i="18"/>
  <c r="AJ56" i="18"/>
  <c r="AY63" i="18"/>
  <c r="U54" i="18"/>
  <c r="U65" i="18"/>
  <c r="AJ68" i="18"/>
  <c r="AJ61" i="18"/>
  <c r="U71" i="18"/>
  <c r="AY66" i="18"/>
  <c r="AJ102" i="18"/>
  <c r="AY102" i="18"/>
  <c r="AJ54" i="18"/>
  <c r="AY64" i="18"/>
  <c r="U63" i="18"/>
  <c r="U59" i="18"/>
  <c r="U58" i="18"/>
  <c r="AJ69" i="18"/>
  <c r="AY70" i="18"/>
  <c r="AJ72" i="18"/>
  <c r="U72" i="18"/>
  <c r="AY73" i="18"/>
  <c r="AY104" i="18"/>
  <c r="AY113" i="18"/>
  <c r="AY71" i="18"/>
  <c r="AJ57" i="18"/>
  <c r="U70" i="18"/>
  <c r="AY68" i="18"/>
  <c r="AJ101" i="18"/>
  <c r="AY95" i="18"/>
  <c r="AY57" i="18"/>
  <c r="AJ60" i="18"/>
  <c r="AJ65" i="18"/>
  <c r="U60" i="18"/>
  <c r="AJ73" i="18"/>
  <c r="AS61" i="18"/>
  <c r="AD110" i="18"/>
  <c r="AS104" i="18"/>
  <c r="AD96" i="18"/>
  <c r="AS96" i="18"/>
  <c r="O109" i="18"/>
  <c r="AD109" i="18"/>
  <c r="AS111" i="18"/>
  <c r="AD105" i="18"/>
  <c r="AS108" i="18"/>
  <c r="O95" i="18"/>
  <c r="O97" i="18"/>
  <c r="O99" i="18"/>
  <c r="AD104" i="18"/>
  <c r="AS105" i="18"/>
  <c r="AS110" i="18"/>
  <c r="AS113" i="18"/>
  <c r="O113" i="18"/>
  <c r="AD56" i="18"/>
  <c r="AS59" i="18"/>
  <c r="AD68" i="18"/>
  <c r="O62" i="18"/>
  <c r="AS100" i="18"/>
  <c r="AS69" i="18"/>
  <c r="AS73" i="18"/>
  <c r="O103" i="18"/>
  <c r="AD99" i="18"/>
  <c r="AD97" i="18"/>
  <c r="AD101" i="18"/>
  <c r="O94" i="18"/>
  <c r="O101" i="18"/>
  <c r="AS106" i="18"/>
  <c r="AD103" i="18"/>
  <c r="O105" i="18"/>
  <c r="O107" i="18"/>
  <c r="AD112" i="18"/>
  <c r="O55" i="18"/>
  <c r="AS58" i="18"/>
  <c r="AS71" i="18"/>
  <c r="AS99" i="18"/>
  <c r="AS101" i="18"/>
  <c r="AD95" i="18"/>
  <c r="O98" i="18"/>
  <c r="AS109" i="18"/>
  <c r="O110" i="18"/>
  <c r="O111" i="18"/>
  <c r="O112" i="18"/>
  <c r="AS57" i="18"/>
  <c r="AS62" i="18"/>
  <c r="AD69" i="18"/>
  <c r="O60" i="18"/>
  <c r="AD61" i="18"/>
  <c r="O63" i="18"/>
  <c r="O59" i="18"/>
  <c r="AD54" i="18"/>
  <c r="AD57" i="18"/>
  <c r="AS56" i="18"/>
  <c r="AS60" i="18"/>
  <c r="AD64" i="18"/>
  <c r="AS67" i="18"/>
  <c r="O68" i="18"/>
  <c r="O70" i="18"/>
  <c r="AD71" i="18"/>
  <c r="O72" i="18"/>
  <c r="O66" i="18"/>
  <c r="AS97" i="18"/>
  <c r="AS95" i="18"/>
  <c r="AS103" i="18"/>
  <c r="AS102" i="18"/>
  <c r="AD94" i="18"/>
  <c r="AD102" i="18"/>
  <c r="O104" i="18"/>
  <c r="O106" i="18"/>
  <c r="AS112" i="18"/>
  <c r="AD67" i="18"/>
  <c r="O71" i="18"/>
  <c r="AS63" i="18"/>
  <c r="AD62" i="18"/>
  <c r="AS64" i="18"/>
  <c r="O56" i="18"/>
  <c r="AS66" i="18"/>
  <c r="AD70" i="18"/>
  <c r="AD72" i="18"/>
  <c r="AD73" i="18"/>
  <c r="AD100" i="18"/>
  <c r="O102" i="18"/>
  <c r="AD111" i="18"/>
  <c r="AD113" i="18"/>
  <c r="O64" i="18"/>
  <c r="AS55" i="18"/>
  <c r="AD58" i="18"/>
  <c r="O67" i="18"/>
  <c r="AD98" i="18"/>
  <c r="AD107" i="18"/>
  <c r="O58" i="18"/>
  <c r="AD59" i="18"/>
  <c r="O65" i="18"/>
  <c r="O54" i="18"/>
  <c r="AS70" i="18"/>
  <c r="O69" i="18"/>
  <c r="AD108" i="18"/>
  <c r="O96" i="18"/>
  <c r="AD65" i="18"/>
  <c r="O61" i="18"/>
  <c r="O57" i="18"/>
  <c r="AD60" i="18"/>
  <c r="AD66" i="18"/>
  <c r="O73" i="18"/>
  <c r="AS107" i="18"/>
  <c r="AS94" i="18"/>
  <c r="O100" i="18"/>
  <c r="O108" i="18"/>
  <c r="AS72" i="18"/>
  <c r="AS54" i="18"/>
  <c r="AS68" i="18"/>
  <c r="AD55" i="18"/>
  <c r="AS98" i="18"/>
  <c r="AD106" i="18"/>
  <c r="AD63" i="18"/>
  <c r="AS65" i="18"/>
  <c r="BA107" i="18"/>
  <c r="AL107" i="18"/>
  <c r="BA68" i="18"/>
  <c r="AL108" i="18"/>
  <c r="W109" i="18"/>
  <c r="BA101" i="18"/>
  <c r="BA100" i="18"/>
  <c r="BA64" i="18"/>
  <c r="BA105" i="18"/>
  <c r="BA97" i="18"/>
  <c r="BA102" i="18"/>
  <c r="AL113" i="18"/>
  <c r="AL99" i="18"/>
  <c r="BA95" i="18"/>
  <c r="AL105" i="18"/>
  <c r="AL106" i="18"/>
  <c r="AL100" i="18"/>
  <c r="W94" i="18"/>
  <c r="W96" i="18"/>
  <c r="W98" i="18"/>
  <c r="W100" i="18"/>
  <c r="BA106" i="18"/>
  <c r="W55" i="18"/>
  <c r="AL56" i="18"/>
  <c r="BA73" i="18"/>
  <c r="AL67" i="18"/>
  <c r="BA111" i="18"/>
  <c r="AL96" i="18"/>
  <c r="BA99" i="18"/>
  <c r="BA94" i="18"/>
  <c r="BA98" i="18"/>
  <c r="AL102" i="18"/>
  <c r="W104" i="18"/>
  <c r="W102" i="18"/>
  <c r="W106" i="18"/>
  <c r="W108" i="18"/>
  <c r="BA109" i="18"/>
  <c r="W111" i="18"/>
  <c r="BA113" i="18"/>
  <c r="W66" i="18"/>
  <c r="AL101" i="18"/>
  <c r="W97" i="18"/>
  <c r="AL104" i="18"/>
  <c r="BA110" i="18"/>
  <c r="BA55" i="18"/>
  <c r="W60" i="18"/>
  <c r="AL63" i="18"/>
  <c r="BA58" i="18"/>
  <c r="BA65" i="18"/>
  <c r="BA60" i="18"/>
  <c r="BA70" i="18"/>
  <c r="BA66" i="18"/>
  <c r="W67" i="18"/>
  <c r="W69" i="18"/>
  <c r="AL98" i="18"/>
  <c r="AL111" i="18"/>
  <c r="AL94" i="18"/>
  <c r="AL112" i="18"/>
  <c r="BA108" i="18"/>
  <c r="W103" i="18"/>
  <c r="W105" i="18"/>
  <c r="W113" i="18"/>
  <c r="BA59" i="18"/>
  <c r="BA61" i="18"/>
  <c r="W63" i="18"/>
  <c r="BA54" i="18"/>
  <c r="AL54" i="18"/>
  <c r="AL59" i="18"/>
  <c r="W59" i="18"/>
  <c r="BA57" i="18"/>
  <c r="AL58" i="18"/>
  <c r="AL60" i="18"/>
  <c r="BA69" i="18"/>
  <c r="W71" i="18"/>
  <c r="BA71" i="18"/>
  <c r="W73" i="18"/>
  <c r="BA104" i="18"/>
  <c r="AL109" i="18"/>
  <c r="AL65" i="18"/>
  <c r="W54" i="18"/>
  <c r="AL62" i="18"/>
  <c r="W65" i="18"/>
  <c r="W70" i="18"/>
  <c r="AL110" i="18"/>
  <c r="W95" i="18"/>
  <c r="W64" i="18"/>
  <c r="AL57" i="18"/>
  <c r="BA56" i="18"/>
  <c r="AL69" i="18"/>
  <c r="AL73" i="18"/>
  <c r="BA112" i="18"/>
  <c r="AL95" i="18"/>
  <c r="W57" i="18"/>
  <c r="W62" i="18"/>
  <c r="AL64" i="18"/>
  <c r="AL72" i="18"/>
  <c r="AL97" i="18"/>
  <c r="W99" i="18"/>
  <c r="W101" i="18"/>
  <c r="W107" i="18"/>
  <c r="BA67" i="18"/>
  <c r="W72" i="18"/>
  <c r="AL70" i="18"/>
  <c r="W58" i="18"/>
  <c r="BA63" i="18"/>
  <c r="BA62" i="18"/>
  <c r="W56" i="18"/>
  <c r="AL66" i="18"/>
  <c r="BA72" i="18"/>
  <c r="BA96" i="18"/>
  <c r="BA103" i="18"/>
  <c r="W112" i="18"/>
  <c r="AL61" i="18"/>
  <c r="W110" i="18"/>
  <c r="AL103" i="18"/>
  <c r="AL68" i="18"/>
  <c r="AL55" i="18"/>
  <c r="W61" i="18"/>
  <c r="W68" i="18"/>
  <c r="AL71" i="18"/>
  <c r="AN110" i="18"/>
  <c r="Y103" i="18"/>
  <c r="AN106" i="18"/>
  <c r="Y71" i="18"/>
  <c r="Y66" i="18"/>
  <c r="Y98" i="18"/>
  <c r="AN101" i="18"/>
  <c r="AN104" i="18"/>
  <c r="AN55" i="18"/>
  <c r="Y65" i="18"/>
  <c r="Y95" i="18"/>
  <c r="BC103" i="18"/>
  <c r="AN95" i="18"/>
  <c r="AN98" i="18"/>
  <c r="AN107" i="18"/>
  <c r="BC101" i="18"/>
  <c r="AN108" i="18"/>
  <c r="Y100" i="18"/>
  <c r="AN96" i="18"/>
  <c r="BC108" i="18"/>
  <c r="BC105" i="18"/>
  <c r="Y110" i="18"/>
  <c r="AN112" i="18"/>
  <c r="Y112" i="18"/>
  <c r="AN59" i="18"/>
  <c r="AN62" i="18"/>
  <c r="Y67" i="18"/>
  <c r="BC62" i="18"/>
  <c r="BC97" i="18"/>
  <c r="BC102" i="18"/>
  <c r="BC110" i="18"/>
  <c r="AN109" i="18"/>
  <c r="Y96" i="18"/>
  <c r="Y107" i="18"/>
  <c r="BC99" i="18"/>
  <c r="AN94" i="18"/>
  <c r="AN102" i="18"/>
  <c r="Y104" i="18"/>
  <c r="Y106" i="18"/>
  <c r="BC106" i="18"/>
  <c r="AN111" i="18"/>
  <c r="Y111" i="18"/>
  <c r="BC112" i="18"/>
  <c r="BC54" i="18"/>
  <c r="BC56" i="18"/>
  <c r="AN56" i="18"/>
  <c r="Y62" i="18"/>
  <c r="Y113" i="18"/>
  <c r="AN103" i="18"/>
  <c r="Y101" i="18"/>
  <c r="Y97" i="18"/>
  <c r="BC111" i="18"/>
  <c r="BC113" i="18"/>
  <c r="BC67" i="18"/>
  <c r="BC68" i="18"/>
  <c r="Y61" i="18"/>
  <c r="AN61" i="18"/>
  <c r="Y57" i="18"/>
  <c r="Y56" i="18"/>
  <c r="BC64" i="18"/>
  <c r="AN65" i="18"/>
  <c r="BC66" i="18"/>
  <c r="Y102" i="18"/>
  <c r="BC109" i="18"/>
  <c r="BC73" i="18"/>
  <c r="BC72" i="18"/>
  <c r="AN69" i="18"/>
  <c r="Y70" i="18"/>
  <c r="Y69" i="18"/>
  <c r="AN73" i="18"/>
  <c r="AN57" i="18"/>
  <c r="BC61" i="18"/>
  <c r="BC57" i="18"/>
  <c r="AN60" i="18"/>
  <c r="BC65" i="18"/>
  <c r="Y64" i="18"/>
  <c r="Y73" i="18"/>
  <c r="Y94" i="18"/>
  <c r="BC55" i="18"/>
  <c r="AN99" i="18"/>
  <c r="BC95" i="18"/>
  <c r="AN97" i="18"/>
  <c r="BC96" i="18"/>
  <c r="AN105" i="18"/>
  <c r="BC104" i="18"/>
  <c r="BC58" i="18"/>
  <c r="AN71" i="18"/>
  <c r="BC71" i="18"/>
  <c r="AN67" i="18"/>
  <c r="Y68" i="18"/>
  <c r="BC63" i="18"/>
  <c r="AN54" i="18"/>
  <c r="AN63" i="18"/>
  <c r="AN64" i="18"/>
  <c r="BC70" i="18"/>
  <c r="BC60" i="18"/>
  <c r="Y60" i="18"/>
  <c r="AN72" i="18"/>
  <c r="Y99" i="18"/>
  <c r="AN113" i="18"/>
  <c r="Y55" i="18"/>
  <c r="BC69" i="18"/>
  <c r="AN66" i="18"/>
  <c r="BC100" i="18"/>
  <c r="BC107" i="18"/>
  <c r="Y105" i="18"/>
  <c r="Y108" i="18"/>
  <c r="BC98" i="18"/>
  <c r="BC94" i="18"/>
  <c r="AN58" i="18"/>
  <c r="AN70" i="18"/>
  <c r="Y58" i="18"/>
  <c r="Y54" i="18"/>
  <c r="BC59" i="18"/>
  <c r="AN68" i="18"/>
  <c r="AN100" i="18"/>
  <c r="Y109" i="18"/>
  <c r="Y63" i="18"/>
  <c r="Y59" i="18"/>
  <c r="Y72" i="18"/>
  <c r="A93" i="13"/>
  <c r="BM56" i="18" l="1"/>
  <c r="A94" i="13"/>
  <c r="BG63" i="18"/>
  <c r="BO72" i="18"/>
  <c r="BP58" i="18"/>
  <c r="BH64" i="18"/>
  <c r="BN54" i="18"/>
  <c r="BI73" i="18"/>
  <c r="BO65" i="18"/>
  <c r="BL70" i="18"/>
  <c r="BL68" i="18"/>
  <c r="BJ61" i="18"/>
  <c r="BH67" i="18"/>
  <c r="BN66" i="18"/>
  <c r="BK66" i="18"/>
  <c r="BG66" i="18"/>
  <c r="BG71" i="18"/>
  <c r="BI67" i="18"/>
  <c r="BI60" i="18"/>
  <c r="BF71" i="18"/>
  <c r="BN70" i="18"/>
  <c r="BN63" i="18"/>
  <c r="BM61" i="18"/>
  <c r="BF68" i="18"/>
  <c r="BL55" i="18"/>
  <c r="BL54" i="18"/>
  <c r="BH68" i="18"/>
  <c r="BG70" i="18"/>
  <c r="BM67" i="18"/>
  <c r="BG58" i="18"/>
  <c r="BO66" i="18"/>
  <c r="BJ66" i="18"/>
  <c r="BJ70" i="18"/>
  <c r="BJ71" i="18"/>
  <c r="BR56" i="18"/>
  <c r="BH55" i="18"/>
  <c r="BK57" i="18"/>
  <c r="BK68" i="18"/>
  <c r="BK63" i="18"/>
  <c r="BI55" i="18"/>
  <c r="BI62" i="18"/>
  <c r="BO64" i="18"/>
  <c r="BR54" i="18"/>
  <c r="BH73" i="18"/>
  <c r="BH58" i="18"/>
  <c r="BN71" i="18"/>
  <c r="BN55" i="18"/>
  <c r="BM66" i="18"/>
  <c r="BI64" i="18"/>
  <c r="BQ58" i="18"/>
  <c r="BF61" i="18"/>
  <c r="BF59" i="18"/>
  <c r="BF62" i="18"/>
  <c r="BF70" i="18"/>
  <c r="BF58" i="18"/>
  <c r="BO59" i="18"/>
  <c r="BO57" i="18"/>
  <c r="BL64" i="18"/>
  <c r="BL59" i="18"/>
  <c r="BL69" i="18"/>
  <c r="BL63" i="18"/>
  <c r="BJ65" i="18"/>
  <c r="BJ64" i="18"/>
  <c r="BK112" i="18"/>
  <c r="BK61" i="18"/>
  <c r="BK62" i="18"/>
  <c r="BK60" i="18"/>
  <c r="BK59" i="18"/>
  <c r="BR59" i="18"/>
  <c r="BR57" i="18"/>
  <c r="BP56" i="18"/>
  <c r="BP64" i="18"/>
  <c r="BP54" i="18"/>
  <c r="BP59" i="18"/>
  <c r="BP63" i="18"/>
  <c r="BM72" i="18"/>
  <c r="BM94" i="18"/>
  <c r="BK55" i="18"/>
  <c r="BK54" i="18"/>
  <c r="BI71" i="18"/>
  <c r="BI61" i="18"/>
  <c r="BQ71" i="18"/>
  <c r="BR63" i="18"/>
  <c r="BR58" i="18"/>
  <c r="BR55" i="18"/>
  <c r="BR70" i="18"/>
  <c r="BR62" i="18"/>
  <c r="BG54" i="18"/>
  <c r="BG62" i="18"/>
  <c r="BG67" i="18"/>
  <c r="BG55" i="18"/>
  <c r="BL58" i="18"/>
  <c r="BL62" i="18"/>
  <c r="BL73" i="18"/>
  <c r="BL67" i="18"/>
  <c r="BL71" i="18"/>
  <c r="BJ54" i="18"/>
  <c r="BJ55" i="18"/>
  <c r="BO56" i="18"/>
  <c r="BR99" i="18"/>
  <c r="BH112" i="18"/>
  <c r="BG110" i="18"/>
  <c r="BO104" i="18"/>
  <c r="BG107" i="18"/>
  <c r="BQ94" i="18"/>
  <c r="BJ107" i="18"/>
  <c r="BR97" i="18"/>
  <c r="BH100" i="18"/>
  <c r="BR105" i="18"/>
  <c r="BR101" i="18"/>
  <c r="BP112" i="18"/>
  <c r="BP101" i="18"/>
  <c r="BP113" i="18"/>
  <c r="BP111" i="18"/>
  <c r="BP102" i="18"/>
  <c r="BP100" i="18"/>
  <c r="BH98" i="18"/>
  <c r="BN107" i="18"/>
  <c r="BN100" i="18"/>
  <c r="BN97" i="18"/>
  <c r="BN113" i="18"/>
  <c r="BN106" i="18"/>
  <c r="BM103" i="18"/>
  <c r="BM105" i="18"/>
  <c r="BM111" i="18"/>
  <c r="BK96" i="18"/>
  <c r="BK94" i="18"/>
  <c r="BK105" i="18"/>
  <c r="BK110" i="18"/>
  <c r="BK100" i="18"/>
  <c r="BG112" i="18"/>
  <c r="BG94" i="18"/>
  <c r="BI96" i="18"/>
  <c r="BI106" i="18"/>
  <c r="BI103" i="18"/>
  <c r="BI104" i="18"/>
  <c r="BQ109" i="18"/>
  <c r="BQ96" i="18"/>
  <c r="BQ112" i="18"/>
  <c r="BQ104" i="18"/>
  <c r="BF105" i="18"/>
  <c r="BF95" i="18"/>
  <c r="BF94" i="18"/>
  <c r="BF101" i="18"/>
  <c r="BO109" i="18"/>
  <c r="BO103" i="18"/>
  <c r="BO108" i="18"/>
  <c r="BL113" i="18"/>
  <c r="BL111" i="18"/>
  <c r="BJ99" i="18"/>
  <c r="BJ98" i="18"/>
  <c r="BR102" i="18"/>
  <c r="BN99" i="18"/>
  <c r="BM112" i="18"/>
  <c r="BI101" i="18"/>
  <c r="BR100" i="18"/>
  <c r="BP105" i="18"/>
  <c r="BP98" i="18"/>
  <c r="BH96" i="18"/>
  <c r="BH101" i="18"/>
  <c r="BN108" i="18"/>
  <c r="BN110" i="18"/>
  <c r="BM110" i="18"/>
  <c r="BK108" i="18"/>
  <c r="BK101" i="18"/>
  <c r="BG109" i="18"/>
  <c r="BG113" i="18"/>
  <c r="BI99" i="18"/>
  <c r="BI107" i="18"/>
  <c r="BQ100" i="18"/>
  <c r="BQ99" i="18"/>
  <c r="BQ105" i="18"/>
  <c r="BQ98" i="18"/>
  <c r="BF97" i="18"/>
  <c r="BF112" i="18"/>
  <c r="BF103" i="18"/>
  <c r="BF108" i="18"/>
  <c r="BO106" i="18"/>
  <c r="BL108" i="18"/>
  <c r="BL95" i="18"/>
  <c r="BL96" i="18"/>
  <c r="BJ113" i="18"/>
  <c r="BJ112" i="18"/>
  <c r="BJ106" i="18"/>
  <c r="BJ102" i="18"/>
  <c r="BR67" i="18"/>
  <c r="BR71" i="18"/>
  <c r="BH70" i="18"/>
  <c r="BH95" i="18"/>
  <c r="BN65" i="18"/>
  <c r="BK69" i="18"/>
  <c r="BQ73" i="18"/>
  <c r="BQ60" i="18"/>
  <c r="BF64" i="18"/>
  <c r="BS21" i="18"/>
  <c r="BS27" i="18"/>
  <c r="AO135" i="18"/>
  <c r="BS14" i="18"/>
  <c r="BS24" i="18"/>
  <c r="AO72" i="18"/>
  <c r="BD55" i="18"/>
  <c r="AO68" i="18"/>
  <c r="BE61" i="18"/>
  <c r="Z61" i="18"/>
  <c r="AO96" i="18"/>
  <c r="BE62" i="18"/>
  <c r="Z62" i="18"/>
  <c r="BD101" i="18"/>
  <c r="BS17" i="18"/>
  <c r="Z103" i="18"/>
  <c r="BE103" i="18"/>
  <c r="BS31" i="18"/>
  <c r="BD102" i="18"/>
  <c r="BD68" i="18"/>
  <c r="AO137" i="18"/>
  <c r="BD105" i="18"/>
  <c r="BO68" i="18"/>
  <c r="BO105" i="18"/>
  <c r="BL98" i="18"/>
  <c r="BL101" i="18"/>
  <c r="BJ101" i="18"/>
  <c r="BJ60" i="18"/>
  <c r="BJ105" i="18"/>
  <c r="BR73" i="18"/>
  <c r="BR69" i="18"/>
  <c r="BR106" i="18"/>
  <c r="BR110" i="18"/>
  <c r="BP68" i="18"/>
  <c r="BP72" i="18"/>
  <c r="BP70" i="18"/>
  <c r="BP73" i="18"/>
  <c r="BP69" i="18"/>
  <c r="BQ101" i="18"/>
  <c r="BF56" i="18"/>
  <c r="BF100" i="18"/>
  <c r="BF109" i="18"/>
  <c r="BF107" i="18"/>
  <c r="BS33" i="18"/>
  <c r="BD72" i="18"/>
  <c r="BD58" i="18"/>
  <c r="AO63" i="18"/>
  <c r="BD99" i="18"/>
  <c r="AO62" i="18"/>
  <c r="AO103" i="18"/>
  <c r="BS18" i="18"/>
  <c r="BE57" i="18"/>
  <c r="Z57" i="18"/>
  <c r="AO94" i="18"/>
  <c r="AO55" i="18"/>
  <c r="AO104" i="18"/>
  <c r="BE112" i="18"/>
  <c r="Z112" i="18"/>
  <c r="BD95" i="18"/>
  <c r="AO108" i="18"/>
  <c r="BD96" i="18"/>
  <c r="AO140" i="18"/>
  <c r="BD107" i="18"/>
  <c r="BO58" i="18"/>
  <c r="BO63" i="18"/>
  <c r="BO62" i="18"/>
  <c r="BO113" i="18"/>
  <c r="BO107" i="18"/>
  <c r="BL112" i="18"/>
  <c r="BL104" i="18"/>
  <c r="BL107" i="18"/>
  <c r="BR72" i="18"/>
  <c r="BR60" i="18"/>
  <c r="BR95" i="18"/>
  <c r="BR94" i="18"/>
  <c r="BR96" i="18"/>
  <c r="BR112" i="18"/>
  <c r="BR108" i="18"/>
  <c r="BR103" i="18"/>
  <c r="BR65" i="18"/>
  <c r="BP107" i="18"/>
  <c r="BP71" i="18"/>
  <c r="BP106" i="18"/>
  <c r="BP94" i="18"/>
  <c r="BH61" i="18"/>
  <c r="BH65" i="18"/>
  <c r="BH104" i="18"/>
  <c r="BH54" i="18"/>
  <c r="BH60" i="18"/>
  <c r="BH97" i="18"/>
  <c r="BN60" i="18"/>
  <c r="BN59" i="18"/>
  <c r="BN102" i="18"/>
  <c r="BN56" i="18"/>
  <c r="BN111" i="18"/>
  <c r="BN101" i="18"/>
  <c r="BN64" i="18"/>
  <c r="BM69" i="18"/>
  <c r="BM60" i="18"/>
  <c r="BM68" i="18"/>
  <c r="BM59" i="18"/>
  <c r="BM95" i="18"/>
  <c r="BM58" i="18"/>
  <c r="BM109" i="18"/>
  <c r="BM100" i="18"/>
  <c r="BM55" i="18"/>
  <c r="BM107" i="18"/>
  <c r="BK73" i="18"/>
  <c r="BK65" i="18"/>
  <c r="BK102" i="18"/>
  <c r="BK111" i="18"/>
  <c r="BK107" i="18"/>
  <c r="BK97" i="18"/>
  <c r="BK113" i="18"/>
  <c r="BK95" i="18"/>
  <c r="BG72" i="18"/>
  <c r="BG64" i="18"/>
  <c r="BG103" i="18"/>
  <c r="BG102" i="18"/>
  <c r="BG101" i="18"/>
  <c r="BG60" i="18"/>
  <c r="BG59" i="18"/>
  <c r="BG68" i="18"/>
  <c r="BG98" i="18"/>
  <c r="BG97" i="18"/>
  <c r="BG96" i="18"/>
  <c r="BI58" i="18"/>
  <c r="BI54" i="18"/>
  <c r="BI59" i="18"/>
  <c r="BI72" i="18"/>
  <c r="BI56" i="18"/>
  <c r="BI68" i="18"/>
  <c r="BI100" i="18"/>
  <c r="BI97" i="18"/>
  <c r="BI110" i="18"/>
  <c r="BI95" i="18"/>
  <c r="BQ64" i="18"/>
  <c r="BQ103" i="18"/>
  <c r="BQ72" i="18"/>
  <c r="BQ97" i="18"/>
  <c r="BQ59" i="18"/>
  <c r="BQ62" i="18"/>
  <c r="BQ67" i="18"/>
  <c r="BQ54" i="18"/>
  <c r="BQ113" i="18"/>
  <c r="BQ107" i="18"/>
  <c r="BQ65" i="18"/>
  <c r="BQ63" i="18"/>
  <c r="BQ95" i="18"/>
  <c r="BQ56" i="18"/>
  <c r="BQ61" i="18"/>
  <c r="BF55" i="18"/>
  <c r="BF104" i="18"/>
  <c r="BF63" i="18"/>
  <c r="BF54" i="18"/>
  <c r="BF66" i="18"/>
  <c r="BF57" i="18"/>
  <c r="BF73" i="18"/>
  <c r="BF110" i="18"/>
  <c r="BF96" i="18"/>
  <c r="BE67" i="18"/>
  <c r="Z67" i="18"/>
  <c r="BS25" i="18"/>
  <c r="AO67" i="18"/>
  <c r="BD106" i="18"/>
  <c r="BE64" i="18"/>
  <c r="Z64" i="18"/>
  <c r="Z56" i="18"/>
  <c r="BE56" i="18"/>
  <c r="BS29" i="18"/>
  <c r="BD60" i="18"/>
  <c r="AO150" i="18"/>
  <c r="Z70" i="18"/>
  <c r="BE70" i="18"/>
  <c r="BS15" i="18"/>
  <c r="BE66" i="18"/>
  <c r="Z66" i="18"/>
  <c r="BD59" i="18"/>
  <c r="BD110" i="18"/>
  <c r="Z98" i="18"/>
  <c r="BE98" i="18"/>
  <c r="AO149" i="18"/>
  <c r="AO70" i="18"/>
  <c r="AO58" i="18"/>
  <c r="BE60" i="18"/>
  <c r="Z60" i="18"/>
  <c r="BD113" i="18"/>
  <c r="AO100" i="18"/>
  <c r="BD62" i="18"/>
  <c r="BD66" i="18"/>
  <c r="AO105" i="18"/>
  <c r="Z104" i="18"/>
  <c r="BE104" i="18"/>
  <c r="BD94" i="18"/>
  <c r="BD67" i="18"/>
  <c r="AO113" i="18"/>
  <c r="BE110" i="18"/>
  <c r="Z110" i="18"/>
  <c r="AO95" i="18"/>
  <c r="Z100" i="18"/>
  <c r="BE100" i="18"/>
  <c r="BD111" i="18"/>
  <c r="BD103" i="18"/>
  <c r="BD108" i="18"/>
  <c r="BD98" i="18"/>
  <c r="AO148" i="18"/>
  <c r="AO141" i="18"/>
  <c r="AO143" i="18"/>
  <c r="AO145" i="18"/>
  <c r="AO147" i="18"/>
  <c r="BO71" i="18"/>
  <c r="BO69" i="18"/>
  <c r="BO110" i="18"/>
  <c r="BO70" i="18"/>
  <c r="BO101" i="18"/>
  <c r="BO95" i="18"/>
  <c r="BO94" i="18"/>
  <c r="BL66" i="18"/>
  <c r="BL72" i="18"/>
  <c r="BL60" i="18"/>
  <c r="BL106" i="18"/>
  <c r="BL110" i="18"/>
  <c r="BL100" i="18"/>
  <c r="BL61" i="18"/>
  <c r="BL109" i="18"/>
  <c r="BJ96" i="18"/>
  <c r="BJ57" i="18"/>
  <c r="BJ100" i="18"/>
  <c r="BJ63" i="18"/>
  <c r="BJ109" i="18"/>
  <c r="BJ94" i="18"/>
  <c r="BH59" i="18"/>
  <c r="BN112" i="18"/>
  <c r="BN105" i="18"/>
  <c r="BK72" i="18"/>
  <c r="BG105" i="18"/>
  <c r="BF98" i="18"/>
  <c r="AO65" i="18"/>
  <c r="Z69" i="18"/>
  <c r="BE69" i="18"/>
  <c r="BD65" i="18"/>
  <c r="BE63" i="18"/>
  <c r="Z63" i="18"/>
  <c r="AO54" i="18"/>
  <c r="Z113" i="18"/>
  <c r="BE113" i="18"/>
  <c r="AO56" i="18"/>
  <c r="AO107" i="18"/>
  <c r="BS26" i="18"/>
  <c r="AO59" i="18"/>
  <c r="BE108" i="18"/>
  <c r="Z108" i="18"/>
  <c r="BE72" i="18"/>
  <c r="Z72" i="18"/>
  <c r="AO57" i="18"/>
  <c r="BE101" i="18"/>
  <c r="Z101" i="18"/>
  <c r="AO112" i="18"/>
  <c r="Z95" i="18"/>
  <c r="BE95" i="18"/>
  <c r="AO109" i="18"/>
  <c r="BE99" i="18"/>
  <c r="Z99" i="18"/>
  <c r="AO146" i="18"/>
  <c r="AO142" i="18"/>
  <c r="BS32" i="18"/>
  <c r="AO144" i="18"/>
  <c r="AO110" i="18"/>
  <c r="BO98" i="18"/>
  <c r="BJ110" i="18"/>
  <c r="BR98" i="18"/>
  <c r="BR66" i="18"/>
  <c r="BP99" i="18"/>
  <c r="BP62" i="18"/>
  <c r="BP60" i="18"/>
  <c r="BP104" i="18"/>
  <c r="BH69" i="18"/>
  <c r="BH63" i="18"/>
  <c r="BH111" i="18"/>
  <c r="BH107" i="18"/>
  <c r="BH62" i="18"/>
  <c r="BH113" i="18"/>
  <c r="BH109" i="18"/>
  <c r="BN98" i="18"/>
  <c r="BN62" i="18"/>
  <c r="BN96" i="18"/>
  <c r="BN67" i="18"/>
  <c r="BN73" i="18"/>
  <c r="BN69" i="18"/>
  <c r="BM64" i="18"/>
  <c r="BM70" i="18"/>
  <c r="BM63" i="18"/>
  <c r="BM97" i="18"/>
  <c r="BM54" i="18"/>
  <c r="BM108" i="18"/>
  <c r="BM102" i="18"/>
  <c r="BM101" i="18"/>
  <c r="BM113" i="18"/>
  <c r="BM106" i="18"/>
  <c r="BK71" i="18"/>
  <c r="BK70" i="18"/>
  <c r="BK106" i="18"/>
  <c r="BK67" i="18"/>
  <c r="BK103" i="18"/>
  <c r="BK64" i="18"/>
  <c r="BK56" i="18"/>
  <c r="BK109" i="18"/>
  <c r="BG111" i="18"/>
  <c r="BG65" i="18"/>
  <c r="BG104" i="18"/>
  <c r="BG99" i="18"/>
  <c r="BI94" i="18"/>
  <c r="BI112" i="18"/>
  <c r="BI111" i="18"/>
  <c r="BI63" i="18"/>
  <c r="BI109" i="18"/>
  <c r="BI102" i="18"/>
  <c r="BI69" i="18"/>
  <c r="BQ66" i="18"/>
  <c r="BQ106" i="18"/>
  <c r="BF113" i="18"/>
  <c r="BS28" i="18"/>
  <c r="BE71" i="18"/>
  <c r="Z71" i="18"/>
  <c r="BS23" i="18"/>
  <c r="AO61" i="18"/>
  <c r="BD73" i="18"/>
  <c r="BS20" i="18"/>
  <c r="Z68" i="18"/>
  <c r="BE68" i="18"/>
  <c r="BD61" i="18"/>
  <c r="AO60" i="18"/>
  <c r="BD64" i="18"/>
  <c r="BD104" i="18"/>
  <c r="AO64" i="18"/>
  <c r="BD54" i="18"/>
  <c r="BD109" i="18"/>
  <c r="BS16" i="18"/>
  <c r="AO99" i="18"/>
  <c r="BS19" i="18"/>
  <c r="BD100" i="18"/>
  <c r="BD97" i="18"/>
  <c r="AO136" i="18"/>
  <c r="BS22" i="18"/>
  <c r="BO61" i="18"/>
  <c r="BO112" i="18"/>
  <c r="BO54" i="18"/>
  <c r="BL103" i="18"/>
  <c r="BJ62" i="18"/>
  <c r="BJ69" i="18"/>
  <c r="BJ68" i="18"/>
  <c r="BJ111" i="18"/>
  <c r="BJ103" i="18"/>
  <c r="BJ97" i="18"/>
  <c r="BR109" i="18"/>
  <c r="BR68" i="18"/>
  <c r="BR64" i="18"/>
  <c r="BR61" i="18"/>
  <c r="BR113" i="18"/>
  <c r="BR111" i="18"/>
  <c r="BR104" i="18"/>
  <c r="BR107" i="18"/>
  <c r="BP61" i="18"/>
  <c r="BP110" i="18"/>
  <c r="BP57" i="18"/>
  <c r="BP95" i="18"/>
  <c r="BP65" i="18"/>
  <c r="BP109" i="18"/>
  <c r="BP103" i="18"/>
  <c r="BP67" i="18"/>
  <c r="BP97" i="18"/>
  <c r="BP66" i="18"/>
  <c r="BP108" i="18"/>
  <c r="BP55" i="18"/>
  <c r="BP96" i="18"/>
  <c r="BH108" i="18"/>
  <c r="BH57" i="18"/>
  <c r="BH102" i="18"/>
  <c r="BH56" i="18"/>
  <c r="BH71" i="18"/>
  <c r="BH106" i="18"/>
  <c r="BH66" i="18"/>
  <c r="BH72" i="18"/>
  <c r="BH110" i="18"/>
  <c r="BH105" i="18"/>
  <c r="BH94" i="18"/>
  <c r="BH103" i="18"/>
  <c r="BH99" i="18"/>
  <c r="BN72" i="18"/>
  <c r="BN58" i="18"/>
  <c r="BN104" i="18"/>
  <c r="BN57" i="18"/>
  <c r="BN61" i="18"/>
  <c r="BN95" i="18"/>
  <c r="BN109" i="18"/>
  <c r="BN103" i="18"/>
  <c r="BN68" i="18"/>
  <c r="BN94" i="18"/>
  <c r="BM57" i="18"/>
  <c r="BM65" i="18"/>
  <c r="BM73" i="18"/>
  <c r="BM96" i="18"/>
  <c r="BM71" i="18"/>
  <c r="BM98" i="18"/>
  <c r="BM104" i="18"/>
  <c r="BM62" i="18"/>
  <c r="BM99" i="18"/>
  <c r="BK104" i="18"/>
  <c r="BK58" i="18"/>
  <c r="BK98" i="18"/>
  <c r="BK99" i="18"/>
  <c r="BG73" i="18"/>
  <c r="BG57" i="18"/>
  <c r="BG61" i="18"/>
  <c r="BG108" i="18"/>
  <c r="BG95" i="18"/>
  <c r="BG56" i="18"/>
  <c r="BG106" i="18"/>
  <c r="BG100" i="18"/>
  <c r="BG69" i="18"/>
  <c r="BI70" i="18"/>
  <c r="BI65" i="18"/>
  <c r="BI98" i="18"/>
  <c r="BI66" i="18"/>
  <c r="BI113" i="18"/>
  <c r="BI105" i="18"/>
  <c r="BI57" i="18"/>
  <c r="BI108" i="18"/>
  <c r="BQ55" i="18"/>
  <c r="BQ70" i="18"/>
  <c r="BQ108" i="18"/>
  <c r="BQ68" i="18"/>
  <c r="BQ57" i="18"/>
  <c r="BQ111" i="18"/>
  <c r="BQ102" i="18"/>
  <c r="BQ110" i="18"/>
  <c r="BQ69" i="18"/>
  <c r="BF67" i="18"/>
  <c r="BF60" i="18"/>
  <c r="BF72" i="18"/>
  <c r="BF65" i="18"/>
  <c r="BF69" i="18"/>
  <c r="BF111" i="18"/>
  <c r="BF102" i="18"/>
  <c r="BF99" i="18"/>
  <c r="BF106" i="18"/>
  <c r="AO73" i="18"/>
  <c r="AO111" i="18"/>
  <c r="BD71" i="18"/>
  <c r="Z55" i="18"/>
  <c r="BE55" i="18"/>
  <c r="AO69" i="18"/>
  <c r="Z59" i="18"/>
  <c r="BE59" i="18"/>
  <c r="BE96" i="18"/>
  <c r="Z96" i="18"/>
  <c r="AO71" i="18"/>
  <c r="Z109" i="18"/>
  <c r="BE109" i="18"/>
  <c r="BD70" i="18"/>
  <c r="BE107" i="18"/>
  <c r="Z107" i="18"/>
  <c r="BD69" i="18"/>
  <c r="BD57" i="18"/>
  <c r="BE58" i="18"/>
  <c r="Z58" i="18"/>
  <c r="AO98" i="18"/>
  <c r="Z73" i="18"/>
  <c r="BE73" i="18"/>
  <c r="BE65" i="18"/>
  <c r="Z65" i="18"/>
  <c r="BD63" i="18"/>
  <c r="BS30" i="18"/>
  <c r="AO101" i="18"/>
  <c r="AO151" i="18"/>
  <c r="AO66" i="18"/>
  <c r="BE54" i="18"/>
  <c r="Z54" i="18"/>
  <c r="BE111" i="18"/>
  <c r="Z111" i="18"/>
  <c r="Z106" i="18"/>
  <c r="BE106" i="18"/>
  <c r="BE102" i="18"/>
  <c r="Z102" i="18"/>
  <c r="BD56" i="18"/>
  <c r="Z105" i="18"/>
  <c r="BE105" i="18"/>
  <c r="AO97" i="18"/>
  <c r="BE97" i="18"/>
  <c r="Z97" i="18"/>
  <c r="BD112" i="18"/>
  <c r="AO106" i="18"/>
  <c r="AO102" i="18"/>
  <c r="Z94" i="18"/>
  <c r="BE94" i="18"/>
  <c r="AO152" i="18"/>
  <c r="AO139" i="18"/>
  <c r="AO138" i="18"/>
  <c r="AO133" i="18"/>
  <c r="AO134" i="18"/>
  <c r="BO73" i="18"/>
  <c r="BO100" i="18"/>
  <c r="BO97" i="18"/>
  <c r="BO60" i="18"/>
  <c r="BO55" i="18"/>
  <c r="BO111" i="18"/>
  <c r="BO67" i="18"/>
  <c r="BO99" i="18"/>
  <c r="BO102" i="18"/>
  <c r="BO96" i="18"/>
  <c r="BL57" i="18"/>
  <c r="BL102" i="18"/>
  <c r="BL99" i="18"/>
  <c r="BL65" i="18"/>
  <c r="BL97" i="18"/>
  <c r="BL56" i="18"/>
  <c r="BL105" i="18"/>
  <c r="BL94" i="18"/>
  <c r="BJ56" i="18"/>
  <c r="BJ73" i="18"/>
  <c r="BJ72" i="18"/>
  <c r="BJ59" i="18"/>
  <c r="BJ67" i="18"/>
  <c r="BJ108" i="18"/>
  <c r="BJ104" i="18"/>
  <c r="BJ58" i="18"/>
  <c r="BJ95" i="18"/>
  <c r="F50" i="15"/>
  <c r="F49" i="15"/>
  <c r="F48" i="15"/>
  <c r="CE129" i="15" l="1"/>
  <c r="CE149" i="15"/>
  <c r="CE109" i="15"/>
  <c r="CE169" i="15"/>
  <c r="A95" i="13"/>
  <c r="A96" i="13"/>
  <c r="A98" i="13" s="1"/>
  <c r="A102" i="13" s="1"/>
  <c r="A103" i="13" s="1"/>
  <c r="A105" i="13" s="1"/>
  <c r="A120" i="13" s="1"/>
  <c r="A121" i="13" s="1"/>
  <c r="A126" i="13" s="1"/>
  <c r="A139" i="13" s="1"/>
  <c r="A141" i="13" s="1"/>
  <c r="A147" i="13" s="1"/>
  <c r="A152" i="13" s="1"/>
  <c r="N22" i="13" s="1"/>
  <c r="BS73" i="18"/>
  <c r="BS107" i="18"/>
  <c r="U37" i="10" s="1"/>
  <c r="BS113" i="18"/>
  <c r="U43" i="10" s="1"/>
  <c r="BS56" i="18"/>
  <c r="BS57" i="18"/>
  <c r="BS97" i="18"/>
  <c r="DP97" i="18" s="1"/>
  <c r="BS106" i="18"/>
  <c r="U36" i="10" s="1"/>
  <c r="BS96" i="18"/>
  <c r="CB96" i="18" s="1"/>
  <c r="BS95" i="18"/>
  <c r="U25" i="10" s="1"/>
  <c r="BS101" i="18"/>
  <c r="CB101" i="18" s="1"/>
  <c r="BS100" i="18"/>
  <c r="U30" i="10" s="1"/>
  <c r="BS103" i="18"/>
  <c r="DP103" i="18" s="1"/>
  <c r="BS102" i="18"/>
  <c r="CB102" i="18" s="1"/>
  <c r="BS99" i="18"/>
  <c r="DP26" i="18"/>
  <c r="N36" i="8"/>
  <c r="N24" i="8"/>
  <c r="DP14" i="18"/>
  <c r="N32" i="8"/>
  <c r="DP22" i="18"/>
  <c r="DP16" i="18"/>
  <c r="N26" i="8"/>
  <c r="BS68" i="18"/>
  <c r="BV68" i="18" s="1"/>
  <c r="DP23" i="18"/>
  <c r="N33" i="8"/>
  <c r="BS60" i="18"/>
  <c r="BV60" i="18" s="1"/>
  <c r="N39" i="8"/>
  <c r="DP29" i="18"/>
  <c r="N35" i="8"/>
  <c r="DP25" i="18"/>
  <c r="DP17" i="18"/>
  <c r="N27" i="8"/>
  <c r="BS65" i="18"/>
  <c r="BV65" i="18" s="1"/>
  <c r="BS55" i="18"/>
  <c r="BV55" i="18" s="1"/>
  <c r="N30" i="8"/>
  <c r="DP20" i="18"/>
  <c r="DP32" i="18"/>
  <c r="N42" i="8"/>
  <c r="BS63" i="18"/>
  <c r="BV63" i="18" s="1"/>
  <c r="BS110" i="18"/>
  <c r="BS104" i="18"/>
  <c r="CD104" i="18" s="1"/>
  <c r="CQ104" i="18" s="1"/>
  <c r="BS66" i="18"/>
  <c r="BV66" i="18" s="1"/>
  <c r="BS67" i="18"/>
  <c r="BV67" i="18" s="1"/>
  <c r="BS112" i="18"/>
  <c r="DP18" i="18"/>
  <c r="N28" i="8"/>
  <c r="DP33" i="18"/>
  <c r="N43" i="8"/>
  <c r="DP31" i="18"/>
  <c r="N41" i="8"/>
  <c r="DP27" i="18"/>
  <c r="N37" i="8"/>
  <c r="BS54" i="18"/>
  <c r="BV54" i="18" s="1"/>
  <c r="BS59" i="18"/>
  <c r="BV59" i="18" s="1"/>
  <c r="DP19" i="18"/>
  <c r="N29" i="8"/>
  <c r="BS72" i="18"/>
  <c r="BV72" i="18" s="1"/>
  <c r="BS98" i="18"/>
  <c r="N34" i="8"/>
  <c r="DP24" i="18"/>
  <c r="N31" i="8"/>
  <c r="DP21" i="18"/>
  <c r="DP30" i="18"/>
  <c r="N40" i="8"/>
  <c r="DP28" i="18"/>
  <c r="N38" i="8"/>
  <c r="DP15" i="18"/>
  <c r="N25" i="8"/>
  <c r="BS61" i="18"/>
  <c r="BV61" i="18" s="1"/>
  <c r="BS94" i="18"/>
  <c r="BS105" i="18"/>
  <c r="BS111" i="18"/>
  <c r="BS58" i="18"/>
  <c r="BV58" i="18" s="1"/>
  <c r="BS109" i="18"/>
  <c r="BS108" i="18"/>
  <c r="BS64" i="18"/>
  <c r="BV64" i="18" s="1"/>
  <c r="BS62" i="18"/>
  <c r="BV62" i="18" s="1"/>
  <c r="BS71" i="18"/>
  <c r="BV71" i="18" s="1"/>
  <c r="BS69" i="18"/>
  <c r="BV69" i="18" s="1"/>
  <c r="BS70" i="18"/>
  <c r="BV70" i="18" s="1"/>
  <c r="AF169" i="15"/>
  <c r="AF109" i="15"/>
  <c r="AF149" i="15"/>
  <c r="AF129" i="15"/>
  <c r="CA169" i="15"/>
  <c r="BW169" i="15"/>
  <c r="BS169" i="15"/>
  <c r="BO169" i="15"/>
  <c r="BK169" i="15"/>
  <c r="BG169" i="15"/>
  <c r="BC169" i="15"/>
  <c r="AY169" i="15"/>
  <c r="AU169" i="15"/>
  <c r="CC169" i="15"/>
  <c r="BY169" i="15"/>
  <c r="BU169" i="15"/>
  <c r="BQ169" i="15"/>
  <c r="BM169" i="15"/>
  <c r="BI169" i="15"/>
  <c r="BE169" i="15"/>
  <c r="BA169" i="15"/>
  <c r="AW169" i="15"/>
  <c r="AS169" i="15"/>
  <c r="AO169" i="15"/>
  <c r="AK169" i="15"/>
  <c r="AE169" i="15"/>
  <c r="AA169" i="15"/>
  <c r="V169" i="15"/>
  <c r="R169" i="15"/>
  <c r="N169" i="15"/>
  <c r="J169" i="15"/>
  <c r="E169" i="15"/>
  <c r="CB169" i="15"/>
  <c r="BX169" i="15"/>
  <c r="BT169" i="15"/>
  <c r="BP169" i="15"/>
  <c r="BZ169" i="15"/>
  <c r="BL169" i="15"/>
  <c r="BD169" i="15"/>
  <c r="AV169" i="15"/>
  <c r="AP169" i="15"/>
  <c r="AI169" i="15"/>
  <c r="AC169" i="15"/>
  <c r="W169" i="15"/>
  <c r="Q169" i="15"/>
  <c r="L169" i="15"/>
  <c r="F169" i="15"/>
  <c r="BR169" i="15"/>
  <c r="BH169" i="15"/>
  <c r="AZ169" i="15"/>
  <c r="AR169" i="15"/>
  <c r="AM169" i="15"/>
  <c r="AG169" i="15"/>
  <c r="Z169" i="15"/>
  <c r="T169" i="15"/>
  <c r="O169" i="15"/>
  <c r="H169" i="15"/>
  <c r="CD169" i="15"/>
  <c r="BN169" i="15"/>
  <c r="BF169" i="15"/>
  <c r="AX169" i="15"/>
  <c r="AQ169" i="15"/>
  <c r="AL169" i="15"/>
  <c r="AD169" i="15"/>
  <c r="Y169" i="15"/>
  <c r="S169" i="15"/>
  <c r="M169" i="15"/>
  <c r="G169" i="15"/>
  <c r="BJ169" i="15"/>
  <c r="AH169" i="15"/>
  <c r="K169" i="15"/>
  <c r="CD149" i="15"/>
  <c r="AT169" i="15"/>
  <c r="U169" i="15"/>
  <c r="CB149" i="15"/>
  <c r="BX149" i="15"/>
  <c r="BT149" i="15"/>
  <c r="BP149" i="15"/>
  <c r="BL149" i="15"/>
  <c r="BH149" i="15"/>
  <c r="BD149" i="15"/>
  <c r="AZ149" i="15"/>
  <c r="AV149" i="15"/>
  <c r="AR149" i="15"/>
  <c r="AN149" i="15"/>
  <c r="AI149" i="15"/>
  <c r="AD149" i="15"/>
  <c r="Z149" i="15"/>
  <c r="U149" i="15"/>
  <c r="Q149" i="15"/>
  <c r="M149" i="15"/>
  <c r="H149" i="15"/>
  <c r="D149" i="15"/>
  <c r="BV169" i="15"/>
  <c r="AN169" i="15"/>
  <c r="P169" i="15"/>
  <c r="CC149" i="15"/>
  <c r="BW149" i="15"/>
  <c r="BR149" i="15"/>
  <c r="BM149" i="15"/>
  <c r="BG149" i="15"/>
  <c r="BB149" i="15"/>
  <c r="AW149" i="15"/>
  <c r="AQ149" i="15"/>
  <c r="AL149" i="15"/>
  <c r="AE149" i="15"/>
  <c r="Y149" i="15"/>
  <c r="S149" i="15"/>
  <c r="N149" i="15"/>
  <c r="G149" i="15"/>
  <c r="AB169" i="15"/>
  <c r="BZ149" i="15"/>
  <c r="BU149" i="15"/>
  <c r="BO149" i="15"/>
  <c r="BJ149" i="15"/>
  <c r="BE149" i="15"/>
  <c r="AY149" i="15"/>
  <c r="AT149" i="15"/>
  <c r="AO149" i="15"/>
  <c r="AH149" i="15"/>
  <c r="AB149" i="15"/>
  <c r="V149" i="15"/>
  <c r="P149" i="15"/>
  <c r="K149" i="15"/>
  <c r="E149" i="15"/>
  <c r="CB129" i="15"/>
  <c r="BX129" i="15"/>
  <c r="BT129" i="15"/>
  <c r="BP129" i="15"/>
  <c r="BL129" i="15"/>
  <c r="BH129" i="15"/>
  <c r="BD129" i="15"/>
  <c r="AZ129" i="15"/>
  <c r="AV129" i="15"/>
  <c r="AR129" i="15"/>
  <c r="AN129" i="15"/>
  <c r="AI129" i="15"/>
  <c r="AD129" i="15"/>
  <c r="Z129" i="15"/>
  <c r="U129" i="15"/>
  <c r="Q129" i="15"/>
  <c r="M129" i="15"/>
  <c r="H129" i="15"/>
  <c r="D129" i="15"/>
  <c r="D169" i="15"/>
  <c r="BY149" i="15"/>
  <c r="BS149" i="15"/>
  <c r="BN149" i="15"/>
  <c r="BI149" i="15"/>
  <c r="BC149" i="15"/>
  <c r="AX149" i="15"/>
  <c r="AS149" i="15"/>
  <c r="AM149" i="15"/>
  <c r="AG149" i="15"/>
  <c r="AA149" i="15"/>
  <c r="T149" i="15"/>
  <c r="O149" i="15"/>
  <c r="J149" i="15"/>
  <c r="BV149" i="15"/>
  <c r="BA149" i="15"/>
  <c r="AC149" i="15"/>
  <c r="F149" i="15"/>
  <c r="CA129" i="15"/>
  <c r="BV129" i="15"/>
  <c r="BQ129" i="15"/>
  <c r="BK129" i="15"/>
  <c r="BF129" i="15"/>
  <c r="BA129" i="15"/>
  <c r="AU129" i="15"/>
  <c r="AP129" i="15"/>
  <c r="AK129" i="15"/>
  <c r="AC129" i="15"/>
  <c r="W129" i="15"/>
  <c r="R129" i="15"/>
  <c r="L129" i="15"/>
  <c r="F129" i="15"/>
  <c r="BB169" i="15"/>
  <c r="BQ149" i="15"/>
  <c r="AU149" i="15"/>
  <c r="W149" i="15"/>
  <c r="CA149" i="15"/>
  <c r="BF149" i="15"/>
  <c r="AK149" i="15"/>
  <c r="L149" i="15"/>
  <c r="R149" i="15"/>
  <c r="BZ129" i="15"/>
  <c r="BS129" i="15"/>
  <c r="BM129" i="15"/>
  <c r="BE129" i="15"/>
  <c r="AX129" i="15"/>
  <c r="AQ129" i="15"/>
  <c r="AH129" i="15"/>
  <c r="AA129" i="15"/>
  <c r="S129" i="15"/>
  <c r="K129" i="15"/>
  <c r="CC109" i="15"/>
  <c r="BY109" i="15"/>
  <c r="BU109" i="15"/>
  <c r="BQ109" i="15"/>
  <c r="BM109" i="15"/>
  <c r="BI109" i="15"/>
  <c r="BY129" i="15"/>
  <c r="BR129" i="15"/>
  <c r="BJ129" i="15"/>
  <c r="BC129" i="15"/>
  <c r="AW129" i="15"/>
  <c r="AO129" i="15"/>
  <c r="AG129" i="15"/>
  <c r="Y129" i="15"/>
  <c r="P129" i="15"/>
  <c r="J129" i="15"/>
  <c r="CB109" i="15"/>
  <c r="BX109" i="15"/>
  <c r="BT109" i="15"/>
  <c r="BP109" i="15"/>
  <c r="BL109" i="15"/>
  <c r="BH109" i="15"/>
  <c r="BK149" i="15"/>
  <c r="CD129" i="15"/>
  <c r="BW129" i="15"/>
  <c r="BO129" i="15"/>
  <c r="BI129" i="15"/>
  <c r="BB129" i="15"/>
  <c r="AT129" i="15"/>
  <c r="AM129" i="15"/>
  <c r="AE129" i="15"/>
  <c r="V129" i="15"/>
  <c r="O129" i="15"/>
  <c r="G129" i="15"/>
  <c r="CA109" i="15"/>
  <c r="BW109" i="15"/>
  <c r="BS109" i="15"/>
  <c r="BO109" i="15"/>
  <c r="BK109" i="15"/>
  <c r="BG109" i="15"/>
  <c r="BF109" i="15"/>
  <c r="BB109" i="15"/>
  <c r="AX109" i="15"/>
  <c r="AT109" i="15"/>
  <c r="AP109" i="15"/>
  <c r="AL109" i="15"/>
  <c r="AH109" i="15"/>
  <c r="AC109" i="15"/>
  <c r="Y109" i="15"/>
  <c r="T109" i="15"/>
  <c r="Q109" i="15"/>
  <c r="M109" i="15"/>
  <c r="H109" i="15"/>
  <c r="BN129" i="15"/>
  <c r="AL129" i="15"/>
  <c r="E129" i="15"/>
  <c r="BV109" i="15"/>
  <c r="BD109" i="15"/>
  <c r="AY109" i="15"/>
  <c r="AS109" i="15"/>
  <c r="AN109" i="15"/>
  <c r="AE109" i="15"/>
  <c r="Z109" i="15"/>
  <c r="S109" i="15"/>
  <c r="F109" i="15"/>
  <c r="BG129" i="15"/>
  <c r="BR109" i="15"/>
  <c r="AR109" i="15"/>
  <c r="AD109" i="15"/>
  <c r="P109" i="15"/>
  <c r="N109" i="15"/>
  <c r="AP149" i="15"/>
  <c r="CC129" i="15"/>
  <c r="AY129" i="15"/>
  <c r="T129" i="15"/>
  <c r="CD109" i="15"/>
  <c r="BN109" i="15"/>
  <c r="BA109" i="15"/>
  <c r="AV109" i="15"/>
  <c r="AQ109" i="15"/>
  <c r="AK109" i="15"/>
  <c r="AI109" i="15"/>
  <c r="AB109" i="15"/>
  <c r="V109" i="15"/>
  <c r="L109" i="15"/>
  <c r="K109" i="15"/>
  <c r="J109" i="15"/>
  <c r="D109" i="15"/>
  <c r="E109" i="15"/>
  <c r="AB129" i="15"/>
  <c r="BC109" i="15"/>
  <c r="AW109" i="15"/>
  <c r="R109" i="15"/>
  <c r="O109" i="15"/>
  <c r="BU129" i="15"/>
  <c r="AS129" i="15"/>
  <c r="N129" i="15"/>
  <c r="BZ109" i="15"/>
  <c r="BJ109" i="15"/>
  <c r="BE109" i="15"/>
  <c r="AZ109" i="15"/>
  <c r="AU109" i="15"/>
  <c r="AO109" i="15"/>
  <c r="AG109" i="15"/>
  <c r="AA109" i="15"/>
  <c r="U109" i="15"/>
  <c r="AM109" i="15"/>
  <c r="W109" i="15"/>
  <c r="G109" i="15"/>
  <c r="G54" i="12"/>
  <c r="G53" i="12"/>
  <c r="G52" i="12"/>
  <c r="G51" i="12"/>
  <c r="G50" i="12"/>
  <c r="G49" i="12"/>
  <c r="G48" i="12"/>
  <c r="G47" i="12"/>
  <c r="G46" i="12"/>
  <c r="G45" i="12"/>
  <c r="G24" i="12"/>
  <c r="G23" i="12"/>
  <c r="G22" i="12"/>
  <c r="G21" i="12"/>
  <c r="G20" i="12"/>
  <c r="G17" i="12"/>
  <c r="G16" i="12"/>
  <c r="G15" i="12"/>
  <c r="G14" i="12"/>
  <c r="N105" i="20"/>
  <c r="M105" i="20"/>
  <c r="L105" i="20"/>
  <c r="K105" i="20"/>
  <c r="J105" i="20"/>
  <c r="I105" i="20"/>
  <c r="H105" i="20"/>
  <c r="G105" i="20"/>
  <c r="F105" i="20"/>
  <c r="E105" i="20"/>
  <c r="DO3" i="18"/>
  <c r="DD3" i="18"/>
  <c r="DC3" i="18"/>
  <c r="DB3" i="18"/>
  <c r="DA3" i="18"/>
  <c r="CZ3" i="18"/>
  <c r="CY3" i="18"/>
  <c r="CX3" i="18"/>
  <c r="CW3" i="18"/>
  <c r="CV3" i="18"/>
  <c r="CU3" i="18"/>
  <c r="R77" i="20"/>
  <c r="Q77" i="20"/>
  <c r="P77" i="20"/>
  <c r="O77" i="20"/>
  <c r="R70" i="20"/>
  <c r="Q70" i="20"/>
  <c r="P70" i="20"/>
  <c r="O70" i="20"/>
  <c r="R69" i="20"/>
  <c r="Q69" i="20"/>
  <c r="P69" i="20"/>
  <c r="O69" i="20"/>
  <c r="R68" i="20"/>
  <c r="Q68" i="20"/>
  <c r="P68" i="20"/>
  <c r="O68" i="20"/>
  <c r="R67" i="20"/>
  <c r="Q67" i="20"/>
  <c r="P67" i="20"/>
  <c r="O67" i="20"/>
  <c r="R66" i="20"/>
  <c r="Q66" i="20"/>
  <c r="P66" i="20"/>
  <c r="O66" i="20"/>
  <c r="R65" i="20"/>
  <c r="Q65" i="20"/>
  <c r="P65" i="20"/>
  <c r="O65" i="20"/>
  <c r="R64" i="20"/>
  <c r="Q64" i="20"/>
  <c r="P64" i="20"/>
  <c r="O64" i="20"/>
  <c r="R63" i="20"/>
  <c r="Q63" i="20"/>
  <c r="P63" i="20"/>
  <c r="O63" i="20"/>
  <c r="R62" i="20"/>
  <c r="Q62" i="20"/>
  <c r="P62" i="20"/>
  <c r="O62" i="20"/>
  <c r="R61" i="20"/>
  <c r="Q61" i="20"/>
  <c r="P61" i="20"/>
  <c r="O61" i="20"/>
  <c r="R60" i="20"/>
  <c r="Q60" i="20"/>
  <c r="P60" i="20"/>
  <c r="O60" i="20"/>
  <c r="R59" i="20"/>
  <c r="Q59" i="20"/>
  <c r="P59" i="20"/>
  <c r="O59" i="20"/>
  <c r="A155" i="17"/>
  <c r="A156" i="17"/>
  <c r="A157" i="17"/>
  <c r="A129" i="17"/>
  <c r="A130" i="17"/>
  <c r="A131" i="17"/>
  <c r="A103" i="17"/>
  <c r="A104" i="17"/>
  <c r="A105" i="17"/>
  <c r="A77" i="17"/>
  <c r="A78" i="17"/>
  <c r="A79" i="17"/>
  <c r="A51" i="17"/>
  <c r="A52" i="17"/>
  <c r="A53" i="17"/>
  <c r="A166" i="17"/>
  <c r="A165" i="17"/>
  <c r="A164" i="17"/>
  <c r="A163" i="17"/>
  <c r="A162" i="17"/>
  <c r="A161" i="17"/>
  <c r="A160" i="17"/>
  <c r="A159" i="17"/>
  <c r="A158" i="17"/>
  <c r="A142" i="17"/>
  <c r="A141" i="17"/>
  <c r="A140" i="17"/>
  <c r="A139" i="17"/>
  <c r="A138" i="17"/>
  <c r="A137" i="17"/>
  <c r="A136" i="17"/>
  <c r="A135" i="17"/>
  <c r="A134" i="17"/>
  <c r="A133" i="17"/>
  <c r="A132" i="17"/>
  <c r="A116" i="17"/>
  <c r="A115" i="17"/>
  <c r="A114" i="17"/>
  <c r="A113" i="17"/>
  <c r="A112" i="17"/>
  <c r="A111" i="17"/>
  <c r="A110" i="17"/>
  <c r="A109" i="17"/>
  <c r="A108" i="17"/>
  <c r="A107" i="17"/>
  <c r="A106" i="17"/>
  <c r="A80" i="17"/>
  <c r="A55" i="17"/>
  <c r="A56" i="17"/>
  <c r="A57" i="17"/>
  <c r="A58" i="17"/>
  <c r="A59" i="17"/>
  <c r="A60" i="17"/>
  <c r="A61" i="17"/>
  <c r="A62" i="17"/>
  <c r="A63" i="17"/>
  <c r="A64" i="17"/>
  <c r="A65" i="17"/>
  <c r="A66" i="17"/>
  <c r="A54" i="17"/>
  <c r="F189" i="17"/>
  <c r="E189" i="17"/>
  <c r="D189" i="17"/>
  <c r="F188" i="17"/>
  <c r="E188" i="17"/>
  <c r="D188" i="17"/>
  <c r="F116" i="17"/>
  <c r="E116" i="17"/>
  <c r="D116" i="17"/>
  <c r="F166" i="17"/>
  <c r="E166" i="17"/>
  <c r="D166" i="17"/>
  <c r="F165" i="17"/>
  <c r="E165" i="17"/>
  <c r="D165" i="17"/>
  <c r="F164" i="17"/>
  <c r="E164" i="17"/>
  <c r="D164" i="17"/>
  <c r="F163" i="17"/>
  <c r="E163" i="17"/>
  <c r="D163" i="17"/>
  <c r="B219" i="18"/>
  <c r="B220" i="18"/>
  <c r="B231" i="18"/>
  <c r="G169" i="18" l="1"/>
  <c r="I169" i="18"/>
  <c r="H169" i="18"/>
  <c r="N12" i="13"/>
  <c r="N16" i="13"/>
  <c r="N25" i="13"/>
  <c r="N19" i="13"/>
  <c r="N7" i="13"/>
  <c r="N4" i="13"/>
  <c r="N26" i="13"/>
  <c r="N11" i="13"/>
  <c r="N27" i="13"/>
  <c r="N21" i="13"/>
  <c r="N15" i="13"/>
  <c r="N13" i="13"/>
  <c r="N18" i="13"/>
  <c r="N17" i="13"/>
  <c r="N8" i="13"/>
  <c r="N9" i="13"/>
  <c r="N24" i="13"/>
  <c r="N10" i="13"/>
  <c r="N14" i="13"/>
  <c r="N5" i="13"/>
  <c r="N23" i="13"/>
  <c r="N6" i="13"/>
  <c r="N20" i="13"/>
  <c r="CL69" i="18"/>
  <c r="CT69" i="18" s="1"/>
  <c r="CJ69" i="18"/>
  <c r="CL63" i="18"/>
  <c r="CT63" i="18" s="1"/>
  <c r="CJ63" i="18"/>
  <c r="CL68" i="18"/>
  <c r="CT68" i="18" s="1"/>
  <c r="CJ68" i="18"/>
  <c r="CJ58" i="18"/>
  <c r="CL58" i="18"/>
  <c r="CT58" i="18" s="1"/>
  <c r="CJ70" i="18"/>
  <c r="CL70" i="18"/>
  <c r="CT70" i="18" s="1"/>
  <c r="CJ64" i="18"/>
  <c r="CL64" i="18"/>
  <c r="CT64" i="18" s="1"/>
  <c r="DP56" i="18"/>
  <c r="BV56" i="18"/>
  <c r="CJ71" i="18"/>
  <c r="CL71" i="18"/>
  <c r="CT71" i="18" s="1"/>
  <c r="CJ59" i="18"/>
  <c r="CL59" i="18"/>
  <c r="CT59" i="18" s="1"/>
  <c r="CJ66" i="18"/>
  <c r="CL66" i="18"/>
  <c r="CT66" i="18" s="1"/>
  <c r="CJ55" i="18"/>
  <c r="CL55" i="18"/>
  <c r="CT55" i="18" s="1"/>
  <c r="CJ60" i="18"/>
  <c r="CL60" i="18"/>
  <c r="CT60" i="18" s="1"/>
  <c r="CL67" i="18"/>
  <c r="CT67" i="18" s="1"/>
  <c r="CJ67" i="18"/>
  <c r="CJ62" i="18"/>
  <c r="CL62" i="18"/>
  <c r="CT62" i="18" s="1"/>
  <c r="CJ61" i="18"/>
  <c r="CL61" i="18"/>
  <c r="CT61" i="18" s="1"/>
  <c r="CL72" i="18"/>
  <c r="CT72" i="18" s="1"/>
  <c r="CJ72" i="18"/>
  <c r="CJ54" i="18"/>
  <c r="CL54" i="18"/>
  <c r="CT54" i="18" s="1"/>
  <c r="CJ65" i="18"/>
  <c r="CL65" i="18"/>
  <c r="CT65" i="18" s="1"/>
  <c r="DP57" i="18"/>
  <c r="BV57" i="18"/>
  <c r="N43" i="9"/>
  <c r="BV73" i="18"/>
  <c r="CB95" i="18"/>
  <c r="CJ95" i="18" s="1"/>
  <c r="N26" i="9"/>
  <c r="N27" i="9"/>
  <c r="DP113" i="18"/>
  <c r="CB107" i="18"/>
  <c r="CP107" i="18" s="1"/>
  <c r="CT107" i="18" s="1"/>
  <c r="DP73" i="18"/>
  <c r="DP96" i="18"/>
  <c r="U27" i="10"/>
  <c r="U26" i="10"/>
  <c r="DP107" i="18"/>
  <c r="CB97" i="18"/>
  <c r="CP97" i="18" s="1"/>
  <c r="CT97" i="18" s="1"/>
  <c r="U33" i="10"/>
  <c r="CB113" i="18"/>
  <c r="CP113" i="18" s="1"/>
  <c r="CT113" i="18" s="1"/>
  <c r="CB103" i="18"/>
  <c r="CJ103" i="18" s="1"/>
  <c r="DP106" i="18"/>
  <c r="DP100" i="18"/>
  <c r="U31" i="10"/>
  <c r="CB100" i="18"/>
  <c r="CJ100" i="18" s="1"/>
  <c r="CB106" i="18"/>
  <c r="CP106" i="18" s="1"/>
  <c r="CT106" i="18" s="1"/>
  <c r="DP102" i="18"/>
  <c r="DP95" i="18"/>
  <c r="U32" i="10"/>
  <c r="DP101" i="18"/>
  <c r="U39" i="10"/>
  <c r="DP109" i="18"/>
  <c r="CB109" i="18"/>
  <c r="N37" i="9"/>
  <c r="DP67" i="18"/>
  <c r="N25" i="9"/>
  <c r="DP55" i="18"/>
  <c r="N28" i="9"/>
  <c r="DP58" i="18"/>
  <c r="CP95" i="18"/>
  <c r="CT95" i="18" s="1"/>
  <c r="N36" i="9"/>
  <c r="DP66" i="18"/>
  <c r="N30" i="9"/>
  <c r="DP60" i="18"/>
  <c r="CP102" i="18"/>
  <c r="CT102" i="18" s="1"/>
  <c r="CJ102" i="18"/>
  <c r="N34" i="9"/>
  <c r="DP64" i="18"/>
  <c r="U35" i="10"/>
  <c r="CB105" i="18"/>
  <c r="DP105" i="18"/>
  <c r="N31" i="9"/>
  <c r="DP61" i="18"/>
  <c r="DP72" i="18"/>
  <c r="N42" i="9"/>
  <c r="N24" i="9"/>
  <c r="DP54" i="18"/>
  <c r="U40" i="10"/>
  <c r="DP110" i="18"/>
  <c r="CB110" i="18"/>
  <c r="CP101" i="18"/>
  <c r="CT101" i="18" s="1"/>
  <c r="CJ101" i="18"/>
  <c r="N41" i="9"/>
  <c r="DP71" i="18"/>
  <c r="U24" i="10"/>
  <c r="DP94" i="18"/>
  <c r="CB94" i="18"/>
  <c r="N32" i="9"/>
  <c r="DP62" i="18"/>
  <c r="U38" i="10"/>
  <c r="CB108" i="18"/>
  <c r="DP108" i="18"/>
  <c r="CP96" i="18"/>
  <c r="CT96" i="18" s="1"/>
  <c r="CJ96" i="18"/>
  <c r="N35" i="9"/>
  <c r="DP65" i="18"/>
  <c r="CB99" i="18"/>
  <c r="U29" i="10"/>
  <c r="DP99" i="18"/>
  <c r="N40" i="9"/>
  <c r="DP70" i="18"/>
  <c r="N39" i="9"/>
  <c r="DP69" i="18"/>
  <c r="CB111" i="18"/>
  <c r="U41" i="10"/>
  <c r="DP111" i="18"/>
  <c r="U28" i="10"/>
  <c r="DP98" i="18"/>
  <c r="CB98" i="18"/>
  <c r="N29" i="9"/>
  <c r="DP59" i="18"/>
  <c r="DP112" i="18"/>
  <c r="U42" i="10"/>
  <c r="CB112" i="18"/>
  <c r="U34" i="10"/>
  <c r="DP104" i="18"/>
  <c r="CB104" i="18"/>
  <c r="N33" i="9"/>
  <c r="DP63" i="18"/>
  <c r="N38" i="9"/>
  <c r="DP68" i="18"/>
  <c r="D32" i="17"/>
  <c r="D30" i="17"/>
  <c r="D31" i="17"/>
  <c r="CU190" i="18"/>
  <c r="CU175" i="18"/>
  <c r="CU191" i="18"/>
  <c r="CU178" i="18"/>
  <c r="CU174" i="18"/>
  <c r="CU192" i="18"/>
  <c r="CU180" i="18"/>
  <c r="CU189" i="18"/>
  <c r="CU188" i="18"/>
  <c r="CU182" i="18"/>
  <c r="CU185" i="18"/>
  <c r="CU193" i="18"/>
  <c r="CU176" i="18"/>
  <c r="CU177" i="18"/>
  <c r="CU187" i="18"/>
  <c r="CU181" i="18"/>
  <c r="CU184" i="18"/>
  <c r="CU183" i="18"/>
  <c r="CU186" i="18"/>
  <c r="CU179" i="18"/>
  <c r="CY175" i="18"/>
  <c r="CY188" i="18"/>
  <c r="CY179" i="18"/>
  <c r="CY186" i="18"/>
  <c r="CY177" i="18"/>
  <c r="CY178" i="18"/>
  <c r="CY174" i="18"/>
  <c r="CY191" i="18"/>
  <c r="CY193" i="18"/>
  <c r="CY176" i="18"/>
  <c r="CY183" i="18"/>
  <c r="CY190" i="18"/>
  <c r="CY180" i="18"/>
  <c r="CY184" i="18"/>
  <c r="CY189" i="18"/>
  <c r="CY185" i="18"/>
  <c r="CY182" i="18"/>
  <c r="CY181" i="18"/>
  <c r="CY192" i="18"/>
  <c r="CY187" i="18"/>
  <c r="DC193" i="18"/>
  <c r="DC192" i="18"/>
  <c r="DC181" i="18"/>
  <c r="DC175" i="18"/>
  <c r="DC187" i="18"/>
  <c r="DC176" i="18"/>
  <c r="DC174" i="18"/>
  <c r="DC183" i="18"/>
  <c r="DC191" i="18"/>
  <c r="DC182" i="18"/>
  <c r="DC184" i="18"/>
  <c r="DC185" i="18"/>
  <c r="DC180" i="18"/>
  <c r="DC179" i="18"/>
  <c r="DC178" i="18"/>
  <c r="DC190" i="18"/>
  <c r="DC188" i="18"/>
  <c r="DC177" i="18"/>
  <c r="DC186" i="18"/>
  <c r="DC189" i="18"/>
  <c r="CV175" i="18"/>
  <c r="CV193" i="18"/>
  <c r="CV189" i="18"/>
  <c r="CV176" i="18"/>
  <c r="CV184" i="18"/>
  <c r="CV181" i="18"/>
  <c r="CV191" i="18"/>
  <c r="CV183" i="18"/>
  <c r="CV180" i="18"/>
  <c r="CV177" i="18"/>
  <c r="CV190" i="18"/>
  <c r="CV192" i="18"/>
  <c r="CV188" i="18"/>
  <c r="CV182" i="18"/>
  <c r="CV186" i="18"/>
  <c r="CV174" i="18"/>
  <c r="CV187" i="18"/>
  <c r="CV185" i="18"/>
  <c r="CV178" i="18"/>
  <c r="CV179" i="18"/>
  <c r="CZ178" i="18"/>
  <c r="CZ183" i="18"/>
  <c r="CZ188" i="18"/>
  <c r="CZ175" i="18"/>
  <c r="CZ177" i="18"/>
  <c r="CZ190" i="18"/>
  <c r="CZ179" i="18"/>
  <c r="CZ174" i="18"/>
  <c r="CZ180" i="18"/>
  <c r="CZ187" i="18"/>
  <c r="CZ189" i="18"/>
  <c r="CZ186" i="18"/>
  <c r="CZ181" i="18"/>
  <c r="CZ176" i="18"/>
  <c r="CZ193" i="18"/>
  <c r="CZ182" i="18"/>
  <c r="CZ184" i="18"/>
  <c r="CZ185" i="18"/>
  <c r="CZ192" i="18"/>
  <c r="CZ191" i="18"/>
  <c r="DD176" i="18"/>
  <c r="DD188" i="18"/>
  <c r="DD179" i="18"/>
  <c r="DD175" i="18"/>
  <c r="DD182" i="18"/>
  <c r="DD180" i="18"/>
  <c r="DD189" i="18"/>
  <c r="DD186" i="18"/>
  <c r="DD193" i="18"/>
  <c r="DD192" i="18"/>
  <c r="DD174" i="18"/>
  <c r="DD184" i="18"/>
  <c r="DD185" i="18"/>
  <c r="DD190" i="18"/>
  <c r="DD177" i="18"/>
  <c r="DD183" i="18"/>
  <c r="DD187" i="18"/>
  <c r="DD191" i="18"/>
  <c r="DD178" i="18"/>
  <c r="DD181" i="18"/>
  <c r="DA175" i="18"/>
  <c r="DA184" i="18"/>
  <c r="DA180" i="18"/>
  <c r="DA174" i="18"/>
  <c r="DA182" i="18"/>
  <c r="DA177" i="18"/>
  <c r="DA192" i="18"/>
  <c r="DA186" i="18"/>
  <c r="DA179" i="18"/>
  <c r="DA193" i="18"/>
  <c r="DA190" i="18"/>
  <c r="DA178" i="18"/>
  <c r="DA183" i="18"/>
  <c r="DA189" i="18"/>
  <c r="DA176" i="18"/>
  <c r="DA185" i="18"/>
  <c r="DA188" i="18"/>
  <c r="DA181" i="18"/>
  <c r="DA187" i="18"/>
  <c r="DA191" i="18"/>
  <c r="DO188" i="18"/>
  <c r="DO179" i="18"/>
  <c r="DO178" i="18"/>
  <c r="DO175" i="18"/>
  <c r="DO187" i="18"/>
  <c r="DO181" i="18"/>
  <c r="DO185" i="18"/>
  <c r="DO177" i="18"/>
  <c r="DO176" i="18"/>
  <c r="DO174" i="18"/>
  <c r="DO183" i="18"/>
  <c r="DO191" i="18"/>
  <c r="DO180" i="18"/>
  <c r="DO190" i="18"/>
  <c r="DO189" i="18"/>
  <c r="DO192" i="18"/>
  <c r="DO182" i="18"/>
  <c r="DO184" i="18"/>
  <c r="DO186" i="18"/>
  <c r="DO193" i="18"/>
  <c r="CX191" i="18"/>
  <c r="CX177" i="18"/>
  <c r="CX174" i="18"/>
  <c r="CX176" i="18"/>
  <c r="CX190" i="18"/>
  <c r="CX192" i="18"/>
  <c r="CX193" i="18"/>
  <c r="CX186" i="18"/>
  <c r="CX180" i="18"/>
  <c r="CX182" i="18"/>
  <c r="CX178" i="18"/>
  <c r="CX184" i="18"/>
  <c r="CX185" i="18"/>
  <c r="CX189" i="18"/>
  <c r="CX183" i="18"/>
  <c r="CX181" i="18"/>
  <c r="CX175" i="18"/>
  <c r="CX187" i="18"/>
  <c r="CX179" i="18"/>
  <c r="CX188" i="18"/>
  <c r="DB178" i="18"/>
  <c r="DB180" i="18"/>
  <c r="DB186" i="18"/>
  <c r="DB192" i="18"/>
  <c r="DB174" i="18"/>
  <c r="DB187" i="18"/>
  <c r="DB183" i="18"/>
  <c r="DB193" i="18"/>
  <c r="DB184" i="18"/>
  <c r="DB175" i="18"/>
  <c r="DB190" i="18"/>
  <c r="DB191" i="18"/>
  <c r="DB188" i="18"/>
  <c r="DB177" i="18"/>
  <c r="DB185" i="18"/>
  <c r="DB189" i="18"/>
  <c r="DB182" i="18"/>
  <c r="DB179" i="18"/>
  <c r="DB176" i="18"/>
  <c r="DB181" i="18"/>
  <c r="DA148" i="18"/>
  <c r="DA150" i="18"/>
  <c r="DA146" i="18"/>
  <c r="DA140" i="18"/>
  <c r="DA144" i="18"/>
  <c r="DA151" i="18"/>
  <c r="DA149" i="18"/>
  <c r="DA139" i="18"/>
  <c r="DA136" i="18"/>
  <c r="DA142" i="18"/>
  <c r="DA134" i="18"/>
  <c r="DA147" i="18"/>
  <c r="DA135" i="18"/>
  <c r="DA137" i="18"/>
  <c r="DA145" i="18"/>
  <c r="DA143" i="18"/>
  <c r="DA152" i="18"/>
  <c r="DA133" i="18"/>
  <c r="DA138" i="18"/>
  <c r="DA141" i="18"/>
  <c r="CU135" i="18"/>
  <c r="CU137" i="18"/>
  <c r="CU133" i="18"/>
  <c r="CU140" i="18"/>
  <c r="CU141" i="18"/>
  <c r="CU142" i="18"/>
  <c r="CU151" i="18"/>
  <c r="CU134" i="18"/>
  <c r="CU138" i="18"/>
  <c r="CU139" i="18"/>
  <c r="CU148" i="18"/>
  <c r="CU144" i="18"/>
  <c r="CU143" i="18"/>
  <c r="CU147" i="18"/>
  <c r="CU149" i="18"/>
  <c r="CU152" i="18"/>
  <c r="CU136" i="18"/>
  <c r="CU145" i="18"/>
  <c r="CU150" i="18"/>
  <c r="CU146" i="18"/>
  <c r="CY151" i="18"/>
  <c r="DC149" i="18"/>
  <c r="DC137" i="18"/>
  <c r="DC133" i="18"/>
  <c r="DC135" i="18"/>
  <c r="DC141" i="18"/>
  <c r="DC143" i="18"/>
  <c r="DC147" i="18"/>
  <c r="DC152" i="18"/>
  <c r="DC138" i="18"/>
  <c r="DC144" i="18"/>
  <c r="DC134" i="18"/>
  <c r="DC136" i="18"/>
  <c r="DC148" i="18"/>
  <c r="DC151" i="18"/>
  <c r="DC150" i="18"/>
  <c r="DC140" i="18"/>
  <c r="DC145" i="18"/>
  <c r="DC146" i="18"/>
  <c r="DC142" i="18"/>
  <c r="DC139" i="18"/>
  <c r="CV150" i="18"/>
  <c r="CV142" i="18"/>
  <c r="CV136" i="18"/>
  <c r="CV140" i="18"/>
  <c r="CV145" i="18"/>
  <c r="CV147" i="18"/>
  <c r="CV135" i="18"/>
  <c r="CV141" i="18"/>
  <c r="CV146" i="18"/>
  <c r="CV144" i="18"/>
  <c r="CV137" i="18"/>
  <c r="CV139" i="18"/>
  <c r="CV134" i="18"/>
  <c r="CV138" i="18"/>
  <c r="CV133" i="18"/>
  <c r="CV148" i="18"/>
  <c r="CV151" i="18"/>
  <c r="CV152" i="18"/>
  <c r="CV149" i="18"/>
  <c r="CV143" i="18"/>
  <c r="CZ142" i="18"/>
  <c r="CZ151" i="18"/>
  <c r="CZ136" i="18"/>
  <c r="CZ152" i="18"/>
  <c r="CZ133" i="18"/>
  <c r="CZ138" i="18"/>
  <c r="CZ137" i="18"/>
  <c r="CZ144" i="18"/>
  <c r="CZ141" i="18"/>
  <c r="CZ143" i="18"/>
  <c r="CZ148" i="18"/>
  <c r="CZ135" i="18"/>
  <c r="CZ134" i="18"/>
  <c r="CZ150" i="18"/>
  <c r="CZ149" i="18"/>
  <c r="CZ145" i="18"/>
  <c r="CZ139" i="18"/>
  <c r="CZ146" i="18"/>
  <c r="CZ147" i="18"/>
  <c r="CZ140" i="18"/>
  <c r="DD138" i="18"/>
  <c r="DD140" i="18"/>
  <c r="DD142" i="18"/>
  <c r="DD143" i="18"/>
  <c r="DD137" i="18"/>
  <c r="DD148" i="18"/>
  <c r="DD133" i="18"/>
  <c r="DD145" i="18"/>
  <c r="DD144" i="18"/>
  <c r="DD134" i="18"/>
  <c r="DD147" i="18"/>
  <c r="DD135" i="18"/>
  <c r="DD151" i="18"/>
  <c r="DD149" i="18"/>
  <c r="DD150" i="18"/>
  <c r="DD141" i="18"/>
  <c r="DD146" i="18"/>
  <c r="DD136" i="18"/>
  <c r="DD139" i="18"/>
  <c r="DD152" i="18"/>
  <c r="CW142" i="18"/>
  <c r="CW137" i="18"/>
  <c r="CW140" i="18"/>
  <c r="CW136" i="18"/>
  <c r="CW139" i="18"/>
  <c r="CW133" i="18"/>
  <c r="CW150" i="18"/>
  <c r="CW135" i="18"/>
  <c r="CW138" i="18"/>
  <c r="CW141" i="18"/>
  <c r="CW147" i="18"/>
  <c r="CW144" i="18"/>
  <c r="CW134" i="18"/>
  <c r="CW149" i="18"/>
  <c r="CW152" i="18"/>
  <c r="CW146" i="18"/>
  <c r="CW145" i="18"/>
  <c r="CW143" i="18"/>
  <c r="CW148" i="18"/>
  <c r="CW151" i="18"/>
  <c r="DO135" i="18"/>
  <c r="DO148" i="18"/>
  <c r="DO146" i="18"/>
  <c r="DO145" i="18"/>
  <c r="DO151" i="18"/>
  <c r="DO134" i="18"/>
  <c r="DO140" i="18"/>
  <c r="DO147" i="18"/>
  <c r="DO142" i="18"/>
  <c r="DO133" i="18"/>
  <c r="DO143" i="18"/>
  <c r="DO149" i="18"/>
  <c r="DO138" i="18"/>
  <c r="DO141" i="18"/>
  <c r="DO152" i="18"/>
  <c r="DO136" i="18"/>
  <c r="DO137" i="18"/>
  <c r="DO144" i="18"/>
  <c r="DO150" i="18"/>
  <c r="DO139" i="18"/>
  <c r="CX152" i="18"/>
  <c r="CX143" i="18"/>
  <c r="CX135" i="18"/>
  <c r="CX139" i="18"/>
  <c r="CX146" i="18"/>
  <c r="CX138" i="18"/>
  <c r="CX134" i="18"/>
  <c r="CX145" i="18"/>
  <c r="CX149" i="18"/>
  <c r="CX144" i="18"/>
  <c r="CX136" i="18"/>
  <c r="CX137" i="18"/>
  <c r="CX151" i="18"/>
  <c r="CX150" i="18"/>
  <c r="CX140" i="18"/>
  <c r="CX147" i="18"/>
  <c r="CX142" i="18"/>
  <c r="CX141" i="18"/>
  <c r="CX133" i="18"/>
  <c r="CX148" i="18"/>
  <c r="DB150" i="18"/>
  <c r="DB140" i="18"/>
  <c r="DB142" i="18"/>
  <c r="DB135" i="18"/>
  <c r="DB136" i="18"/>
  <c r="DB143" i="18"/>
  <c r="DB141" i="18"/>
  <c r="DB134" i="18"/>
  <c r="DB138" i="18"/>
  <c r="DB139" i="18"/>
  <c r="DB137" i="18"/>
  <c r="DB144" i="18"/>
  <c r="DB151" i="18"/>
  <c r="DB145" i="18"/>
  <c r="DB146" i="18"/>
  <c r="DB152" i="18"/>
  <c r="DB133" i="18"/>
  <c r="DB148" i="18"/>
  <c r="DB149" i="18"/>
  <c r="DB147" i="18"/>
  <c r="CU113" i="18"/>
  <c r="CU112" i="18"/>
  <c r="CU99" i="18"/>
  <c r="CU105" i="18"/>
  <c r="CU107" i="18"/>
  <c r="CU104" i="18"/>
  <c r="CU108" i="18"/>
  <c r="CU95" i="18"/>
  <c r="CU111" i="18"/>
  <c r="CU100" i="18"/>
  <c r="CU98" i="18"/>
  <c r="CU103" i="18"/>
  <c r="CU97" i="18"/>
  <c r="CU101" i="18"/>
  <c r="CU110" i="18"/>
  <c r="CU109" i="18"/>
  <c r="CU94" i="18"/>
  <c r="CU102" i="18"/>
  <c r="CU96" i="18"/>
  <c r="CU106" i="18"/>
  <c r="DC113" i="18"/>
  <c r="DC111" i="18"/>
  <c r="DC95" i="18"/>
  <c r="DC109" i="18"/>
  <c r="DC101" i="18"/>
  <c r="DC104" i="18"/>
  <c r="DC106" i="18"/>
  <c r="DC112" i="18"/>
  <c r="DC102" i="18"/>
  <c r="DC105" i="18"/>
  <c r="DC98" i="18"/>
  <c r="DC94" i="18"/>
  <c r="DC96" i="18"/>
  <c r="DC108" i="18"/>
  <c r="DC107" i="18"/>
  <c r="DC110" i="18"/>
  <c r="DC97" i="18"/>
  <c r="DC99" i="18"/>
  <c r="DC103" i="18"/>
  <c r="DC100" i="18"/>
  <c r="CV112" i="18"/>
  <c r="CV99" i="18"/>
  <c r="CV104" i="18"/>
  <c r="CV111" i="18"/>
  <c r="CV96" i="18"/>
  <c r="CV95" i="18"/>
  <c r="CV107" i="18"/>
  <c r="CV97" i="18"/>
  <c r="CV110" i="18"/>
  <c r="CV103" i="18"/>
  <c r="CV108" i="18"/>
  <c r="CV109" i="18"/>
  <c r="CV113" i="18"/>
  <c r="CV106" i="18"/>
  <c r="CV101" i="18"/>
  <c r="CV94" i="18"/>
  <c r="CV100" i="18"/>
  <c r="CV105" i="18"/>
  <c r="CV98" i="18"/>
  <c r="CV102" i="18"/>
  <c r="CZ111" i="18"/>
  <c r="CZ94" i="18"/>
  <c r="CZ97" i="18"/>
  <c r="CZ95" i="18"/>
  <c r="CZ104" i="18"/>
  <c r="CZ100" i="18"/>
  <c r="CZ107" i="18"/>
  <c r="CZ98" i="18"/>
  <c r="CZ106" i="18"/>
  <c r="CZ109" i="18"/>
  <c r="CZ112" i="18"/>
  <c r="CZ102" i="18"/>
  <c r="CZ101" i="18"/>
  <c r="CZ103" i="18"/>
  <c r="CZ99" i="18"/>
  <c r="CZ113" i="18"/>
  <c r="CZ96" i="18"/>
  <c r="CZ110" i="18"/>
  <c r="CZ105" i="18"/>
  <c r="CZ108" i="18"/>
  <c r="DD94" i="18"/>
  <c r="DD112" i="18"/>
  <c r="DD108" i="18"/>
  <c r="DD111" i="18"/>
  <c r="DD100" i="18"/>
  <c r="DD107" i="18"/>
  <c r="DD98" i="18"/>
  <c r="DD106" i="18"/>
  <c r="DD101" i="18"/>
  <c r="DD96" i="18"/>
  <c r="DD99" i="18"/>
  <c r="DD110" i="18"/>
  <c r="DD105" i="18"/>
  <c r="DD113" i="18"/>
  <c r="DD103" i="18"/>
  <c r="DD97" i="18"/>
  <c r="DD95" i="18"/>
  <c r="DD109" i="18"/>
  <c r="DD102" i="18"/>
  <c r="DD104" i="18"/>
  <c r="CW98" i="18"/>
  <c r="CW99" i="18"/>
  <c r="CW101" i="18"/>
  <c r="CW106" i="18"/>
  <c r="CW104" i="18"/>
  <c r="CW107" i="18"/>
  <c r="CW94" i="18"/>
  <c r="CW97" i="18"/>
  <c r="CW109" i="18"/>
  <c r="CW103" i="18"/>
  <c r="CW96" i="18"/>
  <c r="CW105" i="18"/>
  <c r="CW100" i="18"/>
  <c r="CW102" i="18"/>
  <c r="CW113" i="18"/>
  <c r="CW108" i="18"/>
  <c r="CW110" i="18"/>
  <c r="CW112" i="18"/>
  <c r="CW95" i="18"/>
  <c r="CW111" i="18"/>
  <c r="DA101" i="18"/>
  <c r="DA106" i="18"/>
  <c r="DA105" i="18"/>
  <c r="DA103" i="18"/>
  <c r="DA108" i="18"/>
  <c r="DA110" i="18"/>
  <c r="DA102" i="18"/>
  <c r="DA107" i="18"/>
  <c r="DA99" i="18"/>
  <c r="DA95" i="18"/>
  <c r="DA94" i="18"/>
  <c r="DA98" i="18"/>
  <c r="DA109" i="18"/>
  <c r="DA111" i="18"/>
  <c r="DA112" i="18"/>
  <c r="DA96" i="18"/>
  <c r="DA97" i="18"/>
  <c r="DA113" i="18"/>
  <c r="DA100" i="18"/>
  <c r="DA104" i="18"/>
  <c r="DO113" i="18"/>
  <c r="DO112" i="18"/>
  <c r="DO94" i="18"/>
  <c r="DO106" i="18"/>
  <c r="DO96" i="18"/>
  <c r="DO100" i="18"/>
  <c r="DO98" i="18"/>
  <c r="DO95" i="18"/>
  <c r="DO99" i="18"/>
  <c r="DO97" i="18"/>
  <c r="DO104" i="18"/>
  <c r="DO103" i="18"/>
  <c r="DO110" i="18"/>
  <c r="DO101" i="18"/>
  <c r="DO105" i="18"/>
  <c r="DO109" i="18"/>
  <c r="DO108" i="18"/>
  <c r="DO111" i="18"/>
  <c r="DO102" i="18"/>
  <c r="DO107" i="18"/>
  <c r="CY113" i="18"/>
  <c r="CY94" i="18"/>
  <c r="CY100" i="18"/>
  <c r="CY103" i="18"/>
  <c r="CY108" i="18"/>
  <c r="CY109" i="18"/>
  <c r="CY96" i="18"/>
  <c r="CY98" i="18"/>
  <c r="CY95" i="18"/>
  <c r="CY101" i="18"/>
  <c r="CY110" i="18"/>
  <c r="CY102" i="18"/>
  <c r="CY97" i="18"/>
  <c r="CY105" i="18"/>
  <c r="CY99" i="18"/>
  <c r="CY106" i="18"/>
  <c r="CY111" i="18"/>
  <c r="CY104" i="18"/>
  <c r="CY112" i="18"/>
  <c r="CY107" i="18"/>
  <c r="CX111" i="18"/>
  <c r="CX103" i="18"/>
  <c r="CX99" i="18"/>
  <c r="CX100" i="18"/>
  <c r="CX101" i="18"/>
  <c r="CX110" i="18"/>
  <c r="CX108" i="18"/>
  <c r="CX109" i="18"/>
  <c r="CX95" i="18"/>
  <c r="CX94" i="18"/>
  <c r="CX104" i="18"/>
  <c r="CX102" i="18"/>
  <c r="CX106" i="18"/>
  <c r="CX105" i="18"/>
  <c r="CX112" i="18"/>
  <c r="CX113" i="18"/>
  <c r="CX96" i="18"/>
  <c r="CX97" i="18"/>
  <c r="CX98" i="18"/>
  <c r="CX107" i="18"/>
  <c r="DB103" i="18"/>
  <c r="DB99" i="18"/>
  <c r="DB95" i="18"/>
  <c r="DB105" i="18"/>
  <c r="DB94" i="18"/>
  <c r="DB101" i="18"/>
  <c r="DB107" i="18"/>
  <c r="DB98" i="18"/>
  <c r="DB100" i="18"/>
  <c r="DB96" i="18"/>
  <c r="DB111" i="18"/>
  <c r="DB97" i="18"/>
  <c r="DB104" i="18"/>
  <c r="DB106" i="18"/>
  <c r="DB109" i="18"/>
  <c r="DB110" i="18"/>
  <c r="DB112" i="18"/>
  <c r="DB113" i="18"/>
  <c r="DB102" i="18"/>
  <c r="DB108" i="18"/>
  <c r="CV65" i="18"/>
  <c r="CV67" i="18"/>
  <c r="CV66" i="18"/>
  <c r="CV72" i="18"/>
  <c r="CV70" i="18"/>
  <c r="CV55" i="18"/>
  <c r="CV62" i="18"/>
  <c r="CV54" i="18"/>
  <c r="CV61" i="18"/>
  <c r="CV56" i="18"/>
  <c r="CV57" i="18"/>
  <c r="CV59" i="18"/>
  <c r="CV64" i="18"/>
  <c r="CV58" i="18"/>
  <c r="CV60" i="18"/>
  <c r="CV68" i="18"/>
  <c r="CV63" i="18"/>
  <c r="CV71" i="18"/>
  <c r="CV69" i="18"/>
  <c r="CV73" i="18"/>
  <c r="CZ65" i="18"/>
  <c r="CZ64" i="18"/>
  <c r="CZ54" i="18"/>
  <c r="CZ56" i="18"/>
  <c r="CZ70" i="18"/>
  <c r="CZ55" i="18"/>
  <c r="CZ58" i="18"/>
  <c r="CZ68" i="18"/>
  <c r="CZ57" i="18"/>
  <c r="CZ63" i="18"/>
  <c r="CZ71" i="18"/>
  <c r="CZ59" i="18"/>
  <c r="CZ61" i="18"/>
  <c r="CZ69" i="18"/>
  <c r="CZ73" i="18"/>
  <c r="CZ62" i="18"/>
  <c r="CZ60" i="18"/>
  <c r="CZ67" i="18"/>
  <c r="CZ66" i="18"/>
  <c r="CZ72" i="18"/>
  <c r="DD64" i="18"/>
  <c r="DD65" i="18"/>
  <c r="DD59" i="18"/>
  <c r="DD61" i="18"/>
  <c r="DD56" i="18"/>
  <c r="DD55" i="18"/>
  <c r="DD68" i="18"/>
  <c r="DD58" i="18"/>
  <c r="DD60" i="18"/>
  <c r="DD71" i="18"/>
  <c r="DD69" i="18"/>
  <c r="DD73" i="18"/>
  <c r="DD67" i="18"/>
  <c r="DD57" i="18"/>
  <c r="DD62" i="18"/>
  <c r="DD63" i="18"/>
  <c r="DD66" i="18"/>
  <c r="DD72" i="18"/>
  <c r="DD54" i="18"/>
  <c r="DD70" i="18"/>
  <c r="CW65" i="18"/>
  <c r="CW72" i="18"/>
  <c r="CW56" i="18"/>
  <c r="CW68" i="18"/>
  <c r="CW62" i="18"/>
  <c r="CW59" i="18"/>
  <c r="CW69" i="18"/>
  <c r="CW54" i="18"/>
  <c r="CW57" i="18"/>
  <c r="CW60" i="18"/>
  <c r="CW63" i="18"/>
  <c r="CW55" i="18"/>
  <c r="CW61" i="18"/>
  <c r="CW73" i="18"/>
  <c r="CW64" i="18"/>
  <c r="CW58" i="18"/>
  <c r="CW66" i="18"/>
  <c r="CW71" i="18"/>
  <c r="CW70" i="18"/>
  <c r="CW67" i="18"/>
  <c r="DA59" i="18"/>
  <c r="DA61" i="18"/>
  <c r="DA57" i="18"/>
  <c r="DA67" i="18"/>
  <c r="DA56" i="18"/>
  <c r="DA72" i="18"/>
  <c r="DA58" i="18"/>
  <c r="DA60" i="18"/>
  <c r="DA65" i="18"/>
  <c r="DA68" i="18"/>
  <c r="DA55" i="18"/>
  <c r="DA54" i="18"/>
  <c r="DA69" i="18"/>
  <c r="DA70" i="18"/>
  <c r="DA73" i="18"/>
  <c r="DA62" i="18"/>
  <c r="DA66" i="18"/>
  <c r="DA64" i="18"/>
  <c r="DA71" i="18"/>
  <c r="DA63" i="18"/>
  <c r="DO67" i="18"/>
  <c r="DO65" i="18"/>
  <c r="DO64" i="18"/>
  <c r="DO66" i="18"/>
  <c r="DO55" i="18"/>
  <c r="DO56" i="18"/>
  <c r="DO57" i="18"/>
  <c r="DO61" i="18"/>
  <c r="DO73" i="18"/>
  <c r="DO58" i="18"/>
  <c r="DO60" i="18"/>
  <c r="DO68" i="18"/>
  <c r="DO71" i="18"/>
  <c r="DO62" i="18"/>
  <c r="DO72" i="18"/>
  <c r="DO69" i="18"/>
  <c r="DO70" i="18"/>
  <c r="DO54" i="18"/>
  <c r="DO63" i="18"/>
  <c r="DO59" i="18"/>
  <c r="CX68" i="18"/>
  <c r="CX67" i="18"/>
  <c r="CX65" i="18"/>
  <c r="CX64" i="18"/>
  <c r="CX66" i="18"/>
  <c r="CX61" i="18"/>
  <c r="CX59" i="18"/>
  <c r="CX57" i="18"/>
  <c r="CX54" i="18"/>
  <c r="CX70" i="18"/>
  <c r="CX62" i="18"/>
  <c r="CX71" i="18"/>
  <c r="CX56" i="18"/>
  <c r="CX58" i="18"/>
  <c r="CX60" i="18"/>
  <c r="CX69" i="18"/>
  <c r="CX55" i="18"/>
  <c r="CX63" i="18"/>
  <c r="CX72" i="18"/>
  <c r="CX73" i="18"/>
  <c r="DB73" i="18"/>
  <c r="DB57" i="18"/>
  <c r="DB58" i="18"/>
  <c r="DB62" i="18"/>
  <c r="DB63" i="18"/>
  <c r="DB68" i="18"/>
  <c r="DB66" i="18"/>
  <c r="DB71" i="18"/>
  <c r="DB60" i="18"/>
  <c r="DB55" i="18"/>
  <c r="DB64" i="18"/>
  <c r="DB61" i="18"/>
  <c r="DB56" i="18"/>
  <c r="DB70" i="18"/>
  <c r="DB72" i="18"/>
  <c r="DB69" i="18"/>
  <c r="DB65" i="18"/>
  <c r="DB54" i="18"/>
  <c r="DB59" i="18"/>
  <c r="DB67" i="18"/>
  <c r="CU59" i="18"/>
  <c r="CU56" i="18"/>
  <c r="CU61" i="18"/>
  <c r="CU73" i="18"/>
  <c r="CU62" i="18"/>
  <c r="CU67" i="18"/>
  <c r="CU69" i="18"/>
  <c r="CU64" i="18"/>
  <c r="CU57" i="18"/>
  <c r="CU65" i="18"/>
  <c r="CU58" i="18"/>
  <c r="CU60" i="18"/>
  <c r="CU68" i="18"/>
  <c r="CU72" i="18"/>
  <c r="CU66" i="18"/>
  <c r="CU54" i="18"/>
  <c r="CU55" i="18"/>
  <c r="CU70" i="18"/>
  <c r="CU63" i="18"/>
  <c r="CU71" i="18"/>
  <c r="CY66" i="18"/>
  <c r="CY65" i="18"/>
  <c r="CY64" i="18"/>
  <c r="CY68" i="18"/>
  <c r="CY63" i="18"/>
  <c r="CY54" i="18"/>
  <c r="CY56" i="18"/>
  <c r="CY57" i="18"/>
  <c r="CY61" i="18"/>
  <c r="CY73" i="18"/>
  <c r="CY58" i="18"/>
  <c r="CY60" i="18"/>
  <c r="CY70" i="18"/>
  <c r="CY71" i="18"/>
  <c r="CY62" i="18"/>
  <c r="CY72" i="18"/>
  <c r="CY69" i="18"/>
  <c r="CY55" i="18"/>
  <c r="CY59" i="18"/>
  <c r="CY67" i="18"/>
  <c r="DC68" i="18"/>
  <c r="DC69" i="18"/>
  <c r="DC58" i="18"/>
  <c r="DC60" i="18"/>
  <c r="DC55" i="18"/>
  <c r="DC62" i="18"/>
  <c r="DC72" i="18"/>
  <c r="DC67" i="18"/>
  <c r="DC59" i="18"/>
  <c r="DC63" i="18"/>
  <c r="DC70" i="18"/>
  <c r="DC71" i="18"/>
  <c r="DC64" i="18"/>
  <c r="DC66" i="18"/>
  <c r="DC54" i="18"/>
  <c r="DC65" i="18"/>
  <c r="DC56" i="18"/>
  <c r="DC57" i="18"/>
  <c r="DC61" i="18"/>
  <c r="DC73" i="18"/>
  <c r="CY18" i="18"/>
  <c r="CY15" i="18"/>
  <c r="CY20" i="18"/>
  <c r="CY24" i="18"/>
  <c r="CY28" i="18"/>
  <c r="CY32" i="18"/>
  <c r="CY21" i="18"/>
  <c r="CY25" i="18"/>
  <c r="CY26" i="18"/>
  <c r="CY33" i="18"/>
  <c r="CY30" i="18"/>
  <c r="CY19" i="18"/>
  <c r="CY23" i="18"/>
  <c r="CY17" i="18"/>
  <c r="CY16" i="18"/>
  <c r="CY29" i="18"/>
  <c r="CY27" i="18"/>
  <c r="CY22" i="18"/>
  <c r="CY14" i="18"/>
  <c r="CY31" i="18"/>
  <c r="CV17" i="18"/>
  <c r="CV15" i="18"/>
  <c r="CV14" i="18"/>
  <c r="CV32" i="18"/>
  <c r="CV27" i="18"/>
  <c r="CV19" i="18"/>
  <c r="CV16" i="18"/>
  <c r="CV23" i="18"/>
  <c r="CV18" i="18"/>
  <c r="CV26" i="18"/>
  <c r="CV33" i="18"/>
  <c r="CV28" i="18"/>
  <c r="CV31" i="18"/>
  <c r="CV30" i="18"/>
  <c r="CV29" i="18"/>
  <c r="CV22" i="18"/>
  <c r="CV24" i="18"/>
  <c r="CV21" i="18"/>
  <c r="CV20" i="18"/>
  <c r="CV25" i="18"/>
  <c r="CZ31" i="18"/>
  <c r="CZ32" i="18"/>
  <c r="CZ23" i="18"/>
  <c r="CZ22" i="18"/>
  <c r="CZ15" i="18"/>
  <c r="CZ33" i="18"/>
  <c r="CZ26" i="18"/>
  <c r="CZ27" i="18"/>
  <c r="CZ20" i="18"/>
  <c r="CZ24" i="18"/>
  <c r="CZ14" i="18"/>
  <c r="CZ28" i="18"/>
  <c r="CZ16" i="18"/>
  <c r="CZ18" i="18"/>
  <c r="CZ21" i="18"/>
  <c r="CZ25" i="18"/>
  <c r="CZ19" i="18"/>
  <c r="CZ30" i="18"/>
  <c r="CZ29" i="18"/>
  <c r="CZ17" i="18"/>
  <c r="DD31" i="18"/>
  <c r="DD25" i="18"/>
  <c r="DD20" i="18"/>
  <c r="DD19" i="18"/>
  <c r="DD22" i="18"/>
  <c r="DD23" i="18"/>
  <c r="DD14" i="18"/>
  <c r="DD26" i="18"/>
  <c r="DD27" i="18"/>
  <c r="DD28" i="18"/>
  <c r="DD30" i="18"/>
  <c r="DD32" i="18"/>
  <c r="DD24" i="18"/>
  <c r="DD33" i="18"/>
  <c r="DD17" i="18"/>
  <c r="DD15" i="18"/>
  <c r="DD29" i="18"/>
  <c r="DD16" i="18"/>
  <c r="DD18" i="18"/>
  <c r="DD21" i="18"/>
  <c r="DC26" i="18"/>
  <c r="DC16" i="18"/>
  <c r="DC18" i="18"/>
  <c r="DC21" i="18"/>
  <c r="DC25" i="18"/>
  <c r="DC29" i="18"/>
  <c r="DC33" i="18"/>
  <c r="DC22" i="18"/>
  <c r="DC31" i="18"/>
  <c r="DC27" i="18"/>
  <c r="DC20" i="18"/>
  <c r="DC28" i="18"/>
  <c r="DC32" i="18"/>
  <c r="DC17" i="18"/>
  <c r="DC30" i="18"/>
  <c r="DC24" i="18"/>
  <c r="DC15" i="18"/>
  <c r="DC19" i="18"/>
  <c r="DC23" i="18"/>
  <c r="DC14" i="18"/>
  <c r="CW23" i="18"/>
  <c r="CW31" i="18"/>
  <c r="CW19" i="18"/>
  <c r="CW20" i="18"/>
  <c r="CW16" i="18"/>
  <c r="CW30" i="18"/>
  <c r="CW21" i="18"/>
  <c r="CW17" i="18"/>
  <c r="CW25" i="18"/>
  <c r="CW33" i="18"/>
  <c r="CW15" i="18"/>
  <c r="CW22" i="18"/>
  <c r="CW27" i="18"/>
  <c r="CW29" i="18"/>
  <c r="CW14" i="18"/>
  <c r="CW32" i="18"/>
  <c r="CW26" i="18"/>
  <c r="CW24" i="18"/>
  <c r="CW28" i="18"/>
  <c r="CW18" i="18"/>
  <c r="DA33" i="18"/>
  <c r="DA26" i="18"/>
  <c r="DA27" i="18"/>
  <c r="DA16" i="18"/>
  <c r="DA22" i="18"/>
  <c r="DA30" i="18"/>
  <c r="DA19" i="18"/>
  <c r="DA23" i="18"/>
  <c r="DA31" i="18"/>
  <c r="DA32" i="18"/>
  <c r="DA25" i="18"/>
  <c r="DA28" i="18"/>
  <c r="DA15" i="18"/>
  <c r="DA14" i="18"/>
  <c r="DA20" i="18"/>
  <c r="DA24" i="18"/>
  <c r="DA17" i="18"/>
  <c r="DA18" i="18"/>
  <c r="DA21" i="18"/>
  <c r="DA29" i="18"/>
  <c r="DO15" i="18"/>
  <c r="DO20" i="18"/>
  <c r="DO24" i="18"/>
  <c r="DO28" i="18"/>
  <c r="DO32" i="18"/>
  <c r="DO21" i="18"/>
  <c r="DO25" i="18"/>
  <c r="DO33" i="18"/>
  <c r="DO26" i="18"/>
  <c r="DO30" i="18"/>
  <c r="DO16" i="18"/>
  <c r="DO31" i="18"/>
  <c r="DO17" i="18"/>
  <c r="DO14" i="18"/>
  <c r="DO29" i="18"/>
  <c r="DO23" i="18"/>
  <c r="DO27" i="18"/>
  <c r="DO18" i="18"/>
  <c r="DO22" i="18"/>
  <c r="DO19" i="18"/>
  <c r="CU26" i="18"/>
  <c r="CU15" i="18"/>
  <c r="CU19" i="18"/>
  <c r="CU23" i="18"/>
  <c r="CU31" i="18"/>
  <c r="CU20" i="18"/>
  <c r="CU24" i="18"/>
  <c r="CU27" i="18"/>
  <c r="CU28" i="18"/>
  <c r="CU32" i="18"/>
  <c r="CU25" i="18"/>
  <c r="CU29" i="18"/>
  <c r="CU30" i="18"/>
  <c r="CU18" i="18"/>
  <c r="CU14" i="18"/>
  <c r="CU17" i="18"/>
  <c r="CU21" i="18"/>
  <c r="CU33" i="18"/>
  <c r="CU16" i="18"/>
  <c r="CU22" i="18"/>
  <c r="CX24" i="18"/>
  <c r="CX22" i="18"/>
  <c r="CX20" i="18"/>
  <c r="CX16" i="18"/>
  <c r="CX19" i="18"/>
  <c r="CX21" i="18"/>
  <c r="CX29" i="18"/>
  <c r="CX17" i="18"/>
  <c r="CX32" i="18"/>
  <c r="CX26" i="18"/>
  <c r="CX14" i="18"/>
  <c r="CX23" i="18"/>
  <c r="CX28" i="18"/>
  <c r="CX27" i="18"/>
  <c r="CX15" i="18"/>
  <c r="CX31" i="18"/>
  <c r="CX25" i="18"/>
  <c r="CX30" i="18"/>
  <c r="CX33" i="18"/>
  <c r="CX18" i="18"/>
  <c r="DB28" i="18"/>
  <c r="DB29" i="18"/>
  <c r="DB22" i="18"/>
  <c r="DB20" i="18"/>
  <c r="DB24" i="18"/>
  <c r="DB17" i="18"/>
  <c r="DB25" i="18"/>
  <c r="DB30" i="18"/>
  <c r="DB19" i="18"/>
  <c r="DB31" i="18"/>
  <c r="DB14" i="18"/>
  <c r="DB26" i="18"/>
  <c r="DB32" i="18"/>
  <c r="DB27" i="18"/>
  <c r="DB23" i="18"/>
  <c r="DB16" i="18"/>
  <c r="DB33" i="18"/>
  <c r="DB15" i="18"/>
  <c r="DB18" i="18"/>
  <c r="DB21" i="18"/>
  <c r="D10" i="17"/>
  <c r="D9" i="17"/>
  <c r="B212" i="18"/>
  <c r="B213" i="18"/>
  <c r="B214" i="18"/>
  <c r="B215" i="18"/>
  <c r="B216" i="18"/>
  <c r="B217" i="18"/>
  <c r="B218" i="18"/>
  <c r="B211" i="18"/>
  <c r="BD206" i="18"/>
  <c r="BC206" i="18"/>
  <c r="BB206" i="18"/>
  <c r="BA206" i="18"/>
  <c r="AZ206" i="18"/>
  <c r="AY206" i="18"/>
  <c r="AX206" i="18"/>
  <c r="AW206" i="18"/>
  <c r="AV206" i="18"/>
  <c r="AU206" i="18"/>
  <c r="AT206" i="18"/>
  <c r="AS206" i="18"/>
  <c r="AR206" i="18"/>
  <c r="AQ206" i="18"/>
  <c r="AP206" i="18"/>
  <c r="AO206" i="18"/>
  <c r="AN206" i="18"/>
  <c r="AM206" i="18"/>
  <c r="AL206" i="18"/>
  <c r="AK206" i="18"/>
  <c r="AJ206" i="18"/>
  <c r="AI206" i="18"/>
  <c r="AH206" i="18"/>
  <c r="AG206" i="18"/>
  <c r="AF206" i="18"/>
  <c r="AE206" i="18"/>
  <c r="AD206" i="18"/>
  <c r="AC206" i="18"/>
  <c r="AB206" i="18"/>
  <c r="AA206" i="18"/>
  <c r="Z206" i="18"/>
  <c r="Y206" i="18"/>
  <c r="X206" i="18"/>
  <c r="W206" i="18"/>
  <c r="V206" i="18"/>
  <c r="U206" i="18"/>
  <c r="T206" i="18"/>
  <c r="S206" i="18"/>
  <c r="R206" i="18"/>
  <c r="Q206" i="18"/>
  <c r="P206" i="18"/>
  <c r="O206" i="18"/>
  <c r="N206" i="18"/>
  <c r="M206" i="18"/>
  <c r="L206" i="18"/>
  <c r="E123" i="18"/>
  <c r="D123" i="18"/>
  <c r="E122" i="18"/>
  <c r="D122" i="18"/>
  <c r="E121" i="18"/>
  <c r="D121" i="18"/>
  <c r="E120" i="18"/>
  <c r="D120" i="18"/>
  <c r="E119" i="18"/>
  <c r="D119" i="18"/>
  <c r="E118" i="18"/>
  <c r="D118" i="18"/>
  <c r="E117" i="18"/>
  <c r="D117" i="18"/>
  <c r="E116" i="18"/>
  <c r="D116" i="18"/>
  <c r="E115" i="18"/>
  <c r="D115" i="18"/>
  <c r="E114" i="18"/>
  <c r="D114" i="18"/>
  <c r="E93" i="18"/>
  <c r="D93" i="18"/>
  <c r="E92" i="18"/>
  <c r="D92" i="18"/>
  <c r="E91" i="18"/>
  <c r="D91" i="18"/>
  <c r="E90" i="18"/>
  <c r="CD90" i="18" s="1"/>
  <c r="D90" i="18"/>
  <c r="E89" i="18"/>
  <c r="D89" i="18"/>
  <c r="E88" i="18"/>
  <c r="D88" i="18"/>
  <c r="E87" i="18"/>
  <c r="D87" i="18"/>
  <c r="E86" i="18"/>
  <c r="D86" i="18"/>
  <c r="E85" i="18"/>
  <c r="D85" i="18"/>
  <c r="E84" i="18"/>
  <c r="D84" i="18"/>
  <c r="E83" i="18"/>
  <c r="D83" i="18"/>
  <c r="E82" i="18"/>
  <c r="CD82" i="18" s="1"/>
  <c r="D82" i="18"/>
  <c r="E81" i="18"/>
  <c r="D81" i="18"/>
  <c r="E80" i="18"/>
  <c r="D80" i="18"/>
  <c r="E79" i="18"/>
  <c r="D79" i="18"/>
  <c r="E78" i="18"/>
  <c r="CD78" i="18" s="1"/>
  <c r="D78" i="18"/>
  <c r="E77" i="18"/>
  <c r="D77" i="18"/>
  <c r="E76" i="18"/>
  <c r="D76" i="18"/>
  <c r="E75" i="18"/>
  <c r="D75" i="18"/>
  <c r="E74" i="18"/>
  <c r="D74" i="18"/>
  <c r="E53" i="18"/>
  <c r="D53" i="18"/>
  <c r="E52" i="18"/>
  <c r="CD52" i="18" s="1"/>
  <c r="D52" i="18"/>
  <c r="E51" i="18"/>
  <c r="D51" i="18"/>
  <c r="E50" i="18"/>
  <c r="D50" i="18"/>
  <c r="E49" i="18"/>
  <c r="D49" i="18"/>
  <c r="E48" i="18"/>
  <c r="CD48" i="18" s="1"/>
  <c r="D48" i="18"/>
  <c r="E47" i="18"/>
  <c r="D47" i="18"/>
  <c r="E46" i="18"/>
  <c r="D46" i="18"/>
  <c r="E45" i="18"/>
  <c r="D45" i="18"/>
  <c r="E44" i="18"/>
  <c r="D44" i="18"/>
  <c r="E43" i="18"/>
  <c r="E42" i="18"/>
  <c r="CD42" i="18" s="1"/>
  <c r="E41" i="18"/>
  <c r="E40" i="18"/>
  <c r="CD40" i="18" s="1"/>
  <c r="E39" i="18"/>
  <c r="E38" i="18"/>
  <c r="E37" i="18"/>
  <c r="E36" i="18"/>
  <c r="CD36" i="18" s="1"/>
  <c r="E35" i="18"/>
  <c r="E34" i="18"/>
  <c r="CD34" i="18" s="1"/>
  <c r="E13" i="18"/>
  <c r="E12" i="18"/>
  <c r="E11" i="18"/>
  <c r="E10" i="18"/>
  <c r="CD10" i="18" s="1"/>
  <c r="E9" i="18"/>
  <c r="E8" i="18"/>
  <c r="E7" i="18"/>
  <c r="E6" i="18"/>
  <c r="E5" i="18"/>
  <c r="E4" i="18"/>
  <c r="D5" i="18"/>
  <c r="D6" i="18"/>
  <c r="D7" i="18"/>
  <c r="D8" i="18"/>
  <c r="D9" i="18"/>
  <c r="D10" i="18"/>
  <c r="D11" i="18"/>
  <c r="D12" i="18"/>
  <c r="D13" i="18"/>
  <c r="D34" i="18"/>
  <c r="D35" i="18"/>
  <c r="D36" i="18"/>
  <c r="D37" i="18"/>
  <c r="D38" i="18"/>
  <c r="D39" i="18"/>
  <c r="D40" i="18"/>
  <c r="D41" i="18"/>
  <c r="D42" i="18"/>
  <c r="D43" i="18"/>
  <c r="D4" i="18"/>
  <c r="CL73" i="18" l="1"/>
  <c r="CT73" i="18" s="1"/>
  <c r="CJ73" i="18"/>
  <c r="CJ57" i="18"/>
  <c r="CL57" i="18"/>
  <c r="CT57" i="18" s="1"/>
  <c r="CL56" i="18"/>
  <c r="CT56" i="18" s="1"/>
  <c r="CJ56" i="18"/>
  <c r="BZ9" i="18"/>
  <c r="CD9" i="18"/>
  <c r="BY37" i="18"/>
  <c r="CD37" i="18"/>
  <c r="CI46" i="18"/>
  <c r="CD46" i="18"/>
  <c r="BY76" i="18"/>
  <c r="CD76" i="18"/>
  <c r="CI80" i="18"/>
  <c r="CD80" i="18"/>
  <c r="CH86" i="18"/>
  <c r="CD86" i="18"/>
  <c r="CF114" i="18"/>
  <c r="CD114" i="18"/>
  <c r="CG6" i="18"/>
  <c r="CD6" i="18"/>
  <c r="CI38" i="18"/>
  <c r="CD38" i="18"/>
  <c r="CB50" i="18"/>
  <c r="CP50" i="18" s="1"/>
  <c r="CD50" i="18"/>
  <c r="CG74" i="18"/>
  <c r="CD74" i="18"/>
  <c r="CF116" i="18"/>
  <c r="CD116" i="18"/>
  <c r="CA120" i="18"/>
  <c r="CO120" i="18" s="1"/>
  <c r="CD120" i="18"/>
  <c r="CH7" i="18"/>
  <c r="CD7" i="18"/>
  <c r="CG11" i="18"/>
  <c r="CD11" i="18"/>
  <c r="CF35" i="18"/>
  <c r="CD35" i="18"/>
  <c r="CF39" i="18"/>
  <c r="CD39" i="18"/>
  <c r="BW43" i="18"/>
  <c r="CD43" i="18"/>
  <c r="CF45" i="18"/>
  <c r="CD45" i="18"/>
  <c r="CH47" i="18"/>
  <c r="CD47" i="18"/>
  <c r="CF49" i="18"/>
  <c r="CD49" i="18"/>
  <c r="CF51" i="18"/>
  <c r="CD51" i="18"/>
  <c r="CC53" i="18"/>
  <c r="CD53" i="18"/>
  <c r="CE75" i="18"/>
  <c r="CD75" i="18"/>
  <c r="BZ77" i="18"/>
  <c r="CD77" i="18"/>
  <c r="CB79" i="18"/>
  <c r="CP79" i="18" s="1"/>
  <c r="CD79" i="18"/>
  <c r="CE81" i="18"/>
  <c r="CD81" i="18"/>
  <c r="CB83" i="18"/>
  <c r="CP83" i="18" s="1"/>
  <c r="CD83" i="18"/>
  <c r="CG85" i="18"/>
  <c r="CD85" i="18"/>
  <c r="BW87" i="18"/>
  <c r="CD87" i="18"/>
  <c r="CC89" i="18"/>
  <c r="CD89" i="18"/>
  <c r="BT91" i="18"/>
  <c r="CK91" i="18" s="1"/>
  <c r="CD91" i="18"/>
  <c r="CH93" i="18"/>
  <c r="CD93" i="18"/>
  <c r="BX115" i="18"/>
  <c r="CM115" i="18" s="1"/>
  <c r="CD115" i="18"/>
  <c r="CA117" i="18"/>
  <c r="CO117" i="18" s="1"/>
  <c r="CD117" i="18"/>
  <c r="BY119" i="18"/>
  <c r="CD119" i="18"/>
  <c r="BW121" i="18"/>
  <c r="CD121" i="18"/>
  <c r="CC123" i="18"/>
  <c r="CD123" i="18"/>
  <c r="CE5" i="18"/>
  <c r="CD5" i="18"/>
  <c r="CE13" i="18"/>
  <c r="CD13" i="18"/>
  <c r="CC41" i="18"/>
  <c r="CD41" i="18"/>
  <c r="CF84" i="18"/>
  <c r="CE88" i="18"/>
  <c r="CD88" i="18"/>
  <c r="CI92" i="18"/>
  <c r="CD92" i="18"/>
  <c r="CC118" i="18"/>
  <c r="CD118" i="18"/>
  <c r="CH122" i="18"/>
  <c r="CD122" i="18"/>
  <c r="CF4" i="18"/>
  <c r="CD4" i="18"/>
  <c r="BY8" i="18"/>
  <c r="CD8" i="18"/>
  <c r="CI12" i="18"/>
  <c r="CD12" i="18"/>
  <c r="CJ107" i="18"/>
  <c r="CJ106" i="18"/>
  <c r="CJ113" i="18"/>
  <c r="CJ97" i="18"/>
  <c r="CP103" i="18"/>
  <c r="CT103" i="18" s="1"/>
  <c r="CP100" i="18"/>
  <c r="CT100" i="18" s="1"/>
  <c r="CJ104" i="18"/>
  <c r="CP104" i="18"/>
  <c r="CT104" i="18" s="1"/>
  <c r="CP99" i="18"/>
  <c r="CT99" i="18" s="1"/>
  <c r="CJ99" i="18"/>
  <c r="CJ94" i="18"/>
  <c r="CP94" i="18"/>
  <c r="CT94" i="18" s="1"/>
  <c r="CP109" i="18"/>
  <c r="CT109" i="18" s="1"/>
  <c r="CJ109" i="18"/>
  <c r="CP112" i="18"/>
  <c r="CT112" i="18" s="1"/>
  <c r="CJ112" i="18"/>
  <c r="CJ108" i="18"/>
  <c r="CP108" i="18"/>
  <c r="CT108" i="18" s="1"/>
  <c r="CP98" i="18"/>
  <c r="CT98" i="18" s="1"/>
  <c r="CJ98" i="18"/>
  <c r="CJ111" i="18"/>
  <c r="CP111" i="18"/>
  <c r="CT111" i="18" s="1"/>
  <c r="CJ110" i="18"/>
  <c r="CP110" i="18"/>
  <c r="CT110" i="18" s="1"/>
  <c r="CJ105" i="18"/>
  <c r="CP105" i="18"/>
  <c r="CT105" i="18" s="1"/>
  <c r="CH88" i="18"/>
  <c r="CE8" i="18"/>
  <c r="BZ86" i="18"/>
  <c r="CG92" i="18"/>
  <c r="BV123" i="18"/>
  <c r="BZ4" i="18"/>
  <c r="BT8" i="18"/>
  <c r="CK8" i="18" s="1"/>
  <c r="BV86" i="18"/>
  <c r="BX90" i="18"/>
  <c r="CM90" i="18" s="1"/>
  <c r="BU116" i="18"/>
  <c r="CC12" i="18"/>
  <c r="BW114" i="18"/>
  <c r="BY85" i="18"/>
  <c r="CA87" i="18"/>
  <c r="CO87" i="18" s="1"/>
  <c r="CF91" i="18"/>
  <c r="BV93" i="18"/>
  <c r="CI117" i="18"/>
  <c r="CG119" i="18"/>
  <c r="CF121" i="18"/>
  <c r="CA84" i="18"/>
  <c r="CO84" i="18" s="1"/>
  <c r="CC85" i="18"/>
  <c r="CE86" i="18"/>
  <c r="CG87" i="18"/>
  <c r="BW89" i="18"/>
  <c r="BU92" i="18"/>
  <c r="CA93" i="18"/>
  <c r="CO93" i="18" s="1"/>
  <c r="CI114" i="18"/>
  <c r="CA116" i="18"/>
  <c r="CO116" i="18" s="1"/>
  <c r="BY118" i="18"/>
  <c r="BY120" i="18"/>
  <c r="BW122" i="18"/>
  <c r="BU85" i="18"/>
  <c r="CI89" i="18"/>
  <c r="BY91" i="18"/>
  <c r="CC115" i="18"/>
  <c r="CH85" i="18"/>
  <c r="CI86" i="18"/>
  <c r="BV88" i="18"/>
  <c r="BZ92" i="18"/>
  <c r="CI116" i="18"/>
  <c r="CH118" i="18"/>
  <c r="CF120" i="18"/>
  <c r="CC122" i="18"/>
  <c r="CA77" i="18"/>
  <c r="CO77" i="18" s="1"/>
  <c r="BW47" i="18"/>
  <c r="CC49" i="18"/>
  <c r="BX53" i="18"/>
  <c r="CM53" i="18" s="1"/>
  <c r="BV5" i="18"/>
  <c r="CH5" i="18"/>
  <c r="CC7" i="18"/>
  <c r="CC9" i="18"/>
  <c r="BW11" i="18"/>
  <c r="CH11" i="18"/>
  <c r="BV13" i="18"/>
  <c r="CH13" i="18"/>
  <c r="CC35" i="18"/>
  <c r="CF37" i="18"/>
  <c r="BY41" i="18"/>
  <c r="CF43" i="18"/>
  <c r="BV4" i="18"/>
  <c r="BY5" i="18"/>
  <c r="BU7" i="18"/>
  <c r="CG7" i="18"/>
  <c r="BU9" i="18"/>
  <c r="CF9" i="18"/>
  <c r="BY11" i="18"/>
  <c r="BX12" i="18"/>
  <c r="CM12" i="18" s="1"/>
  <c r="BY13" i="18"/>
  <c r="BU35" i="18"/>
  <c r="CG35" i="18"/>
  <c r="BW39" i="18"/>
  <c r="CA5" i="18"/>
  <c r="CO5" i="18" s="1"/>
  <c r="BX7" i="18"/>
  <c r="CM7" i="18" s="1"/>
  <c r="BW9" i="18"/>
  <c r="CI9" i="18"/>
  <c r="CB11" i="18"/>
  <c r="CP11" i="18" s="1"/>
  <c r="CA13" i="18"/>
  <c r="CO13" i="18" s="1"/>
  <c r="BX35" i="18"/>
  <c r="CM35" i="18" s="1"/>
  <c r="BU37" i="18"/>
  <c r="CA39" i="18"/>
  <c r="CO39" i="18" s="1"/>
  <c r="BU43" i="18"/>
  <c r="CG4" i="18"/>
  <c r="CA7" i="18"/>
  <c r="CO7" i="18" s="1"/>
  <c r="BT11" i="18"/>
  <c r="CK11" i="18" s="1"/>
  <c r="CF11" i="18"/>
  <c r="CA35" i="18"/>
  <c r="CO35" i="18" s="1"/>
  <c r="CH39" i="18"/>
  <c r="CA43" i="18"/>
  <c r="CO43" i="18" s="1"/>
  <c r="CH10" i="18"/>
  <c r="CC10" i="18"/>
  <c r="CQ10" i="18" s="1"/>
  <c r="BY10" i="18"/>
  <c r="BU10" i="18"/>
  <c r="CH34" i="18"/>
  <c r="CC34" i="18"/>
  <c r="CQ34" i="18" s="1"/>
  <c r="BY34" i="18"/>
  <c r="BU34" i="18"/>
  <c r="CH42" i="18"/>
  <c r="CC42" i="18"/>
  <c r="CQ42" i="18" s="1"/>
  <c r="BY42" i="18"/>
  <c r="BU42" i="18"/>
  <c r="CF42" i="18"/>
  <c r="CA42" i="18"/>
  <c r="CO42" i="18" s="1"/>
  <c r="BW42" i="18"/>
  <c r="CG42" i="18"/>
  <c r="BX42" i="18"/>
  <c r="CM42" i="18" s="1"/>
  <c r="CF8" i="18"/>
  <c r="CA8" i="18"/>
  <c r="CO8" i="18" s="1"/>
  <c r="BW8" i="18"/>
  <c r="CF12" i="18"/>
  <c r="CA12" i="18"/>
  <c r="CO12" i="18" s="1"/>
  <c r="BW12" i="18"/>
  <c r="CF36" i="18"/>
  <c r="CA36" i="18"/>
  <c r="CO36" i="18" s="1"/>
  <c r="BW36" i="18"/>
  <c r="CH36" i="18"/>
  <c r="CC36" i="18"/>
  <c r="CQ36" i="18" s="1"/>
  <c r="BY36" i="18"/>
  <c r="BU36" i="18"/>
  <c r="CI36" i="18"/>
  <c r="BZ36" i="18"/>
  <c r="CF40" i="18"/>
  <c r="CA40" i="18"/>
  <c r="CO40" i="18" s="1"/>
  <c r="BW40" i="18"/>
  <c r="CH40" i="18"/>
  <c r="CC40" i="18"/>
  <c r="CQ40" i="18" s="1"/>
  <c r="BY40" i="18"/>
  <c r="BU40" i="18"/>
  <c r="CE40" i="18"/>
  <c r="BV40" i="18"/>
  <c r="BT4" i="18"/>
  <c r="CK4" i="18" s="1"/>
  <c r="BX4" i="18"/>
  <c r="CM4" i="18" s="1"/>
  <c r="CB4" i="18"/>
  <c r="CP4" i="18" s="1"/>
  <c r="CI4" i="18"/>
  <c r="BT6" i="18"/>
  <c r="BZ6" i="18"/>
  <c r="CF6" i="18"/>
  <c r="BV8" i="18"/>
  <c r="CB8" i="18"/>
  <c r="CP8" i="18" s="1"/>
  <c r="CH8" i="18"/>
  <c r="BX10" i="18"/>
  <c r="CM10" i="18" s="1"/>
  <c r="CE10" i="18"/>
  <c r="BU12" i="18"/>
  <c r="BZ12" i="18"/>
  <c r="CG12" i="18"/>
  <c r="BW34" i="18"/>
  <c r="CB34" i="18"/>
  <c r="CP34" i="18" s="1"/>
  <c r="CI34" i="18"/>
  <c r="BT36" i="18"/>
  <c r="CK36" i="18" s="1"/>
  <c r="CE36" i="18"/>
  <c r="BV38" i="18"/>
  <c r="CG38" i="18"/>
  <c r="BX40" i="18"/>
  <c r="CM40" i="18" s="1"/>
  <c r="CI40" i="18"/>
  <c r="BZ42" i="18"/>
  <c r="CG5" i="18"/>
  <c r="CB5" i="18"/>
  <c r="CP5" i="18" s="1"/>
  <c r="BX5" i="18"/>
  <c r="CM5" i="18" s="1"/>
  <c r="BT5" i="18"/>
  <c r="CK5" i="18" s="1"/>
  <c r="CG9" i="18"/>
  <c r="CB9" i="18"/>
  <c r="CP9" i="18" s="1"/>
  <c r="BX9" i="18"/>
  <c r="CM9" i="18" s="1"/>
  <c r="BT9" i="18"/>
  <c r="CK9" i="18" s="1"/>
  <c r="CG13" i="18"/>
  <c r="CB13" i="18"/>
  <c r="CP13" i="18" s="1"/>
  <c r="BX13" i="18"/>
  <c r="CM13" i="18" s="1"/>
  <c r="BT13" i="18"/>
  <c r="CK13" i="18" s="1"/>
  <c r="CG37" i="18"/>
  <c r="CB37" i="18"/>
  <c r="CP37" i="18" s="1"/>
  <c r="BX37" i="18"/>
  <c r="CM37" i="18" s="1"/>
  <c r="BT37" i="18"/>
  <c r="CK37" i="18" s="1"/>
  <c r="CI37" i="18"/>
  <c r="CE37" i="18"/>
  <c r="BZ37" i="18"/>
  <c r="BV37" i="18"/>
  <c r="CA37" i="18"/>
  <c r="CO37" i="18" s="1"/>
  <c r="CG41" i="18"/>
  <c r="CB41" i="18"/>
  <c r="CP41" i="18" s="1"/>
  <c r="BX41" i="18"/>
  <c r="CM41" i="18" s="1"/>
  <c r="BT41" i="18"/>
  <c r="CK41" i="18" s="1"/>
  <c r="CI41" i="18"/>
  <c r="CE41" i="18"/>
  <c r="BZ41" i="18"/>
  <c r="CN41" i="18" s="1"/>
  <c r="BV41" i="18"/>
  <c r="CF41" i="18"/>
  <c r="BW41" i="18"/>
  <c r="BU4" i="18"/>
  <c r="CE4" i="18"/>
  <c r="BU5" i="18"/>
  <c r="BZ5" i="18"/>
  <c r="CF5" i="18"/>
  <c r="BV6" i="18"/>
  <c r="CA6" i="18"/>
  <c r="CO6" i="18" s="1"/>
  <c r="BW7" i="18"/>
  <c r="CB7" i="18"/>
  <c r="CP7" i="18" s="1"/>
  <c r="BX8" i="18"/>
  <c r="CM8" i="18" s="1"/>
  <c r="CC8" i="18"/>
  <c r="CI8" i="18"/>
  <c r="BY9" i="18"/>
  <c r="CE9" i="18"/>
  <c r="BT10" i="18"/>
  <c r="CK10" i="18" s="1"/>
  <c r="BZ10" i="18"/>
  <c r="CF10" i="18"/>
  <c r="BU11" i="18"/>
  <c r="CA11" i="18"/>
  <c r="CO11" i="18" s="1"/>
  <c r="BV12" i="18"/>
  <c r="CB12" i="18"/>
  <c r="CP12" i="18" s="1"/>
  <c r="CH12" i="18"/>
  <c r="BW13" i="18"/>
  <c r="CC13" i="18"/>
  <c r="CI13" i="18"/>
  <c r="BX34" i="18"/>
  <c r="CM34" i="18" s="1"/>
  <c r="CE34" i="18"/>
  <c r="BT35" i="18"/>
  <c r="CK35" i="18" s="1"/>
  <c r="BY35" i="18"/>
  <c r="BV36" i="18"/>
  <c r="CG36" i="18"/>
  <c r="CC37" i="18"/>
  <c r="BX38" i="18"/>
  <c r="CM38" i="18" s="1"/>
  <c r="BZ40" i="18"/>
  <c r="BU41" i="18"/>
  <c r="CH41" i="18"/>
  <c r="CB42" i="18"/>
  <c r="CP42" i="18" s="1"/>
  <c r="CH6" i="18"/>
  <c r="BY6" i="18"/>
  <c r="CH38" i="18"/>
  <c r="CC38" i="18"/>
  <c r="BY38" i="18"/>
  <c r="BU38" i="18"/>
  <c r="CF38" i="18"/>
  <c r="CA38" i="18"/>
  <c r="CO38" i="18" s="1"/>
  <c r="BW38" i="18"/>
  <c r="CB38" i="18"/>
  <c r="CP38" i="18" s="1"/>
  <c r="BT38" i="18"/>
  <c r="CK38" i="18" s="1"/>
  <c r="BW6" i="18"/>
  <c r="CB6" i="18"/>
  <c r="CP6" i="18" s="1"/>
  <c r="CI6" i="18"/>
  <c r="BV10" i="18"/>
  <c r="CA10" i="18"/>
  <c r="CO10" i="18" s="1"/>
  <c r="CG10" i="18"/>
  <c r="BT34" i="18"/>
  <c r="CK34" i="18" s="1"/>
  <c r="BZ34" i="18"/>
  <c r="CF34" i="18"/>
  <c r="BX36" i="18"/>
  <c r="CM36" i="18" s="1"/>
  <c r="BZ38" i="18"/>
  <c r="CB40" i="18"/>
  <c r="CP40" i="18" s="1"/>
  <c r="BT42" i="18"/>
  <c r="CK42" i="18" s="1"/>
  <c r="CE42" i="18"/>
  <c r="CI7" i="18"/>
  <c r="CE7" i="18"/>
  <c r="BZ7" i="18"/>
  <c r="BV7" i="18"/>
  <c r="CI11" i="18"/>
  <c r="CE11" i="18"/>
  <c r="BZ11" i="18"/>
  <c r="BV11" i="18"/>
  <c r="CI35" i="18"/>
  <c r="CE35" i="18"/>
  <c r="BZ35" i="18"/>
  <c r="BV35" i="18"/>
  <c r="CI39" i="18"/>
  <c r="CE39" i="18"/>
  <c r="BZ39" i="18"/>
  <c r="BV39" i="18"/>
  <c r="CG39" i="18"/>
  <c r="CB39" i="18"/>
  <c r="CP39" i="18" s="1"/>
  <c r="BX39" i="18"/>
  <c r="CM39" i="18" s="1"/>
  <c r="BT39" i="18"/>
  <c r="CK39" i="18" s="1"/>
  <c r="CC39" i="18"/>
  <c r="BU39" i="18"/>
  <c r="CI43" i="18"/>
  <c r="CE43" i="18"/>
  <c r="BZ43" i="18"/>
  <c r="BV43" i="18"/>
  <c r="CG43" i="18"/>
  <c r="CB43" i="18"/>
  <c r="CP43" i="18" s="1"/>
  <c r="BX43" i="18"/>
  <c r="CM43" i="18" s="1"/>
  <c r="BT43" i="18"/>
  <c r="CK43" i="18" s="1"/>
  <c r="CH43" i="18"/>
  <c r="BY43" i="18"/>
  <c r="BW4" i="18"/>
  <c r="CA4" i="18"/>
  <c r="CO4" i="18" s="1"/>
  <c r="CH4" i="18"/>
  <c r="BW5" i="18"/>
  <c r="CC5" i="18"/>
  <c r="CI5" i="18"/>
  <c r="BX6" i="18"/>
  <c r="CM6" i="18" s="1"/>
  <c r="CE6" i="18"/>
  <c r="BT7" i="18"/>
  <c r="CK7" i="18" s="1"/>
  <c r="BY7" i="18"/>
  <c r="CF7" i="18"/>
  <c r="BU8" i="18"/>
  <c r="BZ8" i="18"/>
  <c r="CG8" i="18"/>
  <c r="BV9" i="18"/>
  <c r="CA9" i="18"/>
  <c r="CO9" i="18" s="1"/>
  <c r="CH9" i="18"/>
  <c r="BW10" i="18"/>
  <c r="CB10" i="18"/>
  <c r="CP10" i="18" s="1"/>
  <c r="CI10" i="18"/>
  <c r="BX11" i="18"/>
  <c r="CM11" i="18" s="1"/>
  <c r="CC11" i="18"/>
  <c r="BT12" i="18"/>
  <c r="CK12" i="18" s="1"/>
  <c r="BY12" i="18"/>
  <c r="CE12" i="18"/>
  <c r="BU13" i="18"/>
  <c r="BZ13" i="18"/>
  <c r="CF13" i="18"/>
  <c r="BV34" i="18"/>
  <c r="CA34" i="18"/>
  <c r="CO34" i="18" s="1"/>
  <c r="CG34" i="18"/>
  <c r="BW35" i="18"/>
  <c r="CH35" i="18"/>
  <c r="CB36" i="18"/>
  <c r="CP36" i="18" s="1"/>
  <c r="BW37" i="18"/>
  <c r="CH37" i="18"/>
  <c r="CE38" i="18"/>
  <c r="BY39" i="18"/>
  <c r="BT40" i="18"/>
  <c r="CK40" i="18" s="1"/>
  <c r="CG40" i="18"/>
  <c r="CA41" i="18"/>
  <c r="CO41" i="18" s="1"/>
  <c r="BV42" i="18"/>
  <c r="CI42" i="18"/>
  <c r="CC43" i="18"/>
  <c r="CB45" i="18"/>
  <c r="CP45" i="18" s="1"/>
  <c r="CI47" i="18"/>
  <c r="BZ51" i="18"/>
  <c r="BY75" i="18"/>
  <c r="CF81" i="18"/>
  <c r="CB47" i="18"/>
  <c r="CP47" i="18" s="1"/>
  <c r="CI49" i="18"/>
  <c r="CF53" i="18"/>
  <c r="CC79" i="18"/>
  <c r="CH45" i="18"/>
  <c r="BX49" i="18"/>
  <c r="CM49" i="18" s="1"/>
  <c r="CH51" i="18"/>
  <c r="CF75" i="18"/>
  <c r="CG83" i="18"/>
  <c r="BX45" i="18"/>
  <c r="CM45" i="18" s="1"/>
  <c r="CC45" i="18"/>
  <c r="CI45" i="18"/>
  <c r="BX47" i="18"/>
  <c r="CM47" i="18" s="1"/>
  <c r="CE47" i="18"/>
  <c r="BT49" i="18"/>
  <c r="CK49" i="18" s="1"/>
  <c r="BY49" i="18"/>
  <c r="CE49" i="18"/>
  <c r="BU51" i="18"/>
  <c r="CA51" i="18"/>
  <c r="CO51" i="18" s="1"/>
  <c r="CI51" i="18"/>
  <c r="BY53" i="18"/>
  <c r="CH53" i="18"/>
  <c r="BZ75" i="18"/>
  <c r="CH75" i="18"/>
  <c r="CH77" i="18"/>
  <c r="BU81" i="18"/>
  <c r="BU83" i="18"/>
  <c r="CH83" i="18"/>
  <c r="BY45" i="18"/>
  <c r="CE45" i="18"/>
  <c r="BT47" i="18"/>
  <c r="CK47" i="18" s="1"/>
  <c r="BZ47" i="18"/>
  <c r="CF47" i="18"/>
  <c r="BU49" i="18"/>
  <c r="BZ49" i="18"/>
  <c r="CG49" i="18"/>
  <c r="CC51" i="18"/>
  <c r="BT53" i="18"/>
  <c r="CK53" i="18" s="1"/>
  <c r="CB53" i="18"/>
  <c r="CP53" i="18" s="1"/>
  <c r="BU75" i="18"/>
  <c r="CA75" i="18"/>
  <c r="CO75" i="18" s="1"/>
  <c r="BX79" i="18"/>
  <c r="CM79" i="18" s="1"/>
  <c r="BZ81" i="18"/>
  <c r="BW83" i="18"/>
  <c r="BU45" i="18"/>
  <c r="BZ45" i="18"/>
  <c r="CG45" i="18"/>
  <c r="CA47" i="18"/>
  <c r="CO47" i="18" s="1"/>
  <c r="CG47" i="18"/>
  <c r="CB49" i="18"/>
  <c r="CP49" i="18" s="1"/>
  <c r="CH49" i="18"/>
  <c r="BW51" i="18"/>
  <c r="BW53" i="18"/>
  <c r="CI44" i="18"/>
  <c r="CE44" i="18"/>
  <c r="BY44" i="18"/>
  <c r="BU44" i="18"/>
  <c r="CI48" i="18"/>
  <c r="CE48" i="18"/>
  <c r="BZ48" i="18"/>
  <c r="CH52" i="18"/>
  <c r="CC52" i="18"/>
  <c r="CQ52" i="18" s="1"/>
  <c r="BY52" i="18"/>
  <c r="BU52" i="18"/>
  <c r="CF52" i="18"/>
  <c r="BZ52" i="18"/>
  <c r="BT52" i="18"/>
  <c r="CK52" i="18" s="1"/>
  <c r="CH78" i="18"/>
  <c r="CC78" i="18"/>
  <c r="CQ78" i="18" s="1"/>
  <c r="BY78" i="18"/>
  <c r="BU78" i="18"/>
  <c r="CF78" i="18"/>
  <c r="BZ78" i="18"/>
  <c r="BT78" i="18"/>
  <c r="CK78" i="18" s="1"/>
  <c r="CE78" i="18"/>
  <c r="BX78" i="18"/>
  <c r="CM78" i="18" s="1"/>
  <c r="CA78" i="18"/>
  <c r="CO78" i="18" s="1"/>
  <c r="CH82" i="18"/>
  <c r="CC82" i="18"/>
  <c r="CQ82" i="18" s="1"/>
  <c r="BY82" i="18"/>
  <c r="BU82" i="18"/>
  <c r="CE82" i="18"/>
  <c r="BX82" i="18"/>
  <c r="CM82" i="18" s="1"/>
  <c r="CI82" i="18"/>
  <c r="CB82" i="18"/>
  <c r="CP82" i="18" s="1"/>
  <c r="BW82" i="18"/>
  <c r="CF82" i="18"/>
  <c r="BT82" i="18"/>
  <c r="CK82" i="18" s="1"/>
  <c r="CF44" i="18"/>
  <c r="CH46" i="18"/>
  <c r="CG78" i="18"/>
  <c r="BT44" i="18"/>
  <c r="CK44" i="18" s="1"/>
  <c r="BZ44" i="18"/>
  <c r="CG44" i="18"/>
  <c r="BW46" i="18"/>
  <c r="CC46" i="18"/>
  <c r="BT48" i="18"/>
  <c r="CK48" i="18" s="1"/>
  <c r="BY48" i="18"/>
  <c r="CF48" i="18"/>
  <c r="CA52" i="18"/>
  <c r="CO52" i="18" s="1"/>
  <c r="CI52" i="18"/>
  <c r="BY74" i="18"/>
  <c r="CI78" i="18"/>
  <c r="BT80" i="18"/>
  <c r="CK80" i="18" s="1"/>
  <c r="CG82" i="18"/>
  <c r="CG46" i="18"/>
  <c r="CB46" i="18"/>
  <c r="CP46" i="18" s="1"/>
  <c r="BX46" i="18"/>
  <c r="CM46" i="18" s="1"/>
  <c r="BT46" i="18"/>
  <c r="CK46" i="18" s="1"/>
  <c r="CF50" i="18"/>
  <c r="CA50" i="18"/>
  <c r="CO50" i="18" s="1"/>
  <c r="CI50" i="18"/>
  <c r="CC50" i="18"/>
  <c r="BX50" i="18"/>
  <c r="CM50" i="18" s="1"/>
  <c r="BT50" i="18"/>
  <c r="CK50" i="18" s="1"/>
  <c r="CF74" i="18"/>
  <c r="CA74" i="18"/>
  <c r="CO74" i="18" s="1"/>
  <c r="BW74" i="18"/>
  <c r="CH74" i="18"/>
  <c r="CB74" i="18"/>
  <c r="CP74" i="18" s="1"/>
  <c r="CF76" i="18"/>
  <c r="CA76" i="18"/>
  <c r="CO76" i="18" s="1"/>
  <c r="BW76" i="18"/>
  <c r="CI76" i="18"/>
  <c r="CH76" i="18"/>
  <c r="CB76" i="18"/>
  <c r="CP76" i="18" s="1"/>
  <c r="BT76" i="18"/>
  <c r="CK76" i="18" s="1"/>
  <c r="CF80" i="18"/>
  <c r="CA80" i="18"/>
  <c r="CO80" i="18" s="1"/>
  <c r="BW80" i="18"/>
  <c r="CH80" i="18"/>
  <c r="CB80" i="18"/>
  <c r="CP80" i="18" s="1"/>
  <c r="CG80" i="18"/>
  <c r="BZ80" i="18"/>
  <c r="BU80" i="18"/>
  <c r="CC80" i="18"/>
  <c r="BX44" i="18"/>
  <c r="CM44" i="18" s="1"/>
  <c r="CA46" i="18"/>
  <c r="CO46" i="18" s="1"/>
  <c r="BX48" i="18"/>
  <c r="CM48" i="18" s="1"/>
  <c r="CC48" i="18"/>
  <c r="CQ48" i="18" s="1"/>
  <c r="BU50" i="18"/>
  <c r="BZ50" i="18"/>
  <c r="CH50" i="18"/>
  <c r="BX52" i="18"/>
  <c r="CM52" i="18" s="1"/>
  <c r="CG52" i="18"/>
  <c r="BX74" i="18"/>
  <c r="CM74" i="18" s="1"/>
  <c r="CE74" i="18"/>
  <c r="BX76" i="18"/>
  <c r="CM76" i="18" s="1"/>
  <c r="CG76" i="18"/>
  <c r="CE80" i="18"/>
  <c r="CA82" i="18"/>
  <c r="CO82" i="18" s="1"/>
  <c r="CA44" i="18"/>
  <c r="CO44" i="18" s="1"/>
  <c r="CH44" i="18"/>
  <c r="BY46" i="18"/>
  <c r="CE46" i="18"/>
  <c r="BU48" i="18"/>
  <c r="CA48" i="18"/>
  <c r="CO48" i="18" s="1"/>
  <c r="CG48" i="18"/>
  <c r="BW50" i="18"/>
  <c r="CE50" i="18"/>
  <c r="CB52" i="18"/>
  <c r="CP52" i="18" s="1"/>
  <c r="BT74" i="18"/>
  <c r="CK74" i="18" s="1"/>
  <c r="BZ74" i="18"/>
  <c r="CI74" i="18"/>
  <c r="CC76" i="18"/>
  <c r="BW78" i="18"/>
  <c r="BX80" i="18"/>
  <c r="CM80" i="18" s="1"/>
  <c r="BW44" i="18"/>
  <c r="CB44" i="18"/>
  <c r="CP44" i="18" s="1"/>
  <c r="BU46" i="18"/>
  <c r="BZ46" i="18"/>
  <c r="CF46" i="18"/>
  <c r="BW48" i="18"/>
  <c r="CB48" i="18"/>
  <c r="CP48" i="18" s="1"/>
  <c r="CH48" i="18"/>
  <c r="BY50" i="18"/>
  <c r="CG50" i="18"/>
  <c r="BW52" i="18"/>
  <c r="CE52" i="18"/>
  <c r="BU74" i="18"/>
  <c r="CC74" i="18"/>
  <c r="BU76" i="18"/>
  <c r="CE76" i="18"/>
  <c r="CB78" i="18"/>
  <c r="CP78" i="18" s="1"/>
  <c r="BY80" i="18"/>
  <c r="BZ82" i="18"/>
  <c r="CG51" i="18"/>
  <c r="CB51" i="18"/>
  <c r="CP51" i="18" s="1"/>
  <c r="BX51" i="18"/>
  <c r="CM51" i="18" s="1"/>
  <c r="BT51" i="18"/>
  <c r="CK51" i="18" s="1"/>
  <c r="CI53" i="18"/>
  <c r="CE53" i="18"/>
  <c r="BZ53" i="18"/>
  <c r="CI75" i="18"/>
  <c r="CG75" i="18"/>
  <c r="CB75" i="18"/>
  <c r="CP75" i="18" s="1"/>
  <c r="BX75" i="18"/>
  <c r="CM75" i="18" s="1"/>
  <c r="BT75" i="18"/>
  <c r="CK75" i="18" s="1"/>
  <c r="CG77" i="18"/>
  <c r="CB77" i="18"/>
  <c r="CP77" i="18" s="1"/>
  <c r="BX77" i="18"/>
  <c r="CM77" i="18" s="1"/>
  <c r="BT77" i="18"/>
  <c r="CK77" i="18" s="1"/>
  <c r="CE77" i="18"/>
  <c r="BY77" i="18"/>
  <c r="CI77" i="18"/>
  <c r="CC77" i="18"/>
  <c r="BW77" i="18"/>
  <c r="CI79" i="18"/>
  <c r="CE79" i="18"/>
  <c r="BZ79" i="18"/>
  <c r="CG79" i="18"/>
  <c r="CA79" i="18"/>
  <c r="CO79" i="18" s="1"/>
  <c r="BU79" i="18"/>
  <c r="CF79" i="18"/>
  <c r="BY79" i="18"/>
  <c r="BT79" i="18"/>
  <c r="CK79" i="18" s="1"/>
  <c r="CG81" i="18"/>
  <c r="CB81" i="18"/>
  <c r="CP81" i="18" s="1"/>
  <c r="BX81" i="18"/>
  <c r="CM81" i="18" s="1"/>
  <c r="BT81" i="18"/>
  <c r="CK81" i="18" s="1"/>
  <c r="CI81" i="18"/>
  <c r="CC81" i="18"/>
  <c r="BW81" i="18"/>
  <c r="CH81" i="18"/>
  <c r="CA81" i="18"/>
  <c r="CO81" i="18" s="1"/>
  <c r="CI83" i="18"/>
  <c r="CE83" i="18"/>
  <c r="BZ83" i="18"/>
  <c r="CF83" i="18"/>
  <c r="BY83" i="18"/>
  <c r="BT83" i="18"/>
  <c r="CK83" i="18" s="1"/>
  <c r="CC83" i="18"/>
  <c r="BX83" i="18"/>
  <c r="CM83" i="18" s="1"/>
  <c r="BW45" i="18"/>
  <c r="CA45" i="18"/>
  <c r="CO45" i="18" s="1"/>
  <c r="BU47" i="18"/>
  <c r="BY47" i="18"/>
  <c r="CC47" i="18"/>
  <c r="BW49" i="18"/>
  <c r="CA49" i="18"/>
  <c r="CO49" i="18" s="1"/>
  <c r="BY51" i="18"/>
  <c r="CE51" i="18"/>
  <c r="BU53" i="18"/>
  <c r="CA53" i="18"/>
  <c r="CO53" i="18" s="1"/>
  <c r="CG53" i="18"/>
  <c r="BW75" i="18"/>
  <c r="CC75" i="18"/>
  <c r="BU77" i="18"/>
  <c r="CF77" i="18"/>
  <c r="BW79" i="18"/>
  <c r="CH79" i="18"/>
  <c r="BY81" i="18"/>
  <c r="CA83" i="18"/>
  <c r="CO83" i="18" s="1"/>
  <c r="CI87" i="18"/>
  <c r="CE87" i="18"/>
  <c r="CG89" i="18"/>
  <c r="BX89" i="18"/>
  <c r="CM89" i="18" s="1"/>
  <c r="BT89" i="18"/>
  <c r="CK89" i="18" s="1"/>
  <c r="CI91" i="18"/>
  <c r="CE91" i="18"/>
  <c r="BZ91" i="18"/>
  <c r="BV91" i="18"/>
  <c r="CG93" i="18"/>
  <c r="BX93" i="18"/>
  <c r="CM93" i="18" s="1"/>
  <c r="BT93" i="18"/>
  <c r="CK93" i="18" s="1"/>
  <c r="CI115" i="18"/>
  <c r="CE115" i="18"/>
  <c r="BZ115" i="18"/>
  <c r="BV115" i="18"/>
  <c r="CH117" i="18"/>
  <c r="CC117" i="18"/>
  <c r="BY117" i="18"/>
  <c r="BU117" i="18"/>
  <c r="CF117" i="18"/>
  <c r="BZ117" i="18"/>
  <c r="BT117" i="18"/>
  <c r="CK117" i="18" s="1"/>
  <c r="CF119" i="18"/>
  <c r="CA119" i="18"/>
  <c r="CO119" i="18" s="1"/>
  <c r="BW119" i="18"/>
  <c r="CH119" i="18"/>
  <c r="BV119" i="18"/>
  <c r="CH121" i="18"/>
  <c r="CC121" i="18"/>
  <c r="BY121" i="18"/>
  <c r="BU121" i="18"/>
  <c r="CE121" i="18"/>
  <c r="BX121" i="18"/>
  <c r="CM121" i="18" s="1"/>
  <c r="CF123" i="18"/>
  <c r="CA123" i="18"/>
  <c r="CO123" i="18" s="1"/>
  <c r="BW123" i="18"/>
  <c r="CG123" i="18"/>
  <c r="BZ123" i="18"/>
  <c r="BU123" i="18"/>
  <c r="BT84" i="18"/>
  <c r="CK84" i="18" s="1"/>
  <c r="BX84" i="18"/>
  <c r="CM84" i="18" s="1"/>
  <c r="CH84" i="18"/>
  <c r="BV85" i="18"/>
  <c r="BZ85" i="18"/>
  <c r="CE85" i="18"/>
  <c r="CI85" i="18"/>
  <c r="CA86" i="18"/>
  <c r="CO86" i="18" s="1"/>
  <c r="CF86" i="18"/>
  <c r="BT87" i="18"/>
  <c r="CK87" i="18" s="1"/>
  <c r="BX87" i="18"/>
  <c r="CM87" i="18" s="1"/>
  <c r="CH87" i="18"/>
  <c r="BX88" i="18"/>
  <c r="CM88" i="18" s="1"/>
  <c r="CC88" i="18"/>
  <c r="CI88" i="18"/>
  <c r="BY89" i="18"/>
  <c r="CE89" i="18"/>
  <c r="CA91" i="18"/>
  <c r="CO91" i="18" s="1"/>
  <c r="CG91" i="18"/>
  <c r="BV92" i="18"/>
  <c r="CH92" i="18"/>
  <c r="BW93" i="18"/>
  <c r="CC93" i="18"/>
  <c r="CI93" i="18"/>
  <c r="BX114" i="18"/>
  <c r="CM114" i="18" s="1"/>
  <c r="CE114" i="18"/>
  <c r="BT115" i="18"/>
  <c r="CK115" i="18" s="1"/>
  <c r="BY115" i="18"/>
  <c r="CF115" i="18"/>
  <c r="BV116" i="18"/>
  <c r="CC116" i="18"/>
  <c r="BV117" i="18"/>
  <c r="BT118" i="18"/>
  <c r="CK118" i="18" s="1"/>
  <c r="BT119" i="18"/>
  <c r="CK119" i="18" s="1"/>
  <c r="BZ119" i="18"/>
  <c r="CI119" i="18"/>
  <c r="BZ120" i="18"/>
  <c r="CH120" i="18"/>
  <c r="BZ121" i="18"/>
  <c r="CG121" i="18"/>
  <c r="BX122" i="18"/>
  <c r="CM122" i="18" s="1"/>
  <c r="CG122" i="18"/>
  <c r="BX123" i="18"/>
  <c r="CM123" i="18" s="1"/>
  <c r="CE123" i="18"/>
  <c r="BU84" i="18"/>
  <c r="BY84" i="18"/>
  <c r="CE84" i="18"/>
  <c r="CI84" i="18"/>
  <c r="BW85" i="18"/>
  <c r="CA85" i="18"/>
  <c r="CO85" i="18" s="1"/>
  <c r="CF85" i="18"/>
  <c r="BT86" i="18"/>
  <c r="CK86" i="18" s="1"/>
  <c r="BX86" i="18"/>
  <c r="CM86" i="18" s="1"/>
  <c r="CG86" i="18"/>
  <c r="BU87" i="18"/>
  <c r="BY87" i="18"/>
  <c r="CC87" i="18"/>
  <c r="BT88" i="18"/>
  <c r="CK88" i="18" s="1"/>
  <c r="BY88" i="18"/>
  <c r="BU89" i="18"/>
  <c r="BZ89" i="18"/>
  <c r="CF89" i="18"/>
  <c r="BW91" i="18"/>
  <c r="CH91" i="18"/>
  <c r="BX92" i="18"/>
  <c r="CM92" i="18" s="1"/>
  <c r="CC92" i="18"/>
  <c r="BY93" i="18"/>
  <c r="CE93" i="18"/>
  <c r="BT114" i="18"/>
  <c r="CK114" i="18" s="1"/>
  <c r="BZ114" i="18"/>
  <c r="BU115" i="18"/>
  <c r="CA115" i="18"/>
  <c r="CO115" i="18" s="1"/>
  <c r="CG115" i="18"/>
  <c r="BW116" i="18"/>
  <c r="BW117" i="18"/>
  <c r="CE117" i="18"/>
  <c r="BW118" i="18"/>
  <c r="BU119" i="18"/>
  <c r="CC119" i="18"/>
  <c r="BU120" i="18"/>
  <c r="BT121" i="18"/>
  <c r="CK121" i="18" s="1"/>
  <c r="CA121" i="18"/>
  <c r="CO121" i="18" s="1"/>
  <c r="CI121" i="18"/>
  <c r="CA122" i="18"/>
  <c r="CO122" i="18" s="1"/>
  <c r="BY123" i="18"/>
  <c r="CH123" i="18"/>
  <c r="CF88" i="18"/>
  <c r="CA88" i="18"/>
  <c r="CO88" i="18" s="1"/>
  <c r="BW88" i="18"/>
  <c r="CF92" i="18"/>
  <c r="CA92" i="18"/>
  <c r="CO92" i="18" s="1"/>
  <c r="BW92" i="18"/>
  <c r="CH114" i="18"/>
  <c r="CC114" i="18"/>
  <c r="BY114" i="18"/>
  <c r="BU114" i="18"/>
  <c r="CG116" i="18"/>
  <c r="BX116" i="18"/>
  <c r="CM116" i="18" s="1"/>
  <c r="BT116" i="18"/>
  <c r="CK116" i="18" s="1"/>
  <c r="CE116" i="18"/>
  <c r="BY116" i="18"/>
  <c r="CI118" i="18"/>
  <c r="CE118" i="18"/>
  <c r="BZ118" i="18"/>
  <c r="BV118" i="18"/>
  <c r="CG118" i="18"/>
  <c r="CA118" i="18"/>
  <c r="CO118" i="18" s="1"/>
  <c r="BU118" i="18"/>
  <c r="CG120" i="18"/>
  <c r="BX120" i="18"/>
  <c r="CM120" i="18" s="1"/>
  <c r="BT120" i="18"/>
  <c r="CK120" i="18" s="1"/>
  <c r="CI120" i="18"/>
  <c r="CC120" i="18"/>
  <c r="BW120" i="18"/>
  <c r="CI122" i="18"/>
  <c r="CE122" i="18"/>
  <c r="BZ122" i="18"/>
  <c r="BV122" i="18"/>
  <c r="CF122" i="18"/>
  <c r="BY122" i="18"/>
  <c r="BT122" i="18"/>
  <c r="BZ84" i="18"/>
  <c r="BX85" i="18"/>
  <c r="CM85" i="18" s="1"/>
  <c r="BY86" i="18"/>
  <c r="CC86" i="18"/>
  <c r="BV87" i="18"/>
  <c r="BZ87" i="18"/>
  <c r="CF87" i="18"/>
  <c r="BU88" i="18"/>
  <c r="BZ88" i="18"/>
  <c r="CG88" i="18"/>
  <c r="BV89" i="18"/>
  <c r="CA89" i="18"/>
  <c r="CO89" i="18" s="1"/>
  <c r="CH89" i="18"/>
  <c r="BX91" i="18"/>
  <c r="CM91" i="18" s="1"/>
  <c r="CC91" i="18"/>
  <c r="BT92" i="18"/>
  <c r="CK92" i="18" s="1"/>
  <c r="BY92" i="18"/>
  <c r="CE92" i="18"/>
  <c r="BU93" i="18"/>
  <c r="BZ93" i="18"/>
  <c r="CF93" i="18"/>
  <c r="BV114" i="18"/>
  <c r="CA114" i="18"/>
  <c r="CO114" i="18" s="1"/>
  <c r="CG114" i="18"/>
  <c r="BW115" i="18"/>
  <c r="CH115" i="18"/>
  <c r="BZ116" i="18"/>
  <c r="CH116" i="18"/>
  <c r="BX117" i="18"/>
  <c r="CM117" i="18" s="1"/>
  <c r="CG117" i="18"/>
  <c r="BX118" i="18"/>
  <c r="CM118" i="18" s="1"/>
  <c r="CF118" i="18"/>
  <c r="BX119" i="18"/>
  <c r="CM119" i="18" s="1"/>
  <c r="CE119" i="18"/>
  <c r="BV120" i="18"/>
  <c r="CE120" i="18"/>
  <c r="BV121" i="18"/>
  <c r="BU122" i="18"/>
  <c r="CI123" i="18"/>
  <c r="E163" i="18"/>
  <c r="CD163" i="18" s="1"/>
  <c r="E162" i="18"/>
  <c r="CD162" i="18" s="1"/>
  <c r="E161" i="18"/>
  <c r="CD161" i="18" s="1"/>
  <c r="E160" i="18"/>
  <c r="CD160" i="18" s="1"/>
  <c r="E159" i="18"/>
  <c r="CD159" i="18" s="1"/>
  <c r="E158" i="18"/>
  <c r="CD158" i="18" s="1"/>
  <c r="E157" i="18"/>
  <c r="CD157" i="18" s="1"/>
  <c r="E156" i="18"/>
  <c r="CD156" i="18" s="1"/>
  <c r="E155" i="18"/>
  <c r="CD155" i="18" s="1"/>
  <c r="E154" i="18"/>
  <c r="CD154" i="18" s="1"/>
  <c r="E153" i="18"/>
  <c r="CD153" i="18" s="1"/>
  <c r="E132" i="18"/>
  <c r="CD132" i="18" s="1"/>
  <c r="E131" i="18"/>
  <c r="CD131" i="18" s="1"/>
  <c r="E130" i="18"/>
  <c r="CD130" i="18" s="1"/>
  <c r="E129" i="18"/>
  <c r="CD129" i="18" s="1"/>
  <c r="E128" i="18"/>
  <c r="CD128" i="18" s="1"/>
  <c r="E127" i="18"/>
  <c r="CD127" i="18" s="1"/>
  <c r="E126" i="18"/>
  <c r="E125" i="18"/>
  <c r="E124" i="18"/>
  <c r="AL92" i="15"/>
  <c r="AK92" i="15"/>
  <c r="AJ92" i="15"/>
  <c r="AI92" i="15"/>
  <c r="AH92" i="15"/>
  <c r="AD92" i="15"/>
  <c r="AC92" i="15"/>
  <c r="AB92" i="15"/>
  <c r="AA92" i="15"/>
  <c r="Z92" i="15"/>
  <c r="X92" i="15"/>
  <c r="AL91" i="15"/>
  <c r="AK91" i="15"/>
  <c r="AJ91" i="15"/>
  <c r="AI91" i="15"/>
  <c r="AH91" i="15"/>
  <c r="AC91" i="15"/>
  <c r="AB91" i="15"/>
  <c r="AA91" i="15"/>
  <c r="Z91" i="15"/>
  <c r="X91" i="15"/>
  <c r="AL87" i="15"/>
  <c r="AK87" i="15"/>
  <c r="AJ87" i="15"/>
  <c r="AI87" i="15"/>
  <c r="AH87" i="15"/>
  <c r="AF87" i="15"/>
  <c r="AE87" i="15"/>
  <c r="Z87" i="15"/>
  <c r="X87" i="15"/>
  <c r="AL85" i="15"/>
  <c r="AK85" i="15"/>
  <c r="AJ85" i="15"/>
  <c r="AI85" i="15"/>
  <c r="AH85" i="15"/>
  <c r="AD85" i="15"/>
  <c r="AC85" i="15"/>
  <c r="AB85" i="15"/>
  <c r="AA85" i="15"/>
  <c r="Z85" i="15"/>
  <c r="X85" i="15"/>
  <c r="AL81" i="15"/>
  <c r="AK81" i="15"/>
  <c r="AJ81" i="15"/>
  <c r="AI81" i="15"/>
  <c r="AH81" i="15"/>
  <c r="AF81" i="15"/>
  <c r="AE81" i="15"/>
  <c r="AD81" i="15"/>
  <c r="AC81" i="15"/>
  <c r="AB81" i="15"/>
  <c r="AA81" i="15"/>
  <c r="Y81" i="15"/>
  <c r="AL80" i="15"/>
  <c r="AK80" i="15"/>
  <c r="AJ80" i="15"/>
  <c r="AI80" i="15"/>
  <c r="AH80" i="15"/>
  <c r="AF80" i="15"/>
  <c r="AE80" i="15"/>
  <c r="AD80" i="15"/>
  <c r="AC80" i="15"/>
  <c r="AB80" i="15"/>
  <c r="AA80" i="15"/>
  <c r="Y80" i="15"/>
  <c r="AL79" i="15"/>
  <c r="AK79" i="15"/>
  <c r="AJ79" i="15"/>
  <c r="AI79" i="15"/>
  <c r="AH79" i="15"/>
  <c r="AD79" i="15"/>
  <c r="AC79" i="15"/>
  <c r="AB79" i="15"/>
  <c r="AA79" i="15"/>
  <c r="Z79" i="15"/>
  <c r="AL78" i="15"/>
  <c r="AK78" i="15"/>
  <c r="AJ78" i="15"/>
  <c r="AI78" i="15"/>
  <c r="AH78" i="15"/>
  <c r="AF78" i="15"/>
  <c r="AE78" i="15"/>
  <c r="AD78" i="15"/>
  <c r="AC78" i="15"/>
  <c r="AB78" i="15"/>
  <c r="AA78" i="15"/>
  <c r="Z78" i="15"/>
  <c r="W85" i="15"/>
  <c r="F70" i="13"/>
  <c r="G70" i="13"/>
  <c r="H70" i="13"/>
  <c r="I70" i="13"/>
  <c r="J70" i="13"/>
  <c r="K70" i="13"/>
  <c r="L70" i="13"/>
  <c r="M70" i="13"/>
  <c r="N70" i="13"/>
  <c r="O70" i="13"/>
  <c r="P70" i="13"/>
  <c r="Q70" i="13"/>
  <c r="R70" i="13"/>
  <c r="E70" i="13"/>
  <c r="F203" i="18"/>
  <c r="F202" i="18"/>
  <c r="F201" i="18"/>
  <c r="F200" i="18"/>
  <c r="F199" i="18"/>
  <c r="F198" i="18"/>
  <c r="F197" i="18"/>
  <c r="F196" i="18"/>
  <c r="F195" i="18"/>
  <c r="F194" i="18"/>
  <c r="F173" i="18"/>
  <c r="F172" i="18"/>
  <c r="F171" i="18"/>
  <c r="F170" i="18"/>
  <c r="F169" i="18"/>
  <c r="F168" i="18"/>
  <c r="F167" i="18"/>
  <c r="F165" i="18"/>
  <c r="F164" i="18"/>
  <c r="F166" i="18"/>
  <c r="H85" i="18"/>
  <c r="I85" i="18"/>
  <c r="H86" i="18"/>
  <c r="I86" i="18"/>
  <c r="H87" i="18"/>
  <c r="I87" i="18"/>
  <c r="H88" i="18"/>
  <c r="I88" i="18"/>
  <c r="H89" i="18"/>
  <c r="I89" i="18"/>
  <c r="H90" i="18"/>
  <c r="I90" i="18"/>
  <c r="H91" i="18"/>
  <c r="I91" i="18"/>
  <c r="H92" i="18"/>
  <c r="I92" i="18"/>
  <c r="H93" i="18"/>
  <c r="I93" i="18"/>
  <c r="H114" i="18"/>
  <c r="I114" i="18"/>
  <c r="H115" i="18"/>
  <c r="I115" i="18"/>
  <c r="H116" i="18"/>
  <c r="I116" i="18"/>
  <c r="H117" i="18"/>
  <c r="I117" i="18"/>
  <c r="H118" i="18"/>
  <c r="I118" i="18"/>
  <c r="H119" i="18"/>
  <c r="I119" i="18"/>
  <c r="H120" i="18"/>
  <c r="I120" i="18"/>
  <c r="H121" i="18"/>
  <c r="I121" i="18"/>
  <c r="H122" i="18"/>
  <c r="I122" i="18"/>
  <c r="H123" i="18"/>
  <c r="I123" i="18"/>
  <c r="I84" i="18"/>
  <c r="H84" i="18"/>
  <c r="G123" i="18"/>
  <c r="G122" i="18"/>
  <c r="G121" i="18"/>
  <c r="G120" i="18"/>
  <c r="G119" i="18"/>
  <c r="G118" i="18"/>
  <c r="G117" i="18"/>
  <c r="G116" i="18"/>
  <c r="G115" i="18"/>
  <c r="G114" i="18"/>
  <c r="G93" i="18"/>
  <c r="G92" i="18"/>
  <c r="G91" i="18"/>
  <c r="G90" i="18"/>
  <c r="G89" i="18"/>
  <c r="G88" i="18"/>
  <c r="G87" i="18"/>
  <c r="G86" i="18"/>
  <c r="G85" i="18"/>
  <c r="G84" i="18"/>
  <c r="I45" i="18"/>
  <c r="I46" i="18"/>
  <c r="I47" i="18"/>
  <c r="I48" i="18"/>
  <c r="I49" i="18"/>
  <c r="I50" i="18"/>
  <c r="I51" i="18"/>
  <c r="I52" i="18"/>
  <c r="I53" i="18"/>
  <c r="I74" i="18"/>
  <c r="I75" i="18"/>
  <c r="I76" i="18"/>
  <c r="I77" i="18"/>
  <c r="I78" i="18"/>
  <c r="I79" i="18"/>
  <c r="I80" i="18"/>
  <c r="I81" i="18"/>
  <c r="I82" i="18"/>
  <c r="I83" i="18"/>
  <c r="I44" i="18"/>
  <c r="H83" i="18"/>
  <c r="H82" i="18"/>
  <c r="H81" i="18"/>
  <c r="H80" i="18"/>
  <c r="H79" i="18"/>
  <c r="H78" i="18"/>
  <c r="H77" i="18"/>
  <c r="H76" i="18"/>
  <c r="H75" i="18"/>
  <c r="H74" i="18"/>
  <c r="H53" i="18"/>
  <c r="H52" i="18"/>
  <c r="H51" i="18"/>
  <c r="H50" i="18"/>
  <c r="H49" i="18"/>
  <c r="H48" i="18"/>
  <c r="H47" i="18"/>
  <c r="H46" i="18"/>
  <c r="H45" i="18"/>
  <c r="H44" i="18"/>
  <c r="CF171" i="18" l="1"/>
  <c r="CB171" i="18"/>
  <c r="BX171" i="18"/>
  <c r="BT171" i="18"/>
  <c r="CH171" i="18"/>
  <c r="CD171" i="18"/>
  <c r="BZ171" i="18"/>
  <c r="BV171" i="18"/>
  <c r="CC171" i="18"/>
  <c r="BU171" i="18"/>
  <c r="BY171" i="18"/>
  <c r="CE171" i="18"/>
  <c r="CI171" i="18"/>
  <c r="CA171" i="18"/>
  <c r="CG171" i="18"/>
  <c r="BW171" i="18"/>
  <c r="CH196" i="18"/>
  <c r="CD196" i="18"/>
  <c r="BZ196" i="18"/>
  <c r="BV196" i="18"/>
  <c r="CF196" i="18"/>
  <c r="CB196" i="18"/>
  <c r="BX196" i="18"/>
  <c r="BT196" i="18"/>
  <c r="CG196" i="18"/>
  <c r="BY196" i="18"/>
  <c r="CE196" i="18"/>
  <c r="BW196" i="18"/>
  <c r="CC196" i="18"/>
  <c r="BU196" i="18"/>
  <c r="CI196" i="18"/>
  <c r="CA196" i="18"/>
  <c r="CF173" i="18"/>
  <c r="CB173" i="18"/>
  <c r="BX173" i="18"/>
  <c r="BT173" i="18"/>
  <c r="CH173" i="18"/>
  <c r="CD173" i="18"/>
  <c r="BZ173" i="18"/>
  <c r="BV173" i="18"/>
  <c r="CC173" i="18"/>
  <c r="BU173" i="18"/>
  <c r="BY173" i="18"/>
  <c r="CE173" i="18"/>
  <c r="CI173" i="18"/>
  <c r="CA173" i="18"/>
  <c r="CG173" i="18"/>
  <c r="BW173" i="18"/>
  <c r="CH197" i="18"/>
  <c r="CD197" i="18"/>
  <c r="BZ197" i="18"/>
  <c r="BV197" i="18"/>
  <c r="CF197" i="18"/>
  <c r="CB197" i="18"/>
  <c r="BX197" i="18"/>
  <c r="BT197" i="18"/>
  <c r="CG197" i="18"/>
  <c r="BY197" i="18"/>
  <c r="CE197" i="18"/>
  <c r="BW197" i="18"/>
  <c r="CC197" i="18"/>
  <c r="BU197" i="18"/>
  <c r="CI197" i="18"/>
  <c r="CA197" i="18"/>
  <c r="CH201" i="18"/>
  <c r="CD201" i="18"/>
  <c r="BZ201" i="18"/>
  <c r="BV201" i="18"/>
  <c r="CF201" i="18"/>
  <c r="CB201" i="18"/>
  <c r="BX201" i="18"/>
  <c r="BT201" i="18"/>
  <c r="CG201" i="18"/>
  <c r="BY201" i="18"/>
  <c r="CE201" i="18"/>
  <c r="BW201" i="18"/>
  <c r="CC201" i="18"/>
  <c r="BU201" i="18"/>
  <c r="CI201" i="18"/>
  <c r="CA201" i="18"/>
  <c r="CH195" i="18"/>
  <c r="CD195" i="18"/>
  <c r="BZ195" i="18"/>
  <c r="BV195" i="18"/>
  <c r="CF195" i="18"/>
  <c r="CB195" i="18"/>
  <c r="BX195" i="18"/>
  <c r="BT195" i="18"/>
  <c r="CG195" i="18"/>
  <c r="BY195" i="18"/>
  <c r="CE195" i="18"/>
  <c r="BW195" i="18"/>
  <c r="CC195" i="18"/>
  <c r="BU195" i="18"/>
  <c r="CI195" i="18"/>
  <c r="CA195" i="18"/>
  <c r="CF172" i="18"/>
  <c r="CB172" i="18"/>
  <c r="BX172" i="18"/>
  <c r="BT172" i="18"/>
  <c r="CH172" i="18"/>
  <c r="CD172" i="18"/>
  <c r="BZ172" i="18"/>
  <c r="BV172" i="18"/>
  <c r="CC172" i="18"/>
  <c r="BU172" i="18"/>
  <c r="BY172" i="18"/>
  <c r="CE172" i="18"/>
  <c r="CI172" i="18"/>
  <c r="CA172" i="18"/>
  <c r="CG172" i="18"/>
  <c r="BW172" i="18"/>
  <c r="CH200" i="18"/>
  <c r="CD200" i="18"/>
  <c r="BZ200" i="18"/>
  <c r="BV200" i="18"/>
  <c r="CF200" i="18"/>
  <c r="CB200" i="18"/>
  <c r="BX200" i="18"/>
  <c r="BT200" i="18"/>
  <c r="CG200" i="18"/>
  <c r="BY200" i="18"/>
  <c r="CE200" i="18"/>
  <c r="BW200" i="18"/>
  <c r="CC200" i="18"/>
  <c r="BU200" i="18"/>
  <c r="CI200" i="18"/>
  <c r="CA200" i="18"/>
  <c r="CH194" i="18"/>
  <c r="CD194" i="18"/>
  <c r="BZ194" i="18"/>
  <c r="BV194" i="18"/>
  <c r="CF194" i="18"/>
  <c r="CB194" i="18"/>
  <c r="BX194" i="18"/>
  <c r="BT194" i="18"/>
  <c r="CG194" i="18"/>
  <c r="BY194" i="18"/>
  <c r="CE194" i="18"/>
  <c r="BW194" i="18"/>
  <c r="CC194" i="18"/>
  <c r="BU194" i="18"/>
  <c r="CI194" i="18"/>
  <c r="CA194" i="18"/>
  <c r="CH198" i="18"/>
  <c r="CD198" i="18"/>
  <c r="BZ198" i="18"/>
  <c r="BV198" i="18"/>
  <c r="CF198" i="18"/>
  <c r="CB198" i="18"/>
  <c r="BX198" i="18"/>
  <c r="BT198" i="18"/>
  <c r="CG198" i="18"/>
  <c r="BY198" i="18"/>
  <c r="CE198" i="18"/>
  <c r="BW198" i="18"/>
  <c r="CC198" i="18"/>
  <c r="BU198" i="18"/>
  <c r="CI198" i="18"/>
  <c r="CA198" i="18"/>
  <c r="CH202" i="18"/>
  <c r="CD202" i="18"/>
  <c r="BZ202" i="18"/>
  <c r="BV202" i="18"/>
  <c r="CF202" i="18"/>
  <c r="CB202" i="18"/>
  <c r="BX202" i="18"/>
  <c r="BT202" i="18"/>
  <c r="CG202" i="18"/>
  <c r="BY202" i="18"/>
  <c r="CE202" i="18"/>
  <c r="BW202" i="18"/>
  <c r="CC202" i="18"/>
  <c r="BU202" i="18"/>
  <c r="CI202" i="18"/>
  <c r="CA202" i="18"/>
  <c r="CH199" i="18"/>
  <c r="CD199" i="18"/>
  <c r="BZ199" i="18"/>
  <c r="BV199" i="18"/>
  <c r="CF199" i="18"/>
  <c r="CB199" i="18"/>
  <c r="BX199" i="18"/>
  <c r="BT199" i="18"/>
  <c r="CG199" i="18"/>
  <c r="BY199" i="18"/>
  <c r="CE199" i="18"/>
  <c r="BW199" i="18"/>
  <c r="CC199" i="18"/>
  <c r="BU199" i="18"/>
  <c r="CI199" i="18"/>
  <c r="CA199" i="18"/>
  <c r="S152" i="13"/>
  <c r="CN8" i="18"/>
  <c r="CR84" i="18"/>
  <c r="CN119" i="18"/>
  <c r="CQ114" i="18"/>
  <c r="CQ85" i="18"/>
  <c r="CN48" i="18"/>
  <c r="CQ81" i="18"/>
  <c r="CR88" i="18"/>
  <c r="CR49" i="18"/>
  <c r="CR39" i="18"/>
  <c r="CN9" i="18"/>
  <c r="CR5" i="18"/>
  <c r="CN77" i="18"/>
  <c r="CR81" i="18"/>
  <c r="CR114" i="18"/>
  <c r="CR45" i="18"/>
  <c r="CQ122" i="18"/>
  <c r="CQ5" i="18"/>
  <c r="CQ39" i="18"/>
  <c r="CR116" i="18"/>
  <c r="CR51" i="18"/>
  <c r="CQ80" i="18"/>
  <c r="CR75" i="18"/>
  <c r="CQ11" i="18"/>
  <c r="CR35" i="18"/>
  <c r="CQ9" i="18"/>
  <c r="CQ12" i="18"/>
  <c r="CQ38" i="18"/>
  <c r="CQ74" i="18"/>
  <c r="CQ46" i="18"/>
  <c r="CQ49" i="18"/>
  <c r="CQ77" i="18"/>
  <c r="CQ45" i="18"/>
  <c r="CR13" i="18"/>
  <c r="CN37" i="18"/>
  <c r="CQ53" i="18"/>
  <c r="CQ37" i="18"/>
  <c r="CQ13" i="18"/>
  <c r="CQ7" i="18"/>
  <c r="CQ92" i="18"/>
  <c r="CQ50" i="18"/>
  <c r="CQ8" i="18"/>
  <c r="CQ86" i="18"/>
  <c r="CQ119" i="18"/>
  <c r="CQ116" i="18"/>
  <c r="CQ93" i="18"/>
  <c r="CQ120" i="18"/>
  <c r="CQ121" i="18"/>
  <c r="CQ117" i="18"/>
  <c r="CQ89" i="18"/>
  <c r="CQ91" i="18"/>
  <c r="CQ88" i="18"/>
  <c r="CQ83" i="18"/>
  <c r="CQ76" i="18"/>
  <c r="CQ51" i="18"/>
  <c r="CQ43" i="18"/>
  <c r="CQ118" i="18"/>
  <c r="CQ41" i="18"/>
  <c r="CQ123" i="18"/>
  <c r="CQ87" i="18"/>
  <c r="CQ75" i="18"/>
  <c r="CR4" i="18"/>
  <c r="CQ35" i="18"/>
  <c r="CQ47" i="18"/>
  <c r="CQ79" i="18"/>
  <c r="CQ115" i="18"/>
  <c r="CD206" i="18"/>
  <c r="D14" i="22"/>
  <c r="E14" i="22"/>
  <c r="D15" i="22"/>
  <c r="C15" i="22"/>
  <c r="E15" i="22"/>
  <c r="CR38" i="18"/>
  <c r="CR52" i="18"/>
  <c r="CR76" i="18"/>
  <c r="CS39" i="18"/>
  <c r="S101" i="13"/>
  <c r="CS9" i="18"/>
  <c r="CR115" i="18"/>
  <c r="CR119" i="18"/>
  <c r="CN123" i="18"/>
  <c r="CN86" i="18"/>
  <c r="CR6" i="18"/>
  <c r="CS41" i="18"/>
  <c r="CL8" i="18"/>
  <c r="CR42" i="18"/>
  <c r="CS4" i="18"/>
  <c r="CN11" i="18"/>
  <c r="CS36" i="18"/>
  <c r="CN34" i="18"/>
  <c r="CN43" i="18"/>
  <c r="CR43" i="18"/>
  <c r="CR8" i="18"/>
  <c r="CS92" i="18"/>
  <c r="CN85" i="18"/>
  <c r="CS114" i="18"/>
  <c r="CL89" i="18"/>
  <c r="CR87" i="18"/>
  <c r="CR122" i="18"/>
  <c r="CL118" i="18"/>
  <c r="CN89" i="18"/>
  <c r="CS122" i="18"/>
  <c r="CN115" i="18"/>
  <c r="CS85" i="18"/>
  <c r="CL123" i="18"/>
  <c r="CS117" i="18"/>
  <c r="CS115" i="18"/>
  <c r="CR77" i="18"/>
  <c r="CR53" i="18"/>
  <c r="CN51" i="18"/>
  <c r="CR79" i="18"/>
  <c r="CL9" i="18"/>
  <c r="CL87" i="18"/>
  <c r="CS35" i="18"/>
  <c r="CL93" i="18"/>
  <c r="CR123" i="18"/>
  <c r="CN121" i="18"/>
  <c r="CS80" i="18"/>
  <c r="CR36" i="18"/>
  <c r="CR11" i="18"/>
  <c r="CJ36" i="18"/>
  <c r="CL35" i="18"/>
  <c r="CN87" i="18"/>
  <c r="CS43" i="18"/>
  <c r="CR34" i="18"/>
  <c r="CL5" i="18"/>
  <c r="CN120" i="18"/>
  <c r="CJ41" i="18"/>
  <c r="CS123" i="18"/>
  <c r="CN91" i="18"/>
  <c r="CS87" i="18"/>
  <c r="CO207" i="18"/>
  <c r="CN7" i="18"/>
  <c r="CL43" i="18"/>
  <c r="CR7" i="18"/>
  <c r="CR9" i="18"/>
  <c r="CR37" i="18"/>
  <c r="CF206" i="18"/>
  <c r="CR40" i="18"/>
  <c r="CS42" i="18"/>
  <c r="CN13" i="18"/>
  <c r="CR86" i="18"/>
  <c r="CS10" i="18"/>
  <c r="CL7" i="18"/>
  <c r="CS118" i="18"/>
  <c r="CS86" i="18"/>
  <c r="CR85" i="18"/>
  <c r="CR121" i="18"/>
  <c r="CR91" i="18"/>
  <c r="CR12" i="18"/>
  <c r="CS11" i="18"/>
  <c r="CR10" i="18"/>
  <c r="CL40" i="18"/>
  <c r="CL121" i="18"/>
  <c r="CJ12" i="18"/>
  <c r="CN40" i="18"/>
  <c r="CL36" i="18"/>
  <c r="CL13" i="18"/>
  <c r="S76" i="13"/>
  <c r="CN83" i="18"/>
  <c r="CS51" i="18"/>
  <c r="CL120" i="18"/>
  <c r="CL114" i="18"/>
  <c r="CN88" i="18"/>
  <c r="CL116" i="18"/>
  <c r="CJ39" i="18"/>
  <c r="CL85" i="18"/>
  <c r="CS83" i="18"/>
  <c r="CN53" i="18"/>
  <c r="CS52" i="18"/>
  <c r="CN75" i="18"/>
  <c r="CL34" i="18"/>
  <c r="CI206" i="18"/>
  <c r="CL38" i="18"/>
  <c r="CL41" i="18"/>
  <c r="CS37" i="18"/>
  <c r="CS13" i="18"/>
  <c r="CS34" i="18"/>
  <c r="CJ42" i="18"/>
  <c r="CN42" i="18"/>
  <c r="CN10" i="18"/>
  <c r="CS7" i="18"/>
  <c r="CL122" i="18"/>
  <c r="CS120" i="18"/>
  <c r="CN116" i="18"/>
  <c r="CR117" i="18"/>
  <c r="CS93" i="18"/>
  <c r="CS91" i="18"/>
  <c r="CS89" i="18"/>
  <c r="CN118" i="18"/>
  <c r="CR120" i="18"/>
  <c r="CS116" i="18"/>
  <c r="CR93" i="18"/>
  <c r="CN122" i="18"/>
  <c r="CN114" i="18"/>
  <c r="CL117" i="18"/>
  <c r="CN93" i="18"/>
  <c r="CR89" i="18"/>
  <c r="CS121" i="18"/>
  <c r="CL119" i="18"/>
  <c r="CN117" i="18"/>
  <c r="CP207" i="18"/>
  <c r="CR47" i="18"/>
  <c r="CS77" i="18"/>
  <c r="CS82" i="18"/>
  <c r="CR48" i="18"/>
  <c r="CH207" i="18"/>
  <c r="CN49" i="18"/>
  <c r="CM206" i="18"/>
  <c r="CJ7" i="18"/>
  <c r="CN6" i="18"/>
  <c r="CJ34" i="18"/>
  <c r="CJ9" i="18"/>
  <c r="CN35" i="18"/>
  <c r="CN12" i="18"/>
  <c r="CN38" i="18"/>
  <c r="BZ206" i="18"/>
  <c r="CL37" i="18"/>
  <c r="CK6" i="18"/>
  <c r="CJ40" i="18"/>
  <c r="CJ43" i="18"/>
  <c r="CJ8" i="18"/>
  <c r="CN5" i="18"/>
  <c r="CS8" i="18"/>
  <c r="CS5" i="18"/>
  <c r="CO206" i="18"/>
  <c r="CL39" i="18"/>
  <c r="CJ38" i="18"/>
  <c r="CS38" i="18"/>
  <c r="CS6" i="18"/>
  <c r="CL11" i="18"/>
  <c r="BV206" i="18"/>
  <c r="CS12" i="18"/>
  <c r="CL42" i="18"/>
  <c r="CL10" i="18"/>
  <c r="BW206" i="18"/>
  <c r="CL4" i="18"/>
  <c r="CE206" i="18"/>
  <c r="BT206" i="18"/>
  <c r="CA206" i="18"/>
  <c r="CJ10" i="18"/>
  <c r="CJ5" i="18"/>
  <c r="CG206" i="18"/>
  <c r="CN39" i="18"/>
  <c r="CL12" i="18"/>
  <c r="CJ11" i="18"/>
  <c r="CH206" i="18"/>
  <c r="CJ13" i="18"/>
  <c r="BX206" i="18"/>
  <c r="CJ37" i="18"/>
  <c r="CS40" i="18"/>
  <c r="CR41" i="18"/>
  <c r="CN36" i="18"/>
  <c r="CS44" i="18"/>
  <c r="CN81" i="18"/>
  <c r="CS75" i="18"/>
  <c r="CN50" i="18"/>
  <c r="CF207" i="18"/>
  <c r="BW207" i="18"/>
  <c r="CS48" i="18"/>
  <c r="CR74" i="18"/>
  <c r="CS50" i="18"/>
  <c r="CR80" i="18"/>
  <c r="CS74" i="18"/>
  <c r="CI207" i="18"/>
  <c r="CR82" i="18"/>
  <c r="CN78" i="18"/>
  <c r="CN52" i="18"/>
  <c r="CR44" i="18"/>
  <c r="CS47" i="18"/>
  <c r="CN45" i="18"/>
  <c r="CS49" i="18"/>
  <c r="CN47" i="18"/>
  <c r="CM207" i="18"/>
  <c r="CS79" i="18"/>
  <c r="CS81" i="18"/>
  <c r="CN79" i="18"/>
  <c r="CS53" i="18"/>
  <c r="CN80" i="18"/>
  <c r="CS46" i="18"/>
  <c r="CS45" i="18"/>
  <c r="CR83" i="18"/>
  <c r="CN74" i="18"/>
  <c r="CR78" i="18"/>
  <c r="CN44" i="18"/>
  <c r="CR46" i="18"/>
  <c r="BY207" i="18"/>
  <c r="CE207" i="18"/>
  <c r="CR50" i="18"/>
  <c r="CS76" i="18"/>
  <c r="CS78" i="18"/>
  <c r="CN82" i="18"/>
  <c r="BU207" i="18"/>
  <c r="CN46" i="18"/>
  <c r="CA207" i="18"/>
  <c r="CB207" i="18"/>
  <c r="CG207" i="18"/>
  <c r="BX207" i="18"/>
  <c r="CN84" i="18"/>
  <c r="CL115" i="18"/>
  <c r="CN92" i="18"/>
  <c r="CS88" i="18"/>
  <c r="CL92" i="18"/>
  <c r="CR118" i="18"/>
  <c r="CR92" i="18"/>
  <c r="CS119" i="18"/>
  <c r="BX208" i="18"/>
  <c r="CK122" i="18"/>
  <c r="CL88" i="18"/>
  <c r="BX124" i="18"/>
  <c r="CA128" i="18"/>
  <c r="CI128" i="18"/>
  <c r="CE128" i="18"/>
  <c r="BZ128" i="18"/>
  <c r="CB128" i="18"/>
  <c r="CH128" i="18"/>
  <c r="BX128" i="18"/>
  <c r="CF132" i="18"/>
  <c r="CA132" i="18"/>
  <c r="CI132" i="18"/>
  <c r="CE132" i="18"/>
  <c r="BZ132" i="18"/>
  <c r="BV132" i="18"/>
  <c r="CH132" i="18"/>
  <c r="BX132" i="18"/>
  <c r="CC132" i="18"/>
  <c r="CQ132" i="18" s="1"/>
  <c r="BU132" i="18"/>
  <c r="CB132" i="18"/>
  <c r="BT132" i="18"/>
  <c r="CK132" i="18" s="1"/>
  <c r="CH160" i="18"/>
  <c r="CC160" i="18"/>
  <c r="CQ160" i="18" s="1"/>
  <c r="BY160" i="18"/>
  <c r="BU160" i="18"/>
  <c r="CF160" i="18"/>
  <c r="BZ160" i="18"/>
  <c r="BT160" i="18"/>
  <c r="CK160" i="18" s="1"/>
  <c r="CE160" i="18"/>
  <c r="BX160" i="18"/>
  <c r="CB160" i="18"/>
  <c r="CA160" i="18"/>
  <c r="CI160" i="18"/>
  <c r="BV160" i="18"/>
  <c r="CG125" i="18"/>
  <c r="CB125" i="18"/>
  <c r="BX125" i="18"/>
  <c r="CF125" i="18"/>
  <c r="CE125" i="18"/>
  <c r="CI125" i="18"/>
  <c r="CB129" i="18"/>
  <c r="BX129" i="18"/>
  <c r="CF129" i="18"/>
  <c r="CA129" i="18"/>
  <c r="CE129" i="18"/>
  <c r="CC129" i="18"/>
  <c r="CQ129" i="18" s="1"/>
  <c r="CH129" i="18"/>
  <c r="CB153" i="18"/>
  <c r="BX153" i="18"/>
  <c r="BT153" i="18"/>
  <c r="CF153" i="18"/>
  <c r="CA153" i="18"/>
  <c r="CI153" i="18"/>
  <c r="BZ153" i="18"/>
  <c r="CH153" i="18"/>
  <c r="BY153" i="18"/>
  <c r="CE153" i="18"/>
  <c r="BV153" i="18"/>
  <c r="CC153" i="18"/>
  <c r="CQ153" i="18" s="1"/>
  <c r="BU153" i="18"/>
  <c r="CI157" i="18"/>
  <c r="CE157" i="18"/>
  <c r="BZ157" i="18"/>
  <c r="BV157" i="18"/>
  <c r="CH157" i="18"/>
  <c r="CB157" i="18"/>
  <c r="CA157" i="18"/>
  <c r="BU157" i="18"/>
  <c r="CF157" i="18"/>
  <c r="BT157" i="18"/>
  <c r="CC157" i="18"/>
  <c r="CQ157" i="18" s="1"/>
  <c r="BY157" i="18"/>
  <c r="BX157" i="18"/>
  <c r="CI161" i="18"/>
  <c r="CE161" i="18"/>
  <c r="BZ161" i="18"/>
  <c r="BV161" i="18"/>
  <c r="CA161" i="18"/>
  <c r="BU161" i="18"/>
  <c r="CF161" i="18"/>
  <c r="BY161" i="18"/>
  <c r="BT161" i="18"/>
  <c r="BX161" i="18"/>
  <c r="CH161" i="18"/>
  <c r="CC161" i="18"/>
  <c r="CQ161" i="18" s="1"/>
  <c r="CB161" i="18"/>
  <c r="CH126" i="18"/>
  <c r="BY126" i="18"/>
  <c r="CI126" i="18"/>
  <c r="CB126" i="18"/>
  <c r="CA126" i="18"/>
  <c r="CF126" i="18"/>
  <c r="CE126" i="18"/>
  <c r="BX126" i="18"/>
  <c r="CH130" i="18"/>
  <c r="CC130" i="18"/>
  <c r="CQ130" i="18" s="1"/>
  <c r="BY130" i="18"/>
  <c r="CB130" i="18"/>
  <c r="BX130" i="18"/>
  <c r="BT130" i="18"/>
  <c r="CF130" i="18"/>
  <c r="CA130" i="18"/>
  <c r="CI130" i="18"/>
  <c r="BZ130" i="18"/>
  <c r="CH154" i="18"/>
  <c r="CC154" i="18"/>
  <c r="CQ154" i="18" s="1"/>
  <c r="BY154" i="18"/>
  <c r="BU154" i="18"/>
  <c r="CB154" i="18"/>
  <c r="BX154" i="18"/>
  <c r="BT154" i="18"/>
  <c r="CA154" i="18"/>
  <c r="CI154" i="18"/>
  <c r="BZ154" i="18"/>
  <c r="CF154" i="18"/>
  <c r="CE154" i="18"/>
  <c r="BV154" i="18"/>
  <c r="CF158" i="18"/>
  <c r="CA158" i="18"/>
  <c r="CI158" i="18"/>
  <c r="CC158" i="18"/>
  <c r="CQ158" i="18" s="1"/>
  <c r="BX158" i="18"/>
  <c r="CH158" i="18"/>
  <c r="CB158" i="18"/>
  <c r="BZ158" i="18"/>
  <c r="BY158" i="18"/>
  <c r="BU158" i="18"/>
  <c r="CE158" i="18"/>
  <c r="BT158" i="18"/>
  <c r="CK158" i="18" s="1"/>
  <c r="CF162" i="18"/>
  <c r="CA162" i="18"/>
  <c r="CH162" i="18"/>
  <c r="CB162" i="18"/>
  <c r="BV162" i="18"/>
  <c r="BZ162" i="18"/>
  <c r="BU162" i="18"/>
  <c r="CE162" i="18"/>
  <c r="BT162" i="18"/>
  <c r="CK162" i="18" s="1"/>
  <c r="CC162" i="18"/>
  <c r="CQ162" i="18" s="1"/>
  <c r="BY162" i="18"/>
  <c r="CI162" i="18"/>
  <c r="BX162" i="18"/>
  <c r="CI127" i="18"/>
  <c r="CH127" i="18"/>
  <c r="CC127" i="18"/>
  <c r="CQ127" i="18" s="1"/>
  <c r="BX127" i="18"/>
  <c r="CB127" i="18"/>
  <c r="CA127" i="18"/>
  <c r="CF127" i="18"/>
  <c r="BY127" i="18"/>
  <c r="BT127" i="18"/>
  <c r="CK127" i="18" s="1"/>
  <c r="CI131" i="18"/>
  <c r="CE131" i="18"/>
  <c r="BZ131" i="18"/>
  <c r="BV131" i="18"/>
  <c r="CH131" i="18"/>
  <c r="CC131" i="18"/>
  <c r="CQ131" i="18" s="1"/>
  <c r="BY131" i="18"/>
  <c r="BU131" i="18"/>
  <c r="BX131" i="18"/>
  <c r="CF131" i="18"/>
  <c r="CB131" i="18"/>
  <c r="BT131" i="18"/>
  <c r="CA131" i="18"/>
  <c r="CG155" i="18"/>
  <c r="CB155" i="18"/>
  <c r="CF155" i="18"/>
  <c r="BZ155" i="18"/>
  <c r="BV155" i="18"/>
  <c r="CE155" i="18"/>
  <c r="BY155" i="18"/>
  <c r="BU155" i="18"/>
  <c r="CC155" i="18"/>
  <c r="CQ155" i="18" s="1"/>
  <c r="BT155" i="18"/>
  <c r="CK155" i="18" s="1"/>
  <c r="CA155" i="18"/>
  <c r="CI155" i="18"/>
  <c r="BX155" i="18"/>
  <c r="CH155" i="18"/>
  <c r="CB159" i="18"/>
  <c r="BX159" i="18"/>
  <c r="BT159" i="18"/>
  <c r="CE159" i="18"/>
  <c r="BY159" i="18"/>
  <c r="CI159" i="18"/>
  <c r="CC159" i="18"/>
  <c r="CQ159" i="18" s="1"/>
  <c r="CH159" i="18"/>
  <c r="BV159" i="18"/>
  <c r="CF159" i="18"/>
  <c r="BU159" i="18"/>
  <c r="CA159" i="18"/>
  <c r="BZ159" i="18"/>
  <c r="CB163" i="18"/>
  <c r="BX163" i="18"/>
  <c r="BT163" i="18"/>
  <c r="CI163" i="18"/>
  <c r="CC163" i="18"/>
  <c r="CQ163" i="18" s="1"/>
  <c r="CH163" i="18"/>
  <c r="CA163" i="18"/>
  <c r="BZ163" i="18"/>
  <c r="CF163" i="18"/>
  <c r="BU163" i="18"/>
  <c r="CE163" i="18"/>
  <c r="CH156" i="18"/>
  <c r="CC156" i="18"/>
  <c r="CQ156" i="18" s="1"/>
  <c r="BY156" i="18"/>
  <c r="BU156" i="18"/>
  <c r="CA156" i="18"/>
  <c r="BV156" i="18"/>
  <c r="CF156" i="18"/>
  <c r="BZ156" i="18"/>
  <c r="BT156" i="18"/>
  <c r="BX156" i="18"/>
  <c r="CI156" i="18"/>
  <c r="CE156" i="18"/>
  <c r="CB156" i="18"/>
  <c r="S146" i="13"/>
  <c r="S138" i="13"/>
  <c r="S130" i="13"/>
  <c r="S122" i="13"/>
  <c r="S114" i="13"/>
  <c r="S106" i="13"/>
  <c r="S97" i="13"/>
  <c r="S89" i="13"/>
  <c r="S81" i="13"/>
  <c r="S77" i="13"/>
  <c r="S72" i="13"/>
  <c r="S148" i="13"/>
  <c r="S144" i="13"/>
  <c r="S140" i="13"/>
  <c r="S136" i="13"/>
  <c r="S132" i="13"/>
  <c r="S128" i="13"/>
  <c r="S124" i="13"/>
  <c r="S120" i="13"/>
  <c r="S116" i="13"/>
  <c r="S112" i="13"/>
  <c r="S108" i="13"/>
  <c r="S104" i="13"/>
  <c r="S99" i="13"/>
  <c r="S95" i="13"/>
  <c r="S91" i="13"/>
  <c r="S87" i="13"/>
  <c r="S83" i="13"/>
  <c r="S79" i="13"/>
  <c r="S75" i="13"/>
  <c r="S151" i="13"/>
  <c r="S147" i="13"/>
  <c r="S143" i="13"/>
  <c r="S139" i="13"/>
  <c r="S135" i="13"/>
  <c r="S131" i="13"/>
  <c r="S127" i="13"/>
  <c r="S123" i="13"/>
  <c r="S119" i="13"/>
  <c r="S115" i="13"/>
  <c r="S111" i="13"/>
  <c r="S107" i="13"/>
  <c r="S103" i="13"/>
  <c r="S98" i="13"/>
  <c r="S94" i="13"/>
  <c r="S90" i="13"/>
  <c r="S86" i="13"/>
  <c r="S82" i="13"/>
  <c r="S78" i="13"/>
  <c r="S74" i="13"/>
  <c r="S150" i="13"/>
  <c r="S142" i="13"/>
  <c r="S134" i="13"/>
  <c r="S126" i="13"/>
  <c r="S118" i="13"/>
  <c r="S110" i="13"/>
  <c r="S102" i="13"/>
  <c r="S93" i="13"/>
  <c r="U51" i="15" s="1"/>
  <c r="S85" i="13"/>
  <c r="S73" i="13"/>
  <c r="S149" i="13"/>
  <c r="S145" i="13"/>
  <c r="S141" i="13"/>
  <c r="S137" i="13"/>
  <c r="S133" i="13"/>
  <c r="S129" i="13"/>
  <c r="S125" i="13"/>
  <c r="S121" i="13"/>
  <c r="S117" i="13"/>
  <c r="S113" i="13"/>
  <c r="S109" i="13"/>
  <c r="S105" i="13"/>
  <c r="S100" i="13"/>
  <c r="S96" i="13"/>
  <c r="S92" i="13"/>
  <c r="S88" i="13"/>
  <c r="S84" i="13"/>
  <c r="S80" i="13"/>
  <c r="CM208" i="18"/>
  <c r="C169" i="15"/>
  <c r="C149" i="15"/>
  <c r="C129" i="15"/>
  <c r="C109" i="15"/>
  <c r="F53" i="15"/>
  <c r="F55" i="15"/>
  <c r="F59" i="15"/>
  <c r="F60" i="15"/>
  <c r="F61" i="15"/>
  <c r="F62" i="15"/>
  <c r="F63" i="15"/>
  <c r="F64" i="15"/>
  <c r="F65" i="15"/>
  <c r="F67" i="15"/>
  <c r="F68" i="15"/>
  <c r="F69" i="15"/>
  <c r="F70" i="15"/>
  <c r="F71" i="15"/>
  <c r="F72" i="15"/>
  <c r="F26" i="15"/>
  <c r="F27" i="15"/>
  <c r="F28" i="15"/>
  <c r="F31" i="15"/>
  <c r="F32" i="15"/>
  <c r="F33" i="15"/>
  <c r="F34" i="15"/>
  <c r="F35" i="15"/>
  <c r="F36" i="15"/>
  <c r="F37" i="15"/>
  <c r="F38" i="15"/>
  <c r="F25" i="15"/>
  <c r="H64" i="15"/>
  <c r="H61" i="15"/>
  <c r="H59" i="15"/>
  <c r="H48" i="15"/>
  <c r="H36" i="15"/>
  <c r="H33" i="15"/>
  <c r="H28" i="15"/>
  <c r="H25" i="15"/>
  <c r="L6" i="15"/>
  <c r="L10" i="26" s="1"/>
  <c r="L7" i="15"/>
  <c r="L8" i="15"/>
  <c r="L12" i="26" s="1"/>
  <c r="L9" i="15"/>
  <c r="L13" i="26" s="1"/>
  <c r="L10" i="15"/>
  <c r="L11" i="15"/>
  <c r="L15" i="26" s="1"/>
  <c r="L12" i="15"/>
  <c r="L13" i="15"/>
  <c r="L14" i="15"/>
  <c r="L18" i="26" s="1"/>
  <c r="L16" i="15"/>
  <c r="L20" i="26" s="1"/>
  <c r="L17" i="15"/>
  <c r="L18" i="15"/>
  <c r="L22" i="26" s="1"/>
  <c r="L19" i="15"/>
  <c r="L20" i="15"/>
  <c r="L5" i="15"/>
  <c r="L9" i="26" s="1"/>
  <c r="CE178" i="15" l="1"/>
  <c r="CA178" i="15"/>
  <c r="BW178" i="15"/>
  <c r="BS178" i="15"/>
  <c r="BO178" i="15"/>
  <c r="BK178" i="15"/>
  <c r="BG178" i="15"/>
  <c r="BC178" i="15"/>
  <c r="AY178" i="15"/>
  <c r="AU178" i="15"/>
  <c r="AQ178" i="15"/>
  <c r="AM178" i="15"/>
  <c r="AI178" i="15"/>
  <c r="AE178" i="15"/>
  <c r="AA178" i="15"/>
  <c r="W178" i="15"/>
  <c r="S178" i="15"/>
  <c r="O178" i="15"/>
  <c r="K178" i="15"/>
  <c r="G178" i="15"/>
  <c r="CD178" i="15"/>
  <c r="BZ178" i="15"/>
  <c r="BV178" i="15"/>
  <c r="BR178" i="15"/>
  <c r="BN178" i="15"/>
  <c r="BJ178" i="15"/>
  <c r="BF178" i="15"/>
  <c r="BB178" i="15"/>
  <c r="AX178" i="15"/>
  <c r="AT178" i="15"/>
  <c r="AP178" i="15"/>
  <c r="AL178" i="15"/>
  <c r="AH178" i="15"/>
  <c r="AD178" i="15"/>
  <c r="Z178" i="15"/>
  <c r="V178" i="15"/>
  <c r="R178" i="15"/>
  <c r="N178" i="15"/>
  <c r="J178" i="15"/>
  <c r="F178" i="15"/>
  <c r="CC178" i="15"/>
  <c r="BY178" i="15"/>
  <c r="BU178" i="15"/>
  <c r="BQ178" i="15"/>
  <c r="BM178" i="15"/>
  <c r="BI178" i="15"/>
  <c r="BE178" i="15"/>
  <c r="BA178" i="15"/>
  <c r="AW178" i="15"/>
  <c r="AS178" i="15"/>
  <c r="AO178" i="15"/>
  <c r="AK178" i="15"/>
  <c r="AG178" i="15"/>
  <c r="AC178" i="15"/>
  <c r="Y178" i="15"/>
  <c r="U178" i="15"/>
  <c r="Q178" i="15"/>
  <c r="M178" i="15"/>
  <c r="E178" i="15"/>
  <c r="CB178" i="15"/>
  <c r="BX178" i="15"/>
  <c r="BT178" i="15"/>
  <c r="BP178" i="15"/>
  <c r="BL178" i="15"/>
  <c r="BH178" i="15"/>
  <c r="BD178" i="15"/>
  <c r="AZ178" i="15"/>
  <c r="AV178" i="15"/>
  <c r="AR178" i="15"/>
  <c r="AN178" i="15"/>
  <c r="AJ178" i="15"/>
  <c r="AF178" i="15"/>
  <c r="AB178" i="15"/>
  <c r="X178" i="15"/>
  <c r="T178" i="15"/>
  <c r="P178" i="15"/>
  <c r="L178" i="15"/>
  <c r="H178" i="15"/>
  <c r="D178" i="15"/>
  <c r="C178" i="15"/>
  <c r="CC158" i="15"/>
  <c r="BY158" i="15"/>
  <c r="BU158" i="15"/>
  <c r="BQ158" i="15"/>
  <c r="BM158" i="15"/>
  <c r="BI158" i="15"/>
  <c r="BE158" i="15"/>
  <c r="BA158" i="15"/>
  <c r="AW158" i="15"/>
  <c r="AS158" i="15"/>
  <c r="AO158" i="15"/>
  <c r="AK158" i="15"/>
  <c r="AG158" i="15"/>
  <c r="AC158" i="15"/>
  <c r="Y158" i="15"/>
  <c r="U158" i="15"/>
  <c r="Q158" i="15"/>
  <c r="M158" i="15"/>
  <c r="E158" i="15"/>
  <c r="CB158" i="15"/>
  <c r="BX158" i="15"/>
  <c r="BT158" i="15"/>
  <c r="BP158" i="15"/>
  <c r="BL158" i="15"/>
  <c r="BH158" i="15"/>
  <c r="BD158" i="15"/>
  <c r="AZ158" i="15"/>
  <c r="AV158" i="15"/>
  <c r="AR158" i="15"/>
  <c r="AN158" i="15"/>
  <c r="AJ158" i="15"/>
  <c r="AF158" i="15"/>
  <c r="AB158" i="15"/>
  <c r="X158" i="15"/>
  <c r="T158" i="15"/>
  <c r="P158" i="15"/>
  <c r="L158" i="15"/>
  <c r="H158" i="15"/>
  <c r="D158" i="15"/>
  <c r="CE158" i="15"/>
  <c r="CA158" i="15"/>
  <c r="BW158" i="15"/>
  <c r="BS158" i="15"/>
  <c r="BO158" i="15"/>
  <c r="BK158" i="15"/>
  <c r="BG158" i="15"/>
  <c r="BC158" i="15"/>
  <c r="AY158" i="15"/>
  <c r="AU158" i="15"/>
  <c r="AQ158" i="15"/>
  <c r="AM158" i="15"/>
  <c r="AI158" i="15"/>
  <c r="AE158" i="15"/>
  <c r="AA158" i="15"/>
  <c r="W158" i="15"/>
  <c r="S158" i="15"/>
  <c r="O158" i="15"/>
  <c r="K158" i="15"/>
  <c r="G158" i="15"/>
  <c r="CD158" i="15"/>
  <c r="BZ158" i="15"/>
  <c r="BV158" i="15"/>
  <c r="BR158" i="15"/>
  <c r="BN158" i="15"/>
  <c r="BJ158" i="15"/>
  <c r="BF158" i="15"/>
  <c r="BB158" i="15"/>
  <c r="AX158" i="15"/>
  <c r="AT158" i="15"/>
  <c r="AP158" i="15"/>
  <c r="AL158" i="15"/>
  <c r="AH158" i="15"/>
  <c r="AD158" i="15"/>
  <c r="Z158" i="15"/>
  <c r="V158" i="15"/>
  <c r="R158" i="15"/>
  <c r="N158" i="15"/>
  <c r="J158" i="15"/>
  <c r="F158" i="15"/>
  <c r="CC138" i="15"/>
  <c r="BY138" i="15"/>
  <c r="BU138" i="15"/>
  <c r="BQ138" i="15"/>
  <c r="BM138" i="15"/>
  <c r="BI138" i="15"/>
  <c r="BE138" i="15"/>
  <c r="BA138" i="15"/>
  <c r="AW138" i="15"/>
  <c r="C158" i="15"/>
  <c r="CB138" i="15"/>
  <c r="BX138" i="15"/>
  <c r="BT138" i="15"/>
  <c r="BP138" i="15"/>
  <c r="BL138" i="15"/>
  <c r="BH138" i="15"/>
  <c r="BD138" i="15"/>
  <c r="AZ138" i="15"/>
  <c r="CE138" i="15"/>
  <c r="CA138" i="15"/>
  <c r="BW138" i="15"/>
  <c r="BS138" i="15"/>
  <c r="BO138" i="15"/>
  <c r="BK138" i="15"/>
  <c r="BG138" i="15"/>
  <c r="BC138" i="15"/>
  <c r="AY138" i="15"/>
  <c r="AU138" i="15"/>
  <c r="AQ138" i="15"/>
  <c r="CD138" i="15"/>
  <c r="BZ138" i="15"/>
  <c r="BV138" i="15"/>
  <c r="BR138" i="15"/>
  <c r="BN138" i="15"/>
  <c r="BJ138" i="15"/>
  <c r="BF138" i="15"/>
  <c r="BB138" i="15"/>
  <c r="AX138" i="15"/>
  <c r="AT138" i="15"/>
  <c r="AP138" i="15"/>
  <c r="AL138" i="15"/>
  <c r="AH138" i="15"/>
  <c r="AD138" i="15"/>
  <c r="Z138" i="15"/>
  <c r="V138" i="15"/>
  <c r="R138" i="15"/>
  <c r="N138" i="15"/>
  <c r="J138" i="15"/>
  <c r="AV138" i="15"/>
  <c r="AN138" i="15"/>
  <c r="AI138" i="15"/>
  <c r="AC138" i="15"/>
  <c r="X138" i="15"/>
  <c r="S138" i="15"/>
  <c r="M138" i="15"/>
  <c r="H138" i="15"/>
  <c r="D138" i="15"/>
  <c r="C138" i="15"/>
  <c r="CB118" i="15"/>
  <c r="BX118" i="15"/>
  <c r="BT118" i="15"/>
  <c r="BP118" i="15"/>
  <c r="BL118" i="15"/>
  <c r="BH118" i="15"/>
  <c r="BD118" i="15"/>
  <c r="AZ118" i="15"/>
  <c r="AV118" i="15"/>
  <c r="AR118" i="15"/>
  <c r="AN118" i="15"/>
  <c r="AJ118" i="15"/>
  <c r="AF118" i="15"/>
  <c r="AB118" i="15"/>
  <c r="X118" i="15"/>
  <c r="T118" i="15"/>
  <c r="P118" i="15"/>
  <c r="L118" i="15"/>
  <c r="H118" i="15"/>
  <c r="D118" i="15"/>
  <c r="C118" i="15"/>
  <c r="AS138" i="15"/>
  <c r="AM138" i="15"/>
  <c r="AG138" i="15"/>
  <c r="AB138" i="15"/>
  <c r="W138" i="15"/>
  <c r="Q138" i="15"/>
  <c r="L138" i="15"/>
  <c r="G138" i="15"/>
  <c r="CE118" i="15"/>
  <c r="CA118" i="15"/>
  <c r="BW118" i="15"/>
  <c r="BS118" i="15"/>
  <c r="BO118" i="15"/>
  <c r="BK118" i="15"/>
  <c r="BG118" i="15"/>
  <c r="BC118" i="15"/>
  <c r="AY118" i="15"/>
  <c r="AU118" i="15"/>
  <c r="AQ118" i="15"/>
  <c r="AM118" i="15"/>
  <c r="AI118" i="15"/>
  <c r="AE118" i="15"/>
  <c r="AA118" i="15"/>
  <c r="W118" i="15"/>
  <c r="S118" i="15"/>
  <c r="O118" i="15"/>
  <c r="K118" i="15"/>
  <c r="G118" i="15"/>
  <c r="AR138" i="15"/>
  <c r="AK138" i="15"/>
  <c r="AF138" i="15"/>
  <c r="AA138" i="15"/>
  <c r="U138" i="15"/>
  <c r="P138" i="15"/>
  <c r="K138" i="15"/>
  <c r="F138" i="15"/>
  <c r="CD118" i="15"/>
  <c r="BZ118" i="15"/>
  <c r="BV118" i="15"/>
  <c r="BR118" i="15"/>
  <c r="BN118" i="15"/>
  <c r="BJ118" i="15"/>
  <c r="BF118" i="15"/>
  <c r="BB118" i="15"/>
  <c r="AX118" i="15"/>
  <c r="AT118" i="15"/>
  <c r="AP118" i="15"/>
  <c r="AL118" i="15"/>
  <c r="AH118" i="15"/>
  <c r="AD118" i="15"/>
  <c r="Z118" i="15"/>
  <c r="V118" i="15"/>
  <c r="R118" i="15"/>
  <c r="N118" i="15"/>
  <c r="J118" i="15"/>
  <c r="F118" i="15"/>
  <c r="AO138" i="15"/>
  <c r="AJ138" i="15"/>
  <c r="AE138" i="15"/>
  <c r="Y138" i="15"/>
  <c r="T138" i="15"/>
  <c r="O138" i="15"/>
  <c r="E138" i="15"/>
  <c r="CC118" i="15"/>
  <c r="BY118" i="15"/>
  <c r="BU118" i="15"/>
  <c r="BQ118" i="15"/>
  <c r="BM118" i="15"/>
  <c r="BI118" i="15"/>
  <c r="BE118" i="15"/>
  <c r="BA118" i="15"/>
  <c r="AW118" i="15"/>
  <c r="AS118" i="15"/>
  <c r="AO118" i="15"/>
  <c r="AK118" i="15"/>
  <c r="AG118" i="15"/>
  <c r="AC118" i="15"/>
  <c r="Y118" i="15"/>
  <c r="U118" i="15"/>
  <c r="Q118" i="15"/>
  <c r="M118" i="15"/>
  <c r="E118" i="15"/>
  <c r="CB181" i="15"/>
  <c r="BX181" i="15"/>
  <c r="BT181" i="15"/>
  <c r="BP181" i="15"/>
  <c r="BL181" i="15"/>
  <c r="BH181" i="15"/>
  <c r="BD181" i="15"/>
  <c r="AZ181" i="15"/>
  <c r="AV181" i="15"/>
  <c r="AR181" i="15"/>
  <c r="AN181" i="15"/>
  <c r="AJ181" i="15"/>
  <c r="AF181" i="15"/>
  <c r="AB181" i="15"/>
  <c r="X181" i="15"/>
  <c r="T181" i="15"/>
  <c r="P181" i="15"/>
  <c r="L181" i="15"/>
  <c r="H181" i="15"/>
  <c r="D181" i="15"/>
  <c r="CE181" i="15"/>
  <c r="CA181" i="15"/>
  <c r="BW181" i="15"/>
  <c r="BS181" i="15"/>
  <c r="BO181" i="15"/>
  <c r="BK181" i="15"/>
  <c r="BG181" i="15"/>
  <c r="BC181" i="15"/>
  <c r="AY181" i="15"/>
  <c r="AU181" i="15"/>
  <c r="AQ181" i="15"/>
  <c r="AM181" i="15"/>
  <c r="AI181" i="15"/>
  <c r="AE181" i="15"/>
  <c r="AA181" i="15"/>
  <c r="W181" i="15"/>
  <c r="S181" i="15"/>
  <c r="O181" i="15"/>
  <c r="K181" i="15"/>
  <c r="G181" i="15"/>
  <c r="CD181" i="15"/>
  <c r="BZ181" i="15"/>
  <c r="BV181" i="15"/>
  <c r="BR181" i="15"/>
  <c r="BN181" i="15"/>
  <c r="BJ181" i="15"/>
  <c r="BF181" i="15"/>
  <c r="BB181" i="15"/>
  <c r="AX181" i="15"/>
  <c r="AT181" i="15"/>
  <c r="AP181" i="15"/>
  <c r="AL181" i="15"/>
  <c r="AH181" i="15"/>
  <c r="AD181" i="15"/>
  <c r="Z181" i="15"/>
  <c r="V181" i="15"/>
  <c r="R181" i="15"/>
  <c r="N181" i="15"/>
  <c r="J181" i="15"/>
  <c r="F181" i="15"/>
  <c r="CC181" i="15"/>
  <c r="BY181" i="15"/>
  <c r="BU181" i="15"/>
  <c r="BQ181" i="15"/>
  <c r="BM181" i="15"/>
  <c r="BI181" i="15"/>
  <c r="BE181" i="15"/>
  <c r="BA181" i="15"/>
  <c r="AW181" i="15"/>
  <c r="AS181" i="15"/>
  <c r="AO181" i="15"/>
  <c r="AK181" i="15"/>
  <c r="AG181" i="15"/>
  <c r="AC181" i="15"/>
  <c r="Y181" i="15"/>
  <c r="U181" i="15"/>
  <c r="Q181" i="15"/>
  <c r="M181" i="15"/>
  <c r="E181" i="15"/>
  <c r="C181" i="15"/>
  <c r="CC161" i="15"/>
  <c r="BY161" i="15"/>
  <c r="BU161" i="15"/>
  <c r="BQ161" i="15"/>
  <c r="BM161" i="15"/>
  <c r="BI161" i="15"/>
  <c r="BE161" i="15"/>
  <c r="CB161" i="15"/>
  <c r="BX161" i="15"/>
  <c r="BT161" i="15"/>
  <c r="BP161" i="15"/>
  <c r="BL161" i="15"/>
  <c r="BH161" i="15"/>
  <c r="BD161" i="15"/>
  <c r="CE161" i="15"/>
  <c r="BW161" i="15"/>
  <c r="BO161" i="15"/>
  <c r="BG161" i="15"/>
  <c r="BA161" i="15"/>
  <c r="AW161" i="15"/>
  <c r="AS161" i="15"/>
  <c r="AO161" i="15"/>
  <c r="AK161" i="15"/>
  <c r="AG161" i="15"/>
  <c r="AC161" i="15"/>
  <c r="Y161" i="15"/>
  <c r="U161" i="15"/>
  <c r="Q161" i="15"/>
  <c r="M161" i="15"/>
  <c r="E161" i="15"/>
  <c r="CD161" i="15"/>
  <c r="BV161" i="15"/>
  <c r="BN161" i="15"/>
  <c r="BF161" i="15"/>
  <c r="AZ161" i="15"/>
  <c r="AV161" i="15"/>
  <c r="AR161" i="15"/>
  <c r="AN161" i="15"/>
  <c r="AJ161" i="15"/>
  <c r="AF161" i="15"/>
  <c r="AB161" i="15"/>
  <c r="X161" i="15"/>
  <c r="T161" i="15"/>
  <c r="P161" i="15"/>
  <c r="L161" i="15"/>
  <c r="H161" i="15"/>
  <c r="D161" i="15"/>
  <c r="CA161" i="15"/>
  <c r="BS161" i="15"/>
  <c r="BK161" i="15"/>
  <c r="BC161" i="15"/>
  <c r="AY161" i="15"/>
  <c r="AU161" i="15"/>
  <c r="AQ161" i="15"/>
  <c r="AM161" i="15"/>
  <c r="AI161" i="15"/>
  <c r="AE161" i="15"/>
  <c r="AA161" i="15"/>
  <c r="W161" i="15"/>
  <c r="S161" i="15"/>
  <c r="O161" i="15"/>
  <c r="K161" i="15"/>
  <c r="G161" i="15"/>
  <c r="BZ161" i="15"/>
  <c r="BR161" i="15"/>
  <c r="BJ161" i="15"/>
  <c r="BB161" i="15"/>
  <c r="AX161" i="15"/>
  <c r="AT161" i="15"/>
  <c r="AP161" i="15"/>
  <c r="AL161" i="15"/>
  <c r="AH161" i="15"/>
  <c r="AD161" i="15"/>
  <c r="Z161" i="15"/>
  <c r="V161" i="15"/>
  <c r="R161" i="15"/>
  <c r="N161" i="15"/>
  <c r="J161" i="15"/>
  <c r="F161" i="15"/>
  <c r="CC141" i="15"/>
  <c r="BY141" i="15"/>
  <c r="BU141" i="15"/>
  <c r="BQ141" i="15"/>
  <c r="BM141" i="15"/>
  <c r="BI141" i="15"/>
  <c r="BE141" i="15"/>
  <c r="BA141" i="15"/>
  <c r="AW141" i="15"/>
  <c r="AS141" i="15"/>
  <c r="AO141" i="15"/>
  <c r="AK141" i="15"/>
  <c r="AG141" i="15"/>
  <c r="AC141" i="15"/>
  <c r="Y141" i="15"/>
  <c r="U141" i="15"/>
  <c r="Q141" i="15"/>
  <c r="M141" i="15"/>
  <c r="E141" i="15"/>
  <c r="CB141" i="15"/>
  <c r="BX141" i="15"/>
  <c r="BT141" i="15"/>
  <c r="BP141" i="15"/>
  <c r="BL141" i="15"/>
  <c r="BH141" i="15"/>
  <c r="BD141" i="15"/>
  <c r="AZ141" i="15"/>
  <c r="AV141" i="15"/>
  <c r="AR141" i="15"/>
  <c r="AN141" i="15"/>
  <c r="AJ141" i="15"/>
  <c r="AF141" i="15"/>
  <c r="AB141" i="15"/>
  <c r="X141" i="15"/>
  <c r="T141" i="15"/>
  <c r="P141" i="15"/>
  <c r="L141" i="15"/>
  <c r="H141" i="15"/>
  <c r="D141" i="15"/>
  <c r="C161" i="15"/>
  <c r="CE141" i="15"/>
  <c r="CA141" i="15"/>
  <c r="BW141" i="15"/>
  <c r="BS141" i="15"/>
  <c r="BO141" i="15"/>
  <c r="BK141" i="15"/>
  <c r="BG141" i="15"/>
  <c r="BC141" i="15"/>
  <c r="AY141" i="15"/>
  <c r="AU141" i="15"/>
  <c r="AQ141" i="15"/>
  <c r="AM141" i="15"/>
  <c r="AI141" i="15"/>
  <c r="AE141" i="15"/>
  <c r="AA141" i="15"/>
  <c r="W141" i="15"/>
  <c r="S141" i="15"/>
  <c r="O141" i="15"/>
  <c r="K141" i="15"/>
  <c r="G141" i="15"/>
  <c r="CD141" i="15"/>
  <c r="BZ141" i="15"/>
  <c r="BV141" i="15"/>
  <c r="BR141" i="15"/>
  <c r="BN141" i="15"/>
  <c r="BJ141" i="15"/>
  <c r="BF141" i="15"/>
  <c r="BB141" i="15"/>
  <c r="AX141" i="15"/>
  <c r="AT141" i="15"/>
  <c r="AP141" i="15"/>
  <c r="AL141" i="15"/>
  <c r="AH141" i="15"/>
  <c r="AD141" i="15"/>
  <c r="Z141" i="15"/>
  <c r="V141" i="15"/>
  <c r="R141" i="15"/>
  <c r="N141" i="15"/>
  <c r="J141" i="15"/>
  <c r="F141" i="15"/>
  <c r="CB121" i="15"/>
  <c r="BX121" i="15"/>
  <c r="BT121" i="15"/>
  <c r="BP121" i="15"/>
  <c r="BL121" i="15"/>
  <c r="BH121" i="15"/>
  <c r="BD121" i="15"/>
  <c r="AZ121" i="15"/>
  <c r="AV121" i="15"/>
  <c r="AR121" i="15"/>
  <c r="AN121" i="15"/>
  <c r="AJ121" i="15"/>
  <c r="AF121" i="15"/>
  <c r="AB121" i="15"/>
  <c r="X121" i="15"/>
  <c r="T121" i="15"/>
  <c r="P121" i="15"/>
  <c r="L121" i="15"/>
  <c r="H121" i="15"/>
  <c r="D121" i="15"/>
  <c r="C141" i="15"/>
  <c r="CE121" i="15"/>
  <c r="CA121" i="15"/>
  <c r="BW121" i="15"/>
  <c r="BS121" i="15"/>
  <c r="BO121" i="15"/>
  <c r="BK121" i="15"/>
  <c r="BG121" i="15"/>
  <c r="BC121" i="15"/>
  <c r="AY121" i="15"/>
  <c r="AU121" i="15"/>
  <c r="AQ121" i="15"/>
  <c r="AM121" i="15"/>
  <c r="AI121" i="15"/>
  <c r="AE121" i="15"/>
  <c r="AA121" i="15"/>
  <c r="W121" i="15"/>
  <c r="S121" i="15"/>
  <c r="O121" i="15"/>
  <c r="K121" i="15"/>
  <c r="G121" i="15"/>
  <c r="CD121" i="15"/>
  <c r="BZ121" i="15"/>
  <c r="BV121" i="15"/>
  <c r="BR121" i="15"/>
  <c r="BN121" i="15"/>
  <c r="BJ121" i="15"/>
  <c r="BF121" i="15"/>
  <c r="BB121" i="15"/>
  <c r="AX121" i="15"/>
  <c r="AT121" i="15"/>
  <c r="AP121" i="15"/>
  <c r="AL121" i="15"/>
  <c r="AH121" i="15"/>
  <c r="AD121" i="15"/>
  <c r="Z121" i="15"/>
  <c r="V121" i="15"/>
  <c r="R121" i="15"/>
  <c r="N121" i="15"/>
  <c r="J121" i="15"/>
  <c r="F121" i="15"/>
  <c r="C121" i="15"/>
  <c r="CC121" i="15"/>
  <c r="BY121" i="15"/>
  <c r="BU121" i="15"/>
  <c r="BQ121" i="15"/>
  <c r="BM121" i="15"/>
  <c r="BI121" i="15"/>
  <c r="BE121" i="15"/>
  <c r="BA121" i="15"/>
  <c r="AW121" i="15"/>
  <c r="AS121" i="15"/>
  <c r="AO121" i="15"/>
  <c r="AK121" i="15"/>
  <c r="AG121" i="15"/>
  <c r="AC121" i="15"/>
  <c r="Y121" i="15"/>
  <c r="U121" i="15"/>
  <c r="Q121" i="15"/>
  <c r="M121" i="15"/>
  <c r="E121" i="15"/>
  <c r="CE177" i="15"/>
  <c r="CA177" i="15"/>
  <c r="BW177" i="15"/>
  <c r="BS177" i="15"/>
  <c r="BO177" i="15"/>
  <c r="BK177" i="15"/>
  <c r="BG177" i="15"/>
  <c r="BC177" i="15"/>
  <c r="AY177" i="15"/>
  <c r="AU177" i="15"/>
  <c r="AQ177" i="15"/>
  <c r="AM177" i="15"/>
  <c r="AI177" i="15"/>
  <c r="AE177" i="15"/>
  <c r="AA177" i="15"/>
  <c r="W177" i="15"/>
  <c r="S177" i="15"/>
  <c r="O177" i="15"/>
  <c r="K177" i="15"/>
  <c r="G177" i="15"/>
  <c r="C177" i="15"/>
  <c r="CD177" i="15"/>
  <c r="BZ177" i="15"/>
  <c r="BV177" i="15"/>
  <c r="BR177" i="15"/>
  <c r="BN177" i="15"/>
  <c r="BJ177" i="15"/>
  <c r="BF177" i="15"/>
  <c r="BB177" i="15"/>
  <c r="AX177" i="15"/>
  <c r="AT177" i="15"/>
  <c r="AP177" i="15"/>
  <c r="AL177" i="15"/>
  <c r="AH177" i="15"/>
  <c r="AD177" i="15"/>
  <c r="Z177" i="15"/>
  <c r="V177" i="15"/>
  <c r="R177" i="15"/>
  <c r="N177" i="15"/>
  <c r="J177" i="15"/>
  <c r="F177" i="15"/>
  <c r="CC177" i="15"/>
  <c r="BY177" i="15"/>
  <c r="BU177" i="15"/>
  <c r="BQ177" i="15"/>
  <c r="BM177" i="15"/>
  <c r="BI177" i="15"/>
  <c r="BE177" i="15"/>
  <c r="BA177" i="15"/>
  <c r="AW177" i="15"/>
  <c r="AS177" i="15"/>
  <c r="AO177" i="15"/>
  <c r="AK177" i="15"/>
  <c r="AG177" i="15"/>
  <c r="AC177" i="15"/>
  <c r="Y177" i="15"/>
  <c r="U177" i="15"/>
  <c r="Q177" i="15"/>
  <c r="M177" i="15"/>
  <c r="E177" i="15"/>
  <c r="CB177" i="15"/>
  <c r="BX177" i="15"/>
  <c r="BT177" i="15"/>
  <c r="BP177" i="15"/>
  <c r="BL177" i="15"/>
  <c r="BH177" i="15"/>
  <c r="BD177" i="15"/>
  <c r="AZ177" i="15"/>
  <c r="AV177" i="15"/>
  <c r="AR177" i="15"/>
  <c r="AN177" i="15"/>
  <c r="AJ177" i="15"/>
  <c r="AF177" i="15"/>
  <c r="AB177" i="15"/>
  <c r="X177" i="15"/>
  <c r="T177" i="15"/>
  <c r="P177" i="15"/>
  <c r="L177" i="15"/>
  <c r="H177" i="15"/>
  <c r="D177" i="15"/>
  <c r="CC157" i="15"/>
  <c r="CB157" i="15"/>
  <c r="CE157" i="15"/>
  <c r="CA157" i="15"/>
  <c r="BW157" i="15"/>
  <c r="BS157" i="15"/>
  <c r="BO157" i="15"/>
  <c r="BK157" i="15"/>
  <c r="BG157" i="15"/>
  <c r="BC157" i="15"/>
  <c r="AY157" i="15"/>
  <c r="AU157" i="15"/>
  <c r="AQ157" i="15"/>
  <c r="CD157" i="15"/>
  <c r="BZ157" i="15"/>
  <c r="BV157" i="15"/>
  <c r="BR157" i="15"/>
  <c r="BN157" i="15"/>
  <c r="BJ157" i="15"/>
  <c r="BF157" i="15"/>
  <c r="BB157" i="15"/>
  <c r="AX157" i="15"/>
  <c r="BY157" i="15"/>
  <c r="BQ157" i="15"/>
  <c r="BI157" i="15"/>
  <c r="BA157" i="15"/>
  <c r="AT157" i="15"/>
  <c r="AO157" i="15"/>
  <c r="AK157" i="15"/>
  <c r="AG157" i="15"/>
  <c r="AC157" i="15"/>
  <c r="Y157" i="15"/>
  <c r="U157" i="15"/>
  <c r="Q157" i="15"/>
  <c r="M157" i="15"/>
  <c r="E157" i="15"/>
  <c r="BX157" i="15"/>
  <c r="BP157" i="15"/>
  <c r="BH157" i="15"/>
  <c r="AZ157" i="15"/>
  <c r="AS157" i="15"/>
  <c r="AN157" i="15"/>
  <c r="AJ157" i="15"/>
  <c r="AF157" i="15"/>
  <c r="AB157" i="15"/>
  <c r="X157" i="15"/>
  <c r="T157" i="15"/>
  <c r="P157" i="15"/>
  <c r="L157" i="15"/>
  <c r="H157" i="15"/>
  <c r="D157" i="15"/>
  <c r="BU157" i="15"/>
  <c r="BM157" i="15"/>
  <c r="BE157" i="15"/>
  <c r="AW157" i="15"/>
  <c r="AR157" i="15"/>
  <c r="AM157" i="15"/>
  <c r="AI157" i="15"/>
  <c r="AE157" i="15"/>
  <c r="AA157" i="15"/>
  <c r="W157" i="15"/>
  <c r="S157" i="15"/>
  <c r="O157" i="15"/>
  <c r="K157" i="15"/>
  <c r="G157" i="15"/>
  <c r="C157" i="15"/>
  <c r="BT157" i="15"/>
  <c r="BL157" i="15"/>
  <c r="BD157" i="15"/>
  <c r="AV157" i="15"/>
  <c r="AP157" i="15"/>
  <c r="AL157" i="15"/>
  <c r="AH157" i="15"/>
  <c r="AD157" i="15"/>
  <c r="Z157" i="15"/>
  <c r="V157" i="15"/>
  <c r="R157" i="15"/>
  <c r="N157" i="15"/>
  <c r="J157" i="15"/>
  <c r="F157" i="15"/>
  <c r="CB137" i="15"/>
  <c r="BX137" i="15"/>
  <c r="BT137" i="15"/>
  <c r="BP137" i="15"/>
  <c r="BL137" i="15"/>
  <c r="BH137" i="15"/>
  <c r="BD137" i="15"/>
  <c r="AZ137" i="15"/>
  <c r="AV137" i="15"/>
  <c r="AR137" i="15"/>
  <c r="AN137" i="15"/>
  <c r="AJ137" i="15"/>
  <c r="AF137" i="15"/>
  <c r="AB137" i="15"/>
  <c r="X137" i="15"/>
  <c r="T137" i="15"/>
  <c r="P137" i="15"/>
  <c r="L137" i="15"/>
  <c r="H137" i="15"/>
  <c r="D137" i="15"/>
  <c r="CB117" i="15"/>
  <c r="BX117" i="15"/>
  <c r="BT117" i="15"/>
  <c r="BP117" i="15"/>
  <c r="BL117" i="15"/>
  <c r="BH117" i="15"/>
  <c r="BD117" i="15"/>
  <c r="AZ117" i="15"/>
  <c r="AV117" i="15"/>
  <c r="AR117" i="15"/>
  <c r="AN117" i="15"/>
  <c r="AJ117" i="15"/>
  <c r="AF117" i="15"/>
  <c r="AB117" i="15"/>
  <c r="X117" i="15"/>
  <c r="T117" i="15"/>
  <c r="P117" i="15"/>
  <c r="L117" i="15"/>
  <c r="H117" i="15"/>
  <c r="D117" i="15"/>
  <c r="CE137" i="15"/>
  <c r="CA137" i="15"/>
  <c r="BW137" i="15"/>
  <c r="BS137" i="15"/>
  <c r="BO137" i="15"/>
  <c r="BK137" i="15"/>
  <c r="BG137" i="15"/>
  <c r="BC137" i="15"/>
  <c r="AY137" i="15"/>
  <c r="AU137" i="15"/>
  <c r="AQ137" i="15"/>
  <c r="AM137" i="15"/>
  <c r="AI137" i="15"/>
  <c r="AE137" i="15"/>
  <c r="AA137" i="15"/>
  <c r="W137" i="15"/>
  <c r="S137" i="15"/>
  <c r="O137" i="15"/>
  <c r="K137" i="15"/>
  <c r="G137" i="15"/>
  <c r="C137" i="15"/>
  <c r="CE117" i="15"/>
  <c r="CA117" i="15"/>
  <c r="BW117" i="15"/>
  <c r="BS117" i="15"/>
  <c r="BO117" i="15"/>
  <c r="BK117" i="15"/>
  <c r="BG117" i="15"/>
  <c r="BC117" i="15"/>
  <c r="AY117" i="15"/>
  <c r="AU117" i="15"/>
  <c r="AQ117" i="15"/>
  <c r="AM117" i="15"/>
  <c r="AI117" i="15"/>
  <c r="AE117" i="15"/>
  <c r="AA117" i="15"/>
  <c r="W117" i="15"/>
  <c r="S117" i="15"/>
  <c r="O117" i="15"/>
  <c r="K117" i="15"/>
  <c r="G117" i="15"/>
  <c r="C117" i="15"/>
  <c r="CD137" i="15"/>
  <c r="BZ137" i="15"/>
  <c r="BV137" i="15"/>
  <c r="BR137" i="15"/>
  <c r="BN137" i="15"/>
  <c r="BJ137" i="15"/>
  <c r="BF137" i="15"/>
  <c r="BB137" i="15"/>
  <c r="AX137" i="15"/>
  <c r="AT137" i="15"/>
  <c r="AP137" i="15"/>
  <c r="AL137" i="15"/>
  <c r="AH137" i="15"/>
  <c r="AD137" i="15"/>
  <c r="Z137" i="15"/>
  <c r="V137" i="15"/>
  <c r="R137" i="15"/>
  <c r="N137" i="15"/>
  <c r="J137" i="15"/>
  <c r="F137" i="15"/>
  <c r="CD117" i="15"/>
  <c r="BZ117" i="15"/>
  <c r="BV117" i="15"/>
  <c r="BR117" i="15"/>
  <c r="BN117" i="15"/>
  <c r="BJ117" i="15"/>
  <c r="BF117" i="15"/>
  <c r="BB117" i="15"/>
  <c r="AX117" i="15"/>
  <c r="AT117" i="15"/>
  <c r="AP117" i="15"/>
  <c r="AL117" i="15"/>
  <c r="AH117" i="15"/>
  <c r="AD117" i="15"/>
  <c r="Z117" i="15"/>
  <c r="V117" i="15"/>
  <c r="R117" i="15"/>
  <c r="N117" i="15"/>
  <c r="J117" i="15"/>
  <c r="F117" i="15"/>
  <c r="CC137" i="15"/>
  <c r="BY137" i="15"/>
  <c r="BU137" i="15"/>
  <c r="BQ137" i="15"/>
  <c r="BM137" i="15"/>
  <c r="BI137" i="15"/>
  <c r="BE137" i="15"/>
  <c r="BA137" i="15"/>
  <c r="AW137" i="15"/>
  <c r="AS137" i="15"/>
  <c r="AO137" i="15"/>
  <c r="AK137" i="15"/>
  <c r="AG137" i="15"/>
  <c r="AC137" i="15"/>
  <c r="Y137" i="15"/>
  <c r="U137" i="15"/>
  <c r="Q137" i="15"/>
  <c r="M137" i="15"/>
  <c r="E137" i="15"/>
  <c r="CC117" i="15"/>
  <c r="BY117" i="15"/>
  <c r="BU117" i="15"/>
  <c r="BQ117" i="15"/>
  <c r="BM117" i="15"/>
  <c r="BI117" i="15"/>
  <c r="BE117" i="15"/>
  <c r="BA117" i="15"/>
  <c r="AW117" i="15"/>
  <c r="AS117" i="15"/>
  <c r="AO117" i="15"/>
  <c r="AK117" i="15"/>
  <c r="AG117" i="15"/>
  <c r="AC117" i="15"/>
  <c r="Y117" i="15"/>
  <c r="U117" i="15"/>
  <c r="Q117" i="15"/>
  <c r="M117" i="15"/>
  <c r="E117" i="15"/>
  <c r="CB180" i="15"/>
  <c r="BX180" i="15"/>
  <c r="BT180" i="15"/>
  <c r="BP180" i="15"/>
  <c r="BL180" i="15"/>
  <c r="CE180" i="15"/>
  <c r="CA180" i="15"/>
  <c r="BW180" i="15"/>
  <c r="BS180" i="15"/>
  <c r="CD180" i="15"/>
  <c r="BZ180" i="15"/>
  <c r="BV180" i="15"/>
  <c r="BR180" i="15"/>
  <c r="CC180" i="15"/>
  <c r="BY180" i="15"/>
  <c r="BU180" i="15"/>
  <c r="BQ180" i="15"/>
  <c r="BK180" i="15"/>
  <c r="BG180" i="15"/>
  <c r="BC180" i="15"/>
  <c r="AY180" i="15"/>
  <c r="AU180" i="15"/>
  <c r="AQ180" i="15"/>
  <c r="AM180" i="15"/>
  <c r="AI180" i="15"/>
  <c r="AE180" i="15"/>
  <c r="AA180" i="15"/>
  <c r="W180" i="15"/>
  <c r="S180" i="15"/>
  <c r="O180" i="15"/>
  <c r="K180" i="15"/>
  <c r="G180" i="15"/>
  <c r="BO180" i="15"/>
  <c r="BJ180" i="15"/>
  <c r="BF180" i="15"/>
  <c r="BB180" i="15"/>
  <c r="AX180" i="15"/>
  <c r="AT180" i="15"/>
  <c r="AP180" i="15"/>
  <c r="AL180" i="15"/>
  <c r="AH180" i="15"/>
  <c r="AD180" i="15"/>
  <c r="Z180" i="15"/>
  <c r="V180" i="15"/>
  <c r="R180" i="15"/>
  <c r="N180" i="15"/>
  <c r="J180" i="15"/>
  <c r="F180" i="15"/>
  <c r="C180" i="15"/>
  <c r="BN180" i="15"/>
  <c r="BI180" i="15"/>
  <c r="BE180" i="15"/>
  <c r="BA180" i="15"/>
  <c r="AW180" i="15"/>
  <c r="AS180" i="15"/>
  <c r="AO180" i="15"/>
  <c r="AK180" i="15"/>
  <c r="AG180" i="15"/>
  <c r="AC180" i="15"/>
  <c r="Y180" i="15"/>
  <c r="U180" i="15"/>
  <c r="Q180" i="15"/>
  <c r="M180" i="15"/>
  <c r="E180" i="15"/>
  <c r="BM180" i="15"/>
  <c r="BH180" i="15"/>
  <c r="BD180" i="15"/>
  <c r="AZ180" i="15"/>
  <c r="AV180" i="15"/>
  <c r="AR180" i="15"/>
  <c r="AN180" i="15"/>
  <c r="AJ180" i="15"/>
  <c r="AF180" i="15"/>
  <c r="AB180" i="15"/>
  <c r="X180" i="15"/>
  <c r="T180" i="15"/>
  <c r="P180" i="15"/>
  <c r="L180" i="15"/>
  <c r="H180" i="15"/>
  <c r="D180" i="15"/>
  <c r="CC160" i="15"/>
  <c r="BY160" i="15"/>
  <c r="BU160" i="15"/>
  <c r="BQ160" i="15"/>
  <c r="BM160" i="15"/>
  <c r="BI160" i="15"/>
  <c r="BE160" i="15"/>
  <c r="BA160" i="15"/>
  <c r="AW160" i="15"/>
  <c r="AS160" i="15"/>
  <c r="AO160" i="15"/>
  <c r="AK160" i="15"/>
  <c r="AG160" i="15"/>
  <c r="AC160" i="15"/>
  <c r="Y160" i="15"/>
  <c r="U160" i="15"/>
  <c r="Q160" i="15"/>
  <c r="M160" i="15"/>
  <c r="E160" i="15"/>
  <c r="CB160" i="15"/>
  <c r="BX160" i="15"/>
  <c r="BT160" i="15"/>
  <c r="BP160" i="15"/>
  <c r="BL160" i="15"/>
  <c r="BH160" i="15"/>
  <c r="BD160" i="15"/>
  <c r="AZ160" i="15"/>
  <c r="AV160" i="15"/>
  <c r="AR160" i="15"/>
  <c r="AN160" i="15"/>
  <c r="AJ160" i="15"/>
  <c r="AF160" i="15"/>
  <c r="AB160" i="15"/>
  <c r="X160" i="15"/>
  <c r="T160" i="15"/>
  <c r="P160" i="15"/>
  <c r="L160" i="15"/>
  <c r="H160" i="15"/>
  <c r="D160" i="15"/>
  <c r="CE160" i="15"/>
  <c r="CA160" i="15"/>
  <c r="BW160" i="15"/>
  <c r="BS160" i="15"/>
  <c r="BO160" i="15"/>
  <c r="BK160" i="15"/>
  <c r="BG160" i="15"/>
  <c r="BC160" i="15"/>
  <c r="AY160" i="15"/>
  <c r="AU160" i="15"/>
  <c r="AQ160" i="15"/>
  <c r="AM160" i="15"/>
  <c r="AI160" i="15"/>
  <c r="AE160" i="15"/>
  <c r="AA160" i="15"/>
  <c r="W160" i="15"/>
  <c r="S160" i="15"/>
  <c r="O160" i="15"/>
  <c r="K160" i="15"/>
  <c r="G160" i="15"/>
  <c r="CD160" i="15"/>
  <c r="BZ160" i="15"/>
  <c r="BV160" i="15"/>
  <c r="BR160" i="15"/>
  <c r="BN160" i="15"/>
  <c r="BJ160" i="15"/>
  <c r="BF160" i="15"/>
  <c r="BB160" i="15"/>
  <c r="AX160" i="15"/>
  <c r="AT160" i="15"/>
  <c r="AP160" i="15"/>
  <c r="AL160" i="15"/>
  <c r="AH160" i="15"/>
  <c r="AD160" i="15"/>
  <c r="Z160" i="15"/>
  <c r="V160" i="15"/>
  <c r="R160" i="15"/>
  <c r="N160" i="15"/>
  <c r="J160" i="15"/>
  <c r="F160" i="15"/>
  <c r="CC140" i="15"/>
  <c r="BY140" i="15"/>
  <c r="BU140" i="15"/>
  <c r="BQ140" i="15"/>
  <c r="BM140" i="15"/>
  <c r="BI140" i="15"/>
  <c r="BE140" i="15"/>
  <c r="BA140" i="15"/>
  <c r="AW140" i="15"/>
  <c r="AS140" i="15"/>
  <c r="AO140" i="15"/>
  <c r="AK140" i="15"/>
  <c r="AG140" i="15"/>
  <c r="AC140" i="15"/>
  <c r="Y140" i="15"/>
  <c r="U140" i="15"/>
  <c r="Q140" i="15"/>
  <c r="M140" i="15"/>
  <c r="E140" i="15"/>
  <c r="CB140" i="15"/>
  <c r="BX140" i="15"/>
  <c r="BT140" i="15"/>
  <c r="BP140" i="15"/>
  <c r="BL140" i="15"/>
  <c r="BH140" i="15"/>
  <c r="BD140" i="15"/>
  <c r="AZ140" i="15"/>
  <c r="AV140" i="15"/>
  <c r="AR140" i="15"/>
  <c r="AN140" i="15"/>
  <c r="AJ140" i="15"/>
  <c r="AF140" i="15"/>
  <c r="AB140" i="15"/>
  <c r="X140" i="15"/>
  <c r="T140" i="15"/>
  <c r="P140" i="15"/>
  <c r="L140" i="15"/>
  <c r="H140" i="15"/>
  <c r="D140" i="15"/>
  <c r="CE140" i="15"/>
  <c r="CA140" i="15"/>
  <c r="BW140" i="15"/>
  <c r="BS140" i="15"/>
  <c r="BO140" i="15"/>
  <c r="BK140" i="15"/>
  <c r="BG140" i="15"/>
  <c r="BC140" i="15"/>
  <c r="AY140" i="15"/>
  <c r="AU140" i="15"/>
  <c r="AQ140" i="15"/>
  <c r="AM140" i="15"/>
  <c r="AI140" i="15"/>
  <c r="AE140" i="15"/>
  <c r="AA140" i="15"/>
  <c r="W140" i="15"/>
  <c r="S140" i="15"/>
  <c r="O140" i="15"/>
  <c r="K140" i="15"/>
  <c r="G140" i="15"/>
  <c r="C160" i="15"/>
  <c r="CD140" i="15"/>
  <c r="BZ140" i="15"/>
  <c r="BV140" i="15"/>
  <c r="BR140" i="15"/>
  <c r="BN140" i="15"/>
  <c r="BJ140" i="15"/>
  <c r="BF140" i="15"/>
  <c r="BB140" i="15"/>
  <c r="AX140" i="15"/>
  <c r="AT140" i="15"/>
  <c r="AP140" i="15"/>
  <c r="AL140" i="15"/>
  <c r="AH140" i="15"/>
  <c r="AD140" i="15"/>
  <c r="Z140" i="15"/>
  <c r="V140" i="15"/>
  <c r="R140" i="15"/>
  <c r="N140" i="15"/>
  <c r="J140" i="15"/>
  <c r="F140" i="15"/>
  <c r="CB120" i="15"/>
  <c r="BX120" i="15"/>
  <c r="BT120" i="15"/>
  <c r="BP120" i="15"/>
  <c r="BL120" i="15"/>
  <c r="BH120" i="15"/>
  <c r="BD120" i="15"/>
  <c r="AZ120" i="15"/>
  <c r="AV120" i="15"/>
  <c r="AR120" i="15"/>
  <c r="AN120" i="15"/>
  <c r="AJ120" i="15"/>
  <c r="AF120" i="15"/>
  <c r="AB120" i="15"/>
  <c r="X120" i="15"/>
  <c r="T120" i="15"/>
  <c r="P120" i="15"/>
  <c r="L120" i="15"/>
  <c r="H120" i="15"/>
  <c r="D120" i="15"/>
  <c r="CE120" i="15"/>
  <c r="CA120" i="15"/>
  <c r="BW120" i="15"/>
  <c r="BS120" i="15"/>
  <c r="BO120" i="15"/>
  <c r="BK120" i="15"/>
  <c r="BG120" i="15"/>
  <c r="BC120" i="15"/>
  <c r="AY120" i="15"/>
  <c r="AU120" i="15"/>
  <c r="AQ120" i="15"/>
  <c r="AM120" i="15"/>
  <c r="AI120" i="15"/>
  <c r="AE120" i="15"/>
  <c r="AA120" i="15"/>
  <c r="W120" i="15"/>
  <c r="S120" i="15"/>
  <c r="O120" i="15"/>
  <c r="K120" i="15"/>
  <c r="G120" i="15"/>
  <c r="C120" i="15"/>
  <c r="C140" i="15"/>
  <c r="CD120" i="15"/>
  <c r="BZ120" i="15"/>
  <c r="BV120" i="15"/>
  <c r="BR120" i="15"/>
  <c r="BN120" i="15"/>
  <c r="BJ120" i="15"/>
  <c r="BF120" i="15"/>
  <c r="BB120" i="15"/>
  <c r="AX120" i="15"/>
  <c r="AT120" i="15"/>
  <c r="AP120" i="15"/>
  <c r="AL120" i="15"/>
  <c r="AH120" i="15"/>
  <c r="AD120" i="15"/>
  <c r="Z120" i="15"/>
  <c r="V120" i="15"/>
  <c r="R120" i="15"/>
  <c r="N120" i="15"/>
  <c r="J120" i="15"/>
  <c r="F120" i="15"/>
  <c r="CC120" i="15"/>
  <c r="BY120" i="15"/>
  <c r="BU120" i="15"/>
  <c r="BQ120" i="15"/>
  <c r="BM120" i="15"/>
  <c r="BI120" i="15"/>
  <c r="BE120" i="15"/>
  <c r="BA120" i="15"/>
  <c r="AW120" i="15"/>
  <c r="AS120" i="15"/>
  <c r="AO120" i="15"/>
  <c r="AK120" i="15"/>
  <c r="AG120" i="15"/>
  <c r="AC120" i="15"/>
  <c r="Y120" i="15"/>
  <c r="U120" i="15"/>
  <c r="Q120" i="15"/>
  <c r="M120" i="15"/>
  <c r="E120" i="15"/>
  <c r="CE179" i="15"/>
  <c r="CA179" i="15"/>
  <c r="BW179" i="15"/>
  <c r="BS179" i="15"/>
  <c r="BO179" i="15"/>
  <c r="BK179" i="15"/>
  <c r="BG179" i="15"/>
  <c r="BC179" i="15"/>
  <c r="AY179" i="15"/>
  <c r="AU179" i="15"/>
  <c r="AQ179" i="15"/>
  <c r="AM179" i="15"/>
  <c r="AI179" i="15"/>
  <c r="AE179" i="15"/>
  <c r="AA179" i="15"/>
  <c r="W179" i="15"/>
  <c r="S179" i="15"/>
  <c r="O179" i="15"/>
  <c r="K179" i="15"/>
  <c r="G179" i="15"/>
  <c r="CD179" i="15"/>
  <c r="BZ179" i="15"/>
  <c r="BV179" i="15"/>
  <c r="BR179" i="15"/>
  <c r="BN179" i="15"/>
  <c r="BJ179" i="15"/>
  <c r="BF179" i="15"/>
  <c r="BB179" i="15"/>
  <c r="AX179" i="15"/>
  <c r="AT179" i="15"/>
  <c r="AP179" i="15"/>
  <c r="AL179" i="15"/>
  <c r="AH179" i="15"/>
  <c r="AD179" i="15"/>
  <c r="Z179" i="15"/>
  <c r="V179" i="15"/>
  <c r="R179" i="15"/>
  <c r="N179" i="15"/>
  <c r="J179" i="15"/>
  <c r="F179" i="15"/>
  <c r="CC179" i="15"/>
  <c r="BY179" i="15"/>
  <c r="BU179" i="15"/>
  <c r="BQ179" i="15"/>
  <c r="BM179" i="15"/>
  <c r="BI179" i="15"/>
  <c r="BE179" i="15"/>
  <c r="BA179" i="15"/>
  <c r="AW179" i="15"/>
  <c r="AS179" i="15"/>
  <c r="AO179" i="15"/>
  <c r="AK179" i="15"/>
  <c r="AG179" i="15"/>
  <c r="AC179" i="15"/>
  <c r="Y179" i="15"/>
  <c r="U179" i="15"/>
  <c r="Q179" i="15"/>
  <c r="M179" i="15"/>
  <c r="E179" i="15"/>
  <c r="C179" i="15"/>
  <c r="CB179" i="15"/>
  <c r="BX179" i="15"/>
  <c r="BT179" i="15"/>
  <c r="BP179" i="15"/>
  <c r="BL179" i="15"/>
  <c r="BH179" i="15"/>
  <c r="BD179" i="15"/>
  <c r="AZ179" i="15"/>
  <c r="AV179" i="15"/>
  <c r="AR179" i="15"/>
  <c r="AN179" i="15"/>
  <c r="AJ179" i="15"/>
  <c r="AF179" i="15"/>
  <c r="AB179" i="15"/>
  <c r="X179" i="15"/>
  <c r="T179" i="15"/>
  <c r="P179" i="15"/>
  <c r="L179" i="15"/>
  <c r="H179" i="15"/>
  <c r="D179" i="15"/>
  <c r="CC159" i="15"/>
  <c r="BY159" i="15"/>
  <c r="BU159" i="15"/>
  <c r="BQ159" i="15"/>
  <c r="BM159" i="15"/>
  <c r="BI159" i="15"/>
  <c r="BE159" i="15"/>
  <c r="BA159" i="15"/>
  <c r="AW159" i="15"/>
  <c r="AS159" i="15"/>
  <c r="AO159" i="15"/>
  <c r="AK159" i="15"/>
  <c r="AG159" i="15"/>
  <c r="AC159" i="15"/>
  <c r="Y159" i="15"/>
  <c r="U159" i="15"/>
  <c r="Q159" i="15"/>
  <c r="M159" i="15"/>
  <c r="E159" i="15"/>
  <c r="CB159" i="15"/>
  <c r="BX159" i="15"/>
  <c r="BT159" i="15"/>
  <c r="BP159" i="15"/>
  <c r="BL159" i="15"/>
  <c r="BH159" i="15"/>
  <c r="BD159" i="15"/>
  <c r="AZ159" i="15"/>
  <c r="AV159" i="15"/>
  <c r="AR159" i="15"/>
  <c r="AN159" i="15"/>
  <c r="AJ159" i="15"/>
  <c r="AF159" i="15"/>
  <c r="AB159" i="15"/>
  <c r="X159" i="15"/>
  <c r="T159" i="15"/>
  <c r="P159" i="15"/>
  <c r="L159" i="15"/>
  <c r="H159" i="15"/>
  <c r="D159" i="15"/>
  <c r="CE159" i="15"/>
  <c r="CA159" i="15"/>
  <c r="BW159" i="15"/>
  <c r="BS159" i="15"/>
  <c r="BO159" i="15"/>
  <c r="BK159" i="15"/>
  <c r="BG159" i="15"/>
  <c r="BC159" i="15"/>
  <c r="AY159" i="15"/>
  <c r="AU159" i="15"/>
  <c r="AQ159" i="15"/>
  <c r="AM159" i="15"/>
  <c r="AI159" i="15"/>
  <c r="AE159" i="15"/>
  <c r="AA159" i="15"/>
  <c r="W159" i="15"/>
  <c r="S159" i="15"/>
  <c r="O159" i="15"/>
  <c r="K159" i="15"/>
  <c r="G159" i="15"/>
  <c r="CD159" i="15"/>
  <c r="BZ159" i="15"/>
  <c r="BV159" i="15"/>
  <c r="BR159" i="15"/>
  <c r="BN159" i="15"/>
  <c r="BJ159" i="15"/>
  <c r="BF159" i="15"/>
  <c r="BB159" i="15"/>
  <c r="AX159" i="15"/>
  <c r="AT159" i="15"/>
  <c r="AP159" i="15"/>
  <c r="AL159" i="15"/>
  <c r="AH159" i="15"/>
  <c r="AD159" i="15"/>
  <c r="Z159" i="15"/>
  <c r="V159" i="15"/>
  <c r="R159" i="15"/>
  <c r="N159" i="15"/>
  <c r="J159" i="15"/>
  <c r="F159" i="15"/>
  <c r="C159" i="15"/>
  <c r="CC139" i="15"/>
  <c r="BY139" i="15"/>
  <c r="BU139" i="15"/>
  <c r="BQ139" i="15"/>
  <c r="BM139" i="15"/>
  <c r="BI139" i="15"/>
  <c r="BE139" i="15"/>
  <c r="BA139" i="15"/>
  <c r="AW139" i="15"/>
  <c r="AS139" i="15"/>
  <c r="AO139" i="15"/>
  <c r="AK139" i="15"/>
  <c r="AG139" i="15"/>
  <c r="AC139" i="15"/>
  <c r="Y139" i="15"/>
  <c r="U139" i="15"/>
  <c r="Q139" i="15"/>
  <c r="M139" i="15"/>
  <c r="E139" i="15"/>
  <c r="CB139" i="15"/>
  <c r="BX139" i="15"/>
  <c r="BT139" i="15"/>
  <c r="BP139" i="15"/>
  <c r="BL139" i="15"/>
  <c r="BH139" i="15"/>
  <c r="BD139" i="15"/>
  <c r="AZ139" i="15"/>
  <c r="AV139" i="15"/>
  <c r="AR139" i="15"/>
  <c r="AN139" i="15"/>
  <c r="AJ139" i="15"/>
  <c r="AF139" i="15"/>
  <c r="AB139" i="15"/>
  <c r="X139" i="15"/>
  <c r="T139" i="15"/>
  <c r="P139" i="15"/>
  <c r="L139" i="15"/>
  <c r="H139" i="15"/>
  <c r="D139" i="15"/>
  <c r="CE139" i="15"/>
  <c r="CA139" i="15"/>
  <c r="BW139" i="15"/>
  <c r="BS139" i="15"/>
  <c r="BO139" i="15"/>
  <c r="BK139" i="15"/>
  <c r="BG139" i="15"/>
  <c r="BC139" i="15"/>
  <c r="AY139" i="15"/>
  <c r="AU139" i="15"/>
  <c r="AQ139" i="15"/>
  <c r="AM139" i="15"/>
  <c r="AI139" i="15"/>
  <c r="AE139" i="15"/>
  <c r="AA139" i="15"/>
  <c r="W139" i="15"/>
  <c r="S139" i="15"/>
  <c r="O139" i="15"/>
  <c r="K139" i="15"/>
  <c r="G139" i="15"/>
  <c r="CD139" i="15"/>
  <c r="BZ139" i="15"/>
  <c r="BV139" i="15"/>
  <c r="BR139" i="15"/>
  <c r="BN139" i="15"/>
  <c r="BJ139" i="15"/>
  <c r="BF139" i="15"/>
  <c r="BB139" i="15"/>
  <c r="AX139" i="15"/>
  <c r="AT139" i="15"/>
  <c r="AP139" i="15"/>
  <c r="AL139" i="15"/>
  <c r="AH139" i="15"/>
  <c r="AD139" i="15"/>
  <c r="Z139" i="15"/>
  <c r="V139" i="15"/>
  <c r="R139" i="15"/>
  <c r="N139" i="15"/>
  <c r="J139" i="15"/>
  <c r="F139" i="15"/>
  <c r="CB119" i="15"/>
  <c r="BX119" i="15"/>
  <c r="BT119" i="15"/>
  <c r="BP119" i="15"/>
  <c r="BL119" i="15"/>
  <c r="BH119" i="15"/>
  <c r="BD119" i="15"/>
  <c r="AZ119" i="15"/>
  <c r="AV119" i="15"/>
  <c r="AR119" i="15"/>
  <c r="AN119" i="15"/>
  <c r="AJ119" i="15"/>
  <c r="AF119" i="15"/>
  <c r="AB119" i="15"/>
  <c r="X119" i="15"/>
  <c r="T119" i="15"/>
  <c r="P119" i="15"/>
  <c r="L119" i="15"/>
  <c r="H119" i="15"/>
  <c r="D119" i="15"/>
  <c r="CE119" i="15"/>
  <c r="CA119" i="15"/>
  <c r="BW119" i="15"/>
  <c r="BS119" i="15"/>
  <c r="BO119" i="15"/>
  <c r="BK119" i="15"/>
  <c r="BG119" i="15"/>
  <c r="BC119" i="15"/>
  <c r="AY119" i="15"/>
  <c r="AU119" i="15"/>
  <c r="AQ119" i="15"/>
  <c r="AM119" i="15"/>
  <c r="AI119" i="15"/>
  <c r="AE119" i="15"/>
  <c r="AA119" i="15"/>
  <c r="W119" i="15"/>
  <c r="S119" i="15"/>
  <c r="O119" i="15"/>
  <c r="K119" i="15"/>
  <c r="G119" i="15"/>
  <c r="CD119" i="15"/>
  <c r="BZ119" i="15"/>
  <c r="BV119" i="15"/>
  <c r="BR119" i="15"/>
  <c r="BN119" i="15"/>
  <c r="BJ119" i="15"/>
  <c r="BF119" i="15"/>
  <c r="BB119" i="15"/>
  <c r="AX119" i="15"/>
  <c r="AT119" i="15"/>
  <c r="AP119" i="15"/>
  <c r="AL119" i="15"/>
  <c r="AH119" i="15"/>
  <c r="AD119" i="15"/>
  <c r="Z119" i="15"/>
  <c r="V119" i="15"/>
  <c r="R119" i="15"/>
  <c r="N119" i="15"/>
  <c r="J119" i="15"/>
  <c r="F119" i="15"/>
  <c r="C139" i="15"/>
  <c r="CC119" i="15"/>
  <c r="BY119" i="15"/>
  <c r="BU119" i="15"/>
  <c r="BQ119" i="15"/>
  <c r="BM119" i="15"/>
  <c r="BI119" i="15"/>
  <c r="BE119" i="15"/>
  <c r="BA119" i="15"/>
  <c r="AW119" i="15"/>
  <c r="AS119" i="15"/>
  <c r="AO119" i="15"/>
  <c r="AK119" i="15"/>
  <c r="AG119" i="15"/>
  <c r="AC119" i="15"/>
  <c r="Y119" i="15"/>
  <c r="U119" i="15"/>
  <c r="Q119" i="15"/>
  <c r="M119" i="15"/>
  <c r="E119" i="15"/>
  <c r="C119" i="15"/>
  <c r="J56" i="15"/>
  <c r="N56" i="15" s="1"/>
  <c r="R56" i="15" s="1"/>
  <c r="L14" i="26"/>
  <c r="J43" i="15"/>
  <c r="L17" i="26"/>
  <c r="J55" i="15"/>
  <c r="L16" i="26"/>
  <c r="J71" i="15"/>
  <c r="L23" i="26"/>
  <c r="J69" i="15"/>
  <c r="L21" i="26"/>
  <c r="J72" i="15"/>
  <c r="L24" i="26"/>
  <c r="J52" i="15"/>
  <c r="L11" i="26"/>
  <c r="CE144" i="15"/>
  <c r="CE124" i="15"/>
  <c r="CE104" i="15"/>
  <c r="CE164" i="15"/>
  <c r="CE171" i="15"/>
  <c r="CE111" i="15"/>
  <c r="CE151" i="15"/>
  <c r="CE131" i="15"/>
  <c r="CE125" i="15"/>
  <c r="CE105" i="15"/>
  <c r="CE165" i="15"/>
  <c r="CE145" i="15"/>
  <c r="CE156" i="15"/>
  <c r="CE116" i="15"/>
  <c r="CE176" i="15"/>
  <c r="CE136" i="15"/>
  <c r="CE102" i="15"/>
  <c r="CE122" i="15"/>
  <c r="CE162" i="15"/>
  <c r="CE142" i="15"/>
  <c r="CE175" i="15"/>
  <c r="CE135" i="15"/>
  <c r="CE155" i="15"/>
  <c r="CE115" i="15"/>
  <c r="CE163" i="15"/>
  <c r="CE103" i="15"/>
  <c r="CE143" i="15"/>
  <c r="CE123" i="15"/>
  <c r="E86" i="15"/>
  <c r="N52" i="15"/>
  <c r="R52" i="15" s="1"/>
  <c r="AJ130" i="15" s="1"/>
  <c r="N51" i="15"/>
  <c r="R51" i="15" s="1"/>
  <c r="X130" i="15" s="1"/>
  <c r="N13" i="8"/>
  <c r="N13" i="9"/>
  <c r="X132" i="15"/>
  <c r="E88" i="15"/>
  <c r="AF123" i="15"/>
  <c r="AF143" i="15"/>
  <c r="AF103" i="15"/>
  <c r="AF163" i="15"/>
  <c r="AF144" i="15"/>
  <c r="AF164" i="15"/>
  <c r="AF104" i="15"/>
  <c r="AF124" i="15"/>
  <c r="AF165" i="15"/>
  <c r="AF105" i="15"/>
  <c r="AF125" i="15"/>
  <c r="AF145" i="15"/>
  <c r="AF116" i="15"/>
  <c r="AF136" i="15"/>
  <c r="AF176" i="15"/>
  <c r="AF156" i="15"/>
  <c r="AF102" i="15"/>
  <c r="AF122" i="15"/>
  <c r="AF142" i="15"/>
  <c r="AF162" i="15"/>
  <c r="AF175" i="15"/>
  <c r="AF115" i="15"/>
  <c r="AF155" i="15"/>
  <c r="AF135" i="15"/>
  <c r="AF111" i="15"/>
  <c r="AF131" i="15"/>
  <c r="AF151" i="15"/>
  <c r="AF171" i="15"/>
  <c r="J62" i="15"/>
  <c r="J54" i="15"/>
  <c r="CD176" i="15"/>
  <c r="BZ176" i="15"/>
  <c r="BV176" i="15"/>
  <c r="BR176" i="15"/>
  <c r="BN176" i="15"/>
  <c r="BJ176" i="15"/>
  <c r="BF176" i="15"/>
  <c r="BB176" i="15"/>
  <c r="AX176" i="15"/>
  <c r="AT176" i="15"/>
  <c r="AP176" i="15"/>
  <c r="AL176" i="15"/>
  <c r="AH176" i="15"/>
  <c r="AC176" i="15"/>
  <c r="Y176" i="15"/>
  <c r="U176" i="15"/>
  <c r="Q176" i="15"/>
  <c r="M176" i="15"/>
  <c r="E176" i="15"/>
  <c r="CC176" i="15"/>
  <c r="BY176" i="15"/>
  <c r="BU176" i="15"/>
  <c r="BQ176" i="15"/>
  <c r="BM176" i="15"/>
  <c r="BI176" i="15"/>
  <c r="BE176" i="15"/>
  <c r="BA176" i="15"/>
  <c r="AW176" i="15"/>
  <c r="AS176" i="15"/>
  <c r="AO176" i="15"/>
  <c r="AK176" i="15"/>
  <c r="AG176" i="15"/>
  <c r="AB176" i="15"/>
  <c r="T176" i="15"/>
  <c r="P176" i="15"/>
  <c r="L176" i="15"/>
  <c r="H176" i="15"/>
  <c r="D176" i="15"/>
  <c r="CB176" i="15"/>
  <c r="BX176" i="15"/>
  <c r="BT176" i="15"/>
  <c r="BP176" i="15"/>
  <c r="BL176" i="15"/>
  <c r="BH176" i="15"/>
  <c r="BD176" i="15"/>
  <c r="AZ176" i="15"/>
  <c r="AV176" i="15"/>
  <c r="AR176" i="15"/>
  <c r="AN176" i="15"/>
  <c r="AE176" i="15"/>
  <c r="AA176" i="15"/>
  <c r="W176" i="15"/>
  <c r="S176" i="15"/>
  <c r="O176" i="15"/>
  <c r="K176" i="15"/>
  <c r="G176" i="15"/>
  <c r="BW176" i="15"/>
  <c r="BG176" i="15"/>
  <c r="AQ176" i="15"/>
  <c r="Z176" i="15"/>
  <c r="J176" i="15"/>
  <c r="BO176" i="15"/>
  <c r="AY176" i="15"/>
  <c r="AI176" i="15"/>
  <c r="R176" i="15"/>
  <c r="CA176" i="15"/>
  <c r="BK176" i="15"/>
  <c r="AU176" i="15"/>
  <c r="AD176" i="15"/>
  <c r="N176" i="15"/>
  <c r="AM176" i="15"/>
  <c r="BS176" i="15"/>
  <c r="F176" i="15"/>
  <c r="CD156" i="15"/>
  <c r="BZ156" i="15"/>
  <c r="BV156" i="15"/>
  <c r="BR156" i="15"/>
  <c r="BN156" i="15"/>
  <c r="BJ156" i="15"/>
  <c r="BF156" i="15"/>
  <c r="BB156" i="15"/>
  <c r="AX156" i="15"/>
  <c r="AT156" i="15"/>
  <c r="AP156" i="15"/>
  <c r="AL156" i="15"/>
  <c r="AH156" i="15"/>
  <c r="AC156" i="15"/>
  <c r="Y156" i="15"/>
  <c r="U156" i="15"/>
  <c r="Q156" i="15"/>
  <c r="M156" i="15"/>
  <c r="E156" i="15"/>
  <c r="BC176" i="15"/>
  <c r="BY156" i="15"/>
  <c r="BT156" i="15"/>
  <c r="BO156" i="15"/>
  <c r="BI156" i="15"/>
  <c r="BD156" i="15"/>
  <c r="AY156" i="15"/>
  <c r="AS156" i="15"/>
  <c r="AN156" i="15"/>
  <c r="AI156" i="15"/>
  <c r="AB156" i="15"/>
  <c r="W156" i="15"/>
  <c r="R156" i="15"/>
  <c r="L156" i="15"/>
  <c r="G156" i="15"/>
  <c r="CB156" i="15"/>
  <c r="BW156" i="15"/>
  <c r="BQ156" i="15"/>
  <c r="BL156" i="15"/>
  <c r="BG156" i="15"/>
  <c r="BA156" i="15"/>
  <c r="AV156" i="15"/>
  <c r="AQ156" i="15"/>
  <c r="AK156" i="15"/>
  <c r="AE156" i="15"/>
  <c r="Z156" i="15"/>
  <c r="T156" i="15"/>
  <c r="O156" i="15"/>
  <c r="J156" i="15"/>
  <c r="D156" i="15"/>
  <c r="V176" i="15"/>
  <c r="CA156" i="15"/>
  <c r="BU156" i="15"/>
  <c r="BP156" i="15"/>
  <c r="BK156" i="15"/>
  <c r="BE156" i="15"/>
  <c r="AZ156" i="15"/>
  <c r="AU156" i="15"/>
  <c r="AO156" i="15"/>
  <c r="AD156" i="15"/>
  <c r="S156" i="15"/>
  <c r="N156" i="15"/>
  <c r="H156" i="15"/>
  <c r="BX156" i="15"/>
  <c r="BC156" i="15"/>
  <c r="AG156" i="15"/>
  <c r="K156" i="15"/>
  <c r="CD136" i="15"/>
  <c r="BZ136" i="15"/>
  <c r="BV136" i="15"/>
  <c r="BR136" i="15"/>
  <c r="BN136" i="15"/>
  <c r="BJ136" i="15"/>
  <c r="BF136" i="15"/>
  <c r="BB136" i="15"/>
  <c r="AX136" i="15"/>
  <c r="AT136" i="15"/>
  <c r="AP136" i="15"/>
  <c r="AL136" i="15"/>
  <c r="AH136" i="15"/>
  <c r="AC136" i="15"/>
  <c r="Y136" i="15"/>
  <c r="U136" i="15"/>
  <c r="Q136" i="15"/>
  <c r="M136" i="15"/>
  <c r="E136" i="15"/>
  <c r="BM156" i="15"/>
  <c r="AR156" i="15"/>
  <c r="V156" i="15"/>
  <c r="CB136" i="15"/>
  <c r="BX136" i="15"/>
  <c r="BT136" i="15"/>
  <c r="BP136" i="15"/>
  <c r="BL136" i="15"/>
  <c r="BH136" i="15"/>
  <c r="BD136" i="15"/>
  <c r="AZ136" i="15"/>
  <c r="AV136" i="15"/>
  <c r="AR136" i="15"/>
  <c r="AN136" i="15"/>
  <c r="AE136" i="15"/>
  <c r="AA136" i="15"/>
  <c r="W136" i="15"/>
  <c r="S136" i="15"/>
  <c r="O136" i="15"/>
  <c r="K136" i="15"/>
  <c r="G136" i="15"/>
  <c r="CC156" i="15"/>
  <c r="BH156" i="15"/>
  <c r="AM156" i="15"/>
  <c r="P156" i="15"/>
  <c r="CA136" i="15"/>
  <c r="BW136" i="15"/>
  <c r="BS136" i="15"/>
  <c r="BO136" i="15"/>
  <c r="BK136" i="15"/>
  <c r="BG136" i="15"/>
  <c r="BC136" i="15"/>
  <c r="AY136" i="15"/>
  <c r="AU136" i="15"/>
  <c r="AQ136" i="15"/>
  <c r="AM136" i="15"/>
  <c r="AI136" i="15"/>
  <c r="AD136" i="15"/>
  <c r="Z136" i="15"/>
  <c r="V136" i="15"/>
  <c r="R136" i="15"/>
  <c r="N136" i="15"/>
  <c r="J136" i="15"/>
  <c r="F136" i="15"/>
  <c r="AW156" i="15"/>
  <c r="BU136" i="15"/>
  <c r="BE136" i="15"/>
  <c r="AO136" i="15"/>
  <c r="H136" i="15"/>
  <c r="AA156" i="15"/>
  <c r="BQ136" i="15"/>
  <c r="BA136" i="15"/>
  <c r="AK136" i="15"/>
  <c r="T136" i="15"/>
  <c r="D136" i="15"/>
  <c r="BS156" i="15"/>
  <c r="BY136" i="15"/>
  <c r="BI136" i="15"/>
  <c r="AS136" i="15"/>
  <c r="AB136" i="15"/>
  <c r="L136" i="15"/>
  <c r="CC136" i="15"/>
  <c r="P136" i="15"/>
  <c r="CC116" i="15"/>
  <c r="BY116" i="15"/>
  <c r="BU116" i="15"/>
  <c r="BQ116" i="15"/>
  <c r="BM116" i="15"/>
  <c r="BI116" i="15"/>
  <c r="BC116" i="15"/>
  <c r="AY116" i="15"/>
  <c r="AU116" i="15"/>
  <c r="AQ116" i="15"/>
  <c r="BM136" i="15"/>
  <c r="CB116" i="15"/>
  <c r="BX116" i="15"/>
  <c r="BT116" i="15"/>
  <c r="BP116" i="15"/>
  <c r="BL116" i="15"/>
  <c r="BH116" i="15"/>
  <c r="BF116" i="15"/>
  <c r="BB116" i="15"/>
  <c r="AX116" i="15"/>
  <c r="AT116" i="15"/>
  <c r="AW136" i="15"/>
  <c r="CA116" i="15"/>
  <c r="BW116" i="15"/>
  <c r="BS116" i="15"/>
  <c r="BO116" i="15"/>
  <c r="BK116" i="15"/>
  <c r="BG116" i="15"/>
  <c r="BE116" i="15"/>
  <c r="BA116" i="15"/>
  <c r="AW116" i="15"/>
  <c r="AS116" i="15"/>
  <c r="AO116" i="15"/>
  <c r="AK116" i="15"/>
  <c r="AG116" i="15"/>
  <c r="AB116" i="15"/>
  <c r="T116" i="15"/>
  <c r="N116" i="15"/>
  <c r="J116" i="15"/>
  <c r="F156" i="15"/>
  <c r="CD116" i="15"/>
  <c r="BN116" i="15"/>
  <c r="AV116" i="15"/>
  <c r="AM116" i="15"/>
  <c r="AE116" i="15"/>
  <c r="Z116" i="15"/>
  <c r="U116" i="15"/>
  <c r="BJ116" i="15"/>
  <c r="Y116" i="15"/>
  <c r="H116" i="15"/>
  <c r="BV116" i="15"/>
  <c r="BD116" i="15"/>
  <c r="AP116" i="15"/>
  <c r="AI116" i="15"/>
  <c r="AC116" i="15"/>
  <c r="W116" i="15"/>
  <c r="R116" i="15"/>
  <c r="M116" i="15"/>
  <c r="L116" i="15"/>
  <c r="K116" i="15"/>
  <c r="E116" i="15"/>
  <c r="AG136" i="15"/>
  <c r="AR116" i="15"/>
  <c r="AL116" i="15"/>
  <c r="AD116" i="15"/>
  <c r="P116" i="15"/>
  <c r="G116" i="15"/>
  <c r="D116" i="15"/>
  <c r="BR116" i="15"/>
  <c r="AZ116" i="15"/>
  <c r="AN116" i="15"/>
  <c r="AH116" i="15"/>
  <c r="AA116" i="15"/>
  <c r="V116" i="15"/>
  <c r="F116" i="15"/>
  <c r="BZ116" i="15"/>
  <c r="S116" i="15"/>
  <c r="Q116" i="15"/>
  <c r="O116" i="15"/>
  <c r="CB175" i="15"/>
  <c r="BX175" i="15"/>
  <c r="BT175" i="15"/>
  <c r="BP175" i="15"/>
  <c r="BL175" i="15"/>
  <c r="BH175" i="15"/>
  <c r="BD175" i="15"/>
  <c r="AZ175" i="15"/>
  <c r="AV175" i="15"/>
  <c r="AR175" i="15"/>
  <c r="AN175" i="15"/>
  <c r="AE175" i="15"/>
  <c r="AA175" i="15"/>
  <c r="W175" i="15"/>
  <c r="S175" i="15"/>
  <c r="O175" i="15"/>
  <c r="K175" i="15"/>
  <c r="G175" i="15"/>
  <c r="CA175" i="15"/>
  <c r="BW175" i="15"/>
  <c r="BS175" i="15"/>
  <c r="BO175" i="15"/>
  <c r="BK175" i="15"/>
  <c r="BG175" i="15"/>
  <c r="BC175" i="15"/>
  <c r="AY175" i="15"/>
  <c r="AU175" i="15"/>
  <c r="AQ175" i="15"/>
  <c r="AM175" i="15"/>
  <c r="AI175" i="15"/>
  <c r="AD175" i="15"/>
  <c r="Z175" i="15"/>
  <c r="V175" i="15"/>
  <c r="R175" i="15"/>
  <c r="N175" i="15"/>
  <c r="J175" i="15"/>
  <c r="F175" i="15"/>
  <c r="CD175" i="15"/>
  <c r="BZ175" i="15"/>
  <c r="BV175" i="15"/>
  <c r="BR175" i="15"/>
  <c r="BN175" i="15"/>
  <c r="BJ175" i="15"/>
  <c r="BF175" i="15"/>
  <c r="BB175" i="15"/>
  <c r="AX175" i="15"/>
  <c r="AT175" i="15"/>
  <c r="AP175" i="15"/>
  <c r="AL175" i="15"/>
  <c r="AH175" i="15"/>
  <c r="AC175" i="15"/>
  <c r="Y175" i="15"/>
  <c r="U175" i="15"/>
  <c r="Q175" i="15"/>
  <c r="M175" i="15"/>
  <c r="E175" i="15"/>
  <c r="BU175" i="15"/>
  <c r="BE175" i="15"/>
  <c r="AO175" i="15"/>
  <c r="H175" i="15"/>
  <c r="CC175" i="15"/>
  <c r="BM175" i="15"/>
  <c r="AW175" i="15"/>
  <c r="AG175" i="15"/>
  <c r="P175" i="15"/>
  <c r="BY175" i="15"/>
  <c r="BI175" i="15"/>
  <c r="AS175" i="15"/>
  <c r="AB175" i="15"/>
  <c r="L175" i="15"/>
  <c r="BA175" i="15"/>
  <c r="T175" i="15"/>
  <c r="CB155" i="15"/>
  <c r="BX155" i="15"/>
  <c r="BT155" i="15"/>
  <c r="BP155" i="15"/>
  <c r="BL155" i="15"/>
  <c r="BH155" i="15"/>
  <c r="BD155" i="15"/>
  <c r="AZ155" i="15"/>
  <c r="AV155" i="15"/>
  <c r="BQ175" i="15"/>
  <c r="D175" i="15"/>
  <c r="AK175" i="15"/>
  <c r="CC155" i="15"/>
  <c r="BW155" i="15"/>
  <c r="BR155" i="15"/>
  <c r="BM155" i="15"/>
  <c r="BG155" i="15"/>
  <c r="BB155" i="15"/>
  <c r="AW155" i="15"/>
  <c r="AR155" i="15"/>
  <c r="AN155" i="15"/>
  <c r="AE155" i="15"/>
  <c r="AA155" i="15"/>
  <c r="W155" i="15"/>
  <c r="S155" i="15"/>
  <c r="O155" i="15"/>
  <c r="K155" i="15"/>
  <c r="G155" i="15"/>
  <c r="BZ155" i="15"/>
  <c r="BU155" i="15"/>
  <c r="BO155" i="15"/>
  <c r="BJ155" i="15"/>
  <c r="BE155" i="15"/>
  <c r="AY155" i="15"/>
  <c r="AT155" i="15"/>
  <c r="AP155" i="15"/>
  <c r="AL155" i="15"/>
  <c r="AH155" i="15"/>
  <c r="AC155" i="15"/>
  <c r="Y155" i="15"/>
  <c r="U155" i="15"/>
  <c r="Q155" i="15"/>
  <c r="M155" i="15"/>
  <c r="E155" i="15"/>
  <c r="CD155" i="15"/>
  <c r="BY155" i="15"/>
  <c r="BS155" i="15"/>
  <c r="BN155" i="15"/>
  <c r="BI155" i="15"/>
  <c r="BC155" i="15"/>
  <c r="AX155" i="15"/>
  <c r="AS155" i="15"/>
  <c r="AO155" i="15"/>
  <c r="AK155" i="15"/>
  <c r="AG155" i="15"/>
  <c r="AB155" i="15"/>
  <c r="T155" i="15"/>
  <c r="P155" i="15"/>
  <c r="L155" i="15"/>
  <c r="H155" i="15"/>
  <c r="D155" i="15"/>
  <c r="BQ155" i="15"/>
  <c r="AU155" i="15"/>
  <c r="AD155" i="15"/>
  <c r="N155" i="15"/>
  <c r="CB135" i="15"/>
  <c r="BX135" i="15"/>
  <c r="BT135" i="15"/>
  <c r="BP135" i="15"/>
  <c r="CA155" i="15"/>
  <c r="BF155" i="15"/>
  <c r="AM155" i="15"/>
  <c r="V155" i="15"/>
  <c r="F155" i="15"/>
  <c r="CD135" i="15"/>
  <c r="BZ135" i="15"/>
  <c r="BV135" i="15"/>
  <c r="BR135" i="15"/>
  <c r="BN135" i="15"/>
  <c r="BJ135" i="15"/>
  <c r="BF135" i="15"/>
  <c r="BB135" i="15"/>
  <c r="AX135" i="15"/>
  <c r="AT135" i="15"/>
  <c r="AP135" i="15"/>
  <c r="AL135" i="15"/>
  <c r="AH135" i="15"/>
  <c r="AC135" i="15"/>
  <c r="Y135" i="15"/>
  <c r="U135" i="15"/>
  <c r="Q135" i="15"/>
  <c r="M135" i="15"/>
  <c r="E135" i="15"/>
  <c r="BV155" i="15"/>
  <c r="BA155" i="15"/>
  <c r="AI155" i="15"/>
  <c r="R155" i="15"/>
  <c r="CC135" i="15"/>
  <c r="BY135" i="15"/>
  <c r="BU135" i="15"/>
  <c r="BQ135" i="15"/>
  <c r="AQ155" i="15"/>
  <c r="BS135" i="15"/>
  <c r="BK135" i="15"/>
  <c r="BE135" i="15"/>
  <c r="AZ135" i="15"/>
  <c r="AU135" i="15"/>
  <c r="AO135" i="15"/>
  <c r="AD135" i="15"/>
  <c r="S135" i="15"/>
  <c r="N135" i="15"/>
  <c r="H135" i="15"/>
  <c r="Z155" i="15"/>
  <c r="BO135" i="15"/>
  <c r="BI135" i="15"/>
  <c r="BD135" i="15"/>
  <c r="AY135" i="15"/>
  <c r="AS135" i="15"/>
  <c r="AN135" i="15"/>
  <c r="AI135" i="15"/>
  <c r="AB135" i="15"/>
  <c r="W135" i="15"/>
  <c r="R135" i="15"/>
  <c r="L135" i="15"/>
  <c r="G135" i="15"/>
  <c r="BK155" i="15"/>
  <c r="BW135" i="15"/>
  <c r="BL135" i="15"/>
  <c r="BG135" i="15"/>
  <c r="BA135" i="15"/>
  <c r="AV135" i="15"/>
  <c r="AQ135" i="15"/>
  <c r="AK135" i="15"/>
  <c r="AE135" i="15"/>
  <c r="Z135" i="15"/>
  <c r="T135" i="15"/>
  <c r="O135" i="15"/>
  <c r="J135" i="15"/>
  <c r="D135" i="15"/>
  <c r="J155" i="15"/>
  <c r="BC135" i="15"/>
  <c r="AG135" i="15"/>
  <c r="K135" i="15"/>
  <c r="C135" i="15"/>
  <c r="CC115" i="15"/>
  <c r="BY115" i="15"/>
  <c r="BU115" i="15"/>
  <c r="BQ115" i="15"/>
  <c r="BM115" i="15"/>
  <c r="BI115" i="15"/>
  <c r="CA135" i="15"/>
  <c r="AW135" i="15"/>
  <c r="AA135" i="15"/>
  <c r="F135" i="15"/>
  <c r="CB115" i="15"/>
  <c r="BX115" i="15"/>
  <c r="BT115" i="15"/>
  <c r="BP115" i="15"/>
  <c r="BL115" i="15"/>
  <c r="BH115" i="15"/>
  <c r="BM135" i="15"/>
  <c r="AR135" i="15"/>
  <c r="V135" i="15"/>
  <c r="CA115" i="15"/>
  <c r="BW115" i="15"/>
  <c r="BS115" i="15"/>
  <c r="BO115" i="15"/>
  <c r="BK115" i="15"/>
  <c r="BG115" i="15"/>
  <c r="BD115" i="15"/>
  <c r="AZ115" i="15"/>
  <c r="AV115" i="15"/>
  <c r="AR115" i="15"/>
  <c r="AN115" i="15"/>
  <c r="AH115" i="15"/>
  <c r="AC115" i="15"/>
  <c r="Y115" i="15"/>
  <c r="U115" i="15"/>
  <c r="Q115" i="15"/>
  <c r="M115" i="15"/>
  <c r="H115" i="15"/>
  <c r="P135" i="15"/>
  <c r="BV115" i="15"/>
  <c r="BE115" i="15"/>
  <c r="AY115" i="15"/>
  <c r="AT115" i="15"/>
  <c r="AO115" i="15"/>
  <c r="AG115" i="15"/>
  <c r="AA115" i="15"/>
  <c r="V115" i="15"/>
  <c r="F115" i="15"/>
  <c r="AX115" i="15"/>
  <c r="T115" i="15"/>
  <c r="BH135" i="15"/>
  <c r="CD115" i="15"/>
  <c r="BN115" i="15"/>
  <c r="BB115" i="15"/>
  <c r="AW115" i="15"/>
  <c r="AQ115" i="15"/>
  <c r="AL115" i="15"/>
  <c r="AD115" i="15"/>
  <c r="S115" i="15"/>
  <c r="P115" i="15"/>
  <c r="O115" i="15"/>
  <c r="N115" i="15"/>
  <c r="G115" i="15"/>
  <c r="D115" i="15"/>
  <c r="K115" i="15"/>
  <c r="BR115" i="15"/>
  <c r="AS115" i="15"/>
  <c r="AM115" i="15"/>
  <c r="AE115" i="15"/>
  <c r="Z115" i="15"/>
  <c r="C115" i="15"/>
  <c r="AM135" i="15"/>
  <c r="BZ115" i="15"/>
  <c r="BJ115" i="15"/>
  <c r="BF115" i="15"/>
  <c r="BA115" i="15"/>
  <c r="AU115" i="15"/>
  <c r="AP115" i="15"/>
  <c r="AK115" i="15"/>
  <c r="AI115" i="15"/>
  <c r="AB115" i="15"/>
  <c r="W115" i="15"/>
  <c r="R115" i="15"/>
  <c r="L115" i="15"/>
  <c r="J115" i="15"/>
  <c r="E115" i="15"/>
  <c r="BC115" i="15"/>
  <c r="CC171" i="15"/>
  <c r="BY171" i="15"/>
  <c r="BU171" i="15"/>
  <c r="BQ171" i="15"/>
  <c r="BM171" i="15"/>
  <c r="BI171" i="15"/>
  <c r="BE171" i="15"/>
  <c r="BA171" i="15"/>
  <c r="AW171" i="15"/>
  <c r="AS171" i="15"/>
  <c r="AO171" i="15"/>
  <c r="AK171" i="15"/>
  <c r="AG171" i="15"/>
  <c r="AB171" i="15"/>
  <c r="T171" i="15"/>
  <c r="P171" i="15"/>
  <c r="L171" i="15"/>
  <c r="H171" i="15"/>
  <c r="D171" i="15"/>
  <c r="CA171" i="15"/>
  <c r="BW171" i="15"/>
  <c r="BS171" i="15"/>
  <c r="BO171" i="15"/>
  <c r="BK171" i="15"/>
  <c r="BG171" i="15"/>
  <c r="BC171" i="15"/>
  <c r="AY171" i="15"/>
  <c r="AU171" i="15"/>
  <c r="AQ171" i="15"/>
  <c r="AM171" i="15"/>
  <c r="AI171" i="15"/>
  <c r="AD171" i="15"/>
  <c r="Z171" i="15"/>
  <c r="V171" i="15"/>
  <c r="R171" i="15"/>
  <c r="N171" i="15"/>
  <c r="J171" i="15"/>
  <c r="F171" i="15"/>
  <c r="CD171" i="15"/>
  <c r="BZ171" i="15"/>
  <c r="BV171" i="15"/>
  <c r="BR171" i="15"/>
  <c r="BN171" i="15"/>
  <c r="BJ171" i="15"/>
  <c r="BF171" i="15"/>
  <c r="BB171" i="15"/>
  <c r="AX171" i="15"/>
  <c r="AT171" i="15"/>
  <c r="AP171" i="15"/>
  <c r="AL171" i="15"/>
  <c r="AH171" i="15"/>
  <c r="AC171" i="15"/>
  <c r="Y171" i="15"/>
  <c r="U171" i="15"/>
  <c r="Q171" i="15"/>
  <c r="M171" i="15"/>
  <c r="E171" i="15"/>
  <c r="CB171" i="15"/>
  <c r="BL171" i="15"/>
  <c r="AV171" i="15"/>
  <c r="AE171" i="15"/>
  <c r="O171" i="15"/>
  <c r="BT171" i="15"/>
  <c r="BD171" i="15"/>
  <c r="AN171" i="15"/>
  <c r="W171" i="15"/>
  <c r="G171" i="15"/>
  <c r="BP171" i="15"/>
  <c r="AZ171" i="15"/>
  <c r="S171" i="15"/>
  <c r="AR171" i="15"/>
  <c r="CB151" i="15"/>
  <c r="BX151" i="15"/>
  <c r="BT151" i="15"/>
  <c r="BP151" i="15"/>
  <c r="BL151" i="15"/>
  <c r="BH151" i="15"/>
  <c r="BD151" i="15"/>
  <c r="AZ151" i="15"/>
  <c r="AV151" i="15"/>
  <c r="AR151" i="15"/>
  <c r="AN151" i="15"/>
  <c r="AE151" i="15"/>
  <c r="AA151" i="15"/>
  <c r="W151" i="15"/>
  <c r="S151" i="15"/>
  <c r="O151" i="15"/>
  <c r="K151" i="15"/>
  <c r="G151" i="15"/>
  <c r="BX171" i="15"/>
  <c r="K171" i="15"/>
  <c r="CD151" i="15"/>
  <c r="BZ151" i="15"/>
  <c r="BV151" i="15"/>
  <c r="BR151" i="15"/>
  <c r="BN151" i="15"/>
  <c r="BJ151" i="15"/>
  <c r="BF151" i="15"/>
  <c r="BB151" i="15"/>
  <c r="AX151" i="15"/>
  <c r="AT151" i="15"/>
  <c r="AP151" i="15"/>
  <c r="AL151" i="15"/>
  <c r="AH151" i="15"/>
  <c r="AC151" i="15"/>
  <c r="Y151" i="15"/>
  <c r="U151" i="15"/>
  <c r="Q151" i="15"/>
  <c r="M151" i="15"/>
  <c r="E151" i="15"/>
  <c r="BH171" i="15"/>
  <c r="AA171" i="15"/>
  <c r="BW151" i="15"/>
  <c r="BO151" i="15"/>
  <c r="BG151" i="15"/>
  <c r="AY151" i="15"/>
  <c r="AQ151" i="15"/>
  <c r="AI151" i="15"/>
  <c r="Z151" i="15"/>
  <c r="R151" i="15"/>
  <c r="J151" i="15"/>
  <c r="CA151" i="15"/>
  <c r="BS151" i="15"/>
  <c r="BK151" i="15"/>
  <c r="BC151" i="15"/>
  <c r="AU151" i="15"/>
  <c r="AM151" i="15"/>
  <c r="AD151" i="15"/>
  <c r="V151" i="15"/>
  <c r="N151" i="15"/>
  <c r="F151" i="15"/>
  <c r="CD131" i="15"/>
  <c r="BZ131" i="15"/>
  <c r="BV131" i="15"/>
  <c r="BR131" i="15"/>
  <c r="BN131" i="15"/>
  <c r="BJ131" i="15"/>
  <c r="BF131" i="15"/>
  <c r="BB131" i="15"/>
  <c r="AX131" i="15"/>
  <c r="AT131" i="15"/>
  <c r="AP131" i="15"/>
  <c r="AL131" i="15"/>
  <c r="AH131" i="15"/>
  <c r="AC131" i="15"/>
  <c r="Y131" i="15"/>
  <c r="U131" i="15"/>
  <c r="Q131" i="15"/>
  <c r="M131" i="15"/>
  <c r="E131" i="15"/>
  <c r="BY151" i="15"/>
  <c r="BQ151" i="15"/>
  <c r="BI151" i="15"/>
  <c r="BA151" i="15"/>
  <c r="AS151" i="15"/>
  <c r="AK151" i="15"/>
  <c r="AB151" i="15"/>
  <c r="T151" i="15"/>
  <c r="L151" i="15"/>
  <c r="D151" i="15"/>
  <c r="BE151" i="15"/>
  <c r="CC131" i="15"/>
  <c r="BX131" i="15"/>
  <c r="BS131" i="15"/>
  <c r="BM131" i="15"/>
  <c r="BH131" i="15"/>
  <c r="BC131" i="15"/>
  <c r="AW131" i="15"/>
  <c r="AR131" i="15"/>
  <c r="AM131" i="15"/>
  <c r="AG131" i="15"/>
  <c r="AA131" i="15"/>
  <c r="V131" i="15"/>
  <c r="P131" i="15"/>
  <c r="K131" i="15"/>
  <c r="F131" i="15"/>
  <c r="CC151" i="15"/>
  <c r="AW151" i="15"/>
  <c r="P151" i="15"/>
  <c r="CB131" i="15"/>
  <c r="BW131" i="15"/>
  <c r="BM151" i="15"/>
  <c r="AG151" i="15"/>
  <c r="BY131" i="15"/>
  <c r="BT131" i="15"/>
  <c r="AO151" i="15"/>
  <c r="BU131" i="15"/>
  <c r="BL131" i="15"/>
  <c r="BE131" i="15"/>
  <c r="AY131" i="15"/>
  <c r="AQ131" i="15"/>
  <c r="AB131" i="15"/>
  <c r="T131" i="15"/>
  <c r="N131" i="15"/>
  <c r="G131" i="15"/>
  <c r="CC111" i="15"/>
  <c r="BY111" i="15"/>
  <c r="BU111" i="15"/>
  <c r="BQ111" i="15"/>
  <c r="BM111" i="15"/>
  <c r="BI111" i="15"/>
  <c r="H151" i="15"/>
  <c r="BQ131" i="15"/>
  <c r="BK131" i="15"/>
  <c r="BD131" i="15"/>
  <c r="AV131" i="15"/>
  <c r="AO131" i="15"/>
  <c r="AI131" i="15"/>
  <c r="Z131" i="15"/>
  <c r="S131" i="15"/>
  <c r="L131" i="15"/>
  <c r="D131" i="15"/>
  <c r="CB111" i="15"/>
  <c r="BX111" i="15"/>
  <c r="BT111" i="15"/>
  <c r="BP111" i="15"/>
  <c r="BL111" i="15"/>
  <c r="BH111" i="15"/>
  <c r="BP131" i="15"/>
  <c r="BI131" i="15"/>
  <c r="BA131" i="15"/>
  <c r="AU131" i="15"/>
  <c r="AN131" i="15"/>
  <c r="AE131" i="15"/>
  <c r="R131" i="15"/>
  <c r="J131" i="15"/>
  <c r="CA111" i="15"/>
  <c r="BW111" i="15"/>
  <c r="BS111" i="15"/>
  <c r="BO111" i="15"/>
  <c r="BK111" i="15"/>
  <c r="BG111" i="15"/>
  <c r="BC111" i="15"/>
  <c r="AY111" i="15"/>
  <c r="AU111" i="15"/>
  <c r="AQ111" i="15"/>
  <c r="AM111" i="15"/>
  <c r="AG111" i="15"/>
  <c r="AB111" i="15"/>
  <c r="T111" i="15"/>
  <c r="N111" i="15"/>
  <c r="J111" i="15"/>
  <c r="CA131" i="15"/>
  <c r="AS131" i="15"/>
  <c r="O131" i="15"/>
  <c r="CD111" i="15"/>
  <c r="BN111" i="15"/>
  <c r="BB111" i="15"/>
  <c r="AW111" i="15"/>
  <c r="AR111" i="15"/>
  <c r="AL111" i="15"/>
  <c r="AD111" i="15"/>
  <c r="Y111" i="15"/>
  <c r="S111" i="15"/>
  <c r="Q111" i="15"/>
  <c r="P111" i="15"/>
  <c r="O111" i="15"/>
  <c r="H111" i="15"/>
  <c r="G111" i="15"/>
  <c r="BU151" i="15"/>
  <c r="AP111" i="15"/>
  <c r="AI111" i="15"/>
  <c r="D111" i="15"/>
  <c r="BG131" i="15"/>
  <c r="AD131" i="15"/>
  <c r="BV111" i="15"/>
  <c r="BE111" i="15"/>
  <c r="AZ111" i="15"/>
  <c r="AT111" i="15"/>
  <c r="AO111" i="15"/>
  <c r="AH111" i="15"/>
  <c r="AA111" i="15"/>
  <c r="V111" i="15"/>
  <c r="E111" i="15"/>
  <c r="F111" i="15"/>
  <c r="BO131" i="15"/>
  <c r="AK131" i="15"/>
  <c r="BZ111" i="15"/>
  <c r="BJ111" i="15"/>
  <c r="BA111" i="15"/>
  <c r="AV111" i="15"/>
  <c r="AC111" i="15"/>
  <c r="R111" i="15"/>
  <c r="M111" i="15"/>
  <c r="K111" i="15"/>
  <c r="AZ131" i="15"/>
  <c r="W131" i="15"/>
  <c r="BR111" i="15"/>
  <c r="BD111" i="15"/>
  <c r="AX111" i="15"/>
  <c r="AS111" i="15"/>
  <c r="AN111" i="15"/>
  <c r="AE111" i="15"/>
  <c r="Z111" i="15"/>
  <c r="U111" i="15"/>
  <c r="H131" i="15"/>
  <c r="BF111" i="15"/>
  <c r="AK111" i="15"/>
  <c r="W111" i="15"/>
  <c r="L111" i="15"/>
  <c r="J35" i="15"/>
  <c r="CT9" i="18"/>
  <c r="CT43" i="18"/>
  <c r="CT36" i="18"/>
  <c r="CT8" i="18"/>
  <c r="J25" i="15"/>
  <c r="J70" i="15"/>
  <c r="J27" i="15"/>
  <c r="J41" i="15"/>
  <c r="J39" i="15"/>
  <c r="J68" i="15"/>
  <c r="J28" i="15"/>
  <c r="J36" i="15"/>
  <c r="J53" i="15"/>
  <c r="J64" i="15"/>
  <c r="J47" i="15"/>
  <c r="N47" i="15" s="1"/>
  <c r="R47" i="15" s="1"/>
  <c r="J58" i="15"/>
  <c r="N58" i="15" s="1"/>
  <c r="R58" i="15" s="1"/>
  <c r="J57" i="15"/>
  <c r="N57" i="15" s="1"/>
  <c r="R57" i="15" s="1"/>
  <c r="J63" i="15"/>
  <c r="J44" i="15"/>
  <c r="J49" i="15"/>
  <c r="J46" i="15"/>
  <c r="J34" i="15"/>
  <c r="J45" i="15"/>
  <c r="J40" i="15"/>
  <c r="J32" i="15"/>
  <c r="J65" i="15"/>
  <c r="J29" i="15"/>
  <c r="J37" i="15"/>
  <c r="J31" i="15"/>
  <c r="J33" i="15"/>
  <c r="J59" i="15"/>
  <c r="J30" i="15"/>
  <c r="J66" i="15"/>
  <c r="J50" i="15"/>
  <c r="CS206" i="18"/>
  <c r="CR206" i="18"/>
  <c r="CT7" i="18"/>
  <c r="CT34" i="18"/>
  <c r="CT13" i="18"/>
  <c r="CT10" i="18"/>
  <c r="CT11" i="18"/>
  <c r="CT5" i="18"/>
  <c r="CT38" i="18"/>
  <c r="CT42" i="18"/>
  <c r="CT37" i="18"/>
  <c r="CT40" i="18"/>
  <c r="CR207" i="18"/>
  <c r="CT12" i="18"/>
  <c r="CT41" i="18"/>
  <c r="CK206" i="18"/>
  <c r="CT39" i="18"/>
  <c r="CS207" i="18"/>
  <c r="CK156" i="18"/>
  <c r="CK163" i="18"/>
  <c r="CK159" i="18"/>
  <c r="CK131" i="18"/>
  <c r="CK154" i="18"/>
  <c r="CK130" i="18"/>
  <c r="CK161" i="18"/>
  <c r="CK157" i="18"/>
  <c r="CK153" i="18"/>
  <c r="BX209" i="18"/>
  <c r="J67" i="15"/>
  <c r="J48" i="15"/>
  <c r="J38" i="15"/>
  <c r="J61" i="15"/>
  <c r="J60" i="15"/>
  <c r="J26" i="15"/>
  <c r="N142" i="15"/>
  <c r="E105" i="15"/>
  <c r="BY162" i="15"/>
  <c r="L162" i="15"/>
  <c r="BI162" i="15"/>
  <c r="BQ122" i="15"/>
  <c r="BV104" i="15"/>
  <c r="AS162" i="15"/>
  <c r="AU142" i="15"/>
  <c r="Y122" i="15"/>
  <c r="BM105" i="15"/>
  <c r="AL105" i="15"/>
  <c r="AD124" i="15"/>
  <c r="BJ122" i="15"/>
  <c r="AB162" i="15"/>
  <c r="CA103" i="15"/>
  <c r="CC123" i="15"/>
  <c r="CA143" i="15"/>
  <c r="CC163" i="15"/>
  <c r="M103" i="15"/>
  <c r="Q103" i="15"/>
  <c r="U103" i="15"/>
  <c r="Y103" i="15"/>
  <c r="AC103" i="15"/>
  <c r="AH103" i="15"/>
  <c r="AL103" i="15"/>
  <c r="BZ103" i="15"/>
  <c r="CD103" i="15"/>
  <c r="CB123" i="15"/>
  <c r="BZ143" i="15"/>
  <c r="CD143" i="15"/>
  <c r="CB163" i="15"/>
  <c r="H103" i="15"/>
  <c r="L103" i="15"/>
  <c r="P103" i="15"/>
  <c r="T103" i="15"/>
  <c r="AB103" i="15"/>
  <c r="AG103" i="15"/>
  <c r="AK103" i="15"/>
  <c r="AO103" i="15"/>
  <c r="AS103" i="15"/>
  <c r="AW103" i="15"/>
  <c r="BA103" i="15"/>
  <c r="BE103" i="15"/>
  <c r="BI103" i="15"/>
  <c r="BM103" i="15"/>
  <c r="BQ103" i="15"/>
  <c r="BU103" i="15"/>
  <c r="BY103" i="15"/>
  <c r="BZ123" i="15"/>
  <c r="CA163" i="15"/>
  <c r="CA123" i="15"/>
  <c r="CB143" i="15"/>
  <c r="CD163" i="15"/>
  <c r="K103" i="15"/>
  <c r="S103" i="15"/>
  <c r="AA103" i="15"/>
  <c r="AQ103" i="15"/>
  <c r="AV103" i="15"/>
  <c r="BB103" i="15"/>
  <c r="BG103" i="15"/>
  <c r="BL103" i="15"/>
  <c r="BR103" i="15"/>
  <c r="BW103" i="15"/>
  <c r="CC143" i="15"/>
  <c r="BZ163" i="15"/>
  <c r="G103" i="15"/>
  <c r="R103" i="15"/>
  <c r="AD103" i="15"/>
  <c r="AN103" i="15"/>
  <c r="AU103" i="15"/>
  <c r="BC103" i="15"/>
  <c r="BJ103" i="15"/>
  <c r="BP103" i="15"/>
  <c r="BX103" i="15"/>
  <c r="CC103" i="15"/>
  <c r="CD123" i="15"/>
  <c r="F103" i="15"/>
  <c r="O103" i="15"/>
  <c r="Z103" i="15"/>
  <c r="AM103" i="15"/>
  <c r="AT103" i="15"/>
  <c r="AZ103" i="15"/>
  <c r="BH103" i="15"/>
  <c r="BO103" i="15"/>
  <c r="BV103" i="15"/>
  <c r="V103" i="15"/>
  <c r="AP103" i="15"/>
  <c r="BD103" i="15"/>
  <c r="BS103" i="15"/>
  <c r="F123" i="15"/>
  <c r="J123" i="15"/>
  <c r="N123" i="15"/>
  <c r="R123" i="15"/>
  <c r="V123" i="15"/>
  <c r="Z123" i="15"/>
  <c r="AD123" i="15"/>
  <c r="AI123" i="15"/>
  <c r="AM123" i="15"/>
  <c r="AQ123" i="15"/>
  <c r="AU123" i="15"/>
  <c r="AY123" i="15"/>
  <c r="BC123" i="15"/>
  <c r="BG123" i="15"/>
  <c r="BK123" i="15"/>
  <c r="BO123" i="15"/>
  <c r="BS123" i="15"/>
  <c r="BW123" i="15"/>
  <c r="H143" i="15"/>
  <c r="L143" i="15"/>
  <c r="P143" i="15"/>
  <c r="T143" i="15"/>
  <c r="AB143" i="15"/>
  <c r="AG143" i="15"/>
  <c r="AK143" i="15"/>
  <c r="AO143" i="15"/>
  <c r="AS143" i="15"/>
  <c r="AW143" i="15"/>
  <c r="BA143" i="15"/>
  <c r="BE143" i="15"/>
  <c r="BI143" i="15"/>
  <c r="BM143" i="15"/>
  <c r="BQ143" i="15"/>
  <c r="BU143" i="15"/>
  <c r="BY143" i="15"/>
  <c r="CB103" i="15"/>
  <c r="N103" i="15"/>
  <c r="AI103" i="15"/>
  <c r="AY103" i="15"/>
  <c r="BN103" i="15"/>
  <c r="M123" i="15"/>
  <c r="Q123" i="15"/>
  <c r="U123" i="15"/>
  <c r="Y123" i="15"/>
  <c r="AC123" i="15"/>
  <c r="AH123" i="15"/>
  <c r="AL123" i="15"/>
  <c r="AP123" i="15"/>
  <c r="AT123" i="15"/>
  <c r="AX123" i="15"/>
  <c r="BB123" i="15"/>
  <c r="BF123" i="15"/>
  <c r="BJ123" i="15"/>
  <c r="BN123" i="15"/>
  <c r="BR123" i="15"/>
  <c r="BV123" i="15"/>
  <c r="G143" i="15"/>
  <c r="K143" i="15"/>
  <c r="O143" i="15"/>
  <c r="S143" i="15"/>
  <c r="W143" i="15"/>
  <c r="AA143" i="15"/>
  <c r="AE143" i="15"/>
  <c r="AN143" i="15"/>
  <c r="AR143" i="15"/>
  <c r="AV143" i="15"/>
  <c r="AZ143" i="15"/>
  <c r="BD143" i="15"/>
  <c r="BH143" i="15"/>
  <c r="BL143" i="15"/>
  <c r="BP143" i="15"/>
  <c r="BT143" i="15"/>
  <c r="BX143" i="15"/>
  <c r="W103" i="15"/>
  <c r="BF103" i="15"/>
  <c r="K123" i="15"/>
  <c r="S123" i="15"/>
  <c r="AA123" i="15"/>
  <c r="AR123" i="15"/>
  <c r="AZ123" i="15"/>
  <c r="BH123" i="15"/>
  <c r="BP123" i="15"/>
  <c r="BX123" i="15"/>
  <c r="Q143" i="15"/>
  <c r="Y143" i="15"/>
  <c r="AH143" i="15"/>
  <c r="AP143" i="15"/>
  <c r="AX143" i="15"/>
  <c r="BF143" i="15"/>
  <c r="BN143" i="15"/>
  <c r="BV143" i="15"/>
  <c r="M163" i="15"/>
  <c r="Q163" i="15"/>
  <c r="U163" i="15"/>
  <c r="Y163" i="15"/>
  <c r="AC163" i="15"/>
  <c r="AH163" i="15"/>
  <c r="AL163" i="15"/>
  <c r="AP163" i="15"/>
  <c r="AT163" i="15"/>
  <c r="AX163" i="15"/>
  <c r="BB163" i="15"/>
  <c r="BF163" i="15"/>
  <c r="BJ163" i="15"/>
  <c r="BN163" i="15"/>
  <c r="BR163" i="15"/>
  <c r="BV163" i="15"/>
  <c r="J103" i="15"/>
  <c r="AX103" i="15"/>
  <c r="H123" i="15"/>
  <c r="P123" i="15"/>
  <c r="AG123" i="15"/>
  <c r="AO123" i="15"/>
  <c r="AW123" i="15"/>
  <c r="BE123" i="15"/>
  <c r="BM123" i="15"/>
  <c r="BU123" i="15"/>
  <c r="F143" i="15"/>
  <c r="N143" i="15"/>
  <c r="V143" i="15"/>
  <c r="AD143" i="15"/>
  <c r="AM143" i="15"/>
  <c r="AU143" i="15"/>
  <c r="BC143" i="15"/>
  <c r="BK143" i="15"/>
  <c r="BS143" i="15"/>
  <c r="H163" i="15"/>
  <c r="L163" i="15"/>
  <c r="P163" i="15"/>
  <c r="T163" i="15"/>
  <c r="AB163" i="15"/>
  <c r="AG163" i="15"/>
  <c r="AK163" i="15"/>
  <c r="AO163" i="15"/>
  <c r="AS163" i="15"/>
  <c r="AW163" i="15"/>
  <c r="BA163" i="15"/>
  <c r="BE163" i="15"/>
  <c r="BI163" i="15"/>
  <c r="BM163" i="15"/>
  <c r="BQ163" i="15"/>
  <c r="BU163" i="15"/>
  <c r="BY163" i="15"/>
  <c r="AE103" i="15"/>
  <c r="O123" i="15"/>
  <c r="AE123" i="15"/>
  <c r="AV123" i="15"/>
  <c r="BL123" i="15"/>
  <c r="M143" i="15"/>
  <c r="AC143" i="15"/>
  <c r="AT143" i="15"/>
  <c r="BJ143" i="15"/>
  <c r="G163" i="15"/>
  <c r="O163" i="15"/>
  <c r="W163" i="15"/>
  <c r="AE163" i="15"/>
  <c r="AN163" i="15"/>
  <c r="AV163" i="15"/>
  <c r="BD163" i="15"/>
  <c r="BL163" i="15"/>
  <c r="BT163" i="15"/>
  <c r="AR103" i="15"/>
  <c r="T123" i="15"/>
  <c r="AK123" i="15"/>
  <c r="BA123" i="15"/>
  <c r="BQ123" i="15"/>
  <c r="R143" i="15"/>
  <c r="AI143" i="15"/>
  <c r="AY143" i="15"/>
  <c r="BO143" i="15"/>
  <c r="J163" i="15"/>
  <c r="R163" i="15"/>
  <c r="Z163" i="15"/>
  <c r="AI163" i="15"/>
  <c r="AQ163" i="15"/>
  <c r="AY163" i="15"/>
  <c r="BG163" i="15"/>
  <c r="BO163" i="15"/>
  <c r="BW163" i="15"/>
  <c r="BV165" i="15"/>
  <c r="AX165" i="15"/>
  <c r="Q165" i="15"/>
  <c r="BG164" i="15"/>
  <c r="Z164" i="15"/>
  <c r="BP163" i="15"/>
  <c r="AZ145" i="15"/>
  <c r="BI144" i="15"/>
  <c r="BR143" i="15"/>
  <c r="BW125" i="15"/>
  <c r="J125" i="15"/>
  <c r="S124" i="15"/>
  <c r="AB123" i="15"/>
  <c r="BI165" i="15"/>
  <c r="AB165" i="15"/>
  <c r="BR164" i="15"/>
  <c r="AL164" i="15"/>
  <c r="E164" i="15"/>
  <c r="AU163" i="15"/>
  <c r="N163" i="15"/>
  <c r="BD162" i="15"/>
  <c r="AN162" i="15"/>
  <c r="G162" i="15"/>
  <c r="AO145" i="15"/>
  <c r="AX144" i="15"/>
  <c r="BG143" i="15"/>
  <c r="BP142" i="15"/>
  <c r="BR125" i="15"/>
  <c r="E125" i="15"/>
  <c r="N124" i="15"/>
  <c r="W123" i="15"/>
  <c r="R122" i="15"/>
  <c r="AU104" i="15"/>
  <c r="BX102" i="15"/>
  <c r="CB102" i="15"/>
  <c r="BZ122" i="15"/>
  <c r="CD122" i="15"/>
  <c r="CB142" i="15"/>
  <c r="BZ162" i="15"/>
  <c r="CD162" i="15"/>
  <c r="F102" i="15"/>
  <c r="J102" i="15"/>
  <c r="N102" i="15"/>
  <c r="R102" i="15"/>
  <c r="V102" i="15"/>
  <c r="Z102" i="15"/>
  <c r="AD102" i="15"/>
  <c r="AI102" i="15"/>
  <c r="AM102" i="15"/>
  <c r="AQ102" i="15"/>
  <c r="AU102" i="15"/>
  <c r="AY102" i="15"/>
  <c r="BC102" i="15"/>
  <c r="BG102" i="15"/>
  <c r="BK102" i="15"/>
  <c r="BO102" i="15"/>
  <c r="BS102" i="15"/>
  <c r="BW102" i="15"/>
  <c r="CA102" i="15"/>
  <c r="CC122" i="15"/>
  <c r="CA142" i="15"/>
  <c r="CC162" i="15"/>
  <c r="M102" i="15"/>
  <c r="Q102" i="15"/>
  <c r="U102" i="15"/>
  <c r="Y102" i="15"/>
  <c r="AC102" i="15"/>
  <c r="AH102" i="15"/>
  <c r="AL102" i="15"/>
  <c r="AP102" i="15"/>
  <c r="AT102" i="15"/>
  <c r="AX102" i="15"/>
  <c r="BB102" i="15"/>
  <c r="BF102" i="15"/>
  <c r="BJ102" i="15"/>
  <c r="BN102" i="15"/>
  <c r="BR102" i="15"/>
  <c r="BV102" i="15"/>
  <c r="CC102" i="15"/>
  <c r="CD142" i="15"/>
  <c r="CD102" i="15"/>
  <c r="CA162" i="15"/>
  <c r="L102" i="15"/>
  <c r="T102" i="15"/>
  <c r="AB102" i="15"/>
  <c r="AK102" i="15"/>
  <c r="AS102" i="15"/>
  <c r="BA102" i="15"/>
  <c r="BI102" i="15"/>
  <c r="BQ102" i="15"/>
  <c r="BY102" i="15"/>
  <c r="G102" i="15"/>
  <c r="P102" i="15"/>
  <c r="AA102" i="15"/>
  <c r="AN102" i="15"/>
  <c r="AW102" i="15"/>
  <c r="BH102" i="15"/>
  <c r="BT102" i="15"/>
  <c r="CC142" i="15"/>
  <c r="CB162" i="15"/>
  <c r="O102" i="15"/>
  <c r="X102" i="15"/>
  <c r="AV102" i="15"/>
  <c r="BE102" i="15"/>
  <c r="BP102" i="15"/>
  <c r="G122" i="15"/>
  <c r="K122" i="15"/>
  <c r="O122" i="15"/>
  <c r="S122" i="15"/>
  <c r="W122" i="15"/>
  <c r="AA122" i="15"/>
  <c r="AE122" i="15"/>
  <c r="AN122" i="15"/>
  <c r="AR122" i="15"/>
  <c r="AV122" i="15"/>
  <c r="AZ122" i="15"/>
  <c r="BD122" i="15"/>
  <c r="BH122" i="15"/>
  <c r="BL122" i="15"/>
  <c r="BP122" i="15"/>
  <c r="BT122" i="15"/>
  <c r="CA122" i="15"/>
  <c r="BZ142" i="15"/>
  <c r="H102" i="15"/>
  <c r="AE102" i="15"/>
  <c r="AZ102" i="15"/>
  <c r="BU102" i="15"/>
  <c r="F122" i="15"/>
  <c r="L122" i="15"/>
  <c r="Q122" i="15"/>
  <c r="V122" i="15"/>
  <c r="AB122" i="15"/>
  <c r="AH122" i="15"/>
  <c r="AM122" i="15"/>
  <c r="AS122" i="15"/>
  <c r="AX122" i="15"/>
  <c r="BC122" i="15"/>
  <c r="BI122" i="15"/>
  <c r="BN122" i="15"/>
  <c r="BS122" i="15"/>
  <c r="BX122" i="15"/>
  <c r="M142" i="15"/>
  <c r="Q142" i="15"/>
  <c r="U142" i="15"/>
  <c r="Y142" i="15"/>
  <c r="AC142" i="15"/>
  <c r="AH142" i="15"/>
  <c r="AL142" i="15"/>
  <c r="AP142" i="15"/>
  <c r="AT142" i="15"/>
  <c r="AX142" i="15"/>
  <c r="BB142" i="15"/>
  <c r="BF142" i="15"/>
  <c r="BJ142" i="15"/>
  <c r="BN142" i="15"/>
  <c r="BR142" i="15"/>
  <c r="BV142" i="15"/>
  <c r="W102" i="15"/>
  <c r="AR102" i="15"/>
  <c r="BM102" i="15"/>
  <c r="J122" i="15"/>
  <c r="P122" i="15"/>
  <c r="U122" i="15"/>
  <c r="Z122" i="15"/>
  <c r="AG122" i="15"/>
  <c r="AL122" i="15"/>
  <c r="AQ122" i="15"/>
  <c r="AW122" i="15"/>
  <c r="BB122" i="15"/>
  <c r="BG122" i="15"/>
  <c r="BM122" i="15"/>
  <c r="BR122" i="15"/>
  <c r="BW122" i="15"/>
  <c r="H142" i="15"/>
  <c r="L142" i="15"/>
  <c r="P142" i="15"/>
  <c r="T142" i="15"/>
  <c r="X142" i="15"/>
  <c r="AB142" i="15"/>
  <c r="AG142" i="15"/>
  <c r="AK142" i="15"/>
  <c r="AO142" i="15"/>
  <c r="AS142" i="15"/>
  <c r="AW142" i="15"/>
  <c r="BA142" i="15"/>
  <c r="BE142" i="15"/>
  <c r="BI142" i="15"/>
  <c r="BM142" i="15"/>
  <c r="BQ142" i="15"/>
  <c r="BU142" i="15"/>
  <c r="BY142" i="15"/>
  <c r="K102" i="15"/>
  <c r="BD102" i="15"/>
  <c r="M122" i="15"/>
  <c r="X122" i="15"/>
  <c r="AI122" i="15"/>
  <c r="AT122" i="15"/>
  <c r="BE122" i="15"/>
  <c r="BO122" i="15"/>
  <c r="BY122" i="15"/>
  <c r="J142" i="15"/>
  <c r="R142" i="15"/>
  <c r="Z142" i="15"/>
  <c r="AI142" i="15"/>
  <c r="AQ142" i="15"/>
  <c r="AY142" i="15"/>
  <c r="BG142" i="15"/>
  <c r="BO142" i="15"/>
  <c r="BW142" i="15"/>
  <c r="F162" i="15"/>
  <c r="J162" i="15"/>
  <c r="N162" i="15"/>
  <c r="R162" i="15"/>
  <c r="V162" i="15"/>
  <c r="Z162" i="15"/>
  <c r="AD162" i="15"/>
  <c r="AI162" i="15"/>
  <c r="AM162" i="15"/>
  <c r="AQ162" i="15"/>
  <c r="AU162" i="15"/>
  <c r="AY162" i="15"/>
  <c r="BC162" i="15"/>
  <c r="BG162" i="15"/>
  <c r="BK162" i="15"/>
  <c r="BO162" i="15"/>
  <c r="BS162" i="15"/>
  <c r="BW162" i="15"/>
  <c r="BZ102" i="15"/>
  <c r="AO102" i="15"/>
  <c r="T122" i="15"/>
  <c r="AD122" i="15"/>
  <c r="AP122" i="15"/>
  <c r="BA122" i="15"/>
  <c r="BK122" i="15"/>
  <c r="BV122" i="15"/>
  <c r="G142" i="15"/>
  <c r="O142" i="15"/>
  <c r="W142" i="15"/>
  <c r="AE142" i="15"/>
  <c r="AN142" i="15"/>
  <c r="AV142" i="15"/>
  <c r="BD142" i="15"/>
  <c r="BL142" i="15"/>
  <c r="BT142" i="15"/>
  <c r="M162" i="15"/>
  <c r="Q162" i="15"/>
  <c r="U162" i="15"/>
  <c r="Y162" i="15"/>
  <c r="AC162" i="15"/>
  <c r="AH162" i="15"/>
  <c r="AL162" i="15"/>
  <c r="AP162" i="15"/>
  <c r="AT162" i="15"/>
  <c r="AX162" i="15"/>
  <c r="BB162" i="15"/>
  <c r="BF162" i="15"/>
  <c r="BJ162" i="15"/>
  <c r="BN162" i="15"/>
  <c r="BR162" i="15"/>
  <c r="BV162" i="15"/>
  <c r="CB122" i="15"/>
  <c r="S102" i="15"/>
  <c r="H122" i="15"/>
  <c r="AC122" i="15"/>
  <c r="AY122" i="15"/>
  <c r="BU122" i="15"/>
  <c r="F142" i="15"/>
  <c r="V142" i="15"/>
  <c r="AM142" i="15"/>
  <c r="BC142" i="15"/>
  <c r="BS142" i="15"/>
  <c r="H162" i="15"/>
  <c r="P162" i="15"/>
  <c r="X162" i="15"/>
  <c r="AG162" i="15"/>
  <c r="AO162" i="15"/>
  <c r="AW162" i="15"/>
  <c r="BE162" i="15"/>
  <c r="BM162" i="15"/>
  <c r="BU162" i="15"/>
  <c r="AG102" i="15"/>
  <c r="N122" i="15"/>
  <c r="AK122" i="15"/>
  <c r="BF122" i="15"/>
  <c r="K142" i="15"/>
  <c r="AA142" i="15"/>
  <c r="AR142" i="15"/>
  <c r="BH142" i="15"/>
  <c r="BX142" i="15"/>
  <c r="K162" i="15"/>
  <c r="S162" i="15"/>
  <c r="AA162" i="15"/>
  <c r="AR162" i="15"/>
  <c r="AZ162" i="15"/>
  <c r="BH162" i="15"/>
  <c r="BP162" i="15"/>
  <c r="BX162" i="15"/>
  <c r="C122" i="15"/>
  <c r="C123" i="15"/>
  <c r="C124" i="15"/>
  <c r="C131" i="15"/>
  <c r="BY165" i="15"/>
  <c r="BN165" i="15"/>
  <c r="BA165" i="15"/>
  <c r="AK165" i="15"/>
  <c r="T165" i="15"/>
  <c r="BJ164" i="15"/>
  <c r="AT164" i="15"/>
  <c r="AC164" i="15"/>
  <c r="M164" i="15"/>
  <c r="BS163" i="15"/>
  <c r="BC163" i="15"/>
  <c r="AM163" i="15"/>
  <c r="V163" i="15"/>
  <c r="F163" i="15"/>
  <c r="BL162" i="15"/>
  <c r="AV162" i="15"/>
  <c r="AE162" i="15"/>
  <c r="O162" i="15"/>
  <c r="BE145" i="15"/>
  <c r="X145" i="15"/>
  <c r="BN144" i="15"/>
  <c r="AH144" i="15"/>
  <c r="BW143" i="15"/>
  <c r="AQ143" i="15"/>
  <c r="J143" i="15"/>
  <c r="AZ142" i="15"/>
  <c r="S142" i="15"/>
  <c r="BB125" i="15"/>
  <c r="U125" i="15"/>
  <c r="BK124" i="15"/>
  <c r="BT123" i="15"/>
  <c r="AN123" i="15"/>
  <c r="G123" i="15"/>
  <c r="AO122" i="15"/>
  <c r="BR105" i="15"/>
  <c r="BT103" i="15"/>
  <c r="BJ165" i="15"/>
  <c r="AH165" i="15"/>
  <c r="BW164" i="15"/>
  <c r="AQ164" i="15"/>
  <c r="J164" i="15"/>
  <c r="AZ163" i="15"/>
  <c r="S163" i="15"/>
  <c r="S145" i="15"/>
  <c r="AB144" i="15"/>
  <c r="AL143" i="15"/>
  <c r="AQ125" i="15"/>
  <c r="AZ124" i="15"/>
  <c r="BI123" i="15"/>
  <c r="BK103" i="15"/>
  <c r="BZ104" i="15"/>
  <c r="CD104" i="15"/>
  <c r="CB124" i="15"/>
  <c r="BZ144" i="15"/>
  <c r="CD144" i="15"/>
  <c r="CB164" i="15"/>
  <c r="CC104" i="15"/>
  <c r="CA124" i="15"/>
  <c r="CC144" i="15"/>
  <c r="CA164" i="15"/>
  <c r="G104" i="15"/>
  <c r="K104" i="15"/>
  <c r="O104" i="15"/>
  <c r="S104" i="15"/>
  <c r="W104" i="15"/>
  <c r="AA104" i="15"/>
  <c r="AE104" i="15"/>
  <c r="AN104" i="15"/>
  <c r="AR104" i="15"/>
  <c r="CA104" i="15"/>
  <c r="CC124" i="15"/>
  <c r="CB144" i="15"/>
  <c r="CB104" i="15"/>
  <c r="CD124" i="15"/>
  <c r="L104" i="15"/>
  <c r="Q104" i="15"/>
  <c r="BZ124" i="15"/>
  <c r="P104" i="15"/>
  <c r="V104" i="15"/>
  <c r="AB104" i="15"/>
  <c r="AH104" i="15"/>
  <c r="AM104" i="15"/>
  <c r="AS104" i="15"/>
  <c r="AW104" i="15"/>
  <c r="BA104" i="15"/>
  <c r="BE104" i="15"/>
  <c r="BI104" i="15"/>
  <c r="BM104" i="15"/>
  <c r="BQ104" i="15"/>
  <c r="BU104" i="15"/>
  <c r="BY104" i="15"/>
  <c r="CD164" i="15"/>
  <c r="H104" i="15"/>
  <c r="N104" i="15"/>
  <c r="U104" i="15"/>
  <c r="Z104" i="15"/>
  <c r="AG104" i="15"/>
  <c r="AL104" i="15"/>
  <c r="AQ104" i="15"/>
  <c r="AV104" i="15"/>
  <c r="AZ104" i="15"/>
  <c r="BD104" i="15"/>
  <c r="BH104" i="15"/>
  <c r="BL104" i="15"/>
  <c r="BP104" i="15"/>
  <c r="BT104" i="15"/>
  <c r="BX104" i="15"/>
  <c r="BZ164" i="15"/>
  <c r="J104" i="15"/>
  <c r="X104" i="15"/>
  <c r="AI104" i="15"/>
  <c r="AT104" i="15"/>
  <c r="BB104" i="15"/>
  <c r="BJ104" i="15"/>
  <c r="BR104" i="15"/>
  <c r="E124" i="15"/>
  <c r="M124" i="15"/>
  <c r="Q124" i="15"/>
  <c r="U124" i="15"/>
  <c r="Y124" i="15"/>
  <c r="AC124" i="15"/>
  <c r="AH124" i="15"/>
  <c r="AL124" i="15"/>
  <c r="AP124" i="15"/>
  <c r="AT124" i="15"/>
  <c r="AX124" i="15"/>
  <c r="BB124" i="15"/>
  <c r="BF124" i="15"/>
  <c r="BJ124" i="15"/>
  <c r="BN124" i="15"/>
  <c r="BR124" i="15"/>
  <c r="BV124" i="15"/>
  <c r="G144" i="15"/>
  <c r="K144" i="15"/>
  <c r="O144" i="15"/>
  <c r="S144" i="15"/>
  <c r="W144" i="15"/>
  <c r="AA144" i="15"/>
  <c r="AE144" i="15"/>
  <c r="AN144" i="15"/>
  <c r="AR144" i="15"/>
  <c r="AV144" i="15"/>
  <c r="AZ144" i="15"/>
  <c r="BD144" i="15"/>
  <c r="BH144" i="15"/>
  <c r="BL144" i="15"/>
  <c r="BP144" i="15"/>
  <c r="BT144" i="15"/>
  <c r="BX144" i="15"/>
  <c r="E104" i="15"/>
  <c r="T104" i="15"/>
  <c r="AD104" i="15"/>
  <c r="AP104" i="15"/>
  <c r="AY104" i="15"/>
  <c r="BG104" i="15"/>
  <c r="BO104" i="15"/>
  <c r="BW104" i="15"/>
  <c r="H124" i="15"/>
  <c r="L124" i="15"/>
  <c r="P124" i="15"/>
  <c r="T124" i="15"/>
  <c r="X124" i="15"/>
  <c r="AB124" i="15"/>
  <c r="AG124" i="15"/>
  <c r="AK124" i="15"/>
  <c r="AO124" i="15"/>
  <c r="AS124" i="15"/>
  <c r="AW124" i="15"/>
  <c r="BA124" i="15"/>
  <c r="BE124" i="15"/>
  <c r="BI124" i="15"/>
  <c r="BM124" i="15"/>
  <c r="BQ124" i="15"/>
  <c r="BU124" i="15"/>
  <c r="BY124" i="15"/>
  <c r="J144" i="15"/>
  <c r="N144" i="15"/>
  <c r="R144" i="15"/>
  <c r="V144" i="15"/>
  <c r="Z144" i="15"/>
  <c r="AD144" i="15"/>
  <c r="AI144" i="15"/>
  <c r="AM144" i="15"/>
  <c r="AQ144" i="15"/>
  <c r="AU144" i="15"/>
  <c r="AY144" i="15"/>
  <c r="BC144" i="15"/>
  <c r="BG144" i="15"/>
  <c r="BK144" i="15"/>
  <c r="BO144" i="15"/>
  <c r="BS144" i="15"/>
  <c r="BW144" i="15"/>
  <c r="CC164" i="15"/>
  <c r="M104" i="15"/>
  <c r="AK104" i="15"/>
  <c r="BC104" i="15"/>
  <c r="BS104" i="15"/>
  <c r="J124" i="15"/>
  <c r="R124" i="15"/>
  <c r="Z124" i="15"/>
  <c r="AI124" i="15"/>
  <c r="AQ124" i="15"/>
  <c r="AY124" i="15"/>
  <c r="BG124" i="15"/>
  <c r="BO124" i="15"/>
  <c r="BW124" i="15"/>
  <c r="H144" i="15"/>
  <c r="P144" i="15"/>
  <c r="X144" i="15"/>
  <c r="AG144" i="15"/>
  <c r="AO144" i="15"/>
  <c r="AW144" i="15"/>
  <c r="BE144" i="15"/>
  <c r="BM144" i="15"/>
  <c r="BU144" i="15"/>
  <c r="H164" i="15"/>
  <c r="L164" i="15"/>
  <c r="P164" i="15"/>
  <c r="T164" i="15"/>
  <c r="X164" i="15"/>
  <c r="AB164" i="15"/>
  <c r="AG164" i="15"/>
  <c r="AK164" i="15"/>
  <c r="AO164" i="15"/>
  <c r="AS164" i="15"/>
  <c r="AW164" i="15"/>
  <c r="BA164" i="15"/>
  <c r="BE164" i="15"/>
  <c r="BI164" i="15"/>
  <c r="BM164" i="15"/>
  <c r="BQ164" i="15"/>
  <c r="BU164" i="15"/>
  <c r="BY164" i="15"/>
  <c r="CA144" i="15"/>
  <c r="AC104" i="15"/>
  <c r="AX104" i="15"/>
  <c r="BN104" i="15"/>
  <c r="G124" i="15"/>
  <c r="O124" i="15"/>
  <c r="W124" i="15"/>
  <c r="AE124" i="15"/>
  <c r="AN124" i="15"/>
  <c r="AV124" i="15"/>
  <c r="BD124" i="15"/>
  <c r="BL124" i="15"/>
  <c r="BT124" i="15"/>
  <c r="E144" i="15"/>
  <c r="M144" i="15"/>
  <c r="U144" i="15"/>
  <c r="AC144" i="15"/>
  <c r="AL144" i="15"/>
  <c r="AT144" i="15"/>
  <c r="BB144" i="15"/>
  <c r="BJ144" i="15"/>
  <c r="BR144" i="15"/>
  <c r="G164" i="15"/>
  <c r="K164" i="15"/>
  <c r="O164" i="15"/>
  <c r="S164" i="15"/>
  <c r="W164" i="15"/>
  <c r="AA164" i="15"/>
  <c r="AE164" i="15"/>
  <c r="AN164" i="15"/>
  <c r="AR164" i="15"/>
  <c r="AV164" i="15"/>
  <c r="AZ164" i="15"/>
  <c r="BD164" i="15"/>
  <c r="BH164" i="15"/>
  <c r="BL164" i="15"/>
  <c r="BP164" i="15"/>
  <c r="BT164" i="15"/>
  <c r="BX164" i="15"/>
  <c r="R104" i="15"/>
  <c r="BF104" i="15"/>
  <c r="V124" i="15"/>
  <c r="AM124" i="15"/>
  <c r="BC124" i="15"/>
  <c r="BS124" i="15"/>
  <c r="T144" i="15"/>
  <c r="AK144" i="15"/>
  <c r="BA144" i="15"/>
  <c r="BQ144" i="15"/>
  <c r="N164" i="15"/>
  <c r="V164" i="15"/>
  <c r="AD164" i="15"/>
  <c r="AM164" i="15"/>
  <c r="AU164" i="15"/>
  <c r="BC164" i="15"/>
  <c r="BK164" i="15"/>
  <c r="BS164" i="15"/>
  <c r="Y104" i="15"/>
  <c r="BK104" i="15"/>
  <c r="K124" i="15"/>
  <c r="AA124" i="15"/>
  <c r="AR124" i="15"/>
  <c r="BH124" i="15"/>
  <c r="BX124" i="15"/>
  <c r="Y144" i="15"/>
  <c r="AP144" i="15"/>
  <c r="BF144" i="15"/>
  <c r="BV144" i="15"/>
  <c r="Q164" i="15"/>
  <c r="Y164" i="15"/>
  <c r="AH164" i="15"/>
  <c r="AP164" i="15"/>
  <c r="AX164" i="15"/>
  <c r="BF164" i="15"/>
  <c r="BN164" i="15"/>
  <c r="BV164" i="15"/>
  <c r="BR165" i="15"/>
  <c r="AS165" i="15"/>
  <c r="L165" i="15"/>
  <c r="BB164" i="15"/>
  <c r="U164" i="15"/>
  <c r="BK163" i="15"/>
  <c r="AD163" i="15"/>
  <c r="BT162" i="15"/>
  <c r="W162" i="15"/>
  <c r="BT145" i="15"/>
  <c r="H145" i="15"/>
  <c r="Q144" i="15"/>
  <c r="Z143" i="15"/>
  <c r="AL125" i="15"/>
  <c r="AU124" i="15"/>
  <c r="BD123" i="15"/>
  <c r="CC105" i="15"/>
  <c r="CA125" i="15"/>
  <c r="CC145" i="15"/>
  <c r="CA165" i="15"/>
  <c r="CB105" i="15"/>
  <c r="BZ125" i="15"/>
  <c r="CD125" i="15"/>
  <c r="CB145" i="15"/>
  <c r="BZ165" i="15"/>
  <c r="CD165" i="15"/>
  <c r="CD105" i="15"/>
  <c r="BZ145" i="15"/>
  <c r="CB165" i="15"/>
  <c r="BZ105" i="15"/>
  <c r="CC165" i="15"/>
  <c r="G105" i="15"/>
  <c r="K105" i="15"/>
  <c r="O105" i="15"/>
  <c r="S105" i="15"/>
  <c r="W105" i="15"/>
  <c r="AA105" i="15"/>
  <c r="AE105" i="15"/>
  <c r="AN105" i="15"/>
  <c r="AR105" i="15"/>
  <c r="AV105" i="15"/>
  <c r="AZ105" i="15"/>
  <c r="BD105" i="15"/>
  <c r="BH105" i="15"/>
  <c r="BL105" i="15"/>
  <c r="BP105" i="15"/>
  <c r="BT105" i="15"/>
  <c r="BX105" i="15"/>
  <c r="CD145" i="15"/>
  <c r="J105" i="15"/>
  <c r="N105" i="15"/>
  <c r="R105" i="15"/>
  <c r="V105" i="15"/>
  <c r="Z105" i="15"/>
  <c r="AD105" i="15"/>
  <c r="AI105" i="15"/>
  <c r="AM105" i="15"/>
  <c r="AQ105" i="15"/>
  <c r="AU105" i="15"/>
  <c r="AY105" i="15"/>
  <c r="BC105" i="15"/>
  <c r="BG105" i="15"/>
  <c r="BK105" i="15"/>
  <c r="BO105" i="15"/>
  <c r="BS105" i="15"/>
  <c r="BW105" i="15"/>
  <c r="CA105" i="15"/>
  <c r="L105" i="15"/>
  <c r="T105" i="15"/>
  <c r="AB105" i="15"/>
  <c r="AK105" i="15"/>
  <c r="AS105" i="15"/>
  <c r="BA105" i="15"/>
  <c r="BI105" i="15"/>
  <c r="BQ105" i="15"/>
  <c r="BY105" i="15"/>
  <c r="H125" i="15"/>
  <c r="L125" i="15"/>
  <c r="P125" i="15"/>
  <c r="T125" i="15"/>
  <c r="X125" i="15"/>
  <c r="AB125" i="15"/>
  <c r="AG125" i="15"/>
  <c r="AK125" i="15"/>
  <c r="AO125" i="15"/>
  <c r="AS125" i="15"/>
  <c r="AW125" i="15"/>
  <c r="BA125" i="15"/>
  <c r="BE125" i="15"/>
  <c r="BI125" i="15"/>
  <c r="BM125" i="15"/>
  <c r="BQ125" i="15"/>
  <c r="BU125" i="15"/>
  <c r="BY125" i="15"/>
  <c r="J145" i="15"/>
  <c r="N145" i="15"/>
  <c r="R145" i="15"/>
  <c r="V145" i="15"/>
  <c r="Z145" i="15"/>
  <c r="AD145" i="15"/>
  <c r="AI145" i="15"/>
  <c r="AM145" i="15"/>
  <c r="AQ145" i="15"/>
  <c r="AU145" i="15"/>
  <c r="AY145" i="15"/>
  <c r="BC145" i="15"/>
  <c r="BG145" i="15"/>
  <c r="BK145" i="15"/>
  <c r="BO145" i="15"/>
  <c r="CC125" i="15"/>
  <c r="Q105" i="15"/>
  <c r="Y105" i="15"/>
  <c r="AH105" i="15"/>
  <c r="AP105" i="15"/>
  <c r="AX105" i="15"/>
  <c r="BF105" i="15"/>
  <c r="BN105" i="15"/>
  <c r="BV105" i="15"/>
  <c r="G125" i="15"/>
  <c r="K125" i="15"/>
  <c r="O125" i="15"/>
  <c r="S125" i="15"/>
  <c r="W125" i="15"/>
  <c r="AA125" i="15"/>
  <c r="AE125" i="15"/>
  <c r="AN125" i="15"/>
  <c r="AR125" i="15"/>
  <c r="AV125" i="15"/>
  <c r="AZ125" i="15"/>
  <c r="BD125" i="15"/>
  <c r="BH125" i="15"/>
  <c r="BL125" i="15"/>
  <c r="BP125" i="15"/>
  <c r="BT125" i="15"/>
  <c r="BX125" i="15"/>
  <c r="E145" i="15"/>
  <c r="M145" i="15"/>
  <c r="Q145" i="15"/>
  <c r="U145" i="15"/>
  <c r="Y145" i="15"/>
  <c r="AC145" i="15"/>
  <c r="AH145" i="15"/>
  <c r="AL145" i="15"/>
  <c r="AP145" i="15"/>
  <c r="AT145" i="15"/>
  <c r="AX145" i="15"/>
  <c r="BB145" i="15"/>
  <c r="BF145" i="15"/>
  <c r="BJ145" i="15"/>
  <c r="BN145" i="15"/>
  <c r="BR145" i="15"/>
  <c r="BV145" i="15"/>
  <c r="CA145" i="15"/>
  <c r="M105" i="15"/>
  <c r="AC105" i="15"/>
  <c r="AT105" i="15"/>
  <c r="BJ105" i="15"/>
  <c r="Q125" i="15"/>
  <c r="Y125" i="15"/>
  <c r="AH125" i="15"/>
  <c r="AP125" i="15"/>
  <c r="AX125" i="15"/>
  <c r="BF125" i="15"/>
  <c r="BN125" i="15"/>
  <c r="BV125" i="15"/>
  <c r="G145" i="15"/>
  <c r="O145" i="15"/>
  <c r="W145" i="15"/>
  <c r="AE145" i="15"/>
  <c r="AN145" i="15"/>
  <c r="AV145" i="15"/>
  <c r="BD145" i="15"/>
  <c r="BL145" i="15"/>
  <c r="BS145" i="15"/>
  <c r="BX145" i="15"/>
  <c r="G165" i="15"/>
  <c r="K165" i="15"/>
  <c r="O165" i="15"/>
  <c r="S165" i="15"/>
  <c r="W165" i="15"/>
  <c r="AA165" i="15"/>
  <c r="AE165" i="15"/>
  <c r="AN165" i="15"/>
  <c r="AR165" i="15"/>
  <c r="AV165" i="15"/>
  <c r="AZ165" i="15"/>
  <c r="BD165" i="15"/>
  <c r="BH165" i="15"/>
  <c r="BL165" i="15"/>
  <c r="BP165" i="15"/>
  <c r="BT165" i="15"/>
  <c r="BX165" i="15"/>
  <c r="CB125" i="15"/>
  <c r="H105" i="15"/>
  <c r="X105" i="15"/>
  <c r="AO105" i="15"/>
  <c r="BE105" i="15"/>
  <c r="BU105" i="15"/>
  <c r="N125" i="15"/>
  <c r="V125" i="15"/>
  <c r="AD125" i="15"/>
  <c r="AM125" i="15"/>
  <c r="AU125" i="15"/>
  <c r="BC125" i="15"/>
  <c r="BK125" i="15"/>
  <c r="BS125" i="15"/>
  <c r="L145" i="15"/>
  <c r="T145" i="15"/>
  <c r="AB145" i="15"/>
  <c r="AK145" i="15"/>
  <c r="AS145" i="15"/>
  <c r="BA145" i="15"/>
  <c r="BI145" i="15"/>
  <c r="BQ145" i="15"/>
  <c r="BW145" i="15"/>
  <c r="J165" i="15"/>
  <c r="N165" i="15"/>
  <c r="R165" i="15"/>
  <c r="V165" i="15"/>
  <c r="Z165" i="15"/>
  <c r="AD165" i="15"/>
  <c r="AI165" i="15"/>
  <c r="AM165" i="15"/>
  <c r="AQ165" i="15"/>
  <c r="AU165" i="15"/>
  <c r="AY165" i="15"/>
  <c r="BC165" i="15"/>
  <c r="BG165" i="15"/>
  <c r="BK165" i="15"/>
  <c r="BO165" i="15"/>
  <c r="BS165" i="15"/>
  <c r="BW165" i="15"/>
  <c r="P105" i="15"/>
  <c r="AW105" i="15"/>
  <c r="M125" i="15"/>
  <c r="AC125" i="15"/>
  <c r="AT125" i="15"/>
  <c r="BJ125" i="15"/>
  <c r="K145" i="15"/>
  <c r="AA145" i="15"/>
  <c r="AR145" i="15"/>
  <c r="BH145" i="15"/>
  <c r="BU145" i="15"/>
  <c r="E165" i="15"/>
  <c r="M165" i="15"/>
  <c r="U165" i="15"/>
  <c r="AC165" i="15"/>
  <c r="AL165" i="15"/>
  <c r="AT165" i="15"/>
  <c r="BB165" i="15"/>
  <c r="U105" i="15"/>
  <c r="BB105" i="15"/>
  <c r="R125" i="15"/>
  <c r="AI125" i="15"/>
  <c r="AY125" i="15"/>
  <c r="BO125" i="15"/>
  <c r="P145" i="15"/>
  <c r="AG145" i="15"/>
  <c r="AW145" i="15"/>
  <c r="BM145" i="15"/>
  <c r="BY145" i="15"/>
  <c r="H165" i="15"/>
  <c r="P165" i="15"/>
  <c r="X165" i="15"/>
  <c r="AG165" i="15"/>
  <c r="AO165" i="15"/>
  <c r="AW165" i="15"/>
  <c r="BE165" i="15"/>
  <c r="BM165" i="15"/>
  <c r="BU165" i="15"/>
  <c r="BQ165" i="15"/>
  <c r="BF165" i="15"/>
  <c r="AP165" i="15"/>
  <c r="Y165" i="15"/>
  <c r="BO164" i="15"/>
  <c r="AY164" i="15"/>
  <c r="AI164" i="15"/>
  <c r="R164" i="15"/>
  <c r="BX163" i="15"/>
  <c r="BH163" i="15"/>
  <c r="AR163" i="15"/>
  <c r="AA163" i="15"/>
  <c r="K163" i="15"/>
  <c r="BQ162" i="15"/>
  <c r="BA162" i="15"/>
  <c r="AK162" i="15"/>
  <c r="T162" i="15"/>
  <c r="BP145" i="15"/>
  <c r="BY144" i="15"/>
  <c r="AS144" i="15"/>
  <c r="L144" i="15"/>
  <c r="BB143" i="15"/>
  <c r="U143" i="15"/>
  <c r="BK142" i="15"/>
  <c r="AD142" i="15"/>
  <c r="BG125" i="15"/>
  <c r="Z125" i="15"/>
  <c r="BP124" i="15"/>
  <c r="BY123" i="15"/>
  <c r="AS123" i="15"/>
  <c r="L123" i="15"/>
  <c r="AU122" i="15"/>
  <c r="AG105" i="15"/>
  <c r="AO104" i="15"/>
  <c r="BL102" i="15"/>
  <c r="D58" i="17"/>
  <c r="D55" i="17"/>
  <c r="D56" i="17"/>
  <c r="D57" i="17"/>
  <c r="D54" i="17"/>
  <c r="N68" i="15" l="1"/>
  <c r="R68" i="15" s="1"/>
  <c r="I137" i="15" s="1"/>
  <c r="E93" i="15"/>
  <c r="E97" i="15"/>
  <c r="N72" i="15"/>
  <c r="R72" i="15" s="1"/>
  <c r="I141" i="15" s="1"/>
  <c r="N71" i="15"/>
  <c r="R71" i="15" s="1"/>
  <c r="I140" i="15" s="1"/>
  <c r="N191" i="13" s="1" a="1"/>
  <c r="N191" i="13" s="1"/>
  <c r="E96" i="15"/>
  <c r="E95" i="15"/>
  <c r="N70" i="15"/>
  <c r="R70" i="15" s="1"/>
  <c r="I139" i="15" s="1"/>
  <c r="Q190" i="13" s="1" a="1"/>
  <c r="Q190" i="13" s="1"/>
  <c r="N69" i="15"/>
  <c r="R69" i="15" s="1"/>
  <c r="I138" i="15" s="1"/>
  <c r="N189" i="13" s="1" a="1"/>
  <c r="N189" i="13" s="1"/>
  <c r="E94" i="15"/>
  <c r="N38" i="15"/>
  <c r="R38" i="15" s="1"/>
  <c r="N33" i="15"/>
  <c r="R33" i="15" s="1"/>
  <c r="I124" i="15" s="1"/>
  <c r="N32" i="15"/>
  <c r="R32" i="15" s="1"/>
  <c r="N61" i="15"/>
  <c r="R61" i="15" s="1"/>
  <c r="X135" i="15" s="1"/>
  <c r="N62" i="15"/>
  <c r="R62" i="15" s="1"/>
  <c r="AJ135" i="15" s="1"/>
  <c r="N63" i="15"/>
  <c r="R63" i="15" s="1"/>
  <c r="N59" i="15"/>
  <c r="R59" i="15" s="1"/>
  <c r="N60" i="15"/>
  <c r="R60" i="15" s="1"/>
  <c r="N50" i="15"/>
  <c r="R50" i="15" s="1"/>
  <c r="AJ129" i="15" s="1"/>
  <c r="N48" i="15"/>
  <c r="R48" i="15" s="1"/>
  <c r="I129" i="15" s="1"/>
  <c r="N49" i="15"/>
  <c r="R49" i="15" s="1"/>
  <c r="X129" i="15" s="1"/>
  <c r="N54" i="15"/>
  <c r="R54" i="15" s="1"/>
  <c r="AJ131" i="15" s="1"/>
  <c r="N53" i="15"/>
  <c r="R53" i="15" s="1"/>
  <c r="N55" i="15"/>
  <c r="R55" i="15" s="1"/>
  <c r="N34" i="15"/>
  <c r="R34" i="15" s="1"/>
  <c r="N30" i="15"/>
  <c r="R30" i="15" s="1"/>
  <c r="X123" i="15" s="1"/>
  <c r="N37" i="15"/>
  <c r="R37" i="15" s="1"/>
  <c r="N36" i="15"/>
  <c r="R36" i="15" s="1"/>
  <c r="N40" i="15"/>
  <c r="R40" i="15" s="1"/>
  <c r="N39" i="15"/>
  <c r="R39" i="15" s="1"/>
  <c r="I126" i="15" s="1"/>
  <c r="N41" i="15"/>
  <c r="R41" i="15" s="1"/>
  <c r="N35" i="15"/>
  <c r="R35" i="15" s="1"/>
  <c r="N67" i="15"/>
  <c r="R67" i="15" s="1"/>
  <c r="AJ136" i="15" s="1"/>
  <c r="N64" i="15"/>
  <c r="R64" i="15" s="1"/>
  <c r="N66" i="15"/>
  <c r="R66" i="15" s="1"/>
  <c r="X136" i="15" s="1"/>
  <c r="N65" i="15"/>
  <c r="R65" i="15" s="1"/>
  <c r="N29" i="15"/>
  <c r="R29" i="15" s="1"/>
  <c r="N28" i="15"/>
  <c r="R28" i="15" s="1"/>
  <c r="N31" i="15"/>
  <c r="R31" i="15" s="1"/>
  <c r="N26" i="15"/>
  <c r="R26" i="15" s="1"/>
  <c r="N25" i="15"/>
  <c r="R25" i="15" s="1"/>
  <c r="I122" i="15" s="1"/>
  <c r="N27" i="15"/>
  <c r="R27" i="15" s="1"/>
  <c r="Q181" i="13" a="1"/>
  <c r="Q181" i="13" s="1"/>
  <c r="P181" i="13" a="1"/>
  <c r="P181" i="13" s="1"/>
  <c r="K181" i="13" a="1"/>
  <c r="K181" i="13" s="1"/>
  <c r="L181" i="13" a="1"/>
  <c r="L181" i="13" s="1"/>
  <c r="M181" i="13" a="1"/>
  <c r="M181" i="13" s="1"/>
  <c r="J181" i="13" a="1"/>
  <c r="J181" i="13" s="1"/>
  <c r="F181" i="13" a="1"/>
  <c r="F181" i="13" s="1"/>
  <c r="O181" i="13" a="1"/>
  <c r="O181" i="13" s="1"/>
  <c r="H181" i="13" a="1"/>
  <c r="H181" i="13" s="1"/>
  <c r="G181" i="13" a="1"/>
  <c r="G181" i="13" s="1"/>
  <c r="I181" i="13" a="1"/>
  <c r="I181" i="13" s="1"/>
  <c r="E181" i="13" a="1"/>
  <c r="E181" i="13" s="1"/>
  <c r="R181" i="13" a="1"/>
  <c r="R181" i="13" s="1"/>
  <c r="N181" i="13" a="1"/>
  <c r="N181" i="13" s="1"/>
  <c r="R183" i="13" a="1"/>
  <c r="R183" i="13" s="1"/>
  <c r="G183" i="13" a="1"/>
  <c r="G183" i="13" s="1"/>
  <c r="M183" i="13" a="1"/>
  <c r="M183" i="13" s="1"/>
  <c r="K183" i="13" a="1"/>
  <c r="K183" i="13" s="1"/>
  <c r="N183" i="13" a="1"/>
  <c r="N183" i="13" s="1"/>
  <c r="P183" i="13" a="1"/>
  <c r="P183" i="13" s="1"/>
  <c r="J183" i="13" a="1"/>
  <c r="J183" i="13" s="1"/>
  <c r="L183" i="13" a="1"/>
  <c r="L183" i="13" s="1"/>
  <c r="Q183" i="13" a="1"/>
  <c r="Q183" i="13" s="1"/>
  <c r="O183" i="13" a="1"/>
  <c r="O183" i="13" s="1"/>
  <c r="E183" i="13" a="1"/>
  <c r="E183" i="13" s="1"/>
  <c r="H183" i="13" a="1"/>
  <c r="H183" i="13" s="1"/>
  <c r="I183" i="13" a="1"/>
  <c r="I183" i="13" s="1"/>
  <c r="F183" i="13" a="1"/>
  <c r="F183" i="13" s="1"/>
  <c r="CF130" i="15"/>
  <c r="B53" i="17"/>
  <c r="CF132" i="15"/>
  <c r="E122" i="15"/>
  <c r="AJ133" i="15"/>
  <c r="E89" i="15"/>
  <c r="AJ134" i="15"/>
  <c r="E90" i="15"/>
  <c r="AJ128" i="15"/>
  <c r="E84" i="15"/>
  <c r="J42" i="15"/>
  <c r="E83" i="15" s="1"/>
  <c r="E82" i="15"/>
  <c r="E81" i="15"/>
  <c r="F124" i="15"/>
  <c r="D124" i="15"/>
  <c r="E87" i="15"/>
  <c r="E80" i="15"/>
  <c r="D125" i="15"/>
  <c r="E79" i="15"/>
  <c r="C125" i="15"/>
  <c r="D123" i="15"/>
  <c r="E85" i="15"/>
  <c r="E123" i="15"/>
  <c r="F125" i="15"/>
  <c r="E92" i="15"/>
  <c r="C136" i="15"/>
  <c r="E91" i="15"/>
  <c r="E78" i="15"/>
  <c r="D122" i="15"/>
  <c r="K189" i="13" l="1" a="1"/>
  <c r="K189" i="13" s="1"/>
  <c r="P189" i="13" a="1"/>
  <c r="P189" i="13" s="1"/>
  <c r="Q189" i="13" a="1"/>
  <c r="Q189" i="13" s="1"/>
  <c r="R189" i="13" a="1"/>
  <c r="R189" i="13" s="1"/>
  <c r="CF139" i="15"/>
  <c r="R190" i="13" a="1"/>
  <c r="R190" i="13" s="1"/>
  <c r="F190" i="13" a="1"/>
  <c r="F190" i="13" s="1"/>
  <c r="G190" i="13" a="1"/>
  <c r="G190" i="13" s="1"/>
  <c r="L191" i="13" a="1"/>
  <c r="L191" i="13" s="1"/>
  <c r="M191" i="13" a="1"/>
  <c r="M191" i="13" s="1"/>
  <c r="P191" i="13" a="1"/>
  <c r="P191" i="13" s="1"/>
  <c r="Q191" i="13" a="1"/>
  <c r="Q191" i="13" s="1"/>
  <c r="O189" i="13" a="1"/>
  <c r="O189" i="13" s="1"/>
  <c r="E189" i="13" a="1"/>
  <c r="E189" i="13" s="1"/>
  <c r="F189" i="13" a="1"/>
  <c r="F189" i="13" s="1"/>
  <c r="E190" i="13" a="1"/>
  <c r="E190" i="13" s="1"/>
  <c r="H190" i="13" a="1"/>
  <c r="H190" i="13" s="1"/>
  <c r="I190" i="13" a="1"/>
  <c r="I190" i="13" s="1"/>
  <c r="L190" i="13" a="1"/>
  <c r="L190" i="13" s="1"/>
  <c r="O191" i="13" a="1"/>
  <c r="O191" i="13" s="1"/>
  <c r="R191" i="13" a="1"/>
  <c r="R191" i="13" s="1"/>
  <c r="F191" i="13" a="1"/>
  <c r="F191" i="13" s="1"/>
  <c r="CF138" i="15"/>
  <c r="H189" i="13" a="1"/>
  <c r="H189" i="13" s="1"/>
  <c r="I189" i="13" a="1"/>
  <c r="I189" i="13" s="1"/>
  <c r="J189" i="13" a="1"/>
  <c r="J189" i="13" s="1"/>
  <c r="J190" i="13" a="1"/>
  <c r="J190" i="13" s="1"/>
  <c r="K190" i="13" a="1"/>
  <c r="K190" i="13" s="1"/>
  <c r="N190" i="13" a="1"/>
  <c r="N190" i="13" s="1"/>
  <c r="O190" i="13" a="1"/>
  <c r="O190" i="13" s="1"/>
  <c r="CF140" i="15"/>
  <c r="E191" i="13" a="1"/>
  <c r="E191" i="13" s="1"/>
  <c r="H191" i="13" a="1"/>
  <c r="H191" i="13" s="1"/>
  <c r="I191" i="13" a="1"/>
  <c r="I191" i="13" s="1"/>
  <c r="G189" i="13" a="1"/>
  <c r="G189" i="13" s="1"/>
  <c r="L189" i="13" a="1"/>
  <c r="L189" i="13" s="1"/>
  <c r="M189" i="13" a="1"/>
  <c r="M189" i="13" s="1"/>
  <c r="M190" i="13" a="1"/>
  <c r="M190" i="13" s="1"/>
  <c r="P190" i="13" a="1"/>
  <c r="P190" i="13" s="1"/>
  <c r="G191" i="13" a="1"/>
  <c r="G191" i="13" s="1"/>
  <c r="J191" i="13" a="1"/>
  <c r="J191" i="13" s="1"/>
  <c r="K191" i="13" a="1"/>
  <c r="K191" i="13" s="1"/>
  <c r="N45" i="15"/>
  <c r="R45" i="15" s="1"/>
  <c r="N42" i="15"/>
  <c r="R42" i="15" s="1"/>
  <c r="N46" i="15"/>
  <c r="R46" i="15" s="1"/>
  <c r="AJ127" i="15" s="1"/>
  <c r="N44" i="15"/>
  <c r="R44" i="15" s="1"/>
  <c r="X127" i="15" s="1"/>
  <c r="N43" i="15"/>
  <c r="R43" i="15" s="1"/>
  <c r="CF137" i="15"/>
  <c r="H184" i="13" a="1"/>
  <c r="H184" i="13" s="1"/>
  <c r="G184" i="13" a="1"/>
  <c r="G184" i="13" s="1"/>
  <c r="E184" i="13" a="1"/>
  <c r="E184" i="13" s="1"/>
  <c r="M184" i="13" a="1"/>
  <c r="M184" i="13" s="1"/>
  <c r="P184" i="13" a="1"/>
  <c r="P184" i="13" s="1"/>
  <c r="J184" i="13" a="1"/>
  <c r="J184" i="13" s="1"/>
  <c r="I184" i="13" a="1"/>
  <c r="I184" i="13" s="1"/>
  <c r="Q184" i="13" a="1"/>
  <c r="Q184" i="13" s="1"/>
  <c r="L184" i="13" a="1"/>
  <c r="L184" i="13" s="1"/>
  <c r="O184" i="13" a="1"/>
  <c r="O184" i="13" s="1"/>
  <c r="R184" i="13" a="1"/>
  <c r="R184" i="13" s="1"/>
  <c r="F184" i="13" a="1"/>
  <c r="F184" i="13" s="1"/>
  <c r="N184" i="13" a="1"/>
  <c r="N184" i="13" s="1"/>
  <c r="K184" i="13" a="1"/>
  <c r="K184" i="13" s="1"/>
  <c r="N180" i="13" a="1"/>
  <c r="N180" i="13" s="1"/>
  <c r="M180" i="13" a="1"/>
  <c r="M180" i="13" s="1"/>
  <c r="G180" i="13" a="1"/>
  <c r="G180" i="13" s="1"/>
  <c r="R180" i="13" a="1"/>
  <c r="R180" i="13" s="1"/>
  <c r="K180" i="13" a="1"/>
  <c r="K180" i="13" s="1"/>
  <c r="H180" i="13" a="1"/>
  <c r="H180" i="13" s="1"/>
  <c r="L180" i="13" a="1"/>
  <c r="L180" i="13" s="1"/>
  <c r="Q180" i="13" a="1"/>
  <c r="Q180" i="13" s="1"/>
  <c r="F180" i="13" a="1"/>
  <c r="F180" i="13" s="1"/>
  <c r="E180" i="13" a="1"/>
  <c r="E180" i="13" s="1"/>
  <c r="O180" i="13" a="1"/>
  <c r="O180" i="13" s="1"/>
  <c r="P180" i="13" a="1"/>
  <c r="P180" i="13" s="1"/>
  <c r="I180" i="13" a="1"/>
  <c r="I180" i="13" s="1"/>
  <c r="J180" i="13" a="1"/>
  <c r="J180" i="13" s="1"/>
  <c r="G185" i="13" a="1"/>
  <c r="G185" i="13" s="1"/>
  <c r="L185" i="13" a="1"/>
  <c r="L185" i="13" s="1"/>
  <c r="N185" i="13" a="1"/>
  <c r="N185" i="13" s="1"/>
  <c r="J185" i="13" a="1"/>
  <c r="J185" i="13" s="1"/>
  <c r="O185" i="13" a="1"/>
  <c r="O185" i="13" s="1"/>
  <c r="F185" i="13" a="1"/>
  <c r="F185" i="13" s="1"/>
  <c r="K185" i="13" a="1"/>
  <c r="K185" i="13" s="1"/>
  <c r="P185" i="13" a="1"/>
  <c r="P185" i="13" s="1"/>
  <c r="E185" i="13" a="1"/>
  <c r="E185" i="13" s="1"/>
  <c r="I185" i="13" a="1"/>
  <c r="I185" i="13" s="1"/>
  <c r="Q185" i="13" a="1"/>
  <c r="Q185" i="13" s="1"/>
  <c r="R185" i="13" a="1"/>
  <c r="R185" i="13" s="1"/>
  <c r="M185" i="13" a="1"/>
  <c r="M185" i="13" s="1"/>
  <c r="H185" i="13" a="1"/>
  <c r="H185" i="13" s="1"/>
  <c r="I179" i="13" a="1"/>
  <c r="I179" i="13" s="1"/>
  <c r="R179" i="13" a="1"/>
  <c r="R179" i="13" s="1"/>
  <c r="M179" i="13" a="1"/>
  <c r="M179" i="13" s="1"/>
  <c r="Q179" i="13" a="1"/>
  <c r="Q179" i="13" s="1"/>
  <c r="E179" i="13" a="1"/>
  <c r="E179" i="13" s="1"/>
  <c r="L179" i="13" a="1"/>
  <c r="L179" i="13" s="1"/>
  <c r="J179" i="13" a="1"/>
  <c r="J179" i="13" s="1"/>
  <c r="N179" i="13" a="1"/>
  <c r="N179" i="13" s="1"/>
  <c r="G179" i="13" a="1"/>
  <c r="G179" i="13" s="1"/>
  <c r="H179" i="13" a="1"/>
  <c r="H179" i="13" s="1"/>
  <c r="K179" i="13" a="1"/>
  <c r="K179" i="13" s="1"/>
  <c r="P179" i="13" a="1"/>
  <c r="P179" i="13" s="1"/>
  <c r="F179" i="13" a="1"/>
  <c r="F179" i="13" s="1"/>
  <c r="O179" i="13" a="1"/>
  <c r="O179" i="13" s="1"/>
  <c r="S181" i="13"/>
  <c r="S183" i="13"/>
  <c r="X131" i="15"/>
  <c r="CF129" i="15"/>
  <c r="I136" i="15"/>
  <c r="CF136" i="15" s="1"/>
  <c r="I135" i="15"/>
  <c r="AJ126" i="15"/>
  <c r="F177" i="13" s="1" a="1"/>
  <c r="F177" i="13" s="1"/>
  <c r="I131" i="15"/>
  <c r="CF134" i="15"/>
  <c r="CF128" i="15"/>
  <c r="CF133" i="15"/>
  <c r="I123" i="15"/>
  <c r="AJ123" i="15"/>
  <c r="AJ122" i="15"/>
  <c r="P173" i="13" s="1" a="1"/>
  <c r="P173" i="13" s="1"/>
  <c r="I125" i="15"/>
  <c r="AJ124" i="15"/>
  <c r="N175" i="13" s="1" a="1"/>
  <c r="N175" i="13" s="1"/>
  <c r="AJ125" i="15"/>
  <c r="R17" i="11"/>
  <c r="F126" i="18" s="1"/>
  <c r="R18" i="11"/>
  <c r="F127" i="18" s="1"/>
  <c r="R19" i="11"/>
  <c r="F128" i="18" s="1"/>
  <c r="R20" i="11"/>
  <c r="F129" i="18" s="1"/>
  <c r="R21" i="11"/>
  <c r="F130" i="18" s="1"/>
  <c r="R22" i="11"/>
  <c r="F131" i="18" s="1"/>
  <c r="A131" i="18" s="1"/>
  <c r="R23" i="11"/>
  <c r="F132" i="18" s="1"/>
  <c r="R44" i="11"/>
  <c r="F153" i="18" s="1"/>
  <c r="R45" i="11"/>
  <c r="F154" i="18" s="1"/>
  <c r="R46" i="11"/>
  <c r="F155" i="18" s="1"/>
  <c r="R47" i="11"/>
  <c r="F156" i="18" s="1"/>
  <c r="R48" i="11"/>
  <c r="F157" i="18" s="1"/>
  <c r="R49" i="11"/>
  <c r="F158" i="18" s="1"/>
  <c r="R50" i="11"/>
  <c r="F159" i="18" s="1"/>
  <c r="R51" i="11"/>
  <c r="F160" i="18" s="1"/>
  <c r="R52" i="11"/>
  <c r="F161" i="18" s="1"/>
  <c r="R53" i="11"/>
  <c r="F162" i="18" s="1"/>
  <c r="R54" i="11"/>
  <c r="F163" i="18" s="1"/>
  <c r="R16" i="11"/>
  <c r="F125" i="18" s="1"/>
  <c r="R15" i="11"/>
  <c r="F124" i="18" s="1"/>
  <c r="R14" i="11"/>
  <c r="S191" i="13" l="1"/>
  <c r="S190" i="13"/>
  <c r="S189" i="13"/>
  <c r="M188" i="13" a="1"/>
  <c r="M188" i="13" s="1"/>
  <c r="N188" i="13" a="1"/>
  <c r="N188" i="13" s="1"/>
  <c r="P188" i="13" a="1"/>
  <c r="P188" i="13" s="1"/>
  <c r="I188" i="13" a="1"/>
  <c r="I188" i="13" s="1"/>
  <c r="H188" i="13" a="1"/>
  <c r="H188" i="13" s="1"/>
  <c r="J188" i="13" a="1"/>
  <c r="J188" i="13" s="1"/>
  <c r="O188" i="13" a="1"/>
  <c r="O188" i="13" s="1"/>
  <c r="A158" i="18"/>
  <c r="A154" i="18"/>
  <c r="A161" i="18"/>
  <c r="A153" i="18"/>
  <c r="A160" i="18"/>
  <c r="A162" i="18"/>
  <c r="A157" i="18"/>
  <c r="A156" i="18"/>
  <c r="A159" i="18"/>
  <c r="A155" i="18"/>
  <c r="A127" i="18"/>
  <c r="A129" i="18"/>
  <c r="A130" i="18"/>
  <c r="A163" i="18"/>
  <c r="A128" i="18"/>
  <c r="A132" i="18"/>
  <c r="A124" i="18"/>
  <c r="A126" i="18"/>
  <c r="A125" i="18"/>
  <c r="R188" i="13" a="1"/>
  <c r="R188" i="13" s="1"/>
  <c r="F188" i="13" a="1"/>
  <c r="F188" i="13" s="1"/>
  <c r="Q188" i="13" a="1"/>
  <c r="Q188" i="13" s="1"/>
  <c r="G188" i="13" a="1"/>
  <c r="G188" i="13" s="1"/>
  <c r="K188" i="13" a="1"/>
  <c r="K188" i="13" s="1"/>
  <c r="L188" i="13" a="1"/>
  <c r="L188" i="13" s="1"/>
  <c r="E188" i="13" a="1"/>
  <c r="E188" i="13" s="1"/>
  <c r="BC155" i="18"/>
  <c r="AY155" i="18"/>
  <c r="AU155" i="18"/>
  <c r="AQ155" i="18"/>
  <c r="BB155" i="18"/>
  <c r="AX155" i="18"/>
  <c r="AT155" i="18"/>
  <c r="AP155" i="18"/>
  <c r="BA155" i="18"/>
  <c r="AW155" i="18"/>
  <c r="AS155" i="18"/>
  <c r="AZ155" i="18"/>
  <c r="AV155" i="18"/>
  <c r="AR155" i="18"/>
  <c r="AM155" i="18"/>
  <c r="AI155" i="18"/>
  <c r="AE155" i="18"/>
  <c r="AA155" i="18"/>
  <c r="AL155" i="18"/>
  <c r="AH155" i="18"/>
  <c r="AD155" i="18"/>
  <c r="AK155" i="18"/>
  <c r="AG155" i="18"/>
  <c r="AC155" i="18"/>
  <c r="AB155" i="18"/>
  <c r="AN155" i="18"/>
  <c r="X155" i="18"/>
  <c r="T155" i="18"/>
  <c r="P155" i="18"/>
  <c r="L155" i="18"/>
  <c r="U155" i="18"/>
  <c r="O155" i="18"/>
  <c r="AJ155" i="18"/>
  <c r="Y155" i="18"/>
  <c r="S155" i="18"/>
  <c r="N155" i="18"/>
  <c r="AF155" i="18"/>
  <c r="W155" i="18"/>
  <c r="R155" i="18"/>
  <c r="M155" i="18"/>
  <c r="V155" i="18"/>
  <c r="Q155" i="18"/>
  <c r="BA162" i="18"/>
  <c r="AW162" i="18"/>
  <c r="AS162" i="18"/>
  <c r="AZ162" i="18"/>
  <c r="AV162" i="18"/>
  <c r="AR162" i="18"/>
  <c r="BC162" i="18"/>
  <c r="AY162" i="18"/>
  <c r="AU162" i="18"/>
  <c r="AQ162" i="18"/>
  <c r="AX162" i="18"/>
  <c r="AL162" i="18"/>
  <c r="AH162" i="18"/>
  <c r="AD162" i="18"/>
  <c r="AT162" i="18"/>
  <c r="AK162" i="18"/>
  <c r="AG162" i="18"/>
  <c r="AC162" i="18"/>
  <c r="AP162" i="18"/>
  <c r="AN162" i="18"/>
  <c r="AJ162" i="18"/>
  <c r="AF162" i="18"/>
  <c r="AB162" i="18"/>
  <c r="BB162" i="18"/>
  <c r="AE162" i="18"/>
  <c r="X162" i="18"/>
  <c r="T162" i="18"/>
  <c r="P162" i="18"/>
  <c r="L162" i="18"/>
  <c r="AA162" i="18"/>
  <c r="AM162" i="18"/>
  <c r="Y162" i="18"/>
  <c r="S162" i="18"/>
  <c r="N162" i="18"/>
  <c r="R162" i="18"/>
  <c r="AI162" i="18"/>
  <c r="W162" i="18"/>
  <c r="Q162" i="18"/>
  <c r="V162" i="18"/>
  <c r="O162" i="18"/>
  <c r="U162" i="18"/>
  <c r="M162" i="18"/>
  <c r="BA158" i="18"/>
  <c r="AW158" i="18"/>
  <c r="AS158" i="18"/>
  <c r="AZ158" i="18"/>
  <c r="AV158" i="18"/>
  <c r="AR158" i="18"/>
  <c r="BC158" i="18"/>
  <c r="AY158" i="18"/>
  <c r="AU158" i="18"/>
  <c r="AQ158" i="18"/>
  <c r="AP158" i="18"/>
  <c r="AL158" i="18"/>
  <c r="AH158" i="18"/>
  <c r="AD158" i="18"/>
  <c r="BB158" i="18"/>
  <c r="AX158" i="18"/>
  <c r="AT158" i="18"/>
  <c r="AM158" i="18"/>
  <c r="AG158" i="18"/>
  <c r="AB158" i="18"/>
  <c r="X158" i="18"/>
  <c r="T158" i="18"/>
  <c r="P158" i="18"/>
  <c r="L158" i="18"/>
  <c r="AK158" i="18"/>
  <c r="AF158" i="18"/>
  <c r="AA158" i="18"/>
  <c r="AJ158" i="18"/>
  <c r="AE158" i="18"/>
  <c r="AN158" i="18"/>
  <c r="V158" i="18"/>
  <c r="Q158" i="18"/>
  <c r="Y158" i="18"/>
  <c r="R158" i="18"/>
  <c r="AI158" i="18"/>
  <c r="W158" i="18"/>
  <c r="O158" i="18"/>
  <c r="AC158" i="18"/>
  <c r="U158" i="18"/>
  <c r="N158" i="18"/>
  <c r="S158" i="18"/>
  <c r="M158" i="18"/>
  <c r="BA154" i="18"/>
  <c r="AW154" i="18"/>
  <c r="AS154" i="18"/>
  <c r="AZ154" i="18"/>
  <c r="AV154" i="18"/>
  <c r="AR154" i="18"/>
  <c r="BC154" i="18"/>
  <c r="AY154" i="18"/>
  <c r="AU154" i="18"/>
  <c r="AQ154" i="18"/>
  <c r="AX154" i="18"/>
  <c r="AT154" i="18"/>
  <c r="AP154" i="18"/>
  <c r="AK154" i="18"/>
  <c r="AG154" i="18"/>
  <c r="AC154" i="18"/>
  <c r="AN154" i="18"/>
  <c r="AJ154" i="18"/>
  <c r="AF154" i="18"/>
  <c r="AB154" i="18"/>
  <c r="AM154" i="18"/>
  <c r="AI154" i="18"/>
  <c r="AE154" i="18"/>
  <c r="AA154" i="18"/>
  <c r="BB154" i="18"/>
  <c r="AL154" i="18"/>
  <c r="V154" i="18"/>
  <c r="R154" i="18"/>
  <c r="N154" i="18"/>
  <c r="AD154" i="18"/>
  <c r="X154" i="18"/>
  <c r="S154" i="18"/>
  <c r="M154" i="18"/>
  <c r="W154" i="18"/>
  <c r="Q154" i="18"/>
  <c r="L154" i="18"/>
  <c r="U154" i="18"/>
  <c r="P154" i="18"/>
  <c r="AH154" i="18"/>
  <c r="Y154" i="18"/>
  <c r="T154" i="18"/>
  <c r="O154" i="18"/>
  <c r="BC159" i="18"/>
  <c r="AY159" i="18"/>
  <c r="AU159" i="18"/>
  <c r="AQ159" i="18"/>
  <c r="BB159" i="18"/>
  <c r="AX159" i="18"/>
  <c r="AT159" i="18"/>
  <c r="AP159" i="18"/>
  <c r="BA159" i="18"/>
  <c r="AW159" i="18"/>
  <c r="AS159" i="18"/>
  <c r="AR159" i="18"/>
  <c r="AN159" i="18"/>
  <c r="AJ159" i="18"/>
  <c r="AF159" i="18"/>
  <c r="AB159" i="18"/>
  <c r="AZ159" i="18"/>
  <c r="AI159" i="18"/>
  <c r="AD159" i="18"/>
  <c r="V159" i="18"/>
  <c r="R159" i="18"/>
  <c r="N159" i="18"/>
  <c r="AM159" i="18"/>
  <c r="AH159" i="18"/>
  <c r="AC159" i="18"/>
  <c r="AL159" i="18"/>
  <c r="AG159" i="18"/>
  <c r="AA159" i="18"/>
  <c r="AE159" i="18"/>
  <c r="X159" i="18"/>
  <c r="S159" i="18"/>
  <c r="M159" i="18"/>
  <c r="AV159" i="18"/>
  <c r="AK159" i="18"/>
  <c r="Y159" i="18"/>
  <c r="Q159" i="18"/>
  <c r="W159" i="18"/>
  <c r="P159" i="18"/>
  <c r="U159" i="18"/>
  <c r="O159" i="18"/>
  <c r="T159" i="18"/>
  <c r="L159" i="18"/>
  <c r="BC161" i="18"/>
  <c r="AY161" i="18"/>
  <c r="AU161" i="18"/>
  <c r="AQ161" i="18"/>
  <c r="BB161" i="18"/>
  <c r="AX161" i="18"/>
  <c r="AT161" i="18"/>
  <c r="AP161" i="18"/>
  <c r="BA161" i="18"/>
  <c r="AW161" i="18"/>
  <c r="AS161" i="18"/>
  <c r="AV161" i="18"/>
  <c r="AN161" i="18"/>
  <c r="AJ161" i="18"/>
  <c r="AF161" i="18"/>
  <c r="AB161" i="18"/>
  <c r="AR161" i="18"/>
  <c r="AM161" i="18"/>
  <c r="AI161" i="18"/>
  <c r="AE161" i="18"/>
  <c r="AL161" i="18"/>
  <c r="AH161" i="18"/>
  <c r="AD161" i="18"/>
  <c r="AC161" i="18"/>
  <c r="V161" i="18"/>
  <c r="R161" i="18"/>
  <c r="N161" i="18"/>
  <c r="AZ161" i="18"/>
  <c r="AA161" i="18"/>
  <c r="AK161" i="18"/>
  <c r="W161" i="18"/>
  <c r="Q161" i="18"/>
  <c r="L161" i="18"/>
  <c r="Y161" i="18"/>
  <c r="S161" i="18"/>
  <c r="M161" i="18"/>
  <c r="X161" i="18"/>
  <c r="P161" i="18"/>
  <c r="T161" i="18"/>
  <c r="AG161" i="18"/>
  <c r="U161" i="18"/>
  <c r="O161" i="18"/>
  <c r="BC157" i="18"/>
  <c r="AY157" i="18"/>
  <c r="AU157" i="18"/>
  <c r="AQ157" i="18"/>
  <c r="BB157" i="18"/>
  <c r="AX157" i="18"/>
  <c r="AT157" i="18"/>
  <c r="AP157" i="18"/>
  <c r="BA157" i="18"/>
  <c r="AW157" i="18"/>
  <c r="AS157" i="18"/>
  <c r="AN157" i="18"/>
  <c r="AJ157" i="18"/>
  <c r="AF157" i="18"/>
  <c r="AB157" i="18"/>
  <c r="AZ157" i="18"/>
  <c r="AV157" i="18"/>
  <c r="AK157" i="18"/>
  <c r="AE157" i="18"/>
  <c r="V157" i="18"/>
  <c r="R157" i="18"/>
  <c r="N157" i="18"/>
  <c r="AR157" i="18"/>
  <c r="AI157" i="18"/>
  <c r="AD157" i="18"/>
  <c r="AM157" i="18"/>
  <c r="AH157" i="18"/>
  <c r="AC157" i="18"/>
  <c r="AL157" i="18"/>
  <c r="AG157" i="18"/>
  <c r="Y157" i="18"/>
  <c r="T157" i="18"/>
  <c r="O157" i="18"/>
  <c r="X157" i="18"/>
  <c r="Q157" i="18"/>
  <c r="W157" i="18"/>
  <c r="P157" i="18"/>
  <c r="U157" i="18"/>
  <c r="M157" i="18"/>
  <c r="AA157" i="18"/>
  <c r="S157" i="18"/>
  <c r="L157" i="18"/>
  <c r="BC153" i="18"/>
  <c r="AY153" i="18"/>
  <c r="AU153" i="18"/>
  <c r="AQ153" i="18"/>
  <c r="BB153" i="18"/>
  <c r="AX153" i="18"/>
  <c r="AT153" i="18"/>
  <c r="AP153" i="18"/>
  <c r="BA153" i="18"/>
  <c r="AW153" i="18"/>
  <c r="AS153" i="18"/>
  <c r="AV153" i="18"/>
  <c r="AR153" i="18"/>
  <c r="AZ153" i="18"/>
  <c r="AM153" i="18"/>
  <c r="AI153" i="18"/>
  <c r="AE153" i="18"/>
  <c r="AA153" i="18"/>
  <c r="AL153" i="18"/>
  <c r="AH153" i="18"/>
  <c r="AD153" i="18"/>
  <c r="AK153" i="18"/>
  <c r="AG153" i="18"/>
  <c r="AC153" i="18"/>
  <c r="AN153" i="18"/>
  <c r="AJ153" i="18"/>
  <c r="X153" i="18"/>
  <c r="T153" i="18"/>
  <c r="P153" i="18"/>
  <c r="L153" i="18"/>
  <c r="V153" i="18"/>
  <c r="Q153" i="18"/>
  <c r="AF153" i="18"/>
  <c r="U153" i="18"/>
  <c r="O153" i="18"/>
  <c r="AB153" i="18"/>
  <c r="Y153" i="18"/>
  <c r="S153" i="18"/>
  <c r="N153" i="18"/>
  <c r="W153" i="18"/>
  <c r="R153" i="18"/>
  <c r="M153" i="18"/>
  <c r="BA131" i="18"/>
  <c r="AW131" i="18"/>
  <c r="AS131" i="18"/>
  <c r="AZ131" i="18"/>
  <c r="AV131" i="18"/>
  <c r="AR131" i="18"/>
  <c r="BC131" i="18"/>
  <c r="AY131" i="18"/>
  <c r="AU131" i="18"/>
  <c r="AQ131" i="18"/>
  <c r="AT131" i="18"/>
  <c r="AM131" i="18"/>
  <c r="AI131" i="18"/>
  <c r="AE131" i="18"/>
  <c r="AA131" i="18"/>
  <c r="AP131" i="18"/>
  <c r="AL131" i="18"/>
  <c r="AH131" i="18"/>
  <c r="AD131" i="18"/>
  <c r="BB131" i="18"/>
  <c r="AK131" i="18"/>
  <c r="AG131" i="18"/>
  <c r="AC131" i="18"/>
  <c r="AN131" i="18"/>
  <c r="X131" i="18"/>
  <c r="T131" i="18"/>
  <c r="P131" i="18"/>
  <c r="L131" i="18"/>
  <c r="AB131" i="18"/>
  <c r="U131" i="18"/>
  <c r="O131" i="18"/>
  <c r="V131" i="18"/>
  <c r="Y131" i="18"/>
  <c r="S131" i="18"/>
  <c r="N131" i="18"/>
  <c r="AX131" i="18"/>
  <c r="AJ131" i="18"/>
  <c r="W131" i="18"/>
  <c r="R131" i="18"/>
  <c r="M131" i="18"/>
  <c r="AF131" i="18"/>
  <c r="Q131" i="18"/>
  <c r="BA160" i="18"/>
  <c r="AW160" i="18"/>
  <c r="AS160" i="18"/>
  <c r="AZ160" i="18"/>
  <c r="AV160" i="18"/>
  <c r="AR160" i="18"/>
  <c r="BC160" i="18"/>
  <c r="AY160" i="18"/>
  <c r="AU160" i="18"/>
  <c r="AQ160" i="18"/>
  <c r="AT160" i="18"/>
  <c r="AL160" i="18"/>
  <c r="AH160" i="18"/>
  <c r="AD160" i="18"/>
  <c r="AP160" i="18"/>
  <c r="BB160" i="18"/>
  <c r="AK160" i="18"/>
  <c r="AF160" i="18"/>
  <c r="AA160" i="18"/>
  <c r="X160" i="18"/>
  <c r="T160" i="18"/>
  <c r="P160" i="18"/>
  <c r="L160" i="18"/>
  <c r="AJ160" i="18"/>
  <c r="AE160" i="18"/>
  <c r="AX160" i="18"/>
  <c r="AN160" i="18"/>
  <c r="AI160" i="18"/>
  <c r="AC160" i="18"/>
  <c r="AM160" i="18"/>
  <c r="AG160" i="18"/>
  <c r="U160" i="18"/>
  <c r="O160" i="18"/>
  <c r="Y160" i="18"/>
  <c r="R160" i="18"/>
  <c r="W160" i="18"/>
  <c r="Q160" i="18"/>
  <c r="V160" i="18"/>
  <c r="N160" i="18"/>
  <c r="AB160" i="18"/>
  <c r="S160" i="18"/>
  <c r="M160" i="18"/>
  <c r="BA156" i="18"/>
  <c r="AW156" i="18"/>
  <c r="AS156" i="18"/>
  <c r="AZ156" i="18"/>
  <c r="AV156" i="18"/>
  <c r="AR156" i="18"/>
  <c r="BC156" i="18"/>
  <c r="AY156" i="18"/>
  <c r="AU156" i="18"/>
  <c r="AQ156" i="18"/>
  <c r="BB156" i="18"/>
  <c r="AL156" i="18"/>
  <c r="AH156" i="18"/>
  <c r="AD156" i="18"/>
  <c r="AX156" i="18"/>
  <c r="AT156" i="18"/>
  <c r="AN156" i="18"/>
  <c r="AI156" i="18"/>
  <c r="AC156" i="18"/>
  <c r="X156" i="18"/>
  <c r="T156" i="18"/>
  <c r="AM156" i="18"/>
  <c r="AG156" i="18"/>
  <c r="AB156" i="18"/>
  <c r="AP156" i="18"/>
  <c r="AK156" i="18"/>
  <c r="AF156" i="18"/>
  <c r="AA156" i="18"/>
  <c r="AE156" i="18"/>
  <c r="W156" i="18"/>
  <c r="R156" i="18"/>
  <c r="N156" i="18"/>
  <c r="AJ156" i="18"/>
  <c r="Y156" i="18"/>
  <c r="Q156" i="18"/>
  <c r="L156" i="18"/>
  <c r="V156" i="18"/>
  <c r="P156" i="18"/>
  <c r="U156" i="18"/>
  <c r="O156" i="18"/>
  <c r="S156" i="18"/>
  <c r="M156" i="18"/>
  <c r="E177" i="13" a="1"/>
  <c r="E177" i="13" s="1"/>
  <c r="P175" i="13" a="1"/>
  <c r="P175" i="13" s="1"/>
  <c r="M175" i="13" a="1"/>
  <c r="M175" i="13" s="1"/>
  <c r="Q177" i="13" a="1"/>
  <c r="Q177" i="13" s="1"/>
  <c r="G173" i="13" a="1"/>
  <c r="G173" i="13" s="1"/>
  <c r="Q175" i="13" a="1"/>
  <c r="Q175" i="13" s="1"/>
  <c r="K173" i="13" a="1"/>
  <c r="K173" i="13" s="1"/>
  <c r="M177" i="13" a="1"/>
  <c r="M177" i="13" s="1"/>
  <c r="K177" i="13" a="1"/>
  <c r="K177" i="13" s="1"/>
  <c r="R177" i="13" a="1"/>
  <c r="R177" i="13" s="1"/>
  <c r="J177" i="13" a="1"/>
  <c r="J177" i="13" s="1"/>
  <c r="P176" i="13" a="1"/>
  <c r="P176" i="13" s="1"/>
  <c r="F173" i="13" a="1"/>
  <c r="F173" i="13" s="1"/>
  <c r="P177" i="13" a="1"/>
  <c r="P177" i="13" s="1"/>
  <c r="H177" i="13" a="1"/>
  <c r="H177" i="13" s="1"/>
  <c r="I174" i="13" a="1"/>
  <c r="I174" i="13" s="1"/>
  <c r="P174" i="13" a="1"/>
  <c r="P174" i="13" s="1"/>
  <c r="J174" i="13" a="1"/>
  <c r="J174" i="13" s="1"/>
  <c r="O174" i="13" a="1"/>
  <c r="O174" i="13" s="1"/>
  <c r="N174" i="13" a="1"/>
  <c r="N174" i="13" s="1"/>
  <c r="E174" i="13" a="1"/>
  <c r="E174" i="13" s="1"/>
  <c r="CF141" i="15"/>
  <c r="O192" i="13" a="1"/>
  <c r="O192" i="13" s="1"/>
  <c r="N192" i="13" a="1"/>
  <c r="N192" i="13" s="1"/>
  <c r="J192" i="13" a="1"/>
  <c r="J192" i="13" s="1"/>
  <c r="M192" i="13" a="1"/>
  <c r="M192" i="13" s="1"/>
  <c r="H192" i="13" a="1"/>
  <c r="H192" i="13" s="1"/>
  <c r="I192" i="13" a="1"/>
  <c r="I192" i="13" s="1"/>
  <c r="Q192" i="13" a="1"/>
  <c r="Q192" i="13" s="1"/>
  <c r="L192" i="13" a="1"/>
  <c r="L192" i="13" s="1"/>
  <c r="K192" i="13" a="1"/>
  <c r="K192" i="13" s="1"/>
  <c r="P192" i="13" a="1"/>
  <c r="P192" i="13" s="1"/>
  <c r="E192" i="13" a="1"/>
  <c r="E192" i="13" s="1"/>
  <c r="G192" i="13" a="1"/>
  <c r="G192" i="13" s="1"/>
  <c r="R192" i="13" a="1"/>
  <c r="R192" i="13" s="1"/>
  <c r="F192" i="13" a="1"/>
  <c r="F192" i="13" s="1"/>
  <c r="M174" i="13" a="1"/>
  <c r="M174" i="13" s="1"/>
  <c r="R174" i="13" a="1"/>
  <c r="R174" i="13" s="1"/>
  <c r="E187" i="13" a="1"/>
  <c r="E187" i="13" s="1"/>
  <c r="CF131" i="15"/>
  <c r="G182" i="13" a="1"/>
  <c r="G182" i="13" s="1"/>
  <c r="N182" i="13" a="1"/>
  <c r="N182" i="13" s="1"/>
  <c r="H182" i="13" a="1"/>
  <c r="H182" i="13" s="1"/>
  <c r="R182" i="13" a="1"/>
  <c r="R182" i="13" s="1"/>
  <c r="E182" i="13" a="1"/>
  <c r="E182" i="13" s="1"/>
  <c r="K182" i="13" a="1"/>
  <c r="K182" i="13" s="1"/>
  <c r="P182" i="13" a="1"/>
  <c r="P182" i="13" s="1"/>
  <c r="O182" i="13" a="1"/>
  <c r="O182" i="13" s="1"/>
  <c r="I182" i="13" a="1"/>
  <c r="I182" i="13" s="1"/>
  <c r="M182" i="13" a="1"/>
  <c r="M182" i="13" s="1"/>
  <c r="J182" i="13" a="1"/>
  <c r="J182" i="13" s="1"/>
  <c r="Q182" i="13" a="1"/>
  <c r="Q182" i="13" s="1"/>
  <c r="F182" i="13" a="1"/>
  <c r="F182" i="13" s="1"/>
  <c r="L182" i="13" a="1"/>
  <c r="L182" i="13" s="1"/>
  <c r="I176" i="13" a="1"/>
  <c r="I176" i="13" s="1"/>
  <c r="H174" i="13" a="1"/>
  <c r="H174" i="13" s="1"/>
  <c r="I173" i="13" a="1"/>
  <c r="I173" i="13" s="1"/>
  <c r="N173" i="13" a="1"/>
  <c r="N173" i="13" s="1"/>
  <c r="G174" i="13" a="1"/>
  <c r="G174" i="13" s="1"/>
  <c r="J187" i="13" a="1"/>
  <c r="J187" i="13" s="1"/>
  <c r="I187" i="13" a="1"/>
  <c r="I187" i="13" s="1"/>
  <c r="F175" i="13" a="1"/>
  <c r="F175" i="13" s="1"/>
  <c r="E175" i="13" a="1"/>
  <c r="E175" i="13" s="1"/>
  <c r="Q173" i="13" a="1"/>
  <c r="Q173" i="13" s="1"/>
  <c r="J175" i="13" a="1"/>
  <c r="J175" i="13" s="1"/>
  <c r="G175" i="13" a="1"/>
  <c r="G175" i="13" s="1"/>
  <c r="L174" i="13" a="1"/>
  <c r="L174" i="13" s="1"/>
  <c r="O173" i="13" a="1"/>
  <c r="O173" i="13" s="1"/>
  <c r="L177" i="13" a="1"/>
  <c r="L177" i="13" s="1"/>
  <c r="I177" i="13" a="1"/>
  <c r="I177" i="13" s="1"/>
  <c r="O177" i="13" a="1"/>
  <c r="O177" i="13" s="1"/>
  <c r="J173" i="13" a="1"/>
  <c r="J173" i="13" s="1"/>
  <c r="G187" i="13" a="1"/>
  <c r="G187" i="13" s="1"/>
  <c r="K187" i="13" a="1"/>
  <c r="K187" i="13" s="1"/>
  <c r="O187" i="13" a="1"/>
  <c r="O187" i="13" s="1"/>
  <c r="M187" i="13" a="1"/>
  <c r="M187" i="13" s="1"/>
  <c r="M173" i="13" a="1"/>
  <c r="M173" i="13" s="1"/>
  <c r="R173" i="13" a="1"/>
  <c r="R173" i="13" s="1"/>
  <c r="N187" i="13" a="1"/>
  <c r="N187" i="13" s="1"/>
  <c r="F187" i="13" a="1"/>
  <c r="F187" i="13" s="1"/>
  <c r="E173" i="13" a="1"/>
  <c r="E173" i="13" s="1"/>
  <c r="L187" i="13" a="1"/>
  <c r="L187" i="13" s="1"/>
  <c r="K175" i="13" a="1"/>
  <c r="K175" i="13" s="1"/>
  <c r="O175" i="13" a="1"/>
  <c r="O175" i="13" s="1"/>
  <c r="H175" i="13" a="1"/>
  <c r="H175" i="13" s="1"/>
  <c r="I175" i="13" a="1"/>
  <c r="I175" i="13" s="1"/>
  <c r="CF135" i="15"/>
  <c r="J186" i="13" a="1"/>
  <c r="J186" i="13" s="1"/>
  <c r="R186" i="13" a="1"/>
  <c r="R186" i="13" s="1"/>
  <c r="K186" i="13" a="1"/>
  <c r="K186" i="13" s="1"/>
  <c r="P186" i="13" a="1"/>
  <c r="P186" i="13" s="1"/>
  <c r="E186" i="13" a="1"/>
  <c r="E186" i="13" s="1"/>
  <c r="F186" i="13" a="1"/>
  <c r="F186" i="13" s="1"/>
  <c r="H186" i="13" a="1"/>
  <c r="H186" i="13" s="1"/>
  <c r="O186" i="13" a="1"/>
  <c r="O186" i="13" s="1"/>
  <c r="L186" i="13" a="1"/>
  <c r="L186" i="13" s="1"/>
  <c r="N186" i="13" a="1"/>
  <c r="N186" i="13" s="1"/>
  <c r="I186" i="13" a="1"/>
  <c r="I186" i="13" s="1"/>
  <c r="G186" i="13" a="1"/>
  <c r="G186" i="13" s="1"/>
  <c r="M186" i="13" a="1"/>
  <c r="M186" i="13" s="1"/>
  <c r="Q186" i="13" a="1"/>
  <c r="Q186" i="13" s="1"/>
  <c r="R175" i="13" a="1"/>
  <c r="R175" i="13" s="1"/>
  <c r="K174" i="13" a="1"/>
  <c r="K174" i="13" s="1"/>
  <c r="H173" i="13" a="1"/>
  <c r="H173" i="13" s="1"/>
  <c r="F174" i="13" a="1"/>
  <c r="F174" i="13" s="1"/>
  <c r="L173" i="13" a="1"/>
  <c r="L173" i="13" s="1"/>
  <c r="N177" i="13" a="1"/>
  <c r="N177" i="13" s="1"/>
  <c r="G177" i="13" a="1"/>
  <c r="G177" i="13" s="1"/>
  <c r="L175" i="13" a="1"/>
  <c r="L175" i="13" s="1"/>
  <c r="H187" i="13" a="1"/>
  <c r="H187" i="13" s="1"/>
  <c r="Q187" i="13" a="1"/>
  <c r="Q187" i="13" s="1"/>
  <c r="R187" i="13" a="1"/>
  <c r="R187" i="13" s="1"/>
  <c r="P187" i="13" a="1"/>
  <c r="P187" i="13" s="1"/>
  <c r="Q174" i="13" a="1"/>
  <c r="Q174" i="13" s="1"/>
  <c r="Q176" i="13" a="1"/>
  <c r="Q176" i="13" s="1"/>
  <c r="H176" i="13" a="1"/>
  <c r="H176" i="13" s="1"/>
  <c r="F176" i="13" a="1"/>
  <c r="F176" i="13" s="1"/>
  <c r="G176" i="13" a="1"/>
  <c r="G176" i="13" s="1"/>
  <c r="K176" i="13" a="1"/>
  <c r="K176" i="13" s="1"/>
  <c r="M176" i="13" a="1"/>
  <c r="M176" i="13" s="1"/>
  <c r="O176" i="13" a="1"/>
  <c r="O176" i="13" s="1"/>
  <c r="E176" i="13" a="1"/>
  <c r="E176" i="13" s="1"/>
  <c r="R176" i="13" a="1"/>
  <c r="R176" i="13" s="1"/>
  <c r="N176" i="13" a="1"/>
  <c r="N176" i="13" s="1"/>
  <c r="J176" i="13" a="1"/>
  <c r="J176" i="13" s="1"/>
  <c r="L176" i="13" a="1"/>
  <c r="L176" i="13" s="1"/>
  <c r="AF174" i="18"/>
  <c r="AF184" i="18"/>
  <c r="AF186" i="18"/>
  <c r="AF182" i="18"/>
  <c r="AF178" i="18"/>
  <c r="AF188" i="18"/>
  <c r="AF177" i="18"/>
  <c r="AF192" i="18"/>
  <c r="AF176" i="18"/>
  <c r="AF185" i="18"/>
  <c r="AF183" i="18"/>
  <c r="AF189" i="18"/>
  <c r="AF193" i="18"/>
  <c r="AF181" i="18"/>
  <c r="AF191" i="18"/>
  <c r="AF187" i="18"/>
  <c r="AF190" i="18"/>
  <c r="CF126" i="15"/>
  <c r="S185" i="13"/>
  <c r="S179" i="13"/>
  <c r="S184" i="13"/>
  <c r="I127" i="15"/>
  <c r="S180" i="13"/>
  <c r="AF175" i="18"/>
  <c r="CF122" i="15"/>
  <c r="CF123" i="15"/>
  <c r="CF124" i="15"/>
  <c r="CF125" i="15"/>
  <c r="AF180" i="18"/>
  <c r="AF179" i="18"/>
  <c r="J123" i="18"/>
  <c r="J83" i="18"/>
  <c r="F122" i="18"/>
  <c r="F123" i="18"/>
  <c r="F85" i="18"/>
  <c r="F86" i="18"/>
  <c r="F87" i="18"/>
  <c r="F88" i="18"/>
  <c r="F89" i="18"/>
  <c r="F90" i="18"/>
  <c r="F91" i="18"/>
  <c r="F92" i="18"/>
  <c r="F93" i="18"/>
  <c r="F114" i="18"/>
  <c r="F115" i="18"/>
  <c r="F116" i="18"/>
  <c r="F117" i="18"/>
  <c r="F118" i="18"/>
  <c r="F119" i="18"/>
  <c r="F120" i="18"/>
  <c r="F121" i="18"/>
  <c r="F84" i="18"/>
  <c r="F83" i="18"/>
  <c r="F82" i="18"/>
  <c r="F81" i="18"/>
  <c r="F80" i="18"/>
  <c r="F79" i="18"/>
  <c r="F78" i="18"/>
  <c r="F77" i="18"/>
  <c r="F76" i="18"/>
  <c r="F75" i="18"/>
  <c r="F74" i="18"/>
  <c r="F53" i="18"/>
  <c r="F52" i="18"/>
  <c r="F51" i="18"/>
  <c r="F50" i="18"/>
  <c r="F49" i="18"/>
  <c r="F48" i="18"/>
  <c r="F47" i="18"/>
  <c r="F46" i="18"/>
  <c r="F45" i="18"/>
  <c r="F44" i="18"/>
  <c r="F43" i="18"/>
  <c r="F42" i="18"/>
  <c r="F41" i="18"/>
  <c r="F40" i="18"/>
  <c r="F39" i="18"/>
  <c r="F38" i="18"/>
  <c r="F37" i="18"/>
  <c r="F36" i="18"/>
  <c r="F35" i="18"/>
  <c r="F34" i="18"/>
  <c r="F13" i="18"/>
  <c r="F12" i="18"/>
  <c r="F11" i="18"/>
  <c r="F10" i="18"/>
  <c r="F9" i="18"/>
  <c r="F8" i="18"/>
  <c r="F7" i="18"/>
  <c r="F6" i="18"/>
  <c r="F5" i="18"/>
  <c r="F4" i="18"/>
  <c r="S188" i="13" l="1"/>
  <c r="R178" i="13" a="1"/>
  <c r="R178" i="13" s="1"/>
  <c r="Q178" i="13" a="1"/>
  <c r="Q178" i="13" s="1"/>
  <c r="E178" i="13" a="1"/>
  <c r="E178" i="13" s="1"/>
  <c r="N178" i="13" a="1"/>
  <c r="N178" i="13" s="1"/>
  <c r="I178" i="13" a="1"/>
  <c r="I178" i="13" s="1"/>
  <c r="P178" i="13" a="1"/>
  <c r="P178" i="13" s="1"/>
  <c r="O178" i="13" a="1"/>
  <c r="O178" i="13" s="1"/>
  <c r="L178" i="13" a="1"/>
  <c r="L178" i="13" s="1"/>
  <c r="H178" i="13" a="1"/>
  <c r="H178" i="13" s="1"/>
  <c r="M178" i="13" a="1"/>
  <c r="M178" i="13" s="1"/>
  <c r="J178" i="13" a="1"/>
  <c r="J178" i="13" s="1"/>
  <c r="K178" i="13" a="1"/>
  <c r="K178" i="13" s="1"/>
  <c r="G178" i="13" a="1"/>
  <c r="G178" i="13" s="1"/>
  <c r="F178" i="13" a="1"/>
  <c r="F178" i="13" s="1"/>
  <c r="BO5" i="18"/>
  <c r="BK5" i="18"/>
  <c r="BG5" i="18"/>
  <c r="BR5" i="18"/>
  <c r="BN5" i="18"/>
  <c r="BJ5" i="18"/>
  <c r="BF5" i="18"/>
  <c r="BQ5" i="18"/>
  <c r="BM5" i="18"/>
  <c r="BI5" i="18"/>
  <c r="BE5" i="18"/>
  <c r="BP5" i="18"/>
  <c r="BL5" i="18"/>
  <c r="BH5" i="18"/>
  <c r="BQ9" i="18"/>
  <c r="BM9" i="18"/>
  <c r="BI9" i="18"/>
  <c r="BE9" i="18"/>
  <c r="BP9" i="18"/>
  <c r="BL9" i="18"/>
  <c r="BH9" i="18"/>
  <c r="BO9" i="18"/>
  <c r="BK9" i="18"/>
  <c r="BG9" i="18"/>
  <c r="BF9" i="18"/>
  <c r="BR9" i="18"/>
  <c r="BJ9" i="18"/>
  <c r="BN9" i="18"/>
  <c r="BR37" i="18"/>
  <c r="BN37" i="18"/>
  <c r="BJ37" i="18"/>
  <c r="BF37" i="18"/>
  <c r="BQ37" i="18"/>
  <c r="BM37" i="18"/>
  <c r="BI37" i="18"/>
  <c r="BE37" i="18"/>
  <c r="BO37" i="18"/>
  <c r="BK37" i="18"/>
  <c r="BG37" i="18"/>
  <c r="BP37" i="18"/>
  <c r="BL37" i="18"/>
  <c r="BH37" i="18"/>
  <c r="BR41" i="18"/>
  <c r="BN41" i="18"/>
  <c r="BJ41" i="18"/>
  <c r="BF41" i="18"/>
  <c r="BQ41" i="18"/>
  <c r="BM41" i="18"/>
  <c r="BI41" i="18"/>
  <c r="BE41" i="18"/>
  <c r="BO41" i="18"/>
  <c r="BK41" i="18"/>
  <c r="BG41" i="18"/>
  <c r="BL41" i="18"/>
  <c r="BP41" i="18"/>
  <c r="BH41" i="18"/>
  <c r="BO10" i="18"/>
  <c r="BK10" i="18"/>
  <c r="BG10" i="18"/>
  <c r="BR10" i="18"/>
  <c r="BN10" i="18"/>
  <c r="BJ10" i="18"/>
  <c r="BF10" i="18"/>
  <c r="BQ10" i="18"/>
  <c r="BM10" i="18"/>
  <c r="BI10" i="18"/>
  <c r="BE10" i="18"/>
  <c r="BH10" i="18"/>
  <c r="BP10" i="18"/>
  <c r="BL10" i="18"/>
  <c r="BP34" i="18"/>
  <c r="BL34" i="18"/>
  <c r="BH34" i="18"/>
  <c r="BO34" i="18"/>
  <c r="BK34" i="18"/>
  <c r="BG34" i="18"/>
  <c r="BQ34" i="18"/>
  <c r="BM34" i="18"/>
  <c r="BI34" i="18"/>
  <c r="BE34" i="18"/>
  <c r="BN34" i="18"/>
  <c r="BR34" i="18"/>
  <c r="BJ34" i="18"/>
  <c r="BF34" i="18"/>
  <c r="BP38" i="18"/>
  <c r="BL38" i="18"/>
  <c r="BH38" i="18"/>
  <c r="BO38" i="18"/>
  <c r="BK38" i="18"/>
  <c r="BG38" i="18"/>
  <c r="BQ38" i="18"/>
  <c r="BM38" i="18"/>
  <c r="BI38" i="18"/>
  <c r="BE38" i="18"/>
  <c r="BF38" i="18"/>
  <c r="BR38" i="18"/>
  <c r="BJ38" i="18"/>
  <c r="BN38" i="18"/>
  <c r="BP42" i="18"/>
  <c r="BL42" i="18"/>
  <c r="BH42" i="18"/>
  <c r="BO42" i="18"/>
  <c r="BK42" i="18"/>
  <c r="BG42" i="18"/>
  <c r="BQ42" i="18"/>
  <c r="BM42" i="18"/>
  <c r="BI42" i="18"/>
  <c r="BE42" i="18"/>
  <c r="BN42" i="18"/>
  <c r="BJ42" i="18"/>
  <c r="BF42" i="18"/>
  <c r="BR42" i="18"/>
  <c r="BQ7" i="18"/>
  <c r="BM7" i="18"/>
  <c r="BI7" i="18"/>
  <c r="BE7" i="18"/>
  <c r="BP7" i="18"/>
  <c r="BL7" i="18"/>
  <c r="BH7" i="18"/>
  <c r="BO7" i="18"/>
  <c r="BK7" i="18"/>
  <c r="BG7" i="18"/>
  <c r="BR7" i="18"/>
  <c r="BN7" i="18"/>
  <c r="BF7" i="18"/>
  <c r="BJ7" i="18"/>
  <c r="BQ11" i="18"/>
  <c r="BM11" i="18"/>
  <c r="BI11" i="18"/>
  <c r="BE11" i="18"/>
  <c r="BP11" i="18"/>
  <c r="BL11" i="18"/>
  <c r="BH11" i="18"/>
  <c r="BO11" i="18"/>
  <c r="BK11" i="18"/>
  <c r="BG11" i="18"/>
  <c r="BJ11" i="18"/>
  <c r="BF11" i="18"/>
  <c r="BN11" i="18"/>
  <c r="BR11" i="18"/>
  <c r="BR35" i="18"/>
  <c r="BN35" i="18"/>
  <c r="BJ35" i="18"/>
  <c r="BF35" i="18"/>
  <c r="BQ35" i="18"/>
  <c r="BM35" i="18"/>
  <c r="BI35" i="18"/>
  <c r="BE35" i="18"/>
  <c r="BO35" i="18"/>
  <c r="BK35" i="18"/>
  <c r="BG35" i="18"/>
  <c r="BP35" i="18"/>
  <c r="BL35" i="18"/>
  <c r="BH35" i="18"/>
  <c r="BR39" i="18"/>
  <c r="BN39" i="18"/>
  <c r="BJ39" i="18"/>
  <c r="BF39" i="18"/>
  <c r="BQ39" i="18"/>
  <c r="BM39" i="18"/>
  <c r="BI39" i="18"/>
  <c r="BE39" i="18"/>
  <c r="BO39" i="18"/>
  <c r="BK39" i="18"/>
  <c r="BG39" i="18"/>
  <c r="BH39" i="18"/>
  <c r="BL39" i="18"/>
  <c r="BP39" i="18"/>
  <c r="BQ13" i="18"/>
  <c r="BM13" i="18"/>
  <c r="BI13" i="18"/>
  <c r="BE13" i="18"/>
  <c r="BP13" i="18"/>
  <c r="BL13" i="18"/>
  <c r="BH13" i="18"/>
  <c r="BO13" i="18"/>
  <c r="BK13" i="18"/>
  <c r="BG13" i="18"/>
  <c r="BN13" i="18"/>
  <c r="BJ13" i="18"/>
  <c r="BR13" i="18"/>
  <c r="BF13" i="18"/>
  <c r="BO8" i="18"/>
  <c r="BK8" i="18"/>
  <c r="BG8" i="18"/>
  <c r="BR8" i="18"/>
  <c r="BN8" i="18"/>
  <c r="BJ8" i="18"/>
  <c r="BF8" i="18"/>
  <c r="BQ8" i="18"/>
  <c r="BM8" i="18"/>
  <c r="BI8" i="18"/>
  <c r="BE8" i="18"/>
  <c r="BH8" i="18"/>
  <c r="BP8" i="18"/>
  <c r="BL8" i="18"/>
  <c r="BO12" i="18"/>
  <c r="BK12" i="18"/>
  <c r="BG12" i="18"/>
  <c r="BR12" i="18"/>
  <c r="BN12" i="18"/>
  <c r="BJ12" i="18"/>
  <c r="BF12" i="18"/>
  <c r="BQ12" i="18"/>
  <c r="BM12" i="18"/>
  <c r="BI12" i="18"/>
  <c r="BE12" i="18"/>
  <c r="BL12" i="18"/>
  <c r="BP12" i="18"/>
  <c r="BH12" i="18"/>
  <c r="BP36" i="18"/>
  <c r="BL36" i="18"/>
  <c r="BH36" i="18"/>
  <c r="BO36" i="18"/>
  <c r="BK36" i="18"/>
  <c r="BG36" i="18"/>
  <c r="BQ36" i="18"/>
  <c r="BM36" i="18"/>
  <c r="BI36" i="18"/>
  <c r="BE36" i="18"/>
  <c r="BR36" i="18"/>
  <c r="BN36" i="18"/>
  <c r="BF36" i="18"/>
  <c r="BJ36" i="18"/>
  <c r="BP40" i="18"/>
  <c r="BL40" i="18"/>
  <c r="BH40" i="18"/>
  <c r="BO40" i="18"/>
  <c r="BK40" i="18"/>
  <c r="BG40" i="18"/>
  <c r="BQ40" i="18"/>
  <c r="BM40" i="18"/>
  <c r="BI40" i="18"/>
  <c r="BE40" i="18"/>
  <c r="BJ40" i="18"/>
  <c r="BF40" i="18"/>
  <c r="BN40" i="18"/>
  <c r="BR40" i="18"/>
  <c r="AM178" i="18"/>
  <c r="AM184" i="18"/>
  <c r="AM176" i="18"/>
  <c r="AM187" i="18"/>
  <c r="AM183" i="18"/>
  <c r="AM188" i="18"/>
  <c r="AM175" i="18"/>
  <c r="AM190" i="18"/>
  <c r="AM179" i="18"/>
  <c r="AM174" i="18"/>
  <c r="AM192" i="18"/>
  <c r="AM182" i="18"/>
  <c r="AM180" i="18"/>
  <c r="AM181" i="18"/>
  <c r="AM189" i="18"/>
  <c r="AM193" i="18"/>
  <c r="AM191" i="18"/>
  <c r="AM186" i="18"/>
  <c r="AM177" i="18"/>
  <c r="AM185" i="18"/>
  <c r="AJ174" i="18"/>
  <c r="AJ184" i="18"/>
  <c r="AJ175" i="18"/>
  <c r="AJ177" i="18"/>
  <c r="AJ191" i="18"/>
  <c r="AJ176" i="18"/>
  <c r="AJ185" i="18"/>
  <c r="AJ190" i="18"/>
  <c r="AJ187" i="18"/>
  <c r="AJ189" i="18"/>
  <c r="AJ183" i="18"/>
  <c r="AJ181" i="18"/>
  <c r="AJ178" i="18"/>
  <c r="AJ192" i="18"/>
  <c r="AJ180" i="18"/>
  <c r="AJ188" i="18"/>
  <c r="AJ182" i="18"/>
  <c r="AJ186" i="18"/>
  <c r="AJ179" i="18"/>
  <c r="AJ193" i="18"/>
  <c r="AH190" i="18"/>
  <c r="AH182" i="18"/>
  <c r="AH184" i="18"/>
  <c r="AH178" i="18"/>
  <c r="AH191" i="18"/>
  <c r="AH189" i="18"/>
  <c r="AH177" i="18"/>
  <c r="AH185" i="18"/>
  <c r="AH188" i="18"/>
  <c r="AH192" i="18"/>
  <c r="AH175" i="18"/>
  <c r="AH187" i="18"/>
  <c r="AH186" i="18"/>
  <c r="AH174" i="18"/>
  <c r="AH176" i="18"/>
  <c r="AH180" i="18"/>
  <c r="AH179" i="18"/>
  <c r="AH181" i="18"/>
  <c r="AH183" i="18"/>
  <c r="AH193" i="18"/>
  <c r="AI180" i="18"/>
  <c r="AI177" i="18"/>
  <c r="AI176" i="18"/>
  <c r="AI190" i="18"/>
  <c r="AI185" i="18"/>
  <c r="AI188" i="18"/>
  <c r="AI182" i="18"/>
  <c r="AI175" i="18"/>
  <c r="AI189" i="18"/>
  <c r="AI174" i="18"/>
  <c r="AI191" i="18"/>
  <c r="AI184" i="18"/>
  <c r="AI193" i="18"/>
  <c r="AI181" i="18"/>
  <c r="AI183" i="18"/>
  <c r="AI192" i="18"/>
  <c r="AI187" i="18"/>
  <c r="AI178" i="18"/>
  <c r="AI186" i="18"/>
  <c r="AI179" i="18"/>
  <c r="AB184" i="18"/>
  <c r="AB175" i="18"/>
  <c r="AB183" i="18"/>
  <c r="AB182" i="18"/>
  <c r="AB189" i="18"/>
  <c r="AB174" i="18"/>
  <c r="AB177" i="18"/>
  <c r="AB178" i="18"/>
  <c r="AB176" i="18"/>
  <c r="AB188" i="18"/>
  <c r="AB190" i="18"/>
  <c r="AB192" i="18"/>
  <c r="AB185" i="18"/>
  <c r="AB186" i="18"/>
  <c r="AB181" i="18"/>
  <c r="AB187" i="18"/>
  <c r="AB179" i="18"/>
  <c r="AB193" i="18"/>
  <c r="AB191" i="18"/>
  <c r="AB180" i="18"/>
  <c r="AE187" i="18"/>
  <c r="AE193" i="18"/>
  <c r="AE179" i="18"/>
  <c r="AE175" i="18"/>
  <c r="AE176" i="18"/>
  <c r="AE184" i="18"/>
  <c r="AE180" i="18"/>
  <c r="AE191" i="18"/>
  <c r="AE185" i="18"/>
  <c r="AE190" i="18"/>
  <c r="AE181" i="18"/>
  <c r="AE189" i="18"/>
  <c r="AE182" i="18"/>
  <c r="AE177" i="18"/>
  <c r="AE188" i="18"/>
  <c r="AE178" i="18"/>
  <c r="AE192" i="18"/>
  <c r="AE174" i="18"/>
  <c r="AE186" i="18"/>
  <c r="AE183" i="18"/>
  <c r="AL190" i="18"/>
  <c r="AL189" i="18"/>
  <c r="AL178" i="18"/>
  <c r="AL174" i="18"/>
  <c r="AL192" i="18"/>
  <c r="AL182" i="18"/>
  <c r="AL179" i="18"/>
  <c r="AL180" i="18"/>
  <c r="AL185" i="18"/>
  <c r="AL188" i="18"/>
  <c r="AL186" i="18"/>
  <c r="AL181" i="18"/>
  <c r="AL193" i="18"/>
  <c r="AL183" i="18"/>
  <c r="AL184" i="18"/>
  <c r="AL176" i="18"/>
  <c r="AL187" i="18"/>
  <c r="AL191" i="18"/>
  <c r="AL177" i="18"/>
  <c r="AL175" i="18"/>
  <c r="AD175" i="18"/>
  <c r="AD187" i="18"/>
  <c r="AD193" i="18"/>
  <c r="AD183" i="18"/>
  <c r="AD178" i="18"/>
  <c r="AD176" i="18"/>
  <c r="AD177" i="18"/>
  <c r="AD190" i="18"/>
  <c r="AD191" i="18"/>
  <c r="AD180" i="18"/>
  <c r="AD185" i="18"/>
  <c r="AD182" i="18"/>
  <c r="AD186" i="18"/>
  <c r="AD184" i="18"/>
  <c r="AD188" i="18"/>
  <c r="AD174" i="18"/>
  <c r="AD179" i="18"/>
  <c r="AD192" i="18"/>
  <c r="AD189" i="18"/>
  <c r="AD181" i="18"/>
  <c r="AC184" i="18"/>
  <c r="AC185" i="18"/>
  <c r="AC176" i="18"/>
  <c r="AC181" i="18"/>
  <c r="AC193" i="18"/>
  <c r="AC175" i="18"/>
  <c r="AC190" i="18"/>
  <c r="AC180" i="18"/>
  <c r="AC179" i="18"/>
  <c r="AC192" i="18"/>
  <c r="AC182" i="18"/>
  <c r="AC186" i="18"/>
  <c r="AC187" i="18"/>
  <c r="AC183" i="18"/>
  <c r="AC189" i="18"/>
  <c r="AC188" i="18"/>
  <c r="AC191" i="18"/>
  <c r="AC177" i="18"/>
  <c r="AC178" i="18"/>
  <c r="AC174" i="18"/>
  <c r="AA178" i="18"/>
  <c r="AA181" i="18"/>
  <c r="AA177" i="18"/>
  <c r="AA186" i="18"/>
  <c r="AA188" i="18"/>
  <c r="AA176" i="18"/>
  <c r="AA185" i="18"/>
  <c r="AA179" i="18"/>
  <c r="AA189" i="18"/>
  <c r="AA187" i="18"/>
  <c r="AA183" i="18"/>
  <c r="AA182" i="18"/>
  <c r="AA174" i="18"/>
  <c r="AA192" i="18"/>
  <c r="AA190" i="18"/>
  <c r="AA193" i="18"/>
  <c r="AA191" i="18"/>
  <c r="AA180" i="18"/>
  <c r="AA184" i="18"/>
  <c r="AA175" i="18"/>
  <c r="AG176" i="18"/>
  <c r="AG185" i="18"/>
  <c r="AG190" i="18"/>
  <c r="AG191" i="18"/>
  <c r="AG184" i="18"/>
  <c r="AG174" i="18"/>
  <c r="AG186" i="18"/>
  <c r="AG188" i="18"/>
  <c r="AG178" i="18"/>
  <c r="AG177" i="18"/>
  <c r="AG193" i="18"/>
  <c r="AG180" i="18"/>
  <c r="AG182" i="18"/>
  <c r="AG187" i="18"/>
  <c r="AG183" i="18"/>
  <c r="AG181" i="18"/>
  <c r="AG175" i="18"/>
  <c r="AG192" i="18"/>
  <c r="AG189" i="18"/>
  <c r="AG179" i="18"/>
  <c r="AK180" i="18"/>
  <c r="AK179" i="18"/>
  <c r="AK175" i="18"/>
  <c r="AK186" i="18"/>
  <c r="AK174" i="18"/>
  <c r="AK178" i="18"/>
  <c r="AK184" i="18"/>
  <c r="AK188" i="18"/>
  <c r="AK183" i="18"/>
  <c r="AK182" i="18"/>
  <c r="AK177" i="18"/>
  <c r="AK193" i="18"/>
  <c r="AK187" i="18"/>
  <c r="AK190" i="18"/>
  <c r="AK176" i="18"/>
  <c r="AK181" i="18"/>
  <c r="AK192" i="18"/>
  <c r="AK191" i="18"/>
  <c r="AK185" i="18"/>
  <c r="AK189" i="18"/>
  <c r="AN180" i="18"/>
  <c r="AN185" i="18"/>
  <c r="AN193" i="18"/>
  <c r="AN192" i="18"/>
  <c r="AN189" i="18"/>
  <c r="AN190" i="18"/>
  <c r="AN182" i="18"/>
  <c r="AN184" i="18"/>
  <c r="AN175" i="18"/>
  <c r="AN186" i="18"/>
  <c r="AN177" i="18"/>
  <c r="AN178" i="18"/>
  <c r="AN191" i="18"/>
  <c r="AN187" i="18"/>
  <c r="AN174" i="18"/>
  <c r="AN183" i="18"/>
  <c r="AN179" i="18"/>
  <c r="AN176" i="18"/>
  <c r="AN181" i="18"/>
  <c r="AN188" i="18"/>
  <c r="S177" i="13"/>
  <c r="CF127" i="15"/>
  <c r="S173" i="13"/>
  <c r="S186" i="13"/>
  <c r="S176" i="13"/>
  <c r="S175" i="13"/>
  <c r="S182" i="13"/>
  <c r="S187" i="13"/>
  <c r="S174" i="13"/>
  <c r="S192" i="13"/>
  <c r="CR126" i="18"/>
  <c r="CR158" i="18"/>
  <c r="CR132" i="18"/>
  <c r="CR160" i="18"/>
  <c r="CR159" i="18"/>
  <c r="CR155" i="18"/>
  <c r="CR154" i="18"/>
  <c r="CR162" i="18"/>
  <c r="CR156" i="18"/>
  <c r="CR129" i="18"/>
  <c r="CR157" i="18"/>
  <c r="CO156" i="18"/>
  <c r="CP131" i="18"/>
  <c r="CR163" i="18"/>
  <c r="CP153" i="18"/>
  <c r="CR153" i="18"/>
  <c r="CR161" i="18"/>
  <c r="CS155" i="18"/>
  <c r="BB47" i="18"/>
  <c r="AX47" i="18"/>
  <c r="AT47" i="18"/>
  <c r="AP47" i="18"/>
  <c r="AK47" i="18"/>
  <c r="AG47" i="18"/>
  <c r="AC47" i="18"/>
  <c r="X47" i="18"/>
  <c r="T47" i="18"/>
  <c r="P47" i="18"/>
  <c r="L47" i="18"/>
  <c r="BA47" i="18"/>
  <c r="AW47" i="18"/>
  <c r="AS47" i="18"/>
  <c r="AN47" i="18"/>
  <c r="AJ47" i="18"/>
  <c r="AF47" i="18"/>
  <c r="AB47" i="18"/>
  <c r="W47" i="18"/>
  <c r="S47" i="18"/>
  <c r="O47" i="18"/>
  <c r="AZ47" i="18"/>
  <c r="AV47" i="18"/>
  <c r="AR47" i="18"/>
  <c r="AM47" i="18"/>
  <c r="AI47" i="18"/>
  <c r="AE47" i="18"/>
  <c r="AA47" i="18"/>
  <c r="V47" i="18"/>
  <c r="R47" i="18"/>
  <c r="N47" i="18"/>
  <c r="AY47" i="18"/>
  <c r="AH47" i="18"/>
  <c r="Q47" i="18"/>
  <c r="BC47" i="18"/>
  <c r="U47" i="18"/>
  <c r="AU47" i="18"/>
  <c r="AD47" i="18"/>
  <c r="M47" i="18"/>
  <c r="AL47" i="18"/>
  <c r="AQ47" i="18"/>
  <c r="Y47" i="18"/>
  <c r="BA79" i="18"/>
  <c r="AW79" i="18"/>
  <c r="AS79" i="18"/>
  <c r="AN79" i="18"/>
  <c r="AJ79" i="18"/>
  <c r="AZ79" i="18"/>
  <c r="AU79" i="18"/>
  <c r="AP79" i="18"/>
  <c r="AI79" i="18"/>
  <c r="AE79" i="18"/>
  <c r="AA79" i="18"/>
  <c r="V79" i="18"/>
  <c r="R79" i="18"/>
  <c r="N79" i="18"/>
  <c r="AY79" i="18"/>
  <c r="AT79" i="18"/>
  <c r="AM79" i="18"/>
  <c r="AH79" i="18"/>
  <c r="AD79" i="18"/>
  <c r="Y79" i="18"/>
  <c r="U79" i="18"/>
  <c r="Q79" i="18"/>
  <c r="BC79" i="18"/>
  <c r="AX79" i="18"/>
  <c r="AR79" i="18"/>
  <c r="AL79" i="18"/>
  <c r="AG79" i="18"/>
  <c r="AC79" i="18"/>
  <c r="X79" i="18"/>
  <c r="T79" i="18"/>
  <c r="P79" i="18"/>
  <c r="AV79" i="18"/>
  <c r="AB79" i="18"/>
  <c r="M79" i="18"/>
  <c r="AQ79" i="18"/>
  <c r="W79" i="18"/>
  <c r="L79" i="18"/>
  <c r="AK79" i="18"/>
  <c r="S79" i="18"/>
  <c r="BB79" i="18"/>
  <c r="AF79" i="18"/>
  <c r="O79" i="18"/>
  <c r="BC115" i="18"/>
  <c r="AY115" i="18"/>
  <c r="AU115" i="18"/>
  <c r="AQ115" i="18"/>
  <c r="AL115" i="18"/>
  <c r="AH115" i="18"/>
  <c r="AD115" i="18"/>
  <c r="Y115" i="18"/>
  <c r="U115" i="18"/>
  <c r="Q115" i="18"/>
  <c r="M115" i="18"/>
  <c r="BB115" i="18"/>
  <c r="AX115" i="18"/>
  <c r="AT115" i="18"/>
  <c r="AP115" i="18"/>
  <c r="AK115" i="18"/>
  <c r="AG115" i="18"/>
  <c r="AC115" i="18"/>
  <c r="X115" i="18"/>
  <c r="T115" i="18"/>
  <c r="BA115" i="18"/>
  <c r="AW115" i="18"/>
  <c r="AS115" i="18"/>
  <c r="AN115" i="18"/>
  <c r="AJ115" i="18"/>
  <c r="AF115" i="18"/>
  <c r="AB115" i="18"/>
  <c r="W115" i="18"/>
  <c r="S115" i="18"/>
  <c r="O115" i="18"/>
  <c r="AZ115" i="18"/>
  <c r="AI115" i="18"/>
  <c r="R115" i="18"/>
  <c r="AV115" i="18"/>
  <c r="AE115" i="18"/>
  <c r="P115" i="18"/>
  <c r="AR115" i="18"/>
  <c r="AA115" i="18"/>
  <c r="N115" i="18"/>
  <c r="V115" i="18"/>
  <c r="L115" i="18"/>
  <c r="AM115" i="18"/>
  <c r="BC122" i="18"/>
  <c r="BB122" i="18"/>
  <c r="AX122" i="18"/>
  <c r="AT122" i="18"/>
  <c r="AP122" i="18"/>
  <c r="AK122" i="18"/>
  <c r="AG122" i="18"/>
  <c r="AC122" i="18"/>
  <c r="X122" i="18"/>
  <c r="T122" i="18"/>
  <c r="P122" i="18"/>
  <c r="L122" i="18"/>
  <c r="AZ122" i="18"/>
  <c r="AU122" i="18"/>
  <c r="AN122" i="18"/>
  <c r="AI122" i="18"/>
  <c r="AD122" i="18"/>
  <c r="W122" i="18"/>
  <c r="R122" i="18"/>
  <c r="M122" i="18"/>
  <c r="AY122" i="18"/>
  <c r="AS122" i="18"/>
  <c r="AM122" i="18"/>
  <c r="AH122" i="18"/>
  <c r="AB122" i="18"/>
  <c r="V122" i="18"/>
  <c r="Q122" i="18"/>
  <c r="AW122" i="18"/>
  <c r="AR122" i="18"/>
  <c r="AL122" i="18"/>
  <c r="AF122" i="18"/>
  <c r="AA122" i="18"/>
  <c r="U122" i="18"/>
  <c r="O122" i="18"/>
  <c r="AJ122" i="18"/>
  <c r="N122" i="18"/>
  <c r="BA122" i="18"/>
  <c r="AE122" i="18"/>
  <c r="AV122" i="18"/>
  <c r="Y122" i="18"/>
  <c r="AQ122" i="18"/>
  <c r="S122" i="18"/>
  <c r="AZ44" i="18"/>
  <c r="AV44" i="18"/>
  <c r="AR44" i="18"/>
  <c r="AM44" i="18"/>
  <c r="AI44" i="18"/>
  <c r="AE44" i="18"/>
  <c r="AA44" i="18"/>
  <c r="V44" i="18"/>
  <c r="R44" i="18"/>
  <c r="N44" i="18"/>
  <c r="BC44" i="18"/>
  <c r="AY44" i="18"/>
  <c r="AU44" i="18"/>
  <c r="AQ44" i="18"/>
  <c r="AL44" i="18"/>
  <c r="AH44" i="18"/>
  <c r="AD44" i="18"/>
  <c r="Y44" i="18"/>
  <c r="U44" i="18"/>
  <c r="Q44" i="18"/>
  <c r="M44" i="18"/>
  <c r="BB44" i="18"/>
  <c r="AX44" i="18"/>
  <c r="AT44" i="18"/>
  <c r="AP44" i="18"/>
  <c r="AK44" i="18"/>
  <c r="AG44" i="18"/>
  <c r="AC44" i="18"/>
  <c r="X44" i="18"/>
  <c r="T44" i="18"/>
  <c r="P44" i="18"/>
  <c r="L44" i="18"/>
  <c r="AW44" i="18"/>
  <c r="AF44" i="18"/>
  <c r="O44" i="18"/>
  <c r="AJ44" i="18"/>
  <c r="AS44" i="18"/>
  <c r="AB44" i="18"/>
  <c r="BA44" i="18"/>
  <c r="AN44" i="18"/>
  <c r="W44" i="18"/>
  <c r="S44" i="18"/>
  <c r="AZ48" i="18"/>
  <c r="AV48" i="18"/>
  <c r="AR48" i="18"/>
  <c r="AM48" i="18"/>
  <c r="AI48" i="18"/>
  <c r="AE48" i="18"/>
  <c r="AA48" i="18"/>
  <c r="V48" i="18"/>
  <c r="R48" i="18"/>
  <c r="N48" i="18"/>
  <c r="BC48" i="18"/>
  <c r="AY48" i="18"/>
  <c r="AU48" i="18"/>
  <c r="AQ48" i="18"/>
  <c r="AL48" i="18"/>
  <c r="AH48" i="18"/>
  <c r="AD48" i="18"/>
  <c r="Y48" i="18"/>
  <c r="U48" i="18"/>
  <c r="Q48" i="18"/>
  <c r="M48" i="18"/>
  <c r="BB48" i="18"/>
  <c r="AX48" i="18"/>
  <c r="AT48" i="18"/>
  <c r="AP48" i="18"/>
  <c r="AK48" i="18"/>
  <c r="AG48" i="18"/>
  <c r="AC48" i="18"/>
  <c r="X48" i="18"/>
  <c r="T48" i="18"/>
  <c r="P48" i="18"/>
  <c r="L48" i="18"/>
  <c r="AN48" i="18"/>
  <c r="W48" i="18"/>
  <c r="BA48" i="18"/>
  <c r="AJ48" i="18"/>
  <c r="S48" i="18"/>
  <c r="AS48" i="18"/>
  <c r="AW48" i="18"/>
  <c r="AF48" i="18"/>
  <c r="O48" i="18"/>
  <c r="AB48" i="18"/>
  <c r="AZ52" i="18"/>
  <c r="AV52" i="18"/>
  <c r="AR52" i="18"/>
  <c r="AM52" i="18"/>
  <c r="AI52" i="18"/>
  <c r="AE52" i="18"/>
  <c r="AA52" i="18"/>
  <c r="V52" i="18"/>
  <c r="R52" i="18"/>
  <c r="N52" i="18"/>
  <c r="BC52" i="18"/>
  <c r="AY52" i="18"/>
  <c r="AU52" i="18"/>
  <c r="AQ52" i="18"/>
  <c r="AL52" i="18"/>
  <c r="AH52" i="18"/>
  <c r="AD52" i="18"/>
  <c r="Y52" i="18"/>
  <c r="U52" i="18"/>
  <c r="Q52" i="18"/>
  <c r="M52" i="18"/>
  <c r="BB52" i="18"/>
  <c r="AX52" i="18"/>
  <c r="AT52" i="18"/>
  <c r="AP52" i="18"/>
  <c r="AK52" i="18"/>
  <c r="AG52" i="18"/>
  <c r="AC52" i="18"/>
  <c r="X52" i="18"/>
  <c r="T52" i="18"/>
  <c r="P52" i="18"/>
  <c r="L52" i="18"/>
  <c r="AW52" i="18"/>
  <c r="AF52" i="18"/>
  <c r="O52" i="18"/>
  <c r="BA52" i="18"/>
  <c r="AS52" i="18"/>
  <c r="AB52" i="18"/>
  <c r="S52" i="18"/>
  <c r="AN52" i="18"/>
  <c r="W52" i="18"/>
  <c r="AJ52" i="18"/>
  <c r="BB76" i="18"/>
  <c r="AX76" i="18"/>
  <c r="AT76" i="18"/>
  <c r="AP76" i="18"/>
  <c r="AK76" i="18"/>
  <c r="AG76" i="18"/>
  <c r="AC76" i="18"/>
  <c r="X76" i="18"/>
  <c r="T76" i="18"/>
  <c r="P76" i="18"/>
  <c r="L76" i="18"/>
  <c r="AY76" i="18"/>
  <c r="AS76" i="18"/>
  <c r="AM76" i="18"/>
  <c r="AH76" i="18"/>
  <c r="AB76" i="18"/>
  <c r="V76" i="18"/>
  <c r="Q76" i="18"/>
  <c r="BC76" i="18"/>
  <c r="AW76" i="18"/>
  <c r="AR76" i="18"/>
  <c r="AL76" i="18"/>
  <c r="AF76" i="18"/>
  <c r="AA76" i="18"/>
  <c r="U76" i="18"/>
  <c r="O76" i="18"/>
  <c r="BA76" i="18"/>
  <c r="AV76" i="18"/>
  <c r="AQ76" i="18"/>
  <c r="AJ76" i="18"/>
  <c r="AE76" i="18"/>
  <c r="Y76" i="18"/>
  <c r="S76" i="18"/>
  <c r="N76" i="18"/>
  <c r="AU76" i="18"/>
  <c r="W76" i="18"/>
  <c r="AD76" i="18"/>
  <c r="AN76" i="18"/>
  <c r="R76" i="18"/>
  <c r="AZ76" i="18"/>
  <c r="AI76" i="18"/>
  <c r="M76" i="18"/>
  <c r="BC80" i="18"/>
  <c r="AY80" i="18"/>
  <c r="AU80" i="18"/>
  <c r="AQ80" i="18"/>
  <c r="AL80" i="18"/>
  <c r="AH80" i="18"/>
  <c r="AD80" i="18"/>
  <c r="Y80" i="18"/>
  <c r="U80" i="18"/>
  <c r="Q80" i="18"/>
  <c r="M80" i="18"/>
  <c r="BA80" i="18"/>
  <c r="AV80" i="18"/>
  <c r="AP80" i="18"/>
  <c r="AJ80" i="18"/>
  <c r="AE80" i="18"/>
  <c r="X80" i="18"/>
  <c r="S80" i="18"/>
  <c r="N80" i="18"/>
  <c r="AZ80" i="18"/>
  <c r="AT80" i="18"/>
  <c r="AN80" i="18"/>
  <c r="AI80" i="18"/>
  <c r="AC80" i="18"/>
  <c r="W80" i="18"/>
  <c r="R80" i="18"/>
  <c r="L80" i="18"/>
  <c r="AX80" i="18"/>
  <c r="AS80" i="18"/>
  <c r="AM80" i="18"/>
  <c r="AG80" i="18"/>
  <c r="AB80" i="18"/>
  <c r="V80" i="18"/>
  <c r="P80" i="18"/>
  <c r="AW80" i="18"/>
  <c r="AA80" i="18"/>
  <c r="AR80" i="18"/>
  <c r="T80" i="18"/>
  <c r="AK80" i="18"/>
  <c r="O80" i="18"/>
  <c r="AF80" i="18"/>
  <c r="BB80" i="18"/>
  <c r="BC84" i="18"/>
  <c r="AY84" i="18"/>
  <c r="AU84" i="18"/>
  <c r="AQ84" i="18"/>
  <c r="AL84" i="18"/>
  <c r="AH84" i="18"/>
  <c r="AD84" i="18"/>
  <c r="Y84" i="18"/>
  <c r="U84" i="18"/>
  <c r="Q84" i="18"/>
  <c r="M84" i="18"/>
  <c r="AX84" i="18"/>
  <c r="AS84" i="18"/>
  <c r="AM84" i="18"/>
  <c r="AG84" i="18"/>
  <c r="AB84" i="18"/>
  <c r="V84" i="18"/>
  <c r="P84" i="18"/>
  <c r="BB84" i="18"/>
  <c r="AW84" i="18"/>
  <c r="AR84" i="18"/>
  <c r="AK84" i="18"/>
  <c r="AF84" i="18"/>
  <c r="AA84" i="18"/>
  <c r="T84" i="18"/>
  <c r="O84" i="18"/>
  <c r="BA84" i="18"/>
  <c r="AV84" i="18"/>
  <c r="AP84" i="18"/>
  <c r="AJ84" i="18"/>
  <c r="AE84" i="18"/>
  <c r="X84" i="18"/>
  <c r="S84" i="18"/>
  <c r="N84" i="18"/>
  <c r="AZ84" i="18"/>
  <c r="AC84" i="18"/>
  <c r="AT84" i="18"/>
  <c r="W84" i="18"/>
  <c r="AN84" i="18"/>
  <c r="R84" i="18"/>
  <c r="L84" i="18"/>
  <c r="AI84" i="18"/>
  <c r="BB118" i="18"/>
  <c r="AX118" i="18"/>
  <c r="AT118" i="18"/>
  <c r="AP118" i="18"/>
  <c r="AK118" i="18"/>
  <c r="AG118" i="18"/>
  <c r="AC118" i="18"/>
  <c r="X118" i="18"/>
  <c r="T118" i="18"/>
  <c r="P118" i="18"/>
  <c r="L118" i="18"/>
  <c r="BC118" i="18"/>
  <c r="AW118" i="18"/>
  <c r="AR118" i="18"/>
  <c r="AL118" i="18"/>
  <c r="AF118" i="18"/>
  <c r="AA118" i="18"/>
  <c r="U118" i="18"/>
  <c r="O118" i="18"/>
  <c r="BA118" i="18"/>
  <c r="AV118" i="18"/>
  <c r="AQ118" i="18"/>
  <c r="AJ118" i="18"/>
  <c r="AE118" i="18"/>
  <c r="Y118" i="18"/>
  <c r="S118" i="18"/>
  <c r="N118" i="18"/>
  <c r="AZ118" i="18"/>
  <c r="AU118" i="18"/>
  <c r="AN118" i="18"/>
  <c r="AI118" i="18"/>
  <c r="AD118" i="18"/>
  <c r="W118" i="18"/>
  <c r="R118" i="18"/>
  <c r="M118" i="18"/>
  <c r="AH118" i="18"/>
  <c r="AY118" i="18"/>
  <c r="AB118" i="18"/>
  <c r="AS118" i="18"/>
  <c r="V118" i="18"/>
  <c r="AM118" i="18"/>
  <c r="Q118" i="18"/>
  <c r="BA114" i="18"/>
  <c r="AW114" i="18"/>
  <c r="AS114" i="18"/>
  <c r="AN114" i="18"/>
  <c r="AJ114" i="18"/>
  <c r="AF114" i="18"/>
  <c r="AB114" i="18"/>
  <c r="W114" i="18"/>
  <c r="S114" i="18"/>
  <c r="O114" i="18"/>
  <c r="BC114" i="18"/>
  <c r="AX114" i="18"/>
  <c r="AR114" i="18"/>
  <c r="AL114" i="18"/>
  <c r="AG114" i="18"/>
  <c r="AA114" i="18"/>
  <c r="U114" i="18"/>
  <c r="P114" i="18"/>
  <c r="BB114" i="18"/>
  <c r="AV114" i="18"/>
  <c r="AQ114" i="18"/>
  <c r="AK114" i="18"/>
  <c r="AE114" i="18"/>
  <c r="Y114" i="18"/>
  <c r="T114" i="18"/>
  <c r="N114" i="18"/>
  <c r="AZ114" i="18"/>
  <c r="AU114" i="18"/>
  <c r="AP114" i="18"/>
  <c r="AI114" i="18"/>
  <c r="AD114" i="18"/>
  <c r="X114" i="18"/>
  <c r="R114" i="18"/>
  <c r="M114" i="18"/>
  <c r="AM114" i="18"/>
  <c r="Q114" i="18"/>
  <c r="AH114" i="18"/>
  <c r="L114" i="18"/>
  <c r="AY114" i="18"/>
  <c r="AC114" i="18"/>
  <c r="AT114" i="18"/>
  <c r="V114" i="18"/>
  <c r="BA90" i="18"/>
  <c r="AW90" i="18"/>
  <c r="AS90" i="18"/>
  <c r="AN90" i="18"/>
  <c r="AJ90" i="18"/>
  <c r="AF90" i="18"/>
  <c r="AB90" i="18"/>
  <c r="W90" i="18"/>
  <c r="S90" i="18"/>
  <c r="O90" i="18"/>
  <c r="BC90" i="18"/>
  <c r="AX90" i="18"/>
  <c r="AR90" i="18"/>
  <c r="AL90" i="18"/>
  <c r="AG90" i="18"/>
  <c r="AA90" i="18"/>
  <c r="U90" i="18"/>
  <c r="P90" i="18"/>
  <c r="BB90" i="18"/>
  <c r="AU90" i="18"/>
  <c r="AM90" i="18"/>
  <c r="AE90" i="18"/>
  <c r="X90" i="18"/>
  <c r="Q90" i="18"/>
  <c r="AZ90" i="18"/>
  <c r="AT90" i="18"/>
  <c r="AK90" i="18"/>
  <c r="AD90" i="18"/>
  <c r="V90" i="18"/>
  <c r="N90" i="18"/>
  <c r="AY90" i="18"/>
  <c r="AQ90" i="18"/>
  <c r="AI90" i="18"/>
  <c r="AC90" i="18"/>
  <c r="T90" i="18"/>
  <c r="M90" i="18"/>
  <c r="AV90" i="18"/>
  <c r="R90" i="18"/>
  <c r="AP90" i="18"/>
  <c r="L90" i="18"/>
  <c r="AH90" i="18"/>
  <c r="Y90" i="18"/>
  <c r="BC86" i="18"/>
  <c r="AY86" i="18"/>
  <c r="AU86" i="18"/>
  <c r="AQ86" i="18"/>
  <c r="AL86" i="18"/>
  <c r="AH86" i="18"/>
  <c r="AD86" i="18"/>
  <c r="Y86" i="18"/>
  <c r="U86" i="18"/>
  <c r="Q86" i="18"/>
  <c r="M86" i="18"/>
  <c r="AZ86" i="18"/>
  <c r="AT86" i="18"/>
  <c r="AN86" i="18"/>
  <c r="AI86" i="18"/>
  <c r="AC86" i="18"/>
  <c r="W86" i="18"/>
  <c r="R86" i="18"/>
  <c r="L86" i="18"/>
  <c r="AX86" i="18"/>
  <c r="AS86" i="18"/>
  <c r="AM86" i="18"/>
  <c r="AG86" i="18"/>
  <c r="AB86" i="18"/>
  <c r="V86" i="18"/>
  <c r="P86" i="18"/>
  <c r="BB86" i="18"/>
  <c r="AW86" i="18"/>
  <c r="AR86" i="18"/>
  <c r="AK86" i="18"/>
  <c r="AF86" i="18"/>
  <c r="AA86" i="18"/>
  <c r="T86" i="18"/>
  <c r="O86" i="18"/>
  <c r="BA86" i="18"/>
  <c r="AE86" i="18"/>
  <c r="AV86" i="18"/>
  <c r="X86" i="18"/>
  <c r="AP86" i="18"/>
  <c r="S86" i="18"/>
  <c r="N86" i="18"/>
  <c r="AJ86" i="18"/>
  <c r="AZ75" i="18"/>
  <c r="AV75" i="18"/>
  <c r="AR75" i="18"/>
  <c r="AM75" i="18"/>
  <c r="AI75" i="18"/>
  <c r="AE75" i="18"/>
  <c r="AA75" i="18"/>
  <c r="V75" i="18"/>
  <c r="R75" i="18"/>
  <c r="N75" i="18"/>
  <c r="BC75" i="18"/>
  <c r="AX75" i="18"/>
  <c r="AS75" i="18"/>
  <c r="AL75" i="18"/>
  <c r="AG75" i="18"/>
  <c r="AB75" i="18"/>
  <c r="U75" i="18"/>
  <c r="P75" i="18"/>
  <c r="BB75" i="18"/>
  <c r="AW75" i="18"/>
  <c r="AQ75" i="18"/>
  <c r="AK75" i="18"/>
  <c r="AF75" i="18"/>
  <c r="Y75" i="18"/>
  <c r="T75" i="18"/>
  <c r="O75" i="18"/>
  <c r="BA75" i="18"/>
  <c r="AU75" i="18"/>
  <c r="AP75" i="18"/>
  <c r="AJ75" i="18"/>
  <c r="AD75" i="18"/>
  <c r="X75" i="18"/>
  <c r="S75" i="18"/>
  <c r="M75" i="18"/>
  <c r="AT75" i="18"/>
  <c r="W75" i="18"/>
  <c r="AC75" i="18"/>
  <c r="AN75" i="18"/>
  <c r="Q75" i="18"/>
  <c r="AH75" i="18"/>
  <c r="L75" i="18"/>
  <c r="AY75" i="18"/>
  <c r="AZ119" i="18"/>
  <c r="AV119" i="18"/>
  <c r="AR119" i="18"/>
  <c r="AM119" i="18"/>
  <c r="AI119" i="18"/>
  <c r="AE119" i="18"/>
  <c r="AA119" i="18"/>
  <c r="V119" i="18"/>
  <c r="R119" i="18"/>
  <c r="N119" i="18"/>
  <c r="BC119" i="18"/>
  <c r="AX119" i="18"/>
  <c r="AS119" i="18"/>
  <c r="AL119" i="18"/>
  <c r="AG119" i="18"/>
  <c r="AB119" i="18"/>
  <c r="U119" i="18"/>
  <c r="P119" i="18"/>
  <c r="BB119" i="18"/>
  <c r="AW119" i="18"/>
  <c r="AQ119" i="18"/>
  <c r="AK119" i="18"/>
  <c r="AF119" i="18"/>
  <c r="Y119" i="18"/>
  <c r="T119" i="18"/>
  <c r="O119" i="18"/>
  <c r="BA119" i="18"/>
  <c r="AU119" i="18"/>
  <c r="AP119" i="18"/>
  <c r="AJ119" i="18"/>
  <c r="AD119" i="18"/>
  <c r="X119" i="18"/>
  <c r="S119" i="18"/>
  <c r="M119" i="18"/>
  <c r="AH119" i="18"/>
  <c r="L119" i="18"/>
  <c r="AY119" i="18"/>
  <c r="AC119" i="18"/>
  <c r="AT119" i="18"/>
  <c r="W119" i="18"/>
  <c r="AN119" i="18"/>
  <c r="Q119" i="18"/>
  <c r="BC91" i="18"/>
  <c r="AY91" i="18"/>
  <c r="AU91" i="18"/>
  <c r="AQ91" i="18"/>
  <c r="AL91" i="18"/>
  <c r="AH91" i="18"/>
  <c r="AD91" i="18"/>
  <c r="Y91" i="18"/>
  <c r="U91" i="18"/>
  <c r="Q91" i="18"/>
  <c r="M91" i="18"/>
  <c r="BA91" i="18"/>
  <c r="AV91" i="18"/>
  <c r="AP91" i="18"/>
  <c r="AZ91" i="18"/>
  <c r="AT91" i="18"/>
  <c r="AX91" i="18"/>
  <c r="AS91" i="18"/>
  <c r="AM91" i="18"/>
  <c r="AG91" i="18"/>
  <c r="AB91" i="18"/>
  <c r="V91" i="18"/>
  <c r="P91" i="18"/>
  <c r="AN91" i="18"/>
  <c r="AF91" i="18"/>
  <c r="X91" i="18"/>
  <c r="R91" i="18"/>
  <c r="BB91" i="18"/>
  <c r="AK91" i="18"/>
  <c r="AE91" i="18"/>
  <c r="W91" i="18"/>
  <c r="O91" i="18"/>
  <c r="AW91" i="18"/>
  <c r="AJ91" i="18"/>
  <c r="AC91" i="18"/>
  <c r="T91" i="18"/>
  <c r="N91" i="18"/>
  <c r="AI91" i="18"/>
  <c r="AA91" i="18"/>
  <c r="S91" i="18"/>
  <c r="AR91" i="18"/>
  <c r="L91" i="18"/>
  <c r="BB45" i="18"/>
  <c r="AX45" i="18"/>
  <c r="AT45" i="18"/>
  <c r="AP45" i="18"/>
  <c r="AK45" i="18"/>
  <c r="AG45" i="18"/>
  <c r="AC45" i="18"/>
  <c r="X45" i="18"/>
  <c r="T45" i="18"/>
  <c r="P45" i="18"/>
  <c r="L45" i="18"/>
  <c r="BA45" i="18"/>
  <c r="AW45" i="18"/>
  <c r="AS45" i="18"/>
  <c r="AN45" i="18"/>
  <c r="AJ45" i="18"/>
  <c r="AF45" i="18"/>
  <c r="AB45" i="18"/>
  <c r="W45" i="18"/>
  <c r="S45" i="18"/>
  <c r="O45" i="18"/>
  <c r="AZ45" i="18"/>
  <c r="AV45" i="18"/>
  <c r="AR45" i="18"/>
  <c r="AM45" i="18"/>
  <c r="AI45" i="18"/>
  <c r="AE45" i="18"/>
  <c r="AA45" i="18"/>
  <c r="V45" i="18"/>
  <c r="R45" i="18"/>
  <c r="N45" i="18"/>
  <c r="BC45" i="18"/>
  <c r="AL45" i="18"/>
  <c r="U45" i="18"/>
  <c r="Y45" i="18"/>
  <c r="AY45" i="18"/>
  <c r="AH45" i="18"/>
  <c r="Q45" i="18"/>
  <c r="AU45" i="18"/>
  <c r="AD45" i="18"/>
  <c r="M45" i="18"/>
  <c r="AQ45" i="18"/>
  <c r="BB49" i="18"/>
  <c r="AX49" i="18"/>
  <c r="AT49" i="18"/>
  <c r="AP49" i="18"/>
  <c r="AK49" i="18"/>
  <c r="AG49" i="18"/>
  <c r="AC49" i="18"/>
  <c r="X49" i="18"/>
  <c r="T49" i="18"/>
  <c r="P49" i="18"/>
  <c r="L49" i="18"/>
  <c r="BA49" i="18"/>
  <c r="AW49" i="18"/>
  <c r="AS49" i="18"/>
  <c r="AN49" i="18"/>
  <c r="AJ49" i="18"/>
  <c r="AF49" i="18"/>
  <c r="AB49" i="18"/>
  <c r="W49" i="18"/>
  <c r="S49" i="18"/>
  <c r="O49" i="18"/>
  <c r="AZ49" i="18"/>
  <c r="AV49" i="18"/>
  <c r="AR49" i="18"/>
  <c r="AM49" i="18"/>
  <c r="AI49" i="18"/>
  <c r="AE49" i="18"/>
  <c r="AA49" i="18"/>
  <c r="V49" i="18"/>
  <c r="R49" i="18"/>
  <c r="N49" i="18"/>
  <c r="AU49" i="18"/>
  <c r="AD49" i="18"/>
  <c r="M49" i="18"/>
  <c r="Q49" i="18"/>
  <c r="AQ49" i="18"/>
  <c r="Y49" i="18"/>
  <c r="AY49" i="18"/>
  <c r="BC49" i="18"/>
  <c r="AL49" i="18"/>
  <c r="U49" i="18"/>
  <c r="AH49" i="18"/>
  <c r="AZ53" i="18"/>
  <c r="AV53" i="18"/>
  <c r="AR53" i="18"/>
  <c r="AM53" i="18"/>
  <c r="AI53" i="18"/>
  <c r="AE53" i="18"/>
  <c r="AA53" i="18"/>
  <c r="V53" i="18"/>
  <c r="BB53" i="18"/>
  <c r="AW53" i="18"/>
  <c r="AQ53" i="18"/>
  <c r="AK53" i="18"/>
  <c r="AF53" i="18"/>
  <c r="Y53" i="18"/>
  <c r="T53" i="18"/>
  <c r="P53" i="18"/>
  <c r="L53" i="18"/>
  <c r="BA53" i="18"/>
  <c r="AU53" i="18"/>
  <c r="AP53" i="18"/>
  <c r="AJ53" i="18"/>
  <c r="AD53" i="18"/>
  <c r="X53" i="18"/>
  <c r="S53" i="18"/>
  <c r="O53" i="18"/>
  <c r="AY53" i="18"/>
  <c r="AT53" i="18"/>
  <c r="AN53" i="18"/>
  <c r="AH53" i="18"/>
  <c r="AC53" i="18"/>
  <c r="W53" i="18"/>
  <c r="R53" i="18"/>
  <c r="N53" i="18"/>
  <c r="AS53" i="18"/>
  <c r="U53" i="18"/>
  <c r="AX53" i="18"/>
  <c r="AL53" i="18"/>
  <c r="Q53" i="18"/>
  <c r="AB53" i="18"/>
  <c r="BC53" i="18"/>
  <c r="AG53" i="18"/>
  <c r="M53" i="18"/>
  <c r="AZ77" i="18"/>
  <c r="AV77" i="18"/>
  <c r="AR77" i="18"/>
  <c r="AM77" i="18"/>
  <c r="AI77" i="18"/>
  <c r="AE77" i="18"/>
  <c r="AA77" i="18"/>
  <c r="V77" i="18"/>
  <c r="R77" i="18"/>
  <c r="N77" i="18"/>
  <c r="AY77" i="18"/>
  <c r="AT77" i="18"/>
  <c r="AN77" i="18"/>
  <c r="AH77" i="18"/>
  <c r="AC77" i="18"/>
  <c r="W77" i="18"/>
  <c r="Q77" i="18"/>
  <c r="L77" i="18"/>
  <c r="BC77" i="18"/>
  <c r="AX77" i="18"/>
  <c r="AS77" i="18"/>
  <c r="AL77" i="18"/>
  <c r="AG77" i="18"/>
  <c r="AB77" i="18"/>
  <c r="U77" i="18"/>
  <c r="P77" i="18"/>
  <c r="BB77" i="18"/>
  <c r="AW77" i="18"/>
  <c r="AQ77" i="18"/>
  <c r="AK77" i="18"/>
  <c r="AF77" i="18"/>
  <c r="Y77" i="18"/>
  <c r="T77" i="18"/>
  <c r="O77" i="18"/>
  <c r="AU77" i="18"/>
  <c r="X77" i="18"/>
  <c r="BA77" i="18"/>
  <c r="AP77" i="18"/>
  <c r="S77" i="18"/>
  <c r="AJ77" i="18"/>
  <c r="M77" i="18"/>
  <c r="AD77" i="18"/>
  <c r="BA81" i="18"/>
  <c r="AW81" i="18"/>
  <c r="AS81" i="18"/>
  <c r="AN81" i="18"/>
  <c r="AJ81" i="18"/>
  <c r="AF81" i="18"/>
  <c r="AB81" i="18"/>
  <c r="W81" i="18"/>
  <c r="S81" i="18"/>
  <c r="O81" i="18"/>
  <c r="BB81" i="18"/>
  <c r="AV81" i="18"/>
  <c r="AQ81" i="18"/>
  <c r="AK81" i="18"/>
  <c r="AE81" i="18"/>
  <c r="Y81" i="18"/>
  <c r="T81" i="18"/>
  <c r="N81" i="18"/>
  <c r="AZ81" i="18"/>
  <c r="AU81" i="18"/>
  <c r="AP81" i="18"/>
  <c r="AI81" i="18"/>
  <c r="AD81" i="18"/>
  <c r="X81" i="18"/>
  <c r="R81" i="18"/>
  <c r="M81" i="18"/>
  <c r="AY81" i="18"/>
  <c r="AT81" i="18"/>
  <c r="AM81" i="18"/>
  <c r="AH81" i="18"/>
  <c r="AC81" i="18"/>
  <c r="V81" i="18"/>
  <c r="Q81" i="18"/>
  <c r="L81" i="18"/>
  <c r="AX81" i="18"/>
  <c r="AA81" i="18"/>
  <c r="AR81" i="18"/>
  <c r="U81" i="18"/>
  <c r="AL81" i="18"/>
  <c r="P81" i="18"/>
  <c r="BC81" i="18"/>
  <c r="AG81" i="18"/>
  <c r="AZ121" i="18"/>
  <c r="AV121" i="18"/>
  <c r="AR121" i="18"/>
  <c r="AM121" i="18"/>
  <c r="AI121" i="18"/>
  <c r="AE121" i="18"/>
  <c r="AA121" i="18"/>
  <c r="V121" i="18"/>
  <c r="R121" i="18"/>
  <c r="N121" i="18"/>
  <c r="AY121" i="18"/>
  <c r="AT121" i="18"/>
  <c r="AN121" i="18"/>
  <c r="AH121" i="18"/>
  <c r="AC121" i="18"/>
  <c r="W121" i="18"/>
  <c r="Q121" i="18"/>
  <c r="L121" i="18"/>
  <c r="BC121" i="18"/>
  <c r="AX121" i="18"/>
  <c r="AS121" i="18"/>
  <c r="AL121" i="18"/>
  <c r="AG121" i="18"/>
  <c r="AB121" i="18"/>
  <c r="U121" i="18"/>
  <c r="P121" i="18"/>
  <c r="BB121" i="18"/>
  <c r="AW121" i="18"/>
  <c r="AQ121" i="18"/>
  <c r="AK121" i="18"/>
  <c r="AF121" i="18"/>
  <c r="Y121" i="18"/>
  <c r="T121" i="18"/>
  <c r="O121" i="18"/>
  <c r="AJ121" i="18"/>
  <c r="M121" i="18"/>
  <c r="BA121" i="18"/>
  <c r="AD121" i="18"/>
  <c r="AU121" i="18"/>
  <c r="X121" i="18"/>
  <c r="AP121" i="18"/>
  <c r="S121" i="18"/>
  <c r="AZ117" i="18"/>
  <c r="AV117" i="18"/>
  <c r="AR117" i="18"/>
  <c r="AM117" i="18"/>
  <c r="AI117" i="18"/>
  <c r="AE117" i="18"/>
  <c r="AA117" i="18"/>
  <c r="BB117" i="18"/>
  <c r="AW117" i="18"/>
  <c r="AQ117" i="18"/>
  <c r="AK117" i="18"/>
  <c r="AF117" i="18"/>
  <c r="Y117" i="18"/>
  <c r="U117" i="18"/>
  <c r="Q117" i="18"/>
  <c r="M117" i="18"/>
  <c r="BA117" i="18"/>
  <c r="AU117" i="18"/>
  <c r="AP117" i="18"/>
  <c r="AJ117" i="18"/>
  <c r="AD117" i="18"/>
  <c r="X117" i="18"/>
  <c r="T117" i="18"/>
  <c r="P117" i="18"/>
  <c r="L117" i="18"/>
  <c r="AY117" i="18"/>
  <c r="AT117" i="18"/>
  <c r="AN117" i="18"/>
  <c r="AH117" i="18"/>
  <c r="AC117" i="18"/>
  <c r="W117" i="18"/>
  <c r="S117" i="18"/>
  <c r="O117" i="18"/>
  <c r="BC117" i="18"/>
  <c r="AG117" i="18"/>
  <c r="N117" i="18"/>
  <c r="AX117" i="18"/>
  <c r="AB117" i="18"/>
  <c r="AS117" i="18"/>
  <c r="V117" i="18"/>
  <c r="AL117" i="18"/>
  <c r="R117" i="18"/>
  <c r="BC93" i="18"/>
  <c r="AY93" i="18"/>
  <c r="AU93" i="18"/>
  <c r="AQ93" i="18"/>
  <c r="AL93" i="18"/>
  <c r="AH93" i="18"/>
  <c r="AD93" i="18"/>
  <c r="Y93" i="18"/>
  <c r="U93" i="18"/>
  <c r="Q93" i="18"/>
  <c r="M93" i="18"/>
  <c r="BB93" i="18"/>
  <c r="AW93" i="18"/>
  <c r="AR93" i="18"/>
  <c r="AK93" i="18"/>
  <c r="AF93" i="18"/>
  <c r="AA93" i="18"/>
  <c r="T93" i="18"/>
  <c r="O93" i="18"/>
  <c r="BA93" i="18"/>
  <c r="AV93" i="18"/>
  <c r="AP93" i="18"/>
  <c r="AJ93" i="18"/>
  <c r="AE93" i="18"/>
  <c r="X93" i="18"/>
  <c r="S93" i="18"/>
  <c r="N93" i="18"/>
  <c r="AZ93" i="18"/>
  <c r="AT93" i="18"/>
  <c r="AN93" i="18"/>
  <c r="AI93" i="18"/>
  <c r="AC93" i="18"/>
  <c r="W93" i="18"/>
  <c r="R93" i="18"/>
  <c r="L93" i="18"/>
  <c r="AM93" i="18"/>
  <c r="P93" i="18"/>
  <c r="AG93" i="18"/>
  <c r="AX93" i="18"/>
  <c r="AB93" i="18"/>
  <c r="V93" i="18"/>
  <c r="AS93" i="18"/>
  <c r="BC89" i="18"/>
  <c r="AY89" i="18"/>
  <c r="AU89" i="18"/>
  <c r="AQ89" i="18"/>
  <c r="AL89" i="18"/>
  <c r="AH89" i="18"/>
  <c r="BB89" i="18"/>
  <c r="AW89" i="18"/>
  <c r="AR89" i="18"/>
  <c r="AK89" i="18"/>
  <c r="AF89" i="18"/>
  <c r="AB89" i="18"/>
  <c r="W89" i="18"/>
  <c r="S89" i="18"/>
  <c r="O89" i="18"/>
  <c r="BA89" i="18"/>
  <c r="AT89" i="18"/>
  <c r="AM89" i="18"/>
  <c r="AE89" i="18"/>
  <c r="Y89" i="18"/>
  <c r="T89" i="18"/>
  <c r="N89" i="18"/>
  <c r="AZ89" i="18"/>
  <c r="AS89" i="18"/>
  <c r="AJ89" i="18"/>
  <c r="AD89" i="18"/>
  <c r="X89" i="18"/>
  <c r="R89" i="18"/>
  <c r="M89" i="18"/>
  <c r="AX89" i="18"/>
  <c r="AP89" i="18"/>
  <c r="AI89" i="18"/>
  <c r="AC89" i="18"/>
  <c r="V89" i="18"/>
  <c r="Q89" i="18"/>
  <c r="BJ89" i="18" s="1"/>
  <c r="L89" i="18"/>
  <c r="AG89" i="18"/>
  <c r="AA89" i="18"/>
  <c r="AV89" i="18"/>
  <c r="U89" i="18"/>
  <c r="AN89" i="18"/>
  <c r="P89" i="18"/>
  <c r="BA85" i="18"/>
  <c r="AW85" i="18"/>
  <c r="AS85" i="18"/>
  <c r="AN85" i="18"/>
  <c r="AJ85" i="18"/>
  <c r="AF85" i="18"/>
  <c r="AB85" i="18"/>
  <c r="W85" i="18"/>
  <c r="S85" i="18"/>
  <c r="O85" i="18"/>
  <c r="AY85" i="18"/>
  <c r="AT85" i="18"/>
  <c r="AM85" i="18"/>
  <c r="AH85" i="18"/>
  <c r="AC85" i="18"/>
  <c r="V85" i="18"/>
  <c r="Q85" i="18"/>
  <c r="L85" i="18"/>
  <c r="BC85" i="18"/>
  <c r="AX85" i="18"/>
  <c r="AR85" i="18"/>
  <c r="AL85" i="18"/>
  <c r="AG85" i="18"/>
  <c r="AA85" i="18"/>
  <c r="U85" i="18"/>
  <c r="P85" i="18"/>
  <c r="BB85" i="18"/>
  <c r="AV85" i="18"/>
  <c r="AQ85" i="18"/>
  <c r="AK85" i="18"/>
  <c r="AE85" i="18"/>
  <c r="Y85" i="18"/>
  <c r="T85" i="18"/>
  <c r="N85" i="18"/>
  <c r="AZ85" i="18"/>
  <c r="AD85" i="18"/>
  <c r="AU85" i="18"/>
  <c r="X85" i="18"/>
  <c r="AP85" i="18"/>
  <c r="R85" i="18"/>
  <c r="AI85" i="18"/>
  <c r="M85" i="18"/>
  <c r="BB51" i="18"/>
  <c r="AX51" i="18"/>
  <c r="AT51" i="18"/>
  <c r="AP51" i="18"/>
  <c r="AK51" i="18"/>
  <c r="AG51" i="18"/>
  <c r="AC51" i="18"/>
  <c r="X51" i="18"/>
  <c r="T51" i="18"/>
  <c r="P51" i="18"/>
  <c r="L51" i="18"/>
  <c r="BA51" i="18"/>
  <c r="AW51" i="18"/>
  <c r="AS51" i="18"/>
  <c r="AN51" i="18"/>
  <c r="AJ51" i="18"/>
  <c r="AF51" i="18"/>
  <c r="AB51" i="18"/>
  <c r="W51" i="18"/>
  <c r="S51" i="18"/>
  <c r="O51" i="18"/>
  <c r="AZ51" i="18"/>
  <c r="AV51" i="18"/>
  <c r="AR51" i="18"/>
  <c r="AM51" i="18"/>
  <c r="AI51" i="18"/>
  <c r="AE51" i="18"/>
  <c r="AA51" i="18"/>
  <c r="V51" i="18"/>
  <c r="R51" i="18"/>
  <c r="N51" i="18"/>
  <c r="AQ51" i="18"/>
  <c r="Y51" i="18"/>
  <c r="AU51" i="18"/>
  <c r="BC51" i="18"/>
  <c r="AL51" i="18"/>
  <c r="U51" i="18"/>
  <c r="M51" i="18"/>
  <c r="AY51" i="18"/>
  <c r="AH51" i="18"/>
  <c r="Q51" i="18"/>
  <c r="AD51" i="18"/>
  <c r="BA83" i="18"/>
  <c r="AW83" i="18"/>
  <c r="AS83" i="18"/>
  <c r="AN83" i="18"/>
  <c r="AJ83" i="18"/>
  <c r="AF83" i="18"/>
  <c r="AB83" i="18"/>
  <c r="W83" i="18"/>
  <c r="S83" i="18"/>
  <c r="O83" i="18"/>
  <c r="BC83" i="18"/>
  <c r="AX83" i="18"/>
  <c r="AR83" i="18"/>
  <c r="AL83" i="18"/>
  <c r="AG83" i="18"/>
  <c r="AA83" i="18"/>
  <c r="U83" i="18"/>
  <c r="P83" i="18"/>
  <c r="BB83" i="18"/>
  <c r="AV83" i="18"/>
  <c r="AQ83" i="18"/>
  <c r="AK83" i="18"/>
  <c r="AE83" i="18"/>
  <c r="Y83" i="18"/>
  <c r="T83" i="18"/>
  <c r="N83" i="18"/>
  <c r="AZ83" i="18"/>
  <c r="AU83" i="18"/>
  <c r="AP83" i="18"/>
  <c r="AI83" i="18"/>
  <c r="AD83" i="18"/>
  <c r="X83" i="18"/>
  <c r="R83" i="18"/>
  <c r="M83" i="18"/>
  <c r="AY83" i="18"/>
  <c r="AC83" i="18"/>
  <c r="AT83" i="18"/>
  <c r="V83" i="18"/>
  <c r="AM83" i="18"/>
  <c r="Q83" i="18"/>
  <c r="AH83" i="18"/>
  <c r="L83" i="18"/>
  <c r="BA87" i="18"/>
  <c r="AW87" i="18"/>
  <c r="AS87" i="18"/>
  <c r="AN87" i="18"/>
  <c r="AJ87" i="18"/>
  <c r="AF87" i="18"/>
  <c r="AB87" i="18"/>
  <c r="W87" i="18"/>
  <c r="S87" i="18"/>
  <c r="O87" i="18"/>
  <c r="AZ87" i="18"/>
  <c r="AU87" i="18"/>
  <c r="AP87" i="18"/>
  <c r="AI87" i="18"/>
  <c r="AD87" i="18"/>
  <c r="X87" i="18"/>
  <c r="R87" i="18"/>
  <c r="M87" i="18"/>
  <c r="AY87" i="18"/>
  <c r="AT87" i="18"/>
  <c r="AM87" i="18"/>
  <c r="AH87" i="18"/>
  <c r="AC87" i="18"/>
  <c r="V87" i="18"/>
  <c r="Q87" i="18"/>
  <c r="L87" i="18"/>
  <c r="BC87" i="18"/>
  <c r="AX87" i="18"/>
  <c r="AR87" i="18"/>
  <c r="AL87" i="18"/>
  <c r="AG87" i="18"/>
  <c r="AA87" i="18"/>
  <c r="U87" i="18"/>
  <c r="P87" i="18"/>
  <c r="BB87" i="18"/>
  <c r="AE87" i="18"/>
  <c r="AV87" i="18"/>
  <c r="Y87" i="18"/>
  <c r="AQ87" i="18"/>
  <c r="T87" i="18"/>
  <c r="AK87" i="18"/>
  <c r="N87" i="18"/>
  <c r="AZ46" i="18"/>
  <c r="AV46" i="18"/>
  <c r="AR46" i="18"/>
  <c r="AM46" i="18"/>
  <c r="AI46" i="18"/>
  <c r="AE46" i="18"/>
  <c r="AA46" i="18"/>
  <c r="V46" i="18"/>
  <c r="R46" i="18"/>
  <c r="N46" i="18"/>
  <c r="BC46" i="18"/>
  <c r="AY46" i="18"/>
  <c r="AU46" i="18"/>
  <c r="AQ46" i="18"/>
  <c r="AL46" i="18"/>
  <c r="AH46" i="18"/>
  <c r="AD46" i="18"/>
  <c r="Y46" i="18"/>
  <c r="U46" i="18"/>
  <c r="Q46" i="18"/>
  <c r="M46" i="18"/>
  <c r="BB46" i="18"/>
  <c r="AX46" i="18"/>
  <c r="AT46" i="18"/>
  <c r="AP46" i="18"/>
  <c r="AK46" i="18"/>
  <c r="AG46" i="18"/>
  <c r="AC46" i="18"/>
  <c r="X46" i="18"/>
  <c r="T46" i="18"/>
  <c r="P46" i="18"/>
  <c r="L46" i="18"/>
  <c r="AS46" i="18"/>
  <c r="AB46" i="18"/>
  <c r="AF46" i="18"/>
  <c r="AN46" i="18"/>
  <c r="W46" i="18"/>
  <c r="O46" i="18"/>
  <c r="BA46" i="18"/>
  <c r="AJ46" i="18"/>
  <c r="S46" i="18"/>
  <c r="AW46" i="18"/>
  <c r="AZ50" i="18"/>
  <c r="AV50" i="18"/>
  <c r="AR50" i="18"/>
  <c r="AM50" i="18"/>
  <c r="AI50" i="18"/>
  <c r="AE50" i="18"/>
  <c r="AA50" i="18"/>
  <c r="V50" i="18"/>
  <c r="R50" i="18"/>
  <c r="N50" i="18"/>
  <c r="BC50" i="18"/>
  <c r="AY50" i="18"/>
  <c r="AU50" i="18"/>
  <c r="AQ50" i="18"/>
  <c r="AL50" i="18"/>
  <c r="AH50" i="18"/>
  <c r="AD50" i="18"/>
  <c r="Y50" i="18"/>
  <c r="U50" i="18"/>
  <c r="Q50" i="18"/>
  <c r="M50" i="18"/>
  <c r="BB50" i="18"/>
  <c r="AX50" i="18"/>
  <c r="AT50" i="18"/>
  <c r="AP50" i="18"/>
  <c r="AK50" i="18"/>
  <c r="AG50" i="18"/>
  <c r="AC50" i="18"/>
  <c r="X50" i="18"/>
  <c r="T50" i="18"/>
  <c r="P50" i="18"/>
  <c r="L50" i="18"/>
  <c r="BA50" i="18"/>
  <c r="AJ50" i="18"/>
  <c r="S50" i="18"/>
  <c r="W50" i="18"/>
  <c r="AW50" i="18"/>
  <c r="AF50" i="18"/>
  <c r="O50" i="18"/>
  <c r="AS50" i="18"/>
  <c r="AB50" i="18"/>
  <c r="AN50" i="18"/>
  <c r="BB74" i="18"/>
  <c r="AX74" i="18"/>
  <c r="AT74" i="18"/>
  <c r="AP74" i="18"/>
  <c r="AK74" i="18"/>
  <c r="AG74" i="18"/>
  <c r="AC74" i="18"/>
  <c r="X74" i="18"/>
  <c r="T74" i="18"/>
  <c r="P74" i="18"/>
  <c r="L74" i="18"/>
  <c r="BC74" i="18"/>
  <c r="AW74" i="18"/>
  <c r="AR74" i="18"/>
  <c r="AL74" i="18"/>
  <c r="AF74" i="18"/>
  <c r="AA74" i="18"/>
  <c r="U74" i="18"/>
  <c r="O74" i="18"/>
  <c r="BA74" i="18"/>
  <c r="AV74" i="18"/>
  <c r="AQ74" i="18"/>
  <c r="AJ74" i="18"/>
  <c r="AE74" i="18"/>
  <c r="Y74" i="18"/>
  <c r="S74" i="18"/>
  <c r="N74" i="18"/>
  <c r="AZ74" i="18"/>
  <c r="AU74" i="18"/>
  <c r="AN74" i="18"/>
  <c r="AI74" i="18"/>
  <c r="AD74" i="18"/>
  <c r="W74" i="18"/>
  <c r="R74" i="18"/>
  <c r="M74" i="18"/>
  <c r="AS74" i="18"/>
  <c r="V74" i="18"/>
  <c r="AM74" i="18"/>
  <c r="Q74" i="18"/>
  <c r="AY74" i="18"/>
  <c r="AH74" i="18"/>
  <c r="AB74" i="18"/>
  <c r="BB78" i="18"/>
  <c r="AX78" i="18"/>
  <c r="AT78" i="18"/>
  <c r="AP78" i="18"/>
  <c r="AK78" i="18"/>
  <c r="AG78" i="18"/>
  <c r="AC78" i="18"/>
  <c r="X78" i="18"/>
  <c r="T78" i="18"/>
  <c r="P78" i="18"/>
  <c r="L78" i="18"/>
  <c r="AZ78" i="18"/>
  <c r="AU78" i="18"/>
  <c r="AN78" i="18"/>
  <c r="AI78" i="18"/>
  <c r="AD78" i="18"/>
  <c r="W78" i="18"/>
  <c r="R78" i="18"/>
  <c r="M78" i="18"/>
  <c r="AY78" i="18"/>
  <c r="AS78" i="18"/>
  <c r="AM78" i="18"/>
  <c r="AH78" i="18"/>
  <c r="AB78" i="18"/>
  <c r="V78" i="18"/>
  <c r="Q78" i="18"/>
  <c r="BC78" i="18"/>
  <c r="AW78" i="18"/>
  <c r="AR78" i="18"/>
  <c r="AL78" i="18"/>
  <c r="AF78" i="18"/>
  <c r="AA78" i="18"/>
  <c r="U78" i="18"/>
  <c r="O78" i="18"/>
  <c r="AV78" i="18"/>
  <c r="Y78" i="18"/>
  <c r="AQ78" i="18"/>
  <c r="S78" i="18"/>
  <c r="AE78" i="18"/>
  <c r="AJ78" i="18"/>
  <c r="N78" i="18"/>
  <c r="BA78" i="18"/>
  <c r="BC82" i="18"/>
  <c r="AY82" i="18"/>
  <c r="AU82" i="18"/>
  <c r="AQ82" i="18"/>
  <c r="AL82" i="18"/>
  <c r="AH82" i="18"/>
  <c r="AD82" i="18"/>
  <c r="Y82" i="18"/>
  <c r="U82" i="18"/>
  <c r="Q82" i="18"/>
  <c r="M82" i="18"/>
  <c r="BB82" i="18"/>
  <c r="AW82" i="18"/>
  <c r="AR82" i="18"/>
  <c r="AK82" i="18"/>
  <c r="AF82" i="18"/>
  <c r="AA82" i="18"/>
  <c r="T82" i="18"/>
  <c r="O82" i="18"/>
  <c r="BA82" i="18"/>
  <c r="AV82" i="18"/>
  <c r="AP82" i="18"/>
  <c r="AJ82" i="18"/>
  <c r="AE82" i="18"/>
  <c r="X82" i="18"/>
  <c r="S82" i="18"/>
  <c r="N82" i="18"/>
  <c r="AZ82" i="18"/>
  <c r="AT82" i="18"/>
  <c r="AN82" i="18"/>
  <c r="AI82" i="18"/>
  <c r="AC82" i="18"/>
  <c r="W82" i="18"/>
  <c r="R82" i="18"/>
  <c r="L82" i="18"/>
  <c r="AX82" i="18"/>
  <c r="AB82" i="18"/>
  <c r="AS82" i="18"/>
  <c r="V82" i="18"/>
  <c r="AM82" i="18"/>
  <c r="P82" i="18"/>
  <c r="AG82" i="18"/>
  <c r="BB120" i="18"/>
  <c r="AX120" i="18"/>
  <c r="AT120" i="18"/>
  <c r="AP120" i="18"/>
  <c r="AK120" i="18"/>
  <c r="AG120" i="18"/>
  <c r="AC120" i="18"/>
  <c r="X120" i="18"/>
  <c r="T120" i="18"/>
  <c r="P120" i="18"/>
  <c r="L120" i="18"/>
  <c r="AY120" i="18"/>
  <c r="AS120" i="18"/>
  <c r="AM120" i="18"/>
  <c r="AH120" i="18"/>
  <c r="AB120" i="18"/>
  <c r="V120" i="18"/>
  <c r="Q120" i="18"/>
  <c r="BC120" i="18"/>
  <c r="AW120" i="18"/>
  <c r="AR120" i="18"/>
  <c r="AL120" i="18"/>
  <c r="AF120" i="18"/>
  <c r="AA120" i="18"/>
  <c r="U120" i="18"/>
  <c r="O120" i="18"/>
  <c r="BA120" i="18"/>
  <c r="AV120" i="18"/>
  <c r="AQ120" i="18"/>
  <c r="AJ120" i="18"/>
  <c r="AE120" i="18"/>
  <c r="Y120" i="18"/>
  <c r="S120" i="18"/>
  <c r="N120" i="18"/>
  <c r="AI120" i="18"/>
  <c r="M120" i="18"/>
  <c r="AZ120" i="18"/>
  <c r="AD120" i="18"/>
  <c r="AU120" i="18"/>
  <c r="W120" i="18"/>
  <c r="AN120" i="18"/>
  <c r="R120" i="18"/>
  <c r="BA116" i="18"/>
  <c r="AW116" i="18"/>
  <c r="AS116" i="18"/>
  <c r="AN116" i="18"/>
  <c r="AJ116" i="18"/>
  <c r="AF116" i="18"/>
  <c r="AB116" i="18"/>
  <c r="W116" i="18"/>
  <c r="S116" i="18"/>
  <c r="O116" i="18"/>
  <c r="AZ116" i="18"/>
  <c r="AV116" i="18"/>
  <c r="AR116" i="18"/>
  <c r="AM116" i="18"/>
  <c r="AI116" i="18"/>
  <c r="AE116" i="18"/>
  <c r="AA116" i="18"/>
  <c r="V116" i="18"/>
  <c r="R116" i="18"/>
  <c r="N116" i="18"/>
  <c r="BC116" i="18"/>
  <c r="AY116" i="18"/>
  <c r="AU116" i="18"/>
  <c r="AQ116" i="18"/>
  <c r="AL116" i="18"/>
  <c r="AH116" i="18"/>
  <c r="AD116" i="18"/>
  <c r="Y116" i="18"/>
  <c r="U116" i="18"/>
  <c r="Q116" i="18"/>
  <c r="M116" i="18"/>
  <c r="AP116" i="18"/>
  <c r="X116" i="18"/>
  <c r="BB116" i="18"/>
  <c r="AK116" i="18"/>
  <c r="T116" i="18"/>
  <c r="AX116" i="18"/>
  <c r="AG116" i="18"/>
  <c r="P116" i="18"/>
  <c r="AT116" i="18"/>
  <c r="AC116" i="18"/>
  <c r="L116" i="18"/>
  <c r="BA92" i="18"/>
  <c r="AW92" i="18"/>
  <c r="AS92" i="18"/>
  <c r="AN92" i="18"/>
  <c r="AJ92" i="18"/>
  <c r="AF92" i="18"/>
  <c r="AB92" i="18"/>
  <c r="W92" i="18"/>
  <c r="S92" i="18"/>
  <c r="O92" i="18"/>
  <c r="BB92" i="18"/>
  <c r="AV92" i="18"/>
  <c r="AQ92" i="18"/>
  <c r="AK92" i="18"/>
  <c r="AE92" i="18"/>
  <c r="Y92" i="18"/>
  <c r="T92" i="18"/>
  <c r="N92" i="18"/>
  <c r="AZ92" i="18"/>
  <c r="AU92" i="18"/>
  <c r="AP92" i="18"/>
  <c r="AI92" i="18"/>
  <c r="AD92" i="18"/>
  <c r="X92" i="18"/>
  <c r="R92" i="18"/>
  <c r="M92" i="18"/>
  <c r="AY92" i="18"/>
  <c r="AT92" i="18"/>
  <c r="AM92" i="18"/>
  <c r="AH92" i="18"/>
  <c r="AC92" i="18"/>
  <c r="V92" i="18"/>
  <c r="Q92" i="18"/>
  <c r="L92" i="18"/>
  <c r="AL92" i="18"/>
  <c r="P92" i="18"/>
  <c r="BC92" i="18"/>
  <c r="AG92" i="18"/>
  <c r="AX92" i="18"/>
  <c r="AA92" i="18"/>
  <c r="AR92" i="18"/>
  <c r="U92" i="18"/>
  <c r="BC88" i="18"/>
  <c r="AY88" i="18"/>
  <c r="AU88" i="18"/>
  <c r="AQ88" i="18"/>
  <c r="AL88" i="18"/>
  <c r="AH88" i="18"/>
  <c r="AD88" i="18"/>
  <c r="Y88" i="18"/>
  <c r="U88" i="18"/>
  <c r="Q88" i="18"/>
  <c r="M88" i="18"/>
  <c r="BA88" i="18"/>
  <c r="AV88" i="18"/>
  <c r="AP88" i="18"/>
  <c r="AJ88" i="18"/>
  <c r="AE88" i="18"/>
  <c r="X88" i="18"/>
  <c r="S88" i="18"/>
  <c r="N88" i="18"/>
  <c r="AZ88" i="18"/>
  <c r="AT88" i="18"/>
  <c r="AN88" i="18"/>
  <c r="AI88" i="18"/>
  <c r="AC88" i="18"/>
  <c r="W88" i="18"/>
  <c r="R88" i="18"/>
  <c r="L88" i="18"/>
  <c r="AX88" i="18"/>
  <c r="AS88" i="18"/>
  <c r="AM88" i="18"/>
  <c r="AG88" i="18"/>
  <c r="AB88" i="18"/>
  <c r="V88" i="18"/>
  <c r="P88" i="18"/>
  <c r="BB88" i="18"/>
  <c r="AF88" i="18"/>
  <c r="AW88" i="18"/>
  <c r="AA88" i="18"/>
  <c r="AR88" i="18"/>
  <c r="T88" i="18"/>
  <c r="O88" i="18"/>
  <c r="AK88" i="18"/>
  <c r="BA123" i="18"/>
  <c r="AW123" i="18"/>
  <c r="AS123" i="18"/>
  <c r="AN123" i="18"/>
  <c r="AJ123" i="18"/>
  <c r="AF123" i="18"/>
  <c r="AB123" i="18"/>
  <c r="W123" i="18"/>
  <c r="S123" i="18"/>
  <c r="O123" i="18"/>
  <c r="AZ123" i="18"/>
  <c r="AV123" i="18"/>
  <c r="AR123" i="18"/>
  <c r="BC123" i="18"/>
  <c r="AY123" i="18"/>
  <c r="AU123" i="18"/>
  <c r="AT123" i="18"/>
  <c r="AL123" i="18"/>
  <c r="AG123" i="18"/>
  <c r="AA123" i="18"/>
  <c r="U123" i="18"/>
  <c r="P123" i="18"/>
  <c r="AX123" i="18"/>
  <c r="AK123" i="18"/>
  <c r="AD123" i="18"/>
  <c r="V123" i="18"/>
  <c r="N123" i="18"/>
  <c r="AQ123" i="18"/>
  <c r="AI123" i="18"/>
  <c r="AC123" i="18"/>
  <c r="T123" i="18"/>
  <c r="M123" i="18"/>
  <c r="AP123" i="18"/>
  <c r="AH123" i="18"/>
  <c r="Y123" i="18"/>
  <c r="R123" i="18"/>
  <c r="L123" i="18"/>
  <c r="BB123" i="18"/>
  <c r="Q123" i="18"/>
  <c r="AM123" i="18"/>
  <c r="AE123" i="18"/>
  <c r="X123" i="18"/>
  <c r="D203" i="18"/>
  <c r="D202" i="18"/>
  <c r="D201" i="18"/>
  <c r="D200" i="18"/>
  <c r="D199" i="18"/>
  <c r="D198" i="18"/>
  <c r="D197" i="18"/>
  <c r="D196" i="18"/>
  <c r="D195" i="18"/>
  <c r="D194" i="18"/>
  <c r="D173" i="18"/>
  <c r="D172" i="18"/>
  <c r="D171" i="18"/>
  <c r="D170" i="18"/>
  <c r="D168" i="18"/>
  <c r="D167" i="18"/>
  <c r="D166" i="18"/>
  <c r="D165" i="18"/>
  <c r="D164" i="18"/>
  <c r="D163" i="18"/>
  <c r="D162" i="18"/>
  <c r="D161" i="18"/>
  <c r="D160" i="18"/>
  <c r="D159" i="18"/>
  <c r="D158" i="18"/>
  <c r="D157" i="18"/>
  <c r="D156" i="18"/>
  <c r="D155" i="18"/>
  <c r="D154" i="18"/>
  <c r="D153" i="18"/>
  <c r="D132" i="18"/>
  <c r="D131" i="18"/>
  <c r="D130" i="18"/>
  <c r="D129" i="18"/>
  <c r="D128" i="18"/>
  <c r="D127" i="18"/>
  <c r="D126" i="18"/>
  <c r="D125" i="18"/>
  <c r="D124" i="18"/>
  <c r="H164" i="18" l="1"/>
  <c r="B22" i="13"/>
  <c r="B6" i="13"/>
  <c r="B16" i="13"/>
  <c r="B13" i="13"/>
  <c r="B15" i="13"/>
  <c r="B21" i="13"/>
  <c r="H165" i="18"/>
  <c r="H170" i="18"/>
  <c r="I170" i="18"/>
  <c r="G170" i="18"/>
  <c r="H194" i="18"/>
  <c r="I194" i="18"/>
  <c r="G194" i="18"/>
  <c r="H198" i="18"/>
  <c r="G198" i="18"/>
  <c r="I198" i="18"/>
  <c r="H202" i="18"/>
  <c r="G202" i="18"/>
  <c r="I202" i="18"/>
  <c r="G173" i="18"/>
  <c r="H173" i="18"/>
  <c r="I173" i="18"/>
  <c r="G201" i="18"/>
  <c r="H201" i="18"/>
  <c r="I201" i="18"/>
  <c r="H166" i="18"/>
  <c r="I166" i="18"/>
  <c r="G166" i="18"/>
  <c r="I171" i="18"/>
  <c r="G171" i="18"/>
  <c r="H171" i="18"/>
  <c r="I195" i="18"/>
  <c r="G195" i="18"/>
  <c r="H195" i="18"/>
  <c r="I199" i="18"/>
  <c r="G199" i="18"/>
  <c r="H199" i="18"/>
  <c r="G168" i="18"/>
  <c r="H168" i="18"/>
  <c r="I168" i="18"/>
  <c r="G197" i="18"/>
  <c r="I197" i="18"/>
  <c r="H197" i="18"/>
  <c r="I167" i="18"/>
  <c r="G167" i="18"/>
  <c r="H167" i="18"/>
  <c r="G172" i="18"/>
  <c r="H172" i="18"/>
  <c r="I172" i="18"/>
  <c r="G196" i="18"/>
  <c r="H196" i="18"/>
  <c r="I196" i="18"/>
  <c r="G200" i="18"/>
  <c r="H200" i="18"/>
  <c r="I200" i="18"/>
  <c r="G203" i="18"/>
  <c r="I203" i="18"/>
  <c r="H203" i="18"/>
  <c r="D260" i="18" a="1"/>
  <c r="E260" i="18" s="1"/>
  <c r="BN47" i="18"/>
  <c r="AO184" i="18"/>
  <c r="AO190" i="18"/>
  <c r="AO185" i="18"/>
  <c r="AO180" i="18"/>
  <c r="AO187" i="18"/>
  <c r="AO181" i="18"/>
  <c r="AO191" i="18"/>
  <c r="AO174" i="18"/>
  <c r="AO189" i="18"/>
  <c r="AO188" i="18"/>
  <c r="AO178" i="18"/>
  <c r="AO183" i="18"/>
  <c r="AO177" i="18"/>
  <c r="AO192" i="18"/>
  <c r="AO176" i="18"/>
  <c r="AO175" i="18"/>
  <c r="AO193" i="18"/>
  <c r="AO182" i="18"/>
  <c r="AO179" i="18"/>
  <c r="AO186" i="18"/>
  <c r="DF239" i="18"/>
  <c r="DE239" i="18"/>
  <c r="DN239" i="18"/>
  <c r="DL239" i="18"/>
  <c r="DG239" i="18"/>
  <c r="DI239" i="18"/>
  <c r="DK239" i="18"/>
  <c r="DM239" i="18"/>
  <c r="DJ239" i="18"/>
  <c r="DH239" i="18"/>
  <c r="B3" i="13"/>
  <c r="B4" i="13" s="1"/>
  <c r="S178" i="13"/>
  <c r="BI82" i="18"/>
  <c r="BP82" i="18"/>
  <c r="BO74" i="18"/>
  <c r="BF89" i="18"/>
  <c r="BM75" i="18"/>
  <c r="BL75" i="18"/>
  <c r="BK51" i="18"/>
  <c r="BO89" i="18"/>
  <c r="BF53" i="18"/>
  <c r="BQ82" i="18"/>
  <c r="BH117" i="18"/>
  <c r="BR79" i="18"/>
  <c r="BK117" i="18"/>
  <c r="BF121" i="18"/>
  <c r="BK45" i="18"/>
  <c r="X208" i="18"/>
  <c r="AW208" i="18"/>
  <c r="AQ208" i="18"/>
  <c r="S207" i="18"/>
  <c r="BB207" i="18"/>
  <c r="AQ207" i="18"/>
  <c r="L208" i="18"/>
  <c r="AT208" i="18"/>
  <c r="S208" i="18"/>
  <c r="AP208" i="18"/>
  <c r="T208" i="18"/>
  <c r="AR208" i="18"/>
  <c r="V208" i="18"/>
  <c r="AS208" i="18"/>
  <c r="U208" i="18"/>
  <c r="AL208" i="18"/>
  <c r="BC208" i="18"/>
  <c r="BA207" i="18"/>
  <c r="O207" i="18"/>
  <c r="P207" i="18"/>
  <c r="AG207" i="18"/>
  <c r="AX207" i="18"/>
  <c r="U207" i="18"/>
  <c r="AL207" i="18"/>
  <c r="BC207" i="18"/>
  <c r="AA207" i="18"/>
  <c r="AR207" i="18"/>
  <c r="R208" i="18"/>
  <c r="AA208" i="18"/>
  <c r="Y208" i="18"/>
  <c r="AB207" i="18"/>
  <c r="AK207" i="18"/>
  <c r="AE207" i="18"/>
  <c r="BM123" i="18"/>
  <c r="BH88" i="18"/>
  <c r="AN208" i="18"/>
  <c r="AZ208" i="18"/>
  <c r="AE208" i="18"/>
  <c r="BA208" i="18"/>
  <c r="AF208" i="18"/>
  <c r="BB208" i="18"/>
  <c r="AG208" i="18"/>
  <c r="M208" i="18"/>
  <c r="AD208" i="18"/>
  <c r="AU208" i="18"/>
  <c r="W207" i="18"/>
  <c r="AS207" i="18"/>
  <c r="AW207" i="18"/>
  <c r="X207" i="18"/>
  <c r="AP207" i="18"/>
  <c r="M207" i="18"/>
  <c r="AD207" i="18"/>
  <c r="AU207" i="18"/>
  <c r="R207" i="18"/>
  <c r="AI207" i="18"/>
  <c r="AZ207" i="18"/>
  <c r="AC208" i="18"/>
  <c r="AV208" i="18"/>
  <c r="AB208" i="18"/>
  <c r="AX208" i="18"/>
  <c r="AF207" i="18"/>
  <c r="T207" i="18"/>
  <c r="Y207" i="18"/>
  <c r="N207" i="18"/>
  <c r="AV207" i="18"/>
  <c r="BG123" i="18"/>
  <c r="BP74" i="18"/>
  <c r="BP46" i="18"/>
  <c r="BL93" i="18"/>
  <c r="BI81" i="18"/>
  <c r="BQ75" i="18"/>
  <c r="BF90" i="18"/>
  <c r="AI208" i="18"/>
  <c r="W208" i="18"/>
  <c r="N208" i="18"/>
  <c r="AJ208" i="18"/>
  <c r="O208" i="18"/>
  <c r="AK208" i="18"/>
  <c r="P208" i="18"/>
  <c r="AM208" i="18"/>
  <c r="Q208" i="18"/>
  <c r="AH208" i="18"/>
  <c r="AY208" i="18"/>
  <c r="BH76" i="18"/>
  <c r="AN207" i="18"/>
  <c r="AJ207" i="18"/>
  <c r="L207" i="18"/>
  <c r="AC207" i="18"/>
  <c r="AT207" i="18"/>
  <c r="Q207" i="18"/>
  <c r="AH207" i="18"/>
  <c r="AY207" i="18"/>
  <c r="V207" i="18"/>
  <c r="AM207" i="18"/>
  <c r="BL79" i="18"/>
  <c r="BP88" i="18"/>
  <c r="BG47" i="18"/>
  <c r="BP47" i="18"/>
  <c r="BH81" i="18"/>
  <c r="BG91" i="18"/>
  <c r="BG87" i="18"/>
  <c r="BK85" i="18"/>
  <c r="BR85" i="18"/>
  <c r="BO85" i="18"/>
  <c r="BP85" i="18"/>
  <c r="BI89" i="18"/>
  <c r="AO89" i="18"/>
  <c r="BG89" i="18"/>
  <c r="BL89" i="18"/>
  <c r="BR93" i="18"/>
  <c r="BQ117" i="18"/>
  <c r="BQ121" i="18"/>
  <c r="BR121" i="18"/>
  <c r="BP121" i="18"/>
  <c r="BO121" i="18"/>
  <c r="BQ114" i="18"/>
  <c r="BR114" i="18"/>
  <c r="BK118" i="18"/>
  <c r="BK84" i="18"/>
  <c r="BR84" i="18"/>
  <c r="BN122" i="18"/>
  <c r="BQ122" i="18"/>
  <c r="BG115" i="18"/>
  <c r="BQ115" i="18"/>
  <c r="BQ83" i="18"/>
  <c r="BR83" i="18"/>
  <c r="BN81" i="18"/>
  <c r="BF81" i="18"/>
  <c r="BG81" i="18"/>
  <c r="BQ77" i="18"/>
  <c r="BR77" i="18"/>
  <c r="BP77" i="18"/>
  <c r="BO77" i="18"/>
  <c r="BJ53" i="18"/>
  <c r="BR53" i="18"/>
  <c r="BL49" i="18"/>
  <c r="BQ49" i="18"/>
  <c r="BJ45" i="18"/>
  <c r="BN45" i="18"/>
  <c r="BI45" i="18"/>
  <c r="BM44" i="18"/>
  <c r="BQ79" i="18"/>
  <c r="BN79" i="18"/>
  <c r="BK79" i="18"/>
  <c r="BF47" i="18"/>
  <c r="BJ123" i="18"/>
  <c r="BO88" i="18"/>
  <c r="BQ88" i="18"/>
  <c r="BN116" i="18"/>
  <c r="BQ123" i="18"/>
  <c r="BI123" i="18"/>
  <c r="BK120" i="18"/>
  <c r="BM87" i="18"/>
  <c r="AO87" i="18"/>
  <c r="BO87" i="18"/>
  <c r="BQ87" i="18"/>
  <c r="BP87" i="18"/>
  <c r="BF85" i="18"/>
  <c r="BQ85" i="18"/>
  <c r="BG85" i="18"/>
  <c r="BO117" i="18"/>
  <c r="BL117" i="18"/>
  <c r="BH91" i="18"/>
  <c r="BF119" i="18"/>
  <c r="BQ86" i="18"/>
  <c r="BH86" i="18"/>
  <c r="BI86" i="18"/>
  <c r="BK86" i="18"/>
  <c r="BJ86" i="18"/>
  <c r="BJ90" i="18"/>
  <c r="BP90" i="18"/>
  <c r="BO114" i="18"/>
  <c r="BF114" i="18"/>
  <c r="BG114" i="18"/>
  <c r="BI114" i="18"/>
  <c r="BH114" i="18"/>
  <c r="BO118" i="18"/>
  <c r="BQ118" i="18"/>
  <c r="BP84" i="18"/>
  <c r="BG84" i="18"/>
  <c r="BH84" i="18"/>
  <c r="BI84" i="18"/>
  <c r="BJ84" i="18"/>
  <c r="BK115" i="18"/>
  <c r="BL115" i="18"/>
  <c r="BR123" i="18"/>
  <c r="BN88" i="18"/>
  <c r="BQ116" i="18"/>
  <c r="BL116" i="18"/>
  <c r="BN91" i="18"/>
  <c r="BM119" i="18"/>
  <c r="BG86" i="18"/>
  <c r="BM86" i="18"/>
  <c r="BP86" i="18"/>
  <c r="BQ90" i="18"/>
  <c r="BK114" i="18"/>
  <c r="BN114" i="18"/>
  <c r="BF118" i="18"/>
  <c r="BG118" i="18"/>
  <c r="BM74" i="18"/>
  <c r="BH50" i="18"/>
  <c r="BI50" i="18"/>
  <c r="BN50" i="18"/>
  <c r="BL46" i="18"/>
  <c r="BQ46" i="18"/>
  <c r="BF46" i="18"/>
  <c r="BK46" i="18"/>
  <c r="BN75" i="18"/>
  <c r="BO83" i="18"/>
  <c r="BF83" i="18"/>
  <c r="BG83" i="18"/>
  <c r="BI83" i="18"/>
  <c r="BH83" i="18"/>
  <c r="AO51" i="18"/>
  <c r="BQ51" i="18"/>
  <c r="BP81" i="18"/>
  <c r="BK49" i="18"/>
  <c r="BP75" i="18"/>
  <c r="BR75" i="18"/>
  <c r="BH80" i="18"/>
  <c r="AO80" i="18"/>
  <c r="BR80" i="18"/>
  <c r="BF76" i="18"/>
  <c r="BG76" i="18"/>
  <c r="BJ76" i="18"/>
  <c r="BI76" i="18"/>
  <c r="BJ52" i="18"/>
  <c r="BO52" i="18"/>
  <c r="BP48" i="18"/>
  <c r="BM48" i="18"/>
  <c r="BR48" i="18"/>
  <c r="BG48" i="18"/>
  <c r="BJ44" i="18"/>
  <c r="BO44" i="18"/>
  <c r="BI79" i="18"/>
  <c r="BO47" i="18"/>
  <c r="BN82" i="18"/>
  <c r="BF78" i="18"/>
  <c r="BR74" i="18"/>
  <c r="BL50" i="18"/>
  <c r="BD75" i="18"/>
  <c r="BK75" i="18"/>
  <c r="BH78" i="18"/>
  <c r="BH82" i="18"/>
  <c r="BN78" i="18"/>
  <c r="BO78" i="18"/>
  <c r="BF74" i="18"/>
  <c r="BG74" i="18"/>
  <c r="BK83" i="18"/>
  <c r="BN83" i="18"/>
  <c r="BL76" i="18"/>
  <c r="BO76" i="18"/>
  <c r="BH52" i="18"/>
  <c r="BL48" i="18"/>
  <c r="BH44" i="18"/>
  <c r="BH79" i="18"/>
  <c r="Z120" i="18"/>
  <c r="BE120" i="18"/>
  <c r="AO74" i="18"/>
  <c r="AO49" i="18"/>
  <c r="BD49" i="18"/>
  <c r="AO90" i="18"/>
  <c r="BD122" i="18"/>
  <c r="BF115" i="18"/>
  <c r="BO123" i="18"/>
  <c r="BH123" i="18"/>
  <c r="BM88" i="18"/>
  <c r="BR88" i="18"/>
  <c r="BN92" i="18"/>
  <c r="Z92" i="18"/>
  <c r="BE92" i="18"/>
  <c r="BF92" i="18"/>
  <c r="BG92" i="18"/>
  <c r="BH92" i="18"/>
  <c r="BM116" i="18"/>
  <c r="BD116" i="18"/>
  <c r="BR116" i="18"/>
  <c r="BG116" i="18"/>
  <c r="BP116" i="18"/>
  <c r="BG120" i="18"/>
  <c r="BH120" i="18"/>
  <c r="BJ120" i="18"/>
  <c r="BI120" i="18"/>
  <c r="BR82" i="18"/>
  <c r="BL78" i="18"/>
  <c r="BJ78" i="18"/>
  <c r="BK78" i="18"/>
  <c r="BI78" i="18"/>
  <c r="BQ74" i="18"/>
  <c r="BD74" i="18"/>
  <c r="BM50" i="18"/>
  <c r="BR50" i="18"/>
  <c r="BG50" i="18"/>
  <c r="BE46" i="18"/>
  <c r="Z46" i="18"/>
  <c r="BJ46" i="18"/>
  <c r="BO46" i="18"/>
  <c r="BD83" i="18"/>
  <c r="BM83" i="18"/>
  <c r="BL83" i="18"/>
  <c r="BG51" i="18"/>
  <c r="BP51" i="18"/>
  <c r="BE51" i="18"/>
  <c r="Z51" i="18"/>
  <c r="BD85" i="18"/>
  <c r="BM89" i="18"/>
  <c r="BP89" i="18"/>
  <c r="BE93" i="18"/>
  <c r="Z93" i="18"/>
  <c r="BG93" i="18"/>
  <c r="BH93" i="18"/>
  <c r="BF93" i="18"/>
  <c r="BE117" i="18"/>
  <c r="Z117" i="18"/>
  <c r="BR117" i="18"/>
  <c r="AO121" i="18"/>
  <c r="BJ81" i="18"/>
  <c r="BK81" i="18"/>
  <c r="BD81" i="18"/>
  <c r="BM81" i="18"/>
  <c r="BL81" i="18"/>
  <c r="BL77" i="18"/>
  <c r="AO77" i="18"/>
  <c r="BG53" i="18"/>
  <c r="BH53" i="18"/>
  <c r="BE53" i="18"/>
  <c r="Z53" i="18"/>
  <c r="BJ49" i="18"/>
  <c r="BG49" i="18"/>
  <c r="BP49" i="18"/>
  <c r="BE49" i="18"/>
  <c r="Z49" i="18"/>
  <c r="BF45" i="18"/>
  <c r="BO45" i="18"/>
  <c r="BH45" i="18"/>
  <c r="BM45" i="18"/>
  <c r="BL91" i="18"/>
  <c r="BM91" i="18"/>
  <c r="BR91" i="18"/>
  <c r="BJ119" i="18"/>
  <c r="BH119" i="18"/>
  <c r="BI119" i="18"/>
  <c r="BG119" i="18"/>
  <c r="BO75" i="18"/>
  <c r="BO86" i="18"/>
  <c r="BN86" i="18"/>
  <c r="BD90" i="18"/>
  <c r="BM90" i="18"/>
  <c r="BD114" i="18"/>
  <c r="BM114" i="18"/>
  <c r="BL114" i="18"/>
  <c r="BH118" i="18"/>
  <c r="BE118" i="18"/>
  <c r="Z118" i="18"/>
  <c r="Z84" i="18"/>
  <c r="BE84" i="18"/>
  <c r="BL84" i="18"/>
  <c r="BD84" i="18"/>
  <c r="BM84" i="18"/>
  <c r="BO84" i="18"/>
  <c r="BN84" i="18"/>
  <c r="BE80" i="18"/>
  <c r="Z80" i="18"/>
  <c r="BG80" i="18"/>
  <c r="BF80" i="18"/>
  <c r="BN76" i="18"/>
  <c r="BM76" i="18"/>
  <c r="BL52" i="18"/>
  <c r="BI52" i="18"/>
  <c r="BN52" i="18"/>
  <c r="AO52" i="18"/>
  <c r="BH48" i="18"/>
  <c r="BQ48" i="18"/>
  <c r="BD48" i="18"/>
  <c r="BF48" i="18"/>
  <c r="BK48" i="18"/>
  <c r="BI44" i="18"/>
  <c r="BN44" i="18"/>
  <c r="AO44" i="18"/>
  <c r="BR122" i="18"/>
  <c r="BG122" i="18"/>
  <c r="AO122" i="18"/>
  <c r="BF122" i="18"/>
  <c r="Z122" i="18"/>
  <c r="BE122" i="18"/>
  <c r="AO115" i="18"/>
  <c r="BH115" i="18"/>
  <c r="BJ115" i="18"/>
  <c r="BP79" i="18"/>
  <c r="BO79" i="18"/>
  <c r="BD79" i="18"/>
  <c r="BR47" i="18"/>
  <c r="BJ47" i="18"/>
  <c r="BK47" i="18"/>
  <c r="BI47" i="18"/>
  <c r="AO116" i="18"/>
  <c r="BE78" i="18"/>
  <c r="Z78" i="18"/>
  <c r="BD46" i="18"/>
  <c r="BD51" i="18"/>
  <c r="Z81" i="18"/>
  <c r="BE81" i="18"/>
  <c r="Z90" i="18"/>
  <c r="BE90" i="18"/>
  <c r="BD118" i="18"/>
  <c r="BD115" i="18"/>
  <c r="BE47" i="18"/>
  <c r="Z47" i="18"/>
  <c r="BE123" i="18"/>
  <c r="Z123" i="18"/>
  <c r="BJ92" i="18"/>
  <c r="BD92" i="18"/>
  <c r="BF116" i="18"/>
  <c r="BK116" i="18"/>
  <c r="BN120" i="18"/>
  <c r="BM120" i="18"/>
  <c r="BO82" i="18"/>
  <c r="BG78" i="18"/>
  <c r="BJ74" i="18"/>
  <c r="BF50" i="18"/>
  <c r="BN46" i="18"/>
  <c r="AO46" i="18"/>
  <c r="BR87" i="18"/>
  <c r="BI87" i="18"/>
  <c r="Z87" i="18"/>
  <c r="BE87" i="18"/>
  <c r="BF87" i="18"/>
  <c r="BH87" i="18"/>
  <c r="BJ83" i="18"/>
  <c r="AO83" i="18"/>
  <c r="BP83" i="18"/>
  <c r="BF51" i="18"/>
  <c r="BI51" i="18"/>
  <c r="BI85" i="18"/>
  <c r="BE85" i="18"/>
  <c r="Z85" i="18"/>
  <c r="BH85" i="18"/>
  <c r="BN89" i="18"/>
  <c r="Z89" i="18"/>
  <c r="BE89" i="18"/>
  <c r="BK89" i="18"/>
  <c r="BR89" i="18"/>
  <c r="BK93" i="18"/>
  <c r="BD93" i="18"/>
  <c r="BM93" i="18"/>
  <c r="BJ93" i="18"/>
  <c r="BG117" i="18"/>
  <c r="BI117" i="18"/>
  <c r="BF117" i="18"/>
  <c r="BL121" i="18"/>
  <c r="BH121" i="18"/>
  <c r="BI121" i="18"/>
  <c r="Z121" i="18"/>
  <c r="BE121" i="18"/>
  <c r="BG121" i="18"/>
  <c r="AO81" i="18"/>
  <c r="BO81" i="18"/>
  <c r="BQ81" i="18"/>
  <c r="BR81" i="18"/>
  <c r="BD77" i="18"/>
  <c r="BH77" i="18"/>
  <c r="BI77" i="18"/>
  <c r="BE77" i="18"/>
  <c r="Z77" i="18"/>
  <c r="BG77" i="18"/>
  <c r="BK53" i="18"/>
  <c r="BL53" i="18"/>
  <c r="BD53" i="18"/>
  <c r="BI53" i="18"/>
  <c r="BO53" i="18"/>
  <c r="BF49" i="18"/>
  <c r="BI49" i="18"/>
  <c r="AO45" i="18"/>
  <c r="BL45" i="18"/>
  <c r="BQ45" i="18"/>
  <c r="BD45" i="18"/>
  <c r="AO91" i="18"/>
  <c r="BP91" i="18"/>
  <c r="BK91" i="18"/>
  <c r="BI91" i="18"/>
  <c r="BF91" i="18"/>
  <c r="BL119" i="18"/>
  <c r="BD119" i="18"/>
  <c r="BN119" i="18"/>
  <c r="BK119" i="18"/>
  <c r="BJ75" i="18"/>
  <c r="AO75" i="18"/>
  <c r="BL86" i="18"/>
  <c r="AO86" i="18"/>
  <c r="BR86" i="18"/>
  <c r="BR90" i="18"/>
  <c r="BK90" i="18"/>
  <c r="BG90" i="18"/>
  <c r="BI90" i="18"/>
  <c r="BH90" i="18"/>
  <c r="BJ114" i="18"/>
  <c r="AO114" i="18"/>
  <c r="BP114" i="18"/>
  <c r="BJ118" i="18"/>
  <c r="BL118" i="18"/>
  <c r="BN118" i="18"/>
  <c r="BI118" i="18"/>
  <c r="BQ84" i="18"/>
  <c r="AO84" i="18"/>
  <c r="BM80" i="18"/>
  <c r="BI80" i="18"/>
  <c r="BK80" i="18"/>
  <c r="BL80" i="18"/>
  <c r="BD80" i="18"/>
  <c r="BJ80" i="18"/>
  <c r="BP76" i="18"/>
  <c r="BR76" i="18"/>
  <c r="AO76" i="18"/>
  <c r="BQ76" i="18"/>
  <c r="BD76" i="18"/>
  <c r="BM52" i="18"/>
  <c r="BR52" i="18"/>
  <c r="BG52" i="18"/>
  <c r="Z48" i="18"/>
  <c r="BE48" i="18"/>
  <c r="BJ48" i="18"/>
  <c r="BO48" i="18"/>
  <c r="BL44" i="18"/>
  <c r="BR44" i="18"/>
  <c r="BG44" i="18"/>
  <c r="BJ122" i="18"/>
  <c r="BK122" i="18"/>
  <c r="BI122" i="18"/>
  <c r="BE115" i="18"/>
  <c r="Z115" i="18"/>
  <c r="BN115" i="18"/>
  <c r="AO79" i="18"/>
  <c r="BH47" i="18"/>
  <c r="BM47" i="18"/>
  <c r="AO82" i="18"/>
  <c r="AO50" i="18"/>
  <c r="Z83" i="18"/>
  <c r="BE83" i="18"/>
  <c r="BL51" i="18"/>
  <c r="AO85" i="18"/>
  <c r="BN117" i="18"/>
  <c r="AO119" i="18"/>
  <c r="BE75" i="18"/>
  <c r="Z75" i="18"/>
  <c r="Z114" i="18"/>
  <c r="BE114" i="18"/>
  <c r="BE52" i="18"/>
  <c r="Z52" i="18"/>
  <c r="Z44" i="18"/>
  <c r="BE44" i="18"/>
  <c r="BE79" i="18"/>
  <c r="Z79" i="18"/>
  <c r="BD123" i="18"/>
  <c r="BN123" i="18"/>
  <c r="BL123" i="18"/>
  <c r="Z88" i="18"/>
  <c r="BE88" i="18"/>
  <c r="BG88" i="18"/>
  <c r="BF88" i="18"/>
  <c r="BK92" i="18"/>
  <c r="BM92" i="18"/>
  <c r="BL92" i="18"/>
  <c r="BI116" i="18"/>
  <c r="BL120" i="18"/>
  <c r="BO120" i="18"/>
  <c r="BE82" i="18"/>
  <c r="Z82" i="18"/>
  <c r="BG82" i="18"/>
  <c r="BF82" i="18"/>
  <c r="BP78" i="18"/>
  <c r="BM78" i="18"/>
  <c r="BH74" i="18"/>
  <c r="BE74" i="18"/>
  <c r="Z74" i="18"/>
  <c r="BQ50" i="18"/>
  <c r="BD50" i="18"/>
  <c r="BK50" i="18"/>
  <c r="BI46" i="18"/>
  <c r="BK123" i="18"/>
  <c r="BF123" i="18"/>
  <c r="AO123" i="18"/>
  <c r="BP123" i="18"/>
  <c r="AO88" i="18"/>
  <c r="BI88" i="18"/>
  <c r="BK88" i="18"/>
  <c r="BL88" i="18"/>
  <c r="BD88" i="18"/>
  <c r="BJ88" i="18"/>
  <c r="AO92" i="18"/>
  <c r="BI92" i="18"/>
  <c r="BO92" i="18"/>
  <c r="BQ92" i="18"/>
  <c r="BR92" i="18"/>
  <c r="BP92" i="18"/>
  <c r="BE116" i="18"/>
  <c r="Z116" i="18"/>
  <c r="BJ116" i="18"/>
  <c r="BO116" i="18"/>
  <c r="BH116" i="18"/>
  <c r="BP120" i="18"/>
  <c r="BF120" i="18"/>
  <c r="BR120" i="18"/>
  <c r="AO120" i="18"/>
  <c r="BQ120" i="18"/>
  <c r="BD120" i="18"/>
  <c r="BK82" i="18"/>
  <c r="BL82" i="18"/>
  <c r="BD82" i="18"/>
  <c r="BM82" i="18"/>
  <c r="BJ82" i="18"/>
  <c r="BR78" i="18"/>
  <c r="AO78" i="18"/>
  <c r="BQ78" i="18"/>
  <c r="BD78" i="18"/>
  <c r="BK74" i="18"/>
  <c r="BL74" i="18"/>
  <c r="BN74" i="18"/>
  <c r="BI74" i="18"/>
  <c r="BP50" i="18"/>
  <c r="Z50" i="18"/>
  <c r="BE50" i="18"/>
  <c r="BJ50" i="18"/>
  <c r="BO50" i="18"/>
  <c r="BH46" i="18"/>
  <c r="BM46" i="18"/>
  <c r="BR46" i="18"/>
  <c r="BG46" i="18"/>
  <c r="BN87" i="18"/>
  <c r="BJ87" i="18"/>
  <c r="BK87" i="18"/>
  <c r="BD87" i="18"/>
  <c r="BL87" i="18"/>
  <c r="BJ51" i="18"/>
  <c r="BN51" i="18"/>
  <c r="BR51" i="18"/>
  <c r="BO51" i="18"/>
  <c r="BH51" i="18"/>
  <c r="BM51" i="18"/>
  <c r="BM85" i="18"/>
  <c r="BN85" i="18"/>
  <c r="BJ85" i="18"/>
  <c r="BL85" i="18"/>
  <c r="BD89" i="18"/>
  <c r="BQ89" i="18"/>
  <c r="BH89" i="18"/>
  <c r="BO93" i="18"/>
  <c r="BI93" i="18"/>
  <c r="BP93" i="18"/>
  <c r="BQ93" i="18"/>
  <c r="AO93" i="18"/>
  <c r="BN93" i="18"/>
  <c r="BP117" i="18"/>
  <c r="BM117" i="18"/>
  <c r="BD117" i="18"/>
  <c r="BJ117" i="18"/>
  <c r="AO117" i="18"/>
  <c r="BD121" i="18"/>
  <c r="BM121" i="18"/>
  <c r="BN121" i="18"/>
  <c r="BJ121" i="18"/>
  <c r="BK121" i="18"/>
  <c r="BF77" i="18"/>
  <c r="BM77" i="18"/>
  <c r="BN77" i="18"/>
  <c r="BJ77" i="18"/>
  <c r="BK77" i="18"/>
  <c r="BN53" i="18"/>
  <c r="BP53" i="18"/>
  <c r="BQ53" i="18"/>
  <c r="BM53" i="18"/>
  <c r="AO53" i="18"/>
  <c r="BN49" i="18"/>
  <c r="BR49" i="18"/>
  <c r="BO49" i="18"/>
  <c r="BH49" i="18"/>
  <c r="BM49" i="18"/>
  <c r="BR45" i="18"/>
  <c r="BG45" i="18"/>
  <c r="BP45" i="18"/>
  <c r="BE45" i="18"/>
  <c r="Z45" i="18"/>
  <c r="BE91" i="18"/>
  <c r="Z91" i="18"/>
  <c r="BQ91" i="18"/>
  <c r="BO91" i="18"/>
  <c r="BD91" i="18"/>
  <c r="BJ91" i="18"/>
  <c r="BP119" i="18"/>
  <c r="Z119" i="18"/>
  <c r="BE119" i="18"/>
  <c r="BQ119" i="18"/>
  <c r="BR119" i="18"/>
  <c r="BO119" i="18"/>
  <c r="BF75" i="18"/>
  <c r="BH75" i="18"/>
  <c r="BI75" i="18"/>
  <c r="BG75" i="18"/>
  <c r="BD86" i="18"/>
  <c r="BE86" i="18"/>
  <c r="Z86" i="18"/>
  <c r="BF86" i="18"/>
  <c r="BO90" i="18"/>
  <c r="BN90" i="18"/>
  <c r="BL90" i="18"/>
  <c r="BP118" i="18"/>
  <c r="BR118" i="18"/>
  <c r="AO118" i="18"/>
  <c r="BM118" i="18"/>
  <c r="BF84" i="18"/>
  <c r="BO80" i="18"/>
  <c r="BP80" i="18"/>
  <c r="BQ80" i="18"/>
  <c r="BN80" i="18"/>
  <c r="BK76" i="18"/>
  <c r="Z76" i="18"/>
  <c r="BE76" i="18"/>
  <c r="BP52" i="18"/>
  <c r="BQ52" i="18"/>
  <c r="BD52" i="18"/>
  <c r="BF52" i="18"/>
  <c r="BK52" i="18"/>
  <c r="BI48" i="18"/>
  <c r="BN48" i="18"/>
  <c r="AO48" i="18"/>
  <c r="BP44" i="18"/>
  <c r="BQ44" i="18"/>
  <c r="BD44" i="18"/>
  <c r="BF44" i="18"/>
  <c r="BK44" i="18"/>
  <c r="BL122" i="18"/>
  <c r="BH122" i="18"/>
  <c r="BO122" i="18"/>
  <c r="BP122" i="18"/>
  <c r="BM122" i="18"/>
  <c r="BO115" i="18"/>
  <c r="BI115" i="18"/>
  <c r="BP115" i="18"/>
  <c r="BM115" i="18"/>
  <c r="BR115" i="18"/>
  <c r="BF79" i="18"/>
  <c r="BM79" i="18"/>
  <c r="BJ79" i="18"/>
  <c r="BG79" i="18"/>
  <c r="AO47" i="18"/>
  <c r="BL47" i="18"/>
  <c r="BQ47" i="18"/>
  <c r="BD47" i="18"/>
  <c r="C165" i="18"/>
  <c r="C166" i="18"/>
  <c r="C167" i="18"/>
  <c r="C168" i="18"/>
  <c r="C169" i="18"/>
  <c r="C170" i="18"/>
  <c r="C171" i="18"/>
  <c r="C172" i="18"/>
  <c r="C173" i="18"/>
  <c r="C194" i="18"/>
  <c r="C195" i="18"/>
  <c r="C196" i="18"/>
  <c r="C197" i="18"/>
  <c r="C198" i="18"/>
  <c r="C199" i="18"/>
  <c r="C200" i="18"/>
  <c r="C201" i="18"/>
  <c r="C202" i="18"/>
  <c r="C203" i="18"/>
  <c r="C164" i="18"/>
  <c r="C125" i="18"/>
  <c r="C126" i="18"/>
  <c r="C127" i="18"/>
  <c r="C128" i="18"/>
  <c r="C129" i="18"/>
  <c r="C130" i="18"/>
  <c r="C131" i="18"/>
  <c r="C132" i="18"/>
  <c r="C153" i="18"/>
  <c r="C154" i="18"/>
  <c r="C155" i="18"/>
  <c r="C156" i="18"/>
  <c r="C157" i="18"/>
  <c r="C158" i="18"/>
  <c r="C159" i="18"/>
  <c r="C160" i="18"/>
  <c r="C161" i="18"/>
  <c r="C162" i="18"/>
  <c r="C163" i="18"/>
  <c r="C124" i="18"/>
  <c r="C85" i="18"/>
  <c r="C86" i="18"/>
  <c r="C87" i="18"/>
  <c r="C88" i="18"/>
  <c r="C89" i="18"/>
  <c r="C90" i="18"/>
  <c r="C91" i="18"/>
  <c r="C92" i="18"/>
  <c r="C93" i="18"/>
  <c r="C114" i="18"/>
  <c r="C115" i="18"/>
  <c r="C116" i="18"/>
  <c r="C117" i="18"/>
  <c r="C118" i="18"/>
  <c r="C119" i="18"/>
  <c r="C120" i="18"/>
  <c r="C121" i="18"/>
  <c r="C122" i="18"/>
  <c r="C123" i="18"/>
  <c r="C84" i="18"/>
  <c r="C45" i="18"/>
  <c r="C46" i="18"/>
  <c r="C47" i="18"/>
  <c r="C48" i="18"/>
  <c r="C49" i="18"/>
  <c r="C50" i="18"/>
  <c r="C51" i="18"/>
  <c r="C52" i="18"/>
  <c r="C53" i="18"/>
  <c r="C74" i="18"/>
  <c r="C75" i="18"/>
  <c r="C76" i="18"/>
  <c r="C77" i="18"/>
  <c r="C78" i="18"/>
  <c r="C79" i="18"/>
  <c r="C80" i="18"/>
  <c r="C81" i="18"/>
  <c r="C82" i="18"/>
  <c r="C83" i="18"/>
  <c r="C44" i="18"/>
  <c r="C5" i="18"/>
  <c r="C6" i="18"/>
  <c r="C7" i="18"/>
  <c r="C8" i="18"/>
  <c r="C9" i="18"/>
  <c r="C10" i="18"/>
  <c r="C11" i="18"/>
  <c r="C12" i="18"/>
  <c r="C13" i="18"/>
  <c r="C34" i="18"/>
  <c r="C35" i="18"/>
  <c r="C36" i="18"/>
  <c r="C37" i="18"/>
  <c r="C38" i="18"/>
  <c r="C39" i="18"/>
  <c r="C40" i="18"/>
  <c r="C41" i="18"/>
  <c r="C42" i="18"/>
  <c r="C43" i="18"/>
  <c r="C4" i="18"/>
  <c r="B5" i="13" l="1"/>
  <c r="B7" i="13" s="1"/>
  <c r="B8" i="13"/>
  <c r="B9" i="13"/>
  <c r="B14" i="13" s="1"/>
  <c r="B17" i="13" s="1"/>
  <c r="AE260" i="18"/>
  <c r="AE345" i="18" s="1"/>
  <c r="I260" i="18"/>
  <c r="AM260" i="18"/>
  <c r="AM345" i="18" s="1"/>
  <c r="X260" i="18"/>
  <c r="X345" i="18" s="1"/>
  <c r="Q260" i="18"/>
  <c r="Q345" i="18" s="1"/>
  <c r="AF260" i="18"/>
  <c r="AF345" i="18" s="1"/>
  <c r="O260" i="18"/>
  <c r="O345" i="18" s="1"/>
  <c r="G260" i="18"/>
  <c r="AC260" i="18"/>
  <c r="AC345" i="18" s="1"/>
  <c r="AN260" i="18"/>
  <c r="AN345" i="18" s="1"/>
  <c r="AH260" i="18"/>
  <c r="AH345" i="18" s="1"/>
  <c r="AA260" i="18"/>
  <c r="AA345" i="18" s="1"/>
  <c r="AP260" i="18"/>
  <c r="AP345" i="18" s="1"/>
  <c r="AI260" i="18"/>
  <c r="AI345" i="18" s="1"/>
  <c r="R260" i="18"/>
  <c r="R345" i="18" s="1"/>
  <c r="F260" i="18"/>
  <c r="AG260" i="18"/>
  <c r="AG345" i="18" s="1"/>
  <c r="AK260" i="18"/>
  <c r="AK345" i="18" s="1"/>
  <c r="J260" i="18"/>
  <c r="N260" i="18"/>
  <c r="N345" i="18" s="1"/>
  <c r="L260" i="18"/>
  <c r="L345" i="18" s="1"/>
  <c r="P260" i="18"/>
  <c r="P345" i="18" s="1"/>
  <c r="Y260" i="18"/>
  <c r="Y345" i="18" s="1"/>
  <c r="M260" i="18"/>
  <c r="M345" i="18" s="1"/>
  <c r="T260" i="18"/>
  <c r="T345" i="18" s="1"/>
  <c r="D260" i="18"/>
  <c r="S260" i="18"/>
  <c r="S345" i="18" s="1"/>
  <c r="AB260" i="18"/>
  <c r="AB345" i="18" s="1"/>
  <c r="AL260" i="18"/>
  <c r="AL345" i="18" s="1"/>
  <c r="K260" i="18"/>
  <c r="K345" i="18" s="1"/>
  <c r="AO260" i="18"/>
  <c r="AO345" i="18" s="1"/>
  <c r="U260" i="18"/>
  <c r="U345" i="18" s="1"/>
  <c r="AJ260" i="18"/>
  <c r="AJ345" i="18" s="1"/>
  <c r="Z260" i="18"/>
  <c r="Z345" i="18" s="1"/>
  <c r="AD260" i="18"/>
  <c r="AD345" i="18" s="1"/>
  <c r="H260" i="18"/>
  <c r="W260" i="18"/>
  <c r="W345" i="18" s="1"/>
  <c r="AQ260" i="18"/>
  <c r="V260" i="18"/>
  <c r="V345" i="18" s="1"/>
  <c r="CD225" i="18"/>
  <c r="CD228" i="18"/>
  <c r="CD222" i="18"/>
  <c r="CD223" i="18"/>
  <c r="CD229" i="18"/>
  <c r="CD226" i="18"/>
  <c r="CD227" i="18"/>
  <c r="CD224" i="18"/>
  <c r="CD230" i="18"/>
  <c r="CD221" i="18"/>
  <c r="CD231" i="18"/>
  <c r="CD220" i="18"/>
  <c r="CD219" i="18"/>
  <c r="CD217" i="18"/>
  <c r="CD216" i="18"/>
  <c r="CD218" i="18"/>
  <c r="AI224" i="18"/>
  <c r="CT226" i="18"/>
  <c r="R222" i="18"/>
  <c r="AI223" i="18"/>
  <c r="J224" i="18"/>
  <c r="AV221" i="18"/>
  <c r="CM222" i="18"/>
  <c r="BS223" i="18"/>
  <c r="E61" i="17"/>
  <c r="BJ226" i="18"/>
  <c r="CF225" i="18"/>
  <c r="S225" i="18"/>
  <c r="CA224" i="18"/>
  <c r="BF224" i="18"/>
  <c r="AJ224" i="18"/>
  <c r="O224" i="18"/>
  <c r="BU223" i="18"/>
  <c r="AO223" i="18"/>
  <c r="CQ222" i="18"/>
  <c r="AD222" i="18"/>
  <c r="AZ221" i="18"/>
  <c r="BR228" i="18"/>
  <c r="BF226" i="18"/>
  <c r="CA225" i="18"/>
  <c r="O225" i="18"/>
  <c r="BZ224" i="18"/>
  <c r="BD224" i="18"/>
  <c r="BN228" i="18"/>
  <c r="BB226" i="18"/>
  <c r="BW225" i="18"/>
  <c r="J225" i="18"/>
  <c r="BX224" i="18"/>
  <c r="BC224" i="18"/>
  <c r="AH224" i="18"/>
  <c r="L224" i="18"/>
  <c r="BQ223" i="18"/>
  <c r="AK223" i="18"/>
  <c r="CI222" i="18"/>
  <c r="V222" i="18"/>
  <c r="AR221" i="18"/>
  <c r="V228" i="18"/>
  <c r="AH226" i="18"/>
  <c r="BC225" i="18"/>
  <c r="CN224" i="18"/>
  <c r="BR224" i="18"/>
  <c r="AV224" i="18"/>
  <c r="BD221" i="18"/>
  <c r="AA223" i="18"/>
  <c r="CN223" i="18"/>
  <c r="AF221" i="18"/>
  <c r="BV222" i="18"/>
  <c r="BK223" i="18"/>
  <c r="AD224" i="18"/>
  <c r="CS227" i="18"/>
  <c r="E68" i="17"/>
  <c r="CQ225" i="18"/>
  <c r="E63" i="17"/>
  <c r="AJ230" i="18"/>
  <c r="CG230" i="18"/>
  <c r="AL230" i="18"/>
  <c r="CI230" i="18"/>
  <c r="AO230" i="18"/>
  <c r="CC230" i="18"/>
  <c r="AI230" i="18"/>
  <c r="CF230" i="18"/>
  <c r="AA229" i="18"/>
  <c r="CT224" i="18"/>
  <c r="CR230" i="18"/>
  <c r="AX222" i="18"/>
  <c r="AY223" i="18"/>
  <c r="V224" i="18"/>
  <c r="CB221" i="18"/>
  <c r="W223" i="18"/>
  <c r="CJ223" i="18"/>
  <c r="AX228" i="18"/>
  <c r="AT226" i="18"/>
  <c r="BO225" i="18"/>
  <c r="CR224" i="18"/>
  <c r="BV224" i="18"/>
  <c r="AZ224" i="18"/>
  <c r="AE224" i="18"/>
  <c r="CT223" i="18"/>
  <c r="BM223" i="18"/>
  <c r="AG223" i="18"/>
  <c r="BZ222" i="18"/>
  <c r="N222" i="18"/>
  <c r="AJ221" i="18"/>
  <c r="AL228" i="18"/>
  <c r="AP226" i="18"/>
  <c r="BK225" i="18"/>
  <c r="CQ224" i="18"/>
  <c r="BT224" i="18"/>
  <c r="AY224" i="18"/>
  <c r="AH228" i="18"/>
  <c r="AL226" i="18"/>
  <c r="BG225" i="18"/>
  <c r="CO224" i="18"/>
  <c r="BS224" i="18"/>
  <c r="AX224" i="18"/>
  <c r="AB224" i="18"/>
  <c r="CP223" i="18"/>
  <c r="BI223" i="18"/>
  <c r="AC223" i="18"/>
  <c r="BR222" i="18"/>
  <c r="CO221" i="18"/>
  <c r="AB221" i="18"/>
  <c r="CE226" i="18"/>
  <c r="R226" i="18"/>
  <c r="AM225" i="18"/>
  <c r="CI224" i="18"/>
  <c r="BL224" i="18"/>
  <c r="AQ224" i="18"/>
  <c r="AH222" i="18"/>
  <c r="AQ223" i="18"/>
  <c r="P224" i="18"/>
  <c r="BL221" i="18"/>
  <c r="O223" i="18"/>
  <c r="CA223" i="18"/>
  <c r="E64" i="17"/>
  <c r="CQ229" i="18"/>
  <c r="E59" i="17"/>
  <c r="AN230" i="18"/>
  <c r="BT230" i="18"/>
  <c r="CK230" i="18"/>
  <c r="BV230" i="18"/>
  <c r="CM230" i="18"/>
  <c r="CH230" i="18"/>
  <c r="AM230" i="18"/>
  <c r="AU229" i="18"/>
  <c r="X229" i="18"/>
  <c r="AN229" i="18"/>
  <c r="BD229" i="18"/>
  <c r="BT229" i="18"/>
  <c r="CK229" i="18"/>
  <c r="AC229" i="18"/>
  <c r="S229" i="18"/>
  <c r="CK221" i="18"/>
  <c r="CE222" i="18"/>
  <c r="AF224" i="18"/>
  <c r="AM223" i="18"/>
  <c r="R228" i="18"/>
  <c r="AY225" i="18"/>
  <c r="BP224" i="18"/>
  <c r="Z224" i="18"/>
  <c r="BE223" i="18"/>
  <c r="BJ222" i="18"/>
  <c r="T221" i="18"/>
  <c r="Z226" i="18"/>
  <c r="CK224" i="18"/>
  <c r="AT224" i="18"/>
  <c r="V226" i="18"/>
  <c r="CJ224" i="18"/>
  <c r="AR224" i="18"/>
  <c r="CH223" i="18"/>
  <c r="U223" i="18"/>
  <c r="BX221" i="18"/>
  <c r="BN226" i="18"/>
  <c r="W225" i="18"/>
  <c r="BG224" i="18"/>
  <c r="BN222" i="18"/>
  <c r="AA224" i="18"/>
  <c r="AE223" i="18"/>
  <c r="E66" i="17"/>
  <c r="E60" i="17"/>
  <c r="BX230" i="18"/>
  <c r="AG230" i="18"/>
  <c r="CE230" i="18"/>
  <c r="AK230" i="18"/>
  <c r="BY230" i="18"/>
  <c r="L229" i="18"/>
  <c r="AF229" i="18"/>
  <c r="AZ229" i="18"/>
  <c r="BX229" i="18"/>
  <c r="CS229" i="18"/>
  <c r="J229" i="18"/>
  <c r="AM229" i="18"/>
  <c r="BG229" i="18"/>
  <c r="BW229" i="18"/>
  <c r="CN229" i="18"/>
  <c r="U229" i="18"/>
  <c r="AO229" i="18"/>
  <c r="BI229" i="18"/>
  <c r="CC229" i="18"/>
  <c r="CT229" i="18"/>
  <c r="Z229" i="18"/>
  <c r="AP229" i="18"/>
  <c r="BF229" i="18"/>
  <c r="BV229" i="18"/>
  <c r="CM229" i="18"/>
  <c r="CH228" i="18"/>
  <c r="BQ228" i="18"/>
  <c r="BA228" i="18"/>
  <c r="AK228" i="18"/>
  <c r="U228" i="18"/>
  <c r="CO228" i="18"/>
  <c r="BX228" i="18"/>
  <c r="BH228" i="18"/>
  <c r="AR228" i="18"/>
  <c r="AB228" i="18"/>
  <c r="L228" i="18"/>
  <c r="CF228" i="18"/>
  <c r="BO228" i="18"/>
  <c r="AY228" i="18"/>
  <c r="AI228" i="18"/>
  <c r="S228" i="18"/>
  <c r="CM228" i="18"/>
  <c r="BV228" i="18"/>
  <c r="N228" i="18"/>
  <c r="Q227" i="18"/>
  <c r="AN221" i="18"/>
  <c r="BO223" i="18"/>
  <c r="Z222" i="18"/>
  <c r="N224" i="18"/>
  <c r="AD226" i="18"/>
  <c r="CM224" i="18"/>
  <c r="AU224" i="18"/>
  <c r="CL223" i="18"/>
  <c r="Y223" i="18"/>
  <c r="CG221" i="18"/>
  <c r="CM226" i="18"/>
  <c r="AU225" i="18"/>
  <c r="BO224" i="18"/>
  <c r="CI226" i="18"/>
  <c r="AQ225" i="18"/>
  <c r="BN224" i="18"/>
  <c r="W224" i="18"/>
  <c r="BA223" i="18"/>
  <c r="BB222" i="18"/>
  <c r="L221" i="18"/>
  <c r="CJ225" i="18"/>
  <c r="CB224" i="18"/>
  <c r="AL224" i="18"/>
  <c r="BG223" i="18"/>
  <c r="CS221" i="18"/>
  <c r="CR223" i="18"/>
  <c r="E69" i="17"/>
  <c r="E71" i="17"/>
  <c r="AB230" i="18"/>
  <c r="CO230" i="18"/>
  <c r="AH230" i="18"/>
  <c r="CP230" i="18"/>
  <c r="AA230" i="18"/>
  <c r="CN230" i="18"/>
  <c r="T229" i="18"/>
  <c r="AR229" i="18"/>
  <c r="BL229" i="18"/>
  <c r="CG229" i="18"/>
  <c r="AS229" i="18"/>
  <c r="AE229" i="18"/>
  <c r="AY229" i="18"/>
  <c r="BO229" i="18"/>
  <c r="CF229" i="18"/>
  <c r="AG229" i="18"/>
  <c r="BA229" i="18"/>
  <c r="BQ229" i="18"/>
  <c r="CL229" i="18"/>
  <c r="R229" i="18"/>
  <c r="AH229" i="18"/>
  <c r="AX229" i="18"/>
  <c r="BN229" i="18"/>
  <c r="CE229" i="18"/>
  <c r="CP228" i="18"/>
  <c r="BY228" i="18"/>
  <c r="BI228" i="18"/>
  <c r="AS228" i="18"/>
  <c r="AC228" i="18"/>
  <c r="M228" i="18"/>
  <c r="CG228" i="18"/>
  <c r="BP228" i="18"/>
  <c r="AZ228" i="18"/>
  <c r="AJ228" i="18"/>
  <c r="T228" i="18"/>
  <c r="CN228" i="18"/>
  <c r="BW228" i="18"/>
  <c r="BG228" i="18"/>
  <c r="AQ228" i="18"/>
  <c r="AA228" i="18"/>
  <c r="J228" i="18"/>
  <c r="CE228" i="18"/>
  <c r="AP228" i="18"/>
  <c r="AT228" i="18"/>
  <c r="Y227" i="18"/>
  <c r="AO227" i="18"/>
  <c r="BE227" i="18"/>
  <c r="BU227" i="18"/>
  <c r="CL227" i="18"/>
  <c r="R227" i="18"/>
  <c r="AH227" i="18"/>
  <c r="AX227" i="18"/>
  <c r="BN227" i="18"/>
  <c r="CT222" i="18"/>
  <c r="P221" i="18"/>
  <c r="BZ226" i="18"/>
  <c r="BK224" i="18"/>
  <c r="AW223" i="18"/>
  <c r="E62" i="17"/>
  <c r="CF224" i="18"/>
  <c r="CN225" i="18"/>
  <c r="AM224" i="18"/>
  <c r="M223" i="18"/>
  <c r="AX226" i="18"/>
  <c r="BB224" i="18"/>
  <c r="AN224" i="18"/>
  <c r="CS223" i="18"/>
  <c r="CB230" i="18"/>
  <c r="BZ230" i="18"/>
  <c r="CA230" i="18"/>
  <c r="AJ229" i="18"/>
  <c r="CB229" i="18"/>
  <c r="W229" i="18"/>
  <c r="BK229" i="18"/>
  <c r="CR229" i="18"/>
  <c r="AK229" i="18"/>
  <c r="BU229" i="18"/>
  <c r="V229" i="18"/>
  <c r="BB229" i="18"/>
  <c r="CI229" i="18"/>
  <c r="BU228" i="18"/>
  <c r="AO228" i="18"/>
  <c r="CS228" i="18"/>
  <c r="BL228" i="18"/>
  <c r="AF228" i="18"/>
  <c r="CJ228" i="18"/>
  <c r="BC228" i="18"/>
  <c r="W228" i="18"/>
  <c r="BZ228" i="18"/>
  <c r="BJ228" i="18"/>
  <c r="M227" i="18"/>
  <c r="AK227" i="18"/>
  <c r="BI227" i="18"/>
  <c r="CC227" i="18"/>
  <c r="N227" i="18"/>
  <c r="AL227" i="18"/>
  <c r="BF227" i="18"/>
  <c r="BZ227" i="18"/>
  <c r="CQ227" i="18"/>
  <c r="S227" i="18"/>
  <c r="AI227" i="18"/>
  <c r="AY227" i="18"/>
  <c r="BO227" i="18"/>
  <c r="CF227" i="18"/>
  <c r="L227" i="18"/>
  <c r="AB227" i="18"/>
  <c r="AR227" i="18"/>
  <c r="BH227" i="18"/>
  <c r="BX227" i="18"/>
  <c r="CO227" i="18"/>
  <c r="S226" i="18"/>
  <c r="AI226" i="18"/>
  <c r="AY226" i="18"/>
  <c r="BO226" i="18"/>
  <c r="CF226" i="18"/>
  <c r="L226" i="18"/>
  <c r="AB226" i="18"/>
  <c r="AR226" i="18"/>
  <c r="BH226" i="18"/>
  <c r="BX226" i="18"/>
  <c r="CO226" i="18"/>
  <c r="U226" i="18"/>
  <c r="AK226" i="18"/>
  <c r="BA226" i="18"/>
  <c r="BQ226" i="18"/>
  <c r="CH226" i="18"/>
  <c r="P225" i="18"/>
  <c r="AF225" i="18"/>
  <c r="AV225" i="18"/>
  <c r="BL225" i="18"/>
  <c r="CB225" i="18"/>
  <c r="CS225" i="18"/>
  <c r="Y225" i="18"/>
  <c r="AO225" i="18"/>
  <c r="S223" i="18"/>
  <c r="BC223" i="18"/>
  <c r="AI225" i="18"/>
  <c r="T224" i="18"/>
  <c r="AT222" i="18"/>
  <c r="CR225" i="18"/>
  <c r="E72" i="17"/>
  <c r="E30" i="17" s="1"/>
  <c r="CE224" i="18"/>
  <c r="BY223" i="18"/>
  <c r="BH221" i="18"/>
  <c r="CS224" i="18"/>
  <c r="J223" i="18"/>
  <c r="AU223" i="18"/>
  <c r="CQ221" i="18"/>
  <c r="P229" i="18"/>
  <c r="BH229" i="18"/>
  <c r="Q229" i="18"/>
  <c r="AQ229" i="18"/>
  <c r="CA229" i="18"/>
  <c r="M229" i="18"/>
  <c r="BE229" i="18"/>
  <c r="CP229" i="18"/>
  <c r="AL229" i="18"/>
  <c r="BR229" i="18"/>
  <c r="CL228" i="18"/>
  <c r="BE228" i="18"/>
  <c r="Y228" i="18"/>
  <c r="CB228" i="18"/>
  <c r="AV228" i="18"/>
  <c r="P228" i="18"/>
  <c r="BS228" i="18"/>
  <c r="AM228" i="18"/>
  <c r="CQ228" i="18"/>
  <c r="BF228" i="18"/>
  <c r="AC227" i="18"/>
  <c r="AW227" i="18"/>
  <c r="BQ227" i="18"/>
  <c r="CP227" i="18"/>
  <c r="Z227" i="18"/>
  <c r="AT227" i="18"/>
  <c r="BR227" i="18"/>
  <c r="CI227" i="18"/>
  <c r="J227" i="18"/>
  <c r="AA227" i="18"/>
  <c r="AQ227" i="18"/>
  <c r="BG227" i="18"/>
  <c r="BW227" i="18"/>
  <c r="CN227" i="18"/>
  <c r="T227" i="18"/>
  <c r="AJ227" i="18"/>
  <c r="AZ227" i="18"/>
  <c r="BP227" i="18"/>
  <c r="CG227" i="18"/>
  <c r="J226" i="18"/>
  <c r="AA226" i="18"/>
  <c r="AQ226" i="18"/>
  <c r="BG226" i="18"/>
  <c r="BW226" i="18"/>
  <c r="CN226" i="18"/>
  <c r="T226" i="18"/>
  <c r="AJ226" i="18"/>
  <c r="AZ226" i="18"/>
  <c r="BP226" i="18"/>
  <c r="CG226" i="18"/>
  <c r="M226" i="18"/>
  <c r="AC226" i="18"/>
  <c r="AS226" i="18"/>
  <c r="BI226" i="18"/>
  <c r="BY226" i="18"/>
  <c r="CP226" i="18"/>
  <c r="X225" i="18"/>
  <c r="AN225" i="18"/>
  <c r="BD225" i="18"/>
  <c r="BT225" i="18"/>
  <c r="CK225" i="18"/>
  <c r="Q225" i="18"/>
  <c r="AG225" i="18"/>
  <c r="AW225" i="18"/>
  <c r="BM225" i="18"/>
  <c r="CC225" i="18"/>
  <c r="CT225" i="18"/>
  <c r="Z225" i="18"/>
  <c r="AP225" i="18"/>
  <c r="BF225" i="18"/>
  <c r="BV225" i="18"/>
  <c r="CM225" i="18"/>
  <c r="BT221" i="18"/>
  <c r="N226" i="18"/>
  <c r="Q223" i="18"/>
  <c r="BJ224" i="18"/>
  <c r="R224" i="18"/>
  <c r="BS225" i="18"/>
  <c r="AP222" i="18"/>
  <c r="AF230" i="18"/>
  <c r="AD230" i="18"/>
  <c r="AC230" i="18"/>
  <c r="BP229" i="18"/>
  <c r="BC229" i="18"/>
  <c r="Y229" i="18"/>
  <c r="N229" i="18"/>
  <c r="BZ229" i="18"/>
  <c r="AW228" i="18"/>
  <c r="BT228" i="18"/>
  <c r="CR228" i="18"/>
  <c r="AE228" i="18"/>
  <c r="AD228" i="18"/>
  <c r="U227" i="18"/>
  <c r="BM227" i="18"/>
  <c r="V227" i="18"/>
  <c r="BJ227" i="18"/>
  <c r="E70" i="17"/>
  <c r="AM227" i="18"/>
  <c r="BS227" i="18"/>
  <c r="P227" i="18"/>
  <c r="AV227" i="18"/>
  <c r="CB227" i="18"/>
  <c r="W226" i="18"/>
  <c r="BC226" i="18"/>
  <c r="CJ226" i="18"/>
  <c r="AF226" i="18"/>
  <c r="BL226" i="18"/>
  <c r="CS226" i="18"/>
  <c r="AO226" i="18"/>
  <c r="BU226" i="18"/>
  <c r="T225" i="18"/>
  <c r="AZ225" i="18"/>
  <c r="CG225" i="18"/>
  <c r="AC225" i="18"/>
  <c r="BE225" i="18"/>
  <c r="BY225" i="18"/>
  <c r="N225" i="18"/>
  <c r="AH225" i="18"/>
  <c r="BB225" i="18"/>
  <c r="BZ225" i="18"/>
  <c r="M224" i="18"/>
  <c r="AC224" i="18"/>
  <c r="AS224" i="18"/>
  <c r="BI224" i="18"/>
  <c r="BY224" i="18"/>
  <c r="CP224" i="18"/>
  <c r="V223" i="18"/>
  <c r="AL223" i="18"/>
  <c r="BB223" i="18"/>
  <c r="BR223" i="18"/>
  <c r="CI223" i="18"/>
  <c r="P223" i="18"/>
  <c r="AF223" i="18"/>
  <c r="AV223" i="18"/>
  <c r="BL223" i="18"/>
  <c r="CB223" i="18"/>
  <c r="W222" i="18"/>
  <c r="AM222" i="18"/>
  <c r="BC222" i="18"/>
  <c r="BS222" i="18"/>
  <c r="CJ222" i="18"/>
  <c r="L222" i="18"/>
  <c r="AB222" i="18"/>
  <c r="AR222" i="18"/>
  <c r="BH222" i="18"/>
  <c r="BX222" i="18"/>
  <c r="CO222" i="18"/>
  <c r="U222" i="18"/>
  <c r="AK222" i="18"/>
  <c r="BA222" i="18"/>
  <c r="BQ222" i="18"/>
  <c r="CH222" i="18"/>
  <c r="W221" i="18"/>
  <c r="BC221" i="18"/>
  <c r="CJ221" i="18"/>
  <c r="AA221" i="18"/>
  <c r="BG221" i="18"/>
  <c r="CN221" i="18"/>
  <c r="AO221" i="18"/>
  <c r="CC221" i="18"/>
  <c r="Y221" i="18"/>
  <c r="BE221" i="18"/>
  <c r="CH221" i="18"/>
  <c r="R221" i="18"/>
  <c r="AH221" i="18"/>
  <c r="AX221" i="18"/>
  <c r="BN221" i="18"/>
  <c r="CE221" i="18"/>
  <c r="CF223" i="18"/>
  <c r="CG224" i="18"/>
  <c r="BP221" i="18"/>
  <c r="BR226" i="18"/>
  <c r="AS223" i="18"/>
  <c r="BW224" i="18"/>
  <c r="S224" i="18"/>
  <c r="BU230" i="18"/>
  <c r="O229" i="18"/>
  <c r="CO229" i="18"/>
  <c r="BS229" i="18"/>
  <c r="AW229" i="18"/>
  <c r="AD229" i="18"/>
  <c r="CT228" i="18"/>
  <c r="AG228" i="18"/>
  <c r="BD228" i="18"/>
  <c r="CA228" i="18"/>
  <c r="O228" i="18"/>
  <c r="AG227" i="18"/>
  <c r="BY227" i="18"/>
  <c r="AD227" i="18"/>
  <c r="BV227" i="18"/>
  <c r="O227" i="18"/>
  <c r="AU227" i="18"/>
  <c r="CA227" i="18"/>
  <c r="X227" i="18"/>
  <c r="BD227" i="18"/>
  <c r="CK227" i="18"/>
  <c r="AE226" i="18"/>
  <c r="BK226" i="18"/>
  <c r="CR226" i="18"/>
  <c r="AN226" i="18"/>
  <c r="BT226" i="18"/>
  <c r="Q226" i="18"/>
  <c r="AW226" i="18"/>
  <c r="CC226" i="18"/>
  <c r="AB225" i="18"/>
  <c r="BH225" i="18"/>
  <c r="CO225" i="18"/>
  <c r="AK225" i="18"/>
  <c r="BI225" i="18"/>
  <c r="CH225" i="18"/>
  <c r="R225" i="18"/>
  <c r="AL225" i="18"/>
  <c r="BJ225" i="18"/>
  <c r="CE225" i="18"/>
  <c r="Q224" i="18"/>
  <c r="AG224" i="18"/>
  <c r="AW224" i="18"/>
  <c r="BM224" i="18"/>
  <c r="CC224" i="18"/>
  <c r="Z223" i="18"/>
  <c r="AP223" i="18"/>
  <c r="BF223" i="18"/>
  <c r="BV223" i="18"/>
  <c r="CM223" i="18"/>
  <c r="T223" i="18"/>
  <c r="AJ223" i="18"/>
  <c r="AZ223" i="18"/>
  <c r="BP223" i="18"/>
  <c r="CG223" i="18"/>
  <c r="J222" i="18"/>
  <c r="AA222" i="18"/>
  <c r="AQ222" i="18"/>
  <c r="BG222" i="18"/>
  <c r="BW222" i="18"/>
  <c r="CN222" i="18"/>
  <c r="P222" i="18"/>
  <c r="AF222" i="18"/>
  <c r="BF222" i="18"/>
  <c r="AP224" i="18"/>
  <c r="BV226" i="18"/>
  <c r="AA225" i="18"/>
  <c r="AL222" i="18"/>
  <c r="X221" i="18"/>
  <c r="E65" i="17"/>
  <c r="CS230" i="18"/>
  <c r="CQ230" i="18"/>
  <c r="AB229" i="18"/>
  <c r="BY229" i="18"/>
  <c r="CJ229" i="18"/>
  <c r="BM229" i="18"/>
  <c r="AT229" i="18"/>
  <c r="CC228" i="18"/>
  <c r="Q228" i="18"/>
  <c r="AN228" i="18"/>
  <c r="BK228" i="18"/>
  <c r="CI228" i="18"/>
  <c r="AS227" i="18"/>
  <c r="CH227" i="18"/>
  <c r="AP227" i="18"/>
  <c r="CE227" i="18"/>
  <c r="W227" i="18"/>
  <c r="BC227" i="18"/>
  <c r="CJ227" i="18"/>
  <c r="AF227" i="18"/>
  <c r="BL227" i="18"/>
  <c r="CQ226" i="18"/>
  <c r="AM226" i="18"/>
  <c r="BS226" i="18"/>
  <c r="P226" i="18"/>
  <c r="AV226" i="18"/>
  <c r="CB226" i="18"/>
  <c r="Y226" i="18"/>
  <c r="BE226" i="18"/>
  <c r="CL226" i="18"/>
  <c r="AJ225" i="18"/>
  <c r="BP225" i="18"/>
  <c r="M225" i="18"/>
  <c r="AS225" i="18"/>
  <c r="BQ225" i="18"/>
  <c r="CL225" i="18"/>
  <c r="V225" i="18"/>
  <c r="AT225" i="18"/>
  <c r="BN225" i="18"/>
  <c r="CI225" i="18"/>
  <c r="U224" i="18"/>
  <c r="AK224" i="18"/>
  <c r="BA224" i="18"/>
  <c r="BQ224" i="18"/>
  <c r="CH224" i="18"/>
  <c r="N223" i="18"/>
  <c r="AD223" i="18"/>
  <c r="AT223" i="18"/>
  <c r="BJ223" i="18"/>
  <c r="BZ223" i="18"/>
  <c r="CQ223" i="18"/>
  <c r="X223" i="18"/>
  <c r="AN223" i="18"/>
  <c r="BD223" i="18"/>
  <c r="BT223" i="18"/>
  <c r="CK223" i="18"/>
  <c r="O222" i="18"/>
  <c r="AE222" i="18"/>
  <c r="AU222" i="18"/>
  <c r="BK222" i="18"/>
  <c r="CA222" i="18"/>
  <c r="CR222" i="18"/>
  <c r="T222" i="18"/>
  <c r="AJ222" i="18"/>
  <c r="AZ222" i="18"/>
  <c r="BP222" i="18"/>
  <c r="CG222" i="18"/>
  <c r="M222" i="18"/>
  <c r="AC222" i="18"/>
  <c r="AS222" i="18"/>
  <c r="BI222" i="18"/>
  <c r="BY222" i="18"/>
  <c r="CP222" i="18"/>
  <c r="AM221" i="18"/>
  <c r="BS221" i="18"/>
  <c r="J221" i="18"/>
  <c r="AQ221" i="18"/>
  <c r="BW221" i="18"/>
  <c r="AC221" i="18"/>
  <c r="BI221" i="18"/>
  <c r="M221" i="18"/>
  <c r="AS221" i="18"/>
  <c r="BU221" i="18"/>
  <c r="CT221" i="18"/>
  <c r="Z221" i="18"/>
  <c r="AP221" i="18"/>
  <c r="BF221" i="18"/>
  <c r="BV221" i="18"/>
  <c r="CM221" i="18"/>
  <c r="X224" i="18"/>
  <c r="CC223" i="18"/>
  <c r="AE225" i="18"/>
  <c r="BH224" i="18"/>
  <c r="BB228" i="18"/>
  <c r="BW223" i="18"/>
  <c r="E67" i="17"/>
  <c r="AE230" i="18"/>
  <c r="AV229" i="18"/>
  <c r="AI229" i="18"/>
  <c r="CH229" i="18"/>
  <c r="BJ229" i="18"/>
  <c r="BM228" i="18"/>
  <c r="CK228" i="18"/>
  <c r="X228" i="18"/>
  <c r="AU228" i="18"/>
  <c r="Z228" i="18"/>
  <c r="BA227" i="18"/>
  <c r="CT227" i="18"/>
  <c r="BB227" i="18"/>
  <c r="CM227" i="18"/>
  <c r="AE227" i="18"/>
  <c r="BK227" i="18"/>
  <c r="CR227" i="18"/>
  <c r="AN227" i="18"/>
  <c r="BT227" i="18"/>
  <c r="O226" i="18"/>
  <c r="AU226" i="18"/>
  <c r="CA226" i="18"/>
  <c r="X226" i="18"/>
  <c r="BD226" i="18"/>
  <c r="CK226" i="18"/>
  <c r="AG226" i="18"/>
  <c r="BM226" i="18"/>
  <c r="L225" i="18"/>
  <c r="AR225" i="18"/>
  <c r="BX225" i="18"/>
  <c r="U225" i="18"/>
  <c r="BA225" i="18"/>
  <c r="BU225" i="18"/>
  <c r="CP225" i="18"/>
  <c r="AD225" i="18"/>
  <c r="AX225" i="18"/>
  <c r="BR225" i="18"/>
  <c r="Y224" i="18"/>
  <c r="AO224" i="18"/>
  <c r="BE224" i="18"/>
  <c r="BU224" i="18"/>
  <c r="CL224" i="18"/>
  <c r="R223" i="18"/>
  <c r="AH223" i="18"/>
  <c r="AX223" i="18"/>
  <c r="BN223" i="18"/>
  <c r="CE223" i="18"/>
  <c r="L223" i="18"/>
  <c r="AB223" i="18"/>
  <c r="AR223" i="18"/>
  <c r="BH223" i="18"/>
  <c r="BX223" i="18"/>
  <c r="CO223" i="18"/>
  <c r="S222" i="18"/>
  <c r="AI222" i="18"/>
  <c r="AY222" i="18"/>
  <c r="BO222" i="18"/>
  <c r="CF222" i="18"/>
  <c r="X222" i="18"/>
  <c r="AN222" i="18"/>
  <c r="BD222" i="18"/>
  <c r="BT222" i="18"/>
  <c r="CK222" i="18"/>
  <c r="Q222" i="18"/>
  <c r="AG222" i="18"/>
  <c r="BL222" i="18"/>
  <c r="AO222" i="18"/>
  <c r="BU222" i="18"/>
  <c r="AE221" i="18"/>
  <c r="CR221" i="18"/>
  <c r="BO221" i="18"/>
  <c r="AW221" i="18"/>
  <c r="AG221" i="18"/>
  <c r="CL221" i="18"/>
  <c r="AL221" i="18"/>
  <c r="BR221" i="18"/>
  <c r="CB222" i="18"/>
  <c r="AW222" i="18"/>
  <c r="CC222" i="18"/>
  <c r="AU221" i="18"/>
  <c r="S221" i="18"/>
  <c r="CF221" i="18"/>
  <c r="BQ221" i="18"/>
  <c r="BA221" i="18"/>
  <c r="N221" i="18"/>
  <c r="AT221" i="18"/>
  <c r="BZ221" i="18"/>
  <c r="CS222" i="18"/>
  <c r="BE222" i="18"/>
  <c r="CL222" i="18"/>
  <c r="BK221" i="18"/>
  <c r="AI221" i="18"/>
  <c r="Q221" i="18"/>
  <c r="CP221" i="18"/>
  <c r="BM221" i="18"/>
  <c r="V221" i="18"/>
  <c r="BB221" i="18"/>
  <c r="CI221" i="18"/>
  <c r="AV222" i="18"/>
  <c r="Y222" i="18"/>
  <c r="BM222" i="18"/>
  <c r="O221" i="18"/>
  <c r="CA221" i="18"/>
  <c r="AY221" i="18"/>
  <c r="AK221" i="18"/>
  <c r="U221" i="18"/>
  <c r="BY221" i="18"/>
  <c r="AD221" i="18"/>
  <c r="BJ221" i="18"/>
  <c r="DN83" i="18"/>
  <c r="DJ83" i="18"/>
  <c r="DF83" i="18"/>
  <c r="DM83" i="18"/>
  <c r="DH83" i="18"/>
  <c r="DL83" i="18"/>
  <c r="DG83" i="18"/>
  <c r="DK83" i="18"/>
  <c r="DE83" i="18"/>
  <c r="DI83" i="18"/>
  <c r="DN79" i="18"/>
  <c r="DJ79" i="18"/>
  <c r="DF79" i="18"/>
  <c r="DK79" i="18"/>
  <c r="DE79" i="18"/>
  <c r="DI79" i="18"/>
  <c r="DM79" i="18"/>
  <c r="DH79" i="18"/>
  <c r="DL79" i="18"/>
  <c r="DG79" i="18"/>
  <c r="DN51" i="18"/>
  <c r="DJ51" i="18"/>
  <c r="DF51" i="18"/>
  <c r="DK51" i="18"/>
  <c r="DE51" i="18"/>
  <c r="DI51" i="18"/>
  <c r="DM51" i="18"/>
  <c r="DH51" i="18"/>
  <c r="DL51" i="18"/>
  <c r="DG51" i="18"/>
  <c r="DN47" i="18"/>
  <c r="DJ47" i="18"/>
  <c r="DF47" i="18"/>
  <c r="DM47" i="18"/>
  <c r="DH47" i="18"/>
  <c r="DL47" i="18"/>
  <c r="DG47" i="18"/>
  <c r="DK47" i="18"/>
  <c r="DE47" i="18"/>
  <c r="DI47" i="18"/>
  <c r="DN119" i="18"/>
  <c r="DJ119" i="18"/>
  <c r="DF119" i="18"/>
  <c r="DM119" i="18"/>
  <c r="DI119" i="18"/>
  <c r="DE119" i="18"/>
  <c r="DL119" i="18"/>
  <c r="DK119" i="18"/>
  <c r="DH119" i="18"/>
  <c r="DG119" i="18"/>
  <c r="DN115" i="18"/>
  <c r="DJ115" i="18"/>
  <c r="DF115" i="18"/>
  <c r="DK115" i="18"/>
  <c r="DE115" i="18"/>
  <c r="DI115" i="18"/>
  <c r="DM115" i="18"/>
  <c r="DH115" i="18"/>
  <c r="DL115" i="18"/>
  <c r="DG115" i="18"/>
  <c r="DN87" i="18"/>
  <c r="DJ87" i="18"/>
  <c r="DF87" i="18"/>
  <c r="DK87" i="18"/>
  <c r="DE87" i="18"/>
  <c r="DI87" i="18"/>
  <c r="DM87" i="18"/>
  <c r="DH87" i="18"/>
  <c r="DL87" i="18"/>
  <c r="DG87" i="18"/>
  <c r="DM163" i="18"/>
  <c r="DI163" i="18"/>
  <c r="DE163" i="18"/>
  <c r="DN163" i="18"/>
  <c r="DH163" i="18"/>
  <c r="DL163" i="18"/>
  <c r="DF163" i="18"/>
  <c r="DK163" i="18"/>
  <c r="DJ163" i="18"/>
  <c r="DG163" i="18"/>
  <c r="DM155" i="18"/>
  <c r="DI155" i="18"/>
  <c r="DK155" i="18"/>
  <c r="DF155" i="18"/>
  <c r="DJ155" i="18"/>
  <c r="DE155" i="18"/>
  <c r="DN155" i="18"/>
  <c r="DL155" i="18"/>
  <c r="DH155" i="18"/>
  <c r="DG155" i="18"/>
  <c r="DN131" i="18"/>
  <c r="DJ131" i="18"/>
  <c r="DF131" i="18"/>
  <c r="DM131" i="18"/>
  <c r="DI131" i="18"/>
  <c r="DE131" i="18"/>
  <c r="DL131" i="18"/>
  <c r="DK131" i="18"/>
  <c r="DH131" i="18"/>
  <c r="DG131" i="18"/>
  <c r="DN127" i="18"/>
  <c r="DJ127" i="18"/>
  <c r="DF127" i="18"/>
  <c r="DM127" i="18"/>
  <c r="DI127" i="18"/>
  <c r="DE127" i="18"/>
  <c r="DL127" i="18"/>
  <c r="DK127" i="18"/>
  <c r="DH127" i="18"/>
  <c r="DG127" i="18"/>
  <c r="DM199" i="18"/>
  <c r="DI199" i="18"/>
  <c r="DE199" i="18"/>
  <c r="DN199" i="18"/>
  <c r="DH199" i="18"/>
  <c r="DJ199" i="18"/>
  <c r="DG199" i="18"/>
  <c r="DF199" i="18"/>
  <c r="DL199" i="18"/>
  <c r="DK199" i="18"/>
  <c r="DM195" i="18"/>
  <c r="DI195" i="18"/>
  <c r="DE195" i="18"/>
  <c r="DK195" i="18"/>
  <c r="DF195" i="18"/>
  <c r="DN195" i="18"/>
  <c r="DG195" i="18"/>
  <c r="DL195" i="18"/>
  <c r="DJ195" i="18"/>
  <c r="DH195" i="18"/>
  <c r="DM171" i="18"/>
  <c r="DI171" i="18"/>
  <c r="DE171" i="18"/>
  <c r="DN171" i="18"/>
  <c r="DH171" i="18"/>
  <c r="DK171" i="18"/>
  <c r="DJ171" i="18"/>
  <c r="DL171" i="18"/>
  <c r="DG171" i="18"/>
  <c r="DF171" i="18"/>
  <c r="DL82" i="18"/>
  <c r="DH82" i="18"/>
  <c r="DM82" i="18"/>
  <c r="DG82" i="18"/>
  <c r="DK82" i="18"/>
  <c r="DF82" i="18"/>
  <c r="DJ82" i="18"/>
  <c r="DE82" i="18"/>
  <c r="DN82" i="18"/>
  <c r="DI82" i="18"/>
  <c r="DL78" i="18"/>
  <c r="DH78" i="18"/>
  <c r="DJ78" i="18"/>
  <c r="DE78" i="18"/>
  <c r="DN78" i="18"/>
  <c r="DI78" i="18"/>
  <c r="DM78" i="18"/>
  <c r="DG78" i="18"/>
  <c r="DK78" i="18"/>
  <c r="DF78" i="18"/>
  <c r="DL50" i="18"/>
  <c r="DH50" i="18"/>
  <c r="DJ50" i="18"/>
  <c r="DE50" i="18"/>
  <c r="DN50" i="18"/>
  <c r="DI50" i="18"/>
  <c r="DM50" i="18"/>
  <c r="DG50" i="18"/>
  <c r="DK50" i="18"/>
  <c r="DF50" i="18"/>
  <c r="DL46" i="18"/>
  <c r="DH46" i="18"/>
  <c r="DM46" i="18"/>
  <c r="DG46" i="18"/>
  <c r="DK46" i="18"/>
  <c r="DF46" i="18"/>
  <c r="DJ46" i="18"/>
  <c r="DE46" i="18"/>
  <c r="DN46" i="18"/>
  <c r="DI46" i="18"/>
  <c r="DL118" i="18"/>
  <c r="DH118" i="18"/>
  <c r="DK118" i="18"/>
  <c r="DG118" i="18"/>
  <c r="DN118" i="18"/>
  <c r="DF118" i="18"/>
  <c r="DM118" i="18"/>
  <c r="DE118" i="18"/>
  <c r="DJ118" i="18"/>
  <c r="DI118" i="18"/>
  <c r="DL114" i="18"/>
  <c r="DH114" i="18"/>
  <c r="DJ114" i="18"/>
  <c r="DE114" i="18"/>
  <c r="DN114" i="18"/>
  <c r="DI114" i="18"/>
  <c r="DM114" i="18"/>
  <c r="DG114" i="18"/>
  <c r="DK114" i="18"/>
  <c r="DF114" i="18"/>
  <c r="DL86" i="18"/>
  <c r="DH86" i="18"/>
  <c r="DJ86" i="18"/>
  <c r="DE86" i="18"/>
  <c r="DN86" i="18"/>
  <c r="DI86" i="18"/>
  <c r="DM86" i="18"/>
  <c r="DG86" i="18"/>
  <c r="DK86" i="18"/>
  <c r="DF86" i="18"/>
  <c r="DK162" i="18"/>
  <c r="DG162" i="18"/>
  <c r="DJ162" i="18"/>
  <c r="DE162" i="18"/>
  <c r="DN162" i="18"/>
  <c r="DI162" i="18"/>
  <c r="DH162" i="18"/>
  <c r="DF162" i="18"/>
  <c r="DM162" i="18"/>
  <c r="DL162" i="18"/>
  <c r="DL154" i="18"/>
  <c r="DH154" i="18"/>
  <c r="DK154" i="18"/>
  <c r="DG154" i="18"/>
  <c r="DN154" i="18"/>
  <c r="DF154" i="18"/>
  <c r="DM154" i="18"/>
  <c r="DE154" i="18"/>
  <c r="DJ154" i="18"/>
  <c r="DI154" i="18"/>
  <c r="DL130" i="18"/>
  <c r="DH130" i="18"/>
  <c r="DK130" i="18"/>
  <c r="DG130" i="18"/>
  <c r="DN130" i="18"/>
  <c r="DF130" i="18"/>
  <c r="DM130" i="18"/>
  <c r="DE130" i="18"/>
  <c r="DJ130" i="18"/>
  <c r="DI130" i="18"/>
  <c r="DK202" i="18"/>
  <c r="DK240" i="18" s="1"/>
  <c r="DG202" i="18"/>
  <c r="DG240" i="18" s="1"/>
  <c r="DJ202" i="18"/>
  <c r="DJ240" i="18" s="1"/>
  <c r="DE202" i="18"/>
  <c r="DE240" i="18" s="1"/>
  <c r="DN202" i="18"/>
  <c r="DN240" i="18" s="1"/>
  <c r="DH202" i="18"/>
  <c r="DH240" i="18" s="1"/>
  <c r="DM202" i="18"/>
  <c r="DM240" i="18" s="1"/>
  <c r="DF202" i="18"/>
  <c r="DF240" i="18" s="1"/>
  <c r="DL202" i="18"/>
  <c r="DL240" i="18" s="1"/>
  <c r="DI202" i="18"/>
  <c r="DI240" i="18" s="1"/>
  <c r="DK198" i="18"/>
  <c r="DG198" i="18"/>
  <c r="DM198" i="18"/>
  <c r="DH198" i="18"/>
  <c r="DL198" i="18"/>
  <c r="DE198" i="18"/>
  <c r="DJ198" i="18"/>
  <c r="DN198" i="18"/>
  <c r="DI198" i="18"/>
  <c r="DF198" i="18"/>
  <c r="DK194" i="18"/>
  <c r="DG194" i="18"/>
  <c r="DJ194" i="18"/>
  <c r="DE194" i="18"/>
  <c r="DI194" i="18"/>
  <c r="DN194" i="18"/>
  <c r="DH194" i="18"/>
  <c r="DM194" i="18"/>
  <c r="DL194" i="18"/>
  <c r="DF194" i="18"/>
  <c r="DK170" i="18"/>
  <c r="DG170" i="18"/>
  <c r="DM170" i="18"/>
  <c r="DH170" i="18"/>
  <c r="DN170" i="18"/>
  <c r="DF170" i="18"/>
  <c r="DL170" i="18"/>
  <c r="DE170" i="18"/>
  <c r="DJ170" i="18"/>
  <c r="DI170" i="18"/>
  <c r="DN75" i="18"/>
  <c r="DJ75" i="18"/>
  <c r="DF75" i="18"/>
  <c r="DM75" i="18"/>
  <c r="DH75" i="18"/>
  <c r="DL75" i="18"/>
  <c r="DG75" i="18"/>
  <c r="DK75" i="18"/>
  <c r="DE75" i="18"/>
  <c r="DI75" i="18"/>
  <c r="DN123" i="18"/>
  <c r="DJ123" i="18"/>
  <c r="DF123" i="18"/>
  <c r="DM123" i="18"/>
  <c r="DI123" i="18"/>
  <c r="DE123" i="18"/>
  <c r="DL123" i="18"/>
  <c r="DK123" i="18"/>
  <c r="DH123" i="18"/>
  <c r="DG123" i="18"/>
  <c r="DN91" i="18"/>
  <c r="DJ91" i="18"/>
  <c r="DF91" i="18"/>
  <c r="DM91" i="18"/>
  <c r="DH91" i="18"/>
  <c r="DL91" i="18"/>
  <c r="DG91" i="18"/>
  <c r="DK91" i="18"/>
  <c r="DE91" i="18"/>
  <c r="DI91" i="18"/>
  <c r="DM159" i="18"/>
  <c r="DI159" i="18"/>
  <c r="DE159" i="18"/>
  <c r="DN159" i="18"/>
  <c r="DH159" i="18"/>
  <c r="DL159" i="18"/>
  <c r="DG159" i="18"/>
  <c r="DF159" i="18"/>
  <c r="DK159" i="18"/>
  <c r="DJ159" i="18"/>
  <c r="DM203" i="18"/>
  <c r="DI203" i="18"/>
  <c r="DE203" i="18"/>
  <c r="DK203" i="18"/>
  <c r="DF203" i="18"/>
  <c r="DL203" i="18"/>
  <c r="DJ203" i="18"/>
  <c r="DH203" i="18"/>
  <c r="DG203" i="18"/>
  <c r="DN203" i="18"/>
  <c r="DM167" i="18"/>
  <c r="DI167" i="18"/>
  <c r="DE167" i="18"/>
  <c r="DK167" i="18"/>
  <c r="DF167" i="18"/>
  <c r="DH167" i="18"/>
  <c r="DN167" i="18"/>
  <c r="DG167" i="18"/>
  <c r="DL167" i="18"/>
  <c r="DJ167" i="18"/>
  <c r="DL74" i="18"/>
  <c r="DH74" i="18"/>
  <c r="DM74" i="18"/>
  <c r="DG74" i="18"/>
  <c r="DK74" i="18"/>
  <c r="DF74" i="18"/>
  <c r="DJ74" i="18"/>
  <c r="DE74" i="18"/>
  <c r="DN74" i="18"/>
  <c r="DI74" i="18"/>
  <c r="DL122" i="18"/>
  <c r="DH122" i="18"/>
  <c r="DK122" i="18"/>
  <c r="DG122" i="18"/>
  <c r="DN122" i="18"/>
  <c r="DF122" i="18"/>
  <c r="DM122" i="18"/>
  <c r="DE122" i="18"/>
  <c r="DJ122" i="18"/>
  <c r="DI122" i="18"/>
  <c r="DL90" i="18"/>
  <c r="DH90" i="18"/>
  <c r="DM90" i="18"/>
  <c r="DG90" i="18"/>
  <c r="DK90" i="18"/>
  <c r="DF90" i="18"/>
  <c r="DJ90" i="18"/>
  <c r="DE90" i="18"/>
  <c r="DN90" i="18"/>
  <c r="DI90" i="18"/>
  <c r="DK158" i="18"/>
  <c r="DG158" i="18"/>
  <c r="DM158" i="18"/>
  <c r="DH158" i="18"/>
  <c r="DL158" i="18"/>
  <c r="DF158" i="18"/>
  <c r="DE158" i="18"/>
  <c r="DN158" i="18"/>
  <c r="DJ158" i="18"/>
  <c r="DI158" i="18"/>
  <c r="DL126" i="18"/>
  <c r="DH126" i="18"/>
  <c r="DK126" i="18"/>
  <c r="DG126" i="18"/>
  <c r="DN126" i="18"/>
  <c r="DF126" i="18"/>
  <c r="DM126" i="18"/>
  <c r="DE126" i="18"/>
  <c r="DJ126" i="18"/>
  <c r="DI126" i="18"/>
  <c r="DK166" i="18"/>
  <c r="DK250" i="18" s="1"/>
  <c r="DG166" i="18"/>
  <c r="DG250" i="18" s="1"/>
  <c r="DJ166" i="18"/>
  <c r="DJ250" i="18" s="1"/>
  <c r="DE166" i="18"/>
  <c r="DE250" i="18" s="1"/>
  <c r="DL166" i="18"/>
  <c r="DL250" i="18" s="1"/>
  <c r="DI166" i="18"/>
  <c r="DI250" i="18" s="1"/>
  <c r="DH166" i="18"/>
  <c r="DH250" i="18" s="1"/>
  <c r="DF166" i="18"/>
  <c r="DF250" i="18" s="1"/>
  <c r="DN166" i="18"/>
  <c r="DN250" i="18" s="1"/>
  <c r="DM166" i="18"/>
  <c r="DM250" i="18" s="1"/>
  <c r="DN81" i="18"/>
  <c r="DJ81" i="18"/>
  <c r="DF81" i="18"/>
  <c r="DL81" i="18"/>
  <c r="DG81" i="18"/>
  <c r="DK81" i="18"/>
  <c r="DE81" i="18"/>
  <c r="DI81" i="18"/>
  <c r="DM81" i="18"/>
  <c r="DH81" i="18"/>
  <c r="DN77" i="18"/>
  <c r="DJ77" i="18"/>
  <c r="DF77" i="18"/>
  <c r="DI77" i="18"/>
  <c r="DM77" i="18"/>
  <c r="DH77" i="18"/>
  <c r="DL77" i="18"/>
  <c r="DG77" i="18"/>
  <c r="DK77" i="18"/>
  <c r="DE77" i="18"/>
  <c r="DN53" i="18"/>
  <c r="DJ53" i="18"/>
  <c r="DF53" i="18"/>
  <c r="DL53" i="18"/>
  <c r="DG53" i="18"/>
  <c r="DK53" i="18"/>
  <c r="DE53" i="18"/>
  <c r="DI53" i="18"/>
  <c r="DM53" i="18"/>
  <c r="DH53" i="18"/>
  <c r="DN49" i="18"/>
  <c r="DJ49" i="18"/>
  <c r="DF49" i="18"/>
  <c r="DI49" i="18"/>
  <c r="DM49" i="18"/>
  <c r="DH49" i="18"/>
  <c r="DL49" i="18"/>
  <c r="DG49" i="18"/>
  <c r="DK49" i="18"/>
  <c r="DE49" i="18"/>
  <c r="DN45" i="18"/>
  <c r="DJ45" i="18"/>
  <c r="DF45" i="18"/>
  <c r="DL45" i="18"/>
  <c r="DG45" i="18"/>
  <c r="DK45" i="18"/>
  <c r="DE45" i="18"/>
  <c r="DI45" i="18"/>
  <c r="DM45" i="18"/>
  <c r="DH45" i="18"/>
  <c r="DN121" i="18"/>
  <c r="DJ121" i="18"/>
  <c r="DF121" i="18"/>
  <c r="DM121" i="18"/>
  <c r="DI121" i="18"/>
  <c r="DE121" i="18"/>
  <c r="DH121" i="18"/>
  <c r="DG121" i="18"/>
  <c r="DL121" i="18"/>
  <c r="DK121" i="18"/>
  <c r="DN117" i="18"/>
  <c r="DJ117" i="18"/>
  <c r="DF117" i="18"/>
  <c r="DM117" i="18"/>
  <c r="DI117" i="18"/>
  <c r="DE117" i="18"/>
  <c r="DH117" i="18"/>
  <c r="DG117" i="18"/>
  <c r="DL117" i="18"/>
  <c r="DK117" i="18"/>
  <c r="DN93" i="18"/>
  <c r="DJ93" i="18"/>
  <c r="DF93" i="18"/>
  <c r="DI93" i="18"/>
  <c r="DM93" i="18"/>
  <c r="DH93" i="18"/>
  <c r="DL93" i="18"/>
  <c r="DG93" i="18"/>
  <c r="DK93" i="18"/>
  <c r="DE93" i="18"/>
  <c r="DN89" i="18"/>
  <c r="DJ89" i="18"/>
  <c r="DF89" i="18"/>
  <c r="DL89" i="18"/>
  <c r="DG89" i="18"/>
  <c r="DK89" i="18"/>
  <c r="DE89" i="18"/>
  <c r="DI89" i="18"/>
  <c r="DM89" i="18"/>
  <c r="DH89" i="18"/>
  <c r="DN85" i="18"/>
  <c r="DJ85" i="18"/>
  <c r="DF85" i="18"/>
  <c r="DI85" i="18"/>
  <c r="DM85" i="18"/>
  <c r="DH85" i="18"/>
  <c r="DL85" i="18"/>
  <c r="DG85" i="18"/>
  <c r="DK85" i="18"/>
  <c r="DE85" i="18"/>
  <c r="DM161" i="18"/>
  <c r="DI161" i="18"/>
  <c r="DE161" i="18"/>
  <c r="DJ161" i="18"/>
  <c r="DN161" i="18"/>
  <c r="DH161" i="18"/>
  <c r="DG161" i="18"/>
  <c r="DF161" i="18"/>
  <c r="DL161" i="18"/>
  <c r="DK161" i="18"/>
  <c r="DM157" i="18"/>
  <c r="DI157" i="18"/>
  <c r="DE157" i="18"/>
  <c r="DL157" i="18"/>
  <c r="DG157" i="18"/>
  <c r="DK157" i="18"/>
  <c r="DF157" i="18"/>
  <c r="DN157" i="18"/>
  <c r="DJ157" i="18"/>
  <c r="DH157" i="18"/>
  <c r="DN153" i="18"/>
  <c r="DJ153" i="18"/>
  <c r="DF153" i="18"/>
  <c r="DM153" i="18"/>
  <c r="DI153" i="18"/>
  <c r="DE153" i="18"/>
  <c r="DH153" i="18"/>
  <c r="DG153" i="18"/>
  <c r="DL153" i="18"/>
  <c r="DK153" i="18"/>
  <c r="DN129" i="18"/>
  <c r="DJ129" i="18"/>
  <c r="DF129" i="18"/>
  <c r="DM129" i="18"/>
  <c r="DI129" i="18"/>
  <c r="DE129" i="18"/>
  <c r="DH129" i="18"/>
  <c r="DG129" i="18"/>
  <c r="DL129" i="18"/>
  <c r="DK129" i="18"/>
  <c r="DN125" i="18"/>
  <c r="DJ125" i="18"/>
  <c r="DF125" i="18"/>
  <c r="DM125" i="18"/>
  <c r="DI125" i="18"/>
  <c r="DE125" i="18"/>
  <c r="DH125" i="18"/>
  <c r="DG125" i="18"/>
  <c r="DL125" i="18"/>
  <c r="DK125" i="18"/>
  <c r="DM201" i="18"/>
  <c r="DI201" i="18"/>
  <c r="DE201" i="18"/>
  <c r="DJ201" i="18"/>
  <c r="DK201" i="18"/>
  <c r="DH201" i="18"/>
  <c r="DN201" i="18"/>
  <c r="DL201" i="18"/>
  <c r="DG201" i="18"/>
  <c r="DF201" i="18"/>
  <c r="DM197" i="18"/>
  <c r="DI197" i="18"/>
  <c r="DE197" i="18"/>
  <c r="DL197" i="18"/>
  <c r="DG197" i="18"/>
  <c r="DH197" i="18"/>
  <c r="DN197" i="18"/>
  <c r="DF197" i="18"/>
  <c r="DK197" i="18"/>
  <c r="DJ197" i="18"/>
  <c r="DM173" i="18"/>
  <c r="DI173" i="18"/>
  <c r="DE173" i="18"/>
  <c r="DJ173" i="18"/>
  <c r="DL173" i="18"/>
  <c r="DF173" i="18"/>
  <c r="DK173" i="18"/>
  <c r="DH173" i="18"/>
  <c r="DG173" i="18"/>
  <c r="DN173" i="18"/>
  <c r="DM169" i="18"/>
  <c r="DI169" i="18"/>
  <c r="DE169" i="18"/>
  <c r="DL169" i="18"/>
  <c r="DG169" i="18"/>
  <c r="DJ169" i="18"/>
  <c r="DH169" i="18"/>
  <c r="DF169" i="18"/>
  <c r="DN169" i="18"/>
  <c r="DK169" i="18"/>
  <c r="DM165" i="18"/>
  <c r="DM243" i="18" s="1"/>
  <c r="DI165" i="18"/>
  <c r="DI243" i="18" s="1"/>
  <c r="DE165" i="18"/>
  <c r="DE243" i="18" s="1"/>
  <c r="DJ165" i="18"/>
  <c r="DJ243" i="18" s="1"/>
  <c r="DN165" i="18"/>
  <c r="DN243" i="18" s="1"/>
  <c r="DG165" i="18"/>
  <c r="DG243" i="18" s="1"/>
  <c r="DL165" i="18"/>
  <c r="DL243" i="18" s="1"/>
  <c r="DF165" i="18"/>
  <c r="DF243" i="18" s="1"/>
  <c r="DK165" i="18"/>
  <c r="DK243" i="18" s="1"/>
  <c r="DH165" i="18"/>
  <c r="DH243" i="18" s="1"/>
  <c r="DL44" i="18"/>
  <c r="DH44" i="18"/>
  <c r="DK44" i="18"/>
  <c r="DF44" i="18"/>
  <c r="DJ44" i="18"/>
  <c r="DE44" i="18"/>
  <c r="DN44" i="18"/>
  <c r="DI44" i="18"/>
  <c r="DM44" i="18"/>
  <c r="DG44" i="18"/>
  <c r="DL80" i="18"/>
  <c r="DH80" i="18"/>
  <c r="DK80" i="18"/>
  <c r="DF80" i="18"/>
  <c r="DJ80" i="18"/>
  <c r="DE80" i="18"/>
  <c r="DN80" i="18"/>
  <c r="DI80" i="18"/>
  <c r="DM80" i="18"/>
  <c r="DG80" i="18"/>
  <c r="DL76" i="18"/>
  <c r="DH76" i="18"/>
  <c r="DN76" i="18"/>
  <c r="DI76" i="18"/>
  <c r="DM76" i="18"/>
  <c r="DG76" i="18"/>
  <c r="DK76" i="18"/>
  <c r="DF76" i="18"/>
  <c r="DJ76" i="18"/>
  <c r="DE76" i="18"/>
  <c r="DL52" i="18"/>
  <c r="DH52" i="18"/>
  <c r="DK52" i="18"/>
  <c r="DF52" i="18"/>
  <c r="DJ52" i="18"/>
  <c r="DE52" i="18"/>
  <c r="DN52" i="18"/>
  <c r="DI52" i="18"/>
  <c r="DM52" i="18"/>
  <c r="DG52" i="18"/>
  <c r="DL48" i="18"/>
  <c r="DH48" i="18"/>
  <c r="DN48" i="18"/>
  <c r="DI48" i="18"/>
  <c r="DM48" i="18"/>
  <c r="DG48" i="18"/>
  <c r="DK48" i="18"/>
  <c r="DF48" i="18"/>
  <c r="DJ48" i="18"/>
  <c r="DE48" i="18"/>
  <c r="DL84" i="18"/>
  <c r="DH84" i="18"/>
  <c r="DN84" i="18"/>
  <c r="DI84" i="18"/>
  <c r="DM84" i="18"/>
  <c r="DG84" i="18"/>
  <c r="DK84" i="18"/>
  <c r="DF84" i="18"/>
  <c r="DJ84" i="18"/>
  <c r="DE84" i="18"/>
  <c r="DL120" i="18"/>
  <c r="DH120" i="18"/>
  <c r="DK120" i="18"/>
  <c r="DG120" i="18"/>
  <c r="DJ120" i="18"/>
  <c r="DI120" i="18"/>
  <c r="DN120" i="18"/>
  <c r="DF120" i="18"/>
  <c r="DM120" i="18"/>
  <c r="DE120" i="18"/>
  <c r="DL116" i="18"/>
  <c r="DH116" i="18"/>
  <c r="DK116" i="18"/>
  <c r="DF116" i="18"/>
  <c r="DJ116" i="18"/>
  <c r="DE116" i="18"/>
  <c r="DN116" i="18"/>
  <c r="DI116" i="18"/>
  <c r="DM116" i="18"/>
  <c r="DG116" i="18"/>
  <c r="DL92" i="18"/>
  <c r="DH92" i="18"/>
  <c r="DN92" i="18"/>
  <c r="DI92" i="18"/>
  <c r="DM92" i="18"/>
  <c r="DG92" i="18"/>
  <c r="DK92" i="18"/>
  <c r="DF92" i="18"/>
  <c r="DJ92" i="18"/>
  <c r="DE92" i="18"/>
  <c r="DL88" i="18"/>
  <c r="DH88" i="18"/>
  <c r="DK88" i="18"/>
  <c r="DF88" i="18"/>
  <c r="DJ88" i="18"/>
  <c r="DE88" i="18"/>
  <c r="DN88" i="18"/>
  <c r="DI88" i="18"/>
  <c r="DM88" i="18"/>
  <c r="DG88" i="18"/>
  <c r="DL124" i="18"/>
  <c r="DH124" i="18"/>
  <c r="DK124" i="18"/>
  <c r="DG124" i="18"/>
  <c r="DJ124" i="18"/>
  <c r="DI124" i="18"/>
  <c r="DN124" i="18"/>
  <c r="DF124" i="18"/>
  <c r="DM124" i="18"/>
  <c r="DE124" i="18"/>
  <c r="DK160" i="18"/>
  <c r="DG160" i="18"/>
  <c r="DN160" i="18"/>
  <c r="DI160" i="18"/>
  <c r="DM160" i="18"/>
  <c r="DH160" i="18"/>
  <c r="DF160" i="18"/>
  <c r="DE160" i="18"/>
  <c r="DL160" i="18"/>
  <c r="DJ160" i="18"/>
  <c r="DK156" i="18"/>
  <c r="DG156" i="18"/>
  <c r="DL156" i="18"/>
  <c r="DF156" i="18"/>
  <c r="DJ156" i="18"/>
  <c r="DE156" i="18"/>
  <c r="DN156" i="18"/>
  <c r="DM156" i="18"/>
  <c r="DI156" i="18"/>
  <c r="DH156" i="18"/>
  <c r="DL132" i="18"/>
  <c r="DH132" i="18"/>
  <c r="DK132" i="18"/>
  <c r="DG132" i="18"/>
  <c r="DJ132" i="18"/>
  <c r="DI132" i="18"/>
  <c r="DN132" i="18"/>
  <c r="DF132" i="18"/>
  <c r="DM132" i="18"/>
  <c r="DE132" i="18"/>
  <c r="DL128" i="18"/>
  <c r="DH128" i="18"/>
  <c r="DK128" i="18"/>
  <c r="DG128" i="18"/>
  <c r="DJ128" i="18"/>
  <c r="DI128" i="18"/>
  <c r="DN128" i="18"/>
  <c r="DF128" i="18"/>
  <c r="DM128" i="18"/>
  <c r="DE128" i="18"/>
  <c r="DK164" i="18"/>
  <c r="DK245" i="18" s="1"/>
  <c r="DG164" i="18"/>
  <c r="DG245" i="18" s="1"/>
  <c r="DN164" i="18"/>
  <c r="DI164" i="18"/>
  <c r="DI245" i="18" s="1"/>
  <c r="DJ164" i="18"/>
  <c r="DH164" i="18"/>
  <c r="DM164" i="18"/>
  <c r="DL164" i="18"/>
  <c r="DF164" i="18"/>
  <c r="DE164" i="18"/>
  <c r="DK200" i="18"/>
  <c r="DG200" i="18"/>
  <c r="DN200" i="18"/>
  <c r="DI200" i="18"/>
  <c r="DM200" i="18"/>
  <c r="DF200" i="18"/>
  <c r="DL200" i="18"/>
  <c r="DE200" i="18"/>
  <c r="DJ200" i="18"/>
  <c r="DH200" i="18"/>
  <c r="DK196" i="18"/>
  <c r="DG196" i="18"/>
  <c r="DL196" i="18"/>
  <c r="DF196" i="18"/>
  <c r="DJ196" i="18"/>
  <c r="DI196" i="18"/>
  <c r="DH196" i="18"/>
  <c r="DE196" i="18"/>
  <c r="DN196" i="18"/>
  <c r="DM196" i="18"/>
  <c r="DK172" i="18"/>
  <c r="DK236" i="18" s="1"/>
  <c r="DG172" i="18"/>
  <c r="DG236" i="18" s="1"/>
  <c r="DN172" i="18"/>
  <c r="DN236" i="18" s="1"/>
  <c r="DI172" i="18"/>
  <c r="DI236" i="18" s="1"/>
  <c r="DH172" i="18"/>
  <c r="DH236" i="18" s="1"/>
  <c r="DM172" i="18"/>
  <c r="DM236" i="18" s="1"/>
  <c r="DF172" i="18"/>
  <c r="DF236" i="18" s="1"/>
  <c r="DE172" i="18"/>
  <c r="DE236" i="18" s="1"/>
  <c r="DL172" i="18"/>
  <c r="DL236" i="18" s="1"/>
  <c r="DJ172" i="18"/>
  <c r="DJ236" i="18" s="1"/>
  <c r="DK168" i="18"/>
  <c r="DG168" i="18"/>
  <c r="DL168" i="18"/>
  <c r="DF168" i="18"/>
  <c r="DM168" i="18"/>
  <c r="DE168" i="18"/>
  <c r="DJ168" i="18"/>
  <c r="DN168" i="18"/>
  <c r="DI168" i="18"/>
  <c r="DH168" i="18"/>
  <c r="DL42" i="18"/>
  <c r="DH42" i="18"/>
  <c r="DN42" i="18"/>
  <c r="DJ42" i="18"/>
  <c r="DF42" i="18"/>
  <c r="DM42" i="18"/>
  <c r="DI42" i="18"/>
  <c r="DE42" i="18"/>
  <c r="DG42" i="18"/>
  <c r="DK42" i="18"/>
  <c r="DL6" i="18"/>
  <c r="DH6" i="18"/>
  <c r="DK6" i="18"/>
  <c r="DG6" i="18"/>
  <c r="DN6" i="18"/>
  <c r="DJ6" i="18"/>
  <c r="DF6" i="18"/>
  <c r="DE6" i="18"/>
  <c r="DM6" i="18"/>
  <c r="DI6" i="18"/>
  <c r="DN39" i="18"/>
  <c r="DJ39" i="18"/>
  <c r="DF39" i="18"/>
  <c r="DL39" i="18"/>
  <c r="DH39" i="18"/>
  <c r="DK39" i="18"/>
  <c r="DG39" i="18"/>
  <c r="DE39" i="18"/>
  <c r="DM39" i="18"/>
  <c r="DI39" i="18"/>
  <c r="DN35" i="18"/>
  <c r="DJ35" i="18"/>
  <c r="DF35" i="18"/>
  <c r="DL35" i="18"/>
  <c r="DH35" i="18"/>
  <c r="DK35" i="18"/>
  <c r="DG35" i="18"/>
  <c r="DM35" i="18"/>
  <c r="DI35" i="18"/>
  <c r="DE35" i="18"/>
  <c r="DN7" i="18"/>
  <c r="DJ7" i="18"/>
  <c r="DF7" i="18"/>
  <c r="DM7" i="18"/>
  <c r="DI7" i="18"/>
  <c r="DE7" i="18"/>
  <c r="DK7" i="18"/>
  <c r="DL7" i="18"/>
  <c r="DH7" i="18"/>
  <c r="DG7" i="18"/>
  <c r="DL34" i="18"/>
  <c r="DH34" i="18"/>
  <c r="DN34" i="18"/>
  <c r="DJ34" i="18"/>
  <c r="DF34" i="18"/>
  <c r="DM34" i="18"/>
  <c r="DI34" i="18"/>
  <c r="DE34" i="18"/>
  <c r="DG34" i="18"/>
  <c r="DK34" i="18"/>
  <c r="DN37" i="18"/>
  <c r="DJ37" i="18"/>
  <c r="DF37" i="18"/>
  <c r="DL37" i="18"/>
  <c r="DH37" i="18"/>
  <c r="DK37" i="18"/>
  <c r="DG37" i="18"/>
  <c r="DI37" i="18"/>
  <c r="DE37" i="18"/>
  <c r="DM37" i="18"/>
  <c r="DN5" i="18"/>
  <c r="DJ5" i="18"/>
  <c r="DF5" i="18"/>
  <c r="DM5" i="18"/>
  <c r="DI5" i="18"/>
  <c r="DE5" i="18"/>
  <c r="DL5" i="18"/>
  <c r="DH5" i="18"/>
  <c r="DK5" i="18"/>
  <c r="DG5" i="18"/>
  <c r="DN43" i="18"/>
  <c r="DJ43" i="18"/>
  <c r="DF43" i="18"/>
  <c r="DL43" i="18"/>
  <c r="DH43" i="18"/>
  <c r="DK43" i="18"/>
  <c r="DG43" i="18"/>
  <c r="DM43" i="18"/>
  <c r="DI43" i="18"/>
  <c r="DE43" i="18"/>
  <c r="DN11" i="18"/>
  <c r="DJ11" i="18"/>
  <c r="DF11" i="18"/>
  <c r="DM11" i="18"/>
  <c r="DI11" i="18"/>
  <c r="DE11" i="18"/>
  <c r="DK11" i="18"/>
  <c r="DL11" i="18"/>
  <c r="DH11" i="18"/>
  <c r="DG11" i="18"/>
  <c r="DL38" i="18"/>
  <c r="DH38" i="18"/>
  <c r="DN38" i="18"/>
  <c r="DJ38" i="18"/>
  <c r="DF38" i="18"/>
  <c r="DM38" i="18"/>
  <c r="DI38" i="18"/>
  <c r="DE38" i="18"/>
  <c r="DK38" i="18"/>
  <c r="DG38" i="18"/>
  <c r="DL10" i="18"/>
  <c r="DH10" i="18"/>
  <c r="DK10" i="18"/>
  <c r="DG10" i="18"/>
  <c r="DI10" i="18"/>
  <c r="DN10" i="18"/>
  <c r="DJ10" i="18"/>
  <c r="DF10" i="18"/>
  <c r="DM10" i="18"/>
  <c r="DE10" i="18"/>
  <c r="DN41" i="18"/>
  <c r="DJ41" i="18"/>
  <c r="DF41" i="18"/>
  <c r="DL41" i="18"/>
  <c r="DH41" i="18"/>
  <c r="DK41" i="18"/>
  <c r="DG41" i="18"/>
  <c r="DM41" i="18"/>
  <c r="DI41" i="18"/>
  <c r="DE41" i="18"/>
  <c r="DN13" i="18"/>
  <c r="DJ13" i="18"/>
  <c r="DF13" i="18"/>
  <c r="DM13" i="18"/>
  <c r="DI13" i="18"/>
  <c r="DE13" i="18"/>
  <c r="DL13" i="18"/>
  <c r="DH13" i="18"/>
  <c r="DK13" i="18"/>
  <c r="DG13" i="18"/>
  <c r="DN9" i="18"/>
  <c r="DJ9" i="18"/>
  <c r="DF9" i="18"/>
  <c r="DM9" i="18"/>
  <c r="DI9" i="18"/>
  <c r="DE9" i="18"/>
  <c r="DL9" i="18"/>
  <c r="DH9" i="18"/>
  <c r="DK9" i="18"/>
  <c r="DG9" i="18"/>
  <c r="DL4" i="18"/>
  <c r="DL242" i="18" s="1"/>
  <c r="DH4" i="18"/>
  <c r="DH242" i="18" s="1"/>
  <c r="DK4" i="18"/>
  <c r="DK242" i="18" s="1"/>
  <c r="DG4" i="18"/>
  <c r="DG242" i="18" s="1"/>
  <c r="DN4" i="18"/>
  <c r="DN242" i="18" s="1"/>
  <c r="DJ4" i="18"/>
  <c r="DJ242" i="18" s="1"/>
  <c r="DF4" i="18"/>
  <c r="DF242" i="18" s="1"/>
  <c r="DE4" i="18"/>
  <c r="DE242" i="18" s="1"/>
  <c r="DM4" i="18"/>
  <c r="DM242" i="18" s="1"/>
  <c r="DI4" i="18"/>
  <c r="DI242" i="18" s="1"/>
  <c r="DL40" i="18"/>
  <c r="DH40" i="18"/>
  <c r="DN40" i="18"/>
  <c r="DJ40" i="18"/>
  <c r="DF40" i="18"/>
  <c r="DM40" i="18"/>
  <c r="DI40" i="18"/>
  <c r="DE40" i="18"/>
  <c r="DK40" i="18"/>
  <c r="DG40" i="18"/>
  <c r="DL36" i="18"/>
  <c r="DH36" i="18"/>
  <c r="DN36" i="18"/>
  <c r="DJ36" i="18"/>
  <c r="DF36" i="18"/>
  <c r="DM36" i="18"/>
  <c r="DI36" i="18"/>
  <c r="DE36" i="18"/>
  <c r="DK36" i="18"/>
  <c r="DG36" i="18"/>
  <c r="DL12" i="18"/>
  <c r="DH12" i="18"/>
  <c r="DK12" i="18"/>
  <c r="DG12" i="18"/>
  <c r="DN12" i="18"/>
  <c r="DJ12" i="18"/>
  <c r="DF12" i="18"/>
  <c r="DM12" i="18"/>
  <c r="DI12" i="18"/>
  <c r="DE12" i="18"/>
  <c r="DL8" i="18"/>
  <c r="DH8" i="18"/>
  <c r="DK8" i="18"/>
  <c r="DG8" i="18"/>
  <c r="DM8" i="18"/>
  <c r="DN8" i="18"/>
  <c r="DJ8" i="18"/>
  <c r="DF8" i="18"/>
  <c r="DI8" i="18"/>
  <c r="DE8" i="18"/>
  <c r="CY43" i="18"/>
  <c r="DA43" i="18"/>
  <c r="CX43" i="18"/>
  <c r="CZ43" i="18"/>
  <c r="DB43" i="18"/>
  <c r="CW43" i="18"/>
  <c r="DC43" i="18"/>
  <c r="DO43" i="18"/>
  <c r="DD43" i="18"/>
  <c r="CY39" i="18"/>
  <c r="DA39" i="18"/>
  <c r="CX39" i="18"/>
  <c r="CZ39" i="18"/>
  <c r="CU39" i="18"/>
  <c r="DD39" i="18"/>
  <c r="DC39" i="18"/>
  <c r="DB39" i="18"/>
  <c r="CW39" i="18"/>
  <c r="DO39" i="18"/>
  <c r="CY35" i="18"/>
  <c r="DA35" i="18"/>
  <c r="CZ35" i="18"/>
  <c r="DB35" i="18"/>
  <c r="CW35" i="18"/>
  <c r="DD35" i="18"/>
  <c r="CU35" i="18"/>
  <c r="DC35" i="18"/>
  <c r="DO35" i="18"/>
  <c r="CY11" i="18"/>
  <c r="DA11" i="18"/>
  <c r="CX11" i="18"/>
  <c r="CZ11" i="18"/>
  <c r="DC11" i="18"/>
  <c r="DB11" i="18"/>
  <c r="CW11" i="18"/>
  <c r="CU11" i="18"/>
  <c r="DO11" i="18"/>
  <c r="DD11" i="18"/>
  <c r="DB7" i="18"/>
  <c r="CU7" i="18"/>
  <c r="DD7" i="18"/>
  <c r="CW7" i="18"/>
  <c r="DC7" i="18"/>
  <c r="DO7" i="18"/>
  <c r="DA7" i="18"/>
  <c r="CY7" i="18"/>
  <c r="CX7" i="18"/>
  <c r="CZ7" i="18"/>
  <c r="DB42" i="18"/>
  <c r="CU42" i="18"/>
  <c r="DD42" i="18"/>
  <c r="CW42" i="18"/>
  <c r="DC42" i="18"/>
  <c r="DO42" i="18"/>
  <c r="CZ42" i="18"/>
  <c r="DA42" i="18"/>
  <c r="CY42" i="18"/>
  <c r="CX42" i="18"/>
  <c r="DB38" i="18"/>
  <c r="CU38" i="18"/>
  <c r="DD38" i="18"/>
  <c r="CW38" i="18"/>
  <c r="DC38" i="18"/>
  <c r="DO38" i="18"/>
  <c r="CX38" i="18"/>
  <c r="CZ38" i="18"/>
  <c r="CY38" i="18"/>
  <c r="DA38" i="18"/>
  <c r="DB34" i="18"/>
  <c r="CU34" i="18"/>
  <c r="DD34" i="18"/>
  <c r="CW34" i="18"/>
  <c r="DC34" i="18"/>
  <c r="DO34" i="18"/>
  <c r="CZ34" i="18"/>
  <c r="CX34" i="18"/>
  <c r="DA34" i="18"/>
  <c r="CY34" i="18"/>
  <c r="DA10" i="18"/>
  <c r="DC10" i="18"/>
  <c r="DB10" i="18"/>
  <c r="CU10" i="18"/>
  <c r="DD10" i="18"/>
  <c r="CZ10" i="18"/>
  <c r="CX10" i="18"/>
  <c r="CW10" i="18"/>
  <c r="CY10" i="18"/>
  <c r="DO10" i="18"/>
  <c r="CW6" i="18"/>
  <c r="DO6" i="18"/>
  <c r="CX6" i="18"/>
  <c r="CZ6" i="18"/>
  <c r="DA6" i="18"/>
  <c r="DB6" i="18"/>
  <c r="DD6" i="18"/>
  <c r="DC6" i="18"/>
  <c r="CX41" i="18"/>
  <c r="CZ41" i="18"/>
  <c r="CY41" i="18"/>
  <c r="DA41" i="18"/>
  <c r="DC41" i="18"/>
  <c r="CU41" i="18"/>
  <c r="CW41" i="18"/>
  <c r="DO41" i="18"/>
  <c r="DD41" i="18"/>
  <c r="DB41" i="18"/>
  <c r="CX37" i="18"/>
  <c r="CZ37" i="18"/>
  <c r="CY37" i="18"/>
  <c r="DA37" i="18"/>
  <c r="DO37" i="18"/>
  <c r="DB37" i="18"/>
  <c r="DD37" i="18"/>
  <c r="CW37" i="18"/>
  <c r="CU37" i="18"/>
  <c r="DC37" i="18"/>
  <c r="CX13" i="18"/>
  <c r="CZ13" i="18"/>
  <c r="CY13" i="18"/>
  <c r="DA13" i="18"/>
  <c r="DC13" i="18"/>
  <c r="DB13" i="18"/>
  <c r="CU13" i="18"/>
  <c r="CW13" i="18"/>
  <c r="DO13" i="18"/>
  <c r="DD13" i="18"/>
  <c r="DO9" i="18"/>
  <c r="CX9" i="18"/>
  <c r="DD9" i="18"/>
  <c r="CW9" i="18"/>
  <c r="CY9" i="18"/>
  <c r="CZ9" i="18"/>
  <c r="DB9" i="18"/>
  <c r="CU9" i="18"/>
  <c r="DA9" i="18"/>
  <c r="DC9" i="18"/>
  <c r="DA5" i="18"/>
  <c r="DC5" i="18"/>
  <c r="CZ5" i="18"/>
  <c r="DB5" i="18"/>
  <c r="CU5" i="18"/>
  <c r="DO5" i="18"/>
  <c r="CX5" i="18"/>
  <c r="DD5" i="18"/>
  <c r="CY5" i="18"/>
  <c r="CW5" i="18"/>
  <c r="DC4" i="18"/>
  <c r="CV4" i="18"/>
  <c r="DO4" i="18"/>
  <c r="CX4" i="18"/>
  <c r="DD4" i="18"/>
  <c r="CW4" i="18"/>
  <c r="DB4" i="18"/>
  <c r="DA4" i="18"/>
  <c r="CZ4" i="18"/>
  <c r="DC40" i="18"/>
  <c r="DO40" i="18"/>
  <c r="DB40" i="18"/>
  <c r="CU40" i="18"/>
  <c r="DD40" i="18"/>
  <c r="CW40" i="18"/>
  <c r="DA40" i="18"/>
  <c r="CY40" i="18"/>
  <c r="CX40" i="18"/>
  <c r="CZ40" i="18"/>
  <c r="DC36" i="18"/>
  <c r="DO36" i="18"/>
  <c r="DB36" i="18"/>
  <c r="CU36" i="18"/>
  <c r="DD36" i="18"/>
  <c r="CW36" i="18"/>
  <c r="CY36" i="18"/>
  <c r="CZ36" i="18"/>
  <c r="CX36" i="18"/>
  <c r="DA36" i="18"/>
  <c r="CU12" i="18"/>
  <c r="DD12" i="18"/>
  <c r="CW12" i="18"/>
  <c r="DC12" i="18"/>
  <c r="DO12" i="18"/>
  <c r="CX12" i="18"/>
  <c r="CY12" i="18"/>
  <c r="DA12" i="18"/>
  <c r="CZ12" i="18"/>
  <c r="DB12" i="18"/>
  <c r="CZ8" i="18"/>
  <c r="DB8" i="18"/>
  <c r="CY8" i="18"/>
  <c r="DA8" i="18"/>
  <c r="DD8" i="18"/>
  <c r="CW8" i="18"/>
  <c r="CU8" i="18"/>
  <c r="DO8" i="18"/>
  <c r="DC8" i="18"/>
  <c r="CX8" i="18"/>
  <c r="CX81" i="18"/>
  <c r="CU81" i="18"/>
  <c r="CZ81" i="18"/>
  <c r="CY81" i="18"/>
  <c r="CV81" i="18"/>
  <c r="DC81" i="18"/>
  <c r="DD81" i="18"/>
  <c r="DO81" i="18"/>
  <c r="DB81" i="18"/>
  <c r="DA81" i="18"/>
  <c r="DC77" i="18"/>
  <c r="CV77" i="18"/>
  <c r="DO77" i="18"/>
  <c r="CX77" i="18"/>
  <c r="DD77" i="18"/>
  <c r="CU77" i="18"/>
  <c r="CZ77" i="18"/>
  <c r="DA77" i="18"/>
  <c r="CY77" i="18"/>
  <c r="DB77" i="18"/>
  <c r="DA53" i="18"/>
  <c r="CU53" i="18"/>
  <c r="DC53" i="18"/>
  <c r="DO53" i="18"/>
  <c r="DB53" i="18"/>
  <c r="CZ53" i="18"/>
  <c r="CY53" i="18"/>
  <c r="CX53" i="18"/>
  <c r="DD53" i="18"/>
  <c r="CV53" i="18"/>
  <c r="DB49" i="18"/>
  <c r="CY49" i="18"/>
  <c r="DD49" i="18"/>
  <c r="CZ49" i="18"/>
  <c r="DA49" i="18"/>
  <c r="DC49" i="18"/>
  <c r="CV49" i="18"/>
  <c r="CX49" i="18"/>
  <c r="CU49" i="18"/>
  <c r="DO49" i="18"/>
  <c r="CX45" i="18"/>
  <c r="CU45" i="18"/>
  <c r="CZ45" i="18"/>
  <c r="DB45" i="18"/>
  <c r="DA45" i="18"/>
  <c r="CY45" i="18"/>
  <c r="CV45" i="18"/>
  <c r="DD45" i="18"/>
  <c r="DO45" i="18"/>
  <c r="DC45" i="18"/>
  <c r="CY83" i="18"/>
  <c r="DO83" i="18"/>
  <c r="CZ83" i="18"/>
  <c r="DB83" i="18"/>
  <c r="CU83" i="18"/>
  <c r="DA83" i="18"/>
  <c r="DC83" i="18"/>
  <c r="DD83" i="18"/>
  <c r="DC79" i="18"/>
  <c r="CZ79" i="18"/>
  <c r="CY79" i="18"/>
  <c r="CX79" i="18"/>
  <c r="DA79" i="18"/>
  <c r="CU79" i="18"/>
  <c r="CV79" i="18"/>
  <c r="DB79" i="18"/>
  <c r="DO79" i="18"/>
  <c r="DD79" i="18"/>
  <c r="DB75" i="18"/>
  <c r="CY75" i="18"/>
  <c r="CV75" i="18"/>
  <c r="DO75" i="18"/>
  <c r="CX75" i="18"/>
  <c r="CZ75" i="18"/>
  <c r="DA75" i="18"/>
  <c r="CU75" i="18"/>
  <c r="DD75" i="18"/>
  <c r="DC75" i="18"/>
  <c r="CX51" i="18"/>
  <c r="CU51" i="18"/>
  <c r="DA51" i="18"/>
  <c r="DD51" i="18"/>
  <c r="DC51" i="18"/>
  <c r="CV51" i="18"/>
  <c r="CY51" i="18"/>
  <c r="DB51" i="18"/>
  <c r="DO51" i="18"/>
  <c r="CZ51" i="18"/>
  <c r="DD47" i="18"/>
  <c r="DC47" i="18"/>
  <c r="CV47" i="18"/>
  <c r="DB47" i="18"/>
  <c r="DO47" i="18"/>
  <c r="CY47" i="18"/>
  <c r="CZ47" i="18"/>
  <c r="DA47" i="18"/>
  <c r="DD82" i="18"/>
  <c r="DO82" i="18"/>
  <c r="CY82" i="18"/>
  <c r="CZ82" i="18"/>
  <c r="CX82" i="18"/>
  <c r="DB82" i="18"/>
  <c r="CU82" i="18"/>
  <c r="DC82" i="18"/>
  <c r="CV82" i="18"/>
  <c r="DA82" i="18"/>
  <c r="DC78" i="18"/>
  <c r="CZ78" i="18"/>
  <c r="DA78" i="18"/>
  <c r="CX78" i="18"/>
  <c r="CU78" i="18"/>
  <c r="CV78" i="18"/>
  <c r="DD78" i="18"/>
  <c r="DO78" i="18"/>
  <c r="DB78" i="18"/>
  <c r="CY78" i="18"/>
  <c r="DB74" i="18"/>
  <c r="CY74" i="18"/>
  <c r="CV74" i="18"/>
  <c r="CU74" i="18"/>
  <c r="DD74" i="18"/>
  <c r="DO74" i="18"/>
  <c r="DC74" i="18"/>
  <c r="DA74" i="18"/>
  <c r="CZ74" i="18"/>
  <c r="CX74" i="18"/>
  <c r="CX50" i="18"/>
  <c r="CU50" i="18"/>
  <c r="DC50" i="18"/>
  <c r="CV50" i="18"/>
  <c r="DB50" i="18"/>
  <c r="DA50" i="18"/>
  <c r="CY50" i="18"/>
  <c r="CZ50" i="18"/>
  <c r="DD50" i="18"/>
  <c r="DO50" i="18"/>
  <c r="DD46" i="18"/>
  <c r="DO46" i="18"/>
  <c r="DB46" i="18"/>
  <c r="DA46" i="18"/>
  <c r="CY46" i="18"/>
  <c r="CZ46" i="18"/>
  <c r="CX46" i="18"/>
  <c r="DC46" i="18"/>
  <c r="CV46" i="18"/>
  <c r="CU46" i="18"/>
  <c r="DB44" i="18"/>
  <c r="DD44" i="18"/>
  <c r="DA44" i="18"/>
  <c r="CX44" i="18"/>
  <c r="DC44" i="18"/>
  <c r="DO44" i="18"/>
  <c r="CV44" i="18"/>
  <c r="CY44" i="18"/>
  <c r="CZ44" i="18"/>
  <c r="DB80" i="18"/>
  <c r="DD80" i="18"/>
  <c r="CX80" i="18"/>
  <c r="DC80" i="18"/>
  <c r="DO80" i="18"/>
  <c r="CY80" i="18"/>
  <c r="CZ80" i="18"/>
  <c r="CU80" i="18"/>
  <c r="CV80" i="18"/>
  <c r="DA80" i="18"/>
  <c r="CX76" i="18"/>
  <c r="DC76" i="18"/>
  <c r="CZ76" i="18"/>
  <c r="DD76" i="18"/>
  <c r="DO76" i="18"/>
  <c r="CY76" i="18"/>
  <c r="CU76" i="18"/>
  <c r="DA76" i="18"/>
  <c r="DB76" i="18"/>
  <c r="CU52" i="18"/>
  <c r="CY52" i="18"/>
  <c r="DO52" i="18"/>
  <c r="DB52" i="18"/>
  <c r="CZ52" i="18"/>
  <c r="DA52" i="18"/>
  <c r="CV52" i="18"/>
  <c r="CX52" i="18"/>
  <c r="DC52" i="18"/>
  <c r="DD52" i="18"/>
  <c r="DA48" i="18"/>
  <c r="DB48" i="18"/>
  <c r="CY48" i="18"/>
  <c r="CZ48" i="18"/>
  <c r="CU48" i="18"/>
  <c r="CV48" i="18"/>
  <c r="CX48" i="18"/>
  <c r="DC48" i="18"/>
  <c r="DD48" i="18"/>
  <c r="DO48" i="18"/>
  <c r="CU119" i="18"/>
  <c r="CZ119" i="18"/>
  <c r="DO119" i="18"/>
  <c r="DD119" i="18"/>
  <c r="CW119" i="18"/>
  <c r="DB119" i="18"/>
  <c r="DA119" i="18"/>
  <c r="DC119" i="18"/>
  <c r="CX119" i="18"/>
  <c r="CY119" i="18"/>
  <c r="DB91" i="18"/>
  <c r="DC91" i="18"/>
  <c r="DA91" i="18"/>
  <c r="CX91" i="18"/>
  <c r="CY91" i="18"/>
  <c r="DD91" i="18"/>
  <c r="CW91" i="18"/>
  <c r="DO91" i="18"/>
  <c r="CZ91" i="18"/>
  <c r="CX123" i="18"/>
  <c r="CY123" i="18"/>
  <c r="DD123" i="18"/>
  <c r="CU123" i="18"/>
  <c r="CZ123" i="18"/>
  <c r="DO123" i="18"/>
  <c r="DC123" i="18"/>
  <c r="DA123" i="18"/>
  <c r="DB123" i="18"/>
  <c r="DO115" i="18"/>
  <c r="DB115" i="18"/>
  <c r="DC115" i="18"/>
  <c r="DA115" i="18"/>
  <c r="CX115" i="18"/>
  <c r="CU115" i="18"/>
  <c r="CY115" i="18"/>
  <c r="CZ115" i="18"/>
  <c r="CW115" i="18"/>
  <c r="DD115" i="18"/>
  <c r="CX87" i="18"/>
  <c r="CY87" i="18"/>
  <c r="DD87" i="18"/>
  <c r="CW87" i="18"/>
  <c r="CU87" i="18"/>
  <c r="CZ87" i="18"/>
  <c r="DC87" i="18"/>
  <c r="DO87" i="18"/>
  <c r="DA87" i="18"/>
  <c r="DB87" i="18"/>
  <c r="DO122" i="18"/>
  <c r="DB122" i="18"/>
  <c r="CY122" i="18"/>
  <c r="DA122" i="18"/>
  <c r="CZ122" i="18"/>
  <c r="DD122" i="18"/>
  <c r="CW122" i="18"/>
  <c r="DC122" i="18"/>
  <c r="CX122" i="18"/>
  <c r="CU122" i="18"/>
  <c r="DC90" i="18"/>
  <c r="CZ90" i="18"/>
  <c r="DO90" i="18"/>
  <c r="CX90" i="18"/>
  <c r="CU90" i="18"/>
  <c r="CY90" i="18"/>
  <c r="DB90" i="18"/>
  <c r="DD90" i="18"/>
  <c r="CW90" i="18"/>
  <c r="DA90" i="18"/>
  <c r="DC121" i="18"/>
  <c r="CZ121" i="18"/>
  <c r="DB121" i="18"/>
  <c r="DO121" i="18"/>
  <c r="CX121" i="18"/>
  <c r="CU121" i="18"/>
  <c r="CY121" i="18"/>
  <c r="DA121" i="18"/>
  <c r="CW121" i="18"/>
  <c r="DD121" i="18"/>
  <c r="CX93" i="18"/>
  <c r="CY93" i="18"/>
  <c r="DA93" i="18"/>
  <c r="CU93" i="18"/>
  <c r="DD93" i="18"/>
  <c r="CW93" i="18"/>
  <c r="DC93" i="18"/>
  <c r="CZ93" i="18"/>
  <c r="DB93" i="18"/>
  <c r="DO93" i="18"/>
  <c r="CU89" i="18"/>
  <c r="DD89" i="18"/>
  <c r="CW89" i="18"/>
  <c r="DC89" i="18"/>
  <c r="CZ89" i="18"/>
  <c r="DB89" i="18"/>
  <c r="DA89" i="18"/>
  <c r="DO89" i="18"/>
  <c r="CX89" i="18"/>
  <c r="CY89" i="18"/>
  <c r="DC85" i="18"/>
  <c r="CZ85" i="18"/>
  <c r="DB85" i="18"/>
  <c r="DO85" i="18"/>
  <c r="CX85" i="18"/>
  <c r="CU85" i="18"/>
  <c r="DD85" i="18"/>
  <c r="DA85" i="18"/>
  <c r="DB118" i="18"/>
  <c r="CY118" i="18"/>
  <c r="DA118" i="18"/>
  <c r="CX118" i="18"/>
  <c r="CU118" i="18"/>
  <c r="DD118" i="18"/>
  <c r="CW118" i="18"/>
  <c r="DC118" i="18"/>
  <c r="CZ118" i="18"/>
  <c r="DO118" i="18"/>
  <c r="CX114" i="18"/>
  <c r="CU114" i="18"/>
  <c r="DD114" i="18"/>
  <c r="CW114" i="18"/>
  <c r="DC114" i="18"/>
  <c r="CZ114" i="18"/>
  <c r="DB114" i="18"/>
  <c r="DA114" i="18"/>
  <c r="DO114" i="18"/>
  <c r="CY114" i="18"/>
  <c r="DO86" i="18"/>
  <c r="DB86" i="18"/>
  <c r="CY86" i="18"/>
  <c r="DA86" i="18"/>
  <c r="DC86" i="18"/>
  <c r="CZ86" i="18"/>
  <c r="DD86" i="18"/>
  <c r="CW86" i="18"/>
  <c r="CX86" i="18"/>
  <c r="DB117" i="18"/>
  <c r="DO117" i="18"/>
  <c r="CX117" i="18"/>
  <c r="CY117" i="18"/>
  <c r="DA117" i="18"/>
  <c r="DC117" i="18"/>
  <c r="CZ117" i="18"/>
  <c r="DD117" i="18"/>
  <c r="CW117" i="18"/>
  <c r="CU117" i="18"/>
  <c r="DD84" i="18"/>
  <c r="DC84" i="18"/>
  <c r="CZ84" i="18"/>
  <c r="DO84" i="18"/>
  <c r="CW84" i="18"/>
  <c r="DB84" i="18"/>
  <c r="DA84" i="18"/>
  <c r="CX84" i="18"/>
  <c r="CY84" i="18"/>
  <c r="DD120" i="18"/>
  <c r="DC120" i="18"/>
  <c r="CZ120" i="18"/>
  <c r="DO120" i="18"/>
  <c r="DB120" i="18"/>
  <c r="DA120" i="18"/>
  <c r="CU120" i="18"/>
  <c r="CW120" i="18"/>
  <c r="CX120" i="18"/>
  <c r="CY120" i="18"/>
  <c r="DC116" i="18"/>
  <c r="CZ116" i="18"/>
  <c r="DO116" i="18"/>
  <c r="DB116" i="18"/>
  <c r="DA116" i="18"/>
  <c r="CX116" i="18"/>
  <c r="CY116" i="18"/>
  <c r="CU116" i="18"/>
  <c r="DD116" i="18"/>
  <c r="CW116" i="18"/>
  <c r="DB92" i="18"/>
  <c r="DA92" i="18"/>
  <c r="CX92" i="18"/>
  <c r="CU92" i="18"/>
  <c r="CY92" i="18"/>
  <c r="CW92" i="18"/>
  <c r="CZ92" i="18"/>
  <c r="DD92" i="18"/>
  <c r="DC92" i="18"/>
  <c r="DO92" i="18"/>
  <c r="CX88" i="18"/>
  <c r="CU88" i="18"/>
  <c r="CY88" i="18"/>
  <c r="CW88" i="18"/>
  <c r="DD88" i="18"/>
  <c r="DO88" i="18"/>
  <c r="DB88" i="18"/>
  <c r="DC88" i="18"/>
  <c r="DA88" i="18"/>
  <c r="CZ88" i="18"/>
  <c r="CX124" i="18"/>
  <c r="DB124" i="18"/>
  <c r="DD124" i="18"/>
  <c r="CW124" i="18"/>
  <c r="DO124" i="18"/>
  <c r="DC124" i="18"/>
  <c r="CZ124" i="18"/>
  <c r="CY124" i="18"/>
  <c r="DA124" i="18"/>
  <c r="DB160" i="18"/>
  <c r="CZ160" i="18"/>
  <c r="DA160" i="18"/>
  <c r="DD160" i="18"/>
  <c r="DO160" i="18"/>
  <c r="CV160" i="18"/>
  <c r="CX160" i="18"/>
  <c r="DC160" i="18"/>
  <c r="CU160" i="18"/>
  <c r="CW160" i="18"/>
  <c r="DB156" i="18"/>
  <c r="DO156" i="18"/>
  <c r="CZ156" i="18"/>
  <c r="DC156" i="18"/>
  <c r="CW156" i="18"/>
  <c r="CU156" i="18"/>
  <c r="DD156" i="18"/>
  <c r="CV156" i="18"/>
  <c r="CX156" i="18"/>
  <c r="DA156" i="18"/>
  <c r="CX132" i="18"/>
  <c r="DO132" i="18"/>
  <c r="CU132" i="18"/>
  <c r="CV132" i="18"/>
  <c r="DD132" i="18"/>
  <c r="CW132" i="18"/>
  <c r="DB132" i="18"/>
  <c r="DC132" i="18"/>
  <c r="CZ132" i="18"/>
  <c r="DA132" i="18"/>
  <c r="DB128" i="18"/>
  <c r="CZ128" i="18"/>
  <c r="DC128" i="18"/>
  <c r="DA128" i="18"/>
  <c r="CV128" i="18"/>
  <c r="DD128" i="18"/>
  <c r="DO128" i="18"/>
  <c r="CW128" i="18"/>
  <c r="DA163" i="18"/>
  <c r="CZ163" i="18"/>
  <c r="CX163" i="18"/>
  <c r="DC163" i="18"/>
  <c r="DD163" i="18"/>
  <c r="CU163" i="18"/>
  <c r="DO163" i="18"/>
  <c r="CV163" i="18"/>
  <c r="CW163" i="18"/>
  <c r="DB163" i="18"/>
  <c r="CW159" i="18"/>
  <c r="DD159" i="18"/>
  <c r="CU159" i="18"/>
  <c r="DB159" i="18"/>
  <c r="DO159" i="18"/>
  <c r="CV159" i="18"/>
  <c r="DC159" i="18"/>
  <c r="DA159" i="18"/>
  <c r="CX159" i="18"/>
  <c r="CZ159" i="18"/>
  <c r="CV155" i="18"/>
  <c r="CU155" i="18"/>
  <c r="CX155" i="18"/>
  <c r="DD155" i="18"/>
  <c r="DO155" i="18"/>
  <c r="DC155" i="18"/>
  <c r="DA155" i="18"/>
  <c r="DB155" i="18"/>
  <c r="CZ155" i="18"/>
  <c r="DO131" i="18"/>
  <c r="CX131" i="18"/>
  <c r="DB131" i="18"/>
  <c r="DD131" i="18"/>
  <c r="CW131" i="18"/>
  <c r="CU131" i="18"/>
  <c r="DC131" i="18"/>
  <c r="CV131" i="18"/>
  <c r="CZ131" i="18"/>
  <c r="DA131" i="18"/>
  <c r="CV127" i="18"/>
  <c r="CZ127" i="18"/>
  <c r="DC127" i="18"/>
  <c r="DA127" i="18"/>
  <c r="DB127" i="18"/>
  <c r="DD127" i="18"/>
  <c r="CX127" i="18"/>
  <c r="DO127" i="18"/>
  <c r="CV162" i="18"/>
  <c r="DC162" i="18"/>
  <c r="DA162" i="18"/>
  <c r="DD162" i="18"/>
  <c r="CU162" i="18"/>
  <c r="DB162" i="18"/>
  <c r="CZ162" i="18"/>
  <c r="CW162" i="18"/>
  <c r="CX162" i="18"/>
  <c r="DO162" i="18"/>
  <c r="CW158" i="18"/>
  <c r="CZ158" i="18"/>
  <c r="CX158" i="18"/>
  <c r="DO158" i="18"/>
  <c r="DC158" i="18"/>
  <c r="DD158" i="18"/>
  <c r="CU158" i="18"/>
  <c r="DA158" i="18"/>
  <c r="DB158" i="18"/>
  <c r="CV158" i="18"/>
  <c r="CZ154" i="18"/>
  <c r="CX154" i="18"/>
  <c r="DA154" i="18"/>
  <c r="DC154" i="18"/>
  <c r="DD154" i="18"/>
  <c r="DO154" i="18"/>
  <c r="CW154" i="18"/>
  <c r="DB154" i="18"/>
  <c r="CV154" i="18"/>
  <c r="CU154" i="18"/>
  <c r="CU130" i="18"/>
  <c r="CZ130" i="18"/>
  <c r="DO130" i="18"/>
  <c r="DC130" i="18"/>
  <c r="CW130" i="18"/>
  <c r="DA130" i="18"/>
  <c r="CX130" i="18"/>
  <c r="DB130" i="18"/>
  <c r="CV130" i="18"/>
  <c r="DD130" i="18"/>
  <c r="CX126" i="18"/>
  <c r="DB126" i="18"/>
  <c r="DD126" i="18"/>
  <c r="CV126" i="18"/>
  <c r="DA126" i="18"/>
  <c r="DO126" i="18"/>
  <c r="CZ126" i="18"/>
  <c r="CW126" i="18"/>
  <c r="DC126" i="18"/>
  <c r="CX161" i="18"/>
  <c r="DO161" i="18"/>
  <c r="CV161" i="18"/>
  <c r="CW161" i="18"/>
  <c r="DD161" i="18"/>
  <c r="DB161" i="18"/>
  <c r="DC161" i="18"/>
  <c r="CZ161" i="18"/>
  <c r="DA161" i="18"/>
  <c r="CU161" i="18"/>
  <c r="CW157" i="18"/>
  <c r="DB157" i="18"/>
  <c r="CZ157" i="18"/>
  <c r="DC157" i="18"/>
  <c r="DA157" i="18"/>
  <c r="CX157" i="18"/>
  <c r="DD157" i="18"/>
  <c r="CU157" i="18"/>
  <c r="CV157" i="18"/>
  <c r="CX153" i="18"/>
  <c r="DO153" i="18"/>
  <c r="DD153" i="18"/>
  <c r="CV153" i="18"/>
  <c r="CW153" i="18"/>
  <c r="DA153" i="18"/>
  <c r="DB153" i="18"/>
  <c r="CU153" i="18"/>
  <c r="DC153" i="18"/>
  <c r="CZ153" i="18"/>
  <c r="DB129" i="18"/>
  <c r="CU129" i="18"/>
  <c r="CV129" i="18"/>
  <c r="CZ129" i="18"/>
  <c r="CW129" i="18"/>
  <c r="DC129" i="18"/>
  <c r="DA129" i="18"/>
  <c r="DO129" i="18"/>
  <c r="CX129" i="18"/>
  <c r="DD129" i="18"/>
  <c r="CY125" i="18"/>
  <c r="CV125" i="18"/>
  <c r="DD125" i="18"/>
  <c r="DO125" i="18"/>
  <c r="DB125" i="18"/>
  <c r="DC125" i="18"/>
  <c r="CZ125" i="18"/>
  <c r="DA125" i="18"/>
  <c r="CY164" i="18"/>
  <c r="DC164" i="18"/>
  <c r="CH231" i="18"/>
  <c r="CC231" i="18"/>
  <c r="BY231" i="18"/>
  <c r="BU231" i="18"/>
  <c r="CW164" i="18"/>
  <c r="DB164" i="18"/>
  <c r="CR231" i="18"/>
  <c r="CA231" i="18"/>
  <c r="BV231" i="18"/>
  <c r="CT220" i="18"/>
  <c r="CP220" i="18"/>
  <c r="CL220" i="18"/>
  <c r="CH220" i="18"/>
  <c r="CC220" i="18"/>
  <c r="BY220" i="18"/>
  <c r="BU220" i="18"/>
  <c r="BQ220" i="18"/>
  <c r="BM220" i="18"/>
  <c r="BI220" i="18"/>
  <c r="BE220" i="18"/>
  <c r="BA220" i="18"/>
  <c r="AW220" i="18"/>
  <c r="AS220" i="18"/>
  <c r="DD164" i="18"/>
  <c r="CK231" i="18"/>
  <c r="CF231" i="18"/>
  <c r="BZ231" i="18"/>
  <c r="BT231" i="18"/>
  <c r="CS220" i="18"/>
  <c r="CO220" i="18"/>
  <c r="CK220" i="18"/>
  <c r="CG220" i="18"/>
  <c r="CB220" i="18"/>
  <c r="BX220" i="18"/>
  <c r="BT220" i="18"/>
  <c r="BP220" i="18"/>
  <c r="BL220" i="18"/>
  <c r="BH220" i="18"/>
  <c r="BD220" i="18"/>
  <c r="AZ220" i="18"/>
  <c r="AV220" i="18"/>
  <c r="AR220" i="18"/>
  <c r="AN220" i="18"/>
  <c r="AJ220" i="18"/>
  <c r="AF220" i="18"/>
  <c r="AB220" i="18"/>
  <c r="X220" i="18"/>
  <c r="T220" i="18"/>
  <c r="P220" i="18"/>
  <c r="L220" i="18"/>
  <c r="CZ164" i="18"/>
  <c r="BX231" i="18"/>
  <c r="CN220" i="18"/>
  <c r="CF220" i="18"/>
  <c r="BW220" i="18"/>
  <c r="BO220" i="18"/>
  <c r="BG220" i="18"/>
  <c r="AY220" i="18"/>
  <c r="AQ220" i="18"/>
  <c r="AL220" i="18"/>
  <c r="AG220" i="18"/>
  <c r="AA220" i="18"/>
  <c r="V220" i="18"/>
  <c r="Q220" i="18"/>
  <c r="J220" i="18"/>
  <c r="CQ219" i="18"/>
  <c r="CM219" i="18"/>
  <c r="CI219" i="18"/>
  <c r="CE219" i="18"/>
  <c r="BZ219" i="18"/>
  <c r="BV219" i="18"/>
  <c r="BR219" i="18"/>
  <c r="BN219" i="18"/>
  <c r="BJ219" i="18"/>
  <c r="BF219" i="18"/>
  <c r="BB219" i="18"/>
  <c r="AX219" i="18"/>
  <c r="AT219" i="18"/>
  <c r="AP219" i="18"/>
  <c r="AL219" i="18"/>
  <c r="AH219" i="18"/>
  <c r="Z219" i="18"/>
  <c r="R219" i="18"/>
  <c r="DA164" i="18"/>
  <c r="CI231" i="18"/>
  <c r="CB231" i="18"/>
  <c r="CQ220" i="18"/>
  <c r="CI220" i="18"/>
  <c r="BZ220" i="18"/>
  <c r="BR220" i="18"/>
  <c r="BJ220" i="18"/>
  <c r="BB220" i="18"/>
  <c r="AT220" i="18"/>
  <c r="AM220" i="18"/>
  <c r="AH220" i="18"/>
  <c r="AC220" i="18"/>
  <c r="W220" i="18"/>
  <c r="R220" i="18"/>
  <c r="M220" i="18"/>
  <c r="CR219" i="18"/>
  <c r="CN219" i="18"/>
  <c r="CJ219" i="18"/>
  <c r="CF219" i="18"/>
  <c r="CA219" i="18"/>
  <c r="BW219" i="18"/>
  <c r="BS219" i="18"/>
  <c r="BO219" i="18"/>
  <c r="BK219" i="18"/>
  <c r="BG219" i="18"/>
  <c r="BC219" i="18"/>
  <c r="AY219" i="18"/>
  <c r="AU219" i="18"/>
  <c r="AQ219" i="18"/>
  <c r="AM219" i="18"/>
  <c r="AI219" i="18"/>
  <c r="AE219" i="18"/>
  <c r="AA219" i="18"/>
  <c r="W219" i="18"/>
  <c r="S219" i="18"/>
  <c r="O219" i="18"/>
  <c r="J219" i="18"/>
  <c r="AD219" i="18"/>
  <c r="V219" i="18"/>
  <c r="N219" i="18"/>
  <c r="CJ220" i="18"/>
  <c r="BS220" i="18"/>
  <c r="BC220" i="18"/>
  <c r="AO220" i="18"/>
  <c r="AD220" i="18"/>
  <c r="S220" i="18"/>
  <c r="CS219" i="18"/>
  <c r="CK219" i="18"/>
  <c r="CB219" i="18"/>
  <c r="BT219" i="18"/>
  <c r="BL219" i="18"/>
  <c r="BD219" i="18"/>
  <c r="AV219" i="18"/>
  <c r="X219" i="18"/>
  <c r="P219" i="18"/>
  <c r="BN220" i="18"/>
  <c r="AK220" i="18"/>
  <c r="O220" i="18"/>
  <c r="CH219" i="18"/>
  <c r="BQ219" i="18"/>
  <c r="BA219" i="18"/>
  <c r="AK219" i="18"/>
  <c r="U219" i="18"/>
  <c r="CE231" i="18"/>
  <c r="CA220" i="18"/>
  <c r="AU220" i="18"/>
  <c r="Y220" i="18"/>
  <c r="CO219" i="18"/>
  <c r="BX219" i="18"/>
  <c r="BH219" i="18"/>
  <c r="AR219" i="18"/>
  <c r="AB219" i="18"/>
  <c r="L219" i="18"/>
  <c r="DO164" i="18"/>
  <c r="CM220" i="18"/>
  <c r="BV220" i="18"/>
  <c r="BF220" i="18"/>
  <c r="AP220" i="18"/>
  <c r="AE220" i="18"/>
  <c r="U220" i="18"/>
  <c r="CT219" i="18"/>
  <c r="CL219" i="18"/>
  <c r="CC219" i="18"/>
  <c r="BU219" i="18"/>
  <c r="BM219" i="18"/>
  <c r="BE219" i="18"/>
  <c r="AW219" i="18"/>
  <c r="AO219" i="18"/>
  <c r="AG219" i="18"/>
  <c r="Y219" i="18"/>
  <c r="Q219" i="18"/>
  <c r="AN219" i="18"/>
  <c r="AF219" i="18"/>
  <c r="CE220" i="18"/>
  <c r="AX220" i="18"/>
  <c r="Z220" i="18"/>
  <c r="CP219" i="18"/>
  <c r="BY219" i="18"/>
  <c r="BI219" i="18"/>
  <c r="AS219" i="18"/>
  <c r="AC219" i="18"/>
  <c r="M219" i="18"/>
  <c r="CR220" i="18"/>
  <c r="BK220" i="18"/>
  <c r="AI220" i="18"/>
  <c r="N220" i="18"/>
  <c r="CG219" i="18"/>
  <c r="BP219" i="18"/>
  <c r="AZ219" i="18"/>
  <c r="AJ219" i="18"/>
  <c r="T219" i="18"/>
  <c r="BQ218" i="18"/>
  <c r="AA218" i="18"/>
  <c r="CH216" i="18"/>
  <c r="BK216" i="18"/>
  <c r="AP216" i="18"/>
  <c r="U216" i="18"/>
  <c r="AV218" i="18"/>
  <c r="BV216" i="18"/>
  <c r="AE216" i="18"/>
  <c r="CB218" i="18"/>
  <c r="CM216" i="18"/>
  <c r="AU216" i="18"/>
  <c r="BG218" i="18"/>
  <c r="P218" i="18"/>
  <c r="CA216" i="18"/>
  <c r="BF216" i="18"/>
  <c r="AK216" i="18"/>
  <c r="O216" i="18"/>
  <c r="CN218" i="18"/>
  <c r="CR216" i="18"/>
  <c r="BA216" i="18"/>
  <c r="AK218" i="18"/>
  <c r="BQ216" i="18"/>
  <c r="Z216" i="18"/>
  <c r="CK218" i="18"/>
  <c r="CF217" i="18"/>
  <c r="BO217" i="18"/>
  <c r="AY217" i="18"/>
  <c r="AI217" i="18"/>
  <c r="S217" i="18"/>
  <c r="CG217" i="18"/>
  <c r="BJ217" i="18"/>
  <c r="AO217" i="18"/>
  <c r="T217" i="18"/>
  <c r="CI217" i="18"/>
  <c r="BM217" i="18"/>
  <c r="AR217" i="18"/>
  <c r="V217" i="18"/>
  <c r="CE217" i="18"/>
  <c r="AN217" i="18"/>
  <c r="CB217" i="18"/>
  <c r="AK217" i="18"/>
  <c r="BY217" i="18"/>
  <c r="AH217" i="18"/>
  <c r="CH217" i="18"/>
  <c r="AP217" i="18"/>
  <c r="L217" i="18"/>
  <c r="AQ218" i="18"/>
  <c r="CH218" i="18"/>
  <c r="CK216" i="18"/>
  <c r="BT216" i="18"/>
  <c r="BD216" i="18"/>
  <c r="AN216" i="18"/>
  <c r="X216" i="18"/>
  <c r="CL216" i="18"/>
  <c r="BO216" i="18"/>
  <c r="AT216" i="18"/>
  <c r="Y216" i="18"/>
  <c r="CT216" i="18"/>
  <c r="BW216" i="18"/>
  <c r="BB216" i="18"/>
  <c r="AG216" i="18"/>
  <c r="L218" i="18"/>
  <c r="M216" i="18"/>
  <c r="BC216" i="18"/>
  <c r="M218" i="18"/>
  <c r="BD218" i="18"/>
  <c r="CQ218" i="18"/>
  <c r="BZ218" i="18"/>
  <c r="BJ218" i="18"/>
  <c r="AT218" i="18"/>
  <c r="AD218" i="18"/>
  <c r="N218" i="18"/>
  <c r="CG218" i="18"/>
  <c r="BK218" i="18"/>
  <c r="AO218" i="18"/>
  <c r="T218" i="18"/>
  <c r="CJ218" i="18"/>
  <c r="BM218" i="18"/>
  <c r="AR218" i="18"/>
  <c r="W218" i="18"/>
  <c r="AM216" i="18"/>
  <c r="CE216" i="18"/>
  <c r="AN218" i="18"/>
  <c r="CF218" i="18"/>
  <c r="BW217" i="18"/>
  <c r="AQ217" i="18"/>
  <c r="CQ217" i="18"/>
  <c r="AZ217" i="18"/>
  <c r="CT217" i="18"/>
  <c r="BB217" i="18"/>
  <c r="J217" i="18"/>
  <c r="R217" i="18"/>
  <c r="P217" i="18"/>
  <c r="M217" i="18"/>
  <c r="U217" i="18"/>
  <c r="U218" i="18"/>
  <c r="CS216" i="18"/>
  <c r="BL216" i="18"/>
  <c r="AF216" i="18"/>
  <c r="BZ216" i="18"/>
  <c r="AI216" i="18"/>
  <c r="CI216" i="18"/>
  <c r="AQ216" i="18"/>
  <c r="BY216" i="18"/>
  <c r="BY218" i="18"/>
  <c r="BR218" i="18"/>
  <c r="AL218" i="18"/>
  <c r="CR218" i="18"/>
  <c r="AZ218" i="18"/>
  <c r="CT218" i="18"/>
  <c r="BC218" i="18"/>
  <c r="R216" i="18"/>
  <c r="S218" i="18"/>
  <c r="CR217" i="18"/>
  <c r="CA217" i="18"/>
  <c r="BK217" i="18"/>
  <c r="AU217" i="18"/>
  <c r="AE217" i="18"/>
  <c r="O217" i="18"/>
  <c r="BZ217" i="18"/>
  <c r="BE217" i="18"/>
  <c r="AJ217" i="18"/>
  <c r="N217" i="18"/>
  <c r="CC217" i="18"/>
  <c r="BH217" i="18"/>
  <c r="AL217" i="18"/>
  <c r="Q217" i="18"/>
  <c r="BT217" i="18"/>
  <c r="AC217" i="18"/>
  <c r="BQ217" i="18"/>
  <c r="Z217" i="18"/>
  <c r="BN217" i="18"/>
  <c r="X217" i="18"/>
  <c r="BV217" i="18"/>
  <c r="AF217" i="18"/>
  <c r="BA218" i="18"/>
  <c r="CS218" i="18"/>
  <c r="CG216" i="18"/>
  <c r="BP216" i="18"/>
  <c r="AZ216" i="18"/>
  <c r="AJ216" i="18"/>
  <c r="T216" i="18"/>
  <c r="CF216" i="18"/>
  <c r="BJ216" i="18"/>
  <c r="AO216" i="18"/>
  <c r="S216" i="18"/>
  <c r="CN216" i="18"/>
  <c r="BR216" i="18"/>
  <c r="AW216" i="18"/>
  <c r="AA216" i="18"/>
  <c r="W216" i="18"/>
  <c r="BN216" i="18"/>
  <c r="X218" i="18"/>
  <c r="BO218" i="18"/>
  <c r="CM218" i="18"/>
  <c r="BV218" i="18"/>
  <c r="BF218" i="18"/>
  <c r="AP218" i="18"/>
  <c r="Z218" i="18"/>
  <c r="J218" i="18"/>
  <c r="CA218" i="18"/>
  <c r="BE218" i="18"/>
  <c r="AJ218" i="18"/>
  <c r="O218" i="18"/>
  <c r="CC218" i="18"/>
  <c r="BH218" i="18"/>
  <c r="AM218" i="18"/>
  <c r="Q218" i="18"/>
  <c r="AX216" i="18"/>
  <c r="CP216" i="18"/>
  <c r="AY218" i="18"/>
  <c r="CP218" i="18"/>
  <c r="CN217" i="18"/>
  <c r="BG217" i="18"/>
  <c r="AA217" i="18"/>
  <c r="BU217" i="18"/>
  <c r="AD217" i="18"/>
  <c r="BX217" i="18"/>
  <c r="AG217" i="18"/>
  <c r="BI217" i="18"/>
  <c r="BF217" i="18"/>
  <c r="BD217" i="18"/>
  <c r="BL217" i="18"/>
  <c r="BL218" i="18"/>
  <c r="CB216" i="18"/>
  <c r="AV216" i="18"/>
  <c r="P216" i="18"/>
  <c r="BE216" i="18"/>
  <c r="N216" i="18"/>
  <c r="BM216" i="18"/>
  <c r="V216" i="18"/>
  <c r="AH216" i="18"/>
  <c r="AI218" i="18"/>
  <c r="CI218" i="18"/>
  <c r="BB218" i="18"/>
  <c r="V218" i="18"/>
  <c r="BU218" i="18"/>
  <c r="AE218" i="18"/>
  <c r="BX218" i="18"/>
  <c r="AG218" i="18"/>
  <c r="L216" i="18"/>
  <c r="BI216" i="18"/>
  <c r="BI218" i="18"/>
  <c r="CJ217" i="18"/>
  <c r="W217" i="18"/>
  <c r="Y217" i="18"/>
  <c r="AB217" i="18"/>
  <c r="AV217" i="18"/>
  <c r="BA217" i="18"/>
  <c r="BW218" i="18"/>
  <c r="AR216" i="18"/>
  <c r="AY216" i="18"/>
  <c r="BG216" i="18"/>
  <c r="AS216" i="18"/>
  <c r="CE218" i="18"/>
  <c r="R218" i="18"/>
  <c r="Y218" i="18"/>
  <c r="AB218" i="18"/>
  <c r="BS216" i="18"/>
  <c r="BC217" i="18"/>
  <c r="BR217" i="18"/>
  <c r="AS217" i="18"/>
  <c r="BX216" i="18"/>
  <c r="J216" i="18"/>
  <c r="AS218" i="18"/>
  <c r="BP218" i="18"/>
  <c r="AT217" i="18"/>
  <c r="CM217" i="18"/>
  <c r="BH216" i="18"/>
  <c r="CC216" i="18"/>
  <c r="AU218" i="18"/>
  <c r="AC216" i="18"/>
  <c r="BS217" i="18"/>
  <c r="CL217" i="18"/>
  <c r="CO217" i="18"/>
  <c r="CP217" i="18"/>
  <c r="CK217" i="18"/>
  <c r="CO216" i="18"/>
  <c r="AB216" i="18"/>
  <c r="AD216" i="18"/>
  <c r="AL216" i="18"/>
  <c r="CJ216" i="18"/>
  <c r="BN218" i="18"/>
  <c r="CL218" i="18"/>
  <c r="CO218" i="18"/>
  <c r="AC218" i="18"/>
  <c r="BP217" i="18"/>
  <c r="AX217" i="18"/>
  <c r="CQ216" i="18"/>
  <c r="Q216" i="18"/>
  <c r="AX218" i="18"/>
  <c r="BS218" i="18"/>
  <c r="BT218" i="18"/>
  <c r="AM217" i="18"/>
  <c r="AW217" i="18"/>
  <c r="CS217" i="18"/>
  <c r="AF218" i="18"/>
  <c r="BU216" i="18"/>
  <c r="AH218" i="18"/>
  <c r="AW218" i="18"/>
  <c r="CY200" i="18"/>
  <c r="DC200" i="18"/>
  <c r="DB200" i="18"/>
  <c r="DD200" i="18"/>
  <c r="CZ200" i="18"/>
  <c r="DA200" i="18"/>
  <c r="CV200" i="18"/>
  <c r="DO200" i="18"/>
  <c r="CY172" i="18"/>
  <c r="DC172" i="18"/>
  <c r="DB172" i="18"/>
  <c r="CX172" i="18"/>
  <c r="DD172" i="18"/>
  <c r="CZ172" i="18"/>
  <c r="DA172" i="18"/>
  <c r="CV172" i="18"/>
  <c r="DO172" i="18"/>
  <c r="CY168" i="18"/>
  <c r="DC168" i="18"/>
  <c r="DB168" i="18"/>
  <c r="CX168" i="18"/>
  <c r="DD168" i="18"/>
  <c r="DO168" i="18"/>
  <c r="DA168" i="18"/>
  <c r="CV168" i="18"/>
  <c r="CZ168" i="18"/>
  <c r="CY203" i="18"/>
  <c r="DC203" i="18"/>
  <c r="CX203" i="18"/>
  <c r="DD203" i="18"/>
  <c r="CZ203" i="18"/>
  <c r="DO203" i="18"/>
  <c r="DB203" i="18"/>
  <c r="DA203" i="18"/>
  <c r="DC199" i="18"/>
  <c r="CX199" i="18"/>
  <c r="DD199" i="18"/>
  <c r="CZ199" i="18"/>
  <c r="DO199" i="18"/>
  <c r="DA199" i="18"/>
  <c r="DB199" i="18"/>
  <c r="CV199" i="18"/>
  <c r="CY195" i="18"/>
  <c r="DC195" i="18"/>
  <c r="CX195" i="18"/>
  <c r="DD195" i="18"/>
  <c r="CZ195" i="18"/>
  <c r="DO195" i="18"/>
  <c r="CV195" i="18"/>
  <c r="DB195" i="18"/>
  <c r="DA195" i="18"/>
  <c r="DC171" i="18"/>
  <c r="CX171" i="18"/>
  <c r="DD171" i="18"/>
  <c r="CZ171" i="18"/>
  <c r="DO171" i="18"/>
  <c r="DA171" i="18"/>
  <c r="DB171" i="18"/>
  <c r="CV171" i="18"/>
  <c r="DC167" i="18"/>
  <c r="DC249" i="18" s="1"/>
  <c r="DD167" i="18"/>
  <c r="DD249" i="18" s="1"/>
  <c r="CZ167" i="18"/>
  <c r="CZ249" i="18" s="1"/>
  <c r="DO167" i="18"/>
  <c r="DO249" i="18" s="1"/>
  <c r="DB167" i="18"/>
  <c r="DB249" i="18" s="1"/>
  <c r="DA167" i="18"/>
  <c r="DA249" i="18" s="1"/>
  <c r="CY201" i="18"/>
  <c r="DC201" i="18"/>
  <c r="CV201" i="18"/>
  <c r="DA201" i="18"/>
  <c r="DB201" i="18"/>
  <c r="DO201" i="18"/>
  <c r="CZ201" i="18"/>
  <c r="DD201" i="18"/>
  <c r="CY197" i="18"/>
  <c r="DC197" i="18"/>
  <c r="DA197" i="18"/>
  <c r="DB197" i="18"/>
  <c r="DD197" i="18"/>
  <c r="DO197" i="18"/>
  <c r="CZ197" i="18"/>
  <c r="CX197" i="18"/>
  <c r="CY173" i="18"/>
  <c r="DC173" i="18"/>
  <c r="CV173" i="18"/>
  <c r="DA173" i="18"/>
  <c r="DB173" i="18"/>
  <c r="CX173" i="18"/>
  <c r="DO173" i="18"/>
  <c r="CZ173" i="18"/>
  <c r="DD173" i="18"/>
  <c r="CY169" i="18"/>
  <c r="DC169" i="18"/>
  <c r="DA169" i="18"/>
  <c r="DB169" i="18"/>
  <c r="DD169" i="18"/>
  <c r="CZ169" i="18"/>
  <c r="DO169" i="18"/>
  <c r="CY165" i="18"/>
  <c r="DC165" i="18"/>
  <c r="DA165" i="18"/>
  <c r="DB165" i="18"/>
  <c r="DO165" i="18"/>
  <c r="CZ165" i="18"/>
  <c r="DD165" i="18"/>
  <c r="CY196" i="18"/>
  <c r="DC196" i="18"/>
  <c r="DB196" i="18"/>
  <c r="CX196" i="18"/>
  <c r="DD196" i="18"/>
  <c r="DO196" i="18"/>
  <c r="CV196" i="18"/>
  <c r="DA196" i="18"/>
  <c r="CZ196" i="18"/>
  <c r="DC202" i="18"/>
  <c r="DC240" i="18" s="1"/>
  <c r="CZ202" i="18"/>
  <c r="CZ240" i="18" s="1"/>
  <c r="DO202" i="18"/>
  <c r="DO240" i="18" s="1"/>
  <c r="CV202" i="18"/>
  <c r="CV240" i="18" s="1"/>
  <c r="DA202" i="18"/>
  <c r="DA240" i="18" s="1"/>
  <c r="CX202" i="18"/>
  <c r="CX240" i="18" s="1"/>
  <c r="DD202" i="18"/>
  <c r="DD240" i="18" s="1"/>
  <c r="DB202" i="18"/>
  <c r="DB240" i="18" s="1"/>
  <c r="CY198" i="18"/>
  <c r="DC198" i="18"/>
  <c r="CZ198" i="18"/>
  <c r="DO198" i="18"/>
  <c r="CV198" i="18"/>
  <c r="DA198" i="18"/>
  <c r="DB198" i="18"/>
  <c r="DD198" i="18"/>
  <c r="CX198" i="18"/>
  <c r="CY194" i="18"/>
  <c r="DC194" i="18"/>
  <c r="CZ194" i="18"/>
  <c r="DO194" i="18"/>
  <c r="CV194" i="18"/>
  <c r="DA194" i="18"/>
  <c r="CX194" i="18"/>
  <c r="DD194" i="18"/>
  <c r="DB194" i="18"/>
  <c r="CY170" i="18"/>
  <c r="DC170" i="18"/>
  <c r="CZ170" i="18"/>
  <c r="DO170" i="18"/>
  <c r="DA170" i="18"/>
  <c r="DB170" i="18"/>
  <c r="DD170" i="18"/>
  <c r="CY166" i="18"/>
  <c r="CY250" i="18" s="1"/>
  <c r="DC166" i="18"/>
  <c r="DC250" i="18" s="1"/>
  <c r="CZ166" i="18"/>
  <c r="CZ250" i="18" s="1"/>
  <c r="DO166" i="18"/>
  <c r="DO250" i="18" s="1"/>
  <c r="DA166" i="18"/>
  <c r="DA250" i="18" s="1"/>
  <c r="DD166" i="18"/>
  <c r="DD250" i="18" s="1"/>
  <c r="DB166" i="18"/>
  <c r="DB250" i="18" s="1"/>
  <c r="BP207" i="18"/>
  <c r="BE207" i="18"/>
  <c r="BQ208" i="18"/>
  <c r="BE208" i="18"/>
  <c r="BQ207" i="18"/>
  <c r="BR207" i="18"/>
  <c r="AO208" i="18"/>
  <c r="BI207" i="18"/>
  <c r="BN208" i="18"/>
  <c r="BL208" i="18"/>
  <c r="BG208" i="18"/>
  <c r="BR208" i="18"/>
  <c r="BK207" i="18"/>
  <c r="BJ208" i="18"/>
  <c r="BK208" i="18"/>
  <c r="Z207" i="18"/>
  <c r="AO207" i="18"/>
  <c r="BF208" i="18"/>
  <c r="BL207" i="18"/>
  <c r="BO208" i="18"/>
  <c r="BH207" i="18"/>
  <c r="BP208" i="18"/>
  <c r="BF207" i="18"/>
  <c r="BM208" i="18"/>
  <c r="Z208" i="18"/>
  <c r="BO207" i="18"/>
  <c r="BI208" i="18"/>
  <c r="BD207" i="18"/>
  <c r="BG207" i="18"/>
  <c r="BN207" i="18"/>
  <c r="BD208" i="18"/>
  <c r="BJ207" i="18"/>
  <c r="BH208" i="18"/>
  <c r="BM207" i="18"/>
  <c r="BS83" i="18"/>
  <c r="CV83" i="18" s="1"/>
  <c r="BS45" i="18"/>
  <c r="BS74" i="18"/>
  <c r="BS53" i="18"/>
  <c r="BS115" i="18"/>
  <c r="CB115" i="18" s="1"/>
  <c r="BS122" i="18"/>
  <c r="CB122" i="18" s="1"/>
  <c r="BS75" i="18"/>
  <c r="BS51" i="18"/>
  <c r="BS87" i="18"/>
  <c r="CB87" i="18" s="1"/>
  <c r="BS90" i="18"/>
  <c r="BS76" i="18"/>
  <c r="BS121" i="18"/>
  <c r="CB121" i="18" s="1"/>
  <c r="BS119" i="18"/>
  <c r="CB119" i="18" s="1"/>
  <c r="BS48" i="18"/>
  <c r="BS77" i="18"/>
  <c r="BS85" i="18"/>
  <c r="BS123" i="18"/>
  <c r="BS78" i="18"/>
  <c r="BS117" i="18"/>
  <c r="CB117" i="18" s="1"/>
  <c r="BS46" i="18"/>
  <c r="BS86" i="18"/>
  <c r="BU86" i="18" s="1"/>
  <c r="BS50" i="18"/>
  <c r="BS116" i="18"/>
  <c r="CB116" i="18" s="1"/>
  <c r="BS88" i="18"/>
  <c r="CB88" i="18" s="1"/>
  <c r="BS44" i="18"/>
  <c r="CD44" i="18" s="1"/>
  <c r="CD207" i="18" s="1"/>
  <c r="BS114" i="18"/>
  <c r="BS89" i="18"/>
  <c r="CB89" i="18" s="1"/>
  <c r="BS81" i="18"/>
  <c r="BS80" i="18"/>
  <c r="BS84" i="18"/>
  <c r="BS93" i="18"/>
  <c r="CB93" i="18" s="1"/>
  <c r="BS92" i="18"/>
  <c r="CB92" i="18" s="1"/>
  <c r="BS91" i="18"/>
  <c r="BS82" i="18"/>
  <c r="BS79" i="18"/>
  <c r="BS52" i="18"/>
  <c r="BS47" i="18"/>
  <c r="CU47" i="18" s="1"/>
  <c r="BS118" i="18"/>
  <c r="CB118" i="18" s="1"/>
  <c r="BS49" i="18"/>
  <c r="BS120" i="18"/>
  <c r="CB120" i="18" s="1"/>
  <c r="O14" i="11"/>
  <c r="N14" i="11"/>
  <c r="M14" i="11"/>
  <c r="L14" i="11"/>
  <c r="S13" i="10"/>
  <c r="J7" i="18"/>
  <c r="J8" i="18"/>
  <c r="J9" i="18"/>
  <c r="J10" i="18"/>
  <c r="J11" i="18"/>
  <c r="J12" i="18"/>
  <c r="J13" i="18"/>
  <c r="J34" i="18"/>
  <c r="J35" i="18"/>
  <c r="J36" i="18"/>
  <c r="J37" i="18"/>
  <c r="J38" i="18"/>
  <c r="J39" i="18"/>
  <c r="J40" i="18"/>
  <c r="J41" i="18"/>
  <c r="J42" i="18"/>
  <c r="J43" i="18"/>
  <c r="J45" i="18"/>
  <c r="J46" i="18"/>
  <c r="J47" i="18"/>
  <c r="J48" i="18"/>
  <c r="J49" i="18"/>
  <c r="J50" i="18"/>
  <c r="J51" i="18"/>
  <c r="J52" i="18"/>
  <c r="J53" i="18"/>
  <c r="J74" i="18"/>
  <c r="J75" i="18"/>
  <c r="J76" i="18"/>
  <c r="J77" i="18"/>
  <c r="J78" i="18"/>
  <c r="J79" i="18"/>
  <c r="J80" i="18"/>
  <c r="J81" i="18"/>
  <c r="J82" i="18"/>
  <c r="S15" i="10"/>
  <c r="S16" i="10"/>
  <c r="S17" i="10"/>
  <c r="S18" i="10"/>
  <c r="S19" i="10"/>
  <c r="S20" i="10"/>
  <c r="S21" i="10"/>
  <c r="T21" i="10" s="1"/>
  <c r="S22" i="10"/>
  <c r="S23" i="10"/>
  <c r="S44" i="10"/>
  <c r="S45" i="10"/>
  <c r="S46" i="10"/>
  <c r="S47" i="10"/>
  <c r="S48" i="10"/>
  <c r="S49" i="10"/>
  <c r="S50" i="10"/>
  <c r="S51" i="10"/>
  <c r="S52" i="10"/>
  <c r="L16" i="11"/>
  <c r="M16" i="11"/>
  <c r="N16" i="11"/>
  <c r="O16" i="11"/>
  <c r="L17" i="11"/>
  <c r="M17" i="11"/>
  <c r="N17" i="11"/>
  <c r="O17" i="11"/>
  <c r="L18" i="11"/>
  <c r="M18" i="11"/>
  <c r="N18" i="11"/>
  <c r="O18" i="11"/>
  <c r="L19" i="11"/>
  <c r="M19" i="11"/>
  <c r="N19" i="11"/>
  <c r="O19" i="11"/>
  <c r="L20" i="11"/>
  <c r="M20" i="11"/>
  <c r="N20" i="11"/>
  <c r="O20" i="11"/>
  <c r="L21" i="11"/>
  <c r="M21" i="11"/>
  <c r="N21" i="11"/>
  <c r="O21" i="11"/>
  <c r="L22" i="11"/>
  <c r="M22" i="11"/>
  <c r="N22" i="11"/>
  <c r="O22" i="11"/>
  <c r="L23" i="11"/>
  <c r="M23" i="11"/>
  <c r="N23" i="11"/>
  <c r="O23" i="11"/>
  <c r="L44" i="11"/>
  <c r="M44" i="11"/>
  <c r="N44" i="11"/>
  <c r="O44" i="11"/>
  <c r="L45" i="11"/>
  <c r="M45" i="11"/>
  <c r="N45" i="11"/>
  <c r="O45" i="11"/>
  <c r="L46" i="11"/>
  <c r="M46" i="11"/>
  <c r="N46" i="11"/>
  <c r="O46" i="11"/>
  <c r="L47" i="11"/>
  <c r="M47" i="11"/>
  <c r="N47" i="11"/>
  <c r="O47" i="11"/>
  <c r="L48" i="11"/>
  <c r="M48" i="11"/>
  <c r="N48" i="11"/>
  <c r="O48" i="11"/>
  <c r="L49" i="11"/>
  <c r="M49" i="11"/>
  <c r="N49" i="11"/>
  <c r="O49" i="11"/>
  <c r="L50" i="11"/>
  <c r="M50" i="11"/>
  <c r="N50" i="11"/>
  <c r="O50" i="11"/>
  <c r="L51" i="11"/>
  <c r="M51" i="11"/>
  <c r="N51" i="11"/>
  <c r="O51" i="11"/>
  <c r="L52" i="11"/>
  <c r="M52" i="11"/>
  <c r="N52" i="11"/>
  <c r="O52" i="11"/>
  <c r="L53" i="11"/>
  <c r="M53" i="11"/>
  <c r="N53" i="11"/>
  <c r="O53" i="11"/>
  <c r="L54" i="11"/>
  <c r="M54" i="11"/>
  <c r="N54" i="11"/>
  <c r="O54" i="11"/>
  <c r="O15" i="11"/>
  <c r="N15" i="11"/>
  <c r="M15" i="11"/>
  <c r="L15" i="11"/>
  <c r="I20" i="11"/>
  <c r="I21" i="11"/>
  <c r="I22" i="11"/>
  <c r="I23" i="11"/>
  <c r="I44" i="11"/>
  <c r="I45" i="11"/>
  <c r="I46" i="11"/>
  <c r="I47" i="11"/>
  <c r="I48" i="11"/>
  <c r="I49" i="11"/>
  <c r="I50" i="11"/>
  <c r="K50" i="11" s="1"/>
  <c r="I51" i="11"/>
  <c r="K51" i="11" s="1"/>
  <c r="I52" i="11"/>
  <c r="K52" i="11" s="1"/>
  <c r="I53" i="11"/>
  <c r="K53" i="11" s="1"/>
  <c r="I54" i="11"/>
  <c r="K54" i="11" s="1"/>
  <c r="H51" i="11"/>
  <c r="H52" i="11"/>
  <c r="DF245" i="18" l="1"/>
  <c r="DJ245" i="18"/>
  <c r="DM245" i="18"/>
  <c r="DN245" i="18"/>
  <c r="DN248" i="18"/>
  <c r="DN244" i="18"/>
  <c r="DG248" i="18"/>
  <c r="DG244" i="18"/>
  <c r="DM248" i="18"/>
  <c r="DM244" i="18"/>
  <c r="B10" i="13"/>
  <c r="DH248" i="18"/>
  <c r="DH244" i="18"/>
  <c r="DE248" i="18"/>
  <c r="DE244" i="18"/>
  <c r="DE245" i="18"/>
  <c r="DH245" i="18"/>
  <c r="DF248" i="18"/>
  <c r="DF244" i="18"/>
  <c r="DL248" i="18"/>
  <c r="DL244" i="18"/>
  <c r="B11" i="13"/>
  <c r="DL245" i="18"/>
  <c r="DK248" i="18"/>
  <c r="DK244" i="18"/>
  <c r="DJ248" i="18"/>
  <c r="DJ244" i="18"/>
  <c r="DI248" i="18"/>
  <c r="DI244" i="18"/>
  <c r="CX242" i="18"/>
  <c r="CX248" i="18"/>
  <c r="DB242" i="18"/>
  <c r="DB248" i="18"/>
  <c r="CZ242" i="18"/>
  <c r="CZ248" i="18"/>
  <c r="DC242" i="18"/>
  <c r="DC248" i="18"/>
  <c r="DO242" i="18"/>
  <c r="DO248" i="18"/>
  <c r="DA242" i="18"/>
  <c r="DA248" i="18"/>
  <c r="DD242" i="18"/>
  <c r="DD248" i="18"/>
  <c r="CY248" i="18"/>
  <c r="B18" i="13"/>
  <c r="DE247" i="18"/>
  <c r="DE249" i="18"/>
  <c r="DJ247" i="18"/>
  <c r="DJ249" i="18"/>
  <c r="DH247" i="18"/>
  <c r="DH249" i="18"/>
  <c r="DI247" i="18"/>
  <c r="DI249" i="18"/>
  <c r="DL247" i="18"/>
  <c r="DL249" i="18"/>
  <c r="DF247" i="18"/>
  <c r="DF249" i="18"/>
  <c r="DM247" i="18"/>
  <c r="DM249" i="18"/>
  <c r="DN247" i="18"/>
  <c r="DN249" i="18"/>
  <c r="DG247" i="18"/>
  <c r="DG249" i="18"/>
  <c r="DK247" i="18"/>
  <c r="DK249" i="18"/>
  <c r="J120" i="18"/>
  <c r="T50" i="10"/>
  <c r="J116" i="18"/>
  <c r="T46" i="10"/>
  <c r="J92" i="18"/>
  <c r="T22" i="10"/>
  <c r="J88" i="18"/>
  <c r="T18" i="10"/>
  <c r="J119" i="18"/>
  <c r="T49" i="10"/>
  <c r="J115" i="18"/>
  <c r="T45" i="10"/>
  <c r="J87" i="18"/>
  <c r="T17" i="10"/>
  <c r="J121" i="18"/>
  <c r="T51" i="10"/>
  <c r="J117" i="18"/>
  <c r="T47" i="10"/>
  <c r="J93" i="18"/>
  <c r="T23" i="10"/>
  <c r="J89" i="18"/>
  <c r="T19" i="10"/>
  <c r="U13" i="10"/>
  <c r="T13" i="10"/>
  <c r="J122" i="18"/>
  <c r="T52" i="10"/>
  <c r="J118" i="18"/>
  <c r="T48" i="10"/>
  <c r="J114" i="18"/>
  <c r="T44" i="10"/>
  <c r="J90" i="18"/>
  <c r="T20" i="10"/>
  <c r="J86" i="18"/>
  <c r="T16" i="10"/>
  <c r="J85" i="18"/>
  <c r="T15" i="10"/>
  <c r="DK234" i="18"/>
  <c r="DJ234" i="18"/>
  <c r="DI234" i="18"/>
  <c r="DN234" i="18"/>
  <c r="DM234" i="18"/>
  <c r="DL234" i="18"/>
  <c r="DG234" i="18"/>
  <c r="DH234" i="18"/>
  <c r="DE234" i="18"/>
  <c r="DF234" i="18"/>
  <c r="BJ43" i="18"/>
  <c r="BI43" i="18"/>
  <c r="BG43" i="18"/>
  <c r="BR43" i="18"/>
  <c r="BF43" i="18"/>
  <c r="BE43" i="18"/>
  <c r="BP43" i="18"/>
  <c r="BO43" i="18"/>
  <c r="BN43" i="18"/>
  <c r="BM43" i="18"/>
  <c r="BK43" i="18"/>
  <c r="BH43" i="18"/>
  <c r="BQ43" i="18"/>
  <c r="BL43" i="18"/>
  <c r="CX83" i="18"/>
  <c r="CB123" i="18"/>
  <c r="CP123" i="18" s="1"/>
  <c r="BT123" i="18"/>
  <c r="CK123" i="18" s="1"/>
  <c r="CW123" i="18"/>
  <c r="CB85" i="18"/>
  <c r="CP85" i="18" s="1"/>
  <c r="BT85" i="18"/>
  <c r="CK85" i="18" s="1"/>
  <c r="CW85" i="18"/>
  <c r="CX47" i="18"/>
  <c r="DK235" i="18"/>
  <c r="CD84" i="18"/>
  <c r="CD208" i="18" s="1"/>
  <c r="BW84" i="18"/>
  <c r="CU84" i="18"/>
  <c r="DM235" i="18"/>
  <c r="DE235" i="18"/>
  <c r="J6" i="18"/>
  <c r="CU86" i="18"/>
  <c r="CB86" i="18"/>
  <c r="CP86" i="18" s="1"/>
  <c r="BW86" i="18"/>
  <c r="CL86" i="18" s="1"/>
  <c r="DI237" i="18"/>
  <c r="DF237" i="18"/>
  <c r="CW82" i="18"/>
  <c r="BV82" i="18"/>
  <c r="CW50" i="18"/>
  <c r="BV50" i="18"/>
  <c r="CW48" i="18"/>
  <c r="BV48" i="18"/>
  <c r="N15" i="9"/>
  <c r="BV45" i="18"/>
  <c r="CL45" i="18" s="1"/>
  <c r="CW52" i="18"/>
  <c r="BV52" i="18"/>
  <c r="CW81" i="18"/>
  <c r="BV81" i="18"/>
  <c r="CW46" i="18"/>
  <c r="BV46" i="18"/>
  <c r="CW51" i="18"/>
  <c r="BV51" i="18"/>
  <c r="CW53" i="18"/>
  <c r="BV53" i="18"/>
  <c r="CW78" i="18"/>
  <c r="BV78" i="18"/>
  <c r="CW47" i="18"/>
  <c r="BV47" i="18"/>
  <c r="CW80" i="18"/>
  <c r="BV80" i="18"/>
  <c r="CW83" i="18"/>
  <c r="BV83" i="18"/>
  <c r="CW49" i="18"/>
  <c r="BV49" i="18"/>
  <c r="CW79" i="18"/>
  <c r="BV79" i="18"/>
  <c r="CW77" i="18"/>
  <c r="BV77" i="18"/>
  <c r="CW76" i="18"/>
  <c r="BV76" i="18"/>
  <c r="CL76" i="18" s="1"/>
  <c r="CW75" i="18"/>
  <c r="BV75" i="18"/>
  <c r="CW74" i="18"/>
  <c r="BV74" i="18"/>
  <c r="DH237" i="18"/>
  <c r="DF235" i="18"/>
  <c r="DE237" i="18"/>
  <c r="DL235" i="18"/>
  <c r="DN235" i="18"/>
  <c r="DI235" i="18"/>
  <c r="DG235" i="18"/>
  <c r="DH235" i="18"/>
  <c r="DJ235" i="18"/>
  <c r="DN237" i="18"/>
  <c r="DG237" i="18"/>
  <c r="DM237" i="18"/>
  <c r="DK237" i="18"/>
  <c r="DJ237" i="18"/>
  <c r="DL237" i="18"/>
  <c r="DK233" i="18"/>
  <c r="DJ233" i="18"/>
  <c r="D17" i="22"/>
  <c r="DL233" i="18"/>
  <c r="DM233" i="18"/>
  <c r="DI233" i="18"/>
  <c r="DG233" i="18"/>
  <c r="DE233" i="18"/>
  <c r="DN233" i="18"/>
  <c r="DH233" i="18"/>
  <c r="DF233" i="18"/>
  <c r="CH90" i="18"/>
  <c r="CH208" i="18" s="1"/>
  <c r="CI90" i="18"/>
  <c r="CI208" i="18" s="1"/>
  <c r="CF90" i="18"/>
  <c r="CF208" i="18" s="1"/>
  <c r="CG90" i="18"/>
  <c r="CC90" i="18"/>
  <c r="CQ90" i="18" s="1"/>
  <c r="CE90" i="18"/>
  <c r="BZ90" i="18"/>
  <c r="BZ208" i="18" s="1"/>
  <c r="CA90" i="18"/>
  <c r="BW90" i="18"/>
  <c r="BY90" i="18"/>
  <c r="BU90" i="18"/>
  <c r="BV90" i="18"/>
  <c r="CB90" i="18"/>
  <c r="CP90" i="18" s="1"/>
  <c r="BT90" i="18"/>
  <c r="CG84" i="18"/>
  <c r="CS84" i="18" s="1"/>
  <c r="BV84" i="18"/>
  <c r="DJ251" i="18"/>
  <c r="DK251" i="18"/>
  <c r="DG251" i="18"/>
  <c r="DN251" i="18"/>
  <c r="DE251" i="18"/>
  <c r="DH251" i="18"/>
  <c r="DI251" i="18"/>
  <c r="DL251" i="18"/>
  <c r="DF251" i="18"/>
  <c r="DM251" i="18"/>
  <c r="DE246" i="18"/>
  <c r="DE204" i="18"/>
  <c r="DE205" i="18" s="1"/>
  <c r="DG246" i="18"/>
  <c r="DG204" i="18"/>
  <c r="DF246" i="18"/>
  <c r="DF204" i="18"/>
  <c r="DJ246" i="18"/>
  <c r="DJ204" i="18"/>
  <c r="DK204" i="18"/>
  <c r="CB114" i="18"/>
  <c r="CP114" i="18" s="1"/>
  <c r="CT114" i="18" s="1"/>
  <c r="U44" i="10"/>
  <c r="DI246" i="18"/>
  <c r="DI204" i="18"/>
  <c r="DH246" i="18"/>
  <c r="DH204" i="18"/>
  <c r="DL204" i="18"/>
  <c r="DM246" i="18"/>
  <c r="DM204" i="18"/>
  <c r="DN246" i="18"/>
  <c r="DN232" i="18"/>
  <c r="DN241" i="18"/>
  <c r="DM232" i="18"/>
  <c r="DM241" i="18"/>
  <c r="DM238" i="18"/>
  <c r="DL238" i="18"/>
  <c r="DL246" i="18"/>
  <c r="DL241" i="18"/>
  <c r="DL232" i="18"/>
  <c r="DK238" i="18"/>
  <c r="DK232" i="18"/>
  <c r="DK246" i="18"/>
  <c r="DK241" i="18"/>
  <c r="DJ241" i="18"/>
  <c r="DJ232" i="18"/>
  <c r="DJ238" i="18"/>
  <c r="DI232" i="18"/>
  <c r="DI241" i="18"/>
  <c r="DI238" i="18"/>
  <c r="DH241" i="18"/>
  <c r="DH238" i="18"/>
  <c r="DH232" i="18"/>
  <c r="DG241" i="18"/>
  <c r="DG232" i="18"/>
  <c r="DG238" i="18"/>
  <c r="DF241" i="18"/>
  <c r="DF232" i="18"/>
  <c r="DF238" i="18"/>
  <c r="DE241" i="18"/>
  <c r="DE232" i="18"/>
  <c r="DE238" i="18"/>
  <c r="CV122" i="18"/>
  <c r="CV118" i="18"/>
  <c r="CV88" i="18"/>
  <c r="CV93" i="18"/>
  <c r="CV85" i="18"/>
  <c r="CP115" i="18"/>
  <c r="CT115" i="18" s="1"/>
  <c r="CJ115" i="18"/>
  <c r="CP92" i="18"/>
  <c r="CT92" i="18" s="1"/>
  <c r="CJ92" i="18"/>
  <c r="CP88" i="18"/>
  <c r="CT88" i="18" s="1"/>
  <c r="CJ88" i="18"/>
  <c r="CP121" i="18"/>
  <c r="CT121" i="18" s="1"/>
  <c r="CJ121" i="18"/>
  <c r="CV92" i="18"/>
  <c r="CV116" i="18"/>
  <c r="CV117" i="18"/>
  <c r="CV86" i="18"/>
  <c r="CV114" i="18"/>
  <c r="CV119" i="18"/>
  <c r="CP87" i="18"/>
  <c r="CT87" i="18" s="1"/>
  <c r="CJ87" i="18"/>
  <c r="CV121" i="18"/>
  <c r="CV90" i="18"/>
  <c r="CV115" i="18"/>
  <c r="CV123" i="18"/>
  <c r="BU91" i="18"/>
  <c r="CB91" i="18"/>
  <c r="CP91" i="18" s="1"/>
  <c r="CP119" i="18"/>
  <c r="CT119" i="18" s="1"/>
  <c r="CJ119" i="18"/>
  <c r="CV91" i="18"/>
  <c r="CP120" i="18"/>
  <c r="CT120" i="18" s="1"/>
  <c r="CJ120" i="18"/>
  <c r="CP93" i="18"/>
  <c r="CT93" i="18" s="1"/>
  <c r="CJ93" i="18"/>
  <c r="CP89" i="18"/>
  <c r="CT89" i="18" s="1"/>
  <c r="CJ89" i="18"/>
  <c r="CP116" i="18"/>
  <c r="CT116" i="18" s="1"/>
  <c r="CJ116" i="18"/>
  <c r="CP117" i="18"/>
  <c r="CT117" i="18" s="1"/>
  <c r="CJ117" i="18"/>
  <c r="CP118" i="18"/>
  <c r="CT118" i="18" s="1"/>
  <c r="CJ118" i="18"/>
  <c r="CP122" i="18"/>
  <c r="CT122" i="18" s="1"/>
  <c r="CJ122" i="18"/>
  <c r="CV120" i="18"/>
  <c r="CV89" i="18"/>
  <c r="CV87" i="18"/>
  <c r="CW45" i="18"/>
  <c r="N14" i="9"/>
  <c r="BV44" i="18"/>
  <c r="CU44" i="18"/>
  <c r="CV76" i="18"/>
  <c r="BZ76" i="18"/>
  <c r="J91" i="18"/>
  <c r="CU91" i="18"/>
  <c r="J5" i="18"/>
  <c r="H54" i="11"/>
  <c r="G163" i="18" s="1"/>
  <c r="H50" i="11"/>
  <c r="G159" i="18" s="1"/>
  <c r="H53" i="11"/>
  <c r="G162" i="18" s="1"/>
  <c r="DP47" i="18"/>
  <c r="N17" i="9"/>
  <c r="DP89" i="18"/>
  <c r="U19" i="10"/>
  <c r="DP46" i="18"/>
  <c r="N16" i="9"/>
  <c r="DP85" i="18"/>
  <c r="U15" i="10"/>
  <c r="CB84" i="18"/>
  <c r="CP84" i="18" s="1"/>
  <c r="U14" i="10"/>
  <c r="DP80" i="18"/>
  <c r="N50" i="9"/>
  <c r="DP86" i="18"/>
  <c r="U16" i="10"/>
  <c r="DP87" i="18"/>
  <c r="U17" i="10"/>
  <c r="DP115" i="18"/>
  <c r="U45" i="10"/>
  <c r="DP83" i="18"/>
  <c r="N53" i="9"/>
  <c r="DP91" i="18"/>
  <c r="U21" i="10"/>
  <c r="DP93" i="18"/>
  <c r="U23" i="10"/>
  <c r="DP116" i="18"/>
  <c r="U46" i="10"/>
  <c r="DP76" i="18"/>
  <c r="N46" i="9"/>
  <c r="DP75" i="18"/>
  <c r="N45" i="9"/>
  <c r="DP74" i="18"/>
  <c r="N44" i="9"/>
  <c r="DP120" i="18"/>
  <c r="U50" i="10"/>
  <c r="DP52" i="18"/>
  <c r="N22" i="9"/>
  <c r="DP114" i="18"/>
  <c r="DP50" i="18"/>
  <c r="N20" i="9"/>
  <c r="DP117" i="18"/>
  <c r="U47" i="10"/>
  <c r="DP77" i="18"/>
  <c r="N47" i="9"/>
  <c r="DP121" i="18"/>
  <c r="U51" i="10"/>
  <c r="DP90" i="18"/>
  <c r="U20" i="10"/>
  <c r="DP122" i="18"/>
  <c r="U52" i="10"/>
  <c r="DP49" i="18"/>
  <c r="N19" i="9"/>
  <c r="DP79" i="18"/>
  <c r="N49" i="9"/>
  <c r="DP78" i="18"/>
  <c r="N48" i="9"/>
  <c r="DP48" i="18"/>
  <c r="N18" i="9"/>
  <c r="DP118" i="18"/>
  <c r="U48" i="10"/>
  <c r="DP82" i="18"/>
  <c r="N52" i="9"/>
  <c r="DP92" i="18"/>
  <c r="U22" i="10"/>
  <c r="DP81" i="18"/>
  <c r="N51" i="9"/>
  <c r="DP88" i="18"/>
  <c r="U18" i="10"/>
  <c r="DP123" i="18"/>
  <c r="U53" i="10"/>
  <c r="DP119" i="18"/>
  <c r="U49" i="10"/>
  <c r="DP51" i="18"/>
  <c r="N21" i="9"/>
  <c r="DP53" i="18"/>
  <c r="N23" i="9"/>
  <c r="AI203" i="18"/>
  <c r="AD203" i="18"/>
  <c r="AJ203" i="18"/>
  <c r="AM203" i="18"/>
  <c r="AF203" i="18"/>
  <c r="AK203" i="18"/>
  <c r="AN203" i="18"/>
  <c r="AL203" i="18"/>
  <c r="AB203" i="18"/>
  <c r="AC203" i="18"/>
  <c r="AE203" i="18"/>
  <c r="AG203" i="18"/>
  <c r="AH203" i="18"/>
  <c r="AA203" i="18"/>
  <c r="AM202" i="18"/>
  <c r="AM240" i="18" s="1"/>
  <c r="AD202" i="18"/>
  <c r="AD240" i="18" s="1"/>
  <c r="AL202" i="18"/>
  <c r="AL240" i="18" s="1"/>
  <c r="AA202" i="18"/>
  <c r="AA240" i="18" s="1"/>
  <c r="AE202" i="18"/>
  <c r="AE240" i="18" s="1"/>
  <c r="AG202" i="18"/>
  <c r="AG240" i="18" s="1"/>
  <c r="AH202" i="18"/>
  <c r="AH240" i="18" s="1"/>
  <c r="AN202" i="18"/>
  <c r="AN240" i="18" s="1"/>
  <c r="AK202" i="18"/>
  <c r="AK240" i="18" s="1"/>
  <c r="AB202" i="18"/>
  <c r="AB240" i="18" s="1"/>
  <c r="AJ202" i="18"/>
  <c r="AJ240" i="18" s="1"/>
  <c r="AF202" i="18"/>
  <c r="AF240" i="18" s="1"/>
  <c r="AC202" i="18"/>
  <c r="AC240" i="18" s="1"/>
  <c r="AI202" i="18"/>
  <c r="AI240" i="18" s="1"/>
  <c r="AM201" i="18"/>
  <c r="AF201" i="18"/>
  <c r="AI201" i="18"/>
  <c r="AH201" i="18"/>
  <c r="AN201" i="18"/>
  <c r="AL201" i="18"/>
  <c r="AK201" i="18"/>
  <c r="AJ201" i="18"/>
  <c r="AG201" i="18"/>
  <c r="AB201" i="18"/>
  <c r="AD201" i="18"/>
  <c r="AA201" i="18"/>
  <c r="AC201" i="18"/>
  <c r="AE201" i="18"/>
  <c r="AG200" i="18"/>
  <c r="AB200" i="18"/>
  <c r="AE200" i="18"/>
  <c r="AJ200" i="18"/>
  <c r="AC200" i="18"/>
  <c r="AL200" i="18"/>
  <c r="AN200" i="18"/>
  <c r="AM200" i="18"/>
  <c r="AK200" i="18"/>
  <c r="AD200" i="18"/>
  <c r="AH200" i="18"/>
  <c r="AA200" i="18"/>
  <c r="AF200" i="18"/>
  <c r="AI200" i="18"/>
  <c r="AD199" i="18"/>
  <c r="AC199" i="18"/>
  <c r="AK199" i="18"/>
  <c r="AJ199" i="18"/>
  <c r="AA199" i="18"/>
  <c r="AB199" i="18"/>
  <c r="AF199" i="18"/>
  <c r="AE199" i="18"/>
  <c r="AI199" i="18"/>
  <c r="AG199" i="18"/>
  <c r="AL199" i="18"/>
  <c r="AN199" i="18"/>
  <c r="AH199" i="18"/>
  <c r="AM199" i="18"/>
  <c r="AA198" i="18"/>
  <c r="AK198" i="18"/>
  <c r="AJ198" i="18"/>
  <c r="AM198" i="18"/>
  <c r="AH198" i="18"/>
  <c r="AL198" i="18"/>
  <c r="AI198" i="18"/>
  <c r="AC198" i="18"/>
  <c r="AE198" i="18"/>
  <c r="AB198" i="18"/>
  <c r="AD198" i="18"/>
  <c r="AG198" i="18"/>
  <c r="AN198" i="18"/>
  <c r="AF198" i="18"/>
  <c r="AK173" i="18"/>
  <c r="AF173" i="18"/>
  <c r="AA173" i="18"/>
  <c r="AB173" i="18"/>
  <c r="AN173" i="18"/>
  <c r="AL173" i="18"/>
  <c r="AI173" i="18"/>
  <c r="AJ173" i="18"/>
  <c r="AG173" i="18"/>
  <c r="AD173" i="18"/>
  <c r="AM173" i="18"/>
  <c r="AE173" i="18"/>
  <c r="AH173" i="18"/>
  <c r="AC173" i="18"/>
  <c r="AN197" i="18"/>
  <c r="AC197" i="18"/>
  <c r="AK197" i="18"/>
  <c r="AL197" i="18"/>
  <c r="AB197" i="18"/>
  <c r="AG197" i="18"/>
  <c r="AJ197" i="18"/>
  <c r="AI197" i="18"/>
  <c r="AA197" i="18"/>
  <c r="AF197" i="18"/>
  <c r="AM197" i="18"/>
  <c r="AE197" i="18"/>
  <c r="AH197" i="18"/>
  <c r="AD197" i="18"/>
  <c r="AB172" i="18"/>
  <c r="AM172" i="18"/>
  <c r="AE172" i="18"/>
  <c r="AG172" i="18"/>
  <c r="AC172" i="18"/>
  <c r="AN172" i="18"/>
  <c r="AH172" i="18"/>
  <c r="AJ172" i="18"/>
  <c r="AA172" i="18"/>
  <c r="AI172" i="18"/>
  <c r="AL172" i="18"/>
  <c r="AK172" i="18"/>
  <c r="AD172" i="18"/>
  <c r="AF172" i="18"/>
  <c r="AI169" i="18"/>
  <c r="AN169" i="18"/>
  <c r="AE169" i="18"/>
  <c r="AM169" i="18"/>
  <c r="AJ169" i="18"/>
  <c r="AA169" i="18"/>
  <c r="AB169" i="18"/>
  <c r="AH169" i="18"/>
  <c r="AL169" i="18"/>
  <c r="AK169" i="18"/>
  <c r="AC169" i="18"/>
  <c r="AF169" i="18"/>
  <c r="AG169" i="18"/>
  <c r="AD169" i="18"/>
  <c r="AM194" i="18"/>
  <c r="AB194" i="18"/>
  <c r="AK194" i="18"/>
  <c r="AF194" i="18"/>
  <c r="AN194" i="18"/>
  <c r="AJ194" i="18"/>
  <c r="AL194" i="18"/>
  <c r="AH194" i="18"/>
  <c r="AI194" i="18"/>
  <c r="AG194" i="18"/>
  <c r="AC194" i="18"/>
  <c r="AE194" i="18"/>
  <c r="AD194" i="18"/>
  <c r="AA194" i="18"/>
  <c r="AI195" i="18"/>
  <c r="AF195" i="18"/>
  <c r="AK195" i="18"/>
  <c r="AL195" i="18"/>
  <c r="AE195" i="18"/>
  <c r="AC195" i="18"/>
  <c r="AH195" i="18"/>
  <c r="AM195" i="18"/>
  <c r="AN195" i="18"/>
  <c r="AD195" i="18"/>
  <c r="AG195" i="18"/>
  <c r="AA195" i="18"/>
  <c r="AB195" i="18"/>
  <c r="AJ195" i="18"/>
  <c r="AN196" i="18"/>
  <c r="AK196" i="18"/>
  <c r="AB196" i="18"/>
  <c r="AI196" i="18"/>
  <c r="AJ196" i="18"/>
  <c r="AM196" i="18"/>
  <c r="AD196" i="18"/>
  <c r="AA196" i="18"/>
  <c r="AE196" i="18"/>
  <c r="AH196" i="18"/>
  <c r="AG196" i="18"/>
  <c r="AL196" i="18"/>
  <c r="AC196" i="18"/>
  <c r="AF196" i="18"/>
  <c r="AM170" i="18"/>
  <c r="AN170" i="18"/>
  <c r="AD170" i="18"/>
  <c r="AI170" i="18"/>
  <c r="AB170" i="18"/>
  <c r="AG170" i="18"/>
  <c r="AK170" i="18"/>
  <c r="AE170" i="18"/>
  <c r="AH170" i="18"/>
  <c r="AF170" i="18"/>
  <c r="AC170" i="18"/>
  <c r="AJ170" i="18"/>
  <c r="AA170" i="18"/>
  <c r="AL170" i="18"/>
  <c r="AG171" i="18"/>
  <c r="AL171" i="18"/>
  <c r="AK171" i="18"/>
  <c r="AJ171" i="18"/>
  <c r="AC171" i="18"/>
  <c r="AB171" i="18"/>
  <c r="AE171" i="18"/>
  <c r="AH171" i="18"/>
  <c r="AM171" i="18"/>
  <c r="AD171" i="18"/>
  <c r="AN171" i="18"/>
  <c r="AA171" i="18"/>
  <c r="AF171" i="18"/>
  <c r="AI171" i="18"/>
  <c r="H161" i="18"/>
  <c r="H157" i="18"/>
  <c r="H129" i="18"/>
  <c r="CZ233" i="18"/>
  <c r="CY85" i="18"/>
  <c r="CY241" i="18" s="1"/>
  <c r="DP45" i="18"/>
  <c r="BT45" i="18"/>
  <c r="DD251" i="18"/>
  <c r="DC251" i="18"/>
  <c r="CZ251" i="18"/>
  <c r="DA251" i="18"/>
  <c r="CW251" i="18"/>
  <c r="AC168" i="18"/>
  <c r="AH168" i="18"/>
  <c r="AF168" i="18"/>
  <c r="AN168" i="18"/>
  <c r="AA168" i="18"/>
  <c r="AD168" i="18"/>
  <c r="AK168" i="18"/>
  <c r="AE168" i="18"/>
  <c r="AL168" i="18"/>
  <c r="AG168" i="18"/>
  <c r="AM168" i="18"/>
  <c r="AB168" i="18"/>
  <c r="AJ168" i="18"/>
  <c r="AI168" i="18"/>
  <c r="DO251" i="18"/>
  <c r="CZ246" i="18"/>
  <c r="DC245" i="18"/>
  <c r="DB251" i="18"/>
  <c r="DD246" i="18"/>
  <c r="DA246" i="18"/>
  <c r="DC246" i="18"/>
  <c r="DA245" i="18"/>
  <c r="DB245" i="18"/>
  <c r="DO245" i="18"/>
  <c r="DD245" i="18"/>
  <c r="CZ245" i="18"/>
  <c r="DD244" i="18"/>
  <c r="DD247" i="18"/>
  <c r="DB244" i="18"/>
  <c r="DB247" i="18"/>
  <c r="DC244" i="18"/>
  <c r="DC247" i="18"/>
  <c r="DO244" i="18"/>
  <c r="DO247" i="18"/>
  <c r="DA244" i="18"/>
  <c r="DA247" i="18"/>
  <c r="CZ244" i="18"/>
  <c r="CZ247" i="18"/>
  <c r="DD243" i="18"/>
  <c r="DD235" i="18"/>
  <c r="DC243" i="18"/>
  <c r="DC235" i="18"/>
  <c r="DO243" i="18"/>
  <c r="DO235" i="18"/>
  <c r="DA243" i="18"/>
  <c r="DA235" i="18"/>
  <c r="CZ243" i="18"/>
  <c r="CZ235" i="18"/>
  <c r="CY243" i="18"/>
  <c r="DB243" i="18"/>
  <c r="DB235" i="18"/>
  <c r="DB246" i="18"/>
  <c r="DO246" i="18"/>
  <c r="DD233" i="18"/>
  <c r="DA233" i="18"/>
  <c r="DO233" i="18"/>
  <c r="DC233" i="18"/>
  <c r="DB233" i="18"/>
  <c r="DD236" i="18"/>
  <c r="DD239" i="18"/>
  <c r="DO236" i="18"/>
  <c r="DO239" i="18"/>
  <c r="DA236" i="18"/>
  <c r="DA239" i="18"/>
  <c r="CZ236" i="18"/>
  <c r="CZ239" i="18"/>
  <c r="CX236" i="18"/>
  <c r="CY239" i="18"/>
  <c r="DB236" i="18"/>
  <c r="DB239" i="18"/>
  <c r="DC236" i="18"/>
  <c r="DC239" i="18"/>
  <c r="DA232" i="18"/>
  <c r="DO237" i="18"/>
  <c r="DA237" i="18"/>
  <c r="DD237" i="18"/>
  <c r="DB237" i="18"/>
  <c r="DC237" i="18"/>
  <c r="CZ237" i="18"/>
  <c r="H153" i="18"/>
  <c r="DD234" i="18"/>
  <c r="DD232" i="18"/>
  <c r="DO234" i="18"/>
  <c r="DO232" i="18"/>
  <c r="DC234" i="18"/>
  <c r="DC232" i="18"/>
  <c r="DB234" i="18"/>
  <c r="DB232" i="18"/>
  <c r="CZ234" i="18"/>
  <c r="CZ232" i="18"/>
  <c r="DA241" i="18"/>
  <c r="DA234" i="18"/>
  <c r="DD241" i="18"/>
  <c r="CZ241" i="18"/>
  <c r="CX241" i="18"/>
  <c r="DO241" i="18"/>
  <c r="DC241" i="18"/>
  <c r="DB241" i="18"/>
  <c r="DP44" i="18"/>
  <c r="CW44" i="18"/>
  <c r="DP84" i="18"/>
  <c r="CV84" i="18"/>
  <c r="DD204" i="18"/>
  <c r="DD238" i="18"/>
  <c r="DC204" i="18"/>
  <c r="DC238" i="18"/>
  <c r="DA204" i="18"/>
  <c r="DA238" i="18"/>
  <c r="CZ204" i="18"/>
  <c r="CZ238" i="18"/>
  <c r="DB204" i="18"/>
  <c r="DB238" i="18"/>
  <c r="BS207" i="18"/>
  <c r="CC44" i="18"/>
  <c r="CQ44" i="18" s="1"/>
  <c r="BS208" i="18"/>
  <c r="CC84" i="18"/>
  <c r="I162" i="18"/>
  <c r="I161" i="18"/>
  <c r="AM166" i="18"/>
  <c r="AM250" i="18" s="1"/>
  <c r="AH166" i="18"/>
  <c r="AH250" i="18" s="1"/>
  <c r="AG166" i="18"/>
  <c r="AG250" i="18" s="1"/>
  <c r="AJ166" i="18"/>
  <c r="AJ250" i="18" s="1"/>
  <c r="AF166" i="18"/>
  <c r="AF250" i="18" s="1"/>
  <c r="AK166" i="18"/>
  <c r="AK250" i="18" s="1"/>
  <c r="AI166" i="18"/>
  <c r="AI250" i="18" s="1"/>
  <c r="AD166" i="18"/>
  <c r="AD250" i="18" s="1"/>
  <c r="AC166" i="18"/>
  <c r="AC250" i="18" s="1"/>
  <c r="AA166" i="18"/>
  <c r="AA250" i="18" s="1"/>
  <c r="AB166" i="18"/>
  <c r="AB250" i="18" s="1"/>
  <c r="AE166" i="18"/>
  <c r="AE250" i="18" s="1"/>
  <c r="AN166" i="18"/>
  <c r="AN250" i="18" s="1"/>
  <c r="AL166" i="18"/>
  <c r="AL250" i="18" s="1"/>
  <c r="G161" i="18"/>
  <c r="G160" i="18"/>
  <c r="I160" i="18"/>
  <c r="I163" i="18"/>
  <c r="I159" i="18"/>
  <c r="H159" i="18"/>
  <c r="H160" i="18"/>
  <c r="H163" i="18"/>
  <c r="H155" i="18"/>
  <c r="H131" i="18"/>
  <c r="H162" i="18"/>
  <c r="H158" i="18"/>
  <c r="H154" i="18"/>
  <c r="H130" i="18"/>
  <c r="H156" i="18"/>
  <c r="H132" i="18"/>
  <c r="AD167" i="18"/>
  <c r="AD249" i="18" s="1"/>
  <c r="I6" i="15"/>
  <c r="I10" i="26" s="1"/>
  <c r="I7" i="15"/>
  <c r="I11" i="26" s="1"/>
  <c r="I8" i="15"/>
  <c r="I9" i="15"/>
  <c r="I13" i="26" s="1"/>
  <c r="I10" i="15"/>
  <c r="I14" i="26" s="1"/>
  <c r="I11" i="15"/>
  <c r="I15" i="26" s="1"/>
  <c r="I12" i="15"/>
  <c r="I16" i="26" s="1"/>
  <c r="I13" i="15"/>
  <c r="I17" i="26" s="1"/>
  <c r="I14" i="15"/>
  <c r="I18" i="26" s="1"/>
  <c r="I16" i="15"/>
  <c r="I20" i="26" s="1"/>
  <c r="I17" i="15"/>
  <c r="I21" i="26" s="1"/>
  <c r="I18" i="15"/>
  <c r="I22" i="26" s="1"/>
  <c r="I19" i="15"/>
  <c r="I23" i="26" s="1"/>
  <c r="I20" i="15"/>
  <c r="I24" i="26" s="1"/>
  <c r="I5" i="15"/>
  <c r="I9" i="26" s="1"/>
  <c r="C5" i="7"/>
  <c r="B12" i="13" l="1"/>
  <c r="B19" i="13" s="1"/>
  <c r="I18" i="11"/>
  <c r="H127" i="18" s="1"/>
  <c r="AE127" i="18" s="1"/>
  <c r="I19" i="11"/>
  <c r="H128" i="18" s="1"/>
  <c r="I17" i="11"/>
  <c r="H126" i="18" s="1"/>
  <c r="AF126" i="18" s="1"/>
  <c r="AD242" i="18"/>
  <c r="AD248" i="18"/>
  <c r="AA242" i="18"/>
  <c r="AA248" i="18"/>
  <c r="AG242" i="18"/>
  <c r="AG248" i="18"/>
  <c r="AL242" i="18"/>
  <c r="AL248" i="18"/>
  <c r="AJ242" i="18"/>
  <c r="AJ248" i="18"/>
  <c r="AI242" i="18"/>
  <c r="AI248" i="18"/>
  <c r="AF242" i="18"/>
  <c r="AF248" i="18"/>
  <c r="AH242" i="18"/>
  <c r="AH248" i="18"/>
  <c r="AM242" i="18"/>
  <c r="AM248" i="18"/>
  <c r="AK242" i="18"/>
  <c r="AK248" i="18"/>
  <c r="AN242" i="18"/>
  <c r="AN248" i="18"/>
  <c r="AC242" i="18"/>
  <c r="AC248" i="18"/>
  <c r="AB242" i="18"/>
  <c r="AB248" i="18"/>
  <c r="AE242" i="18"/>
  <c r="AE248" i="18"/>
  <c r="K22" i="11"/>
  <c r="I131" i="18" s="1"/>
  <c r="I12" i="26"/>
  <c r="AF127" i="18"/>
  <c r="AJ127" i="18"/>
  <c r="AB127" i="18"/>
  <c r="AA127" i="18"/>
  <c r="AN127" i="18"/>
  <c r="AI127" i="18"/>
  <c r="AA129" i="18"/>
  <c r="AD129" i="18"/>
  <c r="AC129" i="18"/>
  <c r="AM129" i="18"/>
  <c r="AI129" i="18"/>
  <c r="AL129" i="18"/>
  <c r="AK129" i="18"/>
  <c r="AJ129" i="18"/>
  <c r="AN129" i="18"/>
  <c r="AE129" i="18"/>
  <c r="AH129" i="18"/>
  <c r="AG129" i="18"/>
  <c r="AF129" i="18"/>
  <c r="AB129" i="18"/>
  <c r="AC130" i="18"/>
  <c r="AB130" i="18"/>
  <c r="AE130" i="18"/>
  <c r="AD130" i="18"/>
  <c r="AN130" i="18"/>
  <c r="AA130" i="18"/>
  <c r="AK130" i="18"/>
  <c r="AJ130" i="18"/>
  <c r="AM130" i="18"/>
  <c r="AG130" i="18"/>
  <c r="AF130" i="18"/>
  <c r="AI130" i="18"/>
  <c r="AL130" i="18"/>
  <c r="AH130" i="18"/>
  <c r="AK128" i="18"/>
  <c r="AN128" i="18"/>
  <c r="AA128" i="18"/>
  <c r="AL128" i="18"/>
  <c r="AC128" i="18"/>
  <c r="AI128" i="18"/>
  <c r="AG128" i="18"/>
  <c r="AJ128" i="18"/>
  <c r="AM128" i="18"/>
  <c r="AH128" i="18"/>
  <c r="AD128" i="18"/>
  <c r="AF128" i="18"/>
  <c r="AB128" i="18"/>
  <c r="AE128" i="18"/>
  <c r="AK132" i="18"/>
  <c r="AN132" i="18"/>
  <c r="AM132" i="18"/>
  <c r="AD132" i="18"/>
  <c r="AC132" i="18"/>
  <c r="AE132" i="18"/>
  <c r="AF132" i="18"/>
  <c r="AB132" i="18"/>
  <c r="AA132" i="18"/>
  <c r="AH132" i="18"/>
  <c r="AL132" i="18"/>
  <c r="AG132" i="18"/>
  <c r="AI132" i="18"/>
  <c r="AJ132" i="18"/>
  <c r="CT123" i="18"/>
  <c r="CJ123" i="18"/>
  <c r="CT85" i="18"/>
  <c r="CJ85" i="18"/>
  <c r="AB163" i="18"/>
  <c r="AE163" i="18"/>
  <c r="AH163" i="18"/>
  <c r="AJ163" i="18"/>
  <c r="AM163" i="18"/>
  <c r="AG163" i="18"/>
  <c r="AC163" i="18"/>
  <c r="AA163" i="18"/>
  <c r="AI163" i="18"/>
  <c r="AK163" i="18"/>
  <c r="AF163" i="18"/>
  <c r="AN163" i="18"/>
  <c r="AD163" i="18"/>
  <c r="AL163" i="18"/>
  <c r="R163" i="18"/>
  <c r="U163" i="18"/>
  <c r="L163" i="18"/>
  <c r="O163" i="18"/>
  <c r="Y163" i="18"/>
  <c r="Q163" i="18"/>
  <c r="T163" i="18"/>
  <c r="X163" i="18"/>
  <c r="S163" i="18"/>
  <c r="P163" i="18"/>
  <c r="N163" i="18"/>
  <c r="M163" i="18"/>
  <c r="V163" i="18"/>
  <c r="W163" i="18"/>
  <c r="AQ163" i="18"/>
  <c r="AP163" i="18"/>
  <c r="AZ163" i="18"/>
  <c r="AY163" i="18"/>
  <c r="AX163" i="18"/>
  <c r="AW163" i="18"/>
  <c r="AR163" i="18"/>
  <c r="AU163" i="18"/>
  <c r="BB163" i="18"/>
  <c r="AV163" i="18"/>
  <c r="BC163" i="18"/>
  <c r="AS163" i="18"/>
  <c r="BA163" i="18"/>
  <c r="AT163" i="18"/>
  <c r="AK126" i="18"/>
  <c r="AN126" i="18"/>
  <c r="AJ126" i="18"/>
  <c r="AG126" i="18"/>
  <c r="AD126" i="18"/>
  <c r="AB126" i="18"/>
  <c r="AA126" i="18"/>
  <c r="BP6" i="18"/>
  <c r="BF6" i="18"/>
  <c r="BK6" i="18"/>
  <c r="BM6" i="18"/>
  <c r="BI6" i="18"/>
  <c r="BO6" i="18"/>
  <c r="BL6" i="18"/>
  <c r="BQ6" i="18"/>
  <c r="BG6" i="18"/>
  <c r="BE6" i="18"/>
  <c r="BH6" i="18"/>
  <c r="BR6" i="18"/>
  <c r="BN6" i="18"/>
  <c r="BJ6" i="18"/>
  <c r="CQ84" i="18"/>
  <c r="BW208" i="18"/>
  <c r="CJ86" i="18"/>
  <c r="CT86" i="18"/>
  <c r="CJ74" i="18"/>
  <c r="CL74" i="18"/>
  <c r="CT74" i="18" s="1"/>
  <c r="CL79" i="18"/>
  <c r="CT79" i="18" s="1"/>
  <c r="CJ79" i="18"/>
  <c r="CJ83" i="18"/>
  <c r="CL83" i="18"/>
  <c r="CT83" i="18" s="1"/>
  <c r="CJ47" i="18"/>
  <c r="CL47" i="18"/>
  <c r="CT47" i="18" s="1"/>
  <c r="CJ53" i="18"/>
  <c r="CL53" i="18"/>
  <c r="CT53" i="18" s="1"/>
  <c r="CL46" i="18"/>
  <c r="CT46" i="18" s="1"/>
  <c r="CJ46" i="18"/>
  <c r="CL52" i="18"/>
  <c r="CT52" i="18" s="1"/>
  <c r="CJ52" i="18"/>
  <c r="CL48" i="18"/>
  <c r="CT48" i="18" s="1"/>
  <c r="CJ48" i="18"/>
  <c r="CL82" i="18"/>
  <c r="CT82" i="18" s="1"/>
  <c r="CJ82" i="18"/>
  <c r="CL75" i="18"/>
  <c r="CT75" i="18" s="1"/>
  <c r="CJ75" i="18"/>
  <c r="CL77" i="18"/>
  <c r="CT77" i="18" s="1"/>
  <c r="CJ77" i="18"/>
  <c r="CJ49" i="18"/>
  <c r="CL49" i="18"/>
  <c r="CT49" i="18" s="1"/>
  <c r="CJ80" i="18"/>
  <c r="CL80" i="18"/>
  <c r="CT80" i="18" s="1"/>
  <c r="CL78" i="18"/>
  <c r="CT78" i="18" s="1"/>
  <c r="CJ78" i="18"/>
  <c r="CL51" i="18"/>
  <c r="CT51" i="18" s="1"/>
  <c r="CJ51" i="18"/>
  <c r="CJ81" i="18"/>
  <c r="CL81" i="18"/>
  <c r="CT81" i="18" s="1"/>
  <c r="CL50" i="18"/>
  <c r="CT50" i="18" s="1"/>
  <c r="CJ50" i="18"/>
  <c r="H22" i="11"/>
  <c r="G131" i="18" s="1"/>
  <c r="H45" i="11"/>
  <c r="G154" i="18" s="1"/>
  <c r="K48" i="11"/>
  <c r="I157" i="18" s="1"/>
  <c r="AT231" i="18" s="1"/>
  <c r="K49" i="11"/>
  <c r="I158" i="18" s="1"/>
  <c r="H21" i="11"/>
  <c r="G130" i="18" s="1"/>
  <c r="H20" i="11"/>
  <c r="G129" i="18" s="1"/>
  <c r="K20" i="11"/>
  <c r="I129" i="18" s="1"/>
  <c r="K47" i="11"/>
  <c r="K23" i="11"/>
  <c r="I132" i="18" s="1"/>
  <c r="K45" i="11"/>
  <c r="I154" i="18" s="1"/>
  <c r="K35" i="11"/>
  <c r="I144" i="18" s="1"/>
  <c r="H30" i="11"/>
  <c r="K25" i="11"/>
  <c r="I134" i="18" s="1"/>
  <c r="K41" i="11"/>
  <c r="I150" i="18" s="1"/>
  <c r="K36" i="11"/>
  <c r="I145" i="18" s="1"/>
  <c r="H25" i="11"/>
  <c r="H31" i="11"/>
  <c r="H39" i="11"/>
  <c r="K30" i="11"/>
  <c r="I139" i="18" s="1"/>
  <c r="K26" i="11"/>
  <c r="I135" i="18" s="1"/>
  <c r="K39" i="11"/>
  <c r="I148" i="18" s="1"/>
  <c r="H34" i="11"/>
  <c r="K29" i="11"/>
  <c r="I138" i="18" s="1"/>
  <c r="K24" i="11"/>
  <c r="I133" i="18" s="1"/>
  <c r="K40" i="11"/>
  <c r="I149" i="18" s="1"/>
  <c r="H27" i="11"/>
  <c r="H33" i="11"/>
  <c r="H41" i="11"/>
  <c r="H32" i="11"/>
  <c r="K38" i="11"/>
  <c r="I147" i="18" s="1"/>
  <c r="K27" i="11"/>
  <c r="I136" i="18" s="1"/>
  <c r="K43" i="11"/>
  <c r="I152" i="18" s="1"/>
  <c r="H38" i="11"/>
  <c r="K33" i="11"/>
  <c r="I142" i="18" s="1"/>
  <c r="K28" i="11"/>
  <c r="I137" i="18" s="1"/>
  <c r="H28" i="11"/>
  <c r="H35" i="11"/>
  <c r="H43" i="11"/>
  <c r="K34" i="11"/>
  <c r="I143" i="18" s="1"/>
  <c r="H40" i="11"/>
  <c r="K31" i="11"/>
  <c r="I140" i="18" s="1"/>
  <c r="H26" i="11"/>
  <c r="H42" i="11"/>
  <c r="K37" i="11"/>
  <c r="I146" i="18" s="1"/>
  <c r="K32" i="11"/>
  <c r="I141" i="18" s="1"/>
  <c r="H24" i="11"/>
  <c r="H29" i="11"/>
  <c r="H37" i="11"/>
  <c r="H36" i="11"/>
  <c r="K42" i="11"/>
  <c r="I151" i="18" s="1"/>
  <c r="H23" i="11"/>
  <c r="G132" i="18" s="1"/>
  <c r="H49" i="11"/>
  <c r="G158" i="18" s="1"/>
  <c r="H44" i="11"/>
  <c r="G153" i="18" s="1"/>
  <c r="K19" i="11"/>
  <c r="I128" i="18" s="1"/>
  <c r="K46" i="11"/>
  <c r="I155" i="18" s="1"/>
  <c r="K44" i="11"/>
  <c r="I153" i="18" s="1"/>
  <c r="H48" i="11"/>
  <c r="G157" i="18" s="1"/>
  <c r="W231" i="18" s="1"/>
  <c r="H47" i="11"/>
  <c r="G156" i="18" s="1"/>
  <c r="H46" i="11"/>
  <c r="G155" i="18" s="1"/>
  <c r="K21" i="11"/>
  <c r="I130" i="18" s="1"/>
  <c r="BU208" i="18"/>
  <c r="CS90" i="18"/>
  <c r="CS208" i="18" s="1"/>
  <c r="CJ90" i="18"/>
  <c r="CG208" i="18"/>
  <c r="CR90" i="18"/>
  <c r="CR208" i="18" s="1"/>
  <c r="CE208" i="18"/>
  <c r="CO90" i="18"/>
  <c r="CO208" i="18" s="1"/>
  <c r="CA208" i="18"/>
  <c r="CN90" i="18"/>
  <c r="CN208" i="18" s="1"/>
  <c r="BY208" i="18"/>
  <c r="CL90" i="18"/>
  <c r="CK90" i="18"/>
  <c r="CK208" i="18" s="1"/>
  <c r="BT208" i="18"/>
  <c r="CJ114" i="18"/>
  <c r="CL84" i="18"/>
  <c r="BV208" i="18"/>
  <c r="DM205" i="18"/>
  <c r="W106" i="20"/>
  <c r="DL205" i="18"/>
  <c r="V106" i="20"/>
  <c r="DJ205" i="18"/>
  <c r="T106" i="20"/>
  <c r="DG205" i="18"/>
  <c r="Q106" i="20"/>
  <c r="DF205" i="18"/>
  <c r="P106" i="20"/>
  <c r="DH205" i="18"/>
  <c r="R106" i="20"/>
  <c r="DI205" i="18"/>
  <c r="S106" i="20"/>
  <c r="DK205" i="18"/>
  <c r="U106" i="20"/>
  <c r="O106" i="20"/>
  <c r="DD205" i="18"/>
  <c r="N106" i="20"/>
  <c r="DC205" i="18"/>
  <c r="M106" i="20"/>
  <c r="DB205" i="18"/>
  <c r="L106" i="20"/>
  <c r="DA205" i="18"/>
  <c r="K106" i="20"/>
  <c r="CZ205" i="18"/>
  <c r="J106" i="20"/>
  <c r="CJ91" i="18"/>
  <c r="CP208" i="18"/>
  <c r="CL91" i="18"/>
  <c r="BV207" i="18"/>
  <c r="CL44" i="18"/>
  <c r="CN76" i="18"/>
  <c r="CJ76" i="18"/>
  <c r="BZ207" i="18"/>
  <c r="K17" i="11"/>
  <c r="I126" i="18" s="1"/>
  <c r="H18" i="11"/>
  <c r="G127" i="18" s="1"/>
  <c r="H19" i="11"/>
  <c r="G128" i="18" s="1"/>
  <c r="AL167" i="18"/>
  <c r="AL249" i="18" s="1"/>
  <c r="AF167" i="18"/>
  <c r="AF249" i="18" s="1"/>
  <c r="AN167" i="18"/>
  <c r="AN249" i="18" s="1"/>
  <c r="AK167" i="18"/>
  <c r="AK249" i="18" s="1"/>
  <c r="AE167" i="18"/>
  <c r="AE249" i="18" s="1"/>
  <c r="AB167" i="18"/>
  <c r="AB249" i="18" s="1"/>
  <c r="AI167" i="18"/>
  <c r="AI249" i="18" s="1"/>
  <c r="AM167" i="18"/>
  <c r="AM249" i="18" s="1"/>
  <c r="AH167" i="18"/>
  <c r="AH249" i="18" s="1"/>
  <c r="AA167" i="18"/>
  <c r="AA249" i="18" s="1"/>
  <c r="AG167" i="18"/>
  <c r="AG249" i="18" s="1"/>
  <c r="AJ167" i="18"/>
  <c r="AJ249" i="18" s="1"/>
  <c r="AC167" i="18"/>
  <c r="AC249" i="18" s="1"/>
  <c r="CB208" i="18"/>
  <c r="N54" i="9"/>
  <c r="U54" i="10"/>
  <c r="CM161" i="18"/>
  <c r="CM159" i="18"/>
  <c r="CM158" i="18"/>
  <c r="AC231" i="18"/>
  <c r="AN231" i="18"/>
  <c r="AE231" i="18"/>
  <c r="AJ231" i="18"/>
  <c r="AA231" i="18"/>
  <c r="AD231" i="18"/>
  <c r="AB231" i="18"/>
  <c r="AI231" i="18"/>
  <c r="AL231" i="18"/>
  <c r="AK231" i="18"/>
  <c r="AG231" i="18"/>
  <c r="AF231" i="18"/>
  <c r="AM231" i="18"/>
  <c r="AH231" i="18"/>
  <c r="CM163" i="18"/>
  <c r="CM156" i="18"/>
  <c r="CM162" i="18"/>
  <c r="CM160" i="18"/>
  <c r="CM157" i="18"/>
  <c r="CM231" i="18" s="1"/>
  <c r="CM128" i="18"/>
  <c r="CM154" i="18"/>
  <c r="CM131" i="18"/>
  <c r="CM132" i="18"/>
  <c r="CM129" i="18"/>
  <c r="CM130" i="18"/>
  <c r="CP130" i="18"/>
  <c r="CM127" i="18"/>
  <c r="CM153" i="18"/>
  <c r="CO130" i="18"/>
  <c r="CO154" i="18"/>
  <c r="CP154" i="18"/>
  <c r="BS37" i="18"/>
  <c r="BS38" i="18"/>
  <c r="BS7" i="18"/>
  <c r="BS11" i="18"/>
  <c r="BS12" i="18"/>
  <c r="CV12" i="18" s="1"/>
  <c r="BS40" i="18"/>
  <c r="CV40" i="18" s="1"/>
  <c r="BS13" i="18"/>
  <c r="CV13" i="18" s="1"/>
  <c r="BS43" i="18"/>
  <c r="BS9" i="18"/>
  <c r="CV9" i="18" s="1"/>
  <c r="BS41" i="18"/>
  <c r="CV41" i="18" s="1"/>
  <c r="BS35" i="18"/>
  <c r="CV35" i="18" s="1"/>
  <c r="BS39" i="18"/>
  <c r="CV39" i="18" s="1"/>
  <c r="BS42" i="18"/>
  <c r="CV42" i="18" s="1"/>
  <c r="BS8" i="18"/>
  <c r="CV8" i="18" s="1"/>
  <c r="BS36" i="18"/>
  <c r="CV36" i="18" s="1"/>
  <c r="BS10" i="18"/>
  <c r="CV10" i="18" s="1"/>
  <c r="BS34" i="18"/>
  <c r="CV34" i="18" s="1"/>
  <c r="CM155" i="18"/>
  <c r="AO194" i="18"/>
  <c r="AO201" i="18"/>
  <c r="AO200" i="18"/>
  <c r="AO171" i="18"/>
  <c r="AO203" i="18"/>
  <c r="AO202" i="18"/>
  <c r="AO240" i="18" s="1"/>
  <c r="AO199" i="18"/>
  <c r="AO198" i="18"/>
  <c r="AO196" i="18"/>
  <c r="AO169" i="18"/>
  <c r="AO170" i="18"/>
  <c r="AO197" i="18"/>
  <c r="AO173" i="18"/>
  <c r="AO195" i="18"/>
  <c r="AO172" i="18"/>
  <c r="CK45" i="18"/>
  <c r="CJ45" i="18"/>
  <c r="BT207" i="18"/>
  <c r="CP126" i="18"/>
  <c r="CM126" i="18"/>
  <c r="CO126" i="18"/>
  <c r="AO168" i="18"/>
  <c r="K17" i="15"/>
  <c r="M17" i="15"/>
  <c r="M20" i="15"/>
  <c r="K20" i="15"/>
  <c r="M16" i="15"/>
  <c r="K16" i="15"/>
  <c r="M19" i="15"/>
  <c r="K19" i="15"/>
  <c r="M6" i="15"/>
  <c r="M10" i="26" s="1"/>
  <c r="K6" i="15"/>
  <c r="K10" i="26" s="1"/>
  <c r="M18" i="15"/>
  <c r="K18" i="15"/>
  <c r="M14" i="15"/>
  <c r="M18" i="26" s="1"/>
  <c r="K14" i="15"/>
  <c r="K18" i="26" s="1"/>
  <c r="K13" i="15"/>
  <c r="M13" i="15"/>
  <c r="K9" i="15"/>
  <c r="K13" i="26" s="1"/>
  <c r="M9" i="15"/>
  <c r="M13" i="26" s="1"/>
  <c r="K7" i="15"/>
  <c r="K11" i="26" s="1"/>
  <c r="M7" i="15"/>
  <c r="M11" i="26" s="1"/>
  <c r="M8" i="15"/>
  <c r="M12" i="26" s="1"/>
  <c r="K8" i="15"/>
  <c r="K12" i="26" s="1"/>
  <c r="K12" i="15"/>
  <c r="K16" i="26" s="1"/>
  <c r="M12" i="15"/>
  <c r="M16" i="26" s="1"/>
  <c r="K11" i="15"/>
  <c r="K15" i="26" s="1"/>
  <c r="M11" i="15"/>
  <c r="M15" i="26" s="1"/>
  <c r="M10" i="15"/>
  <c r="K10" i="15"/>
  <c r="K5" i="15"/>
  <c r="K9" i="26" s="1"/>
  <c r="M5" i="15"/>
  <c r="M9" i="26" s="1"/>
  <c r="CC208" i="18"/>
  <c r="CJ84" i="18"/>
  <c r="CC207" i="18"/>
  <c r="CJ44" i="18"/>
  <c r="AO166" i="18"/>
  <c r="AO250" i="18" s="1"/>
  <c r="I16" i="11"/>
  <c r="H125" i="18" s="1"/>
  <c r="I15" i="11"/>
  <c r="H124" i="18" s="1"/>
  <c r="I14" i="11"/>
  <c r="P51" i="11"/>
  <c r="P54" i="11"/>
  <c r="P50" i="11"/>
  <c r="P53" i="11"/>
  <c r="P52" i="11"/>
  <c r="P44" i="11"/>
  <c r="B20" i="13" l="1"/>
  <c r="H17" i="11"/>
  <c r="G126" i="18" s="1"/>
  <c r="AE126" i="18"/>
  <c r="AC126" i="18"/>
  <c r="AI126" i="18"/>
  <c r="AL126" i="18"/>
  <c r="AO126" i="18" s="1"/>
  <c r="AM126" i="18"/>
  <c r="AH126" i="18"/>
  <c r="P46" i="11"/>
  <c r="AC127" i="18"/>
  <c r="AK127" i="18"/>
  <c r="AL127" i="18"/>
  <c r="AH127" i="18"/>
  <c r="K18" i="11"/>
  <c r="I127" i="18" s="1"/>
  <c r="AG127" i="18"/>
  <c r="AM127" i="18"/>
  <c r="AD127" i="18"/>
  <c r="AO242" i="18"/>
  <c r="AO248" i="18"/>
  <c r="K68" i="15"/>
  <c r="M20" i="26"/>
  <c r="I69" i="15"/>
  <c r="K21" i="26"/>
  <c r="I56" i="15"/>
  <c r="D88" i="15" s="1"/>
  <c r="K14" i="26"/>
  <c r="K43" i="15"/>
  <c r="M17" i="26"/>
  <c r="I70" i="15"/>
  <c r="K22" i="26"/>
  <c r="I71" i="15"/>
  <c r="K23" i="26"/>
  <c r="I72" i="15"/>
  <c r="K24" i="26"/>
  <c r="I68" i="15"/>
  <c r="K20" i="26"/>
  <c r="K69" i="15"/>
  <c r="M21" i="26"/>
  <c r="K56" i="15"/>
  <c r="O56" i="15" s="1"/>
  <c r="S56" i="15" s="1"/>
  <c r="X152" i="15" s="1"/>
  <c r="M14" i="26"/>
  <c r="I43" i="15"/>
  <c r="K17" i="26"/>
  <c r="K70" i="15"/>
  <c r="M22" i="26"/>
  <c r="K71" i="15"/>
  <c r="L71" i="15" s="1"/>
  <c r="M23" i="26"/>
  <c r="K72" i="15"/>
  <c r="M24" i="26"/>
  <c r="L127" i="18"/>
  <c r="W127" i="18"/>
  <c r="S127" i="18"/>
  <c r="T127" i="18"/>
  <c r="M127" i="18"/>
  <c r="O127" i="18"/>
  <c r="Y127" i="18"/>
  <c r="X127" i="18"/>
  <c r="R127" i="18"/>
  <c r="V127" i="18"/>
  <c r="U127" i="18"/>
  <c r="Q127" i="18"/>
  <c r="P127" i="18"/>
  <c r="N127" i="18"/>
  <c r="AW127" i="18"/>
  <c r="AR127" i="18"/>
  <c r="AQ127" i="18"/>
  <c r="AZ127" i="18"/>
  <c r="AX127" i="18"/>
  <c r="AV127" i="18"/>
  <c r="AU127" i="18"/>
  <c r="AS127" i="18"/>
  <c r="BC127" i="18"/>
  <c r="BB127" i="18"/>
  <c r="AT127" i="18"/>
  <c r="AP127" i="18"/>
  <c r="AY127" i="18"/>
  <c r="BA127" i="18"/>
  <c r="AS129" i="18"/>
  <c r="BC129" i="18"/>
  <c r="AP129" i="18"/>
  <c r="AZ129" i="18"/>
  <c r="AY129" i="18"/>
  <c r="BB129" i="18"/>
  <c r="AX129" i="18"/>
  <c r="AT129" i="18"/>
  <c r="BA129" i="18"/>
  <c r="AV129" i="18"/>
  <c r="AU129" i="18"/>
  <c r="AW129" i="18"/>
  <c r="AR129" i="18"/>
  <c r="AQ129" i="18"/>
  <c r="T129" i="18"/>
  <c r="V129" i="18"/>
  <c r="U129" i="18"/>
  <c r="S129" i="18"/>
  <c r="P129" i="18"/>
  <c r="Q129" i="18"/>
  <c r="O129" i="18"/>
  <c r="N129" i="18"/>
  <c r="L129" i="18"/>
  <c r="R129" i="18"/>
  <c r="M129" i="18"/>
  <c r="X129" i="18"/>
  <c r="Y129" i="18"/>
  <c r="W129" i="18"/>
  <c r="AU130" i="18"/>
  <c r="AT130" i="18"/>
  <c r="AS130" i="18"/>
  <c r="AQ130" i="18"/>
  <c r="AP130" i="18"/>
  <c r="AR130" i="18"/>
  <c r="AZ130" i="18"/>
  <c r="BC130" i="18"/>
  <c r="BB130" i="18"/>
  <c r="BA130" i="18"/>
  <c r="AV130" i="18"/>
  <c r="AY130" i="18"/>
  <c r="AX130" i="18"/>
  <c r="AW130" i="18"/>
  <c r="V130" i="18"/>
  <c r="S130" i="18"/>
  <c r="W130" i="18"/>
  <c r="R130" i="18"/>
  <c r="M130" i="18"/>
  <c r="Q130" i="18"/>
  <c r="U130" i="18"/>
  <c r="N130" i="18"/>
  <c r="T130" i="18"/>
  <c r="L130" i="18"/>
  <c r="P130" i="18"/>
  <c r="X130" i="18"/>
  <c r="Y130" i="18"/>
  <c r="O130" i="18"/>
  <c r="AQ128" i="18"/>
  <c r="AP128" i="18"/>
  <c r="AV128" i="18"/>
  <c r="AR128" i="18"/>
  <c r="AW128" i="18"/>
  <c r="BC128" i="18"/>
  <c r="BB128" i="18"/>
  <c r="BA128" i="18"/>
  <c r="AX128" i="18"/>
  <c r="AU128" i="18"/>
  <c r="AT128" i="18"/>
  <c r="AS128" i="18"/>
  <c r="AZ128" i="18"/>
  <c r="AY128" i="18"/>
  <c r="N128" i="18"/>
  <c r="P128" i="18"/>
  <c r="Q128" i="18"/>
  <c r="U128" i="18"/>
  <c r="Y128" i="18"/>
  <c r="X128" i="18"/>
  <c r="W128" i="18"/>
  <c r="T128" i="18"/>
  <c r="R128" i="18"/>
  <c r="O128" i="18"/>
  <c r="M128" i="18"/>
  <c r="L128" i="18"/>
  <c r="BE128" i="18" s="1"/>
  <c r="V128" i="18"/>
  <c r="S128" i="18"/>
  <c r="BC132" i="18"/>
  <c r="BB132" i="18"/>
  <c r="BA132" i="18"/>
  <c r="AU132" i="18"/>
  <c r="AT132" i="18"/>
  <c r="AS132" i="18"/>
  <c r="AQ132" i="18"/>
  <c r="AP132" i="18"/>
  <c r="AV132" i="18"/>
  <c r="AR132" i="18"/>
  <c r="AZ132" i="18"/>
  <c r="AY132" i="18"/>
  <c r="AW132" i="18"/>
  <c r="AX132" i="18"/>
  <c r="V132" i="18"/>
  <c r="BO132" i="18" s="1"/>
  <c r="W132" i="18"/>
  <c r="Y132" i="18"/>
  <c r="BR132" i="18" s="1"/>
  <c r="X132" i="18"/>
  <c r="BQ132" i="18" s="1"/>
  <c r="L132" i="18"/>
  <c r="O132" i="18"/>
  <c r="N132" i="18"/>
  <c r="P132" i="18"/>
  <c r="S132" i="18"/>
  <c r="Q132" i="18"/>
  <c r="BJ132" i="18" s="1"/>
  <c r="M132" i="18"/>
  <c r="R132" i="18"/>
  <c r="T132" i="18"/>
  <c r="U132" i="18"/>
  <c r="BN132" i="18" s="1"/>
  <c r="AM124" i="18"/>
  <c r="AG124" i="18"/>
  <c r="AF124" i="18"/>
  <c r="AK124" i="18"/>
  <c r="AJ124" i="18"/>
  <c r="AI124" i="18"/>
  <c r="AB124" i="18"/>
  <c r="AD124" i="18"/>
  <c r="AC124" i="18"/>
  <c r="AE124" i="18"/>
  <c r="AH124" i="18"/>
  <c r="AA124" i="18"/>
  <c r="AL124" i="18"/>
  <c r="AN124" i="18"/>
  <c r="CV43" i="18"/>
  <c r="CU43" i="18"/>
  <c r="AG125" i="18"/>
  <c r="AE125" i="18"/>
  <c r="AJ125" i="18"/>
  <c r="AN125" i="18"/>
  <c r="AF125" i="18"/>
  <c r="AM125" i="18"/>
  <c r="AK125" i="18"/>
  <c r="AH125" i="18"/>
  <c r="AB125" i="18"/>
  <c r="AB213" i="18" s="1"/>
  <c r="AA125" i="18"/>
  <c r="AD125" i="18"/>
  <c r="AL125" i="18"/>
  <c r="AI125" i="18"/>
  <c r="AI213" i="18" s="1"/>
  <c r="AC125" i="18"/>
  <c r="AR126" i="18"/>
  <c r="BC126" i="18"/>
  <c r="AP126" i="18"/>
  <c r="AY126" i="18"/>
  <c r="BB126" i="18"/>
  <c r="AQ126" i="18"/>
  <c r="AT126" i="18"/>
  <c r="AS126" i="18"/>
  <c r="BA126" i="18"/>
  <c r="AX126" i="18"/>
  <c r="AZ126" i="18"/>
  <c r="AV126" i="18"/>
  <c r="AW126" i="18"/>
  <c r="AU126" i="18"/>
  <c r="W126" i="18"/>
  <c r="U126" i="18"/>
  <c r="Q126" i="18"/>
  <c r="M126" i="18"/>
  <c r="BF126" i="18" s="1"/>
  <c r="Y126" i="18"/>
  <c r="X126" i="18"/>
  <c r="T126" i="18"/>
  <c r="V126" i="18"/>
  <c r="P126" i="18"/>
  <c r="S126" i="18"/>
  <c r="L126" i="18"/>
  <c r="R126" i="18"/>
  <c r="N126" i="18"/>
  <c r="O126" i="18"/>
  <c r="P22" i="11"/>
  <c r="J131" i="18" s="1"/>
  <c r="K131" i="18" s="1"/>
  <c r="Q22" i="11" s="1"/>
  <c r="BS6" i="18"/>
  <c r="CV6" i="18"/>
  <c r="CL207" i="18"/>
  <c r="P45" i="11"/>
  <c r="BH154" i="18"/>
  <c r="BF153" i="18"/>
  <c r="BL154" i="18"/>
  <c r="AU231" i="18"/>
  <c r="L231" i="18"/>
  <c r="K54" i="15"/>
  <c r="K52" i="15"/>
  <c r="I54" i="15"/>
  <c r="I52" i="15"/>
  <c r="P21" i="11"/>
  <c r="J130" i="18" s="1"/>
  <c r="K130" i="18" s="1"/>
  <c r="Q21" i="11" s="1"/>
  <c r="P48" i="11"/>
  <c r="J157" i="18" s="1"/>
  <c r="K157" i="18" s="1"/>
  <c r="Q48" i="11" s="1"/>
  <c r="AQ231" i="18"/>
  <c r="AY231" i="18"/>
  <c r="AP231" i="18"/>
  <c r="Q231" i="18"/>
  <c r="AZ231" i="18"/>
  <c r="P231" i="18"/>
  <c r="R231" i="18"/>
  <c r="X231" i="18"/>
  <c r="AX231" i="18"/>
  <c r="M231" i="18"/>
  <c r="Y231" i="18"/>
  <c r="BM153" i="18"/>
  <c r="BK153" i="18"/>
  <c r="BR154" i="18"/>
  <c r="BK158" i="18"/>
  <c r="BC231" i="18"/>
  <c r="AS231" i="18"/>
  <c r="AR231" i="18"/>
  <c r="AV231" i="18"/>
  <c r="BR158" i="18"/>
  <c r="V231" i="18"/>
  <c r="U231" i="18"/>
  <c r="N231" i="18"/>
  <c r="P49" i="11"/>
  <c r="J158" i="18" s="1"/>
  <c r="K158" i="18" s="1"/>
  <c r="Q49" i="11" s="1"/>
  <c r="BQ158" i="18"/>
  <c r="P20" i="11"/>
  <c r="J129" i="18" s="1"/>
  <c r="K129" i="18" s="1"/>
  <c r="Q20" i="11" s="1"/>
  <c r="P23" i="11"/>
  <c r="J132" i="18" s="1"/>
  <c r="K132" i="18" s="1"/>
  <c r="Q23" i="11" s="1"/>
  <c r="BB231" i="18"/>
  <c r="AW231" i="18"/>
  <c r="BA231" i="18"/>
  <c r="BJ158" i="18"/>
  <c r="T231" i="18"/>
  <c r="O231" i="18"/>
  <c r="S231" i="18"/>
  <c r="G138" i="18"/>
  <c r="P29" i="11"/>
  <c r="J138" i="18" s="1"/>
  <c r="K138" i="18" s="1"/>
  <c r="Q29" i="11" s="1"/>
  <c r="G151" i="18"/>
  <c r="P42" i="11"/>
  <c r="J151" i="18" s="1"/>
  <c r="K151" i="18" s="1"/>
  <c r="Q42" i="11" s="1"/>
  <c r="G142" i="18"/>
  <c r="P33" i="11"/>
  <c r="J142" i="18" s="1"/>
  <c r="K142" i="18" s="1"/>
  <c r="Q33" i="11" s="1"/>
  <c r="P47" i="11"/>
  <c r="J156" i="18" s="1"/>
  <c r="K156" i="18" s="1"/>
  <c r="Q47" i="11" s="1"/>
  <c r="BH158" i="18"/>
  <c r="BM158" i="18"/>
  <c r="BF158" i="18"/>
  <c r="I156" i="18"/>
  <c r="AU230" i="18"/>
  <c r="BB230" i="18"/>
  <c r="AT230" i="18"/>
  <c r="AR230" i="18"/>
  <c r="AV230" i="18"/>
  <c r="AQ230" i="18"/>
  <c r="AX230" i="18"/>
  <c r="AY230" i="18"/>
  <c r="AS230" i="18"/>
  <c r="AW230" i="18"/>
  <c r="BC230" i="18"/>
  <c r="AZ230" i="18"/>
  <c r="BA230" i="18"/>
  <c r="G133" i="18"/>
  <c r="P24" i="11"/>
  <c r="J133" i="18" s="1"/>
  <c r="K133" i="18" s="1"/>
  <c r="Q24" i="11" s="1"/>
  <c r="G135" i="18"/>
  <c r="P26" i="11"/>
  <c r="J135" i="18" s="1"/>
  <c r="K135" i="18" s="1"/>
  <c r="Q26" i="11" s="1"/>
  <c r="G152" i="18"/>
  <c r="P43" i="11"/>
  <c r="J152" i="18" s="1"/>
  <c r="K152" i="18" s="1"/>
  <c r="Q43" i="11" s="1"/>
  <c r="G136" i="18"/>
  <c r="P27" i="11"/>
  <c r="J136" i="18" s="1"/>
  <c r="K136" i="18" s="1"/>
  <c r="Q27" i="11" s="1"/>
  <c r="G143" i="18"/>
  <c r="P34" i="11"/>
  <c r="J143" i="18" s="1"/>
  <c r="K143" i="18" s="1"/>
  <c r="Q34" i="11" s="1"/>
  <c r="P39" i="11"/>
  <c r="J148" i="18" s="1"/>
  <c r="K148" i="18" s="1"/>
  <c r="Q39" i="11" s="1"/>
  <c r="G148" i="18"/>
  <c r="BP158" i="18"/>
  <c r="BO158" i="18"/>
  <c r="BI158" i="18"/>
  <c r="P36" i="11"/>
  <c r="J145" i="18" s="1"/>
  <c r="K145" i="18" s="1"/>
  <c r="Q36" i="11" s="1"/>
  <c r="G145" i="18"/>
  <c r="G144" i="18"/>
  <c r="P35" i="11"/>
  <c r="J144" i="18" s="1"/>
  <c r="K144" i="18" s="1"/>
  <c r="Q35" i="11" s="1"/>
  <c r="G147" i="18"/>
  <c r="P38" i="11"/>
  <c r="J147" i="18" s="1"/>
  <c r="K147" i="18" s="1"/>
  <c r="Q38" i="11" s="1"/>
  <c r="P32" i="11"/>
  <c r="J141" i="18" s="1"/>
  <c r="K141" i="18" s="1"/>
  <c r="Q32" i="11" s="1"/>
  <c r="G141" i="18"/>
  <c r="P31" i="11"/>
  <c r="J140" i="18" s="1"/>
  <c r="K140" i="18" s="1"/>
  <c r="Q31" i="11" s="1"/>
  <c r="G140" i="18"/>
  <c r="BE158" i="18"/>
  <c r="BL158" i="18"/>
  <c r="G146" i="18"/>
  <c r="P37" i="11"/>
  <c r="J146" i="18" s="1"/>
  <c r="K146" i="18" s="1"/>
  <c r="Q37" i="11" s="1"/>
  <c r="G149" i="18"/>
  <c r="P40" i="11"/>
  <c r="J149" i="18" s="1"/>
  <c r="K149" i="18" s="1"/>
  <c r="Q40" i="11" s="1"/>
  <c r="P28" i="11"/>
  <c r="J137" i="18" s="1"/>
  <c r="K137" i="18" s="1"/>
  <c r="Q28" i="11" s="1"/>
  <c r="G137" i="18"/>
  <c r="G150" i="18"/>
  <c r="P41" i="11"/>
  <c r="J150" i="18" s="1"/>
  <c r="K150" i="18" s="1"/>
  <c r="Q41" i="11" s="1"/>
  <c r="P25" i="11"/>
  <c r="J134" i="18" s="1"/>
  <c r="K134" i="18" s="1"/>
  <c r="Q25" i="11" s="1"/>
  <c r="G134" i="18"/>
  <c r="G139" i="18"/>
  <c r="P30" i="11"/>
  <c r="J139" i="18" s="1"/>
  <c r="K139" i="18" s="1"/>
  <c r="Q30" i="11" s="1"/>
  <c r="D16" i="22"/>
  <c r="CL208" i="18"/>
  <c r="CT90" i="18"/>
  <c r="W31" i="20"/>
  <c r="S31" i="20"/>
  <c r="T31" i="20"/>
  <c r="U31" i="20"/>
  <c r="V31" i="20"/>
  <c r="CT91" i="18"/>
  <c r="BS5" i="18"/>
  <c r="CV5" i="18" s="1"/>
  <c r="BO160" i="18"/>
  <c r="DP7" i="18"/>
  <c r="CV7" i="18"/>
  <c r="N47" i="8"/>
  <c r="CV37" i="18"/>
  <c r="DP11" i="18"/>
  <c r="CV11" i="18"/>
  <c r="N48" i="8"/>
  <c r="CV38" i="18"/>
  <c r="BP159" i="18"/>
  <c r="P17" i="11"/>
  <c r="J126" i="18" s="1"/>
  <c r="K126" i="18" s="1"/>
  <c r="Q17" i="11" s="1"/>
  <c r="P18" i="11"/>
  <c r="J127" i="18" s="1"/>
  <c r="K127" i="18" s="1"/>
  <c r="Q18" i="11" s="1"/>
  <c r="CB35" i="18"/>
  <c r="CX35" i="18"/>
  <c r="CT76" i="18"/>
  <c r="CN207" i="18"/>
  <c r="P19" i="11"/>
  <c r="J128" i="18" s="1"/>
  <c r="K128" i="18" s="1"/>
  <c r="Q19" i="11" s="1"/>
  <c r="CC6" i="18"/>
  <c r="CQ6" i="18" s="1"/>
  <c r="CY6" i="18"/>
  <c r="CY234" i="18" s="1"/>
  <c r="N17" i="8"/>
  <c r="DP37" i="18"/>
  <c r="AE215" i="18"/>
  <c r="AN215" i="18"/>
  <c r="AL215" i="18"/>
  <c r="AO167" i="18"/>
  <c r="AO249" i="18" s="1"/>
  <c r="BP160" i="18"/>
  <c r="BO163" i="18"/>
  <c r="BK160" i="18"/>
  <c r="BN160" i="18"/>
  <c r="BM159" i="18"/>
  <c r="BK159" i="18"/>
  <c r="BJ162" i="18"/>
  <c r="BL162" i="18"/>
  <c r="BQ160" i="18"/>
  <c r="BK163" i="18"/>
  <c r="BP161" i="18"/>
  <c r="BJ159" i="18"/>
  <c r="BL159" i="18"/>
  <c r="BN162" i="18"/>
  <c r="DP38" i="18"/>
  <c r="BR160" i="18"/>
  <c r="BL163" i="18"/>
  <c r="BQ163" i="18"/>
  <c r="BR163" i="18"/>
  <c r="BM163" i="18"/>
  <c r="BI159" i="18"/>
  <c r="BN159" i="18"/>
  <c r="BM160" i="18"/>
  <c r="BL160" i="18"/>
  <c r="BJ163" i="18"/>
  <c r="BH160" i="18"/>
  <c r="BQ161" i="18"/>
  <c r="BL161" i="18"/>
  <c r="BR161" i="18"/>
  <c r="BO162" i="18"/>
  <c r="CQ231" i="18"/>
  <c r="Z158" i="18"/>
  <c r="AO159" i="18"/>
  <c r="CP160" i="18"/>
  <c r="BG160" i="18"/>
  <c r="BP163" i="18"/>
  <c r="BN163" i="18"/>
  <c r="BJ161" i="18"/>
  <c r="BK161" i="18"/>
  <c r="BO161" i="18"/>
  <c r="BO159" i="18"/>
  <c r="BR159" i="18"/>
  <c r="CP159" i="18"/>
  <c r="BG159" i="18"/>
  <c r="AO160" i="18"/>
  <c r="BH162" i="18"/>
  <c r="BM162" i="18"/>
  <c r="BQ162" i="18"/>
  <c r="AO157" i="18"/>
  <c r="AO231" i="18" s="1"/>
  <c r="AO156" i="18"/>
  <c r="BD161" i="18"/>
  <c r="BE160" i="18"/>
  <c r="Z160" i="18"/>
  <c r="BI160" i="18"/>
  <c r="Z163" i="18"/>
  <c r="BE163" i="18"/>
  <c r="AO161" i="18"/>
  <c r="BD162" i="18"/>
  <c r="CP161" i="18"/>
  <c r="BG161" i="18"/>
  <c r="BI161" i="18"/>
  <c r="BH161" i="18"/>
  <c r="BH159" i="18"/>
  <c r="BI162" i="18"/>
  <c r="BR162" i="18"/>
  <c r="CO162" i="18"/>
  <c r="BF162" i="18"/>
  <c r="CO157" i="18"/>
  <c r="CO231" i="18" s="1"/>
  <c r="AO158" i="18"/>
  <c r="AO162" i="18"/>
  <c r="CO160" i="18"/>
  <c r="BF160" i="18"/>
  <c r="BJ160" i="18"/>
  <c r="BD160" i="18"/>
  <c r="CP163" i="18"/>
  <c r="BG163" i="18"/>
  <c r="CO163" i="18"/>
  <c r="BF163" i="18"/>
  <c r="BI163" i="18"/>
  <c r="BH163" i="18"/>
  <c r="BE161" i="18"/>
  <c r="Z161" i="18"/>
  <c r="BN161" i="18"/>
  <c r="CO161" i="18"/>
  <c r="BF161" i="18"/>
  <c r="BM161" i="18"/>
  <c r="CP156" i="18"/>
  <c r="CO159" i="18"/>
  <c r="BF159" i="18"/>
  <c r="BQ159" i="18"/>
  <c r="Z159" i="18"/>
  <c r="BE159" i="18"/>
  <c r="BD163" i="18"/>
  <c r="BP162" i="18"/>
  <c r="Z162" i="18"/>
  <c r="BE162" i="18"/>
  <c r="CP162" i="18"/>
  <c r="BG162" i="18"/>
  <c r="BK162" i="18"/>
  <c r="BD159" i="18"/>
  <c r="CP157" i="18"/>
  <c r="CP231" i="18" s="1"/>
  <c r="AO163" i="18"/>
  <c r="CO158" i="18"/>
  <c r="CP158" i="18"/>
  <c r="BN158" i="18"/>
  <c r="BP131" i="18"/>
  <c r="AO154" i="18"/>
  <c r="BJ131" i="18"/>
  <c r="BN131" i="18"/>
  <c r="CO153" i="18"/>
  <c r="CP129" i="18"/>
  <c r="CR131" i="18"/>
  <c r="BI131" i="18"/>
  <c r="BG131" i="18"/>
  <c r="CO131" i="18"/>
  <c r="BF131" i="18"/>
  <c r="AM215" i="18"/>
  <c r="AC215" i="18"/>
  <c r="CP132" i="18"/>
  <c r="BO131" i="18"/>
  <c r="BK131" i="18"/>
  <c r="AO128" i="18"/>
  <c r="AH215" i="18"/>
  <c r="AK215" i="18"/>
  <c r="AA215" i="18"/>
  <c r="AD215" i="18"/>
  <c r="CP127" i="18"/>
  <c r="BD131" i="18"/>
  <c r="AO131" i="18"/>
  <c r="AO130" i="18"/>
  <c r="CP128" i="18"/>
  <c r="BH131" i="18"/>
  <c r="BQ131" i="18"/>
  <c r="BL131" i="18"/>
  <c r="AO129" i="18"/>
  <c r="CO129" i="18"/>
  <c r="AF215" i="18"/>
  <c r="AJ215" i="18"/>
  <c r="AO153" i="18"/>
  <c r="CO128" i="18"/>
  <c r="AG215" i="18"/>
  <c r="AI215" i="18"/>
  <c r="AB215" i="18"/>
  <c r="CO132" i="18"/>
  <c r="CO127" i="18"/>
  <c r="BE131" i="18"/>
  <c r="Z131" i="18"/>
  <c r="BR131" i="18"/>
  <c r="BM131" i="18"/>
  <c r="AO132" i="18"/>
  <c r="N21" i="8"/>
  <c r="DP8" i="18"/>
  <c r="N18" i="8"/>
  <c r="DP39" i="18"/>
  <c r="N49" i="8"/>
  <c r="DP43" i="18"/>
  <c r="N53" i="8"/>
  <c r="DP34" i="18"/>
  <c r="N44" i="8"/>
  <c r="DP42" i="18"/>
  <c r="N52" i="8"/>
  <c r="DP35" i="18"/>
  <c r="N45" i="8"/>
  <c r="DP13" i="18"/>
  <c r="N23" i="8"/>
  <c r="DP10" i="18"/>
  <c r="N20" i="8"/>
  <c r="DP41" i="18"/>
  <c r="N51" i="8"/>
  <c r="DP40" i="18"/>
  <c r="N50" i="8"/>
  <c r="DP36" i="18"/>
  <c r="N46" i="8"/>
  <c r="DP9" i="18"/>
  <c r="N19" i="8"/>
  <c r="DP12" i="18"/>
  <c r="N22" i="8"/>
  <c r="BK155" i="18"/>
  <c r="BE155" i="18"/>
  <c r="Z155" i="18"/>
  <c r="BJ155" i="18"/>
  <c r="BH155" i="18"/>
  <c r="BQ155" i="18"/>
  <c r="BP155" i="18"/>
  <c r="CP155" i="18"/>
  <c r="BG155" i="18"/>
  <c r="BD155" i="18"/>
  <c r="BR155" i="18"/>
  <c r="CO155" i="18"/>
  <c r="BF155" i="18"/>
  <c r="BN155" i="18"/>
  <c r="BM155" i="18"/>
  <c r="AO155" i="18"/>
  <c r="BL155" i="18"/>
  <c r="BO155" i="18"/>
  <c r="BI155" i="18"/>
  <c r="J162" i="18"/>
  <c r="K162" i="18" s="1"/>
  <c r="Q53" i="11" s="1"/>
  <c r="J159" i="18"/>
  <c r="K159" i="18" s="1"/>
  <c r="Q50" i="11" s="1"/>
  <c r="J154" i="18"/>
  <c r="K154" i="18" s="1"/>
  <c r="Q45" i="11" s="1"/>
  <c r="J161" i="18"/>
  <c r="K161" i="18" s="1"/>
  <c r="Q52" i="11" s="1"/>
  <c r="J155" i="18"/>
  <c r="K155" i="18" s="1"/>
  <c r="Q46" i="11" s="1"/>
  <c r="J160" i="18"/>
  <c r="K160" i="18" s="1"/>
  <c r="Q51" i="11" s="1"/>
  <c r="J153" i="18"/>
  <c r="K153" i="18" s="1"/>
  <c r="Q44" i="11" s="1"/>
  <c r="J163" i="18"/>
  <c r="K163" i="18" s="1"/>
  <c r="Q54" i="11" s="1"/>
  <c r="CK207" i="18"/>
  <c r="CT45" i="18"/>
  <c r="K39" i="15"/>
  <c r="K42" i="15"/>
  <c r="I39" i="15"/>
  <c r="I42" i="15"/>
  <c r="K47" i="15"/>
  <c r="O47" i="15" s="1"/>
  <c r="S47" i="15" s="1"/>
  <c r="K58" i="15"/>
  <c r="O58" i="15" s="1"/>
  <c r="S58" i="15" s="1"/>
  <c r="K57" i="15"/>
  <c r="I47" i="15"/>
  <c r="M47" i="15" s="1"/>
  <c r="Q47" i="15" s="1"/>
  <c r="I57" i="15"/>
  <c r="M57" i="15" s="1"/>
  <c r="Q57" i="15" s="1"/>
  <c r="I58" i="15"/>
  <c r="M58" i="15" s="1"/>
  <c r="Q58" i="15" s="1"/>
  <c r="K44" i="15"/>
  <c r="K49" i="15"/>
  <c r="K50" i="15"/>
  <c r="K46" i="15"/>
  <c r="K41" i="15"/>
  <c r="I50" i="15"/>
  <c r="I46" i="15"/>
  <c r="I41" i="15"/>
  <c r="I45" i="15"/>
  <c r="I40" i="15"/>
  <c r="I49" i="15"/>
  <c r="I44" i="15"/>
  <c r="K45" i="15"/>
  <c r="K40" i="15"/>
  <c r="AK165" i="18"/>
  <c r="AI165" i="18"/>
  <c r="AA165" i="18"/>
  <c r="AM165" i="18"/>
  <c r="AN165" i="18"/>
  <c r="AB165" i="18"/>
  <c r="AE165" i="18"/>
  <c r="AL165" i="18"/>
  <c r="AL213" i="18" s="1"/>
  <c r="AF165" i="18"/>
  <c r="AH165" i="18"/>
  <c r="AG165" i="18"/>
  <c r="AC165" i="18"/>
  <c r="AJ165" i="18"/>
  <c r="AD165" i="18"/>
  <c r="AI164" i="18"/>
  <c r="AH164" i="18"/>
  <c r="AC164" i="18"/>
  <c r="AG164" i="18"/>
  <c r="AF164" i="18"/>
  <c r="AL164" i="18"/>
  <c r="AA164" i="18"/>
  <c r="AE164" i="18"/>
  <c r="AB164" i="18"/>
  <c r="AJ164" i="18"/>
  <c r="AN164" i="18"/>
  <c r="AD164" i="18"/>
  <c r="AM164" i="18"/>
  <c r="AK164" i="18"/>
  <c r="I29" i="15"/>
  <c r="I48" i="15"/>
  <c r="K29" i="15"/>
  <c r="K48" i="15"/>
  <c r="I66" i="15"/>
  <c r="I30" i="15"/>
  <c r="K37" i="15"/>
  <c r="K34" i="15"/>
  <c r="K31" i="15"/>
  <c r="K26" i="15"/>
  <c r="K30" i="15"/>
  <c r="K66" i="15"/>
  <c r="I34" i="15"/>
  <c r="I31" i="15"/>
  <c r="I37" i="15"/>
  <c r="L37" i="15" s="1"/>
  <c r="I26" i="15"/>
  <c r="I61" i="15"/>
  <c r="I67" i="15"/>
  <c r="K67" i="15"/>
  <c r="K61" i="15"/>
  <c r="K60" i="15"/>
  <c r="K65" i="15"/>
  <c r="I65" i="15"/>
  <c r="I60" i="15"/>
  <c r="K32" i="15"/>
  <c r="K27" i="15"/>
  <c r="K62" i="15"/>
  <c r="I27" i="15"/>
  <c r="I62" i="15"/>
  <c r="I32" i="15"/>
  <c r="I38" i="15"/>
  <c r="I35" i="15"/>
  <c r="K35" i="15"/>
  <c r="K38" i="15"/>
  <c r="K55" i="15"/>
  <c r="K63" i="15"/>
  <c r="I55" i="15"/>
  <c r="I63" i="15"/>
  <c r="K36" i="15"/>
  <c r="K64" i="15"/>
  <c r="K28" i="15"/>
  <c r="K59" i="15"/>
  <c r="K33" i="15"/>
  <c r="K53" i="15"/>
  <c r="K25" i="15"/>
  <c r="I28" i="15"/>
  <c r="I59" i="15"/>
  <c r="I25" i="15"/>
  <c r="I53" i="15"/>
  <c r="I33" i="15"/>
  <c r="I36" i="15"/>
  <c r="I64" i="15"/>
  <c r="CJ208" i="18"/>
  <c r="CJ207" i="18"/>
  <c r="CQ207" i="18"/>
  <c r="CT44" i="18"/>
  <c r="CQ208" i="18"/>
  <c r="CT84" i="18"/>
  <c r="K14" i="11"/>
  <c r="H14" i="11"/>
  <c r="K15" i="11"/>
  <c r="H15" i="11"/>
  <c r="G124" i="18" s="1"/>
  <c r="K16" i="11"/>
  <c r="H16" i="11"/>
  <c r="G125" i="18" s="1"/>
  <c r="S14" i="10"/>
  <c r="T14" i="10" s="1"/>
  <c r="T54" i="10" s="1"/>
  <c r="J44" i="18"/>
  <c r="F14" i="22" s="1"/>
  <c r="G14" i="22" s="1"/>
  <c r="AC213" i="18" l="1"/>
  <c r="AA213" i="18"/>
  <c r="AM213" i="18"/>
  <c r="AE213" i="18"/>
  <c r="AF213" i="18"/>
  <c r="AG213" i="18"/>
  <c r="AH213" i="18"/>
  <c r="AN213" i="18"/>
  <c r="AD213" i="18"/>
  <c r="AK213" i="18"/>
  <c r="AJ213" i="18"/>
  <c r="AO127" i="18"/>
  <c r="BH129" i="18"/>
  <c r="M56" i="15"/>
  <c r="Q56" i="15" s="1"/>
  <c r="X112" i="15" s="1"/>
  <c r="Q163" i="13" s="1" a="1"/>
  <c r="Q163" i="13" s="1"/>
  <c r="L72" i="15"/>
  <c r="F97" i="15"/>
  <c r="O72" i="15"/>
  <c r="S72" i="15" s="1"/>
  <c r="I161" i="15" s="1"/>
  <c r="F95" i="15"/>
  <c r="O70" i="15"/>
  <c r="S70" i="15" s="1"/>
  <c r="I159" i="15" s="1"/>
  <c r="D93" i="15"/>
  <c r="M68" i="15"/>
  <c r="Q68" i="15" s="1"/>
  <c r="I117" i="15" s="1"/>
  <c r="M71" i="15"/>
  <c r="Q71" i="15" s="1"/>
  <c r="I120" i="15" s="1"/>
  <c r="D96" i="15"/>
  <c r="L43" i="15"/>
  <c r="L69" i="15"/>
  <c r="D94" i="15"/>
  <c r="M69" i="15"/>
  <c r="Q69" i="15" s="1"/>
  <c r="I118" i="15" s="1"/>
  <c r="P71" i="15"/>
  <c r="T71" i="15" s="1"/>
  <c r="I180" i="15" s="1"/>
  <c r="U71" i="15"/>
  <c r="V71" i="15" s="1"/>
  <c r="O71" i="15"/>
  <c r="S71" i="15" s="1"/>
  <c r="I160" i="15" s="1"/>
  <c r="F96" i="15"/>
  <c r="O69" i="15"/>
  <c r="S69" i="15" s="1"/>
  <c r="I158" i="15" s="1"/>
  <c r="F94" i="15"/>
  <c r="D97" i="15"/>
  <c r="C97" i="15" s="1"/>
  <c r="M72" i="15"/>
  <c r="Q72" i="15" s="1"/>
  <c r="I121" i="15" s="1"/>
  <c r="M70" i="15"/>
  <c r="Q70" i="15" s="1"/>
  <c r="I119" i="15" s="1"/>
  <c r="D95" i="15"/>
  <c r="O68" i="15"/>
  <c r="S68" i="15" s="1"/>
  <c r="I157" i="15" s="1"/>
  <c r="F93" i="15"/>
  <c r="BO130" i="18"/>
  <c r="BI127" i="18"/>
  <c r="L68" i="15"/>
  <c r="L56" i="15"/>
  <c r="P56" i="15" s="1"/>
  <c r="T56" i="15" s="1"/>
  <c r="X172" i="15" s="1"/>
  <c r="F88" i="15"/>
  <c r="C88" i="15" s="1"/>
  <c r="L70" i="15"/>
  <c r="BI130" i="18"/>
  <c r="BJ130" i="18"/>
  <c r="BO129" i="18"/>
  <c r="BP132" i="18"/>
  <c r="BH130" i="18"/>
  <c r="BM132" i="18"/>
  <c r="BF132" i="18"/>
  <c r="BH132" i="18"/>
  <c r="BE132" i="18"/>
  <c r="BR130" i="18"/>
  <c r="BL132" i="18"/>
  <c r="BI132" i="18"/>
  <c r="BK129" i="18"/>
  <c r="BQ130" i="18"/>
  <c r="BP130" i="18"/>
  <c r="BF130" i="18"/>
  <c r="Z130" i="18"/>
  <c r="BK130" i="18"/>
  <c r="BL130" i="18"/>
  <c r="BF129" i="18"/>
  <c r="BN130" i="18"/>
  <c r="BM130" i="18"/>
  <c r="BE130" i="18"/>
  <c r="BG130" i="18"/>
  <c r="BO128" i="18"/>
  <c r="BM128" i="18"/>
  <c r="BK132" i="18"/>
  <c r="BG132" i="18"/>
  <c r="BD132" i="18"/>
  <c r="P124" i="18"/>
  <c r="S124" i="18"/>
  <c r="L124" i="18"/>
  <c r="N124" i="18"/>
  <c r="W124" i="18"/>
  <c r="X124" i="18"/>
  <c r="U124" i="18"/>
  <c r="R124" i="18"/>
  <c r="V124" i="18"/>
  <c r="O124" i="18"/>
  <c r="T124" i="18"/>
  <c r="Y124" i="18"/>
  <c r="M124" i="18"/>
  <c r="Q124" i="18"/>
  <c r="O33" i="15"/>
  <c r="S33" i="15" s="1"/>
  <c r="O30" i="15"/>
  <c r="S30" i="15" s="1"/>
  <c r="X143" i="15" s="1"/>
  <c r="CU6" i="18"/>
  <c r="BU6" i="18"/>
  <c r="CJ6" i="18" s="1"/>
  <c r="CN161" i="18"/>
  <c r="CN155" i="18"/>
  <c r="CN162" i="18"/>
  <c r="CN130" i="18"/>
  <c r="CN153" i="18"/>
  <c r="CN154" i="18"/>
  <c r="J230" i="18"/>
  <c r="CN160" i="18"/>
  <c r="CN156" i="18"/>
  <c r="CN158" i="18"/>
  <c r="CN131" i="18"/>
  <c r="O62" i="15"/>
  <c r="S62" i="15" s="1"/>
  <c r="AJ155" i="15" s="1"/>
  <c r="O63" i="15"/>
  <c r="S63" i="15" s="1"/>
  <c r="O59" i="15"/>
  <c r="S59" i="15" s="1"/>
  <c r="O60" i="15"/>
  <c r="S60" i="15" s="1"/>
  <c r="O61" i="15"/>
  <c r="S61" i="15" s="1"/>
  <c r="X155" i="15" s="1"/>
  <c r="M60" i="15"/>
  <c r="Q60" i="15" s="1"/>
  <c r="M63" i="15"/>
  <c r="Q63" i="15" s="1"/>
  <c r="M62" i="15"/>
  <c r="Q62" i="15" s="1"/>
  <c r="AJ115" i="15" s="1"/>
  <c r="M61" i="15"/>
  <c r="Q61" i="15" s="1"/>
  <c r="X115" i="15" s="1"/>
  <c r="M59" i="15"/>
  <c r="Q59" i="15" s="1"/>
  <c r="O36" i="15"/>
  <c r="S36" i="15" s="1"/>
  <c r="M36" i="15"/>
  <c r="Q36" i="15" s="1"/>
  <c r="M37" i="15"/>
  <c r="Q37" i="15" s="1"/>
  <c r="M38" i="15"/>
  <c r="Q38" i="15" s="1"/>
  <c r="O34" i="15"/>
  <c r="S34" i="15" s="1"/>
  <c r="O65" i="15"/>
  <c r="S65" i="15" s="1"/>
  <c r="O64" i="15"/>
  <c r="S64" i="15" s="1"/>
  <c r="O66" i="15"/>
  <c r="S66" i="15" s="1"/>
  <c r="X156" i="15" s="1"/>
  <c r="O67" i="15"/>
  <c r="S67" i="15" s="1"/>
  <c r="AJ156" i="15" s="1"/>
  <c r="M39" i="15"/>
  <c r="Q39" i="15" s="1"/>
  <c r="I106" i="15" s="1"/>
  <c r="M41" i="15"/>
  <c r="Q41" i="15" s="1"/>
  <c r="M40" i="15"/>
  <c r="Q40" i="15" s="1"/>
  <c r="O44" i="15"/>
  <c r="S44" i="15" s="1"/>
  <c r="X147" i="15" s="1"/>
  <c r="O43" i="15"/>
  <c r="S43" i="15" s="1"/>
  <c r="O42" i="15"/>
  <c r="S42" i="15" s="1"/>
  <c r="O45" i="15"/>
  <c r="S45" i="15" s="1"/>
  <c r="O46" i="15"/>
  <c r="S46" i="15" s="1"/>
  <c r="O55" i="15"/>
  <c r="S55" i="15" s="1"/>
  <c r="O54" i="15"/>
  <c r="S54" i="15" s="1"/>
  <c r="AJ151" i="15" s="1"/>
  <c r="O53" i="15"/>
  <c r="S53" i="15" s="1"/>
  <c r="M31" i="15"/>
  <c r="Q31" i="15" s="1"/>
  <c r="M28" i="15"/>
  <c r="Q28" i="15" s="1"/>
  <c r="M32" i="15"/>
  <c r="Q32" i="15" s="1"/>
  <c r="M29" i="15"/>
  <c r="Q29" i="15" s="1"/>
  <c r="M30" i="15"/>
  <c r="Q30" i="15" s="1"/>
  <c r="X103" i="15" s="1"/>
  <c r="O38" i="15"/>
  <c r="S38" i="15" s="1"/>
  <c r="O27" i="15"/>
  <c r="S27" i="15" s="1"/>
  <c r="O26" i="15"/>
  <c r="S26" i="15" s="1"/>
  <c r="O25" i="15"/>
  <c r="S25" i="15" s="1"/>
  <c r="M67" i="15"/>
  <c r="Q67" i="15" s="1"/>
  <c r="AJ116" i="15" s="1"/>
  <c r="M64" i="15"/>
  <c r="Q64" i="15" s="1"/>
  <c r="M65" i="15"/>
  <c r="Q65" i="15" s="1"/>
  <c r="M66" i="15"/>
  <c r="Q66" i="15" s="1"/>
  <c r="X116" i="15" s="1"/>
  <c r="U37" i="15"/>
  <c r="O37" i="15"/>
  <c r="S37" i="15" s="1"/>
  <c r="M43" i="15"/>
  <c r="Q43" i="15" s="1"/>
  <c r="M42" i="15"/>
  <c r="Q42" i="15" s="1"/>
  <c r="M44" i="15"/>
  <c r="Q44" i="15" s="1"/>
  <c r="X107" i="15" s="1"/>
  <c r="M45" i="15"/>
  <c r="Q45" i="15" s="1"/>
  <c r="M46" i="15"/>
  <c r="Q46" i="15" s="1"/>
  <c r="O48" i="15"/>
  <c r="S48" i="15" s="1"/>
  <c r="I149" i="15" s="1"/>
  <c r="O50" i="15"/>
  <c r="S50" i="15" s="1"/>
  <c r="AJ149" i="15" s="1"/>
  <c r="O49" i="15"/>
  <c r="S49" i="15" s="1"/>
  <c r="X149" i="15" s="1"/>
  <c r="O31" i="15"/>
  <c r="S31" i="15" s="1"/>
  <c r="O28" i="15"/>
  <c r="S28" i="15" s="1"/>
  <c r="O35" i="15"/>
  <c r="S35" i="15" s="1"/>
  <c r="O32" i="15"/>
  <c r="S32" i="15" s="1"/>
  <c r="O29" i="15"/>
  <c r="S29" i="15" s="1"/>
  <c r="M48" i="15"/>
  <c r="Q48" i="15" s="1"/>
  <c r="I109" i="15" s="1"/>
  <c r="M49" i="15"/>
  <c r="Q49" i="15" s="1"/>
  <c r="X109" i="15" s="1"/>
  <c r="M50" i="15"/>
  <c r="Q50" i="15" s="1"/>
  <c r="AJ109" i="15" s="1"/>
  <c r="M53" i="15"/>
  <c r="Q53" i="15" s="1"/>
  <c r="M55" i="15"/>
  <c r="Q55" i="15" s="1"/>
  <c r="M54" i="15"/>
  <c r="Q54" i="15" s="1"/>
  <c r="AJ111" i="15" s="1"/>
  <c r="M33" i="15"/>
  <c r="Q33" i="15" s="1"/>
  <c r="M35" i="15"/>
  <c r="Q35" i="15" s="1"/>
  <c r="M34" i="15"/>
  <c r="Q34" i="15" s="1"/>
  <c r="D86" i="15"/>
  <c r="M51" i="15"/>
  <c r="Q51" i="15" s="1"/>
  <c r="X110" i="15" s="1"/>
  <c r="M52" i="15"/>
  <c r="Q52" i="15" s="1"/>
  <c r="AJ110" i="15" s="1"/>
  <c r="M25" i="15"/>
  <c r="Q25" i="15" s="1"/>
  <c r="M27" i="15"/>
  <c r="Q27" i="15" s="1"/>
  <c r="M26" i="15"/>
  <c r="Q26" i="15" s="1"/>
  <c r="O41" i="15"/>
  <c r="S41" i="15" s="1"/>
  <c r="O40" i="15"/>
  <c r="S40" i="15" s="1"/>
  <c r="O39" i="15"/>
  <c r="S39" i="15" s="1"/>
  <c r="I146" i="15" s="1"/>
  <c r="F89" i="15"/>
  <c r="I165" i="18" s="1"/>
  <c r="O57" i="15"/>
  <c r="S57" i="15" s="1"/>
  <c r="AJ153" i="15" s="1"/>
  <c r="F86" i="15"/>
  <c r="O52" i="15"/>
  <c r="S52" i="15" s="1"/>
  <c r="AJ150" i="15" s="1"/>
  <c r="O51" i="15"/>
  <c r="S51" i="15" s="1"/>
  <c r="X150" i="15" s="1"/>
  <c r="M125" i="18"/>
  <c r="L125" i="18"/>
  <c r="U125" i="18"/>
  <c r="W125" i="18"/>
  <c r="T125" i="18"/>
  <c r="Q125" i="18"/>
  <c r="R125" i="18"/>
  <c r="S125" i="18"/>
  <c r="P125" i="18"/>
  <c r="N125" i="18"/>
  <c r="X125" i="18"/>
  <c r="V125" i="18"/>
  <c r="Y125" i="18"/>
  <c r="O125" i="18"/>
  <c r="BE126" i="18"/>
  <c r="O203" i="13" a="1"/>
  <c r="O203" i="13" s="1"/>
  <c r="L203" i="13" a="1"/>
  <c r="L203" i="13" s="1"/>
  <c r="G203" i="13" a="1"/>
  <c r="G203" i="13" s="1"/>
  <c r="J203" i="13" a="1"/>
  <c r="J203" i="13" s="1"/>
  <c r="F203" i="13" a="1"/>
  <c r="F203" i="13" s="1"/>
  <c r="M203" i="13" a="1"/>
  <c r="M203" i="13" s="1"/>
  <c r="K203" i="13" a="1"/>
  <c r="K203" i="13" s="1"/>
  <c r="I203" i="13" a="1"/>
  <c r="I203" i="13" s="1"/>
  <c r="R203" i="13" a="1"/>
  <c r="R203" i="13" s="1"/>
  <c r="H203" i="13" a="1"/>
  <c r="H203" i="13" s="1"/>
  <c r="E203" i="13" a="1"/>
  <c r="E203" i="13" s="1"/>
  <c r="Q203" i="13" a="1"/>
  <c r="Q203" i="13" s="1"/>
  <c r="P203" i="13" a="1"/>
  <c r="P203" i="13" s="1"/>
  <c r="N203" i="13" a="1"/>
  <c r="N203" i="13" s="1"/>
  <c r="I163" i="13" a="1"/>
  <c r="I163" i="13" s="1"/>
  <c r="M163" i="13" a="1"/>
  <c r="M163" i="13" s="1"/>
  <c r="J163" i="13" a="1"/>
  <c r="J163" i="13" s="1"/>
  <c r="F163" i="13" a="1"/>
  <c r="F163" i="13" s="1"/>
  <c r="N16" i="8"/>
  <c r="DP6" i="18"/>
  <c r="AA232" i="18"/>
  <c r="AL232" i="18"/>
  <c r="AJ232" i="18"/>
  <c r="AF232" i="18"/>
  <c r="AM232" i="18"/>
  <c r="BI153" i="18"/>
  <c r="BO153" i="18"/>
  <c r="BJ154" i="18"/>
  <c r="BQ129" i="18"/>
  <c r="BG153" i="18"/>
  <c r="BP153" i="18"/>
  <c r="BR126" i="18"/>
  <c r="BN128" i="18"/>
  <c r="BL153" i="18"/>
  <c r="BJ153" i="18"/>
  <c r="BR153" i="18"/>
  <c r="BK154" i="18"/>
  <c r="L54" i="15"/>
  <c r="BJ127" i="18"/>
  <c r="BN127" i="18"/>
  <c r="BO126" i="18"/>
  <c r="BR129" i="18"/>
  <c r="BG128" i="18"/>
  <c r="BJ128" i="18"/>
  <c r="BQ127" i="18"/>
  <c r="BE153" i="18"/>
  <c r="BF154" i="18"/>
  <c r="BG154" i="18"/>
  <c r="BQ154" i="18"/>
  <c r="BP154" i="18"/>
  <c r="BP128" i="18"/>
  <c r="BN129" i="18"/>
  <c r="BE154" i="18"/>
  <c r="BQ153" i="18"/>
  <c r="BI129" i="18"/>
  <c r="BF128" i="18"/>
  <c r="BN153" i="18"/>
  <c r="L52" i="15"/>
  <c r="BI157" i="18"/>
  <c r="BI231" i="18" s="1"/>
  <c r="BO127" i="18"/>
  <c r="BM154" i="18"/>
  <c r="BL129" i="18"/>
  <c r="BE157" i="18"/>
  <c r="BE231" i="18" s="1"/>
  <c r="BJ129" i="18"/>
  <c r="BP129" i="18"/>
  <c r="BM129" i="18"/>
  <c r="BL128" i="18"/>
  <c r="BF127" i="18"/>
  <c r="BK127" i="18"/>
  <c r="BN154" i="18"/>
  <c r="BQ157" i="18"/>
  <c r="BQ231" i="18" s="1"/>
  <c r="BK128" i="18"/>
  <c r="BI154" i="18"/>
  <c r="BR127" i="18"/>
  <c r="BE129" i="18"/>
  <c r="BH153" i="18"/>
  <c r="BF157" i="18"/>
  <c r="BF231" i="18" s="1"/>
  <c r="BP127" i="18"/>
  <c r="BO157" i="18"/>
  <c r="BO231" i="18" s="1"/>
  <c r="BG127" i="18"/>
  <c r="BR157" i="18"/>
  <c r="BR231" i="18" s="1"/>
  <c r="BJ157" i="18"/>
  <c r="BJ231" i="18" s="1"/>
  <c r="BG157" i="18"/>
  <c r="BG231" i="18" s="1"/>
  <c r="BH127" i="18"/>
  <c r="BG129" i="18"/>
  <c r="BO154" i="18"/>
  <c r="BP157" i="18"/>
  <c r="BP231" i="18" s="1"/>
  <c r="BR128" i="18"/>
  <c r="BN126" i="18"/>
  <c r="BI128" i="18"/>
  <c r="BD129" i="18"/>
  <c r="Z129" i="18"/>
  <c r="BD128" i="18"/>
  <c r="BP126" i="18"/>
  <c r="BD127" i="18"/>
  <c r="BD153" i="18"/>
  <c r="Z153" i="18"/>
  <c r="BD154" i="18"/>
  <c r="Z157" i="18"/>
  <c r="Z231" i="18" s="1"/>
  <c r="BL127" i="18"/>
  <c r="BD130" i="18"/>
  <c r="BH157" i="18"/>
  <c r="BH231" i="18" s="1"/>
  <c r="BQ126" i="18"/>
  <c r="Z126" i="18"/>
  <c r="BN157" i="18"/>
  <c r="BN231" i="18" s="1"/>
  <c r="BM157" i="18"/>
  <c r="BM231" i="18" s="1"/>
  <c r="BL126" i="18"/>
  <c r="BM126" i="18"/>
  <c r="BK157" i="18"/>
  <c r="BK231" i="18" s="1"/>
  <c r="BL157" i="18"/>
  <c r="BL231" i="18" s="1"/>
  <c r="BH128" i="18"/>
  <c r="BG126" i="18"/>
  <c r="BK126" i="18"/>
  <c r="BJ126" i="18"/>
  <c r="Z154" i="18"/>
  <c r="Z156" i="18"/>
  <c r="BD134" i="18"/>
  <c r="BD148" i="18"/>
  <c r="BD158" i="18"/>
  <c r="BS158" i="18" s="1"/>
  <c r="Z132" i="18"/>
  <c r="BD157" i="18"/>
  <c r="BD231" i="18" s="1"/>
  <c r="BQ128" i="18"/>
  <c r="BI126" i="18"/>
  <c r="BH126" i="18"/>
  <c r="BJ147" i="18"/>
  <c r="BL147" i="18"/>
  <c r="BF147" i="18"/>
  <c r="BQ147" i="18"/>
  <c r="BI147" i="18"/>
  <c r="BM147" i="18"/>
  <c r="BN147" i="18"/>
  <c r="BG147" i="18"/>
  <c r="BO147" i="18"/>
  <c r="BK147" i="18"/>
  <c r="BH147" i="18"/>
  <c r="BP147" i="18"/>
  <c r="BR147" i="18"/>
  <c r="BL135" i="18"/>
  <c r="BO135" i="18"/>
  <c r="BF135" i="18"/>
  <c r="BJ135" i="18"/>
  <c r="BQ135" i="18"/>
  <c r="BI135" i="18"/>
  <c r="BG135" i="18"/>
  <c r="BK135" i="18"/>
  <c r="BM135" i="18"/>
  <c r="BP135" i="18"/>
  <c r="BH135" i="18"/>
  <c r="BN135" i="18"/>
  <c r="BR135" i="18"/>
  <c r="BD139" i="18"/>
  <c r="BD136" i="18"/>
  <c r="BJ139" i="18"/>
  <c r="BI139" i="18"/>
  <c r="BL139" i="18"/>
  <c r="BO139" i="18"/>
  <c r="BQ139" i="18"/>
  <c r="BG139" i="18"/>
  <c r="BF139" i="18"/>
  <c r="BH139" i="18"/>
  <c r="BM139" i="18"/>
  <c r="BK139" i="18"/>
  <c r="BN139" i="18"/>
  <c r="BR139" i="18"/>
  <c r="BP139" i="18"/>
  <c r="BD135" i="18"/>
  <c r="BJ150" i="18"/>
  <c r="BL150" i="18"/>
  <c r="BO150" i="18"/>
  <c r="BF150" i="18"/>
  <c r="BG150" i="18"/>
  <c r="BM150" i="18"/>
  <c r="BN150" i="18"/>
  <c r="BH150" i="18"/>
  <c r="BP150" i="18"/>
  <c r="BR150" i="18"/>
  <c r="BI150" i="18"/>
  <c r="BQ150" i="18"/>
  <c r="BK150" i="18"/>
  <c r="BD146" i="18"/>
  <c r="BD149" i="18"/>
  <c r="BF141" i="18"/>
  <c r="BL141" i="18"/>
  <c r="BO141" i="18"/>
  <c r="BQ141" i="18"/>
  <c r="BG141" i="18"/>
  <c r="BK141" i="18"/>
  <c r="BI141" i="18"/>
  <c r="BN141" i="18"/>
  <c r="BM141" i="18"/>
  <c r="BR141" i="18"/>
  <c r="BP141" i="18"/>
  <c r="BJ141" i="18"/>
  <c r="BH141" i="18"/>
  <c r="BO156" i="18"/>
  <c r="BF156" i="18"/>
  <c r="BQ156" i="18"/>
  <c r="BG156" i="18"/>
  <c r="BJ156" i="18"/>
  <c r="BP156" i="18"/>
  <c r="BN156" i="18"/>
  <c r="BR156" i="18"/>
  <c r="BL156" i="18"/>
  <c r="BM156" i="18"/>
  <c r="BH156" i="18"/>
  <c r="BK156" i="18"/>
  <c r="BI156" i="18"/>
  <c r="BO142" i="18"/>
  <c r="BF142" i="18"/>
  <c r="BQ142" i="18"/>
  <c r="BJ142" i="18"/>
  <c r="BN142" i="18"/>
  <c r="BH142" i="18"/>
  <c r="BL142" i="18"/>
  <c r="BG142" i="18"/>
  <c r="BK142" i="18"/>
  <c r="BR142" i="18"/>
  <c r="BP142" i="18"/>
  <c r="BI142" i="18"/>
  <c r="BM142" i="18"/>
  <c r="BL137" i="18"/>
  <c r="BO137" i="18"/>
  <c r="BH137" i="18"/>
  <c r="BF137" i="18"/>
  <c r="BI137" i="18"/>
  <c r="BP137" i="18"/>
  <c r="BJ137" i="18"/>
  <c r="BG137" i="18"/>
  <c r="BR137" i="18"/>
  <c r="BK137" i="18"/>
  <c r="BN137" i="18"/>
  <c r="BQ137" i="18"/>
  <c r="BM137" i="18"/>
  <c r="BI136" i="18"/>
  <c r="BL136" i="18"/>
  <c r="BG136" i="18"/>
  <c r="BN136" i="18"/>
  <c r="BJ136" i="18"/>
  <c r="BQ136" i="18"/>
  <c r="BK136" i="18"/>
  <c r="BM136" i="18"/>
  <c r="BH136" i="18"/>
  <c r="BO136" i="18"/>
  <c r="BP136" i="18"/>
  <c r="BR136" i="18"/>
  <c r="BF136" i="18"/>
  <c r="BD144" i="18"/>
  <c r="BD145" i="18"/>
  <c r="BD138" i="18"/>
  <c r="BQ134" i="18"/>
  <c r="BO134" i="18"/>
  <c r="BF134" i="18"/>
  <c r="BI134" i="18"/>
  <c r="BG134" i="18"/>
  <c r="BJ134" i="18"/>
  <c r="BM134" i="18"/>
  <c r="BK134" i="18"/>
  <c r="BN134" i="18"/>
  <c r="BL134" i="18"/>
  <c r="BR134" i="18"/>
  <c r="BH134" i="18"/>
  <c r="BP134" i="18"/>
  <c r="BL144" i="18"/>
  <c r="BF144" i="18"/>
  <c r="BQ144" i="18"/>
  <c r="BO144" i="18"/>
  <c r="BI144" i="18"/>
  <c r="BM144" i="18"/>
  <c r="BJ144" i="18"/>
  <c r="BK144" i="18"/>
  <c r="BN144" i="18"/>
  <c r="BH144" i="18"/>
  <c r="BP144" i="18"/>
  <c r="BR144" i="18"/>
  <c r="BG144" i="18"/>
  <c r="BD140" i="18"/>
  <c r="BD141" i="18"/>
  <c r="BD150" i="18"/>
  <c r="BQ143" i="18"/>
  <c r="BO143" i="18"/>
  <c r="BF143" i="18"/>
  <c r="BL143" i="18"/>
  <c r="BI143" i="18"/>
  <c r="BG143" i="18"/>
  <c r="BK143" i="18"/>
  <c r="BN143" i="18"/>
  <c r="BH143" i="18"/>
  <c r="BJ143" i="18"/>
  <c r="BP143" i="18"/>
  <c r="BR143" i="18"/>
  <c r="BM143" i="18"/>
  <c r="BO152" i="18"/>
  <c r="BI152" i="18"/>
  <c r="BJ152" i="18"/>
  <c r="BL152" i="18"/>
  <c r="BF152" i="18"/>
  <c r="BQ152" i="18"/>
  <c r="BN152" i="18"/>
  <c r="BH152" i="18"/>
  <c r="BG152" i="18"/>
  <c r="BR152" i="18"/>
  <c r="BM152" i="18"/>
  <c r="BP152" i="18"/>
  <c r="BK152" i="18"/>
  <c r="BJ133" i="18"/>
  <c r="BO133" i="18"/>
  <c r="BL133" i="18"/>
  <c r="BF133" i="18"/>
  <c r="BG133" i="18"/>
  <c r="BN133" i="18"/>
  <c r="BQ133" i="18"/>
  <c r="BI133" i="18"/>
  <c r="BM133" i="18"/>
  <c r="BK133" i="18"/>
  <c r="BH133" i="18"/>
  <c r="BP133" i="18"/>
  <c r="BR133" i="18"/>
  <c r="BG158" i="18"/>
  <c r="BD133" i="18"/>
  <c r="BD152" i="18"/>
  <c r="BI149" i="18"/>
  <c r="BJ149" i="18"/>
  <c r="BL149" i="18"/>
  <c r="BQ149" i="18"/>
  <c r="BG149" i="18"/>
  <c r="BK149" i="18"/>
  <c r="BN149" i="18"/>
  <c r="BH149" i="18"/>
  <c r="BO149" i="18"/>
  <c r="BF149" i="18"/>
  <c r="BP149" i="18"/>
  <c r="BM149" i="18"/>
  <c r="BR149" i="18"/>
  <c r="BJ146" i="18"/>
  <c r="BL146" i="18"/>
  <c r="BQ146" i="18"/>
  <c r="BI146" i="18"/>
  <c r="BG146" i="18"/>
  <c r="BF146" i="18"/>
  <c r="BK146" i="18"/>
  <c r="BM146" i="18"/>
  <c r="BH146" i="18"/>
  <c r="BO146" i="18"/>
  <c r="BN146" i="18"/>
  <c r="BR146" i="18"/>
  <c r="BP146" i="18"/>
  <c r="BJ140" i="18"/>
  <c r="BL140" i="18"/>
  <c r="BQ140" i="18"/>
  <c r="BO140" i="18"/>
  <c r="BI140" i="18"/>
  <c r="BF140" i="18"/>
  <c r="BG140" i="18"/>
  <c r="BK140" i="18"/>
  <c r="BP140" i="18"/>
  <c r="BN140" i="18"/>
  <c r="BR140" i="18"/>
  <c r="BH140" i="18"/>
  <c r="BM140" i="18"/>
  <c r="BL145" i="18"/>
  <c r="BG145" i="18"/>
  <c r="BJ145" i="18"/>
  <c r="BF145" i="18"/>
  <c r="BI145" i="18"/>
  <c r="BH145" i="18"/>
  <c r="BN145" i="18"/>
  <c r="BR145" i="18"/>
  <c r="BQ145" i="18"/>
  <c r="BM145" i="18"/>
  <c r="BP145" i="18"/>
  <c r="BO145" i="18"/>
  <c r="BK145" i="18"/>
  <c r="BG148" i="18"/>
  <c r="BJ148" i="18"/>
  <c r="BI148" i="18"/>
  <c r="BH148" i="18"/>
  <c r="BQ148" i="18"/>
  <c r="BO148" i="18"/>
  <c r="BF148" i="18"/>
  <c r="BM148" i="18"/>
  <c r="BP148" i="18"/>
  <c r="BR148" i="18"/>
  <c r="BL148" i="18"/>
  <c r="BK148" i="18"/>
  <c r="BN148" i="18"/>
  <c r="BD147" i="18"/>
  <c r="BD142" i="18"/>
  <c r="BD151" i="18"/>
  <c r="BD230" i="18" s="1"/>
  <c r="AP230" i="18"/>
  <c r="BD137" i="18"/>
  <c r="BD143" i="18"/>
  <c r="BG138" i="18"/>
  <c r="BL138" i="18"/>
  <c r="BO138" i="18"/>
  <c r="BJ138" i="18"/>
  <c r="BQ138" i="18"/>
  <c r="BI138" i="18"/>
  <c r="BM138" i="18"/>
  <c r="BK138" i="18"/>
  <c r="BN138" i="18"/>
  <c r="BP138" i="18"/>
  <c r="BH138" i="18"/>
  <c r="BF138" i="18"/>
  <c r="BR138" i="18"/>
  <c r="CN157" i="18"/>
  <c r="CN231" i="18" s="1"/>
  <c r="J231" i="18"/>
  <c r="C16" i="22"/>
  <c r="CN159" i="18"/>
  <c r="DP5" i="18"/>
  <c r="N15" i="8"/>
  <c r="J84" i="18"/>
  <c r="C30" i="22" s="1"/>
  <c r="S54" i="10"/>
  <c r="CF152" i="15"/>
  <c r="BD126" i="18"/>
  <c r="Z127" i="18"/>
  <c r="CP35" i="18"/>
  <c r="CB206" i="18"/>
  <c r="CJ35" i="18"/>
  <c r="BE127" i="18"/>
  <c r="BM127" i="18"/>
  <c r="Z128" i="18"/>
  <c r="J4" i="18"/>
  <c r="M54" i="8"/>
  <c r="D90" i="15"/>
  <c r="AJ114" i="15"/>
  <c r="BS162" i="18"/>
  <c r="CY162" i="18" s="1"/>
  <c r="BS161" i="18"/>
  <c r="CY161" i="18" s="1"/>
  <c r="BS163" i="18"/>
  <c r="BV163" i="18" s="1"/>
  <c r="CG158" i="18"/>
  <c r="CG162" i="18"/>
  <c r="BS159" i="18"/>
  <c r="BW159" i="18" s="1"/>
  <c r="CL159" i="18" s="1"/>
  <c r="CG161" i="18"/>
  <c r="CG163" i="18"/>
  <c r="BS160" i="18"/>
  <c r="BW160" i="18" s="1"/>
  <c r="CL160" i="18" s="1"/>
  <c r="BS131" i="18"/>
  <c r="CY131" i="18" s="1"/>
  <c r="CG154" i="18"/>
  <c r="CG131" i="18"/>
  <c r="CG132" i="18"/>
  <c r="CG130" i="18"/>
  <c r="AO215" i="18"/>
  <c r="BS155" i="18"/>
  <c r="CY155" i="18" s="1"/>
  <c r="CU202" i="18"/>
  <c r="CU240" i="18" s="1"/>
  <c r="AB232" i="18"/>
  <c r="AC232" i="18"/>
  <c r="AN232" i="18"/>
  <c r="I125" i="18"/>
  <c r="I124" i="18"/>
  <c r="AA251" i="18"/>
  <c r="AA211" i="18"/>
  <c r="AC251" i="18"/>
  <c r="AC211" i="18"/>
  <c r="AK251" i="18"/>
  <c r="AK211" i="18"/>
  <c r="AJ251" i="18"/>
  <c r="AJ211" i="18"/>
  <c r="AL251" i="18"/>
  <c r="AL211" i="18"/>
  <c r="AH251" i="18"/>
  <c r="AH211" i="18"/>
  <c r="AM251" i="18"/>
  <c r="AM211" i="18"/>
  <c r="AB251" i="18"/>
  <c r="AB211" i="18"/>
  <c r="AF251" i="18"/>
  <c r="AF211" i="18"/>
  <c r="AI251" i="18"/>
  <c r="AI211" i="18"/>
  <c r="AN251" i="18"/>
  <c r="AN211" i="18"/>
  <c r="AD251" i="18"/>
  <c r="AD211" i="18"/>
  <c r="AE251" i="18"/>
  <c r="AE211" i="18"/>
  <c r="AG251" i="18"/>
  <c r="AG211" i="18"/>
  <c r="AA244" i="18"/>
  <c r="AA247" i="18"/>
  <c r="AC244" i="18"/>
  <c r="AC247" i="18"/>
  <c r="AJ244" i="18"/>
  <c r="AJ247" i="18"/>
  <c r="AH244" i="18"/>
  <c r="AH247" i="18"/>
  <c r="AM244" i="18"/>
  <c r="AM247" i="18"/>
  <c r="AB244" i="18"/>
  <c r="AB247" i="18"/>
  <c r="AF244" i="18"/>
  <c r="AF247" i="18"/>
  <c r="AI244" i="18"/>
  <c r="AI247" i="18"/>
  <c r="AN244" i="18"/>
  <c r="AN247" i="18"/>
  <c r="AK244" i="18"/>
  <c r="AK247" i="18"/>
  <c r="AL244" i="18"/>
  <c r="AL247" i="18"/>
  <c r="AD244" i="18"/>
  <c r="AD247" i="18"/>
  <c r="AE244" i="18"/>
  <c r="AE247" i="18"/>
  <c r="AG244" i="18"/>
  <c r="AG247" i="18"/>
  <c r="AJ246" i="18"/>
  <c r="AJ235" i="18"/>
  <c r="AM246" i="18"/>
  <c r="AM235" i="18"/>
  <c r="AB246" i="18"/>
  <c r="AB235" i="18"/>
  <c r="AF246" i="18"/>
  <c r="AF235" i="18"/>
  <c r="AI246" i="18"/>
  <c r="AI235" i="18"/>
  <c r="AD246" i="18"/>
  <c r="AD235" i="18"/>
  <c r="AE246" i="18"/>
  <c r="AE235" i="18"/>
  <c r="AG246" i="18"/>
  <c r="AG235" i="18"/>
  <c r="AN246" i="18"/>
  <c r="AN235" i="18"/>
  <c r="AA246" i="18"/>
  <c r="AA235" i="18"/>
  <c r="AC246" i="18"/>
  <c r="AC235" i="18"/>
  <c r="AK246" i="18"/>
  <c r="AK235" i="18"/>
  <c r="AL246" i="18"/>
  <c r="AL235" i="18"/>
  <c r="AH246" i="18"/>
  <c r="AH235" i="18"/>
  <c r="AE232" i="18"/>
  <c r="AI232" i="18"/>
  <c r="AN239" i="18"/>
  <c r="AN243" i="18"/>
  <c r="AA239" i="18"/>
  <c r="AA243" i="18"/>
  <c r="AC239" i="18"/>
  <c r="AC243" i="18"/>
  <c r="AK239" i="18"/>
  <c r="AK243" i="18"/>
  <c r="AJ239" i="18"/>
  <c r="AJ243" i="18"/>
  <c r="AL239" i="18"/>
  <c r="AL243" i="18"/>
  <c r="AH239" i="18"/>
  <c r="AH243" i="18"/>
  <c r="AD239" i="18"/>
  <c r="AD243" i="18"/>
  <c r="AE239" i="18"/>
  <c r="AE243" i="18"/>
  <c r="AG239" i="18"/>
  <c r="AG243" i="18"/>
  <c r="AM239" i="18"/>
  <c r="AM243" i="18"/>
  <c r="AB239" i="18"/>
  <c r="AB243" i="18"/>
  <c r="AF239" i="18"/>
  <c r="AF243" i="18"/>
  <c r="AI239" i="18"/>
  <c r="AI243" i="18"/>
  <c r="AK232" i="18"/>
  <c r="AH232" i="18"/>
  <c r="AG232" i="18"/>
  <c r="AD232" i="18"/>
  <c r="AN236" i="18"/>
  <c r="AN245" i="18"/>
  <c r="AA236" i="18"/>
  <c r="AA245" i="18"/>
  <c r="AC236" i="18"/>
  <c r="AC245" i="18"/>
  <c r="AK236" i="18"/>
  <c r="AK245" i="18"/>
  <c r="AJ236" i="18"/>
  <c r="AJ245" i="18"/>
  <c r="AL236" i="18"/>
  <c r="AL245" i="18"/>
  <c r="AH236" i="18"/>
  <c r="AH245" i="18"/>
  <c r="AD236" i="18"/>
  <c r="AD245" i="18"/>
  <c r="AE236" i="18"/>
  <c r="AE245" i="18"/>
  <c r="AG236" i="18"/>
  <c r="AG245" i="18"/>
  <c r="AM236" i="18"/>
  <c r="AM245" i="18"/>
  <c r="AB236" i="18"/>
  <c r="AB245" i="18"/>
  <c r="AF236" i="18"/>
  <c r="AF245" i="18"/>
  <c r="AI236" i="18"/>
  <c r="AI245" i="18"/>
  <c r="AJ237" i="18"/>
  <c r="AL237" i="18"/>
  <c r="AI237" i="18"/>
  <c r="AM237" i="18"/>
  <c r="AK237" i="18"/>
  <c r="AB237" i="18"/>
  <c r="AD237" i="18"/>
  <c r="AE237" i="18"/>
  <c r="AG237" i="18"/>
  <c r="AN237" i="18"/>
  <c r="AC237" i="18"/>
  <c r="AH210" i="18"/>
  <c r="AH237" i="18"/>
  <c r="AF238" i="18"/>
  <c r="AF237" i="18"/>
  <c r="AA238" i="18"/>
  <c r="AA237" i="18"/>
  <c r="C93" i="15"/>
  <c r="L47" i="15"/>
  <c r="D84" i="15"/>
  <c r="D83" i="15"/>
  <c r="L42" i="15"/>
  <c r="U42" i="15" s="1"/>
  <c r="D82" i="15"/>
  <c r="L39" i="15"/>
  <c r="U39" i="15" s="1"/>
  <c r="L49" i="15"/>
  <c r="U49" i="15" s="1"/>
  <c r="AJ154" i="15"/>
  <c r="F90" i="15"/>
  <c r="F83" i="15"/>
  <c r="AJ113" i="15"/>
  <c r="D89" i="15"/>
  <c r="G165" i="18" s="1"/>
  <c r="AJ148" i="15"/>
  <c r="F84" i="15"/>
  <c r="F82" i="15"/>
  <c r="AM241" i="18"/>
  <c r="AM234" i="18"/>
  <c r="AD241" i="18"/>
  <c r="AD234" i="18"/>
  <c r="AC241" i="18"/>
  <c r="AC234" i="18"/>
  <c r="AH241" i="18"/>
  <c r="AH234" i="18"/>
  <c r="AG241" i="18"/>
  <c r="AG234" i="18"/>
  <c r="AA241" i="18"/>
  <c r="AA234" i="18"/>
  <c r="AN241" i="18"/>
  <c r="AN234" i="18"/>
  <c r="AF241" i="18"/>
  <c r="AF234" i="18"/>
  <c r="AB241" i="18"/>
  <c r="AB234" i="18"/>
  <c r="AK241" i="18"/>
  <c r="AK234" i="18"/>
  <c r="AE241" i="18"/>
  <c r="AE234" i="18"/>
  <c r="AI241" i="18"/>
  <c r="AI234" i="18"/>
  <c r="AL241" i="18"/>
  <c r="AL234" i="18"/>
  <c r="AJ241" i="18"/>
  <c r="AJ234" i="18"/>
  <c r="AJ108" i="15"/>
  <c r="L57" i="15"/>
  <c r="P57" i="15" s="1"/>
  <c r="T57" i="15" s="1"/>
  <c r="L58" i="15"/>
  <c r="P58" i="15" s="1"/>
  <c r="T58" i="15" s="1"/>
  <c r="L50" i="15"/>
  <c r="AH238" i="18"/>
  <c r="U43" i="15"/>
  <c r="L60" i="15"/>
  <c r="U60" i="15" s="1"/>
  <c r="L40" i="15"/>
  <c r="L45" i="15"/>
  <c r="L41" i="15"/>
  <c r="AM210" i="18"/>
  <c r="L44" i="15"/>
  <c r="L46" i="15"/>
  <c r="AB238" i="18"/>
  <c r="AI238" i="18"/>
  <c r="AN238" i="18"/>
  <c r="AC210" i="18"/>
  <c r="AE238" i="18"/>
  <c r="AC238" i="18"/>
  <c r="AM238" i="18"/>
  <c r="AL238" i="18"/>
  <c r="AL210" i="18"/>
  <c r="AA210" i="18"/>
  <c r="AO164" i="18"/>
  <c r="AN210" i="18"/>
  <c r="AI210" i="18"/>
  <c r="AK238" i="18"/>
  <c r="AJ210" i="18"/>
  <c r="AD238" i="18"/>
  <c r="AO165" i="18"/>
  <c r="AF210" i="18"/>
  <c r="AE210" i="18"/>
  <c r="AG238" i="18"/>
  <c r="AJ238" i="18"/>
  <c r="AD210" i="18"/>
  <c r="AK210" i="18"/>
  <c r="AB210" i="18"/>
  <c r="AG210" i="18"/>
  <c r="L31" i="15"/>
  <c r="U31" i="15" s="1"/>
  <c r="L30" i="15"/>
  <c r="F85" i="15"/>
  <c r="L29" i="15"/>
  <c r="D85" i="15"/>
  <c r="L48" i="15"/>
  <c r="L26" i="15"/>
  <c r="U26" i="15" s="1"/>
  <c r="L34" i="15"/>
  <c r="L66" i="15"/>
  <c r="U66" i="15" s="1"/>
  <c r="J207" i="18"/>
  <c r="L67" i="15"/>
  <c r="L65" i="15"/>
  <c r="U65" i="15" s="1"/>
  <c r="L61" i="15"/>
  <c r="U61" i="15" s="1"/>
  <c r="L62" i="15"/>
  <c r="U62" i="15" s="1"/>
  <c r="L32" i="15"/>
  <c r="L35" i="15"/>
  <c r="L27" i="15"/>
  <c r="L38" i="15"/>
  <c r="L63" i="15"/>
  <c r="L55" i="15"/>
  <c r="U55" i="15" s="1"/>
  <c r="AK214" i="18"/>
  <c r="AK233" i="18"/>
  <c r="AD214" i="18"/>
  <c r="AD233" i="18"/>
  <c r="D81" i="15"/>
  <c r="L36" i="15"/>
  <c r="F105" i="15"/>
  <c r="D78" i="15"/>
  <c r="G164" i="18" s="1"/>
  <c r="L25" i="15"/>
  <c r="E102" i="15"/>
  <c r="F91" i="15"/>
  <c r="D80" i="15"/>
  <c r="L33" i="15"/>
  <c r="F104" i="15"/>
  <c r="D91" i="15"/>
  <c r="L59" i="15"/>
  <c r="U59" i="15" s="1"/>
  <c r="F79" i="15"/>
  <c r="E143" i="15"/>
  <c r="AM214" i="18"/>
  <c r="AM233" i="18"/>
  <c r="AN214" i="18"/>
  <c r="AN233" i="18"/>
  <c r="AF214" i="18"/>
  <c r="AF233" i="18"/>
  <c r="AA214" i="18"/>
  <c r="AA233" i="18"/>
  <c r="AG214" i="18"/>
  <c r="AG233" i="18"/>
  <c r="D92" i="15"/>
  <c r="L64" i="15"/>
  <c r="U64" i="15" s="1"/>
  <c r="D87" i="15"/>
  <c r="L53" i="15"/>
  <c r="F80" i="15"/>
  <c r="F144" i="15"/>
  <c r="F92" i="15"/>
  <c r="AJ214" i="18"/>
  <c r="AJ233" i="18"/>
  <c r="F81" i="15"/>
  <c r="F145" i="15"/>
  <c r="AH214" i="18"/>
  <c r="AH233" i="18"/>
  <c r="AC214" i="18"/>
  <c r="AC233" i="18"/>
  <c r="AE214" i="18"/>
  <c r="AE233" i="18"/>
  <c r="AI214" i="18"/>
  <c r="AI233" i="18"/>
  <c r="F78" i="15"/>
  <c r="I164" i="18" s="1"/>
  <c r="E142" i="15"/>
  <c r="AL214" i="18"/>
  <c r="AL233" i="18"/>
  <c r="AB214" i="18"/>
  <c r="AB233" i="18"/>
  <c r="D79" i="15"/>
  <c r="L28" i="15"/>
  <c r="E103" i="15"/>
  <c r="F87" i="15"/>
  <c r="AH209" i="18"/>
  <c r="AH212" i="18"/>
  <c r="AH204" i="18"/>
  <c r="AI209" i="18"/>
  <c r="AI212" i="18"/>
  <c r="AI204" i="18"/>
  <c r="AJ209" i="18"/>
  <c r="AJ212" i="18"/>
  <c r="AJ204" i="18"/>
  <c r="CT207" i="18"/>
  <c r="AG209" i="18"/>
  <c r="AG212" i="18"/>
  <c r="AG204" i="18"/>
  <c r="AA209" i="18"/>
  <c r="AA212" i="18"/>
  <c r="AA204" i="18"/>
  <c r="AE209" i="18"/>
  <c r="AE212" i="18"/>
  <c r="AE204" i="18"/>
  <c r="AL209" i="18"/>
  <c r="AL212" i="18"/>
  <c r="AL204" i="18"/>
  <c r="AN209" i="18"/>
  <c r="AN212" i="18"/>
  <c r="AN204" i="18"/>
  <c r="AM209" i="18"/>
  <c r="AM212" i="18"/>
  <c r="AM204" i="18"/>
  <c r="AF209" i="18"/>
  <c r="AF212" i="18"/>
  <c r="AF204" i="18"/>
  <c r="AD209" i="18"/>
  <c r="AD212" i="18"/>
  <c r="AD204" i="18"/>
  <c r="CT208" i="18"/>
  <c r="AC209" i="18"/>
  <c r="AC212" i="18"/>
  <c r="AC204" i="18"/>
  <c r="AB209" i="18"/>
  <c r="AB212" i="18"/>
  <c r="AB204" i="18"/>
  <c r="AK209" i="18"/>
  <c r="AK212" i="18"/>
  <c r="AK204" i="18"/>
  <c r="AO124" i="18"/>
  <c r="AO125" i="18"/>
  <c r="AO213" i="18" s="1"/>
  <c r="P15" i="11"/>
  <c r="P16" i="11"/>
  <c r="J125" i="18" s="1"/>
  <c r="P14" i="11"/>
  <c r="K163" i="13" l="1" a="1"/>
  <c r="K163" i="13" s="1"/>
  <c r="R163" i="13" a="1"/>
  <c r="R163" i="13" s="1"/>
  <c r="P163" i="13" a="1"/>
  <c r="P163" i="13" s="1"/>
  <c r="CF112" i="15"/>
  <c r="G163" i="13" a="1"/>
  <c r="G163" i="13" s="1"/>
  <c r="E163" i="13" a="1"/>
  <c r="E163" i="13" s="1"/>
  <c r="S163" i="13" s="1"/>
  <c r="L163" i="13" a="1"/>
  <c r="L163" i="13" s="1"/>
  <c r="O163" i="13" a="1"/>
  <c r="O163" i="13" s="1"/>
  <c r="H163" i="13" a="1"/>
  <c r="H163" i="13" s="1"/>
  <c r="N163" i="13" a="1"/>
  <c r="N163" i="13" s="1"/>
  <c r="BE4" i="18"/>
  <c r="BO4" i="18"/>
  <c r="BJ4" i="18"/>
  <c r="BJ206" i="18" s="1"/>
  <c r="BQ4" i="18"/>
  <c r="BQ206" i="18" s="1"/>
  <c r="BP4" i="18"/>
  <c r="BP206" i="18" s="1"/>
  <c r="BK4" i="18"/>
  <c r="BK206" i="18" s="1"/>
  <c r="BF4" i="18"/>
  <c r="BF206" i="18" s="1"/>
  <c r="BM4" i="18"/>
  <c r="BL4" i="18"/>
  <c r="BL206" i="18" s="1"/>
  <c r="BG4" i="18"/>
  <c r="BG206" i="18" s="1"/>
  <c r="BR4" i="18"/>
  <c r="BR206" i="18" s="1"/>
  <c r="BI4" i="18"/>
  <c r="BH4" i="18"/>
  <c r="BN4" i="18"/>
  <c r="Q170" i="13" a="1"/>
  <c r="Q170" i="13" s="1"/>
  <c r="P170" i="13" a="1"/>
  <c r="P170" i="13" s="1"/>
  <c r="K170" i="13" a="1"/>
  <c r="K170" i="13" s="1"/>
  <c r="J170" i="13" a="1"/>
  <c r="J170" i="13" s="1"/>
  <c r="M170" i="13" a="1"/>
  <c r="M170" i="13" s="1"/>
  <c r="L170" i="13" a="1"/>
  <c r="L170" i="13" s="1"/>
  <c r="G170" i="13" a="1"/>
  <c r="G170" i="13" s="1"/>
  <c r="F170" i="13" a="1"/>
  <c r="F170" i="13" s="1"/>
  <c r="I170" i="13" a="1"/>
  <c r="I170" i="13" s="1"/>
  <c r="H170" i="13" a="1"/>
  <c r="H170" i="13" s="1"/>
  <c r="R170" i="13" a="1"/>
  <c r="R170" i="13" s="1"/>
  <c r="CF119" i="15"/>
  <c r="E170" i="13" a="1"/>
  <c r="E170" i="13" s="1"/>
  <c r="O170" i="13" a="1"/>
  <c r="O170" i="13" s="1"/>
  <c r="N170" i="13" a="1"/>
  <c r="N170" i="13" s="1"/>
  <c r="H209" i="13" a="1"/>
  <c r="H209" i="13" s="1"/>
  <c r="E209" i="13" a="1"/>
  <c r="E209" i="13" s="1"/>
  <c r="Q209" i="13" a="1"/>
  <c r="Q209" i="13" s="1"/>
  <c r="CF158" i="15"/>
  <c r="R209" i="13" a="1"/>
  <c r="R209" i="13" s="1"/>
  <c r="O209" i="13" a="1"/>
  <c r="O209" i="13" s="1"/>
  <c r="N209" i="13" a="1"/>
  <c r="N209" i="13" s="1"/>
  <c r="P209" i="13" a="1"/>
  <c r="P209" i="13" s="1"/>
  <c r="M209" i="13" a="1"/>
  <c r="M209" i="13" s="1"/>
  <c r="L209" i="13" a="1"/>
  <c r="L209" i="13" s="1"/>
  <c r="I209" i="13" a="1"/>
  <c r="I209" i="13" s="1"/>
  <c r="K209" i="13" a="1"/>
  <c r="K209" i="13" s="1"/>
  <c r="J209" i="13" a="1"/>
  <c r="J209" i="13" s="1"/>
  <c r="G209" i="13" a="1"/>
  <c r="G209" i="13" s="1"/>
  <c r="F209" i="13" a="1"/>
  <c r="F209" i="13" s="1"/>
  <c r="J231" i="13" a="1"/>
  <c r="J231" i="13" s="1"/>
  <c r="G231" i="13" a="1"/>
  <c r="G231" i="13" s="1"/>
  <c r="F231" i="13" a="1"/>
  <c r="F231" i="13" s="1"/>
  <c r="H231" i="13" a="1"/>
  <c r="H231" i="13" s="1"/>
  <c r="E231" i="13" a="1"/>
  <c r="E231" i="13" s="1"/>
  <c r="Q231" i="13" a="1"/>
  <c r="Q231" i="13" s="1"/>
  <c r="CF180" i="15"/>
  <c r="R231" i="13" a="1"/>
  <c r="R231" i="13" s="1"/>
  <c r="O231" i="13" a="1"/>
  <c r="O231" i="13" s="1"/>
  <c r="N231" i="13" a="1"/>
  <c r="N231" i="13" s="1"/>
  <c r="P231" i="13" a="1"/>
  <c r="P231" i="13" s="1"/>
  <c r="M231" i="13" a="1"/>
  <c r="M231" i="13" s="1"/>
  <c r="L231" i="13" a="1"/>
  <c r="L231" i="13" s="1"/>
  <c r="I231" i="13" a="1"/>
  <c r="I231" i="13" s="1"/>
  <c r="K231" i="13" a="1"/>
  <c r="K231" i="13" s="1"/>
  <c r="H169" i="13" a="1"/>
  <c r="H169" i="13" s="1"/>
  <c r="E169" i="13" a="1"/>
  <c r="E169" i="13" s="1"/>
  <c r="Q169" i="13" a="1"/>
  <c r="Q169" i="13" s="1"/>
  <c r="CF118" i="15"/>
  <c r="R169" i="13" a="1"/>
  <c r="R169" i="13" s="1"/>
  <c r="O169" i="13" a="1"/>
  <c r="O169" i="13" s="1"/>
  <c r="N169" i="13" a="1"/>
  <c r="N169" i="13" s="1"/>
  <c r="P169" i="13" a="1"/>
  <c r="P169" i="13" s="1"/>
  <c r="M169" i="13" a="1"/>
  <c r="M169" i="13" s="1"/>
  <c r="L169" i="13" a="1"/>
  <c r="L169" i="13" s="1"/>
  <c r="I169" i="13" a="1"/>
  <c r="I169" i="13" s="1"/>
  <c r="K169" i="13" a="1"/>
  <c r="K169" i="13" s="1"/>
  <c r="J169" i="13" a="1"/>
  <c r="J169" i="13" s="1"/>
  <c r="G169" i="13" a="1"/>
  <c r="G169" i="13" s="1"/>
  <c r="F169" i="13" a="1"/>
  <c r="F169" i="13" s="1"/>
  <c r="E210" i="13" a="1"/>
  <c r="E210" i="13" s="1"/>
  <c r="Q210" i="13" a="1"/>
  <c r="Q210" i="13" s="1"/>
  <c r="P210" i="13" a="1"/>
  <c r="P210" i="13" s="1"/>
  <c r="R210" i="13" a="1"/>
  <c r="R210" i="13" s="1"/>
  <c r="O210" i="13" a="1"/>
  <c r="O210" i="13" s="1"/>
  <c r="N210" i="13" a="1"/>
  <c r="N210" i="13" s="1"/>
  <c r="K210" i="13" a="1"/>
  <c r="K210" i="13" s="1"/>
  <c r="M210" i="13" a="1"/>
  <c r="M210" i="13" s="1"/>
  <c r="L210" i="13" a="1"/>
  <c r="L210" i="13" s="1"/>
  <c r="I210" i="13" a="1"/>
  <c r="I210" i="13" s="1"/>
  <c r="H210" i="13" a="1"/>
  <c r="H210" i="13" s="1"/>
  <c r="J210" i="13" a="1"/>
  <c r="J210" i="13" s="1"/>
  <c r="G210" i="13" a="1"/>
  <c r="G210" i="13" s="1"/>
  <c r="F210" i="13" a="1"/>
  <c r="F210" i="13" s="1"/>
  <c r="CF159" i="15"/>
  <c r="O211" i="13" a="1"/>
  <c r="O211" i="13" s="1"/>
  <c r="N211" i="13" a="1"/>
  <c r="N211" i="13" s="1"/>
  <c r="K211" i="13" a="1"/>
  <c r="K211" i="13" s="1"/>
  <c r="J211" i="13" a="1"/>
  <c r="J211" i="13" s="1"/>
  <c r="L211" i="13" a="1"/>
  <c r="L211" i="13" s="1"/>
  <c r="I211" i="13" a="1"/>
  <c r="I211" i="13" s="1"/>
  <c r="H211" i="13" a="1"/>
  <c r="H211" i="13" s="1"/>
  <c r="E211" i="13" a="1"/>
  <c r="E211" i="13" s="1"/>
  <c r="G211" i="13" a="1"/>
  <c r="G211" i="13" s="1"/>
  <c r="F211" i="13" a="1"/>
  <c r="F211" i="13" s="1"/>
  <c r="R211" i="13" a="1"/>
  <c r="R211" i="13" s="1"/>
  <c r="CF160" i="15"/>
  <c r="Q211" i="13" a="1"/>
  <c r="Q211" i="13" s="1"/>
  <c r="P211" i="13" a="1"/>
  <c r="P211" i="13" s="1"/>
  <c r="M211" i="13" a="1"/>
  <c r="M211" i="13" s="1"/>
  <c r="O171" i="13" a="1"/>
  <c r="O171" i="13" s="1"/>
  <c r="N171" i="13" a="1"/>
  <c r="N171" i="13" s="1"/>
  <c r="M171" i="13" a="1"/>
  <c r="M171" i="13" s="1"/>
  <c r="L171" i="13" a="1"/>
  <c r="L171" i="13" s="1"/>
  <c r="K171" i="13" a="1"/>
  <c r="K171" i="13" s="1"/>
  <c r="J171" i="13" a="1"/>
  <c r="J171" i="13" s="1"/>
  <c r="I171" i="13" a="1"/>
  <c r="I171" i="13" s="1"/>
  <c r="H171" i="13" a="1"/>
  <c r="H171" i="13" s="1"/>
  <c r="G171" i="13" a="1"/>
  <c r="G171" i="13" s="1"/>
  <c r="F171" i="13" a="1"/>
  <c r="F171" i="13" s="1"/>
  <c r="E171" i="13" a="1"/>
  <c r="E171" i="13" s="1"/>
  <c r="CF120" i="15"/>
  <c r="R171" i="13" a="1"/>
  <c r="R171" i="13" s="1"/>
  <c r="Q171" i="13" a="1"/>
  <c r="Q171" i="13" s="1"/>
  <c r="P171" i="13" a="1"/>
  <c r="P171" i="13" s="1"/>
  <c r="P69" i="15"/>
  <c r="T69" i="15" s="1"/>
  <c r="I178" i="15" s="1"/>
  <c r="U69" i="15"/>
  <c r="V69" i="15" s="1"/>
  <c r="C95" i="15"/>
  <c r="AK97" i="15"/>
  <c r="P70" i="15"/>
  <c r="T70" i="15" s="1"/>
  <c r="I179" i="15" s="1"/>
  <c r="U70" i="15"/>
  <c r="V70" i="15" s="1"/>
  <c r="C96" i="15"/>
  <c r="P68" i="15"/>
  <c r="T68" i="15" s="1"/>
  <c r="I177" i="15" s="1"/>
  <c r="C94" i="15"/>
  <c r="P72" i="15"/>
  <c r="T72" i="15" s="1"/>
  <c r="U72" i="15"/>
  <c r="V72" i="15" s="1"/>
  <c r="H172" i="13" a="1"/>
  <c r="H172" i="13" s="1"/>
  <c r="S14" i="11"/>
  <c r="Q14" i="11"/>
  <c r="U56" i="15"/>
  <c r="V56" i="15" s="1"/>
  <c r="U68" i="15"/>
  <c r="C86" i="15"/>
  <c r="BS130" i="18"/>
  <c r="BV130" i="18" s="1"/>
  <c r="BW130" i="18"/>
  <c r="BU130" i="18"/>
  <c r="BS132" i="18"/>
  <c r="S23" i="11" s="1"/>
  <c r="BY132" i="18"/>
  <c r="CN132" i="18" s="1"/>
  <c r="AZ124" i="18"/>
  <c r="BO124" i="18" s="1"/>
  <c r="AY124" i="18"/>
  <c r="BN124" i="18" s="1"/>
  <c r="AT124" i="18"/>
  <c r="BA124" i="18"/>
  <c r="AV124" i="18"/>
  <c r="AU124" i="18"/>
  <c r="BJ124" i="18" s="1"/>
  <c r="AP124" i="18"/>
  <c r="BE124" i="18" s="1"/>
  <c r="AW124" i="18"/>
  <c r="BL124" i="18" s="1"/>
  <c r="AR124" i="18"/>
  <c r="BG124" i="18" s="1"/>
  <c r="AQ124" i="18"/>
  <c r="BF124" i="18" s="1"/>
  <c r="BB124" i="18"/>
  <c r="BQ124" i="18" s="1"/>
  <c r="AS124" i="18"/>
  <c r="BH124" i="18" s="1"/>
  <c r="BC124" i="18"/>
  <c r="AX124" i="18"/>
  <c r="BM124" i="18" s="1"/>
  <c r="K125" i="18"/>
  <c r="Q16" i="11" s="1"/>
  <c r="CL6" i="18"/>
  <c r="BU206" i="18"/>
  <c r="CY163" i="18"/>
  <c r="BY163" i="18"/>
  <c r="CN163" i="18" s="1"/>
  <c r="U63" i="15"/>
  <c r="V63" i="15" s="1"/>
  <c r="P63" i="15"/>
  <c r="T63" i="15" s="1"/>
  <c r="P59" i="15"/>
  <c r="T59" i="15" s="1"/>
  <c r="P60" i="15"/>
  <c r="T60" i="15" s="1"/>
  <c r="P61" i="15"/>
  <c r="T61" i="15" s="1"/>
  <c r="X175" i="15" s="1"/>
  <c r="P62" i="15"/>
  <c r="T62" i="15" s="1"/>
  <c r="AJ175" i="15" s="1"/>
  <c r="U32" i="15"/>
  <c r="P32" i="15"/>
  <c r="T32" i="15" s="1"/>
  <c r="P66" i="15"/>
  <c r="T66" i="15" s="1"/>
  <c r="X176" i="15" s="1"/>
  <c r="P65" i="15"/>
  <c r="T65" i="15" s="1"/>
  <c r="AE92" i="15" s="1"/>
  <c r="P67" i="15"/>
  <c r="T67" i="15" s="1"/>
  <c r="AJ176" i="15" s="1"/>
  <c r="P64" i="15"/>
  <c r="T64" i="15" s="1"/>
  <c r="U36" i="15"/>
  <c r="P36" i="15"/>
  <c r="T36" i="15" s="1"/>
  <c r="I165" i="15" s="1"/>
  <c r="U54" i="15"/>
  <c r="P55" i="15"/>
  <c r="T55" i="15" s="1"/>
  <c r="P54" i="15"/>
  <c r="T54" i="15" s="1"/>
  <c r="P53" i="15"/>
  <c r="T53" i="15" s="1"/>
  <c r="U27" i="15"/>
  <c r="P27" i="15"/>
  <c r="T27" i="15" s="1"/>
  <c r="P26" i="15"/>
  <c r="T26" i="15" s="1"/>
  <c r="P25" i="15"/>
  <c r="T25" i="15" s="1"/>
  <c r="I162" i="15" s="1"/>
  <c r="U34" i="15"/>
  <c r="P34" i="15"/>
  <c r="T34" i="15" s="1"/>
  <c r="P29" i="15"/>
  <c r="T29" i="15" s="1"/>
  <c r="AE79" i="15" s="1"/>
  <c r="U47" i="15"/>
  <c r="V47" i="15" s="1"/>
  <c r="P47" i="15"/>
  <c r="T47" i="15" s="1"/>
  <c r="P37" i="15"/>
  <c r="T37" i="15" s="1"/>
  <c r="U33" i="15"/>
  <c r="P33" i="15"/>
  <c r="T33" i="15" s="1"/>
  <c r="I164" i="15" s="1"/>
  <c r="U28" i="15"/>
  <c r="P31" i="15"/>
  <c r="T31" i="15" s="1"/>
  <c r="P28" i="15"/>
  <c r="T28" i="15" s="1"/>
  <c r="U38" i="15"/>
  <c r="P38" i="15"/>
  <c r="T38" i="15" s="1"/>
  <c r="P30" i="15"/>
  <c r="T30" i="15" s="1"/>
  <c r="U35" i="15"/>
  <c r="P35" i="15"/>
  <c r="T35" i="15" s="1"/>
  <c r="P45" i="15"/>
  <c r="T45" i="15" s="1"/>
  <c r="P44" i="15"/>
  <c r="T44" i="15" s="1"/>
  <c r="P42" i="15"/>
  <c r="T42" i="15" s="1"/>
  <c r="P46" i="15"/>
  <c r="T46" i="15" s="1"/>
  <c r="Y83" i="15" s="1"/>
  <c r="P43" i="15"/>
  <c r="T43" i="15" s="1"/>
  <c r="AE83" i="15" s="1"/>
  <c r="P41" i="15"/>
  <c r="T41" i="15" s="1"/>
  <c r="P40" i="15"/>
  <c r="T40" i="15" s="1"/>
  <c r="P39" i="15"/>
  <c r="T39" i="15" s="1"/>
  <c r="U50" i="15"/>
  <c r="P49" i="15"/>
  <c r="T49" i="15" s="1"/>
  <c r="P48" i="15"/>
  <c r="T48" i="15" s="1"/>
  <c r="I169" i="15" s="1"/>
  <c r="P50" i="15"/>
  <c r="T50" i="15" s="1"/>
  <c r="AJ169" i="15" s="1"/>
  <c r="P52" i="15"/>
  <c r="T52" i="15" s="1"/>
  <c r="P51" i="15"/>
  <c r="T51" i="15" s="1"/>
  <c r="CM125" i="18"/>
  <c r="AX125" i="18"/>
  <c r="BM125" i="18" s="1"/>
  <c r="AY125" i="18"/>
  <c r="AW125" i="18"/>
  <c r="BL125" i="18" s="1"/>
  <c r="AU125" i="18"/>
  <c r="AP125" i="18"/>
  <c r="BE125" i="18" s="1"/>
  <c r="AS125" i="18"/>
  <c r="BA125" i="18"/>
  <c r="AQ125" i="18"/>
  <c r="AT125" i="18"/>
  <c r="BB125" i="18"/>
  <c r="BQ125" i="18" s="1"/>
  <c r="AV125" i="18"/>
  <c r="AR125" i="18"/>
  <c r="BC125" i="18"/>
  <c r="AZ125" i="18"/>
  <c r="BS127" i="18"/>
  <c r="CU127" i="18" s="1"/>
  <c r="I172" i="13" a="1"/>
  <c r="I172" i="13" s="1"/>
  <c r="M172" i="13" a="1"/>
  <c r="M172" i="13" s="1"/>
  <c r="F172" i="13" a="1"/>
  <c r="F172" i="13" s="1"/>
  <c r="N172" i="13" a="1"/>
  <c r="N172" i="13" s="1"/>
  <c r="P172" i="13" a="1"/>
  <c r="P172" i="13" s="1"/>
  <c r="K172" i="13" a="1"/>
  <c r="K172" i="13" s="1"/>
  <c r="N164" i="13" a="1"/>
  <c r="N164" i="13" s="1"/>
  <c r="M164" i="13" a="1"/>
  <c r="M164" i="13" s="1"/>
  <c r="L164" i="13" a="1"/>
  <c r="L164" i="13" s="1"/>
  <c r="J164" i="13" a="1"/>
  <c r="J164" i="13" s="1"/>
  <c r="Q164" i="13" a="1"/>
  <c r="Q164" i="13" s="1"/>
  <c r="K164" i="13" a="1"/>
  <c r="K164" i="13" s="1"/>
  <c r="H164" i="13" a="1"/>
  <c r="H164" i="13" s="1"/>
  <c r="O164" i="13" a="1"/>
  <c r="O164" i="13" s="1"/>
  <c r="I164" i="13" a="1"/>
  <c r="I164" i="13" s="1"/>
  <c r="F164" i="13" a="1"/>
  <c r="F164" i="13" s="1"/>
  <c r="E164" i="13" a="1"/>
  <c r="E164" i="13" s="1"/>
  <c r="R164" i="13" a="1"/>
  <c r="R164" i="13" s="1"/>
  <c r="P164" i="13" a="1"/>
  <c r="P164" i="13" s="1"/>
  <c r="G164" i="13" a="1"/>
  <c r="G164" i="13" s="1"/>
  <c r="CF161" i="15"/>
  <c r="M212" i="13" a="1"/>
  <c r="M212" i="13" s="1"/>
  <c r="F212" i="13" a="1"/>
  <c r="F212" i="13" s="1"/>
  <c r="N212" i="13" a="1"/>
  <c r="N212" i="13" s="1"/>
  <c r="O212" i="13" a="1"/>
  <c r="O212" i="13" s="1"/>
  <c r="H212" i="13" a="1"/>
  <c r="H212" i="13" s="1"/>
  <c r="E212" i="13" a="1"/>
  <c r="E212" i="13" s="1"/>
  <c r="I212" i="13" a="1"/>
  <c r="I212" i="13" s="1"/>
  <c r="R212" i="13" a="1"/>
  <c r="R212" i="13" s="1"/>
  <c r="G212" i="13" a="1"/>
  <c r="G212" i="13" s="1"/>
  <c r="J212" i="13" a="1"/>
  <c r="J212" i="13" s="1"/>
  <c r="P212" i="13" a="1"/>
  <c r="P212" i="13" s="1"/>
  <c r="K212" i="13" a="1"/>
  <c r="K212" i="13" s="1"/>
  <c r="L212" i="13" a="1"/>
  <c r="L212" i="13" s="1"/>
  <c r="Q212" i="13" a="1"/>
  <c r="Q212" i="13" s="1"/>
  <c r="P165" i="13" a="1"/>
  <c r="P165" i="13" s="1"/>
  <c r="R165" i="13" a="1"/>
  <c r="R165" i="13" s="1"/>
  <c r="N165" i="13" a="1"/>
  <c r="N165" i="13" s="1"/>
  <c r="L165" i="13" a="1"/>
  <c r="L165" i="13" s="1"/>
  <c r="G165" i="13" a="1"/>
  <c r="G165" i="13" s="1"/>
  <c r="M165" i="13" a="1"/>
  <c r="M165" i="13" s="1"/>
  <c r="O165" i="13" a="1"/>
  <c r="O165" i="13" s="1"/>
  <c r="Q165" i="13" a="1"/>
  <c r="Q165" i="13" s="1"/>
  <c r="K165" i="13" a="1"/>
  <c r="K165" i="13" s="1"/>
  <c r="H165" i="13" a="1"/>
  <c r="H165" i="13" s="1"/>
  <c r="J165" i="13" a="1"/>
  <c r="J165" i="13" s="1"/>
  <c r="F165" i="13" a="1"/>
  <c r="F165" i="13" s="1"/>
  <c r="E165" i="13" a="1"/>
  <c r="E165" i="13" s="1"/>
  <c r="I165" i="13" a="1"/>
  <c r="I165" i="13" s="1"/>
  <c r="H160" i="13" a="1"/>
  <c r="H160" i="13" s="1"/>
  <c r="Q160" i="13" a="1"/>
  <c r="Q160" i="13" s="1"/>
  <c r="R160" i="13" a="1"/>
  <c r="R160" i="13" s="1"/>
  <c r="O160" i="13" a="1"/>
  <c r="O160" i="13" s="1"/>
  <c r="I160" i="13" a="1"/>
  <c r="I160" i="13" s="1"/>
  <c r="J160" i="13" a="1"/>
  <c r="J160" i="13" s="1"/>
  <c r="P160" i="13" a="1"/>
  <c r="P160" i="13" s="1"/>
  <c r="K160" i="13" a="1"/>
  <c r="K160" i="13" s="1"/>
  <c r="F160" i="13" a="1"/>
  <c r="F160" i="13" s="1"/>
  <c r="N160" i="13" a="1"/>
  <c r="N160" i="13" s="1"/>
  <c r="L160" i="13" a="1"/>
  <c r="L160" i="13" s="1"/>
  <c r="G160" i="13" a="1"/>
  <c r="G160" i="13" s="1"/>
  <c r="E160" i="13" a="1"/>
  <c r="E160" i="13" s="1"/>
  <c r="M160" i="13" a="1"/>
  <c r="M160" i="13" s="1"/>
  <c r="H161" i="13" a="1"/>
  <c r="H161" i="13" s="1"/>
  <c r="K161" i="13" a="1"/>
  <c r="K161" i="13" s="1"/>
  <c r="M161" i="13" a="1"/>
  <c r="M161" i="13" s="1"/>
  <c r="E161" i="13" a="1"/>
  <c r="E161" i="13" s="1"/>
  <c r="G161" i="13" a="1"/>
  <c r="G161" i="13" s="1"/>
  <c r="R161" i="13" a="1"/>
  <c r="R161" i="13" s="1"/>
  <c r="Q161" i="13" a="1"/>
  <c r="Q161" i="13" s="1"/>
  <c r="O161" i="13" a="1"/>
  <c r="O161" i="13" s="1"/>
  <c r="P161" i="13" a="1"/>
  <c r="P161" i="13" s="1"/>
  <c r="L161" i="13" a="1"/>
  <c r="L161" i="13" s="1"/>
  <c r="N161" i="13" a="1"/>
  <c r="N161" i="13" s="1"/>
  <c r="I161" i="13" a="1"/>
  <c r="I161" i="13" s="1"/>
  <c r="J161" i="13" a="1"/>
  <c r="J161" i="13" s="1"/>
  <c r="F161" i="13" a="1"/>
  <c r="F161" i="13" s="1"/>
  <c r="R159" i="13" a="1"/>
  <c r="R159" i="13" s="1"/>
  <c r="Q159" i="13" a="1"/>
  <c r="Q159" i="13" s="1"/>
  <c r="O159" i="13" a="1"/>
  <c r="O159" i="13" s="1"/>
  <c r="L159" i="13" a="1"/>
  <c r="L159" i="13" s="1"/>
  <c r="F159" i="13" a="1"/>
  <c r="F159" i="13" s="1"/>
  <c r="H159" i="13" a="1"/>
  <c r="H159" i="13" s="1"/>
  <c r="N159" i="13" a="1"/>
  <c r="N159" i="13" s="1"/>
  <c r="M159" i="13" a="1"/>
  <c r="M159" i="13" s="1"/>
  <c r="G159" i="13" a="1"/>
  <c r="G159" i="13" s="1"/>
  <c r="K159" i="13" a="1"/>
  <c r="K159" i="13" s="1"/>
  <c r="J159" i="13" a="1"/>
  <c r="J159" i="13" s="1"/>
  <c r="I159" i="13" a="1"/>
  <c r="I159" i="13" s="1"/>
  <c r="P159" i="13" a="1"/>
  <c r="P159" i="13" s="1"/>
  <c r="E159" i="13" a="1"/>
  <c r="E159" i="13" s="1"/>
  <c r="G205" i="13" a="1"/>
  <c r="G205" i="13" s="1"/>
  <c r="E205" i="13" a="1"/>
  <c r="E205" i="13" s="1"/>
  <c r="J205" i="13" a="1"/>
  <c r="J205" i="13" s="1"/>
  <c r="H205" i="13" a="1"/>
  <c r="H205" i="13" s="1"/>
  <c r="I205" i="13" a="1"/>
  <c r="I205" i="13" s="1"/>
  <c r="Q205" i="13" a="1"/>
  <c r="Q205" i="13" s="1"/>
  <c r="R205" i="13" a="1"/>
  <c r="R205" i="13" s="1"/>
  <c r="O205" i="13" a="1"/>
  <c r="O205" i="13" s="1"/>
  <c r="N205" i="13" a="1"/>
  <c r="N205" i="13" s="1"/>
  <c r="L205" i="13" a="1"/>
  <c r="L205" i="13" s="1"/>
  <c r="F205" i="13" a="1"/>
  <c r="F205" i="13" s="1"/>
  <c r="M205" i="13" a="1"/>
  <c r="M205" i="13" s="1"/>
  <c r="K205" i="13" a="1"/>
  <c r="K205" i="13" s="1"/>
  <c r="P205" i="13" a="1"/>
  <c r="P205" i="13" s="1"/>
  <c r="K204" i="13" a="1"/>
  <c r="K204" i="13" s="1"/>
  <c r="I204" i="13" a="1"/>
  <c r="I204" i="13" s="1"/>
  <c r="P204" i="13" a="1"/>
  <c r="P204" i="13" s="1"/>
  <c r="N204" i="13" a="1"/>
  <c r="N204" i="13" s="1"/>
  <c r="Q204" i="13" a="1"/>
  <c r="Q204" i="13" s="1"/>
  <c r="G204" i="13" a="1"/>
  <c r="G204" i="13" s="1"/>
  <c r="H204" i="13" a="1"/>
  <c r="H204" i="13" s="1"/>
  <c r="E204" i="13" a="1"/>
  <c r="E204" i="13" s="1"/>
  <c r="J204" i="13" a="1"/>
  <c r="J204" i="13" s="1"/>
  <c r="R204" i="13" a="1"/>
  <c r="R204" i="13" s="1"/>
  <c r="O204" i="13" a="1"/>
  <c r="O204" i="13" s="1"/>
  <c r="F204" i="13" a="1"/>
  <c r="F204" i="13" s="1"/>
  <c r="M204" i="13" a="1"/>
  <c r="M204" i="13" s="1"/>
  <c r="L204" i="13" a="1"/>
  <c r="L204" i="13" s="1"/>
  <c r="N168" i="13" a="1"/>
  <c r="N168" i="13" s="1"/>
  <c r="M168" i="13" a="1"/>
  <c r="M168" i="13" s="1"/>
  <c r="G168" i="13" a="1"/>
  <c r="G168" i="13" s="1"/>
  <c r="R168" i="13" a="1"/>
  <c r="R168" i="13" s="1"/>
  <c r="F168" i="13" a="1"/>
  <c r="F168" i="13" s="1"/>
  <c r="O168" i="13" a="1"/>
  <c r="O168" i="13" s="1"/>
  <c r="I168" i="13" a="1"/>
  <c r="I168" i="13" s="1"/>
  <c r="K168" i="13" a="1"/>
  <c r="K168" i="13" s="1"/>
  <c r="H168" i="13" a="1"/>
  <c r="H168" i="13" s="1"/>
  <c r="L168" i="13" a="1"/>
  <c r="L168" i="13" s="1"/>
  <c r="Q168" i="13" a="1"/>
  <c r="Q168" i="13" s="1"/>
  <c r="E168" i="13" a="1"/>
  <c r="E168" i="13" s="1"/>
  <c r="P168" i="13" a="1"/>
  <c r="P168" i="13" s="1"/>
  <c r="J168" i="13" a="1"/>
  <c r="J168" i="13" s="1"/>
  <c r="Q208" i="13" a="1"/>
  <c r="Q208" i="13" s="1"/>
  <c r="M208" i="13" a="1"/>
  <c r="M208" i="13" s="1"/>
  <c r="E208" i="13" a="1"/>
  <c r="E208" i="13" s="1"/>
  <c r="O208" i="13" a="1"/>
  <c r="O208" i="13" s="1"/>
  <c r="F208" i="13" a="1"/>
  <c r="F208" i="13" s="1"/>
  <c r="P208" i="13" a="1"/>
  <c r="P208" i="13" s="1"/>
  <c r="R208" i="13" a="1"/>
  <c r="R208" i="13" s="1"/>
  <c r="N208" i="13" a="1"/>
  <c r="N208" i="13" s="1"/>
  <c r="I208" i="13" a="1"/>
  <c r="I208" i="13" s="1"/>
  <c r="G208" i="13" a="1"/>
  <c r="G208" i="13" s="1"/>
  <c r="K208" i="13" a="1"/>
  <c r="K208" i="13" s="1"/>
  <c r="J208" i="13" a="1"/>
  <c r="J208" i="13" s="1"/>
  <c r="H208" i="13" a="1"/>
  <c r="H208" i="13" s="1"/>
  <c r="L208" i="13" a="1"/>
  <c r="L208" i="13" s="1"/>
  <c r="I201" i="13" a="1"/>
  <c r="I201" i="13" s="1"/>
  <c r="J201" i="13" a="1"/>
  <c r="J201" i="13" s="1"/>
  <c r="R201" i="13" a="1"/>
  <c r="R201" i="13" s="1"/>
  <c r="F201" i="13" a="1"/>
  <c r="F201" i="13" s="1"/>
  <c r="G201" i="13" a="1"/>
  <c r="G201" i="13" s="1"/>
  <c r="O201" i="13" a="1"/>
  <c r="O201" i="13" s="1"/>
  <c r="P201" i="13" a="1"/>
  <c r="P201" i="13" s="1"/>
  <c r="Q201" i="13" a="1"/>
  <c r="Q201" i="13" s="1"/>
  <c r="L201" i="13" a="1"/>
  <c r="L201" i="13" s="1"/>
  <c r="K201" i="13" a="1"/>
  <c r="K201" i="13" s="1"/>
  <c r="M201" i="13" a="1"/>
  <c r="M201" i="13" s="1"/>
  <c r="N201" i="13" a="1"/>
  <c r="N201" i="13" s="1"/>
  <c r="E201" i="13" a="1"/>
  <c r="E201" i="13" s="1"/>
  <c r="H201" i="13" a="1"/>
  <c r="H201" i="13" s="1"/>
  <c r="J200" i="13" a="1"/>
  <c r="J200" i="13" s="1"/>
  <c r="K200" i="13" a="1"/>
  <c r="K200" i="13" s="1"/>
  <c r="E200" i="13" a="1"/>
  <c r="E200" i="13" s="1"/>
  <c r="F200" i="13" a="1"/>
  <c r="F200" i="13" s="1"/>
  <c r="G200" i="13" a="1"/>
  <c r="G200" i="13" s="1"/>
  <c r="L200" i="13" a="1"/>
  <c r="L200" i="13" s="1"/>
  <c r="Q200" i="13" a="1"/>
  <c r="Q200" i="13" s="1"/>
  <c r="R200" i="13" a="1"/>
  <c r="R200" i="13" s="1"/>
  <c r="O200" i="13" a="1"/>
  <c r="O200" i="13" s="1"/>
  <c r="P200" i="13" a="1"/>
  <c r="P200" i="13" s="1"/>
  <c r="M200" i="13" a="1"/>
  <c r="M200" i="13" s="1"/>
  <c r="N200" i="13" a="1"/>
  <c r="N200" i="13" s="1"/>
  <c r="H200" i="13" a="1"/>
  <c r="H200" i="13" s="1"/>
  <c r="I200" i="13" a="1"/>
  <c r="I200" i="13" s="1"/>
  <c r="Q199" i="13" a="1"/>
  <c r="Q199" i="13" s="1"/>
  <c r="O199" i="13" a="1"/>
  <c r="O199" i="13" s="1"/>
  <c r="I199" i="13" a="1"/>
  <c r="I199" i="13" s="1"/>
  <c r="L199" i="13" a="1"/>
  <c r="L199" i="13" s="1"/>
  <c r="H199" i="13" a="1"/>
  <c r="H199" i="13" s="1"/>
  <c r="P199" i="13" a="1"/>
  <c r="P199" i="13" s="1"/>
  <c r="N199" i="13" a="1"/>
  <c r="N199" i="13" s="1"/>
  <c r="K199" i="13" a="1"/>
  <c r="K199" i="13" s="1"/>
  <c r="M199" i="13" a="1"/>
  <c r="M199" i="13" s="1"/>
  <c r="J199" i="13" a="1"/>
  <c r="J199" i="13" s="1"/>
  <c r="G199" i="13" a="1"/>
  <c r="G199" i="13" s="1"/>
  <c r="F199" i="13" a="1"/>
  <c r="F199" i="13" s="1"/>
  <c r="R199" i="13" a="1"/>
  <c r="R199" i="13" s="1"/>
  <c r="E199" i="13" a="1"/>
  <c r="E199" i="13" s="1"/>
  <c r="J223" i="13" a="1"/>
  <c r="J223" i="13" s="1"/>
  <c r="R223" i="13" a="1"/>
  <c r="R223" i="13" s="1"/>
  <c r="I223" i="13" a="1"/>
  <c r="I223" i="13" s="1"/>
  <c r="L223" i="13" a="1"/>
  <c r="L223" i="13" s="1"/>
  <c r="O223" i="13" a="1"/>
  <c r="O223" i="13" s="1"/>
  <c r="G223" i="13" a="1"/>
  <c r="G223" i="13" s="1"/>
  <c r="K223" i="13" a="1"/>
  <c r="K223" i="13" s="1"/>
  <c r="P223" i="13" a="1"/>
  <c r="P223" i="13" s="1"/>
  <c r="F223" i="13" a="1"/>
  <c r="F223" i="13" s="1"/>
  <c r="E223" i="13" a="1"/>
  <c r="E223" i="13" s="1"/>
  <c r="Q223" i="13" a="1"/>
  <c r="Q223" i="13" s="1"/>
  <c r="N223" i="13" a="1"/>
  <c r="N223" i="13" s="1"/>
  <c r="M223" i="13" a="1"/>
  <c r="M223" i="13" s="1"/>
  <c r="H223" i="13" a="1"/>
  <c r="H223" i="13" s="1"/>
  <c r="CF110" i="15"/>
  <c r="CF150" i="15"/>
  <c r="U52" i="15"/>
  <c r="BS129" i="18"/>
  <c r="BS128" i="18"/>
  <c r="CU128" i="18" s="1"/>
  <c r="BS153" i="18"/>
  <c r="BW153" i="18" s="1"/>
  <c r="CL153" i="18" s="1"/>
  <c r="BS126" i="18"/>
  <c r="BT126" i="18" s="1"/>
  <c r="CK126" i="18" s="1"/>
  <c r="BS154" i="18"/>
  <c r="CY154" i="18" s="1"/>
  <c r="BS157" i="18"/>
  <c r="E74" i="17" s="1"/>
  <c r="E32" i="17" s="1"/>
  <c r="BE148" i="18"/>
  <c r="Z148" i="18"/>
  <c r="BS148" i="18" s="1"/>
  <c r="BE140" i="18"/>
  <c r="Z140" i="18"/>
  <c r="BS140" i="18" s="1"/>
  <c r="BE149" i="18"/>
  <c r="Z149" i="18"/>
  <c r="BS149" i="18" s="1"/>
  <c r="Z137" i="18"/>
  <c r="BS137" i="18" s="1"/>
  <c r="BE137" i="18"/>
  <c r="BR151" i="18"/>
  <c r="BR230" i="18" s="1"/>
  <c r="Y230" i="18"/>
  <c r="BP151" i="18"/>
  <c r="BP230" i="18" s="1"/>
  <c r="W230" i="18"/>
  <c r="BQ151" i="18"/>
  <c r="BQ230" i="18" s="1"/>
  <c r="X230" i="18"/>
  <c r="BO151" i="18"/>
  <c r="BO230" i="18" s="1"/>
  <c r="V230" i="18"/>
  <c r="BE138" i="18"/>
  <c r="Z138" i="18"/>
  <c r="BS138" i="18" s="1"/>
  <c r="Z145" i="18"/>
  <c r="BS145" i="18" s="1"/>
  <c r="BE145" i="18"/>
  <c r="BE144" i="18"/>
  <c r="Z144" i="18"/>
  <c r="BS144" i="18" s="1"/>
  <c r="BE136" i="18"/>
  <c r="Z136" i="18"/>
  <c r="BS136" i="18" s="1"/>
  <c r="BH151" i="18"/>
  <c r="BH230" i="18" s="1"/>
  <c r="O230" i="18"/>
  <c r="BM151" i="18"/>
  <c r="BM230" i="18" s="1"/>
  <c r="T230" i="18"/>
  <c r="BF151" i="18"/>
  <c r="BF230" i="18" s="1"/>
  <c r="M230" i="18"/>
  <c r="BL151" i="18"/>
  <c r="BL230" i="18" s="1"/>
  <c r="S230" i="18"/>
  <c r="BD156" i="18"/>
  <c r="BS156" i="18" s="1"/>
  <c r="BW156" i="18" s="1"/>
  <c r="CL156" i="18" s="1"/>
  <c r="BE156" i="18"/>
  <c r="BE146" i="18"/>
  <c r="Z146" i="18"/>
  <c r="BS146" i="18" s="1"/>
  <c r="Z133" i="18"/>
  <c r="BS133" i="18" s="1"/>
  <c r="BE133" i="18"/>
  <c r="BE152" i="18"/>
  <c r="Z152" i="18"/>
  <c r="BS152" i="18" s="1"/>
  <c r="BE134" i="18"/>
  <c r="Z134" i="18"/>
  <c r="BS134" i="18" s="1"/>
  <c r="BN151" i="18"/>
  <c r="BN230" i="18" s="1"/>
  <c r="U230" i="18"/>
  <c r="BG151" i="18"/>
  <c r="BG230" i="18" s="1"/>
  <c r="N230" i="18"/>
  <c r="BE151" i="18"/>
  <c r="BE230" i="18" s="1"/>
  <c r="Z151" i="18"/>
  <c r="L230" i="18"/>
  <c r="BE142" i="18"/>
  <c r="Z142" i="18"/>
  <c r="BS142" i="18" s="1"/>
  <c r="Z141" i="18"/>
  <c r="BS141" i="18" s="1"/>
  <c r="BE141" i="18"/>
  <c r="Z139" i="18"/>
  <c r="BS139" i="18" s="1"/>
  <c r="BE139" i="18"/>
  <c r="BE143" i="18"/>
  <c r="Z143" i="18"/>
  <c r="BS143" i="18" s="1"/>
  <c r="BJ151" i="18"/>
  <c r="BJ230" i="18" s="1"/>
  <c r="Q230" i="18"/>
  <c r="BI151" i="18"/>
  <c r="BI230" i="18" s="1"/>
  <c r="P230" i="18"/>
  <c r="BK151" i="18"/>
  <c r="BK230" i="18" s="1"/>
  <c r="R230" i="18"/>
  <c r="BE150" i="18"/>
  <c r="Z150" i="18"/>
  <c r="BS150" i="18" s="1"/>
  <c r="BE135" i="18"/>
  <c r="Z135" i="18"/>
  <c r="BS135" i="18" s="1"/>
  <c r="Z147" i="18"/>
  <c r="BS147" i="18" s="1"/>
  <c r="BE147" i="18"/>
  <c r="CM124" i="18"/>
  <c r="E16" i="22"/>
  <c r="J208" i="18"/>
  <c r="F15" i="22"/>
  <c r="G15" i="22" s="1"/>
  <c r="BO206" i="18"/>
  <c r="BM206" i="18"/>
  <c r="BE206" i="18"/>
  <c r="BI206" i="18"/>
  <c r="BH206" i="18"/>
  <c r="CY130" i="18"/>
  <c r="J206" i="18"/>
  <c r="A206" i="18" s="1"/>
  <c r="A207" i="18" s="1"/>
  <c r="DP163" i="18"/>
  <c r="BW163" i="18"/>
  <c r="CL163" i="18" s="1"/>
  <c r="BW132" i="18"/>
  <c r="CL132" i="18" s="1"/>
  <c r="DP131" i="18"/>
  <c r="BW131" i="18"/>
  <c r="CL131" i="18" s="1"/>
  <c r="CY158" i="18"/>
  <c r="BW158" i="18"/>
  <c r="CY132" i="18"/>
  <c r="DP161" i="18"/>
  <c r="BW161" i="18"/>
  <c r="CL161" i="18" s="1"/>
  <c r="CI129" i="18"/>
  <c r="DP162" i="18"/>
  <c r="BW162" i="18"/>
  <c r="CL162" i="18" s="1"/>
  <c r="CC128" i="18"/>
  <c r="CQ128" i="18" s="1"/>
  <c r="S203" i="13"/>
  <c r="CF172" i="15"/>
  <c r="CP206" i="18"/>
  <c r="CT35" i="18"/>
  <c r="DP158" i="18"/>
  <c r="BV158" i="18"/>
  <c r="H18" i="12"/>
  <c r="CE130" i="18"/>
  <c r="CR130" i="18" s="1"/>
  <c r="CF157" i="15"/>
  <c r="CX128" i="18"/>
  <c r="CW127" i="18"/>
  <c r="CF149" i="15"/>
  <c r="S22" i="11"/>
  <c r="S52" i="11"/>
  <c r="S53" i="11"/>
  <c r="U53" i="15"/>
  <c r="I107" i="15"/>
  <c r="C90" i="15"/>
  <c r="C89" i="15"/>
  <c r="S54" i="11"/>
  <c r="J124" i="18"/>
  <c r="K124" i="18" s="1"/>
  <c r="Q15" i="11" s="1"/>
  <c r="P55" i="11"/>
  <c r="S49" i="11"/>
  <c r="CS158" i="18"/>
  <c r="CG160" i="18"/>
  <c r="CY160" i="18"/>
  <c r="DP160" i="18"/>
  <c r="S51" i="11"/>
  <c r="CG156" i="18"/>
  <c r="CS163" i="18"/>
  <c r="CS161" i="18"/>
  <c r="CG157" i="18"/>
  <c r="CG231" i="18" s="1"/>
  <c r="CY157" i="18"/>
  <c r="CG159" i="18"/>
  <c r="CY159" i="18"/>
  <c r="DP159" i="18"/>
  <c r="S50" i="11"/>
  <c r="CS162" i="18"/>
  <c r="CG127" i="18"/>
  <c r="CY127" i="18"/>
  <c r="CS130" i="18"/>
  <c r="CS132" i="18"/>
  <c r="CS131" i="18"/>
  <c r="CG128" i="18"/>
  <c r="CS154" i="18"/>
  <c r="CG153" i="18"/>
  <c r="CG129" i="18"/>
  <c r="BW155" i="18"/>
  <c r="CW155" i="18"/>
  <c r="DP155" i="18"/>
  <c r="S46" i="11"/>
  <c r="AO232" i="18"/>
  <c r="I156" i="15"/>
  <c r="X151" i="15"/>
  <c r="AH93" i="15"/>
  <c r="C111" i="15"/>
  <c r="I111" i="15"/>
  <c r="C151" i="15"/>
  <c r="I151" i="15"/>
  <c r="I116" i="15"/>
  <c r="I155" i="15"/>
  <c r="X111" i="15"/>
  <c r="I115" i="15"/>
  <c r="CF117" i="15"/>
  <c r="CF109" i="15"/>
  <c r="AJ146" i="15"/>
  <c r="CF146" i="15" s="1"/>
  <c r="CF148" i="15"/>
  <c r="AJ107" i="15"/>
  <c r="CF114" i="15"/>
  <c r="CF108" i="15"/>
  <c r="CF154" i="15"/>
  <c r="CF153" i="15"/>
  <c r="CF113" i="15"/>
  <c r="I147" i="15"/>
  <c r="AJ147" i="15"/>
  <c r="AJ106" i="15"/>
  <c r="Q157" i="13" s="1" a="1"/>
  <c r="Q157" i="13" s="1"/>
  <c r="AO251" i="18"/>
  <c r="AO211" i="18"/>
  <c r="AO244" i="18"/>
  <c r="AO247" i="18"/>
  <c r="AO246" i="18"/>
  <c r="AO235" i="18"/>
  <c r="AO239" i="18"/>
  <c r="AO243" i="18"/>
  <c r="AO236" i="18"/>
  <c r="AO245" i="18"/>
  <c r="AO237" i="18"/>
  <c r="C82" i="15"/>
  <c r="C84" i="15"/>
  <c r="C83" i="15"/>
  <c r="AO241" i="18"/>
  <c r="AO234" i="18"/>
  <c r="U57" i="15"/>
  <c r="U58" i="15"/>
  <c r="X169" i="15"/>
  <c r="Y82" i="15"/>
  <c r="U41" i="15"/>
  <c r="U40" i="15"/>
  <c r="U46" i="15"/>
  <c r="U44" i="15"/>
  <c r="U45" i="15"/>
  <c r="C85" i="15"/>
  <c r="AO210" i="18"/>
  <c r="AO238" i="18"/>
  <c r="U30" i="15"/>
  <c r="U48" i="15"/>
  <c r="U29" i="15"/>
  <c r="U25" i="15"/>
  <c r="CF121" i="15"/>
  <c r="U67" i="15"/>
  <c r="D142" i="15"/>
  <c r="AJ142" i="15"/>
  <c r="D143" i="15"/>
  <c r="AJ143" i="15"/>
  <c r="D105" i="15"/>
  <c r="AJ105" i="15"/>
  <c r="D103" i="15"/>
  <c r="AJ103" i="15"/>
  <c r="D104" i="15"/>
  <c r="AJ104" i="15"/>
  <c r="D145" i="15"/>
  <c r="AJ145" i="15"/>
  <c r="D102" i="15"/>
  <c r="AJ102" i="15"/>
  <c r="D144" i="15"/>
  <c r="AJ144" i="15"/>
  <c r="C80" i="15"/>
  <c r="C91" i="15"/>
  <c r="C103" i="15"/>
  <c r="I103" i="15"/>
  <c r="C156" i="15"/>
  <c r="C144" i="15"/>
  <c r="I144" i="15"/>
  <c r="C143" i="15"/>
  <c r="I143" i="15"/>
  <c r="C104" i="15"/>
  <c r="I104" i="15"/>
  <c r="C105" i="15"/>
  <c r="I105" i="15"/>
  <c r="C116" i="15"/>
  <c r="C142" i="15"/>
  <c r="I142" i="15"/>
  <c r="C145" i="15"/>
  <c r="I145" i="15"/>
  <c r="C102" i="15"/>
  <c r="I102" i="15"/>
  <c r="AE91" i="15"/>
  <c r="C87" i="15"/>
  <c r="C81" i="15"/>
  <c r="H16" i="12" s="1"/>
  <c r="C92" i="15"/>
  <c r="C155" i="15"/>
  <c r="C78" i="15"/>
  <c r="C79" i="15"/>
  <c r="AO214" i="18"/>
  <c r="AO233" i="18"/>
  <c r="CP125" i="18"/>
  <c r="L209" i="18"/>
  <c r="Y209" i="18"/>
  <c r="S209" i="18"/>
  <c r="T209" i="18"/>
  <c r="R209" i="18"/>
  <c r="Q209" i="18"/>
  <c r="N209" i="18"/>
  <c r="X209" i="18"/>
  <c r="AO209" i="18"/>
  <c r="AO212" i="18"/>
  <c r="AO204" i="18"/>
  <c r="E186" i="17" s="1"/>
  <c r="W209" i="18"/>
  <c r="U209" i="18"/>
  <c r="V209" i="18"/>
  <c r="O209" i="18"/>
  <c r="P209" i="18"/>
  <c r="M209" i="18"/>
  <c r="Z125" i="18"/>
  <c r="Z124" i="18"/>
  <c r="AJ97" i="15" l="1"/>
  <c r="AI93" i="15"/>
  <c r="S170" i="13"/>
  <c r="AL97" i="15"/>
  <c r="I181" i="15"/>
  <c r="S211" i="13"/>
  <c r="S169" i="13"/>
  <c r="S231" i="13"/>
  <c r="K230" i="13" a="1"/>
  <c r="K230" i="13" s="1"/>
  <c r="J230" i="13" a="1"/>
  <c r="J230" i="13" s="1"/>
  <c r="G230" i="13" a="1"/>
  <c r="G230" i="13" s="1"/>
  <c r="F230" i="13" a="1"/>
  <c r="F230" i="13" s="1"/>
  <c r="H230" i="13" a="1"/>
  <c r="H230" i="13" s="1"/>
  <c r="E230" i="13" a="1"/>
  <c r="E230" i="13" s="1"/>
  <c r="Q230" i="13" a="1"/>
  <c r="Q230" i="13" s="1"/>
  <c r="CF179" i="15"/>
  <c r="R230" i="13" a="1"/>
  <c r="R230" i="13" s="1"/>
  <c r="O230" i="13" a="1"/>
  <c r="O230" i="13" s="1"/>
  <c r="N230" i="13" a="1"/>
  <c r="N230" i="13" s="1"/>
  <c r="P230" i="13" a="1"/>
  <c r="P230" i="13" s="1"/>
  <c r="M230" i="13" a="1"/>
  <c r="M230" i="13" s="1"/>
  <c r="L230" i="13" a="1"/>
  <c r="L230" i="13" s="1"/>
  <c r="I230" i="13" a="1"/>
  <c r="I230" i="13" s="1"/>
  <c r="F229" i="13" a="1"/>
  <c r="F229" i="13" s="1"/>
  <c r="H229" i="13" a="1"/>
  <c r="H229" i="13" s="1"/>
  <c r="E229" i="13" a="1"/>
  <c r="E229" i="13" s="1"/>
  <c r="Q229" i="13" a="1"/>
  <c r="Q229" i="13" s="1"/>
  <c r="CF178" i="15"/>
  <c r="R229" i="13" a="1"/>
  <c r="R229" i="13" s="1"/>
  <c r="O229" i="13" a="1"/>
  <c r="O229" i="13" s="1"/>
  <c r="N229" i="13" a="1"/>
  <c r="N229" i="13" s="1"/>
  <c r="P229" i="13" a="1"/>
  <c r="P229" i="13" s="1"/>
  <c r="M229" i="13" a="1"/>
  <c r="M229" i="13" s="1"/>
  <c r="L229" i="13" a="1"/>
  <c r="L229" i="13" s="1"/>
  <c r="I229" i="13" a="1"/>
  <c r="I229" i="13" s="1"/>
  <c r="K229" i="13" a="1"/>
  <c r="K229" i="13" s="1"/>
  <c r="J229" i="13" a="1"/>
  <c r="J229" i="13" s="1"/>
  <c r="G229" i="13" a="1"/>
  <c r="G229" i="13" s="1"/>
  <c r="S171" i="13"/>
  <c r="S210" i="13"/>
  <c r="S209" i="13"/>
  <c r="CG126" i="18"/>
  <c r="BV128" i="18"/>
  <c r="CF128" i="18"/>
  <c r="CR128" i="18" s="1"/>
  <c r="BW127" i="18"/>
  <c r="CE127" i="18"/>
  <c r="CR127" i="18" s="1"/>
  <c r="DP132" i="18"/>
  <c r="L172" i="13" a="1"/>
  <c r="L172" i="13" s="1"/>
  <c r="E172" i="13" a="1"/>
  <c r="E172" i="13" s="1"/>
  <c r="J172" i="13" a="1"/>
  <c r="J172" i="13" s="1"/>
  <c r="O172" i="13" a="1"/>
  <c r="O172" i="13" s="1"/>
  <c r="G172" i="13" a="1"/>
  <c r="G172" i="13" s="1"/>
  <c r="R172" i="13" a="1"/>
  <c r="R172" i="13" s="1"/>
  <c r="W72" i="15"/>
  <c r="W69" i="15"/>
  <c r="V68" i="15"/>
  <c r="R93" i="15" s="1"/>
  <c r="Q172" i="13" a="1"/>
  <c r="Q172" i="13" s="1"/>
  <c r="S94" i="15"/>
  <c r="V60" i="15"/>
  <c r="O91" i="15" s="1"/>
  <c r="S21" i="11"/>
  <c r="V62" i="15"/>
  <c r="W62" i="15" s="1"/>
  <c r="V61" i="15"/>
  <c r="P91" i="15" s="1"/>
  <c r="V59" i="15"/>
  <c r="G91" i="15" s="1"/>
  <c r="V38" i="15"/>
  <c r="W38" i="15" s="1"/>
  <c r="DP130" i="18"/>
  <c r="BZ129" i="18"/>
  <c r="BU129" i="18"/>
  <c r="BV129" i="18"/>
  <c r="BY129" i="18"/>
  <c r="CL130" i="18"/>
  <c r="CT130" i="18" s="1"/>
  <c r="BV127" i="18"/>
  <c r="BZ127" i="18"/>
  <c r="CN127" i="18" s="1"/>
  <c r="DP127" i="18"/>
  <c r="BU127" i="18"/>
  <c r="S20" i="11"/>
  <c r="BT129" i="18"/>
  <c r="CK129" i="18" s="1"/>
  <c r="BU128" i="18"/>
  <c r="BY128" i="18"/>
  <c r="CN128" i="18" s="1"/>
  <c r="BW128" i="18"/>
  <c r="BT128" i="18"/>
  <c r="CK128" i="18" s="1"/>
  <c r="Q55" i="11"/>
  <c r="AQ209" i="18"/>
  <c r="CL206" i="18"/>
  <c r="CT6" i="18"/>
  <c r="F16" i="22"/>
  <c r="G16" i="22" s="1"/>
  <c r="S18" i="11"/>
  <c r="V35" i="15"/>
  <c r="J80" i="15" s="1"/>
  <c r="CM209" i="18"/>
  <c r="V37" i="15"/>
  <c r="H81" i="15" s="1"/>
  <c r="V34" i="15"/>
  <c r="H80" i="15" s="1"/>
  <c r="V33" i="15"/>
  <c r="G80" i="15" s="1"/>
  <c r="V36" i="15"/>
  <c r="V25" i="15"/>
  <c r="W25" i="15" s="1"/>
  <c r="V48" i="15"/>
  <c r="O85" i="15" s="1"/>
  <c r="BU126" i="18"/>
  <c r="BZ126" i="18"/>
  <c r="CN126" i="18" s="1"/>
  <c r="N91" i="15"/>
  <c r="W63" i="15"/>
  <c r="U97" i="15"/>
  <c r="I84" i="15"/>
  <c r="W47" i="15"/>
  <c r="S93" i="15"/>
  <c r="T97" i="15"/>
  <c r="L88" i="15"/>
  <c r="W56" i="15"/>
  <c r="AB88" i="15" s="1"/>
  <c r="R157" i="13" a="1"/>
  <c r="R157" i="13" s="1"/>
  <c r="V41" i="15"/>
  <c r="V30" i="15"/>
  <c r="V28" i="15"/>
  <c r="V44" i="15"/>
  <c r="V67" i="15"/>
  <c r="V58" i="15"/>
  <c r="V52" i="15"/>
  <c r="V51" i="15"/>
  <c r="V31" i="15"/>
  <c r="V53" i="15"/>
  <c r="V39" i="15"/>
  <c r="V55" i="15"/>
  <c r="V29" i="15"/>
  <c r="V45" i="15"/>
  <c r="V50" i="15"/>
  <c r="V26" i="15"/>
  <c r="V43" i="15"/>
  <c r="V64" i="15"/>
  <c r="V42" i="15"/>
  <c r="V46" i="15"/>
  <c r="V40" i="15"/>
  <c r="V57" i="15"/>
  <c r="V54" i="15"/>
  <c r="V66" i="15"/>
  <c r="V32" i="15"/>
  <c r="V65" i="15"/>
  <c r="V49" i="15"/>
  <c r="V27" i="15"/>
  <c r="O157" i="13" a="1"/>
  <c r="O157" i="13" s="1"/>
  <c r="P157" i="13" a="1"/>
  <c r="P157" i="13" s="1"/>
  <c r="F157" i="13" a="1"/>
  <c r="F157" i="13" s="1"/>
  <c r="H198" i="13" a="1"/>
  <c r="H198" i="13" s="1"/>
  <c r="E198" i="13" a="1"/>
  <c r="E198" i="13" s="1"/>
  <c r="G198" i="13" a="1"/>
  <c r="G198" i="13" s="1"/>
  <c r="Q198" i="13" a="1"/>
  <c r="Q198" i="13" s="1"/>
  <c r="I198" i="13" a="1"/>
  <c r="I198" i="13" s="1"/>
  <c r="K198" i="13" a="1"/>
  <c r="K198" i="13" s="1"/>
  <c r="N198" i="13" a="1"/>
  <c r="N198" i="13" s="1"/>
  <c r="R198" i="13" a="1"/>
  <c r="R198" i="13" s="1"/>
  <c r="P198" i="13" a="1"/>
  <c r="P198" i="13" s="1"/>
  <c r="F198" i="13" a="1"/>
  <c r="F198" i="13" s="1"/>
  <c r="O198" i="13" a="1"/>
  <c r="O198" i="13" s="1"/>
  <c r="M198" i="13" a="1"/>
  <c r="M198" i="13" s="1"/>
  <c r="L198" i="13" a="1"/>
  <c r="L198" i="13" s="1"/>
  <c r="J198" i="13" a="1"/>
  <c r="J198" i="13" s="1"/>
  <c r="P202" i="13" a="1"/>
  <c r="P202" i="13" s="1"/>
  <c r="L202" i="13" a="1"/>
  <c r="L202" i="13" s="1"/>
  <c r="F202" i="13" a="1"/>
  <c r="F202" i="13" s="1"/>
  <c r="M202" i="13" a="1"/>
  <c r="M202" i="13" s="1"/>
  <c r="I202" i="13" a="1"/>
  <c r="I202" i="13" s="1"/>
  <c r="N202" i="13" a="1"/>
  <c r="N202" i="13" s="1"/>
  <c r="G202" i="13" a="1"/>
  <c r="G202" i="13" s="1"/>
  <c r="R202" i="13" a="1"/>
  <c r="R202" i="13" s="1"/>
  <c r="K202" i="13" a="1"/>
  <c r="K202" i="13" s="1"/>
  <c r="E202" i="13" a="1"/>
  <c r="E202" i="13" s="1"/>
  <c r="Q202" i="13" a="1"/>
  <c r="Q202" i="13" s="1"/>
  <c r="J202" i="13" a="1"/>
  <c r="J202" i="13" s="1"/>
  <c r="O202" i="13" a="1"/>
  <c r="O202" i="13" s="1"/>
  <c r="H202" i="13" a="1"/>
  <c r="H202" i="13" s="1"/>
  <c r="R153" i="13" a="1"/>
  <c r="R153" i="13" s="1"/>
  <c r="N153" i="13" a="1"/>
  <c r="N153" i="13" s="1"/>
  <c r="J153" i="13" a="1"/>
  <c r="J153" i="13" s="1"/>
  <c r="F153" i="13" a="1"/>
  <c r="F153" i="13" s="1"/>
  <c r="Q153" i="13" a="1"/>
  <c r="Q153" i="13" s="1"/>
  <c r="M153" i="13" a="1"/>
  <c r="M153" i="13" s="1"/>
  <c r="I153" i="13" a="1"/>
  <c r="I153" i="13" s="1"/>
  <c r="O153" i="13" a="1"/>
  <c r="O153" i="13" s="1"/>
  <c r="G153" i="13" a="1"/>
  <c r="G153" i="13" s="1"/>
  <c r="E153" i="13" a="1"/>
  <c r="E153" i="13" s="1"/>
  <c r="L153" i="13" a="1"/>
  <c r="L153" i="13" s="1"/>
  <c r="K153" i="13" a="1"/>
  <c r="K153" i="13" s="1"/>
  <c r="P153" i="13" a="1"/>
  <c r="P153" i="13" s="1"/>
  <c r="H153" i="13" a="1"/>
  <c r="H153" i="13" s="1"/>
  <c r="R193" i="13" a="1"/>
  <c r="R193" i="13" s="1"/>
  <c r="K193" i="13" a="1"/>
  <c r="K193" i="13" s="1"/>
  <c r="G193" i="13" a="1"/>
  <c r="G193" i="13" s="1"/>
  <c r="Q193" i="13" a="1"/>
  <c r="Q193" i="13" s="1"/>
  <c r="N193" i="13" a="1"/>
  <c r="N193" i="13" s="1"/>
  <c r="J193" i="13" a="1"/>
  <c r="J193" i="13" s="1"/>
  <c r="P193" i="13" a="1"/>
  <c r="P193" i="13" s="1"/>
  <c r="I193" i="13" a="1"/>
  <c r="I193" i="13" s="1"/>
  <c r="O193" i="13" a="1"/>
  <c r="O193" i="13" s="1"/>
  <c r="H193" i="13" a="1"/>
  <c r="H193" i="13" s="1"/>
  <c r="L193" i="13" a="1"/>
  <c r="L193" i="13" s="1"/>
  <c r="E193" i="13" a="1"/>
  <c r="E193" i="13" s="1"/>
  <c r="M193" i="13" a="1"/>
  <c r="M193" i="13" s="1"/>
  <c r="F193" i="13" a="1"/>
  <c r="F193" i="13" s="1"/>
  <c r="O154" i="13" a="1"/>
  <c r="O154" i="13" s="1"/>
  <c r="K154" i="13" a="1"/>
  <c r="K154" i="13" s="1"/>
  <c r="G154" i="13" a="1"/>
  <c r="G154" i="13" s="1"/>
  <c r="R154" i="13" a="1"/>
  <c r="R154" i="13" s="1"/>
  <c r="N154" i="13" a="1"/>
  <c r="N154" i="13" s="1"/>
  <c r="J154" i="13" a="1"/>
  <c r="J154" i="13" s="1"/>
  <c r="F154" i="13" a="1"/>
  <c r="F154" i="13" s="1"/>
  <c r="L154" i="13" a="1"/>
  <c r="L154" i="13" s="1"/>
  <c r="I154" i="13" a="1"/>
  <c r="I154" i="13" s="1"/>
  <c r="H154" i="13" a="1"/>
  <c r="H154" i="13" s="1"/>
  <c r="M154" i="13" a="1"/>
  <c r="M154" i="13" s="1"/>
  <c r="E154" i="13" a="1"/>
  <c r="E154" i="13" s="1"/>
  <c r="Q154" i="13" a="1"/>
  <c r="Q154" i="13" s="1"/>
  <c r="P154" i="13" a="1"/>
  <c r="P154" i="13" s="1"/>
  <c r="R228" i="13" a="1"/>
  <c r="R228" i="13" s="1"/>
  <c r="Q228" i="13" a="1"/>
  <c r="Q228" i="13" s="1"/>
  <c r="J228" i="13" a="1"/>
  <c r="J228" i="13" s="1"/>
  <c r="F228" i="13" a="1"/>
  <c r="F228" i="13" s="1"/>
  <c r="H228" i="13" a="1"/>
  <c r="H228" i="13" s="1"/>
  <c r="G228" i="13" a="1"/>
  <c r="G228" i="13" s="1"/>
  <c r="P228" i="13" a="1"/>
  <c r="P228" i="13" s="1"/>
  <c r="N228" i="13" a="1"/>
  <c r="N228" i="13" s="1"/>
  <c r="K228" i="13" a="1"/>
  <c r="K228" i="13" s="1"/>
  <c r="L228" i="13" a="1"/>
  <c r="L228" i="13" s="1"/>
  <c r="O228" i="13" a="1"/>
  <c r="O228" i="13" s="1"/>
  <c r="M228" i="13" a="1"/>
  <c r="M228" i="13" s="1"/>
  <c r="E228" i="13" a="1"/>
  <c r="E228" i="13" s="1"/>
  <c r="I228" i="13" a="1"/>
  <c r="I228" i="13" s="1"/>
  <c r="P158" i="13" a="1"/>
  <c r="P158" i="13" s="1"/>
  <c r="K158" i="13" a="1"/>
  <c r="K158" i="13" s="1"/>
  <c r="R158" i="13" a="1"/>
  <c r="R158" i="13" s="1"/>
  <c r="J158" i="13" a="1"/>
  <c r="J158" i="13" s="1"/>
  <c r="F158" i="13" a="1"/>
  <c r="F158" i="13" s="1"/>
  <c r="L158" i="13" a="1"/>
  <c r="L158" i="13" s="1"/>
  <c r="G158" i="13" a="1"/>
  <c r="G158" i="13" s="1"/>
  <c r="Q158" i="13" a="1"/>
  <c r="Q158" i="13" s="1"/>
  <c r="I158" i="13" a="1"/>
  <c r="I158" i="13" s="1"/>
  <c r="H158" i="13" a="1"/>
  <c r="H158" i="13" s="1"/>
  <c r="M158" i="13" a="1"/>
  <c r="M158" i="13" s="1"/>
  <c r="N158" i="13" a="1"/>
  <c r="N158" i="13" s="1"/>
  <c r="O158" i="13" a="1"/>
  <c r="O158" i="13" s="1"/>
  <c r="E158" i="13" a="1"/>
  <c r="E158" i="13" s="1"/>
  <c r="K197" i="13" a="1"/>
  <c r="K197" i="13" s="1"/>
  <c r="O197" i="13" a="1"/>
  <c r="O197" i="13" s="1"/>
  <c r="E197" i="13" a="1"/>
  <c r="E197" i="13" s="1"/>
  <c r="F197" i="13" a="1"/>
  <c r="F197" i="13" s="1"/>
  <c r="I157" i="13" a="1"/>
  <c r="I157" i="13" s="1"/>
  <c r="M157" i="13" a="1"/>
  <c r="M157" i="13" s="1"/>
  <c r="H157" i="13" a="1"/>
  <c r="H157" i="13" s="1"/>
  <c r="G197" i="13" a="1"/>
  <c r="G197" i="13" s="1"/>
  <c r="Q167" i="13" a="1"/>
  <c r="Q167" i="13" s="1"/>
  <c r="L167" i="13" a="1"/>
  <c r="L167" i="13" s="1"/>
  <c r="I167" i="13" a="1"/>
  <c r="I167" i="13" s="1"/>
  <c r="P165" i="18" s="1"/>
  <c r="N167" i="13" a="1"/>
  <c r="N167" i="13" s="1"/>
  <c r="K167" i="13" a="1"/>
  <c r="K167" i="13" s="1"/>
  <c r="F167" i="13" a="1"/>
  <c r="F167" i="13" s="1"/>
  <c r="R167" i="13" a="1"/>
  <c r="R167" i="13" s="1"/>
  <c r="G167" i="13" a="1"/>
  <c r="G167" i="13" s="1"/>
  <c r="E167" i="13" a="1"/>
  <c r="E167" i="13" s="1"/>
  <c r="J167" i="13" a="1"/>
  <c r="J167" i="13" s="1"/>
  <c r="M167" i="13" a="1"/>
  <c r="M167" i="13" s="1"/>
  <c r="H167" i="13" a="1"/>
  <c r="H167" i="13" s="1"/>
  <c r="P167" i="13" a="1"/>
  <c r="P167" i="13" s="1"/>
  <c r="O167" i="13" a="1"/>
  <c r="O167" i="13" s="1"/>
  <c r="P155" i="13" a="1"/>
  <c r="P155" i="13" s="1"/>
  <c r="L155" i="13" a="1"/>
  <c r="L155" i="13" s="1"/>
  <c r="H155" i="13" a="1"/>
  <c r="H155" i="13" s="1"/>
  <c r="O155" i="13" a="1"/>
  <c r="O155" i="13" s="1"/>
  <c r="K155" i="13" a="1"/>
  <c r="K155" i="13" s="1"/>
  <c r="G155" i="13" a="1"/>
  <c r="G155" i="13" s="1"/>
  <c r="Q155" i="13" a="1"/>
  <c r="Q155" i="13" s="1"/>
  <c r="I155" i="13" a="1"/>
  <c r="I155" i="13" s="1"/>
  <c r="N155" i="13" a="1"/>
  <c r="N155" i="13" s="1"/>
  <c r="M155" i="13" a="1"/>
  <c r="M155" i="13" s="1"/>
  <c r="R155" i="13" a="1"/>
  <c r="R155" i="13" s="1"/>
  <c r="J155" i="13" a="1"/>
  <c r="J155" i="13" s="1"/>
  <c r="F155" i="13" a="1"/>
  <c r="F155" i="13" s="1"/>
  <c r="E155" i="13" a="1"/>
  <c r="E155" i="13" s="1"/>
  <c r="P195" i="13" a="1"/>
  <c r="P195" i="13" s="1"/>
  <c r="L195" i="13" a="1"/>
  <c r="L195" i="13" s="1"/>
  <c r="I195" i="13" a="1"/>
  <c r="I195" i="13" s="1"/>
  <c r="Q195" i="13" a="1"/>
  <c r="Q195" i="13" s="1"/>
  <c r="M195" i="13" a="1"/>
  <c r="M195" i="13" s="1"/>
  <c r="R195" i="13" a="1"/>
  <c r="R195" i="13" s="1"/>
  <c r="G195" i="13" a="1"/>
  <c r="G195" i="13" s="1"/>
  <c r="O195" i="13" a="1"/>
  <c r="O195" i="13" s="1"/>
  <c r="J195" i="13" a="1"/>
  <c r="J195" i="13" s="1"/>
  <c r="F195" i="13" a="1"/>
  <c r="F195" i="13" s="1"/>
  <c r="N195" i="13" a="1"/>
  <c r="N195" i="13" s="1"/>
  <c r="H195" i="13" a="1"/>
  <c r="H195" i="13" s="1"/>
  <c r="E195" i="13" a="1"/>
  <c r="E195" i="13" s="1"/>
  <c r="K195" i="13" a="1"/>
  <c r="K195" i="13" s="1"/>
  <c r="P220" i="13" a="1"/>
  <c r="P220" i="13" s="1"/>
  <c r="R220" i="13" a="1"/>
  <c r="R220" i="13" s="1"/>
  <c r="E220" i="13" a="1"/>
  <c r="E220" i="13" s="1"/>
  <c r="H220" i="13" a="1"/>
  <c r="H220" i="13" s="1"/>
  <c r="M220" i="13" a="1"/>
  <c r="M220" i="13" s="1"/>
  <c r="O220" i="13" a="1"/>
  <c r="O220" i="13" s="1"/>
  <c r="G220" i="13" a="1"/>
  <c r="G220" i="13" s="1"/>
  <c r="Q220" i="13" a="1"/>
  <c r="Q220" i="13" s="1"/>
  <c r="J220" i="13" a="1"/>
  <c r="J220" i="13" s="1"/>
  <c r="L220" i="13" a="1"/>
  <c r="L220" i="13" s="1"/>
  <c r="N220" i="13" a="1"/>
  <c r="N220" i="13" s="1"/>
  <c r="F220" i="13" a="1"/>
  <c r="F220" i="13" s="1"/>
  <c r="I220" i="13" a="1"/>
  <c r="I220" i="13" s="1"/>
  <c r="K220" i="13" a="1"/>
  <c r="K220" i="13" s="1"/>
  <c r="R162" i="13" a="1"/>
  <c r="R162" i="13" s="1"/>
  <c r="O162" i="13" a="1"/>
  <c r="O162" i="13" s="1"/>
  <c r="J162" i="13" a="1"/>
  <c r="J162" i="13" s="1"/>
  <c r="G162" i="13" a="1"/>
  <c r="G162" i="13" s="1"/>
  <c r="Q162" i="13" a="1"/>
  <c r="Q162" i="13" s="1"/>
  <c r="L162" i="13" a="1"/>
  <c r="L162" i="13" s="1"/>
  <c r="I162" i="13" a="1"/>
  <c r="I162" i="13" s="1"/>
  <c r="M162" i="13" a="1"/>
  <c r="M162" i="13" s="1"/>
  <c r="H162" i="13" a="1"/>
  <c r="H162" i="13" s="1"/>
  <c r="K162" i="13" a="1"/>
  <c r="K162" i="13" s="1"/>
  <c r="P162" i="13" a="1"/>
  <c r="P162" i="13" s="1"/>
  <c r="N162" i="13" a="1"/>
  <c r="N162" i="13" s="1"/>
  <c r="F162" i="13" a="1"/>
  <c r="F162" i="13" s="1"/>
  <c r="E162" i="13" a="1"/>
  <c r="E162" i="13" s="1"/>
  <c r="L197" i="13" a="1"/>
  <c r="L197" i="13" s="1"/>
  <c r="R197" i="13" a="1"/>
  <c r="R197" i="13" s="1"/>
  <c r="N197" i="13" a="1"/>
  <c r="N197" i="13" s="1"/>
  <c r="H197" i="13" a="1"/>
  <c r="H197" i="13" s="1"/>
  <c r="J157" i="13" a="1"/>
  <c r="J157" i="13" s="1"/>
  <c r="N157" i="13" a="1"/>
  <c r="N157" i="13" s="1"/>
  <c r="K157" i="13" a="1"/>
  <c r="K157" i="13" s="1"/>
  <c r="R206" i="13" a="1"/>
  <c r="R206" i="13" s="1"/>
  <c r="O206" i="13" a="1"/>
  <c r="O206" i="13" s="1"/>
  <c r="Q206" i="13" a="1"/>
  <c r="Q206" i="13" s="1"/>
  <c r="N206" i="13" a="1"/>
  <c r="N206" i="13" s="1"/>
  <c r="M206" i="13" a="1"/>
  <c r="M206" i="13" s="1"/>
  <c r="J206" i="13" a="1"/>
  <c r="J206" i="13" s="1"/>
  <c r="F206" i="13" a="1"/>
  <c r="F206" i="13" s="1"/>
  <c r="P206" i="13" a="1"/>
  <c r="P206" i="13" s="1"/>
  <c r="G206" i="13" a="1"/>
  <c r="G206" i="13" s="1"/>
  <c r="K206" i="13" a="1"/>
  <c r="K206" i="13" s="1"/>
  <c r="I206" i="13" a="1"/>
  <c r="I206" i="13" s="1"/>
  <c r="H206" i="13" a="1"/>
  <c r="H206" i="13" s="1"/>
  <c r="L206" i="13" a="1"/>
  <c r="L206" i="13" s="1"/>
  <c r="E206" i="13" a="1"/>
  <c r="E206" i="13" s="1"/>
  <c r="Q194" i="13" a="1"/>
  <c r="Q194" i="13" s="1"/>
  <c r="N194" i="13" a="1"/>
  <c r="N194" i="13" s="1"/>
  <c r="J194" i="13" a="1"/>
  <c r="J194" i="13" s="1"/>
  <c r="G194" i="13" a="1"/>
  <c r="G194" i="13" s="1"/>
  <c r="M194" i="13" a="1"/>
  <c r="M194" i="13" s="1"/>
  <c r="I194" i="13" a="1"/>
  <c r="I194" i="13" s="1"/>
  <c r="P194" i="13" a="1"/>
  <c r="P194" i="13" s="1"/>
  <c r="L194" i="13" a="1"/>
  <c r="L194" i="13" s="1"/>
  <c r="O194" i="13" a="1"/>
  <c r="O194" i="13" s="1"/>
  <c r="H194" i="13" a="1"/>
  <c r="H194" i="13" s="1"/>
  <c r="F194" i="13" a="1"/>
  <c r="F194" i="13" s="1"/>
  <c r="R194" i="13" a="1"/>
  <c r="R194" i="13" s="1"/>
  <c r="K194" i="13" a="1"/>
  <c r="K194" i="13" s="1"/>
  <c r="E194" i="13" a="1"/>
  <c r="E194" i="13" s="1"/>
  <c r="J197" i="13" a="1"/>
  <c r="J197" i="13" s="1"/>
  <c r="P197" i="13" a="1"/>
  <c r="P197" i="13" s="1"/>
  <c r="R207" i="13" a="1"/>
  <c r="R207" i="13" s="1"/>
  <c r="N207" i="13" a="1"/>
  <c r="N207" i="13" s="1"/>
  <c r="K207" i="13" a="1"/>
  <c r="K207" i="13" s="1"/>
  <c r="G207" i="13" a="1"/>
  <c r="G207" i="13" s="1"/>
  <c r="AR165" i="18" s="1"/>
  <c r="Q207" i="13" a="1"/>
  <c r="Q207" i="13" s="1"/>
  <c r="M207" i="13" a="1"/>
  <c r="M207" i="13" s="1"/>
  <c r="J207" i="13" a="1"/>
  <c r="J207" i="13" s="1"/>
  <c r="F207" i="13" a="1"/>
  <c r="F207" i="13" s="1"/>
  <c r="E207" i="13" a="1"/>
  <c r="E207" i="13" s="1"/>
  <c r="O207" i="13" a="1"/>
  <c r="O207" i="13" s="1"/>
  <c r="H207" i="13" a="1"/>
  <c r="H207" i="13" s="1"/>
  <c r="I207" i="13" a="1"/>
  <c r="I207" i="13" s="1"/>
  <c r="P207" i="13" a="1"/>
  <c r="P207" i="13" s="1"/>
  <c r="L207" i="13" a="1"/>
  <c r="L207" i="13" s="1"/>
  <c r="CF115" i="15"/>
  <c r="J166" i="13" a="1"/>
  <c r="J166" i="13" s="1"/>
  <c r="I166" i="13" a="1"/>
  <c r="I166" i="13" s="1"/>
  <c r="K166" i="13" a="1"/>
  <c r="K166" i="13" s="1"/>
  <c r="R166" i="13" a="1"/>
  <c r="R166" i="13" s="1"/>
  <c r="E166" i="13" a="1"/>
  <c r="E166" i="13" s="1"/>
  <c r="L166" i="13" a="1"/>
  <c r="L166" i="13" s="1"/>
  <c r="M166" i="13" a="1"/>
  <c r="M166" i="13" s="1"/>
  <c r="G166" i="13" a="1"/>
  <c r="G166" i="13" s="1"/>
  <c r="P166" i="13" a="1"/>
  <c r="P166" i="13" s="1"/>
  <c r="F166" i="13" a="1"/>
  <c r="F166" i="13" s="1"/>
  <c r="Q166" i="13" a="1"/>
  <c r="Q166" i="13" s="1"/>
  <c r="N166" i="13" a="1"/>
  <c r="N166" i="13" s="1"/>
  <c r="O166" i="13" a="1"/>
  <c r="O166" i="13" s="1"/>
  <c r="H166" i="13" a="1"/>
  <c r="H166" i="13" s="1"/>
  <c r="CF181" i="15"/>
  <c r="P232" i="13" a="1"/>
  <c r="P232" i="13" s="1"/>
  <c r="I232" i="13" a="1"/>
  <c r="I232" i="13" s="1"/>
  <c r="Q232" i="13" a="1"/>
  <c r="Q232" i="13" s="1"/>
  <c r="R232" i="13" a="1"/>
  <c r="R232" i="13" s="1"/>
  <c r="O232" i="13" a="1"/>
  <c r="O232" i="13" s="1"/>
  <c r="M232" i="13" a="1"/>
  <c r="M232" i="13" s="1"/>
  <c r="L232" i="13" a="1"/>
  <c r="L232" i="13" s="1"/>
  <c r="J232" i="13" a="1"/>
  <c r="J232" i="13" s="1"/>
  <c r="F232" i="13" a="1"/>
  <c r="F232" i="13" s="1"/>
  <c r="K232" i="13" a="1"/>
  <c r="K232" i="13" s="1"/>
  <c r="N232" i="13" a="1"/>
  <c r="N232" i="13" s="1"/>
  <c r="G232" i="13" a="1"/>
  <c r="G232" i="13" s="1"/>
  <c r="E232" i="13" a="1"/>
  <c r="E232" i="13" s="1"/>
  <c r="H232" i="13" a="1"/>
  <c r="H232" i="13" s="1"/>
  <c r="M197" i="13" a="1"/>
  <c r="M197" i="13" s="1"/>
  <c r="Q197" i="13" a="1"/>
  <c r="Q197" i="13" s="1"/>
  <c r="I197" i="13" a="1"/>
  <c r="I197" i="13" s="1"/>
  <c r="E157" i="13" a="1"/>
  <c r="E157" i="13" s="1"/>
  <c r="G157" i="13" a="1"/>
  <c r="G157" i="13" s="1"/>
  <c r="L157" i="13" a="1"/>
  <c r="L157" i="13" s="1"/>
  <c r="P196" i="13" a="1"/>
  <c r="P196" i="13" s="1"/>
  <c r="J196" i="13" a="1"/>
  <c r="J196" i="13" s="1"/>
  <c r="F196" i="13" a="1"/>
  <c r="F196" i="13" s="1"/>
  <c r="R196" i="13" a="1"/>
  <c r="R196" i="13" s="1"/>
  <c r="K196" i="13" a="1"/>
  <c r="K196" i="13" s="1"/>
  <c r="Q196" i="13" a="1"/>
  <c r="Q196" i="13" s="1"/>
  <c r="G196" i="13" a="1"/>
  <c r="G196" i="13" s="1"/>
  <c r="O196" i="13" a="1"/>
  <c r="O196" i="13" s="1"/>
  <c r="L196" i="13" a="1"/>
  <c r="L196" i="13" s="1"/>
  <c r="I196" i="13" a="1"/>
  <c r="I196" i="13" s="1"/>
  <c r="E196" i="13" a="1"/>
  <c r="E196" i="13" s="1"/>
  <c r="N196" i="13" a="1"/>
  <c r="N196" i="13" s="1"/>
  <c r="H196" i="13" a="1"/>
  <c r="H196" i="13" s="1"/>
  <c r="M196" i="13" a="1"/>
  <c r="M196" i="13" s="1"/>
  <c r="P156" i="13" a="1"/>
  <c r="P156" i="13" s="1"/>
  <c r="L156" i="13" a="1"/>
  <c r="L156" i="13" s="1"/>
  <c r="H156" i="13" a="1"/>
  <c r="H156" i="13" s="1"/>
  <c r="R156" i="13" a="1"/>
  <c r="R156" i="13" s="1"/>
  <c r="J156" i="13" a="1"/>
  <c r="J156" i="13" s="1"/>
  <c r="F156" i="13" a="1"/>
  <c r="F156" i="13" s="1"/>
  <c r="Q156" i="13" a="1"/>
  <c r="Q156" i="13" s="1"/>
  <c r="I156" i="13" a="1"/>
  <c r="I156" i="13" s="1"/>
  <c r="O156" i="13" a="1"/>
  <c r="O156" i="13" s="1"/>
  <c r="K156" i="13" a="1"/>
  <c r="K156" i="13" s="1"/>
  <c r="G156" i="13" a="1"/>
  <c r="G156" i="13" s="1"/>
  <c r="N156" i="13" a="1"/>
  <c r="N156" i="13" s="1"/>
  <c r="M156" i="13" a="1"/>
  <c r="M156" i="13" s="1"/>
  <c r="E156" i="13" a="1"/>
  <c r="E156" i="13" s="1"/>
  <c r="CD126" i="18"/>
  <c r="BV126" i="18"/>
  <c r="CU126" i="18"/>
  <c r="CD215" i="18"/>
  <c r="S161" i="13"/>
  <c r="Y86" i="15"/>
  <c r="AJ170" i="15"/>
  <c r="AG86" i="15"/>
  <c r="X170" i="15"/>
  <c r="S201" i="13"/>
  <c r="H20" i="12"/>
  <c r="J169" i="18" s="1"/>
  <c r="CY153" i="18"/>
  <c r="S44" i="11"/>
  <c r="BW126" i="18"/>
  <c r="CC126" i="18"/>
  <c r="DP153" i="18"/>
  <c r="DP129" i="18"/>
  <c r="CY129" i="18"/>
  <c r="BW129" i="18"/>
  <c r="DP128" i="18"/>
  <c r="BW157" i="18"/>
  <c r="BW231" i="18" s="1"/>
  <c r="CY126" i="18"/>
  <c r="CY128" i="18"/>
  <c r="DP157" i="18"/>
  <c r="DO157" i="18"/>
  <c r="DO204" i="18" s="1"/>
  <c r="S19" i="11"/>
  <c r="S48" i="11"/>
  <c r="BS231" i="18"/>
  <c r="DP126" i="18"/>
  <c r="BW154" i="18"/>
  <c r="DP154" i="18"/>
  <c r="S17" i="11"/>
  <c r="S45" i="11"/>
  <c r="CJ131" i="18"/>
  <c r="CJ162" i="18"/>
  <c r="CY156" i="18"/>
  <c r="DP156" i="18"/>
  <c r="S47" i="11"/>
  <c r="DP147" i="18"/>
  <c r="BW147" i="18"/>
  <c r="S38" i="11"/>
  <c r="CY147" i="18"/>
  <c r="DP135" i="18"/>
  <c r="BW135" i="18"/>
  <c r="CY135" i="18"/>
  <c r="S26" i="11"/>
  <c r="DP142" i="18"/>
  <c r="S33" i="11"/>
  <c r="BW142" i="18"/>
  <c r="CY142" i="18"/>
  <c r="S36" i="11"/>
  <c r="BW145" i="18"/>
  <c r="DP145" i="18"/>
  <c r="CY145" i="18"/>
  <c r="S28" i="11"/>
  <c r="CY137" i="18"/>
  <c r="BW137" i="18"/>
  <c r="DP137" i="18"/>
  <c r="S30" i="11"/>
  <c r="CY139" i="18"/>
  <c r="BW139" i="18"/>
  <c r="DP139" i="18"/>
  <c r="BW134" i="18"/>
  <c r="DP134" i="18"/>
  <c r="S25" i="11"/>
  <c r="CY134" i="18"/>
  <c r="DP144" i="18"/>
  <c r="CY144" i="18"/>
  <c r="BW144" i="18"/>
  <c r="S35" i="11"/>
  <c r="S29" i="11"/>
  <c r="DP138" i="18"/>
  <c r="BW138" i="18"/>
  <c r="CY138" i="18"/>
  <c r="DP149" i="18"/>
  <c r="BW149" i="18"/>
  <c r="S40" i="11"/>
  <c r="CY149" i="18"/>
  <c r="DP148" i="18"/>
  <c r="BW148" i="18"/>
  <c r="S39" i="11"/>
  <c r="CY148" i="18"/>
  <c r="DP141" i="18"/>
  <c r="BW141" i="18"/>
  <c r="CY141" i="18"/>
  <c r="S32" i="11"/>
  <c r="BS151" i="18"/>
  <c r="Z230" i="18"/>
  <c r="S43" i="11"/>
  <c r="CY152" i="18"/>
  <c r="DP152" i="18"/>
  <c r="BW152" i="18"/>
  <c r="BW146" i="18"/>
  <c r="S37" i="11"/>
  <c r="DP146" i="18"/>
  <c r="CY146" i="18"/>
  <c r="S27" i="11"/>
  <c r="DP136" i="18"/>
  <c r="CY136" i="18"/>
  <c r="BW136" i="18"/>
  <c r="S31" i="11"/>
  <c r="BW140" i="18"/>
  <c r="CY140" i="18"/>
  <c r="DP140" i="18"/>
  <c r="BW150" i="18"/>
  <c r="CY150" i="18"/>
  <c r="DP150" i="18"/>
  <c r="S41" i="11"/>
  <c r="S34" i="11"/>
  <c r="CY143" i="18"/>
  <c r="BW143" i="18"/>
  <c r="DP143" i="18"/>
  <c r="BW133" i="18"/>
  <c r="S24" i="11"/>
  <c r="DP133" i="18"/>
  <c r="CY133" i="18"/>
  <c r="C17" i="22"/>
  <c r="E17" i="22"/>
  <c r="H44" i="12"/>
  <c r="J193" i="18" s="1"/>
  <c r="H43" i="12"/>
  <c r="J192" i="18" s="1"/>
  <c r="H42" i="12"/>
  <c r="J191" i="18" s="1"/>
  <c r="H40" i="12"/>
  <c r="J189" i="18" s="1"/>
  <c r="H39" i="12"/>
  <c r="J188" i="18" s="1"/>
  <c r="H37" i="12"/>
  <c r="J186" i="18" s="1"/>
  <c r="H35" i="12"/>
  <c r="J184" i="18" s="1"/>
  <c r="H33" i="12"/>
  <c r="J182" i="18" s="1"/>
  <c r="H31" i="12"/>
  <c r="J180" i="18" s="1"/>
  <c r="H29" i="12"/>
  <c r="J178" i="18" s="1"/>
  <c r="H27" i="12"/>
  <c r="J176" i="18" s="1"/>
  <c r="H25" i="12"/>
  <c r="J174" i="18" s="1"/>
  <c r="H41" i="12"/>
  <c r="J190" i="18" s="1"/>
  <c r="H38" i="12"/>
  <c r="J187" i="18" s="1"/>
  <c r="H36" i="12"/>
  <c r="J185" i="18" s="1"/>
  <c r="H34" i="12"/>
  <c r="J183" i="18" s="1"/>
  <c r="H32" i="12"/>
  <c r="J181" i="18" s="1"/>
  <c r="H30" i="12"/>
  <c r="J179" i="18" s="1"/>
  <c r="H28" i="12"/>
  <c r="J177" i="18" s="1"/>
  <c r="H26" i="12"/>
  <c r="J175" i="18" s="1"/>
  <c r="H23" i="12"/>
  <c r="J172" i="18" s="1"/>
  <c r="H46" i="12"/>
  <c r="J195" i="18" s="1"/>
  <c r="H24" i="12"/>
  <c r="J173" i="18" s="1"/>
  <c r="H45" i="12"/>
  <c r="J194" i="18" s="1"/>
  <c r="H22" i="12"/>
  <c r="J171" i="18" s="1"/>
  <c r="H19" i="12"/>
  <c r="J168" i="18" s="1"/>
  <c r="CT163" i="18"/>
  <c r="CT131" i="18"/>
  <c r="CJ163" i="18"/>
  <c r="CT161" i="18"/>
  <c r="A208" i="18"/>
  <c r="CJ161" i="18"/>
  <c r="CT162" i="18"/>
  <c r="CL158" i="18"/>
  <c r="CT158" i="18" s="1"/>
  <c r="CJ132" i="18"/>
  <c r="CT132" i="18"/>
  <c r="H15" i="12"/>
  <c r="H21" i="12"/>
  <c r="J170" i="18" s="1"/>
  <c r="H50" i="12"/>
  <c r="J199" i="18" s="1"/>
  <c r="H52" i="12"/>
  <c r="J201" i="18" s="1"/>
  <c r="S223" i="13"/>
  <c r="H47" i="12"/>
  <c r="J196" i="18" s="1"/>
  <c r="H51" i="12"/>
  <c r="J200" i="18" s="1"/>
  <c r="H49" i="12"/>
  <c r="J198" i="18" s="1"/>
  <c r="H54" i="12"/>
  <c r="J203" i="18" s="1"/>
  <c r="H48" i="12"/>
  <c r="J197" i="18" s="1"/>
  <c r="H53" i="12"/>
  <c r="J202" i="18" s="1"/>
  <c r="CJ158" i="18"/>
  <c r="BS4" i="18"/>
  <c r="BN206" i="18"/>
  <c r="CJ130" i="18"/>
  <c r="H14" i="12"/>
  <c r="AR261" i="18" s="1"/>
  <c r="AR262" i="18" s="1"/>
  <c r="H17" i="12"/>
  <c r="J166" i="18" s="1"/>
  <c r="J209" i="18"/>
  <c r="S208" i="13"/>
  <c r="BF125" i="18"/>
  <c r="BF209" i="18" s="1"/>
  <c r="AV209" i="18"/>
  <c r="AW209" i="18"/>
  <c r="BH125" i="18"/>
  <c r="BH209" i="18" s="1"/>
  <c r="AR209" i="18"/>
  <c r="BK124" i="18"/>
  <c r="BI125" i="18"/>
  <c r="AT209" i="18"/>
  <c r="BI124" i="18"/>
  <c r="AP209" i="18"/>
  <c r="AY209" i="18"/>
  <c r="BG125" i="18"/>
  <c r="BG209" i="18" s="1"/>
  <c r="BK125" i="18"/>
  <c r="BA209" i="18"/>
  <c r="BJ125" i="18"/>
  <c r="AZ209" i="18"/>
  <c r="BO125" i="18"/>
  <c r="BO209" i="18" s="1"/>
  <c r="BN125" i="18"/>
  <c r="AS209" i="18"/>
  <c r="BR125" i="18"/>
  <c r="BP124" i="18"/>
  <c r="AU209" i="18"/>
  <c r="CF156" i="15"/>
  <c r="BB209" i="18"/>
  <c r="AX209" i="18"/>
  <c r="CF144" i="15"/>
  <c r="BC209" i="18"/>
  <c r="BD125" i="18"/>
  <c r="BP125" i="18"/>
  <c r="CF155" i="15"/>
  <c r="J165" i="18"/>
  <c r="J167" i="18"/>
  <c r="Y87" i="15"/>
  <c r="AJ171" i="15"/>
  <c r="CF107" i="15"/>
  <c r="CJ159" i="18"/>
  <c r="CS159" i="18"/>
  <c r="CT159" i="18" s="1"/>
  <c r="CS157" i="18"/>
  <c r="CJ156" i="18"/>
  <c r="CS156" i="18"/>
  <c r="CT156" i="18" s="1"/>
  <c r="CJ160" i="18"/>
  <c r="CS160" i="18"/>
  <c r="CT160" i="18" s="1"/>
  <c r="CS128" i="18"/>
  <c r="CS129" i="18"/>
  <c r="CJ153" i="18"/>
  <c r="CS153" i="18"/>
  <c r="CT153" i="18" s="1"/>
  <c r="CS127" i="18"/>
  <c r="CW238" i="18"/>
  <c r="CJ155" i="18"/>
  <c r="CL155" i="18"/>
  <c r="BR124" i="18"/>
  <c r="BD124" i="18"/>
  <c r="BS124" i="18" s="1"/>
  <c r="CS126" i="18"/>
  <c r="CF116" i="15"/>
  <c r="X171" i="15"/>
  <c r="I171" i="15"/>
  <c r="CF111" i="15"/>
  <c r="S168" i="13"/>
  <c r="CF177" i="15"/>
  <c r="I176" i="15"/>
  <c r="S164" i="13"/>
  <c r="CF151" i="15"/>
  <c r="I175" i="15"/>
  <c r="CF169" i="15"/>
  <c r="CF145" i="15"/>
  <c r="S165" i="13"/>
  <c r="S204" i="13"/>
  <c r="S159" i="13"/>
  <c r="S199" i="13"/>
  <c r="Y90" i="15"/>
  <c r="AJ174" i="15"/>
  <c r="Y89" i="15"/>
  <c r="AJ173" i="15"/>
  <c r="Y84" i="15"/>
  <c r="AJ168" i="15"/>
  <c r="S205" i="13"/>
  <c r="X83" i="15"/>
  <c r="AJ167" i="15"/>
  <c r="CF143" i="15"/>
  <c r="W83" i="15"/>
  <c r="I167" i="15"/>
  <c r="AF83" i="15"/>
  <c r="X167" i="15"/>
  <c r="CF147" i="15"/>
  <c r="CF106" i="15"/>
  <c r="W82" i="15"/>
  <c r="I166" i="15"/>
  <c r="X82" i="15"/>
  <c r="AJ166" i="15"/>
  <c r="CF142" i="15"/>
  <c r="S200" i="13"/>
  <c r="S212" i="13"/>
  <c r="S160" i="13"/>
  <c r="I163" i="15"/>
  <c r="Y85" i="15"/>
  <c r="AF85" i="15"/>
  <c r="F76" i="15"/>
  <c r="AF79" i="15"/>
  <c r="X163" i="15"/>
  <c r="AE85" i="15"/>
  <c r="Y92" i="15"/>
  <c r="AJ163" i="15"/>
  <c r="AJ162" i="15"/>
  <c r="AJ164" i="15"/>
  <c r="AJ165" i="15"/>
  <c r="AS201" i="18"/>
  <c r="CF105" i="15"/>
  <c r="AQ201" i="18"/>
  <c r="N195" i="18"/>
  <c r="AP173" i="18"/>
  <c r="AX165" i="18"/>
  <c r="U165" i="18"/>
  <c r="CF104" i="15"/>
  <c r="CF102" i="15"/>
  <c r="AW202" i="18"/>
  <c r="AW240" i="18" s="1"/>
  <c r="X195" i="18"/>
  <c r="P202" i="18"/>
  <c r="P240" i="18" s="1"/>
  <c r="AU173" i="18"/>
  <c r="W173" i="18"/>
  <c r="BC201" i="18"/>
  <c r="O173" i="18"/>
  <c r="AT197" i="18"/>
  <c r="CF103" i="15"/>
  <c r="AV173" i="18"/>
  <c r="AQ165" i="18"/>
  <c r="L165" i="18"/>
  <c r="AY165" i="18"/>
  <c r="R165" i="18"/>
  <c r="Y165" i="18"/>
  <c r="AT167" i="18"/>
  <c r="AT249" i="18" s="1"/>
  <c r="BC165" i="18"/>
  <c r="O165" i="18"/>
  <c r="V165" i="18"/>
  <c r="AZ165" i="18"/>
  <c r="AW165" i="18"/>
  <c r="V173" i="18"/>
  <c r="R201" i="18"/>
  <c r="S195" i="18"/>
  <c r="X165" i="18"/>
  <c r="Q165" i="18"/>
  <c r="M165" i="18"/>
  <c r="N165" i="18"/>
  <c r="BB165" i="18"/>
  <c r="AR201" i="18"/>
  <c r="AX195" i="18"/>
  <c r="AY195" i="18"/>
  <c r="AQ169" i="18"/>
  <c r="AQ248" i="18" s="1"/>
  <c r="T165" i="18"/>
  <c r="BA165" i="18"/>
  <c r="L202" i="18"/>
  <c r="L240" i="18" s="1"/>
  <c r="Y195" i="18"/>
  <c r="M173" i="18"/>
  <c r="AY172" i="18"/>
  <c r="W165" i="18"/>
  <c r="S165" i="18"/>
  <c r="AP165" i="18"/>
  <c r="AV165" i="18"/>
  <c r="AS165" i="18"/>
  <c r="AZ173" i="18"/>
  <c r="W91" i="15"/>
  <c r="C175" i="15"/>
  <c r="X81" i="15"/>
  <c r="D165" i="15"/>
  <c r="AC87" i="15"/>
  <c r="W79" i="15"/>
  <c r="C163" i="15"/>
  <c r="AF91" i="15"/>
  <c r="W81" i="15"/>
  <c r="C165" i="15"/>
  <c r="AD87" i="15"/>
  <c r="Y79" i="15"/>
  <c r="E163" i="15"/>
  <c r="AF92" i="15"/>
  <c r="Y78" i="15"/>
  <c r="E162" i="15"/>
  <c r="X80" i="15"/>
  <c r="D164" i="15"/>
  <c r="AD91" i="15"/>
  <c r="Z81" i="15"/>
  <c r="F165" i="15"/>
  <c r="AB87" i="15"/>
  <c r="X78" i="15"/>
  <c r="D162" i="15"/>
  <c r="Z80" i="15"/>
  <c r="F164" i="15"/>
  <c r="Y91" i="15"/>
  <c r="AA87" i="15"/>
  <c r="W87" i="15"/>
  <c r="C171" i="15"/>
  <c r="X79" i="15"/>
  <c r="D163" i="15"/>
  <c r="W92" i="15"/>
  <c r="C176" i="15"/>
  <c r="W78" i="15"/>
  <c r="C162" i="15"/>
  <c r="W80" i="15"/>
  <c r="C164" i="15"/>
  <c r="Z209" i="18"/>
  <c r="BM209" i="18"/>
  <c r="BQ209" i="18"/>
  <c r="BE209" i="18"/>
  <c r="BL209" i="18"/>
  <c r="CR125" i="18"/>
  <c r="Q164" i="18" l="1"/>
  <c r="N14" i="8"/>
  <c r="N54" i="8" s="1"/>
  <c r="BY4" i="18"/>
  <c r="CU4" i="18"/>
  <c r="S229" i="13"/>
  <c r="S230" i="13"/>
  <c r="BF165" i="18"/>
  <c r="V97" i="15"/>
  <c r="W71" i="15"/>
  <c r="U96" i="15"/>
  <c r="S172" i="13"/>
  <c r="W68" i="15"/>
  <c r="W70" i="15"/>
  <c r="T95" i="15"/>
  <c r="W60" i="15"/>
  <c r="G78" i="15"/>
  <c r="W59" i="15"/>
  <c r="I91" i="15"/>
  <c r="W61" i="15"/>
  <c r="J81" i="15"/>
  <c r="CN129" i="18"/>
  <c r="CL129" i="18"/>
  <c r="CD124" i="18"/>
  <c r="CU124" i="18"/>
  <c r="CL128" i="18"/>
  <c r="CT128" i="18" s="1"/>
  <c r="CJ128" i="18"/>
  <c r="CL127" i="18"/>
  <c r="CT127" i="18" s="1"/>
  <c r="CJ127" i="18"/>
  <c r="AR342" i="18"/>
  <c r="AR299" i="18"/>
  <c r="AR323" i="18"/>
  <c r="AR339" i="18"/>
  <c r="AR276" i="18"/>
  <c r="AR292" i="18"/>
  <c r="AR308" i="18"/>
  <c r="AR324" i="18"/>
  <c r="AR340" i="18"/>
  <c r="AR279" i="18"/>
  <c r="AR311" i="18"/>
  <c r="AR277" i="18"/>
  <c r="AR293" i="18"/>
  <c r="AR309" i="18"/>
  <c r="AR325" i="18"/>
  <c r="AR341" i="18"/>
  <c r="AR274" i="18"/>
  <c r="AR290" i="18"/>
  <c r="AR306" i="18"/>
  <c r="AR322" i="18"/>
  <c r="AR338" i="18"/>
  <c r="AR275" i="18"/>
  <c r="AR307" i="18"/>
  <c r="AR327" i="18"/>
  <c r="AR343" i="18"/>
  <c r="AR280" i="18"/>
  <c r="AR296" i="18"/>
  <c r="AR328" i="18"/>
  <c r="AR287" i="18"/>
  <c r="AR265" i="18"/>
  <c r="AR297" i="18"/>
  <c r="AR294" i="18"/>
  <c r="AR326" i="18"/>
  <c r="AR283" i="18"/>
  <c r="AR315" i="18"/>
  <c r="AR331" i="18"/>
  <c r="AR268" i="18"/>
  <c r="AR284" i="18"/>
  <c r="AR300" i="18"/>
  <c r="AR316" i="18"/>
  <c r="AR332" i="18"/>
  <c r="AR267" i="18"/>
  <c r="AR295" i="18"/>
  <c r="AR269" i="18"/>
  <c r="AR285" i="18"/>
  <c r="AR301" i="18"/>
  <c r="AR317" i="18"/>
  <c r="AR333" i="18"/>
  <c r="AR266" i="18"/>
  <c r="AR282" i="18"/>
  <c r="AR298" i="18"/>
  <c r="AR314" i="18"/>
  <c r="AR330" i="18"/>
  <c r="AR291" i="18"/>
  <c r="AR319" i="18"/>
  <c r="AR335" i="18"/>
  <c r="AR272" i="18"/>
  <c r="AR288" i="18"/>
  <c r="AR304" i="18"/>
  <c r="AR320" i="18"/>
  <c r="AR336" i="18"/>
  <c r="AR271" i="18"/>
  <c r="AR303" i="18"/>
  <c r="AR273" i="18"/>
  <c r="AR289" i="18"/>
  <c r="AR305" i="18"/>
  <c r="AR321" i="18"/>
  <c r="AR337" i="18"/>
  <c r="AR270" i="18"/>
  <c r="AR286" i="18"/>
  <c r="AR302" i="18"/>
  <c r="AR318" i="18"/>
  <c r="AR334" i="18"/>
  <c r="AR312" i="18"/>
  <c r="AR344" i="18"/>
  <c r="AR281" i="18"/>
  <c r="AR313" i="18"/>
  <c r="AR329" i="18"/>
  <c r="AR278" i="18"/>
  <c r="AR310" i="18"/>
  <c r="W35" i="15"/>
  <c r="C21" i="22"/>
  <c r="C38" i="22"/>
  <c r="W33" i="15"/>
  <c r="W37" i="15"/>
  <c r="W34" i="15"/>
  <c r="W48" i="15"/>
  <c r="W36" i="15"/>
  <c r="G81" i="15"/>
  <c r="I79" i="15"/>
  <c r="W32" i="15"/>
  <c r="H82" i="15"/>
  <c r="W40" i="15"/>
  <c r="O83" i="15"/>
  <c r="W43" i="15"/>
  <c r="O79" i="15"/>
  <c r="W29" i="15"/>
  <c r="H79" i="15"/>
  <c r="W31" i="15"/>
  <c r="I92" i="15"/>
  <c r="W67" i="15"/>
  <c r="I82" i="15"/>
  <c r="W41" i="15"/>
  <c r="I78" i="15"/>
  <c r="W27" i="15"/>
  <c r="P92" i="15"/>
  <c r="W66" i="15"/>
  <c r="I83" i="15"/>
  <c r="W46" i="15"/>
  <c r="H78" i="15"/>
  <c r="W26" i="15"/>
  <c r="N87" i="15"/>
  <c r="W55" i="15"/>
  <c r="Q86" i="15"/>
  <c r="W51" i="15"/>
  <c r="P83" i="15"/>
  <c r="W44" i="15"/>
  <c r="P85" i="15"/>
  <c r="W49" i="15"/>
  <c r="I87" i="15"/>
  <c r="W54" i="15"/>
  <c r="G83" i="15"/>
  <c r="W42" i="15"/>
  <c r="I85" i="15"/>
  <c r="W50" i="15"/>
  <c r="G82" i="15"/>
  <c r="W39" i="15"/>
  <c r="I86" i="15"/>
  <c r="W52" i="15"/>
  <c r="G79" i="15"/>
  <c r="W28" i="15"/>
  <c r="O92" i="15"/>
  <c r="W65" i="15"/>
  <c r="I89" i="15"/>
  <c r="W57" i="15"/>
  <c r="G92" i="15"/>
  <c r="W64" i="15"/>
  <c r="H83" i="15"/>
  <c r="W45" i="15"/>
  <c r="G87" i="15"/>
  <c r="W53" i="15"/>
  <c r="I90" i="15"/>
  <c r="W58" i="15"/>
  <c r="P79" i="15"/>
  <c r="W30" i="15"/>
  <c r="P213" i="13" a="1"/>
  <c r="P213" i="13" s="1"/>
  <c r="L213" i="13" a="1"/>
  <c r="L213" i="13" s="1"/>
  <c r="I213" i="13" a="1"/>
  <c r="I213" i="13" s="1"/>
  <c r="F213" i="13" a="1"/>
  <c r="F213" i="13" s="1"/>
  <c r="O213" i="13" a="1"/>
  <c r="O213" i="13" s="1"/>
  <c r="K213" i="13" a="1"/>
  <c r="K213" i="13" s="1"/>
  <c r="E213" i="13" a="1"/>
  <c r="E213" i="13" s="1"/>
  <c r="R213" i="13" a="1"/>
  <c r="R213" i="13" s="1"/>
  <c r="M213" i="13" a="1"/>
  <c r="M213" i="13" s="1"/>
  <c r="G213" i="13" a="1"/>
  <c r="G213" i="13" s="1"/>
  <c r="H213" i="13" a="1"/>
  <c r="H213" i="13" s="1"/>
  <c r="Q213" i="13" a="1"/>
  <c r="Q213" i="13" s="1"/>
  <c r="N213" i="13" a="1"/>
  <c r="N213" i="13" s="1"/>
  <c r="J213" i="13" a="1"/>
  <c r="J213" i="13" s="1"/>
  <c r="O224" i="13" a="1"/>
  <c r="O224" i="13" s="1"/>
  <c r="N224" i="13" a="1"/>
  <c r="N224" i="13" s="1"/>
  <c r="K224" i="13" a="1"/>
  <c r="K224" i="13" s="1"/>
  <c r="P224" i="13" a="1"/>
  <c r="P224" i="13" s="1"/>
  <c r="E224" i="13" a="1"/>
  <c r="E224" i="13" s="1"/>
  <c r="R224" i="13" a="1"/>
  <c r="R224" i="13" s="1"/>
  <c r="G224" i="13" a="1"/>
  <c r="G224" i="13" s="1"/>
  <c r="L224" i="13" a="1"/>
  <c r="L224" i="13" s="1"/>
  <c r="H224" i="13" a="1"/>
  <c r="H224" i="13" s="1"/>
  <c r="M224" i="13" a="1"/>
  <c r="M224" i="13" s="1"/>
  <c r="J224" i="13" a="1"/>
  <c r="J224" i="13" s="1"/>
  <c r="I224" i="13" a="1"/>
  <c r="I224" i="13" s="1"/>
  <c r="F224" i="13" a="1"/>
  <c r="F224" i="13" s="1"/>
  <c r="Q224" i="13" a="1"/>
  <c r="Q224" i="13" s="1"/>
  <c r="R226" i="13" a="1"/>
  <c r="R226" i="13" s="1"/>
  <c r="L226" i="13" a="1"/>
  <c r="L226" i="13" s="1"/>
  <c r="I226" i="13" a="1"/>
  <c r="I226" i="13" s="1"/>
  <c r="F226" i="13" a="1"/>
  <c r="F226" i="13" s="1"/>
  <c r="O226" i="13" a="1"/>
  <c r="O226" i="13" s="1"/>
  <c r="K226" i="13" a="1"/>
  <c r="K226" i="13" s="1"/>
  <c r="H226" i="13" a="1"/>
  <c r="H226" i="13" s="1"/>
  <c r="E226" i="13" a="1"/>
  <c r="E226" i="13" s="1"/>
  <c r="N226" i="13" a="1"/>
  <c r="N226" i="13" s="1"/>
  <c r="P226" i="13" a="1"/>
  <c r="P226" i="13" s="1"/>
  <c r="Q226" i="13" a="1"/>
  <c r="Q226" i="13" s="1"/>
  <c r="M226" i="13" a="1"/>
  <c r="M226" i="13" s="1"/>
  <c r="J226" i="13" a="1"/>
  <c r="J226" i="13" s="1"/>
  <c r="G226" i="13" a="1"/>
  <c r="G226" i="13" s="1"/>
  <c r="Q221" i="13" a="1"/>
  <c r="Q221" i="13" s="1"/>
  <c r="P221" i="13" a="1"/>
  <c r="P221" i="13" s="1"/>
  <c r="R221" i="13" a="1"/>
  <c r="R221" i="13" s="1"/>
  <c r="O221" i="13" a="1"/>
  <c r="O221" i="13" s="1"/>
  <c r="N221" i="13" a="1"/>
  <c r="N221" i="13" s="1"/>
  <c r="J221" i="13" a="1"/>
  <c r="J221" i="13" s="1"/>
  <c r="L221" i="13" a="1"/>
  <c r="L221" i="13" s="1"/>
  <c r="F221" i="13" a="1"/>
  <c r="F221" i="13" s="1"/>
  <c r="K221" i="13" a="1"/>
  <c r="K221" i="13" s="1"/>
  <c r="G221" i="13" a="1"/>
  <c r="G221" i="13" s="1"/>
  <c r="M221" i="13" a="1"/>
  <c r="M221" i="13" s="1"/>
  <c r="E221" i="13" a="1"/>
  <c r="E221" i="13" s="1"/>
  <c r="I221" i="13" a="1"/>
  <c r="I221" i="13" s="1"/>
  <c r="H221" i="13" a="1"/>
  <c r="H221" i="13" s="1"/>
  <c r="R215" i="13" a="1"/>
  <c r="R215" i="13" s="1"/>
  <c r="L215" i="13" a="1"/>
  <c r="L215" i="13" s="1"/>
  <c r="H215" i="13" a="1"/>
  <c r="H215" i="13" s="1"/>
  <c r="E215" i="13" a="1"/>
  <c r="E215" i="13" s="1"/>
  <c r="Q215" i="13" a="1"/>
  <c r="Q215" i="13" s="1"/>
  <c r="N215" i="13" a="1"/>
  <c r="N215" i="13" s="1"/>
  <c r="K215" i="13" a="1"/>
  <c r="K215" i="13" s="1"/>
  <c r="G215" i="13" a="1"/>
  <c r="G215" i="13" s="1"/>
  <c r="P215" i="13" a="1"/>
  <c r="P215" i="13" s="1"/>
  <c r="J215" i="13" a="1"/>
  <c r="J215" i="13" s="1"/>
  <c r="F215" i="13" a="1"/>
  <c r="F215" i="13" s="1"/>
  <c r="O215" i="13" a="1"/>
  <c r="O215" i="13" s="1"/>
  <c r="M215" i="13" a="1"/>
  <c r="M215" i="13" s="1"/>
  <c r="I215" i="13" a="1"/>
  <c r="I215" i="13" s="1"/>
  <c r="P227" i="13" a="1"/>
  <c r="P227" i="13" s="1"/>
  <c r="M227" i="13" a="1"/>
  <c r="M227" i="13" s="1"/>
  <c r="J227" i="13" a="1"/>
  <c r="J227" i="13" s="1"/>
  <c r="R227" i="13" a="1"/>
  <c r="R227" i="13" s="1"/>
  <c r="L227" i="13" a="1"/>
  <c r="L227" i="13" s="1"/>
  <c r="G227" i="13" a="1"/>
  <c r="G227" i="13" s="1"/>
  <c r="F227" i="13" a="1"/>
  <c r="F227" i="13" s="1"/>
  <c r="N227" i="13" a="1"/>
  <c r="N227" i="13" s="1"/>
  <c r="H227" i="13" a="1"/>
  <c r="H227" i="13" s="1"/>
  <c r="O227" i="13" a="1"/>
  <c r="O227" i="13" s="1"/>
  <c r="K227" i="13" a="1"/>
  <c r="K227" i="13" s="1"/>
  <c r="I227" i="13" a="1"/>
  <c r="I227" i="13" s="1"/>
  <c r="E227" i="13" a="1"/>
  <c r="E227" i="13" s="1"/>
  <c r="Q227" i="13" a="1"/>
  <c r="Q227" i="13" s="1"/>
  <c r="R222" i="13" a="1"/>
  <c r="R222" i="13" s="1"/>
  <c r="M222" i="13" a="1"/>
  <c r="M222" i="13" s="1"/>
  <c r="G222" i="13" a="1"/>
  <c r="G222" i="13" s="1"/>
  <c r="O222" i="13" a="1"/>
  <c r="O222" i="13" s="1"/>
  <c r="L222" i="13" a="1"/>
  <c r="L222" i="13" s="1"/>
  <c r="I222" i="13" a="1"/>
  <c r="I222" i="13" s="1"/>
  <c r="F222" i="13" a="1"/>
  <c r="F222" i="13" s="1"/>
  <c r="N222" i="13" a="1"/>
  <c r="N222" i="13" s="1"/>
  <c r="H222" i="13" a="1"/>
  <c r="H222" i="13" s="1"/>
  <c r="P222" i="13" a="1"/>
  <c r="P222" i="13" s="1"/>
  <c r="J222" i="13" a="1"/>
  <c r="J222" i="13" s="1"/>
  <c r="K222" i="13" a="1"/>
  <c r="K222" i="13" s="1"/>
  <c r="E222" i="13" a="1"/>
  <c r="E222" i="13" s="1"/>
  <c r="Q222" i="13" a="1"/>
  <c r="Q222" i="13" s="1"/>
  <c r="K217" i="13" a="1"/>
  <c r="K217" i="13" s="1"/>
  <c r="G217" i="13" a="1"/>
  <c r="G217" i="13" s="1"/>
  <c r="F217" i="13" a="1"/>
  <c r="F217" i="13" s="1"/>
  <c r="O217" i="13" a="1"/>
  <c r="O217" i="13" s="1"/>
  <c r="E217" i="13" a="1"/>
  <c r="E217" i="13" s="1"/>
  <c r="H217" i="13" a="1"/>
  <c r="H217" i="13" s="1"/>
  <c r="J217" i="13" a="1"/>
  <c r="J217" i="13" s="1"/>
  <c r="P217" i="13" a="1"/>
  <c r="P217" i="13" s="1"/>
  <c r="R217" i="13" a="1"/>
  <c r="R217" i="13" s="1"/>
  <c r="Q217" i="13" a="1"/>
  <c r="Q217" i="13" s="1"/>
  <c r="L217" i="13" a="1"/>
  <c r="L217" i="13" s="1"/>
  <c r="M217" i="13" a="1"/>
  <c r="M217" i="13" s="1"/>
  <c r="N217" i="13" a="1"/>
  <c r="N217" i="13" s="1"/>
  <c r="I217" i="13" a="1"/>
  <c r="I217" i="13" s="1"/>
  <c r="H219" i="13" a="1"/>
  <c r="H219" i="13" s="1"/>
  <c r="G219" i="13" a="1"/>
  <c r="G219" i="13" s="1"/>
  <c r="I219" i="13" a="1"/>
  <c r="I219" i="13" s="1"/>
  <c r="N219" i="13" a="1"/>
  <c r="N219" i="13" s="1"/>
  <c r="F219" i="13" a="1"/>
  <c r="F219" i="13" s="1"/>
  <c r="J219" i="13" a="1"/>
  <c r="J219" i="13" s="1"/>
  <c r="Q219" i="13" a="1"/>
  <c r="Q219" i="13" s="1"/>
  <c r="L219" i="13" a="1"/>
  <c r="L219" i="13" s="1"/>
  <c r="P219" i="13" a="1"/>
  <c r="P219" i="13" s="1"/>
  <c r="M219" i="13" a="1"/>
  <c r="M219" i="13" s="1"/>
  <c r="R219" i="13" a="1"/>
  <c r="R219" i="13" s="1"/>
  <c r="K219" i="13" a="1"/>
  <c r="K219" i="13" s="1"/>
  <c r="O219" i="13" a="1"/>
  <c r="O219" i="13" s="1"/>
  <c r="E219" i="13" a="1"/>
  <c r="E219" i="13" s="1"/>
  <c r="P225" i="13" a="1"/>
  <c r="P225" i="13" s="1"/>
  <c r="J225" i="13" a="1"/>
  <c r="J225" i="13" s="1"/>
  <c r="Q225" i="13" a="1"/>
  <c r="Q225" i="13" s="1"/>
  <c r="L225" i="13" a="1"/>
  <c r="L225" i="13" s="1"/>
  <c r="E225" i="13" a="1"/>
  <c r="E225" i="13" s="1"/>
  <c r="F225" i="13" a="1"/>
  <c r="F225" i="13" s="1"/>
  <c r="M225" i="13" a="1"/>
  <c r="M225" i="13" s="1"/>
  <c r="N225" i="13" a="1"/>
  <c r="N225" i="13" s="1"/>
  <c r="K225" i="13" a="1"/>
  <c r="K225" i="13" s="1"/>
  <c r="G225" i="13" a="1"/>
  <c r="G225" i="13" s="1"/>
  <c r="R225" i="13" a="1"/>
  <c r="R225" i="13" s="1"/>
  <c r="H225" i="13" a="1"/>
  <c r="H225" i="13" s="1"/>
  <c r="O225" i="13" a="1"/>
  <c r="O225" i="13" s="1"/>
  <c r="I225" i="13" a="1"/>
  <c r="I225" i="13" s="1"/>
  <c r="O214" i="13" a="1"/>
  <c r="O214" i="13" s="1"/>
  <c r="L214" i="13" a="1"/>
  <c r="L214" i="13" s="1"/>
  <c r="I214" i="13" a="1"/>
  <c r="I214" i="13" s="1"/>
  <c r="E214" i="13" a="1"/>
  <c r="E214" i="13" s="1"/>
  <c r="R214" i="13" a="1"/>
  <c r="R214" i="13" s="1"/>
  <c r="N214" i="13" a="1"/>
  <c r="N214" i="13" s="1"/>
  <c r="K214" i="13" a="1"/>
  <c r="K214" i="13" s="1"/>
  <c r="H214" i="13" a="1"/>
  <c r="H214" i="13" s="1"/>
  <c r="Q214" i="13" a="1"/>
  <c r="Q214" i="13" s="1"/>
  <c r="F214" i="13" a="1"/>
  <c r="F214" i="13" s="1"/>
  <c r="G214" i="13" a="1"/>
  <c r="G214" i="13" s="1"/>
  <c r="P214" i="13" a="1"/>
  <c r="P214" i="13" s="1"/>
  <c r="M214" i="13" a="1"/>
  <c r="M214" i="13" s="1"/>
  <c r="J214" i="13" a="1"/>
  <c r="J214" i="13" s="1"/>
  <c r="R218" i="13" a="1"/>
  <c r="R218" i="13" s="1"/>
  <c r="L218" i="13" a="1"/>
  <c r="L218" i="13" s="1"/>
  <c r="H218" i="13" a="1"/>
  <c r="H218" i="13" s="1"/>
  <c r="Q218" i="13" a="1"/>
  <c r="Q218" i="13" s="1"/>
  <c r="G218" i="13" a="1"/>
  <c r="G218" i="13" s="1"/>
  <c r="J218" i="13" a="1"/>
  <c r="J218" i="13" s="1"/>
  <c r="O218" i="13" a="1"/>
  <c r="O218" i="13" s="1"/>
  <c r="E218" i="13" a="1"/>
  <c r="E218" i="13" s="1"/>
  <c r="M218" i="13" a="1"/>
  <c r="M218" i="13" s="1"/>
  <c r="I218" i="13" a="1"/>
  <c r="I218" i="13" s="1"/>
  <c r="P218" i="13" a="1"/>
  <c r="P218" i="13" s="1"/>
  <c r="K218" i="13" a="1"/>
  <c r="K218" i="13" s="1"/>
  <c r="F218" i="13" a="1"/>
  <c r="F218" i="13" s="1"/>
  <c r="N218" i="13" a="1"/>
  <c r="N218" i="13" s="1"/>
  <c r="CQ126" i="18"/>
  <c r="CL126" i="18"/>
  <c r="N216" i="13" a="1"/>
  <c r="N216" i="13" s="1"/>
  <c r="J216" i="13" a="1"/>
  <c r="J216" i="13" s="1"/>
  <c r="G216" i="13" a="1"/>
  <c r="G216" i="13" s="1"/>
  <c r="R216" i="13" a="1"/>
  <c r="R216" i="13" s="1"/>
  <c r="L216" i="13" a="1"/>
  <c r="L216" i="13" s="1"/>
  <c r="K216" i="13" a="1"/>
  <c r="K216" i="13" s="1"/>
  <c r="P216" i="13" a="1"/>
  <c r="P216" i="13" s="1"/>
  <c r="M216" i="13" a="1"/>
  <c r="M216" i="13" s="1"/>
  <c r="I216" i="13" a="1"/>
  <c r="I216" i="13" s="1"/>
  <c r="F216" i="13" a="1"/>
  <c r="F216" i="13" s="1"/>
  <c r="O216" i="13" a="1"/>
  <c r="O216" i="13" s="1"/>
  <c r="E216" i="13" a="1"/>
  <c r="E216" i="13" s="1"/>
  <c r="Q216" i="13" a="1"/>
  <c r="Q216" i="13" s="1"/>
  <c r="H216" i="13" a="1"/>
  <c r="H216" i="13" s="1"/>
  <c r="AS164" i="18"/>
  <c r="N164" i="18"/>
  <c r="V164" i="18"/>
  <c r="L164" i="18"/>
  <c r="P164" i="18"/>
  <c r="AY164" i="18"/>
  <c r="AT164" i="18"/>
  <c r="BC164" i="18"/>
  <c r="AV164" i="18"/>
  <c r="AW164" i="18"/>
  <c r="Y164" i="18"/>
  <c r="AU164" i="18"/>
  <c r="BJ164" i="18" s="1"/>
  <c r="W164" i="18"/>
  <c r="R164" i="18"/>
  <c r="AX164" i="18"/>
  <c r="O164" i="18"/>
  <c r="S164" i="18"/>
  <c r="U164" i="18"/>
  <c r="BN164" i="18" s="1"/>
  <c r="AQ164" i="18"/>
  <c r="AZ164" i="18"/>
  <c r="M164" i="18"/>
  <c r="BB164" i="18"/>
  <c r="AR164" i="18"/>
  <c r="X164" i="18"/>
  <c r="BA164" i="18"/>
  <c r="T164" i="18"/>
  <c r="AP164" i="18"/>
  <c r="AV170" i="18"/>
  <c r="BA172" i="18"/>
  <c r="N172" i="18"/>
  <c r="R169" i="18"/>
  <c r="R248" i="18" s="1"/>
  <c r="O169" i="18"/>
  <c r="O248" i="18" s="1"/>
  <c r="CF170" i="15"/>
  <c r="AR169" i="18"/>
  <c r="AR248" i="18" s="1"/>
  <c r="BA169" i="18"/>
  <c r="BA248" i="18" s="1"/>
  <c r="Q169" i="18"/>
  <c r="Q248" i="18" s="1"/>
  <c r="S169" i="18"/>
  <c r="S248" i="18" s="1"/>
  <c r="BC170" i="18"/>
  <c r="CL157" i="18"/>
  <c r="CL231" i="18" s="1"/>
  <c r="DO238" i="18"/>
  <c r="CJ126" i="18"/>
  <c r="CJ129" i="18"/>
  <c r="CJ157" i="18"/>
  <c r="CJ231" i="18" s="1"/>
  <c r="CL154" i="18"/>
  <c r="CT154" i="18" s="1"/>
  <c r="CJ154" i="18"/>
  <c r="CJ133" i="18"/>
  <c r="CL133" i="18"/>
  <c r="CT133" i="18" s="1"/>
  <c r="CL150" i="18"/>
  <c r="CT150" i="18" s="1"/>
  <c r="CJ150" i="18"/>
  <c r="CJ146" i="18"/>
  <c r="CL146" i="18"/>
  <c r="CT146" i="18" s="1"/>
  <c r="CJ138" i="18"/>
  <c r="CL138" i="18"/>
  <c r="CT138" i="18" s="1"/>
  <c r="CJ144" i="18"/>
  <c r="CL144" i="18"/>
  <c r="CT144" i="18" s="1"/>
  <c r="CL139" i="18"/>
  <c r="CT139" i="18" s="1"/>
  <c r="CJ139" i="18"/>
  <c r="CL136" i="18"/>
  <c r="CT136" i="18" s="1"/>
  <c r="CJ136" i="18"/>
  <c r="CJ152" i="18"/>
  <c r="CL152" i="18"/>
  <c r="CT152" i="18" s="1"/>
  <c r="CL141" i="18"/>
  <c r="CT141" i="18" s="1"/>
  <c r="CJ141" i="18"/>
  <c r="CL148" i="18"/>
  <c r="CT148" i="18" s="1"/>
  <c r="CJ148" i="18"/>
  <c r="CJ149" i="18"/>
  <c r="CL149" i="18"/>
  <c r="CT149" i="18" s="1"/>
  <c r="CJ137" i="18"/>
  <c r="CL137" i="18"/>
  <c r="CT137" i="18" s="1"/>
  <c r="CL142" i="18"/>
  <c r="CT142" i="18" s="1"/>
  <c r="CJ142" i="18"/>
  <c r="CJ143" i="18"/>
  <c r="CL143" i="18"/>
  <c r="CT143" i="18" s="1"/>
  <c r="DN151" i="18"/>
  <c r="S42" i="11"/>
  <c r="DP151" i="18"/>
  <c r="BW151" i="18"/>
  <c r="E73" i="17"/>
  <c r="E31" i="17" s="1"/>
  <c r="BS230" i="18"/>
  <c r="CJ134" i="18"/>
  <c r="CL134" i="18"/>
  <c r="CT134" i="18" s="1"/>
  <c r="CJ145" i="18"/>
  <c r="CL145" i="18"/>
  <c r="CT145" i="18" s="1"/>
  <c r="CJ135" i="18"/>
  <c r="CL135" i="18"/>
  <c r="CT135" i="18" s="1"/>
  <c r="CJ147" i="18"/>
  <c r="CL147" i="18"/>
  <c r="CT147" i="18" s="1"/>
  <c r="CL140" i="18"/>
  <c r="CT140" i="18" s="1"/>
  <c r="CJ140" i="18"/>
  <c r="AS170" i="18"/>
  <c r="AV169" i="18"/>
  <c r="AV248" i="18" s="1"/>
  <c r="AS169" i="18"/>
  <c r="AS248" i="18" s="1"/>
  <c r="AU172" i="18"/>
  <c r="AU169" i="18"/>
  <c r="AU248" i="18" s="1"/>
  <c r="AS172" i="18"/>
  <c r="AU171" i="18"/>
  <c r="O201" i="18"/>
  <c r="BH201" i="18" s="1"/>
  <c r="O172" i="18"/>
  <c r="L169" i="18"/>
  <c r="L248" i="18" s="1"/>
  <c r="AR196" i="18"/>
  <c r="V170" i="18"/>
  <c r="AV172" i="18"/>
  <c r="AU199" i="18"/>
  <c r="AS199" i="18"/>
  <c r="AS195" i="18"/>
  <c r="R173" i="18"/>
  <c r="Y173" i="18"/>
  <c r="AW172" i="18"/>
  <c r="P172" i="18"/>
  <c r="P198" i="18"/>
  <c r="V198" i="18"/>
  <c r="AV199" i="18"/>
  <c r="P199" i="18"/>
  <c r="AS198" i="18"/>
  <c r="S201" i="18"/>
  <c r="AZ201" i="18"/>
  <c r="AR197" i="18"/>
  <c r="Y201" i="18"/>
  <c r="BR201" i="18" s="1"/>
  <c r="W202" i="18"/>
  <c r="W240" i="18" s="1"/>
  <c r="S173" i="18"/>
  <c r="AZ195" i="18"/>
  <c r="AW169" i="18"/>
  <c r="AW248" i="18" s="1"/>
  <c r="BO173" i="18"/>
  <c r="W201" i="18"/>
  <c r="BC197" i="18"/>
  <c r="AY198" i="18"/>
  <c r="Y197" i="18"/>
  <c r="BC195" i="18"/>
  <c r="BR195" i="18" s="1"/>
  <c r="AV195" i="18"/>
  <c r="BC169" i="18"/>
  <c r="BC248" i="18" s="1"/>
  <c r="V172" i="18"/>
  <c r="V169" i="18"/>
  <c r="V248" i="18" s="1"/>
  <c r="BC172" i="18"/>
  <c r="AT172" i="18"/>
  <c r="AT169" i="18"/>
  <c r="AT248" i="18" s="1"/>
  <c r="P169" i="18"/>
  <c r="P248" i="18" s="1"/>
  <c r="AY169" i="18"/>
  <c r="AY248" i="18" s="1"/>
  <c r="U169" i="18"/>
  <c r="U248" i="18" s="1"/>
  <c r="N198" i="18"/>
  <c r="AT199" i="18"/>
  <c r="AX199" i="18"/>
  <c r="BC199" i="18"/>
  <c r="AR199" i="18"/>
  <c r="V199" i="18"/>
  <c r="Y199" i="18"/>
  <c r="O199" i="18"/>
  <c r="S199" i="18"/>
  <c r="L195" i="18"/>
  <c r="AQ173" i="18"/>
  <c r="BF173" i="18" s="1"/>
  <c r="A209" i="18"/>
  <c r="T168" i="18"/>
  <c r="T184" i="18"/>
  <c r="T189" i="18"/>
  <c r="T191" i="18"/>
  <c r="T181" i="18"/>
  <c r="T178" i="18"/>
  <c r="T177" i="18"/>
  <c r="T243" i="18" s="1"/>
  <c r="T180" i="18"/>
  <c r="T175" i="18"/>
  <c r="T193" i="18"/>
  <c r="T182" i="18"/>
  <c r="T185" i="18"/>
  <c r="T192" i="18"/>
  <c r="T176" i="18"/>
  <c r="T190" i="18"/>
  <c r="T179" i="18"/>
  <c r="T174" i="18"/>
  <c r="T187" i="18"/>
  <c r="T183" i="18"/>
  <c r="T186" i="18"/>
  <c r="T188" i="18"/>
  <c r="BA168" i="18"/>
  <c r="BA186" i="18"/>
  <c r="BA178" i="18"/>
  <c r="BA181" i="18"/>
  <c r="BA187" i="18"/>
  <c r="BA193" i="18"/>
  <c r="BA179" i="18"/>
  <c r="BA192" i="18"/>
  <c r="BA182" i="18"/>
  <c r="BA185" i="18"/>
  <c r="BA183" i="18"/>
  <c r="BA180" i="18"/>
  <c r="BA184" i="18"/>
  <c r="BA191" i="18"/>
  <c r="BA189" i="18"/>
  <c r="BA174" i="18"/>
  <c r="BA175" i="18"/>
  <c r="BA190" i="18"/>
  <c r="BA176" i="18"/>
  <c r="BA242" i="18" s="1"/>
  <c r="BA188" i="18"/>
  <c r="BA177" i="18"/>
  <c r="Q168" i="18"/>
  <c r="Q175" i="18"/>
  <c r="Q193" i="18"/>
  <c r="Q189" i="18"/>
  <c r="Q178" i="18"/>
  <c r="Q244" i="18" s="1"/>
  <c r="Q176" i="18"/>
  <c r="Q242" i="18" s="1"/>
  <c r="Q181" i="18"/>
  <c r="Q180" i="18"/>
  <c r="Q186" i="18"/>
  <c r="Q182" i="18"/>
  <c r="Q190" i="18"/>
  <c r="Q174" i="18"/>
  <c r="Q187" i="18"/>
  <c r="Q191" i="18"/>
  <c r="Q188" i="18"/>
  <c r="Q192" i="18"/>
  <c r="Q185" i="18"/>
  <c r="Q177" i="18"/>
  <c r="Q243" i="18" s="1"/>
  <c r="Q183" i="18"/>
  <c r="Q179" i="18"/>
  <c r="Q184" i="18"/>
  <c r="BA198" i="18"/>
  <c r="Q196" i="18"/>
  <c r="AP196" i="18"/>
  <c r="S168" i="18"/>
  <c r="S177" i="18"/>
  <c r="S243" i="18" s="1"/>
  <c r="S185" i="18"/>
  <c r="S182" i="18"/>
  <c r="S184" i="18"/>
  <c r="S183" i="18"/>
  <c r="S186" i="18"/>
  <c r="S190" i="18"/>
  <c r="S181" i="18"/>
  <c r="S188" i="18"/>
  <c r="S176" i="18"/>
  <c r="S242" i="18" s="1"/>
  <c r="S180" i="18"/>
  <c r="S175" i="18"/>
  <c r="S187" i="18"/>
  <c r="S178" i="18"/>
  <c r="S192" i="18"/>
  <c r="S193" i="18"/>
  <c r="S179" i="18"/>
  <c r="S189" i="18"/>
  <c r="S174" i="18"/>
  <c r="S191" i="18"/>
  <c r="BB169" i="18"/>
  <c r="BB248" i="18" s="1"/>
  <c r="U168" i="18"/>
  <c r="U186" i="18"/>
  <c r="U179" i="18"/>
  <c r="U180" i="18"/>
  <c r="U185" i="18"/>
  <c r="U191" i="18"/>
  <c r="U183" i="18"/>
  <c r="U178" i="18"/>
  <c r="U244" i="18" s="1"/>
  <c r="U189" i="18"/>
  <c r="U177" i="18"/>
  <c r="U243" i="18" s="1"/>
  <c r="U176" i="18"/>
  <c r="U175" i="18"/>
  <c r="U181" i="18"/>
  <c r="U192" i="18"/>
  <c r="U193" i="18"/>
  <c r="U174" i="18"/>
  <c r="U182" i="18"/>
  <c r="U187" i="18"/>
  <c r="U188" i="18"/>
  <c r="U184" i="18"/>
  <c r="U190" i="18"/>
  <c r="U202" i="18"/>
  <c r="U240" i="18" s="1"/>
  <c r="T196" i="18"/>
  <c r="BC168" i="18"/>
  <c r="BC180" i="18"/>
  <c r="BC188" i="18"/>
  <c r="BC186" i="18"/>
  <c r="BC193" i="18"/>
  <c r="BC176" i="18"/>
  <c r="BC182" i="18"/>
  <c r="BC185" i="18"/>
  <c r="BC183" i="18"/>
  <c r="BC181" i="18"/>
  <c r="BC177" i="18"/>
  <c r="BC243" i="18" s="1"/>
  <c r="BC189" i="18"/>
  <c r="BC191" i="18"/>
  <c r="BC179" i="18"/>
  <c r="BC175" i="18"/>
  <c r="BC184" i="18"/>
  <c r="BC174" i="18"/>
  <c r="BC178" i="18"/>
  <c r="BC192" i="18"/>
  <c r="BC187" i="18"/>
  <c r="BC190" i="18"/>
  <c r="L172" i="18"/>
  <c r="AW168" i="18"/>
  <c r="AW174" i="18"/>
  <c r="AW186" i="18"/>
  <c r="AW189" i="18"/>
  <c r="AW184" i="18"/>
  <c r="AW183" i="18"/>
  <c r="AW179" i="18"/>
  <c r="AW175" i="18"/>
  <c r="AW193" i="18"/>
  <c r="AW176" i="18"/>
  <c r="AW185" i="18"/>
  <c r="AW181" i="18"/>
  <c r="AW192" i="18"/>
  <c r="AW191" i="18"/>
  <c r="AW178" i="18"/>
  <c r="AW180" i="18"/>
  <c r="AW188" i="18"/>
  <c r="AW190" i="18"/>
  <c r="AW182" i="18"/>
  <c r="AW187" i="18"/>
  <c r="AW177" i="18"/>
  <c r="T169" i="18"/>
  <c r="T248" i="18" s="1"/>
  <c r="M196" i="18"/>
  <c r="N168" i="18"/>
  <c r="N186" i="18"/>
  <c r="N180" i="18"/>
  <c r="N192" i="18"/>
  <c r="N191" i="18"/>
  <c r="N183" i="18"/>
  <c r="N175" i="18"/>
  <c r="N190" i="18"/>
  <c r="N184" i="18"/>
  <c r="N177" i="18"/>
  <c r="N243" i="18" s="1"/>
  <c r="N188" i="18"/>
  <c r="N185" i="18"/>
  <c r="N187" i="18"/>
  <c r="N178" i="18"/>
  <c r="N181" i="18"/>
  <c r="N176" i="18"/>
  <c r="N179" i="18"/>
  <c r="N182" i="18"/>
  <c r="N193" i="18"/>
  <c r="N189" i="18"/>
  <c r="N174" i="18"/>
  <c r="Q172" i="18"/>
  <c r="T198" i="18"/>
  <c r="Y198" i="18"/>
  <c r="S198" i="18"/>
  <c r="L198" i="18"/>
  <c r="AY199" i="18"/>
  <c r="AW199" i="18"/>
  <c r="T199" i="18"/>
  <c r="U199" i="18"/>
  <c r="M199" i="18"/>
  <c r="BB198" i="18"/>
  <c r="AW198" i="18"/>
  <c r="U195" i="18"/>
  <c r="BN195" i="18" s="1"/>
  <c r="M195" i="18"/>
  <c r="W195" i="18"/>
  <c r="AX201" i="18"/>
  <c r="Q201" i="18"/>
  <c r="AV201" i="18"/>
  <c r="N201" i="18"/>
  <c r="BG201" i="18" s="1"/>
  <c r="AV197" i="18"/>
  <c r="AP197" i="18"/>
  <c r="AP201" i="18"/>
  <c r="U201" i="18"/>
  <c r="AZ198" i="18"/>
  <c r="O202" i="18"/>
  <c r="O240" i="18" s="1"/>
  <c r="W196" i="18"/>
  <c r="X196" i="18"/>
  <c r="BA196" i="18"/>
  <c r="P196" i="18"/>
  <c r="AY202" i="18"/>
  <c r="AY240" i="18" s="1"/>
  <c r="AX173" i="18"/>
  <c r="X173" i="18"/>
  <c r="P173" i="18"/>
  <c r="V202" i="18"/>
  <c r="V240" i="18" s="1"/>
  <c r="AU195" i="18"/>
  <c r="BA195" i="18"/>
  <c r="AR195" i="18"/>
  <c r="BG195" i="18" s="1"/>
  <c r="BB168" i="18"/>
  <c r="BB175" i="18"/>
  <c r="BB188" i="18"/>
  <c r="BB174" i="18"/>
  <c r="BB177" i="18"/>
  <c r="BB180" i="18"/>
  <c r="BB182" i="18"/>
  <c r="BB193" i="18"/>
  <c r="BB184" i="18"/>
  <c r="BB191" i="18"/>
  <c r="BB176" i="18"/>
  <c r="BB190" i="18"/>
  <c r="BB192" i="18"/>
  <c r="BB189" i="18"/>
  <c r="BB179" i="18"/>
  <c r="BB186" i="18"/>
  <c r="BB181" i="18"/>
  <c r="BB185" i="18"/>
  <c r="BB187" i="18"/>
  <c r="BB183" i="18"/>
  <c r="BB178" i="18"/>
  <c r="AP168" i="18"/>
  <c r="AP193" i="18"/>
  <c r="AP181" i="18"/>
  <c r="AP192" i="18"/>
  <c r="AP185" i="18"/>
  <c r="AP189" i="18"/>
  <c r="AP190" i="18"/>
  <c r="AP174" i="18"/>
  <c r="AP239" i="18" s="1"/>
  <c r="AP177" i="18"/>
  <c r="AP186" i="18"/>
  <c r="AP182" i="18"/>
  <c r="AP180" i="18"/>
  <c r="AP183" i="18"/>
  <c r="AP191" i="18"/>
  <c r="AP187" i="18"/>
  <c r="AP179" i="18"/>
  <c r="AP178" i="18"/>
  <c r="AP184" i="18"/>
  <c r="AP176" i="18"/>
  <c r="AP188" i="18"/>
  <c r="AP175" i="18"/>
  <c r="X198" i="18"/>
  <c r="Q202" i="18"/>
  <c r="Q240" i="18" s="1"/>
  <c r="X202" i="18"/>
  <c r="X240" i="18" s="1"/>
  <c r="Y106" i="20"/>
  <c r="Y31" i="20" s="1"/>
  <c r="DO205" i="18"/>
  <c r="AY168" i="18"/>
  <c r="AY185" i="18"/>
  <c r="AY175" i="18"/>
  <c r="AY176" i="18"/>
  <c r="AY190" i="18"/>
  <c r="AY188" i="18"/>
  <c r="AY178" i="18"/>
  <c r="BN178" i="18" s="1"/>
  <c r="AY189" i="18"/>
  <c r="AY180" i="18"/>
  <c r="AY187" i="18"/>
  <c r="AY186" i="18"/>
  <c r="AY177" i="18"/>
  <c r="AY184" i="18"/>
  <c r="AY193" i="18"/>
  <c r="AY182" i="18"/>
  <c r="AY179" i="18"/>
  <c r="AY174" i="18"/>
  <c r="AY191" i="18"/>
  <c r="AY183" i="18"/>
  <c r="AY192" i="18"/>
  <c r="AY181" i="18"/>
  <c r="L168" i="18"/>
  <c r="L185" i="18"/>
  <c r="L188" i="18"/>
  <c r="L189" i="18"/>
  <c r="L186" i="18"/>
  <c r="L193" i="18"/>
  <c r="L183" i="18"/>
  <c r="L190" i="18"/>
  <c r="L174" i="18"/>
  <c r="L187" i="18"/>
  <c r="L181" i="18"/>
  <c r="L191" i="18"/>
  <c r="L180" i="18"/>
  <c r="L175" i="18"/>
  <c r="L178" i="18"/>
  <c r="L244" i="18" s="1"/>
  <c r="L176" i="18"/>
  <c r="L179" i="18"/>
  <c r="L182" i="18"/>
  <c r="L192" i="18"/>
  <c r="L177" i="18"/>
  <c r="L243" i="18" s="1"/>
  <c r="L184" i="18"/>
  <c r="BB172" i="18"/>
  <c r="U196" i="18"/>
  <c r="R172" i="18"/>
  <c r="M172" i="18"/>
  <c r="W169" i="18"/>
  <c r="W248" i="18" s="1"/>
  <c r="X169" i="18"/>
  <c r="X248" i="18" s="1"/>
  <c r="AQ168" i="18"/>
  <c r="AQ190" i="18"/>
  <c r="AQ179" i="18"/>
  <c r="AQ184" i="18"/>
  <c r="AQ187" i="18"/>
  <c r="AQ188" i="18"/>
  <c r="AQ193" i="18"/>
  <c r="AQ189" i="18"/>
  <c r="AQ192" i="18"/>
  <c r="AQ181" i="18"/>
  <c r="AQ186" i="18"/>
  <c r="AQ185" i="18"/>
  <c r="AQ180" i="18"/>
  <c r="AQ191" i="18"/>
  <c r="AQ174" i="18"/>
  <c r="AQ183" i="18"/>
  <c r="AQ176" i="18"/>
  <c r="AQ242" i="18" s="1"/>
  <c r="AQ182" i="18"/>
  <c r="AQ178" i="18"/>
  <c r="AQ175" i="18"/>
  <c r="AQ177" i="18"/>
  <c r="AQ243" i="18" s="1"/>
  <c r="U198" i="18"/>
  <c r="O198" i="18"/>
  <c r="Q198" i="18"/>
  <c r="AZ199" i="18"/>
  <c r="AP199" i="18"/>
  <c r="R199" i="18"/>
  <c r="Q199" i="18"/>
  <c r="BJ199" i="18" s="1"/>
  <c r="AX198" i="18"/>
  <c r="CS231" i="18"/>
  <c r="V195" i="18"/>
  <c r="Q195" i="18"/>
  <c r="P201" i="18"/>
  <c r="AY201" i="18"/>
  <c r="AW201" i="18"/>
  <c r="M201" i="18"/>
  <c r="BF201" i="18" s="1"/>
  <c r="BC198" i="18"/>
  <c r="AV198" i="18"/>
  <c r="N202" i="18"/>
  <c r="N240" i="18" s="1"/>
  <c r="AQ196" i="18"/>
  <c r="S202" i="18"/>
  <c r="L197" i="18"/>
  <c r="BB202" i="18"/>
  <c r="BB240" i="18" s="1"/>
  <c r="AW195" i="18"/>
  <c r="BL195" i="18" s="1"/>
  <c r="AY173" i="18"/>
  <c r="BB173" i="18"/>
  <c r="T173" i="18"/>
  <c r="BC202" i="18"/>
  <c r="BC240" i="18" s="1"/>
  <c r="AQ195" i="18"/>
  <c r="N173" i="18"/>
  <c r="L173" i="18"/>
  <c r="M168" i="18"/>
  <c r="M188" i="18"/>
  <c r="M187" i="18"/>
  <c r="M185" i="18"/>
  <c r="M180" i="18"/>
  <c r="M175" i="18"/>
  <c r="M179" i="18"/>
  <c r="M192" i="18"/>
  <c r="M189" i="18"/>
  <c r="M182" i="18"/>
  <c r="M174" i="18"/>
  <c r="M181" i="18"/>
  <c r="M176" i="18"/>
  <c r="M183" i="18"/>
  <c r="M190" i="18"/>
  <c r="M184" i="18"/>
  <c r="M191" i="18"/>
  <c r="M193" i="18"/>
  <c r="M186" i="18"/>
  <c r="M177" i="18"/>
  <c r="M243" i="18" s="1"/>
  <c r="M178" i="18"/>
  <c r="X168" i="18"/>
  <c r="X175" i="18"/>
  <c r="X177" i="18"/>
  <c r="X243" i="18" s="1"/>
  <c r="X193" i="18"/>
  <c r="X179" i="18"/>
  <c r="X192" i="18"/>
  <c r="X181" i="18"/>
  <c r="X185" i="18"/>
  <c r="X176" i="18"/>
  <c r="X188" i="18"/>
  <c r="X184" i="18"/>
  <c r="X174" i="18"/>
  <c r="X189" i="18"/>
  <c r="X178" i="18"/>
  <c r="X244" i="18" s="1"/>
  <c r="X182" i="18"/>
  <c r="X183" i="18"/>
  <c r="X180" i="18"/>
  <c r="X186" i="18"/>
  <c r="X191" i="18"/>
  <c r="X190" i="18"/>
  <c r="X187" i="18"/>
  <c r="BB201" i="18"/>
  <c r="Q173" i="18"/>
  <c r="BJ173" i="18" s="1"/>
  <c r="AP195" i="18"/>
  <c r="AZ168" i="18"/>
  <c r="AZ175" i="18"/>
  <c r="AZ182" i="18"/>
  <c r="AZ192" i="18"/>
  <c r="AZ186" i="18"/>
  <c r="AZ174" i="18"/>
  <c r="AZ179" i="18"/>
  <c r="AZ191" i="18"/>
  <c r="AZ181" i="18"/>
  <c r="AZ185" i="18"/>
  <c r="AZ178" i="18"/>
  <c r="AZ176" i="18"/>
  <c r="AZ177" i="18"/>
  <c r="AZ193" i="18"/>
  <c r="AZ187" i="18"/>
  <c r="AZ183" i="18"/>
  <c r="AZ180" i="18"/>
  <c r="AZ184" i="18"/>
  <c r="AZ188" i="18"/>
  <c r="AZ190" i="18"/>
  <c r="AZ189" i="18"/>
  <c r="AZ202" i="18"/>
  <c r="AZ240" i="18" s="1"/>
  <c r="Y168" i="18"/>
  <c r="Y176" i="18"/>
  <c r="Y242" i="18" s="1"/>
  <c r="Y183" i="18"/>
  <c r="Y180" i="18"/>
  <c r="Y187" i="18"/>
  <c r="Y191" i="18"/>
  <c r="Y177" i="18"/>
  <c r="Y243" i="18" s="1"/>
  <c r="Y193" i="18"/>
  <c r="Y174" i="18"/>
  <c r="Y178" i="18"/>
  <c r="Y189" i="18"/>
  <c r="Y188" i="18"/>
  <c r="Y175" i="18"/>
  <c r="Y182" i="18"/>
  <c r="Y181" i="18"/>
  <c r="Y190" i="18"/>
  <c r="Y186" i="18"/>
  <c r="Y185" i="18"/>
  <c r="Y179" i="18"/>
  <c r="Y192" i="18"/>
  <c r="Y184" i="18"/>
  <c r="Y202" i="18"/>
  <c r="Y240" i="18" s="1"/>
  <c r="AP169" i="18"/>
  <c r="AP248" i="18" s="1"/>
  <c r="Y172" i="18"/>
  <c r="AX168" i="18"/>
  <c r="AX180" i="18"/>
  <c r="AX186" i="18"/>
  <c r="AX191" i="18"/>
  <c r="AX178" i="18"/>
  <c r="AX188" i="18"/>
  <c r="AX179" i="18"/>
  <c r="AX190" i="18"/>
  <c r="AX175" i="18"/>
  <c r="AX183" i="18"/>
  <c r="AX182" i="18"/>
  <c r="AX181" i="18"/>
  <c r="AX189" i="18"/>
  <c r="AX176" i="18"/>
  <c r="AX185" i="18"/>
  <c r="AX192" i="18"/>
  <c r="AX174" i="18"/>
  <c r="AX177" i="18"/>
  <c r="AX193" i="18"/>
  <c r="AX187" i="18"/>
  <c r="AX184" i="18"/>
  <c r="AX202" i="18"/>
  <c r="AX240" i="18" s="1"/>
  <c r="T172" i="18"/>
  <c r="R168" i="18"/>
  <c r="R186" i="18"/>
  <c r="R181" i="18"/>
  <c r="R176" i="18"/>
  <c r="R242" i="18" s="1"/>
  <c r="R180" i="18"/>
  <c r="R192" i="18"/>
  <c r="R184" i="18"/>
  <c r="R182" i="18"/>
  <c r="R179" i="18"/>
  <c r="R190" i="18"/>
  <c r="R189" i="18"/>
  <c r="R187" i="18"/>
  <c r="R175" i="18"/>
  <c r="R178" i="18"/>
  <c r="R244" i="18" s="1"/>
  <c r="R185" i="18"/>
  <c r="R191" i="18"/>
  <c r="R177" i="18"/>
  <c r="R243" i="18" s="1"/>
  <c r="R188" i="18"/>
  <c r="R193" i="18"/>
  <c r="R183" i="18"/>
  <c r="R174" i="18"/>
  <c r="R202" i="18"/>
  <c r="R240" i="18" s="1"/>
  <c r="AX172" i="18"/>
  <c r="AT168" i="18"/>
  <c r="AT175" i="18"/>
  <c r="AT187" i="18"/>
  <c r="AT174" i="18"/>
  <c r="AT190" i="18"/>
  <c r="AT192" i="18"/>
  <c r="AT184" i="18"/>
  <c r="AT188" i="18"/>
  <c r="AT181" i="18"/>
  <c r="AT193" i="18"/>
  <c r="AT191" i="18"/>
  <c r="AT176" i="18"/>
  <c r="AT189" i="18"/>
  <c r="AT185" i="18"/>
  <c r="AT180" i="18"/>
  <c r="AT178" i="18"/>
  <c r="AT244" i="18" s="1"/>
  <c r="AT179" i="18"/>
  <c r="AT182" i="18"/>
  <c r="AT183" i="18"/>
  <c r="AT186" i="18"/>
  <c r="AT177" i="18"/>
  <c r="AT202" i="18"/>
  <c r="O168" i="18"/>
  <c r="O176" i="18"/>
  <c r="O242" i="18" s="1"/>
  <c r="O182" i="18"/>
  <c r="O179" i="18"/>
  <c r="O186" i="18"/>
  <c r="O190" i="18"/>
  <c r="O192" i="18"/>
  <c r="O193" i="18"/>
  <c r="O191" i="18"/>
  <c r="O174" i="18"/>
  <c r="O185" i="18"/>
  <c r="O178" i="18"/>
  <c r="O244" i="18" s="1"/>
  <c r="O187" i="18"/>
  <c r="O184" i="18"/>
  <c r="O183" i="18"/>
  <c r="O181" i="18"/>
  <c r="O175" i="18"/>
  <c r="O180" i="18"/>
  <c r="O177" i="18"/>
  <c r="O243" i="18" s="1"/>
  <c r="O188" i="18"/>
  <c r="O189" i="18"/>
  <c r="W168" i="18"/>
  <c r="W177" i="18"/>
  <c r="W243" i="18" s="1"/>
  <c r="W187" i="18"/>
  <c r="W181" i="18"/>
  <c r="W184" i="18"/>
  <c r="W192" i="18"/>
  <c r="W175" i="18"/>
  <c r="W183" i="18"/>
  <c r="W180" i="18"/>
  <c r="W174" i="18"/>
  <c r="W179" i="18"/>
  <c r="W182" i="18"/>
  <c r="W191" i="18"/>
  <c r="W188" i="18"/>
  <c r="W178" i="18"/>
  <c r="W189" i="18"/>
  <c r="W176" i="18"/>
  <c r="W186" i="18"/>
  <c r="W185" i="18"/>
  <c r="W193" i="18"/>
  <c r="W190" i="18"/>
  <c r="N169" i="18"/>
  <c r="N248" i="18" s="1"/>
  <c r="AP172" i="18"/>
  <c r="AX169" i="18"/>
  <c r="AX248" i="18" s="1"/>
  <c r="AZ169" i="18"/>
  <c r="AR168" i="18"/>
  <c r="AR181" i="18"/>
  <c r="AR190" i="18"/>
  <c r="AR183" i="18"/>
  <c r="AR178" i="18"/>
  <c r="AR179" i="18"/>
  <c r="AR174" i="18"/>
  <c r="AR187" i="18"/>
  <c r="AR193" i="18"/>
  <c r="AR186" i="18"/>
  <c r="AR180" i="18"/>
  <c r="AR175" i="18"/>
  <c r="AR185" i="18"/>
  <c r="AR192" i="18"/>
  <c r="AR189" i="18"/>
  <c r="AR176" i="18"/>
  <c r="AR242" i="18" s="1"/>
  <c r="AR184" i="18"/>
  <c r="AR191" i="18"/>
  <c r="AR177" i="18"/>
  <c r="AR243" i="18" s="1"/>
  <c r="AR182" i="18"/>
  <c r="AR188" i="18"/>
  <c r="W172" i="18"/>
  <c r="Y169" i="18"/>
  <c r="Y248" i="18" s="1"/>
  <c r="AQ172" i="18"/>
  <c r="V168" i="18"/>
  <c r="BO168" i="18" s="1"/>
  <c r="V175" i="18"/>
  <c r="BO175" i="18" s="1"/>
  <c r="V191" i="18"/>
  <c r="V183" i="18"/>
  <c r="BO183" i="18" s="1"/>
  <c r="V176" i="18"/>
  <c r="V193" i="18"/>
  <c r="BO193" i="18" s="1"/>
  <c r="V184" i="18"/>
  <c r="V187" i="18"/>
  <c r="V189" i="18"/>
  <c r="V188" i="18"/>
  <c r="V181" i="18"/>
  <c r="V180" i="18"/>
  <c r="V179" i="18"/>
  <c r="V177" i="18"/>
  <c r="V243" i="18" s="1"/>
  <c r="V192" i="18"/>
  <c r="V182" i="18"/>
  <c r="V185" i="18"/>
  <c r="V190" i="18"/>
  <c r="V178" i="18"/>
  <c r="V174" i="18"/>
  <c r="V186" i="18"/>
  <c r="BO186" i="18" s="1"/>
  <c r="AR172" i="18"/>
  <c r="AV168" i="18"/>
  <c r="AV182" i="18"/>
  <c r="AV186" i="18"/>
  <c r="AV181" i="18"/>
  <c r="AV174" i="18"/>
  <c r="AV188" i="18"/>
  <c r="AV183" i="18"/>
  <c r="AV177" i="18"/>
  <c r="AV175" i="18"/>
  <c r="AV192" i="18"/>
  <c r="AV185" i="18"/>
  <c r="AV190" i="18"/>
  <c r="AV184" i="18"/>
  <c r="AV187" i="18"/>
  <c r="AV179" i="18"/>
  <c r="AV191" i="18"/>
  <c r="AV180" i="18"/>
  <c r="AV176" i="18"/>
  <c r="AV178" i="18"/>
  <c r="AV189" i="18"/>
  <c r="AV193" i="18"/>
  <c r="AV202" i="18"/>
  <c r="AV240" i="18" s="1"/>
  <c r="L170" i="18"/>
  <c r="U172" i="18"/>
  <c r="BN172" i="18" s="1"/>
  <c r="X172" i="18"/>
  <c r="AU168" i="18"/>
  <c r="AU187" i="18"/>
  <c r="AU177" i="18"/>
  <c r="AU193" i="18"/>
  <c r="AU183" i="18"/>
  <c r="AU184" i="18"/>
  <c r="AU181" i="18"/>
  <c r="AU175" i="18"/>
  <c r="AU191" i="18"/>
  <c r="AU185" i="18"/>
  <c r="AU188" i="18"/>
  <c r="AU192" i="18"/>
  <c r="AU189" i="18"/>
  <c r="AU176" i="18"/>
  <c r="AU179" i="18"/>
  <c r="AU186" i="18"/>
  <c r="AU182" i="18"/>
  <c r="AU178" i="18"/>
  <c r="AU174" i="18"/>
  <c r="AU180" i="18"/>
  <c r="AU190" i="18"/>
  <c r="AU202" i="18"/>
  <c r="AU240" i="18" s="1"/>
  <c r="P168" i="18"/>
  <c r="P193" i="18"/>
  <c r="P187" i="18"/>
  <c r="P175" i="18"/>
  <c r="P191" i="18"/>
  <c r="P180" i="18"/>
  <c r="BI180" i="18" s="1"/>
  <c r="P183" i="18"/>
  <c r="P189" i="18"/>
  <c r="P192" i="18"/>
  <c r="BI192" i="18" s="1"/>
  <c r="P190" i="18"/>
  <c r="P181" i="18"/>
  <c r="P179" i="18"/>
  <c r="BI179" i="18" s="1"/>
  <c r="P185" i="18"/>
  <c r="BI185" i="18" s="1"/>
  <c r="P174" i="18"/>
  <c r="P239" i="18" s="1"/>
  <c r="P177" i="18"/>
  <c r="P243" i="18" s="1"/>
  <c r="P188" i="18"/>
  <c r="P178" i="18"/>
  <c r="P244" i="18" s="1"/>
  <c r="P176" i="18"/>
  <c r="P186" i="18"/>
  <c r="BI186" i="18" s="1"/>
  <c r="P182" i="18"/>
  <c r="P184" i="18"/>
  <c r="AZ172" i="18"/>
  <c r="M169" i="18"/>
  <c r="N170" i="18"/>
  <c r="S172" i="18"/>
  <c r="AS168" i="18"/>
  <c r="AS183" i="18"/>
  <c r="AS188" i="18"/>
  <c r="AS186" i="18"/>
  <c r="AS190" i="18"/>
  <c r="AS180" i="18"/>
  <c r="AS193" i="18"/>
  <c r="AS192" i="18"/>
  <c r="AS182" i="18"/>
  <c r="AS176" i="18"/>
  <c r="AS174" i="18"/>
  <c r="AS187" i="18"/>
  <c r="AS179" i="18"/>
  <c r="AS184" i="18"/>
  <c r="AS189" i="18"/>
  <c r="AS191" i="18"/>
  <c r="AS181" i="18"/>
  <c r="AS178" i="18"/>
  <c r="AS175" i="18"/>
  <c r="AS177" i="18"/>
  <c r="AS243" i="18" s="1"/>
  <c r="AS185" i="18"/>
  <c r="AS202" i="18"/>
  <c r="AS240" i="18" s="1"/>
  <c r="W198" i="18"/>
  <c r="M198" i="18"/>
  <c r="BA199" i="18"/>
  <c r="BB199" i="18"/>
  <c r="AQ199" i="18"/>
  <c r="L199" i="18"/>
  <c r="N199" i="18"/>
  <c r="W199" i="18"/>
  <c r="X199" i="18"/>
  <c r="AR198" i="18"/>
  <c r="AT198" i="18"/>
  <c r="AQ198" i="18"/>
  <c r="T195" i="18"/>
  <c r="BM195" i="18" s="1"/>
  <c r="R195" i="18"/>
  <c r="O195" i="18"/>
  <c r="P195" i="18"/>
  <c r="AU201" i="18"/>
  <c r="V201" i="18"/>
  <c r="AT201" i="18"/>
  <c r="X201" i="18"/>
  <c r="BB197" i="18"/>
  <c r="L201" i="18"/>
  <c r="BA201" i="18"/>
  <c r="T201" i="18"/>
  <c r="AU198" i="18"/>
  <c r="AP198" i="18"/>
  <c r="T202" i="18"/>
  <c r="T240" i="18" s="1"/>
  <c r="R197" i="18"/>
  <c r="M202" i="18"/>
  <c r="M240" i="18" s="1"/>
  <c r="AP202" i="18"/>
  <c r="AP240" i="18" s="1"/>
  <c r="U173" i="18"/>
  <c r="AT173" i="18"/>
  <c r="AT237" i="18" s="1"/>
  <c r="R198" i="18"/>
  <c r="AR173" i="18"/>
  <c r="AR202" i="18"/>
  <c r="AR240" i="18" s="1"/>
  <c r="AS173" i="18"/>
  <c r="BH173" i="18" s="1"/>
  <c r="BA202" i="18"/>
  <c r="BA240" i="18" s="1"/>
  <c r="BB195" i="18"/>
  <c r="BQ195" i="18" s="1"/>
  <c r="AQ202" i="18"/>
  <c r="AQ240" i="18" s="1"/>
  <c r="BA173" i="18"/>
  <c r="BP173" i="18" s="1"/>
  <c r="AT195" i="18"/>
  <c r="AW173" i="18"/>
  <c r="BC173" i="18"/>
  <c r="DP4" i="18"/>
  <c r="CY4" i="18"/>
  <c r="CY242" i="18" s="1"/>
  <c r="CC4" i="18"/>
  <c r="CC206" i="18" s="1"/>
  <c r="BS206" i="18"/>
  <c r="N244" i="18"/>
  <c r="J213" i="18"/>
  <c r="AW200" i="18"/>
  <c r="AW203" i="18"/>
  <c r="U200" i="18"/>
  <c r="U203" i="18"/>
  <c r="Q200" i="18"/>
  <c r="Q203" i="18"/>
  <c r="AU200" i="18"/>
  <c r="AU203" i="18"/>
  <c r="AZ170" i="18"/>
  <c r="N200" i="18"/>
  <c r="N239" i="18" s="1"/>
  <c r="N203" i="18"/>
  <c r="BC200" i="18"/>
  <c r="BC203" i="18"/>
  <c r="M200" i="18"/>
  <c r="M203" i="18"/>
  <c r="L200" i="18"/>
  <c r="L203" i="18"/>
  <c r="AZ200" i="18"/>
  <c r="AZ203" i="18"/>
  <c r="AP200" i="18"/>
  <c r="AP203" i="18"/>
  <c r="AR200" i="18"/>
  <c r="AR203" i="18"/>
  <c r="AU170" i="18"/>
  <c r="R170" i="18"/>
  <c r="O170" i="18"/>
  <c r="BC196" i="18"/>
  <c r="V197" i="18"/>
  <c r="O196" i="18"/>
  <c r="U197" i="18"/>
  <c r="P197" i="18"/>
  <c r="BA200" i="18"/>
  <c r="BA203" i="18"/>
  <c r="AX170" i="18"/>
  <c r="X200" i="18"/>
  <c r="X203" i="18"/>
  <c r="AV200" i="18"/>
  <c r="AV203" i="18"/>
  <c r="AY200" i="18"/>
  <c r="AY203" i="18"/>
  <c r="AY170" i="18"/>
  <c r="Y200" i="18"/>
  <c r="Y239" i="18" s="1"/>
  <c r="Y203" i="18"/>
  <c r="Y170" i="18"/>
  <c r="AW170" i="18"/>
  <c r="AT170" i="18"/>
  <c r="Q170" i="18"/>
  <c r="P170" i="18"/>
  <c r="S170" i="18"/>
  <c r="BB170" i="18"/>
  <c r="AW197" i="18"/>
  <c r="AQ197" i="18"/>
  <c r="AS197" i="18"/>
  <c r="AY196" i="18"/>
  <c r="N197" i="18"/>
  <c r="L196" i="18"/>
  <c r="W197" i="18"/>
  <c r="T197" i="18"/>
  <c r="AW196" i="18"/>
  <c r="V196" i="18"/>
  <c r="BB196" i="18"/>
  <c r="N196" i="18"/>
  <c r="AX200" i="18"/>
  <c r="AX203" i="18"/>
  <c r="AP170" i="18"/>
  <c r="P200" i="18"/>
  <c r="P203" i="18"/>
  <c r="O200" i="18"/>
  <c r="O203" i="18"/>
  <c r="T200" i="18"/>
  <c r="T203" i="18"/>
  <c r="S200" i="18"/>
  <c r="S203" i="18"/>
  <c r="AR170" i="18"/>
  <c r="T170" i="18"/>
  <c r="M170" i="18"/>
  <c r="AT200" i="18"/>
  <c r="AT203" i="18"/>
  <c r="AX197" i="18"/>
  <c r="O197" i="18"/>
  <c r="AV196" i="18"/>
  <c r="R196" i="18"/>
  <c r="AU196" i="18"/>
  <c r="AZ196" i="18"/>
  <c r="V200" i="18"/>
  <c r="V203" i="18"/>
  <c r="AQ200" i="18"/>
  <c r="AQ203" i="18"/>
  <c r="BA170" i="18"/>
  <c r="R200" i="18"/>
  <c r="R203" i="18"/>
  <c r="BB200" i="18"/>
  <c r="BB203" i="18"/>
  <c r="W200" i="18"/>
  <c r="W203" i="18"/>
  <c r="AS200" i="18"/>
  <c r="AS203" i="18"/>
  <c r="U170" i="18"/>
  <c r="W170" i="18"/>
  <c r="X170" i="18"/>
  <c r="AQ170" i="18"/>
  <c r="BA197" i="18"/>
  <c r="AZ197" i="18"/>
  <c r="AY197" i="18"/>
  <c r="AY244" i="18" s="1"/>
  <c r="AU197" i="18"/>
  <c r="AX196" i="18"/>
  <c r="Q197" i="18"/>
  <c r="AS196" i="18"/>
  <c r="Y196" i="18"/>
  <c r="X197" i="18"/>
  <c r="AT196" i="18"/>
  <c r="S196" i="18"/>
  <c r="S197" i="18"/>
  <c r="M197" i="18"/>
  <c r="AT251" i="18"/>
  <c r="J215" i="18"/>
  <c r="J214" i="18"/>
  <c r="BI209" i="18"/>
  <c r="BK209" i="18"/>
  <c r="BJ209" i="18"/>
  <c r="BN209" i="18"/>
  <c r="BP209" i="18"/>
  <c r="BD209" i="18"/>
  <c r="CF171" i="15"/>
  <c r="BA171" i="18"/>
  <c r="BR209" i="18"/>
  <c r="O194" i="18"/>
  <c r="CF176" i="15"/>
  <c r="BA194" i="18"/>
  <c r="AX171" i="18"/>
  <c r="BC167" i="18"/>
  <c r="O167" i="18"/>
  <c r="O237" i="18" s="1"/>
  <c r="O171" i="18"/>
  <c r="AX167" i="18"/>
  <c r="AY194" i="18"/>
  <c r="AZ171" i="18"/>
  <c r="U194" i="18"/>
  <c r="AR167" i="18"/>
  <c r="Q167" i="18"/>
  <c r="AT194" i="18"/>
  <c r="BC171" i="18"/>
  <c r="BC235" i="18" s="1"/>
  <c r="X194" i="18"/>
  <c r="Q194" i="18"/>
  <c r="X171" i="18"/>
  <c r="S171" i="18"/>
  <c r="Y171" i="18"/>
  <c r="AU167" i="18"/>
  <c r="AU237" i="18" s="1"/>
  <c r="V167" i="18"/>
  <c r="V237" i="18" s="1"/>
  <c r="AU194" i="18"/>
  <c r="AP194" i="18"/>
  <c r="AT171" i="18"/>
  <c r="AT215" i="18" s="1"/>
  <c r="AS171" i="18"/>
  <c r="AS235" i="18" s="1"/>
  <c r="AQ167" i="18"/>
  <c r="T167" i="18"/>
  <c r="U167" i="18"/>
  <c r="CF175" i="15"/>
  <c r="R194" i="18"/>
  <c r="S194" i="18"/>
  <c r="M194" i="18"/>
  <c r="N194" i="18"/>
  <c r="M171" i="18"/>
  <c r="R171" i="18"/>
  <c r="V171" i="18"/>
  <c r="AR194" i="18"/>
  <c r="BC194" i="18"/>
  <c r="AW194" i="18"/>
  <c r="BB194" i="18"/>
  <c r="AV167" i="18"/>
  <c r="AV237" i="18" s="1"/>
  <c r="X167" i="18"/>
  <c r="N167" i="18"/>
  <c r="AW171" i="18"/>
  <c r="AQ171" i="18"/>
  <c r="AY171" i="18"/>
  <c r="BB171" i="18"/>
  <c r="L167" i="18"/>
  <c r="AS167" i="18"/>
  <c r="Y167" i="18"/>
  <c r="P194" i="18"/>
  <c r="L194" i="18"/>
  <c r="Y194" i="18"/>
  <c r="T171" i="18"/>
  <c r="L171" i="18"/>
  <c r="L238" i="18" s="1"/>
  <c r="P171" i="18"/>
  <c r="S167" i="18"/>
  <c r="P167" i="18"/>
  <c r="P249" i="18" s="1"/>
  <c r="J164" i="18"/>
  <c r="J212" i="18" s="1"/>
  <c r="H55" i="12"/>
  <c r="C8" i="22" s="1"/>
  <c r="AQ194" i="18"/>
  <c r="AX194" i="18"/>
  <c r="AP171" i="18"/>
  <c r="AW167" i="18"/>
  <c r="M167" i="18"/>
  <c r="BS125" i="18"/>
  <c r="V194" i="18"/>
  <c r="W194" i="18"/>
  <c r="T194" i="18"/>
  <c r="W171" i="18"/>
  <c r="Q171" i="18"/>
  <c r="Q235" i="18" s="1"/>
  <c r="N171" i="18"/>
  <c r="U171" i="18"/>
  <c r="U235" i="18" s="1"/>
  <c r="AZ194" i="18"/>
  <c r="AV194" i="18"/>
  <c r="AS194" i="18"/>
  <c r="AZ167" i="18"/>
  <c r="AZ237" i="18" s="1"/>
  <c r="AY167" i="18"/>
  <c r="W167" i="18"/>
  <c r="W249" i="18" s="1"/>
  <c r="AR171" i="18"/>
  <c r="AV171" i="18"/>
  <c r="AV235" i="18" s="1"/>
  <c r="R167" i="18"/>
  <c r="BB167" i="18"/>
  <c r="AP167" i="18"/>
  <c r="AP249" i="18" s="1"/>
  <c r="BA167" i="18"/>
  <c r="CT155" i="18"/>
  <c r="CI124" i="18"/>
  <c r="CI209" i="18" s="1"/>
  <c r="S15" i="11"/>
  <c r="S197" i="13"/>
  <c r="S228" i="13"/>
  <c r="BP165" i="18"/>
  <c r="BH165" i="18"/>
  <c r="CF165" i="15"/>
  <c r="BQ165" i="18"/>
  <c r="BL165" i="18"/>
  <c r="BO165" i="18"/>
  <c r="BR165" i="18"/>
  <c r="BK165" i="18"/>
  <c r="BE165" i="18"/>
  <c r="Z165" i="18"/>
  <c r="BG165" i="18"/>
  <c r="AU166" i="18"/>
  <c r="AU250" i="18" s="1"/>
  <c r="AU165" i="18"/>
  <c r="BJ165" i="18" s="1"/>
  <c r="BM165" i="18"/>
  <c r="AT166" i="18"/>
  <c r="AT250" i="18" s="1"/>
  <c r="AT165" i="18"/>
  <c r="BN165" i="18"/>
  <c r="CF164" i="15"/>
  <c r="S158" i="13"/>
  <c r="CF168" i="15"/>
  <c r="CF174" i="15"/>
  <c r="CF173" i="15"/>
  <c r="S198" i="13"/>
  <c r="CF163" i="15"/>
  <c r="AR345" i="18" s="1"/>
  <c r="CF167" i="15"/>
  <c r="CF162" i="15"/>
  <c r="AY166" i="18"/>
  <c r="AY250" i="18" s="1"/>
  <c r="AQ166" i="18"/>
  <c r="AQ250" i="18" s="1"/>
  <c r="S157" i="13"/>
  <c r="CF166" i="15"/>
  <c r="CG124" i="18"/>
  <c r="CH124" i="18"/>
  <c r="CE124" i="18"/>
  <c r="CE209" i="18" s="1"/>
  <c r="CF124" i="18"/>
  <c r="CF209" i="18" s="1"/>
  <c r="CB124" i="18"/>
  <c r="CB209" i="18" s="1"/>
  <c r="BZ124" i="18"/>
  <c r="BT124" i="18"/>
  <c r="CC124" i="18"/>
  <c r="BB166" i="18"/>
  <c r="BB250" i="18" s="1"/>
  <c r="AS166" i="18"/>
  <c r="AS250" i="18" s="1"/>
  <c r="S232" i="13"/>
  <c r="AP166" i="18"/>
  <c r="AP250" i="18" s="1"/>
  <c r="S196" i="13"/>
  <c r="AW166" i="18"/>
  <c r="AW250" i="18" s="1"/>
  <c r="S193" i="13"/>
  <c r="S166" i="13"/>
  <c r="S202" i="13"/>
  <c r="AR166" i="18"/>
  <c r="AR250" i="18" s="1"/>
  <c r="S162" i="13"/>
  <c r="S195" i="13"/>
  <c r="AZ166" i="18"/>
  <c r="AZ250" i="18" s="1"/>
  <c r="BC166" i="18"/>
  <c r="BC250" i="18" s="1"/>
  <c r="AX166" i="18"/>
  <c r="AX250" i="18" s="1"/>
  <c r="S206" i="13"/>
  <c r="AV166" i="18"/>
  <c r="AV250" i="18" s="1"/>
  <c r="S194" i="13"/>
  <c r="BA166" i="18"/>
  <c r="BA250" i="18" s="1"/>
  <c r="S167" i="13"/>
  <c r="S207" i="13"/>
  <c r="Q166" i="18"/>
  <c r="Q250" i="18" s="1"/>
  <c r="N166" i="18"/>
  <c r="N250" i="18" s="1"/>
  <c r="X166" i="18"/>
  <c r="X250" i="18" s="1"/>
  <c r="S166" i="18"/>
  <c r="S250" i="18" s="1"/>
  <c r="V166" i="18"/>
  <c r="V250" i="18" s="1"/>
  <c r="Y166" i="18"/>
  <c r="Y250" i="18" s="1"/>
  <c r="R166" i="18"/>
  <c r="R250" i="18" s="1"/>
  <c r="L166" i="18"/>
  <c r="L250" i="18" s="1"/>
  <c r="O166" i="18"/>
  <c r="O250" i="18" s="1"/>
  <c r="W166" i="18"/>
  <c r="W250" i="18" s="1"/>
  <c r="P166" i="18"/>
  <c r="P250" i="18" s="1"/>
  <c r="T166" i="18"/>
  <c r="T250" i="18" s="1"/>
  <c r="M166" i="18"/>
  <c r="M250" i="18" s="1"/>
  <c r="U166" i="18"/>
  <c r="U250" i="18" s="1"/>
  <c r="BU124" i="18"/>
  <c r="BW124" i="18"/>
  <c r="CA124" i="18"/>
  <c r="BV124" i="18"/>
  <c r="S155" i="13"/>
  <c r="S154" i="13"/>
  <c r="S156" i="13"/>
  <c r="S153" i="13"/>
  <c r="DP124" i="18"/>
  <c r="CV124" i="18"/>
  <c r="BY124" i="18"/>
  <c r="Y244" i="18" l="1"/>
  <c r="N237" i="18"/>
  <c r="BB237" i="18"/>
  <c r="AR237" i="18"/>
  <c r="M237" i="18"/>
  <c r="W244" i="18"/>
  <c r="W237" i="18"/>
  <c r="BB244" i="18"/>
  <c r="CN4" i="18"/>
  <c r="CN206" i="18" s="1"/>
  <c r="BY206" i="18"/>
  <c r="M244" i="18"/>
  <c r="X237" i="18"/>
  <c r="S244" i="18"/>
  <c r="AP237" i="18"/>
  <c r="BC237" i="18"/>
  <c r="T237" i="18"/>
  <c r="AP244" i="18"/>
  <c r="AX237" i="18"/>
  <c r="AW237" i="18"/>
  <c r="AY237" i="18"/>
  <c r="T244" i="18"/>
  <c r="S237" i="18"/>
  <c r="BV125" i="18"/>
  <c r="CH125" i="18"/>
  <c r="CS125" i="18" s="1"/>
  <c r="M242" i="18"/>
  <c r="M248" i="18"/>
  <c r="AZ242" i="18"/>
  <c r="AZ248" i="18"/>
  <c r="U251" i="18"/>
  <c r="U249" i="18"/>
  <c r="T251" i="18"/>
  <c r="T249" i="18"/>
  <c r="AX251" i="18"/>
  <c r="AX249" i="18"/>
  <c r="AW251" i="18"/>
  <c r="AW249" i="18"/>
  <c r="L251" i="18"/>
  <c r="L249" i="18"/>
  <c r="AU251" i="18"/>
  <c r="AU249" i="18"/>
  <c r="Q251" i="18"/>
  <c r="Q249" i="18"/>
  <c r="BC251" i="18"/>
  <c r="BC249" i="18"/>
  <c r="BB251" i="18"/>
  <c r="BB249" i="18"/>
  <c r="N251" i="18"/>
  <c r="N249" i="18"/>
  <c r="AR251" i="18"/>
  <c r="AR249" i="18"/>
  <c r="R251" i="18"/>
  <c r="R249" i="18"/>
  <c r="AY251" i="18"/>
  <c r="AY249" i="18"/>
  <c r="Y251" i="18"/>
  <c r="Y249" i="18"/>
  <c r="X251" i="18"/>
  <c r="X249" i="18"/>
  <c r="AQ251" i="18"/>
  <c r="AQ249" i="18"/>
  <c r="BA251" i="18"/>
  <c r="BA249" i="18"/>
  <c r="AZ251" i="18"/>
  <c r="AZ249" i="18"/>
  <c r="M251" i="18"/>
  <c r="M249" i="18"/>
  <c r="S251" i="18"/>
  <c r="S249" i="18"/>
  <c r="AS251" i="18"/>
  <c r="AS249" i="18"/>
  <c r="AV251" i="18"/>
  <c r="AV249" i="18"/>
  <c r="V251" i="18"/>
  <c r="V249" i="18"/>
  <c r="O251" i="18"/>
  <c r="O249" i="18"/>
  <c r="W251" i="18"/>
  <c r="P251" i="18"/>
  <c r="CT129" i="18"/>
  <c r="BT125" i="18"/>
  <c r="CK125" i="18" s="1"/>
  <c r="BW125" i="18"/>
  <c r="BW209" i="18" s="1"/>
  <c r="AP235" i="18"/>
  <c r="BB235" i="18"/>
  <c r="Y235" i="18"/>
  <c r="AR235" i="18"/>
  <c r="W235" i="18"/>
  <c r="S235" i="18"/>
  <c r="AR263" i="18"/>
  <c r="AR264" i="18" s="1"/>
  <c r="I14" i="12" s="1"/>
  <c r="P233" i="18"/>
  <c r="CW125" i="18"/>
  <c r="CA125" i="18"/>
  <c r="CO125" i="18" s="1"/>
  <c r="CU125" i="18"/>
  <c r="BY125" i="18"/>
  <c r="BY209" i="18" s="1"/>
  <c r="BQ182" i="18"/>
  <c r="BF184" i="18"/>
  <c r="BF185" i="18"/>
  <c r="BQ190" i="18"/>
  <c r="BQ183" i="18"/>
  <c r="BQ174" i="18"/>
  <c r="BQ193" i="18"/>
  <c r="BF176" i="18"/>
  <c r="BF180" i="18"/>
  <c r="BF168" i="18"/>
  <c r="CT126" i="18"/>
  <c r="BQ175" i="18"/>
  <c r="BF186" i="18"/>
  <c r="BF174" i="18"/>
  <c r="BF179" i="18"/>
  <c r="BQ168" i="18"/>
  <c r="BF182" i="18"/>
  <c r="BF188" i="18"/>
  <c r="CT157" i="18"/>
  <c r="CT231" i="18" s="1"/>
  <c r="CD125" i="18"/>
  <c r="CD209" i="18" s="1"/>
  <c r="BZ125" i="18"/>
  <c r="BI164" i="18"/>
  <c r="BK164" i="18"/>
  <c r="BO164" i="18"/>
  <c r="BH164" i="18"/>
  <c r="BR164" i="18"/>
  <c r="BL164" i="18"/>
  <c r="BE164" i="18"/>
  <c r="BG164" i="18"/>
  <c r="BP164" i="18"/>
  <c r="BF164" i="18"/>
  <c r="BM164" i="18"/>
  <c r="BQ164" i="18"/>
  <c r="Z164" i="18"/>
  <c r="BD164" i="18"/>
  <c r="BK170" i="18"/>
  <c r="F17" i="22"/>
  <c r="G17" i="22" s="1"/>
  <c r="D261" i="18" a="1"/>
  <c r="J204" i="18"/>
  <c r="P247" i="18"/>
  <c r="R247" i="18"/>
  <c r="T247" i="18"/>
  <c r="AV247" i="18"/>
  <c r="AR247" i="18"/>
  <c r="N247" i="18"/>
  <c r="BI189" i="18"/>
  <c r="BP172" i="18"/>
  <c r="BG172" i="18"/>
  <c r="Q234" i="18"/>
  <c r="R239" i="18"/>
  <c r="AQ237" i="18"/>
  <c r="BC239" i="18"/>
  <c r="BC245" i="18"/>
  <c r="AV239" i="18"/>
  <c r="AT245" i="18"/>
  <c r="AW239" i="18"/>
  <c r="AT243" i="18"/>
  <c r="L239" i="18"/>
  <c r="S221" i="13"/>
  <c r="AU244" i="18"/>
  <c r="W239" i="18"/>
  <c r="BA243" i="18"/>
  <c r="AX244" i="18"/>
  <c r="AX239" i="18"/>
  <c r="BR170" i="18"/>
  <c r="BA239" i="18"/>
  <c r="Y237" i="18"/>
  <c r="U242" i="18"/>
  <c r="AW242" i="18"/>
  <c r="M234" i="18"/>
  <c r="AP247" i="18"/>
  <c r="AW243" i="18"/>
  <c r="P234" i="18"/>
  <c r="AT233" i="18"/>
  <c r="T239" i="18"/>
  <c r="L235" i="18"/>
  <c r="M239" i="18"/>
  <c r="AU239" i="18"/>
  <c r="U239" i="18"/>
  <c r="AU243" i="18"/>
  <c r="N242" i="18"/>
  <c r="AT247" i="18"/>
  <c r="AP243" i="18"/>
  <c r="AV243" i="18"/>
  <c r="V235" i="18"/>
  <c r="AT235" i="18"/>
  <c r="BA244" i="18"/>
  <c r="AS239" i="18"/>
  <c r="AQ244" i="18"/>
  <c r="BH170" i="18"/>
  <c r="AR239" i="18"/>
  <c r="AZ239" i="18"/>
  <c r="L237" i="18"/>
  <c r="P242" i="18"/>
  <c r="V242" i="18"/>
  <c r="AQ239" i="18"/>
  <c r="AW244" i="18"/>
  <c r="X242" i="18"/>
  <c r="AV244" i="18"/>
  <c r="AX243" i="18"/>
  <c r="AZ247" i="18"/>
  <c r="W247" i="18"/>
  <c r="AT246" i="18"/>
  <c r="BO178" i="18"/>
  <c r="V244" i="18"/>
  <c r="AZ244" i="18"/>
  <c r="AS244" i="18"/>
  <c r="BC244" i="18"/>
  <c r="AR244" i="18"/>
  <c r="AZ243" i="18"/>
  <c r="BB243" i="18"/>
  <c r="AY243" i="18"/>
  <c r="AX242" i="18"/>
  <c r="AT242" i="18"/>
  <c r="L242" i="18"/>
  <c r="AV242" i="18"/>
  <c r="W242" i="18"/>
  <c r="BB242" i="18"/>
  <c r="BC242" i="18"/>
  <c r="AU242" i="18"/>
  <c r="AS242" i="18"/>
  <c r="AP242" i="18"/>
  <c r="T242" i="18"/>
  <c r="AY242" i="18"/>
  <c r="V239" i="18"/>
  <c r="AT239" i="18"/>
  <c r="AY239" i="18"/>
  <c r="X239" i="18"/>
  <c r="BB239" i="18"/>
  <c r="S239" i="18"/>
  <c r="O239" i="18"/>
  <c r="Q237" i="18"/>
  <c r="BK173" i="18"/>
  <c r="R237" i="18"/>
  <c r="BA237" i="18"/>
  <c r="P237" i="18"/>
  <c r="AS237" i="18"/>
  <c r="U237" i="18"/>
  <c r="T235" i="18"/>
  <c r="R235" i="18"/>
  <c r="O235" i="18"/>
  <c r="P235" i="18"/>
  <c r="N235" i="18"/>
  <c r="U234" i="18"/>
  <c r="W234" i="18"/>
  <c r="BL202" i="18"/>
  <c r="BL240" i="18" s="1"/>
  <c r="S240" i="18"/>
  <c r="BI202" i="18"/>
  <c r="BI240" i="18" s="1"/>
  <c r="AT240" i="18"/>
  <c r="S16" i="11"/>
  <c r="S55" i="11" s="1"/>
  <c r="CC125" i="18"/>
  <c r="CJ4" i="18"/>
  <c r="CJ206" i="18" s="1"/>
  <c r="CQ4" i="18"/>
  <c r="CT4" i="18" s="1"/>
  <c r="CQ124" i="18"/>
  <c r="BK198" i="18"/>
  <c r="BR183" i="18"/>
  <c r="CL151" i="18"/>
  <c r="CJ151" i="18"/>
  <c r="CJ230" i="18" s="1"/>
  <c r="BW230" i="18"/>
  <c r="DN204" i="18"/>
  <c r="DN238" i="18"/>
  <c r="BL170" i="18"/>
  <c r="BN196" i="18"/>
  <c r="BM201" i="18"/>
  <c r="BP180" i="18"/>
  <c r="BR178" i="18"/>
  <c r="BG198" i="18"/>
  <c r="BR180" i="18"/>
  <c r="BJ180" i="18"/>
  <c r="BP182" i="18"/>
  <c r="BR175" i="18"/>
  <c r="BJ168" i="18"/>
  <c r="BP190" i="18"/>
  <c r="BP191" i="18"/>
  <c r="BR185" i="18"/>
  <c r="BO199" i="18"/>
  <c r="BI196" i="18"/>
  <c r="BP177" i="18"/>
  <c r="BR177" i="18"/>
  <c r="BR243" i="18" s="1"/>
  <c r="BQ186" i="18"/>
  <c r="BE197" i="18"/>
  <c r="BP201" i="18"/>
  <c r="BP243" i="18" s="1"/>
  <c r="BO198" i="18"/>
  <c r="BR173" i="18"/>
  <c r="BK169" i="18"/>
  <c r="BK248" i="18" s="1"/>
  <c r="BP202" i="18"/>
  <c r="BP240" i="18" s="1"/>
  <c r="BH172" i="18"/>
  <c r="BO170" i="18"/>
  <c r="BQ201" i="18"/>
  <c r="BH169" i="18"/>
  <c r="BH248" i="18" s="1"/>
  <c r="BI199" i="18"/>
  <c r="BE169" i="18"/>
  <c r="BE248" i="18" s="1"/>
  <c r="BH195" i="18"/>
  <c r="BJ172" i="18"/>
  <c r="BP169" i="18"/>
  <c r="BP248" i="18" s="1"/>
  <c r="BK195" i="18"/>
  <c r="BE199" i="18"/>
  <c r="BR172" i="18"/>
  <c r="BQ187" i="18"/>
  <c r="BQ176" i="18"/>
  <c r="BQ179" i="18"/>
  <c r="BE170" i="18"/>
  <c r="BQ196" i="18"/>
  <c r="BQ172" i="18"/>
  <c r="BH168" i="18"/>
  <c r="BN201" i="18"/>
  <c r="BF196" i="18"/>
  <c r="BK172" i="18"/>
  <c r="BI198" i="18"/>
  <c r="BG196" i="18"/>
  <c r="BP184" i="18"/>
  <c r="BP168" i="18"/>
  <c r="BR182" i="18"/>
  <c r="BL173" i="18"/>
  <c r="BO201" i="18"/>
  <c r="BL172" i="18"/>
  <c r="BP175" i="18"/>
  <c r="BP187" i="18"/>
  <c r="BR192" i="18"/>
  <c r="BR188" i="18"/>
  <c r="BR169" i="18"/>
  <c r="BR248" i="18" s="1"/>
  <c r="BI195" i="18"/>
  <c r="BP199" i="18"/>
  <c r="BQ199" i="18"/>
  <c r="BI177" i="18"/>
  <c r="BI181" i="18"/>
  <c r="BI183" i="18"/>
  <c r="BI187" i="18"/>
  <c r="BO174" i="18"/>
  <c r="BO182" i="18"/>
  <c r="BO187" i="18"/>
  <c r="BG176" i="18"/>
  <c r="BP176" i="18"/>
  <c r="BH174" i="18"/>
  <c r="BH190" i="18"/>
  <c r="BK193" i="18"/>
  <c r="BK185" i="18"/>
  <c r="BK184" i="18"/>
  <c r="BR202" i="18"/>
  <c r="BR240" i="18" s="1"/>
  <c r="BR191" i="18"/>
  <c r="BQ180" i="18"/>
  <c r="BQ189" i="18"/>
  <c r="BF193" i="18"/>
  <c r="BR198" i="18"/>
  <c r="BE168" i="18"/>
  <c r="BF199" i="18"/>
  <c r="BN199" i="18"/>
  <c r="BG193" i="18"/>
  <c r="BG188" i="18"/>
  <c r="BG180" i="18"/>
  <c r="BL190" i="18"/>
  <c r="BN183" i="18"/>
  <c r="BL193" i="18"/>
  <c r="BL184" i="18"/>
  <c r="BL168" i="18"/>
  <c r="BG169" i="18"/>
  <c r="BR174" i="18"/>
  <c r="BR168" i="18"/>
  <c r="BJ201" i="18"/>
  <c r="BI168" i="18"/>
  <c r="BK168" i="18"/>
  <c r="BR190" i="18"/>
  <c r="BR193" i="18"/>
  <c r="BQ198" i="18"/>
  <c r="BG168" i="18"/>
  <c r="BN168" i="18"/>
  <c r="BH182" i="18"/>
  <c r="BI190" i="18"/>
  <c r="BO181" i="18"/>
  <c r="BQ185" i="18"/>
  <c r="BF178" i="18"/>
  <c r="BJ195" i="18"/>
  <c r="BM199" i="18"/>
  <c r="BM168" i="18"/>
  <c r="BL199" i="18"/>
  <c r="BG199" i="18"/>
  <c r="BK199" i="18"/>
  <c r="BH199" i="18"/>
  <c r="BR197" i="18"/>
  <c r="BL169" i="18"/>
  <c r="BL248" i="18" s="1"/>
  <c r="BQ169" i="18"/>
  <c r="BQ248" i="18" s="1"/>
  <c r="BD199" i="18"/>
  <c r="BJ169" i="18"/>
  <c r="BJ248" i="18" s="1"/>
  <c r="BE198" i="18"/>
  <c r="BE172" i="18"/>
  <c r="BJ171" i="18"/>
  <c r="BJ235" i="18" s="1"/>
  <c r="BL201" i="18"/>
  <c r="BI169" i="18"/>
  <c r="BI248" i="18" s="1"/>
  <c r="BJ198" i="18"/>
  <c r="BP188" i="18"/>
  <c r="BP174" i="18"/>
  <c r="BP192" i="18"/>
  <c r="BR179" i="18"/>
  <c r="BR181" i="18"/>
  <c r="BQ188" i="18"/>
  <c r="BH198" i="18"/>
  <c r="BL178" i="18"/>
  <c r="BR199" i="18"/>
  <c r="BD198" i="18"/>
  <c r="BD172" i="18"/>
  <c r="BK181" i="18"/>
  <c r="BD195" i="18"/>
  <c r="BF183" i="18"/>
  <c r="BF175" i="18"/>
  <c r="BQ202" i="18"/>
  <c r="BQ240" i="18" s="1"/>
  <c r="BD179" i="18"/>
  <c r="BO202" i="18"/>
  <c r="BO240" i="18" s="1"/>
  <c r="BP196" i="18"/>
  <c r="BG181" i="18"/>
  <c r="BN176" i="18"/>
  <c r="BN179" i="18"/>
  <c r="BL175" i="18"/>
  <c r="BL181" i="18"/>
  <c r="BO172" i="18"/>
  <c r="BI193" i="18"/>
  <c r="BO184" i="18"/>
  <c r="BP181" i="18"/>
  <c r="BF189" i="18"/>
  <c r="BI172" i="18"/>
  <c r="BK197" i="18"/>
  <c r="BP186" i="18"/>
  <c r="BJ177" i="18"/>
  <c r="BJ176" i="18"/>
  <c r="BJ175" i="18"/>
  <c r="BM186" i="18"/>
  <c r="BM185" i="18"/>
  <c r="BM191" i="18"/>
  <c r="Z198" i="18"/>
  <c r="BN169" i="18"/>
  <c r="BN248" i="18" s="1"/>
  <c r="BD168" i="18"/>
  <c r="BF197" i="18"/>
  <c r="BF244" i="18" s="1"/>
  <c r="Z202" i="18"/>
  <c r="Z240" i="18" s="1"/>
  <c r="BP193" i="18"/>
  <c r="BH189" i="18"/>
  <c r="BH175" i="18"/>
  <c r="BK186" i="18"/>
  <c r="Z201" i="18"/>
  <c r="BF172" i="18"/>
  <c r="BD201" i="18"/>
  <c r="BM198" i="18"/>
  <c r="BQ197" i="18"/>
  <c r="BG170" i="18"/>
  <c r="BE201" i="18"/>
  <c r="BH191" i="18"/>
  <c r="BI184" i="18"/>
  <c r="BI191" i="18"/>
  <c r="BO177" i="18"/>
  <c r="BO188" i="18"/>
  <c r="BH188" i="18"/>
  <c r="BH193" i="18"/>
  <c r="BK179" i="18"/>
  <c r="BQ191" i="18"/>
  <c r="BF177" i="18"/>
  <c r="BF243" i="18" s="1"/>
  <c r="BF192" i="18"/>
  <c r="BM173" i="18"/>
  <c r="BO195" i="18"/>
  <c r="BH180" i="18"/>
  <c r="Z179" i="18"/>
  <c r="BS179" i="18" s="1"/>
  <c r="BE179" i="18"/>
  <c r="BD180" i="18"/>
  <c r="BG175" i="18"/>
  <c r="BN188" i="18"/>
  <c r="BK201" i="18"/>
  <c r="BI201" i="18"/>
  <c r="Z199" i="18"/>
  <c r="Z172" i="18"/>
  <c r="BD169" i="18"/>
  <c r="BD248" i="18" s="1"/>
  <c r="BF198" i="18"/>
  <c r="BN173" i="18"/>
  <c r="BM202" i="18"/>
  <c r="BM240" i="18" s="1"/>
  <c r="BI176" i="18"/>
  <c r="BI174" i="18"/>
  <c r="BO192" i="18"/>
  <c r="BO191" i="18"/>
  <c r="BP189" i="18"/>
  <c r="BP183" i="18"/>
  <c r="BH187" i="18"/>
  <c r="BH186" i="18"/>
  <c r="BK202" i="18"/>
  <c r="BK240" i="18" s="1"/>
  <c r="BK188" i="18"/>
  <c r="BK190" i="18"/>
  <c r="BK192" i="18"/>
  <c r="BR184" i="18"/>
  <c r="BR186" i="18"/>
  <c r="BR187" i="18"/>
  <c r="BF191" i="18"/>
  <c r="BE177" i="18"/>
  <c r="Z177" i="18"/>
  <c r="BE176" i="18"/>
  <c r="Z176" i="18"/>
  <c r="Z191" i="18"/>
  <c r="BE191" i="18"/>
  <c r="Z190" i="18"/>
  <c r="BE190" i="18"/>
  <c r="BE189" i="18"/>
  <c r="Z189" i="18"/>
  <c r="BJ202" i="18"/>
  <c r="BJ240" i="18" s="1"/>
  <c r="BD176" i="18"/>
  <c r="BD187" i="18"/>
  <c r="BD182" i="18"/>
  <c r="BD190" i="18"/>
  <c r="BD181" i="18"/>
  <c r="BI173" i="18"/>
  <c r="BH202" i="18"/>
  <c r="BH240" i="18" s="1"/>
  <c r="BG182" i="18"/>
  <c r="BG178" i="18"/>
  <c r="BG177" i="18"/>
  <c r="BG243" i="18" s="1"/>
  <c r="BG183" i="18"/>
  <c r="BG186" i="18"/>
  <c r="BN202" i="18"/>
  <c r="BN240" i="18" s="1"/>
  <c r="BN187" i="18"/>
  <c r="BN192" i="18"/>
  <c r="BN177" i="18"/>
  <c r="BN191" i="18"/>
  <c r="BN186" i="18"/>
  <c r="BL174" i="18"/>
  <c r="BL239" i="18" s="1"/>
  <c r="BL192" i="18"/>
  <c r="BL180" i="18"/>
  <c r="BL182" i="18"/>
  <c r="BJ184" i="18"/>
  <c r="BJ185" i="18"/>
  <c r="BJ187" i="18"/>
  <c r="BJ186" i="18"/>
  <c r="BJ178" i="18"/>
  <c r="BP185" i="18"/>
  <c r="BM183" i="18"/>
  <c r="BM190" i="18"/>
  <c r="BM182" i="18"/>
  <c r="BM177" i="18"/>
  <c r="BM189" i="18"/>
  <c r="BH184" i="18"/>
  <c r="BH176" i="18"/>
  <c r="BE184" i="18"/>
  <c r="Z184" i="18"/>
  <c r="BE174" i="18"/>
  <c r="Z174" i="18"/>
  <c r="BD188" i="18"/>
  <c r="BD174" i="18"/>
  <c r="BF195" i="18"/>
  <c r="BN193" i="18"/>
  <c r="BM180" i="18"/>
  <c r="BD173" i="18"/>
  <c r="BN198" i="18"/>
  <c r="BD202" i="18"/>
  <c r="BD240" i="18" s="1"/>
  <c r="BI178" i="18"/>
  <c r="BK189" i="18"/>
  <c r="BO190" i="18"/>
  <c r="BP178" i="18"/>
  <c r="BP179" i="18"/>
  <c r="BH181" i="18"/>
  <c r="BH178" i="18"/>
  <c r="BH179" i="18"/>
  <c r="BK174" i="18"/>
  <c r="BK177" i="18"/>
  <c r="BK175" i="18"/>
  <c r="BK180" i="18"/>
  <c r="BQ184" i="18"/>
  <c r="BQ181" i="18"/>
  <c r="BQ177" i="18"/>
  <c r="BQ243" i="18" s="1"/>
  <c r="BF181" i="18"/>
  <c r="BE173" i="18"/>
  <c r="Z173" i="18"/>
  <c r="BG202" i="18"/>
  <c r="BG240" i="18" s="1"/>
  <c r="BE192" i="18"/>
  <c r="Z192" i="18"/>
  <c r="Z178" i="18"/>
  <c r="BE178" i="18"/>
  <c r="Z181" i="18"/>
  <c r="BE181" i="18"/>
  <c r="BE183" i="18"/>
  <c r="Z183" i="18"/>
  <c r="Z188" i="18"/>
  <c r="BE188" i="18"/>
  <c r="BD184" i="18"/>
  <c r="BD191" i="18"/>
  <c r="BD186" i="18"/>
  <c r="BD189" i="18"/>
  <c r="BD193" i="18"/>
  <c r="BQ173" i="18"/>
  <c r="BL198" i="18"/>
  <c r="BG174" i="18"/>
  <c r="BG179" i="18"/>
  <c r="BG187" i="18"/>
  <c r="BG184" i="18"/>
  <c r="BG191" i="18"/>
  <c r="BR176" i="18"/>
  <c r="BR242" i="18" s="1"/>
  <c r="BN190" i="18"/>
  <c r="BN182" i="18"/>
  <c r="BN181" i="18"/>
  <c r="BN189" i="18"/>
  <c r="BN185" i="18"/>
  <c r="BL189" i="18"/>
  <c r="BL176" i="18"/>
  <c r="BL186" i="18"/>
  <c r="BL185" i="18"/>
  <c r="BJ179" i="18"/>
  <c r="BJ192" i="18"/>
  <c r="BJ174" i="18"/>
  <c r="BJ189" i="18"/>
  <c r="BM187" i="18"/>
  <c r="BM176" i="18"/>
  <c r="BM193" i="18"/>
  <c r="BM178" i="18"/>
  <c r="BM184" i="18"/>
  <c r="BE180" i="18"/>
  <c r="Z180" i="18"/>
  <c r="Z186" i="18"/>
  <c r="BE186" i="18"/>
  <c r="BD192" i="18"/>
  <c r="BL191" i="18"/>
  <c r="BJ191" i="18"/>
  <c r="BJ182" i="18"/>
  <c r="Z195" i="18"/>
  <c r="BP198" i="18"/>
  <c r="Z168" i="18"/>
  <c r="BE195" i="18"/>
  <c r="BF169" i="18"/>
  <c r="BM169" i="18"/>
  <c r="BM248" i="18" s="1"/>
  <c r="Z169" i="18"/>
  <c r="Z248" i="18" s="1"/>
  <c r="BO169" i="18"/>
  <c r="BO248" i="18" s="1"/>
  <c r="BE202" i="18"/>
  <c r="BF202" i="18"/>
  <c r="BF240" i="18" s="1"/>
  <c r="BI182" i="18"/>
  <c r="BI188" i="18"/>
  <c r="BI175" i="18"/>
  <c r="BK178" i="18"/>
  <c r="BO185" i="18"/>
  <c r="BO179" i="18"/>
  <c r="BO176" i="18"/>
  <c r="BH177" i="18"/>
  <c r="BH243" i="18" s="1"/>
  <c r="BH183" i="18"/>
  <c r="BH185" i="18"/>
  <c r="BH192" i="18"/>
  <c r="BK183" i="18"/>
  <c r="BK191" i="18"/>
  <c r="BK187" i="18"/>
  <c r="BK182" i="18"/>
  <c r="BK176" i="18"/>
  <c r="BM172" i="18"/>
  <c r="BM179" i="18"/>
  <c r="BR189" i="18"/>
  <c r="BO189" i="18"/>
  <c r="BO180" i="18"/>
  <c r="BQ178" i="18"/>
  <c r="BQ244" i="18" s="1"/>
  <c r="BQ192" i="18"/>
  <c r="BF190" i="18"/>
  <c r="BF187" i="18"/>
  <c r="BG173" i="18"/>
  <c r="BE182" i="18"/>
  <c r="Z182" i="18"/>
  <c r="BE175" i="18"/>
  <c r="Z175" i="18"/>
  <c r="Z187" i="18"/>
  <c r="BE187" i="18"/>
  <c r="BE193" i="18"/>
  <c r="Z193" i="18"/>
  <c r="BE185" i="18"/>
  <c r="Z185" i="18"/>
  <c r="BD175" i="18"/>
  <c r="BD178" i="18"/>
  <c r="BD183" i="18"/>
  <c r="BD177" i="18"/>
  <c r="BD185" i="18"/>
  <c r="BP195" i="18"/>
  <c r="BG189" i="18"/>
  <c r="BG185" i="18"/>
  <c r="BG190" i="18"/>
  <c r="BG192" i="18"/>
  <c r="BN184" i="18"/>
  <c r="BN174" i="18"/>
  <c r="BN175" i="18"/>
  <c r="BN180" i="18"/>
  <c r="BL179" i="18"/>
  <c r="BL187" i="18"/>
  <c r="BL188" i="18"/>
  <c r="BL183" i="18"/>
  <c r="BL177" i="18"/>
  <c r="BJ183" i="18"/>
  <c r="BJ188" i="18"/>
  <c r="BJ190" i="18"/>
  <c r="BJ181" i="18"/>
  <c r="BJ193" i="18"/>
  <c r="BM188" i="18"/>
  <c r="BM174" i="18"/>
  <c r="BM239" i="18" s="1"/>
  <c r="BM192" i="18"/>
  <c r="BM175" i="18"/>
  <c r="BM181" i="18"/>
  <c r="BJ170" i="18"/>
  <c r="AQ213" i="18"/>
  <c r="BQ200" i="18"/>
  <c r="BQ239" i="18" s="1"/>
  <c r="W213" i="18"/>
  <c r="AT214" i="18"/>
  <c r="AU213" i="18"/>
  <c r="M213" i="18"/>
  <c r="U213" i="18"/>
  <c r="AW213" i="18"/>
  <c r="AX213" i="18"/>
  <c r="AP213" i="18"/>
  <c r="AZ213" i="18"/>
  <c r="BL196" i="18"/>
  <c r="BP170" i="18"/>
  <c r="BL200" i="18"/>
  <c r="BH197" i="18"/>
  <c r="BO200" i="18"/>
  <c r="BN170" i="18"/>
  <c r="L213" i="18"/>
  <c r="BQ170" i="18"/>
  <c r="Y234" i="18"/>
  <c r="BE200" i="18"/>
  <c r="BP200" i="18"/>
  <c r="AU235" i="18"/>
  <c r="BB213" i="18"/>
  <c r="BC213" i="18"/>
  <c r="BG197" i="18"/>
  <c r="BL197" i="18"/>
  <c r="BA235" i="18"/>
  <c r="Y213" i="18"/>
  <c r="BI200" i="18"/>
  <c r="AW235" i="18"/>
  <c r="O213" i="18"/>
  <c r="N213" i="18"/>
  <c r="BK203" i="18"/>
  <c r="AX245" i="18"/>
  <c r="BI170" i="18"/>
  <c r="AR213" i="18"/>
  <c r="BJ197" i="18"/>
  <c r="R213" i="18"/>
  <c r="BF170" i="18"/>
  <c r="BO196" i="18"/>
  <c r="AZ235" i="18"/>
  <c r="BD197" i="18"/>
  <c r="BO197" i="18"/>
  <c r="AR245" i="18"/>
  <c r="BM197" i="18"/>
  <c r="AT213" i="18"/>
  <c r="S213" i="18"/>
  <c r="X213" i="18"/>
  <c r="Z197" i="18"/>
  <c r="BD196" i="18"/>
  <c r="BP203" i="18"/>
  <c r="BL203" i="18"/>
  <c r="Z170" i="18"/>
  <c r="BD200" i="18"/>
  <c r="BK200" i="18"/>
  <c r="BH200" i="18"/>
  <c r="AY213" i="18"/>
  <c r="P213" i="18"/>
  <c r="BD170" i="18"/>
  <c r="AV213" i="18"/>
  <c r="BM170" i="18"/>
  <c r="BF203" i="18"/>
  <c r="BD203" i="18"/>
  <c r="BE203" i="18"/>
  <c r="Z203" i="18"/>
  <c r="BJ200" i="18"/>
  <c r="Q239" i="18"/>
  <c r="BM196" i="18"/>
  <c r="N234" i="18"/>
  <c r="BN197" i="18"/>
  <c r="BN244" i="18" s="1"/>
  <c r="Z200" i="18"/>
  <c r="BM200" i="18"/>
  <c r="BP197" i="18"/>
  <c r="AY235" i="18"/>
  <c r="AQ235" i="18"/>
  <c r="AS213" i="18"/>
  <c r="Q213" i="18"/>
  <c r="CY202" i="18"/>
  <c r="BO203" i="18"/>
  <c r="BK196" i="18"/>
  <c r="AX235" i="18"/>
  <c r="BH203" i="18"/>
  <c r="X235" i="18"/>
  <c r="BN203" i="18"/>
  <c r="Z196" i="18"/>
  <c r="BE196" i="18"/>
  <c r="BQ203" i="18"/>
  <c r="BH196" i="18"/>
  <c r="BG203" i="18"/>
  <c r="L234" i="18"/>
  <c r="S234" i="18"/>
  <c r="BO239" i="18"/>
  <c r="BF200" i="18"/>
  <c r="BF239" i="18" s="1"/>
  <c r="BN200" i="18"/>
  <c r="BI197" i="18"/>
  <c r="M235" i="18"/>
  <c r="BR200" i="18"/>
  <c r="V213" i="18"/>
  <c r="BA213" i="18"/>
  <c r="T213" i="18"/>
  <c r="BR196" i="18"/>
  <c r="BM203" i="18"/>
  <c r="BI203" i="18"/>
  <c r="BR203" i="18"/>
  <c r="BG200" i="18"/>
  <c r="BJ203" i="18"/>
  <c r="BJ196" i="18"/>
  <c r="V234" i="18"/>
  <c r="X234" i="18"/>
  <c r="O234" i="18"/>
  <c r="T234" i="18"/>
  <c r="AQ247" i="18"/>
  <c r="BC247" i="18"/>
  <c r="AU247" i="18"/>
  <c r="U247" i="18"/>
  <c r="O247" i="18"/>
  <c r="BA247" i="18"/>
  <c r="AX247" i="18"/>
  <c r="AY247" i="18"/>
  <c r="X247" i="18"/>
  <c r="Y247" i="18"/>
  <c r="S247" i="18"/>
  <c r="AS247" i="18"/>
  <c r="V247" i="18"/>
  <c r="Q247" i="18"/>
  <c r="L247" i="18"/>
  <c r="AW247" i="18"/>
  <c r="M247" i="18"/>
  <c r="BB247" i="18"/>
  <c r="BP237" i="18"/>
  <c r="J211" i="18"/>
  <c r="AZ245" i="18"/>
  <c r="AV245" i="18"/>
  <c r="BB245" i="18"/>
  <c r="AY245" i="18"/>
  <c r="AS245" i="18"/>
  <c r="AU245" i="18"/>
  <c r="AQ245" i="18"/>
  <c r="AW245" i="18"/>
  <c r="BA245" i="18"/>
  <c r="BH171" i="18"/>
  <c r="AY215" i="18"/>
  <c r="AY214" i="18"/>
  <c r="AS233" i="18"/>
  <c r="AS214" i="18"/>
  <c r="V215" i="18"/>
  <c r="V214" i="18"/>
  <c r="X215" i="18"/>
  <c r="X214" i="18"/>
  <c r="U215" i="18"/>
  <c r="U214" i="18"/>
  <c r="O215" i="18"/>
  <c r="O214" i="18"/>
  <c r="AP215" i="18"/>
  <c r="AP214" i="18"/>
  <c r="W215" i="18"/>
  <c r="W214" i="18"/>
  <c r="M215" i="18"/>
  <c r="M214" i="18"/>
  <c r="S215" i="18"/>
  <c r="S214" i="18"/>
  <c r="BB215" i="18"/>
  <c r="BB214" i="18"/>
  <c r="N215" i="18"/>
  <c r="N214" i="18"/>
  <c r="R215" i="18"/>
  <c r="R214" i="18"/>
  <c r="AZ215" i="18"/>
  <c r="AZ214" i="18"/>
  <c r="Y215" i="18"/>
  <c r="Y214" i="18"/>
  <c r="AQ215" i="18"/>
  <c r="AQ214" i="18"/>
  <c r="AU215" i="18"/>
  <c r="AU214" i="18"/>
  <c r="Q215" i="18"/>
  <c r="Q214" i="18"/>
  <c r="BA215" i="18"/>
  <c r="BA214" i="18"/>
  <c r="X246" i="18"/>
  <c r="AW215" i="18"/>
  <c r="AW214" i="18"/>
  <c r="P246" i="18"/>
  <c r="P214" i="18"/>
  <c r="L215" i="18"/>
  <c r="L214" i="18"/>
  <c r="AV215" i="18"/>
  <c r="AV214" i="18"/>
  <c r="T215" i="18"/>
  <c r="T214" i="18"/>
  <c r="AR215" i="18"/>
  <c r="AR214" i="18"/>
  <c r="AX215" i="18"/>
  <c r="AX214" i="18"/>
  <c r="BC215" i="18"/>
  <c r="BC214" i="18"/>
  <c r="Y246" i="18"/>
  <c r="AP246" i="18"/>
  <c r="U246" i="18"/>
  <c r="O246" i="18"/>
  <c r="T246" i="18"/>
  <c r="AR246" i="18"/>
  <c r="BC246" i="18"/>
  <c r="W246" i="18"/>
  <c r="V246" i="18"/>
  <c r="BB246" i="18"/>
  <c r="Q246" i="18"/>
  <c r="L246" i="18"/>
  <c r="N246" i="18"/>
  <c r="AW246" i="18"/>
  <c r="AQ246" i="18"/>
  <c r="AZ246" i="18"/>
  <c r="AV246" i="18"/>
  <c r="BA246" i="18"/>
  <c r="R246" i="18"/>
  <c r="M246" i="18"/>
  <c r="S246" i="18"/>
  <c r="AX246" i="18"/>
  <c r="AS246" i="18"/>
  <c r="AY246" i="18"/>
  <c r="AU246" i="18"/>
  <c r="U233" i="18"/>
  <c r="Q233" i="18"/>
  <c r="T233" i="18"/>
  <c r="AP233" i="18"/>
  <c r="BC233" i="18"/>
  <c r="X233" i="18"/>
  <c r="W233" i="18"/>
  <c r="V233" i="18"/>
  <c r="M233" i="18"/>
  <c r="BA233" i="18"/>
  <c r="AU233" i="18"/>
  <c r="L233" i="18"/>
  <c r="AR233" i="18"/>
  <c r="Y233" i="18"/>
  <c r="AX233" i="18"/>
  <c r="S233" i="18"/>
  <c r="AQ233" i="18"/>
  <c r="O233" i="18"/>
  <c r="AV233" i="18"/>
  <c r="R233" i="18"/>
  <c r="N233" i="18"/>
  <c r="BB233" i="18"/>
  <c r="AZ233" i="18"/>
  <c r="AW233" i="18"/>
  <c r="AY233" i="18"/>
  <c r="BI167" i="18"/>
  <c r="BI249" i="18" s="1"/>
  <c r="P215" i="18"/>
  <c r="S238" i="18"/>
  <c r="N238" i="18"/>
  <c r="AS238" i="18"/>
  <c r="BM171" i="18"/>
  <c r="BL194" i="18"/>
  <c r="BI194" i="18"/>
  <c r="BO171" i="18"/>
  <c r="X238" i="18"/>
  <c r="P238" i="18"/>
  <c r="BB238" i="18"/>
  <c r="BP194" i="18"/>
  <c r="BS209" i="18"/>
  <c r="BU125" i="18"/>
  <c r="CX125" i="18"/>
  <c r="AR238" i="18"/>
  <c r="AY238" i="18"/>
  <c r="Z243" i="18"/>
  <c r="AY211" i="18"/>
  <c r="BP171" i="18"/>
  <c r="Q238" i="18"/>
  <c r="O238" i="18"/>
  <c r="AV238" i="18"/>
  <c r="BN194" i="18"/>
  <c r="AZ238" i="18"/>
  <c r="V238" i="18"/>
  <c r="AW238" i="18"/>
  <c r="BM167" i="18"/>
  <c r="BC238" i="18"/>
  <c r="BF167" i="18"/>
  <c r="BR194" i="18"/>
  <c r="AQ238" i="18"/>
  <c r="AX238" i="18"/>
  <c r="BA238" i="18"/>
  <c r="BK167" i="18"/>
  <c r="BK249" i="18" s="1"/>
  <c r="BR167" i="18"/>
  <c r="BP167" i="18"/>
  <c r="DP125" i="18"/>
  <c r="W238" i="18"/>
  <c r="BA211" i="18"/>
  <c r="AX211" i="18"/>
  <c r="J210" i="18"/>
  <c r="A210" i="18" s="1"/>
  <c r="CU173" i="18"/>
  <c r="BI171" i="18"/>
  <c r="BK171" i="18"/>
  <c r="BJ167" i="18"/>
  <c r="BJ237" i="18" s="1"/>
  <c r="M238" i="18"/>
  <c r="AV211" i="18"/>
  <c r="BN171" i="18"/>
  <c r="BN235" i="18" s="1"/>
  <c r="BM194" i="18"/>
  <c r="BG167" i="18"/>
  <c r="BG237" i="18" s="1"/>
  <c r="BR171" i="18"/>
  <c r="AP251" i="18"/>
  <c r="BD167" i="18"/>
  <c r="BD249" i="18" s="1"/>
  <c r="AP238" i="18"/>
  <c r="BG171" i="18"/>
  <c r="BG235" i="18" s="1"/>
  <c r="Z194" i="18"/>
  <c r="BE194" i="18"/>
  <c r="AS215" i="18"/>
  <c r="BH167" i="18"/>
  <c r="BH237" i="18" s="1"/>
  <c r="BF171" i="18"/>
  <c r="BK194" i="18"/>
  <c r="BL171" i="18"/>
  <c r="BJ194" i="18"/>
  <c r="BD194" i="18"/>
  <c r="BH194" i="18"/>
  <c r="CU195" i="18"/>
  <c r="BO194" i="18"/>
  <c r="Z171" i="18"/>
  <c r="BE171" i="18"/>
  <c r="BE235" i="18" s="1"/>
  <c r="CU196" i="18"/>
  <c r="BQ167" i="18"/>
  <c r="BQ249" i="18" s="1"/>
  <c r="BG194" i="18"/>
  <c r="BO167" i="18"/>
  <c r="BQ194" i="18"/>
  <c r="T238" i="18"/>
  <c r="R238" i="18"/>
  <c r="Y238" i="18"/>
  <c r="U238" i="18"/>
  <c r="AW211" i="18"/>
  <c r="BD171" i="18"/>
  <c r="BL167" i="18"/>
  <c r="BL249" i="18" s="1"/>
  <c r="Z167" i="18"/>
  <c r="BE167" i="18"/>
  <c r="BF194" i="18"/>
  <c r="BN167" i="18"/>
  <c r="BN237" i="18" s="1"/>
  <c r="BQ171" i="18"/>
  <c r="AT211" i="18"/>
  <c r="N211" i="18"/>
  <c r="AZ236" i="18"/>
  <c r="AZ234" i="18"/>
  <c r="BC236" i="18"/>
  <c r="BC234" i="18"/>
  <c r="AR236" i="18"/>
  <c r="AR234" i="18"/>
  <c r="AW236" i="18"/>
  <c r="AW234" i="18"/>
  <c r="AS236" i="18"/>
  <c r="AS234" i="18"/>
  <c r="W211" i="18"/>
  <c r="O211" i="18"/>
  <c r="V211" i="18"/>
  <c r="X211" i="18"/>
  <c r="BB236" i="18"/>
  <c r="BB234" i="18"/>
  <c r="AQ236" i="18"/>
  <c r="AQ234" i="18"/>
  <c r="AY236" i="18"/>
  <c r="AY234" i="18"/>
  <c r="AU236" i="18"/>
  <c r="AU234" i="18"/>
  <c r="M211" i="18"/>
  <c r="Q211" i="18"/>
  <c r="AQ211" i="18"/>
  <c r="U211" i="18"/>
  <c r="AU211" i="18"/>
  <c r="AS211" i="18"/>
  <c r="AV236" i="18"/>
  <c r="AV234" i="18"/>
  <c r="AZ211" i="18"/>
  <c r="BB211" i="18"/>
  <c r="R236" i="18"/>
  <c r="R234" i="18"/>
  <c r="AP236" i="18"/>
  <c r="AP234" i="18"/>
  <c r="BA236" i="18"/>
  <c r="BA234" i="18"/>
  <c r="AX236" i="18"/>
  <c r="AX234" i="18"/>
  <c r="AT236" i="18"/>
  <c r="AT234" i="18"/>
  <c r="AP211" i="18"/>
  <c r="BC211" i="18"/>
  <c r="R211" i="18"/>
  <c r="L211" i="18"/>
  <c r="T211" i="18"/>
  <c r="P211" i="18"/>
  <c r="AR211" i="18"/>
  <c r="Y211" i="18"/>
  <c r="S211" i="18"/>
  <c r="T241" i="18"/>
  <c r="T236" i="18"/>
  <c r="L241" i="18"/>
  <c r="L236" i="18"/>
  <c r="S241" i="18"/>
  <c r="S236" i="18"/>
  <c r="X241" i="18"/>
  <c r="X236" i="18"/>
  <c r="U241" i="18"/>
  <c r="U236" i="18"/>
  <c r="W241" i="18"/>
  <c r="W236" i="18"/>
  <c r="Y241" i="18"/>
  <c r="Y236" i="18"/>
  <c r="N241" i="18"/>
  <c r="N236" i="18"/>
  <c r="P241" i="18"/>
  <c r="P236" i="18"/>
  <c r="M241" i="18"/>
  <c r="M236" i="18"/>
  <c r="O241" i="18"/>
  <c r="O236" i="18"/>
  <c r="V241" i="18"/>
  <c r="V236" i="18"/>
  <c r="Q241" i="18"/>
  <c r="Q236" i="18"/>
  <c r="AV232" i="18"/>
  <c r="AV241" i="18"/>
  <c r="BB232" i="18"/>
  <c r="BB241" i="18"/>
  <c r="AT232" i="18"/>
  <c r="AT241" i="18"/>
  <c r="R212" i="18"/>
  <c r="R241" i="18"/>
  <c r="AP204" i="18"/>
  <c r="AP241" i="18"/>
  <c r="BA232" i="18"/>
  <c r="BA241" i="18"/>
  <c r="AX232" i="18"/>
  <c r="AX241" i="18"/>
  <c r="AQ232" i="18"/>
  <c r="AQ241" i="18"/>
  <c r="AZ232" i="18"/>
  <c r="AZ241" i="18"/>
  <c r="BC232" i="18"/>
  <c r="BC241" i="18"/>
  <c r="AR232" i="18"/>
  <c r="AR241" i="18"/>
  <c r="AW232" i="18"/>
  <c r="AW241" i="18"/>
  <c r="AS232" i="18"/>
  <c r="AS241" i="18"/>
  <c r="AY232" i="18"/>
  <c r="AY241" i="18"/>
  <c r="AU232" i="18"/>
  <c r="AU241" i="18"/>
  <c r="S219" i="13"/>
  <c r="BD165" i="18"/>
  <c r="BI165" i="18"/>
  <c r="AT238" i="18"/>
  <c r="AY210" i="18"/>
  <c r="AU212" i="18"/>
  <c r="AT210" i="18"/>
  <c r="AU238" i="18"/>
  <c r="AT204" i="18"/>
  <c r="AT212" i="18"/>
  <c r="AU204" i="18"/>
  <c r="AU210" i="18"/>
  <c r="AS204" i="18"/>
  <c r="BC204" i="18"/>
  <c r="AQ212" i="18"/>
  <c r="AY204" i="18"/>
  <c r="AQ204" i="18"/>
  <c r="AW204" i="18"/>
  <c r="AS212" i="18"/>
  <c r="AR204" i="18"/>
  <c r="AW210" i="18"/>
  <c r="AS210" i="18"/>
  <c r="S224" i="13"/>
  <c r="S225" i="13"/>
  <c r="AY212" i="18"/>
  <c r="S218" i="13"/>
  <c r="BC212" i="18"/>
  <c r="AR210" i="18"/>
  <c r="AW212" i="18"/>
  <c r="AR212" i="18"/>
  <c r="AZ212" i="18"/>
  <c r="BB210" i="18"/>
  <c r="S217" i="13"/>
  <c r="AQ210" i="18"/>
  <c r="BB212" i="18"/>
  <c r="AZ204" i="18"/>
  <c r="BB204" i="18"/>
  <c r="CR124" i="18"/>
  <c r="CR209" i="18" s="1"/>
  <c r="CG209" i="18"/>
  <c r="CS124" i="18"/>
  <c r="CS209" i="18" s="1"/>
  <c r="CP124" i="18"/>
  <c r="CP209" i="18" s="1"/>
  <c r="CK124" i="18"/>
  <c r="BC210" i="18"/>
  <c r="S215" i="13"/>
  <c r="S216" i="13"/>
  <c r="BA212" i="18"/>
  <c r="AX210" i="18"/>
  <c r="AX204" i="18"/>
  <c r="BA204" i="18"/>
  <c r="BD166" i="18"/>
  <c r="BD250" i="18" s="1"/>
  <c r="AV204" i="18"/>
  <c r="AX212" i="18"/>
  <c r="BA210" i="18"/>
  <c r="P245" i="18"/>
  <c r="P232" i="18"/>
  <c r="R245" i="18"/>
  <c r="R232" i="18"/>
  <c r="X245" i="18"/>
  <c r="X232" i="18"/>
  <c r="AV210" i="18"/>
  <c r="AV212" i="18"/>
  <c r="U245" i="18"/>
  <c r="U232" i="18"/>
  <c r="W245" i="18"/>
  <c r="W232" i="18"/>
  <c r="Y245" i="18"/>
  <c r="Y232" i="18"/>
  <c r="N245" i="18"/>
  <c r="N232" i="18"/>
  <c r="AP245" i="18"/>
  <c r="AP232" i="18"/>
  <c r="M245" i="18"/>
  <c r="M232" i="18"/>
  <c r="O245" i="18"/>
  <c r="O232" i="18"/>
  <c r="V245" i="18"/>
  <c r="V232" i="18"/>
  <c r="Q245" i="18"/>
  <c r="Q232" i="18"/>
  <c r="AZ210" i="18"/>
  <c r="BM166" i="18"/>
  <c r="BM250" i="18" s="1"/>
  <c r="T245" i="18"/>
  <c r="T232" i="18"/>
  <c r="L245" i="18"/>
  <c r="L232" i="18"/>
  <c r="S245" i="18"/>
  <c r="S232" i="18"/>
  <c r="S226" i="13"/>
  <c r="S214" i="13"/>
  <c r="AP212" i="18"/>
  <c r="BN166" i="18"/>
  <c r="BN250" i="18" s="1"/>
  <c r="S220" i="13"/>
  <c r="S227" i="13"/>
  <c r="S213" i="13"/>
  <c r="S222" i="13"/>
  <c r="AP210" i="18"/>
  <c r="BG166" i="18"/>
  <c r="BG250" i="18" s="1"/>
  <c r="N204" i="18"/>
  <c r="N212" i="18"/>
  <c r="BJ166" i="18"/>
  <c r="BJ250" i="18" s="1"/>
  <c r="Q204" i="18"/>
  <c r="Q212" i="18"/>
  <c r="Q210" i="18"/>
  <c r="X212" i="18"/>
  <c r="X204" i="18"/>
  <c r="N210" i="18"/>
  <c r="T212" i="18"/>
  <c r="S210" i="18"/>
  <c r="BE166" i="18"/>
  <c r="BE250" i="18" s="1"/>
  <c r="T204" i="18"/>
  <c r="X210" i="18"/>
  <c r="BQ166" i="18"/>
  <c r="BQ250" i="18" s="1"/>
  <c r="S212" i="18"/>
  <c r="L210" i="18"/>
  <c r="V212" i="18"/>
  <c r="M204" i="18"/>
  <c r="U210" i="18"/>
  <c r="O210" i="18"/>
  <c r="O212" i="18"/>
  <c r="S204" i="18"/>
  <c r="BR166" i="18"/>
  <c r="BR250" i="18" s="1"/>
  <c r="L204" i="18"/>
  <c r="BL166" i="18"/>
  <c r="BL250" i="18" s="1"/>
  <c r="T210" i="18"/>
  <c r="L212" i="18"/>
  <c r="M210" i="18"/>
  <c r="BF166" i="18"/>
  <c r="BF250" i="18" s="1"/>
  <c r="V204" i="18"/>
  <c r="BH166" i="18"/>
  <c r="BH250" i="18" s="1"/>
  <c r="P212" i="18"/>
  <c r="Y212" i="18"/>
  <c r="W210" i="18"/>
  <c r="U212" i="18"/>
  <c r="Y204" i="18"/>
  <c r="Y210" i="18"/>
  <c r="W212" i="18"/>
  <c r="Z166" i="18"/>
  <c r="Z250" i="18" s="1"/>
  <c r="U204" i="18"/>
  <c r="W204" i="18"/>
  <c r="BP166" i="18"/>
  <c r="BP250" i="18" s="1"/>
  <c r="BO166" i="18"/>
  <c r="BO250" i="18" s="1"/>
  <c r="BI166" i="18"/>
  <c r="BI250" i="18" s="1"/>
  <c r="O204" i="18"/>
  <c r="V210" i="18"/>
  <c r="M212" i="18"/>
  <c r="P210" i="18"/>
  <c r="P204" i="18"/>
  <c r="R210" i="18"/>
  <c r="BK166" i="18"/>
  <c r="BK250" i="18" s="1"/>
  <c r="R204" i="18"/>
  <c r="CO124" i="18"/>
  <c r="BV209" i="18"/>
  <c r="CL124" i="18"/>
  <c r="CJ124" i="18"/>
  <c r="CN124" i="18"/>
  <c r="BG244" i="18" l="1"/>
  <c r="Z244" i="18"/>
  <c r="BD237" i="18"/>
  <c r="BL237" i="18"/>
  <c r="Z237" i="18"/>
  <c r="BF237" i="18"/>
  <c r="BR237" i="18"/>
  <c r="BH244" i="18"/>
  <c r="BQ237" i="18"/>
  <c r="BI237" i="18"/>
  <c r="BM237" i="18"/>
  <c r="BO237" i="18"/>
  <c r="CH209" i="18"/>
  <c r="BF242" i="18"/>
  <c r="BF248" i="18"/>
  <c r="BG242" i="18"/>
  <c r="BG248" i="18"/>
  <c r="BE251" i="18"/>
  <c r="BE249" i="18"/>
  <c r="BH251" i="18"/>
  <c r="BH249" i="18"/>
  <c r="BR251" i="18"/>
  <c r="BR249" i="18"/>
  <c r="Z251" i="18"/>
  <c r="Z249" i="18"/>
  <c r="BG214" i="18"/>
  <c r="BG249" i="18"/>
  <c r="BM251" i="18"/>
  <c r="BM249" i="18"/>
  <c r="BN251" i="18"/>
  <c r="BN249" i="18"/>
  <c r="BO251" i="18"/>
  <c r="BO249" i="18"/>
  <c r="BJ214" i="18"/>
  <c r="BJ249" i="18"/>
  <c r="BF233" i="18"/>
  <c r="BF249" i="18"/>
  <c r="BP251" i="18"/>
  <c r="BP249" i="18"/>
  <c r="BK251" i="18"/>
  <c r="BD251" i="18"/>
  <c r="CQ125" i="18"/>
  <c r="CL125" i="18"/>
  <c r="CL209" i="18" s="1"/>
  <c r="BT209" i="18"/>
  <c r="CK209" i="18"/>
  <c r="BF235" i="18"/>
  <c r="BK235" i="18"/>
  <c r="BR235" i="18"/>
  <c r="BI235" i="18"/>
  <c r="BQ235" i="18"/>
  <c r="CA209" i="18"/>
  <c r="CN125" i="18"/>
  <c r="BZ209" i="18"/>
  <c r="BS164" i="18"/>
  <c r="CV164" i="18" s="1"/>
  <c r="F261" i="18"/>
  <c r="F262" i="18" s="1"/>
  <c r="F345" i="18" s="1"/>
  <c r="H261" i="18"/>
  <c r="H262" i="18" s="1"/>
  <c r="H345" i="18" s="1"/>
  <c r="P261" i="18"/>
  <c r="P262" i="18" s="1"/>
  <c r="X261" i="18"/>
  <c r="X262" i="18" s="1"/>
  <c r="AF261" i="18"/>
  <c r="AF262" i="18" s="1"/>
  <c r="AN261" i="18"/>
  <c r="AN262" i="18" s="1"/>
  <c r="I261" i="18"/>
  <c r="I262" i="18" s="1"/>
  <c r="I345" i="18" s="1"/>
  <c r="Q261" i="18"/>
  <c r="Q262" i="18" s="1"/>
  <c r="Y261" i="18"/>
  <c r="Y262" i="18" s="1"/>
  <c r="AG261" i="18"/>
  <c r="AG262" i="18" s="1"/>
  <c r="AO261" i="18"/>
  <c r="AO262" i="18" s="1"/>
  <c r="D261" i="18"/>
  <c r="L261" i="18"/>
  <c r="L262" i="18" s="1"/>
  <c r="T261" i="18"/>
  <c r="T262" i="18" s="1"/>
  <c r="AB261" i="18"/>
  <c r="AB262" i="18" s="1"/>
  <c r="AJ261" i="18"/>
  <c r="AJ262" i="18" s="1"/>
  <c r="M261" i="18"/>
  <c r="M262" i="18" s="1"/>
  <c r="U261" i="18"/>
  <c r="U262" i="18" s="1"/>
  <c r="AC261" i="18"/>
  <c r="AC262" i="18" s="1"/>
  <c r="E261" i="18"/>
  <c r="E262" i="18" s="1"/>
  <c r="E345" i="18" s="1"/>
  <c r="AK261" i="18"/>
  <c r="AK262" i="18" s="1"/>
  <c r="AE261" i="18"/>
  <c r="AE262" i="18" s="1"/>
  <c r="O261" i="18"/>
  <c r="O262" i="18" s="1"/>
  <c r="AD261" i="18"/>
  <c r="AD262" i="18" s="1"/>
  <c r="N261" i="18"/>
  <c r="N262" i="18" s="1"/>
  <c r="AM261" i="18"/>
  <c r="AM262" i="18" s="1"/>
  <c r="W261" i="18"/>
  <c r="W262" i="18" s="1"/>
  <c r="G261" i="18"/>
  <c r="G262" i="18" s="1"/>
  <c r="G345" i="18" s="1"/>
  <c r="AL261" i="18"/>
  <c r="AL262" i="18" s="1"/>
  <c r="V261" i="18"/>
  <c r="V262" i="18" s="1"/>
  <c r="AA261" i="18"/>
  <c r="AA262" i="18" s="1"/>
  <c r="AP261" i="18"/>
  <c r="AP262" i="18" s="1"/>
  <c r="J261" i="18"/>
  <c r="J262" i="18" s="1"/>
  <c r="J345" i="18" s="1"/>
  <c r="S261" i="18"/>
  <c r="S262" i="18" s="1"/>
  <c r="AH261" i="18"/>
  <c r="AH262" i="18" s="1"/>
  <c r="K261" i="18"/>
  <c r="K262" i="18" s="1"/>
  <c r="Z261" i="18"/>
  <c r="Z262" i="18" s="1"/>
  <c r="AQ261" i="18"/>
  <c r="AQ262" i="18" s="1"/>
  <c r="AQ345" i="18" s="1"/>
  <c r="R261" i="18"/>
  <c r="R262" i="18" s="1"/>
  <c r="AI261" i="18"/>
  <c r="AI262" i="18" s="1"/>
  <c r="CX164" i="18"/>
  <c r="CX235" i="18" s="1"/>
  <c r="BR247" i="18"/>
  <c r="BG247" i="18"/>
  <c r="BO247" i="18"/>
  <c r="BQ234" i="18"/>
  <c r="BF234" i="18"/>
  <c r="BG239" i="18"/>
  <c r="BR239" i="18"/>
  <c r="BD244" i="18"/>
  <c r="BI244" i="18"/>
  <c r="BK237" i="18"/>
  <c r="BQ242" i="18"/>
  <c r="BP239" i="18"/>
  <c r="BM244" i="18"/>
  <c r="BP234" i="18"/>
  <c r="BJ234" i="18"/>
  <c r="BO244" i="18"/>
  <c r="BH239" i="18"/>
  <c r="BE239" i="18"/>
  <c r="BN242" i="18"/>
  <c r="BK242" i="18"/>
  <c r="BK239" i="18"/>
  <c r="BS188" i="18"/>
  <c r="Z247" i="18"/>
  <c r="BK244" i="18"/>
  <c r="BJ239" i="18"/>
  <c r="BD239" i="18"/>
  <c r="Z242" i="18"/>
  <c r="BD242" i="18"/>
  <c r="BK243" i="18"/>
  <c r="BD243" i="18"/>
  <c r="BL243" i="18"/>
  <c r="BR244" i="18"/>
  <c r="BJ243" i="18"/>
  <c r="BL244" i="18"/>
  <c r="BP244" i="18"/>
  <c r="BJ244" i="18"/>
  <c r="BO243" i="18"/>
  <c r="BN243" i="18"/>
  <c r="BE243" i="18"/>
  <c r="BI243" i="18"/>
  <c r="BM243" i="18"/>
  <c r="BO242" i="18"/>
  <c r="BI242" i="18"/>
  <c r="BL242" i="18"/>
  <c r="BE242" i="18"/>
  <c r="BJ242" i="18"/>
  <c r="BP242" i="18"/>
  <c r="BM242" i="18"/>
  <c r="BH242" i="18"/>
  <c r="BI239" i="18"/>
  <c r="Z239" i="18"/>
  <c r="BE237" i="18"/>
  <c r="Z235" i="18"/>
  <c r="BL234" i="18"/>
  <c r="BI234" i="18"/>
  <c r="CY244" i="18"/>
  <c r="CY240" i="18"/>
  <c r="BE244" i="18"/>
  <c r="BE240" i="18"/>
  <c r="CQ206" i="18"/>
  <c r="CC209" i="18"/>
  <c r="DN205" i="18"/>
  <c r="X106" i="20"/>
  <c r="X31" i="20" s="1"/>
  <c r="CT151" i="18"/>
  <c r="CT230" i="18" s="1"/>
  <c r="CL230" i="18"/>
  <c r="BS178" i="18"/>
  <c r="BS202" i="18"/>
  <c r="BS240" i="18" s="1"/>
  <c r="BS182" i="18"/>
  <c r="BS180" i="18"/>
  <c r="BS187" i="18"/>
  <c r="BS172" i="18"/>
  <c r="BS181" i="18"/>
  <c r="BS168" i="18"/>
  <c r="BS186" i="18"/>
  <c r="BS199" i="18"/>
  <c r="BS195" i="18"/>
  <c r="BS198" i="18"/>
  <c r="BS191" i="18"/>
  <c r="BS169" i="18"/>
  <c r="CX169" i="18" s="1"/>
  <c r="CX244" i="18" s="1"/>
  <c r="BS175" i="18"/>
  <c r="BS185" i="18"/>
  <c r="BS201" i="18"/>
  <c r="BS173" i="18"/>
  <c r="BS237" i="18" s="1"/>
  <c r="BS189" i="18"/>
  <c r="BS177" i="18"/>
  <c r="BS192" i="18"/>
  <c r="BS184" i="18"/>
  <c r="K14" i="12"/>
  <c r="BS193" i="18"/>
  <c r="BS176" i="18"/>
  <c r="CD242" i="18" s="1"/>
  <c r="K30" i="12"/>
  <c r="DP179" i="18"/>
  <c r="CW179" i="18"/>
  <c r="CP179" i="18"/>
  <c r="CO179" i="18"/>
  <c r="CM179" i="18"/>
  <c r="CQ179" i="18"/>
  <c r="BS183" i="18"/>
  <c r="BS174" i="18"/>
  <c r="CD239" i="18" s="1"/>
  <c r="BS190" i="18"/>
  <c r="Z213" i="18"/>
  <c r="BE213" i="18"/>
  <c r="BS170" i="18"/>
  <c r="BP213" i="18"/>
  <c r="BQ213" i="18"/>
  <c r="BM213" i="18"/>
  <c r="BN213" i="18"/>
  <c r="BO213" i="18"/>
  <c r="BR213" i="18"/>
  <c r="BL213" i="18"/>
  <c r="BF213" i="18"/>
  <c r="BH213" i="18"/>
  <c r="BI214" i="18"/>
  <c r="BH234" i="18"/>
  <c r="BS197" i="18"/>
  <c r="BM245" i="18"/>
  <c r="BH235" i="18"/>
  <c r="BD235" i="18"/>
  <c r="BL235" i="18"/>
  <c r="BS196" i="18"/>
  <c r="BO234" i="18"/>
  <c r="BE234" i="18"/>
  <c r="BK213" i="18"/>
  <c r="BI213" i="18"/>
  <c r="BJ213" i="18"/>
  <c r="BO235" i="18"/>
  <c r="BD213" i="18"/>
  <c r="BM235" i="18"/>
  <c r="BP235" i="18"/>
  <c r="BS203" i="18"/>
  <c r="CU203" i="18" s="1"/>
  <c r="BK234" i="18"/>
  <c r="Z234" i="18"/>
  <c r="BR234" i="18"/>
  <c r="BS200" i="18"/>
  <c r="BN239" i="18"/>
  <c r="BG213" i="18"/>
  <c r="CX170" i="18"/>
  <c r="BL251" i="18"/>
  <c r="BL247" i="18"/>
  <c r="BE247" i="18"/>
  <c r="BD247" i="18"/>
  <c r="BF247" i="18"/>
  <c r="BP247" i="18"/>
  <c r="BH247" i="18"/>
  <c r="BM247" i="18"/>
  <c r="BN247" i="18"/>
  <c r="BQ251" i="18"/>
  <c r="BQ247" i="18"/>
  <c r="BJ247" i="18"/>
  <c r="BI247" i="18"/>
  <c r="BK247" i="18"/>
  <c r="CY199" i="18"/>
  <c r="CY236" i="18" s="1"/>
  <c r="CX200" i="18"/>
  <c r="CX239" i="18" s="1"/>
  <c r="CX201" i="18"/>
  <c r="CV169" i="18"/>
  <c r="BG251" i="18"/>
  <c r="BJ251" i="18"/>
  <c r="BI251" i="18"/>
  <c r="BF251" i="18"/>
  <c r="CU169" i="18"/>
  <c r="BK238" i="18"/>
  <c r="BG245" i="18"/>
  <c r="BD245" i="18"/>
  <c r="BE215" i="18"/>
  <c r="BE214" i="18"/>
  <c r="BP215" i="18"/>
  <c r="BP214" i="18"/>
  <c r="BN215" i="18"/>
  <c r="BN214" i="18"/>
  <c r="BQ215" i="18"/>
  <c r="BQ214" i="18"/>
  <c r="BR215" i="18"/>
  <c r="BR214" i="18"/>
  <c r="BO215" i="18"/>
  <c r="BO214" i="18"/>
  <c r="BH215" i="18"/>
  <c r="BH214" i="18"/>
  <c r="Z215" i="18"/>
  <c r="Z214" i="18"/>
  <c r="BF215" i="18"/>
  <c r="BF214" i="18"/>
  <c r="BL215" i="18"/>
  <c r="BL214" i="18"/>
  <c r="BD215" i="18"/>
  <c r="BD214" i="18"/>
  <c r="BK215" i="18"/>
  <c r="BK214" i="18"/>
  <c r="BM246" i="18"/>
  <c r="BM214" i="18"/>
  <c r="BN246" i="18"/>
  <c r="BL246" i="18"/>
  <c r="BE246" i="18"/>
  <c r="BF246" i="18"/>
  <c r="BJ215" i="18"/>
  <c r="BJ246" i="18"/>
  <c r="Z246" i="18"/>
  <c r="BP246" i="18"/>
  <c r="BK246" i="18"/>
  <c r="BQ246" i="18"/>
  <c r="BO246" i="18"/>
  <c r="BG215" i="18"/>
  <c r="BG246" i="18"/>
  <c r="BI215" i="18"/>
  <c r="BI246" i="18"/>
  <c r="BR246" i="18"/>
  <c r="BD246" i="18"/>
  <c r="BH246" i="18"/>
  <c r="BQ233" i="18"/>
  <c r="BR233" i="18"/>
  <c r="BJ233" i="18"/>
  <c r="BE233" i="18"/>
  <c r="Z233" i="18"/>
  <c r="BP233" i="18"/>
  <c r="BG233" i="18"/>
  <c r="BK233" i="18"/>
  <c r="BD233" i="18"/>
  <c r="BM215" i="18"/>
  <c r="BM233" i="18"/>
  <c r="BH233" i="18"/>
  <c r="BI233" i="18"/>
  <c r="BO233" i="18"/>
  <c r="BN233" i="18"/>
  <c r="BL233" i="18"/>
  <c r="BH238" i="18"/>
  <c r="CU199" i="18"/>
  <c r="BU209" i="18"/>
  <c r="CJ125" i="18"/>
  <c r="CJ209" i="18" s="1"/>
  <c r="BR238" i="18"/>
  <c r="CU168" i="18"/>
  <c r="BN238" i="18"/>
  <c r="BQ238" i="18"/>
  <c r="BE238" i="18"/>
  <c r="BS167" i="18"/>
  <c r="CV167" i="18" s="1"/>
  <c r="CV249" i="18" s="1"/>
  <c r="BM238" i="18"/>
  <c r="BG238" i="18"/>
  <c r="BD238" i="18"/>
  <c r="Z238" i="18"/>
  <c r="C7" i="22"/>
  <c r="C9" i="22" s="1"/>
  <c r="CU172" i="18"/>
  <c r="BJ238" i="18"/>
  <c r="BF238" i="18"/>
  <c r="CU198" i="18"/>
  <c r="D161" i="17"/>
  <c r="D160" i="17"/>
  <c r="E160" i="17" s="1"/>
  <c r="D162" i="17"/>
  <c r="D158" i="17"/>
  <c r="D159" i="17"/>
  <c r="BO238" i="18"/>
  <c r="BL238" i="18"/>
  <c r="CU170" i="18"/>
  <c r="BP238" i="18"/>
  <c r="BI238" i="18"/>
  <c r="CU200" i="18"/>
  <c r="CU239" i="18" s="1"/>
  <c r="BS171" i="18"/>
  <c r="BS194" i="18"/>
  <c r="CU201" i="18"/>
  <c r="CU197" i="18"/>
  <c r="BG236" i="18"/>
  <c r="BG234" i="18"/>
  <c r="BM236" i="18"/>
  <c r="BM234" i="18"/>
  <c r="BD236" i="18"/>
  <c r="BD234" i="18"/>
  <c r="BI211" i="18"/>
  <c r="BM211" i="18"/>
  <c r="BK211" i="18"/>
  <c r="BG211" i="18"/>
  <c r="BJ211" i="18"/>
  <c r="BD211" i="18"/>
  <c r="BP211" i="18"/>
  <c r="Z211" i="18"/>
  <c r="BN236" i="18"/>
  <c r="BN234" i="18"/>
  <c r="BN211" i="18"/>
  <c r="BE211" i="18"/>
  <c r="BQ211" i="18"/>
  <c r="BO211" i="18"/>
  <c r="BF211" i="18"/>
  <c r="BR211" i="18"/>
  <c r="BL211" i="18"/>
  <c r="BH211" i="18"/>
  <c r="BK241" i="18"/>
  <c r="BK236" i="18"/>
  <c r="BO241" i="18"/>
  <c r="BO236" i="18"/>
  <c r="Z241" i="18"/>
  <c r="Z236" i="18"/>
  <c r="BH241" i="18"/>
  <c r="BH236" i="18"/>
  <c r="BR241" i="18"/>
  <c r="BR236" i="18"/>
  <c r="BE241" i="18"/>
  <c r="BE236" i="18"/>
  <c r="BP241" i="18"/>
  <c r="BP236" i="18"/>
  <c r="BQ241" i="18"/>
  <c r="BQ236" i="18"/>
  <c r="BJ241" i="18"/>
  <c r="BJ236" i="18"/>
  <c r="BF241" i="18"/>
  <c r="BF236" i="18"/>
  <c r="BL241" i="18"/>
  <c r="BL236" i="18"/>
  <c r="BI241" i="18"/>
  <c r="BI236" i="18"/>
  <c r="BM232" i="18"/>
  <c r="BM241" i="18"/>
  <c r="BD232" i="18"/>
  <c r="BD241" i="18"/>
  <c r="BG232" i="18"/>
  <c r="BG241" i="18"/>
  <c r="BN212" i="18"/>
  <c r="BN241" i="18"/>
  <c r="BS165" i="18"/>
  <c r="CW165" i="18" s="1"/>
  <c r="BD204" i="18"/>
  <c r="E187" i="17" s="1"/>
  <c r="BD210" i="18"/>
  <c r="CV247" i="18"/>
  <c r="CV251" i="18"/>
  <c r="CV244" i="18"/>
  <c r="CV239" i="18"/>
  <c r="BD212" i="18"/>
  <c r="BM210" i="18"/>
  <c r="BG210" i="18"/>
  <c r="BN204" i="18"/>
  <c r="BN205" i="18" s="1"/>
  <c r="BG204" i="18"/>
  <c r="BG205" i="18" s="1"/>
  <c r="BM212" i="18"/>
  <c r="BG212" i="18"/>
  <c r="BM204" i="18"/>
  <c r="BM205" i="18" s="1"/>
  <c r="BP210" i="18"/>
  <c r="BP232" i="18"/>
  <c r="BQ204" i="18"/>
  <c r="BQ205" i="18" s="1"/>
  <c r="BQ232" i="18"/>
  <c r="BJ210" i="18"/>
  <c r="BJ232" i="18"/>
  <c r="BF245" i="18"/>
  <c r="BF232" i="18"/>
  <c r="BL210" i="18"/>
  <c r="BL232" i="18"/>
  <c r="BN210" i="18"/>
  <c r="BN232" i="18"/>
  <c r="BI245" i="18"/>
  <c r="BI232" i="18"/>
  <c r="BK245" i="18"/>
  <c r="BK232" i="18"/>
  <c r="BO204" i="18"/>
  <c r="BO205" i="18" s="1"/>
  <c r="BO232" i="18"/>
  <c r="Z245" i="18"/>
  <c r="Z232" i="18"/>
  <c r="BH245" i="18"/>
  <c r="BH232" i="18"/>
  <c r="BR212" i="18"/>
  <c r="BR232" i="18"/>
  <c r="BE245" i="18"/>
  <c r="BE232" i="18"/>
  <c r="BN245" i="18"/>
  <c r="BJ204" i="18"/>
  <c r="BJ205" i="18" s="1"/>
  <c r="BJ212" i="18"/>
  <c r="BJ245" i="18"/>
  <c r="BQ210" i="18"/>
  <c r="BQ245" i="18"/>
  <c r="BE212" i="18"/>
  <c r="BH204" i="18"/>
  <c r="BH205" i="18" s="1"/>
  <c r="BE210" i="18"/>
  <c r="BQ212" i="18"/>
  <c r="BR245" i="18"/>
  <c r="BE204" i="18"/>
  <c r="BE205" i="18" s="1"/>
  <c r="BO212" i="18"/>
  <c r="BI204" i="18"/>
  <c r="BI205" i="18" s="1"/>
  <c r="BR204" i="18"/>
  <c r="BR205" i="18" s="1"/>
  <c r="BL245" i="18"/>
  <c r="BR210" i="18"/>
  <c r="BH212" i="18"/>
  <c r="BL204" i="18"/>
  <c r="BL205" i="18" s="1"/>
  <c r="BL212" i="18"/>
  <c r="BI212" i="18"/>
  <c r="BI210" i="18"/>
  <c r="BF204" i="18"/>
  <c r="BF205" i="18" s="1"/>
  <c r="BF210" i="18"/>
  <c r="BH210" i="18"/>
  <c r="BF212" i="18"/>
  <c r="BK204" i="18"/>
  <c r="BK205" i="18" s="1"/>
  <c r="BP245" i="18"/>
  <c r="BS166" i="18"/>
  <c r="CX166" i="18" s="1"/>
  <c r="CX250" i="18" s="1"/>
  <c r="Z212" i="18"/>
  <c r="BO210" i="18"/>
  <c r="Z204" i="18"/>
  <c r="E185" i="17" s="1"/>
  <c r="Z210" i="18"/>
  <c r="BO245" i="18"/>
  <c r="BK212" i="18"/>
  <c r="BP212" i="18"/>
  <c r="BP204" i="18"/>
  <c r="BP205" i="18" s="1"/>
  <c r="BK210" i="18"/>
  <c r="CV237" i="18"/>
  <c r="CO209" i="18"/>
  <c r="CQ209" i="18"/>
  <c r="CT206" i="18"/>
  <c r="CT124" i="18"/>
  <c r="CF170" i="18" l="1"/>
  <c r="CH170" i="18"/>
  <c r="CC170" i="18"/>
  <c r="CI170" i="18"/>
  <c r="CB170" i="18"/>
  <c r="CP170" i="18" s="1"/>
  <c r="CD170" i="18"/>
  <c r="BU170" i="18"/>
  <c r="CA170" i="18"/>
  <c r="CO170" i="18" s="1"/>
  <c r="BX170" i="18"/>
  <c r="BZ170" i="18"/>
  <c r="BY170" i="18"/>
  <c r="CG170" i="18"/>
  <c r="BT170" i="18"/>
  <c r="CK170" i="18" s="1"/>
  <c r="BV170" i="18"/>
  <c r="CE170" i="18"/>
  <c r="BW170" i="18"/>
  <c r="CV170" i="18"/>
  <c r="CU244" i="18"/>
  <c r="CU242" i="18"/>
  <c r="CU248" i="18"/>
  <c r="CV242" i="18"/>
  <c r="CV248" i="18"/>
  <c r="CF169" i="18"/>
  <c r="CF248" i="18" s="1"/>
  <c r="CH169" i="18"/>
  <c r="CH248" i="18" s="1"/>
  <c r="CC169" i="18"/>
  <c r="CC248" i="18" s="1"/>
  <c r="CI169" i="18"/>
  <c r="CI248" i="18" s="1"/>
  <c r="BX169" i="18"/>
  <c r="BX248" i="18" s="1"/>
  <c r="BZ169" i="18"/>
  <c r="BZ248" i="18" s="1"/>
  <c r="BY169" i="18"/>
  <c r="BY248" i="18" s="1"/>
  <c r="CG169" i="18"/>
  <c r="CG248" i="18" s="1"/>
  <c r="CB169" i="18"/>
  <c r="CB248" i="18" s="1"/>
  <c r="CD169" i="18"/>
  <c r="CD248" i="18" s="1"/>
  <c r="BU169" i="18"/>
  <c r="BU248" i="18" s="1"/>
  <c r="CA169" i="18"/>
  <c r="CA248" i="18" s="1"/>
  <c r="BT169" i="18"/>
  <c r="BT248" i="18" s="1"/>
  <c r="BV169" i="18"/>
  <c r="BV248" i="18" s="1"/>
  <c r="CE169" i="18"/>
  <c r="CE248" i="18" s="1"/>
  <c r="BW169" i="18"/>
  <c r="BW248" i="18" s="1"/>
  <c r="BS248" i="18"/>
  <c r="CF168" i="18"/>
  <c r="CH168" i="18"/>
  <c r="CC168" i="18"/>
  <c r="CI168" i="18"/>
  <c r="CB168" i="18"/>
  <c r="CP168" i="18" s="1"/>
  <c r="CD168" i="18"/>
  <c r="BU168" i="18"/>
  <c r="CA168" i="18"/>
  <c r="CO168" i="18" s="1"/>
  <c r="BX168" i="18"/>
  <c r="CM168" i="18" s="1"/>
  <c r="BY168" i="18"/>
  <c r="CG168" i="18"/>
  <c r="BT168" i="18"/>
  <c r="BV168" i="18"/>
  <c r="CE168" i="18"/>
  <c r="BW168" i="18"/>
  <c r="BZ168" i="18"/>
  <c r="CF167" i="18"/>
  <c r="CF249" i="18" s="1"/>
  <c r="CH167" i="18"/>
  <c r="CH249" i="18" s="1"/>
  <c r="CC167" i="18"/>
  <c r="CC249" i="18" s="1"/>
  <c r="CI167" i="18"/>
  <c r="CI249" i="18" s="1"/>
  <c r="CB167" i="18"/>
  <c r="CB249" i="18" s="1"/>
  <c r="CD167" i="18"/>
  <c r="CD249" i="18" s="1"/>
  <c r="BU167" i="18"/>
  <c r="BU249" i="18" s="1"/>
  <c r="CA167" i="18"/>
  <c r="CA249" i="18" s="1"/>
  <c r="BX167" i="18"/>
  <c r="BX249" i="18" s="1"/>
  <c r="BZ167" i="18"/>
  <c r="BZ249" i="18" s="1"/>
  <c r="BY167" i="18"/>
  <c r="BY249" i="18" s="1"/>
  <c r="CG167" i="18"/>
  <c r="CG249" i="18" s="1"/>
  <c r="BT167" i="18"/>
  <c r="BT249" i="18" s="1"/>
  <c r="BV167" i="18"/>
  <c r="BV249" i="18" s="1"/>
  <c r="CE167" i="18"/>
  <c r="CE249" i="18" s="1"/>
  <c r="BW167" i="18"/>
  <c r="BW249" i="18" s="1"/>
  <c r="BS249" i="18"/>
  <c r="CF166" i="18"/>
  <c r="CF250" i="18" s="1"/>
  <c r="CH166" i="18"/>
  <c r="CH250" i="18" s="1"/>
  <c r="CC166" i="18"/>
  <c r="CC250" i="18" s="1"/>
  <c r="CI166" i="18"/>
  <c r="CI250" i="18" s="1"/>
  <c r="CB166" i="18"/>
  <c r="CB250" i="18" s="1"/>
  <c r="CD166" i="18"/>
  <c r="BU166" i="18"/>
  <c r="BU250" i="18" s="1"/>
  <c r="CA166" i="18"/>
  <c r="CA250" i="18" s="1"/>
  <c r="BX166" i="18"/>
  <c r="BX250" i="18" s="1"/>
  <c r="BZ166" i="18"/>
  <c r="BZ250" i="18" s="1"/>
  <c r="BY166" i="18"/>
  <c r="BY250" i="18" s="1"/>
  <c r="BT166" i="18"/>
  <c r="BT250" i="18" s="1"/>
  <c r="BV166" i="18"/>
  <c r="BV250" i="18" s="1"/>
  <c r="CE166" i="18"/>
  <c r="CE250" i="18" s="1"/>
  <c r="BW166" i="18"/>
  <c r="BW250" i="18" s="1"/>
  <c r="CG166" i="18"/>
  <c r="CG250" i="18" s="1"/>
  <c r="BS250" i="18"/>
  <c r="CT125" i="18"/>
  <c r="CT209" i="18" s="1"/>
  <c r="CF165" i="18"/>
  <c r="CH165" i="18"/>
  <c r="CH234" i="18" s="1"/>
  <c r="CC165" i="18"/>
  <c r="CI165" i="18"/>
  <c r="CI243" i="18" s="1"/>
  <c r="CB165" i="18"/>
  <c r="CP165" i="18" s="1"/>
  <c r="CD165" i="18"/>
  <c r="CD246" i="18" s="1"/>
  <c r="BU165" i="18"/>
  <c r="CA165" i="18"/>
  <c r="CA234" i="18" s="1"/>
  <c r="BX165" i="18"/>
  <c r="CM165" i="18" s="1"/>
  <c r="BZ165" i="18"/>
  <c r="BZ234" i="18" s="1"/>
  <c r="BY165" i="18"/>
  <c r="CG165" i="18"/>
  <c r="BT165" i="18"/>
  <c r="BV165" i="18"/>
  <c r="BV234" i="18" s="1"/>
  <c r="BW165" i="18"/>
  <c r="CE165" i="18"/>
  <c r="CN209" i="18"/>
  <c r="CD203" i="18"/>
  <c r="CB203" i="18"/>
  <c r="CP203" i="18" s="1"/>
  <c r="BY203" i="18"/>
  <c r="BU203" i="18"/>
  <c r="BZ203" i="18"/>
  <c r="BX203" i="18"/>
  <c r="CM203" i="18" s="1"/>
  <c r="CE203" i="18"/>
  <c r="CI203" i="18"/>
  <c r="BV203" i="18"/>
  <c r="BT203" i="18"/>
  <c r="BW203" i="18"/>
  <c r="CA203" i="18"/>
  <c r="CO203" i="18" s="1"/>
  <c r="CH203" i="18"/>
  <c r="CF203" i="18"/>
  <c r="CG203" i="18"/>
  <c r="CC203" i="18"/>
  <c r="E159" i="17"/>
  <c r="E161" i="17"/>
  <c r="CI164" i="18"/>
  <c r="CI251" i="18" s="1"/>
  <c r="CE164" i="18"/>
  <c r="CA164" i="18"/>
  <c r="CO164" i="18" s="1"/>
  <c r="BW164" i="18"/>
  <c r="CG164" i="18"/>
  <c r="CG251" i="18" s="1"/>
  <c r="BY164" i="18"/>
  <c r="CF164" i="18"/>
  <c r="BX164" i="18"/>
  <c r="CM164" i="18" s="1"/>
  <c r="CH164" i="18"/>
  <c r="CH251" i="18" s="1"/>
  <c r="CD164" i="18"/>
  <c r="CD235" i="18" s="1"/>
  <c r="BZ164" i="18"/>
  <c r="BV164" i="18"/>
  <c r="BV235" i="18" s="1"/>
  <c r="CC164" i="18"/>
  <c r="BU164" i="18"/>
  <c r="CB164" i="18"/>
  <c r="CP164" i="18" s="1"/>
  <c r="BT164" i="18"/>
  <c r="CK164" i="18" s="1"/>
  <c r="CU164" i="18"/>
  <c r="K15" i="12"/>
  <c r="DP164" i="18"/>
  <c r="AI322" i="18"/>
  <c r="AI290" i="18"/>
  <c r="AI294" i="18"/>
  <c r="AI310" i="18"/>
  <c r="AI341" i="18"/>
  <c r="AI308" i="18"/>
  <c r="AI336" i="18"/>
  <c r="AI268" i="18"/>
  <c r="AI286" i="18"/>
  <c r="AI282" i="18"/>
  <c r="AI300" i="18"/>
  <c r="AI279" i="18"/>
  <c r="AI327" i="18"/>
  <c r="AI276" i="18"/>
  <c r="AI266" i="18"/>
  <c r="AI277" i="18"/>
  <c r="AI293" i="18"/>
  <c r="AI287" i="18"/>
  <c r="AI305" i="18"/>
  <c r="AI299" i="18"/>
  <c r="AI306" i="18"/>
  <c r="AI316" i="18"/>
  <c r="AI271" i="18"/>
  <c r="AI273" i="18"/>
  <c r="AI333" i="18"/>
  <c r="AI344" i="18"/>
  <c r="AI318" i="18"/>
  <c r="AI339" i="18"/>
  <c r="AI302" i="18"/>
  <c r="AI335" i="18"/>
  <c r="AI342" i="18"/>
  <c r="AI301" i="18"/>
  <c r="AI295" i="18"/>
  <c r="AI313" i="18"/>
  <c r="AI307" i="18"/>
  <c r="AI325" i="18"/>
  <c r="AI319" i="18"/>
  <c r="AI280" i="18"/>
  <c r="AI331" i="18"/>
  <c r="AI269" i="18"/>
  <c r="AI314" i="18"/>
  <c r="AI284" i="18"/>
  <c r="AI337" i="18"/>
  <c r="AI332" i="18"/>
  <c r="AI338" i="18"/>
  <c r="AI265" i="18"/>
  <c r="AI311" i="18"/>
  <c r="AI323" i="18"/>
  <c r="AI274" i="18"/>
  <c r="AI289" i="18"/>
  <c r="AI298" i="18"/>
  <c r="AI324" i="18"/>
  <c r="AI320" i="18"/>
  <c r="AI288" i="18"/>
  <c r="AI272" i="18"/>
  <c r="AI334" i="18"/>
  <c r="AI270" i="18"/>
  <c r="AI291" i="18"/>
  <c r="AI303" i="18"/>
  <c r="AI315" i="18"/>
  <c r="AI326" i="18"/>
  <c r="AI296" i="18"/>
  <c r="AI292" i="18"/>
  <c r="AI267" i="18"/>
  <c r="AI343" i="18"/>
  <c r="AI317" i="18"/>
  <c r="AI329" i="18"/>
  <c r="AI275" i="18"/>
  <c r="AI281" i="18"/>
  <c r="AI283" i="18"/>
  <c r="AI330" i="18"/>
  <c r="AI304" i="18"/>
  <c r="AI278" i="18"/>
  <c r="AI340" i="18"/>
  <c r="AI312" i="18"/>
  <c r="AI328" i="18"/>
  <c r="AI285" i="18"/>
  <c r="AI297" i="18"/>
  <c r="AI309" i="18"/>
  <c r="AI321" i="18"/>
  <c r="AP267" i="18"/>
  <c r="AP344" i="18"/>
  <c r="AP324" i="18"/>
  <c r="AP326" i="18"/>
  <c r="AP315" i="18"/>
  <c r="AP275" i="18"/>
  <c r="AP332" i="18"/>
  <c r="AP306" i="18"/>
  <c r="AP282" i="18"/>
  <c r="AP320" i="18"/>
  <c r="AP273" i="18"/>
  <c r="AP338" i="18"/>
  <c r="AP285" i="18"/>
  <c r="AP317" i="18"/>
  <c r="AP280" i="18"/>
  <c r="AP277" i="18"/>
  <c r="AP276" i="18"/>
  <c r="AP313" i="18"/>
  <c r="AP292" i="18"/>
  <c r="AP303" i="18"/>
  <c r="AP271" i="18"/>
  <c r="AP341" i="18"/>
  <c r="AP334" i="18"/>
  <c r="AP308" i="18"/>
  <c r="AP284" i="18"/>
  <c r="AP293" i="18"/>
  <c r="AP322" i="18"/>
  <c r="AP329" i="18"/>
  <c r="AP274" i="18"/>
  <c r="AP323" i="18"/>
  <c r="AP305" i="18"/>
  <c r="AP311" i="18"/>
  <c r="AP268" i="18"/>
  <c r="AP312" i="18"/>
  <c r="AP302" i="18"/>
  <c r="AP340" i="18"/>
  <c r="AP270" i="18"/>
  <c r="AP321" i="18"/>
  <c r="AP291" i="18"/>
  <c r="AP283" i="18"/>
  <c r="AP272" i="18"/>
  <c r="AP265" i="18"/>
  <c r="AP300" i="18"/>
  <c r="AP335" i="18"/>
  <c r="AP278" i="18"/>
  <c r="AP301" i="18"/>
  <c r="AP295" i="18"/>
  <c r="AP266" i="18"/>
  <c r="AP307" i="18"/>
  <c r="AP298" i="18"/>
  <c r="AP287" i="18"/>
  <c r="AP337" i="18"/>
  <c r="AP279" i="18"/>
  <c r="AP314" i="18"/>
  <c r="AP343" i="18"/>
  <c r="AP309" i="18"/>
  <c r="AP286" i="18"/>
  <c r="AP310" i="18"/>
  <c r="AP330" i="18"/>
  <c r="AP294" i="18"/>
  <c r="AP336" i="18"/>
  <c r="AP316" i="18"/>
  <c r="AP290" i="18"/>
  <c r="AP319" i="18"/>
  <c r="AP304" i="18"/>
  <c r="AP318" i="18"/>
  <c r="AP339" i="18"/>
  <c r="AP269" i="18"/>
  <c r="AP297" i="18"/>
  <c r="AP289" i="18"/>
  <c r="AP333" i="18"/>
  <c r="AP327" i="18"/>
  <c r="AP342" i="18"/>
  <c r="AP296" i="18"/>
  <c r="AP281" i="18"/>
  <c r="AP288" i="18"/>
  <c r="AP325" i="18"/>
  <c r="AP331" i="18"/>
  <c r="AP328" i="18"/>
  <c r="AP299" i="18"/>
  <c r="AD342" i="18"/>
  <c r="AD333" i="18"/>
  <c r="AD331" i="18"/>
  <c r="AD314" i="18"/>
  <c r="AD267" i="18"/>
  <c r="AD322" i="18"/>
  <c r="AD317" i="18"/>
  <c r="AD329" i="18"/>
  <c r="AD334" i="18"/>
  <c r="AD306" i="18"/>
  <c r="AD282" i="18"/>
  <c r="AD303" i="18"/>
  <c r="AD337" i="18"/>
  <c r="AD327" i="18"/>
  <c r="AD332" i="18"/>
  <c r="AD344" i="18"/>
  <c r="AD330" i="18"/>
  <c r="AD286" i="18"/>
  <c r="AD274" i="18"/>
  <c r="AD280" i="18"/>
  <c r="AD300" i="18"/>
  <c r="AD308" i="18"/>
  <c r="AD277" i="18"/>
  <c r="AD318" i="18"/>
  <c r="AD295" i="18"/>
  <c r="AD276" i="18"/>
  <c r="AD316" i="18"/>
  <c r="AD302" i="18"/>
  <c r="AD298" i="18"/>
  <c r="AD275" i="18"/>
  <c r="AD326" i="18"/>
  <c r="AD287" i="18"/>
  <c r="AD324" i="18"/>
  <c r="AD272" i="18"/>
  <c r="AD319" i="18"/>
  <c r="AD315" i="18"/>
  <c r="AD323" i="18"/>
  <c r="AD338" i="18"/>
  <c r="AD296" i="18"/>
  <c r="AD285" i="18"/>
  <c r="AD279" i="18"/>
  <c r="AD297" i="18"/>
  <c r="AD339" i="18"/>
  <c r="AD299" i="18"/>
  <c r="AD301" i="18"/>
  <c r="AD278" i="18"/>
  <c r="AD312" i="18"/>
  <c r="AD343" i="18"/>
  <c r="AD336" i="18"/>
  <c r="AD266" i="18"/>
  <c r="AD289" i="18"/>
  <c r="AD291" i="18"/>
  <c r="AD281" i="18"/>
  <c r="AD307" i="18"/>
  <c r="AD292" i="18"/>
  <c r="AD284" i="18"/>
  <c r="AD328" i="18"/>
  <c r="AD340" i="18"/>
  <c r="AD321" i="18"/>
  <c r="AD270" i="18"/>
  <c r="AD268" i="18"/>
  <c r="AD269" i="18"/>
  <c r="AD290" i="18"/>
  <c r="AD325" i="18"/>
  <c r="AD305" i="18"/>
  <c r="AD294" i="18"/>
  <c r="AD271" i="18"/>
  <c r="AD341" i="18"/>
  <c r="AD273" i="18"/>
  <c r="AD335" i="18"/>
  <c r="AD310" i="18"/>
  <c r="AD311" i="18"/>
  <c r="AD309" i="18"/>
  <c r="AD288" i="18"/>
  <c r="AD293" i="18"/>
  <c r="AD265" i="18"/>
  <c r="AD313" i="18"/>
  <c r="AD283" i="18"/>
  <c r="AD320" i="18"/>
  <c r="AD304" i="18"/>
  <c r="AJ305" i="18"/>
  <c r="AJ327" i="18"/>
  <c r="AJ300" i="18"/>
  <c r="AJ338" i="18"/>
  <c r="AJ333" i="18"/>
  <c r="AJ267" i="18"/>
  <c r="AJ296" i="18"/>
  <c r="AJ328" i="18"/>
  <c r="AJ321" i="18"/>
  <c r="AJ282" i="18"/>
  <c r="AJ314" i="18"/>
  <c r="AJ273" i="18"/>
  <c r="AJ334" i="18"/>
  <c r="AJ291" i="18"/>
  <c r="AJ311" i="18"/>
  <c r="AJ319" i="18"/>
  <c r="AJ310" i="18"/>
  <c r="AJ286" i="18"/>
  <c r="AJ283" i="18"/>
  <c r="AJ318" i="18"/>
  <c r="AJ320" i="18"/>
  <c r="AJ289" i="18"/>
  <c r="AJ293" i="18"/>
  <c r="AJ331" i="18"/>
  <c r="AJ312" i="18"/>
  <c r="AJ278" i="18"/>
  <c r="AJ317" i="18"/>
  <c r="AJ330" i="18"/>
  <c r="AJ287" i="18"/>
  <c r="AJ342" i="18"/>
  <c r="AJ299" i="18"/>
  <c r="AJ308" i="18"/>
  <c r="AJ306" i="18"/>
  <c r="AJ269" i="18"/>
  <c r="AJ297" i="18"/>
  <c r="AJ268" i="18"/>
  <c r="AJ322" i="18"/>
  <c r="AJ304" i="18"/>
  <c r="AJ313" i="18"/>
  <c r="AJ326" i="18"/>
  <c r="AJ275" i="18"/>
  <c r="AJ341" i="18"/>
  <c r="AJ316" i="18"/>
  <c r="AJ284" i="18"/>
  <c r="AJ309" i="18"/>
  <c r="AJ340" i="18"/>
  <c r="AJ335" i="18"/>
  <c r="AJ292" i="18"/>
  <c r="AJ339" i="18"/>
  <c r="AJ301" i="18"/>
  <c r="AJ277" i="18"/>
  <c r="AJ279" i="18"/>
  <c r="AJ295" i="18"/>
  <c r="AJ280" i="18"/>
  <c r="AJ274" i="18"/>
  <c r="AJ270" i="18"/>
  <c r="AJ324" i="18"/>
  <c r="AJ323" i="18"/>
  <c r="AJ303" i="18"/>
  <c r="AJ332" i="18"/>
  <c r="AJ288" i="18"/>
  <c r="AJ343" i="18"/>
  <c r="AJ271" i="18"/>
  <c r="AJ344" i="18"/>
  <c r="AJ276" i="18"/>
  <c r="AJ302" i="18"/>
  <c r="AJ266" i="18"/>
  <c r="AJ265" i="18"/>
  <c r="AJ281" i="18"/>
  <c r="AJ337" i="18"/>
  <c r="AJ298" i="18"/>
  <c r="AJ325" i="18"/>
  <c r="AJ315" i="18"/>
  <c r="AJ285" i="18"/>
  <c r="AJ307" i="18"/>
  <c r="AJ336" i="18"/>
  <c r="AJ294" i="18"/>
  <c r="AJ272" i="18"/>
  <c r="AJ290" i="18"/>
  <c r="AJ329" i="18"/>
  <c r="C261" i="18"/>
  <c r="X275" i="18"/>
  <c r="X279" i="18"/>
  <c r="X289" i="18"/>
  <c r="X284" i="18"/>
  <c r="X344" i="18"/>
  <c r="X332" i="18"/>
  <c r="X270" i="18"/>
  <c r="X282" i="18"/>
  <c r="X321" i="18"/>
  <c r="X267" i="18"/>
  <c r="X341" i="18"/>
  <c r="X298" i="18"/>
  <c r="X292" i="18"/>
  <c r="X325" i="18"/>
  <c r="X305" i="18"/>
  <c r="X287" i="18"/>
  <c r="X328" i="18"/>
  <c r="X274" i="18"/>
  <c r="X278" i="18"/>
  <c r="X309" i="18"/>
  <c r="X276" i="18"/>
  <c r="X280" i="18"/>
  <c r="X300" i="18"/>
  <c r="X291" i="18"/>
  <c r="X313" i="18"/>
  <c r="X294" i="18"/>
  <c r="X308" i="18"/>
  <c r="X337" i="18"/>
  <c r="X331" i="18"/>
  <c r="X269" i="18"/>
  <c r="X306" i="18"/>
  <c r="X272" i="18"/>
  <c r="X299" i="18"/>
  <c r="X336" i="18"/>
  <c r="X290" i="18"/>
  <c r="X327" i="18"/>
  <c r="X307" i="18"/>
  <c r="X323" i="18"/>
  <c r="X319" i="18"/>
  <c r="X303" i="18"/>
  <c r="X312" i="18"/>
  <c r="X283" i="18"/>
  <c r="X329" i="18"/>
  <c r="X277" i="18"/>
  <c r="X340" i="18"/>
  <c r="X342" i="18"/>
  <c r="X317" i="18"/>
  <c r="X326" i="18"/>
  <c r="X286" i="18"/>
  <c r="X322" i="18"/>
  <c r="X310" i="18"/>
  <c r="X320" i="18"/>
  <c r="X338" i="18"/>
  <c r="X296" i="18"/>
  <c r="X302" i="18"/>
  <c r="X318" i="18"/>
  <c r="X304" i="18"/>
  <c r="X271" i="18"/>
  <c r="X293" i="18"/>
  <c r="X314" i="18"/>
  <c r="X295" i="18"/>
  <c r="X311" i="18"/>
  <c r="X316" i="18"/>
  <c r="X315" i="18"/>
  <c r="X268" i="18"/>
  <c r="X265" i="18"/>
  <c r="X285" i="18"/>
  <c r="X297" i="18"/>
  <c r="X334" i="18"/>
  <c r="X273" i="18"/>
  <c r="X339" i="18"/>
  <c r="X333" i="18"/>
  <c r="X266" i="18"/>
  <c r="X343" i="18"/>
  <c r="X301" i="18"/>
  <c r="X281" i="18"/>
  <c r="X330" i="18"/>
  <c r="X335" i="18"/>
  <c r="X324" i="18"/>
  <c r="X288" i="18"/>
  <c r="AH299" i="18"/>
  <c r="AH336" i="18"/>
  <c r="AH316" i="18"/>
  <c r="AH294" i="18"/>
  <c r="AH334" i="18"/>
  <c r="AH329" i="18"/>
  <c r="AH274" i="18"/>
  <c r="AH272" i="18"/>
  <c r="AH335" i="18"/>
  <c r="AH307" i="18"/>
  <c r="AH340" i="18"/>
  <c r="AH276" i="18"/>
  <c r="AH268" i="18"/>
  <c r="AH282" i="18"/>
  <c r="AH331" i="18"/>
  <c r="AH285" i="18"/>
  <c r="AH275" i="18"/>
  <c r="AH323" i="18"/>
  <c r="AH343" i="18"/>
  <c r="AH297" i="18"/>
  <c r="AH269" i="18"/>
  <c r="AH333" i="18"/>
  <c r="AH313" i="18"/>
  <c r="AH277" i="18"/>
  <c r="AH326" i="18"/>
  <c r="AH290" i="18"/>
  <c r="AH300" i="18"/>
  <c r="AH342" i="18"/>
  <c r="AH312" i="18"/>
  <c r="AH278" i="18"/>
  <c r="AH310" i="18"/>
  <c r="AH315" i="18"/>
  <c r="AH339" i="18"/>
  <c r="AH273" i="18"/>
  <c r="AH305" i="18"/>
  <c r="AH309" i="18"/>
  <c r="AH318" i="18"/>
  <c r="AH319" i="18"/>
  <c r="AH295" i="18"/>
  <c r="AH304" i="18"/>
  <c r="AH283" i="18"/>
  <c r="AH308" i="18"/>
  <c r="AH337" i="18"/>
  <c r="AH289" i="18"/>
  <c r="AH322" i="18"/>
  <c r="AH330" i="18"/>
  <c r="AH270" i="18"/>
  <c r="AH328" i="18"/>
  <c r="AH296" i="18"/>
  <c r="AH298" i="18"/>
  <c r="AH344" i="18"/>
  <c r="AH317" i="18"/>
  <c r="AH314" i="18"/>
  <c r="AH267" i="18"/>
  <c r="AH321" i="18"/>
  <c r="AH302" i="18"/>
  <c r="AH306" i="18"/>
  <c r="AH280" i="18"/>
  <c r="AH311" i="18"/>
  <c r="AH293" i="18"/>
  <c r="AH341" i="18"/>
  <c r="AH281" i="18"/>
  <c r="AH327" i="18"/>
  <c r="AH303" i="18"/>
  <c r="AH286" i="18"/>
  <c r="AH284" i="18"/>
  <c r="AH325" i="18"/>
  <c r="AH301" i="18"/>
  <c r="AH338" i="18"/>
  <c r="AH288" i="18"/>
  <c r="AH265" i="18"/>
  <c r="AH324" i="18"/>
  <c r="AH271" i="18"/>
  <c r="AH279" i="18"/>
  <c r="AH332" i="18"/>
  <c r="AH287" i="18"/>
  <c r="AH266" i="18"/>
  <c r="AH292" i="18"/>
  <c r="AH320" i="18"/>
  <c r="AH291" i="18"/>
  <c r="AA329" i="18"/>
  <c r="AA297" i="18"/>
  <c r="AA311" i="18"/>
  <c r="AA317" i="18"/>
  <c r="AA269" i="18"/>
  <c r="AA266" i="18"/>
  <c r="AA335" i="18"/>
  <c r="AA342" i="18"/>
  <c r="AA337" i="18"/>
  <c r="AA323" i="18"/>
  <c r="AA283" i="18"/>
  <c r="AA320" i="18"/>
  <c r="AA322" i="18"/>
  <c r="AA274" i="18"/>
  <c r="AA280" i="18"/>
  <c r="AA276" i="18"/>
  <c r="AA296" i="18"/>
  <c r="AA298" i="18"/>
  <c r="AA308" i="18"/>
  <c r="AA310" i="18"/>
  <c r="AA313" i="18"/>
  <c r="AA327" i="18"/>
  <c r="AA295" i="18"/>
  <c r="AA285" i="18"/>
  <c r="AA309" i="18"/>
  <c r="AA343" i="18"/>
  <c r="AA307" i="18"/>
  <c r="AA334" i="18"/>
  <c r="AA344" i="18"/>
  <c r="AA333" i="18"/>
  <c r="AA332" i="18"/>
  <c r="AA288" i="18"/>
  <c r="AA290" i="18"/>
  <c r="AA300" i="18"/>
  <c r="AA302" i="18"/>
  <c r="AA328" i="18"/>
  <c r="AA330" i="18"/>
  <c r="AA282" i="18"/>
  <c r="AA268" i="18"/>
  <c r="AA275" i="18"/>
  <c r="AA321" i="18"/>
  <c r="AA303" i="18"/>
  <c r="AA331" i="18"/>
  <c r="AA325" i="18"/>
  <c r="AA293" i="18"/>
  <c r="AA340" i="18"/>
  <c r="AA306" i="18"/>
  <c r="AA318" i="18"/>
  <c r="AA265" i="18"/>
  <c r="AA292" i="18"/>
  <c r="AA305" i="18"/>
  <c r="AA287" i="18"/>
  <c r="AA291" i="18"/>
  <c r="AA279" i="18"/>
  <c r="AA336" i="18"/>
  <c r="AA281" i="18"/>
  <c r="AA271" i="18"/>
  <c r="AA286" i="18"/>
  <c r="AA314" i="18"/>
  <c r="AA326" i="18"/>
  <c r="AA289" i="18"/>
  <c r="AA301" i="18"/>
  <c r="AA270" i="18"/>
  <c r="AA338" i="18"/>
  <c r="AA341" i="18"/>
  <c r="AA304" i="18"/>
  <c r="AA316" i="18"/>
  <c r="AA277" i="18"/>
  <c r="AA272" i="18"/>
  <c r="AA294" i="18"/>
  <c r="AA278" i="18"/>
  <c r="AA319" i="18"/>
  <c r="AA273" i="18"/>
  <c r="AA339" i="18"/>
  <c r="AA299" i="18"/>
  <c r="AA315" i="18"/>
  <c r="AA267" i="18"/>
  <c r="AA284" i="18"/>
  <c r="AA312" i="18"/>
  <c r="AA324" i="18"/>
  <c r="AC301" i="18"/>
  <c r="AC265" i="18"/>
  <c r="AC291" i="18"/>
  <c r="AC323" i="18"/>
  <c r="AC307" i="18"/>
  <c r="AC280" i="18"/>
  <c r="AC316" i="18"/>
  <c r="AC279" i="18"/>
  <c r="AC339" i="18"/>
  <c r="AC320" i="18"/>
  <c r="AC271" i="18"/>
  <c r="AC287" i="18"/>
  <c r="AC324" i="18"/>
  <c r="AC276" i="18"/>
  <c r="AC278" i="18"/>
  <c r="AC290" i="18"/>
  <c r="AC329" i="18"/>
  <c r="AC272" i="18"/>
  <c r="AC328" i="18"/>
  <c r="AC283" i="18"/>
  <c r="AC268" i="18"/>
  <c r="AC289" i="18"/>
  <c r="AC331" i="18"/>
  <c r="AC315" i="18"/>
  <c r="AC267" i="18"/>
  <c r="AC326" i="18"/>
  <c r="AC305" i="18"/>
  <c r="AC297" i="18"/>
  <c r="AC330" i="18"/>
  <c r="AC309" i="18"/>
  <c r="AC293" i="18"/>
  <c r="AC338" i="18"/>
  <c r="AC294" i="18"/>
  <c r="AC303" i="18"/>
  <c r="AC322" i="18"/>
  <c r="AC336" i="18"/>
  <c r="AC308" i="18"/>
  <c r="AC333" i="18"/>
  <c r="AC306" i="18"/>
  <c r="AC332" i="18"/>
  <c r="AC304" i="18"/>
  <c r="AC296" i="18"/>
  <c r="AC298" i="18"/>
  <c r="AC310" i="18"/>
  <c r="AC335" i="18"/>
  <c r="AC284" i="18"/>
  <c r="AC313" i="18"/>
  <c r="AC285" i="18"/>
  <c r="AC318" i="18"/>
  <c r="AC317" i="18"/>
  <c r="AC300" i="18"/>
  <c r="AC327" i="18"/>
  <c r="AC299" i="18"/>
  <c r="AC286" i="18"/>
  <c r="AC325" i="18"/>
  <c r="AC274" i="18"/>
  <c r="AC269" i="18"/>
  <c r="AC312" i="18"/>
  <c r="AC266" i="18"/>
  <c r="AC295" i="18"/>
  <c r="AC281" i="18"/>
  <c r="AC319" i="18"/>
  <c r="AC288" i="18"/>
  <c r="AC292" i="18"/>
  <c r="AC314" i="18"/>
  <c r="AC342" i="18"/>
  <c r="AC275" i="18"/>
  <c r="AC344" i="18"/>
  <c r="AC341" i="18"/>
  <c r="AC340" i="18"/>
  <c r="AC270" i="18"/>
  <c r="AC282" i="18"/>
  <c r="AC311" i="18"/>
  <c r="AC321" i="18"/>
  <c r="AC343" i="18"/>
  <c r="AC302" i="18"/>
  <c r="AC334" i="18"/>
  <c r="AC337" i="18"/>
  <c r="AC277" i="18"/>
  <c r="AC273" i="18"/>
  <c r="AB333" i="18"/>
  <c r="AB303" i="18"/>
  <c r="AB275" i="18"/>
  <c r="AB281" i="18"/>
  <c r="AB299" i="18"/>
  <c r="AB308" i="18"/>
  <c r="AB265" i="18"/>
  <c r="AB295" i="18"/>
  <c r="AB304" i="18"/>
  <c r="AB316" i="18"/>
  <c r="AB270" i="18"/>
  <c r="AB330" i="18"/>
  <c r="AB328" i="18"/>
  <c r="AB309" i="18"/>
  <c r="AB276" i="18"/>
  <c r="AB296" i="18"/>
  <c r="AB286" i="18"/>
  <c r="AB266" i="18"/>
  <c r="AB318" i="18"/>
  <c r="AB325" i="18"/>
  <c r="AB311" i="18"/>
  <c r="AB279" i="18"/>
  <c r="AB307" i="18"/>
  <c r="AB277" i="18"/>
  <c r="AB338" i="18"/>
  <c r="AB313" i="18"/>
  <c r="AB273" i="18"/>
  <c r="AB326" i="18"/>
  <c r="AB344" i="18"/>
  <c r="AB306" i="18"/>
  <c r="AB272" i="18"/>
  <c r="AB332" i="18"/>
  <c r="AB341" i="18"/>
  <c r="AB289" i="18"/>
  <c r="AB300" i="18"/>
  <c r="AB335" i="18"/>
  <c r="AB336" i="18"/>
  <c r="AB287" i="18"/>
  <c r="AB315" i="18"/>
  <c r="AB302" i="18"/>
  <c r="AB282" i="18"/>
  <c r="AB288" i="18"/>
  <c r="AB340" i="18"/>
  <c r="AB269" i="18"/>
  <c r="AB312" i="18"/>
  <c r="AB271" i="18"/>
  <c r="AB297" i="18"/>
  <c r="AB290" i="18"/>
  <c r="AB322" i="18"/>
  <c r="AB267" i="18"/>
  <c r="AB274" i="18"/>
  <c r="AB314" i="18"/>
  <c r="AB324" i="18"/>
  <c r="AB284" i="18"/>
  <c r="AB337" i="18"/>
  <c r="AB321" i="18"/>
  <c r="AB339" i="18"/>
  <c r="AB291" i="18"/>
  <c r="AB327" i="18"/>
  <c r="AB292" i="18"/>
  <c r="AB278" i="18"/>
  <c r="AB331" i="18"/>
  <c r="AB334" i="18"/>
  <c r="AB298" i="18"/>
  <c r="AB320" i="18"/>
  <c r="AB283" i="18"/>
  <c r="AB323" i="18"/>
  <c r="AB319" i="18"/>
  <c r="AB280" i="18"/>
  <c r="AB301" i="18"/>
  <c r="AB294" i="18"/>
  <c r="AB310" i="18"/>
  <c r="AB343" i="18"/>
  <c r="AB293" i="18"/>
  <c r="AB305" i="18"/>
  <c r="AB285" i="18"/>
  <c r="AB317" i="18"/>
  <c r="AB268" i="18"/>
  <c r="AB342" i="18"/>
  <c r="AB329" i="18"/>
  <c r="AO331" i="18"/>
  <c r="AO287" i="18"/>
  <c r="AO319" i="18"/>
  <c r="AO329" i="18"/>
  <c r="AO325" i="18"/>
  <c r="AO278" i="18"/>
  <c r="AO289" i="18"/>
  <c r="AO295" i="18"/>
  <c r="AO342" i="18"/>
  <c r="AO332" i="18"/>
  <c r="AO294" i="18"/>
  <c r="AO340" i="18"/>
  <c r="AO320" i="18"/>
  <c r="AO322" i="18"/>
  <c r="AO308" i="18"/>
  <c r="AO274" i="18"/>
  <c r="AO290" i="18"/>
  <c r="AO343" i="18"/>
  <c r="AO314" i="18"/>
  <c r="AO300" i="18"/>
  <c r="AO315" i="18"/>
  <c r="AO281" i="18"/>
  <c r="AO303" i="18"/>
  <c r="AO269" i="18"/>
  <c r="AO321" i="18"/>
  <c r="AO292" i="18"/>
  <c r="AO344" i="18"/>
  <c r="AO298" i="18"/>
  <c r="AO284" i="18"/>
  <c r="AO277" i="18"/>
  <c r="AO279" i="18"/>
  <c r="AO273" i="18"/>
  <c r="AO267" i="18"/>
  <c r="AO276" i="18"/>
  <c r="AO339" i="18"/>
  <c r="AO326" i="18"/>
  <c r="AO312" i="18"/>
  <c r="AO272" i="18"/>
  <c r="AO291" i="18"/>
  <c r="AO318" i="18"/>
  <c r="AO323" i="18"/>
  <c r="AO311" i="18"/>
  <c r="AO309" i="18"/>
  <c r="AO270" i="18"/>
  <c r="AO334" i="18"/>
  <c r="AO297" i="18"/>
  <c r="AO335" i="18"/>
  <c r="AO324" i="18"/>
  <c r="AO288" i="18"/>
  <c r="AO341" i="18"/>
  <c r="AO307" i="18"/>
  <c r="AO302" i="18"/>
  <c r="AO293" i="18"/>
  <c r="AO336" i="18"/>
  <c r="AO275" i="18"/>
  <c r="AO301" i="18"/>
  <c r="AO306" i="18"/>
  <c r="AO268" i="18"/>
  <c r="AO328" i="18"/>
  <c r="AO316" i="18"/>
  <c r="AO266" i="18"/>
  <c r="AO313" i="18"/>
  <c r="AO286" i="18"/>
  <c r="AO265" i="18"/>
  <c r="AO317" i="18"/>
  <c r="AO338" i="18"/>
  <c r="AO333" i="18"/>
  <c r="AO310" i="18"/>
  <c r="AO285" i="18"/>
  <c r="AO299" i="18"/>
  <c r="AO330" i="18"/>
  <c r="AO327" i="18"/>
  <c r="AO282" i="18"/>
  <c r="AO305" i="18"/>
  <c r="AO280" i="18"/>
  <c r="AO296" i="18"/>
  <c r="AO304" i="18"/>
  <c r="AO271" i="18"/>
  <c r="AO337" i="18"/>
  <c r="AO283" i="18"/>
  <c r="AQ270" i="18"/>
  <c r="AQ315" i="18"/>
  <c r="AQ283" i="18"/>
  <c r="AQ301" i="18"/>
  <c r="AQ335" i="18"/>
  <c r="AQ319" i="18"/>
  <c r="AQ269" i="18"/>
  <c r="AQ334" i="18"/>
  <c r="AQ344" i="18"/>
  <c r="AQ305" i="18"/>
  <c r="AQ332" i="18"/>
  <c r="AQ336" i="18"/>
  <c r="AQ298" i="18"/>
  <c r="AQ323" i="18"/>
  <c r="AQ275" i="18"/>
  <c r="AQ343" i="18"/>
  <c r="AQ329" i="18"/>
  <c r="AQ317" i="18"/>
  <c r="AQ313" i="18"/>
  <c r="AQ327" i="18"/>
  <c r="AQ325" i="18"/>
  <c r="AQ330" i="18"/>
  <c r="AQ308" i="18"/>
  <c r="AQ326" i="18"/>
  <c r="AQ320" i="18"/>
  <c r="AQ273" i="18"/>
  <c r="AQ268" i="18"/>
  <c r="AQ277" i="18"/>
  <c r="AQ286" i="18"/>
  <c r="AQ267" i="18"/>
  <c r="AQ307" i="18"/>
  <c r="AQ321" i="18"/>
  <c r="AQ339" i="18"/>
  <c r="AQ309" i="18"/>
  <c r="AQ295" i="18"/>
  <c r="AQ293" i="18"/>
  <c r="AQ285" i="18"/>
  <c r="AQ303" i="18"/>
  <c r="AQ314" i="18"/>
  <c r="AQ292" i="18"/>
  <c r="AQ310" i="18"/>
  <c r="AQ304" i="18"/>
  <c r="AQ322" i="18"/>
  <c r="AQ316" i="18"/>
  <c r="AQ279" i="18"/>
  <c r="AQ328" i="18"/>
  <c r="AQ276" i="18"/>
  <c r="AQ299" i="18"/>
  <c r="AQ311" i="18"/>
  <c r="AQ266" i="18"/>
  <c r="AQ297" i="18"/>
  <c r="AQ340" i="18"/>
  <c r="AQ338" i="18"/>
  <c r="AQ342" i="18"/>
  <c r="AQ341" i="18"/>
  <c r="AQ271" i="18"/>
  <c r="AQ272" i="18"/>
  <c r="AQ294" i="18"/>
  <c r="AQ288" i="18"/>
  <c r="AQ306" i="18"/>
  <c r="AQ300" i="18"/>
  <c r="AQ318" i="18"/>
  <c r="AQ312" i="18"/>
  <c r="AQ331" i="18"/>
  <c r="AQ291" i="18"/>
  <c r="AQ289" i="18"/>
  <c r="AQ280" i="18"/>
  <c r="AQ287" i="18"/>
  <c r="AQ274" i="18"/>
  <c r="AQ333" i="18"/>
  <c r="AQ337" i="18"/>
  <c r="AQ281" i="18"/>
  <c r="AQ324" i="18"/>
  <c r="AQ278" i="18"/>
  <c r="AQ265" i="18"/>
  <c r="AQ282" i="18"/>
  <c r="AQ290" i="18"/>
  <c r="AQ284" i="18"/>
  <c r="AQ302" i="18"/>
  <c r="AQ296" i="18"/>
  <c r="AM282" i="18"/>
  <c r="AM319" i="18"/>
  <c r="AM303" i="18"/>
  <c r="AM287" i="18"/>
  <c r="AM326" i="18"/>
  <c r="AM305" i="18"/>
  <c r="AM284" i="18"/>
  <c r="AM266" i="18"/>
  <c r="AM309" i="18"/>
  <c r="AM265" i="18"/>
  <c r="AM334" i="18"/>
  <c r="AM308" i="18"/>
  <c r="AM273" i="18"/>
  <c r="AM292" i="18"/>
  <c r="AM318" i="18"/>
  <c r="AM343" i="18"/>
  <c r="AM298" i="18"/>
  <c r="AM325" i="18"/>
  <c r="AM270" i="18"/>
  <c r="AM274" i="18"/>
  <c r="AM327" i="18"/>
  <c r="AM311" i="18"/>
  <c r="AM295" i="18"/>
  <c r="AM269" i="18"/>
  <c r="AM316" i="18"/>
  <c r="AM294" i="18"/>
  <c r="AM276" i="18"/>
  <c r="AM324" i="18"/>
  <c r="AM296" i="18"/>
  <c r="AM342" i="18"/>
  <c r="AM322" i="18"/>
  <c r="AM293" i="18"/>
  <c r="AM320" i="18"/>
  <c r="AM337" i="18"/>
  <c r="AM290" i="18"/>
  <c r="AM328" i="18"/>
  <c r="AM340" i="18"/>
  <c r="AM297" i="18"/>
  <c r="AM339" i="18"/>
  <c r="AM278" i="18"/>
  <c r="AM331" i="18"/>
  <c r="AM299" i="18"/>
  <c r="AM321" i="18"/>
  <c r="AM267" i="18"/>
  <c r="AM302" i="18"/>
  <c r="AM329" i="18"/>
  <c r="AM341" i="18"/>
  <c r="AM304" i="18"/>
  <c r="AM285" i="18"/>
  <c r="AM281" i="18"/>
  <c r="AM323" i="18"/>
  <c r="AM291" i="18"/>
  <c r="AM310" i="18"/>
  <c r="AM280" i="18"/>
  <c r="AM288" i="18"/>
  <c r="AM314" i="18"/>
  <c r="AM306" i="18"/>
  <c r="AM277" i="18"/>
  <c r="AM335" i="18"/>
  <c r="AM333" i="18"/>
  <c r="AM315" i="18"/>
  <c r="AM283" i="18"/>
  <c r="AM300" i="18"/>
  <c r="AM330" i="18"/>
  <c r="AM268" i="18"/>
  <c r="AM301" i="18"/>
  <c r="AM344" i="18"/>
  <c r="AM336" i="18"/>
  <c r="AM312" i="18"/>
  <c r="AM279" i="18"/>
  <c r="AM307" i="18"/>
  <c r="AM271" i="18"/>
  <c r="AM289" i="18"/>
  <c r="AM317" i="18"/>
  <c r="AM338" i="18"/>
  <c r="AM286" i="18"/>
  <c r="AM332" i="18"/>
  <c r="AM313" i="18"/>
  <c r="AM272" i="18"/>
  <c r="AM275" i="18"/>
  <c r="AE330" i="18"/>
  <c r="AE314" i="18"/>
  <c r="AE298" i="18"/>
  <c r="AE267" i="18"/>
  <c r="AE321" i="18"/>
  <c r="AE307" i="18"/>
  <c r="AE285" i="18"/>
  <c r="AE300" i="18"/>
  <c r="AE272" i="18"/>
  <c r="AE332" i="18"/>
  <c r="AE313" i="18"/>
  <c r="AE284" i="18"/>
  <c r="AE343" i="18"/>
  <c r="AE304" i="18"/>
  <c r="AE342" i="18"/>
  <c r="AE288" i="18"/>
  <c r="AE333" i="18"/>
  <c r="AE283" i="18"/>
  <c r="AE327" i="18"/>
  <c r="AE337" i="18"/>
  <c r="AE322" i="18"/>
  <c r="AE306" i="18"/>
  <c r="AE290" i="18"/>
  <c r="AE329" i="18"/>
  <c r="AE317" i="18"/>
  <c r="AE296" i="18"/>
  <c r="AE315" i="18"/>
  <c r="AE287" i="18"/>
  <c r="AE340" i="18"/>
  <c r="AE331" i="18"/>
  <c r="AE299" i="18"/>
  <c r="AE266" i="18"/>
  <c r="AE335" i="18"/>
  <c r="AE275" i="18"/>
  <c r="AE316" i="18"/>
  <c r="AE268" i="18"/>
  <c r="AE311" i="18"/>
  <c r="AE270" i="18"/>
  <c r="AE295" i="18"/>
  <c r="AE280" i="18"/>
  <c r="AE326" i="18"/>
  <c r="AE294" i="18"/>
  <c r="AE324" i="18"/>
  <c r="AE323" i="18"/>
  <c r="AE344" i="18"/>
  <c r="AE305" i="18"/>
  <c r="AE339" i="18"/>
  <c r="AE334" i="18"/>
  <c r="AE328" i="18"/>
  <c r="AE309" i="18"/>
  <c r="AE318" i="18"/>
  <c r="AE286" i="18"/>
  <c r="AE312" i="18"/>
  <c r="AE308" i="18"/>
  <c r="AE336" i="18"/>
  <c r="AE292" i="18"/>
  <c r="AE319" i="18"/>
  <c r="AE303" i="18"/>
  <c r="AE297" i="18"/>
  <c r="AE265" i="18"/>
  <c r="AE310" i="18"/>
  <c r="AE273" i="18"/>
  <c r="AE301" i="18"/>
  <c r="AE293" i="18"/>
  <c r="AE276" i="18"/>
  <c r="AE271" i="18"/>
  <c r="AE289" i="18"/>
  <c r="AE269" i="18"/>
  <c r="AE282" i="18"/>
  <c r="AE281" i="18"/>
  <c r="AE302" i="18"/>
  <c r="AE325" i="18"/>
  <c r="AE291" i="18"/>
  <c r="AE278" i="18"/>
  <c r="AE320" i="18"/>
  <c r="AE279" i="18"/>
  <c r="AE274" i="18"/>
  <c r="AE341" i="18"/>
  <c r="AE338" i="18"/>
  <c r="AE277" i="18"/>
  <c r="AG330" i="18"/>
  <c r="AG323" i="18"/>
  <c r="AG319" i="18"/>
  <c r="AG282" i="18"/>
  <c r="AG290" i="18"/>
  <c r="AG268" i="18"/>
  <c r="AG297" i="18"/>
  <c r="AG338" i="18"/>
  <c r="AG332" i="18"/>
  <c r="AG320" i="18"/>
  <c r="AG278" i="18"/>
  <c r="AG310" i="18"/>
  <c r="AG308" i="18"/>
  <c r="AG341" i="18"/>
  <c r="AG343" i="18"/>
  <c r="AG312" i="18"/>
  <c r="AG273" i="18"/>
  <c r="AG318" i="18"/>
  <c r="AG313" i="18"/>
  <c r="AG280" i="18"/>
  <c r="AG315" i="18"/>
  <c r="AG275" i="18"/>
  <c r="AG267" i="18"/>
  <c r="AG283" i="18"/>
  <c r="AG336" i="18"/>
  <c r="AG342" i="18"/>
  <c r="AG340" i="18"/>
  <c r="AG288" i="18"/>
  <c r="AG335" i="18"/>
  <c r="AG317" i="18"/>
  <c r="AG299" i="18"/>
  <c r="AG339" i="18"/>
  <c r="AG305" i="18"/>
  <c r="AG266" i="18"/>
  <c r="AG294" i="18"/>
  <c r="AG309" i="18"/>
  <c r="AG281" i="18"/>
  <c r="AG285" i="18"/>
  <c r="AG333" i="18"/>
  <c r="AG306" i="18"/>
  <c r="AG331" i="18"/>
  <c r="AG271" i="18"/>
  <c r="AG344" i="18"/>
  <c r="AG300" i="18"/>
  <c r="AG295" i="18"/>
  <c r="AG270" i="18"/>
  <c r="AG324" i="18"/>
  <c r="AG303" i="18"/>
  <c r="AG265" i="18"/>
  <c r="AG329" i="18"/>
  <c r="AG272" i="18"/>
  <c r="AG292" i="18"/>
  <c r="AG311" i="18"/>
  <c r="AG291" i="18"/>
  <c r="AG301" i="18"/>
  <c r="AG302" i="18"/>
  <c r="AG321" i="18"/>
  <c r="AG284" i="18"/>
  <c r="AG293" i="18"/>
  <c r="AG286" i="18"/>
  <c r="AG307" i="18"/>
  <c r="AG277" i="18"/>
  <c r="AG274" i="18"/>
  <c r="AG296" i="18"/>
  <c r="AG289" i="18"/>
  <c r="AG326" i="18"/>
  <c r="AG279" i="18"/>
  <c r="AG328" i="18"/>
  <c r="AG298" i="18"/>
  <c r="AG269" i="18"/>
  <c r="AG327" i="18"/>
  <c r="AG304" i="18"/>
  <c r="AG334" i="18"/>
  <c r="AG287" i="18"/>
  <c r="AG337" i="18"/>
  <c r="AG276" i="18"/>
  <c r="AG314" i="18"/>
  <c r="AG325" i="18"/>
  <c r="AG316" i="18"/>
  <c r="AG322" i="18"/>
  <c r="AN296" i="18"/>
  <c r="AN292" i="18"/>
  <c r="AN274" i="18"/>
  <c r="AN322" i="18"/>
  <c r="AN276" i="18"/>
  <c r="AN332" i="18"/>
  <c r="AN342" i="18"/>
  <c r="AN270" i="18"/>
  <c r="AN278" i="18"/>
  <c r="AN320" i="18"/>
  <c r="AN324" i="18"/>
  <c r="AN316" i="18"/>
  <c r="AN295" i="18"/>
  <c r="AN323" i="18"/>
  <c r="AN283" i="18"/>
  <c r="AN329" i="18"/>
  <c r="AN340" i="18"/>
  <c r="AN300" i="18"/>
  <c r="AN269" i="18"/>
  <c r="AN341" i="18"/>
  <c r="AN288" i="18"/>
  <c r="AN280" i="18"/>
  <c r="AN284" i="18"/>
  <c r="AN314" i="18"/>
  <c r="AN312" i="18"/>
  <c r="AN318" i="18"/>
  <c r="AN294" i="18"/>
  <c r="AN282" i="18"/>
  <c r="AN338" i="18"/>
  <c r="AN286" i="18"/>
  <c r="AN326" i="18"/>
  <c r="AN299" i="18"/>
  <c r="AN330" i="18"/>
  <c r="AN273" i="18"/>
  <c r="AN304" i="18"/>
  <c r="AN319" i="18"/>
  <c r="AN268" i="18"/>
  <c r="AN317" i="18"/>
  <c r="AN305" i="18"/>
  <c r="AN290" i="18"/>
  <c r="AN307" i="18"/>
  <c r="AN291" i="18"/>
  <c r="AN301" i="18"/>
  <c r="AN339" i="18"/>
  <c r="AN313" i="18"/>
  <c r="AN306" i="18"/>
  <c r="AN267" i="18"/>
  <c r="AN302" i="18"/>
  <c r="AN328" i="18"/>
  <c r="AN343" i="18"/>
  <c r="AN309" i="18"/>
  <c r="AN297" i="18"/>
  <c r="AN315" i="18"/>
  <c r="AN335" i="18"/>
  <c r="AN279" i="18"/>
  <c r="AN265" i="18"/>
  <c r="AN308" i="18"/>
  <c r="AN281" i="18"/>
  <c r="AN289" i="18"/>
  <c r="AN298" i="18"/>
  <c r="AN277" i="18"/>
  <c r="AN287" i="18"/>
  <c r="AN275" i="18"/>
  <c r="AN311" i="18"/>
  <c r="AN333" i="18"/>
  <c r="AN337" i="18"/>
  <c r="AN285" i="18"/>
  <c r="AN293" i="18"/>
  <c r="AN321" i="18"/>
  <c r="AN272" i="18"/>
  <c r="AN336" i="18"/>
  <c r="AN303" i="18"/>
  <c r="AN344" i="18"/>
  <c r="AN266" i="18"/>
  <c r="AN310" i="18"/>
  <c r="AN331" i="18"/>
  <c r="AN325" i="18"/>
  <c r="AN334" i="18"/>
  <c r="AN271" i="18"/>
  <c r="AN327" i="18"/>
  <c r="Z271" i="18"/>
  <c r="Z267" i="18"/>
  <c r="Z339" i="18"/>
  <c r="Z306" i="18"/>
  <c r="Z281" i="18"/>
  <c r="Z344" i="18"/>
  <c r="Z312" i="18"/>
  <c r="Z279" i="18"/>
  <c r="Z333" i="18"/>
  <c r="Z300" i="18"/>
  <c r="Z341" i="18"/>
  <c r="Z289" i="18"/>
  <c r="Z338" i="18"/>
  <c r="Z266" i="18"/>
  <c r="Z336" i="18"/>
  <c r="Z305" i="18"/>
  <c r="Z337" i="18"/>
  <c r="Z328" i="18"/>
  <c r="Z273" i="18"/>
  <c r="Z297" i="18"/>
  <c r="Z287" i="18"/>
  <c r="Z329" i="18"/>
  <c r="Z330" i="18"/>
  <c r="Z304" i="18"/>
  <c r="Z302" i="18"/>
  <c r="Z323" i="18"/>
  <c r="Z340" i="18"/>
  <c r="Z315" i="18"/>
  <c r="Z318" i="18"/>
  <c r="Z299" i="18"/>
  <c r="Z276" i="18"/>
  <c r="Z316" i="18"/>
  <c r="Z286" i="18"/>
  <c r="Z291" i="18"/>
  <c r="Z295" i="18"/>
  <c r="Z327" i="18"/>
  <c r="Z319" i="18"/>
  <c r="Z322" i="18"/>
  <c r="Z288" i="18"/>
  <c r="Z332" i="18"/>
  <c r="Z311" i="18"/>
  <c r="Z343" i="18"/>
  <c r="Z283" i="18"/>
  <c r="Z325" i="18"/>
  <c r="Z293" i="18"/>
  <c r="Z285" i="18"/>
  <c r="Z296" i="18"/>
  <c r="Z269" i="18"/>
  <c r="Z280" i="18"/>
  <c r="Z331" i="18"/>
  <c r="Z309" i="18"/>
  <c r="Z342" i="18"/>
  <c r="Z314" i="18"/>
  <c r="Z277" i="18"/>
  <c r="Z335" i="18"/>
  <c r="Z284" i="18"/>
  <c r="Z320" i="18"/>
  <c r="Z278" i="18"/>
  <c r="Z282" i="18"/>
  <c r="Z326" i="18"/>
  <c r="Z301" i="18"/>
  <c r="Z275" i="18"/>
  <c r="Z292" i="18"/>
  <c r="Z290" i="18"/>
  <c r="Z268" i="18"/>
  <c r="Z303" i="18"/>
  <c r="Z334" i="18"/>
  <c r="Z307" i="18"/>
  <c r="Z298" i="18"/>
  <c r="Z324" i="18"/>
  <c r="Z274" i="18"/>
  <c r="Z310" i="18"/>
  <c r="Z313" i="18"/>
  <c r="Z294" i="18"/>
  <c r="Z321" i="18"/>
  <c r="Z265" i="18"/>
  <c r="Z272" i="18"/>
  <c r="Z270" i="18"/>
  <c r="Z308" i="18"/>
  <c r="Z317" i="18"/>
  <c r="AL286" i="18"/>
  <c r="AL273" i="18"/>
  <c r="AL340" i="18"/>
  <c r="AL332" i="18"/>
  <c r="AL343" i="18"/>
  <c r="AL302" i="18"/>
  <c r="AL289" i="18"/>
  <c r="AL282" i="18"/>
  <c r="AL310" i="18"/>
  <c r="AL291" i="18"/>
  <c r="AL280" i="18"/>
  <c r="AL278" i="18"/>
  <c r="AL303" i="18"/>
  <c r="AL271" i="18"/>
  <c r="AL341" i="18"/>
  <c r="AL330" i="18"/>
  <c r="AL268" i="18"/>
  <c r="AL319" i="18"/>
  <c r="AL315" i="18"/>
  <c r="AL284" i="18"/>
  <c r="AL298" i="18"/>
  <c r="AL317" i="18"/>
  <c r="AL275" i="18"/>
  <c r="AL285" i="18"/>
  <c r="AL325" i="18"/>
  <c r="AL342" i="18"/>
  <c r="AL338" i="18"/>
  <c r="AL277" i="18"/>
  <c r="AL305" i="18"/>
  <c r="AL334" i="18"/>
  <c r="AL331" i="18"/>
  <c r="AL293" i="18"/>
  <c r="AL290" i="18"/>
  <c r="AL328" i="18"/>
  <c r="AL326" i="18"/>
  <c r="AL336" i="18"/>
  <c r="AL266" i="18"/>
  <c r="AL306" i="18"/>
  <c r="AL288" i="18"/>
  <c r="AL339" i="18"/>
  <c r="AL295" i="18"/>
  <c r="AL316" i="18"/>
  <c r="AL279" i="18"/>
  <c r="AL270" i="18"/>
  <c r="AL299" i="18"/>
  <c r="AL267" i="18"/>
  <c r="AL321" i="18"/>
  <c r="AL323" i="18"/>
  <c r="AL322" i="18"/>
  <c r="AL297" i="18"/>
  <c r="AL272" i="18"/>
  <c r="AL269" i="18"/>
  <c r="AL309" i="18"/>
  <c r="AL307" i="18"/>
  <c r="AL283" i="18"/>
  <c r="AL308" i="18"/>
  <c r="AL296" i="18"/>
  <c r="AL274" i="18"/>
  <c r="AL337" i="18"/>
  <c r="AL313" i="18"/>
  <c r="AL335" i="18"/>
  <c r="AL318" i="18"/>
  <c r="AL300" i="18"/>
  <c r="AL320" i="18"/>
  <c r="AL287" i="18"/>
  <c r="AL294" i="18"/>
  <c r="AL327" i="18"/>
  <c r="AL281" i="18"/>
  <c r="AL304" i="18"/>
  <c r="AL314" i="18"/>
  <c r="AL301" i="18"/>
  <c r="AL265" i="18"/>
  <c r="AL311" i="18"/>
  <c r="AL329" i="18"/>
  <c r="AL324" i="18"/>
  <c r="AL344" i="18"/>
  <c r="AL276" i="18"/>
  <c r="AL312" i="18"/>
  <c r="AL333" i="18"/>
  <c r="AL292" i="18"/>
  <c r="AK290" i="18"/>
  <c r="AK289" i="18"/>
  <c r="AK279" i="18"/>
  <c r="AK327" i="18"/>
  <c r="AK311" i="18"/>
  <c r="AK271" i="18"/>
  <c r="AK277" i="18"/>
  <c r="AK310" i="18"/>
  <c r="AK282" i="18"/>
  <c r="AK343" i="18"/>
  <c r="AK330" i="18"/>
  <c r="AK309" i="18"/>
  <c r="AK342" i="18"/>
  <c r="AK324" i="18"/>
  <c r="AK333" i="18"/>
  <c r="AK288" i="18"/>
  <c r="AK332" i="18"/>
  <c r="AK308" i="18"/>
  <c r="AK328" i="18"/>
  <c r="AK272" i="18"/>
  <c r="AK270" i="18"/>
  <c r="AK280" i="18"/>
  <c r="AK286" i="18"/>
  <c r="AK319" i="18"/>
  <c r="AK296" i="18"/>
  <c r="AK278" i="18"/>
  <c r="AK321" i="18"/>
  <c r="AK284" i="18"/>
  <c r="AK283" i="18"/>
  <c r="AK335" i="18"/>
  <c r="AK320" i="18"/>
  <c r="AK274" i="18"/>
  <c r="AK334" i="18"/>
  <c r="AK292" i="18"/>
  <c r="AK322" i="18"/>
  <c r="AK303" i="18"/>
  <c r="AK329" i="18"/>
  <c r="AK287" i="18"/>
  <c r="AK306" i="18"/>
  <c r="AK344" i="18"/>
  <c r="AK265" i="18"/>
  <c r="AK302" i="18"/>
  <c r="AK307" i="18"/>
  <c r="AK326" i="18"/>
  <c r="AK295" i="18"/>
  <c r="AK325" i="18"/>
  <c r="AK338" i="18"/>
  <c r="AK291" i="18"/>
  <c r="AK268" i="18"/>
  <c r="AK317" i="18"/>
  <c r="AK285" i="18"/>
  <c r="AK331" i="18"/>
  <c r="AK269" i="18"/>
  <c r="AK316" i="18"/>
  <c r="AK299" i="18"/>
  <c r="AK314" i="18"/>
  <c r="AK297" i="18"/>
  <c r="AK312" i="18"/>
  <c r="AK318" i="18"/>
  <c r="AK266" i="18"/>
  <c r="AK276" i="18"/>
  <c r="AK323" i="18"/>
  <c r="AK273" i="18"/>
  <c r="AK305" i="18"/>
  <c r="AK339" i="18"/>
  <c r="AK300" i="18"/>
  <c r="AK313" i="18"/>
  <c r="AK293" i="18"/>
  <c r="AK281" i="18"/>
  <c r="AK298" i="18"/>
  <c r="AK275" i="18"/>
  <c r="AK315" i="18"/>
  <c r="AK301" i="18"/>
  <c r="AK267" i="18"/>
  <c r="AK294" i="18"/>
  <c r="AK304" i="18"/>
  <c r="AK341" i="18"/>
  <c r="AK340" i="18"/>
  <c r="AK337" i="18"/>
  <c r="AK336" i="18"/>
  <c r="Y271" i="18"/>
  <c r="Y283" i="18"/>
  <c r="Y323" i="18"/>
  <c r="Y321" i="18"/>
  <c r="Y279" i="18"/>
  <c r="Y336" i="18"/>
  <c r="Y342" i="18"/>
  <c r="Y302" i="18"/>
  <c r="Y270" i="18"/>
  <c r="Y284" i="18"/>
  <c r="Y280" i="18"/>
  <c r="Y282" i="18"/>
  <c r="Y322" i="18"/>
  <c r="Y312" i="18"/>
  <c r="Y277" i="18"/>
  <c r="Y287" i="18"/>
  <c r="Y314" i="18"/>
  <c r="Y285" i="18"/>
  <c r="Y301" i="18"/>
  <c r="Y272" i="18"/>
  <c r="Y286" i="18"/>
  <c r="Y266" i="18"/>
  <c r="Y307" i="18"/>
  <c r="Y291" i="18"/>
  <c r="Y294" i="18"/>
  <c r="Y319" i="18"/>
  <c r="Y327" i="18"/>
  <c r="Y325" i="18"/>
  <c r="Y317" i="18"/>
  <c r="Y338" i="18"/>
  <c r="Y308" i="18"/>
  <c r="Y343" i="18"/>
  <c r="Y341" i="18"/>
  <c r="Y297" i="18"/>
  <c r="Y326" i="18"/>
  <c r="Y267" i="18"/>
  <c r="Y288" i="18"/>
  <c r="Y320" i="18"/>
  <c r="Y304" i="18"/>
  <c r="Y318" i="18"/>
  <c r="Y269" i="18"/>
  <c r="Y315" i="18"/>
  <c r="Y289" i="18"/>
  <c r="Y334" i="18"/>
  <c r="Y276" i="18"/>
  <c r="Y292" i="18"/>
  <c r="Y278" i="18"/>
  <c r="Y310" i="18"/>
  <c r="Y330" i="18"/>
  <c r="Y281" i="18"/>
  <c r="Y290" i="18"/>
  <c r="Y265" i="18"/>
  <c r="Y344" i="18"/>
  <c r="Y305" i="18"/>
  <c r="Y340" i="18"/>
  <c r="Y324" i="18"/>
  <c r="Y268" i="18"/>
  <c r="Y298" i="18"/>
  <c r="Y333" i="18"/>
  <c r="Y339" i="18"/>
  <c r="Y274" i="18"/>
  <c r="Y311" i="18"/>
  <c r="Y329" i="18"/>
  <c r="Y332" i="18"/>
  <c r="Y313" i="18"/>
  <c r="Y296" i="18"/>
  <c r="Y328" i="18"/>
  <c r="Y316" i="18"/>
  <c r="Y303" i="18"/>
  <c r="Y295" i="18"/>
  <c r="Y331" i="18"/>
  <c r="Y273" i="18"/>
  <c r="Y309" i="18"/>
  <c r="Y299" i="18"/>
  <c r="Y337" i="18"/>
  <c r="Y306" i="18"/>
  <c r="Y300" i="18"/>
  <c r="Y335" i="18"/>
  <c r="Y293" i="18"/>
  <c r="Y275" i="18"/>
  <c r="AF286" i="18"/>
  <c r="AF282" i="18"/>
  <c r="AF277" i="18"/>
  <c r="AF307" i="18"/>
  <c r="AF340" i="18"/>
  <c r="AF325" i="18"/>
  <c r="AF272" i="18"/>
  <c r="AF274" i="18"/>
  <c r="AF341" i="18"/>
  <c r="AF304" i="18"/>
  <c r="AF342" i="18"/>
  <c r="AF266" i="18"/>
  <c r="AF320" i="18"/>
  <c r="AF318" i="18"/>
  <c r="AF326" i="18"/>
  <c r="AF296" i="18"/>
  <c r="AF335" i="18"/>
  <c r="AF298" i="18"/>
  <c r="AF333" i="18"/>
  <c r="AF314" i="18"/>
  <c r="AF295" i="18"/>
  <c r="AF280" i="18"/>
  <c r="AF301" i="18"/>
  <c r="AF278" i="18"/>
  <c r="AF319" i="18"/>
  <c r="AF292" i="18"/>
  <c r="AF293" i="18"/>
  <c r="AF330" i="18"/>
  <c r="AF311" i="18"/>
  <c r="AF273" i="18"/>
  <c r="AF317" i="18"/>
  <c r="AF313" i="18"/>
  <c r="AF300" i="18"/>
  <c r="AF294" i="18"/>
  <c r="AF343" i="18"/>
  <c r="AF279" i="18"/>
  <c r="AF288" i="18"/>
  <c r="AF322" i="18"/>
  <c r="AF267" i="18"/>
  <c r="AF329" i="18"/>
  <c r="AF276" i="18"/>
  <c r="AF283" i="18"/>
  <c r="AF332" i="18"/>
  <c r="AF287" i="18"/>
  <c r="AF328" i="18"/>
  <c r="AF327" i="18"/>
  <c r="AF338" i="18"/>
  <c r="AF306" i="18"/>
  <c r="AF344" i="18"/>
  <c r="AF315" i="18"/>
  <c r="AF285" i="18"/>
  <c r="AF337" i="18"/>
  <c r="AF324" i="18"/>
  <c r="AF303" i="18"/>
  <c r="AF336" i="18"/>
  <c r="AF310" i="18"/>
  <c r="AF265" i="18"/>
  <c r="AF312" i="18"/>
  <c r="AF275" i="18"/>
  <c r="AF270" i="18"/>
  <c r="AF308" i="18"/>
  <c r="AF290" i="18"/>
  <c r="AF305" i="18"/>
  <c r="AF321" i="18"/>
  <c r="AF284" i="18"/>
  <c r="AF269" i="18"/>
  <c r="AF289" i="18"/>
  <c r="AF271" i="18"/>
  <c r="AF334" i="18"/>
  <c r="AF316" i="18"/>
  <c r="AF281" i="18"/>
  <c r="AF323" i="18"/>
  <c r="AF339" i="18"/>
  <c r="AF268" i="18"/>
  <c r="AF309" i="18"/>
  <c r="AF302" i="18"/>
  <c r="AF331" i="18"/>
  <c r="AF299" i="18"/>
  <c r="AF297" i="18"/>
  <c r="AF291" i="18"/>
  <c r="CD251" i="18"/>
  <c r="CW167" i="18"/>
  <c r="CW249" i="18" s="1"/>
  <c r="CP188" i="18"/>
  <c r="CQ188" i="18"/>
  <c r="BS244" i="18"/>
  <c r="CW188" i="18"/>
  <c r="CO188" i="18"/>
  <c r="CM188" i="18"/>
  <c r="DP188" i="18"/>
  <c r="CK188" i="18"/>
  <c r="K39" i="12"/>
  <c r="CU236" i="18"/>
  <c r="D93" i="17"/>
  <c r="E93" i="17" s="1"/>
  <c r="CD243" i="18"/>
  <c r="BS243" i="18"/>
  <c r="BS242" i="18"/>
  <c r="DP180" i="18"/>
  <c r="K47" i="12"/>
  <c r="CD241" i="18"/>
  <c r="CW181" i="18"/>
  <c r="DP182" i="18"/>
  <c r="CW168" i="18"/>
  <c r="CW166" i="18"/>
  <c r="CW250" i="18" s="1"/>
  <c r="K45" i="12"/>
  <c r="CD233" i="18"/>
  <c r="CD237" i="18"/>
  <c r="CW169" i="18"/>
  <c r="CW248" i="18" s="1"/>
  <c r="CD234" i="18"/>
  <c r="CW199" i="18"/>
  <c r="CD236" i="18"/>
  <c r="CW202" i="18"/>
  <c r="CW240" i="18" s="1"/>
  <c r="CD240" i="18"/>
  <c r="CX165" i="18"/>
  <c r="CX234" i="18" s="1"/>
  <c r="CW200" i="18"/>
  <c r="CW201" i="18"/>
  <c r="K42" i="12"/>
  <c r="DP186" i="18"/>
  <c r="K29" i="12"/>
  <c r="CW178" i="18"/>
  <c r="CW244" i="18" s="1"/>
  <c r="CO186" i="18"/>
  <c r="BV244" i="18"/>
  <c r="CW186" i="18"/>
  <c r="CE244" i="18"/>
  <c r="CI244" i="18"/>
  <c r="CF244" i="18"/>
  <c r="DP178" i="18"/>
  <c r="CP186" i="18"/>
  <c r="K37" i="12"/>
  <c r="CO191" i="18"/>
  <c r="BY244" i="18"/>
  <c r="CO178" i="18"/>
  <c r="CQ178" i="18"/>
  <c r="CF240" i="18"/>
  <c r="CH240" i="18"/>
  <c r="BV240" i="18"/>
  <c r="DP202" i="18"/>
  <c r="DP240" i="18" s="1"/>
  <c r="BY240" i="18"/>
  <c r="CK186" i="18"/>
  <c r="CM186" i="18"/>
  <c r="BU244" i="18"/>
  <c r="CP178" i="18"/>
  <c r="CM178" i="18"/>
  <c r="CG240" i="18"/>
  <c r="CP181" i="18"/>
  <c r="CM175" i="18"/>
  <c r="CW189" i="18"/>
  <c r="DP181" i="18"/>
  <c r="CP182" i="18"/>
  <c r="CW182" i="18"/>
  <c r="K31" i="12"/>
  <c r="CK198" i="18"/>
  <c r="DP187" i="18"/>
  <c r="CK168" i="18"/>
  <c r="CM198" i="18"/>
  <c r="CM181" i="18"/>
  <c r="K32" i="12"/>
  <c r="K49" i="12"/>
  <c r="CW198" i="18"/>
  <c r="CK181" i="18"/>
  <c r="CO181" i="18"/>
  <c r="CQ181" i="18"/>
  <c r="CO189" i="18"/>
  <c r="CO182" i="18"/>
  <c r="K33" i="12"/>
  <c r="CK180" i="18"/>
  <c r="CK182" i="18"/>
  <c r="CM182" i="18"/>
  <c r="BW240" i="18"/>
  <c r="BU240" i="18"/>
  <c r="K53" i="12"/>
  <c r="CE240" i="18"/>
  <c r="CI240" i="18"/>
  <c r="CP180" i="18"/>
  <c r="CO180" i="18"/>
  <c r="CW180" i="18"/>
  <c r="CW246" i="18" s="1"/>
  <c r="K20" i="12"/>
  <c r="CM180" i="18"/>
  <c r="CP169" i="18"/>
  <c r="CP248" i="18" s="1"/>
  <c r="CK199" i="18"/>
  <c r="CP187" i="18"/>
  <c r="CO187" i="18"/>
  <c r="K38" i="12"/>
  <c r="DP195" i="18"/>
  <c r="BZ240" i="18"/>
  <c r="CC234" i="18"/>
  <c r="CK187" i="18"/>
  <c r="CQ187" i="18"/>
  <c r="CW187" i="18"/>
  <c r="CP185" i="18"/>
  <c r="DP199" i="18"/>
  <c r="DP169" i="18"/>
  <c r="DP248" i="18" s="1"/>
  <c r="CO173" i="18"/>
  <c r="CM187" i="18"/>
  <c r="CW172" i="18"/>
  <c r="CW236" i="18" s="1"/>
  <c r="CM172" i="18"/>
  <c r="DP172" i="18"/>
  <c r="CK172" i="18"/>
  <c r="CP172" i="18"/>
  <c r="K23" i="12"/>
  <c r="CO172" i="18"/>
  <c r="CK195" i="18"/>
  <c r="CM185" i="18"/>
  <c r="K36" i="12"/>
  <c r="CK185" i="18"/>
  <c r="DP185" i="18"/>
  <c r="CP195" i="18"/>
  <c r="K46" i="12"/>
  <c r="CW195" i="18"/>
  <c r="CM195" i="18"/>
  <c r="CN202" i="18"/>
  <c r="CN240" i="18" s="1"/>
  <c r="K26" i="12"/>
  <c r="CK191" i="18"/>
  <c r="CP191" i="18"/>
  <c r="DP191" i="18"/>
  <c r="DP168" i="18"/>
  <c r="K19" i="12"/>
  <c r="DP198" i="18"/>
  <c r="CO199" i="18"/>
  <c r="CQ199" i="18"/>
  <c r="CP198" i="18"/>
  <c r="CG237" i="18"/>
  <c r="CO175" i="18"/>
  <c r="K40" i="12"/>
  <c r="DP201" i="18"/>
  <c r="K50" i="12"/>
  <c r="CM199" i="18"/>
  <c r="CP199" i="18"/>
  <c r="CW175" i="18"/>
  <c r="CM191" i="18"/>
  <c r="CQ189" i="18"/>
  <c r="CO195" i="18"/>
  <c r="K52" i="12"/>
  <c r="CO201" i="18"/>
  <c r="CK175" i="18"/>
  <c r="DP175" i="18"/>
  <c r="CW191" i="18"/>
  <c r="CN189" i="18"/>
  <c r="CM189" i="18"/>
  <c r="DP189" i="18"/>
  <c r="CM201" i="18"/>
  <c r="CP201" i="18"/>
  <c r="CP175" i="18"/>
  <c r="CP189" i="18"/>
  <c r="CM169" i="18"/>
  <c r="CM248" i="18" s="1"/>
  <c r="BU234" i="18"/>
  <c r="CO185" i="18"/>
  <c r="CW185" i="18"/>
  <c r="BT234" i="18"/>
  <c r="DP173" i="18"/>
  <c r="K24" i="12"/>
  <c r="CW173" i="18"/>
  <c r="CW237" i="18" s="1"/>
  <c r="CK173" i="18"/>
  <c r="CP173" i="18"/>
  <c r="CN179" i="18"/>
  <c r="CS179" i="18"/>
  <c r="CM173" i="18"/>
  <c r="DP183" i="18"/>
  <c r="K34" i="12"/>
  <c r="CW183" i="18"/>
  <c r="CP183" i="18"/>
  <c r="CM183" i="18"/>
  <c r="CQ183" i="18"/>
  <c r="CO183" i="18"/>
  <c r="CJ179" i="18"/>
  <c r="CK179" i="18"/>
  <c r="DP193" i="18"/>
  <c r="CW193" i="18"/>
  <c r="K44" i="12"/>
  <c r="CM193" i="18"/>
  <c r="CP193" i="18"/>
  <c r="CQ193" i="18"/>
  <c r="CO193" i="18"/>
  <c r="CL179" i="18"/>
  <c r="K27" i="12"/>
  <c r="DP176" i="18"/>
  <c r="CW176" i="18"/>
  <c r="CM176" i="18"/>
  <c r="CP176" i="18"/>
  <c r="CO176" i="18"/>
  <c r="CQ176" i="18"/>
  <c r="BT242" i="18"/>
  <c r="DP184" i="18"/>
  <c r="K35" i="12"/>
  <c r="CW184" i="18"/>
  <c r="CM184" i="18"/>
  <c r="CQ184" i="18"/>
  <c r="CO184" i="18"/>
  <c r="CP184" i="18"/>
  <c r="DP177" i="18"/>
  <c r="CW177" i="18"/>
  <c r="CW243" i="18" s="1"/>
  <c r="K28" i="12"/>
  <c r="CP177" i="18"/>
  <c r="CM177" i="18"/>
  <c r="CO177" i="18"/>
  <c r="CM200" i="18"/>
  <c r="K41" i="12"/>
  <c r="DP190" i="18"/>
  <c r="CW190" i="18"/>
  <c r="CQ190" i="18"/>
  <c r="CO190" i="18"/>
  <c r="CM190" i="18"/>
  <c r="CP190" i="18"/>
  <c r="K43" i="12"/>
  <c r="DP192" i="18"/>
  <c r="CW192" i="18"/>
  <c r="CM192" i="18"/>
  <c r="CP192" i="18"/>
  <c r="CQ192" i="18"/>
  <c r="CO192" i="18"/>
  <c r="K48" i="12"/>
  <c r="DP197" i="18"/>
  <c r="K21" i="12"/>
  <c r="CM170" i="18"/>
  <c r="K25" i="12"/>
  <c r="DP174" i="18"/>
  <c r="CW174" i="18"/>
  <c r="CO174" i="18"/>
  <c r="CO239" i="18" s="1"/>
  <c r="CP174" i="18"/>
  <c r="CP239" i="18" s="1"/>
  <c r="CQ174" i="18"/>
  <c r="CM174" i="18"/>
  <c r="CR179" i="18"/>
  <c r="CP197" i="18"/>
  <c r="CO197" i="18"/>
  <c r="M333" i="18"/>
  <c r="M331" i="18"/>
  <c r="M323" i="18"/>
  <c r="M325" i="18"/>
  <c r="M318" i="18"/>
  <c r="M324" i="18"/>
  <c r="M308" i="18"/>
  <c r="M315" i="18"/>
  <c r="M300" i="18"/>
  <c r="M307" i="18"/>
  <c r="M317" i="18"/>
  <c r="M291" i="18"/>
  <c r="M275" i="18"/>
  <c r="M294" i="18"/>
  <c r="M281" i="18"/>
  <c r="M265" i="18"/>
  <c r="M292" i="18"/>
  <c r="M276" i="18"/>
  <c r="M266" i="18"/>
  <c r="M290" i="18"/>
  <c r="M343" i="18"/>
  <c r="M340" i="18"/>
  <c r="M344" i="18"/>
  <c r="M321" i="18"/>
  <c r="M314" i="18"/>
  <c r="M320" i="18"/>
  <c r="M330" i="18"/>
  <c r="M311" i="18"/>
  <c r="M296" i="18"/>
  <c r="M303" i="18"/>
  <c r="M305" i="18"/>
  <c r="M287" i="18"/>
  <c r="M271" i="18"/>
  <c r="M293" i="18"/>
  <c r="M277" i="18"/>
  <c r="M338" i="18"/>
  <c r="M288" i="18"/>
  <c r="M272" i="18"/>
  <c r="M278" i="18"/>
  <c r="M274" i="18"/>
  <c r="M341" i="18"/>
  <c r="M339" i="18"/>
  <c r="M332" i="18"/>
  <c r="M336" i="18"/>
  <c r="M342" i="18"/>
  <c r="M310" i="18"/>
  <c r="M316" i="18"/>
  <c r="M322" i="18"/>
  <c r="M313" i="18"/>
  <c r="M326" i="18"/>
  <c r="M299" i="18"/>
  <c r="M301" i="18"/>
  <c r="M283" i="18"/>
  <c r="M267" i="18"/>
  <c r="M289" i="18"/>
  <c r="M273" i="18"/>
  <c r="M306" i="18"/>
  <c r="M284" i="18"/>
  <c r="M268" i="18"/>
  <c r="M286" i="18"/>
  <c r="M329" i="18"/>
  <c r="M319" i="18"/>
  <c r="M297" i="18"/>
  <c r="M269" i="18"/>
  <c r="M270" i="18"/>
  <c r="M337" i="18"/>
  <c r="M328" i="18"/>
  <c r="M304" i="18"/>
  <c r="M279" i="18"/>
  <c r="M298" i="18"/>
  <c r="M335" i="18"/>
  <c r="M334" i="18"/>
  <c r="M309" i="18"/>
  <c r="M302" i="18"/>
  <c r="M280" i="18"/>
  <c r="M327" i="18"/>
  <c r="M312" i="18"/>
  <c r="M295" i="18"/>
  <c r="M285" i="18"/>
  <c r="M282" i="18"/>
  <c r="N336" i="18"/>
  <c r="N334" i="18"/>
  <c r="N326" i="18"/>
  <c r="N328" i="18"/>
  <c r="N317" i="18"/>
  <c r="N323" i="18"/>
  <c r="N337" i="18"/>
  <c r="N314" i="18"/>
  <c r="N303" i="18"/>
  <c r="N306" i="18"/>
  <c r="N325" i="18"/>
  <c r="N296" i="18"/>
  <c r="N282" i="18"/>
  <c r="N266" i="18"/>
  <c r="N284" i="18"/>
  <c r="N268" i="18"/>
  <c r="N287" i="18"/>
  <c r="N271" i="18"/>
  <c r="N293" i="18"/>
  <c r="N285" i="18"/>
  <c r="N332" i="18"/>
  <c r="N330" i="18"/>
  <c r="N322" i="18"/>
  <c r="N324" i="18"/>
  <c r="N313" i="18"/>
  <c r="N319" i="18"/>
  <c r="N329" i="18"/>
  <c r="N310" i="18"/>
  <c r="N299" i="18"/>
  <c r="N302" i="18"/>
  <c r="N316" i="18"/>
  <c r="N320" i="18"/>
  <c r="N278" i="18"/>
  <c r="N301" i="18"/>
  <c r="N280" i="18"/>
  <c r="N305" i="18"/>
  <c r="N283" i="18"/>
  <c r="N267" i="18"/>
  <c r="N277" i="18"/>
  <c r="N269" i="18"/>
  <c r="N344" i="18"/>
  <c r="N342" i="18"/>
  <c r="N339" i="18"/>
  <c r="N343" i="18"/>
  <c r="N341" i="18"/>
  <c r="N309" i="18"/>
  <c r="N315" i="18"/>
  <c r="N321" i="18"/>
  <c r="N312" i="18"/>
  <c r="N295" i="18"/>
  <c r="N298" i="18"/>
  <c r="N304" i="18"/>
  <c r="N290" i="18"/>
  <c r="N274" i="18"/>
  <c r="N292" i="18"/>
  <c r="N276" i="18"/>
  <c r="N297" i="18"/>
  <c r="N279" i="18"/>
  <c r="N281" i="18"/>
  <c r="N273" i="18"/>
  <c r="N335" i="18"/>
  <c r="N318" i="18"/>
  <c r="N300" i="18"/>
  <c r="N272" i="18"/>
  <c r="N289" i="18"/>
  <c r="N340" i="18"/>
  <c r="N327" i="18"/>
  <c r="N307" i="18"/>
  <c r="N286" i="18"/>
  <c r="N291" i="18"/>
  <c r="N338" i="18"/>
  <c r="N333" i="18"/>
  <c r="N308" i="18"/>
  <c r="N270" i="18"/>
  <c r="N275" i="18"/>
  <c r="N331" i="18"/>
  <c r="N311" i="18"/>
  <c r="N294" i="18"/>
  <c r="N288" i="18"/>
  <c r="N265" i="18"/>
  <c r="CW203" i="18"/>
  <c r="CK196" i="18"/>
  <c r="CP196" i="18"/>
  <c r="CV197" i="18"/>
  <c r="CV235" i="18" s="1"/>
  <c r="CW197" i="18"/>
  <c r="DP170" i="18"/>
  <c r="CW170" i="18"/>
  <c r="CW233" i="18" s="1"/>
  <c r="L334" i="18"/>
  <c r="L332" i="18"/>
  <c r="L324" i="18"/>
  <c r="L322" i="18"/>
  <c r="L321" i="18"/>
  <c r="L325" i="18"/>
  <c r="L339" i="18"/>
  <c r="L316" i="18"/>
  <c r="L301" i="18"/>
  <c r="L300" i="18"/>
  <c r="L306" i="18"/>
  <c r="L292" i="18"/>
  <c r="L276" i="18"/>
  <c r="L290" i="18"/>
  <c r="L274" i="18"/>
  <c r="L307" i="18"/>
  <c r="L289" i="18"/>
  <c r="L273" i="18"/>
  <c r="L267" i="18"/>
  <c r="L275" i="18"/>
  <c r="L344" i="18"/>
  <c r="L341" i="18"/>
  <c r="L337" i="18"/>
  <c r="L343" i="18"/>
  <c r="L319" i="18"/>
  <c r="L317" i="18"/>
  <c r="L331" i="18"/>
  <c r="L312" i="18"/>
  <c r="L297" i="18"/>
  <c r="L296" i="18"/>
  <c r="L302" i="18"/>
  <c r="L288" i="18"/>
  <c r="L272" i="18"/>
  <c r="L286" i="18"/>
  <c r="L270" i="18"/>
  <c r="L299" i="18"/>
  <c r="L285" i="18"/>
  <c r="L269" i="18"/>
  <c r="L287" i="18"/>
  <c r="L291" i="18"/>
  <c r="L338" i="18"/>
  <c r="L336" i="18"/>
  <c r="L328" i="18"/>
  <c r="L326" i="18"/>
  <c r="L329" i="18"/>
  <c r="L342" i="18"/>
  <c r="L340" i="18"/>
  <c r="L333" i="18"/>
  <c r="L330" i="18"/>
  <c r="L335" i="18"/>
  <c r="L315" i="18"/>
  <c r="L313" i="18"/>
  <c r="L323" i="18"/>
  <c r="L314" i="18"/>
  <c r="L310" i="18"/>
  <c r="L327" i="18"/>
  <c r="L298" i="18"/>
  <c r="L284" i="18"/>
  <c r="L268" i="18"/>
  <c r="L282" i="18"/>
  <c r="L266" i="18"/>
  <c r="L294" i="18"/>
  <c r="L281" i="18"/>
  <c r="L265" i="18"/>
  <c r="L271" i="18"/>
  <c r="L320" i="18"/>
  <c r="L295" i="18"/>
  <c r="L308" i="18"/>
  <c r="L279" i="18"/>
  <c r="L305" i="18"/>
  <c r="L280" i="18"/>
  <c r="L293" i="18"/>
  <c r="L311" i="18"/>
  <c r="L304" i="18"/>
  <c r="L303" i="18"/>
  <c r="L277" i="18"/>
  <c r="L309" i="18"/>
  <c r="L318" i="18"/>
  <c r="L278" i="18"/>
  <c r="L283" i="18"/>
  <c r="CW196" i="18"/>
  <c r="CY171" i="18"/>
  <c r="CW171" i="18"/>
  <c r="CW235" i="18" s="1"/>
  <c r="O335" i="18"/>
  <c r="O333" i="18"/>
  <c r="O325" i="18"/>
  <c r="O327" i="18"/>
  <c r="O326" i="18"/>
  <c r="O308" i="18"/>
  <c r="O314" i="18"/>
  <c r="O313" i="18"/>
  <c r="O302" i="18"/>
  <c r="O305" i="18"/>
  <c r="O336" i="18"/>
  <c r="O299" i="18"/>
  <c r="O281" i="18"/>
  <c r="O265" i="18"/>
  <c r="O283" i="18"/>
  <c r="O267" i="18"/>
  <c r="O290" i="18"/>
  <c r="O274" i="18"/>
  <c r="O272" i="18"/>
  <c r="O276" i="18"/>
  <c r="O331" i="18"/>
  <c r="O338" i="18"/>
  <c r="O321" i="18"/>
  <c r="O323" i="18"/>
  <c r="O320" i="18"/>
  <c r="O332" i="18"/>
  <c r="O310" i="18"/>
  <c r="O309" i="18"/>
  <c r="O298" i="18"/>
  <c r="O301" i="18"/>
  <c r="O315" i="18"/>
  <c r="O295" i="18"/>
  <c r="O277" i="18"/>
  <c r="O300" i="18"/>
  <c r="O279" i="18"/>
  <c r="O319" i="18"/>
  <c r="O286" i="18"/>
  <c r="O270" i="18"/>
  <c r="O284" i="18"/>
  <c r="O288" i="18"/>
  <c r="O343" i="18"/>
  <c r="O341" i="18"/>
  <c r="O330" i="18"/>
  <c r="O342" i="18"/>
  <c r="O340" i="18"/>
  <c r="O316" i="18"/>
  <c r="O322" i="18"/>
  <c r="O328" i="18"/>
  <c r="O311" i="18"/>
  <c r="O294" i="18"/>
  <c r="O297" i="18"/>
  <c r="O307" i="18"/>
  <c r="O289" i="18"/>
  <c r="O273" i="18"/>
  <c r="O291" i="18"/>
  <c r="O275" i="18"/>
  <c r="O304" i="18"/>
  <c r="O282" i="18"/>
  <c r="O266" i="18"/>
  <c r="O268" i="18"/>
  <c r="O334" i="18"/>
  <c r="O317" i="18"/>
  <c r="O303" i="18"/>
  <c r="O271" i="18"/>
  <c r="O292" i="18"/>
  <c r="O339" i="18"/>
  <c r="O344" i="18"/>
  <c r="O306" i="18"/>
  <c r="O285" i="18"/>
  <c r="O296" i="18"/>
  <c r="O337" i="18"/>
  <c r="O312" i="18"/>
  <c r="O324" i="18"/>
  <c r="O269" i="18"/>
  <c r="O278" i="18"/>
  <c r="O329" i="18"/>
  <c r="O318" i="18"/>
  <c r="O293" i="18"/>
  <c r="O287" i="18"/>
  <c r="O280" i="18"/>
  <c r="CO194" i="18"/>
  <c r="CM194" i="18"/>
  <c r="CP194" i="18"/>
  <c r="CW194" i="18"/>
  <c r="CX232" i="18"/>
  <c r="CM196" i="18"/>
  <c r="E158" i="17"/>
  <c r="BS235" i="18"/>
  <c r="CO196" i="18"/>
  <c r="DP196" i="18"/>
  <c r="CK197" i="18"/>
  <c r="CM197" i="18"/>
  <c r="E56" i="17"/>
  <c r="DP203" i="18"/>
  <c r="K54" i="12"/>
  <c r="CV203" i="18"/>
  <c r="K51" i="12"/>
  <c r="BS213" i="18"/>
  <c r="BS239" i="18"/>
  <c r="CO200" i="18"/>
  <c r="DP200" i="18"/>
  <c r="CP200" i="18"/>
  <c r="J344" i="18"/>
  <c r="J342" i="18"/>
  <c r="J335" i="18"/>
  <c r="J339" i="18"/>
  <c r="J337" i="18"/>
  <c r="J309" i="18"/>
  <c r="J311" i="18"/>
  <c r="J318" i="18"/>
  <c r="J316" i="18"/>
  <c r="J295" i="18"/>
  <c r="J298" i="18"/>
  <c r="J308" i="18"/>
  <c r="J297" i="18"/>
  <c r="J278" i="18"/>
  <c r="J305" i="18"/>
  <c r="J280" i="18"/>
  <c r="J301" i="18"/>
  <c r="J279" i="18"/>
  <c r="J285" i="18"/>
  <c r="J293" i="18"/>
  <c r="J334" i="18"/>
  <c r="J317" i="18"/>
  <c r="J310" i="18"/>
  <c r="J306" i="18"/>
  <c r="J300" i="18"/>
  <c r="J286" i="18"/>
  <c r="J288" i="18"/>
  <c r="J287" i="18"/>
  <c r="J281" i="18"/>
  <c r="J332" i="18"/>
  <c r="J322" i="18"/>
  <c r="J324" i="18"/>
  <c r="J315" i="18"/>
  <c r="J321" i="18"/>
  <c r="J302" i="18"/>
  <c r="J296" i="18"/>
  <c r="J266" i="18"/>
  <c r="J268" i="18"/>
  <c r="J267" i="18"/>
  <c r="J273" i="18"/>
  <c r="J340" i="18"/>
  <c r="J338" i="18"/>
  <c r="J330" i="18"/>
  <c r="J331" i="18"/>
  <c r="J323" i="18"/>
  <c r="J327" i="18"/>
  <c r="J341" i="18"/>
  <c r="J314" i="18"/>
  <c r="J307" i="18"/>
  <c r="J312" i="18"/>
  <c r="J294" i="18"/>
  <c r="J304" i="18"/>
  <c r="J290" i="18"/>
  <c r="J274" i="18"/>
  <c r="J292" i="18"/>
  <c r="J276" i="18"/>
  <c r="J291" i="18"/>
  <c r="J275" i="18"/>
  <c r="J269" i="18"/>
  <c r="J277" i="18"/>
  <c r="J336" i="18"/>
  <c r="J326" i="18"/>
  <c r="J328" i="18"/>
  <c r="J319" i="18"/>
  <c r="J333" i="18"/>
  <c r="J303" i="18"/>
  <c r="J329" i="18"/>
  <c r="J270" i="18"/>
  <c r="J272" i="18"/>
  <c r="J271" i="18"/>
  <c r="J289" i="18"/>
  <c r="J343" i="18"/>
  <c r="J313" i="18"/>
  <c r="J325" i="18"/>
  <c r="J299" i="18"/>
  <c r="J320" i="18"/>
  <c r="J282" i="18"/>
  <c r="J284" i="18"/>
  <c r="J283" i="18"/>
  <c r="J265" i="18"/>
  <c r="CM171" i="18"/>
  <c r="CQ171" i="18"/>
  <c r="CP171" i="18"/>
  <c r="CP235" i="18" s="1"/>
  <c r="CK171" i="18"/>
  <c r="CO171" i="18"/>
  <c r="K331" i="18"/>
  <c r="K342" i="18"/>
  <c r="K321" i="18"/>
  <c r="K344" i="18"/>
  <c r="K320" i="18"/>
  <c r="K326" i="18"/>
  <c r="K332" i="18"/>
  <c r="K309" i="18"/>
  <c r="K298" i="18"/>
  <c r="K311" i="18"/>
  <c r="K319" i="18"/>
  <c r="K295" i="18"/>
  <c r="K285" i="18"/>
  <c r="K269" i="18"/>
  <c r="K287" i="18"/>
  <c r="K271" i="18"/>
  <c r="K286" i="18"/>
  <c r="K270" i="18"/>
  <c r="K276" i="18"/>
  <c r="K292" i="18"/>
  <c r="K337" i="18"/>
  <c r="K330" i="18"/>
  <c r="K314" i="18"/>
  <c r="K306" i="18"/>
  <c r="K301" i="18"/>
  <c r="K293" i="18"/>
  <c r="K304" i="18"/>
  <c r="K300" i="18"/>
  <c r="K284" i="18"/>
  <c r="K333" i="18"/>
  <c r="K323" i="18"/>
  <c r="K308" i="18"/>
  <c r="K313" i="18"/>
  <c r="K328" i="18"/>
  <c r="K299" i="18"/>
  <c r="K273" i="18"/>
  <c r="K275" i="18"/>
  <c r="K268" i="18"/>
  <c r="K343" i="18"/>
  <c r="K341" i="18"/>
  <c r="K334" i="18"/>
  <c r="K338" i="18"/>
  <c r="K336" i="18"/>
  <c r="K316" i="18"/>
  <c r="K318" i="18"/>
  <c r="K324" i="18"/>
  <c r="K315" i="18"/>
  <c r="K294" i="18"/>
  <c r="K305" i="18"/>
  <c r="K307" i="18"/>
  <c r="K296" i="18"/>
  <c r="K281" i="18"/>
  <c r="K265" i="18"/>
  <c r="K283" i="18"/>
  <c r="K267" i="18"/>
  <c r="K282" i="18"/>
  <c r="K266" i="18"/>
  <c r="K280" i="18"/>
  <c r="K339" i="18"/>
  <c r="K329" i="18"/>
  <c r="K327" i="18"/>
  <c r="K312" i="18"/>
  <c r="K317" i="18"/>
  <c r="K340" i="18"/>
  <c r="K303" i="18"/>
  <c r="K277" i="18"/>
  <c r="K279" i="18"/>
  <c r="K278" i="18"/>
  <c r="K288" i="18"/>
  <c r="K335" i="18"/>
  <c r="K325" i="18"/>
  <c r="K322" i="18"/>
  <c r="K310" i="18"/>
  <c r="K302" i="18"/>
  <c r="K297" i="18"/>
  <c r="K289" i="18"/>
  <c r="K291" i="18"/>
  <c r="K290" i="18"/>
  <c r="K274" i="18"/>
  <c r="K272" i="18"/>
  <c r="BS247" i="18"/>
  <c r="BS251" i="18"/>
  <c r="P334" i="18"/>
  <c r="P336" i="18"/>
  <c r="P324" i="18"/>
  <c r="P326" i="18"/>
  <c r="P319" i="18"/>
  <c r="P331" i="18"/>
  <c r="P313" i="18"/>
  <c r="P316" i="18"/>
  <c r="P305" i="18"/>
  <c r="P300" i="18"/>
  <c r="P306" i="18"/>
  <c r="P293" i="18"/>
  <c r="P280" i="18"/>
  <c r="P318" i="18"/>
  <c r="P282" i="18"/>
  <c r="P266" i="18"/>
  <c r="P281" i="18"/>
  <c r="P265" i="18"/>
  <c r="P275" i="18"/>
  <c r="P294" i="18"/>
  <c r="P342" i="18"/>
  <c r="P337" i="18"/>
  <c r="P339" i="18"/>
  <c r="P321" i="18"/>
  <c r="P297" i="18"/>
  <c r="P298" i="18"/>
  <c r="P288" i="18"/>
  <c r="P290" i="18"/>
  <c r="P289" i="18"/>
  <c r="P279" i="18"/>
  <c r="P340" i="18"/>
  <c r="P333" i="18"/>
  <c r="P343" i="18"/>
  <c r="P327" i="18"/>
  <c r="P304" i="18"/>
  <c r="P307" i="18"/>
  <c r="P268" i="18"/>
  <c r="P270" i="18"/>
  <c r="P269" i="18"/>
  <c r="P267" i="18"/>
  <c r="P330" i="18"/>
  <c r="P332" i="18"/>
  <c r="P320" i="18"/>
  <c r="P322" i="18"/>
  <c r="P315" i="18"/>
  <c r="P329" i="18"/>
  <c r="P309" i="18"/>
  <c r="P312" i="18"/>
  <c r="P301" i="18"/>
  <c r="P296" i="18"/>
  <c r="P302" i="18"/>
  <c r="P292" i="18"/>
  <c r="P276" i="18"/>
  <c r="P299" i="18"/>
  <c r="P278" i="18"/>
  <c r="P295" i="18"/>
  <c r="P277" i="18"/>
  <c r="P303" i="18"/>
  <c r="P271" i="18"/>
  <c r="P287" i="18"/>
  <c r="P344" i="18"/>
  <c r="P341" i="18"/>
  <c r="P311" i="18"/>
  <c r="P335" i="18"/>
  <c r="P308" i="18"/>
  <c r="P323" i="18"/>
  <c r="P272" i="18"/>
  <c r="P274" i="18"/>
  <c r="P273" i="18"/>
  <c r="P283" i="18"/>
  <c r="P338" i="18"/>
  <c r="P328" i="18"/>
  <c r="P325" i="18"/>
  <c r="P317" i="18"/>
  <c r="P310" i="18"/>
  <c r="P314" i="18"/>
  <c r="P284" i="18"/>
  <c r="P286" i="18"/>
  <c r="P285" i="18"/>
  <c r="P291" i="18"/>
  <c r="Q333" i="18"/>
  <c r="Q331" i="18"/>
  <c r="Q323" i="18"/>
  <c r="Q325" i="18"/>
  <c r="Q324" i="18"/>
  <c r="Q330" i="18"/>
  <c r="Q308" i="18"/>
  <c r="Q315" i="18"/>
  <c r="Q304" i="18"/>
  <c r="Q307" i="18"/>
  <c r="Q313" i="18"/>
  <c r="Q306" i="18"/>
  <c r="Q283" i="18"/>
  <c r="Q267" i="18"/>
  <c r="Q281" i="18"/>
  <c r="Q265" i="18"/>
  <c r="Q288" i="18"/>
  <c r="Q272" i="18"/>
  <c r="Q266" i="18"/>
  <c r="Q286" i="18"/>
  <c r="Q341" i="18"/>
  <c r="Q336" i="18"/>
  <c r="Q338" i="18"/>
  <c r="Q320" i="18"/>
  <c r="Q296" i="18"/>
  <c r="Q301" i="18"/>
  <c r="Q275" i="18"/>
  <c r="Q273" i="18"/>
  <c r="Q280" i="18"/>
  <c r="Q278" i="18"/>
  <c r="Q327" i="18"/>
  <c r="Q342" i="18"/>
  <c r="Q312" i="18"/>
  <c r="Q322" i="18"/>
  <c r="Q297" i="18"/>
  <c r="Q271" i="18"/>
  <c r="Q285" i="18"/>
  <c r="Q292" i="18"/>
  <c r="Q270" i="18"/>
  <c r="Q343" i="18"/>
  <c r="Q344" i="18"/>
  <c r="Q340" i="18"/>
  <c r="Q321" i="18"/>
  <c r="Q318" i="18"/>
  <c r="Q328" i="18"/>
  <c r="Q326" i="18"/>
  <c r="Q311" i="18"/>
  <c r="Q300" i="18"/>
  <c r="Q303" i="18"/>
  <c r="Q305" i="18"/>
  <c r="Q294" i="18"/>
  <c r="Q279" i="18"/>
  <c r="Q298" i="18"/>
  <c r="Q277" i="18"/>
  <c r="Q317" i="18"/>
  <c r="Q284" i="18"/>
  <c r="Q268" i="18"/>
  <c r="Q302" i="18"/>
  <c r="Q282" i="18"/>
  <c r="Q339" i="18"/>
  <c r="Q332" i="18"/>
  <c r="Q314" i="18"/>
  <c r="Q316" i="18"/>
  <c r="Q334" i="18"/>
  <c r="Q299" i="18"/>
  <c r="Q291" i="18"/>
  <c r="Q289" i="18"/>
  <c r="Q293" i="18"/>
  <c r="Q290" i="18"/>
  <c r="Q337" i="18"/>
  <c r="Q335" i="18"/>
  <c r="Q329" i="18"/>
  <c r="Q310" i="18"/>
  <c r="Q319" i="18"/>
  <c r="Q309" i="18"/>
  <c r="Q295" i="18"/>
  <c r="Q287" i="18"/>
  <c r="Q269" i="18"/>
  <c r="Q276" i="18"/>
  <c r="Q274" i="18"/>
  <c r="R336" i="18"/>
  <c r="R334" i="18"/>
  <c r="R326" i="18"/>
  <c r="R328" i="18"/>
  <c r="R317" i="18"/>
  <c r="R327" i="18"/>
  <c r="R311" i="18"/>
  <c r="R310" i="18"/>
  <c r="R299" i="18"/>
  <c r="R302" i="18"/>
  <c r="R312" i="18"/>
  <c r="R316" i="18"/>
  <c r="R282" i="18"/>
  <c r="R266" i="18"/>
  <c r="R288" i="18"/>
  <c r="R272" i="18"/>
  <c r="R287" i="18"/>
  <c r="R271" i="18"/>
  <c r="R273" i="18"/>
  <c r="R285" i="18"/>
  <c r="R342" i="18"/>
  <c r="R339" i="18"/>
  <c r="R309" i="18"/>
  <c r="R318" i="18"/>
  <c r="R333" i="18"/>
  <c r="R294" i="18"/>
  <c r="R290" i="18"/>
  <c r="R293" i="18"/>
  <c r="R329" i="18"/>
  <c r="R277" i="18"/>
  <c r="R340" i="18"/>
  <c r="R335" i="18"/>
  <c r="R323" i="18"/>
  <c r="R315" i="18"/>
  <c r="R303" i="18"/>
  <c r="R321" i="18"/>
  <c r="R286" i="18"/>
  <c r="R292" i="18"/>
  <c r="R291" i="18"/>
  <c r="R301" i="18"/>
  <c r="R332" i="18"/>
  <c r="R330" i="18"/>
  <c r="R322" i="18"/>
  <c r="R324" i="18"/>
  <c r="R313" i="18"/>
  <c r="R320" i="18"/>
  <c r="R325" i="18"/>
  <c r="R308" i="18"/>
  <c r="R295" i="18"/>
  <c r="R298" i="18"/>
  <c r="R304" i="18"/>
  <c r="R305" i="18"/>
  <c r="R278" i="18"/>
  <c r="R297" i="18"/>
  <c r="R284" i="18"/>
  <c r="R268" i="18"/>
  <c r="R283" i="18"/>
  <c r="R267" i="18"/>
  <c r="R281" i="18"/>
  <c r="R269" i="18"/>
  <c r="R344" i="18"/>
  <c r="R343" i="18"/>
  <c r="R337" i="18"/>
  <c r="R319" i="18"/>
  <c r="R307" i="18"/>
  <c r="R300" i="18"/>
  <c r="R274" i="18"/>
  <c r="R280" i="18"/>
  <c r="R279" i="18"/>
  <c r="R265" i="18"/>
  <c r="R338" i="18"/>
  <c r="R331" i="18"/>
  <c r="R341" i="18"/>
  <c r="R314" i="18"/>
  <c r="R306" i="18"/>
  <c r="R296" i="18"/>
  <c r="R270" i="18"/>
  <c r="R276" i="18"/>
  <c r="R275" i="18"/>
  <c r="R289" i="18"/>
  <c r="S335" i="18"/>
  <c r="S333" i="18"/>
  <c r="S325" i="18"/>
  <c r="S327" i="18"/>
  <c r="S340" i="18"/>
  <c r="S308" i="18"/>
  <c r="S310" i="18"/>
  <c r="S309" i="18"/>
  <c r="S298" i="18"/>
  <c r="S305" i="18"/>
  <c r="S311" i="18"/>
  <c r="S295" i="18"/>
  <c r="S281" i="18"/>
  <c r="S265" i="18"/>
  <c r="S287" i="18"/>
  <c r="S271" i="18"/>
  <c r="S286" i="18"/>
  <c r="S270" i="18"/>
  <c r="S280" i="18"/>
  <c r="S268" i="18"/>
  <c r="S343" i="18"/>
  <c r="S341" i="18"/>
  <c r="S334" i="18"/>
  <c r="S338" i="18"/>
  <c r="S344" i="18"/>
  <c r="S316" i="18"/>
  <c r="S318" i="18"/>
  <c r="S317" i="18"/>
  <c r="S306" i="18"/>
  <c r="S320" i="18"/>
  <c r="S297" i="18"/>
  <c r="S303" i="18"/>
  <c r="S289" i="18"/>
  <c r="S273" i="18"/>
  <c r="S296" i="18"/>
  <c r="S279" i="18"/>
  <c r="S315" i="18"/>
  <c r="S278" i="18"/>
  <c r="S292" i="18"/>
  <c r="S272" i="18"/>
  <c r="S339" i="18"/>
  <c r="S337" i="18"/>
  <c r="S329" i="18"/>
  <c r="S330" i="18"/>
  <c r="S336" i="18"/>
  <c r="S312" i="18"/>
  <c r="S314" i="18"/>
  <c r="S313" i="18"/>
  <c r="S302" i="18"/>
  <c r="S319" i="18"/>
  <c r="S293" i="18"/>
  <c r="S299" i="18"/>
  <c r="S285" i="18"/>
  <c r="S269" i="18"/>
  <c r="S291" i="18"/>
  <c r="S275" i="18"/>
  <c r="S290" i="18"/>
  <c r="S274" i="18"/>
  <c r="S276" i="18"/>
  <c r="S284" i="18"/>
  <c r="S331" i="18"/>
  <c r="S342" i="18"/>
  <c r="S321" i="18"/>
  <c r="S323" i="18"/>
  <c r="S322" i="18"/>
  <c r="S326" i="18"/>
  <c r="S324" i="18"/>
  <c r="S328" i="18"/>
  <c r="S294" i="18"/>
  <c r="S301" i="18"/>
  <c r="S307" i="18"/>
  <c r="S304" i="18"/>
  <c r="S277" i="18"/>
  <c r="S332" i="18"/>
  <c r="S283" i="18"/>
  <c r="S267" i="18"/>
  <c r="S282" i="18"/>
  <c r="S266" i="18"/>
  <c r="S288" i="18"/>
  <c r="S300" i="18"/>
  <c r="T334" i="18"/>
  <c r="T336" i="18"/>
  <c r="T328" i="18"/>
  <c r="T326" i="18"/>
  <c r="T329" i="18"/>
  <c r="T311" i="18"/>
  <c r="T313" i="18"/>
  <c r="T312" i="18"/>
  <c r="T297" i="18"/>
  <c r="T296" i="18"/>
  <c r="T302" i="18"/>
  <c r="T292" i="18"/>
  <c r="T276" i="18"/>
  <c r="T295" i="18"/>
  <c r="T278" i="18"/>
  <c r="T307" i="18"/>
  <c r="T281" i="18"/>
  <c r="T265" i="18"/>
  <c r="T275" i="18"/>
  <c r="T283" i="18"/>
  <c r="T330" i="18"/>
  <c r="T324" i="18"/>
  <c r="T321" i="18"/>
  <c r="T309" i="18"/>
  <c r="T318" i="18"/>
  <c r="T288" i="18"/>
  <c r="T290" i="18"/>
  <c r="T294" i="18"/>
  <c r="T299" i="18"/>
  <c r="T279" i="18"/>
  <c r="T338" i="18"/>
  <c r="T340" i="18"/>
  <c r="T333" i="18"/>
  <c r="T337" i="18"/>
  <c r="T335" i="18"/>
  <c r="T315" i="18"/>
  <c r="T317" i="18"/>
  <c r="T316" i="18"/>
  <c r="T301" i="18"/>
  <c r="T300" i="18"/>
  <c r="T306" i="18"/>
  <c r="T303" i="18"/>
  <c r="T280" i="18"/>
  <c r="T314" i="18"/>
  <c r="T282" i="18"/>
  <c r="T266" i="18"/>
  <c r="T285" i="18"/>
  <c r="T269" i="18"/>
  <c r="T291" i="18"/>
  <c r="T271" i="18"/>
  <c r="T332" i="18"/>
  <c r="T322" i="18"/>
  <c r="T339" i="18"/>
  <c r="T308" i="18"/>
  <c r="T331" i="18"/>
  <c r="T298" i="18"/>
  <c r="T272" i="18"/>
  <c r="T274" i="18"/>
  <c r="T277" i="18"/>
  <c r="T267" i="18"/>
  <c r="T342" i="18"/>
  <c r="T344" i="18"/>
  <c r="T341" i="18"/>
  <c r="T320" i="18"/>
  <c r="T343" i="18"/>
  <c r="T319" i="18"/>
  <c r="T325" i="18"/>
  <c r="T323" i="18"/>
  <c r="T305" i="18"/>
  <c r="T304" i="18"/>
  <c r="T310" i="18"/>
  <c r="T327" i="18"/>
  <c r="T284" i="18"/>
  <c r="T268" i="18"/>
  <c r="T286" i="18"/>
  <c r="T270" i="18"/>
  <c r="T289" i="18"/>
  <c r="T273" i="18"/>
  <c r="T293" i="18"/>
  <c r="T287" i="18"/>
  <c r="U333" i="18"/>
  <c r="U331" i="18"/>
  <c r="U323" i="18"/>
  <c r="U325" i="18"/>
  <c r="U338" i="18"/>
  <c r="U314" i="18"/>
  <c r="U312" i="18"/>
  <c r="U315" i="18"/>
  <c r="U304" i="18"/>
  <c r="U307" i="18"/>
  <c r="U309" i="18"/>
  <c r="U302" i="18"/>
  <c r="U283" i="18"/>
  <c r="U267" i="18"/>
  <c r="U281" i="18"/>
  <c r="U265" i="18"/>
  <c r="U288" i="18"/>
  <c r="U272" i="18"/>
  <c r="U298" i="18"/>
  <c r="U278" i="18"/>
  <c r="U343" i="18"/>
  <c r="U340" i="18"/>
  <c r="U344" i="18"/>
  <c r="U321" i="18"/>
  <c r="U328" i="18"/>
  <c r="U310" i="18"/>
  <c r="U308" i="18"/>
  <c r="U311" i="18"/>
  <c r="U300" i="18"/>
  <c r="U303" i="18"/>
  <c r="U305" i="18"/>
  <c r="U293" i="18"/>
  <c r="U279" i="18"/>
  <c r="U294" i="18"/>
  <c r="U277" i="18"/>
  <c r="U313" i="18"/>
  <c r="U284" i="18"/>
  <c r="U268" i="18"/>
  <c r="U286" i="18"/>
  <c r="U266" i="18"/>
  <c r="U341" i="18"/>
  <c r="U339" i="18"/>
  <c r="U332" i="18"/>
  <c r="U336" i="18"/>
  <c r="U342" i="18"/>
  <c r="U320" i="18"/>
  <c r="U324" i="18"/>
  <c r="U322" i="18"/>
  <c r="U330" i="18"/>
  <c r="U296" i="18"/>
  <c r="U299" i="18"/>
  <c r="U301" i="18"/>
  <c r="U291" i="18"/>
  <c r="U275" i="18"/>
  <c r="U289" i="18"/>
  <c r="U273" i="18"/>
  <c r="U306" i="18"/>
  <c r="U280" i="18"/>
  <c r="U290" i="18"/>
  <c r="U270" i="18"/>
  <c r="U337" i="18"/>
  <c r="U335" i="18"/>
  <c r="U327" i="18"/>
  <c r="U329" i="18"/>
  <c r="U334" i="18"/>
  <c r="U318" i="18"/>
  <c r="U316" i="18"/>
  <c r="U319" i="18"/>
  <c r="U326" i="18"/>
  <c r="U317" i="18"/>
  <c r="U295" i="18"/>
  <c r="U297" i="18"/>
  <c r="U287" i="18"/>
  <c r="U271" i="18"/>
  <c r="U285" i="18"/>
  <c r="U269" i="18"/>
  <c r="U292" i="18"/>
  <c r="U276" i="18"/>
  <c r="U274" i="18"/>
  <c r="U282" i="18"/>
  <c r="V336" i="18"/>
  <c r="V334" i="18"/>
  <c r="V326" i="18"/>
  <c r="V328" i="18"/>
  <c r="V333" i="18"/>
  <c r="V309" i="18"/>
  <c r="V315" i="18"/>
  <c r="V318" i="18"/>
  <c r="V303" i="18"/>
  <c r="V306" i="18"/>
  <c r="V308" i="18"/>
  <c r="V312" i="18"/>
  <c r="V282" i="18"/>
  <c r="V266" i="18"/>
  <c r="V280" i="18"/>
  <c r="V325" i="18"/>
  <c r="V287" i="18"/>
  <c r="V271" i="18"/>
  <c r="V281" i="18"/>
  <c r="V265" i="18"/>
  <c r="V344" i="18"/>
  <c r="V342" i="18"/>
  <c r="V343" i="18"/>
  <c r="V317" i="18"/>
  <c r="V329" i="18"/>
  <c r="V295" i="18"/>
  <c r="V300" i="18"/>
  <c r="V288" i="18"/>
  <c r="V293" i="18"/>
  <c r="V289" i="18"/>
  <c r="V340" i="18"/>
  <c r="V331" i="18"/>
  <c r="V341" i="18"/>
  <c r="V319" i="18"/>
  <c r="V307" i="18"/>
  <c r="V294" i="18"/>
  <c r="V286" i="18"/>
  <c r="V284" i="18"/>
  <c r="V291" i="18"/>
  <c r="V273" i="18"/>
  <c r="V332" i="18"/>
  <c r="V330" i="18"/>
  <c r="V322" i="18"/>
  <c r="V324" i="18"/>
  <c r="V327" i="18"/>
  <c r="V337" i="18"/>
  <c r="V311" i="18"/>
  <c r="V314" i="18"/>
  <c r="V299" i="18"/>
  <c r="V302" i="18"/>
  <c r="V304" i="18"/>
  <c r="V301" i="18"/>
  <c r="V278" i="18"/>
  <c r="V292" i="18"/>
  <c r="V276" i="18"/>
  <c r="V305" i="18"/>
  <c r="V283" i="18"/>
  <c r="V267" i="18"/>
  <c r="V277" i="18"/>
  <c r="V297" i="18"/>
  <c r="V339" i="18"/>
  <c r="V320" i="18"/>
  <c r="V323" i="18"/>
  <c r="V310" i="18"/>
  <c r="V298" i="18"/>
  <c r="V290" i="18"/>
  <c r="V274" i="18"/>
  <c r="V272" i="18"/>
  <c r="V279" i="18"/>
  <c r="V285" i="18"/>
  <c r="V338" i="18"/>
  <c r="V335" i="18"/>
  <c r="V313" i="18"/>
  <c r="V321" i="18"/>
  <c r="V316" i="18"/>
  <c r="V296" i="18"/>
  <c r="V270" i="18"/>
  <c r="V268" i="18"/>
  <c r="V275" i="18"/>
  <c r="V269" i="18"/>
  <c r="W331" i="18"/>
  <c r="W338" i="18"/>
  <c r="W321" i="18"/>
  <c r="W323" i="18"/>
  <c r="W326" i="18"/>
  <c r="W322" i="18"/>
  <c r="W344" i="18"/>
  <c r="W313" i="18"/>
  <c r="W306" i="18"/>
  <c r="W315" i="18"/>
  <c r="W293" i="18"/>
  <c r="W295" i="18"/>
  <c r="W281" i="18"/>
  <c r="W265" i="18"/>
  <c r="W279" i="18"/>
  <c r="W311" i="18"/>
  <c r="W282" i="18"/>
  <c r="W266" i="18"/>
  <c r="W292" i="18"/>
  <c r="W276" i="18"/>
  <c r="W341" i="18"/>
  <c r="W340" i="18"/>
  <c r="W318" i="18"/>
  <c r="W309" i="18"/>
  <c r="W305" i="18"/>
  <c r="W300" i="18"/>
  <c r="W291" i="18"/>
  <c r="W304" i="18"/>
  <c r="W288" i="18"/>
  <c r="W339" i="18"/>
  <c r="W337" i="18"/>
  <c r="W329" i="18"/>
  <c r="W334" i="18"/>
  <c r="W336" i="18"/>
  <c r="W312" i="18"/>
  <c r="W314" i="18"/>
  <c r="W320" i="18"/>
  <c r="W324" i="18"/>
  <c r="W298" i="18"/>
  <c r="W301" i="18"/>
  <c r="W303" i="18"/>
  <c r="W289" i="18"/>
  <c r="W273" i="18"/>
  <c r="W287" i="18"/>
  <c r="W271" i="18"/>
  <c r="W290" i="18"/>
  <c r="W274" i="18"/>
  <c r="W272" i="18"/>
  <c r="W268" i="18"/>
  <c r="W335" i="18"/>
  <c r="W333" i="18"/>
  <c r="W325" i="18"/>
  <c r="W327" i="18"/>
  <c r="W332" i="18"/>
  <c r="W308" i="18"/>
  <c r="W310" i="18"/>
  <c r="W317" i="18"/>
  <c r="W319" i="18"/>
  <c r="W294" i="18"/>
  <c r="W297" i="18"/>
  <c r="W299" i="18"/>
  <c r="W285" i="18"/>
  <c r="W269" i="18"/>
  <c r="W283" i="18"/>
  <c r="W267" i="18"/>
  <c r="W286" i="18"/>
  <c r="W270" i="18"/>
  <c r="W296" i="18"/>
  <c r="W280" i="18"/>
  <c r="W343" i="18"/>
  <c r="W330" i="18"/>
  <c r="W342" i="18"/>
  <c r="W316" i="18"/>
  <c r="W328" i="18"/>
  <c r="W302" i="18"/>
  <c r="W307" i="18"/>
  <c r="W277" i="18"/>
  <c r="W275" i="18"/>
  <c r="W278" i="18"/>
  <c r="W284" i="18"/>
  <c r="BY251" i="18"/>
  <c r="CE251" i="18"/>
  <c r="CA251" i="18"/>
  <c r="G331" i="18"/>
  <c r="G338" i="18"/>
  <c r="G342" i="18"/>
  <c r="G340" i="18"/>
  <c r="G316" i="18"/>
  <c r="G322" i="18"/>
  <c r="G328" i="18"/>
  <c r="G319" i="18"/>
  <c r="G315" i="18"/>
  <c r="G344" i="18"/>
  <c r="G295" i="18"/>
  <c r="G285" i="18"/>
  <c r="G269" i="18"/>
  <c r="G294" i="18"/>
  <c r="G279" i="18"/>
  <c r="G304" i="18"/>
  <c r="G278" i="18"/>
  <c r="G265" i="18"/>
  <c r="G284" i="18"/>
  <c r="G276" i="18"/>
  <c r="G343" i="18"/>
  <c r="G329" i="18"/>
  <c r="G332" i="18"/>
  <c r="G318" i="18"/>
  <c r="G306" i="18"/>
  <c r="G307" i="18"/>
  <c r="G281" i="18"/>
  <c r="G291" i="18"/>
  <c r="G290" i="18"/>
  <c r="G296" i="18"/>
  <c r="G325" i="18"/>
  <c r="G326" i="18"/>
  <c r="G314" i="18"/>
  <c r="G301" i="18"/>
  <c r="G293" i="18"/>
  <c r="G311" i="18"/>
  <c r="G287" i="18"/>
  <c r="G286" i="18"/>
  <c r="G288" i="18"/>
  <c r="G335" i="18"/>
  <c r="G333" i="18"/>
  <c r="G321" i="18"/>
  <c r="G323" i="18"/>
  <c r="G320" i="18"/>
  <c r="G330" i="18"/>
  <c r="G310" i="18"/>
  <c r="G309" i="18"/>
  <c r="G298" i="18"/>
  <c r="G297" i="18"/>
  <c r="G299" i="18"/>
  <c r="G289" i="18"/>
  <c r="G273" i="18"/>
  <c r="G308" i="18"/>
  <c r="G283" i="18"/>
  <c r="G267" i="18"/>
  <c r="G282" i="18"/>
  <c r="G266" i="18"/>
  <c r="G272" i="18"/>
  <c r="G292" i="18"/>
  <c r="G341" i="18"/>
  <c r="G334" i="18"/>
  <c r="G312" i="18"/>
  <c r="G317" i="18"/>
  <c r="G305" i="18"/>
  <c r="G300" i="18"/>
  <c r="G324" i="18"/>
  <c r="G275" i="18"/>
  <c r="G274" i="18"/>
  <c r="G268" i="18"/>
  <c r="G339" i="18"/>
  <c r="G337" i="18"/>
  <c r="G327" i="18"/>
  <c r="G336" i="18"/>
  <c r="G313" i="18"/>
  <c r="G302" i="18"/>
  <c r="G303" i="18"/>
  <c r="G277" i="18"/>
  <c r="G271" i="18"/>
  <c r="G270" i="18"/>
  <c r="G280" i="18"/>
  <c r="I341" i="18"/>
  <c r="I339" i="18"/>
  <c r="I336" i="18"/>
  <c r="I332" i="18"/>
  <c r="I338" i="18"/>
  <c r="I310" i="18"/>
  <c r="I312" i="18"/>
  <c r="I315" i="18"/>
  <c r="I308" i="18"/>
  <c r="I330" i="18"/>
  <c r="I299" i="18"/>
  <c r="I297" i="18"/>
  <c r="I291" i="18"/>
  <c r="I275" i="18"/>
  <c r="I293" i="18"/>
  <c r="I277" i="18"/>
  <c r="I322" i="18"/>
  <c r="I284" i="18"/>
  <c r="I268" i="18"/>
  <c r="I282" i="18"/>
  <c r="I331" i="18"/>
  <c r="I325" i="18"/>
  <c r="I320" i="18"/>
  <c r="I342" i="18"/>
  <c r="I307" i="18"/>
  <c r="I298" i="18"/>
  <c r="I285" i="18"/>
  <c r="I292" i="18"/>
  <c r="I278" i="18"/>
  <c r="I343" i="18"/>
  <c r="I344" i="18"/>
  <c r="I321" i="18"/>
  <c r="I316" i="18"/>
  <c r="I317" i="18"/>
  <c r="I296" i="18"/>
  <c r="I301" i="18"/>
  <c r="I306" i="18"/>
  <c r="I265" i="18"/>
  <c r="I272" i="18"/>
  <c r="I274" i="18"/>
  <c r="I337" i="18"/>
  <c r="I335" i="18"/>
  <c r="I327" i="18"/>
  <c r="I329" i="18"/>
  <c r="I324" i="18"/>
  <c r="I328" i="18"/>
  <c r="I334" i="18"/>
  <c r="I311" i="18"/>
  <c r="I304" i="18"/>
  <c r="I313" i="18"/>
  <c r="I295" i="18"/>
  <c r="I309" i="18"/>
  <c r="I287" i="18"/>
  <c r="I271" i="18"/>
  <c r="I289" i="18"/>
  <c r="I273" i="18"/>
  <c r="I302" i="18"/>
  <c r="I280" i="18"/>
  <c r="I286" i="18"/>
  <c r="I266" i="18"/>
  <c r="I333" i="18"/>
  <c r="I323" i="18"/>
  <c r="I318" i="18"/>
  <c r="I326" i="18"/>
  <c r="I300" i="18"/>
  <c r="I305" i="18"/>
  <c r="I283" i="18"/>
  <c r="I267" i="18"/>
  <c r="I269" i="18"/>
  <c r="I276" i="18"/>
  <c r="I270" i="18"/>
  <c r="I340" i="18"/>
  <c r="I314" i="18"/>
  <c r="I319" i="18"/>
  <c r="I303" i="18"/>
  <c r="I294" i="18"/>
  <c r="I279" i="18"/>
  <c r="I281" i="18"/>
  <c r="I288" i="18"/>
  <c r="I290" i="18"/>
  <c r="H342" i="18"/>
  <c r="H340" i="18"/>
  <c r="H328" i="18"/>
  <c r="H330" i="18"/>
  <c r="H335" i="18"/>
  <c r="H315" i="18"/>
  <c r="H317" i="18"/>
  <c r="H327" i="18"/>
  <c r="H323" i="18"/>
  <c r="H297" i="18"/>
  <c r="H300" i="18"/>
  <c r="H298" i="18"/>
  <c r="H284" i="18"/>
  <c r="H268" i="18"/>
  <c r="H282" i="18"/>
  <c r="H266" i="18"/>
  <c r="H293" i="18"/>
  <c r="H277" i="18"/>
  <c r="H271" i="18"/>
  <c r="H267" i="18"/>
  <c r="H344" i="18"/>
  <c r="H319" i="18"/>
  <c r="H301" i="18"/>
  <c r="H302" i="18"/>
  <c r="H286" i="18"/>
  <c r="H287" i="18"/>
  <c r="H338" i="18"/>
  <c r="H336" i="18"/>
  <c r="H324" i="18"/>
  <c r="H326" i="18"/>
  <c r="H331" i="18"/>
  <c r="H311" i="18"/>
  <c r="H313" i="18"/>
  <c r="H320" i="18"/>
  <c r="H318" i="18"/>
  <c r="H314" i="18"/>
  <c r="H296" i="18"/>
  <c r="H299" i="18"/>
  <c r="H280" i="18"/>
  <c r="H307" i="18"/>
  <c r="H278" i="18"/>
  <c r="H265" i="18"/>
  <c r="H289" i="18"/>
  <c r="H273" i="18"/>
  <c r="H275" i="18"/>
  <c r="H279" i="18"/>
  <c r="H337" i="18"/>
  <c r="H339" i="18"/>
  <c r="H321" i="18"/>
  <c r="H343" i="18"/>
  <c r="H304" i="18"/>
  <c r="H272" i="18"/>
  <c r="H303" i="18"/>
  <c r="H281" i="18"/>
  <c r="H294" i="18"/>
  <c r="H334" i="18"/>
  <c r="H332" i="18"/>
  <c r="H341" i="18"/>
  <c r="H322" i="18"/>
  <c r="H325" i="18"/>
  <c r="H329" i="18"/>
  <c r="H309" i="18"/>
  <c r="H316" i="18"/>
  <c r="H305" i="18"/>
  <c r="H308" i="18"/>
  <c r="H306" i="18"/>
  <c r="H292" i="18"/>
  <c r="H276" i="18"/>
  <c r="H290" i="18"/>
  <c r="H274" i="18"/>
  <c r="H310" i="18"/>
  <c r="H285" i="18"/>
  <c r="H269" i="18"/>
  <c r="H295" i="18"/>
  <c r="H291" i="18"/>
  <c r="H333" i="18"/>
  <c r="H312" i="18"/>
  <c r="H288" i="18"/>
  <c r="H270" i="18"/>
  <c r="H283" i="18"/>
  <c r="E344" i="18"/>
  <c r="E265" i="18"/>
  <c r="E278" i="18"/>
  <c r="E294" i="18"/>
  <c r="E310" i="18"/>
  <c r="E326" i="18"/>
  <c r="E342" i="18"/>
  <c r="E325" i="18"/>
  <c r="E275" i="18"/>
  <c r="E291" i="18"/>
  <c r="E307" i="18"/>
  <c r="E323" i="18"/>
  <c r="E339" i="18"/>
  <c r="E289" i="18"/>
  <c r="E329" i="18"/>
  <c r="E276" i="18"/>
  <c r="E292" i="18"/>
  <c r="E308" i="18"/>
  <c r="E324" i="18"/>
  <c r="E340" i="18"/>
  <c r="E305" i="18"/>
  <c r="E306" i="18"/>
  <c r="E309" i="18"/>
  <c r="E319" i="18"/>
  <c r="E321" i="18"/>
  <c r="E320" i="18"/>
  <c r="E266" i="18"/>
  <c r="E282" i="18"/>
  <c r="E298" i="18"/>
  <c r="E314" i="18"/>
  <c r="E330" i="18"/>
  <c r="E277" i="18"/>
  <c r="E333" i="18"/>
  <c r="E279" i="18"/>
  <c r="E295" i="18"/>
  <c r="E311" i="18"/>
  <c r="E327" i="18"/>
  <c r="E343" i="18"/>
  <c r="E301" i="18"/>
  <c r="E341" i="18"/>
  <c r="E280" i="18"/>
  <c r="E296" i="18"/>
  <c r="E312" i="18"/>
  <c r="E328" i="18"/>
  <c r="E269" i="18"/>
  <c r="E317" i="18"/>
  <c r="E290" i="18"/>
  <c r="E338" i="18"/>
  <c r="E271" i="18"/>
  <c r="E303" i="18"/>
  <c r="E285" i="18"/>
  <c r="E272" i="18"/>
  <c r="E304" i="18"/>
  <c r="E336" i="18"/>
  <c r="E270" i="18"/>
  <c r="E286" i="18"/>
  <c r="E302" i="18"/>
  <c r="E318" i="18"/>
  <c r="E334" i="18"/>
  <c r="E297" i="18"/>
  <c r="E267" i="18"/>
  <c r="E283" i="18"/>
  <c r="E299" i="18"/>
  <c r="E315" i="18"/>
  <c r="E331" i="18"/>
  <c r="E273" i="18"/>
  <c r="E313" i="18"/>
  <c r="E268" i="18"/>
  <c r="E284" i="18"/>
  <c r="E300" i="18"/>
  <c r="E316" i="18"/>
  <c r="E332" i="18"/>
  <c r="E281" i="18"/>
  <c r="E337" i="18"/>
  <c r="E274" i="18"/>
  <c r="E322" i="18"/>
  <c r="E287" i="18"/>
  <c r="E335" i="18"/>
  <c r="E288" i="18"/>
  <c r="E293" i="18"/>
  <c r="F265" i="18"/>
  <c r="F272" i="18"/>
  <c r="F288" i="18"/>
  <c r="F304" i="18"/>
  <c r="F320" i="18"/>
  <c r="F336" i="18"/>
  <c r="F283" i="18"/>
  <c r="F331" i="18"/>
  <c r="F277" i="18"/>
  <c r="F293" i="18"/>
  <c r="F309" i="18"/>
  <c r="F325" i="18"/>
  <c r="F341" i="18"/>
  <c r="F299" i="18"/>
  <c r="F339" i="18"/>
  <c r="F278" i="18"/>
  <c r="F294" i="18"/>
  <c r="F310" i="18"/>
  <c r="F326" i="18"/>
  <c r="F342" i="18"/>
  <c r="F323" i="18"/>
  <c r="F316" i="18"/>
  <c r="F315" i="18"/>
  <c r="F289" i="18"/>
  <c r="F327" i="18"/>
  <c r="F338" i="18"/>
  <c r="F276" i="18"/>
  <c r="F292" i="18"/>
  <c r="F308" i="18"/>
  <c r="F324" i="18"/>
  <c r="F340" i="18"/>
  <c r="F295" i="18"/>
  <c r="F335" i="18"/>
  <c r="F281" i="18"/>
  <c r="F297" i="18"/>
  <c r="F313" i="18"/>
  <c r="F329" i="18"/>
  <c r="F271" i="18"/>
  <c r="F311" i="18"/>
  <c r="F266" i="18"/>
  <c r="F282" i="18"/>
  <c r="F298" i="18"/>
  <c r="F314" i="18"/>
  <c r="F330" i="18"/>
  <c r="F275" i="18"/>
  <c r="F343" i="18"/>
  <c r="F268" i="18"/>
  <c r="F284" i="18"/>
  <c r="F332" i="18"/>
  <c r="F273" i="18"/>
  <c r="F321" i="18"/>
  <c r="F337" i="18"/>
  <c r="F287" i="18"/>
  <c r="F290" i="18"/>
  <c r="F306" i="18"/>
  <c r="F307" i="18"/>
  <c r="F280" i="18"/>
  <c r="F296" i="18"/>
  <c r="F312" i="18"/>
  <c r="F328" i="18"/>
  <c r="F344" i="18"/>
  <c r="F303" i="18"/>
  <c r="F269" i="18"/>
  <c r="F285" i="18"/>
  <c r="F301" i="18"/>
  <c r="F317" i="18"/>
  <c r="F333" i="18"/>
  <c r="F279" i="18"/>
  <c r="F319" i="18"/>
  <c r="F270" i="18"/>
  <c r="F286" i="18"/>
  <c r="F302" i="18"/>
  <c r="F318" i="18"/>
  <c r="F334" i="18"/>
  <c r="F291" i="18"/>
  <c r="F300" i="18"/>
  <c r="F267" i="18"/>
  <c r="F305" i="18"/>
  <c r="F274" i="18"/>
  <c r="F322" i="18"/>
  <c r="D262" i="18"/>
  <c r="D345" i="18" s="1"/>
  <c r="CX167" i="18"/>
  <c r="CX237" i="18" s="1"/>
  <c r="E57" i="17"/>
  <c r="BS214" i="18"/>
  <c r="BS246" i="18"/>
  <c r="BS233" i="18"/>
  <c r="CY167" i="18"/>
  <c r="CY237" i="18" s="1"/>
  <c r="E58" i="17"/>
  <c r="BS215" i="18"/>
  <c r="DP167" i="18"/>
  <c r="DP249" i="18" s="1"/>
  <c r="CB235" i="18"/>
  <c r="K18" i="12"/>
  <c r="CU167" i="18"/>
  <c r="CU249" i="18" s="1"/>
  <c r="DP171" i="18"/>
  <c r="CU171" i="18"/>
  <c r="CU235" i="18" s="1"/>
  <c r="K22" i="12"/>
  <c r="DP194" i="18"/>
  <c r="CU194" i="18"/>
  <c r="BS211" i="18"/>
  <c r="K16" i="12"/>
  <c r="CU165" i="18"/>
  <c r="CU243" i="18" s="1"/>
  <c r="K17" i="12"/>
  <c r="CU166" i="18"/>
  <c r="CU250" i="18" s="1"/>
  <c r="BS234" i="18"/>
  <c r="E54" i="17"/>
  <c r="BS241" i="18"/>
  <c r="BS236" i="18"/>
  <c r="BS238" i="18"/>
  <c r="CV165" i="18"/>
  <c r="CV243" i="18" s="1"/>
  <c r="DP165" i="18"/>
  <c r="BS232" i="18"/>
  <c r="Q67" i="13"/>
  <c r="P67" i="13"/>
  <c r="E55" i="17"/>
  <c r="BS245" i="18"/>
  <c r="E67" i="13"/>
  <c r="BS210" i="18"/>
  <c r="I67" i="13"/>
  <c r="CV166" i="18"/>
  <c r="CV250" i="18" s="1"/>
  <c r="E162" i="17"/>
  <c r="O67" i="13"/>
  <c r="DP166" i="18"/>
  <c r="DP250" i="18" s="1"/>
  <c r="R67" i="13"/>
  <c r="BS204" i="18"/>
  <c r="BS212" i="18"/>
  <c r="BW244" i="18" l="1"/>
  <c r="CG244" i="18"/>
  <c r="CP244" i="18"/>
  <c r="BZ244" i="18"/>
  <c r="CD250" i="18"/>
  <c r="CD245" i="18"/>
  <c r="CW245" i="18"/>
  <c r="CV246" i="18"/>
  <c r="CF237" i="18"/>
  <c r="CD244" i="18"/>
  <c r="CU237" i="18"/>
  <c r="CM244" i="18"/>
  <c r="CH244" i="18"/>
  <c r="CY247" i="18"/>
  <c r="CY249" i="18"/>
  <c r="CX247" i="18"/>
  <c r="CX249" i="18"/>
  <c r="CP243" i="18"/>
  <c r="CM243" i="18"/>
  <c r="CX243" i="18"/>
  <c r="BX251" i="18"/>
  <c r="BV251" i="18"/>
  <c r="CV234" i="18"/>
  <c r="CU234" i="18"/>
  <c r="CO165" i="18"/>
  <c r="CO243" i="18" s="1"/>
  <c r="DP235" i="18"/>
  <c r="CO235" i="18"/>
  <c r="CM235" i="18"/>
  <c r="F263" i="18"/>
  <c r="F264" i="18" s="1"/>
  <c r="P263" i="18"/>
  <c r="P264" i="18" s="1"/>
  <c r="AM263" i="18"/>
  <c r="AM264" i="18" s="1"/>
  <c r="AC263" i="18"/>
  <c r="AC264" i="18" s="1"/>
  <c r="X263" i="18"/>
  <c r="X264" i="18" s="1"/>
  <c r="V263" i="18"/>
  <c r="V264" i="18" s="1"/>
  <c r="U263" i="18"/>
  <c r="U264" i="18" s="1"/>
  <c r="AF263" i="18"/>
  <c r="AF264" i="18" s="1"/>
  <c r="AK263" i="18"/>
  <c r="AK264" i="18" s="1"/>
  <c r="AG263" i="18"/>
  <c r="AG264" i="18" s="1"/>
  <c r="AA263" i="18"/>
  <c r="AA264" i="18" s="1"/>
  <c r="AP263" i="18"/>
  <c r="AP264" i="18" s="1"/>
  <c r="AI263" i="18"/>
  <c r="AI264" i="18" s="1"/>
  <c r="Q263" i="18"/>
  <c r="Q264" i="18" s="1"/>
  <c r="J263" i="18"/>
  <c r="J264" i="18" s="1"/>
  <c r="O263" i="18"/>
  <c r="O264" i="18" s="1"/>
  <c r="N263" i="18"/>
  <c r="N264" i="18" s="1"/>
  <c r="M263" i="18"/>
  <c r="M264" i="18" s="1"/>
  <c r="Y263" i="18"/>
  <c r="Y264" i="18" s="1"/>
  <c r="AL263" i="18"/>
  <c r="AL264" i="18" s="1"/>
  <c r="Z263" i="18"/>
  <c r="Z264" i="18" s="1"/>
  <c r="AN263" i="18"/>
  <c r="AN264" i="18" s="1"/>
  <c r="AE263" i="18"/>
  <c r="AE264" i="18" s="1"/>
  <c r="AO263" i="18"/>
  <c r="AO264" i="18" s="1"/>
  <c r="E263" i="18"/>
  <c r="E264" i="18" s="1"/>
  <c r="H263" i="18"/>
  <c r="H264" i="18" s="1"/>
  <c r="I263" i="18"/>
  <c r="I264" i="18" s="1"/>
  <c r="G263" i="18"/>
  <c r="G264" i="18" s="1"/>
  <c r="W263" i="18"/>
  <c r="W264" i="18" s="1"/>
  <c r="T263" i="18"/>
  <c r="T264" i="18" s="1"/>
  <c r="S263" i="18"/>
  <c r="S264" i="18" s="1"/>
  <c r="R263" i="18"/>
  <c r="R264" i="18" s="1"/>
  <c r="K263" i="18"/>
  <c r="K264" i="18" s="1"/>
  <c r="L263" i="18"/>
  <c r="L264" i="18" s="1"/>
  <c r="AQ263" i="18"/>
  <c r="AQ264" i="18" s="1"/>
  <c r="AB263" i="18"/>
  <c r="AB264" i="18" s="1"/>
  <c r="AH263" i="18"/>
  <c r="AH264" i="18" s="1"/>
  <c r="AJ263" i="18"/>
  <c r="AJ264" i="18" s="1"/>
  <c r="AD263" i="18"/>
  <c r="AD264" i="18" s="1"/>
  <c r="CQ203" i="18"/>
  <c r="CD212" i="18"/>
  <c r="CD211" i="18"/>
  <c r="E346" i="18"/>
  <c r="H346" i="18"/>
  <c r="I346" i="18"/>
  <c r="W346" i="18"/>
  <c r="S346" i="18"/>
  <c r="K346" i="18"/>
  <c r="L346" i="18"/>
  <c r="F346" i="18"/>
  <c r="G346" i="18"/>
  <c r="V346" i="18"/>
  <c r="T346" i="18"/>
  <c r="R346" i="18"/>
  <c r="P346" i="18"/>
  <c r="U346" i="18"/>
  <c r="Q346" i="18"/>
  <c r="J346" i="18"/>
  <c r="O346" i="18"/>
  <c r="N346" i="18"/>
  <c r="M346" i="18"/>
  <c r="C345" i="18"/>
  <c r="CQ164" i="18"/>
  <c r="CQ235" i="18" s="1"/>
  <c r="CN164" i="18"/>
  <c r="CS164" i="18"/>
  <c r="CR164" i="18"/>
  <c r="CL164" i="18"/>
  <c r="CJ164" i="18"/>
  <c r="CW241" i="18"/>
  <c r="CC244" i="18"/>
  <c r="D88" i="17"/>
  <c r="E88" i="17" s="1"/>
  <c r="C262" i="18"/>
  <c r="C347" i="18"/>
  <c r="C35" i="22" s="1"/>
  <c r="C100" i="20"/>
  <c r="D100" i="20" s="1"/>
  <c r="CI247" i="18"/>
  <c r="C77" i="20"/>
  <c r="CH247" i="18"/>
  <c r="CG247" i="18"/>
  <c r="C93" i="20"/>
  <c r="D93" i="20" s="1"/>
  <c r="D84" i="17"/>
  <c r="E84" i="17" s="1"/>
  <c r="CE247" i="18"/>
  <c r="CN188" i="18"/>
  <c r="CC235" i="18"/>
  <c r="BT239" i="18"/>
  <c r="BX243" i="18"/>
  <c r="BW239" i="18"/>
  <c r="CL188" i="18"/>
  <c r="CE246" i="18"/>
  <c r="CS188" i="18"/>
  <c r="CR188" i="18"/>
  <c r="CI234" i="18"/>
  <c r="BW234" i="18"/>
  <c r="BX237" i="18"/>
  <c r="BX247" i="18"/>
  <c r="CB242" i="18"/>
  <c r="CJ188" i="18"/>
  <c r="CW239" i="18"/>
  <c r="CF235" i="18"/>
  <c r="BU233" i="18"/>
  <c r="BX242" i="18"/>
  <c r="BY234" i="18"/>
  <c r="BX234" i="18"/>
  <c r="CB244" i="18"/>
  <c r="DP239" i="18"/>
  <c r="BZ239" i="18"/>
  <c r="BV237" i="18"/>
  <c r="CI235" i="18"/>
  <c r="CA243" i="18"/>
  <c r="BX244" i="18"/>
  <c r="CB247" i="18"/>
  <c r="BX239" i="18"/>
  <c r="CH239" i="18"/>
  <c r="CB237" i="18"/>
  <c r="BU243" i="18"/>
  <c r="BT243" i="18"/>
  <c r="CA235" i="18"/>
  <c r="CA239" i="18"/>
  <c r="CG234" i="18"/>
  <c r="CB243" i="18"/>
  <c r="CE239" i="18"/>
  <c r="CQ177" i="18"/>
  <c r="BU242" i="18"/>
  <c r="DP242" i="18"/>
  <c r="CA242" i="18"/>
  <c r="CP242" i="18"/>
  <c r="C109" i="20"/>
  <c r="C70" i="20"/>
  <c r="C71" i="20"/>
  <c r="C121" i="20"/>
  <c r="P121" i="20" s="1"/>
  <c r="C124" i="20"/>
  <c r="I124" i="20" s="1"/>
  <c r="CW247" i="18"/>
  <c r="C108" i="20"/>
  <c r="W108" i="20" s="1"/>
  <c r="W33" i="20" s="1"/>
  <c r="C87" i="20"/>
  <c r="D87" i="20" s="1"/>
  <c r="C89" i="20"/>
  <c r="D89" i="20" s="1"/>
  <c r="C74" i="20"/>
  <c r="CA247" i="18"/>
  <c r="CD247" i="18"/>
  <c r="C76" i="20"/>
  <c r="C96" i="20"/>
  <c r="D96" i="20" s="1"/>
  <c r="D92" i="17"/>
  <c r="E92" i="17" s="1"/>
  <c r="C101" i="20"/>
  <c r="D101" i="20" s="1"/>
  <c r="C65" i="20"/>
  <c r="D83" i="17"/>
  <c r="E83" i="17" s="1"/>
  <c r="D90" i="17"/>
  <c r="E90" i="17" s="1"/>
  <c r="C94" i="20"/>
  <c r="D94" i="20" s="1"/>
  <c r="C118" i="20"/>
  <c r="O118" i="20" s="1"/>
  <c r="C64" i="20"/>
  <c r="C115" i="20"/>
  <c r="O115" i="20" s="1"/>
  <c r="C113" i="20"/>
  <c r="U113" i="20" s="1"/>
  <c r="U38" i="20" s="1"/>
  <c r="C88" i="20"/>
  <c r="D88" i="20" s="1"/>
  <c r="D94" i="17"/>
  <c r="C123" i="20"/>
  <c r="F123" i="20" s="1"/>
  <c r="C116" i="20"/>
  <c r="X116" i="20" s="1"/>
  <c r="X41" i="20" s="1"/>
  <c r="C62" i="20"/>
  <c r="BZ247" i="18"/>
  <c r="BU247" i="18"/>
  <c r="C112" i="20"/>
  <c r="Y112" i="20" s="1"/>
  <c r="Y37" i="20" s="1"/>
  <c r="C90" i="20"/>
  <c r="D90" i="20" s="1"/>
  <c r="D91" i="17"/>
  <c r="E91" i="17" s="1"/>
  <c r="D95" i="17"/>
  <c r="C66" i="20"/>
  <c r="C37" i="20" s="1"/>
  <c r="C72" i="20"/>
  <c r="C97" i="20"/>
  <c r="D97" i="20" s="1"/>
  <c r="D81" i="17"/>
  <c r="C111" i="20"/>
  <c r="O111" i="20" s="1"/>
  <c r="C67" i="20"/>
  <c r="C99" i="20"/>
  <c r="D99" i="20" s="1"/>
  <c r="D97" i="17"/>
  <c r="C69" i="20"/>
  <c r="C110" i="20"/>
  <c r="U110" i="20" s="1"/>
  <c r="U35" i="20" s="1"/>
  <c r="C114" i="20"/>
  <c r="D114" i="20" s="1"/>
  <c r="D96" i="17"/>
  <c r="C75" i="20"/>
  <c r="C46" i="20" s="1"/>
  <c r="C98" i="20"/>
  <c r="D98" i="20" s="1"/>
  <c r="C63" i="20"/>
  <c r="C86" i="20"/>
  <c r="D86" i="20" s="1"/>
  <c r="C120" i="20"/>
  <c r="M120" i="20" s="1"/>
  <c r="C68" i="20"/>
  <c r="D82" i="17"/>
  <c r="E82" i="17" s="1"/>
  <c r="C119" i="20"/>
  <c r="U119" i="20" s="1"/>
  <c r="U44" i="20" s="1"/>
  <c r="D85" i="17"/>
  <c r="E85" i="17" s="1"/>
  <c r="C73" i="20"/>
  <c r="C122" i="20"/>
  <c r="P122" i="20" s="1"/>
  <c r="D86" i="17"/>
  <c r="E86" i="17" s="1"/>
  <c r="C91" i="20"/>
  <c r="D91" i="20" s="1"/>
  <c r="D87" i="17"/>
  <c r="E87" i="17" s="1"/>
  <c r="C92" i="20"/>
  <c r="D92" i="20" s="1"/>
  <c r="C78" i="20"/>
  <c r="C85" i="20"/>
  <c r="D85" i="20" s="1"/>
  <c r="D89" i="17"/>
  <c r="E89" i="17" s="1"/>
  <c r="C95" i="20"/>
  <c r="D95" i="20" s="1"/>
  <c r="C117" i="20"/>
  <c r="D117" i="20" s="1"/>
  <c r="CA244" i="18"/>
  <c r="DP244" i="18"/>
  <c r="CK178" i="18"/>
  <c r="BT244" i="18"/>
  <c r="CH243" i="18"/>
  <c r="CG243" i="18"/>
  <c r="BY243" i="18"/>
  <c r="CF243" i="18"/>
  <c r="BV243" i="18"/>
  <c r="CE243" i="18"/>
  <c r="BW243" i="18"/>
  <c r="DP243" i="18"/>
  <c r="BZ243" i="18"/>
  <c r="CM242" i="18"/>
  <c r="CE242" i="18"/>
  <c r="BY242" i="18"/>
  <c r="CW242" i="18"/>
  <c r="BV242" i="18"/>
  <c r="CF242" i="18"/>
  <c r="BZ242" i="18"/>
  <c r="CH242" i="18"/>
  <c r="CI242" i="18"/>
  <c r="BW242" i="18"/>
  <c r="CG242" i="18"/>
  <c r="CF239" i="18"/>
  <c r="BU239" i="18"/>
  <c r="CM239" i="18"/>
  <c r="CI237" i="18"/>
  <c r="BW237" i="18"/>
  <c r="DP237" i="18"/>
  <c r="CH237" i="18"/>
  <c r="BU237" i="18"/>
  <c r="BT237" i="18"/>
  <c r="CA237" i="18"/>
  <c r="BY237" i="18"/>
  <c r="BZ237" i="18"/>
  <c r="CQ173" i="18"/>
  <c r="CC237" i="18"/>
  <c r="CE237" i="18"/>
  <c r="BY235" i="18"/>
  <c r="CE235" i="18"/>
  <c r="CG235" i="18"/>
  <c r="CH235" i="18"/>
  <c r="CK235" i="18"/>
  <c r="BW235" i="18"/>
  <c r="CY232" i="18"/>
  <c r="CY235" i="18"/>
  <c r="BT235" i="18"/>
  <c r="BX235" i="18"/>
  <c r="BZ235" i="18"/>
  <c r="BU235" i="18"/>
  <c r="CE234" i="18"/>
  <c r="CF234" i="18"/>
  <c r="CW234" i="18"/>
  <c r="CN195" i="18"/>
  <c r="CR185" i="18"/>
  <c r="CN187" i="18"/>
  <c r="CO202" i="18"/>
  <c r="CO240" i="18" s="1"/>
  <c r="CA240" i="18"/>
  <c r="CP202" i="18"/>
  <c r="CP240" i="18" s="1"/>
  <c r="CB240" i="18"/>
  <c r="CQ202" i="18"/>
  <c r="CQ240" i="18" s="1"/>
  <c r="CC240" i="18"/>
  <c r="CM202" i="18"/>
  <c r="CM240" i="18" s="1"/>
  <c r="BX240" i="18"/>
  <c r="CK202" i="18"/>
  <c r="CK240" i="18" s="1"/>
  <c r="BT240" i="18"/>
  <c r="CQ166" i="18"/>
  <c r="CQ250" i="18" s="1"/>
  <c r="CQ197" i="18"/>
  <c r="CQ195" i="18"/>
  <c r="CQ182" i="18"/>
  <c r="CQ191" i="18"/>
  <c r="CQ200" i="18"/>
  <c r="CQ180" i="18"/>
  <c r="CR170" i="18"/>
  <c r="CN172" i="18"/>
  <c r="CN185" i="18"/>
  <c r="CQ165" i="18"/>
  <c r="CQ238" i="18" s="1"/>
  <c r="CQ198" i="18"/>
  <c r="CD238" i="18"/>
  <c r="CD214" i="18"/>
  <c r="CD204" i="18"/>
  <c r="CD205" i="18" s="1"/>
  <c r="CD210" i="18"/>
  <c r="CQ185" i="18"/>
  <c r="CC242" i="18"/>
  <c r="CQ169" i="18"/>
  <c r="CQ244" i="18" s="1"/>
  <c r="CQ194" i="18"/>
  <c r="CQ196" i="18"/>
  <c r="CQ175" i="18"/>
  <c r="CD232" i="18"/>
  <c r="CD213" i="18"/>
  <c r="CC251" i="18"/>
  <c r="CQ167" i="18"/>
  <c r="CQ249" i="18" s="1"/>
  <c r="CQ170" i="18"/>
  <c r="CQ168" i="18"/>
  <c r="CC243" i="18"/>
  <c r="CQ201" i="18"/>
  <c r="CQ172" i="18"/>
  <c r="CQ186" i="18"/>
  <c r="CR191" i="18"/>
  <c r="CR178" i="18"/>
  <c r="CN178" i="18"/>
  <c r="CL186" i="18"/>
  <c r="CL178" i="18"/>
  <c r="CS178" i="18"/>
  <c r="CS244" i="18" s="1"/>
  <c r="CR186" i="18"/>
  <c r="CN186" i="18"/>
  <c r="CS186" i="18"/>
  <c r="CR202" i="18"/>
  <c r="CR240" i="18" s="1"/>
  <c r="CR181" i="18"/>
  <c r="CQ242" i="18"/>
  <c r="CR182" i="18"/>
  <c r="CS172" i="18"/>
  <c r="CL182" i="18"/>
  <c r="CN182" i="18"/>
  <c r="CJ186" i="18"/>
  <c r="CS181" i="18"/>
  <c r="CR168" i="18"/>
  <c r="CJ178" i="18"/>
  <c r="CR180" i="18"/>
  <c r="CN181" i="18"/>
  <c r="CS202" i="18"/>
  <c r="CS240" i="18" s="1"/>
  <c r="CL202" i="18"/>
  <c r="CL240" i="18" s="1"/>
  <c r="CR187" i="18"/>
  <c r="CS198" i="18"/>
  <c r="CS173" i="18"/>
  <c r="CS185" i="18"/>
  <c r="CS187" i="18"/>
  <c r="CS180" i="18"/>
  <c r="CN180" i="18"/>
  <c r="CO169" i="18"/>
  <c r="CO244" i="18" s="1"/>
  <c r="CJ202" i="18"/>
  <c r="CJ240" i="18" s="1"/>
  <c r="CL180" i="18"/>
  <c r="CJ181" i="18"/>
  <c r="CS168" i="18"/>
  <c r="CS189" i="18"/>
  <c r="CR198" i="18"/>
  <c r="CL168" i="18"/>
  <c r="CL199" i="18"/>
  <c r="CL187" i="18"/>
  <c r="CJ182" i="18"/>
  <c r="CR201" i="18"/>
  <c r="CL198" i="18"/>
  <c r="CS182" i="18"/>
  <c r="CR175" i="18"/>
  <c r="CN169" i="18"/>
  <c r="CN248" i="18" s="1"/>
  <c r="CL181" i="18"/>
  <c r="CL195" i="18"/>
  <c r="CR172" i="18"/>
  <c r="CS199" i="18"/>
  <c r="CR197" i="18"/>
  <c r="CJ187" i="18"/>
  <c r="CJ180" i="18"/>
  <c r="CN201" i="18"/>
  <c r="CL185" i="18"/>
  <c r="CR189" i="18"/>
  <c r="CR199" i="18"/>
  <c r="CN168" i="18"/>
  <c r="CJ172" i="18"/>
  <c r="CK201" i="18"/>
  <c r="CR169" i="18"/>
  <c r="CR248" i="18" s="1"/>
  <c r="CS170" i="18"/>
  <c r="CL191" i="18"/>
  <c r="CL175" i="18"/>
  <c r="CJ198" i="18"/>
  <c r="CL172" i="18"/>
  <c r="CJ168" i="18"/>
  <c r="CN198" i="18"/>
  <c r="CJ169" i="18"/>
  <c r="CJ248" i="18" s="1"/>
  <c r="CJ189" i="18"/>
  <c r="CJ191" i="18"/>
  <c r="CS201" i="18"/>
  <c r="CS175" i="18"/>
  <c r="CJ195" i="18"/>
  <c r="CS191" i="18"/>
  <c r="CN199" i="18"/>
  <c r="CR195" i="18"/>
  <c r="CN173" i="18"/>
  <c r="CR173" i="18"/>
  <c r="CN191" i="18"/>
  <c r="CS195" i="18"/>
  <c r="CN175" i="18"/>
  <c r="CJ175" i="18"/>
  <c r="CJ201" i="18"/>
  <c r="CO198" i="18"/>
  <c r="CK189" i="18"/>
  <c r="CJ199" i="18"/>
  <c r="CL189" i="18"/>
  <c r="CL201" i="18"/>
  <c r="CR174" i="18"/>
  <c r="CL177" i="18"/>
  <c r="CJ185" i="18"/>
  <c r="CN176" i="18"/>
  <c r="CL169" i="18"/>
  <c r="CL248" i="18" s="1"/>
  <c r="CS169" i="18"/>
  <c r="CS248" i="18" s="1"/>
  <c r="CK169" i="18"/>
  <c r="CK248" i="18" s="1"/>
  <c r="CS184" i="18"/>
  <c r="CN183" i="18"/>
  <c r="CS190" i="18"/>
  <c r="CJ173" i="18"/>
  <c r="CL173" i="18"/>
  <c r="CN190" i="18"/>
  <c r="CS176" i="18"/>
  <c r="CL193" i="18"/>
  <c r="CR193" i="18"/>
  <c r="CT179" i="18"/>
  <c r="CL183" i="18"/>
  <c r="CR177" i="18"/>
  <c r="CS192" i="18"/>
  <c r="CR192" i="18"/>
  <c r="CN170" i="18"/>
  <c r="CL174" i="18"/>
  <c r="CN174" i="18"/>
  <c r="CL190" i="18"/>
  <c r="CR190" i="18"/>
  <c r="CL184" i="18"/>
  <c r="CN184" i="18"/>
  <c r="CN193" i="18"/>
  <c r="CL192" i="18"/>
  <c r="CN192" i="18"/>
  <c r="CN177" i="18"/>
  <c r="CR176" i="18"/>
  <c r="CR242" i="18" s="1"/>
  <c r="CJ193" i="18"/>
  <c r="CK193" i="18"/>
  <c r="CS193" i="18"/>
  <c r="CJ183" i="18"/>
  <c r="CK183" i="18"/>
  <c r="CR183" i="18"/>
  <c r="CS183" i="18"/>
  <c r="CJ177" i="18"/>
  <c r="CK177" i="18"/>
  <c r="CS177" i="18"/>
  <c r="CJ184" i="18"/>
  <c r="CK184" i="18"/>
  <c r="CK176" i="18"/>
  <c r="CJ176" i="18"/>
  <c r="CS197" i="18"/>
  <c r="CK174" i="18"/>
  <c r="CJ174" i="18"/>
  <c r="CJ239" i="18" s="1"/>
  <c r="CS174" i="18"/>
  <c r="CS239" i="18" s="1"/>
  <c r="CK192" i="18"/>
  <c r="CJ192" i="18"/>
  <c r="CK190" i="18"/>
  <c r="CJ190" i="18"/>
  <c r="CR184" i="18"/>
  <c r="CL176" i="18"/>
  <c r="CL196" i="18"/>
  <c r="E53" i="17"/>
  <c r="E157" i="17"/>
  <c r="F159" i="17" s="1"/>
  <c r="CS196" i="18"/>
  <c r="BX213" i="18"/>
  <c r="CW204" i="18"/>
  <c r="CW205" i="18" s="1"/>
  <c r="CL200" i="18"/>
  <c r="CJ170" i="18"/>
  <c r="CL170" i="18"/>
  <c r="BW213" i="18"/>
  <c r="BU213" i="18"/>
  <c r="CW232" i="18"/>
  <c r="CS200" i="18"/>
  <c r="CB214" i="18"/>
  <c r="CU233" i="18"/>
  <c r="CV238" i="18"/>
  <c r="CV233" i="18"/>
  <c r="CL197" i="18"/>
  <c r="CJ197" i="18"/>
  <c r="CR196" i="18"/>
  <c r="CN197" i="18"/>
  <c r="CN196" i="18"/>
  <c r="CB213" i="18"/>
  <c r="CJ196" i="18"/>
  <c r="CA213" i="18"/>
  <c r="BZ213" i="18"/>
  <c r="CH213" i="18"/>
  <c r="CJ200" i="18"/>
  <c r="CC246" i="18"/>
  <c r="BU251" i="18"/>
  <c r="CK200" i="18"/>
  <c r="BT213" i="18"/>
  <c r="BY213" i="18"/>
  <c r="BY239" i="18"/>
  <c r="CJ203" i="18"/>
  <c r="CK203" i="18"/>
  <c r="CB239" i="18"/>
  <c r="CE213" i="18"/>
  <c r="BV213" i="18"/>
  <c r="BV239" i="18"/>
  <c r="CN203" i="18"/>
  <c r="CL203" i="18"/>
  <c r="CR203" i="18"/>
  <c r="CI213" i="18"/>
  <c r="CI239" i="18"/>
  <c r="CC213" i="18"/>
  <c r="CC239" i="18"/>
  <c r="CR200" i="18"/>
  <c r="CN200" i="18"/>
  <c r="CF213" i="18"/>
  <c r="CS203" i="18"/>
  <c r="CG213" i="18"/>
  <c r="CG239" i="18"/>
  <c r="BZ251" i="18"/>
  <c r="CR171" i="18"/>
  <c r="CB234" i="18"/>
  <c r="DP234" i="18"/>
  <c r="CB251" i="18"/>
  <c r="BW251" i="18"/>
  <c r="BW247" i="18"/>
  <c r="CF251" i="18"/>
  <c r="CF247" i="18"/>
  <c r="BV247" i="18"/>
  <c r="BY247" i="18"/>
  <c r="DP233" i="18"/>
  <c r="DP247" i="18"/>
  <c r="CU247" i="18"/>
  <c r="BT251" i="18"/>
  <c r="BT247" i="18"/>
  <c r="CC247" i="18"/>
  <c r="CY245" i="18"/>
  <c r="CY251" i="18"/>
  <c r="CU251" i="18"/>
  <c r="CX233" i="18"/>
  <c r="CX251" i="18"/>
  <c r="DP251" i="18"/>
  <c r="D273" i="18"/>
  <c r="C273" i="18" s="1"/>
  <c r="D15" i="23" s="1"/>
  <c r="D289" i="18"/>
  <c r="C289" i="18" s="1"/>
  <c r="D33" i="23" s="1"/>
  <c r="D305" i="18"/>
  <c r="C305" i="18" s="1"/>
  <c r="D48" i="23" s="1"/>
  <c r="D321" i="18"/>
  <c r="C321" i="18" s="1"/>
  <c r="D64" i="23" s="1"/>
  <c r="D337" i="18"/>
  <c r="C337" i="18" s="1"/>
  <c r="D80" i="23" s="1"/>
  <c r="D288" i="18"/>
  <c r="C288" i="18" s="1"/>
  <c r="D32" i="23" s="1"/>
  <c r="D344" i="18"/>
  <c r="C344" i="18" s="1"/>
  <c r="D87" i="23" s="1"/>
  <c r="D278" i="18"/>
  <c r="C278" i="18" s="1"/>
  <c r="D22" i="23" s="1"/>
  <c r="D294" i="18"/>
  <c r="C294" i="18" s="1"/>
  <c r="C29" i="22" s="1"/>
  <c r="D310" i="18"/>
  <c r="C310" i="18" s="1"/>
  <c r="D53" i="23" s="1"/>
  <c r="D326" i="18"/>
  <c r="C326" i="18" s="1"/>
  <c r="D69" i="23" s="1"/>
  <c r="D342" i="18"/>
  <c r="C342" i="18" s="1"/>
  <c r="D85" i="23" s="1"/>
  <c r="D331" i="18"/>
  <c r="C331" i="18" s="1"/>
  <c r="D74" i="23" s="1"/>
  <c r="D284" i="18"/>
  <c r="C284" i="18" s="1"/>
  <c r="D28" i="23" s="1"/>
  <c r="D316" i="18"/>
  <c r="C316" i="18" s="1"/>
  <c r="D59" i="23" s="1"/>
  <c r="D271" i="18"/>
  <c r="C271" i="18" s="1"/>
  <c r="D13" i="23" s="1"/>
  <c r="D287" i="18"/>
  <c r="C287" i="18" s="1"/>
  <c r="D31" i="23" s="1"/>
  <c r="D303" i="18"/>
  <c r="C303" i="18" s="1"/>
  <c r="D46" i="23" s="1"/>
  <c r="D335" i="18"/>
  <c r="C335" i="18" s="1"/>
  <c r="D78" i="23" s="1"/>
  <c r="D324" i="18"/>
  <c r="C324" i="18" s="1"/>
  <c r="D67" i="23" s="1"/>
  <c r="D301" i="18"/>
  <c r="C301" i="18" s="1"/>
  <c r="D44" i="23" s="1"/>
  <c r="D332" i="18"/>
  <c r="C332" i="18" s="1"/>
  <c r="D75" i="23" s="1"/>
  <c r="D322" i="18"/>
  <c r="C322" i="18" s="1"/>
  <c r="D65" i="23" s="1"/>
  <c r="D312" i="18"/>
  <c r="C312" i="18" s="1"/>
  <c r="D55" i="23" s="1"/>
  <c r="D323" i="18"/>
  <c r="C323" i="18" s="1"/>
  <c r="D66" i="23" s="1"/>
  <c r="D277" i="18"/>
  <c r="C277" i="18" s="1"/>
  <c r="D18" i="23" s="1"/>
  <c r="D293" i="18"/>
  <c r="C293" i="18" s="1"/>
  <c r="D37" i="23" s="1"/>
  <c r="D309" i="18"/>
  <c r="C309" i="18" s="1"/>
  <c r="D52" i="23" s="1"/>
  <c r="D325" i="18"/>
  <c r="C325" i="18" s="1"/>
  <c r="D68" i="23" s="1"/>
  <c r="D341" i="18"/>
  <c r="C341" i="18" s="1"/>
  <c r="D84" i="23" s="1"/>
  <c r="D304" i="18"/>
  <c r="C304" i="18" s="1"/>
  <c r="D47" i="23" s="1"/>
  <c r="D266" i="18"/>
  <c r="C266" i="18" s="1"/>
  <c r="D9" i="23" s="1"/>
  <c r="D282" i="18"/>
  <c r="C282" i="18" s="1"/>
  <c r="D26" i="23" s="1"/>
  <c r="D298" i="18"/>
  <c r="C298" i="18" s="1"/>
  <c r="D41" i="23" s="1"/>
  <c r="D314" i="18"/>
  <c r="C314" i="18" s="1"/>
  <c r="D57" i="23" s="1"/>
  <c r="D330" i="18"/>
  <c r="C330" i="18" s="1"/>
  <c r="D73" i="23" s="1"/>
  <c r="D315" i="18"/>
  <c r="C315" i="18" s="1"/>
  <c r="D58" i="23" s="1"/>
  <c r="D339" i="18"/>
  <c r="C339" i="18" s="1"/>
  <c r="D82" i="23" s="1"/>
  <c r="D292" i="18"/>
  <c r="C292" i="18" s="1"/>
  <c r="D36" i="23" s="1"/>
  <c r="D328" i="18"/>
  <c r="C328" i="18" s="1"/>
  <c r="D71" i="23" s="1"/>
  <c r="D275" i="18"/>
  <c r="C275" i="18" s="1"/>
  <c r="D16" i="23" s="1"/>
  <c r="D291" i="18"/>
  <c r="C291" i="18" s="1"/>
  <c r="D35" i="23" s="1"/>
  <c r="D307" i="18"/>
  <c r="C307" i="18" s="1"/>
  <c r="D50" i="23" s="1"/>
  <c r="D280" i="18"/>
  <c r="C280" i="18" s="1"/>
  <c r="D24" i="23" s="1"/>
  <c r="D336" i="18"/>
  <c r="C336" i="18" s="1"/>
  <c r="D79" i="23" s="1"/>
  <c r="D269" i="18"/>
  <c r="C269" i="18" s="1"/>
  <c r="D20" i="23" s="1"/>
  <c r="D285" i="18"/>
  <c r="C285" i="18" s="1"/>
  <c r="D29" i="23" s="1"/>
  <c r="D333" i="18"/>
  <c r="C333" i="18" s="1"/>
  <c r="D76" i="23" s="1"/>
  <c r="D276" i="18"/>
  <c r="C276" i="18" s="1"/>
  <c r="D17" i="23" s="1"/>
  <c r="D290" i="18"/>
  <c r="C290" i="18" s="1"/>
  <c r="D34" i="23" s="1"/>
  <c r="D306" i="18"/>
  <c r="C306" i="18" s="1"/>
  <c r="D49" i="23" s="1"/>
  <c r="D327" i="18"/>
  <c r="C327" i="18" s="1"/>
  <c r="D70" i="23" s="1"/>
  <c r="D272" i="18"/>
  <c r="C272" i="18" s="1"/>
  <c r="D14" i="23" s="1"/>
  <c r="D283" i="18"/>
  <c r="C283" i="18" s="1"/>
  <c r="D27" i="23" s="1"/>
  <c r="D299" i="18"/>
  <c r="C299" i="18" s="1"/>
  <c r="D42" i="23" s="1"/>
  <c r="D265" i="18"/>
  <c r="D281" i="18"/>
  <c r="C281" i="18" s="1"/>
  <c r="D25" i="23" s="1"/>
  <c r="D297" i="18"/>
  <c r="C297" i="18" s="1"/>
  <c r="D40" i="23" s="1"/>
  <c r="D313" i="18"/>
  <c r="C313" i="18" s="1"/>
  <c r="D56" i="23" s="1"/>
  <c r="D329" i="18"/>
  <c r="C329" i="18" s="1"/>
  <c r="D72" i="23" s="1"/>
  <c r="D268" i="18"/>
  <c r="C268" i="18" s="1"/>
  <c r="D11" i="23" s="1"/>
  <c r="D320" i="18"/>
  <c r="C320" i="18" s="1"/>
  <c r="D63" i="23" s="1"/>
  <c r="D270" i="18"/>
  <c r="C270" i="18" s="1"/>
  <c r="D12" i="23" s="1"/>
  <c r="D286" i="18"/>
  <c r="C286" i="18" s="1"/>
  <c r="D30" i="23" s="1"/>
  <c r="D302" i="18"/>
  <c r="C302" i="18" s="1"/>
  <c r="D45" i="23" s="1"/>
  <c r="D318" i="18"/>
  <c r="C318" i="18" s="1"/>
  <c r="D61" i="23" s="1"/>
  <c r="D334" i="18"/>
  <c r="C334" i="18" s="1"/>
  <c r="D77" i="23" s="1"/>
  <c r="D319" i="18"/>
  <c r="C319" i="18" s="1"/>
  <c r="D62" i="23" s="1"/>
  <c r="D343" i="18"/>
  <c r="C343" i="18" s="1"/>
  <c r="D86" i="23" s="1"/>
  <c r="D300" i="18"/>
  <c r="C300" i="18" s="1"/>
  <c r="D43" i="23" s="1"/>
  <c r="D340" i="18"/>
  <c r="C340" i="18" s="1"/>
  <c r="D83" i="23" s="1"/>
  <c r="D279" i="18"/>
  <c r="C279" i="18" s="1"/>
  <c r="D23" i="23" s="1"/>
  <c r="D295" i="18"/>
  <c r="C295" i="18" s="1"/>
  <c r="D38" i="23" s="1"/>
  <c r="D311" i="18"/>
  <c r="C311" i="18" s="1"/>
  <c r="D54" i="23" s="1"/>
  <c r="D296" i="18"/>
  <c r="C296" i="18" s="1"/>
  <c r="D39" i="23" s="1"/>
  <c r="D317" i="18"/>
  <c r="C317" i="18" s="1"/>
  <c r="D60" i="23" s="1"/>
  <c r="D274" i="18"/>
  <c r="C274" i="18" s="1"/>
  <c r="D21" i="23" s="1"/>
  <c r="D338" i="18"/>
  <c r="C338" i="18" s="1"/>
  <c r="D81" i="23" s="1"/>
  <c r="D267" i="18"/>
  <c r="C267" i="18" s="1"/>
  <c r="D10" i="23" s="1"/>
  <c r="D308" i="18"/>
  <c r="C308" i="18" s="1"/>
  <c r="D51" i="23" s="1"/>
  <c r="CB233" i="18"/>
  <c r="CX245" i="18"/>
  <c r="CX238" i="18"/>
  <c r="CU245" i="18"/>
  <c r="CB246" i="18"/>
  <c r="CG215" i="18"/>
  <c r="CG214" i="18"/>
  <c r="CC233" i="18"/>
  <c r="CC214" i="18"/>
  <c r="CF215" i="18"/>
  <c r="CF214" i="18"/>
  <c r="CH215" i="18"/>
  <c r="CH214" i="18"/>
  <c r="CA233" i="18"/>
  <c r="CA214" i="18"/>
  <c r="BW215" i="18"/>
  <c r="BW214" i="18"/>
  <c r="CX246" i="18"/>
  <c r="CX204" i="18"/>
  <c r="BU215" i="18"/>
  <c r="BU214" i="18"/>
  <c r="BY215" i="18"/>
  <c r="BY214" i="18"/>
  <c r="BX233" i="18"/>
  <c r="BX214" i="18"/>
  <c r="BT233" i="18"/>
  <c r="BT214" i="18"/>
  <c r="BV215" i="18"/>
  <c r="BV214" i="18"/>
  <c r="CE215" i="18"/>
  <c r="CE214" i="18"/>
  <c r="BZ215" i="18"/>
  <c r="BZ214" i="18"/>
  <c r="CI215" i="18"/>
  <c r="CI214" i="18"/>
  <c r="CA246" i="18"/>
  <c r="CI246" i="18"/>
  <c r="BT246" i="18"/>
  <c r="BV246" i="18"/>
  <c r="BZ246" i="18"/>
  <c r="CF246" i="18"/>
  <c r="BU246" i="18"/>
  <c r="BX246" i="18"/>
  <c r="DP246" i="18"/>
  <c r="BW246" i="18"/>
  <c r="CG246" i="18"/>
  <c r="CY233" i="18"/>
  <c r="CY246" i="18"/>
  <c r="BY246" i="18"/>
  <c r="CH246" i="18"/>
  <c r="CU246" i="18"/>
  <c r="CG233" i="18"/>
  <c r="BY233" i="18"/>
  <c r="CH233" i="18"/>
  <c r="BZ233" i="18"/>
  <c r="CF233" i="18"/>
  <c r="CE233" i="18"/>
  <c r="BV233" i="18"/>
  <c r="BW233" i="18"/>
  <c r="CI233" i="18"/>
  <c r="CK167" i="18"/>
  <c r="CK249" i="18" s="1"/>
  <c r="BT215" i="18"/>
  <c r="CC215" i="18"/>
  <c r="CY238" i="18"/>
  <c r="CY204" i="18"/>
  <c r="CP167" i="18"/>
  <c r="CP237" i="18" s="1"/>
  <c r="CB215" i="18"/>
  <c r="CO167" i="18"/>
  <c r="CA215" i="18"/>
  <c r="CM167" i="18"/>
  <c r="CM237" i="18" s="1"/>
  <c r="BX215" i="18"/>
  <c r="CI238" i="18"/>
  <c r="CS165" i="18"/>
  <c r="CN167" i="18"/>
  <c r="CL167" i="18"/>
  <c r="CL249" i="18" s="1"/>
  <c r="CH238" i="18"/>
  <c r="CS167" i="18"/>
  <c r="CJ167" i="18"/>
  <c r="CR167" i="18"/>
  <c r="CR249" i="18" s="1"/>
  <c r="BY238" i="18"/>
  <c r="BT238" i="18"/>
  <c r="CR194" i="18"/>
  <c r="BZ238" i="18"/>
  <c r="DP238" i="18"/>
  <c r="K55" i="12"/>
  <c r="D8" i="22" s="1"/>
  <c r="BW238" i="18"/>
  <c r="BV238" i="18"/>
  <c r="CN194" i="18"/>
  <c r="CS194" i="18"/>
  <c r="CL171" i="18"/>
  <c r="CE238" i="18"/>
  <c r="CK194" i="18"/>
  <c r="CJ194" i="18"/>
  <c r="CN171" i="18"/>
  <c r="CN235" i="18" s="1"/>
  <c r="CL194" i="18"/>
  <c r="CJ171" i="18"/>
  <c r="CJ235" i="18" s="1"/>
  <c r="CS171" i="18"/>
  <c r="D60" i="20"/>
  <c r="D7" i="22"/>
  <c r="F67" i="13"/>
  <c r="G67" i="13" s="1"/>
  <c r="H67" i="13" s="1"/>
  <c r="CU232" i="18"/>
  <c r="CU241" i="18"/>
  <c r="CU238" i="18"/>
  <c r="CU204" i="18"/>
  <c r="CU205" i="18" s="1"/>
  <c r="BU211" i="18"/>
  <c r="BT211" i="18"/>
  <c r="CF211" i="18"/>
  <c r="BX211" i="18"/>
  <c r="CC211" i="18"/>
  <c r="BV211" i="18"/>
  <c r="CH211" i="18"/>
  <c r="BY211" i="18"/>
  <c r="CB211" i="18"/>
  <c r="BW211" i="18"/>
  <c r="CG211" i="18"/>
  <c r="CA211" i="18"/>
  <c r="CE211" i="18"/>
  <c r="BZ211" i="18"/>
  <c r="CI211" i="18"/>
  <c r="CR165" i="18"/>
  <c r="BU241" i="18"/>
  <c r="BU236" i="18"/>
  <c r="BX241" i="18"/>
  <c r="BX236" i="18"/>
  <c r="BV241" i="18"/>
  <c r="BV236" i="18"/>
  <c r="BZ241" i="18"/>
  <c r="BZ236" i="18"/>
  <c r="CF241" i="18"/>
  <c r="CF236" i="18"/>
  <c r="BT241" i="18"/>
  <c r="BT236" i="18"/>
  <c r="CA241" i="18"/>
  <c r="CA236" i="18"/>
  <c r="CI241" i="18"/>
  <c r="CI236" i="18"/>
  <c r="DP241" i="18"/>
  <c r="DP236" i="18"/>
  <c r="CC241" i="18"/>
  <c r="CC236" i="18"/>
  <c r="CG241" i="18"/>
  <c r="CG236" i="18"/>
  <c r="CH241" i="18"/>
  <c r="CH236" i="18"/>
  <c r="BY241" i="18"/>
  <c r="BY236" i="18"/>
  <c r="CE241" i="18"/>
  <c r="CE236" i="18"/>
  <c r="CV241" i="18"/>
  <c r="CV236" i="18"/>
  <c r="CB241" i="18"/>
  <c r="CB236" i="18"/>
  <c r="BW241" i="18"/>
  <c r="BW236" i="18"/>
  <c r="CF238" i="18"/>
  <c r="CA238" i="18"/>
  <c r="CK165" i="18"/>
  <c r="CG238" i="18"/>
  <c r="CJ165" i="18"/>
  <c r="DP204" i="18"/>
  <c r="BU238" i="18"/>
  <c r="CL165" i="18"/>
  <c r="BX238" i="18"/>
  <c r="CB238" i="18"/>
  <c r="CN165" i="18"/>
  <c r="CC238" i="18"/>
  <c r="BY245" i="18"/>
  <c r="BY232" i="18"/>
  <c r="CE245" i="18"/>
  <c r="CE232" i="18"/>
  <c r="CV204" i="18"/>
  <c r="F106" i="20" s="1"/>
  <c r="CV232" i="18"/>
  <c r="CB245" i="18"/>
  <c r="CB232" i="18"/>
  <c r="BW245" i="18"/>
  <c r="BW232" i="18"/>
  <c r="BZ245" i="18"/>
  <c r="BZ232" i="18"/>
  <c r="CF245" i="18"/>
  <c r="CF232" i="18"/>
  <c r="BT245" i="18"/>
  <c r="BT232" i="18"/>
  <c r="BU245" i="18"/>
  <c r="BU232" i="18"/>
  <c r="CA245" i="18"/>
  <c r="CA232" i="18"/>
  <c r="BX245" i="18"/>
  <c r="BX232" i="18"/>
  <c r="CI245" i="18"/>
  <c r="CI232" i="18"/>
  <c r="DP245" i="18"/>
  <c r="DP232" i="18"/>
  <c r="CC245" i="18"/>
  <c r="CC232" i="18"/>
  <c r="BV245" i="18"/>
  <c r="BV232" i="18"/>
  <c r="CG245" i="18"/>
  <c r="CG232" i="18"/>
  <c r="CH245" i="18"/>
  <c r="CH232" i="18"/>
  <c r="CI204" i="18"/>
  <c r="CI205" i="18" s="1"/>
  <c r="BV204" i="18"/>
  <c r="BV205" i="18" s="1"/>
  <c r="CG212" i="18"/>
  <c r="BW204" i="18"/>
  <c r="BW205" i="18" s="1"/>
  <c r="BW212" i="18"/>
  <c r="CG204" i="18"/>
  <c r="CG205" i="18" s="1"/>
  <c r="BT204" i="18"/>
  <c r="BT205" i="18" s="1"/>
  <c r="E79" i="17"/>
  <c r="BU210" i="18"/>
  <c r="BU204" i="18"/>
  <c r="BU205" i="18" s="1"/>
  <c r="E105" i="17"/>
  <c r="BX212" i="18"/>
  <c r="CK166" i="18"/>
  <c r="CK250" i="18" s="1"/>
  <c r="CB210" i="18"/>
  <c r="BU212" i="18"/>
  <c r="CO166" i="18"/>
  <c r="CO250" i="18" s="1"/>
  <c r="BY204" i="18"/>
  <c r="BY205" i="18" s="1"/>
  <c r="BW210" i="18"/>
  <c r="CF212" i="18"/>
  <c r="BZ210" i="18"/>
  <c r="D106" i="20"/>
  <c r="CF204" i="18"/>
  <c r="CF205" i="18" s="1"/>
  <c r="BZ204" i="18"/>
  <c r="BZ205" i="18" s="1"/>
  <c r="D83" i="20"/>
  <c r="CF210" i="18"/>
  <c r="BT210" i="18"/>
  <c r="BZ212" i="18"/>
  <c r="E183" i="17"/>
  <c r="F187" i="17" s="1"/>
  <c r="BT212" i="18"/>
  <c r="CJ166" i="18"/>
  <c r="CJ250" i="18" s="1"/>
  <c r="CV245" i="18"/>
  <c r="CI210" i="18"/>
  <c r="CS166" i="18"/>
  <c r="CS250" i="18" s="1"/>
  <c r="BV212" i="18"/>
  <c r="CI212" i="18"/>
  <c r="CH212" i="18"/>
  <c r="CP166" i="18"/>
  <c r="CC204" i="18"/>
  <c r="CC205" i="18" s="1"/>
  <c r="CH204" i="18"/>
  <c r="CH205" i="18" s="1"/>
  <c r="CC212" i="18"/>
  <c r="BV210" i="18"/>
  <c r="CL166" i="18"/>
  <c r="CL250" i="18" s="1"/>
  <c r="CG210" i="18"/>
  <c r="CH210" i="18"/>
  <c r="CC210" i="18"/>
  <c r="CA204" i="18"/>
  <c r="CA205" i="18" s="1"/>
  <c r="BY210" i="18"/>
  <c r="CM166" i="18"/>
  <c r="CB212" i="18"/>
  <c r="CE210" i="18"/>
  <c r="CB204" i="18"/>
  <c r="CB205" i="18" s="1"/>
  <c r="CR166" i="18"/>
  <c r="CR250" i="18" s="1"/>
  <c r="CA210" i="18"/>
  <c r="CN166" i="18"/>
  <c r="CN250" i="18" s="1"/>
  <c r="BX210" i="18"/>
  <c r="CA212" i="18"/>
  <c r="BY212" i="18"/>
  <c r="BX204" i="18"/>
  <c r="BX205" i="18" s="1"/>
  <c r="CE204" i="18"/>
  <c r="CE205" i="18" s="1"/>
  <c r="CE212" i="18"/>
  <c r="CL237" i="18" l="1"/>
  <c r="CO237" i="18"/>
  <c r="CQ237" i="18"/>
  <c r="CR237" i="18"/>
  <c r="CK244" i="18"/>
  <c r="CK237" i="18"/>
  <c r="CJ237" i="18"/>
  <c r="CN237" i="18"/>
  <c r="CO242" i="18"/>
  <c r="CO248" i="18"/>
  <c r="CQ234" i="18"/>
  <c r="CQ248" i="18"/>
  <c r="CO247" i="18"/>
  <c r="CO249" i="18"/>
  <c r="CJ251" i="18"/>
  <c r="CJ249" i="18"/>
  <c r="CN251" i="18"/>
  <c r="CN249" i="18"/>
  <c r="CM247" i="18"/>
  <c r="CM249" i="18"/>
  <c r="CP247" i="18"/>
  <c r="CP249" i="18"/>
  <c r="CS251" i="18"/>
  <c r="CS249" i="18"/>
  <c r="CP234" i="18"/>
  <c r="CP250" i="18"/>
  <c r="CM234" i="18"/>
  <c r="CM250" i="18"/>
  <c r="CK243" i="18"/>
  <c r="CQ243" i="18"/>
  <c r="C39" i="20"/>
  <c r="C43" i="20"/>
  <c r="C47" i="20"/>
  <c r="CL235" i="18"/>
  <c r="CR235" i="18"/>
  <c r="CS235" i="18"/>
  <c r="C265" i="18"/>
  <c r="C263" i="18" s="1"/>
  <c r="C264" i="18" s="1"/>
  <c r="D263" i="18"/>
  <c r="D264" i="18" s="1"/>
  <c r="I15" i="12" s="1" a="1"/>
  <c r="G109" i="20"/>
  <c r="D346" i="18"/>
  <c r="C44" i="20"/>
  <c r="C38" i="20"/>
  <c r="C33" i="20"/>
  <c r="C36" i="20"/>
  <c r="C40" i="20"/>
  <c r="C42" i="20"/>
  <c r="C48" i="20"/>
  <c r="C34" i="20"/>
  <c r="C35" i="20"/>
  <c r="C45" i="20"/>
  <c r="C41" i="20"/>
  <c r="CT164" i="18"/>
  <c r="D77" i="20"/>
  <c r="W115" i="20"/>
  <c r="W40" i="20" s="1"/>
  <c r="V108" i="20"/>
  <c r="V33" i="20" s="1"/>
  <c r="D65" i="20"/>
  <c r="R118" i="20"/>
  <c r="R109" i="20"/>
  <c r="N112" i="20"/>
  <c r="D75" i="20"/>
  <c r="Y111" i="20"/>
  <c r="Y36" i="20" s="1"/>
  <c r="M116" i="20"/>
  <c r="T111" i="20"/>
  <c r="T36" i="20" s="1"/>
  <c r="V112" i="20"/>
  <c r="V37" i="20" s="1"/>
  <c r="K124" i="20"/>
  <c r="W109" i="20"/>
  <c r="W34" i="20" s="1"/>
  <c r="Q118" i="20"/>
  <c r="D71" i="20"/>
  <c r="D42" i="20" s="1"/>
  <c r="E124" i="20"/>
  <c r="D124" i="20"/>
  <c r="S109" i="20"/>
  <c r="S34" i="20" s="1"/>
  <c r="X123" i="20"/>
  <c r="X48" i="20" s="1"/>
  <c r="T118" i="20"/>
  <c r="T43" i="20" s="1"/>
  <c r="D62" i="20"/>
  <c r="V109" i="20"/>
  <c r="V34" i="20" s="1"/>
  <c r="K108" i="20"/>
  <c r="N119" i="20"/>
  <c r="K118" i="20"/>
  <c r="K115" i="20"/>
  <c r="R108" i="20"/>
  <c r="U123" i="20"/>
  <c r="U48" i="20" s="1"/>
  <c r="Q115" i="20"/>
  <c r="W121" i="20"/>
  <c r="W46" i="20" s="1"/>
  <c r="G115" i="20"/>
  <c r="D115" i="20"/>
  <c r="M123" i="20"/>
  <c r="F121" i="20"/>
  <c r="G108" i="20"/>
  <c r="T108" i="20"/>
  <c r="T33" i="20" s="1"/>
  <c r="W110" i="20"/>
  <c r="W35" i="20" s="1"/>
  <c r="R123" i="20"/>
  <c r="X115" i="20"/>
  <c r="X40" i="20" s="1"/>
  <c r="U121" i="20"/>
  <c r="U46" i="20" s="1"/>
  <c r="M121" i="20"/>
  <c r="CT188" i="18"/>
  <c r="CJ244" i="18"/>
  <c r="CL234" i="18"/>
  <c r="CN239" i="18"/>
  <c r="CR244" i="18"/>
  <c r="CT187" i="18"/>
  <c r="CJ234" i="18"/>
  <c r="CS237" i="18"/>
  <c r="CR234" i="18"/>
  <c r="CK234" i="18"/>
  <c r="CL239" i="18"/>
  <c r="CL242" i="18"/>
  <c r="R124" i="20"/>
  <c r="Y124" i="20"/>
  <c r="Y49" i="20" s="1"/>
  <c r="V124" i="20"/>
  <c r="V49" i="20" s="1"/>
  <c r="O109" i="20"/>
  <c r="K109" i="20"/>
  <c r="U109" i="20"/>
  <c r="U34" i="20" s="1"/>
  <c r="T109" i="20"/>
  <c r="T34" i="20" s="1"/>
  <c r="L119" i="20"/>
  <c r="D109" i="20"/>
  <c r="X124" i="20"/>
  <c r="X49" i="20" s="1"/>
  <c r="T124" i="20"/>
  <c r="T49" i="20" s="1"/>
  <c r="W124" i="20"/>
  <c r="W49" i="20" s="1"/>
  <c r="L109" i="20"/>
  <c r="N109" i="20"/>
  <c r="Q109" i="20"/>
  <c r="P109" i="20"/>
  <c r="J119" i="20"/>
  <c r="CK242" i="18"/>
  <c r="L124" i="20"/>
  <c r="Q124" i="20"/>
  <c r="M109" i="20"/>
  <c r="X109" i="20"/>
  <c r="X34" i="20" s="1"/>
  <c r="Y109" i="20"/>
  <c r="Y34" i="20" s="1"/>
  <c r="J109" i="20"/>
  <c r="W119" i="20"/>
  <c r="W44" i="20" s="1"/>
  <c r="G116" i="20"/>
  <c r="G124" i="20"/>
  <c r="M122" i="20"/>
  <c r="D70" i="20"/>
  <c r="U108" i="20"/>
  <c r="U33" i="20" s="1"/>
  <c r="J108" i="20"/>
  <c r="N110" i="20"/>
  <c r="L121" i="20"/>
  <c r="O108" i="20"/>
  <c r="S108" i="20"/>
  <c r="S33" i="20" s="1"/>
  <c r="K122" i="20"/>
  <c r="O113" i="20"/>
  <c r="Q121" i="20"/>
  <c r="Y121" i="20"/>
  <c r="Y46" i="20" s="1"/>
  <c r="T113" i="20"/>
  <c r="T38" i="20" s="1"/>
  <c r="J122" i="20"/>
  <c r="X122" i="20"/>
  <c r="X47" i="20" s="1"/>
  <c r="T121" i="20"/>
  <c r="T46" i="20" s="1"/>
  <c r="X121" i="20"/>
  <c r="X46" i="20" s="1"/>
  <c r="K121" i="20"/>
  <c r="V120" i="20"/>
  <c r="V45" i="20" s="1"/>
  <c r="P113" i="20"/>
  <c r="X120" i="20"/>
  <c r="X45" i="20" s="1"/>
  <c r="S121" i="20"/>
  <c r="S46" i="20" s="1"/>
  <c r="R116" i="20"/>
  <c r="N121" i="20"/>
  <c r="H113" i="20"/>
  <c r="D121" i="20"/>
  <c r="D120" i="20"/>
  <c r="N120" i="20"/>
  <c r="S120" i="20"/>
  <c r="S45" i="20" s="1"/>
  <c r="Q113" i="20"/>
  <c r="R120" i="20"/>
  <c r="G121" i="20"/>
  <c r="O121" i="20"/>
  <c r="V121" i="20"/>
  <c r="V46" i="20" s="1"/>
  <c r="D69" i="20"/>
  <c r="D73" i="20"/>
  <c r="P111" i="20"/>
  <c r="K111" i="20"/>
  <c r="K112" i="20"/>
  <c r="P112" i="20"/>
  <c r="D66" i="20"/>
  <c r="D108" i="20"/>
  <c r="G114" i="20"/>
  <c r="G118" i="20"/>
  <c r="D76" i="20"/>
  <c r="M124" i="20"/>
  <c r="O124" i="20"/>
  <c r="S124" i="20"/>
  <c r="S49" i="20" s="1"/>
  <c r="H124" i="20"/>
  <c r="J124" i="20"/>
  <c r="N108" i="20"/>
  <c r="M108" i="20"/>
  <c r="Y108" i="20"/>
  <c r="Y33" i="20" s="1"/>
  <c r="P108" i="20"/>
  <c r="J120" i="20"/>
  <c r="M111" i="20"/>
  <c r="S111" i="20"/>
  <c r="S36" i="20" s="1"/>
  <c r="Q112" i="20"/>
  <c r="W112" i="20"/>
  <c r="W37" i="20" s="1"/>
  <c r="O120" i="20"/>
  <c r="Y120" i="20"/>
  <c r="Y45" i="20" s="1"/>
  <c r="V118" i="20"/>
  <c r="V43" i="20" s="1"/>
  <c r="M118" i="20"/>
  <c r="G120" i="20"/>
  <c r="R121" i="20"/>
  <c r="J121" i="20"/>
  <c r="D111" i="20"/>
  <c r="D118" i="20"/>
  <c r="U124" i="20"/>
  <c r="U49" i="20" s="1"/>
  <c r="P124" i="20"/>
  <c r="N124" i="20"/>
  <c r="F124" i="20"/>
  <c r="L108" i="20"/>
  <c r="X108" i="20"/>
  <c r="X33" i="20" s="1"/>
  <c r="Q108" i="20"/>
  <c r="U120" i="20"/>
  <c r="U45" i="20" s="1"/>
  <c r="X111" i="20"/>
  <c r="X36" i="20" s="1"/>
  <c r="U111" i="20"/>
  <c r="U36" i="20" s="1"/>
  <c r="G111" i="20"/>
  <c r="M112" i="20"/>
  <c r="S112" i="20"/>
  <c r="S37" i="20" s="1"/>
  <c r="K120" i="20"/>
  <c r="T120" i="20"/>
  <c r="T45" i="20" s="1"/>
  <c r="D84" i="20"/>
  <c r="CR247" i="18"/>
  <c r="D74" i="20"/>
  <c r="G112" i="20"/>
  <c r="Q111" i="20"/>
  <c r="R111" i="20"/>
  <c r="L111" i="20"/>
  <c r="W111" i="20"/>
  <c r="W36" i="20" s="1"/>
  <c r="J112" i="20"/>
  <c r="U112" i="20"/>
  <c r="U37" i="20" s="1"/>
  <c r="O112" i="20"/>
  <c r="R112" i="20"/>
  <c r="V116" i="20"/>
  <c r="V41" i="20" s="1"/>
  <c r="L113" i="20"/>
  <c r="S113" i="20"/>
  <c r="S38" i="20" s="1"/>
  <c r="R119" i="20"/>
  <c r="O119" i="20"/>
  <c r="K116" i="20"/>
  <c r="O116" i="20"/>
  <c r="U116" i="20"/>
  <c r="U41" i="20" s="1"/>
  <c r="D112" i="20"/>
  <c r="D64" i="20"/>
  <c r="D68" i="20"/>
  <c r="D39" i="20" s="1"/>
  <c r="D116" i="20"/>
  <c r="J111" i="20"/>
  <c r="N111" i="20"/>
  <c r="V111" i="20"/>
  <c r="V36" i="20" s="1"/>
  <c r="L112" i="20"/>
  <c r="X112" i="20"/>
  <c r="X37" i="20" s="1"/>
  <c r="T112" i="20"/>
  <c r="T37" i="20" s="1"/>
  <c r="N116" i="20"/>
  <c r="W113" i="20"/>
  <c r="W38" i="20" s="1"/>
  <c r="J113" i="20"/>
  <c r="Q119" i="20"/>
  <c r="M119" i="20"/>
  <c r="D123" i="20"/>
  <c r="G110" i="20"/>
  <c r="L110" i="20"/>
  <c r="T110" i="20"/>
  <c r="T35" i="20" s="1"/>
  <c r="S122" i="20"/>
  <c r="S47" i="20" s="1"/>
  <c r="J123" i="20"/>
  <c r="K123" i="20"/>
  <c r="W123" i="20"/>
  <c r="W48" i="20" s="1"/>
  <c r="T123" i="20"/>
  <c r="T48" i="20" s="1"/>
  <c r="T115" i="20"/>
  <c r="T40" i="20" s="1"/>
  <c r="R115" i="20"/>
  <c r="S115" i="20"/>
  <c r="S40" i="20" s="1"/>
  <c r="V115" i="20"/>
  <c r="V40" i="20" s="1"/>
  <c r="Q122" i="20"/>
  <c r="O122" i="20"/>
  <c r="V122" i="20"/>
  <c r="V47" i="20" s="1"/>
  <c r="D63" i="20"/>
  <c r="I123" i="20"/>
  <c r="D72" i="20"/>
  <c r="J110" i="20"/>
  <c r="M110" i="20"/>
  <c r="G122" i="20"/>
  <c r="G123" i="20"/>
  <c r="N123" i="20"/>
  <c r="Q123" i="20"/>
  <c r="P123" i="20"/>
  <c r="V123" i="20"/>
  <c r="V48" i="20" s="1"/>
  <c r="M115" i="20"/>
  <c r="U115" i="20"/>
  <c r="U40" i="20" s="1"/>
  <c r="N115" i="20"/>
  <c r="J115" i="20"/>
  <c r="N122" i="20"/>
  <c r="T122" i="20"/>
  <c r="T47" i="20" s="1"/>
  <c r="D122" i="20"/>
  <c r="U122" i="20"/>
  <c r="U47" i="20" s="1"/>
  <c r="Y110" i="20"/>
  <c r="Y35" i="20" s="1"/>
  <c r="P110" i="20"/>
  <c r="O123" i="20"/>
  <c r="Y123" i="20"/>
  <c r="Y48" i="20" s="1"/>
  <c r="S123" i="20"/>
  <c r="S48" i="20" s="1"/>
  <c r="L123" i="20"/>
  <c r="L115" i="20"/>
  <c r="Y115" i="20"/>
  <c r="Y40" i="20" s="1"/>
  <c r="P115" i="20"/>
  <c r="R122" i="20"/>
  <c r="Y122" i="20"/>
  <c r="Y47" i="20" s="1"/>
  <c r="S117" i="20"/>
  <c r="S42" i="20" s="1"/>
  <c r="U117" i="20"/>
  <c r="U42" i="20" s="1"/>
  <c r="X117" i="20"/>
  <c r="X42" i="20" s="1"/>
  <c r="T117" i="20"/>
  <c r="T42" i="20" s="1"/>
  <c r="N117" i="20"/>
  <c r="R117" i="20"/>
  <c r="O117" i="20"/>
  <c r="P117" i="20"/>
  <c r="M117" i="20"/>
  <c r="Q117" i="20"/>
  <c r="Y117" i="20"/>
  <c r="Y42" i="20" s="1"/>
  <c r="K117" i="20"/>
  <c r="L117" i="20"/>
  <c r="W117" i="20"/>
  <c r="W42" i="20" s="1"/>
  <c r="J117" i="20"/>
  <c r="V117" i="20"/>
  <c r="V42" i="20" s="1"/>
  <c r="D29" i="17"/>
  <c r="E97" i="17"/>
  <c r="E29" i="17" s="1"/>
  <c r="E81" i="17"/>
  <c r="F81" i="17" s="1"/>
  <c r="B79" i="17"/>
  <c r="D27" i="17"/>
  <c r="E95" i="17"/>
  <c r="E27" i="17" s="1"/>
  <c r="D26" i="17"/>
  <c r="E94" i="17"/>
  <c r="E26" i="17" s="1"/>
  <c r="D110" i="20"/>
  <c r="D119" i="20"/>
  <c r="K110" i="20"/>
  <c r="O110" i="20"/>
  <c r="S110" i="20"/>
  <c r="V110" i="20"/>
  <c r="V35" i="20" s="1"/>
  <c r="C49" i="20"/>
  <c r="P116" i="20"/>
  <c r="R113" i="20"/>
  <c r="X113" i="20"/>
  <c r="X38" i="20" s="1"/>
  <c r="V113" i="20"/>
  <c r="V38" i="20" s="1"/>
  <c r="Y113" i="20"/>
  <c r="Y38" i="20" s="1"/>
  <c r="P119" i="20"/>
  <c r="K119" i="20"/>
  <c r="S119" i="20"/>
  <c r="S44" i="20" s="1"/>
  <c r="V119" i="20"/>
  <c r="V44" i="20" s="1"/>
  <c r="W122" i="20"/>
  <c r="W47" i="20" s="1"/>
  <c r="L122" i="20"/>
  <c r="F122" i="20"/>
  <c r="G119" i="20"/>
  <c r="U118" i="20"/>
  <c r="U43" i="20" s="1"/>
  <c r="S118" i="20"/>
  <c r="S43" i="20" s="1"/>
  <c r="N118" i="20"/>
  <c r="J118" i="20"/>
  <c r="W118" i="20"/>
  <c r="W43" i="20" s="1"/>
  <c r="Y118" i="20"/>
  <c r="Y43" i="20" s="1"/>
  <c r="L118" i="20"/>
  <c r="P118" i="20"/>
  <c r="X118" i="20"/>
  <c r="X43" i="20" s="1"/>
  <c r="E96" i="17"/>
  <c r="E28" i="17" s="1"/>
  <c r="D28" i="17"/>
  <c r="G117" i="20"/>
  <c r="T116" i="20"/>
  <c r="T41" i="20" s="1"/>
  <c r="S116" i="20"/>
  <c r="S41" i="20" s="1"/>
  <c r="J116" i="20"/>
  <c r="Y116" i="20"/>
  <c r="Y41" i="20" s="1"/>
  <c r="W116" i="20"/>
  <c r="W41" i="20" s="1"/>
  <c r="D113" i="20"/>
  <c r="D67" i="20"/>
  <c r="G113" i="20"/>
  <c r="Q110" i="20"/>
  <c r="R110" i="20"/>
  <c r="X110" i="20"/>
  <c r="X35" i="20" s="1"/>
  <c r="L116" i="20"/>
  <c r="K113" i="20"/>
  <c r="N113" i="20"/>
  <c r="M113" i="20"/>
  <c r="Y119" i="20"/>
  <c r="Y44" i="20" s="1"/>
  <c r="X119" i="20"/>
  <c r="X44" i="20" s="1"/>
  <c r="T119" i="20"/>
  <c r="T44" i="20" s="1"/>
  <c r="D78" i="20"/>
  <c r="Q116" i="20"/>
  <c r="L120" i="20"/>
  <c r="W120" i="20"/>
  <c r="W45" i="20" s="1"/>
  <c r="P120" i="20"/>
  <c r="Q120" i="20"/>
  <c r="Q114" i="20"/>
  <c r="S114" i="20"/>
  <c r="S39" i="20" s="1"/>
  <c r="J114" i="20"/>
  <c r="T114" i="20"/>
  <c r="T39" i="20" s="1"/>
  <c r="M114" i="20"/>
  <c r="K114" i="20"/>
  <c r="L114" i="20"/>
  <c r="X114" i="20"/>
  <c r="X39" i="20" s="1"/>
  <c r="R114" i="20"/>
  <c r="W114" i="20"/>
  <c r="W39" i="20" s="1"/>
  <c r="P114" i="20"/>
  <c r="Y114" i="20"/>
  <c r="Y39" i="20" s="1"/>
  <c r="V114" i="20"/>
  <c r="V39" i="20" s="1"/>
  <c r="U114" i="20"/>
  <c r="U39" i="20" s="1"/>
  <c r="N114" i="20"/>
  <c r="O114" i="20"/>
  <c r="E121" i="20"/>
  <c r="H122" i="20"/>
  <c r="E122" i="20"/>
  <c r="E123" i="20"/>
  <c r="CN244" i="18"/>
  <c r="CL244" i="18"/>
  <c r="H123" i="20"/>
  <c r="CL243" i="18"/>
  <c r="CR243" i="18"/>
  <c r="CJ243" i="18"/>
  <c r="CS243" i="18"/>
  <c r="CN243" i="18"/>
  <c r="CS242" i="18"/>
  <c r="CJ242" i="18"/>
  <c r="CN242" i="18"/>
  <c r="CK239" i="18"/>
  <c r="CT178" i="18"/>
  <c r="CT186" i="18"/>
  <c r="CT202" i="18"/>
  <c r="CT240" i="18" s="1"/>
  <c r="CT185" i="18"/>
  <c r="CT182" i="18"/>
  <c r="CT181" i="18"/>
  <c r="CT172" i="18"/>
  <c r="CT180" i="18"/>
  <c r="CT191" i="18"/>
  <c r="CT175" i="18"/>
  <c r="CT168" i="18"/>
  <c r="CT170" i="18"/>
  <c r="CT199" i="18"/>
  <c r="CT173" i="18"/>
  <c r="CT195" i="18"/>
  <c r="CT198" i="18"/>
  <c r="CT201" i="18"/>
  <c r="CT189" i="18"/>
  <c r="CT169" i="18"/>
  <c r="CT248" i="18" s="1"/>
  <c r="CT177" i="18"/>
  <c r="CT183" i="18"/>
  <c r="CT174" i="18"/>
  <c r="CT192" i="18"/>
  <c r="CT184" i="18"/>
  <c r="CT190" i="18"/>
  <c r="CT193" i="18"/>
  <c r="CT176" i="18"/>
  <c r="F62" i="17"/>
  <c r="F68" i="17"/>
  <c r="F74" i="17"/>
  <c r="F73" i="17"/>
  <c r="F70" i="17"/>
  <c r="F71" i="17"/>
  <c r="F63" i="17"/>
  <c r="F66" i="17"/>
  <c r="F69" i="17"/>
  <c r="F67" i="17"/>
  <c r="F72" i="17"/>
  <c r="F65" i="17"/>
  <c r="F64" i="17"/>
  <c r="F109" i="20"/>
  <c r="G106" i="20"/>
  <c r="F60" i="17"/>
  <c r="F61" i="17"/>
  <c r="F54" i="17"/>
  <c r="F59" i="17"/>
  <c r="CT197" i="18"/>
  <c r="F161" i="17"/>
  <c r="CS213" i="18"/>
  <c r="F157" i="17"/>
  <c r="F158" i="17"/>
  <c r="F162" i="17"/>
  <c r="F160" i="17"/>
  <c r="CN213" i="18"/>
  <c r="E110" i="20"/>
  <c r="F110" i="20"/>
  <c r="E109" i="20"/>
  <c r="I109" i="20"/>
  <c r="H109" i="20"/>
  <c r="CL214" i="18"/>
  <c r="H112" i="20"/>
  <c r="H108" i="20"/>
  <c r="I112" i="20"/>
  <c r="I108" i="20"/>
  <c r="CO234" i="18"/>
  <c r="CO213" i="18"/>
  <c r="CM213" i="18"/>
  <c r="CR213" i="18"/>
  <c r="CJ213" i="18"/>
  <c r="CL213" i="18"/>
  <c r="CP213" i="18"/>
  <c r="F108" i="20"/>
  <c r="E108" i="20"/>
  <c r="CT196" i="18"/>
  <c r="CR239" i="18"/>
  <c r="CT200" i="18"/>
  <c r="CK213" i="18"/>
  <c r="CT203" i="18"/>
  <c r="CQ213" i="18"/>
  <c r="CQ239" i="18"/>
  <c r="CS234" i="18"/>
  <c r="CN234" i="18"/>
  <c r="CR251" i="18"/>
  <c r="CQ251" i="18"/>
  <c r="CQ247" i="18"/>
  <c r="CN247" i="18"/>
  <c r="CL247" i="18"/>
  <c r="CK251" i="18"/>
  <c r="CK247" i="18"/>
  <c r="CJ247" i="18"/>
  <c r="CS247" i="18"/>
  <c r="I110" i="20"/>
  <c r="I111" i="20"/>
  <c r="H110" i="20"/>
  <c r="H111" i="20"/>
  <c r="I121" i="20"/>
  <c r="I122" i="20"/>
  <c r="F118" i="20"/>
  <c r="F120" i="20"/>
  <c r="H120" i="20"/>
  <c r="H121" i="20"/>
  <c r="E120" i="20"/>
  <c r="E119" i="20"/>
  <c r="F119" i="20"/>
  <c r="F117" i="20"/>
  <c r="I118" i="20"/>
  <c r="I119" i="20"/>
  <c r="H118" i="20"/>
  <c r="H119" i="20"/>
  <c r="E118" i="20"/>
  <c r="E117" i="20"/>
  <c r="F116" i="20"/>
  <c r="I116" i="20"/>
  <c r="I117" i="20"/>
  <c r="H116" i="20"/>
  <c r="H117" i="20"/>
  <c r="E116" i="20"/>
  <c r="H114" i="20"/>
  <c r="H115" i="20"/>
  <c r="I114" i="20"/>
  <c r="I115" i="20"/>
  <c r="CO238" i="18"/>
  <c r="CO251" i="18"/>
  <c r="CM238" i="18"/>
  <c r="CM251" i="18"/>
  <c r="CP238" i="18"/>
  <c r="CP251" i="18"/>
  <c r="CL251" i="18"/>
  <c r="CK238" i="18"/>
  <c r="CR215" i="18"/>
  <c r="CR214" i="18"/>
  <c r="CN215" i="18"/>
  <c r="CN214" i="18"/>
  <c r="CO246" i="18"/>
  <c r="CO214" i="18"/>
  <c r="CX205" i="18"/>
  <c r="H106" i="20"/>
  <c r="CS215" i="18"/>
  <c r="CS214" i="18"/>
  <c r="CM246" i="18"/>
  <c r="CM214" i="18"/>
  <c r="CP246" i="18"/>
  <c r="CP214" i="18"/>
  <c r="CQ246" i="18"/>
  <c r="CQ214" i="18"/>
  <c r="CK215" i="18"/>
  <c r="CK214" i="18"/>
  <c r="CJ215" i="18"/>
  <c r="CJ214" i="18"/>
  <c r="CN246" i="18"/>
  <c r="I120" i="20"/>
  <c r="I113" i="20"/>
  <c r="E113" i="20"/>
  <c r="CK246" i="18"/>
  <c r="CJ246" i="18"/>
  <c r="CR246" i="18"/>
  <c r="CL215" i="18"/>
  <c r="CL246" i="18"/>
  <c r="CS246" i="18"/>
  <c r="E112" i="20"/>
  <c r="CR233" i="18"/>
  <c r="CK233" i="18"/>
  <c r="CN233" i="18"/>
  <c r="CL233" i="18"/>
  <c r="CM215" i="18"/>
  <c r="CM233" i="18"/>
  <c r="CP215" i="18"/>
  <c r="CP233" i="18"/>
  <c r="CQ215" i="18"/>
  <c r="CQ233" i="18"/>
  <c r="CJ233" i="18"/>
  <c r="CO215" i="18"/>
  <c r="CO233" i="18"/>
  <c r="CS233" i="18"/>
  <c r="CY205" i="18"/>
  <c r="I106" i="20"/>
  <c r="CS238" i="18"/>
  <c r="CN238" i="18"/>
  <c r="CL238" i="18"/>
  <c r="CJ238" i="18"/>
  <c r="CR238" i="18"/>
  <c r="CT167" i="18"/>
  <c r="CT171" i="18"/>
  <c r="CT235" i="18" s="1"/>
  <c r="D9" i="22"/>
  <c r="CT194" i="18"/>
  <c r="F93" i="17"/>
  <c r="F92" i="17"/>
  <c r="F91" i="17"/>
  <c r="E111" i="20"/>
  <c r="E115" i="20"/>
  <c r="E114" i="20"/>
  <c r="E106" i="20"/>
  <c r="F58" i="17"/>
  <c r="F56" i="17"/>
  <c r="F53" i="17"/>
  <c r="F57" i="17"/>
  <c r="F55" i="17"/>
  <c r="F105" i="17"/>
  <c r="CQ211" i="18"/>
  <c r="CR211" i="18"/>
  <c r="F115" i="20"/>
  <c r="F114" i="20"/>
  <c r="CJ211" i="18"/>
  <c r="CK211" i="18"/>
  <c r="CO211" i="18"/>
  <c r="F89" i="17"/>
  <c r="F90" i="17"/>
  <c r="CN211" i="18"/>
  <c r="CS211" i="18"/>
  <c r="CL211" i="18"/>
  <c r="CM211" i="18"/>
  <c r="CP211" i="18"/>
  <c r="F111" i="20"/>
  <c r="CR241" i="18"/>
  <c r="CR236" i="18"/>
  <c r="CK241" i="18"/>
  <c r="CK236" i="18"/>
  <c r="CM241" i="18"/>
  <c r="CM236" i="18"/>
  <c r="CP241" i="18"/>
  <c r="CP236" i="18"/>
  <c r="CO241" i="18"/>
  <c r="CO236" i="18"/>
  <c r="CL241" i="18"/>
  <c r="CL236" i="18"/>
  <c r="CS241" i="18"/>
  <c r="CS236" i="18"/>
  <c r="CQ241" i="18"/>
  <c r="CQ236" i="18"/>
  <c r="CN241" i="18"/>
  <c r="CN236" i="18"/>
  <c r="CJ241" i="18"/>
  <c r="CJ236" i="18"/>
  <c r="F82" i="17"/>
  <c r="F88" i="17"/>
  <c r="CT165" i="18"/>
  <c r="F113" i="20"/>
  <c r="F112" i="20"/>
  <c r="CV205" i="18"/>
  <c r="J67" i="13"/>
  <c r="K67" i="13" s="1"/>
  <c r="CS245" i="18"/>
  <c r="CS232" i="18"/>
  <c r="CN245" i="18"/>
  <c r="CN232" i="18"/>
  <c r="CJ245" i="18"/>
  <c r="CJ232" i="18"/>
  <c r="CM245" i="18"/>
  <c r="CM232" i="18"/>
  <c r="CP245" i="18"/>
  <c r="CP232" i="18"/>
  <c r="CO245" i="18"/>
  <c r="CO232" i="18"/>
  <c r="CL210" i="18"/>
  <c r="CL232" i="18"/>
  <c r="CQ245" i="18"/>
  <c r="CQ232" i="18"/>
  <c r="CR245" i="18"/>
  <c r="CR232" i="18"/>
  <c r="CK245" i="18"/>
  <c r="CK232" i="18"/>
  <c r="CQ212" i="18"/>
  <c r="CQ204" i="18"/>
  <c r="CQ205" i="18" s="1"/>
  <c r="CQ210" i="18"/>
  <c r="F83" i="17"/>
  <c r="CJ212" i="18"/>
  <c r="F85" i="17"/>
  <c r="F87" i="17"/>
  <c r="F79" i="17"/>
  <c r="CO210" i="18"/>
  <c r="CP212" i="18"/>
  <c r="F84" i="17"/>
  <c r="F86" i="17"/>
  <c r="CS212" i="18"/>
  <c r="E184" i="17"/>
  <c r="F184" i="17" s="1"/>
  <c r="CK210" i="18"/>
  <c r="CK204" i="18"/>
  <c r="CK205" i="18" s="1"/>
  <c r="F183" i="17"/>
  <c r="CO212" i="18"/>
  <c r="CT166" i="18"/>
  <c r="CT250" i="18" s="1"/>
  <c r="D31" i="20"/>
  <c r="CK212" i="18"/>
  <c r="CL204" i="18"/>
  <c r="CL205" i="18" s="1"/>
  <c r="CM210" i="18"/>
  <c r="CN210" i="18"/>
  <c r="CJ204" i="18"/>
  <c r="F186" i="17"/>
  <c r="CO204" i="18"/>
  <c r="CO205" i="18" s="1"/>
  <c r="F185" i="17"/>
  <c r="CJ210" i="18"/>
  <c r="CL245" i="18"/>
  <c r="CL212" i="18"/>
  <c r="CS204" i="18"/>
  <c r="CS205" i="18" s="1"/>
  <c r="CS210" i="18"/>
  <c r="CR204" i="18"/>
  <c r="CR205" i="18" s="1"/>
  <c r="CN204" i="18"/>
  <c r="CN205" i="18" s="1"/>
  <c r="CN212" i="18"/>
  <c r="CM204" i="18"/>
  <c r="CM205" i="18" s="1"/>
  <c r="CP204" i="18"/>
  <c r="CP205" i="18" s="1"/>
  <c r="CR210" i="18"/>
  <c r="CR212" i="18"/>
  <c r="CM212" i="18"/>
  <c r="CP210" i="18"/>
  <c r="CT237" i="18" l="1"/>
  <c r="CT251" i="18"/>
  <c r="CT249" i="18"/>
  <c r="C346" i="18"/>
  <c r="C34" i="22" s="1"/>
  <c r="D19" i="23"/>
  <c r="C28" i="22"/>
  <c r="I15" i="12"/>
  <c r="I54" i="12"/>
  <c r="I22" i="12"/>
  <c r="I25" i="12"/>
  <c r="I44" i="12"/>
  <c r="I28" i="12"/>
  <c r="I50" i="12"/>
  <c r="I18" i="12"/>
  <c r="I29" i="12"/>
  <c r="I43" i="12"/>
  <c r="I27" i="12"/>
  <c r="I46" i="12"/>
  <c r="I49" i="12"/>
  <c r="I17" i="12"/>
  <c r="I40" i="12"/>
  <c r="I24" i="12"/>
  <c r="I53" i="12"/>
  <c r="I39" i="12"/>
  <c r="I38" i="12"/>
  <c r="I41" i="12"/>
  <c r="I52" i="12"/>
  <c r="I36" i="12"/>
  <c r="I20" i="12"/>
  <c r="I34" i="12"/>
  <c r="I45" i="12"/>
  <c r="I51" i="12"/>
  <c r="I35" i="12"/>
  <c r="I19" i="12"/>
  <c r="I30" i="12"/>
  <c r="I33" i="12"/>
  <c r="I48" i="12"/>
  <c r="I32" i="12"/>
  <c r="I16" i="12"/>
  <c r="I26" i="12"/>
  <c r="I37" i="12"/>
  <c r="I47" i="12"/>
  <c r="I31" i="12"/>
  <c r="I42" i="12"/>
  <c r="I21" i="12"/>
  <c r="I23" i="12"/>
  <c r="B32" i="20"/>
  <c r="D45" i="20"/>
  <c r="D41" i="20"/>
  <c r="D43" i="20"/>
  <c r="D40" i="20"/>
  <c r="D49" i="20"/>
  <c r="D47" i="20"/>
  <c r="D37" i="20"/>
  <c r="D35" i="20"/>
  <c r="D33" i="20"/>
  <c r="D44" i="20"/>
  <c r="D48" i="20"/>
  <c r="D38" i="20"/>
  <c r="D34" i="20"/>
  <c r="D46" i="20"/>
  <c r="D36" i="20"/>
  <c r="CT244" i="18"/>
  <c r="R107" i="20"/>
  <c r="J107" i="20"/>
  <c r="U107" i="20"/>
  <c r="U32" i="20" s="1"/>
  <c r="F107" i="20"/>
  <c r="O107" i="20"/>
  <c r="K107" i="20"/>
  <c r="P107" i="20"/>
  <c r="M107" i="20"/>
  <c r="Q107" i="20"/>
  <c r="S107" i="20"/>
  <c r="S32" i="20" s="1"/>
  <c r="D107" i="20"/>
  <c r="L107" i="20"/>
  <c r="N107" i="20"/>
  <c r="I107" i="20"/>
  <c r="H107" i="20"/>
  <c r="G107" i="20"/>
  <c r="V107" i="20"/>
  <c r="V32" i="20" s="1"/>
  <c r="W107" i="20"/>
  <c r="W32" i="20" s="1"/>
  <c r="X107" i="20"/>
  <c r="X32" i="20" s="1"/>
  <c r="Y107" i="20"/>
  <c r="Y32" i="20" s="1"/>
  <c r="E107" i="20"/>
  <c r="T107" i="20"/>
  <c r="T32" i="20" s="1"/>
  <c r="D61" i="20"/>
  <c r="D32" i="20" s="1"/>
  <c r="E80" i="17"/>
  <c r="F80" i="17" s="1"/>
  <c r="F95" i="17"/>
  <c r="F96" i="17"/>
  <c r="F94" i="17"/>
  <c r="S35" i="20"/>
  <c r="F97" i="17"/>
  <c r="CT243" i="18"/>
  <c r="CT242" i="18"/>
  <c r="CT239" i="18"/>
  <c r="CT213" i="18"/>
  <c r="CT234" i="18"/>
  <c r="CT247" i="18"/>
  <c r="CT215" i="18"/>
  <c r="CT214" i="18"/>
  <c r="CT246" i="18"/>
  <c r="CT233" i="18"/>
  <c r="CT238" i="18"/>
  <c r="CT211" i="18"/>
  <c r="CT241" i="18"/>
  <c r="CT236" i="18"/>
  <c r="L67" i="13"/>
  <c r="M67" i="13" s="1"/>
  <c r="CT212" i="18"/>
  <c r="CT232" i="18"/>
  <c r="CT210" i="18"/>
  <c r="CT245" i="18"/>
  <c r="CT204" i="18"/>
  <c r="B28" i="13"/>
  <c r="I55" i="12" l="1"/>
  <c r="B29" i="13"/>
  <c r="B30" i="13" s="1"/>
  <c r="B31" i="13" s="1"/>
  <c r="B32" i="13" s="1"/>
  <c r="C26" i="22"/>
  <c r="C31" i="22" s="1"/>
  <c r="N67" i="13"/>
  <c r="E82" i="20" s="1"/>
  <c r="E99" i="20" l="1"/>
  <c r="E101" i="20"/>
  <c r="P82" i="20"/>
  <c r="P84" i="20" s="1"/>
  <c r="O82" i="20"/>
  <c r="O84" i="20" s="1"/>
  <c r="I82" i="20"/>
  <c r="D145" i="17"/>
  <c r="E98" i="20"/>
  <c r="E96" i="20"/>
  <c r="E97" i="20"/>
  <c r="E95" i="20"/>
  <c r="L82" i="20"/>
  <c r="L84" i="20" s="1"/>
  <c r="H82" i="20"/>
  <c r="G82" i="20"/>
  <c r="K82" i="20"/>
  <c r="N82" i="20"/>
  <c r="N84" i="20" s="1"/>
  <c r="J82" i="20"/>
  <c r="R82" i="20"/>
  <c r="M82" i="20"/>
  <c r="M84" i="20" s="1"/>
  <c r="F82" i="20"/>
  <c r="Q82" i="20"/>
  <c r="D137" i="17"/>
  <c r="D139" i="17"/>
  <c r="D140" i="17"/>
  <c r="D136" i="17"/>
  <c r="D142" i="17"/>
  <c r="D22" i="17" s="1"/>
  <c r="D132" i="17"/>
  <c r="D12" i="17" s="1"/>
  <c r="D138" i="17"/>
  <c r="D134" i="17"/>
  <c r="D135" i="17"/>
  <c r="D143" i="17"/>
  <c r="D23" i="17" s="1"/>
  <c r="D144" i="17"/>
  <c r="D133" i="17"/>
  <c r="D141" i="17"/>
  <c r="E30" i="20"/>
  <c r="B33" i="13"/>
  <c r="R30" i="20" l="1"/>
  <c r="R84" i="20"/>
  <c r="G101" i="20"/>
  <c r="I101" i="20"/>
  <c r="K101" i="20"/>
  <c r="K84" i="20"/>
  <c r="Q30" i="20"/>
  <c r="Q84" i="20"/>
  <c r="J101" i="20"/>
  <c r="J84" i="20"/>
  <c r="H101" i="20"/>
  <c r="P101" i="20"/>
  <c r="P49" i="20" s="1"/>
  <c r="P30" i="20"/>
  <c r="M99" i="20"/>
  <c r="M101" i="20"/>
  <c r="R99" i="20"/>
  <c r="R47" i="20" s="1"/>
  <c r="R101" i="20"/>
  <c r="R49" i="20" s="1"/>
  <c r="Q99" i="20"/>
  <c r="Q47" i="20" s="1"/>
  <c r="Q101" i="20"/>
  <c r="Q49" i="20" s="1"/>
  <c r="O99" i="20"/>
  <c r="O47" i="20" s="1"/>
  <c r="O101" i="20"/>
  <c r="O49" i="20" s="1"/>
  <c r="F91" i="20"/>
  <c r="F101" i="20"/>
  <c r="N99" i="20"/>
  <c r="N101" i="20"/>
  <c r="L99" i="20"/>
  <c r="L101" i="20"/>
  <c r="F145" i="17"/>
  <c r="D25" i="17"/>
  <c r="F144" i="17"/>
  <c r="D24" i="17"/>
  <c r="H94" i="20"/>
  <c r="H99" i="20"/>
  <c r="K94" i="20"/>
  <c r="K99" i="20"/>
  <c r="J94" i="20"/>
  <c r="J99" i="20"/>
  <c r="G91" i="20"/>
  <c r="G99" i="20"/>
  <c r="I95" i="20"/>
  <c r="I99" i="20"/>
  <c r="F86" i="20"/>
  <c r="F99" i="20"/>
  <c r="P98" i="20"/>
  <c r="P46" i="20" s="1"/>
  <c r="P99" i="20"/>
  <c r="P47" i="20" s="1"/>
  <c r="O95" i="20"/>
  <c r="O43" i="20" s="1"/>
  <c r="O30" i="20"/>
  <c r="O98" i="20"/>
  <c r="O46" i="20" s="1"/>
  <c r="O97" i="20"/>
  <c r="O45" i="20" s="1"/>
  <c r="O89" i="20"/>
  <c r="O37" i="20" s="1"/>
  <c r="O86" i="20"/>
  <c r="O34" i="20" s="1"/>
  <c r="O93" i="20"/>
  <c r="O41" i="20" s="1"/>
  <c r="I97" i="20"/>
  <c r="I96" i="20"/>
  <c r="P86" i="20"/>
  <c r="P34" i="20" s="1"/>
  <c r="P95" i="20"/>
  <c r="P43" i="20" s="1"/>
  <c r="P90" i="20"/>
  <c r="P38" i="20" s="1"/>
  <c r="O90" i="20"/>
  <c r="O38" i="20" s="1"/>
  <c r="I98" i="20"/>
  <c r="I85" i="20"/>
  <c r="P93" i="20"/>
  <c r="P41" i="20" s="1"/>
  <c r="P89" i="20"/>
  <c r="P37" i="20" s="1"/>
  <c r="P100" i="20"/>
  <c r="P48" i="20" s="1"/>
  <c r="P85" i="20"/>
  <c r="P33" i="20" s="1"/>
  <c r="P97" i="20"/>
  <c r="P45" i="20" s="1"/>
  <c r="P92" i="20"/>
  <c r="P40" i="20" s="1"/>
  <c r="P83" i="20"/>
  <c r="P31" i="20" s="1"/>
  <c r="P88" i="20"/>
  <c r="P36" i="20" s="1"/>
  <c r="P94" i="20"/>
  <c r="P42" i="20" s="1"/>
  <c r="P96" i="20"/>
  <c r="P44" i="20" s="1"/>
  <c r="O83" i="20"/>
  <c r="O31" i="20" s="1"/>
  <c r="O32" i="20"/>
  <c r="P32" i="20"/>
  <c r="P91" i="20"/>
  <c r="P39" i="20" s="1"/>
  <c r="P87" i="20"/>
  <c r="P35" i="20" s="1"/>
  <c r="E145" i="17"/>
  <c r="E25" i="17" s="1"/>
  <c r="O100" i="20"/>
  <c r="O48" i="20" s="1"/>
  <c r="O91" i="20"/>
  <c r="O39" i="20" s="1"/>
  <c r="O85" i="20"/>
  <c r="O33" i="20" s="1"/>
  <c r="O87" i="20"/>
  <c r="O35" i="20" s="1"/>
  <c r="O96" i="20"/>
  <c r="O44" i="20" s="1"/>
  <c r="O94" i="20"/>
  <c r="O42" i="20" s="1"/>
  <c r="O88" i="20"/>
  <c r="O36" i="20" s="1"/>
  <c r="O92" i="20"/>
  <c r="O40" i="20" s="1"/>
  <c r="F97" i="20"/>
  <c r="F98" i="20"/>
  <c r="F96" i="20"/>
  <c r="F95" i="20"/>
  <c r="L98" i="20"/>
  <c r="L96" i="20"/>
  <c r="L97" i="20"/>
  <c r="L95" i="20"/>
  <c r="F90" i="20"/>
  <c r="F83" i="20"/>
  <c r="L88" i="20"/>
  <c r="F92" i="20"/>
  <c r="M95" i="20"/>
  <c r="M98" i="20"/>
  <c r="M96" i="20"/>
  <c r="M97" i="20"/>
  <c r="F88" i="20"/>
  <c r="F87" i="20"/>
  <c r="F89" i="20"/>
  <c r="F94" i="20"/>
  <c r="R97" i="20"/>
  <c r="R45" i="20" s="1"/>
  <c r="R98" i="20"/>
  <c r="R46" i="20" s="1"/>
  <c r="R96" i="20"/>
  <c r="R44" i="20" s="1"/>
  <c r="R95" i="20"/>
  <c r="R43" i="20" s="1"/>
  <c r="R94" i="20"/>
  <c r="R42" i="20" s="1"/>
  <c r="R32" i="20"/>
  <c r="R86" i="20"/>
  <c r="R34" i="20" s="1"/>
  <c r="R83" i="20"/>
  <c r="R31" i="20" s="1"/>
  <c r="R92" i="20"/>
  <c r="R40" i="20" s="1"/>
  <c r="R88" i="20"/>
  <c r="R36" i="20" s="1"/>
  <c r="R87" i="20"/>
  <c r="R35" i="20" s="1"/>
  <c r="R100" i="20"/>
  <c r="R48" i="20" s="1"/>
  <c r="R91" i="20"/>
  <c r="R39" i="20" s="1"/>
  <c r="R93" i="20"/>
  <c r="R41" i="20" s="1"/>
  <c r="R85" i="20"/>
  <c r="R33" i="20" s="1"/>
  <c r="R90" i="20"/>
  <c r="R38" i="20" s="1"/>
  <c r="R89" i="20"/>
  <c r="R37" i="20" s="1"/>
  <c r="G97" i="20"/>
  <c r="G95" i="20"/>
  <c r="G98" i="20"/>
  <c r="G96" i="20"/>
  <c r="N96" i="20"/>
  <c r="N97" i="20"/>
  <c r="N95" i="20"/>
  <c r="N98" i="20"/>
  <c r="K98" i="20"/>
  <c r="K95" i="20"/>
  <c r="K96" i="20"/>
  <c r="K97" i="20"/>
  <c r="F93" i="20"/>
  <c r="F100" i="20"/>
  <c r="F85" i="20"/>
  <c r="Q96" i="20"/>
  <c r="Q44" i="20" s="1"/>
  <c r="Q97" i="20"/>
  <c r="Q45" i="20" s="1"/>
  <c r="Q95" i="20"/>
  <c r="Q43" i="20" s="1"/>
  <c r="Q98" i="20"/>
  <c r="Q46" i="20" s="1"/>
  <c r="Q94" i="20"/>
  <c r="Q42" i="20" s="1"/>
  <c r="Q90" i="20"/>
  <c r="Q38" i="20" s="1"/>
  <c r="Q86" i="20"/>
  <c r="Q34" i="20" s="1"/>
  <c r="Q85" i="20"/>
  <c r="Q33" i="20" s="1"/>
  <c r="Q91" i="20"/>
  <c r="Q39" i="20" s="1"/>
  <c r="Q88" i="20"/>
  <c r="Q36" i="20" s="1"/>
  <c r="Q83" i="20"/>
  <c r="Q31" i="20" s="1"/>
  <c r="Q89" i="20"/>
  <c r="Q37" i="20" s="1"/>
  <c r="Q93" i="20"/>
  <c r="Q41" i="20" s="1"/>
  <c r="Q92" i="20"/>
  <c r="Q40" i="20" s="1"/>
  <c r="Q100" i="20"/>
  <c r="Q48" i="20" s="1"/>
  <c r="Q32" i="20"/>
  <c r="Q87" i="20"/>
  <c r="Q35" i="20" s="1"/>
  <c r="J97" i="20"/>
  <c r="J95" i="20"/>
  <c r="J98" i="20"/>
  <c r="J96" i="20"/>
  <c r="H97" i="20"/>
  <c r="H95" i="20"/>
  <c r="H96" i="20"/>
  <c r="H98" i="20"/>
  <c r="F143" i="17"/>
  <c r="G89" i="20"/>
  <c r="G100" i="20"/>
  <c r="G88" i="20"/>
  <c r="G92" i="20"/>
  <c r="G93" i="20"/>
  <c r="G87" i="20"/>
  <c r="I87" i="20"/>
  <c r="G90" i="20"/>
  <c r="G85" i="20"/>
  <c r="G86" i="20"/>
  <c r="G94" i="20"/>
  <c r="G83" i="20"/>
  <c r="E137" i="17"/>
  <c r="E136" i="17"/>
  <c r="H91" i="20"/>
  <c r="K88" i="20"/>
  <c r="K86" i="20"/>
  <c r="H89" i="20"/>
  <c r="K90" i="20"/>
  <c r="H83" i="20"/>
  <c r="H86" i="20"/>
  <c r="F142" i="17"/>
  <c r="J93" i="20"/>
  <c r="K89" i="20"/>
  <c r="H87" i="20"/>
  <c r="K85" i="20"/>
  <c r="H88" i="20"/>
  <c r="K92" i="20"/>
  <c r="K91" i="20"/>
  <c r="H85" i="20"/>
  <c r="K93" i="20"/>
  <c r="H90" i="20"/>
  <c r="K87" i="20"/>
  <c r="H93" i="20"/>
  <c r="K83" i="20"/>
  <c r="H92" i="20"/>
  <c r="K100" i="20"/>
  <c r="H100" i="20"/>
  <c r="E139" i="17"/>
  <c r="F139" i="17"/>
  <c r="E142" i="17"/>
  <c r="E22" i="17" s="1"/>
  <c r="E132" i="17"/>
  <c r="J92" i="20"/>
  <c r="F140" i="17"/>
  <c r="L87" i="20"/>
  <c r="E135" i="17"/>
  <c r="E140" i="17"/>
  <c r="J100" i="20"/>
  <c r="E141" i="17"/>
  <c r="L92" i="20"/>
  <c r="J91" i="20"/>
  <c r="J86" i="20"/>
  <c r="J85" i="20"/>
  <c r="J88" i="20"/>
  <c r="F138" i="17"/>
  <c r="E134" i="17"/>
  <c r="E143" i="17"/>
  <c r="E23" i="17" s="1"/>
  <c r="J89" i="20"/>
  <c r="E138" i="17"/>
  <c r="J83" i="20"/>
  <c r="J87" i="20"/>
  <c r="J90" i="20"/>
  <c r="I91" i="20"/>
  <c r="I90" i="20"/>
  <c r="I83" i="20"/>
  <c r="I92" i="20"/>
  <c r="I86" i="20"/>
  <c r="I100" i="20"/>
  <c r="I89" i="20"/>
  <c r="I93" i="20"/>
  <c r="F141" i="17"/>
  <c r="I94" i="20"/>
  <c r="I88" i="20"/>
  <c r="E144" i="17"/>
  <c r="E24" i="17" s="1"/>
  <c r="L94" i="20"/>
  <c r="L93" i="20"/>
  <c r="L90" i="20"/>
  <c r="L85" i="20"/>
  <c r="L86" i="20"/>
  <c r="L91" i="20"/>
  <c r="L100" i="20"/>
  <c r="M94" i="20"/>
  <c r="M89" i="20"/>
  <c r="M85" i="20"/>
  <c r="M87" i="20"/>
  <c r="M92" i="20"/>
  <c r="M93" i="20"/>
  <c r="M86" i="20"/>
  <c r="M90" i="20"/>
  <c r="M83" i="20"/>
  <c r="M88" i="20"/>
  <c r="M91" i="20"/>
  <c r="M100" i="20"/>
  <c r="E133" i="17"/>
  <c r="L89" i="20"/>
  <c r="L83" i="20"/>
  <c r="E93" i="20"/>
  <c r="E100" i="20"/>
  <c r="E94" i="20"/>
  <c r="E92" i="20"/>
  <c r="E83" i="20"/>
  <c r="E91" i="20"/>
  <c r="E86" i="20"/>
  <c r="E85" i="20"/>
  <c r="E89" i="20"/>
  <c r="E87" i="20"/>
  <c r="E88" i="20"/>
  <c r="E90" i="20"/>
  <c r="N94" i="20"/>
  <c r="N100" i="20"/>
  <c r="N93" i="20"/>
  <c r="N89" i="20"/>
  <c r="N88" i="20"/>
  <c r="N91" i="20"/>
  <c r="N92" i="20"/>
  <c r="N87" i="20"/>
  <c r="N90" i="20"/>
  <c r="N83" i="20"/>
  <c r="N85" i="20"/>
  <c r="N86" i="20"/>
  <c r="B34" i="13"/>
  <c r="B35" i="13" l="1"/>
  <c r="G59" i="20" s="1"/>
  <c r="I84" i="20"/>
  <c r="H84" i="20"/>
  <c r="G84" i="20"/>
  <c r="F84" i="20"/>
  <c r="E84" i="20"/>
  <c r="E131" i="17"/>
  <c r="F132" i="17" s="1"/>
  <c r="D112" i="17" l="1"/>
  <c r="D18" i="17" s="1"/>
  <c r="D110" i="17"/>
  <c r="E110" i="17" s="1"/>
  <c r="F59" i="20"/>
  <c r="F75" i="20" s="1"/>
  <c r="F46" i="20" s="1"/>
  <c r="D108" i="17"/>
  <c r="E108" i="17" s="1"/>
  <c r="E14" i="17" s="1"/>
  <c r="D114" i="17"/>
  <c r="E114" i="17" s="1"/>
  <c r="E20" i="17" s="1"/>
  <c r="K59" i="20"/>
  <c r="K78" i="20" s="1"/>
  <c r="K49" i="20" s="1"/>
  <c r="D113" i="17"/>
  <c r="E113" i="17" s="1"/>
  <c r="E19" i="17" s="1"/>
  <c r="D109" i="17"/>
  <c r="E109" i="17" s="1"/>
  <c r="L59" i="20"/>
  <c r="L76" i="20" s="1"/>
  <c r="L47" i="20" s="1"/>
  <c r="D115" i="17"/>
  <c r="F115" i="17" s="1"/>
  <c r="D107" i="17"/>
  <c r="E107" i="17" s="1"/>
  <c r="H59" i="20"/>
  <c r="H72" i="20" s="1"/>
  <c r="H43" i="20" s="1"/>
  <c r="D111" i="17"/>
  <c r="E111" i="17" s="1"/>
  <c r="N59" i="20"/>
  <c r="N61" i="20" s="1"/>
  <c r="N32" i="20" s="1"/>
  <c r="J59" i="20"/>
  <c r="J76" i="20" s="1"/>
  <c r="J47" i="20" s="1"/>
  <c r="M59" i="20"/>
  <c r="M78" i="20" s="1"/>
  <c r="M49" i="20" s="1"/>
  <c r="I59" i="20"/>
  <c r="I76" i="20" s="1"/>
  <c r="I47" i="20" s="1"/>
  <c r="G76" i="20"/>
  <c r="G47" i="20" s="1"/>
  <c r="G78" i="20"/>
  <c r="G49" i="20" s="1"/>
  <c r="D13" i="17"/>
  <c r="D14" i="17"/>
  <c r="D20" i="17"/>
  <c r="D17" i="17"/>
  <c r="D21" i="17"/>
  <c r="D15" i="17"/>
  <c r="D16" i="17"/>
  <c r="D19" i="17"/>
  <c r="F137" i="17"/>
  <c r="G71" i="20"/>
  <c r="G42" i="20" s="1"/>
  <c r="G72" i="20"/>
  <c r="G43" i="20" s="1"/>
  <c r="G73" i="20"/>
  <c r="G44" i="20" s="1"/>
  <c r="G75" i="20"/>
  <c r="G46" i="20" s="1"/>
  <c r="G74" i="20"/>
  <c r="G45" i="20" s="1"/>
  <c r="F136" i="17"/>
  <c r="F133" i="17"/>
  <c r="F135" i="17"/>
  <c r="F131" i="17"/>
  <c r="F134" i="17"/>
  <c r="G66" i="20"/>
  <c r="G37" i="20" s="1"/>
  <c r="G62" i="20"/>
  <c r="G33" i="20" s="1"/>
  <c r="G64" i="20"/>
  <c r="G35" i="20" s="1"/>
  <c r="G69" i="20"/>
  <c r="G40" i="20" s="1"/>
  <c r="G68" i="20"/>
  <c r="G39" i="20" s="1"/>
  <c r="G67" i="20"/>
  <c r="G38" i="20" s="1"/>
  <c r="G70" i="20"/>
  <c r="G41" i="20" s="1"/>
  <c r="G30" i="20"/>
  <c r="G65" i="20"/>
  <c r="G36" i="20" s="1"/>
  <c r="G77" i="20"/>
  <c r="G48" i="20" s="1"/>
  <c r="G63" i="20"/>
  <c r="G34" i="20" s="1"/>
  <c r="G60" i="20"/>
  <c r="G31" i="20" s="1"/>
  <c r="B8" i="17" l="1"/>
  <c r="L60" i="20"/>
  <c r="L31" i="20" s="1"/>
  <c r="L30" i="20"/>
  <c r="L64" i="20"/>
  <c r="L35" i="20" s="1"/>
  <c r="I68" i="20"/>
  <c r="I39" i="20" s="1"/>
  <c r="L68" i="20"/>
  <c r="L39" i="20" s="1"/>
  <c r="L66" i="20"/>
  <c r="L37" i="20" s="1"/>
  <c r="L70" i="20"/>
  <c r="L41" i="20" s="1"/>
  <c r="E112" i="17"/>
  <c r="L75" i="20"/>
  <c r="L46" i="20" s="1"/>
  <c r="L72" i="20"/>
  <c r="L43" i="20" s="1"/>
  <c r="L69" i="20"/>
  <c r="L40" i="20" s="1"/>
  <c r="L67" i="20"/>
  <c r="L38" i="20" s="1"/>
  <c r="I71" i="20"/>
  <c r="I42" i="20" s="1"/>
  <c r="L77" i="20"/>
  <c r="L48" i="20" s="1"/>
  <c r="L62" i="20"/>
  <c r="L33" i="20" s="1"/>
  <c r="L71" i="20"/>
  <c r="L42" i="20" s="1"/>
  <c r="I70" i="20"/>
  <c r="I41" i="20" s="1"/>
  <c r="I75" i="20"/>
  <c r="I46" i="20" s="1"/>
  <c r="F70" i="20"/>
  <c r="F41" i="20" s="1"/>
  <c r="L78" i="20"/>
  <c r="L49" i="20" s="1"/>
  <c r="F73" i="20"/>
  <c r="F44" i="20" s="1"/>
  <c r="F78" i="20"/>
  <c r="F49" i="20" s="1"/>
  <c r="F69" i="20"/>
  <c r="F40" i="20" s="1"/>
  <c r="F65" i="20"/>
  <c r="F36" i="20" s="1"/>
  <c r="F62" i="20"/>
  <c r="F33" i="20" s="1"/>
  <c r="F71" i="20"/>
  <c r="F42" i="20" s="1"/>
  <c r="F72" i="20"/>
  <c r="F43" i="20" s="1"/>
  <c r="J74" i="20"/>
  <c r="J45" i="20" s="1"/>
  <c r="F63" i="20"/>
  <c r="F34" i="20" s="1"/>
  <c r="F60" i="20"/>
  <c r="F31" i="20" s="1"/>
  <c r="F74" i="20"/>
  <c r="F45" i="20" s="1"/>
  <c r="F77" i="20"/>
  <c r="F48" i="20" s="1"/>
  <c r="F68" i="20"/>
  <c r="F39" i="20" s="1"/>
  <c r="F64" i="20"/>
  <c r="F35" i="20" s="1"/>
  <c r="F76" i="20"/>
  <c r="F47" i="20" s="1"/>
  <c r="F66" i="20"/>
  <c r="F37" i="20" s="1"/>
  <c r="J67" i="20"/>
  <c r="J38" i="20" s="1"/>
  <c r="F67" i="20"/>
  <c r="F38" i="20" s="1"/>
  <c r="F30" i="20"/>
  <c r="M76" i="20"/>
  <c r="M47" i="20" s="1"/>
  <c r="J66" i="20"/>
  <c r="J37" i="20" s="1"/>
  <c r="J69" i="20"/>
  <c r="J40" i="20" s="1"/>
  <c r="J65" i="20"/>
  <c r="J36" i="20" s="1"/>
  <c r="N76" i="20"/>
  <c r="N47" i="20" s="1"/>
  <c r="J62" i="20"/>
  <c r="J33" i="20" s="1"/>
  <c r="J71" i="20"/>
  <c r="J42" i="20" s="1"/>
  <c r="J63" i="20"/>
  <c r="J34" i="20" s="1"/>
  <c r="J68" i="20"/>
  <c r="J39" i="20" s="1"/>
  <c r="J73" i="20"/>
  <c r="J44" i="20" s="1"/>
  <c r="J78" i="20"/>
  <c r="J49" i="20" s="1"/>
  <c r="H77" i="20"/>
  <c r="H48" i="20" s="1"/>
  <c r="H67" i="20"/>
  <c r="H38" i="20" s="1"/>
  <c r="H70" i="20"/>
  <c r="H41" i="20" s="1"/>
  <c r="M77" i="20"/>
  <c r="M48" i="20" s="1"/>
  <c r="H64" i="20"/>
  <c r="H35" i="20" s="1"/>
  <c r="M74" i="20"/>
  <c r="M45" i="20" s="1"/>
  <c r="M64" i="20"/>
  <c r="M35" i="20" s="1"/>
  <c r="H62" i="20"/>
  <c r="H33" i="20" s="1"/>
  <c r="H73" i="20"/>
  <c r="H44" i="20" s="1"/>
  <c r="M60" i="20"/>
  <c r="M31" i="20" s="1"/>
  <c r="K66" i="20"/>
  <c r="K37" i="20" s="1"/>
  <c r="K63" i="20"/>
  <c r="K34" i="20" s="1"/>
  <c r="K62" i="20"/>
  <c r="K33" i="20" s="1"/>
  <c r="H75" i="20"/>
  <c r="H46" i="20" s="1"/>
  <c r="N75" i="20"/>
  <c r="N46" i="20" s="1"/>
  <c r="M62" i="20"/>
  <c r="M33" i="20" s="1"/>
  <c r="H30" i="20"/>
  <c r="H71" i="20"/>
  <c r="H42" i="20" s="1"/>
  <c r="M75" i="20"/>
  <c r="M46" i="20" s="1"/>
  <c r="M63" i="20"/>
  <c r="M34" i="20" s="1"/>
  <c r="N67" i="20"/>
  <c r="N38" i="20" s="1"/>
  <c r="M66" i="20"/>
  <c r="M37" i="20" s="1"/>
  <c r="H68" i="20"/>
  <c r="H39" i="20" s="1"/>
  <c r="H60" i="20"/>
  <c r="H31" i="20" s="1"/>
  <c r="M70" i="20"/>
  <c r="M41" i="20" s="1"/>
  <c r="H74" i="20"/>
  <c r="H45" i="20" s="1"/>
  <c r="M72" i="20"/>
  <c r="M43" i="20" s="1"/>
  <c r="H78" i="20"/>
  <c r="H49" i="20" s="1"/>
  <c r="H76" i="20"/>
  <c r="H47" i="20" s="1"/>
  <c r="M30" i="20"/>
  <c r="M65" i="20"/>
  <c r="M36" i="20" s="1"/>
  <c r="M68" i="20"/>
  <c r="M39" i="20" s="1"/>
  <c r="H66" i="20"/>
  <c r="H37" i="20" s="1"/>
  <c r="M69" i="20"/>
  <c r="M40" i="20" s="1"/>
  <c r="H65" i="20"/>
  <c r="H36" i="20" s="1"/>
  <c r="H69" i="20"/>
  <c r="H40" i="20" s="1"/>
  <c r="H63" i="20"/>
  <c r="H34" i="20" s="1"/>
  <c r="M67" i="20"/>
  <c r="M38" i="20" s="1"/>
  <c r="M73" i="20"/>
  <c r="M44" i="20" s="1"/>
  <c r="M71" i="20"/>
  <c r="M42" i="20" s="1"/>
  <c r="N63" i="20"/>
  <c r="N34" i="20" s="1"/>
  <c r="K77" i="20"/>
  <c r="K48" i="20" s="1"/>
  <c r="K75" i="20"/>
  <c r="K46" i="20" s="1"/>
  <c r="L63" i="20"/>
  <c r="L34" i="20" s="1"/>
  <c r="L65" i="20"/>
  <c r="L36" i="20" s="1"/>
  <c r="B105" i="17"/>
  <c r="N68" i="20"/>
  <c r="N39" i="20" s="1"/>
  <c r="K64" i="20"/>
  <c r="K35" i="20" s="1"/>
  <c r="N70" i="20"/>
  <c r="N41" i="20" s="1"/>
  <c r="I66" i="20"/>
  <c r="I37" i="20" s="1"/>
  <c r="I64" i="20"/>
  <c r="I35" i="20" s="1"/>
  <c r="I63" i="20"/>
  <c r="I34" i="20" s="1"/>
  <c r="L73" i="20"/>
  <c r="L44" i="20" s="1"/>
  <c r="K60" i="20"/>
  <c r="K31" i="20" s="1"/>
  <c r="I69" i="20"/>
  <c r="I40" i="20" s="1"/>
  <c r="N69" i="20"/>
  <c r="N40" i="20" s="1"/>
  <c r="N65" i="20"/>
  <c r="N36" i="20" s="1"/>
  <c r="K67" i="20"/>
  <c r="K38" i="20" s="1"/>
  <c r="N60" i="20"/>
  <c r="N31" i="20" s="1"/>
  <c r="L74" i="20"/>
  <c r="L45" i="20" s="1"/>
  <c r="N64" i="20"/>
  <c r="N35" i="20" s="1"/>
  <c r="N30" i="20"/>
  <c r="K69" i="20"/>
  <c r="K40" i="20" s="1"/>
  <c r="N62" i="20"/>
  <c r="N33" i="20" s="1"/>
  <c r="N66" i="20"/>
  <c r="N37" i="20" s="1"/>
  <c r="K71" i="20"/>
  <c r="K42" i="20" s="1"/>
  <c r="N77" i="20"/>
  <c r="N48" i="20" s="1"/>
  <c r="K68" i="20"/>
  <c r="K39" i="20" s="1"/>
  <c r="K30" i="20"/>
  <c r="K73" i="20"/>
  <c r="K44" i="20" s="1"/>
  <c r="N72" i="20"/>
  <c r="N43" i="20" s="1"/>
  <c r="N71" i="20"/>
  <c r="N42" i="20" s="1"/>
  <c r="K76" i="20"/>
  <c r="K47" i="20" s="1"/>
  <c r="K65" i="20"/>
  <c r="K36" i="20" s="1"/>
  <c r="K74" i="20"/>
  <c r="K45" i="20" s="1"/>
  <c r="N73" i="20"/>
  <c r="N44" i="20" s="1"/>
  <c r="N78" i="20"/>
  <c r="N49" i="20" s="1"/>
  <c r="E115" i="17"/>
  <c r="E21" i="17" s="1"/>
  <c r="K70" i="20"/>
  <c r="K41" i="20" s="1"/>
  <c r="K72" i="20"/>
  <c r="K43" i="20" s="1"/>
  <c r="N74" i="20"/>
  <c r="N45" i="20" s="1"/>
  <c r="I30" i="20"/>
  <c r="I60" i="20"/>
  <c r="I31" i="20" s="1"/>
  <c r="J64" i="20"/>
  <c r="J35" i="20" s="1"/>
  <c r="I62" i="20"/>
  <c r="I33" i="20" s="1"/>
  <c r="J75" i="20"/>
  <c r="J46" i="20" s="1"/>
  <c r="J60" i="20"/>
  <c r="J31" i="20" s="1"/>
  <c r="I72" i="20"/>
  <c r="I43" i="20" s="1"/>
  <c r="I73" i="20"/>
  <c r="I44" i="20" s="1"/>
  <c r="I78" i="20"/>
  <c r="I49" i="20" s="1"/>
  <c r="I65" i="20"/>
  <c r="I36" i="20" s="1"/>
  <c r="I77" i="20"/>
  <c r="I48" i="20" s="1"/>
  <c r="J70" i="20"/>
  <c r="J41" i="20" s="1"/>
  <c r="J30" i="20"/>
  <c r="J77" i="20"/>
  <c r="J48" i="20" s="1"/>
  <c r="I67" i="20"/>
  <c r="I38" i="20" s="1"/>
  <c r="J72" i="20"/>
  <c r="J43" i="20" s="1"/>
  <c r="I74" i="20"/>
  <c r="I45" i="20" s="1"/>
  <c r="F114" i="17"/>
  <c r="G61" i="20"/>
  <c r="G32" i="20" s="1"/>
  <c r="F113" i="17"/>
  <c r="F108" i="17"/>
  <c r="F109" i="17"/>
  <c r="E15" i="17"/>
  <c r="F111" i="17"/>
  <c r="E17" i="17"/>
  <c r="F112" i="17"/>
  <c r="E18" i="17"/>
  <c r="F110" i="17"/>
  <c r="E16" i="17"/>
  <c r="F107" i="17"/>
  <c r="E13" i="17"/>
  <c r="F61" i="20" l="1"/>
  <c r="F32" i="20" s="1"/>
  <c r="E71" i="20"/>
  <c r="E42" i="20" s="1"/>
  <c r="E106" i="17"/>
  <c r="F106" i="17" s="1"/>
  <c r="E64" i="20"/>
  <c r="E35" i="20" s="1"/>
  <c r="E68" i="20"/>
  <c r="E39" i="20" s="1"/>
  <c r="H61" i="20"/>
  <c r="H32" i="20" s="1"/>
  <c r="L61" i="20"/>
  <c r="L32" i="20" s="1"/>
  <c r="B31" i="20"/>
  <c r="E69" i="20"/>
  <c r="E40" i="20" s="1"/>
  <c r="M61" i="20"/>
  <c r="M32" i="20" s="1"/>
  <c r="E66" i="20"/>
  <c r="E37" i="20" s="1"/>
  <c r="E63" i="20"/>
  <c r="E34" i="20" s="1"/>
  <c r="E76" i="20"/>
  <c r="E47" i="20" s="1"/>
  <c r="E67" i="20"/>
  <c r="E38" i="20" s="1"/>
  <c r="E60" i="20"/>
  <c r="E31" i="20" s="1"/>
  <c r="E75" i="20"/>
  <c r="E46" i="20" s="1"/>
  <c r="E77" i="20"/>
  <c r="E48" i="20" s="1"/>
  <c r="E74" i="20"/>
  <c r="E45" i="20" s="1"/>
  <c r="K61" i="20"/>
  <c r="K32" i="20" s="1"/>
  <c r="E78" i="20"/>
  <c r="E49" i="20" s="1"/>
  <c r="E65" i="20"/>
  <c r="E36" i="20" s="1"/>
  <c r="J61" i="20"/>
  <c r="J32" i="20" s="1"/>
  <c r="E62" i="20"/>
  <c r="E33" i="20" s="1"/>
  <c r="E70" i="20"/>
  <c r="E41" i="20" s="1"/>
  <c r="E73" i="20"/>
  <c r="E44" i="20" s="1"/>
  <c r="I61" i="20"/>
  <c r="I32" i="20" s="1"/>
  <c r="E72" i="20"/>
  <c r="E43" i="20" s="1"/>
  <c r="E12" i="17"/>
  <c r="E11" i="17" l="1"/>
  <c r="F12" i="17" s="1"/>
  <c r="E61" i="20"/>
  <c r="E32" i="20" s="1"/>
  <c r="F11" i="17" l="1"/>
  <c r="F30" i="17"/>
  <c r="F32" i="17"/>
  <c r="F31" i="17"/>
  <c r="F27" i="17"/>
  <c r="F29" i="17"/>
  <c r="F26" i="17"/>
  <c r="F28" i="17"/>
  <c r="F23" i="17"/>
  <c r="F22" i="17"/>
  <c r="F24" i="17"/>
  <c r="F25" i="17"/>
  <c r="F20" i="17"/>
  <c r="F15" i="17"/>
  <c r="F19" i="17"/>
  <c r="F14" i="17"/>
  <c r="F16" i="17"/>
  <c r="F13" i="17"/>
  <c r="F18" i="17"/>
  <c r="F21" i="17"/>
  <c r="F17" i="17"/>
</calcChain>
</file>

<file path=xl/comments1.xml><?xml version="1.0" encoding="utf-8"?>
<comments xmlns="http://schemas.openxmlformats.org/spreadsheetml/2006/main">
  <authors>
    <author>Author</author>
  </authors>
  <commentList>
    <comment ref="G9" authorId="0" shapeId="0">
      <text>
        <r>
          <rPr>
            <sz val="9"/>
            <color indexed="81"/>
            <rFont val="Tahoma"/>
            <family val="2"/>
          </rPr>
          <t>As of 2014, global warming potentials (GWPs) from the IPCC Fourth Assessment Report (AR4) should be used for reporting. This is an update from previous years that relied on GWPs from the Second Assessment Report (SAR). The tool default setting is for AR4, but it can be updated here to SAR for comparison purposes.</t>
        </r>
      </text>
    </comment>
    <comment ref="A14" authorId="0" shapeId="0">
      <text>
        <r>
          <rPr>
            <b/>
            <sz val="9"/>
            <color indexed="81"/>
            <rFont val="Tahoma"/>
            <family val="2"/>
          </rPr>
          <t>Author:</t>
        </r>
        <r>
          <rPr>
            <sz val="9"/>
            <color indexed="81"/>
            <rFont val="Tahoma"/>
            <family val="2"/>
          </rPr>
          <t xml:space="preserve">
Used to shorten or expand "Facility" Named Range</t>
        </r>
      </text>
    </comment>
    <comment ref="D15" authorId="0" shapeId="0">
      <text>
        <r>
          <rPr>
            <sz val="9"/>
            <color indexed="81"/>
            <rFont val="Tahoma"/>
            <family val="2"/>
          </rPr>
          <t>Use "Agency unspecified" when you do not have facility specific details.</t>
        </r>
      </text>
    </comment>
  </commentList>
</comments>
</file>

<file path=xl/comments2.xml><?xml version="1.0" encoding="utf-8"?>
<comments xmlns="http://schemas.openxmlformats.org/spreadsheetml/2006/main">
  <authors>
    <author>Author</author>
  </authors>
  <commentList>
    <comment ref="AB12" authorId="0" shapeId="0">
      <text>
        <r>
          <rPr>
            <sz val="9"/>
            <color indexed="81"/>
            <rFont val="Tahoma"/>
            <family val="2"/>
          </rPr>
          <t>Passenger vehicles or refrigerated transport</t>
        </r>
      </text>
    </comment>
    <comment ref="AB14" authorId="0" shapeId="0">
      <text>
        <r>
          <rPr>
            <sz val="9"/>
            <color indexed="81"/>
            <rFont val="Tahoma"/>
            <family val="2"/>
          </rPr>
          <t>Chillers, window AC units, passenger car AC units, etc.</t>
        </r>
      </text>
    </comment>
    <comment ref="AB16" authorId="0" shapeId="0">
      <text>
        <r>
          <rPr>
            <sz val="9"/>
            <color indexed="81"/>
            <rFont val="Tahoma"/>
            <family val="2"/>
          </rPr>
          <t>In regards to building equipment or vehicle equipment</t>
        </r>
      </text>
    </comment>
    <comment ref="AB21" authorId="0" shapeId="0">
      <text>
        <r>
          <rPr>
            <sz val="9"/>
            <color indexed="81"/>
            <rFont val="Tahoma"/>
            <family val="2"/>
          </rPr>
          <t>Different from "refrigerant charged into new equipment" because there are leakage emissions associated with filling new equipment.</t>
        </r>
      </text>
    </comment>
  </commentList>
</comments>
</file>

<file path=xl/comments3.xml><?xml version="1.0" encoding="utf-8"?>
<comments xmlns="http://schemas.openxmlformats.org/spreadsheetml/2006/main">
  <authors>
    <author>CJ</author>
    <author>Author</author>
  </authors>
  <commentList>
    <comment ref="I7" authorId="0" shapeId="0">
      <text>
        <r>
          <rPr>
            <sz val="9"/>
            <color indexed="81"/>
            <rFont val="Tahoma"/>
            <family val="2"/>
          </rPr>
          <t xml:space="preserve">Go to </t>
        </r>
        <r>
          <rPr>
            <b/>
            <sz val="9"/>
            <color indexed="81"/>
            <rFont val="Tahoma"/>
            <family val="2"/>
          </rPr>
          <t>Customize your Data</t>
        </r>
        <r>
          <rPr>
            <sz val="9"/>
            <color indexed="81"/>
            <rFont val="Tahoma"/>
            <family val="2"/>
          </rPr>
          <t xml:space="preserve"> to alter the share of each building type that uses AC, as well as the share of schools that have cafeterias for the Simplified Screening 2 approach.
Go to </t>
        </r>
        <r>
          <rPr>
            <b/>
            <sz val="9"/>
            <color indexed="81"/>
            <rFont val="Tahoma"/>
            <family val="2"/>
          </rPr>
          <t>View Equipment Assumptions</t>
        </r>
        <r>
          <rPr>
            <sz val="9"/>
            <color indexed="81"/>
            <rFont val="Tahoma"/>
            <family val="2"/>
          </rPr>
          <t xml:space="preserve"> to see default leak, service, and recovery rates, equipment lifetimes, and the default share of equipment that use HFCs.</t>
        </r>
      </text>
    </comment>
    <comment ref="B12" authorId="1" shapeId="0">
      <text>
        <r>
          <rPr>
            <b/>
            <sz val="9"/>
            <color indexed="81"/>
            <rFont val="Tahoma"/>
            <family val="2"/>
          </rPr>
          <t>OK</t>
        </r>
        <r>
          <rPr>
            <sz val="9"/>
            <color indexed="81"/>
            <rFont val="Tahoma"/>
            <family val="2"/>
          </rPr>
          <t xml:space="preserve"> = All required fields have been filled out
</t>
        </r>
        <r>
          <rPr>
            <b/>
            <sz val="9"/>
            <color indexed="81"/>
            <rFont val="Tahoma"/>
            <family val="2"/>
          </rPr>
          <t xml:space="preserve">Incomplete </t>
        </r>
        <r>
          <rPr>
            <sz val="9"/>
            <color indexed="81"/>
            <rFont val="Tahoma"/>
            <family val="2"/>
          </rPr>
          <t>= One or more required fields need to be filled out.</t>
        </r>
      </text>
    </comment>
    <comment ref="D12" authorId="1" shapeId="0">
      <text>
        <r>
          <rPr>
            <sz val="9"/>
            <color indexed="81"/>
            <rFont val="Tahoma"/>
            <family val="2"/>
          </rPr>
          <t>See "Definitions" worksheet for building type and vehicle type descriptions.
click the Customization button to specify % of buildings with AC and % of schools with cafeterias.</t>
        </r>
      </text>
    </comment>
    <comment ref="E12" authorId="1" shapeId="0">
      <text>
        <r>
          <rPr>
            <sz val="9"/>
            <color indexed="81"/>
            <rFont val="Tahoma"/>
            <family val="2"/>
          </rPr>
          <t>Only enter in the Number of Vehicles if you have selected "Passenger Vehicles" or "Refrigerated Transport" as your Federal Building / Vehicle Type</t>
        </r>
      </text>
    </comment>
    <comment ref="F12" authorId="1" shapeId="0">
      <text>
        <r>
          <rPr>
            <sz val="9"/>
            <color indexed="81"/>
            <rFont val="Tahoma"/>
            <family val="2"/>
          </rPr>
          <t>Not actively utilized (i.e., are not air conditioned and do not have refrigerant-containing equipment in them).</t>
        </r>
      </text>
    </comment>
    <comment ref="I12" authorId="0" shapeId="0">
      <text>
        <r>
          <rPr>
            <sz val="9"/>
            <color indexed="81"/>
            <rFont val="Tahoma"/>
            <family val="2"/>
          </rPr>
          <t>If HFC blends are reported, this column will include the full mass of HFC blend emissions, without discounting non-HFC constituents, if any.</t>
        </r>
      </text>
    </comment>
    <comment ref="C14" authorId="1" shapeId="0">
      <text>
        <r>
          <rPr>
            <sz val="9"/>
            <color indexed="81"/>
            <rFont val="Tahoma"/>
            <family val="2"/>
          </rPr>
          <t xml:space="preserve">
</t>
        </r>
        <r>
          <rPr>
            <b/>
            <sz val="9"/>
            <color indexed="81"/>
            <rFont val="Tahoma"/>
            <family val="2"/>
          </rPr>
          <t>Example Scenario for Simplified Screening 2 Approach</t>
        </r>
        <r>
          <rPr>
            <sz val="9"/>
            <color indexed="81"/>
            <rFont val="Tahoma"/>
            <family val="2"/>
          </rPr>
          <t xml:space="preserve">
Agency X has 10,000 square feet of space for a School. Out of the 10,000 square feet, 8,500 is actively utilized, while the other 1,500 does not get put to use.</t>
        </r>
      </text>
    </comment>
  </commentList>
</comments>
</file>

<file path=xl/comments4.xml><?xml version="1.0" encoding="utf-8"?>
<comments xmlns="http://schemas.openxmlformats.org/spreadsheetml/2006/main">
  <authors>
    <author>CJ</author>
    <author>Author</author>
  </authors>
  <commentList>
    <comment ref="Q7" authorId="0" shapeId="0">
      <text>
        <r>
          <rPr>
            <sz val="9"/>
            <color indexed="81"/>
            <rFont val="Tahoma"/>
            <family val="2"/>
          </rPr>
          <t>Go to View Equipment Assumptions to see default leak, service, and recovery rates, equipment lifetimes, and the default share of equipment that use HFCs.</t>
        </r>
      </text>
    </comment>
    <comment ref="B12" authorId="1" shapeId="0">
      <text>
        <r>
          <rPr>
            <b/>
            <sz val="9"/>
            <color indexed="81"/>
            <rFont val="Tahoma"/>
            <family val="2"/>
          </rPr>
          <t>OK</t>
        </r>
        <r>
          <rPr>
            <sz val="9"/>
            <color indexed="81"/>
            <rFont val="Tahoma"/>
            <family val="2"/>
          </rPr>
          <t xml:space="preserve"> = All required fields have been filled out
</t>
        </r>
        <r>
          <rPr>
            <b/>
            <sz val="9"/>
            <color indexed="81"/>
            <rFont val="Tahoma"/>
            <family val="2"/>
          </rPr>
          <t xml:space="preserve">Incomplete </t>
        </r>
        <r>
          <rPr>
            <sz val="9"/>
            <color indexed="81"/>
            <rFont val="Tahoma"/>
            <family val="2"/>
          </rPr>
          <t>= One or more required fields need to be filled out.</t>
        </r>
      </text>
    </comment>
    <comment ref="D12" authorId="1" shapeId="0">
      <text>
        <r>
          <rPr>
            <sz val="9"/>
            <color indexed="81"/>
            <rFont val="Tahoma"/>
            <family val="2"/>
          </rPr>
          <t>See "Definitions" worksheet for building type and vehicle type descriptions.</t>
        </r>
      </text>
    </comment>
    <comment ref="E12" authorId="1" shapeId="0">
      <text>
        <r>
          <rPr>
            <sz val="9"/>
            <color indexed="81"/>
            <rFont val="Tahoma"/>
            <family val="2"/>
          </rPr>
          <t>See "Definitions" worksheet for equipment type descriptions.</t>
        </r>
      </text>
    </comment>
    <comment ref="G12" authorId="1" shapeId="0">
      <text>
        <r>
          <rPr>
            <sz val="9"/>
            <color indexed="81"/>
            <rFont val="Tahoma"/>
            <family val="2"/>
          </rPr>
          <t>If the refrigerant type is not known, leave this blank or select "I Don't Know" and a default F-gas for equipment will be used.</t>
        </r>
      </text>
    </comment>
    <comment ref="L12" authorId="1" shapeId="0">
      <text>
        <r>
          <rPr>
            <sz val="9"/>
            <color indexed="81"/>
            <rFont val="Tahoma"/>
            <family val="2"/>
          </rPr>
          <t>What % of emissions get lost through leakage during the installation of equipment</t>
        </r>
      </text>
    </comment>
    <comment ref="M12" authorId="1" shapeId="0">
      <text>
        <r>
          <rPr>
            <sz val="9"/>
            <color indexed="81"/>
            <rFont val="Tahoma"/>
            <family val="2"/>
          </rPr>
          <t>What % of emissions get lost annually through the operation of equipment</t>
        </r>
      </text>
    </comment>
    <comment ref="N12" authorId="1" shapeId="0">
      <text>
        <r>
          <rPr>
            <sz val="9"/>
            <color indexed="81"/>
            <rFont val="Tahoma"/>
            <family val="2"/>
          </rPr>
          <t>What % of refrigerants are remaining when the equipment is disposed of</t>
        </r>
      </text>
    </comment>
    <comment ref="O12" authorId="1" shapeId="0">
      <text>
        <r>
          <rPr>
            <sz val="9"/>
            <color indexed="81"/>
            <rFont val="Tahoma"/>
            <family val="2"/>
          </rPr>
          <t>What % of the refrigerants in equipment being disposed are able to be recovered</t>
        </r>
      </text>
    </comment>
    <comment ref="Q12" authorId="0" shapeId="0">
      <text>
        <r>
          <rPr>
            <sz val="9"/>
            <color indexed="81"/>
            <rFont val="Tahoma"/>
            <family val="2"/>
          </rPr>
          <t>If HFC blends are reported, this column will include the full mass of HFC blend emissions, without discounting non-HFC constituents, if any.</t>
        </r>
      </text>
    </comment>
    <comment ref="R12" authorId="1" shapeId="0">
      <text>
        <r>
          <rPr>
            <sz val="9"/>
            <color indexed="81"/>
            <rFont val="Tahoma"/>
            <family val="2"/>
          </rPr>
          <t>If no refrigerant type is specified, a default refrigerant type will be listed here.</t>
        </r>
      </text>
    </comment>
    <comment ref="C14" authorId="1" shapeId="0">
      <text>
        <r>
          <rPr>
            <sz val="9"/>
            <color indexed="81"/>
            <rFont val="Tahoma"/>
            <family val="2"/>
          </rPr>
          <t xml:space="preserve">
</t>
        </r>
        <r>
          <rPr>
            <b/>
            <sz val="9"/>
            <color indexed="81"/>
            <rFont val="Tahoma"/>
            <family val="2"/>
          </rPr>
          <t>Example Scenario for Simplified Screening 1 Approach</t>
        </r>
        <r>
          <rPr>
            <sz val="9"/>
            <color indexed="81"/>
            <rFont val="Tahoma"/>
            <family val="2"/>
          </rPr>
          <t xml:space="preserve">
Agency X has a school with 2 walk in refrigeration units, both of which use refrigerant R-134a.</t>
        </r>
      </text>
    </comment>
  </commentList>
</comments>
</file>

<file path=xl/comments5.xml><?xml version="1.0" encoding="utf-8"?>
<comments xmlns="http://schemas.openxmlformats.org/spreadsheetml/2006/main">
  <authors>
    <author>Author</author>
    <author>CJ</author>
  </authors>
  <commentList>
    <comment ref="C7" authorId="0" shapeId="0">
      <text>
        <r>
          <rPr>
            <sz val="9"/>
            <color indexed="81"/>
            <rFont val="Tahoma"/>
            <family val="2"/>
          </rPr>
          <t>Once you select your equipment type from the drop-down list in column E, the associated default leak and disposal rates are populated (k,x,y,z). These defaults can be overridden if you choose "YES" for entering custom leak/disposal rates here.</t>
        </r>
      </text>
    </comment>
    <comment ref="B11" authorId="0" shapeId="0">
      <text>
        <r>
          <rPr>
            <b/>
            <sz val="9"/>
            <color indexed="81"/>
            <rFont val="Tahoma"/>
            <family val="2"/>
          </rPr>
          <t>OK</t>
        </r>
        <r>
          <rPr>
            <sz val="9"/>
            <color indexed="81"/>
            <rFont val="Tahoma"/>
            <family val="2"/>
          </rPr>
          <t xml:space="preserve"> = All required fields have been filled out
</t>
        </r>
        <r>
          <rPr>
            <b/>
            <sz val="9"/>
            <color indexed="81"/>
            <rFont val="Tahoma"/>
            <family val="2"/>
          </rPr>
          <t xml:space="preserve">Incomplete </t>
        </r>
        <r>
          <rPr>
            <sz val="9"/>
            <color indexed="81"/>
            <rFont val="Tahoma"/>
            <family val="2"/>
          </rPr>
          <t>= One or more required fields need to be filled out.
If a number field is 0 (e.g., charge capacity of equipment being disposed is 0), put 0 rather than leave it blank.</t>
        </r>
      </text>
    </comment>
    <comment ref="D11" authorId="0" shapeId="0">
      <text>
        <r>
          <rPr>
            <sz val="9"/>
            <color indexed="81"/>
            <rFont val="Tahoma"/>
            <family val="2"/>
          </rPr>
          <t>See "Definitions" worksheet for building type and vehicle type descriptions.</t>
        </r>
      </text>
    </comment>
    <comment ref="E11" authorId="0" shapeId="0">
      <text>
        <r>
          <rPr>
            <sz val="9"/>
            <color indexed="81"/>
            <rFont val="Tahoma"/>
            <family val="2"/>
          </rPr>
          <t>See "Definitions" worksheet for equipment type descriptions.</t>
        </r>
      </text>
    </comment>
    <comment ref="G11" authorId="0" shapeId="0">
      <text>
        <r>
          <rPr>
            <sz val="9"/>
            <color indexed="81"/>
            <rFont val="Tahoma"/>
            <family val="2"/>
          </rPr>
          <t>If new equipment is charged off site, enter 0 here.</t>
        </r>
      </text>
    </comment>
    <comment ref="I11" authorId="0" shapeId="0">
      <text>
        <r>
          <rPr>
            <sz val="9"/>
            <color indexed="81"/>
            <rFont val="Tahoma"/>
            <family val="2"/>
          </rPr>
          <t>Only change this value from 1 if equipment was purchased or disposed of during the year and therefore not operational for a full year. It should not be used for time periods greater than 1 year.</t>
        </r>
      </text>
    </comment>
    <comment ref="K11" authorId="0" shapeId="0">
      <text>
        <r>
          <rPr>
            <sz val="9"/>
            <color indexed="81"/>
            <rFont val="Tahoma"/>
            <family val="2"/>
          </rPr>
          <t>What % of emissions get lost through leakage during the installation of equipment</t>
        </r>
      </text>
    </comment>
    <comment ref="L11" authorId="0" shapeId="0">
      <text>
        <r>
          <rPr>
            <sz val="9"/>
            <color indexed="81"/>
            <rFont val="Tahoma"/>
            <family val="2"/>
          </rPr>
          <t>What % of emissions get lost annually through the operation of equipment</t>
        </r>
      </text>
    </comment>
    <comment ref="M11" authorId="0" shapeId="0">
      <text>
        <r>
          <rPr>
            <sz val="9"/>
            <color indexed="81"/>
            <rFont val="Tahoma"/>
            <family val="2"/>
          </rPr>
          <t>What % of refrigerants are remaining when the equipment is disposed of</t>
        </r>
      </text>
    </comment>
    <comment ref="N11" authorId="0" shapeId="0">
      <text>
        <r>
          <rPr>
            <sz val="9"/>
            <color indexed="81"/>
            <rFont val="Tahoma"/>
            <family val="2"/>
          </rPr>
          <t>What % of the refrigerants in equipment being disposed are able to be recovered</t>
        </r>
      </text>
    </comment>
    <comment ref="O11" authorId="0" shapeId="0">
      <text>
        <r>
          <rPr>
            <sz val="9"/>
            <color indexed="81"/>
            <rFont val="Tahoma"/>
            <family val="2"/>
          </rPr>
          <t>What % of emissions get lost through leakage during the installation of equipment</t>
        </r>
      </text>
    </comment>
    <comment ref="P11" authorId="0" shapeId="0">
      <text>
        <r>
          <rPr>
            <sz val="9"/>
            <color indexed="81"/>
            <rFont val="Tahoma"/>
            <family val="2"/>
          </rPr>
          <t>What % of emissions get lost annually through the operation of equipment</t>
        </r>
      </text>
    </comment>
    <comment ref="Q11" authorId="0" shapeId="0">
      <text>
        <r>
          <rPr>
            <sz val="9"/>
            <color indexed="81"/>
            <rFont val="Tahoma"/>
            <family val="2"/>
          </rPr>
          <t>What % of refrigerants are remaining when the equipment is disposed of</t>
        </r>
      </text>
    </comment>
    <comment ref="R11" authorId="0" shapeId="0">
      <text>
        <r>
          <rPr>
            <sz val="9"/>
            <color indexed="81"/>
            <rFont val="Tahoma"/>
            <family val="2"/>
          </rPr>
          <t>What % of the refrigerants in equipment being disposed are able to be recovered</t>
        </r>
      </text>
    </comment>
    <comment ref="T11" authorId="1" shapeId="0">
      <text>
        <r>
          <rPr>
            <sz val="9"/>
            <color indexed="81"/>
            <rFont val="Tahoma"/>
            <family val="2"/>
          </rPr>
          <t>If HFC blends are reported, this column will include the full mass of HFC blend emissions, without discounting non-HFC constituents, if any.</t>
        </r>
      </text>
    </comment>
    <comment ref="C13" authorId="0" shapeId="0">
      <text>
        <r>
          <rPr>
            <sz val="9"/>
            <color indexed="81"/>
            <rFont val="Tahoma"/>
            <family val="2"/>
          </rPr>
          <t xml:space="preserve">
</t>
        </r>
        <r>
          <rPr>
            <b/>
            <sz val="9"/>
            <color indexed="81"/>
            <rFont val="Tahoma"/>
            <family val="2"/>
          </rPr>
          <t>Example Scenario for the Screening Approach</t>
        </r>
        <r>
          <rPr>
            <sz val="9"/>
            <color indexed="81"/>
            <rFont val="Tahoma"/>
            <family val="2"/>
          </rPr>
          <t xml:space="preserve">
Agency X has a school with 2 walk in refrigeration units, both of which use refrigerant R-134a. Since "Walk-in refrigerators and freezers" is chosen from the equipment type list, the associated default leak and disposal rates are populated (k,x,y,z). 
Each unit has a capacity of 30 lbs, so there is a 60 lb full charge capacity of the equipment (C). Six months into the year, one unit gets disposed of and replaced by an equivalent 30 lb charge capacity unit using R-134a, so equipment with a charge capacity of 30 lbs is disposed of (C</t>
        </r>
        <r>
          <rPr>
            <sz val="6"/>
            <color indexed="81"/>
            <rFont val="Tahoma"/>
            <family val="2"/>
          </rPr>
          <t>D</t>
        </r>
        <r>
          <rPr>
            <sz val="9"/>
            <color indexed="81"/>
            <rFont val="Tahoma"/>
            <family val="2"/>
          </rPr>
          <t>). Since the new equipment is charged on-site, 30 lbs of R134a are needed to charge the equipment (C</t>
        </r>
        <r>
          <rPr>
            <sz val="6"/>
            <color indexed="81"/>
            <rFont val="Tahoma"/>
            <family val="2"/>
          </rPr>
          <t>N</t>
        </r>
        <r>
          <rPr>
            <sz val="9"/>
            <color indexed="81"/>
            <rFont val="Tahoma"/>
            <family val="2"/>
          </rPr>
          <t xml:space="preserve">). Since 60 lbs of operating equipment was in use for the full year, the time equipment was in use (T) is entered as 1 year so that the full operation emission factor (x) gets applied to refrigerant leaks from equipment.
</t>
        </r>
        <r>
          <rPr>
            <i/>
            <sz val="9"/>
            <color indexed="81"/>
            <rFont val="Tahoma"/>
            <family val="2"/>
          </rPr>
          <t xml:space="preserve">
Note that if you have equipment with different refrigerant types, or if you purchase or dispose of equipment during the year that affects the full charge capacity of the equipment (C), you may need to enter new, ongoing, and disposed of equipment on multiple rows to give yourself flexibility to choose different refrigerant types or reduce the time certain equipment was in use for.</t>
        </r>
        <r>
          <rPr>
            <sz val="9"/>
            <color indexed="81"/>
            <rFont val="Tahoma"/>
            <family val="2"/>
          </rPr>
          <t xml:space="preserve">
</t>
        </r>
      </text>
    </comment>
  </commentList>
</comments>
</file>

<file path=xl/comments6.xml><?xml version="1.0" encoding="utf-8"?>
<comments xmlns="http://schemas.openxmlformats.org/spreadsheetml/2006/main">
  <authors>
    <author>Author</author>
    <author>CJ</author>
  </authors>
  <commentList>
    <comment ref="B11" authorId="0" shapeId="0">
      <text>
        <r>
          <rPr>
            <b/>
            <sz val="9"/>
            <color indexed="81"/>
            <rFont val="Tahoma"/>
            <family val="2"/>
          </rPr>
          <t>OK</t>
        </r>
        <r>
          <rPr>
            <sz val="9"/>
            <color indexed="81"/>
            <rFont val="Tahoma"/>
            <family val="2"/>
          </rPr>
          <t xml:space="preserve"> = All required fields have been filled out
</t>
        </r>
        <r>
          <rPr>
            <b/>
            <sz val="9"/>
            <color indexed="81"/>
            <rFont val="Tahoma"/>
            <family val="2"/>
          </rPr>
          <t xml:space="preserve">Incomplete </t>
        </r>
        <r>
          <rPr>
            <sz val="9"/>
            <color indexed="81"/>
            <rFont val="Tahoma"/>
            <family val="2"/>
          </rPr>
          <t>= One or more required fields need to be filled out.
If a number field is 0 (e.g. "capacity of retiring equipment" is 0), put 0 rather than leave it blank.</t>
        </r>
      </text>
    </comment>
    <comment ref="D11" authorId="0" shapeId="0">
      <text>
        <r>
          <rPr>
            <sz val="9"/>
            <color indexed="81"/>
            <rFont val="Tahoma"/>
            <family val="2"/>
          </rPr>
          <t>See "Definitions" worksheet for building type and vehicle type descriptions.</t>
        </r>
      </text>
    </comment>
    <comment ref="E11" authorId="0" shapeId="0">
      <text>
        <r>
          <rPr>
            <sz val="9"/>
            <color indexed="81"/>
            <rFont val="Tahoma"/>
            <family val="2"/>
          </rPr>
          <t>See "Definitions" worksheet for equipment type descriptions.</t>
        </r>
      </text>
    </comment>
    <comment ref="M11" authorId="1" shapeId="0">
      <text>
        <r>
          <rPr>
            <sz val="9"/>
            <color indexed="81"/>
            <rFont val="Tahoma"/>
            <family val="2"/>
          </rPr>
          <t>If HFC blends are reported, this column will include the full mass of HFC blend emissions, without discounting non-HFC constituents, if any.</t>
        </r>
      </text>
    </comment>
    <comment ref="C13" authorId="0" shapeId="0">
      <text>
        <r>
          <rPr>
            <sz val="9"/>
            <color indexed="81"/>
            <rFont val="Tahoma"/>
            <family val="2"/>
          </rPr>
          <t xml:space="preserve">
</t>
        </r>
        <r>
          <rPr>
            <b/>
            <sz val="9"/>
            <color indexed="81"/>
            <rFont val="Tahoma"/>
            <family val="2"/>
          </rPr>
          <t>Example Scenario for Simplified Material Balance</t>
        </r>
        <r>
          <rPr>
            <sz val="9"/>
            <color indexed="81"/>
            <rFont val="Tahoma"/>
            <family val="2"/>
          </rPr>
          <t xml:space="preserve">
Agency X has a school with 2 walk in refrigeration units that use refrigerant R-134a. Agency X bought new equipment with a charge capacity of 30 lbs (C</t>
        </r>
        <r>
          <rPr>
            <sz val="6"/>
            <color indexed="81"/>
            <rFont val="Tahoma"/>
            <family val="2"/>
          </rPr>
          <t>N</t>
        </r>
        <r>
          <rPr>
            <sz val="9"/>
            <color indexed="81"/>
            <rFont val="Tahoma"/>
            <family val="2"/>
          </rPr>
          <t>). 31 lbs of R-134a were bought to fill this equipment (P</t>
        </r>
        <r>
          <rPr>
            <sz val="6"/>
            <color indexed="81"/>
            <rFont val="Tahoma"/>
            <family val="2"/>
          </rPr>
          <t>N</t>
        </r>
        <r>
          <rPr>
            <sz val="9"/>
            <color indexed="81"/>
            <rFont val="Tahoma"/>
            <family val="2"/>
          </rPr>
          <t>), and thus it is assumed 1 lb is emitted during the installation process. During the year, 5 lbs of R-134a (P</t>
        </r>
        <r>
          <rPr>
            <sz val="6"/>
            <color indexed="81"/>
            <rFont val="Tahoma"/>
            <family val="2"/>
          </rPr>
          <t>S</t>
        </r>
        <r>
          <rPr>
            <sz val="9"/>
            <color indexed="81"/>
            <rFont val="Tahoma"/>
            <family val="2"/>
          </rPr>
          <t>) were used to service the 60 lbs of existing equipment. Agency X also disposed of equipment with a charge capacity of 30 lbs of R-134a (C</t>
        </r>
        <r>
          <rPr>
            <sz val="6"/>
            <color indexed="81"/>
            <rFont val="Tahoma"/>
            <family val="2"/>
          </rPr>
          <t>D</t>
        </r>
        <r>
          <rPr>
            <sz val="9"/>
            <color indexed="81"/>
            <rFont val="Tahoma"/>
            <family val="2"/>
          </rPr>
          <t>). At disposal, 25 lbs of R-134a were recovered (R</t>
        </r>
        <r>
          <rPr>
            <sz val="6"/>
            <color indexed="81"/>
            <rFont val="Tahoma"/>
            <family val="2"/>
          </rPr>
          <t>D</t>
        </r>
        <r>
          <rPr>
            <sz val="9"/>
            <color indexed="81"/>
            <rFont val="Tahoma"/>
            <family val="2"/>
          </rPr>
          <t>), so the remaining 5 lbs are assumed to be emitted.</t>
        </r>
      </text>
    </comment>
  </commentList>
</comments>
</file>

<file path=xl/comments7.xml><?xml version="1.0" encoding="utf-8"?>
<comments xmlns="http://schemas.openxmlformats.org/spreadsheetml/2006/main">
  <authors>
    <author>Author</author>
    <author>CJ</author>
  </authors>
  <commentList>
    <comment ref="B7" authorId="0" shapeId="0">
      <text>
        <r>
          <rPr>
            <sz val="9"/>
            <color indexed="81"/>
            <rFont val="Tahoma"/>
            <family val="2"/>
          </rPr>
          <t>The Default Methodology approach is the Federal supply system transaction approach. For this approach you will need the amount of each F-gas acquired, then subtract the amount of each F-gas returned or passed on to suppliers. 
If you plan to use both the Default Methodology and Material Balance approach, toggle to the Material Balance approach and for the Default approach enter data in columns I and J.</t>
        </r>
      </text>
    </comment>
    <comment ref="B11" authorId="0" shapeId="0">
      <text>
        <r>
          <rPr>
            <b/>
            <sz val="9"/>
            <color indexed="81"/>
            <rFont val="Tahoma"/>
            <family val="2"/>
          </rPr>
          <t>OK</t>
        </r>
        <r>
          <rPr>
            <sz val="9"/>
            <color indexed="81"/>
            <rFont val="Tahoma"/>
            <family val="2"/>
          </rPr>
          <t xml:space="preserve"> = All required fields have been filled out
</t>
        </r>
        <r>
          <rPr>
            <b/>
            <sz val="9"/>
            <color indexed="81"/>
            <rFont val="Tahoma"/>
            <family val="2"/>
          </rPr>
          <t xml:space="preserve">Incomplete </t>
        </r>
        <r>
          <rPr>
            <sz val="9"/>
            <color indexed="81"/>
            <rFont val="Tahoma"/>
            <family val="2"/>
          </rPr>
          <t>= One or more required fields need to be filled out.
If a number field is 0 (e.g. "Sum of F-gas disbursements" is 0), put 0 rather than leave it blank.</t>
        </r>
      </text>
    </comment>
    <comment ref="D11" authorId="0" shapeId="0">
      <text>
        <r>
          <rPr>
            <sz val="9"/>
            <color indexed="81"/>
            <rFont val="Tahoma"/>
            <family val="2"/>
          </rPr>
          <t>See "Definitions" worksheet for building type and vehicle type descriptions.</t>
        </r>
      </text>
    </comment>
    <comment ref="E11" authorId="0" shapeId="0">
      <text>
        <r>
          <rPr>
            <sz val="9"/>
            <color indexed="81"/>
            <rFont val="Tahoma"/>
            <family val="2"/>
          </rPr>
          <t>See "Definitions" worksheet for equipment type descriptions.</t>
        </r>
      </text>
    </comment>
    <comment ref="I11" authorId="0" shapeId="0">
      <text>
        <r>
          <rPr>
            <sz val="9"/>
            <color indexed="81"/>
            <rFont val="Tahoma"/>
            <family val="2"/>
          </rPr>
          <t>If using this worksheet for the "Default Methodology" for calculating emissions, use this column for the total quantity of F-gas Purchased or Issued</t>
        </r>
      </text>
    </comment>
    <comment ref="J11" authorId="0" shapeId="0">
      <text>
        <r>
          <rPr>
            <sz val="9"/>
            <color indexed="81"/>
            <rFont val="Tahoma"/>
            <family val="2"/>
          </rPr>
          <t>If using this worksheet for the "Default Methodology" for calculating emissions, use this column for the total quantity recovered from the system or returned to supply.</t>
        </r>
      </text>
    </comment>
    <comment ref="M11" authorId="1" shapeId="0">
      <text>
        <r>
          <rPr>
            <sz val="9"/>
            <color indexed="81"/>
            <rFont val="Tahoma"/>
            <family val="2"/>
          </rPr>
          <t>If HFC blends are reported, this column will include the full mass of HFC blend emissions, without discounting non-HFC constituents, if any.</t>
        </r>
      </text>
    </comment>
    <comment ref="C13" authorId="0" shapeId="0">
      <text>
        <r>
          <rPr>
            <b/>
            <sz val="9"/>
            <color indexed="81"/>
            <rFont val="Tahoma"/>
            <family val="2"/>
          </rPr>
          <t xml:space="preserve">
Example For the Default Methodology Approach
</t>
        </r>
        <r>
          <rPr>
            <sz val="9"/>
            <color indexed="81"/>
            <rFont val="Tahoma"/>
            <family val="2"/>
          </rPr>
          <t>Agency X purchased 31 lbs of R-134a during the year (I) to fill new equipment, and did not sell or return any to suppliers (R).</t>
        </r>
        <r>
          <rPr>
            <b/>
            <sz val="9"/>
            <color indexed="81"/>
            <rFont val="Tahoma"/>
            <family val="2"/>
          </rPr>
          <t xml:space="preserve">
Example For the Material Balance Approach
</t>
        </r>
        <r>
          <rPr>
            <sz val="9"/>
            <color indexed="81"/>
            <rFont val="Tahoma"/>
            <family val="2"/>
          </rPr>
          <t>Agency X has a school with 2 walk in refrigeration units that use refrigerant R-134a. At the beginning of the year, agency X had 25 lbs of R-134a in storage outside existing equipment (I</t>
        </r>
        <r>
          <rPr>
            <sz val="6"/>
            <color indexed="81"/>
            <rFont val="Tahoma"/>
            <family val="2"/>
          </rPr>
          <t>B</t>
        </r>
        <r>
          <rPr>
            <sz val="9"/>
            <color indexed="81"/>
            <rFont val="Tahoma"/>
            <family val="2"/>
          </rPr>
          <t>), and the total charge capacity of the retail food equipment (C</t>
        </r>
        <r>
          <rPr>
            <sz val="6"/>
            <color indexed="81"/>
            <rFont val="Tahoma"/>
            <family val="2"/>
          </rPr>
          <t>B</t>
        </r>
        <r>
          <rPr>
            <sz val="9"/>
            <color indexed="81"/>
            <rFont val="Tahoma"/>
            <family val="2"/>
          </rPr>
          <t>) was 60 lbs from two units with 30 lbs of charge capacity each. During the year, Agency X retired one of the units, recovering 25 lbs to go back into the inventory/storage. They replaced the retiring unit with a similar sized unit and purchased 31 lbs of R-134a (P), all of which was used in charging the new equipment. In addition, agency X used 5 lbs of R-134a to top up existing equipment throughout the year, and no R-134a was sold or returned to supplier (S). At the end of the year, agency X still had 60 lbs of charge capacity for their equipment (C</t>
        </r>
        <r>
          <rPr>
            <sz val="6"/>
            <color indexed="81"/>
            <rFont val="Tahoma"/>
            <family val="2"/>
          </rPr>
          <t>E</t>
        </r>
        <r>
          <rPr>
            <sz val="9"/>
            <color indexed="81"/>
            <rFont val="Tahoma"/>
            <family val="2"/>
          </rPr>
          <t>); and their records show 45 lbs of R-134a in storage (I</t>
        </r>
        <r>
          <rPr>
            <sz val="6"/>
            <color indexed="81"/>
            <rFont val="Tahoma"/>
            <family val="2"/>
          </rPr>
          <t>E</t>
        </r>
        <r>
          <rPr>
            <sz val="9"/>
            <color indexed="81"/>
            <rFont val="Tahoma"/>
            <family val="2"/>
          </rPr>
          <t>) since they started with 25 lbs, acquired and then used 31 lbs, topped up equipment with 5 lbs, and recovered 25 lbs.</t>
        </r>
        <r>
          <rPr>
            <b/>
            <sz val="9"/>
            <color indexed="81"/>
            <rFont val="Tahoma"/>
            <family val="2"/>
          </rPr>
          <t xml:space="preserve">
</t>
        </r>
      </text>
    </comment>
  </commentList>
</comments>
</file>

<file path=xl/comments8.xml><?xml version="1.0" encoding="utf-8"?>
<comments xmlns="http://schemas.openxmlformats.org/spreadsheetml/2006/main">
  <authors>
    <author>Author</author>
  </authors>
  <commentList>
    <comment ref="B13" authorId="0" shapeId="0">
      <text>
        <r>
          <rPr>
            <b/>
            <sz val="9"/>
            <color indexed="81"/>
            <rFont val="Tahoma"/>
            <family val="2"/>
          </rPr>
          <t>Author:</t>
        </r>
        <r>
          <rPr>
            <sz val="9"/>
            <color indexed="81"/>
            <rFont val="Tahoma"/>
            <family val="2"/>
          </rPr>
          <t xml:space="preserve">
Currently not available in the tool</t>
        </r>
      </text>
    </comment>
  </commentList>
</comments>
</file>

<file path=xl/comments9.xml><?xml version="1.0" encoding="utf-8"?>
<comments xmlns="http://schemas.openxmlformats.org/spreadsheetml/2006/main">
  <authors>
    <author>Author</author>
  </authors>
  <commentList>
    <comment ref="B8" authorId="0" shapeId="0">
      <text>
        <r>
          <rPr>
            <b/>
            <sz val="9"/>
            <color indexed="81"/>
            <rFont val="Tahoma"/>
            <family val="2"/>
          </rPr>
          <t>Author:</t>
        </r>
        <r>
          <rPr>
            <sz val="9"/>
            <color indexed="81"/>
            <rFont val="Tahoma"/>
            <family val="2"/>
          </rPr>
          <t xml:space="preserve">
Row counter for Named Range. To be hidden</t>
        </r>
      </text>
    </comment>
    <comment ref="B9" authorId="0" shapeId="0">
      <text>
        <r>
          <rPr>
            <b/>
            <sz val="9"/>
            <color indexed="81"/>
            <rFont val="Tahoma"/>
            <family val="2"/>
          </rPr>
          <t>Author:</t>
        </r>
        <r>
          <rPr>
            <sz val="9"/>
            <color indexed="81"/>
            <rFont val="Tahoma"/>
            <family val="2"/>
          </rPr>
          <t xml:space="preserve">
To Be locked and whited out.</t>
        </r>
      </text>
    </comment>
    <comment ref="B81" authorId="0" shapeId="0">
      <text>
        <r>
          <rPr>
            <b/>
            <sz val="9"/>
            <color indexed="81"/>
            <rFont val="Tahoma"/>
            <family val="2"/>
          </rPr>
          <t>Author:</t>
        </r>
        <r>
          <rPr>
            <sz val="9"/>
            <color indexed="81"/>
            <rFont val="Tahoma"/>
            <family val="2"/>
          </rPr>
          <t xml:space="preserve">
To Be locked and whited out.</t>
        </r>
      </text>
    </comment>
    <comment ref="B107" authorId="0" shapeId="0">
      <text>
        <r>
          <rPr>
            <b/>
            <sz val="9"/>
            <color indexed="81"/>
            <rFont val="Tahoma"/>
            <family val="2"/>
          </rPr>
          <t>Author:</t>
        </r>
        <r>
          <rPr>
            <sz val="9"/>
            <color indexed="81"/>
            <rFont val="Tahoma"/>
            <family val="2"/>
          </rPr>
          <t xml:space="preserve">
To Be locked and whited out.</t>
        </r>
      </text>
    </comment>
  </commentList>
</comments>
</file>

<file path=xl/comments10.xml><?xml version="1.0" encoding="utf-8"?>
<comments xmlns="http://schemas.openxmlformats.org/spreadsheetml/2006/main">
  <authors>
    <author>Author</author>
  </authors>
  <commentList>
    <comment ref="B31" authorId="0" shapeId="0">
      <text>
        <r>
          <rPr>
            <b/>
            <sz val="9"/>
            <color indexed="81"/>
            <rFont val="Tahoma"/>
            <family val="2"/>
          </rPr>
          <t>Author:</t>
        </r>
        <r>
          <rPr>
            <sz val="9"/>
            <color indexed="81"/>
            <rFont val="Tahoma"/>
            <family val="2"/>
          </rPr>
          <t xml:space="preserve">
Tied to chart generation code</t>
        </r>
      </text>
    </comment>
  </commentList>
</comments>
</file>

<file path=xl/comments11.xml><?xml version="1.0" encoding="utf-8"?>
<comments xmlns="http://schemas.openxmlformats.org/spreadsheetml/2006/main">
  <authors>
    <author>Author</author>
  </authors>
  <commentList>
    <comment ref="F8" authorId="0" shapeId="0">
      <text>
        <r>
          <rPr>
            <sz val="9"/>
            <color indexed="81"/>
            <rFont val="Tahoma"/>
            <family val="2"/>
          </rPr>
          <t>Quantity returned to supply draws only from the "Sum of all F-gas disbursements" column in the Material Balance approach (or "F-gas returned to the supply system" if using the Default Methodology approach).</t>
        </r>
      </text>
    </comment>
  </commentList>
</comments>
</file>

<file path=xl/comments12.xml><?xml version="1.0" encoding="utf-8"?>
<comments xmlns="http://schemas.openxmlformats.org/spreadsheetml/2006/main">
  <authors>
    <author>Author</author>
  </authors>
  <commentList>
    <comment ref="CJ3" authorId="0" shapeId="0">
      <text>
        <r>
          <rPr>
            <b/>
            <sz val="9"/>
            <color indexed="81"/>
            <rFont val="Tahoma"/>
            <family val="2"/>
          </rPr>
          <t>Author:</t>
        </r>
        <r>
          <rPr>
            <sz val="9"/>
            <color indexed="81"/>
            <rFont val="Tahoma"/>
            <family val="2"/>
          </rPr>
          <t xml:space="preserve">
Only for items where equipment type is specified or default equipment type is assumed. The first 3 approaches may have emissions not represented here.</t>
        </r>
      </text>
    </comment>
    <comment ref="G4" authorId="0" shapeId="0">
      <text>
        <r>
          <rPr>
            <sz val="9"/>
            <color indexed="81"/>
            <rFont val="Tahoma"/>
            <family val="2"/>
          </rPr>
          <t>Breakout is not relevant for this method</t>
        </r>
      </text>
    </comment>
    <comment ref="L4" authorId="0" shapeId="0">
      <text>
        <r>
          <rPr>
            <sz val="9"/>
            <color indexed="81"/>
            <rFont val="Tahoma"/>
            <family val="2"/>
          </rPr>
          <t>Breakout is not relevant for this method</t>
        </r>
      </text>
    </comment>
    <comment ref="AA4" authorId="0" shapeId="0">
      <text>
        <r>
          <rPr>
            <b/>
            <sz val="9"/>
            <color indexed="81"/>
            <rFont val="Tahoma"/>
            <family val="2"/>
          </rPr>
          <t>Author:</t>
        </r>
        <r>
          <rPr>
            <sz val="9"/>
            <color indexed="81"/>
            <rFont val="Tahoma"/>
            <family val="2"/>
          </rPr>
          <t xml:space="preserve">
Breakout is not relevant for this method</t>
        </r>
      </text>
    </comment>
    <comment ref="AP4" authorId="0" shapeId="0">
      <text>
        <r>
          <rPr>
            <b/>
            <sz val="9"/>
            <color indexed="81"/>
            <rFont val="Tahoma"/>
            <family val="2"/>
          </rPr>
          <t>Author:</t>
        </r>
        <r>
          <rPr>
            <sz val="9"/>
            <color indexed="81"/>
            <rFont val="Tahoma"/>
            <family val="2"/>
          </rPr>
          <t xml:space="preserve">
Breakout is not relevant for this method</t>
        </r>
      </text>
    </comment>
    <comment ref="L124" authorId="0" shapeId="0">
      <text>
        <r>
          <rPr>
            <b/>
            <sz val="9"/>
            <color indexed="81"/>
            <rFont val="Tahoma"/>
            <family val="2"/>
          </rPr>
          <t>Author:</t>
        </r>
        <r>
          <rPr>
            <sz val="9"/>
            <color indexed="81"/>
            <rFont val="Tahoma"/>
            <family val="2"/>
          </rPr>
          <t xml:space="preserve">
Different formula than previous sections.</t>
        </r>
      </text>
    </comment>
    <comment ref="AA124" authorId="0" shapeId="0">
      <text>
        <r>
          <rPr>
            <b/>
            <sz val="9"/>
            <color indexed="81"/>
            <rFont val="Tahoma"/>
            <family val="2"/>
          </rPr>
          <t>Author:</t>
        </r>
        <r>
          <rPr>
            <sz val="9"/>
            <color indexed="81"/>
            <rFont val="Tahoma"/>
            <family val="2"/>
          </rPr>
          <t xml:space="preserve">
Different formula than previous sections.</t>
        </r>
      </text>
    </comment>
    <comment ref="AP124" authorId="0" shapeId="0">
      <text>
        <r>
          <rPr>
            <b/>
            <sz val="9"/>
            <color indexed="81"/>
            <rFont val="Tahoma"/>
            <family val="2"/>
          </rPr>
          <t>Author:</t>
        </r>
        <r>
          <rPr>
            <sz val="9"/>
            <color indexed="81"/>
            <rFont val="Tahoma"/>
            <family val="2"/>
          </rPr>
          <t xml:space="preserve">
Different formula than previous sections.</t>
        </r>
      </text>
    </comment>
    <comment ref="K164" authorId="0" shapeId="0">
      <text>
        <r>
          <rPr>
            <b/>
            <sz val="9"/>
            <color indexed="81"/>
            <rFont val="Tahoma"/>
            <family val="2"/>
          </rPr>
          <t>Author:</t>
        </r>
        <r>
          <rPr>
            <sz val="9"/>
            <color indexed="81"/>
            <rFont val="Tahoma"/>
            <family val="2"/>
          </rPr>
          <t xml:space="preserve">
Discounted annual emissions for SS2 can be seen in the table below.</t>
        </r>
      </text>
    </comment>
    <comment ref="L164" authorId="0" shapeId="0">
      <text>
        <r>
          <rPr>
            <b/>
            <sz val="9"/>
            <color indexed="81"/>
            <rFont val="Tahoma"/>
            <family val="2"/>
          </rPr>
          <t>Author:</t>
        </r>
        <r>
          <rPr>
            <sz val="9"/>
            <color indexed="81"/>
            <rFont val="Tahoma"/>
            <family val="2"/>
          </rPr>
          <t xml:space="preserve">
Should be the same formula as the other sections apart from Simplified Screening 1 (directly above)</t>
        </r>
      </text>
    </comment>
    <comment ref="AA164" authorId="0" shapeId="0">
      <text>
        <r>
          <rPr>
            <b/>
            <sz val="9"/>
            <color indexed="81"/>
            <rFont val="Tahoma"/>
            <family val="2"/>
          </rPr>
          <t>Author:</t>
        </r>
        <r>
          <rPr>
            <sz val="9"/>
            <color indexed="81"/>
            <rFont val="Tahoma"/>
            <family val="2"/>
          </rPr>
          <t xml:space="preserve">
Should be the same formula as the other sections apart from Simplified Screening 1 (directly above)</t>
        </r>
      </text>
    </comment>
    <comment ref="AP164" authorId="0" shapeId="0">
      <text>
        <r>
          <rPr>
            <b/>
            <sz val="9"/>
            <color indexed="81"/>
            <rFont val="Tahoma"/>
            <family val="2"/>
          </rPr>
          <t>Author:</t>
        </r>
        <r>
          <rPr>
            <sz val="9"/>
            <color indexed="81"/>
            <rFont val="Tahoma"/>
            <family val="2"/>
          </rPr>
          <t xml:space="preserve">
Should be the same formula as the other sections apart from Simplified Screening 1 (directly above)</t>
        </r>
      </text>
    </comment>
    <comment ref="BT164" authorId="0" shapeId="0">
      <text>
        <r>
          <rPr>
            <b/>
            <sz val="9"/>
            <color indexed="81"/>
            <rFont val="Tahoma"/>
            <family val="2"/>
          </rPr>
          <t>Author:</t>
        </r>
        <r>
          <rPr>
            <sz val="9"/>
            <color indexed="81"/>
            <rFont val="Tahoma"/>
            <family val="2"/>
          </rPr>
          <t xml:space="preserve">
Note - different formula than section above</t>
        </r>
      </text>
    </comment>
    <comment ref="J204" authorId="0" shapeId="0">
      <text>
        <r>
          <rPr>
            <b/>
            <sz val="9"/>
            <color indexed="81"/>
            <rFont val="Tahoma"/>
            <family val="2"/>
          </rPr>
          <t>Author:</t>
        </r>
        <r>
          <rPr>
            <sz val="9"/>
            <color indexed="81"/>
            <rFont val="Tahoma"/>
            <family val="2"/>
          </rPr>
          <t xml:space="preserve">
MT F-gas</t>
        </r>
      </text>
    </comment>
    <comment ref="B294" authorId="0" shapeId="0">
      <text>
        <r>
          <rPr>
            <b/>
            <sz val="9"/>
            <color indexed="81"/>
            <rFont val="Tahoma"/>
            <family val="2"/>
          </rPr>
          <t>Author:</t>
        </r>
        <r>
          <rPr>
            <sz val="9"/>
            <color indexed="81"/>
            <rFont val="Tahoma"/>
            <family val="2"/>
          </rPr>
          <t xml:space="preserve">
Not currently in FEMP</t>
        </r>
      </text>
    </comment>
    <comment ref="B346" authorId="0" shapeId="0">
      <text>
        <r>
          <rPr>
            <b/>
            <sz val="9"/>
            <color indexed="81"/>
            <rFont val="Tahoma"/>
            <family val="2"/>
          </rPr>
          <t>Author:</t>
        </r>
        <r>
          <rPr>
            <sz val="9"/>
            <color indexed="81"/>
            <rFont val="Tahoma"/>
            <family val="2"/>
          </rPr>
          <t xml:space="preserve">
0=OK</t>
        </r>
      </text>
    </comment>
  </commentList>
</comments>
</file>

<file path=xl/comments13.xml><?xml version="1.0" encoding="utf-8"?>
<comments xmlns="http://schemas.openxmlformats.org/spreadsheetml/2006/main">
  <authors>
    <author>Author</author>
  </authors>
  <commentList>
    <comment ref="M2" authorId="0" shapeId="0">
      <text>
        <r>
          <rPr>
            <b/>
            <sz val="9"/>
            <color indexed="81"/>
            <rFont val="Tahoma"/>
            <family val="2"/>
          </rPr>
          <t>Author:</t>
        </r>
        <r>
          <rPr>
            <sz val="9"/>
            <color indexed="81"/>
            <rFont val="Tahoma"/>
            <family val="2"/>
          </rPr>
          <t xml:space="preserve">
Ideally we should expand capacity here and make the number of spots flexible and go beyond 23</t>
        </r>
      </text>
    </comment>
    <comment ref="C23" authorId="0" shapeId="0">
      <text>
        <r>
          <rPr>
            <b/>
            <sz val="9"/>
            <color indexed="81"/>
            <rFont val="Tahoma"/>
            <family val="2"/>
          </rPr>
          <t>Author:</t>
        </r>
        <r>
          <rPr>
            <sz val="9"/>
            <color indexed="81"/>
            <rFont val="Tahoma"/>
            <family val="2"/>
          </rPr>
          <t xml:space="preserve">
This category will feed into "non-specified" in the output charts</t>
        </r>
      </text>
    </comment>
    <comment ref="C54" authorId="0" shapeId="0">
      <text>
        <r>
          <rPr>
            <b/>
            <sz val="9"/>
            <color indexed="81"/>
            <rFont val="Tahoma"/>
            <family val="2"/>
          </rPr>
          <t>Author:</t>
        </r>
        <r>
          <rPr>
            <sz val="9"/>
            <color indexed="81"/>
            <rFont val="Tahoma"/>
            <family val="2"/>
          </rPr>
          <t xml:space="preserve">
Included in all approaches except Simplified Screening 1 &amp; 2</t>
        </r>
      </text>
    </comment>
    <comment ref="B69" authorId="0" shapeId="0">
      <text>
        <r>
          <rPr>
            <b/>
            <sz val="9"/>
            <color indexed="81"/>
            <rFont val="Tahoma"/>
            <family val="2"/>
          </rPr>
          <t>Author:</t>
        </r>
        <r>
          <rPr>
            <sz val="9"/>
            <color indexed="81"/>
            <rFont val="Tahoma"/>
            <family val="2"/>
          </rPr>
          <t xml:space="preserve">
Refrigerants to feed into drop down list</t>
        </r>
      </text>
    </comment>
    <comment ref="C101" authorId="0" shapeId="0">
      <text>
        <r>
          <rPr>
            <b/>
            <sz val="9"/>
            <color indexed="81"/>
            <rFont val="Tahoma"/>
            <family val="2"/>
          </rPr>
          <t>Author:</t>
        </r>
        <r>
          <rPr>
            <sz val="9"/>
            <color indexed="81"/>
            <rFont val="Tahoma"/>
            <family val="2"/>
          </rPr>
          <t xml:space="preserve">
Not currently in FEMP</t>
        </r>
      </text>
    </comment>
    <comment ref="G101" authorId="0" shapeId="0">
      <text>
        <r>
          <rPr>
            <b/>
            <sz val="9"/>
            <color indexed="81"/>
            <rFont val="Tahoma"/>
            <family val="2"/>
          </rPr>
          <t>Author:</t>
        </r>
        <r>
          <rPr>
            <sz val="9"/>
            <color indexed="81"/>
            <rFont val="Tahoma"/>
            <family val="2"/>
          </rPr>
          <t xml:space="preserve">
Source: http://www.epa.gov/ozone/snap/refrigerants/refblend.html</t>
        </r>
      </text>
    </comment>
    <comment ref="J101" authorId="0" shapeId="0">
      <text>
        <r>
          <rPr>
            <b/>
            <sz val="9"/>
            <color indexed="81"/>
            <rFont val="Tahoma"/>
            <family val="2"/>
          </rPr>
          <t>Author:</t>
        </r>
        <r>
          <rPr>
            <sz val="9"/>
            <color indexed="81"/>
            <rFont val="Tahoma"/>
            <family val="2"/>
          </rPr>
          <t xml:space="preserve">
Source: http://www.epa.gov/ozone/snap/refrigerants/refblend.html</t>
        </r>
      </text>
    </comment>
    <comment ref="K101" authorId="0" shapeId="0">
      <text>
        <r>
          <rPr>
            <b/>
            <sz val="9"/>
            <color indexed="81"/>
            <rFont val="Tahoma"/>
            <family val="2"/>
          </rPr>
          <t>Author:</t>
        </r>
        <r>
          <rPr>
            <sz val="9"/>
            <color indexed="81"/>
            <rFont val="Tahoma"/>
            <family val="2"/>
          </rPr>
          <t xml:space="preserve">
Source: http://www.epa.gov/ozone/snap/refrigerants/refblend.html</t>
        </r>
      </text>
    </comment>
  </commentList>
</comments>
</file>

<file path=xl/comments14.xml><?xml version="1.0" encoding="utf-8"?>
<comments xmlns="http://schemas.openxmlformats.org/spreadsheetml/2006/main">
  <authors>
    <author>Author</author>
    <author>Cory Jemison</author>
    <author>CJ</author>
  </authors>
  <commentList>
    <comment ref="F4" authorId="0" shapeId="0">
      <text>
        <r>
          <rPr>
            <b/>
            <sz val="9"/>
            <color indexed="81"/>
            <rFont val="Tahoma"/>
            <family val="2"/>
          </rPr>
          <t>Author:</t>
        </r>
        <r>
          <rPr>
            <sz val="9"/>
            <color indexed="81"/>
            <rFont val="Tahoma"/>
            <family val="2"/>
          </rPr>
          <t xml:space="preserve">
Updated based on Oct 2014 memo to EPA: "Proposed Updates to the Vintaging Model End-of-Life (EOL) Loss Rates for the Refrigeration/AC Sector"</t>
        </r>
      </text>
    </comment>
    <comment ref="G4" authorId="0" shapeId="0">
      <text>
        <r>
          <rPr>
            <b/>
            <sz val="9"/>
            <color indexed="81"/>
            <rFont val="Tahoma"/>
            <family val="2"/>
          </rPr>
          <t>Author:</t>
        </r>
        <r>
          <rPr>
            <sz val="9"/>
            <color indexed="81"/>
            <rFont val="Tahoma"/>
            <family val="2"/>
          </rPr>
          <t xml:space="preserve">
Updated based on Oct 2014 memo to EPA: "Proposed Updates to the Vintaging Model End-of-Life (EOL) Loss Rates for the Refrigeration/AC Sector"</t>
        </r>
      </text>
    </comment>
    <comment ref="Q4" authorId="0" shapeId="0">
      <text>
        <r>
          <rPr>
            <b/>
            <sz val="9"/>
            <color indexed="81"/>
            <rFont val="Tahoma"/>
            <family val="2"/>
          </rPr>
          <t>Author:</t>
        </r>
        <r>
          <rPr>
            <sz val="9"/>
            <color indexed="81"/>
            <rFont val="Tahoma"/>
            <family val="2"/>
          </rPr>
          <t xml:space="preserve">
Source: ICF International survey of compact refrigerator models. See email from Kasey Knoell 10/15/14</t>
        </r>
      </text>
    </comment>
    <comment ref="D5" authorId="0" shapeId="0">
      <text>
        <r>
          <rPr>
            <b/>
            <sz val="9"/>
            <color indexed="81"/>
            <rFont val="Tahoma"/>
            <family val="2"/>
          </rPr>
          <t>Author:</t>
        </r>
        <r>
          <rPr>
            <sz val="9"/>
            <color indexed="81"/>
            <rFont val="Tahoma"/>
            <family val="2"/>
          </rPr>
          <t xml:space="preserve">
1%, but it is assumed the installation emissions are done offsite.</t>
        </r>
      </text>
    </comment>
    <comment ref="D6" authorId="0" shapeId="0">
      <text>
        <r>
          <rPr>
            <b/>
            <sz val="9"/>
            <color indexed="81"/>
            <rFont val="Tahoma"/>
            <family val="2"/>
          </rPr>
          <t>Author:</t>
        </r>
        <r>
          <rPr>
            <sz val="9"/>
            <color indexed="81"/>
            <rFont val="Tahoma"/>
            <family val="2"/>
          </rPr>
          <t xml:space="preserve">
1%, but it is assumed the installation emissions are done offsite.</t>
        </r>
      </text>
    </comment>
    <comment ref="E6" authorId="0" shapeId="0">
      <text>
        <r>
          <rPr>
            <b/>
            <sz val="9"/>
            <color indexed="81"/>
            <rFont val="Tahoma"/>
            <family val="2"/>
          </rPr>
          <t>Author:</t>
        </r>
        <r>
          <rPr>
            <sz val="9"/>
            <color indexed="81"/>
            <rFont val="Tahoma"/>
            <family val="2"/>
          </rPr>
          <t xml:space="preserve">
10/14/14 email from Kasey Knoell - data from Vintaging Model.</t>
        </r>
      </text>
    </comment>
    <comment ref="F6" authorId="0" shapeId="0">
      <text>
        <r>
          <rPr>
            <b/>
            <sz val="9"/>
            <color indexed="81"/>
            <rFont val="Tahoma"/>
            <family val="2"/>
          </rPr>
          <t>Author:</t>
        </r>
        <r>
          <rPr>
            <sz val="9"/>
            <color indexed="81"/>
            <rFont val="Tahoma"/>
            <family val="2"/>
          </rPr>
          <t xml:space="preserve">
Weighted avg of window and PTAC</t>
        </r>
      </text>
    </comment>
    <comment ref="G6" authorId="0" shapeId="0">
      <text>
        <r>
          <rPr>
            <b/>
            <sz val="9"/>
            <color indexed="81"/>
            <rFont val="Tahoma"/>
            <family val="2"/>
          </rPr>
          <t>Author:</t>
        </r>
        <r>
          <rPr>
            <sz val="9"/>
            <color indexed="81"/>
            <rFont val="Tahoma"/>
            <family val="2"/>
          </rPr>
          <t xml:space="preserve">
Weighted avg of window and PTAC</t>
        </r>
      </text>
    </comment>
    <comment ref="D7" authorId="0" shapeId="0">
      <text>
        <r>
          <rPr>
            <b/>
            <sz val="9"/>
            <color indexed="81"/>
            <rFont val="Tahoma"/>
            <family val="2"/>
          </rPr>
          <t>Author:</t>
        </r>
        <r>
          <rPr>
            <sz val="9"/>
            <color indexed="81"/>
            <rFont val="Tahoma"/>
            <family val="2"/>
          </rPr>
          <t xml:space="preserve">
1%, but it is assumed the installation emissions are done offsite.</t>
        </r>
      </text>
    </comment>
    <comment ref="D8" authorId="0" shapeId="0">
      <text>
        <r>
          <rPr>
            <b/>
            <sz val="9"/>
            <color indexed="81"/>
            <rFont val="Tahoma"/>
            <family val="2"/>
          </rPr>
          <t>Author:</t>
        </r>
        <r>
          <rPr>
            <sz val="9"/>
            <color indexed="81"/>
            <rFont val="Tahoma"/>
            <family val="2"/>
          </rPr>
          <t xml:space="preserve">
1%, but it is assumed the installation emissions are done offsite.</t>
        </r>
      </text>
    </comment>
    <comment ref="B9" authorId="0" shapeId="0">
      <text>
        <r>
          <rPr>
            <b/>
            <sz val="9"/>
            <color indexed="81"/>
            <rFont val="Tahoma"/>
            <family val="2"/>
          </rPr>
          <t>Author:</t>
        </r>
        <r>
          <rPr>
            <sz val="9"/>
            <color indexed="81"/>
            <rFont val="Tahoma"/>
            <family val="2"/>
          </rPr>
          <t xml:space="preserve">
Currently not available in the tool</t>
        </r>
      </text>
    </comment>
    <comment ref="D13" authorId="0" shapeId="0">
      <text>
        <r>
          <rPr>
            <b/>
            <sz val="9"/>
            <color indexed="81"/>
            <rFont val="Tahoma"/>
            <family val="2"/>
          </rPr>
          <t>Author:</t>
        </r>
        <r>
          <rPr>
            <sz val="9"/>
            <color indexed="81"/>
            <rFont val="Tahoma"/>
            <family val="2"/>
          </rPr>
          <t xml:space="preserve">
3%, but it is assumed the installation emissions are done offsite.</t>
        </r>
      </text>
    </comment>
    <comment ref="H13" authorId="0" shapeId="0">
      <text>
        <r>
          <rPr>
            <b/>
            <sz val="9"/>
            <color indexed="81"/>
            <rFont val="Tahoma"/>
            <family val="2"/>
          </rPr>
          <t>Author:</t>
        </r>
        <r>
          <rPr>
            <sz val="9"/>
            <color indexed="81"/>
            <rFont val="Tahoma"/>
            <family val="2"/>
          </rPr>
          <t xml:space="preserve">
Confirmation from Dave Godwin (EPA), see email from Pam Mathis 10/14/14 for Small Retail Food</t>
        </r>
      </text>
    </comment>
    <comment ref="D14" authorId="0" shapeId="0">
      <text>
        <r>
          <rPr>
            <b/>
            <sz val="9"/>
            <color indexed="81"/>
            <rFont val="Tahoma"/>
            <family val="2"/>
          </rPr>
          <t>Author:</t>
        </r>
        <r>
          <rPr>
            <sz val="9"/>
            <color indexed="81"/>
            <rFont val="Tahoma"/>
            <family val="2"/>
          </rPr>
          <t xml:space="preserve">
Confirmation from Dave Godwin (EPA), see email from Pam Mathis 10/14/14 for Large Retail Food</t>
        </r>
      </text>
    </comment>
    <comment ref="D15" authorId="0" shapeId="0">
      <text>
        <r>
          <rPr>
            <b/>
            <sz val="9"/>
            <color indexed="81"/>
            <rFont val="Tahoma"/>
            <family val="2"/>
          </rPr>
          <t>Author:</t>
        </r>
        <r>
          <rPr>
            <sz val="9"/>
            <color indexed="81"/>
            <rFont val="Tahoma"/>
            <family val="2"/>
          </rPr>
          <t xml:space="preserve">
Confirmation from Dave Godwin (EPA), see email from Pam Mathis 10/14/14 for Large Retail Food</t>
        </r>
      </text>
    </comment>
    <comment ref="D16" authorId="0" shapeId="0">
      <text>
        <r>
          <rPr>
            <b/>
            <sz val="9"/>
            <color indexed="81"/>
            <rFont val="Tahoma"/>
            <family val="2"/>
          </rPr>
          <t>Author:</t>
        </r>
        <r>
          <rPr>
            <sz val="9"/>
            <color indexed="81"/>
            <rFont val="Tahoma"/>
            <family val="2"/>
          </rPr>
          <t xml:space="preserve">
1%, but it is assumed the installation emissions are done offsite.</t>
        </r>
      </text>
    </comment>
    <comment ref="D17" authorId="0" shapeId="0">
      <text>
        <r>
          <rPr>
            <b/>
            <sz val="9"/>
            <color indexed="81"/>
            <rFont val="Tahoma"/>
            <family val="2"/>
          </rPr>
          <t>Author:</t>
        </r>
        <r>
          <rPr>
            <sz val="9"/>
            <color indexed="81"/>
            <rFont val="Tahoma"/>
            <family val="2"/>
          </rPr>
          <t xml:space="preserve">
1%, but it is assumed the installation emissions are done offsite.</t>
        </r>
      </text>
    </comment>
    <comment ref="D18" authorId="0" shapeId="0">
      <text>
        <r>
          <rPr>
            <b/>
            <sz val="9"/>
            <color indexed="81"/>
            <rFont val="Tahoma"/>
            <family val="2"/>
          </rPr>
          <t>Author:</t>
        </r>
        <r>
          <rPr>
            <sz val="9"/>
            <color indexed="81"/>
            <rFont val="Tahoma"/>
            <family val="2"/>
          </rPr>
          <t xml:space="preserve">
0.5%, but it is assumed the installation emissions are done offsite.</t>
        </r>
      </text>
    </comment>
    <comment ref="E18" authorId="0" shapeId="0">
      <text>
        <r>
          <rPr>
            <b/>
            <sz val="9"/>
            <color indexed="81"/>
            <rFont val="Tahoma"/>
            <family val="2"/>
          </rPr>
          <t>Author:</t>
        </r>
        <r>
          <rPr>
            <sz val="9"/>
            <color indexed="81"/>
            <rFont val="Tahoma"/>
            <family val="2"/>
          </rPr>
          <t xml:space="preserve">
6/18/14 Email from Kasey Knoell on VM updates. 6.6% from operational leaks, 2.3% from professional servicing.</t>
        </r>
      </text>
    </comment>
    <comment ref="D19" authorId="0" shapeId="0">
      <text>
        <r>
          <rPr>
            <b/>
            <sz val="9"/>
            <color indexed="81"/>
            <rFont val="Tahoma"/>
            <family val="2"/>
          </rPr>
          <t>Author:</t>
        </r>
        <r>
          <rPr>
            <sz val="9"/>
            <color indexed="81"/>
            <rFont val="Tahoma"/>
            <family val="2"/>
          </rPr>
          <t xml:space="preserve">
0.5%, but it is assumed the installation emissions are done offsite.</t>
        </r>
      </text>
    </comment>
    <comment ref="E19" authorId="0" shapeId="0">
      <text>
        <r>
          <rPr>
            <b/>
            <sz val="9"/>
            <color indexed="81"/>
            <rFont val="Tahoma"/>
            <family val="2"/>
          </rPr>
          <t>Author:</t>
        </r>
        <r>
          <rPr>
            <sz val="9"/>
            <color indexed="81"/>
            <rFont val="Tahoma"/>
            <family val="2"/>
          </rPr>
          <t xml:space="preserve">
6/18/14 Email from Kasey Knoell on VM updates. 6.6% from operational leaks, 2.3% from professional servicing.</t>
        </r>
      </text>
    </comment>
    <comment ref="D20" authorId="0" shapeId="0">
      <text>
        <r>
          <rPr>
            <b/>
            <sz val="9"/>
            <color indexed="81"/>
            <rFont val="Tahoma"/>
            <family val="2"/>
          </rPr>
          <t>Author:</t>
        </r>
        <r>
          <rPr>
            <sz val="9"/>
            <color indexed="81"/>
            <rFont val="Tahoma"/>
            <family val="2"/>
          </rPr>
          <t xml:space="preserve">
0.5%, but it is assumed the installation emissions are done offsite.</t>
        </r>
      </text>
    </comment>
    <comment ref="D24" authorId="1" shapeId="0">
      <text>
        <r>
          <rPr>
            <b/>
            <sz val="9"/>
            <color indexed="81"/>
            <rFont val="Tahoma"/>
            <family val="2"/>
          </rPr>
          <t>Cory Jemison:</t>
        </r>
        <r>
          <rPr>
            <sz val="9"/>
            <color indexed="81"/>
            <rFont val="Tahoma"/>
            <family val="2"/>
          </rPr>
          <t xml:space="preserve">
This column is not used for anything. For reference only.</t>
        </r>
      </text>
    </comment>
    <comment ref="G24" authorId="0" shapeId="0">
      <text>
        <r>
          <rPr>
            <b/>
            <sz val="9"/>
            <color indexed="81"/>
            <rFont val="Tahoma"/>
            <family val="2"/>
          </rPr>
          <t>Author:</t>
        </r>
        <r>
          <rPr>
            <sz val="9"/>
            <color indexed="81"/>
            <rFont val="Tahoma"/>
            <family val="2"/>
          </rPr>
          <t xml:space="preserve">
Revised: Estimated Installed Base, Emissions, and Emission  Reduction Potential from HFC Equipment in Federal Buildings and Vehicles (ICF 2013).</t>
        </r>
      </text>
    </comment>
    <comment ref="H24" authorId="0" shapeId="0">
      <text>
        <r>
          <rPr>
            <b/>
            <sz val="9"/>
            <color indexed="81"/>
            <rFont val="Tahoma"/>
            <family val="2"/>
          </rPr>
          <t>Author:</t>
        </r>
        <r>
          <rPr>
            <sz val="9"/>
            <color indexed="81"/>
            <rFont val="Tahoma"/>
            <family val="2"/>
          </rPr>
          <t xml:space="preserve">
This gets applied if the user only knows the building type and square feet. Accounts for AC and Cafeteria adjustments here.</t>
        </r>
      </text>
    </comment>
    <comment ref="N24" authorId="0" shapeId="0">
      <text>
        <r>
          <rPr>
            <b/>
            <sz val="9"/>
            <color indexed="81"/>
            <rFont val="Tahoma"/>
            <family val="2"/>
          </rPr>
          <t>Author:</t>
        </r>
        <r>
          <rPr>
            <sz val="9"/>
            <color indexed="81"/>
            <rFont val="Tahoma"/>
            <family val="2"/>
          </rPr>
          <t xml:space="preserve">
% of F-Gas, not CO2-e</t>
        </r>
      </text>
    </comment>
    <comment ref="O24" authorId="0" shapeId="0">
      <text>
        <r>
          <rPr>
            <b/>
            <sz val="9"/>
            <color indexed="81"/>
            <rFont val="Tahoma"/>
            <family val="2"/>
          </rPr>
          <t>Author:</t>
        </r>
        <r>
          <rPr>
            <sz val="9"/>
            <color indexed="81"/>
            <rFont val="Tahoma"/>
            <family val="2"/>
          </rPr>
          <t xml:space="preserve">
% of F-Gas, not CO2-e</t>
        </r>
      </text>
    </comment>
    <comment ref="P24" authorId="0" shapeId="0">
      <text>
        <r>
          <rPr>
            <b/>
            <sz val="9"/>
            <color indexed="81"/>
            <rFont val="Tahoma"/>
            <family val="2"/>
          </rPr>
          <t>Author:</t>
        </r>
        <r>
          <rPr>
            <sz val="9"/>
            <color indexed="81"/>
            <rFont val="Tahoma"/>
            <family val="2"/>
          </rPr>
          <t xml:space="preserve">
% of F-Gas, not CO2-e</t>
        </r>
      </text>
    </comment>
    <comment ref="R24" authorId="0" shapeId="0">
      <text>
        <r>
          <rPr>
            <b/>
            <sz val="9"/>
            <color indexed="81"/>
            <rFont val="Tahoma"/>
            <family val="2"/>
          </rPr>
          <t>Author:</t>
        </r>
        <r>
          <rPr>
            <sz val="9"/>
            <color indexed="81"/>
            <rFont val="Tahoma"/>
            <family val="2"/>
          </rPr>
          <t xml:space="preserve">
% of F-Gas, not CO2-e</t>
        </r>
      </text>
    </comment>
    <comment ref="S24" authorId="0" shapeId="0">
      <text>
        <r>
          <rPr>
            <b/>
            <sz val="9"/>
            <color indexed="81"/>
            <rFont val="Tahoma"/>
            <family val="2"/>
          </rPr>
          <t>Author:</t>
        </r>
        <r>
          <rPr>
            <sz val="9"/>
            <color indexed="81"/>
            <rFont val="Tahoma"/>
            <family val="2"/>
          </rPr>
          <t xml:space="preserve">
% of F-Gas, not CO2-e</t>
        </r>
      </text>
    </comment>
    <comment ref="T24" authorId="0" shapeId="0">
      <text>
        <r>
          <rPr>
            <b/>
            <sz val="9"/>
            <color indexed="81"/>
            <rFont val="Tahoma"/>
            <family val="2"/>
          </rPr>
          <t>Author:</t>
        </r>
        <r>
          <rPr>
            <sz val="9"/>
            <color indexed="81"/>
            <rFont val="Tahoma"/>
            <family val="2"/>
          </rPr>
          <t xml:space="preserve">
% of F-Gas, not CO2-e</t>
        </r>
      </text>
    </comment>
    <comment ref="U24" authorId="0" shapeId="0">
      <text>
        <r>
          <rPr>
            <b/>
            <sz val="9"/>
            <color indexed="81"/>
            <rFont val="Tahoma"/>
            <family val="2"/>
          </rPr>
          <t>Author:</t>
        </r>
        <r>
          <rPr>
            <sz val="9"/>
            <color indexed="81"/>
            <rFont val="Tahoma"/>
            <family val="2"/>
          </rPr>
          <t xml:space="preserve">
if it's a mixed gas this will incorporate the weighted GWP of the gases</t>
        </r>
      </text>
    </comment>
    <comment ref="V24" authorId="0" shapeId="0">
      <text>
        <r>
          <rPr>
            <b/>
            <sz val="9"/>
            <color indexed="81"/>
            <rFont val="Tahoma"/>
            <family val="2"/>
          </rPr>
          <t>Author:</t>
        </r>
        <r>
          <rPr>
            <sz val="9"/>
            <color indexed="81"/>
            <rFont val="Tahoma"/>
            <family val="2"/>
          </rPr>
          <t xml:space="preserve">
While values in the other columns are based on F-Gas emissions, this column takes into account the GWP of the gas(es)</t>
        </r>
      </text>
    </comment>
    <comment ref="W24" authorId="0" shapeId="0">
      <text>
        <r>
          <rPr>
            <b/>
            <sz val="9"/>
            <color indexed="81"/>
            <rFont val="Tahoma"/>
            <family val="2"/>
          </rPr>
          <t>Author:</t>
        </r>
        <r>
          <rPr>
            <sz val="9"/>
            <color indexed="81"/>
            <rFont val="Tahoma"/>
            <family val="2"/>
          </rPr>
          <t xml:space="preserve">
While values in the other columns are based on F-Gas emissions, this column takes into account the GWP of the gas(es)</t>
        </r>
      </text>
    </comment>
    <comment ref="C25" authorId="0" shapeId="0">
      <text>
        <r>
          <rPr>
            <b/>
            <sz val="9"/>
            <color indexed="81"/>
            <rFont val="Tahoma"/>
            <family val="2"/>
          </rPr>
          <t>Author:</t>
        </r>
        <r>
          <rPr>
            <sz val="9"/>
            <color indexed="81"/>
            <rFont val="Tahoma"/>
            <family val="2"/>
          </rPr>
          <t xml:space="preserve">
Buildings primarily used for office space or military headquarters.</t>
        </r>
      </text>
    </comment>
    <comment ref="G25" authorId="0" shapeId="0">
      <text>
        <r>
          <rPr>
            <b/>
            <sz val="9"/>
            <color indexed="81"/>
            <rFont val="Tahoma"/>
            <family val="2"/>
          </rPr>
          <t>Author:</t>
        </r>
        <r>
          <rPr>
            <sz val="9"/>
            <color indexed="81"/>
            <rFont val="Tahoma"/>
            <family val="2"/>
          </rPr>
          <t xml:space="preserve">
The DOE Medium Office Reference Building model assumes a total floor area of 53,600 ft2 with three floors.   Assuming two refrigerators per floor yields 0.112 refrigerators per thousand square feet. </t>
        </r>
      </text>
    </comment>
    <comment ref="C28" authorId="0" shapeId="0">
      <text>
        <r>
          <rPr>
            <b/>
            <sz val="9"/>
            <color indexed="81"/>
            <rFont val="Tahoma"/>
            <family val="2"/>
          </rPr>
          <t>Author:</t>
        </r>
        <r>
          <rPr>
            <sz val="9"/>
            <color indexed="81"/>
            <rFont val="Tahoma"/>
            <family val="2"/>
          </rPr>
          <t xml:space="preserve">
Buildings used primarily for formally organized instruction, such as schools for dependent children of Federal employees, Indian schools, and military training buildings including specialized training facilities.</t>
        </r>
      </text>
    </comment>
    <comment ref="G28" authorId="0" shapeId="0">
      <text>
        <r>
          <rPr>
            <b/>
            <sz val="9"/>
            <color indexed="81"/>
            <rFont val="Tahoma"/>
            <family val="2"/>
          </rPr>
          <t>Author:</t>
        </r>
        <r>
          <rPr>
            <sz val="9"/>
            <color indexed="81"/>
            <rFont val="Tahoma"/>
            <family val="2"/>
          </rPr>
          <t xml:space="preserve">
The DOE Medium Office Reference Building model assumes a total floor area of 53,600 ft2 with three floors.   Assuming two refrigerators per floor yields 0.112 refrigerators per thousand square feet. </t>
        </r>
      </text>
    </comment>
    <comment ref="G29" authorId="0" shapeId="0">
      <text>
        <r>
          <rPr>
            <b/>
            <sz val="9"/>
            <color indexed="81"/>
            <rFont val="Tahoma"/>
            <family val="2"/>
          </rPr>
          <t xml:space="preserve">Kasey Knoell: </t>
        </r>
        <r>
          <rPr>
            <sz val="9"/>
            <color indexed="81"/>
            <rFont val="Tahoma"/>
            <family val="2"/>
          </rPr>
          <t>Based on ICF judgment and Department of Education school construction guidelines, ICF assumed an average institutional building size of 74,671 sq ft. Based on previous research documented in ICF Memorandum to Dave Godwin, EPA (March 8, 2012) Proposed Updates to the Vintaging Model’s Retail Food End Use, it was assumed that an average of 7 small retail food refrigeration units (i.e., stand-alone units) are installed in each cafeteria. ICF assumed an average of one cafeteria per school. Therefore, ICF assumes 7 stand-alone units per 74,671 sq ft of buidling space.</t>
        </r>
      </text>
    </comment>
    <comment ref="G30" authorId="0" shapeId="0">
      <text>
        <r>
          <rPr>
            <b/>
            <sz val="9"/>
            <color indexed="81"/>
            <rFont val="Tahoma"/>
            <family val="2"/>
          </rPr>
          <t>Author:</t>
        </r>
        <r>
          <rPr>
            <sz val="9"/>
            <color indexed="81"/>
            <rFont val="Tahoma"/>
            <family val="2"/>
          </rPr>
          <t xml:space="preserve">
Based on ICF judgment and Department of Education school construction guidelines, ICF assumed an average institutional building size of 74,671 sq ft. Based on previous research documented in ICF Memorandum to Dave Godwin, EPA (March 8, 2012) Proposed Updates to the Vintaging Model’s Retail Food End Use, it was assumed that an average of 3 medium retail food refrigeration units (i.e., small condensing unit systems) are installed in each cafeteria. ICF assumed an average of one cafeteria per school. Therefore, ICF assumes 3 condensing units per 74,671 sq ft of buidling space.</t>
        </r>
      </text>
    </comment>
    <comment ref="C33" authorId="0" shapeId="0">
      <text>
        <r>
          <rPr>
            <b/>
            <sz val="9"/>
            <color indexed="81"/>
            <rFont val="Tahoma"/>
            <family val="2"/>
          </rPr>
          <t>Author:</t>
        </r>
        <r>
          <rPr>
            <sz val="9"/>
            <color indexed="81"/>
            <rFont val="Tahoma"/>
            <family val="2"/>
          </rPr>
          <t xml:space="preserve">
Buildings primarily used as dwellings for families/dependents. Includes apartment houses, single houses, row houses, public housing, military personnel housing, Federal employee housing, and housing for
institutional personnel.</t>
        </r>
      </text>
    </comment>
    <comment ref="G33" authorId="0" shapeId="0">
      <text>
        <r>
          <rPr>
            <b/>
            <sz val="9"/>
            <color indexed="81"/>
            <rFont val="Tahoma"/>
            <family val="2"/>
          </rPr>
          <t>Author:</t>
        </r>
        <r>
          <rPr>
            <sz val="9"/>
            <color indexed="81"/>
            <rFont val="Tahoma"/>
            <family val="2"/>
          </rPr>
          <t xml:space="preserve">
State appliance saturation surveys in Massachusetts and California suggest an average of approximately 1 refrigerator per unit in large multi-unit buildings.   Dividing the average square footage of a U.S. renter-occupied unit (assumed to be a reasonable proxy for federal family housing units) of 1,300 ft2 by one refrigerator per home yields 0.769 refrigerators per thousand square feet.</t>
        </r>
      </text>
    </comment>
    <comment ref="H34" authorId="0" shapeId="0">
      <text>
        <r>
          <rPr>
            <b/>
            <sz val="9"/>
            <color indexed="81"/>
            <rFont val="Tahoma"/>
            <family val="2"/>
          </rPr>
          <t>Author:</t>
        </r>
        <r>
          <rPr>
            <sz val="9"/>
            <color indexed="81"/>
            <rFont val="Tahoma"/>
            <family val="2"/>
          </rPr>
          <t xml:space="preserve">
50/50 split between Window Units and Residential Unitary AC</t>
        </r>
      </text>
    </comment>
    <comment ref="H35" authorId="0" shapeId="0">
      <text>
        <r>
          <rPr>
            <b/>
            <sz val="9"/>
            <color indexed="81"/>
            <rFont val="Tahoma"/>
            <family val="2"/>
          </rPr>
          <t>Author:</t>
        </r>
        <r>
          <rPr>
            <sz val="9"/>
            <color indexed="81"/>
            <rFont val="Tahoma"/>
            <family val="2"/>
          </rPr>
          <t xml:space="preserve">
50/50 split between Window Units and Residential Unitary AC</t>
        </r>
      </text>
    </comment>
    <comment ref="C36" authorId="0" shapeId="0">
      <text>
        <r>
          <rPr>
            <b/>
            <sz val="9"/>
            <color indexed="81"/>
            <rFont val="Tahoma"/>
            <family val="2"/>
          </rPr>
          <t>Author:</t>
        </r>
        <r>
          <rPr>
            <sz val="9"/>
            <color indexed="81"/>
            <rFont val="Tahoma"/>
            <family val="2"/>
          </rPr>
          <t xml:space="preserve">
Buildings primarily used as dwellings for families/dependents. Includes apartment houses, single houses, row houses, public housing, military personnel housing, Federal employee housing, and housing for institutional personnel.</t>
        </r>
      </text>
    </comment>
    <comment ref="G36" authorId="0" shapeId="0">
      <text>
        <r>
          <rPr>
            <b/>
            <sz val="9"/>
            <color indexed="81"/>
            <rFont val="Tahoma"/>
            <family val="2"/>
          </rPr>
          <t>Author:</t>
        </r>
        <r>
          <rPr>
            <sz val="9"/>
            <color indexed="81"/>
            <rFont val="Tahoma"/>
            <family val="2"/>
          </rPr>
          <t xml:space="preserve">
The U.S. military adopted a “two plus two” common construction standard in 1995 that provides for two people to share a 180 ft2 room (including closet space). Assuming one compact refrigerator per room  yields 5.56 compact refrigerators per thousand square feet. This is then adjusted by the ratio of  compact refrigerator capacity to standard household refrigerator capacity.</t>
        </r>
      </text>
    </comment>
    <comment ref="H37" authorId="0" shapeId="0">
      <text>
        <r>
          <rPr>
            <b/>
            <sz val="9"/>
            <color indexed="81"/>
            <rFont val="Tahoma"/>
            <family val="2"/>
          </rPr>
          <t>Author:</t>
        </r>
        <r>
          <rPr>
            <sz val="9"/>
            <color indexed="81"/>
            <rFont val="Tahoma"/>
            <family val="2"/>
          </rPr>
          <t xml:space="preserve">
50/50 split between Window Units and Residential Unitary AC</t>
        </r>
      </text>
    </comment>
    <comment ref="H38" authorId="0" shapeId="0">
      <text>
        <r>
          <rPr>
            <b/>
            <sz val="9"/>
            <color indexed="81"/>
            <rFont val="Tahoma"/>
            <family val="2"/>
          </rPr>
          <t>Author:</t>
        </r>
        <r>
          <rPr>
            <sz val="9"/>
            <color indexed="81"/>
            <rFont val="Tahoma"/>
            <family val="2"/>
          </rPr>
          <t xml:space="preserve">
50/50 split between Window Units and Residential Unitary AC</t>
        </r>
      </text>
    </comment>
    <comment ref="C39" authorId="0" shapeId="0">
      <text>
        <r>
          <rPr>
            <b/>
            <sz val="9"/>
            <color indexed="81"/>
            <rFont val="Tahoma"/>
            <family val="2"/>
          </rPr>
          <t>Author:</t>
        </r>
        <r>
          <rPr>
            <sz val="9"/>
            <color indexed="81"/>
            <rFont val="Tahoma"/>
            <family val="2"/>
          </rPr>
          <t xml:space="preserve">
Buildings or portions of buildings used as a Post Office.</t>
        </r>
      </text>
    </comment>
    <comment ref="G39" authorId="0" shapeId="0">
      <text>
        <r>
          <rPr>
            <b/>
            <sz val="9"/>
            <color indexed="81"/>
            <rFont val="Tahoma"/>
            <family val="2"/>
          </rPr>
          <t>Author:</t>
        </r>
        <r>
          <rPr>
            <sz val="9"/>
            <color indexed="81"/>
            <rFont val="Tahoma"/>
            <family val="2"/>
          </rPr>
          <t xml:space="preserve">
Assume the same as an Office</t>
        </r>
      </text>
    </comment>
    <comment ref="G40" authorId="0" shapeId="0">
      <text>
        <r>
          <rPr>
            <b/>
            <sz val="9"/>
            <color indexed="81"/>
            <rFont val="Tahoma"/>
            <family val="2"/>
          </rPr>
          <t>Author:</t>
        </r>
        <r>
          <rPr>
            <sz val="9"/>
            <color indexed="81"/>
            <rFont val="Tahoma"/>
            <family val="2"/>
          </rPr>
          <t xml:space="preserve">
Assume the same as an Office</t>
        </r>
      </text>
    </comment>
    <comment ref="G42" authorId="0" shapeId="0">
      <text>
        <r>
          <rPr>
            <b/>
            <sz val="9"/>
            <color indexed="81"/>
            <rFont val="Tahoma"/>
            <family val="2"/>
          </rPr>
          <t>Author:</t>
        </r>
        <r>
          <rPr>
            <sz val="9"/>
            <color indexed="81"/>
            <rFont val="Tahoma"/>
            <family val="2"/>
          </rPr>
          <t xml:space="preserve">
The DOE Medium Office Reference Building model assumes a total floor area of 53,600 ft2 with three floors.   Assuming two refrigerators per floor yields 0.112 refrigerators per thousand square feet. </t>
        </r>
      </text>
    </comment>
    <comment ref="G43" authorId="0" shapeId="0">
      <text>
        <r>
          <rPr>
            <b/>
            <sz val="9"/>
            <color indexed="81"/>
            <rFont val="Tahoma"/>
            <family val="2"/>
          </rPr>
          <t>Author:</t>
        </r>
        <r>
          <rPr>
            <sz val="9"/>
            <color indexed="81"/>
            <rFont val="Tahoma"/>
            <family val="2"/>
          </rPr>
          <t xml:space="preserve">
Based on ICF judgment and Department of Education school construction guidelines, ICF assumed an average institutional building size of 74,671 sq ft. Based on previous research documented in ICF Memorandum to Dave Godwin, EPA (March 8, 2012) Proposed Updates to the Vintaging Model’s Retail Food End Use, it was assumed that an average of 7 small retail food refrigeration units (i.e., stand-alone units) and 3 medium retail food refrigeration units (i.e., small condensing unit systems) are installed in each cafeteria. ICF assumed an average of one cafeteria per prison/detention center. Therefore, ICF assumes 7 stand-alone units per 74,671 sq ft of buidling space.</t>
        </r>
      </text>
    </comment>
    <comment ref="G44" authorId="0" shapeId="0">
      <text>
        <r>
          <rPr>
            <b/>
            <sz val="9"/>
            <color indexed="81"/>
            <rFont val="Tahoma"/>
            <family val="2"/>
          </rPr>
          <t>Author:</t>
        </r>
        <r>
          <rPr>
            <sz val="9"/>
            <color indexed="81"/>
            <rFont val="Tahoma"/>
            <family val="2"/>
          </rPr>
          <t xml:space="preserve">
Based on ICF judgment and Department of Education school construction guidelines, ICF assumed an average institutional building size of 74,671 sq ft. Based on previous research documented in ICF Memorandum to Dave Godwin, EPA (March 8, 2012) Proposed Updates to the Vintaging Model’s Retail Food End Use, it was assumed that an average of 3 medium retail food refrigeration units (i.e., small condensing unit systems) are installed in each cafeteria. ICF assumed an average of one cafeteria per prison/detention center. Therefore, ICF assumes 3 condensing units per 74,671 sq ft of buidling space.</t>
        </r>
      </text>
    </comment>
    <comment ref="G45" authorId="0" shapeId="0">
      <text>
        <r>
          <rPr>
            <b/>
            <sz val="9"/>
            <color indexed="81"/>
            <rFont val="Tahoma"/>
            <family val="2"/>
          </rPr>
          <t>Author:</t>
        </r>
        <r>
          <rPr>
            <sz val="9"/>
            <color indexed="81"/>
            <rFont val="Tahoma"/>
            <family val="2"/>
          </rPr>
          <t xml:space="preserve">
Assume the same as a School</t>
        </r>
      </text>
    </comment>
    <comment ref="G46" authorId="0" shapeId="0">
      <text>
        <r>
          <rPr>
            <b/>
            <sz val="9"/>
            <color indexed="81"/>
            <rFont val="Tahoma"/>
            <family val="2"/>
          </rPr>
          <t>Author:</t>
        </r>
        <r>
          <rPr>
            <sz val="9"/>
            <color indexed="81"/>
            <rFont val="Tahoma"/>
            <family val="2"/>
          </rPr>
          <t xml:space="preserve">
Assume the same as a School</t>
        </r>
      </text>
    </comment>
    <comment ref="C47" authorId="0" shapeId="0">
      <text>
        <r>
          <rPr>
            <b/>
            <sz val="9"/>
            <color indexed="81"/>
            <rFont val="Tahoma"/>
            <family val="2"/>
          </rPr>
          <t>Author:</t>
        </r>
        <r>
          <rPr>
            <sz val="9"/>
            <color indexed="81"/>
            <rFont val="Tahoma"/>
            <family val="2"/>
          </rPr>
          <t xml:space="preserve">
Buildings used for the housing and/or display of tangible objects or collections for the purpose of displaying said objects or collections for public view and benefit on a
regular basis.</t>
        </r>
      </text>
    </comment>
    <comment ref="C48" authorId="0" shapeId="0">
      <text>
        <r>
          <rPr>
            <b/>
            <sz val="9"/>
            <color indexed="81"/>
            <rFont val="Tahoma"/>
            <family val="2"/>
          </rPr>
          <t>Author:</t>
        </r>
        <r>
          <rPr>
            <sz val="9"/>
            <color indexed="81"/>
            <rFont val="Tahoma"/>
            <family val="2"/>
          </rPr>
          <t xml:space="preserve">
Buildings used for institutional purposes other than schools, hospitals, and prisons, such as
libraries, chapels, and out-patient clinics. This category also includes food preparation and dining facilities, buildings housing entertainment and recreational activities, and visitor’s centers.</t>
        </r>
      </text>
    </comment>
    <comment ref="G48" authorId="0" shapeId="0">
      <text>
        <r>
          <rPr>
            <b/>
            <sz val="9"/>
            <color indexed="81"/>
            <rFont val="Tahoma"/>
            <family val="2"/>
          </rPr>
          <t>Author:</t>
        </r>
        <r>
          <rPr>
            <sz val="9"/>
            <color indexed="81"/>
            <rFont val="Tahoma"/>
            <family val="2"/>
          </rPr>
          <t xml:space="preserve">
Based on ICF judgment and Department of Education school construction guidelines, ICF assumed an average institutional building size of 74,671 sq ft. Based on previous research documented in ICF Memorandum to Dave Godwin, EPA (March 8, 2012) Proposed Updates to the Vintaging Model’s Retail Food End Use, it was assumed that an average of 7 small retail food refrigeration units (i.e., stand-alone units) are installed in each cafeteria. ICF assumed an average of one cafeteria per other institutional use buidling. Therefore, ICF assumes 7 stand-alone units per 74,671 sq ft of buidling space.ft</t>
        </r>
      </text>
    </comment>
    <comment ref="G49" authorId="0" shapeId="0">
      <text>
        <r>
          <rPr>
            <b/>
            <sz val="9"/>
            <color indexed="81"/>
            <rFont val="Tahoma"/>
            <family val="2"/>
          </rPr>
          <t>Author:</t>
        </r>
        <r>
          <rPr>
            <sz val="9"/>
            <color indexed="81"/>
            <rFont val="Tahoma"/>
            <family val="2"/>
          </rPr>
          <t xml:space="preserve">
Based on ICF judgment and Department of Education school construction guidelines, ICF assumed an average institutional building size of 74,671 sq ft. Based on previous research documented in ICF Memorandum to Dave Godwin, EPA (March 8, 2012) Proposed Updates to the Vintaging Model’s Retail Food End Use, it was assumed that an average of 3 medium retail food refrigeration units (i.e., small condensing unit systems) are installed in each cafeteria. ICF assumed an average of one cafeteria per other institutional use buidling. Therefore, ICF assumes 3 condensing units per 74,671 sq ft of buidling space.</t>
        </r>
      </text>
    </comment>
    <comment ref="C53" authorId="0" shapeId="0">
      <text>
        <r>
          <rPr>
            <b/>
            <sz val="9"/>
            <color indexed="81"/>
            <rFont val="Tahoma"/>
            <family val="2"/>
          </rPr>
          <t>Author:</t>
        </r>
        <r>
          <rPr>
            <sz val="9"/>
            <color indexed="81"/>
            <rFont val="Tahoma"/>
            <family val="2"/>
          </rPr>
          <t xml:space="preserve">
Warehouses: Buildings used for storage, such as
ammunition storage, covered sheds, and buildings primarily used for storage of vehicles or materials. Also included are underground or earth covered ammunition storage bunkers and magazines. This category excludes water reservoirs and petroleum, oil, and lubricant (POL) storage tanks which are storage structures.
Service: Buildings used for service activities, such as
maintenance and repair shops, dry cleaning plants, post
exchange stores, airport hangars, and buildings primarily
used for vehicle maintenance and repair.
Industrial: Buildings specifically designed and primarily
used for production or manufacturing, such as the production or manufacture of ammunition, aircraft, ships, vehicles, electronic equipment, fish production, chemicals, aluminum, and magnesium. Included are buildings that house utility plants or utility system components such as pump stations or valves.</t>
        </r>
      </text>
    </comment>
    <comment ref="C57" authorId="0" shapeId="0">
      <text>
        <r>
          <rPr>
            <b/>
            <sz val="9"/>
            <color indexed="81"/>
            <rFont val="Tahoma"/>
            <family val="2"/>
          </rPr>
          <t>Author:</t>
        </r>
        <r>
          <rPr>
            <sz val="9"/>
            <color indexed="81"/>
            <rFont val="Tahoma"/>
            <family val="2"/>
          </rPr>
          <t xml:space="preserve">
Buildings used for telephone and telegraph systems, data transmission, satellite communications, and/or associated with radio towers or other communications facilities.</t>
        </r>
      </text>
    </comment>
    <comment ref="C58" authorId="0" shapeId="0">
      <text>
        <r>
          <rPr>
            <b/>
            <sz val="9"/>
            <color indexed="81"/>
            <rFont val="Tahoma"/>
            <family val="2"/>
          </rPr>
          <t>Author:</t>
        </r>
        <r>
          <rPr>
            <sz val="9"/>
            <color indexed="81"/>
            <rFont val="Tahoma"/>
            <family val="2"/>
          </rPr>
          <t xml:space="preserve">
Includes buildings that house aircraft or ship navigation and traffic aids, such as beacon lights, antenna systems, ground control approach systems, and obstruction lighting.</t>
        </r>
      </text>
    </comment>
    <comment ref="C59" authorId="0" shapeId="0">
      <text>
        <r>
          <rPr>
            <b/>
            <sz val="9"/>
            <color indexed="81"/>
            <rFont val="Tahoma"/>
            <family val="2"/>
          </rPr>
          <t xml:space="preserve">Kasey Knoell: </t>
        </r>
        <r>
          <rPr>
            <sz val="9"/>
            <color indexed="81"/>
            <rFont val="Tahoma"/>
            <family val="2"/>
          </rPr>
          <t xml:space="preserve">Buildings used primarily for furnishing in-patient diagnosis and treatment under physician supervision and
having 24-hour-a-day registered graduate nursing services. This category also includes medical laboratories used for routine testing. This category excludes buildings used directly in basic or applied medical research.
</t>
        </r>
      </text>
    </comment>
    <comment ref="G59" authorId="0" shapeId="0">
      <text>
        <r>
          <rPr>
            <b/>
            <sz val="9"/>
            <color indexed="81"/>
            <rFont val="Tahoma"/>
            <family val="2"/>
          </rPr>
          <t>Author:</t>
        </r>
        <r>
          <rPr>
            <sz val="9"/>
            <color indexed="81"/>
            <rFont val="Tahoma"/>
            <family val="2"/>
          </rPr>
          <t xml:space="preserve">
Based on ENERGY STAR Portfolio Manager-published space use information for hospitals, ICF assumed an average of 0.46 staffed hospital beds per 1,000 ft2. One refrigerator per 15 staffed hospital beds was assumed, or 0.067 refrigerators per bed, for 0.031 refrigerators per thousand square feet.</t>
        </r>
      </text>
    </comment>
    <comment ref="G60" authorId="0" shapeId="0">
      <text>
        <r>
          <rPr>
            <b/>
            <sz val="9"/>
            <color indexed="81"/>
            <rFont val="Tahoma"/>
            <family val="2"/>
          </rPr>
          <t xml:space="preserve">Kasey Knoell: </t>
        </r>
        <r>
          <rPr>
            <sz val="9"/>
            <color indexed="81"/>
            <rFont val="Tahoma"/>
            <family val="2"/>
          </rPr>
          <t xml:space="preserve">ICF assumed a medium-sized hospital has an average of 200,000 sq ft and medium hospitals are assumed to have one cafeteria. Based on previous research documented in ICF Memorandum to Dave Godwin, EPA (March 8, 2012) Proposed Updates to the Vintaging Model’s Retail Food End Use, it was assumed that an average of 7 small retail food refrigeration units (i.e., stand-alone units) are installed in each cafeteria.Therefore, ICF assumes 7 stand alone units per 200,000 sq ft.
</t>
        </r>
      </text>
    </comment>
    <comment ref="G61" authorId="0" shapeId="0">
      <text>
        <r>
          <rPr>
            <b/>
            <sz val="9"/>
            <color indexed="81"/>
            <rFont val="Tahoma"/>
            <family val="2"/>
          </rPr>
          <t>Author:</t>
        </r>
        <r>
          <rPr>
            <sz val="9"/>
            <color indexed="81"/>
            <rFont val="Tahoma"/>
            <family val="2"/>
          </rPr>
          <t xml:space="preserve">
ICF assumed a medium-sized hospital has an average of 200,000 sq ft and medium hospitals are assumed to have one cafeteria. Based on previous research documented in ICF Memorandum to Dave Godwin, EPA (March 8, 2012) Proposed Updates to the Vintaging Model’s Retail Food End Use, it was assumed that an average of 3 medium retail food refrigeration units (i.e., small condensing unit systems) are installed in each cafeteria.Therefore, ICF assumes 3 condensing units per 200,000 sq ft.</t>
        </r>
      </text>
    </comment>
    <comment ref="C64" authorId="0" shapeId="0">
      <text>
        <r>
          <rPr>
            <b/>
            <sz val="9"/>
            <color indexed="81"/>
            <rFont val="Tahoma"/>
            <family val="2"/>
          </rPr>
          <t>Author:</t>
        </r>
        <r>
          <rPr>
            <sz val="9"/>
            <color indexed="81"/>
            <rFont val="Tahoma"/>
            <family val="2"/>
          </rPr>
          <t xml:space="preserve">
Buildings used directly in basic or applied
research in the sciences (including medicine) and in engineering, such as medical laboratories; meteorological research laboratories; and buildings used in designing,developing, and testing of prototypes and processes for
chemistry and physics. This category excludes medical or industrial laboratories used for routine testing.</t>
        </r>
      </text>
    </comment>
    <comment ref="G64" authorId="0" shapeId="0">
      <text>
        <r>
          <rPr>
            <b/>
            <sz val="9"/>
            <color indexed="81"/>
            <rFont val="Tahoma"/>
            <family val="2"/>
          </rPr>
          <t>Author:</t>
        </r>
        <r>
          <rPr>
            <sz val="9"/>
            <color indexed="81"/>
            <rFont val="Tahoma"/>
            <family val="2"/>
          </rPr>
          <t xml:space="preserve">
A typical laboratory module has a minimum width of approximately 10 ft, but will vary in length based on the number of modules configured in a row, typically ranging up to an ideal length of approximately 33 ft long (National Institutes of Health 2008), or area of 330 ft2. Assume 1 domestic refrigerators per laboratory module. Therefore, 3 refrigerators per 1,000 sq ft.</t>
        </r>
      </text>
    </comment>
    <comment ref="G65" authorId="0" shapeId="0">
      <text>
        <r>
          <rPr>
            <b/>
            <sz val="9"/>
            <color indexed="81"/>
            <rFont val="Tahoma"/>
            <family val="2"/>
          </rPr>
          <t xml:space="preserve">Kasey Knoell: </t>
        </r>
        <r>
          <rPr>
            <sz val="9"/>
            <color indexed="81"/>
            <rFont val="Tahoma"/>
            <family val="2"/>
          </rPr>
          <t>Based on ICF judgment and Department of Education school construction guidelines, ICF assumed an average institutional building size of 74,671 sq ft. Based on previous research documented in ICF Memorandum to Dave Godwin, EPA (March 8, 2012) Proposed Updates to the Vintaging Model’s Retail Food End Use, it was assumed that an average of 7 small retail food refrigeration units (i.e., stand-alone units) are installed in each cafeteria. ICF assumed an average of one cafeteria per laboratory building. Therefore, ICF assumes 7 stand-alone units per 74,671 sq ft of buidling space.</t>
        </r>
      </text>
    </comment>
    <comment ref="G66" authorId="0" shapeId="0">
      <text>
        <r>
          <rPr>
            <b/>
            <sz val="9"/>
            <color indexed="81"/>
            <rFont val="Tahoma"/>
            <family val="2"/>
          </rPr>
          <t>Author:</t>
        </r>
        <r>
          <rPr>
            <sz val="9"/>
            <color indexed="81"/>
            <rFont val="Tahoma"/>
            <family val="2"/>
          </rPr>
          <t xml:space="preserve">
Based on ICF judgment and Department of Education school construction guidelines, ICF assumed an average institutional building size of 74,671 sq ft. Based on previous research documented in ICF Memorandum to Dave Godwin, EPA (March 8, 2012) Proposed Updates to the Vintaging Model’s Retail Food End Use, it was assumed that an average of 3 medium retail food refrigeration units (i.e., small condensing unit systems) are installed in each laboratory building. ICF assumed an average of one cafeteria per laboratory building. Therefore, ICF assumes 3 condensing units per 74,671 sq ft of buidling space.</t>
        </r>
      </text>
    </comment>
    <comment ref="B93" authorId="0" shapeId="0">
      <text>
        <r>
          <rPr>
            <b/>
            <sz val="9"/>
            <color indexed="81"/>
            <rFont val="Tahoma"/>
            <family val="2"/>
          </rPr>
          <t>Author:</t>
        </r>
        <r>
          <rPr>
            <sz val="9"/>
            <color indexed="81"/>
            <rFont val="Tahoma"/>
            <family val="2"/>
          </rPr>
          <t xml:space="preserve">
instead of kg F-gas / 1000 sqft it's kg F-gas / 1000 vehicles</t>
        </r>
      </text>
    </comment>
    <comment ref="B94" authorId="0" shapeId="0">
      <text>
        <r>
          <rPr>
            <b/>
            <sz val="9"/>
            <color indexed="81"/>
            <rFont val="Tahoma"/>
            <family val="2"/>
          </rPr>
          <t>Author:</t>
        </r>
        <r>
          <rPr>
            <sz val="9"/>
            <color indexed="81"/>
            <rFont val="Tahoma"/>
            <family val="2"/>
          </rPr>
          <t xml:space="preserve">
instead of kg F-gas / 1000 sqft it's kg F-gas / 1000 vehicles</t>
        </r>
      </text>
    </comment>
    <comment ref="B95" authorId="0" shapeId="0">
      <text>
        <r>
          <rPr>
            <b/>
            <sz val="9"/>
            <color indexed="81"/>
            <rFont val="Tahoma"/>
            <family val="2"/>
          </rPr>
          <t>Author:</t>
        </r>
        <r>
          <rPr>
            <sz val="9"/>
            <color indexed="81"/>
            <rFont val="Tahoma"/>
            <family val="2"/>
          </rPr>
          <t xml:space="preserve">
instead of kg F-gas / 1000 sqft it's kg F-gas / 1000 vehicles</t>
        </r>
      </text>
    </comment>
    <comment ref="B96" authorId="0" shapeId="0">
      <text>
        <r>
          <rPr>
            <b/>
            <sz val="9"/>
            <color indexed="81"/>
            <rFont val="Tahoma"/>
            <family val="2"/>
          </rPr>
          <t>Author:</t>
        </r>
        <r>
          <rPr>
            <sz val="9"/>
            <color indexed="81"/>
            <rFont val="Tahoma"/>
            <family val="2"/>
          </rPr>
          <t xml:space="preserve">
instead of kg F-gas / 1000 sqft it's kg F-gas / 1000 vehicles</t>
        </r>
      </text>
    </comment>
    <comment ref="B97" authorId="0" shapeId="0">
      <text>
        <r>
          <rPr>
            <b/>
            <sz val="9"/>
            <color indexed="81"/>
            <rFont val="Tahoma"/>
            <family val="2"/>
          </rPr>
          <t>Author:</t>
        </r>
        <r>
          <rPr>
            <sz val="9"/>
            <color indexed="81"/>
            <rFont val="Tahoma"/>
            <family val="2"/>
          </rPr>
          <t xml:space="preserve">
instead of kg F-gas / 1000 sqft it's kg F-gas / 1000 vehicles</t>
        </r>
      </text>
    </comment>
    <comment ref="B101" authorId="0" shapeId="0">
      <text>
        <r>
          <rPr>
            <b/>
            <sz val="9"/>
            <color indexed="81"/>
            <rFont val="Tahoma"/>
            <family val="2"/>
          </rPr>
          <t>Author:</t>
        </r>
        <r>
          <rPr>
            <sz val="9"/>
            <color indexed="81"/>
            <rFont val="Tahoma"/>
            <family val="2"/>
          </rPr>
          <t xml:space="preserve">
If we want to have a weighted average approach we can create a "new" F-gas with associated HFCs being the weighted average</t>
        </r>
      </text>
    </comment>
    <comment ref="CF101" authorId="2" shapeId="0">
      <text>
        <r>
          <rPr>
            <b/>
            <sz val="9"/>
            <color indexed="81"/>
            <rFont val="Tahoma"/>
            <family val="2"/>
          </rPr>
          <t>CJ:</t>
        </r>
        <r>
          <rPr>
            <sz val="9"/>
            <color indexed="81"/>
            <rFont val="Tahoma"/>
            <family val="2"/>
          </rPr>
          <t xml:space="preserve">
This column leads into a check on the Emissions Database tab</t>
        </r>
      </text>
    </comment>
  </commentList>
</comments>
</file>

<file path=xl/comments15.xml><?xml version="1.0" encoding="utf-8"?>
<comments xmlns="http://schemas.openxmlformats.org/spreadsheetml/2006/main">
  <authors>
    <author>Author</author>
  </authors>
  <commentList>
    <comment ref="E11" authorId="0" shapeId="0">
      <text>
        <r>
          <rPr>
            <b/>
            <sz val="9"/>
            <color indexed="81"/>
            <rFont val="Tahoma"/>
            <family val="2"/>
          </rPr>
          <t>Author:</t>
        </r>
        <r>
          <rPr>
            <sz val="9"/>
            <color indexed="81"/>
            <rFont val="Tahoma"/>
            <family val="2"/>
          </rPr>
          <t xml:space="preserve">
This is the GWP which gets used throughout the tool</t>
        </r>
      </text>
    </comment>
  </commentList>
</comments>
</file>

<file path=xl/comments16.xml><?xml version="1.0" encoding="utf-8"?>
<comments xmlns="http://schemas.openxmlformats.org/spreadsheetml/2006/main">
  <authors>
    <author>Author</author>
    <author>CJ</author>
  </authors>
  <commentList>
    <comment ref="B27" authorId="0" shapeId="0">
      <text>
        <r>
          <rPr>
            <sz val="9"/>
            <color indexed="81"/>
            <rFont val="Tahoma"/>
            <family val="2"/>
          </rPr>
          <t>Quantity returned to supply draws only from the "Sum of all F-gas disbursements" column in the Material Balance approach (or "F-gas returned to the supply system" if using the Default Methodology approach).</t>
        </r>
      </text>
    </comment>
    <comment ref="B29" authorId="0" shapeId="0">
      <text>
        <r>
          <rPr>
            <b/>
            <sz val="9"/>
            <color indexed="81"/>
            <rFont val="Tahoma"/>
            <family val="2"/>
          </rPr>
          <t>Author:</t>
        </r>
        <r>
          <rPr>
            <sz val="9"/>
            <color indexed="81"/>
            <rFont val="Tahoma"/>
            <family val="2"/>
          </rPr>
          <t xml:space="preserve">
Not currently in FEMP</t>
        </r>
      </text>
    </comment>
    <comment ref="B30" authorId="1" shapeId="0">
      <text>
        <r>
          <rPr>
            <b/>
            <sz val="9"/>
            <color indexed="81"/>
            <rFont val="Tahoma"/>
            <family val="2"/>
          </rPr>
          <t>CJ:</t>
        </r>
        <r>
          <rPr>
            <sz val="9"/>
            <color indexed="81"/>
            <rFont val="Tahoma"/>
            <family val="2"/>
          </rPr>
          <t xml:space="preserve">
Not in FEMP, already accounted for in SS1,SS2, so applies only to advanced and default approaches</t>
        </r>
      </text>
    </comment>
  </commentList>
</comments>
</file>

<file path=xl/sharedStrings.xml><?xml version="1.0" encoding="utf-8"?>
<sst xmlns="http://schemas.openxmlformats.org/spreadsheetml/2006/main" count="2484" uniqueCount="815">
  <si>
    <t>Material Balance Approach</t>
  </si>
  <si>
    <t>Simplified Material Balance Approach</t>
  </si>
  <si>
    <t>Screening Approach</t>
  </si>
  <si>
    <r>
      <t>Annual Emissions</t>
    </r>
    <r>
      <rPr>
        <b/>
        <sz val="10"/>
        <color theme="1"/>
        <rFont val="Times New Roman"/>
        <family val="1"/>
      </rPr>
      <t xml:space="preserve"> </t>
    </r>
    <r>
      <rPr>
        <sz val="10"/>
        <color theme="1"/>
        <rFont val="Times New Roman"/>
        <family val="1"/>
      </rPr>
      <t>[MT F-gas] = (I</t>
    </r>
    <r>
      <rPr>
        <vertAlign val="subscript"/>
        <sz val="10"/>
        <color theme="1"/>
        <rFont val="Times New Roman"/>
        <family val="1"/>
      </rPr>
      <t>B</t>
    </r>
    <r>
      <rPr>
        <sz val="10"/>
        <color theme="1"/>
        <rFont val="Times New Roman"/>
        <family val="1"/>
      </rPr>
      <t xml:space="preserve"> – I</t>
    </r>
    <r>
      <rPr>
        <vertAlign val="subscript"/>
        <sz val="10"/>
        <color theme="1"/>
        <rFont val="Times New Roman"/>
        <family val="1"/>
      </rPr>
      <t>E</t>
    </r>
    <r>
      <rPr>
        <sz val="10"/>
        <color theme="1"/>
        <rFont val="Times New Roman"/>
        <family val="1"/>
      </rPr>
      <t xml:space="preserve"> + P – S + C</t>
    </r>
    <r>
      <rPr>
        <vertAlign val="subscript"/>
        <sz val="10"/>
        <color theme="1"/>
        <rFont val="Times New Roman"/>
        <family val="1"/>
      </rPr>
      <t>B</t>
    </r>
    <r>
      <rPr>
        <sz val="10"/>
        <color theme="1"/>
        <rFont val="Times New Roman"/>
        <family val="1"/>
      </rPr>
      <t xml:space="preserve"> – C</t>
    </r>
    <r>
      <rPr>
        <vertAlign val="subscript"/>
        <sz val="10"/>
        <color theme="1"/>
        <rFont val="Times New Roman"/>
        <family val="1"/>
      </rPr>
      <t>E</t>
    </r>
    <r>
      <rPr>
        <sz val="10"/>
        <color theme="1"/>
        <rFont val="Times New Roman"/>
        <family val="1"/>
      </rPr>
      <t>) ∙ 4.535 x 10</t>
    </r>
    <r>
      <rPr>
        <vertAlign val="superscript"/>
        <sz val="10"/>
        <color theme="1"/>
        <rFont val="Times New Roman"/>
        <family val="1"/>
      </rPr>
      <t>-4</t>
    </r>
    <r>
      <rPr>
        <sz val="10"/>
        <color theme="1"/>
        <rFont val="Times New Roman"/>
        <family val="1"/>
      </rPr>
      <t xml:space="preserve"> [MT/lb]</t>
    </r>
  </si>
  <si>
    <t xml:space="preserve">Where: </t>
  </si>
  <si>
    <r>
      <t>I</t>
    </r>
    <r>
      <rPr>
        <i/>
        <vertAlign val="subscript"/>
        <sz val="10"/>
        <color theme="1"/>
        <rFont val="Times New Roman"/>
        <family val="1"/>
      </rPr>
      <t>B</t>
    </r>
    <r>
      <rPr>
        <i/>
        <sz val="10"/>
        <color theme="1"/>
        <rFont val="Times New Roman"/>
        <family val="1"/>
      </rPr>
      <t xml:space="preserve"> = Quantity of F-gas in storage at beginning of inventory year [lb]</t>
    </r>
  </si>
  <si>
    <r>
      <t>I</t>
    </r>
    <r>
      <rPr>
        <i/>
        <vertAlign val="subscript"/>
        <sz val="10"/>
        <color theme="1"/>
        <rFont val="Times New Roman"/>
        <family val="1"/>
      </rPr>
      <t>E</t>
    </r>
    <r>
      <rPr>
        <i/>
        <sz val="10"/>
        <color theme="1"/>
        <rFont val="Times New Roman"/>
        <family val="1"/>
      </rPr>
      <t xml:space="preserve"> = Quantity of F-gas in storage at end of inventory year [lb]</t>
    </r>
  </si>
  <si>
    <t>P = Sum of all F-gas acquisitions [lb]</t>
  </si>
  <si>
    <t xml:space="preserve">S = Sum of all F-gas disbursements [lb] </t>
  </si>
  <si>
    <r>
      <t>C</t>
    </r>
    <r>
      <rPr>
        <i/>
        <vertAlign val="subscript"/>
        <sz val="10"/>
        <color theme="1"/>
        <rFont val="Times New Roman"/>
        <family val="1"/>
      </rPr>
      <t>B</t>
    </r>
    <r>
      <rPr>
        <i/>
        <sz val="10"/>
        <color theme="1"/>
        <rFont val="Times New Roman"/>
        <family val="1"/>
      </rPr>
      <t xml:space="preserve"> = Total capacity of F-gas in equipment at beginning of inventory year [lb]</t>
    </r>
  </si>
  <si>
    <r>
      <t>C­</t>
    </r>
    <r>
      <rPr>
        <i/>
        <vertAlign val="subscript"/>
        <sz val="10"/>
        <color theme="1"/>
        <rFont val="Times New Roman"/>
        <family val="1"/>
      </rPr>
      <t>E</t>
    </r>
    <r>
      <rPr>
        <i/>
        <sz val="10"/>
        <color theme="1"/>
        <rFont val="Times New Roman"/>
        <family val="1"/>
      </rPr>
      <t xml:space="preserve"> = Total capacity of F-gas in equipment at end of inventory year [lb]</t>
    </r>
  </si>
  <si>
    <r>
      <t>Annual emissions [MT F-gas] = (P</t>
    </r>
    <r>
      <rPr>
        <vertAlign val="subscript"/>
        <sz val="10"/>
        <color theme="1"/>
        <rFont val="Times New Roman"/>
        <family val="1"/>
      </rPr>
      <t>N</t>
    </r>
    <r>
      <rPr>
        <sz val="10"/>
        <color theme="1"/>
        <rFont val="Times New Roman"/>
        <family val="1"/>
      </rPr>
      <t xml:space="preserve"> – C</t>
    </r>
    <r>
      <rPr>
        <vertAlign val="subscript"/>
        <sz val="10"/>
        <color theme="1"/>
        <rFont val="Times New Roman"/>
        <family val="1"/>
      </rPr>
      <t>N</t>
    </r>
    <r>
      <rPr>
        <sz val="10"/>
        <color theme="1"/>
        <rFont val="Times New Roman"/>
        <family val="1"/>
      </rPr>
      <t xml:space="preserve"> + P</t>
    </r>
    <r>
      <rPr>
        <vertAlign val="subscript"/>
        <sz val="10"/>
        <color theme="1"/>
        <rFont val="Times New Roman"/>
        <family val="1"/>
      </rPr>
      <t>S</t>
    </r>
    <r>
      <rPr>
        <sz val="10"/>
        <color theme="1"/>
        <rFont val="Times New Roman"/>
        <family val="1"/>
      </rPr>
      <t xml:space="preserve"> + C</t>
    </r>
    <r>
      <rPr>
        <vertAlign val="subscript"/>
        <sz val="10"/>
        <color theme="1"/>
        <rFont val="Times New Roman"/>
        <family val="1"/>
      </rPr>
      <t>D</t>
    </r>
    <r>
      <rPr>
        <sz val="10"/>
        <color theme="1"/>
        <rFont val="Times New Roman"/>
        <family val="1"/>
      </rPr>
      <t xml:space="preserve"> – R</t>
    </r>
    <r>
      <rPr>
        <vertAlign val="subscript"/>
        <sz val="10"/>
        <color theme="1"/>
        <rFont val="Times New Roman"/>
        <family val="1"/>
      </rPr>
      <t>D</t>
    </r>
    <r>
      <rPr>
        <sz val="10"/>
        <color theme="1"/>
        <rFont val="Times New Roman"/>
        <family val="1"/>
      </rPr>
      <t>) ∙ 4.536 x 10</t>
    </r>
    <r>
      <rPr>
        <vertAlign val="superscript"/>
        <sz val="10"/>
        <color theme="1"/>
        <rFont val="Times New Roman"/>
        <family val="1"/>
      </rPr>
      <t>-4</t>
    </r>
    <r>
      <rPr>
        <sz val="10"/>
        <color theme="1"/>
        <rFont val="Times New Roman"/>
        <family val="1"/>
      </rPr>
      <t xml:space="preserve"> [MT/lb]</t>
    </r>
  </si>
  <si>
    <t>Where:</t>
  </si>
  <si>
    <r>
      <t>P</t>
    </r>
    <r>
      <rPr>
        <i/>
        <vertAlign val="subscript"/>
        <sz val="10"/>
        <color theme="1"/>
        <rFont val="Times New Roman"/>
        <family val="1"/>
      </rPr>
      <t>N</t>
    </r>
    <r>
      <rPr>
        <i/>
        <sz val="10"/>
        <color theme="1"/>
        <rFont val="Times New Roman"/>
        <family val="1"/>
      </rPr>
      <t xml:space="preserve"> = Purchases of F-gas used to charge new equipment [lb] </t>
    </r>
  </si>
  <si>
    <r>
      <t>C</t>
    </r>
    <r>
      <rPr>
        <i/>
        <vertAlign val="subscript"/>
        <sz val="10"/>
        <color theme="1"/>
        <rFont val="Times New Roman"/>
        <family val="1"/>
      </rPr>
      <t>N</t>
    </r>
    <r>
      <rPr>
        <i/>
        <sz val="10"/>
        <color theme="1"/>
        <rFont val="Times New Roman"/>
        <family val="1"/>
      </rPr>
      <t xml:space="preserve"> = Total full capacity of the new equipment [lb]</t>
    </r>
  </si>
  <si>
    <r>
      <t>P</t>
    </r>
    <r>
      <rPr>
        <i/>
        <vertAlign val="subscript"/>
        <sz val="10"/>
        <color theme="1"/>
        <rFont val="Times New Roman"/>
        <family val="1"/>
      </rPr>
      <t>S</t>
    </r>
    <r>
      <rPr>
        <i/>
        <sz val="10"/>
        <color theme="1"/>
        <rFont val="Times New Roman"/>
        <family val="1"/>
      </rPr>
      <t xml:space="preserve"> = Quantity of F-gas used to service equipment [lb]</t>
    </r>
  </si>
  <si>
    <r>
      <t>C</t>
    </r>
    <r>
      <rPr>
        <i/>
        <vertAlign val="subscript"/>
        <sz val="10"/>
        <color theme="1"/>
        <rFont val="Times New Roman"/>
        <family val="1"/>
      </rPr>
      <t>D</t>
    </r>
    <r>
      <rPr>
        <i/>
        <sz val="10"/>
        <color theme="1"/>
        <rFont val="Times New Roman"/>
        <family val="1"/>
      </rPr>
      <t xml:space="preserve"> = Total full capacity of retiring equipment [lb]</t>
    </r>
  </si>
  <si>
    <r>
      <t>R</t>
    </r>
    <r>
      <rPr>
        <i/>
        <vertAlign val="subscript"/>
        <sz val="10"/>
        <color theme="1"/>
        <rFont val="Times New Roman"/>
        <family val="1"/>
      </rPr>
      <t>D</t>
    </r>
    <r>
      <rPr>
        <i/>
        <sz val="10"/>
        <color theme="1"/>
        <rFont val="Times New Roman"/>
        <family val="1"/>
      </rPr>
      <t xml:space="preserve"> = F-gas recovered from retiring equipment [lb]</t>
    </r>
  </si>
  <si>
    <r>
      <t>Annual Emissions [MT F-gas] = (C</t>
    </r>
    <r>
      <rPr>
        <vertAlign val="subscript"/>
        <sz val="10"/>
        <color theme="1"/>
        <rFont val="Times New Roman"/>
        <family val="1"/>
      </rPr>
      <t>N</t>
    </r>
    <r>
      <rPr>
        <sz val="10"/>
        <color theme="1"/>
        <rFont val="Times New Roman"/>
        <family val="1"/>
      </rPr>
      <t xml:space="preserve"> ∙ </t>
    </r>
    <r>
      <rPr>
        <i/>
        <sz val="10"/>
        <color theme="1"/>
        <rFont val="Times New Roman"/>
        <family val="1"/>
      </rPr>
      <t>k</t>
    </r>
    <r>
      <rPr>
        <sz val="10"/>
        <color theme="1"/>
        <rFont val="Times New Roman"/>
        <family val="1"/>
      </rPr>
      <t xml:space="preserve">) + (C ∙ </t>
    </r>
    <r>
      <rPr>
        <i/>
        <sz val="10"/>
        <color theme="1"/>
        <rFont val="Times New Roman"/>
        <family val="1"/>
      </rPr>
      <t>x</t>
    </r>
    <r>
      <rPr>
        <sz val="10"/>
        <color theme="1"/>
        <rFont val="Times New Roman"/>
        <family val="1"/>
      </rPr>
      <t xml:space="preserve"> ∙ T) + (C</t>
    </r>
    <r>
      <rPr>
        <vertAlign val="subscript"/>
        <sz val="10"/>
        <color theme="1"/>
        <rFont val="Times New Roman"/>
        <family val="1"/>
      </rPr>
      <t>D</t>
    </r>
    <r>
      <rPr>
        <sz val="10"/>
        <color theme="1"/>
        <rFont val="Times New Roman"/>
        <family val="1"/>
      </rPr>
      <t xml:space="preserve"> ∙ </t>
    </r>
    <r>
      <rPr>
        <i/>
        <sz val="10"/>
        <color theme="1"/>
        <rFont val="Times New Roman"/>
        <family val="1"/>
      </rPr>
      <t>y</t>
    </r>
    <r>
      <rPr>
        <sz val="10"/>
        <color theme="1"/>
        <rFont val="Times New Roman"/>
        <family val="1"/>
      </rPr>
      <t xml:space="preserve"> ∙ (1- </t>
    </r>
    <r>
      <rPr>
        <i/>
        <sz val="10"/>
        <color theme="1"/>
        <rFont val="Times New Roman"/>
        <family val="1"/>
      </rPr>
      <t>z</t>
    </r>
    <r>
      <rPr>
        <sz val="10"/>
        <color theme="1"/>
        <rFont val="Times New Roman"/>
        <family val="1"/>
      </rPr>
      <t>)) ∙ 4.536 x 10</t>
    </r>
    <r>
      <rPr>
        <vertAlign val="superscript"/>
        <sz val="10"/>
        <color theme="1"/>
        <rFont val="Times New Roman"/>
        <family val="1"/>
      </rPr>
      <t>-4</t>
    </r>
    <r>
      <rPr>
        <sz val="10"/>
        <color theme="1"/>
        <rFont val="Times New Roman"/>
        <family val="1"/>
      </rPr>
      <t xml:space="preserve"> [MT/lb]</t>
    </r>
  </si>
  <si>
    <r>
      <t>C</t>
    </r>
    <r>
      <rPr>
        <i/>
        <vertAlign val="subscript"/>
        <sz val="10"/>
        <color theme="1"/>
        <rFont val="Times New Roman"/>
        <family val="1"/>
      </rPr>
      <t>N</t>
    </r>
    <r>
      <rPr>
        <i/>
        <sz val="10"/>
        <color theme="1"/>
        <rFont val="Times New Roman"/>
        <family val="1"/>
      </rPr>
      <t xml:space="preserve"> = Quantity of F-gas charged into the new equipment [lb]</t>
    </r>
  </si>
  <si>
    <t xml:space="preserve">C = Total full charge capacity of the equipment [lb] </t>
  </si>
  <si>
    <t>T = Time equipment was in use [yrs]</t>
  </si>
  <si>
    <r>
      <t>C</t>
    </r>
    <r>
      <rPr>
        <i/>
        <vertAlign val="subscript"/>
        <sz val="10"/>
        <color theme="1"/>
        <rFont val="Times New Roman"/>
        <family val="1"/>
      </rPr>
      <t>D</t>
    </r>
    <r>
      <rPr>
        <i/>
        <sz val="10"/>
        <color theme="1"/>
        <rFont val="Times New Roman"/>
        <family val="1"/>
      </rPr>
      <t xml:space="preserve"> = Total full charge capacity of equipment being disposed [lb]</t>
    </r>
  </si>
  <si>
    <t xml:space="preserve">k = Installation emission factor [%] </t>
  </si>
  <si>
    <t>x = Operation emission factor [%]</t>
  </si>
  <si>
    <t>y = Refrigerant remaining at disposal [%]</t>
  </si>
  <si>
    <t>z = Recovery efficiency [%]</t>
  </si>
  <si>
    <t>Annual Emissions (MT F-gas)</t>
  </si>
  <si>
    <t>C</t>
  </si>
  <si>
    <t>T</t>
  </si>
  <si>
    <t>k</t>
  </si>
  <si>
    <t>x</t>
  </si>
  <si>
    <t>y</t>
  </si>
  <si>
    <t>z</t>
  </si>
  <si>
    <t>Simplified Screening Approach 1</t>
  </si>
  <si>
    <t>Simplified Screening Approach 2</t>
  </si>
  <si>
    <t>HFC-23</t>
  </si>
  <si>
    <t xml:space="preserve">75-46-7 </t>
  </si>
  <si>
    <t>CHF3</t>
  </si>
  <si>
    <t>U.S. EPA Greenhouse Gas Reporting Program; Federal Register / Vol. 74, No. 209 / Friday, October 30, 2009 / Rules and Regulations; Table A-1 to Subpart A of Part 98.</t>
  </si>
  <si>
    <t>http://www.epa.gov/ghgreporting/documents/pdf/2009/GHG-MRR-FinalRule.pdf</t>
  </si>
  <si>
    <t>HFC-32</t>
  </si>
  <si>
    <t xml:space="preserve">75-10-5 </t>
  </si>
  <si>
    <t xml:space="preserve">CH2F2 </t>
  </si>
  <si>
    <t>HFC-41</t>
  </si>
  <si>
    <t xml:space="preserve">593-53-3 </t>
  </si>
  <si>
    <t xml:space="preserve">CH3F </t>
  </si>
  <si>
    <t>HFC-125</t>
  </si>
  <si>
    <t xml:space="preserve">354-33-6 </t>
  </si>
  <si>
    <t xml:space="preserve">C2HF5 </t>
  </si>
  <si>
    <t>HFC-134</t>
  </si>
  <si>
    <t xml:space="preserve">359-35-3 </t>
  </si>
  <si>
    <t xml:space="preserve">C2H2F4 </t>
  </si>
  <si>
    <t>HFC-134a</t>
  </si>
  <si>
    <t xml:space="preserve">811-97-2 </t>
  </si>
  <si>
    <t xml:space="preserve">CH2FCF3 </t>
  </si>
  <si>
    <t>HFC-143</t>
  </si>
  <si>
    <t xml:space="preserve">430-66-0 </t>
  </si>
  <si>
    <t xml:space="preserve">C2H3F3 </t>
  </si>
  <si>
    <t>HFC-143a</t>
  </si>
  <si>
    <t xml:space="preserve">420-46-2 </t>
  </si>
  <si>
    <t>HFC-152</t>
  </si>
  <si>
    <t xml:space="preserve">624-72-6 </t>
  </si>
  <si>
    <t xml:space="preserve">CH2FCH2F </t>
  </si>
  <si>
    <t>HFC-152a</t>
  </si>
  <si>
    <t xml:space="preserve">75-37-6 </t>
  </si>
  <si>
    <t>CH3CHF2</t>
  </si>
  <si>
    <t>HFC-161</t>
  </si>
  <si>
    <t xml:space="preserve">353-36-6 </t>
  </si>
  <si>
    <t xml:space="preserve">CH3CH2F </t>
  </si>
  <si>
    <t>HFC-227ea</t>
  </si>
  <si>
    <t xml:space="preserve">431-89-0 </t>
  </si>
  <si>
    <t xml:space="preserve">C3HF7  </t>
  </si>
  <si>
    <t>HFC-236cb</t>
  </si>
  <si>
    <t xml:space="preserve">677-56-5 </t>
  </si>
  <si>
    <t xml:space="preserve">CH2FCF2CF3  </t>
  </si>
  <si>
    <t>HFC-236ea</t>
  </si>
  <si>
    <t xml:space="preserve">431-63-0 </t>
  </si>
  <si>
    <t xml:space="preserve">CHF2CHFCF3  </t>
  </si>
  <si>
    <t>HFC-236fa</t>
  </si>
  <si>
    <t xml:space="preserve">690-39-1 </t>
  </si>
  <si>
    <t xml:space="preserve">C3H2F6 </t>
  </si>
  <si>
    <t>HFC-245ca</t>
  </si>
  <si>
    <t xml:space="preserve">679-86-7 </t>
  </si>
  <si>
    <t xml:space="preserve">C3H3F5 </t>
  </si>
  <si>
    <t>HFC-245fa</t>
  </si>
  <si>
    <t xml:space="preserve">460-73-1 </t>
  </si>
  <si>
    <t>CHF2CH2CF3</t>
  </si>
  <si>
    <t>HFC-365mfc</t>
  </si>
  <si>
    <t xml:space="preserve">406-58-6 </t>
  </si>
  <si>
    <t>CH3CF2CH2CF3</t>
  </si>
  <si>
    <t>HFC-43-10mee</t>
  </si>
  <si>
    <t xml:space="preserve">138495-42-8 </t>
  </si>
  <si>
    <t xml:space="preserve">CF3CFHCFHCF2CF3 </t>
  </si>
  <si>
    <t>Name</t>
  </si>
  <si>
    <t>CAS No.</t>
  </si>
  <si>
    <t>Chemical formula</t>
  </si>
  <si>
    <t>Primary Building Category</t>
  </si>
  <si>
    <t>Specific Federal Building</t>
  </si>
  <si>
    <t>End-Use</t>
  </si>
  <si>
    <t>Installation Emission Factor
k
(% of capacity)</t>
  </si>
  <si>
    <t>Operating Emission Factor
x
(% of capacity/yr)</t>
  </si>
  <si>
    <t>Refrigerant Remaining at Disposal
y
(% of capacity)</t>
  </si>
  <si>
    <t>Recovery Efficiency
z
(% of remaining)</t>
  </si>
  <si>
    <t>Office</t>
  </si>
  <si>
    <t>Residential and commercial air conditioning</t>
  </si>
  <si>
    <t>School</t>
  </si>
  <si>
    <t>Other institutional uses</t>
  </si>
  <si>
    <t>Warehouse</t>
  </si>
  <si>
    <t>IPR</t>
  </si>
  <si>
    <t>Medium cold storage</t>
  </si>
  <si>
    <t>Large cold storage</t>
  </si>
  <si>
    <t>Chillers</t>
  </si>
  <si>
    <t>Hospital</t>
  </si>
  <si>
    <t>Standalone commercial applications</t>
  </si>
  <si>
    <t>Small retail food refrigeration</t>
  </si>
  <si>
    <t>Medium retail food refrigeration</t>
  </si>
  <si>
    <t>Laboratories</t>
  </si>
  <si>
    <t>Transport Refrigeration</t>
  </si>
  <si>
    <t>Land transport</t>
  </si>
  <si>
    <t>Marine transport</t>
  </si>
  <si>
    <t>Mobile Air Conditioning</t>
  </si>
  <si>
    <t>Car MAC</t>
  </si>
  <si>
    <t>Truck MAC</t>
  </si>
  <si>
    <t>Bus MAC</t>
  </si>
  <si>
    <t>Domestic refrigeration</t>
  </si>
  <si>
    <t>R-502</t>
  </si>
  <si>
    <t>R-500</t>
  </si>
  <si>
    <t>Mobile air conditioning</t>
  </si>
  <si>
    <t xml:space="preserve"> </t>
  </si>
  <si>
    <t>Purpose:</t>
  </si>
  <si>
    <t>Version Number:</t>
  </si>
  <si>
    <t>Version Date:</t>
  </si>
  <si>
    <t>Activity Type:</t>
  </si>
  <si>
    <t>Instructions:</t>
  </si>
  <si>
    <t>Legend:</t>
  </si>
  <si>
    <t>Cell Color Legend:</t>
  </si>
  <si>
    <r>
      <t>Yellow cells are</t>
    </r>
    <r>
      <rPr>
        <b/>
        <sz val="10"/>
        <rFont val="Arial"/>
        <family val="2"/>
      </rPr>
      <t xml:space="preserve"> Input Fields</t>
    </r>
    <r>
      <rPr>
        <sz val="10"/>
        <rFont val="Arial"/>
        <family val="2"/>
      </rPr>
      <t>.</t>
    </r>
  </si>
  <si>
    <t>Metric tonnes per pound</t>
  </si>
  <si>
    <t>Conversions</t>
  </si>
  <si>
    <t>Source</t>
  </si>
  <si>
    <t>Federal GHG Accounting &amp; Reporting Guidance Technical Support Document, p. A-23</t>
  </si>
  <si>
    <t>Global Warming Potentials</t>
  </si>
  <si>
    <t>Refrigerant Type</t>
  </si>
  <si>
    <t>Residential and commercial A/C</t>
  </si>
  <si>
    <t>drop down</t>
  </si>
  <si>
    <t>Unit Technical Specification Assumptions</t>
  </si>
  <si>
    <t>Name of Named Range</t>
  </si>
  <si>
    <t>OfficeEU</t>
  </si>
  <si>
    <t>SchoolEU</t>
  </si>
  <si>
    <t>FamilyEU</t>
  </si>
  <si>
    <t>DormEU</t>
  </si>
  <si>
    <t>OtherEU</t>
  </si>
  <si>
    <t>WarehouseEU</t>
  </si>
  <si>
    <t>LgHospEU</t>
  </si>
  <si>
    <t>LabEU</t>
  </si>
  <si>
    <t>DomRefSA</t>
  </si>
  <si>
    <t>ResComACSA</t>
  </si>
  <si>
    <t>ColdStorageSA</t>
  </si>
  <si>
    <t>ComApplicationSA</t>
  </si>
  <si>
    <t>ChillerSA</t>
  </si>
  <si>
    <t>ComRefSA</t>
  </si>
  <si>
    <t>TransportRefSA</t>
  </si>
  <si>
    <t>MobileACSA</t>
  </si>
  <si>
    <t>Federal Building Type</t>
  </si>
  <si>
    <t>RefrigerantType:</t>
  </si>
  <si>
    <t>Composition</t>
  </si>
  <si>
    <t>R-23</t>
  </si>
  <si>
    <t>R-32</t>
  </si>
  <si>
    <t>R-41</t>
  </si>
  <si>
    <t>R-125</t>
  </si>
  <si>
    <t>R-134a</t>
  </si>
  <si>
    <t>R-143a</t>
  </si>
  <si>
    <t>R-152a</t>
  </si>
  <si>
    <t>R-227ea</t>
  </si>
  <si>
    <t>R-236fa</t>
  </si>
  <si>
    <t>R-245fa</t>
  </si>
  <si>
    <t>R-14</t>
  </si>
  <si>
    <t>R-116</t>
  </si>
  <si>
    <t>R-218</t>
  </si>
  <si>
    <t>R-C318</t>
  </si>
  <si>
    <t>R-401A</t>
  </si>
  <si>
    <t>R-22/152a/124</t>
  </si>
  <si>
    <t>R-401B</t>
  </si>
  <si>
    <t>R-401C</t>
  </si>
  <si>
    <t>R-402A</t>
  </si>
  <si>
    <t>R-125/290/22</t>
  </si>
  <si>
    <t>R-402B</t>
  </si>
  <si>
    <t>R-403A</t>
  </si>
  <si>
    <t>R-290/22/218</t>
  </si>
  <si>
    <t>R-403B</t>
  </si>
  <si>
    <t>R-404A</t>
  </si>
  <si>
    <t>R-125/143a/134a</t>
  </si>
  <si>
    <t>R-405A</t>
  </si>
  <si>
    <t>R-22/152a/142b/C318</t>
  </si>
  <si>
    <t>R-406A</t>
  </si>
  <si>
    <t>R-22/600a/142b</t>
  </si>
  <si>
    <t>R-407A</t>
  </si>
  <si>
    <t>R-32/125/134a</t>
  </si>
  <si>
    <t>R-407B</t>
  </si>
  <si>
    <t>R-407C</t>
  </si>
  <si>
    <t>R-407D</t>
  </si>
  <si>
    <t>R-407E</t>
  </si>
  <si>
    <t>R-408A</t>
  </si>
  <si>
    <t>R-125/143a/22</t>
  </si>
  <si>
    <t>R-409A</t>
  </si>
  <si>
    <t>R-22/124/142b</t>
  </si>
  <si>
    <t>R-409B</t>
  </si>
  <si>
    <t>R-410A</t>
  </si>
  <si>
    <t>R-32/125</t>
  </si>
  <si>
    <t>R-410B</t>
  </si>
  <si>
    <t>R-411A</t>
  </si>
  <si>
    <t>R-1270/22/152a</t>
  </si>
  <si>
    <t>R-411B</t>
  </si>
  <si>
    <t>R-412A</t>
  </si>
  <si>
    <t>R-22/218/143a</t>
  </si>
  <si>
    <t>R-413A</t>
  </si>
  <si>
    <t>R-218/134a/600a</t>
  </si>
  <si>
    <t>R-414A</t>
  </si>
  <si>
    <t>R-22/124/600a/142b</t>
  </si>
  <si>
    <t>R-414B</t>
  </si>
  <si>
    <t>R-415A</t>
  </si>
  <si>
    <t>R-22/152a</t>
  </si>
  <si>
    <t>R-415B</t>
  </si>
  <si>
    <t>R-416A</t>
  </si>
  <si>
    <t>R-134a/124/600</t>
  </si>
  <si>
    <t>R-417A</t>
  </si>
  <si>
    <t>R-125/134a/600</t>
  </si>
  <si>
    <t>R-418A</t>
  </si>
  <si>
    <t>R-290/22/152a</t>
  </si>
  <si>
    <t>R-419A</t>
  </si>
  <si>
    <t>R-125/134a/E170</t>
  </si>
  <si>
    <t>R-420A</t>
  </si>
  <si>
    <t>R-134a/142b</t>
  </si>
  <si>
    <t>R-421A</t>
  </si>
  <si>
    <t>R-125/134a</t>
  </si>
  <si>
    <t>R-421B</t>
  </si>
  <si>
    <t>R-422A</t>
  </si>
  <si>
    <t>R-125/134a/600a</t>
  </si>
  <si>
    <t>R-422B</t>
  </si>
  <si>
    <t>R-422C</t>
  </si>
  <si>
    <t>R-422D</t>
  </si>
  <si>
    <t>R-423A</t>
  </si>
  <si>
    <t>R-134a/227ea</t>
  </si>
  <si>
    <t>R-424A</t>
  </si>
  <si>
    <t>R-125/134a/600a/600/601a</t>
  </si>
  <si>
    <t>R-425A</t>
  </si>
  <si>
    <t>R-32/134a/227ea</t>
  </si>
  <si>
    <t>R-426A</t>
  </si>
  <si>
    <t>R-125/134a/600/601a</t>
  </si>
  <si>
    <t>R-427A</t>
  </si>
  <si>
    <t>R-32/125/143a/134a</t>
  </si>
  <si>
    <t>R-428A</t>
  </si>
  <si>
    <t>R-125/143a/290/600a</t>
  </si>
  <si>
    <t>R-429A</t>
  </si>
  <si>
    <t>R-E170/152a/600a</t>
  </si>
  <si>
    <t>R-430A</t>
  </si>
  <si>
    <t>R-152a/600a</t>
  </si>
  <si>
    <t>R-431A</t>
  </si>
  <si>
    <t>R-290/152a</t>
  </si>
  <si>
    <t>R-434A</t>
  </si>
  <si>
    <t>R-125/143a/134a/600a</t>
  </si>
  <si>
    <t>R-435A</t>
  </si>
  <si>
    <t>R-E170/152a</t>
  </si>
  <si>
    <t>R-437A</t>
  </si>
  <si>
    <t>R-125/134a/600/601</t>
  </si>
  <si>
    <t>R-438A</t>
  </si>
  <si>
    <t>R-32/125/134a/600/601a</t>
  </si>
  <si>
    <t>R-12/152a</t>
  </si>
  <si>
    <t>R-501</t>
  </si>
  <si>
    <t>R-22/12</t>
  </si>
  <si>
    <t>R-22/115</t>
  </si>
  <si>
    <t>R-503</t>
  </si>
  <si>
    <t>R-23/13</t>
  </si>
  <si>
    <t>R-504</t>
  </si>
  <si>
    <t>R-32/115</t>
  </si>
  <si>
    <t>R-505</t>
  </si>
  <si>
    <t>R-12/31</t>
  </si>
  <si>
    <t>R-506</t>
  </si>
  <si>
    <t>R-31/114</t>
  </si>
  <si>
    <t>R-507</t>
  </si>
  <si>
    <t>R-125/143a</t>
  </si>
  <si>
    <t>R-507A</t>
  </si>
  <si>
    <t>R-508A</t>
  </si>
  <si>
    <t>R-23/116</t>
  </si>
  <si>
    <t>R-508B</t>
  </si>
  <si>
    <t>R-509</t>
  </si>
  <si>
    <t>R-22/218</t>
  </si>
  <si>
    <t>R-509A</t>
  </si>
  <si>
    <t>pounds per kg</t>
  </si>
  <si>
    <t>Capacity per Unit (kg)</t>
  </si>
  <si>
    <t>Unit Lifetime (Years)</t>
  </si>
  <si>
    <t>Unit Turnover Rate (%)</t>
  </si>
  <si>
    <t>I Don't Know</t>
  </si>
  <si>
    <t>Units per 1,000 sqft to be the primary variable here.</t>
  </si>
  <si>
    <t>Grey = Not Currently Used in Tool</t>
  </si>
  <si>
    <t>Annual Refrigerant Emissions Intensity by Building Type</t>
  </si>
  <si>
    <t>General Input Data</t>
  </si>
  <si>
    <t>Use this page to calculate emissions if you have data on the federal building type, refrigerant equipment category, and the number of units of equipment.</t>
  </si>
  <si>
    <t>Use this page to calculate emissions if you have data on the federal building type, refrigerant equipment category, and the total square feet of each facility.</t>
  </si>
  <si>
    <t>Example</t>
  </si>
  <si>
    <t>Equipment Type</t>
  </si>
  <si>
    <t>Broad Equipment Category</t>
  </si>
  <si>
    <t>Approach</t>
  </si>
  <si>
    <t>Simplified Material Balance</t>
  </si>
  <si>
    <t>Screening</t>
  </si>
  <si>
    <t>Simplified Screening 1</t>
  </si>
  <si>
    <t>Simplified Screening 2</t>
  </si>
  <si>
    <t>Facility / Region Name</t>
  </si>
  <si>
    <t>PFC-14</t>
  </si>
  <si>
    <t>PFC-116</t>
  </si>
  <si>
    <t>PFC-218</t>
  </si>
  <si>
    <t>PFC-(c)318</t>
  </si>
  <si>
    <t>Share of F-gas</t>
  </si>
  <si>
    <t>Default F-Gas</t>
  </si>
  <si>
    <t>HFC GWPs Sourced from FEMP Tool</t>
  </si>
  <si>
    <t>http://www.ipcc.ch/publications_and_data/ar4/wg1/en/ch2s2-10-2.html</t>
  </si>
  <si>
    <t>IPCC AR4 report (100 yr GWP from SAR)</t>
  </si>
  <si>
    <t>F-Gas Total (MT CO2-e)</t>
  </si>
  <si>
    <t>Emissions Indicator</t>
  </si>
  <si>
    <t>Annual Emissions (MTCO2-e)</t>
  </si>
  <si>
    <t>Total GHG Emissions (MT CO2-e)</t>
  </si>
  <si>
    <t>Total</t>
  </si>
  <si>
    <t>% of Total Emissions</t>
  </si>
  <si>
    <t>Non-Specified</t>
  </si>
  <si>
    <t>Broad Equipment Category 1</t>
  </si>
  <si>
    <t>Broad Equipment Category 2</t>
  </si>
  <si>
    <t>Broad Equipment Category 3</t>
  </si>
  <si>
    <t>Broad Equipment Category 4</t>
  </si>
  <si>
    <t>Broad Equipment Category 5</t>
  </si>
  <si>
    <t>Broad Equipment Category 6</t>
  </si>
  <si>
    <t>Default Installation Emissions (kg F-Gas / Unit Capacity)</t>
  </si>
  <si>
    <t>Default Operation Emissions (kg F-Gas / Unit Capacity)</t>
  </si>
  <si>
    <t>Default Disposal Emissions (kg F-Gas / Unit Capacity)</t>
  </si>
  <si>
    <t>Real F-Gases Sourced from FEMP Tool section 3.5</t>
  </si>
  <si>
    <t>Grey Rows = Not Used in Tool</t>
  </si>
  <si>
    <t>Office (Install)</t>
  </si>
  <si>
    <t>School (Install)</t>
  </si>
  <si>
    <t>Other institutional uses (Install)</t>
  </si>
  <si>
    <t>Laboratories (Install)</t>
  </si>
  <si>
    <t>Office (Operation)</t>
  </si>
  <si>
    <t>School (Operation)</t>
  </si>
  <si>
    <t>Other institutional uses (Operation)</t>
  </si>
  <si>
    <t>Laboratories (Operation)</t>
  </si>
  <si>
    <t>Office (Disposal)</t>
  </si>
  <si>
    <t>School (Disposal)</t>
  </si>
  <si>
    <t>Other institutional uses (Disposal)</t>
  </si>
  <si>
    <t>Laboratories (Disposal)</t>
  </si>
  <si>
    <t>Office (All)</t>
  </si>
  <si>
    <t>School (All)</t>
  </si>
  <si>
    <t>Other institutional uses (All)</t>
  </si>
  <si>
    <t>Laboratories (All)</t>
  </si>
  <si>
    <t>Building Customized Default F-Gases (Share of Each Refrigerant)</t>
  </si>
  <si>
    <t>Default Installation Emissions (kg F-Gas / 1000 sqft)</t>
  </si>
  <si>
    <t>Default Operation Emissions (kg F-Gas / 1000 sqft)</t>
  </si>
  <si>
    <t>Default Disposal Emissions (kg F-Gas / 1000 sqft)</t>
  </si>
  <si>
    <t>Used for Default Federal Building</t>
  </si>
  <si>
    <t>Default Total Emissions (kg F-Gas / 1000 sqft)</t>
  </si>
  <si>
    <t>Default Installation Emissions (% of Building Total)</t>
  </si>
  <si>
    <t>Default Operation Emissions (% of Building Total)</t>
  </si>
  <si>
    <t>Default Disposal Emissions (% of Building Total)</t>
  </si>
  <si>
    <t>Default Total Emissions (% of Building Total)</t>
  </si>
  <si>
    <t>Check</t>
  </si>
  <si>
    <t>Custom</t>
  </si>
  <si>
    <t>Annual Emissions -Installation (MT F-gas)</t>
  </si>
  <si>
    <t>Annual Emissions -Operation (MT F-gas)</t>
  </si>
  <si>
    <t>Annual Emissions -Disposal (MT F-gas)</t>
  </si>
  <si>
    <t>Total Emissions by HFC &amp; PFC Type (MT CO2-e)</t>
  </si>
  <si>
    <t>Installation Emissions by HFC &amp; PFC Type (MT CO2-e)</t>
  </si>
  <si>
    <t>Operation Emissions by HFC &amp; PFC Type (MT CO2-e)</t>
  </si>
  <si>
    <t>Disposal Emissions by HFC &amp; PFC Type (MT CO2-e)</t>
  </si>
  <si>
    <t>check</t>
  </si>
  <si>
    <t>Annual Installation Emissions (MTCO2-e)</t>
  </si>
  <si>
    <t>Annual  Operation Emissions (MTCO2-e)</t>
  </si>
  <si>
    <t>GWP</t>
  </si>
  <si>
    <t>Weighted GWP</t>
  </si>
  <si>
    <t>Default Total Emissions (% of Building's CO2-e Total)</t>
  </si>
  <si>
    <t>Default Total Emissions (kg CO2-e of F-Gas / 1000 sqft)</t>
  </si>
  <si>
    <t>Share of Default GHG emissions by Equipment Type (% of CO2-e Emissions)</t>
  </si>
  <si>
    <t>Total Emissions by Equipment Type (MT CO2-e)</t>
  </si>
  <si>
    <t>Share of Default F-Gas emissions by Equipment Type (% of F-Gas Emissions)</t>
  </si>
  <si>
    <t>Total Emissions by Broad Equipment Category (MT CO2-e)</t>
  </si>
  <si>
    <t>Light Yellow = Required input fields if a row is used</t>
  </si>
  <si>
    <t>Light Green = Optional input fields</t>
  </si>
  <si>
    <t>White = Calculation cells which are not editable</t>
  </si>
  <si>
    <t>Equipment Category</t>
  </si>
  <si>
    <t>GHG Emissions by Greenhouse Gas (MT CO2-e)</t>
  </si>
  <si>
    <t>GHG Emissions by Calculation Approach (MT CO2-e)</t>
  </si>
  <si>
    <t>Equipment Installation</t>
  </si>
  <si>
    <t>Equipment Operation</t>
  </si>
  <si>
    <t>Equipment Disposal</t>
  </si>
  <si>
    <t>GHG Emissions by Equipment Category (MT CO2-e)</t>
  </si>
  <si>
    <t>GHG Emissions by Equipment Use Stage (MT CO2-e)</t>
  </si>
  <si>
    <t>GHG Emissions by Federal Building Type (MT CO2-e)</t>
  </si>
  <si>
    <t>GHG Emissions by Location (MT CO2-e)</t>
  </si>
  <si>
    <t>GHG Emissions Chart Drop Down</t>
  </si>
  <si>
    <t>Location</t>
  </si>
  <si>
    <t>Greenhouse Gas Type</t>
  </si>
  <si>
    <t>Calculation Approach</t>
  </si>
  <si>
    <t>Equipment Use Stage</t>
  </si>
  <si>
    <r>
      <t>GHG Emissions by Location (MT CO</t>
    </r>
    <r>
      <rPr>
        <vertAlign val="subscript"/>
        <sz val="11"/>
        <color theme="1"/>
        <rFont val="Calibri"/>
        <family val="2"/>
        <scheme val="minor"/>
      </rPr>
      <t>2</t>
    </r>
    <r>
      <rPr>
        <sz val="11"/>
        <color theme="1"/>
        <rFont val="Calibri"/>
        <family val="2"/>
        <scheme val="minor"/>
      </rPr>
      <t>-e)</t>
    </r>
  </si>
  <si>
    <t>GHG Emissions Summary</t>
  </si>
  <si>
    <t>GHG Emissions by GHG Type (MT CO2-e)</t>
  </si>
  <si>
    <t>Total Emissions by Location (MT CO2-e)</t>
  </si>
  <si>
    <t>Method Selection</t>
  </si>
  <si>
    <t>--</t>
  </si>
  <si>
    <r>
      <t xml:space="preserve">Step 1: Enter in the names of each facility or region into the </t>
    </r>
    <r>
      <rPr>
        <b/>
        <sz val="10"/>
        <rFont val="Arial"/>
        <family val="2"/>
      </rPr>
      <t>Inputs</t>
    </r>
    <r>
      <rPr>
        <sz val="10"/>
        <rFont val="Arial"/>
        <family val="2"/>
      </rPr>
      <t xml:space="preserve"> page.</t>
    </r>
  </si>
  <si>
    <r>
      <t xml:space="preserve">Step 2: Go to the </t>
    </r>
    <r>
      <rPr>
        <b/>
        <sz val="10"/>
        <rFont val="Arial"/>
        <family val="2"/>
      </rPr>
      <t>Method Selection</t>
    </r>
    <r>
      <rPr>
        <sz val="10"/>
        <rFont val="Arial"/>
        <family val="2"/>
      </rPr>
      <t xml:space="preserve"> page to select the HFC calculation approach based on the level of detail you have on refrigerant use.</t>
    </r>
  </si>
  <si>
    <t>Step 3: Go to the relevant calculation approach worksheets (blue tabs) and enter in the relevant data to calculate emissions.</t>
  </si>
  <si>
    <r>
      <t xml:space="preserve">Step 4: Go to the </t>
    </r>
    <r>
      <rPr>
        <b/>
        <sz val="10"/>
        <rFont val="Arial"/>
        <family val="2"/>
      </rPr>
      <t>GHG Emissions</t>
    </r>
    <r>
      <rPr>
        <sz val="10"/>
        <rFont val="Arial"/>
        <family val="2"/>
      </rPr>
      <t xml:space="preserve"> page to view total HFC emissions.</t>
    </r>
  </si>
  <si>
    <r>
      <t xml:space="preserve">Green cells are </t>
    </r>
    <r>
      <rPr>
        <b/>
        <sz val="10"/>
        <rFont val="Arial"/>
        <family val="2"/>
      </rPr>
      <t>Optional Input Fields.</t>
    </r>
  </si>
  <si>
    <t>Reference (SAR GWPs)</t>
  </si>
  <si>
    <t>SAR GWP Reference URL</t>
  </si>
  <si>
    <t>Reference (AR4 GWPs)</t>
  </si>
  <si>
    <t>AR4 GWP Reference URL</t>
  </si>
  <si>
    <t>Global warming potential (100 yr.) - SAR</t>
  </si>
  <si>
    <t>Global warming potential (100 yr.) - AR4</t>
  </si>
  <si>
    <t>Global warming potential (100 yr.) - Selected</t>
  </si>
  <si>
    <t>Greenhouse Gas Protocol - Global Warming Potentials</t>
  </si>
  <si>
    <t>http://www.ghgprotocol.org/files/ghgp/tools/Global%20Warming%20Potentials.pdf</t>
  </si>
  <si>
    <t>Global Warming Potential Source</t>
  </si>
  <si>
    <t>IPCC Second Assessment Report (SAR)</t>
  </si>
  <si>
    <t>IPCC Fourth Assessment Report (AR4)</t>
  </si>
  <si>
    <t>Drop Down</t>
  </si>
  <si>
    <t>Emissions by Location</t>
  </si>
  <si>
    <t>Emissions by GHG Type</t>
  </si>
  <si>
    <t>Emissions by Equipment Category</t>
  </si>
  <si>
    <t>Drop Down List</t>
  </si>
  <si>
    <t>Facility Breakdown Summary</t>
  </si>
  <si>
    <t>Museum</t>
  </si>
  <si>
    <t>Museum (Install)</t>
  </si>
  <si>
    <t>Hospital (Install)</t>
  </si>
  <si>
    <t>Hospital (Operation)</t>
  </si>
  <si>
    <t>Museum (Operation)</t>
  </si>
  <si>
    <t>Museum (Disposal)</t>
  </si>
  <si>
    <t>Hospital (Disposal)</t>
  </si>
  <si>
    <t>Museum (All)</t>
  </si>
  <si>
    <t>Hospital (All)</t>
  </si>
  <si>
    <t>PostEU</t>
  </si>
  <si>
    <t>PrisonEU</t>
  </si>
  <si>
    <t>MuseumEU</t>
  </si>
  <si>
    <t>CommEU</t>
  </si>
  <si>
    <t>NavEU</t>
  </si>
  <si>
    <t>TransRefEU</t>
  </si>
  <si>
    <t>MobACEU</t>
  </si>
  <si>
    <t>"Active" Refrigerant?</t>
  </si>
  <si>
    <t>Y</t>
  </si>
  <si>
    <t>R-Gas</t>
  </si>
  <si>
    <t>#</t>
  </si>
  <si>
    <t xml:space="preserve">            At this point the worksheets for the methods you have selected will become visible as blue tabs in the workbook.</t>
  </si>
  <si>
    <t>Emis DB</t>
  </si>
  <si>
    <t>Sum of 5 Sheets</t>
  </si>
  <si>
    <t>Diff</t>
  </si>
  <si>
    <t>GHGs (CO2-e)</t>
  </si>
  <si>
    <r>
      <t>I</t>
    </r>
    <r>
      <rPr>
        <vertAlign val="subscript"/>
        <sz val="11"/>
        <color theme="1"/>
        <rFont val="Calibri"/>
        <family val="2"/>
        <scheme val="minor"/>
      </rPr>
      <t>B</t>
    </r>
  </si>
  <si>
    <r>
      <t>I</t>
    </r>
    <r>
      <rPr>
        <vertAlign val="subscript"/>
        <sz val="11"/>
        <color theme="1"/>
        <rFont val="Calibri"/>
        <family val="2"/>
        <scheme val="minor"/>
      </rPr>
      <t>E</t>
    </r>
  </si>
  <si>
    <r>
      <t>C</t>
    </r>
    <r>
      <rPr>
        <vertAlign val="subscript"/>
        <sz val="11"/>
        <color theme="1"/>
        <rFont val="Calibri"/>
        <family val="2"/>
        <scheme val="minor"/>
      </rPr>
      <t>B</t>
    </r>
  </si>
  <si>
    <r>
      <t>C</t>
    </r>
    <r>
      <rPr>
        <vertAlign val="subscript"/>
        <sz val="11"/>
        <color theme="1"/>
        <rFont val="Calibri"/>
        <family val="2"/>
        <scheme val="minor"/>
      </rPr>
      <t>E</t>
    </r>
  </si>
  <si>
    <r>
      <t>C</t>
    </r>
    <r>
      <rPr>
        <vertAlign val="subscript"/>
        <sz val="11"/>
        <color theme="1"/>
        <rFont val="Calibri"/>
        <family val="2"/>
        <scheme val="minor"/>
      </rPr>
      <t>N</t>
    </r>
  </si>
  <si>
    <r>
      <t>C</t>
    </r>
    <r>
      <rPr>
        <vertAlign val="subscript"/>
        <sz val="11"/>
        <color theme="1"/>
        <rFont val="Calibri"/>
        <family val="2"/>
        <scheme val="minor"/>
      </rPr>
      <t>D</t>
    </r>
  </si>
  <si>
    <r>
      <t>P</t>
    </r>
    <r>
      <rPr>
        <vertAlign val="subscript"/>
        <sz val="11"/>
        <color theme="1"/>
        <rFont val="Calibri"/>
        <family val="2"/>
        <scheme val="minor"/>
      </rPr>
      <t>N</t>
    </r>
  </si>
  <si>
    <r>
      <t>P</t>
    </r>
    <r>
      <rPr>
        <vertAlign val="subscript"/>
        <sz val="11"/>
        <color theme="1"/>
        <rFont val="Calibri"/>
        <family val="2"/>
        <scheme val="minor"/>
      </rPr>
      <t>S</t>
    </r>
  </si>
  <si>
    <r>
      <t>R</t>
    </r>
    <r>
      <rPr>
        <vertAlign val="subscript"/>
        <sz val="11"/>
        <color theme="1"/>
        <rFont val="Calibri"/>
        <family val="2"/>
        <scheme val="minor"/>
      </rPr>
      <t>D</t>
    </r>
  </si>
  <si>
    <t>Calculation Approach Comparison</t>
  </si>
  <si>
    <t>OK - no installation emissions</t>
  </si>
  <si>
    <t>R-407F</t>
  </si>
  <si>
    <t>FEMP Summary</t>
  </si>
  <si>
    <t>lbs</t>
  </si>
  <si>
    <t>Simplified Screening 2: F-Gas breakdown</t>
  </si>
  <si>
    <t>Total F-Gas Emissions (lb)</t>
  </si>
  <si>
    <t>Total F-Gas Emissions (MT)</t>
  </si>
  <si>
    <t>Source: Federal Greenhouse Gas Accounting and Reporting Guidance - Technical Support Document</t>
  </si>
  <si>
    <t>http://www.whitehouse.gov/administration/eop/ceq/sustainability/fed-ghg</t>
  </si>
  <si>
    <t>Default Methodology Approach</t>
  </si>
  <si>
    <t>Annual Emissions [MT F-gas] = (I –R) ● 4.536 x 10–4 [MT/lb]</t>
  </si>
  <si>
    <t>I = Amount of F-gas issued from supply system [lb]</t>
  </si>
  <si>
    <t>R = Amount of F-gas returned to supply system from equipment, which includes the amount recovered from equipment during maintenance and the unused amount originally issued from supply [lb]</t>
  </si>
  <si>
    <t>Agency (unspecified)</t>
  </si>
  <si>
    <t>Do you plan to report on emissions from vehicles?</t>
  </si>
  <si>
    <t>RefWareEU</t>
  </si>
  <si>
    <t>Use this page to calculate emissions if you have data on refrigerant inventory, acquisitions, disbursements, and capacity.</t>
  </si>
  <si>
    <t>Material Balance / Default Methodology</t>
  </si>
  <si>
    <t>Use this page to calculate emissions if you have data on the purchases of new equipment, the services of existing equipment, the disposal of retiring equipment, and the time the equipment is in use.</t>
  </si>
  <si>
    <t>Use this page to calculate emissions if you have data on the purchases of new equipment, the services of existing equipment, and the disposal of retiring equipment.</t>
  </si>
  <si>
    <t>Click on the drop-down menu below to view the various breakdowns in HFC emissions from your equipment, presented by facility type.</t>
  </si>
  <si>
    <t>This page compiles data from facilities into a format suitable for the FEMP workbook, "3.5 SCOPE 1 Mixed Refrigerants" input sheet.</t>
  </si>
  <si>
    <t>Units per 1000 Square Feet (or Units per 1000 Vehicles)</t>
  </si>
  <si>
    <t>Units per 1000 Square Feet / 1000 Vehicles (Default Federal Building)</t>
  </si>
  <si>
    <r>
      <t xml:space="preserve">If you have selected the </t>
    </r>
    <r>
      <rPr>
        <b/>
        <sz val="14"/>
        <color indexed="9"/>
        <rFont val="Calibri"/>
        <family val="2"/>
      </rPr>
      <t>Default Methodology</t>
    </r>
    <r>
      <rPr>
        <sz val="14"/>
        <color indexed="9"/>
        <rFont val="Calibri"/>
        <family val="2"/>
      </rPr>
      <t xml:space="preserve"> approach, only data on F-gas acquisitions and disbursements are needed (columns I and J).</t>
    </r>
  </si>
  <si>
    <t>Install</t>
  </si>
  <si>
    <t>Operation</t>
  </si>
  <si>
    <t>Disposal</t>
  </si>
  <si>
    <t>Approach Selection Toggle</t>
  </si>
  <si>
    <t>Default Methodology / Material Balance Approach</t>
  </si>
  <si>
    <t>Enter custom leak/disposal rates?</t>
  </si>
  <si>
    <t>HFC emissions from refrigerants*</t>
  </si>
  <si>
    <t>Family housing</t>
  </si>
  <si>
    <t>Completion flag</t>
  </si>
  <si>
    <t>Facility or region name</t>
  </si>
  <si>
    <t>Federal building type / vehicle type</t>
  </si>
  <si>
    <t>Equipment type</t>
  </si>
  <si>
    <t>Refrigerant type</t>
  </si>
  <si>
    <t>Total square footage / number of vehicles</t>
  </si>
  <si>
    <t>Refrigerant type final</t>
  </si>
  <si>
    <t>Broad equipment category</t>
  </si>
  <si>
    <t>Number of units</t>
  </si>
  <si>
    <t>Total GHG emissions (MT CO2-e)</t>
  </si>
  <si>
    <t>% of total emissions</t>
  </si>
  <si>
    <t>Federal building type</t>
  </si>
  <si>
    <t>Greenhouse gas</t>
  </si>
  <si>
    <t>Calculation approach</t>
  </si>
  <si>
    <t>Quantity purchased / issued</t>
  </si>
  <si>
    <t>Unit of measure</t>
  </si>
  <si>
    <t>Quantity returned to supply</t>
  </si>
  <si>
    <t>Commerical unitary AC</t>
  </si>
  <si>
    <t>Window units</t>
  </si>
  <si>
    <t>Residential unitary AC</t>
  </si>
  <si>
    <t>Industrial process refrigeration</t>
  </si>
  <si>
    <t>Cold storage</t>
  </si>
  <si>
    <t>Commercial refrigeration</t>
  </si>
  <si>
    <t>Refrigerated transport</t>
  </si>
  <si>
    <t>Post office</t>
  </si>
  <si>
    <t>Prisons and detention centers</t>
  </si>
  <si>
    <t>Dormitories/barracks</t>
  </si>
  <si>
    <t>Warehouse, service &amp; industrial</t>
  </si>
  <si>
    <t>Refrigerated warehouse</t>
  </si>
  <si>
    <t>Communications systems</t>
  </si>
  <si>
    <t>Navigation and traffic aids</t>
  </si>
  <si>
    <t>Passenger vehicles</t>
  </si>
  <si>
    <t>Family housing (Install)</t>
  </si>
  <si>
    <t>Dormitories/barracks (Install)</t>
  </si>
  <si>
    <t>Post office (Install)</t>
  </si>
  <si>
    <t>Prisons and detention centers (Install)</t>
  </si>
  <si>
    <t>Warehouse, service &amp; industrial (Install)</t>
  </si>
  <si>
    <t>Refrigerated warehouse (Install)</t>
  </si>
  <si>
    <t>Communications systems (Install)</t>
  </si>
  <si>
    <t>Navigation and traffic aids (Install)</t>
  </si>
  <si>
    <t>Passenger vehicles (Install)</t>
  </si>
  <si>
    <t>Family housing (Operation)</t>
  </si>
  <si>
    <t>Dormitories/barracks (Operation)</t>
  </si>
  <si>
    <t>Post office (Operation)</t>
  </si>
  <si>
    <t>Prisons and detention centers (Operation)</t>
  </si>
  <si>
    <t>Warehouse, service &amp; industrial (Operation)</t>
  </si>
  <si>
    <t>Refrigerated warehouse (Operation)</t>
  </si>
  <si>
    <t>Communications systems (Operation)</t>
  </si>
  <si>
    <t>Navigation and traffic aids (Operation)</t>
  </si>
  <si>
    <t>Passenger vehicles (Operation)</t>
  </si>
  <si>
    <t>Family housing (Disposal)</t>
  </si>
  <si>
    <t>Dormitories/barracks (Disposal)</t>
  </si>
  <si>
    <t>Post office (Disposal)</t>
  </si>
  <si>
    <t>Prisons and detention centers (Disposal)</t>
  </si>
  <si>
    <t>Warehouse, service &amp; industrial (Disposal)</t>
  </si>
  <si>
    <t>Refrigerated warehouse (Disposal)</t>
  </si>
  <si>
    <t>Communications systems (Disposal)</t>
  </si>
  <si>
    <t>Navigation and traffic aids (Disposal)</t>
  </si>
  <si>
    <t>Passenger vehicles (Disposal)</t>
  </si>
  <si>
    <t>Family housing (All)</t>
  </si>
  <si>
    <t>Dormitories/barracks (All)</t>
  </si>
  <si>
    <t>Post office (All)</t>
  </si>
  <si>
    <t>Prisons and detention centers (All)</t>
  </si>
  <si>
    <t>Warehouse, service &amp; industrial (All)</t>
  </si>
  <si>
    <t>Refrigerated warehouse (All)</t>
  </si>
  <si>
    <t>Communications systems (All)</t>
  </si>
  <si>
    <t>Navigation and traffic aids (All)</t>
  </si>
  <si>
    <t>Passenger vehicles (All)</t>
  </si>
  <si>
    <t>Supermarkets/commissaries</t>
  </si>
  <si>
    <t>Supermarkets/commissaries (Install)</t>
  </si>
  <si>
    <t>Supermarkets/commissaries (Operation)</t>
  </si>
  <si>
    <t>Supermarkets/commissaries (Disposal)</t>
  </si>
  <si>
    <t>Supermarkets/commissaries (All)</t>
  </si>
  <si>
    <t>Other equipment</t>
  </si>
  <si>
    <t>Other buildings</t>
  </si>
  <si>
    <t>This section is no longer in use</t>
  </si>
  <si>
    <t>The greyed out section is no longer in use</t>
  </si>
  <si>
    <t>Data Type</t>
  </si>
  <si>
    <t>Number of vehicles</t>
  </si>
  <si>
    <t>Building square feet</t>
  </si>
  <si>
    <t>Building type</t>
  </si>
  <si>
    <t>Amount of refrigerant returned to the supply system</t>
  </si>
  <si>
    <t>Amount of refrigerant charged into new equipment</t>
  </si>
  <si>
    <t>Amount of refrigerant purchased to fill new equipment at installation</t>
  </si>
  <si>
    <t>Amount of refrigerant used to service equipment</t>
  </si>
  <si>
    <t>Amount of refrigerant recovered from retiring equipment</t>
  </si>
  <si>
    <t>Quantity of refrigerant in storage at beginning of year</t>
  </si>
  <si>
    <t>Quantity of refrigerant in storage at end of the year</t>
  </si>
  <si>
    <t>Available Approaches</t>
  </si>
  <si>
    <t>Material Balance</t>
  </si>
  <si>
    <t>Vehicle category</t>
  </si>
  <si>
    <t>Equipment capacity and refrigerant stocks</t>
  </si>
  <si>
    <t>Refrigerants purchased, used, and recovered</t>
  </si>
  <si>
    <t>Building or vehicle equipment type</t>
  </si>
  <si>
    <t>General questions regarding building type, equipment type, and number of units/building size</t>
  </si>
  <si>
    <t>Charge capacity of existing equipment</t>
  </si>
  <si>
    <t>Charge capacity of retiring equipment</t>
  </si>
  <si>
    <t>Charge capacity of new equipment</t>
  </si>
  <si>
    <t>Charge capacity at beginning of the year</t>
  </si>
  <si>
    <t>Charge capacity at end of the year</t>
  </si>
  <si>
    <t>Description</t>
  </si>
  <si>
    <t>Buildings primarily used for office space or military headquarters.</t>
  </si>
  <si>
    <t>Buildings primarily used as dwellings for families/dependents. Includes apartment houses, single houses, row houses, public housing, military personnel housing, Federal employee housing, and housing for institutional personnel.</t>
  </si>
  <si>
    <t>Buildings or portions of buildings used as a Post Office.</t>
  </si>
  <si>
    <t>Buildings used for the housing and/or display of tangible objects or collections for the purpose of displaying said objects or collections for public view and benefit on a regular basis.</t>
  </si>
  <si>
    <t xml:space="preserve">Buildings used for storing and selling food and supplies and/or a food service establishment. </t>
  </si>
  <si>
    <t>Buildings used for refrigerated storage that are entirely temperature controlled, primarily used to store perishable, chilled and/or frozen food products or other temperature-sensitive chemicals/products.</t>
  </si>
  <si>
    <t>Buildings used for telephone and telegraph systems, data transmission, satellite communications, and/or associated with radio towers or other communications facilities.</t>
  </si>
  <si>
    <t>Includes buildings that house aircraft or ship navigation and traffic aids, such as beacon lights, antenna systems, ground control approach systems, and obstruction lighting.</t>
  </si>
  <si>
    <t>Buildings used primarily for furnishing in-patient diagnosis and treatment under physician supervision and having 24-hour-a-day registered graduate nursing services. This category also includes medical laboratories used for routine testing. This category excludes buildings used directly in basic or applied medical research.</t>
  </si>
  <si>
    <t>Refrigerated vehicles that are used to transport perishable goods, such as frozen foods, fruit and vegetables, and temperature-sensitive chemicals.</t>
  </si>
  <si>
    <t>Household refrigerators and/or freezers</t>
  </si>
  <si>
    <t>A refrigeration system used for short-term preservation of food products in households which typically has a compression machine designed for continuous automatic operation.</t>
  </si>
  <si>
    <t>Stand-alone retail refrigerators and freezers</t>
  </si>
  <si>
    <t>Includes stand-alone retail refrigeration equipment such as reach-in refrigerators and freezers, beverage coolers and water coolers.</t>
  </si>
  <si>
    <t>Walk-in refrigerators and freezers</t>
  </si>
  <si>
    <t>Includes walk-in refrigerators and freezers with single or multiple condensing unit systems.</t>
  </si>
  <si>
    <t>Supermarket refrigeration and condensing units</t>
  </si>
  <si>
    <t>Includes large refrigeration systems used in supermarkets such as systems consisting of racks of multiple compressors and other components that are connected to a remote condenser and linked to display cases, reach-ins, and walk-in cold rooms through a piping network (e.g., centralized, distributed, indirect, or cascade designs).</t>
  </si>
  <si>
    <t>Refrigerated transport - land</t>
  </si>
  <si>
    <t>Refrigerated vehicle that moves products from one place to another on land while maintaining necessary temperatures, and include truck trailers, railway freight cars, and other shipping containers.</t>
  </si>
  <si>
    <t>Refrigerated transport - marine</t>
  </si>
  <si>
    <t>Refrigerated ship that moves products from one place to another in a body of water while maintaining necessary temperatures, and include refrigerated ship holds and other shipping containers.</t>
  </si>
  <si>
    <t>Passenger car A/C</t>
  </si>
  <si>
    <t>Light-duty or heavy-duty truck A/C</t>
  </si>
  <si>
    <t>Bus A/C</t>
  </si>
  <si>
    <t xml:space="preserve">A bus equipped with an air conditioning system. </t>
  </si>
  <si>
    <t>Building and Equipment Definitions</t>
  </si>
  <si>
    <t>Available Equipment Types</t>
  </si>
  <si>
    <r>
      <rPr>
        <b/>
        <sz val="10"/>
        <color theme="1"/>
        <rFont val="Arial Narrow"/>
        <family val="2"/>
      </rPr>
      <t xml:space="preserve">Warehouses - </t>
    </r>
    <r>
      <rPr>
        <sz val="10"/>
        <color theme="1"/>
        <rFont val="Arial Narrow"/>
        <family val="2"/>
      </rPr>
      <t xml:space="preserve">Buildings used for storage, such as ammunition storage, covered sheds, and buildings primarily used for storage of vehicles or materials. Also included are underground or earth covered ammunition storage bunkers and magazines. This category excludes water reservoirs and petroleum, oil, and lubricant (POL) storage tanks which are storage structures.
</t>
    </r>
    <r>
      <rPr>
        <b/>
        <sz val="10"/>
        <color theme="1"/>
        <rFont val="Arial Narrow"/>
        <family val="2"/>
      </rPr>
      <t xml:space="preserve">Service Buildings - </t>
    </r>
    <r>
      <rPr>
        <sz val="10"/>
        <color theme="1"/>
        <rFont val="Arial Narrow"/>
        <family val="2"/>
      </rPr>
      <t xml:space="preserve">Buildings used for service activities, such as maintenance and repair shops, dry cleaning plants, post exchange stores, airport hangars, and buildings primarily used for vehicle maintenance and repair.
</t>
    </r>
    <r>
      <rPr>
        <b/>
        <sz val="10"/>
        <color theme="1"/>
        <rFont val="Arial Narrow"/>
        <family val="2"/>
      </rPr>
      <t xml:space="preserve">Industrial Buildings - </t>
    </r>
    <r>
      <rPr>
        <sz val="10"/>
        <color theme="1"/>
        <rFont val="Arial Narrow"/>
        <family val="2"/>
      </rPr>
      <t>Buildings specifically designed and primarily used for production or manufacturing, such as the production or manufacture of ammunition, aircraft, ships, vehicles, electronic equipment, fish production, chemicals, aluminum, and magnesium. Included are buildings that house utility plants or utility system components such as pump stations or valves.</t>
    </r>
  </si>
  <si>
    <t>Available Building &amp; Vehicle Types</t>
  </si>
  <si>
    <t>Refrigerated storage rooms or warehouses that are entirely temperature controlled, primarily used to store perishable, chilled and/or frozen food products or other temperature-sensitive chemicals/products. Medium units range from 12,000-120,000 square feet of floor space, or a capacity charge of between 200 and 2,000 lbs.</t>
  </si>
  <si>
    <t>Refrigerated storage rooms or warehouses that are entirely temperature controlled, primarily used to store perishable, chilled and/or frozen food products or other temperature-sensitive chemicals/products. Large units are greater than 120,000 square feet of floor space, or a capacity charge of greater than 2,000 lbs.</t>
  </si>
  <si>
    <t>Default Total Emissions Check</t>
  </si>
  <si>
    <t>FEMP Report</t>
  </si>
  <si>
    <t>Quantity purchased / issued (lbs)</t>
  </si>
  <si>
    <t>Quantity returned to supply (lbs)</t>
  </si>
  <si>
    <t>Total F-Gas (lbs)</t>
  </si>
  <si>
    <t>check2</t>
  </si>
  <si>
    <t>Simp Screen 2 Emissions Database Checks</t>
  </si>
  <si>
    <t>Check 1</t>
  </si>
  <si>
    <t>Check 2</t>
  </si>
  <si>
    <t>check1</t>
  </si>
  <si>
    <t>Total F-Gas (MT)</t>
  </si>
  <si>
    <t xml:space="preserve">            For explanations of how different building types or equipment are defined, please see the "Definitions" worksheet.</t>
  </si>
  <si>
    <t>Facility or Region Number</t>
  </si>
  <si>
    <t>Buildings used to forcibly contain individuals under the authority of a government, including facilities such as living quarters, kitchen and dining, health care, education, recreation and fitness.</t>
  </si>
  <si>
    <t>Buildings used directly in basic or applied research in the sciences (including medicine) and in engineering, such as medical laboratories; meteorological research laboratories; and buildings used in designing, developing, and testing of prototypes and processes for chemistry and physics. This category excludes medical or industrial laboratories used for routine testing.</t>
  </si>
  <si>
    <t>Number of refrigerant-containing units</t>
  </si>
  <si>
    <t>Amount of refrigerant purchased/issued from supply</t>
  </si>
  <si>
    <t>The two tables below list available building and equipment types available for use throughout the tool.</t>
  </si>
  <si>
    <t>Building/Vehicle Type</t>
  </si>
  <si>
    <t>Buildings primarily used for formally organized instruction, such as schools for dependent children of Federal employees, Indian schools, and military training buildings including specialized training facilities.</t>
  </si>
  <si>
    <t>(lb)</t>
  </si>
  <si>
    <t>Annual emissions</t>
  </si>
  <si>
    <t>(MT F-gas)</t>
  </si>
  <si>
    <t>Annual greenhouse gas emissions</t>
  </si>
  <si>
    <t>Total capacity of F-gas in equipment at end of inventory year</t>
  </si>
  <si>
    <t>Total capacity of F-gas in equipment at beginning of inventory year</t>
  </si>
  <si>
    <t>Quantity of F-gas in storage at end of inventory year</t>
  </si>
  <si>
    <t>Quantity of F-gas in storage at beginning of inventory year</t>
  </si>
  <si>
    <t>F-gas recovered from retiring equipment</t>
  </si>
  <si>
    <t>Total full capacity of retiring equipment</t>
  </si>
  <si>
    <t>Quantity of F-gas used to service equipment</t>
  </si>
  <si>
    <t>Total full capacity of the new equipment</t>
  </si>
  <si>
    <t>Purchases of F-gas used to fill new equipment at installation</t>
  </si>
  <si>
    <t>Total full charge capacity of the equipment</t>
  </si>
  <si>
    <t>Quantity of F-gas charged into the new equipment</t>
  </si>
  <si>
    <t>(years)</t>
  </si>
  <si>
    <t>Time equipment was in use throughout the year</t>
  </si>
  <si>
    <t>Total full charge capacity of equipment being disposed</t>
  </si>
  <si>
    <t>(%)</t>
  </si>
  <si>
    <t>Recovery efficiency - final</t>
  </si>
  <si>
    <t>Refrigerant remaining at disposal - final</t>
  </si>
  <si>
    <t>Operation emission rate - final</t>
  </si>
  <si>
    <t>Installation emission rate - final</t>
  </si>
  <si>
    <t>User specified installation emission rate</t>
  </si>
  <si>
    <t>User specified operation emission rate</t>
  </si>
  <si>
    <t>User specified refrigerant remaining at disposal</t>
  </si>
  <si>
    <t>User specified recovery efficiency</t>
  </si>
  <si>
    <t>(#)</t>
  </si>
  <si>
    <t>Time equipment was in use</t>
  </si>
  <si>
    <t>Installation emission factor</t>
  </si>
  <si>
    <t>Operation emission factor</t>
  </si>
  <si>
    <t>Refrigerant remaining at disposal</t>
  </si>
  <si>
    <t>Recovery efficiency</t>
  </si>
  <si>
    <t>(square feet)</t>
  </si>
  <si>
    <t>Not utilized space</t>
  </si>
  <si>
    <t>(sqft or vehicles)</t>
  </si>
  <si>
    <t>Utilized building space / number of vehicles</t>
  </si>
  <si>
    <t>Click on the drop-down menu below to view the various breakdowns in HFC emissions from your equipment, or to refresh the chart when new data is entered.</t>
  </si>
  <si>
    <t>Note: You may also need to click on the drop down menu to refresh your data if you have recently entered new data.</t>
  </si>
  <si>
    <t>Note: If you are comparing the same emissions using multiple calculation approaches, choose the "Calculation Approach Comparison" report.</t>
  </si>
  <si>
    <t>Before you begin, please list all the facilities or regions for which you will estimate disaggregated GHG emissions. You will be able to select these facilities/regions from drop down menus on subsequent worksheets.</t>
  </si>
  <si>
    <t>Acknowledgements</t>
  </si>
  <si>
    <t>The HFC Emissions Accounting Tool was developed by ICF International (Pam Mathis, Manager; Jessica Kyle, Manager; Cory Jemison, Developer;</t>
  </si>
  <si>
    <t>Kasey Knoell, Technical Analyst) for the Federal Leadership in Reducing Emissions of Hydrofluorocarbons program under EPA contract</t>
  </si>
  <si>
    <t>EP-14-H-000494 (Led by Bella Maranion and Dave Godwin). The development team wishes to thank everyone who took part in the formal peer review</t>
  </si>
  <si>
    <r>
      <rPr>
        <b/>
        <u/>
        <sz val="10"/>
        <rFont val="Arial"/>
        <family val="2"/>
      </rPr>
      <t>Note:</t>
    </r>
    <r>
      <rPr>
        <b/>
        <sz val="10"/>
        <rFont val="Arial"/>
        <family val="2"/>
      </rPr>
      <t xml:space="preserve"> Please enable macros </t>
    </r>
    <r>
      <rPr>
        <sz val="10"/>
        <rFont val="Arial"/>
        <family val="2"/>
      </rPr>
      <t>before beginning. For assistance, see the section at the bottom of this page.</t>
    </r>
  </si>
  <si>
    <r>
      <t xml:space="preserve">White cells are </t>
    </r>
    <r>
      <rPr>
        <b/>
        <sz val="10"/>
        <rFont val="Arial"/>
        <family val="2"/>
      </rPr>
      <t>Calculations Fields</t>
    </r>
    <r>
      <rPr>
        <sz val="10"/>
        <rFont val="Arial"/>
        <family val="2"/>
      </rPr>
      <t xml:space="preserve"> and are not editable.</t>
    </r>
  </si>
  <si>
    <t>Instructions for Enabling Macros:</t>
  </si>
  <si>
    <t>How to enable macros in Microsoft Excel 2003</t>
  </si>
  <si>
    <r>
      <t xml:space="preserve">If the Security Warning box appears as shown below, select the </t>
    </r>
    <r>
      <rPr>
        <b/>
        <sz val="10"/>
        <rFont val="Arial"/>
        <family val="2"/>
      </rPr>
      <t>Enable Macros</t>
    </r>
    <r>
      <rPr>
        <sz val="10"/>
        <rFont val="Arial"/>
        <family val="2"/>
      </rPr>
      <t xml:space="preserve"> button to allow macros to run in the HFC tool.</t>
    </r>
  </si>
  <si>
    <r>
      <t>If the Security Warning box does not appear, you need to adjust your macro settings. To allow unsigned macros to run, the </t>
    </r>
    <r>
      <rPr>
        <b/>
        <sz val="10"/>
        <rFont val="Arial"/>
        <family val="2"/>
      </rPr>
      <t>Trust all installed add-ins and templates</t>
    </r>
    <r>
      <rPr>
        <sz val="10"/>
        <rFont val="Arial"/>
        <family val="2"/>
      </rPr>
      <t xml:space="preserve"> check box must be selected on the </t>
    </r>
    <r>
      <rPr>
        <b/>
        <sz val="10"/>
        <rFont val="Arial"/>
        <family val="2"/>
      </rPr>
      <t>Trusted Publishers</t>
    </r>
    <r>
      <rPr>
        <sz val="10"/>
        <rFont val="Arial"/>
        <family val="2"/>
      </rPr>
      <t> tab of the </t>
    </r>
    <r>
      <rPr>
        <b/>
        <sz val="10"/>
        <rFont val="Arial"/>
        <family val="2"/>
      </rPr>
      <t>Security</t>
    </r>
    <r>
      <rPr>
        <sz val="10"/>
        <rFont val="Arial"/>
        <family val="2"/>
      </rPr>
      <t> dialog box. This option is selected by default. If it is not selected (recommended), Excel allows you to run only macros that have trusted digital signatures.</t>
    </r>
  </si>
  <si>
    <r>
      <t xml:space="preserve">1. On the </t>
    </r>
    <r>
      <rPr>
        <b/>
        <sz val="10"/>
        <rFont val="Arial"/>
        <family val="2"/>
      </rPr>
      <t>Tools</t>
    </r>
    <r>
      <rPr>
        <sz val="10"/>
        <rFont val="Arial"/>
        <family val="2"/>
      </rPr>
      <t xml:space="preserve"> menu, point to </t>
    </r>
    <r>
      <rPr>
        <b/>
        <sz val="10"/>
        <rFont val="Arial"/>
        <family val="2"/>
      </rPr>
      <t>Macro</t>
    </r>
    <r>
      <rPr>
        <sz val="10"/>
        <rFont val="Arial"/>
        <family val="2"/>
      </rPr>
      <t xml:space="preserve">, and then click </t>
    </r>
    <r>
      <rPr>
        <b/>
        <sz val="10"/>
        <rFont val="Arial"/>
        <family val="2"/>
      </rPr>
      <t>Security</t>
    </r>
    <r>
      <rPr>
        <sz val="10"/>
        <rFont val="Arial"/>
        <family val="2"/>
      </rPr>
      <t>.</t>
    </r>
  </si>
  <si>
    <r>
      <t xml:space="preserve">2. On the </t>
    </r>
    <r>
      <rPr>
        <b/>
        <sz val="10"/>
        <rFont val="Arial"/>
        <family val="2"/>
      </rPr>
      <t>Trusted Publishers</t>
    </r>
    <r>
      <rPr>
        <sz val="10"/>
        <rFont val="Arial"/>
        <family val="2"/>
      </rPr>
      <t xml:space="preserve"> tab, select the </t>
    </r>
    <r>
      <rPr>
        <b/>
        <sz val="10"/>
        <rFont val="Arial"/>
        <family val="2"/>
      </rPr>
      <t>Trust all installed add-ins and templates</t>
    </r>
    <r>
      <rPr>
        <sz val="10"/>
        <rFont val="Arial"/>
        <family val="2"/>
      </rPr>
      <t xml:space="preserve"> check box.</t>
    </r>
  </si>
  <si>
    <t>Option 1: If your computer is set to the default settings: "Disable all macros with notification".</t>
  </si>
  <si>
    <t>Option 2: If your computer is set to high security settings: "Disable all macros without notification"</t>
  </si>
  <si>
    <t>http://office.microsoft.com/en-us/excel-help/enable-or-disable-macros-in-office-documents-HA010031071.aspx#BM12</t>
  </si>
  <si>
    <t>For additional assistance, please visit the Microsoft Office help page:</t>
  </si>
  <si>
    <t>You will need to adjust your security settings to allow you to choose to enable macros. To do so:</t>
  </si>
  <si>
    <r>
      <t xml:space="preserve">2. Click on </t>
    </r>
    <r>
      <rPr>
        <b/>
        <sz val="10"/>
        <rFont val="Arial"/>
        <family val="2"/>
      </rPr>
      <t>Trust Center</t>
    </r>
    <r>
      <rPr>
        <sz val="10"/>
        <rFont val="Arial"/>
        <family val="2"/>
      </rPr>
      <t xml:space="preserve"> in the Excel Options menu that pops up. From here, click </t>
    </r>
    <r>
      <rPr>
        <b/>
        <sz val="10"/>
        <rFont val="Arial"/>
        <family val="2"/>
      </rPr>
      <t>Trust Center Settings</t>
    </r>
    <r>
      <rPr>
        <sz val="10"/>
        <rFont val="Arial"/>
        <family val="2"/>
      </rPr>
      <t xml:space="preserve">, then </t>
    </r>
    <r>
      <rPr>
        <b/>
        <sz val="10"/>
        <rFont val="Arial"/>
        <family val="2"/>
      </rPr>
      <t>Macro Settings.</t>
    </r>
  </si>
  <si>
    <r>
      <t>3. Click on the "</t>
    </r>
    <r>
      <rPr>
        <b/>
        <sz val="10"/>
        <rFont val="Arial"/>
        <family val="2"/>
      </rPr>
      <t>Disable all macros with notification</t>
    </r>
    <r>
      <rPr>
        <sz val="10"/>
        <rFont val="Arial"/>
        <family val="2"/>
      </rPr>
      <t xml:space="preserve">" option and then the </t>
    </r>
    <r>
      <rPr>
        <b/>
        <sz val="10"/>
        <rFont val="Arial"/>
        <family val="2"/>
      </rPr>
      <t xml:space="preserve">OK </t>
    </r>
    <r>
      <rPr>
        <sz val="10"/>
        <rFont val="Arial"/>
        <family val="2"/>
      </rPr>
      <t>button to change your settings.</t>
    </r>
  </si>
  <si>
    <r>
      <t xml:space="preserve">1. Click on the Microsoft Office Button         or the </t>
    </r>
    <r>
      <rPr>
        <b/>
        <sz val="10"/>
        <rFont val="Arial"/>
        <family val="2"/>
      </rPr>
      <t>File</t>
    </r>
    <r>
      <rPr>
        <sz val="10"/>
        <rFont val="Arial"/>
        <family val="2"/>
      </rPr>
      <t xml:space="preserve"> button depending on your version of Excel, and go to </t>
    </r>
    <r>
      <rPr>
        <b/>
        <sz val="10"/>
        <rFont val="Arial"/>
        <family val="2"/>
      </rPr>
      <t>Options.</t>
    </r>
  </si>
  <si>
    <t>To enable macros in the HFC Tool, click “Enable Content” on the Message Bar that comes up.</t>
  </si>
  <si>
    <r>
      <t xml:space="preserve">If an additional security dialogue box pops up, select </t>
    </r>
    <r>
      <rPr>
        <b/>
        <sz val="10"/>
        <rFont val="Arial"/>
        <family val="2"/>
      </rPr>
      <t>“Enable content for this session”</t>
    </r>
    <r>
      <rPr>
        <sz val="10"/>
        <rFont val="Arial"/>
        <family val="2"/>
      </rPr>
      <t xml:space="preserve"> to allow macros to run in the HFC tool.</t>
    </r>
  </si>
  <si>
    <t>How to enable macros in Microsoft Excel 2007, 2010, and 2013</t>
  </si>
  <si>
    <r>
      <t>4. You may then need to close and re-open the file for the new security settings to take place, then follow instructions under "</t>
    </r>
    <r>
      <rPr>
        <i/>
        <sz val="10"/>
        <rFont val="Arial"/>
        <family val="2"/>
      </rPr>
      <t>Option 1"</t>
    </r>
    <r>
      <rPr>
        <sz val="10"/>
        <rFont val="Arial"/>
        <family val="2"/>
      </rPr>
      <t xml:space="preserve"> above to enable macros for the file.</t>
    </r>
  </si>
  <si>
    <t>http://office.microsoft.com/en-us/excel-help/change-macro-security-settings-in-excel-HP010096919.aspx</t>
  </si>
  <si>
    <t>For additional assistance in changing Macro security settings in Excel, please visit the Microsoft Office help page:</t>
  </si>
  <si>
    <t>of the tool including Glenn Gallagher (CARB), Michael Deru (NREL), Jed Ela (GSA) and Lena Kofas (GSA).</t>
  </si>
  <si>
    <t>Building Customization</t>
  </si>
  <si>
    <t>Share of Schools that have Cafeterias (% of schools by square feet)</t>
  </si>
  <si>
    <t>Source: "FedHFCTool_End-Use Assumptions_20 May 2014.xlsx"</t>
  </si>
  <si>
    <t>Room A/C</t>
  </si>
  <si>
    <t>Other residential A/C and heat pumps</t>
  </si>
  <si>
    <t>Other commercial A/C and heat pumps</t>
  </si>
  <si>
    <t>Buildings used for institutional purposes other than schools, hospitals, and prisons, such as libraries, chapels, out-patient clinics, land ports of entry, and courthouses. This category also includes food preparation and dining facilities, buildings housing entertainment and recreational activities, and visitor’s centers.</t>
  </si>
  <si>
    <t>Non-HFC</t>
  </si>
  <si>
    <t>Compact Refrigerator Capacity (kg)</t>
  </si>
  <si>
    <t>Equivalent compact refrigerators per household refrigerator (#)</t>
  </si>
  <si>
    <t>Share of buildings / vehicles with AC (% of total square feet of all buildings for each type)</t>
  </si>
  <si>
    <t>Basic Information</t>
  </si>
  <si>
    <t>Agency Name</t>
  </si>
  <si>
    <t>Reporting Year</t>
  </si>
  <si>
    <t>More details on building and equipment types?</t>
  </si>
  <si>
    <t>Equipment Assumptions</t>
  </si>
  <si>
    <t>Share of units for an end use in a given year that use HFCs (Rounded %)</t>
  </si>
  <si>
    <t>These assumptions feed into Simplified Screening 1 and Simplified Screening 2 and "discount" emissions from the default HFC type in each approach. If the user specifies a refrigerant in Simplified Screening 1, the discount is not applied to that selection.</t>
  </si>
  <si>
    <t>Equipment assumption details?</t>
  </si>
  <si>
    <t>Not currently in use</t>
  </si>
  <si>
    <t>Selected Year</t>
  </si>
  <si>
    <t>Not discounted</t>
  </si>
  <si>
    <t>Discounted</t>
  </si>
  <si>
    <t>Add for check?</t>
  </si>
  <si>
    <t>Discounted - The share of "Non-HFCs" is taken out of the share of each refrigerant based on the market average for end use type and reporting year.</t>
  </si>
  <si>
    <t>Non-Discounted (since it gets applied to an already discounted value)</t>
  </si>
  <si>
    <t>Discounted Annual Emissions (MT F-gas)</t>
  </si>
  <si>
    <t>A/C and Cafeteria Customization for Buildings</t>
  </si>
  <si>
    <t>Use this page to customize the share of each building type that uses AC, as well as the share of schools that have cafeterias for the Simplified Screening 2 approach.</t>
  </si>
  <si>
    <t>These percentages will be applied uniformly for a particular building type in the Simplified Screening 2 Approach</t>
  </si>
  <si>
    <t>Equipment assumptions are listed below, including default leak, service, and recovery rates, equipment lifetimes, and the default share of equipment that use HFCs.</t>
  </si>
  <si>
    <t>Non-HFCs</t>
  </si>
  <si>
    <t>Default Values Checks</t>
  </si>
  <si>
    <t>Discount added into all of these percentages</t>
  </si>
  <si>
    <t>Green Cells - Tied to Building Customization</t>
  </si>
  <si>
    <t>HFC Emissions Accounting Tool</t>
  </si>
  <si>
    <t xml:space="preserve">A self-contained air conditioning unit designed to be window-mounted, portable, or installed through the wall of a room (e.g., window units, packaged terminal A/C [PTAC]). Inside of the unit is a compressor, condensing coil, evaporator coil, blower, controls. Window and wall unit capacities are generally 5,000 to 24,000 BTU/hour, but heavy-duty units can reach 30,000 BTU/hour. PTAC capacities are 7,000 – 15,000 BTU/hr. </t>
  </si>
  <si>
    <t>Other air conditioning systems and heat pumps used in residential buildings, including ducted split systems (central A/C) and ductless split systems (e.g., mini-splits, multi-splits). Capacities are generally less than 65,000 BTU/hr.</t>
  </si>
  <si>
    <t>Other air conditioning systems and heat pumps used in commercial buildings, including ducted split systems (central A/C), ductless split systems (e.g., variable refrigerant flow systems, other multi-splits), and packaged rooftop units. Capacities are generally 65,000–135,000 BTU/hour for small units and 135,000–240,000 BTU/hour for larger units. Does not include chillers.</t>
  </si>
  <si>
    <t>Centralized air conditioning systems used in medium and large buildings—including offices, hotels, shopping centers, and other large buildings—as well as in specialty applications on ships, submarines, nuclear power plants, and other industrial applications. May use centrifugal, screw, scroll, or reciprocating compressors. Chilled water is typically distributed to heat exchangers, or coils, in air handling units or other types of terminal devices which cool the air in their respective space(s), and then the water is re-circulated back to the chiller to be cooled again. Capacities generally range from 360,000 to 2,400,000 BTU/hr for scroll, screw, rotary and reciprocating compressors and 1,800,000 to 24,000,000 BTU/h for centrifugal compressors.</t>
  </si>
  <si>
    <t>Contact Name</t>
  </si>
  <si>
    <t>Contact Email</t>
  </si>
  <si>
    <t>Contact Phone</t>
  </si>
  <si>
    <t>Supermarkets/ commissaries</t>
  </si>
  <si>
    <t>Dormitories/ barracks</t>
  </si>
  <si>
    <r>
      <rPr>
        <b/>
        <sz val="12"/>
        <color theme="1"/>
        <rFont val="Calibri"/>
        <family val="2"/>
        <scheme val="minor"/>
      </rPr>
      <t>Approach Screening Tool</t>
    </r>
    <r>
      <rPr>
        <sz val="11"/>
        <color theme="1"/>
        <rFont val="Calibri"/>
        <family val="2"/>
        <scheme val="minor"/>
      </rPr>
      <t xml:space="preserve">: </t>
    </r>
    <r>
      <rPr>
        <u/>
        <sz val="11"/>
        <color theme="1"/>
        <rFont val="Calibri"/>
        <family val="2"/>
        <scheme val="minor"/>
      </rPr>
      <t>Select “Yes” or “No” from the drop down menus</t>
    </r>
    <r>
      <rPr>
        <sz val="11"/>
        <color theme="1"/>
        <rFont val="Calibri"/>
        <family val="2"/>
        <scheme val="minor"/>
      </rPr>
      <t xml:space="preserve"> in this table to determine which approach(es) are available for you to use based on the data you have. Since you may have unique datasets for different equipment, facilities, and/or regions, three columns are provided for you to determine the available approaches for each dataset. If more than three unique datasets will be used to estimate HFC emissions, you may copy/paste as many additional columns are needed.</t>
    </r>
  </si>
  <si>
    <t>Dataset 1</t>
  </si>
  <si>
    <t>Dataset 2</t>
  </si>
  <si>
    <t>Dataset 3</t>
  </si>
  <si>
    <t>WARNING! You have entered data resulting in negative emissions. While this is possible using this emission estimation methodology, and acceptable for FEMP reporting purposes, using a more advanced approach will result in more accurate emissions for the current year (as opposed to year-over-year).</t>
  </si>
  <si>
    <t>Need help determining which emission estimation method to select?</t>
  </si>
  <si>
    <t xml:space="preserve">Please check one or more of the calculation approach boxes you wish to use to calculate GHG emissions. </t>
  </si>
  <si>
    <t>As you move down the options, the accuracy improves but the level of data required is greater.</t>
  </si>
  <si>
    <t>(MT Refrigerant)</t>
  </si>
  <si>
    <t>Total Refrigerant Emissions (MT)</t>
  </si>
  <si>
    <t>Total Refrigerant Emissions (lb)</t>
  </si>
  <si>
    <r>
      <t>(MT CO</t>
    </r>
    <r>
      <rPr>
        <b/>
        <vertAlign val="subscript"/>
        <sz val="11"/>
        <color theme="0"/>
        <rFont val="Calibri"/>
        <family val="2"/>
        <scheme val="minor"/>
      </rPr>
      <t>2</t>
    </r>
    <r>
      <rPr>
        <b/>
        <sz val="11"/>
        <color theme="0"/>
        <rFont val="Calibri"/>
        <family val="2"/>
        <scheme val="minor"/>
      </rPr>
      <t>-e)</t>
    </r>
  </si>
  <si>
    <r>
      <t>Total GHG emissions (MT CO</t>
    </r>
    <r>
      <rPr>
        <b/>
        <vertAlign val="subscript"/>
        <sz val="11"/>
        <color theme="0"/>
        <rFont val="Calibri"/>
        <family val="2"/>
        <scheme val="minor"/>
      </rPr>
      <t>2</t>
    </r>
    <r>
      <rPr>
        <b/>
        <sz val="11"/>
        <color theme="0"/>
        <rFont val="Calibri"/>
        <family val="2"/>
        <scheme val="minor"/>
      </rPr>
      <t>-e)</t>
    </r>
  </si>
  <si>
    <t>Source: EPA's Vintaging Model v4.4 (2014)</t>
  </si>
  <si>
    <t>Enter Your Facility or Region Names Below</t>
  </si>
  <si>
    <t>This tool assists US Federal Agencies in estimating HFC emissions from equipment containing refrigerants.</t>
  </si>
  <si>
    <t xml:space="preserve">  *All default refrigerants (i.e. refrigerants that are not specified by the user) are based on refrigerants leading to HFC emissions. However, users can also select from a </t>
  </si>
  <si>
    <t xml:space="preserve">   broader list of refrigerants consistent with the FEMP reporting tool; some of these refrigerants also lead to PFC emissions.</t>
  </si>
  <si>
    <t>F-gas issued from supply system</t>
  </si>
  <si>
    <t>F-gas returned to the supply system</t>
  </si>
  <si>
    <t>I</t>
  </si>
  <si>
    <t>R</t>
  </si>
  <si>
    <t>Buses</t>
  </si>
  <si>
    <t>Light-duty or heavy-duty trucks</t>
  </si>
  <si>
    <t>Refrigerated transport - land (Install)</t>
  </si>
  <si>
    <t>Refrigerated transport - marine (Install)</t>
  </si>
  <si>
    <t>Light-duty or heavy-duty trucks (Install)</t>
  </si>
  <si>
    <t>Buses (Install)</t>
  </si>
  <si>
    <t>Refrigerated transport - land (Operation)</t>
  </si>
  <si>
    <t>Refrigerated transport - marine (Operation)</t>
  </si>
  <si>
    <t>Light-duty or heavy-duty trucks (Operation)</t>
  </si>
  <si>
    <t>Buses (Operation)</t>
  </si>
  <si>
    <t>Refrigerated transport - land (Disposal)</t>
  </si>
  <si>
    <t>Refrigerated transport - marine (Disposal)</t>
  </si>
  <si>
    <t>Light-duty or heavy-duty trucks (Disposal)</t>
  </si>
  <si>
    <t>Buses (Disposal)</t>
  </si>
  <si>
    <t>Refrigerated transport - land (All)</t>
  </si>
  <si>
    <t>Refrigerated transport - marine (All)</t>
  </si>
  <si>
    <t>Light-duty or heavy-duty trucks (All)</t>
  </si>
  <si>
    <t>Buses (All)</t>
  </si>
  <si>
    <t>Trans</t>
  </si>
  <si>
    <t>Version 1.1</t>
  </si>
  <si>
    <t>Getting Started</t>
  </si>
  <si>
    <t>Version 1.1 Updates:</t>
  </si>
  <si>
    <t>2. Additional navigation buttons have been added to move forwards and backwards throughout the tool.</t>
  </si>
  <si>
    <t xml:space="preserve">Bus equipped with an air conditioning system. </t>
  </si>
  <si>
    <r>
      <t>Light-duty passenger vehicle equipped with an air conditioning system.</t>
    </r>
    <r>
      <rPr>
        <vertAlign val="superscript"/>
        <sz val="10"/>
        <color theme="1"/>
        <rFont val="Arial Narrow"/>
        <family val="2"/>
      </rPr>
      <t>1</t>
    </r>
  </si>
  <si>
    <r>
      <rPr>
        <i/>
        <vertAlign val="superscript"/>
        <sz val="11"/>
        <color theme="1"/>
        <rFont val="Calibri"/>
        <family val="2"/>
        <scheme val="minor"/>
      </rPr>
      <t>1</t>
    </r>
    <r>
      <rPr>
        <i/>
        <sz val="11"/>
        <color theme="1"/>
        <rFont val="Calibri"/>
        <family val="2"/>
        <scheme val="minor"/>
      </rPr>
      <t xml:space="preserve">Vehicle category defined by EPA by gross vehicle weight rating (GVWR); light-duty (GVWR </t>
    </r>
    <r>
      <rPr>
        <i/>
        <u/>
        <sz val="11"/>
        <color theme="1"/>
        <rFont val="Calibri"/>
        <family val="2"/>
        <scheme val="minor"/>
      </rPr>
      <t>&lt;</t>
    </r>
    <r>
      <rPr>
        <i/>
        <sz val="11"/>
        <color theme="1"/>
        <rFont val="Calibri"/>
        <family val="2"/>
        <scheme val="minor"/>
      </rPr>
      <t xml:space="preserve"> 8,500 lb) or heavy-duty (GVWR </t>
    </r>
    <r>
      <rPr>
        <i/>
        <u/>
        <sz val="11"/>
        <color theme="1"/>
        <rFont val="Calibri"/>
        <family val="2"/>
        <scheme val="minor"/>
      </rPr>
      <t>&gt;</t>
    </r>
    <r>
      <rPr>
        <i/>
        <sz val="11"/>
        <color theme="1"/>
        <rFont val="Calibri"/>
        <family val="2"/>
        <scheme val="minor"/>
      </rPr>
      <t xml:space="preserve"> 8,501 lb).</t>
    </r>
  </si>
  <si>
    <r>
      <t>Light-duty or heavy-duty truck a equipped with an air conditioning system; includes sport utility vehicles (SUVs).</t>
    </r>
    <r>
      <rPr>
        <vertAlign val="superscript"/>
        <sz val="10"/>
        <color theme="1"/>
        <rFont val="Arial Narrow"/>
        <family val="2"/>
      </rPr>
      <t>1</t>
    </r>
  </si>
  <si>
    <t xml:space="preserve">1. Additional vehicle type options have been added across calculation approaches to include buses, passenger vehicles, light-duty and </t>
  </si>
  <si>
    <t xml:space="preserve">heavy-duty trucks, and refrigerated transport for land and marine transportation. This update impacts only the emissions for vehicle types </t>
  </si>
  <si>
    <t xml:space="preserve">estimated using the Simplified Screening 2 approach, where this field is used for calculation purposes; and </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</si>
</sst>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3" formatCode="_(* #,##0.00_);_(* \(#,##0.00\);_(* &quot;-&quot;??_);_(@_)"/>
    <numFmt numFmtId="164" formatCode="0.0"/>
    <numFmt numFmtId="165" formatCode="0.0000"/>
    <numFmt numFmtId="166" formatCode="0.0%"/>
    <numFmt numFmtId="167" formatCode="[$-409]mmmm\ d\,\ yyyy;@"/>
    <numFmt numFmtId="168" formatCode="#,##0.0"/>
    <numFmt numFmtId="169" formatCode="#,##0.0000"/>
    <numFmt numFmtId="170" formatCode="0.000%"/>
    <numFmt numFmtId="171" formatCode="0.000"/>
    <numFmt numFmtId="172" formatCode="0.00000"/>
    <numFmt numFmtId="173" formatCode="#,##0.0000000"/>
    <numFmt numFmtId="174" formatCode="0.0000_);[Red]\(0.0000\)"/>
    <numFmt numFmtId="175" formatCode="#,##0.0000_);[Red]\(#,##0.0000\)"/>
  </numFmts>
  <fonts count="64" x14ac:knownFonts="1">
    <font>
      <sz val="11"/>
      <color theme="1"/>
      <name val="Calibri"/>
      <family val="2"/>
      <scheme val="minor"/>
    </font>
    <font>
      <sz val="10"/>
      <color theme="1"/>
      <name val="Times New Roman"/>
      <family val="1"/>
    </font>
    <font>
      <b/>
      <sz val="10"/>
      <color theme="1"/>
      <name val="Times New Roman"/>
      <family val="1"/>
    </font>
    <font>
      <vertAlign val="subscript"/>
      <sz val="10"/>
      <color theme="1"/>
      <name val="Times New Roman"/>
      <family val="1"/>
    </font>
    <font>
      <vertAlign val="superscript"/>
      <sz val="10"/>
      <color theme="1"/>
      <name val="Times New Roman"/>
      <family val="1"/>
    </font>
    <font>
      <i/>
      <sz val="10"/>
      <color theme="1"/>
      <name val="Times New Roman"/>
      <family val="1"/>
    </font>
    <font>
      <i/>
      <vertAlign val="subscript"/>
      <sz val="10"/>
      <color theme="1"/>
      <name val="Times New Roman"/>
      <family val="1"/>
    </font>
    <font>
      <sz val="11"/>
      <color theme="1"/>
      <name val="Calibri"/>
      <family val="2"/>
      <scheme val="minor"/>
    </font>
    <font>
      <sz val="9"/>
      <color indexed="81"/>
      <name val="Tahoma"/>
      <family val="2"/>
    </font>
    <font>
      <b/>
      <sz val="9"/>
      <color indexed="81"/>
      <name val="Tahoma"/>
      <family val="2"/>
    </font>
    <font>
      <i/>
      <sz val="11"/>
      <color theme="1"/>
      <name val="Calibri"/>
      <family val="2"/>
      <scheme val="minor"/>
    </font>
    <font>
      <sz val="10"/>
      <name val="Arial"/>
      <family val="2"/>
    </font>
    <font>
      <u/>
      <sz val="10"/>
      <color indexed="12"/>
      <name val="Arial"/>
      <family val="2"/>
    </font>
    <font>
      <b/>
      <sz val="10"/>
      <name val="Arial"/>
      <family val="2"/>
    </font>
    <font>
      <sz val="10"/>
      <color theme="1"/>
      <name val="Arial Narrow"/>
      <family val="2"/>
    </font>
    <font>
      <b/>
      <sz val="10"/>
      <color theme="1"/>
      <name val="Arial Narrow"/>
      <family val="2"/>
    </font>
    <font>
      <b/>
      <sz val="11"/>
      <color theme="0"/>
      <name val="Calibri"/>
      <family val="2"/>
      <scheme val="minor"/>
    </font>
    <font>
      <b/>
      <sz val="11"/>
      <color theme="1"/>
      <name val="Calibri"/>
      <family val="2"/>
      <scheme val="minor"/>
    </font>
    <font>
      <b/>
      <sz val="14"/>
      <color indexed="30"/>
      <name val="Arial"/>
      <family val="2"/>
    </font>
    <font>
      <b/>
      <sz val="10"/>
      <color indexed="30"/>
      <name val="Arial"/>
      <family val="2"/>
    </font>
    <font>
      <b/>
      <u/>
      <sz val="10"/>
      <name val="Arial"/>
      <family val="2"/>
    </font>
    <font>
      <b/>
      <sz val="10"/>
      <color rgb="FFFF0000"/>
      <name val="Arial"/>
      <family val="2"/>
    </font>
    <font>
      <b/>
      <sz val="10"/>
      <color theme="0"/>
      <name val="Arial Narrow"/>
      <family val="2"/>
    </font>
    <font>
      <b/>
      <sz val="14"/>
      <color theme="1"/>
      <name val="Calibri"/>
      <family val="2"/>
      <scheme val="minor"/>
    </font>
    <font>
      <sz val="8"/>
      <color theme="1"/>
      <name val="Calibri"/>
      <family val="2"/>
      <scheme val="minor"/>
    </font>
    <font>
      <sz val="10"/>
      <color indexed="8"/>
      <name val="Calibri"/>
      <family val="2"/>
    </font>
    <font>
      <i/>
      <sz val="26"/>
      <color indexed="9"/>
      <name val="Calibri"/>
      <family val="2"/>
    </font>
    <font>
      <sz val="14"/>
      <color indexed="9"/>
      <name val="Calibri"/>
      <family val="2"/>
    </font>
    <font>
      <sz val="11"/>
      <name val="Calibri"/>
      <family val="2"/>
      <scheme val="minor"/>
    </font>
    <font>
      <b/>
      <i/>
      <sz val="10"/>
      <name val="Arial"/>
      <family val="2"/>
    </font>
    <font>
      <b/>
      <sz val="11"/>
      <name val="Calibri"/>
      <family val="2"/>
      <scheme val="minor"/>
    </font>
    <font>
      <sz val="11"/>
      <color theme="0"/>
      <name val="Calibri"/>
      <family val="2"/>
      <scheme val="minor"/>
    </font>
    <font>
      <b/>
      <sz val="8"/>
      <name val="Calibri"/>
      <family val="2"/>
      <scheme val="minor"/>
    </font>
    <font>
      <vertAlign val="subscript"/>
      <sz val="11"/>
      <color theme="1"/>
      <name val="Calibri"/>
      <family val="2"/>
      <scheme val="minor"/>
    </font>
    <font>
      <sz val="8"/>
      <color rgb="FF000000"/>
      <name val="Tahoma"/>
      <family val="2"/>
    </font>
    <font>
      <i/>
      <sz val="10"/>
      <name val="Arial"/>
      <family val="2"/>
    </font>
    <font>
      <b/>
      <i/>
      <sz val="11"/>
      <name val="Calibri"/>
      <family val="2"/>
      <scheme val="minor"/>
    </font>
    <font>
      <b/>
      <sz val="10"/>
      <color indexed="12"/>
      <name val="Arial"/>
      <family val="2"/>
    </font>
    <font>
      <b/>
      <sz val="10"/>
      <color theme="0"/>
      <name val="Arial"/>
      <family val="2"/>
    </font>
    <font>
      <b/>
      <sz val="14"/>
      <color theme="1"/>
      <name val="Times New Roman"/>
      <family val="1"/>
    </font>
    <font>
      <sz val="11"/>
      <color rgb="FFFFFF00"/>
      <name val="Calibri"/>
      <family val="2"/>
      <scheme val="minor"/>
    </font>
    <font>
      <b/>
      <sz val="12"/>
      <color theme="1"/>
      <name val="Calibri"/>
      <family val="2"/>
      <scheme val="minor"/>
    </font>
    <font>
      <b/>
      <sz val="14"/>
      <color indexed="9"/>
      <name val="Calibri"/>
      <family val="2"/>
    </font>
    <font>
      <sz val="8"/>
      <name val="Calibri"/>
      <family val="2"/>
      <scheme val="minor"/>
    </font>
    <font>
      <sz val="6"/>
      <color indexed="81"/>
      <name val="Tahoma"/>
      <family val="2"/>
    </font>
    <font>
      <i/>
      <sz val="9"/>
      <color indexed="81"/>
      <name val="Tahoma"/>
      <family val="2"/>
    </font>
    <font>
      <i/>
      <sz val="8"/>
      <name val="Arial"/>
      <family val="2"/>
    </font>
    <font>
      <i/>
      <sz val="11"/>
      <color indexed="9"/>
      <name val="Calibri"/>
      <family val="2"/>
    </font>
    <font>
      <u/>
      <sz val="11"/>
      <color theme="1"/>
      <name val="Calibri"/>
      <family val="2"/>
      <scheme val="minor"/>
    </font>
    <font>
      <b/>
      <sz val="12"/>
      <color indexed="30"/>
      <name val="Arial"/>
      <family val="2"/>
    </font>
    <font>
      <b/>
      <sz val="12"/>
      <name val="Arial"/>
      <family val="2"/>
    </font>
    <font>
      <i/>
      <u/>
      <sz val="10"/>
      <name val="Arial"/>
      <family val="2"/>
    </font>
    <font>
      <sz val="11"/>
      <color rgb="FFFF0000"/>
      <name val="Calibri"/>
      <family val="2"/>
      <scheme val="minor"/>
    </font>
    <font>
      <sz val="8"/>
      <color theme="0"/>
      <name val="Calibri"/>
      <family val="2"/>
      <scheme val="minor"/>
    </font>
    <font>
      <sz val="12"/>
      <color rgb="FFFF0000"/>
      <name val="Calibri"/>
      <family val="2"/>
      <scheme val="minor"/>
    </font>
    <font>
      <b/>
      <i/>
      <sz val="11"/>
      <color theme="1"/>
      <name val="Calibri"/>
      <family val="2"/>
      <scheme val="minor"/>
    </font>
    <font>
      <sz val="10"/>
      <color theme="1"/>
      <name val="Calibri"/>
      <family val="2"/>
      <scheme val="minor"/>
    </font>
    <font>
      <sz val="9"/>
      <color theme="1"/>
      <name val="Calibri"/>
      <family val="2"/>
      <scheme val="minor"/>
    </font>
    <font>
      <sz val="9"/>
      <color rgb="FFFF0000"/>
      <name val="Calibri"/>
      <family val="2"/>
      <scheme val="minor"/>
    </font>
    <font>
      <b/>
      <vertAlign val="subscript"/>
      <sz val="11"/>
      <color theme="0"/>
      <name val="Calibri"/>
      <family val="2"/>
      <scheme val="minor"/>
    </font>
    <font>
      <b/>
      <sz val="11"/>
      <color rgb="FFFF0000"/>
      <name val="Calibri"/>
      <family val="2"/>
      <scheme val="minor"/>
    </font>
    <font>
      <vertAlign val="superscript"/>
      <sz val="10"/>
      <color theme="1"/>
      <name val="Arial Narrow"/>
      <family val="2"/>
    </font>
    <font>
      <i/>
      <vertAlign val="superscript"/>
      <sz val="11"/>
      <color theme="1"/>
      <name val="Calibri"/>
      <family val="2"/>
      <scheme val="minor"/>
    </font>
    <font>
      <i/>
      <u/>
      <sz val="11"/>
      <color theme="1"/>
      <name val="Calibri"/>
      <family val="2"/>
      <scheme val="minor"/>
    </font>
  </fonts>
  <fills count="27">
    <fill>
      <patternFill patternType="none"/>
    </fill>
    <fill>
      <patternFill patternType="gray125"/>
    </fill>
    <fill>
      <patternFill patternType="solid">
        <fgColor indexed="9"/>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FFCC"/>
        <bgColor indexed="64"/>
      </patternFill>
    </fill>
    <fill>
      <patternFill patternType="solid">
        <fgColor rgb="FFC4D79B"/>
        <bgColor indexed="64"/>
      </patternFill>
    </fill>
    <fill>
      <patternFill patternType="solid">
        <fgColor theme="4"/>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indexed="22"/>
        <bgColor indexed="64"/>
      </patternFill>
    </fill>
    <fill>
      <patternFill patternType="solid">
        <fgColor theme="4" tint="0.79998168889431442"/>
        <bgColor indexed="64"/>
      </patternFill>
    </fill>
    <fill>
      <patternFill patternType="solid">
        <fgColor theme="1" tint="0.499984740745262"/>
        <bgColor indexed="64"/>
      </patternFill>
    </fill>
    <fill>
      <patternFill patternType="solid">
        <fgColor theme="6" tint="-0.249977111117893"/>
        <bgColor indexed="64"/>
      </patternFill>
    </fill>
    <fill>
      <patternFill patternType="solid">
        <fgColor theme="3"/>
        <bgColor indexed="64"/>
      </patternFill>
    </fill>
    <fill>
      <patternFill patternType="solid">
        <fgColor rgb="FF00B0F0"/>
        <bgColor indexed="64"/>
      </patternFill>
    </fill>
    <fill>
      <patternFill patternType="solid">
        <fgColor theme="5"/>
        <bgColor indexed="64"/>
      </patternFill>
    </fill>
    <fill>
      <patternFill patternType="solid">
        <fgColor rgb="FFFFC000"/>
        <bgColor indexed="64"/>
      </patternFill>
    </fill>
    <fill>
      <patternFill patternType="solid">
        <fgColor theme="1"/>
        <bgColor indexed="64"/>
      </patternFill>
    </fill>
    <fill>
      <patternFill patternType="lightUp">
        <bgColor theme="0" tint="-0.14996795556505021"/>
      </patternFill>
    </fill>
    <fill>
      <patternFill patternType="solid">
        <fgColor theme="6" tint="0.59999389629810485"/>
        <bgColor indexed="64"/>
      </patternFill>
    </fill>
    <fill>
      <patternFill patternType="solid">
        <fgColor theme="0" tint="-0.249977111117893"/>
        <bgColor indexed="64"/>
      </patternFill>
    </fill>
    <fill>
      <patternFill patternType="solid">
        <fgColor theme="0"/>
        <bgColor indexed="64"/>
      </patternFill>
    </fill>
    <fill>
      <patternFill patternType="lightDown"/>
    </fill>
  </fills>
  <borders count="58">
    <border>
      <left/>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right/>
      <top/>
      <bottom style="thin">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bottom style="double">
        <color indexed="9"/>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bottom/>
      <diagonal/>
    </border>
    <border>
      <left style="thin">
        <color indexed="64"/>
      </left>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top style="double">
        <color indexed="9"/>
      </top>
      <bottom/>
      <diagonal/>
    </border>
    <border>
      <left style="medium">
        <color indexed="64"/>
      </left>
      <right style="medium">
        <color indexed="64"/>
      </right>
      <top style="medium">
        <color indexed="64"/>
      </top>
      <bottom style="medium">
        <color indexed="64"/>
      </bottom>
      <diagonal/>
    </border>
  </borders>
  <cellStyleXfs count="14">
    <xf numFmtId="0" fontId="0" fillId="0" borderId="0"/>
    <xf numFmtId="9" fontId="7" fillId="0" borderId="0" applyFont="0" applyFill="0" applyBorder="0" applyAlignment="0" applyProtection="0"/>
    <xf numFmtId="0" fontId="12" fillId="0" borderId="0" applyNumberFormat="0" applyFill="0" applyBorder="0" applyAlignment="0" applyProtection="0">
      <alignment vertical="top"/>
      <protection locked="0"/>
    </xf>
    <xf numFmtId="43" fontId="7" fillId="0" borderId="0" applyFont="0" applyFill="0" applyBorder="0" applyAlignment="0" applyProtection="0"/>
    <xf numFmtId="43" fontId="7" fillId="0" borderId="0" applyFont="0" applyFill="0" applyBorder="0" applyAlignment="0" applyProtection="0"/>
    <xf numFmtId="0" fontId="11" fillId="0" borderId="0"/>
    <xf numFmtId="0" fontId="11" fillId="0" borderId="0"/>
    <xf numFmtId="0" fontId="7" fillId="0" borderId="0"/>
    <xf numFmtId="9" fontId="11" fillId="0" borderId="0" applyFont="0" applyFill="0" applyBorder="0" applyAlignment="0" applyProtection="0"/>
    <xf numFmtId="9" fontId="11" fillId="0" borderId="0" applyFont="0" applyFill="0" applyBorder="0" applyAlignment="0" applyProtection="0"/>
    <xf numFmtId="9" fontId="7" fillId="0" borderId="0" applyFont="0" applyFill="0" applyBorder="0" applyAlignment="0" applyProtection="0"/>
    <xf numFmtId="0" fontId="11" fillId="0" borderId="0"/>
    <xf numFmtId="0" fontId="11" fillId="0" borderId="0"/>
    <xf numFmtId="43" fontId="7" fillId="0" borderId="0" applyFont="0" applyFill="0" applyBorder="0" applyAlignment="0" applyProtection="0"/>
  </cellStyleXfs>
  <cellXfs count="568">
    <xf numFmtId="0" fontId="0" fillId="0" borderId="0" xfId="0"/>
    <xf numFmtId="0" fontId="1" fillId="0" borderId="0" xfId="0" applyFont="1" applyAlignment="1">
      <alignment horizontal="center" vertical="center"/>
    </xf>
    <xf numFmtId="0" fontId="1" fillId="0" borderId="0" xfId="0" applyFont="1" applyAlignment="1">
      <alignment horizontal="left" vertical="center" indent="10"/>
    </xf>
    <xf numFmtId="0" fontId="0" fillId="0" borderId="0" xfId="0" applyAlignment="1">
      <alignment horizontal="center"/>
    </xf>
    <xf numFmtId="164" fontId="0" fillId="0" borderId="0" xfId="0" applyNumberFormat="1"/>
    <xf numFmtId="0" fontId="11" fillId="2" borderId="0" xfId="0" applyFont="1" applyFill="1" applyBorder="1"/>
    <xf numFmtId="0" fontId="13" fillId="2" borderId="0" xfId="0" applyFont="1" applyFill="1" applyBorder="1"/>
    <xf numFmtId="0" fontId="11" fillId="2" borderId="18" xfId="0" applyFont="1" applyFill="1" applyBorder="1"/>
    <xf numFmtId="0" fontId="11" fillId="2" borderId="0" xfId="0" applyFont="1" applyFill="1" applyBorder="1" applyAlignment="1">
      <alignment vertical="top" wrapText="1"/>
    </xf>
    <xf numFmtId="0" fontId="18" fillId="2" borderId="4" xfId="0" applyFont="1" applyFill="1" applyBorder="1" applyAlignment="1">
      <alignment vertical="center"/>
    </xf>
    <xf numFmtId="14" fontId="11" fillId="2" borderId="0" xfId="0" applyNumberFormat="1" applyFont="1" applyFill="1" applyBorder="1" applyAlignment="1">
      <alignment horizontal="left" vertical="top" wrapText="1"/>
    </xf>
    <xf numFmtId="0" fontId="11" fillId="2" borderId="4" xfId="0" applyFont="1" applyFill="1" applyBorder="1"/>
    <xf numFmtId="0" fontId="11" fillId="2" borderId="0" xfId="0" applyFont="1" applyFill="1" applyBorder="1" applyAlignment="1">
      <alignment horizontal="left" vertical="top" wrapText="1"/>
    </xf>
    <xf numFmtId="0" fontId="11" fillId="2" borderId="2" xfId="0" applyFont="1" applyFill="1" applyBorder="1" applyAlignment="1">
      <alignment vertical="top" wrapText="1"/>
    </xf>
    <xf numFmtId="0" fontId="19" fillId="2" borderId="15" xfId="0" applyFont="1" applyFill="1" applyBorder="1" applyAlignment="1">
      <alignment horizontal="left"/>
    </xf>
    <xf numFmtId="0" fontId="11" fillId="0" borderId="14" xfId="0" applyFont="1" applyFill="1" applyBorder="1"/>
    <xf numFmtId="0" fontId="13" fillId="2" borderId="3" xfId="0" applyFont="1" applyFill="1" applyBorder="1" applyAlignment="1">
      <alignment horizontal="left"/>
    </xf>
    <xf numFmtId="0" fontId="19" fillId="2" borderId="0" xfId="0" applyFont="1" applyFill="1" applyBorder="1" applyAlignment="1">
      <alignment horizontal="left"/>
    </xf>
    <xf numFmtId="0" fontId="11" fillId="0" borderId="4" xfId="0" applyFont="1" applyFill="1" applyBorder="1"/>
    <xf numFmtId="0" fontId="11" fillId="2" borderId="3" xfId="0" applyFont="1" applyFill="1" applyBorder="1" applyAlignment="1">
      <alignment horizontal="left" indent="1"/>
    </xf>
    <xf numFmtId="0" fontId="11" fillId="2" borderId="3" xfId="0" applyFont="1" applyFill="1" applyBorder="1"/>
    <xf numFmtId="0" fontId="13" fillId="2" borderId="3" xfId="0" applyFont="1" applyFill="1" applyBorder="1"/>
    <xf numFmtId="0" fontId="11" fillId="5" borderId="7" xfId="0" applyFont="1" applyFill="1" applyBorder="1"/>
    <xf numFmtId="0" fontId="11" fillId="6" borderId="7" xfId="0" applyFont="1" applyFill="1" applyBorder="1"/>
    <xf numFmtId="0" fontId="11" fillId="2" borderId="7" xfId="0" applyFont="1" applyFill="1" applyBorder="1"/>
    <xf numFmtId="0" fontId="11" fillId="2" borderId="1" xfId="0" applyFont="1" applyFill="1" applyBorder="1"/>
    <xf numFmtId="0" fontId="0" fillId="7" borderId="0" xfId="0" applyFill="1"/>
    <xf numFmtId="0" fontId="21" fillId="2" borderId="1" xfId="0" applyFont="1" applyFill="1" applyBorder="1" applyAlignment="1">
      <alignment vertical="top" wrapText="1"/>
    </xf>
    <xf numFmtId="0" fontId="13" fillId="2" borderId="7" xfId="0" applyFont="1" applyFill="1" applyBorder="1"/>
    <xf numFmtId="0" fontId="13" fillId="2" borderId="7" xfId="0" applyFont="1" applyFill="1" applyBorder="1" applyAlignment="1">
      <alignment horizontal="center" wrapText="1"/>
    </xf>
    <xf numFmtId="0" fontId="0" fillId="2" borderId="7" xfId="0" applyFill="1" applyBorder="1"/>
    <xf numFmtId="3" fontId="0" fillId="2" borderId="7" xfId="0" applyNumberFormat="1" applyFill="1" applyBorder="1"/>
    <xf numFmtId="0" fontId="12" fillId="2" borderId="7" xfId="2" applyFill="1" applyBorder="1" applyAlignment="1" applyProtection="1"/>
    <xf numFmtId="0" fontId="17" fillId="0" borderId="0" xfId="0" applyFont="1"/>
    <xf numFmtId="0" fontId="0" fillId="0" borderId="7" xfId="0" applyBorder="1"/>
    <xf numFmtId="165" fontId="0" fillId="0" borderId="7" xfId="0" applyNumberFormat="1" applyBorder="1" applyAlignment="1">
      <alignment horizontal="center"/>
    </xf>
    <xf numFmtId="0" fontId="16" fillId="7" borderId="7" xfId="0" applyFont="1" applyFill="1" applyBorder="1" applyAlignment="1">
      <alignment horizontal="center" wrapText="1"/>
    </xf>
    <xf numFmtId="0" fontId="23" fillId="0" borderId="0" xfId="0" applyFont="1"/>
    <xf numFmtId="165" fontId="0" fillId="0" borderId="0" xfId="0" applyNumberFormat="1"/>
    <xf numFmtId="0" fontId="0" fillId="0" borderId="7" xfId="0" applyFill="1" applyBorder="1" applyAlignment="1">
      <alignment horizontal="center"/>
    </xf>
    <xf numFmtId="9" fontId="0" fillId="0" borderId="7" xfId="1" applyFont="1" applyFill="1" applyBorder="1" applyAlignment="1">
      <alignment horizontal="center"/>
    </xf>
    <xf numFmtId="165" fontId="0" fillId="0" borderId="7" xfId="0" applyNumberFormat="1" applyFill="1" applyBorder="1" applyAlignment="1">
      <alignment horizontal="center"/>
    </xf>
    <xf numFmtId="164" fontId="0" fillId="0" borderId="7" xfId="0" applyNumberFormat="1" applyFill="1" applyBorder="1" applyAlignment="1">
      <alignment horizontal="center"/>
    </xf>
    <xf numFmtId="169" fontId="0" fillId="0" borderId="7" xfId="0" applyNumberFormat="1" applyFill="1" applyBorder="1" applyAlignment="1">
      <alignment horizontal="center"/>
    </xf>
    <xf numFmtId="0" fontId="25" fillId="7" borderId="0" xfId="0" applyFont="1" applyFill="1" applyProtection="1"/>
    <xf numFmtId="0" fontId="26" fillId="7" borderId="0" xfId="0" applyFont="1" applyFill="1" applyAlignment="1" applyProtection="1">
      <alignment horizontal="left"/>
    </xf>
    <xf numFmtId="0" fontId="25" fillId="7" borderId="25" xfId="0" applyFont="1" applyFill="1" applyBorder="1" applyAlignment="1" applyProtection="1">
      <alignment horizontal="left" indent="2"/>
    </xf>
    <xf numFmtId="0" fontId="25" fillId="7" borderId="25" xfId="0" applyFont="1" applyFill="1" applyBorder="1" applyProtection="1"/>
    <xf numFmtId="0" fontId="27" fillId="7" borderId="0" xfId="0" applyFont="1" applyFill="1" applyAlignment="1" applyProtection="1">
      <alignment horizontal="left"/>
    </xf>
    <xf numFmtId="0" fontId="28" fillId="9" borderId="7" xfId="0" applyFont="1" applyFill="1" applyBorder="1" applyAlignment="1">
      <alignment horizontal="center" wrapText="1"/>
    </xf>
    <xf numFmtId="165" fontId="28" fillId="9" borderId="7" xfId="0" applyNumberFormat="1" applyFont="1" applyFill="1" applyBorder="1" applyAlignment="1">
      <alignment horizontal="center" wrapText="1"/>
    </xf>
    <xf numFmtId="164" fontId="28" fillId="9" borderId="7" xfId="0" applyNumberFormat="1" applyFont="1" applyFill="1" applyBorder="1" applyAlignment="1">
      <alignment horizontal="center" wrapText="1"/>
    </xf>
    <xf numFmtId="9" fontId="28" fillId="9" borderId="7" xfId="0" applyNumberFormat="1" applyFont="1" applyFill="1" applyBorder="1" applyAlignment="1">
      <alignment horizontal="center" wrapText="1"/>
    </xf>
    <xf numFmtId="169" fontId="28" fillId="9" borderId="7" xfId="0" applyNumberFormat="1" applyFont="1" applyFill="1" applyBorder="1" applyAlignment="1">
      <alignment horizontal="center" wrapText="1"/>
    </xf>
    <xf numFmtId="0" fontId="11" fillId="8" borderId="7" xfId="0" applyFont="1" applyFill="1" applyBorder="1"/>
    <xf numFmtId="0" fontId="0" fillId="8" borderId="7" xfId="0" applyFill="1" applyBorder="1"/>
    <xf numFmtId="3" fontId="0" fillId="8" borderId="7" xfId="0" applyNumberFormat="1" applyFill="1" applyBorder="1"/>
    <xf numFmtId="0" fontId="12" fillId="0" borderId="0" xfId="2" applyAlignment="1" applyProtection="1"/>
    <xf numFmtId="168" fontId="0" fillId="0" borderId="7" xfId="0" applyNumberFormat="1" applyBorder="1"/>
    <xf numFmtId="0" fontId="17" fillId="0" borderId="7" xfId="0" applyFont="1" applyBorder="1"/>
    <xf numFmtId="168" fontId="17" fillId="0" borderId="7" xfId="0" applyNumberFormat="1" applyFont="1" applyBorder="1"/>
    <xf numFmtId="9" fontId="17" fillId="0" borderId="7" xfId="1" applyFont="1" applyBorder="1"/>
    <xf numFmtId="166" fontId="7" fillId="0" borderId="7" xfId="1" applyNumberFormat="1" applyFont="1" applyBorder="1"/>
    <xf numFmtId="0" fontId="10" fillId="0" borderId="7" xfId="0" applyFont="1" applyBorder="1"/>
    <xf numFmtId="168" fontId="10" fillId="0" borderId="7" xfId="0" applyNumberFormat="1" applyFont="1" applyBorder="1"/>
    <xf numFmtId="0" fontId="31" fillId="14" borderId="0" xfId="0" applyFont="1" applyFill="1" applyAlignment="1">
      <alignment horizontal="left"/>
    </xf>
    <xf numFmtId="0" fontId="31" fillId="14" borderId="0" xfId="0" applyFont="1" applyFill="1"/>
    <xf numFmtId="166" fontId="10" fillId="0" borderId="7" xfId="1" applyNumberFormat="1" applyFont="1" applyBorder="1"/>
    <xf numFmtId="0" fontId="0" fillId="15" borderId="0" xfId="0" applyFill="1"/>
    <xf numFmtId="0" fontId="0" fillId="0" borderId="29" xfId="0" applyBorder="1"/>
    <xf numFmtId="0" fontId="0" fillId="0" borderId="33" xfId="0" applyBorder="1"/>
    <xf numFmtId="0" fontId="0" fillId="5" borderId="29" xfId="0" applyFill="1" applyBorder="1"/>
    <xf numFmtId="0" fontId="0" fillId="5" borderId="33" xfId="0" applyFill="1" applyBorder="1"/>
    <xf numFmtId="0" fontId="0" fillId="0" borderId="7" xfId="0" applyFont="1" applyBorder="1"/>
    <xf numFmtId="0" fontId="0" fillId="21" borderId="0" xfId="0" applyFill="1"/>
    <xf numFmtId="168" fontId="0" fillId="0" borderId="7" xfId="0" applyNumberFormat="1" applyFont="1" applyBorder="1"/>
    <xf numFmtId="164" fontId="17" fillId="0" borderId="0" xfId="0" applyNumberFormat="1" applyFont="1" applyBorder="1"/>
    <xf numFmtId="164" fontId="0" fillId="0" borderId="0" xfId="0" applyNumberFormat="1" applyBorder="1"/>
    <xf numFmtId="0" fontId="16" fillId="8" borderId="7" xfId="0" applyFont="1" applyFill="1" applyBorder="1" applyAlignment="1">
      <alignment horizontal="center" wrapText="1"/>
    </xf>
    <xf numFmtId="168" fontId="17" fillId="8" borderId="7" xfId="0" applyNumberFormat="1" applyFont="1" applyFill="1" applyBorder="1"/>
    <xf numFmtId="3" fontId="28" fillId="9" borderId="7" xfId="0" applyNumberFormat="1" applyFont="1" applyFill="1" applyBorder="1" applyAlignment="1">
      <alignment horizontal="center"/>
    </xf>
    <xf numFmtId="3" fontId="0" fillId="0" borderId="7" xfId="0" applyNumberFormat="1" applyFont="1" applyFill="1" applyBorder="1" applyAlignment="1">
      <alignment horizontal="center"/>
    </xf>
    <xf numFmtId="0" fontId="0" fillId="0" borderId="0" xfId="13" applyNumberFormat="1" applyFont="1"/>
    <xf numFmtId="0" fontId="0" fillId="4" borderId="30" xfId="0" applyFill="1" applyBorder="1"/>
    <xf numFmtId="0" fontId="0" fillId="4" borderId="36" xfId="0" applyFill="1" applyBorder="1"/>
    <xf numFmtId="0" fontId="0" fillId="4" borderId="32" xfId="0" applyFill="1" applyBorder="1"/>
    <xf numFmtId="0" fontId="0" fillId="4" borderId="0" xfId="0" applyFill="1" applyBorder="1"/>
    <xf numFmtId="0" fontId="0" fillId="4" borderId="31" xfId="0" applyFill="1" applyBorder="1"/>
    <xf numFmtId="0" fontId="0" fillId="4" borderId="37" xfId="0" applyFill="1" applyBorder="1"/>
    <xf numFmtId="0" fontId="0" fillId="4" borderId="5" xfId="0" applyFill="1" applyBorder="1"/>
    <xf numFmtId="0" fontId="0" fillId="4" borderId="38" xfId="0" applyFill="1" applyBorder="1"/>
    <xf numFmtId="0" fontId="23" fillId="4" borderId="20" xfId="0" applyFont="1" applyFill="1" applyBorder="1" applyAlignment="1">
      <alignment horizontal="center"/>
    </xf>
    <xf numFmtId="0" fontId="0" fillId="0" borderId="7" xfId="0" applyBorder="1" applyAlignment="1">
      <alignment horizontal="center"/>
    </xf>
    <xf numFmtId="0" fontId="28" fillId="6" borderId="7" xfId="0" applyFont="1" applyFill="1" applyBorder="1"/>
    <xf numFmtId="3" fontId="0" fillId="0" borderId="7" xfId="0" applyNumberFormat="1" applyBorder="1"/>
    <xf numFmtId="0" fontId="13" fillId="2" borderId="7" xfId="0" applyFont="1" applyFill="1" applyBorder="1" applyAlignment="1">
      <alignment wrapText="1"/>
    </xf>
    <xf numFmtId="0" fontId="12" fillId="0" borderId="7" xfId="2" applyBorder="1" applyAlignment="1" applyProtection="1"/>
    <xf numFmtId="0" fontId="0" fillId="0" borderId="0" xfId="0" quotePrefix="1"/>
    <xf numFmtId="164" fontId="17" fillId="21" borderId="0" xfId="0" applyNumberFormat="1" applyFont="1" applyFill="1" applyBorder="1"/>
    <xf numFmtId="164" fontId="0" fillId="21" borderId="0" xfId="0" applyNumberFormat="1" applyFill="1" applyBorder="1"/>
    <xf numFmtId="0" fontId="11" fillId="2" borderId="14" xfId="0" applyFont="1" applyFill="1" applyBorder="1"/>
    <xf numFmtId="0" fontId="11" fillId="2" borderId="2" xfId="0" applyFont="1" applyFill="1" applyBorder="1"/>
    <xf numFmtId="0" fontId="0" fillId="0" borderId="7" xfId="0" quotePrefix="1" applyBorder="1" applyAlignment="1">
      <alignment horizontal="center"/>
    </xf>
    <xf numFmtId="0" fontId="11" fillId="2" borderId="0" xfId="0" applyFont="1" applyFill="1" applyBorder="1" applyAlignment="1">
      <alignment wrapText="1"/>
    </xf>
    <xf numFmtId="0" fontId="11" fillId="2" borderId="4" xfId="0" applyFont="1" applyFill="1" applyBorder="1" applyAlignment="1">
      <alignment wrapText="1"/>
    </xf>
    <xf numFmtId="0" fontId="35" fillId="2" borderId="3" xfId="0" applyFont="1" applyFill="1" applyBorder="1" applyAlignment="1">
      <alignment horizontal="left" indent="1"/>
    </xf>
    <xf numFmtId="165" fontId="0" fillId="0" borderId="8" xfId="0" applyNumberFormat="1" applyBorder="1" applyAlignment="1">
      <alignment horizontal="center"/>
    </xf>
    <xf numFmtId="0" fontId="0" fillId="0" borderId="40" xfId="0" applyBorder="1" applyAlignment="1">
      <alignment horizontal="center"/>
    </xf>
    <xf numFmtId="4" fontId="17" fillId="0" borderId="28" xfId="0" applyNumberFormat="1" applyFont="1" applyFill="1" applyBorder="1" applyAlignment="1">
      <alignment horizontal="center"/>
    </xf>
    <xf numFmtId="4" fontId="0" fillId="0" borderId="28" xfId="0" applyNumberFormat="1" applyFill="1" applyBorder="1" applyAlignment="1">
      <alignment horizontal="center"/>
    </xf>
    <xf numFmtId="0" fontId="16" fillId="7" borderId="41" xfId="0" applyFont="1" applyFill="1" applyBorder="1" applyAlignment="1">
      <alignment horizontal="center" wrapText="1"/>
    </xf>
    <xf numFmtId="0" fontId="16" fillId="7" borderId="42" xfId="0" applyFont="1" applyFill="1" applyBorder="1" applyAlignment="1">
      <alignment horizontal="center" wrapText="1"/>
    </xf>
    <xf numFmtId="0" fontId="16" fillId="7" borderId="42" xfId="0" applyFont="1" applyFill="1" applyBorder="1" applyAlignment="1">
      <alignment horizontal="center"/>
    </xf>
    <xf numFmtId="0" fontId="16" fillId="7" borderId="43" xfId="0" applyFont="1" applyFill="1" applyBorder="1" applyAlignment="1">
      <alignment horizontal="center" wrapText="1"/>
    </xf>
    <xf numFmtId="0" fontId="0" fillId="0" borderId="23" xfId="0" applyBorder="1" applyAlignment="1">
      <alignment horizontal="center"/>
    </xf>
    <xf numFmtId="4" fontId="0" fillId="0" borderId="24" xfId="0" applyNumberFormat="1" applyFill="1" applyBorder="1" applyAlignment="1">
      <alignment horizontal="center"/>
    </xf>
    <xf numFmtId="0" fontId="0" fillId="0" borderId="44" xfId="0" applyBorder="1" applyAlignment="1">
      <alignment horizontal="center"/>
    </xf>
    <xf numFmtId="4" fontId="0" fillId="0" borderId="45" xfId="0" applyNumberFormat="1" applyFill="1" applyBorder="1" applyAlignment="1">
      <alignment horizontal="center"/>
    </xf>
    <xf numFmtId="165" fontId="0" fillId="0" borderId="8" xfId="0" applyNumberFormat="1" applyFill="1" applyBorder="1" applyAlignment="1">
      <alignment horizontal="center"/>
    </xf>
    <xf numFmtId="4" fontId="0" fillId="0" borderId="40" xfId="0" applyNumberFormat="1" applyFill="1" applyBorder="1" applyAlignment="1">
      <alignment horizontal="center"/>
    </xf>
    <xf numFmtId="169" fontId="0" fillId="0" borderId="28" xfId="0" applyNumberFormat="1" applyFill="1" applyBorder="1" applyAlignment="1">
      <alignment horizontal="center"/>
    </xf>
    <xf numFmtId="164" fontId="0" fillId="0" borderId="8" xfId="0" applyNumberFormat="1" applyFill="1" applyBorder="1" applyAlignment="1">
      <alignment horizontal="center"/>
    </xf>
    <xf numFmtId="0" fontId="0" fillId="0" borderId="8" xfId="0" applyFill="1" applyBorder="1" applyAlignment="1">
      <alignment horizontal="center"/>
    </xf>
    <xf numFmtId="9" fontId="0" fillId="0" borderId="8" xfId="1" applyFont="1" applyFill="1" applyBorder="1" applyAlignment="1">
      <alignment horizontal="center"/>
    </xf>
    <xf numFmtId="164" fontId="0" fillId="0" borderId="28" xfId="0" applyNumberFormat="1" applyFill="1" applyBorder="1" applyAlignment="1">
      <alignment horizontal="center"/>
    </xf>
    <xf numFmtId="0" fontId="0" fillId="0" borderId="28" xfId="0" applyFill="1" applyBorder="1" applyAlignment="1">
      <alignment horizontal="center"/>
    </xf>
    <xf numFmtId="9" fontId="0" fillId="0" borderId="28" xfId="1" applyFont="1" applyFill="1" applyBorder="1" applyAlignment="1">
      <alignment horizontal="center"/>
    </xf>
    <xf numFmtId="165" fontId="17" fillId="0" borderId="28" xfId="0" applyNumberFormat="1" applyFont="1" applyFill="1" applyBorder="1" applyAlignment="1">
      <alignment horizontal="center"/>
    </xf>
    <xf numFmtId="2" fontId="17" fillId="0" borderId="21" xfId="0" applyNumberFormat="1" applyFont="1" applyFill="1" applyBorder="1" applyAlignment="1">
      <alignment horizontal="center"/>
    </xf>
    <xf numFmtId="3" fontId="0" fillId="0" borderId="8" xfId="0" applyNumberFormat="1" applyFont="1" applyFill="1" applyBorder="1" applyAlignment="1">
      <alignment horizontal="center"/>
    </xf>
    <xf numFmtId="169" fontId="0" fillId="0" borderId="8" xfId="0" applyNumberFormat="1" applyFill="1" applyBorder="1" applyAlignment="1">
      <alignment horizontal="center"/>
    </xf>
    <xf numFmtId="0" fontId="17" fillId="0" borderId="40" xfId="0" applyFont="1" applyFill="1" applyBorder="1" applyAlignment="1">
      <alignment horizontal="center"/>
    </xf>
    <xf numFmtId="0" fontId="17" fillId="0" borderId="28" xfId="0" applyFont="1" applyFill="1" applyBorder="1" applyAlignment="1">
      <alignment horizontal="center"/>
    </xf>
    <xf numFmtId="0" fontId="30" fillId="0" borderId="28" xfId="0" applyFont="1" applyFill="1" applyBorder="1"/>
    <xf numFmtId="3" fontId="17" fillId="0" borderId="28" xfId="0" applyNumberFormat="1" applyFont="1" applyFill="1" applyBorder="1"/>
    <xf numFmtId="3" fontId="30" fillId="0" borderId="28" xfId="0" applyNumberFormat="1" applyFont="1" applyFill="1" applyBorder="1"/>
    <xf numFmtId="3" fontId="17" fillId="0" borderId="28" xfId="0" applyNumberFormat="1" applyFont="1" applyFill="1" applyBorder="1" applyAlignment="1">
      <alignment horizontal="center"/>
    </xf>
    <xf numFmtId="169" fontId="17" fillId="0" borderId="28" xfId="0" applyNumberFormat="1" applyFont="1" applyFill="1" applyBorder="1" applyAlignment="1">
      <alignment horizontal="center"/>
    </xf>
    <xf numFmtId="4" fontId="17" fillId="0" borderId="21" xfId="0" applyNumberFormat="1" applyFont="1" applyFill="1" applyBorder="1" applyAlignment="1">
      <alignment horizontal="center"/>
    </xf>
    <xf numFmtId="0" fontId="1" fillId="0" borderId="0" xfId="0" applyFont="1" applyAlignment="1">
      <alignment vertical="center"/>
    </xf>
    <xf numFmtId="0" fontId="5" fillId="0" borderId="0" xfId="0" applyFont="1" applyAlignment="1">
      <alignment horizontal="left" vertical="center"/>
    </xf>
    <xf numFmtId="0" fontId="1" fillId="0" borderId="0" xfId="0" applyFont="1" applyAlignment="1">
      <alignment horizontal="left" vertical="center"/>
    </xf>
    <xf numFmtId="2" fontId="28" fillId="9" borderId="24" xfId="0" applyNumberFormat="1" applyFont="1" applyFill="1" applyBorder="1" applyAlignment="1">
      <alignment horizontal="center" wrapText="1"/>
    </xf>
    <xf numFmtId="4" fontId="28" fillId="9" borderId="24" xfId="0" applyNumberFormat="1" applyFont="1" applyFill="1" applyBorder="1" applyAlignment="1">
      <alignment horizontal="center" wrapText="1"/>
    </xf>
    <xf numFmtId="0" fontId="24" fillId="0" borderId="0" xfId="0" applyFont="1"/>
    <xf numFmtId="0" fontId="13" fillId="0" borderId="47" xfId="0" applyFont="1" applyFill="1" applyBorder="1"/>
    <xf numFmtId="0" fontId="11" fillId="0" borderId="22" xfId="0" applyFont="1" applyFill="1" applyBorder="1"/>
    <xf numFmtId="168" fontId="37" fillId="0" borderId="38" xfId="0" applyNumberFormat="1" applyFont="1" applyFill="1" applyBorder="1"/>
    <xf numFmtId="0" fontId="0" fillId="0" borderId="37" xfId="0" applyFill="1" applyBorder="1"/>
    <xf numFmtId="168" fontId="37" fillId="0" borderId="47" xfId="0" applyNumberFormat="1" applyFont="1" applyFill="1" applyBorder="1"/>
    <xf numFmtId="0" fontId="0" fillId="0" borderId="22" xfId="0" applyFill="1" applyBorder="1"/>
    <xf numFmtId="0" fontId="13" fillId="0" borderId="23" xfId="0" applyFont="1" applyFill="1" applyBorder="1"/>
    <xf numFmtId="0" fontId="11" fillId="0" borderId="24" xfId="0" applyFont="1" applyFill="1" applyBorder="1"/>
    <xf numFmtId="168" fontId="37" fillId="0" borderId="33" xfId="0" applyNumberFormat="1" applyFont="1" applyFill="1" applyBorder="1"/>
    <xf numFmtId="0" fontId="0" fillId="0" borderId="29" xfId="0" applyFill="1" applyBorder="1"/>
    <xf numFmtId="168" fontId="37" fillId="0" borderId="23" xfId="0" applyNumberFormat="1" applyFont="1" applyFill="1" applyBorder="1"/>
    <xf numFmtId="0" fontId="0" fillId="0" borderId="24" xfId="0" applyFill="1" applyBorder="1"/>
    <xf numFmtId="0" fontId="13" fillId="0" borderId="48" xfId="0" applyFont="1" applyFill="1" applyBorder="1"/>
    <xf numFmtId="0" fontId="11" fillId="0" borderId="49" xfId="0" applyFont="1" applyFill="1" applyBorder="1"/>
    <xf numFmtId="168" fontId="37" fillId="0" borderId="39" xfId="0" applyNumberFormat="1" applyFont="1" applyFill="1" applyBorder="1"/>
    <xf numFmtId="0" fontId="0" fillId="0" borderId="50" xfId="0" applyFill="1" applyBorder="1"/>
    <xf numFmtId="168" fontId="37" fillId="0" borderId="48" xfId="0" applyNumberFormat="1" applyFont="1" applyFill="1" applyBorder="1"/>
    <xf numFmtId="0" fontId="0" fillId="0" borderId="49" xfId="0" applyFill="1" applyBorder="1"/>
    <xf numFmtId="0" fontId="38" fillId="7" borderId="40" xfId="0" applyFont="1" applyFill="1" applyBorder="1" applyAlignment="1">
      <alignment horizontal="center" vertical="center" wrapText="1"/>
    </xf>
    <xf numFmtId="0" fontId="38" fillId="7" borderId="21" xfId="0" applyFont="1" applyFill="1" applyBorder="1" applyAlignment="1">
      <alignment horizontal="center" vertical="center" wrapText="1"/>
    </xf>
    <xf numFmtId="0" fontId="38" fillId="7" borderId="27"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12" fillId="0" borderId="0" xfId="2" applyAlignment="1" applyProtection="1">
      <alignment horizontal="left" vertical="center"/>
    </xf>
    <xf numFmtId="0" fontId="39" fillId="0" borderId="0" xfId="0" applyFont="1" applyAlignment="1"/>
    <xf numFmtId="0" fontId="0" fillId="5" borderId="30" xfId="0" applyFill="1" applyBorder="1"/>
    <xf numFmtId="0" fontId="0" fillId="5" borderId="36" xfId="0" applyFill="1" applyBorder="1"/>
    <xf numFmtId="0" fontId="0" fillId="0" borderId="37" xfId="0" applyBorder="1"/>
    <xf numFmtId="0" fontId="0" fillId="0" borderId="38" xfId="0" applyBorder="1"/>
    <xf numFmtId="0" fontId="28" fillId="6" borderId="29" xfId="0" applyFont="1" applyFill="1" applyBorder="1"/>
    <xf numFmtId="0" fontId="28" fillId="6" borderId="33" xfId="0" applyFont="1" applyFill="1" applyBorder="1"/>
    <xf numFmtId="164" fontId="0" fillId="0" borderId="0" xfId="0" applyNumberFormat="1" applyAlignment="1"/>
    <xf numFmtId="0" fontId="0" fillId="0" borderId="0" xfId="0" applyAlignment="1"/>
    <xf numFmtId="0" fontId="5" fillId="0" borderId="0" xfId="0" applyFont="1"/>
    <xf numFmtId="0" fontId="1" fillId="0" borderId="0" xfId="0" applyFont="1"/>
    <xf numFmtId="0" fontId="0" fillId="0" borderId="51" xfId="0" applyBorder="1"/>
    <xf numFmtId="0" fontId="0" fillId="5" borderId="51" xfId="0" applyFill="1" applyBorder="1"/>
    <xf numFmtId="0" fontId="17" fillId="5" borderId="7" xfId="0" applyFont="1" applyFill="1" applyBorder="1" applyProtection="1">
      <protection locked="0"/>
    </xf>
    <xf numFmtId="0" fontId="0" fillId="5" borderId="7" xfId="0" applyFill="1" applyBorder="1" applyProtection="1">
      <protection locked="0"/>
    </xf>
    <xf numFmtId="0" fontId="0" fillId="0" borderId="0" xfId="0" applyProtection="1">
      <protection locked="0"/>
    </xf>
    <xf numFmtId="0" fontId="0" fillId="0" borderId="0" xfId="0" applyAlignment="1" applyProtection="1">
      <alignment horizontal="center"/>
      <protection locked="0"/>
    </xf>
    <xf numFmtId="0" fontId="28" fillId="9" borderId="7" xfId="0" applyFont="1" applyFill="1" applyBorder="1" applyAlignment="1" applyProtection="1">
      <protection locked="0"/>
    </xf>
    <xf numFmtId="0" fontId="28" fillId="9" borderId="7" xfId="0" applyFont="1" applyFill="1" applyBorder="1" applyProtection="1">
      <protection locked="0"/>
    </xf>
    <xf numFmtId="0" fontId="28" fillId="5" borderId="7" xfId="0" applyFont="1" applyFill="1" applyBorder="1" applyProtection="1">
      <protection locked="0"/>
    </xf>
    <xf numFmtId="0" fontId="28" fillId="5" borderId="8" xfId="0" applyFont="1" applyFill="1" applyBorder="1" applyProtection="1">
      <protection locked="0"/>
    </xf>
    <xf numFmtId="0" fontId="28" fillId="9" borderId="7" xfId="0" applyFont="1" applyFill="1" applyBorder="1" applyAlignment="1" applyProtection="1">
      <alignment horizontal="center"/>
      <protection locked="0"/>
    </xf>
    <xf numFmtId="0" fontId="28" fillId="9" borderId="7" xfId="0" applyFont="1" applyFill="1" applyBorder="1" applyAlignment="1" applyProtection="1">
      <alignment horizontal="center" wrapText="1"/>
      <protection locked="0"/>
    </xf>
    <xf numFmtId="0" fontId="28" fillId="5" borderId="7" xfId="0" applyFont="1" applyFill="1" applyBorder="1" applyAlignment="1" applyProtection="1">
      <alignment horizontal="center"/>
      <protection locked="0"/>
    </xf>
    <xf numFmtId="0" fontId="28" fillId="6" borderId="7" xfId="0" applyFont="1" applyFill="1" applyBorder="1" applyAlignment="1" applyProtection="1">
      <alignment horizontal="center" wrapText="1"/>
      <protection locked="0"/>
    </xf>
    <xf numFmtId="0" fontId="28" fillId="6" borderId="7" xfId="0" applyFont="1" applyFill="1" applyBorder="1" applyAlignment="1" applyProtection="1">
      <alignment horizontal="center"/>
      <protection locked="0"/>
    </xf>
    <xf numFmtId="0" fontId="28" fillId="6" borderId="8" xfId="0" applyFont="1" applyFill="1" applyBorder="1" applyAlignment="1" applyProtection="1">
      <alignment horizontal="center"/>
      <protection locked="0"/>
    </xf>
    <xf numFmtId="0" fontId="1" fillId="0" borderId="0" xfId="0" applyFont="1" applyAlignment="1" applyProtection="1">
      <alignment horizontal="left" vertical="center"/>
      <protection locked="0"/>
    </xf>
    <xf numFmtId="0" fontId="12" fillId="0" borderId="0" xfId="2" applyAlignment="1" applyProtection="1">
      <alignment horizontal="left" vertical="center"/>
      <protection locked="0"/>
    </xf>
    <xf numFmtId="0" fontId="39" fillId="0" borderId="0" xfId="0" applyFont="1" applyAlignment="1" applyProtection="1"/>
    <xf numFmtId="0" fontId="1" fillId="0" borderId="0" xfId="0" applyFont="1" applyAlignment="1" applyProtection="1">
      <alignment horizontal="left" vertical="center"/>
    </xf>
    <xf numFmtId="0" fontId="5" fillId="0" borderId="0" xfId="0" applyFont="1" applyAlignment="1" applyProtection="1">
      <alignment horizontal="left" vertical="center"/>
    </xf>
    <xf numFmtId="0" fontId="28" fillId="9" borderId="7" xfId="0" applyFont="1" applyFill="1" applyBorder="1" applyAlignment="1" applyProtection="1">
      <alignment wrapText="1"/>
      <protection locked="0"/>
    </xf>
    <xf numFmtId="0" fontId="0" fillId="9" borderId="7" xfId="0" applyFill="1" applyBorder="1" applyProtection="1">
      <protection locked="0"/>
    </xf>
    <xf numFmtId="0" fontId="28" fillId="6" borderId="7" xfId="0" applyFont="1" applyFill="1" applyBorder="1" applyProtection="1">
      <protection locked="0"/>
    </xf>
    <xf numFmtId="0" fontId="0" fillId="5" borderId="7" xfId="0" applyFill="1" applyBorder="1" applyAlignment="1" applyProtection="1">
      <alignment horizontal="center"/>
      <protection locked="0"/>
    </xf>
    <xf numFmtId="0" fontId="0" fillId="5" borderId="8" xfId="0" applyFill="1" applyBorder="1" applyProtection="1">
      <protection locked="0"/>
    </xf>
    <xf numFmtId="0" fontId="0" fillId="5" borderId="8" xfId="0" applyFill="1" applyBorder="1" applyAlignment="1" applyProtection="1">
      <alignment horizontal="center"/>
      <protection locked="0"/>
    </xf>
    <xf numFmtId="0" fontId="16" fillId="7" borderId="42" xfId="0" applyFont="1" applyFill="1" applyBorder="1" applyAlignment="1" applyProtection="1">
      <alignment horizontal="center" wrapText="1"/>
      <protection locked="0"/>
    </xf>
    <xf numFmtId="168" fontId="0" fillId="0" borderId="0" xfId="0" applyNumberFormat="1" applyProtection="1">
      <protection locked="0"/>
    </xf>
    <xf numFmtId="173" fontId="0" fillId="0" borderId="0" xfId="0" applyNumberFormat="1" applyProtection="1">
      <protection locked="0"/>
    </xf>
    <xf numFmtId="0" fontId="40" fillId="4" borderId="10" xfId="0" applyFont="1" applyFill="1" applyBorder="1" applyAlignment="1" applyProtection="1">
      <protection locked="0"/>
    </xf>
    <xf numFmtId="0" fontId="40" fillId="4" borderId="2" xfId="0" applyFont="1" applyFill="1" applyBorder="1" applyAlignment="1" applyProtection="1">
      <protection locked="0"/>
    </xf>
    <xf numFmtId="0" fontId="40" fillId="4" borderId="52" xfId="0" applyFont="1" applyFill="1" applyBorder="1" applyAlignment="1" applyProtection="1">
      <protection locked="0"/>
    </xf>
    <xf numFmtId="0" fontId="40" fillId="4" borderId="53" xfId="0" applyFont="1" applyFill="1" applyBorder="1" applyAlignment="1" applyProtection="1">
      <protection locked="0"/>
    </xf>
    <xf numFmtId="0" fontId="40" fillId="4" borderId="52" xfId="0" applyFont="1" applyFill="1" applyBorder="1" applyAlignment="1" applyProtection="1">
      <alignment horizontal="center"/>
      <protection locked="0"/>
    </xf>
    <xf numFmtId="0" fontId="0" fillId="4" borderId="53" xfId="0" applyFill="1" applyBorder="1"/>
    <xf numFmtId="0" fontId="40" fillId="4" borderId="54" xfId="0" applyFont="1" applyFill="1" applyBorder="1" applyAlignment="1" applyProtection="1">
      <alignment horizontal="center"/>
      <protection locked="0"/>
    </xf>
    <xf numFmtId="0" fontId="40" fillId="4" borderId="55" xfId="0" applyFont="1" applyFill="1" applyBorder="1" applyAlignment="1" applyProtection="1">
      <alignment horizontal="center"/>
      <protection locked="0"/>
    </xf>
    <xf numFmtId="0" fontId="0" fillId="0" borderId="0" xfId="0" applyProtection="1">
      <protection hidden="1"/>
    </xf>
    <xf numFmtId="0" fontId="16" fillId="7" borderId="7" xfId="0" applyFont="1" applyFill="1" applyBorder="1" applyAlignment="1" applyProtection="1">
      <alignment wrapText="1"/>
      <protection hidden="1"/>
    </xf>
    <xf numFmtId="0" fontId="16" fillId="7" borderId="7" xfId="0" applyFont="1" applyFill="1" applyBorder="1" applyAlignment="1" applyProtection="1">
      <alignment horizontal="center" wrapText="1"/>
      <protection hidden="1"/>
    </xf>
    <xf numFmtId="0" fontId="17" fillId="0" borderId="7" xfId="0" applyFont="1" applyBorder="1" applyProtection="1">
      <protection hidden="1"/>
    </xf>
    <xf numFmtId="0" fontId="0" fillId="0" borderId="7" xfId="0" applyBorder="1" applyProtection="1">
      <protection hidden="1"/>
    </xf>
    <xf numFmtId="0" fontId="0" fillId="0" borderId="7" xfId="0" applyFill="1" applyBorder="1" applyProtection="1">
      <protection hidden="1"/>
    </xf>
    <xf numFmtId="0" fontId="17" fillId="0" borderId="0" xfId="0" applyFont="1" applyProtection="1">
      <protection hidden="1"/>
    </xf>
    <xf numFmtId="0" fontId="16" fillId="7" borderId="7" xfId="0" applyFont="1" applyFill="1" applyBorder="1" applyAlignment="1" applyProtection="1">
      <protection hidden="1"/>
    </xf>
    <xf numFmtId="0" fontId="16" fillId="7" borderId="7" xfId="0" applyFont="1" applyFill="1" applyBorder="1" applyProtection="1">
      <protection hidden="1"/>
    </xf>
    <xf numFmtId="0" fontId="29" fillId="0" borderId="13" xfId="0" applyFont="1" applyFill="1" applyBorder="1" applyAlignment="1" applyProtection="1">
      <protection hidden="1"/>
    </xf>
    <xf numFmtId="0" fontId="13" fillId="0" borderId="26" xfId="0" applyFont="1" applyFill="1" applyBorder="1" applyAlignment="1" applyProtection="1">
      <protection hidden="1"/>
    </xf>
    <xf numFmtId="0" fontId="13" fillId="0" borderId="12" xfId="0" applyFont="1" applyFill="1" applyBorder="1" applyAlignment="1" applyProtection="1">
      <protection hidden="1"/>
    </xf>
    <xf numFmtId="0" fontId="13" fillId="0" borderId="34" xfId="0" applyFont="1" applyFill="1" applyBorder="1" applyAlignment="1" applyProtection="1">
      <alignment horizontal="center" vertical="center" wrapText="1"/>
      <protection hidden="1"/>
    </xf>
    <xf numFmtId="0" fontId="13" fillId="0" borderId="35" xfId="0" applyFont="1" applyFill="1" applyBorder="1" applyAlignment="1" applyProtection="1">
      <alignment horizontal="center" vertical="center" wrapText="1"/>
      <protection hidden="1"/>
    </xf>
    <xf numFmtId="0" fontId="13" fillId="0" borderId="28" xfId="0" applyFont="1" applyFill="1" applyBorder="1" applyAlignment="1" applyProtection="1">
      <alignment horizontal="center" vertical="center" wrapText="1"/>
      <protection hidden="1"/>
    </xf>
    <xf numFmtId="0" fontId="13" fillId="0" borderId="27" xfId="0" applyFont="1" applyFill="1" applyBorder="1" applyAlignment="1" applyProtection="1">
      <alignment horizontal="center" vertical="center" wrapText="1"/>
      <protection hidden="1"/>
    </xf>
    <xf numFmtId="0" fontId="13" fillId="0" borderId="21" xfId="0" applyFont="1" applyFill="1" applyBorder="1" applyAlignment="1" applyProtection="1">
      <alignment horizontal="center" vertical="center" wrapText="1"/>
      <protection hidden="1"/>
    </xf>
    <xf numFmtId="0" fontId="13" fillId="0" borderId="32" xfId="0" applyFont="1" applyFill="1" applyBorder="1" applyAlignment="1" applyProtection="1">
      <alignment horizontal="center" vertical="center" wrapText="1"/>
      <protection hidden="1"/>
    </xf>
    <xf numFmtId="0" fontId="13" fillId="0" borderId="33" xfId="0" applyFont="1" applyFill="1" applyBorder="1" applyAlignment="1" applyProtection="1">
      <alignment horizontal="center" vertical="center" wrapText="1"/>
      <protection hidden="1"/>
    </xf>
    <xf numFmtId="0" fontId="13" fillId="0" borderId="7" xfId="0" applyFont="1" applyFill="1" applyBorder="1" applyAlignment="1" applyProtection="1">
      <alignment horizontal="right" vertical="center" wrapText="1"/>
      <protection hidden="1"/>
    </xf>
    <xf numFmtId="3" fontId="11" fillId="18" borderId="31" xfId="0" applyNumberFormat="1" applyFont="1" applyFill="1" applyBorder="1" applyAlignment="1" applyProtection="1">
      <alignment horizontal="center" vertical="center" wrapText="1"/>
      <protection hidden="1"/>
    </xf>
    <xf numFmtId="0" fontId="30" fillId="0" borderId="33" xfId="0" applyFont="1" applyFill="1" applyBorder="1" applyAlignment="1" applyProtection="1">
      <alignment vertical="center" wrapText="1"/>
      <protection hidden="1"/>
    </xf>
    <xf numFmtId="0" fontId="30" fillId="0" borderId="7" xfId="0" applyFont="1" applyFill="1" applyBorder="1" applyAlignment="1" applyProtection="1">
      <alignment horizontal="center" vertical="center" wrapText="1"/>
      <protection hidden="1"/>
    </xf>
    <xf numFmtId="168" fontId="0" fillId="13" borderId="33" xfId="0" applyNumberFormat="1" applyFill="1" applyBorder="1" applyAlignment="1" applyProtection="1">
      <alignment horizontal="center"/>
      <protection hidden="1"/>
    </xf>
    <xf numFmtId="168" fontId="0" fillId="13" borderId="7" xfId="0" applyNumberFormat="1" applyFill="1" applyBorder="1" applyAlignment="1" applyProtection="1">
      <alignment horizontal="center"/>
      <protection hidden="1"/>
    </xf>
    <xf numFmtId="9" fontId="0" fillId="0" borderId="0" xfId="1" applyFont="1" applyProtection="1">
      <protection hidden="1"/>
    </xf>
    <xf numFmtId="0" fontId="30" fillId="0" borderId="33" xfId="0" applyFont="1" applyFill="1" applyBorder="1" applyProtection="1">
      <protection hidden="1"/>
    </xf>
    <xf numFmtId="0" fontId="28" fillId="0" borderId="24" xfId="0" applyFont="1" applyFill="1" applyBorder="1" applyProtection="1">
      <protection hidden="1"/>
    </xf>
    <xf numFmtId="9" fontId="0" fillId="0" borderId="0" xfId="0" applyNumberFormat="1" applyAlignment="1" applyProtection="1">
      <alignment horizontal="center"/>
      <protection hidden="1"/>
    </xf>
    <xf numFmtId="3" fontId="0" fillId="18" borderId="7" xfId="1" applyNumberFormat="1" applyFont="1" applyFill="1" applyBorder="1" applyProtection="1">
      <protection hidden="1"/>
    </xf>
    <xf numFmtId="9" fontId="0" fillId="0" borderId="0" xfId="0" applyNumberFormat="1" applyProtection="1">
      <protection hidden="1"/>
    </xf>
    <xf numFmtId="170" fontId="0" fillId="0" borderId="0" xfId="0" applyNumberFormat="1" applyProtection="1">
      <protection hidden="1"/>
    </xf>
    <xf numFmtId="0" fontId="30" fillId="0" borderId="38" xfId="0" applyFont="1" applyFill="1" applyBorder="1" applyProtection="1">
      <protection hidden="1"/>
    </xf>
    <xf numFmtId="0" fontId="28" fillId="0" borderId="22" xfId="0" applyFont="1" applyFill="1" applyBorder="1" applyProtection="1">
      <protection hidden="1"/>
    </xf>
    <xf numFmtId="9" fontId="0" fillId="0" borderId="7" xfId="0" applyNumberFormat="1" applyBorder="1" applyAlignment="1" applyProtection="1">
      <alignment horizontal="center"/>
      <protection hidden="1"/>
    </xf>
    <xf numFmtId="0" fontId="28" fillId="0" borderId="29" xfId="0" applyFont="1" applyFill="1" applyBorder="1" applyProtection="1">
      <protection hidden="1"/>
    </xf>
    <xf numFmtId="166" fontId="0" fillId="0" borderId="7" xfId="0" applyNumberFormat="1" applyBorder="1" applyAlignment="1" applyProtection="1">
      <alignment horizontal="center"/>
      <protection hidden="1"/>
    </xf>
    <xf numFmtId="0" fontId="36" fillId="4" borderId="33" xfId="0" applyFont="1" applyFill="1" applyBorder="1" applyProtection="1">
      <protection hidden="1"/>
    </xf>
    <xf numFmtId="0" fontId="28" fillId="4" borderId="29" xfId="0" applyFont="1" applyFill="1" applyBorder="1" applyProtection="1">
      <protection hidden="1"/>
    </xf>
    <xf numFmtId="9" fontId="0" fillId="4" borderId="7" xfId="0" applyNumberFormat="1" applyFill="1" applyBorder="1" applyAlignment="1" applyProtection="1">
      <alignment horizontal="center"/>
      <protection hidden="1"/>
    </xf>
    <xf numFmtId="0" fontId="28" fillId="0" borderId="30" xfId="0" applyFont="1" applyFill="1" applyBorder="1" applyProtection="1">
      <protection hidden="1"/>
    </xf>
    <xf numFmtId="168" fontId="0" fillId="13" borderId="8" xfId="0" applyNumberFormat="1" applyFill="1" applyBorder="1" applyAlignment="1" applyProtection="1">
      <alignment horizontal="center"/>
      <protection hidden="1"/>
    </xf>
    <xf numFmtId="9" fontId="0" fillId="0" borderId="8" xfId="0" applyNumberFormat="1" applyBorder="1" applyAlignment="1" applyProtection="1">
      <alignment horizontal="center"/>
      <protection hidden="1"/>
    </xf>
    <xf numFmtId="0" fontId="0" fillId="0" borderId="7" xfId="0" applyFont="1" applyBorder="1" applyAlignment="1" applyProtection="1">
      <alignment vertical="center" wrapText="1"/>
      <protection hidden="1"/>
    </xf>
    <xf numFmtId="166" fontId="0" fillId="0" borderId="7" xfId="1" applyNumberFormat="1" applyFont="1" applyBorder="1" applyProtection="1">
      <protection hidden="1"/>
    </xf>
    <xf numFmtId="0" fontId="0" fillId="0" borderId="7" xfId="0" applyFont="1" applyFill="1" applyBorder="1" applyAlignment="1" applyProtection="1">
      <alignment vertical="center" wrapText="1"/>
      <protection hidden="1"/>
    </xf>
    <xf numFmtId="0" fontId="0" fillId="0" borderId="7" xfId="0" applyFont="1" applyFill="1" applyBorder="1" applyAlignment="1" applyProtection="1">
      <alignment horizontal="left" wrapText="1"/>
      <protection hidden="1"/>
    </xf>
    <xf numFmtId="0" fontId="23" fillId="0" borderId="0" xfId="0" applyFont="1" applyProtection="1">
      <protection hidden="1"/>
    </xf>
    <xf numFmtId="0" fontId="16" fillId="7" borderId="7" xfId="0" applyFont="1" applyFill="1" applyBorder="1" applyAlignment="1" applyProtection="1">
      <alignment horizontal="center"/>
      <protection hidden="1"/>
    </xf>
    <xf numFmtId="0" fontId="22" fillId="7" borderId="7" xfId="0" applyFont="1" applyFill="1" applyBorder="1" applyAlignment="1" applyProtection="1">
      <alignment horizontal="center" wrapText="1"/>
      <protection hidden="1"/>
    </xf>
    <xf numFmtId="0" fontId="22" fillId="7" borderId="9" xfId="0" applyFont="1" applyFill="1" applyBorder="1" applyAlignment="1" applyProtection="1">
      <alignment horizontal="center" wrapText="1"/>
      <protection hidden="1"/>
    </xf>
    <xf numFmtId="9" fontId="0" fillId="0" borderId="7" xfId="1" applyNumberFormat="1" applyFont="1" applyFill="1" applyBorder="1" applyProtection="1">
      <protection hidden="1"/>
    </xf>
    <xf numFmtId="9" fontId="0" fillId="0" borderId="7" xfId="1" applyFont="1" applyBorder="1" applyProtection="1">
      <protection hidden="1"/>
    </xf>
    <xf numFmtId="1" fontId="0" fillId="0" borderId="7" xfId="1" applyNumberFormat="1" applyFont="1" applyFill="1" applyBorder="1" applyProtection="1">
      <protection hidden="1"/>
    </xf>
    <xf numFmtId="9" fontId="0" fillId="0" borderId="7" xfId="1" applyFont="1" applyFill="1" applyBorder="1" applyProtection="1">
      <protection hidden="1"/>
    </xf>
    <xf numFmtId="165" fontId="0" fillId="0" borderId="7" xfId="0" applyNumberFormat="1" applyBorder="1" applyProtection="1">
      <protection hidden="1"/>
    </xf>
    <xf numFmtId="171" fontId="0" fillId="0" borderId="7" xfId="0" applyNumberFormat="1" applyBorder="1" applyProtection="1">
      <protection hidden="1"/>
    </xf>
    <xf numFmtId="0" fontId="28" fillId="0" borderId="23" xfId="0" applyFont="1" applyFill="1" applyBorder="1" applyProtection="1">
      <protection hidden="1"/>
    </xf>
    <xf numFmtId="2" fontId="0" fillId="0" borderId="7" xfId="0" applyNumberFormat="1" applyBorder="1" applyProtection="1">
      <protection hidden="1"/>
    </xf>
    <xf numFmtId="0" fontId="0" fillId="9" borderId="7" xfId="0" applyFill="1" applyBorder="1" applyProtection="1">
      <protection hidden="1"/>
    </xf>
    <xf numFmtId="3" fontId="0" fillId="9" borderId="7" xfId="0" applyNumberFormat="1" applyFill="1" applyBorder="1" applyProtection="1">
      <protection hidden="1"/>
    </xf>
    <xf numFmtId="9" fontId="0" fillId="9" borderId="7" xfId="1" applyFont="1" applyFill="1" applyBorder="1" applyProtection="1">
      <protection hidden="1"/>
    </xf>
    <xf numFmtId="1" fontId="0" fillId="9" borderId="7" xfId="1" applyNumberFormat="1" applyFont="1" applyFill="1" applyBorder="1" applyProtection="1">
      <protection hidden="1"/>
    </xf>
    <xf numFmtId="2" fontId="0" fillId="9" borderId="7" xfId="0" applyNumberFormat="1" applyFill="1" applyBorder="1" applyProtection="1">
      <protection hidden="1"/>
    </xf>
    <xf numFmtId="3" fontId="0" fillId="0" borderId="7" xfId="0" applyNumberFormat="1" applyFill="1" applyBorder="1" applyProtection="1">
      <protection hidden="1"/>
    </xf>
    <xf numFmtId="2" fontId="0" fillId="0" borderId="7" xfId="0" applyNumberFormat="1" applyFill="1" applyBorder="1" applyProtection="1">
      <protection hidden="1"/>
    </xf>
    <xf numFmtId="166" fontId="0" fillId="0" borderId="7" xfId="1" applyNumberFormat="1" applyFont="1" applyFill="1" applyBorder="1" applyProtection="1">
      <protection hidden="1"/>
    </xf>
    <xf numFmtId="164" fontId="0" fillId="0" borderId="7" xfId="0" applyNumberFormat="1" applyBorder="1" applyProtection="1">
      <protection hidden="1"/>
    </xf>
    <xf numFmtId="0" fontId="24" fillId="8" borderId="0" xfId="0" applyFont="1" applyFill="1" applyProtection="1">
      <protection hidden="1"/>
    </xf>
    <xf numFmtId="0" fontId="15" fillId="3" borderId="7" xfId="0" applyFont="1" applyFill="1" applyBorder="1" applyAlignment="1" applyProtection="1">
      <alignment horizontal="center" vertical="center" wrapText="1"/>
      <protection hidden="1"/>
    </xf>
    <xf numFmtId="0" fontId="15" fillId="3" borderId="7" xfId="0" applyFont="1" applyFill="1" applyBorder="1" applyAlignment="1" applyProtection="1">
      <alignment horizontal="center" vertical="center"/>
      <protection hidden="1"/>
    </xf>
    <xf numFmtId="0" fontId="14" fillId="0" borderId="7" xfId="0" applyFont="1" applyBorder="1" applyAlignment="1" applyProtection="1">
      <alignment vertical="center" wrapText="1"/>
      <protection hidden="1"/>
    </xf>
    <xf numFmtId="0" fontId="14" fillId="0" borderId="7" xfId="0" applyFont="1" applyBorder="1" applyAlignment="1" applyProtection="1">
      <alignment horizontal="left" vertical="center" wrapText="1"/>
      <protection hidden="1"/>
    </xf>
    <xf numFmtId="0" fontId="14" fillId="0" borderId="7" xfId="0" applyFont="1" applyBorder="1" applyAlignment="1" applyProtection="1">
      <alignment horizontal="left" vertical="center"/>
      <protection hidden="1"/>
    </xf>
    <xf numFmtId="0" fontId="14" fillId="0" borderId="7" xfId="0" applyFont="1" applyFill="1" applyBorder="1" applyAlignment="1" applyProtection="1">
      <alignment horizontal="left" vertical="center"/>
      <protection hidden="1"/>
    </xf>
    <xf numFmtId="0" fontId="14" fillId="0" borderId="20" xfId="0" applyFont="1" applyFill="1" applyBorder="1" applyProtection="1">
      <protection hidden="1"/>
    </xf>
    <xf numFmtId="0" fontId="14" fillId="0" borderId="7" xfId="0" applyFont="1" applyFill="1" applyBorder="1" applyProtection="1">
      <protection hidden="1"/>
    </xf>
    <xf numFmtId="168" fontId="0" fillId="0" borderId="7" xfId="1" applyNumberFormat="1" applyFont="1" applyBorder="1" applyProtection="1">
      <protection hidden="1"/>
    </xf>
    <xf numFmtId="171" fontId="14" fillId="0" borderId="7" xfId="0" applyNumberFormat="1" applyFont="1" applyFill="1" applyBorder="1" applyProtection="1">
      <protection hidden="1"/>
    </xf>
    <xf numFmtId="171" fontId="14" fillId="0" borderId="9" xfId="0" applyNumberFormat="1" applyFont="1" applyFill="1" applyBorder="1" applyProtection="1">
      <protection hidden="1"/>
    </xf>
    <xf numFmtId="0" fontId="0" fillId="0" borderId="7" xfId="13" applyNumberFormat="1" applyFont="1" applyBorder="1" applyProtection="1">
      <protection hidden="1"/>
    </xf>
    <xf numFmtId="0" fontId="14" fillId="0" borderId="7" xfId="0" applyFont="1" applyFill="1" applyBorder="1" applyAlignment="1" applyProtection="1">
      <alignment horizontal="left" wrapText="1"/>
      <protection hidden="1"/>
    </xf>
    <xf numFmtId="172" fontId="14" fillId="0" borderId="7" xfId="0" applyNumberFormat="1" applyFont="1" applyFill="1" applyBorder="1" applyProtection="1">
      <protection hidden="1"/>
    </xf>
    <xf numFmtId="0" fontId="0" fillId="0" borderId="0" xfId="13" applyNumberFormat="1" applyFont="1" applyProtection="1">
      <protection hidden="1"/>
    </xf>
    <xf numFmtId="0" fontId="14" fillId="0" borderId="7" xfId="13" applyNumberFormat="1" applyFont="1" applyBorder="1" applyAlignment="1" applyProtection="1">
      <alignment vertical="center" wrapText="1"/>
      <protection hidden="1"/>
    </xf>
    <xf numFmtId="0" fontId="14" fillId="0" borderId="7" xfId="13" applyNumberFormat="1" applyFont="1" applyFill="1" applyBorder="1" applyAlignment="1" applyProtection="1">
      <alignment horizontal="left" wrapText="1"/>
      <protection hidden="1"/>
    </xf>
    <xf numFmtId="2" fontId="14" fillId="0" borderId="7" xfId="13" applyNumberFormat="1" applyFont="1" applyFill="1" applyBorder="1" applyProtection="1">
      <protection hidden="1"/>
    </xf>
    <xf numFmtId="0" fontId="14" fillId="0" borderId="7" xfId="13" applyNumberFormat="1" applyFont="1" applyFill="1" applyBorder="1" applyProtection="1">
      <protection hidden="1"/>
    </xf>
    <xf numFmtId="0" fontId="14" fillId="0" borderId="7" xfId="0" applyFont="1" applyBorder="1" applyAlignment="1" applyProtection="1">
      <alignment horizontal="left" wrapText="1"/>
      <protection hidden="1"/>
    </xf>
    <xf numFmtId="0" fontId="14" fillId="0" borderId="7" xfId="0" applyFont="1" applyBorder="1" applyAlignment="1" applyProtection="1">
      <alignment horizontal="left"/>
      <protection hidden="1"/>
    </xf>
    <xf numFmtId="0" fontId="0" fillId="0" borderId="7" xfId="0" applyNumberFormat="1" applyBorder="1" applyProtection="1">
      <protection hidden="1"/>
    </xf>
    <xf numFmtId="0" fontId="14" fillId="0" borderId="7" xfId="0" applyFont="1" applyBorder="1" applyAlignment="1" applyProtection="1">
      <alignment wrapText="1"/>
      <protection hidden="1"/>
    </xf>
    <xf numFmtId="0" fontId="14" fillId="0" borderId="11" xfId="0" applyFont="1" applyFill="1" applyBorder="1" applyProtection="1">
      <protection hidden="1"/>
    </xf>
    <xf numFmtId="2" fontId="14" fillId="0" borderId="7" xfId="0" applyNumberFormat="1" applyFont="1" applyFill="1" applyBorder="1" applyProtection="1">
      <protection hidden="1"/>
    </xf>
    <xf numFmtId="2" fontId="14" fillId="0" borderId="9" xfId="0" applyNumberFormat="1" applyFont="1" applyFill="1" applyBorder="1" applyProtection="1">
      <protection hidden="1"/>
    </xf>
    <xf numFmtId="0" fontId="14" fillId="0" borderId="7" xfId="0" applyFont="1" applyBorder="1" applyProtection="1">
      <protection hidden="1"/>
    </xf>
    <xf numFmtId="171" fontId="24" fillId="0" borderId="0" xfId="0" applyNumberFormat="1" applyFont="1" applyProtection="1">
      <protection hidden="1"/>
    </xf>
    <xf numFmtId="0" fontId="17" fillId="3" borderId="7" xfId="0" applyFont="1" applyFill="1" applyBorder="1" applyAlignment="1" applyProtection="1">
      <alignment horizontal="center" vertical="center" wrapText="1"/>
      <protection hidden="1"/>
    </xf>
    <xf numFmtId="2" fontId="0" fillId="0" borderId="7" xfId="0" applyNumberFormat="1" applyFont="1" applyBorder="1" applyProtection="1">
      <protection hidden="1"/>
    </xf>
    <xf numFmtId="166" fontId="0" fillId="0" borderId="7" xfId="0" applyNumberFormat="1" applyBorder="1" applyProtection="1">
      <protection hidden="1"/>
    </xf>
    <xf numFmtId="166" fontId="0" fillId="0" borderId="0" xfId="0" applyNumberFormat="1" applyProtection="1">
      <protection hidden="1"/>
    </xf>
    <xf numFmtId="0" fontId="17" fillId="3" borderId="29" xfId="0" applyFont="1" applyFill="1" applyBorder="1" applyAlignment="1" applyProtection="1">
      <alignment horizontal="center" vertical="center" wrapText="1"/>
      <protection hidden="1"/>
    </xf>
    <xf numFmtId="0" fontId="30" fillId="0" borderId="7" xfId="0" applyFont="1" applyFill="1" applyBorder="1" applyAlignment="1" applyProtection="1">
      <alignment horizontal="center"/>
      <protection hidden="1"/>
    </xf>
    <xf numFmtId="0" fontId="32" fillId="0" borderId="9" xfId="0" applyFont="1" applyFill="1" applyBorder="1" applyProtection="1">
      <protection hidden="1"/>
    </xf>
    <xf numFmtId="166" fontId="0" fillId="0" borderId="7" xfId="1" applyNumberFormat="1" applyFont="1" applyBorder="1" applyAlignment="1" applyProtection="1">
      <alignment horizontal="center"/>
      <protection hidden="1"/>
    </xf>
    <xf numFmtId="166" fontId="24" fillId="0" borderId="0" xfId="0" applyNumberFormat="1" applyFont="1" applyProtection="1">
      <protection hidden="1"/>
    </xf>
    <xf numFmtId="0" fontId="24" fillId="0" borderId="0" xfId="0" applyFont="1" applyProtection="1">
      <protection hidden="1"/>
    </xf>
    <xf numFmtId="0" fontId="0" fillId="11" borderId="0" xfId="0" applyFill="1" applyProtection="1">
      <protection hidden="1"/>
    </xf>
    <xf numFmtId="165" fontId="0" fillId="0" borderId="7" xfId="0" applyNumberFormat="1" applyBorder="1" applyAlignment="1" applyProtection="1">
      <alignment horizontal="center"/>
      <protection hidden="1"/>
    </xf>
    <xf numFmtId="171" fontId="0" fillId="0" borderId="7" xfId="0" applyNumberFormat="1" applyFill="1" applyBorder="1" applyAlignment="1" applyProtection="1">
      <alignment horizontal="center"/>
      <protection hidden="1"/>
    </xf>
    <xf numFmtId="165" fontId="0" fillId="0" borderId="7" xfId="0" applyNumberFormat="1" applyFill="1" applyBorder="1" applyAlignment="1" applyProtection="1">
      <alignment horizontal="center"/>
      <protection hidden="1"/>
    </xf>
    <xf numFmtId="2" fontId="0" fillId="0" borderId="7" xfId="0" applyNumberFormat="1" applyFill="1" applyBorder="1" applyAlignment="1" applyProtection="1">
      <alignment horizontal="center"/>
      <protection hidden="1"/>
    </xf>
    <xf numFmtId="164" fontId="0" fillId="0" borderId="7" xfId="0" applyNumberFormat="1" applyFill="1" applyBorder="1" applyAlignment="1" applyProtection="1">
      <alignment horizontal="center"/>
      <protection hidden="1"/>
    </xf>
    <xf numFmtId="164" fontId="0" fillId="0" borderId="7" xfId="0" applyNumberFormat="1" applyBorder="1" applyAlignment="1" applyProtection="1">
      <alignment horizontal="center"/>
      <protection hidden="1"/>
    </xf>
    <xf numFmtId="164" fontId="0" fillId="0" borderId="29" xfId="0" applyNumberFormat="1" applyFill="1" applyBorder="1" applyAlignment="1" applyProtection="1">
      <alignment horizontal="center"/>
      <protection hidden="1"/>
    </xf>
    <xf numFmtId="0" fontId="0" fillId="12" borderId="0" xfId="0" applyFill="1" applyProtection="1">
      <protection hidden="1"/>
    </xf>
    <xf numFmtId="171" fontId="0" fillId="0" borderId="7" xfId="0" applyNumberFormat="1" applyBorder="1" applyAlignment="1" applyProtection="1">
      <alignment horizontal="center"/>
      <protection hidden="1"/>
    </xf>
    <xf numFmtId="2" fontId="0" fillId="0" borderId="7" xfId="0" applyNumberFormat="1" applyBorder="1" applyAlignment="1" applyProtection="1">
      <alignment horizontal="center"/>
      <protection hidden="1"/>
    </xf>
    <xf numFmtId="165" fontId="0" fillId="0" borderId="7" xfId="0" applyNumberFormat="1" applyFill="1" applyBorder="1" applyProtection="1">
      <protection hidden="1"/>
    </xf>
    <xf numFmtId="164" fontId="0" fillId="20" borderId="7" xfId="0" applyNumberFormat="1" applyFill="1" applyBorder="1" applyAlignment="1" applyProtection="1">
      <alignment horizontal="center"/>
      <protection hidden="1"/>
    </xf>
    <xf numFmtId="0" fontId="24" fillId="0" borderId="7" xfId="0" applyFont="1" applyBorder="1" applyAlignment="1" applyProtection="1">
      <alignment horizontal="center" wrapText="1"/>
      <protection hidden="1"/>
    </xf>
    <xf numFmtId="0" fontId="24" fillId="0" borderId="0" xfId="0" applyFont="1" applyAlignment="1" applyProtection="1">
      <alignment wrapText="1"/>
      <protection hidden="1"/>
    </xf>
    <xf numFmtId="171" fontId="0" fillId="4" borderId="7" xfId="0" applyNumberFormat="1" applyFill="1" applyBorder="1" applyAlignment="1" applyProtection="1">
      <alignment horizontal="center"/>
      <protection hidden="1"/>
    </xf>
    <xf numFmtId="164" fontId="0" fillId="4" borderId="7" xfId="0" applyNumberFormat="1" applyFill="1" applyBorder="1" applyAlignment="1" applyProtection="1">
      <alignment horizontal="center"/>
      <protection hidden="1"/>
    </xf>
    <xf numFmtId="0" fontId="0" fillId="0" borderId="7" xfId="0" applyFont="1" applyBorder="1" applyAlignment="1" applyProtection="1">
      <alignment vertical="center"/>
      <protection hidden="1"/>
    </xf>
    <xf numFmtId="0" fontId="30" fillId="0" borderId="7" xfId="0" applyFont="1" applyFill="1" applyBorder="1" applyProtection="1">
      <protection hidden="1"/>
    </xf>
    <xf numFmtId="165" fontId="30" fillId="0" borderId="7" xfId="0" applyNumberFormat="1" applyFont="1" applyFill="1" applyBorder="1" applyProtection="1">
      <protection hidden="1"/>
    </xf>
    <xf numFmtId="164" fontId="30" fillId="0" borderId="7" xfId="0" applyNumberFormat="1" applyFont="1" applyFill="1" applyBorder="1" applyProtection="1">
      <protection hidden="1"/>
    </xf>
    <xf numFmtId="171" fontId="30" fillId="0" borderId="7" xfId="0" applyNumberFormat="1" applyFont="1" applyFill="1" applyBorder="1" applyProtection="1">
      <protection hidden="1"/>
    </xf>
    <xf numFmtId="171" fontId="28" fillId="0" borderId="7" xfId="0" applyNumberFormat="1" applyFont="1" applyFill="1" applyBorder="1" applyProtection="1">
      <protection hidden="1"/>
    </xf>
    <xf numFmtId="0" fontId="36" fillId="4" borderId="7" xfId="0" applyFont="1" applyFill="1" applyBorder="1" applyProtection="1">
      <protection hidden="1"/>
    </xf>
    <xf numFmtId="0" fontId="0" fillId="0" borderId="0" xfId="0" applyFont="1" applyAlignment="1">
      <alignment horizontal="center"/>
    </xf>
    <xf numFmtId="171" fontId="0" fillId="0" borderId="7" xfId="0" applyNumberFormat="1" applyBorder="1" applyAlignment="1">
      <alignment horizontal="center"/>
    </xf>
    <xf numFmtId="0" fontId="0" fillId="0" borderId="7" xfId="0" applyBorder="1" applyAlignment="1">
      <alignment horizontal="center" wrapText="1"/>
    </xf>
    <xf numFmtId="0" fontId="43" fillId="14" borderId="0" xfId="0" applyFont="1" applyFill="1"/>
    <xf numFmtId="0" fontId="0" fillId="5" borderId="20" xfId="0" applyFill="1" applyBorder="1"/>
    <xf numFmtId="0" fontId="28" fillId="6" borderId="51" xfId="0" applyFont="1" applyFill="1" applyBorder="1"/>
    <xf numFmtId="0" fontId="0" fillId="0" borderId="5" xfId="0" applyBorder="1"/>
    <xf numFmtId="0" fontId="17" fillId="4" borderId="52" xfId="0" applyFont="1" applyFill="1" applyBorder="1" applyAlignment="1">
      <alignment wrapText="1"/>
    </xf>
    <xf numFmtId="0" fontId="17" fillId="4" borderId="53" xfId="0" applyFont="1" applyFill="1" applyBorder="1" applyAlignment="1">
      <alignment wrapText="1"/>
    </xf>
    <xf numFmtId="0" fontId="40" fillId="4" borderId="10" xfId="0" applyFont="1" applyFill="1" applyBorder="1" applyAlignment="1" applyProtection="1">
      <alignment wrapText="1"/>
      <protection locked="0"/>
    </xf>
    <xf numFmtId="0" fontId="0" fillId="4" borderId="2" xfId="0" applyFill="1" applyBorder="1" applyAlignment="1">
      <alignment wrapText="1"/>
    </xf>
    <xf numFmtId="9" fontId="0" fillId="11" borderId="7" xfId="0" applyNumberFormat="1" applyFill="1" applyBorder="1" applyAlignment="1" applyProtection="1">
      <alignment horizontal="center"/>
      <protection locked="0"/>
    </xf>
    <xf numFmtId="9" fontId="0" fillId="11" borderId="8" xfId="0" applyNumberFormat="1" applyFill="1" applyBorder="1" applyAlignment="1" applyProtection="1">
      <alignment horizontal="center"/>
      <protection locked="0"/>
    </xf>
    <xf numFmtId="9" fontId="0" fillId="0" borderId="7" xfId="1" applyFont="1" applyFill="1" applyBorder="1" applyAlignment="1" applyProtection="1">
      <alignment horizontal="center"/>
    </xf>
    <xf numFmtId="9" fontId="0" fillId="0" borderId="7" xfId="0" applyNumberFormat="1" applyFill="1" applyBorder="1" applyAlignment="1" applyProtection="1">
      <alignment horizontal="center"/>
    </xf>
    <xf numFmtId="9" fontId="0" fillId="0" borderId="8" xfId="1" applyFont="1" applyFill="1" applyBorder="1" applyAlignment="1" applyProtection="1">
      <alignment horizontal="center"/>
    </xf>
    <xf numFmtId="9" fontId="0" fillId="0" borderId="8" xfId="0" applyNumberFormat="1" applyFill="1" applyBorder="1" applyAlignment="1" applyProtection="1">
      <alignment horizontal="center"/>
    </xf>
    <xf numFmtId="9" fontId="28" fillId="9" borderId="7" xfId="1" applyFont="1" applyFill="1" applyBorder="1" applyAlignment="1" applyProtection="1">
      <alignment horizontal="center" wrapText="1"/>
    </xf>
    <xf numFmtId="0" fontId="0" fillId="4" borderId="14" xfId="0" applyFill="1" applyBorder="1"/>
    <xf numFmtId="0" fontId="0" fillId="4" borderId="2" xfId="0" applyFill="1" applyBorder="1"/>
    <xf numFmtId="0" fontId="0" fillId="4" borderId="52" xfId="0" applyFill="1" applyBorder="1"/>
    <xf numFmtId="0" fontId="17" fillId="4" borderId="6" xfId="0" applyFont="1" applyFill="1" applyBorder="1"/>
    <xf numFmtId="0" fontId="40" fillId="4" borderId="10" xfId="0" applyFont="1" applyFill="1" applyBorder="1" applyProtection="1">
      <protection locked="0"/>
    </xf>
    <xf numFmtId="0" fontId="16" fillId="7" borderId="42" xfId="0" applyFont="1" applyFill="1" applyBorder="1" applyAlignment="1" applyProtection="1">
      <alignment horizontal="center" wrapText="1"/>
    </xf>
    <xf numFmtId="0" fontId="46" fillId="2" borderId="10" xfId="0" applyFont="1" applyFill="1" applyBorder="1"/>
    <xf numFmtId="0" fontId="46" fillId="2" borderId="3" xfId="0" applyFont="1" applyFill="1" applyBorder="1"/>
    <xf numFmtId="3" fontId="0" fillId="0" borderId="7" xfId="0" applyNumberFormat="1" applyFont="1" applyBorder="1" applyProtection="1">
      <protection hidden="1"/>
    </xf>
    <xf numFmtId="3" fontId="0" fillId="0" borderId="7" xfId="0" applyNumberFormat="1" applyBorder="1" applyProtection="1">
      <protection hidden="1"/>
    </xf>
    <xf numFmtId="0" fontId="28" fillId="11" borderId="7" xfId="0" applyFont="1" applyFill="1" applyBorder="1" applyProtection="1">
      <protection locked="0"/>
    </xf>
    <xf numFmtId="0" fontId="0" fillId="0" borderId="0" xfId="0" applyBorder="1" applyProtection="1">
      <protection hidden="1"/>
    </xf>
    <xf numFmtId="0" fontId="0" fillId="0" borderId="7" xfId="0" applyBorder="1" applyProtection="1">
      <protection locked="0"/>
    </xf>
    <xf numFmtId="0" fontId="0" fillId="0" borderId="7" xfId="0" applyBorder="1" applyAlignment="1" applyProtection="1">
      <alignment wrapText="1"/>
      <protection locked="0"/>
    </xf>
    <xf numFmtId="0" fontId="16" fillId="7" borderId="7" xfId="0" applyFont="1" applyFill="1" applyBorder="1" applyProtection="1">
      <protection locked="0"/>
    </xf>
    <xf numFmtId="0" fontId="31" fillId="7" borderId="7" xfId="0" applyFont="1" applyFill="1" applyBorder="1" applyProtection="1">
      <protection locked="0"/>
    </xf>
    <xf numFmtId="0" fontId="17" fillId="18" borderId="7" xfId="0" applyFont="1" applyFill="1" applyBorder="1"/>
    <xf numFmtId="0" fontId="0" fillId="18" borderId="7" xfId="0" applyFill="1" applyBorder="1"/>
    <xf numFmtId="0" fontId="14" fillId="0" borderId="7" xfId="0" applyFont="1" applyBorder="1" applyAlignment="1">
      <alignment vertical="center" wrapText="1"/>
    </xf>
    <xf numFmtId="0" fontId="14" fillId="0" borderId="7" xfId="0" applyFont="1" applyBorder="1" applyAlignment="1">
      <alignment horizontal="left" vertical="center" wrapText="1"/>
    </xf>
    <xf numFmtId="0" fontId="14" fillId="0" borderId="7" xfId="0" applyFont="1" applyBorder="1" applyAlignment="1">
      <alignment horizontal="left" wrapText="1"/>
    </xf>
    <xf numFmtId="0" fontId="22" fillId="7" borderId="7" xfId="0" applyFont="1" applyFill="1" applyBorder="1" applyAlignment="1">
      <alignment vertical="center"/>
    </xf>
    <xf numFmtId="0" fontId="18" fillId="2" borderId="5" xfId="0" applyFont="1" applyFill="1" applyBorder="1" applyAlignment="1">
      <alignment vertical="center"/>
    </xf>
    <xf numFmtId="3" fontId="28" fillId="9" borderId="7" xfId="0" applyNumberFormat="1" applyFont="1" applyFill="1" applyBorder="1" applyAlignment="1" applyProtection="1">
      <alignment horizontal="center"/>
      <protection locked="0"/>
    </xf>
    <xf numFmtId="3" fontId="0" fillId="5" borderId="7" xfId="0" applyNumberFormat="1" applyFont="1" applyFill="1" applyBorder="1" applyAlignment="1" applyProtection="1">
      <alignment horizontal="center"/>
      <protection locked="0"/>
    </xf>
    <xf numFmtId="3" fontId="28" fillId="6" borderId="7" xfId="0" applyNumberFormat="1" applyFont="1" applyFill="1" applyBorder="1" applyAlignment="1" applyProtection="1">
      <alignment horizontal="center"/>
      <protection locked="0"/>
    </xf>
    <xf numFmtId="3" fontId="28" fillId="6" borderId="8" xfId="0" applyNumberFormat="1" applyFont="1" applyFill="1" applyBorder="1" applyAlignment="1" applyProtection="1">
      <alignment horizontal="center"/>
      <protection locked="0"/>
    </xf>
    <xf numFmtId="0" fontId="0" fillId="22" borderId="7" xfId="0" applyFill="1" applyBorder="1" applyProtection="1">
      <protection hidden="1"/>
    </xf>
    <xf numFmtId="3" fontId="0" fillId="0" borderId="7" xfId="0" applyNumberFormat="1" applyBorder="1" applyAlignment="1">
      <alignment horizontal="center"/>
    </xf>
    <xf numFmtId="3" fontId="0" fillId="0" borderId="8" xfId="0" applyNumberFormat="1" applyBorder="1" applyAlignment="1">
      <alignment horizontal="center"/>
    </xf>
    <xf numFmtId="165" fontId="0" fillId="0" borderId="11" xfId="0" applyNumberFormat="1" applyBorder="1" applyAlignment="1">
      <alignment horizontal="center"/>
    </xf>
    <xf numFmtId="0" fontId="38" fillId="7" borderId="27" xfId="0" applyFont="1" applyFill="1" applyBorder="1" applyAlignment="1">
      <alignment vertical="center" wrapText="1"/>
    </xf>
    <xf numFmtId="0" fontId="38" fillId="7" borderId="34" xfId="0" applyFont="1" applyFill="1" applyBorder="1" applyAlignment="1">
      <alignment vertical="center" wrapText="1"/>
    </xf>
    <xf numFmtId="165" fontId="0" fillId="0" borderId="0" xfId="0" applyNumberFormat="1" applyProtection="1">
      <protection hidden="1"/>
    </xf>
    <xf numFmtId="165" fontId="0" fillId="0" borderId="0" xfId="0" applyNumberFormat="1" applyBorder="1" applyAlignment="1">
      <alignment horizontal="center"/>
    </xf>
    <xf numFmtId="165" fontId="0" fillId="0" borderId="33" xfId="0" applyNumberFormat="1" applyBorder="1" applyAlignment="1">
      <alignment horizontal="center"/>
    </xf>
    <xf numFmtId="0" fontId="17" fillId="0" borderId="7" xfId="0" applyFont="1" applyBorder="1" applyProtection="1">
      <protection locked="0"/>
    </xf>
    <xf numFmtId="0" fontId="17" fillId="0" borderId="7" xfId="0" applyFont="1" applyBorder="1" applyAlignment="1" applyProtection="1">
      <alignment horizontal="center"/>
    </xf>
    <xf numFmtId="3" fontId="0" fillId="0" borderId="11" xfId="0" applyNumberFormat="1" applyBorder="1" applyAlignment="1">
      <alignment horizontal="center"/>
    </xf>
    <xf numFmtId="0" fontId="16" fillId="7" borderId="47" xfId="0" applyFont="1" applyFill="1" applyBorder="1" applyAlignment="1">
      <alignment horizontal="center" wrapText="1"/>
    </xf>
    <xf numFmtId="0" fontId="16" fillId="7" borderId="11" xfId="0" applyFont="1" applyFill="1" applyBorder="1" applyAlignment="1">
      <alignment horizontal="center" wrapText="1"/>
    </xf>
    <xf numFmtId="0" fontId="16" fillId="7" borderId="11" xfId="0" applyFont="1" applyFill="1" applyBorder="1" applyAlignment="1">
      <alignment horizontal="center"/>
    </xf>
    <xf numFmtId="0" fontId="16" fillId="7" borderId="22" xfId="0" applyFont="1" applyFill="1" applyBorder="1" applyAlignment="1">
      <alignment horizontal="center" wrapText="1"/>
    </xf>
    <xf numFmtId="0" fontId="16" fillId="7" borderId="11" xfId="0" applyFont="1" applyFill="1" applyBorder="1" applyAlignment="1" applyProtection="1">
      <alignment horizontal="center" wrapText="1"/>
    </xf>
    <xf numFmtId="0" fontId="47" fillId="7" borderId="0" xfId="0" applyFont="1" applyFill="1" applyAlignment="1" applyProtection="1">
      <alignment horizontal="left"/>
    </xf>
    <xf numFmtId="0" fontId="16" fillId="7" borderId="11" xfId="0" applyFont="1" applyFill="1" applyBorder="1" applyAlignment="1" applyProtection="1">
      <alignment horizontal="center" wrapText="1"/>
      <protection locked="0"/>
    </xf>
    <xf numFmtId="0" fontId="20" fillId="2" borderId="3" xfId="0" applyFont="1" applyFill="1" applyBorder="1"/>
    <xf numFmtId="0" fontId="49" fillId="2" borderId="6" xfId="0" applyFont="1" applyFill="1" applyBorder="1" applyAlignment="1">
      <alignment horizontal="left"/>
    </xf>
    <xf numFmtId="0" fontId="50" fillId="2" borderId="3" xfId="0" applyFont="1" applyFill="1" applyBorder="1" applyAlignment="1">
      <alignment horizontal="left"/>
    </xf>
    <xf numFmtId="0" fontId="12" fillId="2" borderId="3" xfId="2" applyFill="1" applyBorder="1" applyAlignment="1" applyProtection="1"/>
    <xf numFmtId="0" fontId="51" fillId="2" borderId="3" xfId="0" applyFont="1" applyFill="1" applyBorder="1" applyAlignment="1">
      <alignment horizontal="left"/>
    </xf>
    <xf numFmtId="0" fontId="51" fillId="2" borderId="3" xfId="0" applyFont="1" applyFill="1" applyBorder="1"/>
    <xf numFmtId="0" fontId="16" fillId="7" borderId="7" xfId="0" applyFont="1" applyFill="1" applyBorder="1"/>
    <xf numFmtId="0" fontId="16" fillId="7" borderId="7" xfId="0" applyFont="1" applyFill="1" applyBorder="1" applyAlignment="1">
      <alignment wrapText="1"/>
    </xf>
    <xf numFmtId="0" fontId="0" fillId="11" borderId="3" xfId="0" applyFill="1" applyBorder="1"/>
    <xf numFmtId="0" fontId="0" fillId="11" borderId="4" xfId="0" applyFill="1" applyBorder="1"/>
    <xf numFmtId="0" fontId="0" fillId="11" borderId="10" xfId="0" applyFill="1" applyBorder="1"/>
    <xf numFmtId="0" fontId="0" fillId="11" borderId="2" xfId="0" applyFill="1" applyBorder="1"/>
    <xf numFmtId="0" fontId="5" fillId="0" borderId="0" xfId="0" applyFont="1" applyAlignment="1">
      <alignment wrapText="1"/>
    </xf>
    <xf numFmtId="9" fontId="28" fillId="6" borderId="7" xfId="1" applyFont="1" applyFill="1" applyBorder="1" applyAlignment="1" applyProtection="1">
      <alignment horizontal="center"/>
      <protection locked="0"/>
    </xf>
    <xf numFmtId="0" fontId="14" fillId="23" borderId="7" xfId="0" applyFont="1" applyFill="1" applyBorder="1" applyProtection="1">
      <protection hidden="1"/>
    </xf>
    <xf numFmtId="0" fontId="0" fillId="23" borderId="0" xfId="0" applyFill="1" applyProtection="1">
      <protection hidden="1"/>
    </xf>
    <xf numFmtId="0" fontId="17" fillId="23" borderId="0" xfId="0" applyFont="1" applyFill="1" applyProtection="1">
      <protection hidden="1"/>
    </xf>
    <xf numFmtId="0" fontId="27" fillId="7" borderId="0" xfId="0" applyFont="1" applyFill="1" applyAlignment="1" applyProtection="1">
      <alignment wrapText="1"/>
    </xf>
    <xf numFmtId="0" fontId="28" fillId="0" borderId="30" xfId="0" quotePrefix="1" applyFont="1" applyFill="1" applyBorder="1" applyProtection="1">
      <protection hidden="1"/>
    </xf>
    <xf numFmtId="0" fontId="30" fillId="0" borderId="31" xfId="0" applyFont="1" applyFill="1" applyBorder="1" applyProtection="1">
      <protection hidden="1"/>
    </xf>
    <xf numFmtId="0" fontId="0" fillId="0" borderId="7" xfId="0" applyBorder="1" applyAlignment="1" applyProtection="1">
      <alignment horizontal="center"/>
      <protection hidden="1"/>
    </xf>
    <xf numFmtId="2" fontId="14" fillId="0" borderId="20" xfId="0" applyNumberFormat="1" applyFont="1" applyBorder="1" applyProtection="1">
      <protection hidden="1"/>
    </xf>
    <xf numFmtId="174" fontId="28" fillId="0" borderId="7" xfId="0" applyNumberFormat="1" applyFont="1" applyFill="1" applyBorder="1" applyAlignment="1">
      <alignment horizontal="center" wrapText="1"/>
    </xf>
    <xf numFmtId="40" fontId="28" fillId="9" borderId="24" xfId="0" applyNumberFormat="1" applyFont="1" applyFill="1" applyBorder="1" applyAlignment="1">
      <alignment horizontal="center" wrapText="1"/>
    </xf>
    <xf numFmtId="40" fontId="0" fillId="0" borderId="24" xfId="0" applyNumberFormat="1" applyFill="1" applyBorder="1" applyAlignment="1">
      <alignment horizontal="center"/>
    </xf>
    <xf numFmtId="40" fontId="0" fillId="0" borderId="45" xfId="0" applyNumberFormat="1" applyFill="1" applyBorder="1" applyAlignment="1">
      <alignment horizontal="center"/>
    </xf>
    <xf numFmtId="0" fontId="53" fillId="0" borderId="0" xfId="0" applyFont="1" applyFill="1"/>
    <xf numFmtId="175" fontId="28" fillId="9" borderId="7" xfId="0" applyNumberFormat="1" applyFont="1" applyFill="1" applyBorder="1" applyAlignment="1">
      <alignment horizontal="center" wrapText="1"/>
    </xf>
    <xf numFmtId="175" fontId="0" fillId="0" borderId="7" xfId="0" applyNumberFormat="1" applyFill="1" applyBorder="1" applyAlignment="1">
      <alignment horizontal="center"/>
    </xf>
    <xf numFmtId="175" fontId="0" fillId="0" borderId="8" xfId="0" applyNumberFormat="1" applyFill="1" applyBorder="1" applyAlignment="1">
      <alignment horizontal="center"/>
    </xf>
    <xf numFmtId="175" fontId="0" fillId="0" borderId="28" xfId="0" applyNumberFormat="1" applyFill="1" applyBorder="1" applyAlignment="1">
      <alignment horizontal="center"/>
    </xf>
    <xf numFmtId="0" fontId="54" fillId="0" borderId="0" xfId="0" applyFont="1"/>
    <xf numFmtId="0" fontId="0" fillId="9" borderId="7" xfId="0" applyFill="1" applyBorder="1" applyAlignment="1" applyProtection="1">
      <alignment horizontal="center"/>
      <protection locked="0"/>
    </xf>
    <xf numFmtId="0" fontId="0" fillId="0" borderId="7" xfId="0" applyFont="1" applyBorder="1" applyProtection="1">
      <protection hidden="1"/>
    </xf>
    <xf numFmtId="0" fontId="0" fillId="0" borderId="7" xfId="0" applyFont="1" applyFill="1" applyBorder="1" applyProtection="1">
      <protection hidden="1"/>
    </xf>
    <xf numFmtId="0" fontId="0" fillId="9" borderId="7" xfId="0" applyFont="1" applyFill="1" applyBorder="1" applyProtection="1">
      <protection hidden="1"/>
    </xf>
    <xf numFmtId="0" fontId="16" fillId="7" borderId="9" xfId="0" applyFont="1" applyFill="1" applyBorder="1" applyAlignment="1" applyProtection="1">
      <alignment horizontal="center" wrapText="1"/>
      <protection hidden="1"/>
    </xf>
    <xf numFmtId="0" fontId="0" fillId="25" borderId="7" xfId="0" applyFill="1" applyBorder="1" applyAlignment="1">
      <alignment horizontal="left"/>
    </xf>
    <xf numFmtId="9" fontId="0" fillId="25" borderId="7" xfId="0" applyNumberFormat="1" applyFill="1" applyBorder="1" applyAlignment="1">
      <alignment horizontal="center"/>
    </xf>
    <xf numFmtId="0" fontId="31" fillId="0" borderId="0" xfId="0" applyFont="1"/>
    <xf numFmtId="0" fontId="55" fillId="0" borderId="0" xfId="0" applyFont="1"/>
    <xf numFmtId="0" fontId="17" fillId="11" borderId="3" xfId="0" applyFont="1" applyFill="1" applyBorder="1" applyAlignment="1">
      <alignment wrapText="1"/>
    </xf>
    <xf numFmtId="0" fontId="17" fillId="11" borderId="4" xfId="0" applyFont="1" applyFill="1" applyBorder="1" applyAlignment="1">
      <alignment wrapText="1"/>
    </xf>
    <xf numFmtId="0" fontId="0" fillId="23" borderId="7" xfId="0" applyFill="1" applyBorder="1" applyAlignment="1" applyProtection="1">
      <alignment horizontal="center"/>
      <protection locked="0"/>
    </xf>
    <xf numFmtId="0" fontId="31" fillId="0" borderId="0" xfId="0" applyFont="1" applyProtection="1">
      <protection locked="0"/>
    </xf>
    <xf numFmtId="166" fontId="0" fillId="26" borderId="7" xfId="0" applyNumberFormat="1" applyFill="1" applyBorder="1" applyProtection="1">
      <protection hidden="1"/>
    </xf>
    <xf numFmtId="0" fontId="56" fillId="0" borderId="0" xfId="0" applyFont="1" applyProtection="1">
      <protection hidden="1"/>
    </xf>
    <xf numFmtId="0" fontId="57" fillId="0" borderId="0" xfId="0" applyFont="1" applyProtection="1">
      <protection hidden="1"/>
    </xf>
    <xf numFmtId="0" fontId="10" fillId="0" borderId="0" xfId="0" applyFont="1" applyProtection="1">
      <protection hidden="1"/>
    </xf>
    <xf numFmtId="171" fontId="0" fillId="10" borderId="7" xfId="0" applyNumberFormat="1" applyFill="1" applyBorder="1" applyAlignment="1" applyProtection="1">
      <alignment horizontal="center"/>
      <protection hidden="1"/>
    </xf>
    <xf numFmtId="165" fontId="0" fillId="10" borderId="7" xfId="0" applyNumberFormat="1" applyFill="1" applyBorder="1" applyAlignment="1" applyProtection="1">
      <alignment horizontal="center"/>
      <protection hidden="1"/>
    </xf>
    <xf numFmtId="2" fontId="0" fillId="10" borderId="7" xfId="0" applyNumberFormat="1" applyFill="1" applyBorder="1" applyAlignment="1" applyProtection="1">
      <alignment horizontal="center"/>
      <protection hidden="1"/>
    </xf>
    <xf numFmtId="164" fontId="0" fillId="10" borderId="7" xfId="0" applyNumberFormat="1" applyFill="1" applyBorder="1" applyAlignment="1" applyProtection="1">
      <alignment horizontal="center"/>
      <protection hidden="1"/>
    </xf>
    <xf numFmtId="165" fontId="0" fillId="24" borderId="7" xfId="0" applyNumberFormat="1" applyFill="1" applyBorder="1" applyAlignment="1" applyProtection="1">
      <alignment horizontal="center"/>
      <protection hidden="1"/>
    </xf>
    <xf numFmtId="0" fontId="10" fillId="0" borderId="0" xfId="0" applyFont="1"/>
    <xf numFmtId="0" fontId="28" fillId="0" borderId="0" xfId="0" applyFont="1" applyFill="1" applyBorder="1" applyProtection="1">
      <protection hidden="1"/>
    </xf>
    <xf numFmtId="171" fontId="28" fillId="0" borderId="0" xfId="0" applyNumberFormat="1" applyFont="1" applyFill="1" applyBorder="1" applyAlignment="1" applyProtection="1">
      <alignment horizontal="center"/>
      <protection hidden="1"/>
    </xf>
    <xf numFmtId="0" fontId="0" fillId="8" borderId="7" xfId="0" applyFill="1" applyBorder="1" applyProtection="1">
      <protection locked="0"/>
    </xf>
    <xf numFmtId="3" fontId="0" fillId="2" borderId="7" xfId="0" applyNumberFormat="1" applyFill="1" applyBorder="1" applyProtection="1">
      <protection hidden="1"/>
    </xf>
    <xf numFmtId="3" fontId="0" fillId="8" borderId="7" xfId="0" applyNumberFormat="1" applyFill="1" applyBorder="1" applyProtection="1">
      <protection hidden="1"/>
    </xf>
    <xf numFmtId="0" fontId="52" fillId="0" borderId="0" xfId="0" applyFont="1" applyAlignment="1" applyProtection="1">
      <alignment vertical="top" wrapText="1"/>
      <protection locked="0"/>
    </xf>
    <xf numFmtId="0" fontId="0" fillId="0" borderId="0" xfId="0" applyBorder="1" applyAlignment="1" applyProtection="1">
      <alignment wrapText="1"/>
      <protection locked="0"/>
    </xf>
    <xf numFmtId="0" fontId="14" fillId="0" borderId="7" xfId="0" applyFont="1" applyBorder="1" applyAlignment="1">
      <alignment vertical="center" wrapText="1"/>
    </xf>
    <xf numFmtId="0" fontId="0" fillId="11" borderId="33" xfId="0" applyFill="1" applyBorder="1"/>
    <xf numFmtId="0" fontId="0" fillId="0" borderId="0" xfId="0" applyBorder="1" applyAlignment="1" applyProtection="1">
      <protection locked="0"/>
    </xf>
    <xf numFmtId="0" fontId="16" fillId="7" borderId="7" xfId="0" applyFont="1" applyFill="1" applyBorder="1" applyAlignment="1" applyProtection="1">
      <alignment horizontal="center"/>
      <protection locked="0"/>
    </xf>
    <xf numFmtId="0" fontId="25" fillId="7" borderId="0" xfId="0" applyFont="1" applyFill="1" applyAlignment="1" applyProtection="1"/>
    <xf numFmtId="0" fontId="17" fillId="4" borderId="57" xfId="0" applyFont="1" applyFill="1" applyBorder="1" applyAlignment="1" applyProtection="1">
      <alignment horizontal="center" vertical="top" wrapText="1"/>
      <protection locked="0"/>
    </xf>
    <xf numFmtId="0" fontId="27" fillId="7" borderId="56" xfId="0" applyFont="1" applyFill="1" applyBorder="1" applyAlignment="1" applyProtection="1"/>
    <xf numFmtId="0" fontId="27" fillId="7" borderId="0" xfId="0" applyFont="1" applyFill="1" applyAlignment="1" applyProtection="1"/>
    <xf numFmtId="0" fontId="16" fillId="8" borderId="7" xfId="0" applyFont="1" applyFill="1" applyBorder="1" applyAlignment="1" applyProtection="1">
      <alignment horizontal="center" wrapText="1"/>
      <protection hidden="1"/>
    </xf>
    <xf numFmtId="165" fontId="28" fillId="9" borderId="29" xfId="0" applyNumberFormat="1" applyFont="1" applyFill="1" applyBorder="1" applyAlignment="1">
      <alignment horizontal="center" wrapText="1"/>
    </xf>
    <xf numFmtId="165" fontId="0" fillId="0" borderId="29" xfId="0" applyNumberFormat="1" applyBorder="1" applyAlignment="1">
      <alignment horizontal="center"/>
    </xf>
    <xf numFmtId="165" fontId="0" fillId="0" borderId="30" xfId="0" applyNumberFormat="1" applyBorder="1" applyAlignment="1">
      <alignment horizontal="center"/>
    </xf>
    <xf numFmtId="175" fontId="28" fillId="9" borderId="29" xfId="0" applyNumberFormat="1" applyFont="1" applyFill="1" applyBorder="1" applyAlignment="1">
      <alignment horizontal="center" wrapText="1"/>
    </xf>
    <xf numFmtId="175" fontId="0" fillId="0" borderId="29" xfId="0" applyNumberFormat="1" applyFill="1" applyBorder="1" applyAlignment="1">
      <alignment horizontal="center"/>
    </xf>
    <xf numFmtId="175" fontId="0" fillId="0" borderId="30" xfId="0" applyNumberFormat="1" applyFill="1" applyBorder="1" applyAlignment="1">
      <alignment horizontal="center"/>
    </xf>
    <xf numFmtId="174" fontId="28" fillId="9" borderId="7" xfId="0" applyNumberFormat="1" applyFont="1" applyFill="1" applyBorder="1" applyAlignment="1" applyProtection="1">
      <alignment horizontal="center" wrapText="1"/>
    </xf>
    <xf numFmtId="40" fontId="28" fillId="9" borderId="24" xfId="0" applyNumberFormat="1" applyFont="1" applyFill="1" applyBorder="1" applyAlignment="1" applyProtection="1">
      <alignment horizontal="center" wrapText="1"/>
    </xf>
    <xf numFmtId="0" fontId="0" fillId="11" borderId="0" xfId="0" applyFill="1" applyBorder="1"/>
    <xf numFmtId="0" fontId="0" fillId="11" borderId="1" xfId="0" applyFill="1" applyBorder="1"/>
    <xf numFmtId="0" fontId="60" fillId="0" borderId="0" xfId="0" applyFont="1"/>
    <xf numFmtId="175" fontId="17" fillId="0" borderId="28" xfId="0" applyNumberFormat="1" applyFont="1" applyFill="1" applyBorder="1" applyAlignment="1">
      <alignment horizontal="center"/>
    </xf>
    <xf numFmtId="40" fontId="17" fillId="0" borderId="21" xfId="0" applyNumberFormat="1" applyFont="1" applyFill="1" applyBorder="1" applyAlignment="1">
      <alignment horizontal="center"/>
    </xf>
    <xf numFmtId="165" fontId="17" fillId="0" borderId="28" xfId="0" applyNumberFormat="1" applyFont="1" applyBorder="1" applyAlignment="1">
      <alignment horizontal="center"/>
    </xf>
    <xf numFmtId="2" fontId="17" fillId="0" borderId="21" xfId="0" applyNumberFormat="1" applyFont="1" applyBorder="1" applyAlignment="1">
      <alignment horizontal="center"/>
    </xf>
    <xf numFmtId="0" fontId="0" fillId="0" borderId="7" xfId="0" applyFont="1" applyFill="1" applyBorder="1" applyAlignment="1" applyProtection="1">
      <alignment horizontal="center"/>
      <protection hidden="1"/>
    </xf>
    <xf numFmtId="171" fontId="0" fillId="0" borderId="7" xfId="0" applyNumberFormat="1" applyFont="1" applyBorder="1" applyAlignment="1" applyProtection="1">
      <alignment horizontal="center"/>
      <protection hidden="1"/>
    </xf>
    <xf numFmtId="165" fontId="0" fillId="0" borderId="7" xfId="0" applyNumberFormat="1" applyFont="1" applyBorder="1" applyAlignment="1" applyProtection="1">
      <alignment horizontal="center"/>
      <protection hidden="1"/>
    </xf>
    <xf numFmtId="9" fontId="0" fillId="0" borderId="7" xfId="1" applyFont="1" applyFill="1" applyBorder="1" applyAlignment="1" applyProtection="1">
      <alignment horizontal="center"/>
      <protection hidden="1"/>
    </xf>
    <xf numFmtId="1" fontId="0" fillId="0" borderId="7" xfId="1" applyNumberFormat="1" applyFont="1" applyFill="1" applyBorder="1" applyAlignment="1" applyProtection="1">
      <alignment horizontal="center"/>
      <protection hidden="1"/>
    </xf>
    <xf numFmtId="9" fontId="0" fillId="0" borderId="7" xfId="1" applyFont="1" applyBorder="1" applyAlignment="1" applyProtection="1">
      <alignment horizontal="center"/>
      <protection hidden="1"/>
    </xf>
    <xf numFmtId="9" fontId="0" fillId="0" borderId="7" xfId="1" applyNumberFormat="1" applyFont="1" applyFill="1" applyBorder="1" applyAlignment="1" applyProtection="1">
      <alignment horizontal="center"/>
      <protection hidden="1"/>
    </xf>
    <xf numFmtId="0" fontId="0" fillId="0" borderId="7" xfId="0" applyFont="1" applyBorder="1" applyAlignment="1" applyProtection="1">
      <alignment horizontal="center"/>
      <protection hidden="1"/>
    </xf>
    <xf numFmtId="0" fontId="0" fillId="0" borderId="0" xfId="0"/>
    <xf numFmtId="0" fontId="28" fillId="0" borderId="23" xfId="0" applyFont="1" applyFill="1" applyBorder="1" applyAlignment="1" applyProtection="1">
      <alignment horizontal="center"/>
      <protection hidden="1"/>
    </xf>
    <xf numFmtId="2" fontId="0" fillId="0" borderId="7" xfId="0" applyNumberFormat="1" applyFont="1" applyBorder="1" applyAlignment="1" applyProtection="1">
      <alignment horizontal="center"/>
      <protection hidden="1"/>
    </xf>
    <xf numFmtId="3" fontId="0" fillId="9" borderId="7" xfId="0" applyNumberFormat="1" applyFont="1" applyFill="1" applyBorder="1" applyAlignment="1" applyProtection="1">
      <alignment horizontal="center"/>
      <protection hidden="1"/>
    </xf>
    <xf numFmtId="9" fontId="0" fillId="9" borderId="7" xfId="1" applyFont="1" applyFill="1" applyBorder="1" applyAlignment="1" applyProtection="1">
      <alignment horizontal="center"/>
      <protection hidden="1"/>
    </xf>
    <xf numFmtId="1" fontId="0" fillId="9" borderId="7" xfId="1" applyNumberFormat="1" applyFont="1" applyFill="1" applyBorder="1" applyAlignment="1" applyProtection="1">
      <alignment horizontal="center"/>
      <protection hidden="1"/>
    </xf>
    <xf numFmtId="0" fontId="0" fillId="9" borderId="7" xfId="0" applyFont="1" applyFill="1" applyBorder="1" applyAlignment="1" applyProtection="1">
      <alignment horizontal="center"/>
      <protection hidden="1"/>
    </xf>
    <xf numFmtId="2" fontId="0" fillId="9" borderId="7" xfId="0" applyNumberFormat="1" applyFont="1" applyFill="1" applyBorder="1" applyAlignment="1" applyProtection="1">
      <alignment horizontal="center"/>
      <protection hidden="1"/>
    </xf>
    <xf numFmtId="3" fontId="0" fillId="0" borderId="7" xfId="0" applyNumberFormat="1" applyFont="1" applyFill="1" applyBorder="1" applyAlignment="1" applyProtection="1">
      <alignment horizontal="center"/>
      <protection hidden="1"/>
    </xf>
    <xf numFmtId="2" fontId="0" fillId="0" borderId="7" xfId="0" applyNumberFormat="1" applyFont="1" applyFill="1" applyBorder="1" applyAlignment="1" applyProtection="1">
      <alignment horizontal="center"/>
      <protection hidden="1"/>
    </xf>
    <xf numFmtId="166" fontId="0" fillId="0" borderId="7" xfId="1" applyNumberFormat="1" applyFont="1" applyFill="1" applyBorder="1" applyAlignment="1" applyProtection="1">
      <alignment horizontal="center"/>
      <protection hidden="1"/>
    </xf>
    <xf numFmtId="164" fontId="0" fillId="0" borderId="7" xfId="0" applyNumberFormat="1" applyFont="1" applyBorder="1" applyAlignment="1" applyProtection="1">
      <alignment horizontal="center"/>
      <protection hidden="1"/>
    </xf>
    <xf numFmtId="0" fontId="17" fillId="25" borderId="7" xfId="0" applyFont="1" applyFill="1" applyBorder="1" applyAlignment="1">
      <alignment horizontal="left"/>
    </xf>
    <xf numFmtId="9" fontId="17" fillId="25" borderId="7" xfId="0" applyNumberFormat="1" applyFont="1" applyFill="1" applyBorder="1" applyAlignment="1">
      <alignment horizontal="center"/>
    </xf>
    <xf numFmtId="0" fontId="0" fillId="0" borderId="0" xfId="0" applyNumberFormat="1"/>
    <xf numFmtId="0" fontId="11" fillId="2" borderId="3" xfId="0" applyFont="1" applyFill="1" applyBorder="1" applyAlignment="1">
      <alignment horizontal="left" indent="4"/>
    </xf>
    <xf numFmtId="0" fontId="14" fillId="0" borderId="7" xfId="0" applyFont="1" applyBorder="1" applyAlignment="1">
      <alignment vertical="center" wrapText="1"/>
    </xf>
    <xf numFmtId="167" fontId="11" fillId="0" borderId="0" xfId="0" applyNumberFormat="1" applyFont="1" applyFill="1" applyBorder="1" applyAlignment="1">
      <alignment horizontal="left" vertical="top" wrapText="1"/>
    </xf>
    <xf numFmtId="0" fontId="11" fillId="2" borderId="3" xfId="0" applyFont="1" applyFill="1" applyBorder="1" applyAlignment="1">
      <alignment wrapText="1"/>
    </xf>
    <xf numFmtId="0" fontId="11" fillId="2" borderId="0" xfId="0" applyFont="1" applyFill="1" applyBorder="1" applyAlignment="1">
      <alignment wrapText="1"/>
    </xf>
    <xf numFmtId="0" fontId="11" fillId="2" borderId="4" xfId="0" applyFont="1" applyFill="1" applyBorder="1" applyAlignment="1">
      <alignment wrapText="1"/>
    </xf>
    <xf numFmtId="0" fontId="19" fillId="2" borderId="10" xfId="0" applyFont="1" applyFill="1" applyBorder="1" applyAlignment="1">
      <alignment horizontal="left" vertical="top" wrapText="1"/>
    </xf>
    <xf numFmtId="0" fontId="19" fillId="2" borderId="1" xfId="0" applyFont="1" applyFill="1" applyBorder="1" applyAlignment="1">
      <alignment horizontal="left" vertical="top" wrapText="1"/>
    </xf>
    <xf numFmtId="0" fontId="18" fillId="2" borderId="16" xfId="0" applyFont="1" applyFill="1" applyBorder="1" applyAlignment="1">
      <alignment horizontal="left" vertical="center" wrapText="1"/>
    </xf>
    <xf numFmtId="0" fontId="18" fillId="2" borderId="17" xfId="0" applyFont="1" applyFill="1" applyBorder="1" applyAlignment="1">
      <alignment horizontal="left" vertical="center"/>
    </xf>
    <xf numFmtId="0" fontId="19" fillId="2" borderId="19" xfId="0" applyFont="1" applyFill="1" applyBorder="1" applyAlignment="1">
      <alignment horizontal="left" vertical="top" wrapText="1"/>
    </xf>
    <xf numFmtId="0" fontId="19" fillId="2" borderId="20" xfId="0" applyFont="1" applyFill="1" applyBorder="1" applyAlignment="1">
      <alignment horizontal="left" vertical="top" wrapText="1"/>
    </xf>
    <xf numFmtId="0" fontId="19" fillId="2" borderId="3" xfId="0" applyFont="1" applyFill="1" applyBorder="1" applyAlignment="1">
      <alignment horizontal="left" vertical="top" wrapText="1"/>
    </xf>
    <xf numFmtId="0" fontId="19" fillId="2" borderId="0" xfId="0" applyFont="1" applyFill="1" applyBorder="1" applyAlignment="1">
      <alignment horizontal="left" vertical="top" wrapText="1"/>
    </xf>
    <xf numFmtId="0" fontId="11" fillId="2" borderId="3" xfId="0" applyFont="1" applyFill="1" applyBorder="1" applyAlignment="1">
      <alignment horizontal="left" wrapText="1" indent="1"/>
    </xf>
    <xf numFmtId="0" fontId="11" fillId="2" borderId="0" xfId="0" applyFont="1" applyFill="1" applyBorder="1" applyAlignment="1">
      <alignment horizontal="left" wrapText="1" indent="1"/>
    </xf>
    <xf numFmtId="0" fontId="11" fillId="2" borderId="4" xfId="0" applyFont="1" applyFill="1" applyBorder="1" applyAlignment="1">
      <alignment horizontal="left" wrapText="1" indent="1"/>
    </xf>
    <xf numFmtId="0" fontId="27" fillId="7" borderId="56" xfId="0" applyFont="1" applyFill="1" applyBorder="1" applyAlignment="1" applyProtection="1">
      <alignment wrapText="1"/>
    </xf>
    <xf numFmtId="0" fontId="27" fillId="7" borderId="0" xfId="0" applyFont="1" applyFill="1" applyAlignment="1" applyProtection="1">
      <alignment wrapText="1"/>
    </xf>
    <xf numFmtId="0" fontId="0" fillId="0" borderId="0" xfId="0" applyBorder="1" applyAlignment="1" applyProtection="1">
      <alignment wrapText="1"/>
      <protection locked="0"/>
    </xf>
    <xf numFmtId="0" fontId="0" fillId="0" borderId="5" xfId="0" applyBorder="1" applyAlignment="1" applyProtection="1">
      <alignment wrapText="1"/>
      <protection locked="0"/>
    </xf>
    <xf numFmtId="0" fontId="14" fillId="0" borderId="7" xfId="0" applyFont="1" applyBorder="1" applyAlignment="1">
      <alignment vertical="center" wrapText="1"/>
    </xf>
    <xf numFmtId="0" fontId="17" fillId="4" borderId="6" xfId="0" applyFont="1" applyFill="1" applyBorder="1" applyAlignment="1">
      <alignment horizontal="center" wrapText="1"/>
    </xf>
    <xf numFmtId="0" fontId="17" fillId="4" borderId="14" xfId="0" applyFont="1" applyFill="1" applyBorder="1" applyAlignment="1">
      <alignment horizontal="center" wrapText="1"/>
    </xf>
    <xf numFmtId="0" fontId="17" fillId="4" borderId="3" xfId="0" applyFont="1" applyFill="1" applyBorder="1" applyAlignment="1">
      <alignment horizontal="center" wrapText="1"/>
    </xf>
    <xf numFmtId="0" fontId="17" fillId="4" borderId="4" xfId="0" applyFont="1" applyFill="1" applyBorder="1" applyAlignment="1">
      <alignment horizontal="center" wrapText="1"/>
    </xf>
    <xf numFmtId="0" fontId="41" fillId="0" borderId="0" xfId="0" applyFont="1" applyBorder="1" applyAlignment="1">
      <alignment horizontal="center" vertical="center" wrapText="1"/>
    </xf>
    <xf numFmtId="0" fontId="17" fillId="11" borderId="6" xfId="0" applyFont="1" applyFill="1" applyBorder="1" applyAlignment="1">
      <alignment horizontal="center" wrapText="1"/>
    </xf>
    <xf numFmtId="0" fontId="17" fillId="11" borderId="15" xfId="0" applyFont="1" applyFill="1" applyBorder="1" applyAlignment="1">
      <alignment horizontal="center" wrapText="1"/>
    </xf>
    <xf numFmtId="0" fontId="17" fillId="11" borderId="14" xfId="0" applyFont="1" applyFill="1" applyBorder="1" applyAlignment="1">
      <alignment horizontal="center" wrapText="1"/>
    </xf>
    <xf numFmtId="0" fontId="17" fillId="11" borderId="3" xfId="0" applyFont="1" applyFill="1" applyBorder="1" applyAlignment="1">
      <alignment horizontal="center" wrapText="1"/>
    </xf>
    <xf numFmtId="0" fontId="17" fillId="11" borderId="0" xfId="0" applyFont="1" applyFill="1" applyBorder="1" applyAlignment="1">
      <alignment horizontal="center" wrapText="1"/>
    </xf>
    <xf numFmtId="0" fontId="17" fillId="11" borderId="4" xfId="0" applyFont="1" applyFill="1" applyBorder="1" applyAlignment="1">
      <alignment horizontal="center" wrapText="1"/>
    </xf>
    <xf numFmtId="0" fontId="17" fillId="11" borderId="6" xfId="0" applyFont="1" applyFill="1" applyBorder="1" applyAlignment="1">
      <alignment horizontal="center" vertical="top" wrapText="1"/>
    </xf>
    <xf numFmtId="0" fontId="17" fillId="11" borderId="14" xfId="0" applyFont="1" applyFill="1" applyBorder="1" applyAlignment="1">
      <alignment horizontal="center" vertical="top" wrapText="1"/>
    </xf>
    <xf numFmtId="0" fontId="5" fillId="0" borderId="3" xfId="0" applyFont="1" applyBorder="1" applyAlignment="1">
      <alignment wrapText="1"/>
    </xf>
    <xf numFmtId="0" fontId="5" fillId="0" borderId="0" xfId="0" applyFont="1" applyBorder="1" applyAlignment="1">
      <alignment wrapText="1"/>
    </xf>
    <xf numFmtId="0" fontId="58" fillId="0" borderId="0" xfId="0" applyFont="1" applyAlignment="1" applyProtection="1">
      <alignment wrapText="1"/>
      <protection locked="0"/>
    </xf>
    <xf numFmtId="0" fontId="0" fillId="16" borderId="5" xfId="0" applyFill="1" applyBorder="1" applyAlignment="1" applyProtection="1">
      <alignment horizontal="center"/>
      <protection hidden="1"/>
    </xf>
    <xf numFmtId="0" fontId="0" fillId="10" borderId="5" xfId="0" applyFill="1" applyBorder="1" applyAlignment="1" applyProtection="1">
      <alignment horizontal="center"/>
      <protection hidden="1"/>
    </xf>
    <xf numFmtId="0" fontId="16" fillId="19" borderId="5" xfId="0" applyFont="1" applyFill="1" applyBorder="1" applyAlignment="1" applyProtection="1">
      <alignment horizontal="center"/>
      <protection hidden="1"/>
    </xf>
    <xf numFmtId="0" fontId="16" fillId="17" borderId="5" xfId="0" applyFont="1" applyFill="1" applyBorder="1" applyAlignment="1" applyProtection="1">
      <alignment horizontal="center"/>
      <protection hidden="1"/>
    </xf>
    <xf numFmtId="0" fontId="0" fillId="0" borderId="5" xfId="0" applyBorder="1" applyAlignment="1" applyProtection="1">
      <alignment horizontal="center"/>
      <protection hidden="1"/>
    </xf>
    <xf numFmtId="0" fontId="14" fillId="0" borderId="7" xfId="0" applyFont="1" applyBorder="1" applyAlignment="1" applyProtection="1">
      <alignment horizontal="center" vertical="center"/>
      <protection hidden="1"/>
    </xf>
    <xf numFmtId="0" fontId="14" fillId="0" borderId="8" xfId="0" applyFont="1" applyBorder="1" applyAlignment="1" applyProtection="1">
      <alignment horizontal="center" vertical="center"/>
      <protection hidden="1"/>
    </xf>
    <xf numFmtId="0" fontId="14" fillId="0" borderId="9" xfId="0" applyFont="1" applyBorder="1" applyAlignment="1" applyProtection="1">
      <alignment horizontal="center" vertical="center"/>
      <protection hidden="1"/>
    </xf>
    <xf numFmtId="0" fontId="14" fillId="0" borderId="11" xfId="0" applyFont="1" applyBorder="1" applyAlignment="1" applyProtection="1">
      <alignment horizontal="center" vertical="center"/>
      <protection hidden="1"/>
    </xf>
  </cellXfs>
  <cellStyles count="14">
    <cellStyle name="Comma" xfId="13" builtinId="3"/>
    <cellStyle name="Comma 2 2" xfId="3"/>
    <cellStyle name="Comma 2 3" xfId="4"/>
    <cellStyle name="Hyperlink" xfId="2" builtinId="8"/>
    <cellStyle name="Normal" xfId="0" builtinId="0"/>
    <cellStyle name="Normal 2 2" xfId="5"/>
    <cellStyle name="Normal 2 3" xfId="6"/>
    <cellStyle name="Normal 3" xfId="7"/>
    <cellStyle name="Percent" xfId="1" builtinId="5"/>
    <cellStyle name="Percent 2 2" xfId="8"/>
    <cellStyle name="Percent 2 3" xfId="9"/>
    <cellStyle name="Percent 3" xfId="10"/>
    <cellStyle name="Standard_cl_belg_whol_Aug04" xfId="11"/>
    <cellStyle name="Tabref" xfId="12"/>
  </cellStyles>
  <dxfs count="98">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ont>
        <color auto="1"/>
      </font>
      <fill>
        <patternFill>
          <bgColor theme="6" tint="0.39994506668294322"/>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00B050"/>
        </patternFill>
      </fill>
    </dxf>
  </dxfs>
  <tableStyles count="0" defaultTableStyle="TableStyleMedium2" defaultPivotStyle="PivotStyleMedium9"/>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GHG_Emissions!$D$9</c:f>
          <c:strCache>
            <c:ptCount val="1"/>
            <c:pt idx="0">
              <c:v>GHG Emissions by Location (MT CO2-e)</c:v>
            </c:pt>
          </c:strCache>
        </c:strRef>
      </c:tx>
      <c:overlay val="0"/>
    </c:title>
    <c:autoTitleDeleted val="0"/>
    <c:plotArea>
      <c:layout/>
      <c:pieChart>
        <c:varyColors val="1"/>
        <c:ser>
          <c:idx val="0"/>
          <c:order val="0"/>
          <c:tx>
            <c:strRef>
              <c:f>GHG_Emissions!$E$10</c:f>
              <c:strCache>
                <c:ptCount val="1"/>
                <c:pt idx="0">
                  <c:v>Total GHG emissions (MT CO2-e)</c:v>
                </c:pt>
              </c:strCache>
            </c:strRef>
          </c:tx>
          <c:dLbls>
            <c:spPr>
              <a:noFill/>
              <a:ln>
                <a:noFill/>
              </a:ln>
              <a:effectLst/>
            </c:spPr>
            <c:dLblPos val="outEnd"/>
            <c:showLegendKey val="0"/>
            <c:showVal val="0"/>
            <c:showCatName val="0"/>
            <c:showSerName val="0"/>
            <c:showPercent val="1"/>
            <c:showBubbleSize val="0"/>
            <c:showLeaderLines val="1"/>
            <c:extLst>
              <c:ext xmlns:c15="http://schemas.microsoft.com/office/drawing/2012/chart" uri="{CE6537A1-D6FC-4f65-9D91-7224C49458BB}"/>
            </c:extLst>
          </c:dLbls>
          <c:val>
            <c:numRef>
              <c:f>[0]!GHGEmis</c:f>
            </c:numRef>
          </c:val>
          <c:extLst>
            <c:ext xmlns:c15="http://schemas.microsoft.com/office/drawing/2012/chart" uri="{02D57815-91ED-43cb-92C2-25804820EDAC}">
              <c15:filteredCategoryTitle>
                <c15:cat>
                  <c:multiLvlStrRef>
                    <c:extLst>
                      <c:ext uri="{02D57815-91ED-43cb-92C2-25804820EDAC}">
                        <c15:formulaRef>
                          <c15:sqref>[0]!GHGEmisNames</c15:sqref>
                        </c15:formulaRef>
                      </c:ext>
                    </c:extLst>
                  </c:multiLvlStrRef>
                </c15:cat>
              </c15:filteredCategoryTitle>
            </c:ext>
          </c:extLst>
        </c:ser>
        <c:dLbls>
          <c:showLegendKey val="0"/>
          <c:showVal val="0"/>
          <c:showCatName val="0"/>
          <c:showSerName val="0"/>
          <c:showPercent val="0"/>
          <c:showBubbleSize val="0"/>
          <c:showLeaderLines val="1"/>
        </c:dLbls>
        <c:firstSliceAng val="0"/>
      </c:pieChart>
    </c:plotArea>
    <c:legend>
      <c:legendPos val="r"/>
      <c:overlay val="0"/>
      <c:txPr>
        <a:bodyPr/>
        <a:lstStyle/>
        <a:p>
          <a:pPr>
            <a:defRPr sz="900"/>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FacilityBreakdown!$C$29</c:f>
          <c:strCache>
            <c:ptCount val="1"/>
            <c:pt idx="0">
              <c:v>GHG Emissions by Equipment Category (MT CO2-e)</c:v>
            </c:pt>
          </c:strCache>
        </c:strRef>
      </c:tx>
      <c:overlay val="0"/>
    </c:title>
    <c:autoTitleDeleted val="0"/>
    <c:plotArea>
      <c:layout/>
      <c:barChart>
        <c:barDir val="col"/>
        <c:grouping val="stacked"/>
        <c:varyColors val="0"/>
        <c:ser>
          <c:idx val="0"/>
          <c:order val="0"/>
          <c:tx>
            <c:strRef>
              <c:f>FacilityBreakdown!$E$30</c:f>
              <c:strCache>
                <c:ptCount val="1"/>
                <c:pt idx="0">
                  <c:v>Non-Specified</c:v>
                </c:pt>
              </c:strCache>
            </c:strRef>
          </c:tx>
          <c:invertIfNegative val="0"/>
          <c:val>
            <c:numRef>
              <c:f>[0]!FirstCol</c:f>
            </c:numRef>
          </c:val>
          <c:extLst>
            <c:ext xmlns:c15="http://schemas.microsoft.com/office/drawing/2012/chart" uri="{02D57815-91ED-43cb-92C2-25804820EDAC}">
              <c15:filteredCategoryTitle>
                <c15:cat>
                  <c:multiLvlStrRef>
                    <c:extLst>
                      <c:ext uri="{02D57815-91ED-43cb-92C2-25804820EDAC}">
                        <c15:formulaRef>
                          <c15:sqref>[0]!FedBldLabels</c15:sqref>
                        </c15:formulaRef>
                      </c:ext>
                    </c:extLst>
                  </c:multiLvlStrRef>
                </c15:cat>
              </c15:filteredCategoryTitle>
            </c:ext>
          </c:extLst>
        </c:ser>
        <c:dLbls>
          <c:showLegendKey val="0"/>
          <c:showVal val="0"/>
          <c:showCatName val="0"/>
          <c:showSerName val="0"/>
          <c:showPercent val="0"/>
          <c:showBubbleSize val="0"/>
        </c:dLbls>
        <c:gapWidth val="150"/>
        <c:overlap val="100"/>
        <c:axId val="457616368"/>
        <c:axId val="457616760"/>
      </c:barChart>
      <c:catAx>
        <c:axId val="457616368"/>
        <c:scaling>
          <c:orientation val="minMax"/>
        </c:scaling>
        <c:delete val="0"/>
        <c:axPos val="b"/>
        <c:numFmt formatCode="General" sourceLinked="0"/>
        <c:majorTickMark val="out"/>
        <c:minorTickMark val="none"/>
        <c:tickLblPos val="nextTo"/>
        <c:crossAx val="457616760"/>
        <c:crosses val="autoZero"/>
        <c:auto val="1"/>
        <c:lblAlgn val="ctr"/>
        <c:lblOffset val="100"/>
        <c:noMultiLvlLbl val="0"/>
      </c:catAx>
      <c:valAx>
        <c:axId val="457616760"/>
        <c:scaling>
          <c:orientation val="minMax"/>
          <c:min val="0"/>
        </c:scaling>
        <c:delete val="0"/>
        <c:axPos val="l"/>
        <c:majorGridlines/>
        <c:numFmt formatCode="#,##0.0" sourceLinked="1"/>
        <c:majorTickMark val="out"/>
        <c:minorTickMark val="none"/>
        <c:tickLblPos val="nextTo"/>
        <c:crossAx val="4576163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CheckBox" fmlaLink="$C$10" lockText="1" noThreeD="1"/>
</file>

<file path=xl/ctrlProps/ctrlProp2.xml><?xml version="1.0" encoding="utf-8"?>
<formControlPr xmlns="http://schemas.microsoft.com/office/spreadsheetml/2009/9/main" objectType="CheckBox" fmlaLink="$C$17" lockText="1" noThreeD="1"/>
</file>

<file path=xl/ctrlProps/ctrlProp3.xml><?xml version="1.0" encoding="utf-8"?>
<formControlPr xmlns="http://schemas.microsoft.com/office/spreadsheetml/2009/9/main" objectType="CheckBox" fmlaLink="$C$35" lockText="1" noThreeD="1"/>
</file>

<file path=xl/ctrlProps/ctrlProp4.xml><?xml version="1.0" encoding="utf-8"?>
<formControlPr xmlns="http://schemas.microsoft.com/office/spreadsheetml/2009/9/main" objectType="CheckBox" fmlaLink="$C$47" lockText="1" noThreeD="1"/>
</file>

<file path=xl/ctrlProps/ctrlProp5.xml><?xml version="1.0" encoding="utf-8"?>
<formControlPr xmlns="http://schemas.microsoft.com/office/spreadsheetml/2009/9/main" objectType="CheckBox" fmlaLink="$C$59" lockText="1" noThreeD="1"/>
</file>

<file path=xl/ctrlProps/ctrlProp6.xml><?xml version="1.0" encoding="utf-8"?>
<formControlPr xmlns="http://schemas.microsoft.com/office/spreadsheetml/2009/9/main" objectType="CheckBox" fmlaLink="$C$25" lockText="1" noThreeD="1"/>
</file>

<file path=xl/ctrlProps/ctrlProp7.xml><?xml version="1.0" encoding="utf-8"?>
<formControlPr xmlns="http://schemas.microsoft.com/office/spreadsheetml/2009/9/main" objectType="Radio" checked="Checked" firstButton="1" fmlaLink="B9"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firstButton="1" fmlaLink="$B$9" lockText="1" noThreeD="1"/>
</file>

<file path=xl/ctrlProps/ctrlProp10.xml><?xml version="1.0" encoding="utf-8"?>
<formControlPr xmlns="http://schemas.microsoft.com/office/spreadsheetml/2009/9/main" objectType="Radio" checked="Checked" lockText="1" noThreeD="1"/>
</file>

<file path=xl/ctrlProps/ctrlProp11.xml><?xml version="1.0" encoding="utf-8"?>
<formControlPr xmlns="http://schemas.microsoft.com/office/spreadsheetml/2009/9/main" objectType="Radio" firstButton="1" fmlaLink="$B$9" lockText="1" noThreeD="1"/>
</file>

<file path=xl/ctrlProps/ctrlProp12.xml><?xml version="1.0" encoding="utf-8"?>
<formControlPr xmlns="http://schemas.microsoft.com/office/spreadsheetml/2009/9/main" objectType="Radio" checked="Checked" lockText="1" noThreeD="1"/>
</file>

<file path=xl/ctrlProps/ctrlProp13.xml><?xml version="1.0" encoding="utf-8"?>
<formControlPr xmlns="http://schemas.microsoft.com/office/spreadsheetml/2009/9/main" objectType="Radio" firstButton="1" fmlaLink="$B$9"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Radio" firstButton="1" fmlaLink="$B$9" lockText="1" noThreeD="1"/>
</file>

<file path=xl/ctrlProps/ctrlProp16.xml><?xml version="1.0" encoding="utf-8"?>
<formControlPr xmlns="http://schemas.microsoft.com/office/spreadsheetml/2009/9/main" objectType="Radio" checked="Checked" lockText="1" noThreeD="1"/>
</file>

<file path=xl/ctrlProps/ctrlProp17.xml><?xml version="1.0" encoding="utf-8"?>
<formControlPr xmlns="http://schemas.microsoft.com/office/spreadsheetml/2009/9/main" objectType="Drop" dropStyle="combo" dx="16" fmlaLink="$J$10" fmlaRange="GHGChartList" noThreeD="1" sel="1" val="0"/>
</file>

<file path=xl/ctrlProps/ctrlProp18.xml><?xml version="1.0" encoding="utf-8"?>
<formControlPr xmlns="http://schemas.microsoft.com/office/spreadsheetml/2009/9/main" objectType="Drop" dropLines="3" dropStyle="combo" dx="16" fmlaLink="$C$14" fmlaRange="$C$127:$C$129" noThreeD="1" sel="1" val="0"/>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Inputs!A1"/><Relationship Id="rId5" Type="http://schemas.openxmlformats.org/officeDocument/2006/relationships/image" Target="../media/image4.jpeg"/><Relationship Id="rId4" Type="http://schemas.openxmlformats.org/officeDocument/2006/relationships/image" Target="../media/image3.gif"/></Relationships>
</file>

<file path=xl/drawings/_rels/drawing2.xml.rels><?xml version="1.0" encoding="UTF-8" standalone="yes"?>
<Relationships xmlns="http://schemas.openxmlformats.org/package/2006/relationships"><Relationship Id="rId2" Type="http://schemas.openxmlformats.org/officeDocument/2006/relationships/hyperlink" Target="#Welcome!A1"/><Relationship Id="rId1" Type="http://schemas.openxmlformats.org/officeDocument/2006/relationships/hyperlink" Target="#'Method Selection'!A1"/></Relationships>
</file>

<file path=xl/drawings/_rels/drawing3.xml.rels><?xml version="1.0" encoding="UTF-8" standalone="yes"?>
<Relationships xmlns="http://schemas.openxmlformats.org/package/2006/relationships"><Relationship Id="rId3" Type="http://schemas.openxmlformats.org/officeDocument/2006/relationships/hyperlink" Target="#Screening!A1"/><Relationship Id="rId2" Type="http://schemas.openxmlformats.org/officeDocument/2006/relationships/hyperlink" Target="#'Simplified Screening 1'!A1"/><Relationship Id="rId1" Type="http://schemas.openxmlformats.org/officeDocument/2006/relationships/hyperlink" Target="#'Simplified Screening 2'!A1"/><Relationship Id="rId6" Type="http://schemas.openxmlformats.org/officeDocument/2006/relationships/hyperlink" Target="#Inputs!A1"/><Relationship Id="rId5" Type="http://schemas.openxmlformats.org/officeDocument/2006/relationships/hyperlink" Target="#'Default - Material Balance'!A1"/><Relationship Id="rId4" Type="http://schemas.openxmlformats.org/officeDocument/2006/relationships/hyperlink" Target="#'Simplified Material Balance'!A1"/></Relationships>
</file>

<file path=xl/drawings/_rels/drawing4.xml.rels><?xml version="1.0" encoding="UTF-8" standalone="yes"?>
<Relationships xmlns="http://schemas.openxmlformats.org/package/2006/relationships"><Relationship Id="rId2" Type="http://schemas.openxmlformats.org/officeDocument/2006/relationships/hyperlink" Target="#'Method Selection'!A1"/><Relationship Id="rId1" Type="http://schemas.openxmlformats.org/officeDocument/2006/relationships/hyperlink" Target="#GHG_Emissions!A1"/></Relationships>
</file>

<file path=xl/drawings/_rels/drawing5.xml.rels><?xml version="1.0" encoding="UTF-8" standalone="yes"?>
<Relationships xmlns="http://schemas.openxmlformats.org/package/2006/relationships"><Relationship Id="rId2" Type="http://schemas.openxmlformats.org/officeDocument/2006/relationships/hyperlink" Target="#'Method Selection'!A1"/><Relationship Id="rId1" Type="http://schemas.openxmlformats.org/officeDocument/2006/relationships/hyperlink" Target="#GHG_Emissions!A1"/></Relationships>
</file>

<file path=xl/drawings/_rels/drawing6.xml.rels><?xml version="1.0" encoding="UTF-8" standalone="yes"?>
<Relationships xmlns="http://schemas.openxmlformats.org/package/2006/relationships"><Relationship Id="rId2" Type="http://schemas.openxmlformats.org/officeDocument/2006/relationships/hyperlink" Target="#'Method Selection'!A1"/><Relationship Id="rId1" Type="http://schemas.openxmlformats.org/officeDocument/2006/relationships/hyperlink" Target="#GHG_Emissions!A1"/></Relationships>
</file>

<file path=xl/drawings/_rels/drawing7.xml.rels><?xml version="1.0" encoding="UTF-8" standalone="yes"?>
<Relationships xmlns="http://schemas.openxmlformats.org/package/2006/relationships"><Relationship Id="rId2" Type="http://schemas.openxmlformats.org/officeDocument/2006/relationships/hyperlink" Target="#'Method Selection'!A1"/><Relationship Id="rId1" Type="http://schemas.openxmlformats.org/officeDocument/2006/relationships/hyperlink" Target="#GHG_Emissions!A1"/></Relationships>
</file>

<file path=xl/drawings/_rels/drawing8.xml.rels><?xml version="1.0" encoding="UTF-8" standalone="yes"?>
<Relationships xmlns="http://schemas.openxmlformats.org/package/2006/relationships"><Relationship Id="rId2" Type="http://schemas.openxmlformats.org/officeDocument/2006/relationships/hyperlink" Target="#'Method Selection'!A1"/><Relationship Id="rId1" Type="http://schemas.openxmlformats.org/officeDocument/2006/relationships/hyperlink" Target="#GHG_Emissions!A1"/></Relationships>
</file>

<file path=xl/drawings/_rels/drawing1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hyperlink" Target="#'Method Selection'!A1"/><Relationship Id="rId1" Type="http://schemas.openxmlformats.org/officeDocument/2006/relationships/hyperlink" Target="#FacilityBreakdown!A1"/></Relationships>
</file>

<file path=xl/drawings/_rels/drawing12.xml.rels><?xml version="1.0" encoding="UTF-8" standalone="yes"?>
<Relationships xmlns="http://schemas.openxmlformats.org/package/2006/relationships"><Relationship Id="rId3" Type="http://schemas.openxmlformats.org/officeDocument/2006/relationships/hyperlink" Target="#GHG_Emissions!A1"/><Relationship Id="rId2" Type="http://schemas.openxmlformats.org/officeDocument/2006/relationships/hyperlink" Target="#'FEMP Report'!A1"/><Relationship Id="rId1" Type="http://schemas.openxmlformats.org/officeDocument/2006/relationships/chart" Target="../charts/chart2.xml"/></Relationships>
</file>

<file path=xl/drawings/_rels/drawing13.xml.rels><?xml version="1.0" encoding="UTF-8" standalone="yes"?>
<Relationships xmlns="http://schemas.openxmlformats.org/package/2006/relationships"><Relationship Id="rId1" Type="http://schemas.openxmlformats.org/officeDocument/2006/relationships/hyperlink" Target="#FacilityBreakdown!A1"/></Relationships>
</file>

<file path=xl/drawings/drawing1.xml><?xml version="1.0" encoding="utf-8"?>
<xdr:wsDr xmlns:xdr="http://schemas.openxmlformats.org/drawingml/2006/spreadsheetDrawing" xmlns:a="http://schemas.openxmlformats.org/drawingml/2006/main">
  <xdr:twoCellAnchor>
    <xdr:from>
      <xdr:col>3</xdr:col>
      <xdr:colOff>4181475</xdr:colOff>
      <xdr:row>17</xdr:row>
      <xdr:rowOff>171450</xdr:rowOff>
    </xdr:from>
    <xdr:to>
      <xdr:col>3</xdr:col>
      <xdr:colOff>5524500</xdr:colOff>
      <xdr:row>22</xdr:row>
      <xdr:rowOff>104775</xdr:rowOff>
    </xdr:to>
    <xdr:sp macro="" textlink="">
      <xdr:nvSpPr>
        <xdr:cNvPr id="2" name="Right Arrow 1">
          <a:hlinkClick xmlns:r="http://schemas.openxmlformats.org/officeDocument/2006/relationships" r:id="rId1"/>
        </xdr:cNvPr>
        <xdr:cNvSpPr/>
      </xdr:nvSpPr>
      <xdr:spPr>
        <a:xfrm>
          <a:off x="6010275" y="3133725"/>
          <a:ext cx="1343025" cy="885825"/>
        </a:xfrm>
        <a:prstGeom prst="rightArrow">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t>Go to </a:t>
          </a:r>
          <a:r>
            <a:rPr lang="en-US" sz="1100" b="1"/>
            <a:t>Inputs </a:t>
          </a:r>
          <a:r>
            <a:rPr lang="en-US" sz="1000"/>
            <a:t>page</a:t>
          </a:r>
        </a:p>
      </xdr:txBody>
    </xdr:sp>
    <xdr:clientData/>
  </xdr:twoCellAnchor>
  <xdr:twoCellAnchor>
    <xdr:from>
      <xdr:col>1</xdr:col>
      <xdr:colOff>142875</xdr:colOff>
      <xdr:row>41</xdr:row>
      <xdr:rowOff>28575</xdr:rowOff>
    </xdr:from>
    <xdr:to>
      <xdr:col>3</xdr:col>
      <xdr:colOff>2362200</xdr:colOff>
      <xdr:row>42</xdr:row>
      <xdr:rowOff>0</xdr:rowOff>
    </xdr:to>
    <xdr:pic>
      <xdr:nvPicPr>
        <xdr:cNvPr id="4" name="Picture 3"/>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52475" y="7077075"/>
          <a:ext cx="3438525" cy="238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304800</xdr:colOff>
      <xdr:row>71</xdr:row>
      <xdr:rowOff>57150</xdr:rowOff>
    </xdr:from>
    <xdr:to>
      <xdr:col>3</xdr:col>
      <xdr:colOff>1409700</xdr:colOff>
      <xdr:row>77</xdr:row>
      <xdr:rowOff>152400</xdr:rowOff>
    </xdr:to>
    <xdr:pic>
      <xdr:nvPicPr>
        <xdr:cNvPr id="8"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4400" y="15392400"/>
          <a:ext cx="2324100" cy="1238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1038225</xdr:colOff>
      <xdr:row>61</xdr:row>
      <xdr:rowOff>180975</xdr:rowOff>
    </xdr:from>
    <xdr:to>
      <xdr:col>3</xdr:col>
      <xdr:colOff>1285875</xdr:colOff>
      <xdr:row>62</xdr:row>
      <xdr:rowOff>238125</xdr:rowOff>
    </xdr:to>
    <xdr:pic>
      <xdr:nvPicPr>
        <xdr:cNvPr id="9" name="Picture 8" descr="Button imag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67025" y="8258175"/>
          <a:ext cx="24765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304800</xdr:colOff>
      <xdr:row>43</xdr:row>
      <xdr:rowOff>57150</xdr:rowOff>
    </xdr:from>
    <xdr:to>
      <xdr:col>3</xdr:col>
      <xdr:colOff>2590800</xdr:colOff>
      <xdr:row>60</xdr:row>
      <xdr:rowOff>0</xdr:rowOff>
    </xdr:to>
    <xdr:pic>
      <xdr:nvPicPr>
        <xdr:cNvPr id="11" name="Picture 10" descr="Security Warning, Advanced Options"/>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 y="7753350"/>
          <a:ext cx="3505200" cy="3190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1152525</xdr:colOff>
      <xdr:row>9</xdr:row>
      <xdr:rowOff>114300</xdr:rowOff>
    </xdr:from>
    <xdr:to>
      <xdr:col>8</xdr:col>
      <xdr:colOff>95250</xdr:colOff>
      <xdr:row>13</xdr:row>
      <xdr:rowOff>276225</xdr:rowOff>
    </xdr:to>
    <xdr:sp macro="" textlink="">
      <xdr:nvSpPr>
        <xdr:cNvPr id="2" name="Right Arrow 1">
          <a:hlinkClick xmlns:r="http://schemas.openxmlformats.org/officeDocument/2006/relationships" r:id="rId1"/>
        </xdr:cNvPr>
        <xdr:cNvSpPr/>
      </xdr:nvSpPr>
      <xdr:spPr>
        <a:xfrm>
          <a:off x="6076950" y="1809750"/>
          <a:ext cx="1409700" cy="923925"/>
        </a:xfrm>
        <a:prstGeom prst="rightArrow">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t>Go to </a:t>
          </a:r>
          <a:r>
            <a:rPr lang="en-US" sz="1100" b="1"/>
            <a:t>Method Selection </a:t>
          </a:r>
          <a:r>
            <a:rPr lang="en-US" sz="1000"/>
            <a:t>page</a:t>
          </a:r>
        </a:p>
      </xdr:txBody>
    </xdr:sp>
    <xdr:clientData/>
  </xdr:twoCellAnchor>
  <xdr:twoCellAnchor>
    <xdr:from>
      <xdr:col>5</xdr:col>
      <xdr:colOff>190500</xdr:colOff>
      <xdr:row>9</xdr:row>
      <xdr:rowOff>114300</xdr:rowOff>
    </xdr:from>
    <xdr:to>
      <xdr:col>6</xdr:col>
      <xdr:colOff>990600</xdr:colOff>
      <xdr:row>13</xdr:row>
      <xdr:rowOff>276225</xdr:rowOff>
    </xdr:to>
    <xdr:sp macro="" textlink="">
      <xdr:nvSpPr>
        <xdr:cNvPr id="4" name="Left Arrow 3">
          <a:hlinkClick xmlns:r="http://schemas.openxmlformats.org/officeDocument/2006/relationships" r:id="rId2"/>
        </xdr:cNvPr>
        <xdr:cNvSpPr/>
      </xdr:nvSpPr>
      <xdr:spPr>
        <a:xfrm>
          <a:off x="4505325" y="1809750"/>
          <a:ext cx="1409700" cy="923925"/>
        </a:xfrm>
        <a:prstGeom prst="leftArrow">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Welcome Screen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94191</xdr:colOff>
      <xdr:row>7</xdr:row>
      <xdr:rowOff>43393</xdr:rowOff>
    </xdr:from>
    <xdr:to>
      <xdr:col>2</xdr:col>
      <xdr:colOff>589491</xdr:colOff>
      <xdr:row>11</xdr:row>
      <xdr:rowOff>52916</xdr:rowOff>
    </xdr:to>
    <xdr:sp macro="" textlink="">
      <xdr:nvSpPr>
        <xdr:cNvPr id="2" name="Rounded Rectangle 1"/>
        <xdr:cNvSpPr/>
      </xdr:nvSpPr>
      <xdr:spPr>
        <a:xfrm>
          <a:off x="94191" y="1535643"/>
          <a:ext cx="3130550" cy="82444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r>
            <a:rPr lang="en-US" sz="1100"/>
            <a:t>Check this box if you have at a minimum</a:t>
          </a:r>
          <a:r>
            <a:rPr lang="en-US" sz="1100" baseline="0"/>
            <a:t>:</a:t>
          </a:r>
        </a:p>
        <a:p>
          <a:pPr algn="l"/>
          <a:r>
            <a:rPr lang="en-US" sz="1100" baseline="0"/>
            <a:t>1. Building type  (e.g., office, school, hospital)</a:t>
          </a:r>
        </a:p>
        <a:p>
          <a:pPr algn="l"/>
          <a:r>
            <a:rPr lang="en-US" sz="1100" baseline="0"/>
            <a:t>2. </a:t>
          </a:r>
          <a:r>
            <a:rPr lang="en-US" sz="1100" baseline="0">
              <a:solidFill>
                <a:schemeClr val="lt1"/>
              </a:solidFill>
              <a:effectLst/>
              <a:latin typeface="+mn-lt"/>
              <a:ea typeface="+mn-ea"/>
              <a:cs typeface="+mn-cs"/>
            </a:rPr>
            <a:t>Total square footage of buildings by building type</a:t>
          </a:r>
          <a:endParaRPr lang="en-US" sz="1100"/>
        </a:p>
      </xdr:txBody>
    </xdr:sp>
    <xdr:clientData/>
  </xdr:twoCellAnchor>
  <xdr:twoCellAnchor>
    <xdr:from>
      <xdr:col>0</xdr:col>
      <xdr:colOff>123826</xdr:colOff>
      <xdr:row>12</xdr:row>
      <xdr:rowOff>137583</xdr:rowOff>
    </xdr:from>
    <xdr:to>
      <xdr:col>2</xdr:col>
      <xdr:colOff>590552</xdr:colOff>
      <xdr:row>19</xdr:row>
      <xdr:rowOff>158749</xdr:rowOff>
    </xdr:to>
    <xdr:sp macro="" textlink="">
      <xdr:nvSpPr>
        <xdr:cNvPr id="3" name="Rounded Rectangle 2"/>
        <xdr:cNvSpPr/>
      </xdr:nvSpPr>
      <xdr:spPr>
        <a:xfrm>
          <a:off x="123826" y="2772833"/>
          <a:ext cx="3207809" cy="1354666"/>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100"/>
            <a:t>Check this box if you </a:t>
          </a:r>
          <a:r>
            <a:rPr lang="en-US" sz="1100" baseline="0"/>
            <a:t>have at a minimum:</a:t>
          </a:r>
        </a:p>
        <a:p>
          <a:pPr marL="0" marR="0" indent="0" algn="l" defTabSz="914400" eaLnBrk="1" fontAlgn="auto" latinLnBrk="0" hangingPunct="1">
            <a:lnSpc>
              <a:spcPct val="100000"/>
            </a:lnSpc>
            <a:spcBef>
              <a:spcPts val="0"/>
            </a:spcBef>
            <a:spcAft>
              <a:spcPts val="0"/>
            </a:spcAft>
            <a:buClrTx/>
            <a:buSzTx/>
            <a:buFontTx/>
            <a:buNone/>
            <a:tabLst/>
            <a:defRPr/>
          </a:pPr>
          <a:r>
            <a:rPr lang="en-US" sz="1100" b="0" baseline="0"/>
            <a:t>1. </a:t>
          </a:r>
          <a:r>
            <a:rPr lang="en-US" sz="1100">
              <a:solidFill>
                <a:schemeClr val="lt1"/>
              </a:solidFill>
              <a:effectLst/>
              <a:latin typeface="+mn-lt"/>
              <a:ea typeface="+mn-ea"/>
              <a:cs typeface="+mn-cs"/>
            </a:rPr>
            <a:t>Equipment type (e.g., chillers, residential refrigeration, passenger car air conditioning)</a:t>
          </a:r>
        </a:p>
        <a:p>
          <a:pPr marL="0" marR="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lt1"/>
              </a:solidFill>
              <a:effectLst/>
              <a:latin typeface="+mn-lt"/>
              <a:ea typeface="+mn-ea"/>
              <a:cs typeface="+mn-cs"/>
            </a:rPr>
            <a:t>2. The number of refrigerant-containing equipment (installed by facility or region) by equipment type (e.g., 3 large cold storage units in a warehouse)</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373380</xdr:colOff>
          <xdr:row>8</xdr:row>
          <xdr:rowOff>60960</xdr:rowOff>
        </xdr:from>
        <xdr:to>
          <xdr:col>6</xdr:col>
          <xdr:colOff>60960</xdr:colOff>
          <xdr:row>10</xdr:row>
          <xdr:rowOff>30480</xdr:rowOff>
        </xdr:to>
        <xdr:sp macro="" textlink="">
          <xdr:nvSpPr>
            <xdr:cNvPr id="75777" name="SimplifiedScreening2" hidden="1">
              <a:extLst>
                <a:ext uri="{63B3BB69-23CF-44E3-9099-C40C66FF867C}">
                  <a14:compatExt spid="_x0000_s757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Simplified Screening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14</xdr:row>
          <xdr:rowOff>144780</xdr:rowOff>
        </xdr:from>
        <xdr:to>
          <xdr:col>6</xdr:col>
          <xdr:colOff>68580</xdr:colOff>
          <xdr:row>16</xdr:row>
          <xdr:rowOff>45720</xdr:rowOff>
        </xdr:to>
        <xdr:sp macro="" textlink="">
          <xdr:nvSpPr>
            <xdr:cNvPr id="75778" name="SimplifiedScreening1" hidden="1">
              <a:extLst>
                <a:ext uri="{63B3BB69-23CF-44E3-9099-C40C66FF867C}">
                  <a14:compatExt spid="_x0000_s757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Simplified Screening 1</a:t>
              </a:r>
            </a:p>
          </xdr:txBody>
        </xdr:sp>
        <xdr:clientData/>
      </xdr:twoCellAnchor>
    </mc:Choice>
    <mc:Fallback/>
  </mc:AlternateContent>
  <xdr:twoCellAnchor>
    <xdr:from>
      <xdr:col>0</xdr:col>
      <xdr:colOff>124882</xdr:colOff>
      <xdr:row>31</xdr:row>
      <xdr:rowOff>105833</xdr:rowOff>
    </xdr:from>
    <xdr:to>
      <xdr:col>2</xdr:col>
      <xdr:colOff>591608</xdr:colOff>
      <xdr:row>37</xdr:row>
      <xdr:rowOff>119063</xdr:rowOff>
    </xdr:to>
    <xdr:sp macro="" textlink="">
      <xdr:nvSpPr>
        <xdr:cNvPr id="6" name="Rounded Rectangle 5"/>
        <xdr:cNvSpPr/>
      </xdr:nvSpPr>
      <xdr:spPr>
        <a:xfrm>
          <a:off x="124882" y="6368521"/>
          <a:ext cx="3193257" cy="1275292"/>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r>
            <a:rPr lang="en-US" sz="1100"/>
            <a:t>Check this box if you </a:t>
          </a:r>
          <a:r>
            <a:rPr lang="en-US" sz="1100" baseline="0"/>
            <a:t>have at a minimum:</a:t>
          </a:r>
          <a:endParaRPr lang="en-US" sz="1100">
            <a:effectLst/>
          </a:endParaRPr>
        </a:p>
        <a:p>
          <a:r>
            <a:rPr lang="en-US" sz="1100">
              <a:solidFill>
                <a:schemeClr val="lt1"/>
              </a:solidFill>
              <a:effectLst/>
              <a:latin typeface="+mn-lt"/>
              <a:ea typeface="+mn-ea"/>
              <a:cs typeface="+mn-cs"/>
            </a:rPr>
            <a:t>1. Type of equipment</a:t>
          </a:r>
        </a:p>
        <a:p>
          <a:r>
            <a:rPr lang="en-US" sz="1100">
              <a:solidFill>
                <a:schemeClr val="lt1"/>
              </a:solidFill>
              <a:effectLst/>
              <a:latin typeface="+mn-lt"/>
              <a:ea typeface="+mn-ea"/>
              <a:cs typeface="+mn-cs"/>
            </a:rPr>
            <a:t>2. Amount</a:t>
          </a:r>
          <a:r>
            <a:rPr lang="en-US" sz="1100" baseline="0">
              <a:solidFill>
                <a:schemeClr val="lt1"/>
              </a:solidFill>
              <a:effectLst/>
              <a:latin typeface="+mn-lt"/>
              <a:ea typeface="+mn-ea"/>
              <a:cs typeface="+mn-cs"/>
            </a:rPr>
            <a:t> of refrigerant charged into new equipment</a:t>
          </a:r>
          <a:endParaRPr lang="en-US" sz="1100">
            <a:effectLst/>
          </a:endParaRPr>
        </a:p>
        <a:p>
          <a:r>
            <a:rPr lang="en-US" sz="1100" baseline="0">
              <a:solidFill>
                <a:schemeClr val="lt1"/>
              </a:solidFill>
              <a:effectLst/>
              <a:latin typeface="+mn-lt"/>
              <a:ea typeface="+mn-ea"/>
              <a:cs typeface="+mn-cs"/>
            </a:rPr>
            <a:t>3. Capacity of existing equipment</a:t>
          </a:r>
          <a:endParaRPr lang="en-US" sz="1100">
            <a:effectLst/>
          </a:endParaRPr>
        </a:p>
        <a:p>
          <a:r>
            <a:rPr lang="en-US" sz="1100" baseline="0">
              <a:solidFill>
                <a:schemeClr val="lt1"/>
              </a:solidFill>
              <a:effectLst/>
              <a:latin typeface="+mn-lt"/>
              <a:ea typeface="+mn-ea"/>
              <a:cs typeface="+mn-cs"/>
            </a:rPr>
            <a:t>4. Capacity of retiring equipment</a:t>
          </a:r>
          <a:endParaRPr lang="en-US" sz="1100">
            <a:effectLst/>
          </a:endParaRPr>
        </a:p>
        <a:p>
          <a:pPr algn="l"/>
          <a:r>
            <a:rPr lang="en-US" sz="1000"/>
            <a:t> </a:t>
          </a:r>
        </a:p>
      </xdr:txBody>
    </xdr:sp>
    <xdr:clientData/>
  </xdr:twoCellAnchor>
  <xdr:twoCellAnchor>
    <xdr:from>
      <xdr:col>1</xdr:col>
      <xdr:colOff>1366559</xdr:colOff>
      <xdr:row>11</xdr:row>
      <xdr:rowOff>74083</xdr:rowOff>
    </xdr:from>
    <xdr:to>
      <xdr:col>1</xdr:col>
      <xdr:colOff>1535896</xdr:colOff>
      <xdr:row>12</xdr:row>
      <xdr:rowOff>127000</xdr:rowOff>
    </xdr:to>
    <xdr:sp macro="" textlink="">
      <xdr:nvSpPr>
        <xdr:cNvPr id="4" name="Down Arrow 3"/>
        <xdr:cNvSpPr/>
      </xdr:nvSpPr>
      <xdr:spPr>
        <a:xfrm>
          <a:off x="1616590" y="2883958"/>
          <a:ext cx="169337" cy="255323"/>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1311001</xdr:colOff>
      <xdr:row>20</xdr:row>
      <xdr:rowOff>10583</xdr:rowOff>
    </xdr:from>
    <xdr:to>
      <xdr:col>1</xdr:col>
      <xdr:colOff>1586168</xdr:colOff>
      <xdr:row>22</xdr:row>
      <xdr:rowOff>52916</xdr:rowOff>
    </xdr:to>
    <xdr:sp macro="" textlink="">
      <xdr:nvSpPr>
        <xdr:cNvPr id="8" name="Down Arrow 7"/>
        <xdr:cNvSpPr/>
      </xdr:nvSpPr>
      <xdr:spPr>
        <a:xfrm>
          <a:off x="1561032" y="4618302"/>
          <a:ext cx="275167" cy="423333"/>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126996</xdr:colOff>
      <xdr:row>41</xdr:row>
      <xdr:rowOff>148176</xdr:rowOff>
    </xdr:from>
    <xdr:to>
      <xdr:col>2</xdr:col>
      <xdr:colOff>593722</xdr:colOff>
      <xdr:row>49</xdr:row>
      <xdr:rowOff>71437</xdr:rowOff>
    </xdr:to>
    <xdr:sp macro="" textlink="">
      <xdr:nvSpPr>
        <xdr:cNvPr id="9" name="Rounded Rectangle 8"/>
        <xdr:cNvSpPr/>
      </xdr:nvSpPr>
      <xdr:spPr>
        <a:xfrm>
          <a:off x="126996" y="8423020"/>
          <a:ext cx="3193257" cy="144726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r>
            <a:rPr lang="en-US" sz="1100"/>
            <a:t>Check this box if you </a:t>
          </a:r>
          <a:r>
            <a:rPr lang="en-US" sz="1100" baseline="0"/>
            <a:t>have at a minimum:</a:t>
          </a:r>
          <a:endParaRPr lang="en-US" sz="1100">
            <a:effectLst/>
          </a:endParaRPr>
        </a:p>
        <a:p>
          <a:r>
            <a:rPr lang="en-US" sz="1100">
              <a:solidFill>
                <a:schemeClr val="lt1"/>
              </a:solidFill>
              <a:effectLst/>
              <a:latin typeface="+mn-lt"/>
              <a:ea typeface="+mn-ea"/>
              <a:cs typeface="+mn-cs"/>
            </a:rPr>
            <a:t>1. Amount</a:t>
          </a:r>
          <a:r>
            <a:rPr lang="en-US" sz="1100" baseline="0">
              <a:solidFill>
                <a:schemeClr val="lt1"/>
              </a:solidFill>
              <a:effectLst/>
              <a:latin typeface="+mn-lt"/>
              <a:ea typeface="+mn-ea"/>
              <a:cs typeface="+mn-cs"/>
            </a:rPr>
            <a:t> of refrigerant purchased to fill new equipment at installation</a:t>
          </a:r>
          <a:endParaRPr lang="en-US" sz="1100">
            <a:effectLst/>
          </a:endParaRPr>
        </a:p>
        <a:p>
          <a:r>
            <a:rPr lang="en-US" sz="1100" baseline="0">
              <a:solidFill>
                <a:schemeClr val="lt1"/>
              </a:solidFill>
              <a:effectLst/>
              <a:latin typeface="+mn-lt"/>
              <a:ea typeface="+mn-ea"/>
              <a:cs typeface="+mn-cs"/>
            </a:rPr>
            <a:t>2. Capacity of new equipment</a:t>
          </a:r>
          <a:endParaRPr lang="en-US" sz="1100">
            <a:effectLst/>
          </a:endParaRPr>
        </a:p>
        <a:p>
          <a:r>
            <a:rPr lang="en-US" sz="1100" baseline="0">
              <a:solidFill>
                <a:schemeClr val="lt1"/>
              </a:solidFill>
              <a:effectLst/>
              <a:latin typeface="+mn-lt"/>
              <a:ea typeface="+mn-ea"/>
              <a:cs typeface="+mn-cs"/>
            </a:rPr>
            <a:t>3. Refrigerant used to service equipment</a:t>
          </a:r>
          <a:endParaRPr lang="en-US" sz="1100">
            <a:effectLst/>
          </a:endParaRPr>
        </a:p>
        <a:p>
          <a:r>
            <a:rPr lang="en-US" sz="1100" baseline="0">
              <a:solidFill>
                <a:schemeClr val="lt1"/>
              </a:solidFill>
              <a:effectLst/>
              <a:latin typeface="+mn-lt"/>
              <a:ea typeface="+mn-ea"/>
              <a:cs typeface="+mn-cs"/>
            </a:rPr>
            <a:t>4. Capacity of retiring equipment</a:t>
          </a:r>
          <a:endParaRPr lang="en-US" sz="1100">
            <a:effectLst/>
          </a:endParaRPr>
        </a:p>
        <a:p>
          <a:r>
            <a:rPr lang="en-US" sz="1100">
              <a:solidFill>
                <a:schemeClr val="lt1"/>
              </a:solidFill>
              <a:effectLst/>
              <a:latin typeface="+mn-lt"/>
              <a:ea typeface="+mn-ea"/>
              <a:cs typeface="+mn-cs"/>
            </a:rPr>
            <a:t>5. Amount recovered from retiring equipment</a:t>
          </a:r>
          <a:endParaRPr lang="en-US" sz="1100">
            <a:effectLst/>
          </a:endParaRPr>
        </a:p>
        <a:p>
          <a:pPr algn="l"/>
          <a:r>
            <a:rPr lang="en-US" sz="1000"/>
            <a:t> </a:t>
          </a:r>
        </a:p>
      </xdr:txBody>
    </xdr:sp>
    <xdr:clientData/>
  </xdr:twoCellAnchor>
  <xdr:twoCellAnchor>
    <xdr:from>
      <xdr:col>1</xdr:col>
      <xdr:colOff>1214429</xdr:colOff>
      <xdr:row>37</xdr:row>
      <xdr:rowOff>130969</xdr:rowOff>
    </xdr:from>
    <xdr:to>
      <xdr:col>1</xdr:col>
      <xdr:colOff>1669510</xdr:colOff>
      <xdr:row>41</xdr:row>
      <xdr:rowOff>105841</xdr:rowOff>
    </xdr:to>
    <xdr:sp macro="" textlink="">
      <xdr:nvSpPr>
        <xdr:cNvPr id="10" name="Down Arrow 9"/>
        <xdr:cNvSpPr/>
      </xdr:nvSpPr>
      <xdr:spPr>
        <a:xfrm>
          <a:off x="1464460" y="8096250"/>
          <a:ext cx="455081" cy="72496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126999</xdr:colOff>
      <xdr:row>53</xdr:row>
      <xdr:rowOff>21178</xdr:rowOff>
    </xdr:from>
    <xdr:to>
      <xdr:col>2</xdr:col>
      <xdr:colOff>593725</xdr:colOff>
      <xdr:row>64</xdr:row>
      <xdr:rowOff>10593</xdr:rowOff>
    </xdr:to>
    <xdr:sp macro="" textlink="">
      <xdr:nvSpPr>
        <xdr:cNvPr id="11" name="Rounded Rectangle 10"/>
        <xdr:cNvSpPr/>
      </xdr:nvSpPr>
      <xdr:spPr>
        <a:xfrm>
          <a:off x="126999" y="10445761"/>
          <a:ext cx="3207809" cy="2084915"/>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r>
            <a:rPr lang="en-US" sz="1100"/>
            <a:t>Check this box if you </a:t>
          </a:r>
          <a:r>
            <a:rPr lang="en-US" sz="1100" baseline="0"/>
            <a:t>have at a minimum:</a:t>
          </a:r>
          <a:endParaRPr lang="en-US" sz="1100">
            <a:effectLst/>
          </a:endParaRPr>
        </a:p>
        <a:p>
          <a:r>
            <a:rPr lang="en-US" sz="1100">
              <a:solidFill>
                <a:schemeClr val="lt1"/>
              </a:solidFill>
              <a:effectLst/>
              <a:latin typeface="+mn-lt"/>
              <a:ea typeface="+mn-ea"/>
              <a:cs typeface="+mn-cs"/>
            </a:rPr>
            <a:t>1. Quantity of refrigerant in storage at beginning of year</a:t>
          </a:r>
          <a:endParaRPr lang="en-US" sz="1100">
            <a:effectLst/>
          </a:endParaRPr>
        </a:p>
        <a:p>
          <a:r>
            <a:rPr lang="en-US" sz="1100">
              <a:solidFill>
                <a:schemeClr val="lt1"/>
              </a:solidFill>
              <a:effectLst/>
              <a:latin typeface="+mn-lt"/>
              <a:ea typeface="+mn-ea"/>
              <a:cs typeface="+mn-cs"/>
            </a:rPr>
            <a:t>2. Quantity</a:t>
          </a:r>
          <a:r>
            <a:rPr lang="en-US" sz="1100" baseline="0">
              <a:solidFill>
                <a:schemeClr val="lt1"/>
              </a:solidFill>
              <a:effectLst/>
              <a:latin typeface="+mn-lt"/>
              <a:ea typeface="+mn-ea"/>
              <a:cs typeface="+mn-cs"/>
            </a:rPr>
            <a:t> of refrigerant in storage at end of the year</a:t>
          </a:r>
          <a:endParaRPr lang="en-US" sz="1100">
            <a:effectLst/>
          </a:endParaRPr>
        </a:p>
        <a:p>
          <a:pPr eaLnBrk="1" fontAlgn="auto" latinLnBrk="0" hangingPunct="1"/>
          <a:r>
            <a:rPr lang="en-US" sz="1100" baseline="0">
              <a:solidFill>
                <a:schemeClr val="lt1"/>
              </a:solidFill>
              <a:effectLst/>
              <a:latin typeface="+mn-lt"/>
              <a:ea typeface="+mn-ea"/>
              <a:cs typeface="+mn-cs"/>
            </a:rPr>
            <a:t>3. Refrigerant purchased/issued from  supply</a:t>
          </a:r>
          <a:endParaRPr lang="en-US" sz="1100">
            <a:effectLst/>
          </a:endParaRPr>
        </a:p>
        <a:p>
          <a:pPr eaLnBrk="1" fontAlgn="auto" latinLnBrk="0" hangingPunct="1"/>
          <a:r>
            <a:rPr lang="en-US" sz="1100" baseline="0">
              <a:solidFill>
                <a:schemeClr val="lt1"/>
              </a:solidFill>
              <a:effectLst/>
              <a:latin typeface="+mn-lt"/>
              <a:ea typeface="+mn-ea"/>
              <a:cs typeface="+mn-cs"/>
            </a:rPr>
            <a:t>4. Refrigerant returned to the supply system</a:t>
          </a:r>
          <a:endParaRPr lang="en-US" sz="1100">
            <a:effectLst/>
          </a:endParaRPr>
        </a:p>
        <a:p>
          <a:r>
            <a:rPr lang="en-US" sz="1100" baseline="0">
              <a:solidFill>
                <a:schemeClr val="lt1"/>
              </a:solidFill>
              <a:effectLst/>
              <a:latin typeface="+mn-lt"/>
              <a:ea typeface="+mn-ea"/>
              <a:cs typeface="+mn-cs"/>
            </a:rPr>
            <a:t>5. Equipment capacity at beginning of the year</a:t>
          </a:r>
          <a:endParaRPr lang="en-US" sz="1100">
            <a:effectLst/>
          </a:endParaRPr>
        </a:p>
        <a:p>
          <a:r>
            <a:rPr lang="en-US" sz="1100" baseline="0">
              <a:solidFill>
                <a:schemeClr val="lt1"/>
              </a:solidFill>
              <a:effectLst/>
              <a:latin typeface="+mn-lt"/>
              <a:ea typeface="+mn-ea"/>
              <a:cs typeface="+mn-cs"/>
            </a:rPr>
            <a:t>6. Equipment capacity at end of the year</a:t>
          </a:r>
          <a:endParaRPr lang="en-US" sz="1100"/>
        </a:p>
        <a:p>
          <a:r>
            <a:rPr lang="en-US" sz="1100" i="1" baseline="0">
              <a:solidFill>
                <a:schemeClr val="lt1"/>
              </a:solidFill>
              <a:effectLst/>
              <a:latin typeface="+mn-lt"/>
              <a:ea typeface="+mn-ea"/>
              <a:cs typeface="+mn-cs"/>
            </a:rPr>
            <a:t>Note: When you go to the "Default - Material Balance" page, toggle to the "MATERIAL BALANCE" option to access the approach</a:t>
          </a:r>
          <a:endParaRPr lang="en-US" sz="1100"/>
        </a:p>
      </xdr:txBody>
    </xdr:sp>
    <xdr:clientData/>
  </xdr:twoCellAnchor>
  <xdr:twoCellAnchor>
    <xdr:from>
      <xdr:col>1</xdr:col>
      <xdr:colOff>1119177</xdr:colOff>
      <xdr:row>49</xdr:row>
      <xdr:rowOff>95248</xdr:rowOff>
    </xdr:from>
    <xdr:to>
      <xdr:col>1</xdr:col>
      <xdr:colOff>1796510</xdr:colOff>
      <xdr:row>52</xdr:row>
      <xdr:rowOff>226217</xdr:rowOff>
    </xdr:to>
    <xdr:sp macro="" textlink="">
      <xdr:nvSpPr>
        <xdr:cNvPr id="12" name="Down Arrow 11"/>
        <xdr:cNvSpPr/>
      </xdr:nvSpPr>
      <xdr:spPr>
        <a:xfrm>
          <a:off x="1369208" y="10334623"/>
          <a:ext cx="677333" cy="785813"/>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388620</xdr:colOff>
          <xdr:row>32</xdr:row>
          <xdr:rowOff>144780</xdr:rowOff>
        </xdr:from>
        <xdr:to>
          <xdr:col>6</xdr:col>
          <xdr:colOff>76200</xdr:colOff>
          <xdr:row>34</xdr:row>
          <xdr:rowOff>68580</xdr:rowOff>
        </xdr:to>
        <xdr:sp macro="" textlink="">
          <xdr:nvSpPr>
            <xdr:cNvPr id="75779" name="Screening" hidden="1">
              <a:extLst>
                <a:ext uri="{63B3BB69-23CF-44E3-9099-C40C66FF867C}">
                  <a14:compatExt spid="_x0000_s757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Screening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365760</xdr:colOff>
          <xdr:row>45</xdr:row>
          <xdr:rowOff>45720</xdr:rowOff>
        </xdr:from>
        <xdr:to>
          <xdr:col>6</xdr:col>
          <xdr:colOff>38100</xdr:colOff>
          <xdr:row>47</xdr:row>
          <xdr:rowOff>22860</xdr:rowOff>
        </xdr:to>
        <xdr:sp macro="" textlink="">
          <xdr:nvSpPr>
            <xdr:cNvPr id="75780" name="SimplifiedMaterialBalance" hidden="1">
              <a:extLst>
                <a:ext uri="{63B3BB69-23CF-44E3-9099-C40C66FF867C}">
                  <a14:compatExt spid="_x0000_s757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Simplified Material Balance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388620</xdr:colOff>
          <xdr:row>57</xdr:row>
          <xdr:rowOff>68580</xdr:rowOff>
        </xdr:from>
        <xdr:to>
          <xdr:col>6</xdr:col>
          <xdr:colOff>76200</xdr:colOff>
          <xdr:row>58</xdr:row>
          <xdr:rowOff>190500</xdr:rowOff>
        </xdr:to>
        <xdr:sp macro="" textlink="">
          <xdr:nvSpPr>
            <xdr:cNvPr id="75781" name="SimplifiedMaterialBalance" hidden="1">
              <a:extLst>
                <a:ext uri="{63B3BB69-23CF-44E3-9099-C40C66FF867C}">
                  <a14:compatExt spid="_x0000_s757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Material Balance</a:t>
              </a:r>
            </a:p>
          </xdr:txBody>
        </xdr:sp>
        <xdr:clientData/>
      </xdr:twoCellAnchor>
    </mc:Choice>
    <mc:Fallback/>
  </mc:AlternateContent>
  <xdr:twoCellAnchor>
    <xdr:from>
      <xdr:col>8</xdr:col>
      <xdr:colOff>84670</xdr:colOff>
      <xdr:row>7</xdr:row>
      <xdr:rowOff>11905</xdr:rowOff>
    </xdr:from>
    <xdr:to>
      <xdr:col>10</xdr:col>
      <xdr:colOff>444503</xdr:colOff>
      <xdr:row>12</xdr:row>
      <xdr:rowOff>66675</xdr:rowOff>
    </xdr:to>
    <xdr:sp macro="" textlink="">
      <xdr:nvSpPr>
        <xdr:cNvPr id="5" name="Right Arrow 4">
          <a:hlinkClick xmlns:r="http://schemas.openxmlformats.org/officeDocument/2006/relationships" r:id="rId1"/>
        </xdr:cNvPr>
        <xdr:cNvSpPr/>
      </xdr:nvSpPr>
      <xdr:spPr>
        <a:xfrm>
          <a:off x="6075895" y="1993105"/>
          <a:ext cx="1617133" cy="1026320"/>
        </a:xfrm>
        <a:prstGeom prst="rightArrow">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Go to </a:t>
          </a:r>
          <a:r>
            <a:rPr lang="en-US" sz="1200" b="1"/>
            <a:t>Simplified Screening</a:t>
          </a:r>
          <a:r>
            <a:rPr lang="en-US" sz="1200" b="1" baseline="0"/>
            <a:t> 2 </a:t>
          </a:r>
          <a:r>
            <a:rPr lang="en-US" sz="1100" b="0" baseline="0"/>
            <a:t>page</a:t>
          </a:r>
          <a:endParaRPr lang="en-US" sz="1100"/>
        </a:p>
      </xdr:txBody>
    </xdr:sp>
    <xdr:clientData/>
  </xdr:twoCellAnchor>
  <xdr:twoCellAnchor>
    <xdr:from>
      <xdr:col>11</xdr:col>
      <xdr:colOff>0</xdr:colOff>
      <xdr:row>13</xdr:row>
      <xdr:rowOff>0</xdr:rowOff>
    </xdr:from>
    <xdr:to>
      <xdr:col>13</xdr:col>
      <xdr:colOff>359833</xdr:colOff>
      <xdr:row>18</xdr:row>
      <xdr:rowOff>95250</xdr:rowOff>
    </xdr:to>
    <xdr:sp macro="" textlink="">
      <xdr:nvSpPr>
        <xdr:cNvPr id="17" name="Right Arrow 16">
          <a:hlinkClick xmlns:r="http://schemas.openxmlformats.org/officeDocument/2006/relationships" r:id="rId2"/>
        </xdr:cNvPr>
        <xdr:cNvSpPr/>
      </xdr:nvSpPr>
      <xdr:spPr>
        <a:xfrm>
          <a:off x="7772400" y="3133725"/>
          <a:ext cx="1617133" cy="1085850"/>
        </a:xfrm>
        <a:prstGeom prst="rightArrow">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Go to </a:t>
          </a:r>
          <a:r>
            <a:rPr lang="en-US" sz="1200" b="1"/>
            <a:t>Simplified Screening</a:t>
          </a:r>
          <a:r>
            <a:rPr lang="en-US" sz="1200" b="1" baseline="0"/>
            <a:t> 1 </a:t>
          </a:r>
          <a:r>
            <a:rPr lang="en-US" sz="1100" b="0" baseline="0"/>
            <a:t>page</a:t>
          </a:r>
          <a:endParaRPr lang="en-US" sz="1100"/>
        </a:p>
      </xdr:txBody>
    </xdr:sp>
    <xdr:clientData/>
  </xdr:twoCellAnchor>
  <xdr:twoCellAnchor>
    <xdr:from>
      <xdr:col>17</xdr:col>
      <xdr:colOff>105833</xdr:colOff>
      <xdr:row>31</xdr:row>
      <xdr:rowOff>21154</xdr:rowOff>
    </xdr:from>
    <xdr:to>
      <xdr:col>19</xdr:col>
      <xdr:colOff>359833</xdr:colOff>
      <xdr:row>36</xdr:row>
      <xdr:rowOff>95250</xdr:rowOff>
    </xdr:to>
    <xdr:sp macro="" textlink="">
      <xdr:nvSpPr>
        <xdr:cNvPr id="18" name="Right Arrow 17">
          <a:hlinkClick xmlns:r="http://schemas.openxmlformats.org/officeDocument/2006/relationships" r:id="rId3"/>
        </xdr:cNvPr>
        <xdr:cNvSpPr/>
      </xdr:nvSpPr>
      <xdr:spPr>
        <a:xfrm>
          <a:off x="11573933" y="6526729"/>
          <a:ext cx="1625600" cy="1093271"/>
        </a:xfrm>
        <a:prstGeom prst="rightArrow">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Go to</a:t>
          </a:r>
          <a:r>
            <a:rPr lang="en-US" sz="1200"/>
            <a:t> </a:t>
          </a:r>
          <a:r>
            <a:rPr lang="en-US" sz="1200" b="1"/>
            <a:t>Screening</a:t>
          </a:r>
          <a:r>
            <a:rPr lang="en-US" sz="1200" baseline="0"/>
            <a:t> </a:t>
          </a:r>
          <a:r>
            <a:rPr lang="en-US" sz="1100" baseline="0"/>
            <a:t>page</a:t>
          </a:r>
          <a:endParaRPr lang="en-US" sz="1100"/>
        </a:p>
      </xdr:txBody>
    </xdr:sp>
    <xdr:clientData/>
  </xdr:twoCellAnchor>
  <xdr:twoCellAnchor>
    <xdr:from>
      <xdr:col>20</xdr:col>
      <xdr:colOff>31751</xdr:colOff>
      <xdr:row>44</xdr:row>
      <xdr:rowOff>6</xdr:rowOff>
    </xdr:from>
    <xdr:to>
      <xdr:col>22</xdr:col>
      <xdr:colOff>592667</xdr:colOff>
      <xdr:row>49</xdr:row>
      <xdr:rowOff>161925</xdr:rowOff>
    </xdr:to>
    <xdr:sp macro="" textlink="">
      <xdr:nvSpPr>
        <xdr:cNvPr id="19" name="Right Arrow 18">
          <a:hlinkClick xmlns:r="http://schemas.openxmlformats.org/officeDocument/2006/relationships" r:id="rId4"/>
        </xdr:cNvPr>
        <xdr:cNvSpPr/>
      </xdr:nvSpPr>
      <xdr:spPr>
        <a:xfrm>
          <a:off x="13328651" y="9020181"/>
          <a:ext cx="2008716" cy="1066794"/>
        </a:xfrm>
        <a:prstGeom prst="rightArrow">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Go to </a:t>
          </a:r>
          <a:r>
            <a:rPr lang="en-US" sz="1200" b="1"/>
            <a:t>Simplified</a:t>
          </a:r>
          <a:r>
            <a:rPr lang="en-US" sz="1200" b="1" baseline="0"/>
            <a:t> Material Balance</a:t>
          </a:r>
          <a:r>
            <a:rPr lang="en-US" sz="1200" baseline="0"/>
            <a:t> </a:t>
          </a:r>
          <a:r>
            <a:rPr lang="en-US" sz="1100" baseline="0"/>
            <a:t>page</a:t>
          </a:r>
          <a:endParaRPr lang="en-US" sz="1100"/>
        </a:p>
      </xdr:txBody>
    </xdr:sp>
    <xdr:clientData/>
  </xdr:twoCellAnchor>
  <xdr:twoCellAnchor>
    <xdr:from>
      <xdr:col>23</xdr:col>
      <xdr:colOff>31753</xdr:colOff>
      <xdr:row>56</xdr:row>
      <xdr:rowOff>10583</xdr:rowOff>
    </xdr:from>
    <xdr:to>
      <xdr:col>25</xdr:col>
      <xdr:colOff>550334</xdr:colOff>
      <xdr:row>61</xdr:row>
      <xdr:rowOff>123825</xdr:rowOff>
    </xdr:to>
    <xdr:sp macro="" textlink="">
      <xdr:nvSpPr>
        <xdr:cNvPr id="20" name="Right Arrow 19">
          <a:hlinkClick xmlns:r="http://schemas.openxmlformats.org/officeDocument/2006/relationships" r:id="rId5"/>
        </xdr:cNvPr>
        <xdr:cNvSpPr/>
      </xdr:nvSpPr>
      <xdr:spPr>
        <a:xfrm>
          <a:off x="15433678" y="11545358"/>
          <a:ext cx="1966381" cy="1237192"/>
        </a:xfrm>
        <a:prstGeom prst="rightArrow">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lang="en-US" sz="1100">
              <a:solidFill>
                <a:schemeClr val="lt1"/>
              </a:solidFill>
              <a:effectLst/>
              <a:latin typeface="+mn-lt"/>
              <a:ea typeface="+mn-ea"/>
              <a:cs typeface="+mn-cs"/>
            </a:rPr>
            <a:t>Go to </a:t>
          </a:r>
          <a:r>
            <a:rPr lang="en-US" sz="1200" b="1" baseline="0">
              <a:solidFill>
                <a:schemeClr val="lt1"/>
              </a:solidFill>
              <a:effectLst/>
              <a:latin typeface="+mn-lt"/>
              <a:ea typeface="+mn-ea"/>
              <a:cs typeface="+mn-cs"/>
            </a:rPr>
            <a:t>Default / Material Balance </a:t>
          </a:r>
          <a:r>
            <a:rPr lang="en-US" sz="1100" baseline="0">
              <a:solidFill>
                <a:schemeClr val="lt1"/>
              </a:solidFill>
              <a:effectLst/>
              <a:latin typeface="+mn-lt"/>
              <a:ea typeface="+mn-ea"/>
              <a:cs typeface="+mn-cs"/>
            </a:rPr>
            <a:t>page</a:t>
          </a:r>
          <a:endParaRPr lang="en-US">
            <a:effectLst/>
          </a:endParaRPr>
        </a:p>
      </xdr:txBody>
    </xdr:sp>
    <xdr:clientData/>
  </xdr:twoCellAnchor>
  <xdr:twoCellAnchor>
    <xdr:from>
      <xdr:col>1</xdr:col>
      <xdr:colOff>1267344</xdr:colOff>
      <xdr:row>28</xdr:row>
      <xdr:rowOff>56885</xdr:rowOff>
    </xdr:from>
    <xdr:to>
      <xdr:col>1</xdr:col>
      <xdr:colOff>1606011</xdr:colOff>
      <xdr:row>31</xdr:row>
      <xdr:rowOff>88635</xdr:rowOff>
    </xdr:to>
    <xdr:sp macro="" textlink="">
      <xdr:nvSpPr>
        <xdr:cNvPr id="21" name="Down Arrow 20"/>
        <xdr:cNvSpPr/>
      </xdr:nvSpPr>
      <xdr:spPr>
        <a:xfrm>
          <a:off x="1517375" y="6188604"/>
          <a:ext cx="338667" cy="60325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137582</xdr:colOff>
      <xdr:row>22</xdr:row>
      <xdr:rowOff>95245</xdr:rowOff>
    </xdr:from>
    <xdr:to>
      <xdr:col>2</xdr:col>
      <xdr:colOff>593721</xdr:colOff>
      <xdr:row>28</xdr:row>
      <xdr:rowOff>71437</xdr:rowOff>
    </xdr:to>
    <xdr:sp macro="" textlink="">
      <xdr:nvSpPr>
        <xdr:cNvPr id="22" name="Rounded Rectangle 21"/>
        <xdr:cNvSpPr/>
      </xdr:nvSpPr>
      <xdr:spPr>
        <a:xfrm>
          <a:off x="137582" y="4643433"/>
          <a:ext cx="3182670" cy="1119192"/>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100"/>
            <a:t>Check this box if you </a:t>
          </a:r>
          <a:r>
            <a:rPr lang="en-US" sz="1100" baseline="0"/>
            <a:t>have at a minimum:</a:t>
          </a:r>
        </a:p>
        <a:p>
          <a:pPr marL="0" marR="0" indent="0" algn="l" defTabSz="914400" eaLnBrk="1" fontAlgn="auto" latinLnBrk="0" hangingPunct="1">
            <a:lnSpc>
              <a:spcPct val="100000"/>
            </a:lnSpc>
            <a:spcBef>
              <a:spcPts val="0"/>
            </a:spcBef>
            <a:spcAft>
              <a:spcPts val="0"/>
            </a:spcAft>
            <a:buClrTx/>
            <a:buSzTx/>
            <a:buFontTx/>
            <a:buNone/>
            <a:tabLst/>
            <a:defRPr/>
          </a:pPr>
          <a:r>
            <a:rPr lang="en-US" sz="1100" baseline="0"/>
            <a:t>1. </a:t>
          </a:r>
          <a:r>
            <a:rPr lang="en-US" sz="1100" baseline="0">
              <a:solidFill>
                <a:schemeClr val="lt1"/>
              </a:solidFill>
              <a:effectLst/>
              <a:latin typeface="+mn-lt"/>
              <a:ea typeface="+mn-ea"/>
              <a:cs typeface="+mn-cs"/>
            </a:rPr>
            <a:t>Amount of refrigerant purchased/issued from  supply</a:t>
          </a:r>
          <a:endParaRPr lang="en-US" sz="1100">
            <a:effectLst/>
          </a:endParaRPr>
        </a:p>
        <a:p>
          <a:pPr marL="0" marR="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lt1"/>
              </a:solidFill>
              <a:effectLst/>
              <a:latin typeface="+mn-lt"/>
              <a:ea typeface="+mn-ea"/>
              <a:cs typeface="+mn-cs"/>
            </a:rPr>
            <a:t>2. Amount of refrigerant returned to the supply system</a:t>
          </a:r>
        </a:p>
      </xdr:txBody>
    </xdr:sp>
    <xdr:clientData/>
  </xdr:twoCellAnchor>
  <mc:AlternateContent xmlns:mc="http://schemas.openxmlformats.org/markup-compatibility/2006">
    <mc:Choice xmlns:a14="http://schemas.microsoft.com/office/drawing/2010/main" Requires="a14">
      <xdr:twoCellAnchor editAs="oneCell">
        <xdr:from>
          <xdr:col>3</xdr:col>
          <xdr:colOff>381000</xdr:colOff>
          <xdr:row>23</xdr:row>
          <xdr:rowOff>121920</xdr:rowOff>
        </xdr:from>
        <xdr:to>
          <xdr:col>5</xdr:col>
          <xdr:colOff>426720</xdr:colOff>
          <xdr:row>25</xdr:row>
          <xdr:rowOff>38100</xdr:rowOff>
        </xdr:to>
        <xdr:sp macro="" textlink="">
          <xdr:nvSpPr>
            <xdr:cNvPr id="75783" name="Check Box 7" hidden="1">
              <a:extLst>
                <a:ext uri="{63B3BB69-23CF-44E3-9099-C40C66FF867C}">
                  <a14:compatExt spid="_x0000_s757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Default Methodology</a:t>
              </a:r>
            </a:p>
          </xdr:txBody>
        </xdr:sp>
        <xdr:clientData/>
      </xdr:twoCellAnchor>
    </mc:Choice>
    <mc:Fallback/>
  </mc:AlternateContent>
  <xdr:twoCellAnchor>
    <xdr:from>
      <xdr:col>14</xdr:col>
      <xdr:colOff>0</xdr:colOff>
      <xdr:row>21</xdr:row>
      <xdr:rowOff>148167</xdr:rowOff>
    </xdr:from>
    <xdr:to>
      <xdr:col>16</xdr:col>
      <xdr:colOff>571500</xdr:colOff>
      <xdr:row>27</xdr:row>
      <xdr:rowOff>161925</xdr:rowOff>
    </xdr:to>
    <xdr:sp macro="" textlink="">
      <xdr:nvSpPr>
        <xdr:cNvPr id="25" name="Right Arrow 24">
          <a:hlinkClick xmlns:r="http://schemas.openxmlformats.org/officeDocument/2006/relationships" r:id="rId5"/>
        </xdr:cNvPr>
        <xdr:cNvSpPr/>
      </xdr:nvSpPr>
      <xdr:spPr>
        <a:xfrm>
          <a:off x="9467850" y="4815417"/>
          <a:ext cx="1905000" cy="1099608"/>
        </a:xfrm>
        <a:prstGeom prst="rightArrow">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Go to </a:t>
          </a:r>
          <a:r>
            <a:rPr lang="en-US" sz="1200" b="1" baseline="0"/>
            <a:t>Default / Material Balance </a:t>
          </a:r>
          <a:r>
            <a:rPr lang="en-US" sz="1100" baseline="0"/>
            <a:t>page</a:t>
          </a:r>
          <a:endParaRPr lang="en-US" sz="1100"/>
        </a:p>
      </xdr:txBody>
    </xdr:sp>
    <xdr:clientData/>
  </xdr:twoCellAnchor>
  <xdr:twoCellAnchor>
    <xdr:from>
      <xdr:col>6</xdr:col>
      <xdr:colOff>101202</xdr:colOff>
      <xdr:row>22</xdr:row>
      <xdr:rowOff>38101</xdr:rowOff>
    </xdr:from>
    <xdr:to>
      <xdr:col>7</xdr:col>
      <xdr:colOff>119062</xdr:colOff>
      <xdr:row>46</xdr:row>
      <xdr:rowOff>57153</xdr:rowOff>
    </xdr:to>
    <xdr:sp macro="" textlink="">
      <xdr:nvSpPr>
        <xdr:cNvPr id="7" name="Chevron 6"/>
        <xdr:cNvSpPr/>
      </xdr:nvSpPr>
      <xdr:spPr>
        <a:xfrm rot="5400000">
          <a:off x="3405781" y="7001472"/>
          <a:ext cx="4552952" cy="322660"/>
        </a:xfrm>
        <a:prstGeom prst="chevron">
          <a:avLst/>
        </a:prstGeom>
        <a:scene3d>
          <a:camera prst="orthographicFront"/>
          <a:lightRig rig="threePt" dir="t"/>
        </a:scene3d>
        <a:sp3d>
          <a:bevelT/>
        </a:sp3d>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400" b="1">
              <a:solidFill>
                <a:schemeClr val="lt1"/>
              </a:solidFill>
              <a:effectLst/>
              <a:latin typeface="+mn-lt"/>
              <a:ea typeface="+mn-ea"/>
              <a:cs typeface="+mn-cs"/>
            </a:rPr>
            <a:t>INCREASED DATA REQUIREMENTS AND ACCURACY</a:t>
          </a:r>
          <a:endParaRPr lang="en-US" sz="1400">
            <a:effectLst/>
          </a:endParaRPr>
        </a:p>
        <a:p>
          <a:pPr algn="l"/>
          <a:endParaRPr lang="en-US" sz="1100">
            <a:solidFill>
              <a:schemeClr val="tx1"/>
            </a:solidFill>
          </a:endParaRPr>
        </a:p>
      </xdr:txBody>
    </xdr:sp>
    <xdr:clientData/>
  </xdr:twoCellAnchor>
  <xdr:twoCellAnchor>
    <xdr:from>
      <xdr:col>6</xdr:col>
      <xdr:colOff>95248</xdr:colOff>
      <xdr:row>7</xdr:row>
      <xdr:rowOff>17</xdr:rowOff>
    </xdr:from>
    <xdr:to>
      <xdr:col>7</xdr:col>
      <xdr:colOff>130968</xdr:colOff>
      <xdr:row>22</xdr:row>
      <xdr:rowOff>47625</xdr:rowOff>
    </xdr:to>
    <xdr:sp macro="" textlink="">
      <xdr:nvSpPr>
        <xdr:cNvPr id="29" name="Chevron 28"/>
        <xdr:cNvSpPr/>
      </xdr:nvSpPr>
      <xdr:spPr>
        <a:xfrm rot="5400000">
          <a:off x="4227916" y="3268274"/>
          <a:ext cx="2914633" cy="340520"/>
        </a:xfrm>
        <a:prstGeom prst="chevron">
          <a:avLst/>
        </a:prstGeom>
        <a:scene3d>
          <a:camera prst="orthographicFront"/>
          <a:lightRig rig="threePt" dir="t"/>
        </a:scene3d>
        <a:sp3d>
          <a:bevelT/>
        </a:sp3d>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6</xdr:col>
      <xdr:colOff>95248</xdr:colOff>
      <xdr:row>46</xdr:row>
      <xdr:rowOff>38100</xdr:rowOff>
    </xdr:from>
    <xdr:to>
      <xdr:col>7</xdr:col>
      <xdr:colOff>130968</xdr:colOff>
      <xdr:row>63</xdr:row>
      <xdr:rowOff>166690</xdr:rowOff>
    </xdr:to>
    <xdr:sp macro="" textlink="">
      <xdr:nvSpPr>
        <xdr:cNvPr id="30" name="Chevron 29"/>
        <xdr:cNvSpPr/>
      </xdr:nvSpPr>
      <xdr:spPr>
        <a:xfrm rot="5400000">
          <a:off x="3773088" y="11162110"/>
          <a:ext cx="3824290" cy="340520"/>
        </a:xfrm>
        <a:prstGeom prst="chevron">
          <a:avLst/>
        </a:prstGeom>
        <a:scene3d>
          <a:camera prst="orthographicFront"/>
          <a:lightRig rig="threePt" dir="t"/>
        </a:scene3d>
        <a:sp3d>
          <a:bevelT/>
        </a:sp3d>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419100</xdr:colOff>
          <xdr:row>6</xdr:row>
          <xdr:rowOff>525780</xdr:rowOff>
        </xdr:from>
        <xdr:to>
          <xdr:col>1</xdr:col>
          <xdr:colOff>1661160</xdr:colOff>
          <xdr:row>7</xdr:row>
          <xdr:rowOff>0</xdr:rowOff>
        </xdr:to>
        <xdr:sp macro="" textlink="">
          <xdr:nvSpPr>
            <xdr:cNvPr id="75794" name="Option Button 18" hidden="1">
              <a:extLst>
                <a:ext uri="{63B3BB69-23CF-44E3-9099-C40C66FF867C}">
                  <a14:compatExt spid="_x0000_s757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No Thanks!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6</xdr:row>
          <xdr:rowOff>327660</xdr:rowOff>
        </xdr:from>
        <xdr:to>
          <xdr:col>1</xdr:col>
          <xdr:colOff>1661160</xdr:colOff>
          <xdr:row>6</xdr:row>
          <xdr:rowOff>594360</xdr:rowOff>
        </xdr:to>
        <xdr:sp macro="" textlink="">
          <xdr:nvSpPr>
            <xdr:cNvPr id="75795" name="Option Button 19" hidden="1">
              <a:extLst>
                <a:ext uri="{63B3BB69-23CF-44E3-9099-C40C66FF867C}">
                  <a14:compatExt spid="_x0000_s757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Yes Please!</a:t>
              </a:r>
            </a:p>
          </xdr:txBody>
        </xdr:sp>
        <xdr:clientData/>
      </xdr:twoCellAnchor>
    </mc:Choice>
    <mc:Fallback/>
  </mc:AlternateContent>
  <xdr:twoCellAnchor>
    <xdr:from>
      <xdr:col>2</xdr:col>
      <xdr:colOff>129914</xdr:colOff>
      <xdr:row>6</xdr:row>
      <xdr:rowOff>21431</xdr:rowOff>
    </xdr:from>
    <xdr:to>
      <xdr:col>3</xdr:col>
      <xdr:colOff>547688</xdr:colOff>
      <xdr:row>6</xdr:row>
      <xdr:rowOff>654843</xdr:rowOff>
    </xdr:to>
    <xdr:sp macro="" textlink="">
      <xdr:nvSpPr>
        <xdr:cNvPr id="31" name="Left Arrow 30">
          <a:hlinkClick xmlns:r="http://schemas.openxmlformats.org/officeDocument/2006/relationships" r:id="rId6"/>
        </xdr:cNvPr>
        <xdr:cNvSpPr/>
      </xdr:nvSpPr>
      <xdr:spPr>
        <a:xfrm>
          <a:off x="3011227" y="1235869"/>
          <a:ext cx="1024992" cy="633412"/>
        </a:xfrm>
        <a:prstGeom prst="leftArrow">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Inputs</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350520</xdr:colOff>
          <xdr:row>7</xdr:row>
          <xdr:rowOff>160020</xdr:rowOff>
        </xdr:from>
        <xdr:to>
          <xdr:col>2</xdr:col>
          <xdr:colOff>845820</xdr:colOff>
          <xdr:row>9</xdr:row>
          <xdr:rowOff>7620</xdr:rowOff>
        </xdr:to>
        <xdr:sp macro="" textlink="">
          <xdr:nvSpPr>
            <xdr:cNvPr id="13356" name="Option Button 44" hidden="1">
              <a:extLst>
                <a:ext uri="{63B3BB69-23CF-44E3-9099-C40C66FF867C}">
                  <a14:compatExt spid="_x0000_s133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350520</xdr:colOff>
          <xdr:row>8</xdr:row>
          <xdr:rowOff>182880</xdr:rowOff>
        </xdr:from>
        <xdr:to>
          <xdr:col>2</xdr:col>
          <xdr:colOff>861060</xdr:colOff>
          <xdr:row>9</xdr:row>
          <xdr:rowOff>228600</xdr:rowOff>
        </xdr:to>
        <xdr:sp macro="" textlink="">
          <xdr:nvSpPr>
            <xdr:cNvPr id="13357" name="Option Button 45" hidden="1">
              <a:extLst>
                <a:ext uri="{63B3BB69-23CF-44E3-9099-C40C66FF867C}">
                  <a14:compatExt spid="_x0000_s133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xdr:twoCellAnchor>
    <xdr:from>
      <xdr:col>11</xdr:col>
      <xdr:colOff>539750</xdr:colOff>
      <xdr:row>6</xdr:row>
      <xdr:rowOff>3</xdr:rowOff>
    </xdr:from>
    <xdr:to>
      <xdr:col>14</xdr:col>
      <xdr:colOff>52916</xdr:colOff>
      <xdr:row>9</xdr:row>
      <xdr:rowOff>52919</xdr:rowOff>
    </xdr:to>
    <xdr:sp macro="" textlink="">
      <xdr:nvSpPr>
        <xdr:cNvPr id="2" name="Right Arrow 1">
          <a:hlinkClick xmlns:r="http://schemas.openxmlformats.org/officeDocument/2006/relationships" r:id="rId1"/>
        </xdr:cNvPr>
        <xdr:cNvSpPr/>
      </xdr:nvSpPr>
      <xdr:spPr>
        <a:xfrm>
          <a:off x="10244667" y="984253"/>
          <a:ext cx="1354666" cy="666749"/>
        </a:xfrm>
        <a:prstGeom prst="rightArrow">
          <a:avLst/>
        </a:prstGeom>
        <a:solidFill>
          <a:srgbClr val="FFC000"/>
        </a:solidFill>
        <a:scene3d>
          <a:camera prst="orthographicFront"/>
          <a:lightRig rig="threePt" dir="t"/>
        </a:scene3d>
        <a:sp3d>
          <a:bevelT/>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b="1">
              <a:solidFill>
                <a:schemeClr val="tx1"/>
              </a:solidFill>
            </a:rPr>
            <a:t>GHG Results</a:t>
          </a:r>
        </a:p>
      </xdr:txBody>
    </xdr:sp>
    <xdr:clientData/>
  </xdr:twoCellAnchor>
  <xdr:twoCellAnchor>
    <xdr:from>
      <xdr:col>8</xdr:col>
      <xdr:colOff>31754</xdr:colOff>
      <xdr:row>7</xdr:row>
      <xdr:rowOff>190493</xdr:rowOff>
    </xdr:from>
    <xdr:to>
      <xdr:col>8</xdr:col>
      <xdr:colOff>1068915</xdr:colOff>
      <xdr:row>9</xdr:row>
      <xdr:rowOff>211667</xdr:rowOff>
    </xdr:to>
    <xdr:sp macro="[0]!Module1.GoToCustomization" textlink="">
      <xdr:nvSpPr>
        <xdr:cNvPr id="5" name="Rectangle 4"/>
        <xdr:cNvSpPr/>
      </xdr:nvSpPr>
      <xdr:spPr>
        <a:xfrm>
          <a:off x="7418921" y="1365243"/>
          <a:ext cx="1037161" cy="444507"/>
        </a:xfrm>
        <a:prstGeom prst="rect">
          <a:avLst/>
        </a:prstGeom>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US" sz="1100" b="1">
              <a:solidFill>
                <a:schemeClr val="tx1"/>
              </a:solidFill>
            </a:rPr>
            <a:t>Customize Your</a:t>
          </a:r>
          <a:r>
            <a:rPr lang="en-US" sz="1100" b="1" baseline="0">
              <a:solidFill>
                <a:schemeClr val="tx1"/>
              </a:solidFill>
            </a:rPr>
            <a:t> Data</a:t>
          </a:r>
          <a:endParaRPr lang="en-US" sz="1100" b="1">
            <a:solidFill>
              <a:schemeClr val="tx1"/>
            </a:solidFill>
          </a:endParaRPr>
        </a:p>
      </xdr:txBody>
    </xdr:sp>
    <xdr:clientData/>
  </xdr:twoCellAnchor>
  <xdr:twoCellAnchor>
    <xdr:from>
      <xdr:col>8</xdr:col>
      <xdr:colOff>1079499</xdr:colOff>
      <xdr:row>8</xdr:row>
      <xdr:rowOff>0</xdr:rowOff>
    </xdr:from>
    <xdr:to>
      <xdr:col>10</xdr:col>
      <xdr:colOff>1079500</xdr:colOff>
      <xdr:row>9</xdr:row>
      <xdr:rowOff>211666</xdr:rowOff>
    </xdr:to>
    <xdr:sp macro="[0]!GoToAssumptions" textlink="">
      <xdr:nvSpPr>
        <xdr:cNvPr id="6" name="Rectangle 5"/>
        <xdr:cNvSpPr/>
      </xdr:nvSpPr>
      <xdr:spPr>
        <a:xfrm>
          <a:off x="8466666" y="1365250"/>
          <a:ext cx="1195917" cy="444499"/>
        </a:xfrm>
        <a:prstGeom prst="rect">
          <a:avLst/>
        </a:prstGeom>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US" sz="1100" b="1">
              <a:solidFill>
                <a:schemeClr val="tx1"/>
              </a:solidFill>
            </a:rPr>
            <a:t>View Equipment Assumptions</a:t>
          </a:r>
        </a:p>
      </xdr:txBody>
    </xdr:sp>
    <xdr:clientData/>
  </xdr:twoCellAnchor>
  <xdr:twoCellAnchor>
    <xdr:from>
      <xdr:col>11</xdr:col>
      <xdr:colOff>74082</xdr:colOff>
      <xdr:row>8</xdr:row>
      <xdr:rowOff>42332</xdr:rowOff>
    </xdr:from>
    <xdr:to>
      <xdr:col>13</xdr:col>
      <xdr:colOff>254000</xdr:colOff>
      <xdr:row>11</xdr:row>
      <xdr:rowOff>74082</xdr:rowOff>
    </xdr:to>
    <xdr:sp macro="" textlink="">
      <xdr:nvSpPr>
        <xdr:cNvPr id="8" name="Left Arrow 7">
          <a:hlinkClick xmlns:r="http://schemas.openxmlformats.org/officeDocument/2006/relationships" r:id="rId2"/>
        </xdr:cNvPr>
        <xdr:cNvSpPr/>
      </xdr:nvSpPr>
      <xdr:spPr>
        <a:xfrm>
          <a:off x="9778999" y="1407582"/>
          <a:ext cx="1407584" cy="698500"/>
        </a:xfrm>
        <a:prstGeom prst="leftArrow">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Method Selection</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350520</xdr:colOff>
          <xdr:row>8</xdr:row>
          <xdr:rowOff>0</xdr:rowOff>
        </xdr:from>
        <xdr:to>
          <xdr:col>2</xdr:col>
          <xdr:colOff>807720</xdr:colOff>
          <xdr:row>9</xdr:row>
          <xdr:rowOff>7620</xdr:rowOff>
        </xdr:to>
        <xdr:sp macro="" textlink="">
          <xdr:nvSpPr>
            <xdr:cNvPr id="12317" name="Option Button 29" hidden="1">
              <a:extLst>
                <a:ext uri="{63B3BB69-23CF-44E3-9099-C40C66FF867C}">
                  <a14:compatExt spid="_x0000_s123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350520</xdr:colOff>
          <xdr:row>8</xdr:row>
          <xdr:rowOff>220980</xdr:rowOff>
        </xdr:from>
        <xdr:to>
          <xdr:col>2</xdr:col>
          <xdr:colOff>807720</xdr:colOff>
          <xdr:row>10</xdr:row>
          <xdr:rowOff>7620</xdr:rowOff>
        </xdr:to>
        <xdr:sp macro="" textlink="">
          <xdr:nvSpPr>
            <xdr:cNvPr id="12318" name="Option Button 30" hidden="1">
              <a:extLst>
                <a:ext uri="{63B3BB69-23CF-44E3-9099-C40C66FF867C}">
                  <a14:compatExt spid="_x0000_s123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xdr:twoCellAnchor>
    <xdr:from>
      <xdr:col>16</xdr:col>
      <xdr:colOff>95250</xdr:colOff>
      <xdr:row>6</xdr:row>
      <xdr:rowOff>222250</xdr:rowOff>
    </xdr:from>
    <xdr:to>
      <xdr:col>17</xdr:col>
      <xdr:colOff>867834</xdr:colOff>
      <xdr:row>8</xdr:row>
      <xdr:rowOff>201083</xdr:rowOff>
    </xdr:to>
    <xdr:sp macro="[0]!GoToAssumptions" textlink="">
      <xdr:nvSpPr>
        <xdr:cNvPr id="6" name="Rectangle 5"/>
        <xdr:cNvSpPr/>
      </xdr:nvSpPr>
      <xdr:spPr>
        <a:xfrm>
          <a:off x="9260417" y="1217083"/>
          <a:ext cx="1746250" cy="444500"/>
        </a:xfrm>
        <a:prstGeom prst="rect">
          <a:avLst/>
        </a:prstGeom>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US" sz="1200" b="1">
              <a:solidFill>
                <a:schemeClr val="tx1"/>
              </a:solidFill>
            </a:rPr>
            <a:t>View</a:t>
          </a:r>
          <a:r>
            <a:rPr lang="en-US" sz="1200" b="1" baseline="0">
              <a:solidFill>
                <a:schemeClr val="tx1"/>
              </a:solidFill>
            </a:rPr>
            <a:t> Equipment </a:t>
          </a:r>
          <a:r>
            <a:rPr lang="en-US" sz="1200" b="1">
              <a:solidFill>
                <a:schemeClr val="tx1"/>
              </a:solidFill>
            </a:rPr>
            <a:t>Assumptions</a:t>
          </a:r>
        </a:p>
      </xdr:txBody>
    </xdr:sp>
    <xdr:clientData/>
  </xdr:twoCellAnchor>
  <xdr:twoCellAnchor>
    <xdr:from>
      <xdr:col>18</xdr:col>
      <xdr:colOff>613840</xdr:colOff>
      <xdr:row>5</xdr:row>
      <xdr:rowOff>52917</xdr:rowOff>
    </xdr:from>
    <xdr:to>
      <xdr:col>20</xdr:col>
      <xdr:colOff>412756</xdr:colOff>
      <xdr:row>8</xdr:row>
      <xdr:rowOff>148166</xdr:rowOff>
    </xdr:to>
    <xdr:sp macro="" textlink="">
      <xdr:nvSpPr>
        <xdr:cNvPr id="7" name="Right Arrow 6">
          <a:hlinkClick xmlns:r="http://schemas.openxmlformats.org/officeDocument/2006/relationships" r:id="rId1"/>
        </xdr:cNvPr>
        <xdr:cNvSpPr/>
      </xdr:nvSpPr>
      <xdr:spPr>
        <a:xfrm>
          <a:off x="11726340" y="963084"/>
          <a:ext cx="1354666" cy="666749"/>
        </a:xfrm>
        <a:prstGeom prst="rightArrow">
          <a:avLst/>
        </a:prstGeom>
        <a:solidFill>
          <a:srgbClr val="FFC000"/>
        </a:solidFill>
        <a:scene3d>
          <a:camera prst="orthographicFront"/>
          <a:lightRig rig="threePt" dir="t"/>
        </a:scene3d>
        <a:sp3d>
          <a:bevelT/>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b="1">
              <a:solidFill>
                <a:schemeClr val="tx1"/>
              </a:solidFill>
            </a:rPr>
            <a:t>GHG Results</a:t>
          </a:r>
        </a:p>
      </xdr:txBody>
    </xdr:sp>
    <xdr:clientData/>
  </xdr:twoCellAnchor>
  <xdr:twoCellAnchor>
    <xdr:from>
      <xdr:col>18</xdr:col>
      <xdr:colOff>148172</xdr:colOff>
      <xdr:row>7</xdr:row>
      <xdr:rowOff>148163</xdr:rowOff>
    </xdr:from>
    <xdr:to>
      <xdr:col>20</xdr:col>
      <xdr:colOff>6</xdr:colOff>
      <xdr:row>10</xdr:row>
      <xdr:rowOff>126996</xdr:rowOff>
    </xdr:to>
    <xdr:sp macro="" textlink="">
      <xdr:nvSpPr>
        <xdr:cNvPr id="8" name="Left Arrow 7">
          <a:hlinkClick xmlns:r="http://schemas.openxmlformats.org/officeDocument/2006/relationships" r:id="rId2"/>
        </xdr:cNvPr>
        <xdr:cNvSpPr/>
      </xdr:nvSpPr>
      <xdr:spPr>
        <a:xfrm>
          <a:off x="11260672" y="1386413"/>
          <a:ext cx="1407584" cy="698500"/>
        </a:xfrm>
        <a:prstGeom prst="leftArrow">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Method Selection</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640080</xdr:colOff>
          <xdr:row>6</xdr:row>
          <xdr:rowOff>198120</xdr:rowOff>
        </xdr:from>
        <xdr:to>
          <xdr:col>2</xdr:col>
          <xdr:colOff>1036320</xdr:colOff>
          <xdr:row>7</xdr:row>
          <xdr:rowOff>198120</xdr:rowOff>
        </xdr:to>
        <xdr:sp macro="" textlink="">
          <xdr:nvSpPr>
            <xdr:cNvPr id="11298" name="Option Button 34" hidden="1">
              <a:extLst>
                <a:ext uri="{63B3BB69-23CF-44E3-9099-C40C66FF867C}">
                  <a14:compatExt spid="_x0000_s11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647700</xdr:colOff>
          <xdr:row>7</xdr:row>
          <xdr:rowOff>198120</xdr:rowOff>
        </xdr:from>
        <xdr:to>
          <xdr:col>2</xdr:col>
          <xdr:colOff>1051560</xdr:colOff>
          <xdr:row>8</xdr:row>
          <xdr:rowOff>198120</xdr:rowOff>
        </xdr:to>
        <xdr:sp macro="" textlink="">
          <xdr:nvSpPr>
            <xdr:cNvPr id="11300" name="Option Button 36" hidden="1">
              <a:extLst>
                <a:ext uri="{63B3BB69-23CF-44E3-9099-C40C66FF867C}">
                  <a14:compatExt spid="_x0000_s11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xdr:twoCellAnchor>
    <xdr:from>
      <xdr:col>6</xdr:col>
      <xdr:colOff>359832</xdr:colOff>
      <xdr:row>6</xdr:row>
      <xdr:rowOff>10586</xdr:rowOff>
    </xdr:from>
    <xdr:to>
      <xdr:col>7</xdr:col>
      <xdr:colOff>391583</xdr:colOff>
      <xdr:row>8</xdr:row>
      <xdr:rowOff>105834</xdr:rowOff>
    </xdr:to>
    <xdr:sp macro="" textlink="">
      <xdr:nvSpPr>
        <xdr:cNvPr id="4" name="Right Arrow 3">
          <a:hlinkClick xmlns:r="http://schemas.openxmlformats.org/officeDocument/2006/relationships" r:id="rId1"/>
        </xdr:cNvPr>
        <xdr:cNvSpPr/>
      </xdr:nvSpPr>
      <xdr:spPr>
        <a:xfrm>
          <a:off x="8519582" y="1100669"/>
          <a:ext cx="1291168" cy="539748"/>
        </a:xfrm>
        <a:prstGeom prst="rightArrow">
          <a:avLst/>
        </a:prstGeom>
        <a:solidFill>
          <a:srgbClr val="FFC000"/>
        </a:solidFill>
        <a:scene3d>
          <a:camera prst="orthographicFront"/>
          <a:lightRig rig="threePt" dir="t"/>
        </a:scene3d>
        <a:sp3d>
          <a:bevelT/>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b="1">
              <a:solidFill>
                <a:schemeClr val="tx1"/>
              </a:solidFill>
            </a:rPr>
            <a:t>GHG Results</a:t>
          </a:r>
        </a:p>
      </xdr:txBody>
    </xdr:sp>
    <xdr:clientData/>
  </xdr:twoCellAnchor>
  <xdr:twoCellAnchor>
    <xdr:from>
      <xdr:col>5</xdr:col>
      <xdr:colOff>52915</xdr:colOff>
      <xdr:row>6</xdr:row>
      <xdr:rowOff>10583</xdr:rowOff>
    </xdr:from>
    <xdr:to>
      <xdr:col>6</xdr:col>
      <xdr:colOff>232833</xdr:colOff>
      <xdr:row>8</xdr:row>
      <xdr:rowOff>116417</xdr:rowOff>
    </xdr:to>
    <xdr:sp macro="" textlink="">
      <xdr:nvSpPr>
        <xdr:cNvPr id="5" name="Left Arrow 4">
          <a:hlinkClick xmlns:r="http://schemas.openxmlformats.org/officeDocument/2006/relationships" r:id="rId2"/>
        </xdr:cNvPr>
        <xdr:cNvSpPr/>
      </xdr:nvSpPr>
      <xdr:spPr>
        <a:xfrm>
          <a:off x="7037915" y="1100666"/>
          <a:ext cx="1354668" cy="550334"/>
        </a:xfrm>
        <a:prstGeom prst="leftArrow">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Method Selection</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1555751</xdr:colOff>
      <xdr:row>6</xdr:row>
      <xdr:rowOff>10583</xdr:rowOff>
    </xdr:from>
    <xdr:to>
      <xdr:col>4</xdr:col>
      <xdr:colOff>2825750</xdr:colOff>
      <xdr:row>8</xdr:row>
      <xdr:rowOff>201083</xdr:rowOff>
    </xdr:to>
    <xdr:sp macro="" textlink="">
      <xdr:nvSpPr>
        <xdr:cNvPr id="2" name="Right Arrow 1">
          <a:hlinkClick xmlns:r="http://schemas.openxmlformats.org/officeDocument/2006/relationships" r:id="rId1"/>
        </xdr:cNvPr>
        <xdr:cNvSpPr/>
      </xdr:nvSpPr>
      <xdr:spPr>
        <a:xfrm>
          <a:off x="5725584" y="1111250"/>
          <a:ext cx="1269999" cy="582083"/>
        </a:xfrm>
        <a:prstGeom prst="rightArrow">
          <a:avLst/>
        </a:prstGeom>
        <a:solidFill>
          <a:srgbClr val="FFC000"/>
        </a:solidFill>
        <a:scene3d>
          <a:camera prst="orthographicFront"/>
          <a:lightRig rig="threePt" dir="t"/>
        </a:scene3d>
        <a:sp3d>
          <a:bevelT/>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b="1">
              <a:solidFill>
                <a:schemeClr val="tx1"/>
              </a:solidFill>
            </a:rPr>
            <a:t>GHG Results</a:t>
          </a:r>
        </a:p>
      </xdr:txBody>
    </xdr:sp>
    <xdr:clientData/>
  </xdr:twoCellAnchor>
  <xdr:twoCellAnchor>
    <xdr:from>
      <xdr:col>4</xdr:col>
      <xdr:colOff>105834</xdr:colOff>
      <xdr:row>6</xdr:row>
      <xdr:rowOff>21166</xdr:rowOff>
    </xdr:from>
    <xdr:to>
      <xdr:col>4</xdr:col>
      <xdr:colOff>1471085</xdr:colOff>
      <xdr:row>8</xdr:row>
      <xdr:rowOff>201083</xdr:rowOff>
    </xdr:to>
    <xdr:sp macro="" textlink="">
      <xdr:nvSpPr>
        <xdr:cNvPr id="3" name="Left Arrow 2">
          <a:hlinkClick xmlns:r="http://schemas.openxmlformats.org/officeDocument/2006/relationships" r:id="rId2"/>
        </xdr:cNvPr>
        <xdr:cNvSpPr/>
      </xdr:nvSpPr>
      <xdr:spPr>
        <a:xfrm>
          <a:off x="4275667" y="1121833"/>
          <a:ext cx="1365251" cy="571500"/>
        </a:xfrm>
        <a:prstGeom prst="leftArrow">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Method Selection</a:t>
          </a: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388620</xdr:colOff>
          <xdr:row>6</xdr:row>
          <xdr:rowOff>251460</xdr:rowOff>
        </xdr:from>
        <xdr:to>
          <xdr:col>2</xdr:col>
          <xdr:colOff>556260</xdr:colOff>
          <xdr:row>7</xdr:row>
          <xdr:rowOff>213360</xdr:rowOff>
        </xdr:to>
        <xdr:sp macro="" textlink="">
          <xdr:nvSpPr>
            <xdr:cNvPr id="56341" name="Option Button 21" hidden="1">
              <a:extLst>
                <a:ext uri="{63B3BB69-23CF-44E3-9099-C40C66FF867C}">
                  <a14:compatExt spid="_x0000_s563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MATERIAL BALANCE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388620</xdr:colOff>
          <xdr:row>8</xdr:row>
          <xdr:rowOff>0</xdr:rowOff>
        </xdr:from>
        <xdr:to>
          <xdr:col>2</xdr:col>
          <xdr:colOff>899160</xdr:colOff>
          <xdr:row>8</xdr:row>
          <xdr:rowOff>213360</xdr:rowOff>
        </xdr:to>
        <xdr:sp macro="" textlink="">
          <xdr:nvSpPr>
            <xdr:cNvPr id="56342" name="Option Button 22" hidden="1">
              <a:extLst>
                <a:ext uri="{63B3BB69-23CF-44E3-9099-C40C66FF867C}">
                  <a14:compatExt spid="_x0000_s563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DEFAULT METHODOLOGY</a:t>
              </a:r>
            </a:p>
          </xdr:txBody>
        </xdr:sp>
        <xdr:clientData/>
      </xdr:twoCellAnchor>
    </mc:Choice>
    <mc:Fallback/>
  </mc:AlternateContent>
  <xdr:twoCellAnchor>
    <xdr:from>
      <xdr:col>5</xdr:col>
      <xdr:colOff>349247</xdr:colOff>
      <xdr:row>5</xdr:row>
      <xdr:rowOff>21167</xdr:rowOff>
    </xdr:from>
    <xdr:to>
      <xdr:col>5</xdr:col>
      <xdr:colOff>1418164</xdr:colOff>
      <xdr:row>7</xdr:row>
      <xdr:rowOff>201080</xdr:rowOff>
    </xdr:to>
    <xdr:sp macro="" textlink="">
      <xdr:nvSpPr>
        <xdr:cNvPr id="4" name="Right Arrow 3">
          <a:hlinkClick xmlns:r="http://schemas.openxmlformats.org/officeDocument/2006/relationships" r:id="rId1"/>
        </xdr:cNvPr>
        <xdr:cNvSpPr/>
      </xdr:nvSpPr>
      <xdr:spPr>
        <a:xfrm>
          <a:off x="7408330" y="1037167"/>
          <a:ext cx="1068917" cy="486830"/>
        </a:xfrm>
        <a:prstGeom prst="rightArrow">
          <a:avLst/>
        </a:prstGeom>
        <a:solidFill>
          <a:srgbClr val="FFC000"/>
        </a:solidFill>
        <a:scene3d>
          <a:camera prst="orthographicFront"/>
          <a:lightRig rig="threePt" dir="t"/>
        </a:scene3d>
        <a:sp3d>
          <a:bevelT/>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b="1">
              <a:solidFill>
                <a:schemeClr val="tx1"/>
              </a:solidFill>
            </a:rPr>
            <a:t>GHG Results</a:t>
          </a:r>
        </a:p>
      </xdr:txBody>
    </xdr:sp>
    <xdr:clientData/>
  </xdr:twoCellAnchor>
  <xdr:twoCellAnchor>
    <xdr:from>
      <xdr:col>5</xdr:col>
      <xdr:colOff>52917</xdr:colOff>
      <xdr:row>7</xdr:row>
      <xdr:rowOff>42333</xdr:rowOff>
    </xdr:from>
    <xdr:to>
      <xdr:col>5</xdr:col>
      <xdr:colOff>1111250</xdr:colOff>
      <xdr:row>9</xdr:row>
      <xdr:rowOff>0</xdr:rowOff>
    </xdr:to>
    <xdr:sp macro="" textlink="">
      <xdr:nvSpPr>
        <xdr:cNvPr id="5" name="Left Arrow 4">
          <a:hlinkClick xmlns:r="http://schemas.openxmlformats.org/officeDocument/2006/relationships" r:id="rId2"/>
        </xdr:cNvPr>
        <xdr:cNvSpPr/>
      </xdr:nvSpPr>
      <xdr:spPr>
        <a:xfrm>
          <a:off x="7112000" y="1365250"/>
          <a:ext cx="1058333" cy="465667"/>
        </a:xfrm>
        <a:prstGeom prst="leftArrow">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Methods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423332</xdr:colOff>
      <xdr:row>5</xdr:row>
      <xdr:rowOff>42334</xdr:rowOff>
    </xdr:from>
    <xdr:to>
      <xdr:col>4</xdr:col>
      <xdr:colOff>306916</xdr:colOff>
      <xdr:row>6</xdr:row>
      <xdr:rowOff>402167</xdr:rowOff>
    </xdr:to>
    <xdr:sp macro="[0]!LeaveAssumptionsSS1" textlink="">
      <xdr:nvSpPr>
        <xdr:cNvPr id="2" name="Left Arrow 1"/>
        <xdr:cNvSpPr/>
      </xdr:nvSpPr>
      <xdr:spPr>
        <a:xfrm>
          <a:off x="3831165" y="1132417"/>
          <a:ext cx="1672168" cy="550333"/>
        </a:xfrm>
        <a:prstGeom prst="leftArrow">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bg1"/>
              </a:solidFill>
            </a:rPr>
            <a:t>Simplified Screening 1</a:t>
          </a:r>
        </a:p>
      </xdr:txBody>
    </xdr:sp>
    <xdr:clientData/>
  </xdr:twoCellAnchor>
  <xdr:twoCellAnchor>
    <xdr:from>
      <xdr:col>4</xdr:col>
      <xdr:colOff>465666</xdr:colOff>
      <xdr:row>5</xdr:row>
      <xdr:rowOff>42334</xdr:rowOff>
    </xdr:from>
    <xdr:to>
      <xdr:col>6</xdr:col>
      <xdr:colOff>243416</xdr:colOff>
      <xdr:row>6</xdr:row>
      <xdr:rowOff>402168</xdr:rowOff>
    </xdr:to>
    <xdr:sp macro="[0]!LeaveAssumptionsSS2" textlink="">
      <xdr:nvSpPr>
        <xdr:cNvPr id="3" name="Left Arrow 2"/>
        <xdr:cNvSpPr/>
      </xdr:nvSpPr>
      <xdr:spPr>
        <a:xfrm>
          <a:off x="5662083" y="1132417"/>
          <a:ext cx="1651000" cy="550334"/>
        </a:xfrm>
        <a:prstGeom prst="leftArrow">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bg1"/>
              </a:solidFill>
            </a:rPr>
            <a:t>Simplified Screening 2</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514350</xdr:colOff>
      <xdr:row>8</xdr:row>
      <xdr:rowOff>76199</xdr:rowOff>
    </xdr:from>
    <xdr:to>
      <xdr:col>7</xdr:col>
      <xdr:colOff>19050</xdr:colOff>
      <xdr:row>11</xdr:row>
      <xdr:rowOff>76200</xdr:rowOff>
    </xdr:to>
    <xdr:sp macro="[0]!Module1.LeaveCustomization" textlink="">
      <xdr:nvSpPr>
        <xdr:cNvPr id="3" name="Left Arrow 2"/>
        <xdr:cNvSpPr/>
      </xdr:nvSpPr>
      <xdr:spPr>
        <a:xfrm>
          <a:off x="6877050" y="1133474"/>
          <a:ext cx="1333500" cy="952501"/>
        </a:xfrm>
        <a:prstGeom prst="leftArrow">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bg1"/>
              </a:solidFill>
            </a:rPr>
            <a:t>Simplified Screening 2</a:t>
          </a:r>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60960</xdr:colOff>
          <xdr:row>6</xdr:row>
          <xdr:rowOff>0</xdr:rowOff>
        </xdr:from>
        <xdr:to>
          <xdr:col>3</xdr:col>
          <xdr:colOff>2087880</xdr:colOff>
          <xdr:row>7</xdr:row>
          <xdr:rowOff>45720</xdr:rowOff>
        </xdr:to>
        <xdr:sp macro="" textlink="">
          <xdr:nvSpPr>
            <xdr:cNvPr id="34824" name="Drop Down 8" hidden="1">
              <a:extLst>
                <a:ext uri="{63B3BB69-23CF-44E3-9099-C40C66FF867C}">
                  <a14:compatExt spid="_x0000_s348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285749</xdr:colOff>
      <xdr:row>0</xdr:row>
      <xdr:rowOff>0</xdr:rowOff>
    </xdr:from>
    <xdr:to>
      <xdr:col>9</xdr:col>
      <xdr:colOff>772583</xdr:colOff>
      <xdr:row>2</xdr:row>
      <xdr:rowOff>52916</xdr:rowOff>
    </xdr:to>
    <xdr:sp macro="" textlink="">
      <xdr:nvSpPr>
        <xdr:cNvPr id="8" name="Right Arrow 7">
          <a:hlinkClick xmlns:r="http://schemas.openxmlformats.org/officeDocument/2006/relationships" r:id="rId1"/>
        </xdr:cNvPr>
        <xdr:cNvSpPr/>
      </xdr:nvSpPr>
      <xdr:spPr>
        <a:xfrm>
          <a:off x="5069416" y="0"/>
          <a:ext cx="1439334" cy="582083"/>
        </a:xfrm>
        <a:prstGeom prst="rightArrow">
          <a:avLst/>
        </a:prstGeom>
        <a:solidFill>
          <a:srgbClr val="FFC000"/>
        </a:solidFill>
        <a:scene3d>
          <a:camera prst="orthographicFront"/>
          <a:lightRig rig="threePt" dir="t"/>
        </a:scene3d>
        <a:sp3d>
          <a:bevelT/>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b="1">
              <a:solidFill>
                <a:schemeClr val="tx1"/>
              </a:solidFill>
            </a:rPr>
            <a:t>Facility Breakdown</a:t>
          </a:r>
        </a:p>
      </xdr:txBody>
    </xdr:sp>
    <xdr:clientData/>
  </xdr:twoCellAnchor>
  <xdr:twoCellAnchor>
    <xdr:from>
      <xdr:col>5</xdr:col>
      <xdr:colOff>127000</xdr:colOff>
      <xdr:row>0</xdr:row>
      <xdr:rowOff>10582</xdr:rowOff>
    </xdr:from>
    <xdr:to>
      <xdr:col>7</xdr:col>
      <xdr:colOff>190501</xdr:colOff>
      <xdr:row>2</xdr:row>
      <xdr:rowOff>52916</xdr:rowOff>
    </xdr:to>
    <xdr:sp macro="" textlink="">
      <xdr:nvSpPr>
        <xdr:cNvPr id="9" name="Left Arrow 8">
          <a:hlinkClick xmlns:r="http://schemas.openxmlformats.org/officeDocument/2006/relationships" r:id="rId2"/>
        </xdr:cNvPr>
        <xdr:cNvSpPr/>
      </xdr:nvSpPr>
      <xdr:spPr>
        <a:xfrm>
          <a:off x="3608917" y="10582"/>
          <a:ext cx="1365251" cy="571501"/>
        </a:xfrm>
        <a:prstGeom prst="leftArrow">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Method Selection</a:t>
          </a:r>
        </a:p>
      </xdr:txBody>
    </xdr:sp>
    <xdr:clientData/>
  </xdr:twoCellAnchor>
  <xdr:twoCellAnchor>
    <xdr:from>
      <xdr:col>7</xdr:col>
      <xdr:colOff>0</xdr:colOff>
      <xdr:row>6</xdr:row>
      <xdr:rowOff>0</xdr:rowOff>
    </xdr:from>
    <xdr:to>
      <xdr:col>16</xdr:col>
      <xdr:colOff>0</xdr:colOff>
      <xdr:row>32</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60960</xdr:colOff>
          <xdr:row>5</xdr:row>
          <xdr:rowOff>68580</xdr:rowOff>
        </xdr:from>
        <xdr:to>
          <xdr:col>2</xdr:col>
          <xdr:colOff>1965960</xdr:colOff>
          <xdr:row>6</xdr:row>
          <xdr:rowOff>68580</xdr:rowOff>
        </xdr:to>
        <xdr:sp macro="" textlink="">
          <xdr:nvSpPr>
            <xdr:cNvPr id="82945" name="Drop Down 1" hidden="1">
              <a:extLst>
                <a:ext uri="{63B3BB69-23CF-44E3-9099-C40C66FF867C}">
                  <a14:compatExt spid="_x0000_s829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7</xdr:row>
      <xdr:rowOff>0</xdr:rowOff>
    </xdr:from>
    <xdr:to>
      <xdr:col>10</xdr:col>
      <xdr:colOff>0</xdr:colOff>
      <xdr:row>28</xdr:row>
      <xdr:rowOff>0</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0</xdr:row>
      <xdr:rowOff>11205</xdr:rowOff>
    </xdr:from>
    <xdr:to>
      <xdr:col>8</xdr:col>
      <xdr:colOff>363570</xdr:colOff>
      <xdr:row>2</xdr:row>
      <xdr:rowOff>66612</xdr:rowOff>
    </xdr:to>
    <xdr:sp macro="" textlink="">
      <xdr:nvSpPr>
        <xdr:cNvPr id="4" name="Right Arrow 3">
          <a:hlinkClick xmlns:r="http://schemas.openxmlformats.org/officeDocument/2006/relationships" r:id="rId2"/>
        </xdr:cNvPr>
        <xdr:cNvSpPr/>
      </xdr:nvSpPr>
      <xdr:spPr>
        <a:xfrm>
          <a:off x="6712324" y="11205"/>
          <a:ext cx="1439334" cy="582083"/>
        </a:xfrm>
        <a:prstGeom prst="rightArrow">
          <a:avLst/>
        </a:prstGeom>
        <a:solidFill>
          <a:srgbClr val="FFC000"/>
        </a:solidFill>
        <a:scene3d>
          <a:camera prst="orthographicFront"/>
          <a:lightRig rig="threePt" dir="t"/>
        </a:scene3d>
        <a:sp3d>
          <a:bevelT/>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b="1">
              <a:solidFill>
                <a:schemeClr val="tx1"/>
              </a:solidFill>
            </a:rPr>
            <a:t>FEMP Report</a:t>
          </a:r>
        </a:p>
      </xdr:txBody>
    </xdr:sp>
    <xdr:clientData/>
  </xdr:twoCellAnchor>
  <xdr:twoCellAnchor>
    <xdr:from>
      <xdr:col>5</xdr:col>
      <xdr:colOff>623047</xdr:colOff>
      <xdr:row>0</xdr:row>
      <xdr:rowOff>17927</xdr:rowOff>
    </xdr:from>
    <xdr:to>
      <xdr:col>6</xdr:col>
      <xdr:colOff>986616</xdr:colOff>
      <xdr:row>2</xdr:row>
      <xdr:rowOff>73334</xdr:rowOff>
    </xdr:to>
    <xdr:sp macro="" textlink="">
      <xdr:nvSpPr>
        <xdr:cNvPr id="5" name="Left Arrow 4">
          <a:hlinkClick xmlns:r="http://schemas.openxmlformats.org/officeDocument/2006/relationships" r:id="rId3"/>
        </xdr:cNvPr>
        <xdr:cNvSpPr/>
      </xdr:nvSpPr>
      <xdr:spPr>
        <a:xfrm>
          <a:off x="5183841" y="17927"/>
          <a:ext cx="1439334" cy="582083"/>
        </a:xfrm>
        <a:prstGeom prst="leftArrow">
          <a:avLst/>
        </a:prstGeom>
        <a:solidFill>
          <a:srgbClr val="FFC000"/>
        </a:solidFill>
        <a:scene3d>
          <a:camera prst="orthographicFront"/>
          <a:lightRig rig="threePt" dir="t"/>
        </a:scene3d>
        <a:sp3d>
          <a:bevelT/>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b="1">
              <a:solidFill>
                <a:schemeClr val="tx1"/>
              </a:solidFill>
            </a:rPr>
            <a:t>GHG Emissions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1651001</xdr:colOff>
      <xdr:row>0</xdr:row>
      <xdr:rowOff>10584</xdr:rowOff>
    </xdr:from>
    <xdr:to>
      <xdr:col>5</xdr:col>
      <xdr:colOff>74085</xdr:colOff>
      <xdr:row>2</xdr:row>
      <xdr:rowOff>63500</xdr:rowOff>
    </xdr:to>
    <xdr:sp macro="" textlink="">
      <xdr:nvSpPr>
        <xdr:cNvPr id="2" name="Left Arrow 1">
          <a:hlinkClick xmlns:r="http://schemas.openxmlformats.org/officeDocument/2006/relationships" r:id="rId1"/>
        </xdr:cNvPr>
        <xdr:cNvSpPr/>
      </xdr:nvSpPr>
      <xdr:spPr>
        <a:xfrm>
          <a:off x="3026834" y="10584"/>
          <a:ext cx="1439334" cy="582083"/>
        </a:xfrm>
        <a:prstGeom prst="leftArrow">
          <a:avLst/>
        </a:prstGeom>
        <a:solidFill>
          <a:srgbClr val="FFC000"/>
        </a:solidFill>
        <a:scene3d>
          <a:camera prst="orthographicFront"/>
          <a:lightRig rig="threePt" dir="t"/>
        </a:scene3d>
        <a:sp3d>
          <a:bevelT/>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b="1">
              <a:solidFill>
                <a:schemeClr val="tx1"/>
              </a:solidFill>
            </a:rPr>
            <a:t>Facility Breakdown</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office.microsoft.com/en-us/excel-help/change-macro-security-settings-in-excel-HP010096919.aspx" TargetMode="External"/><Relationship Id="rId1" Type="http://schemas.openxmlformats.org/officeDocument/2006/relationships/hyperlink" Target="http://office.microsoft.com/en-us/excel-help/enable-or-disable-macros-in-office-documents-HA010031071.aspx"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omments" Target="../comments2.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7" Type="http://schemas.openxmlformats.org/officeDocument/2006/relationships/comments" Target="../comments5.xml"/><Relationship Id="rId2" Type="http://schemas.openxmlformats.org/officeDocument/2006/relationships/printerSettings" Target="../printerSettings/printerSettings5.bin"/><Relationship Id="rId1" Type="http://schemas.openxmlformats.org/officeDocument/2006/relationships/hyperlink" Target="http://www.whitehouse.gov/administration/eop/ceq/sustainability/fed-ghg" TargetMode="Externa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openxmlformats.org/officeDocument/2006/relationships/hyperlink" Target="http://www.whitehouse.gov/administration/eop/ceq/sustainability/fed-ghg"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7" Type="http://schemas.openxmlformats.org/officeDocument/2006/relationships/comments" Target="../comments7.xml"/><Relationship Id="rId2" Type="http://schemas.openxmlformats.org/officeDocument/2006/relationships/printerSettings" Target="../printerSettings/printerSettings7.bin"/><Relationship Id="rId1" Type="http://schemas.openxmlformats.org/officeDocument/2006/relationships/hyperlink" Target="http://www.whitehouse.gov/administration/eop/ceq/sustainability/fed-ghg" TargetMode="Externa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9.bin"/><Relationship Id="rId5" Type="http://schemas.openxmlformats.org/officeDocument/2006/relationships/comments" Target="../comments9.xml"/><Relationship Id="rId4" Type="http://schemas.openxmlformats.org/officeDocument/2006/relationships/ctrlProp" Target="../ctrlProps/ctrlProp1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2.xml"/><Relationship Id="rId1" Type="http://schemas.openxmlformats.org/officeDocument/2006/relationships/printerSettings" Target="../printerSettings/printerSettings10.bin"/><Relationship Id="rId5" Type="http://schemas.openxmlformats.org/officeDocument/2006/relationships/comments" Target="../comments10.xml"/><Relationship Id="rId4" Type="http://schemas.openxmlformats.org/officeDocument/2006/relationships/ctrlProp" Target="../ctrlProps/ctrlProp1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8" Type="http://schemas.openxmlformats.org/officeDocument/2006/relationships/hyperlink" Target="http://www.epa.gov/climatechange/emissions/downloads09/GHG-MRR-Full%20Version.pdf" TargetMode="External"/><Relationship Id="rId13" Type="http://schemas.openxmlformats.org/officeDocument/2006/relationships/hyperlink" Target="http://www.epa.gov/climatechange/emissions/downloads09/GHG-MRR-Full%20Version.pdf" TargetMode="External"/><Relationship Id="rId18" Type="http://schemas.openxmlformats.org/officeDocument/2006/relationships/hyperlink" Target="http://www.epa.gov/climatechange/emissions/downloads09/GHG-MRR-Full%20Version.pdf" TargetMode="External"/><Relationship Id="rId26" Type="http://schemas.openxmlformats.org/officeDocument/2006/relationships/hyperlink" Target="http://www.ipcc.ch/publications_and_data/ar4/wg1/en/ch2s2-10-2.html" TargetMode="External"/><Relationship Id="rId39" Type="http://schemas.openxmlformats.org/officeDocument/2006/relationships/vmlDrawing" Target="../drawings/vmlDrawing15.vml"/><Relationship Id="rId3" Type="http://schemas.openxmlformats.org/officeDocument/2006/relationships/hyperlink" Target="http://www.epa.gov/climatechange/emissions/downloads09/GHG-MRR-Full%20Version.pdf" TargetMode="External"/><Relationship Id="rId21" Type="http://schemas.openxmlformats.org/officeDocument/2006/relationships/hyperlink" Target="http://www.ipcc.ch/publications_and_data/ar4/wg1/en/ch2s2-10-2.html" TargetMode="External"/><Relationship Id="rId34" Type="http://schemas.openxmlformats.org/officeDocument/2006/relationships/hyperlink" Target="http://www.ipcc.ch/publications_and_data/ar4/wg1/en/ch2s2-10-2.html" TargetMode="External"/><Relationship Id="rId7" Type="http://schemas.openxmlformats.org/officeDocument/2006/relationships/hyperlink" Target="http://www.epa.gov/climatechange/emissions/downloads09/GHG-MRR-Full%20Version.pdf" TargetMode="External"/><Relationship Id="rId12" Type="http://schemas.openxmlformats.org/officeDocument/2006/relationships/hyperlink" Target="http://www.epa.gov/climatechange/emissions/downloads09/GHG-MRR-Full%20Version.pdf" TargetMode="External"/><Relationship Id="rId17" Type="http://schemas.openxmlformats.org/officeDocument/2006/relationships/hyperlink" Target="http://www.epa.gov/climatechange/emissions/downloads09/GHG-MRR-Full%20Version.pdf" TargetMode="External"/><Relationship Id="rId25" Type="http://schemas.openxmlformats.org/officeDocument/2006/relationships/hyperlink" Target="http://www.ipcc.ch/publications_and_data/ar4/wg1/en/ch2s2-10-2.html" TargetMode="External"/><Relationship Id="rId33" Type="http://schemas.openxmlformats.org/officeDocument/2006/relationships/hyperlink" Target="http://www.ipcc.ch/publications_and_data/ar4/wg1/en/ch2s2-10-2.html" TargetMode="External"/><Relationship Id="rId38" Type="http://schemas.openxmlformats.org/officeDocument/2006/relationships/printerSettings" Target="../printerSettings/printerSettings15.bin"/><Relationship Id="rId2" Type="http://schemas.openxmlformats.org/officeDocument/2006/relationships/hyperlink" Target="http://www.epa.gov/climatechange/emissions/downloads09/GHG-MRR-Full%20Version.pdf" TargetMode="External"/><Relationship Id="rId16" Type="http://schemas.openxmlformats.org/officeDocument/2006/relationships/hyperlink" Target="http://www.epa.gov/climatechange/emissions/downloads09/GHG-MRR-Full%20Version.pdf" TargetMode="External"/><Relationship Id="rId20" Type="http://schemas.openxmlformats.org/officeDocument/2006/relationships/hyperlink" Target="http://www.ipcc.ch/publications_and_data/ar4/wg1/en/ch2s2-10-2.html" TargetMode="External"/><Relationship Id="rId29" Type="http://schemas.openxmlformats.org/officeDocument/2006/relationships/hyperlink" Target="http://www.ipcc.ch/publications_and_data/ar4/wg1/en/ch2s2-10-2.html" TargetMode="External"/><Relationship Id="rId1" Type="http://schemas.openxmlformats.org/officeDocument/2006/relationships/hyperlink" Target="http://www.epa.gov/climatechange/emissions/downloads09/GHG-MRR-Full%20Version.pdf" TargetMode="External"/><Relationship Id="rId6" Type="http://schemas.openxmlformats.org/officeDocument/2006/relationships/hyperlink" Target="http://www.epa.gov/climatechange/emissions/downloads09/GHG-MRR-Full%20Version.pdf" TargetMode="External"/><Relationship Id="rId11" Type="http://schemas.openxmlformats.org/officeDocument/2006/relationships/hyperlink" Target="http://www.epa.gov/climatechange/emissions/downloads09/GHG-MRR-Full%20Version.pdf" TargetMode="External"/><Relationship Id="rId24" Type="http://schemas.openxmlformats.org/officeDocument/2006/relationships/hyperlink" Target="http://www.ipcc.ch/publications_and_data/ar4/wg1/en/ch2s2-10-2.html" TargetMode="External"/><Relationship Id="rId32" Type="http://schemas.openxmlformats.org/officeDocument/2006/relationships/hyperlink" Target="http://www.ipcc.ch/publications_and_data/ar4/wg1/en/ch2s2-10-2.html" TargetMode="External"/><Relationship Id="rId37" Type="http://schemas.openxmlformats.org/officeDocument/2006/relationships/hyperlink" Target="http://www.ghgprotocol.org/files/ghgp/tools/Global%20Warming%20Potentials.pdf" TargetMode="External"/><Relationship Id="rId40" Type="http://schemas.openxmlformats.org/officeDocument/2006/relationships/comments" Target="../comments15.xml"/><Relationship Id="rId5" Type="http://schemas.openxmlformats.org/officeDocument/2006/relationships/hyperlink" Target="http://www.epa.gov/climatechange/emissions/downloads09/GHG-MRR-Full%20Version.pdf" TargetMode="External"/><Relationship Id="rId15" Type="http://schemas.openxmlformats.org/officeDocument/2006/relationships/hyperlink" Target="http://www.epa.gov/climatechange/emissions/downloads09/GHG-MRR-Full%20Version.pdf" TargetMode="External"/><Relationship Id="rId23" Type="http://schemas.openxmlformats.org/officeDocument/2006/relationships/hyperlink" Target="http://www.ipcc.ch/publications_and_data/ar4/wg1/en/ch2s2-10-2.html" TargetMode="External"/><Relationship Id="rId28" Type="http://schemas.openxmlformats.org/officeDocument/2006/relationships/hyperlink" Target="http://www.ipcc.ch/publications_and_data/ar4/wg1/en/ch2s2-10-2.html" TargetMode="External"/><Relationship Id="rId36" Type="http://schemas.openxmlformats.org/officeDocument/2006/relationships/hyperlink" Target="http://www.ipcc.ch/publications_and_data/ar4/wg1/en/ch2s2-10-2.html" TargetMode="External"/><Relationship Id="rId10" Type="http://schemas.openxmlformats.org/officeDocument/2006/relationships/hyperlink" Target="http://www.epa.gov/climatechange/emissions/downloads09/GHG-MRR-Full%20Version.pdf" TargetMode="External"/><Relationship Id="rId19" Type="http://schemas.openxmlformats.org/officeDocument/2006/relationships/hyperlink" Target="http://www.epa.gov/climatechange/emissions/downloads09/GHG-MRR-Full%20Version.pdf" TargetMode="External"/><Relationship Id="rId31" Type="http://schemas.openxmlformats.org/officeDocument/2006/relationships/hyperlink" Target="http://www.ipcc.ch/publications_and_data/ar4/wg1/en/ch2s2-10-2.html" TargetMode="External"/><Relationship Id="rId4" Type="http://schemas.openxmlformats.org/officeDocument/2006/relationships/hyperlink" Target="http://www.epa.gov/climatechange/emissions/downloads09/GHG-MRR-Full%20Version.pdf" TargetMode="External"/><Relationship Id="rId9" Type="http://schemas.openxmlformats.org/officeDocument/2006/relationships/hyperlink" Target="http://www.epa.gov/climatechange/emissions/downloads09/GHG-MRR-Full%20Version.pdf" TargetMode="External"/><Relationship Id="rId14" Type="http://schemas.openxmlformats.org/officeDocument/2006/relationships/hyperlink" Target="http://www.epa.gov/climatechange/emissions/downloads09/GHG-MRR-Full%20Version.pdf" TargetMode="External"/><Relationship Id="rId22" Type="http://schemas.openxmlformats.org/officeDocument/2006/relationships/hyperlink" Target="http://www.ipcc.ch/publications_and_data/ar4/wg1/en/ch2s2-10-2.html" TargetMode="External"/><Relationship Id="rId27" Type="http://schemas.openxmlformats.org/officeDocument/2006/relationships/hyperlink" Target="http://www.ipcc.ch/publications_and_data/ar4/wg1/en/ch2s2-10-2.html" TargetMode="External"/><Relationship Id="rId30" Type="http://schemas.openxmlformats.org/officeDocument/2006/relationships/hyperlink" Target="http://www.ipcc.ch/publications_and_data/ar4/wg1/en/ch2s2-10-2.html" TargetMode="External"/><Relationship Id="rId35" Type="http://schemas.openxmlformats.org/officeDocument/2006/relationships/hyperlink" Target="http://www.ipcc.ch/publications_and_data/ar4/wg1/en/ch2s2-10-2.html" TargetMode="External"/></Relationships>
</file>

<file path=xl/worksheets/_rels/sheet19.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A1:O109"/>
  <sheetViews>
    <sheetView showGridLines="0" showRowColHeaders="0" tabSelected="1" zoomScaleNormal="100" workbookViewId="0"/>
  </sheetViews>
  <sheetFormatPr defaultRowHeight="14.4" x14ac:dyDescent="0.3"/>
  <cols>
    <col min="4" max="4" width="104.44140625" customWidth="1"/>
    <col min="5" max="5" width="0.33203125" customWidth="1"/>
  </cols>
  <sheetData>
    <row r="1" spans="1:15" ht="15" thickBot="1" x14ac:dyDescent="0.35">
      <c r="A1" s="26" t="s">
        <v>129</v>
      </c>
      <c r="B1" s="26"/>
      <c r="C1" s="26"/>
      <c r="D1" s="26"/>
      <c r="E1" s="26"/>
      <c r="F1" s="26"/>
      <c r="G1" s="26"/>
      <c r="H1" s="26"/>
      <c r="I1" s="26"/>
      <c r="J1" s="26"/>
      <c r="K1" s="26"/>
      <c r="L1" s="26"/>
      <c r="M1" s="26"/>
      <c r="N1" s="26"/>
      <c r="O1" s="26"/>
    </row>
    <row r="2" spans="1:15" ht="17.399999999999999" x14ac:dyDescent="0.3">
      <c r="A2" s="26"/>
      <c r="B2" s="529" t="s">
        <v>753</v>
      </c>
      <c r="C2" s="530"/>
      <c r="D2" s="530"/>
      <c r="E2" s="7"/>
      <c r="F2" s="26"/>
      <c r="G2" s="26"/>
      <c r="H2" s="26"/>
      <c r="I2" s="26"/>
      <c r="J2" s="26"/>
      <c r="K2" s="26"/>
      <c r="L2" s="26"/>
      <c r="M2" s="26"/>
      <c r="N2" s="26"/>
      <c r="O2" s="26"/>
    </row>
    <row r="3" spans="1:15" ht="15.75" customHeight="1" x14ac:dyDescent="0.3">
      <c r="A3" s="26"/>
      <c r="B3" s="531" t="s">
        <v>130</v>
      </c>
      <c r="C3" s="532"/>
      <c r="D3" s="8" t="s">
        <v>778</v>
      </c>
      <c r="E3" s="9"/>
      <c r="F3" s="26"/>
      <c r="G3" s="26"/>
      <c r="H3" s="26"/>
      <c r="I3" s="26"/>
      <c r="J3" s="26"/>
      <c r="K3" s="26"/>
      <c r="L3" s="26"/>
      <c r="M3" s="26"/>
      <c r="N3" s="26"/>
      <c r="O3" s="26"/>
    </row>
    <row r="4" spans="1:15" x14ac:dyDescent="0.3">
      <c r="A4" s="26"/>
      <c r="B4" s="533" t="s">
        <v>131</v>
      </c>
      <c r="C4" s="534"/>
      <c r="D4" s="10" t="s">
        <v>804</v>
      </c>
      <c r="E4" s="11"/>
      <c r="F4" s="26"/>
      <c r="G4" s="26"/>
      <c r="H4" s="26"/>
      <c r="I4" s="26"/>
      <c r="J4" s="26"/>
      <c r="K4" s="26"/>
      <c r="L4" s="26"/>
      <c r="M4" s="26"/>
      <c r="N4" s="26"/>
      <c r="O4" s="26"/>
    </row>
    <row r="5" spans="1:15" x14ac:dyDescent="0.3">
      <c r="A5" s="26"/>
      <c r="B5" s="533" t="s">
        <v>132</v>
      </c>
      <c r="C5" s="534"/>
      <c r="D5" s="523">
        <v>42663</v>
      </c>
      <c r="E5" s="11"/>
      <c r="F5" s="26"/>
      <c r="G5" s="26"/>
      <c r="H5" s="26"/>
      <c r="I5" s="26"/>
      <c r="J5" s="26"/>
      <c r="K5" s="26"/>
      <c r="L5" s="26"/>
      <c r="M5" s="26"/>
      <c r="N5" s="26"/>
      <c r="O5" s="26"/>
    </row>
    <row r="6" spans="1:15" x14ac:dyDescent="0.3">
      <c r="A6" s="26"/>
      <c r="B6" s="533" t="s">
        <v>133</v>
      </c>
      <c r="C6" s="534"/>
      <c r="D6" s="12" t="s">
        <v>495</v>
      </c>
      <c r="E6" s="11"/>
      <c r="F6" s="26"/>
      <c r="G6" s="26"/>
      <c r="H6" s="26"/>
      <c r="I6" s="26"/>
      <c r="J6" s="26"/>
      <c r="K6" s="26"/>
      <c r="L6" s="26"/>
      <c r="M6" s="26"/>
      <c r="N6" s="26"/>
      <c r="O6" s="26"/>
    </row>
    <row r="7" spans="1:15" ht="3.75" customHeight="1" thickBot="1" x14ac:dyDescent="0.35">
      <c r="A7" s="26"/>
      <c r="B7" s="527"/>
      <c r="C7" s="528"/>
      <c r="D7" s="27"/>
      <c r="E7" s="13"/>
      <c r="F7" s="26"/>
      <c r="G7" s="26"/>
      <c r="H7" s="26"/>
      <c r="I7" s="26"/>
      <c r="J7" s="26"/>
      <c r="K7" s="26"/>
      <c r="L7" s="26"/>
      <c r="M7" s="26"/>
      <c r="N7" s="26"/>
      <c r="O7" s="26"/>
    </row>
    <row r="8" spans="1:15" ht="15" thickBot="1" x14ac:dyDescent="0.35">
      <c r="A8" s="26"/>
      <c r="B8" s="26"/>
      <c r="C8" s="26"/>
      <c r="D8" s="26"/>
      <c r="E8" s="26"/>
      <c r="F8" s="26"/>
      <c r="G8" s="26"/>
      <c r="H8" s="26"/>
      <c r="I8" s="26"/>
      <c r="J8" s="26"/>
      <c r="K8" s="26"/>
      <c r="L8" s="26"/>
      <c r="M8" s="26"/>
      <c r="N8" s="26"/>
      <c r="O8" s="26"/>
    </row>
    <row r="9" spans="1:15" ht="15.6" x14ac:dyDescent="0.3">
      <c r="A9" s="26"/>
      <c r="B9" s="413" t="s">
        <v>805</v>
      </c>
      <c r="C9" s="14"/>
      <c r="D9" s="100"/>
      <c r="E9" s="15"/>
      <c r="F9" s="26"/>
      <c r="G9" s="26"/>
      <c r="H9" s="26"/>
      <c r="I9" s="26"/>
      <c r="J9" s="26"/>
      <c r="K9" s="26"/>
      <c r="L9" s="26"/>
      <c r="M9" s="26"/>
      <c r="N9" s="26"/>
      <c r="O9" s="26"/>
    </row>
    <row r="10" spans="1:15" x14ac:dyDescent="0.3">
      <c r="A10" s="26"/>
      <c r="B10" s="16" t="s">
        <v>695</v>
      </c>
      <c r="C10" s="17"/>
      <c r="D10" s="11"/>
      <c r="E10" s="18"/>
      <c r="F10" s="26"/>
      <c r="G10" s="26"/>
      <c r="H10" s="26"/>
      <c r="I10" s="26"/>
      <c r="J10" s="26"/>
      <c r="K10" s="26"/>
      <c r="L10" s="26"/>
      <c r="M10" s="26"/>
      <c r="N10" s="26"/>
      <c r="O10" s="26"/>
    </row>
    <row r="11" spans="1:15" s="506" customFormat="1" x14ac:dyDescent="0.3">
      <c r="A11" s="26"/>
      <c r="B11" s="21" t="s">
        <v>134</v>
      </c>
      <c r="C11" s="17"/>
      <c r="D11" s="11"/>
      <c r="E11" s="18"/>
      <c r="F11" s="26"/>
      <c r="G11" s="26"/>
      <c r="H11" s="26"/>
      <c r="I11" s="26"/>
      <c r="J11" s="26"/>
      <c r="K11" s="26"/>
      <c r="L11" s="26"/>
      <c r="M11" s="26"/>
      <c r="N11" s="26"/>
      <c r="O11" s="26"/>
    </row>
    <row r="12" spans="1:15" x14ac:dyDescent="0.3">
      <c r="A12" s="26"/>
      <c r="B12" s="19" t="s">
        <v>406</v>
      </c>
      <c r="C12" s="5"/>
      <c r="D12" s="11"/>
      <c r="E12" s="18"/>
      <c r="F12" s="26"/>
      <c r="G12" s="26"/>
      <c r="H12" s="26"/>
      <c r="I12" s="26"/>
      <c r="J12" s="26"/>
      <c r="K12" s="26"/>
      <c r="L12" s="26"/>
      <c r="M12" s="26"/>
      <c r="N12" s="26"/>
      <c r="O12" s="26"/>
    </row>
    <row r="13" spans="1:15" x14ac:dyDescent="0.3">
      <c r="A13" s="26"/>
      <c r="B13" s="19" t="s">
        <v>407</v>
      </c>
      <c r="C13" s="19"/>
      <c r="D13" s="11"/>
      <c r="E13" s="18"/>
      <c r="F13" s="26"/>
      <c r="G13" s="26"/>
      <c r="H13" s="26"/>
      <c r="I13" s="26"/>
      <c r="J13" s="26"/>
      <c r="K13" s="26"/>
      <c r="L13" s="26"/>
      <c r="M13" s="26"/>
      <c r="N13" s="26"/>
      <c r="O13" s="26"/>
    </row>
    <row r="14" spans="1:15" x14ac:dyDescent="0.3">
      <c r="A14" s="26"/>
      <c r="B14" s="105" t="s">
        <v>449</v>
      </c>
      <c r="C14" s="103"/>
      <c r="D14" s="11"/>
      <c r="E14" s="104"/>
      <c r="F14" s="26"/>
      <c r="G14" s="26"/>
      <c r="H14" s="26"/>
      <c r="I14" s="26"/>
      <c r="J14" s="26"/>
      <c r="K14" s="26"/>
      <c r="L14" s="26"/>
      <c r="M14" s="26"/>
      <c r="N14" s="26"/>
      <c r="O14" s="26"/>
    </row>
    <row r="15" spans="1:15" x14ac:dyDescent="0.3">
      <c r="A15" s="26"/>
      <c r="B15" s="19" t="s">
        <v>408</v>
      </c>
      <c r="C15" s="5"/>
      <c r="D15" s="11"/>
      <c r="E15" s="18"/>
      <c r="F15" s="26"/>
      <c r="G15" s="26"/>
      <c r="H15" s="26"/>
      <c r="I15" s="26"/>
      <c r="J15" s="26"/>
      <c r="K15" s="26"/>
      <c r="L15" s="26"/>
      <c r="M15" s="26"/>
      <c r="N15" s="26"/>
      <c r="O15" s="26"/>
    </row>
    <row r="16" spans="1:15" x14ac:dyDescent="0.3">
      <c r="A16" s="26"/>
      <c r="B16" s="105" t="s">
        <v>641</v>
      </c>
      <c r="C16" s="5"/>
      <c r="D16" s="11"/>
      <c r="E16" s="18"/>
      <c r="F16" s="26"/>
      <c r="G16" s="26"/>
      <c r="H16" s="26"/>
      <c r="I16" s="26"/>
      <c r="J16" s="26"/>
      <c r="K16" s="26"/>
      <c r="L16" s="26"/>
      <c r="M16" s="26"/>
      <c r="N16" s="26"/>
      <c r="O16" s="26"/>
    </row>
    <row r="17" spans="1:15" x14ac:dyDescent="0.3">
      <c r="A17" s="26"/>
      <c r="B17" s="19" t="s">
        <v>409</v>
      </c>
      <c r="C17" s="5"/>
      <c r="D17" s="11"/>
      <c r="E17" s="18"/>
      <c r="F17" s="26"/>
      <c r="G17" s="26"/>
      <c r="H17" s="26"/>
      <c r="I17" s="26"/>
      <c r="J17" s="26"/>
      <c r="K17" s="26"/>
      <c r="L17" s="26"/>
      <c r="M17" s="26"/>
      <c r="N17" s="26"/>
      <c r="O17" s="26"/>
    </row>
    <row r="18" spans="1:15" x14ac:dyDescent="0.3">
      <c r="A18" s="26"/>
      <c r="B18" s="21" t="s">
        <v>135</v>
      </c>
      <c r="C18" s="6"/>
      <c r="D18" s="11"/>
      <c r="E18" s="18"/>
      <c r="F18" s="26"/>
      <c r="G18" s="26"/>
      <c r="H18" s="26"/>
      <c r="I18" s="26"/>
      <c r="J18" s="26"/>
      <c r="K18" s="26"/>
      <c r="L18" s="26"/>
      <c r="M18" s="26"/>
      <c r="N18" s="26"/>
      <c r="O18" s="26"/>
    </row>
    <row r="19" spans="1:15" x14ac:dyDescent="0.3">
      <c r="A19" s="26"/>
      <c r="B19" s="20"/>
      <c r="C19" s="5" t="s">
        <v>136</v>
      </c>
      <c r="D19" s="11"/>
      <c r="E19" s="18"/>
      <c r="F19" s="26"/>
      <c r="G19" s="26"/>
      <c r="H19" s="26"/>
      <c r="I19" s="26"/>
      <c r="J19" s="26"/>
      <c r="K19" s="26"/>
      <c r="L19" s="26"/>
      <c r="M19" s="26"/>
      <c r="N19" s="26"/>
      <c r="O19" s="26"/>
    </row>
    <row r="20" spans="1:15" x14ac:dyDescent="0.3">
      <c r="A20" s="26"/>
      <c r="B20" s="20"/>
      <c r="C20" s="22"/>
      <c r="D20" s="11" t="s">
        <v>137</v>
      </c>
      <c r="E20" s="18"/>
      <c r="F20" s="26"/>
      <c r="G20" s="26"/>
      <c r="H20" s="26"/>
      <c r="I20" s="26"/>
      <c r="J20" s="26"/>
      <c r="K20" s="26"/>
      <c r="L20" s="26"/>
      <c r="M20" s="26"/>
      <c r="N20" s="26"/>
      <c r="O20" s="26"/>
    </row>
    <row r="21" spans="1:15" x14ac:dyDescent="0.3">
      <c r="A21" s="26"/>
      <c r="B21" s="20"/>
      <c r="C21" s="23"/>
      <c r="D21" s="18" t="s">
        <v>410</v>
      </c>
      <c r="E21" s="18"/>
      <c r="F21" s="26"/>
      <c r="G21" s="26"/>
      <c r="H21" s="26"/>
      <c r="I21" s="26"/>
      <c r="J21" s="26"/>
      <c r="K21" s="26"/>
      <c r="L21" s="26"/>
      <c r="M21" s="26"/>
      <c r="N21" s="26"/>
      <c r="O21" s="26"/>
    </row>
    <row r="22" spans="1:15" x14ac:dyDescent="0.3">
      <c r="A22" s="26"/>
      <c r="B22" s="20"/>
      <c r="C22" s="24"/>
      <c r="D22" s="11" t="s">
        <v>696</v>
      </c>
      <c r="E22" s="18"/>
      <c r="F22" s="26"/>
      <c r="G22" s="26"/>
      <c r="H22" s="26"/>
      <c r="I22" s="26"/>
      <c r="J22" s="26"/>
      <c r="K22" s="26"/>
      <c r="L22" s="26"/>
      <c r="M22" s="26"/>
      <c r="N22" s="26"/>
      <c r="O22" s="26"/>
    </row>
    <row r="23" spans="1:15" x14ac:dyDescent="0.3">
      <c r="A23" s="26"/>
      <c r="B23" s="20"/>
      <c r="C23" s="5"/>
      <c r="D23" s="11"/>
      <c r="E23" s="18"/>
      <c r="F23" s="26"/>
      <c r="G23" s="26"/>
      <c r="H23" s="26"/>
      <c r="I23" s="26"/>
      <c r="J23" s="26"/>
      <c r="K23" s="26"/>
      <c r="L23" s="26"/>
      <c r="M23" s="26"/>
      <c r="N23" s="26"/>
      <c r="O23" s="26"/>
    </row>
    <row r="24" spans="1:15" x14ac:dyDescent="0.3">
      <c r="A24" s="26"/>
      <c r="B24" s="373" t="s">
        <v>779</v>
      </c>
      <c r="C24" s="5"/>
      <c r="D24" s="11"/>
      <c r="E24" s="18"/>
      <c r="F24" s="26"/>
      <c r="G24" s="26"/>
      <c r="H24" s="26"/>
      <c r="I24" s="26"/>
      <c r="J24" s="26"/>
      <c r="K24" s="26"/>
      <c r="L24" s="26"/>
      <c r="M24" s="26"/>
      <c r="N24" s="26"/>
      <c r="O24" s="26"/>
    </row>
    <row r="25" spans="1:15" x14ac:dyDescent="0.3">
      <c r="A25" s="26"/>
      <c r="B25" s="373" t="s">
        <v>780</v>
      </c>
      <c r="C25" s="5"/>
      <c r="D25" s="11"/>
      <c r="E25" s="18"/>
      <c r="F25" s="26"/>
      <c r="G25" s="26"/>
      <c r="H25" s="26"/>
      <c r="I25" s="26"/>
      <c r="J25" s="26"/>
      <c r="K25" s="26"/>
      <c r="L25" s="26"/>
      <c r="M25" s="26"/>
      <c r="N25" s="26"/>
      <c r="O25" s="26"/>
    </row>
    <row r="26" spans="1:15" s="506" customFormat="1" x14ac:dyDescent="0.3">
      <c r="A26" s="26"/>
      <c r="B26" s="21" t="s">
        <v>806</v>
      </c>
      <c r="C26" s="5"/>
      <c r="D26" s="11"/>
      <c r="E26" s="18"/>
      <c r="F26" s="26"/>
      <c r="G26" s="26"/>
      <c r="H26" s="26"/>
      <c r="I26" s="26"/>
      <c r="J26" s="26"/>
      <c r="K26" s="26"/>
      <c r="L26" s="26"/>
      <c r="M26" s="26"/>
      <c r="N26" s="26"/>
      <c r="O26" s="26"/>
    </row>
    <row r="27" spans="1:15" s="506" customFormat="1" x14ac:dyDescent="0.3">
      <c r="A27" s="26"/>
      <c r="B27" s="19" t="s">
        <v>812</v>
      </c>
      <c r="C27" s="5"/>
      <c r="D27" s="11"/>
      <c r="E27" s="18"/>
      <c r="F27" s="26"/>
      <c r="G27" s="26"/>
      <c r="H27" s="26"/>
      <c r="I27" s="26"/>
      <c r="J27" s="26"/>
      <c r="K27" s="26"/>
      <c r="L27" s="26"/>
      <c r="M27" s="26"/>
      <c r="N27" s="26"/>
      <c r="O27" s="26"/>
    </row>
    <row r="28" spans="1:15" s="506" customFormat="1" x14ac:dyDescent="0.3">
      <c r="A28" s="26"/>
      <c r="B28" s="521" t="s">
        <v>813</v>
      </c>
      <c r="C28" s="5"/>
      <c r="D28" s="11"/>
      <c r="E28" s="18"/>
      <c r="F28" s="26"/>
      <c r="G28" s="26"/>
      <c r="H28" s="26"/>
      <c r="I28" s="26"/>
      <c r="J28" s="26"/>
      <c r="K28" s="26"/>
      <c r="L28" s="26"/>
      <c r="M28" s="26"/>
      <c r="N28" s="26"/>
      <c r="O28" s="26"/>
    </row>
    <row r="29" spans="1:15" s="506" customFormat="1" x14ac:dyDescent="0.3">
      <c r="A29" s="26"/>
      <c r="B29" s="521" t="s">
        <v>814</v>
      </c>
      <c r="C29" s="5"/>
      <c r="D29" s="11"/>
      <c r="E29" s="18"/>
      <c r="F29" s="26"/>
      <c r="G29" s="26"/>
      <c r="H29" s="26"/>
      <c r="I29" s="26"/>
      <c r="J29" s="26"/>
      <c r="K29" s="26"/>
      <c r="L29" s="26"/>
      <c r="M29" s="26"/>
      <c r="N29" s="26"/>
      <c r="O29" s="26"/>
    </row>
    <row r="30" spans="1:15" x14ac:dyDescent="0.3">
      <c r="A30" s="26"/>
      <c r="B30" s="19" t="s">
        <v>807</v>
      </c>
      <c r="C30" s="5"/>
      <c r="D30" s="11"/>
      <c r="E30" s="18"/>
      <c r="F30" s="26"/>
      <c r="G30" s="26"/>
      <c r="H30" s="26"/>
      <c r="I30" s="26"/>
      <c r="J30" s="26"/>
      <c r="K30" s="26"/>
      <c r="L30" s="26"/>
      <c r="M30" s="26"/>
      <c r="N30" s="26"/>
      <c r="O30" s="26"/>
    </row>
    <row r="31" spans="1:15" x14ac:dyDescent="0.3">
      <c r="A31" s="26"/>
      <c r="B31" s="412" t="s">
        <v>691</v>
      </c>
      <c r="C31" s="5"/>
      <c r="D31" s="11"/>
      <c r="E31" s="18"/>
      <c r="F31" s="26"/>
      <c r="G31" s="26"/>
      <c r="H31" s="26"/>
      <c r="I31" s="26"/>
      <c r="J31" s="26"/>
      <c r="K31" s="26"/>
      <c r="L31" s="26"/>
      <c r="M31" s="26"/>
      <c r="N31" s="26"/>
      <c r="O31" s="26"/>
    </row>
    <row r="32" spans="1:15" x14ac:dyDescent="0.3">
      <c r="A32" s="26"/>
      <c r="B32" s="20" t="s">
        <v>692</v>
      </c>
      <c r="C32" s="5"/>
      <c r="D32" s="11"/>
      <c r="E32" s="18"/>
      <c r="F32" s="26"/>
      <c r="G32" s="26"/>
      <c r="H32" s="26"/>
      <c r="I32" s="26"/>
      <c r="J32" s="26"/>
      <c r="K32" s="26"/>
      <c r="L32" s="26"/>
      <c r="M32" s="26"/>
      <c r="N32" s="26"/>
      <c r="O32" s="26"/>
    </row>
    <row r="33" spans="1:15" x14ac:dyDescent="0.3">
      <c r="A33" s="26"/>
      <c r="B33" s="20" t="s">
        <v>693</v>
      </c>
      <c r="C33" s="5"/>
      <c r="D33" s="11"/>
      <c r="E33" s="18"/>
      <c r="F33" s="26"/>
      <c r="G33" s="26"/>
      <c r="H33" s="26"/>
      <c r="I33" s="26"/>
      <c r="J33" s="26"/>
      <c r="K33" s="26"/>
      <c r="L33" s="26"/>
      <c r="M33" s="26"/>
      <c r="N33" s="26"/>
      <c r="O33" s="26"/>
    </row>
    <row r="34" spans="1:15" x14ac:dyDescent="0.3">
      <c r="A34" s="26"/>
      <c r="B34" s="20" t="s">
        <v>694</v>
      </c>
      <c r="C34" s="5"/>
      <c r="D34" s="11"/>
      <c r="E34" s="18"/>
      <c r="F34" s="26"/>
      <c r="G34" s="26"/>
      <c r="H34" s="26"/>
      <c r="I34" s="26"/>
      <c r="J34" s="26"/>
      <c r="K34" s="26"/>
      <c r="L34" s="26"/>
      <c r="M34" s="26"/>
      <c r="N34" s="26"/>
      <c r="O34" s="26"/>
    </row>
    <row r="35" spans="1:15" x14ac:dyDescent="0.3">
      <c r="A35" s="26"/>
      <c r="B35" s="20" t="s">
        <v>717</v>
      </c>
      <c r="C35" s="5"/>
      <c r="D35" s="11"/>
      <c r="E35" s="18"/>
      <c r="F35" s="26"/>
      <c r="G35" s="26"/>
      <c r="H35" s="26"/>
      <c r="I35" s="26"/>
      <c r="J35" s="26"/>
      <c r="K35" s="26"/>
      <c r="L35" s="26"/>
      <c r="M35" s="26"/>
      <c r="N35" s="26"/>
      <c r="O35" s="26"/>
    </row>
    <row r="36" spans="1:15" ht="15" thickBot="1" x14ac:dyDescent="0.35">
      <c r="A36" s="26"/>
      <c r="B36" s="372"/>
      <c r="C36" s="25"/>
      <c r="D36" s="101"/>
      <c r="E36" s="18"/>
      <c r="F36" s="26"/>
      <c r="G36" s="26"/>
      <c r="H36" s="26"/>
      <c r="I36" s="26"/>
      <c r="J36" s="26"/>
      <c r="K36" s="26"/>
      <c r="L36" s="26"/>
      <c r="M36" s="26"/>
      <c r="N36" s="26"/>
      <c r="O36" s="26"/>
    </row>
    <row r="37" spans="1:15" ht="6" customHeight="1" thickBot="1" x14ac:dyDescent="0.35">
      <c r="A37" s="26"/>
      <c r="B37" s="26"/>
      <c r="C37" s="26"/>
      <c r="D37" s="26"/>
      <c r="E37" s="26"/>
      <c r="F37" s="26"/>
      <c r="G37" s="26"/>
      <c r="H37" s="26"/>
      <c r="I37" s="26"/>
      <c r="J37" s="26"/>
      <c r="K37" s="26"/>
      <c r="L37" s="26"/>
      <c r="M37" s="26"/>
      <c r="N37" s="26"/>
      <c r="O37" s="26"/>
    </row>
    <row r="38" spans="1:15" ht="15.6" x14ac:dyDescent="0.3">
      <c r="A38" s="26"/>
      <c r="B38" s="413" t="s">
        <v>697</v>
      </c>
      <c r="C38" s="14"/>
      <c r="D38" s="100"/>
      <c r="E38" s="26"/>
      <c r="F38" s="26"/>
      <c r="G38" s="26"/>
      <c r="H38" s="26"/>
      <c r="I38" s="26"/>
      <c r="J38" s="26"/>
      <c r="K38" s="26"/>
      <c r="L38" s="26"/>
      <c r="M38" s="26"/>
      <c r="N38" s="26"/>
      <c r="O38" s="26"/>
    </row>
    <row r="39" spans="1:15" ht="15.6" x14ac:dyDescent="0.3">
      <c r="A39" s="26"/>
      <c r="B39" s="414" t="s">
        <v>713</v>
      </c>
      <c r="C39" s="17"/>
      <c r="D39" s="11"/>
      <c r="E39" s="26"/>
      <c r="F39" s="26"/>
      <c r="G39" s="26"/>
      <c r="H39" s="26"/>
      <c r="I39" s="26"/>
      <c r="J39" s="26"/>
      <c r="K39" s="26"/>
      <c r="L39" s="26"/>
      <c r="M39" s="26"/>
      <c r="N39" s="26"/>
      <c r="O39" s="26"/>
    </row>
    <row r="40" spans="1:15" x14ac:dyDescent="0.3">
      <c r="A40" s="26"/>
      <c r="B40" s="416" t="s">
        <v>703</v>
      </c>
      <c r="C40" s="17"/>
      <c r="D40" s="11"/>
      <c r="E40" s="26"/>
      <c r="F40" s="26"/>
      <c r="G40" s="26"/>
      <c r="H40" s="26"/>
      <c r="I40" s="26"/>
      <c r="J40" s="26"/>
      <c r="K40" s="26"/>
      <c r="L40" s="26"/>
      <c r="M40" s="26"/>
      <c r="N40" s="26"/>
      <c r="O40" s="26"/>
    </row>
    <row r="41" spans="1:15" x14ac:dyDescent="0.3">
      <c r="A41" s="26"/>
      <c r="B41" s="19" t="s">
        <v>711</v>
      </c>
      <c r="C41" s="5"/>
      <c r="D41" s="11"/>
      <c r="E41" s="26"/>
      <c r="F41" s="26"/>
      <c r="G41" s="26"/>
      <c r="H41" s="26"/>
      <c r="I41" s="26"/>
      <c r="J41" s="26"/>
      <c r="K41" s="26"/>
      <c r="L41" s="26"/>
      <c r="M41" s="26"/>
      <c r="N41" s="26"/>
      <c r="O41" s="26"/>
    </row>
    <row r="42" spans="1:15" ht="21" customHeight="1" x14ac:dyDescent="0.3">
      <c r="A42" s="26"/>
      <c r="B42" s="19"/>
      <c r="C42" s="5"/>
      <c r="D42" s="11"/>
      <c r="E42" s="26"/>
      <c r="F42" s="26"/>
      <c r="G42" s="26"/>
      <c r="H42" s="26"/>
      <c r="I42" s="26"/>
      <c r="J42" s="26"/>
      <c r="K42" s="26"/>
      <c r="L42" s="26"/>
      <c r="M42" s="26"/>
      <c r="N42" s="26"/>
      <c r="O42" s="26"/>
    </row>
    <row r="43" spans="1:15" x14ac:dyDescent="0.3">
      <c r="A43" s="26"/>
      <c r="B43" s="19" t="s">
        <v>712</v>
      </c>
      <c r="C43" s="103"/>
      <c r="D43" s="11"/>
      <c r="E43" s="26"/>
      <c r="F43" s="26"/>
      <c r="G43" s="26"/>
      <c r="H43" s="26"/>
      <c r="I43" s="26"/>
      <c r="J43" s="26"/>
      <c r="K43" s="26"/>
      <c r="L43" s="26"/>
      <c r="M43" s="26"/>
      <c r="N43" s="26"/>
      <c r="O43" s="26"/>
    </row>
    <row r="44" spans="1:15" x14ac:dyDescent="0.3">
      <c r="A44" s="26"/>
      <c r="B44" s="19"/>
      <c r="C44" s="5"/>
      <c r="D44" s="11"/>
      <c r="E44" s="26"/>
      <c r="F44" s="26"/>
      <c r="G44" s="26"/>
      <c r="H44" s="26"/>
      <c r="I44" s="26"/>
      <c r="J44" s="26"/>
      <c r="K44" s="26"/>
      <c r="L44" s="26"/>
      <c r="M44" s="26"/>
      <c r="N44" s="26"/>
      <c r="O44" s="26"/>
    </row>
    <row r="45" spans="1:15" x14ac:dyDescent="0.3">
      <c r="A45" s="26"/>
      <c r="B45" s="19"/>
      <c r="C45" s="5"/>
      <c r="D45" s="11"/>
      <c r="E45" s="26"/>
      <c r="F45" s="26"/>
      <c r="G45" s="26"/>
      <c r="H45" s="26"/>
      <c r="I45" s="26"/>
      <c r="J45" s="26"/>
      <c r="K45" s="26"/>
      <c r="L45" s="26"/>
      <c r="M45" s="26"/>
      <c r="N45" s="26"/>
      <c r="O45" s="26"/>
    </row>
    <row r="46" spans="1:15" x14ac:dyDescent="0.3">
      <c r="A46" s="26"/>
      <c r="B46" s="19"/>
      <c r="C46" s="5"/>
      <c r="D46" s="11"/>
      <c r="E46" s="26"/>
      <c r="F46" s="26"/>
      <c r="G46" s="26"/>
      <c r="H46" s="26"/>
      <c r="I46" s="26"/>
      <c r="J46" s="26"/>
      <c r="K46" s="26"/>
      <c r="L46" s="26"/>
      <c r="M46" s="26"/>
      <c r="N46" s="26"/>
      <c r="O46" s="26"/>
    </row>
    <row r="47" spans="1:15" x14ac:dyDescent="0.3">
      <c r="A47" s="26"/>
      <c r="B47" s="19"/>
      <c r="C47" s="5"/>
      <c r="D47" s="11"/>
      <c r="E47" s="26"/>
      <c r="F47" s="26"/>
      <c r="G47" s="26"/>
      <c r="H47" s="26"/>
      <c r="I47" s="26"/>
      <c r="J47" s="26"/>
      <c r="K47" s="26"/>
      <c r="L47" s="26"/>
      <c r="M47" s="26"/>
      <c r="N47" s="26"/>
      <c r="O47" s="26"/>
    </row>
    <row r="48" spans="1:15" x14ac:dyDescent="0.3">
      <c r="A48" s="26"/>
      <c r="B48" s="19"/>
      <c r="C48" s="5"/>
      <c r="D48" s="11"/>
      <c r="E48" s="26"/>
      <c r="F48" s="26"/>
      <c r="G48" s="26"/>
      <c r="H48" s="26"/>
      <c r="I48" s="26"/>
      <c r="J48" s="26"/>
      <c r="K48" s="26"/>
      <c r="L48" s="26"/>
      <c r="M48" s="26"/>
      <c r="N48" s="26"/>
      <c r="O48" s="26"/>
    </row>
    <row r="49" spans="1:15" x14ac:dyDescent="0.3">
      <c r="A49" s="26"/>
      <c r="B49" s="19"/>
      <c r="C49" s="5"/>
      <c r="D49" s="11"/>
      <c r="E49" s="26"/>
      <c r="F49" s="26"/>
      <c r="G49" s="26"/>
      <c r="H49" s="26"/>
      <c r="I49" s="26"/>
      <c r="J49" s="26"/>
      <c r="K49" s="26"/>
      <c r="L49" s="26"/>
      <c r="M49" s="26"/>
      <c r="N49" s="26"/>
      <c r="O49" s="26"/>
    </row>
    <row r="50" spans="1:15" x14ac:dyDescent="0.3">
      <c r="A50" s="26"/>
      <c r="B50" s="19"/>
      <c r="C50" s="5"/>
      <c r="D50" s="11"/>
      <c r="E50" s="26"/>
      <c r="F50" s="26"/>
      <c r="G50" s="26"/>
      <c r="H50" s="26"/>
      <c r="I50" s="26"/>
      <c r="J50" s="26"/>
      <c r="K50" s="26"/>
      <c r="L50" s="26"/>
      <c r="M50" s="26"/>
      <c r="N50" s="26"/>
      <c r="O50" s="26"/>
    </row>
    <row r="51" spans="1:15" x14ac:dyDescent="0.3">
      <c r="A51" s="26"/>
      <c r="B51" s="19"/>
      <c r="C51" s="5"/>
      <c r="D51" s="11"/>
      <c r="E51" s="26"/>
      <c r="F51" s="26"/>
      <c r="G51" s="26"/>
      <c r="H51" s="26"/>
      <c r="I51" s="26"/>
      <c r="J51" s="26"/>
      <c r="K51" s="26"/>
      <c r="L51" s="26"/>
      <c r="M51" s="26"/>
      <c r="N51" s="26"/>
      <c r="O51" s="26"/>
    </row>
    <row r="52" spans="1:15" x14ac:dyDescent="0.3">
      <c r="A52" s="26"/>
      <c r="B52" s="19"/>
      <c r="C52" s="5"/>
      <c r="D52" s="11"/>
      <c r="E52" s="26"/>
      <c r="F52" s="26"/>
      <c r="G52" s="26"/>
      <c r="H52" s="26"/>
      <c r="I52" s="26"/>
      <c r="J52" s="26"/>
      <c r="K52" s="26"/>
      <c r="L52" s="26"/>
      <c r="M52" s="26"/>
      <c r="N52" s="26"/>
      <c r="O52" s="26"/>
    </row>
    <row r="53" spans="1:15" x14ac:dyDescent="0.3">
      <c r="A53" s="26"/>
      <c r="B53" s="19"/>
      <c r="C53" s="5"/>
      <c r="D53" s="11"/>
      <c r="E53" s="26"/>
      <c r="F53" s="26"/>
      <c r="G53" s="26"/>
      <c r="H53" s="26"/>
      <c r="I53" s="26"/>
      <c r="J53" s="26"/>
      <c r="K53" s="26"/>
      <c r="L53" s="26"/>
      <c r="M53" s="26"/>
      <c r="N53" s="26"/>
      <c r="O53" s="26"/>
    </row>
    <row r="54" spans="1:15" x14ac:dyDescent="0.3">
      <c r="A54" s="26"/>
      <c r="B54" s="19"/>
      <c r="C54" s="5"/>
      <c r="D54" s="11"/>
      <c r="E54" s="26"/>
      <c r="F54" s="26"/>
      <c r="G54" s="26"/>
      <c r="H54" s="26"/>
      <c r="I54" s="26"/>
      <c r="J54" s="26"/>
      <c r="K54" s="26"/>
      <c r="L54" s="26"/>
      <c r="M54" s="26"/>
      <c r="N54" s="26"/>
      <c r="O54" s="26"/>
    </row>
    <row r="55" spans="1:15" x14ac:dyDescent="0.3">
      <c r="A55" s="26"/>
      <c r="B55" s="19"/>
      <c r="C55" s="5"/>
      <c r="D55" s="11"/>
      <c r="E55" s="26"/>
      <c r="F55" s="26"/>
      <c r="G55" s="26"/>
      <c r="H55" s="26"/>
      <c r="I55" s="26"/>
      <c r="J55" s="26"/>
      <c r="K55" s="26"/>
      <c r="L55" s="26"/>
      <c r="M55" s="26"/>
      <c r="N55" s="26"/>
      <c r="O55" s="26"/>
    </row>
    <row r="56" spans="1:15" x14ac:dyDescent="0.3">
      <c r="A56" s="26"/>
      <c r="B56" s="19"/>
      <c r="C56" s="5"/>
      <c r="D56" s="11"/>
      <c r="E56" s="26"/>
      <c r="F56" s="26"/>
      <c r="G56" s="26"/>
      <c r="H56" s="26"/>
      <c r="I56" s="26"/>
      <c r="J56" s="26"/>
      <c r="K56" s="26"/>
      <c r="L56" s="26"/>
      <c r="M56" s="26"/>
      <c r="N56" s="26"/>
      <c r="O56" s="26"/>
    </row>
    <row r="57" spans="1:15" x14ac:dyDescent="0.3">
      <c r="A57" s="26"/>
      <c r="B57" s="19"/>
      <c r="C57" s="5"/>
      <c r="D57" s="11"/>
      <c r="E57" s="26"/>
      <c r="F57" s="26"/>
      <c r="G57" s="26"/>
      <c r="H57" s="26"/>
      <c r="I57" s="26"/>
      <c r="J57" s="26"/>
      <c r="K57" s="26"/>
      <c r="L57" s="26"/>
      <c r="M57" s="26"/>
      <c r="N57" s="26"/>
      <c r="O57" s="26"/>
    </row>
    <row r="58" spans="1:15" x14ac:dyDescent="0.3">
      <c r="A58" s="26"/>
      <c r="B58" s="19"/>
      <c r="C58" s="5"/>
      <c r="D58" s="11"/>
      <c r="E58" s="26"/>
      <c r="F58" s="26"/>
      <c r="G58" s="26"/>
      <c r="H58" s="26"/>
      <c r="I58" s="26"/>
      <c r="J58" s="26"/>
      <c r="K58" s="26"/>
      <c r="L58" s="26"/>
      <c r="M58" s="26"/>
      <c r="N58" s="26"/>
      <c r="O58" s="26"/>
    </row>
    <row r="59" spans="1:15" x14ac:dyDescent="0.3">
      <c r="A59" s="26"/>
      <c r="B59" s="19"/>
      <c r="C59" s="5"/>
      <c r="D59" s="11"/>
      <c r="E59" s="26"/>
      <c r="F59" s="26"/>
      <c r="G59" s="26"/>
      <c r="H59" s="26"/>
      <c r="I59" s="26"/>
      <c r="J59" s="26"/>
      <c r="K59" s="26"/>
      <c r="L59" s="26"/>
      <c r="M59" s="26"/>
      <c r="N59" s="26"/>
      <c r="O59" s="26"/>
    </row>
    <row r="60" spans="1:15" x14ac:dyDescent="0.3">
      <c r="A60" s="26"/>
      <c r="B60" s="19"/>
      <c r="C60" s="5"/>
      <c r="D60" s="11"/>
      <c r="E60" s="26"/>
      <c r="F60" s="26"/>
      <c r="G60" s="26"/>
      <c r="H60" s="26"/>
      <c r="I60" s="26"/>
      <c r="J60" s="26"/>
      <c r="K60" s="26"/>
      <c r="L60" s="26"/>
      <c r="M60" s="26"/>
      <c r="N60" s="26"/>
      <c r="O60" s="26"/>
    </row>
    <row r="61" spans="1:15" x14ac:dyDescent="0.3">
      <c r="A61" s="26"/>
      <c r="B61" s="417" t="s">
        <v>704</v>
      </c>
      <c r="C61" s="5"/>
      <c r="D61" s="11"/>
      <c r="E61" s="26"/>
      <c r="F61" s="26"/>
      <c r="G61" s="26"/>
      <c r="H61" s="26"/>
      <c r="I61" s="26"/>
      <c r="J61" s="26"/>
      <c r="K61" s="26"/>
      <c r="L61" s="26"/>
      <c r="M61" s="26"/>
      <c r="N61" s="26"/>
      <c r="O61" s="26"/>
    </row>
    <row r="62" spans="1:15" x14ac:dyDescent="0.3">
      <c r="A62" s="26"/>
      <c r="B62" s="19" t="s">
        <v>707</v>
      </c>
      <c r="C62" s="5"/>
      <c r="D62" s="11"/>
      <c r="E62" s="26"/>
      <c r="F62" s="26"/>
      <c r="G62" s="26"/>
      <c r="H62" s="26"/>
      <c r="I62" s="26"/>
      <c r="J62" s="26"/>
      <c r="K62" s="26"/>
      <c r="L62" s="26"/>
      <c r="M62" s="26"/>
      <c r="N62" s="26"/>
      <c r="O62" s="26"/>
    </row>
    <row r="63" spans="1:15" ht="20.25" customHeight="1" x14ac:dyDescent="0.3">
      <c r="A63" s="26"/>
      <c r="B63" s="19" t="s">
        <v>710</v>
      </c>
      <c r="C63" s="5"/>
      <c r="D63" s="11"/>
      <c r="E63" s="26"/>
      <c r="F63" s="26"/>
      <c r="G63" s="26"/>
      <c r="H63" s="26"/>
      <c r="I63" s="26"/>
      <c r="J63" s="26"/>
      <c r="K63" s="26"/>
      <c r="L63" s="26"/>
      <c r="M63" s="26"/>
      <c r="N63" s="26"/>
      <c r="O63" s="26"/>
    </row>
    <row r="64" spans="1:15" x14ac:dyDescent="0.3">
      <c r="A64" s="26"/>
      <c r="B64" s="19" t="s">
        <v>708</v>
      </c>
      <c r="C64" s="5"/>
      <c r="D64" s="11"/>
      <c r="E64" s="26"/>
      <c r="F64" s="26"/>
      <c r="G64" s="26"/>
      <c r="H64" s="26"/>
      <c r="I64" s="26"/>
      <c r="J64" s="26"/>
      <c r="K64" s="26"/>
      <c r="L64" s="26"/>
      <c r="M64" s="26"/>
      <c r="N64" s="26"/>
      <c r="O64" s="26"/>
    </row>
    <row r="65" spans="1:15" x14ac:dyDescent="0.3">
      <c r="A65" s="26"/>
      <c r="B65" s="19" t="s">
        <v>709</v>
      </c>
      <c r="C65" s="5"/>
      <c r="D65" s="11"/>
      <c r="E65" s="26"/>
      <c r="F65" s="26"/>
      <c r="G65" s="26"/>
      <c r="H65" s="26"/>
      <c r="I65" s="26"/>
      <c r="J65" s="26"/>
      <c r="K65" s="26"/>
      <c r="L65" s="26"/>
      <c r="M65" s="26"/>
      <c r="N65" s="26"/>
      <c r="O65" s="26"/>
    </row>
    <row r="66" spans="1:15" ht="25.5" customHeight="1" x14ac:dyDescent="0.3">
      <c r="A66" s="26"/>
      <c r="B66" s="535" t="s">
        <v>714</v>
      </c>
      <c r="C66" s="536"/>
      <c r="D66" s="537"/>
      <c r="E66" s="26"/>
      <c r="F66" s="26"/>
      <c r="G66" s="26"/>
      <c r="H66" s="26"/>
      <c r="I66" s="26"/>
      <c r="J66" s="26"/>
      <c r="K66" s="26"/>
      <c r="L66" s="26"/>
      <c r="M66" s="26"/>
      <c r="N66" s="26"/>
      <c r="O66" s="26"/>
    </row>
    <row r="67" spans="1:15" x14ac:dyDescent="0.3">
      <c r="A67" s="26"/>
      <c r="B67" s="19" t="s">
        <v>706</v>
      </c>
      <c r="C67" s="5"/>
      <c r="D67" s="11"/>
      <c r="E67" s="26"/>
      <c r="F67" s="26"/>
      <c r="G67" s="26"/>
      <c r="H67" s="26"/>
      <c r="I67" s="26"/>
      <c r="J67" s="26"/>
      <c r="K67" s="26"/>
      <c r="L67" s="26"/>
      <c r="M67" s="26"/>
      <c r="N67" s="26"/>
      <c r="O67" s="26"/>
    </row>
    <row r="68" spans="1:15" x14ac:dyDescent="0.3">
      <c r="A68" s="26"/>
      <c r="B68" s="415" t="s">
        <v>705</v>
      </c>
      <c r="C68" s="5"/>
      <c r="D68" s="11"/>
      <c r="E68" s="26"/>
      <c r="F68" s="26"/>
      <c r="G68" s="26"/>
      <c r="H68" s="26"/>
      <c r="I68" s="26"/>
      <c r="J68" s="26"/>
      <c r="K68" s="26"/>
      <c r="L68" s="26"/>
      <c r="M68" s="26"/>
      <c r="N68" s="26"/>
      <c r="O68" s="26"/>
    </row>
    <row r="69" spans="1:15" x14ac:dyDescent="0.3">
      <c r="A69" s="26"/>
      <c r="B69" s="19"/>
      <c r="C69" s="5"/>
      <c r="D69" s="11"/>
      <c r="E69" s="26"/>
      <c r="F69" s="26"/>
      <c r="G69" s="26"/>
      <c r="H69" s="26"/>
      <c r="I69" s="26"/>
      <c r="J69" s="26"/>
      <c r="K69" s="26"/>
      <c r="L69" s="26"/>
      <c r="M69" s="26"/>
      <c r="N69" s="26"/>
      <c r="O69" s="26"/>
    </row>
    <row r="70" spans="1:15" ht="15.6" x14ac:dyDescent="0.3">
      <c r="A70" s="26"/>
      <c r="B70" s="414" t="s">
        <v>698</v>
      </c>
      <c r="C70" s="5"/>
      <c r="D70" s="11"/>
      <c r="E70" s="26"/>
      <c r="F70" s="26"/>
      <c r="G70" s="26"/>
      <c r="H70" s="26"/>
      <c r="I70" s="26"/>
      <c r="J70" s="26"/>
      <c r="K70" s="26"/>
      <c r="L70" s="26"/>
      <c r="M70" s="26"/>
      <c r="N70" s="26"/>
      <c r="O70" s="26"/>
    </row>
    <row r="71" spans="1:15" x14ac:dyDescent="0.3">
      <c r="A71" s="26"/>
      <c r="B71" s="20" t="s">
        <v>699</v>
      </c>
      <c r="C71" s="5"/>
      <c r="D71" s="11"/>
      <c r="E71" s="26"/>
      <c r="F71" s="26"/>
      <c r="G71" s="26"/>
      <c r="H71" s="26"/>
      <c r="I71" s="26"/>
      <c r="J71" s="26"/>
      <c r="K71" s="26"/>
      <c r="L71" s="26"/>
      <c r="M71" s="26"/>
      <c r="N71" s="26"/>
      <c r="O71" s="26"/>
    </row>
    <row r="72" spans="1:15" x14ac:dyDescent="0.3">
      <c r="A72" s="26"/>
      <c r="B72" s="20"/>
      <c r="C72" s="5"/>
      <c r="D72" s="11"/>
      <c r="E72" s="26"/>
      <c r="F72" s="26"/>
      <c r="G72" s="26"/>
      <c r="H72" s="26"/>
      <c r="I72" s="26"/>
      <c r="J72" s="26"/>
      <c r="K72" s="26"/>
      <c r="L72" s="26"/>
      <c r="M72" s="26"/>
      <c r="N72" s="26"/>
      <c r="O72" s="26"/>
    </row>
    <row r="73" spans="1:15" x14ac:dyDescent="0.3">
      <c r="A73" s="26"/>
      <c r="B73" s="20"/>
      <c r="C73" s="5"/>
      <c r="D73" s="11"/>
      <c r="E73" s="26"/>
      <c r="F73" s="26"/>
      <c r="G73" s="26"/>
      <c r="H73" s="26"/>
      <c r="I73" s="26"/>
      <c r="J73" s="26"/>
      <c r="K73" s="26"/>
      <c r="L73" s="26"/>
      <c r="M73" s="26"/>
      <c r="N73" s="26"/>
      <c r="O73" s="26"/>
    </row>
    <row r="74" spans="1:15" x14ac:dyDescent="0.3">
      <c r="A74" s="26"/>
      <c r="B74" s="20"/>
      <c r="C74" s="5"/>
      <c r="D74" s="11"/>
      <c r="E74" s="26"/>
      <c r="F74" s="26"/>
      <c r="G74" s="26"/>
      <c r="H74" s="26"/>
      <c r="I74" s="26"/>
      <c r="J74" s="26"/>
      <c r="K74" s="26"/>
      <c r="L74" s="26"/>
      <c r="M74" s="26"/>
      <c r="N74" s="26"/>
      <c r="O74" s="26"/>
    </row>
    <row r="75" spans="1:15" x14ac:dyDescent="0.3">
      <c r="A75" s="26"/>
      <c r="B75" s="20"/>
      <c r="C75" s="5"/>
      <c r="D75" s="11"/>
      <c r="E75" s="26"/>
      <c r="F75" s="26"/>
      <c r="G75" s="26"/>
      <c r="H75" s="26"/>
      <c r="I75" s="26"/>
      <c r="J75" s="26"/>
      <c r="K75" s="26"/>
      <c r="L75" s="26"/>
      <c r="M75" s="26"/>
      <c r="N75" s="26"/>
      <c r="O75" s="26"/>
    </row>
    <row r="76" spans="1:15" x14ac:dyDescent="0.3">
      <c r="A76" s="26"/>
      <c r="B76" s="20"/>
      <c r="C76" s="5"/>
      <c r="D76" s="11"/>
      <c r="E76" s="26"/>
      <c r="F76" s="26"/>
      <c r="G76" s="26"/>
      <c r="H76" s="26"/>
      <c r="I76" s="26"/>
      <c r="J76" s="26"/>
      <c r="K76" s="26"/>
      <c r="L76" s="26"/>
      <c r="M76" s="26"/>
      <c r="N76" s="26"/>
      <c r="O76" s="26"/>
    </row>
    <row r="77" spans="1:15" x14ac:dyDescent="0.3">
      <c r="A77" s="26"/>
      <c r="B77" s="20"/>
      <c r="C77" s="5"/>
      <c r="D77" s="11"/>
      <c r="E77" s="26"/>
      <c r="F77" s="26"/>
      <c r="G77" s="26"/>
      <c r="H77" s="26"/>
      <c r="I77" s="26"/>
      <c r="J77" s="26"/>
      <c r="K77" s="26"/>
      <c r="L77" s="26"/>
      <c r="M77" s="26"/>
      <c r="N77" s="26"/>
      <c r="O77" s="26"/>
    </row>
    <row r="78" spans="1:15" x14ac:dyDescent="0.3">
      <c r="A78" s="26"/>
      <c r="B78" s="20"/>
      <c r="C78" s="5"/>
      <c r="D78" s="11"/>
      <c r="E78" s="26"/>
      <c r="F78" s="26"/>
      <c r="G78" s="26"/>
      <c r="H78" s="26"/>
      <c r="I78" s="26"/>
      <c r="J78" s="26"/>
      <c r="K78" s="26"/>
      <c r="L78" s="26"/>
      <c r="M78" s="26"/>
      <c r="N78" s="26"/>
      <c r="O78" s="26"/>
    </row>
    <row r="79" spans="1:15" x14ac:dyDescent="0.3">
      <c r="A79" s="26"/>
      <c r="B79" s="524" t="s">
        <v>700</v>
      </c>
      <c r="C79" s="525"/>
      <c r="D79" s="526"/>
      <c r="E79" s="26"/>
      <c r="F79" s="26"/>
      <c r="G79" s="26"/>
      <c r="H79" s="26"/>
      <c r="I79" s="26"/>
      <c r="J79" s="26"/>
      <c r="K79" s="26"/>
      <c r="L79" s="26"/>
      <c r="M79" s="26"/>
      <c r="N79" s="26"/>
      <c r="O79" s="26"/>
    </row>
    <row r="80" spans="1:15" x14ac:dyDescent="0.3">
      <c r="A80" s="26"/>
      <c r="B80" s="524"/>
      <c r="C80" s="525"/>
      <c r="D80" s="526"/>
      <c r="E80" s="26"/>
      <c r="F80" s="26"/>
      <c r="G80" s="26"/>
      <c r="H80" s="26"/>
      <c r="I80" s="26"/>
      <c r="J80" s="26"/>
      <c r="K80" s="26"/>
      <c r="L80" s="26"/>
      <c r="M80" s="26"/>
      <c r="N80" s="26"/>
      <c r="O80" s="26"/>
    </row>
    <row r="81" spans="1:15" x14ac:dyDescent="0.3">
      <c r="A81" s="26"/>
      <c r="B81" s="524"/>
      <c r="C81" s="525"/>
      <c r="D81" s="526"/>
      <c r="E81" s="26"/>
      <c r="F81" s="26"/>
      <c r="G81" s="26"/>
      <c r="H81" s="26"/>
      <c r="I81" s="26"/>
      <c r="J81" s="26"/>
      <c r="K81" s="26"/>
      <c r="L81" s="26"/>
      <c r="M81" s="26"/>
      <c r="N81" s="26"/>
      <c r="O81" s="26"/>
    </row>
    <row r="82" spans="1:15" x14ac:dyDescent="0.3">
      <c r="A82" s="26"/>
      <c r="B82" s="20" t="s">
        <v>701</v>
      </c>
      <c r="C82" s="5"/>
      <c r="D82" s="11"/>
      <c r="E82" s="26"/>
      <c r="F82" s="26"/>
      <c r="G82" s="26"/>
      <c r="H82" s="26"/>
      <c r="I82" s="26"/>
      <c r="J82" s="26"/>
      <c r="K82" s="26"/>
      <c r="L82" s="26"/>
      <c r="M82" s="26"/>
      <c r="N82" s="26"/>
      <c r="O82" s="26"/>
    </row>
    <row r="83" spans="1:15" x14ac:dyDescent="0.3">
      <c r="A83" s="26"/>
      <c r="B83" s="20" t="s">
        <v>702</v>
      </c>
      <c r="C83" s="5"/>
      <c r="D83" s="11"/>
      <c r="E83" s="26"/>
      <c r="F83" s="26"/>
      <c r="G83" s="26"/>
      <c r="H83" s="26"/>
      <c r="I83" s="26"/>
      <c r="J83" s="26"/>
      <c r="K83" s="26"/>
      <c r="L83" s="26"/>
      <c r="M83" s="26"/>
      <c r="N83" s="26"/>
      <c r="O83" s="26"/>
    </row>
    <row r="84" spans="1:15" x14ac:dyDescent="0.3">
      <c r="A84" s="26"/>
      <c r="B84" s="20"/>
      <c r="C84" s="5"/>
      <c r="D84" s="11"/>
      <c r="E84" s="26"/>
      <c r="F84" s="26"/>
      <c r="G84" s="26"/>
      <c r="H84" s="26"/>
      <c r="I84" s="26"/>
      <c r="J84" s="26"/>
      <c r="K84" s="26"/>
      <c r="L84" s="26"/>
      <c r="M84" s="26"/>
      <c r="N84" s="26"/>
      <c r="O84" s="26"/>
    </row>
    <row r="85" spans="1:15" x14ac:dyDescent="0.3">
      <c r="A85" s="26"/>
      <c r="B85" s="19" t="s">
        <v>716</v>
      </c>
      <c r="C85" s="5"/>
      <c r="D85" s="11"/>
      <c r="E85" s="26"/>
      <c r="F85" s="26"/>
      <c r="G85" s="26"/>
      <c r="H85" s="26"/>
      <c r="I85" s="26"/>
      <c r="J85" s="26"/>
      <c r="K85" s="26"/>
      <c r="L85" s="26"/>
      <c r="M85" s="26"/>
      <c r="N85" s="26"/>
      <c r="O85" s="26"/>
    </row>
    <row r="86" spans="1:15" x14ac:dyDescent="0.3">
      <c r="A86" s="26"/>
      <c r="B86" s="415" t="s">
        <v>715</v>
      </c>
      <c r="C86" s="5"/>
      <c r="D86" s="11"/>
      <c r="E86" s="26"/>
      <c r="F86" s="26"/>
      <c r="G86" s="26"/>
      <c r="H86" s="26"/>
      <c r="I86" s="26"/>
      <c r="J86" s="26"/>
      <c r="K86" s="26"/>
      <c r="L86" s="26"/>
      <c r="M86" s="26"/>
      <c r="N86" s="26"/>
      <c r="O86" s="26"/>
    </row>
    <row r="87" spans="1:15" x14ac:dyDescent="0.3">
      <c r="A87" s="26"/>
      <c r="B87" s="20"/>
      <c r="C87" s="5"/>
      <c r="D87" s="11"/>
      <c r="E87" s="26"/>
      <c r="F87" s="26"/>
      <c r="G87" s="26"/>
      <c r="H87" s="26"/>
      <c r="I87" s="26"/>
      <c r="J87" s="26"/>
      <c r="K87" s="26"/>
      <c r="L87" s="26"/>
      <c r="M87" s="26"/>
      <c r="N87" s="26"/>
      <c r="O87" s="26"/>
    </row>
    <row r="88" spans="1:15" x14ac:dyDescent="0.3">
      <c r="A88" s="26"/>
      <c r="B88" s="20"/>
      <c r="C88" s="5"/>
      <c r="D88" s="11"/>
      <c r="E88" s="26"/>
      <c r="F88" s="26"/>
      <c r="G88" s="26"/>
      <c r="H88" s="26"/>
      <c r="I88" s="26"/>
      <c r="J88" s="26"/>
      <c r="K88" s="26"/>
      <c r="L88" s="26"/>
      <c r="M88" s="26"/>
      <c r="N88" s="26"/>
      <c r="O88" s="26"/>
    </row>
    <row r="89" spans="1:15" x14ac:dyDescent="0.3">
      <c r="A89" s="26"/>
      <c r="B89" s="20"/>
      <c r="C89" s="5"/>
      <c r="D89" s="11"/>
      <c r="E89" s="26"/>
      <c r="F89" s="26"/>
      <c r="G89" s="26"/>
      <c r="H89" s="26"/>
      <c r="I89" s="26"/>
      <c r="J89" s="26"/>
      <c r="K89" s="26"/>
      <c r="L89" s="26"/>
      <c r="M89" s="26"/>
      <c r="N89" s="26"/>
      <c r="O89" s="26"/>
    </row>
    <row r="90" spans="1:15" x14ac:dyDescent="0.3">
      <c r="A90" s="26"/>
      <c r="B90" s="20"/>
      <c r="C90" s="5"/>
      <c r="D90" s="11"/>
      <c r="E90" s="26"/>
      <c r="F90" s="26"/>
      <c r="G90" s="26"/>
      <c r="H90" s="26"/>
      <c r="I90" s="26"/>
      <c r="J90" s="26"/>
      <c r="K90" s="26"/>
      <c r="L90" s="26"/>
      <c r="M90" s="26"/>
      <c r="N90" s="26"/>
      <c r="O90" s="26"/>
    </row>
    <row r="91" spans="1:15" x14ac:dyDescent="0.3">
      <c r="A91" s="26"/>
      <c r="B91" s="20"/>
      <c r="C91" s="5"/>
      <c r="D91" s="11"/>
      <c r="E91" s="26"/>
      <c r="F91" s="26"/>
      <c r="G91" s="26"/>
      <c r="H91" s="26"/>
      <c r="I91" s="26"/>
      <c r="J91" s="26"/>
      <c r="K91" s="26"/>
      <c r="L91" s="26"/>
      <c r="M91" s="26"/>
      <c r="N91" s="26"/>
      <c r="O91" s="26"/>
    </row>
    <row r="92" spans="1:15" x14ac:dyDescent="0.3">
      <c r="A92" s="26"/>
      <c r="B92" s="20"/>
      <c r="C92" s="5"/>
      <c r="D92" s="11"/>
      <c r="E92" s="26"/>
      <c r="F92" s="26"/>
      <c r="G92" s="26"/>
      <c r="H92" s="26"/>
      <c r="I92" s="26"/>
      <c r="J92" s="26"/>
      <c r="K92" s="26"/>
      <c r="L92" s="26"/>
      <c r="M92" s="26"/>
      <c r="N92" s="26"/>
      <c r="O92" s="26"/>
    </row>
    <row r="93" spans="1:15" x14ac:dyDescent="0.3">
      <c r="A93" s="26"/>
      <c r="B93" s="20"/>
      <c r="C93" s="5"/>
      <c r="D93" s="11"/>
      <c r="E93" s="26"/>
      <c r="F93" s="26"/>
      <c r="G93" s="26"/>
      <c r="H93" s="26"/>
      <c r="I93" s="26"/>
      <c r="J93" s="26"/>
      <c r="K93" s="26"/>
      <c r="L93" s="26"/>
      <c r="M93" s="26"/>
      <c r="N93" s="26"/>
      <c r="O93" s="26"/>
    </row>
    <row r="94" spans="1:15" x14ac:dyDescent="0.3">
      <c r="A94" s="26"/>
      <c r="B94" s="20"/>
      <c r="C94" s="5"/>
      <c r="D94" s="11"/>
      <c r="E94" s="26"/>
      <c r="F94" s="26"/>
      <c r="G94" s="26"/>
      <c r="H94" s="26"/>
      <c r="I94" s="26"/>
      <c r="J94" s="26"/>
      <c r="K94" s="26"/>
      <c r="L94" s="26"/>
      <c r="M94" s="26"/>
      <c r="N94" s="26"/>
      <c r="O94" s="26"/>
    </row>
    <row r="95" spans="1:15" ht="15" thickBot="1" x14ac:dyDescent="0.35">
      <c r="A95" s="26"/>
      <c r="B95" s="372"/>
      <c r="C95" s="25"/>
      <c r="D95" s="101"/>
      <c r="E95" s="26"/>
      <c r="F95" s="26"/>
      <c r="G95" s="26"/>
      <c r="H95" s="26"/>
      <c r="I95" s="26"/>
      <c r="J95" s="26"/>
      <c r="K95" s="26"/>
      <c r="L95" s="26"/>
      <c r="M95" s="26"/>
      <c r="N95" s="26"/>
      <c r="O95" s="26"/>
    </row>
    <row r="96" spans="1:15" x14ac:dyDescent="0.3">
      <c r="A96" s="26"/>
      <c r="B96" s="26"/>
      <c r="C96" s="26"/>
      <c r="D96" s="26"/>
      <c r="E96" s="26"/>
      <c r="F96" s="26"/>
      <c r="G96" s="26"/>
      <c r="H96" s="26"/>
      <c r="I96" s="26"/>
      <c r="J96" s="26"/>
      <c r="K96" s="26"/>
      <c r="L96" s="26"/>
      <c r="M96" s="26"/>
      <c r="N96" s="26"/>
      <c r="O96" s="26"/>
    </row>
    <row r="97" spans="1:15" x14ac:dyDescent="0.3">
      <c r="A97" s="26"/>
      <c r="B97" s="26"/>
      <c r="C97" s="26"/>
      <c r="D97" s="26"/>
      <c r="E97" s="26"/>
      <c r="F97" s="26"/>
      <c r="G97" s="26"/>
      <c r="H97" s="26"/>
      <c r="I97" s="26"/>
      <c r="J97" s="26"/>
      <c r="K97" s="26"/>
      <c r="L97" s="26"/>
      <c r="M97" s="26"/>
      <c r="N97" s="26"/>
      <c r="O97" s="26"/>
    </row>
    <row r="98" spans="1:15" x14ac:dyDescent="0.3">
      <c r="A98" s="26"/>
      <c r="B98" s="26"/>
      <c r="C98" s="26"/>
      <c r="D98" s="26"/>
      <c r="E98" s="26"/>
      <c r="F98" s="26"/>
      <c r="G98" s="26"/>
      <c r="H98" s="26"/>
      <c r="I98" s="26"/>
      <c r="J98" s="26"/>
      <c r="K98" s="26"/>
      <c r="L98" s="26"/>
      <c r="M98" s="26"/>
      <c r="N98" s="26"/>
      <c r="O98" s="26"/>
    </row>
    <row r="99" spans="1:15" x14ac:dyDescent="0.3">
      <c r="A99" s="26"/>
      <c r="B99" s="26"/>
      <c r="C99" s="26"/>
      <c r="D99" s="26"/>
      <c r="E99" s="26"/>
      <c r="F99" s="26"/>
      <c r="G99" s="26"/>
      <c r="H99" s="26"/>
      <c r="I99" s="26"/>
      <c r="J99" s="26"/>
      <c r="K99" s="26"/>
      <c r="L99" s="26"/>
      <c r="M99" s="26"/>
      <c r="N99" s="26"/>
      <c r="O99" s="26"/>
    </row>
    <row r="100" spans="1:15" x14ac:dyDescent="0.3">
      <c r="A100" s="26"/>
      <c r="B100" s="26"/>
      <c r="C100" s="26"/>
      <c r="D100" s="26"/>
      <c r="E100" s="26"/>
      <c r="F100" s="26"/>
      <c r="G100" s="26"/>
      <c r="H100" s="26"/>
      <c r="I100" s="26"/>
      <c r="J100" s="26"/>
      <c r="K100" s="26"/>
      <c r="L100" s="26"/>
      <c r="M100" s="26"/>
      <c r="N100" s="26"/>
      <c r="O100" s="26"/>
    </row>
    <row r="101" spans="1:15" x14ac:dyDescent="0.3">
      <c r="A101" s="26"/>
      <c r="B101" s="26"/>
      <c r="C101" s="26"/>
      <c r="D101" s="26"/>
      <c r="E101" s="26"/>
      <c r="F101" s="26"/>
      <c r="G101" s="26"/>
      <c r="H101" s="26"/>
      <c r="I101" s="26"/>
      <c r="J101" s="26"/>
      <c r="K101" s="26"/>
      <c r="L101" s="26"/>
      <c r="M101" s="26"/>
      <c r="N101" s="26"/>
      <c r="O101" s="26"/>
    </row>
    <row r="102" spans="1:15" x14ac:dyDescent="0.3">
      <c r="A102" s="26"/>
      <c r="B102" s="26"/>
      <c r="C102" s="26"/>
      <c r="D102" s="26"/>
      <c r="E102" s="26"/>
      <c r="F102" s="26"/>
      <c r="G102" s="26"/>
      <c r="H102" s="26"/>
      <c r="I102" s="26"/>
      <c r="J102" s="26"/>
      <c r="K102" s="26"/>
      <c r="L102" s="26"/>
      <c r="M102" s="26"/>
      <c r="N102" s="26"/>
      <c r="O102" s="26"/>
    </row>
    <row r="103" spans="1:15" x14ac:dyDescent="0.3">
      <c r="A103" s="26"/>
      <c r="B103" s="26"/>
      <c r="C103" s="26"/>
      <c r="D103" s="26"/>
      <c r="E103" s="26"/>
      <c r="F103" s="26"/>
      <c r="G103" s="26"/>
      <c r="H103" s="26"/>
      <c r="I103" s="26"/>
      <c r="J103" s="26"/>
      <c r="K103" s="26"/>
      <c r="L103" s="26"/>
      <c r="M103" s="26"/>
      <c r="N103" s="26"/>
      <c r="O103" s="26"/>
    </row>
    <row r="104" spans="1:15" x14ac:dyDescent="0.3">
      <c r="A104" s="26"/>
      <c r="B104" s="26"/>
      <c r="C104" s="26"/>
      <c r="D104" s="26"/>
      <c r="E104" s="26"/>
      <c r="F104" s="26"/>
      <c r="G104" s="26"/>
      <c r="H104" s="26"/>
      <c r="I104" s="26"/>
      <c r="J104" s="26"/>
      <c r="K104" s="26"/>
      <c r="L104" s="26"/>
      <c r="M104" s="26"/>
      <c r="N104" s="26"/>
      <c r="O104" s="26"/>
    </row>
    <row r="105" spans="1:15" x14ac:dyDescent="0.3">
      <c r="A105" s="26"/>
      <c r="B105" s="26"/>
      <c r="C105" s="26"/>
      <c r="D105" s="26"/>
      <c r="E105" s="26"/>
      <c r="F105" s="26"/>
      <c r="G105" s="26"/>
      <c r="H105" s="26"/>
      <c r="I105" s="26"/>
      <c r="J105" s="26"/>
      <c r="K105" s="26"/>
      <c r="L105" s="26"/>
      <c r="M105" s="26"/>
      <c r="N105" s="26"/>
      <c r="O105" s="26"/>
    </row>
    <row r="106" spans="1:15" x14ac:dyDescent="0.3">
      <c r="A106" s="26"/>
      <c r="B106" s="26"/>
      <c r="C106" s="26"/>
      <c r="D106" s="26"/>
      <c r="E106" s="26"/>
      <c r="F106" s="26"/>
      <c r="G106" s="26"/>
      <c r="H106" s="26"/>
      <c r="I106" s="26"/>
      <c r="J106" s="26"/>
      <c r="K106" s="26"/>
      <c r="L106" s="26"/>
      <c r="M106" s="26"/>
      <c r="N106" s="26"/>
      <c r="O106" s="26"/>
    </row>
    <row r="107" spans="1:15" x14ac:dyDescent="0.3">
      <c r="A107" s="26"/>
      <c r="B107" s="26"/>
      <c r="C107" s="26"/>
      <c r="D107" s="26"/>
      <c r="E107" s="26"/>
      <c r="F107" s="26"/>
      <c r="G107" s="26"/>
      <c r="H107" s="26"/>
      <c r="I107" s="26"/>
      <c r="J107" s="26"/>
      <c r="K107" s="26"/>
      <c r="L107" s="26"/>
      <c r="M107" s="26"/>
      <c r="N107" s="26"/>
      <c r="O107" s="26"/>
    </row>
    <row r="108" spans="1:15" x14ac:dyDescent="0.3">
      <c r="A108" s="26"/>
      <c r="B108" s="26"/>
      <c r="C108" s="26"/>
      <c r="D108" s="26"/>
      <c r="E108" s="26"/>
      <c r="F108" s="26"/>
      <c r="G108" s="26"/>
      <c r="H108" s="26"/>
      <c r="I108" s="26"/>
      <c r="J108" s="26"/>
      <c r="K108" s="26"/>
      <c r="L108" s="26"/>
      <c r="M108" s="26"/>
      <c r="N108" s="26"/>
      <c r="O108" s="26"/>
    </row>
    <row r="109" spans="1:15" x14ac:dyDescent="0.3">
      <c r="A109" s="26"/>
      <c r="B109" s="26"/>
      <c r="C109" s="26"/>
      <c r="D109" s="26"/>
      <c r="E109" s="26"/>
      <c r="F109" s="26"/>
      <c r="G109" s="26"/>
      <c r="H109" s="26"/>
      <c r="I109" s="26"/>
      <c r="J109" s="26"/>
      <c r="K109" s="26"/>
      <c r="L109" s="26"/>
      <c r="M109" s="26"/>
      <c r="N109" s="26"/>
      <c r="O109" s="26"/>
    </row>
  </sheetData>
  <sheetProtection algorithmName="SHA-512" hashValue="zOwrj13MY0IpAcMQqhgSRVPgOjHYE0XKe47Gw2jeY1CtlCLPJtwAlE18NsKPF3mWWlXW8DoOFTSEn8WWZ1RDIQ==" saltValue="oFdr/8IJ+mMvRJK3BzlGFQ==" spinCount="100000" sheet="1" objects="1" scenarios="1" formatCells="0" formatColumns="0" formatRows="0"/>
  <mergeCells count="8">
    <mergeCell ref="B79:D81"/>
    <mergeCell ref="B7:C7"/>
    <mergeCell ref="B2:D2"/>
    <mergeCell ref="B3:C3"/>
    <mergeCell ref="B4:C4"/>
    <mergeCell ref="B5:C5"/>
    <mergeCell ref="B6:C6"/>
    <mergeCell ref="B66:D66"/>
  </mergeCells>
  <hyperlinks>
    <hyperlink ref="B68" r:id="rId1" location="BM12"/>
    <hyperlink ref="B86" r:id="rId2"/>
  </hyperlinks>
  <pageMargins left="0.7" right="0.7" top="0.75" bottom="0.75" header="0.3" footer="0.3"/>
  <pageSetup orientation="portrait"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FF00"/>
  </sheetPr>
  <dimension ref="A1:AJ42"/>
  <sheetViews>
    <sheetView showGridLines="0" showRowColHeaders="0" topLeftCell="C1" zoomScaleNormal="100" workbookViewId="0">
      <selection activeCell="C1" sqref="C1"/>
    </sheetView>
  </sheetViews>
  <sheetFormatPr defaultRowHeight="14.4" x14ac:dyDescent="0.3"/>
  <cols>
    <col min="1" max="1" width="11.6640625" hidden="1" customWidth="1"/>
    <col min="2" max="2" width="16.5546875" hidden="1" customWidth="1"/>
    <col min="3" max="3" width="3.33203125" customWidth="1"/>
    <col min="4" max="5" width="30.6640625" customWidth="1"/>
    <col min="7" max="7" width="34.88671875" customWidth="1"/>
    <col min="8" max="8" width="2.109375" customWidth="1"/>
    <col min="9" max="10" width="16.44140625" customWidth="1"/>
    <col min="11" max="11" width="9.5546875" customWidth="1"/>
  </cols>
  <sheetData>
    <row r="1" spans="1:36" ht="9" customHeight="1" x14ac:dyDescent="0.3">
      <c r="A1" s="44"/>
      <c r="B1" s="44"/>
      <c r="C1" s="44"/>
      <c r="D1" s="44"/>
      <c r="E1" s="44"/>
      <c r="F1" s="44"/>
      <c r="G1" s="44"/>
      <c r="H1" s="44"/>
      <c r="I1" s="44"/>
      <c r="J1" s="44"/>
      <c r="K1" s="44"/>
      <c r="L1" s="44"/>
      <c r="M1" s="44"/>
      <c r="N1" s="44"/>
      <c r="O1" s="44"/>
      <c r="P1" s="44"/>
      <c r="Q1" s="44"/>
      <c r="R1" s="44"/>
      <c r="S1" s="44"/>
      <c r="T1" s="44"/>
      <c r="U1" s="44"/>
      <c r="V1" s="44"/>
      <c r="W1" s="44"/>
      <c r="X1" s="44"/>
      <c r="Y1" s="44"/>
      <c r="Z1" s="44"/>
      <c r="AA1" s="44"/>
      <c r="AB1" s="44"/>
      <c r="AC1" s="44"/>
      <c r="AD1" s="44"/>
      <c r="AE1" s="44"/>
      <c r="AF1" s="44"/>
      <c r="AG1" s="44"/>
      <c r="AH1" s="44"/>
      <c r="AI1" s="44"/>
      <c r="AJ1" s="44"/>
    </row>
    <row r="2" spans="1:36" ht="29.25" customHeight="1" x14ac:dyDescent="0.65">
      <c r="A2" s="44"/>
      <c r="B2" s="44"/>
      <c r="C2" s="44"/>
      <c r="D2" s="45" t="s">
        <v>297</v>
      </c>
      <c r="E2" s="45"/>
      <c r="F2" s="44"/>
      <c r="G2" s="44"/>
      <c r="H2" s="44"/>
      <c r="I2" s="44"/>
      <c r="J2" s="44"/>
      <c r="K2" s="44"/>
      <c r="L2" s="44"/>
      <c r="M2" s="44"/>
      <c r="N2" s="44"/>
      <c r="O2" s="44"/>
      <c r="P2" s="44"/>
      <c r="Q2" s="44"/>
      <c r="R2" s="44"/>
      <c r="S2" s="44"/>
      <c r="T2" s="44"/>
      <c r="U2" s="44"/>
      <c r="V2" s="44"/>
      <c r="W2" s="44"/>
      <c r="X2" s="44"/>
      <c r="Y2" s="44"/>
      <c r="Z2" s="44"/>
      <c r="AA2" s="44"/>
      <c r="AB2" s="44"/>
      <c r="AC2" s="44"/>
      <c r="AD2" s="44"/>
      <c r="AE2" s="44"/>
      <c r="AF2" s="44"/>
      <c r="AG2" s="44"/>
      <c r="AH2" s="44"/>
      <c r="AI2" s="44"/>
      <c r="AJ2" s="44"/>
    </row>
    <row r="3" spans="1:36" ht="6" customHeight="1" thickBot="1" x14ac:dyDescent="0.35">
      <c r="A3" s="46"/>
      <c r="B3" s="46"/>
      <c r="C3" s="46"/>
      <c r="D3" s="46"/>
      <c r="E3" s="47"/>
      <c r="F3" s="47"/>
      <c r="G3" s="47"/>
      <c r="H3" s="47"/>
      <c r="I3" s="47"/>
      <c r="J3" s="47"/>
      <c r="K3" s="47"/>
      <c r="L3" s="47"/>
      <c r="M3" s="47"/>
      <c r="N3" s="47"/>
      <c r="O3" s="47"/>
      <c r="P3" s="47"/>
      <c r="Q3" s="47"/>
      <c r="R3" s="47"/>
      <c r="S3" s="47"/>
      <c r="T3" s="47"/>
      <c r="U3" s="47"/>
      <c r="V3" s="47"/>
      <c r="W3" s="47"/>
      <c r="X3" s="47"/>
      <c r="Y3" s="47"/>
      <c r="Z3" s="47"/>
      <c r="AA3" s="47"/>
      <c r="AB3" s="47"/>
      <c r="AC3" s="47"/>
      <c r="AD3" s="47"/>
      <c r="AE3" s="47"/>
      <c r="AF3" s="47"/>
      <c r="AG3" s="47"/>
      <c r="AH3" s="47"/>
      <c r="AI3" s="47"/>
      <c r="AJ3" s="47"/>
    </row>
    <row r="4" spans="1:36" ht="17.25" customHeight="1" thickTop="1" x14ac:dyDescent="0.3">
      <c r="A4" s="44"/>
      <c r="B4" s="44"/>
      <c r="C4" s="44"/>
      <c r="D4" s="538" t="s">
        <v>690</v>
      </c>
      <c r="E4" s="538"/>
      <c r="F4" s="538"/>
      <c r="G4" s="538"/>
      <c r="H4" s="538"/>
      <c r="I4" s="538"/>
      <c r="J4" s="538"/>
      <c r="K4" s="538"/>
      <c r="L4" s="538"/>
      <c r="M4" s="538"/>
      <c r="N4" s="538"/>
      <c r="O4" s="44"/>
      <c r="P4" s="44"/>
      <c r="Q4" s="44"/>
      <c r="R4" s="44"/>
      <c r="S4" s="44"/>
      <c r="T4" s="44"/>
      <c r="U4" s="44"/>
      <c r="V4" s="44"/>
      <c r="W4" s="44"/>
      <c r="X4" s="44"/>
      <c r="Y4" s="44"/>
      <c r="Z4" s="44"/>
      <c r="AA4" s="44"/>
      <c r="AB4" s="44"/>
      <c r="AC4" s="44"/>
      <c r="AD4" s="44"/>
      <c r="AE4" s="44"/>
      <c r="AF4" s="44"/>
      <c r="AG4" s="44"/>
      <c r="AH4" s="44"/>
      <c r="AI4" s="44"/>
      <c r="AJ4" s="44"/>
    </row>
    <row r="5" spans="1:36" ht="18.75" customHeight="1" x14ac:dyDescent="0.3">
      <c r="A5" s="44"/>
      <c r="B5" s="44"/>
      <c r="C5" s="44"/>
      <c r="D5" s="539"/>
      <c r="E5" s="539"/>
      <c r="F5" s="539"/>
      <c r="G5" s="539"/>
      <c r="H5" s="539"/>
      <c r="I5" s="539"/>
      <c r="J5" s="539"/>
      <c r="K5" s="539"/>
      <c r="L5" s="539"/>
      <c r="M5" s="539"/>
      <c r="N5" s="539"/>
      <c r="O5" s="44"/>
      <c r="P5" s="44"/>
      <c r="Q5" s="44"/>
      <c r="R5" s="44"/>
      <c r="S5" s="44"/>
      <c r="T5" s="44"/>
      <c r="U5" s="44"/>
      <c r="V5" s="44"/>
      <c r="W5" s="44"/>
      <c r="X5" s="44"/>
      <c r="Y5" s="44"/>
      <c r="Z5" s="44"/>
      <c r="AA5" s="44"/>
      <c r="AB5" s="44"/>
      <c r="AC5" s="44"/>
      <c r="AD5" s="44"/>
      <c r="AE5" s="44"/>
      <c r="AF5" s="44"/>
      <c r="AG5" s="44"/>
      <c r="AH5" s="44"/>
      <c r="AI5" s="44"/>
      <c r="AJ5" s="44"/>
    </row>
    <row r="6" spans="1:36" ht="8.25" customHeight="1" x14ac:dyDescent="0.3"/>
    <row r="7" spans="1:36" x14ac:dyDescent="0.3">
      <c r="D7" s="419"/>
      <c r="E7" s="36" t="s">
        <v>729</v>
      </c>
      <c r="G7" s="348" t="s">
        <v>423</v>
      </c>
    </row>
    <row r="8" spans="1:36" x14ac:dyDescent="0.3">
      <c r="D8" s="419" t="s">
        <v>730</v>
      </c>
      <c r="E8" s="182"/>
      <c r="G8" s="36" t="s">
        <v>420</v>
      </c>
    </row>
    <row r="9" spans="1:36" x14ac:dyDescent="0.3">
      <c r="D9" s="419" t="s">
        <v>758</v>
      </c>
      <c r="E9" s="182"/>
      <c r="G9" s="182" t="s">
        <v>422</v>
      </c>
    </row>
    <row r="10" spans="1:36" x14ac:dyDescent="0.3">
      <c r="D10" s="419" t="s">
        <v>759</v>
      </c>
      <c r="E10" s="182"/>
    </row>
    <row r="11" spans="1:36" x14ac:dyDescent="0.3">
      <c r="D11" s="419" t="s">
        <v>760</v>
      </c>
      <c r="E11" s="182"/>
    </row>
    <row r="12" spans="1:36" x14ac:dyDescent="0.3">
      <c r="D12" s="419" t="s">
        <v>731</v>
      </c>
      <c r="E12" s="203">
        <v>2016</v>
      </c>
    </row>
    <row r="14" spans="1:36" ht="28.8" x14ac:dyDescent="0.3">
      <c r="A14">
        <f>MAX(A16:A35)+1</f>
        <v>1</v>
      </c>
      <c r="B14" s="36" t="s">
        <v>642</v>
      </c>
      <c r="D14" s="36" t="s">
        <v>777</v>
      </c>
      <c r="F14" s="183"/>
      <c r="H14" s="183"/>
      <c r="K14" s="183"/>
      <c r="L14" s="183"/>
      <c r="P14" s="183"/>
      <c r="Q14" s="183"/>
      <c r="R14" s="184"/>
      <c r="S14" s="183"/>
      <c r="T14" s="183"/>
      <c r="U14" s="183"/>
      <c r="V14" s="183"/>
      <c r="W14" s="183"/>
      <c r="X14" s="183"/>
      <c r="Y14" s="183"/>
      <c r="Z14" s="183"/>
    </row>
    <row r="15" spans="1:36" x14ac:dyDescent="0.3">
      <c r="B15" s="102" t="s">
        <v>405</v>
      </c>
      <c r="D15" s="181" t="s">
        <v>477</v>
      </c>
      <c r="F15" s="183"/>
      <c r="H15" s="183"/>
      <c r="K15" s="183"/>
      <c r="L15" s="183"/>
      <c r="P15" s="183"/>
      <c r="Q15" s="183"/>
      <c r="R15" s="183"/>
      <c r="S15" s="183"/>
      <c r="T15" s="183"/>
      <c r="U15" s="183"/>
      <c r="V15" s="183"/>
      <c r="W15" s="183"/>
      <c r="X15" s="183"/>
      <c r="Y15" s="183"/>
      <c r="Z15" s="183"/>
    </row>
    <row r="16" spans="1:36" x14ac:dyDescent="0.3">
      <c r="A16">
        <f>IF(COUNTIF(D16:$D$35,"")=ROWS(D16:$D$35),0,B16)</f>
        <v>0</v>
      </c>
      <c r="B16" s="92">
        <v>1</v>
      </c>
      <c r="D16" s="182"/>
      <c r="F16" s="183"/>
      <c r="G16" s="183"/>
      <c r="H16" s="183"/>
      <c r="K16" s="183"/>
      <c r="L16" s="183"/>
      <c r="P16" s="183"/>
      <c r="Q16" s="183"/>
      <c r="R16" s="183"/>
      <c r="S16" s="183"/>
      <c r="T16" s="183"/>
      <c r="U16" s="183"/>
      <c r="V16" s="183"/>
      <c r="W16" s="183"/>
      <c r="X16" s="183"/>
      <c r="Y16" s="183"/>
      <c r="Z16" s="183"/>
    </row>
    <row r="17" spans="1:26" x14ac:dyDescent="0.3">
      <c r="A17">
        <f>IF(COUNTIF(D17:$D$35,"")=ROWS(D17:$D$35),0,B17)</f>
        <v>0</v>
      </c>
      <c r="B17" s="92">
        <v>2</v>
      </c>
      <c r="D17" s="182"/>
      <c r="F17" s="183"/>
      <c r="G17" s="183"/>
      <c r="H17" s="183"/>
      <c r="K17" s="183"/>
      <c r="L17" s="183"/>
      <c r="P17" s="183"/>
      <c r="Q17" s="183"/>
      <c r="R17" s="183"/>
      <c r="S17" s="183"/>
      <c r="T17" s="183"/>
      <c r="U17" s="183"/>
      <c r="V17" s="183"/>
      <c r="W17" s="183"/>
      <c r="X17" s="183"/>
      <c r="Y17" s="183"/>
      <c r="Z17" s="183"/>
    </row>
    <row r="18" spans="1:26" x14ac:dyDescent="0.3">
      <c r="A18">
        <f>IF(COUNTIF(D18:$D$35,"")=ROWS(D18:$D$35),0,B18)</f>
        <v>0</v>
      </c>
      <c r="B18" s="92">
        <v>3</v>
      </c>
      <c r="D18" s="182"/>
      <c r="F18" s="183"/>
      <c r="G18" s="183"/>
      <c r="H18" s="183"/>
      <c r="K18" s="183"/>
      <c r="L18" s="183"/>
      <c r="P18" s="183"/>
      <c r="Q18" s="183"/>
      <c r="R18" s="183"/>
      <c r="S18" s="183"/>
      <c r="T18" s="183"/>
      <c r="U18" s="183"/>
      <c r="V18" s="183"/>
      <c r="W18" s="183"/>
      <c r="X18" s="183"/>
      <c r="Y18" s="183"/>
      <c r="Z18" s="183"/>
    </row>
    <row r="19" spans="1:26" x14ac:dyDescent="0.3">
      <c r="A19">
        <f>IF(COUNTIF(D19:$D$35,"")=ROWS(D19:$D$35),0,B19)</f>
        <v>0</v>
      </c>
      <c r="B19" s="92">
        <v>4</v>
      </c>
      <c r="D19" s="182"/>
      <c r="F19" s="183"/>
      <c r="G19" s="183"/>
      <c r="H19" s="183"/>
      <c r="K19" s="183"/>
      <c r="L19" s="183"/>
      <c r="P19" s="183"/>
      <c r="Q19" s="183"/>
      <c r="R19" s="183"/>
      <c r="S19" s="183"/>
      <c r="T19" s="183"/>
      <c r="U19" s="183"/>
      <c r="V19" s="183"/>
      <c r="W19" s="183"/>
      <c r="X19" s="183"/>
      <c r="Y19" s="183"/>
      <c r="Z19" s="183"/>
    </row>
    <row r="20" spans="1:26" x14ac:dyDescent="0.3">
      <c r="A20">
        <f>IF(COUNTIF(D20:$D$35,"")=ROWS(D20:$D$35),0,B20)</f>
        <v>0</v>
      </c>
      <c r="B20" s="92">
        <v>5</v>
      </c>
      <c r="D20" s="182"/>
      <c r="F20" s="183"/>
      <c r="G20" s="183"/>
      <c r="H20" s="183"/>
      <c r="K20" s="183"/>
      <c r="L20" s="183"/>
      <c r="P20" s="183"/>
      <c r="Q20" s="183"/>
      <c r="R20" s="183"/>
      <c r="S20" s="183"/>
      <c r="T20" s="183"/>
      <c r="U20" s="183"/>
      <c r="V20" s="183"/>
      <c r="W20" s="183"/>
      <c r="X20" s="183"/>
      <c r="Y20" s="183"/>
      <c r="Z20" s="183"/>
    </row>
    <row r="21" spans="1:26" x14ac:dyDescent="0.3">
      <c r="A21">
        <f>IF(COUNTIF(D21:$D$35,"")=ROWS(D21:$D$35),0,B21)</f>
        <v>0</v>
      </c>
      <c r="B21" s="92">
        <v>6</v>
      </c>
      <c r="D21" s="182"/>
      <c r="F21" s="183"/>
      <c r="G21" s="183"/>
      <c r="H21" s="183"/>
      <c r="K21" s="183"/>
      <c r="L21" s="183"/>
      <c r="P21" s="183"/>
      <c r="Q21" s="183"/>
      <c r="R21" s="183"/>
      <c r="S21" s="183"/>
      <c r="T21" s="183"/>
      <c r="U21" s="183"/>
      <c r="V21" s="183"/>
      <c r="W21" s="183"/>
      <c r="X21" s="183"/>
      <c r="Y21" s="183"/>
      <c r="Z21" s="183"/>
    </row>
    <row r="22" spans="1:26" x14ac:dyDescent="0.3">
      <c r="A22">
        <f>IF(COUNTIF(D22:$D$35,"")=ROWS(D22:$D$35),0,B22)</f>
        <v>0</v>
      </c>
      <c r="B22" s="92">
        <v>7</v>
      </c>
      <c r="D22" s="182"/>
      <c r="F22" s="183"/>
      <c r="G22" s="183"/>
      <c r="H22" s="183"/>
      <c r="K22" s="183"/>
      <c r="L22" s="183"/>
      <c r="P22" s="183"/>
      <c r="Q22" s="183"/>
      <c r="R22" s="183"/>
      <c r="S22" s="183"/>
      <c r="T22" s="183"/>
      <c r="U22" s="183"/>
      <c r="V22" s="183"/>
      <c r="W22" s="183"/>
      <c r="X22" s="183"/>
      <c r="Y22" s="183"/>
      <c r="Z22" s="183"/>
    </row>
    <row r="23" spans="1:26" x14ac:dyDescent="0.3">
      <c r="A23">
        <f>IF(COUNTIF(D23:$D$35,"")=ROWS(D23:$D$35),0,B23)</f>
        <v>0</v>
      </c>
      <c r="B23" s="92">
        <v>8</v>
      </c>
      <c r="D23" s="182"/>
      <c r="F23" s="183"/>
      <c r="G23" s="183"/>
      <c r="H23" s="183"/>
      <c r="K23" s="183"/>
      <c r="L23" s="183"/>
      <c r="P23" s="183"/>
      <c r="Q23" s="183"/>
      <c r="R23" s="183"/>
      <c r="S23" s="183"/>
      <c r="T23" s="183"/>
      <c r="U23" s="183"/>
      <c r="V23" s="183"/>
      <c r="W23" s="183"/>
      <c r="X23" s="183"/>
      <c r="Y23" s="183"/>
      <c r="Z23" s="183"/>
    </row>
    <row r="24" spans="1:26" x14ac:dyDescent="0.3">
      <c r="A24">
        <f>IF(COUNTIF(D24:$D$35,"")=ROWS(D24:$D$35),0,B24)</f>
        <v>0</v>
      </c>
      <c r="B24" s="92">
        <v>9</v>
      </c>
      <c r="D24" s="182"/>
      <c r="F24" s="183"/>
      <c r="G24" s="183"/>
      <c r="H24" s="183"/>
      <c r="K24" s="183"/>
      <c r="L24" s="183"/>
      <c r="P24" s="183"/>
      <c r="Q24" s="183"/>
      <c r="R24" s="183"/>
      <c r="S24" s="183"/>
      <c r="T24" s="183"/>
      <c r="U24" s="183"/>
      <c r="V24" s="183"/>
      <c r="W24" s="183"/>
      <c r="X24" s="183"/>
      <c r="Y24" s="183"/>
      <c r="Z24" s="183"/>
    </row>
    <row r="25" spans="1:26" x14ac:dyDescent="0.3">
      <c r="A25">
        <f>IF(COUNTIF(D25:$D$35,"")=ROWS(D25:$D$35),0,B25)</f>
        <v>0</v>
      </c>
      <c r="B25" s="92">
        <v>10</v>
      </c>
      <c r="D25" s="182"/>
      <c r="F25" s="183"/>
      <c r="G25" s="183"/>
      <c r="H25" s="183"/>
      <c r="K25" s="183"/>
      <c r="L25" s="183"/>
      <c r="P25" s="183"/>
      <c r="Q25" s="183"/>
      <c r="R25" s="183"/>
      <c r="S25" s="183"/>
      <c r="T25" s="183"/>
      <c r="U25" s="183"/>
      <c r="V25" s="183"/>
      <c r="W25" s="183"/>
      <c r="X25" s="183"/>
      <c r="Y25" s="183"/>
      <c r="Z25" s="183"/>
    </row>
    <row r="26" spans="1:26" x14ac:dyDescent="0.3">
      <c r="A26">
        <f>IF(COUNTIF(D26:$D$35,"")=ROWS(D26:$D$35),0,B26)</f>
        <v>0</v>
      </c>
      <c r="B26" s="92">
        <v>11</v>
      </c>
      <c r="D26" s="182"/>
      <c r="F26" s="183"/>
      <c r="G26" s="183"/>
      <c r="H26" s="183"/>
      <c r="K26" s="183"/>
      <c r="L26" s="183"/>
      <c r="P26" s="183"/>
      <c r="Q26" s="183"/>
      <c r="R26" s="183"/>
      <c r="S26" s="183"/>
      <c r="T26" s="183"/>
      <c r="U26" s="183"/>
      <c r="V26" s="183"/>
      <c r="W26" s="183"/>
      <c r="X26" s="183"/>
      <c r="Y26" s="183"/>
      <c r="Z26" s="183"/>
    </row>
    <row r="27" spans="1:26" x14ac:dyDescent="0.3">
      <c r="A27">
        <f>IF(COUNTIF(D27:$D$35,"")=ROWS(D27:$D$35),0,B27)</f>
        <v>0</v>
      </c>
      <c r="B27" s="92">
        <v>12</v>
      </c>
      <c r="D27" s="182"/>
      <c r="F27" s="183"/>
      <c r="G27" s="183"/>
      <c r="H27" s="183"/>
      <c r="K27" s="183"/>
      <c r="L27" s="183"/>
      <c r="P27" s="183"/>
      <c r="Q27" s="183"/>
      <c r="R27" s="183"/>
      <c r="S27" s="183"/>
      <c r="T27" s="183"/>
      <c r="U27" s="183"/>
      <c r="V27" s="183"/>
      <c r="W27" s="183"/>
      <c r="X27" s="183"/>
      <c r="Y27" s="183"/>
      <c r="Z27" s="183"/>
    </row>
    <row r="28" spans="1:26" x14ac:dyDescent="0.3">
      <c r="A28">
        <f>IF(COUNTIF(D28:$D$35,"")=ROWS(D28:$D$35),0,B28)</f>
        <v>0</v>
      </c>
      <c r="B28" s="92">
        <v>13</v>
      </c>
      <c r="D28" s="182"/>
      <c r="F28" s="183"/>
      <c r="G28" s="183"/>
      <c r="H28" s="183"/>
      <c r="K28" s="183"/>
      <c r="L28" s="183"/>
      <c r="P28" s="183"/>
      <c r="Q28" s="183"/>
      <c r="R28" s="183"/>
      <c r="S28" s="183"/>
      <c r="T28" s="183"/>
      <c r="U28" s="183"/>
      <c r="V28" s="183"/>
      <c r="W28" s="183"/>
      <c r="X28" s="183"/>
      <c r="Y28" s="183"/>
      <c r="Z28" s="183"/>
    </row>
    <row r="29" spans="1:26" x14ac:dyDescent="0.3">
      <c r="A29">
        <f>IF(COUNTIF(D29:$D$35,"")=ROWS(D29:$D$35),0,B29)</f>
        <v>0</v>
      </c>
      <c r="B29" s="92">
        <v>14</v>
      </c>
      <c r="D29" s="182"/>
      <c r="F29" s="183"/>
      <c r="G29" s="183"/>
      <c r="H29" s="183"/>
      <c r="K29" s="183"/>
      <c r="L29" s="183"/>
      <c r="P29" s="183"/>
      <c r="Q29" s="183"/>
      <c r="R29" s="183"/>
      <c r="S29" s="183"/>
      <c r="T29" s="183"/>
      <c r="U29" s="183"/>
      <c r="V29" s="183"/>
      <c r="W29" s="183"/>
      <c r="X29" s="183"/>
      <c r="Y29" s="183"/>
      <c r="Z29" s="183"/>
    </row>
    <row r="30" spans="1:26" x14ac:dyDescent="0.3">
      <c r="A30">
        <f>IF(COUNTIF(D30:$D$35,"")=ROWS(D30:$D$35),0,B30)</f>
        <v>0</v>
      </c>
      <c r="B30" s="92">
        <v>15</v>
      </c>
      <c r="D30" s="182"/>
      <c r="F30" s="183"/>
      <c r="G30" s="183"/>
      <c r="H30" s="183"/>
      <c r="K30" s="183"/>
      <c r="L30" s="183"/>
      <c r="P30" s="183"/>
      <c r="Q30" s="183"/>
      <c r="R30" s="183"/>
      <c r="S30" s="183"/>
      <c r="T30" s="183"/>
      <c r="U30" s="183"/>
      <c r="V30" s="183"/>
      <c r="W30" s="183"/>
      <c r="X30" s="183"/>
      <c r="Y30" s="183"/>
      <c r="Z30" s="183"/>
    </row>
    <row r="31" spans="1:26" x14ac:dyDescent="0.3">
      <c r="A31">
        <f>IF(COUNTIF(D31:$D$35,"")=ROWS(D31:$D$35),0,B31)</f>
        <v>0</v>
      </c>
      <c r="B31" s="92">
        <v>16</v>
      </c>
      <c r="D31" s="182"/>
      <c r="F31" s="183"/>
      <c r="G31" s="183"/>
      <c r="H31" s="183"/>
      <c r="K31" s="183"/>
      <c r="L31" s="183"/>
      <c r="P31" s="183"/>
      <c r="Q31" s="183"/>
      <c r="R31" s="183"/>
      <c r="S31" s="183"/>
      <c r="T31" s="183"/>
      <c r="U31" s="183"/>
      <c r="V31" s="183"/>
      <c r="W31" s="183"/>
      <c r="X31" s="183"/>
      <c r="Y31" s="183"/>
      <c r="Z31" s="183"/>
    </row>
    <row r="32" spans="1:26" x14ac:dyDescent="0.3">
      <c r="A32">
        <f>IF(COUNTIF(D32:$D$35,"")=ROWS(D32:$D$35),0,B32)</f>
        <v>0</v>
      </c>
      <c r="B32" s="92">
        <v>17</v>
      </c>
      <c r="D32" s="182"/>
      <c r="F32" s="183"/>
      <c r="G32" s="183"/>
      <c r="H32" s="183"/>
      <c r="I32" s="183"/>
      <c r="J32" s="183"/>
      <c r="K32" s="183"/>
      <c r="L32" s="183"/>
      <c r="M32" s="183"/>
      <c r="N32" s="183"/>
      <c r="O32" s="183"/>
      <c r="P32" s="183"/>
      <c r="Q32" s="183"/>
      <c r="R32" s="183"/>
      <c r="S32" s="183"/>
      <c r="T32" s="183"/>
      <c r="U32" s="183"/>
      <c r="V32" s="183"/>
      <c r="W32" s="183"/>
      <c r="X32" s="183"/>
      <c r="Y32" s="183"/>
      <c r="Z32" s="183"/>
    </row>
    <row r="33" spans="1:26" x14ac:dyDescent="0.3">
      <c r="A33">
        <f>IF(COUNTIF(D33:$D$35,"")=ROWS(D33:$D$35),0,B33)</f>
        <v>0</v>
      </c>
      <c r="B33" s="92">
        <v>18</v>
      </c>
      <c r="D33" s="182"/>
      <c r="F33" s="183"/>
      <c r="G33" s="183"/>
      <c r="H33" s="183"/>
      <c r="I33" s="183"/>
      <c r="J33" s="183"/>
      <c r="K33" s="183"/>
      <c r="L33" s="183"/>
      <c r="M33" s="183"/>
      <c r="N33" s="183"/>
      <c r="O33" s="183"/>
      <c r="P33" s="183"/>
      <c r="Q33" s="183"/>
      <c r="R33" s="183"/>
      <c r="S33" s="183"/>
      <c r="T33" s="183"/>
      <c r="U33" s="183"/>
      <c r="V33" s="183"/>
      <c r="W33" s="183"/>
      <c r="X33" s="183"/>
      <c r="Y33" s="183"/>
      <c r="Z33" s="183"/>
    </row>
    <row r="34" spans="1:26" x14ac:dyDescent="0.3">
      <c r="A34">
        <f>IF(COUNTIF(D34:$D$35,"")=ROWS(D34:$D$35),0,B34)</f>
        <v>0</v>
      </c>
      <c r="B34" s="92">
        <v>19</v>
      </c>
      <c r="D34" s="182"/>
      <c r="F34" s="183"/>
      <c r="G34" s="183"/>
      <c r="H34" s="183"/>
      <c r="I34" s="183"/>
      <c r="J34" s="183"/>
      <c r="K34" s="183"/>
      <c r="L34" s="183"/>
      <c r="M34" s="183"/>
      <c r="N34" s="183"/>
      <c r="O34" s="183"/>
      <c r="P34" s="183"/>
      <c r="Q34" s="183"/>
      <c r="R34" s="183"/>
      <c r="S34" s="183"/>
      <c r="T34" s="183"/>
      <c r="U34" s="183"/>
      <c r="V34" s="183"/>
      <c r="W34" s="183"/>
      <c r="X34" s="183"/>
      <c r="Y34" s="183"/>
      <c r="Z34" s="183"/>
    </row>
    <row r="35" spans="1:26" x14ac:dyDescent="0.3">
      <c r="A35">
        <f>IF(COUNTIF(D35:$D$35,"")=ROWS(D35:$D$35),0,B35)</f>
        <v>0</v>
      </c>
      <c r="B35" s="92">
        <v>20</v>
      </c>
      <c r="D35" s="182"/>
      <c r="F35" s="183"/>
      <c r="G35" s="183"/>
      <c r="H35" s="183"/>
      <c r="I35" s="183"/>
      <c r="J35" s="183"/>
      <c r="K35" s="183"/>
      <c r="L35" s="183"/>
      <c r="M35" s="183"/>
      <c r="N35" s="183"/>
      <c r="O35" s="183"/>
      <c r="P35" s="183"/>
      <c r="Q35" s="183"/>
      <c r="R35" s="183"/>
      <c r="S35" s="183"/>
      <c r="T35" s="183"/>
      <c r="U35" s="183"/>
      <c r="V35" s="183"/>
      <c r="W35" s="183"/>
      <c r="X35" s="183"/>
      <c r="Y35" s="183"/>
      <c r="Z35" s="183"/>
    </row>
    <row r="36" spans="1:26" x14ac:dyDescent="0.3">
      <c r="D36" s="183"/>
      <c r="E36" s="183"/>
      <c r="F36" s="183"/>
      <c r="G36" s="183"/>
      <c r="H36" s="183"/>
      <c r="I36" s="183"/>
      <c r="J36" s="183"/>
      <c r="K36" s="183"/>
      <c r="L36" s="183"/>
      <c r="M36" s="183"/>
      <c r="N36" s="183"/>
      <c r="O36" s="183"/>
      <c r="P36" s="183"/>
      <c r="Q36" s="183"/>
      <c r="R36" s="183"/>
      <c r="S36" s="183"/>
      <c r="T36" s="183"/>
      <c r="U36" s="183"/>
      <c r="V36" s="183"/>
      <c r="W36" s="183"/>
      <c r="X36" s="183"/>
      <c r="Y36" s="183"/>
      <c r="Z36" s="183"/>
    </row>
    <row r="37" spans="1:26" x14ac:dyDescent="0.3">
      <c r="D37" s="183"/>
      <c r="E37" s="183"/>
      <c r="F37" s="183"/>
      <c r="G37" s="183"/>
      <c r="H37" s="183"/>
      <c r="I37" s="183"/>
      <c r="J37" s="183"/>
      <c r="K37" s="183"/>
      <c r="L37" s="183"/>
      <c r="M37" s="183"/>
      <c r="N37" s="183"/>
      <c r="O37" s="183"/>
      <c r="P37" s="183"/>
      <c r="Q37" s="183"/>
      <c r="R37" s="183"/>
      <c r="S37" s="183"/>
      <c r="T37" s="183"/>
      <c r="U37" s="183"/>
      <c r="V37" s="183"/>
      <c r="W37" s="183"/>
      <c r="X37" s="183"/>
      <c r="Y37" s="183"/>
      <c r="Z37" s="183"/>
    </row>
    <row r="38" spans="1:26" x14ac:dyDescent="0.3">
      <c r="D38" s="183"/>
      <c r="E38" s="183"/>
      <c r="F38" s="183"/>
      <c r="G38" s="183"/>
      <c r="H38" s="183"/>
      <c r="I38" s="183"/>
      <c r="J38" s="183"/>
      <c r="K38" s="183"/>
      <c r="L38" s="183"/>
      <c r="M38" s="183"/>
      <c r="N38" s="183"/>
      <c r="O38" s="183"/>
      <c r="P38" s="183"/>
      <c r="Q38" s="183"/>
      <c r="R38" s="183"/>
      <c r="S38" s="183"/>
      <c r="T38" s="183"/>
      <c r="U38" s="183"/>
      <c r="V38" s="183"/>
      <c r="W38" s="183"/>
      <c r="X38" s="183"/>
      <c r="Y38" s="183"/>
      <c r="Z38" s="183"/>
    </row>
    <row r="39" spans="1:26" x14ac:dyDescent="0.3">
      <c r="D39" s="183"/>
      <c r="E39" s="183"/>
      <c r="F39" s="183"/>
      <c r="G39" s="183"/>
      <c r="H39" s="183"/>
      <c r="I39" s="183"/>
      <c r="J39" s="183"/>
      <c r="K39" s="183"/>
      <c r="L39" s="183"/>
      <c r="M39" s="183"/>
      <c r="N39" s="183"/>
      <c r="O39" s="183"/>
      <c r="P39" s="183"/>
      <c r="Q39" s="183"/>
      <c r="R39" s="183"/>
      <c r="S39" s="183"/>
      <c r="T39" s="183"/>
      <c r="U39" s="183"/>
      <c r="V39" s="183"/>
      <c r="W39" s="183"/>
      <c r="X39" s="183"/>
      <c r="Y39" s="183"/>
      <c r="Z39" s="183"/>
    </row>
    <row r="40" spans="1:26" x14ac:dyDescent="0.3">
      <c r="D40" s="183"/>
      <c r="E40" s="183"/>
      <c r="F40" s="183"/>
      <c r="G40" s="183"/>
      <c r="H40" s="183"/>
      <c r="I40" s="183"/>
      <c r="J40" s="183"/>
      <c r="K40" s="183"/>
      <c r="L40" s="183"/>
      <c r="M40" s="183"/>
      <c r="N40" s="183"/>
      <c r="O40" s="183"/>
      <c r="P40" s="183"/>
      <c r="Q40" s="183"/>
      <c r="R40" s="183"/>
      <c r="S40" s="183"/>
      <c r="T40" s="183"/>
      <c r="U40" s="183"/>
      <c r="V40" s="183"/>
      <c r="W40" s="183"/>
      <c r="X40" s="183"/>
      <c r="Y40" s="183"/>
      <c r="Z40" s="183"/>
    </row>
    <row r="41" spans="1:26" x14ac:dyDescent="0.3">
      <c r="D41" s="183"/>
      <c r="E41" s="183"/>
      <c r="F41" s="183"/>
      <c r="G41" s="183"/>
      <c r="H41" s="183"/>
      <c r="I41" s="183"/>
      <c r="J41" s="183"/>
      <c r="K41" s="183"/>
      <c r="L41" s="183"/>
      <c r="M41" s="183"/>
      <c r="N41" s="183"/>
      <c r="O41" s="183"/>
      <c r="P41" s="183"/>
      <c r="Q41" s="183"/>
      <c r="R41" s="183"/>
      <c r="S41" s="183"/>
      <c r="T41" s="183"/>
      <c r="U41" s="183"/>
      <c r="V41" s="183"/>
      <c r="W41" s="183"/>
      <c r="X41" s="183"/>
      <c r="Y41" s="183"/>
      <c r="Z41" s="183"/>
    </row>
    <row r="42" spans="1:26" x14ac:dyDescent="0.3">
      <c r="D42" s="183"/>
      <c r="E42" s="183"/>
      <c r="F42" s="183"/>
      <c r="G42" s="183"/>
      <c r="H42" s="183"/>
      <c r="I42" s="183"/>
      <c r="J42" s="183"/>
      <c r="K42" s="183"/>
      <c r="L42" s="183"/>
      <c r="M42" s="183"/>
      <c r="N42" s="183"/>
      <c r="O42" s="183"/>
      <c r="P42" s="183"/>
      <c r="Q42" s="183"/>
      <c r="R42" s="183"/>
      <c r="S42" s="183"/>
      <c r="T42" s="183"/>
      <c r="U42" s="183"/>
      <c r="V42" s="183"/>
      <c r="W42" s="183"/>
      <c r="X42" s="183"/>
      <c r="Y42" s="183"/>
      <c r="Z42" s="183"/>
    </row>
  </sheetData>
  <sheetProtection algorithmName="SHA-512" hashValue="xXDhVJdjjJDa0A5sqvN9DpNA2lTOYCqDmo5myDYh4HHOTLJV19RO2f3DqS12JDua7RdtrIHHyb9URKR4UeZB/w==" saltValue="CrllykuwPCwitS6unDOj+Q==" spinCount="100000" sheet="1" objects="1" scenarios="1" formatCells="0" formatColumns="0" formatRows="0"/>
  <mergeCells count="1">
    <mergeCell ref="D4:N5"/>
  </mergeCells>
  <dataValidations count="2">
    <dataValidation type="list" allowBlank="1" showInputMessage="1" showErrorMessage="1" prompt="Keep with AR4 for reporting FY2014 emissions and beyond" sqref="G9">
      <formula1>GWPSource</formula1>
    </dataValidation>
    <dataValidation type="list" allowBlank="1" showInputMessage="1" showErrorMessage="1" prompt="Select the year that emissions are being reported for (e.g., if you are reporting on 2014 emissions in 2015, select 2014)" sqref="E12">
      <formula1>ReportingYear</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FF00"/>
  </sheetPr>
  <dimension ref="A1:AS68"/>
  <sheetViews>
    <sheetView showGridLines="0" showRowColHeaders="0" zoomScale="80" zoomScaleNormal="80" workbookViewId="0">
      <pane ySplit="5" topLeftCell="A6" activePane="bottomLeft" state="frozen"/>
      <selection pane="bottomLeft"/>
    </sheetView>
  </sheetViews>
  <sheetFormatPr defaultRowHeight="14.4" x14ac:dyDescent="0.3"/>
  <cols>
    <col min="1" max="1" width="3.6640625" customWidth="1"/>
    <col min="2" max="2" width="39.44140625" customWidth="1"/>
    <col min="6" max="6" width="9.33203125" customWidth="1"/>
    <col min="7" max="7" width="4.44140625" customWidth="1"/>
    <col min="8" max="8" width="3.88671875" customWidth="1"/>
    <col min="9" max="10" width="9.109375" hidden="1" customWidth="1"/>
    <col min="11" max="11" width="7.6640625" hidden="1" customWidth="1"/>
    <col min="12" max="13" width="9.109375" hidden="1" customWidth="1"/>
    <col min="14" max="14" width="6.33203125" hidden="1" customWidth="1"/>
    <col min="15" max="17" width="9.6640625" hidden="1" customWidth="1"/>
    <col min="18" max="19" width="10" hidden="1" customWidth="1"/>
    <col min="20" max="20" width="6.6640625" hidden="1" customWidth="1"/>
    <col min="21" max="22" width="10.5546875" hidden="1" customWidth="1"/>
    <col min="23" max="23" width="9.5546875" hidden="1" customWidth="1"/>
    <col min="24" max="25" width="10.5546875" hidden="1" customWidth="1"/>
    <col min="26" max="26" width="8.6640625" hidden="1" customWidth="1"/>
    <col min="27" max="27" width="3.44140625" customWidth="1"/>
    <col min="28" max="28" width="69.6640625" hidden="1" customWidth="1"/>
    <col min="29" max="31" width="19" hidden="1" customWidth="1"/>
    <col min="32" max="32" width="18.6640625" customWidth="1"/>
    <col min="33" max="42" width="16.6640625" customWidth="1"/>
  </cols>
  <sheetData>
    <row r="1" spans="1:45" ht="7.5" customHeight="1" x14ac:dyDescent="0.3">
      <c r="A1" s="478"/>
      <c r="B1" s="44"/>
      <c r="C1" s="44"/>
      <c r="D1" s="44"/>
      <c r="E1" s="44"/>
      <c r="F1" s="44"/>
      <c r="G1" s="44"/>
      <c r="H1" s="44"/>
      <c r="I1" s="44"/>
      <c r="J1" s="44"/>
      <c r="K1" s="44"/>
      <c r="L1" s="44"/>
      <c r="M1" s="44"/>
      <c r="N1" s="44"/>
      <c r="O1" s="44"/>
      <c r="P1" s="44"/>
      <c r="Q1" s="44"/>
      <c r="R1" s="44"/>
      <c r="S1" s="44"/>
      <c r="T1" s="44"/>
      <c r="U1" s="44"/>
      <c r="V1" s="44"/>
      <c r="W1" s="44"/>
      <c r="X1" s="44"/>
      <c r="Y1" s="44"/>
      <c r="Z1" s="44"/>
      <c r="AA1" s="44"/>
      <c r="AB1" s="44"/>
      <c r="AC1" s="44"/>
      <c r="AD1" s="44"/>
      <c r="AE1" s="44"/>
      <c r="AF1" s="44"/>
      <c r="AG1" s="44"/>
      <c r="AH1" s="44"/>
      <c r="AI1" s="44"/>
      <c r="AJ1" s="44"/>
      <c r="AK1" s="44"/>
      <c r="AL1" s="44"/>
      <c r="AM1" s="44"/>
      <c r="AN1" s="44"/>
      <c r="AO1" s="44"/>
      <c r="AP1" s="44"/>
      <c r="AQ1" s="44"/>
      <c r="AR1" s="44"/>
      <c r="AS1" s="44"/>
    </row>
    <row r="2" spans="1:45" ht="33.6" x14ac:dyDescent="0.65">
      <c r="A2" s="44"/>
      <c r="B2" s="45" t="s">
        <v>404</v>
      </c>
      <c r="C2" s="44"/>
      <c r="D2" s="44"/>
      <c r="E2" s="44"/>
      <c r="F2" s="44"/>
      <c r="G2" s="44"/>
      <c r="H2" s="44"/>
      <c r="I2" s="44"/>
      <c r="J2" s="44"/>
      <c r="K2" s="44"/>
      <c r="L2" s="44"/>
      <c r="M2" s="44"/>
      <c r="N2" s="44"/>
      <c r="O2" s="44"/>
      <c r="P2" s="44"/>
      <c r="Q2" s="44"/>
      <c r="R2" s="44"/>
      <c r="S2" s="44"/>
      <c r="T2" s="44"/>
      <c r="U2" s="44"/>
      <c r="V2" s="44"/>
      <c r="W2" s="44"/>
      <c r="X2" s="44"/>
      <c r="Y2" s="44"/>
      <c r="Z2" s="44"/>
      <c r="AA2" s="44"/>
      <c r="AB2" s="44"/>
      <c r="AC2" s="44"/>
      <c r="AD2" s="44"/>
      <c r="AE2" s="44"/>
      <c r="AF2" s="44"/>
      <c r="AG2" s="44"/>
      <c r="AH2" s="44"/>
      <c r="AI2" s="44"/>
      <c r="AJ2" s="44"/>
      <c r="AK2" s="44"/>
      <c r="AL2" s="44"/>
      <c r="AM2" s="44"/>
      <c r="AN2" s="44"/>
      <c r="AO2" s="44"/>
      <c r="AP2" s="44"/>
      <c r="AQ2" s="44"/>
      <c r="AR2" s="44"/>
      <c r="AS2" s="44"/>
    </row>
    <row r="3" spans="1:45" ht="7.5" customHeight="1" thickBot="1" x14ac:dyDescent="0.35">
      <c r="A3" s="46"/>
      <c r="B3" s="47"/>
      <c r="C3" s="47"/>
      <c r="D3" s="47"/>
      <c r="E3" s="47"/>
      <c r="F3" s="47"/>
      <c r="G3" s="47"/>
      <c r="H3" s="47"/>
      <c r="I3" s="47"/>
      <c r="J3" s="47"/>
      <c r="K3" s="47"/>
      <c r="L3" s="47"/>
      <c r="M3" s="47"/>
      <c r="N3" s="47"/>
      <c r="O3" s="47"/>
      <c r="P3" s="47"/>
      <c r="Q3" s="47"/>
      <c r="R3" s="47"/>
      <c r="S3" s="47"/>
      <c r="T3" s="47"/>
      <c r="U3" s="47"/>
      <c r="V3" s="47"/>
      <c r="W3" s="47"/>
      <c r="X3" s="47"/>
      <c r="Y3" s="47"/>
      <c r="Z3" s="47"/>
      <c r="AA3" s="47"/>
      <c r="AB3" s="47"/>
      <c r="AC3" s="47"/>
      <c r="AD3" s="47"/>
      <c r="AE3" s="47"/>
      <c r="AF3" s="47"/>
      <c r="AG3" s="47"/>
      <c r="AH3" s="47"/>
      <c r="AI3" s="47"/>
      <c r="AJ3" s="47"/>
      <c r="AK3" s="47"/>
      <c r="AL3" s="47"/>
      <c r="AM3" s="47"/>
      <c r="AN3" s="47"/>
      <c r="AO3" s="47"/>
      <c r="AP3" s="47"/>
      <c r="AQ3" s="47"/>
      <c r="AR3" s="47"/>
      <c r="AS3" s="47"/>
    </row>
    <row r="4" spans="1:45" ht="19.5" customHeight="1" thickTop="1" x14ac:dyDescent="0.35">
      <c r="A4" s="44"/>
      <c r="B4" s="480" t="s">
        <v>769</v>
      </c>
      <c r="C4" s="480"/>
      <c r="D4" s="480"/>
      <c r="E4" s="480"/>
      <c r="F4" s="480"/>
      <c r="G4" s="480"/>
      <c r="H4" s="480"/>
      <c r="I4" s="480"/>
      <c r="J4" s="480"/>
      <c r="K4" s="480"/>
      <c r="L4" s="480"/>
      <c r="M4" s="480"/>
      <c r="N4" s="480"/>
      <c r="O4" s="480"/>
      <c r="P4" s="480"/>
      <c r="Q4" s="480"/>
      <c r="R4" s="480"/>
      <c r="S4" s="480"/>
      <c r="T4" s="480"/>
      <c r="U4" s="480"/>
      <c r="V4" s="480"/>
      <c r="W4" s="480"/>
      <c r="X4" s="480"/>
      <c r="Y4" s="480"/>
      <c r="Z4" s="480"/>
      <c r="AA4" s="480"/>
      <c r="AB4" s="480"/>
      <c r="AC4" s="480"/>
      <c r="AD4" s="480"/>
      <c r="AE4" s="480"/>
      <c r="AF4" s="44"/>
      <c r="AG4" s="44"/>
      <c r="AH4" s="44"/>
      <c r="AI4" s="44"/>
      <c r="AJ4" s="44"/>
      <c r="AK4" s="44"/>
      <c r="AL4" s="44"/>
      <c r="AM4" s="44"/>
      <c r="AN4" s="44"/>
      <c r="AO4" s="44"/>
      <c r="AP4" s="44"/>
      <c r="AQ4" s="44"/>
      <c r="AR4" s="44"/>
      <c r="AS4" s="44"/>
    </row>
    <row r="5" spans="1:45" ht="18.75" customHeight="1" x14ac:dyDescent="0.35">
      <c r="A5" s="44"/>
      <c r="B5" s="481" t="s">
        <v>770</v>
      </c>
      <c r="C5" s="481"/>
      <c r="D5" s="481"/>
      <c r="E5" s="481"/>
      <c r="F5" s="481"/>
      <c r="G5" s="481"/>
      <c r="H5" s="481"/>
      <c r="I5" s="481"/>
      <c r="J5" s="481"/>
      <c r="K5" s="481"/>
      <c r="L5" s="481"/>
      <c r="M5" s="481"/>
      <c r="N5" s="481"/>
      <c r="O5" s="481"/>
      <c r="P5" s="481"/>
      <c r="Q5" s="481"/>
      <c r="R5" s="481"/>
      <c r="S5" s="481"/>
      <c r="T5" s="481"/>
      <c r="U5" s="481"/>
      <c r="V5" s="481"/>
      <c r="W5" s="481"/>
      <c r="X5" s="481"/>
      <c r="Y5" s="481"/>
      <c r="Z5" s="481"/>
      <c r="AA5" s="481"/>
      <c r="AB5" s="481"/>
      <c r="AC5" s="481"/>
      <c r="AD5" s="481"/>
      <c r="AE5" s="481"/>
      <c r="AF5" s="44"/>
      <c r="AG5" s="44"/>
      <c r="AH5" s="44"/>
      <c r="AI5" s="44"/>
      <c r="AJ5" s="44"/>
      <c r="AK5" s="44"/>
      <c r="AL5" s="44"/>
      <c r="AM5" s="44"/>
      <c r="AN5" s="44"/>
      <c r="AO5" s="44"/>
      <c r="AP5" s="44"/>
      <c r="AQ5" s="44"/>
      <c r="AR5" s="44"/>
      <c r="AS5" s="44"/>
    </row>
    <row r="6" spans="1:45" ht="8.25" customHeight="1" thickBot="1" x14ac:dyDescent="0.35"/>
    <row r="7" spans="1:45" ht="62.25" customHeight="1" thickBot="1" x14ac:dyDescent="0.35">
      <c r="A7" s="451"/>
      <c r="B7" s="479" t="s">
        <v>768</v>
      </c>
      <c r="C7" s="476"/>
      <c r="H7" s="183"/>
      <c r="I7" s="183"/>
      <c r="J7" s="183"/>
      <c r="K7" s="183"/>
      <c r="L7" s="183"/>
      <c r="M7" s="183"/>
      <c r="N7" s="183"/>
      <c r="O7" s="183"/>
      <c r="P7" s="183"/>
      <c r="Q7" s="183"/>
      <c r="R7" s="183"/>
      <c r="S7" s="183"/>
      <c r="T7" s="183"/>
      <c r="U7" s="183"/>
      <c r="V7" s="183"/>
      <c r="W7" s="183"/>
      <c r="X7" s="183"/>
      <c r="Y7" s="183"/>
      <c r="Z7" s="183"/>
      <c r="AA7" s="183"/>
      <c r="AB7" s="540" t="s">
        <v>763</v>
      </c>
      <c r="AC7" s="540"/>
      <c r="AD7" s="540"/>
      <c r="AE7" s="540"/>
    </row>
    <row r="8" spans="1:45" ht="18" x14ac:dyDescent="0.35">
      <c r="D8" s="83"/>
      <c r="E8" s="91" t="s">
        <v>398</v>
      </c>
      <c r="F8" s="84"/>
      <c r="H8" s="183"/>
      <c r="I8" s="183"/>
      <c r="J8" s="184"/>
      <c r="K8" s="183"/>
      <c r="L8" s="183"/>
      <c r="M8" s="183"/>
      <c r="N8" s="183"/>
      <c r="O8" s="184"/>
      <c r="P8" s="183"/>
      <c r="Q8" s="183"/>
      <c r="R8" s="183"/>
      <c r="S8" s="183"/>
      <c r="T8" s="183"/>
      <c r="U8" s="183"/>
      <c r="V8" s="183"/>
      <c r="W8" s="183"/>
      <c r="X8" s="183"/>
      <c r="Y8" s="183"/>
      <c r="Z8" s="183"/>
      <c r="AA8" s="183"/>
      <c r="AB8" s="541"/>
      <c r="AC8" s="541"/>
      <c r="AD8" s="541"/>
      <c r="AE8" s="541"/>
      <c r="AF8" s="473"/>
    </row>
    <row r="9" spans="1:45" x14ac:dyDescent="0.3">
      <c r="B9" s="456">
        <v>1</v>
      </c>
      <c r="D9" s="85"/>
      <c r="E9" s="86"/>
      <c r="F9" s="87"/>
      <c r="H9" s="183"/>
      <c r="I9" s="183"/>
      <c r="J9" s="183"/>
      <c r="K9" s="183"/>
      <c r="L9" s="183"/>
      <c r="M9" s="183"/>
      <c r="N9" s="183"/>
      <c r="O9" s="183"/>
      <c r="P9" s="183"/>
      <c r="Q9" s="183"/>
      <c r="R9" s="183"/>
      <c r="S9" s="183"/>
      <c r="T9" s="183"/>
      <c r="U9" s="183"/>
      <c r="V9" s="183"/>
      <c r="W9" s="183"/>
      <c r="X9" s="183"/>
      <c r="Y9" s="183"/>
      <c r="Z9" s="183"/>
      <c r="AA9" s="183"/>
      <c r="AB9" s="380" t="s">
        <v>574</v>
      </c>
      <c r="AC9" s="477" t="s">
        <v>764</v>
      </c>
      <c r="AD9" s="477" t="s">
        <v>765</v>
      </c>
      <c r="AE9" s="477" t="s">
        <v>766</v>
      </c>
    </row>
    <row r="10" spans="1:45" x14ac:dyDescent="0.3">
      <c r="C10" s="456" t="b">
        <v>0</v>
      </c>
      <c r="D10" s="85"/>
      <c r="E10" s="86"/>
      <c r="F10" s="87"/>
      <c r="H10" s="183"/>
      <c r="I10" s="183"/>
      <c r="J10" s="183"/>
      <c r="K10" s="183"/>
      <c r="L10" s="183"/>
      <c r="M10" s="183"/>
      <c r="N10" s="183"/>
      <c r="O10" s="183"/>
      <c r="P10" s="183"/>
      <c r="Q10" s="183"/>
      <c r="R10" s="183"/>
      <c r="S10" s="183"/>
      <c r="T10" s="183"/>
      <c r="U10" s="183"/>
      <c r="V10" s="183"/>
      <c r="W10" s="183"/>
      <c r="X10" s="183"/>
      <c r="Y10" s="183"/>
      <c r="Z10" s="183"/>
      <c r="AA10" s="183"/>
      <c r="AB10" s="382" t="s">
        <v>591</v>
      </c>
      <c r="AC10" s="383"/>
      <c r="AD10" s="383"/>
      <c r="AE10" s="383"/>
    </row>
    <row r="11" spans="1:45" x14ac:dyDescent="0.3">
      <c r="C11" s="451"/>
      <c r="D11" s="85"/>
      <c r="E11" s="86"/>
      <c r="F11" s="87"/>
      <c r="H11" s="183"/>
      <c r="I11" s="183"/>
      <c r="J11" s="183"/>
      <c r="K11" s="183"/>
      <c r="L11" s="183"/>
      <c r="M11" s="183"/>
      <c r="N11" s="183"/>
      <c r="O11" s="183"/>
      <c r="P11" s="183"/>
      <c r="Q11" s="183"/>
      <c r="R11" s="183"/>
      <c r="S11" s="183"/>
      <c r="T11" s="183"/>
      <c r="U11" s="183"/>
      <c r="V11" s="183"/>
      <c r="W11" s="183"/>
      <c r="X11" s="183"/>
      <c r="Y11" s="183"/>
      <c r="Z11" s="183"/>
      <c r="AA11" s="183"/>
      <c r="AB11" s="378" t="s">
        <v>577</v>
      </c>
      <c r="AC11" s="455"/>
      <c r="AD11" s="455"/>
      <c r="AE11" s="455"/>
    </row>
    <row r="12" spans="1:45" ht="15.75" customHeight="1" x14ac:dyDescent="0.3">
      <c r="C12" s="451"/>
      <c r="D12" s="85"/>
      <c r="E12" s="86"/>
      <c r="F12" s="87"/>
      <c r="H12" s="183"/>
      <c r="I12" s="183"/>
      <c r="J12" s="183"/>
      <c r="K12" s="183"/>
      <c r="L12" s="183"/>
      <c r="M12" s="183"/>
      <c r="N12" s="183"/>
      <c r="O12" s="183"/>
      <c r="P12" s="183"/>
      <c r="Q12" s="183"/>
      <c r="R12" s="183"/>
      <c r="S12" s="183"/>
      <c r="T12" s="183"/>
      <c r="U12" s="183"/>
      <c r="V12" s="183"/>
      <c r="W12" s="183"/>
      <c r="X12" s="183"/>
      <c r="Y12" s="183"/>
      <c r="Z12" s="183"/>
      <c r="AA12" s="183"/>
      <c r="AB12" s="378" t="s">
        <v>587</v>
      </c>
      <c r="AC12" s="455"/>
      <c r="AD12" s="455"/>
      <c r="AE12" s="455"/>
    </row>
    <row r="13" spans="1:45" x14ac:dyDescent="0.3">
      <c r="C13" s="451"/>
      <c r="D13" s="85"/>
      <c r="E13" s="86"/>
      <c r="F13" s="87"/>
      <c r="H13" s="183"/>
      <c r="I13" s="183"/>
      <c r="J13" s="183"/>
      <c r="K13" s="183"/>
      <c r="L13" s="183"/>
      <c r="M13" s="183"/>
      <c r="N13" s="183"/>
      <c r="O13" s="183"/>
      <c r="P13" s="183"/>
      <c r="Q13" s="183"/>
      <c r="R13" s="183"/>
      <c r="S13" s="183"/>
      <c r="T13" s="183"/>
      <c r="U13" s="183"/>
      <c r="V13" s="183"/>
      <c r="W13" s="183"/>
      <c r="X13" s="183"/>
      <c r="Y13" s="183"/>
      <c r="Z13" s="183"/>
      <c r="AA13" s="183"/>
      <c r="AB13" s="378" t="s">
        <v>576</v>
      </c>
      <c r="AC13" s="455"/>
      <c r="AD13" s="455"/>
      <c r="AE13" s="455"/>
    </row>
    <row r="14" spans="1:45" x14ac:dyDescent="0.3">
      <c r="C14" s="451"/>
      <c r="D14" s="85"/>
      <c r="E14" s="86"/>
      <c r="F14" s="87"/>
      <c r="H14" s="183"/>
      <c r="I14" s="183"/>
      <c r="J14" s="183"/>
      <c r="K14" s="183"/>
      <c r="L14" s="183"/>
      <c r="M14" s="183"/>
      <c r="N14" s="183"/>
      <c r="O14" s="183"/>
      <c r="P14" s="183"/>
      <c r="Q14" s="183"/>
      <c r="R14" s="183"/>
      <c r="S14" s="183"/>
      <c r="T14" s="183"/>
      <c r="U14" s="183"/>
      <c r="V14" s="183"/>
      <c r="W14" s="183"/>
      <c r="X14" s="183"/>
      <c r="Y14" s="183"/>
      <c r="Z14" s="183"/>
      <c r="AA14" s="183"/>
      <c r="AB14" s="378" t="s">
        <v>590</v>
      </c>
      <c r="AC14" s="455"/>
      <c r="AD14" s="455"/>
      <c r="AE14" s="455"/>
    </row>
    <row r="15" spans="1:45" ht="17.25" customHeight="1" x14ac:dyDescent="0.3">
      <c r="C15" s="451"/>
      <c r="D15" s="85"/>
      <c r="E15" s="86"/>
      <c r="F15" s="87"/>
      <c r="H15" s="183"/>
      <c r="I15" s="183"/>
      <c r="J15" s="183"/>
      <c r="K15" s="183"/>
      <c r="L15" s="183"/>
      <c r="M15" s="183"/>
      <c r="N15" s="183"/>
      <c r="O15" s="183"/>
      <c r="P15" s="183"/>
      <c r="Q15" s="183"/>
      <c r="R15" s="183"/>
      <c r="S15" s="183"/>
      <c r="T15" s="183"/>
      <c r="U15" s="183"/>
      <c r="V15" s="183"/>
      <c r="W15" s="183"/>
      <c r="X15" s="183"/>
      <c r="Y15" s="183"/>
      <c r="Z15" s="183"/>
      <c r="AA15" s="183"/>
      <c r="AB15" s="378" t="s">
        <v>575</v>
      </c>
      <c r="AC15" s="455"/>
      <c r="AD15" s="455"/>
      <c r="AE15" s="455"/>
    </row>
    <row r="16" spans="1:45" ht="17.25" customHeight="1" x14ac:dyDescent="0.3">
      <c r="C16" s="451"/>
      <c r="D16" s="85"/>
      <c r="E16" s="86"/>
      <c r="F16" s="87"/>
      <c r="H16" s="183"/>
      <c r="I16" s="183"/>
      <c r="J16" s="183"/>
      <c r="K16" s="183"/>
      <c r="L16" s="183"/>
      <c r="M16" s="183"/>
      <c r="N16" s="183"/>
      <c r="O16" s="183"/>
      <c r="P16" s="183"/>
      <c r="Q16" s="183"/>
      <c r="R16" s="183"/>
      <c r="S16" s="183"/>
      <c r="T16" s="183"/>
      <c r="U16" s="183"/>
      <c r="V16" s="183"/>
      <c r="W16" s="183"/>
      <c r="X16" s="183"/>
      <c r="Y16" s="183"/>
      <c r="Z16" s="183"/>
      <c r="AA16" s="183"/>
      <c r="AB16" s="378" t="s">
        <v>645</v>
      </c>
      <c r="AC16" s="455"/>
      <c r="AD16" s="455"/>
      <c r="AE16" s="455"/>
    </row>
    <row r="17" spans="3:31" ht="17.25" customHeight="1" x14ac:dyDescent="0.3">
      <c r="C17" s="456" t="b">
        <v>0</v>
      </c>
      <c r="D17" s="85"/>
      <c r="E17" s="86"/>
      <c r="F17" s="87"/>
      <c r="H17" s="183"/>
      <c r="I17" s="183"/>
      <c r="J17" s="183"/>
      <c r="K17" s="183"/>
      <c r="L17" s="183"/>
      <c r="M17" s="183"/>
      <c r="N17" s="183"/>
      <c r="O17" s="183"/>
      <c r="P17" s="183"/>
      <c r="Q17" s="183"/>
      <c r="R17" s="183"/>
      <c r="S17" s="183"/>
      <c r="T17" s="183"/>
      <c r="U17" s="183"/>
      <c r="V17" s="183"/>
      <c r="W17" s="183"/>
      <c r="X17" s="183"/>
      <c r="Y17" s="183"/>
      <c r="Z17" s="183"/>
      <c r="AA17" s="183"/>
      <c r="AB17" s="382" t="s">
        <v>589</v>
      </c>
      <c r="AC17" s="383"/>
      <c r="AD17" s="383"/>
      <c r="AE17" s="383"/>
    </row>
    <row r="18" spans="3:31" x14ac:dyDescent="0.3">
      <c r="C18" s="451"/>
      <c r="D18" s="85"/>
      <c r="E18" s="86"/>
      <c r="F18" s="87"/>
      <c r="H18" s="183"/>
      <c r="I18" s="183"/>
      <c r="J18" s="183"/>
      <c r="K18" s="183"/>
      <c r="L18" s="183"/>
      <c r="M18" s="183"/>
      <c r="N18" s="183"/>
      <c r="O18" s="183"/>
      <c r="P18" s="183"/>
      <c r="Q18" s="183"/>
      <c r="R18" s="183"/>
      <c r="S18" s="183"/>
      <c r="T18" s="183"/>
      <c r="U18" s="183"/>
      <c r="V18" s="183"/>
      <c r="W18" s="183"/>
      <c r="X18" s="183"/>
      <c r="Y18" s="183"/>
      <c r="Z18" s="183"/>
      <c r="AA18" s="183"/>
      <c r="AB18" s="379" t="s">
        <v>646</v>
      </c>
      <c r="AC18" s="455"/>
      <c r="AD18" s="455"/>
      <c r="AE18" s="455"/>
    </row>
    <row r="19" spans="3:31" x14ac:dyDescent="0.3">
      <c r="C19" s="451"/>
      <c r="D19" s="85"/>
      <c r="E19" s="86"/>
      <c r="F19" s="87"/>
      <c r="H19" s="183"/>
      <c r="I19" s="183"/>
      <c r="J19" s="183"/>
      <c r="K19" s="183"/>
      <c r="L19" s="183"/>
      <c r="M19" s="183"/>
      <c r="N19" s="183"/>
      <c r="O19" s="183"/>
      <c r="P19" s="183"/>
      <c r="Q19" s="183"/>
      <c r="R19" s="183"/>
      <c r="S19" s="183"/>
      <c r="T19" s="183"/>
      <c r="U19" s="183"/>
      <c r="V19" s="183"/>
      <c r="W19" s="183"/>
      <c r="X19" s="183"/>
      <c r="Y19" s="183"/>
      <c r="Z19" s="183"/>
      <c r="AA19" s="183"/>
      <c r="AB19" s="378" t="s">
        <v>578</v>
      </c>
      <c r="AC19" s="455"/>
      <c r="AD19" s="455"/>
      <c r="AE19" s="455"/>
    </row>
    <row r="20" spans="3:31" x14ac:dyDescent="0.3">
      <c r="C20" s="451"/>
      <c r="D20" s="85"/>
      <c r="E20" s="86"/>
      <c r="F20" s="87"/>
      <c r="H20" s="183"/>
      <c r="I20" s="183"/>
      <c r="J20" s="183"/>
      <c r="K20" s="183"/>
      <c r="L20" s="183"/>
      <c r="M20" s="183"/>
      <c r="N20" s="183"/>
      <c r="O20" s="183"/>
      <c r="P20" s="183"/>
      <c r="Q20" s="183"/>
      <c r="R20" s="183"/>
      <c r="S20" s="183"/>
      <c r="T20" s="183"/>
      <c r="U20" s="183"/>
      <c r="V20" s="183"/>
      <c r="W20" s="183"/>
      <c r="X20" s="183"/>
      <c r="Y20" s="183"/>
      <c r="Z20" s="183"/>
      <c r="AA20" s="183"/>
      <c r="AB20" s="378" t="s">
        <v>579</v>
      </c>
      <c r="AC20" s="455"/>
      <c r="AD20" s="455"/>
      <c r="AE20" s="455"/>
    </row>
    <row r="21" spans="3:31" x14ac:dyDescent="0.3">
      <c r="C21" s="451"/>
      <c r="D21" s="85"/>
      <c r="E21" s="86"/>
      <c r="F21" s="87"/>
      <c r="H21" s="183"/>
      <c r="I21" s="183"/>
      <c r="J21" s="183"/>
      <c r="K21" s="183"/>
      <c r="L21" s="183"/>
      <c r="M21" s="183"/>
      <c r="N21" s="183"/>
      <c r="O21" s="183"/>
      <c r="P21" s="183"/>
      <c r="Q21" s="183"/>
      <c r="R21" s="183"/>
      <c r="S21" s="183"/>
      <c r="T21" s="183"/>
      <c r="U21" s="183"/>
      <c r="V21" s="183"/>
      <c r="W21" s="183"/>
      <c r="X21" s="183"/>
      <c r="Y21" s="183"/>
      <c r="Z21" s="183"/>
      <c r="AA21" s="183"/>
      <c r="AB21" s="378" t="s">
        <v>580</v>
      </c>
      <c r="AC21" s="455"/>
      <c r="AD21" s="455"/>
      <c r="AE21" s="455"/>
    </row>
    <row r="22" spans="3:31" x14ac:dyDescent="0.3">
      <c r="C22" s="451"/>
      <c r="D22" s="85"/>
      <c r="E22" s="86"/>
      <c r="F22" s="87"/>
      <c r="H22" s="183"/>
      <c r="I22" s="183"/>
      <c r="J22" s="183"/>
      <c r="K22" s="183"/>
      <c r="L22" s="183"/>
      <c r="M22" s="183"/>
      <c r="N22" s="183"/>
      <c r="O22" s="183"/>
      <c r="P22" s="183"/>
      <c r="Q22" s="183"/>
      <c r="R22" s="183"/>
      <c r="S22" s="183"/>
      <c r="T22" s="183"/>
      <c r="U22" s="183"/>
      <c r="V22" s="183"/>
      <c r="W22" s="183"/>
      <c r="X22" s="183"/>
      <c r="Y22" s="183"/>
      <c r="Z22" s="183"/>
      <c r="AA22" s="183"/>
      <c r="AB22" s="378" t="s">
        <v>581</v>
      </c>
      <c r="AC22" s="455"/>
      <c r="AD22" s="455"/>
      <c r="AE22" s="455"/>
    </row>
    <row r="23" spans="3:31" x14ac:dyDescent="0.3">
      <c r="C23" s="451"/>
      <c r="D23" s="85"/>
      <c r="E23" s="86"/>
      <c r="F23" s="87"/>
      <c r="H23" s="183"/>
      <c r="I23" s="183"/>
      <c r="J23" s="183"/>
      <c r="K23" s="183"/>
      <c r="L23" s="183"/>
      <c r="M23" s="183"/>
      <c r="N23" s="183"/>
      <c r="O23" s="183"/>
      <c r="P23" s="183"/>
      <c r="Q23" s="183"/>
      <c r="R23" s="183"/>
      <c r="S23" s="183"/>
      <c r="T23" s="183"/>
      <c r="U23" s="183"/>
      <c r="V23" s="183"/>
      <c r="W23" s="183"/>
      <c r="X23" s="183"/>
      <c r="Y23" s="183"/>
      <c r="Z23" s="183"/>
      <c r="AA23" s="183"/>
      <c r="AB23" s="378" t="s">
        <v>582</v>
      </c>
      <c r="AC23" s="455"/>
      <c r="AD23" s="455"/>
      <c r="AE23" s="455"/>
    </row>
    <row r="24" spans="3:31" x14ac:dyDescent="0.3">
      <c r="C24" s="451"/>
      <c r="D24" s="85"/>
      <c r="E24" s="86"/>
      <c r="F24" s="87"/>
      <c r="H24" s="183"/>
      <c r="I24" s="183"/>
      <c r="J24" s="183"/>
      <c r="K24" s="183"/>
      <c r="L24" s="183"/>
      <c r="M24" s="183"/>
      <c r="N24" s="183"/>
      <c r="O24" s="183"/>
      <c r="P24" s="183"/>
      <c r="Q24" s="183"/>
      <c r="R24" s="183"/>
      <c r="S24" s="183"/>
      <c r="T24" s="183"/>
      <c r="U24" s="183"/>
      <c r="V24" s="183"/>
      <c r="W24" s="183"/>
      <c r="X24" s="183"/>
      <c r="Y24" s="183"/>
      <c r="Z24" s="183"/>
      <c r="AA24" s="183"/>
      <c r="AB24" s="382" t="s">
        <v>588</v>
      </c>
      <c r="AC24" s="383"/>
      <c r="AD24" s="383"/>
      <c r="AE24" s="383"/>
    </row>
    <row r="25" spans="3:31" x14ac:dyDescent="0.3">
      <c r="C25" s="456" t="b">
        <v>0</v>
      </c>
      <c r="D25" s="85"/>
      <c r="E25" s="86"/>
      <c r="F25" s="87"/>
      <c r="H25" s="183"/>
      <c r="I25" s="183"/>
      <c r="J25" s="183"/>
      <c r="K25" s="183"/>
      <c r="L25" s="183"/>
      <c r="M25" s="183"/>
      <c r="N25" s="183"/>
      <c r="O25" s="183"/>
      <c r="P25" s="183"/>
      <c r="Q25" s="183"/>
      <c r="R25" s="183"/>
      <c r="S25" s="183"/>
      <c r="T25" s="183"/>
      <c r="U25" s="183"/>
      <c r="V25" s="183"/>
      <c r="W25" s="183"/>
      <c r="X25" s="183"/>
      <c r="Y25" s="183"/>
      <c r="Z25" s="183"/>
      <c r="AA25" s="183"/>
      <c r="AB25" s="378" t="s">
        <v>592</v>
      </c>
      <c r="AC25" s="455"/>
      <c r="AD25" s="455"/>
      <c r="AE25" s="455"/>
    </row>
    <row r="26" spans="3:31" x14ac:dyDescent="0.3">
      <c r="C26" s="451"/>
      <c r="D26" s="85"/>
      <c r="E26" s="86"/>
      <c r="F26" s="87"/>
      <c r="H26" s="183"/>
      <c r="I26" s="183"/>
      <c r="J26" s="183"/>
      <c r="K26" s="183"/>
      <c r="L26" s="183"/>
      <c r="M26" s="183"/>
      <c r="N26" s="183"/>
      <c r="O26" s="183"/>
      <c r="P26" s="183"/>
      <c r="Q26" s="183"/>
      <c r="R26" s="183"/>
      <c r="S26" s="183"/>
      <c r="T26" s="183"/>
      <c r="U26" s="183"/>
      <c r="V26" s="183"/>
      <c r="W26" s="183"/>
      <c r="X26" s="183"/>
      <c r="Y26" s="183"/>
      <c r="Z26" s="183"/>
      <c r="AA26" s="183"/>
      <c r="AB26" s="378" t="s">
        <v>593</v>
      </c>
      <c r="AC26" s="455"/>
      <c r="AD26" s="455"/>
      <c r="AE26" s="455"/>
    </row>
    <row r="27" spans="3:31" x14ac:dyDescent="0.3">
      <c r="C27" s="451"/>
      <c r="D27" s="85"/>
      <c r="E27" s="86"/>
      <c r="F27" s="87"/>
      <c r="H27" s="183"/>
      <c r="I27" s="183"/>
      <c r="J27" s="183"/>
      <c r="K27" s="183"/>
      <c r="L27" s="183"/>
      <c r="M27" s="183"/>
      <c r="N27" s="183"/>
      <c r="O27" s="183"/>
      <c r="P27" s="183"/>
      <c r="Q27" s="183"/>
      <c r="R27" s="183"/>
      <c r="S27" s="183"/>
      <c r="T27" s="183"/>
      <c r="U27" s="183"/>
      <c r="V27" s="183"/>
      <c r="W27" s="183"/>
      <c r="X27" s="183"/>
      <c r="Y27" s="183"/>
      <c r="Z27" s="183"/>
      <c r="AA27" s="183"/>
      <c r="AB27" s="379" t="s">
        <v>594</v>
      </c>
      <c r="AC27" s="455"/>
      <c r="AD27" s="455"/>
      <c r="AE27" s="455"/>
    </row>
    <row r="28" spans="3:31" ht="15" customHeight="1" x14ac:dyDescent="0.3">
      <c r="C28" s="451"/>
      <c r="D28" s="85"/>
      <c r="E28" s="86"/>
      <c r="F28" s="87"/>
      <c r="H28" s="183"/>
      <c r="I28" s="183"/>
      <c r="J28" s="183"/>
      <c r="K28" s="183"/>
      <c r="L28" s="183"/>
      <c r="M28" s="183"/>
      <c r="N28" s="183"/>
      <c r="O28" s="183"/>
      <c r="P28" s="183"/>
      <c r="Q28" s="183"/>
      <c r="R28" s="183"/>
      <c r="S28" s="183"/>
      <c r="T28" s="183"/>
      <c r="U28" s="183"/>
      <c r="V28" s="183"/>
      <c r="W28" s="183"/>
      <c r="X28" s="183"/>
      <c r="Y28" s="183"/>
      <c r="Z28" s="183"/>
      <c r="AA28" s="183"/>
      <c r="AB28" s="378" t="s">
        <v>595</v>
      </c>
      <c r="AC28" s="455"/>
      <c r="AD28" s="455"/>
      <c r="AE28" s="455"/>
    </row>
    <row r="29" spans="3:31" ht="15" customHeight="1" x14ac:dyDescent="0.3">
      <c r="C29" s="451"/>
      <c r="D29" s="85"/>
      <c r="E29" s="86"/>
      <c r="F29" s="87"/>
      <c r="H29" s="183"/>
      <c r="I29" s="183"/>
      <c r="J29" s="183"/>
      <c r="K29" s="183"/>
      <c r="L29" s="183"/>
      <c r="M29" s="183"/>
      <c r="N29" s="183"/>
      <c r="O29" s="183"/>
      <c r="P29" s="183"/>
      <c r="Q29" s="183"/>
      <c r="R29" s="183"/>
      <c r="S29" s="183"/>
      <c r="T29" s="183"/>
      <c r="U29" s="183"/>
      <c r="V29" s="183"/>
      <c r="W29" s="183"/>
      <c r="X29" s="183"/>
      <c r="Y29" s="183"/>
      <c r="Z29" s="183"/>
      <c r="AA29" s="183"/>
      <c r="AB29" s="378" t="s">
        <v>596</v>
      </c>
      <c r="AC29" s="455"/>
      <c r="AD29" s="455"/>
      <c r="AE29" s="455"/>
    </row>
    <row r="30" spans="3:31" ht="15" customHeight="1" x14ac:dyDescent="0.3">
      <c r="C30" s="451"/>
      <c r="D30" s="85"/>
      <c r="E30" s="86"/>
      <c r="F30" s="87"/>
      <c r="H30" s="183"/>
      <c r="I30" s="183"/>
      <c r="J30" s="183"/>
      <c r="K30" s="183"/>
      <c r="L30" s="183"/>
      <c r="M30" s="183"/>
      <c r="N30" s="183"/>
      <c r="O30" s="183"/>
      <c r="P30" s="183"/>
      <c r="Q30" s="183"/>
      <c r="R30" s="183"/>
      <c r="S30" s="183"/>
      <c r="T30" s="183"/>
      <c r="U30" s="183"/>
      <c r="V30" s="183"/>
      <c r="W30" s="183"/>
      <c r="X30" s="183"/>
      <c r="Y30" s="183"/>
      <c r="Z30" s="183"/>
      <c r="AA30" s="183"/>
      <c r="AB30" s="378" t="s">
        <v>583</v>
      </c>
      <c r="AC30" s="455"/>
      <c r="AD30" s="455"/>
      <c r="AE30" s="455"/>
    </row>
    <row r="31" spans="3:31" x14ac:dyDescent="0.3">
      <c r="C31" s="451"/>
      <c r="D31" s="85"/>
      <c r="E31" s="86"/>
      <c r="F31" s="87"/>
      <c r="H31" s="183"/>
      <c r="I31" s="183"/>
      <c r="J31" s="183"/>
      <c r="K31" s="183"/>
      <c r="L31" s="183"/>
      <c r="M31" s="183"/>
      <c r="N31" s="183"/>
      <c r="O31" s="183"/>
      <c r="P31" s="183"/>
      <c r="Q31" s="183"/>
      <c r="R31" s="183"/>
      <c r="S31" s="183"/>
      <c r="T31" s="183"/>
      <c r="U31" s="183"/>
      <c r="V31" s="183"/>
      <c r="W31" s="183"/>
      <c r="X31" s="183"/>
      <c r="Y31" s="183"/>
      <c r="Z31" s="183"/>
      <c r="AA31" s="183"/>
      <c r="AB31" s="378" t="s">
        <v>584</v>
      </c>
      <c r="AC31" s="455"/>
      <c r="AD31" s="455"/>
      <c r="AE31" s="455"/>
    </row>
    <row r="32" spans="3:31" x14ac:dyDescent="0.3">
      <c r="C32" s="451"/>
      <c r="D32" s="85"/>
      <c r="E32" s="86"/>
      <c r="F32" s="87"/>
      <c r="H32" s="183"/>
      <c r="I32" s="183"/>
      <c r="J32" s="183"/>
      <c r="K32" s="183"/>
      <c r="L32" s="183"/>
      <c r="M32" s="183"/>
      <c r="N32" s="183"/>
      <c r="O32" s="183"/>
      <c r="P32" s="183"/>
      <c r="Q32" s="183"/>
      <c r="R32" s="183"/>
      <c r="S32" s="183"/>
      <c r="T32" s="183"/>
      <c r="U32" s="183"/>
      <c r="V32" s="183"/>
      <c r="W32" s="183"/>
      <c r="X32" s="183"/>
      <c r="Y32" s="183"/>
      <c r="Z32" s="183"/>
      <c r="AA32" s="183"/>
      <c r="AB32" s="380" t="s">
        <v>585</v>
      </c>
      <c r="AC32" s="381"/>
      <c r="AD32" s="381"/>
      <c r="AE32" s="381"/>
    </row>
    <row r="33" spans="3:31" ht="17.25" customHeight="1" x14ac:dyDescent="0.3">
      <c r="C33" s="451"/>
      <c r="D33" s="85"/>
      <c r="E33" s="86"/>
      <c r="F33" s="87"/>
      <c r="H33" s="183"/>
      <c r="I33" s="183"/>
      <c r="J33" s="183"/>
      <c r="K33" s="183"/>
      <c r="L33" s="183"/>
      <c r="M33" s="183"/>
      <c r="N33" s="183"/>
      <c r="O33" s="183"/>
      <c r="P33" s="183"/>
      <c r="Q33" s="183"/>
      <c r="R33" s="183"/>
      <c r="S33" s="183"/>
      <c r="T33" s="183"/>
      <c r="U33" s="183"/>
      <c r="V33" s="183"/>
      <c r="W33" s="183"/>
      <c r="X33" s="183"/>
      <c r="Y33" s="183"/>
      <c r="Z33" s="183"/>
      <c r="AA33" s="183"/>
      <c r="AB33" s="402" t="s">
        <v>307</v>
      </c>
      <c r="AC33" s="403" t="str">
        <f>IF(OR(AND(AC11="Yes",AC13="Yes"),AND(AC12="Yes",AC15="Yes")),"Available","More data needed")</f>
        <v>More data needed</v>
      </c>
      <c r="AD33" s="403" t="str">
        <f>IF(OR(AND(AD11="Yes",AD13="Yes"),AND(AD12="Yes",AD15="Yes")),"Available","More data needed")</f>
        <v>More data needed</v>
      </c>
      <c r="AE33" s="403" t="str">
        <f>IF(OR(AND(AE11="Yes",AE13="Yes"),AND(AE12="Yes",AE15="Yes")),"Available","More data needed")</f>
        <v>More data needed</v>
      </c>
    </row>
    <row r="34" spans="3:31" ht="17.25" customHeight="1" x14ac:dyDescent="0.3">
      <c r="C34" s="451"/>
      <c r="D34" s="85"/>
      <c r="E34" s="86"/>
      <c r="F34" s="87"/>
      <c r="H34" s="183"/>
      <c r="I34" s="183"/>
      <c r="J34" s="183"/>
      <c r="K34" s="183"/>
      <c r="L34" s="183"/>
      <c r="M34" s="183"/>
      <c r="N34" s="183"/>
      <c r="O34" s="183"/>
      <c r="P34" s="183"/>
      <c r="Q34" s="183"/>
      <c r="R34" s="183"/>
      <c r="S34" s="183"/>
      <c r="T34" s="183"/>
      <c r="U34" s="183"/>
      <c r="V34" s="183"/>
      <c r="W34" s="183"/>
      <c r="X34" s="183"/>
      <c r="Y34" s="183"/>
      <c r="Z34" s="183"/>
      <c r="AA34" s="183"/>
      <c r="AB34" s="402" t="s">
        <v>306</v>
      </c>
      <c r="AC34" s="403" t="str">
        <f>IF(AND(AC14="Yes",OR(AC16="Yes",AC15="Yes")),"Available","More data needed")</f>
        <v>More data needed</v>
      </c>
      <c r="AD34" s="403" t="str">
        <f>IF(AND(AD14="Yes",OR(AD16="Yes",AD15="Yes")),"Available","More data needed")</f>
        <v>More data needed</v>
      </c>
      <c r="AE34" s="403" t="str">
        <f>IF(AND(AE14="Yes",OR(AE16="Yes",AE15="Yes")),"Available","More data needed")</f>
        <v>More data needed</v>
      </c>
    </row>
    <row r="35" spans="3:31" ht="17.25" customHeight="1" x14ac:dyDescent="0.3">
      <c r="C35" s="456" t="b">
        <v>0</v>
      </c>
      <c r="D35" s="85"/>
      <c r="E35" s="86"/>
      <c r="F35" s="87"/>
      <c r="H35" s="183"/>
      <c r="I35" s="183"/>
      <c r="J35" s="183"/>
      <c r="K35" s="183"/>
      <c r="L35" s="183"/>
      <c r="M35" s="183"/>
      <c r="N35" s="183"/>
      <c r="O35" s="183"/>
      <c r="P35" s="183"/>
      <c r="Q35" s="183"/>
      <c r="R35" s="183"/>
      <c r="S35" s="183"/>
      <c r="T35" s="183"/>
      <c r="U35" s="183"/>
      <c r="V35" s="183"/>
      <c r="W35" s="183"/>
      <c r="X35" s="183"/>
      <c r="Y35" s="183"/>
      <c r="Z35" s="183"/>
      <c r="AA35" s="183"/>
      <c r="AB35" s="402" t="s">
        <v>473</v>
      </c>
      <c r="AC35" s="403" t="str">
        <f>IF(AND(AC18="Yes",AC19="Yes"),"Available","More data needed")</f>
        <v>More data needed</v>
      </c>
      <c r="AD35" s="403" t="str">
        <f>IF(AND(AD18="Yes",AD19="Yes"),"Available","More data needed")</f>
        <v>More data needed</v>
      </c>
      <c r="AE35" s="403" t="str">
        <f>IF(AND(AE18="Yes",AE19="Yes"),"Available","More data needed")</f>
        <v>More data needed</v>
      </c>
    </row>
    <row r="36" spans="3:31" ht="17.25" customHeight="1" x14ac:dyDescent="0.3">
      <c r="C36" s="451"/>
      <c r="D36" s="85"/>
      <c r="E36" s="86"/>
      <c r="F36" s="87"/>
      <c r="H36" s="183"/>
      <c r="I36" s="183"/>
      <c r="J36" s="183"/>
      <c r="K36" s="183"/>
      <c r="L36" s="183"/>
      <c r="M36" s="183"/>
      <c r="N36" s="183"/>
      <c r="O36" s="183"/>
      <c r="P36" s="183"/>
      <c r="Q36" s="183"/>
      <c r="R36" s="183"/>
      <c r="S36" s="183"/>
      <c r="T36" s="183"/>
      <c r="U36" s="183"/>
      <c r="V36" s="183"/>
      <c r="W36" s="183"/>
      <c r="X36" s="183"/>
      <c r="Y36" s="183"/>
      <c r="Z36" s="183"/>
      <c r="AA36" s="183"/>
      <c r="AB36" s="402" t="s">
        <v>305</v>
      </c>
      <c r="AC36" s="403" t="str">
        <f>IF(AND(AC14="Yes",AC20="Yes",AC25="Yes",AC26="Yes"),"Available","More data needed")</f>
        <v>More data needed</v>
      </c>
      <c r="AD36" s="403" t="str">
        <f>IF(AND(AD14="Yes",AD20="Yes",AD25="Yes",AD26="Yes"),"Available","More data needed")</f>
        <v>More data needed</v>
      </c>
      <c r="AE36" s="403" t="str">
        <f>IF(AND(AE14="Yes",AE20="Yes",AE25="Yes",AE26="Yes"),"Available","More data needed")</f>
        <v>More data needed</v>
      </c>
    </row>
    <row r="37" spans="3:31" ht="17.25" customHeight="1" x14ac:dyDescent="0.3">
      <c r="C37" s="451"/>
      <c r="D37" s="85"/>
      <c r="E37" s="86"/>
      <c r="F37" s="87"/>
      <c r="H37" s="183"/>
      <c r="I37" s="183"/>
      <c r="J37" s="183"/>
      <c r="K37" s="183"/>
      <c r="L37" s="183"/>
      <c r="M37" s="183"/>
      <c r="N37" s="183"/>
      <c r="O37" s="183"/>
      <c r="P37" s="183"/>
      <c r="Q37" s="183"/>
      <c r="R37" s="183"/>
      <c r="S37" s="183"/>
      <c r="T37" s="183"/>
      <c r="U37" s="183"/>
      <c r="V37" s="183"/>
      <c r="W37" s="183"/>
      <c r="X37" s="183"/>
      <c r="Y37" s="183"/>
      <c r="Z37" s="183"/>
      <c r="AA37" s="183"/>
      <c r="AB37" s="402" t="s">
        <v>304</v>
      </c>
      <c r="AC37" s="403" t="str">
        <f>IF(AND(AC21="Yes",AC27="Yes",AC22="Yes",AC26="Yes",AC23="Yes"),"Available","More data needed")</f>
        <v>More data needed</v>
      </c>
      <c r="AD37" s="403" t="str">
        <f>IF(AND(AD21="Yes",AD27="Yes",AD22="Yes",AD26="Yes",AD23="Yes"),"Available","More data needed")</f>
        <v>More data needed</v>
      </c>
      <c r="AE37" s="403" t="str">
        <f>IF(AND(AE21="Yes",AE27="Yes",AE22="Yes",AE26="Yes",AE23="Yes"),"Available","More data needed")</f>
        <v>More data needed</v>
      </c>
    </row>
    <row r="38" spans="3:31" ht="13.5" customHeight="1" x14ac:dyDescent="0.3">
      <c r="C38" s="451"/>
      <c r="D38" s="85"/>
      <c r="E38" s="86"/>
      <c r="F38" s="87"/>
      <c r="H38" s="183"/>
      <c r="I38" s="183"/>
      <c r="J38" s="183"/>
      <c r="K38" s="183"/>
      <c r="L38" s="183"/>
      <c r="M38" s="183"/>
      <c r="N38" s="183"/>
      <c r="O38" s="183"/>
      <c r="P38" s="183"/>
      <c r="Q38" s="183"/>
      <c r="R38" s="183"/>
      <c r="S38" s="183"/>
      <c r="T38" s="183"/>
      <c r="U38" s="183"/>
      <c r="V38" s="183"/>
      <c r="W38" s="183"/>
      <c r="X38" s="183"/>
      <c r="Y38" s="183"/>
      <c r="Z38" s="183"/>
      <c r="AA38" s="183"/>
      <c r="AB38" s="402" t="s">
        <v>586</v>
      </c>
      <c r="AC38" s="403" t="str">
        <f>IF(AND(AC30="Yes",AC31="Yes",AC18="Yes",AC19="Yes",AC28="Yes",AC29="Yes"),"Available","More data needed")</f>
        <v>More data needed</v>
      </c>
      <c r="AD38" s="403" t="str">
        <f>IF(AND(AD30="Yes",AD31="Yes",AD18="Yes",AD19="Yes",AD28="Yes",AD29="Yes"),"Available","More data needed")</f>
        <v>More data needed</v>
      </c>
      <c r="AE38" s="403" t="str">
        <f>IF(AND(AE30="Yes",AE31="Yes",AE18="Yes",AE19="Yes",AE28="Yes",AE29="Yes"),"Available","More data needed")</f>
        <v>More data needed</v>
      </c>
    </row>
    <row r="39" spans="3:31" ht="17.25" customHeight="1" x14ac:dyDescent="0.3">
      <c r="C39" s="451"/>
      <c r="D39" s="85"/>
      <c r="E39" s="86"/>
      <c r="F39" s="87"/>
      <c r="H39" s="183"/>
      <c r="I39" s="183"/>
      <c r="J39" s="183"/>
      <c r="K39" s="183"/>
      <c r="L39" s="183"/>
      <c r="M39" s="183"/>
      <c r="N39" s="183"/>
      <c r="O39" s="183"/>
      <c r="P39" s="183"/>
      <c r="Q39" s="183"/>
      <c r="R39" s="183"/>
      <c r="S39" s="183"/>
      <c r="T39" s="183"/>
      <c r="U39" s="183"/>
      <c r="V39" s="183"/>
      <c r="W39" s="183"/>
      <c r="X39" s="183"/>
      <c r="Y39" s="183"/>
      <c r="Z39" s="183"/>
      <c r="AA39" s="183"/>
    </row>
    <row r="40" spans="3:31" ht="17.25" customHeight="1" x14ac:dyDescent="0.3">
      <c r="C40" s="451"/>
      <c r="D40" s="85"/>
      <c r="E40" s="86"/>
      <c r="F40" s="87"/>
      <c r="H40" s="183"/>
      <c r="I40" s="183"/>
      <c r="J40" s="183"/>
      <c r="K40" s="183"/>
      <c r="L40" s="183"/>
      <c r="M40" s="183"/>
      <c r="N40" s="183"/>
      <c r="O40" s="183"/>
      <c r="P40" s="183"/>
      <c r="Q40" s="183"/>
      <c r="R40" s="183"/>
      <c r="S40" s="183"/>
      <c r="T40" s="183"/>
      <c r="U40" s="183"/>
      <c r="V40" s="183"/>
      <c r="W40" s="183"/>
      <c r="X40" s="183"/>
      <c r="Y40" s="183"/>
      <c r="Z40" s="183"/>
      <c r="AA40" s="183"/>
    </row>
    <row r="41" spans="3:31" ht="12" customHeight="1" x14ac:dyDescent="0.3">
      <c r="C41" s="451"/>
      <c r="D41" s="85"/>
      <c r="E41" s="86"/>
      <c r="F41" s="87"/>
      <c r="H41" s="183"/>
      <c r="I41" s="183"/>
      <c r="J41" s="183"/>
      <c r="K41" s="183"/>
      <c r="L41" s="183"/>
      <c r="M41" s="183"/>
      <c r="N41" s="183"/>
      <c r="O41" s="183"/>
      <c r="P41" s="183"/>
      <c r="Q41" s="183"/>
      <c r="R41" s="183"/>
      <c r="S41" s="183"/>
      <c r="T41" s="183"/>
      <c r="U41" s="183"/>
      <c r="V41" s="183"/>
      <c r="W41" s="183"/>
      <c r="X41" s="183"/>
      <c r="Y41" s="183"/>
      <c r="Z41" s="183"/>
      <c r="AA41" s="183"/>
    </row>
    <row r="42" spans="3:31" x14ac:dyDescent="0.3">
      <c r="C42" s="451"/>
      <c r="D42" s="85"/>
      <c r="E42" s="86"/>
      <c r="F42" s="87"/>
      <c r="H42" s="183"/>
      <c r="I42" s="183"/>
      <c r="J42" s="183"/>
      <c r="K42" s="183"/>
      <c r="L42" s="183"/>
      <c r="M42" s="183"/>
      <c r="N42" s="183"/>
      <c r="O42" s="183"/>
      <c r="P42" s="183"/>
      <c r="Q42" s="183"/>
      <c r="R42" s="183"/>
      <c r="S42" s="183"/>
      <c r="T42" s="183"/>
      <c r="U42" s="183"/>
      <c r="V42" s="183"/>
      <c r="W42" s="183"/>
      <c r="X42" s="183"/>
      <c r="Y42" s="183"/>
      <c r="Z42" s="183"/>
      <c r="AA42" s="183"/>
      <c r="AB42" s="183"/>
      <c r="AC42" s="183"/>
      <c r="AD42" s="183"/>
    </row>
    <row r="43" spans="3:31" x14ac:dyDescent="0.3">
      <c r="C43" s="451"/>
      <c r="D43" s="85"/>
      <c r="E43" s="86"/>
      <c r="F43" s="87"/>
      <c r="H43" s="183"/>
      <c r="I43" s="183"/>
      <c r="J43" s="183"/>
      <c r="K43" s="183"/>
      <c r="L43" s="183"/>
      <c r="M43" s="183"/>
      <c r="N43" s="183"/>
      <c r="O43" s="183"/>
      <c r="P43" s="183"/>
      <c r="Q43" s="183"/>
      <c r="R43" s="183"/>
      <c r="S43" s="183"/>
      <c r="T43" s="183"/>
      <c r="U43" s="183"/>
      <c r="V43" s="183"/>
      <c r="W43" s="183"/>
      <c r="X43" s="183"/>
      <c r="Y43" s="183"/>
      <c r="Z43" s="183"/>
      <c r="AA43" s="183"/>
      <c r="AB43" s="183"/>
      <c r="AC43" s="183"/>
      <c r="AD43" s="183"/>
    </row>
    <row r="44" spans="3:31" x14ac:dyDescent="0.3">
      <c r="C44" s="451"/>
      <c r="D44" s="85"/>
      <c r="E44" s="86"/>
      <c r="F44" s="87"/>
      <c r="H44" s="183"/>
      <c r="I44" s="183"/>
      <c r="J44" s="183"/>
      <c r="K44" s="183"/>
      <c r="L44" s="183"/>
      <c r="M44" s="183"/>
      <c r="N44" s="183"/>
      <c r="O44" s="183"/>
      <c r="P44" s="183"/>
      <c r="Q44" s="183"/>
      <c r="R44" s="183"/>
      <c r="S44" s="183"/>
      <c r="T44" s="183"/>
      <c r="U44" s="183"/>
      <c r="V44" s="183"/>
      <c r="W44" s="183"/>
      <c r="X44" s="183"/>
      <c r="Y44" s="183"/>
      <c r="Z44" s="183"/>
      <c r="AA44" s="183"/>
      <c r="AB44" s="183"/>
      <c r="AC44" s="183"/>
      <c r="AD44" s="183"/>
    </row>
    <row r="45" spans="3:31" x14ac:dyDescent="0.3">
      <c r="C45" s="451"/>
      <c r="D45" s="85"/>
      <c r="E45" s="86"/>
      <c r="F45" s="87"/>
      <c r="H45" s="183"/>
      <c r="I45" s="183"/>
      <c r="J45" s="183"/>
      <c r="K45" s="183"/>
      <c r="L45" s="183"/>
      <c r="M45" s="183"/>
      <c r="N45" s="183"/>
      <c r="O45" s="183"/>
      <c r="P45" s="183"/>
      <c r="Q45" s="183"/>
      <c r="R45" s="183"/>
      <c r="S45" s="183"/>
      <c r="T45" s="183"/>
      <c r="U45" s="183"/>
      <c r="V45" s="183"/>
      <c r="W45" s="183"/>
      <c r="X45" s="183"/>
      <c r="Y45" s="183"/>
      <c r="Z45" s="183"/>
      <c r="AA45" s="183"/>
      <c r="AB45" s="183"/>
      <c r="AC45" s="183"/>
      <c r="AD45" s="183"/>
    </row>
    <row r="46" spans="3:31" x14ac:dyDescent="0.3">
      <c r="C46" s="451"/>
      <c r="D46" s="85"/>
      <c r="E46" s="86"/>
      <c r="F46" s="87"/>
      <c r="H46" s="183"/>
      <c r="I46" s="183"/>
      <c r="J46" s="183"/>
      <c r="K46" s="183"/>
      <c r="L46" s="183"/>
      <c r="M46" s="183"/>
      <c r="N46" s="183"/>
      <c r="O46" s="183"/>
      <c r="P46" s="183"/>
      <c r="Q46" s="183"/>
      <c r="R46" s="183"/>
      <c r="S46" s="183"/>
      <c r="T46" s="183"/>
      <c r="U46" s="183"/>
      <c r="V46" s="183"/>
      <c r="W46" s="183"/>
      <c r="X46" s="183"/>
      <c r="Y46" s="183"/>
      <c r="Z46" s="183"/>
      <c r="AA46" s="183"/>
      <c r="AB46" s="183"/>
      <c r="AC46" s="183"/>
      <c r="AD46" s="183"/>
    </row>
    <row r="47" spans="3:31" x14ac:dyDescent="0.3">
      <c r="C47" s="456" t="b">
        <v>0</v>
      </c>
      <c r="D47" s="85"/>
      <c r="E47" s="86"/>
      <c r="F47" s="87"/>
      <c r="H47" s="183"/>
      <c r="I47" s="183"/>
      <c r="J47" s="183"/>
      <c r="K47" s="183"/>
      <c r="L47" s="183"/>
      <c r="M47" s="183"/>
      <c r="N47" s="183"/>
      <c r="O47" s="183"/>
      <c r="P47" s="183"/>
      <c r="Q47" s="183"/>
      <c r="R47" s="183"/>
      <c r="S47" s="183"/>
      <c r="T47" s="183"/>
      <c r="U47" s="183"/>
      <c r="V47" s="183"/>
      <c r="W47" s="183"/>
      <c r="X47" s="183"/>
      <c r="Y47" s="183"/>
      <c r="Z47" s="183"/>
      <c r="AA47" s="183"/>
      <c r="AB47" s="183"/>
      <c r="AC47" s="183"/>
      <c r="AD47" s="183"/>
    </row>
    <row r="48" spans="3:31" x14ac:dyDescent="0.3">
      <c r="C48" s="451"/>
      <c r="D48" s="85"/>
      <c r="E48" s="86"/>
      <c r="F48" s="87"/>
      <c r="H48" s="183"/>
      <c r="I48" s="183"/>
      <c r="J48" s="183"/>
      <c r="K48" s="183"/>
      <c r="L48" s="183"/>
      <c r="M48" s="183"/>
      <c r="N48" s="183"/>
      <c r="O48" s="183"/>
      <c r="P48" s="183"/>
      <c r="Q48" s="183"/>
      <c r="R48" s="183"/>
      <c r="S48" s="183"/>
      <c r="T48" s="183"/>
      <c r="U48" s="183"/>
      <c r="V48" s="183"/>
      <c r="W48" s="183"/>
      <c r="X48" s="183"/>
      <c r="Y48" s="183"/>
      <c r="Z48" s="183"/>
      <c r="AA48" s="183"/>
      <c r="AB48" s="183"/>
      <c r="AC48" s="183"/>
      <c r="AD48" s="183"/>
    </row>
    <row r="49" spans="3:30" x14ac:dyDescent="0.3">
      <c r="C49" s="451"/>
      <c r="D49" s="85"/>
      <c r="E49" s="86"/>
      <c r="F49" s="87"/>
      <c r="H49" s="183"/>
      <c r="I49" s="183"/>
      <c r="J49" s="183"/>
      <c r="K49" s="183"/>
      <c r="L49" s="183"/>
      <c r="M49" s="183"/>
      <c r="N49" s="183"/>
      <c r="O49" s="183"/>
      <c r="P49" s="183"/>
      <c r="Q49" s="183"/>
      <c r="R49" s="183"/>
      <c r="S49" s="183"/>
      <c r="T49" s="183"/>
      <c r="U49" s="183"/>
      <c r="V49" s="183"/>
      <c r="W49" s="183"/>
      <c r="X49" s="183"/>
      <c r="Y49" s="183"/>
      <c r="Z49" s="183"/>
      <c r="AA49" s="183"/>
      <c r="AB49" s="183"/>
      <c r="AC49" s="183"/>
      <c r="AD49" s="183"/>
    </row>
    <row r="50" spans="3:30" x14ac:dyDescent="0.3">
      <c r="C50" s="451"/>
      <c r="D50" s="85"/>
      <c r="E50" s="86"/>
      <c r="F50" s="87"/>
      <c r="H50" s="183"/>
      <c r="I50" s="183"/>
      <c r="J50" s="183"/>
      <c r="K50" s="183"/>
      <c r="L50" s="183"/>
      <c r="M50" s="183"/>
      <c r="N50" s="183"/>
      <c r="O50" s="183"/>
      <c r="P50" s="183"/>
      <c r="Q50" s="183"/>
      <c r="R50" s="183"/>
      <c r="S50" s="183"/>
      <c r="T50" s="183"/>
      <c r="U50" s="183"/>
      <c r="V50" s="183"/>
      <c r="W50" s="183"/>
      <c r="X50" s="183"/>
      <c r="Y50" s="183"/>
      <c r="Z50" s="183"/>
      <c r="AA50" s="183"/>
      <c r="AB50" s="183"/>
      <c r="AC50" s="183"/>
      <c r="AD50" s="183"/>
    </row>
    <row r="51" spans="3:30" ht="17.25" customHeight="1" x14ac:dyDescent="0.3">
      <c r="C51" s="451"/>
      <c r="D51" s="85"/>
      <c r="E51" s="86"/>
      <c r="F51" s="87"/>
      <c r="H51" s="183"/>
      <c r="I51" s="183"/>
      <c r="J51" s="183"/>
      <c r="K51" s="183"/>
      <c r="L51" s="183"/>
      <c r="M51" s="183"/>
      <c r="N51" s="183"/>
      <c r="O51" s="183"/>
      <c r="P51" s="183"/>
      <c r="Q51" s="183"/>
      <c r="R51" s="183"/>
      <c r="S51" s="183"/>
      <c r="T51" s="183"/>
      <c r="U51" s="183"/>
      <c r="V51" s="183"/>
      <c r="W51" s="183"/>
      <c r="X51" s="183"/>
      <c r="Y51" s="183"/>
      <c r="Z51" s="183"/>
      <c r="AA51" s="183"/>
      <c r="AB51" s="183"/>
      <c r="AC51" s="183"/>
      <c r="AD51" s="183"/>
    </row>
    <row r="52" spans="3:30" ht="19.5" customHeight="1" x14ac:dyDescent="0.3">
      <c r="C52" s="451"/>
      <c r="D52" s="85"/>
      <c r="E52" s="86"/>
      <c r="F52" s="87"/>
      <c r="H52" s="183"/>
      <c r="I52" s="183"/>
      <c r="J52" s="183"/>
      <c r="K52" s="183"/>
      <c r="L52" s="183"/>
      <c r="M52" s="183"/>
      <c r="N52" s="183"/>
      <c r="O52" s="183"/>
      <c r="P52" s="183"/>
      <c r="Q52" s="183"/>
      <c r="R52" s="183"/>
      <c r="S52" s="183"/>
      <c r="T52" s="183"/>
      <c r="U52" s="183"/>
      <c r="V52" s="183"/>
      <c r="W52" s="183"/>
      <c r="X52" s="183"/>
      <c r="Y52" s="183"/>
      <c r="Z52" s="183"/>
      <c r="AA52" s="183"/>
      <c r="AB52" s="183"/>
      <c r="AC52" s="183"/>
      <c r="AD52" s="183"/>
    </row>
    <row r="53" spans="3:30" ht="19.5" customHeight="1" x14ac:dyDescent="0.3">
      <c r="C53" s="451"/>
      <c r="D53" s="85"/>
      <c r="E53" s="86"/>
      <c r="F53" s="87"/>
      <c r="H53" s="183"/>
      <c r="I53" s="183"/>
      <c r="J53" s="183"/>
      <c r="K53" s="183"/>
      <c r="L53" s="183"/>
      <c r="M53" s="183"/>
      <c r="N53" s="183"/>
      <c r="O53" s="183"/>
      <c r="P53" s="183"/>
      <c r="Q53" s="183"/>
      <c r="R53" s="183"/>
      <c r="S53" s="183"/>
      <c r="T53" s="183"/>
      <c r="U53" s="183"/>
      <c r="V53" s="183"/>
      <c r="W53" s="183"/>
      <c r="X53" s="183"/>
      <c r="Y53" s="183"/>
      <c r="Z53" s="183"/>
      <c r="AA53" s="183"/>
      <c r="AB53" s="183"/>
      <c r="AC53" s="183"/>
      <c r="AD53" s="183"/>
    </row>
    <row r="54" spans="3:30" ht="19.5" customHeight="1" x14ac:dyDescent="0.3">
      <c r="C54" s="451"/>
      <c r="D54" s="85"/>
      <c r="E54" s="86"/>
      <c r="F54" s="87"/>
      <c r="H54" s="183"/>
      <c r="I54" s="183"/>
      <c r="J54" s="183"/>
      <c r="K54" s="183"/>
      <c r="L54" s="183"/>
      <c r="M54" s="183"/>
      <c r="N54" s="183"/>
      <c r="O54" s="183"/>
      <c r="P54" s="183"/>
      <c r="Q54" s="183"/>
      <c r="R54" s="183"/>
      <c r="S54" s="183"/>
      <c r="T54" s="183"/>
      <c r="U54" s="183"/>
      <c r="V54" s="183"/>
      <c r="W54" s="183"/>
      <c r="X54" s="183"/>
      <c r="Y54" s="183"/>
      <c r="Z54" s="183"/>
      <c r="AA54" s="183"/>
      <c r="AB54" s="183"/>
      <c r="AC54" s="183"/>
      <c r="AD54" s="183"/>
    </row>
    <row r="55" spans="3:30" ht="19.5" customHeight="1" x14ac:dyDescent="0.3">
      <c r="C55" s="451"/>
      <c r="D55" s="85"/>
      <c r="E55" s="86"/>
      <c r="F55" s="87"/>
      <c r="H55" s="183"/>
      <c r="I55" s="183"/>
      <c r="J55" s="183"/>
      <c r="K55" s="183"/>
      <c r="L55" s="183"/>
      <c r="M55" s="183"/>
      <c r="N55" s="183"/>
      <c r="O55" s="183"/>
      <c r="P55" s="183"/>
      <c r="Q55" s="183"/>
      <c r="R55" s="183"/>
      <c r="S55" s="183"/>
      <c r="T55" s="183"/>
      <c r="U55" s="183"/>
      <c r="V55" s="183"/>
      <c r="W55" s="183"/>
      <c r="X55" s="183"/>
      <c r="Y55" s="183"/>
      <c r="Z55" s="183"/>
      <c r="AA55" s="183"/>
      <c r="AB55" s="183"/>
      <c r="AC55" s="183"/>
      <c r="AD55" s="183"/>
    </row>
    <row r="56" spans="3:30" ht="18" customHeight="1" x14ac:dyDescent="0.3">
      <c r="C56" s="451"/>
      <c r="D56" s="85"/>
      <c r="E56" s="86"/>
      <c r="F56" s="87"/>
      <c r="H56" s="183"/>
      <c r="I56" s="183"/>
      <c r="J56" s="183"/>
      <c r="K56" s="183"/>
      <c r="L56" s="183"/>
      <c r="M56" s="183"/>
      <c r="N56" s="183"/>
      <c r="O56" s="183"/>
      <c r="P56" s="183"/>
      <c r="Q56" s="183"/>
      <c r="R56" s="183"/>
      <c r="S56" s="183"/>
      <c r="T56" s="183"/>
      <c r="U56" s="183"/>
      <c r="V56" s="183"/>
      <c r="W56" s="183"/>
      <c r="X56" s="183"/>
      <c r="Y56" s="183"/>
      <c r="Z56" s="183"/>
      <c r="AA56" s="183"/>
      <c r="AB56" s="183"/>
      <c r="AC56" s="183"/>
      <c r="AD56" s="183"/>
    </row>
    <row r="57" spans="3:30" ht="18" customHeight="1" x14ac:dyDescent="0.3">
      <c r="C57" s="451"/>
      <c r="D57" s="85"/>
      <c r="E57" s="86"/>
      <c r="F57" s="87"/>
      <c r="H57" s="183"/>
      <c r="I57" s="183"/>
      <c r="J57" s="183"/>
      <c r="K57" s="183"/>
      <c r="L57" s="183"/>
      <c r="M57" s="183"/>
      <c r="N57" s="183"/>
      <c r="O57" s="183"/>
      <c r="P57" s="183"/>
      <c r="Q57" s="183"/>
      <c r="R57" s="183"/>
      <c r="S57" s="183"/>
      <c r="T57" s="183"/>
      <c r="U57" s="183"/>
      <c r="V57" s="183"/>
      <c r="W57" s="183"/>
      <c r="X57" s="183"/>
      <c r="Y57" s="183"/>
      <c r="Z57" s="183"/>
      <c r="AA57" s="183"/>
      <c r="AB57" s="183"/>
      <c r="AC57" s="183"/>
      <c r="AD57" s="183"/>
    </row>
    <row r="58" spans="3:30" ht="18" customHeight="1" x14ac:dyDescent="0.3">
      <c r="C58" s="451"/>
      <c r="D58" s="85"/>
      <c r="E58" s="86"/>
      <c r="F58" s="87"/>
      <c r="H58" s="183"/>
      <c r="I58" s="183"/>
      <c r="J58" s="183"/>
      <c r="K58" s="183"/>
      <c r="L58" s="183"/>
      <c r="M58" s="183"/>
      <c r="N58" s="183"/>
      <c r="O58" s="183"/>
      <c r="P58" s="183"/>
      <c r="Q58" s="183"/>
      <c r="R58" s="183"/>
      <c r="S58" s="183"/>
      <c r="T58" s="183"/>
      <c r="U58" s="183"/>
      <c r="V58" s="183"/>
      <c r="W58" s="183"/>
      <c r="X58" s="183"/>
      <c r="Y58" s="183"/>
      <c r="Z58" s="183"/>
      <c r="AA58" s="183"/>
      <c r="AB58" s="183"/>
      <c r="AC58" s="183"/>
      <c r="AD58" s="183"/>
    </row>
    <row r="59" spans="3:30" ht="18" customHeight="1" x14ac:dyDescent="0.3">
      <c r="C59" s="456" t="b">
        <v>0</v>
      </c>
      <c r="D59" s="85"/>
      <c r="E59" s="86"/>
      <c r="F59" s="87"/>
      <c r="H59" s="183"/>
      <c r="I59" s="183"/>
      <c r="J59" s="183"/>
      <c r="K59" s="183"/>
      <c r="L59" s="183"/>
      <c r="M59" s="183"/>
      <c r="N59" s="183"/>
      <c r="O59" s="183"/>
      <c r="P59" s="183"/>
      <c r="Q59" s="183"/>
      <c r="R59" s="183"/>
      <c r="S59" s="183"/>
      <c r="T59" s="183"/>
      <c r="U59" s="183"/>
      <c r="V59" s="183"/>
      <c r="W59" s="183"/>
      <c r="X59" s="183"/>
      <c r="Y59" s="183"/>
      <c r="Z59" s="183"/>
      <c r="AA59" s="183"/>
      <c r="AB59" s="183"/>
      <c r="AC59" s="183"/>
      <c r="AD59" s="183"/>
    </row>
    <row r="60" spans="3:30" ht="18" customHeight="1" x14ac:dyDescent="0.3">
      <c r="C60" s="451"/>
      <c r="D60" s="85"/>
      <c r="E60" s="86"/>
      <c r="F60" s="87"/>
      <c r="H60" s="183"/>
      <c r="I60" s="183"/>
      <c r="J60" s="183"/>
      <c r="K60" s="183"/>
      <c r="L60" s="183"/>
      <c r="M60" s="183"/>
      <c r="N60" s="183"/>
      <c r="O60" s="183"/>
      <c r="P60" s="183"/>
      <c r="Q60" s="183"/>
      <c r="R60" s="183"/>
      <c r="S60" s="183"/>
      <c r="T60" s="183"/>
      <c r="U60" s="183"/>
      <c r="V60" s="183"/>
      <c r="W60" s="183"/>
      <c r="X60" s="183"/>
      <c r="Y60" s="183"/>
      <c r="Z60" s="183"/>
      <c r="AA60" s="183"/>
      <c r="AB60" s="183"/>
      <c r="AC60" s="183"/>
      <c r="AD60" s="183"/>
    </row>
    <row r="61" spans="3:30" ht="17.25" customHeight="1" x14ac:dyDescent="0.3">
      <c r="C61" s="451"/>
      <c r="D61" s="85"/>
      <c r="E61" s="86"/>
      <c r="F61" s="87"/>
      <c r="H61" s="183"/>
      <c r="I61" s="183"/>
      <c r="J61" s="183"/>
      <c r="K61" s="183"/>
      <c r="L61" s="183"/>
      <c r="M61" s="183"/>
      <c r="N61" s="183"/>
      <c r="O61" s="183"/>
      <c r="P61" s="183"/>
      <c r="Q61" s="183"/>
      <c r="R61" s="183"/>
      <c r="S61" s="183"/>
      <c r="T61" s="183"/>
      <c r="U61" s="183"/>
      <c r="V61" s="183"/>
      <c r="W61" s="183"/>
      <c r="X61" s="183"/>
      <c r="Y61" s="183"/>
      <c r="Z61" s="183"/>
      <c r="AA61" s="183"/>
      <c r="AB61" s="183"/>
      <c r="AC61" s="183"/>
      <c r="AD61" s="183"/>
    </row>
    <row r="62" spans="3:30" ht="17.25" customHeight="1" x14ac:dyDescent="0.3">
      <c r="C62" s="451"/>
      <c r="D62" s="85"/>
      <c r="E62" s="86"/>
      <c r="F62" s="87"/>
      <c r="H62" s="183"/>
      <c r="I62" s="183"/>
      <c r="J62" s="183"/>
      <c r="K62" s="183"/>
      <c r="L62" s="183"/>
      <c r="M62" s="183"/>
      <c r="N62" s="183"/>
      <c r="O62" s="183"/>
      <c r="P62" s="183"/>
      <c r="Q62" s="183"/>
      <c r="R62" s="183"/>
      <c r="S62" s="183"/>
      <c r="T62" s="183"/>
      <c r="U62" s="183"/>
      <c r="V62" s="183"/>
      <c r="W62" s="183"/>
      <c r="X62" s="183"/>
      <c r="Y62" s="183"/>
      <c r="Z62" s="183"/>
      <c r="AA62" s="183"/>
      <c r="AB62" s="183"/>
      <c r="AC62" s="183"/>
      <c r="AD62" s="183"/>
    </row>
    <row r="63" spans="3:30" ht="17.25" customHeight="1" x14ac:dyDescent="0.3">
      <c r="C63" s="451"/>
      <c r="D63" s="85"/>
      <c r="E63" s="86"/>
      <c r="F63" s="87"/>
      <c r="H63" s="183"/>
      <c r="I63" s="183"/>
      <c r="J63" s="183"/>
      <c r="K63" s="183"/>
      <c r="L63" s="183"/>
      <c r="M63" s="183"/>
      <c r="N63" s="183"/>
      <c r="O63" s="183"/>
      <c r="P63" s="183"/>
      <c r="Q63" s="183"/>
      <c r="R63" s="183"/>
      <c r="S63" s="183"/>
      <c r="T63" s="183"/>
      <c r="U63" s="183"/>
      <c r="V63" s="183"/>
      <c r="W63" s="183"/>
      <c r="X63" s="183"/>
      <c r="Y63" s="183"/>
      <c r="Z63" s="183"/>
      <c r="AA63" s="183"/>
      <c r="AB63" s="183"/>
      <c r="AC63" s="183"/>
      <c r="AD63" s="183"/>
    </row>
    <row r="64" spans="3:30" x14ac:dyDescent="0.3">
      <c r="C64" s="451"/>
      <c r="D64" s="88"/>
      <c r="E64" s="89"/>
      <c r="F64" s="90"/>
      <c r="H64" s="183"/>
      <c r="I64" s="183"/>
      <c r="J64" s="183"/>
      <c r="K64" s="183"/>
      <c r="L64" s="183"/>
      <c r="M64" s="183"/>
      <c r="N64" s="183"/>
      <c r="O64" s="183"/>
      <c r="P64" s="183"/>
      <c r="Q64" s="183"/>
      <c r="R64" s="183"/>
      <c r="S64" s="183"/>
      <c r="T64" s="183"/>
      <c r="U64" s="183"/>
      <c r="V64" s="183"/>
      <c r="W64" s="183"/>
      <c r="X64" s="183"/>
      <c r="Y64" s="183"/>
      <c r="Z64" s="183"/>
      <c r="AA64" s="183"/>
      <c r="AB64" s="183"/>
      <c r="AC64" s="183"/>
      <c r="AD64" s="183"/>
    </row>
    <row r="65" spans="8:30" x14ac:dyDescent="0.3">
      <c r="H65" s="183"/>
      <c r="I65" s="183"/>
      <c r="J65" s="183"/>
      <c r="K65" s="183"/>
      <c r="L65" s="183"/>
      <c r="M65" s="183"/>
      <c r="N65" s="183"/>
      <c r="O65" s="183"/>
      <c r="P65" s="183"/>
      <c r="Q65" s="183"/>
      <c r="R65" s="183"/>
      <c r="S65" s="183"/>
      <c r="T65" s="183"/>
      <c r="U65" s="183"/>
      <c r="V65" s="183"/>
      <c r="W65" s="183"/>
      <c r="X65" s="183"/>
      <c r="Y65" s="183"/>
      <c r="Z65" s="183"/>
      <c r="AA65" s="183"/>
      <c r="AB65" s="183"/>
      <c r="AC65" s="183"/>
      <c r="AD65" s="183"/>
    </row>
    <row r="66" spans="8:30" x14ac:dyDescent="0.3">
      <c r="H66" s="183"/>
      <c r="I66" s="183"/>
      <c r="J66" s="183"/>
      <c r="K66" s="183"/>
      <c r="L66" s="183"/>
      <c r="M66" s="183"/>
      <c r="N66" s="183"/>
      <c r="O66" s="183"/>
      <c r="P66" s="183"/>
      <c r="Q66" s="183"/>
      <c r="R66" s="183"/>
      <c r="S66" s="183"/>
      <c r="T66" s="183"/>
      <c r="U66" s="183"/>
      <c r="V66" s="183"/>
      <c r="W66" s="183"/>
      <c r="X66" s="183"/>
      <c r="Y66" s="183"/>
      <c r="Z66" s="183"/>
      <c r="AA66" s="183"/>
      <c r="AB66" s="183"/>
      <c r="AC66" s="183"/>
      <c r="AD66" s="183"/>
    </row>
    <row r="67" spans="8:30" x14ac:dyDescent="0.3">
      <c r="H67" s="183"/>
      <c r="I67" s="183"/>
      <c r="J67" s="183"/>
      <c r="K67" s="183"/>
      <c r="L67" s="183"/>
      <c r="M67" s="183"/>
      <c r="N67" s="183"/>
      <c r="O67" s="183"/>
      <c r="P67" s="183"/>
      <c r="Q67" s="183"/>
      <c r="R67" s="183"/>
      <c r="S67" s="183"/>
      <c r="T67" s="183"/>
      <c r="U67" s="183"/>
      <c r="V67" s="183"/>
      <c r="W67" s="183"/>
      <c r="X67" s="183"/>
      <c r="Y67" s="183"/>
      <c r="Z67" s="183"/>
      <c r="AA67" s="183"/>
      <c r="AB67" s="183"/>
      <c r="AC67" s="183"/>
      <c r="AD67" s="183"/>
    </row>
    <row r="68" spans="8:30" x14ac:dyDescent="0.3">
      <c r="H68" s="183"/>
      <c r="I68" s="183"/>
      <c r="J68" s="183"/>
      <c r="K68" s="183"/>
      <c r="L68" s="183"/>
      <c r="M68" s="183"/>
      <c r="N68" s="183"/>
      <c r="O68" s="183"/>
      <c r="P68" s="183"/>
      <c r="Q68" s="183"/>
      <c r="R68" s="183"/>
      <c r="S68" s="183"/>
      <c r="T68" s="183"/>
      <c r="U68" s="183"/>
      <c r="V68" s="183"/>
      <c r="W68" s="183"/>
      <c r="X68" s="183"/>
      <c r="Y68" s="183"/>
      <c r="Z68" s="183"/>
      <c r="AA68" s="183"/>
      <c r="AB68" s="183"/>
      <c r="AC68" s="183"/>
      <c r="AD68" s="183"/>
    </row>
  </sheetData>
  <sheetProtection algorithmName="SHA-512" hashValue="Kbc5DREfIbvqSOy42WZtuQUnL95sE75efiAfibljeDzPyq4UdyvttDsY55nFFbdv3Q9A5xcN0RbMT815Dt2zHg==" saltValue="kfhMZHSlFCWTHG9DM7PPrQ==" spinCount="100000" sheet="1" objects="1" scenarios="1" formatCells="0" formatColumns="0" formatRows="0"/>
  <mergeCells count="1">
    <mergeCell ref="AB7:AE8"/>
  </mergeCells>
  <conditionalFormatting sqref="AC15:AE16 AC11:AE13 AC25:AE31 AC18:AE23">
    <cfRule type="containsText" dxfId="97" priority="3" operator="containsText" text="Yes">
      <formula>NOT(ISERROR(SEARCH("Yes",AC11)))</formula>
    </cfRule>
  </conditionalFormatting>
  <conditionalFormatting sqref="AC14:AE14">
    <cfRule type="containsText" dxfId="96" priority="2" operator="containsText" text="Yes">
      <formula>NOT(ISERROR(SEARCH("Yes",AC14)))</formula>
    </cfRule>
  </conditionalFormatting>
  <conditionalFormatting sqref="AC33:AE38">
    <cfRule type="cellIs" dxfId="95" priority="1" operator="equal">
      <formula>"Available"</formula>
    </cfRule>
  </conditionalFormatting>
  <dataValidations count="1">
    <dataValidation type="list" allowBlank="1" showInputMessage="1" showErrorMessage="1" sqref="AC11:AE16 AC25:AE31 AC18:AE23">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777" r:id="rId4" name="SimplifiedScreening2">
              <controlPr defaultSize="0" autoFill="0" autoLine="0" autoPict="0" macro="[0]!SimpScreen2Check">
                <anchor moveWithCells="1">
                  <from>
                    <xdr:col>3</xdr:col>
                    <xdr:colOff>373380</xdr:colOff>
                    <xdr:row>8</xdr:row>
                    <xdr:rowOff>60960</xdr:rowOff>
                  </from>
                  <to>
                    <xdr:col>6</xdr:col>
                    <xdr:colOff>60960</xdr:colOff>
                    <xdr:row>10</xdr:row>
                    <xdr:rowOff>30480</xdr:rowOff>
                  </to>
                </anchor>
              </controlPr>
            </control>
          </mc:Choice>
        </mc:AlternateContent>
        <mc:AlternateContent xmlns:mc="http://schemas.openxmlformats.org/markup-compatibility/2006">
          <mc:Choice Requires="x14">
            <control shapeId="75778" r:id="rId5" name="SimplifiedScreening1">
              <controlPr defaultSize="0" autoFill="0" autoLine="0" autoPict="0" macro="[0]!SimpScreen1Check">
                <anchor moveWithCells="1">
                  <from>
                    <xdr:col>3</xdr:col>
                    <xdr:colOff>381000</xdr:colOff>
                    <xdr:row>14</xdr:row>
                    <xdr:rowOff>144780</xdr:rowOff>
                  </from>
                  <to>
                    <xdr:col>6</xdr:col>
                    <xdr:colOff>68580</xdr:colOff>
                    <xdr:row>16</xdr:row>
                    <xdr:rowOff>45720</xdr:rowOff>
                  </to>
                </anchor>
              </controlPr>
            </control>
          </mc:Choice>
        </mc:AlternateContent>
        <mc:AlternateContent xmlns:mc="http://schemas.openxmlformats.org/markup-compatibility/2006">
          <mc:Choice Requires="x14">
            <control shapeId="75779" r:id="rId6" name="Screening">
              <controlPr defaultSize="0" autoFill="0" autoLine="0" autoPict="0" macro="[0]!ScreeningCheck">
                <anchor moveWithCells="1">
                  <from>
                    <xdr:col>3</xdr:col>
                    <xdr:colOff>388620</xdr:colOff>
                    <xdr:row>32</xdr:row>
                    <xdr:rowOff>144780</xdr:rowOff>
                  </from>
                  <to>
                    <xdr:col>6</xdr:col>
                    <xdr:colOff>76200</xdr:colOff>
                    <xdr:row>34</xdr:row>
                    <xdr:rowOff>68580</xdr:rowOff>
                  </to>
                </anchor>
              </controlPr>
            </control>
          </mc:Choice>
        </mc:AlternateContent>
        <mc:AlternateContent xmlns:mc="http://schemas.openxmlformats.org/markup-compatibility/2006">
          <mc:Choice Requires="x14">
            <control shapeId="75780" r:id="rId7" name="SimplifiedMaterialBalance">
              <controlPr defaultSize="0" autoFill="0" autoLine="0" autoPict="0" macro="[0]!SimpMatBalCheck">
                <anchor moveWithCells="1">
                  <from>
                    <xdr:col>3</xdr:col>
                    <xdr:colOff>365760</xdr:colOff>
                    <xdr:row>45</xdr:row>
                    <xdr:rowOff>45720</xdr:rowOff>
                  </from>
                  <to>
                    <xdr:col>6</xdr:col>
                    <xdr:colOff>38100</xdr:colOff>
                    <xdr:row>47</xdr:row>
                    <xdr:rowOff>22860</xdr:rowOff>
                  </to>
                </anchor>
              </controlPr>
            </control>
          </mc:Choice>
        </mc:AlternateContent>
        <mc:AlternateContent xmlns:mc="http://schemas.openxmlformats.org/markup-compatibility/2006">
          <mc:Choice Requires="x14">
            <control shapeId="75781" r:id="rId8" name="SimplifiedMaterialBalance">
              <controlPr defaultSize="0" autoFill="0" autoLine="0" autoPict="0" macro="[0]!MatBalCheck">
                <anchor moveWithCells="1">
                  <from>
                    <xdr:col>3</xdr:col>
                    <xdr:colOff>388620</xdr:colOff>
                    <xdr:row>57</xdr:row>
                    <xdr:rowOff>68580</xdr:rowOff>
                  </from>
                  <to>
                    <xdr:col>6</xdr:col>
                    <xdr:colOff>76200</xdr:colOff>
                    <xdr:row>58</xdr:row>
                    <xdr:rowOff>190500</xdr:rowOff>
                  </to>
                </anchor>
              </controlPr>
            </control>
          </mc:Choice>
        </mc:AlternateContent>
        <mc:AlternateContent xmlns:mc="http://schemas.openxmlformats.org/markup-compatibility/2006">
          <mc:Choice Requires="x14">
            <control shapeId="75783" r:id="rId9" name="Check Box 7">
              <controlPr defaultSize="0" autoFill="0" autoLine="0" autoPict="0" macro="[0]!DefaultApproachCheck">
                <anchor moveWithCells="1">
                  <from>
                    <xdr:col>3</xdr:col>
                    <xdr:colOff>381000</xdr:colOff>
                    <xdr:row>23</xdr:row>
                    <xdr:rowOff>121920</xdr:rowOff>
                  </from>
                  <to>
                    <xdr:col>5</xdr:col>
                    <xdr:colOff>426720</xdr:colOff>
                    <xdr:row>25</xdr:row>
                    <xdr:rowOff>38100</xdr:rowOff>
                  </to>
                </anchor>
              </controlPr>
            </control>
          </mc:Choice>
        </mc:AlternateContent>
        <mc:AlternateContent xmlns:mc="http://schemas.openxmlformats.org/markup-compatibility/2006">
          <mc:Choice Requires="x14">
            <control shapeId="75794" r:id="rId10" name="Option Button 18">
              <controlPr defaultSize="0" autoFill="0" autoLine="0" autoPict="0" macro="[0]!ApproachScreeningTool">
                <anchor moveWithCells="1">
                  <from>
                    <xdr:col>1</xdr:col>
                    <xdr:colOff>419100</xdr:colOff>
                    <xdr:row>6</xdr:row>
                    <xdr:rowOff>525780</xdr:rowOff>
                  </from>
                  <to>
                    <xdr:col>1</xdr:col>
                    <xdr:colOff>1661160</xdr:colOff>
                    <xdr:row>7</xdr:row>
                    <xdr:rowOff>0</xdr:rowOff>
                  </to>
                </anchor>
              </controlPr>
            </control>
          </mc:Choice>
        </mc:AlternateContent>
        <mc:AlternateContent xmlns:mc="http://schemas.openxmlformats.org/markup-compatibility/2006">
          <mc:Choice Requires="x14">
            <control shapeId="75795" r:id="rId11" name="Option Button 19">
              <controlPr defaultSize="0" autoFill="0" autoLine="0" autoPict="0" macro="[0]!ApproachScreeningTool">
                <anchor moveWithCells="1">
                  <from>
                    <xdr:col>1</xdr:col>
                    <xdr:colOff>419100</xdr:colOff>
                    <xdr:row>6</xdr:row>
                    <xdr:rowOff>327660</xdr:rowOff>
                  </from>
                  <to>
                    <xdr:col>1</xdr:col>
                    <xdr:colOff>1661160</xdr:colOff>
                    <xdr:row>6</xdr:row>
                    <xdr:rowOff>594360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R31"/>
  <sheetViews>
    <sheetView showGridLines="0" showRowColHeaders="0" workbookViewId="0"/>
  </sheetViews>
  <sheetFormatPr defaultRowHeight="14.4" x14ac:dyDescent="0.3"/>
  <cols>
    <col min="1" max="1" width="2.88671875" customWidth="1"/>
    <col min="2" max="2" width="15" customWidth="1"/>
    <col min="3" max="3" width="59" customWidth="1"/>
    <col min="4" max="4" width="3.44140625" customWidth="1"/>
    <col min="5" max="5" width="21.88671875" customWidth="1"/>
    <col min="6" max="6" width="72.5546875" customWidth="1"/>
  </cols>
  <sheetData>
    <row r="1" spans="1:44" ht="7.5" customHeight="1" x14ac:dyDescent="0.3">
      <c r="A1" s="44"/>
      <c r="B1" s="44"/>
      <c r="C1" s="44"/>
      <c r="D1" s="44"/>
      <c r="E1" s="44"/>
      <c r="F1" s="44"/>
      <c r="G1" s="44"/>
      <c r="H1" s="44"/>
      <c r="I1" s="44"/>
      <c r="J1" s="44"/>
      <c r="K1" s="44"/>
      <c r="L1" s="44"/>
      <c r="M1" s="44"/>
      <c r="N1" s="44"/>
      <c r="O1" s="44"/>
      <c r="P1" s="44"/>
      <c r="Q1" s="44"/>
      <c r="R1" s="44"/>
      <c r="S1" s="44"/>
      <c r="T1" s="44"/>
      <c r="U1" s="44"/>
      <c r="V1" s="44"/>
      <c r="W1" s="44"/>
      <c r="X1" s="44"/>
      <c r="Y1" s="44"/>
      <c r="Z1" s="44"/>
      <c r="AA1" s="44"/>
      <c r="AB1" s="44"/>
      <c r="AC1" s="44"/>
      <c r="AD1" s="44"/>
      <c r="AE1" s="44"/>
      <c r="AF1" s="44"/>
      <c r="AG1" s="44"/>
      <c r="AH1" s="44"/>
      <c r="AI1" s="44"/>
      <c r="AJ1" s="44"/>
      <c r="AK1" s="44"/>
      <c r="AL1" s="44"/>
      <c r="AM1" s="44"/>
      <c r="AN1" s="44"/>
      <c r="AO1" s="44"/>
      <c r="AP1" s="44"/>
      <c r="AQ1" s="44"/>
      <c r="AR1" s="44"/>
    </row>
    <row r="2" spans="1:44" ht="33.6" x14ac:dyDescent="0.65">
      <c r="A2" s="44"/>
      <c r="B2" s="45" t="s">
        <v>624</v>
      </c>
      <c r="C2" s="44"/>
      <c r="D2" s="44"/>
      <c r="E2" s="44"/>
      <c r="F2" s="44"/>
      <c r="G2" s="44"/>
      <c r="H2" s="44"/>
      <c r="I2" s="44"/>
      <c r="J2" s="44"/>
      <c r="K2" s="44"/>
      <c r="L2" s="44"/>
      <c r="M2" s="44"/>
      <c r="N2" s="44"/>
      <c r="O2" s="44"/>
      <c r="P2" s="44"/>
      <c r="Q2" s="44"/>
      <c r="R2" s="44"/>
      <c r="S2" s="44"/>
      <c r="T2" s="44"/>
      <c r="U2" s="44"/>
      <c r="V2" s="44"/>
      <c r="W2" s="44"/>
      <c r="X2" s="44"/>
      <c r="Y2" s="44"/>
      <c r="Z2" s="44"/>
      <c r="AA2" s="44"/>
      <c r="AB2" s="44"/>
      <c r="AC2" s="44"/>
      <c r="AD2" s="44"/>
      <c r="AE2" s="44"/>
      <c r="AF2" s="44"/>
      <c r="AG2" s="44"/>
      <c r="AH2" s="44"/>
      <c r="AI2" s="44"/>
      <c r="AJ2" s="44"/>
      <c r="AK2" s="44"/>
      <c r="AL2" s="44"/>
      <c r="AM2" s="44"/>
      <c r="AN2" s="44"/>
      <c r="AO2" s="44"/>
      <c r="AP2" s="44"/>
      <c r="AQ2" s="44"/>
      <c r="AR2" s="44"/>
    </row>
    <row r="3" spans="1:44" ht="7.5" customHeight="1" thickBot="1" x14ac:dyDescent="0.35">
      <c r="A3" s="46"/>
      <c r="B3" s="47"/>
      <c r="C3" s="47"/>
      <c r="D3" s="47"/>
      <c r="E3" s="47"/>
      <c r="F3" s="47"/>
      <c r="G3" s="47"/>
      <c r="H3" s="47"/>
      <c r="I3" s="47"/>
      <c r="J3" s="47"/>
      <c r="K3" s="47"/>
      <c r="L3" s="47"/>
      <c r="M3" s="47"/>
      <c r="N3" s="47"/>
      <c r="O3" s="47"/>
      <c r="P3" s="47"/>
      <c r="Q3" s="47"/>
      <c r="R3" s="47"/>
      <c r="S3" s="47"/>
      <c r="T3" s="47"/>
      <c r="U3" s="47"/>
      <c r="V3" s="47"/>
      <c r="W3" s="47"/>
      <c r="X3" s="47"/>
      <c r="Y3" s="47"/>
      <c r="Z3" s="47"/>
      <c r="AA3" s="47"/>
      <c r="AB3" s="47"/>
      <c r="AC3" s="47"/>
      <c r="AD3" s="47"/>
      <c r="AE3" s="47"/>
      <c r="AF3" s="47"/>
      <c r="AG3" s="47"/>
      <c r="AH3" s="47"/>
      <c r="AI3" s="47"/>
      <c r="AJ3" s="47"/>
      <c r="AK3" s="47"/>
      <c r="AL3" s="47"/>
      <c r="AM3" s="47"/>
      <c r="AN3" s="47"/>
      <c r="AO3" s="47"/>
      <c r="AP3" s="47"/>
      <c r="AQ3" s="47"/>
      <c r="AR3" s="47"/>
    </row>
    <row r="4" spans="1:44" ht="11.25" customHeight="1" thickTop="1" x14ac:dyDescent="0.35">
      <c r="A4" s="44"/>
      <c r="B4" s="48"/>
      <c r="C4" s="44"/>
      <c r="D4" s="44"/>
      <c r="E4" s="44"/>
      <c r="F4" s="44"/>
      <c r="G4" s="44"/>
      <c r="H4" s="44"/>
      <c r="I4" s="44"/>
      <c r="J4" s="44"/>
      <c r="K4" s="44"/>
      <c r="L4" s="44"/>
      <c r="M4" s="44"/>
      <c r="N4" s="44"/>
      <c r="O4" s="44"/>
      <c r="P4" s="44"/>
      <c r="Q4" s="44"/>
      <c r="R4" s="44"/>
      <c r="S4" s="44"/>
      <c r="T4" s="44"/>
      <c r="U4" s="44"/>
      <c r="V4" s="44"/>
      <c r="W4" s="44"/>
      <c r="X4" s="44"/>
      <c r="Y4" s="44"/>
      <c r="Z4" s="44"/>
      <c r="AA4" s="44"/>
      <c r="AB4" s="44"/>
      <c r="AC4" s="44"/>
      <c r="AD4" s="44"/>
      <c r="AE4" s="44"/>
      <c r="AF4" s="44"/>
      <c r="AG4" s="44"/>
      <c r="AH4" s="44"/>
      <c r="AI4" s="44"/>
      <c r="AJ4" s="44"/>
      <c r="AK4" s="44"/>
      <c r="AL4" s="44"/>
      <c r="AM4" s="44"/>
      <c r="AN4" s="44"/>
      <c r="AO4" s="44"/>
      <c r="AP4" s="44"/>
      <c r="AQ4" s="44"/>
      <c r="AR4" s="44"/>
    </row>
    <row r="5" spans="1:44" ht="18" x14ac:dyDescent="0.35">
      <c r="A5" s="44"/>
      <c r="B5" s="48" t="s">
        <v>647</v>
      </c>
      <c r="C5" s="44"/>
      <c r="D5" s="44"/>
      <c r="E5" s="44"/>
      <c r="F5" s="44"/>
      <c r="G5" s="44"/>
      <c r="H5" s="44"/>
      <c r="I5" s="44"/>
      <c r="J5" s="44"/>
      <c r="K5" s="44"/>
      <c r="L5" s="44"/>
      <c r="M5" s="44"/>
      <c r="N5" s="44"/>
      <c r="O5" s="44"/>
      <c r="P5" s="44"/>
      <c r="Q5" s="44"/>
      <c r="R5" s="44"/>
      <c r="S5" s="44"/>
      <c r="T5" s="44"/>
      <c r="U5" s="44"/>
      <c r="V5" s="44"/>
      <c r="W5" s="44"/>
      <c r="X5" s="44"/>
      <c r="Y5" s="44"/>
      <c r="Z5" s="44"/>
      <c r="AA5" s="44"/>
      <c r="AB5" s="44"/>
      <c r="AC5" s="44"/>
      <c r="AD5" s="44"/>
      <c r="AE5" s="44"/>
      <c r="AF5" s="44"/>
      <c r="AG5" s="44"/>
      <c r="AH5" s="44"/>
      <c r="AI5" s="44"/>
      <c r="AJ5" s="44"/>
      <c r="AK5" s="44"/>
      <c r="AL5" s="44"/>
      <c r="AM5" s="44"/>
      <c r="AN5" s="44"/>
      <c r="AO5" s="44"/>
      <c r="AP5" s="44"/>
      <c r="AQ5" s="44"/>
      <c r="AR5" s="44"/>
    </row>
    <row r="7" spans="1:44" ht="17.399999999999999" x14ac:dyDescent="0.3">
      <c r="B7" s="388" t="s">
        <v>627</v>
      </c>
      <c r="E7" s="388" t="s">
        <v>625</v>
      </c>
    </row>
    <row r="8" spans="1:44" x14ac:dyDescent="0.3">
      <c r="B8" s="387" t="s">
        <v>648</v>
      </c>
      <c r="C8" s="387" t="s">
        <v>597</v>
      </c>
      <c r="E8" s="387" t="s">
        <v>301</v>
      </c>
      <c r="F8" s="387" t="s">
        <v>597</v>
      </c>
    </row>
    <row r="9" spans="1:44" ht="69" x14ac:dyDescent="0.3">
      <c r="B9" s="474" t="s">
        <v>104</v>
      </c>
      <c r="C9" s="384" t="s">
        <v>598</v>
      </c>
      <c r="E9" s="474" t="s">
        <v>721</v>
      </c>
      <c r="F9" s="522" t="s">
        <v>754</v>
      </c>
    </row>
    <row r="10" spans="1:44" ht="41.4" x14ac:dyDescent="0.3">
      <c r="B10" s="474" t="s">
        <v>106</v>
      </c>
      <c r="C10" s="384" t="s">
        <v>649</v>
      </c>
      <c r="E10" s="474" t="s">
        <v>722</v>
      </c>
      <c r="F10" s="522" t="s">
        <v>755</v>
      </c>
    </row>
    <row r="11" spans="1:44" ht="55.2" x14ac:dyDescent="0.3">
      <c r="B11" s="474" t="s">
        <v>496</v>
      </c>
      <c r="C11" s="384" t="s">
        <v>599</v>
      </c>
      <c r="E11" s="474" t="s">
        <v>723</v>
      </c>
      <c r="F11" s="522" t="s">
        <v>756</v>
      </c>
    </row>
    <row r="12" spans="1:44" ht="110.4" x14ac:dyDescent="0.3">
      <c r="B12" s="474" t="s">
        <v>762</v>
      </c>
      <c r="C12" s="384" t="s">
        <v>599</v>
      </c>
      <c r="E12" s="474" t="s">
        <v>112</v>
      </c>
      <c r="F12" s="522" t="s">
        <v>757</v>
      </c>
    </row>
    <row r="13" spans="1:44" ht="27.6" x14ac:dyDescent="0.3">
      <c r="B13" s="385" t="s">
        <v>521</v>
      </c>
      <c r="C13" s="384" t="s">
        <v>600</v>
      </c>
      <c r="E13" s="474" t="s">
        <v>608</v>
      </c>
      <c r="F13" s="522" t="s">
        <v>609</v>
      </c>
    </row>
    <row r="14" spans="1:44" ht="41.4" x14ac:dyDescent="0.3">
      <c r="B14" s="474" t="s">
        <v>522</v>
      </c>
      <c r="C14" s="384" t="s">
        <v>643</v>
      </c>
      <c r="E14" s="474" t="s">
        <v>610</v>
      </c>
      <c r="F14" s="522" t="s">
        <v>611</v>
      </c>
    </row>
    <row r="15" spans="1:44" ht="41.4" x14ac:dyDescent="0.3">
      <c r="B15" s="385" t="s">
        <v>429</v>
      </c>
      <c r="C15" s="384" t="s">
        <v>601</v>
      </c>
      <c r="E15" s="474" t="s">
        <v>612</v>
      </c>
      <c r="F15" s="522" t="s">
        <v>613</v>
      </c>
    </row>
    <row r="16" spans="1:44" ht="55.2" x14ac:dyDescent="0.3">
      <c r="B16" s="474" t="s">
        <v>107</v>
      </c>
      <c r="C16" s="384" t="s">
        <v>724</v>
      </c>
      <c r="E16" s="474" t="s">
        <v>614</v>
      </c>
      <c r="F16" s="522" t="s">
        <v>615</v>
      </c>
    </row>
    <row r="17" spans="2:6" ht="55.2" x14ac:dyDescent="0.3">
      <c r="B17" s="474" t="s">
        <v>761</v>
      </c>
      <c r="C17" s="384" t="s">
        <v>602</v>
      </c>
      <c r="E17" s="474" t="s">
        <v>110</v>
      </c>
      <c r="F17" s="522" t="s">
        <v>628</v>
      </c>
    </row>
    <row r="18" spans="2:6" ht="55.5" customHeight="1" x14ac:dyDescent="0.3">
      <c r="B18" s="542" t="s">
        <v>524</v>
      </c>
      <c r="C18" s="542" t="s">
        <v>626</v>
      </c>
      <c r="E18" s="474" t="s">
        <v>111</v>
      </c>
      <c r="F18" s="522" t="s">
        <v>629</v>
      </c>
    </row>
    <row r="19" spans="2:6" ht="55.5" customHeight="1" x14ac:dyDescent="0.3">
      <c r="B19" s="542"/>
      <c r="C19" s="542"/>
      <c r="E19" s="474" t="s">
        <v>616</v>
      </c>
      <c r="F19" s="522" t="s">
        <v>617</v>
      </c>
    </row>
    <row r="20" spans="2:6" ht="55.5" customHeight="1" x14ac:dyDescent="0.3">
      <c r="B20" s="542"/>
      <c r="C20" s="542"/>
      <c r="E20" s="474" t="s">
        <v>618</v>
      </c>
      <c r="F20" s="522" t="s">
        <v>619</v>
      </c>
    </row>
    <row r="21" spans="2:6" ht="41.4" x14ac:dyDescent="0.3">
      <c r="B21" s="385" t="s">
        <v>525</v>
      </c>
      <c r="C21" s="384" t="s">
        <v>603</v>
      </c>
      <c r="E21" s="474" t="s">
        <v>620</v>
      </c>
      <c r="F21" s="522" t="s">
        <v>809</v>
      </c>
    </row>
    <row r="22" spans="2:6" ht="28.5" customHeight="1" x14ac:dyDescent="0.3">
      <c r="B22" s="385" t="s">
        <v>526</v>
      </c>
      <c r="C22" s="384" t="s">
        <v>604</v>
      </c>
      <c r="E22" s="474" t="s">
        <v>621</v>
      </c>
      <c r="F22" s="522" t="s">
        <v>811</v>
      </c>
    </row>
    <row r="23" spans="2:6" ht="41.4" x14ac:dyDescent="0.3">
      <c r="B23" s="386" t="s">
        <v>527</v>
      </c>
      <c r="C23" s="384" t="s">
        <v>605</v>
      </c>
      <c r="E23" s="474" t="s">
        <v>622</v>
      </c>
      <c r="F23" s="522" t="s">
        <v>623</v>
      </c>
    </row>
    <row r="24" spans="2:6" ht="69" x14ac:dyDescent="0.3">
      <c r="B24" s="385" t="s">
        <v>113</v>
      </c>
      <c r="C24" s="384" t="s">
        <v>606</v>
      </c>
      <c r="E24" s="466" t="s">
        <v>810</v>
      </c>
    </row>
    <row r="25" spans="2:6" ht="69" x14ac:dyDescent="0.3">
      <c r="B25" s="385" t="s">
        <v>117</v>
      </c>
      <c r="C25" s="384" t="s">
        <v>644</v>
      </c>
    </row>
    <row r="26" spans="2:6" ht="27.6" x14ac:dyDescent="0.3">
      <c r="B26" s="385" t="s">
        <v>520</v>
      </c>
      <c r="C26" s="384" t="s">
        <v>607</v>
      </c>
    </row>
    <row r="27" spans="2:6" ht="15.6" x14ac:dyDescent="0.3">
      <c r="B27" s="385" t="s">
        <v>528</v>
      </c>
      <c r="C27" s="384" t="s">
        <v>809</v>
      </c>
    </row>
    <row r="28" spans="2:6" ht="29.4" x14ac:dyDescent="0.3">
      <c r="B28" s="385" t="s">
        <v>786</v>
      </c>
      <c r="C28" s="522" t="s">
        <v>811</v>
      </c>
    </row>
    <row r="29" spans="2:6" x14ac:dyDescent="0.3">
      <c r="B29" s="385" t="s">
        <v>785</v>
      </c>
      <c r="C29" s="522" t="s">
        <v>808</v>
      </c>
    </row>
    <row r="31" spans="2:6" ht="16.2" x14ac:dyDescent="0.3">
      <c r="B31" s="466" t="s">
        <v>810</v>
      </c>
    </row>
  </sheetData>
  <sheetProtection algorithmName="SHA-512" hashValue="TaOjsCpe6y43Z9n3lobt9J+w4vhc3B/jjy1g/gTv4gwdTpUMZTZqywRN8Za4l/60U9vrDe0BXEgtq1kx4meA0w==" saltValue="12Bf0aijBJXnZO/Q4DpmZg==" spinCount="100000" sheet="1" objects="1" scenarios="1" formatCells="0" formatColumns="0" formatRows="0"/>
  <mergeCells count="2">
    <mergeCell ref="B18:B20"/>
    <mergeCell ref="C18:C2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3"/>
  </sheetPr>
  <dimension ref="A1:AB77"/>
  <sheetViews>
    <sheetView showGridLines="0" showRowColHeaders="0" zoomScale="90" zoomScaleNormal="90" workbookViewId="0">
      <pane ySplit="13" topLeftCell="A14" activePane="bottomLeft" state="frozen"/>
      <selection pane="bottomLeft"/>
    </sheetView>
  </sheetViews>
  <sheetFormatPr defaultRowHeight="14.4" x14ac:dyDescent="0.3"/>
  <cols>
    <col min="1" max="1" width="2" customWidth="1"/>
    <col min="2" max="2" width="11.33203125" customWidth="1"/>
    <col min="3" max="3" width="18.88671875" customWidth="1"/>
    <col min="4" max="4" width="29.5546875" bestFit="1" customWidth="1"/>
    <col min="5" max="6" width="16.5546875" customWidth="1"/>
    <col min="7" max="7" width="16" customWidth="1"/>
    <col min="8" max="8" width="16.33203125" hidden="1" customWidth="1"/>
    <col min="9" max="9" width="17.88671875" customWidth="1"/>
    <col min="10" max="10" width="17.88671875" hidden="1" customWidth="1"/>
    <col min="11" max="11" width="16.88671875" customWidth="1"/>
  </cols>
  <sheetData>
    <row r="1" spans="1:28" ht="7.5" customHeight="1" x14ac:dyDescent="0.3">
      <c r="A1" s="44"/>
      <c r="B1" s="44"/>
      <c r="C1" s="44"/>
      <c r="D1" s="44"/>
      <c r="E1" s="44"/>
      <c r="F1" s="44"/>
      <c r="G1" s="44"/>
      <c r="H1" s="44"/>
      <c r="I1" s="44"/>
      <c r="J1" s="44"/>
      <c r="K1" s="44"/>
      <c r="L1" s="44"/>
      <c r="M1" s="44"/>
      <c r="N1" s="44"/>
      <c r="O1" s="44"/>
      <c r="P1" s="44"/>
      <c r="Q1" s="44"/>
      <c r="R1" s="44"/>
      <c r="S1" s="44"/>
      <c r="T1" s="44"/>
      <c r="U1" s="44"/>
      <c r="V1" s="44"/>
      <c r="W1" s="44"/>
      <c r="X1" s="44"/>
      <c r="Y1" s="44"/>
      <c r="Z1" s="44"/>
      <c r="AA1" s="44"/>
      <c r="AB1" s="44"/>
    </row>
    <row r="2" spans="1:28" ht="26.25" customHeight="1" x14ac:dyDescent="0.65">
      <c r="A2" s="44"/>
      <c r="B2" s="44"/>
      <c r="C2" s="45" t="s">
        <v>35</v>
      </c>
      <c r="D2" s="44"/>
      <c r="E2" s="44"/>
      <c r="F2" s="44"/>
      <c r="G2" s="44"/>
      <c r="H2" s="44"/>
      <c r="I2" s="44"/>
      <c r="J2" s="44"/>
      <c r="K2" s="44"/>
      <c r="L2" s="44"/>
      <c r="M2" s="44"/>
      <c r="N2" s="44"/>
      <c r="O2" s="44"/>
      <c r="P2" s="44"/>
      <c r="Q2" s="44"/>
      <c r="R2" s="44"/>
      <c r="S2" s="44"/>
      <c r="T2" s="44"/>
      <c r="U2" s="44"/>
      <c r="V2" s="44"/>
      <c r="W2" s="44"/>
      <c r="X2" s="44"/>
      <c r="Y2" s="44"/>
      <c r="Z2" s="44"/>
      <c r="AA2" s="44"/>
      <c r="AB2" s="44"/>
    </row>
    <row r="3" spans="1:28" ht="7.5" customHeight="1" thickBot="1" x14ac:dyDescent="0.35">
      <c r="A3" s="46"/>
      <c r="B3" s="46"/>
      <c r="C3" s="47"/>
      <c r="D3" s="47"/>
      <c r="E3" s="47"/>
      <c r="F3" s="47"/>
      <c r="G3" s="47"/>
      <c r="H3" s="47"/>
      <c r="I3" s="47"/>
      <c r="J3" s="47"/>
      <c r="K3" s="47"/>
      <c r="L3" s="47"/>
      <c r="M3" s="47"/>
      <c r="N3" s="47"/>
      <c r="O3" s="47"/>
      <c r="P3" s="47"/>
      <c r="Q3" s="47"/>
      <c r="R3" s="47"/>
      <c r="S3" s="47"/>
      <c r="T3" s="47"/>
      <c r="U3" s="47"/>
      <c r="V3" s="47"/>
      <c r="W3" s="47"/>
      <c r="X3" s="47"/>
      <c r="Y3" s="47"/>
      <c r="Z3" s="47"/>
      <c r="AA3" s="47"/>
      <c r="AB3" s="47"/>
    </row>
    <row r="4" spans="1:28" ht="10.5" customHeight="1" thickTop="1" x14ac:dyDescent="0.35">
      <c r="A4" s="44"/>
      <c r="B4" s="44"/>
      <c r="C4" s="48"/>
      <c r="D4" s="44"/>
      <c r="E4" s="44"/>
      <c r="F4" s="44"/>
      <c r="G4" s="44"/>
      <c r="H4" s="44"/>
      <c r="I4" s="44"/>
      <c r="J4" s="44"/>
      <c r="K4" s="44"/>
      <c r="L4" s="44"/>
      <c r="M4" s="44"/>
      <c r="N4" s="44"/>
      <c r="O4" s="44"/>
      <c r="P4" s="44"/>
      <c r="Q4" s="44"/>
      <c r="R4" s="44"/>
      <c r="S4" s="44"/>
      <c r="T4" s="44"/>
      <c r="U4" s="44"/>
      <c r="V4" s="44"/>
      <c r="W4" s="44"/>
      <c r="X4" s="44"/>
      <c r="Y4" s="44"/>
      <c r="Z4" s="44"/>
      <c r="AA4" s="44"/>
      <c r="AB4" s="44"/>
    </row>
    <row r="5" spans="1:28" ht="18" x14ac:dyDescent="0.35">
      <c r="A5" s="44"/>
      <c r="B5" s="44"/>
      <c r="C5" s="48" t="s">
        <v>299</v>
      </c>
      <c r="D5" s="44"/>
      <c r="E5" s="44"/>
      <c r="F5" s="44"/>
      <c r="G5" s="44"/>
      <c r="H5" s="44"/>
      <c r="I5" s="44"/>
      <c r="J5" s="44"/>
      <c r="K5" s="44"/>
      <c r="L5" s="44"/>
      <c r="M5" s="44"/>
      <c r="N5" s="44"/>
      <c r="O5" s="44"/>
      <c r="P5" s="44"/>
      <c r="Q5" s="44"/>
      <c r="R5" s="44"/>
      <c r="S5" s="44"/>
      <c r="T5" s="44"/>
      <c r="U5" s="44"/>
      <c r="V5" s="44"/>
      <c r="W5" s="44"/>
      <c r="X5" s="44"/>
      <c r="Y5" s="44"/>
      <c r="Z5" s="44"/>
      <c r="AA5" s="44"/>
      <c r="AB5" s="44"/>
    </row>
    <row r="6" spans="1:28" ht="6" customHeight="1" thickBot="1" x14ac:dyDescent="0.35"/>
    <row r="7" spans="1:28" ht="15" customHeight="1" x14ac:dyDescent="0.3">
      <c r="B7" s="543" t="s">
        <v>478</v>
      </c>
      <c r="C7" s="544"/>
      <c r="D7" s="180" t="s">
        <v>382</v>
      </c>
      <c r="E7" s="72"/>
      <c r="F7" s="547" t="str">
        <f>IF(B9=1,IF(COUNTIF($D$15:$D$54,"Refrigerated Transport")+COUNTIF($D$15:$D$54,"Passenger Vehicles")&gt;0,"Transportation Included","Did you forget your fleet?"),"")</f>
        <v/>
      </c>
      <c r="G7" s="547"/>
      <c r="I7" s="548" t="s">
        <v>732</v>
      </c>
      <c r="J7" s="549"/>
      <c r="K7" s="550"/>
    </row>
    <row r="8" spans="1:28" ht="15" customHeight="1" x14ac:dyDescent="0.3">
      <c r="B8" s="545"/>
      <c r="C8" s="546"/>
      <c r="D8" s="174" t="s">
        <v>383</v>
      </c>
      <c r="E8" s="475"/>
      <c r="F8" s="547"/>
      <c r="G8" s="547"/>
      <c r="I8" s="551"/>
      <c r="J8" s="552"/>
      <c r="K8" s="553"/>
    </row>
    <row r="9" spans="1:28" ht="18" customHeight="1" x14ac:dyDescent="0.3">
      <c r="B9" s="211">
        <v>2</v>
      </c>
      <c r="C9" s="212"/>
      <c r="D9" s="179" t="s">
        <v>384</v>
      </c>
      <c r="E9" s="70"/>
      <c r="F9" s="547"/>
      <c r="G9" s="547"/>
      <c r="I9" s="420"/>
      <c r="J9" s="491"/>
      <c r="K9" s="421"/>
    </row>
    <row r="10" spans="1:28" ht="18" customHeight="1" thickBot="1" x14ac:dyDescent="0.35">
      <c r="B10" s="209"/>
      <c r="C10" s="210"/>
      <c r="I10" s="422"/>
      <c r="J10" s="492"/>
      <c r="K10" s="423"/>
    </row>
    <row r="11" spans="1:28" ht="15" thickBot="1" x14ac:dyDescent="0.35">
      <c r="C11" s="3" t="s">
        <v>145</v>
      </c>
      <c r="D11" s="3" t="s">
        <v>145</v>
      </c>
      <c r="K11" s="2"/>
    </row>
    <row r="12" spans="1:28" ht="43.2" x14ac:dyDescent="0.3">
      <c r="B12" s="110" t="s">
        <v>497</v>
      </c>
      <c r="C12" s="111" t="s">
        <v>498</v>
      </c>
      <c r="D12" s="111" t="s">
        <v>499</v>
      </c>
      <c r="E12" s="111" t="s">
        <v>502</v>
      </c>
      <c r="F12" s="111" t="s">
        <v>684</v>
      </c>
      <c r="G12" s="111" t="s">
        <v>686</v>
      </c>
      <c r="H12" s="111" t="s">
        <v>651</v>
      </c>
      <c r="I12" s="111" t="s">
        <v>651</v>
      </c>
      <c r="J12" s="111" t="s">
        <v>503</v>
      </c>
      <c r="K12" s="113" t="s">
        <v>653</v>
      </c>
      <c r="L12" s="183"/>
      <c r="M12" s="183"/>
      <c r="N12" s="183"/>
      <c r="O12" s="183"/>
      <c r="P12" s="183"/>
      <c r="Q12" s="183"/>
      <c r="R12" s="183"/>
      <c r="S12" s="183"/>
      <c r="T12" s="183"/>
      <c r="U12" s="183"/>
      <c r="V12" s="183"/>
    </row>
    <row r="13" spans="1:28" ht="15.6" x14ac:dyDescent="0.35">
      <c r="B13" s="405"/>
      <c r="C13" s="406"/>
      <c r="D13" s="406"/>
      <c r="E13" s="406" t="s">
        <v>677</v>
      </c>
      <c r="F13" s="406" t="s">
        <v>683</v>
      </c>
      <c r="G13" s="406" t="s">
        <v>685</v>
      </c>
      <c r="H13" s="406" t="s">
        <v>771</v>
      </c>
      <c r="I13" s="406" t="s">
        <v>652</v>
      </c>
      <c r="J13" s="406"/>
      <c r="K13" s="408" t="s">
        <v>774</v>
      </c>
      <c r="L13" s="183"/>
      <c r="M13" s="183"/>
      <c r="N13" s="183"/>
      <c r="O13" s="183"/>
      <c r="P13" s="183"/>
      <c r="Q13" s="183"/>
      <c r="R13" s="183"/>
      <c r="S13" s="183"/>
      <c r="T13" s="183"/>
      <c r="U13" s="183"/>
      <c r="V13" s="183"/>
    </row>
    <row r="14" spans="1:28" x14ac:dyDescent="0.3">
      <c r="B14" s="114" t="str">
        <f>IF(AND(C14=0,D14=0,E14=0),"",IF(OR(C14=0,D14=0,E14=0),"INCOMPLETE","OK"))</f>
        <v>OK</v>
      </c>
      <c r="C14" s="185" t="s">
        <v>300</v>
      </c>
      <c r="D14" s="186" t="s">
        <v>106</v>
      </c>
      <c r="E14" s="389">
        <v>10000</v>
      </c>
      <c r="F14" s="389">
        <v>1500</v>
      </c>
      <c r="G14" s="80">
        <f>E14-F14</f>
        <v>8500</v>
      </c>
      <c r="H14" s="53">
        <f>IF($D14=0,0,VLOOKUP($D14,'Default Values'!$B$78:$C$97,2,0)/1000*$G14/1000)</f>
        <v>1.8620151326107861E-3</v>
      </c>
      <c r="I14" s="53">
        <f>'Emissions Database'!AR264</f>
        <v>9.9284918813434954E-4</v>
      </c>
      <c r="J14" s="53" t="str">
        <f t="shared" ref="J14:J54" si="0">IF(D14=0,"","Weighted Average")</f>
        <v>Weighted Average</v>
      </c>
      <c r="K14" s="143">
        <f>IF(J14="","",H14*VLOOKUP(D14&amp;" (All)",Lists!$C$213:$S$232,COLUMNS(Lists!$C$213:$S$213),0))</f>
        <v>2.5571084839183542</v>
      </c>
      <c r="L14" s="183"/>
      <c r="M14" s="183"/>
      <c r="N14" s="183"/>
      <c r="O14" s="183"/>
      <c r="P14" s="183"/>
      <c r="Q14" s="183"/>
      <c r="R14" s="183"/>
      <c r="S14" s="183"/>
      <c r="T14" s="183"/>
      <c r="U14" s="183"/>
      <c r="V14" s="183"/>
    </row>
    <row r="15" spans="1:28" x14ac:dyDescent="0.3">
      <c r="B15" s="114" t="str">
        <f t="shared" ref="B15:B54" si="1">IF(AND(C15=0,D15=0,E15=0),"",IF(OR(C15=0,D15=0,E15=0),"INCOMPLETE","OK"))</f>
        <v/>
      </c>
      <c r="C15" s="187"/>
      <c r="D15" s="187"/>
      <c r="E15" s="390"/>
      <c r="F15" s="391"/>
      <c r="G15" s="81">
        <f>E15-F15</f>
        <v>0</v>
      </c>
      <c r="H15" s="43">
        <f>IF($D15=0,0,VLOOKUP($D15,'Default Values'!$B$78:$C$97,2,0)/1000*$G15/1000)</f>
        <v>0</v>
      </c>
      <c r="I15" s="43">
        <f t="array" ref="I15:I54">TRANSPOSE('Emissions Database'!D264:AQ264)</f>
        <v>0</v>
      </c>
      <c r="J15" s="43" t="str">
        <f t="shared" si="0"/>
        <v/>
      </c>
      <c r="K15" s="115">
        <f>'Emissions Database'!BS164</f>
        <v>0</v>
      </c>
      <c r="L15" s="183"/>
      <c r="M15" s="183"/>
      <c r="N15" s="183"/>
      <c r="O15" s="183"/>
      <c r="P15" s="183"/>
      <c r="Q15" s="183"/>
      <c r="R15" s="183"/>
      <c r="S15" s="183"/>
      <c r="T15" s="183"/>
      <c r="U15" s="183"/>
      <c r="V15" s="183"/>
    </row>
    <row r="16" spans="1:28" x14ac:dyDescent="0.3">
      <c r="B16" s="114" t="str">
        <f t="shared" si="1"/>
        <v/>
      </c>
      <c r="C16" s="187"/>
      <c r="D16" s="187"/>
      <c r="E16" s="390"/>
      <c r="F16" s="391"/>
      <c r="G16" s="81">
        <f t="shared" ref="G16:G54" si="2">E16-F16</f>
        <v>0</v>
      </c>
      <c r="H16" s="43">
        <f>IF($D16=0,0,VLOOKUP($D16,'Default Values'!$B$78:$C$97,2,0)/1000*$G16/1000)</f>
        <v>0</v>
      </c>
      <c r="I16" s="43">
        <v>0</v>
      </c>
      <c r="J16" s="43" t="str">
        <f t="shared" si="0"/>
        <v/>
      </c>
      <c r="K16" s="115">
        <f>'Emissions Database'!BS165</f>
        <v>0</v>
      </c>
      <c r="L16" s="183"/>
      <c r="M16" s="183"/>
      <c r="N16" s="183"/>
      <c r="O16" s="183"/>
      <c r="P16" s="183"/>
      <c r="Q16" s="183"/>
      <c r="R16" s="183"/>
      <c r="S16" s="183"/>
      <c r="T16" s="183"/>
      <c r="U16" s="183"/>
      <c r="V16" s="183"/>
    </row>
    <row r="17" spans="2:22" x14ac:dyDescent="0.3">
      <c r="B17" s="114" t="str">
        <f t="shared" si="1"/>
        <v/>
      </c>
      <c r="C17" s="187"/>
      <c r="D17" s="187"/>
      <c r="E17" s="390"/>
      <c r="F17" s="391"/>
      <c r="G17" s="81">
        <f t="shared" si="2"/>
        <v>0</v>
      </c>
      <c r="H17" s="43">
        <f>IF($D17=0,0,VLOOKUP($D17,'Default Values'!$B$78:$C$97,2,0)/1000*$G17/1000)</f>
        <v>0</v>
      </c>
      <c r="I17" s="43">
        <v>0</v>
      </c>
      <c r="J17" s="43" t="str">
        <f t="shared" si="0"/>
        <v/>
      </c>
      <c r="K17" s="115">
        <f>'Emissions Database'!BS166</f>
        <v>0</v>
      </c>
      <c r="L17" s="183"/>
      <c r="M17" s="183"/>
      <c r="N17" s="183"/>
      <c r="O17" s="183"/>
      <c r="P17" s="183"/>
      <c r="Q17" s="183"/>
      <c r="R17" s="183"/>
      <c r="S17" s="183"/>
      <c r="T17" s="183"/>
      <c r="U17" s="183"/>
      <c r="V17" s="183"/>
    </row>
    <row r="18" spans="2:22" x14ac:dyDescent="0.3">
      <c r="B18" s="114" t="str">
        <f t="shared" si="1"/>
        <v/>
      </c>
      <c r="C18" s="187"/>
      <c r="D18" s="187"/>
      <c r="E18" s="390"/>
      <c r="F18" s="391"/>
      <c r="G18" s="81">
        <f t="shared" si="2"/>
        <v>0</v>
      </c>
      <c r="H18" s="43">
        <f>IF($D18=0,0,VLOOKUP($D18,'Default Values'!$B$78:$C$97,2,0)/1000*$G18/1000)</f>
        <v>0</v>
      </c>
      <c r="I18" s="43">
        <v>0</v>
      </c>
      <c r="J18" s="43" t="str">
        <f t="shared" si="0"/>
        <v/>
      </c>
      <c r="K18" s="115">
        <f>'Emissions Database'!BS167</f>
        <v>0</v>
      </c>
      <c r="L18" s="183"/>
      <c r="M18" s="183"/>
      <c r="N18" s="183"/>
      <c r="O18" s="183"/>
      <c r="P18" s="183"/>
      <c r="Q18" s="183"/>
      <c r="R18" s="183"/>
      <c r="S18" s="183"/>
      <c r="T18" s="183"/>
      <c r="U18" s="183"/>
      <c r="V18" s="183"/>
    </row>
    <row r="19" spans="2:22" x14ac:dyDescent="0.3">
      <c r="B19" s="114" t="str">
        <f t="shared" si="1"/>
        <v/>
      </c>
      <c r="C19" s="187"/>
      <c r="D19" s="187"/>
      <c r="E19" s="390"/>
      <c r="F19" s="391"/>
      <c r="G19" s="81">
        <f t="shared" si="2"/>
        <v>0</v>
      </c>
      <c r="H19" s="43">
        <f>IF($D19=0,0,VLOOKUP($D19,'Default Values'!$B$78:$C$97,2,0)/1000*$G19/1000)</f>
        <v>0</v>
      </c>
      <c r="I19" s="43">
        <v>0</v>
      </c>
      <c r="J19" s="43" t="str">
        <f t="shared" si="0"/>
        <v/>
      </c>
      <c r="K19" s="115">
        <f>'Emissions Database'!BS168</f>
        <v>0</v>
      </c>
      <c r="L19" s="183"/>
      <c r="M19" s="183"/>
      <c r="N19" s="183"/>
      <c r="O19" s="183"/>
      <c r="P19" s="183"/>
      <c r="Q19" s="183"/>
      <c r="R19" s="183"/>
      <c r="S19" s="183"/>
      <c r="T19" s="183"/>
      <c r="U19" s="183"/>
      <c r="V19" s="183"/>
    </row>
    <row r="20" spans="2:22" x14ac:dyDescent="0.3">
      <c r="B20" s="114" t="str">
        <f t="shared" si="1"/>
        <v/>
      </c>
      <c r="C20" s="187"/>
      <c r="D20" s="187"/>
      <c r="E20" s="390"/>
      <c r="F20" s="391"/>
      <c r="G20" s="81">
        <f t="shared" si="2"/>
        <v>0</v>
      </c>
      <c r="H20" s="43">
        <f>IF($D20=0,0,VLOOKUP($D20,'Default Values'!$B$78:$C$97,2,0)/1000*$G20/1000)</f>
        <v>0</v>
      </c>
      <c r="I20" s="43">
        <v>0</v>
      </c>
      <c r="J20" s="43" t="str">
        <f t="shared" si="0"/>
        <v/>
      </c>
      <c r="K20" s="115">
        <f>'Emissions Database'!BS169</f>
        <v>0</v>
      </c>
      <c r="L20" s="183"/>
      <c r="M20" s="183"/>
      <c r="N20" s="183"/>
      <c r="O20" s="183"/>
      <c r="P20" s="183"/>
      <c r="Q20" s="183"/>
      <c r="R20" s="183"/>
      <c r="S20" s="183"/>
      <c r="T20" s="183"/>
      <c r="U20" s="183"/>
      <c r="V20" s="183"/>
    </row>
    <row r="21" spans="2:22" x14ac:dyDescent="0.3">
      <c r="B21" s="114" t="str">
        <f t="shared" si="1"/>
        <v/>
      </c>
      <c r="C21" s="187"/>
      <c r="D21" s="187"/>
      <c r="E21" s="390"/>
      <c r="F21" s="391"/>
      <c r="G21" s="81">
        <f t="shared" si="2"/>
        <v>0</v>
      </c>
      <c r="H21" s="43">
        <f>IF($D21=0,0,VLOOKUP($D21,'Default Values'!$B$78:$C$97,2,0)/1000*$G21/1000)</f>
        <v>0</v>
      </c>
      <c r="I21" s="43">
        <v>0</v>
      </c>
      <c r="J21" s="43" t="str">
        <f t="shared" si="0"/>
        <v/>
      </c>
      <c r="K21" s="115">
        <f>'Emissions Database'!BS170</f>
        <v>0</v>
      </c>
      <c r="L21" s="183"/>
      <c r="M21" s="183"/>
      <c r="N21" s="183"/>
      <c r="O21" s="183"/>
      <c r="P21" s="183"/>
      <c r="Q21" s="183"/>
      <c r="R21" s="183"/>
      <c r="S21" s="183"/>
      <c r="T21" s="183"/>
      <c r="U21" s="183"/>
      <c r="V21" s="183"/>
    </row>
    <row r="22" spans="2:22" x14ac:dyDescent="0.3">
      <c r="B22" s="114" t="str">
        <f t="shared" si="1"/>
        <v/>
      </c>
      <c r="C22" s="187"/>
      <c r="D22" s="187"/>
      <c r="E22" s="390"/>
      <c r="F22" s="391"/>
      <c r="G22" s="81">
        <f t="shared" si="2"/>
        <v>0</v>
      </c>
      <c r="H22" s="43">
        <f>IF($D22=0,0,VLOOKUP($D22,'Default Values'!$B$78:$C$97,2,0)/1000*$G22/1000)</f>
        <v>0</v>
      </c>
      <c r="I22" s="43">
        <v>0</v>
      </c>
      <c r="J22" s="43" t="str">
        <f t="shared" si="0"/>
        <v/>
      </c>
      <c r="K22" s="115">
        <f>'Emissions Database'!BS171</f>
        <v>0</v>
      </c>
      <c r="L22" s="183"/>
      <c r="M22" s="183"/>
      <c r="N22" s="183"/>
      <c r="O22" s="183"/>
      <c r="P22" s="183"/>
      <c r="Q22" s="183"/>
      <c r="R22" s="183"/>
      <c r="S22" s="183"/>
      <c r="T22" s="183"/>
      <c r="U22" s="183"/>
      <c r="V22" s="183"/>
    </row>
    <row r="23" spans="2:22" x14ac:dyDescent="0.3">
      <c r="B23" s="114" t="str">
        <f t="shared" si="1"/>
        <v/>
      </c>
      <c r="C23" s="187"/>
      <c r="D23" s="187"/>
      <c r="E23" s="390"/>
      <c r="F23" s="391"/>
      <c r="G23" s="81">
        <f t="shared" si="2"/>
        <v>0</v>
      </c>
      <c r="H23" s="43">
        <f>IF($D23=0,0,VLOOKUP($D23,'Default Values'!$B$78:$C$97,2,0)/1000*$G23/1000)</f>
        <v>0</v>
      </c>
      <c r="I23" s="43">
        <v>0</v>
      </c>
      <c r="J23" s="43" t="str">
        <f t="shared" si="0"/>
        <v/>
      </c>
      <c r="K23" s="115">
        <f>'Emissions Database'!BS172</f>
        <v>0</v>
      </c>
      <c r="L23" s="183"/>
      <c r="M23" s="183"/>
      <c r="N23" s="183"/>
      <c r="O23" s="183"/>
      <c r="P23" s="183"/>
      <c r="Q23" s="183"/>
      <c r="R23" s="183"/>
      <c r="S23" s="183"/>
      <c r="T23" s="183"/>
      <c r="U23" s="183"/>
      <c r="V23" s="183"/>
    </row>
    <row r="24" spans="2:22" x14ac:dyDescent="0.3">
      <c r="B24" s="114" t="str">
        <f t="shared" si="1"/>
        <v/>
      </c>
      <c r="C24" s="187"/>
      <c r="D24" s="187"/>
      <c r="E24" s="390"/>
      <c r="F24" s="391"/>
      <c r="G24" s="81">
        <f t="shared" si="2"/>
        <v>0</v>
      </c>
      <c r="H24" s="43">
        <f>IF($D24=0,0,VLOOKUP($D24,'Default Values'!$B$78:$C$97,2,0)/1000*$G24/1000)</f>
        <v>0</v>
      </c>
      <c r="I24" s="43">
        <v>0</v>
      </c>
      <c r="J24" s="43" t="str">
        <f t="shared" si="0"/>
        <v/>
      </c>
      <c r="K24" s="115">
        <f>'Emissions Database'!BS173</f>
        <v>0</v>
      </c>
      <c r="L24" s="183"/>
      <c r="M24" s="183"/>
      <c r="N24" s="183"/>
      <c r="O24" s="183"/>
      <c r="P24" s="183"/>
      <c r="Q24" s="183"/>
      <c r="R24" s="183"/>
      <c r="S24" s="183"/>
      <c r="T24" s="183"/>
      <c r="U24" s="183"/>
      <c r="V24" s="183"/>
    </row>
    <row r="25" spans="2:22" x14ac:dyDescent="0.3">
      <c r="B25" s="114" t="str">
        <f t="shared" si="1"/>
        <v/>
      </c>
      <c r="C25" s="187"/>
      <c r="D25" s="187"/>
      <c r="E25" s="390"/>
      <c r="F25" s="391"/>
      <c r="G25" s="81">
        <f t="shared" ref="G25:G44" si="3">E25-F25</f>
        <v>0</v>
      </c>
      <c r="H25" s="43">
        <f>IF($D25=0,0,VLOOKUP($D25,'Default Values'!$B$78:$C$97,2,0)/1000*$G25/1000)</f>
        <v>0</v>
      </c>
      <c r="I25" s="43">
        <v>0</v>
      </c>
      <c r="J25" s="43" t="str">
        <f t="shared" si="0"/>
        <v/>
      </c>
      <c r="K25" s="115">
        <f>'Emissions Database'!BS174</f>
        <v>0</v>
      </c>
      <c r="L25" s="183"/>
      <c r="M25" s="183"/>
      <c r="N25" s="183"/>
      <c r="O25" s="183"/>
      <c r="P25" s="183"/>
      <c r="Q25" s="183"/>
      <c r="R25" s="183"/>
      <c r="S25" s="183"/>
      <c r="T25" s="183"/>
      <c r="U25" s="183"/>
      <c r="V25" s="183"/>
    </row>
    <row r="26" spans="2:22" x14ac:dyDescent="0.3">
      <c r="B26" s="114" t="str">
        <f t="shared" si="1"/>
        <v/>
      </c>
      <c r="C26" s="187"/>
      <c r="D26" s="187"/>
      <c r="E26" s="390"/>
      <c r="F26" s="391"/>
      <c r="G26" s="81">
        <f t="shared" si="3"/>
        <v>0</v>
      </c>
      <c r="H26" s="43">
        <f>IF($D26=0,0,VLOOKUP($D26,'Default Values'!$B$78:$C$97,2,0)/1000*$G26/1000)</f>
        <v>0</v>
      </c>
      <c r="I26" s="43">
        <v>0</v>
      </c>
      <c r="J26" s="43" t="str">
        <f t="shared" si="0"/>
        <v/>
      </c>
      <c r="K26" s="115">
        <f>'Emissions Database'!BS175</f>
        <v>0</v>
      </c>
      <c r="L26" s="183"/>
      <c r="M26" s="183"/>
      <c r="N26" s="183"/>
      <c r="O26" s="183"/>
      <c r="P26" s="183"/>
      <c r="Q26" s="183"/>
      <c r="R26" s="183"/>
      <c r="S26" s="183"/>
      <c r="T26" s="183"/>
      <c r="U26" s="183"/>
      <c r="V26" s="183"/>
    </row>
    <row r="27" spans="2:22" x14ac:dyDescent="0.3">
      <c r="B27" s="114" t="str">
        <f t="shared" si="1"/>
        <v/>
      </c>
      <c r="C27" s="187"/>
      <c r="D27" s="187"/>
      <c r="E27" s="390"/>
      <c r="F27" s="391"/>
      <c r="G27" s="81">
        <f t="shared" si="3"/>
        <v>0</v>
      </c>
      <c r="H27" s="43">
        <f>IF($D27=0,0,VLOOKUP($D27,'Default Values'!$B$78:$C$97,2,0)/1000*$G27/1000)</f>
        <v>0</v>
      </c>
      <c r="I27" s="43">
        <v>0</v>
      </c>
      <c r="J27" s="43" t="str">
        <f t="shared" si="0"/>
        <v/>
      </c>
      <c r="K27" s="115">
        <f>'Emissions Database'!BS176</f>
        <v>0</v>
      </c>
      <c r="L27" s="183"/>
      <c r="M27" s="183"/>
      <c r="N27" s="183"/>
      <c r="O27" s="183"/>
      <c r="P27" s="183"/>
      <c r="Q27" s="183"/>
      <c r="R27" s="183"/>
      <c r="S27" s="183"/>
      <c r="T27" s="183"/>
      <c r="U27" s="183"/>
      <c r="V27" s="183"/>
    </row>
    <row r="28" spans="2:22" x14ac:dyDescent="0.3">
      <c r="B28" s="114" t="str">
        <f t="shared" si="1"/>
        <v/>
      </c>
      <c r="C28" s="187"/>
      <c r="D28" s="187"/>
      <c r="E28" s="390"/>
      <c r="F28" s="391"/>
      <c r="G28" s="81">
        <f t="shared" si="3"/>
        <v>0</v>
      </c>
      <c r="H28" s="43">
        <f>IF($D28=0,0,VLOOKUP($D28,'Default Values'!$B$78:$C$97,2,0)/1000*$G28/1000)</f>
        <v>0</v>
      </c>
      <c r="I28" s="43">
        <v>0</v>
      </c>
      <c r="J28" s="43" t="str">
        <f t="shared" si="0"/>
        <v/>
      </c>
      <c r="K28" s="115">
        <f>'Emissions Database'!BS177</f>
        <v>0</v>
      </c>
      <c r="L28" s="183"/>
      <c r="M28" s="183"/>
      <c r="N28" s="183"/>
      <c r="O28" s="183"/>
      <c r="P28" s="183"/>
      <c r="Q28" s="183"/>
      <c r="R28" s="183"/>
      <c r="S28" s="183"/>
      <c r="T28" s="183"/>
      <c r="U28" s="183"/>
      <c r="V28" s="183"/>
    </row>
    <row r="29" spans="2:22" x14ac:dyDescent="0.3">
      <c r="B29" s="114" t="str">
        <f t="shared" si="1"/>
        <v/>
      </c>
      <c r="C29" s="187"/>
      <c r="D29" s="187"/>
      <c r="E29" s="390"/>
      <c r="F29" s="391"/>
      <c r="G29" s="81">
        <f t="shared" si="3"/>
        <v>0</v>
      </c>
      <c r="H29" s="43">
        <f>IF($D29=0,0,VLOOKUP($D29,'Default Values'!$B$78:$C$97,2,0)/1000*$G29/1000)</f>
        <v>0</v>
      </c>
      <c r="I29" s="43">
        <v>0</v>
      </c>
      <c r="J29" s="43" t="str">
        <f t="shared" si="0"/>
        <v/>
      </c>
      <c r="K29" s="115">
        <f>'Emissions Database'!BS178</f>
        <v>0</v>
      </c>
      <c r="L29" s="183"/>
      <c r="M29" s="183"/>
      <c r="N29" s="183"/>
      <c r="O29" s="183"/>
      <c r="P29" s="183"/>
      <c r="Q29" s="183"/>
      <c r="R29" s="183"/>
      <c r="S29" s="183"/>
      <c r="T29" s="183"/>
      <c r="U29" s="183"/>
      <c r="V29" s="183"/>
    </row>
    <row r="30" spans="2:22" x14ac:dyDescent="0.3">
      <c r="B30" s="114" t="str">
        <f t="shared" si="1"/>
        <v/>
      </c>
      <c r="C30" s="187"/>
      <c r="D30" s="187"/>
      <c r="E30" s="390"/>
      <c r="F30" s="391"/>
      <c r="G30" s="81">
        <f t="shared" si="3"/>
        <v>0</v>
      </c>
      <c r="H30" s="43">
        <f>IF($D30=0,0,VLOOKUP($D30,'Default Values'!$B$78:$C$97,2,0)/1000*$G30/1000)</f>
        <v>0</v>
      </c>
      <c r="I30" s="43">
        <v>0</v>
      </c>
      <c r="J30" s="43" t="str">
        <f t="shared" si="0"/>
        <v/>
      </c>
      <c r="K30" s="115">
        <f>'Emissions Database'!BS179</f>
        <v>0</v>
      </c>
      <c r="L30" s="183"/>
      <c r="M30" s="183"/>
      <c r="N30" s="183"/>
      <c r="O30" s="183"/>
      <c r="P30" s="183"/>
      <c r="Q30" s="183"/>
      <c r="R30" s="183"/>
      <c r="S30" s="183"/>
      <c r="T30" s="183"/>
      <c r="U30" s="183"/>
      <c r="V30" s="183"/>
    </row>
    <row r="31" spans="2:22" x14ac:dyDescent="0.3">
      <c r="B31" s="114" t="str">
        <f t="shared" si="1"/>
        <v/>
      </c>
      <c r="C31" s="187"/>
      <c r="D31" s="187"/>
      <c r="E31" s="390"/>
      <c r="F31" s="391"/>
      <c r="G31" s="81">
        <f t="shared" si="3"/>
        <v>0</v>
      </c>
      <c r="H31" s="43">
        <f>IF($D31=0,0,VLOOKUP($D31,'Default Values'!$B$78:$C$97,2,0)/1000*$G31/1000)</f>
        <v>0</v>
      </c>
      <c r="I31" s="43">
        <v>0</v>
      </c>
      <c r="J31" s="43" t="str">
        <f t="shared" si="0"/>
        <v/>
      </c>
      <c r="K31" s="115">
        <f>'Emissions Database'!BS180</f>
        <v>0</v>
      </c>
      <c r="L31" s="183"/>
      <c r="M31" s="183"/>
      <c r="N31" s="183"/>
      <c r="O31" s="183"/>
      <c r="P31" s="183"/>
      <c r="Q31" s="183"/>
      <c r="R31" s="183"/>
      <c r="S31" s="183"/>
      <c r="T31" s="183"/>
      <c r="U31" s="183"/>
      <c r="V31" s="183"/>
    </row>
    <row r="32" spans="2:22" x14ac:dyDescent="0.3">
      <c r="B32" s="114" t="str">
        <f t="shared" si="1"/>
        <v/>
      </c>
      <c r="C32" s="187"/>
      <c r="D32" s="187"/>
      <c r="E32" s="390"/>
      <c r="F32" s="391"/>
      <c r="G32" s="81">
        <f t="shared" si="3"/>
        <v>0</v>
      </c>
      <c r="H32" s="43">
        <f>IF($D32=0,0,VLOOKUP($D32,'Default Values'!$B$78:$C$97,2,0)/1000*$G32/1000)</f>
        <v>0</v>
      </c>
      <c r="I32" s="43">
        <v>0</v>
      </c>
      <c r="J32" s="43" t="str">
        <f t="shared" si="0"/>
        <v/>
      </c>
      <c r="K32" s="115">
        <f>'Emissions Database'!BS181</f>
        <v>0</v>
      </c>
      <c r="L32" s="183"/>
      <c r="M32" s="183"/>
      <c r="N32" s="183"/>
      <c r="O32" s="183"/>
      <c r="P32" s="183"/>
      <c r="Q32" s="183"/>
      <c r="R32" s="183"/>
      <c r="S32" s="183"/>
      <c r="T32" s="183"/>
      <c r="U32" s="183"/>
      <c r="V32" s="183"/>
    </row>
    <row r="33" spans="2:22" x14ac:dyDescent="0.3">
      <c r="B33" s="114" t="str">
        <f t="shared" si="1"/>
        <v/>
      </c>
      <c r="C33" s="187"/>
      <c r="D33" s="187"/>
      <c r="E33" s="390"/>
      <c r="F33" s="391"/>
      <c r="G33" s="81">
        <f t="shared" si="3"/>
        <v>0</v>
      </c>
      <c r="H33" s="43">
        <f>IF($D33=0,0,VLOOKUP($D33,'Default Values'!$B$78:$C$97,2,0)/1000*$G33/1000)</f>
        <v>0</v>
      </c>
      <c r="I33" s="43">
        <v>0</v>
      </c>
      <c r="J33" s="43" t="str">
        <f t="shared" si="0"/>
        <v/>
      </c>
      <c r="K33" s="115">
        <f>'Emissions Database'!BS182</f>
        <v>0</v>
      </c>
      <c r="L33" s="183"/>
      <c r="M33" s="183"/>
      <c r="N33" s="183"/>
      <c r="O33" s="183"/>
      <c r="P33" s="183"/>
      <c r="Q33" s="183"/>
      <c r="R33" s="183"/>
      <c r="S33" s="183"/>
      <c r="T33" s="183"/>
      <c r="U33" s="183"/>
      <c r="V33" s="183"/>
    </row>
    <row r="34" spans="2:22" x14ac:dyDescent="0.3">
      <c r="B34" s="114" t="str">
        <f t="shared" si="1"/>
        <v/>
      </c>
      <c r="C34" s="187"/>
      <c r="D34" s="187"/>
      <c r="E34" s="390"/>
      <c r="F34" s="391"/>
      <c r="G34" s="81">
        <f t="shared" si="3"/>
        <v>0</v>
      </c>
      <c r="H34" s="43">
        <f>IF($D34=0,0,VLOOKUP($D34,'Default Values'!$B$78:$C$97,2,0)/1000*$G34/1000)</f>
        <v>0</v>
      </c>
      <c r="I34" s="43">
        <v>0</v>
      </c>
      <c r="J34" s="43" t="str">
        <f t="shared" si="0"/>
        <v/>
      </c>
      <c r="K34" s="115">
        <f>'Emissions Database'!BS183</f>
        <v>0</v>
      </c>
      <c r="L34" s="183"/>
      <c r="M34" s="183"/>
      <c r="N34" s="183"/>
      <c r="O34" s="183"/>
      <c r="P34" s="183"/>
      <c r="Q34" s="183"/>
      <c r="R34" s="183"/>
      <c r="S34" s="183"/>
      <c r="T34" s="183"/>
      <c r="U34" s="183"/>
      <c r="V34" s="183"/>
    </row>
    <row r="35" spans="2:22" x14ac:dyDescent="0.3">
      <c r="B35" s="114" t="str">
        <f t="shared" si="1"/>
        <v/>
      </c>
      <c r="C35" s="187"/>
      <c r="D35" s="187"/>
      <c r="E35" s="390"/>
      <c r="F35" s="391"/>
      <c r="G35" s="81">
        <f t="shared" si="3"/>
        <v>0</v>
      </c>
      <c r="H35" s="43">
        <f>IF($D35=0,0,VLOOKUP($D35,'Default Values'!$B$78:$C$97,2,0)/1000*$G35/1000)</f>
        <v>0</v>
      </c>
      <c r="I35" s="43">
        <v>0</v>
      </c>
      <c r="J35" s="43" t="str">
        <f t="shared" si="0"/>
        <v/>
      </c>
      <c r="K35" s="115">
        <f>'Emissions Database'!BS184</f>
        <v>0</v>
      </c>
      <c r="L35" s="183"/>
      <c r="M35" s="183"/>
      <c r="N35" s="183"/>
      <c r="O35" s="183"/>
      <c r="P35" s="183"/>
      <c r="Q35" s="183"/>
      <c r="R35" s="183"/>
      <c r="S35" s="183"/>
      <c r="T35" s="183"/>
      <c r="U35" s="183"/>
      <c r="V35" s="183"/>
    </row>
    <row r="36" spans="2:22" x14ac:dyDescent="0.3">
      <c r="B36" s="114" t="str">
        <f t="shared" si="1"/>
        <v/>
      </c>
      <c r="C36" s="187"/>
      <c r="D36" s="187"/>
      <c r="E36" s="390"/>
      <c r="F36" s="391"/>
      <c r="G36" s="81">
        <f t="shared" si="3"/>
        <v>0</v>
      </c>
      <c r="H36" s="43">
        <f>IF($D36=0,0,VLOOKUP($D36,'Default Values'!$B$78:$C$97,2,0)/1000*$G36/1000)</f>
        <v>0</v>
      </c>
      <c r="I36" s="43">
        <v>0</v>
      </c>
      <c r="J36" s="43" t="str">
        <f t="shared" si="0"/>
        <v/>
      </c>
      <c r="K36" s="115">
        <f>'Emissions Database'!BS185</f>
        <v>0</v>
      </c>
      <c r="L36" s="183"/>
      <c r="M36" s="183"/>
      <c r="N36" s="183"/>
      <c r="O36" s="183"/>
      <c r="P36" s="183"/>
      <c r="Q36" s="183"/>
      <c r="R36" s="183"/>
      <c r="S36" s="183"/>
      <c r="T36" s="183"/>
      <c r="U36" s="183"/>
      <c r="V36" s="183"/>
    </row>
    <row r="37" spans="2:22" x14ac:dyDescent="0.3">
      <c r="B37" s="114" t="str">
        <f t="shared" si="1"/>
        <v/>
      </c>
      <c r="C37" s="187"/>
      <c r="D37" s="187"/>
      <c r="E37" s="390"/>
      <c r="F37" s="391"/>
      <c r="G37" s="81">
        <f t="shared" si="3"/>
        <v>0</v>
      </c>
      <c r="H37" s="43">
        <f>IF($D37=0,0,VLOOKUP($D37,'Default Values'!$B$78:$C$97,2,0)/1000*$G37/1000)</f>
        <v>0</v>
      </c>
      <c r="I37" s="43">
        <v>0</v>
      </c>
      <c r="J37" s="43" t="str">
        <f t="shared" si="0"/>
        <v/>
      </c>
      <c r="K37" s="115">
        <f>'Emissions Database'!BS186</f>
        <v>0</v>
      </c>
      <c r="L37" s="183"/>
      <c r="M37" s="183"/>
      <c r="N37" s="183"/>
      <c r="O37" s="183"/>
      <c r="P37" s="183"/>
      <c r="Q37" s="183"/>
      <c r="R37" s="183"/>
      <c r="S37" s="183"/>
      <c r="T37" s="183"/>
      <c r="U37" s="183"/>
      <c r="V37" s="183"/>
    </row>
    <row r="38" spans="2:22" x14ac:dyDescent="0.3">
      <c r="B38" s="114" t="str">
        <f t="shared" si="1"/>
        <v/>
      </c>
      <c r="C38" s="187"/>
      <c r="D38" s="187"/>
      <c r="E38" s="390"/>
      <c r="F38" s="391"/>
      <c r="G38" s="81">
        <f t="shared" si="3"/>
        <v>0</v>
      </c>
      <c r="H38" s="43">
        <f>IF($D38=0,0,VLOOKUP($D38,'Default Values'!$B$78:$C$97,2,0)/1000*$G38/1000)</f>
        <v>0</v>
      </c>
      <c r="I38" s="43">
        <v>0</v>
      </c>
      <c r="J38" s="43" t="str">
        <f t="shared" si="0"/>
        <v/>
      </c>
      <c r="K38" s="115">
        <f>'Emissions Database'!BS187</f>
        <v>0</v>
      </c>
      <c r="L38" s="183"/>
      <c r="M38" s="183"/>
      <c r="N38" s="183"/>
      <c r="O38" s="183"/>
      <c r="P38" s="183"/>
      <c r="Q38" s="183"/>
      <c r="R38" s="183"/>
      <c r="S38" s="183"/>
      <c r="T38" s="183"/>
      <c r="U38" s="183"/>
      <c r="V38" s="183"/>
    </row>
    <row r="39" spans="2:22" x14ac:dyDescent="0.3">
      <c r="B39" s="114" t="str">
        <f t="shared" si="1"/>
        <v/>
      </c>
      <c r="C39" s="187"/>
      <c r="D39" s="187"/>
      <c r="E39" s="390"/>
      <c r="F39" s="391"/>
      <c r="G39" s="81">
        <f t="shared" si="3"/>
        <v>0</v>
      </c>
      <c r="H39" s="43">
        <f>IF($D39=0,0,VLOOKUP($D39,'Default Values'!$B$78:$C$97,2,0)/1000*$G39/1000)</f>
        <v>0</v>
      </c>
      <c r="I39" s="43">
        <v>0</v>
      </c>
      <c r="J39" s="43" t="str">
        <f t="shared" si="0"/>
        <v/>
      </c>
      <c r="K39" s="115">
        <f>'Emissions Database'!BS188</f>
        <v>0</v>
      </c>
      <c r="L39" s="183"/>
      <c r="M39" s="183"/>
      <c r="N39" s="183"/>
      <c r="O39" s="183"/>
      <c r="P39" s="183"/>
      <c r="Q39" s="183"/>
      <c r="R39" s="183"/>
      <c r="S39" s="183"/>
      <c r="T39" s="183"/>
      <c r="U39" s="183"/>
      <c r="V39" s="183"/>
    </row>
    <row r="40" spans="2:22" x14ac:dyDescent="0.3">
      <c r="B40" s="114" t="str">
        <f t="shared" si="1"/>
        <v/>
      </c>
      <c r="C40" s="187"/>
      <c r="D40" s="187"/>
      <c r="E40" s="390"/>
      <c r="F40" s="391"/>
      <c r="G40" s="81">
        <f t="shared" si="3"/>
        <v>0</v>
      </c>
      <c r="H40" s="43">
        <f>IF($D40=0,0,VLOOKUP($D40,'Default Values'!$B$78:$C$97,2,0)/1000*$G40/1000)</f>
        <v>0</v>
      </c>
      <c r="I40" s="43">
        <v>0</v>
      </c>
      <c r="J40" s="43" t="str">
        <f t="shared" si="0"/>
        <v/>
      </c>
      <c r="K40" s="115">
        <f>'Emissions Database'!BS189</f>
        <v>0</v>
      </c>
      <c r="L40" s="183"/>
      <c r="M40" s="183"/>
      <c r="N40" s="183"/>
      <c r="O40" s="183"/>
      <c r="P40" s="183"/>
      <c r="Q40" s="183"/>
      <c r="R40" s="183"/>
      <c r="S40" s="183"/>
      <c r="T40" s="183"/>
      <c r="U40" s="183"/>
      <c r="V40" s="183"/>
    </row>
    <row r="41" spans="2:22" x14ac:dyDescent="0.3">
      <c r="B41" s="114" t="str">
        <f t="shared" si="1"/>
        <v/>
      </c>
      <c r="C41" s="187"/>
      <c r="D41" s="187"/>
      <c r="E41" s="390"/>
      <c r="F41" s="391"/>
      <c r="G41" s="81">
        <f t="shared" si="3"/>
        <v>0</v>
      </c>
      <c r="H41" s="43">
        <f>IF($D41=0,0,VLOOKUP($D41,'Default Values'!$B$78:$C$97,2,0)/1000*$G41/1000)</f>
        <v>0</v>
      </c>
      <c r="I41" s="43">
        <v>0</v>
      </c>
      <c r="J41" s="43" t="str">
        <f t="shared" si="0"/>
        <v/>
      </c>
      <c r="K41" s="115">
        <f>'Emissions Database'!BS190</f>
        <v>0</v>
      </c>
      <c r="L41" s="183"/>
      <c r="M41" s="183"/>
      <c r="N41" s="183"/>
      <c r="O41" s="183"/>
      <c r="P41" s="183"/>
      <c r="Q41" s="183"/>
      <c r="R41" s="183"/>
      <c r="S41" s="183"/>
      <c r="T41" s="183"/>
      <c r="U41" s="183"/>
      <c r="V41" s="183"/>
    </row>
    <row r="42" spans="2:22" x14ac:dyDescent="0.3">
      <c r="B42" s="114" t="str">
        <f t="shared" si="1"/>
        <v/>
      </c>
      <c r="C42" s="187"/>
      <c r="D42" s="187"/>
      <c r="E42" s="390"/>
      <c r="F42" s="391"/>
      <c r="G42" s="81">
        <f t="shared" si="3"/>
        <v>0</v>
      </c>
      <c r="H42" s="43">
        <f>IF($D42=0,0,VLOOKUP($D42,'Default Values'!$B$78:$C$97,2,0)/1000*$G42/1000)</f>
        <v>0</v>
      </c>
      <c r="I42" s="43">
        <v>0</v>
      </c>
      <c r="J42" s="43" t="str">
        <f t="shared" si="0"/>
        <v/>
      </c>
      <c r="K42" s="115">
        <f>'Emissions Database'!BS191</f>
        <v>0</v>
      </c>
      <c r="L42" s="183"/>
      <c r="M42" s="183"/>
      <c r="N42" s="183"/>
      <c r="O42" s="183"/>
      <c r="P42" s="183"/>
      <c r="Q42" s="183"/>
      <c r="R42" s="183"/>
      <c r="S42" s="183"/>
      <c r="T42" s="183"/>
      <c r="U42" s="183"/>
      <c r="V42" s="183"/>
    </row>
    <row r="43" spans="2:22" x14ac:dyDescent="0.3">
      <c r="B43" s="114" t="str">
        <f t="shared" si="1"/>
        <v/>
      </c>
      <c r="C43" s="187"/>
      <c r="D43" s="187"/>
      <c r="E43" s="390"/>
      <c r="F43" s="391"/>
      <c r="G43" s="81">
        <f t="shared" si="3"/>
        <v>0</v>
      </c>
      <c r="H43" s="43">
        <f>IF($D43=0,0,VLOOKUP($D43,'Default Values'!$B$78:$C$97,2,0)/1000*$G43/1000)</f>
        <v>0</v>
      </c>
      <c r="I43" s="43">
        <v>0</v>
      </c>
      <c r="J43" s="43" t="str">
        <f t="shared" si="0"/>
        <v/>
      </c>
      <c r="K43" s="115">
        <f>'Emissions Database'!BS192</f>
        <v>0</v>
      </c>
      <c r="L43" s="183"/>
      <c r="M43" s="183"/>
      <c r="N43" s="183"/>
      <c r="O43" s="183"/>
      <c r="P43" s="183"/>
      <c r="Q43" s="183"/>
      <c r="R43" s="183"/>
      <c r="S43" s="183"/>
      <c r="T43" s="183"/>
      <c r="U43" s="183"/>
      <c r="V43" s="183"/>
    </row>
    <row r="44" spans="2:22" x14ac:dyDescent="0.3">
      <c r="B44" s="114" t="str">
        <f t="shared" si="1"/>
        <v/>
      </c>
      <c r="C44" s="187"/>
      <c r="D44" s="187"/>
      <c r="E44" s="390"/>
      <c r="F44" s="391"/>
      <c r="G44" s="81">
        <f t="shared" si="3"/>
        <v>0</v>
      </c>
      <c r="H44" s="43">
        <f>IF($D44=0,0,VLOOKUP($D44,'Default Values'!$B$78:$C$97,2,0)/1000*$G44/1000)</f>
        <v>0</v>
      </c>
      <c r="I44" s="43">
        <v>0</v>
      </c>
      <c r="J44" s="43" t="str">
        <f t="shared" si="0"/>
        <v/>
      </c>
      <c r="K44" s="115">
        <f>'Emissions Database'!BS193</f>
        <v>0</v>
      </c>
      <c r="L44" s="183"/>
      <c r="M44" s="183"/>
      <c r="N44" s="183"/>
      <c r="O44" s="183"/>
      <c r="P44" s="183"/>
      <c r="Q44" s="183"/>
      <c r="R44" s="183"/>
      <c r="S44" s="183"/>
      <c r="T44" s="183"/>
      <c r="U44" s="183"/>
      <c r="V44" s="183"/>
    </row>
    <row r="45" spans="2:22" x14ac:dyDescent="0.3">
      <c r="B45" s="114" t="str">
        <f t="shared" si="1"/>
        <v/>
      </c>
      <c r="C45" s="187"/>
      <c r="D45" s="187"/>
      <c r="E45" s="390"/>
      <c r="F45" s="391"/>
      <c r="G45" s="81">
        <f t="shared" si="2"/>
        <v>0</v>
      </c>
      <c r="H45" s="43">
        <f>IF($D45=0,0,VLOOKUP($D45,'Default Values'!$B$78:$C$97,2,0)/1000*$G45/1000)</f>
        <v>0</v>
      </c>
      <c r="I45" s="43">
        <v>0</v>
      </c>
      <c r="J45" s="43" t="str">
        <f t="shared" si="0"/>
        <v/>
      </c>
      <c r="K45" s="115">
        <f>'Emissions Database'!BS194</f>
        <v>0</v>
      </c>
      <c r="L45" s="183"/>
      <c r="M45" s="183"/>
      <c r="N45" s="183"/>
      <c r="O45" s="183"/>
      <c r="P45" s="183"/>
      <c r="Q45" s="183"/>
      <c r="R45" s="183"/>
      <c r="S45" s="183"/>
      <c r="T45" s="183"/>
      <c r="U45" s="183"/>
      <c r="V45" s="183"/>
    </row>
    <row r="46" spans="2:22" x14ac:dyDescent="0.3">
      <c r="B46" s="114" t="str">
        <f t="shared" si="1"/>
        <v/>
      </c>
      <c r="C46" s="187"/>
      <c r="D46" s="187"/>
      <c r="E46" s="390"/>
      <c r="F46" s="391"/>
      <c r="G46" s="81">
        <f t="shared" si="2"/>
        <v>0</v>
      </c>
      <c r="H46" s="43">
        <f>IF($D46=0,0,VLOOKUP($D46,'Default Values'!$B$78:$C$97,2,0)/1000*$G46/1000)</f>
        <v>0</v>
      </c>
      <c r="I46" s="43">
        <v>0</v>
      </c>
      <c r="J46" s="43" t="str">
        <f t="shared" si="0"/>
        <v/>
      </c>
      <c r="K46" s="115">
        <f>'Emissions Database'!BS195</f>
        <v>0</v>
      </c>
      <c r="L46" s="183"/>
      <c r="M46" s="183"/>
      <c r="N46" s="183"/>
      <c r="O46" s="183"/>
      <c r="P46" s="183"/>
      <c r="Q46" s="183"/>
      <c r="R46" s="183"/>
      <c r="S46" s="183"/>
      <c r="T46" s="183"/>
      <c r="U46" s="183"/>
      <c r="V46" s="183"/>
    </row>
    <row r="47" spans="2:22" x14ac:dyDescent="0.3">
      <c r="B47" s="114" t="str">
        <f t="shared" si="1"/>
        <v/>
      </c>
      <c r="C47" s="187"/>
      <c r="D47" s="187"/>
      <c r="E47" s="390"/>
      <c r="F47" s="391"/>
      <c r="G47" s="81">
        <f t="shared" si="2"/>
        <v>0</v>
      </c>
      <c r="H47" s="43">
        <f>IF($D47=0,0,VLOOKUP($D47,'Default Values'!$B$78:$C$97,2,0)/1000*$G47/1000)</f>
        <v>0</v>
      </c>
      <c r="I47" s="43">
        <v>0</v>
      </c>
      <c r="J47" s="43" t="str">
        <f t="shared" si="0"/>
        <v/>
      </c>
      <c r="K47" s="115">
        <f>'Emissions Database'!BS196</f>
        <v>0</v>
      </c>
      <c r="L47" s="183"/>
      <c r="M47" s="183"/>
      <c r="N47" s="183"/>
      <c r="O47" s="183"/>
      <c r="P47" s="183"/>
      <c r="Q47" s="183"/>
      <c r="R47" s="183"/>
      <c r="S47" s="183"/>
      <c r="T47" s="183"/>
      <c r="U47" s="183"/>
      <c r="V47" s="183"/>
    </row>
    <row r="48" spans="2:22" x14ac:dyDescent="0.3">
      <c r="B48" s="114" t="str">
        <f t="shared" si="1"/>
        <v/>
      </c>
      <c r="C48" s="187"/>
      <c r="D48" s="187"/>
      <c r="E48" s="390"/>
      <c r="F48" s="391"/>
      <c r="G48" s="81">
        <f t="shared" si="2"/>
        <v>0</v>
      </c>
      <c r="H48" s="43">
        <f>IF($D48=0,0,VLOOKUP($D48,'Default Values'!$B$78:$C$97,2,0)/1000*$G48/1000)</f>
        <v>0</v>
      </c>
      <c r="I48" s="43">
        <v>0</v>
      </c>
      <c r="J48" s="43" t="str">
        <f t="shared" si="0"/>
        <v/>
      </c>
      <c r="K48" s="115">
        <f>'Emissions Database'!BS197</f>
        <v>0</v>
      </c>
      <c r="L48" s="183"/>
      <c r="M48" s="183"/>
      <c r="N48" s="183"/>
      <c r="O48" s="183"/>
      <c r="P48" s="183"/>
      <c r="Q48" s="183"/>
      <c r="R48" s="183"/>
      <c r="S48" s="183"/>
      <c r="T48" s="183"/>
      <c r="U48" s="183"/>
      <c r="V48" s="183"/>
    </row>
    <row r="49" spans="2:22" x14ac:dyDescent="0.3">
      <c r="B49" s="114" t="str">
        <f t="shared" si="1"/>
        <v/>
      </c>
      <c r="C49" s="187"/>
      <c r="D49" s="187"/>
      <c r="E49" s="390"/>
      <c r="F49" s="391"/>
      <c r="G49" s="81">
        <f t="shared" si="2"/>
        <v>0</v>
      </c>
      <c r="H49" s="43">
        <f>IF($D49=0,0,VLOOKUP($D49,'Default Values'!$B$78:$C$97,2,0)/1000*$G49/1000)</f>
        <v>0</v>
      </c>
      <c r="I49" s="43">
        <v>0</v>
      </c>
      <c r="J49" s="43" t="str">
        <f t="shared" si="0"/>
        <v/>
      </c>
      <c r="K49" s="115">
        <f>'Emissions Database'!BS198</f>
        <v>0</v>
      </c>
      <c r="L49" s="183"/>
      <c r="M49" s="183"/>
      <c r="N49" s="183"/>
      <c r="O49" s="183"/>
      <c r="P49" s="183"/>
      <c r="Q49" s="183"/>
      <c r="R49" s="183"/>
      <c r="S49" s="183"/>
      <c r="T49" s="183"/>
      <c r="U49" s="183"/>
      <c r="V49" s="183"/>
    </row>
    <row r="50" spans="2:22" x14ac:dyDescent="0.3">
      <c r="B50" s="114" t="str">
        <f t="shared" si="1"/>
        <v/>
      </c>
      <c r="C50" s="187"/>
      <c r="D50" s="187"/>
      <c r="E50" s="390"/>
      <c r="F50" s="391"/>
      <c r="G50" s="81">
        <f t="shared" si="2"/>
        <v>0</v>
      </c>
      <c r="H50" s="43">
        <f>IF($D50=0,0,VLOOKUP($D50,'Default Values'!$B$78:$C$97,2,0)/1000*$G50/1000)</f>
        <v>0</v>
      </c>
      <c r="I50" s="43">
        <v>0</v>
      </c>
      <c r="J50" s="43" t="str">
        <f t="shared" si="0"/>
        <v/>
      </c>
      <c r="K50" s="115">
        <f>'Emissions Database'!BS199</f>
        <v>0</v>
      </c>
      <c r="L50" s="183"/>
      <c r="M50" s="183"/>
      <c r="N50" s="183"/>
      <c r="O50" s="183"/>
      <c r="P50" s="183"/>
      <c r="Q50" s="183"/>
      <c r="R50" s="183"/>
      <c r="S50" s="183"/>
      <c r="T50" s="183"/>
      <c r="U50" s="183"/>
      <c r="V50" s="183"/>
    </row>
    <row r="51" spans="2:22" x14ac:dyDescent="0.3">
      <c r="B51" s="114" t="str">
        <f t="shared" si="1"/>
        <v/>
      </c>
      <c r="C51" s="187"/>
      <c r="D51" s="187"/>
      <c r="E51" s="390"/>
      <c r="F51" s="391"/>
      <c r="G51" s="81">
        <f t="shared" si="2"/>
        <v>0</v>
      </c>
      <c r="H51" s="43">
        <f>IF($D51=0,0,VLOOKUP($D51,'Default Values'!$B$78:$C$97,2,0)/1000*$G51/1000)</f>
        <v>0</v>
      </c>
      <c r="I51" s="43">
        <v>0</v>
      </c>
      <c r="J51" s="43" t="str">
        <f t="shared" si="0"/>
        <v/>
      </c>
      <c r="K51" s="115">
        <f>'Emissions Database'!BS200</f>
        <v>0</v>
      </c>
      <c r="L51" s="183"/>
      <c r="M51" s="183"/>
      <c r="N51" s="183"/>
      <c r="O51" s="183"/>
      <c r="P51" s="183"/>
      <c r="Q51" s="183"/>
      <c r="R51" s="183"/>
      <c r="S51" s="183"/>
      <c r="T51" s="183"/>
      <c r="U51" s="183"/>
      <c r="V51" s="183"/>
    </row>
    <row r="52" spans="2:22" x14ac:dyDescent="0.3">
      <c r="B52" s="114" t="str">
        <f t="shared" si="1"/>
        <v/>
      </c>
      <c r="C52" s="187"/>
      <c r="D52" s="187"/>
      <c r="E52" s="390"/>
      <c r="F52" s="391"/>
      <c r="G52" s="81">
        <f t="shared" si="2"/>
        <v>0</v>
      </c>
      <c r="H52" s="43">
        <f>IF($D52=0,0,VLOOKUP($D52,'Default Values'!$B$78:$C$97,2,0)/1000*$G52/1000)</f>
        <v>0</v>
      </c>
      <c r="I52" s="43">
        <v>0</v>
      </c>
      <c r="J52" s="43" t="str">
        <f t="shared" si="0"/>
        <v/>
      </c>
      <c r="K52" s="115">
        <f>'Emissions Database'!BS201</f>
        <v>0</v>
      </c>
      <c r="L52" s="183"/>
      <c r="M52" s="183"/>
      <c r="N52" s="183"/>
      <c r="O52" s="183"/>
      <c r="P52" s="183"/>
      <c r="Q52" s="183"/>
      <c r="R52" s="183"/>
      <c r="S52" s="183"/>
      <c r="T52" s="183"/>
      <c r="U52" s="183"/>
      <c r="V52" s="183"/>
    </row>
    <row r="53" spans="2:22" x14ac:dyDescent="0.3">
      <c r="B53" s="114" t="str">
        <f t="shared" si="1"/>
        <v/>
      </c>
      <c r="C53" s="187"/>
      <c r="D53" s="187"/>
      <c r="E53" s="390"/>
      <c r="F53" s="391"/>
      <c r="G53" s="81">
        <f t="shared" si="2"/>
        <v>0</v>
      </c>
      <c r="H53" s="43">
        <f>IF($D53=0,0,VLOOKUP($D53,'Default Values'!$B$78:$C$97,2,0)/1000*$G53/1000)</f>
        <v>0</v>
      </c>
      <c r="I53" s="43">
        <v>0</v>
      </c>
      <c r="J53" s="43" t="str">
        <f t="shared" si="0"/>
        <v/>
      </c>
      <c r="K53" s="115">
        <f>'Emissions Database'!BS202</f>
        <v>0</v>
      </c>
      <c r="L53" s="183"/>
      <c r="M53" s="183"/>
      <c r="N53" s="183"/>
      <c r="O53" s="183"/>
      <c r="P53" s="183"/>
      <c r="Q53" s="183"/>
      <c r="R53" s="183"/>
      <c r="S53" s="183"/>
      <c r="T53" s="183"/>
      <c r="U53" s="183"/>
      <c r="V53" s="183"/>
    </row>
    <row r="54" spans="2:22" ht="15" thickBot="1" x14ac:dyDescent="0.35">
      <c r="B54" s="116" t="str">
        <f t="shared" si="1"/>
        <v/>
      </c>
      <c r="C54" s="187"/>
      <c r="D54" s="188"/>
      <c r="E54" s="390"/>
      <c r="F54" s="392"/>
      <c r="G54" s="129">
        <f t="shared" si="2"/>
        <v>0</v>
      </c>
      <c r="H54" s="130">
        <f>IF($D54=0,0,VLOOKUP($D54,'Default Values'!$B$78:$C$97,2,0)/1000*$G54/1000)</f>
        <v>0</v>
      </c>
      <c r="I54" s="130">
        <v>0</v>
      </c>
      <c r="J54" s="130" t="str">
        <f t="shared" si="0"/>
        <v/>
      </c>
      <c r="K54" s="117">
        <f>'Emissions Database'!BS203</f>
        <v>0</v>
      </c>
      <c r="L54" s="183"/>
      <c r="M54" s="183"/>
      <c r="N54" s="183"/>
      <c r="O54" s="183"/>
      <c r="P54" s="183"/>
      <c r="Q54" s="183"/>
      <c r="R54" s="183"/>
      <c r="S54" s="183"/>
      <c r="T54" s="183"/>
      <c r="U54" s="183"/>
      <c r="V54" s="183"/>
    </row>
    <row r="55" spans="2:22" ht="15" thickBot="1" x14ac:dyDescent="0.35">
      <c r="B55" s="131"/>
      <c r="C55" s="132" t="s">
        <v>322</v>
      </c>
      <c r="D55" s="133"/>
      <c r="E55" s="134"/>
      <c r="F55" s="135"/>
      <c r="G55" s="136"/>
      <c r="H55" s="137">
        <f>SUM(H15:H54)</f>
        <v>0</v>
      </c>
      <c r="I55" s="137">
        <f>SUM(I15:I54)</f>
        <v>0</v>
      </c>
      <c r="J55" s="137"/>
      <c r="K55" s="138">
        <f>SUM(K15:K54)</f>
        <v>0</v>
      </c>
      <c r="L55" s="183"/>
      <c r="M55" s="183"/>
      <c r="N55" s="183"/>
      <c r="O55" s="183"/>
      <c r="P55" s="183"/>
      <c r="Q55" s="183"/>
      <c r="R55" s="183"/>
      <c r="S55" s="183"/>
      <c r="T55" s="183"/>
      <c r="U55" s="183"/>
      <c r="V55" s="183"/>
    </row>
    <row r="56" spans="2:22" x14ac:dyDescent="0.3">
      <c r="B56" s="183"/>
      <c r="C56" s="183"/>
      <c r="D56" s="183"/>
      <c r="E56" s="183"/>
      <c r="F56" s="183"/>
      <c r="G56" s="183"/>
      <c r="H56" s="183"/>
      <c r="I56" s="183"/>
      <c r="J56" s="183"/>
      <c r="K56" s="183"/>
      <c r="L56" s="183"/>
      <c r="M56" s="183"/>
      <c r="N56" s="183"/>
      <c r="O56" s="183"/>
      <c r="P56" s="183"/>
      <c r="Q56" s="183"/>
      <c r="R56" s="183"/>
      <c r="S56" s="183"/>
      <c r="T56" s="183"/>
      <c r="U56" s="183"/>
      <c r="V56" s="183"/>
    </row>
    <row r="57" spans="2:22" x14ac:dyDescent="0.3">
      <c r="B57" s="183"/>
      <c r="C57" s="183"/>
      <c r="D57" s="183"/>
      <c r="E57" s="183"/>
      <c r="F57" s="183"/>
      <c r="G57" s="183"/>
      <c r="H57" s="183"/>
      <c r="I57" s="183"/>
      <c r="J57" s="183"/>
      <c r="K57" s="183"/>
      <c r="L57" s="183"/>
      <c r="M57" s="183"/>
      <c r="N57" s="183"/>
      <c r="O57" s="183"/>
      <c r="P57" s="183"/>
      <c r="Q57" s="183"/>
      <c r="R57" s="183"/>
      <c r="S57" s="183"/>
      <c r="T57" s="183"/>
      <c r="U57" s="183"/>
      <c r="V57" s="183"/>
    </row>
    <row r="58" spans="2:22" x14ac:dyDescent="0.3">
      <c r="B58" s="183"/>
      <c r="C58" s="183"/>
      <c r="D58" s="183"/>
      <c r="E58" s="183"/>
      <c r="F58" s="183"/>
      <c r="G58" s="183"/>
      <c r="H58" s="183"/>
      <c r="I58" s="183"/>
      <c r="J58" s="183"/>
      <c r="K58" s="183"/>
      <c r="L58" s="183"/>
      <c r="M58" s="183"/>
      <c r="N58" s="183"/>
      <c r="O58" s="183"/>
      <c r="P58" s="183"/>
      <c r="Q58" s="183"/>
      <c r="R58" s="183"/>
      <c r="S58" s="183"/>
      <c r="T58" s="183"/>
      <c r="U58" s="183"/>
      <c r="V58" s="183"/>
    </row>
    <row r="59" spans="2:22" x14ac:dyDescent="0.3">
      <c r="B59" s="183"/>
      <c r="C59" s="183"/>
      <c r="D59" s="183"/>
      <c r="E59" s="183"/>
      <c r="F59" s="183"/>
      <c r="G59" s="183"/>
      <c r="H59" s="183"/>
      <c r="I59" s="183"/>
      <c r="J59" s="183"/>
      <c r="K59" s="183"/>
      <c r="L59" s="183"/>
      <c r="M59" s="183"/>
      <c r="N59" s="183"/>
      <c r="O59" s="183"/>
      <c r="P59" s="183"/>
      <c r="Q59" s="183"/>
      <c r="R59" s="183"/>
      <c r="S59" s="183"/>
      <c r="T59" s="183"/>
      <c r="U59" s="183"/>
      <c r="V59" s="183"/>
    </row>
    <row r="60" spans="2:22" x14ac:dyDescent="0.3">
      <c r="B60" s="183"/>
      <c r="C60" s="183"/>
      <c r="D60" s="183"/>
      <c r="E60" s="183"/>
      <c r="F60" s="183"/>
      <c r="G60" s="183"/>
      <c r="H60" s="183"/>
      <c r="I60" s="183"/>
      <c r="J60" s="183"/>
      <c r="K60" s="183"/>
      <c r="L60" s="183"/>
      <c r="M60" s="183"/>
      <c r="N60" s="183"/>
      <c r="O60" s="183"/>
      <c r="P60" s="183"/>
      <c r="Q60" s="183"/>
      <c r="R60" s="183"/>
      <c r="S60" s="183"/>
      <c r="T60" s="183"/>
      <c r="U60" s="183"/>
      <c r="V60" s="183"/>
    </row>
    <row r="61" spans="2:22" x14ac:dyDescent="0.3">
      <c r="B61" s="183"/>
      <c r="C61" s="183"/>
      <c r="D61" s="183"/>
      <c r="E61" s="183"/>
      <c r="F61" s="183"/>
      <c r="G61" s="183"/>
      <c r="H61" s="183"/>
      <c r="I61" s="183"/>
      <c r="J61" s="183"/>
      <c r="K61" s="183"/>
      <c r="L61" s="183"/>
      <c r="M61" s="183"/>
      <c r="N61" s="183"/>
      <c r="O61" s="183"/>
      <c r="P61" s="183"/>
      <c r="Q61" s="183"/>
      <c r="R61" s="183"/>
      <c r="S61" s="183"/>
      <c r="T61" s="183"/>
      <c r="U61" s="183"/>
      <c r="V61" s="183"/>
    </row>
    <row r="62" spans="2:22" x14ac:dyDescent="0.3">
      <c r="B62" s="183"/>
      <c r="C62" s="183"/>
      <c r="D62" s="183"/>
      <c r="E62" s="183"/>
      <c r="F62" s="183"/>
      <c r="G62" s="183"/>
      <c r="H62" s="183"/>
      <c r="I62" s="183"/>
      <c r="J62" s="183"/>
      <c r="K62" s="183"/>
      <c r="L62" s="183"/>
      <c r="M62" s="183"/>
      <c r="N62" s="183"/>
      <c r="O62" s="183"/>
      <c r="P62" s="183"/>
      <c r="Q62" s="183"/>
      <c r="R62" s="183"/>
      <c r="S62" s="183"/>
      <c r="T62" s="183"/>
      <c r="U62" s="183"/>
      <c r="V62" s="183"/>
    </row>
    <row r="63" spans="2:22" x14ac:dyDescent="0.3">
      <c r="B63" s="183"/>
      <c r="C63" s="183"/>
      <c r="D63" s="183"/>
      <c r="E63" s="183"/>
      <c r="F63" s="183"/>
      <c r="G63" s="183"/>
      <c r="H63" s="183"/>
      <c r="I63" s="183"/>
      <c r="J63" s="183"/>
      <c r="K63" s="183"/>
      <c r="L63" s="183"/>
      <c r="M63" s="183"/>
      <c r="N63" s="183"/>
      <c r="O63" s="183"/>
      <c r="P63" s="183"/>
      <c r="Q63" s="183"/>
      <c r="R63" s="183"/>
      <c r="S63" s="183"/>
      <c r="T63" s="183"/>
      <c r="U63" s="183"/>
      <c r="V63" s="183"/>
    </row>
    <row r="64" spans="2:22" x14ac:dyDescent="0.3">
      <c r="B64" s="183"/>
      <c r="C64" s="183"/>
      <c r="D64" s="183"/>
      <c r="E64" s="183"/>
      <c r="F64" s="183"/>
      <c r="G64" s="183"/>
      <c r="H64" s="183"/>
      <c r="I64" s="183"/>
      <c r="J64" s="183"/>
      <c r="K64" s="183"/>
      <c r="L64" s="183"/>
      <c r="M64" s="183"/>
      <c r="N64" s="183"/>
      <c r="O64" s="183"/>
      <c r="P64" s="183"/>
      <c r="Q64" s="183"/>
      <c r="R64" s="183"/>
      <c r="S64" s="183"/>
      <c r="T64" s="183"/>
      <c r="U64" s="183"/>
      <c r="V64" s="183"/>
    </row>
    <row r="65" spans="2:22" x14ac:dyDescent="0.3">
      <c r="B65" s="183"/>
      <c r="C65" s="183"/>
      <c r="D65" s="183"/>
      <c r="E65" s="183"/>
      <c r="F65" s="183"/>
      <c r="G65" s="183"/>
      <c r="H65" s="183"/>
      <c r="I65" s="183"/>
      <c r="J65" s="183"/>
      <c r="K65" s="183"/>
      <c r="L65" s="183"/>
      <c r="M65" s="183"/>
      <c r="N65" s="183"/>
      <c r="O65" s="183"/>
      <c r="P65" s="183"/>
      <c r="Q65" s="183"/>
      <c r="R65" s="183"/>
      <c r="S65" s="183"/>
      <c r="T65" s="183"/>
      <c r="U65" s="183"/>
      <c r="V65" s="183"/>
    </row>
    <row r="66" spans="2:22" x14ac:dyDescent="0.3">
      <c r="B66" s="183"/>
      <c r="C66" s="183"/>
      <c r="D66" s="183"/>
      <c r="E66" s="183"/>
      <c r="F66" s="183"/>
      <c r="G66" s="183"/>
      <c r="H66" s="183"/>
      <c r="I66" s="183"/>
      <c r="J66" s="183"/>
      <c r="K66" s="183"/>
      <c r="L66" s="183"/>
      <c r="M66" s="183"/>
      <c r="N66" s="183"/>
      <c r="O66" s="183"/>
      <c r="P66" s="183"/>
      <c r="Q66" s="183"/>
      <c r="R66" s="183"/>
      <c r="S66" s="183"/>
      <c r="T66" s="183"/>
      <c r="U66" s="183"/>
      <c r="V66" s="183"/>
    </row>
    <row r="67" spans="2:22" x14ac:dyDescent="0.3">
      <c r="B67" s="183"/>
      <c r="C67" s="183"/>
      <c r="D67" s="183"/>
      <c r="E67" s="183"/>
      <c r="F67" s="183"/>
      <c r="G67" s="183"/>
      <c r="H67" s="183"/>
      <c r="I67" s="183"/>
      <c r="J67" s="183"/>
      <c r="K67" s="183"/>
      <c r="L67" s="183"/>
      <c r="M67" s="183"/>
      <c r="N67" s="183"/>
      <c r="O67" s="183"/>
      <c r="P67" s="183"/>
      <c r="Q67" s="183"/>
      <c r="R67" s="183"/>
      <c r="S67" s="183"/>
      <c r="T67" s="183"/>
      <c r="U67" s="183"/>
      <c r="V67" s="183"/>
    </row>
    <row r="68" spans="2:22" x14ac:dyDescent="0.3">
      <c r="B68" s="183"/>
      <c r="C68" s="183"/>
      <c r="D68" s="183"/>
      <c r="E68" s="183"/>
      <c r="F68" s="183"/>
      <c r="G68" s="183"/>
      <c r="H68" s="183"/>
      <c r="I68" s="183"/>
      <c r="J68" s="183"/>
      <c r="K68" s="183"/>
      <c r="L68" s="183"/>
      <c r="M68" s="183"/>
      <c r="N68" s="183"/>
      <c r="O68" s="183"/>
      <c r="P68" s="183"/>
      <c r="Q68" s="183"/>
      <c r="R68" s="183"/>
      <c r="S68" s="183"/>
      <c r="T68" s="183"/>
      <c r="U68" s="183"/>
      <c r="V68" s="183"/>
    </row>
    <row r="69" spans="2:22" x14ac:dyDescent="0.3">
      <c r="B69" s="183"/>
      <c r="C69" s="183"/>
      <c r="D69" s="183"/>
      <c r="E69" s="183"/>
      <c r="F69" s="183"/>
      <c r="G69" s="183"/>
      <c r="H69" s="183"/>
      <c r="I69" s="183"/>
      <c r="J69" s="183"/>
      <c r="K69" s="183"/>
      <c r="L69" s="183"/>
      <c r="M69" s="183"/>
      <c r="N69" s="183"/>
      <c r="O69" s="183"/>
      <c r="P69" s="183"/>
      <c r="Q69" s="183"/>
      <c r="R69" s="183"/>
      <c r="S69" s="183"/>
      <c r="T69" s="183"/>
      <c r="U69" s="183"/>
      <c r="V69" s="183"/>
    </row>
    <row r="70" spans="2:22" x14ac:dyDescent="0.3">
      <c r="B70" s="183"/>
      <c r="C70" s="183"/>
      <c r="D70" s="183"/>
      <c r="E70" s="183"/>
      <c r="F70" s="183"/>
      <c r="G70" s="183"/>
      <c r="H70" s="183"/>
      <c r="I70" s="183"/>
      <c r="J70" s="183"/>
      <c r="K70" s="183"/>
      <c r="L70" s="183"/>
      <c r="M70" s="183"/>
      <c r="N70" s="183"/>
      <c r="O70" s="183"/>
      <c r="P70" s="183"/>
      <c r="Q70" s="183"/>
      <c r="R70" s="183"/>
      <c r="S70" s="183"/>
      <c r="T70" s="183"/>
      <c r="U70" s="183"/>
      <c r="V70" s="183"/>
    </row>
    <row r="71" spans="2:22" x14ac:dyDescent="0.3">
      <c r="B71" s="183"/>
      <c r="C71" s="183"/>
      <c r="D71" s="183"/>
      <c r="E71" s="183"/>
      <c r="F71" s="183"/>
      <c r="G71" s="183"/>
      <c r="H71" s="183"/>
      <c r="I71" s="183"/>
      <c r="J71" s="183"/>
      <c r="K71" s="183"/>
      <c r="L71" s="183"/>
      <c r="M71" s="183"/>
      <c r="N71" s="183"/>
      <c r="O71" s="183"/>
      <c r="P71" s="183"/>
      <c r="Q71" s="183"/>
      <c r="R71" s="183"/>
      <c r="S71" s="183"/>
      <c r="T71" s="183"/>
      <c r="U71" s="183"/>
      <c r="V71" s="183"/>
    </row>
    <row r="72" spans="2:22" x14ac:dyDescent="0.3">
      <c r="B72" s="183"/>
      <c r="C72" s="183"/>
      <c r="D72" s="183"/>
      <c r="E72" s="183"/>
      <c r="F72" s="183"/>
      <c r="G72" s="183"/>
      <c r="H72" s="183"/>
      <c r="I72" s="183"/>
      <c r="J72" s="183"/>
      <c r="K72" s="183"/>
      <c r="L72" s="183"/>
      <c r="M72" s="183"/>
      <c r="N72" s="183"/>
      <c r="O72" s="183"/>
      <c r="P72" s="183"/>
      <c r="Q72" s="183"/>
      <c r="R72" s="183"/>
      <c r="S72" s="183"/>
      <c r="T72" s="183"/>
      <c r="U72" s="183"/>
      <c r="V72" s="183"/>
    </row>
    <row r="73" spans="2:22" x14ac:dyDescent="0.3">
      <c r="B73" s="183"/>
      <c r="C73" s="183"/>
      <c r="D73" s="183"/>
      <c r="E73" s="183"/>
      <c r="F73" s="183"/>
      <c r="G73" s="183"/>
      <c r="H73" s="183"/>
      <c r="I73" s="183"/>
      <c r="J73" s="183"/>
      <c r="K73" s="183"/>
      <c r="L73" s="183"/>
      <c r="M73" s="183"/>
      <c r="N73" s="183"/>
      <c r="O73" s="183"/>
      <c r="P73" s="183"/>
      <c r="Q73" s="183"/>
      <c r="R73" s="183"/>
      <c r="S73" s="183"/>
      <c r="T73" s="183"/>
      <c r="U73" s="183"/>
      <c r="V73" s="183"/>
    </row>
    <row r="74" spans="2:22" x14ac:dyDescent="0.3">
      <c r="B74" s="183"/>
      <c r="C74" s="183"/>
      <c r="D74" s="183"/>
      <c r="E74" s="183"/>
      <c r="F74" s="183"/>
      <c r="G74" s="183"/>
      <c r="H74" s="183"/>
      <c r="I74" s="183"/>
      <c r="J74" s="183"/>
      <c r="K74" s="183"/>
      <c r="L74" s="183"/>
      <c r="M74" s="183"/>
      <c r="N74" s="183"/>
      <c r="O74" s="183"/>
      <c r="P74" s="183"/>
      <c r="Q74" s="183"/>
      <c r="R74" s="183"/>
      <c r="S74" s="183"/>
      <c r="T74" s="183"/>
      <c r="U74" s="183"/>
      <c r="V74" s="183"/>
    </row>
    <row r="75" spans="2:22" x14ac:dyDescent="0.3">
      <c r="B75" s="183"/>
      <c r="C75" s="183"/>
      <c r="D75" s="183"/>
      <c r="E75" s="183"/>
      <c r="F75" s="183"/>
      <c r="G75" s="183"/>
      <c r="H75" s="183"/>
      <c r="I75" s="183"/>
      <c r="J75" s="183"/>
      <c r="K75" s="183"/>
      <c r="L75" s="183"/>
      <c r="M75" s="183"/>
      <c r="N75" s="183"/>
      <c r="O75" s="183"/>
      <c r="P75" s="183"/>
      <c r="Q75" s="183"/>
      <c r="R75" s="183"/>
      <c r="S75" s="183"/>
      <c r="T75" s="183"/>
      <c r="U75" s="183"/>
      <c r="V75" s="183"/>
    </row>
    <row r="76" spans="2:22" x14ac:dyDescent="0.3">
      <c r="B76" s="183"/>
      <c r="C76" s="183"/>
      <c r="D76" s="183"/>
      <c r="E76" s="183"/>
      <c r="F76" s="183"/>
      <c r="G76" s="183"/>
      <c r="H76" s="183"/>
      <c r="I76" s="183"/>
      <c r="J76" s="183"/>
      <c r="K76" s="183"/>
      <c r="L76" s="183"/>
      <c r="M76" s="183"/>
      <c r="N76" s="183"/>
      <c r="O76" s="183"/>
      <c r="P76" s="183"/>
      <c r="Q76" s="183"/>
      <c r="R76" s="183"/>
      <c r="S76" s="183"/>
      <c r="T76" s="183"/>
      <c r="U76" s="183"/>
      <c r="V76" s="183"/>
    </row>
    <row r="77" spans="2:22" x14ac:dyDescent="0.3">
      <c r="B77" s="183"/>
      <c r="C77" s="183"/>
      <c r="D77" s="183"/>
      <c r="E77" s="183"/>
      <c r="F77" s="183"/>
      <c r="G77" s="183"/>
      <c r="H77" s="183"/>
      <c r="I77" s="183"/>
      <c r="J77" s="183"/>
      <c r="K77" s="183"/>
      <c r="L77" s="183"/>
      <c r="M77" s="183"/>
      <c r="N77" s="183"/>
      <c r="O77" s="183"/>
      <c r="P77" s="183"/>
      <c r="Q77" s="183"/>
      <c r="R77" s="183"/>
      <c r="S77" s="183"/>
      <c r="T77" s="183"/>
      <c r="U77" s="183"/>
      <c r="V77" s="183"/>
    </row>
  </sheetData>
  <sheetProtection algorithmName="SHA-512" hashValue="p0MsH4D7gOkVAbqSMb0X9AyUFZQUV+0tEFw14ZnXRDtt+zrzrexn0w+NqtyM3F7fqqStRJ2MoceSGgL1eovriw==" saltValue="miEGhCId72TPZiXz3+/9sA==" spinCount="100000" sheet="1" objects="1" scenarios="1" formatCells="0" formatColumns="0" formatRows="0"/>
  <mergeCells count="3">
    <mergeCell ref="B7:C8"/>
    <mergeCell ref="F7:G9"/>
    <mergeCell ref="I7:K8"/>
  </mergeCells>
  <conditionalFormatting sqref="B15">
    <cfRule type="containsText" dxfId="94" priority="19" operator="containsText" text="Incomplete">
      <formula>NOT(ISERROR(SEARCH("Incomplete",B15)))</formula>
    </cfRule>
    <cfRule type="containsText" dxfId="93" priority="20" operator="containsText" text="OK">
      <formula>NOT(ISERROR(SEARCH("OK",B15)))</formula>
    </cfRule>
  </conditionalFormatting>
  <conditionalFormatting sqref="B14">
    <cfRule type="containsText" dxfId="92" priority="17" operator="containsText" text="Incomplete">
      <formula>NOT(ISERROR(SEARCH("Incomplete",B14)))</formula>
    </cfRule>
    <cfRule type="containsText" dxfId="91" priority="18" operator="containsText" text="OK">
      <formula>NOT(ISERROR(SEARCH("OK",B14)))</formula>
    </cfRule>
  </conditionalFormatting>
  <conditionalFormatting sqref="B16">
    <cfRule type="containsText" dxfId="90" priority="15" operator="containsText" text="Incomplete">
      <formula>NOT(ISERROR(SEARCH("Incomplete",B16)))</formula>
    </cfRule>
    <cfRule type="containsText" dxfId="89" priority="16" operator="containsText" text="OK">
      <formula>NOT(ISERROR(SEARCH("OK",B16)))</formula>
    </cfRule>
  </conditionalFormatting>
  <conditionalFormatting sqref="B17">
    <cfRule type="containsText" dxfId="88" priority="13" operator="containsText" text="Incomplete">
      <formula>NOT(ISERROR(SEARCH("Incomplete",B17)))</formula>
    </cfRule>
    <cfRule type="containsText" dxfId="87" priority="14" operator="containsText" text="OK">
      <formula>NOT(ISERROR(SEARCH("OK",B17)))</formula>
    </cfRule>
  </conditionalFormatting>
  <conditionalFormatting sqref="B18">
    <cfRule type="containsText" dxfId="86" priority="11" operator="containsText" text="Incomplete">
      <formula>NOT(ISERROR(SEARCH("Incomplete",B18)))</formula>
    </cfRule>
    <cfRule type="containsText" dxfId="85" priority="12" operator="containsText" text="OK">
      <formula>NOT(ISERROR(SEARCH("OK",B18)))</formula>
    </cfRule>
  </conditionalFormatting>
  <conditionalFormatting sqref="B19:B24 B45:B54">
    <cfRule type="containsText" dxfId="84" priority="9" operator="containsText" text="Incomplete">
      <formula>NOT(ISERROR(SEARCH("Incomplete",B19)))</formula>
    </cfRule>
    <cfRule type="containsText" dxfId="83" priority="10" operator="containsText" text="OK">
      <formula>NOT(ISERROR(SEARCH("OK",B19)))</formula>
    </cfRule>
  </conditionalFormatting>
  <conditionalFormatting sqref="B55">
    <cfRule type="containsText" dxfId="82" priority="7" operator="containsText" text="Incomplete">
      <formula>NOT(ISERROR(SEARCH("Incomplete",B55)))</formula>
    </cfRule>
    <cfRule type="containsText" dxfId="81" priority="8" operator="containsText" text="OK">
      <formula>NOT(ISERROR(SEARCH("OK",B55)))</formula>
    </cfRule>
  </conditionalFormatting>
  <conditionalFormatting sqref="C55">
    <cfRule type="containsText" dxfId="80" priority="5" operator="containsText" text="Incomplete">
      <formula>NOT(ISERROR(SEARCH("Incomplete",C55)))</formula>
    </cfRule>
    <cfRule type="containsText" dxfId="79" priority="6" operator="containsText" text="OK">
      <formula>NOT(ISERROR(SEARCH("OK",C55)))</formula>
    </cfRule>
  </conditionalFormatting>
  <conditionalFormatting sqref="F7">
    <cfRule type="containsText" dxfId="78" priority="3" operator="containsText" text="Transportation">
      <formula>NOT(ISERROR(SEARCH("Transportation",F7)))</formula>
    </cfRule>
    <cfRule type="containsText" dxfId="77" priority="4" operator="containsText" text="fleet">
      <formula>NOT(ISERROR(SEARCH("fleet",F7)))</formula>
    </cfRule>
  </conditionalFormatting>
  <conditionalFormatting sqref="B25:B44">
    <cfRule type="containsText" dxfId="76" priority="1" operator="containsText" text="Incomplete">
      <formula>NOT(ISERROR(SEARCH("Incomplete",B25)))</formula>
    </cfRule>
    <cfRule type="containsText" dxfId="75" priority="2" operator="containsText" text="OK">
      <formula>NOT(ISERROR(SEARCH("OK",B25)))</formula>
    </cfRule>
  </conditionalFormatting>
  <dataValidations count="2">
    <dataValidation type="list" allowBlank="1" showInputMessage="1" showErrorMessage="1" sqref="D14:D55">
      <formula1>FedBuildingType</formula1>
    </dataValidation>
    <dataValidation type="list" allowBlank="1" showInputMessage="1" showErrorMessage="1" errorTitle="Incorrect Facility Name" error="In the &quot;Inputs&quot; page, please add your facility or region name to the list. You can then select it here from the drop down list." sqref="C15:C54">
      <formula1>Facility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56" r:id="rId4" name="Option Button 44">
              <controlPr defaultSize="0" autoFill="0" autoLine="0" autoPict="0">
                <anchor moveWithCells="1">
                  <from>
                    <xdr:col>1</xdr:col>
                    <xdr:colOff>350520</xdr:colOff>
                    <xdr:row>7</xdr:row>
                    <xdr:rowOff>160020</xdr:rowOff>
                  </from>
                  <to>
                    <xdr:col>2</xdr:col>
                    <xdr:colOff>845820</xdr:colOff>
                    <xdr:row>9</xdr:row>
                    <xdr:rowOff>7620</xdr:rowOff>
                  </to>
                </anchor>
              </controlPr>
            </control>
          </mc:Choice>
        </mc:AlternateContent>
        <mc:AlternateContent xmlns:mc="http://schemas.openxmlformats.org/markup-compatibility/2006">
          <mc:Choice Requires="x14">
            <control shapeId="13357" r:id="rId5" name="Option Button 45">
              <controlPr defaultSize="0" autoFill="0" autoLine="0" autoPict="0">
                <anchor moveWithCells="1">
                  <from>
                    <xdr:col>1</xdr:col>
                    <xdr:colOff>350520</xdr:colOff>
                    <xdr:row>8</xdr:row>
                    <xdr:rowOff>182880</xdr:rowOff>
                  </from>
                  <to>
                    <xdr:col>2</xdr:col>
                    <xdr:colOff>861060</xdr:colOff>
                    <xdr:row>9</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3"/>
  </sheetPr>
  <dimension ref="A1:AJ186"/>
  <sheetViews>
    <sheetView showGridLines="0" showRowColHeaders="0" zoomScale="90" zoomScaleNormal="90" workbookViewId="0">
      <pane ySplit="13" topLeftCell="A14" activePane="bottomLeft" state="frozen"/>
      <selection pane="bottomLeft"/>
    </sheetView>
  </sheetViews>
  <sheetFormatPr defaultRowHeight="14.4" x14ac:dyDescent="0.3"/>
  <cols>
    <col min="1" max="1" width="3.33203125" customWidth="1"/>
    <col min="2" max="2" width="11.88671875" customWidth="1"/>
    <col min="3" max="3" width="19.33203125" customWidth="1"/>
    <col min="4" max="4" width="30" bestFit="1" customWidth="1"/>
    <col min="5" max="5" width="42.6640625" customWidth="1"/>
    <col min="6" max="7" width="15.109375" customWidth="1"/>
    <col min="8" max="8" width="18.88671875" hidden="1" customWidth="1"/>
    <col min="9" max="13" width="17.88671875" hidden="1" customWidth="1"/>
    <col min="14" max="14" width="13" hidden="1" customWidth="1"/>
    <col min="15" max="15" width="12.33203125" hidden="1" customWidth="1"/>
    <col min="16" max="16" width="15.44140625" hidden="1" customWidth="1"/>
    <col min="17" max="18" width="14.5546875" customWidth="1"/>
    <col min="19" max="19" width="14.109375" customWidth="1"/>
  </cols>
  <sheetData>
    <row r="1" spans="1:36" ht="7.5" customHeight="1" x14ac:dyDescent="0.3">
      <c r="A1" s="44"/>
      <c r="B1" s="44"/>
      <c r="C1" s="44"/>
      <c r="D1" s="44"/>
      <c r="E1" s="44"/>
      <c r="F1" s="44"/>
      <c r="G1" s="44"/>
      <c r="H1" s="44"/>
      <c r="I1" s="44"/>
      <c r="J1" s="44"/>
      <c r="K1" s="44"/>
      <c r="L1" s="44"/>
      <c r="M1" s="44"/>
      <c r="N1" s="44"/>
      <c r="O1" s="44"/>
      <c r="P1" s="44"/>
      <c r="Q1" s="44"/>
      <c r="R1" s="44"/>
      <c r="S1" s="44"/>
      <c r="T1" s="44"/>
      <c r="U1" s="44"/>
      <c r="V1" s="44"/>
      <c r="W1" s="44"/>
      <c r="X1" s="44"/>
      <c r="Y1" s="44"/>
      <c r="Z1" s="44"/>
      <c r="AA1" s="44"/>
      <c r="AB1" s="44"/>
      <c r="AC1" s="44"/>
      <c r="AD1" s="44"/>
      <c r="AE1" s="44"/>
      <c r="AF1" s="44"/>
      <c r="AG1" s="44"/>
      <c r="AH1" s="44"/>
      <c r="AI1" s="44"/>
      <c r="AJ1" s="44"/>
    </row>
    <row r="2" spans="1:36" ht="26.25" customHeight="1" x14ac:dyDescent="0.65">
      <c r="A2" s="44"/>
      <c r="B2" s="44"/>
      <c r="C2" s="45" t="s">
        <v>34</v>
      </c>
      <c r="D2" s="44"/>
      <c r="E2" s="44"/>
      <c r="F2" s="44"/>
      <c r="G2" s="44"/>
      <c r="H2" s="44"/>
      <c r="I2" s="44"/>
      <c r="J2" s="44"/>
      <c r="K2" s="44"/>
      <c r="L2" s="44"/>
      <c r="M2" s="44"/>
      <c r="N2" s="44"/>
      <c r="O2" s="44"/>
      <c r="P2" s="44"/>
      <c r="Q2" s="44"/>
      <c r="R2" s="44"/>
      <c r="S2" s="44"/>
      <c r="T2" s="44"/>
      <c r="U2" s="44"/>
      <c r="V2" s="44"/>
      <c r="W2" s="44"/>
      <c r="X2" s="44"/>
      <c r="Y2" s="44"/>
      <c r="Z2" s="44"/>
      <c r="AA2" s="44"/>
      <c r="AB2" s="44"/>
      <c r="AC2" s="44"/>
      <c r="AD2" s="44"/>
      <c r="AE2" s="44"/>
      <c r="AF2" s="44"/>
      <c r="AG2" s="44"/>
      <c r="AH2" s="44"/>
      <c r="AI2" s="44"/>
      <c r="AJ2" s="44"/>
    </row>
    <row r="3" spans="1:36" ht="7.5" customHeight="1" thickBot="1" x14ac:dyDescent="0.35">
      <c r="A3" s="46"/>
      <c r="B3" s="46"/>
      <c r="C3" s="47"/>
      <c r="D3" s="47"/>
      <c r="E3" s="47"/>
      <c r="F3" s="47"/>
      <c r="G3" s="47"/>
      <c r="H3" s="47"/>
      <c r="I3" s="47"/>
      <c r="J3" s="47"/>
      <c r="K3" s="47"/>
      <c r="L3" s="47"/>
      <c r="M3" s="47"/>
      <c r="N3" s="47"/>
      <c r="O3" s="47"/>
      <c r="P3" s="47"/>
      <c r="Q3" s="47"/>
      <c r="R3" s="47"/>
      <c r="S3" s="47"/>
      <c r="T3" s="47"/>
      <c r="U3" s="47"/>
      <c r="V3" s="47"/>
      <c r="W3" s="47"/>
      <c r="X3" s="47"/>
      <c r="Y3" s="47"/>
      <c r="Z3" s="47"/>
      <c r="AA3" s="47"/>
      <c r="AB3" s="47"/>
      <c r="AC3" s="47"/>
      <c r="AD3" s="47"/>
      <c r="AE3" s="47"/>
      <c r="AF3" s="47"/>
      <c r="AG3" s="47"/>
      <c r="AH3" s="47"/>
      <c r="AI3" s="47"/>
      <c r="AJ3" s="47"/>
    </row>
    <row r="4" spans="1:36" ht="10.5" customHeight="1" thickTop="1" x14ac:dyDescent="0.35">
      <c r="A4" s="44"/>
      <c r="B4" s="44"/>
      <c r="C4" s="48"/>
      <c r="D4" s="44"/>
      <c r="E4" s="44"/>
      <c r="F4" s="44"/>
      <c r="G4" s="44"/>
      <c r="H4" s="44"/>
      <c r="I4" s="44"/>
      <c r="J4" s="44"/>
      <c r="K4" s="44"/>
      <c r="L4" s="44"/>
      <c r="M4" s="44"/>
      <c r="N4" s="44"/>
      <c r="O4" s="44"/>
      <c r="P4" s="44"/>
      <c r="Q4" s="44"/>
      <c r="R4" s="44"/>
      <c r="S4" s="44"/>
      <c r="T4" s="44"/>
      <c r="U4" s="44"/>
      <c r="V4" s="44"/>
      <c r="W4" s="44"/>
      <c r="X4" s="44"/>
      <c r="Y4" s="44"/>
      <c r="Z4" s="44"/>
      <c r="AA4" s="44"/>
      <c r="AB4" s="44"/>
      <c r="AC4" s="44"/>
      <c r="AD4" s="44"/>
      <c r="AE4" s="44"/>
      <c r="AF4" s="44"/>
      <c r="AG4" s="44"/>
      <c r="AH4" s="44"/>
      <c r="AI4" s="44"/>
      <c r="AJ4" s="44"/>
    </row>
    <row r="5" spans="1:36" ht="18" x14ac:dyDescent="0.35">
      <c r="A5" s="44"/>
      <c r="B5" s="44"/>
      <c r="C5" s="48" t="s">
        <v>298</v>
      </c>
      <c r="D5" s="44"/>
      <c r="E5" s="44"/>
      <c r="F5" s="44"/>
      <c r="G5" s="44"/>
      <c r="H5" s="44"/>
      <c r="I5" s="44"/>
      <c r="J5" s="44"/>
      <c r="K5" s="44"/>
      <c r="L5" s="44"/>
      <c r="M5" s="44"/>
      <c r="N5" s="44"/>
      <c r="O5" s="44"/>
      <c r="P5" s="44"/>
      <c r="Q5" s="44"/>
      <c r="R5" s="44"/>
      <c r="S5" s="44"/>
      <c r="T5" s="44"/>
      <c r="U5" s="44"/>
      <c r="V5" s="44"/>
      <c r="W5" s="44"/>
      <c r="X5" s="44"/>
      <c r="Y5" s="44"/>
      <c r="Z5" s="44"/>
      <c r="AA5" s="44"/>
      <c r="AB5" s="44"/>
      <c r="AC5" s="44"/>
      <c r="AD5" s="44"/>
      <c r="AE5" s="44"/>
      <c r="AF5" s="44"/>
      <c r="AG5" s="44"/>
      <c r="AH5" s="44"/>
      <c r="AI5" s="44"/>
      <c r="AJ5" s="44"/>
    </row>
    <row r="6" spans="1:36" ht="6.75" customHeight="1" thickBot="1" x14ac:dyDescent="0.35"/>
    <row r="7" spans="1:36" ht="18.75" customHeight="1" x14ac:dyDescent="0.3">
      <c r="B7" s="543" t="s">
        <v>478</v>
      </c>
      <c r="C7" s="544"/>
      <c r="D7" s="169" t="s">
        <v>382</v>
      </c>
      <c r="E7" s="170"/>
      <c r="F7" s="547" t="str">
        <f>IF(B9=1,IF(SUM(Lists!B39:B53)&gt;0,"Transportation Included","Did you forget your fleet?"),"")</f>
        <v/>
      </c>
      <c r="G7" s="547"/>
      <c r="Q7" s="554" t="s">
        <v>736</v>
      </c>
      <c r="R7" s="555"/>
    </row>
    <row r="8" spans="1:36" ht="18.75" customHeight="1" x14ac:dyDescent="0.3">
      <c r="B8" s="545"/>
      <c r="C8" s="546"/>
      <c r="D8" s="173" t="s">
        <v>383</v>
      </c>
      <c r="E8" s="174"/>
      <c r="F8" s="547"/>
      <c r="G8" s="547"/>
      <c r="Q8" s="453"/>
      <c r="R8" s="454"/>
    </row>
    <row r="9" spans="1:36" ht="18.75" customHeight="1" thickBot="1" x14ac:dyDescent="0.35">
      <c r="B9" s="213">
        <v>2</v>
      </c>
      <c r="C9" s="214"/>
      <c r="D9" s="171" t="s">
        <v>384</v>
      </c>
      <c r="E9" s="172"/>
      <c r="F9" s="547"/>
      <c r="G9" s="547"/>
      <c r="Q9" s="422"/>
      <c r="R9" s="423"/>
    </row>
    <row r="10" spans="1:36" ht="18" customHeight="1" thickBot="1" x14ac:dyDescent="0.35">
      <c r="B10" s="215"/>
      <c r="C10" s="216"/>
      <c r="D10" s="493"/>
    </row>
    <row r="11" spans="1:36" ht="15" thickBot="1" x14ac:dyDescent="0.35">
      <c r="C11" s="3" t="s">
        <v>145</v>
      </c>
      <c r="D11" s="3" t="s">
        <v>145</v>
      </c>
      <c r="E11" s="3" t="s">
        <v>145</v>
      </c>
      <c r="G11" s="3" t="s">
        <v>145</v>
      </c>
      <c r="H11" s="3"/>
      <c r="I11" s="3"/>
      <c r="J11" s="3"/>
      <c r="K11" s="3"/>
      <c r="L11" s="3"/>
      <c r="M11" s="3"/>
      <c r="N11" s="3"/>
      <c r="O11" s="3"/>
      <c r="S11" s="2"/>
    </row>
    <row r="12" spans="1:36" ht="47.25" customHeight="1" x14ac:dyDescent="0.3">
      <c r="B12" s="110" t="s">
        <v>497</v>
      </c>
      <c r="C12" s="111" t="s">
        <v>498</v>
      </c>
      <c r="D12" s="371" t="s">
        <v>499</v>
      </c>
      <c r="E12" s="111" t="s">
        <v>500</v>
      </c>
      <c r="F12" s="111" t="s">
        <v>505</v>
      </c>
      <c r="G12" s="111" t="s">
        <v>501</v>
      </c>
      <c r="H12" s="111" t="s">
        <v>664</v>
      </c>
      <c r="I12" s="111" t="s">
        <v>663</v>
      </c>
      <c r="J12" s="111" t="s">
        <v>678</v>
      </c>
      <c r="K12" s="111" t="s">
        <v>667</v>
      </c>
      <c r="L12" s="111" t="s">
        <v>679</v>
      </c>
      <c r="M12" s="111" t="s">
        <v>680</v>
      </c>
      <c r="N12" s="111" t="s">
        <v>681</v>
      </c>
      <c r="O12" s="111" t="s">
        <v>682</v>
      </c>
      <c r="P12" s="111" t="s">
        <v>651</v>
      </c>
      <c r="Q12" s="111" t="s">
        <v>651</v>
      </c>
      <c r="R12" s="111" t="s">
        <v>503</v>
      </c>
      <c r="S12" s="113" t="s">
        <v>653</v>
      </c>
      <c r="T12" s="183"/>
      <c r="U12" s="183"/>
      <c r="V12" s="183"/>
      <c r="W12" s="183"/>
      <c r="X12" s="183"/>
      <c r="Y12" s="183"/>
      <c r="Z12" s="183"/>
      <c r="AA12" s="183"/>
      <c r="AB12" s="183"/>
      <c r="AC12" s="183"/>
      <c r="AD12" s="183"/>
      <c r="AE12" s="183"/>
      <c r="AF12" s="183"/>
      <c r="AG12" s="183"/>
      <c r="AH12" s="183"/>
      <c r="AI12" s="183"/>
    </row>
    <row r="13" spans="1:36" ht="15.6" x14ac:dyDescent="0.35">
      <c r="B13" s="405"/>
      <c r="C13" s="406"/>
      <c r="D13" s="409"/>
      <c r="E13" s="406"/>
      <c r="F13" s="406" t="s">
        <v>677</v>
      </c>
      <c r="G13" s="406"/>
      <c r="H13" s="406" t="s">
        <v>650</v>
      </c>
      <c r="I13" s="406" t="s">
        <v>650</v>
      </c>
      <c r="J13" s="406" t="s">
        <v>665</v>
      </c>
      <c r="K13" s="406" t="s">
        <v>650</v>
      </c>
      <c r="L13" s="406" t="s">
        <v>668</v>
      </c>
      <c r="M13" s="406" t="s">
        <v>668</v>
      </c>
      <c r="N13" s="406" t="s">
        <v>668</v>
      </c>
      <c r="O13" s="406" t="s">
        <v>668</v>
      </c>
      <c r="P13" s="407" t="s">
        <v>771</v>
      </c>
      <c r="Q13" s="406" t="s">
        <v>652</v>
      </c>
      <c r="R13" s="406"/>
      <c r="S13" s="408" t="s">
        <v>774</v>
      </c>
      <c r="T13" s="183"/>
      <c r="U13" s="183"/>
      <c r="V13" s="183"/>
      <c r="W13" s="183"/>
      <c r="X13" s="183"/>
      <c r="Y13" s="183"/>
      <c r="Z13" s="183"/>
      <c r="AA13" s="183"/>
      <c r="AB13" s="183"/>
      <c r="AC13" s="183"/>
      <c r="AD13" s="183"/>
      <c r="AE13" s="183"/>
      <c r="AF13" s="183"/>
      <c r="AG13" s="183"/>
      <c r="AH13" s="183"/>
      <c r="AI13" s="183"/>
    </row>
    <row r="14" spans="1:36" x14ac:dyDescent="0.3">
      <c r="B14" s="114" t="str">
        <f>IF(AND(C14=0,E14=0,F14=0),"",IF(OR(C14=0,E14=0,F14=0),"INCOMPLETE","OK"))</f>
        <v>OK</v>
      </c>
      <c r="C14" s="185" t="s">
        <v>300</v>
      </c>
      <c r="D14" s="186" t="s">
        <v>106</v>
      </c>
      <c r="E14" s="186" t="s">
        <v>612</v>
      </c>
      <c r="F14" s="189">
        <v>2</v>
      </c>
      <c r="G14" s="190" t="s">
        <v>191</v>
      </c>
      <c r="H14" s="51">
        <f>IF($E14=0,0,$I14*VLOOKUP($E14,'Default Values'!$B$5:$I$20,8,0))</f>
        <v>2.204585537918871</v>
      </c>
      <c r="I14" s="51">
        <f>IF($E14=0,0,VLOOKUP($E14,'Default Values'!$B$5:$G$20,2,0)*Conversions!$C$5*F14)</f>
        <v>44.091710758377417</v>
      </c>
      <c r="J14" s="49">
        <v>1</v>
      </c>
      <c r="K14" s="51">
        <f>IF($E14=0,0,$I14*VLOOKUP($E14,'Default Values'!$B$5:$I$20,8,0))</f>
        <v>2.204585537918871</v>
      </c>
      <c r="L14" s="52">
        <f>IF($E14=0,0,VLOOKUP($E14,'Default Values'!$B$5:$G$20,3,0))</f>
        <v>0.02</v>
      </c>
      <c r="M14" s="52">
        <f>IF($E14=0,0,VLOOKUP($E14,'Default Values'!$B$5:$G$20,4,0))</f>
        <v>0.12</v>
      </c>
      <c r="N14" s="52">
        <f>IF($E14=0,0,VLOOKUP($E14,'Default Values'!$B$5:$G$20,5,0))</f>
        <v>0.9</v>
      </c>
      <c r="O14" s="52">
        <f>IF($E14=0,0,VLOOKUP($E14,'Default Values'!$B$5:$G$20,6,0))</f>
        <v>0.7</v>
      </c>
      <c r="P14" s="50">
        <f>((H14*L14)+(I14*M14*J14)+(K14*N14*(1-O14)))*Conversions!$C$4</f>
        <v>2.6899999999999992E-3</v>
      </c>
      <c r="Q14" s="50">
        <f>IF(G14=0,P14*HLOOKUP(E14,'Equipment Assumptions'!$C$30:$Q$31,2,0),IF(G14="Non-HFC",0,P14))</f>
        <v>2.6899999999999992E-3</v>
      </c>
      <c r="R14" s="50" t="str">
        <f>IF(E14=0,"",IF(OR(G14=0,G14="I Don't Know"),VLOOKUP(E14,'Default Values'!$B$5:$J$20,9,0),G14))</f>
        <v>R-404A</v>
      </c>
      <c r="S14" s="142">
        <f>IF(R14="","",P14*VLOOKUP(R14,Lists!$C$72:$S$152,COLUMNS(Lists!$C$72:$S$72),0))</f>
        <v>10.549103999999998</v>
      </c>
      <c r="T14" s="183"/>
      <c r="U14" s="183"/>
      <c r="V14" s="183"/>
      <c r="W14" s="183"/>
      <c r="X14" s="183"/>
      <c r="Y14" s="183"/>
      <c r="Z14" s="183"/>
      <c r="AA14" s="183"/>
      <c r="AB14" s="183"/>
      <c r="AC14" s="183"/>
      <c r="AD14" s="183"/>
      <c r="AE14" s="183"/>
      <c r="AF14" s="183"/>
      <c r="AG14" s="183"/>
      <c r="AH14" s="183"/>
      <c r="AI14" s="183"/>
    </row>
    <row r="15" spans="1:36" x14ac:dyDescent="0.3">
      <c r="B15" s="114" t="str">
        <f t="shared" ref="B15:B54" si="0">IF(AND(C15=0,E15=0,F15=0),"",IF(OR(C15=0,E15=0,F15=0),"INCOMPLETE","OK"))</f>
        <v/>
      </c>
      <c r="C15" s="187"/>
      <c r="D15" s="376"/>
      <c r="E15" s="187"/>
      <c r="F15" s="191"/>
      <c r="G15" s="192"/>
      <c r="H15" s="42">
        <f>IF($E15=0,0,$I15*VLOOKUP($E15,'Default Values'!$B$5:$I$20,8,0))</f>
        <v>0</v>
      </c>
      <c r="I15" s="42">
        <f>IF($E15=0,0,VLOOKUP($E15,'Default Values'!$B$5:$G$20,2,0)*Conversions!$C$5*F15)</f>
        <v>0</v>
      </c>
      <c r="J15" s="39">
        <v>1</v>
      </c>
      <c r="K15" s="42">
        <f>IF($E15=0,0,$I15*VLOOKUP($E15,'Default Values'!$B$5:$I$20,8,0))</f>
        <v>0</v>
      </c>
      <c r="L15" s="40">
        <f>IF($E15=0,0,VLOOKUP($E15,'Default Values'!$B$5:$G$20,3,0))</f>
        <v>0</v>
      </c>
      <c r="M15" s="40">
        <f>IF($E15=0,0,VLOOKUP($E15,'Default Values'!$B$5:$G$20,4,0))</f>
        <v>0</v>
      </c>
      <c r="N15" s="40">
        <f>IF($E15=0,0,VLOOKUP($E15,'Default Values'!$B$5:$G$20,5,0))</f>
        <v>0</v>
      </c>
      <c r="O15" s="40">
        <f>IF($E15=0,0,VLOOKUP($E15,'Default Values'!$B$5:$G$20,6,0))</f>
        <v>0</v>
      </c>
      <c r="P15" s="41">
        <f>((H15*L15)+(I15*M15*J15)+(K15*N15*(1-O15)))*Conversions!$C$4</f>
        <v>0</v>
      </c>
      <c r="Q15" s="41">
        <f>'Emissions Database'!K124</f>
        <v>0</v>
      </c>
      <c r="R15" s="41" t="str">
        <f>IF(E15=0,"",IF(OR(G15=0,G15="I Don't Know"),VLOOKUP(E15,'Default Values'!$B$5:$J$20,9,0),G15))</f>
        <v/>
      </c>
      <c r="S15" s="115">
        <f>'Emissions Database'!BS124</f>
        <v>0</v>
      </c>
      <c r="T15" s="183"/>
      <c r="U15" s="183"/>
      <c r="V15" s="183"/>
      <c r="W15" s="183"/>
      <c r="X15" s="183"/>
      <c r="Y15" s="183"/>
      <c r="Z15" s="183"/>
      <c r="AA15" s="183"/>
      <c r="AB15" s="183"/>
      <c r="AC15" s="183"/>
      <c r="AD15" s="183"/>
      <c r="AE15" s="183"/>
      <c r="AF15" s="183"/>
      <c r="AG15" s="183"/>
      <c r="AH15" s="183"/>
      <c r="AI15" s="183"/>
    </row>
    <row r="16" spans="1:36" x14ac:dyDescent="0.3">
      <c r="B16" s="114" t="str">
        <f t="shared" si="0"/>
        <v/>
      </c>
      <c r="C16" s="187"/>
      <c r="D16" s="376"/>
      <c r="E16" s="187"/>
      <c r="F16" s="191"/>
      <c r="G16" s="192"/>
      <c r="H16" s="42">
        <f>IF($E16=0,0,$I16*VLOOKUP($E16,'Default Values'!$B$5:$I$20,8,0))</f>
        <v>0</v>
      </c>
      <c r="I16" s="42">
        <f>IF($E16=0,0,VLOOKUP($E16,'Default Values'!$B$5:$G$20,2,0)*Conversions!$C$5*F16)</f>
        <v>0</v>
      </c>
      <c r="J16" s="39">
        <v>1</v>
      </c>
      <c r="K16" s="42">
        <f>IF($E16=0,0,$I16*VLOOKUP($E16,'Default Values'!$B$5:$I$20,8,0))</f>
        <v>0</v>
      </c>
      <c r="L16" s="40">
        <f>IF($E16=0,0,VLOOKUP($E16,'Default Values'!$B$5:$G$20,3,0))</f>
        <v>0</v>
      </c>
      <c r="M16" s="40">
        <f>IF($E16=0,0,VLOOKUP($E16,'Default Values'!$B$5:$G$20,4,0))</f>
        <v>0</v>
      </c>
      <c r="N16" s="40">
        <f>IF($E16=0,0,VLOOKUP($E16,'Default Values'!$B$5:$G$20,5,0))</f>
        <v>0</v>
      </c>
      <c r="O16" s="40">
        <f>IF($E16=0,0,VLOOKUP($E16,'Default Values'!$B$5:$G$20,6,0))</f>
        <v>0</v>
      </c>
      <c r="P16" s="41">
        <f>((H16*L16)+(I16*M16*J16)+(K16*N16*(1-O16)))*Conversions!$C$4</f>
        <v>0</v>
      </c>
      <c r="Q16" s="41">
        <f>'Emissions Database'!K125</f>
        <v>0</v>
      </c>
      <c r="R16" s="41" t="str">
        <f>IF(E16=0,"",IF(OR(G16=0,G16="I Don't Know"),VLOOKUP(E16,'Default Values'!$B$5:$J$20,9,0),G16))</f>
        <v/>
      </c>
      <c r="S16" s="115">
        <f>'Emissions Database'!BS125</f>
        <v>0</v>
      </c>
      <c r="T16" s="183"/>
      <c r="U16" s="183"/>
      <c r="V16" s="183"/>
      <c r="W16" s="183"/>
      <c r="X16" s="183"/>
      <c r="Y16" s="183"/>
      <c r="Z16" s="183"/>
      <c r="AA16" s="183"/>
      <c r="AB16" s="183"/>
      <c r="AC16" s="183"/>
      <c r="AD16" s="183"/>
      <c r="AE16" s="183"/>
      <c r="AF16" s="183"/>
      <c r="AG16" s="183"/>
      <c r="AH16" s="183"/>
      <c r="AI16" s="183"/>
    </row>
    <row r="17" spans="2:35" x14ac:dyDescent="0.3">
      <c r="B17" s="114" t="str">
        <f t="shared" si="0"/>
        <v/>
      </c>
      <c r="C17" s="187"/>
      <c r="D17" s="376"/>
      <c r="E17" s="187"/>
      <c r="F17" s="191"/>
      <c r="G17" s="192"/>
      <c r="H17" s="42">
        <f>IF($E17=0,0,$I17*VLOOKUP($E17,'Default Values'!$B$5:$I$20,8,0))</f>
        <v>0</v>
      </c>
      <c r="I17" s="42">
        <f>IF($E17=0,0,VLOOKUP($E17,'Default Values'!$B$5:$G$20,2,0)*Conversions!$C$5*F17)</f>
        <v>0</v>
      </c>
      <c r="J17" s="39">
        <v>1</v>
      </c>
      <c r="K17" s="42">
        <f>IF($E17=0,0,$I17*VLOOKUP($E17,'Default Values'!$B$5:$I$20,8,0))</f>
        <v>0</v>
      </c>
      <c r="L17" s="40">
        <f>IF($E17=0,0,VLOOKUP($E17,'Default Values'!$B$5:$G$20,3,0))</f>
        <v>0</v>
      </c>
      <c r="M17" s="40">
        <f>IF($E17=0,0,VLOOKUP($E17,'Default Values'!$B$5:$G$20,4,0))</f>
        <v>0</v>
      </c>
      <c r="N17" s="40">
        <f>IF($E17=0,0,VLOOKUP($E17,'Default Values'!$B$5:$G$20,5,0))</f>
        <v>0</v>
      </c>
      <c r="O17" s="40">
        <f>IF($E17=0,0,VLOOKUP($E17,'Default Values'!$B$5:$G$20,6,0))</f>
        <v>0</v>
      </c>
      <c r="P17" s="41">
        <f>((H17*L17)+(I17*M17*J17)+(K17*N17*(1-O17)))*Conversions!$C$4</f>
        <v>0</v>
      </c>
      <c r="Q17" s="41">
        <f>'Emissions Database'!K126</f>
        <v>0</v>
      </c>
      <c r="R17" s="41" t="str">
        <f>IF(E17=0,"",IF(OR(G17=0,G17="I Don't Know"),VLOOKUP(E17,'Default Values'!$B$5:$J$20,9,0),G17))</f>
        <v/>
      </c>
      <c r="S17" s="115">
        <f>'Emissions Database'!BS126</f>
        <v>0</v>
      </c>
      <c r="T17" s="183"/>
      <c r="U17" s="183"/>
      <c r="V17" s="183"/>
      <c r="W17" s="183"/>
      <c r="X17" s="183"/>
      <c r="Y17" s="183"/>
      <c r="Z17" s="183"/>
      <c r="AA17" s="183"/>
      <c r="AB17" s="183"/>
      <c r="AC17" s="183"/>
      <c r="AD17" s="183"/>
      <c r="AE17" s="183"/>
      <c r="AF17" s="183"/>
      <c r="AG17" s="183"/>
      <c r="AH17" s="183"/>
      <c r="AI17" s="183"/>
    </row>
    <row r="18" spans="2:35" x14ac:dyDescent="0.3">
      <c r="B18" s="114" t="str">
        <f t="shared" si="0"/>
        <v/>
      </c>
      <c r="C18" s="187"/>
      <c r="D18" s="376"/>
      <c r="E18" s="187"/>
      <c r="F18" s="191"/>
      <c r="G18" s="192"/>
      <c r="H18" s="42">
        <f>IF($E18=0,0,$I18*VLOOKUP($E18,'Default Values'!$B$5:$I$20,8,0))</f>
        <v>0</v>
      </c>
      <c r="I18" s="42">
        <f>IF($E18=0,0,VLOOKUP($E18,'Default Values'!$B$5:$G$20,2,0)*Conversions!$C$5*F18)</f>
        <v>0</v>
      </c>
      <c r="J18" s="39">
        <v>1</v>
      </c>
      <c r="K18" s="42">
        <f>IF($E18=0,0,$I18*VLOOKUP($E18,'Default Values'!$B$5:$I$20,8,0))</f>
        <v>0</v>
      </c>
      <c r="L18" s="40">
        <f>IF($E18=0,0,VLOOKUP($E18,'Default Values'!$B$5:$G$20,3,0))</f>
        <v>0</v>
      </c>
      <c r="M18" s="40">
        <f>IF($E18=0,0,VLOOKUP($E18,'Default Values'!$B$5:$G$20,4,0))</f>
        <v>0</v>
      </c>
      <c r="N18" s="40">
        <f>IF($E18=0,0,VLOOKUP($E18,'Default Values'!$B$5:$G$20,5,0))</f>
        <v>0</v>
      </c>
      <c r="O18" s="40">
        <f>IF($E18=0,0,VLOOKUP($E18,'Default Values'!$B$5:$G$20,6,0))</f>
        <v>0</v>
      </c>
      <c r="P18" s="41">
        <f>((H18*L18)+(I18*M18*J18)+(K18*N18*(1-O18)))*Conversions!$C$4</f>
        <v>0</v>
      </c>
      <c r="Q18" s="41">
        <f>'Emissions Database'!K127</f>
        <v>0</v>
      </c>
      <c r="R18" s="41" t="str">
        <f>IF(E18=0,"",IF(OR(G18=0,G18="I Don't Know"),VLOOKUP(E18,'Default Values'!$B$5:$J$20,9,0),G18))</f>
        <v/>
      </c>
      <c r="S18" s="115">
        <f>'Emissions Database'!BS127</f>
        <v>0</v>
      </c>
      <c r="T18" s="183"/>
      <c r="U18" s="183"/>
      <c r="V18" s="183"/>
      <c r="W18" s="183"/>
      <c r="X18" s="183"/>
      <c r="Y18" s="183"/>
      <c r="Z18" s="183"/>
      <c r="AA18" s="183"/>
      <c r="AB18" s="183"/>
      <c r="AC18" s="183"/>
      <c r="AD18" s="183"/>
      <c r="AE18" s="183"/>
      <c r="AF18" s="183"/>
      <c r="AG18" s="183"/>
      <c r="AH18" s="183"/>
      <c r="AI18" s="183"/>
    </row>
    <row r="19" spans="2:35" x14ac:dyDescent="0.3">
      <c r="B19" s="114" t="str">
        <f t="shared" si="0"/>
        <v/>
      </c>
      <c r="C19" s="187"/>
      <c r="D19" s="376"/>
      <c r="E19" s="187"/>
      <c r="F19" s="191"/>
      <c r="G19" s="193"/>
      <c r="H19" s="42">
        <f>IF($E19=0,0,$I19*VLOOKUP($E19,'Default Values'!$B$5:$I$20,8,0))</f>
        <v>0</v>
      </c>
      <c r="I19" s="42">
        <f>IF($E19=0,0,VLOOKUP($E19,'Default Values'!$B$5:$G$20,2,0)*Conversions!$C$5*F19)</f>
        <v>0</v>
      </c>
      <c r="J19" s="39">
        <v>1</v>
      </c>
      <c r="K19" s="42">
        <f>IF($E19=0,0,$I19*VLOOKUP($E19,'Default Values'!$B$5:$I$20,8,0))</f>
        <v>0</v>
      </c>
      <c r="L19" s="40">
        <f>IF($E19=0,0,VLOOKUP($E19,'Default Values'!$B$5:$G$20,3,0))</f>
        <v>0</v>
      </c>
      <c r="M19" s="40">
        <f>IF($E19=0,0,VLOOKUP($E19,'Default Values'!$B$5:$G$20,4,0))</f>
        <v>0</v>
      </c>
      <c r="N19" s="40">
        <f>IF($E19=0,0,VLOOKUP($E19,'Default Values'!$B$5:$G$20,5,0))</f>
        <v>0</v>
      </c>
      <c r="O19" s="40">
        <f>IF($E19=0,0,VLOOKUP($E19,'Default Values'!$B$5:$G$20,6,0))</f>
        <v>0</v>
      </c>
      <c r="P19" s="41">
        <f>((H19*L19)+(I19*M19*J19)+(K19*N19*(1-O19)))*Conversions!$C$4</f>
        <v>0</v>
      </c>
      <c r="Q19" s="41">
        <f>'Emissions Database'!K128</f>
        <v>0</v>
      </c>
      <c r="R19" s="41" t="str">
        <f>IF(E19=0,"",IF(OR(G19=0,G19="I Don't Know"),VLOOKUP(E19,'Default Values'!$B$5:$J$20,9,0),G19))</f>
        <v/>
      </c>
      <c r="S19" s="115">
        <f>'Emissions Database'!BS128</f>
        <v>0</v>
      </c>
      <c r="T19" s="183"/>
      <c r="U19" s="183"/>
      <c r="V19" s="183"/>
      <c r="W19" s="183"/>
      <c r="X19" s="183"/>
      <c r="Y19" s="183"/>
      <c r="Z19" s="183"/>
      <c r="AA19" s="183"/>
      <c r="AB19" s="183"/>
      <c r="AC19" s="183"/>
      <c r="AD19" s="183"/>
      <c r="AE19" s="183"/>
      <c r="AF19" s="183"/>
      <c r="AG19" s="183"/>
      <c r="AH19" s="183"/>
      <c r="AI19" s="183"/>
    </row>
    <row r="20" spans="2:35" x14ac:dyDescent="0.3">
      <c r="B20" s="114" t="str">
        <f t="shared" si="0"/>
        <v/>
      </c>
      <c r="C20" s="187"/>
      <c r="D20" s="376"/>
      <c r="E20" s="187"/>
      <c r="F20" s="191"/>
      <c r="G20" s="193"/>
      <c r="H20" s="42">
        <f>IF($E20=0,0,$I20*VLOOKUP($E20,'Default Values'!$B$5:$I$20,8,0))</f>
        <v>0</v>
      </c>
      <c r="I20" s="42">
        <f>IF($E20=0,0,VLOOKUP($E20,'Default Values'!$B$5:$G$20,2,0)*Conversions!$C$5*F20)</f>
        <v>0</v>
      </c>
      <c r="J20" s="39">
        <v>1</v>
      </c>
      <c r="K20" s="42">
        <f>IF($E20=0,0,$I20*VLOOKUP($E20,'Default Values'!$B$5:$I$20,8,0))</f>
        <v>0</v>
      </c>
      <c r="L20" s="40">
        <f>IF($E20=0,0,VLOOKUP($E20,'Default Values'!$B$5:$G$20,3,0))</f>
        <v>0</v>
      </c>
      <c r="M20" s="40">
        <f>IF($E20=0,0,VLOOKUP($E20,'Default Values'!$B$5:$G$20,4,0))</f>
        <v>0</v>
      </c>
      <c r="N20" s="40">
        <f>IF($E20=0,0,VLOOKUP($E20,'Default Values'!$B$5:$G$20,5,0))</f>
        <v>0</v>
      </c>
      <c r="O20" s="40">
        <f>IF($E20=0,0,VLOOKUP($E20,'Default Values'!$B$5:$G$20,6,0))</f>
        <v>0</v>
      </c>
      <c r="P20" s="41">
        <f>((H20*L20)+(I20*M20*J20)+(K20*N20*(1-O20)))*Conversions!$C$4</f>
        <v>0</v>
      </c>
      <c r="Q20" s="41">
        <f>'Emissions Database'!K129</f>
        <v>0</v>
      </c>
      <c r="R20" s="41" t="str">
        <f>IF(E20=0,"",IF(OR(G20=0,G20="I Don't Know"),VLOOKUP(E20,'Default Values'!$B$5:$J$20,9,0),G20))</f>
        <v/>
      </c>
      <c r="S20" s="115">
        <f>'Emissions Database'!BS129</f>
        <v>0</v>
      </c>
      <c r="T20" s="183"/>
      <c r="U20" s="183"/>
      <c r="V20" s="183"/>
      <c r="W20" s="183"/>
      <c r="X20" s="183"/>
      <c r="Y20" s="183"/>
      <c r="Z20" s="183"/>
      <c r="AA20" s="183"/>
      <c r="AB20" s="183"/>
      <c r="AC20" s="183"/>
      <c r="AD20" s="183"/>
      <c r="AE20" s="183"/>
      <c r="AF20" s="183"/>
      <c r="AG20" s="183"/>
      <c r="AH20" s="183"/>
      <c r="AI20" s="183"/>
    </row>
    <row r="21" spans="2:35" x14ac:dyDescent="0.3">
      <c r="B21" s="114" t="str">
        <f t="shared" si="0"/>
        <v/>
      </c>
      <c r="C21" s="187"/>
      <c r="D21" s="376"/>
      <c r="E21" s="187"/>
      <c r="F21" s="191"/>
      <c r="G21" s="193"/>
      <c r="H21" s="42">
        <f>IF($E21=0,0,$I21*VLOOKUP($E21,'Default Values'!$B$5:$I$20,8,0))</f>
        <v>0</v>
      </c>
      <c r="I21" s="42">
        <f>IF($E21=0,0,VLOOKUP($E21,'Default Values'!$B$5:$G$20,2,0)*Conversions!$C$5*F21)</f>
        <v>0</v>
      </c>
      <c r="J21" s="39">
        <v>1</v>
      </c>
      <c r="K21" s="42">
        <f>IF($E21=0,0,$I21*VLOOKUP($E21,'Default Values'!$B$5:$I$20,8,0))</f>
        <v>0</v>
      </c>
      <c r="L21" s="40">
        <f>IF($E21=0,0,VLOOKUP($E21,'Default Values'!$B$5:$G$20,3,0))</f>
        <v>0</v>
      </c>
      <c r="M21" s="40">
        <f>IF($E21=0,0,VLOOKUP($E21,'Default Values'!$B$5:$G$20,4,0))</f>
        <v>0</v>
      </c>
      <c r="N21" s="40">
        <f>IF($E21=0,0,VLOOKUP($E21,'Default Values'!$B$5:$G$20,5,0))</f>
        <v>0</v>
      </c>
      <c r="O21" s="40">
        <f>IF($E21=0,0,VLOOKUP($E21,'Default Values'!$B$5:$G$20,6,0))</f>
        <v>0</v>
      </c>
      <c r="P21" s="41">
        <f>((H21*L21)+(I21*M21*J21)+(K21*N21*(1-O21)))*Conversions!$C$4</f>
        <v>0</v>
      </c>
      <c r="Q21" s="41">
        <f>'Emissions Database'!K130</f>
        <v>0</v>
      </c>
      <c r="R21" s="41" t="str">
        <f>IF(E21=0,"",IF(OR(G21=0,G21="I Don't Know"),VLOOKUP(E21,'Default Values'!$B$5:$J$20,9,0),G21))</f>
        <v/>
      </c>
      <c r="S21" s="115">
        <f>'Emissions Database'!BS130</f>
        <v>0</v>
      </c>
      <c r="T21" s="183"/>
      <c r="U21" s="183"/>
      <c r="V21" s="183"/>
      <c r="W21" s="183"/>
      <c r="X21" s="183"/>
      <c r="Y21" s="183"/>
      <c r="Z21" s="183"/>
      <c r="AA21" s="183"/>
      <c r="AB21" s="183"/>
      <c r="AC21" s="183"/>
      <c r="AD21" s="183"/>
      <c r="AE21" s="183"/>
      <c r="AF21" s="183"/>
      <c r="AG21" s="183"/>
      <c r="AH21" s="183"/>
      <c r="AI21" s="183"/>
    </row>
    <row r="22" spans="2:35" x14ac:dyDescent="0.3">
      <c r="B22" s="114" t="str">
        <f t="shared" si="0"/>
        <v/>
      </c>
      <c r="C22" s="187"/>
      <c r="D22" s="376"/>
      <c r="E22" s="187"/>
      <c r="F22" s="191"/>
      <c r="G22" s="193"/>
      <c r="H22" s="42">
        <f>IF($E22=0,0,$I22*VLOOKUP($E22,'Default Values'!$B$5:$I$20,8,0))</f>
        <v>0</v>
      </c>
      <c r="I22" s="42">
        <f>IF($E22=0,0,VLOOKUP($E22,'Default Values'!$B$5:$G$20,2,0)*Conversions!$C$5*F22)</f>
        <v>0</v>
      </c>
      <c r="J22" s="39">
        <v>1</v>
      </c>
      <c r="K22" s="42">
        <f>IF($E22=0,0,$I22*VLOOKUP($E22,'Default Values'!$B$5:$I$20,8,0))</f>
        <v>0</v>
      </c>
      <c r="L22" s="40">
        <f>IF($E22=0,0,VLOOKUP($E22,'Default Values'!$B$5:$G$20,3,0))</f>
        <v>0</v>
      </c>
      <c r="M22" s="40">
        <f>IF($E22=0,0,VLOOKUP($E22,'Default Values'!$B$5:$G$20,4,0))</f>
        <v>0</v>
      </c>
      <c r="N22" s="40">
        <f>IF($E22=0,0,VLOOKUP($E22,'Default Values'!$B$5:$G$20,5,0))</f>
        <v>0</v>
      </c>
      <c r="O22" s="40">
        <f>IF($E22=0,0,VLOOKUP($E22,'Default Values'!$B$5:$G$20,6,0))</f>
        <v>0</v>
      </c>
      <c r="P22" s="41">
        <f>((H22*L22)+(I22*M22*J22)+(K22*N22*(1-O22)))*Conversions!$C$4</f>
        <v>0</v>
      </c>
      <c r="Q22" s="41">
        <f>'Emissions Database'!K131</f>
        <v>0</v>
      </c>
      <c r="R22" s="41" t="str">
        <f>IF(E22=0,"",IF(OR(G22=0,G22="I Don't Know"),VLOOKUP(E22,'Default Values'!$B$5:$J$20,9,0),G22))</f>
        <v/>
      </c>
      <c r="S22" s="115">
        <f>'Emissions Database'!BS131</f>
        <v>0</v>
      </c>
      <c r="T22" s="183"/>
      <c r="U22" s="183"/>
      <c r="V22" s="183"/>
      <c r="W22" s="183"/>
      <c r="X22" s="183"/>
      <c r="Y22" s="183"/>
      <c r="Z22" s="183"/>
      <c r="AA22" s="183"/>
      <c r="AB22" s="183"/>
      <c r="AC22" s="183"/>
      <c r="AD22" s="183"/>
      <c r="AE22" s="183"/>
      <c r="AF22" s="183"/>
      <c r="AG22" s="183"/>
      <c r="AH22" s="183"/>
      <c r="AI22" s="183"/>
    </row>
    <row r="23" spans="2:35" x14ac:dyDescent="0.3">
      <c r="B23" s="114" t="str">
        <f t="shared" si="0"/>
        <v/>
      </c>
      <c r="C23" s="187"/>
      <c r="D23" s="376"/>
      <c r="E23" s="187"/>
      <c r="F23" s="191"/>
      <c r="G23" s="193"/>
      <c r="H23" s="42">
        <f>IF($E23=0,0,$I23*VLOOKUP($E23,'Default Values'!$B$5:$I$20,8,0))</f>
        <v>0</v>
      </c>
      <c r="I23" s="42">
        <f>IF($E23=0,0,VLOOKUP($E23,'Default Values'!$B$5:$G$20,2,0)*Conversions!$C$5*F23)</f>
        <v>0</v>
      </c>
      <c r="J23" s="39">
        <v>1</v>
      </c>
      <c r="K23" s="42">
        <f>IF($E23=0,0,$I23*VLOOKUP($E23,'Default Values'!$B$5:$I$20,8,0))</f>
        <v>0</v>
      </c>
      <c r="L23" s="40">
        <f>IF($E23=0,0,VLOOKUP($E23,'Default Values'!$B$5:$G$20,3,0))</f>
        <v>0</v>
      </c>
      <c r="M23" s="40">
        <f>IF($E23=0,0,VLOOKUP($E23,'Default Values'!$B$5:$G$20,4,0))</f>
        <v>0</v>
      </c>
      <c r="N23" s="40">
        <f>IF($E23=0,0,VLOOKUP($E23,'Default Values'!$B$5:$G$20,5,0))</f>
        <v>0</v>
      </c>
      <c r="O23" s="40">
        <f>IF($E23=0,0,VLOOKUP($E23,'Default Values'!$B$5:$G$20,6,0))</f>
        <v>0</v>
      </c>
      <c r="P23" s="41">
        <f>((H23*L23)+(I23*M23*J23)+(K23*N23*(1-O23)))*Conversions!$C$4</f>
        <v>0</v>
      </c>
      <c r="Q23" s="41">
        <f>'Emissions Database'!K132</f>
        <v>0</v>
      </c>
      <c r="R23" s="41" t="str">
        <f>IF(E23=0,"",IF(OR(G23=0,G23="I Don't Know"),VLOOKUP(E23,'Default Values'!$B$5:$J$20,9,0),G23))</f>
        <v/>
      </c>
      <c r="S23" s="115">
        <f>'Emissions Database'!BS132</f>
        <v>0</v>
      </c>
      <c r="T23" s="183"/>
      <c r="U23" s="183"/>
      <c r="V23" s="183"/>
      <c r="W23" s="183"/>
      <c r="X23" s="183"/>
      <c r="Y23" s="183"/>
      <c r="Z23" s="183"/>
      <c r="AA23" s="183"/>
      <c r="AB23" s="183"/>
      <c r="AC23" s="183"/>
      <c r="AD23" s="183"/>
      <c r="AE23" s="183"/>
      <c r="AF23" s="183"/>
      <c r="AG23" s="183"/>
      <c r="AH23" s="183"/>
      <c r="AI23" s="183"/>
    </row>
    <row r="24" spans="2:35" x14ac:dyDescent="0.3">
      <c r="B24" s="114" t="str">
        <f t="shared" si="0"/>
        <v/>
      </c>
      <c r="C24" s="187"/>
      <c r="D24" s="376"/>
      <c r="E24" s="187"/>
      <c r="F24" s="191"/>
      <c r="G24" s="193"/>
      <c r="H24" s="42">
        <f>IF($E24=0,0,$I24*VLOOKUP($E24,'Default Values'!$B$5:$I$20,8,0))</f>
        <v>0</v>
      </c>
      <c r="I24" s="42">
        <f>IF($E24=0,0,VLOOKUP($E24,'Default Values'!$B$5:$G$20,2,0)*Conversions!$C$5*F24)</f>
        <v>0</v>
      </c>
      <c r="J24" s="39">
        <v>1</v>
      </c>
      <c r="K24" s="42">
        <f>IF($E24=0,0,$I24*VLOOKUP($E24,'Default Values'!$B$5:$I$20,8,0))</f>
        <v>0</v>
      </c>
      <c r="L24" s="40">
        <f>IF($E24=0,0,VLOOKUP($E24,'Default Values'!$B$5:$G$20,3,0))</f>
        <v>0</v>
      </c>
      <c r="M24" s="40">
        <f>IF($E24=0,0,VLOOKUP($E24,'Default Values'!$B$5:$G$20,4,0))</f>
        <v>0</v>
      </c>
      <c r="N24" s="40">
        <f>IF($E24=0,0,VLOOKUP($E24,'Default Values'!$B$5:$G$20,5,0))</f>
        <v>0</v>
      </c>
      <c r="O24" s="40">
        <f>IF($E24=0,0,VLOOKUP($E24,'Default Values'!$B$5:$G$20,6,0))</f>
        <v>0</v>
      </c>
      <c r="P24" s="41">
        <f>((H24*L24)+(I24*M24*J24)+(K24*N24*(1-O24)))*Conversions!$C$4</f>
        <v>0</v>
      </c>
      <c r="Q24" s="41">
        <f>'Emissions Database'!K133</f>
        <v>0</v>
      </c>
      <c r="R24" s="41" t="str">
        <f>IF(E24=0,"",IF(OR(G24=0,G24="I Don't Know"),VLOOKUP(E24,'Default Values'!$B$5:$J$20,9,0),G24))</f>
        <v/>
      </c>
      <c r="S24" s="115">
        <f>'Emissions Database'!BS133</f>
        <v>0</v>
      </c>
      <c r="T24" s="183"/>
      <c r="U24" s="183"/>
      <c r="V24" s="183"/>
      <c r="W24" s="183"/>
      <c r="X24" s="183"/>
      <c r="Y24" s="183"/>
      <c r="Z24" s="183"/>
      <c r="AA24" s="183"/>
      <c r="AB24" s="183"/>
      <c r="AC24" s="183"/>
      <c r="AD24" s="183"/>
      <c r="AE24" s="183"/>
      <c r="AF24" s="183"/>
      <c r="AG24" s="183"/>
      <c r="AH24" s="183"/>
      <c r="AI24" s="183"/>
    </row>
    <row r="25" spans="2:35" x14ac:dyDescent="0.3">
      <c r="B25" s="114" t="str">
        <f t="shared" si="0"/>
        <v/>
      </c>
      <c r="C25" s="187"/>
      <c r="D25" s="376"/>
      <c r="E25" s="187"/>
      <c r="F25" s="191"/>
      <c r="G25" s="193"/>
      <c r="H25" s="42">
        <f>IF($E25=0,0,$I25*VLOOKUP($E25,'Default Values'!$B$5:$I$20,8,0))</f>
        <v>0</v>
      </c>
      <c r="I25" s="42">
        <f>IF($E25=0,0,VLOOKUP($E25,'Default Values'!$B$5:$G$20,2,0)*Conversions!$C$5*F25)</f>
        <v>0</v>
      </c>
      <c r="J25" s="39">
        <v>1</v>
      </c>
      <c r="K25" s="42">
        <f>IF($E25=0,0,$I25*VLOOKUP($E25,'Default Values'!$B$5:$I$20,8,0))</f>
        <v>0</v>
      </c>
      <c r="L25" s="40">
        <f>IF($E25=0,0,VLOOKUP($E25,'Default Values'!$B$5:$G$20,3,0))</f>
        <v>0</v>
      </c>
      <c r="M25" s="40">
        <f>IF($E25=0,0,VLOOKUP($E25,'Default Values'!$B$5:$G$20,4,0))</f>
        <v>0</v>
      </c>
      <c r="N25" s="40">
        <f>IF($E25=0,0,VLOOKUP($E25,'Default Values'!$B$5:$G$20,5,0))</f>
        <v>0</v>
      </c>
      <c r="O25" s="40">
        <f>IF($E25=0,0,VLOOKUP($E25,'Default Values'!$B$5:$G$20,6,0))</f>
        <v>0</v>
      </c>
      <c r="P25" s="41">
        <f>((H25*L25)+(I25*M25*J25)+(K25*N25*(1-O25)))*Conversions!$C$4</f>
        <v>0</v>
      </c>
      <c r="Q25" s="41">
        <f>'Emissions Database'!K134</f>
        <v>0</v>
      </c>
      <c r="R25" s="41" t="str">
        <f>IF(E25=0,"",IF(OR(G25=0,G25="I Don't Know"),VLOOKUP(E25,'Default Values'!$B$5:$J$20,9,0),G25))</f>
        <v/>
      </c>
      <c r="S25" s="115">
        <f>'Emissions Database'!BS134</f>
        <v>0</v>
      </c>
      <c r="T25" s="183"/>
      <c r="U25" s="183"/>
      <c r="V25" s="183"/>
      <c r="W25" s="183"/>
      <c r="X25" s="183"/>
      <c r="Y25" s="183"/>
      <c r="Z25" s="183"/>
      <c r="AA25" s="183"/>
      <c r="AB25" s="183"/>
      <c r="AC25" s="183"/>
      <c r="AD25" s="183"/>
      <c r="AE25" s="183"/>
      <c r="AF25" s="183"/>
      <c r="AG25" s="183"/>
      <c r="AH25" s="183"/>
      <c r="AI25" s="183"/>
    </row>
    <row r="26" spans="2:35" x14ac:dyDescent="0.3">
      <c r="B26" s="114" t="str">
        <f t="shared" si="0"/>
        <v/>
      </c>
      <c r="C26" s="187"/>
      <c r="D26" s="376"/>
      <c r="E26" s="187"/>
      <c r="F26" s="191"/>
      <c r="G26" s="193"/>
      <c r="H26" s="42">
        <f>IF($E26=0,0,$I26*VLOOKUP($E26,'Default Values'!$B$5:$I$20,8,0))</f>
        <v>0</v>
      </c>
      <c r="I26" s="42">
        <f>IF($E26=0,0,VLOOKUP($E26,'Default Values'!$B$5:$G$20,2,0)*Conversions!$C$5*F26)</f>
        <v>0</v>
      </c>
      <c r="J26" s="39">
        <v>1</v>
      </c>
      <c r="K26" s="42">
        <f>IF($E26=0,0,$I26*VLOOKUP($E26,'Default Values'!$B$5:$I$20,8,0))</f>
        <v>0</v>
      </c>
      <c r="L26" s="40">
        <f>IF($E26=0,0,VLOOKUP($E26,'Default Values'!$B$5:$G$20,3,0))</f>
        <v>0</v>
      </c>
      <c r="M26" s="40">
        <f>IF($E26=0,0,VLOOKUP($E26,'Default Values'!$B$5:$G$20,4,0))</f>
        <v>0</v>
      </c>
      <c r="N26" s="40">
        <f>IF($E26=0,0,VLOOKUP($E26,'Default Values'!$B$5:$G$20,5,0))</f>
        <v>0</v>
      </c>
      <c r="O26" s="40">
        <f>IF($E26=0,0,VLOOKUP($E26,'Default Values'!$B$5:$G$20,6,0))</f>
        <v>0</v>
      </c>
      <c r="P26" s="41">
        <f>((H26*L26)+(I26*M26*J26)+(K26*N26*(1-O26)))*Conversions!$C$4</f>
        <v>0</v>
      </c>
      <c r="Q26" s="41">
        <f>'Emissions Database'!K135</f>
        <v>0</v>
      </c>
      <c r="R26" s="41" t="str">
        <f>IF(E26=0,"",IF(OR(G26=0,G26="I Don't Know"),VLOOKUP(E26,'Default Values'!$B$5:$J$20,9,0),G26))</f>
        <v/>
      </c>
      <c r="S26" s="115">
        <f>'Emissions Database'!BS135</f>
        <v>0</v>
      </c>
      <c r="T26" s="183"/>
      <c r="U26" s="183"/>
      <c r="V26" s="183"/>
      <c r="W26" s="183"/>
      <c r="X26" s="183"/>
      <c r="Y26" s="183"/>
      <c r="Z26" s="183"/>
      <c r="AA26" s="183"/>
      <c r="AB26" s="183"/>
      <c r="AC26" s="183"/>
      <c r="AD26" s="183"/>
      <c r="AE26" s="183"/>
      <c r="AF26" s="183"/>
      <c r="AG26" s="183"/>
      <c r="AH26" s="183"/>
      <c r="AI26" s="183"/>
    </row>
    <row r="27" spans="2:35" x14ac:dyDescent="0.3">
      <c r="B27" s="114" t="str">
        <f t="shared" si="0"/>
        <v/>
      </c>
      <c r="C27" s="187"/>
      <c r="D27" s="376"/>
      <c r="E27" s="187"/>
      <c r="F27" s="191"/>
      <c r="G27" s="193"/>
      <c r="H27" s="42">
        <f>IF($E27=0,0,$I27*VLOOKUP($E27,'Default Values'!$B$5:$I$20,8,0))</f>
        <v>0</v>
      </c>
      <c r="I27" s="42">
        <f>IF($E27=0,0,VLOOKUP($E27,'Default Values'!$B$5:$G$20,2,0)*Conversions!$C$5*F27)</f>
        <v>0</v>
      </c>
      <c r="J27" s="39">
        <v>1</v>
      </c>
      <c r="K27" s="42">
        <f>IF($E27=0,0,$I27*VLOOKUP($E27,'Default Values'!$B$5:$I$20,8,0))</f>
        <v>0</v>
      </c>
      <c r="L27" s="40">
        <f>IF($E27=0,0,VLOOKUP($E27,'Default Values'!$B$5:$G$20,3,0))</f>
        <v>0</v>
      </c>
      <c r="M27" s="40">
        <f>IF($E27=0,0,VLOOKUP($E27,'Default Values'!$B$5:$G$20,4,0))</f>
        <v>0</v>
      </c>
      <c r="N27" s="40">
        <f>IF($E27=0,0,VLOOKUP($E27,'Default Values'!$B$5:$G$20,5,0))</f>
        <v>0</v>
      </c>
      <c r="O27" s="40">
        <f>IF($E27=0,0,VLOOKUP($E27,'Default Values'!$B$5:$G$20,6,0))</f>
        <v>0</v>
      </c>
      <c r="P27" s="41">
        <f>((H27*L27)+(I27*M27*J27)+(K27*N27*(1-O27)))*Conversions!$C$4</f>
        <v>0</v>
      </c>
      <c r="Q27" s="41">
        <f>'Emissions Database'!K136</f>
        <v>0</v>
      </c>
      <c r="R27" s="41" t="str">
        <f>IF(E27=0,"",IF(OR(G27=0,G27="I Don't Know"),VLOOKUP(E27,'Default Values'!$B$5:$J$20,9,0),G27))</f>
        <v/>
      </c>
      <c r="S27" s="115">
        <f>'Emissions Database'!BS136</f>
        <v>0</v>
      </c>
      <c r="T27" s="183"/>
      <c r="U27" s="183"/>
      <c r="V27" s="183"/>
      <c r="W27" s="183"/>
      <c r="X27" s="183"/>
      <c r="Y27" s="183"/>
      <c r="Z27" s="183"/>
      <c r="AA27" s="183"/>
      <c r="AB27" s="183"/>
      <c r="AC27" s="183"/>
      <c r="AD27" s="183"/>
      <c r="AE27" s="183"/>
      <c r="AF27" s="183"/>
      <c r="AG27" s="183"/>
      <c r="AH27" s="183"/>
      <c r="AI27" s="183"/>
    </row>
    <row r="28" spans="2:35" x14ac:dyDescent="0.3">
      <c r="B28" s="114" t="str">
        <f t="shared" si="0"/>
        <v/>
      </c>
      <c r="C28" s="187"/>
      <c r="D28" s="376"/>
      <c r="E28" s="187"/>
      <c r="F28" s="191"/>
      <c r="G28" s="193"/>
      <c r="H28" s="42">
        <f>IF($E28=0,0,$I28*VLOOKUP($E28,'Default Values'!$B$5:$I$20,8,0))</f>
        <v>0</v>
      </c>
      <c r="I28" s="42">
        <f>IF($E28=0,0,VLOOKUP($E28,'Default Values'!$B$5:$G$20,2,0)*Conversions!$C$5*F28)</f>
        <v>0</v>
      </c>
      <c r="J28" s="39">
        <v>1</v>
      </c>
      <c r="K28" s="42">
        <f>IF($E28=0,0,$I28*VLOOKUP($E28,'Default Values'!$B$5:$I$20,8,0))</f>
        <v>0</v>
      </c>
      <c r="L28" s="40">
        <f>IF($E28=0,0,VLOOKUP($E28,'Default Values'!$B$5:$G$20,3,0))</f>
        <v>0</v>
      </c>
      <c r="M28" s="40">
        <f>IF($E28=0,0,VLOOKUP($E28,'Default Values'!$B$5:$G$20,4,0))</f>
        <v>0</v>
      </c>
      <c r="N28" s="40">
        <f>IF($E28=0,0,VLOOKUP($E28,'Default Values'!$B$5:$G$20,5,0))</f>
        <v>0</v>
      </c>
      <c r="O28" s="40">
        <f>IF($E28=0,0,VLOOKUP($E28,'Default Values'!$B$5:$G$20,6,0))</f>
        <v>0</v>
      </c>
      <c r="P28" s="41">
        <f>((H28*L28)+(I28*M28*J28)+(K28*N28*(1-O28)))*Conversions!$C$4</f>
        <v>0</v>
      </c>
      <c r="Q28" s="41">
        <f>'Emissions Database'!K137</f>
        <v>0</v>
      </c>
      <c r="R28" s="41" t="str">
        <f>IF(E28=0,"",IF(OR(G28=0,G28="I Don't Know"),VLOOKUP(E28,'Default Values'!$B$5:$J$20,9,0),G28))</f>
        <v/>
      </c>
      <c r="S28" s="115">
        <f>'Emissions Database'!BS137</f>
        <v>0</v>
      </c>
      <c r="T28" s="183"/>
      <c r="U28" s="183"/>
      <c r="V28" s="183"/>
      <c r="W28" s="183"/>
      <c r="X28" s="183"/>
      <c r="Y28" s="183"/>
      <c r="Z28" s="183"/>
      <c r="AA28" s="183"/>
      <c r="AB28" s="183"/>
      <c r="AC28" s="183"/>
      <c r="AD28" s="183"/>
      <c r="AE28" s="183"/>
      <c r="AF28" s="183"/>
      <c r="AG28" s="183"/>
      <c r="AH28" s="183"/>
      <c r="AI28" s="183"/>
    </row>
    <row r="29" spans="2:35" x14ac:dyDescent="0.3">
      <c r="B29" s="114" t="str">
        <f t="shared" si="0"/>
        <v/>
      </c>
      <c r="C29" s="187"/>
      <c r="D29" s="376"/>
      <c r="E29" s="187"/>
      <c r="F29" s="191"/>
      <c r="G29" s="193"/>
      <c r="H29" s="42">
        <f>IF($E29=0,0,$I29*VLOOKUP($E29,'Default Values'!$B$5:$I$20,8,0))</f>
        <v>0</v>
      </c>
      <c r="I29" s="42">
        <f>IF($E29=0,0,VLOOKUP($E29,'Default Values'!$B$5:$G$20,2,0)*Conversions!$C$5*F29)</f>
        <v>0</v>
      </c>
      <c r="J29" s="39">
        <v>1</v>
      </c>
      <c r="K29" s="42">
        <f>IF($E29=0,0,$I29*VLOOKUP($E29,'Default Values'!$B$5:$I$20,8,0))</f>
        <v>0</v>
      </c>
      <c r="L29" s="40">
        <f>IF($E29=0,0,VLOOKUP($E29,'Default Values'!$B$5:$G$20,3,0))</f>
        <v>0</v>
      </c>
      <c r="M29" s="40">
        <f>IF($E29=0,0,VLOOKUP($E29,'Default Values'!$B$5:$G$20,4,0))</f>
        <v>0</v>
      </c>
      <c r="N29" s="40">
        <f>IF($E29=0,0,VLOOKUP($E29,'Default Values'!$B$5:$G$20,5,0))</f>
        <v>0</v>
      </c>
      <c r="O29" s="40">
        <f>IF($E29=0,0,VLOOKUP($E29,'Default Values'!$B$5:$G$20,6,0))</f>
        <v>0</v>
      </c>
      <c r="P29" s="41">
        <f>((H29*L29)+(I29*M29*J29)+(K29*N29*(1-O29)))*Conversions!$C$4</f>
        <v>0</v>
      </c>
      <c r="Q29" s="41">
        <f>'Emissions Database'!K138</f>
        <v>0</v>
      </c>
      <c r="R29" s="41" t="str">
        <f>IF(E29=0,"",IF(OR(G29=0,G29="I Don't Know"),VLOOKUP(E29,'Default Values'!$B$5:$J$20,9,0),G29))</f>
        <v/>
      </c>
      <c r="S29" s="115">
        <f>'Emissions Database'!BS138</f>
        <v>0</v>
      </c>
      <c r="T29" s="183"/>
      <c r="U29" s="183"/>
      <c r="V29" s="183"/>
      <c r="W29" s="183"/>
      <c r="X29" s="183"/>
      <c r="Y29" s="183"/>
      <c r="Z29" s="183"/>
      <c r="AA29" s="183"/>
      <c r="AB29" s="183"/>
      <c r="AC29" s="183"/>
      <c r="AD29" s="183"/>
      <c r="AE29" s="183"/>
      <c r="AF29" s="183"/>
      <c r="AG29" s="183"/>
      <c r="AH29" s="183"/>
      <c r="AI29" s="183"/>
    </row>
    <row r="30" spans="2:35" x14ac:dyDescent="0.3">
      <c r="B30" s="114" t="str">
        <f t="shared" si="0"/>
        <v/>
      </c>
      <c r="C30" s="187"/>
      <c r="D30" s="376"/>
      <c r="E30" s="187"/>
      <c r="F30" s="191"/>
      <c r="G30" s="193"/>
      <c r="H30" s="42">
        <f>IF($E30=0,0,$I30*VLOOKUP($E30,'Default Values'!$B$5:$I$20,8,0))</f>
        <v>0</v>
      </c>
      <c r="I30" s="42">
        <f>IF($E30=0,0,VLOOKUP($E30,'Default Values'!$B$5:$G$20,2,0)*Conversions!$C$5*F30)</f>
        <v>0</v>
      </c>
      <c r="J30" s="39">
        <v>1</v>
      </c>
      <c r="K30" s="42">
        <f>IF($E30=0,0,$I30*VLOOKUP($E30,'Default Values'!$B$5:$I$20,8,0))</f>
        <v>0</v>
      </c>
      <c r="L30" s="40">
        <f>IF($E30=0,0,VLOOKUP($E30,'Default Values'!$B$5:$G$20,3,0))</f>
        <v>0</v>
      </c>
      <c r="M30" s="40">
        <f>IF($E30=0,0,VLOOKUP($E30,'Default Values'!$B$5:$G$20,4,0))</f>
        <v>0</v>
      </c>
      <c r="N30" s="40">
        <f>IF($E30=0,0,VLOOKUP($E30,'Default Values'!$B$5:$G$20,5,0))</f>
        <v>0</v>
      </c>
      <c r="O30" s="40">
        <f>IF($E30=0,0,VLOOKUP($E30,'Default Values'!$B$5:$G$20,6,0))</f>
        <v>0</v>
      </c>
      <c r="P30" s="41">
        <f>((H30*L30)+(I30*M30*J30)+(K30*N30*(1-O30)))*Conversions!$C$4</f>
        <v>0</v>
      </c>
      <c r="Q30" s="41">
        <f>'Emissions Database'!K139</f>
        <v>0</v>
      </c>
      <c r="R30" s="41" t="str">
        <f>IF(E30=0,"",IF(OR(G30=0,G30="I Don't Know"),VLOOKUP(E30,'Default Values'!$B$5:$J$20,9,0),G30))</f>
        <v/>
      </c>
      <c r="S30" s="115">
        <f>'Emissions Database'!BS139</f>
        <v>0</v>
      </c>
      <c r="T30" s="183"/>
      <c r="U30" s="183"/>
      <c r="V30" s="183"/>
      <c r="W30" s="183"/>
      <c r="X30" s="183"/>
      <c r="Y30" s="183"/>
      <c r="Z30" s="183"/>
      <c r="AA30" s="183"/>
      <c r="AB30" s="183"/>
      <c r="AC30" s="183"/>
      <c r="AD30" s="183"/>
      <c r="AE30" s="183"/>
      <c r="AF30" s="183"/>
      <c r="AG30" s="183"/>
      <c r="AH30" s="183"/>
      <c r="AI30" s="183"/>
    </row>
    <row r="31" spans="2:35" x14ac:dyDescent="0.3">
      <c r="B31" s="114" t="str">
        <f t="shared" si="0"/>
        <v/>
      </c>
      <c r="C31" s="187"/>
      <c r="D31" s="376"/>
      <c r="E31" s="187"/>
      <c r="F31" s="191"/>
      <c r="G31" s="193"/>
      <c r="H31" s="42">
        <f>IF($E31=0,0,$I31*VLOOKUP($E31,'Default Values'!$B$5:$I$20,8,0))</f>
        <v>0</v>
      </c>
      <c r="I31" s="42">
        <f>IF($E31=0,0,VLOOKUP($E31,'Default Values'!$B$5:$G$20,2,0)*Conversions!$C$5*F31)</f>
        <v>0</v>
      </c>
      <c r="J31" s="39">
        <v>1</v>
      </c>
      <c r="K31" s="42">
        <f>IF($E31=0,0,$I31*VLOOKUP($E31,'Default Values'!$B$5:$I$20,8,0))</f>
        <v>0</v>
      </c>
      <c r="L31" s="40">
        <f>IF($E31=0,0,VLOOKUP($E31,'Default Values'!$B$5:$G$20,3,0))</f>
        <v>0</v>
      </c>
      <c r="M31" s="40">
        <f>IF($E31=0,0,VLOOKUP($E31,'Default Values'!$B$5:$G$20,4,0))</f>
        <v>0</v>
      </c>
      <c r="N31" s="40">
        <f>IF($E31=0,0,VLOOKUP($E31,'Default Values'!$B$5:$G$20,5,0))</f>
        <v>0</v>
      </c>
      <c r="O31" s="40">
        <f>IF($E31=0,0,VLOOKUP($E31,'Default Values'!$B$5:$G$20,6,0))</f>
        <v>0</v>
      </c>
      <c r="P31" s="41">
        <f>((H31*L31)+(I31*M31*J31)+(K31*N31*(1-O31)))*Conversions!$C$4</f>
        <v>0</v>
      </c>
      <c r="Q31" s="41">
        <f>'Emissions Database'!K140</f>
        <v>0</v>
      </c>
      <c r="R31" s="41" t="str">
        <f>IF(E31=0,"",IF(OR(G31=0,G31="I Don't Know"),VLOOKUP(E31,'Default Values'!$B$5:$J$20,9,0),G31))</f>
        <v/>
      </c>
      <c r="S31" s="115">
        <f>'Emissions Database'!BS140</f>
        <v>0</v>
      </c>
      <c r="T31" s="183"/>
      <c r="U31" s="183"/>
      <c r="V31" s="183"/>
      <c r="W31" s="183"/>
      <c r="X31" s="183"/>
      <c r="Y31" s="183"/>
      <c r="Z31" s="183"/>
      <c r="AA31" s="183"/>
      <c r="AB31" s="183"/>
      <c r="AC31" s="183"/>
      <c r="AD31" s="183"/>
      <c r="AE31" s="183"/>
      <c r="AF31" s="183"/>
      <c r="AG31" s="183"/>
      <c r="AH31" s="183"/>
      <c r="AI31" s="183"/>
    </row>
    <row r="32" spans="2:35" x14ac:dyDescent="0.3">
      <c r="B32" s="114" t="str">
        <f t="shared" si="0"/>
        <v/>
      </c>
      <c r="C32" s="187"/>
      <c r="D32" s="376"/>
      <c r="E32" s="187"/>
      <c r="F32" s="191"/>
      <c r="G32" s="193"/>
      <c r="H32" s="42">
        <f>IF($E32=0,0,$I32*VLOOKUP($E32,'Default Values'!$B$5:$I$20,8,0))</f>
        <v>0</v>
      </c>
      <c r="I32" s="42">
        <f>IF($E32=0,0,VLOOKUP($E32,'Default Values'!$B$5:$G$20,2,0)*Conversions!$C$5*F32)</f>
        <v>0</v>
      </c>
      <c r="J32" s="39">
        <v>1</v>
      </c>
      <c r="K32" s="42">
        <f>IF($E32=0,0,$I32*VLOOKUP($E32,'Default Values'!$B$5:$I$20,8,0))</f>
        <v>0</v>
      </c>
      <c r="L32" s="40">
        <f>IF($E32=0,0,VLOOKUP($E32,'Default Values'!$B$5:$G$20,3,0))</f>
        <v>0</v>
      </c>
      <c r="M32" s="40">
        <f>IF($E32=0,0,VLOOKUP($E32,'Default Values'!$B$5:$G$20,4,0))</f>
        <v>0</v>
      </c>
      <c r="N32" s="40">
        <f>IF($E32=0,0,VLOOKUP($E32,'Default Values'!$B$5:$G$20,5,0))</f>
        <v>0</v>
      </c>
      <c r="O32" s="40">
        <f>IF($E32=0,0,VLOOKUP($E32,'Default Values'!$B$5:$G$20,6,0))</f>
        <v>0</v>
      </c>
      <c r="P32" s="41">
        <f>((H32*L32)+(I32*M32*J32)+(K32*N32*(1-O32)))*Conversions!$C$4</f>
        <v>0</v>
      </c>
      <c r="Q32" s="41">
        <f>'Emissions Database'!K141</f>
        <v>0</v>
      </c>
      <c r="R32" s="41" t="str">
        <f>IF(E32=0,"",IF(OR(G32=0,G32="I Don't Know"),VLOOKUP(E32,'Default Values'!$B$5:$J$20,9,0),G32))</f>
        <v/>
      </c>
      <c r="S32" s="115">
        <f>'Emissions Database'!BS141</f>
        <v>0</v>
      </c>
      <c r="T32" s="183"/>
      <c r="U32" s="183"/>
      <c r="V32" s="183"/>
      <c r="W32" s="183"/>
      <c r="X32" s="183"/>
      <c r="Y32" s="183"/>
      <c r="Z32" s="183"/>
      <c r="AA32" s="183"/>
      <c r="AB32" s="183"/>
      <c r="AC32" s="183"/>
      <c r="AD32" s="183"/>
      <c r="AE32" s="183"/>
      <c r="AF32" s="183"/>
      <c r="AG32" s="183"/>
      <c r="AH32" s="183"/>
      <c r="AI32" s="183"/>
    </row>
    <row r="33" spans="2:35" x14ac:dyDescent="0.3">
      <c r="B33" s="114" t="str">
        <f t="shared" si="0"/>
        <v/>
      </c>
      <c r="C33" s="187"/>
      <c r="D33" s="376"/>
      <c r="E33" s="187"/>
      <c r="F33" s="191"/>
      <c r="G33" s="193"/>
      <c r="H33" s="42">
        <f>IF($E33=0,0,$I33*VLOOKUP($E33,'Default Values'!$B$5:$I$20,8,0))</f>
        <v>0</v>
      </c>
      <c r="I33" s="42">
        <f>IF($E33=0,0,VLOOKUP($E33,'Default Values'!$B$5:$G$20,2,0)*Conversions!$C$5*F33)</f>
        <v>0</v>
      </c>
      <c r="J33" s="39">
        <v>1</v>
      </c>
      <c r="K33" s="42">
        <f>IF($E33=0,0,$I33*VLOOKUP($E33,'Default Values'!$B$5:$I$20,8,0))</f>
        <v>0</v>
      </c>
      <c r="L33" s="40">
        <f>IF($E33=0,0,VLOOKUP($E33,'Default Values'!$B$5:$G$20,3,0))</f>
        <v>0</v>
      </c>
      <c r="M33" s="40">
        <f>IF($E33=0,0,VLOOKUP($E33,'Default Values'!$B$5:$G$20,4,0))</f>
        <v>0</v>
      </c>
      <c r="N33" s="40">
        <f>IF($E33=0,0,VLOOKUP($E33,'Default Values'!$B$5:$G$20,5,0))</f>
        <v>0</v>
      </c>
      <c r="O33" s="40">
        <f>IF($E33=0,0,VLOOKUP($E33,'Default Values'!$B$5:$G$20,6,0))</f>
        <v>0</v>
      </c>
      <c r="P33" s="41">
        <f>((H33*L33)+(I33*M33*J33)+(K33*N33*(1-O33)))*Conversions!$C$4</f>
        <v>0</v>
      </c>
      <c r="Q33" s="41">
        <f>'Emissions Database'!K142</f>
        <v>0</v>
      </c>
      <c r="R33" s="41" t="str">
        <f>IF(E33=0,"",IF(OR(G33=0,G33="I Don't Know"),VLOOKUP(E33,'Default Values'!$B$5:$J$20,9,0),G33))</f>
        <v/>
      </c>
      <c r="S33" s="115">
        <f>'Emissions Database'!BS142</f>
        <v>0</v>
      </c>
      <c r="T33" s="183"/>
      <c r="U33" s="183"/>
      <c r="V33" s="183"/>
      <c r="W33" s="183"/>
      <c r="X33" s="183"/>
      <c r="Y33" s="183"/>
      <c r="Z33" s="183"/>
      <c r="AA33" s="183"/>
      <c r="AB33" s="183"/>
      <c r="AC33" s="183"/>
      <c r="AD33" s="183"/>
      <c r="AE33" s="183"/>
      <c r="AF33" s="183"/>
      <c r="AG33" s="183"/>
      <c r="AH33" s="183"/>
      <c r="AI33" s="183"/>
    </row>
    <row r="34" spans="2:35" x14ac:dyDescent="0.3">
      <c r="B34" s="114" t="str">
        <f t="shared" si="0"/>
        <v/>
      </c>
      <c r="C34" s="187"/>
      <c r="D34" s="376"/>
      <c r="E34" s="187"/>
      <c r="F34" s="191"/>
      <c r="G34" s="193"/>
      <c r="H34" s="42">
        <f>IF($E34=0,0,$I34*VLOOKUP($E34,'Default Values'!$B$5:$I$20,8,0))</f>
        <v>0</v>
      </c>
      <c r="I34" s="42">
        <f>IF($E34=0,0,VLOOKUP($E34,'Default Values'!$B$5:$G$20,2,0)*Conversions!$C$5*F34)</f>
        <v>0</v>
      </c>
      <c r="J34" s="39">
        <v>1</v>
      </c>
      <c r="K34" s="42">
        <f>IF($E34=0,0,$I34*VLOOKUP($E34,'Default Values'!$B$5:$I$20,8,0))</f>
        <v>0</v>
      </c>
      <c r="L34" s="40">
        <f>IF($E34=0,0,VLOOKUP($E34,'Default Values'!$B$5:$G$20,3,0))</f>
        <v>0</v>
      </c>
      <c r="M34" s="40">
        <f>IF($E34=0,0,VLOOKUP($E34,'Default Values'!$B$5:$G$20,4,0))</f>
        <v>0</v>
      </c>
      <c r="N34" s="40">
        <f>IF($E34=0,0,VLOOKUP($E34,'Default Values'!$B$5:$G$20,5,0))</f>
        <v>0</v>
      </c>
      <c r="O34" s="40">
        <f>IF($E34=0,0,VLOOKUP($E34,'Default Values'!$B$5:$G$20,6,0))</f>
        <v>0</v>
      </c>
      <c r="P34" s="41">
        <f>((H34*L34)+(I34*M34*J34)+(K34*N34*(1-O34)))*Conversions!$C$4</f>
        <v>0</v>
      </c>
      <c r="Q34" s="41">
        <f>'Emissions Database'!K143</f>
        <v>0</v>
      </c>
      <c r="R34" s="41" t="str">
        <f>IF(E34=0,"",IF(OR(G34=0,G34="I Don't Know"),VLOOKUP(E34,'Default Values'!$B$5:$J$20,9,0),G34))</f>
        <v/>
      </c>
      <c r="S34" s="115">
        <f>'Emissions Database'!BS143</f>
        <v>0</v>
      </c>
      <c r="T34" s="183"/>
      <c r="U34" s="183"/>
      <c r="V34" s="183"/>
      <c r="W34" s="183"/>
      <c r="X34" s="183"/>
      <c r="Y34" s="183"/>
      <c r="Z34" s="183"/>
      <c r="AA34" s="183"/>
      <c r="AB34" s="183"/>
      <c r="AC34" s="183"/>
      <c r="AD34" s="183"/>
      <c r="AE34" s="183"/>
      <c r="AF34" s="183"/>
      <c r="AG34" s="183"/>
      <c r="AH34" s="183"/>
      <c r="AI34" s="183"/>
    </row>
    <row r="35" spans="2:35" x14ac:dyDescent="0.3">
      <c r="B35" s="114" t="str">
        <f t="shared" si="0"/>
        <v/>
      </c>
      <c r="C35" s="187"/>
      <c r="D35" s="376"/>
      <c r="E35" s="187"/>
      <c r="F35" s="191"/>
      <c r="G35" s="193"/>
      <c r="H35" s="42">
        <f>IF($E35=0,0,$I35*VLOOKUP($E35,'Default Values'!$B$5:$I$20,8,0))</f>
        <v>0</v>
      </c>
      <c r="I35" s="42">
        <f>IF($E35=0,0,VLOOKUP($E35,'Default Values'!$B$5:$G$20,2,0)*Conversions!$C$5*F35)</f>
        <v>0</v>
      </c>
      <c r="J35" s="39">
        <v>1</v>
      </c>
      <c r="K35" s="42">
        <f>IF($E35=0,0,$I35*VLOOKUP($E35,'Default Values'!$B$5:$I$20,8,0))</f>
        <v>0</v>
      </c>
      <c r="L35" s="40">
        <f>IF($E35=0,0,VLOOKUP($E35,'Default Values'!$B$5:$G$20,3,0))</f>
        <v>0</v>
      </c>
      <c r="M35" s="40">
        <f>IF($E35=0,0,VLOOKUP($E35,'Default Values'!$B$5:$G$20,4,0))</f>
        <v>0</v>
      </c>
      <c r="N35" s="40">
        <f>IF($E35=0,0,VLOOKUP($E35,'Default Values'!$B$5:$G$20,5,0))</f>
        <v>0</v>
      </c>
      <c r="O35" s="40">
        <f>IF($E35=0,0,VLOOKUP($E35,'Default Values'!$B$5:$G$20,6,0))</f>
        <v>0</v>
      </c>
      <c r="P35" s="41">
        <f>((H35*L35)+(I35*M35*J35)+(K35*N35*(1-O35)))*Conversions!$C$4</f>
        <v>0</v>
      </c>
      <c r="Q35" s="41">
        <f>'Emissions Database'!K144</f>
        <v>0</v>
      </c>
      <c r="R35" s="41" t="str">
        <f>IF(E35=0,"",IF(OR(G35=0,G35="I Don't Know"),VLOOKUP(E35,'Default Values'!$B$5:$J$20,9,0),G35))</f>
        <v/>
      </c>
      <c r="S35" s="115">
        <f>'Emissions Database'!BS144</f>
        <v>0</v>
      </c>
      <c r="T35" s="183"/>
      <c r="U35" s="183"/>
      <c r="V35" s="183"/>
      <c r="W35" s="183"/>
      <c r="X35" s="183"/>
      <c r="Y35" s="183"/>
      <c r="Z35" s="183"/>
      <c r="AA35" s="183"/>
      <c r="AB35" s="183"/>
      <c r="AC35" s="183"/>
      <c r="AD35" s="183"/>
      <c r="AE35" s="183"/>
      <c r="AF35" s="183"/>
      <c r="AG35" s="183"/>
      <c r="AH35" s="183"/>
      <c r="AI35" s="183"/>
    </row>
    <row r="36" spans="2:35" x14ac:dyDescent="0.3">
      <c r="B36" s="114" t="str">
        <f t="shared" si="0"/>
        <v/>
      </c>
      <c r="C36" s="187"/>
      <c r="D36" s="376"/>
      <c r="E36" s="187"/>
      <c r="F36" s="191"/>
      <c r="G36" s="193"/>
      <c r="H36" s="42">
        <f>IF($E36=0,0,$I36*VLOOKUP($E36,'Default Values'!$B$5:$I$20,8,0))</f>
        <v>0</v>
      </c>
      <c r="I36" s="42">
        <f>IF($E36=0,0,VLOOKUP($E36,'Default Values'!$B$5:$G$20,2,0)*Conversions!$C$5*F36)</f>
        <v>0</v>
      </c>
      <c r="J36" s="39">
        <v>1</v>
      </c>
      <c r="K36" s="42">
        <f>IF($E36=0,0,$I36*VLOOKUP($E36,'Default Values'!$B$5:$I$20,8,0))</f>
        <v>0</v>
      </c>
      <c r="L36" s="40">
        <f>IF($E36=0,0,VLOOKUP($E36,'Default Values'!$B$5:$G$20,3,0))</f>
        <v>0</v>
      </c>
      <c r="M36" s="40">
        <f>IF($E36=0,0,VLOOKUP($E36,'Default Values'!$B$5:$G$20,4,0))</f>
        <v>0</v>
      </c>
      <c r="N36" s="40">
        <f>IF($E36=0,0,VLOOKUP($E36,'Default Values'!$B$5:$G$20,5,0))</f>
        <v>0</v>
      </c>
      <c r="O36" s="40">
        <f>IF($E36=0,0,VLOOKUP($E36,'Default Values'!$B$5:$G$20,6,0))</f>
        <v>0</v>
      </c>
      <c r="P36" s="41">
        <f>((H36*L36)+(I36*M36*J36)+(K36*N36*(1-O36)))*Conversions!$C$4</f>
        <v>0</v>
      </c>
      <c r="Q36" s="41">
        <f>'Emissions Database'!K145</f>
        <v>0</v>
      </c>
      <c r="R36" s="41" t="str">
        <f>IF(E36=0,"",IF(OR(G36=0,G36="I Don't Know"),VLOOKUP(E36,'Default Values'!$B$5:$J$20,9,0),G36))</f>
        <v/>
      </c>
      <c r="S36" s="115">
        <f>'Emissions Database'!BS145</f>
        <v>0</v>
      </c>
      <c r="T36" s="183"/>
      <c r="U36" s="183"/>
      <c r="V36" s="183"/>
      <c r="W36" s="183"/>
      <c r="X36" s="183"/>
      <c r="Y36" s="183"/>
      <c r="Z36" s="183"/>
      <c r="AA36" s="183"/>
      <c r="AB36" s="183"/>
      <c r="AC36" s="183"/>
      <c r="AD36" s="183"/>
      <c r="AE36" s="183"/>
      <c r="AF36" s="183"/>
      <c r="AG36" s="183"/>
      <c r="AH36" s="183"/>
      <c r="AI36" s="183"/>
    </row>
    <row r="37" spans="2:35" x14ac:dyDescent="0.3">
      <c r="B37" s="114" t="str">
        <f t="shared" si="0"/>
        <v/>
      </c>
      <c r="C37" s="187"/>
      <c r="D37" s="376"/>
      <c r="E37" s="187"/>
      <c r="F37" s="191"/>
      <c r="G37" s="193"/>
      <c r="H37" s="42">
        <f>IF($E37=0,0,$I37*VLOOKUP($E37,'Default Values'!$B$5:$I$20,8,0))</f>
        <v>0</v>
      </c>
      <c r="I37" s="42">
        <f>IF($E37=0,0,VLOOKUP($E37,'Default Values'!$B$5:$G$20,2,0)*Conversions!$C$5*F37)</f>
        <v>0</v>
      </c>
      <c r="J37" s="39">
        <v>1</v>
      </c>
      <c r="K37" s="42">
        <f>IF($E37=0,0,$I37*VLOOKUP($E37,'Default Values'!$B$5:$I$20,8,0))</f>
        <v>0</v>
      </c>
      <c r="L37" s="40">
        <f>IF($E37=0,0,VLOOKUP($E37,'Default Values'!$B$5:$G$20,3,0))</f>
        <v>0</v>
      </c>
      <c r="M37" s="40">
        <f>IF($E37=0,0,VLOOKUP($E37,'Default Values'!$B$5:$G$20,4,0))</f>
        <v>0</v>
      </c>
      <c r="N37" s="40">
        <f>IF($E37=0,0,VLOOKUP($E37,'Default Values'!$B$5:$G$20,5,0))</f>
        <v>0</v>
      </c>
      <c r="O37" s="40">
        <f>IF($E37=0,0,VLOOKUP($E37,'Default Values'!$B$5:$G$20,6,0))</f>
        <v>0</v>
      </c>
      <c r="P37" s="41">
        <f>((H37*L37)+(I37*M37*J37)+(K37*N37*(1-O37)))*Conversions!$C$4</f>
        <v>0</v>
      </c>
      <c r="Q37" s="41">
        <f>'Emissions Database'!K146</f>
        <v>0</v>
      </c>
      <c r="R37" s="41" t="str">
        <f>IF(E37=0,"",IF(OR(G37=0,G37="I Don't Know"),VLOOKUP(E37,'Default Values'!$B$5:$J$20,9,0),G37))</f>
        <v/>
      </c>
      <c r="S37" s="115">
        <f>'Emissions Database'!BS146</f>
        <v>0</v>
      </c>
      <c r="T37" s="183"/>
      <c r="U37" s="183"/>
      <c r="V37" s="183"/>
      <c r="W37" s="183"/>
      <c r="X37" s="183"/>
      <c r="Y37" s="183"/>
      <c r="Z37" s="183"/>
      <c r="AA37" s="183"/>
      <c r="AB37" s="183"/>
      <c r="AC37" s="183"/>
      <c r="AD37" s="183"/>
      <c r="AE37" s="183"/>
      <c r="AF37" s="183"/>
      <c r="AG37" s="183"/>
      <c r="AH37" s="183"/>
      <c r="AI37" s="183"/>
    </row>
    <row r="38" spans="2:35" x14ac:dyDescent="0.3">
      <c r="B38" s="114" t="str">
        <f t="shared" si="0"/>
        <v/>
      </c>
      <c r="C38" s="187"/>
      <c r="D38" s="376"/>
      <c r="E38" s="187"/>
      <c r="F38" s="191"/>
      <c r="G38" s="193"/>
      <c r="H38" s="42">
        <f>IF($E38=0,0,$I38*VLOOKUP($E38,'Default Values'!$B$5:$I$20,8,0))</f>
        <v>0</v>
      </c>
      <c r="I38" s="42">
        <f>IF($E38=0,0,VLOOKUP($E38,'Default Values'!$B$5:$G$20,2,0)*Conversions!$C$5*F38)</f>
        <v>0</v>
      </c>
      <c r="J38" s="39">
        <v>1</v>
      </c>
      <c r="K38" s="42">
        <f>IF($E38=0,0,$I38*VLOOKUP($E38,'Default Values'!$B$5:$I$20,8,0))</f>
        <v>0</v>
      </c>
      <c r="L38" s="40">
        <f>IF($E38=0,0,VLOOKUP($E38,'Default Values'!$B$5:$G$20,3,0))</f>
        <v>0</v>
      </c>
      <c r="M38" s="40">
        <f>IF($E38=0,0,VLOOKUP($E38,'Default Values'!$B$5:$G$20,4,0))</f>
        <v>0</v>
      </c>
      <c r="N38" s="40">
        <f>IF($E38=0,0,VLOOKUP($E38,'Default Values'!$B$5:$G$20,5,0))</f>
        <v>0</v>
      </c>
      <c r="O38" s="40">
        <f>IF($E38=0,0,VLOOKUP($E38,'Default Values'!$B$5:$G$20,6,0))</f>
        <v>0</v>
      </c>
      <c r="P38" s="41">
        <f>((H38*L38)+(I38*M38*J38)+(K38*N38*(1-O38)))*Conversions!$C$4</f>
        <v>0</v>
      </c>
      <c r="Q38" s="41">
        <f>'Emissions Database'!K147</f>
        <v>0</v>
      </c>
      <c r="R38" s="41" t="str">
        <f>IF(E38=0,"",IF(OR(G38=0,G38="I Don't Know"),VLOOKUP(E38,'Default Values'!$B$5:$J$20,9,0),G38))</f>
        <v/>
      </c>
      <c r="S38" s="115">
        <f>'Emissions Database'!BS147</f>
        <v>0</v>
      </c>
      <c r="T38" s="183"/>
      <c r="U38" s="183"/>
      <c r="V38" s="183"/>
      <c r="W38" s="183"/>
      <c r="X38" s="183"/>
      <c r="Y38" s="183"/>
      <c r="Z38" s="183"/>
      <c r="AA38" s="183"/>
      <c r="AB38" s="183"/>
      <c r="AC38" s="183"/>
      <c r="AD38" s="183"/>
      <c r="AE38" s="183"/>
      <c r="AF38" s="183"/>
      <c r="AG38" s="183"/>
      <c r="AH38" s="183"/>
      <c r="AI38" s="183"/>
    </row>
    <row r="39" spans="2:35" x14ac:dyDescent="0.3">
      <c r="B39" s="114" t="str">
        <f t="shared" si="0"/>
        <v/>
      </c>
      <c r="C39" s="187"/>
      <c r="D39" s="376"/>
      <c r="E39" s="187"/>
      <c r="F39" s="191"/>
      <c r="G39" s="193"/>
      <c r="H39" s="42">
        <f>IF($E39=0,0,$I39*VLOOKUP($E39,'Default Values'!$B$5:$I$20,8,0))</f>
        <v>0</v>
      </c>
      <c r="I39" s="42">
        <f>IF($E39=0,0,VLOOKUP($E39,'Default Values'!$B$5:$G$20,2,0)*Conversions!$C$5*F39)</f>
        <v>0</v>
      </c>
      <c r="J39" s="39">
        <v>1</v>
      </c>
      <c r="K39" s="42">
        <f>IF($E39=0,0,$I39*VLOOKUP($E39,'Default Values'!$B$5:$I$20,8,0))</f>
        <v>0</v>
      </c>
      <c r="L39" s="40">
        <f>IF($E39=0,0,VLOOKUP($E39,'Default Values'!$B$5:$G$20,3,0))</f>
        <v>0</v>
      </c>
      <c r="M39" s="40">
        <f>IF($E39=0,0,VLOOKUP($E39,'Default Values'!$B$5:$G$20,4,0))</f>
        <v>0</v>
      </c>
      <c r="N39" s="40">
        <f>IF($E39=0,0,VLOOKUP($E39,'Default Values'!$B$5:$G$20,5,0))</f>
        <v>0</v>
      </c>
      <c r="O39" s="40">
        <f>IF($E39=0,0,VLOOKUP($E39,'Default Values'!$B$5:$G$20,6,0))</f>
        <v>0</v>
      </c>
      <c r="P39" s="41">
        <f>((H39*L39)+(I39*M39*J39)+(K39*N39*(1-O39)))*Conversions!$C$4</f>
        <v>0</v>
      </c>
      <c r="Q39" s="41">
        <f>'Emissions Database'!K148</f>
        <v>0</v>
      </c>
      <c r="R39" s="41" t="str">
        <f>IF(E39=0,"",IF(OR(G39=0,G39="I Don't Know"),VLOOKUP(E39,'Default Values'!$B$5:$J$20,9,0),G39))</f>
        <v/>
      </c>
      <c r="S39" s="115">
        <f>'Emissions Database'!BS148</f>
        <v>0</v>
      </c>
      <c r="T39" s="183"/>
      <c r="U39" s="183"/>
      <c r="V39" s="183"/>
      <c r="W39" s="183"/>
      <c r="X39" s="183"/>
      <c r="Y39" s="183"/>
      <c r="Z39" s="183"/>
      <c r="AA39" s="183"/>
      <c r="AB39" s="183"/>
      <c r="AC39" s="183"/>
      <c r="AD39" s="183"/>
      <c r="AE39" s="183"/>
      <c r="AF39" s="183"/>
      <c r="AG39" s="183"/>
      <c r="AH39" s="183"/>
      <c r="AI39" s="183"/>
    </row>
    <row r="40" spans="2:35" x14ac:dyDescent="0.3">
      <c r="B40" s="114" t="str">
        <f t="shared" si="0"/>
        <v/>
      </c>
      <c r="C40" s="187"/>
      <c r="D40" s="376"/>
      <c r="E40" s="187"/>
      <c r="F40" s="191"/>
      <c r="G40" s="193"/>
      <c r="H40" s="42">
        <f>IF($E40=0,0,$I40*VLOOKUP($E40,'Default Values'!$B$5:$I$20,8,0))</f>
        <v>0</v>
      </c>
      <c r="I40" s="42">
        <f>IF($E40=0,0,VLOOKUP($E40,'Default Values'!$B$5:$G$20,2,0)*Conversions!$C$5*F40)</f>
        <v>0</v>
      </c>
      <c r="J40" s="39">
        <v>1</v>
      </c>
      <c r="K40" s="42">
        <f>IF($E40=0,0,$I40*VLOOKUP($E40,'Default Values'!$B$5:$I$20,8,0))</f>
        <v>0</v>
      </c>
      <c r="L40" s="40">
        <f>IF($E40=0,0,VLOOKUP($E40,'Default Values'!$B$5:$G$20,3,0))</f>
        <v>0</v>
      </c>
      <c r="M40" s="40">
        <f>IF($E40=0,0,VLOOKUP($E40,'Default Values'!$B$5:$G$20,4,0))</f>
        <v>0</v>
      </c>
      <c r="N40" s="40">
        <f>IF($E40=0,0,VLOOKUP($E40,'Default Values'!$B$5:$G$20,5,0))</f>
        <v>0</v>
      </c>
      <c r="O40" s="40">
        <f>IF($E40=0,0,VLOOKUP($E40,'Default Values'!$B$5:$G$20,6,0))</f>
        <v>0</v>
      </c>
      <c r="P40" s="41">
        <f>((H40*L40)+(I40*M40*J40)+(K40*N40*(1-O40)))*Conversions!$C$4</f>
        <v>0</v>
      </c>
      <c r="Q40" s="41">
        <f>'Emissions Database'!K149</f>
        <v>0</v>
      </c>
      <c r="R40" s="41" t="str">
        <f>IF(E40=0,"",IF(OR(G40=0,G40="I Don't Know"),VLOOKUP(E40,'Default Values'!$B$5:$J$20,9,0),G40))</f>
        <v/>
      </c>
      <c r="S40" s="115">
        <f>'Emissions Database'!BS149</f>
        <v>0</v>
      </c>
      <c r="T40" s="183"/>
      <c r="U40" s="183"/>
      <c r="V40" s="183"/>
      <c r="W40" s="183"/>
      <c r="X40" s="183"/>
      <c r="Y40" s="183"/>
      <c r="Z40" s="183"/>
      <c r="AA40" s="183"/>
      <c r="AB40" s="183"/>
      <c r="AC40" s="183"/>
      <c r="AD40" s="183"/>
      <c r="AE40" s="183"/>
      <c r="AF40" s="183"/>
      <c r="AG40" s="183"/>
      <c r="AH40" s="183"/>
      <c r="AI40" s="183"/>
    </row>
    <row r="41" spans="2:35" x14ac:dyDescent="0.3">
      <c r="B41" s="114" t="str">
        <f t="shared" si="0"/>
        <v/>
      </c>
      <c r="C41" s="187"/>
      <c r="D41" s="376"/>
      <c r="E41" s="187"/>
      <c r="F41" s="191"/>
      <c r="G41" s="193"/>
      <c r="H41" s="42">
        <f>IF($E41=0,0,$I41*VLOOKUP($E41,'Default Values'!$B$5:$I$20,8,0))</f>
        <v>0</v>
      </c>
      <c r="I41" s="42">
        <f>IF($E41=0,0,VLOOKUP($E41,'Default Values'!$B$5:$G$20,2,0)*Conversions!$C$5*F41)</f>
        <v>0</v>
      </c>
      <c r="J41" s="39">
        <v>1</v>
      </c>
      <c r="K41" s="42">
        <f>IF($E41=0,0,$I41*VLOOKUP($E41,'Default Values'!$B$5:$I$20,8,0))</f>
        <v>0</v>
      </c>
      <c r="L41" s="40">
        <f>IF($E41=0,0,VLOOKUP($E41,'Default Values'!$B$5:$G$20,3,0))</f>
        <v>0</v>
      </c>
      <c r="M41" s="40">
        <f>IF($E41=0,0,VLOOKUP($E41,'Default Values'!$B$5:$G$20,4,0))</f>
        <v>0</v>
      </c>
      <c r="N41" s="40">
        <f>IF($E41=0,0,VLOOKUP($E41,'Default Values'!$B$5:$G$20,5,0))</f>
        <v>0</v>
      </c>
      <c r="O41" s="40">
        <f>IF($E41=0,0,VLOOKUP($E41,'Default Values'!$B$5:$G$20,6,0))</f>
        <v>0</v>
      </c>
      <c r="P41" s="41">
        <f>((H41*L41)+(I41*M41*J41)+(K41*N41*(1-O41)))*Conversions!$C$4</f>
        <v>0</v>
      </c>
      <c r="Q41" s="41">
        <f>'Emissions Database'!K150</f>
        <v>0</v>
      </c>
      <c r="R41" s="41" t="str">
        <f>IF(E41=0,"",IF(OR(G41=0,G41="I Don't Know"),VLOOKUP(E41,'Default Values'!$B$5:$J$20,9,0),G41))</f>
        <v/>
      </c>
      <c r="S41" s="115">
        <f>'Emissions Database'!BS150</f>
        <v>0</v>
      </c>
      <c r="T41" s="183"/>
      <c r="U41" s="183"/>
      <c r="V41" s="183"/>
      <c r="W41" s="183"/>
      <c r="X41" s="183"/>
      <c r="Y41" s="183"/>
      <c r="Z41" s="183"/>
      <c r="AA41" s="183"/>
      <c r="AB41" s="183"/>
      <c r="AC41" s="183"/>
      <c r="AD41" s="183"/>
      <c r="AE41" s="183"/>
      <c r="AF41" s="183"/>
      <c r="AG41" s="183"/>
      <c r="AH41" s="183"/>
      <c r="AI41" s="183"/>
    </row>
    <row r="42" spans="2:35" x14ac:dyDescent="0.3">
      <c r="B42" s="114" t="str">
        <f t="shared" si="0"/>
        <v/>
      </c>
      <c r="C42" s="187"/>
      <c r="D42" s="376"/>
      <c r="E42" s="187"/>
      <c r="F42" s="191"/>
      <c r="G42" s="193"/>
      <c r="H42" s="42">
        <f>IF($E42=0,0,$I42*VLOOKUP($E42,'Default Values'!$B$5:$I$20,8,0))</f>
        <v>0</v>
      </c>
      <c r="I42" s="42">
        <f>IF($E42=0,0,VLOOKUP($E42,'Default Values'!$B$5:$G$20,2,0)*Conversions!$C$5*F42)</f>
        <v>0</v>
      </c>
      <c r="J42" s="39">
        <v>1</v>
      </c>
      <c r="K42" s="42">
        <f>IF($E42=0,0,$I42*VLOOKUP($E42,'Default Values'!$B$5:$I$20,8,0))</f>
        <v>0</v>
      </c>
      <c r="L42" s="40">
        <f>IF($E42=0,0,VLOOKUP($E42,'Default Values'!$B$5:$G$20,3,0))</f>
        <v>0</v>
      </c>
      <c r="M42" s="40">
        <f>IF($E42=0,0,VLOOKUP($E42,'Default Values'!$B$5:$G$20,4,0))</f>
        <v>0</v>
      </c>
      <c r="N42" s="40">
        <f>IF($E42=0,0,VLOOKUP($E42,'Default Values'!$B$5:$G$20,5,0))</f>
        <v>0</v>
      </c>
      <c r="O42" s="40">
        <f>IF($E42=0,0,VLOOKUP($E42,'Default Values'!$B$5:$G$20,6,0))</f>
        <v>0</v>
      </c>
      <c r="P42" s="41">
        <f>((H42*L42)+(I42*M42*J42)+(K42*N42*(1-O42)))*Conversions!$C$4</f>
        <v>0</v>
      </c>
      <c r="Q42" s="41">
        <f>'Emissions Database'!K151</f>
        <v>0</v>
      </c>
      <c r="R42" s="41" t="str">
        <f>IF(E42=0,"",IF(OR(G42=0,G42="I Don't Know"),VLOOKUP(E42,'Default Values'!$B$5:$J$20,9,0),G42))</f>
        <v/>
      </c>
      <c r="S42" s="115">
        <f>'Emissions Database'!BS151</f>
        <v>0</v>
      </c>
      <c r="T42" s="183"/>
      <c r="U42" s="183"/>
      <c r="V42" s="183"/>
      <c r="W42" s="183"/>
      <c r="X42" s="183"/>
      <c r="Y42" s="183"/>
      <c r="Z42" s="183"/>
      <c r="AA42" s="183"/>
      <c r="AB42" s="183"/>
      <c r="AC42" s="183"/>
      <c r="AD42" s="183"/>
      <c r="AE42" s="183"/>
      <c r="AF42" s="183"/>
      <c r="AG42" s="183"/>
      <c r="AH42" s="183"/>
      <c r="AI42" s="183"/>
    </row>
    <row r="43" spans="2:35" x14ac:dyDescent="0.3">
      <c r="B43" s="114" t="str">
        <f t="shared" si="0"/>
        <v/>
      </c>
      <c r="C43" s="187"/>
      <c r="D43" s="376"/>
      <c r="E43" s="187"/>
      <c r="F43" s="191"/>
      <c r="G43" s="193"/>
      <c r="H43" s="42">
        <f>IF($E43=0,0,$I43*VLOOKUP($E43,'Default Values'!$B$5:$I$20,8,0))</f>
        <v>0</v>
      </c>
      <c r="I43" s="42">
        <f>IF($E43=0,0,VLOOKUP($E43,'Default Values'!$B$5:$G$20,2,0)*Conversions!$C$5*F43)</f>
        <v>0</v>
      </c>
      <c r="J43" s="39">
        <v>1</v>
      </c>
      <c r="K43" s="42">
        <f>IF($E43=0,0,$I43*VLOOKUP($E43,'Default Values'!$B$5:$I$20,8,0))</f>
        <v>0</v>
      </c>
      <c r="L43" s="40">
        <f>IF($E43=0,0,VLOOKUP($E43,'Default Values'!$B$5:$G$20,3,0))</f>
        <v>0</v>
      </c>
      <c r="M43" s="40">
        <f>IF($E43=0,0,VLOOKUP($E43,'Default Values'!$B$5:$G$20,4,0))</f>
        <v>0</v>
      </c>
      <c r="N43" s="40">
        <f>IF($E43=0,0,VLOOKUP($E43,'Default Values'!$B$5:$G$20,5,0))</f>
        <v>0</v>
      </c>
      <c r="O43" s="40">
        <f>IF($E43=0,0,VLOOKUP($E43,'Default Values'!$B$5:$G$20,6,0))</f>
        <v>0</v>
      </c>
      <c r="P43" s="41">
        <f>((H43*L43)+(I43*M43*J43)+(K43*N43*(1-O43)))*Conversions!$C$4</f>
        <v>0</v>
      </c>
      <c r="Q43" s="41">
        <f>'Emissions Database'!K152</f>
        <v>0</v>
      </c>
      <c r="R43" s="41" t="str">
        <f>IF(E43=0,"",IF(OR(G43=0,G43="I Don't Know"),VLOOKUP(E43,'Default Values'!$B$5:$J$20,9,0),G43))</f>
        <v/>
      </c>
      <c r="S43" s="115">
        <f>'Emissions Database'!BS152</f>
        <v>0</v>
      </c>
      <c r="T43" s="183"/>
      <c r="U43" s="183"/>
      <c r="V43" s="183"/>
      <c r="W43" s="183"/>
      <c r="X43" s="183"/>
      <c r="Y43" s="183"/>
      <c r="Z43" s="183"/>
      <c r="AA43" s="183"/>
      <c r="AB43" s="183"/>
      <c r="AC43" s="183"/>
      <c r="AD43" s="183"/>
      <c r="AE43" s="183"/>
      <c r="AF43" s="183"/>
      <c r="AG43" s="183"/>
      <c r="AH43" s="183"/>
      <c r="AI43" s="183"/>
    </row>
    <row r="44" spans="2:35" x14ac:dyDescent="0.3">
      <c r="B44" s="114" t="str">
        <f t="shared" si="0"/>
        <v/>
      </c>
      <c r="C44" s="187"/>
      <c r="D44" s="376"/>
      <c r="E44" s="187"/>
      <c r="F44" s="191"/>
      <c r="G44" s="193"/>
      <c r="H44" s="42">
        <f>IF($E44=0,0,$I44*VLOOKUP($E44,'Default Values'!$B$5:$I$20,8,0))</f>
        <v>0</v>
      </c>
      <c r="I44" s="42">
        <f>IF($E44=0,0,VLOOKUP($E44,'Default Values'!$B$5:$G$20,2,0)*Conversions!$C$5*F44)</f>
        <v>0</v>
      </c>
      <c r="J44" s="39">
        <v>1</v>
      </c>
      <c r="K44" s="42">
        <f>IF($E44=0,0,$I44*VLOOKUP($E44,'Default Values'!$B$5:$I$20,8,0))</f>
        <v>0</v>
      </c>
      <c r="L44" s="40">
        <f>IF($E44=0,0,VLOOKUP($E44,'Default Values'!$B$5:$G$20,3,0))</f>
        <v>0</v>
      </c>
      <c r="M44" s="40">
        <f>IF($E44=0,0,VLOOKUP($E44,'Default Values'!$B$5:$G$20,4,0))</f>
        <v>0</v>
      </c>
      <c r="N44" s="40">
        <f>IF($E44=0,0,VLOOKUP($E44,'Default Values'!$B$5:$G$20,5,0))</f>
        <v>0</v>
      </c>
      <c r="O44" s="40">
        <f>IF($E44=0,0,VLOOKUP($E44,'Default Values'!$B$5:$G$20,6,0))</f>
        <v>0</v>
      </c>
      <c r="P44" s="41">
        <f>((H44*L44)+(I44*M44*J44)+(K44*N44*(1-O44)))*Conversions!$C$4</f>
        <v>0</v>
      </c>
      <c r="Q44" s="41">
        <f>'Emissions Database'!K153</f>
        <v>0</v>
      </c>
      <c r="R44" s="41" t="str">
        <f>IF(E44=0,"",IF(OR(G44=0,G44="I Don't Know"),VLOOKUP(E44,'Default Values'!$B$5:$J$20,9,0),G44))</f>
        <v/>
      </c>
      <c r="S44" s="115">
        <f>'Emissions Database'!BS153</f>
        <v>0</v>
      </c>
      <c r="T44" s="183"/>
      <c r="U44" s="183"/>
      <c r="V44" s="183"/>
      <c r="W44" s="183"/>
      <c r="X44" s="183"/>
      <c r="Y44" s="183"/>
      <c r="Z44" s="183"/>
      <c r="AA44" s="183"/>
      <c r="AB44" s="183"/>
      <c r="AC44" s="183"/>
      <c r="AD44" s="183"/>
      <c r="AE44" s="183"/>
      <c r="AF44" s="183"/>
      <c r="AG44" s="183"/>
      <c r="AH44" s="183"/>
      <c r="AI44" s="183"/>
    </row>
    <row r="45" spans="2:35" x14ac:dyDescent="0.3">
      <c r="B45" s="114" t="str">
        <f t="shared" si="0"/>
        <v/>
      </c>
      <c r="C45" s="187"/>
      <c r="D45" s="376"/>
      <c r="E45" s="187"/>
      <c r="F45" s="191"/>
      <c r="G45" s="193"/>
      <c r="H45" s="42">
        <f>IF($E45=0,0,$I45*VLOOKUP($E45,'Default Values'!$B$5:$I$20,8,0))</f>
        <v>0</v>
      </c>
      <c r="I45" s="42">
        <f>IF($E45=0,0,VLOOKUP($E45,'Default Values'!$B$5:$G$20,2,0)*Conversions!$C$5*F45)</f>
        <v>0</v>
      </c>
      <c r="J45" s="39">
        <v>1</v>
      </c>
      <c r="K45" s="42">
        <f>IF($E45=0,0,$I45*VLOOKUP($E45,'Default Values'!$B$5:$I$20,8,0))</f>
        <v>0</v>
      </c>
      <c r="L45" s="40">
        <f>IF($E45=0,0,VLOOKUP($E45,'Default Values'!$B$5:$G$20,3,0))</f>
        <v>0</v>
      </c>
      <c r="M45" s="40">
        <f>IF($E45=0,0,VLOOKUP($E45,'Default Values'!$B$5:$G$20,4,0))</f>
        <v>0</v>
      </c>
      <c r="N45" s="40">
        <f>IF($E45=0,0,VLOOKUP($E45,'Default Values'!$B$5:$G$20,5,0))</f>
        <v>0</v>
      </c>
      <c r="O45" s="40">
        <f>IF($E45=0,0,VLOOKUP($E45,'Default Values'!$B$5:$G$20,6,0))</f>
        <v>0</v>
      </c>
      <c r="P45" s="41">
        <f>((H45*L45)+(I45*M45*J45)+(K45*N45*(1-O45)))*Conversions!$C$4</f>
        <v>0</v>
      </c>
      <c r="Q45" s="41">
        <f>'Emissions Database'!K154</f>
        <v>0</v>
      </c>
      <c r="R45" s="41" t="str">
        <f>IF(E45=0,"",IF(OR(G45=0,G45="I Don't Know"),VLOOKUP(E45,'Default Values'!$B$5:$J$20,9,0),G45))</f>
        <v/>
      </c>
      <c r="S45" s="115">
        <f>'Emissions Database'!BS154</f>
        <v>0</v>
      </c>
      <c r="T45" s="183"/>
      <c r="U45" s="183"/>
      <c r="V45" s="183"/>
      <c r="W45" s="183"/>
      <c r="X45" s="183"/>
      <c r="Y45" s="183"/>
      <c r="Z45" s="183"/>
      <c r="AA45" s="183"/>
      <c r="AB45" s="183"/>
      <c r="AC45" s="183"/>
      <c r="AD45" s="183"/>
      <c r="AE45" s="183"/>
      <c r="AF45" s="183"/>
      <c r="AG45" s="183"/>
      <c r="AH45" s="183"/>
      <c r="AI45" s="183"/>
    </row>
    <row r="46" spans="2:35" x14ac:dyDescent="0.3">
      <c r="B46" s="114" t="str">
        <f t="shared" si="0"/>
        <v/>
      </c>
      <c r="C46" s="187"/>
      <c r="D46" s="376"/>
      <c r="E46" s="187"/>
      <c r="F46" s="191"/>
      <c r="G46" s="193"/>
      <c r="H46" s="42">
        <f>IF($E46=0,0,$I46*VLOOKUP($E46,'Default Values'!$B$5:$I$20,8,0))</f>
        <v>0</v>
      </c>
      <c r="I46" s="42">
        <f>IF($E46=0,0,VLOOKUP($E46,'Default Values'!$B$5:$G$20,2,0)*Conversions!$C$5*F46)</f>
        <v>0</v>
      </c>
      <c r="J46" s="39">
        <v>1</v>
      </c>
      <c r="K46" s="42">
        <f>IF($E46=0,0,$I46*VLOOKUP($E46,'Default Values'!$B$5:$I$20,8,0))</f>
        <v>0</v>
      </c>
      <c r="L46" s="40">
        <f>IF($E46=0,0,VLOOKUP($E46,'Default Values'!$B$5:$G$20,3,0))</f>
        <v>0</v>
      </c>
      <c r="M46" s="40">
        <f>IF($E46=0,0,VLOOKUP($E46,'Default Values'!$B$5:$G$20,4,0))</f>
        <v>0</v>
      </c>
      <c r="N46" s="40">
        <f>IF($E46=0,0,VLOOKUP($E46,'Default Values'!$B$5:$G$20,5,0))</f>
        <v>0</v>
      </c>
      <c r="O46" s="40">
        <f>IF($E46=0,0,VLOOKUP($E46,'Default Values'!$B$5:$G$20,6,0))</f>
        <v>0</v>
      </c>
      <c r="P46" s="41">
        <f>((H46*L46)+(I46*M46*J46)+(K46*N46*(1-O46)))*Conversions!$C$4</f>
        <v>0</v>
      </c>
      <c r="Q46" s="41">
        <f>'Emissions Database'!K155</f>
        <v>0</v>
      </c>
      <c r="R46" s="41" t="str">
        <f>IF(E46=0,"",IF(OR(G46=0,G46="I Don't Know"),VLOOKUP(E46,'Default Values'!$B$5:$J$20,9,0),G46))</f>
        <v/>
      </c>
      <c r="S46" s="115">
        <f>'Emissions Database'!BS155</f>
        <v>0</v>
      </c>
      <c r="T46" s="183"/>
      <c r="U46" s="183"/>
      <c r="V46" s="183"/>
      <c r="W46" s="183"/>
      <c r="X46" s="183"/>
      <c r="Y46" s="183"/>
      <c r="Z46" s="183"/>
      <c r="AA46" s="183"/>
      <c r="AB46" s="183"/>
      <c r="AC46" s="183"/>
      <c r="AD46" s="183"/>
      <c r="AE46" s="183"/>
      <c r="AF46" s="183"/>
      <c r="AG46" s="183"/>
      <c r="AH46" s="183"/>
      <c r="AI46" s="183"/>
    </row>
    <row r="47" spans="2:35" x14ac:dyDescent="0.3">
      <c r="B47" s="114" t="str">
        <f t="shared" si="0"/>
        <v/>
      </c>
      <c r="C47" s="187"/>
      <c r="D47" s="376"/>
      <c r="E47" s="187"/>
      <c r="F47" s="191"/>
      <c r="G47" s="193"/>
      <c r="H47" s="42">
        <f>IF($E47=0,0,$I47*VLOOKUP($E47,'Default Values'!$B$5:$I$20,8,0))</f>
        <v>0</v>
      </c>
      <c r="I47" s="42">
        <f>IF($E47=0,0,VLOOKUP($E47,'Default Values'!$B$5:$G$20,2,0)*Conversions!$C$5*F47)</f>
        <v>0</v>
      </c>
      <c r="J47" s="39">
        <v>1</v>
      </c>
      <c r="K47" s="42">
        <f>IF($E47=0,0,$I47*VLOOKUP($E47,'Default Values'!$B$5:$I$20,8,0))</f>
        <v>0</v>
      </c>
      <c r="L47" s="40">
        <f>IF($E47=0,0,VLOOKUP($E47,'Default Values'!$B$5:$G$20,3,0))</f>
        <v>0</v>
      </c>
      <c r="M47" s="40">
        <f>IF($E47=0,0,VLOOKUP($E47,'Default Values'!$B$5:$G$20,4,0))</f>
        <v>0</v>
      </c>
      <c r="N47" s="40">
        <f>IF($E47=0,0,VLOOKUP($E47,'Default Values'!$B$5:$G$20,5,0))</f>
        <v>0</v>
      </c>
      <c r="O47" s="40">
        <f>IF($E47=0,0,VLOOKUP($E47,'Default Values'!$B$5:$G$20,6,0))</f>
        <v>0</v>
      </c>
      <c r="P47" s="41">
        <f>((H47*L47)+(I47*M47*J47)+(K47*N47*(1-O47)))*Conversions!$C$4</f>
        <v>0</v>
      </c>
      <c r="Q47" s="41">
        <f>'Emissions Database'!K156</f>
        <v>0</v>
      </c>
      <c r="R47" s="41" t="str">
        <f>IF(E47=0,"",IF(OR(G47=0,G47="I Don't Know"),VLOOKUP(E47,'Default Values'!$B$5:$J$20,9,0),G47))</f>
        <v/>
      </c>
      <c r="S47" s="115">
        <f>'Emissions Database'!BS156</f>
        <v>0</v>
      </c>
      <c r="T47" s="183"/>
      <c r="U47" s="183"/>
      <c r="V47" s="183"/>
      <c r="W47" s="183"/>
      <c r="X47" s="183"/>
      <c r="Y47" s="183"/>
      <c r="Z47" s="183"/>
      <c r="AA47" s="183"/>
      <c r="AB47" s="183"/>
      <c r="AC47" s="183"/>
      <c r="AD47" s="183"/>
      <c r="AE47" s="183"/>
      <c r="AF47" s="183"/>
      <c r="AG47" s="183"/>
      <c r="AH47" s="183"/>
      <c r="AI47" s="183"/>
    </row>
    <row r="48" spans="2:35" x14ac:dyDescent="0.3">
      <c r="B48" s="114" t="str">
        <f t="shared" si="0"/>
        <v/>
      </c>
      <c r="C48" s="187"/>
      <c r="D48" s="376"/>
      <c r="E48" s="187"/>
      <c r="F48" s="191"/>
      <c r="G48" s="193"/>
      <c r="H48" s="42">
        <f>IF($E48=0,0,$I48*VLOOKUP($E48,'Default Values'!$B$5:$I$20,8,0))</f>
        <v>0</v>
      </c>
      <c r="I48" s="42">
        <f>IF($E48=0,0,VLOOKUP($E48,'Default Values'!$B$5:$G$20,2,0)*Conversions!$C$5*F48)</f>
        <v>0</v>
      </c>
      <c r="J48" s="39">
        <v>1</v>
      </c>
      <c r="K48" s="42">
        <f>IF($E48=0,0,$I48*VLOOKUP($E48,'Default Values'!$B$5:$I$20,8,0))</f>
        <v>0</v>
      </c>
      <c r="L48" s="40">
        <f>IF($E48=0,0,VLOOKUP($E48,'Default Values'!$B$5:$G$20,3,0))</f>
        <v>0</v>
      </c>
      <c r="M48" s="40">
        <f>IF($E48=0,0,VLOOKUP($E48,'Default Values'!$B$5:$G$20,4,0))</f>
        <v>0</v>
      </c>
      <c r="N48" s="40">
        <f>IF($E48=0,0,VLOOKUP($E48,'Default Values'!$B$5:$G$20,5,0))</f>
        <v>0</v>
      </c>
      <c r="O48" s="40">
        <f>IF($E48=0,0,VLOOKUP($E48,'Default Values'!$B$5:$G$20,6,0))</f>
        <v>0</v>
      </c>
      <c r="P48" s="41">
        <f>((H48*L48)+(I48*M48*J48)+(K48*N48*(1-O48)))*Conversions!$C$4</f>
        <v>0</v>
      </c>
      <c r="Q48" s="41">
        <f>'Emissions Database'!K157</f>
        <v>0</v>
      </c>
      <c r="R48" s="41" t="str">
        <f>IF(E48=0,"",IF(OR(G48=0,G48="I Don't Know"),VLOOKUP(E48,'Default Values'!$B$5:$J$20,9,0),G48))</f>
        <v/>
      </c>
      <c r="S48" s="115">
        <f>'Emissions Database'!BS157</f>
        <v>0</v>
      </c>
      <c r="T48" s="183"/>
      <c r="U48" s="183"/>
      <c r="V48" s="183"/>
      <c r="W48" s="183"/>
      <c r="X48" s="183"/>
      <c r="Y48" s="183"/>
      <c r="Z48" s="183"/>
      <c r="AA48" s="183"/>
      <c r="AB48" s="183"/>
      <c r="AC48" s="183"/>
      <c r="AD48" s="183"/>
      <c r="AE48" s="183"/>
      <c r="AF48" s="183"/>
      <c r="AG48" s="183"/>
      <c r="AH48" s="183"/>
      <c r="AI48" s="183"/>
    </row>
    <row r="49" spans="2:35" x14ac:dyDescent="0.3">
      <c r="B49" s="114" t="str">
        <f t="shared" si="0"/>
        <v/>
      </c>
      <c r="C49" s="187"/>
      <c r="D49" s="376"/>
      <c r="E49" s="187"/>
      <c r="F49" s="191"/>
      <c r="G49" s="193"/>
      <c r="H49" s="42">
        <f>IF($E49=0,0,$I49*VLOOKUP($E49,'Default Values'!$B$5:$I$20,8,0))</f>
        <v>0</v>
      </c>
      <c r="I49" s="42">
        <f>IF($E49=0,0,VLOOKUP($E49,'Default Values'!$B$5:$G$20,2,0)*Conversions!$C$5*F49)</f>
        <v>0</v>
      </c>
      <c r="J49" s="39">
        <v>1</v>
      </c>
      <c r="K49" s="42">
        <f>IF($E49=0,0,$I49*VLOOKUP($E49,'Default Values'!$B$5:$I$20,8,0))</f>
        <v>0</v>
      </c>
      <c r="L49" s="40">
        <f>IF($E49=0,0,VLOOKUP($E49,'Default Values'!$B$5:$G$20,3,0))</f>
        <v>0</v>
      </c>
      <c r="M49" s="40">
        <f>IF($E49=0,0,VLOOKUP($E49,'Default Values'!$B$5:$G$20,4,0))</f>
        <v>0</v>
      </c>
      <c r="N49" s="40">
        <f>IF($E49=0,0,VLOOKUP($E49,'Default Values'!$B$5:$G$20,5,0))</f>
        <v>0</v>
      </c>
      <c r="O49" s="40">
        <f>IF($E49=0,0,VLOOKUP($E49,'Default Values'!$B$5:$G$20,6,0))</f>
        <v>0</v>
      </c>
      <c r="P49" s="41">
        <f>((H49*L49)+(I49*M49*J49)+(K49*N49*(1-O49)))*Conversions!$C$4</f>
        <v>0</v>
      </c>
      <c r="Q49" s="41">
        <f>'Emissions Database'!K158</f>
        <v>0</v>
      </c>
      <c r="R49" s="41" t="str">
        <f>IF(E49=0,"",IF(OR(G49=0,G49="I Don't Know"),VLOOKUP(E49,'Default Values'!$B$5:$J$20,9,0),G49))</f>
        <v/>
      </c>
      <c r="S49" s="115">
        <f>'Emissions Database'!BS158</f>
        <v>0</v>
      </c>
      <c r="T49" s="183"/>
      <c r="U49" s="183"/>
      <c r="V49" s="183"/>
      <c r="W49" s="183"/>
      <c r="X49" s="183"/>
      <c r="Y49" s="183"/>
      <c r="Z49" s="183"/>
      <c r="AA49" s="183"/>
      <c r="AB49" s="183"/>
      <c r="AC49" s="183"/>
      <c r="AD49" s="183"/>
      <c r="AE49" s="183"/>
      <c r="AF49" s="183"/>
      <c r="AG49" s="183"/>
      <c r="AH49" s="183"/>
      <c r="AI49" s="183"/>
    </row>
    <row r="50" spans="2:35" x14ac:dyDescent="0.3">
      <c r="B50" s="114" t="str">
        <f t="shared" si="0"/>
        <v/>
      </c>
      <c r="C50" s="187"/>
      <c r="D50" s="376"/>
      <c r="E50" s="187"/>
      <c r="F50" s="191"/>
      <c r="G50" s="193"/>
      <c r="H50" s="42">
        <f>IF($E50=0,0,$I50*VLOOKUP($E50,'Default Values'!$B$5:$I$20,8,0))</f>
        <v>0</v>
      </c>
      <c r="I50" s="42">
        <f>IF($E50=0,0,VLOOKUP($E50,'Default Values'!$B$5:$G$20,2,0)*Conversions!$C$5*F50)</f>
        <v>0</v>
      </c>
      <c r="J50" s="39">
        <v>1</v>
      </c>
      <c r="K50" s="42">
        <f>IF($E50=0,0,$I50*VLOOKUP($E50,'Default Values'!$B$5:$I$20,8,0))</f>
        <v>0</v>
      </c>
      <c r="L50" s="40">
        <f>IF($E50=0,0,VLOOKUP($E50,'Default Values'!$B$5:$G$20,3,0))</f>
        <v>0</v>
      </c>
      <c r="M50" s="40">
        <f>IF($E50=0,0,VLOOKUP($E50,'Default Values'!$B$5:$G$20,4,0))</f>
        <v>0</v>
      </c>
      <c r="N50" s="40">
        <f>IF($E50=0,0,VLOOKUP($E50,'Default Values'!$B$5:$G$20,5,0))</f>
        <v>0</v>
      </c>
      <c r="O50" s="40">
        <f>IF($E50=0,0,VLOOKUP($E50,'Default Values'!$B$5:$G$20,6,0))</f>
        <v>0</v>
      </c>
      <c r="P50" s="41">
        <f>((H50*L50)+(I50*M50*J50)+(K50*N50*(1-O50)))*Conversions!$C$4</f>
        <v>0</v>
      </c>
      <c r="Q50" s="41">
        <f>'Emissions Database'!K159</f>
        <v>0</v>
      </c>
      <c r="R50" s="41" t="str">
        <f>IF(E50=0,"",IF(OR(G50=0,G50="I Don't Know"),VLOOKUP(E50,'Default Values'!$B$5:$J$20,9,0),G50))</f>
        <v/>
      </c>
      <c r="S50" s="115">
        <f>'Emissions Database'!BS159</f>
        <v>0</v>
      </c>
      <c r="T50" s="183"/>
      <c r="U50" s="183"/>
      <c r="V50" s="183"/>
      <c r="W50" s="183"/>
      <c r="X50" s="183"/>
      <c r="Y50" s="183"/>
      <c r="Z50" s="183"/>
      <c r="AA50" s="183"/>
      <c r="AB50" s="183"/>
      <c r="AC50" s="183"/>
      <c r="AD50" s="183"/>
      <c r="AE50" s="183"/>
      <c r="AF50" s="183"/>
      <c r="AG50" s="183"/>
      <c r="AH50" s="183"/>
      <c r="AI50" s="183"/>
    </row>
    <row r="51" spans="2:35" x14ac:dyDescent="0.3">
      <c r="B51" s="114" t="str">
        <f t="shared" si="0"/>
        <v/>
      </c>
      <c r="C51" s="187"/>
      <c r="D51" s="376"/>
      <c r="E51" s="187"/>
      <c r="F51" s="191"/>
      <c r="G51" s="193"/>
      <c r="H51" s="42">
        <f>IF($E51=0,0,$I51*VLOOKUP($E51,'Default Values'!$B$5:$I$20,8,0))</f>
        <v>0</v>
      </c>
      <c r="I51" s="42">
        <f>IF($E51=0,0,VLOOKUP($E51,'Default Values'!$B$5:$G$20,2,0)*Conversions!$C$5*F51)</f>
        <v>0</v>
      </c>
      <c r="J51" s="39">
        <v>1</v>
      </c>
      <c r="K51" s="42">
        <f>IF($E51=0,0,$I51*VLOOKUP($E51,'Default Values'!$B$5:$I$20,8,0))</f>
        <v>0</v>
      </c>
      <c r="L51" s="40">
        <f>IF($E51=0,0,VLOOKUP($E51,'Default Values'!$B$5:$G$20,3,0))</f>
        <v>0</v>
      </c>
      <c r="M51" s="40">
        <f>IF($E51=0,0,VLOOKUP($E51,'Default Values'!$B$5:$G$20,4,0))</f>
        <v>0</v>
      </c>
      <c r="N51" s="40">
        <f>IF($E51=0,0,VLOOKUP($E51,'Default Values'!$B$5:$G$20,5,0))</f>
        <v>0</v>
      </c>
      <c r="O51" s="40">
        <f>IF($E51=0,0,VLOOKUP($E51,'Default Values'!$B$5:$G$20,6,0))</f>
        <v>0</v>
      </c>
      <c r="P51" s="41">
        <f>((H51*L51)+(I51*M51*J51)+(K51*N51*(1-O51)))*Conversions!$C$4</f>
        <v>0</v>
      </c>
      <c r="Q51" s="41">
        <f>'Emissions Database'!K160</f>
        <v>0</v>
      </c>
      <c r="R51" s="41" t="str">
        <f>IF(E51=0,"",IF(OR(G51=0,G51="I Don't Know"),VLOOKUP(E51,'Default Values'!$B$5:$J$20,9,0),G51))</f>
        <v/>
      </c>
      <c r="S51" s="115">
        <f>'Emissions Database'!BS160</f>
        <v>0</v>
      </c>
      <c r="T51" s="183"/>
      <c r="U51" s="183"/>
      <c r="V51" s="183"/>
      <c r="W51" s="183"/>
      <c r="X51" s="183"/>
      <c r="Y51" s="183"/>
      <c r="Z51" s="183"/>
      <c r="AA51" s="183"/>
      <c r="AB51" s="183"/>
      <c r="AC51" s="183"/>
      <c r="AD51" s="183"/>
      <c r="AE51" s="183"/>
      <c r="AF51" s="183"/>
      <c r="AG51" s="183"/>
      <c r="AH51" s="183"/>
      <c r="AI51" s="183"/>
    </row>
    <row r="52" spans="2:35" x14ac:dyDescent="0.3">
      <c r="B52" s="114" t="str">
        <f t="shared" si="0"/>
        <v/>
      </c>
      <c r="C52" s="187"/>
      <c r="D52" s="376"/>
      <c r="E52" s="187"/>
      <c r="F52" s="191"/>
      <c r="G52" s="193"/>
      <c r="H52" s="42">
        <f>IF($E52=0,0,$I52*VLOOKUP($E52,'Default Values'!$B$5:$I$20,8,0))</f>
        <v>0</v>
      </c>
      <c r="I52" s="42">
        <f>IF($E52=0,0,VLOOKUP($E52,'Default Values'!$B$5:$G$20,2,0)*Conversions!$C$5*F52)</f>
        <v>0</v>
      </c>
      <c r="J52" s="39">
        <v>1</v>
      </c>
      <c r="K52" s="42">
        <f>IF($E52=0,0,$I52*VLOOKUP($E52,'Default Values'!$B$5:$I$20,8,0))</f>
        <v>0</v>
      </c>
      <c r="L52" s="40">
        <f>IF($E52=0,0,VLOOKUP($E52,'Default Values'!$B$5:$G$20,3,0))</f>
        <v>0</v>
      </c>
      <c r="M52" s="40">
        <f>IF($E52=0,0,VLOOKUP($E52,'Default Values'!$B$5:$G$20,4,0))</f>
        <v>0</v>
      </c>
      <c r="N52" s="40">
        <f>IF($E52=0,0,VLOOKUP($E52,'Default Values'!$B$5:$G$20,5,0))</f>
        <v>0</v>
      </c>
      <c r="O52" s="40">
        <f>IF($E52=0,0,VLOOKUP($E52,'Default Values'!$B$5:$G$20,6,0))</f>
        <v>0</v>
      </c>
      <c r="P52" s="41">
        <f>((H52*L52)+(I52*M52*J52)+(K52*N52*(1-O52)))*Conversions!$C$4</f>
        <v>0</v>
      </c>
      <c r="Q52" s="41">
        <f>'Emissions Database'!K161</f>
        <v>0</v>
      </c>
      <c r="R52" s="41" t="str">
        <f>IF(E52=0,"",IF(OR(G52=0,G52="I Don't Know"),VLOOKUP(E52,'Default Values'!$B$5:$J$20,9,0),G52))</f>
        <v/>
      </c>
      <c r="S52" s="115">
        <f>'Emissions Database'!BS161</f>
        <v>0</v>
      </c>
      <c r="T52" s="183"/>
      <c r="U52" s="183"/>
      <c r="V52" s="183"/>
      <c r="W52" s="183"/>
      <c r="X52" s="183"/>
      <c r="Y52" s="183"/>
      <c r="Z52" s="183"/>
      <c r="AA52" s="183"/>
      <c r="AB52" s="183"/>
      <c r="AC52" s="183"/>
      <c r="AD52" s="183"/>
      <c r="AE52" s="183"/>
      <c r="AF52" s="183"/>
      <c r="AG52" s="183"/>
      <c r="AH52" s="183"/>
      <c r="AI52" s="183"/>
    </row>
    <row r="53" spans="2:35" x14ac:dyDescent="0.3">
      <c r="B53" s="114" t="str">
        <f t="shared" si="0"/>
        <v/>
      </c>
      <c r="C53" s="187"/>
      <c r="D53" s="376"/>
      <c r="E53" s="187"/>
      <c r="F53" s="191"/>
      <c r="G53" s="193"/>
      <c r="H53" s="42">
        <f>IF($E53=0,0,$I53*VLOOKUP($E53,'Default Values'!$B$5:$I$20,8,0))</f>
        <v>0</v>
      </c>
      <c r="I53" s="42">
        <f>IF($E53=0,0,VLOOKUP($E53,'Default Values'!$B$5:$G$20,2,0)*Conversions!$C$5*F53)</f>
        <v>0</v>
      </c>
      <c r="J53" s="39">
        <v>1</v>
      </c>
      <c r="K53" s="42">
        <f>IF($E53=0,0,$I53*VLOOKUP($E53,'Default Values'!$B$5:$I$20,8,0))</f>
        <v>0</v>
      </c>
      <c r="L53" s="40">
        <f>IF($E53=0,0,VLOOKUP($E53,'Default Values'!$B$5:$G$20,3,0))</f>
        <v>0</v>
      </c>
      <c r="M53" s="40">
        <f>IF($E53=0,0,VLOOKUP($E53,'Default Values'!$B$5:$G$20,4,0))</f>
        <v>0</v>
      </c>
      <c r="N53" s="40">
        <f>IF($E53=0,0,VLOOKUP($E53,'Default Values'!$B$5:$G$20,5,0))</f>
        <v>0</v>
      </c>
      <c r="O53" s="40">
        <f>IF($E53=0,0,VLOOKUP($E53,'Default Values'!$B$5:$G$20,6,0))</f>
        <v>0</v>
      </c>
      <c r="P53" s="41">
        <f>((H53*L53)+(I53*M53*J53)+(K53*N53*(1-O53)))*Conversions!$C$4</f>
        <v>0</v>
      </c>
      <c r="Q53" s="41">
        <f>'Emissions Database'!K162</f>
        <v>0</v>
      </c>
      <c r="R53" s="41" t="str">
        <f>IF(E53=0,"",IF(OR(G53=0,G53="I Don't Know"),VLOOKUP(E53,'Default Values'!$B$5:$J$20,9,0),G53))</f>
        <v/>
      </c>
      <c r="S53" s="115">
        <f>'Emissions Database'!BS162</f>
        <v>0</v>
      </c>
      <c r="T53" s="183"/>
      <c r="U53" s="183"/>
      <c r="V53" s="183"/>
      <c r="W53" s="183"/>
      <c r="X53" s="183"/>
      <c r="Y53" s="183"/>
      <c r="Z53" s="183"/>
      <c r="AA53" s="183"/>
      <c r="AB53" s="183"/>
      <c r="AC53" s="183"/>
      <c r="AD53" s="183"/>
      <c r="AE53" s="183"/>
      <c r="AF53" s="183"/>
      <c r="AG53" s="183"/>
      <c r="AH53" s="183"/>
      <c r="AI53" s="183"/>
    </row>
    <row r="54" spans="2:35" ht="15" thickBot="1" x14ac:dyDescent="0.35">
      <c r="B54" s="114" t="str">
        <f t="shared" si="0"/>
        <v/>
      </c>
      <c r="C54" s="187"/>
      <c r="D54" s="376"/>
      <c r="E54" s="187"/>
      <c r="F54" s="191"/>
      <c r="G54" s="194"/>
      <c r="H54" s="121">
        <f>IF($E54=0,0,$I54*VLOOKUP($E54,'Default Values'!$B$5:$I$20,8,0))</f>
        <v>0</v>
      </c>
      <c r="I54" s="121">
        <f>IF($E54=0,0,VLOOKUP($E54,'Default Values'!$B$5:$G$20,2,0)*Conversions!$C$5*F54)</f>
        <v>0</v>
      </c>
      <c r="J54" s="122">
        <v>1</v>
      </c>
      <c r="K54" s="121">
        <f>IF($E54=0,0,$I54*VLOOKUP($E54,'Default Values'!$B$5:$I$20,8,0))</f>
        <v>0</v>
      </c>
      <c r="L54" s="123">
        <f>IF($E54=0,0,VLOOKUP($E54,'Default Values'!$B$5:$G$20,3,0))</f>
        <v>0</v>
      </c>
      <c r="M54" s="123">
        <f>IF($E54=0,0,VLOOKUP($E54,'Default Values'!$B$5:$G$20,4,0))</f>
        <v>0</v>
      </c>
      <c r="N54" s="123">
        <f>IF($E54=0,0,VLOOKUP($E54,'Default Values'!$B$5:$G$20,5,0))</f>
        <v>0</v>
      </c>
      <c r="O54" s="123">
        <f>IF($E54=0,0,VLOOKUP($E54,'Default Values'!$B$5:$G$20,6,0))</f>
        <v>0</v>
      </c>
      <c r="P54" s="118">
        <f>((H54*L54)+(I54*M54*J54)+(K54*N54*(1-O54)))*Conversions!$C$4</f>
        <v>0</v>
      </c>
      <c r="Q54" s="118">
        <f>'Emissions Database'!K163</f>
        <v>0</v>
      </c>
      <c r="R54" s="118" t="str">
        <f>IF(E54=0,"",IF(OR(G54=0,G54="I Don't Know"),VLOOKUP(E54,'Default Values'!$B$5:$J$20,9,0),G54))</f>
        <v/>
      </c>
      <c r="S54" s="117">
        <f>'Emissions Database'!BS163</f>
        <v>0</v>
      </c>
      <c r="T54" s="183"/>
      <c r="U54" s="183"/>
      <c r="V54" s="183"/>
      <c r="W54" s="183"/>
      <c r="X54" s="183"/>
      <c r="Y54" s="183"/>
      <c r="Z54" s="183"/>
      <c r="AA54" s="183"/>
      <c r="AB54" s="183"/>
      <c r="AC54" s="183"/>
      <c r="AD54" s="183"/>
      <c r="AE54" s="183"/>
      <c r="AF54" s="183"/>
      <c r="AG54" s="183"/>
      <c r="AH54" s="183"/>
      <c r="AI54" s="183"/>
    </row>
    <row r="55" spans="2:35" ht="15" thickBot="1" x14ac:dyDescent="0.35">
      <c r="B55" s="119"/>
      <c r="C55" s="108" t="s">
        <v>322</v>
      </c>
      <c r="D55" s="109"/>
      <c r="E55" s="109"/>
      <c r="F55" s="109"/>
      <c r="G55" s="109"/>
      <c r="H55" s="124"/>
      <c r="I55" s="124"/>
      <c r="J55" s="125"/>
      <c r="K55" s="124"/>
      <c r="L55" s="126"/>
      <c r="M55" s="126"/>
      <c r="N55" s="126"/>
      <c r="O55" s="126"/>
      <c r="P55" s="127">
        <f>SUM(P15:P54)</f>
        <v>0</v>
      </c>
      <c r="Q55" s="127">
        <f>SUM(Q15:Q54)</f>
        <v>0</v>
      </c>
      <c r="R55" s="127"/>
      <c r="S55" s="128">
        <f>SUM(S15:S54)</f>
        <v>0</v>
      </c>
      <c r="T55" s="183"/>
      <c r="U55" s="183"/>
      <c r="V55" s="183"/>
      <c r="W55" s="183"/>
      <c r="X55" s="183"/>
      <c r="Y55" s="183"/>
      <c r="Z55" s="183"/>
      <c r="AA55" s="183"/>
      <c r="AB55" s="183"/>
      <c r="AC55" s="183"/>
      <c r="AD55" s="183"/>
      <c r="AE55" s="183"/>
      <c r="AF55" s="183"/>
      <c r="AG55" s="183"/>
      <c r="AH55" s="183"/>
      <c r="AI55" s="183"/>
    </row>
    <row r="56" spans="2:35" x14ac:dyDescent="0.3">
      <c r="B56" s="183"/>
      <c r="C56" s="183"/>
      <c r="D56" s="183"/>
      <c r="E56" s="183"/>
      <c r="F56" s="183"/>
      <c r="G56" s="183"/>
      <c r="H56" s="183"/>
      <c r="I56" s="183"/>
      <c r="J56" s="183"/>
      <c r="K56" s="183"/>
      <c r="L56" s="183"/>
      <c r="M56" s="183"/>
      <c r="N56" s="183"/>
      <c r="O56" s="183"/>
      <c r="P56" s="183"/>
      <c r="Q56" s="183"/>
      <c r="R56" s="183"/>
      <c r="S56" s="183"/>
      <c r="T56" s="183"/>
      <c r="U56" s="183"/>
      <c r="V56" s="183"/>
      <c r="W56" s="183"/>
      <c r="X56" s="183"/>
      <c r="Y56" s="183"/>
      <c r="Z56" s="183"/>
      <c r="AA56" s="183"/>
      <c r="AB56" s="183"/>
      <c r="AC56" s="183"/>
      <c r="AD56" s="183"/>
      <c r="AE56" s="183"/>
      <c r="AF56" s="183"/>
      <c r="AG56" s="183"/>
      <c r="AH56" s="183"/>
      <c r="AI56" s="183"/>
    </row>
    <row r="57" spans="2:35" x14ac:dyDescent="0.3">
      <c r="B57" s="183"/>
      <c r="C57" s="183"/>
      <c r="D57" s="183"/>
      <c r="E57" s="183"/>
      <c r="F57" s="183"/>
      <c r="G57" s="183"/>
      <c r="H57" s="183"/>
      <c r="I57" s="183"/>
      <c r="J57" s="183"/>
      <c r="K57" s="183"/>
      <c r="L57" s="183"/>
      <c r="M57" s="183"/>
      <c r="N57" s="183"/>
      <c r="O57" s="183"/>
      <c r="P57" s="183"/>
      <c r="Q57" s="183"/>
      <c r="R57" s="183"/>
      <c r="S57" s="183"/>
      <c r="T57" s="183"/>
      <c r="U57" s="183"/>
      <c r="V57" s="183"/>
      <c r="W57" s="183"/>
      <c r="X57" s="183"/>
      <c r="Y57" s="183"/>
    </row>
    <row r="58" spans="2:35" x14ac:dyDescent="0.3">
      <c r="B58" s="183"/>
      <c r="C58" s="183"/>
      <c r="D58" s="183"/>
      <c r="E58" s="183"/>
      <c r="F58" s="183"/>
      <c r="G58" s="183"/>
      <c r="H58" s="183"/>
      <c r="I58" s="183"/>
      <c r="J58" s="183"/>
      <c r="K58" s="183"/>
      <c r="L58" s="183"/>
      <c r="M58" s="183"/>
      <c r="N58" s="183"/>
      <c r="O58" s="183"/>
      <c r="P58" s="183"/>
      <c r="Q58" s="183"/>
      <c r="R58" s="183"/>
      <c r="S58" s="183"/>
      <c r="T58" s="183"/>
      <c r="U58" s="183"/>
      <c r="V58" s="183"/>
      <c r="W58" s="183"/>
      <c r="X58" s="183"/>
      <c r="Y58" s="183"/>
    </row>
    <row r="59" spans="2:35" x14ac:dyDescent="0.3">
      <c r="B59" s="183"/>
      <c r="C59" s="183"/>
      <c r="D59" s="183"/>
      <c r="E59" s="183"/>
      <c r="F59" s="183"/>
      <c r="G59" s="183"/>
      <c r="H59" s="183"/>
      <c r="I59" s="183"/>
      <c r="J59" s="183"/>
      <c r="K59" s="183"/>
      <c r="L59" s="183"/>
      <c r="M59" s="183"/>
      <c r="N59" s="183"/>
      <c r="O59" s="183"/>
      <c r="P59" s="183"/>
      <c r="Q59" s="183"/>
      <c r="R59" s="183"/>
      <c r="S59" s="183"/>
      <c r="T59" s="183"/>
      <c r="U59" s="183"/>
      <c r="V59" s="183"/>
      <c r="W59" s="183"/>
      <c r="X59" s="183"/>
      <c r="Y59" s="183"/>
    </row>
    <row r="60" spans="2:35" x14ac:dyDescent="0.3">
      <c r="B60" s="183"/>
      <c r="C60" s="183"/>
      <c r="D60" s="183"/>
      <c r="E60" s="183"/>
      <c r="F60" s="183"/>
      <c r="G60" s="183"/>
      <c r="H60" s="183"/>
      <c r="I60" s="183"/>
      <c r="J60" s="183"/>
      <c r="K60" s="183"/>
      <c r="L60" s="183"/>
      <c r="M60" s="183"/>
      <c r="N60" s="183"/>
      <c r="O60" s="183"/>
      <c r="P60" s="183"/>
      <c r="Q60" s="183"/>
      <c r="R60" s="183"/>
      <c r="S60" s="183"/>
      <c r="T60" s="183"/>
      <c r="U60" s="183"/>
      <c r="V60" s="183"/>
      <c r="W60" s="183"/>
      <c r="X60" s="183"/>
      <c r="Y60" s="183"/>
    </row>
    <row r="61" spans="2:35" x14ac:dyDescent="0.3">
      <c r="B61" s="183"/>
      <c r="C61" s="183"/>
      <c r="D61" s="183"/>
      <c r="E61" s="183"/>
      <c r="F61" s="183"/>
      <c r="G61" s="183"/>
      <c r="H61" s="183"/>
      <c r="I61" s="183"/>
      <c r="J61" s="183"/>
      <c r="K61" s="183"/>
      <c r="L61" s="183"/>
      <c r="M61" s="183"/>
      <c r="N61" s="183"/>
      <c r="O61" s="183"/>
      <c r="P61" s="183"/>
      <c r="Q61" s="183"/>
      <c r="R61" s="183"/>
      <c r="S61" s="183"/>
      <c r="T61" s="183"/>
      <c r="U61" s="183"/>
      <c r="V61" s="183"/>
      <c r="W61" s="183"/>
      <c r="X61" s="183"/>
      <c r="Y61" s="183"/>
    </row>
    <row r="62" spans="2:35" x14ac:dyDescent="0.3">
      <c r="B62" s="183"/>
      <c r="C62" s="183"/>
      <c r="D62" s="183"/>
      <c r="E62" s="183"/>
      <c r="F62" s="183"/>
      <c r="G62" s="183"/>
      <c r="H62" s="183"/>
      <c r="I62" s="183"/>
      <c r="J62" s="183"/>
      <c r="K62" s="183"/>
      <c r="L62" s="183"/>
      <c r="M62" s="183"/>
      <c r="N62" s="183"/>
      <c r="O62" s="183"/>
      <c r="P62" s="183"/>
      <c r="Q62" s="183"/>
      <c r="R62" s="183"/>
      <c r="S62" s="183"/>
      <c r="T62" s="183"/>
      <c r="U62" s="183"/>
      <c r="V62" s="183"/>
      <c r="W62" s="183"/>
      <c r="X62" s="183"/>
      <c r="Y62" s="183"/>
    </row>
    <row r="63" spans="2:35" x14ac:dyDescent="0.3">
      <c r="B63" s="183"/>
      <c r="C63" s="183"/>
      <c r="D63" s="183"/>
      <c r="E63" s="183"/>
      <c r="F63" s="183"/>
      <c r="G63" s="183"/>
      <c r="H63" s="183"/>
      <c r="I63" s="183"/>
      <c r="J63" s="183"/>
      <c r="K63" s="183"/>
      <c r="L63" s="183"/>
      <c r="M63" s="183"/>
      <c r="N63" s="183"/>
      <c r="O63" s="183"/>
      <c r="P63" s="183"/>
      <c r="Q63" s="183"/>
      <c r="R63" s="183"/>
      <c r="S63" s="183"/>
      <c r="T63" s="183"/>
      <c r="U63" s="183"/>
      <c r="V63" s="183"/>
      <c r="W63" s="183"/>
      <c r="X63" s="183"/>
      <c r="Y63" s="183"/>
    </row>
    <row r="64" spans="2:35" x14ac:dyDescent="0.3">
      <c r="B64" s="183"/>
      <c r="C64" s="183"/>
      <c r="D64" s="183"/>
      <c r="E64" s="183"/>
      <c r="F64" s="183"/>
      <c r="G64" s="183"/>
      <c r="H64" s="183"/>
      <c r="I64" s="183"/>
      <c r="J64" s="183"/>
      <c r="K64" s="183"/>
      <c r="L64" s="183"/>
      <c r="M64" s="183"/>
      <c r="N64" s="183"/>
      <c r="O64" s="183"/>
      <c r="P64" s="183"/>
      <c r="Q64" s="183"/>
      <c r="R64" s="183"/>
      <c r="S64" s="183"/>
      <c r="T64" s="183"/>
      <c r="U64" s="183"/>
      <c r="V64" s="183"/>
      <c r="W64" s="183"/>
      <c r="X64" s="183"/>
      <c r="Y64" s="183"/>
    </row>
    <row r="65" spans="2:25" x14ac:dyDescent="0.3">
      <c r="B65" s="183"/>
      <c r="C65" s="183"/>
      <c r="D65" s="183"/>
      <c r="E65" s="183"/>
      <c r="F65" s="183"/>
      <c r="G65" s="183"/>
      <c r="H65" s="183"/>
      <c r="I65" s="183"/>
      <c r="J65" s="183"/>
      <c r="K65" s="183"/>
      <c r="L65" s="183"/>
      <c r="M65" s="183"/>
      <c r="N65" s="183"/>
      <c r="O65" s="183"/>
      <c r="P65" s="183"/>
      <c r="Q65" s="183"/>
      <c r="R65" s="183"/>
      <c r="S65" s="183"/>
      <c r="T65" s="183"/>
      <c r="U65" s="183"/>
      <c r="V65" s="183"/>
      <c r="W65" s="183"/>
      <c r="X65" s="183"/>
      <c r="Y65" s="183"/>
    </row>
    <row r="66" spans="2:25" x14ac:dyDescent="0.3">
      <c r="B66" s="183"/>
      <c r="C66" s="183"/>
      <c r="D66" s="183"/>
      <c r="E66" s="183"/>
      <c r="F66" s="183"/>
      <c r="G66" s="183"/>
      <c r="H66" s="183"/>
      <c r="I66" s="183"/>
      <c r="J66" s="183"/>
      <c r="K66" s="183"/>
      <c r="L66" s="183"/>
      <c r="M66" s="183"/>
      <c r="N66" s="183"/>
      <c r="O66" s="183"/>
      <c r="P66" s="183"/>
      <c r="Q66" s="183"/>
      <c r="R66" s="183"/>
      <c r="S66" s="183"/>
      <c r="T66" s="183"/>
      <c r="U66" s="183"/>
      <c r="V66" s="183"/>
      <c r="W66" s="183"/>
      <c r="X66" s="183"/>
      <c r="Y66" s="183"/>
    </row>
    <row r="67" spans="2:25" x14ac:dyDescent="0.3">
      <c r="B67" s="183"/>
      <c r="C67" s="183"/>
      <c r="D67" s="183"/>
      <c r="E67" s="183"/>
      <c r="F67" s="183"/>
      <c r="G67" s="183"/>
      <c r="H67" s="183"/>
      <c r="I67" s="183"/>
      <c r="J67" s="183"/>
      <c r="K67" s="183"/>
      <c r="L67" s="183"/>
      <c r="M67" s="183"/>
      <c r="N67" s="183"/>
      <c r="O67" s="183"/>
      <c r="P67" s="183"/>
      <c r="Q67" s="183"/>
      <c r="R67" s="183"/>
      <c r="S67" s="183"/>
      <c r="T67" s="183"/>
      <c r="U67" s="183"/>
      <c r="V67" s="183"/>
      <c r="W67" s="183"/>
      <c r="X67" s="183"/>
      <c r="Y67" s="183"/>
    </row>
    <row r="68" spans="2:25" x14ac:dyDescent="0.3">
      <c r="B68" s="183"/>
      <c r="C68" s="183"/>
      <c r="D68" s="183"/>
      <c r="E68" s="183"/>
      <c r="F68" s="183"/>
      <c r="G68" s="183"/>
      <c r="H68" s="183"/>
      <c r="I68" s="183"/>
      <c r="J68" s="183"/>
      <c r="K68" s="183"/>
      <c r="L68" s="183"/>
      <c r="M68" s="183"/>
      <c r="N68" s="183"/>
      <c r="O68" s="183"/>
      <c r="P68" s="183"/>
      <c r="Q68" s="183"/>
      <c r="R68" s="183"/>
      <c r="S68" s="183"/>
      <c r="T68" s="183"/>
      <c r="U68" s="183"/>
      <c r="V68" s="183"/>
      <c r="W68" s="183"/>
      <c r="X68" s="183"/>
      <c r="Y68" s="183"/>
    </row>
    <row r="69" spans="2:25" x14ac:dyDescent="0.3">
      <c r="B69" s="183"/>
      <c r="C69" s="183"/>
      <c r="D69" s="183"/>
      <c r="E69" s="183"/>
      <c r="F69" s="183"/>
      <c r="G69" s="183"/>
      <c r="H69" s="183"/>
      <c r="I69" s="183"/>
      <c r="J69" s="183"/>
      <c r="K69" s="183"/>
      <c r="L69" s="183"/>
      <c r="M69" s="183"/>
      <c r="N69" s="183"/>
      <c r="O69" s="183"/>
      <c r="P69" s="183"/>
      <c r="Q69" s="183"/>
      <c r="R69" s="183"/>
      <c r="S69" s="183"/>
      <c r="T69" s="183"/>
      <c r="U69" s="183"/>
      <c r="V69" s="183"/>
      <c r="W69" s="183"/>
      <c r="X69" s="183"/>
      <c r="Y69" s="183"/>
    </row>
    <row r="70" spans="2:25" x14ac:dyDescent="0.3">
      <c r="B70" s="183"/>
      <c r="C70" s="183"/>
      <c r="D70" s="183"/>
      <c r="E70" s="183"/>
      <c r="F70" s="183"/>
      <c r="G70" s="183"/>
      <c r="H70" s="183"/>
      <c r="I70" s="183"/>
      <c r="J70" s="183"/>
      <c r="K70" s="183"/>
      <c r="L70" s="183"/>
      <c r="M70" s="183"/>
      <c r="N70" s="183"/>
      <c r="O70" s="183"/>
      <c r="P70" s="183"/>
      <c r="Q70" s="183"/>
      <c r="R70" s="183"/>
      <c r="S70" s="183"/>
      <c r="T70" s="183"/>
      <c r="U70" s="183"/>
      <c r="V70" s="183"/>
      <c r="W70" s="183"/>
      <c r="X70" s="183"/>
      <c r="Y70" s="183"/>
    </row>
    <row r="71" spans="2:25" x14ac:dyDescent="0.3">
      <c r="B71" s="183"/>
      <c r="C71" s="183"/>
      <c r="D71" s="183"/>
      <c r="E71" s="183"/>
      <c r="F71" s="183"/>
      <c r="G71" s="183"/>
      <c r="H71" s="183"/>
      <c r="I71" s="183"/>
      <c r="J71" s="183"/>
      <c r="K71" s="183"/>
      <c r="L71" s="183"/>
      <c r="M71" s="183"/>
      <c r="N71" s="183"/>
      <c r="O71" s="183"/>
      <c r="P71" s="183"/>
      <c r="Q71" s="183"/>
      <c r="R71" s="183"/>
      <c r="S71" s="183"/>
      <c r="T71" s="183"/>
      <c r="U71" s="183"/>
      <c r="V71" s="183"/>
      <c r="W71" s="183"/>
      <c r="X71" s="183"/>
      <c r="Y71" s="183"/>
    </row>
    <row r="72" spans="2:25" x14ac:dyDescent="0.3">
      <c r="B72" s="183"/>
      <c r="C72" s="183"/>
      <c r="D72" s="183"/>
      <c r="E72" s="183"/>
      <c r="F72" s="183"/>
      <c r="G72" s="183"/>
      <c r="H72" s="183"/>
      <c r="I72" s="183"/>
      <c r="J72" s="183"/>
      <c r="K72" s="183"/>
      <c r="L72" s="183"/>
      <c r="M72" s="183"/>
      <c r="N72" s="183"/>
      <c r="O72" s="183"/>
      <c r="P72" s="183"/>
      <c r="Q72" s="183"/>
      <c r="R72" s="183"/>
      <c r="S72" s="183"/>
      <c r="T72" s="183"/>
      <c r="U72" s="183"/>
      <c r="V72" s="183"/>
      <c r="W72" s="183"/>
      <c r="X72" s="183"/>
      <c r="Y72" s="183"/>
    </row>
    <row r="73" spans="2:25" x14ac:dyDescent="0.3">
      <c r="B73" s="183"/>
      <c r="C73" s="183"/>
      <c r="D73" s="183"/>
      <c r="E73" s="183"/>
      <c r="F73" s="183"/>
      <c r="G73" s="183"/>
      <c r="H73" s="183"/>
      <c r="I73" s="183"/>
      <c r="J73" s="183"/>
      <c r="K73" s="183"/>
      <c r="L73" s="183"/>
      <c r="M73" s="183"/>
      <c r="N73" s="183"/>
      <c r="O73" s="183"/>
      <c r="P73" s="183"/>
      <c r="Q73" s="183"/>
      <c r="R73" s="183"/>
      <c r="S73" s="183"/>
      <c r="T73" s="183"/>
      <c r="U73" s="183"/>
      <c r="V73" s="183"/>
      <c r="W73" s="183"/>
      <c r="X73" s="183"/>
      <c r="Y73" s="183"/>
    </row>
    <row r="74" spans="2:25" x14ac:dyDescent="0.3">
      <c r="B74" s="183"/>
      <c r="C74" s="183"/>
      <c r="D74" s="183"/>
      <c r="E74" s="183"/>
      <c r="F74" s="183"/>
      <c r="G74" s="183"/>
      <c r="H74" s="183"/>
      <c r="I74" s="183"/>
      <c r="J74" s="183"/>
      <c r="K74" s="183"/>
      <c r="L74" s="183"/>
      <c r="M74" s="183"/>
      <c r="N74" s="183"/>
      <c r="O74" s="183"/>
      <c r="P74" s="183"/>
      <c r="Q74" s="183"/>
      <c r="R74" s="183"/>
      <c r="S74" s="183"/>
      <c r="T74" s="183"/>
      <c r="U74" s="183"/>
      <c r="V74" s="183"/>
      <c r="W74" s="183"/>
      <c r="X74" s="183"/>
      <c r="Y74" s="183"/>
    </row>
    <row r="75" spans="2:25" x14ac:dyDescent="0.3">
      <c r="B75" s="183"/>
      <c r="C75" s="183"/>
      <c r="D75" s="183"/>
      <c r="E75" s="183"/>
      <c r="F75" s="183"/>
      <c r="G75" s="183"/>
      <c r="H75" s="183"/>
      <c r="I75" s="183"/>
      <c r="J75" s="183"/>
      <c r="K75" s="183"/>
      <c r="L75" s="183"/>
      <c r="M75" s="183"/>
      <c r="N75" s="183"/>
      <c r="O75" s="183"/>
      <c r="P75" s="183"/>
      <c r="Q75" s="183"/>
      <c r="R75" s="183"/>
      <c r="S75" s="183"/>
      <c r="T75" s="183"/>
      <c r="U75" s="183"/>
      <c r="V75" s="183"/>
      <c r="W75" s="183"/>
      <c r="X75" s="183"/>
      <c r="Y75" s="183"/>
    </row>
    <row r="76" spans="2:25" x14ac:dyDescent="0.3">
      <c r="B76" s="183"/>
      <c r="C76" s="183"/>
      <c r="D76" s="183"/>
      <c r="E76" s="183"/>
      <c r="F76" s="183"/>
      <c r="G76" s="183"/>
      <c r="H76" s="183"/>
      <c r="I76" s="183"/>
      <c r="J76" s="183"/>
      <c r="K76" s="183"/>
      <c r="L76" s="183"/>
      <c r="M76" s="183"/>
      <c r="N76" s="183"/>
      <c r="O76" s="183"/>
      <c r="P76" s="183"/>
      <c r="Q76" s="183"/>
      <c r="R76" s="183"/>
      <c r="S76" s="183"/>
      <c r="T76" s="183"/>
      <c r="U76" s="183"/>
      <c r="V76" s="183"/>
      <c r="W76" s="183"/>
      <c r="X76" s="183"/>
      <c r="Y76" s="183"/>
    </row>
    <row r="77" spans="2:25" x14ac:dyDescent="0.3">
      <c r="B77" s="183"/>
      <c r="C77" s="183"/>
      <c r="D77" s="183"/>
      <c r="E77" s="183"/>
      <c r="F77" s="183"/>
      <c r="G77" s="183"/>
      <c r="H77" s="183"/>
      <c r="I77" s="183"/>
      <c r="J77" s="183"/>
      <c r="K77" s="183"/>
      <c r="L77" s="183"/>
      <c r="M77" s="183"/>
      <c r="N77" s="183"/>
      <c r="O77" s="183"/>
      <c r="P77" s="183"/>
      <c r="Q77" s="183"/>
      <c r="R77" s="183"/>
      <c r="S77" s="183"/>
      <c r="T77" s="183"/>
      <c r="U77" s="183"/>
      <c r="V77" s="183"/>
      <c r="W77" s="183"/>
      <c r="X77" s="183"/>
      <c r="Y77" s="183"/>
    </row>
    <row r="78" spans="2:25" x14ac:dyDescent="0.3">
      <c r="B78" s="183"/>
      <c r="C78" s="183"/>
      <c r="D78" s="183"/>
      <c r="E78" s="183"/>
      <c r="F78" s="183"/>
      <c r="G78" s="183"/>
      <c r="H78" s="183"/>
      <c r="I78" s="183"/>
      <c r="J78" s="183"/>
      <c r="K78" s="183"/>
      <c r="L78" s="183"/>
      <c r="M78" s="183"/>
      <c r="N78" s="183"/>
      <c r="O78" s="183"/>
      <c r="P78" s="183"/>
      <c r="Q78" s="183"/>
      <c r="R78" s="183"/>
      <c r="S78" s="183"/>
      <c r="T78" s="183"/>
      <c r="U78" s="183"/>
      <c r="V78" s="183"/>
      <c r="W78" s="183"/>
      <c r="X78" s="183"/>
      <c r="Y78" s="183"/>
    </row>
    <row r="79" spans="2:25" x14ac:dyDescent="0.3">
      <c r="B79" s="183"/>
      <c r="C79" s="183"/>
      <c r="D79" s="183"/>
      <c r="E79" s="183"/>
      <c r="F79" s="183"/>
      <c r="G79" s="183"/>
      <c r="H79" s="183"/>
      <c r="I79" s="183"/>
      <c r="J79" s="183"/>
      <c r="K79" s="183"/>
      <c r="L79" s="183"/>
      <c r="M79" s="183"/>
      <c r="N79" s="183"/>
      <c r="O79" s="183"/>
      <c r="P79" s="183"/>
      <c r="Q79" s="183"/>
      <c r="R79" s="183"/>
      <c r="S79" s="183"/>
      <c r="T79" s="183"/>
      <c r="U79" s="183"/>
      <c r="V79" s="183"/>
      <c r="W79" s="183"/>
      <c r="X79" s="183"/>
      <c r="Y79" s="183"/>
    </row>
    <row r="80" spans="2:25" x14ac:dyDescent="0.3">
      <c r="B80" s="183"/>
      <c r="C80" s="183"/>
      <c r="D80" s="183"/>
      <c r="E80" s="183"/>
      <c r="F80" s="183"/>
      <c r="G80" s="183"/>
      <c r="H80" s="183"/>
      <c r="I80" s="183"/>
      <c r="J80" s="183"/>
      <c r="K80" s="183"/>
      <c r="L80" s="183"/>
      <c r="M80" s="183"/>
      <c r="N80" s="183"/>
      <c r="O80" s="183"/>
      <c r="P80" s="183"/>
      <c r="Q80" s="183"/>
      <c r="R80" s="183"/>
      <c r="S80" s="183"/>
      <c r="T80" s="183"/>
      <c r="U80" s="183"/>
      <c r="V80" s="183"/>
      <c r="W80" s="183"/>
      <c r="X80" s="183"/>
      <c r="Y80" s="183"/>
    </row>
    <row r="81" spans="2:25" x14ac:dyDescent="0.3">
      <c r="B81" s="183"/>
      <c r="C81" s="183"/>
      <c r="D81" s="183"/>
      <c r="E81" s="183"/>
      <c r="F81" s="183"/>
      <c r="G81" s="183"/>
      <c r="H81" s="183"/>
      <c r="I81" s="183"/>
      <c r="J81" s="183"/>
      <c r="K81" s="183"/>
      <c r="L81" s="183"/>
      <c r="M81" s="183"/>
      <c r="N81" s="183"/>
      <c r="O81" s="183"/>
      <c r="P81" s="183"/>
      <c r="Q81" s="183"/>
      <c r="R81" s="183"/>
      <c r="S81" s="183"/>
      <c r="T81" s="183"/>
      <c r="U81" s="183"/>
      <c r="V81" s="183"/>
      <c r="W81" s="183"/>
      <c r="X81" s="183"/>
      <c r="Y81" s="183"/>
    </row>
    <row r="82" spans="2:25" x14ac:dyDescent="0.3">
      <c r="B82" s="183"/>
      <c r="C82" s="183"/>
      <c r="D82" s="183"/>
      <c r="E82" s="183"/>
      <c r="F82" s="183"/>
      <c r="G82" s="183"/>
      <c r="H82" s="183"/>
      <c r="I82" s="183"/>
      <c r="J82" s="183"/>
      <c r="K82" s="183"/>
      <c r="L82" s="183"/>
      <c r="M82" s="183"/>
      <c r="N82" s="183"/>
      <c r="O82" s="183"/>
      <c r="P82" s="183"/>
      <c r="Q82" s="183"/>
      <c r="R82" s="183"/>
      <c r="S82" s="183"/>
      <c r="T82" s="183"/>
      <c r="U82" s="183"/>
      <c r="V82" s="183"/>
      <c r="W82" s="183"/>
      <c r="X82" s="183"/>
      <c r="Y82" s="183"/>
    </row>
    <row r="83" spans="2:25" x14ac:dyDescent="0.3">
      <c r="B83" s="183"/>
      <c r="C83" s="183"/>
      <c r="D83" s="183"/>
      <c r="E83" s="183"/>
      <c r="F83" s="183"/>
      <c r="G83" s="183"/>
      <c r="H83" s="183"/>
      <c r="I83" s="183"/>
      <c r="J83" s="183"/>
      <c r="K83" s="183"/>
      <c r="L83" s="183"/>
      <c r="M83" s="183"/>
      <c r="N83" s="183"/>
      <c r="O83" s="183"/>
      <c r="P83" s="183"/>
      <c r="Q83" s="183"/>
      <c r="R83" s="183"/>
      <c r="S83" s="183"/>
      <c r="T83" s="183"/>
      <c r="U83" s="183"/>
      <c r="V83" s="183"/>
      <c r="W83" s="183"/>
      <c r="X83" s="183"/>
      <c r="Y83" s="183"/>
    </row>
    <row r="84" spans="2:25" x14ac:dyDescent="0.3">
      <c r="B84" s="183"/>
      <c r="C84" s="183"/>
      <c r="D84" s="183"/>
      <c r="E84" s="183"/>
      <c r="F84" s="183"/>
      <c r="G84" s="183"/>
      <c r="H84" s="183"/>
      <c r="I84" s="183"/>
      <c r="J84" s="183"/>
      <c r="K84" s="183"/>
      <c r="L84" s="183"/>
      <c r="M84" s="183"/>
      <c r="N84" s="183"/>
      <c r="O84" s="183"/>
      <c r="P84" s="183"/>
      <c r="Q84" s="183"/>
      <c r="R84" s="183"/>
      <c r="S84" s="183"/>
      <c r="T84" s="183"/>
      <c r="U84" s="183"/>
      <c r="V84" s="183"/>
      <c r="W84" s="183"/>
      <c r="X84" s="183"/>
      <c r="Y84" s="183"/>
    </row>
    <row r="85" spans="2:25" x14ac:dyDescent="0.3">
      <c r="B85" s="183"/>
      <c r="C85" s="183"/>
      <c r="D85" s="183"/>
      <c r="E85" s="183"/>
      <c r="F85" s="183"/>
      <c r="G85" s="183"/>
      <c r="H85" s="183"/>
      <c r="I85" s="183"/>
      <c r="J85" s="183"/>
      <c r="K85" s="183"/>
      <c r="L85" s="183"/>
      <c r="M85" s="183"/>
      <c r="N85" s="183"/>
      <c r="O85" s="183"/>
      <c r="P85" s="183"/>
      <c r="Q85" s="183"/>
      <c r="R85" s="183"/>
      <c r="S85" s="183"/>
      <c r="T85" s="183"/>
      <c r="U85" s="183"/>
      <c r="V85" s="183"/>
      <c r="W85" s="183"/>
      <c r="X85" s="183"/>
      <c r="Y85" s="183"/>
    </row>
    <row r="86" spans="2:25" x14ac:dyDescent="0.3">
      <c r="B86" s="183"/>
      <c r="C86" s="183"/>
      <c r="D86" s="183"/>
      <c r="E86" s="183"/>
      <c r="F86" s="183"/>
      <c r="G86" s="183"/>
      <c r="H86" s="183"/>
      <c r="I86" s="183"/>
      <c r="J86" s="183"/>
      <c r="K86" s="183"/>
      <c r="L86" s="183"/>
      <c r="M86" s="183"/>
      <c r="N86" s="183"/>
      <c r="O86" s="183"/>
      <c r="P86" s="183"/>
      <c r="Q86" s="183"/>
      <c r="R86" s="183"/>
      <c r="S86" s="183"/>
      <c r="T86" s="183"/>
      <c r="U86" s="183"/>
      <c r="V86" s="183"/>
      <c r="W86" s="183"/>
      <c r="X86" s="183"/>
      <c r="Y86" s="183"/>
    </row>
    <row r="87" spans="2:25" x14ac:dyDescent="0.3">
      <c r="B87" s="183"/>
      <c r="C87" s="183"/>
      <c r="D87" s="183"/>
      <c r="E87" s="183"/>
      <c r="F87" s="183"/>
      <c r="G87" s="183"/>
      <c r="H87" s="183"/>
      <c r="I87" s="183"/>
      <c r="J87" s="183"/>
      <c r="K87" s="183"/>
      <c r="L87" s="183"/>
      <c r="M87" s="183"/>
      <c r="N87" s="183"/>
      <c r="O87" s="183"/>
      <c r="P87" s="183"/>
      <c r="Q87" s="183"/>
      <c r="R87" s="183"/>
      <c r="S87" s="183"/>
      <c r="T87" s="183"/>
      <c r="U87" s="183"/>
      <c r="V87" s="183"/>
      <c r="W87" s="183"/>
      <c r="X87" s="183"/>
      <c r="Y87" s="183"/>
    </row>
    <row r="88" spans="2:25" x14ac:dyDescent="0.3">
      <c r="B88" s="183"/>
      <c r="C88" s="183"/>
      <c r="D88" s="183"/>
      <c r="E88" s="183"/>
      <c r="F88" s="183"/>
      <c r="G88" s="183"/>
      <c r="H88" s="183"/>
      <c r="I88" s="183"/>
      <c r="J88" s="183"/>
      <c r="K88" s="183"/>
      <c r="L88" s="183"/>
      <c r="M88" s="183"/>
      <c r="N88" s="183"/>
      <c r="O88" s="183"/>
      <c r="P88" s="183"/>
      <c r="Q88" s="183"/>
      <c r="R88" s="183"/>
      <c r="S88" s="183"/>
      <c r="T88" s="183"/>
      <c r="U88" s="183"/>
      <c r="V88" s="183"/>
      <c r="W88" s="183"/>
      <c r="X88" s="183"/>
      <c r="Y88" s="183"/>
    </row>
    <row r="89" spans="2:25" x14ac:dyDescent="0.3">
      <c r="B89" s="183"/>
      <c r="C89" s="183"/>
      <c r="D89" s="183"/>
      <c r="E89" s="183"/>
      <c r="F89" s="183"/>
      <c r="G89" s="183"/>
      <c r="H89" s="183"/>
      <c r="I89" s="183"/>
      <c r="J89" s="183"/>
      <c r="K89" s="183"/>
      <c r="L89" s="183"/>
      <c r="M89" s="183"/>
      <c r="N89" s="183"/>
      <c r="O89" s="183"/>
      <c r="P89" s="183"/>
      <c r="Q89" s="183"/>
      <c r="R89" s="183"/>
      <c r="S89" s="183"/>
      <c r="T89" s="183"/>
      <c r="U89" s="183"/>
      <c r="V89" s="183"/>
      <c r="W89" s="183"/>
      <c r="X89" s="183"/>
      <c r="Y89" s="183"/>
    </row>
    <row r="90" spans="2:25" x14ac:dyDescent="0.3">
      <c r="B90" s="183"/>
      <c r="C90" s="183"/>
      <c r="D90" s="183"/>
      <c r="E90" s="183"/>
      <c r="F90" s="183"/>
      <c r="G90" s="183"/>
      <c r="H90" s="183"/>
      <c r="I90" s="183"/>
      <c r="J90" s="183"/>
      <c r="K90" s="183"/>
      <c r="L90" s="183"/>
      <c r="M90" s="183"/>
      <c r="N90" s="183"/>
      <c r="O90" s="183"/>
      <c r="P90" s="183"/>
      <c r="Q90" s="183"/>
      <c r="R90" s="183"/>
      <c r="S90" s="183"/>
      <c r="T90" s="183"/>
      <c r="U90" s="183"/>
      <c r="V90" s="183"/>
      <c r="W90" s="183"/>
      <c r="X90" s="183"/>
      <c r="Y90" s="183"/>
    </row>
    <row r="91" spans="2:25" x14ac:dyDescent="0.3">
      <c r="B91" s="183"/>
      <c r="C91" s="183"/>
      <c r="D91" s="183"/>
      <c r="E91" s="183"/>
      <c r="F91" s="183"/>
      <c r="G91" s="183"/>
      <c r="H91" s="183"/>
      <c r="I91" s="183"/>
      <c r="J91" s="183"/>
      <c r="K91" s="183"/>
      <c r="L91" s="183"/>
      <c r="M91" s="183"/>
      <c r="N91" s="183"/>
      <c r="O91" s="183"/>
      <c r="P91" s="183"/>
      <c r="Q91" s="183"/>
      <c r="R91" s="183"/>
      <c r="S91" s="183"/>
      <c r="T91" s="183"/>
      <c r="U91" s="183"/>
      <c r="V91" s="183"/>
      <c r="W91" s="183"/>
      <c r="X91" s="183"/>
      <c r="Y91" s="183"/>
    </row>
    <row r="92" spans="2:25" x14ac:dyDescent="0.3">
      <c r="B92" s="183"/>
      <c r="C92" s="183"/>
      <c r="D92" s="183"/>
      <c r="E92" s="183"/>
      <c r="F92" s="183"/>
      <c r="G92" s="183"/>
      <c r="H92" s="183"/>
      <c r="I92" s="183"/>
      <c r="J92" s="183"/>
      <c r="K92" s="183"/>
      <c r="L92" s="183"/>
      <c r="M92" s="183"/>
      <c r="N92" s="183"/>
      <c r="O92" s="183"/>
      <c r="P92" s="183"/>
      <c r="Q92" s="183"/>
      <c r="R92" s="183"/>
      <c r="S92" s="183"/>
      <c r="T92" s="183"/>
      <c r="U92" s="183"/>
      <c r="V92" s="183"/>
      <c r="W92" s="183"/>
      <c r="X92" s="183"/>
      <c r="Y92" s="183"/>
    </row>
    <row r="93" spans="2:25" x14ac:dyDescent="0.3">
      <c r="B93" s="183"/>
      <c r="C93" s="183"/>
      <c r="D93" s="183"/>
      <c r="E93" s="183"/>
      <c r="F93" s="183"/>
      <c r="G93" s="183"/>
      <c r="H93" s="183"/>
      <c r="I93" s="183"/>
      <c r="J93" s="183"/>
      <c r="K93" s="183"/>
      <c r="L93" s="183"/>
      <c r="M93" s="183"/>
      <c r="N93" s="183"/>
      <c r="O93" s="183"/>
      <c r="P93" s="183"/>
      <c r="Q93" s="183"/>
      <c r="R93" s="183"/>
      <c r="S93" s="183"/>
      <c r="T93" s="183"/>
      <c r="U93" s="183"/>
      <c r="V93" s="183"/>
      <c r="W93" s="183"/>
      <c r="X93" s="183"/>
      <c r="Y93" s="183"/>
    </row>
    <row r="94" spans="2:25" x14ac:dyDescent="0.3">
      <c r="B94" s="183"/>
      <c r="C94" s="183"/>
      <c r="D94" s="183"/>
      <c r="E94" s="183"/>
      <c r="F94" s="183"/>
      <c r="G94" s="183"/>
      <c r="H94" s="183"/>
      <c r="I94" s="183"/>
      <c r="J94" s="183"/>
      <c r="K94" s="183"/>
      <c r="L94" s="183"/>
      <c r="M94" s="183"/>
      <c r="N94" s="183"/>
      <c r="O94" s="183"/>
      <c r="P94" s="183"/>
      <c r="Q94" s="183"/>
      <c r="R94" s="183"/>
      <c r="S94" s="183"/>
      <c r="T94" s="183"/>
      <c r="U94" s="183"/>
      <c r="V94" s="183"/>
      <c r="W94" s="183"/>
      <c r="X94" s="183"/>
      <c r="Y94" s="183"/>
    </row>
    <row r="95" spans="2:25" x14ac:dyDescent="0.3">
      <c r="B95" s="183"/>
      <c r="C95" s="183"/>
      <c r="D95" s="183"/>
      <c r="E95" s="183"/>
      <c r="F95" s="183"/>
      <c r="G95" s="183"/>
      <c r="H95" s="183"/>
      <c r="I95" s="183"/>
      <c r="J95" s="183"/>
      <c r="K95" s="183"/>
      <c r="L95" s="183"/>
      <c r="M95" s="183"/>
      <c r="N95" s="183"/>
      <c r="O95" s="183"/>
      <c r="P95" s="183"/>
      <c r="Q95" s="183"/>
      <c r="R95" s="183"/>
      <c r="S95" s="183"/>
      <c r="T95" s="183"/>
      <c r="U95" s="183"/>
      <c r="V95" s="183"/>
      <c r="W95" s="183"/>
      <c r="X95" s="183"/>
      <c r="Y95" s="183"/>
    </row>
    <row r="96" spans="2:25" x14ac:dyDescent="0.3">
      <c r="B96" s="183"/>
      <c r="C96" s="183"/>
      <c r="D96" s="183"/>
      <c r="E96" s="183"/>
      <c r="F96" s="183"/>
      <c r="G96" s="183"/>
      <c r="H96" s="183"/>
      <c r="I96" s="183"/>
      <c r="J96" s="183"/>
      <c r="K96" s="183"/>
      <c r="L96" s="183"/>
      <c r="M96" s="183"/>
      <c r="N96" s="183"/>
      <c r="O96" s="183"/>
      <c r="P96" s="183"/>
      <c r="Q96" s="183"/>
      <c r="R96" s="183"/>
      <c r="S96" s="183"/>
      <c r="T96" s="183"/>
      <c r="U96" s="183"/>
      <c r="V96" s="183"/>
      <c r="W96" s="183"/>
      <c r="X96" s="183"/>
      <c r="Y96" s="183"/>
    </row>
    <row r="97" spans="2:25" x14ac:dyDescent="0.3">
      <c r="B97" s="183"/>
      <c r="C97" s="183"/>
      <c r="D97" s="183"/>
      <c r="E97" s="183"/>
      <c r="F97" s="183"/>
      <c r="G97" s="183"/>
      <c r="H97" s="183"/>
      <c r="I97" s="183"/>
      <c r="J97" s="183"/>
      <c r="K97" s="183"/>
      <c r="L97" s="183"/>
      <c r="M97" s="183"/>
      <c r="N97" s="183"/>
      <c r="O97" s="183"/>
      <c r="P97" s="183"/>
      <c r="Q97" s="183"/>
      <c r="R97" s="183"/>
      <c r="S97" s="183"/>
      <c r="T97" s="183"/>
      <c r="U97" s="183"/>
      <c r="V97" s="183"/>
      <c r="W97" s="183"/>
      <c r="X97" s="183"/>
      <c r="Y97" s="183"/>
    </row>
    <row r="98" spans="2:25" x14ac:dyDescent="0.3">
      <c r="B98" s="183"/>
      <c r="C98" s="183"/>
      <c r="D98" s="183"/>
      <c r="E98" s="183"/>
      <c r="F98" s="183"/>
      <c r="G98" s="183"/>
      <c r="H98" s="183"/>
      <c r="I98" s="183"/>
      <c r="J98" s="183"/>
      <c r="K98" s="183"/>
      <c r="L98" s="183"/>
      <c r="M98" s="183"/>
      <c r="N98" s="183"/>
      <c r="O98" s="183"/>
      <c r="P98" s="183"/>
      <c r="Q98" s="183"/>
      <c r="R98" s="183"/>
      <c r="S98" s="183"/>
      <c r="T98" s="183"/>
      <c r="U98" s="183"/>
      <c r="V98" s="183"/>
      <c r="W98" s="183"/>
      <c r="X98" s="183"/>
      <c r="Y98" s="183"/>
    </row>
    <row r="99" spans="2:25" x14ac:dyDescent="0.3">
      <c r="B99" s="183"/>
      <c r="C99" s="183"/>
      <c r="D99" s="183"/>
      <c r="E99" s="183"/>
      <c r="F99" s="183"/>
      <c r="G99" s="183"/>
      <c r="H99" s="183"/>
      <c r="I99" s="183"/>
      <c r="J99" s="183"/>
      <c r="K99" s="183"/>
      <c r="L99" s="183"/>
      <c r="M99" s="183"/>
      <c r="N99" s="183"/>
      <c r="O99" s="183"/>
      <c r="P99" s="183"/>
      <c r="Q99" s="183"/>
      <c r="R99" s="183"/>
      <c r="S99" s="183"/>
      <c r="T99" s="183"/>
      <c r="U99" s="183"/>
      <c r="V99" s="183"/>
      <c r="W99" s="183"/>
      <c r="X99" s="183"/>
      <c r="Y99" s="183"/>
    </row>
    <row r="100" spans="2:25" x14ac:dyDescent="0.3">
      <c r="B100" s="183"/>
      <c r="C100" s="183"/>
      <c r="D100" s="183"/>
      <c r="E100" s="183"/>
      <c r="F100" s="183"/>
      <c r="G100" s="183"/>
      <c r="H100" s="183"/>
      <c r="I100" s="183"/>
      <c r="J100" s="183"/>
      <c r="K100" s="183"/>
      <c r="L100" s="183"/>
      <c r="M100" s="183"/>
      <c r="N100" s="183"/>
      <c r="O100" s="183"/>
      <c r="P100" s="183"/>
      <c r="Q100" s="183"/>
      <c r="R100" s="183"/>
      <c r="S100" s="183"/>
      <c r="T100" s="183"/>
      <c r="U100" s="183"/>
      <c r="V100" s="183"/>
      <c r="W100" s="183"/>
      <c r="X100" s="183"/>
      <c r="Y100" s="183"/>
    </row>
    <row r="101" spans="2:25" x14ac:dyDescent="0.3">
      <c r="B101" s="183"/>
      <c r="C101" s="183"/>
      <c r="D101" s="183"/>
      <c r="E101" s="183"/>
      <c r="F101" s="183"/>
      <c r="G101" s="183"/>
      <c r="H101" s="183"/>
      <c r="I101" s="183"/>
      <c r="J101" s="183"/>
      <c r="K101" s="183"/>
      <c r="L101" s="183"/>
      <c r="M101" s="183"/>
      <c r="N101" s="183"/>
      <c r="O101" s="183"/>
      <c r="P101" s="183"/>
      <c r="Q101" s="183"/>
      <c r="R101" s="183"/>
      <c r="S101" s="183"/>
      <c r="T101" s="183"/>
      <c r="U101" s="183"/>
      <c r="V101" s="183"/>
      <c r="W101" s="183"/>
      <c r="X101" s="183"/>
      <c r="Y101" s="183"/>
    </row>
    <row r="102" spans="2:25" x14ac:dyDescent="0.3">
      <c r="B102" s="183"/>
      <c r="C102" s="183"/>
      <c r="D102" s="183"/>
      <c r="E102" s="183"/>
      <c r="F102" s="183"/>
      <c r="G102" s="183"/>
      <c r="H102" s="183"/>
      <c r="I102" s="183"/>
      <c r="J102" s="183"/>
      <c r="K102" s="183"/>
      <c r="L102" s="183"/>
      <c r="M102" s="183"/>
      <c r="N102" s="183"/>
      <c r="O102" s="183"/>
      <c r="P102" s="183"/>
      <c r="Q102" s="183"/>
      <c r="R102" s="183"/>
      <c r="S102" s="183"/>
      <c r="T102" s="183"/>
      <c r="U102" s="183"/>
      <c r="V102" s="183"/>
      <c r="W102" s="183"/>
      <c r="X102" s="183"/>
      <c r="Y102" s="183"/>
    </row>
    <row r="103" spans="2:25" x14ac:dyDescent="0.3">
      <c r="B103" s="183"/>
      <c r="C103" s="183"/>
      <c r="D103" s="183"/>
      <c r="E103" s="183"/>
      <c r="F103" s="183"/>
      <c r="G103" s="183"/>
      <c r="H103" s="183"/>
      <c r="I103" s="183"/>
      <c r="J103" s="183"/>
      <c r="K103" s="183"/>
      <c r="L103" s="183"/>
      <c r="M103" s="183"/>
      <c r="N103" s="183"/>
      <c r="O103" s="183"/>
      <c r="P103" s="183"/>
      <c r="Q103" s="183"/>
      <c r="R103" s="183"/>
      <c r="S103" s="183"/>
      <c r="T103" s="183"/>
      <c r="U103" s="183"/>
      <c r="V103" s="183"/>
      <c r="W103" s="183"/>
      <c r="X103" s="183"/>
      <c r="Y103" s="183"/>
    </row>
    <row r="104" spans="2:25" x14ac:dyDescent="0.3">
      <c r="B104" s="183"/>
      <c r="C104" s="183"/>
      <c r="D104" s="183"/>
      <c r="E104" s="183"/>
      <c r="F104" s="183"/>
      <c r="G104" s="183"/>
      <c r="H104" s="183"/>
      <c r="I104" s="183"/>
      <c r="J104" s="183"/>
      <c r="K104" s="183"/>
      <c r="L104" s="183"/>
      <c r="M104" s="183"/>
      <c r="N104" s="183"/>
      <c r="O104" s="183"/>
      <c r="P104" s="183"/>
      <c r="Q104" s="183"/>
      <c r="R104" s="183"/>
      <c r="S104" s="183"/>
      <c r="T104" s="183"/>
      <c r="U104" s="183"/>
      <c r="V104" s="183"/>
      <c r="W104" s="183"/>
      <c r="X104" s="183"/>
      <c r="Y104" s="183"/>
    </row>
    <row r="105" spans="2:25" x14ac:dyDescent="0.3">
      <c r="B105" s="183"/>
      <c r="C105" s="183"/>
      <c r="D105" s="183"/>
      <c r="E105" s="183"/>
      <c r="F105" s="183"/>
      <c r="G105" s="183"/>
      <c r="H105" s="183"/>
      <c r="I105" s="183"/>
      <c r="J105" s="183"/>
      <c r="K105" s="183"/>
      <c r="L105" s="183"/>
      <c r="M105" s="183"/>
      <c r="N105" s="183"/>
      <c r="O105" s="183"/>
      <c r="P105" s="183"/>
      <c r="Q105" s="183"/>
      <c r="R105" s="183"/>
      <c r="S105" s="183"/>
      <c r="T105" s="183"/>
      <c r="U105" s="183"/>
      <c r="V105" s="183"/>
      <c r="W105" s="183"/>
      <c r="X105" s="183"/>
      <c r="Y105" s="183"/>
    </row>
    <row r="106" spans="2:25" x14ac:dyDescent="0.3">
      <c r="B106" s="183"/>
      <c r="C106" s="183"/>
      <c r="D106" s="183"/>
      <c r="E106" s="183"/>
      <c r="F106" s="183"/>
      <c r="G106" s="183"/>
      <c r="H106" s="183"/>
      <c r="I106" s="183"/>
      <c r="J106" s="183"/>
      <c r="K106" s="183"/>
      <c r="L106" s="183"/>
      <c r="M106" s="183"/>
      <c r="N106" s="183"/>
      <c r="O106" s="183"/>
      <c r="P106" s="183"/>
      <c r="Q106" s="183"/>
      <c r="R106" s="183"/>
      <c r="S106" s="183"/>
      <c r="T106" s="183"/>
      <c r="U106" s="183"/>
      <c r="V106" s="183"/>
      <c r="W106" s="183"/>
      <c r="X106" s="183"/>
      <c r="Y106" s="183"/>
    </row>
    <row r="107" spans="2:25" x14ac:dyDescent="0.3">
      <c r="B107" s="183"/>
      <c r="C107" s="183"/>
      <c r="D107" s="183"/>
      <c r="E107" s="183"/>
      <c r="F107" s="183"/>
      <c r="G107" s="183"/>
      <c r="H107" s="183"/>
      <c r="I107" s="183"/>
      <c r="J107" s="183"/>
      <c r="K107" s="183"/>
      <c r="L107" s="183"/>
      <c r="M107" s="183"/>
      <c r="N107" s="183"/>
      <c r="O107" s="183"/>
      <c r="P107" s="183"/>
      <c r="Q107" s="183"/>
      <c r="R107" s="183"/>
      <c r="S107" s="183"/>
      <c r="T107" s="183"/>
      <c r="U107" s="183"/>
      <c r="V107" s="183"/>
      <c r="W107" s="183"/>
      <c r="X107" s="183"/>
      <c r="Y107" s="183"/>
    </row>
    <row r="108" spans="2:25" x14ac:dyDescent="0.3">
      <c r="B108" s="183"/>
      <c r="C108" s="183"/>
      <c r="D108" s="183"/>
      <c r="E108" s="183"/>
      <c r="F108" s="183"/>
      <c r="G108" s="183"/>
      <c r="H108" s="183"/>
      <c r="I108" s="183"/>
      <c r="J108" s="183"/>
      <c r="K108" s="183"/>
      <c r="L108" s="183"/>
      <c r="M108" s="183"/>
      <c r="N108" s="183"/>
      <c r="O108" s="183"/>
      <c r="P108" s="183"/>
      <c r="Q108" s="183"/>
      <c r="R108" s="183"/>
      <c r="S108" s="183"/>
      <c r="T108" s="183"/>
      <c r="U108" s="183"/>
      <c r="V108" s="183"/>
      <c r="W108" s="183"/>
      <c r="X108" s="183"/>
      <c r="Y108" s="183"/>
    </row>
    <row r="109" spans="2:25" x14ac:dyDescent="0.3">
      <c r="B109" s="183"/>
      <c r="C109" s="183"/>
      <c r="D109" s="183"/>
      <c r="E109" s="183"/>
      <c r="F109" s="183"/>
      <c r="G109" s="183"/>
      <c r="H109" s="183"/>
      <c r="I109" s="183"/>
      <c r="J109" s="183"/>
      <c r="K109" s="183"/>
      <c r="L109" s="183"/>
      <c r="M109" s="183"/>
      <c r="N109" s="183"/>
      <c r="O109" s="183"/>
      <c r="P109" s="183"/>
      <c r="Q109" s="183"/>
      <c r="R109" s="183"/>
      <c r="S109" s="183"/>
      <c r="T109" s="183"/>
      <c r="U109" s="183"/>
      <c r="V109" s="183"/>
      <c r="W109" s="183"/>
      <c r="X109" s="183"/>
      <c r="Y109" s="183"/>
    </row>
    <row r="110" spans="2:25" x14ac:dyDescent="0.3">
      <c r="B110" s="183"/>
      <c r="C110" s="183"/>
      <c r="D110" s="183"/>
      <c r="E110" s="183"/>
      <c r="F110" s="183"/>
      <c r="G110" s="183"/>
      <c r="H110" s="183"/>
      <c r="I110" s="183"/>
      <c r="J110" s="183"/>
      <c r="K110" s="183"/>
      <c r="L110" s="183"/>
      <c r="M110" s="183"/>
      <c r="N110" s="183"/>
      <c r="O110" s="183"/>
      <c r="P110" s="183"/>
      <c r="Q110" s="183"/>
      <c r="R110" s="183"/>
      <c r="S110" s="183"/>
      <c r="T110" s="183"/>
      <c r="U110" s="183"/>
      <c r="V110" s="183"/>
      <c r="W110" s="183"/>
      <c r="X110" s="183"/>
      <c r="Y110" s="183"/>
    </row>
    <row r="111" spans="2:25" x14ac:dyDescent="0.3">
      <c r="B111" s="183"/>
      <c r="C111" s="183"/>
      <c r="D111" s="183"/>
      <c r="E111" s="183"/>
      <c r="F111" s="183"/>
      <c r="G111" s="183"/>
      <c r="H111" s="183"/>
      <c r="I111" s="183"/>
      <c r="J111" s="183"/>
      <c r="K111" s="183"/>
      <c r="L111" s="183"/>
      <c r="M111" s="183"/>
      <c r="N111" s="183"/>
      <c r="O111" s="183"/>
      <c r="P111" s="183"/>
      <c r="Q111" s="183"/>
      <c r="R111" s="183"/>
      <c r="S111" s="183"/>
      <c r="T111" s="183"/>
      <c r="U111" s="183"/>
      <c r="V111" s="183"/>
      <c r="W111" s="183"/>
      <c r="X111" s="183"/>
      <c r="Y111" s="183"/>
    </row>
    <row r="112" spans="2:25" x14ac:dyDescent="0.3">
      <c r="B112" s="183"/>
      <c r="C112" s="183"/>
      <c r="D112" s="183"/>
      <c r="E112" s="183"/>
      <c r="F112" s="183"/>
      <c r="G112" s="183"/>
      <c r="H112" s="183"/>
      <c r="I112" s="183"/>
      <c r="J112" s="183"/>
      <c r="K112" s="183"/>
      <c r="L112" s="183"/>
      <c r="M112" s="183"/>
      <c r="N112" s="183"/>
      <c r="O112" s="183"/>
      <c r="P112" s="183"/>
      <c r="Q112" s="183"/>
      <c r="R112" s="183"/>
      <c r="S112" s="183"/>
      <c r="T112" s="183"/>
      <c r="U112" s="183"/>
      <c r="V112" s="183"/>
      <c r="W112" s="183"/>
      <c r="X112" s="183"/>
      <c r="Y112" s="183"/>
    </row>
    <row r="113" spans="2:25" x14ac:dyDescent="0.3">
      <c r="B113" s="183"/>
      <c r="C113" s="183"/>
      <c r="D113" s="183"/>
      <c r="E113" s="183"/>
      <c r="F113" s="183"/>
      <c r="G113" s="183"/>
      <c r="H113" s="183"/>
      <c r="I113" s="183"/>
      <c r="J113" s="183"/>
      <c r="K113" s="183"/>
      <c r="L113" s="183"/>
      <c r="M113" s="183"/>
      <c r="N113" s="183"/>
      <c r="O113" s="183"/>
      <c r="P113" s="183"/>
      <c r="Q113" s="183"/>
      <c r="R113" s="183"/>
      <c r="S113" s="183"/>
      <c r="T113" s="183"/>
      <c r="U113" s="183"/>
      <c r="V113" s="183"/>
      <c r="W113" s="183"/>
      <c r="X113" s="183"/>
      <c r="Y113" s="183"/>
    </row>
    <row r="114" spans="2:25" x14ac:dyDescent="0.3">
      <c r="B114" s="183"/>
      <c r="C114" s="183"/>
      <c r="D114" s="183"/>
      <c r="E114" s="183"/>
      <c r="F114" s="183"/>
      <c r="G114" s="183"/>
      <c r="H114" s="183"/>
      <c r="I114" s="183"/>
      <c r="J114" s="183"/>
      <c r="K114" s="183"/>
      <c r="L114" s="183"/>
      <c r="M114" s="183"/>
      <c r="N114" s="183"/>
      <c r="O114" s="183"/>
      <c r="P114" s="183"/>
      <c r="Q114" s="183"/>
      <c r="R114" s="183"/>
      <c r="S114" s="183"/>
      <c r="T114" s="183"/>
      <c r="U114" s="183"/>
      <c r="V114" s="183"/>
      <c r="W114" s="183"/>
      <c r="X114" s="183"/>
      <c r="Y114" s="183"/>
    </row>
    <row r="115" spans="2:25" x14ac:dyDescent="0.3">
      <c r="B115" s="183"/>
      <c r="C115" s="183"/>
      <c r="D115" s="183"/>
      <c r="E115" s="183"/>
      <c r="F115" s="183"/>
      <c r="G115" s="183"/>
      <c r="H115" s="183"/>
      <c r="I115" s="183"/>
      <c r="J115" s="183"/>
      <c r="K115" s="183"/>
      <c r="L115" s="183"/>
      <c r="M115" s="183"/>
      <c r="N115" s="183"/>
      <c r="O115" s="183"/>
      <c r="P115" s="183"/>
      <c r="Q115" s="183"/>
      <c r="R115" s="183"/>
      <c r="S115" s="183"/>
      <c r="T115" s="183"/>
      <c r="U115" s="183"/>
      <c r="V115" s="183"/>
      <c r="W115" s="183"/>
      <c r="X115" s="183"/>
      <c r="Y115" s="183"/>
    </row>
    <row r="116" spans="2:25" x14ac:dyDescent="0.3">
      <c r="B116" s="183"/>
      <c r="C116" s="183"/>
      <c r="D116" s="183"/>
      <c r="E116" s="183"/>
      <c r="F116" s="183"/>
      <c r="G116" s="183"/>
      <c r="H116" s="183"/>
      <c r="I116" s="183"/>
      <c r="J116" s="183"/>
      <c r="K116" s="183"/>
      <c r="L116" s="183"/>
      <c r="M116" s="183"/>
      <c r="N116" s="183"/>
      <c r="O116" s="183"/>
      <c r="P116" s="183"/>
      <c r="Q116" s="183"/>
      <c r="R116" s="183"/>
      <c r="S116" s="183"/>
      <c r="T116" s="183"/>
      <c r="U116" s="183"/>
      <c r="V116" s="183"/>
      <c r="W116" s="183"/>
      <c r="X116" s="183"/>
      <c r="Y116" s="183"/>
    </row>
    <row r="117" spans="2:25" x14ac:dyDescent="0.3">
      <c r="B117" s="183"/>
      <c r="C117" s="183"/>
      <c r="D117" s="183"/>
      <c r="E117" s="183"/>
      <c r="F117" s="183"/>
      <c r="G117" s="183"/>
      <c r="H117" s="183"/>
      <c r="I117" s="183"/>
      <c r="J117" s="183"/>
      <c r="K117" s="183"/>
      <c r="L117" s="183"/>
      <c r="M117" s="183"/>
      <c r="N117" s="183"/>
      <c r="O117" s="183"/>
      <c r="P117" s="183"/>
      <c r="Q117" s="183"/>
      <c r="R117" s="183"/>
      <c r="S117" s="183"/>
      <c r="T117" s="183"/>
      <c r="U117" s="183"/>
      <c r="V117" s="183"/>
      <c r="W117" s="183"/>
      <c r="X117" s="183"/>
      <c r="Y117" s="183"/>
    </row>
    <row r="118" spans="2:25" x14ac:dyDescent="0.3">
      <c r="B118" s="183"/>
      <c r="C118" s="183"/>
      <c r="D118" s="183"/>
      <c r="E118" s="183"/>
      <c r="F118" s="183"/>
      <c r="G118" s="183"/>
      <c r="H118" s="183"/>
      <c r="I118" s="183"/>
      <c r="J118" s="183"/>
      <c r="K118" s="183"/>
      <c r="L118" s="183"/>
      <c r="M118" s="183"/>
      <c r="N118" s="183"/>
      <c r="O118" s="183"/>
      <c r="P118" s="183"/>
      <c r="Q118" s="183"/>
      <c r="R118" s="183"/>
      <c r="S118" s="183"/>
      <c r="T118" s="183"/>
      <c r="U118" s="183"/>
      <c r="V118" s="183"/>
      <c r="W118" s="183"/>
      <c r="X118" s="183"/>
      <c r="Y118" s="183"/>
    </row>
    <row r="119" spans="2:25" x14ac:dyDescent="0.3">
      <c r="B119" s="183"/>
      <c r="C119" s="183"/>
      <c r="D119" s="183"/>
      <c r="E119" s="183"/>
      <c r="F119" s="183"/>
      <c r="G119" s="183"/>
      <c r="H119" s="183"/>
      <c r="I119" s="183"/>
      <c r="J119" s="183"/>
      <c r="K119" s="183"/>
      <c r="L119" s="183"/>
      <c r="M119" s="183"/>
      <c r="N119" s="183"/>
      <c r="O119" s="183"/>
      <c r="P119" s="183"/>
      <c r="Q119" s="183"/>
      <c r="R119" s="183"/>
      <c r="S119" s="183"/>
      <c r="T119" s="183"/>
      <c r="U119" s="183"/>
      <c r="V119" s="183"/>
      <c r="W119" s="183"/>
      <c r="X119" s="183"/>
      <c r="Y119" s="183"/>
    </row>
    <row r="120" spans="2:25" x14ac:dyDescent="0.3">
      <c r="B120" s="183"/>
      <c r="C120" s="183"/>
      <c r="D120" s="183"/>
      <c r="E120" s="183"/>
      <c r="F120" s="183"/>
      <c r="G120" s="183"/>
      <c r="H120" s="183"/>
      <c r="I120" s="183"/>
      <c r="J120" s="183"/>
      <c r="K120" s="183"/>
      <c r="L120" s="183"/>
      <c r="M120" s="183"/>
      <c r="N120" s="183"/>
      <c r="O120" s="183"/>
      <c r="P120" s="183"/>
      <c r="Q120" s="183"/>
      <c r="R120" s="183"/>
      <c r="S120" s="183"/>
      <c r="T120" s="183"/>
      <c r="U120" s="183"/>
      <c r="V120" s="183"/>
      <c r="W120" s="183"/>
      <c r="X120" s="183"/>
      <c r="Y120" s="183"/>
    </row>
    <row r="121" spans="2:25" x14ac:dyDescent="0.3">
      <c r="B121" s="183"/>
      <c r="C121" s="183"/>
      <c r="D121" s="183"/>
      <c r="E121" s="183"/>
      <c r="F121" s="183"/>
      <c r="G121" s="183"/>
      <c r="H121" s="183"/>
      <c r="I121" s="183"/>
      <c r="J121" s="183"/>
      <c r="K121" s="183"/>
      <c r="L121" s="183"/>
      <c r="M121" s="183"/>
      <c r="N121" s="183"/>
      <c r="O121" s="183"/>
      <c r="P121" s="183"/>
      <c r="Q121" s="183"/>
      <c r="R121" s="183"/>
      <c r="S121" s="183"/>
      <c r="T121" s="183"/>
      <c r="U121" s="183"/>
      <c r="V121" s="183"/>
      <c r="W121" s="183"/>
      <c r="X121" s="183"/>
      <c r="Y121" s="183"/>
    </row>
    <row r="122" spans="2:25" x14ac:dyDescent="0.3">
      <c r="B122" s="183"/>
      <c r="C122" s="183"/>
      <c r="D122" s="183"/>
      <c r="E122" s="183"/>
      <c r="F122" s="183"/>
      <c r="G122" s="183"/>
      <c r="H122" s="183"/>
      <c r="I122" s="183"/>
      <c r="J122" s="183"/>
      <c r="K122" s="183"/>
      <c r="L122" s="183"/>
      <c r="M122" s="183"/>
      <c r="N122" s="183"/>
      <c r="O122" s="183"/>
      <c r="P122" s="183"/>
      <c r="Q122" s="183"/>
      <c r="R122" s="183"/>
      <c r="S122" s="183"/>
      <c r="T122" s="183"/>
      <c r="U122" s="183"/>
      <c r="V122" s="183"/>
      <c r="W122" s="183"/>
      <c r="X122" s="183"/>
      <c r="Y122" s="183"/>
    </row>
    <row r="123" spans="2:25" x14ac:dyDescent="0.3">
      <c r="B123" s="183"/>
      <c r="C123" s="183"/>
      <c r="D123" s="183"/>
      <c r="E123" s="183"/>
      <c r="F123" s="183"/>
      <c r="G123" s="183"/>
      <c r="H123" s="183"/>
      <c r="I123" s="183"/>
      <c r="J123" s="183"/>
      <c r="K123" s="183"/>
      <c r="L123" s="183"/>
      <c r="M123" s="183"/>
      <c r="N123" s="183"/>
      <c r="O123" s="183"/>
      <c r="P123" s="183"/>
      <c r="Q123" s="183"/>
      <c r="R123" s="183"/>
      <c r="S123" s="183"/>
      <c r="T123" s="183"/>
      <c r="U123" s="183"/>
      <c r="V123" s="183"/>
      <c r="W123" s="183"/>
      <c r="X123" s="183"/>
      <c r="Y123" s="183"/>
    </row>
    <row r="124" spans="2:25" x14ac:dyDescent="0.3">
      <c r="B124" s="183"/>
      <c r="C124" s="183"/>
      <c r="D124" s="183"/>
      <c r="E124" s="183"/>
      <c r="F124" s="183"/>
      <c r="G124" s="183"/>
      <c r="H124" s="183"/>
      <c r="I124" s="183"/>
      <c r="J124" s="183"/>
      <c r="K124" s="183"/>
      <c r="L124" s="183"/>
      <c r="M124" s="183"/>
      <c r="N124" s="183"/>
      <c r="O124" s="183"/>
      <c r="P124" s="183"/>
      <c r="Q124" s="183"/>
      <c r="R124" s="183"/>
      <c r="S124" s="183"/>
      <c r="T124" s="183"/>
      <c r="U124" s="183"/>
      <c r="V124" s="183"/>
      <c r="W124" s="183"/>
      <c r="X124" s="183"/>
      <c r="Y124" s="183"/>
    </row>
    <row r="125" spans="2:25" x14ac:dyDescent="0.3">
      <c r="B125" s="183"/>
      <c r="C125" s="183"/>
      <c r="D125" s="183"/>
      <c r="E125" s="183"/>
      <c r="F125" s="183"/>
      <c r="G125" s="183"/>
      <c r="H125" s="183"/>
      <c r="I125" s="183"/>
      <c r="J125" s="183"/>
      <c r="K125" s="183"/>
      <c r="L125" s="183"/>
      <c r="M125" s="183"/>
      <c r="N125" s="183"/>
      <c r="O125" s="183"/>
      <c r="P125" s="183"/>
      <c r="Q125" s="183"/>
      <c r="R125" s="183"/>
      <c r="S125" s="183"/>
      <c r="T125" s="183"/>
      <c r="U125" s="183"/>
      <c r="V125" s="183"/>
      <c r="W125" s="183"/>
      <c r="X125" s="183"/>
      <c r="Y125" s="183"/>
    </row>
    <row r="126" spans="2:25" x14ac:dyDescent="0.3">
      <c r="B126" s="183"/>
      <c r="C126" s="183"/>
      <c r="D126" s="183"/>
      <c r="E126" s="183"/>
      <c r="F126" s="183"/>
      <c r="G126" s="183"/>
      <c r="H126" s="183"/>
      <c r="I126" s="183"/>
      <c r="J126" s="183"/>
      <c r="K126" s="183"/>
      <c r="L126" s="183"/>
      <c r="M126" s="183"/>
      <c r="N126" s="183"/>
      <c r="O126" s="183"/>
      <c r="P126" s="183"/>
      <c r="Q126" s="183"/>
      <c r="R126" s="183"/>
      <c r="S126" s="183"/>
      <c r="T126" s="183"/>
      <c r="U126" s="183"/>
      <c r="V126" s="183"/>
      <c r="W126" s="183"/>
      <c r="X126" s="183"/>
      <c r="Y126" s="183"/>
    </row>
    <row r="127" spans="2:25" x14ac:dyDescent="0.3">
      <c r="B127" s="183"/>
      <c r="C127" s="183"/>
      <c r="D127" s="183"/>
      <c r="E127" s="183"/>
      <c r="F127" s="183"/>
      <c r="G127" s="183"/>
      <c r="H127" s="183"/>
      <c r="I127" s="183"/>
      <c r="J127" s="183"/>
      <c r="K127" s="183"/>
      <c r="L127" s="183"/>
      <c r="M127" s="183"/>
      <c r="N127" s="183"/>
      <c r="O127" s="183"/>
      <c r="P127" s="183"/>
      <c r="Q127" s="183"/>
      <c r="R127" s="183"/>
      <c r="S127" s="183"/>
      <c r="T127" s="183"/>
      <c r="U127" s="183"/>
      <c r="V127" s="183"/>
      <c r="W127" s="183"/>
      <c r="X127" s="183"/>
      <c r="Y127" s="183"/>
    </row>
    <row r="128" spans="2:25" x14ac:dyDescent="0.3">
      <c r="B128" s="183"/>
      <c r="C128" s="183"/>
      <c r="D128" s="183"/>
      <c r="E128" s="183"/>
      <c r="F128" s="183"/>
      <c r="G128" s="183"/>
      <c r="H128" s="183"/>
      <c r="I128" s="183"/>
      <c r="J128" s="183"/>
      <c r="K128" s="183"/>
      <c r="L128" s="183"/>
      <c r="M128" s="183"/>
      <c r="N128" s="183"/>
      <c r="O128" s="183"/>
      <c r="P128" s="183"/>
      <c r="Q128" s="183"/>
      <c r="R128" s="183"/>
      <c r="S128" s="183"/>
      <c r="T128" s="183"/>
      <c r="U128" s="183"/>
      <c r="V128" s="183"/>
      <c r="W128" s="183"/>
      <c r="X128" s="183"/>
      <c r="Y128" s="183"/>
    </row>
    <row r="129" spans="2:25" x14ac:dyDescent="0.3">
      <c r="B129" s="183"/>
      <c r="C129" s="183"/>
      <c r="D129" s="183"/>
      <c r="E129" s="183"/>
      <c r="F129" s="183"/>
      <c r="G129" s="183"/>
      <c r="H129" s="183"/>
      <c r="I129" s="183"/>
      <c r="J129" s="183"/>
      <c r="K129" s="183"/>
      <c r="L129" s="183"/>
      <c r="M129" s="183"/>
      <c r="N129" s="183"/>
      <c r="O129" s="183"/>
      <c r="P129" s="183"/>
      <c r="Q129" s="183"/>
      <c r="R129" s="183"/>
      <c r="S129" s="183"/>
      <c r="T129" s="183"/>
      <c r="U129" s="183"/>
      <c r="V129" s="183"/>
      <c r="W129" s="183"/>
      <c r="X129" s="183"/>
      <c r="Y129" s="183"/>
    </row>
    <row r="130" spans="2:25" x14ac:dyDescent="0.3">
      <c r="B130" s="183"/>
      <c r="C130" s="183"/>
      <c r="D130" s="183"/>
      <c r="E130" s="183"/>
      <c r="F130" s="183"/>
      <c r="G130" s="183"/>
      <c r="H130" s="183"/>
      <c r="I130" s="183"/>
      <c r="J130" s="183"/>
      <c r="K130" s="183"/>
      <c r="L130" s="183"/>
      <c r="M130" s="183"/>
      <c r="N130" s="183"/>
      <c r="O130" s="183"/>
      <c r="P130" s="183"/>
      <c r="Q130" s="183"/>
      <c r="R130" s="183"/>
      <c r="S130" s="183"/>
      <c r="T130" s="183"/>
      <c r="U130" s="183"/>
      <c r="V130" s="183"/>
      <c r="W130" s="183"/>
      <c r="X130" s="183"/>
      <c r="Y130" s="183"/>
    </row>
    <row r="131" spans="2:25" x14ac:dyDescent="0.3">
      <c r="B131" s="183"/>
      <c r="C131" s="183"/>
      <c r="D131" s="183"/>
      <c r="E131" s="183"/>
      <c r="F131" s="183"/>
      <c r="G131" s="183"/>
      <c r="H131" s="183"/>
      <c r="I131" s="183"/>
      <c r="J131" s="183"/>
      <c r="K131" s="183"/>
      <c r="L131" s="183"/>
      <c r="M131" s="183"/>
      <c r="N131" s="183"/>
      <c r="O131" s="183"/>
      <c r="P131" s="183"/>
      <c r="Q131" s="183"/>
      <c r="R131" s="183"/>
      <c r="S131" s="183"/>
      <c r="T131" s="183"/>
      <c r="U131" s="183"/>
      <c r="V131" s="183"/>
      <c r="W131" s="183"/>
      <c r="X131" s="183"/>
      <c r="Y131" s="183"/>
    </row>
    <row r="132" spans="2:25" x14ac:dyDescent="0.3">
      <c r="B132" s="183"/>
      <c r="C132" s="183"/>
      <c r="D132" s="183"/>
      <c r="E132" s="183"/>
      <c r="F132" s="183"/>
      <c r="G132" s="183"/>
      <c r="H132" s="183"/>
      <c r="I132" s="183"/>
      <c r="J132" s="183"/>
      <c r="K132" s="183"/>
      <c r="L132" s="183"/>
      <c r="M132" s="183"/>
      <c r="N132" s="183"/>
      <c r="O132" s="183"/>
      <c r="P132" s="183"/>
      <c r="Q132" s="183"/>
      <c r="R132" s="183"/>
      <c r="S132" s="183"/>
      <c r="T132" s="183"/>
      <c r="U132" s="183"/>
      <c r="V132" s="183"/>
      <c r="W132" s="183"/>
      <c r="X132" s="183"/>
      <c r="Y132" s="183"/>
    </row>
    <row r="133" spans="2:25" x14ac:dyDescent="0.3">
      <c r="B133" s="183"/>
      <c r="C133" s="183"/>
      <c r="D133" s="183"/>
      <c r="E133" s="183"/>
      <c r="F133" s="183"/>
      <c r="G133" s="183"/>
      <c r="H133" s="183"/>
      <c r="I133" s="183"/>
      <c r="J133" s="183"/>
      <c r="K133" s="183"/>
      <c r="L133" s="183"/>
      <c r="M133" s="183"/>
      <c r="N133" s="183"/>
      <c r="O133" s="183"/>
      <c r="P133" s="183"/>
      <c r="Q133" s="183"/>
      <c r="R133" s="183"/>
      <c r="S133" s="183"/>
      <c r="T133" s="183"/>
      <c r="U133" s="183"/>
      <c r="V133" s="183"/>
      <c r="W133" s="183"/>
      <c r="X133" s="183"/>
      <c r="Y133" s="183"/>
    </row>
    <row r="134" spans="2:25" x14ac:dyDescent="0.3">
      <c r="B134" s="183"/>
      <c r="C134" s="183"/>
      <c r="D134" s="183"/>
      <c r="E134" s="183"/>
      <c r="F134" s="183"/>
      <c r="G134" s="183"/>
      <c r="H134" s="183"/>
      <c r="I134" s="183"/>
      <c r="J134" s="183"/>
      <c r="K134" s="183"/>
      <c r="L134" s="183"/>
      <c r="M134" s="183"/>
      <c r="N134" s="183"/>
      <c r="O134" s="183"/>
      <c r="P134" s="183"/>
      <c r="Q134" s="183"/>
      <c r="R134" s="183"/>
      <c r="S134" s="183"/>
      <c r="T134" s="183"/>
      <c r="U134" s="183"/>
      <c r="V134" s="183"/>
      <c r="W134" s="183"/>
      <c r="X134" s="183"/>
      <c r="Y134" s="183"/>
    </row>
    <row r="135" spans="2:25" x14ac:dyDescent="0.3">
      <c r="B135" s="183"/>
      <c r="C135" s="183"/>
      <c r="D135" s="183"/>
      <c r="E135" s="183"/>
      <c r="F135" s="183"/>
      <c r="G135" s="183"/>
      <c r="H135" s="183"/>
      <c r="I135" s="183"/>
      <c r="J135" s="183"/>
      <c r="K135" s="183"/>
      <c r="L135" s="183"/>
      <c r="M135" s="183"/>
      <c r="N135" s="183"/>
      <c r="O135" s="183"/>
      <c r="P135" s="183"/>
      <c r="Q135" s="183"/>
      <c r="R135" s="183"/>
      <c r="S135" s="183"/>
      <c r="T135" s="183"/>
      <c r="U135" s="183"/>
      <c r="V135" s="183"/>
      <c r="W135" s="183"/>
      <c r="X135" s="183"/>
      <c r="Y135" s="183"/>
    </row>
    <row r="136" spans="2:25" x14ac:dyDescent="0.3">
      <c r="B136" s="183"/>
      <c r="C136" s="183"/>
      <c r="D136" s="183"/>
      <c r="E136" s="183"/>
      <c r="F136" s="183"/>
      <c r="G136" s="183"/>
      <c r="H136" s="183"/>
      <c r="I136" s="183"/>
      <c r="J136" s="183"/>
      <c r="K136" s="183"/>
      <c r="L136" s="183"/>
      <c r="M136" s="183"/>
      <c r="N136" s="183"/>
      <c r="O136" s="183"/>
      <c r="P136" s="183"/>
      <c r="Q136" s="183"/>
      <c r="R136" s="183"/>
      <c r="S136" s="183"/>
      <c r="T136" s="183"/>
      <c r="U136" s="183"/>
      <c r="V136" s="183"/>
      <c r="W136" s="183"/>
      <c r="X136" s="183"/>
      <c r="Y136" s="183"/>
    </row>
    <row r="137" spans="2:25" x14ac:dyDescent="0.3">
      <c r="B137" s="183"/>
      <c r="C137" s="183"/>
      <c r="D137" s="183"/>
      <c r="E137" s="183"/>
      <c r="F137" s="183"/>
      <c r="G137" s="183"/>
      <c r="H137" s="183"/>
      <c r="I137" s="183"/>
      <c r="J137" s="183"/>
      <c r="K137" s="183"/>
      <c r="L137" s="183"/>
      <c r="M137" s="183"/>
      <c r="N137" s="183"/>
      <c r="O137" s="183"/>
      <c r="P137" s="183"/>
      <c r="Q137" s="183"/>
      <c r="R137" s="183"/>
      <c r="S137" s="183"/>
      <c r="T137" s="183"/>
      <c r="U137" s="183"/>
      <c r="V137" s="183"/>
      <c r="W137" s="183"/>
      <c r="X137" s="183"/>
      <c r="Y137" s="183"/>
    </row>
    <row r="138" spans="2:25" x14ac:dyDescent="0.3">
      <c r="B138" s="183"/>
      <c r="C138" s="183"/>
      <c r="D138" s="183"/>
      <c r="E138" s="183"/>
      <c r="F138" s="183"/>
      <c r="G138" s="183"/>
      <c r="H138" s="183"/>
      <c r="I138" s="183"/>
      <c r="J138" s="183"/>
      <c r="K138" s="183"/>
      <c r="L138" s="183"/>
      <c r="M138" s="183"/>
      <c r="N138" s="183"/>
      <c r="O138" s="183"/>
      <c r="P138" s="183"/>
      <c r="Q138" s="183"/>
      <c r="R138" s="183"/>
      <c r="S138" s="183"/>
      <c r="T138" s="183"/>
      <c r="U138" s="183"/>
      <c r="V138" s="183"/>
      <c r="W138" s="183"/>
      <c r="X138" s="183"/>
      <c r="Y138" s="183"/>
    </row>
    <row r="139" spans="2:25" x14ac:dyDescent="0.3">
      <c r="B139" s="183"/>
      <c r="C139" s="183"/>
      <c r="D139" s="183"/>
      <c r="E139" s="183"/>
      <c r="F139" s="183"/>
      <c r="G139" s="183"/>
      <c r="H139" s="183"/>
      <c r="I139" s="183"/>
      <c r="J139" s="183"/>
      <c r="K139" s="183"/>
      <c r="L139" s="183"/>
      <c r="M139" s="183"/>
      <c r="N139" s="183"/>
      <c r="O139" s="183"/>
      <c r="P139" s="183"/>
      <c r="Q139" s="183"/>
      <c r="R139" s="183"/>
      <c r="S139" s="183"/>
      <c r="T139" s="183"/>
      <c r="U139" s="183"/>
      <c r="V139" s="183"/>
      <c r="W139" s="183"/>
      <c r="X139" s="183"/>
      <c r="Y139" s="183"/>
    </row>
    <row r="140" spans="2:25" x14ac:dyDescent="0.3">
      <c r="B140" s="183"/>
      <c r="C140" s="183"/>
      <c r="D140" s="183"/>
      <c r="E140" s="183"/>
      <c r="F140" s="183"/>
      <c r="G140" s="183"/>
      <c r="H140" s="183"/>
      <c r="I140" s="183"/>
      <c r="J140" s="183"/>
      <c r="K140" s="183"/>
      <c r="L140" s="183"/>
      <c r="M140" s="183"/>
      <c r="N140" s="183"/>
      <c r="O140" s="183"/>
      <c r="P140" s="183"/>
      <c r="Q140" s="183"/>
      <c r="R140" s="183"/>
      <c r="S140" s="183"/>
      <c r="T140" s="183"/>
      <c r="U140" s="183"/>
      <c r="V140" s="183"/>
      <c r="W140" s="183"/>
      <c r="X140" s="183"/>
      <c r="Y140" s="183"/>
    </row>
    <row r="141" spans="2:25" x14ac:dyDescent="0.3">
      <c r="B141" s="183"/>
      <c r="C141" s="183"/>
      <c r="D141" s="183"/>
      <c r="E141" s="183"/>
      <c r="F141" s="183"/>
      <c r="G141" s="183"/>
      <c r="H141" s="183"/>
      <c r="I141" s="183"/>
      <c r="J141" s="183"/>
      <c r="K141" s="183"/>
      <c r="L141" s="183"/>
      <c r="M141" s="183"/>
      <c r="N141" s="183"/>
      <c r="O141" s="183"/>
      <c r="P141" s="183"/>
      <c r="Q141" s="183"/>
      <c r="R141" s="183"/>
      <c r="S141" s="183"/>
      <c r="T141" s="183"/>
      <c r="U141" s="183"/>
      <c r="V141" s="183"/>
      <c r="W141" s="183"/>
      <c r="X141" s="183"/>
      <c r="Y141" s="183"/>
    </row>
    <row r="142" spans="2:25" x14ac:dyDescent="0.3">
      <c r="B142" s="183"/>
      <c r="C142" s="183"/>
      <c r="D142" s="183"/>
      <c r="E142" s="183"/>
      <c r="F142" s="183"/>
      <c r="G142" s="183"/>
      <c r="H142" s="183"/>
      <c r="I142" s="183"/>
      <c r="J142" s="183"/>
      <c r="K142" s="183"/>
      <c r="L142" s="183"/>
      <c r="M142" s="183"/>
      <c r="N142" s="183"/>
      <c r="O142" s="183"/>
      <c r="P142" s="183"/>
      <c r="Q142" s="183"/>
      <c r="R142" s="183"/>
      <c r="S142" s="183"/>
      <c r="T142" s="183"/>
      <c r="U142" s="183"/>
      <c r="V142" s="183"/>
      <c r="W142" s="183"/>
      <c r="X142" s="183"/>
      <c r="Y142" s="183"/>
    </row>
    <row r="143" spans="2:25" x14ac:dyDescent="0.3">
      <c r="B143" s="183"/>
      <c r="C143" s="183"/>
      <c r="D143" s="183"/>
      <c r="E143" s="183"/>
      <c r="F143" s="183"/>
      <c r="G143" s="183"/>
      <c r="H143" s="183"/>
      <c r="I143" s="183"/>
      <c r="J143" s="183"/>
      <c r="K143" s="183"/>
      <c r="L143" s="183"/>
      <c r="M143" s="183"/>
      <c r="N143" s="183"/>
      <c r="O143" s="183"/>
      <c r="P143" s="183"/>
      <c r="Q143" s="183"/>
      <c r="R143" s="183"/>
      <c r="S143" s="183"/>
      <c r="T143" s="183"/>
      <c r="U143" s="183"/>
      <c r="V143" s="183"/>
      <c r="W143" s="183"/>
      <c r="X143" s="183"/>
      <c r="Y143" s="183"/>
    </row>
    <row r="144" spans="2:25" x14ac:dyDescent="0.3">
      <c r="B144" s="183"/>
      <c r="C144" s="183"/>
      <c r="D144" s="183"/>
      <c r="E144" s="183"/>
      <c r="F144" s="183"/>
      <c r="G144" s="183"/>
      <c r="H144" s="183"/>
      <c r="I144" s="183"/>
      <c r="J144" s="183"/>
      <c r="K144" s="183"/>
      <c r="L144" s="183"/>
      <c r="M144" s="183"/>
      <c r="N144" s="183"/>
      <c r="O144" s="183"/>
      <c r="P144" s="183"/>
      <c r="Q144" s="183"/>
      <c r="R144" s="183"/>
      <c r="S144" s="183"/>
      <c r="T144" s="183"/>
      <c r="U144" s="183"/>
      <c r="V144" s="183"/>
      <c r="W144" s="183"/>
      <c r="X144" s="183"/>
      <c r="Y144" s="183"/>
    </row>
    <row r="145" spans="2:25" x14ac:dyDescent="0.3">
      <c r="B145" s="183"/>
      <c r="C145" s="183"/>
      <c r="D145" s="183"/>
      <c r="E145" s="183"/>
      <c r="F145" s="183"/>
      <c r="G145" s="183"/>
      <c r="H145" s="183"/>
      <c r="I145" s="183"/>
      <c r="J145" s="183"/>
      <c r="K145" s="183"/>
      <c r="L145" s="183"/>
      <c r="M145" s="183"/>
      <c r="N145" s="183"/>
      <c r="O145" s="183"/>
      <c r="P145" s="183"/>
      <c r="Q145" s="183"/>
      <c r="R145" s="183"/>
      <c r="S145" s="183"/>
      <c r="T145" s="183"/>
      <c r="U145" s="183"/>
      <c r="V145" s="183"/>
      <c r="W145" s="183"/>
      <c r="X145" s="183"/>
      <c r="Y145" s="183"/>
    </row>
    <row r="146" spans="2:25" x14ac:dyDescent="0.3">
      <c r="B146" s="183"/>
      <c r="C146" s="183"/>
      <c r="D146" s="183"/>
      <c r="E146" s="183"/>
      <c r="F146" s="183"/>
      <c r="G146" s="183"/>
      <c r="H146" s="183"/>
      <c r="I146" s="183"/>
      <c r="J146" s="183"/>
      <c r="K146" s="183"/>
      <c r="L146" s="183"/>
      <c r="M146" s="183"/>
      <c r="N146" s="183"/>
      <c r="O146" s="183"/>
      <c r="P146" s="183"/>
      <c r="Q146" s="183"/>
      <c r="R146" s="183"/>
      <c r="S146" s="183"/>
      <c r="T146" s="183"/>
      <c r="U146" s="183"/>
      <c r="V146" s="183"/>
      <c r="W146" s="183"/>
      <c r="X146" s="183"/>
      <c r="Y146" s="183"/>
    </row>
    <row r="147" spans="2:25" x14ac:dyDescent="0.3">
      <c r="B147" s="183"/>
      <c r="C147" s="183"/>
      <c r="D147" s="183"/>
      <c r="E147" s="183"/>
      <c r="F147" s="183"/>
      <c r="G147" s="183"/>
      <c r="H147" s="183"/>
      <c r="I147" s="183"/>
      <c r="J147" s="183"/>
      <c r="K147" s="183"/>
      <c r="L147" s="183"/>
      <c r="M147" s="183"/>
      <c r="N147" s="183"/>
      <c r="O147" s="183"/>
      <c r="P147" s="183"/>
      <c r="Q147" s="183"/>
      <c r="R147" s="183"/>
      <c r="S147" s="183"/>
      <c r="T147" s="183"/>
      <c r="U147" s="183"/>
      <c r="V147" s="183"/>
      <c r="W147" s="183"/>
      <c r="X147" s="183"/>
      <c r="Y147" s="183"/>
    </row>
    <row r="148" spans="2:25" x14ac:dyDescent="0.3">
      <c r="B148" s="183"/>
      <c r="C148" s="183"/>
      <c r="D148" s="183"/>
      <c r="E148" s="183"/>
      <c r="F148" s="183"/>
      <c r="G148" s="183"/>
      <c r="H148" s="183"/>
      <c r="I148" s="183"/>
      <c r="J148" s="183"/>
      <c r="K148" s="183"/>
      <c r="L148" s="183"/>
      <c r="M148" s="183"/>
      <c r="N148" s="183"/>
      <c r="O148" s="183"/>
      <c r="P148" s="183"/>
      <c r="Q148" s="183"/>
      <c r="R148" s="183"/>
      <c r="S148" s="183"/>
      <c r="T148" s="183"/>
      <c r="U148" s="183"/>
      <c r="V148" s="183"/>
      <c r="W148" s="183"/>
      <c r="X148" s="183"/>
      <c r="Y148" s="183"/>
    </row>
    <row r="149" spans="2:25" x14ac:dyDescent="0.3">
      <c r="B149" s="183"/>
      <c r="C149" s="183"/>
      <c r="D149" s="183"/>
      <c r="E149" s="183"/>
      <c r="F149" s="183"/>
      <c r="G149" s="183"/>
      <c r="H149" s="183"/>
      <c r="I149" s="183"/>
      <c r="J149" s="183"/>
      <c r="K149" s="183"/>
      <c r="L149" s="183"/>
      <c r="M149" s="183"/>
      <c r="N149" s="183"/>
      <c r="O149" s="183"/>
      <c r="P149" s="183"/>
      <c r="Q149" s="183"/>
      <c r="R149" s="183"/>
      <c r="S149" s="183"/>
      <c r="T149" s="183"/>
      <c r="U149" s="183"/>
      <c r="V149" s="183"/>
      <c r="W149" s="183"/>
      <c r="X149" s="183"/>
      <c r="Y149" s="183"/>
    </row>
    <row r="150" spans="2:25" x14ac:dyDescent="0.3">
      <c r="B150" s="183"/>
      <c r="C150" s="183"/>
      <c r="D150" s="183"/>
      <c r="E150" s="183"/>
      <c r="F150" s="183"/>
      <c r="G150" s="183"/>
      <c r="H150" s="183"/>
      <c r="I150" s="183"/>
      <c r="J150" s="183"/>
      <c r="K150" s="183"/>
      <c r="L150" s="183"/>
      <c r="M150" s="183"/>
      <c r="N150" s="183"/>
      <c r="O150" s="183"/>
      <c r="P150" s="183"/>
      <c r="Q150" s="183"/>
      <c r="R150" s="183"/>
      <c r="S150" s="183"/>
      <c r="T150" s="183"/>
      <c r="U150" s="183"/>
      <c r="V150" s="183"/>
      <c r="W150" s="183"/>
      <c r="X150" s="183"/>
      <c r="Y150" s="183"/>
    </row>
    <row r="151" spans="2:25" x14ac:dyDescent="0.3">
      <c r="B151" s="183"/>
      <c r="C151" s="183"/>
      <c r="D151" s="183"/>
      <c r="E151" s="183"/>
      <c r="F151" s="183"/>
      <c r="G151" s="183"/>
      <c r="H151" s="183"/>
      <c r="I151" s="183"/>
      <c r="J151" s="183"/>
      <c r="K151" s="183"/>
      <c r="L151" s="183"/>
      <c r="M151" s="183"/>
      <c r="N151" s="183"/>
      <c r="O151" s="183"/>
      <c r="P151" s="183"/>
      <c r="Q151" s="183"/>
      <c r="R151" s="183"/>
      <c r="S151" s="183"/>
      <c r="T151" s="183"/>
      <c r="U151" s="183"/>
      <c r="V151" s="183"/>
      <c r="W151" s="183"/>
      <c r="X151" s="183"/>
      <c r="Y151" s="183"/>
    </row>
    <row r="152" spans="2:25" x14ac:dyDescent="0.3">
      <c r="B152" s="183"/>
      <c r="C152" s="183"/>
      <c r="D152" s="183"/>
      <c r="E152" s="183"/>
      <c r="F152" s="183"/>
      <c r="G152" s="183"/>
      <c r="H152" s="183"/>
      <c r="I152" s="183"/>
      <c r="J152" s="183"/>
      <c r="K152" s="183"/>
      <c r="L152" s="183"/>
      <c r="M152" s="183"/>
      <c r="N152" s="183"/>
      <c r="O152" s="183"/>
      <c r="P152" s="183"/>
      <c r="Q152" s="183"/>
      <c r="R152" s="183"/>
      <c r="S152" s="183"/>
      <c r="T152" s="183"/>
      <c r="U152" s="183"/>
      <c r="V152" s="183"/>
      <c r="W152" s="183"/>
      <c r="X152" s="183"/>
      <c r="Y152" s="183"/>
    </row>
    <row r="153" spans="2:25" x14ac:dyDescent="0.3">
      <c r="B153" s="183"/>
      <c r="C153" s="183"/>
      <c r="D153" s="183"/>
      <c r="E153" s="183"/>
      <c r="F153" s="183"/>
      <c r="G153" s="183"/>
      <c r="H153" s="183"/>
      <c r="I153" s="183"/>
      <c r="J153" s="183"/>
      <c r="K153" s="183"/>
      <c r="L153" s="183"/>
      <c r="M153" s="183"/>
      <c r="N153" s="183"/>
      <c r="O153" s="183"/>
      <c r="P153" s="183"/>
      <c r="Q153" s="183"/>
      <c r="R153" s="183"/>
      <c r="S153" s="183"/>
      <c r="T153" s="183"/>
      <c r="U153" s="183"/>
      <c r="V153" s="183"/>
      <c r="W153" s="183"/>
      <c r="X153" s="183"/>
      <c r="Y153" s="183"/>
    </row>
    <row r="154" spans="2:25" x14ac:dyDescent="0.3">
      <c r="B154" s="183"/>
      <c r="C154" s="183"/>
      <c r="D154" s="183"/>
      <c r="E154" s="183"/>
      <c r="F154" s="183"/>
      <c r="G154" s="183"/>
      <c r="H154" s="183"/>
      <c r="I154" s="183"/>
      <c r="J154" s="183"/>
      <c r="K154" s="183"/>
      <c r="L154" s="183"/>
      <c r="M154" s="183"/>
      <c r="N154" s="183"/>
      <c r="O154" s="183"/>
      <c r="P154" s="183"/>
      <c r="Q154" s="183"/>
      <c r="R154" s="183"/>
      <c r="S154" s="183"/>
      <c r="T154" s="183"/>
      <c r="U154" s="183"/>
      <c r="V154" s="183"/>
      <c r="W154" s="183"/>
      <c r="X154" s="183"/>
      <c r="Y154" s="183"/>
    </row>
    <row r="155" spans="2:25" x14ac:dyDescent="0.3">
      <c r="B155" s="183"/>
      <c r="C155" s="183"/>
      <c r="D155" s="183"/>
      <c r="E155" s="183"/>
      <c r="F155" s="183"/>
      <c r="G155" s="183"/>
      <c r="H155" s="183"/>
      <c r="I155" s="183"/>
      <c r="J155" s="183"/>
      <c r="K155" s="183"/>
      <c r="L155" s="183"/>
      <c r="M155" s="183"/>
      <c r="N155" s="183"/>
      <c r="O155" s="183"/>
      <c r="P155" s="183"/>
      <c r="Q155" s="183"/>
      <c r="R155" s="183"/>
      <c r="S155" s="183"/>
      <c r="T155" s="183"/>
      <c r="U155" s="183"/>
      <c r="V155" s="183"/>
      <c r="W155" s="183"/>
      <c r="X155" s="183"/>
      <c r="Y155" s="183"/>
    </row>
    <row r="156" spans="2:25" x14ac:dyDescent="0.3">
      <c r="B156" s="183"/>
      <c r="C156" s="183"/>
      <c r="D156" s="183"/>
      <c r="E156" s="183"/>
      <c r="F156" s="183"/>
      <c r="G156" s="183"/>
      <c r="H156" s="183"/>
      <c r="I156" s="183"/>
      <c r="J156" s="183"/>
      <c r="K156" s="183"/>
      <c r="L156" s="183"/>
      <c r="M156" s="183"/>
      <c r="N156" s="183"/>
      <c r="O156" s="183"/>
      <c r="P156" s="183"/>
      <c r="Q156" s="183"/>
      <c r="R156" s="183"/>
      <c r="S156" s="183"/>
      <c r="T156" s="183"/>
      <c r="U156" s="183"/>
      <c r="V156" s="183"/>
      <c r="W156" s="183"/>
      <c r="X156" s="183"/>
      <c r="Y156" s="183"/>
    </row>
    <row r="157" spans="2:25" x14ac:dyDescent="0.3">
      <c r="B157" s="183"/>
      <c r="C157" s="183"/>
      <c r="D157" s="183"/>
      <c r="E157" s="183"/>
      <c r="F157" s="183"/>
      <c r="G157" s="183"/>
      <c r="H157" s="183"/>
      <c r="I157" s="183"/>
      <c r="J157" s="183"/>
      <c r="K157" s="183"/>
      <c r="L157" s="183"/>
      <c r="M157" s="183"/>
      <c r="N157" s="183"/>
      <c r="O157" s="183"/>
      <c r="P157" s="183"/>
      <c r="Q157" s="183"/>
      <c r="R157" s="183"/>
      <c r="S157" s="183"/>
      <c r="T157" s="183"/>
      <c r="U157" s="183"/>
      <c r="V157" s="183"/>
      <c r="W157" s="183"/>
      <c r="X157" s="183"/>
      <c r="Y157" s="183"/>
    </row>
    <row r="158" spans="2:25" x14ac:dyDescent="0.3">
      <c r="B158" s="183"/>
      <c r="C158" s="183"/>
      <c r="D158" s="183"/>
      <c r="E158" s="183"/>
      <c r="F158" s="183"/>
      <c r="G158" s="183"/>
      <c r="H158" s="183"/>
      <c r="I158" s="183"/>
      <c r="J158" s="183"/>
      <c r="K158" s="183"/>
      <c r="L158" s="183"/>
      <c r="M158" s="183"/>
      <c r="N158" s="183"/>
      <c r="O158" s="183"/>
      <c r="P158" s="183"/>
      <c r="Q158" s="183"/>
      <c r="R158" s="183"/>
      <c r="S158" s="183"/>
      <c r="T158" s="183"/>
      <c r="U158" s="183"/>
      <c r="V158" s="183"/>
      <c r="W158" s="183"/>
      <c r="X158" s="183"/>
      <c r="Y158" s="183"/>
    </row>
    <row r="159" spans="2:25" x14ac:dyDescent="0.3">
      <c r="B159" s="183"/>
      <c r="C159" s="183"/>
      <c r="D159" s="183"/>
      <c r="E159" s="183"/>
      <c r="F159" s="183"/>
      <c r="G159" s="183"/>
      <c r="H159" s="183"/>
      <c r="I159" s="183"/>
      <c r="J159" s="183"/>
      <c r="K159" s="183"/>
      <c r="L159" s="183"/>
      <c r="M159" s="183"/>
      <c r="N159" s="183"/>
      <c r="O159" s="183"/>
      <c r="P159" s="183"/>
      <c r="Q159" s="183"/>
      <c r="R159" s="183"/>
      <c r="S159" s="183"/>
      <c r="T159" s="183"/>
      <c r="U159" s="183"/>
      <c r="V159" s="183"/>
      <c r="W159" s="183"/>
      <c r="X159" s="183"/>
      <c r="Y159" s="183"/>
    </row>
    <row r="160" spans="2:25" x14ac:dyDescent="0.3">
      <c r="B160" s="183"/>
      <c r="C160" s="183"/>
      <c r="D160" s="183"/>
      <c r="E160" s="183"/>
      <c r="F160" s="183"/>
      <c r="G160" s="183"/>
      <c r="H160" s="183"/>
      <c r="I160" s="183"/>
      <c r="J160" s="183"/>
      <c r="K160" s="183"/>
      <c r="L160" s="183"/>
      <c r="M160" s="183"/>
      <c r="N160" s="183"/>
      <c r="O160" s="183"/>
      <c r="P160" s="183"/>
      <c r="Q160" s="183"/>
      <c r="R160" s="183"/>
      <c r="S160" s="183"/>
      <c r="T160" s="183"/>
      <c r="U160" s="183"/>
      <c r="V160" s="183"/>
      <c r="W160" s="183"/>
      <c r="X160" s="183"/>
      <c r="Y160" s="183"/>
    </row>
    <row r="161" spans="2:25" x14ac:dyDescent="0.3">
      <c r="B161" s="183"/>
      <c r="C161" s="183"/>
      <c r="D161" s="183"/>
      <c r="E161" s="183"/>
      <c r="F161" s="183"/>
      <c r="G161" s="183"/>
      <c r="H161" s="183"/>
      <c r="I161" s="183"/>
      <c r="J161" s="183"/>
      <c r="K161" s="183"/>
      <c r="L161" s="183"/>
      <c r="M161" s="183"/>
      <c r="N161" s="183"/>
      <c r="O161" s="183"/>
      <c r="P161" s="183"/>
      <c r="Q161" s="183"/>
      <c r="R161" s="183"/>
      <c r="S161" s="183"/>
      <c r="T161" s="183"/>
      <c r="U161" s="183"/>
      <c r="V161" s="183"/>
      <c r="W161" s="183"/>
      <c r="X161" s="183"/>
      <c r="Y161" s="183"/>
    </row>
    <row r="162" spans="2:25" x14ac:dyDescent="0.3">
      <c r="B162" s="183"/>
      <c r="C162" s="183"/>
      <c r="D162" s="183"/>
      <c r="E162" s="183"/>
      <c r="F162" s="183"/>
      <c r="G162" s="183"/>
      <c r="H162" s="183"/>
      <c r="I162" s="183"/>
      <c r="J162" s="183"/>
      <c r="K162" s="183"/>
      <c r="L162" s="183"/>
      <c r="M162" s="183"/>
      <c r="N162" s="183"/>
      <c r="O162" s="183"/>
      <c r="P162" s="183"/>
      <c r="Q162" s="183"/>
      <c r="R162" s="183"/>
      <c r="S162" s="183"/>
      <c r="T162" s="183"/>
      <c r="U162" s="183"/>
      <c r="V162" s="183"/>
      <c r="W162" s="183"/>
      <c r="X162" s="183"/>
      <c r="Y162" s="183"/>
    </row>
    <row r="163" spans="2:25" x14ac:dyDescent="0.3">
      <c r="B163" s="183"/>
      <c r="C163" s="183"/>
      <c r="D163" s="183"/>
      <c r="E163" s="183"/>
      <c r="F163" s="183"/>
      <c r="G163" s="183"/>
      <c r="H163" s="183"/>
      <c r="I163" s="183"/>
      <c r="J163" s="183"/>
      <c r="K163" s="183"/>
      <c r="L163" s="183"/>
      <c r="M163" s="183"/>
      <c r="N163" s="183"/>
      <c r="O163" s="183"/>
      <c r="P163" s="183"/>
      <c r="Q163" s="183"/>
      <c r="R163" s="183"/>
      <c r="S163" s="183"/>
      <c r="T163" s="183"/>
      <c r="U163" s="183"/>
      <c r="V163" s="183"/>
      <c r="W163" s="183"/>
      <c r="X163" s="183"/>
      <c r="Y163" s="183"/>
    </row>
    <row r="164" spans="2:25" x14ac:dyDescent="0.3">
      <c r="B164" s="183"/>
      <c r="C164" s="183"/>
      <c r="D164" s="183"/>
      <c r="E164" s="183"/>
      <c r="F164" s="183"/>
      <c r="G164" s="183"/>
      <c r="H164" s="183"/>
      <c r="I164" s="183"/>
      <c r="J164" s="183"/>
      <c r="K164" s="183"/>
      <c r="L164" s="183"/>
      <c r="M164" s="183"/>
      <c r="N164" s="183"/>
      <c r="O164" s="183"/>
      <c r="P164" s="183"/>
      <c r="Q164" s="183"/>
      <c r="R164" s="183"/>
      <c r="S164" s="183"/>
      <c r="T164" s="183"/>
      <c r="U164" s="183"/>
      <c r="V164" s="183"/>
      <c r="W164" s="183"/>
      <c r="X164" s="183"/>
      <c r="Y164" s="183"/>
    </row>
    <row r="165" spans="2:25" x14ac:dyDescent="0.3">
      <c r="B165" s="183"/>
      <c r="C165" s="183"/>
      <c r="D165" s="183"/>
      <c r="E165" s="183"/>
      <c r="F165" s="183"/>
      <c r="G165" s="183"/>
      <c r="H165" s="183"/>
      <c r="I165" s="183"/>
      <c r="J165" s="183"/>
      <c r="K165" s="183"/>
      <c r="L165" s="183"/>
      <c r="M165" s="183"/>
      <c r="N165" s="183"/>
      <c r="O165" s="183"/>
      <c r="P165" s="183"/>
      <c r="Q165" s="183"/>
      <c r="R165" s="183"/>
      <c r="S165" s="183"/>
      <c r="T165" s="183"/>
      <c r="U165" s="183"/>
      <c r="V165" s="183"/>
      <c r="W165" s="183"/>
      <c r="X165" s="183"/>
      <c r="Y165" s="183"/>
    </row>
    <row r="166" spans="2:25" x14ac:dyDescent="0.3">
      <c r="B166" s="183"/>
      <c r="C166" s="183"/>
      <c r="D166" s="183"/>
      <c r="E166" s="183"/>
      <c r="F166" s="183"/>
      <c r="G166" s="183"/>
      <c r="H166" s="183"/>
      <c r="I166" s="183"/>
      <c r="J166" s="183"/>
      <c r="K166" s="183"/>
      <c r="L166" s="183"/>
      <c r="M166" s="183"/>
      <c r="N166" s="183"/>
      <c r="O166" s="183"/>
      <c r="P166" s="183"/>
      <c r="Q166" s="183"/>
      <c r="R166" s="183"/>
      <c r="S166" s="183"/>
      <c r="T166" s="183"/>
      <c r="U166" s="183"/>
      <c r="V166" s="183"/>
      <c r="W166" s="183"/>
      <c r="X166" s="183"/>
      <c r="Y166" s="183"/>
    </row>
    <row r="167" spans="2:25" x14ac:dyDescent="0.3">
      <c r="B167" s="183"/>
      <c r="C167" s="183"/>
      <c r="D167" s="183"/>
      <c r="E167" s="183"/>
      <c r="F167" s="183"/>
      <c r="G167" s="183"/>
      <c r="H167" s="183"/>
      <c r="I167" s="183"/>
      <c r="J167" s="183"/>
      <c r="K167" s="183"/>
      <c r="L167" s="183"/>
      <c r="M167" s="183"/>
      <c r="N167" s="183"/>
      <c r="O167" s="183"/>
      <c r="P167" s="183"/>
      <c r="Q167" s="183"/>
      <c r="R167" s="183"/>
      <c r="S167" s="183"/>
      <c r="T167" s="183"/>
      <c r="U167" s="183"/>
      <c r="V167" s="183"/>
      <c r="W167" s="183"/>
      <c r="X167" s="183"/>
      <c r="Y167" s="183"/>
    </row>
    <row r="168" spans="2:25" x14ac:dyDescent="0.3">
      <c r="B168" s="183"/>
      <c r="C168" s="183"/>
      <c r="D168" s="183"/>
      <c r="E168" s="183"/>
      <c r="F168" s="183"/>
      <c r="G168" s="183"/>
      <c r="H168" s="183"/>
      <c r="I168" s="183"/>
      <c r="J168" s="183"/>
      <c r="K168" s="183"/>
      <c r="L168" s="183"/>
      <c r="M168" s="183"/>
      <c r="N168" s="183"/>
      <c r="O168" s="183"/>
      <c r="P168" s="183"/>
      <c r="Q168" s="183"/>
      <c r="R168" s="183"/>
      <c r="S168" s="183"/>
      <c r="T168" s="183"/>
      <c r="U168" s="183"/>
      <c r="V168" s="183"/>
      <c r="W168" s="183"/>
      <c r="X168" s="183"/>
      <c r="Y168" s="183"/>
    </row>
    <row r="169" spans="2:25" x14ac:dyDescent="0.3">
      <c r="B169" s="183"/>
      <c r="C169" s="183"/>
      <c r="D169" s="183"/>
      <c r="E169" s="183"/>
      <c r="F169" s="183"/>
      <c r="G169" s="183"/>
      <c r="H169" s="183"/>
      <c r="I169" s="183"/>
      <c r="J169" s="183"/>
      <c r="K169" s="183"/>
      <c r="L169" s="183"/>
      <c r="M169" s="183"/>
      <c r="N169" s="183"/>
      <c r="O169" s="183"/>
      <c r="P169" s="183"/>
      <c r="Q169" s="183"/>
      <c r="R169" s="183"/>
      <c r="S169" s="183"/>
      <c r="T169" s="183"/>
      <c r="U169" s="183"/>
      <c r="V169" s="183"/>
      <c r="W169" s="183"/>
      <c r="X169" s="183"/>
      <c r="Y169" s="183"/>
    </row>
    <row r="170" spans="2:25" x14ac:dyDescent="0.3">
      <c r="B170" s="183"/>
      <c r="C170" s="183"/>
      <c r="D170" s="183"/>
      <c r="E170" s="183"/>
      <c r="F170" s="183"/>
      <c r="G170" s="183"/>
      <c r="H170" s="183"/>
      <c r="I170" s="183"/>
      <c r="J170" s="183"/>
      <c r="K170" s="183"/>
      <c r="L170" s="183"/>
      <c r="M170" s="183"/>
      <c r="N170" s="183"/>
      <c r="O170" s="183"/>
      <c r="P170" s="183"/>
      <c r="Q170" s="183"/>
      <c r="R170" s="183"/>
      <c r="S170" s="183"/>
      <c r="T170" s="183"/>
      <c r="U170" s="183"/>
      <c r="V170" s="183"/>
      <c r="W170" s="183"/>
      <c r="X170" s="183"/>
      <c r="Y170" s="183"/>
    </row>
    <row r="171" spans="2:25" x14ac:dyDescent="0.3">
      <c r="B171" s="183"/>
      <c r="C171" s="183"/>
      <c r="D171" s="183"/>
      <c r="E171" s="183"/>
      <c r="F171" s="183"/>
      <c r="G171" s="183"/>
      <c r="H171" s="183"/>
      <c r="I171" s="183"/>
      <c r="J171" s="183"/>
      <c r="K171" s="183"/>
      <c r="L171" s="183"/>
      <c r="M171" s="183"/>
      <c r="N171" s="183"/>
      <c r="O171" s="183"/>
      <c r="P171" s="183"/>
      <c r="Q171" s="183"/>
      <c r="R171" s="183"/>
      <c r="S171" s="183"/>
      <c r="T171" s="183"/>
      <c r="U171" s="183"/>
      <c r="V171" s="183"/>
      <c r="W171" s="183"/>
      <c r="X171" s="183"/>
      <c r="Y171" s="183"/>
    </row>
    <row r="172" spans="2:25" x14ac:dyDescent="0.3">
      <c r="B172" s="183"/>
      <c r="C172" s="183"/>
      <c r="D172" s="183"/>
      <c r="E172" s="183"/>
      <c r="F172" s="183"/>
      <c r="G172" s="183"/>
      <c r="H172" s="183"/>
      <c r="I172" s="183"/>
      <c r="J172" s="183"/>
      <c r="K172" s="183"/>
      <c r="L172" s="183"/>
      <c r="M172" s="183"/>
      <c r="N172" s="183"/>
      <c r="O172" s="183"/>
      <c r="P172" s="183"/>
      <c r="Q172" s="183"/>
      <c r="R172" s="183"/>
      <c r="S172" s="183"/>
      <c r="T172" s="183"/>
      <c r="U172" s="183"/>
      <c r="V172" s="183"/>
      <c r="W172" s="183"/>
      <c r="X172" s="183"/>
      <c r="Y172" s="183"/>
    </row>
    <row r="173" spans="2:25" x14ac:dyDescent="0.3">
      <c r="B173" s="183"/>
      <c r="C173" s="183"/>
      <c r="D173" s="183"/>
      <c r="E173" s="183"/>
      <c r="F173" s="183"/>
      <c r="G173" s="183"/>
      <c r="H173" s="183"/>
      <c r="I173" s="183"/>
      <c r="J173" s="183"/>
      <c r="K173" s="183"/>
      <c r="L173" s="183"/>
      <c r="M173" s="183"/>
      <c r="N173" s="183"/>
      <c r="O173" s="183"/>
      <c r="P173" s="183"/>
      <c r="Q173" s="183"/>
      <c r="R173" s="183"/>
      <c r="S173" s="183"/>
      <c r="T173" s="183"/>
      <c r="U173" s="183"/>
      <c r="V173" s="183"/>
      <c r="W173" s="183"/>
      <c r="X173" s="183"/>
      <c r="Y173" s="183"/>
    </row>
    <row r="174" spans="2:25" x14ac:dyDescent="0.3">
      <c r="B174" s="183"/>
      <c r="C174" s="183"/>
      <c r="D174" s="183"/>
      <c r="E174" s="183"/>
      <c r="F174" s="183"/>
      <c r="G174" s="183"/>
      <c r="H174" s="183"/>
      <c r="I174" s="183"/>
      <c r="J174" s="183"/>
      <c r="K174" s="183"/>
      <c r="L174" s="183"/>
      <c r="M174" s="183"/>
      <c r="N174" s="183"/>
      <c r="O174" s="183"/>
      <c r="P174" s="183"/>
      <c r="Q174" s="183"/>
      <c r="R174" s="183"/>
      <c r="S174" s="183"/>
      <c r="T174" s="183"/>
      <c r="U174" s="183"/>
      <c r="V174" s="183"/>
      <c r="W174" s="183"/>
      <c r="X174" s="183"/>
      <c r="Y174" s="183"/>
    </row>
    <row r="175" spans="2:25" x14ac:dyDescent="0.3">
      <c r="B175" s="183"/>
      <c r="C175" s="183"/>
      <c r="D175" s="183"/>
      <c r="E175" s="183"/>
      <c r="F175" s="183"/>
      <c r="G175" s="183"/>
      <c r="H175" s="183"/>
      <c r="I175" s="183"/>
      <c r="J175" s="183"/>
      <c r="K175" s="183"/>
      <c r="L175" s="183"/>
      <c r="M175" s="183"/>
      <c r="N175" s="183"/>
      <c r="O175" s="183"/>
      <c r="P175" s="183"/>
      <c r="Q175" s="183"/>
      <c r="R175" s="183"/>
      <c r="S175" s="183"/>
      <c r="T175" s="183"/>
      <c r="U175" s="183"/>
      <c r="V175" s="183"/>
      <c r="W175" s="183"/>
      <c r="X175" s="183"/>
      <c r="Y175" s="183"/>
    </row>
    <row r="176" spans="2:25" x14ac:dyDescent="0.3">
      <c r="B176" s="183"/>
      <c r="C176" s="183"/>
      <c r="D176" s="183"/>
      <c r="E176" s="183"/>
      <c r="F176" s="183"/>
      <c r="G176" s="183"/>
      <c r="H176" s="183"/>
      <c r="I176" s="183"/>
      <c r="J176" s="183"/>
      <c r="K176" s="183"/>
      <c r="L176" s="183"/>
      <c r="M176" s="183"/>
      <c r="N176" s="183"/>
      <c r="O176" s="183"/>
      <c r="P176" s="183"/>
      <c r="Q176" s="183"/>
      <c r="R176" s="183"/>
      <c r="S176" s="183"/>
      <c r="T176" s="183"/>
      <c r="U176" s="183"/>
      <c r="V176" s="183"/>
      <c r="W176" s="183"/>
      <c r="X176" s="183"/>
      <c r="Y176" s="183"/>
    </row>
    <row r="177" spans="2:25" x14ac:dyDescent="0.3">
      <c r="B177" s="183"/>
      <c r="C177" s="183"/>
      <c r="D177" s="183"/>
      <c r="E177" s="183"/>
      <c r="F177" s="183"/>
      <c r="G177" s="183"/>
      <c r="H177" s="183"/>
      <c r="I177" s="183"/>
      <c r="J177" s="183"/>
      <c r="K177" s="183"/>
      <c r="L177" s="183"/>
      <c r="M177" s="183"/>
      <c r="N177" s="183"/>
      <c r="O177" s="183"/>
      <c r="P177" s="183"/>
      <c r="Q177" s="183"/>
      <c r="R177" s="183"/>
      <c r="S177" s="183"/>
      <c r="T177" s="183"/>
      <c r="U177" s="183"/>
      <c r="V177" s="183"/>
      <c r="W177" s="183"/>
      <c r="X177" s="183"/>
      <c r="Y177" s="183"/>
    </row>
    <row r="178" spans="2:25" x14ac:dyDescent="0.3">
      <c r="B178" s="183"/>
      <c r="C178" s="183"/>
      <c r="D178" s="183"/>
      <c r="E178" s="183"/>
      <c r="F178" s="183"/>
      <c r="G178" s="183"/>
      <c r="H178" s="183"/>
      <c r="I178" s="183"/>
      <c r="J178" s="183"/>
      <c r="K178" s="183"/>
      <c r="L178" s="183"/>
      <c r="M178" s="183"/>
      <c r="N178" s="183"/>
      <c r="O178" s="183"/>
      <c r="P178" s="183"/>
      <c r="Q178" s="183"/>
      <c r="R178" s="183"/>
      <c r="S178" s="183"/>
      <c r="T178" s="183"/>
      <c r="U178" s="183"/>
      <c r="V178" s="183"/>
      <c r="W178" s="183"/>
      <c r="X178" s="183"/>
      <c r="Y178" s="183"/>
    </row>
    <row r="179" spans="2:25" x14ac:dyDescent="0.3">
      <c r="B179" s="183"/>
      <c r="C179" s="183"/>
      <c r="D179" s="183"/>
      <c r="E179" s="183"/>
      <c r="F179" s="183"/>
      <c r="G179" s="183"/>
      <c r="H179" s="183"/>
      <c r="I179" s="183"/>
      <c r="J179" s="183"/>
      <c r="K179" s="183"/>
      <c r="L179" s="183"/>
      <c r="M179" s="183"/>
      <c r="N179" s="183"/>
      <c r="O179" s="183"/>
      <c r="P179" s="183"/>
      <c r="Q179" s="183"/>
      <c r="R179" s="183"/>
      <c r="S179" s="183"/>
      <c r="T179" s="183"/>
      <c r="U179" s="183"/>
      <c r="V179" s="183"/>
      <c r="W179" s="183"/>
      <c r="X179" s="183"/>
      <c r="Y179" s="183"/>
    </row>
    <row r="180" spans="2:25" x14ac:dyDescent="0.3">
      <c r="B180" s="183"/>
      <c r="C180" s="183"/>
      <c r="D180" s="183"/>
      <c r="E180" s="183"/>
      <c r="F180" s="183"/>
      <c r="G180" s="183"/>
      <c r="H180" s="183"/>
      <c r="I180" s="183"/>
      <c r="J180" s="183"/>
      <c r="K180" s="183"/>
      <c r="L180" s="183"/>
      <c r="M180" s="183"/>
      <c r="N180" s="183"/>
      <c r="O180" s="183"/>
      <c r="P180" s="183"/>
      <c r="Q180" s="183"/>
      <c r="R180" s="183"/>
      <c r="S180" s="183"/>
      <c r="T180" s="183"/>
      <c r="U180" s="183"/>
      <c r="V180" s="183"/>
      <c r="W180" s="183"/>
      <c r="X180" s="183"/>
      <c r="Y180" s="183"/>
    </row>
    <row r="181" spans="2:25" x14ac:dyDescent="0.3">
      <c r="B181" s="183"/>
      <c r="C181" s="183"/>
      <c r="D181" s="183"/>
      <c r="E181" s="183"/>
      <c r="F181" s="183"/>
      <c r="G181" s="183"/>
      <c r="H181" s="183"/>
      <c r="I181" s="183"/>
      <c r="J181" s="183"/>
      <c r="K181" s="183"/>
      <c r="L181" s="183"/>
      <c r="M181" s="183"/>
      <c r="N181" s="183"/>
      <c r="O181" s="183"/>
      <c r="P181" s="183"/>
      <c r="Q181" s="183"/>
      <c r="R181" s="183"/>
      <c r="S181" s="183"/>
      <c r="T181" s="183"/>
      <c r="U181" s="183"/>
      <c r="V181" s="183"/>
      <c r="W181" s="183"/>
      <c r="X181" s="183"/>
      <c r="Y181" s="183"/>
    </row>
    <row r="182" spans="2:25" x14ac:dyDescent="0.3">
      <c r="B182" s="183"/>
      <c r="C182" s="183"/>
      <c r="D182" s="183"/>
      <c r="E182" s="183"/>
      <c r="F182" s="183"/>
      <c r="G182" s="183"/>
      <c r="H182" s="183"/>
      <c r="I182" s="183"/>
      <c r="J182" s="183"/>
      <c r="K182" s="183"/>
      <c r="L182" s="183"/>
      <c r="M182" s="183"/>
      <c r="N182" s="183"/>
      <c r="O182" s="183"/>
      <c r="P182" s="183"/>
      <c r="Q182" s="183"/>
      <c r="R182" s="183"/>
      <c r="S182" s="183"/>
      <c r="T182" s="183"/>
      <c r="U182" s="183"/>
      <c r="V182" s="183"/>
      <c r="W182" s="183"/>
      <c r="X182" s="183"/>
      <c r="Y182" s="183"/>
    </row>
    <row r="183" spans="2:25" x14ac:dyDescent="0.3">
      <c r="B183" s="183"/>
      <c r="C183" s="183"/>
      <c r="D183" s="183"/>
      <c r="E183" s="183"/>
      <c r="F183" s="183"/>
      <c r="G183" s="183"/>
      <c r="H183" s="183"/>
      <c r="I183" s="183"/>
      <c r="J183" s="183"/>
      <c r="K183" s="183"/>
      <c r="L183" s="183"/>
      <c r="M183" s="183"/>
      <c r="N183" s="183"/>
      <c r="O183" s="183"/>
      <c r="P183" s="183"/>
      <c r="Q183" s="183"/>
      <c r="R183" s="183"/>
      <c r="S183" s="183"/>
      <c r="T183" s="183"/>
      <c r="U183" s="183"/>
      <c r="V183" s="183"/>
      <c r="W183" s="183"/>
      <c r="X183" s="183"/>
      <c r="Y183" s="183"/>
    </row>
    <row r="184" spans="2:25" x14ac:dyDescent="0.3">
      <c r="B184" s="183"/>
      <c r="C184" s="183"/>
      <c r="D184" s="183"/>
      <c r="E184" s="183"/>
      <c r="F184" s="183"/>
      <c r="G184" s="183"/>
      <c r="H184" s="183"/>
      <c r="I184" s="183"/>
      <c r="J184" s="183"/>
      <c r="K184" s="183"/>
      <c r="L184" s="183"/>
      <c r="M184" s="183"/>
      <c r="N184" s="183"/>
      <c r="O184" s="183"/>
      <c r="P184" s="183"/>
      <c r="Q184" s="183"/>
      <c r="R184" s="183"/>
      <c r="S184" s="183"/>
      <c r="T184" s="183"/>
      <c r="U184" s="183"/>
      <c r="V184" s="183"/>
      <c r="W184" s="183"/>
      <c r="X184" s="183"/>
      <c r="Y184" s="183"/>
    </row>
    <row r="185" spans="2:25" x14ac:dyDescent="0.3">
      <c r="B185" s="183"/>
      <c r="C185" s="183"/>
      <c r="D185" s="183"/>
      <c r="E185" s="183"/>
      <c r="F185" s="183"/>
      <c r="G185" s="183"/>
      <c r="H185" s="183"/>
      <c r="I185" s="183"/>
      <c r="J185" s="183"/>
      <c r="K185" s="183"/>
      <c r="L185" s="183"/>
      <c r="M185" s="183"/>
      <c r="N185" s="183"/>
      <c r="O185" s="183"/>
      <c r="P185" s="183"/>
      <c r="Q185" s="183"/>
      <c r="R185" s="183"/>
      <c r="S185" s="183"/>
      <c r="T185" s="183"/>
      <c r="U185" s="183"/>
      <c r="V185" s="183"/>
      <c r="W185" s="183"/>
      <c r="X185" s="183"/>
      <c r="Y185" s="183"/>
    </row>
    <row r="186" spans="2:25" x14ac:dyDescent="0.3">
      <c r="B186" s="183"/>
      <c r="C186" s="183"/>
      <c r="D186" s="183"/>
      <c r="E186" s="183"/>
      <c r="F186" s="183"/>
      <c r="G186" s="183"/>
      <c r="H186" s="183"/>
      <c r="I186" s="183"/>
      <c r="J186" s="183"/>
      <c r="K186" s="183"/>
      <c r="L186" s="183"/>
      <c r="M186" s="183"/>
      <c r="N186" s="183"/>
      <c r="O186" s="183"/>
      <c r="P186" s="183"/>
      <c r="Q186" s="183"/>
      <c r="R186" s="183"/>
      <c r="S186" s="183"/>
      <c r="T186" s="183"/>
      <c r="U186" s="183"/>
      <c r="V186" s="183"/>
      <c r="W186" s="183"/>
      <c r="X186" s="183"/>
      <c r="Y186" s="183"/>
    </row>
  </sheetData>
  <sheetProtection algorithmName="SHA-512" hashValue="bZGs5stLR9fve/VYRCsTLxMWNkv06dWMwK3er+/xY50yCLdr71QP9p+64s6Rcy6Ij2uelVeiqMfJ8nEZ26kU2g==" saltValue="GeIvnCTPIQrVdwSmtAnNIQ==" spinCount="100000" sheet="1" objects="1" scenarios="1" formatCells="0" formatColumns="0" formatRows="0"/>
  <mergeCells count="3">
    <mergeCell ref="B7:C8"/>
    <mergeCell ref="F7:G9"/>
    <mergeCell ref="Q7:R7"/>
  </mergeCells>
  <conditionalFormatting sqref="B14">
    <cfRule type="containsText" dxfId="74" priority="11" operator="containsText" text="Incomplete">
      <formula>NOT(ISERROR(SEARCH("Incomplete",B14)))</formula>
    </cfRule>
    <cfRule type="containsText" dxfId="73" priority="12" operator="containsText" text="OK">
      <formula>NOT(ISERROR(SEARCH("OK",B14)))</formula>
    </cfRule>
  </conditionalFormatting>
  <conditionalFormatting sqref="F7">
    <cfRule type="containsText" dxfId="72" priority="5" operator="containsText" text="Transportation">
      <formula>NOT(ISERROR(SEARCH("Transportation",F7)))</formula>
    </cfRule>
    <cfRule type="containsText" dxfId="71" priority="6" operator="containsText" text="fleet">
      <formula>NOT(ISERROR(SEARCH("fleet",F7)))</formula>
    </cfRule>
  </conditionalFormatting>
  <conditionalFormatting sqref="B15:B54">
    <cfRule type="containsText" dxfId="70" priority="1" operator="containsText" text="Incomplete">
      <formula>NOT(ISERROR(SEARCH("Incomplete",B15)))</formula>
    </cfRule>
    <cfRule type="containsText" dxfId="69" priority="2" operator="containsText" text="OK">
      <formula>NOT(ISERROR(SEARCH("OK",B15)))</formula>
    </cfRule>
  </conditionalFormatting>
  <dataValidations count="4">
    <dataValidation type="list" errorStyle="warning" allowBlank="1" showInputMessage="1" sqref="G14:G54">
      <formula1>Refrigerants3</formula1>
    </dataValidation>
    <dataValidation type="list" allowBlank="1" showInputMessage="1" showErrorMessage="1" sqref="D14:D54">
      <formula1>FedBuildingType2</formula1>
    </dataValidation>
    <dataValidation type="list" allowBlank="1" showInputMessage="1" showErrorMessage="1" sqref="E14:E54">
      <formula1>EquipType</formula1>
    </dataValidation>
    <dataValidation type="list" allowBlank="1" showInputMessage="1" showErrorMessage="1" errorTitle="Incorrect Facility Name" error="In the &quot;Inputs&quot; page, please add your facility or region name to the list. You can then select it here from the drop down list." sqref="C15:C54">
      <formula1>Facility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17" r:id="rId4" name="Option Button 29">
              <controlPr defaultSize="0" autoFill="0" autoLine="0" autoPict="0">
                <anchor moveWithCells="1">
                  <from>
                    <xdr:col>1</xdr:col>
                    <xdr:colOff>350520</xdr:colOff>
                    <xdr:row>8</xdr:row>
                    <xdr:rowOff>0</xdr:rowOff>
                  </from>
                  <to>
                    <xdr:col>2</xdr:col>
                    <xdr:colOff>807720</xdr:colOff>
                    <xdr:row>9</xdr:row>
                    <xdr:rowOff>7620</xdr:rowOff>
                  </to>
                </anchor>
              </controlPr>
            </control>
          </mc:Choice>
        </mc:AlternateContent>
        <mc:AlternateContent xmlns:mc="http://schemas.openxmlformats.org/markup-compatibility/2006">
          <mc:Choice Requires="x14">
            <control shapeId="12318" r:id="rId5" name="Option Button 30">
              <controlPr defaultSize="0" autoFill="0" autoLine="0" autoPict="0">
                <anchor moveWithCells="1">
                  <from>
                    <xdr:col>1</xdr:col>
                    <xdr:colOff>350520</xdr:colOff>
                    <xdr:row>8</xdr:row>
                    <xdr:rowOff>220980</xdr:rowOff>
                  </from>
                  <to>
                    <xdr:col>2</xdr:col>
                    <xdr:colOff>807720</xdr:colOff>
                    <xdr:row>10</xdr:row>
                    <xdr:rowOff>7620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3"/>
  </sheetPr>
  <dimension ref="A1:AR100"/>
  <sheetViews>
    <sheetView showGridLines="0" showRowColHeaders="0" zoomScale="90" zoomScaleNormal="90" workbookViewId="0">
      <pane xSplit="3" ySplit="12" topLeftCell="D13" activePane="bottomRight" state="frozen"/>
      <selection pane="topRight" activeCell="D1" sqref="D1"/>
      <selection pane="bottomLeft" activeCell="A13" sqref="A13"/>
      <selection pane="bottomRight"/>
    </sheetView>
  </sheetViews>
  <sheetFormatPr defaultRowHeight="14.4" x14ac:dyDescent="0.3"/>
  <cols>
    <col min="1" max="1" width="2.88671875" customWidth="1"/>
    <col min="2" max="2" width="11.44140625" customWidth="1"/>
    <col min="3" max="3" width="18.6640625" customWidth="1"/>
    <col min="4" max="4" width="29.109375" customWidth="1"/>
    <col min="5" max="5" width="42.5546875" customWidth="1"/>
    <col min="6" max="6" width="17.5546875" customWidth="1"/>
    <col min="7" max="7" width="18.88671875" customWidth="1"/>
    <col min="8" max="10" width="17.88671875" customWidth="1"/>
    <col min="11" max="14" width="17.88671875" hidden="1" customWidth="1"/>
    <col min="15" max="16" width="17.88671875" customWidth="1"/>
    <col min="17" max="17" width="13" customWidth="1"/>
    <col min="18" max="18" width="12.33203125" customWidth="1"/>
    <col min="19" max="19" width="14.6640625" hidden="1" customWidth="1"/>
    <col min="20" max="20" width="11.44140625" customWidth="1"/>
    <col min="21" max="21" width="15.44140625" customWidth="1"/>
  </cols>
  <sheetData>
    <row r="1" spans="1:44" ht="7.5" customHeight="1" x14ac:dyDescent="0.3">
      <c r="A1" s="44"/>
      <c r="B1" s="44"/>
      <c r="C1" s="44"/>
      <c r="D1" s="44"/>
      <c r="E1" s="44"/>
      <c r="F1" s="44"/>
      <c r="G1" s="44"/>
      <c r="H1" s="44"/>
      <c r="I1" s="44"/>
      <c r="J1" s="44"/>
      <c r="K1" s="44"/>
      <c r="L1" s="44"/>
      <c r="M1" s="44"/>
      <c r="N1" s="44"/>
      <c r="O1" s="44"/>
      <c r="P1" s="44"/>
      <c r="Q1" s="44"/>
      <c r="R1" s="44"/>
      <c r="S1" s="44"/>
      <c r="T1" s="44"/>
      <c r="U1" s="44"/>
      <c r="V1" s="44"/>
      <c r="W1" s="44"/>
      <c r="X1" s="44"/>
      <c r="Y1" s="44"/>
      <c r="Z1" s="44"/>
      <c r="AA1" s="44"/>
      <c r="AB1" s="44"/>
      <c r="AC1" s="44"/>
      <c r="AD1" s="44"/>
      <c r="AE1" s="44"/>
      <c r="AF1" s="44"/>
      <c r="AG1" s="44"/>
      <c r="AH1" s="44"/>
      <c r="AI1" s="44"/>
      <c r="AJ1" s="44"/>
      <c r="AK1" s="44"/>
      <c r="AL1" s="44"/>
      <c r="AM1" s="44"/>
      <c r="AN1" s="44"/>
      <c r="AO1" s="44"/>
      <c r="AP1" s="44"/>
      <c r="AQ1" s="44"/>
      <c r="AR1" s="44"/>
    </row>
    <row r="2" spans="1:44" ht="26.25" customHeight="1" x14ac:dyDescent="0.65">
      <c r="A2" s="44"/>
      <c r="B2" s="44"/>
      <c r="C2" s="45" t="s">
        <v>2</v>
      </c>
      <c r="D2" s="45"/>
      <c r="E2" s="44"/>
      <c r="F2" s="44"/>
      <c r="G2" s="44"/>
      <c r="H2" s="44"/>
      <c r="I2" s="44"/>
      <c r="J2" s="44"/>
      <c r="K2" s="44"/>
      <c r="L2" s="44"/>
      <c r="M2" s="44"/>
      <c r="N2" s="44"/>
      <c r="O2" s="44"/>
      <c r="P2" s="44"/>
      <c r="Q2" s="44"/>
      <c r="R2" s="44"/>
      <c r="S2" s="44"/>
      <c r="T2" s="44"/>
      <c r="U2" s="44"/>
      <c r="V2" s="44"/>
      <c r="W2" s="44"/>
      <c r="X2" s="44"/>
      <c r="Y2" s="44"/>
      <c r="Z2" s="44"/>
      <c r="AA2" s="44"/>
      <c r="AB2" s="44"/>
      <c r="AC2" s="44"/>
      <c r="AD2" s="44"/>
      <c r="AE2" s="44"/>
      <c r="AF2" s="44"/>
      <c r="AG2" s="44"/>
      <c r="AH2" s="44"/>
      <c r="AI2" s="44"/>
      <c r="AJ2" s="44"/>
      <c r="AK2" s="44"/>
      <c r="AL2" s="44"/>
      <c r="AM2" s="44"/>
      <c r="AN2" s="44"/>
      <c r="AO2" s="44"/>
      <c r="AP2" s="44"/>
      <c r="AQ2" s="44"/>
      <c r="AR2" s="44"/>
    </row>
    <row r="3" spans="1:44" ht="7.5" customHeight="1" thickBot="1" x14ac:dyDescent="0.35">
      <c r="A3" s="46"/>
      <c r="B3" s="46"/>
      <c r="C3" s="47"/>
      <c r="D3" s="47"/>
      <c r="E3" s="47"/>
      <c r="F3" s="47"/>
      <c r="G3" s="47"/>
      <c r="H3" s="47"/>
      <c r="I3" s="47"/>
      <c r="J3" s="47"/>
      <c r="K3" s="47"/>
      <c r="L3" s="47"/>
      <c r="M3" s="47"/>
      <c r="N3" s="47"/>
      <c r="O3" s="47"/>
      <c r="P3" s="47"/>
      <c r="Q3" s="47"/>
      <c r="R3" s="47"/>
      <c r="S3" s="47"/>
      <c r="T3" s="47"/>
      <c r="U3" s="47"/>
      <c r="V3" s="47"/>
      <c r="W3" s="47"/>
      <c r="X3" s="47"/>
      <c r="Y3" s="47"/>
      <c r="Z3" s="47"/>
      <c r="AA3" s="47"/>
      <c r="AB3" s="47"/>
      <c r="AC3" s="47"/>
      <c r="AD3" s="47"/>
      <c r="AE3" s="47"/>
      <c r="AF3" s="47"/>
      <c r="AG3" s="47"/>
      <c r="AH3" s="47"/>
      <c r="AI3" s="47"/>
      <c r="AJ3" s="47"/>
      <c r="AK3" s="47"/>
      <c r="AL3" s="47"/>
      <c r="AM3" s="47"/>
      <c r="AN3" s="47"/>
      <c r="AO3" s="47"/>
      <c r="AP3" s="47"/>
      <c r="AQ3" s="47"/>
      <c r="AR3" s="47"/>
    </row>
    <row r="4" spans="1:44" ht="18.600000000000001" thickTop="1" x14ac:dyDescent="0.35">
      <c r="A4" s="44"/>
      <c r="B4" s="44"/>
      <c r="C4" s="48"/>
      <c r="D4" s="48"/>
      <c r="E4" s="44"/>
      <c r="F4" s="44"/>
      <c r="G4" s="44"/>
      <c r="H4" s="44"/>
      <c r="I4" s="44"/>
      <c r="J4" s="44"/>
      <c r="K4" s="44"/>
      <c r="L4" s="44"/>
      <c r="M4" s="44"/>
      <c r="N4" s="44"/>
      <c r="O4" s="44"/>
      <c r="P4" s="44"/>
      <c r="Q4" s="44"/>
      <c r="R4" s="44"/>
      <c r="S4" s="44"/>
      <c r="T4" s="44"/>
      <c r="U4" s="44"/>
      <c r="V4" s="44"/>
      <c r="W4" s="44"/>
      <c r="X4" s="44"/>
      <c r="Y4" s="44"/>
      <c r="Z4" s="44"/>
      <c r="AA4" s="44"/>
      <c r="AB4" s="44"/>
      <c r="AC4" s="44"/>
      <c r="AD4" s="44"/>
      <c r="AE4" s="44"/>
      <c r="AF4" s="44"/>
      <c r="AG4" s="44"/>
      <c r="AH4" s="44"/>
      <c r="AI4" s="44"/>
      <c r="AJ4" s="44"/>
      <c r="AK4" s="44"/>
      <c r="AL4" s="44"/>
      <c r="AM4" s="44"/>
      <c r="AN4" s="44"/>
      <c r="AO4" s="44"/>
      <c r="AP4" s="44"/>
      <c r="AQ4" s="44"/>
      <c r="AR4" s="44"/>
    </row>
    <row r="5" spans="1:44" ht="18" x14ac:dyDescent="0.35">
      <c r="A5" s="44"/>
      <c r="B5" s="44"/>
      <c r="C5" s="48" t="s">
        <v>482</v>
      </c>
      <c r="D5" s="48"/>
      <c r="E5" s="44"/>
      <c r="F5" s="44"/>
      <c r="G5" s="44"/>
      <c r="H5" s="44"/>
      <c r="I5" s="44"/>
      <c r="J5" s="44"/>
      <c r="K5" s="44"/>
      <c r="L5" s="44"/>
      <c r="M5" s="44"/>
      <c r="N5" s="44"/>
      <c r="O5" s="44"/>
      <c r="P5" s="44"/>
      <c r="Q5" s="44"/>
      <c r="R5" s="44"/>
      <c r="S5" s="44"/>
      <c r="T5" s="44"/>
      <c r="U5" s="44"/>
      <c r="V5" s="44"/>
      <c r="W5" s="44"/>
      <c r="X5" s="44"/>
      <c r="Y5" s="44"/>
      <c r="Z5" s="44"/>
      <c r="AA5" s="44"/>
      <c r="AB5" s="44"/>
      <c r="AC5" s="44"/>
      <c r="AD5" s="44"/>
      <c r="AE5" s="44"/>
      <c r="AF5" s="44"/>
      <c r="AG5" s="44"/>
      <c r="AH5" s="44"/>
      <c r="AI5" s="44"/>
      <c r="AJ5" s="44"/>
      <c r="AK5" s="44"/>
      <c r="AL5" s="44"/>
      <c r="AM5" s="44"/>
      <c r="AN5" s="44"/>
      <c r="AO5" s="44"/>
      <c r="AP5" s="44"/>
      <c r="AQ5" s="44"/>
      <c r="AR5" s="44"/>
    </row>
    <row r="6" spans="1:44" ht="6" customHeight="1" thickBot="1" x14ac:dyDescent="0.35"/>
    <row r="7" spans="1:44" ht="17.25" customHeight="1" x14ac:dyDescent="0.3">
      <c r="B7" s="369" t="s">
        <v>494</v>
      </c>
      <c r="C7" s="366"/>
      <c r="D7" s="180" t="s">
        <v>382</v>
      </c>
      <c r="E7" s="72"/>
      <c r="V7" s="183"/>
      <c r="W7" s="183"/>
      <c r="X7" s="183"/>
      <c r="Y7" s="183"/>
      <c r="Z7" s="183"/>
      <c r="AA7" s="183"/>
      <c r="AB7" s="183"/>
      <c r="AC7" s="183"/>
      <c r="AD7" s="183"/>
      <c r="AE7" s="183"/>
      <c r="AF7" s="183"/>
      <c r="AG7" s="183"/>
      <c r="AH7" s="183"/>
      <c r="AI7" s="183"/>
      <c r="AJ7" s="183"/>
      <c r="AK7" s="183"/>
      <c r="AL7" s="183"/>
    </row>
    <row r="8" spans="1:44" ht="17.25" customHeight="1" x14ac:dyDescent="0.3">
      <c r="B8" s="368"/>
      <c r="C8" s="214"/>
      <c r="D8" s="174" t="s">
        <v>383</v>
      </c>
      <c r="E8" s="93"/>
      <c r="V8" s="183"/>
      <c r="W8" s="183"/>
      <c r="X8" s="183"/>
      <c r="Y8" s="183"/>
      <c r="Z8" s="183"/>
      <c r="AA8" s="183"/>
      <c r="AB8" s="183"/>
      <c r="AC8" s="183"/>
      <c r="AD8" s="183"/>
      <c r="AE8" s="183"/>
      <c r="AF8" s="183"/>
      <c r="AG8" s="183"/>
      <c r="AH8" s="183"/>
      <c r="AI8" s="183"/>
      <c r="AJ8" s="183"/>
      <c r="AK8" s="183"/>
      <c r="AL8" s="183"/>
    </row>
    <row r="9" spans="1:44" ht="17.25" customHeight="1" thickBot="1" x14ac:dyDescent="0.4">
      <c r="B9" s="370">
        <v>2</v>
      </c>
      <c r="C9" s="367"/>
      <c r="D9" s="179" t="s">
        <v>384</v>
      </c>
      <c r="E9" s="70"/>
      <c r="G9" s="3" t="s">
        <v>458</v>
      </c>
      <c r="H9" s="3" t="s">
        <v>28</v>
      </c>
      <c r="I9" s="3" t="s">
        <v>29</v>
      </c>
      <c r="J9" s="3" t="s">
        <v>459</v>
      </c>
      <c r="K9" s="3" t="s">
        <v>30</v>
      </c>
      <c r="L9" s="3" t="s">
        <v>31</v>
      </c>
      <c r="M9" s="3" t="s">
        <v>32</v>
      </c>
      <c r="N9" s="3" t="s">
        <v>33</v>
      </c>
      <c r="O9" s="3" t="s">
        <v>30</v>
      </c>
      <c r="P9" s="3" t="s">
        <v>31</v>
      </c>
      <c r="Q9" s="3" t="s">
        <v>32</v>
      </c>
      <c r="R9" s="3" t="s">
        <v>33</v>
      </c>
      <c r="V9" s="183"/>
      <c r="W9" s="183"/>
      <c r="X9" s="183"/>
      <c r="Y9" s="183"/>
      <c r="Z9" s="183"/>
      <c r="AA9" s="183"/>
      <c r="AB9" s="183"/>
      <c r="AC9" s="183"/>
      <c r="AD9" s="183"/>
      <c r="AE9" s="183"/>
      <c r="AF9" s="183"/>
      <c r="AG9" s="183"/>
      <c r="AH9" s="183"/>
      <c r="AI9" s="183"/>
      <c r="AJ9" s="183"/>
      <c r="AK9" s="183"/>
      <c r="AL9" s="183"/>
    </row>
    <row r="10" spans="1:44" ht="5.25" customHeight="1" thickBot="1" x14ac:dyDescent="0.35">
      <c r="G10" s="3"/>
      <c r="H10" s="3"/>
      <c r="I10" s="3"/>
      <c r="J10" s="3"/>
      <c r="K10" s="3"/>
      <c r="L10" s="3"/>
      <c r="M10" s="3"/>
      <c r="N10" s="3"/>
      <c r="O10" s="3"/>
      <c r="P10" s="3"/>
      <c r="Q10" s="3"/>
      <c r="R10" s="3"/>
      <c r="V10" s="183"/>
      <c r="W10" s="195"/>
      <c r="X10" s="183"/>
      <c r="Y10" s="183"/>
      <c r="Z10" s="183"/>
      <c r="AA10" s="183"/>
      <c r="AB10" s="183"/>
      <c r="AC10" s="183"/>
      <c r="AD10" s="183"/>
      <c r="AE10" s="183"/>
      <c r="AF10" s="183"/>
      <c r="AG10" s="183"/>
      <c r="AH10" s="183"/>
      <c r="AI10" s="183"/>
      <c r="AJ10" s="183"/>
      <c r="AK10" s="183"/>
      <c r="AL10" s="183"/>
    </row>
    <row r="11" spans="1:44" ht="57.6" x14ac:dyDescent="0.3">
      <c r="B11" s="110" t="s">
        <v>497</v>
      </c>
      <c r="C11" s="111" t="s">
        <v>498</v>
      </c>
      <c r="D11" s="111" t="s">
        <v>499</v>
      </c>
      <c r="E11" s="111" t="s">
        <v>500</v>
      </c>
      <c r="F11" s="111" t="s">
        <v>501</v>
      </c>
      <c r="G11" s="111" t="s">
        <v>664</v>
      </c>
      <c r="H11" s="111" t="s">
        <v>663</v>
      </c>
      <c r="I11" s="111" t="s">
        <v>666</v>
      </c>
      <c r="J11" s="111" t="s">
        <v>667</v>
      </c>
      <c r="K11" s="111" t="s">
        <v>673</v>
      </c>
      <c r="L11" s="111" t="s">
        <v>674</v>
      </c>
      <c r="M11" s="111" t="s">
        <v>675</v>
      </c>
      <c r="N11" s="111" t="s">
        <v>676</v>
      </c>
      <c r="O11" s="111" t="s">
        <v>672</v>
      </c>
      <c r="P11" s="111" t="s">
        <v>671</v>
      </c>
      <c r="Q11" s="111" t="s">
        <v>670</v>
      </c>
      <c r="R11" s="111" t="s">
        <v>669</v>
      </c>
      <c r="S11" s="111" t="s">
        <v>651</v>
      </c>
      <c r="T11" s="111" t="s">
        <v>651</v>
      </c>
      <c r="U11" s="113" t="s">
        <v>653</v>
      </c>
      <c r="V11" s="183"/>
      <c r="W11" s="197" t="s">
        <v>2</v>
      </c>
      <c r="X11" s="183"/>
      <c r="Y11" s="183"/>
      <c r="Z11" s="183"/>
      <c r="AA11" s="183"/>
      <c r="AB11" s="183"/>
      <c r="AC11" s="183"/>
      <c r="AD11" s="183"/>
      <c r="AE11" s="183"/>
      <c r="AF11" s="183"/>
      <c r="AG11" s="183"/>
      <c r="AH11" s="183"/>
      <c r="AI11" s="183"/>
      <c r="AJ11" s="183"/>
      <c r="AK11" s="183"/>
      <c r="AL11" s="183"/>
    </row>
    <row r="12" spans="1:44" ht="14.25" customHeight="1" x14ac:dyDescent="0.35">
      <c r="B12" s="405"/>
      <c r="C12" s="406"/>
      <c r="D12" s="406"/>
      <c r="E12" s="406"/>
      <c r="F12" s="406"/>
      <c r="G12" s="406" t="s">
        <v>650</v>
      </c>
      <c r="H12" s="406" t="s">
        <v>650</v>
      </c>
      <c r="I12" s="406" t="s">
        <v>665</v>
      </c>
      <c r="J12" s="406" t="s">
        <v>650</v>
      </c>
      <c r="K12" s="406" t="s">
        <v>668</v>
      </c>
      <c r="L12" s="406" t="s">
        <v>668</v>
      </c>
      <c r="M12" s="406" t="s">
        <v>668</v>
      </c>
      <c r="N12" s="406" t="s">
        <v>668</v>
      </c>
      <c r="O12" s="406" t="s">
        <v>668</v>
      </c>
      <c r="P12" s="406" t="s">
        <v>668</v>
      </c>
      <c r="Q12" s="406" t="s">
        <v>668</v>
      </c>
      <c r="R12" s="406" t="s">
        <v>668</v>
      </c>
      <c r="S12" s="407" t="s">
        <v>771</v>
      </c>
      <c r="T12" s="406" t="s">
        <v>652</v>
      </c>
      <c r="U12" s="408" t="s">
        <v>774</v>
      </c>
      <c r="V12" s="183"/>
      <c r="W12" s="198" t="s">
        <v>18</v>
      </c>
      <c r="X12" s="183"/>
      <c r="Y12" s="183"/>
      <c r="Z12" s="183"/>
      <c r="AA12" s="183"/>
      <c r="AB12" s="183"/>
      <c r="AC12" s="183"/>
      <c r="AD12" s="183"/>
      <c r="AE12" s="183"/>
      <c r="AF12" s="183"/>
      <c r="AG12" s="183"/>
      <c r="AH12" s="183"/>
      <c r="AI12" s="183"/>
      <c r="AJ12" s="183"/>
      <c r="AK12" s="183"/>
      <c r="AL12" s="183"/>
    </row>
    <row r="13" spans="1:44" x14ac:dyDescent="0.3">
      <c r="B13" s="114" t="str">
        <f>IF(AND(C13=0,E13=0,F13=0,ISBLANK(G13),ISBLANK(H13),ISBLANK(J13)),"",IF(OR(C13=0,E13=0,F13=0,ISBLANK(G13),ISBLANK(H13),ISBLANK(J13)),"INCOMPLETE","OK"))</f>
        <v>OK</v>
      </c>
      <c r="C13" s="200" t="s">
        <v>300</v>
      </c>
      <c r="D13" s="186" t="s">
        <v>106</v>
      </c>
      <c r="E13" s="186" t="s">
        <v>612</v>
      </c>
      <c r="F13" s="201" t="s">
        <v>191</v>
      </c>
      <c r="G13" s="190">
        <v>30</v>
      </c>
      <c r="H13" s="190">
        <v>60</v>
      </c>
      <c r="I13" s="190">
        <v>1</v>
      </c>
      <c r="J13" s="190">
        <v>30</v>
      </c>
      <c r="K13" s="190"/>
      <c r="L13" s="190"/>
      <c r="M13" s="190"/>
      <c r="N13" s="190"/>
      <c r="O13" s="365">
        <f>IF(ISBLANK(K13),IF(ISBLANK($E13),"",VLOOKUP($E13,'Default Values'!$B$5:$G$20,COLUMNS('Default Values'!$B$4:D$4),0)),K13)</f>
        <v>0.02</v>
      </c>
      <c r="P13" s="365">
        <f>IF(ISBLANK(L13),IF(ISBLANK($E13),"",VLOOKUP($E13,'Default Values'!$B$5:$G$20,COLUMNS('Default Values'!$B$4:E$4),0)),L13)</f>
        <v>0.12</v>
      </c>
      <c r="Q13" s="365">
        <f>IF(ISBLANK(M13),IF(ISBLANK($E13),"",VLOOKUP($E13,'Default Values'!$B$5:$G$20,COLUMNS('Default Values'!$B$4:F$4),0)),M13)</f>
        <v>0.9</v>
      </c>
      <c r="R13" s="365">
        <f>IF(ISBLANK(N13),IF(ISBLANK($E13),"",VLOOKUP($E13,'Default Values'!$B$5:$G$20,COLUMNS('Default Values'!$B$4:G$4),0)),N13)</f>
        <v>0.7</v>
      </c>
      <c r="S13" s="50">
        <f>((G13*O13)+(H13*P13*I13)+(J13*Q13*(1-R13)))*Conversions!$C$4</f>
        <v>7.2122400000000008E-3</v>
      </c>
      <c r="T13" s="483">
        <f>IF(F13="Non-HFC",0,S13)</f>
        <v>7.2122400000000008E-3</v>
      </c>
      <c r="U13" s="142">
        <f>IF(F13=0,"",S13*VLOOKUP(F13,Lists!$C$72:$S$152,COLUMNS(Lists!$C$72:$S$72),0))</f>
        <v>28.283520384000006</v>
      </c>
      <c r="V13" s="183"/>
      <c r="W13" s="199" t="s">
        <v>4</v>
      </c>
      <c r="X13" s="183"/>
      <c r="Y13" s="183"/>
      <c r="Z13" s="183"/>
      <c r="AA13" s="183"/>
      <c r="AB13" s="183"/>
      <c r="AC13" s="183"/>
      <c r="AD13" s="183"/>
      <c r="AE13" s="183"/>
      <c r="AF13" s="183"/>
      <c r="AG13" s="183"/>
      <c r="AH13" s="183"/>
      <c r="AI13" s="183"/>
      <c r="AJ13" s="183"/>
      <c r="AK13" s="183"/>
      <c r="AL13" s="183"/>
    </row>
    <row r="14" spans="1:44" ht="15.6" x14ac:dyDescent="0.3">
      <c r="B14" s="114" t="str">
        <f t="shared" ref="B14:B53" si="0">IF(AND(C14=0,E14=0,F14=0,ISBLANK(G14),ISBLANK(H14),ISBLANK(J14)),"",IF(OR(C14=0,E14=0,F14=0,ISBLANK(G14),ISBLANK(H14),ISBLANK(J14)),"INCOMPLETE","OK"))</f>
        <v/>
      </c>
      <c r="C14" s="187"/>
      <c r="D14" s="202"/>
      <c r="E14" s="187"/>
      <c r="F14" s="182"/>
      <c r="G14" s="203"/>
      <c r="H14" s="203"/>
      <c r="I14" s="203">
        <v>1</v>
      </c>
      <c r="J14" s="203"/>
      <c r="K14" s="359"/>
      <c r="L14" s="359"/>
      <c r="M14" s="359"/>
      <c r="N14" s="359"/>
      <c r="O14" s="361">
        <f>IF(ISBLANK(K14),IF(ISBLANK($E14),0,VLOOKUP($E14,'Default Values'!$B$5:$G$20,COLUMNS('Default Values'!$B$4:D$4),0)),K14)</f>
        <v>0</v>
      </c>
      <c r="P14" s="361">
        <f>IF(ISBLANK(L14),IF(ISBLANK($E14),0,VLOOKUP($E14,'Default Values'!$B$5:$G$20,COLUMNS('Default Values'!$B$4:E$4),0)),L14)</f>
        <v>0</v>
      </c>
      <c r="Q14" s="361">
        <f>IF(ISBLANK(M14),IF(ISBLANK($E14),0,VLOOKUP($E14,'Default Values'!$B$5:$G$20,COLUMNS('Default Values'!$B$4:F$4),0)),M14)</f>
        <v>0</v>
      </c>
      <c r="R14" s="361">
        <f>IF(ISBLANK(N14),IF(ISBLANK($E14),0,VLOOKUP($E14,'Default Values'!$B$5:$G$20,COLUMNS('Default Values'!$B$4:G$4),0)),N14)</f>
        <v>0</v>
      </c>
      <c r="S14" s="35">
        <f>((G14*O14)+(H14*P14*I14)+(J14*Q14*(1-R14)))*Conversions!$C$4</f>
        <v>0</v>
      </c>
      <c r="T14" s="484">
        <f>IF(F14="Non-HFC",0,S14)</f>
        <v>0</v>
      </c>
      <c r="U14" s="115">
        <f>'Emissions Database'!BS84</f>
        <v>0</v>
      </c>
      <c r="V14" s="183"/>
      <c r="W14" s="199" t="s">
        <v>19</v>
      </c>
      <c r="X14" s="183"/>
      <c r="Y14" s="183"/>
      <c r="Z14" s="183"/>
      <c r="AA14" s="183"/>
      <c r="AB14" s="183"/>
      <c r="AC14" s="183"/>
      <c r="AD14" s="183"/>
      <c r="AE14" s="183"/>
      <c r="AF14" s="183"/>
      <c r="AG14" s="183"/>
      <c r="AH14" s="183"/>
      <c r="AI14" s="183"/>
      <c r="AJ14" s="183"/>
      <c r="AK14" s="183"/>
      <c r="AL14" s="183"/>
    </row>
    <row r="15" spans="1:44" x14ac:dyDescent="0.3">
      <c r="B15" s="114" t="str">
        <f t="shared" si="0"/>
        <v/>
      </c>
      <c r="C15" s="187"/>
      <c r="D15" s="202"/>
      <c r="E15" s="187"/>
      <c r="F15" s="182"/>
      <c r="G15" s="203"/>
      <c r="H15" s="203"/>
      <c r="I15" s="203">
        <v>1</v>
      </c>
      <c r="J15" s="203"/>
      <c r="K15" s="359"/>
      <c r="L15" s="359"/>
      <c r="M15" s="359"/>
      <c r="N15" s="359"/>
      <c r="O15" s="361">
        <f>IF(ISBLANK(K15),IF(ISBLANK($E15),0,VLOOKUP($E15,'Default Values'!$B$5:$G$20,COLUMNS('Default Values'!$B$4:D$4),0)),K15)</f>
        <v>0</v>
      </c>
      <c r="P15" s="361">
        <f>IF(ISBLANK(L15),IF(ISBLANK($E15),0,VLOOKUP($E15,'Default Values'!$B$5:$G$20,COLUMNS('Default Values'!$B$4:E$4),0)),L15)</f>
        <v>0</v>
      </c>
      <c r="Q15" s="361">
        <f>IF(ISBLANK(M15),IF(ISBLANK($E15),0,VLOOKUP($E15,'Default Values'!$B$5:$G$20,COLUMNS('Default Values'!$B$4:F$4),0)),M15)</f>
        <v>0</v>
      </c>
      <c r="R15" s="361">
        <f>IF(ISBLANK(N15),IF(ISBLANK($E15),0,VLOOKUP($E15,'Default Values'!$B$5:$G$20,COLUMNS('Default Values'!$B$4:G$4),0)),N15)</f>
        <v>0</v>
      </c>
      <c r="S15" s="35">
        <f>((G15*O15)+(H15*P15*I15)+(J15*Q15*(1-R15)))*Conversions!$C$4</f>
        <v>0</v>
      </c>
      <c r="T15" s="484">
        <f t="shared" ref="T15:T53" si="1">IF(F15="Non-HFC",0,S15)</f>
        <v>0</v>
      </c>
      <c r="U15" s="115">
        <f>'Emissions Database'!BS85</f>
        <v>0</v>
      </c>
      <c r="V15" s="183"/>
      <c r="W15" s="199" t="s">
        <v>20</v>
      </c>
      <c r="X15" s="183"/>
      <c r="Y15" s="183"/>
      <c r="Z15" s="183"/>
      <c r="AA15" s="183"/>
      <c r="AB15" s="183"/>
      <c r="AC15" s="183"/>
      <c r="AD15" s="183"/>
      <c r="AE15" s="183"/>
      <c r="AF15" s="183"/>
      <c r="AG15" s="183"/>
      <c r="AH15" s="183"/>
      <c r="AI15" s="183"/>
      <c r="AJ15" s="183"/>
      <c r="AK15" s="183"/>
      <c r="AL15" s="183"/>
    </row>
    <row r="16" spans="1:44" x14ac:dyDescent="0.3">
      <c r="B16" s="114" t="str">
        <f t="shared" si="0"/>
        <v/>
      </c>
      <c r="C16" s="187"/>
      <c r="D16" s="202"/>
      <c r="E16" s="187"/>
      <c r="F16" s="182"/>
      <c r="G16" s="203"/>
      <c r="H16" s="203"/>
      <c r="I16" s="203">
        <v>1</v>
      </c>
      <c r="J16" s="203"/>
      <c r="K16" s="359"/>
      <c r="L16" s="359"/>
      <c r="M16" s="359"/>
      <c r="N16" s="359"/>
      <c r="O16" s="361">
        <f>IF(ISBLANK(K16),IF(ISBLANK($E16),0,VLOOKUP($E16,'Default Values'!$B$5:$G$20,COLUMNS('Default Values'!$B$4:D$4),0)),K16)</f>
        <v>0</v>
      </c>
      <c r="P16" s="361">
        <f>IF(ISBLANK(L16),IF(ISBLANK($E16),0,VLOOKUP($E16,'Default Values'!$B$5:$G$20,COLUMNS('Default Values'!$B$4:E$4),0)),L16)</f>
        <v>0</v>
      </c>
      <c r="Q16" s="361">
        <f>IF(ISBLANK(M16),IF(ISBLANK($E16),0,VLOOKUP($E16,'Default Values'!$B$5:$G$20,COLUMNS('Default Values'!$B$4:F$4),0)),M16)</f>
        <v>0</v>
      </c>
      <c r="R16" s="361">
        <f>IF(ISBLANK(N16),IF(ISBLANK($E16),0,VLOOKUP($E16,'Default Values'!$B$5:$G$20,COLUMNS('Default Values'!$B$4:G$4),0)),N16)</f>
        <v>0</v>
      </c>
      <c r="S16" s="35">
        <f>((G16*O16)+(H16*P16*I16)+(J16*Q16*(1-R16)))*Conversions!$C$4</f>
        <v>0</v>
      </c>
      <c r="T16" s="484">
        <f t="shared" si="1"/>
        <v>0</v>
      </c>
      <c r="U16" s="115">
        <f>'Emissions Database'!BS86</f>
        <v>0</v>
      </c>
      <c r="V16" s="183"/>
      <c r="W16" s="199" t="s">
        <v>21</v>
      </c>
      <c r="X16" s="183"/>
      <c r="Y16" s="183"/>
      <c r="Z16" s="183"/>
      <c r="AA16" s="183"/>
      <c r="AB16" s="183"/>
      <c r="AC16" s="183"/>
      <c r="AD16" s="183"/>
      <c r="AE16" s="183"/>
      <c r="AF16" s="183"/>
      <c r="AG16" s="183"/>
      <c r="AH16" s="183"/>
      <c r="AI16" s="183"/>
      <c r="AJ16" s="183"/>
      <c r="AK16" s="183"/>
      <c r="AL16" s="183"/>
    </row>
    <row r="17" spans="2:38" ht="15.6" x14ac:dyDescent="0.3">
      <c r="B17" s="114" t="str">
        <f t="shared" si="0"/>
        <v/>
      </c>
      <c r="C17" s="187"/>
      <c r="D17" s="202"/>
      <c r="E17" s="187"/>
      <c r="F17" s="182"/>
      <c r="G17" s="203"/>
      <c r="H17" s="203"/>
      <c r="I17" s="203">
        <v>1</v>
      </c>
      <c r="J17" s="203"/>
      <c r="K17" s="359"/>
      <c r="L17" s="359"/>
      <c r="M17" s="359"/>
      <c r="N17" s="359"/>
      <c r="O17" s="361">
        <f>IF(ISBLANK(K17),IF(ISBLANK($E17),0,VLOOKUP($E17,'Default Values'!$B$5:$G$20,COLUMNS('Default Values'!$B$4:D$4),0)),K17)</f>
        <v>0</v>
      </c>
      <c r="P17" s="361">
        <f>IF(ISBLANK(L17),IF(ISBLANK($E17),0,VLOOKUP($E17,'Default Values'!$B$5:$G$20,COLUMNS('Default Values'!$B$4:E$4),0)),L17)</f>
        <v>0</v>
      </c>
      <c r="Q17" s="361">
        <f>IF(ISBLANK(M17),IF(ISBLANK($E17),0,VLOOKUP($E17,'Default Values'!$B$5:$G$20,COLUMNS('Default Values'!$B$4:F$4),0)),M17)</f>
        <v>0</v>
      </c>
      <c r="R17" s="361">
        <f>IF(ISBLANK(N17),IF(ISBLANK($E17),0,VLOOKUP($E17,'Default Values'!$B$5:$G$20,COLUMNS('Default Values'!$B$4:G$4),0)),N17)</f>
        <v>0</v>
      </c>
      <c r="S17" s="35">
        <f>((G17*O17)+(H17*P17*I17)+(J17*Q17*(1-R17)))*Conversions!$C$4</f>
        <v>0</v>
      </c>
      <c r="T17" s="484">
        <f t="shared" si="1"/>
        <v>0</v>
      </c>
      <c r="U17" s="115">
        <f>'Emissions Database'!BS87</f>
        <v>0</v>
      </c>
      <c r="V17" s="183"/>
      <c r="W17" s="199" t="s">
        <v>22</v>
      </c>
      <c r="X17" s="183"/>
      <c r="Y17" s="183"/>
      <c r="Z17" s="183"/>
      <c r="AA17" s="183"/>
      <c r="AB17" s="183"/>
      <c r="AC17" s="183"/>
      <c r="AD17" s="183"/>
      <c r="AE17" s="183"/>
      <c r="AF17" s="183"/>
      <c r="AG17" s="183"/>
      <c r="AH17" s="183"/>
      <c r="AI17" s="183"/>
      <c r="AJ17" s="183"/>
      <c r="AK17" s="183"/>
      <c r="AL17" s="183"/>
    </row>
    <row r="18" spans="2:38" x14ac:dyDescent="0.3">
      <c r="B18" s="114" t="str">
        <f t="shared" si="0"/>
        <v/>
      </c>
      <c r="C18" s="187"/>
      <c r="D18" s="202"/>
      <c r="E18" s="187"/>
      <c r="F18" s="182"/>
      <c r="G18" s="203"/>
      <c r="H18" s="203"/>
      <c r="I18" s="203">
        <v>1</v>
      </c>
      <c r="J18" s="203"/>
      <c r="K18" s="359"/>
      <c r="L18" s="359"/>
      <c r="M18" s="359"/>
      <c r="N18" s="359"/>
      <c r="O18" s="361">
        <f>IF(ISBLANK(K18),IF(ISBLANK($E18),0,VLOOKUP($E18,'Default Values'!$B$5:$G$20,COLUMNS('Default Values'!$B$4:D$4),0)),K18)</f>
        <v>0</v>
      </c>
      <c r="P18" s="361">
        <f>IF(ISBLANK(L18),IF(ISBLANK($E18),0,VLOOKUP($E18,'Default Values'!$B$5:$G$20,COLUMNS('Default Values'!$B$4:E$4),0)),L18)</f>
        <v>0</v>
      </c>
      <c r="Q18" s="361">
        <f>IF(ISBLANK(M18),IF(ISBLANK($E18),0,VLOOKUP($E18,'Default Values'!$B$5:$G$20,COLUMNS('Default Values'!$B$4:F$4),0)),M18)</f>
        <v>0</v>
      </c>
      <c r="R18" s="361">
        <f>IF(ISBLANK(N18),IF(ISBLANK($E18),0,VLOOKUP($E18,'Default Values'!$B$5:$G$20,COLUMNS('Default Values'!$B$4:G$4),0)),N18)</f>
        <v>0</v>
      </c>
      <c r="S18" s="35">
        <f>((G18*O18)+(H18*P18*I18)+(J18*Q18*(1-R18)))*Conversions!$C$4</f>
        <v>0</v>
      </c>
      <c r="T18" s="484">
        <f t="shared" si="1"/>
        <v>0</v>
      </c>
      <c r="U18" s="115">
        <f>'Emissions Database'!BS88</f>
        <v>0</v>
      </c>
      <c r="V18" s="183"/>
      <c r="W18" s="199" t="s">
        <v>23</v>
      </c>
      <c r="X18" s="183"/>
      <c r="Y18" s="183"/>
      <c r="Z18" s="183"/>
      <c r="AA18" s="183"/>
      <c r="AB18" s="183"/>
      <c r="AC18" s="183"/>
      <c r="AD18" s="183"/>
      <c r="AE18" s="183"/>
      <c r="AF18" s="183"/>
      <c r="AG18" s="183"/>
      <c r="AH18" s="183"/>
      <c r="AI18" s="183"/>
      <c r="AJ18" s="183"/>
      <c r="AK18" s="183"/>
      <c r="AL18" s="183"/>
    </row>
    <row r="19" spans="2:38" x14ac:dyDescent="0.3">
      <c r="B19" s="114" t="str">
        <f t="shared" si="0"/>
        <v/>
      </c>
      <c r="C19" s="187"/>
      <c r="D19" s="202"/>
      <c r="E19" s="187"/>
      <c r="F19" s="182"/>
      <c r="G19" s="203"/>
      <c r="H19" s="203"/>
      <c r="I19" s="203">
        <v>1</v>
      </c>
      <c r="J19" s="203"/>
      <c r="K19" s="359"/>
      <c r="L19" s="359"/>
      <c r="M19" s="359"/>
      <c r="N19" s="359"/>
      <c r="O19" s="361">
        <f>IF(ISBLANK(K19),IF(ISBLANK($E19),0,VLOOKUP($E19,'Default Values'!$B$5:$G$20,COLUMNS('Default Values'!$B$4:D$4),0)),K19)</f>
        <v>0</v>
      </c>
      <c r="P19" s="361">
        <f>IF(ISBLANK(L19),IF(ISBLANK($E19),0,VLOOKUP($E19,'Default Values'!$B$5:$G$20,COLUMNS('Default Values'!$B$4:E$4),0)),L19)</f>
        <v>0</v>
      </c>
      <c r="Q19" s="361">
        <f>IF(ISBLANK(M19),IF(ISBLANK($E19),0,VLOOKUP($E19,'Default Values'!$B$5:$G$20,COLUMNS('Default Values'!$B$4:F$4),0)),M19)</f>
        <v>0</v>
      </c>
      <c r="R19" s="361">
        <f>IF(ISBLANK(N19),IF(ISBLANK($E19),0,VLOOKUP($E19,'Default Values'!$B$5:$G$20,COLUMNS('Default Values'!$B$4:G$4),0)),N19)</f>
        <v>0</v>
      </c>
      <c r="S19" s="35">
        <f>((G19*O19)+(H19*P19*I19)+(J19*Q19*(1-R19)))*Conversions!$C$4</f>
        <v>0</v>
      </c>
      <c r="T19" s="484">
        <f t="shared" si="1"/>
        <v>0</v>
      </c>
      <c r="U19" s="115">
        <f>'Emissions Database'!BS89</f>
        <v>0</v>
      </c>
      <c r="V19" s="183"/>
      <c r="W19" s="199" t="s">
        <v>24</v>
      </c>
      <c r="X19" s="183"/>
      <c r="Y19" s="183"/>
      <c r="Z19" s="183"/>
      <c r="AA19" s="183"/>
      <c r="AB19" s="183"/>
      <c r="AC19" s="183"/>
      <c r="AD19" s="183"/>
      <c r="AE19" s="183"/>
      <c r="AF19" s="183"/>
      <c r="AG19" s="183"/>
      <c r="AH19" s="183"/>
      <c r="AI19" s="183"/>
      <c r="AJ19" s="183"/>
      <c r="AK19" s="183"/>
      <c r="AL19" s="183"/>
    </row>
    <row r="20" spans="2:38" x14ac:dyDescent="0.3">
      <c r="B20" s="114" t="str">
        <f t="shared" si="0"/>
        <v/>
      </c>
      <c r="C20" s="187"/>
      <c r="D20" s="202"/>
      <c r="E20" s="187"/>
      <c r="F20" s="182"/>
      <c r="G20" s="203"/>
      <c r="H20" s="203"/>
      <c r="I20" s="203">
        <v>1</v>
      </c>
      <c r="J20" s="203"/>
      <c r="K20" s="359"/>
      <c r="L20" s="359"/>
      <c r="M20" s="359"/>
      <c r="N20" s="359"/>
      <c r="O20" s="361">
        <f>IF(ISBLANK(K20),IF(ISBLANK($E20),0,VLOOKUP($E20,'Default Values'!$B$5:$G$20,COLUMNS('Default Values'!$B$4:D$4),0)),K20)</f>
        <v>0</v>
      </c>
      <c r="P20" s="361">
        <f>IF(ISBLANK(L20),IF(ISBLANK($E20),0,VLOOKUP($E20,'Default Values'!$B$5:$G$20,COLUMNS('Default Values'!$B$4:E$4),0)),L20)</f>
        <v>0</v>
      </c>
      <c r="Q20" s="361">
        <f>IF(ISBLANK(M20),IF(ISBLANK($E20),0,VLOOKUP($E20,'Default Values'!$B$5:$G$20,COLUMNS('Default Values'!$B$4:F$4),0)),M20)</f>
        <v>0</v>
      </c>
      <c r="R20" s="361">
        <f>IF(ISBLANK(N20),IF(ISBLANK($E20),0,VLOOKUP($E20,'Default Values'!$B$5:$G$20,COLUMNS('Default Values'!$B$4:G$4),0)),N20)</f>
        <v>0</v>
      </c>
      <c r="S20" s="35">
        <f>((G20*O20)+(H20*P20*I20)+(J20*Q20*(1-R20)))*Conversions!$C$4</f>
        <v>0</v>
      </c>
      <c r="T20" s="484">
        <f t="shared" si="1"/>
        <v>0</v>
      </c>
      <c r="U20" s="115">
        <f>'Emissions Database'!BS90</f>
        <v>0</v>
      </c>
      <c r="V20" s="183"/>
      <c r="W20" s="199" t="s">
        <v>25</v>
      </c>
      <c r="X20" s="183"/>
      <c r="Y20" s="183"/>
      <c r="Z20" s="183"/>
      <c r="AA20" s="183"/>
      <c r="AB20" s="183"/>
      <c r="AC20" s="183"/>
      <c r="AD20" s="183"/>
      <c r="AE20" s="183"/>
      <c r="AF20" s="183"/>
      <c r="AG20" s="183"/>
      <c r="AH20" s="183"/>
      <c r="AI20" s="183"/>
      <c r="AJ20" s="183"/>
      <c r="AK20" s="183"/>
      <c r="AL20" s="183"/>
    </row>
    <row r="21" spans="2:38" x14ac:dyDescent="0.3">
      <c r="B21" s="114" t="str">
        <f t="shared" si="0"/>
        <v/>
      </c>
      <c r="C21" s="187"/>
      <c r="D21" s="202"/>
      <c r="E21" s="187"/>
      <c r="F21" s="182"/>
      <c r="G21" s="203"/>
      <c r="H21" s="203"/>
      <c r="I21" s="203">
        <v>1</v>
      </c>
      <c r="J21" s="203"/>
      <c r="K21" s="359"/>
      <c r="L21" s="359"/>
      <c r="M21" s="359"/>
      <c r="N21" s="359"/>
      <c r="O21" s="361">
        <f>IF(ISBLANK(K21),IF(ISBLANK($E21),0,VLOOKUP($E21,'Default Values'!$B$5:$G$20,COLUMNS('Default Values'!$B$4:D$4),0)),K21)</f>
        <v>0</v>
      </c>
      <c r="P21" s="361">
        <f>IF(ISBLANK(L21),IF(ISBLANK($E21),0,VLOOKUP($E21,'Default Values'!$B$5:$G$20,COLUMNS('Default Values'!$B$4:E$4),0)),L21)</f>
        <v>0</v>
      </c>
      <c r="Q21" s="361">
        <f>IF(ISBLANK(M21),IF(ISBLANK($E21),0,VLOOKUP($E21,'Default Values'!$B$5:$G$20,COLUMNS('Default Values'!$B$4:F$4),0)),M21)</f>
        <v>0</v>
      </c>
      <c r="R21" s="361">
        <f>IF(ISBLANK(N21),IF(ISBLANK($E21),0,VLOOKUP($E21,'Default Values'!$B$5:$G$20,COLUMNS('Default Values'!$B$4:G$4),0)),N21)</f>
        <v>0</v>
      </c>
      <c r="S21" s="35">
        <f>((G21*O21)+(H21*P21*I21)+(J21*Q21*(1-R21)))*Conversions!$C$4</f>
        <v>0</v>
      </c>
      <c r="T21" s="484">
        <f t="shared" si="1"/>
        <v>0</v>
      </c>
      <c r="U21" s="115">
        <f>'Emissions Database'!BS91</f>
        <v>0</v>
      </c>
      <c r="V21" s="183"/>
      <c r="W21" s="199" t="s">
        <v>26</v>
      </c>
      <c r="X21" s="183"/>
      <c r="Y21" s="183"/>
      <c r="Z21" s="183"/>
      <c r="AA21" s="183"/>
      <c r="AB21" s="183"/>
      <c r="AC21" s="183"/>
      <c r="AD21" s="183"/>
      <c r="AE21" s="183"/>
      <c r="AF21" s="183"/>
      <c r="AG21" s="183"/>
      <c r="AH21" s="183"/>
      <c r="AI21" s="183"/>
      <c r="AJ21" s="183"/>
      <c r="AK21" s="183"/>
      <c r="AL21" s="183"/>
    </row>
    <row r="22" spans="2:38" x14ac:dyDescent="0.3">
      <c r="B22" s="114" t="str">
        <f t="shared" si="0"/>
        <v/>
      </c>
      <c r="C22" s="187"/>
      <c r="D22" s="202"/>
      <c r="E22" s="187"/>
      <c r="F22" s="182"/>
      <c r="G22" s="203"/>
      <c r="H22" s="203"/>
      <c r="I22" s="203">
        <v>1</v>
      </c>
      <c r="J22" s="203"/>
      <c r="K22" s="359"/>
      <c r="L22" s="359"/>
      <c r="M22" s="359"/>
      <c r="N22" s="359"/>
      <c r="O22" s="361">
        <f>IF(ISBLANK(K22),IF(ISBLANK($E22),0,VLOOKUP($E22,'Default Values'!$B$5:$G$20,COLUMNS('Default Values'!$B$4:D$4),0)),K22)</f>
        <v>0</v>
      </c>
      <c r="P22" s="361">
        <f>IF(ISBLANK(L22),IF(ISBLANK($E22),0,VLOOKUP($E22,'Default Values'!$B$5:$G$20,COLUMNS('Default Values'!$B$4:E$4),0)),L22)</f>
        <v>0</v>
      </c>
      <c r="Q22" s="361">
        <f>IF(ISBLANK(M22),IF(ISBLANK($E22),0,VLOOKUP($E22,'Default Values'!$B$5:$G$20,COLUMNS('Default Values'!$B$4:F$4),0)),M22)</f>
        <v>0</v>
      </c>
      <c r="R22" s="361">
        <f>IF(ISBLANK(N22),IF(ISBLANK($E22),0,VLOOKUP($E22,'Default Values'!$B$5:$G$20,COLUMNS('Default Values'!$B$4:G$4),0)),N22)</f>
        <v>0</v>
      </c>
      <c r="S22" s="35">
        <f>((G22*O22)+(H22*P22*I22)+(J22*Q22*(1-R22)))*Conversions!$C$4</f>
        <v>0</v>
      </c>
      <c r="T22" s="484">
        <f t="shared" si="1"/>
        <v>0</v>
      </c>
      <c r="U22" s="115">
        <f>'Emissions Database'!BS92</f>
        <v>0</v>
      </c>
      <c r="V22" s="183"/>
      <c r="W22" s="198" t="s">
        <v>471</v>
      </c>
      <c r="X22" s="183"/>
      <c r="Y22" s="183"/>
      <c r="Z22" s="183"/>
      <c r="AA22" s="183"/>
      <c r="AB22" s="183"/>
      <c r="AC22" s="183"/>
      <c r="AD22" s="183"/>
      <c r="AE22" s="183"/>
      <c r="AF22" s="183"/>
      <c r="AG22" s="183"/>
      <c r="AH22" s="183"/>
      <c r="AI22" s="183"/>
      <c r="AJ22" s="183"/>
      <c r="AK22" s="183"/>
      <c r="AL22" s="183"/>
    </row>
    <row r="23" spans="2:38" x14ac:dyDescent="0.3">
      <c r="B23" s="114" t="str">
        <f t="shared" si="0"/>
        <v/>
      </c>
      <c r="C23" s="187"/>
      <c r="D23" s="202"/>
      <c r="E23" s="187"/>
      <c r="F23" s="182"/>
      <c r="G23" s="203"/>
      <c r="H23" s="203"/>
      <c r="I23" s="203">
        <v>1</v>
      </c>
      <c r="J23" s="203"/>
      <c r="K23" s="359"/>
      <c r="L23" s="359"/>
      <c r="M23" s="359"/>
      <c r="N23" s="359"/>
      <c r="O23" s="361">
        <f>IF(ISBLANK(K23),IF(ISBLANK($E23),0,VLOOKUP($E23,'Default Values'!$B$5:$G$20,COLUMNS('Default Values'!$B$4:D$4),0)),K23)</f>
        <v>0</v>
      </c>
      <c r="P23" s="361">
        <f>IF(ISBLANK(L23),IF(ISBLANK($E23),0,VLOOKUP($E23,'Default Values'!$B$5:$G$20,COLUMNS('Default Values'!$B$4:E$4),0)),L23)</f>
        <v>0</v>
      </c>
      <c r="Q23" s="362">
        <f>IF(ISBLANK(M23),IF(ISBLANK($E23),0,VLOOKUP($E23,'Default Values'!$B$5:$G$20,COLUMNS('Default Values'!$B$4:F$4),0)),M23)</f>
        <v>0</v>
      </c>
      <c r="R23" s="362">
        <f>IF(ISBLANK(N23),IF(ISBLANK($E23),0,VLOOKUP($E23,'Default Values'!$B$5:$G$20,COLUMNS('Default Values'!$B$4:G$4),0)),N23)</f>
        <v>0</v>
      </c>
      <c r="S23" s="35">
        <f>((G23*O23)+(H23*P23*I23)+(J23*Q23*(1-R23)))*Conversions!$C$4</f>
        <v>0</v>
      </c>
      <c r="T23" s="484">
        <f t="shared" si="1"/>
        <v>0</v>
      </c>
      <c r="U23" s="115">
        <f>'Emissions Database'!BS93</f>
        <v>0</v>
      </c>
      <c r="V23" s="183"/>
      <c r="W23" s="196" t="s">
        <v>472</v>
      </c>
      <c r="X23" s="183"/>
      <c r="Y23" s="183"/>
      <c r="Z23" s="183"/>
      <c r="AA23" s="183"/>
      <c r="AB23" s="183"/>
      <c r="AC23" s="183"/>
      <c r="AD23" s="183"/>
      <c r="AE23" s="183"/>
      <c r="AF23" s="183"/>
      <c r="AG23" s="183"/>
      <c r="AH23" s="183"/>
      <c r="AI23" s="183"/>
      <c r="AJ23" s="183"/>
      <c r="AK23" s="183"/>
      <c r="AL23" s="183"/>
    </row>
    <row r="24" spans="2:38" x14ac:dyDescent="0.3">
      <c r="B24" s="114" t="str">
        <f t="shared" si="0"/>
        <v/>
      </c>
      <c r="C24" s="187"/>
      <c r="D24" s="202"/>
      <c r="E24" s="187"/>
      <c r="F24" s="182"/>
      <c r="G24" s="203"/>
      <c r="H24" s="203"/>
      <c r="I24" s="203">
        <v>1</v>
      </c>
      <c r="J24" s="203"/>
      <c r="K24" s="359"/>
      <c r="L24" s="359"/>
      <c r="M24" s="359"/>
      <c r="N24" s="359"/>
      <c r="O24" s="361">
        <f>IF(ISBLANK(K24),IF(ISBLANK($E24),0,VLOOKUP($E24,'Default Values'!$B$5:$G$20,COLUMNS('Default Values'!$B$4:D$4),0)),K24)</f>
        <v>0</v>
      </c>
      <c r="P24" s="361">
        <f>IF(ISBLANK(L24),IF(ISBLANK($E24),0,VLOOKUP($E24,'Default Values'!$B$5:$G$20,COLUMNS('Default Values'!$B$4:E$4),0)),L24)</f>
        <v>0</v>
      </c>
      <c r="Q24" s="362">
        <f>IF(ISBLANK(M24),IF(ISBLANK($E24),0,VLOOKUP($E24,'Default Values'!$B$5:$G$20,COLUMNS('Default Values'!$B$4:F$4),0)),M24)</f>
        <v>0</v>
      </c>
      <c r="R24" s="362">
        <f>IF(ISBLANK(N24),IF(ISBLANK($E24),0,VLOOKUP($E24,'Default Values'!$B$5:$G$20,COLUMNS('Default Values'!$B$4:G$4),0)),N24)</f>
        <v>0</v>
      </c>
      <c r="S24" s="35">
        <f>((G24*O24)+(H24*P24*I24)+(J24*Q24*(1-R24)))*Conversions!$C$4</f>
        <v>0</v>
      </c>
      <c r="T24" s="484">
        <f t="shared" si="1"/>
        <v>0</v>
      </c>
      <c r="U24" s="115">
        <f>'Emissions Database'!BS94</f>
        <v>0</v>
      </c>
      <c r="V24" s="183"/>
      <c r="X24" s="183"/>
      <c r="Y24" s="183"/>
      <c r="Z24" s="183"/>
      <c r="AA24" s="183"/>
      <c r="AB24" s="183"/>
      <c r="AC24" s="183"/>
      <c r="AD24" s="183"/>
      <c r="AE24" s="183"/>
      <c r="AF24" s="183"/>
      <c r="AG24" s="183"/>
      <c r="AH24" s="183"/>
      <c r="AI24" s="183"/>
      <c r="AJ24" s="183"/>
      <c r="AK24" s="183"/>
      <c r="AL24" s="183"/>
    </row>
    <row r="25" spans="2:38" x14ac:dyDescent="0.3">
      <c r="B25" s="114" t="str">
        <f t="shared" si="0"/>
        <v/>
      </c>
      <c r="C25" s="187"/>
      <c r="D25" s="202"/>
      <c r="E25" s="187"/>
      <c r="F25" s="182"/>
      <c r="G25" s="203"/>
      <c r="H25" s="203"/>
      <c r="I25" s="203">
        <v>1</v>
      </c>
      <c r="J25" s="203"/>
      <c r="K25" s="359"/>
      <c r="L25" s="359"/>
      <c r="M25" s="359"/>
      <c r="N25" s="359"/>
      <c r="O25" s="361">
        <f>IF(ISBLANK(K25),IF(ISBLANK($E25),0,VLOOKUP($E25,'Default Values'!$B$5:$G$20,COLUMNS('Default Values'!$B$4:D$4),0)),K25)</f>
        <v>0</v>
      </c>
      <c r="P25" s="361">
        <f>IF(ISBLANK(L25),IF(ISBLANK($E25),0,VLOOKUP($E25,'Default Values'!$B$5:$G$20,COLUMNS('Default Values'!$B$4:E$4),0)),L25)</f>
        <v>0</v>
      </c>
      <c r="Q25" s="362">
        <f>IF(ISBLANK(M25),IF(ISBLANK($E25),0,VLOOKUP($E25,'Default Values'!$B$5:$G$20,COLUMNS('Default Values'!$B$4:F$4),0)),M25)</f>
        <v>0</v>
      </c>
      <c r="R25" s="362">
        <f>IF(ISBLANK(N25),IF(ISBLANK($E25),0,VLOOKUP($E25,'Default Values'!$B$5:$G$20,COLUMNS('Default Values'!$B$4:G$4),0)),N25)</f>
        <v>0</v>
      </c>
      <c r="S25" s="35">
        <f>((G25*O25)+(H25*P25*I25)+(J25*Q25*(1-R25)))*Conversions!$C$4</f>
        <v>0</v>
      </c>
      <c r="T25" s="484">
        <f t="shared" si="1"/>
        <v>0</v>
      </c>
      <c r="U25" s="115">
        <f>'Emissions Database'!BS95</f>
        <v>0</v>
      </c>
      <c r="V25" s="183"/>
      <c r="W25" s="198"/>
      <c r="X25" s="183"/>
      <c r="Y25" s="183"/>
      <c r="Z25" s="183"/>
      <c r="AA25" s="183"/>
      <c r="AB25" s="183"/>
      <c r="AC25" s="183"/>
      <c r="AD25" s="183"/>
      <c r="AE25" s="183"/>
      <c r="AF25" s="183"/>
      <c r="AG25" s="183"/>
      <c r="AH25" s="183"/>
      <c r="AI25" s="183"/>
      <c r="AJ25" s="183"/>
      <c r="AK25" s="183"/>
      <c r="AL25" s="183"/>
    </row>
    <row r="26" spans="2:38" x14ac:dyDescent="0.3">
      <c r="B26" s="114" t="str">
        <f t="shared" si="0"/>
        <v/>
      </c>
      <c r="C26" s="187"/>
      <c r="D26" s="202"/>
      <c r="E26" s="187"/>
      <c r="F26" s="182"/>
      <c r="G26" s="203"/>
      <c r="H26" s="203"/>
      <c r="I26" s="203">
        <v>1</v>
      </c>
      <c r="J26" s="203"/>
      <c r="K26" s="359"/>
      <c r="L26" s="359"/>
      <c r="M26" s="359"/>
      <c r="N26" s="359"/>
      <c r="O26" s="361">
        <f>IF(ISBLANK(K26),IF(ISBLANK($E26),0,VLOOKUP($E26,'Default Values'!$B$5:$G$20,COLUMNS('Default Values'!$B$4:D$4),0)),K26)</f>
        <v>0</v>
      </c>
      <c r="P26" s="361">
        <f>IF(ISBLANK(L26),IF(ISBLANK($E26),0,VLOOKUP($E26,'Default Values'!$B$5:$G$20,COLUMNS('Default Values'!$B$4:E$4),0)),L26)</f>
        <v>0</v>
      </c>
      <c r="Q26" s="362">
        <f>IF(ISBLANK(M26),IF(ISBLANK($E26),0,VLOOKUP($E26,'Default Values'!$B$5:$G$20,COLUMNS('Default Values'!$B$4:F$4),0)),M26)</f>
        <v>0</v>
      </c>
      <c r="R26" s="362">
        <f>IF(ISBLANK(N26),IF(ISBLANK($E26),0,VLOOKUP($E26,'Default Values'!$B$5:$G$20,COLUMNS('Default Values'!$B$4:G$4),0)),N26)</f>
        <v>0</v>
      </c>
      <c r="S26" s="35">
        <f>((G26*O26)+(H26*P26*I26)+(J26*Q26*(1-R26)))*Conversions!$C$4</f>
        <v>0</v>
      </c>
      <c r="T26" s="484">
        <f t="shared" si="1"/>
        <v>0</v>
      </c>
      <c r="U26" s="115">
        <f>'Emissions Database'!BS96</f>
        <v>0</v>
      </c>
      <c r="V26" s="183"/>
      <c r="X26" s="183"/>
      <c r="Y26" s="183"/>
      <c r="Z26" s="183"/>
      <c r="AA26" s="183"/>
      <c r="AB26" s="183"/>
      <c r="AC26" s="183"/>
      <c r="AD26" s="183"/>
      <c r="AE26" s="183"/>
      <c r="AF26" s="183"/>
      <c r="AG26" s="183"/>
      <c r="AH26" s="183"/>
      <c r="AI26" s="183"/>
      <c r="AJ26" s="183"/>
      <c r="AK26" s="183"/>
      <c r="AL26" s="183"/>
    </row>
    <row r="27" spans="2:38" x14ac:dyDescent="0.3">
      <c r="B27" s="114" t="str">
        <f t="shared" si="0"/>
        <v/>
      </c>
      <c r="C27" s="187"/>
      <c r="D27" s="202"/>
      <c r="E27" s="187"/>
      <c r="F27" s="182"/>
      <c r="G27" s="203"/>
      <c r="H27" s="203"/>
      <c r="I27" s="203">
        <v>1</v>
      </c>
      <c r="J27" s="203"/>
      <c r="K27" s="359"/>
      <c r="L27" s="359"/>
      <c r="M27" s="359"/>
      <c r="N27" s="359"/>
      <c r="O27" s="361">
        <f>IF(ISBLANK(K27),IF(ISBLANK($E27),0,VLOOKUP($E27,'Default Values'!$B$5:$G$20,COLUMNS('Default Values'!$B$4:D$4),0)),K27)</f>
        <v>0</v>
      </c>
      <c r="P27" s="361">
        <f>IF(ISBLANK(L27),IF(ISBLANK($E27),0,VLOOKUP($E27,'Default Values'!$B$5:$G$20,COLUMNS('Default Values'!$B$4:E$4),0)),L27)</f>
        <v>0</v>
      </c>
      <c r="Q27" s="362">
        <f>IF(ISBLANK(M27),IF(ISBLANK($E27),0,VLOOKUP($E27,'Default Values'!$B$5:$G$20,COLUMNS('Default Values'!$B$4:F$4),0)),M27)</f>
        <v>0</v>
      </c>
      <c r="R27" s="362">
        <f>IF(ISBLANK(N27),IF(ISBLANK($E27),0,VLOOKUP($E27,'Default Values'!$B$5:$G$20,COLUMNS('Default Values'!$B$4:G$4),0)),N27)</f>
        <v>0</v>
      </c>
      <c r="S27" s="35">
        <f>((G27*O27)+(H27*P27*I27)+(J27*Q27*(1-R27)))*Conversions!$C$4</f>
        <v>0</v>
      </c>
      <c r="T27" s="484">
        <f t="shared" si="1"/>
        <v>0</v>
      </c>
      <c r="U27" s="115">
        <f>'Emissions Database'!BS97</f>
        <v>0</v>
      </c>
      <c r="V27" s="183"/>
      <c r="X27" s="183"/>
      <c r="Y27" s="183"/>
      <c r="Z27" s="183"/>
      <c r="AA27" s="183"/>
      <c r="AB27" s="183"/>
      <c r="AC27" s="183"/>
      <c r="AD27" s="183"/>
      <c r="AE27" s="183"/>
      <c r="AF27" s="183"/>
      <c r="AG27" s="183"/>
      <c r="AH27" s="183"/>
      <c r="AI27" s="183"/>
      <c r="AJ27" s="183"/>
      <c r="AK27" s="183"/>
      <c r="AL27" s="183"/>
    </row>
    <row r="28" spans="2:38" x14ac:dyDescent="0.3">
      <c r="B28" s="114" t="str">
        <f t="shared" si="0"/>
        <v/>
      </c>
      <c r="C28" s="187"/>
      <c r="D28" s="202"/>
      <c r="E28" s="187"/>
      <c r="F28" s="182"/>
      <c r="G28" s="203"/>
      <c r="H28" s="203"/>
      <c r="I28" s="203">
        <v>1</v>
      </c>
      <c r="J28" s="203"/>
      <c r="K28" s="359"/>
      <c r="L28" s="359"/>
      <c r="M28" s="359"/>
      <c r="N28" s="359"/>
      <c r="O28" s="361">
        <f>IF(ISBLANK(K28),IF(ISBLANK($E28),0,VLOOKUP($E28,'Default Values'!$B$5:$G$20,COLUMNS('Default Values'!$B$4:D$4),0)),K28)</f>
        <v>0</v>
      </c>
      <c r="P28" s="361">
        <f>IF(ISBLANK(L28),IF(ISBLANK($E28),0,VLOOKUP($E28,'Default Values'!$B$5:$G$20,COLUMNS('Default Values'!$B$4:E$4),0)),L28)</f>
        <v>0</v>
      </c>
      <c r="Q28" s="362">
        <f>IF(ISBLANK(M28),IF(ISBLANK($E28),0,VLOOKUP($E28,'Default Values'!$B$5:$G$20,COLUMNS('Default Values'!$B$4:F$4),0)),M28)</f>
        <v>0</v>
      </c>
      <c r="R28" s="362">
        <f>IF(ISBLANK(N28),IF(ISBLANK($E28),0,VLOOKUP($E28,'Default Values'!$B$5:$G$20,COLUMNS('Default Values'!$B$4:G$4),0)),N28)</f>
        <v>0</v>
      </c>
      <c r="S28" s="35">
        <f>((G28*O28)+(H28*P28*I28)+(J28*Q28*(1-R28)))*Conversions!$C$4</f>
        <v>0</v>
      </c>
      <c r="T28" s="484">
        <f t="shared" si="1"/>
        <v>0</v>
      </c>
      <c r="U28" s="115">
        <f>'Emissions Database'!BS98</f>
        <v>0</v>
      </c>
      <c r="V28" s="183"/>
      <c r="X28" s="183"/>
      <c r="Y28" s="183"/>
      <c r="Z28" s="183"/>
      <c r="AA28" s="183"/>
      <c r="AB28" s="183"/>
      <c r="AC28" s="183"/>
      <c r="AD28" s="183"/>
      <c r="AE28" s="183"/>
      <c r="AF28" s="183"/>
      <c r="AG28" s="183"/>
      <c r="AH28" s="183"/>
      <c r="AI28" s="183"/>
      <c r="AJ28" s="183"/>
      <c r="AK28" s="183"/>
      <c r="AL28" s="183"/>
    </row>
    <row r="29" spans="2:38" x14ac:dyDescent="0.3">
      <c r="B29" s="114" t="str">
        <f t="shared" si="0"/>
        <v/>
      </c>
      <c r="C29" s="187"/>
      <c r="D29" s="202"/>
      <c r="E29" s="187"/>
      <c r="F29" s="182"/>
      <c r="G29" s="203"/>
      <c r="H29" s="203"/>
      <c r="I29" s="203">
        <v>1</v>
      </c>
      <c r="J29" s="203"/>
      <c r="K29" s="359"/>
      <c r="L29" s="359"/>
      <c r="M29" s="359"/>
      <c r="N29" s="359"/>
      <c r="O29" s="361">
        <f>IF(ISBLANK(K29),IF(ISBLANK($E29),0,VLOOKUP($E29,'Default Values'!$B$5:$G$20,COLUMNS('Default Values'!$B$4:D$4),0)),K29)</f>
        <v>0</v>
      </c>
      <c r="P29" s="361">
        <f>IF(ISBLANK(L29),IF(ISBLANK($E29),0,VLOOKUP($E29,'Default Values'!$B$5:$G$20,COLUMNS('Default Values'!$B$4:E$4),0)),L29)</f>
        <v>0</v>
      </c>
      <c r="Q29" s="362">
        <f>IF(ISBLANK(M29),IF(ISBLANK($E29),0,VLOOKUP($E29,'Default Values'!$B$5:$G$20,COLUMNS('Default Values'!$B$4:F$4),0)),M29)</f>
        <v>0</v>
      </c>
      <c r="R29" s="362">
        <f>IF(ISBLANK(N29),IF(ISBLANK($E29),0,VLOOKUP($E29,'Default Values'!$B$5:$G$20,COLUMNS('Default Values'!$B$4:G$4),0)),N29)</f>
        <v>0</v>
      </c>
      <c r="S29" s="35">
        <f>((G29*O29)+(H29*P29*I29)+(J29*Q29*(1-R29)))*Conversions!$C$4</f>
        <v>0</v>
      </c>
      <c r="T29" s="484">
        <f t="shared" si="1"/>
        <v>0</v>
      </c>
      <c r="U29" s="115">
        <f>'Emissions Database'!BS99</f>
        <v>0</v>
      </c>
      <c r="V29" s="183"/>
      <c r="X29" s="183"/>
      <c r="Y29" s="183"/>
      <c r="Z29" s="183"/>
      <c r="AA29" s="183"/>
      <c r="AB29" s="183"/>
      <c r="AC29" s="183"/>
      <c r="AD29" s="183"/>
      <c r="AE29" s="183"/>
      <c r="AF29" s="183"/>
      <c r="AG29" s="183"/>
      <c r="AH29" s="183"/>
      <c r="AI29" s="183"/>
      <c r="AJ29" s="183"/>
      <c r="AK29" s="183"/>
      <c r="AL29" s="183"/>
    </row>
    <row r="30" spans="2:38" x14ac:dyDescent="0.3">
      <c r="B30" s="114" t="str">
        <f t="shared" si="0"/>
        <v/>
      </c>
      <c r="C30" s="187"/>
      <c r="D30" s="202"/>
      <c r="E30" s="187"/>
      <c r="F30" s="182"/>
      <c r="G30" s="203"/>
      <c r="H30" s="203"/>
      <c r="I30" s="203">
        <v>1</v>
      </c>
      <c r="J30" s="203"/>
      <c r="K30" s="359"/>
      <c r="L30" s="359"/>
      <c r="M30" s="359"/>
      <c r="N30" s="359"/>
      <c r="O30" s="361">
        <f>IF(ISBLANK(K30),IF(ISBLANK($E30),0,VLOOKUP($E30,'Default Values'!$B$5:$G$20,COLUMNS('Default Values'!$B$4:D$4),0)),K30)</f>
        <v>0</v>
      </c>
      <c r="P30" s="361">
        <f>IF(ISBLANK(L30),IF(ISBLANK($E30),0,VLOOKUP($E30,'Default Values'!$B$5:$G$20,COLUMNS('Default Values'!$B$4:E$4),0)),L30)</f>
        <v>0</v>
      </c>
      <c r="Q30" s="362">
        <f>IF(ISBLANK(M30),IF(ISBLANK($E30),0,VLOOKUP($E30,'Default Values'!$B$5:$G$20,COLUMNS('Default Values'!$B$4:F$4),0)),M30)</f>
        <v>0</v>
      </c>
      <c r="R30" s="362">
        <f>IF(ISBLANK(N30),IF(ISBLANK($E30),0,VLOOKUP($E30,'Default Values'!$B$5:$G$20,COLUMNS('Default Values'!$B$4:G$4),0)),N30)</f>
        <v>0</v>
      </c>
      <c r="S30" s="35">
        <f>((G30*O30)+(H30*P30*I30)+(J30*Q30*(1-R30)))*Conversions!$C$4</f>
        <v>0</v>
      </c>
      <c r="T30" s="484">
        <f t="shared" si="1"/>
        <v>0</v>
      </c>
      <c r="U30" s="115">
        <f>'Emissions Database'!BS100</f>
        <v>0</v>
      </c>
      <c r="V30" s="183"/>
      <c r="X30" s="183"/>
      <c r="Y30" s="183"/>
      <c r="Z30" s="183"/>
      <c r="AA30" s="183"/>
      <c r="AB30" s="183"/>
      <c r="AC30" s="183"/>
      <c r="AD30" s="183"/>
      <c r="AE30" s="183"/>
      <c r="AF30" s="183"/>
      <c r="AG30" s="183"/>
      <c r="AH30" s="183"/>
      <c r="AI30" s="183"/>
      <c r="AJ30" s="183"/>
      <c r="AK30" s="183"/>
      <c r="AL30" s="183"/>
    </row>
    <row r="31" spans="2:38" x14ac:dyDescent="0.3">
      <c r="B31" s="114" t="str">
        <f t="shared" si="0"/>
        <v/>
      </c>
      <c r="C31" s="187"/>
      <c r="D31" s="202"/>
      <c r="E31" s="187"/>
      <c r="F31" s="182"/>
      <c r="G31" s="203"/>
      <c r="H31" s="203"/>
      <c r="I31" s="203">
        <v>1</v>
      </c>
      <c r="J31" s="203"/>
      <c r="K31" s="359"/>
      <c r="L31" s="359"/>
      <c r="M31" s="359"/>
      <c r="N31" s="359"/>
      <c r="O31" s="361">
        <f>IF(ISBLANK(K31),IF(ISBLANK($E31),0,VLOOKUP($E31,'Default Values'!$B$5:$G$20,COLUMNS('Default Values'!$B$4:D$4),0)),K31)</f>
        <v>0</v>
      </c>
      <c r="P31" s="361">
        <f>IF(ISBLANK(L31),IF(ISBLANK($E31),0,VLOOKUP($E31,'Default Values'!$B$5:$G$20,COLUMNS('Default Values'!$B$4:E$4),0)),L31)</f>
        <v>0</v>
      </c>
      <c r="Q31" s="362">
        <f>IF(ISBLANK(M31),IF(ISBLANK($E31),0,VLOOKUP($E31,'Default Values'!$B$5:$G$20,COLUMNS('Default Values'!$B$4:F$4),0)),M31)</f>
        <v>0</v>
      </c>
      <c r="R31" s="362">
        <f>IF(ISBLANK(N31),IF(ISBLANK($E31),0,VLOOKUP($E31,'Default Values'!$B$5:$G$20,COLUMNS('Default Values'!$B$4:G$4),0)),N31)</f>
        <v>0</v>
      </c>
      <c r="S31" s="35">
        <f>((G31*O31)+(H31*P31*I31)+(J31*Q31*(1-R31)))*Conversions!$C$4</f>
        <v>0</v>
      </c>
      <c r="T31" s="484">
        <f t="shared" si="1"/>
        <v>0</v>
      </c>
      <c r="U31" s="115">
        <f>'Emissions Database'!BS101</f>
        <v>0</v>
      </c>
      <c r="V31" s="183"/>
      <c r="X31" s="183"/>
      <c r="Y31" s="183"/>
      <c r="Z31" s="183"/>
      <c r="AA31" s="183"/>
      <c r="AB31" s="183"/>
      <c r="AC31" s="183"/>
      <c r="AD31" s="183"/>
      <c r="AE31" s="183"/>
      <c r="AF31" s="183"/>
      <c r="AG31" s="183"/>
      <c r="AH31" s="183"/>
      <c r="AI31" s="183"/>
      <c r="AJ31" s="183"/>
      <c r="AK31" s="183"/>
      <c r="AL31" s="183"/>
    </row>
    <row r="32" spans="2:38" x14ac:dyDescent="0.3">
      <c r="B32" s="114" t="str">
        <f t="shared" si="0"/>
        <v/>
      </c>
      <c r="C32" s="187"/>
      <c r="D32" s="202"/>
      <c r="E32" s="187"/>
      <c r="F32" s="182"/>
      <c r="G32" s="203"/>
      <c r="H32" s="203"/>
      <c r="I32" s="203">
        <v>1</v>
      </c>
      <c r="J32" s="203"/>
      <c r="K32" s="359"/>
      <c r="L32" s="359"/>
      <c r="M32" s="359"/>
      <c r="N32" s="359"/>
      <c r="O32" s="361">
        <f>IF(ISBLANK(K32),IF(ISBLANK($E32),0,VLOOKUP($E32,'Default Values'!$B$5:$G$20,COLUMNS('Default Values'!$B$4:D$4),0)),K32)</f>
        <v>0</v>
      </c>
      <c r="P32" s="361">
        <f>IF(ISBLANK(L32),IF(ISBLANK($E32),0,VLOOKUP($E32,'Default Values'!$B$5:$G$20,COLUMNS('Default Values'!$B$4:E$4),0)),L32)</f>
        <v>0</v>
      </c>
      <c r="Q32" s="362">
        <f>IF(ISBLANK(M32),IF(ISBLANK($E32),0,VLOOKUP($E32,'Default Values'!$B$5:$G$20,COLUMNS('Default Values'!$B$4:F$4),0)),M32)</f>
        <v>0</v>
      </c>
      <c r="R32" s="362">
        <f>IF(ISBLANK(N32),IF(ISBLANK($E32),0,VLOOKUP($E32,'Default Values'!$B$5:$G$20,COLUMNS('Default Values'!$B$4:G$4),0)),N32)</f>
        <v>0</v>
      </c>
      <c r="S32" s="35">
        <f>((G32*O32)+(H32*P32*I32)+(J32*Q32*(1-R32)))*Conversions!$C$4</f>
        <v>0</v>
      </c>
      <c r="T32" s="484">
        <f t="shared" si="1"/>
        <v>0</v>
      </c>
      <c r="U32" s="115">
        <f>'Emissions Database'!BS102</f>
        <v>0</v>
      </c>
      <c r="V32" s="183"/>
      <c r="X32" s="183"/>
      <c r="Y32" s="183"/>
      <c r="Z32" s="183"/>
      <c r="AA32" s="183"/>
      <c r="AB32" s="183"/>
      <c r="AC32" s="183"/>
      <c r="AD32" s="183"/>
      <c r="AE32" s="183"/>
      <c r="AF32" s="183"/>
      <c r="AG32" s="183"/>
      <c r="AH32" s="183"/>
      <c r="AI32" s="183"/>
      <c r="AJ32" s="183"/>
      <c r="AK32" s="183"/>
      <c r="AL32" s="183"/>
    </row>
    <row r="33" spans="2:38" x14ac:dyDescent="0.3">
      <c r="B33" s="114" t="str">
        <f t="shared" si="0"/>
        <v/>
      </c>
      <c r="C33" s="187"/>
      <c r="D33" s="202"/>
      <c r="E33" s="187"/>
      <c r="F33" s="182"/>
      <c r="G33" s="203"/>
      <c r="H33" s="203"/>
      <c r="I33" s="203">
        <v>1</v>
      </c>
      <c r="J33" s="203"/>
      <c r="K33" s="359"/>
      <c r="L33" s="359"/>
      <c r="M33" s="359"/>
      <c r="N33" s="359"/>
      <c r="O33" s="361">
        <f>IF(ISBLANK(K33),IF(ISBLANK($E33),0,VLOOKUP($E33,'Default Values'!$B$5:$G$20,COLUMNS('Default Values'!$B$4:D$4),0)),K33)</f>
        <v>0</v>
      </c>
      <c r="P33" s="361">
        <f>IF(ISBLANK(L33),IF(ISBLANK($E33),0,VLOOKUP($E33,'Default Values'!$B$5:$G$20,COLUMNS('Default Values'!$B$4:E$4),0)),L33)</f>
        <v>0</v>
      </c>
      <c r="Q33" s="362">
        <f>IF(ISBLANK(M33),IF(ISBLANK($E33),0,VLOOKUP($E33,'Default Values'!$B$5:$G$20,COLUMNS('Default Values'!$B$4:F$4),0)),M33)</f>
        <v>0</v>
      </c>
      <c r="R33" s="362">
        <f>IF(ISBLANK(N33),IF(ISBLANK($E33),0,VLOOKUP($E33,'Default Values'!$B$5:$G$20,COLUMNS('Default Values'!$B$4:G$4),0)),N33)</f>
        <v>0</v>
      </c>
      <c r="S33" s="35">
        <f>((G33*O33)+(H33*P33*I33)+(J33*Q33*(1-R33)))*Conversions!$C$4</f>
        <v>0</v>
      </c>
      <c r="T33" s="484">
        <f t="shared" si="1"/>
        <v>0</v>
      </c>
      <c r="U33" s="115">
        <f>'Emissions Database'!BS103</f>
        <v>0</v>
      </c>
      <c r="V33" s="183"/>
      <c r="X33" s="183"/>
      <c r="Y33" s="183"/>
      <c r="Z33" s="183"/>
      <c r="AA33" s="183"/>
      <c r="AB33" s="183"/>
      <c r="AC33" s="183"/>
      <c r="AD33" s="183"/>
      <c r="AE33" s="183"/>
      <c r="AF33" s="183"/>
      <c r="AG33" s="183"/>
      <c r="AH33" s="183"/>
      <c r="AI33" s="183"/>
      <c r="AJ33" s="183"/>
      <c r="AK33" s="183"/>
      <c r="AL33" s="183"/>
    </row>
    <row r="34" spans="2:38" x14ac:dyDescent="0.3">
      <c r="B34" s="114" t="str">
        <f t="shared" si="0"/>
        <v/>
      </c>
      <c r="C34" s="187"/>
      <c r="D34" s="202"/>
      <c r="E34" s="187"/>
      <c r="F34" s="182"/>
      <c r="G34" s="203"/>
      <c r="H34" s="203"/>
      <c r="I34" s="203">
        <v>1</v>
      </c>
      <c r="J34" s="203"/>
      <c r="K34" s="359"/>
      <c r="L34" s="359"/>
      <c r="M34" s="359"/>
      <c r="N34" s="359"/>
      <c r="O34" s="361">
        <f>IF(ISBLANK(K34),IF(ISBLANK($E34),0,VLOOKUP($E34,'Default Values'!$B$5:$G$20,COLUMNS('Default Values'!$B$4:D$4),0)),K34)</f>
        <v>0</v>
      </c>
      <c r="P34" s="361">
        <f>IF(ISBLANK(L34),IF(ISBLANK($E34),0,VLOOKUP($E34,'Default Values'!$B$5:$G$20,COLUMNS('Default Values'!$B$4:E$4),0)),L34)</f>
        <v>0</v>
      </c>
      <c r="Q34" s="362">
        <f>IF(ISBLANK(M34),IF(ISBLANK($E34),0,VLOOKUP($E34,'Default Values'!$B$5:$G$20,COLUMNS('Default Values'!$B$4:F$4),0)),M34)</f>
        <v>0</v>
      </c>
      <c r="R34" s="362">
        <f>IF(ISBLANK(N34),IF(ISBLANK($E34),0,VLOOKUP($E34,'Default Values'!$B$5:$G$20,COLUMNS('Default Values'!$B$4:G$4),0)),N34)</f>
        <v>0</v>
      </c>
      <c r="S34" s="35">
        <f>((G34*O34)+(H34*P34*I34)+(J34*Q34*(1-R34)))*Conversions!$C$4</f>
        <v>0</v>
      </c>
      <c r="T34" s="484">
        <f t="shared" si="1"/>
        <v>0</v>
      </c>
      <c r="U34" s="115">
        <f>'Emissions Database'!BS104</f>
        <v>0</v>
      </c>
      <c r="V34" s="183"/>
      <c r="X34" s="183"/>
      <c r="Y34" s="183"/>
      <c r="Z34" s="183"/>
      <c r="AA34" s="183"/>
      <c r="AB34" s="183"/>
      <c r="AC34" s="183"/>
      <c r="AD34" s="183"/>
      <c r="AE34" s="183"/>
      <c r="AF34" s="183"/>
      <c r="AG34" s="183"/>
      <c r="AH34" s="183"/>
      <c r="AI34" s="183"/>
      <c r="AJ34" s="183"/>
      <c r="AK34" s="183"/>
      <c r="AL34" s="183"/>
    </row>
    <row r="35" spans="2:38" x14ac:dyDescent="0.3">
      <c r="B35" s="114" t="str">
        <f t="shared" si="0"/>
        <v/>
      </c>
      <c r="C35" s="187"/>
      <c r="D35" s="202"/>
      <c r="E35" s="187"/>
      <c r="F35" s="182"/>
      <c r="G35" s="203"/>
      <c r="H35" s="203"/>
      <c r="I35" s="203">
        <v>1</v>
      </c>
      <c r="J35" s="203"/>
      <c r="K35" s="359"/>
      <c r="L35" s="359"/>
      <c r="M35" s="359"/>
      <c r="N35" s="359"/>
      <c r="O35" s="361">
        <f>IF(ISBLANK(K35),IF(ISBLANK($E35),0,VLOOKUP($E35,'Default Values'!$B$5:$G$20,COLUMNS('Default Values'!$B$4:D$4),0)),K35)</f>
        <v>0</v>
      </c>
      <c r="P35" s="361">
        <f>IF(ISBLANK(L35),IF(ISBLANK($E35),0,VLOOKUP($E35,'Default Values'!$B$5:$G$20,COLUMNS('Default Values'!$B$4:E$4),0)),L35)</f>
        <v>0</v>
      </c>
      <c r="Q35" s="362">
        <f>IF(ISBLANK(M35),IF(ISBLANK($E35),0,VLOOKUP($E35,'Default Values'!$B$5:$G$20,COLUMNS('Default Values'!$B$4:F$4),0)),M35)</f>
        <v>0</v>
      </c>
      <c r="R35" s="362">
        <f>IF(ISBLANK(N35),IF(ISBLANK($E35),0,VLOOKUP($E35,'Default Values'!$B$5:$G$20,COLUMNS('Default Values'!$B$4:G$4),0)),N35)</f>
        <v>0</v>
      </c>
      <c r="S35" s="35">
        <f>((G35*O35)+(H35*P35*I35)+(J35*Q35*(1-R35)))*Conversions!$C$4</f>
        <v>0</v>
      </c>
      <c r="T35" s="484">
        <f t="shared" si="1"/>
        <v>0</v>
      </c>
      <c r="U35" s="115">
        <f>'Emissions Database'!BS105</f>
        <v>0</v>
      </c>
      <c r="V35" s="183"/>
      <c r="X35" s="183"/>
      <c r="Y35" s="183"/>
      <c r="Z35" s="183"/>
      <c r="AA35" s="183"/>
      <c r="AB35" s="183"/>
      <c r="AC35" s="183"/>
      <c r="AD35" s="183"/>
      <c r="AE35" s="183"/>
      <c r="AF35" s="183"/>
      <c r="AG35" s="183"/>
      <c r="AH35" s="183"/>
      <c r="AI35" s="183"/>
      <c r="AJ35" s="183"/>
      <c r="AK35" s="183"/>
      <c r="AL35" s="183"/>
    </row>
    <row r="36" spans="2:38" x14ac:dyDescent="0.3">
      <c r="B36" s="114" t="str">
        <f t="shared" si="0"/>
        <v/>
      </c>
      <c r="C36" s="187"/>
      <c r="D36" s="202"/>
      <c r="E36" s="187"/>
      <c r="F36" s="182"/>
      <c r="G36" s="203"/>
      <c r="H36" s="203"/>
      <c r="I36" s="203">
        <v>1</v>
      </c>
      <c r="J36" s="203"/>
      <c r="K36" s="359"/>
      <c r="L36" s="359"/>
      <c r="M36" s="359"/>
      <c r="N36" s="359"/>
      <c r="O36" s="361">
        <f>IF(ISBLANK(K36),IF(ISBLANK($E36),0,VLOOKUP($E36,'Default Values'!$B$5:$G$20,COLUMNS('Default Values'!$B$4:D$4),0)),K36)</f>
        <v>0</v>
      </c>
      <c r="P36" s="361">
        <f>IF(ISBLANK(L36),IF(ISBLANK($E36),0,VLOOKUP($E36,'Default Values'!$B$5:$G$20,COLUMNS('Default Values'!$B$4:E$4),0)),L36)</f>
        <v>0</v>
      </c>
      <c r="Q36" s="362">
        <f>IF(ISBLANK(M36),IF(ISBLANK($E36),0,VLOOKUP($E36,'Default Values'!$B$5:$G$20,COLUMNS('Default Values'!$B$4:F$4),0)),M36)</f>
        <v>0</v>
      </c>
      <c r="R36" s="362">
        <f>IF(ISBLANK(N36),IF(ISBLANK($E36),0,VLOOKUP($E36,'Default Values'!$B$5:$G$20,COLUMNS('Default Values'!$B$4:G$4),0)),N36)</f>
        <v>0</v>
      </c>
      <c r="S36" s="35">
        <f>((G36*O36)+(H36*P36*I36)+(J36*Q36*(1-R36)))*Conversions!$C$4</f>
        <v>0</v>
      </c>
      <c r="T36" s="484">
        <f t="shared" si="1"/>
        <v>0</v>
      </c>
      <c r="U36" s="115">
        <f>'Emissions Database'!BS106</f>
        <v>0</v>
      </c>
      <c r="V36" s="183"/>
      <c r="X36" s="183"/>
      <c r="Y36" s="183"/>
      <c r="Z36" s="183"/>
      <c r="AA36" s="183"/>
      <c r="AB36" s="183"/>
      <c r="AC36" s="183"/>
      <c r="AD36" s="183"/>
      <c r="AE36" s="183"/>
      <c r="AF36" s="183"/>
      <c r="AG36" s="183"/>
      <c r="AH36" s="183"/>
      <c r="AI36" s="183"/>
      <c r="AJ36" s="183"/>
      <c r="AK36" s="183"/>
      <c r="AL36" s="183"/>
    </row>
    <row r="37" spans="2:38" x14ac:dyDescent="0.3">
      <c r="B37" s="114" t="str">
        <f t="shared" si="0"/>
        <v/>
      </c>
      <c r="C37" s="187"/>
      <c r="D37" s="202"/>
      <c r="E37" s="187"/>
      <c r="F37" s="182"/>
      <c r="G37" s="203"/>
      <c r="H37" s="203"/>
      <c r="I37" s="203">
        <v>1</v>
      </c>
      <c r="J37" s="203"/>
      <c r="K37" s="359"/>
      <c r="L37" s="359"/>
      <c r="M37" s="359"/>
      <c r="N37" s="359"/>
      <c r="O37" s="361">
        <f>IF(ISBLANK(K37),IF(ISBLANK($E37),0,VLOOKUP($E37,'Default Values'!$B$5:$G$20,COLUMNS('Default Values'!$B$4:D$4),0)),K37)</f>
        <v>0</v>
      </c>
      <c r="P37" s="361">
        <f>IF(ISBLANK(L37),IF(ISBLANK($E37),0,VLOOKUP($E37,'Default Values'!$B$5:$G$20,COLUMNS('Default Values'!$B$4:E$4),0)),L37)</f>
        <v>0</v>
      </c>
      <c r="Q37" s="362">
        <f>IF(ISBLANK(M37),IF(ISBLANK($E37),0,VLOOKUP($E37,'Default Values'!$B$5:$G$20,COLUMNS('Default Values'!$B$4:F$4),0)),M37)</f>
        <v>0</v>
      </c>
      <c r="R37" s="362">
        <f>IF(ISBLANK(N37),IF(ISBLANK($E37),0,VLOOKUP($E37,'Default Values'!$B$5:$G$20,COLUMNS('Default Values'!$B$4:G$4),0)),N37)</f>
        <v>0</v>
      </c>
      <c r="S37" s="35">
        <f>((G37*O37)+(H37*P37*I37)+(J37*Q37*(1-R37)))*Conversions!$C$4</f>
        <v>0</v>
      </c>
      <c r="T37" s="484">
        <f t="shared" si="1"/>
        <v>0</v>
      </c>
      <c r="U37" s="115">
        <f>'Emissions Database'!BS107</f>
        <v>0</v>
      </c>
      <c r="V37" s="183"/>
      <c r="X37" s="183"/>
      <c r="Y37" s="183"/>
      <c r="Z37" s="183"/>
      <c r="AA37" s="183"/>
      <c r="AB37" s="183"/>
      <c r="AC37" s="183"/>
      <c r="AD37" s="183"/>
      <c r="AE37" s="183"/>
      <c r="AF37" s="183"/>
      <c r="AG37" s="183"/>
      <c r="AH37" s="183"/>
      <c r="AI37" s="183"/>
      <c r="AJ37" s="183"/>
      <c r="AK37" s="183"/>
      <c r="AL37" s="183"/>
    </row>
    <row r="38" spans="2:38" x14ac:dyDescent="0.3">
      <c r="B38" s="114" t="str">
        <f t="shared" si="0"/>
        <v/>
      </c>
      <c r="C38" s="187"/>
      <c r="D38" s="202"/>
      <c r="E38" s="187"/>
      <c r="F38" s="182"/>
      <c r="G38" s="203"/>
      <c r="H38" s="203"/>
      <c r="I38" s="203">
        <v>1</v>
      </c>
      <c r="J38" s="203"/>
      <c r="K38" s="359"/>
      <c r="L38" s="359"/>
      <c r="M38" s="359"/>
      <c r="N38" s="359"/>
      <c r="O38" s="361">
        <f>IF(ISBLANK(K38),IF(ISBLANK($E38),0,VLOOKUP($E38,'Default Values'!$B$5:$G$20,COLUMNS('Default Values'!$B$4:D$4),0)),K38)</f>
        <v>0</v>
      </c>
      <c r="P38" s="361">
        <f>IF(ISBLANK(L38),IF(ISBLANK($E38),0,VLOOKUP($E38,'Default Values'!$B$5:$G$20,COLUMNS('Default Values'!$B$4:E$4),0)),L38)</f>
        <v>0</v>
      </c>
      <c r="Q38" s="362">
        <f>IF(ISBLANK(M38),IF(ISBLANK($E38),0,VLOOKUP($E38,'Default Values'!$B$5:$G$20,COLUMNS('Default Values'!$B$4:F$4),0)),M38)</f>
        <v>0</v>
      </c>
      <c r="R38" s="362">
        <f>IF(ISBLANK(N38),IF(ISBLANK($E38),0,VLOOKUP($E38,'Default Values'!$B$5:$G$20,COLUMNS('Default Values'!$B$4:G$4),0)),N38)</f>
        <v>0</v>
      </c>
      <c r="S38" s="35">
        <f>((G38*O38)+(H38*P38*I38)+(J38*Q38*(1-R38)))*Conversions!$C$4</f>
        <v>0</v>
      </c>
      <c r="T38" s="484">
        <f t="shared" si="1"/>
        <v>0</v>
      </c>
      <c r="U38" s="115">
        <f>'Emissions Database'!BS108</f>
        <v>0</v>
      </c>
      <c r="V38" s="183"/>
      <c r="W38" s="198"/>
      <c r="X38" s="183"/>
      <c r="Y38" s="183"/>
      <c r="Z38" s="183"/>
      <c r="AA38" s="183"/>
      <c r="AB38" s="183"/>
      <c r="AC38" s="183"/>
      <c r="AD38" s="183"/>
      <c r="AE38" s="183"/>
      <c r="AF38" s="183"/>
      <c r="AG38" s="183"/>
      <c r="AH38" s="183"/>
      <c r="AI38" s="183"/>
      <c r="AJ38" s="183"/>
      <c r="AK38" s="183"/>
      <c r="AL38" s="183"/>
    </row>
    <row r="39" spans="2:38" x14ac:dyDescent="0.3">
      <c r="B39" s="114" t="str">
        <f t="shared" si="0"/>
        <v/>
      </c>
      <c r="C39" s="187"/>
      <c r="D39" s="202"/>
      <c r="E39" s="187"/>
      <c r="F39" s="182"/>
      <c r="G39" s="203"/>
      <c r="H39" s="203"/>
      <c r="I39" s="203">
        <v>1</v>
      </c>
      <c r="J39" s="203"/>
      <c r="K39" s="359"/>
      <c r="L39" s="359"/>
      <c r="M39" s="359"/>
      <c r="N39" s="359"/>
      <c r="O39" s="361">
        <f>IF(ISBLANK(K39),IF(ISBLANK($E39),0,VLOOKUP($E39,'Default Values'!$B$5:$G$20,COLUMNS('Default Values'!$B$4:D$4),0)),K39)</f>
        <v>0</v>
      </c>
      <c r="P39" s="361">
        <f>IF(ISBLANK(L39),IF(ISBLANK($E39),0,VLOOKUP($E39,'Default Values'!$B$5:$G$20,COLUMNS('Default Values'!$B$4:E$4),0)),L39)</f>
        <v>0</v>
      </c>
      <c r="Q39" s="362">
        <f>IF(ISBLANK(M39),IF(ISBLANK($E39),0,VLOOKUP($E39,'Default Values'!$B$5:$G$20,COLUMNS('Default Values'!$B$4:F$4),0)),M39)</f>
        <v>0</v>
      </c>
      <c r="R39" s="362">
        <f>IF(ISBLANK(N39),IF(ISBLANK($E39),0,VLOOKUP($E39,'Default Values'!$B$5:$G$20,COLUMNS('Default Values'!$B$4:G$4),0)),N39)</f>
        <v>0</v>
      </c>
      <c r="S39" s="35">
        <f>((G39*O39)+(H39*P39*I39)+(J39*Q39*(1-R39)))*Conversions!$C$4</f>
        <v>0</v>
      </c>
      <c r="T39" s="484">
        <f t="shared" si="1"/>
        <v>0</v>
      </c>
      <c r="U39" s="115">
        <f>'Emissions Database'!BS109</f>
        <v>0</v>
      </c>
      <c r="V39" s="183"/>
      <c r="W39" s="198"/>
      <c r="X39" s="183"/>
      <c r="Y39" s="183"/>
      <c r="Z39" s="183"/>
      <c r="AA39" s="183"/>
      <c r="AB39" s="183"/>
      <c r="AC39" s="183"/>
      <c r="AD39" s="183"/>
      <c r="AE39" s="183"/>
      <c r="AF39" s="183"/>
      <c r="AG39" s="183"/>
      <c r="AH39" s="183"/>
      <c r="AI39" s="183"/>
      <c r="AJ39" s="183"/>
      <c r="AK39" s="183"/>
      <c r="AL39" s="183"/>
    </row>
    <row r="40" spans="2:38" x14ac:dyDescent="0.3">
      <c r="B40" s="114" t="str">
        <f t="shared" si="0"/>
        <v/>
      </c>
      <c r="C40" s="187"/>
      <c r="D40" s="202"/>
      <c r="E40" s="187"/>
      <c r="F40" s="182"/>
      <c r="G40" s="203"/>
      <c r="H40" s="203"/>
      <c r="I40" s="203">
        <v>1</v>
      </c>
      <c r="J40" s="203"/>
      <c r="K40" s="359"/>
      <c r="L40" s="359"/>
      <c r="M40" s="359"/>
      <c r="N40" s="359"/>
      <c r="O40" s="361">
        <f>IF(ISBLANK(K40),IF(ISBLANK($E40),0,VLOOKUP($E40,'Default Values'!$B$5:$G$20,COLUMNS('Default Values'!$B$4:D$4),0)),K40)</f>
        <v>0</v>
      </c>
      <c r="P40" s="361">
        <f>IF(ISBLANK(L40),IF(ISBLANK($E40),0,VLOOKUP($E40,'Default Values'!$B$5:$G$20,COLUMNS('Default Values'!$B$4:E$4),0)),L40)</f>
        <v>0</v>
      </c>
      <c r="Q40" s="362">
        <f>IF(ISBLANK(M40),IF(ISBLANK($E40),0,VLOOKUP($E40,'Default Values'!$B$5:$G$20,COLUMNS('Default Values'!$B$4:F$4),0)),M40)</f>
        <v>0</v>
      </c>
      <c r="R40" s="362">
        <f>IF(ISBLANK(N40),IF(ISBLANK($E40),0,VLOOKUP($E40,'Default Values'!$B$5:$G$20,COLUMNS('Default Values'!$B$4:G$4),0)),N40)</f>
        <v>0</v>
      </c>
      <c r="S40" s="35">
        <f>((G40*O40)+(H40*P40*I40)+(J40*Q40*(1-R40)))*Conversions!$C$4</f>
        <v>0</v>
      </c>
      <c r="T40" s="484">
        <f t="shared" si="1"/>
        <v>0</v>
      </c>
      <c r="U40" s="115">
        <f>'Emissions Database'!BS110</f>
        <v>0</v>
      </c>
      <c r="V40" s="183"/>
      <c r="W40" s="198"/>
      <c r="X40" s="183"/>
      <c r="Y40" s="183"/>
      <c r="Z40" s="183"/>
      <c r="AA40" s="183"/>
      <c r="AB40" s="183"/>
      <c r="AC40" s="183"/>
      <c r="AD40" s="183"/>
      <c r="AE40" s="183"/>
      <c r="AF40" s="183"/>
      <c r="AG40" s="183"/>
      <c r="AH40" s="183"/>
      <c r="AI40" s="183"/>
      <c r="AJ40" s="183"/>
      <c r="AK40" s="183"/>
      <c r="AL40" s="183"/>
    </row>
    <row r="41" spans="2:38" x14ac:dyDescent="0.3">
      <c r="B41" s="114" t="str">
        <f t="shared" si="0"/>
        <v/>
      </c>
      <c r="C41" s="187"/>
      <c r="D41" s="202"/>
      <c r="E41" s="187"/>
      <c r="F41" s="182"/>
      <c r="G41" s="203"/>
      <c r="H41" s="203"/>
      <c r="I41" s="203">
        <v>1</v>
      </c>
      <c r="J41" s="203"/>
      <c r="K41" s="359"/>
      <c r="L41" s="359"/>
      <c r="M41" s="359"/>
      <c r="N41" s="359"/>
      <c r="O41" s="361">
        <f>IF(ISBLANK(K41),IF(ISBLANK($E41),0,VLOOKUP($E41,'Default Values'!$B$5:$G$20,COLUMNS('Default Values'!$B$4:D$4),0)),K41)</f>
        <v>0</v>
      </c>
      <c r="P41" s="361">
        <f>IF(ISBLANK(L41),IF(ISBLANK($E41),0,VLOOKUP($E41,'Default Values'!$B$5:$G$20,COLUMNS('Default Values'!$B$4:E$4),0)),L41)</f>
        <v>0</v>
      </c>
      <c r="Q41" s="362">
        <f>IF(ISBLANK(M41),IF(ISBLANK($E41),0,VLOOKUP($E41,'Default Values'!$B$5:$G$20,COLUMNS('Default Values'!$B$4:F$4),0)),M41)</f>
        <v>0</v>
      </c>
      <c r="R41" s="362">
        <f>IF(ISBLANK(N41),IF(ISBLANK($E41),0,VLOOKUP($E41,'Default Values'!$B$5:$G$20,COLUMNS('Default Values'!$B$4:G$4),0)),N41)</f>
        <v>0</v>
      </c>
      <c r="S41" s="35">
        <f>((G41*O41)+(H41*P41*I41)+(J41*Q41*(1-R41)))*Conversions!$C$4</f>
        <v>0</v>
      </c>
      <c r="T41" s="484">
        <f t="shared" si="1"/>
        <v>0</v>
      </c>
      <c r="U41" s="115">
        <f>'Emissions Database'!BS111</f>
        <v>0</v>
      </c>
      <c r="V41" s="183"/>
      <c r="W41" s="198"/>
      <c r="X41" s="183"/>
      <c r="Y41" s="183"/>
      <c r="Z41" s="183"/>
      <c r="AA41" s="183"/>
      <c r="AB41" s="183"/>
      <c r="AC41" s="183"/>
      <c r="AD41" s="183"/>
      <c r="AE41" s="183"/>
      <c r="AF41" s="183"/>
      <c r="AG41" s="183"/>
      <c r="AH41" s="183"/>
      <c r="AI41" s="183"/>
      <c r="AJ41" s="183"/>
      <c r="AK41" s="183"/>
      <c r="AL41" s="183"/>
    </row>
    <row r="42" spans="2:38" x14ac:dyDescent="0.3">
      <c r="B42" s="114" t="str">
        <f t="shared" si="0"/>
        <v/>
      </c>
      <c r="C42" s="187"/>
      <c r="D42" s="202"/>
      <c r="E42" s="187"/>
      <c r="F42" s="182"/>
      <c r="G42" s="203"/>
      <c r="H42" s="203"/>
      <c r="I42" s="203">
        <v>1</v>
      </c>
      <c r="J42" s="203"/>
      <c r="K42" s="359"/>
      <c r="L42" s="359"/>
      <c r="M42" s="359"/>
      <c r="N42" s="359"/>
      <c r="O42" s="361">
        <f>IF(ISBLANK(K42),IF(ISBLANK($E42),0,VLOOKUP($E42,'Default Values'!$B$5:$G$20,COLUMNS('Default Values'!$B$4:D$4),0)),K42)</f>
        <v>0</v>
      </c>
      <c r="P42" s="361">
        <f>IF(ISBLANK(L42),IF(ISBLANK($E42),0,VLOOKUP($E42,'Default Values'!$B$5:$G$20,COLUMNS('Default Values'!$B$4:E$4),0)),L42)</f>
        <v>0</v>
      </c>
      <c r="Q42" s="362">
        <f>IF(ISBLANK(M42),IF(ISBLANK($E42),0,VLOOKUP($E42,'Default Values'!$B$5:$G$20,COLUMNS('Default Values'!$B$4:F$4),0)),M42)</f>
        <v>0</v>
      </c>
      <c r="R42" s="362">
        <f>IF(ISBLANK(N42),IF(ISBLANK($E42),0,VLOOKUP($E42,'Default Values'!$B$5:$G$20,COLUMNS('Default Values'!$B$4:G$4),0)),N42)</f>
        <v>0</v>
      </c>
      <c r="S42" s="35">
        <f>((G42*O42)+(H42*P42*I42)+(J42*Q42*(1-R42)))*Conversions!$C$4</f>
        <v>0</v>
      </c>
      <c r="T42" s="484">
        <f t="shared" si="1"/>
        <v>0</v>
      </c>
      <c r="U42" s="115">
        <f>'Emissions Database'!BS112</f>
        <v>0</v>
      </c>
      <c r="V42" s="183"/>
      <c r="W42" s="198"/>
      <c r="X42" s="183"/>
      <c r="Y42" s="183"/>
      <c r="Z42" s="183"/>
      <c r="AA42" s="183"/>
      <c r="AB42" s="183"/>
      <c r="AC42" s="183"/>
      <c r="AD42" s="183"/>
      <c r="AE42" s="183"/>
      <c r="AF42" s="183"/>
      <c r="AG42" s="183"/>
      <c r="AH42" s="183"/>
      <c r="AI42" s="183"/>
      <c r="AJ42" s="183"/>
      <c r="AK42" s="183"/>
      <c r="AL42" s="183"/>
    </row>
    <row r="43" spans="2:38" x14ac:dyDescent="0.3">
      <c r="B43" s="114" t="str">
        <f t="shared" si="0"/>
        <v/>
      </c>
      <c r="C43" s="187"/>
      <c r="D43" s="202"/>
      <c r="E43" s="187"/>
      <c r="F43" s="182"/>
      <c r="G43" s="203"/>
      <c r="H43" s="203"/>
      <c r="I43" s="203">
        <v>1</v>
      </c>
      <c r="J43" s="203"/>
      <c r="K43" s="359"/>
      <c r="L43" s="359"/>
      <c r="M43" s="359"/>
      <c r="N43" s="359"/>
      <c r="O43" s="361">
        <f>IF(ISBLANK(K43),IF(ISBLANK($E43),0,VLOOKUP($E43,'Default Values'!$B$5:$G$20,COLUMNS('Default Values'!$B$4:D$4),0)),K43)</f>
        <v>0</v>
      </c>
      <c r="P43" s="361">
        <f>IF(ISBLANK(L43),IF(ISBLANK($E43),0,VLOOKUP($E43,'Default Values'!$B$5:$G$20,COLUMNS('Default Values'!$B$4:E$4),0)),L43)</f>
        <v>0</v>
      </c>
      <c r="Q43" s="362">
        <f>IF(ISBLANK(M43),IF(ISBLANK($E43),0,VLOOKUP($E43,'Default Values'!$B$5:$G$20,COLUMNS('Default Values'!$B$4:F$4),0)),M43)</f>
        <v>0</v>
      </c>
      <c r="R43" s="362">
        <f>IF(ISBLANK(N43),IF(ISBLANK($E43),0,VLOOKUP($E43,'Default Values'!$B$5:$G$20,COLUMNS('Default Values'!$B$4:G$4),0)),N43)</f>
        <v>0</v>
      </c>
      <c r="S43" s="35">
        <f>((G43*O43)+(H43*P43*I43)+(J43*Q43*(1-R43)))*Conversions!$C$4</f>
        <v>0</v>
      </c>
      <c r="T43" s="484">
        <f t="shared" si="1"/>
        <v>0</v>
      </c>
      <c r="U43" s="115">
        <f>'Emissions Database'!BS113</f>
        <v>0</v>
      </c>
      <c r="V43" s="183"/>
      <c r="W43" s="198"/>
      <c r="X43" s="183"/>
      <c r="Y43" s="183"/>
      <c r="Z43" s="183"/>
      <c r="AA43" s="183"/>
      <c r="AB43" s="183"/>
      <c r="AC43" s="183"/>
      <c r="AD43" s="183"/>
      <c r="AE43" s="183"/>
      <c r="AF43" s="183"/>
      <c r="AG43" s="183"/>
      <c r="AH43" s="183"/>
      <c r="AI43" s="183"/>
      <c r="AJ43" s="183"/>
      <c r="AK43" s="183"/>
      <c r="AL43" s="183"/>
    </row>
    <row r="44" spans="2:38" x14ac:dyDescent="0.3">
      <c r="B44" s="114" t="str">
        <f t="shared" si="0"/>
        <v/>
      </c>
      <c r="C44" s="187"/>
      <c r="D44" s="202"/>
      <c r="E44" s="187"/>
      <c r="F44" s="182"/>
      <c r="G44" s="203"/>
      <c r="H44" s="203"/>
      <c r="I44" s="203">
        <v>1</v>
      </c>
      <c r="J44" s="203"/>
      <c r="K44" s="359"/>
      <c r="L44" s="359"/>
      <c r="M44" s="359"/>
      <c r="N44" s="359"/>
      <c r="O44" s="361">
        <f>IF(ISBLANK(K44),IF(ISBLANK($E44),0,VLOOKUP($E44,'Default Values'!$B$5:$G$20,COLUMNS('Default Values'!$B$4:D$4),0)),K44)</f>
        <v>0</v>
      </c>
      <c r="P44" s="361">
        <f>IF(ISBLANK(L44),IF(ISBLANK($E44),0,VLOOKUP($E44,'Default Values'!$B$5:$G$20,COLUMNS('Default Values'!$B$4:E$4),0)),L44)</f>
        <v>0</v>
      </c>
      <c r="Q44" s="362">
        <f>IF(ISBLANK(M44),IF(ISBLANK($E44),0,VLOOKUP($E44,'Default Values'!$B$5:$G$20,COLUMNS('Default Values'!$B$4:F$4),0)),M44)</f>
        <v>0</v>
      </c>
      <c r="R44" s="362">
        <f>IF(ISBLANK(N44),IF(ISBLANK($E44),0,VLOOKUP($E44,'Default Values'!$B$5:$G$20,COLUMNS('Default Values'!$B$4:G$4),0)),N44)</f>
        <v>0</v>
      </c>
      <c r="S44" s="35">
        <f>((G44*O44)+(H44*P44*I44)+(J44*Q44*(1-R44)))*Conversions!$C$4</f>
        <v>0</v>
      </c>
      <c r="T44" s="484">
        <f t="shared" si="1"/>
        <v>0</v>
      </c>
      <c r="U44" s="115">
        <f>'Emissions Database'!BS114</f>
        <v>0</v>
      </c>
      <c r="V44" s="183"/>
      <c r="X44" s="183"/>
      <c r="Y44" s="183"/>
      <c r="Z44" s="183"/>
      <c r="AA44" s="183"/>
      <c r="AB44" s="183"/>
      <c r="AC44" s="183"/>
      <c r="AD44" s="183"/>
      <c r="AE44" s="183"/>
      <c r="AF44" s="183"/>
      <c r="AG44" s="183"/>
      <c r="AH44" s="183"/>
      <c r="AI44" s="183"/>
      <c r="AJ44" s="183"/>
      <c r="AK44" s="183"/>
      <c r="AL44" s="183"/>
    </row>
    <row r="45" spans="2:38" x14ac:dyDescent="0.3">
      <c r="B45" s="114" t="str">
        <f t="shared" si="0"/>
        <v/>
      </c>
      <c r="C45" s="187"/>
      <c r="D45" s="202"/>
      <c r="E45" s="187"/>
      <c r="F45" s="182"/>
      <c r="G45" s="203"/>
      <c r="H45" s="203"/>
      <c r="I45" s="203">
        <v>1</v>
      </c>
      <c r="J45" s="203"/>
      <c r="K45" s="359"/>
      <c r="L45" s="359"/>
      <c r="M45" s="359"/>
      <c r="N45" s="359"/>
      <c r="O45" s="361">
        <f>IF(ISBLANK(K45),IF(ISBLANK($E45),0,VLOOKUP($E45,'Default Values'!$B$5:$G$20,COLUMNS('Default Values'!$B$4:D$4),0)),K45)</f>
        <v>0</v>
      </c>
      <c r="P45" s="361">
        <f>IF(ISBLANK(L45),IF(ISBLANK($E45),0,VLOOKUP($E45,'Default Values'!$B$5:$G$20,COLUMNS('Default Values'!$B$4:E$4),0)),L45)</f>
        <v>0</v>
      </c>
      <c r="Q45" s="362">
        <f>IF(ISBLANK(M45),IF(ISBLANK($E45),0,VLOOKUP($E45,'Default Values'!$B$5:$G$20,COLUMNS('Default Values'!$B$4:F$4),0)),M45)</f>
        <v>0</v>
      </c>
      <c r="R45" s="362">
        <f>IF(ISBLANK(N45),IF(ISBLANK($E45),0,VLOOKUP($E45,'Default Values'!$B$5:$G$20,COLUMNS('Default Values'!$B$4:G$4),0)),N45)</f>
        <v>0</v>
      </c>
      <c r="S45" s="35">
        <f>((G45*O45)+(H45*P45*I45)+(J45*Q45*(1-R45)))*Conversions!$C$4</f>
        <v>0</v>
      </c>
      <c r="T45" s="484">
        <f t="shared" si="1"/>
        <v>0</v>
      </c>
      <c r="U45" s="115">
        <f>'Emissions Database'!BS115</f>
        <v>0</v>
      </c>
      <c r="V45" s="183"/>
      <c r="X45" s="183"/>
      <c r="Y45" s="183"/>
      <c r="Z45" s="183"/>
      <c r="AA45" s="183"/>
      <c r="AB45" s="183"/>
      <c r="AC45" s="183"/>
      <c r="AD45" s="183"/>
      <c r="AE45" s="183"/>
      <c r="AF45" s="183"/>
      <c r="AG45" s="183"/>
      <c r="AH45" s="183"/>
      <c r="AI45" s="183"/>
      <c r="AJ45" s="183"/>
      <c r="AK45" s="183"/>
      <c r="AL45" s="183"/>
    </row>
    <row r="46" spans="2:38" x14ac:dyDescent="0.3">
      <c r="B46" s="114" t="str">
        <f t="shared" si="0"/>
        <v/>
      </c>
      <c r="C46" s="187"/>
      <c r="D46" s="202"/>
      <c r="E46" s="187"/>
      <c r="F46" s="182"/>
      <c r="G46" s="203"/>
      <c r="H46" s="203"/>
      <c r="I46" s="203">
        <v>1</v>
      </c>
      <c r="J46" s="203"/>
      <c r="K46" s="359"/>
      <c r="L46" s="359"/>
      <c r="M46" s="359"/>
      <c r="N46" s="359"/>
      <c r="O46" s="361">
        <f>IF(ISBLANK(K46),IF(ISBLANK($E46),0,VLOOKUP($E46,'Default Values'!$B$5:$G$20,COLUMNS('Default Values'!$B$4:D$4),0)),K46)</f>
        <v>0</v>
      </c>
      <c r="P46" s="361">
        <f>IF(ISBLANK(L46),IF(ISBLANK($E46),0,VLOOKUP($E46,'Default Values'!$B$5:$G$20,COLUMNS('Default Values'!$B$4:E$4),0)),L46)</f>
        <v>0</v>
      </c>
      <c r="Q46" s="362">
        <f>IF(ISBLANK(M46),IF(ISBLANK($E46),0,VLOOKUP($E46,'Default Values'!$B$5:$G$20,COLUMNS('Default Values'!$B$4:F$4),0)),M46)</f>
        <v>0</v>
      </c>
      <c r="R46" s="362">
        <f>IF(ISBLANK(N46),IF(ISBLANK($E46),0,VLOOKUP($E46,'Default Values'!$B$5:$G$20,COLUMNS('Default Values'!$B$4:G$4),0)),N46)</f>
        <v>0</v>
      </c>
      <c r="S46" s="35">
        <f>((G46*O46)+(H46*P46*I46)+(J46*Q46*(1-R46)))*Conversions!$C$4</f>
        <v>0</v>
      </c>
      <c r="T46" s="484">
        <f t="shared" si="1"/>
        <v>0</v>
      </c>
      <c r="U46" s="115">
        <f>'Emissions Database'!BS116</f>
        <v>0</v>
      </c>
      <c r="V46" s="183"/>
      <c r="W46" s="183"/>
      <c r="X46" s="183"/>
      <c r="Y46" s="183"/>
      <c r="Z46" s="183"/>
      <c r="AA46" s="183"/>
      <c r="AB46" s="183"/>
      <c r="AC46" s="183"/>
      <c r="AD46" s="183"/>
      <c r="AE46" s="183"/>
      <c r="AF46" s="183"/>
      <c r="AG46" s="183"/>
      <c r="AH46" s="183"/>
      <c r="AI46" s="183"/>
      <c r="AJ46" s="183"/>
      <c r="AK46" s="183"/>
      <c r="AL46" s="183"/>
    </row>
    <row r="47" spans="2:38" x14ac:dyDescent="0.3">
      <c r="B47" s="114" t="str">
        <f t="shared" si="0"/>
        <v/>
      </c>
      <c r="C47" s="187"/>
      <c r="D47" s="202"/>
      <c r="E47" s="187"/>
      <c r="F47" s="182"/>
      <c r="G47" s="203"/>
      <c r="H47" s="203"/>
      <c r="I47" s="203">
        <v>1</v>
      </c>
      <c r="J47" s="203"/>
      <c r="K47" s="359"/>
      <c r="L47" s="359"/>
      <c r="M47" s="359"/>
      <c r="N47" s="359"/>
      <c r="O47" s="361">
        <f>IF(ISBLANK(K47),IF(ISBLANK($E47),0,VLOOKUP($E47,'Default Values'!$B$5:$G$20,COLUMNS('Default Values'!$B$4:D$4),0)),K47)</f>
        <v>0</v>
      </c>
      <c r="P47" s="361">
        <f>IF(ISBLANK(L47),IF(ISBLANK($E47),0,VLOOKUP($E47,'Default Values'!$B$5:$G$20,COLUMNS('Default Values'!$B$4:E$4),0)),L47)</f>
        <v>0</v>
      </c>
      <c r="Q47" s="362">
        <f>IF(ISBLANK(M47),IF(ISBLANK($E47),0,VLOOKUP($E47,'Default Values'!$B$5:$G$20,COLUMNS('Default Values'!$B$4:F$4),0)),M47)</f>
        <v>0</v>
      </c>
      <c r="R47" s="362">
        <f>IF(ISBLANK(N47),IF(ISBLANK($E47),0,VLOOKUP($E47,'Default Values'!$B$5:$G$20,COLUMNS('Default Values'!$B$4:G$4),0)),N47)</f>
        <v>0</v>
      </c>
      <c r="S47" s="35">
        <f>((G47*O47)+(H47*P47*I47)+(J47*Q47*(1-R47)))*Conversions!$C$4</f>
        <v>0</v>
      </c>
      <c r="T47" s="484">
        <f t="shared" si="1"/>
        <v>0</v>
      </c>
      <c r="U47" s="115">
        <f>'Emissions Database'!BS117</f>
        <v>0</v>
      </c>
      <c r="V47" s="183"/>
      <c r="W47" s="183"/>
      <c r="X47" s="183"/>
      <c r="Y47" s="183"/>
      <c r="Z47" s="183"/>
      <c r="AA47" s="183"/>
      <c r="AB47" s="183"/>
      <c r="AC47" s="183"/>
      <c r="AD47" s="183"/>
      <c r="AE47" s="183"/>
      <c r="AF47" s="183"/>
      <c r="AG47" s="183"/>
      <c r="AH47" s="183"/>
      <c r="AI47" s="183"/>
      <c r="AJ47" s="183"/>
      <c r="AK47" s="183"/>
      <c r="AL47" s="183"/>
    </row>
    <row r="48" spans="2:38" x14ac:dyDescent="0.3">
      <c r="B48" s="114" t="str">
        <f t="shared" si="0"/>
        <v/>
      </c>
      <c r="C48" s="187"/>
      <c r="D48" s="202"/>
      <c r="E48" s="187"/>
      <c r="F48" s="182"/>
      <c r="G48" s="203"/>
      <c r="H48" s="203"/>
      <c r="I48" s="203">
        <v>1</v>
      </c>
      <c r="J48" s="203"/>
      <c r="K48" s="359"/>
      <c r="L48" s="359"/>
      <c r="M48" s="359"/>
      <c r="N48" s="359"/>
      <c r="O48" s="361">
        <f>IF(ISBLANK(K48),IF(ISBLANK($E48),0,VLOOKUP($E48,'Default Values'!$B$5:$G$20,COLUMNS('Default Values'!$B$4:D$4),0)),K48)</f>
        <v>0</v>
      </c>
      <c r="P48" s="361">
        <f>IF(ISBLANK(L48),IF(ISBLANK($E48),0,VLOOKUP($E48,'Default Values'!$B$5:$G$20,COLUMNS('Default Values'!$B$4:E$4),0)),L48)</f>
        <v>0</v>
      </c>
      <c r="Q48" s="362">
        <f>IF(ISBLANK(M48),IF(ISBLANK($E48),0,VLOOKUP($E48,'Default Values'!$B$5:$G$20,COLUMNS('Default Values'!$B$4:F$4),0)),M48)</f>
        <v>0</v>
      </c>
      <c r="R48" s="362">
        <f>IF(ISBLANK(N48),IF(ISBLANK($E48),0,VLOOKUP($E48,'Default Values'!$B$5:$G$20,COLUMNS('Default Values'!$B$4:G$4),0)),N48)</f>
        <v>0</v>
      </c>
      <c r="S48" s="35">
        <f>((G48*O48)+(H48*P48*I48)+(J48*Q48*(1-R48)))*Conversions!$C$4</f>
        <v>0</v>
      </c>
      <c r="T48" s="484">
        <f t="shared" si="1"/>
        <v>0</v>
      </c>
      <c r="U48" s="115">
        <f>'Emissions Database'!BS118</f>
        <v>0</v>
      </c>
      <c r="V48" s="183"/>
      <c r="W48" s="183"/>
      <c r="X48" s="183"/>
      <c r="Y48" s="183"/>
      <c r="Z48" s="183"/>
      <c r="AA48" s="183"/>
      <c r="AB48" s="183"/>
      <c r="AC48" s="183"/>
      <c r="AD48" s="183"/>
      <c r="AE48" s="183"/>
      <c r="AF48" s="183"/>
      <c r="AG48" s="183"/>
      <c r="AH48" s="183"/>
      <c r="AI48" s="183"/>
      <c r="AJ48" s="183"/>
      <c r="AK48" s="183"/>
      <c r="AL48" s="183"/>
    </row>
    <row r="49" spans="1:38" x14ac:dyDescent="0.3">
      <c r="B49" s="114" t="str">
        <f t="shared" si="0"/>
        <v/>
      </c>
      <c r="C49" s="187"/>
      <c r="D49" s="202"/>
      <c r="E49" s="187"/>
      <c r="F49" s="182"/>
      <c r="G49" s="203"/>
      <c r="H49" s="203"/>
      <c r="I49" s="203">
        <v>1</v>
      </c>
      <c r="J49" s="203"/>
      <c r="K49" s="359"/>
      <c r="L49" s="359"/>
      <c r="M49" s="359"/>
      <c r="N49" s="359"/>
      <c r="O49" s="361">
        <f>IF(ISBLANK(K49),IF(ISBLANK($E49),0,VLOOKUP($E49,'Default Values'!$B$5:$G$20,COLUMNS('Default Values'!$B$4:D$4),0)),K49)</f>
        <v>0</v>
      </c>
      <c r="P49" s="361">
        <f>IF(ISBLANK(L49),IF(ISBLANK($E49),0,VLOOKUP($E49,'Default Values'!$B$5:$G$20,COLUMNS('Default Values'!$B$4:E$4),0)),L49)</f>
        <v>0</v>
      </c>
      <c r="Q49" s="362">
        <f>IF(ISBLANK(M49),IF(ISBLANK($E49),0,VLOOKUP($E49,'Default Values'!$B$5:$G$20,COLUMNS('Default Values'!$B$4:F$4),0)),M49)</f>
        <v>0</v>
      </c>
      <c r="R49" s="362">
        <f>IF(ISBLANK(N49),IF(ISBLANK($E49),0,VLOOKUP($E49,'Default Values'!$B$5:$G$20,COLUMNS('Default Values'!$B$4:G$4),0)),N49)</f>
        <v>0</v>
      </c>
      <c r="S49" s="35">
        <f>((G49*O49)+(H49*P49*I49)+(J49*Q49*(1-R49)))*Conversions!$C$4</f>
        <v>0</v>
      </c>
      <c r="T49" s="484">
        <f t="shared" si="1"/>
        <v>0</v>
      </c>
      <c r="U49" s="115">
        <f>'Emissions Database'!BS119</f>
        <v>0</v>
      </c>
      <c r="V49" s="183"/>
      <c r="W49" s="183"/>
      <c r="X49" s="183"/>
      <c r="Y49" s="183"/>
      <c r="Z49" s="183"/>
      <c r="AA49" s="183"/>
      <c r="AB49" s="183"/>
      <c r="AC49" s="183"/>
      <c r="AD49" s="183"/>
      <c r="AE49" s="183"/>
      <c r="AF49" s="183"/>
      <c r="AG49" s="183"/>
      <c r="AH49" s="183"/>
      <c r="AI49" s="183"/>
      <c r="AJ49" s="183"/>
      <c r="AK49" s="183"/>
      <c r="AL49" s="183"/>
    </row>
    <row r="50" spans="1:38" x14ac:dyDescent="0.3">
      <c r="B50" s="114" t="str">
        <f t="shared" si="0"/>
        <v/>
      </c>
      <c r="C50" s="187"/>
      <c r="D50" s="202"/>
      <c r="E50" s="187"/>
      <c r="F50" s="182"/>
      <c r="G50" s="203"/>
      <c r="H50" s="203"/>
      <c r="I50" s="203">
        <v>1</v>
      </c>
      <c r="J50" s="203"/>
      <c r="K50" s="359"/>
      <c r="L50" s="359"/>
      <c r="M50" s="359"/>
      <c r="N50" s="359"/>
      <c r="O50" s="361">
        <f>IF(ISBLANK(K50),IF(ISBLANK($E50),0,VLOOKUP($E50,'Default Values'!$B$5:$G$20,COLUMNS('Default Values'!$B$4:D$4),0)),K50)</f>
        <v>0</v>
      </c>
      <c r="P50" s="361">
        <f>IF(ISBLANK(L50),IF(ISBLANK($E50),0,VLOOKUP($E50,'Default Values'!$B$5:$G$20,COLUMNS('Default Values'!$B$4:E$4),0)),L50)</f>
        <v>0</v>
      </c>
      <c r="Q50" s="362">
        <f>IF(ISBLANK(M50),IF(ISBLANK($E50),0,VLOOKUP($E50,'Default Values'!$B$5:$G$20,COLUMNS('Default Values'!$B$4:F$4),0)),M50)</f>
        <v>0</v>
      </c>
      <c r="R50" s="362">
        <f>IF(ISBLANK(N50),IF(ISBLANK($E50),0,VLOOKUP($E50,'Default Values'!$B$5:$G$20,COLUMNS('Default Values'!$B$4:G$4),0)),N50)</f>
        <v>0</v>
      </c>
      <c r="S50" s="35">
        <f>((G50*O50)+(H50*P50*I50)+(J50*Q50*(1-R50)))*Conversions!$C$4</f>
        <v>0</v>
      </c>
      <c r="T50" s="484">
        <f t="shared" si="1"/>
        <v>0</v>
      </c>
      <c r="U50" s="115">
        <f>'Emissions Database'!BS120</f>
        <v>0</v>
      </c>
      <c r="V50" s="183"/>
      <c r="W50" s="183"/>
      <c r="X50" s="183"/>
      <c r="Y50" s="183"/>
      <c r="Z50" s="183"/>
      <c r="AA50" s="183"/>
      <c r="AB50" s="183"/>
      <c r="AC50" s="183"/>
      <c r="AD50" s="183"/>
      <c r="AE50" s="183"/>
      <c r="AF50" s="183"/>
      <c r="AG50" s="183"/>
      <c r="AH50" s="183"/>
      <c r="AI50" s="183"/>
      <c r="AJ50" s="183"/>
      <c r="AK50" s="183"/>
      <c r="AL50" s="183"/>
    </row>
    <row r="51" spans="1:38" x14ac:dyDescent="0.3">
      <c r="B51" s="114" t="str">
        <f t="shared" si="0"/>
        <v/>
      </c>
      <c r="C51" s="187"/>
      <c r="D51" s="202"/>
      <c r="E51" s="187"/>
      <c r="F51" s="182"/>
      <c r="G51" s="203"/>
      <c r="H51" s="203"/>
      <c r="I51" s="203">
        <v>1</v>
      </c>
      <c r="J51" s="203"/>
      <c r="K51" s="359"/>
      <c r="L51" s="359"/>
      <c r="M51" s="359"/>
      <c r="N51" s="359"/>
      <c r="O51" s="361">
        <f>IF(ISBLANK(K51),IF(ISBLANK($E51),0,VLOOKUP($E51,'Default Values'!$B$5:$G$20,COLUMNS('Default Values'!$B$4:D$4),0)),K51)</f>
        <v>0</v>
      </c>
      <c r="P51" s="361">
        <f>IF(ISBLANK(L51),IF(ISBLANK($E51),0,VLOOKUP($E51,'Default Values'!$B$5:$G$20,COLUMNS('Default Values'!$B$4:E$4),0)),L51)</f>
        <v>0</v>
      </c>
      <c r="Q51" s="362">
        <f>IF(ISBLANK(M51),IF(ISBLANK($E51),0,VLOOKUP($E51,'Default Values'!$B$5:$G$20,COLUMNS('Default Values'!$B$4:F$4),0)),M51)</f>
        <v>0</v>
      </c>
      <c r="R51" s="362">
        <f>IF(ISBLANK(N51),IF(ISBLANK($E51),0,VLOOKUP($E51,'Default Values'!$B$5:$G$20,COLUMNS('Default Values'!$B$4:G$4),0)),N51)</f>
        <v>0</v>
      </c>
      <c r="S51" s="35">
        <f>((G51*O51)+(H51*P51*I51)+(J51*Q51*(1-R51)))*Conversions!$C$4</f>
        <v>0</v>
      </c>
      <c r="T51" s="484">
        <f t="shared" si="1"/>
        <v>0</v>
      </c>
      <c r="U51" s="115">
        <f>'Emissions Database'!BS121</f>
        <v>0</v>
      </c>
      <c r="V51" s="183"/>
      <c r="W51" s="183"/>
      <c r="X51" s="183"/>
      <c r="Y51" s="183"/>
      <c r="Z51" s="183"/>
      <c r="AA51" s="183"/>
      <c r="AB51" s="183"/>
      <c r="AC51" s="183"/>
      <c r="AD51" s="183"/>
      <c r="AE51" s="183"/>
      <c r="AF51" s="183"/>
      <c r="AG51" s="183"/>
      <c r="AH51" s="183"/>
      <c r="AI51" s="183"/>
      <c r="AJ51" s="183"/>
      <c r="AK51" s="183"/>
      <c r="AL51" s="183"/>
    </row>
    <row r="52" spans="1:38" x14ac:dyDescent="0.3">
      <c r="B52" s="114" t="str">
        <f t="shared" si="0"/>
        <v/>
      </c>
      <c r="C52" s="187"/>
      <c r="D52" s="202"/>
      <c r="E52" s="187"/>
      <c r="F52" s="182"/>
      <c r="G52" s="203"/>
      <c r="H52" s="203"/>
      <c r="I52" s="203">
        <v>1</v>
      </c>
      <c r="J52" s="203"/>
      <c r="K52" s="359"/>
      <c r="L52" s="359"/>
      <c r="M52" s="359"/>
      <c r="N52" s="359"/>
      <c r="O52" s="361">
        <f>IF(ISBLANK(K52),IF(ISBLANK($E52),0,VLOOKUP($E52,'Default Values'!$B$5:$G$20,COLUMNS('Default Values'!$B$4:D$4),0)),K52)</f>
        <v>0</v>
      </c>
      <c r="P52" s="361">
        <f>IF(ISBLANK(L52),IF(ISBLANK($E52),0,VLOOKUP($E52,'Default Values'!$B$5:$G$20,COLUMNS('Default Values'!$B$4:E$4),0)),L52)</f>
        <v>0</v>
      </c>
      <c r="Q52" s="362">
        <f>IF(ISBLANK(M52),IF(ISBLANK($E52),0,VLOOKUP($E52,'Default Values'!$B$5:$G$20,COLUMNS('Default Values'!$B$4:F$4),0)),M52)</f>
        <v>0</v>
      </c>
      <c r="R52" s="362">
        <f>IF(ISBLANK(N52),IF(ISBLANK($E52),0,VLOOKUP($E52,'Default Values'!$B$5:$G$20,COLUMNS('Default Values'!$B$4:G$4),0)),N52)</f>
        <v>0</v>
      </c>
      <c r="S52" s="35">
        <f>((G52*O52)+(H52*P52*I52)+(J52*Q52*(1-R52)))*Conversions!$C$4</f>
        <v>0</v>
      </c>
      <c r="T52" s="484">
        <f t="shared" si="1"/>
        <v>0</v>
      </c>
      <c r="U52" s="115">
        <f>'Emissions Database'!BS122</f>
        <v>0</v>
      </c>
      <c r="V52" s="183"/>
      <c r="W52" s="183"/>
      <c r="X52" s="183"/>
      <c r="Y52" s="183"/>
      <c r="Z52" s="183"/>
      <c r="AA52" s="183"/>
      <c r="AB52" s="183"/>
      <c r="AC52" s="183"/>
      <c r="AD52" s="183"/>
      <c r="AE52" s="183"/>
      <c r="AF52" s="183"/>
      <c r="AG52" s="183"/>
      <c r="AH52" s="183"/>
      <c r="AI52" s="183"/>
      <c r="AJ52" s="183"/>
      <c r="AK52" s="183"/>
      <c r="AL52" s="183"/>
    </row>
    <row r="53" spans="1:38" ht="15" thickBot="1" x14ac:dyDescent="0.35">
      <c r="B53" s="116" t="str">
        <f t="shared" si="0"/>
        <v/>
      </c>
      <c r="C53" s="187"/>
      <c r="D53" s="202"/>
      <c r="E53" s="187"/>
      <c r="F53" s="204"/>
      <c r="G53" s="203"/>
      <c r="H53" s="205"/>
      <c r="I53" s="205">
        <v>1</v>
      </c>
      <c r="J53" s="205"/>
      <c r="K53" s="360"/>
      <c r="L53" s="360"/>
      <c r="M53" s="360"/>
      <c r="N53" s="360"/>
      <c r="O53" s="363">
        <f>IF(ISBLANK(K53),IF(ISBLANK($E53),0,VLOOKUP($E53,'Default Values'!$B$5:$G$20,COLUMNS('Default Values'!$B$4:D$4),0)),K53)</f>
        <v>0</v>
      </c>
      <c r="P53" s="363">
        <f>IF(ISBLANK(L53),IF(ISBLANK($E53),0,VLOOKUP($E53,'Default Values'!$B$5:$G$20,COLUMNS('Default Values'!$B$4:E$4),0)),L53)</f>
        <v>0</v>
      </c>
      <c r="Q53" s="364">
        <f>IF(ISBLANK(M53),IF(ISBLANK($E53),0,VLOOKUP($E53,'Default Values'!$B$5:$G$20,COLUMNS('Default Values'!$B$4:F$4),0)),M53)</f>
        <v>0</v>
      </c>
      <c r="R53" s="364">
        <f>IF(ISBLANK(N53),IF(ISBLANK($E53),0,VLOOKUP($E53,'Default Values'!$B$5:$G$20,COLUMNS('Default Values'!$B$4:G$4),0)),N53)</f>
        <v>0</v>
      </c>
      <c r="S53" s="106">
        <f>((G53*O53)+(H53*P53*I53)+(J53*Q53*(1-R53)))*Conversions!$C$4</f>
        <v>0</v>
      </c>
      <c r="T53" s="485">
        <f t="shared" si="1"/>
        <v>0</v>
      </c>
      <c r="U53" s="117">
        <f>'Emissions Database'!BS123</f>
        <v>0</v>
      </c>
      <c r="V53" s="183"/>
      <c r="W53" s="183"/>
      <c r="X53" s="183"/>
      <c r="Y53" s="183"/>
      <c r="Z53" s="183"/>
      <c r="AA53" s="183"/>
      <c r="AB53" s="183"/>
      <c r="AC53" s="183"/>
      <c r="AD53" s="183"/>
      <c r="AE53" s="183"/>
      <c r="AF53" s="183"/>
      <c r="AG53" s="183"/>
      <c r="AH53" s="183"/>
      <c r="AI53" s="183"/>
      <c r="AJ53" s="183"/>
      <c r="AK53" s="183"/>
      <c r="AL53" s="183"/>
    </row>
    <row r="54" spans="1:38" ht="15" thickBot="1" x14ac:dyDescent="0.35">
      <c r="B54" s="119"/>
      <c r="C54" s="108" t="s">
        <v>322</v>
      </c>
      <c r="D54" s="109"/>
      <c r="E54" s="109"/>
      <c r="F54" s="109"/>
      <c r="G54" s="109"/>
      <c r="H54" s="109"/>
      <c r="I54" s="109"/>
      <c r="J54" s="109"/>
      <c r="K54" s="109"/>
      <c r="L54" s="109"/>
      <c r="M54" s="109"/>
      <c r="N54" s="109"/>
      <c r="O54" s="109"/>
      <c r="P54" s="109"/>
      <c r="Q54" s="109"/>
      <c r="R54" s="109"/>
      <c r="S54" s="120">
        <f>SUM(S14:S53)</f>
        <v>0</v>
      </c>
      <c r="T54" s="137">
        <f>SUM(T14:T53)</f>
        <v>0</v>
      </c>
      <c r="U54" s="138">
        <f>SUM(U14:U53)</f>
        <v>0</v>
      </c>
      <c r="V54" s="183"/>
      <c r="W54" s="183"/>
      <c r="X54" s="183"/>
      <c r="Y54" s="183"/>
      <c r="Z54" s="183"/>
      <c r="AA54" s="183"/>
      <c r="AB54" s="183"/>
      <c r="AC54" s="183"/>
      <c r="AD54" s="183"/>
      <c r="AE54" s="183"/>
      <c r="AF54" s="183"/>
      <c r="AG54" s="183"/>
      <c r="AH54" s="183"/>
      <c r="AI54" s="183"/>
      <c r="AJ54" s="183"/>
      <c r="AK54" s="183"/>
      <c r="AL54" s="183"/>
    </row>
    <row r="55" spans="1:38" x14ac:dyDescent="0.3">
      <c r="A55" s="183"/>
      <c r="B55" s="183"/>
      <c r="C55" s="183"/>
      <c r="D55" s="183"/>
      <c r="E55" s="183"/>
      <c r="F55" s="183"/>
      <c r="G55" s="183"/>
      <c r="H55" s="183"/>
      <c r="I55" s="183"/>
      <c r="J55" s="183"/>
      <c r="K55" s="183"/>
      <c r="L55" s="183"/>
      <c r="M55" s="183"/>
      <c r="N55" s="183"/>
      <c r="O55" s="183"/>
      <c r="P55" s="183"/>
      <c r="Q55" s="183"/>
      <c r="R55" s="183"/>
      <c r="S55" s="183"/>
      <c r="T55" s="183"/>
      <c r="U55" s="183"/>
      <c r="V55" s="183"/>
      <c r="W55" s="183"/>
      <c r="X55" s="183"/>
      <c r="Y55" s="183"/>
      <c r="Z55" s="183"/>
      <c r="AA55" s="183"/>
      <c r="AB55" s="183"/>
      <c r="AC55" s="183"/>
      <c r="AD55" s="183"/>
      <c r="AE55" s="183"/>
      <c r="AF55" s="183"/>
      <c r="AG55" s="183"/>
      <c r="AH55" s="183"/>
      <c r="AI55" s="183"/>
      <c r="AJ55" s="183"/>
      <c r="AK55" s="183"/>
      <c r="AL55" s="183"/>
    </row>
    <row r="56" spans="1:38" x14ac:dyDescent="0.3">
      <c r="A56" s="183"/>
      <c r="B56" s="183"/>
      <c r="C56" s="183"/>
      <c r="D56" s="183"/>
      <c r="E56" s="183"/>
      <c r="F56" s="183"/>
      <c r="G56" s="183"/>
      <c r="H56" s="183"/>
      <c r="I56" s="183"/>
      <c r="J56" s="183"/>
      <c r="K56" s="183"/>
      <c r="L56" s="183"/>
      <c r="M56" s="183"/>
      <c r="N56" s="183"/>
      <c r="O56" s="183"/>
      <c r="P56" s="183"/>
      <c r="Q56" s="183"/>
      <c r="R56" s="183"/>
      <c r="S56" s="183"/>
      <c r="T56" s="183"/>
      <c r="U56" s="183"/>
      <c r="V56" s="183"/>
      <c r="W56" s="183"/>
      <c r="X56" s="183"/>
      <c r="Y56" s="183"/>
      <c r="Z56" s="183"/>
    </row>
    <row r="57" spans="1:38" x14ac:dyDescent="0.3">
      <c r="A57" s="183"/>
      <c r="B57" s="183"/>
      <c r="C57" s="183"/>
      <c r="D57" s="183"/>
      <c r="E57" s="183"/>
      <c r="F57" s="183"/>
      <c r="G57" s="183"/>
      <c r="H57" s="183"/>
      <c r="I57" s="183"/>
      <c r="J57" s="183"/>
      <c r="K57" s="183"/>
      <c r="L57" s="183"/>
      <c r="M57" s="183"/>
      <c r="N57" s="183"/>
      <c r="O57" s="183"/>
      <c r="P57" s="183"/>
      <c r="Q57" s="183"/>
      <c r="R57" s="183"/>
      <c r="S57" s="183"/>
      <c r="T57" s="183"/>
      <c r="U57" s="183"/>
      <c r="V57" s="183"/>
      <c r="W57" s="183"/>
      <c r="X57" s="183"/>
      <c r="Y57" s="183"/>
      <c r="Z57" s="183"/>
    </row>
    <row r="58" spans="1:38" x14ac:dyDescent="0.3">
      <c r="A58" s="183"/>
      <c r="B58" s="183"/>
      <c r="C58" s="183"/>
      <c r="D58" s="183"/>
      <c r="E58" s="183"/>
      <c r="F58" s="183"/>
      <c r="G58" s="183"/>
      <c r="H58" s="183"/>
      <c r="I58" s="183"/>
      <c r="J58" s="183"/>
      <c r="K58" s="183"/>
      <c r="L58" s="183"/>
      <c r="M58" s="183"/>
      <c r="N58" s="183"/>
      <c r="O58" s="183"/>
      <c r="P58" s="183"/>
      <c r="Q58" s="183"/>
      <c r="R58" s="183"/>
      <c r="S58" s="183"/>
      <c r="T58" s="183"/>
      <c r="U58" s="183"/>
      <c r="V58" s="183"/>
      <c r="W58" s="183"/>
      <c r="X58" s="183"/>
      <c r="Y58" s="183"/>
      <c r="Z58" s="183"/>
    </row>
    <row r="59" spans="1:38" x14ac:dyDescent="0.3">
      <c r="A59" s="183"/>
      <c r="B59" s="183"/>
      <c r="C59" s="183"/>
      <c r="D59" s="183"/>
      <c r="E59" s="183"/>
      <c r="F59" s="183"/>
      <c r="G59" s="183"/>
      <c r="H59" s="183"/>
      <c r="I59" s="183"/>
      <c r="J59" s="183"/>
      <c r="K59" s="183"/>
      <c r="L59" s="183"/>
      <c r="M59" s="183"/>
      <c r="N59" s="183"/>
      <c r="O59" s="183"/>
      <c r="P59" s="183"/>
      <c r="Q59" s="183"/>
      <c r="R59" s="183"/>
      <c r="S59" s="183"/>
      <c r="T59" s="183"/>
      <c r="U59" s="183"/>
      <c r="V59" s="183"/>
      <c r="W59" s="183"/>
      <c r="X59" s="183"/>
      <c r="Y59" s="183"/>
      <c r="Z59" s="183"/>
    </row>
    <row r="60" spans="1:38" x14ac:dyDescent="0.3">
      <c r="A60" s="183"/>
      <c r="B60" s="183"/>
      <c r="C60" s="183"/>
      <c r="D60" s="183"/>
      <c r="E60" s="183"/>
      <c r="F60" s="183"/>
      <c r="G60" s="183"/>
      <c r="H60" s="183"/>
      <c r="I60" s="183"/>
      <c r="J60" s="183"/>
      <c r="K60" s="183"/>
      <c r="L60" s="183"/>
      <c r="M60" s="183"/>
      <c r="N60" s="183"/>
      <c r="O60" s="183"/>
      <c r="P60" s="183"/>
      <c r="Q60" s="183"/>
      <c r="R60" s="183"/>
      <c r="S60" s="183"/>
      <c r="T60" s="183"/>
      <c r="U60" s="183"/>
      <c r="V60" s="183"/>
      <c r="W60" s="183"/>
      <c r="X60" s="183"/>
      <c r="Y60" s="183"/>
      <c r="Z60" s="183"/>
    </row>
    <row r="61" spans="1:38" x14ac:dyDescent="0.3">
      <c r="A61" s="183"/>
      <c r="B61" s="183"/>
      <c r="C61" s="183"/>
      <c r="D61" s="183"/>
      <c r="E61" s="183"/>
      <c r="F61" s="183"/>
      <c r="G61" s="183"/>
      <c r="H61" s="183"/>
      <c r="I61" s="183"/>
      <c r="J61" s="183"/>
      <c r="K61" s="183"/>
      <c r="L61" s="183"/>
      <c r="M61" s="183"/>
      <c r="N61" s="183"/>
      <c r="O61" s="183"/>
      <c r="P61" s="183"/>
      <c r="Q61" s="183"/>
      <c r="R61" s="183"/>
      <c r="S61" s="183"/>
      <c r="T61" s="183"/>
      <c r="U61" s="183"/>
      <c r="V61" s="183"/>
      <c r="W61" s="183"/>
      <c r="X61" s="183"/>
      <c r="Y61" s="183"/>
      <c r="Z61" s="183"/>
    </row>
    <row r="62" spans="1:38" x14ac:dyDescent="0.3">
      <c r="A62" s="183"/>
      <c r="B62" s="183"/>
      <c r="C62" s="183"/>
      <c r="D62" s="183"/>
      <c r="E62" s="183"/>
      <c r="F62" s="183"/>
      <c r="G62" s="183"/>
      <c r="H62" s="183"/>
      <c r="I62" s="183"/>
      <c r="J62" s="183"/>
      <c r="K62" s="183"/>
      <c r="L62" s="183"/>
      <c r="M62" s="183"/>
      <c r="N62" s="183"/>
      <c r="O62" s="183"/>
      <c r="P62" s="183"/>
      <c r="Q62" s="183"/>
      <c r="R62" s="183"/>
      <c r="S62" s="183"/>
      <c r="T62" s="183"/>
      <c r="U62" s="183"/>
      <c r="V62" s="183"/>
      <c r="W62" s="183"/>
      <c r="X62" s="183"/>
      <c r="Y62" s="183"/>
      <c r="Z62" s="183"/>
    </row>
    <row r="63" spans="1:38" x14ac:dyDescent="0.3">
      <c r="A63" s="183"/>
      <c r="B63" s="183"/>
      <c r="C63" s="183"/>
      <c r="D63" s="183"/>
      <c r="E63" s="183"/>
      <c r="F63" s="183"/>
      <c r="G63" s="183"/>
      <c r="H63" s="183"/>
      <c r="I63" s="183"/>
      <c r="J63" s="183"/>
      <c r="K63" s="183"/>
      <c r="L63" s="183"/>
      <c r="M63" s="183"/>
      <c r="N63" s="183"/>
      <c r="O63" s="183"/>
      <c r="P63" s="183"/>
      <c r="Q63" s="183"/>
      <c r="R63" s="183"/>
      <c r="S63" s="183"/>
      <c r="T63" s="183"/>
      <c r="U63" s="183"/>
      <c r="V63" s="183"/>
      <c r="W63" s="183"/>
      <c r="X63" s="183"/>
      <c r="Y63" s="183"/>
      <c r="Z63" s="183"/>
    </row>
    <row r="64" spans="1:38" x14ac:dyDescent="0.3">
      <c r="A64" s="183"/>
      <c r="B64" s="183"/>
      <c r="C64" s="183"/>
      <c r="D64" s="183"/>
      <c r="E64" s="183"/>
      <c r="F64" s="183"/>
      <c r="G64" s="183"/>
      <c r="H64" s="183"/>
      <c r="I64" s="183"/>
      <c r="J64" s="183"/>
      <c r="K64" s="183"/>
      <c r="L64" s="183"/>
      <c r="M64" s="183"/>
      <c r="N64" s="183"/>
      <c r="O64" s="183"/>
      <c r="P64" s="183"/>
      <c r="Q64" s="183"/>
      <c r="R64" s="183"/>
      <c r="S64" s="183"/>
      <c r="T64" s="183"/>
      <c r="U64" s="183"/>
      <c r="V64" s="183"/>
      <c r="W64" s="183"/>
      <c r="X64" s="183"/>
      <c r="Y64" s="183"/>
      <c r="Z64" s="183"/>
    </row>
    <row r="65" spans="1:26" x14ac:dyDescent="0.3">
      <c r="A65" s="183"/>
      <c r="B65" s="183"/>
      <c r="C65" s="183"/>
      <c r="D65" s="183"/>
      <c r="E65" s="183"/>
      <c r="F65" s="183"/>
      <c r="G65" s="183"/>
      <c r="H65" s="183"/>
      <c r="I65" s="183"/>
      <c r="J65" s="183"/>
      <c r="K65" s="183"/>
      <c r="L65" s="183"/>
      <c r="M65" s="183"/>
      <c r="N65" s="183"/>
      <c r="O65" s="183"/>
      <c r="P65" s="183"/>
      <c r="Q65" s="183"/>
      <c r="R65" s="183"/>
      <c r="S65" s="183"/>
      <c r="T65" s="183"/>
      <c r="U65" s="183"/>
      <c r="V65" s="183"/>
      <c r="W65" s="183"/>
      <c r="X65" s="183"/>
      <c r="Y65" s="183"/>
      <c r="Z65" s="183"/>
    </row>
    <row r="66" spans="1:26" x14ac:dyDescent="0.3">
      <c r="A66" s="183"/>
      <c r="B66" s="183"/>
      <c r="C66" s="183"/>
      <c r="D66" s="183"/>
      <c r="E66" s="183"/>
      <c r="F66" s="183"/>
      <c r="G66" s="183"/>
      <c r="H66" s="183"/>
      <c r="I66" s="183"/>
      <c r="J66" s="183"/>
      <c r="K66" s="183"/>
      <c r="L66" s="183"/>
      <c r="M66" s="183"/>
      <c r="N66" s="183"/>
      <c r="O66" s="183"/>
      <c r="P66" s="183"/>
      <c r="Q66" s="183"/>
      <c r="R66" s="183"/>
      <c r="S66" s="183"/>
      <c r="T66" s="183"/>
      <c r="U66" s="183"/>
      <c r="V66" s="183"/>
      <c r="W66" s="183"/>
      <c r="X66" s="183"/>
      <c r="Y66" s="183"/>
      <c r="Z66" s="183"/>
    </row>
    <row r="67" spans="1:26" x14ac:dyDescent="0.3">
      <c r="A67" s="183"/>
      <c r="B67" s="183"/>
      <c r="C67" s="183"/>
      <c r="D67" s="183"/>
      <c r="E67" s="183"/>
      <c r="F67" s="183"/>
      <c r="G67" s="183"/>
      <c r="H67" s="183"/>
      <c r="I67" s="183"/>
      <c r="J67" s="183"/>
      <c r="K67" s="183"/>
      <c r="L67" s="183"/>
      <c r="M67" s="183"/>
      <c r="N67" s="183"/>
      <c r="O67" s="183"/>
      <c r="P67" s="183"/>
      <c r="Q67" s="183"/>
      <c r="R67" s="183"/>
      <c r="S67" s="183"/>
      <c r="T67" s="183"/>
      <c r="U67" s="183"/>
      <c r="V67" s="183"/>
      <c r="W67" s="183"/>
      <c r="X67" s="183"/>
      <c r="Y67" s="183"/>
      <c r="Z67" s="183"/>
    </row>
    <row r="68" spans="1:26" x14ac:dyDescent="0.3">
      <c r="A68" s="183"/>
      <c r="B68" s="183"/>
      <c r="C68" s="183"/>
      <c r="D68" s="183"/>
      <c r="E68" s="183"/>
      <c r="F68" s="183"/>
      <c r="G68" s="183"/>
      <c r="H68" s="183"/>
      <c r="I68" s="183"/>
      <c r="J68" s="183"/>
      <c r="K68" s="183"/>
      <c r="L68" s="183"/>
      <c r="M68" s="183"/>
      <c r="N68" s="183"/>
      <c r="O68" s="183"/>
      <c r="P68" s="183"/>
      <c r="Q68" s="183"/>
      <c r="R68" s="183"/>
      <c r="S68" s="183"/>
      <c r="T68" s="183"/>
      <c r="U68" s="183"/>
      <c r="V68" s="183"/>
      <c r="W68" s="183"/>
      <c r="X68" s="183"/>
      <c r="Y68" s="183"/>
      <c r="Z68" s="183"/>
    </row>
    <row r="69" spans="1:26" x14ac:dyDescent="0.3">
      <c r="A69" s="183"/>
      <c r="B69" s="183"/>
      <c r="C69" s="183"/>
      <c r="D69" s="183"/>
      <c r="E69" s="183"/>
      <c r="F69" s="183"/>
      <c r="G69" s="183"/>
      <c r="H69" s="183"/>
      <c r="I69" s="183"/>
      <c r="J69" s="183"/>
      <c r="K69" s="183"/>
      <c r="L69" s="183"/>
      <c r="M69" s="183"/>
      <c r="N69" s="183"/>
      <c r="O69" s="183"/>
      <c r="P69" s="183"/>
      <c r="Q69" s="183"/>
      <c r="R69" s="183"/>
      <c r="S69" s="183"/>
      <c r="T69" s="183"/>
      <c r="U69" s="183"/>
      <c r="V69" s="183"/>
      <c r="W69" s="183"/>
      <c r="X69" s="183"/>
      <c r="Y69" s="183"/>
      <c r="Z69" s="183"/>
    </row>
    <row r="70" spans="1:26" x14ac:dyDescent="0.3">
      <c r="A70" s="183"/>
      <c r="B70" s="183"/>
      <c r="C70" s="183"/>
      <c r="D70" s="183"/>
      <c r="E70" s="183"/>
      <c r="F70" s="183"/>
      <c r="G70" s="183"/>
      <c r="H70" s="183"/>
      <c r="I70" s="183"/>
      <c r="J70" s="183"/>
      <c r="K70" s="183"/>
      <c r="L70" s="183"/>
      <c r="M70" s="183"/>
      <c r="N70" s="183"/>
      <c r="O70" s="183"/>
      <c r="P70" s="183"/>
      <c r="Q70" s="183"/>
      <c r="R70" s="183"/>
      <c r="S70" s="183"/>
      <c r="T70" s="183"/>
      <c r="U70" s="183"/>
      <c r="V70" s="183"/>
      <c r="W70" s="183"/>
      <c r="X70" s="183"/>
      <c r="Y70" s="183"/>
      <c r="Z70" s="183"/>
    </row>
    <row r="71" spans="1:26" x14ac:dyDescent="0.3">
      <c r="A71" s="183"/>
      <c r="B71" s="183"/>
      <c r="C71" s="183"/>
      <c r="D71" s="183"/>
      <c r="E71" s="183"/>
      <c r="F71" s="183"/>
      <c r="G71" s="183"/>
      <c r="H71" s="183"/>
      <c r="I71" s="183"/>
      <c r="J71" s="183"/>
      <c r="K71" s="183"/>
      <c r="L71" s="183"/>
      <c r="M71" s="183"/>
      <c r="N71" s="183"/>
      <c r="O71" s="183"/>
      <c r="P71" s="183"/>
      <c r="Q71" s="183"/>
      <c r="R71" s="183"/>
      <c r="S71" s="183"/>
      <c r="T71" s="183"/>
      <c r="U71" s="183"/>
      <c r="V71" s="183"/>
      <c r="W71" s="183"/>
      <c r="X71" s="183"/>
      <c r="Y71" s="183"/>
      <c r="Z71" s="183"/>
    </row>
    <row r="72" spans="1:26" x14ac:dyDescent="0.3">
      <c r="A72" s="183"/>
      <c r="B72" s="183"/>
      <c r="C72" s="183"/>
      <c r="D72" s="183"/>
      <c r="E72" s="183"/>
      <c r="F72" s="183"/>
      <c r="G72" s="183"/>
      <c r="H72" s="183"/>
      <c r="I72" s="183"/>
      <c r="J72" s="183"/>
      <c r="K72" s="183"/>
      <c r="L72" s="183"/>
      <c r="M72" s="183"/>
      <c r="N72" s="183"/>
      <c r="O72" s="183"/>
      <c r="P72" s="183"/>
      <c r="Q72" s="183"/>
      <c r="R72" s="183"/>
      <c r="S72" s="183"/>
      <c r="T72" s="183"/>
      <c r="U72" s="183"/>
      <c r="V72" s="183"/>
      <c r="W72" s="183"/>
      <c r="X72" s="183"/>
      <c r="Y72" s="183"/>
      <c r="Z72" s="183"/>
    </row>
    <row r="73" spans="1:26" x14ac:dyDescent="0.3">
      <c r="A73" s="183"/>
      <c r="B73" s="183"/>
      <c r="C73" s="183"/>
      <c r="D73" s="183"/>
      <c r="E73" s="183"/>
      <c r="F73" s="183"/>
      <c r="G73" s="183"/>
      <c r="H73" s="183"/>
      <c r="I73" s="183"/>
      <c r="J73" s="183"/>
      <c r="K73" s="183"/>
      <c r="L73" s="183"/>
      <c r="M73" s="183"/>
      <c r="N73" s="183"/>
      <c r="O73" s="183"/>
      <c r="P73" s="183"/>
      <c r="Q73" s="183"/>
      <c r="R73" s="183"/>
      <c r="S73" s="183"/>
      <c r="T73" s="183"/>
      <c r="U73" s="183"/>
      <c r="V73" s="183"/>
      <c r="W73" s="183"/>
      <c r="X73" s="183"/>
      <c r="Y73" s="183"/>
      <c r="Z73" s="183"/>
    </row>
    <row r="74" spans="1:26" x14ac:dyDescent="0.3">
      <c r="A74" s="183"/>
      <c r="B74" s="183"/>
      <c r="C74" s="183"/>
      <c r="D74" s="183"/>
      <c r="E74" s="183"/>
      <c r="F74" s="183"/>
      <c r="G74" s="183"/>
      <c r="H74" s="183"/>
      <c r="I74" s="183"/>
      <c r="J74" s="183"/>
      <c r="K74" s="183"/>
      <c r="L74" s="183"/>
      <c r="M74" s="183"/>
      <c r="N74" s="183"/>
      <c r="O74" s="183"/>
      <c r="P74" s="183"/>
      <c r="Q74" s="183"/>
      <c r="R74" s="183"/>
      <c r="S74" s="183"/>
      <c r="T74" s="183"/>
      <c r="U74" s="183"/>
      <c r="V74" s="183"/>
      <c r="W74" s="183"/>
      <c r="X74" s="183"/>
      <c r="Y74" s="183"/>
      <c r="Z74" s="183"/>
    </row>
    <row r="75" spans="1:26" x14ac:dyDescent="0.3">
      <c r="A75" s="183"/>
      <c r="B75" s="183"/>
      <c r="C75" s="183"/>
      <c r="D75" s="183"/>
      <c r="E75" s="183"/>
      <c r="F75" s="183"/>
      <c r="G75" s="183"/>
      <c r="H75" s="183"/>
      <c r="I75" s="183"/>
      <c r="J75" s="183"/>
      <c r="K75" s="183"/>
      <c r="L75" s="183"/>
      <c r="M75" s="183"/>
      <c r="N75" s="183"/>
      <c r="O75" s="183"/>
      <c r="P75" s="183"/>
      <c r="Q75" s="183"/>
      <c r="R75" s="183"/>
      <c r="S75" s="183"/>
      <c r="T75" s="183"/>
      <c r="U75" s="183"/>
      <c r="V75" s="183"/>
      <c r="W75" s="183"/>
      <c r="X75" s="183"/>
      <c r="Y75" s="183"/>
      <c r="Z75" s="183"/>
    </row>
    <row r="76" spans="1:26" x14ac:dyDescent="0.3">
      <c r="A76" s="183"/>
      <c r="B76" s="183"/>
      <c r="C76" s="183"/>
      <c r="D76" s="183"/>
      <c r="E76" s="183"/>
      <c r="F76" s="183"/>
      <c r="G76" s="183"/>
      <c r="H76" s="183"/>
      <c r="I76" s="183"/>
      <c r="J76" s="183"/>
      <c r="K76" s="183"/>
      <c r="L76" s="183"/>
      <c r="M76" s="183"/>
      <c r="N76" s="183"/>
      <c r="O76" s="183"/>
      <c r="P76" s="183"/>
      <c r="Q76" s="183"/>
      <c r="R76" s="183"/>
      <c r="S76" s="183"/>
      <c r="T76" s="183"/>
      <c r="U76" s="183"/>
      <c r="V76" s="183"/>
      <c r="W76" s="183"/>
      <c r="X76" s="183"/>
      <c r="Y76" s="183"/>
      <c r="Z76" s="183"/>
    </row>
    <row r="77" spans="1:26" x14ac:dyDescent="0.3">
      <c r="A77" s="183"/>
      <c r="B77" s="183"/>
      <c r="C77" s="183"/>
      <c r="D77" s="183"/>
      <c r="E77" s="183"/>
      <c r="F77" s="183"/>
      <c r="G77" s="183"/>
      <c r="H77" s="183"/>
      <c r="I77" s="183"/>
      <c r="J77" s="183"/>
      <c r="K77" s="183"/>
      <c r="L77" s="183"/>
      <c r="M77" s="183"/>
      <c r="N77" s="183"/>
      <c r="O77" s="183"/>
      <c r="P77" s="183"/>
      <c r="Q77" s="183"/>
      <c r="R77" s="183"/>
      <c r="S77" s="183"/>
      <c r="T77" s="183"/>
      <c r="U77" s="183"/>
      <c r="V77" s="183"/>
      <c r="W77" s="183"/>
      <c r="X77" s="183"/>
      <c r="Y77" s="183"/>
      <c r="Z77" s="183"/>
    </row>
    <row r="78" spans="1:26" x14ac:dyDescent="0.3">
      <c r="A78" s="183"/>
      <c r="B78" s="183"/>
      <c r="C78" s="183"/>
      <c r="D78" s="183"/>
      <c r="E78" s="183"/>
      <c r="F78" s="183"/>
      <c r="G78" s="183"/>
      <c r="H78" s="183"/>
      <c r="I78" s="183"/>
      <c r="J78" s="183"/>
      <c r="K78" s="183"/>
      <c r="L78" s="183"/>
      <c r="M78" s="183"/>
      <c r="N78" s="183"/>
      <c r="O78" s="183"/>
      <c r="P78" s="183"/>
      <c r="Q78" s="183"/>
      <c r="R78" s="183"/>
      <c r="S78" s="183"/>
      <c r="T78" s="183"/>
      <c r="U78" s="183"/>
      <c r="V78" s="183"/>
      <c r="W78" s="183"/>
      <c r="X78" s="183"/>
      <c r="Y78" s="183"/>
      <c r="Z78" s="183"/>
    </row>
    <row r="79" spans="1:26" x14ac:dyDescent="0.3">
      <c r="A79" s="183"/>
      <c r="B79" s="183"/>
      <c r="C79" s="183"/>
      <c r="D79" s="183"/>
      <c r="E79" s="183"/>
      <c r="F79" s="183"/>
      <c r="G79" s="183"/>
      <c r="H79" s="183"/>
      <c r="I79" s="183"/>
      <c r="J79" s="183"/>
      <c r="K79" s="183"/>
      <c r="L79" s="183"/>
      <c r="M79" s="183"/>
      <c r="N79" s="183"/>
      <c r="O79" s="183"/>
      <c r="P79" s="183"/>
      <c r="Q79" s="183"/>
      <c r="R79" s="183"/>
      <c r="S79" s="183"/>
      <c r="T79" s="183"/>
      <c r="U79" s="183"/>
      <c r="V79" s="183"/>
      <c r="W79" s="183"/>
      <c r="X79" s="183"/>
      <c r="Y79" s="183"/>
      <c r="Z79" s="183"/>
    </row>
    <row r="80" spans="1:26" x14ac:dyDescent="0.3">
      <c r="A80" s="183"/>
      <c r="B80" s="183"/>
      <c r="C80" s="183"/>
      <c r="D80" s="183"/>
      <c r="E80" s="183"/>
      <c r="F80" s="183"/>
      <c r="G80" s="183"/>
      <c r="H80" s="183"/>
      <c r="I80" s="183"/>
      <c r="J80" s="183"/>
      <c r="K80" s="183"/>
      <c r="L80" s="183"/>
      <c r="M80" s="183"/>
      <c r="N80" s="183"/>
      <c r="O80" s="183"/>
      <c r="P80" s="183"/>
      <c r="Q80" s="183"/>
      <c r="R80" s="183"/>
      <c r="S80" s="183"/>
      <c r="T80" s="183"/>
      <c r="U80" s="183"/>
      <c r="V80" s="183"/>
      <c r="W80" s="183"/>
      <c r="X80" s="183"/>
      <c r="Y80" s="183"/>
      <c r="Z80" s="183"/>
    </row>
    <row r="81" spans="1:26" x14ac:dyDescent="0.3">
      <c r="A81" s="183"/>
      <c r="B81" s="183"/>
      <c r="C81" s="183"/>
      <c r="D81" s="183"/>
      <c r="E81" s="183"/>
      <c r="F81" s="183"/>
      <c r="G81" s="183"/>
      <c r="H81" s="183"/>
      <c r="I81" s="183"/>
      <c r="J81" s="183"/>
      <c r="K81" s="183"/>
      <c r="L81" s="183"/>
      <c r="M81" s="183"/>
      <c r="N81" s="183"/>
      <c r="O81" s="183"/>
      <c r="P81" s="183"/>
      <c r="Q81" s="183"/>
      <c r="R81" s="183"/>
      <c r="S81" s="183"/>
      <c r="T81" s="183"/>
      <c r="U81" s="183"/>
      <c r="V81" s="183"/>
      <c r="W81" s="183"/>
      <c r="X81" s="183"/>
      <c r="Y81" s="183"/>
      <c r="Z81" s="183"/>
    </row>
    <row r="82" spans="1:26" x14ac:dyDescent="0.3">
      <c r="A82" s="183"/>
      <c r="B82" s="183"/>
      <c r="C82" s="183"/>
      <c r="D82" s="183"/>
      <c r="E82" s="183"/>
      <c r="F82" s="183"/>
      <c r="G82" s="183"/>
      <c r="H82" s="183"/>
      <c r="I82" s="183"/>
      <c r="J82" s="183"/>
      <c r="K82" s="183"/>
      <c r="L82" s="183"/>
      <c r="M82" s="183"/>
      <c r="N82" s="183"/>
      <c r="O82" s="183"/>
      <c r="P82" s="183"/>
      <c r="Q82" s="183"/>
      <c r="R82" s="183"/>
      <c r="S82" s="183"/>
      <c r="T82" s="183"/>
      <c r="U82" s="183"/>
      <c r="V82" s="183"/>
      <c r="W82" s="183"/>
      <c r="X82" s="183"/>
      <c r="Y82" s="183"/>
      <c r="Z82" s="183"/>
    </row>
    <row r="83" spans="1:26" x14ac:dyDescent="0.3">
      <c r="A83" s="183"/>
      <c r="B83" s="183"/>
      <c r="C83" s="183"/>
      <c r="D83" s="183"/>
      <c r="E83" s="183"/>
      <c r="F83" s="183"/>
      <c r="G83" s="183"/>
      <c r="H83" s="183"/>
      <c r="I83" s="183"/>
      <c r="J83" s="183"/>
      <c r="K83" s="183"/>
      <c r="L83" s="183"/>
      <c r="M83" s="183"/>
      <c r="N83" s="183"/>
      <c r="O83" s="183"/>
      <c r="P83" s="183"/>
      <c r="Q83" s="183"/>
      <c r="R83" s="183"/>
      <c r="S83" s="183"/>
      <c r="T83" s="183"/>
      <c r="U83" s="183"/>
      <c r="V83" s="183"/>
      <c r="W83" s="183"/>
      <c r="X83" s="183"/>
      <c r="Y83" s="183"/>
      <c r="Z83" s="183"/>
    </row>
    <row r="84" spans="1:26" x14ac:dyDescent="0.3">
      <c r="A84" s="183"/>
      <c r="B84" s="183"/>
      <c r="C84" s="183"/>
      <c r="D84" s="183"/>
      <c r="E84" s="183"/>
      <c r="F84" s="183"/>
      <c r="G84" s="183"/>
      <c r="H84" s="183"/>
      <c r="I84" s="183"/>
      <c r="J84" s="183"/>
      <c r="K84" s="183"/>
      <c r="L84" s="183"/>
      <c r="M84" s="183"/>
      <c r="N84" s="183"/>
      <c r="O84" s="183"/>
      <c r="P84" s="183"/>
      <c r="Q84" s="183"/>
      <c r="R84" s="183"/>
      <c r="S84" s="183"/>
      <c r="T84" s="183"/>
      <c r="U84" s="183"/>
      <c r="V84" s="183"/>
      <c r="W84" s="183"/>
      <c r="X84" s="183"/>
      <c r="Y84" s="183"/>
      <c r="Z84" s="183"/>
    </row>
    <row r="85" spans="1:26" x14ac:dyDescent="0.3">
      <c r="A85" s="183"/>
      <c r="B85" s="183"/>
      <c r="C85" s="183"/>
      <c r="D85" s="183"/>
      <c r="E85" s="183"/>
      <c r="F85" s="183"/>
      <c r="G85" s="183"/>
      <c r="H85" s="183"/>
      <c r="I85" s="183"/>
      <c r="J85" s="183"/>
      <c r="K85" s="183"/>
      <c r="L85" s="183"/>
      <c r="M85" s="183"/>
      <c r="N85" s="183"/>
      <c r="O85" s="183"/>
      <c r="P85" s="183"/>
      <c r="Q85" s="183"/>
      <c r="R85" s="183"/>
      <c r="S85" s="183"/>
      <c r="T85" s="183"/>
      <c r="U85" s="183"/>
      <c r="V85" s="183"/>
      <c r="W85" s="183"/>
      <c r="X85" s="183"/>
      <c r="Y85" s="183"/>
      <c r="Z85" s="183"/>
    </row>
    <row r="86" spans="1:26" x14ac:dyDescent="0.3">
      <c r="A86" s="183"/>
      <c r="B86" s="183"/>
      <c r="C86" s="183"/>
      <c r="D86" s="183"/>
      <c r="E86" s="183"/>
      <c r="F86" s="183"/>
      <c r="G86" s="183"/>
      <c r="H86" s="183"/>
      <c r="I86" s="183"/>
      <c r="J86" s="183"/>
      <c r="K86" s="183"/>
      <c r="L86" s="183"/>
      <c r="M86" s="183"/>
      <c r="N86" s="183"/>
      <c r="O86" s="183"/>
      <c r="P86" s="183"/>
      <c r="Q86" s="183"/>
      <c r="R86" s="183"/>
      <c r="S86" s="183"/>
      <c r="T86" s="183"/>
      <c r="U86" s="183"/>
      <c r="V86" s="183"/>
      <c r="W86" s="183"/>
      <c r="X86" s="183"/>
      <c r="Y86" s="183"/>
      <c r="Z86" s="183"/>
    </row>
    <row r="87" spans="1:26" x14ac:dyDescent="0.3">
      <c r="A87" s="183"/>
      <c r="B87" s="183"/>
      <c r="C87" s="183"/>
      <c r="D87" s="183"/>
      <c r="E87" s="183"/>
      <c r="F87" s="183"/>
      <c r="G87" s="183"/>
      <c r="H87" s="183"/>
      <c r="I87" s="183"/>
      <c r="J87" s="183"/>
      <c r="K87" s="183"/>
      <c r="L87" s="183"/>
      <c r="M87" s="183"/>
      <c r="N87" s="183"/>
      <c r="O87" s="183"/>
      <c r="P87" s="183"/>
      <c r="Q87" s="183"/>
      <c r="R87" s="183"/>
      <c r="S87" s="183"/>
      <c r="T87" s="183"/>
      <c r="U87" s="183"/>
      <c r="V87" s="183"/>
      <c r="W87" s="183"/>
      <c r="X87" s="183"/>
      <c r="Y87" s="183"/>
      <c r="Z87" s="183"/>
    </row>
    <row r="88" spans="1:26" x14ac:dyDescent="0.3">
      <c r="A88" s="183"/>
      <c r="B88" s="183"/>
      <c r="C88" s="183"/>
      <c r="D88" s="183"/>
      <c r="E88" s="183"/>
      <c r="F88" s="183"/>
      <c r="G88" s="183"/>
      <c r="H88" s="183"/>
      <c r="I88" s="183"/>
      <c r="J88" s="183"/>
      <c r="K88" s="183"/>
      <c r="L88" s="183"/>
      <c r="M88" s="183"/>
      <c r="N88" s="183"/>
      <c r="O88" s="183"/>
      <c r="P88" s="183"/>
      <c r="Q88" s="183"/>
      <c r="R88" s="183"/>
      <c r="S88" s="183"/>
      <c r="T88" s="183"/>
      <c r="U88" s="183"/>
      <c r="V88" s="183"/>
      <c r="W88" s="183"/>
      <c r="X88" s="183"/>
      <c r="Y88" s="183"/>
      <c r="Z88" s="183"/>
    </row>
    <row r="89" spans="1:26" x14ac:dyDescent="0.3">
      <c r="A89" s="183"/>
      <c r="B89" s="183"/>
      <c r="C89" s="183"/>
      <c r="D89" s="183"/>
      <c r="E89" s="183"/>
      <c r="F89" s="183"/>
      <c r="G89" s="183"/>
      <c r="H89" s="183"/>
      <c r="I89" s="183"/>
      <c r="J89" s="183"/>
      <c r="K89" s="183"/>
      <c r="L89" s="183"/>
      <c r="M89" s="183"/>
      <c r="N89" s="183"/>
      <c r="O89" s="183"/>
      <c r="P89" s="183"/>
      <c r="Q89" s="183"/>
      <c r="R89" s="183"/>
      <c r="S89" s="183"/>
      <c r="T89" s="183"/>
      <c r="U89" s="183"/>
      <c r="V89" s="183"/>
      <c r="W89" s="183"/>
      <c r="X89" s="183"/>
      <c r="Y89" s="183"/>
      <c r="Z89" s="183"/>
    </row>
    <row r="90" spans="1:26" x14ac:dyDescent="0.3">
      <c r="A90" s="183"/>
      <c r="B90" s="183"/>
      <c r="C90" s="183"/>
      <c r="D90" s="183"/>
      <c r="E90" s="183"/>
      <c r="F90" s="183"/>
      <c r="G90" s="183"/>
      <c r="H90" s="183"/>
      <c r="I90" s="183"/>
      <c r="J90" s="183"/>
      <c r="K90" s="183"/>
      <c r="L90" s="183"/>
      <c r="M90" s="183"/>
      <c r="N90" s="183"/>
      <c r="O90" s="183"/>
      <c r="P90" s="183"/>
      <c r="Q90" s="183"/>
      <c r="R90" s="183"/>
      <c r="S90" s="183"/>
      <c r="T90" s="183"/>
      <c r="U90" s="183"/>
      <c r="V90" s="183"/>
      <c r="W90" s="183"/>
      <c r="X90" s="183"/>
      <c r="Y90" s="183"/>
      <c r="Z90" s="183"/>
    </row>
    <row r="91" spans="1:26" x14ac:dyDescent="0.3">
      <c r="A91" s="183"/>
      <c r="B91" s="183"/>
      <c r="C91" s="183"/>
      <c r="D91" s="183"/>
      <c r="E91" s="183"/>
      <c r="F91" s="183"/>
      <c r="G91" s="183"/>
      <c r="H91" s="183"/>
      <c r="I91" s="183"/>
      <c r="J91" s="183"/>
      <c r="K91" s="183"/>
      <c r="L91" s="183"/>
      <c r="M91" s="183"/>
      <c r="N91" s="183"/>
      <c r="O91" s="183"/>
      <c r="P91" s="183"/>
      <c r="Q91" s="183"/>
      <c r="R91" s="183"/>
      <c r="S91" s="183"/>
      <c r="T91" s="183"/>
      <c r="U91" s="183"/>
      <c r="V91" s="183"/>
      <c r="W91" s="183"/>
      <c r="X91" s="183"/>
      <c r="Y91" s="183"/>
      <c r="Z91" s="183"/>
    </row>
    <row r="92" spans="1:26" x14ac:dyDescent="0.3">
      <c r="A92" s="183"/>
      <c r="B92" s="183"/>
      <c r="C92" s="183"/>
      <c r="D92" s="183"/>
      <c r="E92" s="183"/>
      <c r="F92" s="183"/>
      <c r="G92" s="183"/>
      <c r="H92" s="183"/>
      <c r="I92" s="183"/>
      <c r="J92" s="183"/>
      <c r="K92" s="183"/>
      <c r="L92" s="183"/>
      <c r="M92" s="183"/>
      <c r="N92" s="183"/>
      <c r="O92" s="183"/>
      <c r="P92" s="183"/>
      <c r="Q92" s="183"/>
      <c r="R92" s="183"/>
      <c r="S92" s="183"/>
      <c r="T92" s="183"/>
      <c r="U92" s="183"/>
      <c r="V92" s="183"/>
      <c r="W92" s="183"/>
      <c r="X92" s="183"/>
      <c r="Y92" s="183"/>
      <c r="Z92" s="183"/>
    </row>
    <row r="93" spans="1:26" x14ac:dyDescent="0.3">
      <c r="A93" s="183"/>
      <c r="B93" s="183"/>
      <c r="C93" s="183"/>
      <c r="D93" s="183"/>
      <c r="E93" s="183"/>
      <c r="F93" s="183"/>
      <c r="G93" s="183"/>
      <c r="H93" s="183"/>
      <c r="I93" s="183"/>
      <c r="J93" s="183"/>
      <c r="K93" s="183"/>
      <c r="L93" s="183"/>
      <c r="M93" s="183"/>
      <c r="N93" s="183"/>
      <c r="O93" s="183"/>
      <c r="P93" s="183"/>
      <c r="Q93" s="183"/>
      <c r="R93" s="183"/>
      <c r="S93" s="183"/>
      <c r="T93" s="183"/>
      <c r="U93" s="183"/>
      <c r="V93" s="183"/>
      <c r="W93" s="183"/>
      <c r="X93" s="183"/>
      <c r="Y93" s="183"/>
      <c r="Z93" s="183"/>
    </row>
    <row r="94" spans="1:26" x14ac:dyDescent="0.3">
      <c r="A94" s="183"/>
      <c r="B94" s="183"/>
      <c r="C94" s="183"/>
      <c r="D94" s="183"/>
      <c r="E94" s="183"/>
      <c r="F94" s="183"/>
      <c r="G94" s="183"/>
      <c r="H94" s="183"/>
      <c r="I94" s="183"/>
      <c r="J94" s="183"/>
      <c r="K94" s="183"/>
      <c r="L94" s="183"/>
      <c r="M94" s="183"/>
      <c r="N94" s="183"/>
      <c r="O94" s="183"/>
      <c r="P94" s="183"/>
      <c r="Q94" s="183"/>
      <c r="R94" s="183"/>
      <c r="S94" s="183"/>
      <c r="T94" s="183"/>
      <c r="U94" s="183"/>
      <c r="V94" s="183"/>
      <c r="W94" s="183"/>
      <c r="X94" s="183"/>
      <c r="Y94" s="183"/>
      <c r="Z94" s="183"/>
    </row>
    <row r="95" spans="1:26" x14ac:dyDescent="0.3">
      <c r="A95" s="183"/>
      <c r="B95" s="183"/>
      <c r="C95" s="183"/>
      <c r="D95" s="183"/>
      <c r="E95" s="183"/>
      <c r="F95" s="183"/>
      <c r="G95" s="183"/>
      <c r="H95" s="183"/>
      <c r="I95" s="183"/>
      <c r="J95" s="183"/>
      <c r="K95" s="183"/>
      <c r="L95" s="183"/>
      <c r="M95" s="183"/>
      <c r="N95" s="183"/>
      <c r="O95" s="183"/>
      <c r="P95" s="183"/>
      <c r="Q95" s="183"/>
      <c r="R95" s="183"/>
      <c r="S95" s="183"/>
      <c r="T95" s="183"/>
      <c r="U95" s="183"/>
      <c r="V95" s="183"/>
      <c r="W95" s="183"/>
      <c r="X95" s="183"/>
      <c r="Y95" s="183"/>
      <c r="Z95" s="183"/>
    </row>
    <row r="96" spans="1:26" x14ac:dyDescent="0.3">
      <c r="A96" s="183"/>
      <c r="B96" s="183"/>
      <c r="C96" s="183"/>
      <c r="D96" s="183"/>
      <c r="E96" s="183"/>
      <c r="F96" s="183"/>
      <c r="G96" s="183"/>
      <c r="H96" s="183"/>
      <c r="I96" s="183"/>
      <c r="J96" s="183"/>
      <c r="K96" s="183"/>
      <c r="L96" s="183"/>
      <c r="M96" s="183"/>
      <c r="N96" s="183"/>
      <c r="O96" s="183"/>
      <c r="P96" s="183"/>
      <c r="Q96" s="183"/>
      <c r="R96" s="183"/>
      <c r="S96" s="183"/>
      <c r="T96" s="183"/>
      <c r="U96" s="183"/>
      <c r="V96" s="183"/>
      <c r="W96" s="183"/>
      <c r="X96" s="183"/>
      <c r="Y96" s="183"/>
      <c r="Z96" s="183"/>
    </row>
    <row r="97" spans="1:26" x14ac:dyDescent="0.3">
      <c r="A97" s="183"/>
      <c r="B97" s="183"/>
      <c r="C97" s="183"/>
      <c r="D97" s="183"/>
      <c r="E97" s="183"/>
      <c r="F97" s="183"/>
      <c r="G97" s="183"/>
      <c r="H97" s="183"/>
      <c r="I97" s="183"/>
      <c r="J97" s="183"/>
      <c r="K97" s="183"/>
      <c r="L97" s="183"/>
      <c r="M97" s="183"/>
      <c r="N97" s="183"/>
      <c r="O97" s="183"/>
      <c r="P97" s="183"/>
      <c r="Q97" s="183"/>
      <c r="R97" s="183"/>
      <c r="S97" s="183"/>
      <c r="T97" s="183"/>
      <c r="U97" s="183"/>
      <c r="V97" s="183"/>
      <c r="W97" s="183"/>
      <c r="X97" s="183"/>
      <c r="Y97" s="183"/>
      <c r="Z97" s="183"/>
    </row>
    <row r="98" spans="1:26" x14ac:dyDescent="0.3">
      <c r="A98" s="183"/>
      <c r="B98" s="183"/>
      <c r="C98" s="183"/>
      <c r="D98" s="183"/>
      <c r="E98" s="183"/>
      <c r="F98" s="183"/>
      <c r="G98" s="183"/>
      <c r="H98" s="183"/>
      <c r="I98" s="183"/>
      <c r="J98" s="183"/>
      <c r="K98" s="183"/>
      <c r="L98" s="183"/>
      <c r="M98" s="183"/>
      <c r="N98" s="183"/>
      <c r="O98" s="183"/>
      <c r="P98" s="183"/>
      <c r="Q98" s="183"/>
      <c r="R98" s="183"/>
      <c r="S98" s="183"/>
      <c r="T98" s="183"/>
      <c r="U98" s="183"/>
      <c r="V98" s="183"/>
      <c r="W98" s="183"/>
      <c r="X98" s="183"/>
      <c r="Y98" s="183"/>
      <c r="Z98" s="183"/>
    </row>
    <row r="99" spans="1:26" x14ac:dyDescent="0.3">
      <c r="A99" s="183"/>
      <c r="B99" s="183"/>
      <c r="C99" s="183"/>
      <c r="D99" s="183"/>
      <c r="E99" s="183"/>
      <c r="F99" s="183"/>
      <c r="G99" s="183"/>
      <c r="H99" s="183"/>
      <c r="I99" s="183"/>
      <c r="J99" s="183"/>
      <c r="K99" s="183"/>
      <c r="L99" s="183"/>
      <c r="M99" s="183"/>
      <c r="N99" s="183"/>
      <c r="O99" s="183"/>
      <c r="P99" s="183"/>
      <c r="Q99" s="183"/>
      <c r="R99" s="183"/>
      <c r="S99" s="183"/>
      <c r="T99" s="183"/>
      <c r="U99" s="183"/>
      <c r="V99" s="183"/>
      <c r="W99" s="183"/>
      <c r="X99" s="183"/>
      <c r="Y99" s="183"/>
      <c r="Z99" s="183"/>
    </row>
    <row r="100" spans="1:26" x14ac:dyDescent="0.3">
      <c r="A100" s="183"/>
      <c r="B100" s="183"/>
      <c r="C100" s="183"/>
      <c r="D100" s="183"/>
      <c r="E100" s="183"/>
      <c r="F100" s="183"/>
      <c r="G100" s="183"/>
      <c r="H100" s="183"/>
      <c r="I100" s="183"/>
      <c r="J100" s="183"/>
      <c r="K100" s="183"/>
      <c r="L100" s="183"/>
      <c r="M100" s="183"/>
      <c r="N100" s="183"/>
      <c r="O100" s="183"/>
      <c r="P100" s="183"/>
      <c r="Q100" s="183"/>
      <c r="R100" s="183"/>
      <c r="S100" s="183"/>
      <c r="T100" s="183"/>
      <c r="U100" s="183"/>
      <c r="V100" s="183"/>
      <c r="W100" s="183"/>
      <c r="X100" s="183"/>
      <c r="Y100" s="183"/>
      <c r="Z100" s="183"/>
    </row>
  </sheetData>
  <sheetProtection algorithmName="SHA-512" hashValue="iaWmShfv3y2+3QzkE/gQcjCojC3pR/RZL5IzhYJbUL9Vb4eh8DjsWsrgmVWJeV8ZtbRgud0l51iXtAsjvBPxEQ==" saltValue="w4+Btqk97yFcVBR8d7fKFA==" spinCount="100000" sheet="1" objects="1" scenarios="1" formatCells="0" formatColumns="0" formatRows="0"/>
  <conditionalFormatting sqref="B14">
    <cfRule type="containsText" dxfId="68" priority="15" operator="containsText" text="Incomplete">
      <formula>NOT(ISERROR(SEARCH("Incomplete",B14)))</formula>
    </cfRule>
    <cfRule type="containsText" dxfId="67" priority="16" operator="containsText" text="OK">
      <formula>NOT(ISERROR(SEARCH("OK",B14)))</formula>
    </cfRule>
  </conditionalFormatting>
  <conditionalFormatting sqref="B13">
    <cfRule type="containsText" dxfId="66" priority="9" operator="containsText" text="Incomplete">
      <formula>NOT(ISERROR(SEARCH("Incomplete",B13)))</formula>
    </cfRule>
    <cfRule type="containsText" dxfId="65" priority="10" operator="containsText" text="OK">
      <formula>NOT(ISERROR(SEARCH("OK",B13)))</formula>
    </cfRule>
  </conditionalFormatting>
  <conditionalFormatting sqref="B15:B23 B44:B52">
    <cfRule type="containsText" dxfId="64" priority="7" operator="containsText" text="Incomplete">
      <formula>NOT(ISERROR(SEARCH("Incomplete",B15)))</formula>
    </cfRule>
    <cfRule type="containsText" dxfId="63" priority="8" operator="containsText" text="OK">
      <formula>NOT(ISERROR(SEARCH("OK",B15)))</formula>
    </cfRule>
  </conditionalFormatting>
  <conditionalFormatting sqref="B53">
    <cfRule type="containsText" dxfId="62" priority="5" operator="containsText" text="Incomplete">
      <formula>NOT(ISERROR(SEARCH("Incomplete",B53)))</formula>
    </cfRule>
    <cfRule type="containsText" dxfId="61" priority="6" operator="containsText" text="OK">
      <formula>NOT(ISERROR(SEARCH("OK",B53)))</formula>
    </cfRule>
  </conditionalFormatting>
  <conditionalFormatting sqref="B24:B43">
    <cfRule type="containsText" dxfId="60" priority="1" operator="containsText" text="Incomplete">
      <formula>NOT(ISERROR(SEARCH("Incomplete",B24)))</formula>
    </cfRule>
    <cfRule type="containsText" dxfId="59" priority="2" operator="containsText" text="OK">
      <formula>NOT(ISERROR(SEARCH("OK",B24)))</formula>
    </cfRule>
  </conditionalFormatting>
  <dataValidations count="5">
    <dataValidation type="list" allowBlank="1" showInputMessage="1" showErrorMessage="1" sqref="E13:E53">
      <formula1>EquipType</formula1>
    </dataValidation>
    <dataValidation type="list" allowBlank="1" showInputMessage="1" sqref="F13:F53">
      <formula1>Refrigerants4</formula1>
    </dataValidation>
    <dataValidation type="list" allowBlank="1" showInputMessage="1" showErrorMessage="1" sqref="D13:D53">
      <formula1>FedBuildingType2</formula1>
    </dataValidation>
    <dataValidation type="list" allowBlank="1" showInputMessage="1" showErrorMessage="1" errorTitle="Incorrect Facility Name" error="In the &quot;Inputs&quot; page, please add your facility or region name to the list. You can then select it here from the drop down list." sqref="C14:C53">
      <formula1>Facility</formula1>
    </dataValidation>
    <dataValidation type="decimal" allowBlank="1" showInputMessage="1" showErrorMessage="1" error="Reporting is on an annual basis so time in use should not be greater than 1" sqref="I13:I53">
      <formula1>0</formula1>
      <formula2>1</formula2>
    </dataValidation>
  </dataValidations>
  <hyperlinks>
    <hyperlink ref="W23"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98" r:id="rId5" name="Option Button 34">
              <controlPr defaultSize="0" autoFill="0" autoLine="0" autoPict="0" macro="[0]!CustomLeakRate">
                <anchor moveWithCells="1">
                  <from>
                    <xdr:col>1</xdr:col>
                    <xdr:colOff>640080</xdr:colOff>
                    <xdr:row>6</xdr:row>
                    <xdr:rowOff>198120</xdr:rowOff>
                  </from>
                  <to>
                    <xdr:col>2</xdr:col>
                    <xdr:colOff>1036320</xdr:colOff>
                    <xdr:row>7</xdr:row>
                    <xdr:rowOff>198120</xdr:rowOff>
                  </to>
                </anchor>
              </controlPr>
            </control>
          </mc:Choice>
        </mc:AlternateContent>
        <mc:AlternateContent xmlns:mc="http://schemas.openxmlformats.org/markup-compatibility/2006">
          <mc:Choice Requires="x14">
            <control shapeId="11300" r:id="rId6" name="Option Button 36">
              <controlPr defaultSize="0" autoFill="0" autoLine="0" autoPict="0" macro="[0]!CustomLeakRate">
                <anchor moveWithCells="1">
                  <from>
                    <xdr:col>1</xdr:col>
                    <xdr:colOff>647700</xdr:colOff>
                    <xdr:row>7</xdr:row>
                    <xdr:rowOff>198120</xdr:rowOff>
                  </from>
                  <to>
                    <xdr:col>2</xdr:col>
                    <xdr:colOff>1051560</xdr:colOff>
                    <xdr:row>8</xdr:row>
                    <xdr:rowOff>198120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3"/>
  </sheetPr>
  <dimension ref="A1:AM125"/>
  <sheetViews>
    <sheetView showGridLines="0" showRowColHeaders="0" zoomScale="90" zoomScaleNormal="90" workbookViewId="0">
      <pane ySplit="12" topLeftCell="A13" activePane="bottomLeft" state="frozen"/>
      <selection pane="bottomLeft"/>
    </sheetView>
  </sheetViews>
  <sheetFormatPr defaultRowHeight="14.4" x14ac:dyDescent="0.3"/>
  <cols>
    <col min="1" max="1" width="3.44140625" customWidth="1"/>
    <col min="2" max="2" width="11.33203125" customWidth="1"/>
    <col min="3" max="3" width="19" customWidth="1"/>
    <col min="4" max="4" width="28.6640625" customWidth="1"/>
    <col min="5" max="5" width="42.6640625" customWidth="1"/>
    <col min="6" max="6" width="15.88671875" bestFit="1" customWidth="1"/>
    <col min="7" max="7" width="18.88671875" customWidth="1"/>
    <col min="8" max="11" width="17.88671875" customWidth="1"/>
    <col min="12" max="12" width="17.88671875" hidden="1" customWidth="1"/>
    <col min="13" max="13" width="17.88671875" customWidth="1"/>
    <col min="14" max="14" width="15.109375" customWidth="1"/>
    <col min="15" max="15" width="4.33203125" customWidth="1"/>
  </cols>
  <sheetData>
    <row r="1" spans="1:39" ht="7.5" customHeight="1" x14ac:dyDescent="0.3">
      <c r="A1" s="44"/>
      <c r="B1" s="44"/>
      <c r="C1" s="44"/>
      <c r="D1" s="44"/>
      <c r="E1" s="44"/>
      <c r="F1" s="44"/>
      <c r="G1" s="44"/>
      <c r="H1" s="44"/>
      <c r="I1" s="44"/>
      <c r="J1" s="44"/>
      <c r="K1" s="44"/>
      <c r="L1" s="44"/>
      <c r="M1" s="44"/>
      <c r="N1" s="44"/>
      <c r="O1" s="44"/>
      <c r="P1" s="44"/>
      <c r="Q1" s="44"/>
      <c r="R1" s="44"/>
      <c r="S1" s="44"/>
      <c r="T1" s="44"/>
      <c r="U1" s="44"/>
      <c r="V1" s="44"/>
      <c r="W1" s="44"/>
      <c r="X1" s="44"/>
      <c r="Y1" s="44"/>
      <c r="Z1" s="44"/>
      <c r="AA1" s="44"/>
      <c r="AB1" s="44"/>
      <c r="AC1" s="44"/>
      <c r="AD1" s="44"/>
      <c r="AE1" s="44"/>
      <c r="AF1" s="44"/>
      <c r="AG1" s="44"/>
      <c r="AH1" s="44"/>
      <c r="AI1" s="44"/>
      <c r="AJ1" s="44"/>
      <c r="AK1" s="44"/>
      <c r="AL1" s="44"/>
      <c r="AM1" s="44"/>
    </row>
    <row r="2" spans="1:39" ht="27" customHeight="1" x14ac:dyDescent="0.65">
      <c r="A2" s="44"/>
      <c r="B2" s="44"/>
      <c r="C2" s="45" t="s">
        <v>1</v>
      </c>
      <c r="D2" s="45"/>
      <c r="E2" s="44"/>
      <c r="F2" s="44"/>
      <c r="G2" s="44"/>
      <c r="H2" s="44"/>
      <c r="I2" s="44"/>
      <c r="J2" s="44"/>
      <c r="K2" s="44"/>
      <c r="L2" s="44"/>
      <c r="M2" s="44"/>
      <c r="N2" s="44"/>
      <c r="O2" s="44"/>
      <c r="P2" s="44"/>
      <c r="Q2" s="44"/>
      <c r="R2" s="44"/>
      <c r="S2" s="44"/>
      <c r="T2" s="44"/>
      <c r="U2" s="44"/>
      <c r="V2" s="44"/>
      <c r="W2" s="44"/>
      <c r="X2" s="44"/>
      <c r="Y2" s="44"/>
      <c r="Z2" s="44"/>
      <c r="AA2" s="44"/>
      <c r="AB2" s="44"/>
      <c r="AC2" s="44"/>
      <c r="AD2" s="44"/>
      <c r="AE2" s="44"/>
      <c r="AF2" s="44"/>
      <c r="AG2" s="44"/>
      <c r="AH2" s="44"/>
      <c r="AI2" s="44"/>
      <c r="AJ2" s="44"/>
      <c r="AK2" s="44"/>
      <c r="AL2" s="44"/>
      <c r="AM2" s="44"/>
    </row>
    <row r="3" spans="1:39" ht="7.5" customHeight="1" thickBot="1" x14ac:dyDescent="0.35">
      <c r="A3" s="46"/>
      <c r="B3" s="46"/>
      <c r="C3" s="47"/>
      <c r="D3" s="47"/>
      <c r="E3" s="47"/>
      <c r="F3" s="47"/>
      <c r="G3" s="47"/>
      <c r="H3" s="47"/>
      <c r="I3" s="47"/>
      <c r="J3" s="47"/>
      <c r="K3" s="47"/>
      <c r="L3" s="47"/>
      <c r="M3" s="47"/>
      <c r="N3" s="47"/>
      <c r="O3" s="47"/>
      <c r="P3" s="47"/>
      <c r="Q3" s="47"/>
      <c r="R3" s="47"/>
      <c r="S3" s="47"/>
      <c r="T3" s="47"/>
      <c r="U3" s="47"/>
      <c r="V3" s="47"/>
      <c r="W3" s="47"/>
      <c r="X3" s="47"/>
      <c r="Y3" s="47"/>
      <c r="Z3" s="47"/>
      <c r="AA3" s="47"/>
      <c r="AB3" s="47"/>
      <c r="AC3" s="47"/>
      <c r="AD3" s="47"/>
      <c r="AE3" s="47"/>
      <c r="AF3" s="47"/>
      <c r="AG3" s="47"/>
      <c r="AH3" s="47"/>
      <c r="AI3" s="47"/>
      <c r="AJ3" s="47"/>
      <c r="AK3" s="47"/>
      <c r="AL3" s="47"/>
      <c r="AM3" s="47"/>
    </row>
    <row r="4" spans="1:39" ht="18.600000000000001" thickTop="1" x14ac:dyDescent="0.35">
      <c r="A4" s="44"/>
      <c r="B4" s="44"/>
      <c r="C4" s="48"/>
      <c r="D4" s="48"/>
      <c r="E4" s="44"/>
      <c r="F4" s="44"/>
      <c r="G4" s="44"/>
      <c r="H4" s="44"/>
      <c r="I4" s="44"/>
      <c r="J4" s="44"/>
      <c r="K4" s="44"/>
      <c r="L4" s="44"/>
      <c r="M4" s="44"/>
      <c r="N4" s="44"/>
      <c r="O4" s="44"/>
      <c r="P4" s="44"/>
      <c r="Q4" s="44"/>
      <c r="R4" s="44"/>
      <c r="S4" s="44"/>
      <c r="T4" s="44"/>
      <c r="U4" s="44"/>
      <c r="V4" s="44"/>
      <c r="W4" s="44"/>
      <c r="X4" s="44"/>
      <c r="Y4" s="44"/>
      <c r="Z4" s="44"/>
      <c r="AA4" s="44"/>
      <c r="AB4" s="44"/>
      <c r="AC4" s="44"/>
      <c r="AD4" s="44"/>
      <c r="AE4" s="44"/>
      <c r="AF4" s="44"/>
      <c r="AG4" s="44"/>
      <c r="AH4" s="44"/>
      <c r="AI4" s="44"/>
      <c r="AJ4" s="44"/>
      <c r="AK4" s="44"/>
      <c r="AL4" s="44"/>
      <c r="AM4" s="44"/>
    </row>
    <row r="5" spans="1:39" ht="18" x14ac:dyDescent="0.35">
      <c r="A5" s="44"/>
      <c r="B5" s="44"/>
      <c r="C5" s="48" t="s">
        <v>483</v>
      </c>
      <c r="D5" s="48"/>
      <c r="E5" s="44"/>
      <c r="F5" s="44"/>
      <c r="G5" s="44"/>
      <c r="H5" s="44"/>
      <c r="I5" s="44"/>
      <c r="J5" s="44"/>
      <c r="K5" s="44"/>
      <c r="L5" s="44"/>
      <c r="M5" s="44"/>
      <c r="N5" s="44"/>
      <c r="O5" s="44"/>
      <c r="P5" s="44"/>
      <c r="Q5" s="44"/>
      <c r="R5" s="44"/>
      <c r="S5" s="44"/>
      <c r="T5" s="44"/>
      <c r="U5" s="44"/>
      <c r="V5" s="44"/>
      <c r="W5" s="44"/>
      <c r="X5" s="44"/>
      <c r="Y5" s="44"/>
      <c r="Z5" s="44"/>
      <c r="AA5" s="44"/>
      <c r="AB5" s="44"/>
      <c r="AC5" s="44"/>
      <c r="AD5" s="44"/>
      <c r="AE5" s="44"/>
      <c r="AF5" s="44"/>
      <c r="AG5" s="44"/>
      <c r="AH5" s="44"/>
      <c r="AI5" s="44"/>
      <c r="AJ5" s="44"/>
      <c r="AK5" s="44"/>
      <c r="AL5" s="44"/>
      <c r="AM5" s="44"/>
    </row>
    <row r="6" spans="1:39" ht="6.75" customHeight="1" x14ac:dyDescent="0.3"/>
    <row r="7" spans="1:39" x14ac:dyDescent="0.3">
      <c r="C7" s="71" t="s">
        <v>382</v>
      </c>
      <c r="D7" s="72"/>
      <c r="O7" s="183"/>
      <c r="P7" s="183"/>
      <c r="Q7" s="183"/>
      <c r="R7" s="183"/>
      <c r="S7" s="183"/>
      <c r="T7" s="183"/>
      <c r="U7" s="183"/>
      <c r="V7" s="183"/>
      <c r="W7" s="183"/>
      <c r="X7" s="183"/>
      <c r="Y7" s="183"/>
      <c r="Z7" s="183"/>
      <c r="AA7" s="183"/>
      <c r="AB7" s="183"/>
      <c r="AC7" s="183"/>
      <c r="AD7" s="183"/>
      <c r="AE7" s="183"/>
      <c r="AF7" s="183"/>
      <c r="AG7" s="183"/>
      <c r="AH7" s="183"/>
    </row>
    <row r="8" spans="1:39" ht="15.6" x14ac:dyDescent="0.3">
      <c r="C8" s="93" t="s">
        <v>383</v>
      </c>
      <c r="D8" s="93"/>
      <c r="F8" s="443" t="str">
        <f>IF(COUNTIF($B$14:$B$53,"CAPACITY")&gt;0,"WARNING! F-gas recovered from retiring equipment should not exceed full capacity of retiring equipment.","")</f>
        <v/>
      </c>
      <c r="O8" s="183"/>
      <c r="P8" s="183"/>
      <c r="Q8" s="183"/>
      <c r="R8" s="183"/>
      <c r="S8" s="183"/>
      <c r="T8" s="183"/>
      <c r="U8" s="183"/>
      <c r="V8" s="183"/>
      <c r="W8" s="183"/>
      <c r="X8" s="183"/>
      <c r="Y8" s="183"/>
      <c r="Z8" s="183"/>
      <c r="AA8" s="183"/>
      <c r="AB8" s="183"/>
      <c r="AC8" s="183"/>
      <c r="AD8" s="183"/>
      <c r="AE8" s="183"/>
      <c r="AF8" s="183"/>
      <c r="AG8" s="183"/>
      <c r="AH8" s="183"/>
    </row>
    <row r="9" spans="1:39" ht="15.6" x14ac:dyDescent="0.35">
      <c r="C9" s="69" t="s">
        <v>384</v>
      </c>
      <c r="D9" s="70"/>
      <c r="G9" s="3" t="s">
        <v>460</v>
      </c>
      <c r="H9" s="3" t="s">
        <v>458</v>
      </c>
      <c r="I9" s="3" t="s">
        <v>461</v>
      </c>
      <c r="J9" s="3" t="s">
        <v>459</v>
      </c>
      <c r="K9" s="3" t="s">
        <v>462</v>
      </c>
      <c r="O9" s="183"/>
      <c r="P9" s="183"/>
      <c r="Q9" s="183"/>
      <c r="R9" s="183"/>
      <c r="S9" s="183"/>
      <c r="T9" s="183"/>
      <c r="U9" s="183"/>
      <c r="V9" s="183"/>
      <c r="W9" s="183"/>
      <c r="X9" s="183"/>
      <c r="Y9" s="183"/>
      <c r="Z9" s="183"/>
      <c r="AA9" s="183"/>
      <c r="AB9" s="183"/>
      <c r="AC9" s="183"/>
      <c r="AD9" s="183"/>
      <c r="AE9" s="183"/>
      <c r="AF9" s="183"/>
      <c r="AG9" s="183"/>
      <c r="AH9" s="183"/>
    </row>
    <row r="10" spans="1:39" ht="6" customHeight="1" thickBot="1" x14ac:dyDescent="0.35">
      <c r="G10" s="3"/>
      <c r="H10" s="3"/>
      <c r="I10" s="3"/>
      <c r="J10" s="3"/>
      <c r="K10" s="3"/>
      <c r="O10" s="183"/>
      <c r="P10" s="195"/>
      <c r="Q10" s="183"/>
      <c r="R10" s="183"/>
      <c r="S10" s="183"/>
      <c r="T10" s="183"/>
      <c r="U10" s="183"/>
      <c r="V10" s="183"/>
      <c r="W10" s="183"/>
      <c r="X10" s="183"/>
      <c r="Y10" s="183"/>
      <c r="Z10" s="183"/>
      <c r="AA10" s="183"/>
      <c r="AB10" s="183"/>
      <c r="AC10" s="183"/>
      <c r="AD10" s="183"/>
      <c r="AE10" s="183"/>
      <c r="AF10" s="183"/>
      <c r="AG10" s="183"/>
      <c r="AH10" s="183"/>
    </row>
    <row r="11" spans="1:39" ht="57.6" x14ac:dyDescent="0.3">
      <c r="B11" s="110" t="s">
        <v>497</v>
      </c>
      <c r="C11" s="111" t="s">
        <v>498</v>
      </c>
      <c r="D11" s="111" t="s">
        <v>499</v>
      </c>
      <c r="E11" s="111" t="s">
        <v>500</v>
      </c>
      <c r="F11" s="111" t="s">
        <v>501</v>
      </c>
      <c r="G11" s="111" t="s">
        <v>662</v>
      </c>
      <c r="H11" s="111" t="s">
        <v>661</v>
      </c>
      <c r="I11" s="111" t="s">
        <v>660</v>
      </c>
      <c r="J11" s="111" t="s">
        <v>659</v>
      </c>
      <c r="K11" s="111" t="s">
        <v>658</v>
      </c>
      <c r="L11" s="111" t="s">
        <v>651</v>
      </c>
      <c r="M11" s="111" t="s">
        <v>651</v>
      </c>
      <c r="N11" s="113" t="s">
        <v>653</v>
      </c>
      <c r="O11" s="183"/>
      <c r="P11" s="197" t="s">
        <v>1</v>
      </c>
      <c r="Q11" s="183"/>
      <c r="R11" s="183"/>
      <c r="S11" s="183"/>
      <c r="T11" s="183"/>
      <c r="U11" s="183"/>
      <c r="V11" s="183"/>
      <c r="W11" s="183"/>
      <c r="X11" s="183"/>
      <c r="Y11" s="183"/>
      <c r="Z11" s="183"/>
      <c r="AA11" s="183"/>
      <c r="AB11" s="183"/>
      <c r="AC11" s="183"/>
      <c r="AD11" s="183"/>
      <c r="AE11" s="183"/>
      <c r="AF11" s="183"/>
      <c r="AG11" s="183"/>
      <c r="AH11" s="183"/>
    </row>
    <row r="12" spans="1:39" ht="14.25" customHeight="1" x14ac:dyDescent="0.35">
      <c r="B12" s="405"/>
      <c r="C12" s="406"/>
      <c r="D12" s="406"/>
      <c r="E12" s="406"/>
      <c r="F12" s="406"/>
      <c r="G12" s="406" t="s">
        <v>650</v>
      </c>
      <c r="H12" s="406" t="s">
        <v>650</v>
      </c>
      <c r="I12" s="406" t="s">
        <v>650</v>
      </c>
      <c r="J12" s="406" t="s">
        <v>650</v>
      </c>
      <c r="K12" s="406" t="s">
        <v>650</v>
      </c>
      <c r="L12" s="406" t="s">
        <v>771</v>
      </c>
      <c r="M12" s="406" t="s">
        <v>652</v>
      </c>
      <c r="N12" s="408" t="s">
        <v>774</v>
      </c>
      <c r="O12" s="183"/>
      <c r="P12" s="198" t="s">
        <v>11</v>
      </c>
      <c r="Q12" s="183"/>
      <c r="R12" s="183"/>
      <c r="S12" s="183"/>
      <c r="T12" s="183"/>
      <c r="U12" s="183"/>
      <c r="V12" s="183"/>
      <c r="W12" s="183"/>
      <c r="X12" s="183"/>
      <c r="Y12" s="183"/>
      <c r="Z12" s="183"/>
      <c r="AA12" s="183"/>
      <c r="AB12" s="183"/>
      <c r="AC12" s="183"/>
      <c r="AD12" s="183"/>
      <c r="AE12" s="183"/>
      <c r="AF12" s="183"/>
      <c r="AG12" s="183"/>
      <c r="AH12" s="183"/>
    </row>
    <row r="13" spans="1:39" x14ac:dyDescent="0.3">
      <c r="B13" s="114" t="str">
        <f t="shared" ref="B13:B16" si="0">IF(AND(C13=0,F13=0,ISBLANK(G13),ISBLANK(H13),ISBLANK(I13),ISBLANK(J13),ISBLANK(K13)),"",IF(OR(C13=0,F13=0,ISBLANK(G13),ISBLANK(H13),ISBLANK(I13),ISBLANK(J13),ISBLANK(K13)),"INCOMPLETE",IF(K13&gt;J13,"CAPACITY","OK")))</f>
        <v>OK</v>
      </c>
      <c r="C13" s="200" t="s">
        <v>300</v>
      </c>
      <c r="D13" s="186" t="s">
        <v>106</v>
      </c>
      <c r="E13" s="186" t="s">
        <v>612</v>
      </c>
      <c r="F13" s="201" t="s">
        <v>191</v>
      </c>
      <c r="G13" s="190">
        <v>31</v>
      </c>
      <c r="H13" s="190">
        <v>30</v>
      </c>
      <c r="I13" s="190">
        <v>5</v>
      </c>
      <c r="J13" s="190">
        <v>30</v>
      </c>
      <c r="K13" s="444">
        <v>25</v>
      </c>
      <c r="L13" s="439">
        <f>IF(H13&gt;G13,(I13+J13-K13)*Conversions!$C$4,(G13-H13+I13+J13-K13)*Conversions!$C$4)</f>
        <v>4.9896000000000003E-3</v>
      </c>
      <c r="M13" s="486">
        <f>IF(F13="Non-HFC",0,L13)</f>
        <v>4.9896000000000003E-3</v>
      </c>
      <c r="N13" s="435">
        <f>IF(F13=0,"",L13*VLOOKUP(F13,Lists!$C$72:$S$152,COLUMNS(Lists!$C$72:$S$72),0))</f>
        <v>19.567215360000002</v>
      </c>
      <c r="O13" s="183"/>
      <c r="P13" s="199" t="s">
        <v>12</v>
      </c>
      <c r="Q13" s="183"/>
      <c r="R13" s="183"/>
      <c r="S13" s="183"/>
      <c r="T13" s="183"/>
      <c r="U13" s="183"/>
      <c r="V13" s="183"/>
      <c r="W13" s="183"/>
      <c r="X13" s="183"/>
      <c r="Y13" s="183"/>
      <c r="Z13" s="183"/>
      <c r="AA13" s="183"/>
      <c r="AB13" s="183"/>
      <c r="AC13" s="183"/>
      <c r="AD13" s="183"/>
      <c r="AE13" s="183"/>
      <c r="AF13" s="183"/>
      <c r="AG13" s="183"/>
      <c r="AH13" s="183"/>
    </row>
    <row r="14" spans="1:39" ht="15.6" x14ac:dyDescent="0.3">
      <c r="B14" s="114" t="str">
        <f t="shared" si="0"/>
        <v/>
      </c>
      <c r="C14" s="187"/>
      <c r="D14" s="202"/>
      <c r="E14" s="202"/>
      <c r="F14" s="182"/>
      <c r="G14" s="203"/>
      <c r="H14" s="203"/>
      <c r="I14" s="203"/>
      <c r="J14" s="203"/>
      <c r="K14" s="203"/>
      <c r="L14" s="440">
        <f>IF(H14&gt;G14,(I14+J14-K14)*Conversions!$C$4,(G14-H14+I14+J14-K14)*Conversions!$C$4)</f>
        <v>0</v>
      </c>
      <c r="M14" s="487">
        <f t="shared" ref="M14:M53" si="1">IF(F14="Non-HFC",0,L14)</f>
        <v>0</v>
      </c>
      <c r="N14" s="436">
        <f>'Emissions Database'!BS44</f>
        <v>0</v>
      </c>
      <c r="O14" s="183"/>
      <c r="P14" s="199" t="s">
        <v>13</v>
      </c>
      <c r="Q14" s="183"/>
      <c r="R14" s="183"/>
      <c r="S14" s="183"/>
      <c r="T14" s="183"/>
      <c r="U14" s="183"/>
      <c r="V14" s="183"/>
      <c r="W14" s="183"/>
      <c r="X14" s="183"/>
      <c r="Y14" s="183"/>
      <c r="Z14" s="183"/>
      <c r="AA14" s="183"/>
      <c r="AB14" s="183"/>
      <c r="AC14" s="183"/>
      <c r="AD14" s="183"/>
      <c r="AE14" s="183"/>
      <c r="AF14" s="183"/>
      <c r="AG14" s="183"/>
      <c r="AH14" s="183"/>
    </row>
    <row r="15" spans="1:39" ht="15.6" x14ac:dyDescent="0.3">
      <c r="B15" s="114" t="str">
        <f t="shared" si="0"/>
        <v/>
      </c>
      <c r="C15" s="187"/>
      <c r="D15" s="202"/>
      <c r="E15" s="202"/>
      <c r="F15" s="182"/>
      <c r="G15" s="203"/>
      <c r="H15" s="203"/>
      <c r="I15" s="203"/>
      <c r="J15" s="203"/>
      <c r="K15" s="203"/>
      <c r="L15" s="440">
        <f>IF(H15&gt;G15,(I15+J15-K15)*Conversions!$C$4,(G15-H15+I15+J15-K15)*Conversions!$C$4)</f>
        <v>0</v>
      </c>
      <c r="M15" s="487">
        <f t="shared" si="1"/>
        <v>0</v>
      </c>
      <c r="N15" s="436">
        <f>'Emissions Database'!BS45</f>
        <v>0</v>
      </c>
      <c r="O15" s="183"/>
      <c r="P15" s="199" t="s">
        <v>14</v>
      </c>
      <c r="Q15" s="183"/>
      <c r="R15" s="183"/>
      <c r="S15" s="183"/>
      <c r="T15" s="183"/>
      <c r="U15" s="183"/>
      <c r="V15" s="183"/>
      <c r="W15" s="183"/>
      <c r="X15" s="183"/>
      <c r="Y15" s="183"/>
      <c r="Z15" s="183"/>
      <c r="AA15" s="183"/>
      <c r="AB15" s="183"/>
      <c r="AC15" s="183"/>
      <c r="AD15" s="183"/>
      <c r="AE15" s="183"/>
      <c r="AF15" s="183"/>
      <c r="AG15" s="183"/>
      <c r="AH15" s="183"/>
    </row>
    <row r="16" spans="1:39" ht="15.6" x14ac:dyDescent="0.3">
      <c r="B16" s="114" t="str">
        <f t="shared" si="0"/>
        <v/>
      </c>
      <c r="C16" s="187"/>
      <c r="D16" s="202"/>
      <c r="E16" s="202"/>
      <c r="F16" s="182"/>
      <c r="G16" s="203"/>
      <c r="H16" s="203"/>
      <c r="I16" s="203"/>
      <c r="J16" s="203"/>
      <c r="K16" s="203"/>
      <c r="L16" s="440">
        <f>IF(H16&gt;G16,(I16+J16-K16)*Conversions!$C$4,(G16-H16+I16+J16-K16)*Conversions!$C$4)</f>
        <v>0</v>
      </c>
      <c r="M16" s="487">
        <f t="shared" si="1"/>
        <v>0</v>
      </c>
      <c r="N16" s="436">
        <f>'Emissions Database'!BS46</f>
        <v>0</v>
      </c>
      <c r="O16" s="183"/>
      <c r="P16" s="199" t="s">
        <v>15</v>
      </c>
      <c r="Q16" s="183"/>
      <c r="R16" s="183"/>
      <c r="S16" s="183"/>
      <c r="T16" s="183"/>
      <c r="U16" s="183"/>
      <c r="V16" s="183"/>
      <c r="W16" s="183"/>
      <c r="X16" s="183"/>
      <c r="Y16" s="183"/>
      <c r="Z16" s="183"/>
      <c r="AA16" s="183"/>
      <c r="AB16" s="183"/>
      <c r="AC16" s="183"/>
      <c r="AD16" s="183"/>
      <c r="AE16" s="183"/>
      <c r="AF16" s="183"/>
      <c r="AG16" s="183"/>
      <c r="AH16" s="183"/>
    </row>
    <row r="17" spans="2:34" ht="15.6" x14ac:dyDescent="0.3">
      <c r="B17" s="114" t="str">
        <f>IF(AND(C17=0,F17=0,ISBLANK(G17),ISBLANK(H17),ISBLANK(I17),ISBLANK(J17),ISBLANK(K17)),"",IF(OR(C17=0,F17=0,ISBLANK(G17),ISBLANK(H17),ISBLANK(I17),ISBLANK(J17),ISBLANK(K17)),"INCOMPLETE",IF(K17&gt;J17,"CAPACITY","OK")))</f>
        <v/>
      </c>
      <c r="C17" s="187"/>
      <c r="D17" s="202"/>
      <c r="E17" s="202"/>
      <c r="F17" s="182"/>
      <c r="G17" s="203"/>
      <c r="H17" s="203"/>
      <c r="I17" s="203"/>
      <c r="J17" s="203"/>
      <c r="K17" s="203"/>
      <c r="L17" s="440">
        <f>IF(H17&gt;G17,(I17+J17-K17)*Conversions!$C$4,(G17-H17+I17+J17-K17)*Conversions!$C$4)</f>
        <v>0</v>
      </c>
      <c r="M17" s="487">
        <f t="shared" si="1"/>
        <v>0</v>
      </c>
      <c r="N17" s="436">
        <f>'Emissions Database'!BS47</f>
        <v>0</v>
      </c>
      <c r="O17" s="183"/>
      <c r="P17" s="199" t="s">
        <v>16</v>
      </c>
      <c r="Q17" s="183"/>
      <c r="R17" s="183"/>
      <c r="S17" s="183"/>
      <c r="T17" s="183"/>
      <c r="U17" s="183"/>
      <c r="V17" s="183"/>
      <c r="W17" s="183"/>
      <c r="X17" s="183"/>
      <c r="Y17" s="183"/>
      <c r="Z17" s="183"/>
      <c r="AA17" s="183"/>
      <c r="AB17" s="183"/>
      <c r="AC17" s="183"/>
      <c r="AD17" s="183"/>
      <c r="AE17" s="183"/>
      <c r="AF17" s="183"/>
      <c r="AG17" s="183"/>
      <c r="AH17" s="183"/>
    </row>
    <row r="18" spans="2:34" ht="15.6" x14ac:dyDescent="0.3">
      <c r="B18" s="114" t="str">
        <f t="shared" ref="B18:B53" si="2">IF(AND(C18=0,F18=0,ISBLANK(G18),ISBLANK(H18),ISBLANK(I18),ISBLANK(J18),ISBLANK(K18)),"",IF(OR(C18=0,F18=0,ISBLANK(G18),ISBLANK(H18),ISBLANK(I18),ISBLANK(J18),ISBLANK(K18)),"INCOMPLETE",IF(K18&gt;J18,"CAPACITY","OK")))</f>
        <v/>
      </c>
      <c r="C18" s="187"/>
      <c r="D18" s="202"/>
      <c r="E18" s="202"/>
      <c r="F18" s="182"/>
      <c r="G18" s="203"/>
      <c r="H18" s="203"/>
      <c r="I18" s="203"/>
      <c r="J18" s="203"/>
      <c r="K18" s="203"/>
      <c r="L18" s="440">
        <f>IF(H18&gt;G18,(I18+J18-K18)*Conversions!$C$4,(G18-H18+I18+J18-K18)*Conversions!$C$4)</f>
        <v>0</v>
      </c>
      <c r="M18" s="487">
        <f t="shared" si="1"/>
        <v>0</v>
      </c>
      <c r="N18" s="436">
        <f>'Emissions Database'!BS48</f>
        <v>0</v>
      </c>
      <c r="O18" s="183"/>
      <c r="P18" s="199" t="s">
        <v>17</v>
      </c>
      <c r="Q18" s="183"/>
      <c r="R18" s="183"/>
      <c r="S18" s="183"/>
      <c r="T18" s="183"/>
      <c r="U18" s="183"/>
      <c r="V18" s="183"/>
      <c r="W18" s="183"/>
      <c r="X18" s="183"/>
      <c r="Y18" s="183"/>
      <c r="Z18" s="183"/>
      <c r="AA18" s="183"/>
      <c r="AB18" s="183"/>
      <c r="AC18" s="183"/>
      <c r="AD18" s="183"/>
      <c r="AE18" s="183"/>
      <c r="AF18" s="183"/>
      <c r="AG18" s="183"/>
      <c r="AH18" s="183"/>
    </row>
    <row r="19" spans="2:34" x14ac:dyDescent="0.3">
      <c r="B19" s="114" t="str">
        <f t="shared" si="2"/>
        <v/>
      </c>
      <c r="C19" s="187"/>
      <c r="D19" s="202"/>
      <c r="E19" s="202"/>
      <c r="F19" s="182"/>
      <c r="G19" s="203"/>
      <c r="H19" s="203"/>
      <c r="I19" s="203"/>
      <c r="J19" s="203"/>
      <c r="K19" s="203"/>
      <c r="L19" s="440">
        <f>IF(H19&gt;G19,(I19+J19-K19)*Conversions!$C$4,(G19-H19+I19+J19-K19)*Conversions!$C$4)</f>
        <v>0</v>
      </c>
      <c r="M19" s="487">
        <f t="shared" si="1"/>
        <v>0</v>
      </c>
      <c r="N19" s="436">
        <f>'Emissions Database'!BS49</f>
        <v>0</v>
      </c>
      <c r="O19" s="183"/>
      <c r="P19" s="198" t="s">
        <v>471</v>
      </c>
      <c r="Q19" s="183"/>
      <c r="R19" s="183"/>
      <c r="S19" s="183"/>
      <c r="T19" s="183"/>
      <c r="U19" s="183"/>
      <c r="V19" s="183"/>
      <c r="W19" s="183"/>
      <c r="X19" s="183"/>
      <c r="Y19" s="183"/>
      <c r="Z19" s="183"/>
      <c r="AA19" s="183"/>
      <c r="AB19" s="183"/>
      <c r="AC19" s="183"/>
      <c r="AD19" s="183"/>
      <c r="AE19" s="183"/>
      <c r="AF19" s="183"/>
      <c r="AG19" s="183"/>
      <c r="AH19" s="183"/>
    </row>
    <row r="20" spans="2:34" x14ac:dyDescent="0.3">
      <c r="B20" s="114" t="str">
        <f t="shared" si="2"/>
        <v/>
      </c>
      <c r="C20" s="187"/>
      <c r="D20" s="202"/>
      <c r="E20" s="202"/>
      <c r="F20" s="182"/>
      <c r="G20" s="203"/>
      <c r="H20" s="203"/>
      <c r="I20" s="203"/>
      <c r="J20" s="203"/>
      <c r="K20" s="203"/>
      <c r="L20" s="440">
        <f>IF(H20&gt;G20,(I20+J20-K20)*Conversions!$C$4,(G20-H20+I20+J20-K20)*Conversions!$C$4)</f>
        <v>0</v>
      </c>
      <c r="M20" s="487">
        <f t="shared" si="1"/>
        <v>0</v>
      </c>
      <c r="N20" s="436">
        <f>'Emissions Database'!BS50</f>
        <v>0</v>
      </c>
      <c r="O20" s="183"/>
      <c r="P20" s="167" t="s">
        <v>472</v>
      </c>
      <c r="Q20" s="183"/>
      <c r="R20" s="183"/>
      <c r="S20" s="183"/>
      <c r="T20" s="183"/>
      <c r="U20" s="183"/>
      <c r="V20" s="183"/>
      <c r="W20" s="183"/>
      <c r="X20" s="183"/>
      <c r="Y20" s="183"/>
      <c r="Z20" s="183"/>
      <c r="AA20" s="183"/>
      <c r="AB20" s="183"/>
      <c r="AC20" s="183"/>
      <c r="AD20" s="183"/>
      <c r="AE20" s="183"/>
      <c r="AF20" s="183"/>
      <c r="AG20" s="183"/>
      <c r="AH20" s="183"/>
    </row>
    <row r="21" spans="2:34" x14ac:dyDescent="0.3">
      <c r="B21" s="114" t="str">
        <f t="shared" si="2"/>
        <v/>
      </c>
      <c r="C21" s="187"/>
      <c r="D21" s="202"/>
      <c r="E21" s="202"/>
      <c r="F21" s="182"/>
      <c r="G21" s="203"/>
      <c r="H21" s="203"/>
      <c r="I21" s="203"/>
      <c r="J21" s="203"/>
      <c r="K21" s="203"/>
      <c r="L21" s="440">
        <f>IF(H21&gt;G21,(I21+J21-K21)*Conversions!$C$4,(G21-H21+I21+J21-K21)*Conversions!$C$4)</f>
        <v>0</v>
      </c>
      <c r="M21" s="487">
        <f t="shared" si="1"/>
        <v>0</v>
      </c>
      <c r="N21" s="436">
        <f>'Emissions Database'!BS51</f>
        <v>0</v>
      </c>
      <c r="O21" s="183"/>
      <c r="P21" s="438"/>
      <c r="R21" s="183"/>
      <c r="S21" s="183"/>
      <c r="T21" s="183"/>
      <c r="U21" s="183"/>
      <c r="V21" s="183"/>
      <c r="W21" s="183"/>
      <c r="X21" s="183"/>
      <c r="Y21" s="183"/>
      <c r="Z21" s="183"/>
      <c r="AA21" s="183"/>
      <c r="AB21" s="183"/>
      <c r="AC21" s="183"/>
      <c r="AD21" s="183"/>
      <c r="AE21" s="183"/>
      <c r="AF21" s="183"/>
      <c r="AG21" s="183"/>
      <c r="AH21" s="183"/>
    </row>
    <row r="22" spans="2:34" x14ac:dyDescent="0.3">
      <c r="B22" s="114" t="str">
        <f t="shared" si="2"/>
        <v/>
      </c>
      <c r="C22" s="187"/>
      <c r="D22" s="202"/>
      <c r="E22" s="202"/>
      <c r="F22" s="182"/>
      <c r="G22" s="203"/>
      <c r="H22" s="203"/>
      <c r="I22" s="203"/>
      <c r="J22" s="203"/>
      <c r="K22" s="203"/>
      <c r="L22" s="440">
        <f>IF(H22&gt;G22,(I22+J22-K22)*Conversions!$C$4,(G22-H22+I22+J22-K22)*Conversions!$C$4)</f>
        <v>0</v>
      </c>
      <c r="M22" s="487">
        <f t="shared" si="1"/>
        <v>0</v>
      </c>
      <c r="N22" s="436">
        <f>'Emissions Database'!BS52</f>
        <v>0</v>
      </c>
      <c r="O22" s="183"/>
      <c r="P22" s="183"/>
      <c r="Q22" s="183"/>
      <c r="R22" s="183"/>
      <c r="S22" s="183"/>
      <c r="T22" s="183"/>
      <c r="U22" s="183"/>
      <c r="V22" s="183"/>
      <c r="W22" s="183"/>
      <c r="X22" s="183"/>
      <c r="Y22" s="183"/>
      <c r="Z22" s="183"/>
      <c r="AA22" s="183"/>
      <c r="AB22" s="183"/>
      <c r="AC22" s="183"/>
      <c r="AD22" s="183"/>
      <c r="AE22" s="183"/>
      <c r="AF22" s="183"/>
      <c r="AG22" s="183"/>
      <c r="AH22" s="183"/>
    </row>
    <row r="23" spans="2:34" x14ac:dyDescent="0.3">
      <c r="B23" s="114" t="str">
        <f t="shared" si="2"/>
        <v/>
      </c>
      <c r="C23" s="187"/>
      <c r="D23" s="202"/>
      <c r="E23" s="202"/>
      <c r="F23" s="182"/>
      <c r="G23" s="203"/>
      <c r="H23" s="203"/>
      <c r="I23" s="203"/>
      <c r="J23" s="203"/>
      <c r="K23" s="203"/>
      <c r="L23" s="440">
        <f>IF(H23&gt;G23,(I23+J23-K23)*Conversions!$C$4,(G23-H23+I23+J23-K23)*Conversions!$C$4)</f>
        <v>0</v>
      </c>
      <c r="M23" s="487">
        <f t="shared" si="1"/>
        <v>0</v>
      </c>
      <c r="N23" s="436">
        <f>'Emissions Database'!BS53</f>
        <v>0</v>
      </c>
      <c r="O23" s="183"/>
      <c r="P23" s="183"/>
      <c r="Q23" s="183"/>
      <c r="R23" s="183"/>
      <c r="S23" s="183"/>
      <c r="T23" s="183"/>
      <c r="U23" s="183"/>
      <c r="V23" s="183"/>
      <c r="W23" s="183"/>
      <c r="X23" s="183"/>
      <c r="Y23" s="183"/>
      <c r="Z23" s="183"/>
      <c r="AA23" s="183"/>
      <c r="AB23" s="183"/>
      <c r="AC23" s="183"/>
      <c r="AD23" s="183"/>
      <c r="AE23" s="183"/>
      <c r="AF23" s="183"/>
      <c r="AG23" s="183"/>
      <c r="AH23" s="183"/>
    </row>
    <row r="24" spans="2:34" x14ac:dyDescent="0.3">
      <c r="B24" s="114" t="str">
        <f t="shared" si="2"/>
        <v/>
      </c>
      <c r="C24" s="187"/>
      <c r="D24" s="202"/>
      <c r="E24" s="202"/>
      <c r="F24" s="182"/>
      <c r="G24" s="203"/>
      <c r="H24" s="203"/>
      <c r="I24" s="203"/>
      <c r="J24" s="203"/>
      <c r="K24" s="203"/>
      <c r="L24" s="440">
        <f>IF(H24&gt;G24,(I24+J24-K24)*Conversions!$C$4,(G24-H24+I24+J24-K24)*Conversions!$C$4)</f>
        <v>0</v>
      </c>
      <c r="M24" s="487">
        <f t="shared" si="1"/>
        <v>0</v>
      </c>
      <c r="N24" s="436">
        <f>'Emissions Database'!BS54</f>
        <v>0</v>
      </c>
      <c r="O24" s="183"/>
      <c r="R24" s="183"/>
      <c r="S24" s="183"/>
      <c r="T24" s="183"/>
      <c r="U24" s="183"/>
      <c r="V24" s="183"/>
      <c r="W24" s="183"/>
      <c r="X24" s="183"/>
      <c r="Y24" s="183"/>
      <c r="Z24" s="183"/>
      <c r="AA24" s="183"/>
      <c r="AB24" s="183"/>
      <c r="AC24" s="183"/>
      <c r="AD24" s="183"/>
      <c r="AE24" s="183"/>
      <c r="AF24" s="183"/>
      <c r="AG24" s="183"/>
      <c r="AH24" s="183"/>
    </row>
    <row r="25" spans="2:34" x14ac:dyDescent="0.3">
      <c r="B25" s="114" t="str">
        <f t="shared" si="2"/>
        <v/>
      </c>
      <c r="C25" s="187"/>
      <c r="D25" s="202"/>
      <c r="E25" s="202"/>
      <c r="F25" s="182"/>
      <c r="G25" s="203"/>
      <c r="H25" s="203"/>
      <c r="I25" s="203"/>
      <c r="J25" s="203"/>
      <c r="K25" s="203"/>
      <c r="L25" s="440">
        <f>IF(H25&gt;G25,(I25+J25-K25)*Conversions!$C$4,(G25-H25+I25+J25-K25)*Conversions!$C$4)</f>
        <v>0</v>
      </c>
      <c r="M25" s="487">
        <f t="shared" si="1"/>
        <v>0</v>
      </c>
      <c r="N25" s="436">
        <f>'Emissions Database'!BS55</f>
        <v>0</v>
      </c>
      <c r="O25" s="183"/>
      <c r="R25" s="183"/>
      <c r="S25" s="183"/>
      <c r="T25" s="183"/>
      <c r="U25" s="183"/>
      <c r="V25" s="183"/>
      <c r="W25" s="183"/>
      <c r="X25" s="183"/>
      <c r="Y25" s="183"/>
      <c r="Z25" s="183"/>
      <c r="AA25" s="183"/>
      <c r="AB25" s="183"/>
      <c r="AC25" s="183"/>
      <c r="AD25" s="183"/>
      <c r="AE25" s="183"/>
      <c r="AF25" s="183"/>
      <c r="AG25" s="183"/>
      <c r="AH25" s="183"/>
    </row>
    <row r="26" spans="2:34" x14ac:dyDescent="0.3">
      <c r="B26" s="114" t="str">
        <f t="shared" si="2"/>
        <v/>
      </c>
      <c r="C26" s="187"/>
      <c r="D26" s="202"/>
      <c r="E26" s="202"/>
      <c r="F26" s="182"/>
      <c r="G26" s="203"/>
      <c r="H26" s="203"/>
      <c r="I26" s="203"/>
      <c r="J26" s="203"/>
      <c r="K26" s="203"/>
      <c r="L26" s="440">
        <f>IF(H26&gt;G26,(I26+J26-K26)*Conversions!$C$4,(G26-H26+I26+J26-K26)*Conversions!$C$4)</f>
        <v>0</v>
      </c>
      <c r="M26" s="487">
        <f t="shared" si="1"/>
        <v>0</v>
      </c>
      <c r="N26" s="436">
        <f>'Emissions Database'!BS56</f>
        <v>0</v>
      </c>
      <c r="O26" s="183"/>
      <c r="R26" s="183"/>
      <c r="S26" s="183"/>
      <c r="T26" s="183"/>
      <c r="U26" s="183"/>
      <c r="V26" s="183"/>
      <c r="W26" s="183"/>
      <c r="X26" s="183"/>
      <c r="Y26" s="183"/>
      <c r="Z26" s="183"/>
      <c r="AA26" s="183"/>
      <c r="AB26" s="183"/>
      <c r="AC26" s="183"/>
      <c r="AD26" s="183"/>
      <c r="AE26" s="183"/>
      <c r="AF26" s="183"/>
      <c r="AG26" s="183"/>
      <c r="AH26" s="183"/>
    </row>
    <row r="27" spans="2:34" x14ac:dyDescent="0.3">
      <c r="B27" s="114" t="str">
        <f t="shared" si="2"/>
        <v/>
      </c>
      <c r="C27" s="187"/>
      <c r="D27" s="202"/>
      <c r="E27" s="202"/>
      <c r="F27" s="182"/>
      <c r="G27" s="203"/>
      <c r="H27" s="203"/>
      <c r="I27" s="203"/>
      <c r="J27" s="203"/>
      <c r="K27" s="203"/>
      <c r="L27" s="440">
        <f>IF(H27&gt;G27,(I27+J27-K27)*Conversions!$C$4,(G27-H27+I27+J27-K27)*Conversions!$C$4)</f>
        <v>0</v>
      </c>
      <c r="M27" s="487">
        <f t="shared" si="1"/>
        <v>0</v>
      </c>
      <c r="N27" s="436">
        <f>'Emissions Database'!BS57</f>
        <v>0</v>
      </c>
      <c r="O27" s="183"/>
      <c r="R27" s="183"/>
      <c r="S27" s="183"/>
      <c r="T27" s="183"/>
      <c r="U27" s="183"/>
      <c r="V27" s="183"/>
      <c r="W27" s="183"/>
      <c r="X27" s="183"/>
      <c r="Y27" s="183"/>
      <c r="Z27" s="183"/>
      <c r="AA27" s="183"/>
      <c r="AB27" s="183"/>
      <c r="AC27" s="183"/>
      <c r="AD27" s="183"/>
      <c r="AE27" s="183"/>
      <c r="AF27" s="183"/>
      <c r="AG27" s="183"/>
      <c r="AH27" s="183"/>
    </row>
    <row r="28" spans="2:34" x14ac:dyDescent="0.3">
      <c r="B28" s="114" t="str">
        <f t="shared" si="2"/>
        <v/>
      </c>
      <c r="C28" s="187"/>
      <c r="D28" s="202"/>
      <c r="E28" s="202"/>
      <c r="F28" s="182"/>
      <c r="G28" s="203"/>
      <c r="H28" s="203"/>
      <c r="I28" s="203"/>
      <c r="J28" s="203"/>
      <c r="K28" s="203"/>
      <c r="L28" s="440">
        <f>IF(H28&gt;G28,(I28+J28-K28)*Conversions!$C$4,(G28-H28+I28+J28-K28)*Conversions!$C$4)</f>
        <v>0</v>
      </c>
      <c r="M28" s="487">
        <f t="shared" si="1"/>
        <v>0</v>
      </c>
      <c r="N28" s="436">
        <f>'Emissions Database'!BS58</f>
        <v>0</v>
      </c>
      <c r="O28" s="183"/>
      <c r="R28" s="183"/>
      <c r="S28" s="183"/>
      <c r="T28" s="183"/>
      <c r="U28" s="183"/>
      <c r="V28" s="183"/>
      <c r="W28" s="183"/>
      <c r="X28" s="183"/>
      <c r="Y28" s="183"/>
      <c r="Z28" s="183"/>
      <c r="AA28" s="183"/>
      <c r="AB28" s="183"/>
      <c r="AC28" s="183"/>
      <c r="AD28" s="183"/>
      <c r="AE28" s="183"/>
      <c r="AF28" s="183"/>
      <c r="AG28" s="183"/>
      <c r="AH28" s="183"/>
    </row>
    <row r="29" spans="2:34" x14ac:dyDescent="0.3">
      <c r="B29" s="114" t="str">
        <f t="shared" si="2"/>
        <v/>
      </c>
      <c r="C29" s="187"/>
      <c r="D29" s="202"/>
      <c r="E29" s="202"/>
      <c r="F29" s="182"/>
      <c r="G29" s="203"/>
      <c r="H29" s="203"/>
      <c r="I29" s="203"/>
      <c r="J29" s="203"/>
      <c r="K29" s="203"/>
      <c r="L29" s="440">
        <f>IF(H29&gt;G29,(I29+J29-K29)*Conversions!$C$4,(G29-H29+I29+J29-K29)*Conversions!$C$4)</f>
        <v>0</v>
      </c>
      <c r="M29" s="487">
        <f t="shared" si="1"/>
        <v>0</v>
      </c>
      <c r="N29" s="436">
        <f>'Emissions Database'!BS59</f>
        <v>0</v>
      </c>
      <c r="O29" s="183"/>
      <c r="R29" s="183"/>
      <c r="S29" s="183"/>
      <c r="T29" s="183"/>
      <c r="U29" s="183"/>
      <c r="V29" s="183"/>
      <c r="W29" s="183"/>
      <c r="X29" s="183"/>
      <c r="Y29" s="183"/>
      <c r="Z29" s="183"/>
      <c r="AA29" s="183"/>
      <c r="AB29" s="183"/>
      <c r="AC29" s="183"/>
      <c r="AD29" s="183"/>
      <c r="AE29" s="183"/>
      <c r="AF29" s="183"/>
      <c r="AG29" s="183"/>
      <c r="AH29" s="183"/>
    </row>
    <row r="30" spans="2:34" x14ac:dyDescent="0.3">
      <c r="B30" s="114" t="str">
        <f t="shared" si="2"/>
        <v/>
      </c>
      <c r="C30" s="187"/>
      <c r="D30" s="202"/>
      <c r="E30" s="202"/>
      <c r="F30" s="182"/>
      <c r="G30" s="203"/>
      <c r="H30" s="203"/>
      <c r="I30" s="203"/>
      <c r="J30" s="203"/>
      <c r="K30" s="203"/>
      <c r="L30" s="440">
        <f>IF(H30&gt;G30,(I30+J30-K30)*Conversions!$C$4,(G30-H30+I30+J30-K30)*Conversions!$C$4)</f>
        <v>0</v>
      </c>
      <c r="M30" s="487">
        <f t="shared" si="1"/>
        <v>0</v>
      </c>
      <c r="N30" s="436">
        <f>'Emissions Database'!BS60</f>
        <v>0</v>
      </c>
      <c r="O30" s="183"/>
      <c r="R30" s="183"/>
      <c r="S30" s="183"/>
      <c r="T30" s="183"/>
      <c r="U30" s="183"/>
      <c r="V30" s="183"/>
      <c r="W30" s="183"/>
      <c r="X30" s="183"/>
      <c r="Y30" s="183"/>
      <c r="Z30" s="183"/>
      <c r="AA30" s="183"/>
      <c r="AB30" s="183"/>
      <c r="AC30" s="183"/>
      <c r="AD30" s="183"/>
      <c r="AE30" s="183"/>
      <c r="AF30" s="183"/>
      <c r="AG30" s="183"/>
      <c r="AH30" s="183"/>
    </row>
    <row r="31" spans="2:34" x14ac:dyDescent="0.3">
      <c r="B31" s="114" t="str">
        <f t="shared" si="2"/>
        <v/>
      </c>
      <c r="C31" s="187"/>
      <c r="D31" s="202"/>
      <c r="E31" s="202"/>
      <c r="F31" s="182"/>
      <c r="G31" s="203"/>
      <c r="H31" s="203"/>
      <c r="I31" s="203"/>
      <c r="J31" s="203"/>
      <c r="K31" s="203"/>
      <c r="L31" s="440">
        <f>IF(H31&gt;G31,(I31+J31-K31)*Conversions!$C$4,(G31-H31+I31+J31-K31)*Conversions!$C$4)</f>
        <v>0</v>
      </c>
      <c r="M31" s="487">
        <f t="shared" si="1"/>
        <v>0</v>
      </c>
      <c r="N31" s="436">
        <f>'Emissions Database'!BS61</f>
        <v>0</v>
      </c>
      <c r="O31" s="183"/>
      <c r="R31" s="183"/>
      <c r="S31" s="183"/>
      <c r="T31" s="183"/>
      <c r="U31" s="183"/>
      <c r="V31" s="183"/>
      <c r="W31" s="183"/>
      <c r="X31" s="183"/>
      <c r="Y31" s="183"/>
      <c r="Z31" s="183"/>
      <c r="AA31" s="183"/>
      <c r="AB31" s="183"/>
      <c r="AC31" s="183"/>
      <c r="AD31" s="183"/>
      <c r="AE31" s="183"/>
      <c r="AF31" s="183"/>
      <c r="AG31" s="183"/>
      <c r="AH31" s="183"/>
    </row>
    <row r="32" spans="2:34" x14ac:dyDescent="0.3">
      <c r="B32" s="114" t="str">
        <f t="shared" si="2"/>
        <v/>
      </c>
      <c r="C32" s="187"/>
      <c r="D32" s="202"/>
      <c r="E32" s="202"/>
      <c r="F32" s="182"/>
      <c r="G32" s="203"/>
      <c r="H32" s="203"/>
      <c r="I32" s="203"/>
      <c r="J32" s="203"/>
      <c r="K32" s="203"/>
      <c r="L32" s="440">
        <f>IF(H32&gt;G32,(I32+J32-K32)*Conversions!$C$4,(G32-H32+I32+J32-K32)*Conversions!$C$4)</f>
        <v>0</v>
      </c>
      <c r="M32" s="487">
        <f t="shared" si="1"/>
        <v>0</v>
      </c>
      <c r="N32" s="436">
        <f>'Emissions Database'!BS62</f>
        <v>0</v>
      </c>
      <c r="O32" s="183"/>
      <c r="R32" s="183"/>
      <c r="S32" s="183"/>
      <c r="T32" s="183"/>
      <c r="U32" s="183"/>
      <c r="V32" s="183"/>
      <c r="W32" s="183"/>
      <c r="X32" s="183"/>
      <c r="Y32" s="183"/>
      <c r="Z32" s="183"/>
      <c r="AA32" s="183"/>
      <c r="AB32" s="183"/>
      <c r="AC32" s="183"/>
      <c r="AD32" s="183"/>
      <c r="AE32" s="183"/>
      <c r="AF32" s="183"/>
      <c r="AG32" s="183"/>
      <c r="AH32" s="183"/>
    </row>
    <row r="33" spans="2:34" x14ac:dyDescent="0.3">
      <c r="B33" s="114" t="str">
        <f t="shared" si="2"/>
        <v/>
      </c>
      <c r="C33" s="187"/>
      <c r="D33" s="202"/>
      <c r="E33" s="202"/>
      <c r="F33" s="182"/>
      <c r="G33" s="203"/>
      <c r="H33" s="203"/>
      <c r="I33" s="203"/>
      <c r="J33" s="203"/>
      <c r="K33" s="203"/>
      <c r="L33" s="440">
        <f>IF(H33&gt;G33,(I33+J33-K33)*Conversions!$C$4,(G33-H33+I33+J33-K33)*Conversions!$C$4)</f>
        <v>0</v>
      </c>
      <c r="M33" s="487">
        <f t="shared" si="1"/>
        <v>0</v>
      </c>
      <c r="N33" s="436">
        <f>'Emissions Database'!BS63</f>
        <v>0</v>
      </c>
      <c r="O33" s="183"/>
      <c r="P33" s="183"/>
      <c r="Q33" s="183"/>
      <c r="R33" s="183"/>
      <c r="S33" s="183"/>
      <c r="T33" s="183"/>
      <c r="U33" s="183"/>
      <c r="V33" s="183"/>
      <c r="W33" s="183"/>
      <c r="X33" s="183"/>
      <c r="Y33" s="183"/>
      <c r="Z33" s="183"/>
      <c r="AA33" s="183"/>
      <c r="AB33" s="183"/>
      <c r="AC33" s="183"/>
      <c r="AD33" s="183"/>
      <c r="AE33" s="183"/>
      <c r="AF33" s="183"/>
      <c r="AG33" s="183"/>
      <c r="AH33" s="183"/>
    </row>
    <row r="34" spans="2:34" x14ac:dyDescent="0.3">
      <c r="B34" s="114" t="str">
        <f t="shared" si="2"/>
        <v/>
      </c>
      <c r="C34" s="187"/>
      <c r="D34" s="202"/>
      <c r="E34" s="202"/>
      <c r="F34" s="182"/>
      <c r="G34" s="203"/>
      <c r="H34" s="203"/>
      <c r="I34" s="203"/>
      <c r="J34" s="203"/>
      <c r="K34" s="203"/>
      <c r="L34" s="440">
        <f>IF(H34&gt;G34,(I34+J34-K34)*Conversions!$C$4,(G34-H34+I34+J34-K34)*Conversions!$C$4)</f>
        <v>0</v>
      </c>
      <c r="M34" s="487">
        <f t="shared" si="1"/>
        <v>0</v>
      </c>
      <c r="N34" s="436">
        <f>'Emissions Database'!BS64</f>
        <v>0</v>
      </c>
      <c r="O34" s="183"/>
      <c r="P34" s="183"/>
      <c r="Q34" s="183"/>
      <c r="R34" s="183"/>
      <c r="S34" s="183"/>
      <c r="T34" s="183"/>
      <c r="U34" s="183"/>
      <c r="V34" s="183"/>
      <c r="W34" s="183"/>
      <c r="X34" s="183"/>
      <c r="Y34" s="183"/>
      <c r="Z34" s="183"/>
      <c r="AA34" s="183"/>
      <c r="AB34" s="183"/>
      <c r="AC34" s="183"/>
      <c r="AD34" s="183"/>
      <c r="AE34" s="183"/>
      <c r="AF34" s="183"/>
      <c r="AG34" s="183"/>
      <c r="AH34" s="183"/>
    </row>
    <row r="35" spans="2:34" x14ac:dyDescent="0.3">
      <c r="B35" s="114" t="str">
        <f t="shared" si="2"/>
        <v/>
      </c>
      <c r="C35" s="187"/>
      <c r="D35" s="202"/>
      <c r="E35" s="202"/>
      <c r="F35" s="182"/>
      <c r="G35" s="203"/>
      <c r="H35" s="203"/>
      <c r="I35" s="203"/>
      <c r="J35" s="203"/>
      <c r="K35" s="203"/>
      <c r="L35" s="440">
        <f>IF(H35&gt;G35,(I35+J35-K35)*Conversions!$C$4,(G35-H35+I35+J35-K35)*Conversions!$C$4)</f>
        <v>0</v>
      </c>
      <c r="M35" s="487">
        <f t="shared" si="1"/>
        <v>0</v>
      </c>
      <c r="N35" s="436">
        <f>'Emissions Database'!BS65</f>
        <v>0</v>
      </c>
      <c r="O35" s="183"/>
      <c r="P35" s="183"/>
      <c r="Q35" s="183"/>
      <c r="R35" s="183"/>
      <c r="S35" s="183"/>
      <c r="T35" s="183"/>
      <c r="U35" s="183"/>
      <c r="V35" s="183"/>
      <c r="W35" s="183"/>
      <c r="X35" s="183"/>
      <c r="Y35" s="183"/>
      <c r="Z35" s="183"/>
      <c r="AA35" s="183"/>
      <c r="AB35" s="183"/>
      <c r="AC35" s="183"/>
      <c r="AD35" s="183"/>
      <c r="AE35" s="183"/>
      <c r="AF35" s="183"/>
      <c r="AG35" s="183"/>
      <c r="AH35" s="183"/>
    </row>
    <row r="36" spans="2:34" x14ac:dyDescent="0.3">
      <c r="B36" s="114" t="str">
        <f t="shared" si="2"/>
        <v/>
      </c>
      <c r="C36" s="187"/>
      <c r="D36" s="202"/>
      <c r="E36" s="202"/>
      <c r="F36" s="182"/>
      <c r="G36" s="203"/>
      <c r="H36" s="203"/>
      <c r="I36" s="203"/>
      <c r="J36" s="203"/>
      <c r="K36" s="203"/>
      <c r="L36" s="440">
        <f>IF(H36&gt;G36,(I36+J36-K36)*Conversions!$C$4,(G36-H36+I36+J36-K36)*Conversions!$C$4)</f>
        <v>0</v>
      </c>
      <c r="M36" s="487">
        <f t="shared" si="1"/>
        <v>0</v>
      </c>
      <c r="N36" s="436">
        <f>'Emissions Database'!BS66</f>
        <v>0</v>
      </c>
      <c r="O36" s="183"/>
      <c r="P36" s="183"/>
      <c r="Q36" s="183"/>
      <c r="R36" s="183"/>
      <c r="S36" s="183"/>
      <c r="T36" s="183"/>
      <c r="U36" s="183"/>
      <c r="V36" s="183"/>
      <c r="W36" s="183"/>
      <c r="X36" s="183"/>
      <c r="Y36" s="183"/>
      <c r="Z36" s="183"/>
      <c r="AA36" s="183"/>
      <c r="AB36" s="183"/>
      <c r="AC36" s="183"/>
      <c r="AD36" s="183"/>
      <c r="AE36" s="183"/>
      <c r="AF36" s="183"/>
      <c r="AG36" s="183"/>
      <c r="AH36" s="183"/>
    </row>
    <row r="37" spans="2:34" x14ac:dyDescent="0.3">
      <c r="B37" s="114" t="str">
        <f t="shared" si="2"/>
        <v/>
      </c>
      <c r="C37" s="187"/>
      <c r="D37" s="202"/>
      <c r="E37" s="202"/>
      <c r="F37" s="182"/>
      <c r="G37" s="203"/>
      <c r="H37" s="203"/>
      <c r="I37" s="203"/>
      <c r="J37" s="203"/>
      <c r="K37" s="203"/>
      <c r="L37" s="440">
        <f>IF(H37&gt;G37,(I37+J37-K37)*Conversions!$C$4,(G37-H37+I37+J37-K37)*Conversions!$C$4)</f>
        <v>0</v>
      </c>
      <c r="M37" s="487">
        <f t="shared" si="1"/>
        <v>0</v>
      </c>
      <c r="N37" s="436">
        <f>'Emissions Database'!BS67</f>
        <v>0</v>
      </c>
      <c r="O37" s="183"/>
      <c r="P37" s="183"/>
      <c r="Q37" s="183"/>
      <c r="R37" s="183"/>
      <c r="S37" s="183"/>
      <c r="T37" s="183"/>
      <c r="U37" s="183"/>
      <c r="V37" s="183"/>
      <c r="W37" s="183"/>
      <c r="X37" s="183"/>
      <c r="Y37" s="183"/>
      <c r="Z37" s="183"/>
      <c r="AA37" s="183"/>
      <c r="AB37" s="183"/>
      <c r="AC37" s="183"/>
      <c r="AD37" s="183"/>
      <c r="AE37" s="183"/>
      <c r="AF37" s="183"/>
      <c r="AG37" s="183"/>
      <c r="AH37" s="183"/>
    </row>
    <row r="38" spans="2:34" x14ac:dyDescent="0.3">
      <c r="B38" s="114" t="str">
        <f t="shared" si="2"/>
        <v/>
      </c>
      <c r="C38" s="187"/>
      <c r="D38" s="202"/>
      <c r="E38" s="202"/>
      <c r="F38" s="182"/>
      <c r="G38" s="203"/>
      <c r="H38" s="203"/>
      <c r="I38" s="203"/>
      <c r="J38" s="203"/>
      <c r="K38" s="203"/>
      <c r="L38" s="440">
        <f>IF(H38&gt;G38,(I38+J38-K38)*Conversions!$C$4,(G38-H38+I38+J38-K38)*Conversions!$C$4)</f>
        <v>0</v>
      </c>
      <c r="M38" s="487">
        <f t="shared" si="1"/>
        <v>0</v>
      </c>
      <c r="N38" s="436">
        <f>'Emissions Database'!BS68</f>
        <v>0</v>
      </c>
      <c r="O38" s="183"/>
      <c r="P38" s="183"/>
      <c r="Q38" s="183"/>
      <c r="R38" s="183"/>
      <c r="S38" s="183"/>
      <c r="T38" s="183"/>
      <c r="U38" s="183"/>
      <c r="V38" s="183"/>
      <c r="W38" s="183"/>
      <c r="X38" s="183"/>
      <c r="Y38" s="183"/>
      <c r="Z38" s="183"/>
      <c r="AA38" s="183"/>
      <c r="AB38" s="183"/>
      <c r="AC38" s="183"/>
      <c r="AD38" s="183"/>
      <c r="AE38" s="183"/>
      <c r="AF38" s="183"/>
      <c r="AG38" s="183"/>
      <c r="AH38" s="183"/>
    </row>
    <row r="39" spans="2:34" x14ac:dyDescent="0.3">
      <c r="B39" s="114" t="str">
        <f t="shared" si="2"/>
        <v/>
      </c>
      <c r="C39" s="187"/>
      <c r="D39" s="202"/>
      <c r="E39" s="202"/>
      <c r="F39" s="182"/>
      <c r="G39" s="203"/>
      <c r="H39" s="203"/>
      <c r="I39" s="203"/>
      <c r="J39" s="203"/>
      <c r="K39" s="203"/>
      <c r="L39" s="440">
        <f>IF(H39&gt;G39,(I39+J39-K39)*Conversions!$C$4,(G39-H39+I39+J39-K39)*Conversions!$C$4)</f>
        <v>0</v>
      </c>
      <c r="M39" s="487">
        <f t="shared" si="1"/>
        <v>0</v>
      </c>
      <c r="N39" s="436">
        <f>'Emissions Database'!BS69</f>
        <v>0</v>
      </c>
      <c r="O39" s="183"/>
      <c r="P39" s="183"/>
      <c r="Q39" s="183"/>
      <c r="R39" s="183"/>
      <c r="S39" s="183"/>
      <c r="T39" s="183"/>
      <c r="U39" s="183"/>
      <c r="V39" s="183"/>
      <c r="W39" s="183"/>
      <c r="X39" s="183"/>
      <c r="Y39" s="183"/>
      <c r="Z39" s="183"/>
      <c r="AA39" s="183"/>
      <c r="AB39" s="183"/>
      <c r="AC39" s="183"/>
      <c r="AD39" s="183"/>
      <c r="AE39" s="183"/>
      <c r="AF39" s="183"/>
      <c r="AG39" s="183"/>
      <c r="AH39" s="183"/>
    </row>
    <row r="40" spans="2:34" x14ac:dyDescent="0.3">
      <c r="B40" s="114" t="str">
        <f t="shared" si="2"/>
        <v/>
      </c>
      <c r="C40" s="187"/>
      <c r="D40" s="202"/>
      <c r="E40" s="202"/>
      <c r="F40" s="182"/>
      <c r="G40" s="203"/>
      <c r="H40" s="203"/>
      <c r="I40" s="203"/>
      <c r="J40" s="203"/>
      <c r="K40" s="203"/>
      <c r="L40" s="440">
        <f>IF(H40&gt;G40,(I40+J40-K40)*Conversions!$C$4,(G40-H40+I40+J40-K40)*Conversions!$C$4)</f>
        <v>0</v>
      </c>
      <c r="M40" s="487">
        <f t="shared" si="1"/>
        <v>0</v>
      </c>
      <c r="N40" s="436">
        <f>'Emissions Database'!BS70</f>
        <v>0</v>
      </c>
      <c r="O40" s="183"/>
      <c r="P40" s="183"/>
      <c r="Q40" s="183"/>
      <c r="R40" s="183"/>
      <c r="S40" s="183"/>
      <c r="T40" s="183"/>
      <c r="U40" s="183"/>
      <c r="V40" s="183"/>
      <c r="W40" s="183"/>
      <c r="X40" s="183"/>
      <c r="Y40" s="183"/>
      <c r="Z40" s="183"/>
      <c r="AA40" s="183"/>
      <c r="AB40" s="183"/>
      <c r="AC40" s="183"/>
      <c r="AD40" s="183"/>
      <c r="AE40" s="183"/>
      <c r="AF40" s="183"/>
      <c r="AG40" s="183"/>
      <c r="AH40" s="183"/>
    </row>
    <row r="41" spans="2:34" x14ac:dyDescent="0.3">
      <c r="B41" s="114" t="str">
        <f t="shared" si="2"/>
        <v/>
      </c>
      <c r="C41" s="187"/>
      <c r="D41" s="202"/>
      <c r="E41" s="202"/>
      <c r="F41" s="182"/>
      <c r="G41" s="203"/>
      <c r="H41" s="203"/>
      <c r="I41" s="203"/>
      <c r="J41" s="203"/>
      <c r="K41" s="203"/>
      <c r="L41" s="440">
        <f>IF(H41&gt;G41,(I41+J41-K41)*Conversions!$C$4,(G41-H41+I41+J41-K41)*Conversions!$C$4)</f>
        <v>0</v>
      </c>
      <c r="M41" s="487">
        <f t="shared" si="1"/>
        <v>0</v>
      </c>
      <c r="N41" s="436">
        <f>'Emissions Database'!BS71</f>
        <v>0</v>
      </c>
      <c r="O41" s="183"/>
      <c r="P41" s="183"/>
      <c r="Q41" s="183"/>
      <c r="R41" s="183"/>
      <c r="S41" s="183"/>
      <c r="T41" s="183"/>
      <c r="U41" s="183"/>
      <c r="V41" s="183"/>
      <c r="W41" s="183"/>
      <c r="X41" s="183"/>
      <c r="Y41" s="183"/>
      <c r="Z41" s="183"/>
      <c r="AA41" s="183"/>
      <c r="AB41" s="183"/>
      <c r="AC41" s="183"/>
      <c r="AD41" s="183"/>
      <c r="AE41" s="183"/>
      <c r="AF41" s="183"/>
      <c r="AG41" s="183"/>
      <c r="AH41" s="183"/>
    </row>
    <row r="42" spans="2:34" x14ac:dyDescent="0.3">
      <c r="B42" s="114" t="str">
        <f t="shared" si="2"/>
        <v/>
      </c>
      <c r="C42" s="187"/>
      <c r="D42" s="202"/>
      <c r="E42" s="202"/>
      <c r="F42" s="182"/>
      <c r="G42" s="203"/>
      <c r="H42" s="203"/>
      <c r="I42" s="203"/>
      <c r="J42" s="203"/>
      <c r="K42" s="203"/>
      <c r="L42" s="440">
        <f>IF(H42&gt;G42,(I42+J42-K42)*Conversions!$C$4,(G42-H42+I42+J42-K42)*Conversions!$C$4)</f>
        <v>0</v>
      </c>
      <c r="M42" s="487">
        <f t="shared" si="1"/>
        <v>0</v>
      </c>
      <c r="N42" s="436">
        <f>'Emissions Database'!BS72</f>
        <v>0</v>
      </c>
      <c r="O42" s="183"/>
      <c r="P42" s="183"/>
      <c r="Q42" s="183"/>
      <c r="R42" s="183"/>
      <c r="S42" s="183"/>
      <c r="T42" s="183"/>
      <c r="U42" s="183"/>
      <c r="V42" s="183"/>
      <c r="W42" s="183"/>
      <c r="X42" s="183"/>
      <c r="Y42" s="183"/>
      <c r="Z42" s="183"/>
      <c r="AA42" s="183"/>
      <c r="AB42" s="183"/>
      <c r="AC42" s="183"/>
      <c r="AD42" s="183"/>
      <c r="AE42" s="183"/>
      <c r="AF42" s="183"/>
      <c r="AG42" s="183"/>
      <c r="AH42" s="183"/>
    </row>
    <row r="43" spans="2:34" x14ac:dyDescent="0.3">
      <c r="B43" s="114" t="str">
        <f t="shared" si="2"/>
        <v/>
      </c>
      <c r="C43" s="187"/>
      <c r="D43" s="202"/>
      <c r="E43" s="202"/>
      <c r="F43" s="182"/>
      <c r="G43" s="203"/>
      <c r="H43" s="203"/>
      <c r="I43" s="203"/>
      <c r="J43" s="203"/>
      <c r="K43" s="203"/>
      <c r="L43" s="440">
        <f>IF(H43&gt;G43,(I43+J43-K43)*Conversions!$C$4,(G43-H43+I43+J43-K43)*Conversions!$C$4)</f>
        <v>0</v>
      </c>
      <c r="M43" s="487">
        <f t="shared" si="1"/>
        <v>0</v>
      </c>
      <c r="N43" s="436">
        <f>'Emissions Database'!BS73</f>
        <v>0</v>
      </c>
      <c r="O43" s="183"/>
      <c r="P43" s="183"/>
      <c r="Q43" s="183"/>
      <c r="R43" s="183"/>
      <c r="S43" s="183"/>
      <c r="T43" s="183"/>
      <c r="U43" s="183"/>
      <c r="V43" s="183"/>
      <c r="W43" s="183"/>
      <c r="X43" s="183"/>
      <c r="Y43" s="183"/>
      <c r="Z43" s="183"/>
      <c r="AA43" s="183"/>
      <c r="AB43" s="183"/>
      <c r="AC43" s="183"/>
      <c r="AD43" s="183"/>
      <c r="AE43" s="183"/>
      <c r="AF43" s="183"/>
      <c r="AG43" s="183"/>
      <c r="AH43" s="183"/>
    </row>
    <row r="44" spans="2:34" x14ac:dyDescent="0.3">
      <c r="B44" s="114" t="str">
        <f t="shared" si="2"/>
        <v/>
      </c>
      <c r="C44" s="187"/>
      <c r="D44" s="202"/>
      <c r="E44" s="202"/>
      <c r="F44" s="182"/>
      <c r="G44" s="203"/>
      <c r="H44" s="203"/>
      <c r="I44" s="203"/>
      <c r="J44" s="203"/>
      <c r="K44" s="203"/>
      <c r="L44" s="440">
        <f>IF(H44&gt;G44,(I44+J44-K44)*Conversions!$C$4,(G44-H44+I44+J44-K44)*Conversions!$C$4)</f>
        <v>0</v>
      </c>
      <c r="M44" s="487">
        <f t="shared" si="1"/>
        <v>0</v>
      </c>
      <c r="N44" s="436">
        <f>'Emissions Database'!BS74</f>
        <v>0</v>
      </c>
      <c r="O44" s="183"/>
      <c r="P44" s="183"/>
      <c r="Q44" s="183"/>
      <c r="R44" s="183"/>
      <c r="S44" s="183"/>
      <c r="T44" s="183"/>
      <c r="U44" s="183"/>
      <c r="V44" s="183"/>
      <c r="W44" s="183"/>
      <c r="X44" s="183"/>
      <c r="Y44" s="183"/>
      <c r="Z44" s="183"/>
      <c r="AA44" s="183"/>
      <c r="AB44" s="183"/>
      <c r="AC44" s="183"/>
      <c r="AD44" s="183"/>
      <c r="AE44" s="183"/>
      <c r="AF44" s="183"/>
      <c r="AG44" s="183"/>
      <c r="AH44" s="183"/>
    </row>
    <row r="45" spans="2:34" x14ac:dyDescent="0.3">
      <c r="B45" s="114" t="str">
        <f t="shared" si="2"/>
        <v/>
      </c>
      <c r="C45" s="187"/>
      <c r="D45" s="202"/>
      <c r="E45" s="202"/>
      <c r="F45" s="182"/>
      <c r="G45" s="203"/>
      <c r="H45" s="203"/>
      <c r="I45" s="203"/>
      <c r="J45" s="203"/>
      <c r="K45" s="203"/>
      <c r="L45" s="440">
        <f>IF(H45&gt;G45,(I45+J45-K45)*Conversions!$C$4,(G45-H45+I45+J45-K45)*Conversions!$C$4)</f>
        <v>0</v>
      </c>
      <c r="M45" s="487">
        <f t="shared" si="1"/>
        <v>0</v>
      </c>
      <c r="N45" s="436">
        <f>'Emissions Database'!BS75</f>
        <v>0</v>
      </c>
      <c r="O45" s="183"/>
      <c r="P45" s="183"/>
      <c r="Q45" s="183"/>
      <c r="R45" s="183"/>
      <c r="S45" s="183"/>
      <c r="T45" s="183"/>
      <c r="U45" s="183"/>
      <c r="V45" s="183"/>
      <c r="W45" s="183"/>
      <c r="X45" s="183"/>
      <c r="Y45" s="183"/>
      <c r="Z45" s="183"/>
      <c r="AA45" s="183"/>
      <c r="AB45" s="183"/>
      <c r="AC45" s="183"/>
      <c r="AD45" s="183"/>
      <c r="AE45" s="183"/>
      <c r="AF45" s="183"/>
      <c r="AG45" s="183"/>
      <c r="AH45" s="183"/>
    </row>
    <row r="46" spans="2:34" x14ac:dyDescent="0.3">
      <c r="B46" s="114" t="str">
        <f t="shared" si="2"/>
        <v/>
      </c>
      <c r="C46" s="187"/>
      <c r="D46" s="202"/>
      <c r="E46" s="202"/>
      <c r="F46" s="182"/>
      <c r="G46" s="203"/>
      <c r="H46" s="203"/>
      <c r="I46" s="203"/>
      <c r="J46" s="203"/>
      <c r="K46" s="203"/>
      <c r="L46" s="440">
        <f>IF(H46&gt;G46,(I46+J46-K46)*Conversions!$C$4,(G46-H46+I46+J46-K46)*Conversions!$C$4)</f>
        <v>0</v>
      </c>
      <c r="M46" s="487">
        <f t="shared" si="1"/>
        <v>0</v>
      </c>
      <c r="N46" s="436">
        <f>'Emissions Database'!BS76</f>
        <v>0</v>
      </c>
      <c r="O46" s="183"/>
      <c r="P46" s="183"/>
      <c r="Q46" s="183"/>
      <c r="R46" s="183"/>
      <c r="S46" s="183"/>
      <c r="T46" s="183"/>
      <c r="U46" s="183"/>
      <c r="V46" s="183"/>
      <c r="W46" s="183"/>
      <c r="X46" s="183"/>
      <c r="Y46" s="183"/>
      <c r="Z46" s="183"/>
      <c r="AA46" s="183"/>
      <c r="AB46" s="183"/>
      <c r="AC46" s="183"/>
      <c r="AD46" s="183"/>
      <c r="AE46" s="183"/>
      <c r="AF46" s="183"/>
      <c r="AG46" s="183"/>
      <c r="AH46" s="183"/>
    </row>
    <row r="47" spans="2:34" x14ac:dyDescent="0.3">
      <c r="B47" s="114" t="str">
        <f t="shared" si="2"/>
        <v/>
      </c>
      <c r="C47" s="187"/>
      <c r="D47" s="202"/>
      <c r="E47" s="202"/>
      <c r="F47" s="182"/>
      <c r="G47" s="203"/>
      <c r="H47" s="203"/>
      <c r="I47" s="203"/>
      <c r="J47" s="203"/>
      <c r="K47" s="203"/>
      <c r="L47" s="440">
        <f>IF(H47&gt;G47,(I47+J47-K47)*Conversions!$C$4,(G47-H47+I47+J47-K47)*Conversions!$C$4)</f>
        <v>0</v>
      </c>
      <c r="M47" s="487">
        <f t="shared" si="1"/>
        <v>0</v>
      </c>
      <c r="N47" s="436">
        <f>'Emissions Database'!BS77</f>
        <v>0</v>
      </c>
      <c r="O47" s="183"/>
      <c r="P47" s="183"/>
      <c r="Q47" s="183"/>
      <c r="R47" s="183"/>
      <c r="S47" s="183"/>
      <c r="T47" s="183"/>
      <c r="U47" s="183"/>
      <c r="V47" s="183"/>
      <c r="W47" s="183"/>
      <c r="X47" s="183"/>
      <c r="Y47" s="183"/>
      <c r="Z47" s="183"/>
      <c r="AA47" s="183"/>
      <c r="AB47" s="183"/>
      <c r="AC47" s="183"/>
      <c r="AD47" s="183"/>
      <c r="AE47" s="183"/>
      <c r="AF47" s="183"/>
      <c r="AG47" s="183"/>
      <c r="AH47" s="183"/>
    </row>
    <row r="48" spans="2:34" x14ac:dyDescent="0.3">
      <c r="B48" s="114" t="str">
        <f t="shared" si="2"/>
        <v/>
      </c>
      <c r="C48" s="187"/>
      <c r="D48" s="202"/>
      <c r="E48" s="202"/>
      <c r="F48" s="182"/>
      <c r="G48" s="203"/>
      <c r="H48" s="203"/>
      <c r="I48" s="203"/>
      <c r="J48" s="203"/>
      <c r="K48" s="203"/>
      <c r="L48" s="440">
        <f>IF(H48&gt;G48,(I48+J48-K48)*Conversions!$C$4,(G48-H48+I48+J48-K48)*Conversions!$C$4)</f>
        <v>0</v>
      </c>
      <c r="M48" s="487">
        <f t="shared" si="1"/>
        <v>0</v>
      </c>
      <c r="N48" s="436">
        <f>'Emissions Database'!BS78</f>
        <v>0</v>
      </c>
      <c r="O48" s="183"/>
      <c r="P48" s="183"/>
      <c r="Q48" s="183"/>
      <c r="R48" s="183"/>
      <c r="S48" s="183"/>
      <c r="T48" s="183"/>
      <c r="U48" s="183"/>
      <c r="V48" s="183"/>
      <c r="W48" s="183"/>
      <c r="X48" s="183"/>
      <c r="Y48" s="183"/>
      <c r="Z48" s="183"/>
      <c r="AA48" s="183"/>
      <c r="AB48" s="183"/>
      <c r="AC48" s="183"/>
      <c r="AD48" s="183"/>
      <c r="AE48" s="183"/>
      <c r="AF48" s="183"/>
      <c r="AG48" s="183"/>
      <c r="AH48" s="183"/>
    </row>
    <row r="49" spans="1:34" x14ac:dyDescent="0.3">
      <c r="B49" s="114" t="str">
        <f t="shared" si="2"/>
        <v/>
      </c>
      <c r="C49" s="187"/>
      <c r="D49" s="202"/>
      <c r="E49" s="202"/>
      <c r="F49" s="182"/>
      <c r="G49" s="203"/>
      <c r="H49" s="203"/>
      <c r="I49" s="203"/>
      <c r="J49" s="203"/>
      <c r="K49" s="203"/>
      <c r="L49" s="440">
        <f>IF(H49&gt;G49,(I49+J49-K49)*Conversions!$C$4,(G49-H49+I49+J49-K49)*Conversions!$C$4)</f>
        <v>0</v>
      </c>
      <c r="M49" s="487">
        <f t="shared" si="1"/>
        <v>0</v>
      </c>
      <c r="N49" s="436">
        <f>'Emissions Database'!BS79</f>
        <v>0</v>
      </c>
      <c r="O49" s="183"/>
      <c r="P49" s="183"/>
      <c r="Q49" s="183"/>
      <c r="R49" s="183"/>
      <c r="S49" s="183"/>
      <c r="T49" s="183"/>
      <c r="U49" s="183"/>
      <c r="V49" s="183"/>
      <c r="W49" s="183"/>
      <c r="X49" s="183"/>
      <c r="Y49" s="183"/>
      <c r="Z49" s="183"/>
      <c r="AA49" s="183"/>
      <c r="AB49" s="183"/>
      <c r="AC49" s="183"/>
      <c r="AD49" s="183"/>
      <c r="AE49" s="183"/>
      <c r="AF49" s="183"/>
      <c r="AG49" s="183"/>
      <c r="AH49" s="183"/>
    </row>
    <row r="50" spans="1:34" x14ac:dyDescent="0.3">
      <c r="B50" s="114" t="str">
        <f t="shared" si="2"/>
        <v/>
      </c>
      <c r="C50" s="187"/>
      <c r="D50" s="202"/>
      <c r="E50" s="202"/>
      <c r="F50" s="182"/>
      <c r="G50" s="203"/>
      <c r="H50" s="203"/>
      <c r="I50" s="203"/>
      <c r="J50" s="203"/>
      <c r="K50" s="203"/>
      <c r="L50" s="440">
        <f>IF(H50&gt;G50,(I50+J50-K50)*Conversions!$C$4,(G50-H50+I50+J50-K50)*Conversions!$C$4)</f>
        <v>0</v>
      </c>
      <c r="M50" s="487">
        <f t="shared" si="1"/>
        <v>0</v>
      </c>
      <c r="N50" s="436">
        <f>'Emissions Database'!BS80</f>
        <v>0</v>
      </c>
      <c r="O50" s="183"/>
      <c r="P50" s="183"/>
      <c r="Q50" s="183"/>
      <c r="R50" s="183"/>
      <c r="S50" s="183"/>
      <c r="T50" s="183"/>
      <c r="U50" s="183"/>
      <c r="V50" s="183"/>
      <c r="W50" s="183"/>
      <c r="X50" s="183"/>
      <c r="Y50" s="183"/>
      <c r="Z50" s="183"/>
      <c r="AA50" s="183"/>
      <c r="AB50" s="183"/>
      <c r="AC50" s="183"/>
      <c r="AD50" s="183"/>
      <c r="AE50" s="183"/>
      <c r="AF50" s="183"/>
      <c r="AG50" s="183"/>
      <c r="AH50" s="183"/>
    </row>
    <row r="51" spans="1:34" x14ac:dyDescent="0.3">
      <c r="B51" s="114" t="str">
        <f t="shared" si="2"/>
        <v/>
      </c>
      <c r="C51" s="187"/>
      <c r="D51" s="202"/>
      <c r="E51" s="202"/>
      <c r="F51" s="182"/>
      <c r="G51" s="203"/>
      <c r="H51" s="203"/>
      <c r="I51" s="203"/>
      <c r="J51" s="203"/>
      <c r="K51" s="203"/>
      <c r="L51" s="440">
        <f>IF(H51&gt;G51,(I51+J51-K51)*Conversions!$C$4,(G51-H51+I51+J51-K51)*Conversions!$C$4)</f>
        <v>0</v>
      </c>
      <c r="M51" s="487">
        <f t="shared" si="1"/>
        <v>0</v>
      </c>
      <c r="N51" s="436">
        <f>'Emissions Database'!BS81</f>
        <v>0</v>
      </c>
      <c r="O51" s="183"/>
      <c r="P51" s="183"/>
      <c r="Q51" s="183"/>
      <c r="R51" s="183"/>
      <c r="S51" s="183"/>
      <c r="T51" s="183"/>
      <c r="U51" s="183"/>
      <c r="V51" s="183"/>
      <c r="W51" s="183"/>
      <c r="X51" s="183"/>
      <c r="Y51" s="183"/>
      <c r="Z51" s="183"/>
      <c r="AA51" s="183"/>
      <c r="AB51" s="183"/>
      <c r="AC51" s="183"/>
      <c r="AD51" s="183"/>
      <c r="AE51" s="183"/>
      <c r="AF51" s="183"/>
      <c r="AG51" s="183"/>
      <c r="AH51" s="183"/>
    </row>
    <row r="52" spans="1:34" x14ac:dyDescent="0.3">
      <c r="B52" s="114" t="str">
        <f t="shared" si="2"/>
        <v/>
      </c>
      <c r="C52" s="187"/>
      <c r="D52" s="202"/>
      <c r="E52" s="202"/>
      <c r="F52" s="182"/>
      <c r="G52" s="203"/>
      <c r="H52" s="203"/>
      <c r="I52" s="203"/>
      <c r="J52" s="203"/>
      <c r="K52" s="203"/>
      <c r="L52" s="440">
        <f>IF(H52&gt;G52,(I52+J52-K52)*Conversions!$C$4,(G52-H52+I52+J52-K52)*Conversions!$C$4)</f>
        <v>0</v>
      </c>
      <c r="M52" s="487">
        <f t="shared" si="1"/>
        <v>0</v>
      </c>
      <c r="N52" s="436">
        <f>'Emissions Database'!BS82</f>
        <v>0</v>
      </c>
      <c r="O52" s="183"/>
      <c r="P52" s="183"/>
      <c r="Q52" s="183"/>
      <c r="R52" s="183"/>
      <c r="S52" s="183"/>
      <c r="T52" s="183"/>
      <c r="U52" s="183"/>
      <c r="V52" s="183"/>
      <c r="W52" s="183"/>
      <c r="X52" s="183"/>
      <c r="Y52" s="183"/>
      <c r="Z52" s="183"/>
      <c r="AA52" s="183"/>
      <c r="AB52" s="183"/>
      <c r="AC52" s="183"/>
      <c r="AD52" s="183"/>
      <c r="AE52" s="183"/>
      <c r="AF52" s="183"/>
      <c r="AG52" s="183"/>
      <c r="AH52" s="183"/>
    </row>
    <row r="53" spans="1:34" ht="15" thickBot="1" x14ac:dyDescent="0.35">
      <c r="B53" s="114" t="str">
        <f t="shared" si="2"/>
        <v/>
      </c>
      <c r="C53" s="187"/>
      <c r="D53" s="202"/>
      <c r="E53" s="202"/>
      <c r="F53" s="204"/>
      <c r="G53" s="203"/>
      <c r="H53" s="205"/>
      <c r="I53" s="205"/>
      <c r="J53" s="205"/>
      <c r="K53" s="203"/>
      <c r="L53" s="441">
        <f>IF(H53&gt;G53,(I53+J53-K53)*Conversions!$C$4,(G53-H53+I53+J53-K53)*Conversions!$C$4)</f>
        <v>0</v>
      </c>
      <c r="M53" s="488">
        <f t="shared" si="1"/>
        <v>0</v>
      </c>
      <c r="N53" s="437">
        <f>'Emissions Database'!BS83</f>
        <v>0</v>
      </c>
      <c r="O53" s="183"/>
      <c r="P53" s="183"/>
      <c r="Q53" s="183"/>
      <c r="R53" s="183"/>
      <c r="S53" s="183"/>
      <c r="T53" s="183"/>
      <c r="U53" s="183"/>
      <c r="V53" s="183"/>
      <c r="W53" s="183"/>
      <c r="X53" s="183"/>
      <c r="Y53" s="183"/>
      <c r="Z53" s="183"/>
      <c r="AA53" s="183"/>
      <c r="AB53" s="183"/>
      <c r="AC53" s="183"/>
      <c r="AD53" s="183"/>
      <c r="AE53" s="183"/>
      <c r="AF53" s="183"/>
      <c r="AG53" s="183"/>
      <c r="AH53" s="183"/>
    </row>
    <row r="54" spans="1:34" ht="15" thickBot="1" x14ac:dyDescent="0.35">
      <c r="B54" s="119"/>
      <c r="C54" s="108" t="s">
        <v>322</v>
      </c>
      <c r="D54" s="109"/>
      <c r="E54" s="109"/>
      <c r="F54" s="109"/>
      <c r="G54" s="109"/>
      <c r="H54" s="109"/>
      <c r="I54" s="109"/>
      <c r="J54" s="109"/>
      <c r="K54" s="109"/>
      <c r="L54" s="442">
        <f>SUM(L14:L53)</f>
        <v>0</v>
      </c>
      <c r="M54" s="494">
        <f>SUM(M14:M53)</f>
        <v>0</v>
      </c>
      <c r="N54" s="495">
        <f>SUM(N14:N53)</f>
        <v>0</v>
      </c>
      <c r="O54" s="183"/>
      <c r="P54" s="183"/>
      <c r="Q54" s="183"/>
      <c r="R54" s="183"/>
      <c r="S54" s="183"/>
      <c r="T54" s="183"/>
      <c r="U54" s="183"/>
      <c r="V54" s="183"/>
      <c r="W54" s="183"/>
      <c r="X54" s="183"/>
      <c r="Y54" s="183"/>
      <c r="Z54" s="183"/>
      <c r="AA54" s="183"/>
      <c r="AB54" s="183"/>
      <c r="AC54" s="183"/>
      <c r="AD54" s="183"/>
      <c r="AE54" s="183"/>
      <c r="AF54" s="183"/>
      <c r="AG54" s="183"/>
      <c r="AH54" s="183"/>
    </row>
    <row r="55" spans="1:34" x14ac:dyDescent="0.3">
      <c r="A55" s="183"/>
      <c r="B55" s="183"/>
      <c r="C55" s="183"/>
      <c r="D55" s="183"/>
      <c r="E55" s="183"/>
      <c r="F55" s="183"/>
      <c r="G55" s="183"/>
      <c r="H55" s="183"/>
      <c r="I55" s="183"/>
      <c r="J55" s="183"/>
      <c r="K55" s="183"/>
      <c r="L55" s="183"/>
      <c r="M55" s="183"/>
      <c r="N55" s="183"/>
      <c r="O55" s="183"/>
      <c r="P55" s="183"/>
      <c r="Q55" s="183"/>
      <c r="R55" s="183"/>
      <c r="S55" s="183"/>
      <c r="T55" s="183"/>
      <c r="U55" s="183"/>
      <c r="V55" s="183"/>
      <c r="W55" s="183"/>
      <c r="X55" s="183"/>
      <c r="Y55" s="183"/>
    </row>
    <row r="56" spans="1:34" x14ac:dyDescent="0.3">
      <c r="A56" s="183"/>
      <c r="B56" s="183"/>
      <c r="C56" s="183"/>
      <c r="D56" s="183"/>
      <c r="E56" s="183"/>
      <c r="F56" s="183"/>
      <c r="G56" s="183"/>
      <c r="H56" s="183"/>
      <c r="I56" s="183"/>
      <c r="J56" s="183"/>
      <c r="K56" s="183"/>
      <c r="L56" s="183"/>
      <c r="M56" s="183"/>
      <c r="N56" s="183"/>
      <c r="O56" s="183"/>
      <c r="P56" s="183"/>
      <c r="Q56" s="183"/>
      <c r="R56" s="183"/>
      <c r="S56" s="183"/>
      <c r="T56" s="183"/>
      <c r="U56" s="183"/>
      <c r="V56" s="183"/>
      <c r="W56" s="183"/>
      <c r="X56" s="183"/>
      <c r="Y56" s="183"/>
    </row>
    <row r="57" spans="1:34" x14ac:dyDescent="0.3">
      <c r="A57" s="183"/>
      <c r="B57" s="183"/>
      <c r="C57" s="183"/>
      <c r="D57" s="183"/>
      <c r="E57" s="183"/>
      <c r="F57" s="183"/>
      <c r="G57" s="183"/>
      <c r="H57" s="183"/>
      <c r="I57" s="183"/>
      <c r="J57" s="183"/>
      <c r="K57" s="183"/>
      <c r="L57" s="183"/>
      <c r="M57" s="183"/>
      <c r="N57" s="183"/>
      <c r="O57" s="183"/>
      <c r="P57" s="183"/>
      <c r="Q57" s="183"/>
      <c r="R57" s="183"/>
      <c r="S57" s="183"/>
      <c r="T57" s="183"/>
      <c r="U57" s="183"/>
      <c r="V57" s="183"/>
      <c r="W57" s="183"/>
      <c r="X57" s="183"/>
      <c r="Y57" s="183"/>
    </row>
    <row r="58" spans="1:34" x14ac:dyDescent="0.3">
      <c r="A58" s="183"/>
      <c r="B58" s="183"/>
      <c r="C58" s="183"/>
      <c r="D58" s="183"/>
      <c r="E58" s="183"/>
      <c r="F58" s="183"/>
      <c r="G58" s="183"/>
      <c r="H58" s="183"/>
      <c r="I58" s="183"/>
      <c r="J58" s="183"/>
      <c r="K58" s="183"/>
      <c r="L58" s="183"/>
      <c r="M58" s="183"/>
      <c r="N58" s="183"/>
      <c r="O58" s="183"/>
      <c r="P58" s="183"/>
      <c r="Q58" s="183"/>
      <c r="R58" s="183"/>
      <c r="S58" s="183"/>
      <c r="T58" s="183"/>
      <c r="U58" s="183"/>
      <c r="V58" s="183"/>
      <c r="W58" s="183"/>
      <c r="X58" s="183"/>
      <c r="Y58" s="183"/>
    </row>
    <row r="59" spans="1:34" x14ac:dyDescent="0.3">
      <c r="A59" s="183"/>
      <c r="B59" s="183"/>
      <c r="C59" s="183"/>
      <c r="D59" s="183"/>
      <c r="E59" s="183"/>
      <c r="F59" s="183"/>
      <c r="G59" s="183"/>
      <c r="H59" s="183"/>
      <c r="I59" s="183"/>
      <c r="J59" s="183"/>
      <c r="K59" s="183"/>
      <c r="L59" s="183"/>
      <c r="M59" s="183"/>
      <c r="N59" s="183"/>
      <c r="O59" s="183"/>
      <c r="P59" s="183"/>
      <c r="Q59" s="183"/>
      <c r="R59" s="183"/>
      <c r="S59" s="183"/>
      <c r="T59" s="183"/>
      <c r="U59" s="183"/>
      <c r="V59" s="183"/>
      <c r="W59" s="183"/>
      <c r="X59" s="183"/>
      <c r="Y59" s="183"/>
    </row>
    <row r="60" spans="1:34" x14ac:dyDescent="0.3">
      <c r="A60" s="183"/>
      <c r="B60" s="183"/>
      <c r="C60" s="183"/>
      <c r="D60" s="183"/>
      <c r="E60" s="183"/>
      <c r="F60" s="183"/>
      <c r="G60" s="183"/>
      <c r="H60" s="183"/>
      <c r="I60" s="183"/>
      <c r="J60" s="183"/>
      <c r="K60" s="183"/>
      <c r="L60" s="183"/>
      <c r="M60" s="183"/>
      <c r="N60" s="183"/>
      <c r="O60" s="183"/>
      <c r="P60" s="183"/>
      <c r="Q60" s="183"/>
      <c r="R60" s="183"/>
      <c r="S60" s="183"/>
      <c r="T60" s="183"/>
      <c r="U60" s="183"/>
      <c r="V60" s="183"/>
      <c r="W60" s="183"/>
      <c r="X60" s="183"/>
      <c r="Y60" s="183"/>
    </row>
    <row r="61" spans="1:34" x14ac:dyDescent="0.3">
      <c r="A61" s="183"/>
      <c r="B61" s="183"/>
      <c r="C61" s="183"/>
      <c r="D61" s="183"/>
      <c r="E61" s="183"/>
      <c r="F61" s="183"/>
      <c r="G61" s="183"/>
      <c r="H61" s="183"/>
      <c r="I61" s="183"/>
      <c r="J61" s="183"/>
      <c r="K61" s="183"/>
      <c r="L61" s="183"/>
      <c r="M61" s="183"/>
      <c r="N61" s="183"/>
      <c r="O61" s="183"/>
      <c r="P61" s="183"/>
      <c r="Q61" s="183"/>
      <c r="R61" s="183"/>
      <c r="S61" s="183"/>
      <c r="T61" s="183"/>
      <c r="U61" s="183"/>
      <c r="V61" s="183"/>
      <c r="W61" s="183"/>
      <c r="X61" s="183"/>
      <c r="Y61" s="183"/>
    </row>
    <row r="62" spans="1:34" x14ac:dyDescent="0.3">
      <c r="A62" s="183"/>
      <c r="B62" s="183"/>
      <c r="C62" s="183"/>
      <c r="D62" s="183"/>
      <c r="E62" s="183"/>
      <c r="F62" s="183"/>
      <c r="G62" s="183"/>
      <c r="H62" s="183"/>
      <c r="I62" s="183"/>
      <c r="J62" s="183"/>
      <c r="K62" s="183"/>
      <c r="L62" s="183"/>
      <c r="M62" s="183"/>
      <c r="N62" s="183"/>
      <c r="O62" s="183"/>
      <c r="P62" s="183"/>
      <c r="Q62" s="183"/>
      <c r="R62" s="183"/>
      <c r="S62" s="183"/>
      <c r="T62" s="183"/>
      <c r="U62" s="183"/>
      <c r="V62" s="183"/>
      <c r="W62" s="183"/>
      <c r="X62" s="183"/>
      <c r="Y62" s="183"/>
    </row>
    <row r="63" spans="1:34" x14ac:dyDescent="0.3">
      <c r="A63" s="183"/>
      <c r="B63" s="183"/>
      <c r="C63" s="183"/>
      <c r="D63" s="183"/>
      <c r="E63" s="183"/>
      <c r="F63" s="183"/>
      <c r="G63" s="183"/>
      <c r="H63" s="183"/>
      <c r="I63" s="183"/>
      <c r="J63" s="183"/>
      <c r="K63" s="183"/>
      <c r="L63" s="183"/>
      <c r="M63" s="183"/>
      <c r="N63" s="183"/>
      <c r="O63" s="183"/>
      <c r="P63" s="183"/>
      <c r="Q63" s="183"/>
      <c r="R63" s="183"/>
      <c r="S63" s="183"/>
      <c r="T63" s="183"/>
      <c r="U63" s="183"/>
      <c r="V63" s="183"/>
      <c r="W63" s="183"/>
      <c r="X63" s="183"/>
      <c r="Y63" s="183"/>
    </row>
    <row r="64" spans="1:34" x14ac:dyDescent="0.3">
      <c r="A64" s="183"/>
      <c r="B64" s="183"/>
      <c r="C64" s="183"/>
      <c r="D64" s="183"/>
      <c r="E64" s="183"/>
      <c r="F64" s="183"/>
      <c r="G64" s="183"/>
      <c r="H64" s="183"/>
      <c r="I64" s="183"/>
      <c r="J64" s="183"/>
      <c r="K64" s="183"/>
      <c r="L64" s="183"/>
      <c r="M64" s="183"/>
      <c r="N64" s="183"/>
      <c r="O64" s="183"/>
      <c r="P64" s="183"/>
      <c r="Q64" s="183"/>
      <c r="R64" s="183"/>
      <c r="S64" s="183"/>
      <c r="T64" s="183"/>
      <c r="U64" s="183"/>
      <c r="V64" s="183"/>
      <c r="W64" s="183"/>
      <c r="X64" s="183"/>
      <c r="Y64" s="183"/>
    </row>
    <row r="65" spans="1:25" x14ac:dyDescent="0.3">
      <c r="A65" s="183"/>
      <c r="B65" s="183"/>
      <c r="C65" s="183"/>
      <c r="D65" s="183"/>
      <c r="E65" s="183"/>
      <c r="F65" s="183"/>
      <c r="G65" s="183"/>
      <c r="H65" s="183"/>
      <c r="I65" s="183"/>
      <c r="J65" s="183"/>
      <c r="K65" s="183"/>
      <c r="L65" s="183"/>
      <c r="M65" s="183"/>
      <c r="N65" s="183"/>
      <c r="O65" s="183"/>
      <c r="P65" s="183"/>
      <c r="Q65" s="183"/>
      <c r="R65" s="183"/>
      <c r="S65" s="183"/>
      <c r="T65" s="183"/>
      <c r="U65" s="183"/>
      <c r="V65" s="183"/>
      <c r="W65" s="183"/>
      <c r="X65" s="183"/>
      <c r="Y65" s="183"/>
    </row>
    <row r="66" spans="1:25" x14ac:dyDescent="0.3">
      <c r="A66" s="183"/>
      <c r="B66" s="183"/>
      <c r="C66" s="183"/>
      <c r="D66" s="183"/>
      <c r="E66" s="183"/>
      <c r="F66" s="183"/>
      <c r="G66" s="183"/>
      <c r="H66" s="183"/>
      <c r="I66" s="183"/>
      <c r="J66" s="183"/>
      <c r="K66" s="183"/>
      <c r="L66" s="183"/>
      <c r="M66" s="183"/>
      <c r="N66" s="183"/>
      <c r="O66" s="183"/>
      <c r="P66" s="183"/>
      <c r="Q66" s="183"/>
      <c r="R66" s="183"/>
      <c r="S66" s="183"/>
      <c r="T66" s="183"/>
      <c r="U66" s="183"/>
      <c r="V66" s="183"/>
      <c r="W66" s="183"/>
      <c r="X66" s="183"/>
      <c r="Y66" s="183"/>
    </row>
    <row r="67" spans="1:25" x14ac:dyDescent="0.3">
      <c r="A67" s="183"/>
      <c r="B67" s="183"/>
      <c r="C67" s="183"/>
      <c r="D67" s="183"/>
      <c r="E67" s="183"/>
      <c r="F67" s="183"/>
      <c r="G67" s="183"/>
      <c r="H67" s="183"/>
      <c r="I67" s="183"/>
      <c r="J67" s="183"/>
      <c r="K67" s="183"/>
      <c r="L67" s="183"/>
      <c r="M67" s="183"/>
      <c r="N67" s="183"/>
      <c r="O67" s="183"/>
      <c r="P67" s="183"/>
      <c r="Q67" s="183"/>
      <c r="R67" s="183"/>
      <c r="S67" s="183"/>
      <c r="T67" s="183"/>
      <c r="U67" s="183"/>
      <c r="V67" s="183"/>
      <c r="W67" s="183"/>
      <c r="X67" s="183"/>
      <c r="Y67" s="183"/>
    </row>
    <row r="68" spans="1:25" x14ac:dyDescent="0.3">
      <c r="A68" s="183"/>
      <c r="B68" s="183"/>
      <c r="C68" s="183"/>
      <c r="D68" s="183"/>
      <c r="E68" s="183"/>
      <c r="F68" s="183"/>
      <c r="G68" s="183"/>
      <c r="H68" s="183"/>
      <c r="I68" s="183"/>
      <c r="J68" s="183"/>
      <c r="K68" s="183"/>
      <c r="L68" s="183"/>
      <c r="M68" s="183"/>
      <c r="N68" s="183"/>
      <c r="O68" s="183"/>
      <c r="P68" s="183"/>
      <c r="Q68" s="183"/>
      <c r="R68" s="183"/>
      <c r="S68" s="183"/>
      <c r="T68" s="183"/>
      <c r="U68" s="183"/>
      <c r="V68" s="183"/>
      <c r="W68" s="183"/>
      <c r="X68" s="183"/>
      <c r="Y68" s="183"/>
    </row>
    <row r="69" spans="1:25" x14ac:dyDescent="0.3">
      <c r="A69" s="183"/>
      <c r="B69" s="183"/>
      <c r="C69" s="183"/>
      <c r="D69" s="183"/>
      <c r="E69" s="183"/>
      <c r="F69" s="183"/>
      <c r="G69" s="183"/>
      <c r="H69" s="183"/>
      <c r="I69" s="183"/>
      <c r="J69" s="183"/>
      <c r="K69" s="183"/>
      <c r="L69" s="183"/>
      <c r="M69" s="183"/>
      <c r="N69" s="183"/>
      <c r="O69" s="183"/>
      <c r="P69" s="183"/>
      <c r="Q69" s="183"/>
      <c r="R69" s="183"/>
      <c r="S69" s="183"/>
      <c r="T69" s="183"/>
      <c r="U69" s="183"/>
      <c r="V69" s="183"/>
      <c r="W69" s="183"/>
      <c r="X69" s="183"/>
      <c r="Y69" s="183"/>
    </row>
    <row r="70" spans="1:25" x14ac:dyDescent="0.3">
      <c r="A70" s="183"/>
      <c r="B70" s="183"/>
      <c r="C70" s="183"/>
      <c r="D70" s="183"/>
      <c r="E70" s="183"/>
      <c r="F70" s="183"/>
      <c r="G70" s="183"/>
      <c r="H70" s="183"/>
      <c r="I70" s="183"/>
      <c r="J70" s="183"/>
      <c r="K70" s="183"/>
      <c r="L70" s="183"/>
      <c r="M70" s="183"/>
      <c r="N70" s="183"/>
      <c r="O70" s="183"/>
      <c r="P70" s="183"/>
      <c r="Q70" s="183"/>
      <c r="R70" s="183"/>
      <c r="S70" s="183"/>
      <c r="T70" s="183"/>
      <c r="U70" s="183"/>
      <c r="V70" s="183"/>
      <c r="W70" s="183"/>
      <c r="X70" s="183"/>
      <c r="Y70" s="183"/>
    </row>
    <row r="71" spans="1:25" x14ac:dyDescent="0.3">
      <c r="A71" s="183"/>
      <c r="B71" s="183"/>
      <c r="C71" s="183"/>
      <c r="D71" s="183"/>
      <c r="E71" s="183"/>
      <c r="F71" s="183"/>
      <c r="G71" s="183"/>
      <c r="H71" s="183"/>
      <c r="I71" s="183"/>
      <c r="J71" s="183"/>
      <c r="K71" s="183"/>
      <c r="L71" s="183"/>
      <c r="M71" s="183"/>
      <c r="N71" s="183"/>
      <c r="O71" s="183"/>
      <c r="P71" s="183"/>
      <c r="Q71" s="183"/>
      <c r="R71" s="183"/>
      <c r="S71" s="183"/>
      <c r="T71" s="183"/>
      <c r="U71" s="183"/>
      <c r="V71" s="183"/>
      <c r="W71" s="183"/>
      <c r="X71" s="183"/>
      <c r="Y71" s="183"/>
    </row>
    <row r="72" spans="1:25" x14ac:dyDescent="0.3">
      <c r="A72" s="183"/>
      <c r="B72" s="183"/>
      <c r="C72" s="183"/>
      <c r="D72" s="183"/>
      <c r="E72" s="183"/>
      <c r="F72" s="183"/>
      <c r="G72" s="183"/>
      <c r="H72" s="183"/>
      <c r="I72" s="183"/>
      <c r="J72" s="183"/>
      <c r="K72" s="183"/>
      <c r="L72" s="183"/>
      <c r="M72" s="183"/>
      <c r="N72" s="183"/>
      <c r="O72" s="183"/>
      <c r="P72" s="183"/>
      <c r="Q72" s="183"/>
      <c r="R72" s="183"/>
      <c r="S72" s="183"/>
      <c r="T72" s="183"/>
      <c r="U72" s="183"/>
      <c r="V72" s="183"/>
      <c r="W72" s="183"/>
      <c r="X72" s="183"/>
      <c r="Y72" s="183"/>
    </row>
    <row r="73" spans="1:25" x14ac:dyDescent="0.3">
      <c r="A73" s="183"/>
      <c r="B73" s="183"/>
      <c r="C73" s="183"/>
      <c r="D73" s="183"/>
      <c r="E73" s="183"/>
      <c r="F73" s="183"/>
      <c r="G73" s="183"/>
      <c r="H73" s="183"/>
      <c r="I73" s="183"/>
      <c r="J73" s="183"/>
      <c r="K73" s="183"/>
      <c r="L73" s="183"/>
      <c r="M73" s="183"/>
      <c r="N73" s="183"/>
      <c r="O73" s="183"/>
      <c r="P73" s="183"/>
      <c r="Q73" s="183"/>
      <c r="R73" s="183"/>
      <c r="S73" s="183"/>
      <c r="T73" s="183"/>
      <c r="U73" s="183"/>
      <c r="V73" s="183"/>
      <c r="W73" s="183"/>
      <c r="X73" s="183"/>
      <c r="Y73" s="183"/>
    </row>
    <row r="74" spans="1:25" x14ac:dyDescent="0.3">
      <c r="A74" s="183"/>
      <c r="B74" s="183"/>
      <c r="C74" s="183"/>
      <c r="D74" s="183"/>
      <c r="E74" s="183"/>
      <c r="F74" s="183"/>
      <c r="G74" s="183"/>
      <c r="H74" s="183"/>
      <c r="I74" s="183"/>
      <c r="J74" s="183"/>
      <c r="K74" s="183"/>
      <c r="L74" s="183"/>
      <c r="M74" s="183"/>
      <c r="N74" s="183"/>
      <c r="O74" s="183"/>
      <c r="P74" s="183"/>
      <c r="Q74" s="183"/>
      <c r="R74" s="183"/>
      <c r="S74" s="183"/>
      <c r="T74" s="183"/>
      <c r="U74" s="183"/>
      <c r="V74" s="183"/>
      <c r="W74" s="183"/>
      <c r="X74" s="183"/>
      <c r="Y74" s="183"/>
    </row>
    <row r="75" spans="1:25" x14ac:dyDescent="0.3">
      <c r="A75" s="183"/>
      <c r="B75" s="183"/>
      <c r="C75" s="183"/>
      <c r="D75" s="183"/>
      <c r="E75" s="183"/>
      <c r="F75" s="183"/>
      <c r="G75" s="183"/>
      <c r="H75" s="183"/>
      <c r="I75" s="183"/>
      <c r="J75" s="183"/>
      <c r="K75" s="183"/>
      <c r="L75" s="183"/>
      <c r="M75" s="183"/>
      <c r="N75" s="183"/>
      <c r="O75" s="183"/>
      <c r="P75" s="183"/>
      <c r="Q75" s="183"/>
      <c r="R75" s="183"/>
      <c r="S75" s="183"/>
      <c r="T75" s="183"/>
      <c r="U75" s="183"/>
      <c r="V75" s="183"/>
      <c r="W75" s="183"/>
      <c r="X75" s="183"/>
      <c r="Y75" s="183"/>
    </row>
    <row r="76" spans="1:25" x14ac:dyDescent="0.3">
      <c r="A76" s="183"/>
      <c r="B76" s="183"/>
      <c r="C76" s="183"/>
      <c r="D76" s="183"/>
      <c r="E76" s="183"/>
      <c r="F76" s="183"/>
      <c r="G76" s="183"/>
      <c r="H76" s="183"/>
      <c r="I76" s="183"/>
      <c r="J76" s="183"/>
      <c r="K76" s="183"/>
      <c r="L76" s="183"/>
      <c r="M76" s="183"/>
      <c r="N76" s="183"/>
      <c r="O76" s="183"/>
      <c r="P76" s="183"/>
      <c r="Q76" s="183"/>
      <c r="R76" s="183"/>
      <c r="S76" s="183"/>
      <c r="T76" s="183"/>
      <c r="U76" s="183"/>
      <c r="V76" s="183"/>
      <c r="W76" s="183"/>
      <c r="X76" s="183"/>
      <c r="Y76" s="183"/>
    </row>
    <row r="77" spans="1:25" x14ac:dyDescent="0.3">
      <c r="A77" s="183"/>
      <c r="B77" s="183"/>
      <c r="C77" s="183"/>
      <c r="D77" s="183"/>
      <c r="E77" s="183"/>
      <c r="F77" s="183"/>
      <c r="G77" s="183"/>
      <c r="H77" s="183"/>
      <c r="I77" s="183"/>
      <c r="J77" s="183"/>
      <c r="K77" s="183"/>
      <c r="L77" s="183"/>
      <c r="M77" s="183"/>
      <c r="N77" s="183"/>
      <c r="O77" s="183"/>
      <c r="P77" s="183"/>
      <c r="Q77" s="183"/>
      <c r="R77" s="183"/>
      <c r="S77" s="183"/>
      <c r="T77" s="183"/>
      <c r="U77" s="183"/>
      <c r="V77" s="183"/>
      <c r="W77" s="183"/>
      <c r="X77" s="183"/>
      <c r="Y77" s="183"/>
    </row>
    <row r="78" spans="1:25" x14ac:dyDescent="0.3">
      <c r="A78" s="183"/>
      <c r="B78" s="183"/>
      <c r="C78" s="183"/>
      <c r="D78" s="183"/>
      <c r="E78" s="183"/>
      <c r="F78" s="183"/>
      <c r="G78" s="183"/>
      <c r="H78" s="183"/>
      <c r="I78" s="183"/>
      <c r="J78" s="183"/>
      <c r="K78" s="183"/>
      <c r="L78" s="183"/>
      <c r="M78" s="183"/>
      <c r="N78" s="183"/>
      <c r="O78" s="183"/>
      <c r="P78" s="183"/>
      <c r="Q78" s="183"/>
      <c r="R78" s="183"/>
      <c r="S78" s="183"/>
      <c r="T78" s="183"/>
      <c r="U78" s="183"/>
      <c r="V78" s="183"/>
      <c r="W78" s="183"/>
      <c r="X78" s="183"/>
      <c r="Y78" s="183"/>
    </row>
    <row r="79" spans="1:25" x14ac:dyDescent="0.3">
      <c r="A79" s="183"/>
      <c r="B79" s="183"/>
      <c r="C79" s="183"/>
      <c r="D79" s="183"/>
      <c r="E79" s="183"/>
      <c r="F79" s="183"/>
      <c r="G79" s="183"/>
      <c r="H79" s="183"/>
      <c r="I79" s="183"/>
      <c r="J79" s="183"/>
      <c r="K79" s="183"/>
      <c r="L79" s="183"/>
      <c r="M79" s="183"/>
      <c r="N79" s="183"/>
      <c r="O79" s="183"/>
      <c r="P79" s="183"/>
      <c r="Q79" s="183"/>
      <c r="R79" s="183"/>
      <c r="S79" s="183"/>
      <c r="T79" s="183"/>
      <c r="U79" s="183"/>
      <c r="V79" s="183"/>
      <c r="W79" s="183"/>
      <c r="X79" s="183"/>
      <c r="Y79" s="183"/>
    </row>
    <row r="80" spans="1:25" x14ac:dyDescent="0.3">
      <c r="A80" s="183"/>
      <c r="B80" s="183"/>
      <c r="C80" s="183"/>
      <c r="D80" s="183"/>
      <c r="E80" s="183"/>
      <c r="F80" s="183"/>
      <c r="G80" s="183"/>
      <c r="H80" s="183"/>
      <c r="I80" s="183"/>
      <c r="J80" s="183"/>
      <c r="K80" s="183"/>
      <c r="L80" s="183"/>
      <c r="M80" s="183"/>
      <c r="N80" s="183"/>
      <c r="O80" s="183"/>
      <c r="P80" s="183"/>
      <c r="Q80" s="183"/>
      <c r="R80" s="183"/>
      <c r="S80" s="183"/>
      <c r="T80" s="183"/>
      <c r="U80" s="183"/>
      <c r="V80" s="183"/>
      <c r="W80" s="183"/>
      <c r="X80" s="183"/>
      <c r="Y80" s="183"/>
    </row>
    <row r="81" spans="1:25" x14ac:dyDescent="0.3">
      <c r="A81" s="183"/>
      <c r="B81" s="183"/>
      <c r="C81" s="183"/>
      <c r="D81" s="183"/>
      <c r="E81" s="183"/>
      <c r="F81" s="183"/>
      <c r="G81" s="183"/>
      <c r="H81" s="183"/>
      <c r="I81" s="183"/>
      <c r="J81" s="183"/>
      <c r="K81" s="183"/>
      <c r="L81" s="183"/>
      <c r="M81" s="183"/>
      <c r="N81" s="183"/>
      <c r="O81" s="183"/>
      <c r="P81" s="183"/>
      <c r="Q81" s="183"/>
      <c r="R81" s="183"/>
      <c r="S81" s="183"/>
      <c r="T81" s="183"/>
      <c r="U81" s="183"/>
      <c r="V81" s="183"/>
      <c r="W81" s="183"/>
      <c r="X81" s="183"/>
      <c r="Y81" s="183"/>
    </row>
    <row r="82" spans="1:25" x14ac:dyDescent="0.3">
      <c r="A82" s="183"/>
      <c r="B82" s="183"/>
      <c r="C82" s="183"/>
      <c r="D82" s="183"/>
      <c r="E82" s="183"/>
      <c r="F82" s="183"/>
      <c r="G82" s="183"/>
      <c r="H82" s="183"/>
      <c r="I82" s="183"/>
      <c r="J82" s="183"/>
      <c r="K82" s="183"/>
      <c r="L82" s="183"/>
      <c r="M82" s="183"/>
      <c r="N82" s="183"/>
      <c r="O82" s="183"/>
      <c r="P82" s="183"/>
      <c r="Q82" s="183"/>
      <c r="R82" s="183"/>
      <c r="S82" s="183"/>
      <c r="T82" s="183"/>
      <c r="U82" s="183"/>
      <c r="V82" s="183"/>
      <c r="W82" s="183"/>
      <c r="X82" s="183"/>
      <c r="Y82" s="183"/>
    </row>
    <row r="83" spans="1:25" x14ac:dyDescent="0.3">
      <c r="A83" s="183"/>
      <c r="B83" s="183"/>
      <c r="C83" s="183"/>
      <c r="D83" s="183"/>
      <c r="E83" s="183"/>
      <c r="F83" s="183"/>
      <c r="G83" s="183"/>
      <c r="H83" s="183"/>
      <c r="I83" s="183"/>
      <c r="J83" s="183"/>
      <c r="K83" s="183"/>
      <c r="L83" s="183"/>
      <c r="M83" s="183"/>
      <c r="N83" s="183"/>
      <c r="O83" s="183"/>
      <c r="P83" s="183"/>
      <c r="Q83" s="183"/>
      <c r="R83" s="183"/>
      <c r="S83" s="183"/>
      <c r="T83" s="183"/>
      <c r="U83" s="183"/>
      <c r="V83" s="183"/>
      <c r="W83" s="183"/>
      <c r="X83" s="183"/>
      <c r="Y83" s="183"/>
    </row>
    <row r="84" spans="1:25" x14ac:dyDescent="0.3">
      <c r="A84" s="183"/>
      <c r="B84" s="183"/>
      <c r="C84" s="183"/>
      <c r="D84" s="183"/>
      <c r="E84" s="183"/>
      <c r="F84" s="183"/>
      <c r="G84" s="183"/>
      <c r="H84" s="183"/>
      <c r="I84" s="183"/>
      <c r="J84" s="183"/>
      <c r="K84" s="183"/>
      <c r="L84" s="183"/>
      <c r="M84" s="183"/>
      <c r="N84" s="183"/>
      <c r="O84" s="183"/>
      <c r="P84" s="183"/>
      <c r="Q84" s="183"/>
      <c r="R84" s="183"/>
      <c r="S84" s="183"/>
      <c r="T84" s="183"/>
      <c r="U84" s="183"/>
      <c r="V84" s="183"/>
      <c r="W84" s="183"/>
      <c r="X84" s="183"/>
      <c r="Y84" s="183"/>
    </row>
    <row r="85" spans="1:25" x14ac:dyDescent="0.3">
      <c r="A85" s="183"/>
      <c r="B85" s="183"/>
      <c r="C85" s="183"/>
      <c r="D85" s="183"/>
      <c r="E85" s="183"/>
      <c r="F85" s="183"/>
      <c r="G85" s="183"/>
      <c r="H85" s="183"/>
      <c r="I85" s="183"/>
      <c r="J85" s="183"/>
      <c r="K85" s="183"/>
      <c r="L85" s="183"/>
      <c r="M85" s="183"/>
      <c r="N85" s="183"/>
      <c r="O85" s="183"/>
      <c r="P85" s="183"/>
      <c r="Q85" s="183"/>
      <c r="R85" s="183"/>
      <c r="S85" s="183"/>
      <c r="T85" s="183"/>
      <c r="U85" s="183"/>
      <c r="V85" s="183"/>
      <c r="W85" s="183"/>
      <c r="X85" s="183"/>
      <c r="Y85" s="183"/>
    </row>
    <row r="86" spans="1:25" x14ac:dyDescent="0.3">
      <c r="A86" s="183"/>
      <c r="B86" s="183"/>
      <c r="C86" s="183"/>
      <c r="D86" s="183"/>
      <c r="E86" s="183"/>
      <c r="F86" s="183"/>
      <c r="G86" s="183"/>
      <c r="H86" s="183"/>
      <c r="I86" s="183"/>
      <c r="J86" s="183"/>
      <c r="K86" s="183"/>
      <c r="L86" s="183"/>
      <c r="M86" s="183"/>
      <c r="N86" s="183"/>
      <c r="O86" s="183"/>
      <c r="P86" s="183"/>
      <c r="Q86" s="183"/>
      <c r="R86" s="183"/>
      <c r="S86" s="183"/>
      <c r="T86" s="183"/>
      <c r="U86" s="183"/>
      <c r="V86" s="183"/>
      <c r="W86" s="183"/>
      <c r="X86" s="183"/>
      <c r="Y86" s="183"/>
    </row>
    <row r="87" spans="1:25" x14ac:dyDescent="0.3">
      <c r="A87" s="183"/>
      <c r="B87" s="183"/>
      <c r="C87" s="183"/>
      <c r="D87" s="183"/>
      <c r="E87" s="183"/>
      <c r="F87" s="183"/>
      <c r="G87" s="183"/>
      <c r="H87" s="183"/>
      <c r="I87" s="183"/>
      <c r="J87" s="183"/>
      <c r="K87" s="183"/>
      <c r="L87" s="183"/>
      <c r="M87" s="183"/>
      <c r="N87" s="183"/>
      <c r="O87" s="183"/>
      <c r="P87" s="183"/>
      <c r="Q87" s="183"/>
      <c r="R87" s="183"/>
      <c r="S87" s="183"/>
      <c r="T87" s="183"/>
      <c r="U87" s="183"/>
      <c r="V87" s="183"/>
      <c r="W87" s="183"/>
      <c r="X87" s="183"/>
      <c r="Y87" s="183"/>
    </row>
    <row r="88" spans="1:25" x14ac:dyDescent="0.3">
      <c r="A88" s="183"/>
      <c r="B88" s="183"/>
      <c r="C88" s="183"/>
      <c r="D88" s="183"/>
      <c r="E88" s="183"/>
      <c r="F88" s="183"/>
      <c r="G88" s="183"/>
      <c r="H88" s="183"/>
      <c r="I88" s="183"/>
      <c r="J88" s="183"/>
      <c r="K88" s="183"/>
      <c r="L88" s="183"/>
      <c r="M88" s="183"/>
      <c r="N88" s="183"/>
      <c r="O88" s="183"/>
      <c r="P88" s="183"/>
      <c r="Q88" s="183"/>
      <c r="R88" s="183"/>
      <c r="S88" s="183"/>
      <c r="T88" s="183"/>
      <c r="U88" s="183"/>
      <c r="V88" s="183"/>
      <c r="W88" s="183"/>
      <c r="X88" s="183"/>
      <c r="Y88" s="183"/>
    </row>
    <row r="89" spans="1:25" x14ac:dyDescent="0.3">
      <c r="A89" s="183"/>
      <c r="B89" s="183"/>
      <c r="C89" s="183"/>
      <c r="D89" s="183"/>
      <c r="E89" s="183"/>
      <c r="F89" s="183"/>
      <c r="G89" s="183"/>
      <c r="H89" s="183"/>
      <c r="I89" s="183"/>
      <c r="J89" s="183"/>
      <c r="K89" s="183"/>
      <c r="L89" s="183"/>
      <c r="M89" s="183"/>
      <c r="N89" s="183"/>
      <c r="O89" s="183"/>
      <c r="P89" s="183"/>
      <c r="Q89" s="183"/>
      <c r="R89" s="183"/>
      <c r="S89" s="183"/>
      <c r="T89" s="183"/>
      <c r="U89" s="183"/>
      <c r="V89" s="183"/>
      <c r="W89" s="183"/>
      <c r="X89" s="183"/>
      <c r="Y89" s="183"/>
    </row>
    <row r="90" spans="1:25" x14ac:dyDescent="0.3">
      <c r="A90" s="183"/>
      <c r="B90" s="183"/>
      <c r="C90" s="183"/>
      <c r="D90" s="183"/>
      <c r="E90" s="183"/>
      <c r="F90" s="183"/>
      <c r="G90" s="183"/>
      <c r="H90" s="183"/>
      <c r="I90" s="183"/>
      <c r="J90" s="183"/>
      <c r="K90" s="183"/>
      <c r="L90" s="183"/>
      <c r="M90" s="183"/>
      <c r="N90" s="183"/>
      <c r="O90" s="183"/>
      <c r="P90" s="183"/>
      <c r="Q90" s="183"/>
      <c r="R90" s="183"/>
      <c r="S90" s="183"/>
      <c r="T90" s="183"/>
      <c r="U90" s="183"/>
      <c r="V90" s="183"/>
      <c r="W90" s="183"/>
      <c r="X90" s="183"/>
      <c r="Y90" s="183"/>
    </row>
    <row r="91" spans="1:25" x14ac:dyDescent="0.3">
      <c r="A91" s="183"/>
      <c r="B91" s="183"/>
      <c r="C91" s="183"/>
      <c r="D91" s="183"/>
      <c r="E91" s="183"/>
      <c r="F91" s="183"/>
      <c r="G91" s="183"/>
      <c r="H91" s="183"/>
      <c r="I91" s="183"/>
      <c r="J91" s="183"/>
      <c r="K91" s="183"/>
      <c r="L91" s="183"/>
      <c r="M91" s="183"/>
      <c r="N91" s="183"/>
      <c r="O91" s="183"/>
      <c r="P91" s="183"/>
      <c r="Q91" s="183"/>
      <c r="R91" s="183"/>
      <c r="S91" s="183"/>
      <c r="T91" s="183"/>
      <c r="U91" s="183"/>
      <c r="V91" s="183"/>
      <c r="W91" s="183"/>
      <c r="X91" s="183"/>
      <c r="Y91" s="183"/>
    </row>
    <row r="92" spans="1:25" x14ac:dyDescent="0.3">
      <c r="A92" s="183"/>
      <c r="B92" s="183"/>
      <c r="C92" s="183"/>
      <c r="D92" s="183"/>
      <c r="E92" s="183"/>
      <c r="F92" s="183"/>
      <c r="G92" s="183"/>
      <c r="H92" s="183"/>
      <c r="I92" s="183"/>
      <c r="J92" s="183"/>
      <c r="K92" s="183"/>
      <c r="L92" s="183"/>
      <c r="M92" s="183"/>
      <c r="N92" s="183"/>
      <c r="O92" s="183"/>
      <c r="P92" s="183"/>
      <c r="Q92" s="183"/>
      <c r="R92" s="183"/>
      <c r="S92" s="183"/>
      <c r="T92" s="183"/>
      <c r="U92" s="183"/>
      <c r="V92" s="183"/>
      <c r="W92" s="183"/>
      <c r="X92" s="183"/>
      <c r="Y92" s="183"/>
    </row>
    <row r="93" spans="1:25" x14ac:dyDescent="0.3">
      <c r="A93" s="183"/>
      <c r="B93" s="183"/>
      <c r="C93" s="183"/>
      <c r="D93" s="183"/>
      <c r="E93" s="183"/>
      <c r="F93" s="183"/>
      <c r="G93" s="183"/>
      <c r="H93" s="183"/>
      <c r="I93" s="183"/>
      <c r="J93" s="183"/>
      <c r="K93" s="183"/>
      <c r="L93" s="183"/>
      <c r="M93" s="183"/>
      <c r="N93" s="183"/>
      <c r="O93" s="183"/>
      <c r="P93" s="183"/>
      <c r="Q93" s="183"/>
      <c r="R93" s="183"/>
      <c r="S93" s="183"/>
      <c r="T93" s="183"/>
      <c r="U93" s="183"/>
      <c r="V93" s="183"/>
      <c r="W93" s="183"/>
      <c r="X93" s="183"/>
      <c r="Y93" s="183"/>
    </row>
    <row r="94" spans="1:25" x14ac:dyDescent="0.3">
      <c r="A94" s="183"/>
      <c r="B94" s="183"/>
      <c r="C94" s="183"/>
      <c r="D94" s="183"/>
      <c r="E94" s="183"/>
      <c r="F94" s="183"/>
      <c r="G94" s="183"/>
      <c r="H94" s="183"/>
      <c r="I94" s="183"/>
      <c r="J94" s="183"/>
      <c r="K94" s="183"/>
      <c r="L94" s="183"/>
      <c r="M94" s="183"/>
      <c r="N94" s="183"/>
      <c r="O94" s="183"/>
      <c r="P94" s="183"/>
      <c r="Q94" s="183"/>
      <c r="R94" s="183"/>
      <c r="S94" s="183"/>
      <c r="T94" s="183"/>
      <c r="U94" s="183"/>
      <c r="V94" s="183"/>
      <c r="W94" s="183"/>
      <c r="X94" s="183"/>
      <c r="Y94" s="183"/>
    </row>
    <row r="95" spans="1:25" x14ac:dyDescent="0.3">
      <c r="A95" s="183"/>
      <c r="B95" s="183"/>
      <c r="C95" s="183"/>
      <c r="D95" s="183"/>
      <c r="E95" s="183"/>
      <c r="F95" s="183"/>
      <c r="G95" s="183"/>
      <c r="H95" s="183"/>
      <c r="I95" s="183"/>
      <c r="J95" s="183"/>
      <c r="K95" s="183"/>
      <c r="L95" s="183"/>
      <c r="M95" s="183"/>
      <c r="N95" s="183"/>
      <c r="O95" s="183"/>
      <c r="P95" s="183"/>
      <c r="Q95" s="183"/>
      <c r="R95" s="183"/>
      <c r="S95" s="183"/>
      <c r="T95" s="183"/>
      <c r="U95" s="183"/>
      <c r="V95" s="183"/>
      <c r="W95" s="183"/>
      <c r="X95" s="183"/>
      <c r="Y95" s="183"/>
    </row>
    <row r="96" spans="1:25" x14ac:dyDescent="0.3">
      <c r="A96" s="183"/>
      <c r="B96" s="183"/>
      <c r="C96" s="183"/>
      <c r="D96" s="183"/>
      <c r="E96" s="183"/>
      <c r="F96" s="183"/>
      <c r="G96" s="183"/>
      <c r="H96" s="183"/>
      <c r="I96" s="183"/>
      <c r="J96" s="183"/>
      <c r="K96" s="183"/>
      <c r="L96" s="183"/>
      <c r="M96" s="183"/>
      <c r="N96" s="183"/>
      <c r="O96" s="183"/>
      <c r="P96" s="183"/>
      <c r="Q96" s="183"/>
      <c r="R96" s="183"/>
      <c r="S96" s="183"/>
      <c r="T96" s="183"/>
      <c r="U96" s="183"/>
      <c r="V96" s="183"/>
      <c r="W96" s="183"/>
      <c r="X96" s="183"/>
      <c r="Y96" s="183"/>
    </row>
    <row r="97" spans="1:25" x14ac:dyDescent="0.3">
      <c r="A97" s="183"/>
      <c r="B97" s="183"/>
      <c r="C97" s="183"/>
      <c r="D97" s="183"/>
      <c r="E97" s="183"/>
      <c r="F97" s="183"/>
      <c r="G97" s="183"/>
      <c r="H97" s="183"/>
      <c r="I97" s="183"/>
      <c r="J97" s="183"/>
      <c r="K97" s="183"/>
      <c r="L97" s="183"/>
      <c r="M97" s="183"/>
      <c r="N97" s="183"/>
      <c r="O97" s="183"/>
      <c r="P97" s="183"/>
      <c r="Q97" s="183"/>
      <c r="R97" s="183"/>
      <c r="S97" s="183"/>
      <c r="T97" s="183"/>
      <c r="U97" s="183"/>
      <c r="V97" s="183"/>
      <c r="W97" s="183"/>
      <c r="X97" s="183"/>
      <c r="Y97" s="183"/>
    </row>
    <row r="98" spans="1:25" x14ac:dyDescent="0.3">
      <c r="A98" s="183"/>
      <c r="B98" s="183"/>
      <c r="C98" s="183"/>
      <c r="D98" s="183"/>
      <c r="E98" s="183"/>
      <c r="F98" s="183"/>
      <c r="G98" s="183"/>
      <c r="H98" s="183"/>
      <c r="I98" s="183"/>
      <c r="J98" s="183"/>
      <c r="K98" s="183"/>
      <c r="L98" s="183"/>
      <c r="M98" s="183"/>
      <c r="N98" s="183"/>
      <c r="O98" s="183"/>
      <c r="P98" s="183"/>
      <c r="Q98" s="183"/>
      <c r="R98" s="183"/>
      <c r="S98" s="183"/>
      <c r="T98" s="183"/>
      <c r="U98" s="183"/>
      <c r="V98" s="183"/>
      <c r="W98" s="183"/>
      <c r="X98" s="183"/>
      <c r="Y98" s="183"/>
    </row>
    <row r="99" spans="1:25" x14ac:dyDescent="0.3">
      <c r="A99" s="183"/>
      <c r="B99" s="183"/>
      <c r="C99" s="183"/>
      <c r="D99" s="183"/>
      <c r="E99" s="183"/>
      <c r="F99" s="183"/>
      <c r="G99" s="183"/>
      <c r="H99" s="183"/>
      <c r="I99" s="183"/>
      <c r="J99" s="183"/>
      <c r="K99" s="183"/>
      <c r="L99" s="183"/>
      <c r="M99" s="183"/>
      <c r="N99" s="183"/>
      <c r="O99" s="183"/>
      <c r="P99" s="183"/>
      <c r="Q99" s="183"/>
      <c r="R99" s="183"/>
      <c r="S99" s="183"/>
      <c r="T99" s="183"/>
      <c r="U99" s="183"/>
      <c r="V99" s="183"/>
      <c r="W99" s="183"/>
      <c r="X99" s="183"/>
      <c r="Y99" s="183"/>
    </row>
    <row r="100" spans="1:25" x14ac:dyDescent="0.3">
      <c r="A100" s="183"/>
      <c r="B100" s="183"/>
      <c r="C100" s="183"/>
      <c r="D100" s="183"/>
      <c r="E100" s="183"/>
      <c r="F100" s="183"/>
      <c r="G100" s="183"/>
      <c r="H100" s="183"/>
      <c r="I100" s="183"/>
      <c r="J100" s="183"/>
      <c r="K100" s="183"/>
      <c r="L100" s="183"/>
      <c r="M100" s="183"/>
      <c r="N100" s="183"/>
      <c r="O100" s="183"/>
      <c r="P100" s="183"/>
      <c r="Q100" s="183"/>
      <c r="R100" s="183"/>
      <c r="S100" s="183"/>
      <c r="T100" s="183"/>
      <c r="U100" s="183"/>
      <c r="V100" s="183"/>
      <c r="W100" s="183"/>
      <c r="X100" s="183"/>
      <c r="Y100" s="183"/>
    </row>
    <row r="101" spans="1:25" x14ac:dyDescent="0.3">
      <c r="A101" s="183"/>
      <c r="B101" s="183"/>
      <c r="C101" s="183"/>
      <c r="D101" s="183"/>
      <c r="E101" s="183"/>
      <c r="F101" s="183"/>
      <c r="G101" s="183"/>
      <c r="H101" s="183"/>
      <c r="I101" s="183"/>
      <c r="J101" s="183"/>
      <c r="K101" s="183"/>
      <c r="L101" s="183"/>
      <c r="M101" s="183"/>
      <c r="N101" s="183"/>
      <c r="O101" s="183"/>
      <c r="P101" s="183"/>
      <c r="Q101" s="183"/>
      <c r="R101" s="183"/>
      <c r="S101" s="183"/>
      <c r="T101" s="183"/>
      <c r="U101" s="183"/>
      <c r="V101" s="183"/>
      <c r="W101" s="183"/>
      <c r="X101" s="183"/>
      <c r="Y101" s="183"/>
    </row>
    <row r="102" spans="1:25" x14ac:dyDescent="0.3">
      <c r="A102" s="183"/>
      <c r="B102" s="183"/>
      <c r="C102" s="183"/>
      <c r="D102" s="183"/>
      <c r="E102" s="183"/>
      <c r="F102" s="183"/>
      <c r="G102" s="183"/>
      <c r="H102" s="183"/>
      <c r="I102" s="183"/>
      <c r="J102" s="183"/>
      <c r="K102" s="183"/>
      <c r="L102" s="183"/>
      <c r="M102" s="183"/>
      <c r="N102" s="183"/>
      <c r="O102" s="183"/>
      <c r="P102" s="183"/>
      <c r="Q102" s="183"/>
      <c r="R102" s="183"/>
      <c r="S102" s="183"/>
      <c r="T102" s="183"/>
      <c r="U102" s="183"/>
      <c r="V102" s="183"/>
      <c r="W102" s="183"/>
      <c r="X102" s="183"/>
      <c r="Y102" s="183"/>
    </row>
    <row r="103" spans="1:25" x14ac:dyDescent="0.3">
      <c r="A103" s="183"/>
      <c r="B103" s="183"/>
      <c r="C103" s="183"/>
      <c r="D103" s="183"/>
      <c r="E103" s="183"/>
      <c r="F103" s="183"/>
      <c r="G103" s="183"/>
      <c r="H103" s="183"/>
      <c r="I103" s="183"/>
      <c r="J103" s="183"/>
      <c r="K103" s="183"/>
      <c r="L103" s="183"/>
      <c r="M103" s="183"/>
      <c r="N103" s="183"/>
      <c r="O103" s="183"/>
      <c r="P103" s="183"/>
      <c r="Q103" s="183"/>
      <c r="R103" s="183"/>
      <c r="S103" s="183"/>
      <c r="T103" s="183"/>
      <c r="U103" s="183"/>
      <c r="V103" s="183"/>
      <c r="W103" s="183"/>
      <c r="X103" s="183"/>
      <c r="Y103" s="183"/>
    </row>
    <row r="104" spans="1:25" x14ac:dyDescent="0.3">
      <c r="A104" s="183"/>
      <c r="B104" s="183"/>
      <c r="C104" s="183"/>
      <c r="D104" s="183"/>
      <c r="E104" s="183"/>
      <c r="F104" s="183"/>
      <c r="G104" s="183"/>
      <c r="H104" s="183"/>
      <c r="I104" s="183"/>
      <c r="J104" s="183"/>
      <c r="K104" s="183"/>
      <c r="L104" s="183"/>
      <c r="M104" s="183"/>
      <c r="N104" s="183"/>
      <c r="O104" s="183"/>
      <c r="P104" s="183"/>
      <c r="Q104" s="183"/>
      <c r="R104" s="183"/>
      <c r="S104" s="183"/>
      <c r="T104" s="183"/>
      <c r="U104" s="183"/>
      <c r="V104" s="183"/>
      <c r="W104" s="183"/>
      <c r="X104" s="183"/>
      <c r="Y104" s="183"/>
    </row>
    <row r="105" spans="1:25" x14ac:dyDescent="0.3">
      <c r="A105" s="183"/>
      <c r="B105" s="183"/>
      <c r="C105" s="183"/>
      <c r="D105" s="183"/>
      <c r="E105" s="183"/>
      <c r="F105" s="183"/>
      <c r="G105" s="183"/>
      <c r="H105" s="183"/>
      <c r="I105" s="183"/>
      <c r="J105" s="183"/>
      <c r="K105" s="183"/>
      <c r="L105" s="183"/>
      <c r="M105" s="183"/>
      <c r="N105" s="183"/>
      <c r="O105" s="183"/>
      <c r="P105" s="183"/>
      <c r="Q105" s="183"/>
      <c r="R105" s="183"/>
      <c r="S105" s="183"/>
      <c r="T105" s="183"/>
      <c r="U105" s="183"/>
      <c r="V105" s="183"/>
      <c r="W105" s="183"/>
      <c r="X105" s="183"/>
      <c r="Y105" s="183"/>
    </row>
    <row r="106" spans="1:25" x14ac:dyDescent="0.3">
      <c r="A106" s="183"/>
      <c r="B106" s="183"/>
      <c r="C106" s="183"/>
      <c r="D106" s="183"/>
      <c r="E106" s="183"/>
      <c r="F106" s="183"/>
      <c r="G106" s="183"/>
      <c r="H106" s="183"/>
      <c r="I106" s="183"/>
      <c r="J106" s="183"/>
      <c r="K106" s="183"/>
      <c r="L106" s="183"/>
      <c r="M106" s="183"/>
      <c r="N106" s="183"/>
      <c r="O106" s="183"/>
      <c r="P106" s="183"/>
      <c r="Q106" s="183"/>
      <c r="R106" s="183"/>
      <c r="S106" s="183"/>
      <c r="T106" s="183"/>
      <c r="U106" s="183"/>
      <c r="V106" s="183"/>
      <c r="W106" s="183"/>
      <c r="X106" s="183"/>
      <c r="Y106" s="183"/>
    </row>
    <row r="107" spans="1:25" x14ac:dyDescent="0.3">
      <c r="A107" s="183"/>
      <c r="B107" s="183"/>
      <c r="C107" s="183"/>
      <c r="D107" s="183"/>
      <c r="E107" s="183"/>
      <c r="F107" s="183"/>
      <c r="G107" s="183"/>
      <c r="H107" s="183"/>
      <c r="I107" s="183"/>
      <c r="J107" s="183"/>
      <c r="K107" s="183"/>
      <c r="L107" s="183"/>
      <c r="M107" s="183"/>
      <c r="N107" s="183"/>
      <c r="O107" s="183"/>
      <c r="P107" s="183"/>
      <c r="Q107" s="183"/>
      <c r="R107" s="183"/>
      <c r="S107" s="183"/>
      <c r="T107" s="183"/>
      <c r="U107" s="183"/>
      <c r="V107" s="183"/>
      <c r="W107" s="183"/>
      <c r="X107" s="183"/>
      <c r="Y107" s="183"/>
    </row>
    <row r="108" spans="1:25" x14ac:dyDescent="0.3">
      <c r="A108" s="183"/>
      <c r="B108" s="183"/>
      <c r="C108" s="183"/>
      <c r="D108" s="183"/>
      <c r="E108" s="183"/>
      <c r="F108" s="183"/>
      <c r="G108" s="183"/>
      <c r="H108" s="183"/>
      <c r="I108" s="183"/>
      <c r="J108" s="183"/>
      <c r="K108" s="183"/>
      <c r="L108" s="183"/>
      <c r="M108" s="183"/>
      <c r="N108" s="183"/>
      <c r="O108" s="183"/>
      <c r="P108" s="183"/>
      <c r="Q108" s="183"/>
      <c r="R108" s="183"/>
      <c r="S108" s="183"/>
      <c r="T108" s="183"/>
      <c r="U108" s="183"/>
      <c r="V108" s="183"/>
      <c r="W108" s="183"/>
      <c r="X108" s="183"/>
      <c r="Y108" s="183"/>
    </row>
    <row r="109" spans="1:25" x14ac:dyDescent="0.3">
      <c r="A109" s="183"/>
      <c r="B109" s="183"/>
      <c r="C109" s="183"/>
      <c r="D109" s="183"/>
      <c r="E109" s="183"/>
      <c r="F109" s="183"/>
      <c r="G109" s="183"/>
      <c r="H109" s="183"/>
      <c r="I109" s="183"/>
      <c r="J109" s="183"/>
      <c r="K109" s="183"/>
      <c r="L109" s="183"/>
      <c r="M109" s="183"/>
      <c r="N109" s="183"/>
      <c r="O109" s="183"/>
      <c r="P109" s="183"/>
      <c r="Q109" s="183"/>
      <c r="R109" s="183"/>
      <c r="S109" s="183"/>
      <c r="T109" s="183"/>
      <c r="U109" s="183"/>
      <c r="V109" s="183"/>
      <c r="W109" s="183"/>
      <c r="X109" s="183"/>
      <c r="Y109" s="183"/>
    </row>
    <row r="110" spans="1:25" x14ac:dyDescent="0.3">
      <c r="A110" s="183"/>
      <c r="B110" s="183"/>
      <c r="C110" s="183"/>
      <c r="D110" s="183"/>
      <c r="E110" s="183"/>
      <c r="F110" s="183"/>
      <c r="G110" s="183"/>
      <c r="H110" s="183"/>
      <c r="I110" s="183"/>
      <c r="J110" s="183"/>
      <c r="K110" s="183"/>
      <c r="L110" s="183"/>
      <c r="M110" s="183"/>
      <c r="N110" s="183"/>
      <c r="O110" s="183"/>
      <c r="P110" s="183"/>
      <c r="Q110" s="183"/>
      <c r="R110" s="183"/>
      <c r="S110" s="183"/>
      <c r="T110" s="183"/>
      <c r="U110" s="183"/>
      <c r="V110" s="183"/>
      <c r="W110" s="183"/>
      <c r="X110" s="183"/>
      <c r="Y110" s="183"/>
    </row>
    <row r="111" spans="1:25" x14ac:dyDescent="0.3">
      <c r="A111" s="183"/>
      <c r="B111" s="183"/>
      <c r="C111" s="183"/>
      <c r="D111" s="183"/>
      <c r="E111" s="183"/>
      <c r="F111" s="183"/>
      <c r="G111" s="183"/>
      <c r="H111" s="183"/>
      <c r="I111" s="183"/>
      <c r="J111" s="183"/>
      <c r="K111" s="183"/>
      <c r="L111" s="183"/>
      <c r="M111" s="183"/>
      <c r="N111" s="183"/>
      <c r="O111" s="183"/>
      <c r="P111" s="183"/>
      <c r="Q111" s="183"/>
      <c r="R111" s="183"/>
      <c r="S111" s="183"/>
      <c r="T111" s="183"/>
      <c r="U111" s="183"/>
      <c r="V111" s="183"/>
      <c r="W111" s="183"/>
      <c r="X111" s="183"/>
      <c r="Y111" s="183"/>
    </row>
    <row r="112" spans="1:25" x14ac:dyDescent="0.3">
      <c r="A112" s="183"/>
      <c r="B112" s="183"/>
      <c r="C112" s="183"/>
      <c r="D112" s="183"/>
      <c r="E112" s="183"/>
      <c r="F112" s="183"/>
      <c r="G112" s="183"/>
      <c r="H112" s="183"/>
      <c r="I112" s="183"/>
      <c r="J112" s="183"/>
      <c r="K112" s="183"/>
      <c r="L112" s="183"/>
      <c r="M112" s="183"/>
      <c r="N112" s="183"/>
      <c r="O112" s="183"/>
      <c r="P112" s="183"/>
      <c r="Q112" s="183"/>
      <c r="R112" s="183"/>
      <c r="S112" s="183"/>
      <c r="T112" s="183"/>
      <c r="U112" s="183"/>
      <c r="V112" s="183"/>
      <c r="W112" s="183"/>
      <c r="X112" s="183"/>
      <c r="Y112" s="183"/>
    </row>
    <row r="113" spans="1:25" x14ac:dyDescent="0.3">
      <c r="A113" s="183"/>
      <c r="B113" s="183"/>
      <c r="C113" s="183"/>
      <c r="D113" s="183"/>
      <c r="E113" s="183"/>
      <c r="F113" s="183"/>
      <c r="G113" s="183"/>
      <c r="H113" s="183"/>
      <c r="I113" s="183"/>
      <c r="J113" s="183"/>
      <c r="K113" s="183"/>
      <c r="L113" s="183"/>
      <c r="M113" s="183"/>
      <c r="N113" s="183"/>
      <c r="O113" s="183"/>
      <c r="P113" s="183"/>
      <c r="Q113" s="183"/>
      <c r="R113" s="183"/>
      <c r="S113" s="183"/>
      <c r="T113" s="183"/>
      <c r="U113" s="183"/>
      <c r="V113" s="183"/>
      <c r="W113" s="183"/>
      <c r="X113" s="183"/>
      <c r="Y113" s="183"/>
    </row>
    <row r="114" spans="1:25" x14ac:dyDescent="0.3">
      <c r="A114" s="183"/>
      <c r="B114" s="183"/>
      <c r="C114" s="183"/>
      <c r="D114" s="183"/>
      <c r="E114" s="183"/>
      <c r="F114" s="183"/>
      <c r="G114" s="183"/>
      <c r="H114" s="183"/>
      <c r="I114" s="183"/>
      <c r="J114" s="183"/>
      <c r="K114" s="183"/>
      <c r="L114" s="183"/>
      <c r="M114" s="183"/>
      <c r="N114" s="183"/>
      <c r="O114" s="183"/>
      <c r="P114" s="183"/>
      <c r="Q114" s="183"/>
      <c r="R114" s="183"/>
      <c r="S114" s="183"/>
      <c r="T114" s="183"/>
      <c r="U114" s="183"/>
      <c r="V114" s="183"/>
      <c r="W114" s="183"/>
      <c r="X114" s="183"/>
      <c r="Y114" s="183"/>
    </row>
    <row r="115" spans="1:25" x14ac:dyDescent="0.3">
      <c r="A115" s="183"/>
      <c r="B115" s="183"/>
      <c r="C115" s="183"/>
      <c r="D115" s="183"/>
      <c r="E115" s="183"/>
      <c r="F115" s="183"/>
      <c r="G115" s="183"/>
      <c r="H115" s="183"/>
      <c r="I115" s="183"/>
      <c r="J115" s="183"/>
      <c r="K115" s="183"/>
      <c r="L115" s="183"/>
      <c r="M115" s="183"/>
      <c r="N115" s="183"/>
      <c r="O115" s="183"/>
      <c r="P115" s="183"/>
      <c r="Q115" s="183"/>
      <c r="R115" s="183"/>
      <c r="S115" s="183"/>
      <c r="T115" s="183"/>
      <c r="U115" s="183"/>
      <c r="V115" s="183"/>
      <c r="W115" s="183"/>
      <c r="X115" s="183"/>
      <c r="Y115" s="183"/>
    </row>
    <row r="116" spans="1:25" x14ac:dyDescent="0.3">
      <c r="A116" s="183"/>
      <c r="B116" s="183"/>
      <c r="C116" s="183"/>
      <c r="D116" s="183"/>
      <c r="E116" s="183"/>
      <c r="F116" s="183"/>
      <c r="G116" s="183"/>
      <c r="H116" s="183"/>
      <c r="I116" s="183"/>
      <c r="J116" s="183"/>
      <c r="K116" s="183"/>
      <c r="L116" s="183"/>
      <c r="M116" s="183"/>
      <c r="N116" s="183"/>
      <c r="O116" s="183"/>
      <c r="P116" s="183"/>
      <c r="Q116" s="183"/>
      <c r="R116" s="183"/>
      <c r="S116" s="183"/>
      <c r="T116" s="183"/>
      <c r="U116" s="183"/>
      <c r="V116" s="183"/>
      <c r="W116" s="183"/>
      <c r="X116" s="183"/>
      <c r="Y116" s="183"/>
    </row>
    <row r="117" spans="1:25" x14ac:dyDescent="0.3">
      <c r="A117" s="183"/>
      <c r="B117" s="183"/>
      <c r="C117" s="183"/>
      <c r="D117" s="183"/>
      <c r="E117" s="183"/>
      <c r="F117" s="183"/>
      <c r="G117" s="183"/>
      <c r="H117" s="183"/>
      <c r="I117" s="183"/>
      <c r="J117" s="183"/>
      <c r="K117" s="183"/>
      <c r="L117" s="183"/>
      <c r="M117" s="183"/>
      <c r="N117" s="183"/>
      <c r="O117" s="183"/>
      <c r="P117" s="183"/>
      <c r="Q117" s="183"/>
      <c r="R117" s="183"/>
      <c r="S117" s="183"/>
      <c r="T117" s="183"/>
      <c r="U117" s="183"/>
      <c r="V117" s="183"/>
      <c r="W117" s="183"/>
      <c r="X117" s="183"/>
      <c r="Y117" s="183"/>
    </row>
    <row r="118" spans="1:25" x14ac:dyDescent="0.3">
      <c r="A118" s="183"/>
      <c r="B118" s="183"/>
      <c r="C118" s="183"/>
      <c r="D118" s="183"/>
      <c r="E118" s="183"/>
      <c r="F118" s="183"/>
      <c r="G118" s="183"/>
      <c r="H118" s="183"/>
      <c r="I118" s="183"/>
      <c r="J118" s="183"/>
      <c r="K118" s="183"/>
      <c r="L118" s="183"/>
      <c r="M118" s="183"/>
      <c r="N118" s="183"/>
      <c r="O118" s="183"/>
      <c r="P118" s="183"/>
      <c r="Q118" s="183"/>
      <c r="R118" s="183"/>
      <c r="S118" s="183"/>
      <c r="T118" s="183"/>
      <c r="U118" s="183"/>
      <c r="V118" s="183"/>
      <c r="W118" s="183"/>
      <c r="X118" s="183"/>
      <c r="Y118" s="183"/>
    </row>
    <row r="119" spans="1:25" x14ac:dyDescent="0.3">
      <c r="A119" s="183"/>
      <c r="B119" s="183"/>
      <c r="C119" s="183"/>
      <c r="D119" s="183"/>
      <c r="E119" s="183"/>
      <c r="F119" s="183"/>
      <c r="G119" s="183"/>
      <c r="H119" s="183"/>
      <c r="I119" s="183"/>
      <c r="J119" s="183"/>
      <c r="K119" s="183"/>
      <c r="L119" s="183"/>
      <c r="M119" s="183"/>
      <c r="N119" s="183"/>
      <c r="O119" s="183"/>
      <c r="P119" s="183"/>
      <c r="Q119" s="183"/>
      <c r="R119" s="183"/>
      <c r="S119" s="183"/>
      <c r="T119" s="183"/>
      <c r="U119" s="183"/>
      <c r="V119" s="183"/>
      <c r="W119" s="183"/>
      <c r="X119" s="183"/>
      <c r="Y119" s="183"/>
    </row>
    <row r="120" spans="1:25" x14ac:dyDescent="0.3">
      <c r="A120" s="183"/>
      <c r="B120" s="183"/>
      <c r="C120" s="183"/>
      <c r="D120" s="183"/>
      <c r="E120" s="183"/>
      <c r="F120" s="183"/>
      <c r="G120" s="183"/>
      <c r="H120" s="183"/>
      <c r="I120" s="183"/>
      <c r="J120" s="183"/>
      <c r="K120" s="183"/>
      <c r="L120" s="183"/>
      <c r="M120" s="183"/>
      <c r="N120" s="183"/>
      <c r="O120" s="183"/>
      <c r="P120" s="183"/>
      <c r="Q120" s="183"/>
      <c r="R120" s="183"/>
      <c r="S120" s="183"/>
      <c r="T120" s="183"/>
      <c r="U120" s="183"/>
      <c r="V120" s="183"/>
      <c r="W120" s="183"/>
      <c r="X120" s="183"/>
      <c r="Y120" s="183"/>
    </row>
    <row r="121" spans="1:25" x14ac:dyDescent="0.3">
      <c r="A121" s="183"/>
      <c r="B121" s="183"/>
      <c r="C121" s="183"/>
      <c r="D121" s="183"/>
      <c r="E121" s="183"/>
      <c r="F121" s="183"/>
      <c r="G121" s="183"/>
      <c r="H121" s="183"/>
      <c r="I121" s="183"/>
      <c r="J121" s="183"/>
      <c r="K121" s="183"/>
      <c r="L121" s="183"/>
      <c r="M121" s="183"/>
      <c r="N121" s="183"/>
      <c r="O121" s="183"/>
      <c r="P121" s="183"/>
      <c r="Q121" s="183"/>
      <c r="R121" s="183"/>
      <c r="S121" s="183"/>
      <c r="T121" s="183"/>
      <c r="U121" s="183"/>
      <c r="V121" s="183"/>
      <c r="W121" s="183"/>
      <c r="X121" s="183"/>
      <c r="Y121" s="183"/>
    </row>
    <row r="122" spans="1:25" x14ac:dyDescent="0.3">
      <c r="A122" s="183"/>
      <c r="B122" s="183"/>
      <c r="C122" s="183"/>
      <c r="D122" s="183"/>
      <c r="E122" s="183"/>
      <c r="F122" s="183"/>
      <c r="G122" s="183"/>
      <c r="H122" s="183"/>
      <c r="I122" s="183"/>
      <c r="J122" s="183"/>
      <c r="K122" s="183"/>
      <c r="L122" s="183"/>
      <c r="M122" s="183"/>
      <c r="N122" s="183"/>
      <c r="O122" s="183"/>
      <c r="P122" s="183"/>
      <c r="Q122" s="183"/>
      <c r="R122" s="183"/>
      <c r="S122" s="183"/>
      <c r="T122" s="183"/>
      <c r="U122" s="183"/>
      <c r="V122" s="183"/>
      <c r="W122" s="183"/>
      <c r="X122" s="183"/>
      <c r="Y122" s="183"/>
    </row>
    <row r="123" spans="1:25" x14ac:dyDescent="0.3">
      <c r="A123" s="183"/>
      <c r="B123" s="183"/>
      <c r="C123" s="183"/>
      <c r="D123" s="183"/>
      <c r="E123" s="183"/>
      <c r="F123" s="183"/>
      <c r="G123" s="183"/>
      <c r="H123" s="183"/>
      <c r="I123" s="183"/>
      <c r="J123" s="183"/>
      <c r="K123" s="183"/>
      <c r="L123" s="183"/>
      <c r="M123" s="183"/>
      <c r="N123" s="183"/>
      <c r="O123" s="183"/>
      <c r="P123" s="183"/>
      <c r="Q123" s="183"/>
      <c r="R123" s="183"/>
      <c r="S123" s="183"/>
      <c r="T123" s="183"/>
      <c r="U123" s="183"/>
      <c r="V123" s="183"/>
      <c r="W123" s="183"/>
      <c r="X123" s="183"/>
      <c r="Y123" s="183"/>
    </row>
    <row r="124" spans="1:25" x14ac:dyDescent="0.3">
      <c r="A124" s="183"/>
      <c r="B124" s="183"/>
      <c r="C124" s="183"/>
      <c r="D124" s="183"/>
      <c r="E124" s="183"/>
      <c r="F124" s="183"/>
      <c r="G124" s="183"/>
      <c r="H124" s="183"/>
      <c r="I124" s="183"/>
      <c r="J124" s="183"/>
      <c r="K124" s="183"/>
      <c r="L124" s="183"/>
      <c r="M124" s="183"/>
      <c r="N124" s="183"/>
      <c r="O124" s="183"/>
      <c r="P124" s="183"/>
      <c r="Q124" s="183"/>
      <c r="R124" s="183"/>
      <c r="S124" s="183"/>
      <c r="T124" s="183"/>
      <c r="U124" s="183"/>
      <c r="V124" s="183"/>
      <c r="W124" s="183"/>
      <c r="X124" s="183"/>
      <c r="Y124" s="183"/>
    </row>
    <row r="125" spans="1:25" x14ac:dyDescent="0.3">
      <c r="A125" s="183"/>
      <c r="B125" s="183"/>
      <c r="C125" s="183"/>
      <c r="D125" s="183"/>
      <c r="E125" s="183"/>
      <c r="F125" s="183"/>
      <c r="G125" s="183"/>
      <c r="H125" s="183"/>
      <c r="I125" s="183"/>
      <c r="J125" s="183"/>
      <c r="K125" s="183"/>
      <c r="L125" s="183"/>
      <c r="M125" s="183"/>
      <c r="N125" s="183"/>
      <c r="O125" s="183"/>
      <c r="P125" s="183"/>
      <c r="Q125" s="183"/>
      <c r="R125" s="183"/>
      <c r="S125" s="183"/>
      <c r="T125" s="183"/>
      <c r="U125" s="183"/>
      <c r="V125" s="183"/>
      <c r="W125" s="183"/>
      <c r="X125" s="183"/>
      <c r="Y125" s="183"/>
    </row>
  </sheetData>
  <sheetProtection algorithmName="SHA-512" hashValue="HjNMlo+gcmC8viGIrFpiI6f6cGR63Q+AQ1yW2aH/H0XI1s4/3LekHQ9jOuGy8elDXliiLGvWViLCeWr4q4UYEw==" saltValue="zO9qYh5rVbbvCRUaKGBHGw==" spinCount="100000" sheet="1" objects="1" scenarios="1" formatCells="0" formatColumns="0" formatRows="0"/>
  <conditionalFormatting sqref="B14">
    <cfRule type="containsText" dxfId="58" priority="18" operator="containsText" text="Incomplete">
      <formula>NOT(ISERROR(SEARCH("Incomplete",B14)))</formula>
    </cfRule>
    <cfRule type="containsText" dxfId="57" priority="19" operator="containsText" text="OK">
      <formula>NOT(ISERROR(SEARCH("OK",B14)))</formula>
    </cfRule>
  </conditionalFormatting>
  <conditionalFormatting sqref="B15">
    <cfRule type="containsText" dxfId="56" priority="10" operator="containsText" text="Incomplete">
      <formula>NOT(ISERROR(SEARCH("Incomplete",B15)))</formula>
    </cfRule>
    <cfRule type="containsText" dxfId="55" priority="11" operator="containsText" text="OK">
      <formula>NOT(ISERROR(SEARCH("OK",B15)))</formula>
    </cfRule>
  </conditionalFormatting>
  <conditionalFormatting sqref="B13">
    <cfRule type="containsText" dxfId="54" priority="12" operator="containsText" text="Incomplete">
      <formula>NOT(ISERROR(SEARCH("Incomplete",B13)))</formula>
    </cfRule>
    <cfRule type="containsText" dxfId="53" priority="13" operator="containsText" text="OK">
      <formula>NOT(ISERROR(SEARCH("OK",B13)))</formula>
    </cfRule>
  </conditionalFormatting>
  <conditionalFormatting sqref="B13:B53">
    <cfRule type="containsText" dxfId="52" priority="8" operator="containsText" text="Incomplete">
      <formula>NOT(ISERROR(SEARCH("Incomplete",B13)))</formula>
    </cfRule>
    <cfRule type="containsText" dxfId="51" priority="9" operator="containsText" text="OK">
      <formula>NOT(ISERROR(SEARCH("OK",B13)))</formula>
    </cfRule>
  </conditionalFormatting>
  <conditionalFormatting sqref="B53">
    <cfRule type="containsText" dxfId="50" priority="6" operator="containsText" text="Incomplete">
      <formula>NOT(ISERROR(SEARCH("Incomplete",B53)))</formula>
    </cfRule>
    <cfRule type="containsText" dxfId="49" priority="7" operator="containsText" text="OK">
      <formula>NOT(ISERROR(SEARCH("OK",B53)))</formula>
    </cfRule>
  </conditionalFormatting>
  <conditionalFormatting sqref="B24:B43">
    <cfRule type="containsText" dxfId="48" priority="2" operator="containsText" text="Incomplete">
      <formula>NOT(ISERROR(SEARCH("Incomplete",B24)))</formula>
    </cfRule>
    <cfRule type="containsText" dxfId="47" priority="3" operator="containsText" text="OK">
      <formula>NOT(ISERROR(SEARCH("OK",B24)))</formula>
    </cfRule>
  </conditionalFormatting>
  <conditionalFormatting sqref="B13:B53">
    <cfRule type="cellIs" dxfId="46" priority="1" operator="equal">
      <formula>"CAPACITY"</formula>
    </cfRule>
  </conditionalFormatting>
  <dataValidations count="5">
    <dataValidation type="list" allowBlank="1" showInputMessage="1" sqref="F13:F53">
      <formula1>Refrigerants4</formula1>
    </dataValidation>
    <dataValidation type="list" allowBlank="1" showInputMessage="1" showErrorMessage="1" sqref="E13:E53">
      <formula1>EquipType2</formula1>
    </dataValidation>
    <dataValidation type="list" allowBlank="1" showInputMessage="1" showErrorMessage="1" sqref="D13:D53">
      <formula1>FedBuildingType2</formula1>
    </dataValidation>
    <dataValidation type="list" allowBlank="1" showInputMessage="1" showErrorMessage="1" errorTitle="Incorrect Facility Name" error="In the &quot;Inputs&quot; page, please add your facility or region name to the list. You can then select it here from the drop down list." sqref="C14:C53">
      <formula1>Facility</formula1>
    </dataValidation>
    <dataValidation type="decimal" allowBlank="1" showInputMessage="1" showErrorMessage="1" errorTitle="WARNING!" error="F-gas recovered from retiring equipment should not exceed full capacity of retiring equipment." sqref="K13:K53">
      <formula1>0</formula1>
      <formula2>J13</formula2>
    </dataValidation>
  </dataValidations>
  <hyperlinks>
    <hyperlink ref="P20" r:id="rId1"/>
  </hyperlinks>
  <pageMargins left="0.7" right="0.7" top="0.75" bottom="0.75" header="0.3" footer="0.3"/>
  <pageSetup orientation="portrait" r:id="rId2"/>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3"/>
  </sheetPr>
  <dimension ref="A1:BI82"/>
  <sheetViews>
    <sheetView showGridLines="0" showRowColHeaders="0" zoomScale="90" zoomScaleNormal="90" workbookViewId="0">
      <pane xSplit="3" ySplit="12" topLeftCell="D13" activePane="bottomRight" state="frozen"/>
      <selection pane="topRight" activeCell="D1" sqref="D1"/>
      <selection pane="bottomLeft" activeCell="A13" sqref="A13"/>
      <selection pane="bottomRight"/>
    </sheetView>
  </sheetViews>
  <sheetFormatPr defaultRowHeight="14.4" x14ac:dyDescent="0.3"/>
  <cols>
    <col min="1" max="1" width="2.88671875" customWidth="1"/>
    <col min="2" max="2" width="11.88671875" customWidth="1"/>
    <col min="3" max="3" width="19" customWidth="1"/>
    <col min="4" max="4" width="29.44140625" customWidth="1"/>
    <col min="5" max="5" width="42.6640625" customWidth="1"/>
    <col min="6" max="6" width="22" customWidth="1"/>
    <col min="7" max="7" width="18.88671875" hidden="1" customWidth="1"/>
    <col min="8" max="8" width="17.88671875" hidden="1" customWidth="1"/>
    <col min="9" max="10" width="17.88671875" customWidth="1"/>
    <col min="11" max="12" width="18.6640625" hidden="1" customWidth="1"/>
    <col min="13" max="13" width="14.44140625" customWidth="1"/>
    <col min="14" max="14" width="16.109375" customWidth="1"/>
    <col min="15" max="15" width="48.109375" customWidth="1"/>
  </cols>
  <sheetData>
    <row r="1" spans="1:61" ht="7.5" customHeight="1" x14ac:dyDescent="0.3">
      <c r="A1" s="44"/>
      <c r="B1" s="44"/>
      <c r="C1" s="44"/>
      <c r="D1" s="44"/>
      <c r="E1" s="44"/>
      <c r="F1" s="44"/>
      <c r="G1" s="44"/>
      <c r="H1" s="44"/>
      <c r="I1" s="44"/>
      <c r="J1" s="44"/>
      <c r="K1" s="44"/>
      <c r="L1" s="44"/>
      <c r="M1" s="44"/>
      <c r="N1" s="44"/>
      <c r="O1" s="44"/>
      <c r="P1" s="44"/>
      <c r="Q1" s="44"/>
      <c r="R1" s="44"/>
      <c r="S1" s="44"/>
      <c r="T1" s="44"/>
      <c r="U1" s="44"/>
      <c r="V1" s="44"/>
      <c r="W1" s="44"/>
      <c r="X1" s="44"/>
      <c r="Y1" s="44"/>
      <c r="Z1" s="44"/>
      <c r="AA1" s="44"/>
      <c r="AB1" s="44"/>
      <c r="AC1" s="44"/>
      <c r="AD1" s="44"/>
      <c r="AE1" s="44"/>
      <c r="AF1" s="44"/>
      <c r="AG1" s="44"/>
      <c r="AH1" s="44"/>
      <c r="AI1" s="44"/>
      <c r="AJ1" s="44"/>
      <c r="AK1" s="44"/>
      <c r="AL1" s="44"/>
    </row>
    <row r="2" spans="1:61" ht="27" customHeight="1" x14ac:dyDescent="0.65">
      <c r="A2" s="44"/>
      <c r="B2" s="44"/>
      <c r="C2" s="45" t="s">
        <v>493</v>
      </c>
      <c r="D2" s="45"/>
      <c r="E2" s="44"/>
      <c r="F2" s="44"/>
      <c r="G2" s="44"/>
      <c r="H2" s="44"/>
      <c r="I2" s="44"/>
      <c r="J2" s="44"/>
      <c r="K2" s="44"/>
      <c r="L2" s="44"/>
      <c r="M2" s="44"/>
      <c r="N2" s="44"/>
      <c r="O2" s="44"/>
      <c r="P2" s="44"/>
      <c r="Q2" s="44"/>
      <c r="R2" s="44"/>
      <c r="S2" s="44"/>
      <c r="T2" s="44"/>
      <c r="U2" s="44"/>
      <c r="V2" s="44"/>
      <c r="W2" s="44"/>
      <c r="X2" s="44"/>
      <c r="Y2" s="44"/>
      <c r="Z2" s="44"/>
      <c r="AA2" s="44"/>
      <c r="AB2" s="44"/>
      <c r="AC2" s="44"/>
      <c r="AD2" s="44"/>
      <c r="AE2" s="44"/>
      <c r="AF2" s="44"/>
      <c r="AG2" s="44"/>
      <c r="AH2" s="44"/>
      <c r="AI2" s="44"/>
      <c r="AJ2" s="44"/>
      <c r="AK2" s="44"/>
      <c r="AL2" s="44"/>
    </row>
    <row r="3" spans="1:61" ht="7.5" customHeight="1" thickBot="1" x14ac:dyDescent="0.35">
      <c r="A3" s="46"/>
      <c r="B3" s="46"/>
      <c r="C3" s="47"/>
      <c r="D3" s="47"/>
      <c r="E3" s="47"/>
      <c r="F3" s="47"/>
      <c r="G3" s="47"/>
      <c r="H3" s="47"/>
      <c r="I3" s="47"/>
      <c r="J3" s="47"/>
      <c r="K3" s="47"/>
      <c r="L3" s="47"/>
      <c r="M3" s="47"/>
      <c r="N3" s="47"/>
      <c r="O3" s="47"/>
      <c r="P3" s="47"/>
      <c r="Q3" s="47"/>
      <c r="R3" s="47"/>
      <c r="S3" s="47"/>
      <c r="T3" s="47"/>
      <c r="U3" s="47"/>
      <c r="V3" s="47"/>
      <c r="W3" s="47"/>
      <c r="X3" s="47"/>
      <c r="Y3" s="47"/>
      <c r="Z3" s="47"/>
      <c r="AA3" s="47"/>
      <c r="AB3" s="47"/>
      <c r="AC3" s="47"/>
      <c r="AD3" s="47"/>
      <c r="AE3" s="47"/>
      <c r="AF3" s="47"/>
      <c r="AG3" s="47"/>
      <c r="AH3" s="47"/>
      <c r="AI3" s="47"/>
      <c r="AJ3" s="47"/>
      <c r="AK3" s="47"/>
      <c r="AL3" s="47"/>
    </row>
    <row r="4" spans="1:61" ht="18.600000000000001" thickTop="1" x14ac:dyDescent="0.35">
      <c r="A4" s="44"/>
      <c r="B4" s="44"/>
      <c r="C4" s="48" t="s">
        <v>480</v>
      </c>
      <c r="D4" s="48"/>
      <c r="E4" s="44"/>
      <c r="F4" s="44"/>
      <c r="G4" s="44"/>
      <c r="H4" s="44"/>
      <c r="I4" s="44"/>
      <c r="J4" s="44"/>
      <c r="K4" s="44"/>
      <c r="L4" s="44"/>
      <c r="M4" s="44"/>
      <c r="N4" s="44"/>
      <c r="O4" s="44"/>
      <c r="P4" s="44"/>
      <c r="Q4" s="44"/>
      <c r="R4" s="44"/>
      <c r="S4" s="44"/>
      <c r="T4" s="44"/>
      <c r="U4" s="44"/>
      <c r="V4" s="44"/>
      <c r="W4" s="44"/>
      <c r="X4" s="44"/>
      <c r="Y4" s="44"/>
      <c r="Z4" s="44"/>
      <c r="AA4" s="44"/>
      <c r="AB4" s="44"/>
      <c r="AC4" s="44"/>
      <c r="AD4" s="44"/>
      <c r="AE4" s="44"/>
      <c r="AF4" s="44"/>
      <c r="AG4" s="44"/>
      <c r="AH4" s="44"/>
      <c r="AI4" s="44"/>
      <c r="AJ4" s="44"/>
      <c r="AK4" s="44"/>
      <c r="AL4" s="44"/>
    </row>
    <row r="5" spans="1:61" ht="18" x14ac:dyDescent="0.35">
      <c r="A5" s="44"/>
      <c r="B5" s="44"/>
      <c r="C5" s="48" t="s">
        <v>488</v>
      </c>
      <c r="D5" s="48"/>
      <c r="E5" s="44"/>
      <c r="F5" s="44"/>
      <c r="G5" s="44"/>
      <c r="H5" s="44"/>
      <c r="I5" s="44"/>
      <c r="J5" s="44"/>
      <c r="K5" s="44"/>
      <c r="L5" s="44"/>
      <c r="M5" s="44"/>
      <c r="N5" s="44"/>
      <c r="O5" s="44"/>
      <c r="P5" s="44"/>
      <c r="Q5" s="44"/>
      <c r="R5" s="44"/>
      <c r="S5" s="44"/>
      <c r="T5" s="44"/>
      <c r="U5" s="44"/>
      <c r="V5" s="44"/>
      <c r="W5" s="44"/>
      <c r="X5" s="44"/>
      <c r="Y5" s="44"/>
      <c r="Z5" s="44"/>
      <c r="AA5" s="44"/>
      <c r="AB5" s="44"/>
      <c r="AC5" s="44"/>
      <c r="AD5" s="44"/>
      <c r="AE5" s="44"/>
      <c r="AF5" s="44"/>
      <c r="AG5" s="44"/>
      <c r="AH5" s="44"/>
      <c r="AI5" s="44"/>
      <c r="AJ5" s="44"/>
      <c r="AK5" s="44"/>
      <c r="AL5" s="44"/>
    </row>
    <row r="6" spans="1:61" ht="4.5" customHeight="1" thickBot="1" x14ac:dyDescent="0.35">
      <c r="F6" s="183"/>
      <c r="G6" s="183"/>
      <c r="H6" s="183"/>
      <c r="I6" s="183"/>
      <c r="J6" s="183"/>
      <c r="K6" s="183"/>
      <c r="L6" s="183"/>
      <c r="M6" s="183"/>
      <c r="N6" s="183"/>
      <c r="O6" s="183"/>
      <c r="P6" s="183"/>
      <c r="Q6" s="183"/>
      <c r="R6" s="183"/>
      <c r="S6" s="183"/>
      <c r="T6" s="183"/>
      <c r="U6" s="183"/>
      <c r="V6" s="183"/>
      <c r="W6" s="183"/>
    </row>
    <row r="7" spans="1:61" ht="20.25" customHeight="1" x14ac:dyDescent="0.3">
      <c r="B7" s="543" t="s">
        <v>492</v>
      </c>
      <c r="C7" s="544"/>
      <c r="D7" s="352" t="s">
        <v>382</v>
      </c>
      <c r="E7" s="170"/>
      <c r="G7" s="183"/>
      <c r="H7" s="183"/>
      <c r="I7" s="558" t="str">
        <f>IF(COUNTIF($B$14:$B$53,"Negative")&gt;0,O29,"")</f>
        <v/>
      </c>
      <c r="J7" s="558"/>
      <c r="K7" s="558"/>
      <c r="L7" s="558"/>
      <c r="M7" s="558"/>
      <c r="N7" s="558"/>
      <c r="O7" s="558"/>
      <c r="P7" s="183"/>
      <c r="R7" s="183"/>
      <c r="S7" s="183"/>
      <c r="T7" s="183"/>
      <c r="U7" s="183"/>
      <c r="V7" s="183"/>
      <c r="W7" s="183"/>
      <c r="X7" s="183"/>
      <c r="Y7" s="183"/>
      <c r="Z7" s="183"/>
      <c r="AA7" s="183"/>
      <c r="AB7" s="183"/>
      <c r="AC7" s="183"/>
      <c r="AD7" s="183"/>
      <c r="AE7" s="183"/>
      <c r="AF7" s="472"/>
      <c r="AG7" s="472"/>
      <c r="AH7" s="183"/>
      <c r="AI7" s="183"/>
      <c r="AJ7" s="183"/>
      <c r="AK7" s="183"/>
      <c r="AL7" s="183"/>
      <c r="AM7" s="183"/>
      <c r="AN7" s="183"/>
      <c r="AO7" s="183"/>
      <c r="AP7" s="183"/>
      <c r="AQ7" s="183"/>
      <c r="AR7" s="183"/>
      <c r="AS7" s="183"/>
      <c r="AT7" s="183"/>
      <c r="AU7" s="183"/>
      <c r="AV7" s="183"/>
      <c r="AW7" s="183"/>
      <c r="AX7" s="183"/>
      <c r="AY7" s="183"/>
      <c r="AZ7" s="183"/>
      <c r="BA7" s="183"/>
      <c r="BB7" s="183"/>
      <c r="BC7" s="183"/>
      <c r="BD7" s="183"/>
      <c r="BE7" s="183"/>
      <c r="BF7" s="183"/>
      <c r="BG7" s="183"/>
      <c r="BH7" s="183"/>
      <c r="BI7" s="183"/>
    </row>
    <row r="8" spans="1:61" ht="20.25" customHeight="1" x14ac:dyDescent="0.3">
      <c r="B8" s="355"/>
      <c r="C8" s="356"/>
      <c r="D8" s="353" t="s">
        <v>383</v>
      </c>
      <c r="E8" s="174"/>
      <c r="G8" s="183"/>
      <c r="H8" s="183"/>
      <c r="I8" s="558"/>
      <c r="J8" s="558"/>
      <c r="K8" s="558"/>
      <c r="L8" s="558"/>
      <c r="M8" s="558"/>
      <c r="N8" s="558"/>
      <c r="O8" s="558"/>
      <c r="P8" s="183"/>
      <c r="Q8" s="183"/>
      <c r="R8" s="183"/>
      <c r="S8" s="183"/>
      <c r="T8" s="183"/>
      <c r="U8" s="183"/>
      <c r="V8" s="183"/>
      <c r="W8" s="183"/>
      <c r="X8" s="183"/>
      <c r="Y8" s="183"/>
      <c r="Z8" s="183"/>
      <c r="AA8" s="183"/>
      <c r="AB8" s="183"/>
      <c r="AC8" s="183"/>
      <c r="AD8" s="183"/>
      <c r="AE8" s="183"/>
      <c r="AF8" s="472"/>
      <c r="AG8" s="472"/>
      <c r="AH8" s="183"/>
      <c r="AI8" s="183"/>
      <c r="AJ8" s="183"/>
      <c r="AK8" s="183"/>
      <c r="AL8" s="183"/>
      <c r="AM8" s="183"/>
      <c r="AN8" s="183"/>
      <c r="AO8" s="183"/>
      <c r="AP8" s="183"/>
      <c r="AQ8" s="183"/>
      <c r="AR8" s="183"/>
      <c r="AS8" s="183"/>
      <c r="AT8" s="183"/>
      <c r="AU8" s="183"/>
      <c r="AV8" s="183"/>
      <c r="AW8" s="183"/>
      <c r="AX8" s="183"/>
      <c r="AY8" s="183"/>
      <c r="AZ8" s="183"/>
      <c r="BA8" s="183"/>
      <c r="BB8" s="183"/>
      <c r="BC8" s="183"/>
      <c r="BD8" s="183"/>
      <c r="BE8" s="183"/>
      <c r="BF8" s="183"/>
      <c r="BG8" s="183"/>
      <c r="BH8" s="183"/>
      <c r="BI8" s="183"/>
    </row>
    <row r="9" spans="1:61" ht="20.25" customHeight="1" thickBot="1" x14ac:dyDescent="0.4">
      <c r="B9" s="357">
        <v>2</v>
      </c>
      <c r="C9" s="358"/>
      <c r="D9" s="354" t="s">
        <v>384</v>
      </c>
      <c r="E9" s="172"/>
      <c r="G9" s="184" t="s">
        <v>454</v>
      </c>
      <c r="H9" s="184" t="s">
        <v>455</v>
      </c>
      <c r="I9" s="184" t="s">
        <v>783</v>
      </c>
      <c r="J9" s="184" t="s">
        <v>784</v>
      </c>
      <c r="K9" s="184" t="s">
        <v>456</v>
      </c>
      <c r="L9" s="184" t="s">
        <v>457</v>
      </c>
      <c r="M9" s="3"/>
      <c r="O9" s="175"/>
      <c r="P9" s="176"/>
    </row>
    <row r="10" spans="1:61" ht="4.5" customHeight="1" thickBot="1" x14ac:dyDescent="0.35">
      <c r="G10" s="184"/>
      <c r="H10" s="184"/>
      <c r="I10" s="184"/>
      <c r="J10" s="184"/>
      <c r="K10" s="184"/>
      <c r="L10" s="184"/>
      <c r="M10" s="3"/>
      <c r="O10" s="4"/>
      <c r="T10" s="1"/>
    </row>
    <row r="11" spans="1:61" ht="57.6" x14ac:dyDescent="0.3">
      <c r="B11" s="110" t="s">
        <v>497</v>
      </c>
      <c r="C11" s="111" t="s">
        <v>498</v>
      </c>
      <c r="D11" s="111" t="s">
        <v>499</v>
      </c>
      <c r="E11" s="111" t="s">
        <v>500</v>
      </c>
      <c r="F11" s="112" t="s">
        <v>501</v>
      </c>
      <c r="G11" s="206" t="s">
        <v>657</v>
      </c>
      <c r="H11" s="206" t="s">
        <v>656</v>
      </c>
      <c r="I11" s="206" t="s">
        <v>781</v>
      </c>
      <c r="J11" s="206" t="s">
        <v>782</v>
      </c>
      <c r="K11" s="206" t="s">
        <v>655</v>
      </c>
      <c r="L11" s="206" t="s">
        <v>654</v>
      </c>
      <c r="M11" s="111" t="s">
        <v>651</v>
      </c>
      <c r="N11" s="113" t="s">
        <v>653</v>
      </c>
      <c r="O11" s="168" t="s">
        <v>473</v>
      </c>
      <c r="Z11" s="183"/>
      <c r="AA11" s="183"/>
      <c r="AB11" s="183"/>
      <c r="AC11" s="183"/>
      <c r="AD11" s="183"/>
      <c r="AE11" s="183"/>
      <c r="AF11" s="183"/>
      <c r="AG11" s="183"/>
    </row>
    <row r="12" spans="1:61" ht="15.75" customHeight="1" x14ac:dyDescent="0.35">
      <c r="B12" s="405"/>
      <c r="C12" s="406"/>
      <c r="D12" s="406"/>
      <c r="E12" s="406"/>
      <c r="F12" s="407"/>
      <c r="G12" s="411" t="s">
        <v>650</v>
      </c>
      <c r="H12" s="411" t="s">
        <v>650</v>
      </c>
      <c r="I12" s="411" t="s">
        <v>650</v>
      </c>
      <c r="J12" s="411" t="s">
        <v>650</v>
      </c>
      <c r="K12" s="411" t="s">
        <v>650</v>
      </c>
      <c r="L12" s="411" t="s">
        <v>650</v>
      </c>
      <c r="M12" s="406" t="s">
        <v>652</v>
      </c>
      <c r="N12" s="408" t="s">
        <v>774</v>
      </c>
      <c r="O12" s="139" t="s">
        <v>474</v>
      </c>
      <c r="Z12" s="183"/>
      <c r="AA12" s="183"/>
      <c r="AB12" s="183"/>
      <c r="AC12" s="183"/>
      <c r="AD12" s="183"/>
      <c r="AE12" s="183"/>
      <c r="AF12" s="183"/>
      <c r="AG12" s="183"/>
    </row>
    <row r="13" spans="1:61" x14ac:dyDescent="0.3">
      <c r="B13" s="114" t="str">
        <f t="shared" ref="B13:B16" si="0">IF(AND(C13=0,F13=0,ISBLANK(G13),ISBLANK(H13),ISBLANK(I13),ISBLANK(J13),ISBLANK(K13),ISBLANK(L13)),"",IF($B$9=2,IF(OR(C13=0,F13=0,ISBLANK(I13),ISBLANK(J13)),"INCOMPLETE",IF(M13&lt;0,"NEGATIVE","OK")),IF(OR(C13=0,F13=0,ISBLANK(G13),ISBLANK(H13),ISBLANK(I13),ISBLANK(J13),ISBLANK(K13),ISBLANK(L13)),"INCOMPLETE",IF(M13&lt;0,"NEGATIVE","OK"))))</f>
        <v>OK</v>
      </c>
      <c r="C13" s="200" t="s">
        <v>300</v>
      </c>
      <c r="D13" s="186" t="s">
        <v>106</v>
      </c>
      <c r="E13" s="186" t="s">
        <v>612</v>
      </c>
      <c r="F13" s="201" t="s">
        <v>191</v>
      </c>
      <c r="G13" s="190">
        <v>0</v>
      </c>
      <c r="H13" s="190">
        <v>0</v>
      </c>
      <c r="I13" s="190">
        <v>31</v>
      </c>
      <c r="J13" s="190">
        <v>0</v>
      </c>
      <c r="K13" s="190">
        <v>0</v>
      </c>
      <c r="L13" s="190">
        <v>0</v>
      </c>
      <c r="M13" s="489">
        <f>IF(F13="Non-HFC",0,(G13-H13+I13-J13+K13-L13)*Conversions!$C$4)</f>
        <v>1.40616E-2</v>
      </c>
      <c r="N13" s="490">
        <f>IF(F13=0,"",M13*VLOOKUP(F13,Lists!$C$72:$S$152,COLUMNS(Lists!$C$72:$S$72),0))</f>
        <v>55.143970560000007</v>
      </c>
      <c r="O13" t="s">
        <v>12</v>
      </c>
      <c r="Z13" s="183"/>
      <c r="AA13" s="183"/>
      <c r="AB13" s="183"/>
      <c r="AC13" s="183"/>
      <c r="AD13" s="183"/>
      <c r="AE13" s="183"/>
      <c r="AF13" s="183"/>
      <c r="AG13" s="183"/>
    </row>
    <row r="14" spans="1:61" x14ac:dyDescent="0.3">
      <c r="B14" s="114" t="str">
        <f t="shared" si="0"/>
        <v/>
      </c>
      <c r="C14" s="187"/>
      <c r="D14" s="202"/>
      <c r="E14" s="202"/>
      <c r="F14" s="182"/>
      <c r="G14" s="203"/>
      <c r="H14" s="203"/>
      <c r="I14" s="203"/>
      <c r="J14" s="203"/>
      <c r="K14" s="203"/>
      <c r="L14" s="203"/>
      <c r="M14" s="434">
        <f>IF(F14="Non-HFC",0,(G14-H14+I14-J14+K14-L14)*Conversions!$C$4)</f>
        <v>0</v>
      </c>
      <c r="N14" s="436">
        <f>'Emissions Database'!BS4</f>
        <v>0</v>
      </c>
      <c r="O14" s="177" t="s">
        <v>475</v>
      </c>
      <c r="P14" s="178"/>
      <c r="Q14" s="178"/>
      <c r="R14" s="178"/>
      <c r="S14" s="178"/>
      <c r="T14" s="178"/>
      <c r="U14" s="178"/>
      <c r="V14" s="178"/>
      <c r="W14" s="178"/>
      <c r="X14" s="178"/>
      <c r="Z14" s="183"/>
      <c r="AA14" s="183"/>
      <c r="AB14" s="183"/>
      <c r="AC14" s="183"/>
      <c r="AD14" s="183"/>
      <c r="AE14" s="183"/>
      <c r="AF14" s="183"/>
      <c r="AG14" s="183"/>
    </row>
    <row r="15" spans="1:61" ht="15" customHeight="1" x14ac:dyDescent="0.3">
      <c r="B15" s="114" t="str">
        <f t="shared" si="0"/>
        <v/>
      </c>
      <c r="C15" s="187"/>
      <c r="D15" s="202"/>
      <c r="E15" s="202"/>
      <c r="F15" s="182"/>
      <c r="G15" s="203"/>
      <c r="H15" s="203"/>
      <c r="I15" s="203"/>
      <c r="J15" s="203"/>
      <c r="K15" s="203"/>
      <c r="L15" s="203"/>
      <c r="M15" s="434">
        <f>IF(F15="Non-HFC",0,(G15-H15+I15-J15+K15-L15)*Conversions!$C$4)</f>
        <v>0</v>
      </c>
      <c r="N15" s="436">
        <f>'Emissions Database'!BS5</f>
        <v>0</v>
      </c>
      <c r="O15" s="556" t="s">
        <v>476</v>
      </c>
      <c r="P15" s="557"/>
      <c r="Q15" s="557"/>
      <c r="R15" s="557"/>
      <c r="S15" s="557"/>
      <c r="T15" s="557"/>
      <c r="U15" s="424"/>
      <c r="V15" s="424"/>
      <c r="W15" s="424"/>
      <c r="X15" s="424"/>
      <c r="Z15" s="183"/>
      <c r="AA15" s="183"/>
      <c r="AB15" s="183"/>
      <c r="AC15" s="183"/>
      <c r="AD15" s="183"/>
      <c r="AE15" s="183"/>
      <c r="AF15" s="183"/>
      <c r="AG15" s="183"/>
    </row>
    <row r="16" spans="1:61" x14ac:dyDescent="0.3">
      <c r="B16" s="114" t="str">
        <f t="shared" si="0"/>
        <v/>
      </c>
      <c r="C16" s="187"/>
      <c r="D16" s="202"/>
      <c r="E16" s="202"/>
      <c r="F16" s="182"/>
      <c r="G16" s="203"/>
      <c r="H16" s="203"/>
      <c r="I16" s="203"/>
      <c r="J16" s="203"/>
      <c r="K16" s="203"/>
      <c r="L16" s="203"/>
      <c r="M16" s="434">
        <f>IF(F16="Non-HFC",0,(G16-H16+I16-J16+K16-L16)*Conversions!$C$4)</f>
        <v>0</v>
      </c>
      <c r="N16" s="436">
        <f>'Emissions Database'!BS6</f>
        <v>0</v>
      </c>
      <c r="O16" s="556"/>
      <c r="P16" s="557"/>
      <c r="Q16" s="557"/>
      <c r="R16" s="557"/>
      <c r="S16" s="557"/>
      <c r="T16" s="557"/>
      <c r="U16" s="424"/>
      <c r="V16" s="424"/>
      <c r="W16" s="424"/>
      <c r="X16" s="424"/>
      <c r="Z16" s="183"/>
      <c r="AA16" s="183"/>
      <c r="AB16" s="183"/>
      <c r="AC16" s="183"/>
      <c r="AD16" s="183"/>
      <c r="AE16" s="183"/>
      <c r="AF16" s="183"/>
      <c r="AG16" s="183"/>
    </row>
    <row r="17" spans="2:33" x14ac:dyDescent="0.3">
      <c r="B17" s="114" t="str">
        <f>IF(AND(C17=0,F17=0,ISBLANK(G17),ISBLANK(H17),ISBLANK(I17),ISBLANK(J17),ISBLANK(K17),ISBLANK(L17)),"",IF($B$9=2,IF(OR(C17=0,F17=0,ISBLANK(I17),ISBLANK(J17)),"INCOMPLETE",IF(M17&lt;0,"NEGATIVE","OK")),IF(OR(C17=0,F17=0,ISBLANK(G17),ISBLANK(H17),ISBLANK(I17),ISBLANK(J17),ISBLANK(K17),ISBLANK(L17)),"INCOMPLETE",IF(M17&lt;0,"NEGATIVE","OK"))))</f>
        <v/>
      </c>
      <c r="C17" s="187"/>
      <c r="D17" s="202"/>
      <c r="E17" s="202"/>
      <c r="F17" s="182"/>
      <c r="G17" s="203"/>
      <c r="H17" s="203"/>
      <c r="I17" s="203"/>
      <c r="J17" s="203"/>
      <c r="K17" s="203"/>
      <c r="L17" s="203"/>
      <c r="M17" s="434">
        <f>IF(F17="Non-HFC",0,(G17-H17+I17-J17+K17-L17)*Conversions!$C$4)</f>
        <v>0</v>
      </c>
      <c r="N17" s="436">
        <f>'Emissions Database'!BS7</f>
        <v>0</v>
      </c>
      <c r="O17" s="141" t="s">
        <v>471</v>
      </c>
      <c r="Z17" s="183"/>
      <c r="AA17" s="183"/>
      <c r="AB17" s="183"/>
      <c r="AC17" s="183"/>
      <c r="AD17" s="183"/>
      <c r="AE17" s="183"/>
      <c r="AF17" s="183"/>
      <c r="AG17" s="183"/>
    </row>
    <row r="18" spans="2:33" x14ac:dyDescent="0.3">
      <c r="B18" s="114" t="str">
        <f t="shared" ref="B18:B53" si="1">IF(AND(C18=0,F18=0,ISBLANK(G18),ISBLANK(H18),ISBLANK(I18),ISBLANK(J18),ISBLANK(K18),ISBLANK(L18)),"",IF($B$9=2,IF(OR(C18=0,F18=0,ISBLANK(I18),ISBLANK(J18)),"INCOMPLETE",IF(M18&lt;0,"NEGATIVE","OK")),IF(OR(C18=0,F18=0,ISBLANK(G18),ISBLANK(H18),ISBLANK(I18),ISBLANK(J18),ISBLANK(K18),ISBLANK(L18)),"INCOMPLETE",IF(M18&lt;0,"NEGATIVE","OK"))))</f>
        <v/>
      </c>
      <c r="C18" s="187"/>
      <c r="D18" s="202"/>
      <c r="E18" s="202"/>
      <c r="F18" s="182"/>
      <c r="G18" s="203"/>
      <c r="H18" s="203"/>
      <c r="I18" s="203"/>
      <c r="J18" s="203"/>
      <c r="K18" s="203"/>
      <c r="L18" s="203"/>
      <c r="M18" s="434">
        <f>IF(F18="Non-HFC",0,(G18-H18+I18-J18+K18-L18)*Conversions!$C$4)</f>
        <v>0</v>
      </c>
      <c r="N18" s="436">
        <f>'Emissions Database'!BS8</f>
        <v>0</v>
      </c>
      <c r="Z18" s="183"/>
      <c r="AA18" s="183"/>
      <c r="AB18" s="183"/>
      <c r="AC18" s="183"/>
      <c r="AD18" s="183"/>
      <c r="AE18" s="183"/>
      <c r="AF18" s="183"/>
      <c r="AG18" s="183"/>
    </row>
    <row r="19" spans="2:33" ht="15" customHeight="1" x14ac:dyDescent="0.3">
      <c r="B19" s="114" t="str">
        <f t="shared" si="1"/>
        <v/>
      </c>
      <c r="C19" s="187"/>
      <c r="D19" s="202"/>
      <c r="E19" s="202"/>
      <c r="F19" s="182"/>
      <c r="G19" s="203"/>
      <c r="H19" s="203"/>
      <c r="I19" s="203"/>
      <c r="J19" s="203"/>
      <c r="K19" s="203"/>
      <c r="L19" s="203"/>
      <c r="M19" s="434">
        <f>IF(F19="Non-HFC",0,(G19-H19+I19-J19+K19-L19)*Conversions!$C$4)</f>
        <v>0</v>
      </c>
      <c r="N19" s="436">
        <f>'Emissions Database'!BS9</f>
        <v>0</v>
      </c>
      <c r="O19" s="168" t="s">
        <v>0</v>
      </c>
      <c r="Z19" s="183"/>
      <c r="AA19" s="183"/>
      <c r="AB19" s="183"/>
      <c r="AC19" s="183"/>
      <c r="AD19" s="183"/>
      <c r="AE19" s="183"/>
      <c r="AF19" s="183"/>
      <c r="AG19" s="183"/>
    </row>
    <row r="20" spans="2:33" ht="14.25" customHeight="1" x14ac:dyDescent="0.3">
      <c r="B20" s="114" t="str">
        <f t="shared" si="1"/>
        <v/>
      </c>
      <c r="C20" s="187"/>
      <c r="D20" s="202"/>
      <c r="E20" s="202"/>
      <c r="F20" s="182"/>
      <c r="G20" s="203"/>
      <c r="H20" s="203"/>
      <c r="I20" s="203"/>
      <c r="J20" s="203"/>
      <c r="K20" s="203"/>
      <c r="L20" s="203"/>
      <c r="M20" s="434">
        <f>IF(F20="Non-HFC",0,(G20-H20+I20-J20+K20-L20)*Conversions!$C$4)</f>
        <v>0</v>
      </c>
      <c r="N20" s="436">
        <f>'Emissions Database'!BS10</f>
        <v>0</v>
      </c>
      <c r="O20" s="139" t="s">
        <v>3</v>
      </c>
      <c r="Z20" s="183"/>
      <c r="AA20" s="183"/>
      <c r="AB20" s="183"/>
      <c r="AC20" s="183"/>
      <c r="AD20" s="183"/>
      <c r="AE20" s="183"/>
      <c r="AF20" s="183"/>
      <c r="AG20" s="183"/>
    </row>
    <row r="21" spans="2:33" x14ac:dyDescent="0.3">
      <c r="B21" s="114" t="str">
        <f t="shared" si="1"/>
        <v/>
      </c>
      <c r="C21" s="187"/>
      <c r="D21" s="202"/>
      <c r="E21" s="202"/>
      <c r="F21" s="182"/>
      <c r="G21" s="203"/>
      <c r="H21" s="203"/>
      <c r="I21" s="203"/>
      <c r="J21" s="203"/>
      <c r="K21" s="203"/>
      <c r="L21" s="203"/>
      <c r="M21" s="434">
        <f>IF(F21="Non-HFC",0,(G21-H21+I21-J21+K21-L21)*Conversions!$C$4)</f>
        <v>0</v>
      </c>
      <c r="N21" s="436">
        <f>'Emissions Database'!BS11</f>
        <v>0</v>
      </c>
      <c r="O21" s="140" t="s">
        <v>4</v>
      </c>
      <c r="Z21" s="183"/>
      <c r="AA21" s="183"/>
      <c r="AB21" s="183"/>
      <c r="AC21" s="183"/>
      <c r="AD21" s="183"/>
      <c r="AE21" s="183"/>
      <c r="AF21" s="183"/>
      <c r="AG21" s="183"/>
    </row>
    <row r="22" spans="2:33" ht="15.75" customHeight="1" x14ac:dyDescent="0.3">
      <c r="B22" s="114" t="str">
        <f t="shared" si="1"/>
        <v/>
      </c>
      <c r="C22" s="187"/>
      <c r="D22" s="202"/>
      <c r="E22" s="202"/>
      <c r="F22" s="182"/>
      <c r="G22" s="203"/>
      <c r="H22" s="203"/>
      <c r="I22" s="203"/>
      <c r="J22" s="203"/>
      <c r="K22" s="203"/>
      <c r="L22" s="203"/>
      <c r="M22" s="434">
        <f>IF(F22="Non-HFC",0,(G22-H22+I22-J22+K22-L22)*Conversions!$C$4)</f>
        <v>0</v>
      </c>
      <c r="N22" s="436">
        <f>'Emissions Database'!BS12</f>
        <v>0</v>
      </c>
      <c r="O22" s="140" t="s">
        <v>5</v>
      </c>
      <c r="Z22" s="183"/>
      <c r="AA22" s="183"/>
      <c r="AB22" s="183"/>
      <c r="AC22" s="183"/>
      <c r="AD22" s="183"/>
      <c r="AE22" s="183"/>
      <c r="AF22" s="183"/>
      <c r="AG22" s="183"/>
    </row>
    <row r="23" spans="2:33" ht="15.6" x14ac:dyDescent="0.3">
      <c r="B23" s="114" t="str">
        <f t="shared" si="1"/>
        <v/>
      </c>
      <c r="C23" s="187"/>
      <c r="D23" s="202"/>
      <c r="E23" s="202"/>
      <c r="F23" s="182"/>
      <c r="G23" s="203"/>
      <c r="H23" s="203"/>
      <c r="I23" s="203"/>
      <c r="J23" s="203"/>
      <c r="K23" s="203"/>
      <c r="L23" s="203"/>
      <c r="M23" s="434">
        <f>IF(F23="Non-HFC",0,(G23-H23+I23-J23+K23-L23)*Conversions!$C$4)</f>
        <v>0</v>
      </c>
      <c r="N23" s="436">
        <f>'Emissions Database'!BS13</f>
        <v>0</v>
      </c>
      <c r="O23" s="140" t="s">
        <v>6</v>
      </c>
      <c r="Z23" s="183"/>
      <c r="AA23" s="183"/>
      <c r="AB23" s="183"/>
      <c r="AC23" s="183"/>
      <c r="AD23" s="183"/>
      <c r="AE23" s="183"/>
      <c r="AF23" s="183"/>
      <c r="AG23" s="183"/>
    </row>
    <row r="24" spans="2:33" x14ac:dyDescent="0.3">
      <c r="B24" s="114" t="str">
        <f t="shared" si="1"/>
        <v/>
      </c>
      <c r="C24" s="187"/>
      <c r="D24" s="202"/>
      <c r="E24" s="202"/>
      <c r="F24" s="182"/>
      <c r="G24" s="203"/>
      <c r="H24" s="203"/>
      <c r="I24" s="203"/>
      <c r="J24" s="203"/>
      <c r="K24" s="203"/>
      <c r="L24" s="203"/>
      <c r="M24" s="434">
        <f>IF(F24="Non-HFC",0,(G24-H24+I24-J24+K24-L24)*Conversions!$C$4)</f>
        <v>0</v>
      </c>
      <c r="N24" s="436">
        <f>'Emissions Database'!BS14</f>
        <v>0</v>
      </c>
      <c r="O24" s="140" t="s">
        <v>7</v>
      </c>
      <c r="Z24" s="183"/>
      <c r="AA24" s="183"/>
      <c r="AB24" s="183"/>
      <c r="AC24" s="183"/>
      <c r="AD24" s="183"/>
      <c r="AE24" s="183"/>
      <c r="AF24" s="183"/>
      <c r="AG24" s="183"/>
    </row>
    <row r="25" spans="2:33" x14ac:dyDescent="0.3">
      <c r="B25" s="114" t="str">
        <f t="shared" si="1"/>
        <v/>
      </c>
      <c r="C25" s="187"/>
      <c r="D25" s="202"/>
      <c r="E25" s="202"/>
      <c r="F25" s="182"/>
      <c r="G25" s="203"/>
      <c r="H25" s="203"/>
      <c r="I25" s="203"/>
      <c r="J25" s="203"/>
      <c r="K25" s="203"/>
      <c r="L25" s="203"/>
      <c r="M25" s="434">
        <f>IF(F25="Non-HFC",0,(G25-H25+I25-J25+K25-L25)*Conversions!$C$4)</f>
        <v>0</v>
      </c>
      <c r="N25" s="436">
        <f>'Emissions Database'!BS15</f>
        <v>0</v>
      </c>
      <c r="O25" s="140" t="s">
        <v>8</v>
      </c>
      <c r="Z25" s="183"/>
      <c r="AA25" s="183"/>
      <c r="AB25" s="183"/>
      <c r="AC25" s="183"/>
      <c r="AD25" s="183"/>
      <c r="AE25" s="183"/>
      <c r="AF25" s="183"/>
      <c r="AG25" s="183"/>
    </row>
    <row r="26" spans="2:33" ht="15.6" x14ac:dyDescent="0.3">
      <c r="B26" s="114" t="str">
        <f t="shared" si="1"/>
        <v/>
      </c>
      <c r="C26" s="187"/>
      <c r="D26" s="202"/>
      <c r="E26" s="202"/>
      <c r="F26" s="182"/>
      <c r="G26" s="203"/>
      <c r="H26" s="203"/>
      <c r="I26" s="203"/>
      <c r="J26" s="203"/>
      <c r="K26" s="203"/>
      <c r="L26" s="203"/>
      <c r="M26" s="434">
        <f>IF(F26="Non-HFC",0,(G26-H26+I26-J26+K26-L26)*Conversions!$C$4)</f>
        <v>0</v>
      </c>
      <c r="N26" s="436">
        <f>'Emissions Database'!BS16</f>
        <v>0</v>
      </c>
      <c r="O26" s="140" t="s">
        <v>9</v>
      </c>
      <c r="Z26" s="183"/>
      <c r="AA26" s="183"/>
      <c r="AB26" s="183"/>
      <c r="AC26" s="183"/>
      <c r="AD26" s="183"/>
      <c r="AE26" s="183"/>
      <c r="AF26" s="183"/>
      <c r="AG26" s="183"/>
    </row>
    <row r="27" spans="2:33" ht="15.6" x14ac:dyDescent="0.3">
      <c r="B27" s="114" t="str">
        <f t="shared" si="1"/>
        <v/>
      </c>
      <c r="C27" s="187"/>
      <c r="D27" s="202"/>
      <c r="E27" s="202"/>
      <c r="F27" s="182"/>
      <c r="G27" s="203"/>
      <c r="H27" s="203"/>
      <c r="I27" s="203"/>
      <c r="J27" s="203"/>
      <c r="K27" s="203"/>
      <c r="L27" s="203"/>
      <c r="M27" s="434">
        <f>IF(F27="Non-HFC",0,(G27-H27+I27-J27+K27-L27)*Conversions!$C$4)</f>
        <v>0</v>
      </c>
      <c r="N27" s="436">
        <f>'Emissions Database'!BS17</f>
        <v>0</v>
      </c>
      <c r="O27" s="140" t="s">
        <v>10</v>
      </c>
      <c r="Z27" s="183"/>
      <c r="AA27" s="183"/>
      <c r="AB27" s="183"/>
      <c r="AC27" s="183"/>
      <c r="AD27" s="183"/>
      <c r="AE27" s="183"/>
      <c r="AF27" s="183"/>
      <c r="AG27" s="183"/>
    </row>
    <row r="28" spans="2:33" x14ac:dyDescent="0.3">
      <c r="B28" s="114" t="str">
        <f t="shared" si="1"/>
        <v/>
      </c>
      <c r="C28" s="187"/>
      <c r="D28" s="202"/>
      <c r="E28" s="202"/>
      <c r="F28" s="182"/>
      <c r="G28" s="203"/>
      <c r="H28" s="203"/>
      <c r="I28" s="203"/>
      <c r="J28" s="203"/>
      <c r="K28" s="203"/>
      <c r="L28" s="203"/>
      <c r="M28" s="434">
        <f>IF(F28="Non-HFC",0,(G28-H28+I28-J28+K28-L28)*Conversions!$C$4)</f>
        <v>0</v>
      </c>
      <c r="N28" s="436">
        <f>'Emissions Database'!BS18</f>
        <v>0</v>
      </c>
      <c r="O28" s="167" t="s">
        <v>472</v>
      </c>
      <c r="Z28" s="183"/>
      <c r="AA28" s="183"/>
      <c r="AB28" s="183"/>
      <c r="AC28" s="183"/>
      <c r="AD28" s="183"/>
      <c r="AE28" s="183"/>
      <c r="AF28" s="183"/>
      <c r="AG28" s="183"/>
    </row>
    <row r="29" spans="2:33" x14ac:dyDescent="0.3">
      <c r="B29" s="114" t="str">
        <f t="shared" si="1"/>
        <v/>
      </c>
      <c r="C29" s="187"/>
      <c r="D29" s="202"/>
      <c r="E29" s="202"/>
      <c r="F29" s="182"/>
      <c r="G29" s="203"/>
      <c r="H29" s="203"/>
      <c r="I29" s="203"/>
      <c r="J29" s="203"/>
      <c r="K29" s="203"/>
      <c r="L29" s="203"/>
      <c r="M29" s="434">
        <f>IF(F29="Non-HFC",0,(G29-H29+I29-J29+K29-L29)*Conversions!$C$4)</f>
        <v>0</v>
      </c>
      <c r="N29" s="436">
        <f>'Emissions Database'!BS19</f>
        <v>0</v>
      </c>
      <c r="O29" s="438" t="s">
        <v>767</v>
      </c>
      <c r="Z29" s="183"/>
      <c r="AA29" s="183"/>
      <c r="AB29" s="183"/>
      <c r="AC29" s="183"/>
      <c r="AD29" s="183"/>
      <c r="AE29" s="183"/>
      <c r="AF29" s="183"/>
      <c r="AG29" s="183"/>
    </row>
    <row r="30" spans="2:33" x14ac:dyDescent="0.3">
      <c r="B30" s="114" t="str">
        <f t="shared" si="1"/>
        <v/>
      </c>
      <c r="C30" s="187"/>
      <c r="D30" s="202"/>
      <c r="E30" s="202"/>
      <c r="F30" s="182"/>
      <c r="G30" s="203"/>
      <c r="H30" s="203"/>
      <c r="I30" s="203"/>
      <c r="J30" s="203"/>
      <c r="K30" s="203"/>
      <c r="L30" s="203"/>
      <c r="M30" s="434">
        <f>IF(F30="Non-HFC",0,(G30-H30+I30-J30+K30-L30)*Conversions!$C$4)</f>
        <v>0</v>
      </c>
      <c r="N30" s="436">
        <f>'Emissions Database'!BS20</f>
        <v>0</v>
      </c>
      <c r="O30" s="144"/>
      <c r="Z30" s="183"/>
      <c r="AA30" s="183"/>
      <c r="AB30" s="183"/>
      <c r="AC30" s="183"/>
      <c r="AD30" s="183"/>
      <c r="AE30" s="183"/>
      <c r="AF30" s="183"/>
      <c r="AG30" s="183"/>
    </row>
    <row r="31" spans="2:33" x14ac:dyDescent="0.3">
      <c r="B31" s="114" t="str">
        <f t="shared" si="1"/>
        <v/>
      </c>
      <c r="C31" s="187"/>
      <c r="D31" s="202"/>
      <c r="E31" s="202"/>
      <c r="F31" s="182"/>
      <c r="G31" s="203"/>
      <c r="H31" s="203"/>
      <c r="I31" s="203"/>
      <c r="J31" s="203"/>
      <c r="K31" s="203"/>
      <c r="L31" s="203"/>
      <c r="M31" s="434">
        <f>IF(F31="Non-HFC",0,(G31-H31+I31-J31+K31-L31)*Conversions!$C$4)</f>
        <v>0</v>
      </c>
      <c r="N31" s="436">
        <f>'Emissions Database'!BS21</f>
        <v>0</v>
      </c>
      <c r="O31" s="144"/>
      <c r="Z31" s="183"/>
      <c r="AA31" s="183"/>
      <c r="AB31" s="183"/>
      <c r="AC31" s="183"/>
      <c r="AD31" s="183"/>
      <c r="AE31" s="183"/>
      <c r="AF31" s="183"/>
      <c r="AG31" s="183"/>
    </row>
    <row r="32" spans="2:33" x14ac:dyDescent="0.3">
      <c r="B32" s="114" t="str">
        <f t="shared" si="1"/>
        <v/>
      </c>
      <c r="C32" s="187"/>
      <c r="D32" s="202"/>
      <c r="E32" s="202"/>
      <c r="F32" s="182"/>
      <c r="G32" s="203"/>
      <c r="H32" s="203"/>
      <c r="I32" s="203"/>
      <c r="J32" s="203"/>
      <c r="K32" s="203"/>
      <c r="L32" s="203"/>
      <c r="M32" s="434">
        <f>IF(F32="Non-HFC",0,(G32-H32+I32-J32+K32-L32)*Conversions!$C$4)</f>
        <v>0</v>
      </c>
      <c r="N32" s="436">
        <f>'Emissions Database'!BS22</f>
        <v>0</v>
      </c>
      <c r="O32" s="144"/>
      <c r="Z32" s="183"/>
      <c r="AA32" s="183"/>
      <c r="AB32" s="183"/>
      <c r="AC32" s="183"/>
      <c r="AD32" s="183"/>
      <c r="AE32" s="183"/>
      <c r="AF32" s="183"/>
      <c r="AG32" s="183"/>
    </row>
    <row r="33" spans="2:33" x14ac:dyDescent="0.3">
      <c r="B33" s="114" t="str">
        <f t="shared" si="1"/>
        <v/>
      </c>
      <c r="C33" s="187"/>
      <c r="D33" s="202"/>
      <c r="E33" s="202"/>
      <c r="F33" s="182"/>
      <c r="G33" s="203"/>
      <c r="H33" s="203"/>
      <c r="I33" s="203"/>
      <c r="J33" s="203"/>
      <c r="K33" s="203"/>
      <c r="L33" s="203"/>
      <c r="M33" s="434">
        <f>IF(F33="Non-HFC",0,(G33-H33+I33-J33+K33-L33)*Conversions!$C$4)</f>
        <v>0</v>
      </c>
      <c r="N33" s="436">
        <f>'Emissions Database'!BS23</f>
        <v>0</v>
      </c>
      <c r="O33" s="144"/>
      <c r="Z33" s="183"/>
      <c r="AA33" s="183"/>
      <c r="AB33" s="183"/>
      <c r="AC33" s="183"/>
      <c r="AD33" s="183"/>
      <c r="AE33" s="183"/>
      <c r="AF33" s="183"/>
      <c r="AG33" s="183"/>
    </row>
    <row r="34" spans="2:33" x14ac:dyDescent="0.3">
      <c r="B34" s="114" t="str">
        <f t="shared" si="1"/>
        <v/>
      </c>
      <c r="C34" s="187"/>
      <c r="D34" s="202"/>
      <c r="E34" s="202"/>
      <c r="F34" s="182"/>
      <c r="G34" s="203"/>
      <c r="H34" s="203"/>
      <c r="I34" s="203"/>
      <c r="J34" s="203"/>
      <c r="K34" s="203"/>
      <c r="L34" s="203"/>
      <c r="M34" s="434">
        <f>IF(F34="Non-HFC",0,(G34-H34+I34-J34+K34-L34)*Conversions!$C$4)</f>
        <v>0</v>
      </c>
      <c r="N34" s="436">
        <f>'Emissions Database'!BS24</f>
        <v>0</v>
      </c>
      <c r="O34" s="144"/>
      <c r="Z34" s="183"/>
      <c r="AA34" s="183"/>
      <c r="AB34" s="183"/>
      <c r="AC34" s="183"/>
      <c r="AD34" s="183"/>
      <c r="AE34" s="183"/>
      <c r="AF34" s="183"/>
      <c r="AG34" s="183"/>
    </row>
    <row r="35" spans="2:33" x14ac:dyDescent="0.3">
      <c r="B35" s="114" t="str">
        <f t="shared" si="1"/>
        <v/>
      </c>
      <c r="C35" s="187"/>
      <c r="D35" s="202"/>
      <c r="E35" s="202"/>
      <c r="F35" s="182"/>
      <c r="G35" s="203"/>
      <c r="H35" s="203"/>
      <c r="I35" s="203"/>
      <c r="J35" s="203"/>
      <c r="K35" s="203"/>
      <c r="L35" s="203"/>
      <c r="M35" s="434">
        <f>IF(F35="Non-HFC",0,(G35-H35+I35-J35+K35-L35)*Conversions!$C$4)</f>
        <v>0</v>
      </c>
      <c r="N35" s="436">
        <f>'Emissions Database'!BS25</f>
        <v>0</v>
      </c>
      <c r="O35" s="144"/>
      <c r="Z35" s="183"/>
      <c r="AA35" s="183"/>
      <c r="AB35" s="183"/>
      <c r="AC35" s="183"/>
      <c r="AD35" s="183"/>
      <c r="AE35" s="183"/>
      <c r="AF35" s="183"/>
      <c r="AG35" s="183"/>
    </row>
    <row r="36" spans="2:33" x14ac:dyDescent="0.3">
      <c r="B36" s="114" t="str">
        <f t="shared" si="1"/>
        <v/>
      </c>
      <c r="C36" s="187"/>
      <c r="D36" s="202"/>
      <c r="E36" s="202"/>
      <c r="F36" s="182"/>
      <c r="G36" s="203"/>
      <c r="H36" s="203"/>
      <c r="I36" s="203"/>
      <c r="J36" s="203"/>
      <c r="K36" s="203"/>
      <c r="L36" s="203"/>
      <c r="M36" s="434">
        <f>IF(F36="Non-HFC",0,(G36-H36+I36-J36+K36-L36)*Conversions!$C$4)</f>
        <v>0</v>
      </c>
      <c r="N36" s="436">
        <f>'Emissions Database'!BS26</f>
        <v>0</v>
      </c>
      <c r="O36" s="144"/>
      <c r="Z36" s="183"/>
      <c r="AA36" s="183"/>
      <c r="AB36" s="183"/>
      <c r="AC36" s="183"/>
      <c r="AD36" s="183"/>
      <c r="AE36" s="183"/>
      <c r="AF36" s="183"/>
      <c r="AG36" s="183"/>
    </row>
    <row r="37" spans="2:33" x14ac:dyDescent="0.3">
      <c r="B37" s="114" t="str">
        <f t="shared" si="1"/>
        <v/>
      </c>
      <c r="C37" s="187"/>
      <c r="D37" s="202"/>
      <c r="E37" s="202"/>
      <c r="F37" s="182"/>
      <c r="G37" s="203"/>
      <c r="H37" s="203"/>
      <c r="I37" s="203"/>
      <c r="J37" s="203"/>
      <c r="K37" s="203"/>
      <c r="L37" s="203"/>
      <c r="M37" s="434">
        <f>IF(F37="Non-HFC",0,(G37-H37+I37-J37+K37-L37)*Conversions!$C$4)</f>
        <v>0</v>
      </c>
      <c r="N37" s="436">
        <f>'Emissions Database'!BS27</f>
        <v>0</v>
      </c>
      <c r="O37" s="144"/>
      <c r="Z37" s="183"/>
      <c r="AA37" s="183"/>
      <c r="AB37" s="183"/>
      <c r="AC37" s="183"/>
      <c r="AD37" s="183"/>
      <c r="AE37" s="183"/>
      <c r="AF37" s="183"/>
      <c r="AG37" s="183"/>
    </row>
    <row r="38" spans="2:33" x14ac:dyDescent="0.3">
      <c r="B38" s="114" t="str">
        <f t="shared" si="1"/>
        <v/>
      </c>
      <c r="C38" s="187"/>
      <c r="D38" s="202"/>
      <c r="E38" s="202"/>
      <c r="F38" s="182"/>
      <c r="G38" s="203"/>
      <c r="H38" s="203"/>
      <c r="I38" s="203"/>
      <c r="J38" s="203"/>
      <c r="K38" s="203"/>
      <c r="L38" s="203"/>
      <c r="M38" s="434">
        <f>IF(F38="Non-HFC",0,(G38-H38+I38-J38+K38-L38)*Conversions!$C$4)</f>
        <v>0</v>
      </c>
      <c r="N38" s="436">
        <f>'Emissions Database'!BS28</f>
        <v>0</v>
      </c>
      <c r="O38" s="144"/>
      <c r="Z38" s="183"/>
      <c r="AA38" s="183"/>
      <c r="AB38" s="183"/>
      <c r="AC38" s="183"/>
      <c r="AD38" s="183"/>
      <c r="AE38" s="183"/>
      <c r="AF38" s="183"/>
      <c r="AG38" s="183"/>
    </row>
    <row r="39" spans="2:33" x14ac:dyDescent="0.3">
      <c r="B39" s="114" t="str">
        <f t="shared" si="1"/>
        <v/>
      </c>
      <c r="C39" s="187"/>
      <c r="D39" s="202"/>
      <c r="E39" s="202"/>
      <c r="F39" s="182"/>
      <c r="G39" s="203"/>
      <c r="H39" s="203"/>
      <c r="I39" s="203"/>
      <c r="J39" s="203"/>
      <c r="K39" s="203"/>
      <c r="L39" s="203"/>
      <c r="M39" s="434">
        <f>IF(F39="Non-HFC",0,(G39-H39+I39-J39+K39-L39)*Conversions!$C$4)</f>
        <v>0</v>
      </c>
      <c r="N39" s="436">
        <f>'Emissions Database'!BS29</f>
        <v>0</v>
      </c>
      <c r="O39" s="144"/>
      <c r="Z39" s="183"/>
      <c r="AA39" s="183"/>
      <c r="AB39" s="183"/>
      <c r="AC39" s="183"/>
      <c r="AD39" s="183"/>
      <c r="AE39" s="183"/>
      <c r="AF39" s="183"/>
      <c r="AG39" s="183"/>
    </row>
    <row r="40" spans="2:33" x14ac:dyDescent="0.3">
      <c r="B40" s="114" t="str">
        <f t="shared" si="1"/>
        <v/>
      </c>
      <c r="C40" s="187"/>
      <c r="D40" s="202"/>
      <c r="E40" s="202"/>
      <c r="F40" s="182"/>
      <c r="G40" s="203"/>
      <c r="H40" s="203"/>
      <c r="I40" s="203"/>
      <c r="J40" s="203"/>
      <c r="K40" s="203"/>
      <c r="L40" s="203"/>
      <c r="M40" s="434">
        <f>IF(F40="Non-HFC",0,(G40-H40+I40-J40+K40-L40)*Conversions!$C$4)</f>
        <v>0</v>
      </c>
      <c r="N40" s="436">
        <f>'Emissions Database'!BS30</f>
        <v>0</v>
      </c>
      <c r="O40" s="144"/>
      <c r="Z40" s="183"/>
      <c r="AA40" s="183"/>
      <c r="AB40" s="183"/>
      <c r="AC40" s="183"/>
      <c r="AD40" s="183"/>
      <c r="AE40" s="183"/>
      <c r="AF40" s="183"/>
      <c r="AG40" s="183"/>
    </row>
    <row r="41" spans="2:33" x14ac:dyDescent="0.3">
      <c r="B41" s="114" t="str">
        <f t="shared" si="1"/>
        <v/>
      </c>
      <c r="C41" s="187"/>
      <c r="D41" s="202"/>
      <c r="E41" s="202"/>
      <c r="F41" s="182"/>
      <c r="G41" s="203"/>
      <c r="H41" s="203"/>
      <c r="I41" s="203"/>
      <c r="J41" s="203"/>
      <c r="K41" s="203"/>
      <c r="L41" s="203"/>
      <c r="M41" s="434">
        <f>IF(F41="Non-HFC",0,(G41-H41+I41-J41+K41-L41)*Conversions!$C$4)</f>
        <v>0</v>
      </c>
      <c r="N41" s="436">
        <f>'Emissions Database'!BS31</f>
        <v>0</v>
      </c>
      <c r="O41" s="144"/>
      <c r="Z41" s="183"/>
      <c r="AA41" s="183"/>
      <c r="AB41" s="183"/>
      <c r="AC41" s="183"/>
      <c r="AD41" s="183"/>
      <c r="AE41" s="183"/>
      <c r="AF41" s="183"/>
      <c r="AG41" s="183"/>
    </row>
    <row r="42" spans="2:33" x14ac:dyDescent="0.3">
      <c r="B42" s="114" t="str">
        <f t="shared" si="1"/>
        <v/>
      </c>
      <c r="C42" s="187"/>
      <c r="D42" s="202"/>
      <c r="E42" s="202"/>
      <c r="F42" s="182"/>
      <c r="G42" s="203"/>
      <c r="H42" s="203"/>
      <c r="I42" s="203"/>
      <c r="J42" s="203"/>
      <c r="K42" s="203"/>
      <c r="L42" s="203"/>
      <c r="M42" s="434">
        <f>IF(F42="Non-HFC",0,(G42-H42+I42-J42+K42-L42)*Conversions!$C$4)</f>
        <v>0</v>
      </c>
      <c r="N42" s="436">
        <f>'Emissions Database'!BS32</f>
        <v>0</v>
      </c>
      <c r="O42" s="144"/>
      <c r="Z42" s="183"/>
      <c r="AA42" s="183"/>
      <c r="AB42" s="183"/>
      <c r="AC42" s="183"/>
      <c r="AD42" s="183"/>
      <c r="AE42" s="183"/>
      <c r="AF42" s="183"/>
      <c r="AG42" s="183"/>
    </row>
    <row r="43" spans="2:33" x14ac:dyDescent="0.3">
      <c r="B43" s="114" t="str">
        <f t="shared" si="1"/>
        <v/>
      </c>
      <c r="C43" s="187"/>
      <c r="D43" s="202"/>
      <c r="E43" s="202"/>
      <c r="F43" s="182"/>
      <c r="G43" s="203"/>
      <c r="H43" s="203"/>
      <c r="I43" s="203"/>
      <c r="J43" s="203"/>
      <c r="K43" s="203"/>
      <c r="L43" s="203"/>
      <c r="M43" s="434">
        <f>IF(F43="Non-HFC",0,(G43-H43+I43-J43+K43-L43)*Conversions!$C$4)</f>
        <v>0</v>
      </c>
      <c r="N43" s="436">
        <f>'Emissions Database'!BS33</f>
        <v>0</v>
      </c>
      <c r="O43" s="144"/>
      <c r="Z43" s="183"/>
      <c r="AA43" s="183"/>
      <c r="AB43" s="183"/>
      <c r="AC43" s="183"/>
      <c r="AD43" s="183"/>
      <c r="AE43" s="183"/>
      <c r="AF43" s="183"/>
      <c r="AG43" s="183"/>
    </row>
    <row r="44" spans="2:33" x14ac:dyDescent="0.3">
      <c r="B44" s="114" t="str">
        <f t="shared" si="1"/>
        <v/>
      </c>
      <c r="C44" s="187"/>
      <c r="D44" s="202"/>
      <c r="E44" s="202"/>
      <c r="F44" s="182"/>
      <c r="G44" s="203"/>
      <c r="H44" s="203"/>
      <c r="I44" s="203"/>
      <c r="J44" s="203"/>
      <c r="K44" s="203"/>
      <c r="L44" s="203"/>
      <c r="M44" s="434">
        <f>IF(F44="Non-HFC",0,(G44-H44+I44-J44+K44-L44)*Conversions!$C$4)</f>
        <v>0</v>
      </c>
      <c r="N44" s="436">
        <f>'Emissions Database'!BS34</f>
        <v>0</v>
      </c>
      <c r="O44" s="144"/>
      <c r="Z44" s="183"/>
      <c r="AA44" s="183"/>
      <c r="AB44" s="183"/>
      <c r="AC44" s="183"/>
      <c r="AD44" s="183"/>
      <c r="AE44" s="183"/>
      <c r="AF44" s="183"/>
      <c r="AG44" s="183"/>
    </row>
    <row r="45" spans="2:33" x14ac:dyDescent="0.3">
      <c r="B45" s="114" t="str">
        <f t="shared" si="1"/>
        <v/>
      </c>
      <c r="C45" s="187"/>
      <c r="D45" s="202"/>
      <c r="E45" s="202"/>
      <c r="F45" s="182"/>
      <c r="G45" s="203"/>
      <c r="H45" s="203"/>
      <c r="I45" s="203"/>
      <c r="J45" s="203"/>
      <c r="K45" s="203"/>
      <c r="L45" s="203"/>
      <c r="M45" s="434">
        <f>IF(F45="Non-HFC",0,(G45-H45+I45-J45+K45-L45)*Conversions!$C$4)</f>
        <v>0</v>
      </c>
      <c r="N45" s="436">
        <f>'Emissions Database'!BS35</f>
        <v>0</v>
      </c>
      <c r="O45" s="144"/>
      <c r="Z45" s="183"/>
      <c r="AA45" s="183"/>
      <c r="AB45" s="183"/>
      <c r="AC45" s="183"/>
      <c r="AD45" s="183"/>
      <c r="AE45" s="183"/>
      <c r="AF45" s="183"/>
      <c r="AG45" s="183"/>
    </row>
    <row r="46" spans="2:33" x14ac:dyDescent="0.3">
      <c r="B46" s="114" t="str">
        <f t="shared" si="1"/>
        <v/>
      </c>
      <c r="C46" s="187"/>
      <c r="D46" s="202"/>
      <c r="E46" s="202"/>
      <c r="F46" s="182"/>
      <c r="G46" s="203"/>
      <c r="H46" s="203"/>
      <c r="I46" s="203"/>
      <c r="J46" s="203"/>
      <c r="K46" s="203"/>
      <c r="L46" s="203"/>
      <c r="M46" s="434">
        <f>IF(F46="Non-HFC",0,(G46-H46+I46-J46+K46-L46)*Conversions!$C$4)</f>
        <v>0</v>
      </c>
      <c r="N46" s="436">
        <f>'Emissions Database'!BS36</f>
        <v>0</v>
      </c>
      <c r="O46" s="144"/>
      <c r="Z46" s="183"/>
      <c r="AA46" s="183"/>
      <c r="AB46" s="183"/>
      <c r="AC46" s="183"/>
      <c r="AD46" s="183"/>
      <c r="AE46" s="183"/>
      <c r="AF46" s="183"/>
      <c r="AG46" s="183"/>
    </row>
    <row r="47" spans="2:33" x14ac:dyDescent="0.3">
      <c r="B47" s="114" t="str">
        <f t="shared" si="1"/>
        <v/>
      </c>
      <c r="C47" s="187"/>
      <c r="D47" s="202"/>
      <c r="E47" s="202"/>
      <c r="F47" s="182"/>
      <c r="G47" s="203"/>
      <c r="H47" s="203"/>
      <c r="I47" s="203"/>
      <c r="J47" s="203"/>
      <c r="K47" s="203"/>
      <c r="L47" s="203"/>
      <c r="M47" s="434">
        <f>IF(F47="Non-HFC",0,(G47-H47+I47-J47+K47-L47)*Conversions!$C$4)</f>
        <v>0</v>
      </c>
      <c r="N47" s="436">
        <f>'Emissions Database'!BS37</f>
        <v>0</v>
      </c>
      <c r="O47" s="144"/>
      <c r="Z47" s="183"/>
      <c r="AA47" s="183"/>
      <c r="AB47" s="183"/>
      <c r="AC47" s="183"/>
      <c r="AD47" s="183"/>
      <c r="AE47" s="183"/>
      <c r="AF47" s="183"/>
      <c r="AG47" s="183"/>
    </row>
    <row r="48" spans="2:33" x14ac:dyDescent="0.3">
      <c r="B48" s="114" t="str">
        <f t="shared" si="1"/>
        <v/>
      </c>
      <c r="C48" s="187"/>
      <c r="D48" s="202"/>
      <c r="E48" s="202"/>
      <c r="F48" s="182"/>
      <c r="G48" s="203"/>
      <c r="H48" s="203"/>
      <c r="I48" s="203"/>
      <c r="J48" s="203"/>
      <c r="K48" s="203"/>
      <c r="L48" s="203"/>
      <c r="M48" s="434">
        <f>IF(F48="Non-HFC",0,(G48-H48+I48-J48+K48-L48)*Conversions!$C$4)</f>
        <v>0</v>
      </c>
      <c r="N48" s="436">
        <f>'Emissions Database'!BS38</f>
        <v>0</v>
      </c>
      <c r="O48" s="144"/>
      <c r="Z48" s="183"/>
      <c r="AA48" s="183"/>
      <c r="AB48" s="183"/>
      <c r="AC48" s="183"/>
      <c r="AD48" s="183"/>
      <c r="AE48" s="183"/>
      <c r="AF48" s="183"/>
      <c r="AG48" s="183"/>
    </row>
    <row r="49" spans="1:33" x14ac:dyDescent="0.3">
      <c r="B49" s="114" t="str">
        <f t="shared" si="1"/>
        <v/>
      </c>
      <c r="C49" s="187"/>
      <c r="D49" s="202"/>
      <c r="E49" s="202"/>
      <c r="F49" s="182"/>
      <c r="G49" s="203"/>
      <c r="H49" s="203"/>
      <c r="I49" s="203"/>
      <c r="J49" s="203"/>
      <c r="K49" s="203"/>
      <c r="L49" s="203"/>
      <c r="M49" s="434">
        <f>IF(F49="Non-HFC",0,(G49-H49+I49-J49+K49-L49)*Conversions!$C$4)</f>
        <v>0</v>
      </c>
      <c r="N49" s="436">
        <f>'Emissions Database'!BS39</f>
        <v>0</v>
      </c>
      <c r="O49" s="144"/>
      <c r="Z49" s="183"/>
      <c r="AA49" s="183"/>
      <c r="AB49" s="183"/>
      <c r="AC49" s="183"/>
      <c r="AD49" s="183"/>
      <c r="AE49" s="183"/>
      <c r="AF49" s="183"/>
      <c r="AG49" s="183"/>
    </row>
    <row r="50" spans="1:33" x14ac:dyDescent="0.3">
      <c r="B50" s="114" t="str">
        <f t="shared" si="1"/>
        <v/>
      </c>
      <c r="C50" s="187"/>
      <c r="D50" s="202"/>
      <c r="E50" s="202"/>
      <c r="F50" s="182"/>
      <c r="G50" s="203"/>
      <c r="H50" s="203"/>
      <c r="I50" s="203"/>
      <c r="J50" s="203"/>
      <c r="K50" s="203"/>
      <c r="L50" s="203"/>
      <c r="M50" s="434">
        <f>IF(F50="Non-HFC",0,(G50-H50+I50-J50+K50-L50)*Conversions!$C$4)</f>
        <v>0</v>
      </c>
      <c r="N50" s="436">
        <f>'Emissions Database'!BS40</f>
        <v>0</v>
      </c>
      <c r="O50" s="144"/>
      <c r="Z50" s="183"/>
      <c r="AA50" s="183"/>
      <c r="AB50" s="183"/>
      <c r="AC50" s="183"/>
      <c r="AD50" s="183"/>
      <c r="AE50" s="183"/>
      <c r="AF50" s="183"/>
      <c r="AG50" s="183"/>
    </row>
    <row r="51" spans="1:33" x14ac:dyDescent="0.3">
      <c r="B51" s="114" t="str">
        <f t="shared" si="1"/>
        <v/>
      </c>
      <c r="C51" s="187"/>
      <c r="D51" s="202"/>
      <c r="E51" s="202"/>
      <c r="F51" s="182"/>
      <c r="G51" s="203"/>
      <c r="H51" s="203"/>
      <c r="I51" s="203"/>
      <c r="J51" s="203"/>
      <c r="K51" s="203"/>
      <c r="L51" s="203"/>
      <c r="M51" s="434">
        <f>IF(F51="Non-HFC",0,(G51-H51+I51-J51+K51-L51)*Conversions!$C$4)</f>
        <v>0</v>
      </c>
      <c r="N51" s="436">
        <f>'Emissions Database'!BS41</f>
        <v>0</v>
      </c>
      <c r="O51" s="144"/>
      <c r="Z51" s="183"/>
      <c r="AA51" s="183"/>
      <c r="AB51" s="183"/>
      <c r="AC51" s="183"/>
      <c r="AD51" s="183"/>
      <c r="AE51" s="183"/>
      <c r="AF51" s="183"/>
      <c r="AG51" s="183"/>
    </row>
    <row r="52" spans="1:33" x14ac:dyDescent="0.3">
      <c r="B52" s="114" t="str">
        <f t="shared" si="1"/>
        <v/>
      </c>
      <c r="C52" s="187"/>
      <c r="D52" s="202"/>
      <c r="E52" s="202"/>
      <c r="F52" s="182"/>
      <c r="G52" s="203"/>
      <c r="H52" s="203"/>
      <c r="I52" s="203"/>
      <c r="J52" s="203"/>
      <c r="K52" s="203"/>
      <c r="L52" s="203"/>
      <c r="M52" s="434">
        <f>IF(F52="Non-HFC",0,(G52-H52+I52-J52+K52-L52)*Conversions!$C$4)</f>
        <v>0</v>
      </c>
      <c r="N52" s="436">
        <f>'Emissions Database'!BS42</f>
        <v>0</v>
      </c>
      <c r="O52" s="144"/>
      <c r="Z52" s="183"/>
      <c r="AA52" s="183"/>
      <c r="AB52" s="183"/>
      <c r="AC52" s="183"/>
      <c r="AD52" s="183"/>
      <c r="AE52" s="183"/>
      <c r="AF52" s="183"/>
      <c r="AG52" s="183"/>
    </row>
    <row r="53" spans="1:33" ht="15" thickBot="1" x14ac:dyDescent="0.35">
      <c r="B53" s="114" t="str">
        <f t="shared" si="1"/>
        <v/>
      </c>
      <c r="C53" s="187"/>
      <c r="D53" s="202"/>
      <c r="E53" s="202"/>
      <c r="F53" s="204"/>
      <c r="G53" s="205"/>
      <c r="H53" s="205"/>
      <c r="I53" s="205"/>
      <c r="J53" s="205"/>
      <c r="K53" s="205"/>
      <c r="L53" s="205"/>
      <c r="M53" s="434">
        <f>IF(F53="Non-HFC",0,(G53-H53+I53-J53+K53-L53)*Conversions!$C$4)</f>
        <v>0</v>
      </c>
      <c r="N53" s="437">
        <f>'Emissions Database'!BS43</f>
        <v>0</v>
      </c>
      <c r="O53" s="144"/>
      <c r="Z53" s="183"/>
      <c r="AA53" s="183"/>
      <c r="AB53" s="183"/>
      <c r="AC53" s="183"/>
      <c r="AD53" s="183"/>
      <c r="AE53" s="183"/>
      <c r="AF53" s="183"/>
      <c r="AG53" s="183"/>
    </row>
    <row r="54" spans="1:33" ht="15" thickBot="1" x14ac:dyDescent="0.35">
      <c r="B54" s="107"/>
      <c r="C54" s="108" t="s">
        <v>322</v>
      </c>
      <c r="D54" s="109"/>
      <c r="E54" s="109"/>
      <c r="F54" s="109"/>
      <c r="G54" s="109"/>
      <c r="H54" s="109"/>
      <c r="I54" s="109"/>
      <c r="J54" s="109"/>
      <c r="K54" s="109"/>
      <c r="L54" s="109"/>
      <c r="M54" s="496">
        <f>SUM(M14:M53)</f>
        <v>0</v>
      </c>
      <c r="N54" s="497">
        <f>SUM(N14:N53)</f>
        <v>0</v>
      </c>
      <c r="Z54" s="183"/>
      <c r="AA54" s="183"/>
      <c r="AB54" s="183"/>
      <c r="AC54" s="183"/>
      <c r="AD54" s="183"/>
      <c r="AE54" s="183"/>
      <c r="AF54" s="183"/>
      <c r="AG54" s="183"/>
    </row>
    <row r="55" spans="1:33" x14ac:dyDescent="0.3">
      <c r="A55" s="183"/>
      <c r="B55" s="183"/>
      <c r="C55" s="183"/>
      <c r="D55" s="183"/>
      <c r="E55" s="183"/>
      <c r="F55" s="183"/>
      <c r="G55" s="183"/>
      <c r="H55" s="183"/>
      <c r="I55" s="183"/>
      <c r="J55" s="183"/>
      <c r="K55" s="183"/>
      <c r="L55" s="183"/>
      <c r="M55" s="183"/>
      <c r="N55" s="183"/>
      <c r="O55" s="183"/>
      <c r="P55" s="183"/>
      <c r="Q55" s="183"/>
      <c r="R55" s="183"/>
      <c r="S55" s="183"/>
      <c r="T55" s="183"/>
      <c r="U55" s="183"/>
      <c r="V55" s="183"/>
      <c r="W55" s="183"/>
      <c r="X55" s="183"/>
      <c r="Z55" s="183"/>
      <c r="AA55" s="183"/>
      <c r="AB55" s="183"/>
      <c r="AC55" s="183"/>
      <c r="AD55" s="183"/>
      <c r="AE55" s="183"/>
      <c r="AF55" s="183"/>
      <c r="AG55" s="183"/>
    </row>
    <row r="56" spans="1:33" x14ac:dyDescent="0.3">
      <c r="A56" s="183"/>
      <c r="B56" s="183"/>
      <c r="C56" s="183"/>
      <c r="D56" s="183"/>
      <c r="E56" s="183"/>
      <c r="F56" s="183"/>
      <c r="G56" s="183"/>
      <c r="H56" s="183"/>
      <c r="I56" s="183"/>
      <c r="J56" s="183"/>
      <c r="K56" s="183"/>
      <c r="L56" s="183"/>
      <c r="M56" s="183"/>
      <c r="N56" s="183"/>
      <c r="O56" s="183"/>
      <c r="P56" s="183"/>
      <c r="Q56" s="183"/>
      <c r="R56" s="183"/>
      <c r="S56" s="183"/>
      <c r="T56" s="183"/>
      <c r="U56" s="183"/>
      <c r="V56" s="183"/>
      <c r="W56" s="183"/>
      <c r="X56" s="183"/>
      <c r="Z56" s="183"/>
      <c r="AA56" s="183"/>
      <c r="AB56" s="183"/>
      <c r="AC56" s="183"/>
      <c r="AD56" s="183"/>
      <c r="AE56" s="183"/>
      <c r="AF56" s="183"/>
      <c r="AG56" s="183"/>
    </row>
    <row r="57" spans="1:33" x14ac:dyDescent="0.3">
      <c r="A57" s="183"/>
      <c r="B57" s="183"/>
      <c r="C57" s="183"/>
      <c r="D57" s="183"/>
      <c r="E57" s="183"/>
      <c r="F57" s="183"/>
      <c r="G57" s="183"/>
      <c r="H57" s="183"/>
      <c r="I57" s="183"/>
      <c r="J57" s="183"/>
      <c r="K57" s="183"/>
      <c r="L57" s="183"/>
      <c r="M57" s="183"/>
      <c r="N57" s="183"/>
      <c r="O57" s="183"/>
      <c r="P57" s="183"/>
      <c r="Q57" s="183"/>
      <c r="R57" s="183"/>
      <c r="S57" s="183"/>
      <c r="T57" s="183"/>
      <c r="U57" s="183"/>
      <c r="V57" s="183"/>
      <c r="W57" s="183"/>
      <c r="X57" s="183"/>
      <c r="Z57" s="183"/>
      <c r="AA57" s="183"/>
      <c r="AB57" s="183"/>
      <c r="AC57" s="183"/>
      <c r="AD57" s="183"/>
      <c r="AE57" s="183"/>
      <c r="AF57" s="183"/>
      <c r="AG57" s="183"/>
    </row>
    <row r="58" spans="1:33" x14ac:dyDescent="0.3">
      <c r="A58" s="183"/>
      <c r="B58" s="183"/>
      <c r="C58" s="183"/>
      <c r="D58" s="183"/>
      <c r="E58" s="183"/>
      <c r="F58" s="183"/>
      <c r="G58" s="183"/>
      <c r="H58" s="183"/>
      <c r="I58" s="183"/>
      <c r="J58" s="183"/>
      <c r="K58" s="183"/>
      <c r="L58" s="183"/>
      <c r="M58" s="183"/>
      <c r="N58" s="183"/>
      <c r="O58" s="183"/>
      <c r="P58" s="183"/>
      <c r="Q58" s="183"/>
      <c r="R58" s="183"/>
      <c r="S58" s="183"/>
      <c r="T58" s="183"/>
      <c r="U58" s="183"/>
      <c r="V58" s="183"/>
      <c r="W58" s="183"/>
      <c r="X58" s="183"/>
    </row>
    <row r="59" spans="1:33" x14ac:dyDescent="0.3">
      <c r="A59" s="183"/>
      <c r="B59" s="183"/>
      <c r="C59" s="183"/>
      <c r="D59" s="183"/>
      <c r="E59" s="183"/>
      <c r="F59" s="183"/>
      <c r="G59" s="183"/>
      <c r="H59" s="183"/>
      <c r="I59" s="183"/>
      <c r="J59" s="183"/>
      <c r="K59" s="183"/>
      <c r="L59" s="183"/>
      <c r="M59" s="183"/>
      <c r="N59" s="183"/>
      <c r="O59" s="183"/>
      <c r="P59" s="183"/>
      <c r="Q59" s="183"/>
      <c r="R59" s="183"/>
      <c r="S59" s="183"/>
      <c r="T59" s="183"/>
      <c r="U59" s="183"/>
      <c r="V59" s="183"/>
      <c r="W59" s="183"/>
      <c r="X59" s="183"/>
    </row>
    <row r="60" spans="1:33" x14ac:dyDescent="0.3">
      <c r="A60" s="183"/>
      <c r="B60" s="183"/>
      <c r="C60" s="183"/>
      <c r="D60" s="183"/>
      <c r="E60" s="183"/>
      <c r="F60" s="183"/>
      <c r="G60" s="183"/>
      <c r="H60" s="183"/>
      <c r="I60" s="183"/>
      <c r="J60" s="183"/>
      <c r="K60" s="183"/>
      <c r="L60" s="183"/>
      <c r="M60" s="183"/>
      <c r="N60" s="183"/>
      <c r="O60" s="183"/>
      <c r="P60" s="183"/>
      <c r="Q60" s="183"/>
      <c r="R60" s="183"/>
      <c r="S60" s="183"/>
      <c r="T60" s="183"/>
      <c r="U60" s="183"/>
      <c r="V60" s="183"/>
      <c r="W60" s="183"/>
      <c r="X60" s="183"/>
    </row>
    <row r="61" spans="1:33" x14ac:dyDescent="0.3">
      <c r="A61" s="183"/>
      <c r="B61" s="183"/>
      <c r="C61" s="183"/>
      <c r="D61" s="183"/>
      <c r="E61" s="183"/>
      <c r="F61" s="183"/>
      <c r="G61" s="183"/>
      <c r="H61" s="183"/>
      <c r="I61" s="183"/>
      <c r="J61" s="183"/>
      <c r="K61" s="183"/>
      <c r="L61" s="183"/>
      <c r="M61" s="183"/>
      <c r="N61" s="183"/>
      <c r="O61" s="183"/>
      <c r="P61" s="183"/>
      <c r="Q61" s="183"/>
      <c r="R61" s="183"/>
      <c r="S61" s="183"/>
      <c r="T61" s="183"/>
      <c r="U61" s="183"/>
      <c r="V61" s="183"/>
      <c r="W61" s="183"/>
      <c r="X61" s="183"/>
    </row>
    <row r="62" spans="1:33" x14ac:dyDescent="0.3">
      <c r="A62" s="183"/>
      <c r="B62" s="183"/>
      <c r="C62" s="183"/>
      <c r="D62" s="183"/>
      <c r="E62" s="183"/>
      <c r="F62" s="183"/>
      <c r="G62" s="183"/>
      <c r="H62" s="183"/>
      <c r="I62" s="183"/>
      <c r="J62" s="183"/>
      <c r="K62" s="183"/>
      <c r="L62" s="183"/>
      <c r="M62" s="183"/>
      <c r="N62" s="183"/>
      <c r="O62" s="183"/>
      <c r="P62" s="183"/>
      <c r="Q62" s="183"/>
      <c r="R62" s="183"/>
      <c r="S62" s="183"/>
      <c r="T62" s="183"/>
      <c r="U62" s="183"/>
      <c r="V62" s="183"/>
      <c r="W62" s="183"/>
      <c r="X62" s="183"/>
    </row>
    <row r="63" spans="1:33" x14ac:dyDescent="0.3">
      <c r="A63" s="183"/>
      <c r="B63" s="183"/>
      <c r="C63" s="183"/>
      <c r="D63" s="183"/>
      <c r="E63" s="183"/>
      <c r="F63" s="183"/>
      <c r="G63" s="183"/>
      <c r="H63" s="183"/>
      <c r="I63" s="183"/>
      <c r="J63" s="183"/>
      <c r="K63" s="183"/>
      <c r="L63" s="183"/>
      <c r="M63" s="183"/>
      <c r="N63" s="183"/>
      <c r="O63" s="183"/>
      <c r="P63" s="183"/>
      <c r="Q63" s="183"/>
      <c r="R63" s="183"/>
      <c r="S63" s="183"/>
      <c r="T63" s="183"/>
      <c r="U63" s="183"/>
      <c r="V63" s="183"/>
      <c r="W63" s="183"/>
      <c r="X63" s="183"/>
    </row>
    <row r="64" spans="1:33" x14ac:dyDescent="0.3">
      <c r="A64" s="183"/>
      <c r="B64" s="183"/>
      <c r="C64" s="183"/>
      <c r="D64" s="183"/>
      <c r="E64" s="183"/>
      <c r="F64" s="183"/>
      <c r="G64" s="183"/>
      <c r="H64" s="183"/>
      <c r="I64" s="183"/>
      <c r="J64" s="183"/>
      <c r="K64" s="183"/>
      <c r="L64" s="183"/>
      <c r="M64" s="183"/>
      <c r="N64" s="183"/>
      <c r="O64" s="183"/>
      <c r="P64" s="183"/>
      <c r="Q64" s="183"/>
      <c r="R64" s="183"/>
      <c r="S64" s="183"/>
      <c r="T64" s="183"/>
      <c r="U64" s="183"/>
      <c r="V64" s="183"/>
      <c r="W64" s="183"/>
      <c r="X64" s="183"/>
    </row>
    <row r="65" spans="1:24" x14ac:dyDescent="0.3">
      <c r="A65" s="183"/>
      <c r="B65" s="183"/>
      <c r="C65" s="183"/>
      <c r="D65" s="183"/>
      <c r="E65" s="183"/>
      <c r="F65" s="183"/>
      <c r="G65" s="183"/>
      <c r="H65" s="183"/>
      <c r="I65" s="183"/>
      <c r="J65" s="183"/>
      <c r="K65" s="183"/>
      <c r="L65" s="183"/>
      <c r="M65" s="183"/>
      <c r="N65" s="183"/>
      <c r="O65" s="183"/>
      <c r="P65" s="183"/>
      <c r="Q65" s="183"/>
      <c r="R65" s="183"/>
      <c r="S65" s="183"/>
      <c r="T65" s="183"/>
      <c r="U65" s="183"/>
      <c r="V65" s="183"/>
      <c r="W65" s="183"/>
      <c r="X65" s="183"/>
    </row>
    <row r="66" spans="1:24" x14ac:dyDescent="0.3">
      <c r="A66" s="183"/>
      <c r="B66" s="183"/>
      <c r="C66" s="183"/>
      <c r="D66" s="183"/>
      <c r="E66" s="183"/>
      <c r="F66" s="183"/>
      <c r="G66" s="183"/>
      <c r="H66" s="183"/>
      <c r="I66" s="183"/>
      <c r="J66" s="183"/>
      <c r="K66" s="183"/>
      <c r="L66" s="183"/>
      <c r="M66" s="183"/>
      <c r="N66" s="183"/>
      <c r="O66" s="183"/>
      <c r="P66" s="183"/>
      <c r="Q66" s="183"/>
      <c r="R66" s="183"/>
      <c r="S66" s="183"/>
      <c r="T66" s="183"/>
      <c r="U66" s="183"/>
      <c r="V66" s="183"/>
      <c r="W66" s="183"/>
      <c r="X66" s="183"/>
    </row>
    <row r="67" spans="1:24" x14ac:dyDescent="0.3">
      <c r="A67" s="183"/>
      <c r="B67" s="183"/>
      <c r="C67" s="183"/>
      <c r="D67" s="183"/>
      <c r="E67" s="183"/>
      <c r="F67" s="183"/>
      <c r="G67" s="183"/>
      <c r="H67" s="183"/>
      <c r="I67" s="183"/>
      <c r="J67" s="183"/>
      <c r="K67" s="183"/>
      <c r="L67" s="183"/>
      <c r="M67" s="183"/>
      <c r="N67" s="183"/>
      <c r="O67" s="183"/>
      <c r="P67" s="183"/>
      <c r="Q67" s="183"/>
      <c r="R67" s="183"/>
      <c r="S67" s="183"/>
      <c r="T67" s="183"/>
      <c r="U67" s="183"/>
      <c r="V67" s="183"/>
      <c r="W67" s="183"/>
      <c r="X67" s="183"/>
    </row>
    <row r="68" spans="1:24" x14ac:dyDescent="0.3">
      <c r="A68" s="183"/>
      <c r="B68" s="183"/>
      <c r="C68" s="183"/>
      <c r="D68" s="183"/>
      <c r="E68" s="183"/>
      <c r="F68" s="183"/>
      <c r="G68" s="183"/>
      <c r="H68" s="183"/>
      <c r="I68" s="183"/>
      <c r="J68" s="183"/>
      <c r="K68" s="183"/>
      <c r="L68" s="183"/>
      <c r="M68" s="183"/>
      <c r="N68" s="183"/>
      <c r="O68" s="183"/>
      <c r="P68" s="183"/>
      <c r="Q68" s="183"/>
      <c r="R68" s="183"/>
      <c r="S68" s="183"/>
      <c r="T68" s="183"/>
      <c r="U68" s="183"/>
      <c r="V68" s="183"/>
      <c r="W68" s="183"/>
      <c r="X68" s="183"/>
    </row>
    <row r="69" spans="1:24" x14ac:dyDescent="0.3">
      <c r="A69" s="183"/>
      <c r="B69" s="183"/>
      <c r="C69" s="183"/>
      <c r="D69" s="183"/>
      <c r="E69" s="183"/>
      <c r="F69" s="183"/>
      <c r="G69" s="183"/>
      <c r="H69" s="183"/>
      <c r="I69" s="183"/>
      <c r="J69" s="183"/>
      <c r="K69" s="183"/>
      <c r="L69" s="183"/>
      <c r="M69" s="183"/>
      <c r="N69" s="183"/>
      <c r="O69" s="183"/>
      <c r="P69" s="183"/>
      <c r="Q69" s="183"/>
      <c r="R69" s="183"/>
      <c r="S69" s="183"/>
      <c r="T69" s="183"/>
      <c r="U69" s="183"/>
      <c r="V69" s="183"/>
      <c r="W69" s="183"/>
      <c r="X69" s="183"/>
    </row>
    <row r="70" spans="1:24" x14ac:dyDescent="0.3">
      <c r="A70" s="183"/>
      <c r="B70" s="183"/>
      <c r="C70" s="183"/>
      <c r="D70" s="183"/>
      <c r="E70" s="183"/>
      <c r="F70" s="183"/>
      <c r="G70" s="183"/>
      <c r="H70" s="183"/>
      <c r="I70" s="183"/>
      <c r="J70" s="183"/>
      <c r="K70" s="183"/>
      <c r="L70" s="183"/>
      <c r="M70" s="183"/>
      <c r="N70" s="183"/>
      <c r="O70" s="183"/>
      <c r="P70" s="183"/>
      <c r="Q70" s="183"/>
      <c r="R70" s="183"/>
      <c r="S70" s="183"/>
      <c r="T70" s="183"/>
      <c r="U70" s="183"/>
      <c r="V70" s="183"/>
      <c r="W70" s="183"/>
      <c r="X70" s="183"/>
    </row>
    <row r="71" spans="1:24" x14ac:dyDescent="0.3">
      <c r="A71" s="183"/>
      <c r="B71" s="183"/>
      <c r="C71" s="183"/>
      <c r="D71" s="183"/>
      <c r="E71" s="183"/>
      <c r="F71" s="183"/>
      <c r="G71" s="183"/>
      <c r="H71" s="183"/>
      <c r="I71" s="183"/>
      <c r="J71" s="183"/>
      <c r="K71" s="183"/>
      <c r="L71" s="183"/>
      <c r="M71" s="183"/>
      <c r="N71" s="183"/>
      <c r="O71" s="183"/>
      <c r="P71" s="183"/>
      <c r="Q71" s="183"/>
      <c r="R71" s="183"/>
      <c r="S71" s="183"/>
      <c r="T71" s="183"/>
      <c r="U71" s="183"/>
      <c r="V71" s="183"/>
      <c r="W71" s="183"/>
      <c r="X71" s="183"/>
    </row>
    <row r="72" spans="1:24" x14ac:dyDescent="0.3">
      <c r="A72" s="183"/>
      <c r="B72" s="183"/>
      <c r="C72" s="183"/>
      <c r="D72" s="183"/>
      <c r="E72" s="183"/>
      <c r="F72" s="183"/>
      <c r="G72" s="183"/>
      <c r="H72" s="183"/>
      <c r="I72" s="183"/>
      <c r="J72" s="183"/>
      <c r="K72" s="183"/>
      <c r="L72" s="183"/>
      <c r="M72" s="183"/>
      <c r="N72" s="183"/>
      <c r="O72" s="183"/>
      <c r="P72" s="183"/>
      <c r="Q72" s="183"/>
      <c r="R72" s="183"/>
      <c r="S72" s="183"/>
      <c r="T72" s="183"/>
      <c r="U72" s="183"/>
      <c r="V72" s="183"/>
      <c r="W72" s="183"/>
      <c r="X72" s="183"/>
    </row>
    <row r="73" spans="1:24" x14ac:dyDescent="0.3">
      <c r="A73" s="183"/>
      <c r="B73" s="183"/>
      <c r="C73" s="183"/>
      <c r="D73" s="183"/>
      <c r="E73" s="183"/>
      <c r="F73" s="183"/>
      <c r="G73" s="183"/>
      <c r="H73" s="183"/>
      <c r="I73" s="183"/>
      <c r="J73" s="183"/>
      <c r="K73" s="183"/>
      <c r="L73" s="183"/>
      <c r="M73" s="183"/>
      <c r="N73" s="183"/>
      <c r="O73" s="183"/>
      <c r="P73" s="183"/>
      <c r="Q73" s="183"/>
      <c r="R73" s="183"/>
      <c r="S73" s="183"/>
      <c r="T73" s="183"/>
      <c r="U73" s="183"/>
      <c r="V73" s="183"/>
      <c r="W73" s="183"/>
      <c r="X73" s="183"/>
    </row>
    <row r="74" spans="1:24" x14ac:dyDescent="0.3">
      <c r="A74" s="183"/>
      <c r="B74" s="183"/>
      <c r="C74" s="183"/>
      <c r="D74" s="183"/>
      <c r="E74" s="183"/>
      <c r="F74" s="183"/>
      <c r="G74" s="183"/>
      <c r="H74" s="183"/>
      <c r="I74" s="183"/>
      <c r="J74" s="183"/>
      <c r="K74" s="183"/>
      <c r="L74" s="183"/>
      <c r="M74" s="183"/>
      <c r="N74" s="183"/>
      <c r="O74" s="183"/>
      <c r="P74" s="183"/>
      <c r="Q74" s="183"/>
      <c r="R74" s="183"/>
      <c r="S74" s="183"/>
      <c r="T74" s="183"/>
      <c r="U74" s="183"/>
      <c r="V74" s="183"/>
      <c r="W74" s="183"/>
      <c r="X74" s="183"/>
    </row>
    <row r="75" spans="1:24" x14ac:dyDescent="0.3">
      <c r="A75" s="183"/>
      <c r="B75" s="183"/>
      <c r="C75" s="183"/>
      <c r="D75" s="183"/>
      <c r="E75" s="183"/>
      <c r="F75" s="183"/>
      <c r="G75" s="183"/>
      <c r="H75" s="183"/>
      <c r="I75" s="183"/>
      <c r="J75" s="183"/>
      <c r="K75" s="183"/>
      <c r="L75" s="183"/>
      <c r="M75" s="183"/>
      <c r="N75" s="183"/>
      <c r="O75" s="183"/>
      <c r="P75" s="183"/>
      <c r="Q75" s="183"/>
      <c r="R75" s="183"/>
      <c r="S75" s="183"/>
      <c r="T75" s="183"/>
      <c r="U75" s="183"/>
      <c r="V75" s="183"/>
      <c r="W75" s="183"/>
      <c r="X75" s="183"/>
    </row>
    <row r="76" spans="1:24" x14ac:dyDescent="0.3">
      <c r="A76" s="183"/>
      <c r="B76" s="183"/>
      <c r="C76" s="183"/>
      <c r="D76" s="183"/>
      <c r="E76" s="183"/>
      <c r="F76" s="183"/>
      <c r="G76" s="183"/>
      <c r="H76" s="183"/>
      <c r="I76" s="183"/>
      <c r="J76" s="183"/>
      <c r="K76" s="183"/>
      <c r="L76" s="183"/>
      <c r="M76" s="183"/>
      <c r="N76" s="183"/>
      <c r="O76" s="183"/>
      <c r="P76" s="183"/>
      <c r="Q76" s="183"/>
      <c r="R76" s="183"/>
      <c r="S76" s="183"/>
      <c r="T76" s="183"/>
      <c r="U76" s="183"/>
      <c r="V76" s="183"/>
      <c r="W76" s="183"/>
      <c r="X76" s="183"/>
    </row>
    <row r="77" spans="1:24" x14ac:dyDescent="0.3">
      <c r="A77" s="183"/>
      <c r="B77" s="183"/>
      <c r="C77" s="183"/>
      <c r="D77" s="183"/>
      <c r="E77" s="183"/>
      <c r="F77" s="183"/>
      <c r="G77" s="183"/>
      <c r="H77" s="183"/>
      <c r="I77" s="183"/>
      <c r="J77" s="183"/>
      <c r="K77" s="183"/>
      <c r="L77" s="183"/>
      <c r="M77" s="183"/>
      <c r="N77" s="183"/>
      <c r="O77" s="183"/>
      <c r="P77" s="183"/>
      <c r="Q77" s="183"/>
      <c r="R77" s="183"/>
      <c r="S77" s="183"/>
      <c r="T77" s="183"/>
      <c r="U77" s="183"/>
      <c r="V77" s="183"/>
      <c r="W77" s="183"/>
      <c r="X77" s="183"/>
    </row>
    <row r="78" spans="1:24" x14ac:dyDescent="0.3">
      <c r="A78" s="183"/>
      <c r="B78" s="183"/>
      <c r="C78" s="183"/>
      <c r="D78" s="183"/>
      <c r="E78" s="183"/>
      <c r="F78" s="183"/>
      <c r="G78" s="183"/>
      <c r="H78" s="183"/>
      <c r="I78" s="183"/>
      <c r="J78" s="183"/>
      <c r="K78" s="183"/>
      <c r="L78" s="183"/>
      <c r="M78" s="183"/>
      <c r="N78" s="183"/>
      <c r="O78" s="183"/>
      <c r="P78" s="183"/>
      <c r="Q78" s="183"/>
      <c r="R78" s="183"/>
      <c r="S78" s="183"/>
      <c r="T78" s="183"/>
      <c r="U78" s="183"/>
      <c r="V78" s="183"/>
      <c r="W78" s="183"/>
      <c r="X78" s="183"/>
    </row>
    <row r="79" spans="1:24" x14ac:dyDescent="0.3">
      <c r="A79" s="183"/>
      <c r="B79" s="183"/>
      <c r="C79" s="183"/>
      <c r="D79" s="183"/>
      <c r="E79" s="183"/>
      <c r="F79" s="183"/>
      <c r="G79" s="183"/>
      <c r="H79" s="183"/>
      <c r="I79" s="183"/>
      <c r="J79" s="183"/>
      <c r="K79" s="183"/>
      <c r="L79" s="183"/>
      <c r="M79" s="183"/>
      <c r="N79" s="183"/>
      <c r="O79" s="183"/>
      <c r="P79" s="183"/>
      <c r="Q79" s="183"/>
      <c r="R79" s="183"/>
      <c r="S79" s="183"/>
      <c r="T79" s="183"/>
      <c r="U79" s="183"/>
      <c r="V79" s="183"/>
      <c r="W79" s="183"/>
      <c r="X79" s="183"/>
    </row>
    <row r="80" spans="1:24" x14ac:dyDescent="0.3">
      <c r="A80" s="183"/>
      <c r="B80" s="183"/>
      <c r="C80" s="183"/>
      <c r="D80" s="183"/>
      <c r="E80" s="183"/>
      <c r="F80" s="183"/>
      <c r="G80" s="183"/>
      <c r="H80" s="183"/>
      <c r="I80" s="183"/>
      <c r="J80" s="183"/>
      <c r="K80" s="183"/>
      <c r="L80" s="183"/>
      <c r="M80" s="183"/>
      <c r="N80" s="183"/>
      <c r="O80" s="183"/>
      <c r="P80" s="183"/>
      <c r="Q80" s="183"/>
      <c r="R80" s="183"/>
      <c r="S80" s="183"/>
      <c r="T80" s="183"/>
      <c r="U80" s="183"/>
      <c r="V80" s="183"/>
      <c r="W80" s="183"/>
      <c r="X80" s="183"/>
    </row>
    <row r="81" spans="1:24" x14ac:dyDescent="0.3">
      <c r="A81" s="183"/>
      <c r="B81" s="183"/>
      <c r="C81" s="183"/>
      <c r="D81" s="183"/>
      <c r="E81" s="183"/>
      <c r="F81" s="183"/>
      <c r="G81" s="183"/>
      <c r="H81" s="183"/>
      <c r="I81" s="183"/>
      <c r="J81" s="183"/>
      <c r="K81" s="183"/>
      <c r="L81" s="183"/>
      <c r="M81" s="183"/>
      <c r="N81" s="183"/>
      <c r="O81" s="183"/>
      <c r="P81" s="183"/>
      <c r="Q81" s="183"/>
      <c r="R81" s="183"/>
      <c r="S81" s="183"/>
      <c r="T81" s="183"/>
      <c r="U81" s="183"/>
      <c r="V81" s="183"/>
      <c r="W81" s="183"/>
      <c r="X81" s="183"/>
    </row>
    <row r="82" spans="1:24" x14ac:dyDescent="0.3">
      <c r="A82" s="183"/>
      <c r="B82" s="183"/>
      <c r="C82" s="183"/>
      <c r="D82" s="183"/>
      <c r="E82" s="183"/>
      <c r="F82" s="183"/>
      <c r="G82" s="183"/>
      <c r="H82" s="183"/>
      <c r="I82" s="183"/>
      <c r="J82" s="183"/>
      <c r="K82" s="183"/>
      <c r="L82" s="183"/>
      <c r="M82" s="183"/>
      <c r="N82" s="183"/>
      <c r="O82" s="183"/>
      <c r="P82" s="183"/>
      <c r="Q82" s="183"/>
      <c r="R82" s="183"/>
      <c r="S82" s="183"/>
      <c r="T82" s="183"/>
      <c r="U82" s="183"/>
      <c r="V82" s="183"/>
      <c r="W82" s="183"/>
      <c r="X82" s="183"/>
    </row>
  </sheetData>
  <sheetProtection algorithmName="SHA-512" hashValue="/RgYoWbf4AgP/ZJh+/MNLOaheGGkSfNmxvcq1xwgSf1duH2B3QEkLeoctSmpNXAry3XYfwLidvxNG4H173fEBg==" saltValue="K8ncSgQkWrGn0n2h1O2PeA==" spinCount="100000" sheet="1" objects="1" scenarios="1" formatCells="0" formatColumns="0" formatRows="0"/>
  <mergeCells count="3">
    <mergeCell ref="B7:C7"/>
    <mergeCell ref="O15:T16"/>
    <mergeCell ref="I7:O8"/>
  </mergeCells>
  <conditionalFormatting sqref="B14">
    <cfRule type="containsText" dxfId="45" priority="28" operator="containsText" text="Incomplete">
      <formula>NOT(ISERROR(SEARCH("Incomplete",B14)))</formula>
    </cfRule>
    <cfRule type="containsText" dxfId="44" priority="29" operator="containsText" text="OK">
      <formula>NOT(ISERROR(SEARCH("OK",B14)))</formula>
    </cfRule>
  </conditionalFormatting>
  <conditionalFormatting sqref="B13">
    <cfRule type="containsText" dxfId="43" priority="11" operator="containsText" text="negative">
      <formula>NOT(ISERROR(SEARCH("negative",B13)))</formula>
    </cfRule>
    <cfRule type="containsText" dxfId="42" priority="22" operator="containsText" text="Incomplete">
      <formula>NOT(ISERROR(SEARCH("Incomplete",B13)))</formula>
    </cfRule>
    <cfRule type="containsText" dxfId="41" priority="23" operator="containsText" text="OK">
      <formula>NOT(ISERROR(SEARCH("OK",B13)))</formula>
    </cfRule>
  </conditionalFormatting>
  <conditionalFormatting sqref="B13:B53">
    <cfRule type="containsText" dxfId="40" priority="18" operator="containsText" text="Incomplete">
      <formula>NOT(ISERROR(SEARCH("Incomplete",B13)))</formula>
    </cfRule>
    <cfRule type="containsText" dxfId="39" priority="19" operator="containsText" text="OK">
      <formula>NOT(ISERROR(SEARCH("OK",B13)))</formula>
    </cfRule>
  </conditionalFormatting>
  <conditionalFormatting sqref="B54">
    <cfRule type="containsText" dxfId="38" priority="16" operator="containsText" text="Incomplete">
      <formula>NOT(ISERROR(SEARCH("Incomplete",B54)))</formula>
    </cfRule>
    <cfRule type="containsText" dxfId="37" priority="17" operator="containsText" text="OK">
      <formula>NOT(ISERROR(SEARCH("OK",B54)))</formula>
    </cfRule>
  </conditionalFormatting>
  <conditionalFormatting sqref="B24:B43">
    <cfRule type="containsText" dxfId="36" priority="12" operator="containsText" text="Incomplete">
      <formula>NOT(ISERROR(SEARCH("Incomplete",B24)))</formula>
    </cfRule>
    <cfRule type="containsText" dxfId="35" priority="13" operator="containsText" text="OK">
      <formula>NOT(ISERROR(SEARCH("OK",B24)))</formula>
    </cfRule>
  </conditionalFormatting>
  <conditionalFormatting sqref="B13:B53">
    <cfRule type="containsText" dxfId="34" priority="8" operator="containsText" text="negative">
      <formula>NOT(ISERROR(SEARCH("negative",B13)))</formula>
    </cfRule>
    <cfRule type="containsText" dxfId="33" priority="9" operator="containsText" text="Incomplete">
      <formula>NOT(ISERROR(SEARCH("Incomplete",B13)))</formula>
    </cfRule>
    <cfRule type="containsText" dxfId="32" priority="10" operator="containsText" text="OK">
      <formula>NOT(ISERROR(SEARCH("OK",B13)))</formula>
    </cfRule>
  </conditionalFormatting>
  <dataValidations count="5">
    <dataValidation type="list" allowBlank="1" showInputMessage="1" sqref="F13:F53">
      <formula1>Refrigerants4</formula1>
    </dataValidation>
    <dataValidation type="list" allowBlank="1" showInputMessage="1" showErrorMessage="1" sqref="E13:E53">
      <formula1>EquipType2</formula1>
    </dataValidation>
    <dataValidation type="list" allowBlank="1" showInputMessage="1" showErrorMessage="1" sqref="D13:D53">
      <formula1>FedBuildingType2</formula1>
    </dataValidation>
    <dataValidation type="list" allowBlank="1" showInputMessage="1" showErrorMessage="1" errorTitle="Incorrect Facility Name" error="In the &quot;Inputs&quot; page, please add your facility or region name to the list. You can then select it here from the drop down list." sqref="C14:C53">
      <formula1>Facility</formula1>
    </dataValidation>
    <dataValidation type="decimal" errorStyle="warning" allowBlank="1" showInputMessage="1" showErrorMessage="1" errorTitle="Negative data" error="negative data - Move to a different approach" sqref="M13:M53">
      <formula1>0</formula1>
      <formula2>1000000000</formula2>
    </dataValidation>
  </dataValidations>
  <hyperlinks>
    <hyperlink ref="O28"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6341" r:id="rId5" name="Option Button 21">
              <controlPr defaultSize="0" autoFill="0" autoLine="0" autoPict="0" macro="[0]!DefaultApproachToggle">
                <anchor moveWithCells="1">
                  <from>
                    <xdr:col>1</xdr:col>
                    <xdr:colOff>388620</xdr:colOff>
                    <xdr:row>6</xdr:row>
                    <xdr:rowOff>251460</xdr:rowOff>
                  </from>
                  <to>
                    <xdr:col>2</xdr:col>
                    <xdr:colOff>556260</xdr:colOff>
                    <xdr:row>7</xdr:row>
                    <xdr:rowOff>213360</xdr:rowOff>
                  </to>
                </anchor>
              </controlPr>
            </control>
          </mc:Choice>
        </mc:AlternateContent>
        <mc:AlternateContent xmlns:mc="http://schemas.openxmlformats.org/markup-compatibility/2006">
          <mc:Choice Requires="x14">
            <control shapeId="56342" r:id="rId6" name="Option Button 22">
              <controlPr defaultSize="0" autoFill="0" autoLine="0" autoPict="0" macro="[0]!DefaultApproachToggle">
                <anchor moveWithCells="1">
                  <from>
                    <xdr:col>1</xdr:col>
                    <xdr:colOff>388620</xdr:colOff>
                    <xdr:row>8</xdr:row>
                    <xdr:rowOff>0</xdr:rowOff>
                  </from>
                  <to>
                    <xdr:col>2</xdr:col>
                    <xdr:colOff>899160</xdr:colOff>
                    <xdr:row>8</xdr:row>
                    <xdr:rowOff>213360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00B0F0"/>
  </sheetPr>
  <dimension ref="A1:AA53"/>
  <sheetViews>
    <sheetView showGridLines="0" showRowColHeaders="0" zoomScale="90" zoomScaleNormal="90" workbookViewId="0">
      <selection activeCell="A6" sqref="A6"/>
    </sheetView>
  </sheetViews>
  <sheetFormatPr defaultRowHeight="14.4" x14ac:dyDescent="0.3"/>
  <cols>
    <col min="2" max="2" width="41.88671875" customWidth="1"/>
    <col min="3" max="3" width="13.44140625" customWidth="1"/>
    <col min="4" max="4" width="13.33203125" bestFit="1" customWidth="1"/>
    <col min="5" max="5" width="15.44140625" customWidth="1"/>
    <col min="6" max="6" width="12.6640625" customWidth="1"/>
    <col min="7" max="7" width="13.44140625" bestFit="1" customWidth="1"/>
    <col min="10" max="10" width="15.5546875" customWidth="1"/>
    <col min="11" max="11" width="14.5546875" customWidth="1"/>
    <col min="12" max="12" width="15.44140625" customWidth="1"/>
    <col min="13" max="13" width="13.6640625" customWidth="1"/>
    <col min="14" max="14" width="12.6640625" customWidth="1"/>
    <col min="15" max="15" width="10" customWidth="1"/>
    <col min="16" max="16" width="13.6640625" customWidth="1"/>
  </cols>
  <sheetData>
    <row r="1" spans="1:27" ht="7.5" customHeight="1" x14ac:dyDescent="0.3">
      <c r="A1" s="44"/>
      <c r="B1" s="44"/>
      <c r="C1" s="44"/>
      <c r="D1" s="44"/>
      <c r="E1" s="44"/>
      <c r="F1" s="44"/>
      <c r="G1" s="44"/>
      <c r="H1" s="44"/>
      <c r="I1" s="44"/>
      <c r="J1" s="44"/>
      <c r="K1" s="44"/>
      <c r="L1" s="44"/>
      <c r="M1" s="44"/>
      <c r="N1" s="44"/>
      <c r="O1" s="44"/>
      <c r="P1" s="44"/>
      <c r="Q1" s="44"/>
      <c r="R1" s="44"/>
      <c r="S1" s="44"/>
      <c r="T1" s="44"/>
      <c r="U1" s="44"/>
      <c r="V1" s="44"/>
      <c r="W1" s="44"/>
      <c r="X1" s="44"/>
      <c r="Y1" s="44"/>
      <c r="Z1" s="44"/>
      <c r="AA1" s="44"/>
    </row>
    <row r="2" spans="1:27" ht="26.25" customHeight="1" x14ac:dyDescent="0.65">
      <c r="A2" s="44"/>
      <c r="B2" s="45" t="s">
        <v>733</v>
      </c>
      <c r="C2" s="44"/>
      <c r="D2" s="44"/>
      <c r="E2" s="44"/>
      <c r="F2" s="44"/>
      <c r="G2" s="44"/>
      <c r="H2" s="44"/>
      <c r="I2" s="44"/>
      <c r="J2" s="44"/>
      <c r="K2" s="44"/>
      <c r="L2" s="44"/>
      <c r="M2" s="44"/>
      <c r="N2" s="44"/>
      <c r="O2" s="44"/>
      <c r="P2" s="44"/>
      <c r="Q2" s="44"/>
      <c r="R2" s="44"/>
      <c r="S2" s="44"/>
      <c r="T2" s="44"/>
      <c r="U2" s="44"/>
      <c r="V2" s="44"/>
      <c r="W2" s="44"/>
      <c r="X2" s="44"/>
      <c r="Y2" s="44"/>
      <c r="Z2" s="44"/>
      <c r="AA2" s="44"/>
    </row>
    <row r="3" spans="1:27" ht="7.5" customHeight="1" thickBot="1" x14ac:dyDescent="0.35">
      <c r="A3" s="46"/>
      <c r="B3" s="47"/>
      <c r="C3" s="47"/>
      <c r="D3" s="47"/>
      <c r="E3" s="47"/>
      <c r="F3" s="47"/>
      <c r="G3" s="47"/>
      <c r="H3" s="47"/>
      <c r="I3" s="47"/>
      <c r="J3" s="47"/>
      <c r="K3" s="47"/>
      <c r="L3" s="47"/>
      <c r="M3" s="47"/>
      <c r="N3" s="47"/>
      <c r="O3" s="47"/>
      <c r="P3" s="47"/>
      <c r="Q3" s="47"/>
      <c r="R3" s="47"/>
      <c r="S3" s="47"/>
      <c r="T3" s="47"/>
      <c r="U3" s="47"/>
      <c r="V3" s="47"/>
      <c r="W3" s="47"/>
      <c r="X3" s="47"/>
      <c r="Y3" s="47"/>
      <c r="Z3" s="47"/>
      <c r="AA3" s="47"/>
    </row>
    <row r="4" spans="1:27" ht="8.25" customHeight="1" thickTop="1" x14ac:dyDescent="0.35">
      <c r="A4" s="44"/>
      <c r="B4" s="48"/>
      <c r="C4" s="44"/>
      <c r="D4" s="44"/>
      <c r="E4" s="44"/>
      <c r="F4" s="44"/>
      <c r="G4" s="44"/>
      <c r="H4" s="44"/>
      <c r="I4" s="44"/>
      <c r="J4" s="44"/>
      <c r="K4" s="44"/>
      <c r="L4" s="44"/>
      <c r="M4" s="44"/>
      <c r="N4" s="44"/>
      <c r="O4" s="44"/>
      <c r="P4" s="44"/>
      <c r="Q4" s="44"/>
      <c r="R4" s="44"/>
      <c r="S4" s="44"/>
      <c r="T4" s="44"/>
      <c r="U4" s="44"/>
      <c r="V4" s="44"/>
      <c r="W4" s="44"/>
      <c r="X4" s="44"/>
      <c r="Y4" s="44"/>
      <c r="Z4" s="44"/>
      <c r="AA4" s="44"/>
    </row>
    <row r="5" spans="1:27" ht="36" customHeight="1" x14ac:dyDescent="0.35">
      <c r="A5" s="44"/>
      <c r="B5" s="539" t="s">
        <v>748</v>
      </c>
      <c r="C5" s="539"/>
      <c r="D5" s="539"/>
      <c r="E5" s="539"/>
      <c r="F5" s="539"/>
      <c r="G5" s="539"/>
      <c r="H5" s="539"/>
      <c r="I5" s="539"/>
      <c r="J5" s="539"/>
      <c r="K5" s="539"/>
      <c r="L5" s="429"/>
      <c r="M5" s="429"/>
      <c r="N5" s="429"/>
      <c r="O5" s="429"/>
      <c r="P5" s="429"/>
      <c r="Q5" s="429"/>
      <c r="R5" s="429"/>
      <c r="S5" s="44"/>
      <c r="T5" s="44"/>
      <c r="U5" s="44"/>
      <c r="V5" s="44"/>
      <c r="W5" s="44"/>
      <c r="X5" s="44"/>
      <c r="Y5" s="44"/>
      <c r="Z5" s="44"/>
      <c r="AA5" s="44"/>
    </row>
    <row r="7" spans="1:27" ht="34.5" customHeight="1" x14ac:dyDescent="0.35">
      <c r="B7" s="264" t="s">
        <v>146</v>
      </c>
      <c r="C7" s="217"/>
      <c r="D7" s="217"/>
      <c r="E7" s="217"/>
      <c r="F7" s="217"/>
      <c r="G7" s="217"/>
      <c r="H7" s="217"/>
      <c r="I7" s="217"/>
      <c r="J7" s="217"/>
      <c r="K7" s="217"/>
      <c r="L7" s="217"/>
      <c r="M7" s="217"/>
    </row>
    <row r="8" spans="1:27" ht="86.4" x14ac:dyDescent="0.3">
      <c r="B8" s="219" t="s">
        <v>301</v>
      </c>
      <c r="C8" s="219" t="s">
        <v>290</v>
      </c>
      <c r="D8" s="219" t="s">
        <v>100</v>
      </c>
      <c r="E8" s="219" t="s">
        <v>101</v>
      </c>
      <c r="F8" s="219" t="s">
        <v>102</v>
      </c>
      <c r="G8" s="219" t="s">
        <v>103</v>
      </c>
      <c r="H8" s="219" t="s">
        <v>291</v>
      </c>
      <c r="I8" s="448" t="s">
        <v>292</v>
      </c>
      <c r="J8" s="219" t="s">
        <v>314</v>
      </c>
      <c r="K8" s="448" t="s">
        <v>331</v>
      </c>
      <c r="L8" s="448" t="s">
        <v>332</v>
      </c>
      <c r="M8" s="448" t="s">
        <v>333</v>
      </c>
    </row>
    <row r="9" spans="1:27" x14ac:dyDescent="0.3">
      <c r="B9" s="445" t="str">
        <f>'Default Values'!B5</f>
        <v>Household refrigerators and/or freezers</v>
      </c>
      <c r="C9" s="505">
        <f>'Default Values'!C5</f>
        <v>0.15</v>
      </c>
      <c r="D9" s="504">
        <f>'Default Values'!D5</f>
        <v>0</v>
      </c>
      <c r="E9" s="321">
        <f>'Default Values'!E5</f>
        <v>5.0000000000000001E-3</v>
      </c>
      <c r="F9" s="503">
        <f>'Default Values'!F5</f>
        <v>0.91</v>
      </c>
      <c r="G9" s="503">
        <f>'Default Values'!G5</f>
        <v>0.31</v>
      </c>
      <c r="H9" s="502">
        <f>'Default Values'!H5</f>
        <v>14</v>
      </c>
      <c r="I9" s="501">
        <f>'Default Values'!I5</f>
        <v>7.1428571428571425E-2</v>
      </c>
      <c r="J9" s="498" t="str">
        <f>'Default Values'!J5</f>
        <v>R-134a</v>
      </c>
      <c r="K9" s="500">
        <f>'Default Values'!K5</f>
        <v>0</v>
      </c>
      <c r="L9" s="500">
        <f>'Default Values'!L5</f>
        <v>7.5000000000000002E-4</v>
      </c>
      <c r="M9" s="499">
        <f>'Default Values'!M5</f>
        <v>6.7274999999999982E-3</v>
      </c>
    </row>
    <row r="10" spans="1:27" x14ac:dyDescent="0.3">
      <c r="B10" s="445" t="str">
        <f>'Default Values'!B6</f>
        <v>Room A/C</v>
      </c>
      <c r="C10" s="505">
        <f>'Default Values'!C6</f>
        <v>0.5</v>
      </c>
      <c r="D10" s="504">
        <f>'Default Values'!D6</f>
        <v>0</v>
      </c>
      <c r="E10" s="321">
        <f>'Default Values'!E6</f>
        <v>8.9999999999999993E-3</v>
      </c>
      <c r="F10" s="503">
        <f>'Default Values'!F6</f>
        <v>0.94</v>
      </c>
      <c r="G10" s="503">
        <f>'Default Values'!G6</f>
        <v>0.21</v>
      </c>
      <c r="H10" s="502">
        <f>'Default Values'!H6</f>
        <v>12</v>
      </c>
      <c r="I10" s="501">
        <f>'Default Values'!I6</f>
        <v>8.3333333333333329E-2</v>
      </c>
      <c r="J10" s="507" t="str">
        <f>'Default Values'!J6</f>
        <v>R-410A</v>
      </c>
      <c r="K10" s="500">
        <f>'Default Values'!K6</f>
        <v>0</v>
      </c>
      <c r="L10" s="505">
        <f>'Default Values'!L6</f>
        <v>4.4999999999999997E-3</v>
      </c>
      <c r="M10" s="500">
        <f>'Default Values'!M6</f>
        <v>3.0941666666666666E-2</v>
      </c>
    </row>
    <row r="11" spans="1:27" x14ac:dyDescent="0.3">
      <c r="B11" s="445" t="str">
        <f>'Default Values'!B7</f>
        <v>Other commercial A/C and heat pumps</v>
      </c>
      <c r="C11" s="505">
        <f>'Default Values'!C7</f>
        <v>13</v>
      </c>
      <c r="D11" s="504">
        <f>'Default Values'!D7</f>
        <v>0</v>
      </c>
      <c r="E11" s="501">
        <f>'Default Values'!E7</f>
        <v>0.08</v>
      </c>
      <c r="F11" s="503">
        <f>'Default Values'!F7</f>
        <v>0.8</v>
      </c>
      <c r="G11" s="503">
        <f>'Default Values'!G7</f>
        <v>0.7</v>
      </c>
      <c r="H11" s="502">
        <f>'Default Values'!H7</f>
        <v>25</v>
      </c>
      <c r="I11" s="501">
        <f>'Default Values'!I7</f>
        <v>0.04</v>
      </c>
      <c r="J11" s="498" t="str">
        <f>'Default Values'!J7</f>
        <v>R-410A</v>
      </c>
      <c r="K11" s="500">
        <f>'Default Values'!K7</f>
        <v>0</v>
      </c>
      <c r="L11" s="505">
        <f>'Default Values'!L7</f>
        <v>1.04</v>
      </c>
      <c r="M11" s="508">
        <f>'Default Values'!M7</f>
        <v>0.12480000000000004</v>
      </c>
    </row>
    <row r="12" spans="1:27" x14ac:dyDescent="0.3">
      <c r="B12" s="445" t="str">
        <f>'Default Values'!B8</f>
        <v>Other residential A/C and heat pumps</v>
      </c>
      <c r="C12" s="498">
        <f>'Default Values'!C8</f>
        <v>5</v>
      </c>
      <c r="D12" s="504">
        <f>'Default Values'!D8</f>
        <v>0</v>
      </c>
      <c r="E12" s="501">
        <f>'Default Values'!E8</f>
        <v>0.08</v>
      </c>
      <c r="F12" s="501">
        <f>'Default Values'!F8</f>
        <v>0.8</v>
      </c>
      <c r="G12" s="501">
        <f>'Default Values'!G8</f>
        <v>0.5</v>
      </c>
      <c r="H12" s="502">
        <f>'Default Values'!H8</f>
        <v>15</v>
      </c>
      <c r="I12" s="501">
        <f>'Default Values'!I8</f>
        <v>6.6666666666666666E-2</v>
      </c>
      <c r="J12" s="498" t="str">
        <f>'Default Values'!J8</f>
        <v>R-410A</v>
      </c>
      <c r="K12" s="500">
        <f>'Default Values'!K8</f>
        <v>0</v>
      </c>
      <c r="L12" s="505">
        <f>'Default Values'!L8</f>
        <v>0.4</v>
      </c>
      <c r="M12" s="508">
        <f>'Default Values'!M8</f>
        <v>0.13333333333333333</v>
      </c>
    </row>
    <row r="13" spans="1:27" hidden="1" x14ac:dyDescent="0.3">
      <c r="B13" s="447" t="str">
        <f>'Default Values'!B9</f>
        <v>IPR</v>
      </c>
      <c r="C13" s="509">
        <f>'Default Values'!C9</f>
        <v>3640</v>
      </c>
      <c r="D13" s="510">
        <f>'Default Values'!D9</f>
        <v>0.03</v>
      </c>
      <c r="E13" s="510">
        <f>'Default Values'!E9</f>
        <v>0.25</v>
      </c>
      <c r="F13" s="510">
        <f>'Default Values'!F9</f>
        <v>0.8</v>
      </c>
      <c r="G13" s="510">
        <f>'Default Values'!G9</f>
        <v>0.8</v>
      </c>
      <c r="H13" s="511">
        <f>'Default Values'!H9</f>
        <v>25</v>
      </c>
      <c r="I13" s="510">
        <f>'Default Values'!I9</f>
        <v>0.04</v>
      </c>
      <c r="J13" s="512" t="str">
        <f>'Default Values'!J9</f>
        <v>R-134a</v>
      </c>
      <c r="K13" s="512">
        <f>'Default Values'!K9</f>
        <v>4.3679999999999994</v>
      </c>
      <c r="L13" s="512">
        <f>'Default Values'!L9</f>
        <v>910</v>
      </c>
      <c r="M13" s="513">
        <f>'Default Values'!M9</f>
        <v>23.295999999999996</v>
      </c>
    </row>
    <row r="14" spans="1:27" x14ac:dyDescent="0.3">
      <c r="B14" s="445" t="str">
        <f>'Default Values'!B10</f>
        <v>Medium cold storage</v>
      </c>
      <c r="C14" s="498">
        <f>'Default Values'!C10</f>
        <v>565</v>
      </c>
      <c r="D14" s="501">
        <f>'Default Values'!D10</f>
        <v>0.01</v>
      </c>
      <c r="E14" s="501">
        <f>'Default Values'!E10</f>
        <v>0.25</v>
      </c>
      <c r="F14" s="501">
        <f>'Default Values'!F10</f>
        <v>0.8</v>
      </c>
      <c r="G14" s="501">
        <f>'Default Values'!G10</f>
        <v>0.8</v>
      </c>
      <c r="H14" s="502">
        <f>'Default Values'!H10</f>
        <v>25</v>
      </c>
      <c r="I14" s="501">
        <f>'Default Values'!I10</f>
        <v>0.04</v>
      </c>
      <c r="J14" s="498" t="str">
        <f>'Default Values'!J10</f>
        <v>R-404A</v>
      </c>
      <c r="K14" s="505">
        <f>'Default Values'!K10</f>
        <v>0.22600000000000001</v>
      </c>
      <c r="L14" s="505">
        <f>'Default Values'!L10</f>
        <v>141.25</v>
      </c>
      <c r="M14" s="508">
        <f>'Default Values'!M10</f>
        <v>3.6159999999999997</v>
      </c>
    </row>
    <row r="15" spans="1:27" x14ac:dyDescent="0.3">
      <c r="B15" s="446" t="str">
        <f>'Default Values'!B11</f>
        <v>Large cold storage</v>
      </c>
      <c r="C15" s="514">
        <f>'Default Values'!C11</f>
        <v>7546</v>
      </c>
      <c r="D15" s="501">
        <f>'Default Values'!D11</f>
        <v>0.01</v>
      </c>
      <c r="E15" s="501">
        <f>'Default Values'!E11</f>
        <v>0.25</v>
      </c>
      <c r="F15" s="501">
        <f>'Default Values'!F11</f>
        <v>0.8</v>
      </c>
      <c r="G15" s="501">
        <f>'Default Values'!G11</f>
        <v>0.8</v>
      </c>
      <c r="H15" s="502">
        <f>'Default Values'!H11</f>
        <v>25</v>
      </c>
      <c r="I15" s="501">
        <f>'Default Values'!I11</f>
        <v>0.04</v>
      </c>
      <c r="J15" s="498" t="str">
        <f>'Default Values'!J11</f>
        <v>R-404A</v>
      </c>
      <c r="K15" s="498">
        <f>'Default Values'!K11</f>
        <v>3.0184000000000002</v>
      </c>
      <c r="L15" s="498">
        <f>'Default Values'!L11</f>
        <v>1886.5</v>
      </c>
      <c r="M15" s="515">
        <f>'Default Values'!M11</f>
        <v>48.294399999999996</v>
      </c>
    </row>
    <row r="16" spans="1:27" x14ac:dyDescent="0.3">
      <c r="B16" s="445" t="str">
        <f>'Default Values'!B12</f>
        <v>Chillers</v>
      </c>
      <c r="C16" s="498">
        <f>'Default Values'!C12</f>
        <v>500</v>
      </c>
      <c r="D16" s="516">
        <f>'Default Values'!D12</f>
        <v>5.0000000000000001E-3</v>
      </c>
      <c r="E16" s="501">
        <f>'Default Values'!E12</f>
        <v>0.02</v>
      </c>
      <c r="F16" s="501">
        <f>'Default Values'!F12</f>
        <v>0.95</v>
      </c>
      <c r="G16" s="501">
        <f>'Default Values'!G12</f>
        <v>0.85</v>
      </c>
      <c r="H16" s="502">
        <f>'Default Values'!H12</f>
        <v>23</v>
      </c>
      <c r="I16" s="501">
        <f>'Default Values'!I12</f>
        <v>4.3478260869565216E-2</v>
      </c>
      <c r="J16" s="498" t="str">
        <f>'Default Values'!J12</f>
        <v>R-134a</v>
      </c>
      <c r="K16" s="508">
        <f>'Default Values'!K12</f>
        <v>0.10869565217391305</v>
      </c>
      <c r="L16" s="505">
        <f>'Default Values'!L12</f>
        <v>10</v>
      </c>
      <c r="M16" s="517">
        <f>'Default Values'!M12</f>
        <v>3.097826086956522</v>
      </c>
    </row>
    <row r="17" spans="1:17" x14ac:dyDescent="0.3">
      <c r="B17" s="445" t="str">
        <f>'Default Values'!B13</f>
        <v>Stand-alone retail refrigerators and freezers</v>
      </c>
      <c r="C17" s="498">
        <f>'Default Values'!C13</f>
        <v>0.4</v>
      </c>
      <c r="D17" s="504">
        <f>'Default Values'!D13</f>
        <v>0</v>
      </c>
      <c r="E17" s="501">
        <f>'Default Values'!E13</f>
        <v>0.01</v>
      </c>
      <c r="F17" s="501">
        <f>'Default Values'!F13</f>
        <v>0.9</v>
      </c>
      <c r="G17" s="501">
        <f>'Default Values'!G13</f>
        <v>0.25</v>
      </c>
      <c r="H17" s="502">
        <f>'Default Values'!H13</f>
        <v>10</v>
      </c>
      <c r="I17" s="501">
        <f>'Default Values'!I13</f>
        <v>0.1</v>
      </c>
      <c r="J17" s="498" t="str">
        <f>'Default Values'!J13</f>
        <v>R-134a</v>
      </c>
      <c r="K17" s="505">
        <f>'Default Values'!K13</f>
        <v>0</v>
      </c>
      <c r="L17" s="505">
        <f>'Default Values'!L13</f>
        <v>4.0000000000000001E-3</v>
      </c>
      <c r="M17" s="505">
        <f>'Default Values'!M13</f>
        <v>2.700000000000001E-2</v>
      </c>
    </row>
    <row r="18" spans="1:17" x14ac:dyDescent="0.3">
      <c r="B18" s="445" t="str">
        <f>'Default Values'!B14</f>
        <v>Walk-in refrigerators and freezers</v>
      </c>
      <c r="C18" s="498">
        <f>'Default Values'!C14</f>
        <v>10</v>
      </c>
      <c r="D18" s="516">
        <f>'Default Values'!D14</f>
        <v>0.02</v>
      </c>
      <c r="E18" s="501">
        <f>'Default Values'!E14</f>
        <v>0.12</v>
      </c>
      <c r="F18" s="501">
        <f>'Default Values'!F14</f>
        <v>0.9</v>
      </c>
      <c r="G18" s="501">
        <f>'Default Values'!G14</f>
        <v>0.7</v>
      </c>
      <c r="H18" s="502">
        <f>'Default Values'!H14</f>
        <v>20</v>
      </c>
      <c r="I18" s="501">
        <f>'Default Values'!I14</f>
        <v>0.05</v>
      </c>
      <c r="J18" s="498" t="str">
        <f>'Default Values'!J14</f>
        <v>R-404A</v>
      </c>
      <c r="K18" s="505">
        <f>'Default Values'!K14</f>
        <v>0.01</v>
      </c>
      <c r="L18" s="505">
        <f>'Default Values'!L14</f>
        <v>1.2</v>
      </c>
      <c r="M18" s="505">
        <f>'Default Values'!M14</f>
        <v>0.13500000000000004</v>
      </c>
    </row>
    <row r="19" spans="1:17" x14ac:dyDescent="0.3">
      <c r="B19" s="445" t="str">
        <f>'Default Values'!B15</f>
        <v>Supermarket refrigeration and condensing units</v>
      </c>
      <c r="C19" s="514">
        <f>'Default Values'!C15</f>
        <v>1360</v>
      </c>
      <c r="D19" s="516">
        <f>'Default Values'!D15</f>
        <v>0.02</v>
      </c>
      <c r="E19" s="501">
        <f>'Default Values'!E15</f>
        <v>0.25</v>
      </c>
      <c r="F19" s="501">
        <f>'Default Values'!F15</f>
        <v>0.9</v>
      </c>
      <c r="G19" s="501">
        <f>'Default Values'!G15</f>
        <v>0.85</v>
      </c>
      <c r="H19" s="502">
        <f>'Default Values'!H15</f>
        <v>18</v>
      </c>
      <c r="I19" s="501">
        <f>'Default Values'!I15</f>
        <v>5.5555555555555552E-2</v>
      </c>
      <c r="J19" s="498" t="str">
        <f>'Default Values'!J15</f>
        <v>R-404A</v>
      </c>
      <c r="K19" s="508">
        <f>'Default Values'!K15</f>
        <v>1.5111111111111111</v>
      </c>
      <c r="L19" s="505">
        <f>'Default Values'!L15</f>
        <v>340</v>
      </c>
      <c r="M19" s="508">
        <f>'Default Values'!M15</f>
        <v>10.200000000000001</v>
      </c>
    </row>
    <row r="20" spans="1:17" x14ac:dyDescent="0.3">
      <c r="B20" s="445" t="str">
        <f>'Default Values'!B16</f>
        <v>Refrigerated transport - land</v>
      </c>
      <c r="C20" s="498">
        <f>'Default Values'!C16</f>
        <v>6</v>
      </c>
      <c r="D20" s="504">
        <f>'Default Values'!D16</f>
        <v>0</v>
      </c>
      <c r="E20" s="501">
        <f>'Default Values'!E16</f>
        <v>0.2</v>
      </c>
      <c r="F20" s="501">
        <f>'Default Values'!F16</f>
        <v>0.5</v>
      </c>
      <c r="G20" s="501">
        <f>'Default Values'!G16</f>
        <v>0.6</v>
      </c>
      <c r="H20" s="502">
        <f>'Default Values'!H16</f>
        <v>12</v>
      </c>
      <c r="I20" s="501">
        <f>'Default Values'!I16</f>
        <v>8.3333333333333329E-2</v>
      </c>
      <c r="J20" s="498" t="str">
        <f>'Default Values'!J16</f>
        <v>R-134a</v>
      </c>
      <c r="K20" s="505">
        <f>'Default Values'!K16</f>
        <v>0</v>
      </c>
      <c r="L20" s="505">
        <f>'Default Values'!L16</f>
        <v>1.2000000000000002</v>
      </c>
      <c r="M20" s="505">
        <f>'Default Values'!M16</f>
        <v>0.1</v>
      </c>
    </row>
    <row r="21" spans="1:17" x14ac:dyDescent="0.3">
      <c r="B21" s="445" t="str">
        <f>'Default Values'!B17</f>
        <v>Refrigerated transport - marine</v>
      </c>
      <c r="C21" s="498">
        <f>'Default Values'!C17</f>
        <v>6</v>
      </c>
      <c r="D21" s="504">
        <f>'Default Values'!D17</f>
        <v>0</v>
      </c>
      <c r="E21" s="501">
        <f>'Default Values'!E17</f>
        <v>0.2</v>
      </c>
      <c r="F21" s="501">
        <f>'Default Values'!F17</f>
        <v>0.5</v>
      </c>
      <c r="G21" s="501">
        <f>'Default Values'!G17</f>
        <v>0.6</v>
      </c>
      <c r="H21" s="502">
        <f>'Default Values'!H17</f>
        <v>12</v>
      </c>
      <c r="I21" s="501">
        <f>'Default Values'!I17</f>
        <v>8.3333333333333329E-2</v>
      </c>
      <c r="J21" s="498" t="str">
        <f>'Default Values'!J17</f>
        <v>R-134a</v>
      </c>
      <c r="K21" s="505">
        <f>'Default Values'!K17</f>
        <v>0</v>
      </c>
      <c r="L21" s="505">
        <f>'Default Values'!L17</f>
        <v>1.2000000000000002</v>
      </c>
      <c r="M21" s="505">
        <f>'Default Values'!M17</f>
        <v>0.1</v>
      </c>
    </row>
    <row r="22" spans="1:17" x14ac:dyDescent="0.3">
      <c r="B22" s="445" t="str">
        <f>'Default Values'!B18</f>
        <v>Passenger car A/C</v>
      </c>
      <c r="C22" s="498">
        <f>'Default Values'!C18</f>
        <v>0.6</v>
      </c>
      <c r="D22" s="504">
        <f>'Default Values'!D18</f>
        <v>0</v>
      </c>
      <c r="E22" s="516">
        <f>'Default Values'!E18</f>
        <v>8.8999999999999996E-2</v>
      </c>
      <c r="F22" s="501">
        <f>'Default Values'!F18</f>
        <v>0.5</v>
      </c>
      <c r="G22" s="501">
        <f>'Default Values'!G18</f>
        <v>0.2</v>
      </c>
      <c r="H22" s="502">
        <f>'Default Values'!H18</f>
        <v>12</v>
      </c>
      <c r="I22" s="501">
        <f>'Default Values'!I18</f>
        <v>8.3333333333333329E-2</v>
      </c>
      <c r="J22" s="498" t="str">
        <f>'Default Values'!J18</f>
        <v>R-134a</v>
      </c>
      <c r="K22" s="500">
        <f>'Default Values'!K18</f>
        <v>0</v>
      </c>
      <c r="L22" s="505">
        <f>'Default Values'!L18</f>
        <v>5.3399999999999996E-2</v>
      </c>
      <c r="M22" s="505">
        <f>'Default Values'!M18</f>
        <v>0.02</v>
      </c>
    </row>
    <row r="23" spans="1:17" x14ac:dyDescent="0.3">
      <c r="B23" s="445" t="str">
        <f>'Default Values'!B19</f>
        <v>Light-duty or heavy-duty truck A/C</v>
      </c>
      <c r="C23" s="498">
        <f>'Default Values'!C19</f>
        <v>0.8</v>
      </c>
      <c r="D23" s="504">
        <f>'Default Values'!D19</f>
        <v>0</v>
      </c>
      <c r="E23" s="516">
        <f>'Default Values'!E19</f>
        <v>8.8999999999999996E-2</v>
      </c>
      <c r="F23" s="501">
        <f>'Default Values'!F19</f>
        <v>0.5</v>
      </c>
      <c r="G23" s="501">
        <f>'Default Values'!G19</f>
        <v>0.2</v>
      </c>
      <c r="H23" s="502">
        <f>'Default Values'!H19</f>
        <v>12</v>
      </c>
      <c r="I23" s="501">
        <f>'Default Values'!I19</f>
        <v>8.3333333333333329E-2</v>
      </c>
      <c r="J23" s="498" t="str">
        <f>'Default Values'!J19</f>
        <v>R-134a</v>
      </c>
      <c r="K23" s="500">
        <f>'Default Values'!K19</f>
        <v>0</v>
      </c>
      <c r="L23" s="505">
        <f>'Default Values'!L19</f>
        <v>7.1199999999999999E-2</v>
      </c>
      <c r="M23" s="500">
        <f>'Default Values'!M19</f>
        <v>2.6666666666666668E-2</v>
      </c>
    </row>
    <row r="24" spans="1:17" x14ac:dyDescent="0.3">
      <c r="B24" s="445" t="str">
        <f>'Default Values'!B20</f>
        <v>Bus A/C</v>
      </c>
      <c r="C24" s="498">
        <f>'Default Values'!C20</f>
        <v>5</v>
      </c>
      <c r="D24" s="504">
        <f>'Default Values'!D20</f>
        <v>0</v>
      </c>
      <c r="E24" s="501">
        <f>'Default Values'!E20</f>
        <v>0.1</v>
      </c>
      <c r="F24" s="501">
        <f>'Default Values'!F20</f>
        <v>0.5</v>
      </c>
      <c r="G24" s="501">
        <f>'Default Values'!G20</f>
        <v>0.4</v>
      </c>
      <c r="H24" s="502">
        <f>'Default Values'!H20</f>
        <v>12</v>
      </c>
      <c r="I24" s="501">
        <f>'Default Values'!I20</f>
        <v>8.3333333333333329E-2</v>
      </c>
      <c r="J24" s="498" t="str">
        <f>'Default Values'!J20</f>
        <v>R-134a</v>
      </c>
      <c r="K24" s="500">
        <f>'Default Values'!K20</f>
        <v>0</v>
      </c>
      <c r="L24" s="505">
        <f>'Default Values'!L20</f>
        <v>0.5</v>
      </c>
      <c r="M24" s="508">
        <f>'Default Values'!M20</f>
        <v>0.12499999999999999</v>
      </c>
    </row>
    <row r="26" spans="1:17" x14ac:dyDescent="0.3">
      <c r="B26" s="418" t="s">
        <v>731</v>
      </c>
      <c r="C26" s="92">
        <f>Inputs!E12</f>
        <v>2016</v>
      </c>
    </row>
    <row r="28" spans="1:17" ht="18" x14ac:dyDescent="0.35">
      <c r="B28" s="37" t="s">
        <v>734</v>
      </c>
    </row>
    <row r="29" spans="1:17" x14ac:dyDescent="0.3">
      <c r="B29" s="452" t="s">
        <v>735</v>
      </c>
    </row>
    <row r="30" spans="1:17" ht="57.6" x14ac:dyDescent="0.3">
      <c r="B30" s="418" t="s">
        <v>731</v>
      </c>
      <c r="C30" s="219" t="s">
        <v>608</v>
      </c>
      <c r="D30" s="219" t="s">
        <v>721</v>
      </c>
      <c r="E30" s="219" t="s">
        <v>723</v>
      </c>
      <c r="F30" s="219" t="s">
        <v>722</v>
      </c>
      <c r="G30" s="219" t="s">
        <v>110</v>
      </c>
      <c r="H30" s="219" t="s">
        <v>111</v>
      </c>
      <c r="I30" s="219" t="s">
        <v>112</v>
      </c>
      <c r="J30" s="219" t="s">
        <v>610</v>
      </c>
      <c r="K30" s="219" t="s">
        <v>612</v>
      </c>
      <c r="L30" s="219" t="s">
        <v>614</v>
      </c>
      <c r="M30" s="219" t="s">
        <v>616</v>
      </c>
      <c r="N30" s="219" t="s">
        <v>618</v>
      </c>
      <c r="O30" s="219" t="s">
        <v>620</v>
      </c>
      <c r="P30" s="219" t="s">
        <v>621</v>
      </c>
      <c r="Q30" s="219" t="s">
        <v>622</v>
      </c>
    </row>
    <row r="31" spans="1:17" x14ac:dyDescent="0.3">
      <c r="B31" s="518" t="s">
        <v>738</v>
      </c>
      <c r="C31" s="519">
        <f>VLOOKUP($C$26,$B$32:$Q$52,COLUMNS($B$30:C30),0)</f>
        <v>1</v>
      </c>
      <c r="D31" s="519">
        <f>VLOOKUP($C$26,$B$32:$Q$52,COLUMNS($B$30:D30),0)</f>
        <v>0.6</v>
      </c>
      <c r="E31" s="519">
        <f>VLOOKUP($C$26,$B$32:$Q$52,COLUMNS($B$30:E30),0)</f>
        <v>0.5</v>
      </c>
      <c r="F31" s="519">
        <f>VLOOKUP($C$26,$B$32:$Q$52,COLUMNS($B$30:F30),0)</f>
        <v>0.5</v>
      </c>
      <c r="G31" s="519">
        <f>VLOOKUP($C$26,$B$32:$Q$52,COLUMNS($B$30:G30),0)</f>
        <v>0.6</v>
      </c>
      <c r="H31" s="519">
        <f>VLOOKUP($C$26,$B$32:$Q$52,COLUMNS($B$30:H30),0)</f>
        <v>0.6</v>
      </c>
      <c r="I31" s="519">
        <f>VLOOKUP($C$26,$B$32:$Q$52,COLUMNS($B$30:I30),0)</f>
        <v>0.4</v>
      </c>
      <c r="J31" s="519">
        <f>VLOOKUP($C$26,$B$32:$Q$52,COLUMNS($B$30:J30),0)</f>
        <v>1</v>
      </c>
      <c r="K31" s="519">
        <f>VLOOKUP($C$26,$B$32:$Q$52,COLUMNS($B$30:K30),0)</f>
        <v>0.6</v>
      </c>
      <c r="L31" s="519">
        <f>VLOOKUP($C$26,$B$32:$Q$52,COLUMNS($B$30:L30),0)</f>
        <v>0.6</v>
      </c>
      <c r="M31" s="519">
        <f>VLOOKUP($C$26,$B$32:$Q$52,COLUMNS($B$30:M30),0)</f>
        <v>1</v>
      </c>
      <c r="N31" s="519">
        <f>VLOOKUP($C$26,$B$32:$Q$52,COLUMNS($B$30:N30),0)</f>
        <v>1</v>
      </c>
      <c r="O31" s="519">
        <f>VLOOKUP($C$26,$B$32:$Q$52,COLUMNS($B$30:O30),0)</f>
        <v>1</v>
      </c>
      <c r="P31" s="519">
        <f>VLOOKUP($C$26,$B$32:$Q$52,COLUMNS($B$30:P30),0)</f>
        <v>1</v>
      </c>
      <c r="Q31" s="519">
        <f>VLOOKUP($C$26,$B$32:$Q$52,COLUMNS($B$30:Q30),0)</f>
        <v>0.9</v>
      </c>
    </row>
    <row r="32" spans="1:17" x14ac:dyDescent="0.3">
      <c r="A32" s="451" t="str">
        <f t="shared" ref="A32:A35" si="0">IF(B32=$C$26,"Selection","")</f>
        <v/>
      </c>
      <c r="B32" s="449">
        <v>2010</v>
      </c>
      <c r="C32" s="450">
        <v>1</v>
      </c>
      <c r="D32" s="450">
        <v>0.1</v>
      </c>
      <c r="E32" s="450">
        <v>0.1</v>
      </c>
      <c r="F32" s="450">
        <v>0.2</v>
      </c>
      <c r="G32" s="450">
        <v>0.3</v>
      </c>
      <c r="H32" s="450">
        <v>0.3</v>
      </c>
      <c r="I32" s="450">
        <v>0.2</v>
      </c>
      <c r="J32" s="450">
        <v>1</v>
      </c>
      <c r="K32" s="450">
        <v>0.3</v>
      </c>
      <c r="L32" s="450">
        <v>0.4</v>
      </c>
      <c r="M32" s="450">
        <v>1</v>
      </c>
      <c r="N32" s="450">
        <v>1</v>
      </c>
      <c r="O32" s="450">
        <v>1</v>
      </c>
      <c r="P32" s="450">
        <v>1</v>
      </c>
      <c r="Q32" s="450">
        <v>0.7</v>
      </c>
    </row>
    <row r="33" spans="1:17" x14ac:dyDescent="0.3">
      <c r="A33" s="451" t="str">
        <f t="shared" si="0"/>
        <v/>
      </c>
      <c r="B33" s="449">
        <v>2011</v>
      </c>
      <c r="C33" s="450">
        <v>1</v>
      </c>
      <c r="D33" s="450">
        <v>0.2</v>
      </c>
      <c r="E33" s="450">
        <v>0.2</v>
      </c>
      <c r="F33" s="450">
        <v>0.2</v>
      </c>
      <c r="G33" s="450">
        <v>0.4</v>
      </c>
      <c r="H33" s="450">
        <v>0.4</v>
      </c>
      <c r="I33" s="450">
        <v>0.2</v>
      </c>
      <c r="J33" s="450">
        <v>1</v>
      </c>
      <c r="K33" s="450">
        <v>0.3</v>
      </c>
      <c r="L33" s="450">
        <v>0.4</v>
      </c>
      <c r="M33" s="450">
        <v>1</v>
      </c>
      <c r="N33" s="450">
        <v>1</v>
      </c>
      <c r="O33" s="450">
        <v>1</v>
      </c>
      <c r="P33" s="450">
        <v>1</v>
      </c>
      <c r="Q33" s="450">
        <v>0.7</v>
      </c>
    </row>
    <row r="34" spans="1:17" x14ac:dyDescent="0.3">
      <c r="A34" s="451" t="str">
        <f t="shared" si="0"/>
        <v/>
      </c>
      <c r="B34" s="449">
        <v>2012</v>
      </c>
      <c r="C34" s="450">
        <v>1</v>
      </c>
      <c r="D34" s="450">
        <v>0.3</v>
      </c>
      <c r="E34" s="450">
        <v>0.2</v>
      </c>
      <c r="F34" s="450">
        <v>0.3</v>
      </c>
      <c r="G34" s="450">
        <v>0.4</v>
      </c>
      <c r="H34" s="450">
        <v>0.4</v>
      </c>
      <c r="I34" s="450">
        <v>0.3</v>
      </c>
      <c r="J34" s="450">
        <v>1</v>
      </c>
      <c r="K34" s="450">
        <v>0.4</v>
      </c>
      <c r="L34" s="450">
        <v>0.5</v>
      </c>
      <c r="M34" s="450">
        <v>1</v>
      </c>
      <c r="N34" s="450">
        <v>1</v>
      </c>
      <c r="O34" s="450">
        <v>1</v>
      </c>
      <c r="P34" s="450">
        <v>1</v>
      </c>
      <c r="Q34" s="450">
        <v>0.8</v>
      </c>
    </row>
    <row r="35" spans="1:17" x14ac:dyDescent="0.3">
      <c r="A35" s="451" t="str">
        <f t="shared" si="0"/>
        <v/>
      </c>
      <c r="B35" s="449">
        <v>2013</v>
      </c>
      <c r="C35" s="450">
        <v>1</v>
      </c>
      <c r="D35" s="450">
        <v>0.3</v>
      </c>
      <c r="E35" s="450">
        <v>0.3</v>
      </c>
      <c r="F35" s="450">
        <v>0.3</v>
      </c>
      <c r="G35" s="450">
        <v>0.5</v>
      </c>
      <c r="H35" s="450">
        <v>0.5</v>
      </c>
      <c r="I35" s="450">
        <v>0.3</v>
      </c>
      <c r="J35" s="450">
        <v>1</v>
      </c>
      <c r="K35" s="450">
        <v>0.5</v>
      </c>
      <c r="L35" s="450">
        <v>0.5</v>
      </c>
      <c r="M35" s="450">
        <v>1</v>
      </c>
      <c r="N35" s="450">
        <v>1</v>
      </c>
      <c r="O35" s="450">
        <v>1</v>
      </c>
      <c r="P35" s="450">
        <v>1</v>
      </c>
      <c r="Q35" s="450">
        <v>0.8</v>
      </c>
    </row>
    <row r="36" spans="1:17" x14ac:dyDescent="0.3">
      <c r="A36" s="451" t="str">
        <f>IF(B36=$C$26,"Selection","")</f>
        <v/>
      </c>
      <c r="B36" s="449">
        <v>2014</v>
      </c>
      <c r="C36" s="450">
        <v>1</v>
      </c>
      <c r="D36" s="450">
        <v>0.4</v>
      </c>
      <c r="E36" s="450">
        <v>0.3</v>
      </c>
      <c r="F36" s="450">
        <v>0.4</v>
      </c>
      <c r="G36" s="450">
        <v>0.5</v>
      </c>
      <c r="H36" s="450">
        <v>0.5</v>
      </c>
      <c r="I36" s="450">
        <v>0.3</v>
      </c>
      <c r="J36" s="450">
        <v>1</v>
      </c>
      <c r="K36" s="450">
        <v>0.5</v>
      </c>
      <c r="L36" s="450">
        <v>0.5</v>
      </c>
      <c r="M36" s="450">
        <v>1</v>
      </c>
      <c r="N36" s="450">
        <v>1</v>
      </c>
      <c r="O36" s="450">
        <v>1</v>
      </c>
      <c r="P36" s="450">
        <v>1</v>
      </c>
      <c r="Q36" s="450">
        <v>0.9</v>
      </c>
    </row>
    <row r="37" spans="1:17" x14ac:dyDescent="0.3">
      <c r="A37" s="451" t="str">
        <f t="shared" ref="A37:A52" si="1">IF(B37=$C$26,"Selection","")</f>
        <v/>
      </c>
      <c r="B37" s="449">
        <v>2015</v>
      </c>
      <c r="C37" s="450">
        <v>1</v>
      </c>
      <c r="D37" s="450">
        <v>0.5</v>
      </c>
      <c r="E37" s="450">
        <v>0.4</v>
      </c>
      <c r="F37" s="450">
        <v>0.5</v>
      </c>
      <c r="G37" s="450">
        <v>0.6</v>
      </c>
      <c r="H37" s="450">
        <v>0.6</v>
      </c>
      <c r="I37" s="450">
        <v>0.4</v>
      </c>
      <c r="J37" s="450">
        <v>1</v>
      </c>
      <c r="K37" s="450">
        <v>0.6</v>
      </c>
      <c r="L37" s="450">
        <v>0.6</v>
      </c>
      <c r="M37" s="450">
        <v>1</v>
      </c>
      <c r="N37" s="450">
        <v>1</v>
      </c>
      <c r="O37" s="450">
        <v>1</v>
      </c>
      <c r="P37" s="450">
        <v>1</v>
      </c>
      <c r="Q37" s="450">
        <v>0.9</v>
      </c>
    </row>
    <row r="38" spans="1:17" x14ac:dyDescent="0.3">
      <c r="A38" s="451" t="str">
        <f t="shared" si="1"/>
        <v>Selection</v>
      </c>
      <c r="B38" s="449">
        <v>2016</v>
      </c>
      <c r="C38" s="450">
        <v>1</v>
      </c>
      <c r="D38" s="450">
        <v>0.6</v>
      </c>
      <c r="E38" s="450">
        <v>0.5</v>
      </c>
      <c r="F38" s="450">
        <v>0.5</v>
      </c>
      <c r="G38" s="450">
        <v>0.6</v>
      </c>
      <c r="H38" s="450">
        <v>0.6</v>
      </c>
      <c r="I38" s="450">
        <v>0.4</v>
      </c>
      <c r="J38" s="450">
        <v>1</v>
      </c>
      <c r="K38" s="450">
        <v>0.6</v>
      </c>
      <c r="L38" s="450">
        <v>0.6</v>
      </c>
      <c r="M38" s="450">
        <v>1</v>
      </c>
      <c r="N38" s="450">
        <v>1</v>
      </c>
      <c r="O38" s="450">
        <v>1</v>
      </c>
      <c r="P38" s="450">
        <v>1</v>
      </c>
      <c r="Q38" s="450">
        <v>0.9</v>
      </c>
    </row>
    <row r="39" spans="1:17" x14ac:dyDescent="0.3">
      <c r="A39" s="451" t="str">
        <f t="shared" si="1"/>
        <v/>
      </c>
      <c r="B39" s="449">
        <v>2017</v>
      </c>
      <c r="C39" s="450">
        <v>1</v>
      </c>
      <c r="D39" s="450">
        <v>0.7</v>
      </c>
      <c r="E39" s="450">
        <v>0.5</v>
      </c>
      <c r="F39" s="450">
        <v>0.6</v>
      </c>
      <c r="G39" s="450">
        <v>0.6</v>
      </c>
      <c r="H39" s="450">
        <v>0.6</v>
      </c>
      <c r="I39" s="450">
        <v>0.5</v>
      </c>
      <c r="J39" s="450">
        <v>0.9</v>
      </c>
      <c r="K39" s="450">
        <v>0.7</v>
      </c>
      <c r="L39" s="450">
        <v>0.7</v>
      </c>
      <c r="M39" s="450">
        <v>1</v>
      </c>
      <c r="N39" s="450">
        <v>1</v>
      </c>
      <c r="O39" s="450">
        <v>1</v>
      </c>
      <c r="P39" s="450">
        <v>1</v>
      </c>
      <c r="Q39" s="450">
        <v>1</v>
      </c>
    </row>
    <row r="40" spans="1:17" x14ac:dyDescent="0.3">
      <c r="A40" s="451" t="str">
        <f t="shared" si="1"/>
        <v/>
      </c>
      <c r="B40" s="449">
        <v>2018</v>
      </c>
      <c r="C40" s="450">
        <v>1</v>
      </c>
      <c r="D40" s="450">
        <v>0.8</v>
      </c>
      <c r="E40" s="450">
        <v>0.6</v>
      </c>
      <c r="F40" s="450">
        <v>0.7</v>
      </c>
      <c r="G40" s="450">
        <v>0.7</v>
      </c>
      <c r="H40" s="450">
        <v>0.7</v>
      </c>
      <c r="I40" s="450">
        <v>0.5</v>
      </c>
      <c r="J40" s="450">
        <v>0.9</v>
      </c>
      <c r="K40" s="450">
        <v>0.7</v>
      </c>
      <c r="L40" s="450">
        <v>0.7</v>
      </c>
      <c r="M40" s="450">
        <v>1</v>
      </c>
      <c r="N40" s="450">
        <v>1</v>
      </c>
      <c r="O40" s="450">
        <v>0.9</v>
      </c>
      <c r="P40" s="450">
        <v>0.9</v>
      </c>
      <c r="Q40" s="450">
        <v>1</v>
      </c>
    </row>
    <row r="41" spans="1:17" x14ac:dyDescent="0.3">
      <c r="A41" s="451" t="str">
        <f t="shared" si="1"/>
        <v/>
      </c>
      <c r="B41" s="449">
        <v>2019</v>
      </c>
      <c r="C41" s="450">
        <v>1</v>
      </c>
      <c r="D41" s="450">
        <v>0.9</v>
      </c>
      <c r="E41" s="450">
        <v>0.7</v>
      </c>
      <c r="F41" s="450">
        <v>0.7</v>
      </c>
      <c r="G41" s="450">
        <v>0.7</v>
      </c>
      <c r="H41" s="450">
        <v>0.7</v>
      </c>
      <c r="I41" s="450">
        <v>0.6</v>
      </c>
      <c r="J41" s="450">
        <v>0.9</v>
      </c>
      <c r="K41" s="450">
        <v>0.7</v>
      </c>
      <c r="L41" s="450">
        <v>0.7</v>
      </c>
      <c r="M41" s="450">
        <v>1</v>
      </c>
      <c r="N41" s="450">
        <v>1</v>
      </c>
      <c r="O41" s="450">
        <v>0.9</v>
      </c>
      <c r="P41" s="450">
        <v>0.9</v>
      </c>
      <c r="Q41" s="450">
        <v>1</v>
      </c>
    </row>
    <row r="42" spans="1:17" x14ac:dyDescent="0.3">
      <c r="A42" s="451" t="str">
        <f t="shared" si="1"/>
        <v/>
      </c>
      <c r="B42" s="449">
        <v>2020</v>
      </c>
      <c r="C42" s="450">
        <v>1</v>
      </c>
      <c r="D42" s="450">
        <v>1</v>
      </c>
      <c r="E42" s="450">
        <v>0.7</v>
      </c>
      <c r="F42" s="450">
        <v>0.8</v>
      </c>
      <c r="G42" s="450">
        <v>0.7</v>
      </c>
      <c r="H42" s="450">
        <v>0.7</v>
      </c>
      <c r="I42" s="450">
        <v>0.6</v>
      </c>
      <c r="J42" s="450">
        <v>0.8</v>
      </c>
      <c r="K42" s="450">
        <v>0.8</v>
      </c>
      <c r="L42" s="450">
        <v>0.8</v>
      </c>
      <c r="M42" s="450">
        <v>1</v>
      </c>
      <c r="N42" s="450">
        <v>1</v>
      </c>
      <c r="O42" s="450">
        <v>0.8</v>
      </c>
      <c r="P42" s="450">
        <v>0.8</v>
      </c>
      <c r="Q42" s="450">
        <v>1</v>
      </c>
    </row>
    <row r="43" spans="1:17" x14ac:dyDescent="0.3">
      <c r="A43" s="451" t="str">
        <f t="shared" si="1"/>
        <v/>
      </c>
      <c r="B43" s="449">
        <v>2021</v>
      </c>
      <c r="C43" s="450">
        <v>1</v>
      </c>
      <c r="D43" s="450">
        <v>1</v>
      </c>
      <c r="E43" s="450">
        <v>0.8</v>
      </c>
      <c r="F43" s="450">
        <v>0.9</v>
      </c>
      <c r="G43" s="450">
        <v>0.7</v>
      </c>
      <c r="H43" s="450">
        <v>0.7</v>
      </c>
      <c r="I43" s="450">
        <v>0.6</v>
      </c>
      <c r="J43" s="450">
        <v>0.8</v>
      </c>
      <c r="K43" s="450">
        <v>0.8</v>
      </c>
      <c r="L43" s="450">
        <v>0.8</v>
      </c>
      <c r="M43" s="450">
        <v>1</v>
      </c>
      <c r="N43" s="450">
        <v>1</v>
      </c>
      <c r="O43" s="450">
        <v>0.7</v>
      </c>
      <c r="P43" s="450">
        <v>0.8</v>
      </c>
      <c r="Q43" s="450">
        <v>1</v>
      </c>
    </row>
    <row r="44" spans="1:17" x14ac:dyDescent="0.3">
      <c r="A44" s="451" t="str">
        <f t="shared" si="1"/>
        <v/>
      </c>
      <c r="B44" s="449">
        <v>2022</v>
      </c>
      <c r="C44" s="450">
        <v>1</v>
      </c>
      <c r="D44" s="450">
        <v>1</v>
      </c>
      <c r="E44" s="450">
        <v>0.9</v>
      </c>
      <c r="F44" s="450">
        <v>0.9</v>
      </c>
      <c r="G44" s="450">
        <v>0.8</v>
      </c>
      <c r="H44" s="450">
        <v>0.8</v>
      </c>
      <c r="I44" s="450">
        <v>0.7</v>
      </c>
      <c r="J44" s="450">
        <v>0.8</v>
      </c>
      <c r="K44" s="450">
        <v>0.8</v>
      </c>
      <c r="L44" s="450">
        <v>0.9</v>
      </c>
      <c r="M44" s="450">
        <v>1</v>
      </c>
      <c r="N44" s="450">
        <v>1</v>
      </c>
      <c r="O44" s="450">
        <v>0.7</v>
      </c>
      <c r="P44" s="450">
        <v>0.7</v>
      </c>
      <c r="Q44" s="450">
        <v>1</v>
      </c>
    </row>
    <row r="45" spans="1:17" x14ac:dyDescent="0.3">
      <c r="A45" s="451" t="str">
        <f t="shared" si="1"/>
        <v/>
      </c>
      <c r="B45" s="449">
        <v>2023</v>
      </c>
      <c r="C45" s="450">
        <v>1</v>
      </c>
      <c r="D45" s="450">
        <v>1</v>
      </c>
      <c r="E45" s="450">
        <v>1</v>
      </c>
      <c r="F45" s="450">
        <v>1</v>
      </c>
      <c r="G45" s="450">
        <v>0.8</v>
      </c>
      <c r="H45" s="450">
        <v>0.8</v>
      </c>
      <c r="I45" s="450">
        <v>0.7</v>
      </c>
      <c r="J45" s="450">
        <v>0.7</v>
      </c>
      <c r="K45" s="450">
        <v>0.9</v>
      </c>
      <c r="L45" s="450">
        <v>0.9</v>
      </c>
      <c r="M45" s="450">
        <v>1</v>
      </c>
      <c r="N45" s="450">
        <v>1</v>
      </c>
      <c r="O45" s="450">
        <v>0.6</v>
      </c>
      <c r="P45" s="450">
        <v>0.6</v>
      </c>
      <c r="Q45" s="450">
        <v>1</v>
      </c>
    </row>
    <row r="46" spans="1:17" x14ac:dyDescent="0.3">
      <c r="A46" s="451" t="str">
        <f t="shared" si="1"/>
        <v/>
      </c>
      <c r="B46" s="449">
        <v>2024</v>
      </c>
      <c r="C46" s="450">
        <v>1</v>
      </c>
      <c r="D46" s="450">
        <v>1</v>
      </c>
      <c r="E46" s="450">
        <v>1</v>
      </c>
      <c r="F46" s="450">
        <v>1</v>
      </c>
      <c r="G46" s="450">
        <v>0.8</v>
      </c>
      <c r="H46" s="450">
        <v>0.8</v>
      </c>
      <c r="I46" s="450">
        <v>0.8</v>
      </c>
      <c r="J46" s="450">
        <v>0.7</v>
      </c>
      <c r="K46" s="450">
        <v>0.9</v>
      </c>
      <c r="L46" s="450">
        <v>0.9</v>
      </c>
      <c r="M46" s="450">
        <v>1</v>
      </c>
      <c r="N46" s="450">
        <v>1</v>
      </c>
      <c r="O46" s="450">
        <v>0.5</v>
      </c>
      <c r="P46" s="450">
        <v>0.6</v>
      </c>
      <c r="Q46" s="450">
        <v>1</v>
      </c>
    </row>
    <row r="47" spans="1:17" x14ac:dyDescent="0.3">
      <c r="A47" s="451" t="str">
        <f t="shared" si="1"/>
        <v/>
      </c>
      <c r="B47" s="449">
        <v>2025</v>
      </c>
      <c r="C47" s="450">
        <v>1</v>
      </c>
      <c r="D47" s="450">
        <v>1</v>
      </c>
      <c r="E47" s="450">
        <v>1</v>
      </c>
      <c r="F47" s="450">
        <v>1</v>
      </c>
      <c r="G47" s="450">
        <v>0.8</v>
      </c>
      <c r="H47" s="450">
        <v>0.8</v>
      </c>
      <c r="I47" s="450">
        <v>0.8</v>
      </c>
      <c r="J47" s="450">
        <v>0.7</v>
      </c>
      <c r="K47" s="450">
        <v>0.9</v>
      </c>
      <c r="L47" s="450">
        <v>1</v>
      </c>
      <c r="M47" s="450">
        <v>1</v>
      </c>
      <c r="N47" s="450">
        <v>1</v>
      </c>
      <c r="O47" s="450">
        <v>0.5</v>
      </c>
      <c r="P47" s="450">
        <v>0.5</v>
      </c>
      <c r="Q47" s="450">
        <v>1</v>
      </c>
    </row>
    <row r="48" spans="1:17" x14ac:dyDescent="0.3">
      <c r="A48" s="451" t="str">
        <f t="shared" si="1"/>
        <v/>
      </c>
      <c r="B48" s="449">
        <v>2026</v>
      </c>
      <c r="C48" s="450">
        <v>1</v>
      </c>
      <c r="D48" s="450">
        <v>1</v>
      </c>
      <c r="E48" s="450">
        <v>1</v>
      </c>
      <c r="F48" s="450">
        <v>1</v>
      </c>
      <c r="G48" s="450">
        <v>0.8</v>
      </c>
      <c r="H48" s="450">
        <v>0.8</v>
      </c>
      <c r="I48" s="450">
        <v>0.8</v>
      </c>
      <c r="J48" s="450">
        <v>0.7</v>
      </c>
      <c r="K48" s="450">
        <v>0.9</v>
      </c>
      <c r="L48" s="450">
        <v>1</v>
      </c>
      <c r="M48" s="450">
        <v>1</v>
      </c>
      <c r="N48" s="450">
        <v>1</v>
      </c>
      <c r="O48" s="450">
        <v>0.4</v>
      </c>
      <c r="P48" s="450">
        <v>0.5</v>
      </c>
      <c r="Q48" s="450">
        <v>1</v>
      </c>
    </row>
    <row r="49" spans="1:17" x14ac:dyDescent="0.3">
      <c r="A49" s="451" t="str">
        <f t="shared" si="1"/>
        <v/>
      </c>
      <c r="B49" s="449">
        <v>2027</v>
      </c>
      <c r="C49" s="450">
        <v>1</v>
      </c>
      <c r="D49" s="450">
        <v>1</v>
      </c>
      <c r="E49" s="450">
        <v>1</v>
      </c>
      <c r="F49" s="450">
        <v>1</v>
      </c>
      <c r="G49" s="450">
        <v>0.9</v>
      </c>
      <c r="H49" s="450">
        <v>0.9</v>
      </c>
      <c r="I49" s="450">
        <v>0.9</v>
      </c>
      <c r="J49" s="450">
        <v>0.7</v>
      </c>
      <c r="K49" s="450">
        <v>1</v>
      </c>
      <c r="L49" s="450">
        <v>1</v>
      </c>
      <c r="M49" s="450">
        <v>1</v>
      </c>
      <c r="N49" s="450">
        <v>1</v>
      </c>
      <c r="O49" s="450">
        <v>0.4</v>
      </c>
      <c r="P49" s="450">
        <v>0.4</v>
      </c>
      <c r="Q49" s="450">
        <v>1</v>
      </c>
    </row>
    <row r="50" spans="1:17" x14ac:dyDescent="0.3">
      <c r="A50" s="451" t="str">
        <f t="shared" si="1"/>
        <v/>
      </c>
      <c r="B50" s="449">
        <v>2028</v>
      </c>
      <c r="C50" s="450">
        <v>1</v>
      </c>
      <c r="D50" s="450">
        <v>1</v>
      </c>
      <c r="E50" s="450">
        <v>1</v>
      </c>
      <c r="F50" s="450">
        <v>1</v>
      </c>
      <c r="G50" s="450">
        <v>0.9</v>
      </c>
      <c r="H50" s="450">
        <v>0.9</v>
      </c>
      <c r="I50" s="450">
        <v>0.9</v>
      </c>
      <c r="J50" s="450">
        <v>0.7</v>
      </c>
      <c r="K50" s="450">
        <v>1</v>
      </c>
      <c r="L50" s="450">
        <v>1</v>
      </c>
      <c r="M50" s="450">
        <v>1</v>
      </c>
      <c r="N50" s="450">
        <v>1</v>
      </c>
      <c r="O50" s="450">
        <v>0.3</v>
      </c>
      <c r="P50" s="450">
        <v>0.3</v>
      </c>
      <c r="Q50" s="450">
        <v>1</v>
      </c>
    </row>
    <row r="51" spans="1:17" x14ac:dyDescent="0.3">
      <c r="A51" s="451" t="str">
        <f t="shared" si="1"/>
        <v/>
      </c>
      <c r="B51" s="449">
        <v>2029</v>
      </c>
      <c r="C51" s="450">
        <v>1</v>
      </c>
      <c r="D51" s="450">
        <v>1</v>
      </c>
      <c r="E51" s="450">
        <v>1</v>
      </c>
      <c r="F51" s="450">
        <v>1</v>
      </c>
      <c r="G51" s="450">
        <v>0.9</v>
      </c>
      <c r="H51" s="450">
        <v>0.9</v>
      </c>
      <c r="I51" s="450">
        <v>0.9</v>
      </c>
      <c r="J51" s="450">
        <v>0.7</v>
      </c>
      <c r="K51" s="450">
        <v>1</v>
      </c>
      <c r="L51" s="450">
        <v>1</v>
      </c>
      <c r="M51" s="450">
        <v>1</v>
      </c>
      <c r="N51" s="450">
        <v>1</v>
      </c>
      <c r="O51" s="450">
        <v>0.3</v>
      </c>
      <c r="P51" s="450">
        <v>0.3</v>
      </c>
      <c r="Q51" s="450">
        <v>1</v>
      </c>
    </row>
    <row r="52" spans="1:17" x14ac:dyDescent="0.3">
      <c r="A52" s="451" t="str">
        <f t="shared" si="1"/>
        <v/>
      </c>
      <c r="B52" s="449">
        <v>2030</v>
      </c>
      <c r="C52" s="450">
        <v>1</v>
      </c>
      <c r="D52" s="450">
        <v>1</v>
      </c>
      <c r="E52" s="450">
        <v>1</v>
      </c>
      <c r="F52" s="450">
        <v>1</v>
      </c>
      <c r="G52" s="450">
        <v>0.9</v>
      </c>
      <c r="H52" s="450">
        <v>0.9</v>
      </c>
      <c r="I52" s="450">
        <v>0.9</v>
      </c>
      <c r="J52" s="450">
        <v>0.7</v>
      </c>
      <c r="K52" s="450">
        <v>1</v>
      </c>
      <c r="L52" s="450">
        <v>1</v>
      </c>
      <c r="M52" s="450">
        <v>1</v>
      </c>
      <c r="N52" s="450">
        <v>1</v>
      </c>
      <c r="O52" s="450">
        <v>0.2</v>
      </c>
      <c r="P52" s="450">
        <v>0.2</v>
      </c>
      <c r="Q52" s="450">
        <v>1</v>
      </c>
    </row>
    <row r="53" spans="1:17" x14ac:dyDescent="0.3">
      <c r="B53" s="33" t="s">
        <v>776</v>
      </c>
    </row>
  </sheetData>
  <sheetProtection algorithmName="SHA-512" hashValue="9ZEC4DEQej1wjabBauTZ7tejTBTkuX9t3/pTCnji+Dp5OoQeoFL5uoXlGvTqPHE/urR4JOmAcuntbeOApKXwLg==" saltValue="Rn2Bf0pYCR/OUsgohFIjMA==" spinCount="100000" sheet="1" objects="1" scenarios="1"/>
  <mergeCells count="1">
    <mergeCell ref="B5:K5"/>
  </mergeCells>
  <conditionalFormatting sqref="A32:A52">
    <cfRule type="cellIs" dxfId="31" priority="2" operator="equal">
      <formula>"Selection"</formula>
    </cfRule>
  </conditionalFormatting>
  <pageMargins left="0.7" right="0.7" top="0.75" bottom="0.75" header="0.3" footer="0.3"/>
  <pageSetup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00B0F0"/>
  </sheetPr>
  <dimension ref="A1:AA29"/>
  <sheetViews>
    <sheetView showGridLines="0" showRowColHeaders="0" workbookViewId="0"/>
  </sheetViews>
  <sheetFormatPr defaultRowHeight="14.4" x14ac:dyDescent="0.3"/>
  <cols>
    <col min="2" max="2" width="31.88671875" customWidth="1"/>
    <col min="3" max="3" width="31.109375" customWidth="1"/>
    <col min="4" max="4" width="23.33203125" customWidth="1"/>
  </cols>
  <sheetData>
    <row r="1" spans="1:27" ht="7.5" customHeight="1" x14ac:dyDescent="0.3">
      <c r="A1" s="44"/>
      <c r="B1" s="44"/>
      <c r="C1" s="44"/>
      <c r="D1" s="44"/>
      <c r="E1" s="44"/>
      <c r="F1" s="44"/>
      <c r="G1" s="44"/>
      <c r="H1" s="44"/>
      <c r="I1" s="44"/>
      <c r="J1" s="44"/>
      <c r="K1" s="44"/>
      <c r="L1" s="44"/>
      <c r="M1" s="44"/>
      <c r="N1" s="44"/>
      <c r="O1" s="44"/>
      <c r="P1" s="44"/>
      <c r="Q1" s="44"/>
      <c r="R1" s="44"/>
      <c r="S1" s="44"/>
      <c r="T1" s="44"/>
      <c r="U1" s="44"/>
      <c r="V1" s="44"/>
      <c r="W1" s="44"/>
      <c r="X1" s="44"/>
      <c r="Y1" s="44"/>
      <c r="Z1" s="44"/>
      <c r="AA1" s="44"/>
    </row>
    <row r="2" spans="1:27" ht="26.25" customHeight="1" x14ac:dyDescent="0.65">
      <c r="A2" s="44"/>
      <c r="B2" s="45" t="s">
        <v>718</v>
      </c>
      <c r="C2" s="44"/>
      <c r="D2" s="44"/>
      <c r="E2" s="44"/>
      <c r="F2" s="44"/>
      <c r="G2" s="44"/>
      <c r="H2" s="44"/>
      <c r="I2" s="44"/>
      <c r="J2" s="44"/>
      <c r="K2" s="44"/>
      <c r="L2" s="44"/>
      <c r="M2" s="44"/>
      <c r="N2" s="44"/>
      <c r="O2" s="44"/>
      <c r="P2" s="44"/>
      <c r="Q2" s="44"/>
      <c r="R2" s="44"/>
      <c r="S2" s="44"/>
      <c r="T2" s="44"/>
      <c r="U2" s="44"/>
      <c r="V2" s="44"/>
      <c r="W2" s="44"/>
      <c r="X2" s="44"/>
      <c r="Y2" s="44"/>
      <c r="Z2" s="44"/>
      <c r="AA2" s="44"/>
    </row>
    <row r="3" spans="1:27" ht="7.5" customHeight="1" thickBot="1" x14ac:dyDescent="0.35">
      <c r="A3" s="46"/>
      <c r="B3" s="47"/>
      <c r="C3" s="47"/>
      <c r="D3" s="47"/>
      <c r="E3" s="47"/>
      <c r="F3" s="47"/>
      <c r="G3" s="47"/>
      <c r="H3" s="47"/>
      <c r="I3" s="47"/>
      <c r="J3" s="47"/>
      <c r="K3" s="47"/>
      <c r="L3" s="47"/>
      <c r="M3" s="47"/>
      <c r="N3" s="47"/>
      <c r="O3" s="47"/>
      <c r="P3" s="47"/>
      <c r="Q3" s="47"/>
      <c r="R3" s="47"/>
      <c r="S3" s="47"/>
      <c r="T3" s="47"/>
      <c r="U3" s="47"/>
      <c r="V3" s="47"/>
      <c r="W3" s="47"/>
      <c r="X3" s="47"/>
      <c r="Y3" s="47"/>
      <c r="Z3" s="47"/>
      <c r="AA3" s="47"/>
    </row>
    <row r="4" spans="1:27" ht="8.25" customHeight="1" thickTop="1" x14ac:dyDescent="0.35">
      <c r="A4" s="44"/>
      <c r="B4" s="48"/>
      <c r="C4" s="44"/>
      <c r="D4" s="44"/>
      <c r="E4" s="44"/>
      <c r="F4" s="44"/>
      <c r="G4" s="44"/>
      <c r="H4" s="44"/>
      <c r="I4" s="44"/>
      <c r="J4" s="44"/>
      <c r="K4" s="44"/>
      <c r="L4" s="44"/>
      <c r="M4" s="44"/>
      <c r="N4" s="44"/>
      <c r="O4" s="44"/>
      <c r="P4" s="44"/>
      <c r="Q4" s="44"/>
      <c r="R4" s="44"/>
      <c r="S4" s="44"/>
      <c r="T4" s="44"/>
      <c r="U4" s="44"/>
      <c r="V4" s="44"/>
      <c r="W4" s="44"/>
      <c r="X4" s="44"/>
      <c r="Y4" s="44"/>
      <c r="Z4" s="44"/>
      <c r="AA4" s="44"/>
    </row>
    <row r="5" spans="1:27" ht="18" x14ac:dyDescent="0.35">
      <c r="A5" s="44"/>
      <c r="B5" s="48" t="s">
        <v>746</v>
      </c>
      <c r="C5" s="44"/>
      <c r="D5" s="44"/>
      <c r="E5" s="44"/>
      <c r="F5" s="44"/>
      <c r="G5" s="44"/>
      <c r="H5" s="44"/>
      <c r="I5" s="44"/>
      <c r="J5" s="44"/>
      <c r="K5" s="44"/>
      <c r="L5" s="44"/>
      <c r="M5" s="44"/>
      <c r="N5" s="44"/>
      <c r="O5" s="44"/>
      <c r="P5" s="44"/>
      <c r="Q5" s="44"/>
      <c r="R5" s="44"/>
      <c r="S5" s="44"/>
      <c r="T5" s="44"/>
      <c r="U5" s="44"/>
      <c r="V5" s="44"/>
      <c r="W5" s="44"/>
      <c r="X5" s="44"/>
      <c r="Y5" s="44"/>
      <c r="Z5" s="44"/>
      <c r="AA5" s="44"/>
    </row>
    <row r="7" spans="1:27" ht="18" x14ac:dyDescent="0.35">
      <c r="B7" s="264" t="s">
        <v>745</v>
      </c>
    </row>
    <row r="8" spans="1:27" x14ac:dyDescent="0.3">
      <c r="B8" s="466" t="s">
        <v>747</v>
      </c>
    </row>
    <row r="9" spans="1:27" ht="43.2" x14ac:dyDescent="0.3">
      <c r="B9" s="418" t="s">
        <v>164</v>
      </c>
      <c r="C9" s="36" t="s">
        <v>728</v>
      </c>
      <c r="D9" s="36" t="s">
        <v>719</v>
      </c>
    </row>
    <row r="10" spans="1:27" x14ac:dyDescent="0.3">
      <c r="B10" s="418" t="s">
        <v>104</v>
      </c>
      <c r="C10" s="425">
        <v>1</v>
      </c>
      <c r="D10" s="469"/>
    </row>
    <row r="11" spans="1:27" x14ac:dyDescent="0.3">
      <c r="B11" s="418" t="s">
        <v>106</v>
      </c>
      <c r="C11" s="425">
        <v>1</v>
      </c>
      <c r="D11" s="425">
        <v>1</v>
      </c>
    </row>
    <row r="12" spans="1:27" x14ac:dyDescent="0.3">
      <c r="B12" s="418" t="s">
        <v>496</v>
      </c>
      <c r="C12" s="425">
        <v>1</v>
      </c>
      <c r="D12" s="469"/>
    </row>
    <row r="13" spans="1:27" x14ac:dyDescent="0.3">
      <c r="B13" s="418" t="s">
        <v>523</v>
      </c>
      <c r="C13" s="425">
        <v>1</v>
      </c>
      <c r="D13" s="469"/>
    </row>
    <row r="14" spans="1:27" x14ac:dyDescent="0.3">
      <c r="B14" s="418" t="s">
        <v>521</v>
      </c>
      <c r="C14" s="425">
        <v>1</v>
      </c>
      <c r="D14" s="469"/>
    </row>
    <row r="15" spans="1:27" x14ac:dyDescent="0.3">
      <c r="B15" s="418" t="s">
        <v>522</v>
      </c>
      <c r="C15" s="425">
        <v>1</v>
      </c>
      <c r="D15" s="469"/>
    </row>
    <row r="16" spans="1:27" x14ac:dyDescent="0.3">
      <c r="B16" s="418" t="s">
        <v>429</v>
      </c>
      <c r="C16" s="425">
        <v>1</v>
      </c>
      <c r="D16" s="469"/>
    </row>
    <row r="17" spans="2:4" x14ac:dyDescent="0.3">
      <c r="B17" s="418" t="s">
        <v>107</v>
      </c>
      <c r="C17" s="425">
        <v>1</v>
      </c>
      <c r="D17" s="469"/>
    </row>
    <row r="18" spans="2:4" x14ac:dyDescent="0.3">
      <c r="B18" s="418" t="s">
        <v>565</v>
      </c>
      <c r="C18" s="425">
        <v>1</v>
      </c>
      <c r="D18" s="469"/>
    </row>
    <row r="19" spans="2:4" x14ac:dyDescent="0.3">
      <c r="B19" s="418" t="s">
        <v>524</v>
      </c>
      <c r="C19" s="425">
        <v>1</v>
      </c>
      <c r="D19" s="469"/>
    </row>
    <row r="20" spans="2:4" x14ac:dyDescent="0.3">
      <c r="B20" s="418" t="s">
        <v>525</v>
      </c>
      <c r="C20" s="469"/>
      <c r="D20" s="469"/>
    </row>
    <row r="21" spans="2:4" x14ac:dyDescent="0.3">
      <c r="B21" s="418" t="s">
        <v>526</v>
      </c>
      <c r="C21" s="425">
        <v>1</v>
      </c>
      <c r="D21" s="469"/>
    </row>
    <row r="22" spans="2:4" x14ac:dyDescent="0.3">
      <c r="B22" s="418" t="s">
        <v>527</v>
      </c>
      <c r="C22" s="425">
        <v>1</v>
      </c>
      <c r="D22" s="469"/>
    </row>
    <row r="23" spans="2:4" x14ac:dyDescent="0.3">
      <c r="B23" s="418" t="s">
        <v>113</v>
      </c>
      <c r="C23" s="425">
        <v>1</v>
      </c>
      <c r="D23" s="469"/>
    </row>
    <row r="24" spans="2:4" x14ac:dyDescent="0.3">
      <c r="B24" s="418" t="s">
        <v>117</v>
      </c>
      <c r="C24" s="425">
        <v>1</v>
      </c>
      <c r="D24" s="469"/>
    </row>
    <row r="25" spans="2:4" x14ac:dyDescent="0.3">
      <c r="B25" s="418" t="s">
        <v>528</v>
      </c>
      <c r="C25" s="425">
        <v>1</v>
      </c>
      <c r="D25" s="469"/>
    </row>
    <row r="26" spans="2:4" s="506" customFormat="1" x14ac:dyDescent="0.3">
      <c r="B26" s="418" t="s">
        <v>786</v>
      </c>
      <c r="C26" s="425">
        <v>1</v>
      </c>
      <c r="D26" s="469"/>
    </row>
    <row r="27" spans="2:4" s="506" customFormat="1" x14ac:dyDescent="0.3">
      <c r="B27" s="418" t="s">
        <v>785</v>
      </c>
      <c r="C27" s="425">
        <v>1</v>
      </c>
      <c r="D27" s="469"/>
    </row>
    <row r="28" spans="2:4" x14ac:dyDescent="0.3">
      <c r="B28" s="418" t="s">
        <v>616</v>
      </c>
      <c r="C28" s="469"/>
      <c r="D28" s="469"/>
    </row>
    <row r="29" spans="2:4" x14ac:dyDescent="0.3">
      <c r="B29" s="418" t="s">
        <v>618</v>
      </c>
      <c r="C29" s="469"/>
      <c r="D29" s="469"/>
    </row>
  </sheetData>
  <sheetProtection algorithmName="SHA-512" hashValue="+LtyUD+X/7p4jWF0b88t5a/A4N3VrF109/OVhO2HZDRIIp51lEEUE7CX47S13n7OnPWzRt46uBtc5wCKdCT1UA==" saltValue="Hk+I8LTtW3gA8wD/n2sqlw==" spinCount="100000" sheet="1" objects="1" scenarios="1" formatCells="0" formatColumns="0" formatRows="0"/>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C000"/>
  </sheetPr>
  <dimension ref="A1:AI204"/>
  <sheetViews>
    <sheetView showGridLines="0" showRowColHeaders="0" topLeftCell="C1" zoomScale="90" zoomScaleNormal="90" workbookViewId="0">
      <selection activeCell="C1" sqref="C1"/>
    </sheetView>
  </sheetViews>
  <sheetFormatPr defaultRowHeight="14.4" x14ac:dyDescent="0.3"/>
  <cols>
    <col min="1" max="1" width="10.33203125" hidden="1" customWidth="1"/>
    <col min="2" max="2" width="8.5546875" hidden="1" customWidth="1"/>
    <col min="3" max="3" width="3.33203125" customWidth="1"/>
    <col min="4" max="4" width="36" customWidth="1"/>
    <col min="5" max="5" width="12.88671875" customWidth="1"/>
    <col min="6" max="6" width="10.33203125" customWidth="1"/>
    <col min="9" max="9" width="5.109375" customWidth="1"/>
    <col min="10" max="10" width="12.5546875" customWidth="1"/>
    <col min="11" max="11" width="12" customWidth="1"/>
    <col min="12" max="12" width="10.6640625" customWidth="1"/>
    <col min="15" max="15" width="15.88671875" customWidth="1"/>
    <col min="16" max="16" width="11.5546875" customWidth="1"/>
    <col min="17" max="17" width="9.6640625" customWidth="1"/>
  </cols>
  <sheetData>
    <row r="1" spans="1:35" ht="7.5" customHeight="1" x14ac:dyDescent="0.3">
      <c r="A1" s="44"/>
      <c r="B1" s="44"/>
      <c r="C1" s="44"/>
      <c r="D1" s="44"/>
      <c r="E1" s="44"/>
      <c r="F1" s="44"/>
      <c r="G1" s="44"/>
      <c r="H1" s="44"/>
      <c r="I1" s="44"/>
      <c r="J1" s="44"/>
      <c r="K1" s="44"/>
      <c r="L1" s="44"/>
      <c r="M1" s="44"/>
      <c r="N1" s="44"/>
      <c r="O1" s="44"/>
      <c r="P1" s="44"/>
      <c r="Q1" s="44"/>
      <c r="R1" s="44"/>
      <c r="S1" s="44"/>
      <c r="T1" s="44"/>
      <c r="U1" s="44"/>
      <c r="V1" s="44"/>
      <c r="W1" s="44"/>
      <c r="X1" s="44"/>
      <c r="Y1" s="44"/>
      <c r="Z1" s="44"/>
      <c r="AA1" s="44"/>
      <c r="AB1" s="44"/>
      <c r="AC1" s="44"/>
      <c r="AD1" s="44"/>
      <c r="AE1" s="44"/>
      <c r="AF1" s="44"/>
      <c r="AG1" s="44"/>
      <c r="AH1" s="44"/>
      <c r="AI1" s="44"/>
    </row>
    <row r="2" spans="1:35" ht="33.6" x14ac:dyDescent="0.65">
      <c r="A2" s="44"/>
      <c r="B2" s="45"/>
      <c r="C2" s="45" t="s">
        <v>401</v>
      </c>
      <c r="D2" s="44"/>
      <c r="E2" s="44"/>
      <c r="F2" s="44"/>
      <c r="G2" s="44"/>
      <c r="H2" s="44"/>
      <c r="I2" s="44"/>
      <c r="J2" s="44"/>
      <c r="K2" s="44"/>
      <c r="L2" s="44"/>
      <c r="M2" s="44"/>
      <c r="N2" s="44"/>
      <c r="O2" s="44"/>
      <c r="P2" s="44"/>
      <c r="Q2" s="44"/>
      <c r="R2" s="44"/>
      <c r="S2" s="44"/>
      <c r="T2" s="44"/>
      <c r="U2" s="44"/>
      <c r="V2" s="44"/>
      <c r="W2" s="44"/>
      <c r="X2" s="44"/>
      <c r="Y2" s="44"/>
      <c r="Z2" s="44"/>
      <c r="AA2" s="44"/>
      <c r="AB2" s="44"/>
      <c r="AC2" s="44"/>
      <c r="AD2" s="44"/>
      <c r="AE2" s="44"/>
      <c r="AF2" s="44"/>
      <c r="AG2" s="44"/>
      <c r="AH2" s="44"/>
      <c r="AI2" s="44"/>
    </row>
    <row r="3" spans="1:35" ht="7.5" customHeight="1" thickBot="1" x14ac:dyDescent="0.35">
      <c r="A3" s="46"/>
      <c r="B3" s="47"/>
      <c r="C3" s="47"/>
      <c r="D3" s="47"/>
      <c r="E3" s="47"/>
      <c r="F3" s="47"/>
      <c r="G3" s="47"/>
      <c r="H3" s="47"/>
      <c r="I3" s="47"/>
      <c r="J3" s="47"/>
      <c r="K3" s="47"/>
      <c r="L3" s="47"/>
      <c r="M3" s="47"/>
      <c r="N3" s="47"/>
      <c r="O3" s="47"/>
      <c r="P3" s="47"/>
      <c r="Q3" s="47"/>
      <c r="R3" s="47"/>
      <c r="S3" s="47"/>
      <c r="T3" s="47"/>
      <c r="U3" s="47"/>
      <c r="V3" s="47"/>
      <c r="W3" s="47"/>
      <c r="X3" s="47"/>
      <c r="Y3" s="47"/>
      <c r="Z3" s="47"/>
      <c r="AA3" s="47"/>
      <c r="AB3" s="47"/>
      <c r="AC3" s="47"/>
      <c r="AD3" s="47"/>
      <c r="AE3" s="47"/>
      <c r="AF3" s="47"/>
      <c r="AG3" s="47"/>
      <c r="AH3" s="47"/>
      <c r="AI3" s="47"/>
    </row>
    <row r="4" spans="1:35" ht="18.600000000000001" thickTop="1" x14ac:dyDescent="0.35">
      <c r="A4" s="44"/>
      <c r="B4" s="48"/>
      <c r="C4" s="48" t="s">
        <v>687</v>
      </c>
      <c r="D4" s="44"/>
      <c r="E4" s="44"/>
      <c r="F4" s="44"/>
      <c r="G4" s="44"/>
      <c r="H4" s="44"/>
      <c r="I4" s="44"/>
      <c r="J4" s="44"/>
      <c r="K4" s="44"/>
      <c r="L4" s="44"/>
      <c r="M4" s="44"/>
      <c r="N4" s="44"/>
      <c r="O4" s="44"/>
      <c r="P4" s="44"/>
      <c r="Q4" s="44"/>
      <c r="R4" s="44"/>
      <c r="S4" s="44"/>
      <c r="T4" s="44"/>
      <c r="U4" s="44"/>
      <c r="V4" s="44"/>
      <c r="W4" s="44"/>
      <c r="X4" s="44"/>
      <c r="Y4" s="44"/>
      <c r="Z4" s="44"/>
      <c r="AA4" s="44"/>
      <c r="AB4" s="44"/>
      <c r="AC4" s="44"/>
      <c r="AD4" s="44"/>
      <c r="AE4" s="44"/>
      <c r="AF4" s="44"/>
      <c r="AG4" s="44"/>
      <c r="AH4" s="44"/>
      <c r="AI4" s="44"/>
    </row>
    <row r="5" spans="1:35" ht="14.25" customHeight="1" x14ac:dyDescent="0.35">
      <c r="A5" s="44"/>
      <c r="B5" s="48"/>
      <c r="C5" s="410" t="s">
        <v>689</v>
      </c>
      <c r="D5" s="44"/>
      <c r="E5" s="44"/>
      <c r="F5" s="44"/>
      <c r="G5" s="44"/>
      <c r="H5" s="44"/>
      <c r="I5" s="44"/>
      <c r="J5" s="44"/>
      <c r="K5" s="44"/>
      <c r="L5" s="44"/>
      <c r="M5" s="44"/>
      <c r="N5" s="44"/>
      <c r="O5" s="44"/>
      <c r="P5" s="44"/>
      <c r="Q5" s="44"/>
      <c r="R5" s="44"/>
      <c r="S5" s="44"/>
      <c r="T5" s="44"/>
      <c r="U5" s="44"/>
      <c r="V5" s="44"/>
      <c r="W5" s="44"/>
      <c r="X5" s="44"/>
      <c r="Y5" s="44"/>
      <c r="Z5" s="44"/>
      <c r="AA5" s="44"/>
      <c r="AB5" s="44"/>
      <c r="AC5" s="44"/>
      <c r="AD5" s="44"/>
      <c r="AE5" s="44"/>
      <c r="AF5" s="44"/>
      <c r="AG5" s="44"/>
      <c r="AH5" s="44"/>
      <c r="AI5" s="44"/>
    </row>
    <row r="6" spans="1:35" ht="6" customHeight="1" x14ac:dyDescent="0.3"/>
    <row r="8" spans="1:35" x14ac:dyDescent="0.3">
      <c r="B8" s="66">
        <f>IF(D12="",1,21-COUNTIF($D$12:$D$32,""))</f>
        <v>1</v>
      </c>
    </row>
    <row r="9" spans="1:35" ht="18" x14ac:dyDescent="0.35">
      <c r="B9" s="66">
        <v>1</v>
      </c>
      <c r="D9" s="37" t="str">
        <f>VLOOKUP($J$11&amp;"_"&amp;$B9,$A$51:$E$204,COLUMNS($A$54:$D$54),0)</f>
        <v>GHG Emissions by Location (MT CO2-e)</v>
      </c>
      <c r="H9" s="183"/>
      <c r="I9" s="183"/>
      <c r="J9" s="183"/>
      <c r="K9" s="183"/>
      <c r="L9" s="183"/>
      <c r="M9" s="183"/>
      <c r="N9" s="183"/>
      <c r="O9" s="183"/>
    </row>
    <row r="10" spans="1:35" ht="44.4" x14ac:dyDescent="0.35">
      <c r="B10" s="66">
        <v>2</v>
      </c>
      <c r="D10" s="36" t="str">
        <f>VLOOKUP($J$11&amp;"_"&amp;$B10,$A$51:$E$204,COLUMNS($A$54:$D$54),0)</f>
        <v>Facility or region name</v>
      </c>
      <c r="E10" s="36" t="s">
        <v>775</v>
      </c>
      <c r="F10" s="36" t="s">
        <v>507</v>
      </c>
      <c r="H10" s="183"/>
      <c r="I10" s="183"/>
      <c r="J10" s="183">
        <v>1</v>
      </c>
      <c r="K10" s="183"/>
      <c r="L10" s="183"/>
      <c r="M10" s="183"/>
      <c r="N10" s="183"/>
      <c r="O10" s="183"/>
    </row>
    <row r="11" spans="1:35" x14ac:dyDescent="0.3">
      <c r="B11" s="66">
        <v>3</v>
      </c>
      <c r="D11" s="59" t="str">
        <f>IF(J10=7,"","Total")</f>
        <v>Total</v>
      </c>
      <c r="E11" s="60">
        <f>IF(J10=7,"",SUM(E12:E32))</f>
        <v>0</v>
      </c>
      <c r="F11" s="61" t="e">
        <f>IF(J10=7,"",E11/E$131)</f>
        <v>#DIV/0!</v>
      </c>
      <c r="H11" s="183"/>
      <c r="I11" s="183"/>
      <c r="J11" s="182" t="str">
        <f>IF(VLOOKUP(J10,Lists!$B$58:$C$64,2,0)=Lists!$C$64,Lists!$C$63,VLOOKUP(J10,Lists!$B$58:$C$64,2,0))</f>
        <v>Location</v>
      </c>
      <c r="K11" s="183"/>
      <c r="L11" s="183"/>
      <c r="M11" s="183"/>
      <c r="N11" s="183"/>
      <c r="O11" s="183"/>
    </row>
    <row r="12" spans="1:35" hidden="1" x14ac:dyDescent="0.3">
      <c r="B12" s="66">
        <v>4</v>
      </c>
      <c r="D12" s="73" t="str">
        <f t="shared" ref="D12:D32" si="0">VLOOKUP($J$11&amp;"_"&amp;$B12,$A$51:$E$204,COLUMNS($A$54:$D$54),0)</f>
        <v>Agency (unspecified)</v>
      </c>
      <c r="E12" s="75">
        <f t="shared" ref="E12:E32" si="1">VLOOKUP($J$11&amp;"_"&amp;$B12,$A$51:$E$204,COLUMNS($A$54:$E$54),0)</f>
        <v>0</v>
      </c>
      <c r="F12" s="62" t="e">
        <f>IF(D12="","",IF($J$10=7,"",E12/E$11))</f>
        <v>#DIV/0!</v>
      </c>
      <c r="H12" s="183"/>
      <c r="I12" s="183"/>
      <c r="J12" s="183"/>
      <c r="K12" s="183"/>
      <c r="L12" s="183"/>
      <c r="M12" s="183"/>
      <c r="N12" s="183"/>
      <c r="O12" s="183"/>
    </row>
    <row r="13" spans="1:35" x14ac:dyDescent="0.3">
      <c r="B13" s="66">
        <v>5</v>
      </c>
      <c r="D13" s="73" t="str">
        <f t="shared" si="0"/>
        <v/>
      </c>
      <c r="E13" s="75" t="str">
        <f t="shared" si="1"/>
        <v/>
      </c>
      <c r="F13" s="62" t="str">
        <f t="shared" ref="F13:F32" si="2">IF(D13="","",IF($J$10=7,"",E13/E$11))</f>
        <v/>
      </c>
      <c r="H13" s="183"/>
      <c r="I13" s="183"/>
      <c r="J13" s="183"/>
      <c r="K13" s="183"/>
      <c r="L13" s="183"/>
      <c r="M13" s="183"/>
      <c r="N13" s="183"/>
      <c r="O13" s="183"/>
    </row>
    <row r="14" spans="1:35" x14ac:dyDescent="0.3">
      <c r="B14" s="66">
        <v>6</v>
      </c>
      <c r="D14" s="73" t="str">
        <f t="shared" si="0"/>
        <v/>
      </c>
      <c r="E14" s="75" t="str">
        <f t="shared" si="1"/>
        <v/>
      </c>
      <c r="F14" s="62" t="str">
        <f t="shared" si="2"/>
        <v/>
      </c>
      <c r="H14" s="183"/>
      <c r="I14" s="183"/>
      <c r="J14" s="183"/>
      <c r="K14" s="183"/>
      <c r="L14" s="183"/>
      <c r="M14" s="183"/>
      <c r="N14" s="183"/>
      <c r="O14" s="183"/>
    </row>
    <row r="15" spans="1:35" x14ac:dyDescent="0.3">
      <c r="B15" s="66">
        <v>7</v>
      </c>
      <c r="D15" s="73" t="str">
        <f t="shared" si="0"/>
        <v/>
      </c>
      <c r="E15" s="75" t="str">
        <f t="shared" si="1"/>
        <v/>
      </c>
      <c r="F15" s="62" t="str">
        <f t="shared" si="2"/>
        <v/>
      </c>
      <c r="H15" s="183"/>
      <c r="I15" s="183"/>
      <c r="J15" s="183"/>
      <c r="K15" s="183"/>
      <c r="L15" s="183"/>
      <c r="M15" s="183"/>
      <c r="N15" s="183"/>
      <c r="O15" s="183"/>
    </row>
    <row r="16" spans="1:35" x14ac:dyDescent="0.3">
      <c r="B16" s="66">
        <v>8</v>
      </c>
      <c r="D16" s="73" t="str">
        <f t="shared" si="0"/>
        <v/>
      </c>
      <c r="E16" s="75" t="str">
        <f t="shared" si="1"/>
        <v/>
      </c>
      <c r="F16" s="62" t="str">
        <f t="shared" si="2"/>
        <v/>
      </c>
      <c r="H16" s="183"/>
      <c r="I16" s="183"/>
      <c r="J16" s="183"/>
      <c r="K16" s="183"/>
      <c r="L16" s="183"/>
      <c r="M16" s="183"/>
      <c r="N16" s="183"/>
      <c r="O16" s="183"/>
    </row>
    <row r="17" spans="2:15" x14ac:dyDescent="0.3">
      <c r="B17" s="66">
        <v>9</v>
      </c>
      <c r="D17" s="73" t="str">
        <f t="shared" si="0"/>
        <v/>
      </c>
      <c r="E17" s="75" t="str">
        <f t="shared" si="1"/>
        <v/>
      </c>
      <c r="F17" s="62" t="str">
        <f t="shared" si="2"/>
        <v/>
      </c>
      <c r="H17" s="183"/>
      <c r="I17" s="183"/>
      <c r="J17" s="183"/>
      <c r="K17" s="183"/>
      <c r="L17" s="183"/>
      <c r="M17" s="183"/>
      <c r="N17" s="183"/>
      <c r="O17" s="183"/>
    </row>
    <row r="18" spans="2:15" x14ac:dyDescent="0.3">
      <c r="B18" s="66">
        <v>10</v>
      </c>
      <c r="D18" s="73" t="str">
        <f t="shared" si="0"/>
        <v/>
      </c>
      <c r="E18" s="75" t="str">
        <f t="shared" si="1"/>
        <v/>
      </c>
      <c r="F18" s="62" t="str">
        <f t="shared" si="2"/>
        <v/>
      </c>
      <c r="H18" s="183"/>
      <c r="I18" s="183"/>
      <c r="J18" s="183"/>
      <c r="K18" s="183"/>
      <c r="L18" s="183"/>
      <c r="M18" s="183"/>
      <c r="N18" s="183"/>
      <c r="O18" s="183"/>
    </row>
    <row r="19" spans="2:15" x14ac:dyDescent="0.3">
      <c r="B19" s="66">
        <v>11</v>
      </c>
      <c r="D19" s="73" t="str">
        <f t="shared" si="0"/>
        <v/>
      </c>
      <c r="E19" s="75" t="str">
        <f t="shared" si="1"/>
        <v/>
      </c>
      <c r="F19" s="62" t="str">
        <f t="shared" si="2"/>
        <v/>
      </c>
      <c r="H19" s="183"/>
      <c r="I19" s="183"/>
      <c r="J19" s="183"/>
      <c r="K19" s="183"/>
      <c r="L19" s="183"/>
      <c r="M19" s="183"/>
      <c r="N19" s="183"/>
      <c r="O19" s="183"/>
    </row>
    <row r="20" spans="2:15" x14ac:dyDescent="0.3">
      <c r="B20" s="66">
        <v>12</v>
      </c>
      <c r="D20" s="73" t="str">
        <f t="shared" si="0"/>
        <v/>
      </c>
      <c r="E20" s="75" t="str">
        <f t="shared" si="1"/>
        <v/>
      </c>
      <c r="F20" s="62" t="str">
        <f t="shared" si="2"/>
        <v/>
      </c>
      <c r="H20" s="183"/>
      <c r="I20" s="183"/>
      <c r="J20" s="183"/>
      <c r="K20" s="183"/>
      <c r="L20" s="183"/>
      <c r="M20" s="183"/>
      <c r="N20" s="183"/>
      <c r="O20" s="183"/>
    </row>
    <row r="21" spans="2:15" x14ac:dyDescent="0.3">
      <c r="B21" s="66">
        <v>13</v>
      </c>
      <c r="D21" s="73" t="str">
        <f t="shared" si="0"/>
        <v/>
      </c>
      <c r="E21" s="75" t="str">
        <f t="shared" si="1"/>
        <v/>
      </c>
      <c r="F21" s="62" t="str">
        <f t="shared" si="2"/>
        <v/>
      </c>
      <c r="H21" s="183"/>
      <c r="I21" s="183"/>
      <c r="J21" s="183"/>
      <c r="K21" s="183"/>
      <c r="L21" s="183"/>
      <c r="M21" s="183"/>
      <c r="N21" s="183"/>
      <c r="O21" s="183"/>
    </row>
    <row r="22" spans="2:15" x14ac:dyDescent="0.3">
      <c r="B22" s="66">
        <v>14</v>
      </c>
      <c r="D22" s="73" t="str">
        <f t="shared" si="0"/>
        <v/>
      </c>
      <c r="E22" s="75" t="str">
        <f t="shared" si="1"/>
        <v/>
      </c>
      <c r="F22" s="62" t="str">
        <f t="shared" si="2"/>
        <v/>
      </c>
      <c r="H22" s="183"/>
      <c r="I22" s="183"/>
      <c r="J22" s="183"/>
      <c r="K22" s="183"/>
      <c r="L22" s="183"/>
      <c r="M22" s="183"/>
      <c r="N22" s="183"/>
      <c r="O22" s="183"/>
    </row>
    <row r="23" spans="2:15" x14ac:dyDescent="0.3">
      <c r="B23" s="66">
        <v>15</v>
      </c>
      <c r="D23" s="73" t="str">
        <f t="shared" si="0"/>
        <v/>
      </c>
      <c r="E23" s="75" t="str">
        <f t="shared" si="1"/>
        <v/>
      </c>
      <c r="F23" s="62" t="str">
        <f t="shared" si="2"/>
        <v/>
      </c>
      <c r="H23" s="183"/>
      <c r="I23" s="183"/>
      <c r="J23" s="183"/>
      <c r="K23" s="183"/>
      <c r="L23" s="183"/>
      <c r="M23" s="183"/>
      <c r="N23" s="183"/>
      <c r="O23" s="183"/>
    </row>
    <row r="24" spans="2:15" x14ac:dyDescent="0.3">
      <c r="B24" s="66">
        <v>16</v>
      </c>
      <c r="D24" s="73" t="str">
        <f t="shared" si="0"/>
        <v/>
      </c>
      <c r="E24" s="75" t="str">
        <f t="shared" si="1"/>
        <v/>
      </c>
      <c r="F24" s="62" t="str">
        <f t="shared" si="2"/>
        <v/>
      </c>
      <c r="H24" s="183"/>
      <c r="I24" s="183"/>
      <c r="J24" s="183"/>
      <c r="K24" s="183"/>
      <c r="L24" s="183"/>
      <c r="M24" s="183"/>
      <c r="N24" s="183"/>
      <c r="O24" s="183"/>
    </row>
    <row r="25" spans="2:15" x14ac:dyDescent="0.3">
      <c r="B25" s="66">
        <v>17</v>
      </c>
      <c r="D25" s="73" t="str">
        <f t="shared" si="0"/>
        <v/>
      </c>
      <c r="E25" s="75" t="str">
        <f t="shared" si="1"/>
        <v/>
      </c>
      <c r="F25" s="62" t="str">
        <f t="shared" si="2"/>
        <v/>
      </c>
      <c r="H25" s="183"/>
      <c r="I25" s="183"/>
      <c r="J25" s="183"/>
      <c r="K25" s="183"/>
      <c r="L25" s="183"/>
      <c r="M25" s="183"/>
      <c r="N25" s="183"/>
      <c r="O25" s="183"/>
    </row>
    <row r="26" spans="2:15" x14ac:dyDescent="0.3">
      <c r="B26" s="66">
        <v>18</v>
      </c>
      <c r="D26" s="73" t="str">
        <f t="shared" si="0"/>
        <v/>
      </c>
      <c r="E26" s="75" t="str">
        <f t="shared" si="1"/>
        <v/>
      </c>
      <c r="F26" s="62" t="str">
        <f t="shared" si="2"/>
        <v/>
      </c>
      <c r="H26" s="183"/>
      <c r="I26" s="183"/>
      <c r="J26" s="183"/>
      <c r="K26" s="183"/>
      <c r="L26" s="183"/>
      <c r="M26" s="183"/>
      <c r="N26" s="183"/>
      <c r="O26" s="183"/>
    </row>
    <row r="27" spans="2:15" x14ac:dyDescent="0.3">
      <c r="B27" s="66">
        <v>19</v>
      </c>
      <c r="D27" s="73" t="str">
        <f t="shared" si="0"/>
        <v/>
      </c>
      <c r="E27" s="75" t="str">
        <f t="shared" si="1"/>
        <v/>
      </c>
      <c r="F27" s="62" t="str">
        <f t="shared" si="2"/>
        <v/>
      </c>
      <c r="H27" s="183"/>
      <c r="I27" s="183"/>
      <c r="J27" s="183"/>
      <c r="K27" s="183"/>
      <c r="L27" s="183"/>
      <c r="M27" s="183"/>
      <c r="N27" s="183"/>
      <c r="O27" s="183"/>
    </row>
    <row r="28" spans="2:15" x14ac:dyDescent="0.3">
      <c r="B28" s="66">
        <v>20</v>
      </c>
      <c r="D28" s="73" t="str">
        <f t="shared" si="0"/>
        <v/>
      </c>
      <c r="E28" s="75" t="str">
        <f t="shared" si="1"/>
        <v/>
      </c>
      <c r="F28" s="62" t="str">
        <f t="shared" si="2"/>
        <v/>
      </c>
      <c r="H28" s="183"/>
      <c r="I28" s="183"/>
      <c r="J28" s="183"/>
      <c r="K28" s="183"/>
      <c r="L28" s="183"/>
      <c r="M28" s="183"/>
      <c r="N28" s="183"/>
      <c r="O28" s="183"/>
    </row>
    <row r="29" spans="2:15" x14ac:dyDescent="0.3">
      <c r="B29" s="66">
        <v>21</v>
      </c>
      <c r="D29" s="73" t="str">
        <f t="shared" si="0"/>
        <v/>
      </c>
      <c r="E29" s="75" t="str">
        <f t="shared" si="1"/>
        <v/>
      </c>
      <c r="F29" s="62" t="str">
        <f t="shared" si="2"/>
        <v/>
      </c>
      <c r="H29" s="183"/>
      <c r="I29" s="183"/>
      <c r="J29" s="183"/>
      <c r="K29" s="183"/>
      <c r="L29" s="183"/>
      <c r="M29" s="183"/>
      <c r="N29" s="183"/>
      <c r="O29" s="183"/>
    </row>
    <row r="30" spans="2:15" x14ac:dyDescent="0.3">
      <c r="B30" s="66">
        <v>22</v>
      </c>
      <c r="D30" s="73" t="str">
        <f t="shared" si="0"/>
        <v/>
      </c>
      <c r="E30" s="75" t="str">
        <f t="shared" si="1"/>
        <v/>
      </c>
      <c r="F30" s="62" t="str">
        <f t="shared" si="2"/>
        <v/>
      </c>
      <c r="H30" s="183"/>
      <c r="I30" s="183"/>
      <c r="J30" s="183"/>
      <c r="K30" s="183"/>
      <c r="L30" s="183"/>
      <c r="M30" s="183"/>
      <c r="N30" s="183"/>
      <c r="O30" s="183"/>
    </row>
    <row r="31" spans="2:15" x14ac:dyDescent="0.3">
      <c r="B31" s="66">
        <v>23</v>
      </c>
      <c r="D31" s="73" t="str">
        <f t="shared" si="0"/>
        <v/>
      </c>
      <c r="E31" s="75" t="str">
        <f t="shared" si="1"/>
        <v/>
      </c>
      <c r="F31" s="62" t="str">
        <f t="shared" si="2"/>
        <v/>
      </c>
      <c r="H31" s="183"/>
      <c r="I31" s="183"/>
      <c r="J31" s="183"/>
      <c r="K31" s="183"/>
      <c r="L31" s="183"/>
      <c r="M31" s="183"/>
      <c r="N31" s="183"/>
      <c r="O31" s="183"/>
    </row>
    <row r="32" spans="2:15" x14ac:dyDescent="0.3">
      <c r="B32" s="66">
        <v>24</v>
      </c>
      <c r="D32" s="73" t="str">
        <f t="shared" si="0"/>
        <v/>
      </c>
      <c r="E32" s="75" t="str">
        <f t="shared" si="1"/>
        <v/>
      </c>
      <c r="F32" s="62" t="str">
        <f t="shared" si="2"/>
        <v/>
      </c>
      <c r="H32" s="183"/>
      <c r="I32" s="183"/>
      <c r="J32" s="183"/>
      <c r="K32" s="183"/>
      <c r="L32" s="183"/>
      <c r="M32" s="183"/>
      <c r="N32" s="183"/>
      <c r="O32" s="183"/>
    </row>
    <row r="33" spans="8:15" x14ac:dyDescent="0.3">
      <c r="H33" s="183"/>
      <c r="I33" s="183"/>
      <c r="J33" s="183"/>
      <c r="K33" s="183"/>
      <c r="L33" s="183"/>
      <c r="M33" s="183"/>
      <c r="N33" s="183"/>
      <c r="O33" s="183"/>
    </row>
    <row r="46" spans="8:15" s="74" customFormat="1" hidden="1" x14ac:dyDescent="0.3"/>
    <row r="47" spans="8:15" s="74" customFormat="1" hidden="1" x14ac:dyDescent="0.3"/>
    <row r="48" spans="8:15" s="74" customFormat="1" hidden="1" x14ac:dyDescent="0.3"/>
    <row r="49" spans="1:6" hidden="1" x14ac:dyDescent="0.3"/>
    <row r="50" spans="1:6" hidden="1" x14ac:dyDescent="0.3"/>
    <row r="51" spans="1:6" ht="15.6" hidden="1" x14ac:dyDescent="0.35">
      <c r="A51" s="351" t="str">
        <f>Lists!$C$58&amp;"_"&amp;B9</f>
        <v>Location_1</v>
      </c>
      <c r="D51" t="s">
        <v>400</v>
      </c>
    </row>
    <row r="52" spans="1:6" ht="43.2" hidden="1" x14ac:dyDescent="0.3">
      <c r="A52" s="351" t="str">
        <f>Lists!$C$58&amp;"_"&amp;B10</f>
        <v>Location_2</v>
      </c>
      <c r="D52" s="36" t="s">
        <v>498</v>
      </c>
      <c r="E52" s="36" t="s">
        <v>506</v>
      </c>
      <c r="F52" s="36" t="s">
        <v>507</v>
      </c>
    </row>
    <row r="53" spans="1:6" hidden="1" x14ac:dyDescent="0.3">
      <c r="A53" s="351" t="str">
        <f>Lists!$C$58&amp;"_"&amp;B11</f>
        <v>Location_3</v>
      </c>
      <c r="B53" s="65">
        <f>21-COUNTIF(D54:D74,"")</f>
        <v>1</v>
      </c>
      <c r="D53" s="59" t="s">
        <v>322</v>
      </c>
      <c r="E53" s="60">
        <f>SUM(E54:E74)</f>
        <v>0</v>
      </c>
      <c r="F53" s="61" t="e">
        <f>E53/$E$53</f>
        <v>#DIV/0!</v>
      </c>
    </row>
    <row r="54" spans="1:6" hidden="1" x14ac:dyDescent="0.3">
      <c r="A54" s="351" t="str">
        <f>Lists!$C$58&amp;"_"&amp;B12</f>
        <v>Location_4</v>
      </c>
      <c r="D54" s="34" t="str">
        <f>IF(Inputs!D15=0,"",Inputs!D15)</f>
        <v>Agency (unspecified)</v>
      </c>
      <c r="E54" s="58">
        <f>IF($D54="","",SUMIF('Emissions Database'!$C$4:$C$203,$D54,'Emissions Database'!$BS$4:$BS$203))</f>
        <v>0</v>
      </c>
      <c r="F54" s="62" t="e">
        <f>IF(D54="","",E54/$E$53)</f>
        <v>#DIV/0!</v>
      </c>
    </row>
    <row r="55" spans="1:6" hidden="1" x14ac:dyDescent="0.3">
      <c r="A55" s="351" t="str">
        <f>Lists!$C$58&amp;"_"&amp;B13</f>
        <v>Location_5</v>
      </c>
      <c r="D55" s="34" t="str">
        <f>IF(Inputs!D16=0,"",Inputs!D16)</f>
        <v/>
      </c>
      <c r="E55" s="58" t="str">
        <f>IF($D55="","",SUMIF('Emissions Database'!$C$4:$C$203,$D55,'Emissions Database'!$BS$4:$BS$203))</f>
        <v/>
      </c>
      <c r="F55" s="62" t="str">
        <f>IF(D55="","",E55/$E$53)</f>
        <v/>
      </c>
    </row>
    <row r="56" spans="1:6" hidden="1" x14ac:dyDescent="0.3">
      <c r="A56" s="351" t="str">
        <f>Lists!$C$58&amp;"_"&amp;B14</f>
        <v>Location_6</v>
      </c>
      <c r="D56" s="34" t="str">
        <f>IF(Inputs!D17=0,"",Inputs!D17)</f>
        <v/>
      </c>
      <c r="E56" s="58" t="str">
        <f>IF($D56="","",SUMIF('Emissions Database'!$C$4:$C$203,$D56,'Emissions Database'!$BS$4:$BS$203))</f>
        <v/>
      </c>
      <c r="F56" s="62" t="str">
        <f>IF(D56="","",E56/$E$53)</f>
        <v/>
      </c>
    </row>
    <row r="57" spans="1:6" hidden="1" x14ac:dyDescent="0.3">
      <c r="A57" s="351" t="str">
        <f>Lists!$C$58&amp;"_"&amp;B15</f>
        <v>Location_7</v>
      </c>
      <c r="D57" s="34" t="str">
        <f>IF(Inputs!D18=0,"",Inputs!D18)</f>
        <v/>
      </c>
      <c r="E57" s="58" t="str">
        <f>IF($D57="","",SUMIF('Emissions Database'!$C$4:$C$203,$D57,'Emissions Database'!$BS$4:$BS$203))</f>
        <v/>
      </c>
      <c r="F57" s="62" t="str">
        <f>IF(D57="","",E57/$E$53)</f>
        <v/>
      </c>
    </row>
    <row r="58" spans="1:6" hidden="1" x14ac:dyDescent="0.3">
      <c r="A58" s="351" t="str">
        <f>Lists!$C$58&amp;"_"&amp;B16</f>
        <v>Location_8</v>
      </c>
      <c r="D58" s="34" t="str">
        <f>IF(Inputs!D19=0,"",Inputs!D19)</f>
        <v/>
      </c>
      <c r="E58" s="58" t="str">
        <f>IF($D58="","",SUMIF('Emissions Database'!$C$4:$C$203,$D58,'Emissions Database'!$BS$4:$BS$203))</f>
        <v/>
      </c>
      <c r="F58" s="62" t="str">
        <f>IF(D58="","",E58/$E$53)</f>
        <v/>
      </c>
    </row>
    <row r="59" spans="1:6" hidden="1" x14ac:dyDescent="0.3">
      <c r="A59" s="351" t="str">
        <f>Lists!$C$58&amp;"_"&amp;B17</f>
        <v>Location_9</v>
      </c>
      <c r="D59" s="34" t="str">
        <f>IF(Inputs!D20=0,"",Inputs!D20)</f>
        <v/>
      </c>
      <c r="E59" s="58" t="str">
        <f>IF($D59="","",SUMIF('Emissions Database'!$C$4:$C$203,$D59,'Emissions Database'!$BS$4:$BS$203))</f>
        <v/>
      </c>
      <c r="F59" s="62" t="str">
        <f t="shared" ref="F59:F74" si="3">IF(D59="","",E59/$E$53)</f>
        <v/>
      </c>
    </row>
    <row r="60" spans="1:6" hidden="1" x14ac:dyDescent="0.3">
      <c r="A60" s="351" t="str">
        <f>Lists!$C$58&amp;"_"&amp;B18</f>
        <v>Location_10</v>
      </c>
      <c r="D60" s="34" t="str">
        <f>IF(Inputs!D21=0,"",Inputs!D21)</f>
        <v/>
      </c>
      <c r="E60" s="58" t="str">
        <f>IF($D60="","",SUMIF('Emissions Database'!$C$4:$C$203,$D60,'Emissions Database'!$BS$4:$BS$203))</f>
        <v/>
      </c>
      <c r="F60" s="62" t="str">
        <f t="shared" si="3"/>
        <v/>
      </c>
    </row>
    <row r="61" spans="1:6" hidden="1" x14ac:dyDescent="0.3">
      <c r="A61" s="351" t="str">
        <f>Lists!$C$58&amp;"_"&amp;B19</f>
        <v>Location_11</v>
      </c>
      <c r="D61" s="34" t="str">
        <f>IF(Inputs!D22=0,"",Inputs!D22)</f>
        <v/>
      </c>
      <c r="E61" s="58" t="str">
        <f>IF($D61="","",SUMIF('Emissions Database'!$C$4:$C$203,$D61,'Emissions Database'!$BS$4:$BS$203))</f>
        <v/>
      </c>
      <c r="F61" s="62" t="str">
        <f t="shared" si="3"/>
        <v/>
      </c>
    </row>
    <row r="62" spans="1:6" hidden="1" x14ac:dyDescent="0.3">
      <c r="A62" s="351" t="str">
        <f>Lists!$C$58&amp;"_"&amp;B20</f>
        <v>Location_12</v>
      </c>
      <c r="D62" s="34" t="str">
        <f>IF(Inputs!D23=0,"",Inputs!D23)</f>
        <v/>
      </c>
      <c r="E62" s="58" t="str">
        <f>IF($D62="","",SUMIF('Emissions Database'!$C$4:$C$203,$D62,'Emissions Database'!$BS$4:$BS$203))</f>
        <v/>
      </c>
      <c r="F62" s="62" t="str">
        <f t="shared" si="3"/>
        <v/>
      </c>
    </row>
    <row r="63" spans="1:6" hidden="1" x14ac:dyDescent="0.3">
      <c r="A63" s="351" t="str">
        <f>Lists!$C$58&amp;"_"&amp;B21</f>
        <v>Location_13</v>
      </c>
      <c r="D63" s="34" t="str">
        <f>IF(Inputs!D24=0,"",Inputs!D24)</f>
        <v/>
      </c>
      <c r="E63" s="58" t="str">
        <f>IF($D63="","",SUMIF('Emissions Database'!$C$4:$C$203,$D63,'Emissions Database'!$BS$4:$BS$203))</f>
        <v/>
      </c>
      <c r="F63" s="62" t="str">
        <f t="shared" si="3"/>
        <v/>
      </c>
    </row>
    <row r="64" spans="1:6" hidden="1" x14ac:dyDescent="0.3">
      <c r="A64" s="351" t="str">
        <f>Lists!$C$58&amp;"_"&amp;B22</f>
        <v>Location_14</v>
      </c>
      <c r="D64" s="34" t="str">
        <f>IF(Inputs!D25=0,"",Inputs!D25)</f>
        <v/>
      </c>
      <c r="E64" s="58" t="str">
        <f>IF($D64="","",SUMIF('Emissions Database'!$C$4:$C$203,$D64,'Emissions Database'!$BS$4:$BS$203))</f>
        <v/>
      </c>
      <c r="F64" s="62" t="str">
        <f t="shared" si="3"/>
        <v/>
      </c>
    </row>
    <row r="65" spans="1:6" hidden="1" x14ac:dyDescent="0.3">
      <c r="A65" s="351" t="str">
        <f>Lists!$C$58&amp;"_"&amp;B23</f>
        <v>Location_15</v>
      </c>
      <c r="D65" s="34" t="str">
        <f>IF(Inputs!D26=0,"",Inputs!D26)</f>
        <v/>
      </c>
      <c r="E65" s="58" t="str">
        <f>IF($D65="","",SUMIF('Emissions Database'!$C$4:$C$203,$D65,'Emissions Database'!$BS$4:$BS$203))</f>
        <v/>
      </c>
      <c r="F65" s="62" t="str">
        <f t="shared" si="3"/>
        <v/>
      </c>
    </row>
    <row r="66" spans="1:6" hidden="1" x14ac:dyDescent="0.3">
      <c r="A66" s="351" t="str">
        <f>Lists!$C$58&amp;"_"&amp;B24</f>
        <v>Location_16</v>
      </c>
      <c r="D66" s="34" t="str">
        <f>IF(Inputs!D27=0,"",Inputs!D27)</f>
        <v/>
      </c>
      <c r="E66" s="58" t="str">
        <f>IF($D66="","",SUMIF('Emissions Database'!$C$4:$C$203,$D66,'Emissions Database'!$BS$4:$BS$203))</f>
        <v/>
      </c>
      <c r="F66" s="62" t="str">
        <f t="shared" si="3"/>
        <v/>
      </c>
    </row>
    <row r="67" spans="1:6" hidden="1" x14ac:dyDescent="0.3">
      <c r="A67" s="351" t="str">
        <f>Lists!$C$58&amp;"_"&amp;B25</f>
        <v>Location_17</v>
      </c>
      <c r="D67" s="34" t="str">
        <f>IF(Inputs!D28=0,"",Inputs!D28)</f>
        <v/>
      </c>
      <c r="E67" s="58" t="str">
        <f>IF($D67="","",SUMIF('Emissions Database'!$C$4:$C$203,$D67,'Emissions Database'!$BS$4:$BS$203))</f>
        <v/>
      </c>
      <c r="F67" s="62" t="str">
        <f t="shared" si="3"/>
        <v/>
      </c>
    </row>
    <row r="68" spans="1:6" hidden="1" x14ac:dyDescent="0.3">
      <c r="A68" s="351" t="str">
        <f>Lists!$C$58&amp;"_"&amp;B26</f>
        <v>Location_18</v>
      </c>
      <c r="D68" s="34" t="str">
        <f>IF(Inputs!D29=0,"",Inputs!D29)</f>
        <v/>
      </c>
      <c r="E68" s="58" t="str">
        <f>IF($D68="","",SUMIF('Emissions Database'!$C$4:$C$203,$D68,'Emissions Database'!$BS$4:$BS$203))</f>
        <v/>
      </c>
      <c r="F68" s="62" t="str">
        <f t="shared" si="3"/>
        <v/>
      </c>
    </row>
    <row r="69" spans="1:6" hidden="1" x14ac:dyDescent="0.3">
      <c r="A69" s="351" t="str">
        <f>Lists!$C$58&amp;"_"&amp;B27</f>
        <v>Location_19</v>
      </c>
      <c r="D69" s="34" t="str">
        <f>IF(Inputs!D30=0,"",Inputs!D30)</f>
        <v/>
      </c>
      <c r="E69" s="58" t="str">
        <f>IF($D69="","",SUMIF('Emissions Database'!$C$4:$C$203,$D69,'Emissions Database'!$BS$4:$BS$203))</f>
        <v/>
      </c>
      <c r="F69" s="62" t="str">
        <f t="shared" si="3"/>
        <v/>
      </c>
    </row>
    <row r="70" spans="1:6" hidden="1" x14ac:dyDescent="0.3">
      <c r="A70" s="351" t="str">
        <f>Lists!$C$58&amp;"_"&amp;B28</f>
        <v>Location_20</v>
      </c>
      <c r="D70" s="34" t="str">
        <f>IF(Inputs!D31=0,"",Inputs!D31)</f>
        <v/>
      </c>
      <c r="E70" s="58" t="str">
        <f>IF($D70="","",SUMIF('Emissions Database'!$C$4:$C$203,$D70,'Emissions Database'!$BS$4:$BS$203))</f>
        <v/>
      </c>
      <c r="F70" s="62" t="str">
        <f t="shared" si="3"/>
        <v/>
      </c>
    </row>
    <row r="71" spans="1:6" hidden="1" x14ac:dyDescent="0.3">
      <c r="A71" s="351" t="str">
        <f>Lists!$C$58&amp;"_"&amp;B29</f>
        <v>Location_21</v>
      </c>
      <c r="D71" s="34" t="str">
        <f>IF(Inputs!D32=0,"",Inputs!D32)</f>
        <v/>
      </c>
      <c r="E71" s="58" t="str">
        <f>IF($D71="","",SUMIF('Emissions Database'!$C$4:$C$203,$D71,'Emissions Database'!$BS$4:$BS$203))</f>
        <v/>
      </c>
      <c r="F71" s="62" t="str">
        <f t="shared" si="3"/>
        <v/>
      </c>
    </row>
    <row r="72" spans="1:6" hidden="1" x14ac:dyDescent="0.3">
      <c r="A72" s="351" t="str">
        <f>Lists!$C$58&amp;"_"&amp;B30</f>
        <v>Location_22</v>
      </c>
      <c r="D72" s="34" t="str">
        <f>IF(Inputs!D33=0,"",Inputs!D33)</f>
        <v/>
      </c>
      <c r="E72" s="58" t="str">
        <f>IF($D72="","",SUMIF('Emissions Database'!$C$4:$C$203,$D72,'Emissions Database'!$BS$4:$BS$203))</f>
        <v/>
      </c>
      <c r="F72" s="62" t="str">
        <f t="shared" si="3"/>
        <v/>
      </c>
    </row>
    <row r="73" spans="1:6" hidden="1" x14ac:dyDescent="0.3">
      <c r="A73" s="351" t="str">
        <f>Lists!$C$58&amp;"_"&amp;B31</f>
        <v>Location_23</v>
      </c>
      <c r="D73" s="34" t="str">
        <f>IF(Inputs!D34=0,"",Inputs!D34)</f>
        <v/>
      </c>
      <c r="E73" s="58" t="str">
        <f>IF($D73="","",SUMIF('Emissions Database'!$C$4:$C$203,$D73,'Emissions Database'!$BS$4:$BS$203))</f>
        <v/>
      </c>
      <c r="F73" s="62" t="str">
        <f t="shared" si="3"/>
        <v/>
      </c>
    </row>
    <row r="74" spans="1:6" hidden="1" x14ac:dyDescent="0.3">
      <c r="A74" s="351" t="str">
        <f>Lists!$C$58&amp;"_"&amp;B32</f>
        <v>Location_24</v>
      </c>
      <c r="D74" s="34" t="str">
        <f>IF(Inputs!D35=0,"",Inputs!D35)</f>
        <v/>
      </c>
      <c r="E74" s="58" t="str">
        <f>IF($D74="","",SUMIF('Emissions Database'!$C$4:$C$203,$D74,'Emissions Database'!$BS$4:$BS$203))</f>
        <v/>
      </c>
      <c r="F74" s="62" t="str">
        <f t="shared" si="3"/>
        <v/>
      </c>
    </row>
    <row r="75" spans="1:6" hidden="1" x14ac:dyDescent="0.3">
      <c r="A75" s="144"/>
    </row>
    <row r="76" spans="1:6" hidden="1" x14ac:dyDescent="0.3">
      <c r="A76" s="144"/>
    </row>
    <row r="77" spans="1:6" hidden="1" x14ac:dyDescent="0.3">
      <c r="A77" s="351" t="str">
        <f>Lists!$C$59&amp;"_"&amp;B9</f>
        <v>Federal Building Type_1</v>
      </c>
      <c r="D77" t="s">
        <v>393</v>
      </c>
    </row>
    <row r="78" spans="1:6" ht="43.2" hidden="1" x14ac:dyDescent="0.3">
      <c r="A78" s="351" t="str">
        <f>Lists!$C$59&amp;"_"&amp;B10</f>
        <v>Federal Building Type_2</v>
      </c>
      <c r="D78" s="36" t="s">
        <v>508</v>
      </c>
      <c r="E78" s="36" t="s">
        <v>506</v>
      </c>
      <c r="F78" s="36" t="s">
        <v>507</v>
      </c>
    </row>
    <row r="79" spans="1:6" hidden="1" x14ac:dyDescent="0.3">
      <c r="A79" s="351" t="str">
        <f>Lists!$C$59&amp;"_"&amp;B11</f>
        <v>Federal Building Type_3</v>
      </c>
      <c r="B79" s="65">
        <f>18-COUNTIF(D80:D97,"")</f>
        <v>1</v>
      </c>
      <c r="D79" s="59" t="s">
        <v>322</v>
      </c>
      <c r="E79" s="60">
        <f>'Emissions Database'!BS204</f>
        <v>0</v>
      </c>
      <c r="F79" s="61" t="e">
        <f>E79/$E$53</f>
        <v>#DIV/0!</v>
      </c>
    </row>
    <row r="80" spans="1:6" hidden="1" x14ac:dyDescent="0.3">
      <c r="A80" s="351" t="str">
        <f>Lists!$C$59&amp;"_"&amp;B12</f>
        <v>Federal Building Type_4</v>
      </c>
      <c r="D80" s="63" t="s">
        <v>324</v>
      </c>
      <c r="E80" s="64">
        <f>E79-SUM(E81:E100)</f>
        <v>0</v>
      </c>
      <c r="F80" s="67" t="e">
        <f t="shared" ref="F80:F90" si="4">IF(D80="","",E80/$E$79)</f>
        <v>#DIV/0!</v>
      </c>
    </row>
    <row r="81" spans="1:6" hidden="1" x14ac:dyDescent="0.3">
      <c r="A81" s="351" t="str">
        <f>Lists!$C$59&amp;"_"&amp;B13</f>
        <v>Federal Building Type_5</v>
      </c>
      <c r="B81" s="66">
        <v>1</v>
      </c>
      <c r="D81" s="34" t="str">
        <f>IF(COUNTIF(Lists!$B$3:$B$22,$B81)=0,"",VLOOKUP($B81,Lists!$B$3:$C$22,2,0))</f>
        <v/>
      </c>
      <c r="E81" s="58" t="str">
        <f>IF(D81="","",SUMIF('Emissions Database'!$D$4:$D$203,$D81,'Emissions Database'!$BS$4:$BS$203))</f>
        <v/>
      </c>
      <c r="F81" s="62" t="str">
        <f t="shared" si="4"/>
        <v/>
      </c>
    </row>
    <row r="82" spans="1:6" hidden="1" x14ac:dyDescent="0.3">
      <c r="A82" s="351" t="str">
        <f>Lists!$C$59&amp;"_"&amp;B14</f>
        <v>Federal Building Type_6</v>
      </c>
      <c r="B82" s="66">
        <v>2</v>
      </c>
      <c r="D82" s="34" t="str">
        <f>IF(COUNTIF(Lists!$B$3:$B$22,$B82)=0,"",VLOOKUP($B82,Lists!$B$3:$C$22,2,0))</f>
        <v/>
      </c>
      <c r="E82" s="58" t="str">
        <f>IF(D82="","",SUMIF('Emissions Database'!$D$4:$D$203,$D82,'Emissions Database'!$BS$4:$BS$203))</f>
        <v/>
      </c>
      <c r="F82" s="62" t="str">
        <f t="shared" si="4"/>
        <v/>
      </c>
    </row>
    <row r="83" spans="1:6" hidden="1" x14ac:dyDescent="0.3">
      <c r="A83" s="351" t="str">
        <f>Lists!$C$59&amp;"_"&amp;B15</f>
        <v>Federal Building Type_7</v>
      </c>
      <c r="B83" s="66">
        <v>3</v>
      </c>
      <c r="D83" s="34" t="str">
        <f>IF(COUNTIF(Lists!$B$3:$B$22,$B83)=0,"",VLOOKUP($B83,Lists!$B$3:$C$22,2,0))</f>
        <v/>
      </c>
      <c r="E83" s="58" t="str">
        <f>IF(D83="","",SUMIF('Emissions Database'!$D$4:$D$203,$D83,'Emissions Database'!$BS$4:$BS$203))</f>
        <v/>
      </c>
      <c r="F83" s="62" t="str">
        <f t="shared" si="4"/>
        <v/>
      </c>
    </row>
    <row r="84" spans="1:6" hidden="1" x14ac:dyDescent="0.3">
      <c r="A84" s="351" t="str">
        <f>Lists!$C$59&amp;"_"&amp;B16</f>
        <v>Federal Building Type_8</v>
      </c>
      <c r="B84" s="66">
        <v>4</v>
      </c>
      <c r="D84" s="34" t="str">
        <f>IF(COUNTIF(Lists!$B$3:$B$22,$B84)=0,"",VLOOKUP($B84,Lists!$B$3:$C$22,2,0))</f>
        <v/>
      </c>
      <c r="E84" s="58" t="str">
        <f>IF(D84="","",SUMIF('Emissions Database'!$D$4:$D$203,$D84,'Emissions Database'!$BS$4:$BS$203))</f>
        <v/>
      </c>
      <c r="F84" s="62" t="str">
        <f t="shared" si="4"/>
        <v/>
      </c>
    </row>
    <row r="85" spans="1:6" hidden="1" x14ac:dyDescent="0.3">
      <c r="A85" s="351" t="str">
        <f>Lists!$C$59&amp;"_"&amp;B17</f>
        <v>Federal Building Type_9</v>
      </c>
      <c r="B85" s="66">
        <v>5</v>
      </c>
      <c r="D85" s="34" t="str">
        <f>IF(COUNTIF(Lists!$B$3:$B$22,$B85)=0,"",VLOOKUP($B85,Lists!$B$3:$C$22,2,0))</f>
        <v/>
      </c>
      <c r="E85" s="58" t="str">
        <f>IF(D85="","",SUMIF('Emissions Database'!$D$4:$D$203,$D85,'Emissions Database'!$BS$4:$BS$203))</f>
        <v/>
      </c>
      <c r="F85" s="62" t="str">
        <f t="shared" si="4"/>
        <v/>
      </c>
    </row>
    <row r="86" spans="1:6" hidden="1" x14ac:dyDescent="0.3">
      <c r="A86" s="351" t="str">
        <f>Lists!$C$59&amp;"_"&amp;B18</f>
        <v>Federal Building Type_10</v>
      </c>
      <c r="B86" s="66">
        <v>6</v>
      </c>
      <c r="D86" s="34" t="str">
        <f>IF(COUNTIF(Lists!$B$3:$B$22,$B86)=0,"",VLOOKUP($B86,Lists!$B$3:$C$22,2,0))</f>
        <v/>
      </c>
      <c r="E86" s="58" t="str">
        <f>IF(D86="","",SUMIF('Emissions Database'!$D$4:$D$203,$D86,'Emissions Database'!$BS$4:$BS$203))</f>
        <v/>
      </c>
      <c r="F86" s="62" t="str">
        <f t="shared" si="4"/>
        <v/>
      </c>
    </row>
    <row r="87" spans="1:6" hidden="1" x14ac:dyDescent="0.3">
      <c r="A87" s="351" t="str">
        <f>Lists!$C$59&amp;"_"&amp;B19</f>
        <v>Federal Building Type_11</v>
      </c>
      <c r="B87" s="66">
        <v>7</v>
      </c>
      <c r="D87" s="34" t="str">
        <f>IF(COUNTIF(Lists!$B$3:$B$22,$B87)=0,"",VLOOKUP($B87,Lists!$B$3:$C$22,2,0))</f>
        <v/>
      </c>
      <c r="E87" s="58" t="str">
        <f>IF(D87="","",SUMIF('Emissions Database'!$D$4:$D$203,$D87,'Emissions Database'!$BS$4:$BS$203))</f>
        <v/>
      </c>
      <c r="F87" s="62" t="str">
        <f t="shared" si="4"/>
        <v/>
      </c>
    </row>
    <row r="88" spans="1:6" hidden="1" x14ac:dyDescent="0.3">
      <c r="A88" s="351" t="str">
        <f>Lists!$C$59&amp;"_"&amp;B20</f>
        <v>Federal Building Type_12</v>
      </c>
      <c r="B88" s="66">
        <v>8</v>
      </c>
      <c r="D88" s="34" t="str">
        <f>IF(COUNTIF(Lists!$B$3:$B$22,$B88)=0,"",VLOOKUP($B88,Lists!$B$3:$C$22,2,0))</f>
        <v/>
      </c>
      <c r="E88" s="58" t="str">
        <f>IF(D88="","",SUMIF('Emissions Database'!$D$4:$D$203,$D88,'Emissions Database'!$BS$4:$BS$203))</f>
        <v/>
      </c>
      <c r="F88" s="62" t="str">
        <f t="shared" si="4"/>
        <v/>
      </c>
    </row>
    <row r="89" spans="1:6" hidden="1" x14ac:dyDescent="0.3">
      <c r="A89" s="351" t="str">
        <f>Lists!$C$59&amp;"_"&amp;B21</f>
        <v>Federal Building Type_13</v>
      </c>
      <c r="B89" s="66">
        <v>9</v>
      </c>
      <c r="D89" s="34" t="str">
        <f>IF(COUNTIF(Lists!$B$3:$B$22,$B89)=0,"",VLOOKUP($B89,Lists!$B$3:$C$22,2,0))</f>
        <v/>
      </c>
      <c r="E89" s="58" t="str">
        <f>IF(D89="","",SUMIF('Emissions Database'!$D$4:$D$203,$D89,'Emissions Database'!$BS$4:$BS$203))</f>
        <v/>
      </c>
      <c r="F89" s="62" t="str">
        <f t="shared" si="4"/>
        <v/>
      </c>
    </row>
    <row r="90" spans="1:6" hidden="1" x14ac:dyDescent="0.3">
      <c r="A90" s="351" t="str">
        <f>Lists!$C$59&amp;"_"&amp;B22</f>
        <v>Federal Building Type_14</v>
      </c>
      <c r="B90" s="66">
        <v>10</v>
      </c>
      <c r="D90" s="34" t="str">
        <f>IF(COUNTIF(Lists!$B$3:$B$22,$B90)=0,"",VLOOKUP($B90,Lists!$B$3:$C$22,2,0))</f>
        <v/>
      </c>
      <c r="E90" s="58" t="str">
        <f>IF(D90="","",SUMIF('Emissions Database'!$D$4:$D$203,$D90,'Emissions Database'!$BS$4:$BS$203))</f>
        <v/>
      </c>
      <c r="F90" s="62" t="str">
        <f t="shared" si="4"/>
        <v/>
      </c>
    </row>
    <row r="91" spans="1:6" hidden="1" x14ac:dyDescent="0.3">
      <c r="A91" s="351" t="str">
        <f>Lists!$C$59&amp;"_"&amp;B23</f>
        <v>Federal Building Type_15</v>
      </c>
      <c r="B91" s="66">
        <v>11</v>
      </c>
      <c r="D91" s="34" t="str">
        <f>IF(COUNTIF(Lists!$B$3:$B$22,$B91)=0,"",VLOOKUP($B91,Lists!$B$3:$C$22,2,0))</f>
        <v/>
      </c>
      <c r="E91" s="58" t="str">
        <f>IF(D91="","",SUMIF('Emissions Database'!$D$4:$D$203,$D91,'Emissions Database'!$BS$4:$BS$203))</f>
        <v/>
      </c>
      <c r="F91" s="62" t="str">
        <f t="shared" ref="F91:F96" si="5">IF(D91="","",E91/$E$79)</f>
        <v/>
      </c>
    </row>
    <row r="92" spans="1:6" hidden="1" x14ac:dyDescent="0.3">
      <c r="A92" s="351" t="str">
        <f>Lists!$C$59&amp;"_"&amp;B24</f>
        <v>Federal Building Type_16</v>
      </c>
      <c r="B92" s="66">
        <v>12</v>
      </c>
      <c r="D92" s="34" t="str">
        <f>IF(COUNTIF(Lists!$B$3:$B$22,$B92)=0,"",VLOOKUP($B92,Lists!$B$3:$C$22,2,0))</f>
        <v/>
      </c>
      <c r="E92" s="58" t="str">
        <f>IF(D92="","",SUMIF('Emissions Database'!$D$4:$D$203,$D92,'Emissions Database'!$BS$4:$BS$203))</f>
        <v/>
      </c>
      <c r="F92" s="62" t="str">
        <f t="shared" si="5"/>
        <v/>
      </c>
    </row>
    <row r="93" spans="1:6" hidden="1" x14ac:dyDescent="0.3">
      <c r="A93" s="351" t="str">
        <f>Lists!$C$59&amp;"_"&amp;B25</f>
        <v>Federal Building Type_17</v>
      </c>
      <c r="B93" s="66">
        <v>13</v>
      </c>
      <c r="D93" s="34" t="str">
        <f>IF(COUNTIF(Lists!$B$3:$B$22,$B93)=0,"",VLOOKUP($B93,Lists!$B$3:$C$22,2,0))</f>
        <v/>
      </c>
      <c r="E93" s="58" t="str">
        <f>IF(D93="","",SUMIF('Emissions Database'!$D$4:$D$203,$D93,'Emissions Database'!$BS$4:$BS$203))</f>
        <v/>
      </c>
      <c r="F93" s="62" t="str">
        <f t="shared" si="5"/>
        <v/>
      </c>
    </row>
    <row r="94" spans="1:6" hidden="1" x14ac:dyDescent="0.3">
      <c r="A94" s="351" t="str">
        <f>Lists!$C$59&amp;"_"&amp;B26</f>
        <v>Federal Building Type_18</v>
      </c>
      <c r="B94" s="66">
        <v>14</v>
      </c>
      <c r="D94" s="34" t="str">
        <f>IF(COUNTIF(Lists!$B$3:$B$22,$B94)=0,"",VLOOKUP($B94,Lists!$B$3:$C$22,2,0))</f>
        <v/>
      </c>
      <c r="E94" s="58" t="str">
        <f>IF(D94="","",SUMIF('Emissions Database'!$D$4:$D$203,$D94,'Emissions Database'!$BS$4:$BS$203))</f>
        <v/>
      </c>
      <c r="F94" s="62" t="str">
        <f t="shared" si="5"/>
        <v/>
      </c>
    </row>
    <row r="95" spans="1:6" hidden="1" x14ac:dyDescent="0.3">
      <c r="A95" s="351" t="str">
        <f>Lists!$C$59&amp;"_"&amp;B27</f>
        <v>Federal Building Type_19</v>
      </c>
      <c r="B95" s="66">
        <v>15</v>
      </c>
      <c r="D95" s="34" t="str">
        <f>IF(COUNTIF(Lists!$B$3:$B$22,$B95)=0,"",VLOOKUP($B95,Lists!$B$3:$C$22,2,0))</f>
        <v/>
      </c>
      <c r="E95" s="58" t="str">
        <f>IF(D95="","",SUMIF('Emissions Database'!$D$4:$D$203,$D95,'Emissions Database'!$BS$4:$BS$203))</f>
        <v/>
      </c>
      <c r="F95" s="62" t="str">
        <f t="shared" si="5"/>
        <v/>
      </c>
    </row>
    <row r="96" spans="1:6" hidden="1" x14ac:dyDescent="0.3">
      <c r="A96" s="351" t="str">
        <f>Lists!$C$59&amp;"_"&amp;B28</f>
        <v>Federal Building Type_20</v>
      </c>
      <c r="B96" s="66">
        <v>16</v>
      </c>
      <c r="D96" s="34" t="str">
        <f>IF(COUNTIF(Lists!$B$3:$B$22,$B96)=0,"",VLOOKUP($B96,Lists!$B$3:$C$22,2,0))</f>
        <v/>
      </c>
      <c r="E96" s="58" t="str">
        <f>IF(D96="","",SUMIF('Emissions Database'!$D$4:$D$203,$D96,'Emissions Database'!$BS$4:$BS$203))</f>
        <v/>
      </c>
      <c r="F96" s="62" t="str">
        <f t="shared" si="5"/>
        <v/>
      </c>
    </row>
    <row r="97" spans="1:6" hidden="1" x14ac:dyDescent="0.3">
      <c r="A97" s="351" t="str">
        <f>Lists!$C$59&amp;"_"&amp;B29</f>
        <v>Federal Building Type_21</v>
      </c>
      <c r="B97" s="66">
        <v>17</v>
      </c>
      <c r="D97" s="34" t="str">
        <f>IF(COUNTIF(Lists!$B$3:$B$22,$B97)=0,"",VLOOKUP($B97,Lists!$B$3:$C$22,2,0))</f>
        <v/>
      </c>
      <c r="E97" s="58" t="str">
        <f>IF(D97="","",SUMIF('Emissions Database'!$D$4:$D$203,$D97,'Emissions Database'!$BS$4:$BS$203))</f>
        <v/>
      </c>
      <c r="F97" s="62" t="str">
        <f t="shared" ref="F97" si="6">IF(D97="","",E97/$E$79)</f>
        <v/>
      </c>
    </row>
    <row r="98" spans="1:6" hidden="1" x14ac:dyDescent="0.3">
      <c r="A98" s="351" t="str">
        <f>Lists!$C$59&amp;"_"&amp;B30</f>
        <v>Federal Building Type_22</v>
      </c>
      <c r="D98" s="55" t="str">
        <f>""</f>
        <v/>
      </c>
      <c r="E98" s="55" t="str">
        <f>""</f>
        <v/>
      </c>
      <c r="F98" s="55" t="str">
        <f>""</f>
        <v/>
      </c>
    </row>
    <row r="99" spans="1:6" hidden="1" x14ac:dyDescent="0.3">
      <c r="A99" s="351" t="str">
        <f>Lists!$C$59&amp;"_"&amp;B31</f>
        <v>Federal Building Type_23</v>
      </c>
      <c r="D99" s="55" t="str">
        <f>""</f>
        <v/>
      </c>
      <c r="E99" s="55" t="str">
        <f>""</f>
        <v/>
      </c>
      <c r="F99" s="55" t="str">
        <f>""</f>
        <v/>
      </c>
    </row>
    <row r="100" spans="1:6" hidden="1" x14ac:dyDescent="0.3">
      <c r="A100" s="351" t="str">
        <f>Lists!$C$59&amp;"_"&amp;B32</f>
        <v>Federal Building Type_24</v>
      </c>
      <c r="D100" s="55" t="str">
        <f>""</f>
        <v/>
      </c>
      <c r="E100" s="55" t="str">
        <f>""</f>
        <v/>
      </c>
      <c r="F100" s="55" t="str">
        <f>""</f>
        <v/>
      </c>
    </row>
    <row r="101" spans="1:6" hidden="1" x14ac:dyDescent="0.3">
      <c r="A101" s="144"/>
    </row>
    <row r="102" spans="1:6" hidden="1" x14ac:dyDescent="0.3">
      <c r="A102" s="144"/>
    </row>
    <row r="103" spans="1:6" hidden="1" x14ac:dyDescent="0.3">
      <c r="A103" s="351" t="str">
        <f>Lists!$C$60&amp;"_"&amp;B9</f>
        <v>Equipment Category_1</v>
      </c>
      <c r="D103" t="s">
        <v>391</v>
      </c>
    </row>
    <row r="104" spans="1:6" ht="43.2" hidden="1" x14ac:dyDescent="0.3">
      <c r="A104" s="351" t="str">
        <f>Lists!$C$60&amp;"_"&amp;B10</f>
        <v>Equipment Category_2</v>
      </c>
      <c r="D104" s="36" t="s">
        <v>504</v>
      </c>
      <c r="E104" s="36" t="s">
        <v>506</v>
      </c>
      <c r="F104" s="36" t="s">
        <v>507</v>
      </c>
    </row>
    <row r="105" spans="1:6" hidden="1" x14ac:dyDescent="0.3">
      <c r="A105" s="351" t="str">
        <f>Lists!$C$60&amp;"_"&amp;B11</f>
        <v>Equipment Category_3</v>
      </c>
      <c r="B105" s="65">
        <f>10-COUNTIF(D106:D115,"")</f>
        <v>1</v>
      </c>
      <c r="D105" s="59" t="s">
        <v>322</v>
      </c>
      <c r="E105" s="60">
        <f>'Emissions Database'!BS204</f>
        <v>0</v>
      </c>
      <c r="F105" s="61" t="e">
        <f>E105/$E$53</f>
        <v>#DIV/0!</v>
      </c>
    </row>
    <row r="106" spans="1:6" hidden="1" x14ac:dyDescent="0.3">
      <c r="A106" s="351" t="str">
        <f>Lists!$C$60&amp;"_"&amp;B12</f>
        <v>Equipment Category_4</v>
      </c>
      <c r="D106" s="63" t="s">
        <v>324</v>
      </c>
      <c r="E106" s="64">
        <f>E105-SUM(E107:E115)</f>
        <v>0</v>
      </c>
      <c r="F106" s="67" t="e">
        <f t="shared" ref="F106:F115" si="7">IF(D106="","",E106/$E$79)</f>
        <v>#DIV/0!</v>
      </c>
    </row>
    <row r="107" spans="1:6" hidden="1" x14ac:dyDescent="0.3">
      <c r="A107" s="351" t="str">
        <f>Lists!$C$60&amp;"_"&amp;B13</f>
        <v>Equipment Category_5</v>
      </c>
      <c r="B107" s="66">
        <v>1</v>
      </c>
      <c r="D107" s="34" t="str">
        <f>IF(COUNTIF(Lists!$B$28:$B$35,$B107)=0,"",VLOOKUP($B107,Lists!$B$28:$C$35,2,0))</f>
        <v/>
      </c>
      <c r="E107" s="58" t="str">
        <f>IF(D107="","",SUMIF('Emissions Database'!$CK$3:$CS$3,$D107,'Emissions Database'!$CK$204:$CS$204))</f>
        <v/>
      </c>
      <c r="F107" s="62" t="str">
        <f t="shared" si="7"/>
        <v/>
      </c>
    </row>
    <row r="108" spans="1:6" hidden="1" x14ac:dyDescent="0.3">
      <c r="A108" s="351" t="str">
        <f>Lists!$C$60&amp;"_"&amp;B14</f>
        <v>Equipment Category_6</v>
      </c>
      <c r="B108" s="66">
        <v>2</v>
      </c>
      <c r="D108" s="34" t="str">
        <f>IF(COUNTIF(Lists!$B$28:$B$35,$B108)=0,"",VLOOKUP($B108,Lists!$B$28:$C$35,2,0))</f>
        <v/>
      </c>
      <c r="E108" s="58" t="str">
        <f>IF(D108="","",SUMIF('Emissions Database'!$CK$3:$CS$3,$D108,'Emissions Database'!$CK$204:$CS$204))</f>
        <v/>
      </c>
      <c r="F108" s="62" t="str">
        <f t="shared" si="7"/>
        <v/>
      </c>
    </row>
    <row r="109" spans="1:6" hidden="1" x14ac:dyDescent="0.3">
      <c r="A109" s="351" t="str">
        <f>Lists!$C$60&amp;"_"&amp;B15</f>
        <v>Equipment Category_7</v>
      </c>
      <c r="B109" s="66">
        <v>3</v>
      </c>
      <c r="D109" s="34" t="str">
        <f>IF(COUNTIF(Lists!$B$28:$B$35,$B109)=0,"",VLOOKUP($B109,Lists!$B$28:$C$35,2,0))</f>
        <v/>
      </c>
      <c r="E109" s="58" t="str">
        <f>IF(D109="","",SUMIF('Emissions Database'!$CK$3:$CS$3,$D109,'Emissions Database'!$CK$204:$CS$204))</f>
        <v/>
      </c>
      <c r="F109" s="62" t="str">
        <f t="shared" si="7"/>
        <v/>
      </c>
    </row>
    <row r="110" spans="1:6" hidden="1" x14ac:dyDescent="0.3">
      <c r="A110" s="351" t="str">
        <f>Lists!$C$60&amp;"_"&amp;B16</f>
        <v>Equipment Category_8</v>
      </c>
      <c r="B110" s="66">
        <v>4</v>
      </c>
      <c r="D110" s="34" t="str">
        <f>IF(COUNTIF(Lists!$B$28:$B$35,$B110)=0,"",VLOOKUP($B110,Lists!$B$28:$C$35,2,0))</f>
        <v/>
      </c>
      <c r="E110" s="58" t="str">
        <f>IF(D110="","",SUMIF('Emissions Database'!$CK$3:$CS$3,$D110,'Emissions Database'!$CK$204:$CS$204))</f>
        <v/>
      </c>
      <c r="F110" s="62" t="str">
        <f t="shared" si="7"/>
        <v/>
      </c>
    </row>
    <row r="111" spans="1:6" hidden="1" x14ac:dyDescent="0.3">
      <c r="A111" s="351" t="str">
        <f>Lists!$C$60&amp;"_"&amp;B17</f>
        <v>Equipment Category_9</v>
      </c>
      <c r="B111" s="66">
        <v>5</v>
      </c>
      <c r="D111" s="34" t="str">
        <f>IF(COUNTIF(Lists!$B$28:$B$35,$B111)=0,"",VLOOKUP($B111,Lists!$B$28:$C$35,2,0))</f>
        <v/>
      </c>
      <c r="E111" s="58" t="str">
        <f>IF(D111="","",SUMIF('Emissions Database'!$CK$3:$CS$3,$D111,'Emissions Database'!$CK$204:$CS$204))</f>
        <v/>
      </c>
      <c r="F111" s="62" t="str">
        <f t="shared" si="7"/>
        <v/>
      </c>
    </row>
    <row r="112" spans="1:6" hidden="1" x14ac:dyDescent="0.3">
      <c r="A112" s="351" t="str">
        <f>Lists!$C$60&amp;"_"&amp;B18</f>
        <v>Equipment Category_10</v>
      </c>
      <c r="B112" s="66">
        <v>6</v>
      </c>
      <c r="D112" s="34" t="str">
        <f>IF(COUNTIF(Lists!$B$28:$B$35,$B112)=0,"",VLOOKUP($B112,Lists!$B$28:$C$35,2,0))</f>
        <v/>
      </c>
      <c r="E112" s="58" t="str">
        <f>IF(D112="","",SUMIF('Emissions Database'!$CK$3:$CS$3,$D112,'Emissions Database'!$CK$204:$CS$204))</f>
        <v/>
      </c>
      <c r="F112" s="62" t="str">
        <f t="shared" si="7"/>
        <v/>
      </c>
    </row>
    <row r="113" spans="1:6" hidden="1" x14ac:dyDescent="0.3">
      <c r="A113" s="351" t="str">
        <f>Lists!$C$60&amp;"_"&amp;B19</f>
        <v>Equipment Category_11</v>
      </c>
      <c r="B113" s="66">
        <v>7</v>
      </c>
      <c r="D113" s="34" t="str">
        <f>IF(COUNTIF(Lists!$B$28:$B$35,$B113)=0,"",VLOOKUP($B113,Lists!$B$28:$C$35,2,0))</f>
        <v/>
      </c>
      <c r="E113" s="58" t="str">
        <f>IF(D113="","",SUMIF('Emissions Database'!$CK$3:$CS$3,$D113,'Emissions Database'!$CK$204:$CS$204))</f>
        <v/>
      </c>
      <c r="F113" s="62" t="str">
        <f t="shared" si="7"/>
        <v/>
      </c>
    </row>
    <row r="114" spans="1:6" hidden="1" x14ac:dyDescent="0.3">
      <c r="A114" s="351" t="str">
        <f>Lists!$C$60&amp;"_"&amp;B20</f>
        <v>Equipment Category_12</v>
      </c>
      <c r="B114" s="66">
        <v>8</v>
      </c>
      <c r="D114" s="34" t="str">
        <f>IF(COUNTIF(Lists!$B$28:$B$35,$B114)=0,"",VLOOKUP($B114,Lists!$B$28:$C$35,2,0))</f>
        <v/>
      </c>
      <c r="E114" s="58" t="str">
        <f>IF(D114="","",SUMIF('Emissions Database'!$CK$3:$CS$3,$D114,'Emissions Database'!$CK$204:$CS$204))</f>
        <v/>
      </c>
      <c r="F114" s="62" t="str">
        <f t="shared" si="7"/>
        <v/>
      </c>
    </row>
    <row r="115" spans="1:6" hidden="1" x14ac:dyDescent="0.3">
      <c r="A115" s="351" t="str">
        <f>Lists!$C$60&amp;"_"&amp;B21</f>
        <v>Equipment Category_13</v>
      </c>
      <c r="B115" s="66">
        <v>9</v>
      </c>
      <c r="D115" s="34" t="str">
        <f>IF(COUNTIF(Lists!$B$28:$B$35,$B115)=0,"",VLOOKUP($B115,Lists!$B$28:$C$35,2,0))</f>
        <v/>
      </c>
      <c r="E115" s="58" t="str">
        <f>IF(D115="","",SUMIF('Emissions Database'!$CK$3:$CS$3,$D115,'Emissions Database'!$CK$204:$CS$204))</f>
        <v/>
      </c>
      <c r="F115" s="62" t="str">
        <f t="shared" si="7"/>
        <v/>
      </c>
    </row>
    <row r="116" spans="1:6" hidden="1" x14ac:dyDescent="0.3">
      <c r="A116" s="351" t="str">
        <f>Lists!$C$60&amp;"_"&amp;B22</f>
        <v>Equipment Category_14</v>
      </c>
      <c r="D116" s="55" t="str">
        <f>""</f>
        <v/>
      </c>
      <c r="E116" s="55" t="str">
        <f>""</f>
        <v/>
      </c>
      <c r="F116" s="55" t="str">
        <f>""</f>
        <v/>
      </c>
    </row>
    <row r="117" spans="1:6" hidden="1" x14ac:dyDescent="0.3">
      <c r="A117" s="351" t="str">
        <f>Lists!$C$60&amp;"_"&amp;B23</f>
        <v>Equipment Category_15</v>
      </c>
      <c r="D117" s="55" t="str">
        <f>""</f>
        <v/>
      </c>
      <c r="E117" s="55" t="str">
        <f>""</f>
        <v/>
      </c>
      <c r="F117" s="55" t="str">
        <f>""</f>
        <v/>
      </c>
    </row>
    <row r="118" spans="1:6" hidden="1" x14ac:dyDescent="0.3">
      <c r="A118" s="351" t="str">
        <f>Lists!$C$60&amp;"_"&amp;B24</f>
        <v>Equipment Category_16</v>
      </c>
      <c r="D118" s="55" t="str">
        <f>""</f>
        <v/>
      </c>
      <c r="E118" s="55" t="str">
        <f>""</f>
        <v/>
      </c>
      <c r="F118" s="55" t="str">
        <f>""</f>
        <v/>
      </c>
    </row>
    <row r="119" spans="1:6" hidden="1" x14ac:dyDescent="0.3">
      <c r="A119" s="351" t="str">
        <f>Lists!$C$60&amp;"_"&amp;B25</f>
        <v>Equipment Category_17</v>
      </c>
      <c r="D119" s="55" t="str">
        <f>""</f>
        <v/>
      </c>
      <c r="E119" s="55" t="str">
        <f>""</f>
        <v/>
      </c>
      <c r="F119" s="55" t="str">
        <f>""</f>
        <v/>
      </c>
    </row>
    <row r="120" spans="1:6" hidden="1" x14ac:dyDescent="0.3">
      <c r="A120" s="351" t="str">
        <f>Lists!$C$60&amp;"_"&amp;B26</f>
        <v>Equipment Category_18</v>
      </c>
      <c r="D120" s="55" t="str">
        <f>""</f>
        <v/>
      </c>
      <c r="E120" s="55" t="str">
        <f>""</f>
        <v/>
      </c>
      <c r="F120" s="55" t="str">
        <f>""</f>
        <v/>
      </c>
    </row>
    <row r="121" spans="1:6" hidden="1" x14ac:dyDescent="0.3">
      <c r="A121" s="351" t="str">
        <f>Lists!$C$60&amp;"_"&amp;B27</f>
        <v>Equipment Category_19</v>
      </c>
      <c r="D121" s="55" t="str">
        <f>""</f>
        <v/>
      </c>
      <c r="E121" s="55" t="str">
        <f>""</f>
        <v/>
      </c>
      <c r="F121" s="55" t="str">
        <f>""</f>
        <v/>
      </c>
    </row>
    <row r="122" spans="1:6" hidden="1" x14ac:dyDescent="0.3">
      <c r="A122" s="351" t="str">
        <f>Lists!$C$60&amp;"_"&amp;B28</f>
        <v>Equipment Category_20</v>
      </c>
      <c r="D122" s="55" t="str">
        <f>""</f>
        <v/>
      </c>
      <c r="E122" s="55" t="str">
        <f>""</f>
        <v/>
      </c>
      <c r="F122" s="55" t="str">
        <f>""</f>
        <v/>
      </c>
    </row>
    <row r="123" spans="1:6" hidden="1" x14ac:dyDescent="0.3">
      <c r="A123" s="351" t="str">
        <f>Lists!$C$60&amp;"_"&amp;B29</f>
        <v>Equipment Category_21</v>
      </c>
      <c r="D123" s="55" t="str">
        <f>""</f>
        <v/>
      </c>
      <c r="E123" s="55" t="str">
        <f>""</f>
        <v/>
      </c>
      <c r="F123" s="55" t="str">
        <f>""</f>
        <v/>
      </c>
    </row>
    <row r="124" spans="1:6" hidden="1" x14ac:dyDescent="0.3">
      <c r="A124" s="351" t="str">
        <f>Lists!$C$60&amp;"_"&amp;B30</f>
        <v>Equipment Category_22</v>
      </c>
      <c r="D124" s="55" t="str">
        <f>""</f>
        <v/>
      </c>
      <c r="E124" s="55" t="str">
        <f>""</f>
        <v/>
      </c>
      <c r="F124" s="55" t="str">
        <f>""</f>
        <v/>
      </c>
    </row>
    <row r="125" spans="1:6" hidden="1" x14ac:dyDescent="0.3">
      <c r="A125" s="351" t="str">
        <f>Lists!$C$60&amp;"_"&amp;B31</f>
        <v>Equipment Category_23</v>
      </c>
      <c r="D125" s="55" t="str">
        <f>""</f>
        <v/>
      </c>
      <c r="E125" s="55" t="str">
        <f>""</f>
        <v/>
      </c>
      <c r="F125" s="55" t="str">
        <f>""</f>
        <v/>
      </c>
    </row>
    <row r="126" spans="1:6" hidden="1" x14ac:dyDescent="0.3">
      <c r="A126" s="351" t="str">
        <f>Lists!$C$60&amp;"_"&amp;B32</f>
        <v>Equipment Category_24</v>
      </c>
      <c r="D126" s="55" t="str">
        <f>""</f>
        <v/>
      </c>
      <c r="E126" s="55" t="str">
        <f>""</f>
        <v/>
      </c>
      <c r="F126" s="55" t="str">
        <f>""</f>
        <v/>
      </c>
    </row>
    <row r="127" spans="1:6" hidden="1" x14ac:dyDescent="0.3">
      <c r="A127" s="144"/>
    </row>
    <row r="128" spans="1:6" hidden="1" x14ac:dyDescent="0.3">
      <c r="A128" s="144"/>
    </row>
    <row r="129" spans="1:6" hidden="1" x14ac:dyDescent="0.3">
      <c r="A129" s="351" t="str">
        <f>Lists!$C$61&amp;"_"&amp;B9</f>
        <v>Greenhouse Gas Type_1</v>
      </c>
      <c r="D129" t="s">
        <v>386</v>
      </c>
    </row>
    <row r="130" spans="1:6" ht="43.2" hidden="1" x14ac:dyDescent="0.3">
      <c r="A130" s="351" t="str">
        <f>Lists!$C$61&amp;"_"&amp;B10</f>
        <v>Greenhouse Gas Type_2</v>
      </c>
      <c r="D130" s="36" t="s">
        <v>509</v>
      </c>
      <c r="E130" s="36" t="s">
        <v>506</v>
      </c>
      <c r="F130" s="36" t="s">
        <v>507</v>
      </c>
    </row>
    <row r="131" spans="1:6" hidden="1" x14ac:dyDescent="0.3">
      <c r="A131" s="351" t="str">
        <f>Lists!$C$61&amp;"_"&amp;B11</f>
        <v>Greenhouse Gas Type_3</v>
      </c>
      <c r="D131" s="59" t="s">
        <v>322</v>
      </c>
      <c r="E131" s="60">
        <f>SUM(E132:E152)</f>
        <v>0</v>
      </c>
      <c r="F131" s="61" t="e">
        <f>E131/E$131</f>
        <v>#DIV/0!</v>
      </c>
    </row>
    <row r="132" spans="1:6" hidden="1" x14ac:dyDescent="0.3">
      <c r="A132" s="351" t="str">
        <f>Lists!$C$61&amp;"_"&amp;B12</f>
        <v>Greenhouse Gas Type_4</v>
      </c>
      <c r="B132" s="66">
        <v>1</v>
      </c>
      <c r="D132" s="73" t="str">
        <f>IF(COUNTIF(Lists!$E$67:$R$67,$B132)=0,"",HLOOKUP($B132,Lists!$E$67:$R$69,ROWS(Lists!$E$67:$E$69),0))</f>
        <v/>
      </c>
      <c r="E132" s="58" t="str">
        <f>IF($D132="","",SUMIF('Emissions Database'!$BE$3:$BR$3,$D132,'Emissions Database'!$BE$204:$BR$204))</f>
        <v/>
      </c>
      <c r="F132" s="62" t="str">
        <f>IF(D132="","",E132/E$131)</f>
        <v/>
      </c>
    </row>
    <row r="133" spans="1:6" hidden="1" x14ac:dyDescent="0.3">
      <c r="A133" s="351" t="str">
        <f>Lists!$C$61&amp;"_"&amp;B13</f>
        <v>Greenhouse Gas Type_5</v>
      </c>
      <c r="B133" s="66">
        <v>2</v>
      </c>
      <c r="D133" s="73" t="str">
        <f>IF(COUNTIF(Lists!$E$67:$R$67,$B133)=0,"",HLOOKUP($B133,Lists!$E$67:$R$69,ROWS(Lists!$E$67:$E$69),0))</f>
        <v/>
      </c>
      <c r="E133" s="58" t="str">
        <f>IF($D133="","",SUMIF('Emissions Database'!$BE$3:$BR$3,$D133,'Emissions Database'!$BE$204:$BR$204))</f>
        <v/>
      </c>
      <c r="F133" s="62" t="str">
        <f t="shared" ref="F133:F144" si="8">IF(D133="","",E133/$E$131)</f>
        <v/>
      </c>
    </row>
    <row r="134" spans="1:6" hidden="1" x14ac:dyDescent="0.3">
      <c r="A134" s="351" t="str">
        <f>Lists!$C$61&amp;"_"&amp;B14</f>
        <v>Greenhouse Gas Type_6</v>
      </c>
      <c r="B134" s="66">
        <v>3</v>
      </c>
      <c r="D134" s="73" t="str">
        <f>IF(COUNTIF(Lists!$E$67:$R$67,$B134)=0,"",HLOOKUP($B134,Lists!$E$67:$R$69,ROWS(Lists!$E$67:$E$69),0))</f>
        <v/>
      </c>
      <c r="E134" s="58" t="str">
        <f>IF($D134="","",SUMIF('Emissions Database'!$BE$3:$BR$3,$D134,'Emissions Database'!$BE$204:$BR$204))</f>
        <v/>
      </c>
      <c r="F134" s="62" t="str">
        <f t="shared" si="8"/>
        <v/>
      </c>
    </row>
    <row r="135" spans="1:6" hidden="1" x14ac:dyDescent="0.3">
      <c r="A135" s="351" t="str">
        <f>Lists!$C$61&amp;"_"&amp;B15</f>
        <v>Greenhouse Gas Type_7</v>
      </c>
      <c r="B135" s="66">
        <v>4</v>
      </c>
      <c r="D135" s="73" t="str">
        <f>IF(COUNTIF(Lists!$E$67:$R$67,$B135)=0,"",HLOOKUP($B135,Lists!$E$67:$R$69,ROWS(Lists!$E$67:$E$69),0))</f>
        <v/>
      </c>
      <c r="E135" s="58" t="str">
        <f>IF($D135="","",SUMIF('Emissions Database'!$BE$3:$BR$3,$D135,'Emissions Database'!$BE$204:$BR$204))</f>
        <v/>
      </c>
      <c r="F135" s="62" t="str">
        <f t="shared" si="8"/>
        <v/>
      </c>
    </row>
    <row r="136" spans="1:6" hidden="1" x14ac:dyDescent="0.3">
      <c r="A136" s="351" t="str">
        <f>Lists!$C$61&amp;"_"&amp;B16</f>
        <v>Greenhouse Gas Type_8</v>
      </c>
      <c r="B136" s="66">
        <v>5</v>
      </c>
      <c r="D136" s="73" t="str">
        <f>IF(COUNTIF(Lists!$E$67:$R$67,$B136)=0,"",HLOOKUP($B136,Lists!$E$67:$R$69,ROWS(Lists!$E$67:$E$69),0))</f>
        <v/>
      </c>
      <c r="E136" s="58" t="str">
        <f>IF($D136="","",SUMIF('Emissions Database'!$BE$3:$BR$3,$D136,'Emissions Database'!$BE$204:$BR$204))</f>
        <v/>
      </c>
      <c r="F136" s="62" t="str">
        <f t="shared" si="8"/>
        <v/>
      </c>
    </row>
    <row r="137" spans="1:6" hidden="1" x14ac:dyDescent="0.3">
      <c r="A137" s="351" t="str">
        <f>Lists!$C$61&amp;"_"&amp;B17</f>
        <v>Greenhouse Gas Type_9</v>
      </c>
      <c r="B137" s="66">
        <v>6</v>
      </c>
      <c r="D137" s="73" t="str">
        <f>IF(COUNTIF(Lists!$E$67:$R$67,$B137)=0,"",HLOOKUP($B137,Lists!$E$67:$R$69,ROWS(Lists!$E$67:$E$69),0))</f>
        <v/>
      </c>
      <c r="E137" s="58" t="str">
        <f>IF($D137="","",SUMIF('Emissions Database'!$BE$3:$BR$3,$D137,'Emissions Database'!$BE$204:$BR$204))</f>
        <v/>
      </c>
      <c r="F137" s="62" t="str">
        <f t="shared" si="8"/>
        <v/>
      </c>
    </row>
    <row r="138" spans="1:6" hidden="1" x14ac:dyDescent="0.3">
      <c r="A138" s="351" t="str">
        <f>Lists!$C$61&amp;"_"&amp;B18</f>
        <v>Greenhouse Gas Type_10</v>
      </c>
      <c r="B138" s="66">
        <v>7</v>
      </c>
      <c r="D138" s="73" t="str">
        <f>IF(COUNTIF(Lists!$E$67:$R$67,$B138)=0,"",HLOOKUP($B138,Lists!$E$67:$R$69,ROWS(Lists!$E$67:$E$69),0))</f>
        <v/>
      </c>
      <c r="E138" s="58" t="str">
        <f>IF($D138="","",SUMIF('Emissions Database'!$BE$3:$BR$3,$D138,'Emissions Database'!$BE$204:$BR$204))</f>
        <v/>
      </c>
      <c r="F138" s="62" t="str">
        <f t="shared" si="8"/>
        <v/>
      </c>
    </row>
    <row r="139" spans="1:6" hidden="1" x14ac:dyDescent="0.3">
      <c r="A139" s="351" t="str">
        <f>Lists!$C$61&amp;"_"&amp;B19</f>
        <v>Greenhouse Gas Type_11</v>
      </c>
      <c r="B139" s="66">
        <v>8</v>
      </c>
      <c r="D139" s="73" t="str">
        <f>IF(COUNTIF(Lists!$E$67:$R$67,$B139)=0,"",HLOOKUP($B139,Lists!$E$67:$R$69,ROWS(Lists!$E$67:$E$69),0))</f>
        <v/>
      </c>
      <c r="E139" s="58" t="str">
        <f>IF($D139="","",SUMIF('Emissions Database'!$BE$3:$BR$3,$D139,'Emissions Database'!$BE$204:$BR$204))</f>
        <v/>
      </c>
      <c r="F139" s="62" t="str">
        <f t="shared" si="8"/>
        <v/>
      </c>
    </row>
    <row r="140" spans="1:6" hidden="1" x14ac:dyDescent="0.3">
      <c r="A140" s="351" t="str">
        <f>Lists!$C$61&amp;"_"&amp;B20</f>
        <v>Greenhouse Gas Type_12</v>
      </c>
      <c r="B140" s="66">
        <v>9</v>
      </c>
      <c r="D140" s="73" t="str">
        <f>IF(COUNTIF(Lists!$E$67:$R$67,$B140)=0,"",HLOOKUP($B140,Lists!$E$67:$R$69,ROWS(Lists!$E$67:$E$69),0))</f>
        <v/>
      </c>
      <c r="E140" s="58" t="str">
        <f>IF($D140="","",SUMIF('Emissions Database'!$BE$3:$BR$3,$D140,'Emissions Database'!$BE$204:$BR$204))</f>
        <v/>
      </c>
      <c r="F140" s="62" t="str">
        <f t="shared" si="8"/>
        <v/>
      </c>
    </row>
    <row r="141" spans="1:6" hidden="1" x14ac:dyDescent="0.3">
      <c r="A141" s="351" t="str">
        <f>Lists!$C$61&amp;"_"&amp;B21</f>
        <v>Greenhouse Gas Type_13</v>
      </c>
      <c r="B141" s="66">
        <v>10</v>
      </c>
      <c r="D141" s="73" t="str">
        <f>IF(COUNTIF(Lists!$E$67:$R$67,$B141)=0,"",HLOOKUP($B141,Lists!$E$67:$R$69,ROWS(Lists!$E$67:$E$69),0))</f>
        <v/>
      </c>
      <c r="E141" s="58" t="str">
        <f>IF($D141="","",SUMIF('Emissions Database'!$BE$3:$BR$3,$D141,'Emissions Database'!$BE$204:$BR$204))</f>
        <v/>
      </c>
      <c r="F141" s="62" t="str">
        <f t="shared" si="8"/>
        <v/>
      </c>
    </row>
    <row r="142" spans="1:6" hidden="1" x14ac:dyDescent="0.3">
      <c r="A142" s="351" t="str">
        <f>Lists!$C$61&amp;"_"&amp;B22</f>
        <v>Greenhouse Gas Type_14</v>
      </c>
      <c r="B142" s="66">
        <v>11</v>
      </c>
      <c r="D142" s="73" t="str">
        <f>IF(COUNTIF(Lists!$E$67:$R$67,$B142)=0,"",HLOOKUP($B142,Lists!$E$67:$R$69,ROWS(Lists!$E$67:$E$69),0))</f>
        <v/>
      </c>
      <c r="E142" s="58" t="str">
        <f>IF($D142="","",SUMIF('Emissions Database'!$BE$3:$BR$3,$D142,'Emissions Database'!$BE$204:$BR$204))</f>
        <v/>
      </c>
      <c r="F142" s="62" t="str">
        <f t="shared" si="8"/>
        <v/>
      </c>
    </row>
    <row r="143" spans="1:6" hidden="1" x14ac:dyDescent="0.3">
      <c r="A143" s="351" t="str">
        <f>Lists!$C$61&amp;"_"&amp;B23</f>
        <v>Greenhouse Gas Type_15</v>
      </c>
      <c r="B143" s="66">
        <v>12</v>
      </c>
      <c r="D143" s="73" t="str">
        <f>IF(COUNTIF(Lists!$E$67:$R$67,$B143)=0,"",HLOOKUP($B143,Lists!$E$67:$R$69,ROWS(Lists!$E$67:$E$69),0))</f>
        <v/>
      </c>
      <c r="E143" s="58" t="str">
        <f>IF($D143="","",SUMIF('Emissions Database'!$BE$3:$BR$3,$D143,'Emissions Database'!$BE$204:$BR$204))</f>
        <v/>
      </c>
      <c r="F143" s="62" t="str">
        <f t="shared" si="8"/>
        <v/>
      </c>
    </row>
    <row r="144" spans="1:6" hidden="1" x14ac:dyDescent="0.3">
      <c r="A144" s="351" t="str">
        <f>Lists!$C$61&amp;"_"&amp;B24</f>
        <v>Greenhouse Gas Type_16</v>
      </c>
      <c r="B144" s="66">
        <v>13</v>
      </c>
      <c r="D144" s="73" t="str">
        <f>IF(COUNTIF(Lists!$E$67:$R$67,$B144)=0,"",HLOOKUP($B144,Lists!$E$67:$R$69,ROWS(Lists!$E$67:$E$69),0))</f>
        <v/>
      </c>
      <c r="E144" s="58" t="str">
        <f>IF($D144="","",SUMIF('Emissions Database'!$BE$3:$BR$3,$D144,'Emissions Database'!$BE$204:$BR$204))</f>
        <v/>
      </c>
      <c r="F144" s="62" t="str">
        <f t="shared" si="8"/>
        <v/>
      </c>
    </row>
    <row r="145" spans="1:6" hidden="1" x14ac:dyDescent="0.3">
      <c r="A145" s="351" t="str">
        <f>Lists!$C$61&amp;"_"&amp;B25</f>
        <v>Greenhouse Gas Type_17</v>
      </c>
      <c r="B145" s="66">
        <v>14</v>
      </c>
      <c r="D145" s="73" t="str">
        <f>IF(COUNTIF(Lists!$E$67:$R$67,$B145)=0,"",HLOOKUP($B145,Lists!$E$67:$R$69,ROWS(Lists!$E$67:$E$69),0))</f>
        <v/>
      </c>
      <c r="E145" s="58" t="str">
        <f>IF($D145="","",SUMIF('Emissions Database'!$BE$3:$BR$3,$D145,'Emissions Database'!$BE$204:$BR$204))</f>
        <v/>
      </c>
      <c r="F145" s="62" t="str">
        <f>IF(D145="","",E145/$E$131)</f>
        <v/>
      </c>
    </row>
    <row r="146" spans="1:6" hidden="1" x14ac:dyDescent="0.3">
      <c r="A146" s="351" t="str">
        <f>Lists!$C$61&amp;"_"&amp;B26</f>
        <v>Greenhouse Gas Type_18</v>
      </c>
      <c r="D146" s="55" t="str">
        <f>""</f>
        <v/>
      </c>
      <c r="E146" s="55" t="str">
        <f>""</f>
        <v/>
      </c>
      <c r="F146" s="55" t="str">
        <f>""</f>
        <v/>
      </c>
    </row>
    <row r="147" spans="1:6" hidden="1" x14ac:dyDescent="0.3">
      <c r="A147" s="351" t="str">
        <f>Lists!$C$61&amp;"_"&amp;B27</f>
        <v>Greenhouse Gas Type_19</v>
      </c>
      <c r="D147" s="55" t="str">
        <f>""</f>
        <v/>
      </c>
      <c r="E147" s="55" t="str">
        <f>""</f>
        <v/>
      </c>
      <c r="F147" s="55" t="str">
        <f>""</f>
        <v/>
      </c>
    </row>
    <row r="148" spans="1:6" hidden="1" x14ac:dyDescent="0.3">
      <c r="A148" s="351" t="str">
        <f>Lists!$C$61&amp;"_"&amp;B28</f>
        <v>Greenhouse Gas Type_20</v>
      </c>
      <c r="D148" s="55" t="str">
        <f>""</f>
        <v/>
      </c>
      <c r="E148" s="55" t="str">
        <f>""</f>
        <v/>
      </c>
      <c r="F148" s="55" t="str">
        <f>""</f>
        <v/>
      </c>
    </row>
    <row r="149" spans="1:6" hidden="1" x14ac:dyDescent="0.3">
      <c r="A149" s="351" t="str">
        <f>Lists!$C$61&amp;"_"&amp;B29</f>
        <v>Greenhouse Gas Type_21</v>
      </c>
      <c r="D149" s="55" t="str">
        <f>""</f>
        <v/>
      </c>
      <c r="E149" s="55" t="str">
        <f>""</f>
        <v/>
      </c>
      <c r="F149" s="55" t="str">
        <f>""</f>
        <v/>
      </c>
    </row>
    <row r="150" spans="1:6" hidden="1" x14ac:dyDescent="0.3">
      <c r="A150" s="351" t="str">
        <f>Lists!$C$61&amp;"_"&amp;B30</f>
        <v>Greenhouse Gas Type_22</v>
      </c>
      <c r="D150" s="55" t="str">
        <f>""</f>
        <v/>
      </c>
      <c r="E150" s="55" t="str">
        <f>""</f>
        <v/>
      </c>
      <c r="F150" s="55" t="str">
        <f>""</f>
        <v/>
      </c>
    </row>
    <row r="151" spans="1:6" hidden="1" x14ac:dyDescent="0.3">
      <c r="A151" s="351" t="str">
        <f>Lists!$C$61&amp;"_"&amp;B31</f>
        <v>Greenhouse Gas Type_23</v>
      </c>
      <c r="D151" s="55" t="str">
        <f>""</f>
        <v/>
      </c>
      <c r="E151" s="55" t="str">
        <f>""</f>
        <v/>
      </c>
      <c r="F151" s="55" t="str">
        <f>""</f>
        <v/>
      </c>
    </row>
    <row r="152" spans="1:6" hidden="1" x14ac:dyDescent="0.3">
      <c r="A152" s="351" t="str">
        <f>Lists!$C$61&amp;"_"&amp;B32</f>
        <v>Greenhouse Gas Type_24</v>
      </c>
      <c r="D152" s="55" t="str">
        <f>""</f>
        <v/>
      </c>
      <c r="E152" s="55" t="str">
        <f>""</f>
        <v/>
      </c>
      <c r="F152" s="55" t="str">
        <f>""</f>
        <v/>
      </c>
    </row>
    <row r="153" spans="1:6" hidden="1" x14ac:dyDescent="0.3"/>
    <row r="154" spans="1:6" hidden="1" x14ac:dyDescent="0.3"/>
    <row r="155" spans="1:6" hidden="1" x14ac:dyDescent="0.3">
      <c r="A155" s="351" t="str">
        <f>Lists!$C$63&amp;"_"&amp;B9</f>
        <v>Calculation Approach_1</v>
      </c>
      <c r="D155" t="s">
        <v>387</v>
      </c>
    </row>
    <row r="156" spans="1:6" ht="43.2" hidden="1" x14ac:dyDescent="0.3">
      <c r="A156" s="351" t="str">
        <f>Lists!$C$63&amp;"_"&amp;B10</f>
        <v>Calculation Approach_2</v>
      </c>
      <c r="D156" s="36" t="s">
        <v>510</v>
      </c>
      <c r="E156" s="36" t="s">
        <v>506</v>
      </c>
      <c r="F156" s="36" t="s">
        <v>507</v>
      </c>
    </row>
    <row r="157" spans="1:6" hidden="1" x14ac:dyDescent="0.3">
      <c r="A157" s="351" t="str">
        <f>Lists!$C$63&amp;"_"&amp;B11</f>
        <v>Calculation Approach_3</v>
      </c>
      <c r="D157" s="59" t="s">
        <v>322</v>
      </c>
      <c r="E157" s="60">
        <f>SUM(E158:E178)</f>
        <v>0</v>
      </c>
      <c r="F157" s="61" t="e">
        <f>E157/E$157</f>
        <v>#DIV/0!</v>
      </c>
    </row>
    <row r="158" spans="1:6" hidden="1" x14ac:dyDescent="0.3">
      <c r="A158" s="351" t="str">
        <f>Lists!$C$63&amp;"_"&amp;B12</f>
        <v>Calculation Approach_4</v>
      </c>
      <c r="B158" s="66">
        <v>1</v>
      </c>
      <c r="D158" s="34" t="str">
        <f>IF(COUNTIF('Emissions Database'!$A$206:$A$210,B158)=0,"",VLOOKUP(B158,'Emissions Database'!$A$206:$B$210,2,0))</f>
        <v/>
      </c>
      <c r="E158" s="58" t="str">
        <f>IF(D158="","",SUMIF('Emissions Database'!$B$4:$B$203,$D158,'Emissions Database'!$BS$4:$BS$203))</f>
        <v/>
      </c>
      <c r="F158" s="62" t="str">
        <f>IF(D158="","",E158/E$157)</f>
        <v/>
      </c>
    </row>
    <row r="159" spans="1:6" hidden="1" x14ac:dyDescent="0.3">
      <c r="A159" s="351" t="str">
        <f>Lists!$C$63&amp;"_"&amp;B13</f>
        <v>Calculation Approach_5</v>
      </c>
      <c r="B159" s="66">
        <v>2</v>
      </c>
      <c r="D159" s="34" t="str">
        <f>IF(COUNTIF('Emissions Database'!$A$206:$A$210,B159)=0,"",VLOOKUP(B159,'Emissions Database'!$A$206:$B$210,2,0))</f>
        <v/>
      </c>
      <c r="E159" s="58" t="str">
        <f>IF(D159="","",SUMIF('Emissions Database'!$B$4:$B$203,$D159,'Emissions Database'!$BS$4:$BS$203))</f>
        <v/>
      </c>
      <c r="F159" s="62" t="str">
        <f>IF(D159="","",E159/E$157)</f>
        <v/>
      </c>
    </row>
    <row r="160" spans="1:6" hidden="1" x14ac:dyDescent="0.3">
      <c r="A160" s="351" t="str">
        <f>Lists!$C$63&amp;"_"&amp;B14</f>
        <v>Calculation Approach_6</v>
      </c>
      <c r="B160" s="66">
        <v>3</v>
      </c>
      <c r="D160" s="34" t="str">
        <f>IF(COUNTIF('Emissions Database'!$A$206:$A$210,B160)=0,"",VLOOKUP(B160,'Emissions Database'!$A$206:$B$210,2,0))</f>
        <v/>
      </c>
      <c r="E160" s="58" t="str">
        <f>IF(D160="","",SUMIF('Emissions Database'!$B$4:$B$203,$D160,'Emissions Database'!$BS$4:$BS$203))</f>
        <v/>
      </c>
      <c r="F160" s="62" t="str">
        <f>IF(D160="","",E160/E$157)</f>
        <v/>
      </c>
    </row>
    <row r="161" spans="1:6" hidden="1" x14ac:dyDescent="0.3">
      <c r="A161" s="351" t="str">
        <f>Lists!$C$63&amp;"_"&amp;B15</f>
        <v>Calculation Approach_7</v>
      </c>
      <c r="B161" s="66">
        <v>4</v>
      </c>
      <c r="D161" s="34" t="str">
        <f>IF(COUNTIF('Emissions Database'!$A$206:$A$210,B161)=0,"",VLOOKUP(B161,'Emissions Database'!$A$206:$B$210,2,0))</f>
        <v/>
      </c>
      <c r="E161" s="58" t="str">
        <f>IF(D161="","",SUMIF('Emissions Database'!$B$4:$B$203,$D161,'Emissions Database'!$BS$4:$BS$203))</f>
        <v/>
      </c>
      <c r="F161" s="62" t="str">
        <f>IF(D161="","",E161/E$157)</f>
        <v/>
      </c>
    </row>
    <row r="162" spans="1:6" hidden="1" x14ac:dyDescent="0.3">
      <c r="A162" s="351" t="str">
        <f>Lists!$C$63&amp;"_"&amp;B16</f>
        <v>Calculation Approach_8</v>
      </c>
      <c r="B162" s="66">
        <v>5</v>
      </c>
      <c r="D162" s="34" t="str">
        <f>IF(COUNTIF('Emissions Database'!$A$206:$A$210,B162)=0,"",VLOOKUP(B162,'Emissions Database'!$A$206:$B$210,2,0))</f>
        <v/>
      </c>
      <c r="E162" s="58" t="str">
        <f>IF(D162="","",SUMIF('Emissions Database'!$B$4:$B$203,$D162,'Emissions Database'!$BS$4:$BS$203))</f>
        <v/>
      </c>
      <c r="F162" s="62" t="str">
        <f>IF(D162="","",E162/E$157)</f>
        <v/>
      </c>
    </row>
    <row r="163" spans="1:6" hidden="1" x14ac:dyDescent="0.3">
      <c r="A163" s="351" t="str">
        <f>Lists!$C$63&amp;"_"&amp;B17</f>
        <v>Calculation Approach_9</v>
      </c>
      <c r="D163" s="55" t="str">
        <f>""</f>
        <v/>
      </c>
      <c r="E163" s="55" t="str">
        <f>""</f>
        <v/>
      </c>
      <c r="F163" s="55" t="str">
        <f>""</f>
        <v/>
      </c>
    </row>
    <row r="164" spans="1:6" hidden="1" x14ac:dyDescent="0.3">
      <c r="A164" s="351" t="str">
        <f>Lists!$C$63&amp;"_"&amp;B18</f>
        <v>Calculation Approach_10</v>
      </c>
      <c r="D164" s="55" t="str">
        <f>""</f>
        <v/>
      </c>
      <c r="E164" s="55" t="str">
        <f>""</f>
        <v/>
      </c>
      <c r="F164" s="55" t="str">
        <f>""</f>
        <v/>
      </c>
    </row>
    <row r="165" spans="1:6" hidden="1" x14ac:dyDescent="0.3">
      <c r="A165" s="351" t="str">
        <f>Lists!$C$63&amp;"_"&amp;B19</f>
        <v>Calculation Approach_11</v>
      </c>
      <c r="D165" s="55" t="str">
        <f>""</f>
        <v/>
      </c>
      <c r="E165" s="55" t="str">
        <f>""</f>
        <v/>
      </c>
      <c r="F165" s="55" t="str">
        <f>""</f>
        <v/>
      </c>
    </row>
    <row r="166" spans="1:6" hidden="1" x14ac:dyDescent="0.3">
      <c r="A166" s="351" t="str">
        <f>Lists!$C$63&amp;"_"&amp;B20</f>
        <v>Calculation Approach_12</v>
      </c>
      <c r="D166" s="55" t="str">
        <f>""</f>
        <v/>
      </c>
      <c r="E166" s="55" t="str">
        <f>""</f>
        <v/>
      </c>
      <c r="F166" s="55" t="str">
        <f>""</f>
        <v/>
      </c>
    </row>
    <row r="167" spans="1:6" hidden="1" x14ac:dyDescent="0.3">
      <c r="A167" s="351" t="str">
        <f>Lists!$C$63&amp;"_"&amp;B21</f>
        <v>Calculation Approach_13</v>
      </c>
      <c r="D167" s="55" t="str">
        <f>""</f>
        <v/>
      </c>
      <c r="E167" s="55" t="str">
        <f>""</f>
        <v/>
      </c>
      <c r="F167" s="55" t="str">
        <f>""</f>
        <v/>
      </c>
    </row>
    <row r="168" spans="1:6" hidden="1" x14ac:dyDescent="0.3">
      <c r="A168" s="351" t="str">
        <f>Lists!$C$63&amp;"_"&amp;B22</f>
        <v>Calculation Approach_14</v>
      </c>
      <c r="D168" s="55" t="str">
        <f>""</f>
        <v/>
      </c>
      <c r="E168" s="55" t="str">
        <f>""</f>
        <v/>
      </c>
      <c r="F168" s="55" t="str">
        <f>""</f>
        <v/>
      </c>
    </row>
    <row r="169" spans="1:6" hidden="1" x14ac:dyDescent="0.3">
      <c r="A169" s="351" t="str">
        <f>Lists!$C$63&amp;"_"&amp;B23</f>
        <v>Calculation Approach_15</v>
      </c>
      <c r="D169" s="55" t="str">
        <f>""</f>
        <v/>
      </c>
      <c r="E169" s="55" t="str">
        <f>""</f>
        <v/>
      </c>
      <c r="F169" s="55" t="str">
        <f>""</f>
        <v/>
      </c>
    </row>
    <row r="170" spans="1:6" hidden="1" x14ac:dyDescent="0.3">
      <c r="A170" s="351" t="str">
        <f>Lists!$C$63&amp;"_"&amp;B24</f>
        <v>Calculation Approach_16</v>
      </c>
      <c r="D170" s="55" t="str">
        <f>""</f>
        <v/>
      </c>
      <c r="E170" s="55" t="str">
        <f>""</f>
        <v/>
      </c>
      <c r="F170" s="55" t="str">
        <f>""</f>
        <v/>
      </c>
    </row>
    <row r="171" spans="1:6" hidden="1" x14ac:dyDescent="0.3">
      <c r="A171" s="351" t="str">
        <f>Lists!$C$63&amp;"_"&amp;B25</f>
        <v>Calculation Approach_17</v>
      </c>
      <c r="D171" s="55" t="str">
        <f>""</f>
        <v/>
      </c>
      <c r="E171" s="55" t="str">
        <f>""</f>
        <v/>
      </c>
      <c r="F171" s="55" t="str">
        <f>""</f>
        <v/>
      </c>
    </row>
    <row r="172" spans="1:6" hidden="1" x14ac:dyDescent="0.3">
      <c r="A172" s="351" t="str">
        <f>Lists!$C$63&amp;"_"&amp;B26</f>
        <v>Calculation Approach_18</v>
      </c>
      <c r="D172" s="55" t="str">
        <f>""</f>
        <v/>
      </c>
      <c r="E172" s="55" t="str">
        <f>""</f>
        <v/>
      </c>
      <c r="F172" s="55" t="str">
        <f>""</f>
        <v/>
      </c>
    </row>
    <row r="173" spans="1:6" hidden="1" x14ac:dyDescent="0.3">
      <c r="A173" s="351" t="str">
        <f>Lists!$C$63&amp;"_"&amp;B27</f>
        <v>Calculation Approach_19</v>
      </c>
      <c r="D173" s="55" t="str">
        <f>""</f>
        <v/>
      </c>
      <c r="E173" s="55" t="str">
        <f>""</f>
        <v/>
      </c>
      <c r="F173" s="55" t="str">
        <f>""</f>
        <v/>
      </c>
    </row>
    <row r="174" spans="1:6" hidden="1" x14ac:dyDescent="0.3">
      <c r="A174" s="351" t="str">
        <f>Lists!$C$63&amp;"_"&amp;B28</f>
        <v>Calculation Approach_20</v>
      </c>
      <c r="D174" s="55" t="str">
        <f>""</f>
        <v/>
      </c>
      <c r="E174" s="55" t="str">
        <f>""</f>
        <v/>
      </c>
      <c r="F174" s="55" t="str">
        <f>""</f>
        <v/>
      </c>
    </row>
    <row r="175" spans="1:6" hidden="1" x14ac:dyDescent="0.3">
      <c r="A175" s="351" t="str">
        <f>Lists!$C$63&amp;"_"&amp;B29</f>
        <v>Calculation Approach_21</v>
      </c>
      <c r="D175" s="55" t="str">
        <f>""</f>
        <v/>
      </c>
      <c r="E175" s="55" t="str">
        <f>""</f>
        <v/>
      </c>
      <c r="F175" s="55" t="str">
        <f>""</f>
        <v/>
      </c>
    </row>
    <row r="176" spans="1:6" hidden="1" x14ac:dyDescent="0.3">
      <c r="A176" s="351" t="str">
        <f>Lists!$C$63&amp;"_"&amp;B30</f>
        <v>Calculation Approach_22</v>
      </c>
      <c r="D176" s="55" t="str">
        <f>""</f>
        <v/>
      </c>
      <c r="E176" s="55" t="str">
        <f>""</f>
        <v/>
      </c>
      <c r="F176" s="55" t="str">
        <f>""</f>
        <v/>
      </c>
    </row>
    <row r="177" spans="1:6" hidden="1" x14ac:dyDescent="0.3">
      <c r="A177" s="351" t="str">
        <f>Lists!$C$63&amp;"_"&amp;B31</f>
        <v>Calculation Approach_23</v>
      </c>
      <c r="D177" s="55" t="str">
        <f>""</f>
        <v/>
      </c>
      <c r="E177" s="55" t="str">
        <f>""</f>
        <v/>
      </c>
      <c r="F177" s="55" t="str">
        <f>""</f>
        <v/>
      </c>
    </row>
    <row r="178" spans="1:6" hidden="1" x14ac:dyDescent="0.3">
      <c r="A178" s="351" t="str">
        <f>Lists!$C$63&amp;"_"&amp;B32</f>
        <v>Calculation Approach_24</v>
      </c>
      <c r="D178" s="55" t="str">
        <f>""</f>
        <v/>
      </c>
      <c r="E178" s="55" t="str">
        <f>""</f>
        <v/>
      </c>
      <c r="F178" s="55" t="str">
        <f>""</f>
        <v/>
      </c>
    </row>
    <row r="179" spans="1:6" hidden="1" x14ac:dyDescent="0.3"/>
    <row r="180" spans="1:6" hidden="1" x14ac:dyDescent="0.3"/>
    <row r="181" spans="1:6" hidden="1" x14ac:dyDescent="0.3">
      <c r="A181" s="351" t="str">
        <f>Lists!$C$62&amp;"_"&amp;B9</f>
        <v>Equipment Use Stage_1</v>
      </c>
      <c r="D181" t="s">
        <v>392</v>
      </c>
    </row>
    <row r="182" spans="1:6" ht="43.2" hidden="1" x14ac:dyDescent="0.3">
      <c r="A182" s="351" t="str">
        <f>Lists!$C$62&amp;"_"&amp;B10</f>
        <v>Equipment Use Stage_2</v>
      </c>
      <c r="D182" s="36" t="s">
        <v>399</v>
      </c>
      <c r="E182" s="36" t="s">
        <v>321</v>
      </c>
      <c r="F182" s="36" t="s">
        <v>323</v>
      </c>
    </row>
    <row r="183" spans="1:6" hidden="1" x14ac:dyDescent="0.3">
      <c r="A183" s="351" t="str">
        <f>Lists!$C$62&amp;"_"&amp;B11</f>
        <v>Equipment Use Stage_3</v>
      </c>
      <c r="D183" s="59" t="s">
        <v>322</v>
      </c>
      <c r="E183" s="60">
        <f>'Emissions Database'!$BS$204</f>
        <v>0</v>
      </c>
      <c r="F183" s="61" t="e">
        <f>E183/E$183</f>
        <v>#DIV/0!</v>
      </c>
    </row>
    <row r="184" spans="1:6" hidden="1" x14ac:dyDescent="0.3">
      <c r="A184" s="351" t="str">
        <f>Lists!$C$62&amp;"_"&amp;B12</f>
        <v>Equipment Use Stage_4</v>
      </c>
      <c r="D184" s="34" t="s">
        <v>324</v>
      </c>
      <c r="E184" s="58">
        <f>E183-SUM(E185:E187)</f>
        <v>0</v>
      </c>
      <c r="F184" s="62" t="e">
        <f>IF(D184="","",E184/E$183)</f>
        <v>#DIV/0!</v>
      </c>
    </row>
    <row r="185" spans="1:6" hidden="1" x14ac:dyDescent="0.3">
      <c r="A185" s="351" t="str">
        <f>Lists!$C$62&amp;"_"&amp;B13</f>
        <v>Equipment Use Stage_5</v>
      </c>
      <c r="D185" s="34" t="s">
        <v>388</v>
      </c>
      <c r="E185" s="58">
        <f>'Emissions Database'!Z204</f>
        <v>0</v>
      </c>
      <c r="F185" s="62" t="e">
        <f>IF(D185="","",E185/E$183)</f>
        <v>#DIV/0!</v>
      </c>
    </row>
    <row r="186" spans="1:6" hidden="1" x14ac:dyDescent="0.3">
      <c r="A186" s="351" t="str">
        <f>Lists!$C$62&amp;"_"&amp;B14</f>
        <v>Equipment Use Stage_6</v>
      </c>
      <c r="D186" s="34" t="s">
        <v>389</v>
      </c>
      <c r="E186" s="58">
        <f>'Emissions Database'!AO204</f>
        <v>0</v>
      </c>
      <c r="F186" s="62" t="e">
        <f>IF(D186="","",E186/E$183)</f>
        <v>#DIV/0!</v>
      </c>
    </row>
    <row r="187" spans="1:6" hidden="1" x14ac:dyDescent="0.3">
      <c r="A187" s="351" t="str">
        <f>Lists!$C$62&amp;"_"&amp;B15</f>
        <v>Equipment Use Stage_7</v>
      </c>
      <c r="D187" s="34" t="s">
        <v>390</v>
      </c>
      <c r="E187" s="58">
        <f>'Emissions Database'!BD204</f>
        <v>0</v>
      </c>
      <c r="F187" s="62" t="e">
        <f>IF(D187="","",E187/E$183)</f>
        <v>#DIV/0!</v>
      </c>
    </row>
    <row r="188" spans="1:6" hidden="1" x14ac:dyDescent="0.3">
      <c r="A188" s="351" t="str">
        <f>Lists!$C$62&amp;"_"&amp;B16</f>
        <v>Equipment Use Stage_8</v>
      </c>
      <c r="D188" s="55" t="str">
        <f>""</f>
        <v/>
      </c>
      <c r="E188" s="55" t="str">
        <f>""</f>
        <v/>
      </c>
      <c r="F188" s="55" t="str">
        <f>""</f>
        <v/>
      </c>
    </row>
    <row r="189" spans="1:6" hidden="1" x14ac:dyDescent="0.3">
      <c r="A189" s="351" t="str">
        <f>Lists!$C$62&amp;"_"&amp;B17</f>
        <v>Equipment Use Stage_9</v>
      </c>
      <c r="D189" s="55" t="str">
        <f>""</f>
        <v/>
      </c>
      <c r="E189" s="55" t="str">
        <f>""</f>
        <v/>
      </c>
      <c r="F189" s="55" t="str">
        <f>""</f>
        <v/>
      </c>
    </row>
    <row r="190" spans="1:6" hidden="1" x14ac:dyDescent="0.3">
      <c r="A190" s="351" t="str">
        <f>Lists!$C$62&amp;"_"&amp;B18</f>
        <v>Equipment Use Stage_10</v>
      </c>
      <c r="D190" s="55" t="str">
        <f>""</f>
        <v/>
      </c>
      <c r="E190" s="55" t="str">
        <f>""</f>
        <v/>
      </c>
      <c r="F190" s="55" t="str">
        <f>""</f>
        <v/>
      </c>
    </row>
    <row r="191" spans="1:6" hidden="1" x14ac:dyDescent="0.3">
      <c r="A191" s="351" t="str">
        <f>Lists!$C$62&amp;"_"&amp;B19</f>
        <v>Equipment Use Stage_11</v>
      </c>
      <c r="D191" s="55" t="str">
        <f>""</f>
        <v/>
      </c>
      <c r="E191" s="55" t="str">
        <f>""</f>
        <v/>
      </c>
      <c r="F191" s="55" t="str">
        <f>""</f>
        <v/>
      </c>
    </row>
    <row r="192" spans="1:6" hidden="1" x14ac:dyDescent="0.3">
      <c r="A192" s="351" t="str">
        <f>Lists!$C$62&amp;"_"&amp;B20</f>
        <v>Equipment Use Stage_12</v>
      </c>
      <c r="D192" s="55" t="str">
        <f>""</f>
        <v/>
      </c>
      <c r="E192" s="55" t="str">
        <f>""</f>
        <v/>
      </c>
      <c r="F192" s="55" t="str">
        <f>""</f>
        <v/>
      </c>
    </row>
    <row r="193" spans="1:6" hidden="1" x14ac:dyDescent="0.3">
      <c r="A193" s="351" t="str">
        <f>Lists!$C$62&amp;"_"&amp;B21</f>
        <v>Equipment Use Stage_13</v>
      </c>
      <c r="D193" s="55" t="str">
        <f>""</f>
        <v/>
      </c>
      <c r="E193" s="55" t="str">
        <f>""</f>
        <v/>
      </c>
      <c r="F193" s="55" t="str">
        <f>""</f>
        <v/>
      </c>
    </row>
    <row r="194" spans="1:6" hidden="1" x14ac:dyDescent="0.3">
      <c r="A194" s="351" t="str">
        <f>Lists!$C$62&amp;"_"&amp;B22</f>
        <v>Equipment Use Stage_14</v>
      </c>
      <c r="D194" s="55" t="str">
        <f>""</f>
        <v/>
      </c>
      <c r="E194" s="55" t="str">
        <f>""</f>
        <v/>
      </c>
      <c r="F194" s="55" t="str">
        <f>""</f>
        <v/>
      </c>
    </row>
    <row r="195" spans="1:6" hidden="1" x14ac:dyDescent="0.3">
      <c r="A195" s="351" t="str">
        <f>Lists!$C$62&amp;"_"&amp;B23</f>
        <v>Equipment Use Stage_15</v>
      </c>
      <c r="D195" s="55" t="str">
        <f>""</f>
        <v/>
      </c>
      <c r="E195" s="55" t="str">
        <f>""</f>
        <v/>
      </c>
      <c r="F195" s="55" t="str">
        <f>""</f>
        <v/>
      </c>
    </row>
    <row r="196" spans="1:6" hidden="1" x14ac:dyDescent="0.3">
      <c r="A196" s="351" t="str">
        <f>Lists!$C$62&amp;"_"&amp;B24</f>
        <v>Equipment Use Stage_16</v>
      </c>
      <c r="D196" s="55" t="str">
        <f>""</f>
        <v/>
      </c>
      <c r="E196" s="55" t="str">
        <f>""</f>
        <v/>
      </c>
      <c r="F196" s="55" t="str">
        <f>""</f>
        <v/>
      </c>
    </row>
    <row r="197" spans="1:6" hidden="1" x14ac:dyDescent="0.3">
      <c r="A197" s="351" t="str">
        <f>Lists!$C$62&amp;"_"&amp;B25</f>
        <v>Equipment Use Stage_17</v>
      </c>
      <c r="D197" s="55" t="str">
        <f>""</f>
        <v/>
      </c>
      <c r="E197" s="55" t="str">
        <f>""</f>
        <v/>
      </c>
      <c r="F197" s="55" t="str">
        <f>""</f>
        <v/>
      </c>
    </row>
    <row r="198" spans="1:6" hidden="1" x14ac:dyDescent="0.3">
      <c r="A198" s="351" t="str">
        <f>Lists!$C$62&amp;"_"&amp;B26</f>
        <v>Equipment Use Stage_18</v>
      </c>
      <c r="D198" s="55" t="str">
        <f>""</f>
        <v/>
      </c>
      <c r="E198" s="55" t="str">
        <f>""</f>
        <v/>
      </c>
      <c r="F198" s="55" t="str">
        <f>""</f>
        <v/>
      </c>
    </row>
    <row r="199" spans="1:6" hidden="1" x14ac:dyDescent="0.3">
      <c r="A199" s="351" t="str">
        <f>Lists!$C$62&amp;"_"&amp;B27</f>
        <v>Equipment Use Stage_19</v>
      </c>
      <c r="D199" s="55" t="str">
        <f>""</f>
        <v/>
      </c>
      <c r="E199" s="55" t="str">
        <f>""</f>
        <v/>
      </c>
      <c r="F199" s="55" t="str">
        <f>""</f>
        <v/>
      </c>
    </row>
    <row r="200" spans="1:6" hidden="1" x14ac:dyDescent="0.3">
      <c r="A200" s="351" t="str">
        <f>Lists!$C$62&amp;"_"&amp;B28</f>
        <v>Equipment Use Stage_20</v>
      </c>
      <c r="D200" s="55" t="str">
        <f>""</f>
        <v/>
      </c>
      <c r="E200" s="55" t="str">
        <f>""</f>
        <v/>
      </c>
      <c r="F200" s="55" t="str">
        <f>""</f>
        <v/>
      </c>
    </row>
    <row r="201" spans="1:6" hidden="1" x14ac:dyDescent="0.3">
      <c r="A201" s="351" t="str">
        <f>Lists!$C$62&amp;"_"&amp;B29</f>
        <v>Equipment Use Stage_21</v>
      </c>
      <c r="D201" s="55" t="str">
        <f>""</f>
        <v/>
      </c>
      <c r="E201" s="55" t="str">
        <f>""</f>
        <v/>
      </c>
      <c r="F201" s="55" t="str">
        <f>""</f>
        <v/>
      </c>
    </row>
    <row r="202" spans="1:6" hidden="1" x14ac:dyDescent="0.3">
      <c r="A202" s="351" t="str">
        <f>Lists!$C$62&amp;"_"&amp;B30</f>
        <v>Equipment Use Stage_22</v>
      </c>
      <c r="D202" s="55" t="str">
        <f>""</f>
        <v/>
      </c>
      <c r="E202" s="55" t="str">
        <f>""</f>
        <v/>
      </c>
      <c r="F202" s="55" t="str">
        <f>""</f>
        <v/>
      </c>
    </row>
    <row r="203" spans="1:6" hidden="1" x14ac:dyDescent="0.3">
      <c r="A203" s="351" t="str">
        <f>Lists!$C$62&amp;"_"&amp;B31</f>
        <v>Equipment Use Stage_23</v>
      </c>
      <c r="D203" s="55" t="str">
        <f>""</f>
        <v/>
      </c>
      <c r="E203" s="55" t="str">
        <f>""</f>
        <v/>
      </c>
      <c r="F203" s="55" t="str">
        <f>""</f>
        <v/>
      </c>
    </row>
    <row r="204" spans="1:6" hidden="1" x14ac:dyDescent="0.3">
      <c r="A204" s="351" t="str">
        <f>Lists!$C$62&amp;"_"&amp;B32</f>
        <v>Equipment Use Stage_24</v>
      </c>
      <c r="D204" s="55" t="str">
        <f>""</f>
        <v/>
      </c>
      <c r="E204" s="55" t="str">
        <f>""</f>
        <v/>
      </c>
      <c r="F204" s="55" t="str">
        <f>""</f>
        <v/>
      </c>
    </row>
  </sheetData>
  <sheetProtection formatCells="0" formatColumns="0" formatRows="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24" r:id="rId4" name="Drop Down 8">
              <controlPr defaultSize="0" autoLine="0" autoPict="0" macro="[0]!PieChart">
                <anchor moveWithCells="1">
                  <from>
                    <xdr:col>3</xdr:col>
                    <xdr:colOff>60960</xdr:colOff>
                    <xdr:row>6</xdr:row>
                    <xdr:rowOff>0</xdr:rowOff>
                  </from>
                  <to>
                    <xdr:col>3</xdr:col>
                    <xdr:colOff>2087880</xdr:colOff>
                    <xdr:row>7</xdr:row>
                    <xdr:rowOff>45720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C000"/>
  </sheetPr>
  <dimension ref="A1:AI129"/>
  <sheetViews>
    <sheetView showGridLines="0" showRowColHeaders="0" zoomScale="85" zoomScaleNormal="85" workbookViewId="0"/>
  </sheetViews>
  <sheetFormatPr defaultRowHeight="14.4" x14ac:dyDescent="0.3"/>
  <cols>
    <col min="1" max="1" width="3.109375" customWidth="1"/>
    <col min="2" max="2" width="6.88671875" hidden="1" customWidth="1"/>
    <col min="3" max="3" width="30.109375" customWidth="1"/>
    <col min="4" max="4" width="10.5546875" customWidth="1"/>
    <col min="5" max="5" width="17.5546875" customWidth="1"/>
    <col min="6" max="15" width="16.109375" customWidth="1"/>
  </cols>
  <sheetData>
    <row r="1" spans="1:35" ht="7.5" customHeight="1" x14ac:dyDescent="0.3">
      <c r="A1" s="44"/>
      <c r="B1" s="44"/>
      <c r="C1" s="44"/>
      <c r="D1" s="44"/>
      <c r="E1" s="44"/>
      <c r="F1" s="44"/>
      <c r="G1" s="44"/>
      <c r="H1" s="44"/>
      <c r="I1" s="44"/>
      <c r="J1" s="44"/>
      <c r="K1" s="44"/>
      <c r="L1" s="44"/>
      <c r="M1" s="44"/>
      <c r="N1" s="44"/>
      <c r="O1" s="44"/>
      <c r="P1" s="44"/>
      <c r="Q1" s="44"/>
      <c r="R1" s="44"/>
      <c r="S1" s="44"/>
      <c r="T1" s="44"/>
      <c r="U1" s="44"/>
      <c r="V1" s="44"/>
      <c r="W1" s="44"/>
      <c r="X1" s="44"/>
      <c r="Y1" s="44"/>
      <c r="Z1" s="44"/>
      <c r="AA1" s="44"/>
      <c r="AB1" s="44"/>
      <c r="AC1" s="44"/>
      <c r="AD1" s="44"/>
      <c r="AE1" s="44"/>
      <c r="AF1" s="44"/>
      <c r="AG1" s="44"/>
      <c r="AH1" s="44"/>
      <c r="AI1" s="44"/>
    </row>
    <row r="2" spans="1:35" ht="33.6" x14ac:dyDescent="0.65">
      <c r="A2" s="44"/>
      <c r="B2" s="45"/>
      <c r="C2" s="45" t="s">
        <v>428</v>
      </c>
      <c r="D2" s="44"/>
      <c r="E2" s="44"/>
      <c r="F2" s="44"/>
      <c r="G2" s="44"/>
      <c r="H2" s="44"/>
      <c r="I2" s="44"/>
      <c r="J2" s="44"/>
      <c r="K2" s="44"/>
      <c r="L2" s="44"/>
      <c r="M2" s="44"/>
      <c r="N2" s="44"/>
      <c r="O2" s="44"/>
      <c r="P2" s="44"/>
      <c r="Q2" s="44"/>
      <c r="R2" s="44"/>
      <c r="S2" s="44"/>
      <c r="T2" s="44"/>
      <c r="U2" s="44"/>
      <c r="V2" s="44"/>
      <c r="W2" s="44"/>
      <c r="X2" s="44"/>
      <c r="Y2" s="44"/>
      <c r="Z2" s="44"/>
      <c r="AA2" s="44"/>
      <c r="AB2" s="44"/>
      <c r="AC2" s="44"/>
      <c r="AD2" s="44"/>
      <c r="AE2" s="44"/>
      <c r="AF2" s="44"/>
      <c r="AG2" s="44"/>
      <c r="AH2" s="44"/>
      <c r="AI2" s="44"/>
    </row>
    <row r="3" spans="1:35" ht="7.5" customHeight="1" thickBot="1" x14ac:dyDescent="0.35">
      <c r="A3" s="46"/>
      <c r="B3" s="47"/>
      <c r="C3" s="47"/>
      <c r="D3" s="47"/>
      <c r="E3" s="47"/>
      <c r="F3" s="47"/>
      <c r="G3" s="47"/>
      <c r="H3" s="47"/>
      <c r="I3" s="47"/>
      <c r="J3" s="47"/>
      <c r="K3" s="47"/>
      <c r="L3" s="47"/>
      <c r="M3" s="47"/>
      <c r="N3" s="47"/>
      <c r="O3" s="47"/>
      <c r="P3" s="47"/>
      <c r="Q3" s="47"/>
      <c r="R3" s="47"/>
      <c r="S3" s="47"/>
      <c r="T3" s="47"/>
      <c r="U3" s="47"/>
      <c r="V3" s="47"/>
      <c r="W3" s="47"/>
      <c r="X3" s="47"/>
      <c r="Y3" s="47"/>
      <c r="Z3" s="47"/>
      <c r="AA3" s="47"/>
      <c r="AB3" s="47"/>
      <c r="AC3" s="47"/>
      <c r="AD3" s="47"/>
      <c r="AE3" s="47"/>
      <c r="AF3" s="47"/>
      <c r="AG3" s="47"/>
      <c r="AH3" s="47"/>
      <c r="AI3" s="47"/>
    </row>
    <row r="4" spans="1:35" ht="18" customHeight="1" thickTop="1" x14ac:dyDescent="0.35">
      <c r="A4" s="44"/>
      <c r="B4" s="48"/>
      <c r="C4" s="48" t="s">
        <v>484</v>
      </c>
      <c r="D4" s="44"/>
      <c r="E4" s="44"/>
      <c r="F4" s="44"/>
      <c r="G4" s="44"/>
      <c r="H4" s="44"/>
      <c r="I4" s="44"/>
      <c r="J4" s="44"/>
      <c r="K4" s="44"/>
      <c r="L4" s="44"/>
      <c r="M4" s="44"/>
      <c r="N4" s="44"/>
      <c r="O4" s="44"/>
      <c r="P4" s="44"/>
      <c r="Q4" s="44"/>
      <c r="R4" s="44"/>
      <c r="S4" s="44"/>
      <c r="T4" s="44"/>
      <c r="U4" s="44"/>
      <c r="V4" s="44"/>
      <c r="W4" s="44"/>
      <c r="X4" s="44"/>
      <c r="Y4" s="44"/>
      <c r="Z4" s="44"/>
      <c r="AA4" s="44"/>
      <c r="AB4" s="44"/>
      <c r="AC4" s="44"/>
      <c r="AD4" s="44"/>
      <c r="AE4" s="44"/>
      <c r="AF4" s="44"/>
      <c r="AG4" s="44"/>
      <c r="AH4" s="44"/>
      <c r="AI4" s="44"/>
    </row>
    <row r="5" spans="1:35" ht="15.75" customHeight="1" x14ac:dyDescent="0.35">
      <c r="A5" s="44"/>
      <c r="B5" s="48"/>
      <c r="C5" s="410" t="s">
        <v>688</v>
      </c>
      <c r="D5" s="44"/>
      <c r="E5" s="44"/>
      <c r="F5" s="44"/>
      <c r="G5" s="44"/>
      <c r="H5" s="44"/>
      <c r="I5" s="44"/>
      <c r="J5" s="44"/>
      <c r="K5" s="44"/>
      <c r="L5" s="44"/>
      <c r="M5" s="44"/>
      <c r="N5" s="44"/>
      <c r="O5" s="44"/>
      <c r="P5" s="44"/>
      <c r="Q5" s="44"/>
      <c r="R5" s="44"/>
      <c r="S5" s="44"/>
      <c r="T5" s="44"/>
      <c r="U5" s="44"/>
      <c r="V5" s="44"/>
      <c r="W5" s="44"/>
      <c r="X5" s="44"/>
      <c r="Y5" s="44"/>
      <c r="Z5" s="44"/>
      <c r="AA5" s="44"/>
      <c r="AB5" s="44"/>
      <c r="AC5" s="44"/>
      <c r="AD5" s="44"/>
      <c r="AE5" s="44"/>
      <c r="AF5" s="44"/>
      <c r="AG5" s="44"/>
      <c r="AH5" s="44"/>
      <c r="AI5" s="44"/>
    </row>
    <row r="7" spans="1:35" ht="10.5" customHeight="1" x14ac:dyDescent="0.3"/>
    <row r="8" spans="1:35" ht="21.75" customHeight="1" x14ac:dyDescent="0.3"/>
    <row r="9" spans="1:35" ht="21.75" customHeight="1" x14ac:dyDescent="0.3"/>
    <row r="10" spans="1:35" ht="21.75" customHeight="1" x14ac:dyDescent="0.3"/>
    <row r="11" spans="1:35" ht="21.75" customHeight="1" x14ac:dyDescent="0.3"/>
    <row r="12" spans="1:35" ht="21.75" customHeight="1" x14ac:dyDescent="0.3"/>
    <row r="13" spans="1:35" ht="21.75" customHeight="1" x14ac:dyDescent="0.3"/>
    <row r="14" spans="1:35" ht="21.75" customHeight="1" x14ac:dyDescent="0.3">
      <c r="C14" s="183">
        <v>1</v>
      </c>
      <c r="K14" s="33"/>
    </row>
    <row r="15" spans="1:35" ht="21.75" customHeight="1" x14ac:dyDescent="0.3"/>
    <row r="16" spans="1:35" ht="21.75" customHeight="1" x14ac:dyDescent="0.3"/>
    <row r="17" spans="1:25" ht="21.75" customHeight="1" x14ac:dyDescent="0.3"/>
    <row r="18" spans="1:25" ht="21.75" customHeight="1" x14ac:dyDescent="0.3"/>
    <row r="19" spans="1:25" ht="21.75" customHeight="1" x14ac:dyDescent="0.3"/>
    <row r="20" spans="1:25" ht="21.75" customHeight="1" x14ac:dyDescent="0.3"/>
    <row r="21" spans="1:25" ht="21.75" customHeight="1" x14ac:dyDescent="0.3"/>
    <row r="22" spans="1:25" ht="21.75" customHeight="1" x14ac:dyDescent="0.3"/>
    <row r="23" spans="1:25" ht="21.75" customHeight="1" x14ac:dyDescent="0.3"/>
    <row r="24" spans="1:25" ht="21.75" customHeight="1" x14ac:dyDescent="0.3"/>
    <row r="25" spans="1:25" ht="21.75" customHeight="1" x14ac:dyDescent="0.3"/>
    <row r="26" spans="1:25" ht="21.75" customHeight="1" x14ac:dyDescent="0.3"/>
    <row r="27" spans="1:25" ht="21.75" customHeight="1" x14ac:dyDescent="0.3"/>
    <row r="28" spans="1:25" ht="21.75" customHeight="1" x14ac:dyDescent="0.3">
      <c r="A28" s="97"/>
    </row>
    <row r="29" spans="1:25" ht="21.75" customHeight="1" x14ac:dyDescent="0.35">
      <c r="C29" s="37" t="str">
        <f>IF($C$14=1,C58,IF($C$14=2,C81,IF($C$14=3,C104,"")))</f>
        <v>GHG Emissions by Equipment Category (MT CO2-e)</v>
      </c>
    </row>
    <row r="30" spans="1:25" ht="43.5" customHeight="1" x14ac:dyDescent="0.3">
      <c r="C30" s="36" t="str">
        <f t="shared" ref="C30:O30" si="0">IF($C$14=1,C59,IF($C$14=2,C82,IF($C$14=3,C105,"")))</f>
        <v>Federal building type</v>
      </c>
      <c r="D30" s="36" t="str">
        <f t="shared" si="0"/>
        <v>Total</v>
      </c>
      <c r="E30" s="36" t="str">
        <f t="shared" si="0"/>
        <v>Non-Specified</v>
      </c>
      <c r="F30" s="36" t="str">
        <f t="shared" si="0"/>
        <v/>
      </c>
      <c r="G30" s="36" t="str">
        <f t="shared" si="0"/>
        <v/>
      </c>
      <c r="H30" s="36" t="str">
        <f t="shared" si="0"/>
        <v/>
      </c>
      <c r="I30" s="36" t="str">
        <f t="shared" si="0"/>
        <v/>
      </c>
      <c r="J30" s="36" t="str">
        <f t="shared" si="0"/>
        <v/>
      </c>
      <c r="K30" s="36" t="str">
        <f t="shared" si="0"/>
        <v/>
      </c>
      <c r="L30" s="36" t="str">
        <f t="shared" si="0"/>
        <v/>
      </c>
      <c r="M30" s="36" t="str">
        <f t="shared" si="0"/>
        <v/>
      </c>
      <c r="N30" s="36" t="str">
        <f t="shared" si="0"/>
        <v/>
      </c>
      <c r="O30" s="36" t="str">
        <f t="shared" si="0"/>
        <v/>
      </c>
      <c r="P30" s="36" t="str">
        <f t="shared" ref="P30:Y30" si="1">IF($C$14=1,P59,IF($C$14=2,P82,IF($C$14=3,P105,"")))</f>
        <v/>
      </c>
      <c r="Q30" s="36" t="str">
        <f t="shared" si="1"/>
        <v/>
      </c>
      <c r="R30" s="36" t="str">
        <f t="shared" si="1"/>
        <v/>
      </c>
      <c r="S30" s="36" t="str">
        <f t="shared" si="1"/>
        <v/>
      </c>
      <c r="T30" s="36" t="str">
        <f t="shared" si="1"/>
        <v/>
      </c>
      <c r="U30" s="36" t="str">
        <f t="shared" si="1"/>
        <v/>
      </c>
      <c r="V30" s="36" t="str">
        <f t="shared" si="1"/>
        <v/>
      </c>
      <c r="W30" s="36" t="str">
        <f t="shared" si="1"/>
        <v/>
      </c>
      <c r="X30" s="36" t="str">
        <f t="shared" si="1"/>
        <v/>
      </c>
      <c r="Y30" s="36" t="str">
        <f t="shared" si="1"/>
        <v/>
      </c>
    </row>
    <row r="31" spans="1:25" x14ac:dyDescent="0.3">
      <c r="B31" s="66">
        <f>21-COUNTIF(E30:Y30,"")</f>
        <v>1</v>
      </c>
      <c r="C31" s="59" t="str">
        <f t="shared" ref="C31:O31" si="2">IF($C$14=1,C60,IF($C$14=2,C83,IF($C$14=3,C106,"")))</f>
        <v>Total</v>
      </c>
      <c r="D31" s="60">
        <f t="shared" si="2"/>
        <v>0</v>
      </c>
      <c r="E31" s="60">
        <f t="shared" si="2"/>
        <v>0</v>
      </c>
      <c r="F31" s="60" t="str">
        <f t="shared" si="2"/>
        <v/>
      </c>
      <c r="G31" s="60" t="str">
        <f t="shared" si="2"/>
        <v/>
      </c>
      <c r="H31" s="60" t="str">
        <f t="shared" si="2"/>
        <v/>
      </c>
      <c r="I31" s="60" t="str">
        <f t="shared" si="2"/>
        <v/>
      </c>
      <c r="J31" s="60" t="str">
        <f t="shared" si="2"/>
        <v/>
      </c>
      <c r="K31" s="60" t="str">
        <f t="shared" si="2"/>
        <v/>
      </c>
      <c r="L31" s="60" t="str">
        <f t="shared" si="2"/>
        <v/>
      </c>
      <c r="M31" s="60" t="str">
        <f t="shared" si="2"/>
        <v/>
      </c>
      <c r="N31" s="60" t="str">
        <f t="shared" si="2"/>
        <v/>
      </c>
      <c r="O31" s="60" t="str">
        <f t="shared" si="2"/>
        <v/>
      </c>
      <c r="P31" s="60" t="str">
        <f t="shared" ref="P31:Y31" si="3">IF($C$14=1,P60,IF($C$14=2,P83,IF($C$14=3,P106,"")))</f>
        <v/>
      </c>
      <c r="Q31" s="60" t="str">
        <f t="shared" si="3"/>
        <v/>
      </c>
      <c r="R31" s="60" t="str">
        <f t="shared" si="3"/>
        <v/>
      </c>
      <c r="S31" s="60" t="str">
        <f t="shared" si="3"/>
        <v/>
      </c>
      <c r="T31" s="60" t="str">
        <f t="shared" si="3"/>
        <v/>
      </c>
      <c r="U31" s="60" t="str">
        <f t="shared" si="3"/>
        <v/>
      </c>
      <c r="V31" s="60" t="str">
        <f t="shared" si="3"/>
        <v/>
      </c>
      <c r="W31" s="60" t="str">
        <f t="shared" si="3"/>
        <v/>
      </c>
      <c r="X31" s="60" t="str">
        <f t="shared" si="3"/>
        <v/>
      </c>
      <c r="Y31" s="60" t="str">
        <f t="shared" si="3"/>
        <v/>
      </c>
    </row>
    <row r="32" spans="1:25" hidden="1" x14ac:dyDescent="0.3">
      <c r="B32" s="66">
        <f>18-COUNTIF(C32:C49,"")</f>
        <v>1</v>
      </c>
      <c r="C32" s="34" t="str">
        <f t="shared" ref="C32:O32" si="4">IF($C$14=1,C61,IF($C$14=2,C84,IF($C$14=3,C107,"")))</f>
        <v>Non-Specified</v>
      </c>
      <c r="D32" s="60">
        <f t="shared" si="4"/>
        <v>0</v>
      </c>
      <c r="E32" s="75">
        <f t="shared" si="4"/>
        <v>0</v>
      </c>
      <c r="F32" s="75" t="str">
        <f t="shared" si="4"/>
        <v/>
      </c>
      <c r="G32" s="75" t="str">
        <f t="shared" si="4"/>
        <v/>
      </c>
      <c r="H32" s="75" t="str">
        <f t="shared" si="4"/>
        <v/>
      </c>
      <c r="I32" s="75" t="str">
        <f t="shared" si="4"/>
        <v/>
      </c>
      <c r="J32" s="75" t="str">
        <f t="shared" si="4"/>
        <v/>
      </c>
      <c r="K32" s="75" t="str">
        <f t="shared" si="4"/>
        <v/>
      </c>
      <c r="L32" s="75" t="str">
        <f t="shared" si="4"/>
        <v/>
      </c>
      <c r="M32" s="75" t="str">
        <f t="shared" si="4"/>
        <v/>
      </c>
      <c r="N32" s="75" t="str">
        <f t="shared" si="4"/>
        <v/>
      </c>
      <c r="O32" s="75" t="str">
        <f t="shared" si="4"/>
        <v/>
      </c>
      <c r="P32" s="75" t="str">
        <f t="shared" ref="P32:Y32" si="5">IF($C$14=1,P61,IF($C$14=2,P84,IF($C$14=3,P107,"")))</f>
        <v/>
      </c>
      <c r="Q32" s="75" t="str">
        <f t="shared" si="5"/>
        <v/>
      </c>
      <c r="R32" s="75" t="str">
        <f t="shared" si="5"/>
        <v/>
      </c>
      <c r="S32" s="75" t="str">
        <f t="shared" si="5"/>
        <v/>
      </c>
      <c r="T32" s="75" t="str">
        <f t="shared" si="5"/>
        <v/>
      </c>
      <c r="U32" s="75" t="str">
        <f t="shared" si="5"/>
        <v/>
      </c>
      <c r="V32" s="75" t="str">
        <f t="shared" si="5"/>
        <v/>
      </c>
      <c r="W32" s="75" t="str">
        <f t="shared" si="5"/>
        <v/>
      </c>
      <c r="X32" s="75" t="str">
        <f t="shared" si="5"/>
        <v/>
      </c>
      <c r="Y32" s="75" t="str">
        <f t="shared" si="5"/>
        <v/>
      </c>
    </row>
    <row r="33" spans="2:25" x14ac:dyDescent="0.3">
      <c r="C33" s="34" t="str">
        <f t="shared" ref="C33:O33" si="6">IF($C$14=1,C62,IF($C$14=2,C85,IF($C$14=3,C108,"")))</f>
        <v/>
      </c>
      <c r="D33" s="60" t="str">
        <f t="shared" si="6"/>
        <v/>
      </c>
      <c r="E33" s="58" t="str">
        <f t="shared" si="6"/>
        <v/>
      </c>
      <c r="F33" s="58" t="str">
        <f t="shared" si="6"/>
        <v/>
      </c>
      <c r="G33" s="58" t="str">
        <f t="shared" si="6"/>
        <v/>
      </c>
      <c r="H33" s="58" t="str">
        <f t="shared" si="6"/>
        <v/>
      </c>
      <c r="I33" s="58" t="str">
        <f t="shared" si="6"/>
        <v/>
      </c>
      <c r="J33" s="58" t="str">
        <f t="shared" si="6"/>
        <v/>
      </c>
      <c r="K33" s="58" t="str">
        <f t="shared" si="6"/>
        <v/>
      </c>
      <c r="L33" s="58" t="str">
        <f t="shared" si="6"/>
        <v/>
      </c>
      <c r="M33" s="58" t="str">
        <f t="shared" si="6"/>
        <v/>
      </c>
      <c r="N33" s="58" t="str">
        <f t="shared" si="6"/>
        <v/>
      </c>
      <c r="O33" s="58" t="str">
        <f t="shared" si="6"/>
        <v/>
      </c>
      <c r="P33" s="58" t="str">
        <f t="shared" ref="P33:Y33" si="7">IF($C$14=1,P62,IF($C$14=2,P85,IF($C$14=3,P108,"")))</f>
        <v/>
      </c>
      <c r="Q33" s="58" t="str">
        <f t="shared" si="7"/>
        <v/>
      </c>
      <c r="R33" s="58" t="str">
        <f t="shared" si="7"/>
        <v/>
      </c>
      <c r="S33" s="58" t="str">
        <f t="shared" si="7"/>
        <v/>
      </c>
      <c r="T33" s="58" t="str">
        <f t="shared" si="7"/>
        <v/>
      </c>
      <c r="U33" s="58" t="str">
        <f t="shared" si="7"/>
        <v/>
      </c>
      <c r="V33" s="58" t="str">
        <f t="shared" si="7"/>
        <v/>
      </c>
      <c r="W33" s="58" t="str">
        <f t="shared" si="7"/>
        <v/>
      </c>
      <c r="X33" s="58" t="str">
        <f t="shared" si="7"/>
        <v/>
      </c>
      <c r="Y33" s="58" t="str">
        <f t="shared" si="7"/>
        <v/>
      </c>
    </row>
    <row r="34" spans="2:25" x14ac:dyDescent="0.3">
      <c r="C34" s="34" t="str">
        <f t="shared" ref="C34:O34" si="8">IF($C$14=1,C63,IF($C$14=2,C86,IF($C$14=3,C109,"")))</f>
        <v/>
      </c>
      <c r="D34" s="60" t="str">
        <f t="shared" si="8"/>
        <v/>
      </c>
      <c r="E34" s="58" t="str">
        <f t="shared" si="8"/>
        <v/>
      </c>
      <c r="F34" s="58" t="str">
        <f t="shared" si="8"/>
        <v/>
      </c>
      <c r="G34" s="58" t="str">
        <f t="shared" si="8"/>
        <v/>
      </c>
      <c r="H34" s="58" t="str">
        <f t="shared" si="8"/>
        <v/>
      </c>
      <c r="I34" s="58" t="str">
        <f t="shared" si="8"/>
        <v/>
      </c>
      <c r="J34" s="58" t="str">
        <f t="shared" si="8"/>
        <v/>
      </c>
      <c r="K34" s="58" t="str">
        <f t="shared" si="8"/>
        <v/>
      </c>
      <c r="L34" s="58" t="str">
        <f t="shared" si="8"/>
        <v/>
      </c>
      <c r="M34" s="58" t="str">
        <f t="shared" si="8"/>
        <v/>
      </c>
      <c r="N34" s="58" t="str">
        <f t="shared" si="8"/>
        <v/>
      </c>
      <c r="O34" s="58" t="str">
        <f t="shared" si="8"/>
        <v/>
      </c>
      <c r="P34" s="58" t="str">
        <f t="shared" ref="P34:Y34" si="9">IF($C$14=1,P63,IF($C$14=2,P86,IF($C$14=3,P109,"")))</f>
        <v/>
      </c>
      <c r="Q34" s="58" t="str">
        <f t="shared" si="9"/>
        <v/>
      </c>
      <c r="R34" s="58" t="str">
        <f t="shared" si="9"/>
        <v/>
      </c>
      <c r="S34" s="58" t="str">
        <f t="shared" si="9"/>
        <v/>
      </c>
      <c r="T34" s="58" t="str">
        <f t="shared" si="9"/>
        <v/>
      </c>
      <c r="U34" s="58" t="str">
        <f t="shared" si="9"/>
        <v/>
      </c>
      <c r="V34" s="58" t="str">
        <f t="shared" si="9"/>
        <v/>
      </c>
      <c r="W34" s="58" t="str">
        <f t="shared" si="9"/>
        <v/>
      </c>
      <c r="X34" s="58" t="str">
        <f t="shared" si="9"/>
        <v/>
      </c>
      <c r="Y34" s="58" t="str">
        <f t="shared" si="9"/>
        <v/>
      </c>
    </row>
    <row r="35" spans="2:25" x14ac:dyDescent="0.3">
      <c r="C35" s="34" t="str">
        <f t="shared" ref="C35:O35" si="10">IF($C$14=1,C64,IF($C$14=2,C87,IF($C$14=3,C110,"")))</f>
        <v/>
      </c>
      <c r="D35" s="60" t="str">
        <f t="shared" si="10"/>
        <v/>
      </c>
      <c r="E35" s="58" t="str">
        <f t="shared" si="10"/>
        <v/>
      </c>
      <c r="F35" s="58" t="str">
        <f t="shared" si="10"/>
        <v/>
      </c>
      <c r="G35" s="58" t="str">
        <f t="shared" si="10"/>
        <v/>
      </c>
      <c r="H35" s="58" t="str">
        <f t="shared" si="10"/>
        <v/>
      </c>
      <c r="I35" s="58" t="str">
        <f t="shared" si="10"/>
        <v/>
      </c>
      <c r="J35" s="58" t="str">
        <f t="shared" si="10"/>
        <v/>
      </c>
      <c r="K35" s="58" t="str">
        <f t="shared" si="10"/>
        <v/>
      </c>
      <c r="L35" s="58" t="str">
        <f t="shared" si="10"/>
        <v/>
      </c>
      <c r="M35" s="58" t="str">
        <f t="shared" si="10"/>
        <v/>
      </c>
      <c r="N35" s="58" t="str">
        <f t="shared" si="10"/>
        <v/>
      </c>
      <c r="O35" s="58" t="str">
        <f t="shared" si="10"/>
        <v/>
      </c>
      <c r="P35" s="58" t="str">
        <f t="shared" ref="P35:Y35" si="11">IF($C$14=1,P64,IF($C$14=2,P87,IF($C$14=3,P110,"")))</f>
        <v/>
      </c>
      <c r="Q35" s="58" t="str">
        <f t="shared" si="11"/>
        <v/>
      </c>
      <c r="R35" s="58" t="str">
        <f t="shared" si="11"/>
        <v/>
      </c>
      <c r="S35" s="58" t="str">
        <f t="shared" si="11"/>
        <v/>
      </c>
      <c r="T35" s="58" t="str">
        <f t="shared" si="11"/>
        <v/>
      </c>
      <c r="U35" s="58" t="str">
        <f t="shared" si="11"/>
        <v/>
      </c>
      <c r="V35" s="58" t="str">
        <f t="shared" si="11"/>
        <v/>
      </c>
      <c r="W35" s="58" t="str">
        <f t="shared" si="11"/>
        <v/>
      </c>
      <c r="X35" s="58" t="str">
        <f t="shared" si="11"/>
        <v/>
      </c>
      <c r="Y35" s="58" t="str">
        <f t="shared" si="11"/>
        <v/>
      </c>
    </row>
    <row r="36" spans="2:25" x14ac:dyDescent="0.3">
      <c r="C36" s="34" t="str">
        <f t="shared" ref="C36:O36" si="12">IF($C$14=1,C65,IF($C$14=2,C88,IF($C$14=3,C111,"")))</f>
        <v/>
      </c>
      <c r="D36" s="60" t="str">
        <f t="shared" si="12"/>
        <v/>
      </c>
      <c r="E36" s="58" t="str">
        <f t="shared" si="12"/>
        <v/>
      </c>
      <c r="F36" s="58" t="str">
        <f t="shared" si="12"/>
        <v/>
      </c>
      <c r="G36" s="58" t="str">
        <f t="shared" si="12"/>
        <v/>
      </c>
      <c r="H36" s="58" t="str">
        <f t="shared" si="12"/>
        <v/>
      </c>
      <c r="I36" s="58" t="str">
        <f t="shared" si="12"/>
        <v/>
      </c>
      <c r="J36" s="58" t="str">
        <f t="shared" si="12"/>
        <v/>
      </c>
      <c r="K36" s="58" t="str">
        <f t="shared" si="12"/>
        <v/>
      </c>
      <c r="L36" s="58" t="str">
        <f t="shared" si="12"/>
        <v/>
      </c>
      <c r="M36" s="58" t="str">
        <f t="shared" si="12"/>
        <v/>
      </c>
      <c r="N36" s="58" t="str">
        <f t="shared" si="12"/>
        <v/>
      </c>
      <c r="O36" s="58" t="str">
        <f t="shared" si="12"/>
        <v/>
      </c>
      <c r="P36" s="58" t="str">
        <f t="shared" ref="P36:Y36" si="13">IF($C$14=1,P65,IF($C$14=2,P88,IF($C$14=3,P111,"")))</f>
        <v/>
      </c>
      <c r="Q36" s="58" t="str">
        <f t="shared" si="13"/>
        <v/>
      </c>
      <c r="R36" s="58" t="str">
        <f t="shared" si="13"/>
        <v/>
      </c>
      <c r="S36" s="58" t="str">
        <f t="shared" si="13"/>
        <v/>
      </c>
      <c r="T36" s="58" t="str">
        <f t="shared" si="13"/>
        <v/>
      </c>
      <c r="U36" s="58" t="str">
        <f t="shared" si="13"/>
        <v/>
      </c>
      <c r="V36" s="58" t="str">
        <f t="shared" si="13"/>
        <v/>
      </c>
      <c r="W36" s="58" t="str">
        <f t="shared" si="13"/>
        <v/>
      </c>
      <c r="X36" s="58" t="str">
        <f t="shared" si="13"/>
        <v/>
      </c>
      <c r="Y36" s="58" t="str">
        <f t="shared" si="13"/>
        <v/>
      </c>
    </row>
    <row r="37" spans="2:25" x14ac:dyDescent="0.3">
      <c r="C37" s="34" t="str">
        <f t="shared" ref="C37:O37" si="14">IF($C$14=1,C66,IF($C$14=2,C89,IF($C$14=3,C112,"")))</f>
        <v/>
      </c>
      <c r="D37" s="60" t="str">
        <f t="shared" si="14"/>
        <v/>
      </c>
      <c r="E37" s="58" t="str">
        <f t="shared" si="14"/>
        <v/>
      </c>
      <c r="F37" s="58" t="str">
        <f t="shared" si="14"/>
        <v/>
      </c>
      <c r="G37" s="58" t="str">
        <f t="shared" si="14"/>
        <v/>
      </c>
      <c r="H37" s="58" t="str">
        <f t="shared" si="14"/>
        <v/>
      </c>
      <c r="I37" s="58" t="str">
        <f t="shared" si="14"/>
        <v/>
      </c>
      <c r="J37" s="58" t="str">
        <f t="shared" si="14"/>
        <v/>
      </c>
      <c r="K37" s="58" t="str">
        <f t="shared" si="14"/>
        <v/>
      </c>
      <c r="L37" s="58" t="str">
        <f t="shared" si="14"/>
        <v/>
      </c>
      <c r="M37" s="58" t="str">
        <f t="shared" si="14"/>
        <v/>
      </c>
      <c r="N37" s="58" t="str">
        <f t="shared" si="14"/>
        <v/>
      </c>
      <c r="O37" s="58" t="str">
        <f t="shared" si="14"/>
        <v/>
      </c>
      <c r="P37" s="58" t="str">
        <f t="shared" ref="P37:Y37" si="15">IF($C$14=1,P66,IF($C$14=2,P89,IF($C$14=3,P112,"")))</f>
        <v/>
      </c>
      <c r="Q37" s="58" t="str">
        <f t="shared" si="15"/>
        <v/>
      </c>
      <c r="R37" s="58" t="str">
        <f t="shared" si="15"/>
        <v/>
      </c>
      <c r="S37" s="58" t="str">
        <f t="shared" si="15"/>
        <v/>
      </c>
      <c r="T37" s="58" t="str">
        <f t="shared" si="15"/>
        <v/>
      </c>
      <c r="U37" s="58" t="str">
        <f t="shared" si="15"/>
        <v/>
      </c>
      <c r="V37" s="58" t="str">
        <f t="shared" si="15"/>
        <v/>
      </c>
      <c r="W37" s="58" t="str">
        <f t="shared" si="15"/>
        <v/>
      </c>
      <c r="X37" s="58" t="str">
        <f t="shared" si="15"/>
        <v/>
      </c>
      <c r="Y37" s="58" t="str">
        <f t="shared" si="15"/>
        <v/>
      </c>
    </row>
    <row r="38" spans="2:25" x14ac:dyDescent="0.3">
      <c r="C38" s="34" t="str">
        <f t="shared" ref="C38:O38" si="16">IF($C$14=1,C67,IF($C$14=2,C90,IF($C$14=3,C113,"")))</f>
        <v/>
      </c>
      <c r="D38" s="60" t="str">
        <f t="shared" si="16"/>
        <v/>
      </c>
      <c r="E38" s="58" t="str">
        <f t="shared" si="16"/>
        <v/>
      </c>
      <c r="F38" s="58" t="str">
        <f t="shared" si="16"/>
        <v/>
      </c>
      <c r="G38" s="58" t="str">
        <f t="shared" si="16"/>
        <v/>
      </c>
      <c r="H38" s="58" t="str">
        <f t="shared" si="16"/>
        <v/>
      </c>
      <c r="I38" s="58" t="str">
        <f t="shared" si="16"/>
        <v/>
      </c>
      <c r="J38" s="58" t="str">
        <f t="shared" si="16"/>
        <v/>
      </c>
      <c r="K38" s="58" t="str">
        <f t="shared" si="16"/>
        <v/>
      </c>
      <c r="L38" s="58" t="str">
        <f t="shared" si="16"/>
        <v/>
      </c>
      <c r="M38" s="58" t="str">
        <f t="shared" si="16"/>
        <v/>
      </c>
      <c r="N38" s="58" t="str">
        <f t="shared" si="16"/>
        <v/>
      </c>
      <c r="O38" s="58" t="str">
        <f t="shared" si="16"/>
        <v/>
      </c>
      <c r="P38" s="58" t="str">
        <f t="shared" ref="P38:Y38" si="17">IF($C$14=1,P67,IF($C$14=2,P90,IF($C$14=3,P113,"")))</f>
        <v/>
      </c>
      <c r="Q38" s="58" t="str">
        <f t="shared" si="17"/>
        <v/>
      </c>
      <c r="R38" s="58" t="str">
        <f t="shared" si="17"/>
        <v/>
      </c>
      <c r="S38" s="58" t="str">
        <f t="shared" si="17"/>
        <v/>
      </c>
      <c r="T38" s="58" t="str">
        <f t="shared" si="17"/>
        <v/>
      </c>
      <c r="U38" s="58" t="str">
        <f t="shared" si="17"/>
        <v/>
      </c>
      <c r="V38" s="58" t="str">
        <f t="shared" si="17"/>
        <v/>
      </c>
      <c r="W38" s="58" t="str">
        <f t="shared" si="17"/>
        <v/>
      </c>
      <c r="X38" s="58" t="str">
        <f t="shared" si="17"/>
        <v/>
      </c>
      <c r="Y38" s="58" t="str">
        <f t="shared" si="17"/>
        <v/>
      </c>
    </row>
    <row r="39" spans="2:25" x14ac:dyDescent="0.3">
      <c r="C39" s="34" t="str">
        <f t="shared" ref="C39:O39" si="18">IF($C$14=1,C68,IF($C$14=2,C91,IF($C$14=3,C114,"")))</f>
        <v/>
      </c>
      <c r="D39" s="60" t="str">
        <f t="shared" si="18"/>
        <v/>
      </c>
      <c r="E39" s="58" t="str">
        <f t="shared" si="18"/>
        <v/>
      </c>
      <c r="F39" s="58" t="str">
        <f t="shared" si="18"/>
        <v/>
      </c>
      <c r="G39" s="58" t="str">
        <f t="shared" si="18"/>
        <v/>
      </c>
      <c r="H39" s="58" t="str">
        <f t="shared" si="18"/>
        <v/>
      </c>
      <c r="I39" s="58" t="str">
        <f t="shared" si="18"/>
        <v/>
      </c>
      <c r="J39" s="58" t="str">
        <f t="shared" si="18"/>
        <v/>
      </c>
      <c r="K39" s="58" t="str">
        <f t="shared" si="18"/>
        <v/>
      </c>
      <c r="L39" s="58" t="str">
        <f t="shared" si="18"/>
        <v/>
      </c>
      <c r="M39" s="58" t="str">
        <f t="shared" si="18"/>
        <v/>
      </c>
      <c r="N39" s="58" t="str">
        <f t="shared" si="18"/>
        <v/>
      </c>
      <c r="O39" s="58" t="str">
        <f t="shared" si="18"/>
        <v/>
      </c>
      <c r="P39" s="58" t="str">
        <f t="shared" ref="P39:Y39" si="19">IF($C$14=1,P68,IF($C$14=2,P91,IF($C$14=3,P114,"")))</f>
        <v/>
      </c>
      <c r="Q39" s="58" t="str">
        <f t="shared" si="19"/>
        <v/>
      </c>
      <c r="R39" s="58" t="str">
        <f t="shared" si="19"/>
        <v/>
      </c>
      <c r="S39" s="58" t="str">
        <f t="shared" si="19"/>
        <v/>
      </c>
      <c r="T39" s="58" t="str">
        <f t="shared" si="19"/>
        <v/>
      </c>
      <c r="U39" s="58" t="str">
        <f t="shared" si="19"/>
        <v/>
      </c>
      <c r="V39" s="58" t="str">
        <f t="shared" si="19"/>
        <v/>
      </c>
      <c r="W39" s="58" t="str">
        <f t="shared" si="19"/>
        <v/>
      </c>
      <c r="X39" s="58" t="str">
        <f t="shared" si="19"/>
        <v/>
      </c>
      <c r="Y39" s="58" t="str">
        <f t="shared" si="19"/>
        <v/>
      </c>
    </row>
    <row r="40" spans="2:25" x14ac:dyDescent="0.3">
      <c r="C40" s="34" t="str">
        <f t="shared" ref="C40:O40" si="20">IF($C$14=1,C69,IF($C$14=2,C92,IF($C$14=3,C115,"")))</f>
        <v/>
      </c>
      <c r="D40" s="60" t="str">
        <f t="shared" si="20"/>
        <v/>
      </c>
      <c r="E40" s="58" t="str">
        <f t="shared" si="20"/>
        <v/>
      </c>
      <c r="F40" s="58" t="str">
        <f t="shared" si="20"/>
        <v/>
      </c>
      <c r="G40" s="58" t="str">
        <f t="shared" si="20"/>
        <v/>
      </c>
      <c r="H40" s="58" t="str">
        <f t="shared" si="20"/>
        <v/>
      </c>
      <c r="I40" s="58" t="str">
        <f t="shared" si="20"/>
        <v/>
      </c>
      <c r="J40" s="58" t="str">
        <f t="shared" si="20"/>
        <v/>
      </c>
      <c r="K40" s="58" t="str">
        <f t="shared" si="20"/>
        <v/>
      </c>
      <c r="L40" s="58" t="str">
        <f t="shared" si="20"/>
        <v/>
      </c>
      <c r="M40" s="58" t="str">
        <f t="shared" si="20"/>
        <v/>
      </c>
      <c r="N40" s="58" t="str">
        <f t="shared" si="20"/>
        <v/>
      </c>
      <c r="O40" s="58" t="str">
        <f t="shared" si="20"/>
        <v/>
      </c>
      <c r="P40" s="58" t="str">
        <f t="shared" ref="P40:Y40" si="21">IF($C$14=1,P69,IF($C$14=2,P92,IF($C$14=3,P115,"")))</f>
        <v/>
      </c>
      <c r="Q40" s="58" t="str">
        <f t="shared" si="21"/>
        <v/>
      </c>
      <c r="R40" s="58" t="str">
        <f t="shared" si="21"/>
        <v/>
      </c>
      <c r="S40" s="58" t="str">
        <f t="shared" si="21"/>
        <v/>
      </c>
      <c r="T40" s="58" t="str">
        <f t="shared" si="21"/>
        <v/>
      </c>
      <c r="U40" s="58" t="str">
        <f t="shared" si="21"/>
        <v/>
      </c>
      <c r="V40" s="58" t="str">
        <f t="shared" si="21"/>
        <v/>
      </c>
      <c r="W40" s="58" t="str">
        <f t="shared" si="21"/>
        <v/>
      </c>
      <c r="X40" s="58" t="str">
        <f t="shared" si="21"/>
        <v/>
      </c>
      <c r="Y40" s="58" t="str">
        <f t="shared" si="21"/>
        <v/>
      </c>
    </row>
    <row r="41" spans="2:25" x14ac:dyDescent="0.3">
      <c r="B41" s="76"/>
      <c r="C41" s="34" t="str">
        <f t="shared" ref="C41:O41" si="22">IF($C$14=1,C70,IF($C$14=2,C93,IF($C$14=3,C116,"")))</f>
        <v/>
      </c>
      <c r="D41" s="60" t="str">
        <f t="shared" si="22"/>
        <v/>
      </c>
      <c r="E41" s="58" t="str">
        <f t="shared" si="22"/>
        <v/>
      </c>
      <c r="F41" s="58" t="str">
        <f t="shared" si="22"/>
        <v/>
      </c>
      <c r="G41" s="58" t="str">
        <f t="shared" si="22"/>
        <v/>
      </c>
      <c r="H41" s="58" t="str">
        <f t="shared" si="22"/>
        <v/>
      </c>
      <c r="I41" s="58" t="str">
        <f t="shared" si="22"/>
        <v/>
      </c>
      <c r="J41" s="58" t="str">
        <f t="shared" si="22"/>
        <v/>
      </c>
      <c r="K41" s="58" t="str">
        <f t="shared" si="22"/>
        <v/>
      </c>
      <c r="L41" s="58" t="str">
        <f t="shared" si="22"/>
        <v/>
      </c>
      <c r="M41" s="58" t="str">
        <f t="shared" si="22"/>
        <v/>
      </c>
      <c r="N41" s="58" t="str">
        <f t="shared" si="22"/>
        <v/>
      </c>
      <c r="O41" s="58" t="str">
        <f t="shared" si="22"/>
        <v/>
      </c>
      <c r="P41" s="58" t="str">
        <f t="shared" ref="P41:Y41" si="23">IF($C$14=1,P70,IF($C$14=2,P93,IF($C$14=3,P116,"")))</f>
        <v/>
      </c>
      <c r="Q41" s="58" t="str">
        <f t="shared" si="23"/>
        <v/>
      </c>
      <c r="R41" s="58" t="str">
        <f t="shared" si="23"/>
        <v/>
      </c>
      <c r="S41" s="58" t="str">
        <f t="shared" si="23"/>
        <v/>
      </c>
      <c r="T41" s="58" t="str">
        <f t="shared" si="23"/>
        <v/>
      </c>
      <c r="U41" s="58" t="str">
        <f t="shared" si="23"/>
        <v/>
      </c>
      <c r="V41" s="58" t="str">
        <f t="shared" si="23"/>
        <v/>
      </c>
      <c r="W41" s="58" t="str">
        <f t="shared" si="23"/>
        <v/>
      </c>
      <c r="X41" s="58" t="str">
        <f t="shared" si="23"/>
        <v/>
      </c>
      <c r="Y41" s="58" t="str">
        <f t="shared" si="23"/>
        <v/>
      </c>
    </row>
    <row r="42" spans="2:25" x14ac:dyDescent="0.3">
      <c r="B42" s="76"/>
      <c r="C42" s="34" t="str">
        <f t="shared" ref="C42:O42" si="24">IF($C$14=1,C71,IF($C$14=2,C94,IF($C$14=3,C117,"")))</f>
        <v/>
      </c>
      <c r="D42" s="60" t="str">
        <f t="shared" si="24"/>
        <v/>
      </c>
      <c r="E42" s="58" t="str">
        <f t="shared" si="24"/>
        <v/>
      </c>
      <c r="F42" s="58" t="str">
        <f t="shared" si="24"/>
        <v/>
      </c>
      <c r="G42" s="58" t="str">
        <f t="shared" si="24"/>
        <v/>
      </c>
      <c r="H42" s="58" t="str">
        <f t="shared" si="24"/>
        <v/>
      </c>
      <c r="I42" s="58" t="str">
        <f t="shared" si="24"/>
        <v/>
      </c>
      <c r="J42" s="58" t="str">
        <f t="shared" si="24"/>
        <v/>
      </c>
      <c r="K42" s="58" t="str">
        <f t="shared" si="24"/>
        <v/>
      </c>
      <c r="L42" s="58" t="str">
        <f t="shared" si="24"/>
        <v/>
      </c>
      <c r="M42" s="58" t="str">
        <f t="shared" si="24"/>
        <v/>
      </c>
      <c r="N42" s="58" t="str">
        <f t="shared" si="24"/>
        <v/>
      </c>
      <c r="O42" s="58" t="str">
        <f t="shared" si="24"/>
        <v/>
      </c>
      <c r="P42" s="58" t="str">
        <f t="shared" ref="P42:Y42" si="25">IF($C$14=1,P71,IF($C$14=2,P94,IF($C$14=3,P117,"")))</f>
        <v/>
      </c>
      <c r="Q42" s="58" t="str">
        <f t="shared" si="25"/>
        <v/>
      </c>
      <c r="R42" s="58" t="str">
        <f t="shared" si="25"/>
        <v/>
      </c>
      <c r="S42" s="58" t="str">
        <f t="shared" si="25"/>
        <v/>
      </c>
      <c r="T42" s="58" t="str">
        <f t="shared" si="25"/>
        <v/>
      </c>
      <c r="U42" s="58" t="str">
        <f t="shared" si="25"/>
        <v/>
      </c>
      <c r="V42" s="58" t="str">
        <f t="shared" si="25"/>
        <v/>
      </c>
      <c r="W42" s="58" t="str">
        <f t="shared" si="25"/>
        <v/>
      </c>
      <c r="X42" s="58" t="str">
        <f t="shared" si="25"/>
        <v/>
      </c>
      <c r="Y42" s="58" t="str">
        <f t="shared" si="25"/>
        <v/>
      </c>
    </row>
    <row r="43" spans="2:25" x14ac:dyDescent="0.3">
      <c r="B43" s="76"/>
      <c r="C43" s="34" t="str">
        <f t="shared" ref="C43:O43" si="26">IF($C$14=1,C72,IF($C$14=2,C95,IF($C$14=3,C118,"")))</f>
        <v/>
      </c>
      <c r="D43" s="60" t="str">
        <f t="shared" si="26"/>
        <v/>
      </c>
      <c r="E43" s="58" t="str">
        <f t="shared" si="26"/>
        <v/>
      </c>
      <c r="F43" s="58" t="str">
        <f t="shared" si="26"/>
        <v/>
      </c>
      <c r="G43" s="58" t="str">
        <f t="shared" si="26"/>
        <v/>
      </c>
      <c r="H43" s="58" t="str">
        <f t="shared" si="26"/>
        <v/>
      </c>
      <c r="I43" s="58" t="str">
        <f t="shared" si="26"/>
        <v/>
      </c>
      <c r="J43" s="58" t="str">
        <f t="shared" si="26"/>
        <v/>
      </c>
      <c r="K43" s="58" t="str">
        <f t="shared" si="26"/>
        <v/>
      </c>
      <c r="L43" s="58" t="str">
        <f t="shared" si="26"/>
        <v/>
      </c>
      <c r="M43" s="58" t="str">
        <f t="shared" si="26"/>
        <v/>
      </c>
      <c r="N43" s="58" t="str">
        <f t="shared" si="26"/>
        <v/>
      </c>
      <c r="O43" s="58" t="str">
        <f t="shared" si="26"/>
        <v/>
      </c>
      <c r="P43" s="58" t="str">
        <f t="shared" ref="P43:Y43" si="27">IF($C$14=1,P72,IF($C$14=2,P95,IF($C$14=3,P118,"")))</f>
        <v/>
      </c>
      <c r="Q43" s="58" t="str">
        <f t="shared" si="27"/>
        <v/>
      </c>
      <c r="R43" s="58" t="str">
        <f t="shared" si="27"/>
        <v/>
      </c>
      <c r="S43" s="58" t="str">
        <f t="shared" si="27"/>
        <v/>
      </c>
      <c r="T43" s="58" t="str">
        <f t="shared" si="27"/>
        <v/>
      </c>
      <c r="U43" s="58" t="str">
        <f t="shared" si="27"/>
        <v/>
      </c>
      <c r="V43" s="58" t="str">
        <f t="shared" si="27"/>
        <v/>
      </c>
      <c r="W43" s="58" t="str">
        <f t="shared" si="27"/>
        <v/>
      </c>
      <c r="X43" s="58" t="str">
        <f t="shared" si="27"/>
        <v/>
      </c>
      <c r="Y43" s="58" t="str">
        <f t="shared" si="27"/>
        <v/>
      </c>
    </row>
    <row r="44" spans="2:25" x14ac:dyDescent="0.3">
      <c r="B44" s="76"/>
      <c r="C44" s="34" t="str">
        <f t="shared" ref="C44:O44" si="28">IF($C$14=1,C73,IF($C$14=2,C96,IF($C$14=3,C119,"")))</f>
        <v/>
      </c>
      <c r="D44" s="60" t="str">
        <f t="shared" si="28"/>
        <v/>
      </c>
      <c r="E44" s="58" t="str">
        <f t="shared" si="28"/>
        <v/>
      </c>
      <c r="F44" s="58" t="str">
        <f t="shared" si="28"/>
        <v/>
      </c>
      <c r="G44" s="58" t="str">
        <f t="shared" si="28"/>
        <v/>
      </c>
      <c r="H44" s="58" t="str">
        <f t="shared" si="28"/>
        <v/>
      </c>
      <c r="I44" s="58" t="str">
        <f t="shared" si="28"/>
        <v/>
      </c>
      <c r="J44" s="58" t="str">
        <f t="shared" si="28"/>
        <v/>
      </c>
      <c r="K44" s="58" t="str">
        <f t="shared" si="28"/>
        <v/>
      </c>
      <c r="L44" s="58" t="str">
        <f t="shared" si="28"/>
        <v/>
      </c>
      <c r="M44" s="58" t="str">
        <f t="shared" si="28"/>
        <v/>
      </c>
      <c r="N44" s="58" t="str">
        <f t="shared" si="28"/>
        <v/>
      </c>
      <c r="O44" s="58" t="str">
        <f t="shared" si="28"/>
        <v/>
      </c>
      <c r="P44" s="58" t="str">
        <f t="shared" ref="P44:Y44" si="29">IF($C$14=1,P73,IF($C$14=2,P96,IF($C$14=3,P119,"")))</f>
        <v/>
      </c>
      <c r="Q44" s="58" t="str">
        <f t="shared" si="29"/>
        <v/>
      </c>
      <c r="R44" s="58" t="str">
        <f t="shared" si="29"/>
        <v/>
      </c>
      <c r="S44" s="58" t="str">
        <f t="shared" si="29"/>
        <v/>
      </c>
      <c r="T44" s="58" t="str">
        <f t="shared" si="29"/>
        <v/>
      </c>
      <c r="U44" s="58" t="str">
        <f t="shared" si="29"/>
        <v/>
      </c>
      <c r="V44" s="58" t="str">
        <f t="shared" si="29"/>
        <v/>
      </c>
      <c r="W44" s="58" t="str">
        <f t="shared" si="29"/>
        <v/>
      </c>
      <c r="X44" s="58" t="str">
        <f t="shared" si="29"/>
        <v/>
      </c>
      <c r="Y44" s="58" t="str">
        <f t="shared" si="29"/>
        <v/>
      </c>
    </row>
    <row r="45" spans="2:25" x14ac:dyDescent="0.3">
      <c r="B45" s="76"/>
      <c r="C45" s="34" t="str">
        <f t="shared" ref="C45:O45" si="30">IF($C$14=1,C74,IF($C$14=2,C97,IF($C$14=3,C120,"")))</f>
        <v/>
      </c>
      <c r="D45" s="60" t="str">
        <f t="shared" si="30"/>
        <v/>
      </c>
      <c r="E45" s="58" t="str">
        <f t="shared" si="30"/>
        <v/>
      </c>
      <c r="F45" s="58" t="str">
        <f t="shared" si="30"/>
        <v/>
      </c>
      <c r="G45" s="58" t="str">
        <f t="shared" si="30"/>
        <v/>
      </c>
      <c r="H45" s="58" t="str">
        <f t="shared" si="30"/>
        <v/>
      </c>
      <c r="I45" s="58" t="str">
        <f t="shared" si="30"/>
        <v/>
      </c>
      <c r="J45" s="58" t="str">
        <f t="shared" si="30"/>
        <v/>
      </c>
      <c r="K45" s="58" t="str">
        <f t="shared" si="30"/>
        <v/>
      </c>
      <c r="L45" s="58" t="str">
        <f t="shared" si="30"/>
        <v/>
      </c>
      <c r="M45" s="58" t="str">
        <f t="shared" si="30"/>
        <v/>
      </c>
      <c r="N45" s="58" t="str">
        <f t="shared" si="30"/>
        <v/>
      </c>
      <c r="O45" s="58" t="str">
        <f t="shared" si="30"/>
        <v/>
      </c>
      <c r="P45" s="58" t="str">
        <f t="shared" ref="P45:Y45" si="31">IF($C$14=1,P74,IF($C$14=2,P97,IF($C$14=3,P120,"")))</f>
        <v/>
      </c>
      <c r="Q45" s="58" t="str">
        <f t="shared" si="31"/>
        <v/>
      </c>
      <c r="R45" s="58" t="str">
        <f t="shared" si="31"/>
        <v/>
      </c>
      <c r="S45" s="58" t="str">
        <f t="shared" si="31"/>
        <v/>
      </c>
      <c r="T45" s="58" t="str">
        <f t="shared" si="31"/>
        <v/>
      </c>
      <c r="U45" s="58" t="str">
        <f t="shared" si="31"/>
        <v/>
      </c>
      <c r="V45" s="58" t="str">
        <f t="shared" si="31"/>
        <v/>
      </c>
      <c r="W45" s="58" t="str">
        <f t="shared" si="31"/>
        <v/>
      </c>
      <c r="X45" s="58" t="str">
        <f t="shared" si="31"/>
        <v/>
      </c>
      <c r="Y45" s="58" t="str">
        <f t="shared" si="31"/>
        <v/>
      </c>
    </row>
    <row r="46" spans="2:25" x14ac:dyDescent="0.3">
      <c r="B46" s="76"/>
      <c r="C46" s="34" t="str">
        <f t="shared" ref="C46:O46" si="32">IF($C$14=1,C75,IF($C$14=2,C98,IF($C$14=3,C121,"")))</f>
        <v/>
      </c>
      <c r="D46" s="60" t="str">
        <f t="shared" si="32"/>
        <v/>
      </c>
      <c r="E46" s="58" t="str">
        <f t="shared" si="32"/>
        <v/>
      </c>
      <c r="F46" s="58" t="str">
        <f t="shared" si="32"/>
        <v/>
      </c>
      <c r="G46" s="58" t="str">
        <f t="shared" si="32"/>
        <v/>
      </c>
      <c r="H46" s="58" t="str">
        <f t="shared" si="32"/>
        <v/>
      </c>
      <c r="I46" s="58" t="str">
        <f t="shared" si="32"/>
        <v/>
      </c>
      <c r="J46" s="58" t="str">
        <f t="shared" si="32"/>
        <v/>
      </c>
      <c r="K46" s="58" t="str">
        <f t="shared" si="32"/>
        <v/>
      </c>
      <c r="L46" s="58" t="str">
        <f t="shared" si="32"/>
        <v/>
      </c>
      <c r="M46" s="58" t="str">
        <f t="shared" si="32"/>
        <v/>
      </c>
      <c r="N46" s="58" t="str">
        <f t="shared" si="32"/>
        <v/>
      </c>
      <c r="O46" s="58" t="str">
        <f t="shared" si="32"/>
        <v/>
      </c>
      <c r="P46" s="58" t="str">
        <f t="shared" ref="P46:Y46" si="33">IF($C$14=1,P75,IF($C$14=2,P98,IF($C$14=3,P121,"")))</f>
        <v/>
      </c>
      <c r="Q46" s="58" t="str">
        <f t="shared" si="33"/>
        <v/>
      </c>
      <c r="R46" s="58" t="str">
        <f t="shared" si="33"/>
        <v/>
      </c>
      <c r="S46" s="58" t="str">
        <f t="shared" si="33"/>
        <v/>
      </c>
      <c r="T46" s="58" t="str">
        <f t="shared" si="33"/>
        <v/>
      </c>
      <c r="U46" s="58" t="str">
        <f t="shared" si="33"/>
        <v/>
      </c>
      <c r="V46" s="58" t="str">
        <f t="shared" si="33"/>
        <v/>
      </c>
      <c r="W46" s="58" t="str">
        <f t="shared" si="33"/>
        <v/>
      </c>
      <c r="X46" s="58" t="str">
        <f t="shared" si="33"/>
        <v/>
      </c>
      <c r="Y46" s="58" t="str">
        <f t="shared" si="33"/>
        <v/>
      </c>
    </row>
    <row r="47" spans="2:25" x14ac:dyDescent="0.3">
      <c r="B47" s="76"/>
      <c r="C47" s="34" t="str">
        <f t="shared" ref="C47:O47" si="34">IF($C$14=1,C76,IF($C$14=2,C99,IF($C$14=3,C122,"")))</f>
        <v/>
      </c>
      <c r="D47" s="60" t="str">
        <f t="shared" si="34"/>
        <v/>
      </c>
      <c r="E47" s="58" t="str">
        <f t="shared" si="34"/>
        <v/>
      </c>
      <c r="F47" s="58" t="str">
        <f t="shared" si="34"/>
        <v/>
      </c>
      <c r="G47" s="58" t="str">
        <f t="shared" si="34"/>
        <v/>
      </c>
      <c r="H47" s="58" t="str">
        <f t="shared" si="34"/>
        <v/>
      </c>
      <c r="I47" s="58" t="str">
        <f t="shared" si="34"/>
        <v/>
      </c>
      <c r="J47" s="58" t="str">
        <f t="shared" si="34"/>
        <v/>
      </c>
      <c r="K47" s="58" t="str">
        <f t="shared" si="34"/>
        <v/>
      </c>
      <c r="L47" s="58" t="str">
        <f t="shared" si="34"/>
        <v/>
      </c>
      <c r="M47" s="58" t="str">
        <f t="shared" si="34"/>
        <v/>
      </c>
      <c r="N47" s="58" t="str">
        <f t="shared" si="34"/>
        <v/>
      </c>
      <c r="O47" s="58" t="str">
        <f t="shared" si="34"/>
        <v/>
      </c>
      <c r="P47" s="58" t="str">
        <f t="shared" ref="P47:Y47" si="35">IF($C$14=1,P76,IF($C$14=2,P99,IF($C$14=3,P122,"")))</f>
        <v/>
      </c>
      <c r="Q47" s="58" t="str">
        <f t="shared" si="35"/>
        <v/>
      </c>
      <c r="R47" s="58" t="str">
        <f t="shared" si="35"/>
        <v/>
      </c>
      <c r="S47" s="58" t="str">
        <f t="shared" si="35"/>
        <v/>
      </c>
      <c r="T47" s="58" t="str">
        <f t="shared" si="35"/>
        <v/>
      </c>
      <c r="U47" s="58" t="str">
        <f t="shared" si="35"/>
        <v/>
      </c>
      <c r="V47" s="58" t="str">
        <f t="shared" si="35"/>
        <v/>
      </c>
      <c r="W47" s="58" t="str">
        <f t="shared" si="35"/>
        <v/>
      </c>
      <c r="X47" s="58" t="str">
        <f t="shared" si="35"/>
        <v/>
      </c>
      <c r="Y47" s="58" t="str">
        <f t="shared" si="35"/>
        <v/>
      </c>
    </row>
    <row r="48" spans="2:25" x14ac:dyDescent="0.3">
      <c r="B48" s="76"/>
      <c r="C48" s="34" t="str">
        <f t="shared" ref="C48:O49" si="36">IF($C$14=1,C77,IF($C$14=2,C100,IF($C$14=3,C123,"")))</f>
        <v/>
      </c>
      <c r="D48" s="60" t="str">
        <f t="shared" si="36"/>
        <v/>
      </c>
      <c r="E48" s="58" t="str">
        <f t="shared" si="36"/>
        <v/>
      </c>
      <c r="F48" s="58" t="str">
        <f t="shared" si="36"/>
        <v/>
      </c>
      <c r="G48" s="58" t="str">
        <f t="shared" si="36"/>
        <v/>
      </c>
      <c r="H48" s="58" t="str">
        <f t="shared" si="36"/>
        <v/>
      </c>
      <c r="I48" s="58" t="str">
        <f t="shared" si="36"/>
        <v/>
      </c>
      <c r="J48" s="58" t="str">
        <f t="shared" si="36"/>
        <v/>
      </c>
      <c r="K48" s="58" t="str">
        <f t="shared" si="36"/>
        <v/>
      </c>
      <c r="L48" s="58" t="str">
        <f t="shared" si="36"/>
        <v/>
      </c>
      <c r="M48" s="58" t="str">
        <f t="shared" si="36"/>
        <v/>
      </c>
      <c r="N48" s="58" t="str">
        <f t="shared" si="36"/>
        <v/>
      </c>
      <c r="O48" s="58" t="str">
        <f t="shared" si="36"/>
        <v/>
      </c>
      <c r="P48" s="58" t="str">
        <f t="shared" ref="P48:Y49" si="37">IF($C$14=1,P77,IF($C$14=2,P100,IF($C$14=3,P123,"")))</f>
        <v/>
      </c>
      <c r="Q48" s="58" t="str">
        <f t="shared" si="37"/>
        <v/>
      </c>
      <c r="R48" s="58" t="str">
        <f t="shared" si="37"/>
        <v/>
      </c>
      <c r="S48" s="58" t="str">
        <f t="shared" si="37"/>
        <v/>
      </c>
      <c r="T48" s="58" t="str">
        <f t="shared" si="37"/>
        <v/>
      </c>
      <c r="U48" s="58" t="str">
        <f t="shared" si="37"/>
        <v/>
      </c>
      <c r="V48" s="58" t="str">
        <f t="shared" si="37"/>
        <v/>
      </c>
      <c r="W48" s="58" t="str">
        <f t="shared" si="37"/>
        <v/>
      </c>
      <c r="X48" s="58" t="str">
        <f t="shared" si="37"/>
        <v/>
      </c>
      <c r="Y48" s="58" t="str">
        <f t="shared" si="37"/>
        <v/>
      </c>
    </row>
    <row r="49" spans="2:25" x14ac:dyDescent="0.3">
      <c r="B49" s="76"/>
      <c r="C49" s="34" t="str">
        <f t="shared" si="36"/>
        <v/>
      </c>
      <c r="D49" s="60" t="str">
        <f t="shared" si="36"/>
        <v/>
      </c>
      <c r="E49" s="58" t="str">
        <f t="shared" si="36"/>
        <v/>
      </c>
      <c r="F49" s="58" t="str">
        <f t="shared" si="36"/>
        <v/>
      </c>
      <c r="G49" s="58" t="str">
        <f t="shared" si="36"/>
        <v/>
      </c>
      <c r="H49" s="58" t="str">
        <f t="shared" si="36"/>
        <v/>
      </c>
      <c r="I49" s="58" t="str">
        <f t="shared" si="36"/>
        <v/>
      </c>
      <c r="J49" s="58" t="str">
        <f t="shared" si="36"/>
        <v/>
      </c>
      <c r="K49" s="58" t="str">
        <f t="shared" si="36"/>
        <v/>
      </c>
      <c r="L49" s="58" t="str">
        <f t="shared" si="36"/>
        <v/>
      </c>
      <c r="M49" s="58" t="str">
        <f t="shared" si="36"/>
        <v/>
      </c>
      <c r="N49" s="58" t="str">
        <f t="shared" si="36"/>
        <v/>
      </c>
      <c r="O49" s="58" t="str">
        <f t="shared" si="36"/>
        <v/>
      </c>
      <c r="P49" s="58" t="str">
        <f t="shared" si="37"/>
        <v/>
      </c>
      <c r="Q49" s="58" t="str">
        <f t="shared" si="37"/>
        <v/>
      </c>
      <c r="R49" s="58" t="str">
        <f t="shared" si="37"/>
        <v/>
      </c>
      <c r="S49" s="58" t="str">
        <f t="shared" si="37"/>
        <v/>
      </c>
      <c r="T49" s="58" t="str">
        <f t="shared" si="37"/>
        <v/>
      </c>
      <c r="U49" s="58" t="str">
        <f t="shared" si="37"/>
        <v/>
      </c>
      <c r="V49" s="58" t="str">
        <f t="shared" si="37"/>
        <v/>
      </c>
      <c r="W49" s="58" t="str">
        <f t="shared" si="37"/>
        <v/>
      </c>
      <c r="X49" s="58" t="str">
        <f t="shared" si="37"/>
        <v/>
      </c>
      <c r="Y49" s="58" t="str">
        <f t="shared" si="37"/>
        <v/>
      </c>
    </row>
    <row r="50" spans="2:25" x14ac:dyDescent="0.3">
      <c r="B50" s="76"/>
      <c r="C50" s="76"/>
      <c r="D50" s="76"/>
      <c r="E50" s="77"/>
      <c r="F50" s="77"/>
      <c r="G50" s="77"/>
      <c r="H50" s="77"/>
      <c r="I50" s="77"/>
      <c r="J50" s="77"/>
      <c r="K50" s="77"/>
      <c r="L50" s="77"/>
      <c r="M50" s="77"/>
      <c r="N50" s="77"/>
    </row>
    <row r="51" spans="2:25" x14ac:dyDescent="0.3">
      <c r="B51" s="76"/>
      <c r="C51" s="76"/>
      <c r="D51" s="76"/>
      <c r="E51" s="77"/>
      <c r="F51" s="77"/>
      <c r="G51" s="77"/>
      <c r="H51" s="77"/>
      <c r="I51" s="77"/>
      <c r="J51" s="77"/>
      <c r="K51" s="77"/>
      <c r="L51" s="77"/>
      <c r="M51" s="77"/>
      <c r="N51" s="77"/>
    </row>
    <row r="52" spans="2:25" s="74" customFormat="1" hidden="1" x14ac:dyDescent="0.3">
      <c r="D52" s="98"/>
      <c r="E52" s="99"/>
      <c r="F52" s="99"/>
      <c r="G52" s="99"/>
      <c r="H52" s="99"/>
      <c r="I52" s="99"/>
      <c r="J52" s="99"/>
      <c r="K52" s="99"/>
      <c r="L52" s="99"/>
      <c r="M52" s="99"/>
      <c r="N52" s="99"/>
    </row>
    <row r="53" spans="2:25" s="74" customFormat="1" hidden="1" x14ac:dyDescent="0.3">
      <c r="D53" s="98"/>
      <c r="E53" s="99"/>
      <c r="F53" s="99"/>
      <c r="G53" s="99"/>
      <c r="H53" s="99"/>
      <c r="I53" s="99"/>
      <c r="J53" s="99"/>
      <c r="K53" s="99"/>
      <c r="L53" s="99"/>
      <c r="M53" s="99"/>
      <c r="N53" s="99"/>
    </row>
    <row r="54" spans="2:25" s="74" customFormat="1" hidden="1" x14ac:dyDescent="0.3"/>
    <row r="55" spans="2:25" s="74" customFormat="1" hidden="1" x14ac:dyDescent="0.3"/>
    <row r="56" spans="2:25" hidden="1" x14ac:dyDescent="0.3"/>
    <row r="57" spans="2:25" hidden="1" x14ac:dyDescent="0.3"/>
    <row r="58" spans="2:25" hidden="1" x14ac:dyDescent="0.3">
      <c r="C58" s="33" t="s">
        <v>391</v>
      </c>
      <c r="F58" s="66">
        <v>1</v>
      </c>
      <c r="G58" s="66">
        <v>2</v>
      </c>
      <c r="H58" s="66">
        <v>3</v>
      </c>
      <c r="I58" s="66">
        <v>4</v>
      </c>
      <c r="J58" s="66">
        <v>5</v>
      </c>
      <c r="K58" s="66">
        <v>6</v>
      </c>
      <c r="L58" s="66">
        <v>7</v>
      </c>
      <c r="M58" s="66">
        <v>8</v>
      </c>
      <c r="N58" s="66">
        <v>9</v>
      </c>
      <c r="O58" s="66">
        <v>10</v>
      </c>
      <c r="P58" s="66">
        <v>11</v>
      </c>
      <c r="Q58" s="66">
        <v>12</v>
      </c>
      <c r="R58" s="66">
        <v>13</v>
      </c>
      <c r="S58" s="66">
        <v>14</v>
      </c>
      <c r="T58" s="66">
        <v>15</v>
      </c>
      <c r="U58" s="66">
        <v>16</v>
      </c>
      <c r="V58" s="66">
        <v>17</v>
      </c>
      <c r="W58" s="66">
        <v>18</v>
      </c>
      <c r="X58" s="66">
        <v>19</v>
      </c>
      <c r="Y58" s="66">
        <v>20</v>
      </c>
    </row>
    <row r="59" spans="2:25" ht="48" hidden="1" customHeight="1" x14ac:dyDescent="0.3">
      <c r="C59" s="36" t="s">
        <v>508</v>
      </c>
      <c r="D59" s="36" t="s">
        <v>322</v>
      </c>
      <c r="E59" s="36" t="s">
        <v>324</v>
      </c>
      <c r="F59" s="36" t="str">
        <f>IF(COUNTIF(Lists!$B$28:$B$35,F58)&gt;0,VLOOKUP(F58,Lists!$B$28:$C$35,2,0),"")</f>
        <v/>
      </c>
      <c r="G59" s="36" t="str">
        <f>IF(COUNTIF(Lists!$B$28:$B$35,G58)&gt;0,VLOOKUP(G58,Lists!$B$28:$C$35,2,0),"")</f>
        <v/>
      </c>
      <c r="H59" s="36" t="str">
        <f>IF(COUNTIF(Lists!$B$28:$B$35,H58)&gt;0,VLOOKUP(H58,Lists!$B$28:$C$35,2,0),"")</f>
        <v/>
      </c>
      <c r="I59" s="36" t="str">
        <f>IF(COUNTIF(Lists!$B$28:$B$35,I58)&gt;0,VLOOKUP(I58,Lists!$B$28:$C$35,2,0),"")</f>
        <v/>
      </c>
      <c r="J59" s="36" t="str">
        <f>IF(COUNTIF(Lists!$B$28:$B$35,J58)&gt;0,VLOOKUP(J58,Lists!$B$28:$C$35,2,0),"")</f>
        <v/>
      </c>
      <c r="K59" s="36" t="str">
        <f>IF(COUNTIF(Lists!$B$28:$B$35,K58)&gt;0,VLOOKUP(K58,Lists!$B$28:$C$35,2,0),"")</f>
        <v/>
      </c>
      <c r="L59" s="36" t="str">
        <f>IF(COUNTIF(Lists!$B$28:$B$35,L58)&gt;0,VLOOKUP(L58,Lists!$B$28:$C$35,2,0),"")</f>
        <v/>
      </c>
      <c r="M59" s="36" t="str">
        <f>IF(COUNTIF(Lists!$B$28:$B$35,M58)&gt;0,VLOOKUP(M58,Lists!$B$28:$C$35,2,0),"")</f>
        <v/>
      </c>
      <c r="N59" s="36" t="str">
        <f>IF(COUNTIF(Lists!$B$28:$B$35,N58)&gt;0,VLOOKUP(N58,Lists!$B$28:$C$35,2,0),"")</f>
        <v/>
      </c>
      <c r="O59" s="78" t="str">
        <f>""</f>
        <v/>
      </c>
      <c r="P59" s="78" t="str">
        <f>""</f>
        <v/>
      </c>
      <c r="Q59" s="78" t="str">
        <f>""</f>
        <v/>
      </c>
      <c r="R59" s="78" t="str">
        <f>""</f>
        <v/>
      </c>
      <c r="S59" s="79" t="str">
        <f>""</f>
        <v/>
      </c>
      <c r="T59" s="79" t="str">
        <f>""</f>
        <v/>
      </c>
      <c r="U59" s="79" t="str">
        <f>""</f>
        <v/>
      </c>
      <c r="V59" s="79" t="str">
        <f>""</f>
        <v/>
      </c>
      <c r="W59" s="79" t="str">
        <f>""</f>
        <v/>
      </c>
      <c r="X59" s="79" t="str">
        <f>""</f>
        <v/>
      </c>
      <c r="Y59" s="79" t="str">
        <f>""</f>
        <v/>
      </c>
    </row>
    <row r="60" spans="2:25" hidden="1" x14ac:dyDescent="0.3">
      <c r="C60" s="59" t="s">
        <v>322</v>
      </c>
      <c r="D60" s="60">
        <f>'Emissions Database'!$BS$204</f>
        <v>0</v>
      </c>
      <c r="E60" s="60">
        <f>D60-SUM(F60:N60)</f>
        <v>0</v>
      </c>
      <c r="F60" s="60" t="str">
        <f>IF(F$59="","",SUMIF('Emissions Database'!$CK$3:$CS$3,F$59,'Emissions Database'!$CK$204:$CS$204))</f>
        <v/>
      </c>
      <c r="G60" s="60" t="str">
        <f>IF(G$59="","",SUMIF('Emissions Database'!$CK$3:$CS$3,G$59,'Emissions Database'!$CK$204:$CS$204))</f>
        <v/>
      </c>
      <c r="H60" s="60" t="str">
        <f>IF(H$59="","",SUMIF('Emissions Database'!$CK$3:$CS$3,H$59,'Emissions Database'!$CK$204:$CS$204))</f>
        <v/>
      </c>
      <c r="I60" s="60" t="str">
        <f>IF(I$59="","",SUMIF('Emissions Database'!$CK$3:$CS$3,I$59,'Emissions Database'!$CK$204:$CS$204))</f>
        <v/>
      </c>
      <c r="J60" s="60" t="str">
        <f>IF(J$59="","",SUMIF('Emissions Database'!$CK$3:$CS$3,J$59,'Emissions Database'!$CK$204:$CS$204))</f>
        <v/>
      </c>
      <c r="K60" s="60" t="str">
        <f>IF(K$59="","",SUMIF('Emissions Database'!$CK$3:$CS$3,K$59,'Emissions Database'!$CK$204:$CS$204))</f>
        <v/>
      </c>
      <c r="L60" s="60" t="str">
        <f>IF(L$59="","",SUMIF('Emissions Database'!$CK$3:$CS$3,L$59,'Emissions Database'!$CK$204:$CS$204))</f>
        <v/>
      </c>
      <c r="M60" s="60" t="str">
        <f>IF(M$59="","",SUMIF('Emissions Database'!$CK$3:$CS$3,M$59,'Emissions Database'!$CK$204:$CS$204))</f>
        <v/>
      </c>
      <c r="N60" s="60" t="str">
        <f>IF(N$59="","",SUMIF('Emissions Database'!$CK$3:$CS$3,N$59,'Emissions Database'!$CK$204:$CS$204))</f>
        <v/>
      </c>
      <c r="O60" s="79" t="str">
        <f>""</f>
        <v/>
      </c>
      <c r="P60" s="79" t="str">
        <f>""</f>
        <v/>
      </c>
      <c r="Q60" s="79" t="str">
        <f>""</f>
        <v/>
      </c>
      <c r="R60" s="79" t="str">
        <f>""</f>
        <v/>
      </c>
      <c r="S60" s="79" t="str">
        <f>""</f>
        <v/>
      </c>
      <c r="T60" s="79" t="str">
        <f>""</f>
        <v/>
      </c>
      <c r="U60" s="79" t="str">
        <f>""</f>
        <v/>
      </c>
      <c r="V60" s="79" t="str">
        <f>""</f>
        <v/>
      </c>
      <c r="W60" s="79" t="str">
        <f>""</f>
        <v/>
      </c>
      <c r="X60" s="79" t="str">
        <f>""</f>
        <v/>
      </c>
      <c r="Y60" s="79" t="str">
        <f>""</f>
        <v/>
      </c>
    </row>
    <row r="61" spans="2:25" hidden="1" x14ac:dyDescent="0.3">
      <c r="C61" s="73" t="s">
        <v>324</v>
      </c>
      <c r="D61" s="60">
        <f>D60-SUM(D62:D78)</f>
        <v>0</v>
      </c>
      <c r="E61" s="75">
        <f>E60-SUM(E62:E78)</f>
        <v>0</v>
      </c>
      <c r="F61" s="75" t="str">
        <f>IF(F59="","",F60-SUM(F62:F78))</f>
        <v/>
      </c>
      <c r="G61" s="75" t="str">
        <f t="shared" ref="G61:N61" si="38">IF(G59="","",G60-SUM(G62:G78))</f>
        <v/>
      </c>
      <c r="H61" s="75" t="str">
        <f t="shared" si="38"/>
        <v/>
      </c>
      <c r="I61" s="75" t="str">
        <f t="shared" si="38"/>
        <v/>
      </c>
      <c r="J61" s="75" t="str">
        <f t="shared" si="38"/>
        <v/>
      </c>
      <c r="K61" s="75" t="str">
        <f t="shared" si="38"/>
        <v/>
      </c>
      <c r="L61" s="75" t="str">
        <f t="shared" si="38"/>
        <v/>
      </c>
      <c r="M61" s="75" t="str">
        <f t="shared" si="38"/>
        <v/>
      </c>
      <c r="N61" s="75" t="str">
        <f t="shared" si="38"/>
        <v/>
      </c>
      <c r="O61" s="79" t="str">
        <f>""</f>
        <v/>
      </c>
      <c r="P61" s="79" t="str">
        <f>""</f>
        <v/>
      </c>
      <c r="Q61" s="79" t="str">
        <f>""</f>
        <v/>
      </c>
      <c r="R61" s="79" t="str">
        <f>""</f>
        <v/>
      </c>
      <c r="S61" s="79" t="str">
        <f>""</f>
        <v/>
      </c>
      <c r="T61" s="79" t="str">
        <f>""</f>
        <v/>
      </c>
      <c r="U61" s="79" t="str">
        <f>""</f>
        <v/>
      </c>
      <c r="V61" s="79" t="str">
        <f>""</f>
        <v/>
      </c>
      <c r="W61" s="79" t="str">
        <f>""</f>
        <v/>
      </c>
      <c r="X61" s="79" t="str">
        <f>""</f>
        <v/>
      </c>
      <c r="Y61" s="79" t="str">
        <f>""</f>
        <v/>
      </c>
    </row>
    <row r="62" spans="2:25" hidden="1" x14ac:dyDescent="0.3">
      <c r="B62" s="66">
        <v>1</v>
      </c>
      <c r="C62" s="34" t="str">
        <f>IF(COUNTIF(Lists!$B$3:$B$22,B62)=0,"",VLOOKUP(B62,Lists!$B$3:$C$22,2,0))</f>
        <v/>
      </c>
      <c r="D62" s="60" t="str">
        <f>IF($C62="","",SUMIF('Emissions Database'!$B$232:$B$251,$C62,'Emissions Database'!$BS$232:$BS$251))</f>
        <v/>
      </c>
      <c r="E62" s="58" t="str">
        <f>IF(C62="","",D62-SUM(F62:N62))</f>
        <v/>
      </c>
      <c r="F62" s="58" t="str">
        <f>IF(OR(F$59="",$C62=""),"",HLOOKUP(F$59,'Emissions Database'!$CK$3:$CS$251,MATCH($C62,'Emissions Database'!$B$3:$B$251,0),0))</f>
        <v/>
      </c>
      <c r="G62" s="58" t="str">
        <f>IF(OR(G$59="",$C62=""),"",HLOOKUP(G$59,'Emissions Database'!$CK$3:$CS$251,MATCH($C62,'Emissions Database'!$B$3:$B$251,0),0))</f>
        <v/>
      </c>
      <c r="H62" s="58" t="str">
        <f>IF(OR(H$59="",$C62=""),"",HLOOKUP(H$59,'Emissions Database'!$CK$3:$CS$251,MATCH($C62,'Emissions Database'!$B$3:$B$251,0),0))</f>
        <v/>
      </c>
      <c r="I62" s="58" t="str">
        <f>IF(OR(I$59="",$C62=""),"",HLOOKUP(I$59,'Emissions Database'!$CK$3:$CS$251,MATCH($C62,'Emissions Database'!$B$3:$B$251,0),0))</f>
        <v/>
      </c>
      <c r="J62" s="58" t="str">
        <f>IF(OR(J$59="",$C62=""),"",HLOOKUP(J$59,'Emissions Database'!$CK$3:$CS$251,MATCH($C62,'Emissions Database'!$B$3:$B$251,0),0))</f>
        <v/>
      </c>
      <c r="K62" s="58" t="str">
        <f>IF(OR(K$59="",$C62=""),"",HLOOKUP(K$59,'Emissions Database'!$CK$3:$CS$251,MATCH($C62,'Emissions Database'!$B$3:$B$251,0),0))</f>
        <v/>
      </c>
      <c r="L62" s="58" t="str">
        <f>IF(OR(L$59="",$C62=""),"",HLOOKUP(L$59,'Emissions Database'!$CK$3:$CS$251,MATCH($C62,'Emissions Database'!$B$3:$B$251,0),0))</f>
        <v/>
      </c>
      <c r="M62" s="58" t="str">
        <f>IF(OR(M$59="",$C62=""),"",HLOOKUP(M$59,'Emissions Database'!$CK$3:$CS$251,MATCH($C62,'Emissions Database'!$B$3:$B$251,0),0))</f>
        <v/>
      </c>
      <c r="N62" s="58" t="str">
        <f>IF(OR(N$59="",$C62=""),"",HLOOKUP(N$59,'Emissions Database'!$CK$3:$CS$251,MATCH($C62,'Emissions Database'!$B$3:$B$251,0),0))</f>
        <v/>
      </c>
      <c r="O62" s="79" t="str">
        <f>""</f>
        <v/>
      </c>
      <c r="P62" s="79" t="str">
        <f>""</f>
        <v/>
      </c>
      <c r="Q62" s="79" t="str">
        <f>""</f>
        <v/>
      </c>
      <c r="R62" s="79" t="str">
        <f>""</f>
        <v/>
      </c>
      <c r="S62" s="79" t="str">
        <f>""</f>
        <v/>
      </c>
      <c r="T62" s="79" t="str">
        <f>""</f>
        <v/>
      </c>
      <c r="U62" s="79" t="str">
        <f>""</f>
        <v/>
      </c>
      <c r="V62" s="79" t="str">
        <f>""</f>
        <v/>
      </c>
      <c r="W62" s="79" t="str">
        <f>""</f>
        <v/>
      </c>
      <c r="X62" s="79" t="str">
        <f>""</f>
        <v/>
      </c>
      <c r="Y62" s="79" t="str">
        <f>""</f>
        <v/>
      </c>
    </row>
    <row r="63" spans="2:25" hidden="1" x14ac:dyDescent="0.3">
      <c r="B63" s="66">
        <v>2</v>
      </c>
      <c r="C63" s="34" t="str">
        <f>IF(COUNTIF(Lists!$B$3:$B$22,B63)=0,"",VLOOKUP(B63,Lists!$B$3:$C$22,2,0))</f>
        <v/>
      </c>
      <c r="D63" s="60" t="str">
        <f>IF($C63="","",SUMIF('Emissions Database'!$B$232:$B$251,$C63,'Emissions Database'!$BS$232:$BS$251))</f>
        <v/>
      </c>
      <c r="E63" s="58" t="str">
        <f t="shared" ref="E63:E77" si="39">IF(C63="","",D63-SUM(F63:N63))</f>
        <v/>
      </c>
      <c r="F63" s="58" t="str">
        <f>IF(OR(F$59="",$C63=""),"",HLOOKUP(F$59,'Emissions Database'!$CK$3:$CS$251,MATCH($C63,'Emissions Database'!$B$3:$B$251,0),0))</f>
        <v/>
      </c>
      <c r="G63" s="58" t="str">
        <f>IF(OR(G$59="",$C63=""),"",HLOOKUP(G$59,'Emissions Database'!$CK$3:$CS$251,MATCH($C63,'Emissions Database'!$B$3:$B$251,0),0))</f>
        <v/>
      </c>
      <c r="H63" s="58" t="str">
        <f>IF(OR(H$59="",$C63=""),"",HLOOKUP(H$59,'Emissions Database'!$CK$3:$CS$251,MATCH($C63,'Emissions Database'!$B$3:$B$251,0),0))</f>
        <v/>
      </c>
      <c r="I63" s="58" t="str">
        <f>IF(OR(I$59="",$C63=""),"",HLOOKUP(I$59,'Emissions Database'!$CK$3:$CS$251,MATCH($C63,'Emissions Database'!$B$3:$B$251,0),0))</f>
        <v/>
      </c>
      <c r="J63" s="58" t="str">
        <f>IF(OR(J$59="",$C63=""),"",HLOOKUP(J$59,'Emissions Database'!$CK$3:$CS$251,MATCH($C63,'Emissions Database'!$B$3:$B$251,0),0))</f>
        <v/>
      </c>
      <c r="K63" s="58" t="str">
        <f>IF(OR(K$59="",$C63=""),"",HLOOKUP(K$59,'Emissions Database'!$CK$3:$CS$251,MATCH($C63,'Emissions Database'!$B$3:$B$251,0),0))</f>
        <v/>
      </c>
      <c r="L63" s="58" t="str">
        <f>IF(OR(L$59="",$C63=""),"",HLOOKUP(L$59,'Emissions Database'!$CK$3:$CS$251,MATCH($C63,'Emissions Database'!$B$3:$B$251,0),0))</f>
        <v/>
      </c>
      <c r="M63" s="58" t="str">
        <f>IF(OR(M$59="",$C63=""),"",HLOOKUP(M$59,'Emissions Database'!$CK$3:$CS$251,MATCH($C63,'Emissions Database'!$B$3:$B$251,0),0))</f>
        <v/>
      </c>
      <c r="N63" s="58" t="str">
        <f>IF(OR(N$59="",$C63=""),"",HLOOKUP(N$59,'Emissions Database'!$CK$3:$CS$251,MATCH($C63,'Emissions Database'!$B$3:$B$251,0),0))</f>
        <v/>
      </c>
      <c r="O63" s="79" t="str">
        <f>""</f>
        <v/>
      </c>
      <c r="P63" s="79" t="str">
        <f>""</f>
        <v/>
      </c>
      <c r="Q63" s="79" t="str">
        <f>""</f>
        <v/>
      </c>
      <c r="R63" s="79" t="str">
        <f>""</f>
        <v/>
      </c>
      <c r="S63" s="79" t="str">
        <f>""</f>
        <v/>
      </c>
      <c r="T63" s="79" t="str">
        <f>""</f>
        <v/>
      </c>
      <c r="U63" s="79" t="str">
        <f>""</f>
        <v/>
      </c>
      <c r="V63" s="79" t="str">
        <f>""</f>
        <v/>
      </c>
      <c r="W63" s="79" t="str">
        <f>""</f>
        <v/>
      </c>
      <c r="X63" s="79" t="str">
        <f>""</f>
        <v/>
      </c>
      <c r="Y63" s="79" t="str">
        <f>""</f>
        <v/>
      </c>
    </row>
    <row r="64" spans="2:25" hidden="1" x14ac:dyDescent="0.3">
      <c r="B64" s="66">
        <v>3</v>
      </c>
      <c r="C64" s="34" t="str">
        <f>IF(COUNTIF(Lists!$B$3:$B$22,B64)=0,"",VLOOKUP(B64,Lists!$B$3:$C$22,2,0))</f>
        <v/>
      </c>
      <c r="D64" s="60" t="str">
        <f>IF($C64="","",SUMIF('Emissions Database'!$B$232:$B$251,$C64,'Emissions Database'!$BS$232:$BS$251))</f>
        <v/>
      </c>
      <c r="E64" s="58" t="str">
        <f t="shared" si="39"/>
        <v/>
      </c>
      <c r="F64" s="58" t="str">
        <f>IF(OR(F$59="",$C64=""),"",HLOOKUP(F$59,'Emissions Database'!$CK$3:$CS$251,MATCH($C64,'Emissions Database'!$B$3:$B$251,0),0))</f>
        <v/>
      </c>
      <c r="G64" s="58" t="str">
        <f>IF(OR(G$59="",$C64=""),"",HLOOKUP(G$59,'Emissions Database'!$CK$3:$CS$251,MATCH($C64,'Emissions Database'!$B$3:$B$251,0),0))</f>
        <v/>
      </c>
      <c r="H64" s="58" t="str">
        <f>IF(OR(H$59="",$C64=""),"",HLOOKUP(H$59,'Emissions Database'!$CK$3:$CS$251,MATCH($C64,'Emissions Database'!$B$3:$B$251,0),0))</f>
        <v/>
      </c>
      <c r="I64" s="58" t="str">
        <f>IF(OR(I$59="",$C64=""),"",HLOOKUP(I$59,'Emissions Database'!$CK$3:$CS$251,MATCH($C64,'Emissions Database'!$B$3:$B$251,0),0))</f>
        <v/>
      </c>
      <c r="J64" s="58" t="str">
        <f>IF(OR(J$59="",$C64=""),"",HLOOKUP(J$59,'Emissions Database'!$CK$3:$CS$251,MATCH($C64,'Emissions Database'!$B$3:$B$251,0),0))</f>
        <v/>
      </c>
      <c r="K64" s="58" t="str">
        <f>IF(OR(K$59="",$C64=""),"",HLOOKUP(K$59,'Emissions Database'!$CK$3:$CS$251,MATCH($C64,'Emissions Database'!$B$3:$B$251,0),0))</f>
        <v/>
      </c>
      <c r="L64" s="58" t="str">
        <f>IF(OR(L$59="",$C64=""),"",HLOOKUP(L$59,'Emissions Database'!$CK$3:$CS$251,MATCH($C64,'Emissions Database'!$B$3:$B$251,0),0))</f>
        <v/>
      </c>
      <c r="M64" s="58" t="str">
        <f>IF(OR(M$59="",$C64=""),"",HLOOKUP(M$59,'Emissions Database'!$CK$3:$CS$251,MATCH($C64,'Emissions Database'!$B$3:$B$251,0),0))</f>
        <v/>
      </c>
      <c r="N64" s="58" t="str">
        <f>IF(OR(N$59="",$C64=""),"",HLOOKUP(N$59,'Emissions Database'!$CK$3:$CS$251,MATCH($C64,'Emissions Database'!$B$3:$B$251,0),0))</f>
        <v/>
      </c>
      <c r="O64" s="79" t="str">
        <f>""</f>
        <v/>
      </c>
      <c r="P64" s="79" t="str">
        <f>""</f>
        <v/>
      </c>
      <c r="Q64" s="79" t="str">
        <f>""</f>
        <v/>
      </c>
      <c r="R64" s="79" t="str">
        <f>""</f>
        <v/>
      </c>
      <c r="S64" s="79" t="str">
        <f>""</f>
        <v/>
      </c>
      <c r="T64" s="79" t="str">
        <f>""</f>
        <v/>
      </c>
      <c r="U64" s="79" t="str">
        <f>""</f>
        <v/>
      </c>
      <c r="V64" s="79" t="str">
        <f>""</f>
        <v/>
      </c>
      <c r="W64" s="79" t="str">
        <f>""</f>
        <v/>
      </c>
      <c r="X64" s="79" t="str">
        <f>""</f>
        <v/>
      </c>
      <c r="Y64" s="79" t="str">
        <f>""</f>
        <v/>
      </c>
    </row>
    <row r="65" spans="2:25" hidden="1" x14ac:dyDescent="0.3">
      <c r="B65" s="66">
        <v>4</v>
      </c>
      <c r="C65" s="34" t="str">
        <f>IF(COUNTIF(Lists!$B$3:$B$22,B65)=0,"",VLOOKUP(B65,Lists!$B$3:$C$22,2,0))</f>
        <v/>
      </c>
      <c r="D65" s="60" t="str">
        <f>IF($C65="","",SUMIF('Emissions Database'!$B$232:$B$251,$C65,'Emissions Database'!$BS$232:$BS$251))</f>
        <v/>
      </c>
      <c r="E65" s="58" t="str">
        <f t="shared" si="39"/>
        <v/>
      </c>
      <c r="F65" s="58" t="str">
        <f>IF(OR(F$59="",$C65=""),"",HLOOKUP(F$59,'Emissions Database'!$CK$3:$CS$251,MATCH($C65,'Emissions Database'!$B$3:$B$251,0),0))</f>
        <v/>
      </c>
      <c r="G65" s="58" t="str">
        <f>IF(OR(G$59="",$C65=""),"",HLOOKUP(G$59,'Emissions Database'!$CK$3:$CS$251,MATCH($C65,'Emissions Database'!$B$3:$B$251,0),0))</f>
        <v/>
      </c>
      <c r="H65" s="58" t="str">
        <f>IF(OR(H$59="",$C65=""),"",HLOOKUP(H$59,'Emissions Database'!$CK$3:$CS$251,MATCH($C65,'Emissions Database'!$B$3:$B$251,0),0))</f>
        <v/>
      </c>
      <c r="I65" s="58" t="str">
        <f>IF(OR(I$59="",$C65=""),"",HLOOKUP(I$59,'Emissions Database'!$CK$3:$CS$251,MATCH($C65,'Emissions Database'!$B$3:$B$251,0),0))</f>
        <v/>
      </c>
      <c r="J65" s="58" t="str">
        <f>IF(OR(J$59="",$C65=""),"",HLOOKUP(J$59,'Emissions Database'!$CK$3:$CS$251,MATCH($C65,'Emissions Database'!$B$3:$B$251,0),0))</f>
        <v/>
      </c>
      <c r="K65" s="58" t="str">
        <f>IF(OR(K$59="",$C65=""),"",HLOOKUP(K$59,'Emissions Database'!$CK$3:$CS$251,MATCH($C65,'Emissions Database'!$B$3:$B$251,0),0))</f>
        <v/>
      </c>
      <c r="L65" s="58" t="str">
        <f>IF(OR(L$59="",$C65=""),"",HLOOKUP(L$59,'Emissions Database'!$CK$3:$CS$251,MATCH($C65,'Emissions Database'!$B$3:$B$251,0),0))</f>
        <v/>
      </c>
      <c r="M65" s="58" t="str">
        <f>IF(OR(M$59="",$C65=""),"",HLOOKUP(M$59,'Emissions Database'!$CK$3:$CS$251,MATCH($C65,'Emissions Database'!$B$3:$B$251,0),0))</f>
        <v/>
      </c>
      <c r="N65" s="58" t="str">
        <f>IF(OR(N$59="",$C65=""),"",HLOOKUP(N$59,'Emissions Database'!$CK$3:$CS$251,MATCH($C65,'Emissions Database'!$B$3:$B$251,0),0))</f>
        <v/>
      </c>
      <c r="O65" s="79" t="str">
        <f>""</f>
        <v/>
      </c>
      <c r="P65" s="79" t="str">
        <f>""</f>
        <v/>
      </c>
      <c r="Q65" s="79" t="str">
        <f>""</f>
        <v/>
      </c>
      <c r="R65" s="79" t="str">
        <f>""</f>
        <v/>
      </c>
      <c r="S65" s="79" t="str">
        <f>""</f>
        <v/>
      </c>
      <c r="T65" s="79" t="str">
        <f>""</f>
        <v/>
      </c>
      <c r="U65" s="79" t="str">
        <f>""</f>
        <v/>
      </c>
      <c r="V65" s="79" t="str">
        <f>""</f>
        <v/>
      </c>
      <c r="W65" s="79" t="str">
        <f>""</f>
        <v/>
      </c>
      <c r="X65" s="79" t="str">
        <f>""</f>
        <v/>
      </c>
      <c r="Y65" s="79" t="str">
        <f>""</f>
        <v/>
      </c>
    </row>
    <row r="66" spans="2:25" hidden="1" x14ac:dyDescent="0.3">
      <c r="B66" s="66">
        <v>5</v>
      </c>
      <c r="C66" s="34" t="str">
        <f>IF(COUNTIF(Lists!$B$3:$B$22,B66)=0,"",VLOOKUP(B66,Lists!$B$3:$C$22,2,0))</f>
        <v/>
      </c>
      <c r="D66" s="60" t="str">
        <f>IF($C66="","",SUMIF('Emissions Database'!$B$232:$B$251,$C66,'Emissions Database'!$BS$232:$BS$251))</f>
        <v/>
      </c>
      <c r="E66" s="58" t="str">
        <f t="shared" si="39"/>
        <v/>
      </c>
      <c r="F66" s="58" t="str">
        <f>IF(OR(F$59="",$C66=""),"",HLOOKUP(F$59,'Emissions Database'!$CK$3:$CS$251,MATCH($C66,'Emissions Database'!$B$3:$B$251,0),0))</f>
        <v/>
      </c>
      <c r="G66" s="58" t="str">
        <f>IF(OR(G$59="",$C66=""),"",HLOOKUP(G$59,'Emissions Database'!$CK$3:$CS$251,MATCH($C66,'Emissions Database'!$B$3:$B$251,0),0))</f>
        <v/>
      </c>
      <c r="H66" s="58" t="str">
        <f>IF(OR(H$59="",$C66=""),"",HLOOKUP(H$59,'Emissions Database'!$CK$3:$CS$251,MATCH($C66,'Emissions Database'!$B$3:$B$251,0),0))</f>
        <v/>
      </c>
      <c r="I66" s="58" t="str">
        <f>IF(OR(I$59="",$C66=""),"",HLOOKUP(I$59,'Emissions Database'!$CK$3:$CS$251,MATCH($C66,'Emissions Database'!$B$3:$B$251,0),0))</f>
        <v/>
      </c>
      <c r="J66" s="58" t="str">
        <f>IF(OR(J$59="",$C66=""),"",HLOOKUP(J$59,'Emissions Database'!$CK$3:$CS$251,MATCH($C66,'Emissions Database'!$B$3:$B$251,0),0))</f>
        <v/>
      </c>
      <c r="K66" s="58" t="str">
        <f>IF(OR(K$59="",$C66=""),"",HLOOKUP(K$59,'Emissions Database'!$CK$3:$CS$251,MATCH($C66,'Emissions Database'!$B$3:$B$251,0),0))</f>
        <v/>
      </c>
      <c r="L66" s="58" t="str">
        <f>IF(OR(L$59="",$C66=""),"",HLOOKUP(L$59,'Emissions Database'!$CK$3:$CS$251,MATCH($C66,'Emissions Database'!$B$3:$B$251,0),0))</f>
        <v/>
      </c>
      <c r="M66" s="58" t="str">
        <f>IF(OR(M$59="",$C66=""),"",HLOOKUP(M$59,'Emissions Database'!$CK$3:$CS$251,MATCH($C66,'Emissions Database'!$B$3:$B$251,0),0))</f>
        <v/>
      </c>
      <c r="N66" s="58" t="str">
        <f>IF(OR(N$59="",$C66=""),"",HLOOKUP(N$59,'Emissions Database'!$CK$3:$CS$251,MATCH($C66,'Emissions Database'!$B$3:$B$251,0),0))</f>
        <v/>
      </c>
      <c r="O66" s="79" t="str">
        <f>""</f>
        <v/>
      </c>
      <c r="P66" s="79" t="str">
        <f>""</f>
        <v/>
      </c>
      <c r="Q66" s="79" t="str">
        <f>""</f>
        <v/>
      </c>
      <c r="R66" s="79" t="str">
        <f>""</f>
        <v/>
      </c>
      <c r="S66" s="79" t="str">
        <f>""</f>
        <v/>
      </c>
      <c r="T66" s="79" t="str">
        <f>""</f>
        <v/>
      </c>
      <c r="U66" s="79" t="str">
        <f>""</f>
        <v/>
      </c>
      <c r="V66" s="79" t="str">
        <f>""</f>
        <v/>
      </c>
      <c r="W66" s="79" t="str">
        <f>""</f>
        <v/>
      </c>
      <c r="X66" s="79" t="str">
        <f>""</f>
        <v/>
      </c>
      <c r="Y66" s="79" t="str">
        <f>""</f>
        <v/>
      </c>
    </row>
    <row r="67" spans="2:25" hidden="1" x14ac:dyDescent="0.3">
      <c r="B67" s="66">
        <v>6</v>
      </c>
      <c r="C67" s="34" t="str">
        <f>IF(COUNTIF(Lists!$B$3:$B$22,B67)=0,"",VLOOKUP(B67,Lists!$B$3:$C$22,2,0))</f>
        <v/>
      </c>
      <c r="D67" s="60" t="str">
        <f>IF($C67="","",SUMIF('Emissions Database'!$B$232:$B$251,$C67,'Emissions Database'!$BS$232:$BS$251))</f>
        <v/>
      </c>
      <c r="E67" s="58" t="str">
        <f t="shared" si="39"/>
        <v/>
      </c>
      <c r="F67" s="58" t="str">
        <f>IF(OR(F$59="",$C67=""),"",HLOOKUP(F$59,'Emissions Database'!$CK$3:$CS$251,MATCH($C67,'Emissions Database'!$B$3:$B$251,0),0))</f>
        <v/>
      </c>
      <c r="G67" s="58" t="str">
        <f>IF(OR(G$59="",$C67=""),"",HLOOKUP(G$59,'Emissions Database'!$CK$3:$CS$251,MATCH($C67,'Emissions Database'!$B$3:$B$251,0),0))</f>
        <v/>
      </c>
      <c r="H67" s="58" t="str">
        <f>IF(OR(H$59="",$C67=""),"",HLOOKUP(H$59,'Emissions Database'!$CK$3:$CS$251,MATCH($C67,'Emissions Database'!$B$3:$B$251,0),0))</f>
        <v/>
      </c>
      <c r="I67" s="58" t="str">
        <f>IF(OR(I$59="",$C67=""),"",HLOOKUP(I$59,'Emissions Database'!$CK$3:$CS$251,MATCH($C67,'Emissions Database'!$B$3:$B$251,0),0))</f>
        <v/>
      </c>
      <c r="J67" s="58" t="str">
        <f>IF(OR(J$59="",$C67=""),"",HLOOKUP(J$59,'Emissions Database'!$CK$3:$CS$251,MATCH($C67,'Emissions Database'!$B$3:$B$251,0),0))</f>
        <v/>
      </c>
      <c r="K67" s="58" t="str">
        <f>IF(OR(K$59="",$C67=""),"",HLOOKUP(K$59,'Emissions Database'!$CK$3:$CS$251,MATCH($C67,'Emissions Database'!$B$3:$B$251,0),0))</f>
        <v/>
      </c>
      <c r="L67" s="58" t="str">
        <f>IF(OR(L$59="",$C67=""),"",HLOOKUP(L$59,'Emissions Database'!$CK$3:$CS$251,MATCH($C67,'Emissions Database'!$B$3:$B$251,0),0))</f>
        <v/>
      </c>
      <c r="M67" s="58" t="str">
        <f>IF(OR(M$59="",$C67=""),"",HLOOKUP(M$59,'Emissions Database'!$CK$3:$CS$251,MATCH($C67,'Emissions Database'!$B$3:$B$251,0),0))</f>
        <v/>
      </c>
      <c r="N67" s="58" t="str">
        <f>IF(OR(N$59="",$C67=""),"",HLOOKUP(N$59,'Emissions Database'!$CK$3:$CS$251,MATCH($C67,'Emissions Database'!$B$3:$B$251,0),0))</f>
        <v/>
      </c>
      <c r="O67" s="79" t="str">
        <f>""</f>
        <v/>
      </c>
      <c r="P67" s="79" t="str">
        <f>""</f>
        <v/>
      </c>
      <c r="Q67" s="79" t="str">
        <f>""</f>
        <v/>
      </c>
      <c r="R67" s="79" t="str">
        <f>""</f>
        <v/>
      </c>
      <c r="S67" s="79" t="str">
        <f>""</f>
        <v/>
      </c>
      <c r="T67" s="79" t="str">
        <f>""</f>
        <v/>
      </c>
      <c r="U67" s="79" t="str">
        <f>""</f>
        <v/>
      </c>
      <c r="V67" s="79" t="str">
        <f>""</f>
        <v/>
      </c>
      <c r="W67" s="79" t="str">
        <f>""</f>
        <v/>
      </c>
      <c r="X67" s="79" t="str">
        <f>""</f>
        <v/>
      </c>
      <c r="Y67" s="79" t="str">
        <f>""</f>
        <v/>
      </c>
    </row>
    <row r="68" spans="2:25" hidden="1" x14ac:dyDescent="0.3">
      <c r="B68" s="66">
        <v>7</v>
      </c>
      <c r="C68" s="34" t="str">
        <f>IF(COUNTIF(Lists!$B$3:$B$22,B68)=0,"",VLOOKUP(B68,Lists!$B$3:$C$22,2,0))</f>
        <v/>
      </c>
      <c r="D68" s="60" t="str">
        <f>IF($C68="","",SUMIF('Emissions Database'!$B$232:$B$251,$C68,'Emissions Database'!$BS$232:$BS$251))</f>
        <v/>
      </c>
      <c r="E68" s="58" t="str">
        <f t="shared" si="39"/>
        <v/>
      </c>
      <c r="F68" s="58" t="str">
        <f>IF(OR(F$59="",$C68=""),"",HLOOKUP(F$59,'Emissions Database'!$CK$3:$CS$251,MATCH($C68,'Emissions Database'!$B$3:$B$251,0),0))</f>
        <v/>
      </c>
      <c r="G68" s="58" t="str">
        <f>IF(OR(G$59="",$C68=""),"",HLOOKUP(G$59,'Emissions Database'!$CK$3:$CS$251,MATCH($C68,'Emissions Database'!$B$3:$B$251,0),0))</f>
        <v/>
      </c>
      <c r="H68" s="58" t="str">
        <f>IF(OR(H$59="",$C68=""),"",HLOOKUP(H$59,'Emissions Database'!$CK$3:$CS$251,MATCH($C68,'Emissions Database'!$B$3:$B$251,0),0))</f>
        <v/>
      </c>
      <c r="I68" s="58" t="str">
        <f>IF(OR(I$59="",$C68=""),"",HLOOKUP(I$59,'Emissions Database'!$CK$3:$CS$251,MATCH($C68,'Emissions Database'!$B$3:$B$251,0),0))</f>
        <v/>
      </c>
      <c r="J68" s="58" t="str">
        <f>IF(OR(J$59="",$C68=""),"",HLOOKUP(J$59,'Emissions Database'!$CK$3:$CS$251,MATCH($C68,'Emissions Database'!$B$3:$B$251,0),0))</f>
        <v/>
      </c>
      <c r="K68" s="58" t="str">
        <f>IF(OR(K$59="",$C68=""),"",HLOOKUP(K$59,'Emissions Database'!$CK$3:$CS$251,MATCH($C68,'Emissions Database'!$B$3:$B$251,0),0))</f>
        <v/>
      </c>
      <c r="L68" s="58" t="str">
        <f>IF(OR(L$59="",$C68=""),"",HLOOKUP(L$59,'Emissions Database'!$CK$3:$CS$251,MATCH($C68,'Emissions Database'!$B$3:$B$251,0),0))</f>
        <v/>
      </c>
      <c r="M68" s="58" t="str">
        <f>IF(OR(M$59="",$C68=""),"",HLOOKUP(M$59,'Emissions Database'!$CK$3:$CS$251,MATCH($C68,'Emissions Database'!$B$3:$B$251,0),0))</f>
        <v/>
      </c>
      <c r="N68" s="58" t="str">
        <f>IF(OR(N$59="",$C68=""),"",HLOOKUP(N$59,'Emissions Database'!$CK$3:$CS$251,MATCH($C68,'Emissions Database'!$B$3:$B$251,0),0))</f>
        <v/>
      </c>
      <c r="O68" s="79" t="str">
        <f>""</f>
        <v/>
      </c>
      <c r="P68" s="79" t="str">
        <f>""</f>
        <v/>
      </c>
      <c r="Q68" s="79" t="str">
        <f>""</f>
        <v/>
      </c>
      <c r="R68" s="79" t="str">
        <f>""</f>
        <v/>
      </c>
      <c r="S68" s="79" t="str">
        <f>""</f>
        <v/>
      </c>
      <c r="T68" s="79" t="str">
        <f>""</f>
        <v/>
      </c>
      <c r="U68" s="79" t="str">
        <f>""</f>
        <v/>
      </c>
      <c r="V68" s="79" t="str">
        <f>""</f>
        <v/>
      </c>
      <c r="W68" s="79" t="str">
        <f>""</f>
        <v/>
      </c>
      <c r="X68" s="79" t="str">
        <f>""</f>
        <v/>
      </c>
      <c r="Y68" s="79" t="str">
        <f>""</f>
        <v/>
      </c>
    </row>
    <row r="69" spans="2:25" hidden="1" x14ac:dyDescent="0.3">
      <c r="B69" s="66">
        <v>8</v>
      </c>
      <c r="C69" s="34" t="str">
        <f>IF(COUNTIF(Lists!$B$3:$B$22,B69)=0,"",VLOOKUP(B69,Lists!$B$3:$C$22,2,0))</f>
        <v/>
      </c>
      <c r="D69" s="60" t="str">
        <f>IF($C69="","",SUMIF('Emissions Database'!$B$232:$B$251,$C69,'Emissions Database'!$BS$232:$BS$251))</f>
        <v/>
      </c>
      <c r="E69" s="58" t="str">
        <f t="shared" si="39"/>
        <v/>
      </c>
      <c r="F69" s="58" t="str">
        <f>IF(OR(F$59="",$C69=""),"",HLOOKUP(F$59,'Emissions Database'!$CK$3:$CS$251,MATCH($C69,'Emissions Database'!$B$3:$B$251,0),0))</f>
        <v/>
      </c>
      <c r="G69" s="58" t="str">
        <f>IF(OR(G$59="",$C69=""),"",HLOOKUP(G$59,'Emissions Database'!$CK$3:$CS$251,MATCH($C69,'Emissions Database'!$B$3:$B$251,0),0))</f>
        <v/>
      </c>
      <c r="H69" s="58" t="str">
        <f>IF(OR(H$59="",$C69=""),"",HLOOKUP(H$59,'Emissions Database'!$CK$3:$CS$251,MATCH($C69,'Emissions Database'!$B$3:$B$251,0),0))</f>
        <v/>
      </c>
      <c r="I69" s="58" t="str">
        <f>IF(OR(I$59="",$C69=""),"",HLOOKUP(I$59,'Emissions Database'!$CK$3:$CS$251,MATCH($C69,'Emissions Database'!$B$3:$B$251,0),0))</f>
        <v/>
      </c>
      <c r="J69" s="58" t="str">
        <f>IF(OR(J$59="",$C69=""),"",HLOOKUP(J$59,'Emissions Database'!$CK$3:$CS$251,MATCH($C69,'Emissions Database'!$B$3:$B$251,0),0))</f>
        <v/>
      </c>
      <c r="K69" s="58" t="str">
        <f>IF(OR(K$59="",$C69=""),"",HLOOKUP(K$59,'Emissions Database'!$CK$3:$CS$251,MATCH($C69,'Emissions Database'!$B$3:$B$251,0),0))</f>
        <v/>
      </c>
      <c r="L69" s="58" t="str">
        <f>IF(OR(L$59="",$C69=""),"",HLOOKUP(L$59,'Emissions Database'!$CK$3:$CS$251,MATCH($C69,'Emissions Database'!$B$3:$B$251,0),0))</f>
        <v/>
      </c>
      <c r="M69" s="58" t="str">
        <f>IF(OR(M$59="",$C69=""),"",HLOOKUP(M$59,'Emissions Database'!$CK$3:$CS$251,MATCH($C69,'Emissions Database'!$B$3:$B$251,0),0))</f>
        <v/>
      </c>
      <c r="N69" s="58" t="str">
        <f>IF(OR(N$59="",$C69=""),"",HLOOKUP(N$59,'Emissions Database'!$CK$3:$CS$251,MATCH($C69,'Emissions Database'!$B$3:$B$251,0),0))</f>
        <v/>
      </c>
      <c r="O69" s="79" t="str">
        <f>""</f>
        <v/>
      </c>
      <c r="P69" s="79" t="str">
        <f>""</f>
        <v/>
      </c>
      <c r="Q69" s="79" t="str">
        <f>""</f>
        <v/>
      </c>
      <c r="R69" s="79" t="str">
        <f>""</f>
        <v/>
      </c>
      <c r="S69" s="79" t="str">
        <f>""</f>
        <v/>
      </c>
      <c r="T69" s="79" t="str">
        <f>""</f>
        <v/>
      </c>
      <c r="U69" s="79" t="str">
        <f>""</f>
        <v/>
      </c>
      <c r="V69" s="79" t="str">
        <f>""</f>
        <v/>
      </c>
      <c r="W69" s="79" t="str">
        <f>""</f>
        <v/>
      </c>
      <c r="X69" s="79" t="str">
        <f>""</f>
        <v/>
      </c>
      <c r="Y69" s="79" t="str">
        <f>""</f>
        <v/>
      </c>
    </row>
    <row r="70" spans="2:25" hidden="1" x14ac:dyDescent="0.3">
      <c r="B70" s="66">
        <v>9</v>
      </c>
      <c r="C70" s="34" t="str">
        <f>IF(COUNTIF(Lists!$B$3:$B$22,B70)=0,"",VLOOKUP(B70,Lists!$B$3:$C$22,2,0))</f>
        <v/>
      </c>
      <c r="D70" s="60" t="str">
        <f>IF($C70="","",SUMIF('Emissions Database'!$B$232:$B$251,$C70,'Emissions Database'!$BS$232:$BS$251))</f>
        <v/>
      </c>
      <c r="E70" s="58" t="str">
        <f t="shared" si="39"/>
        <v/>
      </c>
      <c r="F70" s="58" t="str">
        <f>IF(OR(F$59="",$C70=""),"",HLOOKUP(F$59,'Emissions Database'!$CK$3:$CS$251,MATCH($C70,'Emissions Database'!$B$3:$B$251,0),0))</f>
        <v/>
      </c>
      <c r="G70" s="58" t="str">
        <f>IF(OR(G$59="",$C70=""),"",HLOOKUP(G$59,'Emissions Database'!$CK$3:$CS$251,MATCH($C70,'Emissions Database'!$B$3:$B$251,0),0))</f>
        <v/>
      </c>
      <c r="H70" s="58" t="str">
        <f>IF(OR(H$59="",$C70=""),"",HLOOKUP(H$59,'Emissions Database'!$CK$3:$CS$251,MATCH($C70,'Emissions Database'!$B$3:$B$251,0),0))</f>
        <v/>
      </c>
      <c r="I70" s="58" t="str">
        <f>IF(OR(I$59="",$C70=""),"",HLOOKUP(I$59,'Emissions Database'!$CK$3:$CS$251,MATCH($C70,'Emissions Database'!$B$3:$B$251,0),0))</f>
        <v/>
      </c>
      <c r="J70" s="58" t="str">
        <f>IF(OR(J$59="",$C70=""),"",HLOOKUP(J$59,'Emissions Database'!$CK$3:$CS$251,MATCH($C70,'Emissions Database'!$B$3:$B$251,0),0))</f>
        <v/>
      </c>
      <c r="K70" s="58" t="str">
        <f>IF(OR(K$59="",$C70=""),"",HLOOKUP(K$59,'Emissions Database'!$CK$3:$CS$251,MATCH($C70,'Emissions Database'!$B$3:$B$251,0),0))</f>
        <v/>
      </c>
      <c r="L70" s="58" t="str">
        <f>IF(OR(L$59="",$C70=""),"",HLOOKUP(L$59,'Emissions Database'!$CK$3:$CS$251,MATCH($C70,'Emissions Database'!$B$3:$B$251,0),0))</f>
        <v/>
      </c>
      <c r="M70" s="58" t="str">
        <f>IF(OR(M$59="",$C70=""),"",HLOOKUP(M$59,'Emissions Database'!$CK$3:$CS$251,MATCH($C70,'Emissions Database'!$B$3:$B$251,0),0))</f>
        <v/>
      </c>
      <c r="N70" s="58" t="str">
        <f>IF(OR(N$59="",$C70=""),"",HLOOKUP(N$59,'Emissions Database'!$CK$3:$CS$251,MATCH($C70,'Emissions Database'!$B$3:$B$251,0),0))</f>
        <v/>
      </c>
      <c r="O70" s="79" t="str">
        <f>""</f>
        <v/>
      </c>
      <c r="P70" s="79" t="str">
        <f>""</f>
        <v/>
      </c>
      <c r="Q70" s="79" t="str">
        <f>""</f>
        <v/>
      </c>
      <c r="R70" s="79" t="str">
        <f>""</f>
        <v/>
      </c>
      <c r="S70" s="79" t="str">
        <f>""</f>
        <v/>
      </c>
      <c r="T70" s="79" t="str">
        <f>""</f>
        <v/>
      </c>
      <c r="U70" s="79" t="str">
        <f>""</f>
        <v/>
      </c>
      <c r="V70" s="79" t="str">
        <f>""</f>
        <v/>
      </c>
      <c r="W70" s="79" t="str">
        <f>""</f>
        <v/>
      </c>
      <c r="X70" s="79" t="str">
        <f>""</f>
        <v/>
      </c>
      <c r="Y70" s="79" t="str">
        <f>""</f>
        <v/>
      </c>
    </row>
    <row r="71" spans="2:25" hidden="1" x14ac:dyDescent="0.3">
      <c r="B71" s="66">
        <v>10</v>
      </c>
      <c r="C71" s="34" t="str">
        <f>IF(COUNTIF(Lists!$B$3:$B$22,B71)=0,"",VLOOKUP(B71,Lists!$B$3:$C$22,2,0))</f>
        <v/>
      </c>
      <c r="D71" s="60" t="str">
        <f>IF($C71="","",SUMIF('Emissions Database'!$B$232:$B$251,$C71,'Emissions Database'!$BS$232:$BS$251))</f>
        <v/>
      </c>
      <c r="E71" s="58" t="str">
        <f t="shared" ref="E71:E76" si="40">IF(C71="","",D71-SUM(F71:N71))</f>
        <v/>
      </c>
      <c r="F71" s="58" t="str">
        <f>IF(OR(F$59="",$C71=""),"",HLOOKUP(F$59,'Emissions Database'!$CK$3:$CS$251,MATCH($C71,'Emissions Database'!$B$3:$B$251,0),0))</f>
        <v/>
      </c>
      <c r="G71" s="58" t="str">
        <f>IF(OR(G$59="",$C71=""),"",HLOOKUP(G$59,'Emissions Database'!$CK$3:$CS$251,MATCH($C71,'Emissions Database'!$B$3:$B$251,0),0))</f>
        <v/>
      </c>
      <c r="H71" s="58" t="str">
        <f>IF(OR(H$59="",$C71=""),"",HLOOKUP(H$59,'Emissions Database'!$CK$3:$CS$251,MATCH($C71,'Emissions Database'!$B$3:$B$251,0),0))</f>
        <v/>
      </c>
      <c r="I71" s="58" t="str">
        <f>IF(OR(I$59="",$C71=""),"",HLOOKUP(I$59,'Emissions Database'!$CK$3:$CS$251,MATCH($C71,'Emissions Database'!$B$3:$B$251,0),0))</f>
        <v/>
      </c>
      <c r="J71" s="58" t="str">
        <f>IF(OR(J$59="",$C71=""),"",HLOOKUP(J$59,'Emissions Database'!$CK$3:$CS$251,MATCH($C71,'Emissions Database'!$B$3:$B$251,0),0))</f>
        <v/>
      </c>
      <c r="K71" s="58" t="str">
        <f>IF(OR(K$59="",$C71=""),"",HLOOKUP(K$59,'Emissions Database'!$CK$3:$CS$251,MATCH($C71,'Emissions Database'!$B$3:$B$251,0),0))</f>
        <v/>
      </c>
      <c r="L71" s="58" t="str">
        <f>IF(OR(L$59="",$C71=""),"",HLOOKUP(L$59,'Emissions Database'!$CK$3:$CS$251,MATCH($C71,'Emissions Database'!$B$3:$B$251,0),0))</f>
        <v/>
      </c>
      <c r="M71" s="58" t="str">
        <f>IF(OR(M$59="",$C71=""),"",HLOOKUP(M$59,'Emissions Database'!$CK$3:$CS$251,MATCH($C71,'Emissions Database'!$B$3:$B$251,0),0))</f>
        <v/>
      </c>
      <c r="N71" s="58" t="str">
        <f>IF(OR(N$59="",$C71=""),"",HLOOKUP(N$59,'Emissions Database'!$CK$3:$CS$251,MATCH($C71,'Emissions Database'!$B$3:$B$251,0),0))</f>
        <v/>
      </c>
      <c r="O71" s="79" t="str">
        <f>""</f>
        <v/>
      </c>
      <c r="P71" s="79" t="str">
        <f>""</f>
        <v/>
      </c>
      <c r="Q71" s="79" t="str">
        <f>""</f>
        <v/>
      </c>
      <c r="R71" s="79" t="str">
        <f>""</f>
        <v/>
      </c>
      <c r="S71" s="79" t="str">
        <f>""</f>
        <v/>
      </c>
      <c r="T71" s="79" t="str">
        <f>""</f>
        <v/>
      </c>
      <c r="U71" s="79" t="str">
        <f>""</f>
        <v/>
      </c>
      <c r="V71" s="79" t="str">
        <f>""</f>
        <v/>
      </c>
      <c r="W71" s="79" t="str">
        <f>""</f>
        <v/>
      </c>
      <c r="X71" s="79" t="str">
        <f>""</f>
        <v/>
      </c>
      <c r="Y71" s="79" t="str">
        <f>""</f>
        <v/>
      </c>
    </row>
    <row r="72" spans="2:25" hidden="1" x14ac:dyDescent="0.3">
      <c r="B72" s="66">
        <v>11</v>
      </c>
      <c r="C72" s="34" t="str">
        <f>IF(COUNTIF(Lists!$B$3:$B$22,B72)=0,"",VLOOKUP(B72,Lists!$B$3:$C$22,2,0))</f>
        <v/>
      </c>
      <c r="D72" s="60" t="str">
        <f>IF($C72="","",SUMIF('Emissions Database'!$B$232:$B$251,$C72,'Emissions Database'!$BS$232:$BS$251))</f>
        <v/>
      </c>
      <c r="E72" s="58" t="str">
        <f t="shared" si="40"/>
        <v/>
      </c>
      <c r="F72" s="58" t="str">
        <f>IF(OR(F$59="",$C72=""),"",HLOOKUP(F$59,'Emissions Database'!$CK$3:$CS$251,MATCH($C72,'Emissions Database'!$B$3:$B$251,0),0))</f>
        <v/>
      </c>
      <c r="G72" s="58" t="str">
        <f>IF(OR(G$59="",$C72=""),"",HLOOKUP(G$59,'Emissions Database'!$CK$3:$CS$251,MATCH($C72,'Emissions Database'!$B$3:$B$251,0),0))</f>
        <v/>
      </c>
      <c r="H72" s="58" t="str">
        <f>IF(OR(H$59="",$C72=""),"",HLOOKUP(H$59,'Emissions Database'!$CK$3:$CS$251,MATCH($C72,'Emissions Database'!$B$3:$B$251,0),0))</f>
        <v/>
      </c>
      <c r="I72" s="58" t="str">
        <f>IF(OR(I$59="",$C72=""),"",HLOOKUP(I$59,'Emissions Database'!$CK$3:$CS$251,MATCH($C72,'Emissions Database'!$B$3:$B$251,0),0))</f>
        <v/>
      </c>
      <c r="J72" s="58" t="str">
        <f>IF(OR(J$59="",$C72=""),"",HLOOKUP(J$59,'Emissions Database'!$CK$3:$CS$251,MATCH($C72,'Emissions Database'!$B$3:$B$251,0),0))</f>
        <v/>
      </c>
      <c r="K72" s="58" t="str">
        <f>IF(OR(K$59="",$C72=""),"",HLOOKUP(K$59,'Emissions Database'!$CK$3:$CS$251,MATCH($C72,'Emissions Database'!$B$3:$B$251,0),0))</f>
        <v/>
      </c>
      <c r="L72" s="58" t="str">
        <f>IF(OR(L$59="",$C72=""),"",HLOOKUP(L$59,'Emissions Database'!$CK$3:$CS$251,MATCH($C72,'Emissions Database'!$B$3:$B$251,0),0))</f>
        <v/>
      </c>
      <c r="M72" s="58" t="str">
        <f>IF(OR(M$59="",$C72=""),"",HLOOKUP(M$59,'Emissions Database'!$CK$3:$CS$251,MATCH($C72,'Emissions Database'!$B$3:$B$251,0),0))</f>
        <v/>
      </c>
      <c r="N72" s="58" t="str">
        <f>IF(OR(N$59="",$C72=""),"",HLOOKUP(N$59,'Emissions Database'!$CK$3:$CS$251,MATCH($C72,'Emissions Database'!$B$3:$B$251,0),0))</f>
        <v/>
      </c>
      <c r="O72" s="79" t="str">
        <f>""</f>
        <v/>
      </c>
      <c r="P72" s="79" t="str">
        <f>""</f>
        <v/>
      </c>
      <c r="Q72" s="79" t="str">
        <f>""</f>
        <v/>
      </c>
      <c r="R72" s="79" t="str">
        <f>""</f>
        <v/>
      </c>
      <c r="S72" s="79" t="str">
        <f>""</f>
        <v/>
      </c>
      <c r="T72" s="79" t="str">
        <f>""</f>
        <v/>
      </c>
      <c r="U72" s="79" t="str">
        <f>""</f>
        <v/>
      </c>
      <c r="V72" s="79" t="str">
        <f>""</f>
        <v/>
      </c>
      <c r="W72" s="79" t="str">
        <f>""</f>
        <v/>
      </c>
      <c r="X72" s="79" t="str">
        <f>""</f>
        <v/>
      </c>
      <c r="Y72" s="79" t="str">
        <f>""</f>
        <v/>
      </c>
    </row>
    <row r="73" spans="2:25" hidden="1" x14ac:dyDescent="0.3">
      <c r="B73" s="66">
        <v>12</v>
      </c>
      <c r="C73" s="34" t="str">
        <f>IF(COUNTIF(Lists!$B$3:$B$22,B73)=0,"",VLOOKUP(B73,Lists!$B$3:$C$22,2,0))</f>
        <v/>
      </c>
      <c r="D73" s="60" t="str">
        <f>IF($C73="","",SUMIF('Emissions Database'!$B$232:$B$251,$C73,'Emissions Database'!$BS$232:$BS$251))</f>
        <v/>
      </c>
      <c r="E73" s="58" t="str">
        <f t="shared" si="40"/>
        <v/>
      </c>
      <c r="F73" s="58" t="str">
        <f>IF(OR(F$59="",$C73=""),"",HLOOKUP(F$59,'Emissions Database'!$CK$3:$CS$251,MATCH($C73,'Emissions Database'!$B$3:$B$251,0),0))</f>
        <v/>
      </c>
      <c r="G73" s="58" t="str">
        <f>IF(OR(G$59="",$C73=""),"",HLOOKUP(G$59,'Emissions Database'!$CK$3:$CS$251,MATCH($C73,'Emissions Database'!$B$3:$B$251,0),0))</f>
        <v/>
      </c>
      <c r="H73" s="58" t="str">
        <f>IF(OR(H$59="",$C73=""),"",HLOOKUP(H$59,'Emissions Database'!$CK$3:$CS$251,MATCH($C73,'Emissions Database'!$B$3:$B$251,0),0))</f>
        <v/>
      </c>
      <c r="I73" s="58" t="str">
        <f>IF(OR(I$59="",$C73=""),"",HLOOKUP(I$59,'Emissions Database'!$CK$3:$CS$251,MATCH($C73,'Emissions Database'!$B$3:$B$251,0),0))</f>
        <v/>
      </c>
      <c r="J73" s="58" t="str">
        <f>IF(OR(J$59="",$C73=""),"",HLOOKUP(J$59,'Emissions Database'!$CK$3:$CS$251,MATCH($C73,'Emissions Database'!$B$3:$B$251,0),0))</f>
        <v/>
      </c>
      <c r="K73" s="58" t="str">
        <f>IF(OR(K$59="",$C73=""),"",HLOOKUP(K$59,'Emissions Database'!$CK$3:$CS$251,MATCH($C73,'Emissions Database'!$B$3:$B$251,0),0))</f>
        <v/>
      </c>
      <c r="L73" s="58" t="str">
        <f>IF(OR(L$59="",$C73=""),"",HLOOKUP(L$59,'Emissions Database'!$CK$3:$CS$251,MATCH($C73,'Emissions Database'!$B$3:$B$251,0),0))</f>
        <v/>
      </c>
      <c r="M73" s="58" t="str">
        <f>IF(OR(M$59="",$C73=""),"",HLOOKUP(M$59,'Emissions Database'!$CK$3:$CS$251,MATCH($C73,'Emissions Database'!$B$3:$B$251,0),0))</f>
        <v/>
      </c>
      <c r="N73" s="58" t="str">
        <f>IF(OR(N$59="",$C73=""),"",HLOOKUP(N$59,'Emissions Database'!$CK$3:$CS$251,MATCH($C73,'Emissions Database'!$B$3:$B$251,0),0))</f>
        <v/>
      </c>
      <c r="O73" s="79" t="str">
        <f>""</f>
        <v/>
      </c>
      <c r="P73" s="79" t="str">
        <f>""</f>
        <v/>
      </c>
      <c r="Q73" s="79" t="str">
        <f>""</f>
        <v/>
      </c>
      <c r="R73" s="79" t="str">
        <f>""</f>
        <v/>
      </c>
      <c r="S73" s="79" t="str">
        <f>""</f>
        <v/>
      </c>
      <c r="T73" s="79" t="str">
        <f>""</f>
        <v/>
      </c>
      <c r="U73" s="79" t="str">
        <f>""</f>
        <v/>
      </c>
      <c r="V73" s="79" t="str">
        <f>""</f>
        <v/>
      </c>
      <c r="W73" s="79" t="str">
        <f>""</f>
        <v/>
      </c>
      <c r="X73" s="79" t="str">
        <f>""</f>
        <v/>
      </c>
      <c r="Y73" s="79" t="str">
        <f>""</f>
        <v/>
      </c>
    </row>
    <row r="74" spans="2:25" hidden="1" x14ac:dyDescent="0.3">
      <c r="B74" s="66">
        <v>13</v>
      </c>
      <c r="C74" s="34" t="str">
        <f>IF(COUNTIF(Lists!$B$3:$B$22,B74)=0,"",VLOOKUP(B74,Lists!$B$3:$C$22,2,0))</f>
        <v/>
      </c>
      <c r="D74" s="60" t="str">
        <f>IF($C74="","",SUMIF('Emissions Database'!$B$232:$B$251,$C74,'Emissions Database'!$BS$232:$BS$251))</f>
        <v/>
      </c>
      <c r="E74" s="58" t="str">
        <f t="shared" si="40"/>
        <v/>
      </c>
      <c r="F74" s="58" t="str">
        <f>IF(OR(F$59="",$C74=""),"",HLOOKUP(F$59,'Emissions Database'!$CK$3:$CS$251,MATCH($C74,'Emissions Database'!$B$3:$B$251,0),0))</f>
        <v/>
      </c>
      <c r="G74" s="58" t="str">
        <f>IF(OR(G$59="",$C74=""),"",HLOOKUP(G$59,'Emissions Database'!$CK$3:$CS$251,MATCH($C74,'Emissions Database'!$B$3:$B$251,0),0))</f>
        <v/>
      </c>
      <c r="H74" s="58" t="str">
        <f>IF(OR(H$59="",$C74=""),"",HLOOKUP(H$59,'Emissions Database'!$CK$3:$CS$251,MATCH($C74,'Emissions Database'!$B$3:$B$251,0),0))</f>
        <v/>
      </c>
      <c r="I74" s="58" t="str">
        <f>IF(OR(I$59="",$C74=""),"",HLOOKUP(I$59,'Emissions Database'!$CK$3:$CS$251,MATCH($C74,'Emissions Database'!$B$3:$B$251,0),0))</f>
        <v/>
      </c>
      <c r="J74" s="58" t="str">
        <f>IF(OR(J$59="",$C74=""),"",HLOOKUP(J$59,'Emissions Database'!$CK$3:$CS$251,MATCH($C74,'Emissions Database'!$B$3:$B$251,0),0))</f>
        <v/>
      </c>
      <c r="K74" s="58" t="str">
        <f>IF(OR(K$59="",$C74=""),"",HLOOKUP(K$59,'Emissions Database'!$CK$3:$CS$251,MATCH($C74,'Emissions Database'!$B$3:$B$251,0),0))</f>
        <v/>
      </c>
      <c r="L74" s="58" t="str">
        <f>IF(OR(L$59="",$C74=""),"",HLOOKUP(L$59,'Emissions Database'!$CK$3:$CS$251,MATCH($C74,'Emissions Database'!$B$3:$B$251,0),0))</f>
        <v/>
      </c>
      <c r="M74" s="58" t="str">
        <f>IF(OR(M$59="",$C74=""),"",HLOOKUP(M$59,'Emissions Database'!$CK$3:$CS$251,MATCH($C74,'Emissions Database'!$B$3:$B$251,0),0))</f>
        <v/>
      </c>
      <c r="N74" s="58" t="str">
        <f>IF(OR(N$59="",$C74=""),"",HLOOKUP(N$59,'Emissions Database'!$CK$3:$CS$251,MATCH($C74,'Emissions Database'!$B$3:$B$251,0),0))</f>
        <v/>
      </c>
      <c r="O74" s="79" t="str">
        <f>""</f>
        <v/>
      </c>
      <c r="P74" s="79" t="str">
        <f>""</f>
        <v/>
      </c>
      <c r="Q74" s="79" t="str">
        <f>""</f>
        <v/>
      </c>
      <c r="R74" s="79" t="str">
        <f>""</f>
        <v/>
      </c>
      <c r="S74" s="79" t="str">
        <f>""</f>
        <v/>
      </c>
      <c r="T74" s="79" t="str">
        <f>""</f>
        <v/>
      </c>
      <c r="U74" s="79" t="str">
        <f>""</f>
        <v/>
      </c>
      <c r="V74" s="79" t="str">
        <f>""</f>
        <v/>
      </c>
      <c r="W74" s="79" t="str">
        <f>""</f>
        <v/>
      </c>
      <c r="X74" s="79" t="str">
        <f>""</f>
        <v/>
      </c>
      <c r="Y74" s="79" t="str">
        <f>""</f>
        <v/>
      </c>
    </row>
    <row r="75" spans="2:25" hidden="1" x14ac:dyDescent="0.3">
      <c r="B75" s="66">
        <v>14</v>
      </c>
      <c r="C75" s="34" t="str">
        <f>IF(COUNTIF(Lists!$B$3:$B$22,B75)=0,"",VLOOKUP(B75,Lists!$B$3:$C$22,2,0))</f>
        <v/>
      </c>
      <c r="D75" s="60" t="str">
        <f>IF($C75="","",SUMIF('Emissions Database'!$B$232:$B$251,$C75,'Emissions Database'!$BS$232:$BS$251))</f>
        <v/>
      </c>
      <c r="E75" s="58" t="str">
        <f t="shared" si="40"/>
        <v/>
      </c>
      <c r="F75" s="58" t="str">
        <f>IF(OR(F$59="",$C75=""),"",HLOOKUP(F$59,'Emissions Database'!$CK$3:$CS$251,MATCH($C75,'Emissions Database'!$B$3:$B$251,0),0))</f>
        <v/>
      </c>
      <c r="G75" s="58" t="str">
        <f>IF(OR(G$59="",$C75=""),"",HLOOKUP(G$59,'Emissions Database'!$CK$3:$CS$251,MATCH($C75,'Emissions Database'!$B$3:$B$251,0),0))</f>
        <v/>
      </c>
      <c r="H75" s="58" t="str">
        <f>IF(OR(H$59="",$C75=""),"",HLOOKUP(H$59,'Emissions Database'!$CK$3:$CS$251,MATCH($C75,'Emissions Database'!$B$3:$B$251,0),0))</f>
        <v/>
      </c>
      <c r="I75" s="58" t="str">
        <f>IF(OR(I$59="",$C75=""),"",HLOOKUP(I$59,'Emissions Database'!$CK$3:$CS$251,MATCH($C75,'Emissions Database'!$B$3:$B$251,0),0))</f>
        <v/>
      </c>
      <c r="J75" s="58" t="str">
        <f>IF(OR(J$59="",$C75=""),"",HLOOKUP(J$59,'Emissions Database'!$CK$3:$CS$251,MATCH($C75,'Emissions Database'!$B$3:$B$251,0),0))</f>
        <v/>
      </c>
      <c r="K75" s="58" t="str">
        <f>IF(OR(K$59="",$C75=""),"",HLOOKUP(K$59,'Emissions Database'!$CK$3:$CS$251,MATCH($C75,'Emissions Database'!$B$3:$B$251,0),0))</f>
        <v/>
      </c>
      <c r="L75" s="58" t="str">
        <f>IF(OR(L$59="",$C75=""),"",HLOOKUP(L$59,'Emissions Database'!$CK$3:$CS$251,MATCH($C75,'Emissions Database'!$B$3:$B$251,0),0))</f>
        <v/>
      </c>
      <c r="M75" s="58" t="str">
        <f>IF(OR(M$59="",$C75=""),"",HLOOKUP(M$59,'Emissions Database'!$CK$3:$CS$251,MATCH($C75,'Emissions Database'!$B$3:$B$251,0),0))</f>
        <v/>
      </c>
      <c r="N75" s="58" t="str">
        <f>IF(OR(N$59="",$C75=""),"",HLOOKUP(N$59,'Emissions Database'!$CK$3:$CS$251,MATCH($C75,'Emissions Database'!$B$3:$B$251,0),0))</f>
        <v/>
      </c>
      <c r="O75" s="79" t="str">
        <f>""</f>
        <v/>
      </c>
      <c r="P75" s="79" t="str">
        <f>""</f>
        <v/>
      </c>
      <c r="Q75" s="79" t="str">
        <f>""</f>
        <v/>
      </c>
      <c r="R75" s="79" t="str">
        <f>""</f>
        <v/>
      </c>
      <c r="S75" s="79" t="str">
        <f>""</f>
        <v/>
      </c>
      <c r="T75" s="79" t="str">
        <f>""</f>
        <v/>
      </c>
      <c r="U75" s="79" t="str">
        <f>""</f>
        <v/>
      </c>
      <c r="V75" s="79" t="str">
        <f>""</f>
        <v/>
      </c>
      <c r="W75" s="79" t="str">
        <f>""</f>
        <v/>
      </c>
      <c r="X75" s="79" t="str">
        <f>""</f>
        <v/>
      </c>
      <c r="Y75" s="79" t="str">
        <f>""</f>
        <v/>
      </c>
    </row>
    <row r="76" spans="2:25" hidden="1" x14ac:dyDescent="0.3">
      <c r="B76" s="66">
        <v>15</v>
      </c>
      <c r="C76" s="34" t="str">
        <f>IF(COUNTIF(Lists!$B$3:$B$22,B76)=0,"",VLOOKUP(B76,Lists!$B$3:$C$22,2,0))</f>
        <v/>
      </c>
      <c r="D76" s="60" t="str">
        <f>IF($C76="","",SUMIF('Emissions Database'!$B$232:$B$251,$C76,'Emissions Database'!$BS$232:$BS$251))</f>
        <v/>
      </c>
      <c r="E76" s="58" t="str">
        <f t="shared" si="40"/>
        <v/>
      </c>
      <c r="F76" s="58" t="str">
        <f>IF(OR(F$59="",$C76=""),"",HLOOKUP(F$59,'Emissions Database'!$CK$3:$CS$251,MATCH($C76,'Emissions Database'!$B$3:$B$251,0),0))</f>
        <v/>
      </c>
      <c r="G76" s="58" t="str">
        <f>IF(OR(G$59="",$C76=""),"",HLOOKUP(G$59,'Emissions Database'!$CK$3:$CS$251,MATCH($C76,'Emissions Database'!$B$3:$B$251,0),0))</f>
        <v/>
      </c>
      <c r="H76" s="58" t="str">
        <f>IF(OR(H$59="",$C76=""),"",HLOOKUP(H$59,'Emissions Database'!$CK$3:$CS$251,MATCH($C76,'Emissions Database'!$B$3:$B$251,0),0))</f>
        <v/>
      </c>
      <c r="I76" s="58" t="str">
        <f>IF(OR(I$59="",$C76=""),"",HLOOKUP(I$59,'Emissions Database'!$CK$3:$CS$251,MATCH($C76,'Emissions Database'!$B$3:$B$251,0),0))</f>
        <v/>
      </c>
      <c r="J76" s="58" t="str">
        <f>IF(OR(J$59="",$C76=""),"",HLOOKUP(J$59,'Emissions Database'!$CK$3:$CS$251,MATCH($C76,'Emissions Database'!$B$3:$B$251,0),0))</f>
        <v/>
      </c>
      <c r="K76" s="58" t="str">
        <f>IF(OR(K$59="",$C76=""),"",HLOOKUP(K$59,'Emissions Database'!$CK$3:$CS$251,MATCH($C76,'Emissions Database'!$B$3:$B$251,0),0))</f>
        <v/>
      </c>
      <c r="L76" s="58" t="str">
        <f>IF(OR(L$59="",$C76=""),"",HLOOKUP(L$59,'Emissions Database'!$CK$3:$CS$251,MATCH($C76,'Emissions Database'!$B$3:$B$251,0),0))</f>
        <v/>
      </c>
      <c r="M76" s="58" t="str">
        <f>IF(OR(M$59="",$C76=""),"",HLOOKUP(M$59,'Emissions Database'!$CK$3:$CS$251,MATCH($C76,'Emissions Database'!$B$3:$B$251,0),0))</f>
        <v/>
      </c>
      <c r="N76" s="58" t="str">
        <f>IF(OR(N$59="",$C76=""),"",HLOOKUP(N$59,'Emissions Database'!$CK$3:$CS$251,MATCH($C76,'Emissions Database'!$B$3:$B$251,0),0))</f>
        <v/>
      </c>
      <c r="O76" s="79" t="str">
        <f>""</f>
        <v/>
      </c>
      <c r="P76" s="79" t="str">
        <f>""</f>
        <v/>
      </c>
      <c r="Q76" s="79" t="str">
        <f>""</f>
        <v/>
      </c>
      <c r="R76" s="79" t="str">
        <f>""</f>
        <v/>
      </c>
      <c r="S76" s="79" t="str">
        <f>""</f>
        <v/>
      </c>
      <c r="T76" s="79" t="str">
        <f>""</f>
        <v/>
      </c>
      <c r="U76" s="79" t="str">
        <f>""</f>
        <v/>
      </c>
      <c r="V76" s="79" t="str">
        <f>""</f>
        <v/>
      </c>
      <c r="W76" s="79" t="str">
        <f>""</f>
        <v/>
      </c>
      <c r="X76" s="79" t="str">
        <f>""</f>
        <v/>
      </c>
      <c r="Y76" s="79" t="str">
        <f>""</f>
        <v/>
      </c>
    </row>
    <row r="77" spans="2:25" hidden="1" x14ac:dyDescent="0.3">
      <c r="B77" s="66">
        <v>16</v>
      </c>
      <c r="C77" s="34" t="str">
        <f>IF(COUNTIF(Lists!$B$3:$B$22,B77)=0,"",VLOOKUP(B77,Lists!$B$3:$C$22,2,0))</f>
        <v/>
      </c>
      <c r="D77" s="60" t="str">
        <f>IF($C77="","",SUMIF('Emissions Database'!$B$232:$B$251,$C77,'Emissions Database'!$BS$232:$BS$251))</f>
        <v/>
      </c>
      <c r="E77" s="58" t="str">
        <f t="shared" si="39"/>
        <v/>
      </c>
      <c r="F77" s="58" t="str">
        <f>IF(OR(F$59="",$C77=""),"",HLOOKUP(F$59,'Emissions Database'!$CK$3:$CS$251,MATCH($C77,'Emissions Database'!$B$3:$B$251,0),0))</f>
        <v/>
      </c>
      <c r="G77" s="58" t="str">
        <f>IF(OR(G$59="",$C77=""),"",HLOOKUP(G$59,'Emissions Database'!$CK$3:$CS$251,MATCH($C77,'Emissions Database'!$B$3:$B$251,0),0))</f>
        <v/>
      </c>
      <c r="H77" s="58" t="str">
        <f>IF(OR(H$59="",$C77=""),"",HLOOKUP(H$59,'Emissions Database'!$CK$3:$CS$251,MATCH($C77,'Emissions Database'!$B$3:$B$251,0),0))</f>
        <v/>
      </c>
      <c r="I77" s="58" t="str">
        <f>IF(OR(I$59="",$C77=""),"",HLOOKUP(I$59,'Emissions Database'!$CK$3:$CS$251,MATCH($C77,'Emissions Database'!$B$3:$B$251,0),0))</f>
        <v/>
      </c>
      <c r="J77" s="58" t="str">
        <f>IF(OR(J$59="",$C77=""),"",HLOOKUP(J$59,'Emissions Database'!$CK$3:$CS$251,MATCH($C77,'Emissions Database'!$B$3:$B$251,0),0))</f>
        <v/>
      </c>
      <c r="K77" s="58" t="str">
        <f>IF(OR(K$59="",$C77=""),"",HLOOKUP(K$59,'Emissions Database'!$CK$3:$CS$251,MATCH($C77,'Emissions Database'!$B$3:$B$251,0),0))</f>
        <v/>
      </c>
      <c r="L77" s="58" t="str">
        <f>IF(OR(L$59="",$C77=""),"",HLOOKUP(L$59,'Emissions Database'!$CK$3:$CS$251,MATCH($C77,'Emissions Database'!$B$3:$B$251,0),0))</f>
        <v/>
      </c>
      <c r="M77" s="58" t="str">
        <f>IF(OR(M$59="",$C77=""),"",HLOOKUP(M$59,'Emissions Database'!$CK$3:$CS$251,MATCH($C77,'Emissions Database'!$B$3:$B$251,0),0))</f>
        <v/>
      </c>
      <c r="N77" s="58" t="str">
        <f>IF(OR(N$59="",$C77=""),"",HLOOKUP(N$59,'Emissions Database'!$CK$3:$CS$251,MATCH($C77,'Emissions Database'!$B$3:$B$251,0),0))</f>
        <v/>
      </c>
      <c r="O77" s="79" t="str">
        <f>""</f>
        <v/>
      </c>
      <c r="P77" s="79" t="str">
        <f>""</f>
        <v/>
      </c>
      <c r="Q77" s="79" t="str">
        <f>""</f>
        <v/>
      </c>
      <c r="R77" s="79" t="str">
        <f>""</f>
        <v/>
      </c>
      <c r="S77" s="79" t="str">
        <f>""</f>
        <v/>
      </c>
      <c r="T77" s="79" t="str">
        <f>""</f>
        <v/>
      </c>
      <c r="U77" s="79" t="str">
        <f>""</f>
        <v/>
      </c>
      <c r="V77" s="79" t="str">
        <f>""</f>
        <v/>
      </c>
      <c r="W77" s="79" t="str">
        <f>""</f>
        <v/>
      </c>
      <c r="X77" s="79" t="str">
        <f>""</f>
        <v/>
      </c>
      <c r="Y77" s="79" t="str">
        <f>""</f>
        <v/>
      </c>
    </row>
    <row r="78" spans="2:25" hidden="1" x14ac:dyDescent="0.3">
      <c r="B78" s="66">
        <v>17</v>
      </c>
      <c r="C78" s="34" t="str">
        <f>IF(COUNTIF(Lists!$B$3:$B$22,B78)=0,"",VLOOKUP(B78,Lists!$B$3:$C$22,2,0))</f>
        <v/>
      </c>
      <c r="D78" s="60" t="str">
        <f>IF($C78="","",SUMIF('Emissions Database'!$B$232:$B$251,$C78,'Emissions Database'!$BS$232:$BS$251))</f>
        <v/>
      </c>
      <c r="E78" s="58" t="str">
        <f t="shared" ref="E78" si="41">IF(C78="","",D78-SUM(F78:N78))</f>
        <v/>
      </c>
      <c r="F78" s="58" t="str">
        <f>IF(OR(F$59="",$C78=""),"",HLOOKUP(F$59,'Emissions Database'!$CK$3:$CS$251,MATCH($C78,'Emissions Database'!$B$3:$B$251,0),0))</f>
        <v/>
      </c>
      <c r="G78" s="58" t="str">
        <f>IF(OR(G$59="",$C78=""),"",HLOOKUP(G$59,'Emissions Database'!$CK$3:$CS$251,MATCH($C78,'Emissions Database'!$B$3:$B$251,0),0))</f>
        <v/>
      </c>
      <c r="H78" s="58" t="str">
        <f>IF(OR(H$59="",$C78=""),"",HLOOKUP(H$59,'Emissions Database'!$CK$3:$CS$251,MATCH($C78,'Emissions Database'!$B$3:$B$251,0),0))</f>
        <v/>
      </c>
      <c r="I78" s="58" t="str">
        <f>IF(OR(I$59="",$C78=""),"",HLOOKUP(I$59,'Emissions Database'!$CK$3:$CS$251,MATCH($C78,'Emissions Database'!$B$3:$B$251,0),0))</f>
        <v/>
      </c>
      <c r="J78" s="58" t="str">
        <f>IF(OR(J$59="",$C78=""),"",HLOOKUP(J$59,'Emissions Database'!$CK$3:$CS$251,MATCH($C78,'Emissions Database'!$B$3:$B$251,0),0))</f>
        <v/>
      </c>
      <c r="K78" s="58" t="str">
        <f>IF(OR(K$59="",$C78=""),"",HLOOKUP(K$59,'Emissions Database'!$CK$3:$CS$251,MATCH($C78,'Emissions Database'!$B$3:$B$251,0),0))</f>
        <v/>
      </c>
      <c r="L78" s="58" t="str">
        <f>IF(OR(L$59="",$C78=""),"",HLOOKUP(L$59,'Emissions Database'!$CK$3:$CS$251,MATCH($C78,'Emissions Database'!$B$3:$B$251,0),0))</f>
        <v/>
      </c>
      <c r="M78" s="58" t="str">
        <f>IF(OR(M$59="",$C78=""),"",HLOOKUP(M$59,'Emissions Database'!$CK$3:$CS$251,MATCH($C78,'Emissions Database'!$B$3:$B$251,0),0))</f>
        <v/>
      </c>
      <c r="N78" s="58" t="str">
        <f>IF(OR(N$59="",$C78=""),"",HLOOKUP(N$59,'Emissions Database'!$CK$3:$CS$251,MATCH($C78,'Emissions Database'!$B$3:$B$251,0),0))</f>
        <v/>
      </c>
      <c r="O78" s="79" t="str">
        <f>""</f>
        <v/>
      </c>
      <c r="P78" s="79" t="str">
        <f>""</f>
        <v/>
      </c>
      <c r="Q78" s="79" t="str">
        <f>""</f>
        <v/>
      </c>
      <c r="R78" s="79" t="str">
        <f>""</f>
        <v/>
      </c>
      <c r="S78" s="79" t="str">
        <f>""</f>
        <v/>
      </c>
      <c r="T78" s="79" t="str">
        <f>""</f>
        <v/>
      </c>
      <c r="U78" s="79" t="str">
        <f>""</f>
        <v/>
      </c>
      <c r="V78" s="79" t="str">
        <f>""</f>
        <v/>
      </c>
      <c r="W78" s="79" t="str">
        <f>""</f>
        <v/>
      </c>
      <c r="X78" s="79" t="str">
        <f>""</f>
        <v/>
      </c>
      <c r="Y78" s="79" t="str">
        <f>""</f>
        <v/>
      </c>
    </row>
    <row r="79" spans="2:25" hidden="1" x14ac:dyDescent="0.3"/>
    <row r="80" spans="2:25" hidden="1" x14ac:dyDescent="0.3"/>
    <row r="81" spans="2:25" hidden="1" x14ac:dyDescent="0.3">
      <c r="C81" s="33" t="s">
        <v>402</v>
      </c>
      <c r="E81" s="66">
        <v>1</v>
      </c>
      <c r="F81" s="66">
        <v>2</v>
      </c>
      <c r="G81" s="66">
        <v>3</v>
      </c>
      <c r="H81" s="66">
        <v>4</v>
      </c>
      <c r="I81" s="66">
        <v>5</v>
      </c>
      <c r="J81" s="66">
        <v>6</v>
      </c>
      <c r="K81" s="66">
        <v>7</v>
      </c>
      <c r="L81" s="66">
        <v>8</v>
      </c>
      <c r="M81" s="66">
        <v>9</v>
      </c>
      <c r="N81" s="66">
        <v>10</v>
      </c>
      <c r="O81" s="66">
        <v>11</v>
      </c>
      <c r="P81" s="66">
        <v>12</v>
      </c>
      <c r="Q81" s="66">
        <v>13</v>
      </c>
      <c r="R81" s="66">
        <v>14</v>
      </c>
      <c r="S81" s="66">
        <v>15</v>
      </c>
      <c r="T81" s="66">
        <v>16</v>
      </c>
      <c r="U81" s="66">
        <v>17</v>
      </c>
      <c r="V81" s="66">
        <v>18</v>
      </c>
      <c r="W81" s="66">
        <v>19</v>
      </c>
      <c r="X81" s="66">
        <v>20</v>
      </c>
      <c r="Y81" s="66">
        <v>21</v>
      </c>
    </row>
    <row r="82" spans="2:25" hidden="1" x14ac:dyDescent="0.3">
      <c r="C82" s="36" t="s">
        <v>508</v>
      </c>
      <c r="D82" s="36" t="s">
        <v>322</v>
      </c>
      <c r="E82" s="36" t="str">
        <f>IF(COUNTIF(Lists!$E$67:$R$67,E$81)=0,"",HLOOKUP(E$81,Lists!$E$67:$R$69,ROWS(Lists!$E$67:$E$69),0))</f>
        <v/>
      </c>
      <c r="F82" s="36" t="str">
        <f>IF(COUNTIF(Lists!$E$67:$R$67,F$81)=0,"",HLOOKUP(F$81,Lists!$E$67:$R$69,ROWS(Lists!$E$67:$E$69),0))</f>
        <v/>
      </c>
      <c r="G82" s="36" t="str">
        <f>IF(COUNTIF(Lists!$E$67:$R$67,G$81)=0,"",HLOOKUP(G$81,Lists!$E$67:$R$69,ROWS(Lists!$E$67:$E$69),0))</f>
        <v/>
      </c>
      <c r="H82" s="36" t="str">
        <f>IF(COUNTIF(Lists!$E$67:$R$67,H$81)=0,"",HLOOKUP(H$81,Lists!$E$67:$R$69,ROWS(Lists!$E$67:$E$69),0))</f>
        <v/>
      </c>
      <c r="I82" s="36" t="str">
        <f>IF(COUNTIF(Lists!$E$67:$R$67,I$81)=0,"",HLOOKUP(I$81,Lists!$E$67:$R$69,ROWS(Lists!$E$67:$E$69),0))</f>
        <v/>
      </c>
      <c r="J82" s="36" t="str">
        <f>IF(COUNTIF(Lists!$E$67:$R$67,J$81)=0,"",HLOOKUP(J$81,Lists!$E$67:$R$69,ROWS(Lists!$E$67:$E$69),0))</f>
        <v/>
      </c>
      <c r="K82" s="36" t="str">
        <f>IF(COUNTIF(Lists!$E$67:$R$67,K$81)=0,"",HLOOKUP(K$81,Lists!$E$67:$R$69,ROWS(Lists!$E$67:$E$69),0))</f>
        <v/>
      </c>
      <c r="L82" s="36" t="str">
        <f>IF(COUNTIF(Lists!$E$67:$R$67,L$81)=0,"",HLOOKUP(L$81,Lists!$E$67:$R$69,ROWS(Lists!$E$67:$E$69),0))</f>
        <v/>
      </c>
      <c r="M82" s="36" t="str">
        <f>IF(COUNTIF(Lists!$E$67:$R$67,M$81)=0,"",HLOOKUP(M$81,Lists!$E$67:$R$69,ROWS(Lists!$E$67:$E$69),0))</f>
        <v/>
      </c>
      <c r="N82" s="36" t="str">
        <f>IF(COUNTIF(Lists!$E$67:$R$67,N$81)=0,"",HLOOKUP(N$81,Lists!$E$67:$R$69,ROWS(Lists!$E$67:$E$69),0))</f>
        <v/>
      </c>
      <c r="O82" s="36" t="str">
        <f>IF(COUNTIF(Lists!$E$67:$R$67,O$81)=0,"",HLOOKUP(O$81,Lists!$E$67:$R$69,ROWS(Lists!$E$67:$E$69),0))</f>
        <v/>
      </c>
      <c r="P82" s="36" t="str">
        <f>IF(COUNTIF(Lists!$E$67:$R$67,P$81)=0,"",HLOOKUP(P$81,Lists!$E$67:$R$69,ROWS(Lists!$E$67:$E$69),0))</f>
        <v/>
      </c>
      <c r="Q82" s="36" t="str">
        <f>IF(COUNTIF(Lists!$E$67:$R$67,Q$81)=0,"",HLOOKUP(Q$81,Lists!$E$67:$R$69,ROWS(Lists!$E$67:$E$69),0))</f>
        <v/>
      </c>
      <c r="R82" s="36" t="str">
        <f>IF(COUNTIF(Lists!$E$67:$R$67,R$81)=0,"",HLOOKUP(R$81,Lists!$E$67:$R$69,ROWS(Lists!$E$67:$E$69),0))</f>
        <v/>
      </c>
      <c r="S82" s="79" t="str">
        <f>""</f>
        <v/>
      </c>
      <c r="T82" s="79" t="str">
        <f>""</f>
        <v/>
      </c>
      <c r="U82" s="79" t="str">
        <f>""</f>
        <v/>
      </c>
      <c r="V82" s="79" t="str">
        <f>""</f>
        <v/>
      </c>
      <c r="W82" s="79" t="str">
        <f>""</f>
        <v/>
      </c>
      <c r="X82" s="79" t="str">
        <f>""</f>
        <v/>
      </c>
      <c r="Y82" s="79" t="str">
        <f>""</f>
        <v/>
      </c>
    </row>
    <row r="83" spans="2:25" hidden="1" x14ac:dyDescent="0.3">
      <c r="C83" s="59" t="s">
        <v>322</v>
      </c>
      <c r="D83" s="60">
        <f>'Emissions Database'!$BS$204</f>
        <v>0</v>
      </c>
      <c r="E83" s="60" t="str">
        <f>IF(E$82="","",SUMIF('Emissions Database'!$BE$3:$BR$3,E$82,'Emissions Database'!$BE$204:$BR$204))</f>
        <v/>
      </c>
      <c r="F83" s="60" t="str">
        <f>IF(F$82="","",SUMIF('Emissions Database'!$BE$3:$BR$3,F$82,'Emissions Database'!$BE$204:$BR$204))</f>
        <v/>
      </c>
      <c r="G83" s="60" t="str">
        <f>IF(G$82="","",SUMIF('Emissions Database'!$BE$3:$BR$3,G$82,'Emissions Database'!$BE$204:$BR$204))</f>
        <v/>
      </c>
      <c r="H83" s="60" t="str">
        <f>IF(H$82="","",SUMIF('Emissions Database'!$BE$3:$BR$3,H$82,'Emissions Database'!$BE$204:$BR$204))</f>
        <v/>
      </c>
      <c r="I83" s="60" t="str">
        <f>IF(I$82="","",SUMIF('Emissions Database'!$BE$3:$BR$3,I$82,'Emissions Database'!$BE$204:$BR$204))</f>
        <v/>
      </c>
      <c r="J83" s="60" t="str">
        <f>IF(J$82="","",SUMIF('Emissions Database'!$BE$3:$BR$3,J$82,'Emissions Database'!$BE$204:$BR$204))</f>
        <v/>
      </c>
      <c r="K83" s="60" t="str">
        <f>IF(K$82="","",SUMIF('Emissions Database'!$BE$3:$BR$3,K$82,'Emissions Database'!$BE$204:$BR$204))</f>
        <v/>
      </c>
      <c r="L83" s="60" t="str">
        <f>IF(L$82="","",SUMIF('Emissions Database'!$BE$3:$BR$3,L$82,'Emissions Database'!$BE$204:$BR$204))</f>
        <v/>
      </c>
      <c r="M83" s="60" t="str">
        <f>IF(M$82="","",SUMIF('Emissions Database'!$BE$3:$BR$3,M$82,'Emissions Database'!$BE$204:$BR$204))</f>
        <v/>
      </c>
      <c r="N83" s="60" t="str">
        <f>IF(N$82="","",SUMIF('Emissions Database'!$BE$3:$BR$3,N$82,'Emissions Database'!$BE$204:$BR$204))</f>
        <v/>
      </c>
      <c r="O83" s="60" t="str">
        <f>IF(O$82="","",SUMIF('Emissions Database'!$BE$3:$BR$3,O$82,'Emissions Database'!$BE$204:$BR$204))</f>
        <v/>
      </c>
      <c r="P83" s="60" t="str">
        <f>IF(P$82="","",SUMIF('Emissions Database'!$BE$3:$BR$3,P$82,'Emissions Database'!$BE$204:$BR$204))</f>
        <v/>
      </c>
      <c r="Q83" s="60" t="str">
        <f>IF(Q$82="","",SUMIF('Emissions Database'!$BE$3:$BR$3,Q$82,'Emissions Database'!$BE$204:$BR$204))</f>
        <v/>
      </c>
      <c r="R83" s="60" t="str">
        <f>IF(R$82="","",SUMIF('Emissions Database'!$BE$3:$BR$3,R$82,'Emissions Database'!$BE$204:$BR$204))</f>
        <v/>
      </c>
      <c r="S83" s="79" t="str">
        <f>""</f>
        <v/>
      </c>
      <c r="T83" s="79" t="str">
        <f>""</f>
        <v/>
      </c>
      <c r="U83" s="79" t="str">
        <f>""</f>
        <v/>
      </c>
      <c r="V83" s="79" t="str">
        <f>""</f>
        <v/>
      </c>
      <c r="W83" s="79" t="str">
        <f>""</f>
        <v/>
      </c>
      <c r="X83" s="79" t="str">
        <f>""</f>
        <v/>
      </c>
      <c r="Y83" s="79" t="str">
        <f>""</f>
        <v/>
      </c>
    </row>
    <row r="84" spans="2:25" hidden="1" x14ac:dyDescent="0.3">
      <c r="C84" s="73" t="s">
        <v>324</v>
      </c>
      <c r="D84" s="60">
        <f>D83-SUM(D85:D101)</f>
        <v>0</v>
      </c>
      <c r="E84" s="75" t="str">
        <f>IF(E82="","",E83-SUM(E85:E101))</f>
        <v/>
      </c>
      <c r="F84" s="75" t="str">
        <f t="shared" ref="F84:R84" si="42">IF(F82="","",F83-SUM(F85:F101))</f>
        <v/>
      </c>
      <c r="G84" s="75" t="str">
        <f t="shared" si="42"/>
        <v/>
      </c>
      <c r="H84" s="75" t="str">
        <f t="shared" si="42"/>
        <v/>
      </c>
      <c r="I84" s="75" t="str">
        <f t="shared" si="42"/>
        <v/>
      </c>
      <c r="J84" s="75" t="str">
        <f t="shared" si="42"/>
        <v/>
      </c>
      <c r="K84" s="75" t="str">
        <f t="shared" si="42"/>
        <v/>
      </c>
      <c r="L84" s="75" t="str">
        <f t="shared" si="42"/>
        <v/>
      </c>
      <c r="M84" s="75" t="str">
        <f t="shared" si="42"/>
        <v/>
      </c>
      <c r="N84" s="75" t="str">
        <f t="shared" si="42"/>
        <v/>
      </c>
      <c r="O84" s="75" t="str">
        <f t="shared" si="42"/>
        <v/>
      </c>
      <c r="P84" s="75" t="str">
        <f t="shared" si="42"/>
        <v/>
      </c>
      <c r="Q84" s="75" t="str">
        <f t="shared" si="42"/>
        <v/>
      </c>
      <c r="R84" s="75" t="str">
        <f t="shared" si="42"/>
        <v/>
      </c>
      <c r="S84" s="79" t="str">
        <f>""</f>
        <v/>
      </c>
      <c r="T84" s="79" t="str">
        <f>""</f>
        <v/>
      </c>
      <c r="U84" s="79" t="str">
        <f>""</f>
        <v/>
      </c>
      <c r="V84" s="79" t="str">
        <f>""</f>
        <v/>
      </c>
      <c r="W84" s="79" t="str">
        <f>""</f>
        <v/>
      </c>
      <c r="X84" s="79" t="str">
        <f>""</f>
        <v/>
      </c>
      <c r="Y84" s="79" t="str">
        <f>""</f>
        <v/>
      </c>
    </row>
    <row r="85" spans="2:25" hidden="1" x14ac:dyDescent="0.3">
      <c r="B85" s="66">
        <v>1</v>
      </c>
      <c r="C85" s="34" t="str">
        <f>IF(COUNTIF(Lists!$B$3:$B$22,B85)=0,"",VLOOKUP(B85,Lists!$B$3:$C$22,2,0))</f>
        <v/>
      </c>
      <c r="D85" s="60" t="str">
        <f>IF($C85="","",SUMIF('Emissions Database'!$B$232:$B$251,$C85,'Emissions Database'!$BS$232:$BS$251))</f>
        <v/>
      </c>
      <c r="E85" s="58" t="str">
        <f>IF(OR(E$82="",$C85=""),"",HLOOKUP(E$82,'Emissions Database'!$BE$3:$BR$251,MATCH($C85,'Emissions Database'!$B$3:$B$251,0),0))</f>
        <v/>
      </c>
      <c r="F85" s="58" t="str">
        <f>IF(OR(F$82="",$C85=""),"",HLOOKUP(F$82,'Emissions Database'!$BE$3:$BR$251,MATCH($C85,'Emissions Database'!$B$3:$B$251,0),0))</f>
        <v/>
      </c>
      <c r="G85" s="58" t="str">
        <f>IF(OR(G$82="",$C85=""),"",HLOOKUP(G$82,'Emissions Database'!$BE$3:$BR$251,MATCH($C85,'Emissions Database'!$B$3:$B$251,0),0))</f>
        <v/>
      </c>
      <c r="H85" s="58" t="str">
        <f>IF(OR(H$82="",$C85=""),"",HLOOKUP(H$82,'Emissions Database'!$BE$3:$BR$251,MATCH($C85,'Emissions Database'!$B$3:$B$251,0),0))</f>
        <v/>
      </c>
      <c r="I85" s="58" t="str">
        <f>IF(OR(I$82="",$C85=""),"",HLOOKUP(I$82,'Emissions Database'!$BE$3:$BR$251,MATCH($C85,'Emissions Database'!$B$3:$B$251,0),0))</f>
        <v/>
      </c>
      <c r="J85" s="58" t="str">
        <f>IF(OR(J$82="",$C85=""),"",HLOOKUP(J$82,'Emissions Database'!$BE$3:$BR$251,MATCH($C85,'Emissions Database'!$B$3:$B$251,0),0))</f>
        <v/>
      </c>
      <c r="K85" s="58" t="str">
        <f>IF(OR(K$82="",$C85=""),"",HLOOKUP(K$82,'Emissions Database'!$BE$3:$BR$251,MATCH($C85,'Emissions Database'!$B$3:$B$251,0),0))</f>
        <v/>
      </c>
      <c r="L85" s="58" t="str">
        <f>IF(OR(L$82="",$C85=""),"",HLOOKUP(L$82,'Emissions Database'!$BE$3:$BR$251,MATCH($C85,'Emissions Database'!$B$3:$B$251,0),0))</f>
        <v/>
      </c>
      <c r="M85" s="58" t="str">
        <f>IF(OR(M$82="",$C85=""),"",HLOOKUP(M$82,'Emissions Database'!$BE$3:$BR$251,MATCH($C85,'Emissions Database'!$B$3:$B$251,0),0))</f>
        <v/>
      </c>
      <c r="N85" s="58" t="str">
        <f>IF(OR(N$82="",$C85=""),"",HLOOKUP(N$82,'Emissions Database'!$BE$3:$BR$251,MATCH($C85,'Emissions Database'!$B$3:$B$251,0),0))</f>
        <v/>
      </c>
      <c r="O85" s="58" t="str">
        <f>IF(OR(O$82="",$C85=""),"",HLOOKUP(O$82,'Emissions Database'!$BE$3:$BR$251,MATCH($C85,'Emissions Database'!$B$3:$B$251,0),0))</f>
        <v/>
      </c>
      <c r="P85" s="58" t="str">
        <f>IF(OR(P$82="",$C85=""),"",HLOOKUP(P$82,'Emissions Database'!$BE$3:$BR$251,MATCH($C85,'Emissions Database'!$B$3:$B$251,0),0))</f>
        <v/>
      </c>
      <c r="Q85" s="58" t="str">
        <f>IF(OR(Q$82="",$C85=""),"",HLOOKUP(Q$82,'Emissions Database'!$BE$3:$BR$251,MATCH($C85,'Emissions Database'!$B$3:$B$251,0),0))</f>
        <v/>
      </c>
      <c r="R85" s="58" t="str">
        <f>IF(OR(R$82="",$C85=""),"",HLOOKUP(R$82,'Emissions Database'!$BE$3:$BR$251,MATCH($C85,'Emissions Database'!$B$3:$B$251,0),0))</f>
        <v/>
      </c>
      <c r="S85" s="79" t="str">
        <f>""</f>
        <v/>
      </c>
      <c r="T85" s="79" t="str">
        <f>""</f>
        <v/>
      </c>
      <c r="U85" s="79" t="str">
        <f>""</f>
        <v/>
      </c>
      <c r="V85" s="79" t="str">
        <f>""</f>
        <v/>
      </c>
      <c r="W85" s="79" t="str">
        <f>""</f>
        <v/>
      </c>
      <c r="X85" s="79" t="str">
        <f>""</f>
        <v/>
      </c>
      <c r="Y85" s="79" t="str">
        <f>""</f>
        <v/>
      </c>
    </row>
    <row r="86" spans="2:25" hidden="1" x14ac:dyDescent="0.3">
      <c r="B86" s="66">
        <v>2</v>
      </c>
      <c r="C86" s="34" t="str">
        <f>IF(COUNTIF(Lists!$B$3:$B$22,B86)=0,"",VLOOKUP(B86,Lists!$B$3:$C$22,2,0))</f>
        <v/>
      </c>
      <c r="D86" s="60" t="str">
        <f>IF($C86="","",SUMIF('Emissions Database'!$B$232:$B$251,$C86,'Emissions Database'!$BS$232:$BS$251))</f>
        <v/>
      </c>
      <c r="E86" s="58" t="str">
        <f>IF(OR(E$82="",$C86=""),"",HLOOKUP(E$82,'Emissions Database'!$BE$3:$BR$251,MATCH($C86,'Emissions Database'!$B$3:$B$251,0),0))</f>
        <v/>
      </c>
      <c r="F86" s="58" t="str">
        <f>IF(OR(F$82="",$C86=""),"",HLOOKUP(F$82,'Emissions Database'!$BE$3:$BR$251,MATCH($C86,'Emissions Database'!$B$3:$B$251,0),0))</f>
        <v/>
      </c>
      <c r="G86" s="58" t="str">
        <f>IF(OR(G$82="",$C86=""),"",HLOOKUP(G$82,'Emissions Database'!$BE$3:$BR$251,MATCH($C86,'Emissions Database'!$B$3:$B$251,0),0))</f>
        <v/>
      </c>
      <c r="H86" s="58" t="str">
        <f>IF(OR(H$82="",$C86=""),"",HLOOKUP(H$82,'Emissions Database'!$BE$3:$BR$251,MATCH($C86,'Emissions Database'!$B$3:$B$251,0),0))</f>
        <v/>
      </c>
      <c r="I86" s="58" t="str">
        <f>IF(OR(I$82="",$C86=""),"",HLOOKUP(I$82,'Emissions Database'!$BE$3:$BR$251,MATCH($C86,'Emissions Database'!$B$3:$B$251,0),0))</f>
        <v/>
      </c>
      <c r="J86" s="58" t="str">
        <f>IF(OR(J$82="",$C86=""),"",HLOOKUP(J$82,'Emissions Database'!$BE$3:$BR$251,MATCH($C86,'Emissions Database'!$B$3:$B$251,0),0))</f>
        <v/>
      </c>
      <c r="K86" s="58" t="str">
        <f>IF(OR(K$82="",$C86=""),"",HLOOKUP(K$82,'Emissions Database'!$BE$3:$BR$251,MATCH($C86,'Emissions Database'!$B$3:$B$251,0),0))</f>
        <v/>
      </c>
      <c r="L86" s="58" t="str">
        <f>IF(OR(L$82="",$C86=""),"",HLOOKUP(L$82,'Emissions Database'!$BE$3:$BR$251,MATCH($C86,'Emissions Database'!$B$3:$B$251,0),0))</f>
        <v/>
      </c>
      <c r="M86" s="58" t="str">
        <f>IF(OR(M$82="",$C86=""),"",HLOOKUP(M$82,'Emissions Database'!$BE$3:$BR$251,MATCH($C86,'Emissions Database'!$B$3:$B$251,0),0))</f>
        <v/>
      </c>
      <c r="N86" s="58" t="str">
        <f>IF(OR(N$82="",$C86=""),"",HLOOKUP(N$82,'Emissions Database'!$BE$3:$BR$251,MATCH($C86,'Emissions Database'!$B$3:$B$251,0),0))</f>
        <v/>
      </c>
      <c r="O86" s="58" t="str">
        <f>IF(OR(O$82="",$C86=""),"",HLOOKUP(O$82,'Emissions Database'!$BE$3:$BR$251,MATCH($C86,'Emissions Database'!$B$3:$B$251,0),0))</f>
        <v/>
      </c>
      <c r="P86" s="58" t="str">
        <f>IF(OR(P$82="",$C86=""),"",HLOOKUP(P$82,'Emissions Database'!$BE$3:$BR$251,MATCH($C86,'Emissions Database'!$B$3:$B$251,0),0))</f>
        <v/>
      </c>
      <c r="Q86" s="58" t="str">
        <f>IF(OR(Q$82="",$C86=""),"",HLOOKUP(Q$82,'Emissions Database'!$BE$3:$BR$251,MATCH($C86,'Emissions Database'!$B$3:$B$251,0),0))</f>
        <v/>
      </c>
      <c r="R86" s="58" t="str">
        <f>IF(OR(R$82="",$C86=""),"",HLOOKUP(R$82,'Emissions Database'!$BE$3:$BR$251,MATCH($C86,'Emissions Database'!$B$3:$B$251,0),0))</f>
        <v/>
      </c>
      <c r="S86" s="79" t="str">
        <f>""</f>
        <v/>
      </c>
      <c r="T86" s="79" t="str">
        <f>""</f>
        <v/>
      </c>
      <c r="U86" s="79" t="str">
        <f>""</f>
        <v/>
      </c>
      <c r="V86" s="79" t="str">
        <f>""</f>
        <v/>
      </c>
      <c r="W86" s="79" t="str">
        <f>""</f>
        <v/>
      </c>
      <c r="X86" s="79" t="str">
        <f>""</f>
        <v/>
      </c>
      <c r="Y86" s="79" t="str">
        <f>""</f>
        <v/>
      </c>
    </row>
    <row r="87" spans="2:25" hidden="1" x14ac:dyDescent="0.3">
      <c r="B87" s="66">
        <v>3</v>
      </c>
      <c r="C87" s="34" t="str">
        <f>IF(COUNTIF(Lists!$B$3:$B$22,B87)=0,"",VLOOKUP(B87,Lists!$B$3:$C$22,2,0))</f>
        <v/>
      </c>
      <c r="D87" s="60" t="str">
        <f>IF($C87="","",SUMIF('Emissions Database'!$B$232:$B$251,$C87,'Emissions Database'!$BS$232:$BS$251))</f>
        <v/>
      </c>
      <c r="E87" s="58" t="str">
        <f>IF(OR(E$82="",$C87=""),"",HLOOKUP(E$82,'Emissions Database'!$BE$3:$BR$251,MATCH($C87,'Emissions Database'!$B$3:$B$251,0),0))</f>
        <v/>
      </c>
      <c r="F87" s="58" t="str">
        <f>IF(OR(F$82="",$C87=""),"",HLOOKUP(F$82,'Emissions Database'!$BE$3:$BR$251,MATCH($C87,'Emissions Database'!$B$3:$B$251,0),0))</f>
        <v/>
      </c>
      <c r="G87" s="58" t="str">
        <f>IF(OR(G$82="",$C87=""),"",HLOOKUP(G$82,'Emissions Database'!$BE$3:$BR$251,MATCH($C87,'Emissions Database'!$B$3:$B$251,0),0))</f>
        <v/>
      </c>
      <c r="H87" s="58" t="str">
        <f>IF(OR(H$82="",$C87=""),"",HLOOKUP(H$82,'Emissions Database'!$BE$3:$BR$251,MATCH($C87,'Emissions Database'!$B$3:$B$251,0),0))</f>
        <v/>
      </c>
      <c r="I87" s="58" t="str">
        <f>IF(OR(I$82="",$C87=""),"",HLOOKUP(I$82,'Emissions Database'!$BE$3:$BR$251,MATCH($C87,'Emissions Database'!$B$3:$B$251,0),0))</f>
        <v/>
      </c>
      <c r="J87" s="58" t="str">
        <f>IF(OR(J$82="",$C87=""),"",HLOOKUP(J$82,'Emissions Database'!$BE$3:$BR$251,MATCH($C87,'Emissions Database'!$B$3:$B$251,0),0))</f>
        <v/>
      </c>
      <c r="K87" s="58" t="str">
        <f>IF(OR(K$82="",$C87=""),"",HLOOKUP(K$82,'Emissions Database'!$BE$3:$BR$251,MATCH($C87,'Emissions Database'!$B$3:$B$251,0),0))</f>
        <v/>
      </c>
      <c r="L87" s="58" t="str">
        <f>IF(OR(L$82="",$C87=""),"",HLOOKUP(L$82,'Emissions Database'!$BE$3:$BR$251,MATCH($C87,'Emissions Database'!$B$3:$B$251,0),0))</f>
        <v/>
      </c>
      <c r="M87" s="58" t="str">
        <f>IF(OR(M$82="",$C87=""),"",HLOOKUP(M$82,'Emissions Database'!$BE$3:$BR$251,MATCH($C87,'Emissions Database'!$B$3:$B$251,0),0))</f>
        <v/>
      </c>
      <c r="N87" s="58" t="str">
        <f>IF(OR(N$82="",$C87=""),"",HLOOKUP(N$82,'Emissions Database'!$BE$3:$BR$251,MATCH($C87,'Emissions Database'!$B$3:$B$251,0),0))</f>
        <v/>
      </c>
      <c r="O87" s="58" t="str">
        <f>IF(OR(O$82="",$C87=""),"",HLOOKUP(O$82,'Emissions Database'!$BE$3:$BR$251,MATCH($C87,'Emissions Database'!$B$3:$B$251,0),0))</f>
        <v/>
      </c>
      <c r="P87" s="58" t="str">
        <f>IF(OR(P$82="",$C87=""),"",HLOOKUP(P$82,'Emissions Database'!$BE$3:$BR$251,MATCH($C87,'Emissions Database'!$B$3:$B$251,0),0))</f>
        <v/>
      </c>
      <c r="Q87" s="58" t="str">
        <f>IF(OR(Q$82="",$C87=""),"",HLOOKUP(Q$82,'Emissions Database'!$BE$3:$BR$251,MATCH($C87,'Emissions Database'!$B$3:$B$251,0),0))</f>
        <v/>
      </c>
      <c r="R87" s="58" t="str">
        <f>IF(OR(R$82="",$C87=""),"",HLOOKUP(R$82,'Emissions Database'!$BE$3:$BR$251,MATCH($C87,'Emissions Database'!$B$3:$B$251,0),0))</f>
        <v/>
      </c>
      <c r="S87" s="79" t="str">
        <f>""</f>
        <v/>
      </c>
      <c r="T87" s="79" t="str">
        <f>""</f>
        <v/>
      </c>
      <c r="U87" s="79" t="str">
        <f>""</f>
        <v/>
      </c>
      <c r="V87" s="79" t="str">
        <f>""</f>
        <v/>
      </c>
      <c r="W87" s="79" t="str">
        <f>""</f>
        <v/>
      </c>
      <c r="X87" s="79" t="str">
        <f>""</f>
        <v/>
      </c>
      <c r="Y87" s="79" t="str">
        <f>""</f>
        <v/>
      </c>
    </row>
    <row r="88" spans="2:25" hidden="1" x14ac:dyDescent="0.3">
      <c r="B88" s="66">
        <v>4</v>
      </c>
      <c r="C88" s="34" t="str">
        <f>IF(COUNTIF(Lists!$B$3:$B$22,B88)=0,"",VLOOKUP(B88,Lists!$B$3:$C$22,2,0))</f>
        <v/>
      </c>
      <c r="D88" s="60" t="str">
        <f>IF($C88="","",SUMIF('Emissions Database'!$B$232:$B$251,$C88,'Emissions Database'!$BS$232:$BS$251))</f>
        <v/>
      </c>
      <c r="E88" s="58" t="str">
        <f>IF(OR(E$82="",$C88=""),"",HLOOKUP(E$82,'Emissions Database'!$BE$3:$BR$251,MATCH($C88,'Emissions Database'!$B$3:$B$251,0),0))</f>
        <v/>
      </c>
      <c r="F88" s="58" t="str">
        <f>IF(OR(F$82="",$C88=""),"",HLOOKUP(F$82,'Emissions Database'!$BE$3:$BR$251,MATCH($C88,'Emissions Database'!$B$3:$B$251,0),0))</f>
        <v/>
      </c>
      <c r="G88" s="58" t="str">
        <f>IF(OR(G$82="",$C88=""),"",HLOOKUP(G$82,'Emissions Database'!$BE$3:$BR$251,MATCH($C88,'Emissions Database'!$B$3:$B$251,0),0))</f>
        <v/>
      </c>
      <c r="H88" s="58" t="str">
        <f>IF(OR(H$82="",$C88=""),"",HLOOKUP(H$82,'Emissions Database'!$BE$3:$BR$251,MATCH($C88,'Emissions Database'!$B$3:$B$251,0),0))</f>
        <v/>
      </c>
      <c r="I88" s="58" t="str">
        <f>IF(OR(I$82="",$C88=""),"",HLOOKUP(I$82,'Emissions Database'!$BE$3:$BR$251,MATCH($C88,'Emissions Database'!$B$3:$B$251,0),0))</f>
        <v/>
      </c>
      <c r="J88" s="58" t="str">
        <f>IF(OR(J$82="",$C88=""),"",HLOOKUP(J$82,'Emissions Database'!$BE$3:$BR$251,MATCH($C88,'Emissions Database'!$B$3:$B$251,0),0))</f>
        <v/>
      </c>
      <c r="K88" s="58" t="str">
        <f>IF(OR(K$82="",$C88=""),"",HLOOKUP(K$82,'Emissions Database'!$BE$3:$BR$251,MATCH($C88,'Emissions Database'!$B$3:$B$251,0),0))</f>
        <v/>
      </c>
      <c r="L88" s="58" t="str">
        <f>IF(OR(L$82="",$C88=""),"",HLOOKUP(L$82,'Emissions Database'!$BE$3:$BR$251,MATCH($C88,'Emissions Database'!$B$3:$B$251,0),0))</f>
        <v/>
      </c>
      <c r="M88" s="58" t="str">
        <f>IF(OR(M$82="",$C88=""),"",HLOOKUP(M$82,'Emissions Database'!$BE$3:$BR$251,MATCH($C88,'Emissions Database'!$B$3:$B$251,0),0))</f>
        <v/>
      </c>
      <c r="N88" s="58" t="str">
        <f>IF(OR(N$82="",$C88=""),"",HLOOKUP(N$82,'Emissions Database'!$BE$3:$BR$251,MATCH($C88,'Emissions Database'!$B$3:$B$251,0),0))</f>
        <v/>
      </c>
      <c r="O88" s="58" t="str">
        <f>IF(OR(O$82="",$C88=""),"",HLOOKUP(O$82,'Emissions Database'!$BE$3:$BR$251,MATCH($C88,'Emissions Database'!$B$3:$B$251,0),0))</f>
        <v/>
      </c>
      <c r="P88" s="58" t="str">
        <f>IF(OR(P$82="",$C88=""),"",HLOOKUP(P$82,'Emissions Database'!$BE$3:$BR$251,MATCH($C88,'Emissions Database'!$B$3:$B$251,0),0))</f>
        <v/>
      </c>
      <c r="Q88" s="58" t="str">
        <f>IF(OR(Q$82="",$C88=""),"",HLOOKUP(Q$82,'Emissions Database'!$BE$3:$BR$251,MATCH($C88,'Emissions Database'!$B$3:$B$251,0),0))</f>
        <v/>
      </c>
      <c r="R88" s="58" t="str">
        <f>IF(OR(R$82="",$C88=""),"",HLOOKUP(R$82,'Emissions Database'!$BE$3:$BR$251,MATCH($C88,'Emissions Database'!$B$3:$B$251,0),0))</f>
        <v/>
      </c>
      <c r="S88" s="79" t="str">
        <f>""</f>
        <v/>
      </c>
      <c r="T88" s="79" t="str">
        <f>""</f>
        <v/>
      </c>
      <c r="U88" s="79" t="str">
        <f>""</f>
        <v/>
      </c>
      <c r="V88" s="79" t="str">
        <f>""</f>
        <v/>
      </c>
      <c r="W88" s="79" t="str">
        <f>""</f>
        <v/>
      </c>
      <c r="X88" s="79" t="str">
        <f>""</f>
        <v/>
      </c>
      <c r="Y88" s="79" t="str">
        <f>""</f>
        <v/>
      </c>
    </row>
    <row r="89" spans="2:25" hidden="1" x14ac:dyDescent="0.3">
      <c r="B89" s="66">
        <v>5</v>
      </c>
      <c r="C89" s="34" t="str">
        <f>IF(COUNTIF(Lists!$B$3:$B$22,B89)=0,"",VLOOKUP(B89,Lists!$B$3:$C$22,2,0))</f>
        <v/>
      </c>
      <c r="D89" s="60" t="str">
        <f>IF($C89="","",SUMIF('Emissions Database'!$B$232:$B$251,$C89,'Emissions Database'!$BS$232:$BS$251))</f>
        <v/>
      </c>
      <c r="E89" s="58" t="str">
        <f>IF(OR(E$82="",$C89=""),"",HLOOKUP(E$82,'Emissions Database'!$BE$3:$BR$251,MATCH($C89,'Emissions Database'!$B$3:$B$251,0),0))</f>
        <v/>
      </c>
      <c r="F89" s="58" t="str">
        <f>IF(OR(F$82="",$C89=""),"",HLOOKUP(F$82,'Emissions Database'!$BE$3:$BR$251,MATCH($C89,'Emissions Database'!$B$3:$B$251,0),0))</f>
        <v/>
      </c>
      <c r="G89" s="58" t="str">
        <f>IF(OR(G$82="",$C89=""),"",HLOOKUP(G$82,'Emissions Database'!$BE$3:$BR$251,MATCH($C89,'Emissions Database'!$B$3:$B$251,0),0))</f>
        <v/>
      </c>
      <c r="H89" s="58" t="str">
        <f>IF(OR(H$82="",$C89=""),"",HLOOKUP(H$82,'Emissions Database'!$BE$3:$BR$251,MATCH($C89,'Emissions Database'!$B$3:$B$251,0),0))</f>
        <v/>
      </c>
      <c r="I89" s="58" t="str">
        <f>IF(OR(I$82="",$C89=""),"",HLOOKUP(I$82,'Emissions Database'!$BE$3:$BR$251,MATCH($C89,'Emissions Database'!$B$3:$B$251,0),0))</f>
        <v/>
      </c>
      <c r="J89" s="58" t="str">
        <f>IF(OR(J$82="",$C89=""),"",HLOOKUP(J$82,'Emissions Database'!$BE$3:$BR$251,MATCH($C89,'Emissions Database'!$B$3:$B$251,0),0))</f>
        <v/>
      </c>
      <c r="K89" s="58" t="str">
        <f>IF(OR(K$82="",$C89=""),"",HLOOKUP(K$82,'Emissions Database'!$BE$3:$BR$251,MATCH($C89,'Emissions Database'!$B$3:$B$251,0),0))</f>
        <v/>
      </c>
      <c r="L89" s="58" t="str">
        <f>IF(OR(L$82="",$C89=""),"",HLOOKUP(L$82,'Emissions Database'!$BE$3:$BR$251,MATCH($C89,'Emissions Database'!$B$3:$B$251,0),0))</f>
        <v/>
      </c>
      <c r="M89" s="58" t="str">
        <f>IF(OR(M$82="",$C89=""),"",HLOOKUP(M$82,'Emissions Database'!$BE$3:$BR$251,MATCH($C89,'Emissions Database'!$B$3:$B$251,0),0))</f>
        <v/>
      </c>
      <c r="N89" s="58" t="str">
        <f>IF(OR(N$82="",$C89=""),"",HLOOKUP(N$82,'Emissions Database'!$BE$3:$BR$251,MATCH($C89,'Emissions Database'!$B$3:$B$251,0),0))</f>
        <v/>
      </c>
      <c r="O89" s="58" t="str">
        <f>IF(OR(O$82="",$C89=""),"",HLOOKUP(O$82,'Emissions Database'!$BE$3:$BR$251,MATCH($C89,'Emissions Database'!$B$3:$B$251,0),0))</f>
        <v/>
      </c>
      <c r="P89" s="58" t="str">
        <f>IF(OR(P$82="",$C89=""),"",HLOOKUP(P$82,'Emissions Database'!$BE$3:$BR$251,MATCH($C89,'Emissions Database'!$B$3:$B$251,0),0))</f>
        <v/>
      </c>
      <c r="Q89" s="58" t="str">
        <f>IF(OR(Q$82="",$C89=""),"",HLOOKUP(Q$82,'Emissions Database'!$BE$3:$BR$251,MATCH($C89,'Emissions Database'!$B$3:$B$251,0),0))</f>
        <v/>
      </c>
      <c r="R89" s="58" t="str">
        <f>IF(OR(R$82="",$C89=""),"",HLOOKUP(R$82,'Emissions Database'!$BE$3:$BR$251,MATCH($C89,'Emissions Database'!$B$3:$B$251,0),0))</f>
        <v/>
      </c>
      <c r="S89" s="79" t="str">
        <f>""</f>
        <v/>
      </c>
      <c r="T89" s="79" t="str">
        <f>""</f>
        <v/>
      </c>
      <c r="U89" s="79" t="str">
        <f>""</f>
        <v/>
      </c>
      <c r="V89" s="79" t="str">
        <f>""</f>
        <v/>
      </c>
      <c r="W89" s="79" t="str">
        <f>""</f>
        <v/>
      </c>
      <c r="X89" s="79" t="str">
        <f>""</f>
        <v/>
      </c>
      <c r="Y89" s="79" t="str">
        <f>""</f>
        <v/>
      </c>
    </row>
    <row r="90" spans="2:25" hidden="1" x14ac:dyDescent="0.3">
      <c r="B90" s="66">
        <v>6</v>
      </c>
      <c r="C90" s="34" t="str">
        <f>IF(COUNTIF(Lists!$B$3:$B$22,B90)=0,"",VLOOKUP(B90,Lists!$B$3:$C$22,2,0))</f>
        <v/>
      </c>
      <c r="D90" s="60" t="str">
        <f>IF($C90="","",SUMIF('Emissions Database'!$B$232:$B$251,$C90,'Emissions Database'!$BS$232:$BS$251))</f>
        <v/>
      </c>
      <c r="E90" s="58" t="str">
        <f>IF(OR(E$82="",$C90=""),"",HLOOKUP(E$82,'Emissions Database'!$BE$3:$BR$251,MATCH($C90,'Emissions Database'!$B$3:$B$251,0),0))</f>
        <v/>
      </c>
      <c r="F90" s="58" t="str">
        <f>IF(OR(F$82="",$C90=""),"",HLOOKUP(F$82,'Emissions Database'!$BE$3:$BR$251,MATCH($C90,'Emissions Database'!$B$3:$B$251,0),0))</f>
        <v/>
      </c>
      <c r="G90" s="58" t="str">
        <f>IF(OR(G$82="",$C90=""),"",HLOOKUP(G$82,'Emissions Database'!$BE$3:$BR$251,MATCH($C90,'Emissions Database'!$B$3:$B$251,0),0))</f>
        <v/>
      </c>
      <c r="H90" s="58" t="str">
        <f>IF(OR(H$82="",$C90=""),"",HLOOKUP(H$82,'Emissions Database'!$BE$3:$BR$251,MATCH($C90,'Emissions Database'!$B$3:$B$251,0),0))</f>
        <v/>
      </c>
      <c r="I90" s="58" t="str">
        <f>IF(OR(I$82="",$C90=""),"",HLOOKUP(I$82,'Emissions Database'!$BE$3:$BR$251,MATCH($C90,'Emissions Database'!$B$3:$B$251,0),0))</f>
        <v/>
      </c>
      <c r="J90" s="58" t="str">
        <f>IF(OR(J$82="",$C90=""),"",HLOOKUP(J$82,'Emissions Database'!$BE$3:$BR$251,MATCH($C90,'Emissions Database'!$B$3:$B$251,0),0))</f>
        <v/>
      </c>
      <c r="K90" s="58" t="str">
        <f>IF(OR(K$82="",$C90=""),"",HLOOKUP(K$82,'Emissions Database'!$BE$3:$BR$251,MATCH($C90,'Emissions Database'!$B$3:$B$251,0),0))</f>
        <v/>
      </c>
      <c r="L90" s="58" t="str">
        <f>IF(OR(L$82="",$C90=""),"",HLOOKUP(L$82,'Emissions Database'!$BE$3:$BR$251,MATCH($C90,'Emissions Database'!$B$3:$B$251,0),0))</f>
        <v/>
      </c>
      <c r="M90" s="58" t="str">
        <f>IF(OR(M$82="",$C90=""),"",HLOOKUP(M$82,'Emissions Database'!$BE$3:$BR$251,MATCH($C90,'Emissions Database'!$B$3:$B$251,0),0))</f>
        <v/>
      </c>
      <c r="N90" s="58" t="str">
        <f>IF(OR(N$82="",$C90=""),"",HLOOKUP(N$82,'Emissions Database'!$BE$3:$BR$251,MATCH($C90,'Emissions Database'!$B$3:$B$251,0),0))</f>
        <v/>
      </c>
      <c r="O90" s="58" t="str">
        <f>IF(OR(O$82="",$C90=""),"",HLOOKUP(O$82,'Emissions Database'!$BE$3:$BR$251,MATCH($C90,'Emissions Database'!$B$3:$B$251,0),0))</f>
        <v/>
      </c>
      <c r="P90" s="58" t="str">
        <f>IF(OR(P$82="",$C90=""),"",HLOOKUP(P$82,'Emissions Database'!$BE$3:$BR$251,MATCH($C90,'Emissions Database'!$B$3:$B$251,0),0))</f>
        <v/>
      </c>
      <c r="Q90" s="58" t="str">
        <f>IF(OR(Q$82="",$C90=""),"",HLOOKUP(Q$82,'Emissions Database'!$BE$3:$BR$251,MATCH($C90,'Emissions Database'!$B$3:$B$251,0),0))</f>
        <v/>
      </c>
      <c r="R90" s="58" t="str">
        <f>IF(OR(R$82="",$C90=""),"",HLOOKUP(R$82,'Emissions Database'!$BE$3:$BR$251,MATCH($C90,'Emissions Database'!$B$3:$B$251,0),0))</f>
        <v/>
      </c>
      <c r="S90" s="79" t="str">
        <f>""</f>
        <v/>
      </c>
      <c r="T90" s="79" t="str">
        <f>""</f>
        <v/>
      </c>
      <c r="U90" s="79" t="str">
        <f>""</f>
        <v/>
      </c>
      <c r="V90" s="79" t="str">
        <f>""</f>
        <v/>
      </c>
      <c r="W90" s="79" t="str">
        <f>""</f>
        <v/>
      </c>
      <c r="X90" s="79" t="str">
        <f>""</f>
        <v/>
      </c>
      <c r="Y90" s="79" t="str">
        <f>""</f>
        <v/>
      </c>
    </row>
    <row r="91" spans="2:25" hidden="1" x14ac:dyDescent="0.3">
      <c r="B91" s="66">
        <v>7</v>
      </c>
      <c r="C91" s="34" t="str">
        <f>IF(COUNTIF(Lists!$B$3:$B$22,B91)=0,"",VLOOKUP(B91,Lists!$B$3:$C$22,2,0))</f>
        <v/>
      </c>
      <c r="D91" s="60" t="str">
        <f>IF($C91="","",SUMIF('Emissions Database'!$B$232:$B$251,$C91,'Emissions Database'!$BS$232:$BS$251))</f>
        <v/>
      </c>
      <c r="E91" s="58" t="str">
        <f>IF(OR(E$82="",$C91=""),"",HLOOKUP(E$82,'Emissions Database'!$BE$3:$BR$251,MATCH($C91,'Emissions Database'!$B$3:$B$251,0),0))</f>
        <v/>
      </c>
      <c r="F91" s="58" t="str">
        <f>IF(OR(F$82="",$C91=""),"",HLOOKUP(F$82,'Emissions Database'!$BE$3:$BR$251,MATCH($C91,'Emissions Database'!$B$3:$B$251,0),0))</f>
        <v/>
      </c>
      <c r="G91" s="58" t="str">
        <f>IF(OR(G$82="",$C91=""),"",HLOOKUP(G$82,'Emissions Database'!$BE$3:$BR$251,MATCH($C91,'Emissions Database'!$B$3:$B$251,0),0))</f>
        <v/>
      </c>
      <c r="H91" s="58" t="str">
        <f>IF(OR(H$82="",$C91=""),"",HLOOKUP(H$82,'Emissions Database'!$BE$3:$BR$251,MATCH($C91,'Emissions Database'!$B$3:$B$251,0),0))</f>
        <v/>
      </c>
      <c r="I91" s="58" t="str">
        <f>IF(OR(I$82="",$C91=""),"",HLOOKUP(I$82,'Emissions Database'!$BE$3:$BR$251,MATCH($C91,'Emissions Database'!$B$3:$B$251,0),0))</f>
        <v/>
      </c>
      <c r="J91" s="58" t="str">
        <f>IF(OR(J$82="",$C91=""),"",HLOOKUP(J$82,'Emissions Database'!$BE$3:$BR$251,MATCH($C91,'Emissions Database'!$B$3:$B$251,0),0))</f>
        <v/>
      </c>
      <c r="K91" s="58" t="str">
        <f>IF(OR(K$82="",$C91=""),"",HLOOKUP(K$82,'Emissions Database'!$BE$3:$BR$251,MATCH($C91,'Emissions Database'!$B$3:$B$251,0),0))</f>
        <v/>
      </c>
      <c r="L91" s="58" t="str">
        <f>IF(OR(L$82="",$C91=""),"",HLOOKUP(L$82,'Emissions Database'!$BE$3:$BR$251,MATCH($C91,'Emissions Database'!$B$3:$B$251,0),0))</f>
        <v/>
      </c>
      <c r="M91" s="58" t="str">
        <f>IF(OR(M$82="",$C91=""),"",HLOOKUP(M$82,'Emissions Database'!$BE$3:$BR$251,MATCH($C91,'Emissions Database'!$B$3:$B$251,0),0))</f>
        <v/>
      </c>
      <c r="N91" s="58" t="str">
        <f>IF(OR(N$82="",$C91=""),"",HLOOKUP(N$82,'Emissions Database'!$BE$3:$BR$251,MATCH($C91,'Emissions Database'!$B$3:$B$251,0),0))</f>
        <v/>
      </c>
      <c r="O91" s="58" t="str">
        <f>IF(OR(O$82="",$C91=""),"",HLOOKUP(O$82,'Emissions Database'!$BE$3:$BR$251,MATCH($C91,'Emissions Database'!$B$3:$B$251,0),0))</f>
        <v/>
      </c>
      <c r="P91" s="58" t="str">
        <f>IF(OR(P$82="",$C91=""),"",HLOOKUP(P$82,'Emissions Database'!$BE$3:$BR$251,MATCH($C91,'Emissions Database'!$B$3:$B$251,0),0))</f>
        <v/>
      </c>
      <c r="Q91" s="58" t="str">
        <f>IF(OR(Q$82="",$C91=""),"",HLOOKUP(Q$82,'Emissions Database'!$BE$3:$BR$251,MATCH($C91,'Emissions Database'!$B$3:$B$251,0),0))</f>
        <v/>
      </c>
      <c r="R91" s="58" t="str">
        <f>IF(OR(R$82="",$C91=""),"",HLOOKUP(R$82,'Emissions Database'!$BE$3:$BR$251,MATCH($C91,'Emissions Database'!$B$3:$B$251,0),0))</f>
        <v/>
      </c>
      <c r="S91" s="79" t="str">
        <f>""</f>
        <v/>
      </c>
      <c r="T91" s="79" t="str">
        <f>""</f>
        <v/>
      </c>
      <c r="U91" s="79" t="str">
        <f>""</f>
        <v/>
      </c>
      <c r="V91" s="79" t="str">
        <f>""</f>
        <v/>
      </c>
      <c r="W91" s="79" t="str">
        <f>""</f>
        <v/>
      </c>
      <c r="X91" s="79" t="str">
        <f>""</f>
        <v/>
      </c>
      <c r="Y91" s="79" t="str">
        <f>""</f>
        <v/>
      </c>
    </row>
    <row r="92" spans="2:25" hidden="1" x14ac:dyDescent="0.3">
      <c r="B92" s="66">
        <v>8</v>
      </c>
      <c r="C92" s="34" t="str">
        <f>IF(COUNTIF(Lists!$B$3:$B$22,B92)=0,"",VLOOKUP(B92,Lists!$B$3:$C$22,2,0))</f>
        <v/>
      </c>
      <c r="D92" s="60" t="str">
        <f>IF($C92="","",SUMIF('Emissions Database'!$B$232:$B$251,$C92,'Emissions Database'!$BS$232:$BS$251))</f>
        <v/>
      </c>
      <c r="E92" s="58" t="str">
        <f>IF(OR(E$82="",$C92=""),"",HLOOKUP(E$82,'Emissions Database'!$BE$3:$BR$251,MATCH($C92,'Emissions Database'!$B$3:$B$251,0),0))</f>
        <v/>
      </c>
      <c r="F92" s="58" t="str">
        <f>IF(OR(F$82="",$C92=""),"",HLOOKUP(F$82,'Emissions Database'!$BE$3:$BR$251,MATCH($C92,'Emissions Database'!$B$3:$B$251,0),0))</f>
        <v/>
      </c>
      <c r="G92" s="58" t="str">
        <f>IF(OR(G$82="",$C92=""),"",HLOOKUP(G$82,'Emissions Database'!$BE$3:$BR$251,MATCH($C92,'Emissions Database'!$B$3:$B$251,0),0))</f>
        <v/>
      </c>
      <c r="H92" s="58" t="str">
        <f>IF(OR(H$82="",$C92=""),"",HLOOKUP(H$82,'Emissions Database'!$BE$3:$BR$251,MATCH($C92,'Emissions Database'!$B$3:$B$251,0),0))</f>
        <v/>
      </c>
      <c r="I92" s="58" t="str">
        <f>IF(OR(I$82="",$C92=""),"",HLOOKUP(I$82,'Emissions Database'!$BE$3:$BR$251,MATCH($C92,'Emissions Database'!$B$3:$B$251,0),0))</f>
        <v/>
      </c>
      <c r="J92" s="58" t="str">
        <f>IF(OR(J$82="",$C92=""),"",HLOOKUP(J$82,'Emissions Database'!$BE$3:$BR$251,MATCH($C92,'Emissions Database'!$B$3:$B$251,0),0))</f>
        <v/>
      </c>
      <c r="K92" s="58" t="str">
        <f>IF(OR(K$82="",$C92=""),"",HLOOKUP(K$82,'Emissions Database'!$BE$3:$BR$251,MATCH($C92,'Emissions Database'!$B$3:$B$251,0),0))</f>
        <v/>
      </c>
      <c r="L92" s="58" t="str">
        <f>IF(OR(L$82="",$C92=""),"",HLOOKUP(L$82,'Emissions Database'!$BE$3:$BR$251,MATCH($C92,'Emissions Database'!$B$3:$B$251,0),0))</f>
        <v/>
      </c>
      <c r="M92" s="58" t="str">
        <f>IF(OR(M$82="",$C92=""),"",HLOOKUP(M$82,'Emissions Database'!$BE$3:$BR$251,MATCH($C92,'Emissions Database'!$B$3:$B$251,0),0))</f>
        <v/>
      </c>
      <c r="N92" s="58" t="str">
        <f>IF(OR(N$82="",$C92=""),"",HLOOKUP(N$82,'Emissions Database'!$BE$3:$BR$251,MATCH($C92,'Emissions Database'!$B$3:$B$251,0),0))</f>
        <v/>
      </c>
      <c r="O92" s="58" t="str">
        <f>IF(OR(O$82="",$C92=""),"",HLOOKUP(O$82,'Emissions Database'!$BE$3:$BR$251,MATCH($C92,'Emissions Database'!$B$3:$B$251,0),0))</f>
        <v/>
      </c>
      <c r="P92" s="58" t="str">
        <f>IF(OR(P$82="",$C92=""),"",HLOOKUP(P$82,'Emissions Database'!$BE$3:$BR$251,MATCH($C92,'Emissions Database'!$B$3:$B$251,0),0))</f>
        <v/>
      </c>
      <c r="Q92" s="58" t="str">
        <f>IF(OR(Q$82="",$C92=""),"",HLOOKUP(Q$82,'Emissions Database'!$BE$3:$BR$251,MATCH($C92,'Emissions Database'!$B$3:$B$251,0),0))</f>
        <v/>
      </c>
      <c r="R92" s="58" t="str">
        <f>IF(OR(R$82="",$C92=""),"",HLOOKUP(R$82,'Emissions Database'!$BE$3:$BR$251,MATCH($C92,'Emissions Database'!$B$3:$B$251,0),0))</f>
        <v/>
      </c>
      <c r="S92" s="79" t="str">
        <f>""</f>
        <v/>
      </c>
      <c r="T92" s="79" t="str">
        <f>""</f>
        <v/>
      </c>
      <c r="U92" s="79" t="str">
        <f>""</f>
        <v/>
      </c>
      <c r="V92" s="79" t="str">
        <f>""</f>
        <v/>
      </c>
      <c r="W92" s="79" t="str">
        <f>""</f>
        <v/>
      </c>
      <c r="X92" s="79" t="str">
        <f>""</f>
        <v/>
      </c>
      <c r="Y92" s="79" t="str">
        <f>""</f>
        <v/>
      </c>
    </row>
    <row r="93" spans="2:25" hidden="1" x14ac:dyDescent="0.3">
      <c r="B93" s="66">
        <v>9</v>
      </c>
      <c r="C93" s="34" t="str">
        <f>IF(COUNTIF(Lists!$B$3:$B$22,B93)=0,"",VLOOKUP(B93,Lists!$B$3:$C$22,2,0))</f>
        <v/>
      </c>
      <c r="D93" s="60" t="str">
        <f>IF($C93="","",SUMIF('Emissions Database'!$B$232:$B$251,$C93,'Emissions Database'!$BS$232:$BS$251))</f>
        <v/>
      </c>
      <c r="E93" s="58" t="str">
        <f>IF(OR(E$82="",$C93=""),"",HLOOKUP(E$82,'Emissions Database'!$BE$3:$BR$251,MATCH($C93,'Emissions Database'!$B$3:$B$251,0),0))</f>
        <v/>
      </c>
      <c r="F93" s="58" t="str">
        <f>IF(OR(F$82="",$C93=""),"",HLOOKUP(F$82,'Emissions Database'!$BE$3:$BR$251,MATCH($C93,'Emissions Database'!$B$3:$B$251,0),0))</f>
        <v/>
      </c>
      <c r="G93" s="58" t="str">
        <f>IF(OR(G$82="",$C93=""),"",HLOOKUP(G$82,'Emissions Database'!$BE$3:$BR$251,MATCH($C93,'Emissions Database'!$B$3:$B$251,0),0))</f>
        <v/>
      </c>
      <c r="H93" s="58" t="str">
        <f>IF(OR(H$82="",$C93=""),"",HLOOKUP(H$82,'Emissions Database'!$BE$3:$BR$251,MATCH($C93,'Emissions Database'!$B$3:$B$251,0),0))</f>
        <v/>
      </c>
      <c r="I93" s="58" t="str">
        <f>IF(OR(I$82="",$C93=""),"",HLOOKUP(I$82,'Emissions Database'!$BE$3:$BR$251,MATCH($C93,'Emissions Database'!$B$3:$B$251,0),0))</f>
        <v/>
      </c>
      <c r="J93" s="58" t="str">
        <f>IF(OR(J$82="",$C93=""),"",HLOOKUP(J$82,'Emissions Database'!$BE$3:$BR$251,MATCH($C93,'Emissions Database'!$B$3:$B$251,0),0))</f>
        <v/>
      </c>
      <c r="K93" s="58" t="str">
        <f>IF(OR(K$82="",$C93=""),"",HLOOKUP(K$82,'Emissions Database'!$BE$3:$BR$251,MATCH($C93,'Emissions Database'!$B$3:$B$251,0),0))</f>
        <v/>
      </c>
      <c r="L93" s="58" t="str">
        <f>IF(OR(L$82="",$C93=""),"",HLOOKUP(L$82,'Emissions Database'!$BE$3:$BR$251,MATCH($C93,'Emissions Database'!$B$3:$B$251,0),0))</f>
        <v/>
      </c>
      <c r="M93" s="58" t="str">
        <f>IF(OR(M$82="",$C93=""),"",HLOOKUP(M$82,'Emissions Database'!$BE$3:$BR$251,MATCH($C93,'Emissions Database'!$B$3:$B$251,0),0))</f>
        <v/>
      </c>
      <c r="N93" s="58" t="str">
        <f>IF(OR(N$82="",$C93=""),"",HLOOKUP(N$82,'Emissions Database'!$BE$3:$BR$251,MATCH($C93,'Emissions Database'!$B$3:$B$251,0),0))</f>
        <v/>
      </c>
      <c r="O93" s="58" t="str">
        <f>IF(OR(O$82="",$C93=""),"",HLOOKUP(O$82,'Emissions Database'!$BE$3:$BR$251,MATCH($C93,'Emissions Database'!$B$3:$B$251,0),0))</f>
        <v/>
      </c>
      <c r="P93" s="58" t="str">
        <f>IF(OR(P$82="",$C93=""),"",HLOOKUP(P$82,'Emissions Database'!$BE$3:$BR$251,MATCH($C93,'Emissions Database'!$B$3:$B$251,0),0))</f>
        <v/>
      </c>
      <c r="Q93" s="58" t="str">
        <f>IF(OR(Q$82="",$C93=""),"",HLOOKUP(Q$82,'Emissions Database'!$BE$3:$BR$251,MATCH($C93,'Emissions Database'!$B$3:$B$251,0),0))</f>
        <v/>
      </c>
      <c r="R93" s="58" t="str">
        <f>IF(OR(R$82="",$C93=""),"",HLOOKUP(R$82,'Emissions Database'!$BE$3:$BR$251,MATCH($C93,'Emissions Database'!$B$3:$B$251,0),0))</f>
        <v/>
      </c>
      <c r="S93" s="79" t="str">
        <f>""</f>
        <v/>
      </c>
      <c r="T93" s="79" t="str">
        <f>""</f>
        <v/>
      </c>
      <c r="U93" s="79" t="str">
        <f>""</f>
        <v/>
      </c>
      <c r="V93" s="79" t="str">
        <f>""</f>
        <v/>
      </c>
      <c r="W93" s="79" t="str">
        <f>""</f>
        <v/>
      </c>
      <c r="X93" s="79" t="str">
        <f>""</f>
        <v/>
      </c>
      <c r="Y93" s="79" t="str">
        <f>""</f>
        <v/>
      </c>
    </row>
    <row r="94" spans="2:25" hidden="1" x14ac:dyDescent="0.3">
      <c r="B94" s="66">
        <v>10</v>
      </c>
      <c r="C94" s="34" t="str">
        <f>IF(COUNTIF(Lists!$B$3:$B$22,B94)=0,"",VLOOKUP(B94,Lists!$B$3:$C$22,2,0))</f>
        <v/>
      </c>
      <c r="D94" s="60" t="str">
        <f>IF($C94="","",SUMIF('Emissions Database'!$B$232:$B$251,$C94,'Emissions Database'!$BS$232:$BS$251))</f>
        <v/>
      </c>
      <c r="E94" s="58" t="str">
        <f>IF(OR(E$82="",$C94=""),"",HLOOKUP(E$82,'Emissions Database'!$BE$3:$BR$251,MATCH($C94,'Emissions Database'!$B$3:$B$251,0),0))</f>
        <v/>
      </c>
      <c r="F94" s="58" t="str">
        <f>IF(OR(F$82="",$C94=""),"",HLOOKUP(F$82,'Emissions Database'!$BE$3:$BR$251,MATCH($C94,'Emissions Database'!$B$3:$B$251,0),0))</f>
        <v/>
      </c>
      <c r="G94" s="58" t="str">
        <f>IF(OR(G$82="",$C94=""),"",HLOOKUP(G$82,'Emissions Database'!$BE$3:$BR$251,MATCH($C94,'Emissions Database'!$B$3:$B$251,0),0))</f>
        <v/>
      </c>
      <c r="H94" s="58" t="str">
        <f>IF(OR(H$82="",$C94=""),"",HLOOKUP(H$82,'Emissions Database'!$BE$3:$BR$251,MATCH($C94,'Emissions Database'!$B$3:$B$251,0),0))</f>
        <v/>
      </c>
      <c r="I94" s="58" t="str">
        <f>IF(OR(I$82="",$C94=""),"",HLOOKUP(I$82,'Emissions Database'!$BE$3:$BR$251,MATCH($C94,'Emissions Database'!$B$3:$B$251,0),0))</f>
        <v/>
      </c>
      <c r="J94" s="58" t="str">
        <f>IF(OR(J$82="",$C94=""),"",HLOOKUP(J$82,'Emissions Database'!$BE$3:$BR$251,MATCH($C94,'Emissions Database'!$B$3:$B$251,0),0))</f>
        <v/>
      </c>
      <c r="K94" s="58" t="str">
        <f>IF(OR(K$82="",$C94=""),"",HLOOKUP(K$82,'Emissions Database'!$BE$3:$BR$251,MATCH($C94,'Emissions Database'!$B$3:$B$251,0),0))</f>
        <v/>
      </c>
      <c r="L94" s="58" t="str">
        <f>IF(OR(L$82="",$C94=""),"",HLOOKUP(L$82,'Emissions Database'!$BE$3:$BR$251,MATCH($C94,'Emissions Database'!$B$3:$B$251,0),0))</f>
        <v/>
      </c>
      <c r="M94" s="58" t="str">
        <f>IF(OR(M$82="",$C94=""),"",HLOOKUP(M$82,'Emissions Database'!$BE$3:$BR$251,MATCH($C94,'Emissions Database'!$B$3:$B$251,0),0))</f>
        <v/>
      </c>
      <c r="N94" s="58" t="str">
        <f>IF(OR(N$82="",$C94=""),"",HLOOKUP(N$82,'Emissions Database'!$BE$3:$BR$251,MATCH($C94,'Emissions Database'!$B$3:$B$251,0),0))</f>
        <v/>
      </c>
      <c r="O94" s="58" t="str">
        <f>IF(OR(O$82="",$C94=""),"",HLOOKUP(O$82,'Emissions Database'!$BE$3:$BR$251,MATCH($C94,'Emissions Database'!$B$3:$B$251,0),0))</f>
        <v/>
      </c>
      <c r="P94" s="58" t="str">
        <f>IF(OR(P$82="",$C94=""),"",HLOOKUP(P$82,'Emissions Database'!$BE$3:$BR$251,MATCH($C94,'Emissions Database'!$B$3:$B$251,0),0))</f>
        <v/>
      </c>
      <c r="Q94" s="58" t="str">
        <f>IF(OR(Q$82="",$C94=""),"",HLOOKUP(Q$82,'Emissions Database'!$BE$3:$BR$251,MATCH($C94,'Emissions Database'!$B$3:$B$251,0),0))</f>
        <v/>
      </c>
      <c r="R94" s="58" t="str">
        <f>IF(OR(R$82="",$C94=""),"",HLOOKUP(R$82,'Emissions Database'!$BE$3:$BR$251,MATCH($C94,'Emissions Database'!$B$3:$B$251,0),0))</f>
        <v/>
      </c>
      <c r="S94" s="79" t="str">
        <f>""</f>
        <v/>
      </c>
      <c r="T94" s="79" t="str">
        <f>""</f>
        <v/>
      </c>
      <c r="U94" s="79" t="str">
        <f>""</f>
        <v/>
      </c>
      <c r="V94" s="79" t="str">
        <f>""</f>
        <v/>
      </c>
      <c r="W94" s="79" t="str">
        <f>""</f>
        <v/>
      </c>
      <c r="X94" s="79" t="str">
        <f>""</f>
        <v/>
      </c>
      <c r="Y94" s="79" t="str">
        <f>""</f>
        <v/>
      </c>
    </row>
    <row r="95" spans="2:25" hidden="1" x14ac:dyDescent="0.3">
      <c r="B95" s="66">
        <v>11</v>
      </c>
      <c r="C95" s="34" t="str">
        <f>IF(COUNTIF(Lists!$B$3:$B$22,B95)=0,"",VLOOKUP(B95,Lists!$B$3:$C$22,2,0))</f>
        <v/>
      </c>
      <c r="D95" s="60" t="str">
        <f>IF($C95="","",SUMIF('Emissions Database'!$B$232:$B$251,$C95,'Emissions Database'!$BS$232:$BS$251))</f>
        <v/>
      </c>
      <c r="E95" s="58" t="str">
        <f>IF(OR(E$82="",$C95=""),"",HLOOKUP(E$82,'Emissions Database'!$BE$3:$BR$251,MATCH($C95,'Emissions Database'!$B$3:$B$251,0),0))</f>
        <v/>
      </c>
      <c r="F95" s="58" t="str">
        <f>IF(OR(F$82="",$C95=""),"",HLOOKUP(F$82,'Emissions Database'!$BE$3:$BR$251,MATCH($C95,'Emissions Database'!$B$3:$B$251,0),0))</f>
        <v/>
      </c>
      <c r="G95" s="58" t="str">
        <f>IF(OR(G$82="",$C95=""),"",HLOOKUP(G$82,'Emissions Database'!$BE$3:$BR$251,MATCH($C95,'Emissions Database'!$B$3:$B$251,0),0))</f>
        <v/>
      </c>
      <c r="H95" s="58" t="str">
        <f>IF(OR(H$82="",$C95=""),"",HLOOKUP(H$82,'Emissions Database'!$BE$3:$BR$251,MATCH($C95,'Emissions Database'!$B$3:$B$251,0),0))</f>
        <v/>
      </c>
      <c r="I95" s="58" t="str">
        <f>IF(OR(I$82="",$C95=""),"",HLOOKUP(I$82,'Emissions Database'!$BE$3:$BR$251,MATCH($C95,'Emissions Database'!$B$3:$B$251,0),0))</f>
        <v/>
      </c>
      <c r="J95" s="58" t="str">
        <f>IF(OR(J$82="",$C95=""),"",HLOOKUP(J$82,'Emissions Database'!$BE$3:$BR$251,MATCH($C95,'Emissions Database'!$B$3:$B$251,0),0))</f>
        <v/>
      </c>
      <c r="K95" s="58" t="str">
        <f>IF(OR(K$82="",$C95=""),"",HLOOKUP(K$82,'Emissions Database'!$BE$3:$BR$251,MATCH($C95,'Emissions Database'!$B$3:$B$251,0),0))</f>
        <v/>
      </c>
      <c r="L95" s="58" t="str">
        <f>IF(OR(L$82="",$C95=""),"",HLOOKUP(L$82,'Emissions Database'!$BE$3:$BR$251,MATCH($C95,'Emissions Database'!$B$3:$B$251,0),0))</f>
        <v/>
      </c>
      <c r="M95" s="58" t="str">
        <f>IF(OR(M$82="",$C95=""),"",HLOOKUP(M$82,'Emissions Database'!$BE$3:$BR$251,MATCH($C95,'Emissions Database'!$B$3:$B$251,0),0))</f>
        <v/>
      </c>
      <c r="N95" s="58" t="str">
        <f>IF(OR(N$82="",$C95=""),"",HLOOKUP(N$82,'Emissions Database'!$BE$3:$BR$251,MATCH($C95,'Emissions Database'!$B$3:$B$251,0),0))</f>
        <v/>
      </c>
      <c r="O95" s="58" t="str">
        <f>IF(OR(O$82="",$C95=""),"",HLOOKUP(O$82,'Emissions Database'!$BE$3:$BR$251,MATCH($C95,'Emissions Database'!$B$3:$B$251,0),0))</f>
        <v/>
      </c>
      <c r="P95" s="58" t="str">
        <f>IF(OR(P$82="",$C95=""),"",HLOOKUP(P$82,'Emissions Database'!$BE$3:$BR$251,MATCH($C95,'Emissions Database'!$B$3:$B$251,0),0))</f>
        <v/>
      </c>
      <c r="Q95" s="58" t="str">
        <f>IF(OR(Q$82="",$C95=""),"",HLOOKUP(Q$82,'Emissions Database'!$BE$3:$BR$251,MATCH($C95,'Emissions Database'!$B$3:$B$251,0),0))</f>
        <v/>
      </c>
      <c r="R95" s="58" t="str">
        <f>IF(OR(R$82="",$C95=""),"",HLOOKUP(R$82,'Emissions Database'!$BE$3:$BR$251,MATCH($C95,'Emissions Database'!$B$3:$B$251,0),0))</f>
        <v/>
      </c>
      <c r="S95" s="79" t="str">
        <f>""</f>
        <v/>
      </c>
      <c r="T95" s="79" t="str">
        <f>""</f>
        <v/>
      </c>
      <c r="U95" s="79" t="str">
        <f>""</f>
        <v/>
      </c>
      <c r="V95" s="79" t="str">
        <f>""</f>
        <v/>
      </c>
      <c r="W95" s="79" t="str">
        <f>""</f>
        <v/>
      </c>
      <c r="X95" s="79" t="str">
        <f>""</f>
        <v/>
      </c>
      <c r="Y95" s="79" t="str">
        <f>""</f>
        <v/>
      </c>
    </row>
    <row r="96" spans="2:25" hidden="1" x14ac:dyDescent="0.3">
      <c r="B96" s="66">
        <v>12</v>
      </c>
      <c r="C96" s="34" t="str">
        <f>IF(COUNTIF(Lists!$B$3:$B$22,B96)=0,"",VLOOKUP(B96,Lists!$B$3:$C$22,2,0))</f>
        <v/>
      </c>
      <c r="D96" s="60" t="str">
        <f>IF($C96="","",SUMIF('Emissions Database'!$B$232:$B$251,$C96,'Emissions Database'!$BS$232:$BS$251))</f>
        <v/>
      </c>
      <c r="E96" s="58" t="str">
        <f>IF(OR(E$82="",$C96=""),"",HLOOKUP(E$82,'Emissions Database'!$BE$3:$BR$251,MATCH($C96,'Emissions Database'!$B$3:$B$251,0),0))</f>
        <v/>
      </c>
      <c r="F96" s="58" t="str">
        <f>IF(OR(F$82="",$C96=""),"",HLOOKUP(F$82,'Emissions Database'!$BE$3:$BR$251,MATCH($C96,'Emissions Database'!$B$3:$B$251,0),0))</f>
        <v/>
      </c>
      <c r="G96" s="58" t="str">
        <f>IF(OR(G$82="",$C96=""),"",HLOOKUP(G$82,'Emissions Database'!$BE$3:$BR$251,MATCH($C96,'Emissions Database'!$B$3:$B$251,0),0))</f>
        <v/>
      </c>
      <c r="H96" s="58" t="str">
        <f>IF(OR(H$82="",$C96=""),"",HLOOKUP(H$82,'Emissions Database'!$BE$3:$BR$251,MATCH($C96,'Emissions Database'!$B$3:$B$251,0),0))</f>
        <v/>
      </c>
      <c r="I96" s="58" t="str">
        <f>IF(OR(I$82="",$C96=""),"",HLOOKUP(I$82,'Emissions Database'!$BE$3:$BR$251,MATCH($C96,'Emissions Database'!$B$3:$B$251,0),0))</f>
        <v/>
      </c>
      <c r="J96" s="58" t="str">
        <f>IF(OR(J$82="",$C96=""),"",HLOOKUP(J$82,'Emissions Database'!$BE$3:$BR$251,MATCH($C96,'Emissions Database'!$B$3:$B$251,0),0))</f>
        <v/>
      </c>
      <c r="K96" s="58" t="str">
        <f>IF(OR(K$82="",$C96=""),"",HLOOKUP(K$82,'Emissions Database'!$BE$3:$BR$251,MATCH($C96,'Emissions Database'!$B$3:$B$251,0),0))</f>
        <v/>
      </c>
      <c r="L96" s="58" t="str">
        <f>IF(OR(L$82="",$C96=""),"",HLOOKUP(L$82,'Emissions Database'!$BE$3:$BR$251,MATCH($C96,'Emissions Database'!$B$3:$B$251,0),0))</f>
        <v/>
      </c>
      <c r="M96" s="58" t="str">
        <f>IF(OR(M$82="",$C96=""),"",HLOOKUP(M$82,'Emissions Database'!$BE$3:$BR$251,MATCH($C96,'Emissions Database'!$B$3:$B$251,0),0))</f>
        <v/>
      </c>
      <c r="N96" s="58" t="str">
        <f>IF(OR(N$82="",$C96=""),"",HLOOKUP(N$82,'Emissions Database'!$BE$3:$BR$251,MATCH($C96,'Emissions Database'!$B$3:$B$251,0),0))</f>
        <v/>
      </c>
      <c r="O96" s="58" t="str">
        <f>IF(OR(O$82="",$C96=""),"",HLOOKUP(O$82,'Emissions Database'!$BE$3:$BR$251,MATCH($C96,'Emissions Database'!$B$3:$B$251,0),0))</f>
        <v/>
      </c>
      <c r="P96" s="58" t="str">
        <f>IF(OR(P$82="",$C96=""),"",HLOOKUP(P$82,'Emissions Database'!$BE$3:$BR$251,MATCH($C96,'Emissions Database'!$B$3:$B$251,0),0))</f>
        <v/>
      </c>
      <c r="Q96" s="58" t="str">
        <f>IF(OR(Q$82="",$C96=""),"",HLOOKUP(Q$82,'Emissions Database'!$BE$3:$BR$251,MATCH($C96,'Emissions Database'!$B$3:$B$251,0),0))</f>
        <v/>
      </c>
      <c r="R96" s="58" t="str">
        <f>IF(OR(R$82="",$C96=""),"",HLOOKUP(R$82,'Emissions Database'!$BE$3:$BR$251,MATCH($C96,'Emissions Database'!$B$3:$B$251,0),0))</f>
        <v/>
      </c>
      <c r="S96" s="79" t="str">
        <f>""</f>
        <v/>
      </c>
      <c r="T96" s="79" t="str">
        <f>""</f>
        <v/>
      </c>
      <c r="U96" s="79" t="str">
        <f>""</f>
        <v/>
      </c>
      <c r="V96" s="79" t="str">
        <f>""</f>
        <v/>
      </c>
      <c r="W96" s="79" t="str">
        <f>""</f>
        <v/>
      </c>
      <c r="X96" s="79" t="str">
        <f>""</f>
        <v/>
      </c>
      <c r="Y96" s="79" t="str">
        <f>""</f>
        <v/>
      </c>
    </row>
    <row r="97" spans="2:25" hidden="1" x14ac:dyDescent="0.3">
      <c r="B97" s="66">
        <v>13</v>
      </c>
      <c r="C97" s="34" t="str">
        <f>IF(COUNTIF(Lists!$B$3:$B$22,B97)=0,"",VLOOKUP(B97,Lists!$B$3:$C$22,2,0))</f>
        <v/>
      </c>
      <c r="D97" s="60" t="str">
        <f>IF($C97="","",SUMIF('Emissions Database'!$B$232:$B$251,$C97,'Emissions Database'!$BS$232:$BS$251))</f>
        <v/>
      </c>
      <c r="E97" s="58" t="str">
        <f>IF(OR(E$82="",$C97=""),"",HLOOKUP(E$82,'Emissions Database'!$BE$3:$BR$251,MATCH($C97,'Emissions Database'!$B$3:$B$251,0),0))</f>
        <v/>
      </c>
      <c r="F97" s="58" t="str">
        <f>IF(OR(F$82="",$C97=""),"",HLOOKUP(F$82,'Emissions Database'!$BE$3:$BR$251,MATCH($C97,'Emissions Database'!$B$3:$B$251,0),0))</f>
        <v/>
      </c>
      <c r="G97" s="58" t="str">
        <f>IF(OR(G$82="",$C97=""),"",HLOOKUP(G$82,'Emissions Database'!$BE$3:$BR$251,MATCH($C97,'Emissions Database'!$B$3:$B$251,0),0))</f>
        <v/>
      </c>
      <c r="H97" s="58" t="str">
        <f>IF(OR(H$82="",$C97=""),"",HLOOKUP(H$82,'Emissions Database'!$BE$3:$BR$251,MATCH($C97,'Emissions Database'!$B$3:$B$251,0),0))</f>
        <v/>
      </c>
      <c r="I97" s="58" t="str">
        <f>IF(OR(I$82="",$C97=""),"",HLOOKUP(I$82,'Emissions Database'!$BE$3:$BR$251,MATCH($C97,'Emissions Database'!$B$3:$B$251,0),0))</f>
        <v/>
      </c>
      <c r="J97" s="58" t="str">
        <f>IF(OR(J$82="",$C97=""),"",HLOOKUP(J$82,'Emissions Database'!$BE$3:$BR$251,MATCH($C97,'Emissions Database'!$B$3:$B$251,0),0))</f>
        <v/>
      </c>
      <c r="K97" s="58" t="str">
        <f>IF(OR(K$82="",$C97=""),"",HLOOKUP(K$82,'Emissions Database'!$BE$3:$BR$251,MATCH($C97,'Emissions Database'!$B$3:$B$251,0),0))</f>
        <v/>
      </c>
      <c r="L97" s="58" t="str">
        <f>IF(OR(L$82="",$C97=""),"",HLOOKUP(L$82,'Emissions Database'!$BE$3:$BR$251,MATCH($C97,'Emissions Database'!$B$3:$B$251,0),0))</f>
        <v/>
      </c>
      <c r="M97" s="58" t="str">
        <f>IF(OR(M$82="",$C97=""),"",HLOOKUP(M$82,'Emissions Database'!$BE$3:$BR$251,MATCH($C97,'Emissions Database'!$B$3:$B$251,0),0))</f>
        <v/>
      </c>
      <c r="N97" s="58" t="str">
        <f>IF(OR(N$82="",$C97=""),"",HLOOKUP(N$82,'Emissions Database'!$BE$3:$BR$251,MATCH($C97,'Emissions Database'!$B$3:$B$251,0),0))</f>
        <v/>
      </c>
      <c r="O97" s="58" t="str">
        <f>IF(OR(O$82="",$C97=""),"",HLOOKUP(O$82,'Emissions Database'!$BE$3:$BR$251,MATCH($C97,'Emissions Database'!$B$3:$B$251,0),0))</f>
        <v/>
      </c>
      <c r="P97" s="58" t="str">
        <f>IF(OR(P$82="",$C97=""),"",HLOOKUP(P$82,'Emissions Database'!$BE$3:$BR$251,MATCH($C97,'Emissions Database'!$B$3:$B$251,0),0))</f>
        <v/>
      </c>
      <c r="Q97" s="58" t="str">
        <f>IF(OR(Q$82="",$C97=""),"",HLOOKUP(Q$82,'Emissions Database'!$BE$3:$BR$251,MATCH($C97,'Emissions Database'!$B$3:$B$251,0),0))</f>
        <v/>
      </c>
      <c r="R97" s="58" t="str">
        <f>IF(OR(R$82="",$C97=""),"",HLOOKUP(R$82,'Emissions Database'!$BE$3:$BR$251,MATCH($C97,'Emissions Database'!$B$3:$B$251,0),0))</f>
        <v/>
      </c>
      <c r="S97" s="79" t="str">
        <f>""</f>
        <v/>
      </c>
      <c r="T97" s="79" t="str">
        <f>""</f>
        <v/>
      </c>
      <c r="U97" s="79" t="str">
        <f>""</f>
        <v/>
      </c>
      <c r="V97" s="79" t="str">
        <f>""</f>
        <v/>
      </c>
      <c r="W97" s="79" t="str">
        <f>""</f>
        <v/>
      </c>
      <c r="X97" s="79" t="str">
        <f>""</f>
        <v/>
      </c>
      <c r="Y97" s="79" t="str">
        <f>""</f>
        <v/>
      </c>
    </row>
    <row r="98" spans="2:25" hidden="1" x14ac:dyDescent="0.3">
      <c r="B98" s="66">
        <v>14</v>
      </c>
      <c r="C98" s="34" t="str">
        <f>IF(COUNTIF(Lists!$B$3:$B$22,B98)=0,"",VLOOKUP(B98,Lists!$B$3:$C$22,2,0))</f>
        <v/>
      </c>
      <c r="D98" s="60" t="str">
        <f>IF($C98="","",SUMIF('Emissions Database'!$B$232:$B$251,$C98,'Emissions Database'!$BS$232:$BS$251))</f>
        <v/>
      </c>
      <c r="E98" s="58" t="str">
        <f>IF(OR(E$82="",$C98=""),"",HLOOKUP(E$82,'Emissions Database'!$BE$3:$BR$251,MATCH($C98,'Emissions Database'!$B$3:$B$251,0),0))</f>
        <v/>
      </c>
      <c r="F98" s="58" t="str">
        <f>IF(OR(F$82="",$C98=""),"",HLOOKUP(F$82,'Emissions Database'!$BE$3:$BR$251,MATCH($C98,'Emissions Database'!$B$3:$B$251,0),0))</f>
        <v/>
      </c>
      <c r="G98" s="58" t="str">
        <f>IF(OR(G$82="",$C98=""),"",HLOOKUP(G$82,'Emissions Database'!$BE$3:$BR$251,MATCH($C98,'Emissions Database'!$B$3:$B$251,0),0))</f>
        <v/>
      </c>
      <c r="H98" s="58" t="str">
        <f>IF(OR(H$82="",$C98=""),"",HLOOKUP(H$82,'Emissions Database'!$BE$3:$BR$251,MATCH($C98,'Emissions Database'!$B$3:$B$251,0),0))</f>
        <v/>
      </c>
      <c r="I98" s="58" t="str">
        <f>IF(OR(I$82="",$C98=""),"",HLOOKUP(I$82,'Emissions Database'!$BE$3:$BR$251,MATCH($C98,'Emissions Database'!$B$3:$B$251,0),0))</f>
        <v/>
      </c>
      <c r="J98" s="58" t="str">
        <f>IF(OR(J$82="",$C98=""),"",HLOOKUP(J$82,'Emissions Database'!$BE$3:$BR$251,MATCH($C98,'Emissions Database'!$B$3:$B$251,0),0))</f>
        <v/>
      </c>
      <c r="K98" s="58" t="str">
        <f>IF(OR(K$82="",$C98=""),"",HLOOKUP(K$82,'Emissions Database'!$BE$3:$BR$251,MATCH($C98,'Emissions Database'!$B$3:$B$251,0),0))</f>
        <v/>
      </c>
      <c r="L98" s="58" t="str">
        <f>IF(OR(L$82="",$C98=""),"",HLOOKUP(L$82,'Emissions Database'!$BE$3:$BR$251,MATCH($C98,'Emissions Database'!$B$3:$B$251,0),0))</f>
        <v/>
      </c>
      <c r="M98" s="58" t="str">
        <f>IF(OR(M$82="",$C98=""),"",HLOOKUP(M$82,'Emissions Database'!$BE$3:$BR$251,MATCH($C98,'Emissions Database'!$B$3:$B$251,0),0))</f>
        <v/>
      </c>
      <c r="N98" s="58" t="str">
        <f>IF(OR(N$82="",$C98=""),"",HLOOKUP(N$82,'Emissions Database'!$BE$3:$BR$251,MATCH($C98,'Emissions Database'!$B$3:$B$251,0),0))</f>
        <v/>
      </c>
      <c r="O98" s="58" t="str">
        <f>IF(OR(O$82="",$C98=""),"",HLOOKUP(O$82,'Emissions Database'!$BE$3:$BR$251,MATCH($C98,'Emissions Database'!$B$3:$B$251,0),0))</f>
        <v/>
      </c>
      <c r="P98" s="58" t="str">
        <f>IF(OR(P$82="",$C98=""),"",HLOOKUP(P$82,'Emissions Database'!$BE$3:$BR$251,MATCH($C98,'Emissions Database'!$B$3:$B$251,0),0))</f>
        <v/>
      </c>
      <c r="Q98" s="58" t="str">
        <f>IF(OR(Q$82="",$C98=""),"",HLOOKUP(Q$82,'Emissions Database'!$BE$3:$BR$251,MATCH($C98,'Emissions Database'!$B$3:$B$251,0),0))</f>
        <v/>
      </c>
      <c r="R98" s="58" t="str">
        <f>IF(OR(R$82="",$C98=""),"",HLOOKUP(R$82,'Emissions Database'!$BE$3:$BR$251,MATCH($C98,'Emissions Database'!$B$3:$B$251,0),0))</f>
        <v/>
      </c>
      <c r="S98" s="79" t="str">
        <f>""</f>
        <v/>
      </c>
      <c r="T98" s="79" t="str">
        <f>""</f>
        <v/>
      </c>
      <c r="U98" s="79" t="str">
        <f>""</f>
        <v/>
      </c>
      <c r="V98" s="79" t="str">
        <f>""</f>
        <v/>
      </c>
      <c r="W98" s="79" t="str">
        <f>""</f>
        <v/>
      </c>
      <c r="X98" s="79" t="str">
        <f>""</f>
        <v/>
      </c>
      <c r="Y98" s="79" t="str">
        <f>""</f>
        <v/>
      </c>
    </row>
    <row r="99" spans="2:25" hidden="1" x14ac:dyDescent="0.3">
      <c r="B99" s="66">
        <v>15</v>
      </c>
      <c r="C99" s="34" t="str">
        <f>IF(COUNTIF(Lists!$B$3:$B$22,B99)=0,"",VLOOKUP(B99,Lists!$B$3:$C$22,2,0))</f>
        <v/>
      </c>
      <c r="D99" s="60" t="str">
        <f>IF($C99="","",SUMIF('Emissions Database'!$B$232:$B$251,$C99,'Emissions Database'!$BS$232:$BS$251))</f>
        <v/>
      </c>
      <c r="E99" s="58" t="str">
        <f>IF(OR(E$82="",$C99=""),"",HLOOKUP(E$82,'Emissions Database'!$BE$3:$BR$251,MATCH($C99,'Emissions Database'!$B$3:$B$251,0),0))</f>
        <v/>
      </c>
      <c r="F99" s="58" t="str">
        <f>IF(OR(F$82="",$C99=""),"",HLOOKUP(F$82,'Emissions Database'!$BE$3:$BR$251,MATCH($C99,'Emissions Database'!$B$3:$B$251,0),0))</f>
        <v/>
      </c>
      <c r="G99" s="58" t="str">
        <f>IF(OR(G$82="",$C99=""),"",HLOOKUP(G$82,'Emissions Database'!$BE$3:$BR$251,MATCH($C99,'Emissions Database'!$B$3:$B$251,0),0))</f>
        <v/>
      </c>
      <c r="H99" s="58" t="str">
        <f>IF(OR(H$82="",$C99=""),"",HLOOKUP(H$82,'Emissions Database'!$BE$3:$BR$251,MATCH($C99,'Emissions Database'!$B$3:$B$251,0),0))</f>
        <v/>
      </c>
      <c r="I99" s="58" t="str">
        <f>IF(OR(I$82="",$C99=""),"",HLOOKUP(I$82,'Emissions Database'!$BE$3:$BR$251,MATCH($C99,'Emissions Database'!$B$3:$B$251,0),0))</f>
        <v/>
      </c>
      <c r="J99" s="58" t="str">
        <f>IF(OR(J$82="",$C99=""),"",HLOOKUP(J$82,'Emissions Database'!$BE$3:$BR$251,MATCH($C99,'Emissions Database'!$B$3:$B$251,0),0))</f>
        <v/>
      </c>
      <c r="K99" s="58" t="str">
        <f>IF(OR(K$82="",$C99=""),"",HLOOKUP(K$82,'Emissions Database'!$BE$3:$BR$251,MATCH($C99,'Emissions Database'!$B$3:$B$251,0),0))</f>
        <v/>
      </c>
      <c r="L99" s="58" t="str">
        <f>IF(OR(L$82="",$C99=""),"",HLOOKUP(L$82,'Emissions Database'!$BE$3:$BR$251,MATCH($C99,'Emissions Database'!$B$3:$B$251,0),0))</f>
        <v/>
      </c>
      <c r="M99" s="58" t="str">
        <f>IF(OR(M$82="",$C99=""),"",HLOOKUP(M$82,'Emissions Database'!$BE$3:$BR$251,MATCH($C99,'Emissions Database'!$B$3:$B$251,0),0))</f>
        <v/>
      </c>
      <c r="N99" s="58" t="str">
        <f>IF(OR(N$82="",$C99=""),"",HLOOKUP(N$82,'Emissions Database'!$BE$3:$BR$251,MATCH($C99,'Emissions Database'!$B$3:$B$251,0),0))</f>
        <v/>
      </c>
      <c r="O99" s="58" t="str">
        <f>IF(OR(O$82="",$C99=""),"",HLOOKUP(O$82,'Emissions Database'!$BE$3:$BR$251,MATCH($C99,'Emissions Database'!$B$3:$B$251,0),0))</f>
        <v/>
      </c>
      <c r="P99" s="58" t="str">
        <f>IF(OR(P$82="",$C99=""),"",HLOOKUP(P$82,'Emissions Database'!$BE$3:$BR$251,MATCH($C99,'Emissions Database'!$B$3:$B$251,0),0))</f>
        <v/>
      </c>
      <c r="Q99" s="58" t="str">
        <f>IF(OR(Q$82="",$C99=""),"",HLOOKUP(Q$82,'Emissions Database'!$BE$3:$BR$251,MATCH($C99,'Emissions Database'!$B$3:$B$251,0),0))</f>
        <v/>
      </c>
      <c r="R99" s="58" t="str">
        <f>IF(OR(R$82="",$C99=""),"",HLOOKUP(R$82,'Emissions Database'!$BE$3:$BR$251,MATCH($C99,'Emissions Database'!$B$3:$B$251,0),0))</f>
        <v/>
      </c>
      <c r="S99" s="79" t="str">
        <f>""</f>
        <v/>
      </c>
      <c r="T99" s="79" t="str">
        <f>""</f>
        <v/>
      </c>
      <c r="U99" s="79" t="str">
        <f>""</f>
        <v/>
      </c>
      <c r="V99" s="79" t="str">
        <f>""</f>
        <v/>
      </c>
      <c r="W99" s="79" t="str">
        <f>""</f>
        <v/>
      </c>
      <c r="X99" s="79" t="str">
        <f>""</f>
        <v/>
      </c>
      <c r="Y99" s="79" t="str">
        <f>""</f>
        <v/>
      </c>
    </row>
    <row r="100" spans="2:25" hidden="1" x14ac:dyDescent="0.3">
      <c r="B100" s="66">
        <v>16</v>
      </c>
      <c r="C100" s="34" t="str">
        <f>IF(COUNTIF(Lists!$B$3:$B$22,B100)=0,"",VLOOKUP(B100,Lists!$B$3:$C$22,2,0))</f>
        <v/>
      </c>
      <c r="D100" s="60" t="str">
        <f>IF($C100="","",SUMIF('Emissions Database'!$B$232:$B$251,$C100,'Emissions Database'!$BS$232:$BS$251))</f>
        <v/>
      </c>
      <c r="E100" s="58" t="str">
        <f>IF(OR(E$82="",$C100=""),"",HLOOKUP(E$82,'Emissions Database'!$BE$3:$BR$251,MATCH($C100,'Emissions Database'!$B$3:$B$251,0),0))</f>
        <v/>
      </c>
      <c r="F100" s="58" t="str">
        <f>IF(OR(F$82="",$C100=""),"",HLOOKUP(F$82,'Emissions Database'!$BE$3:$BR$251,MATCH($C100,'Emissions Database'!$B$3:$B$251,0),0))</f>
        <v/>
      </c>
      <c r="G100" s="58" t="str">
        <f>IF(OR(G$82="",$C100=""),"",HLOOKUP(G$82,'Emissions Database'!$BE$3:$BR$251,MATCH($C100,'Emissions Database'!$B$3:$B$251,0),0))</f>
        <v/>
      </c>
      <c r="H100" s="58" t="str">
        <f>IF(OR(H$82="",$C100=""),"",HLOOKUP(H$82,'Emissions Database'!$BE$3:$BR$251,MATCH($C100,'Emissions Database'!$B$3:$B$251,0),0))</f>
        <v/>
      </c>
      <c r="I100" s="58" t="str">
        <f>IF(OR(I$82="",$C100=""),"",HLOOKUP(I$82,'Emissions Database'!$BE$3:$BR$251,MATCH($C100,'Emissions Database'!$B$3:$B$251,0),0))</f>
        <v/>
      </c>
      <c r="J100" s="58" t="str">
        <f>IF(OR(J$82="",$C100=""),"",HLOOKUP(J$82,'Emissions Database'!$BE$3:$BR$251,MATCH($C100,'Emissions Database'!$B$3:$B$251,0),0))</f>
        <v/>
      </c>
      <c r="K100" s="58" t="str">
        <f>IF(OR(K$82="",$C100=""),"",HLOOKUP(K$82,'Emissions Database'!$BE$3:$BR$251,MATCH($C100,'Emissions Database'!$B$3:$B$251,0),0))</f>
        <v/>
      </c>
      <c r="L100" s="58" t="str">
        <f>IF(OR(L$82="",$C100=""),"",HLOOKUP(L$82,'Emissions Database'!$BE$3:$BR$251,MATCH($C100,'Emissions Database'!$B$3:$B$251,0),0))</f>
        <v/>
      </c>
      <c r="M100" s="58" t="str">
        <f>IF(OR(M$82="",$C100=""),"",HLOOKUP(M$82,'Emissions Database'!$BE$3:$BR$251,MATCH($C100,'Emissions Database'!$B$3:$B$251,0),0))</f>
        <v/>
      </c>
      <c r="N100" s="58" t="str">
        <f>IF(OR(N$82="",$C100=""),"",HLOOKUP(N$82,'Emissions Database'!$BE$3:$BR$251,MATCH($C100,'Emissions Database'!$B$3:$B$251,0),0))</f>
        <v/>
      </c>
      <c r="O100" s="58" t="str">
        <f>IF(OR(O$82="",$C100=""),"",HLOOKUP(O$82,'Emissions Database'!$BE$3:$BR$251,MATCH($C100,'Emissions Database'!$B$3:$B$251,0),0))</f>
        <v/>
      </c>
      <c r="P100" s="58" t="str">
        <f>IF(OR(P$82="",$C100=""),"",HLOOKUP(P$82,'Emissions Database'!$BE$3:$BR$251,MATCH($C100,'Emissions Database'!$B$3:$B$251,0),0))</f>
        <v/>
      </c>
      <c r="Q100" s="58" t="str">
        <f>IF(OR(Q$82="",$C100=""),"",HLOOKUP(Q$82,'Emissions Database'!$BE$3:$BR$251,MATCH($C100,'Emissions Database'!$B$3:$B$251,0),0))</f>
        <v/>
      </c>
      <c r="R100" s="58" t="str">
        <f>IF(OR(R$82="",$C100=""),"",HLOOKUP(R$82,'Emissions Database'!$BE$3:$BR$251,MATCH($C100,'Emissions Database'!$B$3:$B$251,0),0))</f>
        <v/>
      </c>
      <c r="S100" s="79" t="str">
        <f>""</f>
        <v/>
      </c>
      <c r="T100" s="79" t="str">
        <f>""</f>
        <v/>
      </c>
      <c r="U100" s="79" t="str">
        <f>""</f>
        <v/>
      </c>
      <c r="V100" s="79" t="str">
        <f>""</f>
        <v/>
      </c>
      <c r="W100" s="79" t="str">
        <f>""</f>
        <v/>
      </c>
      <c r="X100" s="79" t="str">
        <f>""</f>
        <v/>
      </c>
      <c r="Y100" s="79" t="str">
        <f>""</f>
        <v/>
      </c>
    </row>
    <row r="101" spans="2:25" hidden="1" x14ac:dyDescent="0.3">
      <c r="B101" s="66">
        <v>17</v>
      </c>
      <c r="C101" s="34" t="str">
        <f>IF(COUNTIF(Lists!$B$3:$B$22,B101)=0,"",VLOOKUP(B101,Lists!$B$3:$C$22,2,0))</f>
        <v/>
      </c>
      <c r="D101" s="60" t="str">
        <f>IF($C101="","",SUMIF('Emissions Database'!$B$232:$B$251,$C101,'Emissions Database'!$BS$232:$BS$251))</f>
        <v/>
      </c>
      <c r="E101" s="58" t="str">
        <f>IF(OR(E$82="",$C101=""),"",HLOOKUP(E$82,'Emissions Database'!$BE$3:$BR$251,MATCH($C101,'Emissions Database'!$B$3:$B$251,0),0))</f>
        <v/>
      </c>
      <c r="F101" s="58" t="str">
        <f>IF(OR(F$82="",$C101=""),"",HLOOKUP(F$82,'Emissions Database'!$BE$3:$BR$251,MATCH($C101,'Emissions Database'!$B$3:$B$251,0),0))</f>
        <v/>
      </c>
      <c r="G101" s="58" t="str">
        <f>IF(OR(G$82="",$C101=""),"",HLOOKUP(G$82,'Emissions Database'!$BE$3:$BR$251,MATCH($C101,'Emissions Database'!$B$3:$B$251,0),0))</f>
        <v/>
      </c>
      <c r="H101" s="58" t="str">
        <f>IF(OR(H$82="",$C101=""),"",HLOOKUP(H$82,'Emissions Database'!$BE$3:$BR$251,MATCH($C101,'Emissions Database'!$B$3:$B$251,0),0))</f>
        <v/>
      </c>
      <c r="I101" s="58" t="str">
        <f>IF(OR(I$82="",$C101=""),"",HLOOKUP(I$82,'Emissions Database'!$BE$3:$BR$251,MATCH($C101,'Emissions Database'!$B$3:$B$251,0),0))</f>
        <v/>
      </c>
      <c r="J101" s="58" t="str">
        <f>IF(OR(J$82="",$C101=""),"",HLOOKUP(J$82,'Emissions Database'!$BE$3:$BR$251,MATCH($C101,'Emissions Database'!$B$3:$B$251,0),0))</f>
        <v/>
      </c>
      <c r="K101" s="58" t="str">
        <f>IF(OR(K$82="",$C101=""),"",HLOOKUP(K$82,'Emissions Database'!$BE$3:$BR$251,MATCH($C101,'Emissions Database'!$B$3:$B$251,0),0))</f>
        <v/>
      </c>
      <c r="L101" s="58" t="str">
        <f>IF(OR(L$82="",$C101=""),"",HLOOKUP(L$82,'Emissions Database'!$BE$3:$BR$251,MATCH($C101,'Emissions Database'!$B$3:$B$251,0),0))</f>
        <v/>
      </c>
      <c r="M101" s="58" t="str">
        <f>IF(OR(M$82="",$C101=""),"",HLOOKUP(M$82,'Emissions Database'!$BE$3:$BR$251,MATCH($C101,'Emissions Database'!$B$3:$B$251,0),0))</f>
        <v/>
      </c>
      <c r="N101" s="58" t="str">
        <f>IF(OR(N$82="",$C101=""),"",HLOOKUP(N$82,'Emissions Database'!$BE$3:$BR$251,MATCH($C101,'Emissions Database'!$B$3:$B$251,0),0))</f>
        <v/>
      </c>
      <c r="O101" s="58" t="str">
        <f>IF(OR(O$82="",$C101=""),"",HLOOKUP(O$82,'Emissions Database'!$BE$3:$BR$251,MATCH($C101,'Emissions Database'!$B$3:$B$251,0),0))</f>
        <v/>
      </c>
      <c r="P101" s="58" t="str">
        <f>IF(OR(P$82="",$C101=""),"",HLOOKUP(P$82,'Emissions Database'!$BE$3:$BR$251,MATCH($C101,'Emissions Database'!$B$3:$B$251,0),0))</f>
        <v/>
      </c>
      <c r="Q101" s="58" t="str">
        <f>IF(OR(Q$82="",$C101=""),"",HLOOKUP(Q$82,'Emissions Database'!$BE$3:$BR$251,MATCH($C101,'Emissions Database'!$B$3:$B$251,0),0))</f>
        <v/>
      </c>
      <c r="R101" s="58" t="str">
        <f>IF(OR(R$82="",$C101=""),"",HLOOKUP(R$82,'Emissions Database'!$BE$3:$BR$251,MATCH($C101,'Emissions Database'!$B$3:$B$251,0),0))</f>
        <v/>
      </c>
      <c r="S101" s="79" t="str">
        <f>""</f>
        <v/>
      </c>
      <c r="T101" s="79" t="str">
        <f>""</f>
        <v/>
      </c>
      <c r="U101" s="79" t="str">
        <f>""</f>
        <v/>
      </c>
      <c r="V101" s="79" t="str">
        <f>""</f>
        <v/>
      </c>
      <c r="W101" s="79" t="str">
        <f>""</f>
        <v/>
      </c>
      <c r="X101" s="79" t="str">
        <f>""</f>
        <v/>
      </c>
      <c r="Y101" s="79" t="str">
        <f>""</f>
        <v/>
      </c>
    </row>
    <row r="102" spans="2:25" hidden="1" x14ac:dyDescent="0.3"/>
    <row r="103" spans="2:25" hidden="1" x14ac:dyDescent="0.3"/>
    <row r="104" spans="2:25" hidden="1" x14ac:dyDescent="0.3">
      <c r="C104" s="33" t="s">
        <v>394</v>
      </c>
    </row>
    <row r="105" spans="2:25" ht="28.8" hidden="1" x14ac:dyDescent="0.3">
      <c r="C105" s="36" t="s">
        <v>508</v>
      </c>
      <c r="D105" s="36" t="s">
        <v>322</v>
      </c>
      <c r="E105" s="36" t="str">
        <f>IF(Inputs!$D$15=0,"",Inputs!$D$15)</f>
        <v>Agency (unspecified)</v>
      </c>
      <c r="F105" s="36" t="str">
        <f>IF(Inputs!$D$16=0,"",Inputs!$D$16)</f>
        <v/>
      </c>
      <c r="G105" s="36" t="str">
        <f>IF(Inputs!$D$17=0,"",Inputs!$D$17)</f>
        <v/>
      </c>
      <c r="H105" s="36" t="str">
        <f>IF(Inputs!$D$18=0,"",Inputs!$D$18)</f>
        <v/>
      </c>
      <c r="I105" s="36" t="str">
        <f>IF(Inputs!$D$19=0,"",Inputs!$D$19)</f>
        <v/>
      </c>
      <c r="J105" s="36" t="str">
        <f>IF(Inputs!$D$20=0,"",Inputs!$D$20)</f>
        <v/>
      </c>
      <c r="K105" s="36" t="str">
        <f>IF(Inputs!$D$21=0,"",Inputs!$D$21)</f>
        <v/>
      </c>
      <c r="L105" s="36" t="str">
        <f>IF(Inputs!$D$22=0,"",Inputs!$D$22)</f>
        <v/>
      </c>
      <c r="M105" s="36" t="str">
        <f>IF(Inputs!$D$23=0,"",Inputs!$D$23)</f>
        <v/>
      </c>
      <c r="N105" s="36" t="str">
        <f>IF(Inputs!$D$24=0,"",Inputs!$D$24)</f>
        <v/>
      </c>
      <c r="O105" s="36" t="str">
        <f>IF(Inputs!$D$25=0,"",Inputs!$D$25)</f>
        <v/>
      </c>
      <c r="P105" s="36" t="str">
        <f>IF(Inputs!$D$26=0,"",Inputs!$D$26)</f>
        <v/>
      </c>
      <c r="Q105" s="36" t="str">
        <f>IF(Inputs!$D$27=0,"",Inputs!$D$27)</f>
        <v/>
      </c>
      <c r="R105" s="36" t="str">
        <f>IF(Inputs!$D$28=0,"",Inputs!$D$28)</f>
        <v/>
      </c>
      <c r="S105" s="36" t="str">
        <f>IF(Inputs!$D$29=0,"",Inputs!$D$29)</f>
        <v/>
      </c>
      <c r="T105" s="36" t="str">
        <f>IF(Inputs!$D$30=0,"",Inputs!$D$30)</f>
        <v/>
      </c>
      <c r="U105" s="36" t="str">
        <f>IF(Inputs!$D$31=0,"",Inputs!$D$31)</f>
        <v/>
      </c>
      <c r="V105" s="36" t="str">
        <f>IF(Inputs!$D$32=0,"",Inputs!$D$32)</f>
        <v/>
      </c>
      <c r="W105" s="36" t="str">
        <f>IF(Inputs!$D$33=0,"",Inputs!$D$33)</f>
        <v/>
      </c>
      <c r="X105" s="36" t="str">
        <f>IF(Inputs!$D$34=0,"",Inputs!$D$34)</f>
        <v/>
      </c>
      <c r="Y105" s="36" t="str">
        <f>IF(Inputs!$D$35=0,"",Inputs!$D$35)</f>
        <v/>
      </c>
    </row>
    <row r="106" spans="2:25" hidden="1" x14ac:dyDescent="0.3">
      <c r="C106" s="59" t="s">
        <v>322</v>
      </c>
      <c r="D106" s="60">
        <f>'Emissions Database'!$BS$204</f>
        <v>0</v>
      </c>
      <c r="E106" s="60">
        <f>IF(E$105="","",SUMIF('Emissions Database'!$CU$3:$DO$3,E$105,'Emissions Database'!$CU$204:$DO$204))</f>
        <v>0</v>
      </c>
      <c r="F106" s="60" t="str">
        <f>IF(F$105="","",SUMIF('Emissions Database'!$CU$3:$DO$3,F$105,'Emissions Database'!$CU$204:$DO$204))</f>
        <v/>
      </c>
      <c r="G106" s="60" t="str">
        <f>IF(G$105="","",SUMIF('Emissions Database'!$CU$3:$DO$3,G$105,'Emissions Database'!$CU$204:$DO$204))</f>
        <v/>
      </c>
      <c r="H106" s="60" t="str">
        <f>IF(H$105="","",SUMIF('Emissions Database'!$CU$3:$DO$3,H$105,'Emissions Database'!$CU$204:$DO$204))</f>
        <v/>
      </c>
      <c r="I106" s="60" t="str">
        <f>IF(I$105="","",SUMIF('Emissions Database'!$CU$3:$DO$3,I$105,'Emissions Database'!$CU$204:$DO$204))</f>
        <v/>
      </c>
      <c r="J106" s="60" t="str">
        <f>IF(J$105="","",SUMIF('Emissions Database'!$CU$3:$DO$3,J$105,'Emissions Database'!$CU$204:$DO$204))</f>
        <v/>
      </c>
      <c r="K106" s="60" t="str">
        <f>IF(K$105="","",SUMIF('Emissions Database'!$CU$3:$DO$3,K$105,'Emissions Database'!$CU$204:$DO$204))</f>
        <v/>
      </c>
      <c r="L106" s="60" t="str">
        <f>IF(L$105="","",SUMIF('Emissions Database'!$CU$3:$DO$3,L$105,'Emissions Database'!$CU$204:$DO$204))</f>
        <v/>
      </c>
      <c r="M106" s="60" t="str">
        <f>IF(M$105="","",SUMIF('Emissions Database'!$CU$3:$DO$3,M$105,'Emissions Database'!$CU$204:$DO$204))</f>
        <v/>
      </c>
      <c r="N106" s="60" t="str">
        <f>IF(N$105="","",SUMIF('Emissions Database'!$CU$3:$DO$3,N$105,'Emissions Database'!$CU$204:$DO$204))</f>
        <v/>
      </c>
      <c r="O106" s="60" t="str">
        <f>IF(O$105="","",SUMIF('Emissions Database'!$CU$3:$DO$3,O$105,'Emissions Database'!$CU$204:$DO$204))</f>
        <v/>
      </c>
      <c r="P106" s="60" t="str">
        <f>IF(P$105="","",SUMIF('Emissions Database'!$CU$3:$DO$3,P$105,'Emissions Database'!$CU$204:$DO$204))</f>
        <v/>
      </c>
      <c r="Q106" s="60" t="str">
        <f>IF(Q$105="","",SUMIF('Emissions Database'!$CU$3:$DO$3,Q$105,'Emissions Database'!$CU$204:$DO$204))</f>
        <v/>
      </c>
      <c r="R106" s="60" t="str">
        <f>IF(R$105="","",SUMIF('Emissions Database'!$CU$3:$DO$3,R$105,'Emissions Database'!$CU$204:$DO$204))</f>
        <v/>
      </c>
      <c r="S106" s="60" t="str">
        <f>IF(S$105="","",SUMIF('Emissions Database'!$CU$3:$DO$3,S$105,'Emissions Database'!$CU$204:$DO$204))</f>
        <v/>
      </c>
      <c r="T106" s="60" t="str">
        <f>IF(T$105="","",SUMIF('Emissions Database'!$CU$3:$DO$3,T$105,'Emissions Database'!$CU$204:$DO$204))</f>
        <v/>
      </c>
      <c r="U106" s="60" t="str">
        <f>IF(U$105="","",SUMIF('Emissions Database'!$CU$3:$DO$3,U$105,'Emissions Database'!$CU$204:$DO$204))</f>
        <v/>
      </c>
      <c r="V106" s="60" t="str">
        <f>IF(V$105="","",SUMIF('Emissions Database'!$CU$3:$DO$3,V$105,'Emissions Database'!$CU$204:$DO$204))</f>
        <v/>
      </c>
      <c r="W106" s="60" t="str">
        <f>IF(W$105="","",SUMIF('Emissions Database'!$CU$3:$DO$3,W$105,'Emissions Database'!$CU$204:$DO$204))</f>
        <v/>
      </c>
      <c r="X106" s="60" t="str">
        <f>IF(X$105="","",SUMIF('Emissions Database'!$CU$3:$DO$3,X$105,'Emissions Database'!$CU$204:$DO$204))</f>
        <v/>
      </c>
      <c r="Y106" s="60" t="str">
        <f>IF(Y$105="","",SUMIF('Emissions Database'!$CU$3:$DO$3,Y$105,'Emissions Database'!$CU$204:$DO$204))</f>
        <v/>
      </c>
    </row>
    <row r="107" spans="2:25" hidden="1" x14ac:dyDescent="0.3">
      <c r="C107" s="73" t="s">
        <v>324</v>
      </c>
      <c r="D107" s="60">
        <f>D106-SUM(D108:D124)</f>
        <v>0</v>
      </c>
      <c r="E107" s="75">
        <f>IF(E105="","",E106-SUM(E108:E124))</f>
        <v>0</v>
      </c>
      <c r="F107" s="75" t="str">
        <f t="shared" ref="F107:Y107" si="43">IF(F105="","",F106-SUM(F108:F124))</f>
        <v/>
      </c>
      <c r="G107" s="75" t="str">
        <f t="shared" si="43"/>
        <v/>
      </c>
      <c r="H107" s="75" t="str">
        <f t="shared" si="43"/>
        <v/>
      </c>
      <c r="I107" s="75" t="str">
        <f t="shared" si="43"/>
        <v/>
      </c>
      <c r="J107" s="75" t="str">
        <f t="shared" si="43"/>
        <v/>
      </c>
      <c r="K107" s="75" t="str">
        <f t="shared" si="43"/>
        <v/>
      </c>
      <c r="L107" s="75" t="str">
        <f t="shared" si="43"/>
        <v/>
      </c>
      <c r="M107" s="75" t="str">
        <f t="shared" si="43"/>
        <v/>
      </c>
      <c r="N107" s="75" t="str">
        <f t="shared" si="43"/>
        <v/>
      </c>
      <c r="O107" s="75" t="str">
        <f t="shared" si="43"/>
        <v/>
      </c>
      <c r="P107" s="75" t="str">
        <f t="shared" si="43"/>
        <v/>
      </c>
      <c r="Q107" s="75" t="str">
        <f t="shared" si="43"/>
        <v/>
      </c>
      <c r="R107" s="75" t="str">
        <f t="shared" si="43"/>
        <v/>
      </c>
      <c r="S107" s="75" t="str">
        <f t="shared" si="43"/>
        <v/>
      </c>
      <c r="T107" s="75" t="str">
        <f t="shared" si="43"/>
        <v/>
      </c>
      <c r="U107" s="75" t="str">
        <f t="shared" si="43"/>
        <v/>
      </c>
      <c r="V107" s="75" t="str">
        <f t="shared" si="43"/>
        <v/>
      </c>
      <c r="W107" s="75" t="str">
        <f t="shared" si="43"/>
        <v/>
      </c>
      <c r="X107" s="75" t="str">
        <f t="shared" si="43"/>
        <v/>
      </c>
      <c r="Y107" s="75" t="str">
        <f t="shared" si="43"/>
        <v/>
      </c>
    </row>
    <row r="108" spans="2:25" hidden="1" x14ac:dyDescent="0.3">
      <c r="B108" s="66">
        <v>1</v>
      </c>
      <c r="C108" s="34" t="str">
        <f>IF(COUNTIF(Lists!$B$3:$B$22,B108)=0,"",VLOOKUP(B108,Lists!$B$3:$C$22,2,0))</f>
        <v/>
      </c>
      <c r="D108" s="60" t="str">
        <f>IF($C108="","",SUMIF('Emissions Database'!$B$232:$B$251,$C108,'Emissions Database'!$BS$232:$BS$251))</f>
        <v/>
      </c>
      <c r="E108" s="58" t="str">
        <f>IF(OR(E$105="",$C108=""),"",HLOOKUP(E$105,'Emissions Database'!$CU$3:$DO$251,MATCH($C108,'Emissions Database'!$B$3:$B$251,0),0))</f>
        <v/>
      </c>
      <c r="F108" s="58" t="str">
        <f>IF(OR(F$105="",$C108=""),"",HLOOKUP(F$105,'Emissions Database'!$CU$3:$DO$251,MATCH($C108,'Emissions Database'!$B$3:$B$251,0),0))</f>
        <v/>
      </c>
      <c r="G108" s="58" t="str">
        <f>IF(OR(G$105="",$C108=""),"",HLOOKUP(G$105,'Emissions Database'!$CU$3:$DO$251,MATCH($C108,'Emissions Database'!$B$3:$B$251,0),0))</f>
        <v/>
      </c>
      <c r="H108" s="58" t="str">
        <f>IF(OR(H$105="",$C108=""),"",HLOOKUP(H$105,'Emissions Database'!$CU$3:$DO$251,MATCH($C108,'Emissions Database'!$B$3:$B$251,0),0))</f>
        <v/>
      </c>
      <c r="I108" s="58" t="str">
        <f>IF(OR(I$105="",$C108=""),"",HLOOKUP(I$105,'Emissions Database'!$CU$3:$DO$251,MATCH($C108,'Emissions Database'!$B$3:$B$251,0),0))</f>
        <v/>
      </c>
      <c r="J108" s="58" t="str">
        <f>IF(OR(J$105="",$C108=""),"",HLOOKUP(J$105,'Emissions Database'!$CU$3:$DO$251,MATCH($C108,'Emissions Database'!$B$3:$B$251,0),0))</f>
        <v/>
      </c>
      <c r="K108" s="58" t="str">
        <f>IF(OR(K$105="",$C108=""),"",HLOOKUP(K$105,'Emissions Database'!$CU$3:$DO$251,MATCH($C108,'Emissions Database'!$B$3:$B$251,0),0))</f>
        <v/>
      </c>
      <c r="L108" s="58" t="str">
        <f>IF(OR(L$105="",$C108=""),"",HLOOKUP(L$105,'Emissions Database'!$CU$3:$DO$251,MATCH($C108,'Emissions Database'!$B$3:$B$251,0),0))</f>
        <v/>
      </c>
      <c r="M108" s="58" t="str">
        <f>IF(OR(M$105="",$C108=""),"",HLOOKUP(M$105,'Emissions Database'!$CU$3:$DO$251,MATCH($C108,'Emissions Database'!$B$3:$B$251,0),0))</f>
        <v/>
      </c>
      <c r="N108" s="58" t="str">
        <f>IF(OR(N$105="",$C108=""),"",HLOOKUP(N$105,'Emissions Database'!$CU$3:$DO$251,MATCH($C108,'Emissions Database'!$B$3:$B$251,0),0))</f>
        <v/>
      </c>
      <c r="O108" s="58" t="str">
        <f>IF(OR(O$105="",$C108=""),"",HLOOKUP(O$105,'Emissions Database'!$CU$3:$DO$251,MATCH($C108,'Emissions Database'!$B$3:$B$251,0),0))</f>
        <v/>
      </c>
      <c r="P108" s="58" t="str">
        <f>IF(OR(P$105="",$C108=""),"",HLOOKUP(P$105,'Emissions Database'!$CU$3:$DO$251,MATCH($C108,'Emissions Database'!$B$3:$B$251,0),0))</f>
        <v/>
      </c>
      <c r="Q108" s="58" t="str">
        <f>IF(OR(Q$105="",$C108=""),"",HLOOKUP(Q$105,'Emissions Database'!$CU$3:$DO$251,MATCH($C108,'Emissions Database'!$B$3:$B$251,0),0))</f>
        <v/>
      </c>
      <c r="R108" s="58" t="str">
        <f>IF(OR(R$105="",$C108=""),"",HLOOKUP(R$105,'Emissions Database'!$CU$3:$DO$251,MATCH($C108,'Emissions Database'!$B$3:$B$251,0),0))</f>
        <v/>
      </c>
      <c r="S108" s="58" t="str">
        <f>IF(OR(S$105="",$C108=""),"",HLOOKUP(S$105,'Emissions Database'!$CU$3:$DO$251,MATCH($C108,'Emissions Database'!$B$3:$B$251,0),0))</f>
        <v/>
      </c>
      <c r="T108" s="58" t="str">
        <f>IF(OR(T$105="",$C108=""),"",HLOOKUP(T$105,'Emissions Database'!$CU$3:$DO$251,MATCH($C108,'Emissions Database'!$B$3:$B$251,0),0))</f>
        <v/>
      </c>
      <c r="U108" s="58" t="str">
        <f>IF(OR(U$105="",$C108=""),"",HLOOKUP(U$105,'Emissions Database'!$CU$3:$DO$251,MATCH($C108,'Emissions Database'!$B$3:$B$251,0),0))</f>
        <v/>
      </c>
      <c r="V108" s="58" t="str">
        <f>IF(OR(V$105="",$C108=""),"",HLOOKUP(V$105,'Emissions Database'!$CU$3:$DO$251,MATCH($C108,'Emissions Database'!$B$3:$B$251,0),0))</f>
        <v/>
      </c>
      <c r="W108" s="58" t="str">
        <f>IF(OR(W$105="",$C108=""),"",HLOOKUP(W$105,'Emissions Database'!$CU$3:$DO$251,MATCH($C108,'Emissions Database'!$B$3:$B$251,0),0))</f>
        <v/>
      </c>
      <c r="X108" s="58" t="str">
        <f>IF(OR(X$105="",$C108=""),"",HLOOKUP(X$105,'Emissions Database'!$CU$3:$DO$251,MATCH($C108,'Emissions Database'!$B$3:$B$251,0),0))</f>
        <v/>
      </c>
      <c r="Y108" s="58" t="str">
        <f>IF(OR(Y$105="",$C108=""),"",HLOOKUP(Y$105,'Emissions Database'!$CU$3:$DO$251,MATCH($C108,'Emissions Database'!$B$3:$B$251,0),0))</f>
        <v/>
      </c>
    </row>
    <row r="109" spans="2:25" hidden="1" x14ac:dyDescent="0.3">
      <c r="B109" s="66">
        <v>2</v>
      </c>
      <c r="C109" s="34" t="str">
        <f>IF(COUNTIF(Lists!$B$3:$B$22,B109)=0,"",VLOOKUP(B109,Lists!$B$3:$C$22,2,0))</f>
        <v/>
      </c>
      <c r="D109" s="60" t="str">
        <f>IF($C109="","",SUMIF('Emissions Database'!$B$232:$B$251,$C109,'Emissions Database'!$BS$232:$BS$251))</f>
        <v/>
      </c>
      <c r="E109" s="58" t="str">
        <f>IF(OR(E$105="",$C109=""),"",HLOOKUP(E$105,'Emissions Database'!$CU$3:$DO$251,MATCH($C109,'Emissions Database'!$B$3:$B$251,0),0))</f>
        <v/>
      </c>
      <c r="F109" s="58" t="str">
        <f>IF(OR(F$105="",$C109=""),"",HLOOKUP(F$105,'Emissions Database'!$CU$3:$DO$251,MATCH($C109,'Emissions Database'!$B$3:$B$251,0),0))</f>
        <v/>
      </c>
      <c r="G109" s="58" t="str">
        <f>IF(OR(G$105="",$C109=""),"",HLOOKUP(G$105,'Emissions Database'!$CU$3:$DO$251,MATCH($C109,'Emissions Database'!$B$3:$B$251,0),0))</f>
        <v/>
      </c>
      <c r="H109" s="58" t="str">
        <f>IF(OR(H$105="",$C109=""),"",HLOOKUP(H$105,'Emissions Database'!$CU$3:$DO$251,MATCH($C109,'Emissions Database'!$B$3:$B$251,0),0))</f>
        <v/>
      </c>
      <c r="I109" s="58" t="str">
        <f>IF(OR(I$105="",$C109=""),"",HLOOKUP(I$105,'Emissions Database'!$CU$3:$DO$251,MATCH($C109,'Emissions Database'!$B$3:$B$251,0),0))</f>
        <v/>
      </c>
      <c r="J109" s="58" t="str">
        <f>IF(OR(J$105="",$C109=""),"",HLOOKUP(J$105,'Emissions Database'!$CU$3:$DO$251,MATCH($C109,'Emissions Database'!$B$3:$B$251,0),0))</f>
        <v/>
      </c>
      <c r="K109" s="58" t="str">
        <f>IF(OR(K$105="",$C109=""),"",HLOOKUP(K$105,'Emissions Database'!$CU$3:$DO$251,MATCH($C109,'Emissions Database'!$B$3:$B$251,0),0))</f>
        <v/>
      </c>
      <c r="L109" s="58" t="str">
        <f>IF(OR(L$105="",$C109=""),"",HLOOKUP(L$105,'Emissions Database'!$CU$3:$DO$251,MATCH($C109,'Emissions Database'!$B$3:$B$251,0),0))</f>
        <v/>
      </c>
      <c r="M109" s="58" t="str">
        <f>IF(OR(M$105="",$C109=""),"",HLOOKUP(M$105,'Emissions Database'!$CU$3:$DO$251,MATCH($C109,'Emissions Database'!$B$3:$B$251,0),0))</f>
        <v/>
      </c>
      <c r="N109" s="58" t="str">
        <f>IF(OR(N$105="",$C109=""),"",HLOOKUP(N$105,'Emissions Database'!$CU$3:$DO$251,MATCH($C109,'Emissions Database'!$B$3:$B$251,0),0))</f>
        <v/>
      </c>
      <c r="O109" s="58" t="str">
        <f>IF(OR(O$105="",$C109=""),"",HLOOKUP(O$105,'Emissions Database'!$CU$3:$DO$251,MATCH($C109,'Emissions Database'!$B$3:$B$251,0),0))</f>
        <v/>
      </c>
      <c r="P109" s="58" t="str">
        <f>IF(OR(P$105="",$C109=""),"",HLOOKUP(P$105,'Emissions Database'!$CU$3:$DO$251,MATCH($C109,'Emissions Database'!$B$3:$B$251,0),0))</f>
        <v/>
      </c>
      <c r="Q109" s="58" t="str">
        <f>IF(OR(Q$105="",$C109=""),"",HLOOKUP(Q$105,'Emissions Database'!$CU$3:$DO$251,MATCH($C109,'Emissions Database'!$B$3:$B$251,0),0))</f>
        <v/>
      </c>
      <c r="R109" s="58" t="str">
        <f>IF(OR(R$105="",$C109=""),"",HLOOKUP(R$105,'Emissions Database'!$CU$3:$DO$251,MATCH($C109,'Emissions Database'!$B$3:$B$251,0),0))</f>
        <v/>
      </c>
      <c r="S109" s="58" t="str">
        <f>IF(OR(S$105="",$C109=""),"",HLOOKUP(S$105,'Emissions Database'!$CU$3:$DO$251,MATCH($C109,'Emissions Database'!$B$3:$B$251,0),0))</f>
        <v/>
      </c>
      <c r="T109" s="58" t="str">
        <f>IF(OR(T$105="",$C109=""),"",HLOOKUP(T$105,'Emissions Database'!$CU$3:$DO$251,MATCH($C109,'Emissions Database'!$B$3:$B$251,0),0))</f>
        <v/>
      </c>
      <c r="U109" s="58" t="str">
        <f>IF(OR(U$105="",$C109=""),"",HLOOKUP(U$105,'Emissions Database'!$CU$3:$DO$251,MATCH($C109,'Emissions Database'!$B$3:$B$251,0),0))</f>
        <v/>
      </c>
      <c r="V109" s="58" t="str">
        <f>IF(OR(V$105="",$C109=""),"",HLOOKUP(V$105,'Emissions Database'!$CU$3:$DO$251,MATCH($C109,'Emissions Database'!$B$3:$B$251,0),0))</f>
        <v/>
      </c>
      <c r="W109" s="58" t="str">
        <f>IF(OR(W$105="",$C109=""),"",HLOOKUP(W$105,'Emissions Database'!$CU$3:$DO$251,MATCH($C109,'Emissions Database'!$B$3:$B$251,0),0))</f>
        <v/>
      </c>
      <c r="X109" s="58" t="str">
        <f>IF(OR(X$105="",$C109=""),"",HLOOKUP(X$105,'Emissions Database'!$CU$3:$DO$251,MATCH($C109,'Emissions Database'!$B$3:$B$251,0),0))</f>
        <v/>
      </c>
      <c r="Y109" s="58" t="str">
        <f>IF(OR(Y$105="",$C109=""),"",HLOOKUP(Y$105,'Emissions Database'!$CU$3:$DO$251,MATCH($C109,'Emissions Database'!$B$3:$B$251,0),0))</f>
        <v/>
      </c>
    </row>
    <row r="110" spans="2:25" hidden="1" x14ac:dyDescent="0.3">
      <c r="B110" s="66">
        <v>3</v>
      </c>
      <c r="C110" s="34" t="str">
        <f>IF(COUNTIF(Lists!$B$3:$B$22,B110)=0,"",VLOOKUP(B110,Lists!$B$3:$C$22,2,0))</f>
        <v/>
      </c>
      <c r="D110" s="60" t="str">
        <f>IF($C110="","",SUMIF('Emissions Database'!$B$232:$B$251,$C110,'Emissions Database'!$BS$232:$BS$251))</f>
        <v/>
      </c>
      <c r="E110" s="58" t="str">
        <f>IF(OR(E$105="",$C110=""),"",HLOOKUP(E$105,'Emissions Database'!$CU$3:$DO$251,MATCH($C110,'Emissions Database'!$B$3:$B$251,0),0))</f>
        <v/>
      </c>
      <c r="F110" s="58" t="str">
        <f>IF(OR(F$105="",$C110=""),"",HLOOKUP(F$105,'Emissions Database'!$CU$3:$DO$251,MATCH($C110,'Emissions Database'!$B$3:$B$251,0),0))</f>
        <v/>
      </c>
      <c r="G110" s="58" t="str">
        <f>IF(OR(G$105="",$C110=""),"",HLOOKUP(G$105,'Emissions Database'!$CU$3:$DO$251,MATCH($C110,'Emissions Database'!$B$3:$B$251,0),0))</f>
        <v/>
      </c>
      <c r="H110" s="58" t="str">
        <f>IF(OR(H$105="",$C110=""),"",HLOOKUP(H$105,'Emissions Database'!$CU$3:$DO$251,MATCH($C110,'Emissions Database'!$B$3:$B$251,0),0))</f>
        <v/>
      </c>
      <c r="I110" s="58" t="str">
        <f>IF(OR(I$105="",$C110=""),"",HLOOKUP(I$105,'Emissions Database'!$CU$3:$DO$251,MATCH($C110,'Emissions Database'!$B$3:$B$251,0),0))</f>
        <v/>
      </c>
      <c r="J110" s="58" t="str">
        <f>IF(OR(J$105="",$C110=""),"",HLOOKUP(J$105,'Emissions Database'!$CU$3:$DO$251,MATCH($C110,'Emissions Database'!$B$3:$B$251,0),0))</f>
        <v/>
      </c>
      <c r="K110" s="58" t="str">
        <f>IF(OR(K$105="",$C110=""),"",HLOOKUP(K$105,'Emissions Database'!$CU$3:$DO$251,MATCH($C110,'Emissions Database'!$B$3:$B$251,0),0))</f>
        <v/>
      </c>
      <c r="L110" s="58" t="str">
        <f>IF(OR(L$105="",$C110=""),"",HLOOKUP(L$105,'Emissions Database'!$CU$3:$DO$251,MATCH($C110,'Emissions Database'!$B$3:$B$251,0),0))</f>
        <v/>
      </c>
      <c r="M110" s="58" t="str">
        <f>IF(OR(M$105="",$C110=""),"",HLOOKUP(M$105,'Emissions Database'!$CU$3:$DO$251,MATCH($C110,'Emissions Database'!$B$3:$B$251,0),0))</f>
        <v/>
      </c>
      <c r="N110" s="58" t="str">
        <f>IF(OR(N$105="",$C110=""),"",HLOOKUP(N$105,'Emissions Database'!$CU$3:$DO$251,MATCH($C110,'Emissions Database'!$B$3:$B$251,0),0))</f>
        <v/>
      </c>
      <c r="O110" s="58" t="str">
        <f>IF(OR(O$105="",$C110=""),"",HLOOKUP(O$105,'Emissions Database'!$CU$3:$DO$251,MATCH($C110,'Emissions Database'!$B$3:$B$251,0),0))</f>
        <v/>
      </c>
      <c r="P110" s="58" t="str">
        <f>IF(OR(P$105="",$C110=""),"",HLOOKUP(P$105,'Emissions Database'!$CU$3:$DO$251,MATCH($C110,'Emissions Database'!$B$3:$B$251,0),0))</f>
        <v/>
      </c>
      <c r="Q110" s="58" t="str">
        <f>IF(OR(Q$105="",$C110=""),"",HLOOKUP(Q$105,'Emissions Database'!$CU$3:$DO$251,MATCH($C110,'Emissions Database'!$B$3:$B$251,0),0))</f>
        <v/>
      </c>
      <c r="R110" s="58" t="str">
        <f>IF(OR(R$105="",$C110=""),"",HLOOKUP(R$105,'Emissions Database'!$CU$3:$DO$251,MATCH($C110,'Emissions Database'!$B$3:$B$251,0),0))</f>
        <v/>
      </c>
      <c r="S110" s="58" t="str">
        <f>IF(OR(S$105="",$C110=""),"",HLOOKUP(S$105,'Emissions Database'!$CU$3:$DO$251,MATCH($C110,'Emissions Database'!$B$3:$B$251,0),0))</f>
        <v/>
      </c>
      <c r="T110" s="58" t="str">
        <f>IF(OR(T$105="",$C110=""),"",HLOOKUP(T$105,'Emissions Database'!$CU$3:$DO$251,MATCH($C110,'Emissions Database'!$B$3:$B$251,0),0))</f>
        <v/>
      </c>
      <c r="U110" s="58" t="str">
        <f>IF(OR(U$105="",$C110=""),"",HLOOKUP(U$105,'Emissions Database'!$CU$3:$DO$251,MATCH($C110,'Emissions Database'!$B$3:$B$251,0),0))</f>
        <v/>
      </c>
      <c r="V110" s="58" t="str">
        <f>IF(OR(V$105="",$C110=""),"",HLOOKUP(V$105,'Emissions Database'!$CU$3:$DO$251,MATCH($C110,'Emissions Database'!$B$3:$B$251,0),0))</f>
        <v/>
      </c>
      <c r="W110" s="58" t="str">
        <f>IF(OR(W$105="",$C110=""),"",HLOOKUP(W$105,'Emissions Database'!$CU$3:$DO$251,MATCH($C110,'Emissions Database'!$B$3:$B$251,0),0))</f>
        <v/>
      </c>
      <c r="X110" s="58" t="str">
        <f>IF(OR(X$105="",$C110=""),"",HLOOKUP(X$105,'Emissions Database'!$CU$3:$DO$251,MATCH($C110,'Emissions Database'!$B$3:$B$251,0),0))</f>
        <v/>
      </c>
      <c r="Y110" s="58" t="str">
        <f>IF(OR(Y$105="",$C110=""),"",HLOOKUP(Y$105,'Emissions Database'!$CU$3:$DO$251,MATCH($C110,'Emissions Database'!$B$3:$B$251,0),0))</f>
        <v/>
      </c>
    </row>
    <row r="111" spans="2:25" hidden="1" x14ac:dyDescent="0.3">
      <c r="B111" s="66">
        <v>4</v>
      </c>
      <c r="C111" s="34" t="str">
        <f>IF(COUNTIF(Lists!$B$3:$B$22,B111)=0,"",VLOOKUP(B111,Lists!$B$3:$C$22,2,0))</f>
        <v/>
      </c>
      <c r="D111" s="60" t="str">
        <f>IF($C111="","",SUMIF('Emissions Database'!$B$232:$B$251,$C111,'Emissions Database'!$BS$232:$BS$251))</f>
        <v/>
      </c>
      <c r="E111" s="58" t="str">
        <f>IF(OR(E$105="",$C111=""),"",HLOOKUP(E$105,'Emissions Database'!$CU$3:$DO$251,MATCH($C111,'Emissions Database'!$B$3:$B$251,0),0))</f>
        <v/>
      </c>
      <c r="F111" s="58" t="str">
        <f>IF(OR(F$105="",$C111=""),"",HLOOKUP(F$105,'Emissions Database'!$CU$3:$DO$251,MATCH($C111,'Emissions Database'!$B$3:$B$251,0),0))</f>
        <v/>
      </c>
      <c r="G111" s="58" t="str">
        <f>IF(OR(G$105="",$C111=""),"",HLOOKUP(G$105,'Emissions Database'!$CU$3:$DO$251,MATCH($C111,'Emissions Database'!$B$3:$B$251,0),0))</f>
        <v/>
      </c>
      <c r="H111" s="58" t="str">
        <f>IF(OR(H$105="",$C111=""),"",HLOOKUP(H$105,'Emissions Database'!$CU$3:$DO$251,MATCH($C111,'Emissions Database'!$B$3:$B$251,0),0))</f>
        <v/>
      </c>
      <c r="I111" s="58" t="str">
        <f>IF(OR(I$105="",$C111=""),"",HLOOKUP(I$105,'Emissions Database'!$CU$3:$DO$251,MATCH($C111,'Emissions Database'!$B$3:$B$251,0),0))</f>
        <v/>
      </c>
      <c r="J111" s="58" t="str">
        <f>IF(OR(J$105="",$C111=""),"",HLOOKUP(J$105,'Emissions Database'!$CU$3:$DO$251,MATCH($C111,'Emissions Database'!$B$3:$B$251,0),0))</f>
        <v/>
      </c>
      <c r="K111" s="58" t="str">
        <f>IF(OR(K$105="",$C111=""),"",HLOOKUP(K$105,'Emissions Database'!$CU$3:$DO$251,MATCH($C111,'Emissions Database'!$B$3:$B$251,0),0))</f>
        <v/>
      </c>
      <c r="L111" s="58" t="str">
        <f>IF(OR(L$105="",$C111=""),"",HLOOKUP(L$105,'Emissions Database'!$CU$3:$DO$251,MATCH($C111,'Emissions Database'!$B$3:$B$251,0),0))</f>
        <v/>
      </c>
      <c r="M111" s="58" t="str">
        <f>IF(OR(M$105="",$C111=""),"",HLOOKUP(M$105,'Emissions Database'!$CU$3:$DO$251,MATCH($C111,'Emissions Database'!$B$3:$B$251,0),0))</f>
        <v/>
      </c>
      <c r="N111" s="58" t="str">
        <f>IF(OR(N$105="",$C111=""),"",HLOOKUP(N$105,'Emissions Database'!$CU$3:$DO$251,MATCH($C111,'Emissions Database'!$B$3:$B$251,0),0))</f>
        <v/>
      </c>
      <c r="O111" s="58" t="str">
        <f>IF(OR(O$105="",$C111=""),"",HLOOKUP(O$105,'Emissions Database'!$CU$3:$DO$251,MATCH($C111,'Emissions Database'!$B$3:$B$251,0),0))</f>
        <v/>
      </c>
      <c r="P111" s="58" t="str">
        <f>IF(OR(P$105="",$C111=""),"",HLOOKUP(P$105,'Emissions Database'!$CU$3:$DO$251,MATCH($C111,'Emissions Database'!$B$3:$B$251,0),0))</f>
        <v/>
      </c>
      <c r="Q111" s="58" t="str">
        <f>IF(OR(Q$105="",$C111=""),"",HLOOKUP(Q$105,'Emissions Database'!$CU$3:$DO$251,MATCH($C111,'Emissions Database'!$B$3:$B$251,0),0))</f>
        <v/>
      </c>
      <c r="R111" s="58" t="str">
        <f>IF(OR(R$105="",$C111=""),"",HLOOKUP(R$105,'Emissions Database'!$CU$3:$DO$251,MATCH($C111,'Emissions Database'!$B$3:$B$251,0),0))</f>
        <v/>
      </c>
      <c r="S111" s="58" t="str">
        <f>IF(OR(S$105="",$C111=""),"",HLOOKUP(S$105,'Emissions Database'!$CU$3:$DO$251,MATCH($C111,'Emissions Database'!$B$3:$B$251,0),0))</f>
        <v/>
      </c>
      <c r="T111" s="58" t="str">
        <f>IF(OR(T$105="",$C111=""),"",HLOOKUP(T$105,'Emissions Database'!$CU$3:$DO$251,MATCH($C111,'Emissions Database'!$B$3:$B$251,0),0))</f>
        <v/>
      </c>
      <c r="U111" s="58" t="str">
        <f>IF(OR(U$105="",$C111=""),"",HLOOKUP(U$105,'Emissions Database'!$CU$3:$DO$251,MATCH($C111,'Emissions Database'!$B$3:$B$251,0),0))</f>
        <v/>
      </c>
      <c r="V111" s="58" t="str">
        <f>IF(OR(V$105="",$C111=""),"",HLOOKUP(V$105,'Emissions Database'!$CU$3:$DO$251,MATCH($C111,'Emissions Database'!$B$3:$B$251,0),0))</f>
        <v/>
      </c>
      <c r="W111" s="58" t="str">
        <f>IF(OR(W$105="",$C111=""),"",HLOOKUP(W$105,'Emissions Database'!$CU$3:$DO$251,MATCH($C111,'Emissions Database'!$B$3:$B$251,0),0))</f>
        <v/>
      </c>
      <c r="X111" s="58" t="str">
        <f>IF(OR(X$105="",$C111=""),"",HLOOKUP(X$105,'Emissions Database'!$CU$3:$DO$251,MATCH($C111,'Emissions Database'!$B$3:$B$251,0),0))</f>
        <v/>
      </c>
      <c r="Y111" s="58" t="str">
        <f>IF(OR(Y$105="",$C111=""),"",HLOOKUP(Y$105,'Emissions Database'!$CU$3:$DO$251,MATCH($C111,'Emissions Database'!$B$3:$B$251,0),0))</f>
        <v/>
      </c>
    </row>
    <row r="112" spans="2:25" hidden="1" x14ac:dyDescent="0.3">
      <c r="B112" s="66">
        <v>5</v>
      </c>
      <c r="C112" s="34" t="str">
        <f>IF(COUNTIF(Lists!$B$3:$B$22,B112)=0,"",VLOOKUP(B112,Lists!$B$3:$C$22,2,0))</f>
        <v/>
      </c>
      <c r="D112" s="60" t="str">
        <f>IF($C112="","",SUMIF('Emissions Database'!$B$232:$B$251,$C112,'Emissions Database'!$BS$232:$BS$251))</f>
        <v/>
      </c>
      <c r="E112" s="58" t="str">
        <f>IF(OR(E$105="",$C112=""),"",HLOOKUP(E$105,'Emissions Database'!$CU$3:$DO$251,MATCH($C112,'Emissions Database'!$B$3:$B$251,0),0))</f>
        <v/>
      </c>
      <c r="F112" s="58" t="str">
        <f>IF(OR(F$105="",$C112=""),"",HLOOKUP(F$105,'Emissions Database'!$CU$3:$DO$251,MATCH($C112,'Emissions Database'!$B$3:$B$251,0),0))</f>
        <v/>
      </c>
      <c r="G112" s="58" t="str">
        <f>IF(OR(G$105="",$C112=""),"",HLOOKUP(G$105,'Emissions Database'!$CU$3:$DO$251,MATCH($C112,'Emissions Database'!$B$3:$B$251,0),0))</f>
        <v/>
      </c>
      <c r="H112" s="58" t="str">
        <f>IF(OR(H$105="",$C112=""),"",HLOOKUP(H$105,'Emissions Database'!$CU$3:$DO$251,MATCH($C112,'Emissions Database'!$B$3:$B$251,0),0))</f>
        <v/>
      </c>
      <c r="I112" s="58" t="str">
        <f>IF(OR(I$105="",$C112=""),"",HLOOKUP(I$105,'Emissions Database'!$CU$3:$DO$251,MATCH($C112,'Emissions Database'!$B$3:$B$251,0),0))</f>
        <v/>
      </c>
      <c r="J112" s="58" t="str">
        <f>IF(OR(J$105="",$C112=""),"",HLOOKUP(J$105,'Emissions Database'!$CU$3:$DO$251,MATCH($C112,'Emissions Database'!$B$3:$B$251,0),0))</f>
        <v/>
      </c>
      <c r="K112" s="58" t="str">
        <f>IF(OR(K$105="",$C112=""),"",HLOOKUP(K$105,'Emissions Database'!$CU$3:$DO$251,MATCH($C112,'Emissions Database'!$B$3:$B$251,0),0))</f>
        <v/>
      </c>
      <c r="L112" s="58" t="str">
        <f>IF(OR(L$105="",$C112=""),"",HLOOKUP(L$105,'Emissions Database'!$CU$3:$DO$251,MATCH($C112,'Emissions Database'!$B$3:$B$251,0),0))</f>
        <v/>
      </c>
      <c r="M112" s="58" t="str">
        <f>IF(OR(M$105="",$C112=""),"",HLOOKUP(M$105,'Emissions Database'!$CU$3:$DO$251,MATCH($C112,'Emissions Database'!$B$3:$B$251,0),0))</f>
        <v/>
      </c>
      <c r="N112" s="58" t="str">
        <f>IF(OR(N$105="",$C112=""),"",HLOOKUP(N$105,'Emissions Database'!$CU$3:$DO$251,MATCH($C112,'Emissions Database'!$B$3:$B$251,0),0))</f>
        <v/>
      </c>
      <c r="O112" s="58" t="str">
        <f>IF(OR(O$105="",$C112=""),"",HLOOKUP(O$105,'Emissions Database'!$CU$3:$DO$251,MATCH($C112,'Emissions Database'!$B$3:$B$251,0),0))</f>
        <v/>
      </c>
      <c r="P112" s="58" t="str">
        <f>IF(OR(P$105="",$C112=""),"",HLOOKUP(P$105,'Emissions Database'!$CU$3:$DO$251,MATCH($C112,'Emissions Database'!$B$3:$B$251,0),0))</f>
        <v/>
      </c>
      <c r="Q112" s="58" t="str">
        <f>IF(OR(Q$105="",$C112=""),"",HLOOKUP(Q$105,'Emissions Database'!$CU$3:$DO$251,MATCH($C112,'Emissions Database'!$B$3:$B$251,0),0))</f>
        <v/>
      </c>
      <c r="R112" s="58" t="str">
        <f>IF(OR(R$105="",$C112=""),"",HLOOKUP(R$105,'Emissions Database'!$CU$3:$DO$251,MATCH($C112,'Emissions Database'!$B$3:$B$251,0),0))</f>
        <v/>
      </c>
      <c r="S112" s="58" t="str">
        <f>IF(OR(S$105="",$C112=""),"",HLOOKUP(S$105,'Emissions Database'!$CU$3:$DO$251,MATCH($C112,'Emissions Database'!$B$3:$B$251,0),0))</f>
        <v/>
      </c>
      <c r="T112" s="58" t="str">
        <f>IF(OR(T$105="",$C112=""),"",HLOOKUP(T$105,'Emissions Database'!$CU$3:$DO$251,MATCH($C112,'Emissions Database'!$B$3:$B$251,0),0))</f>
        <v/>
      </c>
      <c r="U112" s="58" t="str">
        <f>IF(OR(U$105="",$C112=""),"",HLOOKUP(U$105,'Emissions Database'!$CU$3:$DO$251,MATCH($C112,'Emissions Database'!$B$3:$B$251,0),0))</f>
        <v/>
      </c>
      <c r="V112" s="58" t="str">
        <f>IF(OR(V$105="",$C112=""),"",HLOOKUP(V$105,'Emissions Database'!$CU$3:$DO$251,MATCH($C112,'Emissions Database'!$B$3:$B$251,0),0))</f>
        <v/>
      </c>
      <c r="W112" s="58" t="str">
        <f>IF(OR(W$105="",$C112=""),"",HLOOKUP(W$105,'Emissions Database'!$CU$3:$DO$251,MATCH($C112,'Emissions Database'!$B$3:$B$251,0),0))</f>
        <v/>
      </c>
      <c r="X112" s="58" t="str">
        <f>IF(OR(X$105="",$C112=""),"",HLOOKUP(X$105,'Emissions Database'!$CU$3:$DO$251,MATCH($C112,'Emissions Database'!$B$3:$B$251,0),0))</f>
        <v/>
      </c>
      <c r="Y112" s="58" t="str">
        <f>IF(OR(Y$105="",$C112=""),"",HLOOKUP(Y$105,'Emissions Database'!$CU$3:$DO$251,MATCH($C112,'Emissions Database'!$B$3:$B$251,0),0))</f>
        <v/>
      </c>
    </row>
    <row r="113" spans="2:25" hidden="1" x14ac:dyDescent="0.3">
      <c r="B113" s="66">
        <v>6</v>
      </c>
      <c r="C113" s="34" t="str">
        <f>IF(COUNTIF(Lists!$B$3:$B$22,B113)=0,"",VLOOKUP(B113,Lists!$B$3:$C$22,2,0))</f>
        <v/>
      </c>
      <c r="D113" s="60" t="str">
        <f>IF($C113="","",SUMIF('Emissions Database'!$B$232:$B$251,$C113,'Emissions Database'!$BS$232:$BS$251))</f>
        <v/>
      </c>
      <c r="E113" s="58" t="str">
        <f>IF(OR(E$105="",$C113=""),"",HLOOKUP(E$105,'Emissions Database'!$CU$3:$DO$251,MATCH($C113,'Emissions Database'!$B$3:$B$251,0),0))</f>
        <v/>
      </c>
      <c r="F113" s="58" t="str">
        <f>IF(OR(F$105="",$C113=""),"",HLOOKUP(F$105,'Emissions Database'!$CU$3:$DO$251,MATCH($C113,'Emissions Database'!$B$3:$B$251,0),0))</f>
        <v/>
      </c>
      <c r="G113" s="58" t="str">
        <f>IF(OR(G$105="",$C113=""),"",HLOOKUP(G$105,'Emissions Database'!$CU$3:$DO$251,MATCH($C113,'Emissions Database'!$B$3:$B$251,0),0))</f>
        <v/>
      </c>
      <c r="H113" s="58" t="str">
        <f>IF(OR(H$105="",$C113=""),"",HLOOKUP(H$105,'Emissions Database'!$CU$3:$DO$251,MATCH($C113,'Emissions Database'!$B$3:$B$251,0),0))</f>
        <v/>
      </c>
      <c r="I113" s="58" t="str">
        <f>IF(OR(I$105="",$C113=""),"",HLOOKUP(I$105,'Emissions Database'!$CU$3:$DO$251,MATCH($C113,'Emissions Database'!$B$3:$B$251,0),0))</f>
        <v/>
      </c>
      <c r="J113" s="58" t="str">
        <f>IF(OR(J$105="",$C113=""),"",HLOOKUP(J$105,'Emissions Database'!$CU$3:$DO$251,MATCH($C113,'Emissions Database'!$B$3:$B$251,0),0))</f>
        <v/>
      </c>
      <c r="K113" s="58" t="str">
        <f>IF(OR(K$105="",$C113=""),"",HLOOKUP(K$105,'Emissions Database'!$CU$3:$DO$251,MATCH($C113,'Emissions Database'!$B$3:$B$251,0),0))</f>
        <v/>
      </c>
      <c r="L113" s="58" t="str">
        <f>IF(OR(L$105="",$C113=""),"",HLOOKUP(L$105,'Emissions Database'!$CU$3:$DO$251,MATCH($C113,'Emissions Database'!$B$3:$B$251,0),0))</f>
        <v/>
      </c>
      <c r="M113" s="58" t="str">
        <f>IF(OR(M$105="",$C113=""),"",HLOOKUP(M$105,'Emissions Database'!$CU$3:$DO$251,MATCH($C113,'Emissions Database'!$B$3:$B$251,0),0))</f>
        <v/>
      </c>
      <c r="N113" s="58" t="str">
        <f>IF(OR(N$105="",$C113=""),"",HLOOKUP(N$105,'Emissions Database'!$CU$3:$DO$251,MATCH($C113,'Emissions Database'!$B$3:$B$251,0),0))</f>
        <v/>
      </c>
      <c r="O113" s="58" t="str">
        <f>IF(OR(O$105="",$C113=""),"",HLOOKUP(O$105,'Emissions Database'!$CU$3:$DO$251,MATCH($C113,'Emissions Database'!$B$3:$B$251,0),0))</f>
        <v/>
      </c>
      <c r="P113" s="58" t="str">
        <f>IF(OR(P$105="",$C113=""),"",HLOOKUP(P$105,'Emissions Database'!$CU$3:$DO$251,MATCH($C113,'Emissions Database'!$B$3:$B$251,0),0))</f>
        <v/>
      </c>
      <c r="Q113" s="58" t="str">
        <f>IF(OR(Q$105="",$C113=""),"",HLOOKUP(Q$105,'Emissions Database'!$CU$3:$DO$251,MATCH($C113,'Emissions Database'!$B$3:$B$251,0),0))</f>
        <v/>
      </c>
      <c r="R113" s="58" t="str">
        <f>IF(OR(R$105="",$C113=""),"",HLOOKUP(R$105,'Emissions Database'!$CU$3:$DO$251,MATCH($C113,'Emissions Database'!$B$3:$B$251,0),0))</f>
        <v/>
      </c>
      <c r="S113" s="58" t="str">
        <f>IF(OR(S$105="",$C113=""),"",HLOOKUP(S$105,'Emissions Database'!$CU$3:$DO$251,MATCH($C113,'Emissions Database'!$B$3:$B$251,0),0))</f>
        <v/>
      </c>
      <c r="T113" s="58" t="str">
        <f>IF(OR(T$105="",$C113=""),"",HLOOKUP(T$105,'Emissions Database'!$CU$3:$DO$251,MATCH($C113,'Emissions Database'!$B$3:$B$251,0),0))</f>
        <v/>
      </c>
      <c r="U113" s="58" t="str">
        <f>IF(OR(U$105="",$C113=""),"",HLOOKUP(U$105,'Emissions Database'!$CU$3:$DO$251,MATCH($C113,'Emissions Database'!$B$3:$B$251,0),0))</f>
        <v/>
      </c>
      <c r="V113" s="58" t="str">
        <f>IF(OR(V$105="",$C113=""),"",HLOOKUP(V$105,'Emissions Database'!$CU$3:$DO$251,MATCH($C113,'Emissions Database'!$B$3:$B$251,0),0))</f>
        <v/>
      </c>
      <c r="W113" s="58" t="str">
        <f>IF(OR(W$105="",$C113=""),"",HLOOKUP(W$105,'Emissions Database'!$CU$3:$DO$251,MATCH($C113,'Emissions Database'!$B$3:$B$251,0),0))</f>
        <v/>
      </c>
      <c r="X113" s="58" t="str">
        <f>IF(OR(X$105="",$C113=""),"",HLOOKUP(X$105,'Emissions Database'!$CU$3:$DO$251,MATCH($C113,'Emissions Database'!$B$3:$B$251,0),0))</f>
        <v/>
      </c>
      <c r="Y113" s="58" t="str">
        <f>IF(OR(Y$105="",$C113=""),"",HLOOKUP(Y$105,'Emissions Database'!$CU$3:$DO$251,MATCH($C113,'Emissions Database'!$B$3:$B$251,0),0))</f>
        <v/>
      </c>
    </row>
    <row r="114" spans="2:25" hidden="1" x14ac:dyDescent="0.3">
      <c r="B114" s="66">
        <v>7</v>
      </c>
      <c r="C114" s="34" t="str">
        <f>IF(COUNTIF(Lists!$B$3:$B$22,B114)=0,"",VLOOKUP(B114,Lists!$B$3:$C$22,2,0))</f>
        <v/>
      </c>
      <c r="D114" s="60" t="str">
        <f>IF($C114="","",SUMIF('Emissions Database'!$B$232:$B$251,$C114,'Emissions Database'!$BS$232:$BS$251))</f>
        <v/>
      </c>
      <c r="E114" s="58" t="str">
        <f>IF(OR(E$105="",$C114=""),"",HLOOKUP(E$105,'Emissions Database'!$CU$3:$DO$251,MATCH($C114,'Emissions Database'!$B$3:$B$251,0),0))</f>
        <v/>
      </c>
      <c r="F114" s="58" t="str">
        <f>IF(OR(F$105="",$C114=""),"",HLOOKUP(F$105,'Emissions Database'!$CU$3:$DO$251,MATCH($C114,'Emissions Database'!$B$3:$B$251,0),0))</f>
        <v/>
      </c>
      <c r="G114" s="58" t="str">
        <f>IF(OR(G$105="",$C114=""),"",HLOOKUP(G$105,'Emissions Database'!$CU$3:$DO$251,MATCH($C114,'Emissions Database'!$B$3:$B$251,0),0))</f>
        <v/>
      </c>
      <c r="H114" s="58" t="str">
        <f>IF(OR(H$105="",$C114=""),"",HLOOKUP(H$105,'Emissions Database'!$CU$3:$DO$251,MATCH($C114,'Emissions Database'!$B$3:$B$251,0),0))</f>
        <v/>
      </c>
      <c r="I114" s="58" t="str">
        <f>IF(OR(I$105="",$C114=""),"",HLOOKUP(I$105,'Emissions Database'!$CU$3:$DO$251,MATCH($C114,'Emissions Database'!$B$3:$B$251,0),0))</f>
        <v/>
      </c>
      <c r="J114" s="58" t="str">
        <f>IF(OR(J$105="",$C114=""),"",HLOOKUP(J$105,'Emissions Database'!$CU$3:$DO$251,MATCH($C114,'Emissions Database'!$B$3:$B$251,0),0))</f>
        <v/>
      </c>
      <c r="K114" s="58" t="str">
        <f>IF(OR(K$105="",$C114=""),"",HLOOKUP(K$105,'Emissions Database'!$CU$3:$DO$251,MATCH($C114,'Emissions Database'!$B$3:$B$251,0),0))</f>
        <v/>
      </c>
      <c r="L114" s="58" t="str">
        <f>IF(OR(L$105="",$C114=""),"",HLOOKUP(L$105,'Emissions Database'!$CU$3:$DO$251,MATCH($C114,'Emissions Database'!$B$3:$B$251,0),0))</f>
        <v/>
      </c>
      <c r="M114" s="58" t="str">
        <f>IF(OR(M$105="",$C114=""),"",HLOOKUP(M$105,'Emissions Database'!$CU$3:$DO$251,MATCH($C114,'Emissions Database'!$B$3:$B$251,0),0))</f>
        <v/>
      </c>
      <c r="N114" s="58" t="str">
        <f>IF(OR(N$105="",$C114=""),"",HLOOKUP(N$105,'Emissions Database'!$CU$3:$DO$251,MATCH($C114,'Emissions Database'!$B$3:$B$251,0),0))</f>
        <v/>
      </c>
      <c r="O114" s="58" t="str">
        <f>IF(OR(O$105="",$C114=""),"",HLOOKUP(O$105,'Emissions Database'!$CU$3:$DO$251,MATCH($C114,'Emissions Database'!$B$3:$B$251,0),0))</f>
        <v/>
      </c>
      <c r="P114" s="58" t="str">
        <f>IF(OR(P$105="",$C114=""),"",HLOOKUP(P$105,'Emissions Database'!$CU$3:$DO$251,MATCH($C114,'Emissions Database'!$B$3:$B$251,0),0))</f>
        <v/>
      </c>
      <c r="Q114" s="58" t="str">
        <f>IF(OR(Q$105="",$C114=""),"",HLOOKUP(Q$105,'Emissions Database'!$CU$3:$DO$251,MATCH($C114,'Emissions Database'!$B$3:$B$251,0),0))</f>
        <v/>
      </c>
      <c r="R114" s="58" t="str">
        <f>IF(OR(R$105="",$C114=""),"",HLOOKUP(R$105,'Emissions Database'!$CU$3:$DO$251,MATCH($C114,'Emissions Database'!$B$3:$B$251,0),0))</f>
        <v/>
      </c>
      <c r="S114" s="58" t="str">
        <f>IF(OR(S$105="",$C114=""),"",HLOOKUP(S$105,'Emissions Database'!$CU$3:$DO$251,MATCH($C114,'Emissions Database'!$B$3:$B$251,0),0))</f>
        <v/>
      </c>
      <c r="T114" s="58" t="str">
        <f>IF(OR(T$105="",$C114=""),"",HLOOKUP(T$105,'Emissions Database'!$CU$3:$DO$251,MATCH($C114,'Emissions Database'!$B$3:$B$251,0),0))</f>
        <v/>
      </c>
      <c r="U114" s="58" t="str">
        <f>IF(OR(U$105="",$C114=""),"",HLOOKUP(U$105,'Emissions Database'!$CU$3:$DO$251,MATCH($C114,'Emissions Database'!$B$3:$B$251,0),0))</f>
        <v/>
      </c>
      <c r="V114" s="58" t="str">
        <f>IF(OR(V$105="",$C114=""),"",HLOOKUP(V$105,'Emissions Database'!$CU$3:$DO$251,MATCH($C114,'Emissions Database'!$B$3:$B$251,0),0))</f>
        <v/>
      </c>
      <c r="W114" s="58" t="str">
        <f>IF(OR(W$105="",$C114=""),"",HLOOKUP(W$105,'Emissions Database'!$CU$3:$DO$251,MATCH($C114,'Emissions Database'!$B$3:$B$251,0),0))</f>
        <v/>
      </c>
      <c r="X114" s="58" t="str">
        <f>IF(OR(X$105="",$C114=""),"",HLOOKUP(X$105,'Emissions Database'!$CU$3:$DO$251,MATCH($C114,'Emissions Database'!$B$3:$B$251,0),0))</f>
        <v/>
      </c>
      <c r="Y114" s="58" t="str">
        <f>IF(OR(Y$105="",$C114=""),"",HLOOKUP(Y$105,'Emissions Database'!$CU$3:$DO$251,MATCH($C114,'Emissions Database'!$B$3:$B$251,0),0))</f>
        <v/>
      </c>
    </row>
    <row r="115" spans="2:25" hidden="1" x14ac:dyDescent="0.3">
      <c r="B115" s="66">
        <v>8</v>
      </c>
      <c r="C115" s="34" t="str">
        <f>IF(COUNTIF(Lists!$B$3:$B$22,B115)=0,"",VLOOKUP(B115,Lists!$B$3:$C$22,2,0))</f>
        <v/>
      </c>
      <c r="D115" s="60" t="str">
        <f>IF($C115="","",SUMIF('Emissions Database'!$B$232:$B$251,$C115,'Emissions Database'!$BS$232:$BS$251))</f>
        <v/>
      </c>
      <c r="E115" s="58" t="str">
        <f>IF(OR(E$105="",$C115=""),"",HLOOKUP(E$105,'Emissions Database'!$CU$3:$DO$251,MATCH($C115,'Emissions Database'!$B$3:$B$251,0),0))</f>
        <v/>
      </c>
      <c r="F115" s="58" t="str">
        <f>IF(OR(F$105="",$C115=""),"",HLOOKUP(F$105,'Emissions Database'!$CU$3:$DO$251,MATCH($C115,'Emissions Database'!$B$3:$B$251,0),0))</f>
        <v/>
      </c>
      <c r="G115" s="58" t="str">
        <f>IF(OR(G$105="",$C115=""),"",HLOOKUP(G$105,'Emissions Database'!$CU$3:$DO$251,MATCH($C115,'Emissions Database'!$B$3:$B$251,0),0))</f>
        <v/>
      </c>
      <c r="H115" s="58" t="str">
        <f>IF(OR(H$105="",$C115=""),"",HLOOKUP(H$105,'Emissions Database'!$CU$3:$DO$251,MATCH($C115,'Emissions Database'!$B$3:$B$251,0),0))</f>
        <v/>
      </c>
      <c r="I115" s="58" t="str">
        <f>IF(OR(I$105="",$C115=""),"",HLOOKUP(I$105,'Emissions Database'!$CU$3:$DO$251,MATCH($C115,'Emissions Database'!$B$3:$B$251,0),0))</f>
        <v/>
      </c>
      <c r="J115" s="58" t="str">
        <f>IF(OR(J$105="",$C115=""),"",HLOOKUP(J$105,'Emissions Database'!$CU$3:$DO$251,MATCH($C115,'Emissions Database'!$B$3:$B$251,0),0))</f>
        <v/>
      </c>
      <c r="K115" s="58" t="str">
        <f>IF(OR(K$105="",$C115=""),"",HLOOKUP(K$105,'Emissions Database'!$CU$3:$DO$251,MATCH($C115,'Emissions Database'!$B$3:$B$251,0),0))</f>
        <v/>
      </c>
      <c r="L115" s="58" t="str">
        <f>IF(OR(L$105="",$C115=""),"",HLOOKUP(L$105,'Emissions Database'!$CU$3:$DO$251,MATCH($C115,'Emissions Database'!$B$3:$B$251,0),0))</f>
        <v/>
      </c>
      <c r="M115" s="58" t="str">
        <f>IF(OR(M$105="",$C115=""),"",HLOOKUP(M$105,'Emissions Database'!$CU$3:$DO$251,MATCH($C115,'Emissions Database'!$B$3:$B$251,0),0))</f>
        <v/>
      </c>
      <c r="N115" s="58" t="str">
        <f>IF(OR(N$105="",$C115=""),"",HLOOKUP(N$105,'Emissions Database'!$CU$3:$DO$251,MATCH($C115,'Emissions Database'!$B$3:$B$251,0),0))</f>
        <v/>
      </c>
      <c r="O115" s="58" t="str">
        <f>IF(OR(O$105="",$C115=""),"",HLOOKUP(O$105,'Emissions Database'!$CU$3:$DO$251,MATCH($C115,'Emissions Database'!$B$3:$B$251,0),0))</f>
        <v/>
      </c>
      <c r="P115" s="58" t="str">
        <f>IF(OR(P$105="",$C115=""),"",HLOOKUP(P$105,'Emissions Database'!$CU$3:$DO$251,MATCH($C115,'Emissions Database'!$B$3:$B$251,0),0))</f>
        <v/>
      </c>
      <c r="Q115" s="58" t="str">
        <f>IF(OR(Q$105="",$C115=""),"",HLOOKUP(Q$105,'Emissions Database'!$CU$3:$DO$251,MATCH($C115,'Emissions Database'!$B$3:$B$251,0),0))</f>
        <v/>
      </c>
      <c r="R115" s="58" t="str">
        <f>IF(OR(R$105="",$C115=""),"",HLOOKUP(R$105,'Emissions Database'!$CU$3:$DO$251,MATCH($C115,'Emissions Database'!$B$3:$B$251,0),0))</f>
        <v/>
      </c>
      <c r="S115" s="58" t="str">
        <f>IF(OR(S$105="",$C115=""),"",HLOOKUP(S$105,'Emissions Database'!$CU$3:$DO$251,MATCH($C115,'Emissions Database'!$B$3:$B$251,0),0))</f>
        <v/>
      </c>
      <c r="T115" s="58" t="str">
        <f>IF(OR(T$105="",$C115=""),"",HLOOKUP(T$105,'Emissions Database'!$CU$3:$DO$251,MATCH($C115,'Emissions Database'!$B$3:$B$251,0),0))</f>
        <v/>
      </c>
      <c r="U115" s="58" t="str">
        <f>IF(OR(U$105="",$C115=""),"",HLOOKUP(U$105,'Emissions Database'!$CU$3:$DO$251,MATCH($C115,'Emissions Database'!$B$3:$B$251,0),0))</f>
        <v/>
      </c>
      <c r="V115" s="58" t="str">
        <f>IF(OR(V$105="",$C115=""),"",HLOOKUP(V$105,'Emissions Database'!$CU$3:$DO$251,MATCH($C115,'Emissions Database'!$B$3:$B$251,0),0))</f>
        <v/>
      </c>
      <c r="W115" s="58" t="str">
        <f>IF(OR(W$105="",$C115=""),"",HLOOKUP(W$105,'Emissions Database'!$CU$3:$DO$251,MATCH($C115,'Emissions Database'!$B$3:$B$251,0),0))</f>
        <v/>
      </c>
      <c r="X115" s="58" t="str">
        <f>IF(OR(X$105="",$C115=""),"",HLOOKUP(X$105,'Emissions Database'!$CU$3:$DO$251,MATCH($C115,'Emissions Database'!$B$3:$B$251,0),0))</f>
        <v/>
      </c>
      <c r="Y115" s="58" t="str">
        <f>IF(OR(Y$105="",$C115=""),"",HLOOKUP(Y$105,'Emissions Database'!$CU$3:$DO$251,MATCH($C115,'Emissions Database'!$B$3:$B$251,0),0))</f>
        <v/>
      </c>
    </row>
    <row r="116" spans="2:25" hidden="1" x14ac:dyDescent="0.3">
      <c r="B116" s="66">
        <v>9</v>
      </c>
      <c r="C116" s="34" t="str">
        <f>IF(COUNTIF(Lists!$B$3:$B$22,B116)=0,"",VLOOKUP(B116,Lists!$B$3:$C$22,2,0))</f>
        <v/>
      </c>
      <c r="D116" s="60" t="str">
        <f>IF($C116="","",SUMIF('Emissions Database'!$B$232:$B$251,$C116,'Emissions Database'!$BS$232:$BS$251))</f>
        <v/>
      </c>
      <c r="E116" s="58" t="str">
        <f>IF(OR(E$105="",$C116=""),"",HLOOKUP(E$105,'Emissions Database'!$CU$3:$DO$251,MATCH($C116,'Emissions Database'!$B$3:$B$251,0),0))</f>
        <v/>
      </c>
      <c r="F116" s="58" t="str">
        <f>IF(OR(F$105="",$C116=""),"",HLOOKUP(F$105,'Emissions Database'!$CU$3:$DO$251,MATCH($C116,'Emissions Database'!$B$3:$B$251,0),0))</f>
        <v/>
      </c>
      <c r="G116" s="58" t="str">
        <f>IF(OR(G$105="",$C116=""),"",HLOOKUP(G$105,'Emissions Database'!$CU$3:$DO$251,MATCH($C116,'Emissions Database'!$B$3:$B$251,0),0))</f>
        <v/>
      </c>
      <c r="H116" s="58" t="str">
        <f>IF(OR(H$105="",$C116=""),"",HLOOKUP(H$105,'Emissions Database'!$CU$3:$DO$251,MATCH($C116,'Emissions Database'!$B$3:$B$251,0),0))</f>
        <v/>
      </c>
      <c r="I116" s="58" t="str">
        <f>IF(OR(I$105="",$C116=""),"",HLOOKUP(I$105,'Emissions Database'!$CU$3:$DO$251,MATCH($C116,'Emissions Database'!$B$3:$B$251,0),0))</f>
        <v/>
      </c>
      <c r="J116" s="58" t="str">
        <f>IF(OR(J$105="",$C116=""),"",HLOOKUP(J$105,'Emissions Database'!$CU$3:$DO$251,MATCH($C116,'Emissions Database'!$B$3:$B$251,0),0))</f>
        <v/>
      </c>
      <c r="K116" s="58" t="str">
        <f>IF(OR(K$105="",$C116=""),"",HLOOKUP(K$105,'Emissions Database'!$CU$3:$DO$251,MATCH($C116,'Emissions Database'!$B$3:$B$251,0),0))</f>
        <v/>
      </c>
      <c r="L116" s="58" t="str">
        <f>IF(OR(L$105="",$C116=""),"",HLOOKUP(L$105,'Emissions Database'!$CU$3:$DO$251,MATCH($C116,'Emissions Database'!$B$3:$B$251,0),0))</f>
        <v/>
      </c>
      <c r="M116" s="58" t="str">
        <f>IF(OR(M$105="",$C116=""),"",HLOOKUP(M$105,'Emissions Database'!$CU$3:$DO$251,MATCH($C116,'Emissions Database'!$B$3:$B$251,0),0))</f>
        <v/>
      </c>
      <c r="N116" s="58" t="str">
        <f>IF(OR(N$105="",$C116=""),"",HLOOKUP(N$105,'Emissions Database'!$CU$3:$DO$251,MATCH($C116,'Emissions Database'!$B$3:$B$251,0),0))</f>
        <v/>
      </c>
      <c r="O116" s="58" t="str">
        <f>IF(OR(O$105="",$C116=""),"",HLOOKUP(O$105,'Emissions Database'!$CU$3:$DO$251,MATCH($C116,'Emissions Database'!$B$3:$B$251,0),0))</f>
        <v/>
      </c>
      <c r="P116" s="58" t="str">
        <f>IF(OR(P$105="",$C116=""),"",HLOOKUP(P$105,'Emissions Database'!$CU$3:$DO$251,MATCH($C116,'Emissions Database'!$B$3:$B$251,0),0))</f>
        <v/>
      </c>
      <c r="Q116" s="58" t="str">
        <f>IF(OR(Q$105="",$C116=""),"",HLOOKUP(Q$105,'Emissions Database'!$CU$3:$DO$251,MATCH($C116,'Emissions Database'!$B$3:$B$251,0),0))</f>
        <v/>
      </c>
      <c r="R116" s="58" t="str">
        <f>IF(OR(R$105="",$C116=""),"",HLOOKUP(R$105,'Emissions Database'!$CU$3:$DO$251,MATCH($C116,'Emissions Database'!$B$3:$B$251,0),0))</f>
        <v/>
      </c>
      <c r="S116" s="58" t="str">
        <f>IF(OR(S$105="",$C116=""),"",HLOOKUP(S$105,'Emissions Database'!$CU$3:$DO$251,MATCH($C116,'Emissions Database'!$B$3:$B$251,0),0))</f>
        <v/>
      </c>
      <c r="T116" s="58" t="str">
        <f>IF(OR(T$105="",$C116=""),"",HLOOKUP(T$105,'Emissions Database'!$CU$3:$DO$251,MATCH($C116,'Emissions Database'!$B$3:$B$251,0),0))</f>
        <v/>
      </c>
      <c r="U116" s="58" t="str">
        <f>IF(OR(U$105="",$C116=""),"",HLOOKUP(U$105,'Emissions Database'!$CU$3:$DO$251,MATCH($C116,'Emissions Database'!$B$3:$B$251,0),0))</f>
        <v/>
      </c>
      <c r="V116" s="58" t="str">
        <f>IF(OR(V$105="",$C116=""),"",HLOOKUP(V$105,'Emissions Database'!$CU$3:$DO$251,MATCH($C116,'Emissions Database'!$B$3:$B$251,0),0))</f>
        <v/>
      </c>
      <c r="W116" s="58" t="str">
        <f>IF(OR(W$105="",$C116=""),"",HLOOKUP(W$105,'Emissions Database'!$CU$3:$DO$251,MATCH($C116,'Emissions Database'!$B$3:$B$251,0),0))</f>
        <v/>
      </c>
      <c r="X116" s="58" t="str">
        <f>IF(OR(X$105="",$C116=""),"",HLOOKUP(X$105,'Emissions Database'!$CU$3:$DO$251,MATCH($C116,'Emissions Database'!$B$3:$B$251,0),0))</f>
        <v/>
      </c>
      <c r="Y116" s="58" t="str">
        <f>IF(OR(Y$105="",$C116=""),"",HLOOKUP(Y$105,'Emissions Database'!$CU$3:$DO$251,MATCH($C116,'Emissions Database'!$B$3:$B$251,0),0))</f>
        <v/>
      </c>
    </row>
    <row r="117" spans="2:25" hidden="1" x14ac:dyDescent="0.3">
      <c r="B117" s="66">
        <v>10</v>
      </c>
      <c r="C117" s="34" t="str">
        <f>IF(COUNTIF(Lists!$B$3:$B$22,B117)=0,"",VLOOKUP(B117,Lists!$B$3:$C$22,2,0))</f>
        <v/>
      </c>
      <c r="D117" s="60" t="str">
        <f>IF($C117="","",SUMIF('Emissions Database'!$B$232:$B$251,$C117,'Emissions Database'!$BS$232:$BS$251))</f>
        <v/>
      </c>
      <c r="E117" s="58" t="str">
        <f>IF(OR(E$105="",$C117=""),"",HLOOKUP(E$105,'Emissions Database'!$CU$3:$DO$251,MATCH($C117,'Emissions Database'!$B$3:$B$251,0),0))</f>
        <v/>
      </c>
      <c r="F117" s="58" t="str">
        <f>IF(OR(F$105="",$C117=""),"",HLOOKUP(F$105,'Emissions Database'!$CU$3:$DO$251,MATCH($C117,'Emissions Database'!$B$3:$B$251,0),0))</f>
        <v/>
      </c>
      <c r="G117" s="58" t="str">
        <f>IF(OR(G$105="",$C117=""),"",HLOOKUP(G$105,'Emissions Database'!$CU$3:$DO$251,MATCH($C117,'Emissions Database'!$B$3:$B$251,0),0))</f>
        <v/>
      </c>
      <c r="H117" s="58" t="str">
        <f>IF(OR(H$105="",$C117=""),"",HLOOKUP(H$105,'Emissions Database'!$CU$3:$DO$251,MATCH($C117,'Emissions Database'!$B$3:$B$251,0),0))</f>
        <v/>
      </c>
      <c r="I117" s="58" t="str">
        <f>IF(OR(I$105="",$C117=""),"",HLOOKUP(I$105,'Emissions Database'!$CU$3:$DO$251,MATCH($C117,'Emissions Database'!$B$3:$B$251,0),0))</f>
        <v/>
      </c>
      <c r="J117" s="58" t="str">
        <f>IF(OR(J$105="",$C117=""),"",HLOOKUP(J$105,'Emissions Database'!$CU$3:$DO$251,MATCH($C117,'Emissions Database'!$B$3:$B$251,0),0))</f>
        <v/>
      </c>
      <c r="K117" s="58" t="str">
        <f>IF(OR(K$105="",$C117=""),"",HLOOKUP(K$105,'Emissions Database'!$CU$3:$DO$251,MATCH($C117,'Emissions Database'!$B$3:$B$251,0),0))</f>
        <v/>
      </c>
      <c r="L117" s="58" t="str">
        <f>IF(OR(L$105="",$C117=""),"",HLOOKUP(L$105,'Emissions Database'!$CU$3:$DO$251,MATCH($C117,'Emissions Database'!$B$3:$B$251,0),0))</f>
        <v/>
      </c>
      <c r="M117" s="58" t="str">
        <f>IF(OR(M$105="",$C117=""),"",HLOOKUP(M$105,'Emissions Database'!$CU$3:$DO$251,MATCH($C117,'Emissions Database'!$B$3:$B$251,0),0))</f>
        <v/>
      </c>
      <c r="N117" s="58" t="str">
        <f>IF(OR(N$105="",$C117=""),"",HLOOKUP(N$105,'Emissions Database'!$CU$3:$DO$251,MATCH($C117,'Emissions Database'!$B$3:$B$251,0),0))</f>
        <v/>
      </c>
      <c r="O117" s="58" t="str">
        <f>IF(OR(O$105="",$C117=""),"",HLOOKUP(O$105,'Emissions Database'!$CU$3:$DO$251,MATCH($C117,'Emissions Database'!$B$3:$B$251,0),0))</f>
        <v/>
      </c>
      <c r="P117" s="58" t="str">
        <f>IF(OR(P$105="",$C117=""),"",HLOOKUP(P$105,'Emissions Database'!$CU$3:$DO$251,MATCH($C117,'Emissions Database'!$B$3:$B$251,0),0))</f>
        <v/>
      </c>
      <c r="Q117" s="58" t="str">
        <f>IF(OR(Q$105="",$C117=""),"",HLOOKUP(Q$105,'Emissions Database'!$CU$3:$DO$251,MATCH($C117,'Emissions Database'!$B$3:$B$251,0),0))</f>
        <v/>
      </c>
      <c r="R117" s="58" t="str">
        <f>IF(OR(R$105="",$C117=""),"",HLOOKUP(R$105,'Emissions Database'!$CU$3:$DO$251,MATCH($C117,'Emissions Database'!$B$3:$B$251,0),0))</f>
        <v/>
      </c>
      <c r="S117" s="58" t="str">
        <f>IF(OR(S$105="",$C117=""),"",HLOOKUP(S$105,'Emissions Database'!$CU$3:$DO$251,MATCH($C117,'Emissions Database'!$B$3:$B$251,0),0))</f>
        <v/>
      </c>
      <c r="T117" s="58" t="str">
        <f>IF(OR(T$105="",$C117=""),"",HLOOKUP(T$105,'Emissions Database'!$CU$3:$DO$251,MATCH($C117,'Emissions Database'!$B$3:$B$251,0),0))</f>
        <v/>
      </c>
      <c r="U117" s="58" t="str">
        <f>IF(OR(U$105="",$C117=""),"",HLOOKUP(U$105,'Emissions Database'!$CU$3:$DO$251,MATCH($C117,'Emissions Database'!$B$3:$B$251,0),0))</f>
        <v/>
      </c>
      <c r="V117" s="58" t="str">
        <f>IF(OR(V$105="",$C117=""),"",HLOOKUP(V$105,'Emissions Database'!$CU$3:$DO$251,MATCH($C117,'Emissions Database'!$B$3:$B$251,0),0))</f>
        <v/>
      </c>
      <c r="W117" s="58" t="str">
        <f>IF(OR(W$105="",$C117=""),"",HLOOKUP(W$105,'Emissions Database'!$CU$3:$DO$251,MATCH($C117,'Emissions Database'!$B$3:$B$251,0),0))</f>
        <v/>
      </c>
      <c r="X117" s="58" t="str">
        <f>IF(OR(X$105="",$C117=""),"",HLOOKUP(X$105,'Emissions Database'!$CU$3:$DO$251,MATCH($C117,'Emissions Database'!$B$3:$B$251,0),0))</f>
        <v/>
      </c>
      <c r="Y117" s="58" t="str">
        <f>IF(OR(Y$105="",$C117=""),"",HLOOKUP(Y$105,'Emissions Database'!$CU$3:$DO$251,MATCH($C117,'Emissions Database'!$B$3:$B$251,0),0))</f>
        <v/>
      </c>
    </row>
    <row r="118" spans="2:25" hidden="1" x14ac:dyDescent="0.3">
      <c r="B118" s="66">
        <v>11</v>
      </c>
      <c r="C118" s="34" t="str">
        <f>IF(COUNTIF(Lists!$B$3:$B$22,B118)=0,"",VLOOKUP(B118,Lists!$B$3:$C$22,2,0))</f>
        <v/>
      </c>
      <c r="D118" s="60" t="str">
        <f>IF($C118="","",SUMIF('Emissions Database'!$B$232:$B$251,$C118,'Emissions Database'!$BS$232:$BS$251))</f>
        <v/>
      </c>
      <c r="E118" s="58" t="str">
        <f>IF(OR(E$105="",$C118=""),"",HLOOKUP(E$105,'Emissions Database'!$CU$3:$DO$251,MATCH($C118,'Emissions Database'!$B$3:$B$251,0),0))</f>
        <v/>
      </c>
      <c r="F118" s="58" t="str">
        <f>IF(OR(F$105="",$C118=""),"",HLOOKUP(F$105,'Emissions Database'!$CU$3:$DO$251,MATCH($C118,'Emissions Database'!$B$3:$B$251,0),0))</f>
        <v/>
      </c>
      <c r="G118" s="58" t="str">
        <f>IF(OR(G$105="",$C118=""),"",HLOOKUP(G$105,'Emissions Database'!$CU$3:$DO$251,MATCH($C118,'Emissions Database'!$B$3:$B$251,0),0))</f>
        <v/>
      </c>
      <c r="H118" s="58" t="str">
        <f>IF(OR(H$105="",$C118=""),"",HLOOKUP(H$105,'Emissions Database'!$CU$3:$DO$251,MATCH($C118,'Emissions Database'!$B$3:$B$251,0),0))</f>
        <v/>
      </c>
      <c r="I118" s="58" t="str">
        <f>IF(OR(I$105="",$C118=""),"",HLOOKUP(I$105,'Emissions Database'!$CU$3:$DO$251,MATCH($C118,'Emissions Database'!$B$3:$B$251,0),0))</f>
        <v/>
      </c>
      <c r="J118" s="58" t="str">
        <f>IF(OR(J$105="",$C118=""),"",HLOOKUP(J$105,'Emissions Database'!$CU$3:$DO$251,MATCH($C118,'Emissions Database'!$B$3:$B$251,0),0))</f>
        <v/>
      </c>
      <c r="K118" s="58" t="str">
        <f>IF(OR(K$105="",$C118=""),"",HLOOKUP(K$105,'Emissions Database'!$CU$3:$DO$251,MATCH($C118,'Emissions Database'!$B$3:$B$251,0),0))</f>
        <v/>
      </c>
      <c r="L118" s="58" t="str">
        <f>IF(OR(L$105="",$C118=""),"",HLOOKUP(L$105,'Emissions Database'!$CU$3:$DO$251,MATCH($C118,'Emissions Database'!$B$3:$B$251,0),0))</f>
        <v/>
      </c>
      <c r="M118" s="58" t="str">
        <f>IF(OR(M$105="",$C118=""),"",HLOOKUP(M$105,'Emissions Database'!$CU$3:$DO$251,MATCH($C118,'Emissions Database'!$B$3:$B$251,0),0))</f>
        <v/>
      </c>
      <c r="N118" s="58" t="str">
        <f>IF(OR(N$105="",$C118=""),"",HLOOKUP(N$105,'Emissions Database'!$CU$3:$DO$251,MATCH($C118,'Emissions Database'!$B$3:$B$251,0),0))</f>
        <v/>
      </c>
      <c r="O118" s="58" t="str">
        <f>IF(OR(O$105="",$C118=""),"",HLOOKUP(O$105,'Emissions Database'!$CU$3:$DO$251,MATCH($C118,'Emissions Database'!$B$3:$B$251,0),0))</f>
        <v/>
      </c>
      <c r="P118" s="58" t="str">
        <f>IF(OR(P$105="",$C118=""),"",HLOOKUP(P$105,'Emissions Database'!$CU$3:$DO$251,MATCH($C118,'Emissions Database'!$B$3:$B$251,0),0))</f>
        <v/>
      </c>
      <c r="Q118" s="58" t="str">
        <f>IF(OR(Q$105="",$C118=""),"",HLOOKUP(Q$105,'Emissions Database'!$CU$3:$DO$251,MATCH($C118,'Emissions Database'!$B$3:$B$251,0),0))</f>
        <v/>
      </c>
      <c r="R118" s="58" t="str">
        <f>IF(OR(R$105="",$C118=""),"",HLOOKUP(R$105,'Emissions Database'!$CU$3:$DO$251,MATCH($C118,'Emissions Database'!$B$3:$B$251,0),0))</f>
        <v/>
      </c>
      <c r="S118" s="58" t="str">
        <f>IF(OR(S$105="",$C118=""),"",HLOOKUP(S$105,'Emissions Database'!$CU$3:$DO$251,MATCH($C118,'Emissions Database'!$B$3:$B$251,0),0))</f>
        <v/>
      </c>
      <c r="T118" s="58" t="str">
        <f>IF(OR(T$105="",$C118=""),"",HLOOKUP(T$105,'Emissions Database'!$CU$3:$DO$251,MATCH($C118,'Emissions Database'!$B$3:$B$251,0),0))</f>
        <v/>
      </c>
      <c r="U118" s="58" t="str">
        <f>IF(OR(U$105="",$C118=""),"",HLOOKUP(U$105,'Emissions Database'!$CU$3:$DO$251,MATCH($C118,'Emissions Database'!$B$3:$B$251,0),0))</f>
        <v/>
      </c>
      <c r="V118" s="58" t="str">
        <f>IF(OR(V$105="",$C118=""),"",HLOOKUP(V$105,'Emissions Database'!$CU$3:$DO$251,MATCH($C118,'Emissions Database'!$B$3:$B$251,0),0))</f>
        <v/>
      </c>
      <c r="W118" s="58" t="str">
        <f>IF(OR(W$105="",$C118=""),"",HLOOKUP(W$105,'Emissions Database'!$CU$3:$DO$251,MATCH($C118,'Emissions Database'!$B$3:$B$251,0),0))</f>
        <v/>
      </c>
      <c r="X118" s="58" t="str">
        <f>IF(OR(X$105="",$C118=""),"",HLOOKUP(X$105,'Emissions Database'!$CU$3:$DO$251,MATCH($C118,'Emissions Database'!$B$3:$B$251,0),0))</f>
        <v/>
      </c>
      <c r="Y118" s="58" t="str">
        <f>IF(OR(Y$105="",$C118=""),"",HLOOKUP(Y$105,'Emissions Database'!$CU$3:$DO$251,MATCH($C118,'Emissions Database'!$B$3:$B$251,0),0))</f>
        <v/>
      </c>
    </row>
    <row r="119" spans="2:25" hidden="1" x14ac:dyDescent="0.3">
      <c r="B119" s="66">
        <v>12</v>
      </c>
      <c r="C119" s="34" t="str">
        <f>IF(COUNTIF(Lists!$B$3:$B$22,B119)=0,"",VLOOKUP(B119,Lists!$B$3:$C$22,2,0))</f>
        <v/>
      </c>
      <c r="D119" s="60" t="str">
        <f>IF($C119="","",SUMIF('Emissions Database'!$B$232:$B$251,$C119,'Emissions Database'!$BS$232:$BS$251))</f>
        <v/>
      </c>
      <c r="E119" s="58" t="str">
        <f>IF(OR(E$105="",$C119=""),"",HLOOKUP(E$105,'Emissions Database'!$CU$3:$DO$251,MATCH($C119,'Emissions Database'!$B$3:$B$251,0),0))</f>
        <v/>
      </c>
      <c r="F119" s="58" t="str">
        <f>IF(OR(F$105="",$C119=""),"",HLOOKUP(F$105,'Emissions Database'!$CU$3:$DO$251,MATCH($C119,'Emissions Database'!$B$3:$B$251,0),0))</f>
        <v/>
      </c>
      <c r="G119" s="58" t="str">
        <f>IF(OR(G$105="",$C119=""),"",HLOOKUP(G$105,'Emissions Database'!$CU$3:$DO$251,MATCH($C119,'Emissions Database'!$B$3:$B$251,0),0))</f>
        <v/>
      </c>
      <c r="H119" s="58" t="str">
        <f>IF(OR(H$105="",$C119=""),"",HLOOKUP(H$105,'Emissions Database'!$CU$3:$DO$251,MATCH($C119,'Emissions Database'!$B$3:$B$251,0),0))</f>
        <v/>
      </c>
      <c r="I119" s="58" t="str">
        <f>IF(OR(I$105="",$C119=""),"",HLOOKUP(I$105,'Emissions Database'!$CU$3:$DO$251,MATCH($C119,'Emissions Database'!$B$3:$B$251,0),0))</f>
        <v/>
      </c>
      <c r="J119" s="58" t="str">
        <f>IF(OR(J$105="",$C119=""),"",HLOOKUP(J$105,'Emissions Database'!$CU$3:$DO$251,MATCH($C119,'Emissions Database'!$B$3:$B$251,0),0))</f>
        <v/>
      </c>
      <c r="K119" s="58" t="str">
        <f>IF(OR(K$105="",$C119=""),"",HLOOKUP(K$105,'Emissions Database'!$CU$3:$DO$251,MATCH($C119,'Emissions Database'!$B$3:$B$251,0),0))</f>
        <v/>
      </c>
      <c r="L119" s="58" t="str">
        <f>IF(OR(L$105="",$C119=""),"",HLOOKUP(L$105,'Emissions Database'!$CU$3:$DO$251,MATCH($C119,'Emissions Database'!$B$3:$B$251,0),0))</f>
        <v/>
      </c>
      <c r="M119" s="58" t="str">
        <f>IF(OR(M$105="",$C119=""),"",HLOOKUP(M$105,'Emissions Database'!$CU$3:$DO$251,MATCH($C119,'Emissions Database'!$B$3:$B$251,0),0))</f>
        <v/>
      </c>
      <c r="N119" s="58" t="str">
        <f>IF(OR(N$105="",$C119=""),"",HLOOKUP(N$105,'Emissions Database'!$CU$3:$DO$251,MATCH($C119,'Emissions Database'!$B$3:$B$251,0),0))</f>
        <v/>
      </c>
      <c r="O119" s="58" t="str">
        <f>IF(OR(O$105="",$C119=""),"",HLOOKUP(O$105,'Emissions Database'!$CU$3:$DO$251,MATCH($C119,'Emissions Database'!$B$3:$B$251,0),0))</f>
        <v/>
      </c>
      <c r="P119" s="58" t="str">
        <f>IF(OR(P$105="",$C119=""),"",HLOOKUP(P$105,'Emissions Database'!$CU$3:$DO$251,MATCH($C119,'Emissions Database'!$B$3:$B$251,0),0))</f>
        <v/>
      </c>
      <c r="Q119" s="58" t="str">
        <f>IF(OR(Q$105="",$C119=""),"",HLOOKUP(Q$105,'Emissions Database'!$CU$3:$DO$251,MATCH($C119,'Emissions Database'!$B$3:$B$251,0),0))</f>
        <v/>
      </c>
      <c r="R119" s="58" t="str">
        <f>IF(OR(R$105="",$C119=""),"",HLOOKUP(R$105,'Emissions Database'!$CU$3:$DO$251,MATCH($C119,'Emissions Database'!$B$3:$B$251,0),0))</f>
        <v/>
      </c>
      <c r="S119" s="58" t="str">
        <f>IF(OR(S$105="",$C119=""),"",HLOOKUP(S$105,'Emissions Database'!$CU$3:$DO$251,MATCH($C119,'Emissions Database'!$B$3:$B$251,0),0))</f>
        <v/>
      </c>
      <c r="T119" s="58" t="str">
        <f>IF(OR(T$105="",$C119=""),"",HLOOKUP(T$105,'Emissions Database'!$CU$3:$DO$251,MATCH($C119,'Emissions Database'!$B$3:$B$251,0),0))</f>
        <v/>
      </c>
      <c r="U119" s="58" t="str">
        <f>IF(OR(U$105="",$C119=""),"",HLOOKUP(U$105,'Emissions Database'!$CU$3:$DO$251,MATCH($C119,'Emissions Database'!$B$3:$B$251,0),0))</f>
        <v/>
      </c>
      <c r="V119" s="58" t="str">
        <f>IF(OR(V$105="",$C119=""),"",HLOOKUP(V$105,'Emissions Database'!$CU$3:$DO$251,MATCH($C119,'Emissions Database'!$B$3:$B$251,0),0))</f>
        <v/>
      </c>
      <c r="W119" s="58" t="str">
        <f>IF(OR(W$105="",$C119=""),"",HLOOKUP(W$105,'Emissions Database'!$CU$3:$DO$251,MATCH($C119,'Emissions Database'!$B$3:$B$251,0),0))</f>
        <v/>
      </c>
      <c r="X119" s="58" t="str">
        <f>IF(OR(X$105="",$C119=""),"",HLOOKUP(X$105,'Emissions Database'!$CU$3:$DO$251,MATCH($C119,'Emissions Database'!$B$3:$B$251,0),0))</f>
        <v/>
      </c>
      <c r="Y119" s="58" t="str">
        <f>IF(OR(Y$105="",$C119=""),"",HLOOKUP(Y$105,'Emissions Database'!$CU$3:$DO$251,MATCH($C119,'Emissions Database'!$B$3:$B$251,0),0))</f>
        <v/>
      </c>
    </row>
    <row r="120" spans="2:25" hidden="1" x14ac:dyDescent="0.3">
      <c r="B120" s="66">
        <v>13</v>
      </c>
      <c r="C120" s="34" t="str">
        <f>IF(COUNTIF(Lists!$B$3:$B$22,B120)=0,"",VLOOKUP(B120,Lists!$B$3:$C$22,2,0))</f>
        <v/>
      </c>
      <c r="D120" s="60" t="str">
        <f>IF($C120="","",SUMIF('Emissions Database'!$B$232:$B$251,$C120,'Emissions Database'!$BS$232:$BS$251))</f>
        <v/>
      </c>
      <c r="E120" s="58" t="str">
        <f>IF(OR(E$105="",$C120=""),"",HLOOKUP(E$105,'Emissions Database'!$CU$3:$DO$251,MATCH($C120,'Emissions Database'!$B$3:$B$251,0),0))</f>
        <v/>
      </c>
      <c r="F120" s="58" t="str">
        <f>IF(OR(F$105="",$C120=""),"",HLOOKUP(F$105,'Emissions Database'!$CU$3:$DO$251,MATCH($C120,'Emissions Database'!$B$3:$B$251,0),0))</f>
        <v/>
      </c>
      <c r="G120" s="58" t="str">
        <f>IF(OR(G$105="",$C120=""),"",HLOOKUP(G$105,'Emissions Database'!$CU$3:$DO$251,MATCH($C120,'Emissions Database'!$B$3:$B$251,0),0))</f>
        <v/>
      </c>
      <c r="H120" s="58" t="str">
        <f>IF(OR(H$105="",$C120=""),"",HLOOKUP(H$105,'Emissions Database'!$CU$3:$DO$251,MATCH($C120,'Emissions Database'!$B$3:$B$251,0),0))</f>
        <v/>
      </c>
      <c r="I120" s="58" t="str">
        <f>IF(OR(I$105="",$C120=""),"",HLOOKUP(I$105,'Emissions Database'!$CU$3:$DO$251,MATCH($C120,'Emissions Database'!$B$3:$B$251,0),0))</f>
        <v/>
      </c>
      <c r="J120" s="58" t="str">
        <f>IF(OR(J$105="",$C120=""),"",HLOOKUP(J$105,'Emissions Database'!$CU$3:$DO$251,MATCH($C120,'Emissions Database'!$B$3:$B$251,0),0))</f>
        <v/>
      </c>
      <c r="K120" s="58" t="str">
        <f>IF(OR(K$105="",$C120=""),"",HLOOKUP(K$105,'Emissions Database'!$CU$3:$DO$251,MATCH($C120,'Emissions Database'!$B$3:$B$251,0),0))</f>
        <v/>
      </c>
      <c r="L120" s="58" t="str">
        <f>IF(OR(L$105="",$C120=""),"",HLOOKUP(L$105,'Emissions Database'!$CU$3:$DO$251,MATCH($C120,'Emissions Database'!$B$3:$B$251,0),0))</f>
        <v/>
      </c>
      <c r="M120" s="58" t="str">
        <f>IF(OR(M$105="",$C120=""),"",HLOOKUP(M$105,'Emissions Database'!$CU$3:$DO$251,MATCH($C120,'Emissions Database'!$B$3:$B$251,0),0))</f>
        <v/>
      </c>
      <c r="N120" s="58" t="str">
        <f>IF(OR(N$105="",$C120=""),"",HLOOKUP(N$105,'Emissions Database'!$CU$3:$DO$251,MATCH($C120,'Emissions Database'!$B$3:$B$251,0),0))</f>
        <v/>
      </c>
      <c r="O120" s="58" t="str">
        <f>IF(OR(O$105="",$C120=""),"",HLOOKUP(O$105,'Emissions Database'!$CU$3:$DO$251,MATCH($C120,'Emissions Database'!$B$3:$B$251,0),0))</f>
        <v/>
      </c>
      <c r="P120" s="58" t="str">
        <f>IF(OR(P$105="",$C120=""),"",HLOOKUP(P$105,'Emissions Database'!$CU$3:$DO$251,MATCH($C120,'Emissions Database'!$B$3:$B$251,0),0))</f>
        <v/>
      </c>
      <c r="Q120" s="58" t="str">
        <f>IF(OR(Q$105="",$C120=""),"",HLOOKUP(Q$105,'Emissions Database'!$CU$3:$DO$251,MATCH($C120,'Emissions Database'!$B$3:$B$251,0),0))</f>
        <v/>
      </c>
      <c r="R120" s="58" t="str">
        <f>IF(OR(R$105="",$C120=""),"",HLOOKUP(R$105,'Emissions Database'!$CU$3:$DO$251,MATCH($C120,'Emissions Database'!$B$3:$B$251,0),0))</f>
        <v/>
      </c>
      <c r="S120" s="58" t="str">
        <f>IF(OR(S$105="",$C120=""),"",HLOOKUP(S$105,'Emissions Database'!$CU$3:$DO$251,MATCH($C120,'Emissions Database'!$B$3:$B$251,0),0))</f>
        <v/>
      </c>
      <c r="T120" s="58" t="str">
        <f>IF(OR(T$105="",$C120=""),"",HLOOKUP(T$105,'Emissions Database'!$CU$3:$DO$251,MATCH($C120,'Emissions Database'!$B$3:$B$251,0),0))</f>
        <v/>
      </c>
      <c r="U120" s="58" t="str">
        <f>IF(OR(U$105="",$C120=""),"",HLOOKUP(U$105,'Emissions Database'!$CU$3:$DO$251,MATCH($C120,'Emissions Database'!$B$3:$B$251,0),0))</f>
        <v/>
      </c>
      <c r="V120" s="58" t="str">
        <f>IF(OR(V$105="",$C120=""),"",HLOOKUP(V$105,'Emissions Database'!$CU$3:$DO$251,MATCH($C120,'Emissions Database'!$B$3:$B$251,0),0))</f>
        <v/>
      </c>
      <c r="W120" s="58" t="str">
        <f>IF(OR(W$105="",$C120=""),"",HLOOKUP(W$105,'Emissions Database'!$CU$3:$DO$251,MATCH($C120,'Emissions Database'!$B$3:$B$251,0),0))</f>
        <v/>
      </c>
      <c r="X120" s="58" t="str">
        <f>IF(OR(X$105="",$C120=""),"",HLOOKUP(X$105,'Emissions Database'!$CU$3:$DO$251,MATCH($C120,'Emissions Database'!$B$3:$B$251,0),0))</f>
        <v/>
      </c>
      <c r="Y120" s="58" t="str">
        <f>IF(OR(Y$105="",$C120=""),"",HLOOKUP(Y$105,'Emissions Database'!$CU$3:$DO$251,MATCH($C120,'Emissions Database'!$B$3:$B$251,0),0))</f>
        <v/>
      </c>
    </row>
    <row r="121" spans="2:25" hidden="1" x14ac:dyDescent="0.3">
      <c r="B121" s="66">
        <v>14</v>
      </c>
      <c r="C121" s="34" t="str">
        <f>IF(COUNTIF(Lists!$B$3:$B$22,B121)=0,"",VLOOKUP(B121,Lists!$B$3:$C$22,2,0))</f>
        <v/>
      </c>
      <c r="D121" s="60" t="str">
        <f>IF($C121="","",SUMIF('Emissions Database'!$B$232:$B$251,$C121,'Emissions Database'!$BS$232:$BS$251))</f>
        <v/>
      </c>
      <c r="E121" s="58" t="str">
        <f>IF(OR(E$105="",$C121=""),"",HLOOKUP(E$105,'Emissions Database'!$CU$3:$DO$251,MATCH($C121,'Emissions Database'!$B$3:$B$251,0),0))</f>
        <v/>
      </c>
      <c r="F121" s="58" t="str">
        <f>IF(OR(F$105="",$C121=""),"",HLOOKUP(F$105,'Emissions Database'!$CU$3:$DO$251,MATCH($C121,'Emissions Database'!$B$3:$B$251,0),0))</f>
        <v/>
      </c>
      <c r="G121" s="58" t="str">
        <f>IF(OR(G$105="",$C121=""),"",HLOOKUP(G$105,'Emissions Database'!$CU$3:$DO$251,MATCH($C121,'Emissions Database'!$B$3:$B$251,0),0))</f>
        <v/>
      </c>
      <c r="H121" s="58" t="str">
        <f>IF(OR(H$105="",$C121=""),"",HLOOKUP(H$105,'Emissions Database'!$CU$3:$DO$251,MATCH($C121,'Emissions Database'!$B$3:$B$251,0),0))</f>
        <v/>
      </c>
      <c r="I121" s="58" t="str">
        <f>IF(OR(I$105="",$C121=""),"",HLOOKUP(I$105,'Emissions Database'!$CU$3:$DO$251,MATCH($C121,'Emissions Database'!$B$3:$B$251,0),0))</f>
        <v/>
      </c>
      <c r="J121" s="58" t="str">
        <f>IF(OR(J$105="",$C121=""),"",HLOOKUP(J$105,'Emissions Database'!$CU$3:$DO$251,MATCH($C121,'Emissions Database'!$B$3:$B$251,0),0))</f>
        <v/>
      </c>
      <c r="K121" s="58" t="str">
        <f>IF(OR(K$105="",$C121=""),"",HLOOKUP(K$105,'Emissions Database'!$CU$3:$DO$251,MATCH($C121,'Emissions Database'!$B$3:$B$251,0),0))</f>
        <v/>
      </c>
      <c r="L121" s="58" t="str">
        <f>IF(OR(L$105="",$C121=""),"",HLOOKUP(L$105,'Emissions Database'!$CU$3:$DO$251,MATCH($C121,'Emissions Database'!$B$3:$B$251,0),0))</f>
        <v/>
      </c>
      <c r="M121" s="58" t="str">
        <f>IF(OR(M$105="",$C121=""),"",HLOOKUP(M$105,'Emissions Database'!$CU$3:$DO$251,MATCH($C121,'Emissions Database'!$B$3:$B$251,0),0))</f>
        <v/>
      </c>
      <c r="N121" s="58" t="str">
        <f>IF(OR(N$105="",$C121=""),"",HLOOKUP(N$105,'Emissions Database'!$CU$3:$DO$251,MATCH($C121,'Emissions Database'!$B$3:$B$251,0),0))</f>
        <v/>
      </c>
      <c r="O121" s="58" t="str">
        <f>IF(OR(O$105="",$C121=""),"",HLOOKUP(O$105,'Emissions Database'!$CU$3:$DO$251,MATCH($C121,'Emissions Database'!$B$3:$B$251,0),0))</f>
        <v/>
      </c>
      <c r="P121" s="58" t="str">
        <f>IF(OR(P$105="",$C121=""),"",HLOOKUP(P$105,'Emissions Database'!$CU$3:$DO$251,MATCH($C121,'Emissions Database'!$B$3:$B$251,0),0))</f>
        <v/>
      </c>
      <c r="Q121" s="58" t="str">
        <f>IF(OR(Q$105="",$C121=""),"",HLOOKUP(Q$105,'Emissions Database'!$CU$3:$DO$251,MATCH($C121,'Emissions Database'!$B$3:$B$251,0),0))</f>
        <v/>
      </c>
      <c r="R121" s="58" t="str">
        <f>IF(OR(R$105="",$C121=""),"",HLOOKUP(R$105,'Emissions Database'!$CU$3:$DO$251,MATCH($C121,'Emissions Database'!$B$3:$B$251,0),0))</f>
        <v/>
      </c>
      <c r="S121" s="58" t="str">
        <f>IF(OR(S$105="",$C121=""),"",HLOOKUP(S$105,'Emissions Database'!$CU$3:$DO$251,MATCH($C121,'Emissions Database'!$B$3:$B$251,0),0))</f>
        <v/>
      </c>
      <c r="T121" s="58" t="str">
        <f>IF(OR(T$105="",$C121=""),"",HLOOKUP(T$105,'Emissions Database'!$CU$3:$DO$251,MATCH($C121,'Emissions Database'!$B$3:$B$251,0),0))</f>
        <v/>
      </c>
      <c r="U121" s="58" t="str">
        <f>IF(OR(U$105="",$C121=""),"",HLOOKUP(U$105,'Emissions Database'!$CU$3:$DO$251,MATCH($C121,'Emissions Database'!$B$3:$B$251,0),0))</f>
        <v/>
      </c>
      <c r="V121" s="58" t="str">
        <f>IF(OR(V$105="",$C121=""),"",HLOOKUP(V$105,'Emissions Database'!$CU$3:$DO$251,MATCH($C121,'Emissions Database'!$B$3:$B$251,0),0))</f>
        <v/>
      </c>
      <c r="W121" s="58" t="str">
        <f>IF(OR(W$105="",$C121=""),"",HLOOKUP(W$105,'Emissions Database'!$CU$3:$DO$251,MATCH($C121,'Emissions Database'!$B$3:$B$251,0),0))</f>
        <v/>
      </c>
      <c r="X121" s="58" t="str">
        <f>IF(OR(X$105="",$C121=""),"",HLOOKUP(X$105,'Emissions Database'!$CU$3:$DO$251,MATCH($C121,'Emissions Database'!$B$3:$B$251,0),0))</f>
        <v/>
      </c>
      <c r="Y121" s="58" t="str">
        <f>IF(OR(Y$105="",$C121=""),"",HLOOKUP(Y$105,'Emissions Database'!$CU$3:$DO$251,MATCH($C121,'Emissions Database'!$B$3:$B$251,0),0))</f>
        <v/>
      </c>
    </row>
    <row r="122" spans="2:25" hidden="1" x14ac:dyDescent="0.3">
      <c r="B122" s="66">
        <v>15</v>
      </c>
      <c r="C122" s="34" t="str">
        <f>IF(COUNTIF(Lists!$B$3:$B$22,B122)=0,"",VLOOKUP(B122,Lists!$B$3:$C$22,2,0))</f>
        <v/>
      </c>
      <c r="D122" s="60" t="str">
        <f>IF($C122="","",SUMIF('Emissions Database'!$B$232:$B$251,$C122,'Emissions Database'!$BS$232:$BS$251))</f>
        <v/>
      </c>
      <c r="E122" s="58" t="str">
        <f>IF(OR(E$105="",$C122=""),"",HLOOKUP(E$105,'Emissions Database'!$CU$3:$DO$251,MATCH($C122,'Emissions Database'!$B$3:$B$251,0),0))</f>
        <v/>
      </c>
      <c r="F122" s="58" t="str">
        <f>IF(OR(F$105="",$C122=""),"",HLOOKUP(F$105,'Emissions Database'!$CU$3:$DO$251,MATCH($C122,'Emissions Database'!$B$3:$B$251,0),0))</f>
        <v/>
      </c>
      <c r="G122" s="58" t="str">
        <f>IF(OR(G$105="",$C122=""),"",HLOOKUP(G$105,'Emissions Database'!$CU$3:$DO$251,MATCH($C122,'Emissions Database'!$B$3:$B$251,0),0))</f>
        <v/>
      </c>
      <c r="H122" s="58" t="str">
        <f>IF(OR(H$105="",$C122=""),"",HLOOKUP(H$105,'Emissions Database'!$CU$3:$DO$251,MATCH($C122,'Emissions Database'!$B$3:$B$251,0),0))</f>
        <v/>
      </c>
      <c r="I122" s="58" t="str">
        <f>IF(OR(I$105="",$C122=""),"",HLOOKUP(I$105,'Emissions Database'!$CU$3:$DO$251,MATCH($C122,'Emissions Database'!$B$3:$B$251,0),0))</f>
        <v/>
      </c>
      <c r="J122" s="58" t="str">
        <f>IF(OR(J$105="",$C122=""),"",HLOOKUP(J$105,'Emissions Database'!$CU$3:$DO$251,MATCH($C122,'Emissions Database'!$B$3:$B$251,0),0))</f>
        <v/>
      </c>
      <c r="K122" s="58" t="str">
        <f>IF(OR(K$105="",$C122=""),"",HLOOKUP(K$105,'Emissions Database'!$CU$3:$DO$251,MATCH($C122,'Emissions Database'!$B$3:$B$251,0),0))</f>
        <v/>
      </c>
      <c r="L122" s="58" t="str">
        <f>IF(OR(L$105="",$C122=""),"",HLOOKUP(L$105,'Emissions Database'!$CU$3:$DO$251,MATCH($C122,'Emissions Database'!$B$3:$B$251,0),0))</f>
        <v/>
      </c>
      <c r="M122" s="58" t="str">
        <f>IF(OR(M$105="",$C122=""),"",HLOOKUP(M$105,'Emissions Database'!$CU$3:$DO$251,MATCH($C122,'Emissions Database'!$B$3:$B$251,0),0))</f>
        <v/>
      </c>
      <c r="N122" s="58" t="str">
        <f>IF(OR(N$105="",$C122=""),"",HLOOKUP(N$105,'Emissions Database'!$CU$3:$DO$251,MATCH($C122,'Emissions Database'!$B$3:$B$251,0),0))</f>
        <v/>
      </c>
      <c r="O122" s="58" t="str">
        <f>IF(OR(O$105="",$C122=""),"",HLOOKUP(O$105,'Emissions Database'!$CU$3:$DO$251,MATCH($C122,'Emissions Database'!$B$3:$B$251,0),0))</f>
        <v/>
      </c>
      <c r="P122" s="58" t="str">
        <f>IF(OR(P$105="",$C122=""),"",HLOOKUP(P$105,'Emissions Database'!$CU$3:$DO$251,MATCH($C122,'Emissions Database'!$B$3:$B$251,0),0))</f>
        <v/>
      </c>
      <c r="Q122" s="58" t="str">
        <f>IF(OR(Q$105="",$C122=""),"",HLOOKUP(Q$105,'Emissions Database'!$CU$3:$DO$251,MATCH($C122,'Emissions Database'!$B$3:$B$251,0),0))</f>
        <v/>
      </c>
      <c r="R122" s="58" t="str">
        <f>IF(OR(R$105="",$C122=""),"",HLOOKUP(R$105,'Emissions Database'!$CU$3:$DO$251,MATCH($C122,'Emissions Database'!$B$3:$B$251,0),0))</f>
        <v/>
      </c>
      <c r="S122" s="58" t="str">
        <f>IF(OR(S$105="",$C122=""),"",HLOOKUP(S$105,'Emissions Database'!$CU$3:$DO$251,MATCH($C122,'Emissions Database'!$B$3:$B$251,0),0))</f>
        <v/>
      </c>
      <c r="T122" s="58" t="str">
        <f>IF(OR(T$105="",$C122=""),"",HLOOKUP(T$105,'Emissions Database'!$CU$3:$DO$251,MATCH($C122,'Emissions Database'!$B$3:$B$251,0),0))</f>
        <v/>
      </c>
      <c r="U122" s="58" t="str">
        <f>IF(OR(U$105="",$C122=""),"",HLOOKUP(U$105,'Emissions Database'!$CU$3:$DO$251,MATCH($C122,'Emissions Database'!$B$3:$B$251,0),0))</f>
        <v/>
      </c>
      <c r="V122" s="58" t="str">
        <f>IF(OR(V$105="",$C122=""),"",HLOOKUP(V$105,'Emissions Database'!$CU$3:$DO$251,MATCH($C122,'Emissions Database'!$B$3:$B$251,0),0))</f>
        <v/>
      </c>
      <c r="W122" s="58" t="str">
        <f>IF(OR(W$105="",$C122=""),"",HLOOKUP(W$105,'Emissions Database'!$CU$3:$DO$251,MATCH($C122,'Emissions Database'!$B$3:$B$251,0),0))</f>
        <v/>
      </c>
      <c r="X122" s="58" t="str">
        <f>IF(OR(X$105="",$C122=""),"",HLOOKUP(X$105,'Emissions Database'!$CU$3:$DO$251,MATCH($C122,'Emissions Database'!$B$3:$B$251,0),0))</f>
        <v/>
      </c>
      <c r="Y122" s="58" t="str">
        <f>IF(OR(Y$105="",$C122=""),"",HLOOKUP(Y$105,'Emissions Database'!$CU$3:$DO$251,MATCH($C122,'Emissions Database'!$B$3:$B$251,0),0))</f>
        <v/>
      </c>
    </row>
    <row r="123" spans="2:25" hidden="1" x14ac:dyDescent="0.3">
      <c r="B123" s="66">
        <v>16</v>
      </c>
      <c r="C123" s="34" t="str">
        <f>IF(COUNTIF(Lists!$B$3:$B$22,B123)=0,"",VLOOKUP(B123,Lists!$B$3:$C$22,2,0))</f>
        <v/>
      </c>
      <c r="D123" s="60" t="str">
        <f>IF($C123="","",SUMIF('Emissions Database'!$B$232:$B$251,$C123,'Emissions Database'!$BS$232:$BS$251))</f>
        <v/>
      </c>
      <c r="E123" s="58" t="str">
        <f>IF(OR(E$105="",$C123=""),"",HLOOKUP(E$105,'Emissions Database'!$CU$3:$DO$251,MATCH($C123,'Emissions Database'!$B$3:$B$251,0),0))</f>
        <v/>
      </c>
      <c r="F123" s="58" t="str">
        <f>IF(OR(F$105="",$C123=""),"",HLOOKUP(F$105,'Emissions Database'!$CU$3:$DO$251,MATCH($C123,'Emissions Database'!$B$3:$B$251,0),0))</f>
        <v/>
      </c>
      <c r="G123" s="58" t="str">
        <f>IF(OR(G$105="",$C123=""),"",HLOOKUP(G$105,'Emissions Database'!$CU$3:$DO$251,MATCH($C123,'Emissions Database'!$B$3:$B$251,0),0))</f>
        <v/>
      </c>
      <c r="H123" s="58" t="str">
        <f>IF(OR(H$105="",$C123=""),"",HLOOKUP(H$105,'Emissions Database'!$CU$3:$DO$251,MATCH($C123,'Emissions Database'!$B$3:$B$251,0),0))</f>
        <v/>
      </c>
      <c r="I123" s="58" t="str">
        <f>IF(OR(I$105="",$C123=""),"",HLOOKUP(I$105,'Emissions Database'!$CU$3:$DO$251,MATCH($C123,'Emissions Database'!$B$3:$B$251,0),0))</f>
        <v/>
      </c>
      <c r="J123" s="58" t="str">
        <f>IF(OR(J$105="",$C123=""),"",HLOOKUP(J$105,'Emissions Database'!$CU$3:$DO$251,MATCH($C123,'Emissions Database'!$B$3:$B$251,0),0))</f>
        <v/>
      </c>
      <c r="K123" s="58" t="str">
        <f>IF(OR(K$105="",$C123=""),"",HLOOKUP(K$105,'Emissions Database'!$CU$3:$DO$251,MATCH($C123,'Emissions Database'!$B$3:$B$251,0),0))</f>
        <v/>
      </c>
      <c r="L123" s="58" t="str">
        <f>IF(OR(L$105="",$C123=""),"",HLOOKUP(L$105,'Emissions Database'!$CU$3:$DO$251,MATCH($C123,'Emissions Database'!$B$3:$B$251,0),0))</f>
        <v/>
      </c>
      <c r="M123" s="58" t="str">
        <f>IF(OR(M$105="",$C123=""),"",HLOOKUP(M$105,'Emissions Database'!$CU$3:$DO$251,MATCH($C123,'Emissions Database'!$B$3:$B$251,0),0))</f>
        <v/>
      </c>
      <c r="N123" s="58" t="str">
        <f>IF(OR(N$105="",$C123=""),"",HLOOKUP(N$105,'Emissions Database'!$CU$3:$DO$251,MATCH($C123,'Emissions Database'!$B$3:$B$251,0),0))</f>
        <v/>
      </c>
      <c r="O123" s="58" t="str">
        <f>IF(OR(O$105="",$C123=""),"",HLOOKUP(O$105,'Emissions Database'!$CU$3:$DO$251,MATCH($C123,'Emissions Database'!$B$3:$B$251,0),0))</f>
        <v/>
      </c>
      <c r="P123" s="58" t="str">
        <f>IF(OR(P$105="",$C123=""),"",HLOOKUP(P$105,'Emissions Database'!$CU$3:$DO$251,MATCH($C123,'Emissions Database'!$B$3:$B$251,0),0))</f>
        <v/>
      </c>
      <c r="Q123" s="58" t="str">
        <f>IF(OR(Q$105="",$C123=""),"",HLOOKUP(Q$105,'Emissions Database'!$CU$3:$DO$251,MATCH($C123,'Emissions Database'!$B$3:$B$251,0),0))</f>
        <v/>
      </c>
      <c r="R123" s="58" t="str">
        <f>IF(OR(R$105="",$C123=""),"",HLOOKUP(R$105,'Emissions Database'!$CU$3:$DO$251,MATCH($C123,'Emissions Database'!$B$3:$B$251,0),0))</f>
        <v/>
      </c>
      <c r="S123" s="58" t="str">
        <f>IF(OR(S$105="",$C123=""),"",HLOOKUP(S$105,'Emissions Database'!$CU$3:$DO$251,MATCH($C123,'Emissions Database'!$B$3:$B$251,0),0))</f>
        <v/>
      </c>
      <c r="T123" s="58" t="str">
        <f>IF(OR(T$105="",$C123=""),"",HLOOKUP(T$105,'Emissions Database'!$CU$3:$DO$251,MATCH($C123,'Emissions Database'!$B$3:$B$251,0),0))</f>
        <v/>
      </c>
      <c r="U123" s="58" t="str">
        <f>IF(OR(U$105="",$C123=""),"",HLOOKUP(U$105,'Emissions Database'!$CU$3:$DO$251,MATCH($C123,'Emissions Database'!$B$3:$B$251,0),0))</f>
        <v/>
      </c>
      <c r="V123" s="58" t="str">
        <f>IF(OR(V$105="",$C123=""),"",HLOOKUP(V$105,'Emissions Database'!$CU$3:$DO$251,MATCH($C123,'Emissions Database'!$B$3:$B$251,0),0))</f>
        <v/>
      </c>
      <c r="W123" s="58" t="str">
        <f>IF(OR(W$105="",$C123=""),"",HLOOKUP(W$105,'Emissions Database'!$CU$3:$DO$251,MATCH($C123,'Emissions Database'!$B$3:$B$251,0),0))</f>
        <v/>
      </c>
      <c r="X123" s="58" t="str">
        <f>IF(OR(X$105="",$C123=""),"",HLOOKUP(X$105,'Emissions Database'!$CU$3:$DO$251,MATCH($C123,'Emissions Database'!$B$3:$B$251,0),0))</f>
        <v/>
      </c>
      <c r="Y123" s="58" t="str">
        <f>IF(OR(Y$105="",$C123=""),"",HLOOKUP(Y$105,'Emissions Database'!$CU$3:$DO$251,MATCH($C123,'Emissions Database'!$B$3:$B$251,0),0))</f>
        <v/>
      </c>
    </row>
    <row r="124" spans="2:25" hidden="1" x14ac:dyDescent="0.3">
      <c r="B124" s="66">
        <v>17</v>
      </c>
      <c r="C124" s="34" t="str">
        <f>IF(COUNTIF(Lists!$B$3:$B$22,B124)=0,"",VLOOKUP(B124,Lists!$B$3:$C$22,2,0))</f>
        <v/>
      </c>
      <c r="D124" s="60" t="str">
        <f>IF($C124="","",SUMIF('Emissions Database'!$B$232:$B$251,$C124,'Emissions Database'!$BS$232:$BS$251))</f>
        <v/>
      </c>
      <c r="E124" s="58" t="str">
        <f>IF(OR(E$105="",$C124=""),"",HLOOKUP(E$105,'Emissions Database'!$CU$3:$DO$251,MATCH($C124,'Emissions Database'!$B$3:$B$251,0),0))</f>
        <v/>
      </c>
      <c r="F124" s="58" t="str">
        <f>IF(OR(F$105="",$C124=""),"",HLOOKUP(F$105,'Emissions Database'!$CU$3:$DO$251,MATCH($C124,'Emissions Database'!$B$3:$B$251,0),0))</f>
        <v/>
      </c>
      <c r="G124" s="58" t="str">
        <f>IF(OR(G$105="",$C124=""),"",HLOOKUP(G$105,'Emissions Database'!$CU$3:$DO$251,MATCH($C124,'Emissions Database'!$B$3:$B$251,0),0))</f>
        <v/>
      </c>
      <c r="H124" s="58" t="str">
        <f>IF(OR(H$105="",$C124=""),"",HLOOKUP(H$105,'Emissions Database'!$CU$3:$DO$251,MATCH($C124,'Emissions Database'!$B$3:$B$251,0),0))</f>
        <v/>
      </c>
      <c r="I124" s="58" t="str">
        <f>IF(OR(I$105="",$C124=""),"",HLOOKUP(I$105,'Emissions Database'!$CU$3:$DO$251,MATCH($C124,'Emissions Database'!$B$3:$B$251,0),0))</f>
        <v/>
      </c>
      <c r="J124" s="58" t="str">
        <f>IF(OR(J$105="",$C124=""),"",HLOOKUP(J$105,'Emissions Database'!$CU$3:$DO$251,MATCH($C124,'Emissions Database'!$B$3:$B$251,0),0))</f>
        <v/>
      </c>
      <c r="K124" s="58" t="str">
        <f>IF(OR(K$105="",$C124=""),"",HLOOKUP(K$105,'Emissions Database'!$CU$3:$DO$251,MATCH($C124,'Emissions Database'!$B$3:$B$251,0),0))</f>
        <v/>
      </c>
      <c r="L124" s="58" t="str">
        <f>IF(OR(L$105="",$C124=""),"",HLOOKUP(L$105,'Emissions Database'!$CU$3:$DO$251,MATCH($C124,'Emissions Database'!$B$3:$B$251,0),0))</f>
        <v/>
      </c>
      <c r="M124" s="58" t="str">
        <f>IF(OR(M$105="",$C124=""),"",HLOOKUP(M$105,'Emissions Database'!$CU$3:$DO$251,MATCH($C124,'Emissions Database'!$B$3:$B$251,0),0))</f>
        <v/>
      </c>
      <c r="N124" s="58" t="str">
        <f>IF(OR(N$105="",$C124=""),"",HLOOKUP(N$105,'Emissions Database'!$CU$3:$DO$251,MATCH($C124,'Emissions Database'!$B$3:$B$251,0),0))</f>
        <v/>
      </c>
      <c r="O124" s="58" t="str">
        <f>IF(OR(O$105="",$C124=""),"",HLOOKUP(O$105,'Emissions Database'!$CU$3:$DO$251,MATCH($C124,'Emissions Database'!$B$3:$B$251,0),0))</f>
        <v/>
      </c>
      <c r="P124" s="58" t="str">
        <f>IF(OR(P$105="",$C124=""),"",HLOOKUP(P$105,'Emissions Database'!$CU$3:$DO$251,MATCH($C124,'Emissions Database'!$B$3:$B$251,0),0))</f>
        <v/>
      </c>
      <c r="Q124" s="58" t="str">
        <f>IF(OR(Q$105="",$C124=""),"",HLOOKUP(Q$105,'Emissions Database'!$CU$3:$DO$251,MATCH($C124,'Emissions Database'!$B$3:$B$251,0),0))</f>
        <v/>
      </c>
      <c r="R124" s="58" t="str">
        <f>IF(OR(R$105="",$C124=""),"",HLOOKUP(R$105,'Emissions Database'!$CU$3:$DO$251,MATCH($C124,'Emissions Database'!$B$3:$B$251,0),0))</f>
        <v/>
      </c>
      <c r="S124" s="58" t="str">
        <f>IF(OR(S$105="",$C124=""),"",HLOOKUP(S$105,'Emissions Database'!$CU$3:$DO$251,MATCH($C124,'Emissions Database'!$B$3:$B$251,0),0))</f>
        <v/>
      </c>
      <c r="T124" s="58" t="str">
        <f>IF(OR(T$105="",$C124=""),"",HLOOKUP(T$105,'Emissions Database'!$CU$3:$DO$251,MATCH($C124,'Emissions Database'!$B$3:$B$251,0),0))</f>
        <v/>
      </c>
      <c r="U124" s="58" t="str">
        <f>IF(OR(U$105="",$C124=""),"",HLOOKUP(U$105,'Emissions Database'!$CU$3:$DO$251,MATCH($C124,'Emissions Database'!$B$3:$B$251,0),0))</f>
        <v/>
      </c>
      <c r="V124" s="58" t="str">
        <f>IF(OR(V$105="",$C124=""),"",HLOOKUP(V$105,'Emissions Database'!$CU$3:$DO$251,MATCH($C124,'Emissions Database'!$B$3:$B$251,0),0))</f>
        <v/>
      </c>
      <c r="W124" s="58" t="str">
        <f>IF(OR(W$105="",$C124=""),"",HLOOKUP(W$105,'Emissions Database'!$CU$3:$DO$251,MATCH($C124,'Emissions Database'!$B$3:$B$251,0),0))</f>
        <v/>
      </c>
      <c r="X124" s="58" t="str">
        <f>IF(OR(X$105="",$C124=""),"",HLOOKUP(X$105,'Emissions Database'!$CU$3:$DO$251,MATCH($C124,'Emissions Database'!$B$3:$B$251,0),0))</f>
        <v/>
      </c>
      <c r="Y124" s="58" t="str">
        <f>IF(OR(Y$105="",$C124=""),"",HLOOKUP(Y$105,'Emissions Database'!$CU$3:$DO$251,MATCH($C124,'Emissions Database'!$B$3:$B$251,0),0))</f>
        <v/>
      </c>
    </row>
    <row r="125" spans="2:25" hidden="1" x14ac:dyDescent="0.3"/>
    <row r="126" spans="2:25" hidden="1" x14ac:dyDescent="0.3">
      <c r="C126" s="59" t="s">
        <v>427</v>
      </c>
    </row>
    <row r="127" spans="2:25" hidden="1" x14ac:dyDescent="0.3">
      <c r="C127" s="34" t="s">
        <v>426</v>
      </c>
    </row>
    <row r="128" spans="2:25" hidden="1" x14ac:dyDescent="0.3">
      <c r="C128" s="34" t="s">
        <v>425</v>
      </c>
    </row>
    <row r="129" spans="3:3" hidden="1" x14ac:dyDescent="0.3">
      <c r="C129" s="34" t="s">
        <v>424</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945" r:id="rId4" name="Drop Down 1">
              <controlPr defaultSize="0" autoLine="0" autoPict="0" macro="[0]!StackedColumn">
                <anchor moveWithCells="1">
                  <from>
                    <xdr:col>2</xdr:col>
                    <xdr:colOff>60960</xdr:colOff>
                    <xdr:row>5</xdr:row>
                    <xdr:rowOff>68580</xdr:rowOff>
                  </from>
                  <to>
                    <xdr:col>2</xdr:col>
                    <xdr:colOff>1965960</xdr:colOff>
                    <xdr:row>6</xdr:row>
                    <xdr:rowOff>68580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FFC000"/>
  </sheetPr>
  <dimension ref="A1:AI121"/>
  <sheetViews>
    <sheetView showGridLines="0" showRowColHeaders="0" zoomScale="90" zoomScaleNormal="90" workbookViewId="0"/>
  </sheetViews>
  <sheetFormatPr defaultRowHeight="14.4" x14ac:dyDescent="0.3"/>
  <cols>
    <col min="1" max="1" width="2.33203125" customWidth="1"/>
    <col min="2" max="2" width="18.44140625" customWidth="1"/>
    <col min="3" max="3" width="25" customWidth="1"/>
    <col min="4" max="4" width="11" customWidth="1"/>
    <col min="6" max="6" width="11" customWidth="1"/>
    <col min="9" max="13" width="13.6640625" customWidth="1"/>
  </cols>
  <sheetData>
    <row r="1" spans="1:35" ht="7.5" customHeight="1" x14ac:dyDescent="0.3">
      <c r="A1" s="44"/>
      <c r="B1" s="44"/>
      <c r="C1" s="44"/>
      <c r="D1" s="44"/>
      <c r="E1" s="44"/>
      <c r="F1" s="44"/>
      <c r="G1" s="44"/>
      <c r="H1" s="44"/>
      <c r="I1" s="44"/>
      <c r="J1" s="44"/>
      <c r="K1" s="44"/>
      <c r="L1" s="44"/>
      <c r="M1" s="44"/>
      <c r="N1" s="44"/>
      <c r="O1" s="44"/>
      <c r="P1" s="44"/>
      <c r="Q1" s="44"/>
      <c r="R1" s="44"/>
      <c r="S1" s="44"/>
      <c r="T1" s="44"/>
      <c r="U1" s="44"/>
      <c r="V1" s="44"/>
      <c r="W1" s="44"/>
      <c r="X1" s="44"/>
      <c r="Y1" s="44"/>
      <c r="Z1" s="44"/>
      <c r="AA1" s="44"/>
      <c r="AB1" s="44"/>
      <c r="AC1" s="44"/>
      <c r="AD1" s="44"/>
      <c r="AE1" s="44"/>
      <c r="AF1" s="44"/>
      <c r="AG1" s="44"/>
      <c r="AH1" s="44"/>
      <c r="AI1" s="44"/>
    </row>
    <row r="2" spans="1:35" ht="33.6" x14ac:dyDescent="0.65">
      <c r="A2" s="44"/>
      <c r="B2" s="45" t="s">
        <v>466</v>
      </c>
      <c r="C2" s="45"/>
      <c r="D2" s="44"/>
      <c r="E2" s="44"/>
      <c r="F2" s="44"/>
      <c r="G2" s="44"/>
      <c r="H2" s="44"/>
      <c r="I2" s="44"/>
      <c r="J2" s="44"/>
      <c r="K2" s="44"/>
      <c r="L2" s="44"/>
      <c r="M2" s="44"/>
      <c r="N2" s="44"/>
      <c r="O2" s="44"/>
      <c r="P2" s="44"/>
      <c r="Q2" s="44"/>
      <c r="R2" s="44"/>
      <c r="S2" s="44"/>
      <c r="T2" s="44"/>
      <c r="U2" s="44"/>
      <c r="V2" s="44"/>
      <c r="W2" s="44"/>
      <c r="X2" s="44"/>
      <c r="Y2" s="44"/>
      <c r="Z2" s="44"/>
      <c r="AA2" s="44"/>
      <c r="AB2" s="44"/>
      <c r="AC2" s="44"/>
      <c r="AD2" s="44"/>
      <c r="AE2" s="44"/>
      <c r="AF2" s="44"/>
      <c r="AG2" s="44"/>
      <c r="AH2" s="44"/>
      <c r="AI2" s="44"/>
    </row>
    <row r="3" spans="1:35" ht="7.5" customHeight="1" thickBot="1" x14ac:dyDescent="0.35">
      <c r="A3" s="46"/>
      <c r="B3" s="47"/>
      <c r="C3" s="47"/>
      <c r="D3" s="47"/>
      <c r="E3" s="47"/>
      <c r="F3" s="47"/>
      <c r="G3" s="47"/>
      <c r="H3" s="47"/>
      <c r="I3" s="47"/>
      <c r="J3" s="47"/>
      <c r="K3" s="47"/>
      <c r="L3" s="47"/>
      <c r="M3" s="47"/>
      <c r="N3" s="47"/>
      <c r="O3" s="47"/>
      <c r="P3" s="47"/>
      <c r="Q3" s="47"/>
      <c r="R3" s="47"/>
      <c r="S3" s="47"/>
      <c r="T3" s="47"/>
      <c r="U3" s="47"/>
      <c r="V3" s="47"/>
      <c r="W3" s="47"/>
      <c r="X3" s="47"/>
      <c r="Y3" s="47"/>
      <c r="Z3" s="47"/>
      <c r="AA3" s="47"/>
      <c r="AB3" s="47"/>
      <c r="AC3" s="47"/>
      <c r="AD3" s="47"/>
      <c r="AE3" s="47"/>
      <c r="AF3" s="47"/>
      <c r="AG3" s="47"/>
      <c r="AH3" s="47"/>
      <c r="AI3" s="47"/>
    </row>
    <row r="4" spans="1:35" ht="18.600000000000001" thickTop="1" x14ac:dyDescent="0.35">
      <c r="A4" s="44"/>
      <c r="B4" s="48"/>
      <c r="C4" s="44"/>
      <c r="D4" s="44"/>
      <c r="E4" s="44"/>
      <c r="F4" s="44"/>
      <c r="G4" s="44"/>
      <c r="H4" s="44"/>
      <c r="I4" s="44"/>
      <c r="J4" s="44"/>
      <c r="K4" s="44"/>
      <c r="L4" s="44"/>
      <c r="M4" s="44"/>
      <c r="N4" s="44"/>
      <c r="O4" s="44"/>
      <c r="P4" s="44"/>
      <c r="Q4" s="44"/>
      <c r="R4" s="44"/>
      <c r="S4" s="44"/>
      <c r="T4" s="44"/>
      <c r="U4" s="44"/>
      <c r="V4" s="44"/>
      <c r="W4" s="44"/>
      <c r="X4" s="44"/>
      <c r="Y4" s="44"/>
      <c r="Z4" s="44"/>
      <c r="AA4" s="44"/>
      <c r="AB4" s="44"/>
      <c r="AC4" s="44"/>
      <c r="AD4" s="44"/>
      <c r="AE4" s="44"/>
      <c r="AF4" s="44"/>
      <c r="AG4" s="44"/>
      <c r="AH4" s="44"/>
      <c r="AI4" s="44"/>
    </row>
    <row r="5" spans="1:35" ht="18" x14ac:dyDescent="0.35">
      <c r="A5" s="44"/>
      <c r="B5" s="48" t="s">
        <v>485</v>
      </c>
      <c r="C5" s="48"/>
      <c r="D5" s="44"/>
      <c r="E5" s="44"/>
      <c r="F5" s="44"/>
      <c r="G5" s="44"/>
      <c r="H5" s="44"/>
      <c r="I5" s="44"/>
      <c r="J5" s="44"/>
      <c r="K5" s="44"/>
      <c r="L5" s="44"/>
      <c r="M5" s="44"/>
      <c r="N5" s="44"/>
      <c r="O5" s="44"/>
      <c r="P5" s="44"/>
      <c r="Q5" s="44"/>
      <c r="R5" s="44"/>
      <c r="S5" s="44"/>
      <c r="T5" s="44"/>
      <c r="U5" s="44"/>
      <c r="V5" s="44"/>
      <c r="W5" s="44"/>
      <c r="X5" s="44"/>
      <c r="Y5" s="44"/>
      <c r="Z5" s="44"/>
      <c r="AA5" s="44"/>
      <c r="AB5" s="44"/>
      <c r="AC5" s="44"/>
      <c r="AD5" s="44"/>
      <c r="AE5" s="44"/>
      <c r="AF5" s="44"/>
      <c r="AG5" s="44"/>
      <c r="AH5" s="44"/>
      <c r="AI5" s="44"/>
    </row>
    <row r="7" spans="1:35" ht="15" thickBot="1" x14ac:dyDescent="0.35"/>
    <row r="8" spans="1:35" ht="40.200000000000003" thickBot="1" x14ac:dyDescent="0.35">
      <c r="B8" s="163" t="s">
        <v>501</v>
      </c>
      <c r="C8" s="164" t="s">
        <v>166</v>
      </c>
      <c r="D8" s="165" t="s">
        <v>511</v>
      </c>
      <c r="E8" s="166" t="s">
        <v>512</v>
      </c>
      <c r="F8" s="163" t="s">
        <v>513</v>
      </c>
      <c r="G8" s="164" t="s">
        <v>512</v>
      </c>
      <c r="H8" s="183"/>
      <c r="I8" s="183"/>
      <c r="J8" s="183"/>
      <c r="K8" s="183"/>
      <c r="L8" s="183"/>
      <c r="M8" s="183"/>
      <c r="N8" s="183"/>
      <c r="O8" s="183"/>
      <c r="P8" s="183"/>
      <c r="Q8" s="183"/>
      <c r="R8" s="183"/>
      <c r="S8" s="183"/>
      <c r="T8" s="183"/>
    </row>
    <row r="9" spans="1:35" x14ac:dyDescent="0.3">
      <c r="B9" s="145" t="s">
        <v>167</v>
      </c>
      <c r="C9" s="146" t="s">
        <v>167</v>
      </c>
      <c r="D9" s="147">
        <f>(SUMIF('Emissions Database'!$F$4:$F$123,B9,'Emissions Database'!$J$4:$J$123)+SUMIF('Emissions Database'!$F$124:$F$163,$B9,'Emissions Database'!$K$124:$K$163))/Conversions!$C$4+SUMIF('Default - Material Balance'!$F$14:$F$53,B9,'Default - Material Balance'!$J$14:$J$53)+SUMIF('Emissions Database'!$B$265:$B$344,$B9,'Emissions Database'!$C$265:$C$344)</f>
        <v>0</v>
      </c>
      <c r="E9" s="148" t="s">
        <v>467</v>
      </c>
      <c r="F9" s="149">
        <f>SUMIF('Default - Material Balance'!$F$14:$F$53,B9,'Default - Material Balance'!$J$14:$J$53)</f>
        <v>0</v>
      </c>
      <c r="G9" s="150" t="s">
        <v>467</v>
      </c>
      <c r="H9" s="183"/>
      <c r="I9" s="183"/>
      <c r="J9" s="183"/>
      <c r="K9" s="183"/>
      <c r="L9" s="183"/>
      <c r="M9" s="183"/>
      <c r="N9" s="183"/>
      <c r="O9" s="183"/>
      <c r="P9" s="183"/>
      <c r="Q9" s="183"/>
      <c r="R9" s="183"/>
      <c r="S9" s="183"/>
      <c r="T9" s="183"/>
    </row>
    <row r="10" spans="1:35" x14ac:dyDescent="0.3">
      <c r="B10" s="151" t="s">
        <v>168</v>
      </c>
      <c r="C10" s="152" t="s">
        <v>168</v>
      </c>
      <c r="D10" s="153">
        <f>(SUMIF('Emissions Database'!$F$4:$F$123,B10,'Emissions Database'!$J$4:$J$123)+SUMIF('Emissions Database'!$F$124:$F$163,$B10,'Emissions Database'!$K$124:$K$163))/Conversions!$C$4+SUMIF('Default - Material Balance'!$F$14:$F$53,B10,'Default - Material Balance'!$J$14:$J$53)+SUMIF('Emissions Database'!$B$265:$B$344,$B10,'Emissions Database'!$C$265:$C$344)</f>
        <v>0</v>
      </c>
      <c r="E10" s="154" t="s">
        <v>467</v>
      </c>
      <c r="F10" s="155">
        <f>SUMIF('Default - Material Balance'!$F$14:$F$53,B10,'Default - Material Balance'!$J$14:$J$53)</f>
        <v>0</v>
      </c>
      <c r="G10" s="156" t="s">
        <v>467</v>
      </c>
      <c r="H10" s="183"/>
      <c r="I10" s="183"/>
      <c r="J10" s="183"/>
      <c r="K10" s="183"/>
      <c r="L10" s="183"/>
      <c r="M10" s="183"/>
      <c r="N10" s="183"/>
      <c r="O10" s="183"/>
      <c r="P10" s="183"/>
      <c r="Q10" s="183"/>
      <c r="R10" s="183"/>
      <c r="S10" s="183"/>
      <c r="T10" s="183"/>
    </row>
    <row r="11" spans="1:35" x14ac:dyDescent="0.3">
      <c r="B11" s="151" t="s">
        <v>169</v>
      </c>
      <c r="C11" s="152" t="s">
        <v>169</v>
      </c>
      <c r="D11" s="153">
        <f>(SUMIF('Emissions Database'!$F$4:$F$123,B11,'Emissions Database'!$J$4:$J$123)+SUMIF('Emissions Database'!$F$124:$F$163,$B11,'Emissions Database'!$K$124:$K$163))/Conversions!$C$4+SUMIF('Default - Material Balance'!$F$14:$F$53,B11,'Default - Material Balance'!$J$14:$J$53)+SUMIF('Emissions Database'!$B$265:$B$344,$B11,'Emissions Database'!$C$265:$C$344)</f>
        <v>0</v>
      </c>
      <c r="E11" s="154" t="s">
        <v>467</v>
      </c>
      <c r="F11" s="155">
        <f>SUMIF('Default - Material Balance'!$F$14:$F$53,B11,'Default - Material Balance'!$J$14:$J$53)</f>
        <v>0</v>
      </c>
      <c r="G11" s="156" t="s">
        <v>467</v>
      </c>
      <c r="H11" s="183"/>
      <c r="I11" s="183"/>
      <c r="J11" s="183"/>
      <c r="K11" s="183"/>
      <c r="L11" s="183"/>
      <c r="M11" s="183"/>
      <c r="N11" s="183"/>
      <c r="O11" s="183"/>
      <c r="P11" s="183"/>
      <c r="Q11" s="183"/>
      <c r="R11" s="183"/>
      <c r="S11" s="183"/>
      <c r="T11" s="183"/>
    </row>
    <row r="12" spans="1:35" x14ac:dyDescent="0.3">
      <c r="B12" s="151" t="s">
        <v>170</v>
      </c>
      <c r="C12" s="152" t="s">
        <v>170</v>
      </c>
      <c r="D12" s="153">
        <f>(SUMIF('Emissions Database'!$F$4:$F$123,B12,'Emissions Database'!$J$4:$J$123)+SUMIF('Emissions Database'!$F$124:$F$163,$B12,'Emissions Database'!$K$124:$K$163))/Conversions!$C$4+SUMIF('Default - Material Balance'!$F$14:$F$53,B12,'Default - Material Balance'!$J$14:$J$53)+SUMIF('Emissions Database'!$B$265:$B$344,$B12,'Emissions Database'!$C$265:$C$344)</f>
        <v>0</v>
      </c>
      <c r="E12" s="154" t="s">
        <v>467</v>
      </c>
      <c r="F12" s="155">
        <f>SUMIF('Default - Material Balance'!$F$14:$F$53,B12,'Default - Material Balance'!$J$14:$J$53)</f>
        <v>0</v>
      </c>
      <c r="G12" s="156" t="s">
        <v>467</v>
      </c>
      <c r="H12" s="183"/>
      <c r="I12" s="183"/>
      <c r="J12" s="183"/>
      <c r="K12" s="183"/>
      <c r="L12" s="183"/>
      <c r="M12" s="183"/>
      <c r="N12" s="183"/>
      <c r="O12" s="183"/>
      <c r="P12" s="183"/>
      <c r="Q12" s="183"/>
      <c r="R12" s="183"/>
      <c r="S12" s="183"/>
      <c r="T12" s="183"/>
    </row>
    <row r="13" spans="1:35" x14ac:dyDescent="0.3">
      <c r="B13" s="151" t="s">
        <v>171</v>
      </c>
      <c r="C13" s="152" t="s">
        <v>171</v>
      </c>
      <c r="D13" s="153">
        <f>(SUMIF('Emissions Database'!$F$4:$F$123,B13,'Emissions Database'!$J$4:$J$123)+SUMIF('Emissions Database'!$F$124:$F$163,$B13,'Emissions Database'!$K$124:$K$163))/Conversions!$C$4+SUMIF('Default - Material Balance'!$F$14:$F$53,B13,'Default - Material Balance'!$J$14:$J$53)+SUMIF('Emissions Database'!$B$265:$B$344,$B13,'Emissions Database'!$C$265:$C$344)</f>
        <v>0</v>
      </c>
      <c r="E13" s="154" t="s">
        <v>467</v>
      </c>
      <c r="F13" s="155">
        <f>SUMIF('Default - Material Balance'!$F$14:$F$53,B13,'Default - Material Balance'!$J$14:$J$53)</f>
        <v>0</v>
      </c>
      <c r="G13" s="156" t="s">
        <v>467</v>
      </c>
      <c r="H13" s="183"/>
      <c r="I13" s="183"/>
      <c r="J13" s="183"/>
      <c r="K13" s="183"/>
      <c r="L13" s="183"/>
      <c r="M13" s="183"/>
      <c r="N13" s="183"/>
      <c r="O13" s="183"/>
      <c r="P13" s="183"/>
      <c r="Q13" s="183"/>
      <c r="R13" s="183"/>
      <c r="S13" s="183"/>
      <c r="T13" s="183"/>
    </row>
    <row r="14" spans="1:35" x14ac:dyDescent="0.3">
      <c r="B14" s="151" t="s">
        <v>172</v>
      </c>
      <c r="C14" s="152" t="s">
        <v>172</v>
      </c>
      <c r="D14" s="153">
        <f>(SUMIF('Emissions Database'!$F$4:$F$123,B14,'Emissions Database'!$J$4:$J$123)+SUMIF('Emissions Database'!$F$124:$F$163,$B14,'Emissions Database'!$K$124:$K$163))/Conversions!$C$4+SUMIF('Default - Material Balance'!$F$14:$F$53,B14,'Default - Material Balance'!$J$14:$J$53)+SUMIF('Emissions Database'!$B$265:$B$344,$B14,'Emissions Database'!$C$265:$C$344)</f>
        <v>0</v>
      </c>
      <c r="E14" s="154" t="s">
        <v>467</v>
      </c>
      <c r="F14" s="155">
        <f>SUMIF('Default - Material Balance'!$F$14:$F$53,B14,'Default - Material Balance'!$J$14:$J$53)</f>
        <v>0</v>
      </c>
      <c r="G14" s="156" t="s">
        <v>467</v>
      </c>
      <c r="H14" s="183"/>
      <c r="I14" s="183"/>
      <c r="J14" s="183"/>
      <c r="K14" s="183"/>
      <c r="L14" s="183"/>
      <c r="M14" s="183"/>
      <c r="N14" s="183"/>
      <c r="O14" s="183"/>
      <c r="P14" s="183"/>
      <c r="Q14" s="183"/>
      <c r="R14" s="183"/>
      <c r="S14" s="183"/>
      <c r="T14" s="183"/>
    </row>
    <row r="15" spans="1:35" x14ac:dyDescent="0.3">
      <c r="B15" s="151" t="s">
        <v>173</v>
      </c>
      <c r="C15" s="152" t="s">
        <v>173</v>
      </c>
      <c r="D15" s="153">
        <f>(SUMIF('Emissions Database'!$F$4:$F$123,B15,'Emissions Database'!$J$4:$J$123)+SUMIF('Emissions Database'!$F$124:$F$163,$B15,'Emissions Database'!$K$124:$K$163))/Conversions!$C$4+SUMIF('Default - Material Balance'!$F$14:$F$53,B15,'Default - Material Balance'!$J$14:$J$53)+SUMIF('Emissions Database'!$B$265:$B$344,$B15,'Emissions Database'!$C$265:$C$344)</f>
        <v>0</v>
      </c>
      <c r="E15" s="154" t="s">
        <v>467</v>
      </c>
      <c r="F15" s="155">
        <f>SUMIF('Default - Material Balance'!$F$14:$F$53,B15,'Default - Material Balance'!$J$14:$J$53)</f>
        <v>0</v>
      </c>
      <c r="G15" s="156" t="s">
        <v>467</v>
      </c>
      <c r="H15" s="183"/>
      <c r="I15" s="183"/>
      <c r="J15" s="183"/>
      <c r="K15" s="183"/>
      <c r="L15" s="183"/>
      <c r="M15" s="183"/>
      <c r="N15" s="183"/>
      <c r="O15" s="183"/>
      <c r="P15" s="183"/>
      <c r="Q15" s="183"/>
      <c r="R15" s="183"/>
      <c r="S15" s="183"/>
      <c r="T15" s="183"/>
    </row>
    <row r="16" spans="1:35" x14ac:dyDescent="0.3">
      <c r="B16" s="151" t="s">
        <v>174</v>
      </c>
      <c r="C16" s="152" t="s">
        <v>174</v>
      </c>
      <c r="D16" s="153">
        <f>(SUMIF('Emissions Database'!$F$4:$F$123,B16,'Emissions Database'!$J$4:$J$123)+SUMIF('Emissions Database'!$F$124:$F$163,$B16,'Emissions Database'!$K$124:$K$163))/Conversions!$C$4+SUMIF('Default - Material Balance'!$F$14:$F$53,B16,'Default - Material Balance'!$J$14:$J$53)+SUMIF('Emissions Database'!$B$265:$B$344,$B16,'Emissions Database'!$C$265:$C$344)</f>
        <v>0</v>
      </c>
      <c r="E16" s="154" t="s">
        <v>467</v>
      </c>
      <c r="F16" s="155">
        <f>SUMIF('Default - Material Balance'!$F$14:$F$53,B16,'Default - Material Balance'!$J$14:$J$53)</f>
        <v>0</v>
      </c>
      <c r="G16" s="156" t="s">
        <v>467</v>
      </c>
      <c r="H16" s="183"/>
      <c r="I16" s="183"/>
      <c r="J16" s="183"/>
      <c r="K16" s="183"/>
      <c r="L16" s="183"/>
      <c r="M16" s="183"/>
      <c r="N16" s="183"/>
      <c r="O16" s="183"/>
      <c r="P16" s="183"/>
      <c r="Q16" s="183"/>
      <c r="R16" s="183"/>
      <c r="S16" s="183"/>
      <c r="T16" s="183"/>
    </row>
    <row r="17" spans="2:20" x14ac:dyDescent="0.3">
      <c r="B17" s="151" t="s">
        <v>175</v>
      </c>
      <c r="C17" s="152" t="s">
        <v>175</v>
      </c>
      <c r="D17" s="153">
        <f>(SUMIF('Emissions Database'!$F$4:$F$123,B17,'Emissions Database'!$J$4:$J$123)+SUMIF('Emissions Database'!$F$124:$F$163,$B17,'Emissions Database'!$K$124:$K$163))/Conversions!$C$4+SUMIF('Default - Material Balance'!$F$14:$F$53,B17,'Default - Material Balance'!$J$14:$J$53)+SUMIF('Emissions Database'!$B$265:$B$344,$B17,'Emissions Database'!$C$265:$C$344)</f>
        <v>0</v>
      </c>
      <c r="E17" s="154" t="s">
        <v>467</v>
      </c>
      <c r="F17" s="155">
        <f>SUMIF('Default - Material Balance'!$F$14:$F$53,B17,'Default - Material Balance'!$J$14:$J$53)</f>
        <v>0</v>
      </c>
      <c r="G17" s="156" t="s">
        <v>467</v>
      </c>
      <c r="H17" s="183"/>
      <c r="I17" s="183"/>
      <c r="J17" s="183"/>
      <c r="K17" s="183"/>
      <c r="L17" s="183"/>
      <c r="M17" s="183"/>
      <c r="N17" s="183"/>
      <c r="O17" s="183"/>
      <c r="P17" s="183"/>
      <c r="Q17" s="183"/>
      <c r="R17" s="183"/>
      <c r="S17" s="183"/>
      <c r="T17" s="183"/>
    </row>
    <row r="18" spans="2:20" x14ac:dyDescent="0.3">
      <c r="B18" s="151" t="s">
        <v>176</v>
      </c>
      <c r="C18" s="152" t="s">
        <v>176</v>
      </c>
      <c r="D18" s="153">
        <f>(SUMIF('Emissions Database'!$F$4:$F$123,B18,'Emissions Database'!$J$4:$J$123)+SUMIF('Emissions Database'!$F$124:$F$163,$B18,'Emissions Database'!$K$124:$K$163))/Conversions!$C$4+SUMIF('Default - Material Balance'!$F$14:$F$53,B18,'Default - Material Balance'!$J$14:$J$53)+SUMIF('Emissions Database'!$B$265:$B$344,$B18,'Emissions Database'!$C$265:$C$344)</f>
        <v>0</v>
      </c>
      <c r="E18" s="154" t="s">
        <v>467</v>
      </c>
      <c r="F18" s="155">
        <f>SUMIF('Default - Material Balance'!$F$14:$F$53,B18,'Default - Material Balance'!$J$14:$J$53)</f>
        <v>0</v>
      </c>
      <c r="G18" s="156" t="s">
        <v>467</v>
      </c>
      <c r="H18" s="183"/>
      <c r="I18" s="183"/>
      <c r="J18" s="183"/>
      <c r="K18" s="183"/>
      <c r="L18" s="183"/>
      <c r="M18" s="183"/>
      <c r="N18" s="183"/>
      <c r="O18" s="183"/>
      <c r="P18" s="183"/>
      <c r="Q18" s="183"/>
      <c r="R18" s="183"/>
      <c r="S18" s="183"/>
      <c r="T18" s="183"/>
    </row>
    <row r="19" spans="2:20" x14ac:dyDescent="0.3">
      <c r="B19" s="151" t="s">
        <v>177</v>
      </c>
      <c r="C19" s="152" t="s">
        <v>177</v>
      </c>
      <c r="D19" s="153">
        <f>(SUMIF('Emissions Database'!$F$4:$F$123,B19,'Emissions Database'!$J$4:$J$123)+SUMIF('Emissions Database'!$F$124:$F$163,$B19,'Emissions Database'!$K$124:$K$163))/Conversions!$C$4+SUMIF('Default - Material Balance'!$F$14:$F$53,B19,'Default - Material Balance'!$J$14:$J$53)+SUMIF('Emissions Database'!$B$265:$B$344,$B19,'Emissions Database'!$C$265:$C$344)</f>
        <v>0</v>
      </c>
      <c r="E19" s="154" t="s">
        <v>467</v>
      </c>
      <c r="F19" s="155">
        <f>SUMIF('Default - Material Balance'!$F$14:$F$53,B19,'Default - Material Balance'!$J$14:$J$53)</f>
        <v>0</v>
      </c>
      <c r="G19" s="156" t="s">
        <v>467</v>
      </c>
      <c r="H19" s="183"/>
      <c r="I19" s="183"/>
      <c r="J19" s="183"/>
      <c r="K19" s="183"/>
      <c r="L19" s="183"/>
      <c r="M19" s="183"/>
      <c r="N19" s="183"/>
      <c r="O19" s="183"/>
      <c r="P19" s="183"/>
      <c r="Q19" s="183"/>
      <c r="R19" s="183"/>
      <c r="S19" s="183"/>
      <c r="T19" s="183"/>
    </row>
    <row r="20" spans="2:20" x14ac:dyDescent="0.3">
      <c r="B20" s="151" t="s">
        <v>178</v>
      </c>
      <c r="C20" s="152" t="s">
        <v>178</v>
      </c>
      <c r="D20" s="153">
        <f>(SUMIF('Emissions Database'!$F$4:$F$123,B20,'Emissions Database'!$J$4:$J$123)+SUMIF('Emissions Database'!$F$124:$F$163,$B20,'Emissions Database'!$K$124:$K$163))/Conversions!$C$4+SUMIF('Default - Material Balance'!$F$14:$F$53,B20,'Default - Material Balance'!$J$14:$J$53)+SUMIF('Emissions Database'!$B$265:$B$344,$B20,'Emissions Database'!$C$265:$C$344)</f>
        <v>0</v>
      </c>
      <c r="E20" s="154" t="s">
        <v>467</v>
      </c>
      <c r="F20" s="155">
        <f>SUMIF('Default - Material Balance'!$F$14:$F$53,B20,'Default - Material Balance'!$J$14:$J$53)</f>
        <v>0</v>
      </c>
      <c r="G20" s="156" t="s">
        <v>467</v>
      </c>
      <c r="H20" s="183"/>
      <c r="I20" s="183"/>
      <c r="J20" s="183"/>
      <c r="K20" s="183"/>
      <c r="L20" s="183"/>
      <c r="M20" s="183"/>
      <c r="N20" s="183"/>
      <c r="O20" s="183"/>
      <c r="P20" s="183"/>
      <c r="Q20" s="183"/>
      <c r="R20" s="183"/>
      <c r="S20" s="183"/>
      <c r="T20" s="183"/>
    </row>
    <row r="21" spans="2:20" x14ac:dyDescent="0.3">
      <c r="B21" s="151" t="s">
        <v>179</v>
      </c>
      <c r="C21" s="152" t="s">
        <v>179</v>
      </c>
      <c r="D21" s="153">
        <f>(SUMIF('Emissions Database'!$F$4:$F$123,B21,'Emissions Database'!$J$4:$J$123)+SUMIF('Emissions Database'!$F$124:$F$163,$B21,'Emissions Database'!$K$124:$K$163))/Conversions!$C$4+SUMIF('Default - Material Balance'!$F$14:$F$53,B21,'Default - Material Balance'!$J$14:$J$53)+SUMIF('Emissions Database'!$B$265:$B$344,$B21,'Emissions Database'!$C$265:$C$344)</f>
        <v>0</v>
      </c>
      <c r="E21" s="154" t="s">
        <v>467</v>
      </c>
      <c r="F21" s="155">
        <f>SUMIF('Default - Material Balance'!$F$14:$F$53,B21,'Default - Material Balance'!$J$14:$J$53)</f>
        <v>0</v>
      </c>
      <c r="G21" s="156" t="s">
        <v>467</v>
      </c>
      <c r="H21" s="183"/>
      <c r="I21" s="183"/>
      <c r="J21" s="183"/>
      <c r="K21" s="183"/>
      <c r="L21" s="183"/>
      <c r="M21" s="183"/>
      <c r="N21" s="183"/>
      <c r="O21" s="183"/>
      <c r="P21" s="183"/>
      <c r="Q21" s="183"/>
      <c r="R21" s="183"/>
      <c r="S21" s="183"/>
      <c r="T21" s="183"/>
    </row>
    <row r="22" spans="2:20" x14ac:dyDescent="0.3">
      <c r="B22" s="151" t="s">
        <v>180</v>
      </c>
      <c r="C22" s="152" t="s">
        <v>180</v>
      </c>
      <c r="D22" s="153">
        <f>(SUMIF('Emissions Database'!$F$4:$F$123,B22,'Emissions Database'!$J$4:$J$123)+SUMIF('Emissions Database'!$F$124:$F$163,$B22,'Emissions Database'!$K$124:$K$163))/Conversions!$C$4+SUMIF('Default - Material Balance'!$F$14:$F$53,B22,'Default - Material Balance'!$J$14:$J$53)+SUMIF('Emissions Database'!$B$265:$B$344,$B22,'Emissions Database'!$C$265:$C$344)</f>
        <v>0</v>
      </c>
      <c r="E22" s="154" t="s">
        <v>467</v>
      </c>
      <c r="F22" s="155">
        <f>SUMIF('Default - Material Balance'!$F$14:$F$53,B22,'Default - Material Balance'!$J$14:$J$53)</f>
        <v>0</v>
      </c>
      <c r="G22" s="156" t="s">
        <v>467</v>
      </c>
      <c r="H22" s="183"/>
      <c r="I22" s="183"/>
      <c r="J22" s="183"/>
      <c r="K22" s="183"/>
      <c r="L22" s="183"/>
      <c r="M22" s="183"/>
      <c r="N22" s="183"/>
      <c r="O22" s="183"/>
      <c r="P22" s="183"/>
      <c r="Q22" s="183"/>
      <c r="R22" s="183"/>
      <c r="S22" s="183"/>
      <c r="T22" s="183"/>
    </row>
    <row r="23" spans="2:20" x14ac:dyDescent="0.3">
      <c r="B23" s="151" t="s">
        <v>181</v>
      </c>
      <c r="C23" s="152" t="s">
        <v>182</v>
      </c>
      <c r="D23" s="153">
        <f>(SUMIF('Emissions Database'!$F$4:$F$123,B23,'Emissions Database'!$J$4:$J$123)+SUMIF('Emissions Database'!$F$124:$F$163,$B23,'Emissions Database'!$K$124:$K$163))/Conversions!$C$4+SUMIF('Default - Material Balance'!$F$14:$F$53,B23,'Default - Material Balance'!$J$14:$J$53)+SUMIF('Emissions Database'!$B$265:$B$344,$B23,'Emissions Database'!$C$265:$C$344)</f>
        <v>0</v>
      </c>
      <c r="E23" s="154" t="s">
        <v>467</v>
      </c>
      <c r="F23" s="155">
        <f>SUMIF('Default - Material Balance'!$F$14:$F$53,B23,'Default - Material Balance'!$J$14:$J$53)</f>
        <v>0</v>
      </c>
      <c r="G23" s="156" t="s">
        <v>467</v>
      </c>
      <c r="H23" s="183"/>
      <c r="I23" s="183"/>
      <c r="J23" s="183"/>
      <c r="K23" s="183"/>
      <c r="L23" s="183"/>
      <c r="M23" s="183"/>
      <c r="N23" s="183"/>
      <c r="O23" s="183"/>
      <c r="P23" s="183"/>
      <c r="Q23" s="183"/>
      <c r="R23" s="183"/>
      <c r="S23" s="183"/>
      <c r="T23" s="183"/>
    </row>
    <row r="24" spans="2:20" x14ac:dyDescent="0.3">
      <c r="B24" s="151" t="s">
        <v>183</v>
      </c>
      <c r="C24" s="152" t="s">
        <v>182</v>
      </c>
      <c r="D24" s="153">
        <f>(SUMIF('Emissions Database'!$F$4:$F$123,B24,'Emissions Database'!$J$4:$J$123)+SUMIF('Emissions Database'!$F$124:$F$163,$B24,'Emissions Database'!$K$124:$K$163))/Conversions!$C$4+SUMIF('Default - Material Balance'!$F$14:$F$53,B24,'Default - Material Balance'!$J$14:$J$53)+SUMIF('Emissions Database'!$B$265:$B$344,$B24,'Emissions Database'!$C$265:$C$344)</f>
        <v>0</v>
      </c>
      <c r="E24" s="154" t="s">
        <v>467</v>
      </c>
      <c r="F24" s="155">
        <f>SUMIF('Default - Material Balance'!$F$14:$F$53,B24,'Default - Material Balance'!$J$14:$J$53)</f>
        <v>0</v>
      </c>
      <c r="G24" s="156" t="s">
        <v>467</v>
      </c>
      <c r="H24" s="183"/>
      <c r="I24" s="183"/>
      <c r="J24" s="183"/>
      <c r="K24" s="183"/>
      <c r="L24" s="183"/>
      <c r="M24" s="183"/>
      <c r="N24" s="183"/>
      <c r="O24" s="183"/>
      <c r="P24" s="183"/>
      <c r="Q24" s="183"/>
      <c r="R24" s="183"/>
      <c r="S24" s="183"/>
      <c r="T24" s="183"/>
    </row>
    <row r="25" spans="2:20" x14ac:dyDescent="0.3">
      <c r="B25" s="151" t="s">
        <v>184</v>
      </c>
      <c r="C25" s="152" t="s">
        <v>182</v>
      </c>
      <c r="D25" s="153">
        <f>(SUMIF('Emissions Database'!$F$4:$F$123,B25,'Emissions Database'!$J$4:$J$123)+SUMIF('Emissions Database'!$F$124:$F$163,$B25,'Emissions Database'!$K$124:$K$163))/Conversions!$C$4+SUMIF('Default - Material Balance'!$F$14:$F$53,B25,'Default - Material Balance'!$J$14:$J$53)+SUMIF('Emissions Database'!$B$265:$B$344,$B25,'Emissions Database'!$C$265:$C$344)</f>
        <v>0</v>
      </c>
      <c r="E25" s="154" t="s">
        <v>467</v>
      </c>
      <c r="F25" s="155">
        <f>SUMIF('Default - Material Balance'!$F$14:$F$53,B25,'Default - Material Balance'!$J$14:$J$53)</f>
        <v>0</v>
      </c>
      <c r="G25" s="156" t="s">
        <v>467</v>
      </c>
      <c r="H25" s="183"/>
      <c r="I25" s="183"/>
      <c r="J25" s="183"/>
      <c r="K25" s="183"/>
      <c r="L25" s="183"/>
      <c r="M25" s="183"/>
      <c r="N25" s="183"/>
      <c r="O25" s="183"/>
      <c r="P25" s="183"/>
      <c r="Q25" s="183"/>
      <c r="R25" s="183"/>
      <c r="S25" s="183"/>
      <c r="T25" s="183"/>
    </row>
    <row r="26" spans="2:20" x14ac:dyDescent="0.3">
      <c r="B26" s="151" t="s">
        <v>185</v>
      </c>
      <c r="C26" s="152" t="s">
        <v>186</v>
      </c>
      <c r="D26" s="153">
        <f>(SUMIF('Emissions Database'!$F$4:$F$123,B26,'Emissions Database'!$J$4:$J$123)+SUMIF('Emissions Database'!$F$124:$F$163,$B26,'Emissions Database'!$K$124:$K$163))/Conversions!$C$4+SUMIF('Default - Material Balance'!$F$14:$F$53,B26,'Default - Material Balance'!$J$14:$J$53)+SUMIF('Emissions Database'!$B$265:$B$344,$B26,'Emissions Database'!$C$265:$C$344)</f>
        <v>0</v>
      </c>
      <c r="E26" s="154" t="s">
        <v>467</v>
      </c>
      <c r="F26" s="155">
        <f>SUMIF('Default - Material Balance'!$F$14:$F$53,B26,'Default - Material Balance'!$J$14:$J$53)</f>
        <v>0</v>
      </c>
      <c r="G26" s="156" t="s">
        <v>467</v>
      </c>
      <c r="H26" s="183"/>
      <c r="I26" s="183"/>
      <c r="J26" s="183"/>
      <c r="K26" s="183"/>
      <c r="L26" s="183"/>
      <c r="M26" s="183"/>
      <c r="N26" s="183"/>
      <c r="O26" s="183"/>
      <c r="P26" s="183"/>
      <c r="Q26" s="183"/>
      <c r="R26" s="183"/>
      <c r="S26" s="183"/>
      <c r="T26" s="183"/>
    </row>
    <row r="27" spans="2:20" x14ac:dyDescent="0.3">
      <c r="B27" s="151" t="s">
        <v>187</v>
      </c>
      <c r="C27" s="152" t="s">
        <v>186</v>
      </c>
      <c r="D27" s="153">
        <f>(SUMIF('Emissions Database'!$F$4:$F$123,B27,'Emissions Database'!$J$4:$J$123)+SUMIF('Emissions Database'!$F$124:$F$163,$B27,'Emissions Database'!$K$124:$K$163))/Conversions!$C$4+SUMIF('Default - Material Balance'!$F$14:$F$53,B27,'Default - Material Balance'!$J$14:$J$53)+SUMIF('Emissions Database'!$B$265:$B$344,$B27,'Emissions Database'!$C$265:$C$344)</f>
        <v>0</v>
      </c>
      <c r="E27" s="154" t="s">
        <v>467</v>
      </c>
      <c r="F27" s="155">
        <f>SUMIF('Default - Material Balance'!$F$14:$F$53,B27,'Default - Material Balance'!$J$14:$J$53)</f>
        <v>0</v>
      </c>
      <c r="G27" s="156" t="s">
        <v>467</v>
      </c>
      <c r="H27" s="183"/>
      <c r="I27" s="183"/>
      <c r="J27" s="183"/>
      <c r="K27" s="183"/>
      <c r="L27" s="183"/>
      <c r="M27" s="183"/>
      <c r="N27" s="183"/>
      <c r="O27" s="183"/>
      <c r="P27" s="183"/>
      <c r="Q27" s="183"/>
      <c r="R27" s="183"/>
      <c r="S27" s="183"/>
      <c r="T27" s="183"/>
    </row>
    <row r="28" spans="2:20" x14ac:dyDescent="0.3">
      <c r="B28" s="151" t="s">
        <v>188</v>
      </c>
      <c r="C28" s="152" t="s">
        <v>189</v>
      </c>
      <c r="D28" s="153">
        <f>(SUMIF('Emissions Database'!$F$4:$F$123,B28,'Emissions Database'!$J$4:$J$123)+SUMIF('Emissions Database'!$F$124:$F$163,$B28,'Emissions Database'!$K$124:$K$163))/Conversions!$C$4+SUMIF('Default - Material Balance'!$F$14:$F$53,B28,'Default - Material Balance'!$J$14:$J$53)+SUMIF('Emissions Database'!$B$265:$B$344,$B28,'Emissions Database'!$C$265:$C$344)</f>
        <v>0</v>
      </c>
      <c r="E28" s="154" t="s">
        <v>467</v>
      </c>
      <c r="F28" s="155">
        <f>SUMIF('Default - Material Balance'!$F$14:$F$53,B28,'Default - Material Balance'!$J$14:$J$53)</f>
        <v>0</v>
      </c>
      <c r="G28" s="156" t="s">
        <v>467</v>
      </c>
      <c r="H28" s="183"/>
      <c r="I28" s="183"/>
      <c r="J28" s="183"/>
      <c r="K28" s="183"/>
      <c r="L28" s="183"/>
      <c r="M28" s="183"/>
      <c r="N28" s="183"/>
      <c r="O28" s="183"/>
      <c r="P28" s="183"/>
      <c r="Q28" s="183"/>
      <c r="R28" s="183"/>
      <c r="S28" s="183"/>
      <c r="T28" s="183"/>
    </row>
    <row r="29" spans="2:20" x14ac:dyDescent="0.3">
      <c r="B29" s="151" t="s">
        <v>190</v>
      </c>
      <c r="C29" s="152" t="s">
        <v>189</v>
      </c>
      <c r="D29" s="153">
        <f>(SUMIF('Emissions Database'!$F$4:$F$123,B29,'Emissions Database'!$J$4:$J$123)+SUMIF('Emissions Database'!$F$124:$F$163,$B29,'Emissions Database'!$K$124:$K$163))/Conversions!$C$4+SUMIF('Default - Material Balance'!$F$14:$F$53,B29,'Default - Material Balance'!$J$14:$J$53)+SUMIF('Emissions Database'!$B$265:$B$344,$B29,'Emissions Database'!$C$265:$C$344)</f>
        <v>0</v>
      </c>
      <c r="E29" s="154" t="s">
        <v>467</v>
      </c>
      <c r="F29" s="155">
        <f>SUMIF('Default - Material Balance'!$F$14:$F$53,B29,'Default - Material Balance'!$J$14:$J$53)</f>
        <v>0</v>
      </c>
      <c r="G29" s="156" t="s">
        <v>467</v>
      </c>
      <c r="H29" s="183"/>
      <c r="I29" s="183"/>
      <c r="J29" s="183"/>
      <c r="K29" s="183"/>
      <c r="L29" s="183"/>
      <c r="M29" s="183"/>
      <c r="N29" s="183"/>
      <c r="O29" s="183"/>
      <c r="P29" s="183"/>
      <c r="Q29" s="183"/>
      <c r="R29" s="183"/>
      <c r="S29" s="183"/>
      <c r="T29" s="183"/>
    </row>
    <row r="30" spans="2:20" x14ac:dyDescent="0.3">
      <c r="B30" s="151" t="s">
        <v>191</v>
      </c>
      <c r="C30" s="152" t="s">
        <v>192</v>
      </c>
      <c r="D30" s="153">
        <f>(SUMIF('Emissions Database'!$F$4:$F$123,B30,'Emissions Database'!$J$4:$J$123)+SUMIF('Emissions Database'!$F$124:$F$163,$B30,'Emissions Database'!$K$124:$K$163))/Conversions!$C$4+SUMIF('Default - Material Balance'!$F$14:$F$53,B30,'Default - Material Balance'!$J$14:$J$53)+SUMIF('Emissions Database'!$B$265:$B$344,$B30,'Emissions Database'!$C$265:$C$344)</f>
        <v>0</v>
      </c>
      <c r="E30" s="154" t="s">
        <v>467</v>
      </c>
      <c r="F30" s="155">
        <f>SUMIF('Default - Material Balance'!$F$14:$F$53,B30,'Default - Material Balance'!$J$14:$J$53)</f>
        <v>0</v>
      </c>
      <c r="G30" s="156" t="s">
        <v>467</v>
      </c>
      <c r="H30" s="183"/>
      <c r="I30" s="183"/>
      <c r="J30" s="183"/>
      <c r="K30" s="183"/>
      <c r="L30" s="183"/>
      <c r="M30" s="183"/>
      <c r="N30" s="183"/>
      <c r="O30" s="183"/>
      <c r="P30" s="183"/>
      <c r="Q30" s="183"/>
      <c r="R30" s="183"/>
      <c r="S30" s="183"/>
      <c r="T30" s="183"/>
    </row>
    <row r="31" spans="2:20" x14ac:dyDescent="0.3">
      <c r="B31" s="151" t="s">
        <v>193</v>
      </c>
      <c r="C31" s="152" t="s">
        <v>194</v>
      </c>
      <c r="D31" s="153">
        <f>(SUMIF('Emissions Database'!$F$4:$F$123,B31,'Emissions Database'!$J$4:$J$123)+SUMIF('Emissions Database'!$F$124:$F$163,$B31,'Emissions Database'!$K$124:$K$163))/Conversions!$C$4+SUMIF('Default - Material Balance'!$F$14:$F$53,B31,'Default - Material Balance'!$J$14:$J$53)+SUMIF('Emissions Database'!$B$265:$B$344,$B31,'Emissions Database'!$C$265:$C$344)</f>
        <v>0</v>
      </c>
      <c r="E31" s="154" t="s">
        <v>467</v>
      </c>
      <c r="F31" s="155">
        <f>SUMIF('Default - Material Balance'!$F$14:$F$53,B31,'Default - Material Balance'!$J$14:$J$53)</f>
        <v>0</v>
      </c>
      <c r="G31" s="156" t="s">
        <v>467</v>
      </c>
      <c r="H31" s="183"/>
      <c r="I31" s="183"/>
      <c r="J31" s="183"/>
      <c r="K31" s="183"/>
      <c r="L31" s="183"/>
      <c r="M31" s="183"/>
      <c r="N31" s="183"/>
      <c r="O31" s="183"/>
      <c r="P31" s="183"/>
      <c r="Q31" s="183"/>
      <c r="R31" s="183"/>
      <c r="S31" s="183"/>
      <c r="T31" s="183"/>
    </row>
    <row r="32" spans="2:20" x14ac:dyDescent="0.3">
      <c r="B32" s="151" t="s">
        <v>195</v>
      </c>
      <c r="C32" s="152" t="s">
        <v>196</v>
      </c>
      <c r="D32" s="153">
        <f>(SUMIF('Emissions Database'!$F$4:$F$123,B32,'Emissions Database'!$J$4:$J$123)+SUMIF('Emissions Database'!$F$124:$F$163,$B32,'Emissions Database'!$K$124:$K$163))/Conversions!$C$4+SUMIF('Default - Material Balance'!$F$14:$F$53,B32,'Default - Material Balance'!$J$14:$J$53)+SUMIF('Emissions Database'!$B$265:$B$344,$B32,'Emissions Database'!$C$265:$C$344)</f>
        <v>0</v>
      </c>
      <c r="E32" s="154" t="s">
        <v>467</v>
      </c>
      <c r="F32" s="155">
        <f>SUMIF('Default - Material Balance'!$F$14:$F$53,B32,'Default - Material Balance'!$J$14:$J$53)</f>
        <v>0</v>
      </c>
      <c r="G32" s="156" t="s">
        <v>467</v>
      </c>
      <c r="H32" s="183"/>
      <c r="I32" s="183"/>
      <c r="J32" s="183"/>
      <c r="K32" s="183"/>
      <c r="L32" s="183"/>
      <c r="M32" s="183"/>
      <c r="N32" s="183"/>
      <c r="O32" s="183"/>
      <c r="P32" s="183"/>
      <c r="Q32" s="183"/>
      <c r="R32" s="183"/>
      <c r="S32" s="183"/>
      <c r="T32" s="183"/>
    </row>
    <row r="33" spans="2:20" x14ac:dyDescent="0.3">
      <c r="B33" s="151" t="s">
        <v>197</v>
      </c>
      <c r="C33" s="152" t="s">
        <v>198</v>
      </c>
      <c r="D33" s="153">
        <f>(SUMIF('Emissions Database'!$F$4:$F$123,B33,'Emissions Database'!$J$4:$J$123)+SUMIF('Emissions Database'!$F$124:$F$163,$B33,'Emissions Database'!$K$124:$K$163))/Conversions!$C$4+SUMIF('Default - Material Balance'!$F$14:$F$53,B33,'Default - Material Balance'!$J$14:$J$53)+SUMIF('Emissions Database'!$B$265:$B$344,$B33,'Emissions Database'!$C$265:$C$344)</f>
        <v>0</v>
      </c>
      <c r="E33" s="154" t="s">
        <v>467</v>
      </c>
      <c r="F33" s="155">
        <f>SUMIF('Default - Material Balance'!$F$14:$F$53,B33,'Default - Material Balance'!$J$14:$J$53)</f>
        <v>0</v>
      </c>
      <c r="G33" s="156" t="s">
        <v>467</v>
      </c>
      <c r="H33" s="183"/>
      <c r="I33" s="183"/>
      <c r="J33" s="183"/>
      <c r="K33" s="183"/>
      <c r="L33" s="183"/>
      <c r="M33" s="183"/>
      <c r="N33" s="183"/>
      <c r="O33" s="183"/>
      <c r="P33" s="183"/>
      <c r="Q33" s="183"/>
      <c r="R33" s="183"/>
      <c r="S33" s="183"/>
      <c r="T33" s="183"/>
    </row>
    <row r="34" spans="2:20" x14ac:dyDescent="0.3">
      <c r="B34" s="151" t="s">
        <v>199</v>
      </c>
      <c r="C34" s="152" t="s">
        <v>198</v>
      </c>
      <c r="D34" s="153">
        <f>(SUMIF('Emissions Database'!$F$4:$F$123,B34,'Emissions Database'!$J$4:$J$123)+SUMIF('Emissions Database'!$F$124:$F$163,$B34,'Emissions Database'!$K$124:$K$163))/Conversions!$C$4+SUMIF('Default - Material Balance'!$F$14:$F$53,B34,'Default - Material Balance'!$J$14:$J$53)+SUMIF('Emissions Database'!$B$265:$B$344,$B34,'Emissions Database'!$C$265:$C$344)</f>
        <v>0</v>
      </c>
      <c r="E34" s="154" t="s">
        <v>467</v>
      </c>
      <c r="F34" s="155">
        <f>SUMIF('Default - Material Balance'!$F$14:$F$53,B34,'Default - Material Balance'!$J$14:$J$53)</f>
        <v>0</v>
      </c>
      <c r="G34" s="156" t="s">
        <v>467</v>
      </c>
      <c r="H34" s="183"/>
      <c r="I34" s="183"/>
      <c r="J34" s="183"/>
      <c r="K34" s="183"/>
      <c r="L34" s="183"/>
      <c r="M34" s="183"/>
      <c r="N34" s="183"/>
      <c r="O34" s="183"/>
      <c r="P34" s="183"/>
      <c r="Q34" s="183"/>
      <c r="R34" s="183"/>
      <c r="S34" s="183"/>
      <c r="T34" s="183"/>
    </row>
    <row r="35" spans="2:20" x14ac:dyDescent="0.3">
      <c r="B35" s="151" t="s">
        <v>200</v>
      </c>
      <c r="C35" s="152" t="s">
        <v>198</v>
      </c>
      <c r="D35" s="153">
        <f>(SUMIF('Emissions Database'!$F$4:$F$123,B35,'Emissions Database'!$J$4:$J$123)+SUMIF('Emissions Database'!$F$124:$F$163,$B35,'Emissions Database'!$K$124:$K$163))/Conversions!$C$4+SUMIF('Default - Material Balance'!$F$14:$F$53,B35,'Default - Material Balance'!$J$14:$J$53)+SUMIF('Emissions Database'!$B$265:$B$344,$B35,'Emissions Database'!$C$265:$C$344)</f>
        <v>0</v>
      </c>
      <c r="E35" s="154" t="s">
        <v>467</v>
      </c>
      <c r="F35" s="155">
        <f>SUMIF('Default - Material Balance'!$F$14:$F$53,B35,'Default - Material Balance'!$J$14:$J$53)</f>
        <v>0</v>
      </c>
      <c r="G35" s="156" t="s">
        <v>467</v>
      </c>
      <c r="H35" s="183"/>
      <c r="I35" s="183"/>
      <c r="J35" s="183"/>
      <c r="K35" s="183"/>
      <c r="L35" s="183"/>
      <c r="M35" s="183"/>
      <c r="N35" s="183"/>
      <c r="O35" s="183"/>
      <c r="P35" s="183"/>
      <c r="Q35" s="183"/>
      <c r="R35" s="183"/>
      <c r="S35" s="183"/>
      <c r="T35" s="183"/>
    </row>
    <row r="36" spans="2:20" x14ac:dyDescent="0.3">
      <c r="B36" s="151" t="s">
        <v>201</v>
      </c>
      <c r="C36" s="152" t="s">
        <v>198</v>
      </c>
      <c r="D36" s="153">
        <f>(SUMIF('Emissions Database'!$F$4:$F$123,B36,'Emissions Database'!$J$4:$J$123)+SUMIF('Emissions Database'!$F$124:$F$163,$B36,'Emissions Database'!$K$124:$K$163))/Conversions!$C$4+SUMIF('Default - Material Balance'!$F$14:$F$53,B36,'Default - Material Balance'!$J$14:$J$53)+SUMIF('Emissions Database'!$B$265:$B$344,$B36,'Emissions Database'!$C$265:$C$344)</f>
        <v>0</v>
      </c>
      <c r="E36" s="154" t="s">
        <v>467</v>
      </c>
      <c r="F36" s="155">
        <f>SUMIF('Default - Material Balance'!$F$14:$F$53,B36,'Default - Material Balance'!$J$14:$J$53)</f>
        <v>0</v>
      </c>
      <c r="G36" s="156" t="s">
        <v>467</v>
      </c>
      <c r="H36" s="183"/>
      <c r="I36" s="183"/>
      <c r="J36" s="183"/>
      <c r="K36" s="183"/>
      <c r="L36" s="183"/>
      <c r="M36" s="183"/>
      <c r="N36" s="183"/>
      <c r="O36" s="183"/>
      <c r="P36" s="183"/>
      <c r="Q36" s="183"/>
      <c r="R36" s="183"/>
      <c r="S36" s="183"/>
      <c r="T36" s="183"/>
    </row>
    <row r="37" spans="2:20" x14ac:dyDescent="0.3">
      <c r="B37" s="151" t="s">
        <v>202</v>
      </c>
      <c r="C37" s="152" t="s">
        <v>198</v>
      </c>
      <c r="D37" s="153">
        <f>(SUMIF('Emissions Database'!$F$4:$F$123,B37,'Emissions Database'!$J$4:$J$123)+SUMIF('Emissions Database'!$F$124:$F$163,$B37,'Emissions Database'!$K$124:$K$163))/Conversions!$C$4+SUMIF('Default - Material Balance'!$F$14:$F$53,B37,'Default - Material Balance'!$J$14:$J$53)+SUMIF('Emissions Database'!$B$265:$B$344,$B37,'Emissions Database'!$C$265:$C$344)</f>
        <v>0</v>
      </c>
      <c r="E37" s="154" t="s">
        <v>467</v>
      </c>
      <c r="F37" s="155">
        <f>SUMIF('Default - Material Balance'!$F$14:$F$53,B37,'Default - Material Balance'!$J$14:$J$53)</f>
        <v>0</v>
      </c>
      <c r="G37" s="156" t="s">
        <v>467</v>
      </c>
      <c r="H37" s="183"/>
      <c r="I37" s="183"/>
      <c r="J37" s="183"/>
      <c r="K37" s="183"/>
      <c r="L37" s="183"/>
      <c r="M37" s="183"/>
      <c r="N37" s="183"/>
      <c r="O37" s="183"/>
      <c r="P37" s="183"/>
      <c r="Q37" s="183"/>
      <c r="R37" s="183"/>
      <c r="S37" s="183"/>
      <c r="T37" s="183"/>
    </row>
    <row r="38" spans="2:20" x14ac:dyDescent="0.3">
      <c r="B38" s="151" t="s">
        <v>203</v>
      </c>
      <c r="C38" s="152" t="s">
        <v>204</v>
      </c>
      <c r="D38" s="153">
        <f>(SUMIF('Emissions Database'!$F$4:$F$123,B38,'Emissions Database'!$J$4:$J$123)+SUMIF('Emissions Database'!$F$124:$F$163,$B38,'Emissions Database'!$K$124:$K$163))/Conversions!$C$4+SUMIF('Default - Material Balance'!$F$14:$F$53,B38,'Default - Material Balance'!$J$14:$J$53)+SUMIF('Emissions Database'!$B$265:$B$344,$B38,'Emissions Database'!$C$265:$C$344)</f>
        <v>0</v>
      </c>
      <c r="E38" s="154" t="s">
        <v>467</v>
      </c>
      <c r="F38" s="155">
        <f>SUMIF('Default - Material Balance'!$F$14:$F$53,B38,'Default - Material Balance'!$J$14:$J$53)</f>
        <v>0</v>
      </c>
      <c r="G38" s="156" t="s">
        <v>467</v>
      </c>
      <c r="H38" s="183"/>
      <c r="I38" s="183"/>
      <c r="J38" s="183"/>
      <c r="K38" s="183"/>
      <c r="L38" s="183"/>
      <c r="M38" s="183"/>
      <c r="N38" s="183"/>
      <c r="O38" s="183"/>
      <c r="P38" s="183"/>
      <c r="Q38" s="183"/>
      <c r="R38" s="183"/>
      <c r="S38" s="183"/>
      <c r="T38" s="183"/>
    </row>
    <row r="39" spans="2:20" x14ac:dyDescent="0.3">
      <c r="B39" s="151" t="s">
        <v>205</v>
      </c>
      <c r="C39" s="152" t="s">
        <v>206</v>
      </c>
      <c r="D39" s="153">
        <f>(SUMIF('Emissions Database'!$F$4:$F$123,B39,'Emissions Database'!$J$4:$J$123)+SUMIF('Emissions Database'!$F$124:$F$163,$B39,'Emissions Database'!$K$124:$K$163))/Conversions!$C$4+SUMIF('Default - Material Balance'!$F$14:$F$53,B39,'Default - Material Balance'!$J$14:$J$53)+SUMIF('Emissions Database'!$B$265:$B$344,$B39,'Emissions Database'!$C$265:$C$344)</f>
        <v>0</v>
      </c>
      <c r="E39" s="154" t="s">
        <v>467</v>
      </c>
      <c r="F39" s="155">
        <f>SUMIF('Default - Material Balance'!$F$14:$F$53,B39,'Default - Material Balance'!$J$14:$J$53)</f>
        <v>0</v>
      </c>
      <c r="G39" s="156" t="s">
        <v>467</v>
      </c>
      <c r="H39" s="183"/>
      <c r="I39" s="183"/>
      <c r="J39" s="183"/>
      <c r="K39" s="183"/>
      <c r="L39" s="183"/>
      <c r="M39" s="183"/>
      <c r="N39" s="183"/>
      <c r="O39" s="183"/>
      <c r="P39" s="183"/>
      <c r="Q39" s="183"/>
      <c r="R39" s="183"/>
      <c r="S39" s="183"/>
      <c r="T39" s="183"/>
    </row>
    <row r="40" spans="2:20" x14ac:dyDescent="0.3">
      <c r="B40" s="151" t="s">
        <v>207</v>
      </c>
      <c r="C40" s="152" t="s">
        <v>206</v>
      </c>
      <c r="D40" s="153">
        <f>(SUMIF('Emissions Database'!$F$4:$F$123,B40,'Emissions Database'!$J$4:$J$123)+SUMIF('Emissions Database'!$F$124:$F$163,$B40,'Emissions Database'!$K$124:$K$163))/Conversions!$C$4+SUMIF('Default - Material Balance'!$F$14:$F$53,B40,'Default - Material Balance'!$J$14:$J$53)+SUMIF('Emissions Database'!$B$265:$B$344,$B40,'Emissions Database'!$C$265:$C$344)</f>
        <v>0</v>
      </c>
      <c r="E40" s="154" t="s">
        <v>467</v>
      </c>
      <c r="F40" s="155">
        <f>SUMIF('Default - Material Balance'!$F$14:$F$53,B40,'Default - Material Balance'!$J$14:$J$53)</f>
        <v>0</v>
      </c>
      <c r="G40" s="156" t="s">
        <v>467</v>
      </c>
      <c r="H40" s="183"/>
      <c r="I40" s="183"/>
      <c r="J40" s="183"/>
      <c r="K40" s="183"/>
      <c r="L40" s="183"/>
      <c r="M40" s="183"/>
      <c r="N40" s="183"/>
      <c r="O40" s="183"/>
      <c r="P40" s="183"/>
      <c r="Q40" s="183"/>
      <c r="R40" s="183"/>
      <c r="S40" s="183"/>
      <c r="T40" s="183"/>
    </row>
    <row r="41" spans="2:20" x14ac:dyDescent="0.3">
      <c r="B41" s="151" t="s">
        <v>208</v>
      </c>
      <c r="C41" s="152" t="s">
        <v>209</v>
      </c>
      <c r="D41" s="153">
        <f>(SUMIF('Emissions Database'!$F$4:$F$123,B41,'Emissions Database'!$J$4:$J$123)+SUMIF('Emissions Database'!$F$124:$F$163,$B41,'Emissions Database'!$K$124:$K$163))/Conversions!$C$4+SUMIF('Default - Material Balance'!$F$14:$F$53,B41,'Default - Material Balance'!$J$14:$J$53)+SUMIF('Emissions Database'!$B$265:$B$344,$B41,'Emissions Database'!$C$265:$C$344)</f>
        <v>0</v>
      </c>
      <c r="E41" s="154" t="s">
        <v>467</v>
      </c>
      <c r="F41" s="155">
        <f>SUMIF('Default - Material Balance'!$F$14:$F$53,B41,'Default - Material Balance'!$J$14:$J$53)</f>
        <v>0</v>
      </c>
      <c r="G41" s="156" t="s">
        <v>467</v>
      </c>
      <c r="H41" s="183"/>
      <c r="I41" s="183"/>
      <c r="J41" s="183"/>
      <c r="K41" s="183"/>
      <c r="L41" s="183"/>
      <c r="M41" s="183"/>
      <c r="N41" s="183"/>
      <c r="O41" s="183"/>
      <c r="P41" s="183"/>
      <c r="Q41" s="183"/>
      <c r="R41" s="183"/>
      <c r="S41" s="183"/>
      <c r="T41" s="183"/>
    </row>
    <row r="42" spans="2:20" x14ac:dyDescent="0.3">
      <c r="B42" s="151" t="s">
        <v>210</v>
      </c>
      <c r="C42" s="152" t="s">
        <v>209</v>
      </c>
      <c r="D42" s="153">
        <f>(SUMIF('Emissions Database'!$F$4:$F$123,B42,'Emissions Database'!$J$4:$J$123)+SUMIF('Emissions Database'!$F$124:$F$163,$B42,'Emissions Database'!$K$124:$K$163))/Conversions!$C$4+SUMIF('Default - Material Balance'!$F$14:$F$53,B42,'Default - Material Balance'!$J$14:$J$53)+SUMIF('Emissions Database'!$B$265:$B$344,$B42,'Emissions Database'!$C$265:$C$344)</f>
        <v>0</v>
      </c>
      <c r="E42" s="154" t="s">
        <v>467</v>
      </c>
      <c r="F42" s="155">
        <f>SUMIF('Default - Material Balance'!$F$14:$F$53,B42,'Default - Material Balance'!$J$14:$J$53)</f>
        <v>0</v>
      </c>
      <c r="G42" s="156" t="s">
        <v>467</v>
      </c>
      <c r="H42" s="183"/>
      <c r="I42" s="183"/>
      <c r="J42" s="183"/>
      <c r="K42" s="183"/>
      <c r="L42" s="183"/>
      <c r="M42" s="183"/>
      <c r="N42" s="183"/>
      <c r="O42" s="183"/>
      <c r="P42" s="183"/>
      <c r="Q42" s="183"/>
      <c r="R42" s="183"/>
      <c r="S42" s="183"/>
      <c r="T42" s="183"/>
    </row>
    <row r="43" spans="2:20" x14ac:dyDescent="0.3">
      <c r="B43" s="151" t="s">
        <v>211</v>
      </c>
      <c r="C43" s="152" t="s">
        <v>212</v>
      </c>
      <c r="D43" s="153">
        <f>(SUMIF('Emissions Database'!$F$4:$F$123,B43,'Emissions Database'!$J$4:$J$123)+SUMIF('Emissions Database'!$F$124:$F$163,$B43,'Emissions Database'!$K$124:$K$163))/Conversions!$C$4+SUMIF('Default - Material Balance'!$F$14:$F$53,B43,'Default - Material Balance'!$J$14:$J$53)+SUMIF('Emissions Database'!$B$265:$B$344,$B43,'Emissions Database'!$C$265:$C$344)</f>
        <v>0</v>
      </c>
      <c r="E43" s="154" t="s">
        <v>467</v>
      </c>
      <c r="F43" s="155">
        <f>SUMIF('Default - Material Balance'!$F$14:$F$53,B43,'Default - Material Balance'!$J$14:$J$53)</f>
        <v>0</v>
      </c>
      <c r="G43" s="156" t="s">
        <v>467</v>
      </c>
      <c r="H43" s="183"/>
      <c r="I43" s="183"/>
      <c r="J43" s="183"/>
      <c r="K43" s="183"/>
      <c r="L43" s="183"/>
      <c r="M43" s="183"/>
      <c r="N43" s="183"/>
      <c r="O43" s="183"/>
      <c r="P43" s="183"/>
      <c r="Q43" s="183"/>
      <c r="R43" s="183"/>
      <c r="S43" s="183"/>
      <c r="T43" s="183"/>
    </row>
    <row r="44" spans="2:20" x14ac:dyDescent="0.3">
      <c r="B44" s="151" t="s">
        <v>213</v>
      </c>
      <c r="C44" s="152" t="s">
        <v>212</v>
      </c>
      <c r="D44" s="153">
        <f>(SUMIF('Emissions Database'!$F$4:$F$123,B44,'Emissions Database'!$J$4:$J$123)+SUMIF('Emissions Database'!$F$124:$F$163,$B44,'Emissions Database'!$K$124:$K$163))/Conversions!$C$4+SUMIF('Default - Material Balance'!$F$14:$F$53,B44,'Default - Material Balance'!$J$14:$J$53)+SUMIF('Emissions Database'!$B$265:$B$344,$B44,'Emissions Database'!$C$265:$C$344)</f>
        <v>0</v>
      </c>
      <c r="E44" s="154" t="s">
        <v>467</v>
      </c>
      <c r="F44" s="155">
        <f>SUMIF('Default - Material Balance'!$F$14:$F$53,B44,'Default - Material Balance'!$J$14:$J$53)</f>
        <v>0</v>
      </c>
      <c r="G44" s="156" t="s">
        <v>467</v>
      </c>
      <c r="H44" s="183"/>
      <c r="I44" s="183"/>
      <c r="J44" s="183"/>
      <c r="K44" s="183"/>
      <c r="L44" s="183"/>
      <c r="M44" s="183"/>
      <c r="N44" s="183"/>
      <c r="O44" s="183"/>
      <c r="P44" s="183"/>
      <c r="Q44" s="183"/>
      <c r="R44" s="183"/>
      <c r="S44" s="183"/>
      <c r="T44" s="183"/>
    </row>
    <row r="45" spans="2:20" x14ac:dyDescent="0.3">
      <c r="B45" s="151" t="s">
        <v>214</v>
      </c>
      <c r="C45" s="152" t="s">
        <v>215</v>
      </c>
      <c r="D45" s="153">
        <f>(SUMIF('Emissions Database'!$F$4:$F$123,B45,'Emissions Database'!$J$4:$J$123)+SUMIF('Emissions Database'!$F$124:$F$163,$B45,'Emissions Database'!$K$124:$K$163))/Conversions!$C$4+SUMIF('Default - Material Balance'!$F$14:$F$53,B45,'Default - Material Balance'!$J$14:$J$53)+SUMIF('Emissions Database'!$B$265:$B$344,$B45,'Emissions Database'!$C$265:$C$344)</f>
        <v>0</v>
      </c>
      <c r="E45" s="154" t="s">
        <v>467</v>
      </c>
      <c r="F45" s="155">
        <f>SUMIF('Default - Material Balance'!$F$14:$F$53,B45,'Default - Material Balance'!$J$14:$J$53)</f>
        <v>0</v>
      </c>
      <c r="G45" s="156" t="s">
        <v>467</v>
      </c>
      <c r="H45" s="183"/>
      <c r="I45" s="183"/>
      <c r="J45" s="183"/>
      <c r="K45" s="183"/>
      <c r="L45" s="183"/>
      <c r="M45" s="183"/>
      <c r="N45" s="183"/>
      <c r="O45" s="183"/>
      <c r="P45" s="183"/>
      <c r="Q45" s="183"/>
      <c r="R45" s="183"/>
      <c r="S45" s="183"/>
      <c r="T45" s="183"/>
    </row>
    <row r="46" spans="2:20" x14ac:dyDescent="0.3">
      <c r="B46" s="151" t="s">
        <v>216</v>
      </c>
      <c r="C46" s="152" t="s">
        <v>217</v>
      </c>
      <c r="D46" s="153">
        <f>(SUMIF('Emissions Database'!$F$4:$F$123,B46,'Emissions Database'!$J$4:$J$123)+SUMIF('Emissions Database'!$F$124:$F$163,$B46,'Emissions Database'!$K$124:$K$163))/Conversions!$C$4+SUMIF('Default - Material Balance'!$F$14:$F$53,B46,'Default - Material Balance'!$J$14:$J$53)+SUMIF('Emissions Database'!$B$265:$B$344,$B46,'Emissions Database'!$C$265:$C$344)</f>
        <v>0</v>
      </c>
      <c r="E46" s="154" t="s">
        <v>467</v>
      </c>
      <c r="F46" s="155">
        <f>SUMIF('Default - Material Balance'!$F$14:$F$53,B46,'Default - Material Balance'!$J$14:$J$53)</f>
        <v>0</v>
      </c>
      <c r="G46" s="156" t="s">
        <v>467</v>
      </c>
      <c r="H46" s="183"/>
      <c r="I46" s="183"/>
      <c r="J46" s="183"/>
      <c r="K46" s="183"/>
      <c r="L46" s="183"/>
      <c r="M46" s="183"/>
      <c r="N46" s="183"/>
      <c r="O46" s="183"/>
      <c r="P46" s="183"/>
      <c r="Q46" s="183"/>
      <c r="R46" s="183"/>
      <c r="S46" s="183"/>
      <c r="T46" s="183"/>
    </row>
    <row r="47" spans="2:20" x14ac:dyDescent="0.3">
      <c r="B47" s="151" t="s">
        <v>218</v>
      </c>
      <c r="C47" s="152" t="s">
        <v>219</v>
      </c>
      <c r="D47" s="153">
        <f>(SUMIF('Emissions Database'!$F$4:$F$123,B47,'Emissions Database'!$J$4:$J$123)+SUMIF('Emissions Database'!$F$124:$F$163,$B47,'Emissions Database'!$K$124:$K$163))/Conversions!$C$4+SUMIF('Default - Material Balance'!$F$14:$F$53,B47,'Default - Material Balance'!$J$14:$J$53)+SUMIF('Emissions Database'!$B$265:$B$344,$B47,'Emissions Database'!$C$265:$C$344)</f>
        <v>0</v>
      </c>
      <c r="E47" s="154" t="s">
        <v>467</v>
      </c>
      <c r="F47" s="155">
        <f>SUMIF('Default - Material Balance'!$F$14:$F$53,B47,'Default - Material Balance'!$J$14:$J$53)</f>
        <v>0</v>
      </c>
      <c r="G47" s="156" t="s">
        <v>467</v>
      </c>
      <c r="H47" s="183"/>
      <c r="I47" s="183"/>
      <c r="J47" s="183"/>
      <c r="K47" s="183"/>
      <c r="L47" s="183"/>
      <c r="M47" s="183"/>
      <c r="N47" s="183"/>
      <c r="O47" s="183"/>
      <c r="P47" s="183"/>
      <c r="Q47" s="183"/>
      <c r="R47" s="183"/>
      <c r="S47" s="183"/>
      <c r="T47" s="183"/>
    </row>
    <row r="48" spans="2:20" x14ac:dyDescent="0.3">
      <c r="B48" s="151" t="s">
        <v>220</v>
      </c>
      <c r="C48" s="152" t="s">
        <v>219</v>
      </c>
      <c r="D48" s="153">
        <f>(SUMIF('Emissions Database'!$F$4:$F$123,B48,'Emissions Database'!$J$4:$J$123)+SUMIF('Emissions Database'!$F$124:$F$163,$B48,'Emissions Database'!$K$124:$K$163))/Conversions!$C$4+SUMIF('Default - Material Balance'!$F$14:$F$53,B48,'Default - Material Balance'!$J$14:$J$53)+SUMIF('Emissions Database'!$B$265:$B$344,$B48,'Emissions Database'!$C$265:$C$344)</f>
        <v>0</v>
      </c>
      <c r="E48" s="154" t="s">
        <v>467</v>
      </c>
      <c r="F48" s="155">
        <f>SUMIF('Default - Material Balance'!$F$14:$F$53,B48,'Default - Material Balance'!$J$14:$J$53)</f>
        <v>0</v>
      </c>
      <c r="G48" s="156" t="s">
        <v>467</v>
      </c>
      <c r="H48" s="183"/>
      <c r="I48" s="183"/>
      <c r="J48" s="183"/>
      <c r="K48" s="183"/>
      <c r="L48" s="183"/>
      <c r="M48" s="183"/>
      <c r="N48" s="183"/>
      <c r="O48" s="183"/>
      <c r="P48" s="183"/>
      <c r="Q48" s="183"/>
      <c r="R48" s="183"/>
      <c r="S48" s="183"/>
      <c r="T48" s="183"/>
    </row>
    <row r="49" spans="2:20" x14ac:dyDescent="0.3">
      <c r="B49" s="151" t="s">
        <v>221</v>
      </c>
      <c r="C49" s="152" t="s">
        <v>222</v>
      </c>
      <c r="D49" s="153">
        <f>(SUMIF('Emissions Database'!$F$4:$F$123,B49,'Emissions Database'!$J$4:$J$123)+SUMIF('Emissions Database'!$F$124:$F$163,$B49,'Emissions Database'!$K$124:$K$163))/Conversions!$C$4+SUMIF('Default - Material Balance'!$F$14:$F$53,B49,'Default - Material Balance'!$J$14:$J$53)+SUMIF('Emissions Database'!$B$265:$B$344,$B49,'Emissions Database'!$C$265:$C$344)</f>
        <v>0</v>
      </c>
      <c r="E49" s="154" t="s">
        <v>467</v>
      </c>
      <c r="F49" s="155">
        <f>SUMIF('Default - Material Balance'!$F$14:$F$53,B49,'Default - Material Balance'!$J$14:$J$53)</f>
        <v>0</v>
      </c>
      <c r="G49" s="156" t="s">
        <v>467</v>
      </c>
      <c r="H49" s="183"/>
      <c r="I49" s="183"/>
      <c r="J49" s="183"/>
      <c r="K49" s="183"/>
      <c r="L49" s="183"/>
      <c r="M49" s="183"/>
      <c r="N49" s="183"/>
      <c r="O49" s="183"/>
      <c r="P49" s="183"/>
      <c r="Q49" s="183"/>
      <c r="R49" s="183"/>
      <c r="S49" s="183"/>
      <c r="T49" s="183"/>
    </row>
    <row r="50" spans="2:20" x14ac:dyDescent="0.3">
      <c r="B50" s="151" t="s">
        <v>223</v>
      </c>
      <c r="C50" s="152" t="s">
        <v>222</v>
      </c>
      <c r="D50" s="153">
        <f>(SUMIF('Emissions Database'!$F$4:$F$123,B50,'Emissions Database'!$J$4:$J$123)+SUMIF('Emissions Database'!$F$124:$F$163,$B50,'Emissions Database'!$K$124:$K$163))/Conversions!$C$4+SUMIF('Default - Material Balance'!$F$14:$F$53,B50,'Default - Material Balance'!$J$14:$J$53)+SUMIF('Emissions Database'!$B$265:$B$344,$B50,'Emissions Database'!$C$265:$C$344)</f>
        <v>0</v>
      </c>
      <c r="E50" s="154" t="s">
        <v>467</v>
      </c>
      <c r="F50" s="155">
        <f>SUMIF('Default - Material Balance'!$F$14:$F$53,B50,'Default - Material Balance'!$J$14:$J$53)</f>
        <v>0</v>
      </c>
      <c r="G50" s="156" t="s">
        <v>467</v>
      </c>
      <c r="H50" s="183"/>
      <c r="I50" s="183"/>
      <c r="J50" s="183"/>
      <c r="K50" s="183"/>
      <c r="L50" s="183"/>
      <c r="M50" s="183"/>
      <c r="N50" s="183"/>
      <c r="O50" s="183"/>
      <c r="P50" s="183"/>
      <c r="Q50" s="183"/>
      <c r="R50" s="183"/>
      <c r="S50" s="183"/>
      <c r="T50" s="183"/>
    </row>
    <row r="51" spans="2:20" x14ac:dyDescent="0.3">
      <c r="B51" s="151" t="s">
        <v>224</v>
      </c>
      <c r="C51" s="152" t="s">
        <v>225</v>
      </c>
      <c r="D51" s="153">
        <f>(SUMIF('Emissions Database'!$F$4:$F$123,B51,'Emissions Database'!$J$4:$J$123)+SUMIF('Emissions Database'!$F$124:$F$163,$B51,'Emissions Database'!$K$124:$K$163))/Conversions!$C$4+SUMIF('Default - Material Balance'!$F$14:$F$53,B51,'Default - Material Balance'!$J$14:$J$53)+SUMIF('Emissions Database'!$B$265:$B$344,$B51,'Emissions Database'!$C$265:$C$344)</f>
        <v>0</v>
      </c>
      <c r="E51" s="154" t="s">
        <v>467</v>
      </c>
      <c r="F51" s="155">
        <f>SUMIF('Default - Material Balance'!$F$14:$F$53,B51,'Default - Material Balance'!$J$14:$J$53)</f>
        <v>0</v>
      </c>
      <c r="G51" s="156" t="s">
        <v>467</v>
      </c>
      <c r="H51" s="183"/>
      <c r="I51" s="183"/>
      <c r="J51" s="183"/>
      <c r="K51" s="183"/>
      <c r="L51" s="183"/>
      <c r="M51" s="183"/>
      <c r="N51" s="183"/>
      <c r="O51" s="183"/>
      <c r="P51" s="183"/>
      <c r="Q51" s="183"/>
      <c r="R51" s="183"/>
      <c r="S51" s="183"/>
      <c r="T51" s="183"/>
    </row>
    <row r="52" spans="2:20" x14ac:dyDescent="0.3">
      <c r="B52" s="151" t="s">
        <v>226</v>
      </c>
      <c r="C52" s="152" t="s">
        <v>227</v>
      </c>
      <c r="D52" s="153">
        <f>(SUMIF('Emissions Database'!$F$4:$F$123,B52,'Emissions Database'!$J$4:$J$123)+SUMIF('Emissions Database'!$F$124:$F$163,$B52,'Emissions Database'!$K$124:$K$163))/Conversions!$C$4+SUMIF('Default - Material Balance'!$F$14:$F$53,B52,'Default - Material Balance'!$J$14:$J$53)+SUMIF('Emissions Database'!$B$265:$B$344,$B52,'Emissions Database'!$C$265:$C$344)</f>
        <v>0</v>
      </c>
      <c r="E52" s="154" t="s">
        <v>467</v>
      </c>
      <c r="F52" s="155">
        <f>SUMIF('Default - Material Balance'!$F$14:$F$53,B52,'Default - Material Balance'!$J$14:$J$53)</f>
        <v>0</v>
      </c>
      <c r="G52" s="156" t="s">
        <v>467</v>
      </c>
      <c r="H52" s="183"/>
      <c r="I52" s="183"/>
      <c r="J52" s="183"/>
      <c r="K52" s="183"/>
      <c r="L52" s="183"/>
      <c r="M52" s="183"/>
      <c r="N52" s="183"/>
      <c r="O52" s="183"/>
      <c r="P52" s="183"/>
      <c r="Q52" s="183"/>
      <c r="R52" s="183"/>
      <c r="S52" s="183"/>
      <c r="T52" s="183"/>
    </row>
    <row r="53" spans="2:20" x14ac:dyDescent="0.3">
      <c r="B53" s="151" t="s">
        <v>228</v>
      </c>
      <c r="C53" s="152" t="s">
        <v>229</v>
      </c>
      <c r="D53" s="153">
        <f>(SUMIF('Emissions Database'!$F$4:$F$123,B53,'Emissions Database'!$J$4:$J$123)+SUMIF('Emissions Database'!$F$124:$F$163,$B53,'Emissions Database'!$K$124:$K$163))/Conversions!$C$4+SUMIF('Default - Material Balance'!$F$14:$F$53,B53,'Default - Material Balance'!$J$14:$J$53)+SUMIF('Emissions Database'!$B$265:$B$344,$B53,'Emissions Database'!$C$265:$C$344)</f>
        <v>0</v>
      </c>
      <c r="E53" s="154" t="s">
        <v>467</v>
      </c>
      <c r="F53" s="155">
        <f>SUMIF('Default - Material Balance'!$F$14:$F$53,B53,'Default - Material Balance'!$J$14:$J$53)</f>
        <v>0</v>
      </c>
      <c r="G53" s="156" t="s">
        <v>467</v>
      </c>
      <c r="H53" s="183"/>
      <c r="I53" s="183"/>
      <c r="J53" s="183"/>
      <c r="K53" s="183"/>
      <c r="L53" s="183"/>
      <c r="M53" s="183"/>
      <c r="N53" s="183"/>
      <c r="O53" s="183"/>
      <c r="P53" s="183"/>
      <c r="Q53" s="183"/>
      <c r="R53" s="183"/>
      <c r="S53" s="183"/>
      <c r="T53" s="183"/>
    </row>
    <row r="54" spans="2:20" x14ac:dyDescent="0.3">
      <c r="B54" s="151" t="s">
        <v>230</v>
      </c>
      <c r="C54" s="152" t="s">
        <v>231</v>
      </c>
      <c r="D54" s="153">
        <f>(SUMIF('Emissions Database'!$F$4:$F$123,B54,'Emissions Database'!$J$4:$J$123)+SUMIF('Emissions Database'!$F$124:$F$163,$B54,'Emissions Database'!$K$124:$K$163))/Conversions!$C$4+SUMIF('Default - Material Balance'!$F$14:$F$53,B54,'Default - Material Balance'!$J$14:$J$53)+SUMIF('Emissions Database'!$B$265:$B$344,$B54,'Emissions Database'!$C$265:$C$344)</f>
        <v>0</v>
      </c>
      <c r="E54" s="154" t="s">
        <v>467</v>
      </c>
      <c r="F54" s="155">
        <f>SUMIF('Default - Material Balance'!$F$14:$F$53,B54,'Default - Material Balance'!$J$14:$J$53)</f>
        <v>0</v>
      </c>
      <c r="G54" s="156" t="s">
        <v>467</v>
      </c>
      <c r="H54" s="183"/>
      <c r="I54" s="183"/>
      <c r="J54" s="183"/>
      <c r="K54" s="183"/>
      <c r="L54" s="183"/>
      <c r="M54" s="183"/>
      <c r="N54" s="183"/>
      <c r="O54" s="183"/>
      <c r="P54" s="183"/>
      <c r="Q54" s="183"/>
      <c r="R54" s="183"/>
      <c r="S54" s="183"/>
      <c r="T54" s="183"/>
    </row>
    <row r="55" spans="2:20" x14ac:dyDescent="0.3">
      <c r="B55" s="151" t="s">
        <v>232</v>
      </c>
      <c r="C55" s="152" t="s">
        <v>233</v>
      </c>
      <c r="D55" s="153">
        <f>(SUMIF('Emissions Database'!$F$4:$F$123,B55,'Emissions Database'!$J$4:$J$123)+SUMIF('Emissions Database'!$F$124:$F$163,$B55,'Emissions Database'!$K$124:$K$163))/Conversions!$C$4+SUMIF('Default - Material Balance'!$F$14:$F$53,B55,'Default - Material Balance'!$J$14:$J$53)+SUMIF('Emissions Database'!$B$265:$B$344,$B55,'Emissions Database'!$C$265:$C$344)</f>
        <v>0</v>
      </c>
      <c r="E55" s="154" t="s">
        <v>467</v>
      </c>
      <c r="F55" s="155">
        <f>SUMIF('Default - Material Balance'!$F$14:$F$53,B55,'Default - Material Balance'!$J$14:$J$53)</f>
        <v>0</v>
      </c>
      <c r="G55" s="156" t="s">
        <v>467</v>
      </c>
      <c r="H55" s="183"/>
      <c r="I55" s="183"/>
      <c r="J55" s="183"/>
      <c r="K55" s="183"/>
      <c r="L55" s="183"/>
      <c r="M55" s="183"/>
      <c r="N55" s="183"/>
      <c r="O55" s="183"/>
      <c r="P55" s="183"/>
      <c r="Q55" s="183"/>
      <c r="R55" s="183"/>
      <c r="S55" s="183"/>
      <c r="T55" s="183"/>
    </row>
    <row r="56" spans="2:20" x14ac:dyDescent="0.3">
      <c r="B56" s="151" t="s">
        <v>234</v>
      </c>
      <c r="C56" s="152" t="s">
        <v>235</v>
      </c>
      <c r="D56" s="153">
        <f>(SUMIF('Emissions Database'!$F$4:$F$123,B56,'Emissions Database'!$J$4:$J$123)+SUMIF('Emissions Database'!$F$124:$F$163,$B56,'Emissions Database'!$K$124:$K$163))/Conversions!$C$4+SUMIF('Default - Material Balance'!$F$14:$F$53,B56,'Default - Material Balance'!$J$14:$J$53)+SUMIF('Emissions Database'!$B$265:$B$344,$B56,'Emissions Database'!$C$265:$C$344)</f>
        <v>0</v>
      </c>
      <c r="E56" s="154" t="s">
        <v>467</v>
      </c>
      <c r="F56" s="155">
        <f>SUMIF('Default - Material Balance'!$F$14:$F$53,B56,'Default - Material Balance'!$J$14:$J$53)</f>
        <v>0</v>
      </c>
      <c r="G56" s="156" t="s">
        <v>467</v>
      </c>
      <c r="H56" s="183"/>
      <c r="I56" s="183"/>
      <c r="J56" s="183"/>
      <c r="K56" s="183"/>
      <c r="L56" s="183"/>
      <c r="M56" s="183"/>
      <c r="N56" s="183"/>
      <c r="O56" s="183"/>
      <c r="P56" s="183"/>
      <c r="Q56" s="183"/>
      <c r="R56" s="183"/>
      <c r="S56" s="183"/>
      <c r="T56" s="183"/>
    </row>
    <row r="57" spans="2:20" x14ac:dyDescent="0.3">
      <c r="B57" s="151" t="s">
        <v>236</v>
      </c>
      <c r="C57" s="152" t="s">
        <v>235</v>
      </c>
      <c r="D57" s="153">
        <f>(SUMIF('Emissions Database'!$F$4:$F$123,B57,'Emissions Database'!$J$4:$J$123)+SUMIF('Emissions Database'!$F$124:$F$163,$B57,'Emissions Database'!$K$124:$K$163))/Conversions!$C$4+SUMIF('Default - Material Balance'!$F$14:$F$53,B57,'Default - Material Balance'!$J$14:$J$53)+SUMIF('Emissions Database'!$B$265:$B$344,$B57,'Emissions Database'!$C$265:$C$344)</f>
        <v>0</v>
      </c>
      <c r="E57" s="154" t="s">
        <v>467</v>
      </c>
      <c r="F57" s="155">
        <f>SUMIF('Default - Material Balance'!$F$14:$F$53,B57,'Default - Material Balance'!$J$14:$J$53)</f>
        <v>0</v>
      </c>
      <c r="G57" s="156" t="s">
        <v>467</v>
      </c>
      <c r="H57" s="183"/>
      <c r="I57" s="183"/>
      <c r="J57" s="183"/>
      <c r="K57" s="183"/>
      <c r="L57" s="183"/>
      <c r="M57" s="183"/>
      <c r="N57" s="183"/>
      <c r="O57" s="183"/>
      <c r="P57" s="183"/>
      <c r="Q57" s="183"/>
      <c r="R57" s="183"/>
      <c r="S57" s="183"/>
      <c r="T57" s="183"/>
    </row>
    <row r="58" spans="2:20" x14ac:dyDescent="0.3">
      <c r="B58" s="151" t="s">
        <v>237</v>
      </c>
      <c r="C58" s="152" t="s">
        <v>238</v>
      </c>
      <c r="D58" s="153">
        <f>(SUMIF('Emissions Database'!$F$4:$F$123,B58,'Emissions Database'!$J$4:$J$123)+SUMIF('Emissions Database'!$F$124:$F$163,$B58,'Emissions Database'!$K$124:$K$163))/Conversions!$C$4+SUMIF('Default - Material Balance'!$F$14:$F$53,B58,'Default - Material Balance'!$J$14:$J$53)+SUMIF('Emissions Database'!$B$265:$B$344,$B58,'Emissions Database'!$C$265:$C$344)</f>
        <v>0</v>
      </c>
      <c r="E58" s="154" t="s">
        <v>467</v>
      </c>
      <c r="F58" s="155">
        <f>SUMIF('Default - Material Balance'!$F$14:$F$53,B58,'Default - Material Balance'!$J$14:$J$53)</f>
        <v>0</v>
      </c>
      <c r="G58" s="156" t="s">
        <v>467</v>
      </c>
      <c r="H58" s="183"/>
      <c r="I58" s="183"/>
      <c r="J58" s="183"/>
      <c r="K58" s="183"/>
      <c r="L58" s="183"/>
      <c r="M58" s="183"/>
      <c r="N58" s="183"/>
      <c r="O58" s="183"/>
      <c r="P58" s="183"/>
      <c r="Q58" s="183"/>
      <c r="R58" s="183"/>
      <c r="S58" s="183"/>
      <c r="T58" s="183"/>
    </row>
    <row r="59" spans="2:20" x14ac:dyDescent="0.3">
      <c r="B59" s="151" t="s">
        <v>239</v>
      </c>
      <c r="C59" s="152" t="s">
        <v>238</v>
      </c>
      <c r="D59" s="153">
        <f>(SUMIF('Emissions Database'!$F$4:$F$123,B59,'Emissions Database'!$J$4:$J$123)+SUMIF('Emissions Database'!$F$124:$F$163,$B59,'Emissions Database'!$K$124:$K$163))/Conversions!$C$4+SUMIF('Default - Material Balance'!$F$14:$F$53,B59,'Default - Material Balance'!$J$14:$J$53)+SUMIF('Emissions Database'!$B$265:$B$344,$B59,'Emissions Database'!$C$265:$C$344)</f>
        <v>0</v>
      </c>
      <c r="E59" s="154" t="s">
        <v>467</v>
      </c>
      <c r="F59" s="155">
        <f>SUMIF('Default - Material Balance'!$F$14:$F$53,B59,'Default - Material Balance'!$J$14:$J$53)</f>
        <v>0</v>
      </c>
      <c r="G59" s="156" t="s">
        <v>467</v>
      </c>
      <c r="H59" s="183"/>
      <c r="I59" s="183"/>
      <c r="J59" s="183"/>
      <c r="K59" s="183"/>
      <c r="L59" s="183"/>
      <c r="M59" s="183"/>
      <c r="N59" s="183"/>
      <c r="O59" s="183"/>
      <c r="P59" s="183"/>
      <c r="Q59" s="183"/>
      <c r="R59" s="183"/>
      <c r="S59" s="183"/>
      <c r="T59" s="183"/>
    </row>
    <row r="60" spans="2:20" x14ac:dyDescent="0.3">
      <c r="B60" s="151" t="s">
        <v>240</v>
      </c>
      <c r="C60" s="152" t="s">
        <v>238</v>
      </c>
      <c r="D60" s="153">
        <f>(SUMIF('Emissions Database'!$F$4:$F$123,B60,'Emissions Database'!$J$4:$J$123)+SUMIF('Emissions Database'!$F$124:$F$163,$B60,'Emissions Database'!$K$124:$K$163))/Conversions!$C$4+SUMIF('Default - Material Balance'!$F$14:$F$53,B60,'Default - Material Balance'!$J$14:$J$53)+SUMIF('Emissions Database'!$B$265:$B$344,$B60,'Emissions Database'!$C$265:$C$344)</f>
        <v>0</v>
      </c>
      <c r="E60" s="154" t="s">
        <v>467</v>
      </c>
      <c r="F60" s="155">
        <f>SUMIF('Default - Material Balance'!$F$14:$F$53,B60,'Default - Material Balance'!$J$14:$J$53)</f>
        <v>0</v>
      </c>
      <c r="G60" s="156" t="s">
        <v>467</v>
      </c>
      <c r="H60" s="183"/>
      <c r="I60" s="183"/>
      <c r="J60" s="183"/>
      <c r="K60" s="183"/>
      <c r="L60" s="183"/>
      <c r="M60" s="183"/>
      <c r="N60" s="183"/>
      <c r="O60" s="183"/>
      <c r="P60" s="183"/>
      <c r="Q60" s="183"/>
      <c r="R60" s="183"/>
      <c r="S60" s="183"/>
      <c r="T60" s="183"/>
    </row>
    <row r="61" spans="2:20" x14ac:dyDescent="0.3">
      <c r="B61" s="151" t="s">
        <v>241</v>
      </c>
      <c r="C61" s="152" t="s">
        <v>238</v>
      </c>
      <c r="D61" s="153">
        <f>(SUMIF('Emissions Database'!$F$4:$F$123,B61,'Emissions Database'!$J$4:$J$123)+SUMIF('Emissions Database'!$F$124:$F$163,$B61,'Emissions Database'!$K$124:$K$163))/Conversions!$C$4+SUMIF('Default - Material Balance'!$F$14:$F$53,B61,'Default - Material Balance'!$J$14:$J$53)+SUMIF('Emissions Database'!$B$265:$B$344,$B61,'Emissions Database'!$C$265:$C$344)</f>
        <v>0</v>
      </c>
      <c r="E61" s="154" t="s">
        <v>467</v>
      </c>
      <c r="F61" s="155">
        <f>SUMIF('Default - Material Balance'!$F$14:$F$53,B61,'Default - Material Balance'!$J$14:$J$53)</f>
        <v>0</v>
      </c>
      <c r="G61" s="156" t="s">
        <v>467</v>
      </c>
      <c r="H61" s="183"/>
      <c r="I61" s="183"/>
      <c r="J61" s="183"/>
      <c r="K61" s="183"/>
      <c r="L61" s="183"/>
      <c r="M61" s="183"/>
      <c r="N61" s="183"/>
      <c r="O61" s="183"/>
      <c r="P61" s="183"/>
      <c r="Q61" s="183"/>
      <c r="R61" s="183"/>
      <c r="S61" s="183"/>
      <c r="T61" s="183"/>
    </row>
    <row r="62" spans="2:20" x14ac:dyDescent="0.3">
      <c r="B62" s="151" t="s">
        <v>242</v>
      </c>
      <c r="C62" s="152" t="s">
        <v>243</v>
      </c>
      <c r="D62" s="153">
        <f>(SUMIF('Emissions Database'!$F$4:$F$123,B62,'Emissions Database'!$J$4:$J$123)+SUMIF('Emissions Database'!$F$124:$F$163,$B62,'Emissions Database'!$K$124:$K$163))/Conversions!$C$4+SUMIF('Default - Material Balance'!$F$14:$F$53,B62,'Default - Material Balance'!$J$14:$J$53)+SUMIF('Emissions Database'!$B$265:$B$344,$B62,'Emissions Database'!$C$265:$C$344)</f>
        <v>0</v>
      </c>
      <c r="E62" s="154" t="s">
        <v>467</v>
      </c>
      <c r="F62" s="155">
        <f>SUMIF('Default - Material Balance'!$F$14:$F$53,B62,'Default - Material Balance'!$J$14:$J$53)</f>
        <v>0</v>
      </c>
      <c r="G62" s="156" t="s">
        <v>467</v>
      </c>
      <c r="H62" s="183"/>
      <c r="I62" s="183"/>
      <c r="J62" s="183"/>
      <c r="K62" s="183"/>
      <c r="L62" s="183"/>
      <c r="M62" s="183"/>
      <c r="N62" s="183"/>
      <c r="O62" s="183"/>
      <c r="P62" s="183"/>
      <c r="Q62" s="183"/>
      <c r="R62" s="183"/>
      <c r="S62" s="183"/>
      <c r="T62" s="183"/>
    </row>
    <row r="63" spans="2:20" x14ac:dyDescent="0.3">
      <c r="B63" s="151" t="s">
        <v>244</v>
      </c>
      <c r="C63" s="152" t="s">
        <v>245</v>
      </c>
      <c r="D63" s="153">
        <f>(SUMIF('Emissions Database'!$F$4:$F$123,B63,'Emissions Database'!$J$4:$J$123)+SUMIF('Emissions Database'!$F$124:$F$163,$B63,'Emissions Database'!$K$124:$K$163))/Conversions!$C$4+SUMIF('Default - Material Balance'!$F$14:$F$53,B63,'Default - Material Balance'!$J$14:$J$53)+SUMIF('Emissions Database'!$B$265:$B$344,$B63,'Emissions Database'!$C$265:$C$344)</f>
        <v>0</v>
      </c>
      <c r="E63" s="154" t="s">
        <v>467</v>
      </c>
      <c r="F63" s="155">
        <f>SUMIF('Default - Material Balance'!$F$14:$F$53,B63,'Default - Material Balance'!$J$14:$J$53)</f>
        <v>0</v>
      </c>
      <c r="G63" s="156" t="s">
        <v>467</v>
      </c>
      <c r="H63" s="183"/>
      <c r="I63" s="183"/>
      <c r="J63" s="183"/>
      <c r="K63" s="183"/>
      <c r="L63" s="183"/>
      <c r="M63" s="183"/>
      <c r="N63" s="183"/>
      <c r="O63" s="183"/>
      <c r="P63" s="183"/>
      <c r="Q63" s="183"/>
      <c r="R63" s="183"/>
      <c r="S63" s="183"/>
      <c r="T63" s="183"/>
    </row>
    <row r="64" spans="2:20" x14ac:dyDescent="0.3">
      <c r="B64" s="151" t="s">
        <v>246</v>
      </c>
      <c r="C64" s="152" t="s">
        <v>247</v>
      </c>
      <c r="D64" s="153">
        <f>(SUMIF('Emissions Database'!$F$4:$F$123,B64,'Emissions Database'!$J$4:$J$123)+SUMIF('Emissions Database'!$F$124:$F$163,$B64,'Emissions Database'!$K$124:$K$163))/Conversions!$C$4+SUMIF('Default - Material Balance'!$F$14:$F$53,B64,'Default - Material Balance'!$J$14:$J$53)+SUMIF('Emissions Database'!$B$265:$B$344,$B64,'Emissions Database'!$C$265:$C$344)</f>
        <v>0</v>
      </c>
      <c r="E64" s="154" t="s">
        <v>467</v>
      </c>
      <c r="F64" s="155">
        <f>SUMIF('Default - Material Balance'!$F$14:$F$53,B64,'Default - Material Balance'!$J$14:$J$53)</f>
        <v>0</v>
      </c>
      <c r="G64" s="156" t="s">
        <v>467</v>
      </c>
      <c r="H64" s="183"/>
      <c r="I64" s="183"/>
      <c r="J64" s="183"/>
      <c r="K64" s="183"/>
      <c r="L64" s="183"/>
      <c r="M64" s="183"/>
      <c r="N64" s="183"/>
      <c r="O64" s="183"/>
      <c r="P64" s="183"/>
      <c r="Q64" s="183"/>
      <c r="R64" s="183"/>
      <c r="S64" s="183"/>
      <c r="T64" s="183"/>
    </row>
    <row r="65" spans="2:20" x14ac:dyDescent="0.3">
      <c r="B65" s="151" t="s">
        <v>248</v>
      </c>
      <c r="C65" s="152" t="s">
        <v>249</v>
      </c>
      <c r="D65" s="153">
        <f>(SUMIF('Emissions Database'!$F$4:$F$123,B65,'Emissions Database'!$J$4:$J$123)+SUMIF('Emissions Database'!$F$124:$F$163,$B65,'Emissions Database'!$K$124:$K$163))/Conversions!$C$4+SUMIF('Default - Material Balance'!$F$14:$F$53,B65,'Default - Material Balance'!$J$14:$J$53)+SUMIF('Emissions Database'!$B$265:$B$344,$B65,'Emissions Database'!$C$265:$C$344)</f>
        <v>0</v>
      </c>
      <c r="E65" s="154" t="s">
        <v>467</v>
      </c>
      <c r="F65" s="155">
        <f>SUMIF('Default - Material Balance'!$F$14:$F$53,B65,'Default - Material Balance'!$J$14:$J$53)</f>
        <v>0</v>
      </c>
      <c r="G65" s="156" t="s">
        <v>467</v>
      </c>
      <c r="H65" s="183"/>
      <c r="I65" s="183"/>
      <c r="J65" s="183"/>
      <c r="K65" s="183"/>
      <c r="L65" s="183"/>
      <c r="M65" s="183"/>
      <c r="N65" s="183"/>
      <c r="O65" s="183"/>
      <c r="P65" s="183"/>
      <c r="Q65" s="183"/>
      <c r="R65" s="183"/>
      <c r="S65" s="183"/>
      <c r="T65" s="183"/>
    </row>
    <row r="66" spans="2:20" x14ac:dyDescent="0.3">
      <c r="B66" s="151" t="s">
        <v>250</v>
      </c>
      <c r="C66" s="152" t="s">
        <v>251</v>
      </c>
      <c r="D66" s="153">
        <f>(SUMIF('Emissions Database'!$F$4:$F$123,B66,'Emissions Database'!$J$4:$J$123)+SUMIF('Emissions Database'!$F$124:$F$163,$B66,'Emissions Database'!$K$124:$K$163))/Conversions!$C$4+SUMIF('Default - Material Balance'!$F$14:$F$53,B66,'Default - Material Balance'!$J$14:$J$53)+SUMIF('Emissions Database'!$B$265:$B$344,$B66,'Emissions Database'!$C$265:$C$344)</f>
        <v>0</v>
      </c>
      <c r="E66" s="154" t="s">
        <v>467</v>
      </c>
      <c r="F66" s="155">
        <f>SUMIF('Default - Material Balance'!$F$14:$F$53,B66,'Default - Material Balance'!$J$14:$J$53)</f>
        <v>0</v>
      </c>
      <c r="G66" s="156" t="s">
        <v>467</v>
      </c>
      <c r="H66" s="183"/>
      <c r="I66" s="183"/>
      <c r="J66" s="183"/>
      <c r="K66" s="183"/>
      <c r="L66" s="183"/>
      <c r="M66" s="183"/>
      <c r="N66" s="183"/>
      <c r="O66" s="183"/>
      <c r="P66" s="183"/>
      <c r="Q66" s="183"/>
      <c r="R66" s="183"/>
      <c r="S66" s="183"/>
      <c r="T66" s="183"/>
    </row>
    <row r="67" spans="2:20" x14ac:dyDescent="0.3">
      <c r="B67" s="151" t="s">
        <v>252</v>
      </c>
      <c r="C67" s="152" t="s">
        <v>253</v>
      </c>
      <c r="D67" s="153">
        <f>(SUMIF('Emissions Database'!$F$4:$F$123,B67,'Emissions Database'!$J$4:$J$123)+SUMIF('Emissions Database'!$F$124:$F$163,$B67,'Emissions Database'!$K$124:$K$163))/Conversions!$C$4+SUMIF('Default - Material Balance'!$F$14:$F$53,B67,'Default - Material Balance'!$J$14:$J$53)+SUMIF('Emissions Database'!$B$265:$B$344,$B67,'Emissions Database'!$C$265:$C$344)</f>
        <v>0</v>
      </c>
      <c r="E67" s="154" t="s">
        <v>467</v>
      </c>
      <c r="F67" s="155">
        <f>SUMIF('Default - Material Balance'!$F$14:$F$53,B67,'Default - Material Balance'!$J$14:$J$53)</f>
        <v>0</v>
      </c>
      <c r="G67" s="156" t="s">
        <v>467</v>
      </c>
      <c r="H67" s="183"/>
      <c r="I67" s="183"/>
      <c r="J67" s="183"/>
      <c r="K67" s="183"/>
      <c r="L67" s="183"/>
      <c r="M67" s="183"/>
      <c r="N67" s="183"/>
      <c r="O67" s="183"/>
      <c r="P67" s="183"/>
      <c r="Q67" s="183"/>
      <c r="R67" s="183"/>
      <c r="S67" s="183"/>
      <c r="T67" s="183"/>
    </row>
    <row r="68" spans="2:20" x14ac:dyDescent="0.3">
      <c r="B68" s="151" t="s">
        <v>254</v>
      </c>
      <c r="C68" s="152" t="s">
        <v>255</v>
      </c>
      <c r="D68" s="153">
        <f>(SUMIF('Emissions Database'!$F$4:$F$123,B68,'Emissions Database'!$J$4:$J$123)+SUMIF('Emissions Database'!$F$124:$F$163,$B68,'Emissions Database'!$K$124:$K$163))/Conversions!$C$4+SUMIF('Default - Material Balance'!$F$14:$F$53,B68,'Default - Material Balance'!$J$14:$J$53)+SUMIF('Emissions Database'!$B$265:$B$344,$B68,'Emissions Database'!$C$265:$C$344)</f>
        <v>0</v>
      </c>
      <c r="E68" s="154" t="s">
        <v>467</v>
      </c>
      <c r="F68" s="155">
        <f>SUMIF('Default - Material Balance'!$F$14:$F$53,B68,'Default - Material Balance'!$J$14:$J$53)</f>
        <v>0</v>
      </c>
      <c r="G68" s="156" t="s">
        <v>467</v>
      </c>
      <c r="H68" s="183"/>
      <c r="I68" s="183"/>
      <c r="J68" s="183"/>
      <c r="K68" s="183"/>
      <c r="L68" s="183"/>
      <c r="M68" s="183"/>
      <c r="N68" s="183"/>
      <c r="O68" s="183"/>
      <c r="P68" s="183"/>
      <c r="Q68" s="183"/>
      <c r="R68" s="183"/>
      <c r="S68" s="183"/>
      <c r="T68" s="183"/>
    </row>
    <row r="69" spans="2:20" x14ac:dyDescent="0.3">
      <c r="B69" s="151" t="s">
        <v>256</v>
      </c>
      <c r="C69" s="152" t="s">
        <v>257</v>
      </c>
      <c r="D69" s="153">
        <f>(SUMIF('Emissions Database'!$F$4:$F$123,B69,'Emissions Database'!$J$4:$J$123)+SUMIF('Emissions Database'!$F$124:$F$163,$B69,'Emissions Database'!$K$124:$K$163))/Conversions!$C$4+SUMIF('Default - Material Balance'!$F$14:$F$53,B69,'Default - Material Balance'!$J$14:$J$53)+SUMIF('Emissions Database'!$B$265:$B$344,$B69,'Emissions Database'!$C$265:$C$344)</f>
        <v>0</v>
      </c>
      <c r="E69" s="154" t="s">
        <v>467</v>
      </c>
      <c r="F69" s="155">
        <f>SUMIF('Default - Material Balance'!$F$14:$F$53,B69,'Default - Material Balance'!$J$14:$J$53)</f>
        <v>0</v>
      </c>
      <c r="G69" s="156" t="s">
        <v>467</v>
      </c>
      <c r="H69" s="183"/>
      <c r="I69" s="183"/>
      <c r="J69" s="183"/>
      <c r="K69" s="183"/>
      <c r="L69" s="183"/>
      <c r="M69" s="183"/>
      <c r="N69" s="183"/>
      <c r="O69" s="183"/>
      <c r="P69" s="183"/>
      <c r="Q69" s="183"/>
      <c r="R69" s="183"/>
      <c r="S69" s="183"/>
      <c r="T69" s="183"/>
    </row>
    <row r="70" spans="2:20" x14ac:dyDescent="0.3">
      <c r="B70" s="151" t="s">
        <v>258</v>
      </c>
      <c r="C70" s="152" t="s">
        <v>259</v>
      </c>
      <c r="D70" s="153">
        <f>(SUMIF('Emissions Database'!$F$4:$F$123,B70,'Emissions Database'!$J$4:$J$123)+SUMIF('Emissions Database'!$F$124:$F$163,$B70,'Emissions Database'!$K$124:$K$163))/Conversions!$C$4+SUMIF('Default - Material Balance'!$F$14:$F$53,B70,'Default - Material Balance'!$J$14:$J$53)+SUMIF('Emissions Database'!$B$265:$B$344,$B70,'Emissions Database'!$C$265:$C$344)</f>
        <v>0</v>
      </c>
      <c r="E70" s="154" t="s">
        <v>467</v>
      </c>
      <c r="F70" s="155">
        <f>SUMIF('Default - Material Balance'!$F$14:$F$53,B70,'Default - Material Balance'!$J$14:$J$53)</f>
        <v>0</v>
      </c>
      <c r="G70" s="156" t="s">
        <v>467</v>
      </c>
      <c r="H70" s="183"/>
      <c r="I70" s="183"/>
      <c r="J70" s="183"/>
      <c r="K70" s="183"/>
      <c r="L70" s="183"/>
      <c r="M70" s="183"/>
      <c r="N70" s="183"/>
      <c r="O70" s="183"/>
      <c r="P70" s="183"/>
      <c r="Q70" s="183"/>
      <c r="R70" s="183"/>
      <c r="S70" s="183"/>
      <c r="T70" s="183"/>
    </row>
    <row r="71" spans="2:20" x14ac:dyDescent="0.3">
      <c r="B71" s="151" t="s">
        <v>260</v>
      </c>
      <c r="C71" s="152" t="s">
        <v>261</v>
      </c>
      <c r="D71" s="153">
        <f>(SUMIF('Emissions Database'!$F$4:$F$123,B71,'Emissions Database'!$J$4:$J$123)+SUMIF('Emissions Database'!$F$124:$F$163,$B71,'Emissions Database'!$K$124:$K$163))/Conversions!$C$4+SUMIF('Default - Material Balance'!$F$14:$F$53,B71,'Default - Material Balance'!$J$14:$J$53)+SUMIF('Emissions Database'!$B$265:$B$344,$B71,'Emissions Database'!$C$265:$C$344)</f>
        <v>0</v>
      </c>
      <c r="E71" s="154" t="s">
        <v>467</v>
      </c>
      <c r="F71" s="155">
        <f>SUMIF('Default - Material Balance'!$F$14:$F$53,B71,'Default - Material Balance'!$J$14:$J$53)</f>
        <v>0</v>
      </c>
      <c r="G71" s="156" t="s">
        <v>467</v>
      </c>
      <c r="H71" s="183"/>
      <c r="I71" s="183"/>
      <c r="J71" s="183"/>
      <c r="K71" s="183"/>
      <c r="L71" s="183"/>
      <c r="M71" s="183"/>
      <c r="N71" s="183"/>
      <c r="O71" s="183"/>
      <c r="P71" s="183"/>
      <c r="Q71" s="183"/>
      <c r="R71" s="183"/>
      <c r="S71" s="183"/>
      <c r="T71" s="183"/>
    </row>
    <row r="72" spans="2:20" x14ac:dyDescent="0.3">
      <c r="B72" s="151" t="s">
        <v>262</v>
      </c>
      <c r="C72" s="152" t="s">
        <v>263</v>
      </c>
      <c r="D72" s="153">
        <f>(SUMIF('Emissions Database'!$F$4:$F$123,B72,'Emissions Database'!$J$4:$J$123)+SUMIF('Emissions Database'!$F$124:$F$163,$B72,'Emissions Database'!$K$124:$K$163))/Conversions!$C$4+SUMIF('Default - Material Balance'!$F$14:$F$53,B72,'Default - Material Balance'!$J$14:$J$53)+SUMIF('Emissions Database'!$B$265:$B$344,$B72,'Emissions Database'!$C$265:$C$344)</f>
        <v>0</v>
      </c>
      <c r="E72" s="154" t="s">
        <v>467</v>
      </c>
      <c r="F72" s="155">
        <f>SUMIF('Default - Material Balance'!$F$14:$F$53,B72,'Default - Material Balance'!$J$14:$J$53)</f>
        <v>0</v>
      </c>
      <c r="G72" s="156" t="s">
        <v>467</v>
      </c>
      <c r="H72" s="183"/>
      <c r="I72" s="183"/>
      <c r="J72" s="183"/>
      <c r="K72" s="183"/>
      <c r="L72" s="183"/>
      <c r="M72" s="183"/>
      <c r="N72" s="183"/>
      <c r="O72" s="183"/>
      <c r="P72" s="183"/>
      <c r="Q72" s="183"/>
      <c r="R72" s="183"/>
      <c r="S72" s="183"/>
      <c r="T72" s="183"/>
    </row>
    <row r="73" spans="2:20" x14ac:dyDescent="0.3">
      <c r="B73" s="151" t="s">
        <v>264</v>
      </c>
      <c r="C73" s="152" t="s">
        <v>265</v>
      </c>
      <c r="D73" s="153">
        <f>(SUMIF('Emissions Database'!$F$4:$F$123,B73,'Emissions Database'!$J$4:$J$123)+SUMIF('Emissions Database'!$F$124:$F$163,$B73,'Emissions Database'!$K$124:$K$163))/Conversions!$C$4+SUMIF('Default - Material Balance'!$F$14:$F$53,B73,'Default - Material Balance'!$J$14:$J$53)+SUMIF('Emissions Database'!$B$265:$B$344,$B73,'Emissions Database'!$C$265:$C$344)</f>
        <v>0</v>
      </c>
      <c r="E73" s="154" t="s">
        <v>467</v>
      </c>
      <c r="F73" s="155">
        <f>SUMIF('Default - Material Balance'!$F$14:$F$53,B73,'Default - Material Balance'!$J$14:$J$53)</f>
        <v>0</v>
      </c>
      <c r="G73" s="156" t="s">
        <v>467</v>
      </c>
      <c r="H73" s="183"/>
      <c r="I73" s="183"/>
      <c r="J73" s="183"/>
      <c r="K73" s="183"/>
      <c r="L73" s="183"/>
      <c r="M73" s="183"/>
      <c r="N73" s="183"/>
      <c r="O73" s="183"/>
      <c r="P73" s="183"/>
      <c r="Q73" s="183"/>
      <c r="R73" s="183"/>
      <c r="S73" s="183"/>
      <c r="T73" s="183"/>
    </row>
    <row r="74" spans="2:20" x14ac:dyDescent="0.3">
      <c r="B74" s="151" t="s">
        <v>266</v>
      </c>
      <c r="C74" s="152" t="s">
        <v>267</v>
      </c>
      <c r="D74" s="153">
        <f>(SUMIF('Emissions Database'!$F$4:$F$123,B74,'Emissions Database'!$J$4:$J$123)+SUMIF('Emissions Database'!$F$124:$F$163,$B74,'Emissions Database'!$K$124:$K$163))/Conversions!$C$4+SUMIF('Default - Material Balance'!$F$14:$F$53,B74,'Default - Material Balance'!$J$14:$J$53)+SUMIF('Emissions Database'!$B$265:$B$344,$B74,'Emissions Database'!$C$265:$C$344)</f>
        <v>0</v>
      </c>
      <c r="E74" s="154" t="s">
        <v>467</v>
      </c>
      <c r="F74" s="155">
        <f>SUMIF('Default - Material Balance'!$F$14:$F$53,B74,'Default - Material Balance'!$J$14:$J$53)</f>
        <v>0</v>
      </c>
      <c r="G74" s="156" t="s">
        <v>467</v>
      </c>
      <c r="H74" s="183"/>
      <c r="I74" s="183"/>
      <c r="J74" s="183"/>
      <c r="K74" s="183"/>
      <c r="L74" s="183"/>
      <c r="M74" s="183"/>
      <c r="N74" s="183"/>
      <c r="O74" s="183"/>
      <c r="P74" s="183"/>
      <c r="Q74" s="183"/>
      <c r="R74" s="183"/>
      <c r="S74" s="183"/>
      <c r="T74" s="183"/>
    </row>
    <row r="75" spans="2:20" x14ac:dyDescent="0.3">
      <c r="B75" s="151" t="s">
        <v>127</v>
      </c>
      <c r="C75" s="152" t="s">
        <v>268</v>
      </c>
      <c r="D75" s="153">
        <f>(SUMIF('Emissions Database'!$F$4:$F$123,B75,'Emissions Database'!$J$4:$J$123)+SUMIF('Emissions Database'!$F$124:$F$163,$B75,'Emissions Database'!$K$124:$K$163))/Conversions!$C$4+SUMIF('Default - Material Balance'!$F$14:$F$53,B75,'Default - Material Balance'!$J$14:$J$53)+SUMIF('Emissions Database'!$B$265:$B$344,$B75,'Emissions Database'!$C$265:$C$344)</f>
        <v>0</v>
      </c>
      <c r="E75" s="154" t="s">
        <v>467</v>
      </c>
      <c r="F75" s="155">
        <f>SUMIF('Default - Material Balance'!$F$14:$F$53,B75,'Default - Material Balance'!$J$14:$J$53)</f>
        <v>0</v>
      </c>
      <c r="G75" s="156" t="s">
        <v>467</v>
      </c>
      <c r="H75" s="183"/>
      <c r="I75" s="183"/>
      <c r="J75" s="183"/>
      <c r="K75" s="183"/>
      <c r="L75" s="183"/>
      <c r="M75" s="183"/>
      <c r="N75" s="183"/>
      <c r="O75" s="183"/>
      <c r="P75" s="183"/>
      <c r="Q75" s="183"/>
      <c r="R75" s="183"/>
      <c r="S75" s="183"/>
      <c r="T75" s="183"/>
    </row>
    <row r="76" spans="2:20" x14ac:dyDescent="0.3">
      <c r="B76" s="151" t="s">
        <v>269</v>
      </c>
      <c r="C76" s="152" t="s">
        <v>270</v>
      </c>
      <c r="D76" s="153">
        <f>(SUMIF('Emissions Database'!$F$4:$F$123,B76,'Emissions Database'!$J$4:$J$123)+SUMIF('Emissions Database'!$F$124:$F$163,$B76,'Emissions Database'!$K$124:$K$163))/Conversions!$C$4+SUMIF('Default - Material Balance'!$F$14:$F$53,B76,'Default - Material Balance'!$J$14:$J$53)+SUMIF('Emissions Database'!$B$265:$B$344,$B76,'Emissions Database'!$C$265:$C$344)</f>
        <v>0</v>
      </c>
      <c r="E76" s="154" t="s">
        <v>467</v>
      </c>
      <c r="F76" s="155">
        <f>SUMIF('Default - Material Balance'!$F$14:$F$53,B76,'Default - Material Balance'!$J$14:$J$53)</f>
        <v>0</v>
      </c>
      <c r="G76" s="156" t="s">
        <v>467</v>
      </c>
      <c r="H76" s="183"/>
      <c r="I76" s="183"/>
      <c r="J76" s="183"/>
      <c r="K76" s="183"/>
      <c r="L76" s="183"/>
      <c r="M76" s="183"/>
      <c r="N76" s="183"/>
      <c r="O76" s="183"/>
      <c r="P76" s="183"/>
      <c r="Q76" s="183"/>
      <c r="R76" s="183"/>
      <c r="S76" s="183"/>
      <c r="T76" s="183"/>
    </row>
    <row r="77" spans="2:20" x14ac:dyDescent="0.3">
      <c r="B77" s="151" t="s">
        <v>126</v>
      </c>
      <c r="C77" s="152" t="s">
        <v>271</v>
      </c>
      <c r="D77" s="153">
        <f>(SUMIF('Emissions Database'!$F$4:$F$123,B77,'Emissions Database'!$J$4:$J$123)+SUMIF('Emissions Database'!$F$124:$F$163,$B77,'Emissions Database'!$K$124:$K$163))/Conversions!$C$4+SUMIF('Default - Material Balance'!$F$14:$F$53,B77,'Default - Material Balance'!$J$14:$J$53)+SUMIF('Emissions Database'!$B$265:$B$344,$B77,'Emissions Database'!$C$265:$C$344)</f>
        <v>0</v>
      </c>
      <c r="E77" s="154" t="s">
        <v>467</v>
      </c>
      <c r="F77" s="155">
        <f>SUMIF('Default - Material Balance'!$F$14:$F$53,B77,'Default - Material Balance'!$J$14:$J$53)</f>
        <v>0</v>
      </c>
      <c r="G77" s="156" t="s">
        <v>467</v>
      </c>
      <c r="H77" s="183"/>
      <c r="I77" s="183"/>
      <c r="J77" s="183"/>
      <c r="K77" s="183"/>
      <c r="L77" s="183"/>
      <c r="M77" s="183"/>
      <c r="N77" s="183"/>
      <c r="O77" s="183"/>
      <c r="P77" s="183"/>
      <c r="Q77" s="183"/>
      <c r="R77" s="183"/>
      <c r="S77" s="183"/>
      <c r="T77" s="183"/>
    </row>
    <row r="78" spans="2:20" x14ac:dyDescent="0.3">
      <c r="B78" s="151" t="s">
        <v>272</v>
      </c>
      <c r="C78" s="152" t="s">
        <v>273</v>
      </c>
      <c r="D78" s="153">
        <f>(SUMIF('Emissions Database'!$F$4:$F$123,B78,'Emissions Database'!$J$4:$J$123)+SUMIF('Emissions Database'!$F$124:$F$163,$B78,'Emissions Database'!$K$124:$K$163))/Conversions!$C$4+SUMIF('Default - Material Balance'!$F$14:$F$53,B78,'Default - Material Balance'!$J$14:$J$53)+SUMIF('Emissions Database'!$B$265:$B$344,$B78,'Emissions Database'!$C$265:$C$344)</f>
        <v>0</v>
      </c>
      <c r="E78" s="154" t="s">
        <v>467</v>
      </c>
      <c r="F78" s="155">
        <f>SUMIF('Default - Material Balance'!$F$14:$F$53,B78,'Default - Material Balance'!$J$14:$J$53)</f>
        <v>0</v>
      </c>
      <c r="G78" s="156" t="s">
        <v>467</v>
      </c>
      <c r="H78" s="183"/>
      <c r="I78" s="183"/>
      <c r="J78" s="183"/>
      <c r="K78" s="183"/>
      <c r="L78" s="183"/>
      <c r="M78" s="183"/>
      <c r="N78" s="183"/>
      <c r="O78" s="183"/>
      <c r="P78" s="183"/>
      <c r="Q78" s="183"/>
      <c r="R78" s="183"/>
      <c r="S78" s="183"/>
      <c r="T78" s="183"/>
    </row>
    <row r="79" spans="2:20" x14ac:dyDescent="0.3">
      <c r="B79" s="151" t="s">
        <v>274</v>
      </c>
      <c r="C79" s="152" t="s">
        <v>275</v>
      </c>
      <c r="D79" s="153">
        <f>(SUMIF('Emissions Database'!$F$4:$F$123,B79,'Emissions Database'!$J$4:$J$123)+SUMIF('Emissions Database'!$F$124:$F$163,$B79,'Emissions Database'!$K$124:$K$163))/Conversions!$C$4+SUMIF('Default - Material Balance'!$F$14:$F$53,B79,'Default - Material Balance'!$J$14:$J$53)+SUMIF('Emissions Database'!$B$265:$B$344,$B79,'Emissions Database'!$C$265:$C$344)</f>
        <v>0</v>
      </c>
      <c r="E79" s="154" t="s">
        <v>467</v>
      </c>
      <c r="F79" s="155">
        <f>SUMIF('Default - Material Balance'!$F$14:$F$53,B79,'Default - Material Balance'!$J$14:$J$53)</f>
        <v>0</v>
      </c>
      <c r="G79" s="156" t="s">
        <v>467</v>
      </c>
      <c r="H79" s="183"/>
      <c r="I79" s="183"/>
      <c r="J79" s="183"/>
      <c r="K79" s="183"/>
      <c r="L79" s="183"/>
      <c r="M79" s="183"/>
      <c r="N79" s="183"/>
      <c r="O79" s="183"/>
      <c r="P79" s="183"/>
      <c r="Q79" s="183"/>
      <c r="R79" s="183"/>
      <c r="S79" s="183"/>
      <c r="T79" s="183"/>
    </row>
    <row r="80" spans="2:20" x14ac:dyDescent="0.3">
      <c r="B80" s="151" t="s">
        <v>276</v>
      </c>
      <c r="C80" s="152" t="s">
        <v>277</v>
      </c>
      <c r="D80" s="153">
        <f>(SUMIF('Emissions Database'!$F$4:$F$123,B80,'Emissions Database'!$J$4:$J$123)+SUMIF('Emissions Database'!$F$124:$F$163,$B80,'Emissions Database'!$K$124:$K$163))/Conversions!$C$4+SUMIF('Default - Material Balance'!$F$14:$F$53,B80,'Default - Material Balance'!$J$14:$J$53)+SUMIF('Emissions Database'!$B$265:$B$344,$B80,'Emissions Database'!$C$265:$C$344)</f>
        <v>0</v>
      </c>
      <c r="E80" s="154" t="s">
        <v>467</v>
      </c>
      <c r="F80" s="155">
        <f>SUMIF('Default - Material Balance'!$F$14:$F$53,B80,'Default - Material Balance'!$J$14:$J$53)</f>
        <v>0</v>
      </c>
      <c r="G80" s="156" t="s">
        <v>467</v>
      </c>
      <c r="H80" s="183"/>
      <c r="I80" s="183"/>
      <c r="J80" s="183"/>
      <c r="K80" s="183"/>
      <c r="L80" s="183"/>
      <c r="M80" s="183"/>
      <c r="N80" s="183"/>
      <c r="O80" s="183"/>
      <c r="P80" s="183"/>
      <c r="Q80" s="183"/>
      <c r="R80" s="183"/>
      <c r="S80" s="183"/>
      <c r="T80" s="183"/>
    </row>
    <row r="81" spans="2:20" x14ac:dyDescent="0.3">
      <c r="B81" s="151" t="s">
        <v>278</v>
      </c>
      <c r="C81" s="152" t="s">
        <v>279</v>
      </c>
      <c r="D81" s="153">
        <f>(SUMIF('Emissions Database'!$F$4:$F$123,B81,'Emissions Database'!$J$4:$J$123)+SUMIF('Emissions Database'!$F$124:$F$163,$B81,'Emissions Database'!$K$124:$K$163))/Conversions!$C$4+SUMIF('Default - Material Balance'!$F$14:$F$53,B81,'Default - Material Balance'!$J$14:$J$53)+SUMIF('Emissions Database'!$B$265:$B$344,$B81,'Emissions Database'!$C$265:$C$344)</f>
        <v>0</v>
      </c>
      <c r="E81" s="154" t="s">
        <v>467</v>
      </c>
      <c r="F81" s="155">
        <f>SUMIF('Default - Material Balance'!$F$14:$F$53,B81,'Default - Material Balance'!$J$14:$J$53)</f>
        <v>0</v>
      </c>
      <c r="G81" s="156" t="s">
        <v>467</v>
      </c>
      <c r="H81" s="183"/>
      <c r="I81" s="183"/>
      <c r="J81" s="183"/>
      <c r="K81" s="183"/>
      <c r="L81" s="183"/>
      <c r="M81" s="183"/>
      <c r="N81" s="183"/>
      <c r="O81" s="183"/>
      <c r="P81" s="183"/>
      <c r="Q81" s="183"/>
      <c r="R81" s="183"/>
      <c r="S81" s="183"/>
      <c r="T81" s="183"/>
    </row>
    <row r="82" spans="2:20" x14ac:dyDescent="0.3">
      <c r="B82" s="151" t="s">
        <v>280</v>
      </c>
      <c r="C82" s="152" t="s">
        <v>281</v>
      </c>
      <c r="D82" s="153">
        <f>(SUMIF('Emissions Database'!$F$4:$F$123,B82,'Emissions Database'!$J$4:$J$123)+SUMIF('Emissions Database'!$F$124:$F$163,$B82,'Emissions Database'!$K$124:$K$163))/Conversions!$C$4+SUMIF('Default - Material Balance'!$F$14:$F$53,B82,'Default - Material Balance'!$J$14:$J$53)+SUMIF('Emissions Database'!$B$265:$B$344,$B82,'Emissions Database'!$C$265:$C$344)</f>
        <v>0</v>
      </c>
      <c r="E82" s="154" t="s">
        <v>467</v>
      </c>
      <c r="F82" s="155">
        <f>SUMIF('Default - Material Balance'!$F$14:$F$53,B82,'Default - Material Balance'!$J$14:$J$53)</f>
        <v>0</v>
      </c>
      <c r="G82" s="156" t="s">
        <v>467</v>
      </c>
      <c r="H82" s="183"/>
      <c r="I82" s="183"/>
      <c r="J82" s="183"/>
      <c r="K82" s="183"/>
      <c r="L82" s="183"/>
      <c r="M82" s="183"/>
      <c r="N82" s="183"/>
      <c r="O82" s="183"/>
      <c r="P82" s="183"/>
      <c r="Q82" s="183"/>
      <c r="R82" s="183"/>
      <c r="S82" s="183"/>
      <c r="T82" s="183"/>
    </row>
    <row r="83" spans="2:20" x14ac:dyDescent="0.3">
      <c r="B83" s="151" t="s">
        <v>282</v>
      </c>
      <c r="C83" s="152" t="s">
        <v>281</v>
      </c>
      <c r="D83" s="153">
        <f>(SUMIF('Emissions Database'!$F$4:$F$123,B83,'Emissions Database'!$J$4:$J$123)+SUMIF('Emissions Database'!$F$124:$F$163,$B83,'Emissions Database'!$K$124:$K$163))/Conversions!$C$4+SUMIF('Default - Material Balance'!$F$14:$F$53,B83,'Default - Material Balance'!$J$14:$J$53)+SUMIF('Emissions Database'!$B$265:$B$344,$B83,'Emissions Database'!$C$265:$C$344)</f>
        <v>0</v>
      </c>
      <c r="E83" s="154" t="s">
        <v>467</v>
      </c>
      <c r="F83" s="155">
        <f>SUMIF('Default - Material Balance'!$F$14:$F$53,B83,'Default - Material Balance'!$J$14:$J$53)</f>
        <v>0</v>
      </c>
      <c r="G83" s="156" t="s">
        <v>467</v>
      </c>
      <c r="H83" s="183"/>
      <c r="I83" s="183"/>
      <c r="J83" s="183"/>
      <c r="K83" s="183"/>
      <c r="L83" s="183"/>
      <c r="M83" s="183"/>
      <c r="N83" s="183"/>
      <c r="O83" s="183"/>
      <c r="P83" s="183"/>
      <c r="Q83" s="183"/>
      <c r="R83" s="183"/>
      <c r="S83" s="183"/>
      <c r="T83" s="183"/>
    </row>
    <row r="84" spans="2:20" x14ac:dyDescent="0.3">
      <c r="B84" s="151" t="s">
        <v>283</v>
      </c>
      <c r="C84" s="152" t="s">
        <v>284</v>
      </c>
      <c r="D84" s="153">
        <f>(SUMIF('Emissions Database'!$F$4:$F$123,B84,'Emissions Database'!$J$4:$J$123)+SUMIF('Emissions Database'!$F$124:$F$163,$B84,'Emissions Database'!$K$124:$K$163))/Conversions!$C$4+SUMIF('Default - Material Balance'!$F$14:$F$53,B84,'Default - Material Balance'!$J$14:$J$53)+SUMIF('Emissions Database'!$B$265:$B$344,$B84,'Emissions Database'!$C$265:$C$344)</f>
        <v>0</v>
      </c>
      <c r="E84" s="154" t="s">
        <v>467</v>
      </c>
      <c r="F84" s="155">
        <f>SUMIF('Default - Material Balance'!$F$14:$F$53,B84,'Default - Material Balance'!$J$14:$J$53)</f>
        <v>0</v>
      </c>
      <c r="G84" s="156" t="s">
        <v>467</v>
      </c>
      <c r="H84" s="183"/>
      <c r="I84" s="183"/>
      <c r="J84" s="183"/>
      <c r="K84" s="183"/>
      <c r="L84" s="183"/>
      <c r="M84" s="183"/>
      <c r="N84" s="183"/>
      <c r="O84" s="183"/>
      <c r="P84" s="183"/>
      <c r="Q84" s="183"/>
      <c r="R84" s="183"/>
      <c r="S84" s="183"/>
      <c r="T84" s="183"/>
    </row>
    <row r="85" spans="2:20" x14ac:dyDescent="0.3">
      <c r="B85" s="151" t="s">
        <v>285</v>
      </c>
      <c r="C85" s="152" t="s">
        <v>284</v>
      </c>
      <c r="D85" s="153">
        <f>(SUMIF('Emissions Database'!$F$4:$F$123,B85,'Emissions Database'!$J$4:$J$123)+SUMIF('Emissions Database'!$F$124:$F$163,$B85,'Emissions Database'!$K$124:$K$163))/Conversions!$C$4+SUMIF('Default - Material Balance'!$F$14:$F$53,B85,'Default - Material Balance'!$J$14:$J$53)+SUMIF('Emissions Database'!$B$265:$B$344,$B85,'Emissions Database'!$C$265:$C$344)</f>
        <v>0</v>
      </c>
      <c r="E85" s="154" t="s">
        <v>467</v>
      </c>
      <c r="F85" s="155">
        <f>SUMIF('Default - Material Balance'!$F$14:$F$53,B85,'Default - Material Balance'!$J$14:$J$53)</f>
        <v>0</v>
      </c>
      <c r="G85" s="156" t="s">
        <v>467</v>
      </c>
      <c r="H85" s="183"/>
      <c r="I85" s="183"/>
      <c r="J85" s="183"/>
      <c r="K85" s="183"/>
      <c r="L85" s="183"/>
      <c r="M85" s="183"/>
      <c r="N85" s="183"/>
      <c r="O85" s="183"/>
      <c r="P85" s="183"/>
      <c r="Q85" s="183"/>
      <c r="R85" s="183"/>
      <c r="S85" s="183"/>
      <c r="T85" s="183"/>
    </row>
    <row r="86" spans="2:20" x14ac:dyDescent="0.3">
      <c r="B86" s="151" t="s">
        <v>286</v>
      </c>
      <c r="C86" s="152" t="s">
        <v>287</v>
      </c>
      <c r="D86" s="153">
        <f>(SUMIF('Emissions Database'!$F$4:$F$123,B86,'Emissions Database'!$J$4:$J$123)+SUMIF('Emissions Database'!$F$124:$F$163,$B86,'Emissions Database'!$K$124:$K$163))/Conversions!$C$4+SUMIF('Default - Material Balance'!$F$14:$F$53,B86,'Default - Material Balance'!$J$14:$J$53)+SUMIF('Emissions Database'!$B$265:$B$344,$B86,'Emissions Database'!$C$265:$C$344)</f>
        <v>0</v>
      </c>
      <c r="E86" s="154" t="s">
        <v>467</v>
      </c>
      <c r="F86" s="155">
        <f>SUMIF('Default - Material Balance'!$F$14:$F$53,B86,'Default - Material Balance'!$J$14:$J$53)</f>
        <v>0</v>
      </c>
      <c r="G86" s="156" t="s">
        <v>467</v>
      </c>
      <c r="H86" s="183"/>
      <c r="I86" s="183"/>
      <c r="J86" s="183"/>
      <c r="K86" s="183"/>
      <c r="L86" s="183"/>
      <c r="M86" s="183"/>
      <c r="N86" s="183"/>
      <c r="O86" s="183"/>
      <c r="P86" s="183"/>
      <c r="Q86" s="183"/>
      <c r="R86" s="183"/>
      <c r="S86" s="183"/>
      <c r="T86" s="183"/>
    </row>
    <row r="87" spans="2:20" ht="15" thickBot="1" x14ac:dyDescent="0.35">
      <c r="B87" s="157" t="s">
        <v>288</v>
      </c>
      <c r="C87" s="158" t="s">
        <v>287</v>
      </c>
      <c r="D87" s="159">
        <f>(SUMIF('Emissions Database'!$F$4:$F$123,B87,'Emissions Database'!$J$4:$J$123)+SUMIF('Emissions Database'!$F$124:$F$163,$B87,'Emissions Database'!$K$124:$K$163))/Conversions!$C$4+SUMIF('Default - Material Balance'!$F$14:$F$53,B87,'Default - Material Balance'!$J$14:$J$53)+SUMIF('Emissions Database'!$B$265:$B$344,$B87,'Emissions Database'!$C$265:$C$344)</f>
        <v>0</v>
      </c>
      <c r="E87" s="160" t="s">
        <v>467</v>
      </c>
      <c r="F87" s="161">
        <f>SUMIF('Default - Material Balance'!$F$14:$F$53,B87,'Default - Material Balance'!$J$14:$J$53)</f>
        <v>0</v>
      </c>
      <c r="G87" s="162" t="s">
        <v>467</v>
      </c>
      <c r="H87" s="183"/>
      <c r="I87" s="183"/>
      <c r="J87" s="183"/>
      <c r="K87" s="183"/>
      <c r="L87" s="183"/>
      <c r="M87" s="183"/>
      <c r="N87" s="183"/>
      <c r="O87" s="183"/>
      <c r="P87" s="183"/>
      <c r="Q87" s="183"/>
      <c r="R87" s="183"/>
      <c r="S87" s="183"/>
      <c r="T87" s="183"/>
    </row>
    <row r="88" spans="2:20" x14ac:dyDescent="0.3">
      <c r="B88" s="183"/>
      <c r="C88" s="183"/>
      <c r="D88" s="207"/>
      <c r="E88" s="183"/>
      <c r="F88" s="207"/>
      <c r="G88" s="183"/>
      <c r="H88" s="183"/>
      <c r="I88" s="183"/>
      <c r="J88" s="183"/>
      <c r="K88" s="183"/>
      <c r="L88" s="183"/>
      <c r="M88" s="183"/>
      <c r="N88" s="183"/>
      <c r="O88" s="183"/>
      <c r="P88" s="183"/>
      <c r="Q88" s="183"/>
      <c r="R88" s="183"/>
      <c r="S88" s="183"/>
      <c r="T88" s="183"/>
    </row>
    <row r="89" spans="2:20" x14ac:dyDescent="0.3">
      <c r="B89" s="183"/>
      <c r="C89" s="183"/>
      <c r="D89" s="183"/>
      <c r="E89" s="183"/>
      <c r="F89" s="183"/>
      <c r="G89" s="183"/>
      <c r="H89" s="183"/>
      <c r="I89" s="183"/>
      <c r="J89" s="183"/>
      <c r="K89" s="183"/>
      <c r="L89" s="183"/>
      <c r="M89" s="183"/>
      <c r="N89" s="183"/>
      <c r="O89" s="183"/>
      <c r="P89" s="183"/>
      <c r="Q89" s="183"/>
      <c r="R89" s="183"/>
      <c r="S89" s="183"/>
      <c r="T89" s="183"/>
    </row>
    <row r="90" spans="2:20" x14ac:dyDescent="0.3">
      <c r="B90" s="183"/>
      <c r="C90" s="183"/>
      <c r="D90" s="183"/>
      <c r="E90" s="183"/>
      <c r="F90" s="183"/>
      <c r="G90" s="183"/>
      <c r="H90" s="183"/>
      <c r="I90" s="183"/>
      <c r="J90" s="183"/>
      <c r="K90" s="183"/>
      <c r="L90" s="183"/>
      <c r="M90" s="183"/>
      <c r="N90" s="183"/>
      <c r="O90" s="183"/>
      <c r="P90" s="183"/>
      <c r="Q90" s="183"/>
      <c r="R90" s="183"/>
      <c r="S90" s="183"/>
      <c r="T90" s="183"/>
    </row>
    <row r="91" spans="2:20" x14ac:dyDescent="0.3">
      <c r="B91" s="183"/>
      <c r="C91" s="183"/>
      <c r="D91" s="207"/>
      <c r="E91" s="183"/>
      <c r="F91" s="183"/>
      <c r="G91" s="183"/>
      <c r="H91" s="183"/>
      <c r="I91" s="183"/>
      <c r="J91" s="183"/>
      <c r="K91" s="183"/>
      <c r="L91" s="183"/>
      <c r="M91" s="183"/>
      <c r="N91" s="183"/>
      <c r="O91" s="183"/>
      <c r="P91" s="183"/>
      <c r="Q91" s="183"/>
      <c r="R91" s="183"/>
      <c r="S91" s="183"/>
      <c r="T91" s="183"/>
    </row>
    <row r="92" spans="2:20" x14ac:dyDescent="0.3">
      <c r="B92" s="183"/>
      <c r="C92" s="183"/>
      <c r="D92" s="183"/>
      <c r="E92" s="183"/>
      <c r="F92" s="183"/>
      <c r="G92" s="183"/>
      <c r="H92" s="183"/>
      <c r="I92" s="183"/>
      <c r="J92" s="183"/>
      <c r="K92" s="183"/>
      <c r="L92" s="183"/>
      <c r="M92" s="183"/>
      <c r="N92" s="183"/>
      <c r="O92" s="183"/>
      <c r="P92" s="183"/>
      <c r="Q92" s="183"/>
      <c r="R92" s="183"/>
      <c r="S92" s="183"/>
      <c r="T92" s="183"/>
    </row>
    <row r="93" spans="2:20" x14ac:dyDescent="0.3">
      <c r="B93" s="183"/>
      <c r="C93" s="183"/>
      <c r="D93" s="183"/>
      <c r="E93" s="183"/>
      <c r="F93" s="183"/>
      <c r="G93" s="183"/>
      <c r="H93" s="183"/>
      <c r="I93" s="183"/>
      <c r="J93" s="183"/>
      <c r="K93" s="183"/>
      <c r="L93" s="183"/>
      <c r="M93" s="183"/>
      <c r="N93" s="183"/>
      <c r="O93" s="183"/>
      <c r="P93" s="183"/>
      <c r="Q93" s="183"/>
      <c r="R93" s="183"/>
      <c r="S93" s="183"/>
      <c r="T93" s="183"/>
    </row>
    <row r="94" spans="2:20" x14ac:dyDescent="0.3">
      <c r="B94" s="183"/>
      <c r="C94" s="183"/>
      <c r="D94" s="208"/>
      <c r="E94" s="183"/>
      <c r="F94" s="183"/>
      <c r="G94" s="183"/>
      <c r="H94" s="183"/>
      <c r="I94" s="183"/>
      <c r="J94" s="183"/>
      <c r="K94" s="183"/>
      <c r="L94" s="183"/>
      <c r="M94" s="183"/>
      <c r="N94" s="183"/>
      <c r="O94" s="183"/>
      <c r="P94" s="183"/>
      <c r="Q94" s="183"/>
      <c r="R94" s="183"/>
      <c r="S94" s="183"/>
      <c r="T94" s="183"/>
    </row>
    <row r="95" spans="2:20" x14ac:dyDescent="0.3">
      <c r="B95" s="183"/>
      <c r="C95" s="183"/>
      <c r="D95" s="183"/>
      <c r="E95" s="183"/>
      <c r="F95" s="183"/>
      <c r="G95" s="183"/>
      <c r="H95" s="183"/>
      <c r="I95" s="183"/>
      <c r="J95" s="183"/>
      <c r="K95" s="183"/>
      <c r="L95" s="183"/>
      <c r="M95" s="183"/>
      <c r="N95" s="183"/>
      <c r="O95" s="183"/>
      <c r="P95" s="183"/>
      <c r="Q95" s="183"/>
      <c r="R95" s="183"/>
      <c r="S95" s="183"/>
      <c r="T95" s="183"/>
    </row>
    <row r="96" spans="2:20" x14ac:dyDescent="0.3">
      <c r="B96" s="183"/>
      <c r="C96" s="183"/>
      <c r="D96" s="183"/>
      <c r="E96" s="183"/>
      <c r="F96" s="183"/>
      <c r="G96" s="183"/>
      <c r="H96" s="183"/>
      <c r="I96" s="183"/>
      <c r="J96" s="183"/>
      <c r="K96" s="183"/>
      <c r="L96" s="183"/>
      <c r="M96" s="183"/>
      <c r="N96" s="183"/>
      <c r="O96" s="183"/>
      <c r="P96" s="183"/>
      <c r="Q96" s="183"/>
      <c r="R96" s="183"/>
      <c r="S96" s="183"/>
      <c r="T96" s="183"/>
    </row>
    <row r="97" spans="2:20" x14ac:dyDescent="0.3">
      <c r="B97" s="183"/>
      <c r="C97" s="183"/>
      <c r="D97" s="183"/>
      <c r="E97" s="183"/>
      <c r="F97" s="183"/>
      <c r="G97" s="183"/>
      <c r="H97" s="183"/>
      <c r="I97" s="183"/>
      <c r="J97" s="183"/>
      <c r="K97" s="183"/>
      <c r="L97" s="183"/>
      <c r="M97" s="183"/>
      <c r="N97" s="183"/>
      <c r="O97" s="183"/>
      <c r="P97" s="183"/>
      <c r="Q97" s="183"/>
      <c r="R97" s="183"/>
      <c r="S97" s="183"/>
      <c r="T97" s="183"/>
    </row>
    <row r="98" spans="2:20" x14ac:dyDescent="0.3">
      <c r="B98" s="183"/>
      <c r="C98" s="183"/>
      <c r="D98" s="183"/>
      <c r="E98" s="183"/>
      <c r="F98" s="183"/>
      <c r="G98" s="183"/>
      <c r="H98" s="183"/>
      <c r="I98" s="183"/>
      <c r="J98" s="183"/>
      <c r="K98" s="183"/>
      <c r="L98" s="183"/>
      <c r="M98" s="183"/>
      <c r="N98" s="183"/>
      <c r="O98" s="183"/>
      <c r="P98" s="183"/>
      <c r="Q98" s="183"/>
      <c r="R98" s="183"/>
      <c r="S98" s="183"/>
      <c r="T98" s="183"/>
    </row>
    <row r="99" spans="2:20" x14ac:dyDescent="0.3">
      <c r="B99" s="183"/>
      <c r="C99" s="183"/>
      <c r="D99" s="183"/>
      <c r="E99" s="183"/>
      <c r="F99" s="183"/>
      <c r="G99" s="183"/>
      <c r="H99" s="183"/>
      <c r="I99" s="183"/>
      <c r="J99" s="183"/>
      <c r="K99" s="183"/>
      <c r="L99" s="183"/>
      <c r="M99" s="183"/>
      <c r="N99" s="183"/>
      <c r="O99" s="183"/>
      <c r="P99" s="183"/>
      <c r="Q99" s="183"/>
      <c r="R99" s="183"/>
      <c r="S99" s="183"/>
      <c r="T99" s="183"/>
    </row>
    <row r="100" spans="2:20" x14ac:dyDescent="0.3">
      <c r="B100" s="183"/>
      <c r="C100" s="183"/>
      <c r="D100" s="183"/>
      <c r="E100" s="183"/>
      <c r="F100" s="183"/>
      <c r="G100" s="183"/>
      <c r="H100" s="183"/>
      <c r="I100" s="183"/>
      <c r="J100" s="183"/>
      <c r="K100" s="183"/>
      <c r="L100" s="183"/>
      <c r="M100" s="183"/>
      <c r="N100" s="183"/>
      <c r="O100" s="183"/>
      <c r="P100" s="183"/>
      <c r="Q100" s="183"/>
      <c r="R100" s="183"/>
      <c r="S100" s="183"/>
      <c r="T100" s="183"/>
    </row>
    <row r="101" spans="2:20" x14ac:dyDescent="0.3">
      <c r="B101" s="183"/>
      <c r="C101" s="183"/>
      <c r="D101" s="183"/>
      <c r="E101" s="183"/>
      <c r="F101" s="183"/>
      <c r="G101" s="183"/>
      <c r="H101" s="183"/>
      <c r="I101" s="183"/>
      <c r="J101" s="183"/>
      <c r="K101" s="183"/>
      <c r="L101" s="183"/>
      <c r="M101" s="183"/>
      <c r="N101" s="183"/>
      <c r="O101" s="183"/>
      <c r="P101" s="183"/>
      <c r="Q101" s="183"/>
      <c r="R101" s="183"/>
      <c r="S101" s="183"/>
      <c r="T101" s="183"/>
    </row>
    <row r="102" spans="2:20" x14ac:dyDescent="0.3">
      <c r="B102" s="183"/>
      <c r="C102" s="183"/>
      <c r="D102" s="183"/>
      <c r="E102" s="183"/>
      <c r="F102" s="183"/>
      <c r="G102" s="183"/>
      <c r="H102" s="183"/>
      <c r="I102" s="183"/>
      <c r="J102" s="183"/>
      <c r="K102" s="183"/>
      <c r="L102" s="183"/>
      <c r="M102" s="183"/>
      <c r="N102" s="183"/>
      <c r="O102" s="183"/>
      <c r="P102" s="183"/>
      <c r="Q102" s="183"/>
      <c r="R102" s="183"/>
      <c r="S102" s="183"/>
      <c r="T102" s="183"/>
    </row>
    <row r="103" spans="2:20" x14ac:dyDescent="0.3">
      <c r="B103" s="183"/>
      <c r="C103" s="183"/>
      <c r="D103" s="183"/>
      <c r="E103" s="183"/>
      <c r="F103" s="183"/>
      <c r="G103" s="183"/>
      <c r="H103" s="183"/>
      <c r="I103" s="183"/>
      <c r="J103" s="183"/>
      <c r="K103" s="183"/>
      <c r="L103" s="183"/>
      <c r="M103" s="183"/>
      <c r="N103" s="183"/>
      <c r="O103" s="183"/>
      <c r="P103" s="183"/>
      <c r="Q103" s="183"/>
      <c r="R103" s="183"/>
      <c r="S103" s="183"/>
      <c r="T103" s="183"/>
    </row>
    <row r="104" spans="2:20" x14ac:dyDescent="0.3">
      <c r="B104" s="183"/>
      <c r="C104" s="183"/>
      <c r="D104" s="183"/>
      <c r="E104" s="183"/>
      <c r="F104" s="183"/>
      <c r="G104" s="183"/>
      <c r="H104" s="183"/>
      <c r="I104" s="183"/>
      <c r="J104" s="183"/>
      <c r="K104" s="183"/>
      <c r="L104" s="183"/>
      <c r="M104" s="183"/>
      <c r="N104" s="183"/>
      <c r="O104" s="183"/>
      <c r="P104" s="183"/>
      <c r="Q104" s="183"/>
      <c r="R104" s="183"/>
      <c r="S104" s="183"/>
      <c r="T104" s="183"/>
    </row>
    <row r="105" spans="2:20" x14ac:dyDescent="0.3">
      <c r="B105" s="183"/>
      <c r="C105" s="183"/>
      <c r="D105" s="183"/>
      <c r="E105" s="183"/>
      <c r="F105" s="183"/>
      <c r="G105" s="183"/>
      <c r="H105" s="183"/>
      <c r="I105" s="183"/>
      <c r="J105" s="183"/>
      <c r="K105" s="183"/>
      <c r="L105" s="183"/>
      <c r="M105" s="183"/>
      <c r="N105" s="183"/>
      <c r="O105" s="183"/>
      <c r="P105" s="183"/>
      <c r="Q105" s="183"/>
      <c r="R105" s="183"/>
      <c r="S105" s="183"/>
      <c r="T105" s="183"/>
    </row>
    <row r="106" spans="2:20" x14ac:dyDescent="0.3">
      <c r="B106" s="183"/>
      <c r="C106" s="183"/>
      <c r="D106" s="183"/>
      <c r="E106" s="183"/>
      <c r="F106" s="183"/>
      <c r="G106" s="183"/>
      <c r="H106" s="183"/>
      <c r="I106" s="183"/>
      <c r="J106" s="183"/>
      <c r="K106" s="183"/>
      <c r="L106" s="183"/>
      <c r="M106" s="183"/>
      <c r="N106" s="183"/>
      <c r="O106" s="183"/>
      <c r="P106" s="183"/>
      <c r="Q106" s="183"/>
      <c r="R106" s="183"/>
      <c r="S106" s="183"/>
      <c r="T106" s="183"/>
    </row>
    <row r="107" spans="2:20" x14ac:dyDescent="0.3">
      <c r="B107" s="183"/>
      <c r="C107" s="183"/>
      <c r="D107" s="183"/>
      <c r="E107" s="183"/>
      <c r="F107" s="183"/>
      <c r="G107" s="183"/>
      <c r="H107" s="183"/>
      <c r="I107" s="183"/>
      <c r="J107" s="183"/>
      <c r="K107" s="183"/>
      <c r="L107" s="183"/>
      <c r="M107" s="183"/>
      <c r="N107" s="183"/>
      <c r="O107" s="183"/>
      <c r="P107" s="183"/>
      <c r="Q107" s="183"/>
      <c r="R107" s="183"/>
      <c r="S107" s="183"/>
      <c r="T107" s="183"/>
    </row>
    <row r="108" spans="2:20" x14ac:dyDescent="0.3">
      <c r="B108" s="183"/>
      <c r="C108" s="183"/>
      <c r="D108" s="183"/>
      <c r="E108" s="183"/>
      <c r="F108" s="183"/>
      <c r="G108" s="183"/>
      <c r="H108" s="183"/>
      <c r="I108" s="183"/>
      <c r="J108" s="183"/>
      <c r="K108" s="183"/>
      <c r="L108" s="183"/>
      <c r="M108" s="183"/>
      <c r="N108" s="183"/>
      <c r="O108" s="183"/>
      <c r="P108" s="183"/>
      <c r="Q108" s="183"/>
      <c r="R108" s="183"/>
      <c r="S108" s="183"/>
      <c r="T108" s="183"/>
    </row>
    <row r="109" spans="2:20" x14ac:dyDescent="0.3">
      <c r="B109" s="183"/>
      <c r="C109" s="183"/>
      <c r="D109" s="183"/>
      <c r="E109" s="183"/>
      <c r="F109" s="183"/>
      <c r="G109" s="183"/>
      <c r="H109" s="183"/>
      <c r="I109" s="183"/>
      <c r="J109" s="183"/>
      <c r="K109" s="183"/>
      <c r="L109" s="183"/>
      <c r="M109" s="183"/>
      <c r="N109" s="183"/>
      <c r="O109" s="183"/>
      <c r="P109" s="183"/>
      <c r="Q109" s="183"/>
      <c r="R109" s="183"/>
      <c r="S109" s="183"/>
      <c r="T109" s="183"/>
    </row>
    <row r="110" spans="2:20" x14ac:dyDescent="0.3">
      <c r="B110" s="183"/>
      <c r="C110" s="183"/>
      <c r="D110" s="183"/>
      <c r="E110" s="183"/>
      <c r="F110" s="183"/>
      <c r="G110" s="183"/>
      <c r="H110" s="183"/>
      <c r="I110" s="183"/>
      <c r="J110" s="183"/>
      <c r="K110" s="183"/>
      <c r="L110" s="183"/>
      <c r="M110" s="183"/>
      <c r="N110" s="183"/>
      <c r="O110" s="183"/>
      <c r="P110" s="183"/>
      <c r="Q110" s="183"/>
      <c r="R110" s="183"/>
      <c r="S110" s="183"/>
      <c r="T110" s="183"/>
    </row>
    <row r="111" spans="2:20" x14ac:dyDescent="0.3">
      <c r="B111" s="183"/>
      <c r="C111" s="183"/>
      <c r="D111" s="183"/>
      <c r="E111" s="183"/>
      <c r="F111" s="183"/>
      <c r="G111" s="183"/>
      <c r="H111" s="183"/>
      <c r="I111" s="183"/>
      <c r="J111" s="183"/>
      <c r="K111" s="183"/>
      <c r="L111" s="183"/>
      <c r="M111" s="183"/>
      <c r="N111" s="183"/>
      <c r="O111" s="183"/>
      <c r="P111" s="183"/>
      <c r="Q111" s="183"/>
      <c r="R111" s="183"/>
      <c r="S111" s="183"/>
      <c r="T111" s="183"/>
    </row>
    <row r="112" spans="2:20" x14ac:dyDescent="0.3">
      <c r="B112" s="183"/>
      <c r="C112" s="183"/>
      <c r="D112" s="183"/>
      <c r="E112" s="183"/>
      <c r="F112" s="183"/>
      <c r="G112" s="183"/>
      <c r="H112" s="183"/>
      <c r="I112" s="183"/>
      <c r="J112" s="183"/>
      <c r="K112" s="183"/>
      <c r="L112" s="183"/>
      <c r="M112" s="183"/>
      <c r="N112" s="183"/>
      <c r="O112" s="183"/>
      <c r="P112" s="183"/>
      <c r="Q112" s="183"/>
      <c r="R112" s="183"/>
      <c r="S112" s="183"/>
      <c r="T112" s="183"/>
    </row>
    <row r="113" spans="2:20" x14ac:dyDescent="0.3">
      <c r="B113" s="183"/>
      <c r="C113" s="183"/>
      <c r="D113" s="183"/>
      <c r="E113" s="183"/>
      <c r="F113" s="183"/>
      <c r="G113" s="183"/>
      <c r="H113" s="183"/>
      <c r="I113" s="183"/>
      <c r="J113" s="183"/>
      <c r="K113" s="183"/>
      <c r="L113" s="183"/>
      <c r="M113" s="183"/>
      <c r="N113" s="183"/>
      <c r="O113" s="183"/>
      <c r="P113" s="183"/>
      <c r="Q113" s="183"/>
      <c r="R113" s="183"/>
      <c r="S113" s="183"/>
      <c r="T113" s="183"/>
    </row>
    <row r="114" spans="2:20" x14ac:dyDescent="0.3">
      <c r="B114" s="183"/>
      <c r="C114" s="183"/>
      <c r="D114" s="183"/>
      <c r="E114" s="183"/>
      <c r="F114" s="183"/>
      <c r="G114" s="183"/>
      <c r="H114" s="183"/>
      <c r="I114" s="183"/>
      <c r="J114" s="183"/>
      <c r="K114" s="183"/>
      <c r="L114" s="183"/>
      <c r="M114" s="183"/>
      <c r="N114" s="183"/>
      <c r="O114" s="183"/>
      <c r="P114" s="183"/>
      <c r="Q114" s="183"/>
      <c r="R114" s="183"/>
      <c r="S114" s="183"/>
      <c r="T114" s="183"/>
    </row>
    <row r="115" spans="2:20" x14ac:dyDescent="0.3">
      <c r="B115" s="183"/>
      <c r="C115" s="183"/>
      <c r="D115" s="183"/>
      <c r="E115" s="183"/>
      <c r="F115" s="183"/>
      <c r="G115" s="183"/>
      <c r="H115" s="183"/>
      <c r="I115" s="183"/>
      <c r="J115" s="183"/>
      <c r="K115" s="183"/>
      <c r="L115" s="183"/>
      <c r="M115" s="183"/>
      <c r="N115" s="183"/>
      <c r="O115" s="183"/>
      <c r="P115" s="183"/>
      <c r="Q115" s="183"/>
      <c r="R115" s="183"/>
      <c r="S115" s="183"/>
      <c r="T115" s="183"/>
    </row>
    <row r="116" spans="2:20" x14ac:dyDescent="0.3">
      <c r="B116" s="183"/>
      <c r="C116" s="183"/>
      <c r="D116" s="183"/>
      <c r="E116" s="183"/>
      <c r="F116" s="183"/>
      <c r="G116" s="183"/>
      <c r="H116" s="183"/>
      <c r="I116" s="183"/>
      <c r="J116" s="183"/>
      <c r="K116" s="183"/>
      <c r="L116" s="183"/>
      <c r="M116" s="183"/>
      <c r="N116" s="183"/>
      <c r="O116" s="183"/>
      <c r="P116" s="183"/>
      <c r="Q116" s="183"/>
      <c r="R116" s="183"/>
      <c r="S116" s="183"/>
      <c r="T116" s="183"/>
    </row>
    <row r="117" spans="2:20" x14ac:dyDescent="0.3">
      <c r="B117" s="183"/>
      <c r="C117" s="183"/>
      <c r="D117" s="183"/>
      <c r="E117" s="183"/>
      <c r="F117" s="183"/>
      <c r="G117" s="183"/>
      <c r="H117" s="183"/>
      <c r="I117" s="183"/>
      <c r="J117" s="183"/>
      <c r="K117" s="183"/>
      <c r="L117" s="183"/>
      <c r="M117" s="183"/>
      <c r="N117" s="183"/>
      <c r="O117" s="183"/>
      <c r="P117" s="183"/>
      <c r="Q117" s="183"/>
      <c r="R117" s="183"/>
      <c r="S117" s="183"/>
      <c r="T117" s="183"/>
    </row>
    <row r="118" spans="2:20" x14ac:dyDescent="0.3">
      <c r="B118" s="183"/>
      <c r="C118" s="183"/>
      <c r="D118" s="183"/>
      <c r="E118" s="183"/>
      <c r="F118" s="183"/>
      <c r="G118" s="183"/>
      <c r="H118" s="183"/>
      <c r="I118" s="183"/>
      <c r="J118" s="183"/>
      <c r="K118" s="183"/>
      <c r="L118" s="183"/>
      <c r="M118" s="183"/>
      <c r="N118" s="183"/>
      <c r="O118" s="183"/>
      <c r="P118" s="183"/>
      <c r="Q118" s="183"/>
      <c r="R118" s="183"/>
      <c r="S118" s="183"/>
      <c r="T118" s="183"/>
    </row>
    <row r="119" spans="2:20" x14ac:dyDescent="0.3">
      <c r="B119" s="183"/>
      <c r="C119" s="183"/>
      <c r="D119" s="183"/>
      <c r="E119" s="183"/>
      <c r="F119" s="183"/>
      <c r="G119" s="183"/>
      <c r="H119" s="183"/>
      <c r="I119" s="183"/>
      <c r="J119" s="183"/>
      <c r="K119" s="183"/>
      <c r="L119" s="183"/>
      <c r="M119" s="183"/>
      <c r="N119" s="183"/>
      <c r="O119" s="183"/>
      <c r="P119" s="183"/>
      <c r="Q119" s="183"/>
      <c r="R119" s="183"/>
      <c r="S119" s="183"/>
      <c r="T119" s="183"/>
    </row>
    <row r="120" spans="2:20" x14ac:dyDescent="0.3">
      <c r="B120" s="183"/>
      <c r="C120" s="183"/>
      <c r="D120" s="183"/>
      <c r="E120" s="183"/>
      <c r="F120" s="183"/>
      <c r="G120" s="183"/>
      <c r="H120" s="183"/>
      <c r="I120" s="183"/>
      <c r="J120" s="183"/>
      <c r="K120" s="183"/>
      <c r="L120" s="183"/>
      <c r="M120" s="183"/>
      <c r="N120" s="183"/>
      <c r="O120" s="183"/>
      <c r="P120" s="183"/>
      <c r="Q120" s="183"/>
      <c r="R120" s="183"/>
      <c r="S120" s="183"/>
      <c r="T120" s="183"/>
    </row>
    <row r="121" spans="2:20" x14ac:dyDescent="0.3">
      <c r="B121" s="183"/>
      <c r="C121" s="183"/>
      <c r="D121" s="183"/>
      <c r="E121" s="183"/>
      <c r="F121" s="183"/>
      <c r="G121" s="183"/>
      <c r="H121" s="183"/>
      <c r="I121" s="183"/>
      <c r="J121" s="183"/>
      <c r="K121" s="183"/>
      <c r="L121" s="183"/>
      <c r="M121" s="183"/>
      <c r="N121" s="183"/>
      <c r="O121" s="183"/>
      <c r="P121" s="183"/>
      <c r="Q121" s="183"/>
      <c r="R121" s="183"/>
      <c r="S121" s="183"/>
      <c r="T121" s="183"/>
    </row>
  </sheetData>
  <sheetProtection algorithmName="SHA-512" hashValue="3HNUUmdoE5DHu/QehhEk7XqZXXSZGVGNSZLN/EGhv518/xLLnymfIni+Y/roe8f5A56pb9Y2RvmRg+1AO4z9Nw==" saltValue="fImFzc11QCxIpTXbMjiMcw==" spinCount="100000" sheet="1" objects="1" scenarios="1" formatCells="0" formatColumns="0" formatRows="0"/>
  <pageMargins left="0.7" right="0.7" top="0.75" bottom="0.75" header="0.3" footer="0.3"/>
  <pageSetup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0" tint="-0.34998626667073579"/>
  </sheetPr>
  <dimension ref="A2:DT351"/>
  <sheetViews>
    <sheetView showGridLines="0" workbookViewId="0">
      <pane ySplit="3" topLeftCell="A201" activePane="bottomLeft" state="frozen"/>
      <selection activeCell="C126" sqref="C126"/>
      <selection pane="bottomLeft"/>
    </sheetView>
  </sheetViews>
  <sheetFormatPr defaultRowHeight="14.4" x14ac:dyDescent="0.3"/>
  <cols>
    <col min="2" max="2" width="29.44140625" customWidth="1"/>
    <col min="3" max="3" width="15.109375" customWidth="1"/>
    <col min="4" max="4" width="13.6640625" customWidth="1"/>
    <col min="5" max="6" width="16.6640625" customWidth="1"/>
    <col min="7" max="10" width="11.44140625" customWidth="1"/>
    <col min="11" max="56" width="12.5546875" customWidth="1"/>
    <col min="71" max="71" width="11.6640625" customWidth="1"/>
    <col min="72" max="72" width="13" customWidth="1"/>
    <col min="74" max="75" width="11.33203125" customWidth="1"/>
    <col min="80" max="82" width="12" customWidth="1"/>
    <col min="87" max="87" width="10.6640625" customWidth="1"/>
    <col min="88" max="88" width="10.5546875" customWidth="1"/>
    <col min="89" max="89" width="15.33203125" customWidth="1"/>
    <col min="90" max="90" width="12.33203125" bestFit="1" customWidth="1"/>
    <col min="91" max="91" width="13.109375" customWidth="1"/>
    <col min="92" max="92" width="10.109375" customWidth="1"/>
    <col min="93" max="93" width="13.5546875" customWidth="1"/>
    <col min="94" max="94" width="12.109375" customWidth="1"/>
    <col min="95" max="95" width="13.33203125" customWidth="1"/>
    <col min="96" max="96" width="12.44140625" customWidth="1"/>
    <col min="97" max="97" width="13.5546875" customWidth="1"/>
    <col min="98" max="98" width="12.5546875" customWidth="1"/>
    <col min="99" max="99" width="11.6640625" customWidth="1"/>
    <col min="100" max="100" width="12.33203125" customWidth="1"/>
    <col min="119" max="119" width="12.109375" customWidth="1"/>
    <col min="120" max="120" width="10.88671875" customWidth="1"/>
  </cols>
  <sheetData>
    <row r="2" spans="1:124" x14ac:dyDescent="0.3">
      <c r="A2" s="217"/>
      <c r="B2" s="217"/>
      <c r="C2" s="217"/>
      <c r="D2" s="217"/>
      <c r="E2" s="217"/>
      <c r="F2" s="217"/>
      <c r="G2" s="217"/>
      <c r="H2" s="217"/>
      <c r="I2" s="217"/>
      <c r="J2" s="217"/>
      <c r="L2" s="559" t="s">
        <v>368</v>
      </c>
      <c r="M2" s="559"/>
      <c r="N2" s="559"/>
      <c r="O2" s="559"/>
      <c r="P2" s="559"/>
      <c r="Q2" s="559"/>
      <c r="R2" s="559"/>
      <c r="S2" s="559"/>
      <c r="T2" s="559"/>
      <c r="U2" s="559"/>
      <c r="V2" s="559"/>
      <c r="W2" s="559"/>
      <c r="X2" s="559"/>
      <c r="Y2" s="559"/>
      <c r="Z2" s="559"/>
      <c r="AA2" s="560" t="s">
        <v>369</v>
      </c>
      <c r="AB2" s="560"/>
      <c r="AC2" s="560"/>
      <c r="AD2" s="560"/>
      <c r="AE2" s="560"/>
      <c r="AF2" s="560"/>
      <c r="AG2" s="560"/>
      <c r="AH2" s="560"/>
      <c r="AI2" s="560"/>
      <c r="AJ2" s="560"/>
      <c r="AK2" s="560"/>
      <c r="AL2" s="560"/>
      <c r="AM2" s="560"/>
      <c r="AN2" s="560"/>
      <c r="AO2" s="560"/>
      <c r="AP2" s="559" t="s">
        <v>370</v>
      </c>
      <c r="AQ2" s="559"/>
      <c r="AR2" s="559"/>
      <c r="AS2" s="559"/>
      <c r="AT2" s="559"/>
      <c r="AU2" s="559"/>
      <c r="AV2" s="559"/>
      <c r="AW2" s="559"/>
      <c r="AX2" s="559"/>
      <c r="AY2" s="559"/>
      <c r="AZ2" s="559"/>
      <c r="BA2" s="559"/>
      <c r="BB2" s="559"/>
      <c r="BC2" s="559"/>
      <c r="BD2" s="559"/>
      <c r="BE2" s="560" t="s">
        <v>367</v>
      </c>
      <c r="BF2" s="560"/>
      <c r="BG2" s="560"/>
      <c r="BH2" s="560"/>
      <c r="BI2" s="560"/>
      <c r="BJ2" s="560"/>
      <c r="BK2" s="560"/>
      <c r="BL2" s="560"/>
      <c r="BM2" s="560"/>
      <c r="BN2" s="560"/>
      <c r="BO2" s="560"/>
      <c r="BP2" s="560"/>
      <c r="BQ2" s="560"/>
      <c r="BR2" s="560"/>
      <c r="BS2" s="560"/>
      <c r="BT2" s="559" t="s">
        <v>379</v>
      </c>
      <c r="BU2" s="559"/>
      <c r="BV2" s="559"/>
      <c r="BW2" s="559"/>
      <c r="BX2" s="559"/>
      <c r="BY2" s="559"/>
      <c r="BZ2" s="559"/>
      <c r="CA2" s="559"/>
      <c r="CB2" s="559"/>
      <c r="CC2" s="559"/>
      <c r="CD2" s="559"/>
      <c r="CE2" s="559"/>
      <c r="CF2" s="559"/>
      <c r="CG2" s="559"/>
      <c r="CH2" s="559"/>
      <c r="CI2" s="559"/>
      <c r="CJ2" s="559"/>
      <c r="CK2" s="560" t="s">
        <v>381</v>
      </c>
      <c r="CL2" s="560"/>
      <c r="CM2" s="560"/>
      <c r="CN2" s="560"/>
      <c r="CO2" s="560"/>
      <c r="CP2" s="560"/>
      <c r="CQ2" s="560"/>
      <c r="CR2" s="560"/>
      <c r="CS2" s="560"/>
      <c r="CT2" s="560"/>
      <c r="CU2" s="559" t="s">
        <v>403</v>
      </c>
      <c r="CV2" s="559"/>
      <c r="CW2" s="559"/>
      <c r="CX2" s="559"/>
      <c r="CY2" s="559"/>
      <c r="CZ2" s="559"/>
      <c r="DA2" s="559"/>
      <c r="DB2" s="559"/>
      <c r="DC2" s="559"/>
      <c r="DD2" s="559"/>
      <c r="DE2" s="559"/>
      <c r="DF2" s="559"/>
      <c r="DG2" s="559"/>
      <c r="DH2" s="559"/>
      <c r="DI2" s="559"/>
      <c r="DJ2" s="559"/>
      <c r="DK2" s="559"/>
      <c r="DL2" s="559"/>
      <c r="DM2" s="559"/>
      <c r="DN2" s="559"/>
      <c r="DO2" s="559"/>
      <c r="DP2" s="559"/>
      <c r="DQ2" s="217"/>
      <c r="DR2" s="217"/>
      <c r="DS2" s="217"/>
      <c r="DT2" s="217"/>
    </row>
    <row r="3" spans="1:124" ht="86.4" x14ac:dyDescent="0.3">
      <c r="A3" s="217"/>
      <c r="B3" s="219" t="s">
        <v>303</v>
      </c>
      <c r="C3" s="219" t="s">
        <v>308</v>
      </c>
      <c r="D3" s="219" t="s">
        <v>164</v>
      </c>
      <c r="E3" s="219" t="s">
        <v>301</v>
      </c>
      <c r="F3" s="219" t="s">
        <v>143</v>
      </c>
      <c r="G3" s="219" t="s">
        <v>364</v>
      </c>
      <c r="H3" s="219" t="s">
        <v>365</v>
      </c>
      <c r="I3" s="219" t="s">
        <v>366</v>
      </c>
      <c r="J3" s="219" t="s">
        <v>27</v>
      </c>
      <c r="K3" s="219" t="s">
        <v>744</v>
      </c>
      <c r="L3" s="219" t="s">
        <v>309</v>
      </c>
      <c r="M3" s="219" t="s">
        <v>36</v>
      </c>
      <c r="N3" s="219" t="s">
        <v>41</v>
      </c>
      <c r="O3" s="219" t="s">
        <v>44</v>
      </c>
      <c r="P3" s="219" t="s">
        <v>310</v>
      </c>
      <c r="Q3" s="219" t="s">
        <v>47</v>
      </c>
      <c r="R3" s="219" t="s">
        <v>53</v>
      </c>
      <c r="S3" s="219" t="s">
        <v>59</v>
      </c>
      <c r="T3" s="219" t="s">
        <v>64</v>
      </c>
      <c r="U3" s="219" t="s">
        <v>311</v>
      </c>
      <c r="V3" s="219" t="s">
        <v>70</v>
      </c>
      <c r="W3" s="219" t="s">
        <v>79</v>
      </c>
      <c r="X3" s="219" t="s">
        <v>85</v>
      </c>
      <c r="Y3" s="219" t="s">
        <v>312</v>
      </c>
      <c r="Z3" s="219" t="s">
        <v>372</v>
      </c>
      <c r="AA3" s="219" t="s">
        <v>309</v>
      </c>
      <c r="AB3" s="219" t="s">
        <v>36</v>
      </c>
      <c r="AC3" s="219" t="s">
        <v>41</v>
      </c>
      <c r="AD3" s="219" t="s">
        <v>44</v>
      </c>
      <c r="AE3" s="219" t="s">
        <v>310</v>
      </c>
      <c r="AF3" s="219" t="s">
        <v>47</v>
      </c>
      <c r="AG3" s="219" t="s">
        <v>53</v>
      </c>
      <c r="AH3" s="219" t="s">
        <v>59</v>
      </c>
      <c r="AI3" s="219" t="s">
        <v>64</v>
      </c>
      <c r="AJ3" s="219" t="s">
        <v>311</v>
      </c>
      <c r="AK3" s="219" t="s">
        <v>70</v>
      </c>
      <c r="AL3" s="219" t="s">
        <v>79</v>
      </c>
      <c r="AM3" s="219" t="s">
        <v>85</v>
      </c>
      <c r="AN3" s="219" t="s">
        <v>312</v>
      </c>
      <c r="AO3" s="219" t="s">
        <v>373</v>
      </c>
      <c r="AP3" s="219" t="s">
        <v>309</v>
      </c>
      <c r="AQ3" s="219" t="s">
        <v>36</v>
      </c>
      <c r="AR3" s="219" t="s">
        <v>41</v>
      </c>
      <c r="AS3" s="219" t="s">
        <v>44</v>
      </c>
      <c r="AT3" s="219" t="s">
        <v>310</v>
      </c>
      <c r="AU3" s="219" t="s">
        <v>47</v>
      </c>
      <c r="AV3" s="219" t="s">
        <v>53</v>
      </c>
      <c r="AW3" s="219" t="s">
        <v>59</v>
      </c>
      <c r="AX3" s="219" t="s">
        <v>64</v>
      </c>
      <c r="AY3" s="219" t="s">
        <v>311</v>
      </c>
      <c r="AZ3" s="219" t="s">
        <v>70</v>
      </c>
      <c r="BA3" s="219" t="s">
        <v>79</v>
      </c>
      <c r="BB3" s="219" t="s">
        <v>85</v>
      </c>
      <c r="BC3" s="219" t="s">
        <v>312</v>
      </c>
      <c r="BD3" s="219" t="s">
        <v>320</v>
      </c>
      <c r="BE3" s="219" t="s">
        <v>309</v>
      </c>
      <c r="BF3" s="219" t="s">
        <v>36</v>
      </c>
      <c r="BG3" s="219" t="s">
        <v>41</v>
      </c>
      <c r="BH3" s="219" t="s">
        <v>44</v>
      </c>
      <c r="BI3" s="219" t="s">
        <v>310</v>
      </c>
      <c r="BJ3" s="219" t="s">
        <v>47</v>
      </c>
      <c r="BK3" s="219" t="s">
        <v>53</v>
      </c>
      <c r="BL3" s="219" t="s">
        <v>59</v>
      </c>
      <c r="BM3" s="219" t="s">
        <v>64</v>
      </c>
      <c r="BN3" s="219" t="s">
        <v>311</v>
      </c>
      <c r="BO3" s="219" t="s">
        <v>70</v>
      </c>
      <c r="BP3" s="219" t="s">
        <v>79</v>
      </c>
      <c r="BQ3" s="219" t="s">
        <v>85</v>
      </c>
      <c r="BR3" s="219" t="s">
        <v>312</v>
      </c>
      <c r="BS3" s="219" t="s">
        <v>320</v>
      </c>
      <c r="BT3" s="219" t="s">
        <v>608</v>
      </c>
      <c r="BU3" s="219" t="s">
        <v>721</v>
      </c>
      <c r="BV3" s="219" t="s">
        <v>723</v>
      </c>
      <c r="BW3" s="219" t="s">
        <v>722</v>
      </c>
      <c r="BX3" s="219" t="s">
        <v>109</v>
      </c>
      <c r="BY3" s="219" t="s">
        <v>110</v>
      </c>
      <c r="BZ3" s="219" t="s">
        <v>111</v>
      </c>
      <c r="CA3" s="219" t="s">
        <v>112</v>
      </c>
      <c r="CB3" s="219" t="s">
        <v>610</v>
      </c>
      <c r="CC3" s="219" t="s">
        <v>612</v>
      </c>
      <c r="CD3" s="219" t="s">
        <v>614</v>
      </c>
      <c r="CE3" s="219" t="s">
        <v>616</v>
      </c>
      <c r="CF3" s="219" t="s">
        <v>618</v>
      </c>
      <c r="CG3" s="219" t="s">
        <v>620</v>
      </c>
      <c r="CH3" s="219" t="s">
        <v>621</v>
      </c>
      <c r="CI3" s="219" t="s">
        <v>622</v>
      </c>
      <c r="CJ3" s="219" t="s">
        <v>320</v>
      </c>
      <c r="CK3" s="219" t="s">
        <v>125</v>
      </c>
      <c r="CL3" s="219" t="s">
        <v>144</v>
      </c>
      <c r="CM3" s="219" t="s">
        <v>517</v>
      </c>
      <c r="CN3" s="219" t="s">
        <v>518</v>
      </c>
      <c r="CO3" s="219" t="s">
        <v>112</v>
      </c>
      <c r="CP3" s="219" t="s">
        <v>610</v>
      </c>
      <c r="CQ3" s="219" t="s">
        <v>519</v>
      </c>
      <c r="CR3" s="219" t="s">
        <v>520</v>
      </c>
      <c r="CS3" s="219" t="s">
        <v>128</v>
      </c>
      <c r="CT3" s="219" t="s">
        <v>320</v>
      </c>
      <c r="CU3" s="219" t="str">
        <f>Inputs!$D$15</f>
        <v>Agency (unspecified)</v>
      </c>
      <c r="CV3" s="219">
        <f>Inputs!$D$16</f>
        <v>0</v>
      </c>
      <c r="CW3" s="219">
        <f>Inputs!$D$17</f>
        <v>0</v>
      </c>
      <c r="CX3" s="219">
        <f>Inputs!$D$18</f>
        <v>0</v>
      </c>
      <c r="CY3" s="219">
        <f>Inputs!$D$19</f>
        <v>0</v>
      </c>
      <c r="CZ3" s="219">
        <f>Inputs!$D$20</f>
        <v>0</v>
      </c>
      <c r="DA3" s="219">
        <f>Inputs!$D$21</f>
        <v>0</v>
      </c>
      <c r="DB3" s="219">
        <f>Inputs!$D$22</f>
        <v>0</v>
      </c>
      <c r="DC3" s="219">
        <f>Inputs!$D$23</f>
        <v>0</v>
      </c>
      <c r="DD3" s="219">
        <f>Inputs!$D$24</f>
        <v>0</v>
      </c>
      <c r="DE3" s="219">
        <f>Inputs!$D$25</f>
        <v>0</v>
      </c>
      <c r="DF3" s="219">
        <f>Inputs!$D$26</f>
        <v>0</v>
      </c>
      <c r="DG3" s="219">
        <f>Inputs!$D$27</f>
        <v>0</v>
      </c>
      <c r="DH3" s="219">
        <f>Inputs!$D$28</f>
        <v>0</v>
      </c>
      <c r="DI3" s="219">
        <f>Inputs!$D$29</f>
        <v>0</v>
      </c>
      <c r="DJ3" s="219">
        <f>Inputs!$D$30</f>
        <v>0</v>
      </c>
      <c r="DK3" s="219">
        <f>Inputs!$D$31</f>
        <v>0</v>
      </c>
      <c r="DL3" s="219">
        <f>Inputs!$D$32</f>
        <v>0</v>
      </c>
      <c r="DM3" s="219">
        <f>Inputs!$D$33</f>
        <v>0</v>
      </c>
      <c r="DN3" s="219">
        <f>Inputs!$D$34</f>
        <v>0</v>
      </c>
      <c r="DO3" s="219">
        <f>Inputs!$D$35</f>
        <v>0</v>
      </c>
      <c r="DP3" s="219" t="s">
        <v>320</v>
      </c>
      <c r="DQ3" s="217"/>
      <c r="DR3" s="217"/>
      <c r="DS3" s="217"/>
      <c r="DT3" s="217"/>
    </row>
    <row r="4" spans="1:124" x14ac:dyDescent="0.3">
      <c r="A4" s="324"/>
      <c r="B4" s="221" t="s">
        <v>481</v>
      </c>
      <c r="C4" s="221" t="str">
        <f>IF('Default - Material Balance'!C14=0,"",'Default - Material Balance'!C14)</f>
        <v/>
      </c>
      <c r="D4" s="221" t="str">
        <f>IF('Default - Material Balance'!D14=0,"",'Default - Material Balance'!D14)</f>
        <v/>
      </c>
      <c r="E4" s="221" t="str">
        <f>IF('Default - Material Balance'!E14=0,"",'Default - Material Balance'!E14)</f>
        <v/>
      </c>
      <c r="F4" s="221" t="str">
        <f>IF('Default - Material Balance'!F14=0,"",'Default - Material Balance'!F14)</f>
        <v/>
      </c>
      <c r="G4" s="222"/>
      <c r="H4" s="222"/>
      <c r="I4" s="222"/>
      <c r="J4" s="325">
        <f>IF('Default - Material Balance'!M14=0,0,'Default - Material Balance'!M14)</f>
        <v>0</v>
      </c>
      <c r="K4" s="465"/>
      <c r="L4" s="222"/>
      <c r="M4" s="326"/>
      <c r="N4" s="326"/>
      <c r="O4" s="326"/>
      <c r="P4" s="326"/>
      <c r="Q4" s="326"/>
      <c r="R4" s="326"/>
      <c r="S4" s="326"/>
      <c r="T4" s="326"/>
      <c r="U4" s="326"/>
      <c r="V4" s="326"/>
      <c r="W4" s="326"/>
      <c r="X4" s="326"/>
      <c r="Y4" s="326"/>
      <c r="Z4" s="327"/>
      <c r="AA4" s="222"/>
      <c r="AB4" s="328"/>
      <c r="AC4" s="328"/>
      <c r="AD4" s="328"/>
      <c r="AE4" s="328"/>
      <c r="AF4" s="328"/>
      <c r="AG4" s="328"/>
      <c r="AH4" s="328"/>
      <c r="AI4" s="328"/>
      <c r="AJ4" s="328"/>
      <c r="AK4" s="328"/>
      <c r="AL4" s="328"/>
      <c r="AM4" s="328"/>
      <c r="AN4" s="328"/>
      <c r="AO4" s="329"/>
      <c r="AP4" s="222"/>
      <c r="AQ4" s="326"/>
      <c r="AR4" s="326"/>
      <c r="AS4" s="326"/>
      <c r="AT4" s="326"/>
      <c r="AU4" s="326"/>
      <c r="AV4" s="326"/>
      <c r="AW4" s="326"/>
      <c r="AX4" s="326"/>
      <c r="AY4" s="326"/>
      <c r="AZ4" s="326"/>
      <c r="BA4" s="326"/>
      <c r="BB4" s="326"/>
      <c r="BC4" s="326"/>
      <c r="BD4" s="326"/>
      <c r="BE4" s="330">
        <f>IF($F4="",0,$J4*VLOOKUP($F4,Lists!$C$72:$R$152,COLUMNS(Lists!$C$69:E$69),0))*VLOOKUP(BE$3,Conversions!$B$12:$E$34,4,0)</f>
        <v>0</v>
      </c>
      <c r="BF4" s="330">
        <f>IF($F4="",0,$J4*VLOOKUP($F4,Lists!$C$72:$R$152,COLUMNS(Lists!$C$69:F$69),0))*VLOOKUP(BF$3,Conversions!$B$12:$E$34,4,0)</f>
        <v>0</v>
      </c>
      <c r="BG4" s="330">
        <f>IF($F4="",0,$J4*VLOOKUP($F4,Lists!$C$72:$R$152,COLUMNS(Lists!$C$69:G$69),0))*VLOOKUP(BG$3,Conversions!$B$12:$E$34,4,0)</f>
        <v>0</v>
      </c>
      <c r="BH4" s="330">
        <f>IF($F4="",0,$J4*VLOOKUP($F4,Lists!$C$72:$R$152,COLUMNS(Lists!$C$69:H$69),0))*VLOOKUP(BH$3,Conversions!$B$12:$E$34,4,0)</f>
        <v>0</v>
      </c>
      <c r="BI4" s="330">
        <f>IF($F4="",0,$J4*VLOOKUP($F4,Lists!$C$72:$R$152,COLUMNS(Lists!$C$69:I$69),0))*VLOOKUP(BI$3,Conversions!$B$12:$E$34,4,0)</f>
        <v>0</v>
      </c>
      <c r="BJ4" s="330">
        <f>IF($F4="",0,$J4*VLOOKUP($F4,Lists!$C$72:$R$152,COLUMNS(Lists!$C$69:J$69),0))*VLOOKUP(BJ$3,Conversions!$B$12:$E$34,4,0)</f>
        <v>0</v>
      </c>
      <c r="BK4" s="330">
        <f>IF($F4="",0,$J4*VLOOKUP($F4,Lists!$C$72:$R$152,COLUMNS(Lists!$C$69:K$69),0))*VLOOKUP(BK$3,Conversions!$B$12:$E$34,4,0)</f>
        <v>0</v>
      </c>
      <c r="BL4" s="330">
        <f>IF($F4="",0,$J4*VLOOKUP($F4,Lists!$C$72:$R$152,COLUMNS(Lists!$C$69:L$69),0))*VLOOKUP(BL$3,Conversions!$B$12:$E$34,4,0)</f>
        <v>0</v>
      </c>
      <c r="BM4" s="330">
        <f>IF($F4="",0,$J4*VLOOKUP($F4,Lists!$C$72:$R$152,COLUMNS(Lists!$C$69:M$69),0))*VLOOKUP(BM$3,Conversions!$B$12:$E$34,4,0)</f>
        <v>0</v>
      </c>
      <c r="BN4" s="330">
        <f>IF($F4="",0,$J4*VLOOKUP($F4,Lists!$C$72:$R$152,COLUMNS(Lists!$C$69:N$69),0))*VLOOKUP(BN$3,Conversions!$B$12:$E$34,4,0)</f>
        <v>0</v>
      </c>
      <c r="BO4" s="330">
        <f>IF($F4="",0,$J4*VLOOKUP($F4,Lists!$C$72:$R$152,COLUMNS(Lists!$C$69:O$69),0))*VLOOKUP(BO$3,Conversions!$B$12:$E$34,4,0)</f>
        <v>0</v>
      </c>
      <c r="BP4" s="330">
        <f>IF($F4="",0,$J4*VLOOKUP($F4,Lists!$C$72:$R$152,COLUMNS(Lists!$C$69:P$69),0))*VLOOKUP(BP$3,Conversions!$B$12:$E$34,4,0)</f>
        <v>0</v>
      </c>
      <c r="BQ4" s="330">
        <f>IF($F4="",0,$J4*VLOOKUP($F4,Lists!$C$72:$R$152,COLUMNS(Lists!$C$69:Q$69),0))*VLOOKUP(BQ$3,Conversions!$B$12:$E$34,4,0)</f>
        <v>0</v>
      </c>
      <c r="BR4" s="330">
        <f>IF($F4="",0,$J4*VLOOKUP($F4,Lists!$C$72:$R$152,COLUMNS(Lists!$C$69:R$69),0))*VLOOKUP(BR$3,Conversions!$B$12:$E$34,4,0)</f>
        <v>0</v>
      </c>
      <c r="BS4" s="330">
        <f>SUM(BE4:BR4)</f>
        <v>0</v>
      </c>
      <c r="BT4" s="329">
        <f t="shared" ref="BT4:CI13" si="0">IF($E4="",0,IF($E4=BT$3,$BS4,0))</f>
        <v>0</v>
      </c>
      <c r="BU4" s="329">
        <f t="shared" si="0"/>
        <v>0</v>
      </c>
      <c r="BV4" s="329">
        <f t="shared" si="0"/>
        <v>0</v>
      </c>
      <c r="BW4" s="329">
        <f t="shared" si="0"/>
        <v>0</v>
      </c>
      <c r="BX4" s="329">
        <f t="shared" si="0"/>
        <v>0</v>
      </c>
      <c r="BY4" s="329">
        <f t="shared" si="0"/>
        <v>0</v>
      </c>
      <c r="BZ4" s="329">
        <f t="shared" si="0"/>
        <v>0</v>
      </c>
      <c r="CA4" s="329">
        <f t="shared" si="0"/>
        <v>0</v>
      </c>
      <c r="CB4" s="329">
        <f t="shared" si="0"/>
        <v>0</v>
      </c>
      <c r="CC4" s="329">
        <f t="shared" si="0"/>
        <v>0</v>
      </c>
      <c r="CD4" s="329">
        <f t="shared" si="0"/>
        <v>0</v>
      </c>
      <c r="CE4" s="329">
        <f t="shared" si="0"/>
        <v>0</v>
      </c>
      <c r="CF4" s="329">
        <f t="shared" si="0"/>
        <v>0</v>
      </c>
      <c r="CG4" s="329">
        <f t="shared" si="0"/>
        <v>0</v>
      </c>
      <c r="CH4" s="329">
        <f t="shared" si="0"/>
        <v>0</v>
      </c>
      <c r="CI4" s="329">
        <f t="shared" si="0"/>
        <v>0</v>
      </c>
      <c r="CJ4" s="331">
        <f t="shared" ref="CJ4:CJ127" si="1">SUM(BT4:CI4)</f>
        <v>0</v>
      </c>
      <c r="CK4" s="330">
        <f>BT4</f>
        <v>0</v>
      </c>
      <c r="CL4" s="330">
        <f>BU4+BV4+BW4</f>
        <v>0</v>
      </c>
      <c r="CM4" s="330">
        <f>BX4</f>
        <v>0</v>
      </c>
      <c r="CN4" s="330">
        <f>BY4+BZ4</f>
        <v>0</v>
      </c>
      <c r="CO4" s="330">
        <f>CA4</f>
        <v>0</v>
      </c>
      <c r="CP4" s="330">
        <f>CB4</f>
        <v>0</v>
      </c>
      <c r="CQ4" s="330">
        <f>CC4+CD4</f>
        <v>0</v>
      </c>
      <c r="CR4" s="330">
        <f>CE4+CF4</f>
        <v>0</v>
      </c>
      <c r="CS4" s="330">
        <f>CG4+CH4+CI4</f>
        <v>0</v>
      </c>
      <c r="CT4" s="330">
        <f>SUM(CK4:CS4)</f>
        <v>0</v>
      </c>
      <c r="CU4" s="330">
        <f t="shared" ref="CU4:DD13" si="2">IF($C4=CU$3,$BS4,0)</f>
        <v>0</v>
      </c>
      <c r="CV4" s="330">
        <f t="shared" si="2"/>
        <v>0</v>
      </c>
      <c r="CW4" s="330">
        <f t="shared" si="2"/>
        <v>0</v>
      </c>
      <c r="CX4" s="330">
        <f t="shared" si="2"/>
        <v>0</v>
      </c>
      <c r="CY4" s="330">
        <f t="shared" si="2"/>
        <v>0</v>
      </c>
      <c r="CZ4" s="330">
        <f t="shared" si="2"/>
        <v>0</v>
      </c>
      <c r="DA4" s="330">
        <f t="shared" si="2"/>
        <v>0</v>
      </c>
      <c r="DB4" s="330">
        <f t="shared" si="2"/>
        <v>0</v>
      </c>
      <c r="DC4" s="330">
        <f t="shared" si="2"/>
        <v>0</v>
      </c>
      <c r="DD4" s="330">
        <f t="shared" si="2"/>
        <v>0</v>
      </c>
      <c r="DE4" s="330">
        <f t="shared" ref="DE4:DO13" si="3">IF($C4=DE$3,$BS4,0)</f>
        <v>0</v>
      </c>
      <c r="DF4" s="330">
        <f t="shared" si="3"/>
        <v>0</v>
      </c>
      <c r="DG4" s="330">
        <f t="shared" si="3"/>
        <v>0</v>
      </c>
      <c r="DH4" s="330">
        <f t="shared" si="3"/>
        <v>0</v>
      </c>
      <c r="DI4" s="330">
        <f t="shared" si="3"/>
        <v>0</v>
      </c>
      <c r="DJ4" s="330">
        <f t="shared" si="3"/>
        <v>0</v>
      </c>
      <c r="DK4" s="330">
        <f t="shared" si="3"/>
        <v>0</v>
      </c>
      <c r="DL4" s="330">
        <f t="shared" si="3"/>
        <v>0</v>
      </c>
      <c r="DM4" s="330">
        <f t="shared" si="3"/>
        <v>0</v>
      </c>
      <c r="DN4" s="330">
        <f t="shared" si="3"/>
        <v>0</v>
      </c>
      <c r="DO4" s="330">
        <f t="shared" si="3"/>
        <v>0</v>
      </c>
      <c r="DP4" s="330">
        <f>BS4</f>
        <v>0</v>
      </c>
      <c r="DQ4" s="217"/>
      <c r="DR4" s="217"/>
      <c r="DS4" s="217"/>
      <c r="DT4" s="217"/>
    </row>
    <row r="5" spans="1:124" x14ac:dyDescent="0.3">
      <c r="A5" s="324"/>
      <c r="B5" s="221" t="s">
        <v>481</v>
      </c>
      <c r="C5" s="221" t="str">
        <f>IF('Default - Material Balance'!C15=0,"",'Default - Material Balance'!C15)</f>
        <v/>
      </c>
      <c r="D5" s="221" t="str">
        <f>IF('Default - Material Balance'!D15=0,"",'Default - Material Balance'!D15)</f>
        <v/>
      </c>
      <c r="E5" s="221" t="str">
        <f>IF('Default - Material Balance'!E15=0,"",'Default - Material Balance'!E15)</f>
        <v/>
      </c>
      <c r="F5" s="221" t="str">
        <f>IF('Default - Material Balance'!F15=0,"",'Default - Material Balance'!F15)</f>
        <v/>
      </c>
      <c r="G5" s="222"/>
      <c r="H5" s="222"/>
      <c r="I5" s="222"/>
      <c r="J5" s="325">
        <f>IF('Default - Material Balance'!M15=0,0,'Default - Material Balance'!M15)</f>
        <v>0</v>
      </c>
      <c r="K5" s="465"/>
      <c r="L5" s="326"/>
      <c r="M5" s="326"/>
      <c r="N5" s="326"/>
      <c r="O5" s="326"/>
      <c r="P5" s="326"/>
      <c r="Q5" s="326"/>
      <c r="R5" s="326"/>
      <c r="S5" s="326"/>
      <c r="T5" s="326"/>
      <c r="U5" s="326"/>
      <c r="V5" s="326"/>
      <c r="W5" s="326"/>
      <c r="X5" s="326"/>
      <c r="Y5" s="326"/>
      <c r="Z5" s="327"/>
      <c r="AA5" s="328"/>
      <c r="AB5" s="328"/>
      <c r="AC5" s="328"/>
      <c r="AD5" s="328"/>
      <c r="AE5" s="328"/>
      <c r="AF5" s="328"/>
      <c r="AG5" s="328"/>
      <c r="AH5" s="328"/>
      <c r="AI5" s="328"/>
      <c r="AJ5" s="328"/>
      <c r="AK5" s="328"/>
      <c r="AL5" s="328"/>
      <c r="AM5" s="328"/>
      <c r="AN5" s="328"/>
      <c r="AO5" s="329"/>
      <c r="AP5" s="326"/>
      <c r="AQ5" s="326"/>
      <c r="AR5" s="326"/>
      <c r="AS5" s="326"/>
      <c r="AT5" s="326"/>
      <c r="AU5" s="326"/>
      <c r="AV5" s="326"/>
      <c r="AW5" s="326"/>
      <c r="AX5" s="326"/>
      <c r="AY5" s="326"/>
      <c r="AZ5" s="326"/>
      <c r="BA5" s="326"/>
      <c r="BB5" s="326"/>
      <c r="BC5" s="326"/>
      <c r="BD5" s="326"/>
      <c r="BE5" s="330">
        <f>IF($F5="",0,$J5*VLOOKUP($F5,Lists!$C$72:$R$152,COLUMNS(Lists!$C$69:E$69),0))*VLOOKUP(BE$3,Conversions!$B$12:$E$34,4,0)</f>
        <v>0</v>
      </c>
      <c r="BF5" s="330">
        <f>IF($F5="",0,$J5*VLOOKUP($F5,Lists!$C$72:$R$152,COLUMNS(Lists!$C$69:F$69),0))*VLOOKUP(BF$3,Conversions!$B$12:$E$34,4,0)</f>
        <v>0</v>
      </c>
      <c r="BG5" s="330">
        <f>IF($F5="",0,$J5*VLOOKUP($F5,Lists!$C$72:$R$152,COLUMNS(Lists!$C$69:G$69),0))*VLOOKUP(BG$3,Conversions!$B$12:$E$34,4,0)</f>
        <v>0</v>
      </c>
      <c r="BH5" s="330">
        <f>IF($F5="",0,$J5*VLOOKUP($F5,Lists!$C$72:$R$152,COLUMNS(Lists!$C$69:H$69),0))*VLOOKUP(BH$3,Conversions!$B$12:$E$34,4,0)</f>
        <v>0</v>
      </c>
      <c r="BI5" s="330">
        <f>IF($F5="",0,$J5*VLOOKUP($F5,Lists!$C$72:$R$152,COLUMNS(Lists!$C$69:I$69),0))*VLOOKUP(BI$3,Conversions!$B$12:$E$34,4,0)</f>
        <v>0</v>
      </c>
      <c r="BJ5" s="330">
        <f>IF($F5="",0,$J5*VLOOKUP($F5,Lists!$C$72:$R$152,COLUMNS(Lists!$C$69:J$69),0))*VLOOKUP(BJ$3,Conversions!$B$12:$E$34,4,0)</f>
        <v>0</v>
      </c>
      <c r="BK5" s="330">
        <f>IF($F5="",0,$J5*VLOOKUP($F5,Lists!$C$72:$R$152,COLUMNS(Lists!$C$69:K$69),0))*VLOOKUP(BK$3,Conversions!$B$12:$E$34,4,0)</f>
        <v>0</v>
      </c>
      <c r="BL5" s="330">
        <f>IF($F5="",0,$J5*VLOOKUP($F5,Lists!$C$72:$R$152,COLUMNS(Lists!$C$69:L$69),0))*VLOOKUP(BL$3,Conversions!$B$12:$E$34,4,0)</f>
        <v>0</v>
      </c>
      <c r="BM5" s="330">
        <f>IF($F5="",0,$J5*VLOOKUP($F5,Lists!$C$72:$R$152,COLUMNS(Lists!$C$69:M$69),0))*VLOOKUP(BM$3,Conversions!$B$12:$E$34,4,0)</f>
        <v>0</v>
      </c>
      <c r="BN5" s="330">
        <f>IF($F5="",0,$J5*VLOOKUP($F5,Lists!$C$72:$R$152,COLUMNS(Lists!$C$69:N$69),0))*VLOOKUP(BN$3,Conversions!$B$12:$E$34,4,0)</f>
        <v>0</v>
      </c>
      <c r="BO5" s="330">
        <f>IF($F5="",0,$J5*VLOOKUP($F5,Lists!$C$72:$R$152,COLUMNS(Lists!$C$69:O$69),0))*VLOOKUP(BO$3,Conversions!$B$12:$E$34,4,0)</f>
        <v>0</v>
      </c>
      <c r="BP5" s="330">
        <f>IF($F5="",0,$J5*VLOOKUP($F5,Lists!$C$72:$R$152,COLUMNS(Lists!$C$69:P$69),0))*VLOOKUP(BP$3,Conversions!$B$12:$E$34,4,0)</f>
        <v>0</v>
      </c>
      <c r="BQ5" s="330">
        <f>IF($F5="",0,$J5*VLOOKUP($F5,Lists!$C$72:$R$152,COLUMNS(Lists!$C$69:Q$69),0))*VLOOKUP(BQ$3,Conversions!$B$12:$E$34,4,0)</f>
        <v>0</v>
      </c>
      <c r="BR5" s="330">
        <f>IF($F5="",0,$J5*VLOOKUP($F5,Lists!$C$72:$R$152,COLUMNS(Lists!$C$69:R$69),0))*VLOOKUP(BR$3,Conversions!$B$12:$E$34,4,0)</f>
        <v>0</v>
      </c>
      <c r="BS5" s="330">
        <f t="shared" ref="BS5:BS43" si="4">SUM(BE5:BR5)</f>
        <v>0</v>
      </c>
      <c r="BT5" s="329">
        <f t="shared" si="0"/>
        <v>0</v>
      </c>
      <c r="BU5" s="329">
        <f t="shared" si="0"/>
        <v>0</v>
      </c>
      <c r="BV5" s="329">
        <f t="shared" si="0"/>
        <v>0</v>
      </c>
      <c r="BW5" s="329">
        <f t="shared" si="0"/>
        <v>0</v>
      </c>
      <c r="BX5" s="329">
        <f t="shared" si="0"/>
        <v>0</v>
      </c>
      <c r="BY5" s="329">
        <f t="shared" si="0"/>
        <v>0</v>
      </c>
      <c r="BZ5" s="329">
        <f t="shared" si="0"/>
        <v>0</v>
      </c>
      <c r="CA5" s="329">
        <f t="shared" si="0"/>
        <v>0</v>
      </c>
      <c r="CB5" s="329">
        <f t="shared" si="0"/>
        <v>0</v>
      </c>
      <c r="CC5" s="329">
        <f t="shared" si="0"/>
        <v>0</v>
      </c>
      <c r="CD5" s="329">
        <f t="shared" si="0"/>
        <v>0</v>
      </c>
      <c r="CE5" s="329">
        <f t="shared" si="0"/>
        <v>0</v>
      </c>
      <c r="CF5" s="329">
        <f t="shared" si="0"/>
        <v>0</v>
      </c>
      <c r="CG5" s="329">
        <f t="shared" si="0"/>
        <v>0</v>
      </c>
      <c r="CH5" s="329">
        <f t="shared" si="0"/>
        <v>0</v>
      </c>
      <c r="CI5" s="329">
        <f t="shared" si="0"/>
        <v>0</v>
      </c>
      <c r="CJ5" s="331">
        <f t="shared" si="1"/>
        <v>0</v>
      </c>
      <c r="CK5" s="330">
        <f t="shared" ref="CK5:CK128" si="5">BT5</f>
        <v>0</v>
      </c>
      <c r="CL5" s="330">
        <f t="shared" ref="CL5:CL128" si="6">BU5+BV5+BW5</f>
        <v>0</v>
      </c>
      <c r="CM5" s="330">
        <f t="shared" ref="CM5:CM128" si="7">BX5</f>
        <v>0</v>
      </c>
      <c r="CN5" s="330">
        <f t="shared" ref="CN5:CN128" si="8">BY5+BZ5</f>
        <v>0</v>
      </c>
      <c r="CO5" s="330">
        <f t="shared" ref="CO5:CO128" si="9">CA5</f>
        <v>0</v>
      </c>
      <c r="CP5" s="330">
        <f t="shared" ref="CP5:CP128" si="10">CB5</f>
        <v>0</v>
      </c>
      <c r="CQ5" s="330">
        <f t="shared" ref="CQ5:CQ68" si="11">CC5+CD5</f>
        <v>0</v>
      </c>
      <c r="CR5" s="330">
        <f t="shared" ref="CR5:CR128" si="12">CE5+CF5</f>
        <v>0</v>
      </c>
      <c r="CS5" s="330">
        <f t="shared" ref="CS5:CS128" si="13">CG5+CH5+CI5</f>
        <v>0</v>
      </c>
      <c r="CT5" s="330">
        <f t="shared" ref="CT5:CT128" si="14">SUM(CK5:CS5)</f>
        <v>0</v>
      </c>
      <c r="CU5" s="330">
        <f t="shared" si="2"/>
        <v>0</v>
      </c>
      <c r="CV5" s="330">
        <f t="shared" si="2"/>
        <v>0</v>
      </c>
      <c r="CW5" s="330">
        <f t="shared" si="2"/>
        <v>0</v>
      </c>
      <c r="CX5" s="330">
        <f t="shared" si="2"/>
        <v>0</v>
      </c>
      <c r="CY5" s="330">
        <f t="shared" si="2"/>
        <v>0</v>
      </c>
      <c r="CZ5" s="330">
        <f t="shared" si="2"/>
        <v>0</v>
      </c>
      <c r="DA5" s="330">
        <f t="shared" si="2"/>
        <v>0</v>
      </c>
      <c r="DB5" s="330">
        <f t="shared" si="2"/>
        <v>0</v>
      </c>
      <c r="DC5" s="330">
        <f t="shared" si="2"/>
        <v>0</v>
      </c>
      <c r="DD5" s="330">
        <f t="shared" si="2"/>
        <v>0</v>
      </c>
      <c r="DE5" s="330">
        <f t="shared" si="3"/>
        <v>0</v>
      </c>
      <c r="DF5" s="330">
        <f t="shared" si="3"/>
        <v>0</v>
      </c>
      <c r="DG5" s="330">
        <f t="shared" si="3"/>
        <v>0</v>
      </c>
      <c r="DH5" s="330">
        <f t="shared" si="3"/>
        <v>0</v>
      </c>
      <c r="DI5" s="330">
        <f t="shared" si="3"/>
        <v>0</v>
      </c>
      <c r="DJ5" s="330">
        <f t="shared" si="3"/>
        <v>0</v>
      </c>
      <c r="DK5" s="330">
        <f t="shared" si="3"/>
        <v>0</v>
      </c>
      <c r="DL5" s="330">
        <f t="shared" si="3"/>
        <v>0</v>
      </c>
      <c r="DM5" s="330">
        <f t="shared" si="3"/>
        <v>0</v>
      </c>
      <c r="DN5" s="330">
        <f t="shared" si="3"/>
        <v>0</v>
      </c>
      <c r="DO5" s="330">
        <f t="shared" si="3"/>
        <v>0</v>
      </c>
      <c r="DP5" s="330">
        <f t="shared" ref="DP5:DP12" si="15">BS5</f>
        <v>0</v>
      </c>
      <c r="DQ5" s="217"/>
      <c r="DR5" s="217"/>
      <c r="DS5" s="217"/>
      <c r="DT5" s="217"/>
    </row>
    <row r="6" spans="1:124" x14ac:dyDescent="0.3">
      <c r="A6" s="324"/>
      <c r="B6" s="221" t="s">
        <v>481</v>
      </c>
      <c r="C6" s="221" t="str">
        <f>IF('Default - Material Balance'!C16=0,"",'Default - Material Balance'!C16)</f>
        <v/>
      </c>
      <c r="D6" s="221" t="str">
        <f>IF('Default - Material Balance'!D16=0,"",'Default - Material Balance'!D16)</f>
        <v/>
      </c>
      <c r="E6" s="221" t="str">
        <f>IF('Default - Material Balance'!E16=0,"",'Default - Material Balance'!E16)</f>
        <v/>
      </c>
      <c r="F6" s="221" t="str">
        <f>IF('Default - Material Balance'!F16=0,"",'Default - Material Balance'!F16)</f>
        <v/>
      </c>
      <c r="G6" s="222"/>
      <c r="H6" s="222"/>
      <c r="I6" s="222"/>
      <c r="J6" s="325">
        <f>IF('Default - Material Balance'!M16=0,0,'Default - Material Balance'!M16)</f>
        <v>0</v>
      </c>
      <c r="K6" s="465"/>
      <c r="L6" s="326"/>
      <c r="M6" s="326"/>
      <c r="N6" s="326"/>
      <c r="O6" s="326"/>
      <c r="P6" s="326"/>
      <c r="Q6" s="326"/>
      <c r="R6" s="326"/>
      <c r="S6" s="326"/>
      <c r="T6" s="326"/>
      <c r="U6" s="326"/>
      <c r="V6" s="326"/>
      <c r="W6" s="326"/>
      <c r="X6" s="326"/>
      <c r="Y6" s="326"/>
      <c r="Z6" s="327"/>
      <c r="AA6" s="328"/>
      <c r="AB6" s="328"/>
      <c r="AC6" s="328"/>
      <c r="AD6" s="328"/>
      <c r="AE6" s="328"/>
      <c r="AF6" s="328"/>
      <c r="AG6" s="328"/>
      <c r="AH6" s="328"/>
      <c r="AI6" s="328"/>
      <c r="AJ6" s="328"/>
      <c r="AK6" s="328"/>
      <c r="AL6" s="328"/>
      <c r="AM6" s="328"/>
      <c r="AN6" s="328"/>
      <c r="AO6" s="329"/>
      <c r="AP6" s="326"/>
      <c r="AQ6" s="326"/>
      <c r="AR6" s="326"/>
      <c r="AS6" s="326"/>
      <c r="AT6" s="326"/>
      <c r="AU6" s="326"/>
      <c r="AV6" s="326"/>
      <c r="AW6" s="326"/>
      <c r="AX6" s="326"/>
      <c r="AY6" s="326"/>
      <c r="AZ6" s="326"/>
      <c r="BA6" s="326"/>
      <c r="BB6" s="326"/>
      <c r="BC6" s="326"/>
      <c r="BD6" s="326"/>
      <c r="BE6" s="330">
        <f>IF($F6="",0,$J6*VLOOKUP($F6,Lists!$C$72:$R$152,COLUMNS(Lists!$C$69:E$69),0))*VLOOKUP(BE$3,Conversions!$B$12:$E$34,4,0)</f>
        <v>0</v>
      </c>
      <c r="BF6" s="330">
        <f>IF($F6="",0,$J6*VLOOKUP($F6,Lists!$C$72:$R$152,COLUMNS(Lists!$C$69:F$69),0))*VLOOKUP(BF$3,Conversions!$B$12:$E$34,4,0)</f>
        <v>0</v>
      </c>
      <c r="BG6" s="330">
        <f>IF($F6="",0,$J6*VLOOKUP($F6,Lists!$C$72:$R$152,COLUMNS(Lists!$C$69:G$69),0))*VLOOKUP(BG$3,Conversions!$B$12:$E$34,4,0)</f>
        <v>0</v>
      </c>
      <c r="BH6" s="330">
        <f>IF($F6="",0,$J6*VLOOKUP($F6,Lists!$C$72:$R$152,COLUMNS(Lists!$C$69:H$69),0))*VLOOKUP(BH$3,Conversions!$B$12:$E$34,4,0)</f>
        <v>0</v>
      </c>
      <c r="BI6" s="330">
        <f>IF($F6="",0,$J6*VLOOKUP($F6,Lists!$C$72:$R$152,COLUMNS(Lists!$C$69:I$69),0))*VLOOKUP(BI$3,Conversions!$B$12:$E$34,4,0)</f>
        <v>0</v>
      </c>
      <c r="BJ6" s="330">
        <f>IF($F6="",0,$J6*VLOOKUP($F6,Lists!$C$72:$R$152,COLUMNS(Lists!$C$69:J$69),0))*VLOOKUP(BJ$3,Conversions!$B$12:$E$34,4,0)</f>
        <v>0</v>
      </c>
      <c r="BK6" s="330">
        <f>IF($F6="",0,$J6*VLOOKUP($F6,Lists!$C$72:$R$152,COLUMNS(Lists!$C$69:K$69),0))*VLOOKUP(BK$3,Conversions!$B$12:$E$34,4,0)</f>
        <v>0</v>
      </c>
      <c r="BL6" s="330">
        <f>IF($F6="",0,$J6*VLOOKUP($F6,Lists!$C$72:$R$152,COLUMNS(Lists!$C$69:L$69),0))*VLOOKUP(BL$3,Conversions!$B$12:$E$34,4,0)</f>
        <v>0</v>
      </c>
      <c r="BM6" s="330">
        <f>IF($F6="",0,$J6*VLOOKUP($F6,Lists!$C$72:$R$152,COLUMNS(Lists!$C$69:M$69),0))*VLOOKUP(BM$3,Conversions!$B$12:$E$34,4,0)</f>
        <v>0</v>
      </c>
      <c r="BN6" s="330">
        <f>IF($F6="",0,$J6*VLOOKUP($F6,Lists!$C$72:$R$152,COLUMNS(Lists!$C$69:N$69),0))*VLOOKUP(BN$3,Conversions!$B$12:$E$34,4,0)</f>
        <v>0</v>
      </c>
      <c r="BO6" s="330">
        <f>IF($F6="",0,$J6*VLOOKUP($F6,Lists!$C$72:$R$152,COLUMNS(Lists!$C$69:O$69),0))*VLOOKUP(BO$3,Conversions!$B$12:$E$34,4,0)</f>
        <v>0</v>
      </c>
      <c r="BP6" s="330">
        <f>IF($F6="",0,$J6*VLOOKUP($F6,Lists!$C$72:$R$152,COLUMNS(Lists!$C$69:P$69),0))*VLOOKUP(BP$3,Conversions!$B$12:$E$34,4,0)</f>
        <v>0</v>
      </c>
      <c r="BQ6" s="330">
        <f>IF($F6="",0,$J6*VLOOKUP($F6,Lists!$C$72:$R$152,COLUMNS(Lists!$C$69:Q$69),0))*VLOOKUP(BQ$3,Conversions!$B$12:$E$34,4,0)</f>
        <v>0</v>
      </c>
      <c r="BR6" s="330">
        <f>IF($F6="",0,$J6*VLOOKUP($F6,Lists!$C$72:$R$152,COLUMNS(Lists!$C$69:R$69),0))*VLOOKUP(BR$3,Conversions!$B$12:$E$34,4,0)</f>
        <v>0</v>
      </c>
      <c r="BS6" s="330">
        <f t="shared" si="4"/>
        <v>0</v>
      </c>
      <c r="BT6" s="329">
        <f t="shared" si="0"/>
        <v>0</v>
      </c>
      <c r="BU6" s="329">
        <f t="shared" si="0"/>
        <v>0</v>
      </c>
      <c r="BV6" s="329">
        <f t="shared" si="0"/>
        <v>0</v>
      </c>
      <c r="BW6" s="329">
        <f t="shared" si="0"/>
        <v>0</v>
      </c>
      <c r="BX6" s="329">
        <f t="shared" si="0"/>
        <v>0</v>
      </c>
      <c r="BY6" s="329">
        <f t="shared" si="0"/>
        <v>0</v>
      </c>
      <c r="BZ6" s="329">
        <f t="shared" si="0"/>
        <v>0</v>
      </c>
      <c r="CA6" s="329">
        <f t="shared" si="0"/>
        <v>0</v>
      </c>
      <c r="CB6" s="329">
        <f t="shared" si="0"/>
        <v>0</v>
      </c>
      <c r="CC6" s="329">
        <f t="shared" si="0"/>
        <v>0</v>
      </c>
      <c r="CD6" s="329">
        <f t="shared" si="0"/>
        <v>0</v>
      </c>
      <c r="CE6" s="329">
        <f t="shared" si="0"/>
        <v>0</v>
      </c>
      <c r="CF6" s="329">
        <f t="shared" si="0"/>
        <v>0</v>
      </c>
      <c r="CG6" s="329">
        <f t="shared" si="0"/>
        <v>0</v>
      </c>
      <c r="CH6" s="329">
        <f t="shared" si="0"/>
        <v>0</v>
      </c>
      <c r="CI6" s="329">
        <f t="shared" si="0"/>
        <v>0</v>
      </c>
      <c r="CJ6" s="331">
        <f t="shared" si="1"/>
        <v>0</v>
      </c>
      <c r="CK6" s="330">
        <f t="shared" si="5"/>
        <v>0</v>
      </c>
      <c r="CL6" s="330">
        <f t="shared" si="6"/>
        <v>0</v>
      </c>
      <c r="CM6" s="330">
        <f t="shared" si="7"/>
        <v>0</v>
      </c>
      <c r="CN6" s="330">
        <f t="shared" si="8"/>
        <v>0</v>
      </c>
      <c r="CO6" s="330">
        <f t="shared" si="9"/>
        <v>0</v>
      </c>
      <c r="CP6" s="330">
        <f t="shared" si="10"/>
        <v>0</v>
      </c>
      <c r="CQ6" s="330">
        <f t="shared" si="11"/>
        <v>0</v>
      </c>
      <c r="CR6" s="330">
        <f t="shared" si="12"/>
        <v>0</v>
      </c>
      <c r="CS6" s="330">
        <f t="shared" si="13"/>
        <v>0</v>
      </c>
      <c r="CT6" s="330">
        <f t="shared" si="14"/>
        <v>0</v>
      </c>
      <c r="CU6" s="330">
        <f t="shared" si="2"/>
        <v>0</v>
      </c>
      <c r="CV6" s="330">
        <f t="shared" si="2"/>
        <v>0</v>
      </c>
      <c r="CW6" s="330">
        <f t="shared" si="2"/>
        <v>0</v>
      </c>
      <c r="CX6" s="330">
        <f t="shared" si="2"/>
        <v>0</v>
      </c>
      <c r="CY6" s="330">
        <f t="shared" si="2"/>
        <v>0</v>
      </c>
      <c r="CZ6" s="330">
        <f t="shared" si="2"/>
        <v>0</v>
      </c>
      <c r="DA6" s="330">
        <f t="shared" si="2"/>
        <v>0</v>
      </c>
      <c r="DB6" s="330">
        <f t="shared" si="2"/>
        <v>0</v>
      </c>
      <c r="DC6" s="330">
        <f t="shared" si="2"/>
        <v>0</v>
      </c>
      <c r="DD6" s="330">
        <f t="shared" si="2"/>
        <v>0</v>
      </c>
      <c r="DE6" s="330">
        <f t="shared" si="3"/>
        <v>0</v>
      </c>
      <c r="DF6" s="330">
        <f t="shared" si="3"/>
        <v>0</v>
      </c>
      <c r="DG6" s="330">
        <f t="shared" si="3"/>
        <v>0</v>
      </c>
      <c r="DH6" s="330">
        <f t="shared" si="3"/>
        <v>0</v>
      </c>
      <c r="DI6" s="330">
        <f t="shared" si="3"/>
        <v>0</v>
      </c>
      <c r="DJ6" s="330">
        <f t="shared" si="3"/>
        <v>0</v>
      </c>
      <c r="DK6" s="330">
        <f t="shared" si="3"/>
        <v>0</v>
      </c>
      <c r="DL6" s="330">
        <f t="shared" si="3"/>
        <v>0</v>
      </c>
      <c r="DM6" s="330">
        <f t="shared" si="3"/>
        <v>0</v>
      </c>
      <c r="DN6" s="330">
        <f t="shared" si="3"/>
        <v>0</v>
      </c>
      <c r="DO6" s="330">
        <f t="shared" si="3"/>
        <v>0</v>
      </c>
      <c r="DP6" s="330">
        <f t="shared" si="15"/>
        <v>0</v>
      </c>
      <c r="DQ6" s="217"/>
      <c r="DR6" s="217"/>
      <c r="DS6" s="217"/>
      <c r="DT6" s="217"/>
    </row>
    <row r="7" spans="1:124" x14ac:dyDescent="0.3">
      <c r="A7" s="324"/>
      <c r="B7" s="221" t="s">
        <v>481</v>
      </c>
      <c r="C7" s="221" t="str">
        <f>IF('Default - Material Balance'!C17=0,"",'Default - Material Balance'!C17)</f>
        <v/>
      </c>
      <c r="D7" s="221" t="str">
        <f>IF('Default - Material Balance'!D17=0,"",'Default - Material Balance'!D17)</f>
        <v/>
      </c>
      <c r="E7" s="221" t="str">
        <f>IF('Default - Material Balance'!E17=0,"",'Default - Material Balance'!E17)</f>
        <v/>
      </c>
      <c r="F7" s="221" t="str">
        <f>IF('Default - Material Balance'!F17=0,"",'Default - Material Balance'!F17)</f>
        <v/>
      </c>
      <c r="G7" s="222"/>
      <c r="H7" s="222"/>
      <c r="I7" s="222"/>
      <c r="J7" s="325">
        <f>IF('Default - Material Balance'!M17=0,0,'Default - Material Balance'!M17)</f>
        <v>0</v>
      </c>
      <c r="K7" s="465"/>
      <c r="L7" s="326"/>
      <c r="M7" s="326"/>
      <c r="N7" s="326"/>
      <c r="O7" s="326"/>
      <c r="P7" s="326"/>
      <c r="Q7" s="326"/>
      <c r="R7" s="326"/>
      <c r="S7" s="326"/>
      <c r="T7" s="326"/>
      <c r="U7" s="326"/>
      <c r="V7" s="326"/>
      <c r="W7" s="326"/>
      <c r="X7" s="326"/>
      <c r="Y7" s="326"/>
      <c r="Z7" s="327"/>
      <c r="AA7" s="328"/>
      <c r="AB7" s="328"/>
      <c r="AC7" s="328"/>
      <c r="AD7" s="328"/>
      <c r="AE7" s="328"/>
      <c r="AF7" s="328"/>
      <c r="AG7" s="328"/>
      <c r="AH7" s="328"/>
      <c r="AI7" s="328"/>
      <c r="AJ7" s="328"/>
      <c r="AK7" s="328"/>
      <c r="AL7" s="328"/>
      <c r="AM7" s="328"/>
      <c r="AN7" s="328"/>
      <c r="AO7" s="329"/>
      <c r="AP7" s="326"/>
      <c r="AQ7" s="326"/>
      <c r="AR7" s="326"/>
      <c r="AS7" s="326"/>
      <c r="AT7" s="326"/>
      <c r="AU7" s="326"/>
      <c r="AV7" s="326"/>
      <c r="AW7" s="326"/>
      <c r="AX7" s="326"/>
      <c r="AY7" s="326"/>
      <c r="AZ7" s="326"/>
      <c r="BA7" s="326"/>
      <c r="BB7" s="326"/>
      <c r="BC7" s="326"/>
      <c r="BD7" s="326"/>
      <c r="BE7" s="330">
        <f>IF($F7="",0,$J7*VLOOKUP($F7,Lists!$C$72:$R$152,COLUMNS(Lists!$C$69:E$69),0))*VLOOKUP(BE$3,Conversions!$B$12:$E$34,4,0)</f>
        <v>0</v>
      </c>
      <c r="BF7" s="330">
        <f>IF($F7="",0,$J7*VLOOKUP($F7,Lists!$C$72:$R$152,COLUMNS(Lists!$C$69:F$69),0))*VLOOKUP(BF$3,Conversions!$B$12:$E$34,4,0)</f>
        <v>0</v>
      </c>
      <c r="BG7" s="330">
        <f>IF($F7="",0,$J7*VLOOKUP($F7,Lists!$C$72:$R$152,COLUMNS(Lists!$C$69:G$69),0))*VLOOKUP(BG$3,Conversions!$B$12:$E$34,4,0)</f>
        <v>0</v>
      </c>
      <c r="BH7" s="330">
        <f>IF($F7="",0,$J7*VLOOKUP($F7,Lists!$C$72:$R$152,COLUMNS(Lists!$C$69:H$69),0))*VLOOKUP(BH$3,Conversions!$B$12:$E$34,4,0)</f>
        <v>0</v>
      </c>
      <c r="BI7" s="330">
        <f>IF($F7="",0,$J7*VLOOKUP($F7,Lists!$C$72:$R$152,COLUMNS(Lists!$C$69:I$69),0))*VLOOKUP(BI$3,Conversions!$B$12:$E$34,4,0)</f>
        <v>0</v>
      </c>
      <c r="BJ7" s="330">
        <f>IF($F7="",0,$J7*VLOOKUP($F7,Lists!$C$72:$R$152,COLUMNS(Lists!$C$69:J$69),0))*VLOOKUP(BJ$3,Conversions!$B$12:$E$34,4,0)</f>
        <v>0</v>
      </c>
      <c r="BK7" s="330">
        <f>IF($F7="",0,$J7*VLOOKUP($F7,Lists!$C$72:$R$152,COLUMNS(Lists!$C$69:K$69),0))*VLOOKUP(BK$3,Conversions!$B$12:$E$34,4,0)</f>
        <v>0</v>
      </c>
      <c r="BL7" s="330">
        <f>IF($F7="",0,$J7*VLOOKUP($F7,Lists!$C$72:$R$152,COLUMNS(Lists!$C$69:L$69),0))*VLOOKUP(BL$3,Conversions!$B$12:$E$34,4,0)</f>
        <v>0</v>
      </c>
      <c r="BM7" s="330">
        <f>IF($F7="",0,$J7*VLOOKUP($F7,Lists!$C$72:$R$152,COLUMNS(Lists!$C$69:M$69),0))*VLOOKUP(BM$3,Conversions!$B$12:$E$34,4,0)</f>
        <v>0</v>
      </c>
      <c r="BN7" s="330">
        <f>IF($F7="",0,$J7*VLOOKUP($F7,Lists!$C$72:$R$152,COLUMNS(Lists!$C$69:N$69),0))*VLOOKUP(BN$3,Conversions!$B$12:$E$34,4,0)</f>
        <v>0</v>
      </c>
      <c r="BO7" s="330">
        <f>IF($F7="",0,$J7*VLOOKUP($F7,Lists!$C$72:$R$152,COLUMNS(Lists!$C$69:O$69),0))*VLOOKUP(BO$3,Conversions!$B$12:$E$34,4,0)</f>
        <v>0</v>
      </c>
      <c r="BP7" s="330">
        <f>IF($F7="",0,$J7*VLOOKUP($F7,Lists!$C$72:$R$152,COLUMNS(Lists!$C$69:P$69),0))*VLOOKUP(BP$3,Conversions!$B$12:$E$34,4,0)</f>
        <v>0</v>
      </c>
      <c r="BQ7" s="330">
        <f>IF($F7="",0,$J7*VLOOKUP($F7,Lists!$C$72:$R$152,COLUMNS(Lists!$C$69:Q$69),0))*VLOOKUP(BQ$3,Conversions!$B$12:$E$34,4,0)</f>
        <v>0</v>
      </c>
      <c r="BR7" s="330">
        <f>IF($F7="",0,$J7*VLOOKUP($F7,Lists!$C$72:$R$152,COLUMNS(Lists!$C$69:R$69),0))*VLOOKUP(BR$3,Conversions!$B$12:$E$34,4,0)</f>
        <v>0</v>
      </c>
      <c r="BS7" s="330">
        <f t="shared" si="4"/>
        <v>0</v>
      </c>
      <c r="BT7" s="329">
        <f t="shared" si="0"/>
        <v>0</v>
      </c>
      <c r="BU7" s="329">
        <f t="shared" si="0"/>
        <v>0</v>
      </c>
      <c r="BV7" s="329">
        <f t="shared" si="0"/>
        <v>0</v>
      </c>
      <c r="BW7" s="329">
        <f t="shared" si="0"/>
        <v>0</v>
      </c>
      <c r="BX7" s="329">
        <f t="shared" si="0"/>
        <v>0</v>
      </c>
      <c r="BY7" s="329">
        <f t="shared" si="0"/>
        <v>0</v>
      </c>
      <c r="BZ7" s="329">
        <f t="shared" si="0"/>
        <v>0</v>
      </c>
      <c r="CA7" s="329">
        <f t="shared" si="0"/>
        <v>0</v>
      </c>
      <c r="CB7" s="329">
        <f t="shared" si="0"/>
        <v>0</v>
      </c>
      <c r="CC7" s="329">
        <f t="shared" si="0"/>
        <v>0</v>
      </c>
      <c r="CD7" s="329">
        <f t="shared" si="0"/>
        <v>0</v>
      </c>
      <c r="CE7" s="329">
        <f t="shared" si="0"/>
        <v>0</v>
      </c>
      <c r="CF7" s="329">
        <f t="shared" si="0"/>
        <v>0</v>
      </c>
      <c r="CG7" s="329">
        <f t="shared" si="0"/>
        <v>0</v>
      </c>
      <c r="CH7" s="329">
        <f t="shared" si="0"/>
        <v>0</v>
      </c>
      <c r="CI7" s="329">
        <f t="shared" si="0"/>
        <v>0</v>
      </c>
      <c r="CJ7" s="331">
        <f t="shared" si="1"/>
        <v>0</v>
      </c>
      <c r="CK7" s="330">
        <f t="shared" si="5"/>
        <v>0</v>
      </c>
      <c r="CL7" s="330">
        <f t="shared" si="6"/>
        <v>0</v>
      </c>
      <c r="CM7" s="330">
        <f t="shared" si="7"/>
        <v>0</v>
      </c>
      <c r="CN7" s="330">
        <f t="shared" si="8"/>
        <v>0</v>
      </c>
      <c r="CO7" s="330">
        <f t="shared" si="9"/>
        <v>0</v>
      </c>
      <c r="CP7" s="330">
        <f t="shared" si="10"/>
        <v>0</v>
      </c>
      <c r="CQ7" s="330">
        <f t="shared" si="11"/>
        <v>0</v>
      </c>
      <c r="CR7" s="330">
        <f t="shared" si="12"/>
        <v>0</v>
      </c>
      <c r="CS7" s="330">
        <f t="shared" si="13"/>
        <v>0</v>
      </c>
      <c r="CT7" s="330">
        <f t="shared" si="14"/>
        <v>0</v>
      </c>
      <c r="CU7" s="330">
        <f t="shared" si="2"/>
        <v>0</v>
      </c>
      <c r="CV7" s="330">
        <f t="shared" si="2"/>
        <v>0</v>
      </c>
      <c r="CW7" s="330">
        <f t="shared" si="2"/>
        <v>0</v>
      </c>
      <c r="CX7" s="330">
        <f t="shared" si="2"/>
        <v>0</v>
      </c>
      <c r="CY7" s="330">
        <f t="shared" si="2"/>
        <v>0</v>
      </c>
      <c r="CZ7" s="330">
        <f t="shared" si="2"/>
        <v>0</v>
      </c>
      <c r="DA7" s="330">
        <f t="shared" si="2"/>
        <v>0</v>
      </c>
      <c r="DB7" s="330">
        <f t="shared" si="2"/>
        <v>0</v>
      </c>
      <c r="DC7" s="330">
        <f t="shared" si="2"/>
        <v>0</v>
      </c>
      <c r="DD7" s="330">
        <f t="shared" si="2"/>
        <v>0</v>
      </c>
      <c r="DE7" s="330">
        <f t="shared" si="3"/>
        <v>0</v>
      </c>
      <c r="DF7" s="330">
        <f t="shared" si="3"/>
        <v>0</v>
      </c>
      <c r="DG7" s="330">
        <f t="shared" si="3"/>
        <v>0</v>
      </c>
      <c r="DH7" s="330">
        <f t="shared" si="3"/>
        <v>0</v>
      </c>
      <c r="DI7" s="330">
        <f t="shared" si="3"/>
        <v>0</v>
      </c>
      <c r="DJ7" s="330">
        <f t="shared" si="3"/>
        <v>0</v>
      </c>
      <c r="DK7" s="330">
        <f t="shared" si="3"/>
        <v>0</v>
      </c>
      <c r="DL7" s="330">
        <f t="shared" si="3"/>
        <v>0</v>
      </c>
      <c r="DM7" s="330">
        <f t="shared" si="3"/>
        <v>0</v>
      </c>
      <c r="DN7" s="330">
        <f t="shared" si="3"/>
        <v>0</v>
      </c>
      <c r="DO7" s="330">
        <f t="shared" si="3"/>
        <v>0</v>
      </c>
      <c r="DP7" s="330">
        <f t="shared" si="15"/>
        <v>0</v>
      </c>
      <c r="DQ7" s="217"/>
      <c r="DR7" s="217"/>
      <c r="DS7" s="217"/>
      <c r="DT7" s="217"/>
    </row>
    <row r="8" spans="1:124" x14ac:dyDescent="0.3">
      <c r="A8" s="324"/>
      <c r="B8" s="221" t="s">
        <v>481</v>
      </c>
      <c r="C8" s="221" t="str">
        <f>IF('Default - Material Balance'!C18=0,"",'Default - Material Balance'!C18)</f>
        <v/>
      </c>
      <c r="D8" s="221" t="str">
        <f>IF('Default - Material Balance'!D18=0,"",'Default - Material Balance'!D18)</f>
        <v/>
      </c>
      <c r="E8" s="221" t="str">
        <f>IF('Default - Material Balance'!E18=0,"",'Default - Material Balance'!E18)</f>
        <v/>
      </c>
      <c r="F8" s="221" t="str">
        <f>IF('Default - Material Balance'!F18=0,"",'Default - Material Balance'!F18)</f>
        <v/>
      </c>
      <c r="G8" s="222"/>
      <c r="H8" s="222"/>
      <c r="I8" s="222"/>
      <c r="J8" s="325">
        <f>IF('Default - Material Balance'!M18=0,0,'Default - Material Balance'!M18)</f>
        <v>0</v>
      </c>
      <c r="K8" s="465"/>
      <c r="L8" s="326"/>
      <c r="M8" s="326"/>
      <c r="N8" s="326"/>
      <c r="O8" s="326"/>
      <c r="P8" s="326"/>
      <c r="Q8" s="326"/>
      <c r="R8" s="326"/>
      <c r="S8" s="326"/>
      <c r="T8" s="326"/>
      <c r="U8" s="326"/>
      <c r="V8" s="326"/>
      <c r="W8" s="326"/>
      <c r="X8" s="326"/>
      <c r="Y8" s="326"/>
      <c r="Z8" s="327"/>
      <c r="AA8" s="328"/>
      <c r="AB8" s="328"/>
      <c r="AC8" s="328"/>
      <c r="AD8" s="328"/>
      <c r="AE8" s="328"/>
      <c r="AF8" s="328"/>
      <c r="AG8" s="328"/>
      <c r="AH8" s="328"/>
      <c r="AI8" s="328"/>
      <c r="AJ8" s="328"/>
      <c r="AK8" s="328"/>
      <c r="AL8" s="328"/>
      <c r="AM8" s="328"/>
      <c r="AN8" s="328"/>
      <c r="AO8" s="329"/>
      <c r="AP8" s="326"/>
      <c r="AQ8" s="326"/>
      <c r="AR8" s="326"/>
      <c r="AS8" s="326"/>
      <c r="AT8" s="326"/>
      <c r="AU8" s="326"/>
      <c r="AV8" s="326"/>
      <c r="AW8" s="326"/>
      <c r="AX8" s="326"/>
      <c r="AY8" s="326"/>
      <c r="AZ8" s="326"/>
      <c r="BA8" s="326"/>
      <c r="BB8" s="326"/>
      <c r="BC8" s="326"/>
      <c r="BD8" s="326"/>
      <c r="BE8" s="330">
        <f>IF($F8="",0,$J8*VLOOKUP($F8,Lists!$C$72:$R$152,COLUMNS(Lists!$C$69:E$69),0))*VLOOKUP(BE$3,Conversions!$B$12:$E$34,4,0)</f>
        <v>0</v>
      </c>
      <c r="BF8" s="330">
        <f>IF($F8="",0,$J8*VLOOKUP($F8,Lists!$C$72:$R$152,COLUMNS(Lists!$C$69:F$69),0))*VLOOKUP(BF$3,Conversions!$B$12:$E$34,4,0)</f>
        <v>0</v>
      </c>
      <c r="BG8" s="330">
        <f>IF($F8="",0,$J8*VLOOKUP($F8,Lists!$C$72:$R$152,COLUMNS(Lists!$C$69:G$69),0))*VLOOKUP(BG$3,Conversions!$B$12:$E$34,4,0)</f>
        <v>0</v>
      </c>
      <c r="BH8" s="330">
        <f>IF($F8="",0,$J8*VLOOKUP($F8,Lists!$C$72:$R$152,COLUMNS(Lists!$C$69:H$69),0))*VLOOKUP(BH$3,Conversions!$B$12:$E$34,4,0)</f>
        <v>0</v>
      </c>
      <c r="BI8" s="330">
        <f>IF($F8="",0,$J8*VLOOKUP($F8,Lists!$C$72:$R$152,COLUMNS(Lists!$C$69:I$69),0))*VLOOKUP(BI$3,Conversions!$B$12:$E$34,4,0)</f>
        <v>0</v>
      </c>
      <c r="BJ8" s="330">
        <f>IF($F8="",0,$J8*VLOOKUP($F8,Lists!$C$72:$R$152,COLUMNS(Lists!$C$69:J$69),0))*VLOOKUP(BJ$3,Conversions!$B$12:$E$34,4,0)</f>
        <v>0</v>
      </c>
      <c r="BK8" s="330">
        <f>IF($F8="",0,$J8*VLOOKUP($F8,Lists!$C$72:$R$152,COLUMNS(Lists!$C$69:K$69),0))*VLOOKUP(BK$3,Conversions!$B$12:$E$34,4,0)</f>
        <v>0</v>
      </c>
      <c r="BL8" s="330">
        <f>IF($F8="",0,$J8*VLOOKUP($F8,Lists!$C$72:$R$152,COLUMNS(Lists!$C$69:L$69),0))*VLOOKUP(BL$3,Conversions!$B$12:$E$34,4,0)</f>
        <v>0</v>
      </c>
      <c r="BM8" s="330">
        <f>IF($F8="",0,$J8*VLOOKUP($F8,Lists!$C$72:$R$152,COLUMNS(Lists!$C$69:M$69),0))*VLOOKUP(BM$3,Conversions!$B$12:$E$34,4,0)</f>
        <v>0</v>
      </c>
      <c r="BN8" s="330">
        <f>IF($F8="",0,$J8*VLOOKUP($F8,Lists!$C$72:$R$152,COLUMNS(Lists!$C$69:N$69),0))*VLOOKUP(BN$3,Conversions!$B$12:$E$34,4,0)</f>
        <v>0</v>
      </c>
      <c r="BO8" s="330">
        <f>IF($F8="",0,$J8*VLOOKUP($F8,Lists!$C$72:$R$152,COLUMNS(Lists!$C$69:O$69),0))*VLOOKUP(BO$3,Conversions!$B$12:$E$34,4,0)</f>
        <v>0</v>
      </c>
      <c r="BP8" s="330">
        <f>IF($F8="",0,$J8*VLOOKUP($F8,Lists!$C$72:$R$152,COLUMNS(Lists!$C$69:P$69),0))*VLOOKUP(BP$3,Conversions!$B$12:$E$34,4,0)</f>
        <v>0</v>
      </c>
      <c r="BQ8" s="330">
        <f>IF($F8="",0,$J8*VLOOKUP($F8,Lists!$C$72:$R$152,COLUMNS(Lists!$C$69:Q$69),0))*VLOOKUP(BQ$3,Conversions!$B$12:$E$34,4,0)</f>
        <v>0</v>
      </c>
      <c r="BR8" s="330">
        <f>IF($F8="",0,$J8*VLOOKUP($F8,Lists!$C$72:$R$152,COLUMNS(Lists!$C$69:R$69),0))*VLOOKUP(BR$3,Conversions!$B$12:$E$34,4,0)</f>
        <v>0</v>
      </c>
      <c r="BS8" s="330">
        <f t="shared" si="4"/>
        <v>0</v>
      </c>
      <c r="BT8" s="329">
        <f t="shared" si="0"/>
        <v>0</v>
      </c>
      <c r="BU8" s="329">
        <f t="shared" si="0"/>
        <v>0</v>
      </c>
      <c r="BV8" s="329">
        <f t="shared" si="0"/>
        <v>0</v>
      </c>
      <c r="BW8" s="329">
        <f t="shared" si="0"/>
        <v>0</v>
      </c>
      <c r="BX8" s="329">
        <f t="shared" si="0"/>
        <v>0</v>
      </c>
      <c r="BY8" s="329">
        <f t="shared" si="0"/>
        <v>0</v>
      </c>
      <c r="BZ8" s="329">
        <f t="shared" si="0"/>
        <v>0</v>
      </c>
      <c r="CA8" s="329">
        <f t="shared" si="0"/>
        <v>0</v>
      </c>
      <c r="CB8" s="329">
        <f t="shared" si="0"/>
        <v>0</v>
      </c>
      <c r="CC8" s="329">
        <f t="shared" si="0"/>
        <v>0</v>
      </c>
      <c r="CD8" s="329">
        <f t="shared" si="0"/>
        <v>0</v>
      </c>
      <c r="CE8" s="329">
        <f t="shared" si="0"/>
        <v>0</v>
      </c>
      <c r="CF8" s="329">
        <f t="shared" si="0"/>
        <v>0</v>
      </c>
      <c r="CG8" s="329">
        <f t="shared" si="0"/>
        <v>0</v>
      </c>
      <c r="CH8" s="329">
        <f t="shared" si="0"/>
        <v>0</v>
      </c>
      <c r="CI8" s="329">
        <f t="shared" si="0"/>
        <v>0</v>
      </c>
      <c r="CJ8" s="331">
        <f t="shared" si="1"/>
        <v>0</v>
      </c>
      <c r="CK8" s="330">
        <f t="shared" si="5"/>
        <v>0</v>
      </c>
      <c r="CL8" s="330">
        <f t="shared" si="6"/>
        <v>0</v>
      </c>
      <c r="CM8" s="330">
        <f t="shared" si="7"/>
        <v>0</v>
      </c>
      <c r="CN8" s="330">
        <f t="shared" si="8"/>
        <v>0</v>
      </c>
      <c r="CO8" s="330">
        <f t="shared" si="9"/>
        <v>0</v>
      </c>
      <c r="CP8" s="330">
        <f t="shared" si="10"/>
        <v>0</v>
      </c>
      <c r="CQ8" s="330">
        <f t="shared" si="11"/>
        <v>0</v>
      </c>
      <c r="CR8" s="330">
        <f t="shared" si="12"/>
        <v>0</v>
      </c>
      <c r="CS8" s="330">
        <f t="shared" si="13"/>
        <v>0</v>
      </c>
      <c r="CT8" s="330">
        <f t="shared" si="14"/>
        <v>0</v>
      </c>
      <c r="CU8" s="330">
        <f t="shared" si="2"/>
        <v>0</v>
      </c>
      <c r="CV8" s="330">
        <f t="shared" si="2"/>
        <v>0</v>
      </c>
      <c r="CW8" s="330">
        <f t="shared" si="2"/>
        <v>0</v>
      </c>
      <c r="CX8" s="330">
        <f t="shared" si="2"/>
        <v>0</v>
      </c>
      <c r="CY8" s="330">
        <f t="shared" si="2"/>
        <v>0</v>
      </c>
      <c r="CZ8" s="330">
        <f t="shared" si="2"/>
        <v>0</v>
      </c>
      <c r="DA8" s="330">
        <f t="shared" si="2"/>
        <v>0</v>
      </c>
      <c r="DB8" s="330">
        <f t="shared" si="2"/>
        <v>0</v>
      </c>
      <c r="DC8" s="330">
        <f t="shared" si="2"/>
        <v>0</v>
      </c>
      <c r="DD8" s="330">
        <f t="shared" si="2"/>
        <v>0</v>
      </c>
      <c r="DE8" s="330">
        <f t="shared" si="3"/>
        <v>0</v>
      </c>
      <c r="DF8" s="330">
        <f t="shared" si="3"/>
        <v>0</v>
      </c>
      <c r="DG8" s="330">
        <f t="shared" si="3"/>
        <v>0</v>
      </c>
      <c r="DH8" s="330">
        <f t="shared" si="3"/>
        <v>0</v>
      </c>
      <c r="DI8" s="330">
        <f t="shared" si="3"/>
        <v>0</v>
      </c>
      <c r="DJ8" s="330">
        <f t="shared" si="3"/>
        <v>0</v>
      </c>
      <c r="DK8" s="330">
        <f t="shared" si="3"/>
        <v>0</v>
      </c>
      <c r="DL8" s="330">
        <f t="shared" si="3"/>
        <v>0</v>
      </c>
      <c r="DM8" s="330">
        <f t="shared" si="3"/>
        <v>0</v>
      </c>
      <c r="DN8" s="330">
        <f t="shared" si="3"/>
        <v>0</v>
      </c>
      <c r="DO8" s="330">
        <f t="shared" si="3"/>
        <v>0</v>
      </c>
      <c r="DP8" s="330">
        <f t="shared" si="15"/>
        <v>0</v>
      </c>
      <c r="DQ8" s="217"/>
      <c r="DR8" s="217"/>
      <c r="DS8" s="217"/>
      <c r="DT8" s="217"/>
    </row>
    <row r="9" spans="1:124" x14ac:dyDescent="0.3">
      <c r="A9" s="324"/>
      <c r="B9" s="221" t="s">
        <v>481</v>
      </c>
      <c r="C9" s="221" t="str">
        <f>IF('Default - Material Balance'!C19=0,"",'Default - Material Balance'!C19)</f>
        <v/>
      </c>
      <c r="D9" s="221" t="str">
        <f>IF('Default - Material Balance'!D19=0,"",'Default - Material Balance'!D19)</f>
        <v/>
      </c>
      <c r="E9" s="221" t="str">
        <f>IF('Default - Material Balance'!E19=0,"",'Default - Material Balance'!E19)</f>
        <v/>
      </c>
      <c r="F9" s="221" t="str">
        <f>IF('Default - Material Balance'!F19=0,"",'Default - Material Balance'!F19)</f>
        <v/>
      </c>
      <c r="G9" s="222"/>
      <c r="H9" s="222"/>
      <c r="I9" s="222"/>
      <c r="J9" s="325">
        <f>IF('Default - Material Balance'!M19=0,0,'Default - Material Balance'!M19)</f>
        <v>0</v>
      </c>
      <c r="K9" s="465"/>
      <c r="L9" s="326"/>
      <c r="M9" s="326"/>
      <c r="N9" s="326"/>
      <c r="O9" s="326"/>
      <c r="P9" s="326"/>
      <c r="Q9" s="326"/>
      <c r="R9" s="326"/>
      <c r="S9" s="326"/>
      <c r="T9" s="326"/>
      <c r="U9" s="326"/>
      <c r="V9" s="326"/>
      <c r="W9" s="326"/>
      <c r="X9" s="326"/>
      <c r="Y9" s="326"/>
      <c r="Z9" s="327"/>
      <c r="AA9" s="328"/>
      <c r="AB9" s="328"/>
      <c r="AC9" s="328"/>
      <c r="AD9" s="328"/>
      <c r="AE9" s="328"/>
      <c r="AF9" s="328"/>
      <c r="AG9" s="328"/>
      <c r="AH9" s="328"/>
      <c r="AI9" s="328"/>
      <c r="AJ9" s="328"/>
      <c r="AK9" s="328"/>
      <c r="AL9" s="328"/>
      <c r="AM9" s="328"/>
      <c r="AN9" s="328"/>
      <c r="AO9" s="329"/>
      <c r="AP9" s="326"/>
      <c r="AQ9" s="326"/>
      <c r="AR9" s="326"/>
      <c r="AS9" s="326"/>
      <c r="AT9" s="326"/>
      <c r="AU9" s="326"/>
      <c r="AV9" s="326"/>
      <c r="AW9" s="326"/>
      <c r="AX9" s="326"/>
      <c r="AY9" s="326"/>
      <c r="AZ9" s="326"/>
      <c r="BA9" s="326"/>
      <c r="BB9" s="326"/>
      <c r="BC9" s="326"/>
      <c r="BD9" s="326"/>
      <c r="BE9" s="330">
        <f>IF($F9="",0,$J9*VLOOKUP($F9,Lists!$C$72:$R$152,COLUMNS(Lists!$C$69:E$69),0))*VLOOKUP(BE$3,Conversions!$B$12:$E$34,4,0)</f>
        <v>0</v>
      </c>
      <c r="BF9" s="330">
        <f>IF($F9="",0,$J9*VLOOKUP($F9,Lists!$C$72:$R$152,COLUMNS(Lists!$C$69:F$69),0))*VLOOKUP(BF$3,Conversions!$B$12:$E$34,4,0)</f>
        <v>0</v>
      </c>
      <c r="BG9" s="330">
        <f>IF($F9="",0,$J9*VLOOKUP($F9,Lists!$C$72:$R$152,COLUMNS(Lists!$C$69:G$69),0))*VLOOKUP(BG$3,Conversions!$B$12:$E$34,4,0)</f>
        <v>0</v>
      </c>
      <c r="BH9" s="330">
        <f>IF($F9="",0,$J9*VLOOKUP($F9,Lists!$C$72:$R$152,COLUMNS(Lists!$C$69:H$69),0))*VLOOKUP(BH$3,Conversions!$B$12:$E$34,4,0)</f>
        <v>0</v>
      </c>
      <c r="BI9" s="330">
        <f>IF($F9="",0,$J9*VLOOKUP($F9,Lists!$C$72:$R$152,COLUMNS(Lists!$C$69:I$69),0))*VLOOKUP(BI$3,Conversions!$B$12:$E$34,4,0)</f>
        <v>0</v>
      </c>
      <c r="BJ9" s="330">
        <f>IF($F9="",0,$J9*VLOOKUP($F9,Lists!$C$72:$R$152,COLUMNS(Lists!$C$69:J$69),0))*VLOOKUP(BJ$3,Conversions!$B$12:$E$34,4,0)</f>
        <v>0</v>
      </c>
      <c r="BK9" s="330">
        <f>IF($F9="",0,$J9*VLOOKUP($F9,Lists!$C$72:$R$152,COLUMNS(Lists!$C$69:K$69),0))*VLOOKUP(BK$3,Conversions!$B$12:$E$34,4,0)</f>
        <v>0</v>
      </c>
      <c r="BL9" s="330">
        <f>IF($F9="",0,$J9*VLOOKUP($F9,Lists!$C$72:$R$152,COLUMNS(Lists!$C$69:L$69),0))*VLOOKUP(BL$3,Conversions!$B$12:$E$34,4,0)</f>
        <v>0</v>
      </c>
      <c r="BM9" s="330">
        <f>IF($F9="",0,$J9*VLOOKUP($F9,Lists!$C$72:$R$152,COLUMNS(Lists!$C$69:M$69),0))*VLOOKUP(BM$3,Conversions!$B$12:$E$34,4,0)</f>
        <v>0</v>
      </c>
      <c r="BN9" s="330">
        <f>IF($F9="",0,$J9*VLOOKUP($F9,Lists!$C$72:$R$152,COLUMNS(Lists!$C$69:N$69),0))*VLOOKUP(BN$3,Conversions!$B$12:$E$34,4,0)</f>
        <v>0</v>
      </c>
      <c r="BO9" s="330">
        <f>IF($F9="",0,$J9*VLOOKUP($F9,Lists!$C$72:$R$152,COLUMNS(Lists!$C$69:O$69),0))*VLOOKUP(BO$3,Conversions!$B$12:$E$34,4,0)</f>
        <v>0</v>
      </c>
      <c r="BP9" s="330">
        <f>IF($F9="",0,$J9*VLOOKUP($F9,Lists!$C$72:$R$152,COLUMNS(Lists!$C$69:P$69),0))*VLOOKUP(BP$3,Conversions!$B$12:$E$34,4,0)</f>
        <v>0</v>
      </c>
      <c r="BQ9" s="330">
        <f>IF($F9="",0,$J9*VLOOKUP($F9,Lists!$C$72:$R$152,COLUMNS(Lists!$C$69:Q$69),0))*VLOOKUP(BQ$3,Conversions!$B$12:$E$34,4,0)</f>
        <v>0</v>
      </c>
      <c r="BR9" s="330">
        <f>IF($F9="",0,$J9*VLOOKUP($F9,Lists!$C$72:$R$152,COLUMNS(Lists!$C$69:R$69),0))*VLOOKUP(BR$3,Conversions!$B$12:$E$34,4,0)</f>
        <v>0</v>
      </c>
      <c r="BS9" s="330">
        <f t="shared" si="4"/>
        <v>0</v>
      </c>
      <c r="BT9" s="329">
        <f t="shared" si="0"/>
        <v>0</v>
      </c>
      <c r="BU9" s="329">
        <f t="shared" si="0"/>
        <v>0</v>
      </c>
      <c r="BV9" s="329">
        <f t="shared" si="0"/>
        <v>0</v>
      </c>
      <c r="BW9" s="329">
        <f t="shared" si="0"/>
        <v>0</v>
      </c>
      <c r="BX9" s="329">
        <f t="shared" si="0"/>
        <v>0</v>
      </c>
      <c r="BY9" s="329">
        <f t="shared" si="0"/>
        <v>0</v>
      </c>
      <c r="BZ9" s="329">
        <f t="shared" si="0"/>
        <v>0</v>
      </c>
      <c r="CA9" s="329">
        <f t="shared" si="0"/>
        <v>0</v>
      </c>
      <c r="CB9" s="329">
        <f t="shared" si="0"/>
        <v>0</v>
      </c>
      <c r="CC9" s="329">
        <f t="shared" si="0"/>
        <v>0</v>
      </c>
      <c r="CD9" s="329">
        <f t="shared" si="0"/>
        <v>0</v>
      </c>
      <c r="CE9" s="329">
        <f t="shared" si="0"/>
        <v>0</v>
      </c>
      <c r="CF9" s="329">
        <f t="shared" si="0"/>
        <v>0</v>
      </c>
      <c r="CG9" s="329">
        <f t="shared" si="0"/>
        <v>0</v>
      </c>
      <c r="CH9" s="329">
        <f t="shared" si="0"/>
        <v>0</v>
      </c>
      <c r="CI9" s="329">
        <f t="shared" si="0"/>
        <v>0</v>
      </c>
      <c r="CJ9" s="331">
        <f t="shared" si="1"/>
        <v>0</v>
      </c>
      <c r="CK9" s="330">
        <f t="shared" si="5"/>
        <v>0</v>
      </c>
      <c r="CL9" s="330">
        <f t="shared" si="6"/>
        <v>0</v>
      </c>
      <c r="CM9" s="330">
        <f t="shared" si="7"/>
        <v>0</v>
      </c>
      <c r="CN9" s="330">
        <f t="shared" si="8"/>
        <v>0</v>
      </c>
      <c r="CO9" s="330">
        <f t="shared" si="9"/>
        <v>0</v>
      </c>
      <c r="CP9" s="330">
        <f t="shared" si="10"/>
        <v>0</v>
      </c>
      <c r="CQ9" s="330">
        <f t="shared" si="11"/>
        <v>0</v>
      </c>
      <c r="CR9" s="330">
        <f t="shared" si="12"/>
        <v>0</v>
      </c>
      <c r="CS9" s="330">
        <f t="shared" si="13"/>
        <v>0</v>
      </c>
      <c r="CT9" s="330">
        <f t="shared" si="14"/>
        <v>0</v>
      </c>
      <c r="CU9" s="330">
        <f t="shared" si="2"/>
        <v>0</v>
      </c>
      <c r="CV9" s="330">
        <f t="shared" si="2"/>
        <v>0</v>
      </c>
      <c r="CW9" s="330">
        <f t="shared" si="2"/>
        <v>0</v>
      </c>
      <c r="CX9" s="330">
        <f t="shared" si="2"/>
        <v>0</v>
      </c>
      <c r="CY9" s="330">
        <f t="shared" si="2"/>
        <v>0</v>
      </c>
      <c r="CZ9" s="330">
        <f t="shared" si="2"/>
        <v>0</v>
      </c>
      <c r="DA9" s="330">
        <f t="shared" si="2"/>
        <v>0</v>
      </c>
      <c r="DB9" s="330">
        <f t="shared" si="2"/>
        <v>0</v>
      </c>
      <c r="DC9" s="330">
        <f t="shared" si="2"/>
        <v>0</v>
      </c>
      <c r="DD9" s="330">
        <f t="shared" si="2"/>
        <v>0</v>
      </c>
      <c r="DE9" s="330">
        <f t="shared" si="3"/>
        <v>0</v>
      </c>
      <c r="DF9" s="330">
        <f t="shared" si="3"/>
        <v>0</v>
      </c>
      <c r="DG9" s="330">
        <f t="shared" si="3"/>
        <v>0</v>
      </c>
      <c r="DH9" s="330">
        <f t="shared" si="3"/>
        <v>0</v>
      </c>
      <c r="DI9" s="330">
        <f t="shared" si="3"/>
        <v>0</v>
      </c>
      <c r="DJ9" s="330">
        <f t="shared" si="3"/>
        <v>0</v>
      </c>
      <c r="DK9" s="330">
        <f t="shared" si="3"/>
        <v>0</v>
      </c>
      <c r="DL9" s="330">
        <f t="shared" si="3"/>
        <v>0</v>
      </c>
      <c r="DM9" s="330">
        <f t="shared" si="3"/>
        <v>0</v>
      </c>
      <c r="DN9" s="330">
        <f t="shared" si="3"/>
        <v>0</v>
      </c>
      <c r="DO9" s="330">
        <f t="shared" si="3"/>
        <v>0</v>
      </c>
      <c r="DP9" s="330">
        <f t="shared" si="15"/>
        <v>0</v>
      </c>
      <c r="DQ9" s="217"/>
      <c r="DR9" s="217"/>
      <c r="DS9" s="217"/>
      <c r="DT9" s="217"/>
    </row>
    <row r="10" spans="1:124" x14ac:dyDescent="0.3">
      <c r="A10" s="324"/>
      <c r="B10" s="221" t="s">
        <v>481</v>
      </c>
      <c r="C10" s="221" t="str">
        <f>IF('Default - Material Balance'!C20=0,"",'Default - Material Balance'!C20)</f>
        <v/>
      </c>
      <c r="D10" s="221" t="str">
        <f>IF('Default - Material Balance'!D20=0,"",'Default - Material Balance'!D20)</f>
        <v/>
      </c>
      <c r="E10" s="221" t="str">
        <f>IF('Default - Material Balance'!E20=0,"",'Default - Material Balance'!E20)</f>
        <v/>
      </c>
      <c r="F10" s="221" t="str">
        <f>IF('Default - Material Balance'!F20=0,"",'Default - Material Balance'!F20)</f>
        <v/>
      </c>
      <c r="G10" s="222"/>
      <c r="H10" s="222"/>
      <c r="I10" s="222"/>
      <c r="J10" s="325">
        <f>IF('Default - Material Balance'!M20=0,0,'Default - Material Balance'!M20)</f>
        <v>0</v>
      </c>
      <c r="K10" s="465"/>
      <c r="L10" s="326"/>
      <c r="M10" s="326"/>
      <c r="N10" s="326"/>
      <c r="O10" s="326"/>
      <c r="P10" s="326"/>
      <c r="Q10" s="326"/>
      <c r="R10" s="326"/>
      <c r="S10" s="326"/>
      <c r="T10" s="326"/>
      <c r="U10" s="326"/>
      <c r="V10" s="326"/>
      <c r="W10" s="326"/>
      <c r="X10" s="326"/>
      <c r="Y10" s="326"/>
      <c r="Z10" s="327"/>
      <c r="AA10" s="328"/>
      <c r="AB10" s="328"/>
      <c r="AC10" s="328"/>
      <c r="AD10" s="328"/>
      <c r="AE10" s="328"/>
      <c r="AF10" s="328"/>
      <c r="AG10" s="328"/>
      <c r="AH10" s="328"/>
      <c r="AI10" s="328"/>
      <c r="AJ10" s="328"/>
      <c r="AK10" s="328"/>
      <c r="AL10" s="328"/>
      <c r="AM10" s="328"/>
      <c r="AN10" s="328"/>
      <c r="AO10" s="329"/>
      <c r="AP10" s="326"/>
      <c r="AQ10" s="326"/>
      <c r="AR10" s="326"/>
      <c r="AS10" s="326"/>
      <c r="AT10" s="326"/>
      <c r="AU10" s="326"/>
      <c r="AV10" s="326"/>
      <c r="AW10" s="326"/>
      <c r="AX10" s="326"/>
      <c r="AY10" s="326"/>
      <c r="AZ10" s="326"/>
      <c r="BA10" s="326"/>
      <c r="BB10" s="326"/>
      <c r="BC10" s="326"/>
      <c r="BD10" s="326"/>
      <c r="BE10" s="330">
        <f>IF($F10="",0,$J10*VLOOKUP($F10,Lists!$C$72:$R$152,COLUMNS(Lists!$C$69:E$69),0))*VLOOKUP(BE$3,Conversions!$B$12:$E$34,4,0)</f>
        <v>0</v>
      </c>
      <c r="BF10" s="330">
        <f>IF($F10="",0,$J10*VLOOKUP($F10,Lists!$C$72:$R$152,COLUMNS(Lists!$C$69:F$69),0))*VLOOKUP(BF$3,Conversions!$B$12:$E$34,4,0)</f>
        <v>0</v>
      </c>
      <c r="BG10" s="330">
        <f>IF($F10="",0,$J10*VLOOKUP($F10,Lists!$C$72:$R$152,COLUMNS(Lists!$C$69:G$69),0))*VLOOKUP(BG$3,Conversions!$B$12:$E$34,4,0)</f>
        <v>0</v>
      </c>
      <c r="BH10" s="330">
        <f>IF($F10="",0,$J10*VLOOKUP($F10,Lists!$C$72:$R$152,COLUMNS(Lists!$C$69:H$69),0))*VLOOKUP(BH$3,Conversions!$B$12:$E$34,4,0)</f>
        <v>0</v>
      </c>
      <c r="BI10" s="330">
        <f>IF($F10="",0,$J10*VLOOKUP($F10,Lists!$C$72:$R$152,COLUMNS(Lists!$C$69:I$69),0))*VLOOKUP(BI$3,Conversions!$B$12:$E$34,4,0)</f>
        <v>0</v>
      </c>
      <c r="BJ10" s="330">
        <f>IF($F10="",0,$J10*VLOOKUP($F10,Lists!$C$72:$R$152,COLUMNS(Lists!$C$69:J$69),0))*VLOOKUP(BJ$3,Conversions!$B$12:$E$34,4,0)</f>
        <v>0</v>
      </c>
      <c r="BK10" s="330">
        <f>IF($F10="",0,$J10*VLOOKUP($F10,Lists!$C$72:$R$152,COLUMNS(Lists!$C$69:K$69),0))*VLOOKUP(BK$3,Conversions!$B$12:$E$34,4,0)</f>
        <v>0</v>
      </c>
      <c r="BL10" s="330">
        <f>IF($F10="",0,$J10*VLOOKUP($F10,Lists!$C$72:$R$152,COLUMNS(Lists!$C$69:L$69),0))*VLOOKUP(BL$3,Conversions!$B$12:$E$34,4,0)</f>
        <v>0</v>
      </c>
      <c r="BM10" s="330">
        <f>IF($F10="",0,$J10*VLOOKUP($F10,Lists!$C$72:$R$152,COLUMNS(Lists!$C$69:M$69),0))*VLOOKUP(BM$3,Conversions!$B$12:$E$34,4,0)</f>
        <v>0</v>
      </c>
      <c r="BN10" s="330">
        <f>IF($F10="",0,$J10*VLOOKUP($F10,Lists!$C$72:$R$152,COLUMNS(Lists!$C$69:N$69),0))*VLOOKUP(BN$3,Conversions!$B$12:$E$34,4,0)</f>
        <v>0</v>
      </c>
      <c r="BO10" s="330">
        <f>IF($F10="",0,$J10*VLOOKUP($F10,Lists!$C$72:$R$152,COLUMNS(Lists!$C$69:O$69),0))*VLOOKUP(BO$3,Conversions!$B$12:$E$34,4,0)</f>
        <v>0</v>
      </c>
      <c r="BP10" s="330">
        <f>IF($F10="",0,$J10*VLOOKUP($F10,Lists!$C$72:$R$152,COLUMNS(Lists!$C$69:P$69),0))*VLOOKUP(BP$3,Conversions!$B$12:$E$34,4,0)</f>
        <v>0</v>
      </c>
      <c r="BQ10" s="330">
        <f>IF($F10="",0,$J10*VLOOKUP($F10,Lists!$C$72:$R$152,COLUMNS(Lists!$C$69:Q$69),0))*VLOOKUP(BQ$3,Conversions!$B$12:$E$34,4,0)</f>
        <v>0</v>
      </c>
      <c r="BR10" s="330">
        <f>IF($F10="",0,$J10*VLOOKUP($F10,Lists!$C$72:$R$152,COLUMNS(Lists!$C$69:R$69),0))*VLOOKUP(BR$3,Conversions!$B$12:$E$34,4,0)</f>
        <v>0</v>
      </c>
      <c r="BS10" s="330">
        <f t="shared" si="4"/>
        <v>0</v>
      </c>
      <c r="BT10" s="329">
        <f t="shared" si="0"/>
        <v>0</v>
      </c>
      <c r="BU10" s="329">
        <f t="shared" si="0"/>
        <v>0</v>
      </c>
      <c r="BV10" s="329">
        <f t="shared" si="0"/>
        <v>0</v>
      </c>
      <c r="BW10" s="329">
        <f t="shared" si="0"/>
        <v>0</v>
      </c>
      <c r="BX10" s="329">
        <f t="shared" si="0"/>
        <v>0</v>
      </c>
      <c r="BY10" s="329">
        <f t="shared" si="0"/>
        <v>0</v>
      </c>
      <c r="BZ10" s="329">
        <f t="shared" si="0"/>
        <v>0</v>
      </c>
      <c r="CA10" s="329">
        <f t="shared" si="0"/>
        <v>0</v>
      </c>
      <c r="CB10" s="329">
        <f t="shared" si="0"/>
        <v>0</v>
      </c>
      <c r="CC10" s="329">
        <f t="shared" si="0"/>
        <v>0</v>
      </c>
      <c r="CD10" s="329">
        <f t="shared" si="0"/>
        <v>0</v>
      </c>
      <c r="CE10" s="329">
        <f t="shared" si="0"/>
        <v>0</v>
      </c>
      <c r="CF10" s="329">
        <f t="shared" si="0"/>
        <v>0</v>
      </c>
      <c r="CG10" s="329">
        <f t="shared" si="0"/>
        <v>0</v>
      </c>
      <c r="CH10" s="329">
        <f t="shared" si="0"/>
        <v>0</v>
      </c>
      <c r="CI10" s="329">
        <f t="shared" si="0"/>
        <v>0</v>
      </c>
      <c r="CJ10" s="331">
        <f t="shared" si="1"/>
        <v>0</v>
      </c>
      <c r="CK10" s="330">
        <f t="shared" si="5"/>
        <v>0</v>
      </c>
      <c r="CL10" s="330">
        <f t="shared" si="6"/>
        <v>0</v>
      </c>
      <c r="CM10" s="330">
        <f t="shared" si="7"/>
        <v>0</v>
      </c>
      <c r="CN10" s="330">
        <f t="shared" si="8"/>
        <v>0</v>
      </c>
      <c r="CO10" s="330">
        <f t="shared" si="9"/>
        <v>0</v>
      </c>
      <c r="CP10" s="330">
        <f t="shared" si="10"/>
        <v>0</v>
      </c>
      <c r="CQ10" s="330">
        <f t="shared" si="11"/>
        <v>0</v>
      </c>
      <c r="CR10" s="330">
        <f t="shared" si="12"/>
        <v>0</v>
      </c>
      <c r="CS10" s="330">
        <f t="shared" si="13"/>
        <v>0</v>
      </c>
      <c r="CT10" s="330">
        <f t="shared" si="14"/>
        <v>0</v>
      </c>
      <c r="CU10" s="330">
        <f t="shared" si="2"/>
        <v>0</v>
      </c>
      <c r="CV10" s="330">
        <f t="shared" si="2"/>
        <v>0</v>
      </c>
      <c r="CW10" s="330">
        <f t="shared" si="2"/>
        <v>0</v>
      </c>
      <c r="CX10" s="330">
        <f t="shared" si="2"/>
        <v>0</v>
      </c>
      <c r="CY10" s="330">
        <f t="shared" si="2"/>
        <v>0</v>
      </c>
      <c r="CZ10" s="330">
        <f t="shared" si="2"/>
        <v>0</v>
      </c>
      <c r="DA10" s="330">
        <f t="shared" si="2"/>
        <v>0</v>
      </c>
      <c r="DB10" s="330">
        <f t="shared" si="2"/>
        <v>0</v>
      </c>
      <c r="DC10" s="330">
        <f t="shared" si="2"/>
        <v>0</v>
      </c>
      <c r="DD10" s="330">
        <f t="shared" si="2"/>
        <v>0</v>
      </c>
      <c r="DE10" s="330">
        <f t="shared" si="3"/>
        <v>0</v>
      </c>
      <c r="DF10" s="330">
        <f t="shared" si="3"/>
        <v>0</v>
      </c>
      <c r="DG10" s="330">
        <f t="shared" si="3"/>
        <v>0</v>
      </c>
      <c r="DH10" s="330">
        <f t="shared" si="3"/>
        <v>0</v>
      </c>
      <c r="DI10" s="330">
        <f t="shared" si="3"/>
        <v>0</v>
      </c>
      <c r="DJ10" s="330">
        <f t="shared" si="3"/>
        <v>0</v>
      </c>
      <c r="DK10" s="330">
        <f t="shared" si="3"/>
        <v>0</v>
      </c>
      <c r="DL10" s="330">
        <f t="shared" si="3"/>
        <v>0</v>
      </c>
      <c r="DM10" s="330">
        <f t="shared" si="3"/>
        <v>0</v>
      </c>
      <c r="DN10" s="330">
        <f t="shared" si="3"/>
        <v>0</v>
      </c>
      <c r="DO10" s="330">
        <f t="shared" si="3"/>
        <v>0</v>
      </c>
      <c r="DP10" s="330">
        <f t="shared" si="15"/>
        <v>0</v>
      </c>
      <c r="DQ10" s="217"/>
      <c r="DR10" s="217"/>
      <c r="DS10" s="217"/>
      <c r="DT10" s="217"/>
    </row>
    <row r="11" spans="1:124" x14ac:dyDescent="0.3">
      <c r="A11" s="324"/>
      <c r="B11" s="221" t="s">
        <v>481</v>
      </c>
      <c r="C11" s="221" t="str">
        <f>IF('Default - Material Balance'!C21=0,"",'Default - Material Balance'!C21)</f>
        <v/>
      </c>
      <c r="D11" s="221" t="str">
        <f>IF('Default - Material Balance'!D21=0,"",'Default - Material Balance'!D21)</f>
        <v/>
      </c>
      <c r="E11" s="221" t="str">
        <f>IF('Default - Material Balance'!E21=0,"",'Default - Material Balance'!E21)</f>
        <v/>
      </c>
      <c r="F11" s="221" t="str">
        <f>IF('Default - Material Balance'!F21=0,"",'Default - Material Balance'!F21)</f>
        <v/>
      </c>
      <c r="G11" s="222"/>
      <c r="H11" s="222"/>
      <c r="I11" s="222"/>
      <c r="J11" s="325">
        <f>IF('Default - Material Balance'!M21=0,0,'Default - Material Balance'!M21)</f>
        <v>0</v>
      </c>
      <c r="K11" s="465"/>
      <c r="L11" s="326"/>
      <c r="M11" s="326"/>
      <c r="N11" s="326"/>
      <c r="O11" s="326"/>
      <c r="P11" s="326"/>
      <c r="Q11" s="326"/>
      <c r="R11" s="326"/>
      <c r="S11" s="326"/>
      <c r="T11" s="326"/>
      <c r="U11" s="326"/>
      <c r="V11" s="326"/>
      <c r="W11" s="326"/>
      <c r="X11" s="326"/>
      <c r="Y11" s="326"/>
      <c r="Z11" s="327"/>
      <c r="AA11" s="328"/>
      <c r="AB11" s="328"/>
      <c r="AC11" s="328"/>
      <c r="AD11" s="328"/>
      <c r="AE11" s="328"/>
      <c r="AF11" s="328"/>
      <c r="AG11" s="328"/>
      <c r="AH11" s="328"/>
      <c r="AI11" s="328"/>
      <c r="AJ11" s="328"/>
      <c r="AK11" s="328"/>
      <c r="AL11" s="328"/>
      <c r="AM11" s="328"/>
      <c r="AN11" s="328"/>
      <c r="AO11" s="329"/>
      <c r="AP11" s="326"/>
      <c r="AQ11" s="326"/>
      <c r="AR11" s="326"/>
      <c r="AS11" s="326"/>
      <c r="AT11" s="326"/>
      <c r="AU11" s="326"/>
      <c r="AV11" s="326"/>
      <c r="AW11" s="326"/>
      <c r="AX11" s="326"/>
      <c r="AY11" s="326"/>
      <c r="AZ11" s="326"/>
      <c r="BA11" s="326"/>
      <c r="BB11" s="326"/>
      <c r="BC11" s="326"/>
      <c r="BD11" s="326"/>
      <c r="BE11" s="330">
        <f>IF($F11="",0,$J11*VLOOKUP($F11,Lists!$C$72:$R$152,COLUMNS(Lists!$C$69:E$69),0))*VLOOKUP(BE$3,Conversions!$B$12:$E$34,4,0)</f>
        <v>0</v>
      </c>
      <c r="BF11" s="330">
        <f>IF($F11="",0,$J11*VLOOKUP($F11,Lists!$C$72:$R$152,COLUMNS(Lists!$C$69:F$69),0))*VLOOKUP(BF$3,Conversions!$B$12:$E$34,4,0)</f>
        <v>0</v>
      </c>
      <c r="BG11" s="330">
        <f>IF($F11="",0,$J11*VLOOKUP($F11,Lists!$C$72:$R$152,COLUMNS(Lists!$C$69:G$69),0))*VLOOKUP(BG$3,Conversions!$B$12:$E$34,4,0)</f>
        <v>0</v>
      </c>
      <c r="BH11" s="330">
        <f>IF($F11="",0,$J11*VLOOKUP($F11,Lists!$C$72:$R$152,COLUMNS(Lists!$C$69:H$69),0))*VLOOKUP(BH$3,Conversions!$B$12:$E$34,4,0)</f>
        <v>0</v>
      </c>
      <c r="BI11" s="330">
        <f>IF($F11="",0,$J11*VLOOKUP($F11,Lists!$C$72:$R$152,COLUMNS(Lists!$C$69:I$69),0))*VLOOKUP(BI$3,Conversions!$B$12:$E$34,4,0)</f>
        <v>0</v>
      </c>
      <c r="BJ11" s="330">
        <f>IF($F11="",0,$J11*VLOOKUP($F11,Lists!$C$72:$R$152,COLUMNS(Lists!$C$69:J$69),0))*VLOOKUP(BJ$3,Conversions!$B$12:$E$34,4,0)</f>
        <v>0</v>
      </c>
      <c r="BK11" s="330">
        <f>IF($F11="",0,$J11*VLOOKUP($F11,Lists!$C$72:$R$152,COLUMNS(Lists!$C$69:K$69),0))*VLOOKUP(BK$3,Conversions!$B$12:$E$34,4,0)</f>
        <v>0</v>
      </c>
      <c r="BL11" s="330">
        <f>IF($F11="",0,$J11*VLOOKUP($F11,Lists!$C$72:$R$152,COLUMNS(Lists!$C$69:L$69),0))*VLOOKUP(BL$3,Conversions!$B$12:$E$34,4,0)</f>
        <v>0</v>
      </c>
      <c r="BM11" s="330">
        <f>IF($F11="",0,$J11*VLOOKUP($F11,Lists!$C$72:$R$152,COLUMNS(Lists!$C$69:M$69),0))*VLOOKUP(BM$3,Conversions!$B$12:$E$34,4,0)</f>
        <v>0</v>
      </c>
      <c r="BN11" s="330">
        <f>IF($F11="",0,$J11*VLOOKUP($F11,Lists!$C$72:$R$152,COLUMNS(Lists!$C$69:N$69),0))*VLOOKUP(BN$3,Conversions!$B$12:$E$34,4,0)</f>
        <v>0</v>
      </c>
      <c r="BO11" s="330">
        <f>IF($F11="",0,$J11*VLOOKUP($F11,Lists!$C$72:$R$152,COLUMNS(Lists!$C$69:O$69),0))*VLOOKUP(BO$3,Conversions!$B$12:$E$34,4,0)</f>
        <v>0</v>
      </c>
      <c r="BP11" s="330">
        <f>IF($F11="",0,$J11*VLOOKUP($F11,Lists!$C$72:$R$152,COLUMNS(Lists!$C$69:P$69),0))*VLOOKUP(BP$3,Conversions!$B$12:$E$34,4,0)</f>
        <v>0</v>
      </c>
      <c r="BQ11" s="330">
        <f>IF($F11="",0,$J11*VLOOKUP($F11,Lists!$C$72:$R$152,COLUMNS(Lists!$C$69:Q$69),0))*VLOOKUP(BQ$3,Conversions!$B$12:$E$34,4,0)</f>
        <v>0</v>
      </c>
      <c r="BR11" s="330">
        <f>IF($F11="",0,$J11*VLOOKUP($F11,Lists!$C$72:$R$152,COLUMNS(Lists!$C$69:R$69),0))*VLOOKUP(BR$3,Conversions!$B$12:$E$34,4,0)</f>
        <v>0</v>
      </c>
      <c r="BS11" s="330">
        <f t="shared" si="4"/>
        <v>0</v>
      </c>
      <c r="BT11" s="329">
        <f t="shared" si="0"/>
        <v>0</v>
      </c>
      <c r="BU11" s="329">
        <f t="shared" si="0"/>
        <v>0</v>
      </c>
      <c r="BV11" s="329">
        <f t="shared" si="0"/>
        <v>0</v>
      </c>
      <c r="BW11" s="329">
        <f t="shared" si="0"/>
        <v>0</v>
      </c>
      <c r="BX11" s="329">
        <f t="shared" si="0"/>
        <v>0</v>
      </c>
      <c r="BY11" s="329">
        <f t="shared" si="0"/>
        <v>0</v>
      </c>
      <c r="BZ11" s="329">
        <f t="shared" si="0"/>
        <v>0</v>
      </c>
      <c r="CA11" s="329">
        <f t="shared" si="0"/>
        <v>0</v>
      </c>
      <c r="CB11" s="329">
        <f t="shared" si="0"/>
        <v>0</v>
      </c>
      <c r="CC11" s="329">
        <f t="shared" si="0"/>
        <v>0</v>
      </c>
      <c r="CD11" s="329">
        <f t="shared" si="0"/>
        <v>0</v>
      </c>
      <c r="CE11" s="329">
        <f t="shared" si="0"/>
        <v>0</v>
      </c>
      <c r="CF11" s="329">
        <f t="shared" si="0"/>
        <v>0</v>
      </c>
      <c r="CG11" s="329">
        <f t="shared" si="0"/>
        <v>0</v>
      </c>
      <c r="CH11" s="329">
        <f t="shared" si="0"/>
        <v>0</v>
      </c>
      <c r="CI11" s="329">
        <f t="shared" si="0"/>
        <v>0</v>
      </c>
      <c r="CJ11" s="331">
        <f t="shared" si="1"/>
        <v>0</v>
      </c>
      <c r="CK11" s="330">
        <f t="shared" si="5"/>
        <v>0</v>
      </c>
      <c r="CL11" s="330">
        <f t="shared" si="6"/>
        <v>0</v>
      </c>
      <c r="CM11" s="330">
        <f t="shared" si="7"/>
        <v>0</v>
      </c>
      <c r="CN11" s="330">
        <f t="shared" si="8"/>
        <v>0</v>
      </c>
      <c r="CO11" s="330">
        <f t="shared" si="9"/>
        <v>0</v>
      </c>
      <c r="CP11" s="330">
        <f t="shared" si="10"/>
        <v>0</v>
      </c>
      <c r="CQ11" s="330">
        <f t="shared" si="11"/>
        <v>0</v>
      </c>
      <c r="CR11" s="330">
        <f t="shared" si="12"/>
        <v>0</v>
      </c>
      <c r="CS11" s="330">
        <f t="shared" si="13"/>
        <v>0</v>
      </c>
      <c r="CT11" s="330">
        <f t="shared" si="14"/>
        <v>0</v>
      </c>
      <c r="CU11" s="330">
        <f t="shared" si="2"/>
        <v>0</v>
      </c>
      <c r="CV11" s="330">
        <f t="shared" si="2"/>
        <v>0</v>
      </c>
      <c r="CW11" s="330">
        <f t="shared" si="2"/>
        <v>0</v>
      </c>
      <c r="CX11" s="330">
        <f t="shared" si="2"/>
        <v>0</v>
      </c>
      <c r="CY11" s="330">
        <f t="shared" si="2"/>
        <v>0</v>
      </c>
      <c r="CZ11" s="330">
        <f t="shared" si="2"/>
        <v>0</v>
      </c>
      <c r="DA11" s="330">
        <f t="shared" si="2"/>
        <v>0</v>
      </c>
      <c r="DB11" s="330">
        <f t="shared" si="2"/>
        <v>0</v>
      </c>
      <c r="DC11" s="330">
        <f t="shared" si="2"/>
        <v>0</v>
      </c>
      <c r="DD11" s="330">
        <f t="shared" si="2"/>
        <v>0</v>
      </c>
      <c r="DE11" s="330">
        <f t="shared" si="3"/>
        <v>0</v>
      </c>
      <c r="DF11" s="330">
        <f t="shared" si="3"/>
        <v>0</v>
      </c>
      <c r="DG11" s="330">
        <f t="shared" si="3"/>
        <v>0</v>
      </c>
      <c r="DH11" s="330">
        <f t="shared" si="3"/>
        <v>0</v>
      </c>
      <c r="DI11" s="330">
        <f t="shared" si="3"/>
        <v>0</v>
      </c>
      <c r="DJ11" s="330">
        <f t="shared" si="3"/>
        <v>0</v>
      </c>
      <c r="DK11" s="330">
        <f t="shared" si="3"/>
        <v>0</v>
      </c>
      <c r="DL11" s="330">
        <f t="shared" si="3"/>
        <v>0</v>
      </c>
      <c r="DM11" s="330">
        <f t="shared" si="3"/>
        <v>0</v>
      </c>
      <c r="DN11" s="330">
        <f t="shared" si="3"/>
        <v>0</v>
      </c>
      <c r="DO11" s="330">
        <f t="shared" si="3"/>
        <v>0</v>
      </c>
      <c r="DP11" s="330">
        <f t="shared" si="15"/>
        <v>0</v>
      </c>
      <c r="DQ11" s="217"/>
      <c r="DR11" s="217"/>
      <c r="DS11" s="217"/>
      <c r="DT11" s="217"/>
    </row>
    <row r="12" spans="1:124" x14ac:dyDescent="0.3">
      <c r="A12" s="324"/>
      <c r="B12" s="221" t="s">
        <v>481</v>
      </c>
      <c r="C12" s="221" t="str">
        <f>IF('Default - Material Balance'!C22=0,"",'Default - Material Balance'!C22)</f>
        <v/>
      </c>
      <c r="D12" s="221" t="str">
        <f>IF('Default - Material Balance'!D22=0,"",'Default - Material Balance'!D22)</f>
        <v/>
      </c>
      <c r="E12" s="221" t="str">
        <f>IF('Default - Material Balance'!E22=0,"",'Default - Material Balance'!E22)</f>
        <v/>
      </c>
      <c r="F12" s="221" t="str">
        <f>IF('Default - Material Balance'!F22=0,"",'Default - Material Balance'!F22)</f>
        <v/>
      </c>
      <c r="G12" s="222"/>
      <c r="H12" s="222"/>
      <c r="I12" s="222"/>
      <c r="J12" s="325">
        <f>IF('Default - Material Balance'!M22=0,0,'Default - Material Balance'!M22)</f>
        <v>0</v>
      </c>
      <c r="K12" s="465"/>
      <c r="L12" s="326"/>
      <c r="M12" s="326"/>
      <c r="N12" s="326"/>
      <c r="O12" s="326"/>
      <c r="P12" s="326"/>
      <c r="Q12" s="326"/>
      <c r="R12" s="326"/>
      <c r="S12" s="326"/>
      <c r="T12" s="326"/>
      <c r="U12" s="326"/>
      <c r="V12" s="326"/>
      <c r="W12" s="326"/>
      <c r="X12" s="326"/>
      <c r="Y12" s="326"/>
      <c r="Z12" s="327"/>
      <c r="AA12" s="328"/>
      <c r="AB12" s="328"/>
      <c r="AC12" s="328"/>
      <c r="AD12" s="328"/>
      <c r="AE12" s="328"/>
      <c r="AF12" s="328"/>
      <c r="AG12" s="328"/>
      <c r="AH12" s="328"/>
      <c r="AI12" s="328"/>
      <c r="AJ12" s="328"/>
      <c r="AK12" s="328"/>
      <c r="AL12" s="328"/>
      <c r="AM12" s="328"/>
      <c r="AN12" s="328"/>
      <c r="AO12" s="329"/>
      <c r="AP12" s="326"/>
      <c r="AQ12" s="326"/>
      <c r="AR12" s="326"/>
      <c r="AS12" s="326"/>
      <c r="AT12" s="326"/>
      <c r="AU12" s="326"/>
      <c r="AV12" s="326"/>
      <c r="AW12" s="326"/>
      <c r="AX12" s="326"/>
      <c r="AY12" s="326"/>
      <c r="AZ12" s="326"/>
      <c r="BA12" s="326"/>
      <c r="BB12" s="326"/>
      <c r="BC12" s="326"/>
      <c r="BD12" s="326"/>
      <c r="BE12" s="330">
        <f>IF($F12="",0,$J12*VLOOKUP($F12,Lists!$C$72:$R$152,COLUMNS(Lists!$C$69:E$69),0))*VLOOKUP(BE$3,Conversions!$B$12:$E$34,4,0)</f>
        <v>0</v>
      </c>
      <c r="BF12" s="330">
        <f>IF($F12="",0,$J12*VLOOKUP($F12,Lists!$C$72:$R$152,COLUMNS(Lists!$C$69:F$69),0))*VLOOKUP(BF$3,Conversions!$B$12:$E$34,4,0)</f>
        <v>0</v>
      </c>
      <c r="BG12" s="330">
        <f>IF($F12="",0,$J12*VLOOKUP($F12,Lists!$C$72:$R$152,COLUMNS(Lists!$C$69:G$69),0))*VLOOKUP(BG$3,Conversions!$B$12:$E$34,4,0)</f>
        <v>0</v>
      </c>
      <c r="BH12" s="330">
        <f>IF($F12="",0,$J12*VLOOKUP($F12,Lists!$C$72:$R$152,COLUMNS(Lists!$C$69:H$69),0))*VLOOKUP(BH$3,Conversions!$B$12:$E$34,4,0)</f>
        <v>0</v>
      </c>
      <c r="BI12" s="330">
        <f>IF($F12="",0,$J12*VLOOKUP($F12,Lists!$C$72:$R$152,COLUMNS(Lists!$C$69:I$69),0))*VLOOKUP(BI$3,Conversions!$B$12:$E$34,4,0)</f>
        <v>0</v>
      </c>
      <c r="BJ12" s="330">
        <f>IF($F12="",0,$J12*VLOOKUP($F12,Lists!$C$72:$R$152,COLUMNS(Lists!$C$69:J$69),0))*VLOOKUP(BJ$3,Conversions!$B$12:$E$34,4,0)</f>
        <v>0</v>
      </c>
      <c r="BK12" s="330">
        <f>IF($F12="",0,$J12*VLOOKUP($F12,Lists!$C$72:$R$152,COLUMNS(Lists!$C$69:K$69),0))*VLOOKUP(BK$3,Conversions!$B$12:$E$34,4,0)</f>
        <v>0</v>
      </c>
      <c r="BL12" s="330">
        <f>IF($F12="",0,$J12*VLOOKUP($F12,Lists!$C$72:$R$152,COLUMNS(Lists!$C$69:L$69),0))*VLOOKUP(BL$3,Conversions!$B$12:$E$34,4,0)</f>
        <v>0</v>
      </c>
      <c r="BM12" s="330">
        <f>IF($F12="",0,$J12*VLOOKUP($F12,Lists!$C$72:$R$152,COLUMNS(Lists!$C$69:M$69),0))*VLOOKUP(BM$3,Conversions!$B$12:$E$34,4,0)</f>
        <v>0</v>
      </c>
      <c r="BN12" s="330">
        <f>IF($F12="",0,$J12*VLOOKUP($F12,Lists!$C$72:$R$152,COLUMNS(Lists!$C$69:N$69),0))*VLOOKUP(BN$3,Conversions!$B$12:$E$34,4,0)</f>
        <v>0</v>
      </c>
      <c r="BO12" s="330">
        <f>IF($F12="",0,$J12*VLOOKUP($F12,Lists!$C$72:$R$152,COLUMNS(Lists!$C$69:O$69),0))*VLOOKUP(BO$3,Conversions!$B$12:$E$34,4,0)</f>
        <v>0</v>
      </c>
      <c r="BP12" s="330">
        <f>IF($F12="",0,$J12*VLOOKUP($F12,Lists!$C$72:$R$152,COLUMNS(Lists!$C$69:P$69),0))*VLOOKUP(BP$3,Conversions!$B$12:$E$34,4,0)</f>
        <v>0</v>
      </c>
      <c r="BQ12" s="330">
        <f>IF($F12="",0,$J12*VLOOKUP($F12,Lists!$C$72:$R$152,COLUMNS(Lists!$C$69:Q$69),0))*VLOOKUP(BQ$3,Conversions!$B$12:$E$34,4,0)</f>
        <v>0</v>
      </c>
      <c r="BR12" s="330">
        <f>IF($F12="",0,$J12*VLOOKUP($F12,Lists!$C$72:$R$152,COLUMNS(Lists!$C$69:R$69),0))*VLOOKUP(BR$3,Conversions!$B$12:$E$34,4,0)</f>
        <v>0</v>
      </c>
      <c r="BS12" s="330">
        <f t="shared" si="4"/>
        <v>0</v>
      </c>
      <c r="BT12" s="329">
        <f t="shared" si="0"/>
        <v>0</v>
      </c>
      <c r="BU12" s="329">
        <f t="shared" si="0"/>
        <v>0</v>
      </c>
      <c r="BV12" s="329">
        <f t="shared" si="0"/>
        <v>0</v>
      </c>
      <c r="BW12" s="329">
        <f t="shared" si="0"/>
        <v>0</v>
      </c>
      <c r="BX12" s="329">
        <f t="shared" si="0"/>
        <v>0</v>
      </c>
      <c r="BY12" s="329">
        <f t="shared" si="0"/>
        <v>0</v>
      </c>
      <c r="BZ12" s="329">
        <f t="shared" si="0"/>
        <v>0</v>
      </c>
      <c r="CA12" s="329">
        <f t="shared" si="0"/>
        <v>0</v>
      </c>
      <c r="CB12" s="329">
        <f t="shared" si="0"/>
        <v>0</v>
      </c>
      <c r="CC12" s="329">
        <f t="shared" si="0"/>
        <v>0</v>
      </c>
      <c r="CD12" s="329">
        <f t="shared" si="0"/>
        <v>0</v>
      </c>
      <c r="CE12" s="329">
        <f t="shared" si="0"/>
        <v>0</v>
      </c>
      <c r="CF12" s="329">
        <f t="shared" si="0"/>
        <v>0</v>
      </c>
      <c r="CG12" s="329">
        <f t="shared" si="0"/>
        <v>0</v>
      </c>
      <c r="CH12" s="329">
        <f t="shared" si="0"/>
        <v>0</v>
      </c>
      <c r="CI12" s="329">
        <f t="shared" si="0"/>
        <v>0</v>
      </c>
      <c r="CJ12" s="331">
        <f t="shared" si="1"/>
        <v>0</v>
      </c>
      <c r="CK12" s="330">
        <f t="shared" si="5"/>
        <v>0</v>
      </c>
      <c r="CL12" s="330">
        <f t="shared" si="6"/>
        <v>0</v>
      </c>
      <c r="CM12" s="330">
        <f t="shared" si="7"/>
        <v>0</v>
      </c>
      <c r="CN12" s="330">
        <f t="shared" si="8"/>
        <v>0</v>
      </c>
      <c r="CO12" s="330">
        <f t="shared" si="9"/>
        <v>0</v>
      </c>
      <c r="CP12" s="330">
        <f t="shared" si="10"/>
        <v>0</v>
      </c>
      <c r="CQ12" s="330">
        <f t="shared" si="11"/>
        <v>0</v>
      </c>
      <c r="CR12" s="330">
        <f t="shared" si="12"/>
        <v>0</v>
      </c>
      <c r="CS12" s="330">
        <f t="shared" si="13"/>
        <v>0</v>
      </c>
      <c r="CT12" s="330">
        <f t="shared" si="14"/>
        <v>0</v>
      </c>
      <c r="CU12" s="330">
        <f t="shared" si="2"/>
        <v>0</v>
      </c>
      <c r="CV12" s="330">
        <f t="shared" si="2"/>
        <v>0</v>
      </c>
      <c r="CW12" s="330">
        <f t="shared" si="2"/>
        <v>0</v>
      </c>
      <c r="CX12" s="330">
        <f t="shared" si="2"/>
        <v>0</v>
      </c>
      <c r="CY12" s="330">
        <f t="shared" si="2"/>
        <v>0</v>
      </c>
      <c r="CZ12" s="330">
        <f t="shared" si="2"/>
        <v>0</v>
      </c>
      <c r="DA12" s="330">
        <f t="shared" si="2"/>
        <v>0</v>
      </c>
      <c r="DB12" s="330">
        <f t="shared" si="2"/>
        <v>0</v>
      </c>
      <c r="DC12" s="330">
        <f t="shared" si="2"/>
        <v>0</v>
      </c>
      <c r="DD12" s="330">
        <f t="shared" si="2"/>
        <v>0</v>
      </c>
      <c r="DE12" s="330">
        <f t="shared" si="3"/>
        <v>0</v>
      </c>
      <c r="DF12" s="330">
        <f t="shared" si="3"/>
        <v>0</v>
      </c>
      <c r="DG12" s="330">
        <f t="shared" si="3"/>
        <v>0</v>
      </c>
      <c r="DH12" s="330">
        <f t="shared" si="3"/>
        <v>0</v>
      </c>
      <c r="DI12" s="330">
        <f t="shared" si="3"/>
        <v>0</v>
      </c>
      <c r="DJ12" s="330">
        <f t="shared" si="3"/>
        <v>0</v>
      </c>
      <c r="DK12" s="330">
        <f t="shared" si="3"/>
        <v>0</v>
      </c>
      <c r="DL12" s="330">
        <f t="shared" si="3"/>
        <v>0</v>
      </c>
      <c r="DM12" s="330">
        <f t="shared" si="3"/>
        <v>0</v>
      </c>
      <c r="DN12" s="330">
        <f t="shared" si="3"/>
        <v>0</v>
      </c>
      <c r="DO12" s="330">
        <f t="shared" si="3"/>
        <v>0</v>
      </c>
      <c r="DP12" s="330">
        <f t="shared" si="15"/>
        <v>0</v>
      </c>
      <c r="DQ12" s="217"/>
      <c r="DR12" s="217"/>
      <c r="DS12" s="217"/>
      <c r="DT12" s="217"/>
    </row>
    <row r="13" spans="1:124" x14ac:dyDescent="0.3">
      <c r="A13" s="324"/>
      <c r="B13" s="221" t="s">
        <v>481</v>
      </c>
      <c r="C13" s="221" t="str">
        <f>IF('Default - Material Balance'!C23=0,"",'Default - Material Balance'!C23)</f>
        <v/>
      </c>
      <c r="D13" s="221" t="str">
        <f>IF('Default - Material Balance'!D23=0,"",'Default - Material Balance'!D23)</f>
        <v/>
      </c>
      <c r="E13" s="221" t="str">
        <f>IF('Default - Material Balance'!E23=0,"",'Default - Material Balance'!E23)</f>
        <v/>
      </c>
      <c r="F13" s="221" t="str">
        <f>IF('Default - Material Balance'!F23=0,"",'Default - Material Balance'!F23)</f>
        <v/>
      </c>
      <c r="G13" s="222"/>
      <c r="H13" s="222"/>
      <c r="I13" s="222"/>
      <c r="J13" s="325">
        <f>IF('Default - Material Balance'!M23=0,0,'Default - Material Balance'!M23)</f>
        <v>0</v>
      </c>
      <c r="K13" s="465"/>
      <c r="L13" s="326"/>
      <c r="M13" s="326"/>
      <c r="N13" s="326"/>
      <c r="O13" s="326"/>
      <c r="P13" s="326"/>
      <c r="Q13" s="326"/>
      <c r="R13" s="326"/>
      <c r="S13" s="326"/>
      <c r="T13" s="326"/>
      <c r="U13" s="326"/>
      <c r="V13" s="326"/>
      <c r="W13" s="326"/>
      <c r="X13" s="326"/>
      <c r="Y13" s="326"/>
      <c r="Z13" s="327"/>
      <c r="AA13" s="328"/>
      <c r="AB13" s="328"/>
      <c r="AC13" s="328"/>
      <c r="AD13" s="328"/>
      <c r="AE13" s="328"/>
      <c r="AF13" s="328"/>
      <c r="AG13" s="328"/>
      <c r="AH13" s="328"/>
      <c r="AI13" s="328"/>
      <c r="AJ13" s="328"/>
      <c r="AK13" s="328"/>
      <c r="AL13" s="328"/>
      <c r="AM13" s="328"/>
      <c r="AN13" s="328"/>
      <c r="AO13" s="329"/>
      <c r="AP13" s="326"/>
      <c r="AQ13" s="326"/>
      <c r="AR13" s="326"/>
      <c r="AS13" s="326"/>
      <c r="AT13" s="326"/>
      <c r="AU13" s="326"/>
      <c r="AV13" s="326"/>
      <c r="AW13" s="326"/>
      <c r="AX13" s="326"/>
      <c r="AY13" s="326"/>
      <c r="AZ13" s="326"/>
      <c r="BA13" s="326"/>
      <c r="BB13" s="326"/>
      <c r="BC13" s="326"/>
      <c r="BD13" s="326"/>
      <c r="BE13" s="330">
        <f>IF($F13="",0,$J13*VLOOKUP($F13,Lists!$C$72:$R$152,COLUMNS(Lists!$C$69:E$69),0))*VLOOKUP(BE$3,Conversions!$B$12:$E$34,4,0)</f>
        <v>0</v>
      </c>
      <c r="BF13" s="330">
        <f>IF($F13="",0,$J13*VLOOKUP($F13,Lists!$C$72:$R$152,COLUMNS(Lists!$C$69:F$69),0))*VLOOKUP(BF$3,Conversions!$B$12:$E$34,4,0)</f>
        <v>0</v>
      </c>
      <c r="BG13" s="330">
        <f>IF($F13="",0,$J13*VLOOKUP($F13,Lists!$C$72:$R$152,COLUMNS(Lists!$C$69:G$69),0))*VLOOKUP(BG$3,Conversions!$B$12:$E$34,4,0)</f>
        <v>0</v>
      </c>
      <c r="BH13" s="330">
        <f>IF($F13="",0,$J13*VLOOKUP($F13,Lists!$C$72:$R$152,COLUMNS(Lists!$C$69:H$69),0))*VLOOKUP(BH$3,Conversions!$B$12:$E$34,4,0)</f>
        <v>0</v>
      </c>
      <c r="BI13" s="330">
        <f>IF($F13="",0,$J13*VLOOKUP($F13,Lists!$C$72:$R$152,COLUMNS(Lists!$C$69:I$69),0))*VLOOKUP(BI$3,Conversions!$B$12:$E$34,4,0)</f>
        <v>0</v>
      </c>
      <c r="BJ13" s="330">
        <f>IF($F13="",0,$J13*VLOOKUP($F13,Lists!$C$72:$R$152,COLUMNS(Lists!$C$69:J$69),0))*VLOOKUP(BJ$3,Conversions!$B$12:$E$34,4,0)</f>
        <v>0</v>
      </c>
      <c r="BK13" s="330">
        <f>IF($F13="",0,$J13*VLOOKUP($F13,Lists!$C$72:$R$152,COLUMNS(Lists!$C$69:K$69),0))*VLOOKUP(BK$3,Conversions!$B$12:$E$34,4,0)</f>
        <v>0</v>
      </c>
      <c r="BL13" s="330">
        <f>IF($F13="",0,$J13*VLOOKUP($F13,Lists!$C$72:$R$152,COLUMNS(Lists!$C$69:L$69),0))*VLOOKUP(BL$3,Conversions!$B$12:$E$34,4,0)</f>
        <v>0</v>
      </c>
      <c r="BM13" s="330">
        <f>IF($F13="",0,$J13*VLOOKUP($F13,Lists!$C$72:$R$152,COLUMNS(Lists!$C$69:M$69),0))*VLOOKUP(BM$3,Conversions!$B$12:$E$34,4,0)</f>
        <v>0</v>
      </c>
      <c r="BN13" s="330">
        <f>IF($F13="",0,$J13*VLOOKUP($F13,Lists!$C$72:$R$152,COLUMNS(Lists!$C$69:N$69),0))*VLOOKUP(BN$3,Conversions!$B$12:$E$34,4,0)</f>
        <v>0</v>
      </c>
      <c r="BO13" s="330">
        <f>IF($F13="",0,$J13*VLOOKUP($F13,Lists!$C$72:$R$152,COLUMNS(Lists!$C$69:O$69),0))*VLOOKUP(BO$3,Conversions!$B$12:$E$34,4,0)</f>
        <v>0</v>
      </c>
      <c r="BP13" s="330">
        <f>IF($F13="",0,$J13*VLOOKUP($F13,Lists!$C$72:$R$152,COLUMNS(Lists!$C$69:P$69),0))*VLOOKUP(BP$3,Conversions!$B$12:$E$34,4,0)</f>
        <v>0</v>
      </c>
      <c r="BQ13" s="330">
        <f>IF($F13="",0,$J13*VLOOKUP($F13,Lists!$C$72:$R$152,COLUMNS(Lists!$C$69:Q$69),0))*VLOOKUP(BQ$3,Conversions!$B$12:$E$34,4,0)</f>
        <v>0</v>
      </c>
      <c r="BR13" s="330">
        <f>IF($F13="",0,$J13*VLOOKUP($F13,Lists!$C$72:$R$152,COLUMNS(Lists!$C$69:R$69),0))*VLOOKUP(BR$3,Conversions!$B$12:$E$34,4,0)</f>
        <v>0</v>
      </c>
      <c r="BS13" s="330">
        <f t="shared" si="4"/>
        <v>0</v>
      </c>
      <c r="BT13" s="329">
        <f t="shared" si="0"/>
        <v>0</v>
      </c>
      <c r="BU13" s="329">
        <f t="shared" si="0"/>
        <v>0</v>
      </c>
      <c r="BV13" s="329">
        <f t="shared" si="0"/>
        <v>0</v>
      </c>
      <c r="BW13" s="329">
        <f t="shared" si="0"/>
        <v>0</v>
      </c>
      <c r="BX13" s="329">
        <f t="shared" si="0"/>
        <v>0</v>
      </c>
      <c r="BY13" s="329">
        <f t="shared" si="0"/>
        <v>0</v>
      </c>
      <c r="BZ13" s="329">
        <f t="shared" si="0"/>
        <v>0</v>
      </c>
      <c r="CA13" s="329">
        <f t="shared" si="0"/>
        <v>0</v>
      </c>
      <c r="CB13" s="329">
        <f t="shared" si="0"/>
        <v>0</v>
      </c>
      <c r="CC13" s="329">
        <f t="shared" si="0"/>
        <v>0</v>
      </c>
      <c r="CD13" s="329">
        <f t="shared" si="0"/>
        <v>0</v>
      </c>
      <c r="CE13" s="329">
        <f t="shared" si="0"/>
        <v>0</v>
      </c>
      <c r="CF13" s="329">
        <f t="shared" si="0"/>
        <v>0</v>
      </c>
      <c r="CG13" s="329">
        <f t="shared" si="0"/>
        <v>0</v>
      </c>
      <c r="CH13" s="329">
        <f t="shared" si="0"/>
        <v>0</v>
      </c>
      <c r="CI13" s="329">
        <f t="shared" si="0"/>
        <v>0</v>
      </c>
      <c r="CJ13" s="331">
        <f t="shared" si="1"/>
        <v>0</v>
      </c>
      <c r="CK13" s="330">
        <f t="shared" si="5"/>
        <v>0</v>
      </c>
      <c r="CL13" s="330">
        <f t="shared" si="6"/>
        <v>0</v>
      </c>
      <c r="CM13" s="330">
        <f t="shared" si="7"/>
        <v>0</v>
      </c>
      <c r="CN13" s="330">
        <f t="shared" si="8"/>
        <v>0</v>
      </c>
      <c r="CO13" s="330">
        <f t="shared" si="9"/>
        <v>0</v>
      </c>
      <c r="CP13" s="330">
        <f t="shared" si="10"/>
        <v>0</v>
      </c>
      <c r="CQ13" s="330">
        <f t="shared" si="11"/>
        <v>0</v>
      </c>
      <c r="CR13" s="330">
        <f t="shared" si="12"/>
        <v>0</v>
      </c>
      <c r="CS13" s="330">
        <f t="shared" si="13"/>
        <v>0</v>
      </c>
      <c r="CT13" s="330">
        <f t="shared" si="14"/>
        <v>0</v>
      </c>
      <c r="CU13" s="330">
        <f t="shared" si="2"/>
        <v>0</v>
      </c>
      <c r="CV13" s="330">
        <f t="shared" si="2"/>
        <v>0</v>
      </c>
      <c r="CW13" s="330">
        <f t="shared" si="2"/>
        <v>0</v>
      </c>
      <c r="CX13" s="330">
        <f t="shared" si="2"/>
        <v>0</v>
      </c>
      <c r="CY13" s="330">
        <f t="shared" si="2"/>
        <v>0</v>
      </c>
      <c r="CZ13" s="330">
        <f t="shared" si="2"/>
        <v>0</v>
      </c>
      <c r="DA13" s="330">
        <f t="shared" si="2"/>
        <v>0</v>
      </c>
      <c r="DB13" s="330">
        <f t="shared" si="2"/>
        <v>0</v>
      </c>
      <c r="DC13" s="330">
        <f t="shared" si="2"/>
        <v>0</v>
      </c>
      <c r="DD13" s="330">
        <f t="shared" si="2"/>
        <v>0</v>
      </c>
      <c r="DE13" s="330">
        <f t="shared" si="3"/>
        <v>0</v>
      </c>
      <c r="DF13" s="330">
        <f t="shared" si="3"/>
        <v>0</v>
      </c>
      <c r="DG13" s="330">
        <f t="shared" si="3"/>
        <v>0</v>
      </c>
      <c r="DH13" s="330">
        <f t="shared" si="3"/>
        <v>0</v>
      </c>
      <c r="DI13" s="330">
        <f t="shared" si="3"/>
        <v>0</v>
      </c>
      <c r="DJ13" s="330">
        <f t="shared" si="3"/>
        <v>0</v>
      </c>
      <c r="DK13" s="330">
        <f t="shared" si="3"/>
        <v>0</v>
      </c>
      <c r="DL13" s="330">
        <f t="shared" si="3"/>
        <v>0</v>
      </c>
      <c r="DM13" s="330">
        <f t="shared" si="3"/>
        <v>0</v>
      </c>
      <c r="DN13" s="330">
        <f t="shared" si="3"/>
        <v>0</v>
      </c>
      <c r="DO13" s="330">
        <f t="shared" si="3"/>
        <v>0</v>
      </c>
      <c r="DP13" s="330">
        <f>BS13</f>
        <v>0</v>
      </c>
      <c r="DQ13" s="217"/>
      <c r="DR13" s="217"/>
      <c r="DS13" s="217"/>
      <c r="DT13" s="217"/>
    </row>
    <row r="14" spans="1:124" x14ac:dyDescent="0.3">
      <c r="A14" s="324"/>
      <c r="B14" s="221" t="s">
        <v>481</v>
      </c>
      <c r="C14" s="221" t="str">
        <f>IF('Default - Material Balance'!C24=0,"",'Default - Material Balance'!C24)</f>
        <v/>
      </c>
      <c r="D14" s="221" t="str">
        <f>IF('Default - Material Balance'!D24=0,"",'Default - Material Balance'!D24)</f>
        <v/>
      </c>
      <c r="E14" s="221" t="str">
        <f>IF('Default - Material Balance'!E24=0,"",'Default - Material Balance'!E24)</f>
        <v/>
      </c>
      <c r="F14" s="221" t="str">
        <f>IF('Default - Material Balance'!F24=0,"",'Default - Material Balance'!F24)</f>
        <v/>
      </c>
      <c r="G14" s="222"/>
      <c r="H14" s="222"/>
      <c r="I14" s="222"/>
      <c r="J14" s="325">
        <f>IF('Default - Material Balance'!M24=0,0,'Default - Material Balance'!M24)</f>
        <v>0</v>
      </c>
      <c r="K14" s="465"/>
      <c r="L14" s="326"/>
      <c r="M14" s="326"/>
      <c r="N14" s="326"/>
      <c r="O14" s="326"/>
      <c r="P14" s="326"/>
      <c r="Q14" s="326"/>
      <c r="R14" s="326"/>
      <c r="S14" s="326"/>
      <c r="T14" s="326"/>
      <c r="U14" s="326"/>
      <c r="V14" s="326"/>
      <c r="W14" s="326"/>
      <c r="X14" s="326"/>
      <c r="Y14" s="326"/>
      <c r="Z14" s="327"/>
      <c r="AA14" s="328"/>
      <c r="AB14" s="328"/>
      <c r="AC14" s="328"/>
      <c r="AD14" s="328"/>
      <c r="AE14" s="328"/>
      <c r="AF14" s="328"/>
      <c r="AG14" s="328"/>
      <c r="AH14" s="328"/>
      <c r="AI14" s="328"/>
      <c r="AJ14" s="328"/>
      <c r="AK14" s="328"/>
      <c r="AL14" s="328"/>
      <c r="AM14" s="328"/>
      <c r="AN14" s="328"/>
      <c r="AO14" s="329"/>
      <c r="AP14" s="326"/>
      <c r="AQ14" s="326"/>
      <c r="AR14" s="326"/>
      <c r="AS14" s="326"/>
      <c r="AT14" s="326"/>
      <c r="AU14" s="326"/>
      <c r="AV14" s="326"/>
      <c r="AW14" s="326"/>
      <c r="AX14" s="326"/>
      <c r="AY14" s="326"/>
      <c r="AZ14" s="326"/>
      <c r="BA14" s="326"/>
      <c r="BB14" s="326"/>
      <c r="BC14" s="326"/>
      <c r="BD14" s="326"/>
      <c r="BE14" s="330">
        <f>IF($F14="",0,$J14*VLOOKUP($F14,Lists!$C$72:$R$152,COLUMNS(Lists!$C$69:E$69),0))*VLOOKUP(BE$3,Conversions!$B$12:$E$34,4,0)</f>
        <v>0</v>
      </c>
      <c r="BF14" s="330">
        <f>IF($F14="",0,$J14*VLOOKUP($F14,Lists!$C$72:$R$152,COLUMNS(Lists!$C$69:F$69),0))*VLOOKUP(BF$3,Conversions!$B$12:$E$34,4,0)</f>
        <v>0</v>
      </c>
      <c r="BG14" s="330">
        <f>IF($F14="",0,$J14*VLOOKUP($F14,Lists!$C$72:$R$152,COLUMNS(Lists!$C$69:G$69),0))*VLOOKUP(BG$3,Conversions!$B$12:$E$34,4,0)</f>
        <v>0</v>
      </c>
      <c r="BH14" s="330">
        <f>IF($F14="",0,$J14*VLOOKUP($F14,Lists!$C$72:$R$152,COLUMNS(Lists!$C$69:H$69),0))*VLOOKUP(BH$3,Conversions!$B$12:$E$34,4,0)</f>
        <v>0</v>
      </c>
      <c r="BI14" s="330">
        <f>IF($F14="",0,$J14*VLOOKUP($F14,Lists!$C$72:$R$152,COLUMNS(Lists!$C$69:I$69),0))*VLOOKUP(BI$3,Conversions!$B$12:$E$34,4,0)</f>
        <v>0</v>
      </c>
      <c r="BJ14" s="330">
        <f>IF($F14="",0,$J14*VLOOKUP($F14,Lists!$C$72:$R$152,COLUMNS(Lists!$C$69:J$69),0))*VLOOKUP(BJ$3,Conversions!$B$12:$E$34,4,0)</f>
        <v>0</v>
      </c>
      <c r="BK14" s="330">
        <f>IF($F14="",0,$J14*VLOOKUP($F14,Lists!$C$72:$R$152,COLUMNS(Lists!$C$69:K$69),0))*VLOOKUP(BK$3,Conversions!$B$12:$E$34,4,0)</f>
        <v>0</v>
      </c>
      <c r="BL14" s="330">
        <f>IF($F14="",0,$J14*VLOOKUP($F14,Lists!$C$72:$R$152,COLUMNS(Lists!$C$69:L$69),0))*VLOOKUP(BL$3,Conversions!$B$12:$E$34,4,0)</f>
        <v>0</v>
      </c>
      <c r="BM14" s="330">
        <f>IF($F14="",0,$J14*VLOOKUP($F14,Lists!$C$72:$R$152,COLUMNS(Lists!$C$69:M$69),0))*VLOOKUP(BM$3,Conversions!$B$12:$E$34,4,0)</f>
        <v>0</v>
      </c>
      <c r="BN14" s="330">
        <f>IF($F14="",0,$J14*VLOOKUP($F14,Lists!$C$72:$R$152,COLUMNS(Lists!$C$69:N$69),0))*VLOOKUP(BN$3,Conversions!$B$12:$E$34,4,0)</f>
        <v>0</v>
      </c>
      <c r="BO14" s="330">
        <f>IF($F14="",0,$J14*VLOOKUP($F14,Lists!$C$72:$R$152,COLUMNS(Lists!$C$69:O$69),0))*VLOOKUP(BO$3,Conversions!$B$12:$E$34,4,0)</f>
        <v>0</v>
      </c>
      <c r="BP14" s="330">
        <f>IF($F14="",0,$J14*VLOOKUP($F14,Lists!$C$72:$R$152,COLUMNS(Lists!$C$69:P$69),0))*VLOOKUP(BP$3,Conversions!$B$12:$E$34,4,0)</f>
        <v>0</v>
      </c>
      <c r="BQ14" s="330">
        <f>IF($F14="",0,$J14*VLOOKUP($F14,Lists!$C$72:$R$152,COLUMNS(Lists!$C$69:Q$69),0))*VLOOKUP(BQ$3,Conversions!$B$12:$E$34,4,0)</f>
        <v>0</v>
      </c>
      <c r="BR14" s="330">
        <f>IF($F14="",0,$J14*VLOOKUP($F14,Lists!$C$72:$R$152,COLUMNS(Lists!$C$69:R$69),0))*VLOOKUP(BR$3,Conversions!$B$12:$E$34,4,0)</f>
        <v>0</v>
      </c>
      <c r="BS14" s="330">
        <f t="shared" ref="BS14:BS33" si="16">SUM(BE14:BR14)</f>
        <v>0</v>
      </c>
      <c r="BT14" s="329">
        <f t="shared" ref="BT14:CI23" si="17">IF($E14="",0,IF($E14=BT$3,$BS14,0))</f>
        <v>0</v>
      </c>
      <c r="BU14" s="329">
        <f t="shared" si="17"/>
        <v>0</v>
      </c>
      <c r="BV14" s="329">
        <f t="shared" si="17"/>
        <v>0</v>
      </c>
      <c r="BW14" s="329">
        <f t="shared" si="17"/>
        <v>0</v>
      </c>
      <c r="BX14" s="329">
        <f t="shared" si="17"/>
        <v>0</v>
      </c>
      <c r="BY14" s="329">
        <f t="shared" si="17"/>
        <v>0</v>
      </c>
      <c r="BZ14" s="329">
        <f t="shared" si="17"/>
        <v>0</v>
      </c>
      <c r="CA14" s="329">
        <f t="shared" si="17"/>
        <v>0</v>
      </c>
      <c r="CB14" s="329">
        <f t="shared" si="17"/>
        <v>0</v>
      </c>
      <c r="CC14" s="329">
        <f t="shared" si="17"/>
        <v>0</v>
      </c>
      <c r="CD14" s="329">
        <f t="shared" si="17"/>
        <v>0</v>
      </c>
      <c r="CE14" s="329">
        <f t="shared" si="17"/>
        <v>0</v>
      </c>
      <c r="CF14" s="329">
        <f t="shared" si="17"/>
        <v>0</v>
      </c>
      <c r="CG14" s="329">
        <f t="shared" si="17"/>
        <v>0</v>
      </c>
      <c r="CH14" s="329">
        <f t="shared" si="17"/>
        <v>0</v>
      </c>
      <c r="CI14" s="329">
        <f t="shared" si="17"/>
        <v>0</v>
      </c>
      <c r="CJ14" s="331">
        <f t="shared" ref="CJ14:CJ33" si="18">SUM(BT14:CI14)</f>
        <v>0</v>
      </c>
      <c r="CK14" s="330">
        <f t="shared" ref="CK14:CK33" si="19">BT14</f>
        <v>0</v>
      </c>
      <c r="CL14" s="330">
        <f t="shared" ref="CL14:CL33" si="20">BU14+BV14+BW14</f>
        <v>0</v>
      </c>
      <c r="CM14" s="330">
        <f t="shared" ref="CM14:CM33" si="21">BX14</f>
        <v>0</v>
      </c>
      <c r="CN14" s="330">
        <f t="shared" ref="CN14:CN33" si="22">BY14+BZ14</f>
        <v>0</v>
      </c>
      <c r="CO14" s="330">
        <f t="shared" ref="CO14:CO33" si="23">CA14</f>
        <v>0</v>
      </c>
      <c r="CP14" s="330">
        <f t="shared" ref="CP14:CP33" si="24">CB14</f>
        <v>0</v>
      </c>
      <c r="CQ14" s="330">
        <f t="shared" si="11"/>
        <v>0</v>
      </c>
      <c r="CR14" s="330">
        <f t="shared" ref="CR14:CR33" si="25">CE14+CF14</f>
        <v>0</v>
      </c>
      <c r="CS14" s="330">
        <f t="shared" ref="CS14:CS33" si="26">CG14+CH14+CI14</f>
        <v>0</v>
      </c>
      <c r="CT14" s="330">
        <f t="shared" ref="CT14:CT33" si="27">SUM(CK14:CS14)</f>
        <v>0</v>
      </c>
      <c r="CU14" s="330">
        <f t="shared" ref="CU14:DD23" si="28">IF($C14=CU$3,$BS14,0)</f>
        <v>0</v>
      </c>
      <c r="CV14" s="330">
        <f t="shared" si="28"/>
        <v>0</v>
      </c>
      <c r="CW14" s="330">
        <f t="shared" si="28"/>
        <v>0</v>
      </c>
      <c r="CX14" s="330">
        <f t="shared" si="28"/>
        <v>0</v>
      </c>
      <c r="CY14" s="330">
        <f t="shared" si="28"/>
        <v>0</v>
      </c>
      <c r="CZ14" s="330">
        <f t="shared" si="28"/>
        <v>0</v>
      </c>
      <c r="DA14" s="330">
        <f t="shared" si="28"/>
        <v>0</v>
      </c>
      <c r="DB14" s="330">
        <f t="shared" si="28"/>
        <v>0</v>
      </c>
      <c r="DC14" s="330">
        <f t="shared" si="28"/>
        <v>0</v>
      </c>
      <c r="DD14" s="330">
        <f t="shared" si="28"/>
        <v>0</v>
      </c>
      <c r="DE14" s="330">
        <f t="shared" ref="DE14:DO23" si="29">IF($C14=DE$3,$BS14,0)</f>
        <v>0</v>
      </c>
      <c r="DF14" s="330">
        <f t="shared" si="29"/>
        <v>0</v>
      </c>
      <c r="DG14" s="330">
        <f t="shared" si="29"/>
        <v>0</v>
      </c>
      <c r="DH14" s="330">
        <f t="shared" si="29"/>
        <v>0</v>
      </c>
      <c r="DI14" s="330">
        <f t="shared" si="29"/>
        <v>0</v>
      </c>
      <c r="DJ14" s="330">
        <f t="shared" si="29"/>
        <v>0</v>
      </c>
      <c r="DK14" s="330">
        <f t="shared" si="29"/>
        <v>0</v>
      </c>
      <c r="DL14" s="330">
        <f t="shared" si="29"/>
        <v>0</v>
      </c>
      <c r="DM14" s="330">
        <f t="shared" si="29"/>
        <v>0</v>
      </c>
      <c r="DN14" s="330">
        <f t="shared" si="29"/>
        <v>0</v>
      </c>
      <c r="DO14" s="330">
        <f t="shared" si="29"/>
        <v>0</v>
      </c>
      <c r="DP14" s="330">
        <f t="shared" ref="DP14:DP33" si="30">BS14</f>
        <v>0</v>
      </c>
      <c r="DQ14" s="217"/>
      <c r="DR14" s="217"/>
      <c r="DS14" s="217"/>
      <c r="DT14" s="217"/>
    </row>
    <row r="15" spans="1:124" x14ac:dyDescent="0.3">
      <c r="A15" s="324"/>
      <c r="B15" s="221" t="s">
        <v>481</v>
      </c>
      <c r="C15" s="221" t="str">
        <f>IF('Default - Material Balance'!C25=0,"",'Default - Material Balance'!C25)</f>
        <v/>
      </c>
      <c r="D15" s="221" t="str">
        <f>IF('Default - Material Balance'!D25=0,"",'Default - Material Balance'!D25)</f>
        <v/>
      </c>
      <c r="E15" s="221" t="str">
        <f>IF('Default - Material Balance'!E25=0,"",'Default - Material Balance'!E25)</f>
        <v/>
      </c>
      <c r="F15" s="221" t="str">
        <f>IF('Default - Material Balance'!F25=0,"",'Default - Material Balance'!F25)</f>
        <v/>
      </c>
      <c r="G15" s="222"/>
      <c r="H15" s="222"/>
      <c r="I15" s="222"/>
      <c r="J15" s="325">
        <f>IF('Default - Material Balance'!M25=0,0,'Default - Material Balance'!M25)</f>
        <v>0</v>
      </c>
      <c r="K15" s="465"/>
      <c r="L15" s="326"/>
      <c r="M15" s="326"/>
      <c r="N15" s="326"/>
      <c r="O15" s="326"/>
      <c r="P15" s="326"/>
      <c r="Q15" s="326"/>
      <c r="R15" s="326"/>
      <c r="S15" s="326"/>
      <c r="T15" s="326"/>
      <c r="U15" s="326"/>
      <c r="V15" s="326"/>
      <c r="W15" s="326"/>
      <c r="X15" s="326"/>
      <c r="Y15" s="326"/>
      <c r="Z15" s="327"/>
      <c r="AA15" s="328"/>
      <c r="AB15" s="328"/>
      <c r="AC15" s="328"/>
      <c r="AD15" s="328"/>
      <c r="AE15" s="328"/>
      <c r="AF15" s="328"/>
      <c r="AG15" s="328"/>
      <c r="AH15" s="328"/>
      <c r="AI15" s="328"/>
      <c r="AJ15" s="328"/>
      <c r="AK15" s="328"/>
      <c r="AL15" s="328"/>
      <c r="AM15" s="328"/>
      <c r="AN15" s="328"/>
      <c r="AO15" s="329"/>
      <c r="AP15" s="326"/>
      <c r="AQ15" s="326"/>
      <c r="AR15" s="326"/>
      <c r="AS15" s="326"/>
      <c r="AT15" s="326"/>
      <c r="AU15" s="326"/>
      <c r="AV15" s="326"/>
      <c r="AW15" s="326"/>
      <c r="AX15" s="326"/>
      <c r="AY15" s="326"/>
      <c r="AZ15" s="326"/>
      <c r="BA15" s="326"/>
      <c r="BB15" s="326"/>
      <c r="BC15" s="326"/>
      <c r="BD15" s="326"/>
      <c r="BE15" s="330">
        <f>IF($F15="",0,$J15*VLOOKUP($F15,Lists!$C$72:$R$152,COLUMNS(Lists!$C$69:E$69),0))*VLOOKUP(BE$3,Conversions!$B$12:$E$34,4,0)</f>
        <v>0</v>
      </c>
      <c r="BF15" s="330">
        <f>IF($F15="",0,$J15*VLOOKUP($F15,Lists!$C$72:$R$152,COLUMNS(Lists!$C$69:F$69),0))*VLOOKUP(BF$3,Conversions!$B$12:$E$34,4,0)</f>
        <v>0</v>
      </c>
      <c r="BG15" s="330">
        <f>IF($F15="",0,$J15*VLOOKUP($F15,Lists!$C$72:$R$152,COLUMNS(Lists!$C$69:G$69),0))*VLOOKUP(BG$3,Conversions!$B$12:$E$34,4,0)</f>
        <v>0</v>
      </c>
      <c r="BH15" s="330">
        <f>IF($F15="",0,$J15*VLOOKUP($F15,Lists!$C$72:$R$152,COLUMNS(Lists!$C$69:H$69),0))*VLOOKUP(BH$3,Conversions!$B$12:$E$34,4,0)</f>
        <v>0</v>
      </c>
      <c r="BI15" s="330">
        <f>IF($F15="",0,$J15*VLOOKUP($F15,Lists!$C$72:$R$152,COLUMNS(Lists!$C$69:I$69),0))*VLOOKUP(BI$3,Conversions!$B$12:$E$34,4,0)</f>
        <v>0</v>
      </c>
      <c r="BJ15" s="330">
        <f>IF($F15="",0,$J15*VLOOKUP($F15,Lists!$C$72:$R$152,COLUMNS(Lists!$C$69:J$69),0))*VLOOKUP(BJ$3,Conversions!$B$12:$E$34,4,0)</f>
        <v>0</v>
      </c>
      <c r="BK15" s="330">
        <f>IF($F15="",0,$J15*VLOOKUP($F15,Lists!$C$72:$R$152,COLUMNS(Lists!$C$69:K$69),0))*VLOOKUP(BK$3,Conversions!$B$12:$E$34,4,0)</f>
        <v>0</v>
      </c>
      <c r="BL15" s="330">
        <f>IF($F15="",0,$J15*VLOOKUP($F15,Lists!$C$72:$R$152,COLUMNS(Lists!$C$69:L$69),0))*VLOOKUP(BL$3,Conversions!$B$12:$E$34,4,0)</f>
        <v>0</v>
      </c>
      <c r="BM15" s="330">
        <f>IF($F15="",0,$J15*VLOOKUP($F15,Lists!$C$72:$R$152,COLUMNS(Lists!$C$69:M$69),0))*VLOOKUP(BM$3,Conversions!$B$12:$E$34,4,0)</f>
        <v>0</v>
      </c>
      <c r="BN15" s="330">
        <f>IF($F15="",0,$J15*VLOOKUP($F15,Lists!$C$72:$R$152,COLUMNS(Lists!$C$69:N$69),0))*VLOOKUP(BN$3,Conversions!$B$12:$E$34,4,0)</f>
        <v>0</v>
      </c>
      <c r="BO15" s="330">
        <f>IF($F15="",0,$J15*VLOOKUP($F15,Lists!$C$72:$R$152,COLUMNS(Lists!$C$69:O$69),0))*VLOOKUP(BO$3,Conversions!$B$12:$E$34,4,0)</f>
        <v>0</v>
      </c>
      <c r="BP15" s="330">
        <f>IF($F15="",0,$J15*VLOOKUP($F15,Lists!$C$72:$R$152,COLUMNS(Lists!$C$69:P$69),0))*VLOOKUP(BP$3,Conversions!$B$12:$E$34,4,0)</f>
        <v>0</v>
      </c>
      <c r="BQ15" s="330">
        <f>IF($F15="",0,$J15*VLOOKUP($F15,Lists!$C$72:$R$152,COLUMNS(Lists!$C$69:Q$69),0))*VLOOKUP(BQ$3,Conversions!$B$12:$E$34,4,0)</f>
        <v>0</v>
      </c>
      <c r="BR15" s="330">
        <f>IF($F15="",0,$J15*VLOOKUP($F15,Lists!$C$72:$R$152,COLUMNS(Lists!$C$69:R$69),0))*VLOOKUP(BR$3,Conversions!$B$12:$E$34,4,0)</f>
        <v>0</v>
      </c>
      <c r="BS15" s="330">
        <f t="shared" si="16"/>
        <v>0</v>
      </c>
      <c r="BT15" s="329">
        <f t="shared" si="17"/>
        <v>0</v>
      </c>
      <c r="BU15" s="329">
        <f t="shared" si="17"/>
        <v>0</v>
      </c>
      <c r="BV15" s="329">
        <f t="shared" si="17"/>
        <v>0</v>
      </c>
      <c r="BW15" s="329">
        <f t="shared" si="17"/>
        <v>0</v>
      </c>
      <c r="BX15" s="329">
        <f t="shared" si="17"/>
        <v>0</v>
      </c>
      <c r="BY15" s="329">
        <f t="shared" si="17"/>
        <v>0</v>
      </c>
      <c r="BZ15" s="329">
        <f t="shared" si="17"/>
        <v>0</v>
      </c>
      <c r="CA15" s="329">
        <f t="shared" si="17"/>
        <v>0</v>
      </c>
      <c r="CB15" s="329">
        <f t="shared" si="17"/>
        <v>0</v>
      </c>
      <c r="CC15" s="329">
        <f t="shared" si="17"/>
        <v>0</v>
      </c>
      <c r="CD15" s="329">
        <f t="shared" si="17"/>
        <v>0</v>
      </c>
      <c r="CE15" s="329">
        <f t="shared" si="17"/>
        <v>0</v>
      </c>
      <c r="CF15" s="329">
        <f t="shared" si="17"/>
        <v>0</v>
      </c>
      <c r="CG15" s="329">
        <f t="shared" si="17"/>
        <v>0</v>
      </c>
      <c r="CH15" s="329">
        <f t="shared" si="17"/>
        <v>0</v>
      </c>
      <c r="CI15" s="329">
        <f t="shared" si="17"/>
        <v>0</v>
      </c>
      <c r="CJ15" s="331">
        <f t="shared" si="18"/>
        <v>0</v>
      </c>
      <c r="CK15" s="330">
        <f t="shared" si="19"/>
        <v>0</v>
      </c>
      <c r="CL15" s="330">
        <f t="shared" si="20"/>
        <v>0</v>
      </c>
      <c r="CM15" s="330">
        <f t="shared" si="21"/>
        <v>0</v>
      </c>
      <c r="CN15" s="330">
        <f t="shared" si="22"/>
        <v>0</v>
      </c>
      <c r="CO15" s="330">
        <f t="shared" si="23"/>
        <v>0</v>
      </c>
      <c r="CP15" s="330">
        <f t="shared" si="24"/>
        <v>0</v>
      </c>
      <c r="CQ15" s="330">
        <f t="shared" si="11"/>
        <v>0</v>
      </c>
      <c r="CR15" s="330">
        <f t="shared" si="25"/>
        <v>0</v>
      </c>
      <c r="CS15" s="330">
        <f t="shared" si="26"/>
        <v>0</v>
      </c>
      <c r="CT15" s="330">
        <f t="shared" si="27"/>
        <v>0</v>
      </c>
      <c r="CU15" s="330">
        <f t="shared" si="28"/>
        <v>0</v>
      </c>
      <c r="CV15" s="330">
        <f t="shared" si="28"/>
        <v>0</v>
      </c>
      <c r="CW15" s="330">
        <f t="shared" si="28"/>
        <v>0</v>
      </c>
      <c r="CX15" s="330">
        <f t="shared" si="28"/>
        <v>0</v>
      </c>
      <c r="CY15" s="330">
        <f t="shared" si="28"/>
        <v>0</v>
      </c>
      <c r="CZ15" s="330">
        <f t="shared" si="28"/>
        <v>0</v>
      </c>
      <c r="DA15" s="330">
        <f t="shared" si="28"/>
        <v>0</v>
      </c>
      <c r="DB15" s="330">
        <f t="shared" si="28"/>
        <v>0</v>
      </c>
      <c r="DC15" s="330">
        <f t="shared" si="28"/>
        <v>0</v>
      </c>
      <c r="DD15" s="330">
        <f t="shared" si="28"/>
        <v>0</v>
      </c>
      <c r="DE15" s="330">
        <f t="shared" si="29"/>
        <v>0</v>
      </c>
      <c r="DF15" s="330">
        <f t="shared" si="29"/>
        <v>0</v>
      </c>
      <c r="DG15" s="330">
        <f t="shared" si="29"/>
        <v>0</v>
      </c>
      <c r="DH15" s="330">
        <f t="shared" si="29"/>
        <v>0</v>
      </c>
      <c r="DI15" s="330">
        <f t="shared" si="29"/>
        <v>0</v>
      </c>
      <c r="DJ15" s="330">
        <f t="shared" si="29"/>
        <v>0</v>
      </c>
      <c r="DK15" s="330">
        <f t="shared" si="29"/>
        <v>0</v>
      </c>
      <c r="DL15" s="330">
        <f t="shared" si="29"/>
        <v>0</v>
      </c>
      <c r="DM15" s="330">
        <f t="shared" si="29"/>
        <v>0</v>
      </c>
      <c r="DN15" s="330">
        <f t="shared" si="29"/>
        <v>0</v>
      </c>
      <c r="DO15" s="330">
        <f t="shared" si="29"/>
        <v>0</v>
      </c>
      <c r="DP15" s="330">
        <f t="shared" si="30"/>
        <v>0</v>
      </c>
      <c r="DQ15" s="217"/>
      <c r="DR15" s="217"/>
      <c r="DS15" s="217"/>
      <c r="DT15" s="217"/>
    </row>
    <row r="16" spans="1:124" x14ac:dyDescent="0.3">
      <c r="A16" s="324"/>
      <c r="B16" s="221" t="s">
        <v>481</v>
      </c>
      <c r="C16" s="221" t="str">
        <f>IF('Default - Material Balance'!C26=0,"",'Default - Material Balance'!C26)</f>
        <v/>
      </c>
      <c r="D16" s="221" t="str">
        <f>IF('Default - Material Balance'!D26=0,"",'Default - Material Balance'!D26)</f>
        <v/>
      </c>
      <c r="E16" s="221" t="str">
        <f>IF('Default - Material Balance'!E26=0,"",'Default - Material Balance'!E26)</f>
        <v/>
      </c>
      <c r="F16" s="221" t="str">
        <f>IF('Default - Material Balance'!F26=0,"",'Default - Material Balance'!F26)</f>
        <v/>
      </c>
      <c r="G16" s="222"/>
      <c r="H16" s="222"/>
      <c r="I16" s="222"/>
      <c r="J16" s="325">
        <f>IF('Default - Material Balance'!M26=0,0,'Default - Material Balance'!M26)</f>
        <v>0</v>
      </c>
      <c r="K16" s="465"/>
      <c r="L16" s="326"/>
      <c r="M16" s="326"/>
      <c r="N16" s="326"/>
      <c r="O16" s="326"/>
      <c r="P16" s="326"/>
      <c r="Q16" s="326"/>
      <c r="R16" s="326"/>
      <c r="S16" s="326"/>
      <c r="T16" s="326"/>
      <c r="U16" s="326"/>
      <c r="V16" s="326"/>
      <c r="W16" s="326"/>
      <c r="X16" s="326"/>
      <c r="Y16" s="326"/>
      <c r="Z16" s="327"/>
      <c r="AA16" s="328"/>
      <c r="AB16" s="328"/>
      <c r="AC16" s="328"/>
      <c r="AD16" s="328"/>
      <c r="AE16" s="328"/>
      <c r="AF16" s="328"/>
      <c r="AG16" s="328"/>
      <c r="AH16" s="328"/>
      <c r="AI16" s="328"/>
      <c r="AJ16" s="328"/>
      <c r="AK16" s="328"/>
      <c r="AL16" s="328"/>
      <c r="AM16" s="328"/>
      <c r="AN16" s="328"/>
      <c r="AO16" s="329"/>
      <c r="AP16" s="326"/>
      <c r="AQ16" s="326"/>
      <c r="AR16" s="326"/>
      <c r="AS16" s="326"/>
      <c r="AT16" s="326"/>
      <c r="AU16" s="326"/>
      <c r="AV16" s="326"/>
      <c r="AW16" s="326"/>
      <c r="AX16" s="326"/>
      <c r="AY16" s="326"/>
      <c r="AZ16" s="326"/>
      <c r="BA16" s="326"/>
      <c r="BB16" s="326"/>
      <c r="BC16" s="326"/>
      <c r="BD16" s="326"/>
      <c r="BE16" s="330">
        <f>IF($F16="",0,$J16*VLOOKUP($F16,Lists!$C$72:$R$152,COLUMNS(Lists!$C$69:E$69),0))*VLOOKUP(BE$3,Conversions!$B$12:$E$34,4,0)</f>
        <v>0</v>
      </c>
      <c r="BF16" s="330">
        <f>IF($F16="",0,$J16*VLOOKUP($F16,Lists!$C$72:$R$152,COLUMNS(Lists!$C$69:F$69),0))*VLOOKUP(BF$3,Conversions!$B$12:$E$34,4,0)</f>
        <v>0</v>
      </c>
      <c r="BG16" s="330">
        <f>IF($F16="",0,$J16*VLOOKUP($F16,Lists!$C$72:$R$152,COLUMNS(Lists!$C$69:G$69),0))*VLOOKUP(BG$3,Conversions!$B$12:$E$34,4,0)</f>
        <v>0</v>
      </c>
      <c r="BH16" s="330">
        <f>IF($F16="",0,$J16*VLOOKUP($F16,Lists!$C$72:$R$152,COLUMNS(Lists!$C$69:H$69),0))*VLOOKUP(BH$3,Conversions!$B$12:$E$34,4,0)</f>
        <v>0</v>
      </c>
      <c r="BI16" s="330">
        <f>IF($F16="",0,$J16*VLOOKUP($F16,Lists!$C$72:$R$152,COLUMNS(Lists!$C$69:I$69),0))*VLOOKUP(BI$3,Conversions!$B$12:$E$34,4,0)</f>
        <v>0</v>
      </c>
      <c r="BJ16" s="330">
        <f>IF($F16="",0,$J16*VLOOKUP($F16,Lists!$C$72:$R$152,COLUMNS(Lists!$C$69:J$69),0))*VLOOKUP(BJ$3,Conversions!$B$12:$E$34,4,0)</f>
        <v>0</v>
      </c>
      <c r="BK16" s="330">
        <f>IF($F16="",0,$J16*VLOOKUP($F16,Lists!$C$72:$R$152,COLUMNS(Lists!$C$69:K$69),0))*VLOOKUP(BK$3,Conversions!$B$12:$E$34,4,0)</f>
        <v>0</v>
      </c>
      <c r="BL16" s="330">
        <f>IF($F16="",0,$J16*VLOOKUP($F16,Lists!$C$72:$R$152,COLUMNS(Lists!$C$69:L$69),0))*VLOOKUP(BL$3,Conversions!$B$12:$E$34,4,0)</f>
        <v>0</v>
      </c>
      <c r="BM16" s="330">
        <f>IF($F16="",0,$J16*VLOOKUP($F16,Lists!$C$72:$R$152,COLUMNS(Lists!$C$69:M$69),0))*VLOOKUP(BM$3,Conversions!$B$12:$E$34,4,0)</f>
        <v>0</v>
      </c>
      <c r="BN16" s="330">
        <f>IF($F16="",0,$J16*VLOOKUP($F16,Lists!$C$72:$R$152,COLUMNS(Lists!$C$69:N$69),0))*VLOOKUP(BN$3,Conversions!$B$12:$E$34,4,0)</f>
        <v>0</v>
      </c>
      <c r="BO16" s="330">
        <f>IF($F16="",0,$J16*VLOOKUP($F16,Lists!$C$72:$R$152,COLUMNS(Lists!$C$69:O$69),0))*VLOOKUP(BO$3,Conversions!$B$12:$E$34,4,0)</f>
        <v>0</v>
      </c>
      <c r="BP16" s="330">
        <f>IF($F16="",0,$J16*VLOOKUP($F16,Lists!$C$72:$R$152,COLUMNS(Lists!$C$69:P$69),0))*VLOOKUP(BP$3,Conversions!$B$12:$E$34,4,0)</f>
        <v>0</v>
      </c>
      <c r="BQ16" s="330">
        <f>IF($F16="",0,$J16*VLOOKUP($F16,Lists!$C$72:$R$152,COLUMNS(Lists!$C$69:Q$69),0))*VLOOKUP(BQ$3,Conversions!$B$12:$E$34,4,0)</f>
        <v>0</v>
      </c>
      <c r="BR16" s="330">
        <f>IF($F16="",0,$J16*VLOOKUP($F16,Lists!$C$72:$R$152,COLUMNS(Lists!$C$69:R$69),0))*VLOOKUP(BR$3,Conversions!$B$12:$E$34,4,0)</f>
        <v>0</v>
      </c>
      <c r="BS16" s="330">
        <f t="shared" si="16"/>
        <v>0</v>
      </c>
      <c r="BT16" s="329">
        <f t="shared" si="17"/>
        <v>0</v>
      </c>
      <c r="BU16" s="329">
        <f t="shared" si="17"/>
        <v>0</v>
      </c>
      <c r="BV16" s="329">
        <f t="shared" si="17"/>
        <v>0</v>
      </c>
      <c r="BW16" s="329">
        <f t="shared" si="17"/>
        <v>0</v>
      </c>
      <c r="BX16" s="329">
        <f t="shared" si="17"/>
        <v>0</v>
      </c>
      <c r="BY16" s="329">
        <f t="shared" si="17"/>
        <v>0</v>
      </c>
      <c r="BZ16" s="329">
        <f t="shared" si="17"/>
        <v>0</v>
      </c>
      <c r="CA16" s="329">
        <f t="shared" si="17"/>
        <v>0</v>
      </c>
      <c r="CB16" s="329">
        <f t="shared" si="17"/>
        <v>0</v>
      </c>
      <c r="CC16" s="329">
        <f t="shared" si="17"/>
        <v>0</v>
      </c>
      <c r="CD16" s="329">
        <f t="shared" si="17"/>
        <v>0</v>
      </c>
      <c r="CE16" s="329">
        <f t="shared" si="17"/>
        <v>0</v>
      </c>
      <c r="CF16" s="329">
        <f t="shared" si="17"/>
        <v>0</v>
      </c>
      <c r="CG16" s="329">
        <f t="shared" si="17"/>
        <v>0</v>
      </c>
      <c r="CH16" s="329">
        <f t="shared" si="17"/>
        <v>0</v>
      </c>
      <c r="CI16" s="329">
        <f t="shared" si="17"/>
        <v>0</v>
      </c>
      <c r="CJ16" s="331">
        <f t="shared" si="18"/>
        <v>0</v>
      </c>
      <c r="CK16" s="330">
        <f t="shared" si="19"/>
        <v>0</v>
      </c>
      <c r="CL16" s="330">
        <f t="shared" si="20"/>
        <v>0</v>
      </c>
      <c r="CM16" s="330">
        <f t="shared" si="21"/>
        <v>0</v>
      </c>
      <c r="CN16" s="330">
        <f t="shared" si="22"/>
        <v>0</v>
      </c>
      <c r="CO16" s="330">
        <f t="shared" si="23"/>
        <v>0</v>
      </c>
      <c r="CP16" s="330">
        <f t="shared" si="24"/>
        <v>0</v>
      </c>
      <c r="CQ16" s="330">
        <f t="shared" si="11"/>
        <v>0</v>
      </c>
      <c r="CR16" s="330">
        <f t="shared" si="25"/>
        <v>0</v>
      </c>
      <c r="CS16" s="330">
        <f t="shared" si="26"/>
        <v>0</v>
      </c>
      <c r="CT16" s="330">
        <f t="shared" si="27"/>
        <v>0</v>
      </c>
      <c r="CU16" s="330">
        <f t="shared" si="28"/>
        <v>0</v>
      </c>
      <c r="CV16" s="330">
        <f t="shared" si="28"/>
        <v>0</v>
      </c>
      <c r="CW16" s="330">
        <f t="shared" si="28"/>
        <v>0</v>
      </c>
      <c r="CX16" s="330">
        <f t="shared" si="28"/>
        <v>0</v>
      </c>
      <c r="CY16" s="330">
        <f t="shared" si="28"/>
        <v>0</v>
      </c>
      <c r="CZ16" s="330">
        <f t="shared" si="28"/>
        <v>0</v>
      </c>
      <c r="DA16" s="330">
        <f t="shared" si="28"/>
        <v>0</v>
      </c>
      <c r="DB16" s="330">
        <f t="shared" si="28"/>
        <v>0</v>
      </c>
      <c r="DC16" s="330">
        <f t="shared" si="28"/>
        <v>0</v>
      </c>
      <c r="DD16" s="330">
        <f t="shared" si="28"/>
        <v>0</v>
      </c>
      <c r="DE16" s="330">
        <f t="shared" si="29"/>
        <v>0</v>
      </c>
      <c r="DF16" s="330">
        <f t="shared" si="29"/>
        <v>0</v>
      </c>
      <c r="DG16" s="330">
        <f t="shared" si="29"/>
        <v>0</v>
      </c>
      <c r="DH16" s="330">
        <f t="shared" si="29"/>
        <v>0</v>
      </c>
      <c r="DI16" s="330">
        <f t="shared" si="29"/>
        <v>0</v>
      </c>
      <c r="DJ16" s="330">
        <f t="shared" si="29"/>
        <v>0</v>
      </c>
      <c r="DK16" s="330">
        <f t="shared" si="29"/>
        <v>0</v>
      </c>
      <c r="DL16" s="330">
        <f t="shared" si="29"/>
        <v>0</v>
      </c>
      <c r="DM16" s="330">
        <f t="shared" si="29"/>
        <v>0</v>
      </c>
      <c r="DN16" s="330">
        <f t="shared" si="29"/>
        <v>0</v>
      </c>
      <c r="DO16" s="330">
        <f t="shared" si="29"/>
        <v>0</v>
      </c>
      <c r="DP16" s="330">
        <f t="shared" si="30"/>
        <v>0</v>
      </c>
      <c r="DQ16" s="217"/>
      <c r="DR16" s="217"/>
      <c r="DS16" s="217"/>
      <c r="DT16" s="217"/>
    </row>
    <row r="17" spans="1:124" x14ac:dyDescent="0.3">
      <c r="A17" s="324"/>
      <c r="B17" s="221" t="s">
        <v>481</v>
      </c>
      <c r="C17" s="221" t="str">
        <f>IF('Default - Material Balance'!C27=0,"",'Default - Material Balance'!C27)</f>
        <v/>
      </c>
      <c r="D17" s="221" t="str">
        <f>IF('Default - Material Balance'!D27=0,"",'Default - Material Balance'!D27)</f>
        <v/>
      </c>
      <c r="E17" s="221" t="str">
        <f>IF('Default - Material Balance'!E27=0,"",'Default - Material Balance'!E27)</f>
        <v/>
      </c>
      <c r="F17" s="221" t="str">
        <f>IF('Default - Material Balance'!F27=0,"",'Default - Material Balance'!F27)</f>
        <v/>
      </c>
      <c r="G17" s="222"/>
      <c r="H17" s="222"/>
      <c r="I17" s="222"/>
      <c r="J17" s="325">
        <f>IF('Default - Material Balance'!M27=0,0,'Default - Material Balance'!M27)</f>
        <v>0</v>
      </c>
      <c r="K17" s="465"/>
      <c r="L17" s="326"/>
      <c r="M17" s="326"/>
      <c r="N17" s="326"/>
      <c r="O17" s="326"/>
      <c r="P17" s="326"/>
      <c r="Q17" s="326"/>
      <c r="R17" s="326"/>
      <c r="S17" s="326"/>
      <c r="T17" s="326"/>
      <c r="U17" s="326"/>
      <c r="V17" s="326"/>
      <c r="W17" s="326"/>
      <c r="X17" s="326"/>
      <c r="Y17" s="326"/>
      <c r="Z17" s="327"/>
      <c r="AA17" s="328"/>
      <c r="AB17" s="328"/>
      <c r="AC17" s="328"/>
      <c r="AD17" s="328"/>
      <c r="AE17" s="328"/>
      <c r="AF17" s="328"/>
      <c r="AG17" s="328"/>
      <c r="AH17" s="328"/>
      <c r="AI17" s="328"/>
      <c r="AJ17" s="328"/>
      <c r="AK17" s="328"/>
      <c r="AL17" s="328"/>
      <c r="AM17" s="328"/>
      <c r="AN17" s="328"/>
      <c r="AO17" s="329"/>
      <c r="AP17" s="326"/>
      <c r="AQ17" s="326"/>
      <c r="AR17" s="326"/>
      <c r="AS17" s="326"/>
      <c r="AT17" s="326"/>
      <c r="AU17" s="326"/>
      <c r="AV17" s="326"/>
      <c r="AW17" s="326"/>
      <c r="AX17" s="326"/>
      <c r="AY17" s="326"/>
      <c r="AZ17" s="326"/>
      <c r="BA17" s="326"/>
      <c r="BB17" s="326"/>
      <c r="BC17" s="326"/>
      <c r="BD17" s="326"/>
      <c r="BE17" s="330">
        <f>IF($F17="",0,$J17*VLOOKUP($F17,Lists!$C$72:$R$152,COLUMNS(Lists!$C$69:E$69),0))*VLOOKUP(BE$3,Conversions!$B$12:$E$34,4,0)</f>
        <v>0</v>
      </c>
      <c r="BF17" s="330">
        <f>IF($F17="",0,$J17*VLOOKUP($F17,Lists!$C$72:$R$152,COLUMNS(Lists!$C$69:F$69),0))*VLOOKUP(BF$3,Conversions!$B$12:$E$34,4,0)</f>
        <v>0</v>
      </c>
      <c r="BG17" s="330">
        <f>IF($F17="",0,$J17*VLOOKUP($F17,Lists!$C$72:$R$152,COLUMNS(Lists!$C$69:G$69),0))*VLOOKUP(BG$3,Conversions!$B$12:$E$34,4,0)</f>
        <v>0</v>
      </c>
      <c r="BH17" s="330">
        <f>IF($F17="",0,$J17*VLOOKUP($F17,Lists!$C$72:$R$152,COLUMNS(Lists!$C$69:H$69),0))*VLOOKUP(BH$3,Conversions!$B$12:$E$34,4,0)</f>
        <v>0</v>
      </c>
      <c r="BI17" s="330">
        <f>IF($F17="",0,$J17*VLOOKUP($F17,Lists!$C$72:$R$152,COLUMNS(Lists!$C$69:I$69),0))*VLOOKUP(BI$3,Conversions!$B$12:$E$34,4,0)</f>
        <v>0</v>
      </c>
      <c r="BJ17" s="330">
        <f>IF($F17="",0,$J17*VLOOKUP($F17,Lists!$C$72:$R$152,COLUMNS(Lists!$C$69:J$69),0))*VLOOKUP(BJ$3,Conversions!$B$12:$E$34,4,0)</f>
        <v>0</v>
      </c>
      <c r="BK17" s="330">
        <f>IF($F17="",0,$J17*VLOOKUP($F17,Lists!$C$72:$R$152,COLUMNS(Lists!$C$69:K$69),0))*VLOOKUP(BK$3,Conversions!$B$12:$E$34,4,0)</f>
        <v>0</v>
      </c>
      <c r="BL17" s="330">
        <f>IF($F17="",0,$J17*VLOOKUP($F17,Lists!$C$72:$R$152,COLUMNS(Lists!$C$69:L$69),0))*VLOOKUP(BL$3,Conversions!$B$12:$E$34,4,0)</f>
        <v>0</v>
      </c>
      <c r="BM17" s="330">
        <f>IF($F17="",0,$J17*VLOOKUP($F17,Lists!$C$72:$R$152,COLUMNS(Lists!$C$69:M$69),0))*VLOOKUP(BM$3,Conversions!$B$12:$E$34,4,0)</f>
        <v>0</v>
      </c>
      <c r="BN17" s="330">
        <f>IF($F17="",0,$J17*VLOOKUP($F17,Lists!$C$72:$R$152,COLUMNS(Lists!$C$69:N$69),0))*VLOOKUP(BN$3,Conversions!$B$12:$E$34,4,0)</f>
        <v>0</v>
      </c>
      <c r="BO17" s="330">
        <f>IF($F17="",0,$J17*VLOOKUP($F17,Lists!$C$72:$R$152,COLUMNS(Lists!$C$69:O$69),0))*VLOOKUP(BO$3,Conversions!$B$12:$E$34,4,0)</f>
        <v>0</v>
      </c>
      <c r="BP17" s="330">
        <f>IF($F17="",0,$J17*VLOOKUP($F17,Lists!$C$72:$R$152,COLUMNS(Lists!$C$69:P$69),0))*VLOOKUP(BP$3,Conversions!$B$12:$E$34,4,0)</f>
        <v>0</v>
      </c>
      <c r="BQ17" s="330">
        <f>IF($F17="",0,$J17*VLOOKUP($F17,Lists!$C$72:$R$152,COLUMNS(Lists!$C$69:Q$69),0))*VLOOKUP(BQ$3,Conversions!$B$12:$E$34,4,0)</f>
        <v>0</v>
      </c>
      <c r="BR17" s="330">
        <f>IF($F17="",0,$J17*VLOOKUP($F17,Lists!$C$72:$R$152,COLUMNS(Lists!$C$69:R$69),0))*VLOOKUP(BR$3,Conversions!$B$12:$E$34,4,0)</f>
        <v>0</v>
      </c>
      <c r="BS17" s="330">
        <f t="shared" si="16"/>
        <v>0</v>
      </c>
      <c r="BT17" s="329">
        <f t="shared" si="17"/>
        <v>0</v>
      </c>
      <c r="BU17" s="329">
        <f t="shared" si="17"/>
        <v>0</v>
      </c>
      <c r="BV17" s="329">
        <f t="shared" si="17"/>
        <v>0</v>
      </c>
      <c r="BW17" s="329">
        <f t="shared" si="17"/>
        <v>0</v>
      </c>
      <c r="BX17" s="329">
        <f t="shared" si="17"/>
        <v>0</v>
      </c>
      <c r="BY17" s="329">
        <f t="shared" si="17"/>
        <v>0</v>
      </c>
      <c r="BZ17" s="329">
        <f t="shared" si="17"/>
        <v>0</v>
      </c>
      <c r="CA17" s="329">
        <f t="shared" si="17"/>
        <v>0</v>
      </c>
      <c r="CB17" s="329">
        <f t="shared" si="17"/>
        <v>0</v>
      </c>
      <c r="CC17" s="329">
        <f t="shared" si="17"/>
        <v>0</v>
      </c>
      <c r="CD17" s="329">
        <f t="shared" si="17"/>
        <v>0</v>
      </c>
      <c r="CE17" s="329">
        <f t="shared" si="17"/>
        <v>0</v>
      </c>
      <c r="CF17" s="329">
        <f t="shared" si="17"/>
        <v>0</v>
      </c>
      <c r="CG17" s="329">
        <f t="shared" si="17"/>
        <v>0</v>
      </c>
      <c r="CH17" s="329">
        <f t="shared" si="17"/>
        <v>0</v>
      </c>
      <c r="CI17" s="329">
        <f t="shared" si="17"/>
        <v>0</v>
      </c>
      <c r="CJ17" s="331">
        <f t="shared" si="18"/>
        <v>0</v>
      </c>
      <c r="CK17" s="330">
        <f t="shared" si="19"/>
        <v>0</v>
      </c>
      <c r="CL17" s="330">
        <f t="shared" si="20"/>
        <v>0</v>
      </c>
      <c r="CM17" s="330">
        <f t="shared" si="21"/>
        <v>0</v>
      </c>
      <c r="CN17" s="330">
        <f t="shared" si="22"/>
        <v>0</v>
      </c>
      <c r="CO17" s="330">
        <f t="shared" si="23"/>
        <v>0</v>
      </c>
      <c r="CP17" s="330">
        <f t="shared" si="24"/>
        <v>0</v>
      </c>
      <c r="CQ17" s="330">
        <f t="shared" si="11"/>
        <v>0</v>
      </c>
      <c r="CR17" s="330">
        <f t="shared" si="25"/>
        <v>0</v>
      </c>
      <c r="CS17" s="330">
        <f t="shared" si="26"/>
        <v>0</v>
      </c>
      <c r="CT17" s="330">
        <f t="shared" si="27"/>
        <v>0</v>
      </c>
      <c r="CU17" s="330">
        <f t="shared" si="28"/>
        <v>0</v>
      </c>
      <c r="CV17" s="330">
        <f t="shared" si="28"/>
        <v>0</v>
      </c>
      <c r="CW17" s="330">
        <f t="shared" si="28"/>
        <v>0</v>
      </c>
      <c r="CX17" s="330">
        <f t="shared" si="28"/>
        <v>0</v>
      </c>
      <c r="CY17" s="330">
        <f t="shared" si="28"/>
        <v>0</v>
      </c>
      <c r="CZ17" s="330">
        <f t="shared" si="28"/>
        <v>0</v>
      </c>
      <c r="DA17" s="330">
        <f t="shared" si="28"/>
        <v>0</v>
      </c>
      <c r="DB17" s="330">
        <f t="shared" si="28"/>
        <v>0</v>
      </c>
      <c r="DC17" s="330">
        <f t="shared" si="28"/>
        <v>0</v>
      </c>
      <c r="DD17" s="330">
        <f t="shared" si="28"/>
        <v>0</v>
      </c>
      <c r="DE17" s="330">
        <f t="shared" si="29"/>
        <v>0</v>
      </c>
      <c r="DF17" s="330">
        <f t="shared" si="29"/>
        <v>0</v>
      </c>
      <c r="DG17" s="330">
        <f t="shared" si="29"/>
        <v>0</v>
      </c>
      <c r="DH17" s="330">
        <f t="shared" si="29"/>
        <v>0</v>
      </c>
      <c r="DI17" s="330">
        <f t="shared" si="29"/>
        <v>0</v>
      </c>
      <c r="DJ17" s="330">
        <f t="shared" si="29"/>
        <v>0</v>
      </c>
      <c r="DK17" s="330">
        <f t="shared" si="29"/>
        <v>0</v>
      </c>
      <c r="DL17" s="330">
        <f t="shared" si="29"/>
        <v>0</v>
      </c>
      <c r="DM17" s="330">
        <f t="shared" si="29"/>
        <v>0</v>
      </c>
      <c r="DN17" s="330">
        <f t="shared" si="29"/>
        <v>0</v>
      </c>
      <c r="DO17" s="330">
        <f t="shared" si="29"/>
        <v>0</v>
      </c>
      <c r="DP17" s="330">
        <f t="shared" si="30"/>
        <v>0</v>
      </c>
      <c r="DQ17" s="217"/>
      <c r="DR17" s="217"/>
      <c r="DS17" s="217"/>
      <c r="DT17" s="217"/>
    </row>
    <row r="18" spans="1:124" x14ac:dyDescent="0.3">
      <c r="A18" s="324"/>
      <c r="B18" s="221" t="s">
        <v>481</v>
      </c>
      <c r="C18" s="221" t="str">
        <f>IF('Default - Material Balance'!C28=0,"",'Default - Material Balance'!C28)</f>
        <v/>
      </c>
      <c r="D18" s="221" t="str">
        <f>IF('Default - Material Balance'!D28=0,"",'Default - Material Balance'!D28)</f>
        <v/>
      </c>
      <c r="E18" s="221" t="str">
        <f>IF('Default - Material Balance'!E28=0,"",'Default - Material Balance'!E28)</f>
        <v/>
      </c>
      <c r="F18" s="221" t="str">
        <f>IF('Default - Material Balance'!F28=0,"",'Default - Material Balance'!F28)</f>
        <v/>
      </c>
      <c r="G18" s="222"/>
      <c r="H18" s="222"/>
      <c r="I18" s="222"/>
      <c r="J18" s="325">
        <f>IF('Default - Material Balance'!M28=0,0,'Default - Material Balance'!M28)</f>
        <v>0</v>
      </c>
      <c r="K18" s="465"/>
      <c r="L18" s="326"/>
      <c r="M18" s="326"/>
      <c r="N18" s="326"/>
      <c r="O18" s="326"/>
      <c r="P18" s="326"/>
      <c r="Q18" s="326"/>
      <c r="R18" s="326"/>
      <c r="S18" s="326"/>
      <c r="T18" s="326"/>
      <c r="U18" s="326"/>
      <c r="V18" s="326"/>
      <c r="W18" s="326"/>
      <c r="X18" s="326"/>
      <c r="Y18" s="326"/>
      <c r="Z18" s="327"/>
      <c r="AA18" s="328"/>
      <c r="AB18" s="328"/>
      <c r="AC18" s="328"/>
      <c r="AD18" s="328"/>
      <c r="AE18" s="328"/>
      <c r="AF18" s="328"/>
      <c r="AG18" s="328"/>
      <c r="AH18" s="328"/>
      <c r="AI18" s="328"/>
      <c r="AJ18" s="328"/>
      <c r="AK18" s="328"/>
      <c r="AL18" s="328"/>
      <c r="AM18" s="328"/>
      <c r="AN18" s="328"/>
      <c r="AO18" s="329"/>
      <c r="AP18" s="326"/>
      <c r="AQ18" s="326"/>
      <c r="AR18" s="326"/>
      <c r="AS18" s="326"/>
      <c r="AT18" s="326"/>
      <c r="AU18" s="326"/>
      <c r="AV18" s="326"/>
      <c r="AW18" s="326"/>
      <c r="AX18" s="326"/>
      <c r="AY18" s="326"/>
      <c r="AZ18" s="326"/>
      <c r="BA18" s="326"/>
      <c r="BB18" s="326"/>
      <c r="BC18" s="326"/>
      <c r="BD18" s="326"/>
      <c r="BE18" s="330">
        <f>IF($F18="",0,$J18*VLOOKUP($F18,Lists!$C$72:$R$152,COLUMNS(Lists!$C$69:E$69),0))*VLOOKUP(BE$3,Conversions!$B$12:$E$34,4,0)</f>
        <v>0</v>
      </c>
      <c r="BF18" s="330">
        <f>IF($F18="",0,$J18*VLOOKUP($F18,Lists!$C$72:$R$152,COLUMNS(Lists!$C$69:F$69),0))*VLOOKUP(BF$3,Conversions!$B$12:$E$34,4,0)</f>
        <v>0</v>
      </c>
      <c r="BG18" s="330">
        <f>IF($F18="",0,$J18*VLOOKUP($F18,Lists!$C$72:$R$152,COLUMNS(Lists!$C$69:G$69),0))*VLOOKUP(BG$3,Conversions!$B$12:$E$34,4,0)</f>
        <v>0</v>
      </c>
      <c r="BH18" s="330">
        <f>IF($F18="",0,$J18*VLOOKUP($F18,Lists!$C$72:$R$152,COLUMNS(Lists!$C$69:H$69),0))*VLOOKUP(BH$3,Conversions!$B$12:$E$34,4,0)</f>
        <v>0</v>
      </c>
      <c r="BI18" s="330">
        <f>IF($F18="",0,$J18*VLOOKUP($F18,Lists!$C$72:$R$152,COLUMNS(Lists!$C$69:I$69),0))*VLOOKUP(BI$3,Conversions!$B$12:$E$34,4,0)</f>
        <v>0</v>
      </c>
      <c r="BJ18" s="330">
        <f>IF($F18="",0,$J18*VLOOKUP($F18,Lists!$C$72:$R$152,COLUMNS(Lists!$C$69:J$69),0))*VLOOKUP(BJ$3,Conversions!$B$12:$E$34,4,0)</f>
        <v>0</v>
      </c>
      <c r="BK18" s="330">
        <f>IF($F18="",0,$J18*VLOOKUP($F18,Lists!$C$72:$R$152,COLUMNS(Lists!$C$69:K$69),0))*VLOOKUP(BK$3,Conversions!$B$12:$E$34,4,0)</f>
        <v>0</v>
      </c>
      <c r="BL18" s="330">
        <f>IF($F18="",0,$J18*VLOOKUP($F18,Lists!$C$72:$R$152,COLUMNS(Lists!$C$69:L$69),0))*VLOOKUP(BL$3,Conversions!$B$12:$E$34,4,0)</f>
        <v>0</v>
      </c>
      <c r="BM18" s="330">
        <f>IF($F18="",0,$J18*VLOOKUP($F18,Lists!$C$72:$R$152,COLUMNS(Lists!$C$69:M$69),0))*VLOOKUP(BM$3,Conversions!$B$12:$E$34,4,0)</f>
        <v>0</v>
      </c>
      <c r="BN18" s="330">
        <f>IF($F18="",0,$J18*VLOOKUP($F18,Lists!$C$72:$R$152,COLUMNS(Lists!$C$69:N$69),0))*VLOOKUP(BN$3,Conversions!$B$12:$E$34,4,0)</f>
        <v>0</v>
      </c>
      <c r="BO18" s="330">
        <f>IF($F18="",0,$J18*VLOOKUP($F18,Lists!$C$72:$R$152,COLUMNS(Lists!$C$69:O$69),0))*VLOOKUP(BO$3,Conversions!$B$12:$E$34,4,0)</f>
        <v>0</v>
      </c>
      <c r="BP18" s="330">
        <f>IF($F18="",0,$J18*VLOOKUP($F18,Lists!$C$72:$R$152,COLUMNS(Lists!$C$69:P$69),0))*VLOOKUP(BP$3,Conversions!$B$12:$E$34,4,0)</f>
        <v>0</v>
      </c>
      <c r="BQ18" s="330">
        <f>IF($F18="",0,$J18*VLOOKUP($F18,Lists!$C$72:$R$152,COLUMNS(Lists!$C$69:Q$69),0))*VLOOKUP(BQ$3,Conversions!$B$12:$E$34,4,0)</f>
        <v>0</v>
      </c>
      <c r="BR18" s="330">
        <f>IF($F18="",0,$J18*VLOOKUP($F18,Lists!$C$72:$R$152,COLUMNS(Lists!$C$69:R$69),0))*VLOOKUP(BR$3,Conversions!$B$12:$E$34,4,0)</f>
        <v>0</v>
      </c>
      <c r="BS18" s="330">
        <f t="shared" si="16"/>
        <v>0</v>
      </c>
      <c r="BT18" s="329">
        <f t="shared" si="17"/>
        <v>0</v>
      </c>
      <c r="BU18" s="329">
        <f t="shared" si="17"/>
        <v>0</v>
      </c>
      <c r="BV18" s="329">
        <f t="shared" si="17"/>
        <v>0</v>
      </c>
      <c r="BW18" s="329">
        <f t="shared" si="17"/>
        <v>0</v>
      </c>
      <c r="BX18" s="329">
        <f t="shared" si="17"/>
        <v>0</v>
      </c>
      <c r="BY18" s="329">
        <f t="shared" si="17"/>
        <v>0</v>
      </c>
      <c r="BZ18" s="329">
        <f t="shared" si="17"/>
        <v>0</v>
      </c>
      <c r="CA18" s="329">
        <f t="shared" si="17"/>
        <v>0</v>
      </c>
      <c r="CB18" s="329">
        <f t="shared" si="17"/>
        <v>0</v>
      </c>
      <c r="CC18" s="329">
        <f t="shared" si="17"/>
        <v>0</v>
      </c>
      <c r="CD18" s="329">
        <f t="shared" si="17"/>
        <v>0</v>
      </c>
      <c r="CE18" s="329">
        <f t="shared" si="17"/>
        <v>0</v>
      </c>
      <c r="CF18" s="329">
        <f t="shared" si="17"/>
        <v>0</v>
      </c>
      <c r="CG18" s="329">
        <f t="shared" si="17"/>
        <v>0</v>
      </c>
      <c r="CH18" s="329">
        <f t="shared" si="17"/>
        <v>0</v>
      </c>
      <c r="CI18" s="329">
        <f t="shared" si="17"/>
        <v>0</v>
      </c>
      <c r="CJ18" s="331">
        <f t="shared" si="18"/>
        <v>0</v>
      </c>
      <c r="CK18" s="330">
        <f t="shared" si="19"/>
        <v>0</v>
      </c>
      <c r="CL18" s="330">
        <f t="shared" si="20"/>
        <v>0</v>
      </c>
      <c r="CM18" s="330">
        <f t="shared" si="21"/>
        <v>0</v>
      </c>
      <c r="CN18" s="330">
        <f t="shared" si="22"/>
        <v>0</v>
      </c>
      <c r="CO18" s="330">
        <f t="shared" si="23"/>
        <v>0</v>
      </c>
      <c r="CP18" s="330">
        <f t="shared" si="24"/>
        <v>0</v>
      </c>
      <c r="CQ18" s="330">
        <f t="shared" si="11"/>
        <v>0</v>
      </c>
      <c r="CR18" s="330">
        <f t="shared" si="25"/>
        <v>0</v>
      </c>
      <c r="CS18" s="330">
        <f t="shared" si="26"/>
        <v>0</v>
      </c>
      <c r="CT18" s="330">
        <f t="shared" si="27"/>
        <v>0</v>
      </c>
      <c r="CU18" s="330">
        <f t="shared" si="28"/>
        <v>0</v>
      </c>
      <c r="CV18" s="330">
        <f t="shared" si="28"/>
        <v>0</v>
      </c>
      <c r="CW18" s="330">
        <f t="shared" si="28"/>
        <v>0</v>
      </c>
      <c r="CX18" s="330">
        <f t="shared" si="28"/>
        <v>0</v>
      </c>
      <c r="CY18" s="330">
        <f t="shared" si="28"/>
        <v>0</v>
      </c>
      <c r="CZ18" s="330">
        <f t="shared" si="28"/>
        <v>0</v>
      </c>
      <c r="DA18" s="330">
        <f t="shared" si="28"/>
        <v>0</v>
      </c>
      <c r="DB18" s="330">
        <f t="shared" si="28"/>
        <v>0</v>
      </c>
      <c r="DC18" s="330">
        <f t="shared" si="28"/>
        <v>0</v>
      </c>
      <c r="DD18" s="330">
        <f t="shared" si="28"/>
        <v>0</v>
      </c>
      <c r="DE18" s="330">
        <f t="shared" si="29"/>
        <v>0</v>
      </c>
      <c r="DF18" s="330">
        <f t="shared" si="29"/>
        <v>0</v>
      </c>
      <c r="DG18" s="330">
        <f t="shared" si="29"/>
        <v>0</v>
      </c>
      <c r="DH18" s="330">
        <f t="shared" si="29"/>
        <v>0</v>
      </c>
      <c r="DI18" s="330">
        <f t="shared" si="29"/>
        <v>0</v>
      </c>
      <c r="DJ18" s="330">
        <f t="shared" si="29"/>
        <v>0</v>
      </c>
      <c r="DK18" s="330">
        <f t="shared" si="29"/>
        <v>0</v>
      </c>
      <c r="DL18" s="330">
        <f t="shared" si="29"/>
        <v>0</v>
      </c>
      <c r="DM18" s="330">
        <f t="shared" si="29"/>
        <v>0</v>
      </c>
      <c r="DN18" s="330">
        <f t="shared" si="29"/>
        <v>0</v>
      </c>
      <c r="DO18" s="330">
        <f t="shared" si="29"/>
        <v>0</v>
      </c>
      <c r="DP18" s="330">
        <f t="shared" si="30"/>
        <v>0</v>
      </c>
      <c r="DQ18" s="217"/>
      <c r="DR18" s="217"/>
      <c r="DS18" s="217"/>
      <c r="DT18" s="217"/>
    </row>
    <row r="19" spans="1:124" x14ac:dyDescent="0.3">
      <c r="A19" s="324"/>
      <c r="B19" s="221" t="s">
        <v>481</v>
      </c>
      <c r="C19" s="221" t="str">
        <f>IF('Default - Material Balance'!C29=0,"",'Default - Material Balance'!C29)</f>
        <v/>
      </c>
      <c r="D19" s="221" t="str">
        <f>IF('Default - Material Balance'!D29=0,"",'Default - Material Balance'!D29)</f>
        <v/>
      </c>
      <c r="E19" s="221" t="str">
        <f>IF('Default - Material Balance'!E29=0,"",'Default - Material Balance'!E29)</f>
        <v/>
      </c>
      <c r="F19" s="221" t="str">
        <f>IF('Default - Material Balance'!F29=0,"",'Default - Material Balance'!F29)</f>
        <v/>
      </c>
      <c r="G19" s="222"/>
      <c r="H19" s="222"/>
      <c r="I19" s="222"/>
      <c r="J19" s="325">
        <f>IF('Default - Material Balance'!M29=0,0,'Default - Material Balance'!M29)</f>
        <v>0</v>
      </c>
      <c r="K19" s="465"/>
      <c r="L19" s="326"/>
      <c r="M19" s="326"/>
      <c r="N19" s="326"/>
      <c r="O19" s="326"/>
      <c r="P19" s="326"/>
      <c r="Q19" s="326"/>
      <c r="R19" s="326"/>
      <c r="S19" s="326"/>
      <c r="T19" s="326"/>
      <c r="U19" s="326"/>
      <c r="V19" s="326"/>
      <c r="W19" s="326"/>
      <c r="X19" s="326"/>
      <c r="Y19" s="326"/>
      <c r="Z19" s="327"/>
      <c r="AA19" s="328"/>
      <c r="AB19" s="328"/>
      <c r="AC19" s="328"/>
      <c r="AD19" s="328"/>
      <c r="AE19" s="328"/>
      <c r="AF19" s="328"/>
      <c r="AG19" s="328"/>
      <c r="AH19" s="328"/>
      <c r="AI19" s="328"/>
      <c r="AJ19" s="328"/>
      <c r="AK19" s="328"/>
      <c r="AL19" s="328"/>
      <c r="AM19" s="328"/>
      <c r="AN19" s="328"/>
      <c r="AO19" s="329"/>
      <c r="AP19" s="326"/>
      <c r="AQ19" s="326"/>
      <c r="AR19" s="326"/>
      <c r="AS19" s="326"/>
      <c r="AT19" s="326"/>
      <c r="AU19" s="326"/>
      <c r="AV19" s="326"/>
      <c r="AW19" s="326"/>
      <c r="AX19" s="326"/>
      <c r="AY19" s="326"/>
      <c r="AZ19" s="326"/>
      <c r="BA19" s="326"/>
      <c r="BB19" s="326"/>
      <c r="BC19" s="326"/>
      <c r="BD19" s="326"/>
      <c r="BE19" s="330">
        <f>IF($F19="",0,$J19*VLOOKUP($F19,Lists!$C$72:$R$152,COLUMNS(Lists!$C$69:E$69),0))*VLOOKUP(BE$3,Conversions!$B$12:$E$34,4,0)</f>
        <v>0</v>
      </c>
      <c r="BF19" s="330">
        <f>IF($F19="",0,$J19*VLOOKUP($F19,Lists!$C$72:$R$152,COLUMNS(Lists!$C$69:F$69),0))*VLOOKUP(BF$3,Conversions!$B$12:$E$34,4,0)</f>
        <v>0</v>
      </c>
      <c r="BG19" s="330">
        <f>IF($F19="",0,$J19*VLOOKUP($F19,Lists!$C$72:$R$152,COLUMNS(Lists!$C$69:G$69),0))*VLOOKUP(BG$3,Conversions!$B$12:$E$34,4,0)</f>
        <v>0</v>
      </c>
      <c r="BH19" s="330">
        <f>IF($F19="",0,$J19*VLOOKUP($F19,Lists!$C$72:$R$152,COLUMNS(Lists!$C$69:H$69),0))*VLOOKUP(BH$3,Conversions!$B$12:$E$34,4,0)</f>
        <v>0</v>
      </c>
      <c r="BI19" s="330">
        <f>IF($F19="",0,$J19*VLOOKUP($F19,Lists!$C$72:$R$152,COLUMNS(Lists!$C$69:I$69),0))*VLOOKUP(BI$3,Conversions!$B$12:$E$34,4,0)</f>
        <v>0</v>
      </c>
      <c r="BJ19" s="330">
        <f>IF($F19="",0,$J19*VLOOKUP($F19,Lists!$C$72:$R$152,COLUMNS(Lists!$C$69:J$69),0))*VLOOKUP(BJ$3,Conversions!$B$12:$E$34,4,0)</f>
        <v>0</v>
      </c>
      <c r="BK19" s="330">
        <f>IF($F19="",0,$J19*VLOOKUP($F19,Lists!$C$72:$R$152,COLUMNS(Lists!$C$69:K$69),0))*VLOOKUP(BK$3,Conversions!$B$12:$E$34,4,0)</f>
        <v>0</v>
      </c>
      <c r="BL19" s="330">
        <f>IF($F19="",0,$J19*VLOOKUP($F19,Lists!$C$72:$R$152,COLUMNS(Lists!$C$69:L$69),0))*VLOOKUP(BL$3,Conversions!$B$12:$E$34,4,0)</f>
        <v>0</v>
      </c>
      <c r="BM19" s="330">
        <f>IF($F19="",0,$J19*VLOOKUP($F19,Lists!$C$72:$R$152,COLUMNS(Lists!$C$69:M$69),0))*VLOOKUP(BM$3,Conversions!$B$12:$E$34,4,0)</f>
        <v>0</v>
      </c>
      <c r="BN19" s="330">
        <f>IF($F19="",0,$J19*VLOOKUP($F19,Lists!$C$72:$R$152,COLUMNS(Lists!$C$69:N$69),0))*VLOOKUP(BN$3,Conversions!$B$12:$E$34,4,0)</f>
        <v>0</v>
      </c>
      <c r="BO19" s="330">
        <f>IF($F19="",0,$J19*VLOOKUP($F19,Lists!$C$72:$R$152,COLUMNS(Lists!$C$69:O$69),0))*VLOOKUP(BO$3,Conversions!$B$12:$E$34,4,0)</f>
        <v>0</v>
      </c>
      <c r="BP19" s="330">
        <f>IF($F19="",0,$J19*VLOOKUP($F19,Lists!$C$72:$R$152,COLUMNS(Lists!$C$69:P$69),0))*VLOOKUP(BP$3,Conversions!$B$12:$E$34,4,0)</f>
        <v>0</v>
      </c>
      <c r="BQ19" s="330">
        <f>IF($F19="",0,$J19*VLOOKUP($F19,Lists!$C$72:$R$152,COLUMNS(Lists!$C$69:Q$69),0))*VLOOKUP(BQ$3,Conversions!$B$12:$E$34,4,0)</f>
        <v>0</v>
      </c>
      <c r="BR19" s="330">
        <f>IF($F19="",0,$J19*VLOOKUP($F19,Lists!$C$72:$R$152,COLUMNS(Lists!$C$69:R$69),0))*VLOOKUP(BR$3,Conversions!$B$12:$E$34,4,0)</f>
        <v>0</v>
      </c>
      <c r="BS19" s="330">
        <f t="shared" si="16"/>
        <v>0</v>
      </c>
      <c r="BT19" s="329">
        <f t="shared" si="17"/>
        <v>0</v>
      </c>
      <c r="BU19" s="329">
        <f t="shared" si="17"/>
        <v>0</v>
      </c>
      <c r="BV19" s="329">
        <f t="shared" si="17"/>
        <v>0</v>
      </c>
      <c r="BW19" s="329">
        <f t="shared" si="17"/>
        <v>0</v>
      </c>
      <c r="BX19" s="329">
        <f t="shared" si="17"/>
        <v>0</v>
      </c>
      <c r="BY19" s="329">
        <f t="shared" si="17"/>
        <v>0</v>
      </c>
      <c r="BZ19" s="329">
        <f t="shared" si="17"/>
        <v>0</v>
      </c>
      <c r="CA19" s="329">
        <f t="shared" si="17"/>
        <v>0</v>
      </c>
      <c r="CB19" s="329">
        <f t="shared" si="17"/>
        <v>0</v>
      </c>
      <c r="CC19" s="329">
        <f t="shared" si="17"/>
        <v>0</v>
      </c>
      <c r="CD19" s="329">
        <f t="shared" si="17"/>
        <v>0</v>
      </c>
      <c r="CE19" s="329">
        <f t="shared" si="17"/>
        <v>0</v>
      </c>
      <c r="CF19" s="329">
        <f t="shared" si="17"/>
        <v>0</v>
      </c>
      <c r="CG19" s="329">
        <f t="shared" si="17"/>
        <v>0</v>
      </c>
      <c r="CH19" s="329">
        <f t="shared" si="17"/>
        <v>0</v>
      </c>
      <c r="CI19" s="329">
        <f t="shared" si="17"/>
        <v>0</v>
      </c>
      <c r="CJ19" s="331">
        <f t="shared" si="18"/>
        <v>0</v>
      </c>
      <c r="CK19" s="330">
        <f t="shared" si="19"/>
        <v>0</v>
      </c>
      <c r="CL19" s="330">
        <f t="shared" si="20"/>
        <v>0</v>
      </c>
      <c r="CM19" s="330">
        <f t="shared" si="21"/>
        <v>0</v>
      </c>
      <c r="CN19" s="330">
        <f t="shared" si="22"/>
        <v>0</v>
      </c>
      <c r="CO19" s="330">
        <f t="shared" si="23"/>
        <v>0</v>
      </c>
      <c r="CP19" s="330">
        <f t="shared" si="24"/>
        <v>0</v>
      </c>
      <c r="CQ19" s="330">
        <f t="shared" si="11"/>
        <v>0</v>
      </c>
      <c r="CR19" s="330">
        <f t="shared" si="25"/>
        <v>0</v>
      </c>
      <c r="CS19" s="330">
        <f t="shared" si="26"/>
        <v>0</v>
      </c>
      <c r="CT19" s="330">
        <f t="shared" si="27"/>
        <v>0</v>
      </c>
      <c r="CU19" s="330">
        <f t="shared" si="28"/>
        <v>0</v>
      </c>
      <c r="CV19" s="330">
        <f t="shared" si="28"/>
        <v>0</v>
      </c>
      <c r="CW19" s="330">
        <f t="shared" si="28"/>
        <v>0</v>
      </c>
      <c r="CX19" s="330">
        <f t="shared" si="28"/>
        <v>0</v>
      </c>
      <c r="CY19" s="330">
        <f t="shared" si="28"/>
        <v>0</v>
      </c>
      <c r="CZ19" s="330">
        <f t="shared" si="28"/>
        <v>0</v>
      </c>
      <c r="DA19" s="330">
        <f t="shared" si="28"/>
        <v>0</v>
      </c>
      <c r="DB19" s="330">
        <f t="shared" si="28"/>
        <v>0</v>
      </c>
      <c r="DC19" s="330">
        <f t="shared" si="28"/>
        <v>0</v>
      </c>
      <c r="DD19" s="330">
        <f t="shared" si="28"/>
        <v>0</v>
      </c>
      <c r="DE19" s="330">
        <f t="shared" si="29"/>
        <v>0</v>
      </c>
      <c r="DF19" s="330">
        <f t="shared" si="29"/>
        <v>0</v>
      </c>
      <c r="DG19" s="330">
        <f t="shared" si="29"/>
        <v>0</v>
      </c>
      <c r="DH19" s="330">
        <f t="shared" si="29"/>
        <v>0</v>
      </c>
      <c r="DI19" s="330">
        <f t="shared" si="29"/>
        <v>0</v>
      </c>
      <c r="DJ19" s="330">
        <f t="shared" si="29"/>
        <v>0</v>
      </c>
      <c r="DK19" s="330">
        <f t="shared" si="29"/>
        <v>0</v>
      </c>
      <c r="DL19" s="330">
        <f t="shared" si="29"/>
        <v>0</v>
      </c>
      <c r="DM19" s="330">
        <f t="shared" si="29"/>
        <v>0</v>
      </c>
      <c r="DN19" s="330">
        <f t="shared" si="29"/>
        <v>0</v>
      </c>
      <c r="DO19" s="330">
        <f t="shared" si="29"/>
        <v>0</v>
      </c>
      <c r="DP19" s="330">
        <f t="shared" si="30"/>
        <v>0</v>
      </c>
      <c r="DQ19" s="217"/>
      <c r="DR19" s="217"/>
      <c r="DS19" s="217"/>
      <c r="DT19" s="217"/>
    </row>
    <row r="20" spans="1:124" x14ac:dyDescent="0.3">
      <c r="A20" s="324"/>
      <c r="B20" s="221" t="s">
        <v>481</v>
      </c>
      <c r="C20" s="221" t="str">
        <f>IF('Default - Material Balance'!C30=0,"",'Default - Material Balance'!C30)</f>
        <v/>
      </c>
      <c r="D20" s="221" t="str">
        <f>IF('Default - Material Balance'!D30=0,"",'Default - Material Balance'!D30)</f>
        <v/>
      </c>
      <c r="E20" s="221" t="str">
        <f>IF('Default - Material Balance'!E30=0,"",'Default - Material Balance'!E30)</f>
        <v/>
      </c>
      <c r="F20" s="221" t="str">
        <f>IF('Default - Material Balance'!F30=0,"",'Default - Material Balance'!F30)</f>
        <v/>
      </c>
      <c r="G20" s="222"/>
      <c r="H20" s="222"/>
      <c r="I20" s="222"/>
      <c r="J20" s="325">
        <f>IF('Default - Material Balance'!M30=0,0,'Default - Material Balance'!M30)</f>
        <v>0</v>
      </c>
      <c r="K20" s="465"/>
      <c r="L20" s="326"/>
      <c r="M20" s="326"/>
      <c r="N20" s="326"/>
      <c r="O20" s="326"/>
      <c r="P20" s="326"/>
      <c r="Q20" s="326"/>
      <c r="R20" s="326"/>
      <c r="S20" s="326"/>
      <c r="T20" s="326"/>
      <c r="U20" s="326"/>
      <c r="V20" s="326"/>
      <c r="W20" s="326"/>
      <c r="X20" s="326"/>
      <c r="Y20" s="326"/>
      <c r="Z20" s="327"/>
      <c r="AA20" s="328"/>
      <c r="AB20" s="328"/>
      <c r="AC20" s="328"/>
      <c r="AD20" s="328"/>
      <c r="AE20" s="328"/>
      <c r="AF20" s="328"/>
      <c r="AG20" s="328"/>
      <c r="AH20" s="328"/>
      <c r="AI20" s="328"/>
      <c r="AJ20" s="328"/>
      <c r="AK20" s="328"/>
      <c r="AL20" s="328"/>
      <c r="AM20" s="328"/>
      <c r="AN20" s="328"/>
      <c r="AO20" s="329"/>
      <c r="AP20" s="326"/>
      <c r="AQ20" s="326"/>
      <c r="AR20" s="326"/>
      <c r="AS20" s="326"/>
      <c r="AT20" s="326"/>
      <c r="AU20" s="326"/>
      <c r="AV20" s="326"/>
      <c r="AW20" s="326"/>
      <c r="AX20" s="326"/>
      <c r="AY20" s="326"/>
      <c r="AZ20" s="326"/>
      <c r="BA20" s="326"/>
      <c r="BB20" s="326"/>
      <c r="BC20" s="326"/>
      <c r="BD20" s="326"/>
      <c r="BE20" s="330">
        <f>IF($F20="",0,$J20*VLOOKUP($F20,Lists!$C$72:$R$152,COLUMNS(Lists!$C$69:E$69),0))*VLOOKUP(BE$3,Conversions!$B$12:$E$34,4,0)</f>
        <v>0</v>
      </c>
      <c r="BF20" s="330">
        <f>IF($F20="",0,$J20*VLOOKUP($F20,Lists!$C$72:$R$152,COLUMNS(Lists!$C$69:F$69),0))*VLOOKUP(BF$3,Conversions!$B$12:$E$34,4,0)</f>
        <v>0</v>
      </c>
      <c r="BG20" s="330">
        <f>IF($F20="",0,$J20*VLOOKUP($F20,Lists!$C$72:$R$152,COLUMNS(Lists!$C$69:G$69),0))*VLOOKUP(BG$3,Conversions!$B$12:$E$34,4,0)</f>
        <v>0</v>
      </c>
      <c r="BH20" s="330">
        <f>IF($F20="",0,$J20*VLOOKUP($F20,Lists!$C$72:$R$152,COLUMNS(Lists!$C$69:H$69),0))*VLOOKUP(BH$3,Conversions!$B$12:$E$34,4,0)</f>
        <v>0</v>
      </c>
      <c r="BI20" s="330">
        <f>IF($F20="",0,$J20*VLOOKUP($F20,Lists!$C$72:$R$152,COLUMNS(Lists!$C$69:I$69),0))*VLOOKUP(BI$3,Conversions!$B$12:$E$34,4,0)</f>
        <v>0</v>
      </c>
      <c r="BJ20" s="330">
        <f>IF($F20="",0,$J20*VLOOKUP($F20,Lists!$C$72:$R$152,COLUMNS(Lists!$C$69:J$69),0))*VLOOKUP(BJ$3,Conversions!$B$12:$E$34,4,0)</f>
        <v>0</v>
      </c>
      <c r="BK20" s="330">
        <f>IF($F20="",0,$J20*VLOOKUP($F20,Lists!$C$72:$R$152,COLUMNS(Lists!$C$69:K$69),0))*VLOOKUP(BK$3,Conversions!$B$12:$E$34,4,0)</f>
        <v>0</v>
      </c>
      <c r="BL20" s="330">
        <f>IF($F20="",0,$J20*VLOOKUP($F20,Lists!$C$72:$R$152,COLUMNS(Lists!$C$69:L$69),0))*VLOOKUP(BL$3,Conversions!$B$12:$E$34,4,0)</f>
        <v>0</v>
      </c>
      <c r="BM20" s="330">
        <f>IF($F20="",0,$J20*VLOOKUP($F20,Lists!$C$72:$R$152,COLUMNS(Lists!$C$69:M$69),0))*VLOOKUP(BM$3,Conversions!$B$12:$E$34,4,0)</f>
        <v>0</v>
      </c>
      <c r="BN20" s="330">
        <f>IF($F20="",0,$J20*VLOOKUP($F20,Lists!$C$72:$R$152,COLUMNS(Lists!$C$69:N$69),0))*VLOOKUP(BN$3,Conversions!$B$12:$E$34,4,0)</f>
        <v>0</v>
      </c>
      <c r="BO20" s="330">
        <f>IF($F20="",0,$J20*VLOOKUP($F20,Lists!$C$72:$R$152,COLUMNS(Lists!$C$69:O$69),0))*VLOOKUP(BO$3,Conversions!$B$12:$E$34,4,0)</f>
        <v>0</v>
      </c>
      <c r="BP20" s="330">
        <f>IF($F20="",0,$J20*VLOOKUP($F20,Lists!$C$72:$R$152,COLUMNS(Lists!$C$69:P$69),0))*VLOOKUP(BP$3,Conversions!$B$12:$E$34,4,0)</f>
        <v>0</v>
      </c>
      <c r="BQ20" s="330">
        <f>IF($F20="",0,$J20*VLOOKUP($F20,Lists!$C$72:$R$152,COLUMNS(Lists!$C$69:Q$69),0))*VLOOKUP(BQ$3,Conversions!$B$12:$E$34,4,0)</f>
        <v>0</v>
      </c>
      <c r="BR20" s="330">
        <f>IF($F20="",0,$J20*VLOOKUP($F20,Lists!$C$72:$R$152,COLUMNS(Lists!$C$69:R$69),0))*VLOOKUP(BR$3,Conversions!$B$12:$E$34,4,0)</f>
        <v>0</v>
      </c>
      <c r="BS20" s="330">
        <f t="shared" si="16"/>
        <v>0</v>
      </c>
      <c r="BT20" s="329">
        <f t="shared" si="17"/>
        <v>0</v>
      </c>
      <c r="BU20" s="329">
        <f t="shared" si="17"/>
        <v>0</v>
      </c>
      <c r="BV20" s="329">
        <f t="shared" si="17"/>
        <v>0</v>
      </c>
      <c r="BW20" s="329">
        <f t="shared" si="17"/>
        <v>0</v>
      </c>
      <c r="BX20" s="329">
        <f t="shared" si="17"/>
        <v>0</v>
      </c>
      <c r="BY20" s="329">
        <f t="shared" si="17"/>
        <v>0</v>
      </c>
      <c r="BZ20" s="329">
        <f t="shared" si="17"/>
        <v>0</v>
      </c>
      <c r="CA20" s="329">
        <f t="shared" si="17"/>
        <v>0</v>
      </c>
      <c r="CB20" s="329">
        <f t="shared" si="17"/>
        <v>0</v>
      </c>
      <c r="CC20" s="329">
        <f t="shared" si="17"/>
        <v>0</v>
      </c>
      <c r="CD20" s="329">
        <f t="shared" si="17"/>
        <v>0</v>
      </c>
      <c r="CE20" s="329">
        <f t="shared" si="17"/>
        <v>0</v>
      </c>
      <c r="CF20" s="329">
        <f t="shared" si="17"/>
        <v>0</v>
      </c>
      <c r="CG20" s="329">
        <f t="shared" si="17"/>
        <v>0</v>
      </c>
      <c r="CH20" s="329">
        <f t="shared" si="17"/>
        <v>0</v>
      </c>
      <c r="CI20" s="329">
        <f t="shared" si="17"/>
        <v>0</v>
      </c>
      <c r="CJ20" s="331">
        <f t="shared" si="18"/>
        <v>0</v>
      </c>
      <c r="CK20" s="330">
        <f t="shared" si="19"/>
        <v>0</v>
      </c>
      <c r="CL20" s="330">
        <f t="shared" si="20"/>
        <v>0</v>
      </c>
      <c r="CM20" s="330">
        <f t="shared" si="21"/>
        <v>0</v>
      </c>
      <c r="CN20" s="330">
        <f t="shared" si="22"/>
        <v>0</v>
      </c>
      <c r="CO20" s="330">
        <f t="shared" si="23"/>
        <v>0</v>
      </c>
      <c r="CP20" s="330">
        <f t="shared" si="24"/>
        <v>0</v>
      </c>
      <c r="CQ20" s="330">
        <f t="shared" si="11"/>
        <v>0</v>
      </c>
      <c r="CR20" s="330">
        <f t="shared" si="25"/>
        <v>0</v>
      </c>
      <c r="CS20" s="330">
        <f t="shared" si="26"/>
        <v>0</v>
      </c>
      <c r="CT20" s="330">
        <f t="shared" si="27"/>
        <v>0</v>
      </c>
      <c r="CU20" s="330">
        <f t="shared" si="28"/>
        <v>0</v>
      </c>
      <c r="CV20" s="330">
        <f t="shared" si="28"/>
        <v>0</v>
      </c>
      <c r="CW20" s="330">
        <f t="shared" si="28"/>
        <v>0</v>
      </c>
      <c r="CX20" s="330">
        <f t="shared" si="28"/>
        <v>0</v>
      </c>
      <c r="CY20" s="330">
        <f t="shared" si="28"/>
        <v>0</v>
      </c>
      <c r="CZ20" s="330">
        <f t="shared" si="28"/>
        <v>0</v>
      </c>
      <c r="DA20" s="330">
        <f t="shared" si="28"/>
        <v>0</v>
      </c>
      <c r="DB20" s="330">
        <f t="shared" si="28"/>
        <v>0</v>
      </c>
      <c r="DC20" s="330">
        <f t="shared" si="28"/>
        <v>0</v>
      </c>
      <c r="DD20" s="330">
        <f t="shared" si="28"/>
        <v>0</v>
      </c>
      <c r="DE20" s="330">
        <f t="shared" si="29"/>
        <v>0</v>
      </c>
      <c r="DF20" s="330">
        <f t="shared" si="29"/>
        <v>0</v>
      </c>
      <c r="DG20" s="330">
        <f t="shared" si="29"/>
        <v>0</v>
      </c>
      <c r="DH20" s="330">
        <f t="shared" si="29"/>
        <v>0</v>
      </c>
      <c r="DI20" s="330">
        <f t="shared" si="29"/>
        <v>0</v>
      </c>
      <c r="DJ20" s="330">
        <f t="shared" si="29"/>
        <v>0</v>
      </c>
      <c r="DK20" s="330">
        <f t="shared" si="29"/>
        <v>0</v>
      </c>
      <c r="DL20" s="330">
        <f t="shared" si="29"/>
        <v>0</v>
      </c>
      <c r="DM20" s="330">
        <f t="shared" si="29"/>
        <v>0</v>
      </c>
      <c r="DN20" s="330">
        <f t="shared" si="29"/>
        <v>0</v>
      </c>
      <c r="DO20" s="330">
        <f t="shared" si="29"/>
        <v>0</v>
      </c>
      <c r="DP20" s="330">
        <f t="shared" si="30"/>
        <v>0</v>
      </c>
      <c r="DQ20" s="217"/>
      <c r="DR20" s="217"/>
      <c r="DS20" s="217"/>
      <c r="DT20" s="217"/>
    </row>
    <row r="21" spans="1:124" x14ac:dyDescent="0.3">
      <c r="A21" s="324"/>
      <c r="B21" s="221" t="s">
        <v>481</v>
      </c>
      <c r="C21" s="221" t="str">
        <f>IF('Default - Material Balance'!C31=0,"",'Default - Material Balance'!C31)</f>
        <v/>
      </c>
      <c r="D21" s="221" t="str">
        <f>IF('Default - Material Balance'!D31=0,"",'Default - Material Balance'!D31)</f>
        <v/>
      </c>
      <c r="E21" s="221" t="str">
        <f>IF('Default - Material Balance'!E31=0,"",'Default - Material Balance'!E31)</f>
        <v/>
      </c>
      <c r="F21" s="221" t="str">
        <f>IF('Default - Material Balance'!F31=0,"",'Default - Material Balance'!F31)</f>
        <v/>
      </c>
      <c r="G21" s="222"/>
      <c r="H21" s="222"/>
      <c r="I21" s="222"/>
      <c r="J21" s="325">
        <f>IF('Default - Material Balance'!M31=0,0,'Default - Material Balance'!M31)</f>
        <v>0</v>
      </c>
      <c r="K21" s="465"/>
      <c r="L21" s="326"/>
      <c r="M21" s="326"/>
      <c r="N21" s="326"/>
      <c r="O21" s="326"/>
      <c r="P21" s="326"/>
      <c r="Q21" s="326"/>
      <c r="R21" s="326"/>
      <c r="S21" s="326"/>
      <c r="T21" s="326"/>
      <c r="U21" s="326"/>
      <c r="V21" s="326"/>
      <c r="W21" s="326"/>
      <c r="X21" s="326"/>
      <c r="Y21" s="326"/>
      <c r="Z21" s="327"/>
      <c r="AA21" s="328"/>
      <c r="AB21" s="328"/>
      <c r="AC21" s="328"/>
      <c r="AD21" s="328"/>
      <c r="AE21" s="328"/>
      <c r="AF21" s="328"/>
      <c r="AG21" s="328"/>
      <c r="AH21" s="328"/>
      <c r="AI21" s="328"/>
      <c r="AJ21" s="328"/>
      <c r="AK21" s="328"/>
      <c r="AL21" s="328"/>
      <c r="AM21" s="328"/>
      <c r="AN21" s="328"/>
      <c r="AO21" s="329"/>
      <c r="AP21" s="326"/>
      <c r="AQ21" s="326"/>
      <c r="AR21" s="326"/>
      <c r="AS21" s="326"/>
      <c r="AT21" s="326"/>
      <c r="AU21" s="326"/>
      <c r="AV21" s="326"/>
      <c r="AW21" s="326"/>
      <c r="AX21" s="326"/>
      <c r="AY21" s="326"/>
      <c r="AZ21" s="326"/>
      <c r="BA21" s="326"/>
      <c r="BB21" s="326"/>
      <c r="BC21" s="326"/>
      <c r="BD21" s="326"/>
      <c r="BE21" s="330">
        <f>IF($F21="",0,$J21*VLOOKUP($F21,Lists!$C$72:$R$152,COLUMNS(Lists!$C$69:E$69),0))*VLOOKUP(BE$3,Conversions!$B$12:$E$34,4,0)</f>
        <v>0</v>
      </c>
      <c r="BF21" s="330">
        <f>IF($F21="",0,$J21*VLOOKUP($F21,Lists!$C$72:$R$152,COLUMNS(Lists!$C$69:F$69),0))*VLOOKUP(BF$3,Conversions!$B$12:$E$34,4,0)</f>
        <v>0</v>
      </c>
      <c r="BG21" s="330">
        <f>IF($F21="",0,$J21*VLOOKUP($F21,Lists!$C$72:$R$152,COLUMNS(Lists!$C$69:G$69),0))*VLOOKUP(BG$3,Conversions!$B$12:$E$34,4,0)</f>
        <v>0</v>
      </c>
      <c r="BH21" s="330">
        <f>IF($F21="",0,$J21*VLOOKUP($F21,Lists!$C$72:$R$152,COLUMNS(Lists!$C$69:H$69),0))*VLOOKUP(BH$3,Conversions!$B$12:$E$34,4,0)</f>
        <v>0</v>
      </c>
      <c r="BI21" s="330">
        <f>IF($F21="",0,$J21*VLOOKUP($F21,Lists!$C$72:$R$152,COLUMNS(Lists!$C$69:I$69),0))*VLOOKUP(BI$3,Conversions!$B$12:$E$34,4,0)</f>
        <v>0</v>
      </c>
      <c r="BJ21" s="330">
        <f>IF($F21="",0,$J21*VLOOKUP($F21,Lists!$C$72:$R$152,COLUMNS(Lists!$C$69:J$69),0))*VLOOKUP(BJ$3,Conversions!$B$12:$E$34,4,0)</f>
        <v>0</v>
      </c>
      <c r="BK21" s="330">
        <f>IF($F21="",0,$J21*VLOOKUP($F21,Lists!$C$72:$R$152,COLUMNS(Lists!$C$69:K$69),0))*VLOOKUP(BK$3,Conversions!$B$12:$E$34,4,0)</f>
        <v>0</v>
      </c>
      <c r="BL21" s="330">
        <f>IF($F21="",0,$J21*VLOOKUP($F21,Lists!$C$72:$R$152,COLUMNS(Lists!$C$69:L$69),0))*VLOOKUP(BL$3,Conversions!$B$12:$E$34,4,0)</f>
        <v>0</v>
      </c>
      <c r="BM21" s="330">
        <f>IF($F21="",0,$J21*VLOOKUP($F21,Lists!$C$72:$R$152,COLUMNS(Lists!$C$69:M$69),0))*VLOOKUP(BM$3,Conversions!$B$12:$E$34,4,0)</f>
        <v>0</v>
      </c>
      <c r="BN21" s="330">
        <f>IF($F21="",0,$J21*VLOOKUP($F21,Lists!$C$72:$R$152,COLUMNS(Lists!$C$69:N$69),0))*VLOOKUP(BN$3,Conversions!$B$12:$E$34,4,0)</f>
        <v>0</v>
      </c>
      <c r="BO21" s="330">
        <f>IF($F21="",0,$J21*VLOOKUP($F21,Lists!$C$72:$R$152,COLUMNS(Lists!$C$69:O$69),0))*VLOOKUP(BO$3,Conversions!$B$12:$E$34,4,0)</f>
        <v>0</v>
      </c>
      <c r="BP21" s="330">
        <f>IF($F21="",0,$J21*VLOOKUP($F21,Lists!$C$72:$R$152,COLUMNS(Lists!$C$69:P$69),0))*VLOOKUP(BP$3,Conversions!$B$12:$E$34,4,0)</f>
        <v>0</v>
      </c>
      <c r="BQ21" s="330">
        <f>IF($F21="",0,$J21*VLOOKUP($F21,Lists!$C$72:$R$152,COLUMNS(Lists!$C$69:Q$69),0))*VLOOKUP(BQ$3,Conversions!$B$12:$E$34,4,0)</f>
        <v>0</v>
      </c>
      <c r="BR21" s="330">
        <f>IF($F21="",0,$J21*VLOOKUP($F21,Lists!$C$72:$R$152,COLUMNS(Lists!$C$69:R$69),0))*VLOOKUP(BR$3,Conversions!$B$12:$E$34,4,0)</f>
        <v>0</v>
      </c>
      <c r="BS21" s="330">
        <f t="shared" si="16"/>
        <v>0</v>
      </c>
      <c r="BT21" s="329">
        <f t="shared" si="17"/>
        <v>0</v>
      </c>
      <c r="BU21" s="329">
        <f t="shared" si="17"/>
        <v>0</v>
      </c>
      <c r="BV21" s="329">
        <f t="shared" si="17"/>
        <v>0</v>
      </c>
      <c r="BW21" s="329">
        <f t="shared" si="17"/>
        <v>0</v>
      </c>
      <c r="BX21" s="329">
        <f t="shared" si="17"/>
        <v>0</v>
      </c>
      <c r="BY21" s="329">
        <f t="shared" si="17"/>
        <v>0</v>
      </c>
      <c r="BZ21" s="329">
        <f t="shared" si="17"/>
        <v>0</v>
      </c>
      <c r="CA21" s="329">
        <f t="shared" si="17"/>
        <v>0</v>
      </c>
      <c r="CB21" s="329">
        <f t="shared" si="17"/>
        <v>0</v>
      </c>
      <c r="CC21" s="329">
        <f t="shared" si="17"/>
        <v>0</v>
      </c>
      <c r="CD21" s="329">
        <f t="shared" si="17"/>
        <v>0</v>
      </c>
      <c r="CE21" s="329">
        <f t="shared" si="17"/>
        <v>0</v>
      </c>
      <c r="CF21" s="329">
        <f t="shared" si="17"/>
        <v>0</v>
      </c>
      <c r="CG21" s="329">
        <f t="shared" si="17"/>
        <v>0</v>
      </c>
      <c r="CH21" s="329">
        <f t="shared" si="17"/>
        <v>0</v>
      </c>
      <c r="CI21" s="329">
        <f t="shared" si="17"/>
        <v>0</v>
      </c>
      <c r="CJ21" s="331">
        <f t="shared" si="18"/>
        <v>0</v>
      </c>
      <c r="CK21" s="330">
        <f t="shared" si="19"/>
        <v>0</v>
      </c>
      <c r="CL21" s="330">
        <f t="shared" si="20"/>
        <v>0</v>
      </c>
      <c r="CM21" s="330">
        <f t="shared" si="21"/>
        <v>0</v>
      </c>
      <c r="CN21" s="330">
        <f t="shared" si="22"/>
        <v>0</v>
      </c>
      <c r="CO21" s="330">
        <f t="shared" si="23"/>
        <v>0</v>
      </c>
      <c r="CP21" s="330">
        <f t="shared" si="24"/>
        <v>0</v>
      </c>
      <c r="CQ21" s="330">
        <f t="shared" si="11"/>
        <v>0</v>
      </c>
      <c r="CR21" s="330">
        <f t="shared" si="25"/>
        <v>0</v>
      </c>
      <c r="CS21" s="330">
        <f t="shared" si="26"/>
        <v>0</v>
      </c>
      <c r="CT21" s="330">
        <f t="shared" si="27"/>
        <v>0</v>
      </c>
      <c r="CU21" s="330">
        <f t="shared" si="28"/>
        <v>0</v>
      </c>
      <c r="CV21" s="330">
        <f t="shared" si="28"/>
        <v>0</v>
      </c>
      <c r="CW21" s="330">
        <f t="shared" si="28"/>
        <v>0</v>
      </c>
      <c r="CX21" s="330">
        <f t="shared" si="28"/>
        <v>0</v>
      </c>
      <c r="CY21" s="330">
        <f t="shared" si="28"/>
        <v>0</v>
      </c>
      <c r="CZ21" s="330">
        <f t="shared" si="28"/>
        <v>0</v>
      </c>
      <c r="DA21" s="330">
        <f t="shared" si="28"/>
        <v>0</v>
      </c>
      <c r="DB21" s="330">
        <f t="shared" si="28"/>
        <v>0</v>
      </c>
      <c r="DC21" s="330">
        <f t="shared" si="28"/>
        <v>0</v>
      </c>
      <c r="DD21" s="330">
        <f t="shared" si="28"/>
        <v>0</v>
      </c>
      <c r="DE21" s="330">
        <f t="shared" si="29"/>
        <v>0</v>
      </c>
      <c r="DF21" s="330">
        <f t="shared" si="29"/>
        <v>0</v>
      </c>
      <c r="DG21" s="330">
        <f t="shared" si="29"/>
        <v>0</v>
      </c>
      <c r="DH21" s="330">
        <f t="shared" si="29"/>
        <v>0</v>
      </c>
      <c r="DI21" s="330">
        <f t="shared" si="29"/>
        <v>0</v>
      </c>
      <c r="DJ21" s="330">
        <f t="shared" si="29"/>
        <v>0</v>
      </c>
      <c r="DK21" s="330">
        <f t="shared" si="29"/>
        <v>0</v>
      </c>
      <c r="DL21" s="330">
        <f t="shared" si="29"/>
        <v>0</v>
      </c>
      <c r="DM21" s="330">
        <f t="shared" si="29"/>
        <v>0</v>
      </c>
      <c r="DN21" s="330">
        <f t="shared" si="29"/>
        <v>0</v>
      </c>
      <c r="DO21" s="330">
        <f t="shared" si="29"/>
        <v>0</v>
      </c>
      <c r="DP21" s="330">
        <f t="shared" si="30"/>
        <v>0</v>
      </c>
      <c r="DQ21" s="217"/>
      <c r="DR21" s="217"/>
      <c r="DS21" s="217"/>
      <c r="DT21" s="217"/>
    </row>
    <row r="22" spans="1:124" x14ac:dyDescent="0.3">
      <c r="A22" s="324"/>
      <c r="B22" s="221" t="s">
        <v>481</v>
      </c>
      <c r="C22" s="221" t="str">
        <f>IF('Default - Material Balance'!C32=0,"",'Default - Material Balance'!C32)</f>
        <v/>
      </c>
      <c r="D22" s="221" t="str">
        <f>IF('Default - Material Balance'!D32=0,"",'Default - Material Balance'!D32)</f>
        <v/>
      </c>
      <c r="E22" s="221" t="str">
        <f>IF('Default - Material Balance'!E32=0,"",'Default - Material Balance'!E32)</f>
        <v/>
      </c>
      <c r="F22" s="221" t="str">
        <f>IF('Default - Material Balance'!F32=0,"",'Default - Material Balance'!F32)</f>
        <v/>
      </c>
      <c r="G22" s="222"/>
      <c r="H22" s="222"/>
      <c r="I22" s="222"/>
      <c r="J22" s="325">
        <f>IF('Default - Material Balance'!M32=0,0,'Default - Material Balance'!M32)</f>
        <v>0</v>
      </c>
      <c r="K22" s="465"/>
      <c r="L22" s="326"/>
      <c r="M22" s="326"/>
      <c r="N22" s="326"/>
      <c r="O22" s="326"/>
      <c r="P22" s="326"/>
      <c r="Q22" s="326"/>
      <c r="R22" s="326"/>
      <c r="S22" s="326"/>
      <c r="T22" s="326"/>
      <c r="U22" s="326"/>
      <c r="V22" s="326"/>
      <c r="W22" s="326"/>
      <c r="X22" s="326"/>
      <c r="Y22" s="326"/>
      <c r="Z22" s="327"/>
      <c r="AA22" s="328"/>
      <c r="AB22" s="328"/>
      <c r="AC22" s="328"/>
      <c r="AD22" s="328"/>
      <c r="AE22" s="328"/>
      <c r="AF22" s="328"/>
      <c r="AG22" s="328"/>
      <c r="AH22" s="328"/>
      <c r="AI22" s="328"/>
      <c r="AJ22" s="328"/>
      <c r="AK22" s="328"/>
      <c r="AL22" s="328"/>
      <c r="AM22" s="328"/>
      <c r="AN22" s="328"/>
      <c r="AO22" s="329"/>
      <c r="AP22" s="326"/>
      <c r="AQ22" s="326"/>
      <c r="AR22" s="326"/>
      <c r="AS22" s="326"/>
      <c r="AT22" s="326"/>
      <c r="AU22" s="326"/>
      <c r="AV22" s="326"/>
      <c r="AW22" s="326"/>
      <c r="AX22" s="326"/>
      <c r="AY22" s="326"/>
      <c r="AZ22" s="326"/>
      <c r="BA22" s="326"/>
      <c r="BB22" s="326"/>
      <c r="BC22" s="326"/>
      <c r="BD22" s="326"/>
      <c r="BE22" s="330">
        <f>IF($F22="",0,$J22*VLOOKUP($F22,Lists!$C$72:$R$152,COLUMNS(Lists!$C$69:E$69),0))*VLOOKUP(BE$3,Conversions!$B$12:$E$34,4,0)</f>
        <v>0</v>
      </c>
      <c r="BF22" s="330">
        <f>IF($F22="",0,$J22*VLOOKUP($F22,Lists!$C$72:$R$152,COLUMNS(Lists!$C$69:F$69),0))*VLOOKUP(BF$3,Conversions!$B$12:$E$34,4,0)</f>
        <v>0</v>
      </c>
      <c r="BG22" s="330">
        <f>IF($F22="",0,$J22*VLOOKUP($F22,Lists!$C$72:$R$152,COLUMNS(Lists!$C$69:G$69),0))*VLOOKUP(BG$3,Conversions!$B$12:$E$34,4,0)</f>
        <v>0</v>
      </c>
      <c r="BH22" s="330">
        <f>IF($F22="",0,$J22*VLOOKUP($F22,Lists!$C$72:$R$152,COLUMNS(Lists!$C$69:H$69),0))*VLOOKUP(BH$3,Conversions!$B$12:$E$34,4,0)</f>
        <v>0</v>
      </c>
      <c r="BI22" s="330">
        <f>IF($F22="",0,$J22*VLOOKUP($F22,Lists!$C$72:$R$152,COLUMNS(Lists!$C$69:I$69),0))*VLOOKUP(BI$3,Conversions!$B$12:$E$34,4,0)</f>
        <v>0</v>
      </c>
      <c r="BJ22" s="330">
        <f>IF($F22="",0,$J22*VLOOKUP($F22,Lists!$C$72:$R$152,COLUMNS(Lists!$C$69:J$69),0))*VLOOKUP(BJ$3,Conversions!$B$12:$E$34,4,0)</f>
        <v>0</v>
      </c>
      <c r="BK22" s="330">
        <f>IF($F22="",0,$J22*VLOOKUP($F22,Lists!$C$72:$R$152,COLUMNS(Lists!$C$69:K$69),0))*VLOOKUP(BK$3,Conversions!$B$12:$E$34,4,0)</f>
        <v>0</v>
      </c>
      <c r="BL22" s="330">
        <f>IF($F22="",0,$J22*VLOOKUP($F22,Lists!$C$72:$R$152,COLUMNS(Lists!$C$69:L$69),0))*VLOOKUP(BL$3,Conversions!$B$12:$E$34,4,0)</f>
        <v>0</v>
      </c>
      <c r="BM22" s="330">
        <f>IF($F22="",0,$J22*VLOOKUP($F22,Lists!$C$72:$R$152,COLUMNS(Lists!$C$69:M$69),0))*VLOOKUP(BM$3,Conversions!$B$12:$E$34,4,0)</f>
        <v>0</v>
      </c>
      <c r="BN22" s="330">
        <f>IF($F22="",0,$J22*VLOOKUP($F22,Lists!$C$72:$R$152,COLUMNS(Lists!$C$69:N$69),0))*VLOOKUP(BN$3,Conversions!$B$12:$E$34,4,0)</f>
        <v>0</v>
      </c>
      <c r="BO22" s="330">
        <f>IF($F22="",0,$J22*VLOOKUP($F22,Lists!$C$72:$R$152,COLUMNS(Lists!$C$69:O$69),0))*VLOOKUP(BO$3,Conversions!$B$12:$E$34,4,0)</f>
        <v>0</v>
      </c>
      <c r="BP22" s="330">
        <f>IF($F22="",0,$J22*VLOOKUP($F22,Lists!$C$72:$R$152,COLUMNS(Lists!$C$69:P$69),0))*VLOOKUP(BP$3,Conversions!$B$12:$E$34,4,0)</f>
        <v>0</v>
      </c>
      <c r="BQ22" s="330">
        <f>IF($F22="",0,$J22*VLOOKUP($F22,Lists!$C$72:$R$152,COLUMNS(Lists!$C$69:Q$69),0))*VLOOKUP(BQ$3,Conversions!$B$12:$E$34,4,0)</f>
        <v>0</v>
      </c>
      <c r="BR22" s="330">
        <f>IF($F22="",0,$J22*VLOOKUP($F22,Lists!$C$72:$R$152,COLUMNS(Lists!$C$69:R$69),0))*VLOOKUP(BR$3,Conversions!$B$12:$E$34,4,0)</f>
        <v>0</v>
      </c>
      <c r="BS22" s="330">
        <f t="shared" si="16"/>
        <v>0</v>
      </c>
      <c r="BT22" s="329">
        <f t="shared" si="17"/>
        <v>0</v>
      </c>
      <c r="BU22" s="329">
        <f t="shared" si="17"/>
        <v>0</v>
      </c>
      <c r="BV22" s="329">
        <f t="shared" si="17"/>
        <v>0</v>
      </c>
      <c r="BW22" s="329">
        <f t="shared" si="17"/>
        <v>0</v>
      </c>
      <c r="BX22" s="329">
        <f t="shared" si="17"/>
        <v>0</v>
      </c>
      <c r="BY22" s="329">
        <f t="shared" si="17"/>
        <v>0</v>
      </c>
      <c r="BZ22" s="329">
        <f t="shared" si="17"/>
        <v>0</v>
      </c>
      <c r="CA22" s="329">
        <f t="shared" si="17"/>
        <v>0</v>
      </c>
      <c r="CB22" s="329">
        <f t="shared" si="17"/>
        <v>0</v>
      </c>
      <c r="CC22" s="329">
        <f t="shared" si="17"/>
        <v>0</v>
      </c>
      <c r="CD22" s="329">
        <f t="shared" si="17"/>
        <v>0</v>
      </c>
      <c r="CE22" s="329">
        <f t="shared" si="17"/>
        <v>0</v>
      </c>
      <c r="CF22" s="329">
        <f t="shared" si="17"/>
        <v>0</v>
      </c>
      <c r="CG22" s="329">
        <f t="shared" si="17"/>
        <v>0</v>
      </c>
      <c r="CH22" s="329">
        <f t="shared" si="17"/>
        <v>0</v>
      </c>
      <c r="CI22" s="329">
        <f t="shared" si="17"/>
        <v>0</v>
      </c>
      <c r="CJ22" s="331">
        <f t="shared" si="18"/>
        <v>0</v>
      </c>
      <c r="CK22" s="330">
        <f t="shared" si="19"/>
        <v>0</v>
      </c>
      <c r="CL22" s="330">
        <f t="shared" si="20"/>
        <v>0</v>
      </c>
      <c r="CM22" s="330">
        <f t="shared" si="21"/>
        <v>0</v>
      </c>
      <c r="CN22" s="330">
        <f t="shared" si="22"/>
        <v>0</v>
      </c>
      <c r="CO22" s="330">
        <f t="shared" si="23"/>
        <v>0</v>
      </c>
      <c r="CP22" s="330">
        <f t="shared" si="24"/>
        <v>0</v>
      </c>
      <c r="CQ22" s="330">
        <f t="shared" si="11"/>
        <v>0</v>
      </c>
      <c r="CR22" s="330">
        <f t="shared" si="25"/>
        <v>0</v>
      </c>
      <c r="CS22" s="330">
        <f t="shared" si="26"/>
        <v>0</v>
      </c>
      <c r="CT22" s="330">
        <f t="shared" si="27"/>
        <v>0</v>
      </c>
      <c r="CU22" s="330">
        <f t="shared" si="28"/>
        <v>0</v>
      </c>
      <c r="CV22" s="330">
        <f t="shared" si="28"/>
        <v>0</v>
      </c>
      <c r="CW22" s="330">
        <f t="shared" si="28"/>
        <v>0</v>
      </c>
      <c r="CX22" s="330">
        <f t="shared" si="28"/>
        <v>0</v>
      </c>
      <c r="CY22" s="330">
        <f t="shared" si="28"/>
        <v>0</v>
      </c>
      <c r="CZ22" s="330">
        <f t="shared" si="28"/>
        <v>0</v>
      </c>
      <c r="DA22" s="330">
        <f t="shared" si="28"/>
        <v>0</v>
      </c>
      <c r="DB22" s="330">
        <f t="shared" si="28"/>
        <v>0</v>
      </c>
      <c r="DC22" s="330">
        <f t="shared" si="28"/>
        <v>0</v>
      </c>
      <c r="DD22" s="330">
        <f t="shared" si="28"/>
        <v>0</v>
      </c>
      <c r="DE22" s="330">
        <f t="shared" si="29"/>
        <v>0</v>
      </c>
      <c r="DF22" s="330">
        <f t="shared" si="29"/>
        <v>0</v>
      </c>
      <c r="DG22" s="330">
        <f t="shared" si="29"/>
        <v>0</v>
      </c>
      <c r="DH22" s="330">
        <f t="shared" si="29"/>
        <v>0</v>
      </c>
      <c r="DI22" s="330">
        <f t="shared" si="29"/>
        <v>0</v>
      </c>
      <c r="DJ22" s="330">
        <f t="shared" si="29"/>
        <v>0</v>
      </c>
      <c r="DK22" s="330">
        <f t="shared" si="29"/>
        <v>0</v>
      </c>
      <c r="DL22" s="330">
        <f t="shared" si="29"/>
        <v>0</v>
      </c>
      <c r="DM22" s="330">
        <f t="shared" si="29"/>
        <v>0</v>
      </c>
      <c r="DN22" s="330">
        <f t="shared" si="29"/>
        <v>0</v>
      </c>
      <c r="DO22" s="330">
        <f t="shared" si="29"/>
        <v>0</v>
      </c>
      <c r="DP22" s="330">
        <f t="shared" si="30"/>
        <v>0</v>
      </c>
      <c r="DQ22" s="217"/>
      <c r="DR22" s="217"/>
      <c r="DS22" s="217"/>
      <c r="DT22" s="217"/>
    </row>
    <row r="23" spans="1:124" x14ac:dyDescent="0.3">
      <c r="A23" s="324"/>
      <c r="B23" s="221" t="s">
        <v>481</v>
      </c>
      <c r="C23" s="221" t="str">
        <f>IF('Default - Material Balance'!C33=0,"",'Default - Material Balance'!C33)</f>
        <v/>
      </c>
      <c r="D23" s="221" t="str">
        <f>IF('Default - Material Balance'!D33=0,"",'Default - Material Balance'!D33)</f>
        <v/>
      </c>
      <c r="E23" s="221" t="str">
        <f>IF('Default - Material Balance'!E33=0,"",'Default - Material Balance'!E33)</f>
        <v/>
      </c>
      <c r="F23" s="221" t="str">
        <f>IF('Default - Material Balance'!F33=0,"",'Default - Material Balance'!F33)</f>
        <v/>
      </c>
      <c r="G23" s="222"/>
      <c r="H23" s="222"/>
      <c r="I23" s="222"/>
      <c r="J23" s="325">
        <f>IF('Default - Material Balance'!M33=0,0,'Default - Material Balance'!M33)</f>
        <v>0</v>
      </c>
      <c r="K23" s="465"/>
      <c r="L23" s="326"/>
      <c r="M23" s="326"/>
      <c r="N23" s="326"/>
      <c r="O23" s="326"/>
      <c r="P23" s="326"/>
      <c r="Q23" s="326"/>
      <c r="R23" s="326"/>
      <c r="S23" s="326"/>
      <c r="T23" s="326"/>
      <c r="U23" s="326"/>
      <c r="V23" s="326"/>
      <c r="W23" s="326"/>
      <c r="X23" s="326"/>
      <c r="Y23" s="326"/>
      <c r="Z23" s="327"/>
      <c r="AA23" s="328"/>
      <c r="AB23" s="328"/>
      <c r="AC23" s="328"/>
      <c r="AD23" s="328"/>
      <c r="AE23" s="328"/>
      <c r="AF23" s="328"/>
      <c r="AG23" s="328"/>
      <c r="AH23" s="328"/>
      <c r="AI23" s="328"/>
      <c r="AJ23" s="328"/>
      <c r="AK23" s="328"/>
      <c r="AL23" s="328"/>
      <c r="AM23" s="328"/>
      <c r="AN23" s="328"/>
      <c r="AO23" s="329"/>
      <c r="AP23" s="326"/>
      <c r="AQ23" s="326"/>
      <c r="AR23" s="326"/>
      <c r="AS23" s="326"/>
      <c r="AT23" s="326"/>
      <c r="AU23" s="326"/>
      <c r="AV23" s="326"/>
      <c r="AW23" s="326"/>
      <c r="AX23" s="326"/>
      <c r="AY23" s="326"/>
      <c r="AZ23" s="326"/>
      <c r="BA23" s="326"/>
      <c r="BB23" s="326"/>
      <c r="BC23" s="326"/>
      <c r="BD23" s="326"/>
      <c r="BE23" s="330">
        <f>IF($F23="",0,$J23*VLOOKUP($F23,Lists!$C$72:$R$152,COLUMNS(Lists!$C$69:E$69),0))*VLOOKUP(BE$3,Conversions!$B$12:$E$34,4,0)</f>
        <v>0</v>
      </c>
      <c r="BF23" s="330">
        <f>IF($F23="",0,$J23*VLOOKUP($F23,Lists!$C$72:$R$152,COLUMNS(Lists!$C$69:F$69),0))*VLOOKUP(BF$3,Conversions!$B$12:$E$34,4,0)</f>
        <v>0</v>
      </c>
      <c r="BG23" s="330">
        <f>IF($F23="",0,$J23*VLOOKUP($F23,Lists!$C$72:$R$152,COLUMNS(Lists!$C$69:G$69),0))*VLOOKUP(BG$3,Conversions!$B$12:$E$34,4,0)</f>
        <v>0</v>
      </c>
      <c r="BH23" s="330">
        <f>IF($F23="",0,$J23*VLOOKUP($F23,Lists!$C$72:$R$152,COLUMNS(Lists!$C$69:H$69),0))*VLOOKUP(BH$3,Conversions!$B$12:$E$34,4,0)</f>
        <v>0</v>
      </c>
      <c r="BI23" s="330">
        <f>IF($F23="",0,$J23*VLOOKUP($F23,Lists!$C$72:$R$152,COLUMNS(Lists!$C$69:I$69),0))*VLOOKUP(BI$3,Conversions!$B$12:$E$34,4,0)</f>
        <v>0</v>
      </c>
      <c r="BJ23" s="330">
        <f>IF($F23="",0,$J23*VLOOKUP($F23,Lists!$C$72:$R$152,COLUMNS(Lists!$C$69:J$69),0))*VLOOKUP(BJ$3,Conversions!$B$12:$E$34,4,0)</f>
        <v>0</v>
      </c>
      <c r="BK23" s="330">
        <f>IF($F23="",0,$J23*VLOOKUP($F23,Lists!$C$72:$R$152,COLUMNS(Lists!$C$69:K$69),0))*VLOOKUP(BK$3,Conversions!$B$12:$E$34,4,0)</f>
        <v>0</v>
      </c>
      <c r="BL23" s="330">
        <f>IF($F23="",0,$J23*VLOOKUP($F23,Lists!$C$72:$R$152,COLUMNS(Lists!$C$69:L$69),0))*VLOOKUP(BL$3,Conversions!$B$12:$E$34,4,0)</f>
        <v>0</v>
      </c>
      <c r="BM23" s="330">
        <f>IF($F23="",0,$J23*VLOOKUP($F23,Lists!$C$72:$R$152,COLUMNS(Lists!$C$69:M$69),0))*VLOOKUP(BM$3,Conversions!$B$12:$E$34,4,0)</f>
        <v>0</v>
      </c>
      <c r="BN23" s="330">
        <f>IF($F23="",0,$J23*VLOOKUP($F23,Lists!$C$72:$R$152,COLUMNS(Lists!$C$69:N$69),0))*VLOOKUP(BN$3,Conversions!$B$12:$E$34,4,0)</f>
        <v>0</v>
      </c>
      <c r="BO23" s="330">
        <f>IF($F23="",0,$J23*VLOOKUP($F23,Lists!$C$72:$R$152,COLUMNS(Lists!$C$69:O$69),0))*VLOOKUP(BO$3,Conversions!$B$12:$E$34,4,0)</f>
        <v>0</v>
      </c>
      <c r="BP23" s="330">
        <f>IF($F23="",0,$J23*VLOOKUP($F23,Lists!$C$72:$R$152,COLUMNS(Lists!$C$69:P$69),0))*VLOOKUP(BP$3,Conversions!$B$12:$E$34,4,0)</f>
        <v>0</v>
      </c>
      <c r="BQ23" s="330">
        <f>IF($F23="",0,$J23*VLOOKUP($F23,Lists!$C$72:$R$152,COLUMNS(Lists!$C$69:Q$69),0))*VLOOKUP(BQ$3,Conversions!$B$12:$E$34,4,0)</f>
        <v>0</v>
      </c>
      <c r="BR23" s="330">
        <f>IF($F23="",0,$J23*VLOOKUP($F23,Lists!$C$72:$R$152,COLUMNS(Lists!$C$69:R$69),0))*VLOOKUP(BR$3,Conversions!$B$12:$E$34,4,0)</f>
        <v>0</v>
      </c>
      <c r="BS23" s="330">
        <f t="shared" si="16"/>
        <v>0</v>
      </c>
      <c r="BT23" s="329">
        <f t="shared" si="17"/>
        <v>0</v>
      </c>
      <c r="BU23" s="329">
        <f t="shared" si="17"/>
        <v>0</v>
      </c>
      <c r="BV23" s="329">
        <f t="shared" si="17"/>
        <v>0</v>
      </c>
      <c r="BW23" s="329">
        <f t="shared" si="17"/>
        <v>0</v>
      </c>
      <c r="BX23" s="329">
        <f t="shared" si="17"/>
        <v>0</v>
      </c>
      <c r="BY23" s="329">
        <f t="shared" si="17"/>
        <v>0</v>
      </c>
      <c r="BZ23" s="329">
        <f t="shared" si="17"/>
        <v>0</v>
      </c>
      <c r="CA23" s="329">
        <f t="shared" si="17"/>
        <v>0</v>
      </c>
      <c r="CB23" s="329">
        <f t="shared" si="17"/>
        <v>0</v>
      </c>
      <c r="CC23" s="329">
        <f t="shared" si="17"/>
        <v>0</v>
      </c>
      <c r="CD23" s="329">
        <f t="shared" si="17"/>
        <v>0</v>
      </c>
      <c r="CE23" s="329">
        <f t="shared" si="17"/>
        <v>0</v>
      </c>
      <c r="CF23" s="329">
        <f t="shared" si="17"/>
        <v>0</v>
      </c>
      <c r="CG23" s="329">
        <f t="shared" si="17"/>
        <v>0</v>
      </c>
      <c r="CH23" s="329">
        <f t="shared" si="17"/>
        <v>0</v>
      </c>
      <c r="CI23" s="329">
        <f t="shared" si="17"/>
        <v>0</v>
      </c>
      <c r="CJ23" s="331">
        <f t="shared" si="18"/>
        <v>0</v>
      </c>
      <c r="CK23" s="330">
        <f t="shared" si="19"/>
        <v>0</v>
      </c>
      <c r="CL23" s="330">
        <f t="shared" si="20"/>
        <v>0</v>
      </c>
      <c r="CM23" s="330">
        <f t="shared" si="21"/>
        <v>0</v>
      </c>
      <c r="CN23" s="330">
        <f t="shared" si="22"/>
        <v>0</v>
      </c>
      <c r="CO23" s="330">
        <f t="shared" si="23"/>
        <v>0</v>
      </c>
      <c r="CP23" s="330">
        <f t="shared" si="24"/>
        <v>0</v>
      </c>
      <c r="CQ23" s="330">
        <f t="shared" si="11"/>
        <v>0</v>
      </c>
      <c r="CR23" s="330">
        <f t="shared" si="25"/>
        <v>0</v>
      </c>
      <c r="CS23" s="330">
        <f t="shared" si="26"/>
        <v>0</v>
      </c>
      <c r="CT23" s="330">
        <f t="shared" si="27"/>
        <v>0</v>
      </c>
      <c r="CU23" s="330">
        <f t="shared" si="28"/>
        <v>0</v>
      </c>
      <c r="CV23" s="330">
        <f t="shared" si="28"/>
        <v>0</v>
      </c>
      <c r="CW23" s="330">
        <f t="shared" si="28"/>
        <v>0</v>
      </c>
      <c r="CX23" s="330">
        <f t="shared" si="28"/>
        <v>0</v>
      </c>
      <c r="CY23" s="330">
        <f t="shared" si="28"/>
        <v>0</v>
      </c>
      <c r="CZ23" s="330">
        <f t="shared" si="28"/>
        <v>0</v>
      </c>
      <c r="DA23" s="330">
        <f t="shared" si="28"/>
        <v>0</v>
      </c>
      <c r="DB23" s="330">
        <f t="shared" si="28"/>
        <v>0</v>
      </c>
      <c r="DC23" s="330">
        <f t="shared" si="28"/>
        <v>0</v>
      </c>
      <c r="DD23" s="330">
        <f t="shared" si="28"/>
        <v>0</v>
      </c>
      <c r="DE23" s="330">
        <f t="shared" si="29"/>
        <v>0</v>
      </c>
      <c r="DF23" s="330">
        <f t="shared" si="29"/>
        <v>0</v>
      </c>
      <c r="DG23" s="330">
        <f t="shared" si="29"/>
        <v>0</v>
      </c>
      <c r="DH23" s="330">
        <f t="shared" si="29"/>
        <v>0</v>
      </c>
      <c r="DI23" s="330">
        <f t="shared" si="29"/>
        <v>0</v>
      </c>
      <c r="DJ23" s="330">
        <f t="shared" si="29"/>
        <v>0</v>
      </c>
      <c r="DK23" s="330">
        <f t="shared" si="29"/>
        <v>0</v>
      </c>
      <c r="DL23" s="330">
        <f t="shared" si="29"/>
        <v>0</v>
      </c>
      <c r="DM23" s="330">
        <f t="shared" si="29"/>
        <v>0</v>
      </c>
      <c r="DN23" s="330">
        <f t="shared" si="29"/>
        <v>0</v>
      </c>
      <c r="DO23" s="330">
        <f t="shared" si="29"/>
        <v>0</v>
      </c>
      <c r="DP23" s="330">
        <f t="shared" si="30"/>
        <v>0</v>
      </c>
      <c r="DQ23" s="217"/>
      <c r="DR23" s="217"/>
      <c r="DS23" s="217"/>
      <c r="DT23" s="217"/>
    </row>
    <row r="24" spans="1:124" x14ac:dyDescent="0.3">
      <c r="A24" s="324"/>
      <c r="B24" s="221" t="s">
        <v>481</v>
      </c>
      <c r="C24" s="221" t="str">
        <f>IF('Default - Material Balance'!C34=0,"",'Default - Material Balance'!C34)</f>
        <v/>
      </c>
      <c r="D24" s="221" t="str">
        <f>IF('Default - Material Balance'!D34=0,"",'Default - Material Balance'!D34)</f>
        <v/>
      </c>
      <c r="E24" s="221" t="str">
        <f>IF('Default - Material Balance'!E34=0,"",'Default - Material Balance'!E34)</f>
        <v/>
      </c>
      <c r="F24" s="221" t="str">
        <f>IF('Default - Material Balance'!F34=0,"",'Default - Material Balance'!F34)</f>
        <v/>
      </c>
      <c r="G24" s="222"/>
      <c r="H24" s="222"/>
      <c r="I24" s="222"/>
      <c r="J24" s="325">
        <f>IF('Default - Material Balance'!M34=0,0,'Default - Material Balance'!M34)</f>
        <v>0</v>
      </c>
      <c r="K24" s="465"/>
      <c r="L24" s="326"/>
      <c r="M24" s="326"/>
      <c r="N24" s="326"/>
      <c r="O24" s="326"/>
      <c r="P24" s="326"/>
      <c r="Q24" s="326"/>
      <c r="R24" s="326"/>
      <c r="S24" s="326"/>
      <c r="T24" s="326"/>
      <c r="U24" s="326"/>
      <c r="V24" s="326"/>
      <c r="W24" s="326"/>
      <c r="X24" s="326"/>
      <c r="Y24" s="326"/>
      <c r="Z24" s="327"/>
      <c r="AA24" s="328"/>
      <c r="AB24" s="328"/>
      <c r="AC24" s="328"/>
      <c r="AD24" s="328"/>
      <c r="AE24" s="328"/>
      <c r="AF24" s="328"/>
      <c r="AG24" s="328"/>
      <c r="AH24" s="328"/>
      <c r="AI24" s="328"/>
      <c r="AJ24" s="328"/>
      <c r="AK24" s="328"/>
      <c r="AL24" s="328"/>
      <c r="AM24" s="328"/>
      <c r="AN24" s="328"/>
      <c r="AO24" s="329"/>
      <c r="AP24" s="326"/>
      <c r="AQ24" s="326"/>
      <c r="AR24" s="326"/>
      <c r="AS24" s="326"/>
      <c r="AT24" s="326"/>
      <c r="AU24" s="326"/>
      <c r="AV24" s="326"/>
      <c r="AW24" s="326"/>
      <c r="AX24" s="326"/>
      <c r="AY24" s="326"/>
      <c r="AZ24" s="326"/>
      <c r="BA24" s="326"/>
      <c r="BB24" s="326"/>
      <c r="BC24" s="326"/>
      <c r="BD24" s="326"/>
      <c r="BE24" s="330">
        <f>IF($F24="",0,$J24*VLOOKUP($F24,Lists!$C$72:$R$152,COLUMNS(Lists!$C$69:E$69),0))*VLOOKUP(BE$3,Conversions!$B$12:$E$34,4,0)</f>
        <v>0</v>
      </c>
      <c r="BF24" s="330">
        <f>IF($F24="",0,$J24*VLOOKUP($F24,Lists!$C$72:$R$152,COLUMNS(Lists!$C$69:F$69),0))*VLOOKUP(BF$3,Conversions!$B$12:$E$34,4,0)</f>
        <v>0</v>
      </c>
      <c r="BG24" s="330">
        <f>IF($F24="",0,$J24*VLOOKUP($F24,Lists!$C$72:$R$152,COLUMNS(Lists!$C$69:G$69),0))*VLOOKUP(BG$3,Conversions!$B$12:$E$34,4,0)</f>
        <v>0</v>
      </c>
      <c r="BH24" s="330">
        <f>IF($F24="",0,$J24*VLOOKUP($F24,Lists!$C$72:$R$152,COLUMNS(Lists!$C$69:H$69),0))*VLOOKUP(BH$3,Conversions!$B$12:$E$34,4,0)</f>
        <v>0</v>
      </c>
      <c r="BI24" s="330">
        <f>IF($F24="",0,$J24*VLOOKUP($F24,Lists!$C$72:$R$152,COLUMNS(Lists!$C$69:I$69),0))*VLOOKUP(BI$3,Conversions!$B$12:$E$34,4,0)</f>
        <v>0</v>
      </c>
      <c r="BJ24" s="330">
        <f>IF($F24="",0,$J24*VLOOKUP($F24,Lists!$C$72:$R$152,COLUMNS(Lists!$C$69:J$69),0))*VLOOKUP(BJ$3,Conversions!$B$12:$E$34,4,0)</f>
        <v>0</v>
      </c>
      <c r="BK24" s="330">
        <f>IF($F24="",0,$J24*VLOOKUP($F24,Lists!$C$72:$R$152,COLUMNS(Lists!$C$69:K$69),0))*VLOOKUP(BK$3,Conversions!$B$12:$E$34,4,0)</f>
        <v>0</v>
      </c>
      <c r="BL24" s="330">
        <f>IF($F24="",0,$J24*VLOOKUP($F24,Lists!$C$72:$R$152,COLUMNS(Lists!$C$69:L$69),0))*VLOOKUP(BL$3,Conversions!$B$12:$E$34,4,0)</f>
        <v>0</v>
      </c>
      <c r="BM24" s="330">
        <f>IF($F24="",0,$J24*VLOOKUP($F24,Lists!$C$72:$R$152,COLUMNS(Lists!$C$69:M$69),0))*VLOOKUP(BM$3,Conversions!$B$12:$E$34,4,0)</f>
        <v>0</v>
      </c>
      <c r="BN24" s="330">
        <f>IF($F24="",0,$J24*VLOOKUP($F24,Lists!$C$72:$R$152,COLUMNS(Lists!$C$69:N$69),0))*VLOOKUP(BN$3,Conversions!$B$12:$E$34,4,0)</f>
        <v>0</v>
      </c>
      <c r="BO24" s="330">
        <f>IF($F24="",0,$J24*VLOOKUP($F24,Lists!$C$72:$R$152,COLUMNS(Lists!$C$69:O$69),0))*VLOOKUP(BO$3,Conversions!$B$12:$E$34,4,0)</f>
        <v>0</v>
      </c>
      <c r="BP24" s="330">
        <f>IF($F24="",0,$J24*VLOOKUP($F24,Lists!$C$72:$R$152,COLUMNS(Lists!$C$69:P$69),0))*VLOOKUP(BP$3,Conversions!$B$12:$E$34,4,0)</f>
        <v>0</v>
      </c>
      <c r="BQ24" s="330">
        <f>IF($F24="",0,$J24*VLOOKUP($F24,Lists!$C$72:$R$152,COLUMNS(Lists!$C$69:Q$69),0))*VLOOKUP(BQ$3,Conversions!$B$12:$E$34,4,0)</f>
        <v>0</v>
      </c>
      <c r="BR24" s="330">
        <f>IF($F24="",0,$J24*VLOOKUP($F24,Lists!$C$72:$R$152,COLUMNS(Lists!$C$69:R$69),0))*VLOOKUP(BR$3,Conversions!$B$12:$E$34,4,0)</f>
        <v>0</v>
      </c>
      <c r="BS24" s="330">
        <f t="shared" si="16"/>
        <v>0</v>
      </c>
      <c r="BT24" s="329">
        <f t="shared" ref="BT24:CI33" si="31">IF($E24="",0,IF($E24=BT$3,$BS24,0))</f>
        <v>0</v>
      </c>
      <c r="BU24" s="329">
        <f t="shared" si="31"/>
        <v>0</v>
      </c>
      <c r="BV24" s="329">
        <f t="shared" si="31"/>
        <v>0</v>
      </c>
      <c r="BW24" s="329">
        <f t="shared" si="31"/>
        <v>0</v>
      </c>
      <c r="BX24" s="329">
        <f t="shared" si="31"/>
        <v>0</v>
      </c>
      <c r="BY24" s="329">
        <f t="shared" si="31"/>
        <v>0</v>
      </c>
      <c r="BZ24" s="329">
        <f t="shared" si="31"/>
        <v>0</v>
      </c>
      <c r="CA24" s="329">
        <f t="shared" si="31"/>
        <v>0</v>
      </c>
      <c r="CB24" s="329">
        <f t="shared" si="31"/>
        <v>0</v>
      </c>
      <c r="CC24" s="329">
        <f t="shared" si="31"/>
        <v>0</v>
      </c>
      <c r="CD24" s="329">
        <f t="shared" si="31"/>
        <v>0</v>
      </c>
      <c r="CE24" s="329">
        <f t="shared" si="31"/>
        <v>0</v>
      </c>
      <c r="CF24" s="329">
        <f t="shared" si="31"/>
        <v>0</v>
      </c>
      <c r="CG24" s="329">
        <f t="shared" si="31"/>
        <v>0</v>
      </c>
      <c r="CH24" s="329">
        <f t="shared" si="31"/>
        <v>0</v>
      </c>
      <c r="CI24" s="329">
        <f t="shared" si="31"/>
        <v>0</v>
      </c>
      <c r="CJ24" s="331">
        <f t="shared" si="18"/>
        <v>0</v>
      </c>
      <c r="CK24" s="330">
        <f t="shared" si="19"/>
        <v>0</v>
      </c>
      <c r="CL24" s="330">
        <f t="shared" si="20"/>
        <v>0</v>
      </c>
      <c r="CM24" s="330">
        <f t="shared" si="21"/>
        <v>0</v>
      </c>
      <c r="CN24" s="330">
        <f t="shared" si="22"/>
        <v>0</v>
      </c>
      <c r="CO24" s="330">
        <f t="shared" si="23"/>
        <v>0</v>
      </c>
      <c r="CP24" s="330">
        <f t="shared" si="24"/>
        <v>0</v>
      </c>
      <c r="CQ24" s="330">
        <f t="shared" si="11"/>
        <v>0</v>
      </c>
      <c r="CR24" s="330">
        <f t="shared" si="25"/>
        <v>0</v>
      </c>
      <c r="CS24" s="330">
        <f t="shared" si="26"/>
        <v>0</v>
      </c>
      <c r="CT24" s="330">
        <f t="shared" si="27"/>
        <v>0</v>
      </c>
      <c r="CU24" s="330">
        <f t="shared" ref="CU24:DD33" si="32">IF($C24=CU$3,$BS24,0)</f>
        <v>0</v>
      </c>
      <c r="CV24" s="330">
        <f t="shared" si="32"/>
        <v>0</v>
      </c>
      <c r="CW24" s="330">
        <f t="shared" si="32"/>
        <v>0</v>
      </c>
      <c r="CX24" s="330">
        <f t="shared" si="32"/>
        <v>0</v>
      </c>
      <c r="CY24" s="330">
        <f t="shared" si="32"/>
        <v>0</v>
      </c>
      <c r="CZ24" s="330">
        <f t="shared" si="32"/>
        <v>0</v>
      </c>
      <c r="DA24" s="330">
        <f t="shared" si="32"/>
        <v>0</v>
      </c>
      <c r="DB24" s="330">
        <f t="shared" si="32"/>
        <v>0</v>
      </c>
      <c r="DC24" s="330">
        <f t="shared" si="32"/>
        <v>0</v>
      </c>
      <c r="DD24" s="330">
        <f t="shared" si="32"/>
        <v>0</v>
      </c>
      <c r="DE24" s="330">
        <f t="shared" ref="DE24:DO33" si="33">IF($C24=DE$3,$BS24,0)</f>
        <v>0</v>
      </c>
      <c r="DF24" s="330">
        <f t="shared" si="33"/>
        <v>0</v>
      </c>
      <c r="DG24" s="330">
        <f t="shared" si="33"/>
        <v>0</v>
      </c>
      <c r="DH24" s="330">
        <f t="shared" si="33"/>
        <v>0</v>
      </c>
      <c r="DI24" s="330">
        <f t="shared" si="33"/>
        <v>0</v>
      </c>
      <c r="DJ24" s="330">
        <f t="shared" si="33"/>
        <v>0</v>
      </c>
      <c r="DK24" s="330">
        <f t="shared" si="33"/>
        <v>0</v>
      </c>
      <c r="DL24" s="330">
        <f t="shared" si="33"/>
        <v>0</v>
      </c>
      <c r="DM24" s="330">
        <f t="shared" si="33"/>
        <v>0</v>
      </c>
      <c r="DN24" s="330">
        <f t="shared" si="33"/>
        <v>0</v>
      </c>
      <c r="DO24" s="330">
        <f t="shared" si="33"/>
        <v>0</v>
      </c>
      <c r="DP24" s="330">
        <f t="shared" si="30"/>
        <v>0</v>
      </c>
      <c r="DQ24" s="217"/>
      <c r="DR24" s="217"/>
      <c r="DS24" s="217"/>
      <c r="DT24" s="217"/>
    </row>
    <row r="25" spans="1:124" x14ac:dyDescent="0.3">
      <c r="A25" s="324"/>
      <c r="B25" s="221" t="s">
        <v>481</v>
      </c>
      <c r="C25" s="221" t="str">
        <f>IF('Default - Material Balance'!C35=0,"",'Default - Material Balance'!C35)</f>
        <v/>
      </c>
      <c r="D25" s="221" t="str">
        <f>IF('Default - Material Balance'!D35=0,"",'Default - Material Balance'!D35)</f>
        <v/>
      </c>
      <c r="E25" s="221" t="str">
        <f>IF('Default - Material Balance'!E35=0,"",'Default - Material Balance'!E35)</f>
        <v/>
      </c>
      <c r="F25" s="221" t="str">
        <f>IF('Default - Material Balance'!F35=0,"",'Default - Material Balance'!F35)</f>
        <v/>
      </c>
      <c r="G25" s="222"/>
      <c r="H25" s="222"/>
      <c r="I25" s="222"/>
      <c r="J25" s="325">
        <f>IF('Default - Material Balance'!M35=0,0,'Default - Material Balance'!M35)</f>
        <v>0</v>
      </c>
      <c r="K25" s="465"/>
      <c r="L25" s="326"/>
      <c r="M25" s="326"/>
      <c r="N25" s="326"/>
      <c r="O25" s="326"/>
      <c r="P25" s="326"/>
      <c r="Q25" s="326"/>
      <c r="R25" s="326"/>
      <c r="S25" s="326"/>
      <c r="T25" s="326"/>
      <c r="U25" s="326"/>
      <c r="V25" s="326"/>
      <c r="W25" s="326"/>
      <c r="X25" s="326"/>
      <c r="Y25" s="326"/>
      <c r="Z25" s="327"/>
      <c r="AA25" s="328"/>
      <c r="AB25" s="328"/>
      <c r="AC25" s="328"/>
      <c r="AD25" s="328"/>
      <c r="AE25" s="328"/>
      <c r="AF25" s="328"/>
      <c r="AG25" s="328"/>
      <c r="AH25" s="328"/>
      <c r="AI25" s="328"/>
      <c r="AJ25" s="328"/>
      <c r="AK25" s="328"/>
      <c r="AL25" s="328"/>
      <c r="AM25" s="328"/>
      <c r="AN25" s="328"/>
      <c r="AO25" s="329"/>
      <c r="AP25" s="326"/>
      <c r="AQ25" s="326"/>
      <c r="AR25" s="326"/>
      <c r="AS25" s="326"/>
      <c r="AT25" s="326"/>
      <c r="AU25" s="326"/>
      <c r="AV25" s="326"/>
      <c r="AW25" s="326"/>
      <c r="AX25" s="326"/>
      <c r="AY25" s="326"/>
      <c r="AZ25" s="326"/>
      <c r="BA25" s="326"/>
      <c r="BB25" s="326"/>
      <c r="BC25" s="326"/>
      <c r="BD25" s="326"/>
      <c r="BE25" s="330">
        <f>IF($F25="",0,$J25*VLOOKUP($F25,Lists!$C$72:$R$152,COLUMNS(Lists!$C$69:E$69),0))*VLOOKUP(BE$3,Conversions!$B$12:$E$34,4,0)</f>
        <v>0</v>
      </c>
      <c r="BF25" s="330">
        <f>IF($F25="",0,$J25*VLOOKUP($F25,Lists!$C$72:$R$152,COLUMNS(Lists!$C$69:F$69),0))*VLOOKUP(BF$3,Conversions!$B$12:$E$34,4,0)</f>
        <v>0</v>
      </c>
      <c r="BG25" s="330">
        <f>IF($F25="",0,$J25*VLOOKUP($F25,Lists!$C$72:$R$152,COLUMNS(Lists!$C$69:G$69),0))*VLOOKUP(BG$3,Conversions!$B$12:$E$34,4,0)</f>
        <v>0</v>
      </c>
      <c r="BH25" s="330">
        <f>IF($F25="",0,$J25*VLOOKUP($F25,Lists!$C$72:$R$152,COLUMNS(Lists!$C$69:H$69),0))*VLOOKUP(BH$3,Conversions!$B$12:$E$34,4,0)</f>
        <v>0</v>
      </c>
      <c r="BI25" s="330">
        <f>IF($F25="",0,$J25*VLOOKUP($F25,Lists!$C$72:$R$152,COLUMNS(Lists!$C$69:I$69),0))*VLOOKUP(BI$3,Conversions!$B$12:$E$34,4,0)</f>
        <v>0</v>
      </c>
      <c r="BJ25" s="330">
        <f>IF($F25="",0,$J25*VLOOKUP($F25,Lists!$C$72:$R$152,COLUMNS(Lists!$C$69:J$69),0))*VLOOKUP(BJ$3,Conversions!$B$12:$E$34,4,0)</f>
        <v>0</v>
      </c>
      <c r="BK25" s="330">
        <f>IF($F25="",0,$J25*VLOOKUP($F25,Lists!$C$72:$R$152,COLUMNS(Lists!$C$69:K$69),0))*VLOOKUP(BK$3,Conversions!$B$12:$E$34,4,0)</f>
        <v>0</v>
      </c>
      <c r="BL25" s="330">
        <f>IF($F25="",0,$J25*VLOOKUP($F25,Lists!$C$72:$R$152,COLUMNS(Lists!$C$69:L$69),0))*VLOOKUP(BL$3,Conversions!$B$12:$E$34,4,0)</f>
        <v>0</v>
      </c>
      <c r="BM25" s="330">
        <f>IF($F25="",0,$J25*VLOOKUP($F25,Lists!$C$72:$R$152,COLUMNS(Lists!$C$69:M$69),0))*VLOOKUP(BM$3,Conversions!$B$12:$E$34,4,0)</f>
        <v>0</v>
      </c>
      <c r="BN25" s="330">
        <f>IF($F25="",0,$J25*VLOOKUP($F25,Lists!$C$72:$R$152,COLUMNS(Lists!$C$69:N$69),0))*VLOOKUP(BN$3,Conversions!$B$12:$E$34,4,0)</f>
        <v>0</v>
      </c>
      <c r="BO25" s="330">
        <f>IF($F25="",0,$J25*VLOOKUP($F25,Lists!$C$72:$R$152,COLUMNS(Lists!$C$69:O$69),0))*VLOOKUP(BO$3,Conversions!$B$12:$E$34,4,0)</f>
        <v>0</v>
      </c>
      <c r="BP25" s="330">
        <f>IF($F25="",0,$J25*VLOOKUP($F25,Lists!$C$72:$R$152,COLUMNS(Lists!$C$69:P$69),0))*VLOOKUP(BP$3,Conversions!$B$12:$E$34,4,0)</f>
        <v>0</v>
      </c>
      <c r="BQ25" s="330">
        <f>IF($F25="",0,$J25*VLOOKUP($F25,Lists!$C$72:$R$152,COLUMNS(Lists!$C$69:Q$69),0))*VLOOKUP(BQ$3,Conversions!$B$12:$E$34,4,0)</f>
        <v>0</v>
      </c>
      <c r="BR25" s="330">
        <f>IF($F25="",0,$J25*VLOOKUP($F25,Lists!$C$72:$R$152,COLUMNS(Lists!$C$69:R$69),0))*VLOOKUP(BR$3,Conversions!$B$12:$E$34,4,0)</f>
        <v>0</v>
      </c>
      <c r="BS25" s="330">
        <f t="shared" si="16"/>
        <v>0</v>
      </c>
      <c r="BT25" s="329">
        <f t="shared" si="31"/>
        <v>0</v>
      </c>
      <c r="BU25" s="329">
        <f t="shared" si="31"/>
        <v>0</v>
      </c>
      <c r="BV25" s="329">
        <f t="shared" si="31"/>
        <v>0</v>
      </c>
      <c r="BW25" s="329">
        <f t="shared" si="31"/>
        <v>0</v>
      </c>
      <c r="BX25" s="329">
        <f t="shared" si="31"/>
        <v>0</v>
      </c>
      <c r="BY25" s="329">
        <f t="shared" si="31"/>
        <v>0</v>
      </c>
      <c r="BZ25" s="329">
        <f t="shared" si="31"/>
        <v>0</v>
      </c>
      <c r="CA25" s="329">
        <f t="shared" si="31"/>
        <v>0</v>
      </c>
      <c r="CB25" s="329">
        <f t="shared" si="31"/>
        <v>0</v>
      </c>
      <c r="CC25" s="329">
        <f t="shared" si="31"/>
        <v>0</v>
      </c>
      <c r="CD25" s="329">
        <f t="shared" si="31"/>
        <v>0</v>
      </c>
      <c r="CE25" s="329">
        <f t="shared" si="31"/>
        <v>0</v>
      </c>
      <c r="CF25" s="329">
        <f t="shared" si="31"/>
        <v>0</v>
      </c>
      <c r="CG25" s="329">
        <f t="shared" si="31"/>
        <v>0</v>
      </c>
      <c r="CH25" s="329">
        <f t="shared" si="31"/>
        <v>0</v>
      </c>
      <c r="CI25" s="329">
        <f t="shared" si="31"/>
        <v>0</v>
      </c>
      <c r="CJ25" s="331">
        <f t="shared" si="18"/>
        <v>0</v>
      </c>
      <c r="CK25" s="330">
        <f t="shared" si="19"/>
        <v>0</v>
      </c>
      <c r="CL25" s="330">
        <f t="shared" si="20"/>
        <v>0</v>
      </c>
      <c r="CM25" s="330">
        <f t="shared" si="21"/>
        <v>0</v>
      </c>
      <c r="CN25" s="330">
        <f t="shared" si="22"/>
        <v>0</v>
      </c>
      <c r="CO25" s="330">
        <f t="shared" si="23"/>
        <v>0</v>
      </c>
      <c r="CP25" s="330">
        <f t="shared" si="24"/>
        <v>0</v>
      </c>
      <c r="CQ25" s="330">
        <f t="shared" si="11"/>
        <v>0</v>
      </c>
      <c r="CR25" s="330">
        <f t="shared" si="25"/>
        <v>0</v>
      </c>
      <c r="CS25" s="330">
        <f t="shared" si="26"/>
        <v>0</v>
      </c>
      <c r="CT25" s="330">
        <f t="shared" si="27"/>
        <v>0</v>
      </c>
      <c r="CU25" s="330">
        <f t="shared" si="32"/>
        <v>0</v>
      </c>
      <c r="CV25" s="330">
        <f t="shared" si="32"/>
        <v>0</v>
      </c>
      <c r="CW25" s="330">
        <f t="shared" si="32"/>
        <v>0</v>
      </c>
      <c r="CX25" s="330">
        <f t="shared" si="32"/>
        <v>0</v>
      </c>
      <c r="CY25" s="330">
        <f t="shared" si="32"/>
        <v>0</v>
      </c>
      <c r="CZ25" s="330">
        <f t="shared" si="32"/>
        <v>0</v>
      </c>
      <c r="DA25" s="330">
        <f t="shared" si="32"/>
        <v>0</v>
      </c>
      <c r="DB25" s="330">
        <f t="shared" si="32"/>
        <v>0</v>
      </c>
      <c r="DC25" s="330">
        <f t="shared" si="32"/>
        <v>0</v>
      </c>
      <c r="DD25" s="330">
        <f t="shared" si="32"/>
        <v>0</v>
      </c>
      <c r="DE25" s="330">
        <f t="shared" si="33"/>
        <v>0</v>
      </c>
      <c r="DF25" s="330">
        <f t="shared" si="33"/>
        <v>0</v>
      </c>
      <c r="DG25" s="330">
        <f t="shared" si="33"/>
        <v>0</v>
      </c>
      <c r="DH25" s="330">
        <f t="shared" si="33"/>
        <v>0</v>
      </c>
      <c r="DI25" s="330">
        <f t="shared" si="33"/>
        <v>0</v>
      </c>
      <c r="DJ25" s="330">
        <f t="shared" si="33"/>
        <v>0</v>
      </c>
      <c r="DK25" s="330">
        <f t="shared" si="33"/>
        <v>0</v>
      </c>
      <c r="DL25" s="330">
        <f t="shared" si="33"/>
        <v>0</v>
      </c>
      <c r="DM25" s="330">
        <f t="shared" si="33"/>
        <v>0</v>
      </c>
      <c r="DN25" s="330">
        <f t="shared" si="33"/>
        <v>0</v>
      </c>
      <c r="DO25" s="330">
        <f t="shared" si="33"/>
        <v>0</v>
      </c>
      <c r="DP25" s="330">
        <f t="shared" si="30"/>
        <v>0</v>
      </c>
      <c r="DQ25" s="217"/>
      <c r="DR25" s="217"/>
      <c r="DS25" s="217"/>
      <c r="DT25" s="217"/>
    </row>
    <row r="26" spans="1:124" x14ac:dyDescent="0.3">
      <c r="A26" s="324"/>
      <c r="B26" s="221" t="s">
        <v>481</v>
      </c>
      <c r="C26" s="221" t="str">
        <f>IF('Default - Material Balance'!C36=0,"",'Default - Material Balance'!C36)</f>
        <v/>
      </c>
      <c r="D26" s="221" t="str">
        <f>IF('Default - Material Balance'!D36=0,"",'Default - Material Balance'!D36)</f>
        <v/>
      </c>
      <c r="E26" s="221" t="str">
        <f>IF('Default - Material Balance'!E36=0,"",'Default - Material Balance'!E36)</f>
        <v/>
      </c>
      <c r="F26" s="221" t="str">
        <f>IF('Default - Material Balance'!F36=0,"",'Default - Material Balance'!F36)</f>
        <v/>
      </c>
      <c r="G26" s="222"/>
      <c r="H26" s="222"/>
      <c r="I26" s="222"/>
      <c r="J26" s="325">
        <f>IF('Default - Material Balance'!M36=0,0,'Default - Material Balance'!M36)</f>
        <v>0</v>
      </c>
      <c r="K26" s="465"/>
      <c r="L26" s="326"/>
      <c r="M26" s="326"/>
      <c r="N26" s="326"/>
      <c r="O26" s="326"/>
      <c r="P26" s="326"/>
      <c r="Q26" s="326"/>
      <c r="R26" s="326"/>
      <c r="S26" s="326"/>
      <c r="T26" s="326"/>
      <c r="U26" s="326"/>
      <c r="V26" s="326"/>
      <c r="W26" s="326"/>
      <c r="X26" s="326"/>
      <c r="Y26" s="326"/>
      <c r="Z26" s="327"/>
      <c r="AA26" s="328"/>
      <c r="AB26" s="328"/>
      <c r="AC26" s="328"/>
      <c r="AD26" s="328"/>
      <c r="AE26" s="328"/>
      <c r="AF26" s="328"/>
      <c r="AG26" s="328"/>
      <c r="AH26" s="328"/>
      <c r="AI26" s="328"/>
      <c r="AJ26" s="328"/>
      <c r="AK26" s="328"/>
      <c r="AL26" s="328"/>
      <c r="AM26" s="328"/>
      <c r="AN26" s="328"/>
      <c r="AO26" s="329"/>
      <c r="AP26" s="326"/>
      <c r="AQ26" s="326"/>
      <c r="AR26" s="326"/>
      <c r="AS26" s="326"/>
      <c r="AT26" s="326"/>
      <c r="AU26" s="326"/>
      <c r="AV26" s="326"/>
      <c r="AW26" s="326"/>
      <c r="AX26" s="326"/>
      <c r="AY26" s="326"/>
      <c r="AZ26" s="326"/>
      <c r="BA26" s="326"/>
      <c r="BB26" s="326"/>
      <c r="BC26" s="326"/>
      <c r="BD26" s="326"/>
      <c r="BE26" s="330">
        <f>IF($F26="",0,$J26*VLOOKUP($F26,Lists!$C$72:$R$152,COLUMNS(Lists!$C$69:E$69),0))*VLOOKUP(BE$3,Conversions!$B$12:$E$34,4,0)</f>
        <v>0</v>
      </c>
      <c r="BF26" s="330">
        <f>IF($F26="",0,$J26*VLOOKUP($F26,Lists!$C$72:$R$152,COLUMNS(Lists!$C$69:F$69),0))*VLOOKUP(BF$3,Conversions!$B$12:$E$34,4,0)</f>
        <v>0</v>
      </c>
      <c r="BG26" s="330">
        <f>IF($F26="",0,$J26*VLOOKUP($F26,Lists!$C$72:$R$152,COLUMNS(Lists!$C$69:G$69),0))*VLOOKUP(BG$3,Conversions!$B$12:$E$34,4,0)</f>
        <v>0</v>
      </c>
      <c r="BH26" s="330">
        <f>IF($F26="",0,$J26*VLOOKUP($F26,Lists!$C$72:$R$152,COLUMNS(Lists!$C$69:H$69),0))*VLOOKUP(BH$3,Conversions!$B$12:$E$34,4,0)</f>
        <v>0</v>
      </c>
      <c r="BI26" s="330">
        <f>IF($F26="",0,$J26*VLOOKUP($F26,Lists!$C$72:$R$152,COLUMNS(Lists!$C$69:I$69),0))*VLOOKUP(BI$3,Conversions!$B$12:$E$34,4,0)</f>
        <v>0</v>
      </c>
      <c r="BJ26" s="330">
        <f>IF($F26="",0,$J26*VLOOKUP($F26,Lists!$C$72:$R$152,COLUMNS(Lists!$C$69:J$69),0))*VLOOKUP(BJ$3,Conversions!$B$12:$E$34,4,0)</f>
        <v>0</v>
      </c>
      <c r="BK26" s="330">
        <f>IF($F26="",0,$J26*VLOOKUP($F26,Lists!$C$72:$R$152,COLUMNS(Lists!$C$69:K$69),0))*VLOOKUP(BK$3,Conversions!$B$12:$E$34,4,0)</f>
        <v>0</v>
      </c>
      <c r="BL26" s="330">
        <f>IF($F26="",0,$J26*VLOOKUP($F26,Lists!$C$72:$R$152,COLUMNS(Lists!$C$69:L$69),0))*VLOOKUP(BL$3,Conversions!$B$12:$E$34,4,0)</f>
        <v>0</v>
      </c>
      <c r="BM26" s="330">
        <f>IF($F26="",0,$J26*VLOOKUP($F26,Lists!$C$72:$R$152,COLUMNS(Lists!$C$69:M$69),0))*VLOOKUP(BM$3,Conversions!$B$12:$E$34,4,0)</f>
        <v>0</v>
      </c>
      <c r="BN26" s="330">
        <f>IF($F26="",0,$J26*VLOOKUP($F26,Lists!$C$72:$R$152,COLUMNS(Lists!$C$69:N$69),0))*VLOOKUP(BN$3,Conversions!$B$12:$E$34,4,0)</f>
        <v>0</v>
      </c>
      <c r="BO26" s="330">
        <f>IF($F26="",0,$J26*VLOOKUP($F26,Lists!$C$72:$R$152,COLUMNS(Lists!$C$69:O$69),0))*VLOOKUP(BO$3,Conversions!$B$12:$E$34,4,0)</f>
        <v>0</v>
      </c>
      <c r="BP26" s="330">
        <f>IF($F26="",0,$J26*VLOOKUP($F26,Lists!$C$72:$R$152,COLUMNS(Lists!$C$69:P$69),0))*VLOOKUP(BP$3,Conversions!$B$12:$E$34,4,0)</f>
        <v>0</v>
      </c>
      <c r="BQ26" s="330">
        <f>IF($F26="",0,$J26*VLOOKUP($F26,Lists!$C$72:$R$152,COLUMNS(Lists!$C$69:Q$69),0))*VLOOKUP(BQ$3,Conversions!$B$12:$E$34,4,0)</f>
        <v>0</v>
      </c>
      <c r="BR26" s="330">
        <f>IF($F26="",0,$J26*VLOOKUP($F26,Lists!$C$72:$R$152,COLUMNS(Lists!$C$69:R$69),0))*VLOOKUP(BR$3,Conversions!$B$12:$E$34,4,0)</f>
        <v>0</v>
      </c>
      <c r="BS26" s="330">
        <f t="shared" si="16"/>
        <v>0</v>
      </c>
      <c r="BT26" s="329">
        <f t="shared" si="31"/>
        <v>0</v>
      </c>
      <c r="BU26" s="329">
        <f t="shared" si="31"/>
        <v>0</v>
      </c>
      <c r="BV26" s="329">
        <f t="shared" si="31"/>
        <v>0</v>
      </c>
      <c r="BW26" s="329">
        <f t="shared" si="31"/>
        <v>0</v>
      </c>
      <c r="BX26" s="329">
        <f t="shared" si="31"/>
        <v>0</v>
      </c>
      <c r="BY26" s="329">
        <f t="shared" si="31"/>
        <v>0</v>
      </c>
      <c r="BZ26" s="329">
        <f t="shared" si="31"/>
        <v>0</v>
      </c>
      <c r="CA26" s="329">
        <f t="shared" si="31"/>
        <v>0</v>
      </c>
      <c r="CB26" s="329">
        <f t="shared" si="31"/>
        <v>0</v>
      </c>
      <c r="CC26" s="329">
        <f t="shared" si="31"/>
        <v>0</v>
      </c>
      <c r="CD26" s="329">
        <f t="shared" si="31"/>
        <v>0</v>
      </c>
      <c r="CE26" s="329">
        <f t="shared" si="31"/>
        <v>0</v>
      </c>
      <c r="CF26" s="329">
        <f t="shared" si="31"/>
        <v>0</v>
      </c>
      <c r="CG26" s="329">
        <f t="shared" si="31"/>
        <v>0</v>
      </c>
      <c r="CH26" s="329">
        <f t="shared" si="31"/>
        <v>0</v>
      </c>
      <c r="CI26" s="329">
        <f t="shared" si="31"/>
        <v>0</v>
      </c>
      <c r="CJ26" s="331">
        <f t="shared" si="18"/>
        <v>0</v>
      </c>
      <c r="CK26" s="330">
        <f t="shared" si="19"/>
        <v>0</v>
      </c>
      <c r="CL26" s="330">
        <f t="shared" si="20"/>
        <v>0</v>
      </c>
      <c r="CM26" s="330">
        <f t="shared" si="21"/>
        <v>0</v>
      </c>
      <c r="CN26" s="330">
        <f t="shared" si="22"/>
        <v>0</v>
      </c>
      <c r="CO26" s="330">
        <f t="shared" si="23"/>
        <v>0</v>
      </c>
      <c r="CP26" s="330">
        <f t="shared" si="24"/>
        <v>0</v>
      </c>
      <c r="CQ26" s="330">
        <f t="shared" si="11"/>
        <v>0</v>
      </c>
      <c r="CR26" s="330">
        <f t="shared" si="25"/>
        <v>0</v>
      </c>
      <c r="CS26" s="330">
        <f t="shared" si="26"/>
        <v>0</v>
      </c>
      <c r="CT26" s="330">
        <f t="shared" si="27"/>
        <v>0</v>
      </c>
      <c r="CU26" s="330">
        <f t="shared" si="32"/>
        <v>0</v>
      </c>
      <c r="CV26" s="330">
        <f t="shared" si="32"/>
        <v>0</v>
      </c>
      <c r="CW26" s="330">
        <f t="shared" si="32"/>
        <v>0</v>
      </c>
      <c r="CX26" s="330">
        <f t="shared" si="32"/>
        <v>0</v>
      </c>
      <c r="CY26" s="330">
        <f t="shared" si="32"/>
        <v>0</v>
      </c>
      <c r="CZ26" s="330">
        <f t="shared" si="32"/>
        <v>0</v>
      </c>
      <c r="DA26" s="330">
        <f t="shared" si="32"/>
        <v>0</v>
      </c>
      <c r="DB26" s="330">
        <f t="shared" si="32"/>
        <v>0</v>
      </c>
      <c r="DC26" s="330">
        <f t="shared" si="32"/>
        <v>0</v>
      </c>
      <c r="DD26" s="330">
        <f t="shared" si="32"/>
        <v>0</v>
      </c>
      <c r="DE26" s="330">
        <f t="shared" si="33"/>
        <v>0</v>
      </c>
      <c r="DF26" s="330">
        <f t="shared" si="33"/>
        <v>0</v>
      </c>
      <c r="DG26" s="330">
        <f t="shared" si="33"/>
        <v>0</v>
      </c>
      <c r="DH26" s="330">
        <f t="shared" si="33"/>
        <v>0</v>
      </c>
      <c r="DI26" s="330">
        <f t="shared" si="33"/>
        <v>0</v>
      </c>
      <c r="DJ26" s="330">
        <f t="shared" si="33"/>
        <v>0</v>
      </c>
      <c r="DK26" s="330">
        <f t="shared" si="33"/>
        <v>0</v>
      </c>
      <c r="DL26" s="330">
        <f t="shared" si="33"/>
        <v>0</v>
      </c>
      <c r="DM26" s="330">
        <f t="shared" si="33"/>
        <v>0</v>
      </c>
      <c r="DN26" s="330">
        <f t="shared" si="33"/>
        <v>0</v>
      </c>
      <c r="DO26" s="330">
        <f t="shared" si="33"/>
        <v>0</v>
      </c>
      <c r="DP26" s="330">
        <f t="shared" si="30"/>
        <v>0</v>
      </c>
      <c r="DQ26" s="217"/>
      <c r="DR26" s="217"/>
      <c r="DS26" s="217"/>
      <c r="DT26" s="217"/>
    </row>
    <row r="27" spans="1:124" x14ac:dyDescent="0.3">
      <c r="A27" s="324"/>
      <c r="B27" s="221" t="s">
        <v>481</v>
      </c>
      <c r="C27" s="221" t="str">
        <f>IF('Default - Material Balance'!C37=0,"",'Default - Material Balance'!C37)</f>
        <v/>
      </c>
      <c r="D27" s="221" t="str">
        <f>IF('Default - Material Balance'!D37=0,"",'Default - Material Balance'!D37)</f>
        <v/>
      </c>
      <c r="E27" s="221" t="str">
        <f>IF('Default - Material Balance'!E37=0,"",'Default - Material Balance'!E37)</f>
        <v/>
      </c>
      <c r="F27" s="221" t="str">
        <f>IF('Default - Material Balance'!F37=0,"",'Default - Material Balance'!F37)</f>
        <v/>
      </c>
      <c r="G27" s="222"/>
      <c r="H27" s="222"/>
      <c r="I27" s="222"/>
      <c r="J27" s="325">
        <f>IF('Default - Material Balance'!M37=0,0,'Default - Material Balance'!M37)</f>
        <v>0</v>
      </c>
      <c r="K27" s="465"/>
      <c r="L27" s="326"/>
      <c r="M27" s="326"/>
      <c r="N27" s="326"/>
      <c r="O27" s="326"/>
      <c r="P27" s="326"/>
      <c r="Q27" s="326"/>
      <c r="R27" s="326"/>
      <c r="S27" s="326"/>
      <c r="T27" s="326"/>
      <c r="U27" s="326"/>
      <c r="V27" s="326"/>
      <c r="W27" s="326"/>
      <c r="X27" s="326"/>
      <c r="Y27" s="326"/>
      <c r="Z27" s="327"/>
      <c r="AA27" s="328"/>
      <c r="AB27" s="328"/>
      <c r="AC27" s="328"/>
      <c r="AD27" s="328"/>
      <c r="AE27" s="328"/>
      <c r="AF27" s="328"/>
      <c r="AG27" s="328"/>
      <c r="AH27" s="328"/>
      <c r="AI27" s="328"/>
      <c r="AJ27" s="328"/>
      <c r="AK27" s="328"/>
      <c r="AL27" s="328"/>
      <c r="AM27" s="328"/>
      <c r="AN27" s="328"/>
      <c r="AO27" s="329"/>
      <c r="AP27" s="326"/>
      <c r="AQ27" s="326"/>
      <c r="AR27" s="326"/>
      <c r="AS27" s="326"/>
      <c r="AT27" s="326"/>
      <c r="AU27" s="326"/>
      <c r="AV27" s="326"/>
      <c r="AW27" s="326"/>
      <c r="AX27" s="326"/>
      <c r="AY27" s="326"/>
      <c r="AZ27" s="326"/>
      <c r="BA27" s="326"/>
      <c r="BB27" s="326"/>
      <c r="BC27" s="326"/>
      <c r="BD27" s="326"/>
      <c r="BE27" s="330">
        <f>IF($F27="",0,$J27*VLOOKUP($F27,Lists!$C$72:$R$152,COLUMNS(Lists!$C$69:E$69),0))*VLOOKUP(BE$3,Conversions!$B$12:$E$34,4,0)</f>
        <v>0</v>
      </c>
      <c r="BF27" s="330">
        <f>IF($F27="",0,$J27*VLOOKUP($F27,Lists!$C$72:$R$152,COLUMNS(Lists!$C$69:F$69),0))*VLOOKUP(BF$3,Conversions!$B$12:$E$34,4,0)</f>
        <v>0</v>
      </c>
      <c r="BG27" s="330">
        <f>IF($F27="",0,$J27*VLOOKUP($F27,Lists!$C$72:$R$152,COLUMNS(Lists!$C$69:G$69),0))*VLOOKUP(BG$3,Conversions!$B$12:$E$34,4,0)</f>
        <v>0</v>
      </c>
      <c r="BH27" s="330">
        <f>IF($F27="",0,$J27*VLOOKUP($F27,Lists!$C$72:$R$152,COLUMNS(Lists!$C$69:H$69),0))*VLOOKUP(BH$3,Conversions!$B$12:$E$34,4,0)</f>
        <v>0</v>
      </c>
      <c r="BI27" s="330">
        <f>IF($F27="",0,$J27*VLOOKUP($F27,Lists!$C$72:$R$152,COLUMNS(Lists!$C$69:I$69),0))*VLOOKUP(BI$3,Conversions!$B$12:$E$34,4,0)</f>
        <v>0</v>
      </c>
      <c r="BJ27" s="330">
        <f>IF($F27="",0,$J27*VLOOKUP($F27,Lists!$C$72:$R$152,COLUMNS(Lists!$C$69:J$69),0))*VLOOKUP(BJ$3,Conversions!$B$12:$E$34,4,0)</f>
        <v>0</v>
      </c>
      <c r="BK27" s="330">
        <f>IF($F27="",0,$J27*VLOOKUP($F27,Lists!$C$72:$R$152,COLUMNS(Lists!$C$69:K$69),0))*VLOOKUP(BK$3,Conversions!$B$12:$E$34,4,0)</f>
        <v>0</v>
      </c>
      <c r="BL27" s="330">
        <f>IF($F27="",0,$J27*VLOOKUP($F27,Lists!$C$72:$R$152,COLUMNS(Lists!$C$69:L$69),0))*VLOOKUP(BL$3,Conversions!$B$12:$E$34,4,0)</f>
        <v>0</v>
      </c>
      <c r="BM27" s="330">
        <f>IF($F27="",0,$J27*VLOOKUP($F27,Lists!$C$72:$R$152,COLUMNS(Lists!$C$69:M$69),0))*VLOOKUP(BM$3,Conversions!$B$12:$E$34,4,0)</f>
        <v>0</v>
      </c>
      <c r="BN27" s="330">
        <f>IF($F27="",0,$J27*VLOOKUP($F27,Lists!$C$72:$R$152,COLUMNS(Lists!$C$69:N$69),0))*VLOOKUP(BN$3,Conversions!$B$12:$E$34,4,0)</f>
        <v>0</v>
      </c>
      <c r="BO27" s="330">
        <f>IF($F27="",0,$J27*VLOOKUP($F27,Lists!$C$72:$R$152,COLUMNS(Lists!$C$69:O$69),0))*VLOOKUP(BO$3,Conversions!$B$12:$E$34,4,0)</f>
        <v>0</v>
      </c>
      <c r="BP27" s="330">
        <f>IF($F27="",0,$J27*VLOOKUP($F27,Lists!$C$72:$R$152,COLUMNS(Lists!$C$69:P$69),0))*VLOOKUP(BP$3,Conversions!$B$12:$E$34,4,0)</f>
        <v>0</v>
      </c>
      <c r="BQ27" s="330">
        <f>IF($F27="",0,$J27*VLOOKUP($F27,Lists!$C$72:$R$152,COLUMNS(Lists!$C$69:Q$69),0))*VLOOKUP(BQ$3,Conversions!$B$12:$E$34,4,0)</f>
        <v>0</v>
      </c>
      <c r="BR27" s="330">
        <f>IF($F27="",0,$J27*VLOOKUP($F27,Lists!$C$72:$R$152,COLUMNS(Lists!$C$69:R$69),0))*VLOOKUP(BR$3,Conversions!$B$12:$E$34,4,0)</f>
        <v>0</v>
      </c>
      <c r="BS27" s="330">
        <f t="shared" si="16"/>
        <v>0</v>
      </c>
      <c r="BT27" s="329">
        <f t="shared" si="31"/>
        <v>0</v>
      </c>
      <c r="BU27" s="329">
        <f t="shared" si="31"/>
        <v>0</v>
      </c>
      <c r="BV27" s="329">
        <f t="shared" si="31"/>
        <v>0</v>
      </c>
      <c r="BW27" s="329">
        <f t="shared" si="31"/>
        <v>0</v>
      </c>
      <c r="BX27" s="329">
        <f t="shared" si="31"/>
        <v>0</v>
      </c>
      <c r="BY27" s="329">
        <f t="shared" si="31"/>
        <v>0</v>
      </c>
      <c r="BZ27" s="329">
        <f t="shared" si="31"/>
        <v>0</v>
      </c>
      <c r="CA27" s="329">
        <f t="shared" si="31"/>
        <v>0</v>
      </c>
      <c r="CB27" s="329">
        <f t="shared" si="31"/>
        <v>0</v>
      </c>
      <c r="CC27" s="329">
        <f t="shared" si="31"/>
        <v>0</v>
      </c>
      <c r="CD27" s="329">
        <f t="shared" si="31"/>
        <v>0</v>
      </c>
      <c r="CE27" s="329">
        <f t="shared" si="31"/>
        <v>0</v>
      </c>
      <c r="CF27" s="329">
        <f t="shared" si="31"/>
        <v>0</v>
      </c>
      <c r="CG27" s="329">
        <f t="shared" si="31"/>
        <v>0</v>
      </c>
      <c r="CH27" s="329">
        <f t="shared" si="31"/>
        <v>0</v>
      </c>
      <c r="CI27" s="329">
        <f t="shared" si="31"/>
        <v>0</v>
      </c>
      <c r="CJ27" s="331">
        <f t="shared" si="18"/>
        <v>0</v>
      </c>
      <c r="CK27" s="330">
        <f t="shared" si="19"/>
        <v>0</v>
      </c>
      <c r="CL27" s="330">
        <f t="shared" si="20"/>
        <v>0</v>
      </c>
      <c r="CM27" s="330">
        <f t="shared" si="21"/>
        <v>0</v>
      </c>
      <c r="CN27" s="330">
        <f t="shared" si="22"/>
        <v>0</v>
      </c>
      <c r="CO27" s="330">
        <f t="shared" si="23"/>
        <v>0</v>
      </c>
      <c r="CP27" s="330">
        <f t="shared" si="24"/>
        <v>0</v>
      </c>
      <c r="CQ27" s="330">
        <f t="shared" si="11"/>
        <v>0</v>
      </c>
      <c r="CR27" s="330">
        <f t="shared" si="25"/>
        <v>0</v>
      </c>
      <c r="CS27" s="330">
        <f t="shared" si="26"/>
        <v>0</v>
      </c>
      <c r="CT27" s="330">
        <f t="shared" si="27"/>
        <v>0</v>
      </c>
      <c r="CU27" s="330">
        <f t="shared" si="32"/>
        <v>0</v>
      </c>
      <c r="CV27" s="330">
        <f t="shared" si="32"/>
        <v>0</v>
      </c>
      <c r="CW27" s="330">
        <f t="shared" si="32"/>
        <v>0</v>
      </c>
      <c r="CX27" s="330">
        <f t="shared" si="32"/>
        <v>0</v>
      </c>
      <c r="CY27" s="330">
        <f t="shared" si="32"/>
        <v>0</v>
      </c>
      <c r="CZ27" s="330">
        <f t="shared" si="32"/>
        <v>0</v>
      </c>
      <c r="DA27" s="330">
        <f t="shared" si="32"/>
        <v>0</v>
      </c>
      <c r="DB27" s="330">
        <f t="shared" si="32"/>
        <v>0</v>
      </c>
      <c r="DC27" s="330">
        <f t="shared" si="32"/>
        <v>0</v>
      </c>
      <c r="DD27" s="330">
        <f t="shared" si="32"/>
        <v>0</v>
      </c>
      <c r="DE27" s="330">
        <f t="shared" si="33"/>
        <v>0</v>
      </c>
      <c r="DF27" s="330">
        <f t="shared" si="33"/>
        <v>0</v>
      </c>
      <c r="DG27" s="330">
        <f t="shared" si="33"/>
        <v>0</v>
      </c>
      <c r="DH27" s="330">
        <f t="shared" si="33"/>
        <v>0</v>
      </c>
      <c r="DI27" s="330">
        <f t="shared" si="33"/>
        <v>0</v>
      </c>
      <c r="DJ27" s="330">
        <f t="shared" si="33"/>
        <v>0</v>
      </c>
      <c r="DK27" s="330">
        <f t="shared" si="33"/>
        <v>0</v>
      </c>
      <c r="DL27" s="330">
        <f t="shared" si="33"/>
        <v>0</v>
      </c>
      <c r="DM27" s="330">
        <f t="shared" si="33"/>
        <v>0</v>
      </c>
      <c r="DN27" s="330">
        <f t="shared" si="33"/>
        <v>0</v>
      </c>
      <c r="DO27" s="330">
        <f t="shared" si="33"/>
        <v>0</v>
      </c>
      <c r="DP27" s="330">
        <f t="shared" si="30"/>
        <v>0</v>
      </c>
      <c r="DQ27" s="217"/>
      <c r="DR27" s="217"/>
      <c r="DS27" s="217"/>
      <c r="DT27" s="217"/>
    </row>
    <row r="28" spans="1:124" x14ac:dyDescent="0.3">
      <c r="A28" s="324"/>
      <c r="B28" s="221" t="s">
        <v>481</v>
      </c>
      <c r="C28" s="221" t="str">
        <f>IF('Default - Material Balance'!C38=0,"",'Default - Material Balance'!C38)</f>
        <v/>
      </c>
      <c r="D28" s="221" t="str">
        <f>IF('Default - Material Balance'!D38=0,"",'Default - Material Balance'!D38)</f>
        <v/>
      </c>
      <c r="E28" s="221" t="str">
        <f>IF('Default - Material Balance'!E38=0,"",'Default - Material Balance'!E38)</f>
        <v/>
      </c>
      <c r="F28" s="221" t="str">
        <f>IF('Default - Material Balance'!F38=0,"",'Default - Material Balance'!F38)</f>
        <v/>
      </c>
      <c r="G28" s="222"/>
      <c r="H28" s="222"/>
      <c r="I28" s="222"/>
      <c r="J28" s="325">
        <f>IF('Default - Material Balance'!M38=0,0,'Default - Material Balance'!M38)</f>
        <v>0</v>
      </c>
      <c r="K28" s="465"/>
      <c r="L28" s="326"/>
      <c r="M28" s="326"/>
      <c r="N28" s="326"/>
      <c r="O28" s="326"/>
      <c r="P28" s="326"/>
      <c r="Q28" s="326"/>
      <c r="R28" s="326"/>
      <c r="S28" s="326"/>
      <c r="T28" s="326"/>
      <c r="U28" s="326"/>
      <c r="V28" s="326"/>
      <c r="W28" s="326"/>
      <c r="X28" s="326"/>
      <c r="Y28" s="326"/>
      <c r="Z28" s="327"/>
      <c r="AA28" s="328"/>
      <c r="AB28" s="328"/>
      <c r="AC28" s="328"/>
      <c r="AD28" s="328"/>
      <c r="AE28" s="328"/>
      <c r="AF28" s="328"/>
      <c r="AG28" s="328"/>
      <c r="AH28" s="328"/>
      <c r="AI28" s="328"/>
      <c r="AJ28" s="328"/>
      <c r="AK28" s="328"/>
      <c r="AL28" s="328"/>
      <c r="AM28" s="328"/>
      <c r="AN28" s="328"/>
      <c r="AO28" s="329"/>
      <c r="AP28" s="326"/>
      <c r="AQ28" s="326"/>
      <c r="AR28" s="326"/>
      <c r="AS28" s="326"/>
      <c r="AT28" s="326"/>
      <c r="AU28" s="326"/>
      <c r="AV28" s="326"/>
      <c r="AW28" s="326"/>
      <c r="AX28" s="326"/>
      <c r="AY28" s="326"/>
      <c r="AZ28" s="326"/>
      <c r="BA28" s="326"/>
      <c r="BB28" s="326"/>
      <c r="BC28" s="326"/>
      <c r="BD28" s="326"/>
      <c r="BE28" s="330">
        <f>IF($F28="",0,$J28*VLOOKUP($F28,Lists!$C$72:$R$152,COLUMNS(Lists!$C$69:E$69),0))*VLOOKUP(BE$3,Conversions!$B$12:$E$34,4,0)</f>
        <v>0</v>
      </c>
      <c r="BF28" s="330">
        <f>IF($F28="",0,$J28*VLOOKUP($F28,Lists!$C$72:$R$152,COLUMNS(Lists!$C$69:F$69),0))*VLOOKUP(BF$3,Conversions!$B$12:$E$34,4,0)</f>
        <v>0</v>
      </c>
      <c r="BG28" s="330">
        <f>IF($F28="",0,$J28*VLOOKUP($F28,Lists!$C$72:$R$152,COLUMNS(Lists!$C$69:G$69),0))*VLOOKUP(BG$3,Conversions!$B$12:$E$34,4,0)</f>
        <v>0</v>
      </c>
      <c r="BH28" s="330">
        <f>IF($F28="",0,$J28*VLOOKUP($F28,Lists!$C$72:$R$152,COLUMNS(Lists!$C$69:H$69),0))*VLOOKUP(BH$3,Conversions!$B$12:$E$34,4,0)</f>
        <v>0</v>
      </c>
      <c r="BI28" s="330">
        <f>IF($F28="",0,$J28*VLOOKUP($F28,Lists!$C$72:$R$152,COLUMNS(Lists!$C$69:I$69),0))*VLOOKUP(BI$3,Conversions!$B$12:$E$34,4,0)</f>
        <v>0</v>
      </c>
      <c r="BJ28" s="330">
        <f>IF($F28="",0,$J28*VLOOKUP($F28,Lists!$C$72:$R$152,COLUMNS(Lists!$C$69:J$69),0))*VLOOKUP(BJ$3,Conversions!$B$12:$E$34,4,0)</f>
        <v>0</v>
      </c>
      <c r="BK28" s="330">
        <f>IF($F28="",0,$J28*VLOOKUP($F28,Lists!$C$72:$R$152,COLUMNS(Lists!$C$69:K$69),0))*VLOOKUP(BK$3,Conversions!$B$12:$E$34,4,0)</f>
        <v>0</v>
      </c>
      <c r="BL28" s="330">
        <f>IF($F28="",0,$J28*VLOOKUP($F28,Lists!$C$72:$R$152,COLUMNS(Lists!$C$69:L$69),0))*VLOOKUP(BL$3,Conversions!$B$12:$E$34,4,0)</f>
        <v>0</v>
      </c>
      <c r="BM28" s="330">
        <f>IF($F28="",0,$J28*VLOOKUP($F28,Lists!$C$72:$R$152,COLUMNS(Lists!$C$69:M$69),0))*VLOOKUP(BM$3,Conversions!$B$12:$E$34,4,0)</f>
        <v>0</v>
      </c>
      <c r="BN28" s="330">
        <f>IF($F28="",0,$J28*VLOOKUP($F28,Lists!$C$72:$R$152,COLUMNS(Lists!$C$69:N$69),0))*VLOOKUP(BN$3,Conversions!$B$12:$E$34,4,0)</f>
        <v>0</v>
      </c>
      <c r="BO28" s="330">
        <f>IF($F28="",0,$J28*VLOOKUP($F28,Lists!$C$72:$R$152,COLUMNS(Lists!$C$69:O$69),0))*VLOOKUP(BO$3,Conversions!$B$12:$E$34,4,0)</f>
        <v>0</v>
      </c>
      <c r="BP28" s="330">
        <f>IF($F28="",0,$J28*VLOOKUP($F28,Lists!$C$72:$R$152,COLUMNS(Lists!$C$69:P$69),0))*VLOOKUP(BP$3,Conversions!$B$12:$E$34,4,0)</f>
        <v>0</v>
      </c>
      <c r="BQ28" s="330">
        <f>IF($F28="",0,$J28*VLOOKUP($F28,Lists!$C$72:$R$152,COLUMNS(Lists!$C$69:Q$69),0))*VLOOKUP(BQ$3,Conversions!$B$12:$E$34,4,0)</f>
        <v>0</v>
      </c>
      <c r="BR28" s="330">
        <f>IF($F28="",0,$J28*VLOOKUP($F28,Lists!$C$72:$R$152,COLUMNS(Lists!$C$69:R$69),0))*VLOOKUP(BR$3,Conversions!$B$12:$E$34,4,0)</f>
        <v>0</v>
      </c>
      <c r="BS28" s="330">
        <f t="shared" si="16"/>
        <v>0</v>
      </c>
      <c r="BT28" s="329">
        <f t="shared" si="31"/>
        <v>0</v>
      </c>
      <c r="BU28" s="329">
        <f t="shared" si="31"/>
        <v>0</v>
      </c>
      <c r="BV28" s="329">
        <f t="shared" si="31"/>
        <v>0</v>
      </c>
      <c r="BW28" s="329">
        <f t="shared" si="31"/>
        <v>0</v>
      </c>
      <c r="BX28" s="329">
        <f t="shared" si="31"/>
        <v>0</v>
      </c>
      <c r="BY28" s="329">
        <f t="shared" si="31"/>
        <v>0</v>
      </c>
      <c r="BZ28" s="329">
        <f t="shared" si="31"/>
        <v>0</v>
      </c>
      <c r="CA28" s="329">
        <f t="shared" si="31"/>
        <v>0</v>
      </c>
      <c r="CB28" s="329">
        <f t="shared" si="31"/>
        <v>0</v>
      </c>
      <c r="CC28" s="329">
        <f t="shared" si="31"/>
        <v>0</v>
      </c>
      <c r="CD28" s="329">
        <f t="shared" si="31"/>
        <v>0</v>
      </c>
      <c r="CE28" s="329">
        <f t="shared" si="31"/>
        <v>0</v>
      </c>
      <c r="CF28" s="329">
        <f t="shared" si="31"/>
        <v>0</v>
      </c>
      <c r="CG28" s="329">
        <f t="shared" si="31"/>
        <v>0</v>
      </c>
      <c r="CH28" s="329">
        <f t="shared" si="31"/>
        <v>0</v>
      </c>
      <c r="CI28" s="329">
        <f t="shared" si="31"/>
        <v>0</v>
      </c>
      <c r="CJ28" s="331">
        <f t="shared" si="18"/>
        <v>0</v>
      </c>
      <c r="CK28" s="330">
        <f t="shared" si="19"/>
        <v>0</v>
      </c>
      <c r="CL28" s="330">
        <f t="shared" si="20"/>
        <v>0</v>
      </c>
      <c r="CM28" s="330">
        <f t="shared" si="21"/>
        <v>0</v>
      </c>
      <c r="CN28" s="330">
        <f t="shared" si="22"/>
        <v>0</v>
      </c>
      <c r="CO28" s="330">
        <f t="shared" si="23"/>
        <v>0</v>
      </c>
      <c r="CP28" s="330">
        <f t="shared" si="24"/>
        <v>0</v>
      </c>
      <c r="CQ28" s="330">
        <f t="shared" si="11"/>
        <v>0</v>
      </c>
      <c r="CR28" s="330">
        <f t="shared" si="25"/>
        <v>0</v>
      </c>
      <c r="CS28" s="330">
        <f t="shared" si="26"/>
        <v>0</v>
      </c>
      <c r="CT28" s="330">
        <f t="shared" si="27"/>
        <v>0</v>
      </c>
      <c r="CU28" s="330">
        <f t="shared" si="32"/>
        <v>0</v>
      </c>
      <c r="CV28" s="330">
        <f t="shared" si="32"/>
        <v>0</v>
      </c>
      <c r="CW28" s="330">
        <f t="shared" si="32"/>
        <v>0</v>
      </c>
      <c r="CX28" s="330">
        <f t="shared" si="32"/>
        <v>0</v>
      </c>
      <c r="CY28" s="330">
        <f t="shared" si="32"/>
        <v>0</v>
      </c>
      <c r="CZ28" s="330">
        <f t="shared" si="32"/>
        <v>0</v>
      </c>
      <c r="DA28" s="330">
        <f t="shared" si="32"/>
        <v>0</v>
      </c>
      <c r="DB28" s="330">
        <f t="shared" si="32"/>
        <v>0</v>
      </c>
      <c r="DC28" s="330">
        <f t="shared" si="32"/>
        <v>0</v>
      </c>
      <c r="DD28" s="330">
        <f t="shared" si="32"/>
        <v>0</v>
      </c>
      <c r="DE28" s="330">
        <f t="shared" si="33"/>
        <v>0</v>
      </c>
      <c r="DF28" s="330">
        <f t="shared" si="33"/>
        <v>0</v>
      </c>
      <c r="DG28" s="330">
        <f t="shared" si="33"/>
        <v>0</v>
      </c>
      <c r="DH28" s="330">
        <f t="shared" si="33"/>
        <v>0</v>
      </c>
      <c r="DI28" s="330">
        <f t="shared" si="33"/>
        <v>0</v>
      </c>
      <c r="DJ28" s="330">
        <f t="shared" si="33"/>
        <v>0</v>
      </c>
      <c r="DK28" s="330">
        <f t="shared" si="33"/>
        <v>0</v>
      </c>
      <c r="DL28" s="330">
        <f t="shared" si="33"/>
        <v>0</v>
      </c>
      <c r="DM28" s="330">
        <f t="shared" si="33"/>
        <v>0</v>
      </c>
      <c r="DN28" s="330">
        <f t="shared" si="33"/>
        <v>0</v>
      </c>
      <c r="DO28" s="330">
        <f t="shared" si="33"/>
        <v>0</v>
      </c>
      <c r="DP28" s="330">
        <f t="shared" si="30"/>
        <v>0</v>
      </c>
      <c r="DQ28" s="217"/>
      <c r="DR28" s="217"/>
      <c r="DS28" s="217"/>
      <c r="DT28" s="217"/>
    </row>
    <row r="29" spans="1:124" x14ac:dyDescent="0.3">
      <c r="A29" s="324"/>
      <c r="B29" s="221" t="s">
        <v>481</v>
      </c>
      <c r="C29" s="221" t="str">
        <f>IF('Default - Material Balance'!C39=0,"",'Default - Material Balance'!C39)</f>
        <v/>
      </c>
      <c r="D29" s="221" t="str">
        <f>IF('Default - Material Balance'!D39=0,"",'Default - Material Balance'!D39)</f>
        <v/>
      </c>
      <c r="E29" s="221" t="str">
        <f>IF('Default - Material Balance'!E39=0,"",'Default - Material Balance'!E39)</f>
        <v/>
      </c>
      <c r="F29" s="221" t="str">
        <f>IF('Default - Material Balance'!F39=0,"",'Default - Material Balance'!F39)</f>
        <v/>
      </c>
      <c r="G29" s="222"/>
      <c r="H29" s="222"/>
      <c r="I29" s="222"/>
      <c r="J29" s="325">
        <f>IF('Default - Material Balance'!M39=0,0,'Default - Material Balance'!M39)</f>
        <v>0</v>
      </c>
      <c r="K29" s="465"/>
      <c r="L29" s="326"/>
      <c r="M29" s="326"/>
      <c r="N29" s="326"/>
      <c r="O29" s="326"/>
      <c r="P29" s="326"/>
      <c r="Q29" s="326"/>
      <c r="R29" s="326"/>
      <c r="S29" s="326"/>
      <c r="T29" s="326"/>
      <c r="U29" s="326"/>
      <c r="V29" s="326"/>
      <c r="W29" s="326"/>
      <c r="X29" s="326"/>
      <c r="Y29" s="326"/>
      <c r="Z29" s="327"/>
      <c r="AA29" s="328"/>
      <c r="AB29" s="328"/>
      <c r="AC29" s="328"/>
      <c r="AD29" s="328"/>
      <c r="AE29" s="328"/>
      <c r="AF29" s="328"/>
      <c r="AG29" s="328"/>
      <c r="AH29" s="328"/>
      <c r="AI29" s="328"/>
      <c r="AJ29" s="328"/>
      <c r="AK29" s="328"/>
      <c r="AL29" s="328"/>
      <c r="AM29" s="328"/>
      <c r="AN29" s="328"/>
      <c r="AO29" s="329"/>
      <c r="AP29" s="326"/>
      <c r="AQ29" s="326"/>
      <c r="AR29" s="326"/>
      <c r="AS29" s="326"/>
      <c r="AT29" s="326"/>
      <c r="AU29" s="326"/>
      <c r="AV29" s="326"/>
      <c r="AW29" s="326"/>
      <c r="AX29" s="326"/>
      <c r="AY29" s="326"/>
      <c r="AZ29" s="326"/>
      <c r="BA29" s="326"/>
      <c r="BB29" s="326"/>
      <c r="BC29" s="326"/>
      <c r="BD29" s="326"/>
      <c r="BE29" s="330">
        <f>IF($F29="",0,$J29*VLOOKUP($F29,Lists!$C$72:$R$152,COLUMNS(Lists!$C$69:E$69),0))*VLOOKUP(BE$3,Conversions!$B$12:$E$34,4,0)</f>
        <v>0</v>
      </c>
      <c r="BF29" s="330">
        <f>IF($F29="",0,$J29*VLOOKUP($F29,Lists!$C$72:$R$152,COLUMNS(Lists!$C$69:F$69),0))*VLOOKUP(BF$3,Conversions!$B$12:$E$34,4,0)</f>
        <v>0</v>
      </c>
      <c r="BG29" s="330">
        <f>IF($F29="",0,$J29*VLOOKUP($F29,Lists!$C$72:$R$152,COLUMNS(Lists!$C$69:G$69),0))*VLOOKUP(BG$3,Conversions!$B$12:$E$34,4,0)</f>
        <v>0</v>
      </c>
      <c r="BH29" s="330">
        <f>IF($F29="",0,$J29*VLOOKUP($F29,Lists!$C$72:$R$152,COLUMNS(Lists!$C$69:H$69),0))*VLOOKUP(BH$3,Conversions!$B$12:$E$34,4,0)</f>
        <v>0</v>
      </c>
      <c r="BI29" s="330">
        <f>IF($F29="",0,$J29*VLOOKUP($F29,Lists!$C$72:$R$152,COLUMNS(Lists!$C$69:I$69),0))*VLOOKUP(BI$3,Conversions!$B$12:$E$34,4,0)</f>
        <v>0</v>
      </c>
      <c r="BJ29" s="330">
        <f>IF($F29="",0,$J29*VLOOKUP($F29,Lists!$C$72:$R$152,COLUMNS(Lists!$C$69:J$69),0))*VLOOKUP(BJ$3,Conversions!$B$12:$E$34,4,0)</f>
        <v>0</v>
      </c>
      <c r="BK29" s="330">
        <f>IF($F29="",0,$J29*VLOOKUP($F29,Lists!$C$72:$R$152,COLUMNS(Lists!$C$69:K$69),0))*VLOOKUP(BK$3,Conversions!$B$12:$E$34,4,0)</f>
        <v>0</v>
      </c>
      <c r="BL29" s="330">
        <f>IF($F29="",0,$J29*VLOOKUP($F29,Lists!$C$72:$R$152,COLUMNS(Lists!$C$69:L$69),0))*VLOOKUP(BL$3,Conversions!$B$12:$E$34,4,0)</f>
        <v>0</v>
      </c>
      <c r="BM29" s="330">
        <f>IF($F29="",0,$J29*VLOOKUP($F29,Lists!$C$72:$R$152,COLUMNS(Lists!$C$69:M$69),0))*VLOOKUP(BM$3,Conversions!$B$12:$E$34,4,0)</f>
        <v>0</v>
      </c>
      <c r="BN29" s="330">
        <f>IF($F29="",0,$J29*VLOOKUP($F29,Lists!$C$72:$R$152,COLUMNS(Lists!$C$69:N$69),0))*VLOOKUP(BN$3,Conversions!$B$12:$E$34,4,0)</f>
        <v>0</v>
      </c>
      <c r="BO29" s="330">
        <f>IF($F29="",0,$J29*VLOOKUP($F29,Lists!$C$72:$R$152,COLUMNS(Lists!$C$69:O$69),0))*VLOOKUP(BO$3,Conversions!$B$12:$E$34,4,0)</f>
        <v>0</v>
      </c>
      <c r="BP29" s="330">
        <f>IF($F29="",0,$J29*VLOOKUP($F29,Lists!$C$72:$R$152,COLUMNS(Lists!$C$69:P$69),0))*VLOOKUP(BP$3,Conversions!$B$12:$E$34,4,0)</f>
        <v>0</v>
      </c>
      <c r="BQ29" s="330">
        <f>IF($F29="",0,$J29*VLOOKUP($F29,Lists!$C$72:$R$152,COLUMNS(Lists!$C$69:Q$69),0))*VLOOKUP(BQ$3,Conversions!$B$12:$E$34,4,0)</f>
        <v>0</v>
      </c>
      <c r="BR29" s="330">
        <f>IF($F29="",0,$J29*VLOOKUP($F29,Lists!$C$72:$R$152,COLUMNS(Lists!$C$69:R$69),0))*VLOOKUP(BR$3,Conversions!$B$12:$E$34,4,0)</f>
        <v>0</v>
      </c>
      <c r="BS29" s="330">
        <f t="shared" si="16"/>
        <v>0</v>
      </c>
      <c r="BT29" s="329">
        <f t="shared" si="31"/>
        <v>0</v>
      </c>
      <c r="BU29" s="329">
        <f t="shared" si="31"/>
        <v>0</v>
      </c>
      <c r="BV29" s="329">
        <f t="shared" si="31"/>
        <v>0</v>
      </c>
      <c r="BW29" s="329">
        <f t="shared" si="31"/>
        <v>0</v>
      </c>
      <c r="BX29" s="329">
        <f t="shared" si="31"/>
        <v>0</v>
      </c>
      <c r="BY29" s="329">
        <f t="shared" si="31"/>
        <v>0</v>
      </c>
      <c r="BZ29" s="329">
        <f t="shared" si="31"/>
        <v>0</v>
      </c>
      <c r="CA29" s="329">
        <f t="shared" si="31"/>
        <v>0</v>
      </c>
      <c r="CB29" s="329">
        <f t="shared" si="31"/>
        <v>0</v>
      </c>
      <c r="CC29" s="329">
        <f t="shared" si="31"/>
        <v>0</v>
      </c>
      <c r="CD29" s="329">
        <f t="shared" si="31"/>
        <v>0</v>
      </c>
      <c r="CE29" s="329">
        <f t="shared" si="31"/>
        <v>0</v>
      </c>
      <c r="CF29" s="329">
        <f t="shared" si="31"/>
        <v>0</v>
      </c>
      <c r="CG29" s="329">
        <f t="shared" si="31"/>
        <v>0</v>
      </c>
      <c r="CH29" s="329">
        <f t="shared" si="31"/>
        <v>0</v>
      </c>
      <c r="CI29" s="329">
        <f t="shared" si="31"/>
        <v>0</v>
      </c>
      <c r="CJ29" s="331">
        <f t="shared" si="18"/>
        <v>0</v>
      </c>
      <c r="CK29" s="330">
        <f t="shared" si="19"/>
        <v>0</v>
      </c>
      <c r="CL29" s="330">
        <f t="shared" si="20"/>
        <v>0</v>
      </c>
      <c r="CM29" s="330">
        <f t="shared" si="21"/>
        <v>0</v>
      </c>
      <c r="CN29" s="330">
        <f t="shared" si="22"/>
        <v>0</v>
      </c>
      <c r="CO29" s="330">
        <f t="shared" si="23"/>
        <v>0</v>
      </c>
      <c r="CP29" s="330">
        <f t="shared" si="24"/>
        <v>0</v>
      </c>
      <c r="CQ29" s="330">
        <f t="shared" si="11"/>
        <v>0</v>
      </c>
      <c r="CR29" s="330">
        <f t="shared" si="25"/>
        <v>0</v>
      </c>
      <c r="CS29" s="330">
        <f t="shared" si="26"/>
        <v>0</v>
      </c>
      <c r="CT29" s="330">
        <f t="shared" si="27"/>
        <v>0</v>
      </c>
      <c r="CU29" s="330">
        <f t="shared" si="32"/>
        <v>0</v>
      </c>
      <c r="CV29" s="330">
        <f t="shared" si="32"/>
        <v>0</v>
      </c>
      <c r="CW29" s="330">
        <f t="shared" si="32"/>
        <v>0</v>
      </c>
      <c r="CX29" s="330">
        <f t="shared" si="32"/>
        <v>0</v>
      </c>
      <c r="CY29" s="330">
        <f t="shared" si="32"/>
        <v>0</v>
      </c>
      <c r="CZ29" s="330">
        <f t="shared" si="32"/>
        <v>0</v>
      </c>
      <c r="DA29" s="330">
        <f t="shared" si="32"/>
        <v>0</v>
      </c>
      <c r="DB29" s="330">
        <f t="shared" si="32"/>
        <v>0</v>
      </c>
      <c r="DC29" s="330">
        <f t="shared" si="32"/>
        <v>0</v>
      </c>
      <c r="DD29" s="330">
        <f t="shared" si="32"/>
        <v>0</v>
      </c>
      <c r="DE29" s="330">
        <f t="shared" si="33"/>
        <v>0</v>
      </c>
      <c r="DF29" s="330">
        <f t="shared" si="33"/>
        <v>0</v>
      </c>
      <c r="DG29" s="330">
        <f t="shared" si="33"/>
        <v>0</v>
      </c>
      <c r="DH29" s="330">
        <f t="shared" si="33"/>
        <v>0</v>
      </c>
      <c r="DI29" s="330">
        <f t="shared" si="33"/>
        <v>0</v>
      </c>
      <c r="DJ29" s="330">
        <f t="shared" si="33"/>
        <v>0</v>
      </c>
      <c r="DK29" s="330">
        <f t="shared" si="33"/>
        <v>0</v>
      </c>
      <c r="DL29" s="330">
        <f t="shared" si="33"/>
        <v>0</v>
      </c>
      <c r="DM29" s="330">
        <f t="shared" si="33"/>
        <v>0</v>
      </c>
      <c r="DN29" s="330">
        <f t="shared" si="33"/>
        <v>0</v>
      </c>
      <c r="DO29" s="330">
        <f t="shared" si="33"/>
        <v>0</v>
      </c>
      <c r="DP29" s="330">
        <f t="shared" si="30"/>
        <v>0</v>
      </c>
      <c r="DQ29" s="217"/>
      <c r="DR29" s="217"/>
      <c r="DS29" s="217"/>
      <c r="DT29" s="217"/>
    </row>
    <row r="30" spans="1:124" x14ac:dyDescent="0.3">
      <c r="A30" s="324"/>
      <c r="B30" s="221" t="s">
        <v>481</v>
      </c>
      <c r="C30" s="221" t="str">
        <f>IF('Default - Material Balance'!C40=0,"",'Default - Material Balance'!C40)</f>
        <v/>
      </c>
      <c r="D30" s="221" t="str">
        <f>IF('Default - Material Balance'!D40=0,"",'Default - Material Balance'!D40)</f>
        <v/>
      </c>
      <c r="E30" s="221" t="str">
        <f>IF('Default - Material Balance'!E40=0,"",'Default - Material Balance'!E40)</f>
        <v/>
      </c>
      <c r="F30" s="221" t="str">
        <f>IF('Default - Material Balance'!F40=0,"",'Default - Material Balance'!F40)</f>
        <v/>
      </c>
      <c r="G30" s="222"/>
      <c r="H30" s="222"/>
      <c r="I30" s="222"/>
      <c r="J30" s="325">
        <f>IF('Default - Material Balance'!M40=0,0,'Default - Material Balance'!M40)</f>
        <v>0</v>
      </c>
      <c r="K30" s="465"/>
      <c r="L30" s="326"/>
      <c r="M30" s="326"/>
      <c r="N30" s="326"/>
      <c r="O30" s="326"/>
      <c r="P30" s="326"/>
      <c r="Q30" s="326"/>
      <c r="R30" s="326"/>
      <c r="S30" s="326"/>
      <c r="T30" s="326"/>
      <c r="U30" s="326"/>
      <c r="V30" s="326"/>
      <c r="W30" s="326"/>
      <c r="X30" s="326"/>
      <c r="Y30" s="326"/>
      <c r="Z30" s="327"/>
      <c r="AA30" s="328"/>
      <c r="AB30" s="328"/>
      <c r="AC30" s="328"/>
      <c r="AD30" s="328"/>
      <c r="AE30" s="328"/>
      <c r="AF30" s="328"/>
      <c r="AG30" s="328"/>
      <c r="AH30" s="328"/>
      <c r="AI30" s="328"/>
      <c r="AJ30" s="328"/>
      <c r="AK30" s="328"/>
      <c r="AL30" s="328"/>
      <c r="AM30" s="328"/>
      <c r="AN30" s="328"/>
      <c r="AO30" s="329"/>
      <c r="AP30" s="326"/>
      <c r="AQ30" s="326"/>
      <c r="AR30" s="326"/>
      <c r="AS30" s="326"/>
      <c r="AT30" s="326"/>
      <c r="AU30" s="326"/>
      <c r="AV30" s="326"/>
      <c r="AW30" s="326"/>
      <c r="AX30" s="326"/>
      <c r="AY30" s="326"/>
      <c r="AZ30" s="326"/>
      <c r="BA30" s="326"/>
      <c r="BB30" s="326"/>
      <c r="BC30" s="326"/>
      <c r="BD30" s="326"/>
      <c r="BE30" s="330">
        <f>IF($F30="",0,$J30*VLOOKUP($F30,Lists!$C$72:$R$152,COLUMNS(Lists!$C$69:E$69),0))*VLOOKUP(BE$3,Conversions!$B$12:$E$34,4,0)</f>
        <v>0</v>
      </c>
      <c r="BF30" s="330">
        <f>IF($F30="",0,$J30*VLOOKUP($F30,Lists!$C$72:$R$152,COLUMNS(Lists!$C$69:F$69),0))*VLOOKUP(BF$3,Conversions!$B$12:$E$34,4,0)</f>
        <v>0</v>
      </c>
      <c r="BG30" s="330">
        <f>IF($F30="",0,$J30*VLOOKUP($F30,Lists!$C$72:$R$152,COLUMNS(Lists!$C$69:G$69),0))*VLOOKUP(BG$3,Conversions!$B$12:$E$34,4,0)</f>
        <v>0</v>
      </c>
      <c r="BH30" s="330">
        <f>IF($F30="",0,$J30*VLOOKUP($F30,Lists!$C$72:$R$152,COLUMNS(Lists!$C$69:H$69),0))*VLOOKUP(BH$3,Conversions!$B$12:$E$34,4,0)</f>
        <v>0</v>
      </c>
      <c r="BI30" s="330">
        <f>IF($F30="",0,$J30*VLOOKUP($F30,Lists!$C$72:$R$152,COLUMNS(Lists!$C$69:I$69),0))*VLOOKUP(BI$3,Conversions!$B$12:$E$34,4,0)</f>
        <v>0</v>
      </c>
      <c r="BJ30" s="330">
        <f>IF($F30="",0,$J30*VLOOKUP($F30,Lists!$C$72:$R$152,COLUMNS(Lists!$C$69:J$69),0))*VLOOKUP(BJ$3,Conversions!$B$12:$E$34,4,0)</f>
        <v>0</v>
      </c>
      <c r="BK30" s="330">
        <f>IF($F30="",0,$J30*VLOOKUP($F30,Lists!$C$72:$R$152,COLUMNS(Lists!$C$69:K$69),0))*VLOOKUP(BK$3,Conversions!$B$12:$E$34,4,0)</f>
        <v>0</v>
      </c>
      <c r="BL30" s="330">
        <f>IF($F30="",0,$J30*VLOOKUP($F30,Lists!$C$72:$R$152,COLUMNS(Lists!$C$69:L$69),0))*VLOOKUP(BL$3,Conversions!$B$12:$E$34,4,0)</f>
        <v>0</v>
      </c>
      <c r="BM30" s="330">
        <f>IF($F30="",0,$J30*VLOOKUP($F30,Lists!$C$72:$R$152,COLUMNS(Lists!$C$69:M$69),0))*VLOOKUP(BM$3,Conversions!$B$12:$E$34,4,0)</f>
        <v>0</v>
      </c>
      <c r="BN30" s="330">
        <f>IF($F30="",0,$J30*VLOOKUP($F30,Lists!$C$72:$R$152,COLUMNS(Lists!$C$69:N$69),0))*VLOOKUP(BN$3,Conversions!$B$12:$E$34,4,0)</f>
        <v>0</v>
      </c>
      <c r="BO30" s="330">
        <f>IF($F30="",0,$J30*VLOOKUP($F30,Lists!$C$72:$R$152,COLUMNS(Lists!$C$69:O$69),0))*VLOOKUP(BO$3,Conversions!$B$12:$E$34,4,0)</f>
        <v>0</v>
      </c>
      <c r="BP30" s="330">
        <f>IF($F30="",0,$J30*VLOOKUP($F30,Lists!$C$72:$R$152,COLUMNS(Lists!$C$69:P$69),0))*VLOOKUP(BP$3,Conversions!$B$12:$E$34,4,0)</f>
        <v>0</v>
      </c>
      <c r="BQ30" s="330">
        <f>IF($F30="",0,$J30*VLOOKUP($F30,Lists!$C$72:$R$152,COLUMNS(Lists!$C$69:Q$69),0))*VLOOKUP(BQ$3,Conversions!$B$12:$E$34,4,0)</f>
        <v>0</v>
      </c>
      <c r="BR30" s="330">
        <f>IF($F30="",0,$J30*VLOOKUP($F30,Lists!$C$72:$R$152,COLUMNS(Lists!$C$69:R$69),0))*VLOOKUP(BR$3,Conversions!$B$12:$E$34,4,0)</f>
        <v>0</v>
      </c>
      <c r="BS30" s="330">
        <f t="shared" si="16"/>
        <v>0</v>
      </c>
      <c r="BT30" s="329">
        <f t="shared" si="31"/>
        <v>0</v>
      </c>
      <c r="BU30" s="329">
        <f t="shared" si="31"/>
        <v>0</v>
      </c>
      <c r="BV30" s="329">
        <f t="shared" si="31"/>
        <v>0</v>
      </c>
      <c r="BW30" s="329">
        <f t="shared" si="31"/>
        <v>0</v>
      </c>
      <c r="BX30" s="329">
        <f t="shared" si="31"/>
        <v>0</v>
      </c>
      <c r="BY30" s="329">
        <f t="shared" si="31"/>
        <v>0</v>
      </c>
      <c r="BZ30" s="329">
        <f t="shared" si="31"/>
        <v>0</v>
      </c>
      <c r="CA30" s="329">
        <f t="shared" si="31"/>
        <v>0</v>
      </c>
      <c r="CB30" s="329">
        <f t="shared" si="31"/>
        <v>0</v>
      </c>
      <c r="CC30" s="329">
        <f t="shared" si="31"/>
        <v>0</v>
      </c>
      <c r="CD30" s="329">
        <f t="shared" si="31"/>
        <v>0</v>
      </c>
      <c r="CE30" s="329">
        <f t="shared" si="31"/>
        <v>0</v>
      </c>
      <c r="CF30" s="329">
        <f t="shared" si="31"/>
        <v>0</v>
      </c>
      <c r="CG30" s="329">
        <f t="shared" si="31"/>
        <v>0</v>
      </c>
      <c r="CH30" s="329">
        <f t="shared" si="31"/>
        <v>0</v>
      </c>
      <c r="CI30" s="329">
        <f t="shared" si="31"/>
        <v>0</v>
      </c>
      <c r="CJ30" s="331">
        <f t="shared" si="18"/>
        <v>0</v>
      </c>
      <c r="CK30" s="330">
        <f t="shared" si="19"/>
        <v>0</v>
      </c>
      <c r="CL30" s="330">
        <f t="shared" si="20"/>
        <v>0</v>
      </c>
      <c r="CM30" s="330">
        <f t="shared" si="21"/>
        <v>0</v>
      </c>
      <c r="CN30" s="330">
        <f t="shared" si="22"/>
        <v>0</v>
      </c>
      <c r="CO30" s="330">
        <f t="shared" si="23"/>
        <v>0</v>
      </c>
      <c r="CP30" s="330">
        <f t="shared" si="24"/>
        <v>0</v>
      </c>
      <c r="CQ30" s="330">
        <f t="shared" si="11"/>
        <v>0</v>
      </c>
      <c r="CR30" s="330">
        <f t="shared" si="25"/>
        <v>0</v>
      </c>
      <c r="CS30" s="330">
        <f t="shared" si="26"/>
        <v>0</v>
      </c>
      <c r="CT30" s="330">
        <f t="shared" si="27"/>
        <v>0</v>
      </c>
      <c r="CU30" s="330">
        <f t="shared" si="32"/>
        <v>0</v>
      </c>
      <c r="CV30" s="330">
        <f t="shared" si="32"/>
        <v>0</v>
      </c>
      <c r="CW30" s="330">
        <f t="shared" si="32"/>
        <v>0</v>
      </c>
      <c r="CX30" s="330">
        <f t="shared" si="32"/>
        <v>0</v>
      </c>
      <c r="CY30" s="330">
        <f t="shared" si="32"/>
        <v>0</v>
      </c>
      <c r="CZ30" s="330">
        <f t="shared" si="32"/>
        <v>0</v>
      </c>
      <c r="DA30" s="330">
        <f t="shared" si="32"/>
        <v>0</v>
      </c>
      <c r="DB30" s="330">
        <f t="shared" si="32"/>
        <v>0</v>
      </c>
      <c r="DC30" s="330">
        <f t="shared" si="32"/>
        <v>0</v>
      </c>
      <c r="DD30" s="330">
        <f t="shared" si="32"/>
        <v>0</v>
      </c>
      <c r="DE30" s="330">
        <f t="shared" si="33"/>
        <v>0</v>
      </c>
      <c r="DF30" s="330">
        <f t="shared" si="33"/>
        <v>0</v>
      </c>
      <c r="DG30" s="330">
        <f t="shared" si="33"/>
        <v>0</v>
      </c>
      <c r="DH30" s="330">
        <f t="shared" si="33"/>
        <v>0</v>
      </c>
      <c r="DI30" s="330">
        <f t="shared" si="33"/>
        <v>0</v>
      </c>
      <c r="DJ30" s="330">
        <f t="shared" si="33"/>
        <v>0</v>
      </c>
      <c r="DK30" s="330">
        <f t="shared" si="33"/>
        <v>0</v>
      </c>
      <c r="DL30" s="330">
        <f t="shared" si="33"/>
        <v>0</v>
      </c>
      <c r="DM30" s="330">
        <f t="shared" si="33"/>
        <v>0</v>
      </c>
      <c r="DN30" s="330">
        <f t="shared" si="33"/>
        <v>0</v>
      </c>
      <c r="DO30" s="330">
        <f t="shared" si="33"/>
        <v>0</v>
      </c>
      <c r="DP30" s="330">
        <f t="shared" si="30"/>
        <v>0</v>
      </c>
      <c r="DQ30" s="217"/>
      <c r="DR30" s="217"/>
      <c r="DS30" s="217"/>
      <c r="DT30" s="217"/>
    </row>
    <row r="31" spans="1:124" x14ac:dyDescent="0.3">
      <c r="A31" s="324"/>
      <c r="B31" s="221" t="s">
        <v>481</v>
      </c>
      <c r="C31" s="221" t="str">
        <f>IF('Default - Material Balance'!C41=0,"",'Default - Material Balance'!C41)</f>
        <v/>
      </c>
      <c r="D31" s="221" t="str">
        <f>IF('Default - Material Balance'!D41=0,"",'Default - Material Balance'!D41)</f>
        <v/>
      </c>
      <c r="E31" s="221" t="str">
        <f>IF('Default - Material Balance'!E41=0,"",'Default - Material Balance'!E41)</f>
        <v/>
      </c>
      <c r="F31" s="221" t="str">
        <f>IF('Default - Material Balance'!F41=0,"",'Default - Material Balance'!F41)</f>
        <v/>
      </c>
      <c r="G31" s="222"/>
      <c r="H31" s="222"/>
      <c r="I31" s="222"/>
      <c r="J31" s="325">
        <f>IF('Default - Material Balance'!M41=0,0,'Default - Material Balance'!M41)</f>
        <v>0</v>
      </c>
      <c r="K31" s="465"/>
      <c r="L31" s="326"/>
      <c r="M31" s="326"/>
      <c r="N31" s="326"/>
      <c r="O31" s="326"/>
      <c r="P31" s="326"/>
      <c r="Q31" s="326"/>
      <c r="R31" s="326"/>
      <c r="S31" s="326"/>
      <c r="T31" s="326"/>
      <c r="U31" s="326"/>
      <c r="V31" s="326"/>
      <c r="W31" s="326"/>
      <c r="X31" s="326"/>
      <c r="Y31" s="326"/>
      <c r="Z31" s="327"/>
      <c r="AA31" s="328"/>
      <c r="AB31" s="328"/>
      <c r="AC31" s="328"/>
      <c r="AD31" s="328"/>
      <c r="AE31" s="328"/>
      <c r="AF31" s="328"/>
      <c r="AG31" s="328"/>
      <c r="AH31" s="328"/>
      <c r="AI31" s="328"/>
      <c r="AJ31" s="328"/>
      <c r="AK31" s="328"/>
      <c r="AL31" s="328"/>
      <c r="AM31" s="328"/>
      <c r="AN31" s="328"/>
      <c r="AO31" s="329"/>
      <c r="AP31" s="326"/>
      <c r="AQ31" s="326"/>
      <c r="AR31" s="326"/>
      <c r="AS31" s="326"/>
      <c r="AT31" s="326"/>
      <c r="AU31" s="326"/>
      <c r="AV31" s="326"/>
      <c r="AW31" s="326"/>
      <c r="AX31" s="326"/>
      <c r="AY31" s="326"/>
      <c r="AZ31" s="326"/>
      <c r="BA31" s="326"/>
      <c r="BB31" s="326"/>
      <c r="BC31" s="326"/>
      <c r="BD31" s="326"/>
      <c r="BE31" s="330">
        <f>IF($F31="",0,$J31*VLOOKUP($F31,Lists!$C$72:$R$152,COLUMNS(Lists!$C$69:E$69),0))*VLOOKUP(BE$3,Conversions!$B$12:$E$34,4,0)</f>
        <v>0</v>
      </c>
      <c r="BF31" s="330">
        <f>IF($F31="",0,$J31*VLOOKUP($F31,Lists!$C$72:$R$152,COLUMNS(Lists!$C$69:F$69),0))*VLOOKUP(BF$3,Conversions!$B$12:$E$34,4,0)</f>
        <v>0</v>
      </c>
      <c r="BG31" s="330">
        <f>IF($F31="",0,$J31*VLOOKUP($F31,Lists!$C$72:$R$152,COLUMNS(Lists!$C$69:G$69),0))*VLOOKUP(BG$3,Conversions!$B$12:$E$34,4,0)</f>
        <v>0</v>
      </c>
      <c r="BH31" s="330">
        <f>IF($F31="",0,$J31*VLOOKUP($F31,Lists!$C$72:$R$152,COLUMNS(Lists!$C$69:H$69),0))*VLOOKUP(BH$3,Conversions!$B$12:$E$34,4,0)</f>
        <v>0</v>
      </c>
      <c r="BI31" s="330">
        <f>IF($F31="",0,$J31*VLOOKUP($F31,Lists!$C$72:$R$152,COLUMNS(Lists!$C$69:I$69),0))*VLOOKUP(BI$3,Conversions!$B$12:$E$34,4,0)</f>
        <v>0</v>
      </c>
      <c r="BJ31" s="330">
        <f>IF($F31="",0,$J31*VLOOKUP($F31,Lists!$C$72:$R$152,COLUMNS(Lists!$C$69:J$69),0))*VLOOKUP(BJ$3,Conversions!$B$12:$E$34,4,0)</f>
        <v>0</v>
      </c>
      <c r="BK31" s="330">
        <f>IF($F31="",0,$J31*VLOOKUP($F31,Lists!$C$72:$R$152,COLUMNS(Lists!$C$69:K$69),0))*VLOOKUP(BK$3,Conversions!$B$12:$E$34,4,0)</f>
        <v>0</v>
      </c>
      <c r="BL31" s="330">
        <f>IF($F31="",0,$J31*VLOOKUP($F31,Lists!$C$72:$R$152,COLUMNS(Lists!$C$69:L$69),0))*VLOOKUP(BL$3,Conversions!$B$12:$E$34,4,0)</f>
        <v>0</v>
      </c>
      <c r="BM31" s="330">
        <f>IF($F31="",0,$J31*VLOOKUP($F31,Lists!$C$72:$R$152,COLUMNS(Lists!$C$69:M$69),0))*VLOOKUP(BM$3,Conversions!$B$12:$E$34,4,0)</f>
        <v>0</v>
      </c>
      <c r="BN31" s="330">
        <f>IF($F31="",0,$J31*VLOOKUP($F31,Lists!$C$72:$R$152,COLUMNS(Lists!$C$69:N$69),0))*VLOOKUP(BN$3,Conversions!$B$12:$E$34,4,0)</f>
        <v>0</v>
      </c>
      <c r="BO31" s="330">
        <f>IF($F31="",0,$J31*VLOOKUP($F31,Lists!$C$72:$R$152,COLUMNS(Lists!$C$69:O$69),0))*VLOOKUP(BO$3,Conversions!$B$12:$E$34,4,0)</f>
        <v>0</v>
      </c>
      <c r="BP31" s="330">
        <f>IF($F31="",0,$J31*VLOOKUP($F31,Lists!$C$72:$R$152,COLUMNS(Lists!$C$69:P$69),0))*VLOOKUP(BP$3,Conversions!$B$12:$E$34,4,0)</f>
        <v>0</v>
      </c>
      <c r="BQ31" s="330">
        <f>IF($F31="",0,$J31*VLOOKUP($F31,Lists!$C$72:$R$152,COLUMNS(Lists!$C$69:Q$69),0))*VLOOKUP(BQ$3,Conversions!$B$12:$E$34,4,0)</f>
        <v>0</v>
      </c>
      <c r="BR31" s="330">
        <f>IF($F31="",0,$J31*VLOOKUP($F31,Lists!$C$72:$R$152,COLUMNS(Lists!$C$69:R$69),0))*VLOOKUP(BR$3,Conversions!$B$12:$E$34,4,0)</f>
        <v>0</v>
      </c>
      <c r="BS31" s="330">
        <f t="shared" si="16"/>
        <v>0</v>
      </c>
      <c r="BT31" s="329">
        <f t="shared" si="31"/>
        <v>0</v>
      </c>
      <c r="BU31" s="329">
        <f t="shared" si="31"/>
        <v>0</v>
      </c>
      <c r="BV31" s="329">
        <f t="shared" si="31"/>
        <v>0</v>
      </c>
      <c r="BW31" s="329">
        <f t="shared" si="31"/>
        <v>0</v>
      </c>
      <c r="BX31" s="329">
        <f t="shared" si="31"/>
        <v>0</v>
      </c>
      <c r="BY31" s="329">
        <f t="shared" si="31"/>
        <v>0</v>
      </c>
      <c r="BZ31" s="329">
        <f t="shared" si="31"/>
        <v>0</v>
      </c>
      <c r="CA31" s="329">
        <f t="shared" si="31"/>
        <v>0</v>
      </c>
      <c r="CB31" s="329">
        <f t="shared" si="31"/>
        <v>0</v>
      </c>
      <c r="CC31" s="329">
        <f t="shared" si="31"/>
        <v>0</v>
      </c>
      <c r="CD31" s="329">
        <f t="shared" si="31"/>
        <v>0</v>
      </c>
      <c r="CE31" s="329">
        <f t="shared" si="31"/>
        <v>0</v>
      </c>
      <c r="CF31" s="329">
        <f t="shared" si="31"/>
        <v>0</v>
      </c>
      <c r="CG31" s="329">
        <f t="shared" si="31"/>
        <v>0</v>
      </c>
      <c r="CH31" s="329">
        <f t="shared" si="31"/>
        <v>0</v>
      </c>
      <c r="CI31" s="329">
        <f t="shared" si="31"/>
        <v>0</v>
      </c>
      <c r="CJ31" s="331">
        <f t="shared" si="18"/>
        <v>0</v>
      </c>
      <c r="CK31" s="330">
        <f t="shared" si="19"/>
        <v>0</v>
      </c>
      <c r="CL31" s="330">
        <f t="shared" si="20"/>
        <v>0</v>
      </c>
      <c r="CM31" s="330">
        <f t="shared" si="21"/>
        <v>0</v>
      </c>
      <c r="CN31" s="330">
        <f t="shared" si="22"/>
        <v>0</v>
      </c>
      <c r="CO31" s="330">
        <f t="shared" si="23"/>
        <v>0</v>
      </c>
      <c r="CP31" s="330">
        <f t="shared" si="24"/>
        <v>0</v>
      </c>
      <c r="CQ31" s="330">
        <f t="shared" si="11"/>
        <v>0</v>
      </c>
      <c r="CR31" s="330">
        <f t="shared" si="25"/>
        <v>0</v>
      </c>
      <c r="CS31" s="330">
        <f t="shared" si="26"/>
        <v>0</v>
      </c>
      <c r="CT31" s="330">
        <f t="shared" si="27"/>
        <v>0</v>
      </c>
      <c r="CU31" s="330">
        <f t="shared" si="32"/>
        <v>0</v>
      </c>
      <c r="CV31" s="330">
        <f t="shared" si="32"/>
        <v>0</v>
      </c>
      <c r="CW31" s="330">
        <f t="shared" si="32"/>
        <v>0</v>
      </c>
      <c r="CX31" s="330">
        <f t="shared" si="32"/>
        <v>0</v>
      </c>
      <c r="CY31" s="330">
        <f t="shared" si="32"/>
        <v>0</v>
      </c>
      <c r="CZ31" s="330">
        <f t="shared" si="32"/>
        <v>0</v>
      </c>
      <c r="DA31" s="330">
        <f t="shared" si="32"/>
        <v>0</v>
      </c>
      <c r="DB31" s="330">
        <f t="shared" si="32"/>
        <v>0</v>
      </c>
      <c r="DC31" s="330">
        <f t="shared" si="32"/>
        <v>0</v>
      </c>
      <c r="DD31" s="330">
        <f t="shared" si="32"/>
        <v>0</v>
      </c>
      <c r="DE31" s="330">
        <f t="shared" si="33"/>
        <v>0</v>
      </c>
      <c r="DF31" s="330">
        <f t="shared" si="33"/>
        <v>0</v>
      </c>
      <c r="DG31" s="330">
        <f t="shared" si="33"/>
        <v>0</v>
      </c>
      <c r="DH31" s="330">
        <f t="shared" si="33"/>
        <v>0</v>
      </c>
      <c r="DI31" s="330">
        <f t="shared" si="33"/>
        <v>0</v>
      </c>
      <c r="DJ31" s="330">
        <f t="shared" si="33"/>
        <v>0</v>
      </c>
      <c r="DK31" s="330">
        <f t="shared" si="33"/>
        <v>0</v>
      </c>
      <c r="DL31" s="330">
        <f t="shared" si="33"/>
        <v>0</v>
      </c>
      <c r="DM31" s="330">
        <f t="shared" si="33"/>
        <v>0</v>
      </c>
      <c r="DN31" s="330">
        <f t="shared" si="33"/>
        <v>0</v>
      </c>
      <c r="DO31" s="330">
        <f t="shared" si="33"/>
        <v>0</v>
      </c>
      <c r="DP31" s="330">
        <f t="shared" si="30"/>
        <v>0</v>
      </c>
      <c r="DQ31" s="217"/>
      <c r="DR31" s="217"/>
      <c r="DS31" s="217"/>
      <c r="DT31" s="217"/>
    </row>
    <row r="32" spans="1:124" x14ac:dyDescent="0.3">
      <c r="A32" s="324"/>
      <c r="B32" s="221" t="s">
        <v>481</v>
      </c>
      <c r="C32" s="221" t="str">
        <f>IF('Default - Material Balance'!C42=0,"",'Default - Material Balance'!C42)</f>
        <v/>
      </c>
      <c r="D32" s="221" t="str">
        <f>IF('Default - Material Balance'!D42=0,"",'Default - Material Balance'!D42)</f>
        <v/>
      </c>
      <c r="E32" s="221" t="str">
        <f>IF('Default - Material Balance'!E42=0,"",'Default - Material Balance'!E42)</f>
        <v/>
      </c>
      <c r="F32" s="221" t="str">
        <f>IF('Default - Material Balance'!F42=0,"",'Default - Material Balance'!F42)</f>
        <v/>
      </c>
      <c r="G32" s="222"/>
      <c r="H32" s="222"/>
      <c r="I32" s="222"/>
      <c r="J32" s="325">
        <f>IF('Default - Material Balance'!M42=0,0,'Default - Material Balance'!M42)</f>
        <v>0</v>
      </c>
      <c r="K32" s="465"/>
      <c r="L32" s="326"/>
      <c r="M32" s="326"/>
      <c r="N32" s="326"/>
      <c r="O32" s="326"/>
      <c r="P32" s="326"/>
      <c r="Q32" s="326"/>
      <c r="R32" s="326"/>
      <c r="S32" s="326"/>
      <c r="T32" s="326"/>
      <c r="U32" s="326"/>
      <c r="V32" s="326"/>
      <c r="W32" s="326"/>
      <c r="X32" s="326"/>
      <c r="Y32" s="326"/>
      <c r="Z32" s="327"/>
      <c r="AA32" s="328"/>
      <c r="AB32" s="328"/>
      <c r="AC32" s="328"/>
      <c r="AD32" s="328"/>
      <c r="AE32" s="328"/>
      <c r="AF32" s="328"/>
      <c r="AG32" s="328"/>
      <c r="AH32" s="328"/>
      <c r="AI32" s="328"/>
      <c r="AJ32" s="328"/>
      <c r="AK32" s="328"/>
      <c r="AL32" s="328"/>
      <c r="AM32" s="328"/>
      <c r="AN32" s="328"/>
      <c r="AO32" s="329"/>
      <c r="AP32" s="326"/>
      <c r="AQ32" s="326"/>
      <c r="AR32" s="326"/>
      <c r="AS32" s="326"/>
      <c r="AT32" s="326"/>
      <c r="AU32" s="326"/>
      <c r="AV32" s="326"/>
      <c r="AW32" s="326"/>
      <c r="AX32" s="326"/>
      <c r="AY32" s="326"/>
      <c r="AZ32" s="326"/>
      <c r="BA32" s="326"/>
      <c r="BB32" s="326"/>
      <c r="BC32" s="326"/>
      <c r="BD32" s="326"/>
      <c r="BE32" s="330">
        <f>IF($F32="",0,$J32*VLOOKUP($F32,Lists!$C$72:$R$152,COLUMNS(Lists!$C$69:E$69),0))*VLOOKUP(BE$3,Conversions!$B$12:$E$34,4,0)</f>
        <v>0</v>
      </c>
      <c r="BF32" s="330">
        <f>IF($F32="",0,$J32*VLOOKUP($F32,Lists!$C$72:$R$152,COLUMNS(Lists!$C$69:F$69),0))*VLOOKUP(BF$3,Conversions!$B$12:$E$34,4,0)</f>
        <v>0</v>
      </c>
      <c r="BG32" s="330">
        <f>IF($F32="",0,$J32*VLOOKUP($F32,Lists!$C$72:$R$152,COLUMNS(Lists!$C$69:G$69),0))*VLOOKUP(BG$3,Conversions!$B$12:$E$34,4,0)</f>
        <v>0</v>
      </c>
      <c r="BH32" s="330">
        <f>IF($F32="",0,$J32*VLOOKUP($F32,Lists!$C$72:$R$152,COLUMNS(Lists!$C$69:H$69),0))*VLOOKUP(BH$3,Conversions!$B$12:$E$34,4,0)</f>
        <v>0</v>
      </c>
      <c r="BI32" s="330">
        <f>IF($F32="",0,$J32*VLOOKUP($F32,Lists!$C$72:$R$152,COLUMNS(Lists!$C$69:I$69),0))*VLOOKUP(BI$3,Conversions!$B$12:$E$34,4,0)</f>
        <v>0</v>
      </c>
      <c r="BJ32" s="330">
        <f>IF($F32="",0,$J32*VLOOKUP($F32,Lists!$C$72:$R$152,COLUMNS(Lists!$C$69:J$69),0))*VLOOKUP(BJ$3,Conversions!$B$12:$E$34,4,0)</f>
        <v>0</v>
      </c>
      <c r="BK32" s="330">
        <f>IF($F32="",0,$J32*VLOOKUP($F32,Lists!$C$72:$R$152,COLUMNS(Lists!$C$69:K$69),0))*VLOOKUP(BK$3,Conversions!$B$12:$E$34,4,0)</f>
        <v>0</v>
      </c>
      <c r="BL32" s="330">
        <f>IF($F32="",0,$J32*VLOOKUP($F32,Lists!$C$72:$R$152,COLUMNS(Lists!$C$69:L$69),0))*VLOOKUP(BL$3,Conversions!$B$12:$E$34,4,0)</f>
        <v>0</v>
      </c>
      <c r="BM32" s="330">
        <f>IF($F32="",0,$J32*VLOOKUP($F32,Lists!$C$72:$R$152,COLUMNS(Lists!$C$69:M$69),0))*VLOOKUP(BM$3,Conversions!$B$12:$E$34,4,0)</f>
        <v>0</v>
      </c>
      <c r="BN32" s="330">
        <f>IF($F32="",0,$J32*VLOOKUP($F32,Lists!$C$72:$R$152,COLUMNS(Lists!$C$69:N$69),0))*VLOOKUP(BN$3,Conversions!$B$12:$E$34,4,0)</f>
        <v>0</v>
      </c>
      <c r="BO32" s="330">
        <f>IF($F32="",0,$J32*VLOOKUP($F32,Lists!$C$72:$R$152,COLUMNS(Lists!$C$69:O$69),0))*VLOOKUP(BO$3,Conversions!$B$12:$E$34,4,0)</f>
        <v>0</v>
      </c>
      <c r="BP32" s="330">
        <f>IF($F32="",0,$J32*VLOOKUP($F32,Lists!$C$72:$R$152,COLUMNS(Lists!$C$69:P$69),0))*VLOOKUP(BP$3,Conversions!$B$12:$E$34,4,0)</f>
        <v>0</v>
      </c>
      <c r="BQ32" s="330">
        <f>IF($F32="",0,$J32*VLOOKUP($F32,Lists!$C$72:$R$152,COLUMNS(Lists!$C$69:Q$69),0))*VLOOKUP(BQ$3,Conversions!$B$12:$E$34,4,0)</f>
        <v>0</v>
      </c>
      <c r="BR32" s="330">
        <f>IF($F32="",0,$J32*VLOOKUP($F32,Lists!$C$72:$R$152,COLUMNS(Lists!$C$69:R$69),0))*VLOOKUP(BR$3,Conversions!$B$12:$E$34,4,0)</f>
        <v>0</v>
      </c>
      <c r="BS32" s="330">
        <f t="shared" si="16"/>
        <v>0</v>
      </c>
      <c r="BT32" s="329">
        <f t="shared" si="31"/>
        <v>0</v>
      </c>
      <c r="BU32" s="329">
        <f t="shared" si="31"/>
        <v>0</v>
      </c>
      <c r="BV32" s="329">
        <f t="shared" si="31"/>
        <v>0</v>
      </c>
      <c r="BW32" s="329">
        <f t="shared" si="31"/>
        <v>0</v>
      </c>
      <c r="BX32" s="329">
        <f t="shared" si="31"/>
        <v>0</v>
      </c>
      <c r="BY32" s="329">
        <f t="shared" si="31"/>
        <v>0</v>
      </c>
      <c r="BZ32" s="329">
        <f t="shared" si="31"/>
        <v>0</v>
      </c>
      <c r="CA32" s="329">
        <f t="shared" si="31"/>
        <v>0</v>
      </c>
      <c r="CB32" s="329">
        <f t="shared" si="31"/>
        <v>0</v>
      </c>
      <c r="CC32" s="329">
        <f t="shared" si="31"/>
        <v>0</v>
      </c>
      <c r="CD32" s="329">
        <f t="shared" si="31"/>
        <v>0</v>
      </c>
      <c r="CE32" s="329">
        <f t="shared" si="31"/>
        <v>0</v>
      </c>
      <c r="CF32" s="329">
        <f t="shared" si="31"/>
        <v>0</v>
      </c>
      <c r="CG32" s="329">
        <f t="shared" si="31"/>
        <v>0</v>
      </c>
      <c r="CH32" s="329">
        <f t="shared" si="31"/>
        <v>0</v>
      </c>
      <c r="CI32" s="329">
        <f t="shared" si="31"/>
        <v>0</v>
      </c>
      <c r="CJ32" s="331">
        <f t="shared" si="18"/>
        <v>0</v>
      </c>
      <c r="CK32" s="330">
        <f t="shared" si="19"/>
        <v>0</v>
      </c>
      <c r="CL32" s="330">
        <f t="shared" si="20"/>
        <v>0</v>
      </c>
      <c r="CM32" s="330">
        <f t="shared" si="21"/>
        <v>0</v>
      </c>
      <c r="CN32" s="330">
        <f t="shared" si="22"/>
        <v>0</v>
      </c>
      <c r="CO32" s="330">
        <f t="shared" si="23"/>
        <v>0</v>
      </c>
      <c r="CP32" s="330">
        <f t="shared" si="24"/>
        <v>0</v>
      </c>
      <c r="CQ32" s="330">
        <f t="shared" si="11"/>
        <v>0</v>
      </c>
      <c r="CR32" s="330">
        <f t="shared" si="25"/>
        <v>0</v>
      </c>
      <c r="CS32" s="330">
        <f t="shared" si="26"/>
        <v>0</v>
      </c>
      <c r="CT32" s="330">
        <f t="shared" si="27"/>
        <v>0</v>
      </c>
      <c r="CU32" s="330">
        <f t="shared" si="32"/>
        <v>0</v>
      </c>
      <c r="CV32" s="330">
        <f t="shared" si="32"/>
        <v>0</v>
      </c>
      <c r="CW32" s="330">
        <f t="shared" si="32"/>
        <v>0</v>
      </c>
      <c r="CX32" s="330">
        <f t="shared" si="32"/>
        <v>0</v>
      </c>
      <c r="CY32" s="330">
        <f t="shared" si="32"/>
        <v>0</v>
      </c>
      <c r="CZ32" s="330">
        <f t="shared" si="32"/>
        <v>0</v>
      </c>
      <c r="DA32" s="330">
        <f t="shared" si="32"/>
        <v>0</v>
      </c>
      <c r="DB32" s="330">
        <f t="shared" si="32"/>
        <v>0</v>
      </c>
      <c r="DC32" s="330">
        <f t="shared" si="32"/>
        <v>0</v>
      </c>
      <c r="DD32" s="330">
        <f t="shared" si="32"/>
        <v>0</v>
      </c>
      <c r="DE32" s="330">
        <f t="shared" si="33"/>
        <v>0</v>
      </c>
      <c r="DF32" s="330">
        <f t="shared" si="33"/>
        <v>0</v>
      </c>
      <c r="DG32" s="330">
        <f t="shared" si="33"/>
        <v>0</v>
      </c>
      <c r="DH32" s="330">
        <f t="shared" si="33"/>
        <v>0</v>
      </c>
      <c r="DI32" s="330">
        <f t="shared" si="33"/>
        <v>0</v>
      </c>
      <c r="DJ32" s="330">
        <f t="shared" si="33"/>
        <v>0</v>
      </c>
      <c r="DK32" s="330">
        <f t="shared" si="33"/>
        <v>0</v>
      </c>
      <c r="DL32" s="330">
        <f t="shared" si="33"/>
        <v>0</v>
      </c>
      <c r="DM32" s="330">
        <f t="shared" si="33"/>
        <v>0</v>
      </c>
      <c r="DN32" s="330">
        <f t="shared" si="33"/>
        <v>0</v>
      </c>
      <c r="DO32" s="330">
        <f t="shared" si="33"/>
        <v>0</v>
      </c>
      <c r="DP32" s="330">
        <f t="shared" si="30"/>
        <v>0</v>
      </c>
      <c r="DQ32" s="217"/>
      <c r="DR32" s="217"/>
      <c r="DS32" s="217"/>
      <c r="DT32" s="217"/>
    </row>
    <row r="33" spans="1:124" x14ac:dyDescent="0.3">
      <c r="A33" s="324"/>
      <c r="B33" s="221" t="s">
        <v>481</v>
      </c>
      <c r="C33" s="221" t="str">
        <f>IF('Default - Material Balance'!C43=0,"",'Default - Material Balance'!C43)</f>
        <v/>
      </c>
      <c r="D33" s="221" t="str">
        <f>IF('Default - Material Balance'!D43=0,"",'Default - Material Balance'!D43)</f>
        <v/>
      </c>
      <c r="E33" s="221" t="str">
        <f>IF('Default - Material Balance'!E43=0,"",'Default - Material Balance'!E43)</f>
        <v/>
      </c>
      <c r="F33" s="221" t="str">
        <f>IF('Default - Material Balance'!F43=0,"",'Default - Material Balance'!F43)</f>
        <v/>
      </c>
      <c r="G33" s="222"/>
      <c r="H33" s="222"/>
      <c r="I33" s="222"/>
      <c r="J33" s="325">
        <f>IF('Default - Material Balance'!M43=0,0,'Default - Material Balance'!M43)</f>
        <v>0</v>
      </c>
      <c r="K33" s="465"/>
      <c r="L33" s="326"/>
      <c r="M33" s="326"/>
      <c r="N33" s="326"/>
      <c r="O33" s="326"/>
      <c r="P33" s="326"/>
      <c r="Q33" s="326"/>
      <c r="R33" s="326"/>
      <c r="S33" s="326"/>
      <c r="T33" s="326"/>
      <c r="U33" s="326"/>
      <c r="V33" s="326"/>
      <c r="W33" s="326"/>
      <c r="X33" s="326"/>
      <c r="Y33" s="326"/>
      <c r="Z33" s="327"/>
      <c r="AA33" s="328"/>
      <c r="AB33" s="328"/>
      <c r="AC33" s="328"/>
      <c r="AD33" s="328"/>
      <c r="AE33" s="328"/>
      <c r="AF33" s="328"/>
      <c r="AG33" s="328"/>
      <c r="AH33" s="328"/>
      <c r="AI33" s="328"/>
      <c r="AJ33" s="328"/>
      <c r="AK33" s="328"/>
      <c r="AL33" s="328"/>
      <c r="AM33" s="328"/>
      <c r="AN33" s="328"/>
      <c r="AO33" s="329"/>
      <c r="AP33" s="326"/>
      <c r="AQ33" s="326"/>
      <c r="AR33" s="326"/>
      <c r="AS33" s="326"/>
      <c r="AT33" s="326"/>
      <c r="AU33" s="326"/>
      <c r="AV33" s="326"/>
      <c r="AW33" s="326"/>
      <c r="AX33" s="326"/>
      <c r="AY33" s="326"/>
      <c r="AZ33" s="326"/>
      <c r="BA33" s="326"/>
      <c r="BB33" s="326"/>
      <c r="BC33" s="326"/>
      <c r="BD33" s="326"/>
      <c r="BE33" s="330">
        <f>IF($F33="",0,$J33*VLOOKUP($F33,Lists!$C$72:$R$152,COLUMNS(Lists!$C$69:E$69),0))*VLOOKUP(BE$3,Conversions!$B$12:$E$34,4,0)</f>
        <v>0</v>
      </c>
      <c r="BF33" s="330">
        <f>IF($F33="",0,$J33*VLOOKUP($F33,Lists!$C$72:$R$152,COLUMNS(Lists!$C$69:F$69),0))*VLOOKUP(BF$3,Conversions!$B$12:$E$34,4,0)</f>
        <v>0</v>
      </c>
      <c r="BG33" s="330">
        <f>IF($F33="",0,$J33*VLOOKUP($F33,Lists!$C$72:$R$152,COLUMNS(Lists!$C$69:G$69),0))*VLOOKUP(BG$3,Conversions!$B$12:$E$34,4,0)</f>
        <v>0</v>
      </c>
      <c r="BH33" s="330">
        <f>IF($F33="",0,$J33*VLOOKUP($F33,Lists!$C$72:$R$152,COLUMNS(Lists!$C$69:H$69),0))*VLOOKUP(BH$3,Conversions!$B$12:$E$34,4,0)</f>
        <v>0</v>
      </c>
      <c r="BI33" s="330">
        <f>IF($F33="",0,$J33*VLOOKUP($F33,Lists!$C$72:$R$152,COLUMNS(Lists!$C$69:I$69),0))*VLOOKUP(BI$3,Conversions!$B$12:$E$34,4,0)</f>
        <v>0</v>
      </c>
      <c r="BJ33" s="330">
        <f>IF($F33="",0,$J33*VLOOKUP($F33,Lists!$C$72:$R$152,COLUMNS(Lists!$C$69:J$69),0))*VLOOKUP(BJ$3,Conversions!$B$12:$E$34,4,0)</f>
        <v>0</v>
      </c>
      <c r="BK33" s="330">
        <f>IF($F33="",0,$J33*VLOOKUP($F33,Lists!$C$72:$R$152,COLUMNS(Lists!$C$69:K$69),0))*VLOOKUP(BK$3,Conversions!$B$12:$E$34,4,0)</f>
        <v>0</v>
      </c>
      <c r="BL33" s="330">
        <f>IF($F33="",0,$J33*VLOOKUP($F33,Lists!$C$72:$R$152,COLUMNS(Lists!$C$69:L$69),0))*VLOOKUP(BL$3,Conversions!$B$12:$E$34,4,0)</f>
        <v>0</v>
      </c>
      <c r="BM33" s="330">
        <f>IF($F33="",0,$J33*VLOOKUP($F33,Lists!$C$72:$R$152,COLUMNS(Lists!$C$69:M$69),0))*VLOOKUP(BM$3,Conversions!$B$12:$E$34,4,0)</f>
        <v>0</v>
      </c>
      <c r="BN33" s="330">
        <f>IF($F33="",0,$J33*VLOOKUP($F33,Lists!$C$72:$R$152,COLUMNS(Lists!$C$69:N$69),0))*VLOOKUP(BN$3,Conversions!$B$12:$E$34,4,0)</f>
        <v>0</v>
      </c>
      <c r="BO33" s="330">
        <f>IF($F33="",0,$J33*VLOOKUP($F33,Lists!$C$72:$R$152,COLUMNS(Lists!$C$69:O$69),0))*VLOOKUP(BO$3,Conversions!$B$12:$E$34,4,0)</f>
        <v>0</v>
      </c>
      <c r="BP33" s="330">
        <f>IF($F33="",0,$J33*VLOOKUP($F33,Lists!$C$72:$R$152,COLUMNS(Lists!$C$69:P$69),0))*VLOOKUP(BP$3,Conversions!$B$12:$E$34,4,0)</f>
        <v>0</v>
      </c>
      <c r="BQ33" s="330">
        <f>IF($F33="",0,$J33*VLOOKUP($F33,Lists!$C$72:$R$152,COLUMNS(Lists!$C$69:Q$69),0))*VLOOKUP(BQ$3,Conversions!$B$12:$E$34,4,0)</f>
        <v>0</v>
      </c>
      <c r="BR33" s="330">
        <f>IF($F33="",0,$J33*VLOOKUP($F33,Lists!$C$72:$R$152,COLUMNS(Lists!$C$69:R$69),0))*VLOOKUP(BR$3,Conversions!$B$12:$E$34,4,0)</f>
        <v>0</v>
      </c>
      <c r="BS33" s="330">
        <f t="shared" si="16"/>
        <v>0</v>
      </c>
      <c r="BT33" s="329">
        <f t="shared" si="31"/>
        <v>0</v>
      </c>
      <c r="BU33" s="329">
        <f t="shared" si="31"/>
        <v>0</v>
      </c>
      <c r="BV33" s="329">
        <f t="shared" si="31"/>
        <v>0</v>
      </c>
      <c r="BW33" s="329">
        <f t="shared" si="31"/>
        <v>0</v>
      </c>
      <c r="BX33" s="329">
        <f t="shared" si="31"/>
        <v>0</v>
      </c>
      <c r="BY33" s="329">
        <f t="shared" si="31"/>
        <v>0</v>
      </c>
      <c r="BZ33" s="329">
        <f t="shared" si="31"/>
        <v>0</v>
      </c>
      <c r="CA33" s="329">
        <f t="shared" si="31"/>
        <v>0</v>
      </c>
      <c r="CB33" s="329">
        <f t="shared" si="31"/>
        <v>0</v>
      </c>
      <c r="CC33" s="329">
        <f t="shared" si="31"/>
        <v>0</v>
      </c>
      <c r="CD33" s="329">
        <f t="shared" si="31"/>
        <v>0</v>
      </c>
      <c r="CE33" s="329">
        <f t="shared" si="31"/>
        <v>0</v>
      </c>
      <c r="CF33" s="329">
        <f t="shared" si="31"/>
        <v>0</v>
      </c>
      <c r="CG33" s="329">
        <f t="shared" si="31"/>
        <v>0</v>
      </c>
      <c r="CH33" s="329">
        <f t="shared" si="31"/>
        <v>0</v>
      </c>
      <c r="CI33" s="329">
        <f t="shared" si="31"/>
        <v>0</v>
      </c>
      <c r="CJ33" s="331">
        <f t="shared" si="18"/>
        <v>0</v>
      </c>
      <c r="CK33" s="330">
        <f t="shared" si="19"/>
        <v>0</v>
      </c>
      <c r="CL33" s="330">
        <f t="shared" si="20"/>
        <v>0</v>
      </c>
      <c r="CM33" s="330">
        <f t="shared" si="21"/>
        <v>0</v>
      </c>
      <c r="CN33" s="330">
        <f t="shared" si="22"/>
        <v>0</v>
      </c>
      <c r="CO33" s="330">
        <f t="shared" si="23"/>
        <v>0</v>
      </c>
      <c r="CP33" s="330">
        <f t="shared" si="24"/>
        <v>0</v>
      </c>
      <c r="CQ33" s="330">
        <f t="shared" si="11"/>
        <v>0</v>
      </c>
      <c r="CR33" s="330">
        <f t="shared" si="25"/>
        <v>0</v>
      </c>
      <c r="CS33" s="330">
        <f t="shared" si="26"/>
        <v>0</v>
      </c>
      <c r="CT33" s="330">
        <f t="shared" si="27"/>
        <v>0</v>
      </c>
      <c r="CU33" s="330">
        <f t="shared" si="32"/>
        <v>0</v>
      </c>
      <c r="CV33" s="330">
        <f t="shared" si="32"/>
        <v>0</v>
      </c>
      <c r="CW33" s="330">
        <f t="shared" si="32"/>
        <v>0</v>
      </c>
      <c r="CX33" s="330">
        <f t="shared" si="32"/>
        <v>0</v>
      </c>
      <c r="CY33" s="330">
        <f t="shared" si="32"/>
        <v>0</v>
      </c>
      <c r="CZ33" s="330">
        <f t="shared" si="32"/>
        <v>0</v>
      </c>
      <c r="DA33" s="330">
        <f t="shared" si="32"/>
        <v>0</v>
      </c>
      <c r="DB33" s="330">
        <f t="shared" si="32"/>
        <v>0</v>
      </c>
      <c r="DC33" s="330">
        <f t="shared" si="32"/>
        <v>0</v>
      </c>
      <c r="DD33" s="330">
        <f t="shared" si="32"/>
        <v>0</v>
      </c>
      <c r="DE33" s="330">
        <f t="shared" si="33"/>
        <v>0</v>
      </c>
      <c r="DF33" s="330">
        <f t="shared" si="33"/>
        <v>0</v>
      </c>
      <c r="DG33" s="330">
        <f t="shared" si="33"/>
        <v>0</v>
      </c>
      <c r="DH33" s="330">
        <f t="shared" si="33"/>
        <v>0</v>
      </c>
      <c r="DI33" s="330">
        <f t="shared" si="33"/>
        <v>0</v>
      </c>
      <c r="DJ33" s="330">
        <f t="shared" si="33"/>
        <v>0</v>
      </c>
      <c r="DK33" s="330">
        <f t="shared" si="33"/>
        <v>0</v>
      </c>
      <c r="DL33" s="330">
        <f t="shared" si="33"/>
        <v>0</v>
      </c>
      <c r="DM33" s="330">
        <f t="shared" si="33"/>
        <v>0</v>
      </c>
      <c r="DN33" s="330">
        <f t="shared" si="33"/>
        <v>0</v>
      </c>
      <c r="DO33" s="330">
        <f t="shared" si="33"/>
        <v>0</v>
      </c>
      <c r="DP33" s="330">
        <f t="shared" si="30"/>
        <v>0</v>
      </c>
      <c r="DQ33" s="217"/>
      <c r="DR33" s="217"/>
      <c r="DS33" s="217"/>
      <c r="DT33" s="217"/>
    </row>
    <row r="34" spans="1:124" x14ac:dyDescent="0.3">
      <c r="A34" s="324"/>
      <c r="B34" s="221" t="s">
        <v>481</v>
      </c>
      <c r="C34" s="221" t="str">
        <f>IF('Default - Material Balance'!C44=0,"",'Default - Material Balance'!C44)</f>
        <v/>
      </c>
      <c r="D34" s="221" t="str">
        <f>IF('Default - Material Balance'!D44=0,"",'Default - Material Balance'!D44)</f>
        <v/>
      </c>
      <c r="E34" s="221" t="str">
        <f>IF('Default - Material Balance'!E44=0,"",'Default - Material Balance'!E44)</f>
        <v/>
      </c>
      <c r="F34" s="221" t="str">
        <f>IF('Default - Material Balance'!F44=0,"",'Default - Material Balance'!F44)</f>
        <v/>
      </c>
      <c r="G34" s="222"/>
      <c r="H34" s="222"/>
      <c r="I34" s="222"/>
      <c r="J34" s="325">
        <f>IF('Default - Material Balance'!M44=0,0,'Default - Material Balance'!M44)</f>
        <v>0</v>
      </c>
      <c r="K34" s="465"/>
      <c r="L34" s="326"/>
      <c r="M34" s="326"/>
      <c r="N34" s="326"/>
      <c r="O34" s="326"/>
      <c r="P34" s="326"/>
      <c r="Q34" s="326"/>
      <c r="R34" s="326"/>
      <c r="S34" s="326"/>
      <c r="T34" s="326"/>
      <c r="U34" s="326"/>
      <c r="V34" s="326"/>
      <c r="W34" s="326"/>
      <c r="X34" s="326"/>
      <c r="Y34" s="326"/>
      <c r="Z34" s="327"/>
      <c r="AA34" s="328"/>
      <c r="AB34" s="328"/>
      <c r="AC34" s="328"/>
      <c r="AD34" s="328"/>
      <c r="AE34" s="328"/>
      <c r="AF34" s="328"/>
      <c r="AG34" s="328"/>
      <c r="AH34" s="328"/>
      <c r="AI34" s="328"/>
      <c r="AJ34" s="328"/>
      <c r="AK34" s="328"/>
      <c r="AL34" s="328"/>
      <c r="AM34" s="328"/>
      <c r="AN34" s="328"/>
      <c r="AO34" s="329"/>
      <c r="AP34" s="326"/>
      <c r="AQ34" s="326"/>
      <c r="AR34" s="326"/>
      <c r="AS34" s="326"/>
      <c r="AT34" s="326"/>
      <c r="AU34" s="326"/>
      <c r="AV34" s="326"/>
      <c r="AW34" s="326"/>
      <c r="AX34" s="326"/>
      <c r="AY34" s="326"/>
      <c r="AZ34" s="326"/>
      <c r="BA34" s="326"/>
      <c r="BB34" s="326"/>
      <c r="BC34" s="326"/>
      <c r="BD34" s="326"/>
      <c r="BE34" s="330">
        <f>IF($F34="",0,$J34*VLOOKUP($F34,Lists!$C$72:$R$152,COLUMNS(Lists!$C$69:E$69),0))*VLOOKUP(BE$3,Conversions!$B$12:$E$34,4,0)</f>
        <v>0</v>
      </c>
      <c r="BF34" s="330">
        <f>IF($F34="",0,$J34*VLOOKUP($F34,Lists!$C$72:$R$152,COLUMNS(Lists!$C$69:F$69),0))*VLOOKUP(BF$3,Conversions!$B$12:$E$34,4,0)</f>
        <v>0</v>
      </c>
      <c r="BG34" s="330">
        <f>IF($F34="",0,$J34*VLOOKUP($F34,Lists!$C$72:$R$152,COLUMNS(Lists!$C$69:G$69),0))*VLOOKUP(BG$3,Conversions!$B$12:$E$34,4,0)</f>
        <v>0</v>
      </c>
      <c r="BH34" s="330">
        <f>IF($F34="",0,$J34*VLOOKUP($F34,Lists!$C$72:$R$152,COLUMNS(Lists!$C$69:H$69),0))*VLOOKUP(BH$3,Conversions!$B$12:$E$34,4,0)</f>
        <v>0</v>
      </c>
      <c r="BI34" s="330">
        <f>IF($F34="",0,$J34*VLOOKUP($F34,Lists!$C$72:$R$152,COLUMNS(Lists!$C$69:I$69),0))*VLOOKUP(BI$3,Conversions!$B$12:$E$34,4,0)</f>
        <v>0</v>
      </c>
      <c r="BJ34" s="330">
        <f>IF($F34="",0,$J34*VLOOKUP($F34,Lists!$C$72:$R$152,COLUMNS(Lists!$C$69:J$69),0))*VLOOKUP(BJ$3,Conversions!$B$12:$E$34,4,0)</f>
        <v>0</v>
      </c>
      <c r="BK34" s="330">
        <f>IF($F34="",0,$J34*VLOOKUP($F34,Lists!$C$72:$R$152,COLUMNS(Lists!$C$69:K$69),0))*VLOOKUP(BK$3,Conversions!$B$12:$E$34,4,0)</f>
        <v>0</v>
      </c>
      <c r="BL34" s="330">
        <f>IF($F34="",0,$J34*VLOOKUP($F34,Lists!$C$72:$R$152,COLUMNS(Lists!$C$69:L$69),0))*VLOOKUP(BL$3,Conversions!$B$12:$E$34,4,0)</f>
        <v>0</v>
      </c>
      <c r="BM34" s="330">
        <f>IF($F34="",0,$J34*VLOOKUP($F34,Lists!$C$72:$R$152,COLUMNS(Lists!$C$69:M$69),0))*VLOOKUP(BM$3,Conversions!$B$12:$E$34,4,0)</f>
        <v>0</v>
      </c>
      <c r="BN34" s="330">
        <f>IF($F34="",0,$J34*VLOOKUP($F34,Lists!$C$72:$R$152,COLUMNS(Lists!$C$69:N$69),0))*VLOOKUP(BN$3,Conversions!$B$12:$E$34,4,0)</f>
        <v>0</v>
      </c>
      <c r="BO34" s="330">
        <f>IF($F34="",0,$J34*VLOOKUP($F34,Lists!$C$72:$R$152,COLUMNS(Lists!$C$69:O$69),0))*VLOOKUP(BO$3,Conversions!$B$12:$E$34,4,0)</f>
        <v>0</v>
      </c>
      <c r="BP34" s="330">
        <f>IF($F34="",0,$J34*VLOOKUP($F34,Lists!$C$72:$R$152,COLUMNS(Lists!$C$69:P$69),0))*VLOOKUP(BP$3,Conversions!$B$12:$E$34,4,0)</f>
        <v>0</v>
      </c>
      <c r="BQ34" s="330">
        <f>IF($F34="",0,$J34*VLOOKUP($F34,Lists!$C$72:$R$152,COLUMNS(Lists!$C$69:Q$69),0))*VLOOKUP(BQ$3,Conversions!$B$12:$E$34,4,0)</f>
        <v>0</v>
      </c>
      <c r="BR34" s="330">
        <f>IF($F34="",0,$J34*VLOOKUP($F34,Lists!$C$72:$R$152,COLUMNS(Lists!$C$69:R$69),0))*VLOOKUP(BR$3,Conversions!$B$12:$E$34,4,0)</f>
        <v>0</v>
      </c>
      <c r="BS34" s="330">
        <f t="shared" si="4"/>
        <v>0</v>
      </c>
      <c r="BT34" s="329">
        <f t="shared" ref="BT34:CI43" si="34">IF($E34="",0,IF($E34=BT$3,$BS34,0))</f>
        <v>0</v>
      </c>
      <c r="BU34" s="329">
        <f t="shared" si="34"/>
        <v>0</v>
      </c>
      <c r="BV34" s="329">
        <f t="shared" si="34"/>
        <v>0</v>
      </c>
      <c r="BW34" s="329">
        <f t="shared" si="34"/>
        <v>0</v>
      </c>
      <c r="BX34" s="329">
        <f t="shared" si="34"/>
        <v>0</v>
      </c>
      <c r="BY34" s="329">
        <f t="shared" si="34"/>
        <v>0</v>
      </c>
      <c r="BZ34" s="329">
        <f t="shared" si="34"/>
        <v>0</v>
      </c>
      <c r="CA34" s="329">
        <f t="shared" si="34"/>
        <v>0</v>
      </c>
      <c r="CB34" s="329">
        <f t="shared" si="34"/>
        <v>0</v>
      </c>
      <c r="CC34" s="329">
        <f t="shared" si="34"/>
        <v>0</v>
      </c>
      <c r="CD34" s="329">
        <f t="shared" si="34"/>
        <v>0</v>
      </c>
      <c r="CE34" s="329">
        <f t="shared" si="34"/>
        <v>0</v>
      </c>
      <c r="CF34" s="329">
        <f t="shared" si="34"/>
        <v>0</v>
      </c>
      <c r="CG34" s="329">
        <f t="shared" si="34"/>
        <v>0</v>
      </c>
      <c r="CH34" s="329">
        <f t="shared" si="34"/>
        <v>0</v>
      </c>
      <c r="CI34" s="329">
        <f t="shared" si="34"/>
        <v>0</v>
      </c>
      <c r="CJ34" s="331">
        <f t="shared" si="1"/>
        <v>0</v>
      </c>
      <c r="CK34" s="330">
        <f t="shared" si="5"/>
        <v>0</v>
      </c>
      <c r="CL34" s="330">
        <f t="shared" si="6"/>
        <v>0</v>
      </c>
      <c r="CM34" s="330">
        <f t="shared" si="7"/>
        <v>0</v>
      </c>
      <c r="CN34" s="330">
        <f t="shared" si="8"/>
        <v>0</v>
      </c>
      <c r="CO34" s="330">
        <f t="shared" si="9"/>
        <v>0</v>
      </c>
      <c r="CP34" s="330">
        <f t="shared" si="10"/>
        <v>0</v>
      </c>
      <c r="CQ34" s="330">
        <f t="shared" si="11"/>
        <v>0</v>
      </c>
      <c r="CR34" s="330">
        <f t="shared" si="12"/>
        <v>0</v>
      </c>
      <c r="CS34" s="330">
        <f t="shared" si="13"/>
        <v>0</v>
      </c>
      <c r="CT34" s="330">
        <f t="shared" si="14"/>
        <v>0</v>
      </c>
      <c r="CU34" s="330">
        <f t="shared" ref="CU34:DD43" si="35">IF($C34=CU$3,$BS34,0)</f>
        <v>0</v>
      </c>
      <c r="CV34" s="330">
        <f t="shared" si="35"/>
        <v>0</v>
      </c>
      <c r="CW34" s="330">
        <f t="shared" si="35"/>
        <v>0</v>
      </c>
      <c r="CX34" s="330">
        <f t="shared" si="35"/>
        <v>0</v>
      </c>
      <c r="CY34" s="330">
        <f t="shared" si="35"/>
        <v>0</v>
      </c>
      <c r="CZ34" s="330">
        <f t="shared" si="35"/>
        <v>0</v>
      </c>
      <c r="DA34" s="330">
        <f t="shared" si="35"/>
        <v>0</v>
      </c>
      <c r="DB34" s="330">
        <f t="shared" si="35"/>
        <v>0</v>
      </c>
      <c r="DC34" s="330">
        <f t="shared" si="35"/>
        <v>0</v>
      </c>
      <c r="DD34" s="330">
        <f t="shared" si="35"/>
        <v>0</v>
      </c>
      <c r="DE34" s="330">
        <f t="shared" ref="DE34:DO43" si="36">IF($C34=DE$3,$BS34,0)</f>
        <v>0</v>
      </c>
      <c r="DF34" s="330">
        <f t="shared" si="36"/>
        <v>0</v>
      </c>
      <c r="DG34" s="330">
        <f t="shared" si="36"/>
        <v>0</v>
      </c>
      <c r="DH34" s="330">
        <f t="shared" si="36"/>
        <v>0</v>
      </c>
      <c r="DI34" s="330">
        <f t="shared" si="36"/>
        <v>0</v>
      </c>
      <c r="DJ34" s="330">
        <f t="shared" si="36"/>
        <v>0</v>
      </c>
      <c r="DK34" s="330">
        <f t="shared" si="36"/>
        <v>0</v>
      </c>
      <c r="DL34" s="330">
        <f t="shared" si="36"/>
        <v>0</v>
      </c>
      <c r="DM34" s="330">
        <f t="shared" si="36"/>
        <v>0</v>
      </c>
      <c r="DN34" s="330">
        <f t="shared" si="36"/>
        <v>0</v>
      </c>
      <c r="DO34" s="330">
        <f t="shared" si="36"/>
        <v>0</v>
      </c>
      <c r="DP34" s="330">
        <f t="shared" ref="DP34:DP53" si="37">BS34</f>
        <v>0</v>
      </c>
      <c r="DQ34" s="217"/>
      <c r="DR34" s="217"/>
      <c r="DS34" s="217"/>
      <c r="DT34" s="217"/>
    </row>
    <row r="35" spans="1:124" x14ac:dyDescent="0.3">
      <c r="A35" s="324"/>
      <c r="B35" s="221" t="s">
        <v>481</v>
      </c>
      <c r="C35" s="221" t="str">
        <f>IF('Default - Material Balance'!C45=0,"",'Default - Material Balance'!C45)</f>
        <v/>
      </c>
      <c r="D35" s="221" t="str">
        <f>IF('Default - Material Balance'!D45=0,"",'Default - Material Balance'!D45)</f>
        <v/>
      </c>
      <c r="E35" s="221" t="str">
        <f>IF('Default - Material Balance'!E45=0,"",'Default - Material Balance'!E45)</f>
        <v/>
      </c>
      <c r="F35" s="221" t="str">
        <f>IF('Default - Material Balance'!F45=0,"",'Default - Material Balance'!F45)</f>
        <v/>
      </c>
      <c r="G35" s="222"/>
      <c r="H35" s="222"/>
      <c r="I35" s="222"/>
      <c r="J35" s="325">
        <f>IF('Default - Material Balance'!M45=0,0,'Default - Material Balance'!M45)</f>
        <v>0</v>
      </c>
      <c r="K35" s="465"/>
      <c r="L35" s="326"/>
      <c r="M35" s="326"/>
      <c r="N35" s="326"/>
      <c r="O35" s="326"/>
      <c r="P35" s="326"/>
      <c r="Q35" s="326"/>
      <c r="R35" s="326"/>
      <c r="S35" s="326"/>
      <c r="T35" s="326"/>
      <c r="U35" s="326"/>
      <c r="V35" s="326"/>
      <c r="W35" s="326"/>
      <c r="X35" s="326"/>
      <c r="Y35" s="326"/>
      <c r="Z35" s="327"/>
      <c r="AA35" s="328"/>
      <c r="AB35" s="328"/>
      <c r="AC35" s="328"/>
      <c r="AD35" s="328"/>
      <c r="AE35" s="328"/>
      <c r="AF35" s="328"/>
      <c r="AG35" s="328"/>
      <c r="AH35" s="328"/>
      <c r="AI35" s="328"/>
      <c r="AJ35" s="328"/>
      <c r="AK35" s="328"/>
      <c r="AL35" s="328"/>
      <c r="AM35" s="328"/>
      <c r="AN35" s="328"/>
      <c r="AO35" s="329"/>
      <c r="AP35" s="326"/>
      <c r="AQ35" s="326"/>
      <c r="AR35" s="326"/>
      <c r="AS35" s="326"/>
      <c r="AT35" s="326"/>
      <c r="AU35" s="326"/>
      <c r="AV35" s="326"/>
      <c r="AW35" s="326"/>
      <c r="AX35" s="326"/>
      <c r="AY35" s="326"/>
      <c r="AZ35" s="326"/>
      <c r="BA35" s="326"/>
      <c r="BB35" s="326"/>
      <c r="BC35" s="326"/>
      <c r="BD35" s="326"/>
      <c r="BE35" s="330">
        <f>IF($F35="",0,$J35*VLOOKUP($F35,Lists!$C$72:$R$152,COLUMNS(Lists!$C$69:E$69),0))*VLOOKUP(BE$3,Conversions!$B$12:$E$34,4,0)</f>
        <v>0</v>
      </c>
      <c r="BF35" s="330">
        <f>IF($F35="",0,$J35*VLOOKUP($F35,Lists!$C$72:$R$152,COLUMNS(Lists!$C$69:F$69),0))*VLOOKUP(BF$3,Conversions!$B$12:$E$34,4,0)</f>
        <v>0</v>
      </c>
      <c r="BG35" s="330">
        <f>IF($F35="",0,$J35*VLOOKUP($F35,Lists!$C$72:$R$152,COLUMNS(Lists!$C$69:G$69),0))*VLOOKUP(BG$3,Conversions!$B$12:$E$34,4,0)</f>
        <v>0</v>
      </c>
      <c r="BH35" s="330">
        <f>IF($F35="",0,$J35*VLOOKUP($F35,Lists!$C$72:$R$152,COLUMNS(Lists!$C$69:H$69),0))*VLOOKUP(BH$3,Conversions!$B$12:$E$34,4,0)</f>
        <v>0</v>
      </c>
      <c r="BI35" s="330">
        <f>IF($F35="",0,$J35*VLOOKUP($F35,Lists!$C$72:$R$152,COLUMNS(Lists!$C$69:I$69),0))*VLOOKUP(BI$3,Conversions!$B$12:$E$34,4,0)</f>
        <v>0</v>
      </c>
      <c r="BJ35" s="330">
        <f>IF($F35="",0,$J35*VLOOKUP($F35,Lists!$C$72:$R$152,COLUMNS(Lists!$C$69:J$69),0))*VLOOKUP(BJ$3,Conversions!$B$12:$E$34,4,0)</f>
        <v>0</v>
      </c>
      <c r="BK35" s="330">
        <f>IF($F35="",0,$J35*VLOOKUP($F35,Lists!$C$72:$R$152,COLUMNS(Lists!$C$69:K$69),0))*VLOOKUP(BK$3,Conversions!$B$12:$E$34,4,0)</f>
        <v>0</v>
      </c>
      <c r="BL35" s="330">
        <f>IF($F35="",0,$J35*VLOOKUP($F35,Lists!$C$72:$R$152,COLUMNS(Lists!$C$69:L$69),0))*VLOOKUP(BL$3,Conversions!$B$12:$E$34,4,0)</f>
        <v>0</v>
      </c>
      <c r="BM35" s="330">
        <f>IF($F35="",0,$J35*VLOOKUP($F35,Lists!$C$72:$R$152,COLUMNS(Lists!$C$69:M$69),0))*VLOOKUP(BM$3,Conversions!$B$12:$E$34,4,0)</f>
        <v>0</v>
      </c>
      <c r="BN35" s="330">
        <f>IF($F35="",0,$J35*VLOOKUP($F35,Lists!$C$72:$R$152,COLUMNS(Lists!$C$69:N$69),0))*VLOOKUP(BN$3,Conversions!$B$12:$E$34,4,0)</f>
        <v>0</v>
      </c>
      <c r="BO35" s="330">
        <f>IF($F35="",0,$J35*VLOOKUP($F35,Lists!$C$72:$R$152,COLUMNS(Lists!$C$69:O$69),0))*VLOOKUP(BO$3,Conversions!$B$12:$E$34,4,0)</f>
        <v>0</v>
      </c>
      <c r="BP35" s="330">
        <f>IF($F35="",0,$J35*VLOOKUP($F35,Lists!$C$72:$R$152,COLUMNS(Lists!$C$69:P$69),0))*VLOOKUP(BP$3,Conversions!$B$12:$E$34,4,0)</f>
        <v>0</v>
      </c>
      <c r="BQ35" s="330">
        <f>IF($F35="",0,$J35*VLOOKUP($F35,Lists!$C$72:$R$152,COLUMNS(Lists!$C$69:Q$69),0))*VLOOKUP(BQ$3,Conversions!$B$12:$E$34,4,0)</f>
        <v>0</v>
      </c>
      <c r="BR35" s="330">
        <f>IF($F35="",0,$J35*VLOOKUP($F35,Lists!$C$72:$R$152,COLUMNS(Lists!$C$69:R$69),0))*VLOOKUP(BR$3,Conversions!$B$12:$E$34,4,0)</f>
        <v>0</v>
      </c>
      <c r="BS35" s="330">
        <f t="shared" si="4"/>
        <v>0</v>
      </c>
      <c r="BT35" s="329">
        <f t="shared" si="34"/>
        <v>0</v>
      </c>
      <c r="BU35" s="329">
        <f t="shared" si="34"/>
        <v>0</v>
      </c>
      <c r="BV35" s="329">
        <f t="shared" si="34"/>
        <v>0</v>
      </c>
      <c r="BW35" s="329">
        <f t="shared" si="34"/>
        <v>0</v>
      </c>
      <c r="BX35" s="329">
        <f t="shared" si="34"/>
        <v>0</v>
      </c>
      <c r="BY35" s="329">
        <f t="shared" si="34"/>
        <v>0</v>
      </c>
      <c r="BZ35" s="329">
        <f t="shared" si="34"/>
        <v>0</v>
      </c>
      <c r="CA35" s="329">
        <f t="shared" si="34"/>
        <v>0</v>
      </c>
      <c r="CB35" s="329">
        <f t="shared" si="34"/>
        <v>0</v>
      </c>
      <c r="CC35" s="329">
        <f t="shared" si="34"/>
        <v>0</v>
      </c>
      <c r="CD35" s="329">
        <f t="shared" si="34"/>
        <v>0</v>
      </c>
      <c r="CE35" s="329">
        <f t="shared" si="34"/>
        <v>0</v>
      </c>
      <c r="CF35" s="329">
        <f t="shared" si="34"/>
        <v>0</v>
      </c>
      <c r="CG35" s="329">
        <f t="shared" si="34"/>
        <v>0</v>
      </c>
      <c r="CH35" s="329">
        <f t="shared" si="34"/>
        <v>0</v>
      </c>
      <c r="CI35" s="329">
        <f t="shared" si="34"/>
        <v>0</v>
      </c>
      <c r="CJ35" s="331">
        <f t="shared" si="1"/>
        <v>0</v>
      </c>
      <c r="CK35" s="330">
        <f t="shared" si="5"/>
        <v>0</v>
      </c>
      <c r="CL35" s="330">
        <f t="shared" si="6"/>
        <v>0</v>
      </c>
      <c r="CM35" s="330">
        <f t="shared" si="7"/>
        <v>0</v>
      </c>
      <c r="CN35" s="330">
        <f t="shared" si="8"/>
        <v>0</v>
      </c>
      <c r="CO35" s="330">
        <f t="shared" si="9"/>
        <v>0</v>
      </c>
      <c r="CP35" s="330">
        <f t="shared" si="10"/>
        <v>0</v>
      </c>
      <c r="CQ35" s="330">
        <f t="shared" si="11"/>
        <v>0</v>
      </c>
      <c r="CR35" s="330">
        <f t="shared" si="12"/>
        <v>0</v>
      </c>
      <c r="CS35" s="330">
        <f t="shared" si="13"/>
        <v>0</v>
      </c>
      <c r="CT35" s="330">
        <f t="shared" si="14"/>
        <v>0</v>
      </c>
      <c r="CU35" s="330">
        <f t="shared" si="35"/>
        <v>0</v>
      </c>
      <c r="CV35" s="330">
        <f t="shared" si="35"/>
        <v>0</v>
      </c>
      <c r="CW35" s="330">
        <f t="shared" si="35"/>
        <v>0</v>
      </c>
      <c r="CX35" s="330">
        <f t="shared" si="35"/>
        <v>0</v>
      </c>
      <c r="CY35" s="330">
        <f t="shared" si="35"/>
        <v>0</v>
      </c>
      <c r="CZ35" s="330">
        <f t="shared" si="35"/>
        <v>0</v>
      </c>
      <c r="DA35" s="330">
        <f t="shared" si="35"/>
        <v>0</v>
      </c>
      <c r="DB35" s="330">
        <f t="shared" si="35"/>
        <v>0</v>
      </c>
      <c r="DC35" s="330">
        <f t="shared" si="35"/>
        <v>0</v>
      </c>
      <c r="DD35" s="330">
        <f t="shared" si="35"/>
        <v>0</v>
      </c>
      <c r="DE35" s="330">
        <f t="shared" si="36"/>
        <v>0</v>
      </c>
      <c r="DF35" s="330">
        <f t="shared" si="36"/>
        <v>0</v>
      </c>
      <c r="DG35" s="330">
        <f t="shared" si="36"/>
        <v>0</v>
      </c>
      <c r="DH35" s="330">
        <f t="shared" si="36"/>
        <v>0</v>
      </c>
      <c r="DI35" s="330">
        <f t="shared" si="36"/>
        <v>0</v>
      </c>
      <c r="DJ35" s="330">
        <f t="shared" si="36"/>
        <v>0</v>
      </c>
      <c r="DK35" s="330">
        <f t="shared" si="36"/>
        <v>0</v>
      </c>
      <c r="DL35" s="330">
        <f t="shared" si="36"/>
        <v>0</v>
      </c>
      <c r="DM35" s="330">
        <f t="shared" si="36"/>
        <v>0</v>
      </c>
      <c r="DN35" s="330">
        <f t="shared" si="36"/>
        <v>0</v>
      </c>
      <c r="DO35" s="330">
        <f t="shared" si="36"/>
        <v>0</v>
      </c>
      <c r="DP35" s="330">
        <f t="shared" si="37"/>
        <v>0</v>
      </c>
      <c r="DQ35" s="217"/>
      <c r="DR35" s="217"/>
      <c r="DS35" s="217"/>
      <c r="DT35" s="217"/>
    </row>
    <row r="36" spans="1:124" x14ac:dyDescent="0.3">
      <c r="A36" s="324"/>
      <c r="B36" s="221" t="s">
        <v>481</v>
      </c>
      <c r="C36" s="221" t="str">
        <f>IF('Default - Material Balance'!C46=0,"",'Default - Material Balance'!C46)</f>
        <v/>
      </c>
      <c r="D36" s="221" t="str">
        <f>IF('Default - Material Balance'!D46=0,"",'Default - Material Balance'!D46)</f>
        <v/>
      </c>
      <c r="E36" s="221" t="str">
        <f>IF('Default - Material Balance'!E46=0,"",'Default - Material Balance'!E46)</f>
        <v/>
      </c>
      <c r="F36" s="221" t="str">
        <f>IF('Default - Material Balance'!F46=0,"",'Default - Material Balance'!F46)</f>
        <v/>
      </c>
      <c r="G36" s="222"/>
      <c r="H36" s="222"/>
      <c r="I36" s="222"/>
      <c r="J36" s="325">
        <f>IF('Default - Material Balance'!M46=0,0,'Default - Material Balance'!M46)</f>
        <v>0</v>
      </c>
      <c r="K36" s="465"/>
      <c r="L36" s="326"/>
      <c r="M36" s="326"/>
      <c r="N36" s="326"/>
      <c r="O36" s="326"/>
      <c r="P36" s="326"/>
      <c r="Q36" s="326"/>
      <c r="R36" s="326"/>
      <c r="S36" s="326"/>
      <c r="T36" s="326"/>
      <c r="U36" s="326"/>
      <c r="V36" s="326"/>
      <c r="W36" s="326"/>
      <c r="X36" s="326"/>
      <c r="Y36" s="326"/>
      <c r="Z36" s="327"/>
      <c r="AA36" s="328"/>
      <c r="AB36" s="328"/>
      <c r="AC36" s="328"/>
      <c r="AD36" s="328"/>
      <c r="AE36" s="328"/>
      <c r="AF36" s="328"/>
      <c r="AG36" s="328"/>
      <c r="AH36" s="328"/>
      <c r="AI36" s="328"/>
      <c r="AJ36" s="328"/>
      <c r="AK36" s="328"/>
      <c r="AL36" s="328"/>
      <c r="AM36" s="328"/>
      <c r="AN36" s="328"/>
      <c r="AO36" s="329"/>
      <c r="AP36" s="326"/>
      <c r="AQ36" s="326"/>
      <c r="AR36" s="326"/>
      <c r="AS36" s="326"/>
      <c r="AT36" s="326"/>
      <c r="AU36" s="326"/>
      <c r="AV36" s="326"/>
      <c r="AW36" s="326"/>
      <c r="AX36" s="326"/>
      <c r="AY36" s="326"/>
      <c r="AZ36" s="326"/>
      <c r="BA36" s="326"/>
      <c r="BB36" s="326"/>
      <c r="BC36" s="326"/>
      <c r="BD36" s="326"/>
      <c r="BE36" s="330">
        <f>IF($F36="",0,$J36*VLOOKUP($F36,Lists!$C$72:$R$152,COLUMNS(Lists!$C$69:E$69),0))*VLOOKUP(BE$3,Conversions!$B$12:$E$34,4,0)</f>
        <v>0</v>
      </c>
      <c r="BF36" s="330">
        <f>IF($F36="",0,$J36*VLOOKUP($F36,Lists!$C$72:$R$152,COLUMNS(Lists!$C$69:F$69),0))*VLOOKUP(BF$3,Conversions!$B$12:$E$34,4,0)</f>
        <v>0</v>
      </c>
      <c r="BG36" s="330">
        <f>IF($F36="",0,$J36*VLOOKUP($F36,Lists!$C$72:$R$152,COLUMNS(Lists!$C$69:G$69),0))*VLOOKUP(BG$3,Conversions!$B$12:$E$34,4,0)</f>
        <v>0</v>
      </c>
      <c r="BH36" s="330">
        <f>IF($F36="",0,$J36*VLOOKUP($F36,Lists!$C$72:$R$152,COLUMNS(Lists!$C$69:H$69),0))*VLOOKUP(BH$3,Conversions!$B$12:$E$34,4,0)</f>
        <v>0</v>
      </c>
      <c r="BI36" s="330">
        <f>IF($F36="",0,$J36*VLOOKUP($F36,Lists!$C$72:$R$152,COLUMNS(Lists!$C$69:I$69),0))*VLOOKUP(BI$3,Conversions!$B$12:$E$34,4,0)</f>
        <v>0</v>
      </c>
      <c r="BJ36" s="330">
        <f>IF($F36="",0,$J36*VLOOKUP($F36,Lists!$C$72:$R$152,COLUMNS(Lists!$C$69:J$69),0))*VLOOKUP(BJ$3,Conversions!$B$12:$E$34,4,0)</f>
        <v>0</v>
      </c>
      <c r="BK36" s="330">
        <f>IF($F36="",0,$J36*VLOOKUP($F36,Lists!$C$72:$R$152,COLUMNS(Lists!$C$69:K$69),0))*VLOOKUP(BK$3,Conversions!$B$12:$E$34,4,0)</f>
        <v>0</v>
      </c>
      <c r="BL36" s="330">
        <f>IF($F36="",0,$J36*VLOOKUP($F36,Lists!$C$72:$R$152,COLUMNS(Lists!$C$69:L$69),0))*VLOOKUP(BL$3,Conversions!$B$12:$E$34,4,0)</f>
        <v>0</v>
      </c>
      <c r="BM36" s="330">
        <f>IF($F36="",0,$J36*VLOOKUP($F36,Lists!$C$72:$R$152,COLUMNS(Lists!$C$69:M$69),0))*VLOOKUP(BM$3,Conversions!$B$12:$E$34,4,0)</f>
        <v>0</v>
      </c>
      <c r="BN36" s="330">
        <f>IF($F36="",0,$J36*VLOOKUP($F36,Lists!$C$72:$R$152,COLUMNS(Lists!$C$69:N$69),0))*VLOOKUP(BN$3,Conversions!$B$12:$E$34,4,0)</f>
        <v>0</v>
      </c>
      <c r="BO36" s="330">
        <f>IF($F36="",0,$J36*VLOOKUP($F36,Lists!$C$72:$R$152,COLUMNS(Lists!$C$69:O$69),0))*VLOOKUP(BO$3,Conversions!$B$12:$E$34,4,0)</f>
        <v>0</v>
      </c>
      <c r="BP36" s="330">
        <f>IF($F36="",0,$J36*VLOOKUP($F36,Lists!$C$72:$R$152,COLUMNS(Lists!$C$69:P$69),0))*VLOOKUP(BP$3,Conversions!$B$12:$E$34,4,0)</f>
        <v>0</v>
      </c>
      <c r="BQ36" s="330">
        <f>IF($F36="",0,$J36*VLOOKUP($F36,Lists!$C$72:$R$152,COLUMNS(Lists!$C$69:Q$69),0))*VLOOKUP(BQ$3,Conversions!$B$12:$E$34,4,0)</f>
        <v>0</v>
      </c>
      <c r="BR36" s="330">
        <f>IF($F36="",0,$J36*VLOOKUP($F36,Lists!$C$72:$R$152,COLUMNS(Lists!$C$69:R$69),0))*VLOOKUP(BR$3,Conversions!$B$12:$E$34,4,0)</f>
        <v>0</v>
      </c>
      <c r="BS36" s="330">
        <f t="shared" si="4"/>
        <v>0</v>
      </c>
      <c r="BT36" s="329">
        <f t="shared" si="34"/>
        <v>0</v>
      </c>
      <c r="BU36" s="329">
        <f t="shared" si="34"/>
        <v>0</v>
      </c>
      <c r="BV36" s="329">
        <f t="shared" si="34"/>
        <v>0</v>
      </c>
      <c r="BW36" s="329">
        <f t="shared" si="34"/>
        <v>0</v>
      </c>
      <c r="BX36" s="329">
        <f t="shared" si="34"/>
        <v>0</v>
      </c>
      <c r="BY36" s="329">
        <f t="shared" si="34"/>
        <v>0</v>
      </c>
      <c r="BZ36" s="329">
        <f t="shared" si="34"/>
        <v>0</v>
      </c>
      <c r="CA36" s="329">
        <f t="shared" si="34"/>
        <v>0</v>
      </c>
      <c r="CB36" s="329">
        <f t="shared" si="34"/>
        <v>0</v>
      </c>
      <c r="CC36" s="329">
        <f t="shared" si="34"/>
        <v>0</v>
      </c>
      <c r="CD36" s="329">
        <f t="shared" si="34"/>
        <v>0</v>
      </c>
      <c r="CE36" s="329">
        <f t="shared" si="34"/>
        <v>0</v>
      </c>
      <c r="CF36" s="329">
        <f t="shared" si="34"/>
        <v>0</v>
      </c>
      <c r="CG36" s="329">
        <f t="shared" si="34"/>
        <v>0</v>
      </c>
      <c r="CH36" s="329">
        <f t="shared" si="34"/>
        <v>0</v>
      </c>
      <c r="CI36" s="329">
        <f t="shared" si="34"/>
        <v>0</v>
      </c>
      <c r="CJ36" s="331">
        <f t="shared" si="1"/>
        <v>0</v>
      </c>
      <c r="CK36" s="330">
        <f t="shared" si="5"/>
        <v>0</v>
      </c>
      <c r="CL36" s="330">
        <f t="shared" si="6"/>
        <v>0</v>
      </c>
      <c r="CM36" s="330">
        <f t="shared" si="7"/>
        <v>0</v>
      </c>
      <c r="CN36" s="330">
        <f t="shared" si="8"/>
        <v>0</v>
      </c>
      <c r="CO36" s="330">
        <f t="shared" si="9"/>
        <v>0</v>
      </c>
      <c r="CP36" s="330">
        <f t="shared" si="10"/>
        <v>0</v>
      </c>
      <c r="CQ36" s="330">
        <f t="shared" si="11"/>
        <v>0</v>
      </c>
      <c r="CR36" s="330">
        <f t="shared" si="12"/>
        <v>0</v>
      </c>
      <c r="CS36" s="330">
        <f t="shared" si="13"/>
        <v>0</v>
      </c>
      <c r="CT36" s="330">
        <f t="shared" si="14"/>
        <v>0</v>
      </c>
      <c r="CU36" s="330">
        <f t="shared" si="35"/>
        <v>0</v>
      </c>
      <c r="CV36" s="330">
        <f t="shared" si="35"/>
        <v>0</v>
      </c>
      <c r="CW36" s="330">
        <f t="shared" si="35"/>
        <v>0</v>
      </c>
      <c r="CX36" s="330">
        <f t="shared" si="35"/>
        <v>0</v>
      </c>
      <c r="CY36" s="330">
        <f t="shared" si="35"/>
        <v>0</v>
      </c>
      <c r="CZ36" s="330">
        <f t="shared" si="35"/>
        <v>0</v>
      </c>
      <c r="DA36" s="330">
        <f t="shared" si="35"/>
        <v>0</v>
      </c>
      <c r="DB36" s="330">
        <f t="shared" si="35"/>
        <v>0</v>
      </c>
      <c r="DC36" s="330">
        <f t="shared" si="35"/>
        <v>0</v>
      </c>
      <c r="DD36" s="330">
        <f t="shared" si="35"/>
        <v>0</v>
      </c>
      <c r="DE36" s="330">
        <f t="shared" si="36"/>
        <v>0</v>
      </c>
      <c r="DF36" s="330">
        <f t="shared" si="36"/>
        <v>0</v>
      </c>
      <c r="DG36" s="330">
        <f t="shared" si="36"/>
        <v>0</v>
      </c>
      <c r="DH36" s="330">
        <f t="shared" si="36"/>
        <v>0</v>
      </c>
      <c r="DI36" s="330">
        <f t="shared" si="36"/>
        <v>0</v>
      </c>
      <c r="DJ36" s="330">
        <f t="shared" si="36"/>
        <v>0</v>
      </c>
      <c r="DK36" s="330">
        <f t="shared" si="36"/>
        <v>0</v>
      </c>
      <c r="DL36" s="330">
        <f t="shared" si="36"/>
        <v>0</v>
      </c>
      <c r="DM36" s="330">
        <f t="shared" si="36"/>
        <v>0</v>
      </c>
      <c r="DN36" s="330">
        <f t="shared" si="36"/>
        <v>0</v>
      </c>
      <c r="DO36" s="330">
        <f t="shared" si="36"/>
        <v>0</v>
      </c>
      <c r="DP36" s="330">
        <f t="shared" si="37"/>
        <v>0</v>
      </c>
      <c r="DQ36" s="217"/>
      <c r="DR36" s="217"/>
      <c r="DS36" s="217"/>
      <c r="DT36" s="217"/>
    </row>
    <row r="37" spans="1:124" x14ac:dyDescent="0.3">
      <c r="A37" s="324"/>
      <c r="B37" s="221" t="s">
        <v>481</v>
      </c>
      <c r="C37" s="221" t="str">
        <f>IF('Default - Material Balance'!C47=0,"",'Default - Material Balance'!C47)</f>
        <v/>
      </c>
      <c r="D37" s="221" t="str">
        <f>IF('Default - Material Balance'!D47=0,"",'Default - Material Balance'!D47)</f>
        <v/>
      </c>
      <c r="E37" s="221" t="str">
        <f>IF('Default - Material Balance'!E47=0,"",'Default - Material Balance'!E47)</f>
        <v/>
      </c>
      <c r="F37" s="221" t="str">
        <f>IF('Default - Material Balance'!F47=0,"",'Default - Material Balance'!F47)</f>
        <v/>
      </c>
      <c r="G37" s="222"/>
      <c r="H37" s="222"/>
      <c r="I37" s="222"/>
      <c r="J37" s="325">
        <f>IF('Default - Material Balance'!M47=0,0,'Default - Material Balance'!M47)</f>
        <v>0</v>
      </c>
      <c r="K37" s="465"/>
      <c r="L37" s="326"/>
      <c r="M37" s="326"/>
      <c r="N37" s="326"/>
      <c r="O37" s="326"/>
      <c r="P37" s="326"/>
      <c r="Q37" s="326"/>
      <c r="R37" s="326"/>
      <c r="S37" s="326"/>
      <c r="T37" s="326"/>
      <c r="U37" s="326"/>
      <c r="V37" s="326"/>
      <c r="W37" s="326"/>
      <c r="X37" s="326"/>
      <c r="Y37" s="326"/>
      <c r="Z37" s="327"/>
      <c r="AA37" s="328"/>
      <c r="AB37" s="328"/>
      <c r="AC37" s="328"/>
      <c r="AD37" s="328"/>
      <c r="AE37" s="328"/>
      <c r="AF37" s="328"/>
      <c r="AG37" s="328"/>
      <c r="AH37" s="328"/>
      <c r="AI37" s="328"/>
      <c r="AJ37" s="328"/>
      <c r="AK37" s="328"/>
      <c r="AL37" s="328"/>
      <c r="AM37" s="328"/>
      <c r="AN37" s="328"/>
      <c r="AO37" s="329"/>
      <c r="AP37" s="326"/>
      <c r="AQ37" s="326"/>
      <c r="AR37" s="326"/>
      <c r="AS37" s="326"/>
      <c r="AT37" s="326"/>
      <c r="AU37" s="326"/>
      <c r="AV37" s="326"/>
      <c r="AW37" s="326"/>
      <c r="AX37" s="326"/>
      <c r="AY37" s="326"/>
      <c r="AZ37" s="326"/>
      <c r="BA37" s="326"/>
      <c r="BB37" s="326"/>
      <c r="BC37" s="326"/>
      <c r="BD37" s="326"/>
      <c r="BE37" s="330">
        <f>IF($F37="",0,$J37*VLOOKUP($F37,Lists!$C$72:$R$152,COLUMNS(Lists!$C$69:E$69),0))*VLOOKUP(BE$3,Conversions!$B$12:$E$34,4,0)</f>
        <v>0</v>
      </c>
      <c r="BF37" s="330">
        <f>IF($F37="",0,$J37*VLOOKUP($F37,Lists!$C$72:$R$152,COLUMNS(Lists!$C$69:F$69),0))*VLOOKUP(BF$3,Conversions!$B$12:$E$34,4,0)</f>
        <v>0</v>
      </c>
      <c r="BG37" s="330">
        <f>IF($F37="",0,$J37*VLOOKUP($F37,Lists!$C$72:$R$152,COLUMNS(Lists!$C$69:G$69),0))*VLOOKUP(BG$3,Conversions!$B$12:$E$34,4,0)</f>
        <v>0</v>
      </c>
      <c r="BH37" s="330">
        <f>IF($F37="",0,$J37*VLOOKUP($F37,Lists!$C$72:$R$152,COLUMNS(Lists!$C$69:H$69),0))*VLOOKUP(BH$3,Conversions!$B$12:$E$34,4,0)</f>
        <v>0</v>
      </c>
      <c r="BI37" s="330">
        <f>IF($F37="",0,$J37*VLOOKUP($F37,Lists!$C$72:$R$152,COLUMNS(Lists!$C$69:I$69),0))*VLOOKUP(BI$3,Conversions!$B$12:$E$34,4,0)</f>
        <v>0</v>
      </c>
      <c r="BJ37" s="330">
        <f>IF($F37="",0,$J37*VLOOKUP($F37,Lists!$C$72:$R$152,COLUMNS(Lists!$C$69:J$69),0))*VLOOKUP(BJ$3,Conversions!$B$12:$E$34,4,0)</f>
        <v>0</v>
      </c>
      <c r="BK37" s="330">
        <f>IF($F37="",0,$J37*VLOOKUP($F37,Lists!$C$72:$R$152,COLUMNS(Lists!$C$69:K$69),0))*VLOOKUP(BK$3,Conversions!$B$12:$E$34,4,0)</f>
        <v>0</v>
      </c>
      <c r="BL37" s="330">
        <f>IF($F37="",0,$J37*VLOOKUP($F37,Lists!$C$72:$R$152,COLUMNS(Lists!$C$69:L$69),0))*VLOOKUP(BL$3,Conversions!$B$12:$E$34,4,0)</f>
        <v>0</v>
      </c>
      <c r="BM37" s="330">
        <f>IF($F37="",0,$J37*VLOOKUP($F37,Lists!$C$72:$R$152,COLUMNS(Lists!$C$69:M$69),0))*VLOOKUP(BM$3,Conversions!$B$12:$E$34,4,0)</f>
        <v>0</v>
      </c>
      <c r="BN37" s="330">
        <f>IF($F37="",0,$J37*VLOOKUP($F37,Lists!$C$72:$R$152,COLUMNS(Lists!$C$69:N$69),0))*VLOOKUP(BN$3,Conversions!$B$12:$E$34,4,0)</f>
        <v>0</v>
      </c>
      <c r="BO37" s="330">
        <f>IF($F37="",0,$J37*VLOOKUP($F37,Lists!$C$72:$R$152,COLUMNS(Lists!$C$69:O$69),0))*VLOOKUP(BO$3,Conversions!$B$12:$E$34,4,0)</f>
        <v>0</v>
      </c>
      <c r="BP37" s="330">
        <f>IF($F37="",0,$J37*VLOOKUP($F37,Lists!$C$72:$R$152,COLUMNS(Lists!$C$69:P$69),0))*VLOOKUP(BP$3,Conversions!$B$12:$E$34,4,0)</f>
        <v>0</v>
      </c>
      <c r="BQ37" s="330">
        <f>IF($F37="",0,$J37*VLOOKUP($F37,Lists!$C$72:$R$152,COLUMNS(Lists!$C$69:Q$69),0))*VLOOKUP(BQ$3,Conversions!$B$12:$E$34,4,0)</f>
        <v>0</v>
      </c>
      <c r="BR37" s="330">
        <f>IF($F37="",0,$J37*VLOOKUP($F37,Lists!$C$72:$R$152,COLUMNS(Lists!$C$69:R$69),0))*VLOOKUP(BR$3,Conversions!$B$12:$E$34,4,0)</f>
        <v>0</v>
      </c>
      <c r="BS37" s="330">
        <f t="shared" si="4"/>
        <v>0</v>
      </c>
      <c r="BT37" s="329">
        <f t="shared" si="34"/>
        <v>0</v>
      </c>
      <c r="BU37" s="329">
        <f t="shared" si="34"/>
        <v>0</v>
      </c>
      <c r="BV37" s="329">
        <f t="shared" si="34"/>
        <v>0</v>
      </c>
      <c r="BW37" s="329">
        <f t="shared" si="34"/>
        <v>0</v>
      </c>
      <c r="BX37" s="329">
        <f t="shared" si="34"/>
        <v>0</v>
      </c>
      <c r="BY37" s="329">
        <f t="shared" si="34"/>
        <v>0</v>
      </c>
      <c r="BZ37" s="329">
        <f t="shared" si="34"/>
        <v>0</v>
      </c>
      <c r="CA37" s="329">
        <f t="shared" si="34"/>
        <v>0</v>
      </c>
      <c r="CB37" s="329">
        <f t="shared" si="34"/>
        <v>0</v>
      </c>
      <c r="CC37" s="329">
        <f t="shared" si="34"/>
        <v>0</v>
      </c>
      <c r="CD37" s="329">
        <f t="shared" si="34"/>
        <v>0</v>
      </c>
      <c r="CE37" s="329">
        <f t="shared" si="34"/>
        <v>0</v>
      </c>
      <c r="CF37" s="329">
        <f t="shared" si="34"/>
        <v>0</v>
      </c>
      <c r="CG37" s="329">
        <f t="shared" si="34"/>
        <v>0</v>
      </c>
      <c r="CH37" s="329">
        <f t="shared" si="34"/>
        <v>0</v>
      </c>
      <c r="CI37" s="329">
        <f t="shared" si="34"/>
        <v>0</v>
      </c>
      <c r="CJ37" s="331">
        <f t="shared" si="1"/>
        <v>0</v>
      </c>
      <c r="CK37" s="330">
        <f t="shared" si="5"/>
        <v>0</v>
      </c>
      <c r="CL37" s="330">
        <f t="shared" si="6"/>
        <v>0</v>
      </c>
      <c r="CM37" s="330">
        <f t="shared" si="7"/>
        <v>0</v>
      </c>
      <c r="CN37" s="330">
        <f t="shared" si="8"/>
        <v>0</v>
      </c>
      <c r="CO37" s="330">
        <f t="shared" si="9"/>
        <v>0</v>
      </c>
      <c r="CP37" s="330">
        <f t="shared" si="10"/>
        <v>0</v>
      </c>
      <c r="CQ37" s="330">
        <f t="shared" si="11"/>
        <v>0</v>
      </c>
      <c r="CR37" s="330">
        <f t="shared" si="12"/>
        <v>0</v>
      </c>
      <c r="CS37" s="330">
        <f t="shared" si="13"/>
        <v>0</v>
      </c>
      <c r="CT37" s="330">
        <f t="shared" si="14"/>
        <v>0</v>
      </c>
      <c r="CU37" s="330">
        <f t="shared" si="35"/>
        <v>0</v>
      </c>
      <c r="CV37" s="330">
        <f t="shared" si="35"/>
        <v>0</v>
      </c>
      <c r="CW37" s="330">
        <f t="shared" si="35"/>
        <v>0</v>
      </c>
      <c r="CX37" s="330">
        <f t="shared" si="35"/>
        <v>0</v>
      </c>
      <c r="CY37" s="330">
        <f t="shared" si="35"/>
        <v>0</v>
      </c>
      <c r="CZ37" s="330">
        <f t="shared" si="35"/>
        <v>0</v>
      </c>
      <c r="DA37" s="330">
        <f t="shared" si="35"/>
        <v>0</v>
      </c>
      <c r="DB37" s="330">
        <f t="shared" si="35"/>
        <v>0</v>
      </c>
      <c r="DC37" s="330">
        <f t="shared" si="35"/>
        <v>0</v>
      </c>
      <c r="DD37" s="330">
        <f t="shared" si="35"/>
        <v>0</v>
      </c>
      <c r="DE37" s="330">
        <f t="shared" si="36"/>
        <v>0</v>
      </c>
      <c r="DF37" s="330">
        <f t="shared" si="36"/>
        <v>0</v>
      </c>
      <c r="DG37" s="330">
        <f t="shared" si="36"/>
        <v>0</v>
      </c>
      <c r="DH37" s="330">
        <f t="shared" si="36"/>
        <v>0</v>
      </c>
      <c r="DI37" s="330">
        <f t="shared" si="36"/>
        <v>0</v>
      </c>
      <c r="DJ37" s="330">
        <f t="shared" si="36"/>
        <v>0</v>
      </c>
      <c r="DK37" s="330">
        <f t="shared" si="36"/>
        <v>0</v>
      </c>
      <c r="DL37" s="330">
        <f t="shared" si="36"/>
        <v>0</v>
      </c>
      <c r="DM37" s="330">
        <f t="shared" si="36"/>
        <v>0</v>
      </c>
      <c r="DN37" s="330">
        <f t="shared" si="36"/>
        <v>0</v>
      </c>
      <c r="DO37" s="330">
        <f t="shared" si="36"/>
        <v>0</v>
      </c>
      <c r="DP37" s="330">
        <f t="shared" si="37"/>
        <v>0</v>
      </c>
      <c r="DQ37" s="217"/>
      <c r="DR37" s="217"/>
      <c r="DS37" s="217"/>
      <c r="DT37" s="217"/>
    </row>
    <row r="38" spans="1:124" x14ac:dyDescent="0.3">
      <c r="A38" s="324"/>
      <c r="B38" s="221" t="s">
        <v>481</v>
      </c>
      <c r="C38" s="221" t="str">
        <f>IF('Default - Material Balance'!C48=0,"",'Default - Material Balance'!C48)</f>
        <v/>
      </c>
      <c r="D38" s="221" t="str">
        <f>IF('Default - Material Balance'!D48=0,"",'Default - Material Balance'!D48)</f>
        <v/>
      </c>
      <c r="E38" s="221" t="str">
        <f>IF('Default - Material Balance'!E48=0,"",'Default - Material Balance'!E48)</f>
        <v/>
      </c>
      <c r="F38" s="221" t="str">
        <f>IF('Default - Material Balance'!F48=0,"",'Default - Material Balance'!F48)</f>
        <v/>
      </c>
      <c r="G38" s="222"/>
      <c r="H38" s="222"/>
      <c r="I38" s="222"/>
      <c r="J38" s="325">
        <f>IF('Default - Material Balance'!M48=0,0,'Default - Material Balance'!M48)</f>
        <v>0</v>
      </c>
      <c r="K38" s="465"/>
      <c r="L38" s="326"/>
      <c r="M38" s="326"/>
      <c r="N38" s="326"/>
      <c r="O38" s="326"/>
      <c r="P38" s="326"/>
      <c r="Q38" s="326"/>
      <c r="R38" s="326"/>
      <c r="S38" s="326"/>
      <c r="T38" s="326"/>
      <c r="U38" s="326"/>
      <c r="V38" s="326"/>
      <c r="W38" s="326"/>
      <c r="X38" s="326"/>
      <c r="Y38" s="326"/>
      <c r="Z38" s="327"/>
      <c r="AA38" s="328"/>
      <c r="AB38" s="328"/>
      <c r="AC38" s="328"/>
      <c r="AD38" s="328"/>
      <c r="AE38" s="328"/>
      <c r="AF38" s="328"/>
      <c r="AG38" s="328"/>
      <c r="AH38" s="328"/>
      <c r="AI38" s="328"/>
      <c r="AJ38" s="328"/>
      <c r="AK38" s="328"/>
      <c r="AL38" s="328"/>
      <c r="AM38" s="328"/>
      <c r="AN38" s="328"/>
      <c r="AO38" s="329"/>
      <c r="AP38" s="326"/>
      <c r="AQ38" s="326"/>
      <c r="AR38" s="326"/>
      <c r="AS38" s="326"/>
      <c r="AT38" s="326"/>
      <c r="AU38" s="326"/>
      <c r="AV38" s="326"/>
      <c r="AW38" s="326"/>
      <c r="AX38" s="326"/>
      <c r="AY38" s="326"/>
      <c r="AZ38" s="326"/>
      <c r="BA38" s="326"/>
      <c r="BB38" s="326"/>
      <c r="BC38" s="326"/>
      <c r="BD38" s="326"/>
      <c r="BE38" s="330">
        <f>IF($F38="",0,$J38*VLOOKUP($F38,Lists!$C$72:$R$152,COLUMNS(Lists!$C$69:E$69),0))*VLOOKUP(BE$3,Conversions!$B$12:$E$34,4,0)</f>
        <v>0</v>
      </c>
      <c r="BF38" s="330">
        <f>IF($F38="",0,$J38*VLOOKUP($F38,Lists!$C$72:$R$152,COLUMNS(Lists!$C$69:F$69),0))*VLOOKUP(BF$3,Conversions!$B$12:$E$34,4,0)</f>
        <v>0</v>
      </c>
      <c r="BG38" s="330">
        <f>IF($F38="",0,$J38*VLOOKUP($F38,Lists!$C$72:$R$152,COLUMNS(Lists!$C$69:G$69),0))*VLOOKUP(BG$3,Conversions!$B$12:$E$34,4,0)</f>
        <v>0</v>
      </c>
      <c r="BH38" s="330">
        <f>IF($F38="",0,$J38*VLOOKUP($F38,Lists!$C$72:$R$152,COLUMNS(Lists!$C$69:H$69),0))*VLOOKUP(BH$3,Conversions!$B$12:$E$34,4,0)</f>
        <v>0</v>
      </c>
      <c r="BI38" s="330">
        <f>IF($F38="",0,$J38*VLOOKUP($F38,Lists!$C$72:$R$152,COLUMNS(Lists!$C$69:I$69),0))*VLOOKUP(BI$3,Conversions!$B$12:$E$34,4,0)</f>
        <v>0</v>
      </c>
      <c r="BJ38" s="330">
        <f>IF($F38="",0,$J38*VLOOKUP($F38,Lists!$C$72:$R$152,COLUMNS(Lists!$C$69:J$69),0))*VLOOKUP(BJ$3,Conversions!$B$12:$E$34,4,0)</f>
        <v>0</v>
      </c>
      <c r="BK38" s="330">
        <f>IF($F38="",0,$J38*VLOOKUP($F38,Lists!$C$72:$R$152,COLUMNS(Lists!$C$69:K$69),0))*VLOOKUP(BK$3,Conversions!$B$12:$E$34,4,0)</f>
        <v>0</v>
      </c>
      <c r="BL38" s="330">
        <f>IF($F38="",0,$J38*VLOOKUP($F38,Lists!$C$72:$R$152,COLUMNS(Lists!$C$69:L$69),0))*VLOOKUP(BL$3,Conversions!$B$12:$E$34,4,0)</f>
        <v>0</v>
      </c>
      <c r="BM38" s="330">
        <f>IF($F38="",0,$J38*VLOOKUP($F38,Lists!$C$72:$R$152,COLUMNS(Lists!$C$69:M$69),0))*VLOOKUP(BM$3,Conversions!$B$12:$E$34,4,0)</f>
        <v>0</v>
      </c>
      <c r="BN38" s="330">
        <f>IF($F38="",0,$J38*VLOOKUP($F38,Lists!$C$72:$R$152,COLUMNS(Lists!$C$69:N$69),0))*VLOOKUP(BN$3,Conversions!$B$12:$E$34,4,0)</f>
        <v>0</v>
      </c>
      <c r="BO38" s="330">
        <f>IF($F38="",0,$J38*VLOOKUP($F38,Lists!$C$72:$R$152,COLUMNS(Lists!$C$69:O$69),0))*VLOOKUP(BO$3,Conversions!$B$12:$E$34,4,0)</f>
        <v>0</v>
      </c>
      <c r="BP38" s="330">
        <f>IF($F38="",0,$J38*VLOOKUP($F38,Lists!$C$72:$R$152,COLUMNS(Lists!$C$69:P$69),0))*VLOOKUP(BP$3,Conversions!$B$12:$E$34,4,0)</f>
        <v>0</v>
      </c>
      <c r="BQ38" s="330">
        <f>IF($F38="",0,$J38*VLOOKUP($F38,Lists!$C$72:$R$152,COLUMNS(Lists!$C$69:Q$69),0))*VLOOKUP(BQ$3,Conversions!$B$12:$E$34,4,0)</f>
        <v>0</v>
      </c>
      <c r="BR38" s="330">
        <f>IF($F38="",0,$J38*VLOOKUP($F38,Lists!$C$72:$R$152,COLUMNS(Lists!$C$69:R$69),0))*VLOOKUP(BR$3,Conversions!$B$12:$E$34,4,0)</f>
        <v>0</v>
      </c>
      <c r="BS38" s="330">
        <f t="shared" si="4"/>
        <v>0</v>
      </c>
      <c r="BT38" s="329">
        <f t="shared" si="34"/>
        <v>0</v>
      </c>
      <c r="BU38" s="329">
        <f t="shared" si="34"/>
        <v>0</v>
      </c>
      <c r="BV38" s="329">
        <f t="shared" si="34"/>
        <v>0</v>
      </c>
      <c r="BW38" s="329">
        <f t="shared" si="34"/>
        <v>0</v>
      </c>
      <c r="BX38" s="329">
        <f t="shared" si="34"/>
        <v>0</v>
      </c>
      <c r="BY38" s="329">
        <f t="shared" si="34"/>
        <v>0</v>
      </c>
      <c r="BZ38" s="329">
        <f t="shared" si="34"/>
        <v>0</v>
      </c>
      <c r="CA38" s="329">
        <f t="shared" si="34"/>
        <v>0</v>
      </c>
      <c r="CB38" s="329">
        <f t="shared" si="34"/>
        <v>0</v>
      </c>
      <c r="CC38" s="329">
        <f t="shared" si="34"/>
        <v>0</v>
      </c>
      <c r="CD38" s="329">
        <f t="shared" si="34"/>
        <v>0</v>
      </c>
      <c r="CE38" s="329">
        <f t="shared" si="34"/>
        <v>0</v>
      </c>
      <c r="CF38" s="329">
        <f t="shared" si="34"/>
        <v>0</v>
      </c>
      <c r="CG38" s="329">
        <f t="shared" si="34"/>
        <v>0</v>
      </c>
      <c r="CH38" s="329">
        <f t="shared" si="34"/>
        <v>0</v>
      </c>
      <c r="CI38" s="329">
        <f t="shared" si="34"/>
        <v>0</v>
      </c>
      <c r="CJ38" s="331">
        <f t="shared" si="1"/>
        <v>0</v>
      </c>
      <c r="CK38" s="330">
        <f t="shared" si="5"/>
        <v>0</v>
      </c>
      <c r="CL38" s="330">
        <f t="shared" si="6"/>
        <v>0</v>
      </c>
      <c r="CM38" s="330">
        <f t="shared" si="7"/>
        <v>0</v>
      </c>
      <c r="CN38" s="330">
        <f t="shared" si="8"/>
        <v>0</v>
      </c>
      <c r="CO38" s="330">
        <f t="shared" si="9"/>
        <v>0</v>
      </c>
      <c r="CP38" s="330">
        <f t="shared" si="10"/>
        <v>0</v>
      </c>
      <c r="CQ38" s="330">
        <f t="shared" si="11"/>
        <v>0</v>
      </c>
      <c r="CR38" s="330">
        <f t="shared" si="12"/>
        <v>0</v>
      </c>
      <c r="CS38" s="330">
        <f t="shared" si="13"/>
        <v>0</v>
      </c>
      <c r="CT38" s="330">
        <f t="shared" si="14"/>
        <v>0</v>
      </c>
      <c r="CU38" s="330">
        <f t="shared" si="35"/>
        <v>0</v>
      </c>
      <c r="CV38" s="330">
        <f t="shared" si="35"/>
        <v>0</v>
      </c>
      <c r="CW38" s="330">
        <f t="shared" si="35"/>
        <v>0</v>
      </c>
      <c r="CX38" s="330">
        <f t="shared" si="35"/>
        <v>0</v>
      </c>
      <c r="CY38" s="330">
        <f t="shared" si="35"/>
        <v>0</v>
      </c>
      <c r="CZ38" s="330">
        <f t="shared" si="35"/>
        <v>0</v>
      </c>
      <c r="DA38" s="330">
        <f t="shared" si="35"/>
        <v>0</v>
      </c>
      <c r="DB38" s="330">
        <f t="shared" si="35"/>
        <v>0</v>
      </c>
      <c r="DC38" s="330">
        <f t="shared" si="35"/>
        <v>0</v>
      </c>
      <c r="DD38" s="330">
        <f t="shared" si="35"/>
        <v>0</v>
      </c>
      <c r="DE38" s="330">
        <f t="shared" si="36"/>
        <v>0</v>
      </c>
      <c r="DF38" s="330">
        <f t="shared" si="36"/>
        <v>0</v>
      </c>
      <c r="DG38" s="330">
        <f t="shared" si="36"/>
        <v>0</v>
      </c>
      <c r="DH38" s="330">
        <f t="shared" si="36"/>
        <v>0</v>
      </c>
      <c r="DI38" s="330">
        <f t="shared" si="36"/>
        <v>0</v>
      </c>
      <c r="DJ38" s="330">
        <f t="shared" si="36"/>
        <v>0</v>
      </c>
      <c r="DK38" s="330">
        <f t="shared" si="36"/>
        <v>0</v>
      </c>
      <c r="DL38" s="330">
        <f t="shared" si="36"/>
        <v>0</v>
      </c>
      <c r="DM38" s="330">
        <f t="shared" si="36"/>
        <v>0</v>
      </c>
      <c r="DN38" s="330">
        <f t="shared" si="36"/>
        <v>0</v>
      </c>
      <c r="DO38" s="330">
        <f t="shared" si="36"/>
        <v>0</v>
      </c>
      <c r="DP38" s="330">
        <f t="shared" si="37"/>
        <v>0</v>
      </c>
      <c r="DQ38" s="217"/>
      <c r="DR38" s="217"/>
      <c r="DS38" s="217"/>
      <c r="DT38" s="217"/>
    </row>
    <row r="39" spans="1:124" x14ac:dyDescent="0.3">
      <c r="A39" s="324"/>
      <c r="B39" s="221" t="s">
        <v>481</v>
      </c>
      <c r="C39" s="221" t="str">
        <f>IF('Default - Material Balance'!C49=0,"",'Default - Material Balance'!C49)</f>
        <v/>
      </c>
      <c r="D39" s="221" t="str">
        <f>IF('Default - Material Balance'!D49=0,"",'Default - Material Balance'!D49)</f>
        <v/>
      </c>
      <c r="E39" s="221" t="str">
        <f>IF('Default - Material Balance'!E49=0,"",'Default - Material Balance'!E49)</f>
        <v/>
      </c>
      <c r="F39" s="221" t="str">
        <f>IF('Default - Material Balance'!F49=0,"",'Default - Material Balance'!F49)</f>
        <v/>
      </c>
      <c r="G39" s="222"/>
      <c r="H39" s="222"/>
      <c r="I39" s="222"/>
      <c r="J39" s="325">
        <f>IF('Default - Material Balance'!M49=0,0,'Default - Material Balance'!M49)</f>
        <v>0</v>
      </c>
      <c r="K39" s="465"/>
      <c r="L39" s="326"/>
      <c r="M39" s="326"/>
      <c r="N39" s="326"/>
      <c r="O39" s="326"/>
      <c r="P39" s="326"/>
      <c r="Q39" s="326"/>
      <c r="R39" s="326"/>
      <c r="S39" s="326"/>
      <c r="T39" s="326"/>
      <c r="U39" s="326"/>
      <c r="V39" s="326"/>
      <c r="W39" s="326"/>
      <c r="X39" s="326"/>
      <c r="Y39" s="326"/>
      <c r="Z39" s="327"/>
      <c r="AA39" s="328"/>
      <c r="AB39" s="328"/>
      <c r="AC39" s="328"/>
      <c r="AD39" s="328"/>
      <c r="AE39" s="328"/>
      <c r="AF39" s="328"/>
      <c r="AG39" s="328"/>
      <c r="AH39" s="328"/>
      <c r="AI39" s="328"/>
      <c r="AJ39" s="328"/>
      <c r="AK39" s="328"/>
      <c r="AL39" s="328"/>
      <c r="AM39" s="328"/>
      <c r="AN39" s="328"/>
      <c r="AO39" s="329"/>
      <c r="AP39" s="326"/>
      <c r="AQ39" s="326"/>
      <c r="AR39" s="326"/>
      <c r="AS39" s="326"/>
      <c r="AT39" s="326"/>
      <c r="AU39" s="326"/>
      <c r="AV39" s="326"/>
      <c r="AW39" s="326"/>
      <c r="AX39" s="326"/>
      <c r="AY39" s="326"/>
      <c r="AZ39" s="326"/>
      <c r="BA39" s="326"/>
      <c r="BB39" s="326"/>
      <c r="BC39" s="326"/>
      <c r="BD39" s="326"/>
      <c r="BE39" s="330">
        <f>IF($F39="",0,$J39*VLOOKUP($F39,Lists!$C$72:$R$152,COLUMNS(Lists!$C$69:E$69),0))*VLOOKUP(BE$3,Conversions!$B$12:$E$34,4,0)</f>
        <v>0</v>
      </c>
      <c r="BF39" s="330">
        <f>IF($F39="",0,$J39*VLOOKUP($F39,Lists!$C$72:$R$152,COLUMNS(Lists!$C$69:F$69),0))*VLOOKUP(BF$3,Conversions!$B$12:$E$34,4,0)</f>
        <v>0</v>
      </c>
      <c r="BG39" s="330">
        <f>IF($F39="",0,$J39*VLOOKUP($F39,Lists!$C$72:$R$152,COLUMNS(Lists!$C$69:G$69),0))*VLOOKUP(BG$3,Conversions!$B$12:$E$34,4,0)</f>
        <v>0</v>
      </c>
      <c r="BH39" s="330">
        <f>IF($F39="",0,$J39*VLOOKUP($F39,Lists!$C$72:$R$152,COLUMNS(Lists!$C$69:H$69),0))*VLOOKUP(BH$3,Conversions!$B$12:$E$34,4,0)</f>
        <v>0</v>
      </c>
      <c r="BI39" s="330">
        <f>IF($F39="",0,$J39*VLOOKUP($F39,Lists!$C$72:$R$152,COLUMNS(Lists!$C$69:I$69),0))*VLOOKUP(BI$3,Conversions!$B$12:$E$34,4,0)</f>
        <v>0</v>
      </c>
      <c r="BJ39" s="330">
        <f>IF($F39="",0,$J39*VLOOKUP($F39,Lists!$C$72:$R$152,COLUMNS(Lists!$C$69:J$69),0))*VLOOKUP(BJ$3,Conversions!$B$12:$E$34,4,0)</f>
        <v>0</v>
      </c>
      <c r="BK39" s="330">
        <f>IF($F39="",0,$J39*VLOOKUP($F39,Lists!$C$72:$R$152,COLUMNS(Lists!$C$69:K$69),0))*VLOOKUP(BK$3,Conversions!$B$12:$E$34,4,0)</f>
        <v>0</v>
      </c>
      <c r="BL39" s="330">
        <f>IF($F39="",0,$J39*VLOOKUP($F39,Lists!$C$72:$R$152,COLUMNS(Lists!$C$69:L$69),0))*VLOOKUP(BL$3,Conversions!$B$12:$E$34,4,0)</f>
        <v>0</v>
      </c>
      <c r="BM39" s="330">
        <f>IF($F39="",0,$J39*VLOOKUP($F39,Lists!$C$72:$R$152,COLUMNS(Lists!$C$69:M$69),0))*VLOOKUP(BM$3,Conversions!$B$12:$E$34,4,0)</f>
        <v>0</v>
      </c>
      <c r="BN39" s="330">
        <f>IF($F39="",0,$J39*VLOOKUP($F39,Lists!$C$72:$R$152,COLUMNS(Lists!$C$69:N$69),0))*VLOOKUP(BN$3,Conversions!$B$12:$E$34,4,0)</f>
        <v>0</v>
      </c>
      <c r="BO39" s="330">
        <f>IF($F39="",0,$J39*VLOOKUP($F39,Lists!$C$72:$R$152,COLUMNS(Lists!$C$69:O$69),0))*VLOOKUP(BO$3,Conversions!$B$12:$E$34,4,0)</f>
        <v>0</v>
      </c>
      <c r="BP39" s="330">
        <f>IF($F39="",0,$J39*VLOOKUP($F39,Lists!$C$72:$R$152,COLUMNS(Lists!$C$69:P$69),0))*VLOOKUP(BP$3,Conversions!$B$12:$E$34,4,0)</f>
        <v>0</v>
      </c>
      <c r="BQ39" s="330">
        <f>IF($F39="",0,$J39*VLOOKUP($F39,Lists!$C$72:$R$152,COLUMNS(Lists!$C$69:Q$69),0))*VLOOKUP(BQ$3,Conversions!$B$12:$E$34,4,0)</f>
        <v>0</v>
      </c>
      <c r="BR39" s="330">
        <f>IF($F39="",0,$J39*VLOOKUP($F39,Lists!$C$72:$R$152,COLUMNS(Lists!$C$69:R$69),0))*VLOOKUP(BR$3,Conversions!$B$12:$E$34,4,0)</f>
        <v>0</v>
      </c>
      <c r="BS39" s="330">
        <f t="shared" si="4"/>
        <v>0</v>
      </c>
      <c r="BT39" s="329">
        <f t="shared" si="34"/>
        <v>0</v>
      </c>
      <c r="BU39" s="329">
        <f t="shared" si="34"/>
        <v>0</v>
      </c>
      <c r="BV39" s="329">
        <f t="shared" si="34"/>
        <v>0</v>
      </c>
      <c r="BW39" s="329">
        <f t="shared" si="34"/>
        <v>0</v>
      </c>
      <c r="BX39" s="329">
        <f t="shared" si="34"/>
        <v>0</v>
      </c>
      <c r="BY39" s="329">
        <f t="shared" si="34"/>
        <v>0</v>
      </c>
      <c r="BZ39" s="329">
        <f t="shared" si="34"/>
        <v>0</v>
      </c>
      <c r="CA39" s="329">
        <f t="shared" si="34"/>
        <v>0</v>
      </c>
      <c r="CB39" s="329">
        <f t="shared" si="34"/>
        <v>0</v>
      </c>
      <c r="CC39" s="329">
        <f t="shared" si="34"/>
        <v>0</v>
      </c>
      <c r="CD39" s="329">
        <f t="shared" si="34"/>
        <v>0</v>
      </c>
      <c r="CE39" s="329">
        <f t="shared" si="34"/>
        <v>0</v>
      </c>
      <c r="CF39" s="329">
        <f t="shared" si="34"/>
        <v>0</v>
      </c>
      <c r="CG39" s="329">
        <f t="shared" si="34"/>
        <v>0</v>
      </c>
      <c r="CH39" s="329">
        <f t="shared" si="34"/>
        <v>0</v>
      </c>
      <c r="CI39" s="329">
        <f t="shared" si="34"/>
        <v>0</v>
      </c>
      <c r="CJ39" s="331">
        <f t="shared" si="1"/>
        <v>0</v>
      </c>
      <c r="CK39" s="330">
        <f t="shared" si="5"/>
        <v>0</v>
      </c>
      <c r="CL39" s="330">
        <f t="shared" si="6"/>
        <v>0</v>
      </c>
      <c r="CM39" s="330">
        <f t="shared" si="7"/>
        <v>0</v>
      </c>
      <c r="CN39" s="330">
        <f t="shared" si="8"/>
        <v>0</v>
      </c>
      <c r="CO39" s="330">
        <f t="shared" si="9"/>
        <v>0</v>
      </c>
      <c r="CP39" s="330">
        <f t="shared" si="10"/>
        <v>0</v>
      </c>
      <c r="CQ39" s="330">
        <f t="shared" si="11"/>
        <v>0</v>
      </c>
      <c r="CR39" s="330">
        <f t="shared" si="12"/>
        <v>0</v>
      </c>
      <c r="CS39" s="330">
        <f t="shared" si="13"/>
        <v>0</v>
      </c>
      <c r="CT39" s="330">
        <f t="shared" si="14"/>
        <v>0</v>
      </c>
      <c r="CU39" s="330">
        <f t="shared" si="35"/>
        <v>0</v>
      </c>
      <c r="CV39" s="330">
        <f t="shared" si="35"/>
        <v>0</v>
      </c>
      <c r="CW39" s="330">
        <f t="shared" si="35"/>
        <v>0</v>
      </c>
      <c r="CX39" s="330">
        <f t="shared" si="35"/>
        <v>0</v>
      </c>
      <c r="CY39" s="330">
        <f t="shared" si="35"/>
        <v>0</v>
      </c>
      <c r="CZ39" s="330">
        <f t="shared" si="35"/>
        <v>0</v>
      </c>
      <c r="DA39" s="330">
        <f t="shared" si="35"/>
        <v>0</v>
      </c>
      <c r="DB39" s="330">
        <f t="shared" si="35"/>
        <v>0</v>
      </c>
      <c r="DC39" s="330">
        <f t="shared" si="35"/>
        <v>0</v>
      </c>
      <c r="DD39" s="330">
        <f t="shared" si="35"/>
        <v>0</v>
      </c>
      <c r="DE39" s="330">
        <f t="shared" si="36"/>
        <v>0</v>
      </c>
      <c r="DF39" s="330">
        <f t="shared" si="36"/>
        <v>0</v>
      </c>
      <c r="DG39" s="330">
        <f t="shared" si="36"/>
        <v>0</v>
      </c>
      <c r="DH39" s="330">
        <f t="shared" si="36"/>
        <v>0</v>
      </c>
      <c r="DI39" s="330">
        <f t="shared" si="36"/>
        <v>0</v>
      </c>
      <c r="DJ39" s="330">
        <f t="shared" si="36"/>
        <v>0</v>
      </c>
      <c r="DK39" s="330">
        <f t="shared" si="36"/>
        <v>0</v>
      </c>
      <c r="DL39" s="330">
        <f t="shared" si="36"/>
        <v>0</v>
      </c>
      <c r="DM39" s="330">
        <f t="shared" si="36"/>
        <v>0</v>
      </c>
      <c r="DN39" s="330">
        <f t="shared" si="36"/>
        <v>0</v>
      </c>
      <c r="DO39" s="330">
        <f t="shared" si="36"/>
        <v>0</v>
      </c>
      <c r="DP39" s="330">
        <f t="shared" si="37"/>
        <v>0</v>
      </c>
      <c r="DQ39" s="217"/>
      <c r="DR39" s="217"/>
      <c r="DS39" s="217"/>
      <c r="DT39" s="217"/>
    </row>
    <row r="40" spans="1:124" x14ac:dyDescent="0.3">
      <c r="A40" s="324"/>
      <c r="B40" s="221" t="s">
        <v>481</v>
      </c>
      <c r="C40" s="221" t="str">
        <f>IF('Default - Material Balance'!C50=0,"",'Default - Material Balance'!C50)</f>
        <v/>
      </c>
      <c r="D40" s="221" t="str">
        <f>IF('Default - Material Balance'!D50=0,"",'Default - Material Balance'!D50)</f>
        <v/>
      </c>
      <c r="E40" s="221" t="str">
        <f>IF('Default - Material Balance'!E50=0,"",'Default - Material Balance'!E50)</f>
        <v/>
      </c>
      <c r="F40" s="221" t="str">
        <f>IF('Default - Material Balance'!F50=0,"",'Default - Material Balance'!F50)</f>
        <v/>
      </c>
      <c r="G40" s="222"/>
      <c r="H40" s="222"/>
      <c r="I40" s="222"/>
      <c r="J40" s="325">
        <f>IF('Default - Material Balance'!M50=0,0,'Default - Material Balance'!M50)</f>
        <v>0</v>
      </c>
      <c r="K40" s="465"/>
      <c r="L40" s="326"/>
      <c r="M40" s="326"/>
      <c r="N40" s="326"/>
      <c r="O40" s="326"/>
      <c r="P40" s="326"/>
      <c r="Q40" s="326"/>
      <c r="R40" s="326"/>
      <c r="S40" s="326"/>
      <c r="T40" s="326"/>
      <c r="U40" s="326"/>
      <c r="V40" s="326"/>
      <c r="W40" s="326"/>
      <c r="X40" s="326"/>
      <c r="Y40" s="326"/>
      <c r="Z40" s="327"/>
      <c r="AA40" s="328"/>
      <c r="AB40" s="328"/>
      <c r="AC40" s="328"/>
      <c r="AD40" s="328"/>
      <c r="AE40" s="328"/>
      <c r="AF40" s="328"/>
      <c r="AG40" s="328"/>
      <c r="AH40" s="328"/>
      <c r="AI40" s="328"/>
      <c r="AJ40" s="328"/>
      <c r="AK40" s="328"/>
      <c r="AL40" s="328"/>
      <c r="AM40" s="328"/>
      <c r="AN40" s="328"/>
      <c r="AO40" s="329"/>
      <c r="AP40" s="326"/>
      <c r="AQ40" s="326"/>
      <c r="AR40" s="326"/>
      <c r="AS40" s="326"/>
      <c r="AT40" s="326"/>
      <c r="AU40" s="326"/>
      <c r="AV40" s="326"/>
      <c r="AW40" s="326"/>
      <c r="AX40" s="326"/>
      <c r="AY40" s="326"/>
      <c r="AZ40" s="326"/>
      <c r="BA40" s="326"/>
      <c r="BB40" s="326"/>
      <c r="BC40" s="326"/>
      <c r="BD40" s="326"/>
      <c r="BE40" s="330">
        <f>IF($F40="",0,$J40*VLOOKUP($F40,Lists!$C$72:$R$152,COLUMNS(Lists!$C$69:E$69),0))*VLOOKUP(BE$3,Conversions!$B$12:$E$34,4,0)</f>
        <v>0</v>
      </c>
      <c r="BF40" s="330">
        <f>IF($F40="",0,$J40*VLOOKUP($F40,Lists!$C$72:$R$152,COLUMNS(Lists!$C$69:F$69),0))*VLOOKUP(BF$3,Conversions!$B$12:$E$34,4,0)</f>
        <v>0</v>
      </c>
      <c r="BG40" s="330">
        <f>IF($F40="",0,$J40*VLOOKUP($F40,Lists!$C$72:$R$152,COLUMNS(Lists!$C$69:G$69),0))*VLOOKUP(BG$3,Conversions!$B$12:$E$34,4,0)</f>
        <v>0</v>
      </c>
      <c r="BH40" s="330">
        <f>IF($F40="",0,$J40*VLOOKUP($F40,Lists!$C$72:$R$152,COLUMNS(Lists!$C$69:H$69),0))*VLOOKUP(BH$3,Conversions!$B$12:$E$34,4,0)</f>
        <v>0</v>
      </c>
      <c r="BI40" s="330">
        <f>IF($F40="",0,$J40*VLOOKUP($F40,Lists!$C$72:$R$152,COLUMNS(Lists!$C$69:I$69),0))*VLOOKUP(BI$3,Conversions!$B$12:$E$34,4,0)</f>
        <v>0</v>
      </c>
      <c r="BJ40" s="330">
        <f>IF($F40="",0,$J40*VLOOKUP($F40,Lists!$C$72:$R$152,COLUMNS(Lists!$C$69:J$69),0))*VLOOKUP(BJ$3,Conversions!$B$12:$E$34,4,0)</f>
        <v>0</v>
      </c>
      <c r="BK40" s="330">
        <f>IF($F40="",0,$J40*VLOOKUP($F40,Lists!$C$72:$R$152,COLUMNS(Lists!$C$69:K$69),0))*VLOOKUP(BK$3,Conversions!$B$12:$E$34,4,0)</f>
        <v>0</v>
      </c>
      <c r="BL40" s="330">
        <f>IF($F40="",0,$J40*VLOOKUP($F40,Lists!$C$72:$R$152,COLUMNS(Lists!$C$69:L$69),0))*VLOOKUP(BL$3,Conversions!$B$12:$E$34,4,0)</f>
        <v>0</v>
      </c>
      <c r="BM40" s="330">
        <f>IF($F40="",0,$J40*VLOOKUP($F40,Lists!$C$72:$R$152,COLUMNS(Lists!$C$69:M$69),0))*VLOOKUP(BM$3,Conversions!$B$12:$E$34,4,0)</f>
        <v>0</v>
      </c>
      <c r="BN40" s="330">
        <f>IF($F40="",0,$J40*VLOOKUP($F40,Lists!$C$72:$R$152,COLUMNS(Lists!$C$69:N$69),0))*VLOOKUP(BN$3,Conversions!$B$12:$E$34,4,0)</f>
        <v>0</v>
      </c>
      <c r="BO40" s="330">
        <f>IF($F40="",0,$J40*VLOOKUP($F40,Lists!$C$72:$R$152,COLUMNS(Lists!$C$69:O$69),0))*VLOOKUP(BO$3,Conversions!$B$12:$E$34,4,0)</f>
        <v>0</v>
      </c>
      <c r="BP40" s="330">
        <f>IF($F40="",0,$J40*VLOOKUP($F40,Lists!$C$72:$R$152,COLUMNS(Lists!$C$69:P$69),0))*VLOOKUP(BP$3,Conversions!$B$12:$E$34,4,0)</f>
        <v>0</v>
      </c>
      <c r="BQ40" s="330">
        <f>IF($F40="",0,$J40*VLOOKUP($F40,Lists!$C$72:$R$152,COLUMNS(Lists!$C$69:Q$69),0))*VLOOKUP(BQ$3,Conversions!$B$12:$E$34,4,0)</f>
        <v>0</v>
      </c>
      <c r="BR40" s="330">
        <f>IF($F40="",0,$J40*VLOOKUP($F40,Lists!$C$72:$R$152,COLUMNS(Lists!$C$69:R$69),0))*VLOOKUP(BR$3,Conversions!$B$12:$E$34,4,0)</f>
        <v>0</v>
      </c>
      <c r="BS40" s="330">
        <f t="shared" si="4"/>
        <v>0</v>
      </c>
      <c r="BT40" s="329">
        <f t="shared" si="34"/>
        <v>0</v>
      </c>
      <c r="BU40" s="329">
        <f t="shared" si="34"/>
        <v>0</v>
      </c>
      <c r="BV40" s="329">
        <f t="shared" si="34"/>
        <v>0</v>
      </c>
      <c r="BW40" s="329">
        <f t="shared" si="34"/>
        <v>0</v>
      </c>
      <c r="BX40" s="329">
        <f t="shared" si="34"/>
        <v>0</v>
      </c>
      <c r="BY40" s="329">
        <f t="shared" si="34"/>
        <v>0</v>
      </c>
      <c r="BZ40" s="329">
        <f t="shared" si="34"/>
        <v>0</v>
      </c>
      <c r="CA40" s="329">
        <f t="shared" si="34"/>
        <v>0</v>
      </c>
      <c r="CB40" s="329">
        <f t="shared" si="34"/>
        <v>0</v>
      </c>
      <c r="CC40" s="329">
        <f t="shared" si="34"/>
        <v>0</v>
      </c>
      <c r="CD40" s="329">
        <f t="shared" si="34"/>
        <v>0</v>
      </c>
      <c r="CE40" s="329">
        <f t="shared" si="34"/>
        <v>0</v>
      </c>
      <c r="CF40" s="329">
        <f t="shared" si="34"/>
        <v>0</v>
      </c>
      <c r="CG40" s="329">
        <f t="shared" si="34"/>
        <v>0</v>
      </c>
      <c r="CH40" s="329">
        <f t="shared" si="34"/>
        <v>0</v>
      </c>
      <c r="CI40" s="329">
        <f t="shared" si="34"/>
        <v>0</v>
      </c>
      <c r="CJ40" s="331">
        <f t="shared" si="1"/>
        <v>0</v>
      </c>
      <c r="CK40" s="330">
        <f t="shared" si="5"/>
        <v>0</v>
      </c>
      <c r="CL40" s="330">
        <f t="shared" si="6"/>
        <v>0</v>
      </c>
      <c r="CM40" s="330">
        <f t="shared" si="7"/>
        <v>0</v>
      </c>
      <c r="CN40" s="330">
        <f t="shared" si="8"/>
        <v>0</v>
      </c>
      <c r="CO40" s="330">
        <f t="shared" si="9"/>
        <v>0</v>
      </c>
      <c r="CP40" s="330">
        <f t="shared" si="10"/>
        <v>0</v>
      </c>
      <c r="CQ40" s="330">
        <f t="shared" si="11"/>
        <v>0</v>
      </c>
      <c r="CR40" s="330">
        <f t="shared" si="12"/>
        <v>0</v>
      </c>
      <c r="CS40" s="330">
        <f t="shared" si="13"/>
        <v>0</v>
      </c>
      <c r="CT40" s="330">
        <f t="shared" si="14"/>
        <v>0</v>
      </c>
      <c r="CU40" s="330">
        <f t="shared" si="35"/>
        <v>0</v>
      </c>
      <c r="CV40" s="330">
        <f t="shared" si="35"/>
        <v>0</v>
      </c>
      <c r="CW40" s="330">
        <f t="shared" si="35"/>
        <v>0</v>
      </c>
      <c r="CX40" s="330">
        <f t="shared" si="35"/>
        <v>0</v>
      </c>
      <c r="CY40" s="330">
        <f t="shared" si="35"/>
        <v>0</v>
      </c>
      <c r="CZ40" s="330">
        <f t="shared" si="35"/>
        <v>0</v>
      </c>
      <c r="DA40" s="330">
        <f t="shared" si="35"/>
        <v>0</v>
      </c>
      <c r="DB40" s="330">
        <f t="shared" si="35"/>
        <v>0</v>
      </c>
      <c r="DC40" s="330">
        <f t="shared" si="35"/>
        <v>0</v>
      </c>
      <c r="DD40" s="330">
        <f t="shared" si="35"/>
        <v>0</v>
      </c>
      <c r="DE40" s="330">
        <f t="shared" si="36"/>
        <v>0</v>
      </c>
      <c r="DF40" s="330">
        <f t="shared" si="36"/>
        <v>0</v>
      </c>
      <c r="DG40" s="330">
        <f t="shared" si="36"/>
        <v>0</v>
      </c>
      <c r="DH40" s="330">
        <f t="shared" si="36"/>
        <v>0</v>
      </c>
      <c r="DI40" s="330">
        <f t="shared" si="36"/>
        <v>0</v>
      </c>
      <c r="DJ40" s="330">
        <f t="shared" si="36"/>
        <v>0</v>
      </c>
      <c r="DK40" s="330">
        <f t="shared" si="36"/>
        <v>0</v>
      </c>
      <c r="DL40" s="330">
        <f t="shared" si="36"/>
        <v>0</v>
      </c>
      <c r="DM40" s="330">
        <f t="shared" si="36"/>
        <v>0</v>
      </c>
      <c r="DN40" s="330">
        <f t="shared" si="36"/>
        <v>0</v>
      </c>
      <c r="DO40" s="330">
        <f t="shared" si="36"/>
        <v>0</v>
      </c>
      <c r="DP40" s="330">
        <f t="shared" si="37"/>
        <v>0</v>
      </c>
      <c r="DQ40" s="217"/>
      <c r="DR40" s="217"/>
      <c r="DS40" s="217"/>
      <c r="DT40" s="217"/>
    </row>
    <row r="41" spans="1:124" x14ac:dyDescent="0.3">
      <c r="A41" s="324"/>
      <c r="B41" s="221" t="s">
        <v>481</v>
      </c>
      <c r="C41" s="221" t="str">
        <f>IF('Default - Material Balance'!C51=0,"",'Default - Material Balance'!C51)</f>
        <v/>
      </c>
      <c r="D41" s="221" t="str">
        <f>IF('Default - Material Balance'!D51=0,"",'Default - Material Balance'!D51)</f>
        <v/>
      </c>
      <c r="E41" s="221" t="str">
        <f>IF('Default - Material Balance'!E51=0,"",'Default - Material Balance'!E51)</f>
        <v/>
      </c>
      <c r="F41" s="221" t="str">
        <f>IF('Default - Material Balance'!F51=0,"",'Default - Material Balance'!F51)</f>
        <v/>
      </c>
      <c r="G41" s="222"/>
      <c r="H41" s="222"/>
      <c r="I41" s="222"/>
      <c r="J41" s="325">
        <f>IF('Default - Material Balance'!M51=0,0,'Default - Material Balance'!M51)</f>
        <v>0</v>
      </c>
      <c r="K41" s="465"/>
      <c r="L41" s="326"/>
      <c r="M41" s="326"/>
      <c r="N41" s="326"/>
      <c r="O41" s="326"/>
      <c r="P41" s="326"/>
      <c r="Q41" s="326"/>
      <c r="R41" s="326"/>
      <c r="S41" s="326"/>
      <c r="T41" s="326"/>
      <c r="U41" s="326"/>
      <c r="V41" s="326"/>
      <c r="W41" s="326"/>
      <c r="X41" s="326"/>
      <c r="Y41" s="326"/>
      <c r="Z41" s="327"/>
      <c r="AA41" s="328"/>
      <c r="AB41" s="328"/>
      <c r="AC41" s="328"/>
      <c r="AD41" s="328"/>
      <c r="AE41" s="328"/>
      <c r="AF41" s="328"/>
      <c r="AG41" s="328"/>
      <c r="AH41" s="328"/>
      <c r="AI41" s="328"/>
      <c r="AJ41" s="328"/>
      <c r="AK41" s="328"/>
      <c r="AL41" s="328"/>
      <c r="AM41" s="328"/>
      <c r="AN41" s="328"/>
      <c r="AO41" s="329"/>
      <c r="AP41" s="326"/>
      <c r="AQ41" s="326"/>
      <c r="AR41" s="326"/>
      <c r="AS41" s="326"/>
      <c r="AT41" s="326"/>
      <c r="AU41" s="326"/>
      <c r="AV41" s="326"/>
      <c r="AW41" s="326"/>
      <c r="AX41" s="326"/>
      <c r="AY41" s="326"/>
      <c r="AZ41" s="326"/>
      <c r="BA41" s="326"/>
      <c r="BB41" s="326"/>
      <c r="BC41" s="326"/>
      <c r="BD41" s="326"/>
      <c r="BE41" s="330">
        <f>IF($F41="",0,$J41*VLOOKUP($F41,Lists!$C$72:$R$152,COLUMNS(Lists!$C$69:E$69),0))*VLOOKUP(BE$3,Conversions!$B$12:$E$34,4,0)</f>
        <v>0</v>
      </c>
      <c r="BF41" s="330">
        <f>IF($F41="",0,$J41*VLOOKUP($F41,Lists!$C$72:$R$152,COLUMNS(Lists!$C$69:F$69),0))*VLOOKUP(BF$3,Conversions!$B$12:$E$34,4,0)</f>
        <v>0</v>
      </c>
      <c r="BG41" s="330">
        <f>IF($F41="",0,$J41*VLOOKUP($F41,Lists!$C$72:$R$152,COLUMNS(Lists!$C$69:G$69),0))*VLOOKUP(BG$3,Conversions!$B$12:$E$34,4,0)</f>
        <v>0</v>
      </c>
      <c r="BH41" s="330">
        <f>IF($F41="",0,$J41*VLOOKUP($F41,Lists!$C$72:$R$152,COLUMNS(Lists!$C$69:H$69),0))*VLOOKUP(BH$3,Conversions!$B$12:$E$34,4,0)</f>
        <v>0</v>
      </c>
      <c r="BI41" s="330">
        <f>IF($F41="",0,$J41*VLOOKUP($F41,Lists!$C$72:$R$152,COLUMNS(Lists!$C$69:I$69),0))*VLOOKUP(BI$3,Conversions!$B$12:$E$34,4,0)</f>
        <v>0</v>
      </c>
      <c r="BJ41" s="330">
        <f>IF($F41="",0,$J41*VLOOKUP($F41,Lists!$C$72:$R$152,COLUMNS(Lists!$C$69:J$69),0))*VLOOKUP(BJ$3,Conversions!$B$12:$E$34,4,0)</f>
        <v>0</v>
      </c>
      <c r="BK41" s="330">
        <f>IF($F41="",0,$J41*VLOOKUP($F41,Lists!$C$72:$R$152,COLUMNS(Lists!$C$69:K$69),0))*VLOOKUP(BK$3,Conversions!$B$12:$E$34,4,0)</f>
        <v>0</v>
      </c>
      <c r="BL41" s="330">
        <f>IF($F41="",0,$J41*VLOOKUP($F41,Lists!$C$72:$R$152,COLUMNS(Lists!$C$69:L$69),0))*VLOOKUP(BL$3,Conversions!$B$12:$E$34,4,0)</f>
        <v>0</v>
      </c>
      <c r="BM41" s="330">
        <f>IF($F41="",0,$J41*VLOOKUP($F41,Lists!$C$72:$R$152,COLUMNS(Lists!$C$69:M$69),0))*VLOOKUP(BM$3,Conversions!$B$12:$E$34,4,0)</f>
        <v>0</v>
      </c>
      <c r="BN41" s="330">
        <f>IF($F41="",0,$J41*VLOOKUP($F41,Lists!$C$72:$R$152,COLUMNS(Lists!$C$69:N$69),0))*VLOOKUP(BN$3,Conversions!$B$12:$E$34,4,0)</f>
        <v>0</v>
      </c>
      <c r="BO41" s="330">
        <f>IF($F41="",0,$J41*VLOOKUP($F41,Lists!$C$72:$R$152,COLUMNS(Lists!$C$69:O$69),0))*VLOOKUP(BO$3,Conversions!$B$12:$E$34,4,0)</f>
        <v>0</v>
      </c>
      <c r="BP41" s="330">
        <f>IF($F41="",0,$J41*VLOOKUP($F41,Lists!$C$72:$R$152,COLUMNS(Lists!$C$69:P$69),0))*VLOOKUP(BP$3,Conversions!$B$12:$E$34,4,0)</f>
        <v>0</v>
      </c>
      <c r="BQ41" s="330">
        <f>IF($F41="",0,$J41*VLOOKUP($F41,Lists!$C$72:$R$152,COLUMNS(Lists!$C$69:Q$69),0))*VLOOKUP(BQ$3,Conversions!$B$12:$E$34,4,0)</f>
        <v>0</v>
      </c>
      <c r="BR41" s="330">
        <f>IF($F41="",0,$J41*VLOOKUP($F41,Lists!$C$72:$R$152,COLUMNS(Lists!$C$69:R$69),0))*VLOOKUP(BR$3,Conversions!$B$12:$E$34,4,0)</f>
        <v>0</v>
      </c>
      <c r="BS41" s="330">
        <f t="shared" si="4"/>
        <v>0</v>
      </c>
      <c r="BT41" s="329">
        <f t="shared" si="34"/>
        <v>0</v>
      </c>
      <c r="BU41" s="329">
        <f t="shared" si="34"/>
        <v>0</v>
      </c>
      <c r="BV41" s="329">
        <f t="shared" si="34"/>
        <v>0</v>
      </c>
      <c r="BW41" s="329">
        <f t="shared" si="34"/>
        <v>0</v>
      </c>
      <c r="BX41" s="329">
        <f t="shared" si="34"/>
        <v>0</v>
      </c>
      <c r="BY41" s="329">
        <f t="shared" si="34"/>
        <v>0</v>
      </c>
      <c r="BZ41" s="329">
        <f t="shared" si="34"/>
        <v>0</v>
      </c>
      <c r="CA41" s="329">
        <f t="shared" si="34"/>
        <v>0</v>
      </c>
      <c r="CB41" s="329">
        <f t="shared" si="34"/>
        <v>0</v>
      </c>
      <c r="CC41" s="329">
        <f t="shared" si="34"/>
        <v>0</v>
      </c>
      <c r="CD41" s="329">
        <f t="shared" si="34"/>
        <v>0</v>
      </c>
      <c r="CE41" s="329">
        <f t="shared" si="34"/>
        <v>0</v>
      </c>
      <c r="CF41" s="329">
        <f t="shared" si="34"/>
        <v>0</v>
      </c>
      <c r="CG41" s="329">
        <f t="shared" si="34"/>
        <v>0</v>
      </c>
      <c r="CH41" s="329">
        <f t="shared" si="34"/>
        <v>0</v>
      </c>
      <c r="CI41" s="329">
        <f t="shared" si="34"/>
        <v>0</v>
      </c>
      <c r="CJ41" s="331">
        <f t="shared" si="1"/>
        <v>0</v>
      </c>
      <c r="CK41" s="330">
        <f t="shared" si="5"/>
        <v>0</v>
      </c>
      <c r="CL41" s="330">
        <f t="shared" si="6"/>
        <v>0</v>
      </c>
      <c r="CM41" s="330">
        <f t="shared" si="7"/>
        <v>0</v>
      </c>
      <c r="CN41" s="330">
        <f t="shared" si="8"/>
        <v>0</v>
      </c>
      <c r="CO41" s="330">
        <f t="shared" si="9"/>
        <v>0</v>
      </c>
      <c r="CP41" s="330">
        <f t="shared" si="10"/>
        <v>0</v>
      </c>
      <c r="CQ41" s="330">
        <f t="shared" si="11"/>
        <v>0</v>
      </c>
      <c r="CR41" s="330">
        <f t="shared" si="12"/>
        <v>0</v>
      </c>
      <c r="CS41" s="330">
        <f t="shared" si="13"/>
        <v>0</v>
      </c>
      <c r="CT41" s="330">
        <f t="shared" si="14"/>
        <v>0</v>
      </c>
      <c r="CU41" s="330">
        <f t="shared" si="35"/>
        <v>0</v>
      </c>
      <c r="CV41" s="330">
        <f t="shared" si="35"/>
        <v>0</v>
      </c>
      <c r="CW41" s="330">
        <f t="shared" si="35"/>
        <v>0</v>
      </c>
      <c r="CX41" s="330">
        <f t="shared" si="35"/>
        <v>0</v>
      </c>
      <c r="CY41" s="330">
        <f t="shared" si="35"/>
        <v>0</v>
      </c>
      <c r="CZ41" s="330">
        <f t="shared" si="35"/>
        <v>0</v>
      </c>
      <c r="DA41" s="330">
        <f t="shared" si="35"/>
        <v>0</v>
      </c>
      <c r="DB41" s="330">
        <f t="shared" si="35"/>
        <v>0</v>
      </c>
      <c r="DC41" s="330">
        <f t="shared" si="35"/>
        <v>0</v>
      </c>
      <c r="DD41" s="330">
        <f t="shared" si="35"/>
        <v>0</v>
      </c>
      <c r="DE41" s="330">
        <f t="shared" si="36"/>
        <v>0</v>
      </c>
      <c r="DF41" s="330">
        <f t="shared" si="36"/>
        <v>0</v>
      </c>
      <c r="DG41" s="330">
        <f t="shared" si="36"/>
        <v>0</v>
      </c>
      <c r="DH41" s="330">
        <f t="shared" si="36"/>
        <v>0</v>
      </c>
      <c r="DI41" s="330">
        <f t="shared" si="36"/>
        <v>0</v>
      </c>
      <c r="DJ41" s="330">
        <f t="shared" si="36"/>
        <v>0</v>
      </c>
      <c r="DK41" s="330">
        <f t="shared" si="36"/>
        <v>0</v>
      </c>
      <c r="DL41" s="330">
        <f t="shared" si="36"/>
        <v>0</v>
      </c>
      <c r="DM41" s="330">
        <f t="shared" si="36"/>
        <v>0</v>
      </c>
      <c r="DN41" s="330">
        <f t="shared" si="36"/>
        <v>0</v>
      </c>
      <c r="DO41" s="330">
        <f t="shared" si="36"/>
        <v>0</v>
      </c>
      <c r="DP41" s="330">
        <f t="shared" si="37"/>
        <v>0</v>
      </c>
      <c r="DQ41" s="217"/>
      <c r="DR41" s="217"/>
      <c r="DS41" s="217"/>
      <c r="DT41" s="217"/>
    </row>
    <row r="42" spans="1:124" x14ac:dyDescent="0.3">
      <c r="A42" s="324"/>
      <c r="B42" s="221" t="s">
        <v>481</v>
      </c>
      <c r="C42" s="221" t="str">
        <f>IF('Default - Material Balance'!C52=0,"",'Default - Material Balance'!C52)</f>
        <v/>
      </c>
      <c r="D42" s="221" t="str">
        <f>IF('Default - Material Balance'!D52=0,"",'Default - Material Balance'!D52)</f>
        <v/>
      </c>
      <c r="E42" s="221" t="str">
        <f>IF('Default - Material Balance'!E52=0,"",'Default - Material Balance'!E52)</f>
        <v/>
      </c>
      <c r="F42" s="221" t="str">
        <f>IF('Default - Material Balance'!F52=0,"",'Default - Material Balance'!F52)</f>
        <v/>
      </c>
      <c r="G42" s="222"/>
      <c r="H42" s="222"/>
      <c r="I42" s="222"/>
      <c r="J42" s="325">
        <f>IF('Default - Material Balance'!M52=0,0,'Default - Material Balance'!M52)</f>
        <v>0</v>
      </c>
      <c r="K42" s="465"/>
      <c r="L42" s="326"/>
      <c r="M42" s="326"/>
      <c r="N42" s="326"/>
      <c r="O42" s="326"/>
      <c r="P42" s="326"/>
      <c r="Q42" s="326"/>
      <c r="R42" s="326"/>
      <c r="S42" s="326"/>
      <c r="T42" s="326"/>
      <c r="U42" s="326"/>
      <c r="V42" s="326"/>
      <c r="W42" s="326"/>
      <c r="X42" s="326"/>
      <c r="Y42" s="326"/>
      <c r="Z42" s="327"/>
      <c r="AA42" s="328"/>
      <c r="AB42" s="328"/>
      <c r="AC42" s="328"/>
      <c r="AD42" s="328"/>
      <c r="AE42" s="328"/>
      <c r="AF42" s="328"/>
      <c r="AG42" s="328"/>
      <c r="AH42" s="328"/>
      <c r="AI42" s="328"/>
      <c r="AJ42" s="328"/>
      <c r="AK42" s="328"/>
      <c r="AL42" s="328"/>
      <c r="AM42" s="328"/>
      <c r="AN42" s="328"/>
      <c r="AO42" s="329"/>
      <c r="AP42" s="326"/>
      <c r="AQ42" s="326"/>
      <c r="AR42" s="326"/>
      <c r="AS42" s="326"/>
      <c r="AT42" s="326"/>
      <c r="AU42" s="326"/>
      <c r="AV42" s="326"/>
      <c r="AW42" s="326"/>
      <c r="AX42" s="326"/>
      <c r="AY42" s="326"/>
      <c r="AZ42" s="326"/>
      <c r="BA42" s="326"/>
      <c r="BB42" s="326"/>
      <c r="BC42" s="326"/>
      <c r="BD42" s="326"/>
      <c r="BE42" s="330">
        <f>IF($F42="",0,$J42*VLOOKUP($F42,Lists!$C$72:$R$152,COLUMNS(Lists!$C$69:E$69),0))*VLOOKUP(BE$3,Conversions!$B$12:$E$34,4,0)</f>
        <v>0</v>
      </c>
      <c r="BF42" s="330">
        <f>IF($F42="",0,$J42*VLOOKUP($F42,Lists!$C$72:$R$152,COLUMNS(Lists!$C$69:F$69),0))*VLOOKUP(BF$3,Conversions!$B$12:$E$34,4,0)</f>
        <v>0</v>
      </c>
      <c r="BG42" s="330">
        <f>IF($F42="",0,$J42*VLOOKUP($F42,Lists!$C$72:$R$152,COLUMNS(Lists!$C$69:G$69),0))*VLOOKUP(BG$3,Conversions!$B$12:$E$34,4,0)</f>
        <v>0</v>
      </c>
      <c r="BH42" s="330">
        <f>IF($F42="",0,$J42*VLOOKUP($F42,Lists!$C$72:$R$152,COLUMNS(Lists!$C$69:H$69),0))*VLOOKUP(BH$3,Conversions!$B$12:$E$34,4,0)</f>
        <v>0</v>
      </c>
      <c r="BI42" s="330">
        <f>IF($F42="",0,$J42*VLOOKUP($F42,Lists!$C$72:$R$152,COLUMNS(Lists!$C$69:I$69),0))*VLOOKUP(BI$3,Conversions!$B$12:$E$34,4,0)</f>
        <v>0</v>
      </c>
      <c r="BJ42" s="330">
        <f>IF($F42="",0,$J42*VLOOKUP($F42,Lists!$C$72:$R$152,COLUMNS(Lists!$C$69:J$69),0))*VLOOKUP(BJ$3,Conversions!$B$12:$E$34,4,0)</f>
        <v>0</v>
      </c>
      <c r="BK42" s="330">
        <f>IF($F42="",0,$J42*VLOOKUP($F42,Lists!$C$72:$R$152,COLUMNS(Lists!$C$69:K$69),0))*VLOOKUP(BK$3,Conversions!$B$12:$E$34,4,0)</f>
        <v>0</v>
      </c>
      <c r="BL42" s="330">
        <f>IF($F42="",0,$J42*VLOOKUP($F42,Lists!$C$72:$R$152,COLUMNS(Lists!$C$69:L$69),0))*VLOOKUP(BL$3,Conversions!$B$12:$E$34,4,0)</f>
        <v>0</v>
      </c>
      <c r="BM42" s="330">
        <f>IF($F42="",0,$J42*VLOOKUP($F42,Lists!$C$72:$R$152,COLUMNS(Lists!$C$69:M$69),0))*VLOOKUP(BM$3,Conversions!$B$12:$E$34,4,0)</f>
        <v>0</v>
      </c>
      <c r="BN42" s="330">
        <f>IF($F42="",0,$J42*VLOOKUP($F42,Lists!$C$72:$R$152,COLUMNS(Lists!$C$69:N$69),0))*VLOOKUP(BN$3,Conversions!$B$12:$E$34,4,0)</f>
        <v>0</v>
      </c>
      <c r="BO42" s="330">
        <f>IF($F42="",0,$J42*VLOOKUP($F42,Lists!$C$72:$R$152,COLUMNS(Lists!$C$69:O$69),0))*VLOOKUP(BO$3,Conversions!$B$12:$E$34,4,0)</f>
        <v>0</v>
      </c>
      <c r="BP42" s="330">
        <f>IF($F42="",0,$J42*VLOOKUP($F42,Lists!$C$72:$R$152,COLUMNS(Lists!$C$69:P$69),0))*VLOOKUP(BP$3,Conversions!$B$12:$E$34,4,0)</f>
        <v>0</v>
      </c>
      <c r="BQ42" s="330">
        <f>IF($F42="",0,$J42*VLOOKUP($F42,Lists!$C$72:$R$152,COLUMNS(Lists!$C$69:Q$69),0))*VLOOKUP(BQ$3,Conversions!$B$12:$E$34,4,0)</f>
        <v>0</v>
      </c>
      <c r="BR42" s="330">
        <f>IF($F42="",0,$J42*VLOOKUP($F42,Lists!$C$72:$R$152,COLUMNS(Lists!$C$69:R$69),0))*VLOOKUP(BR$3,Conversions!$B$12:$E$34,4,0)</f>
        <v>0</v>
      </c>
      <c r="BS42" s="330">
        <f t="shared" si="4"/>
        <v>0</v>
      </c>
      <c r="BT42" s="329">
        <f t="shared" si="34"/>
        <v>0</v>
      </c>
      <c r="BU42" s="329">
        <f t="shared" si="34"/>
        <v>0</v>
      </c>
      <c r="BV42" s="329">
        <f t="shared" si="34"/>
        <v>0</v>
      </c>
      <c r="BW42" s="329">
        <f t="shared" si="34"/>
        <v>0</v>
      </c>
      <c r="BX42" s="329">
        <f t="shared" si="34"/>
        <v>0</v>
      </c>
      <c r="BY42" s="329">
        <f t="shared" si="34"/>
        <v>0</v>
      </c>
      <c r="BZ42" s="329">
        <f t="shared" si="34"/>
        <v>0</v>
      </c>
      <c r="CA42" s="329">
        <f t="shared" si="34"/>
        <v>0</v>
      </c>
      <c r="CB42" s="329">
        <f t="shared" si="34"/>
        <v>0</v>
      </c>
      <c r="CC42" s="329">
        <f t="shared" si="34"/>
        <v>0</v>
      </c>
      <c r="CD42" s="329">
        <f t="shared" si="34"/>
        <v>0</v>
      </c>
      <c r="CE42" s="329">
        <f t="shared" si="34"/>
        <v>0</v>
      </c>
      <c r="CF42" s="329">
        <f t="shared" si="34"/>
        <v>0</v>
      </c>
      <c r="CG42" s="329">
        <f t="shared" si="34"/>
        <v>0</v>
      </c>
      <c r="CH42" s="329">
        <f t="shared" si="34"/>
        <v>0</v>
      </c>
      <c r="CI42" s="329">
        <f t="shared" si="34"/>
        <v>0</v>
      </c>
      <c r="CJ42" s="331">
        <f t="shared" si="1"/>
        <v>0</v>
      </c>
      <c r="CK42" s="330">
        <f t="shared" si="5"/>
        <v>0</v>
      </c>
      <c r="CL42" s="330">
        <f t="shared" si="6"/>
        <v>0</v>
      </c>
      <c r="CM42" s="330">
        <f t="shared" si="7"/>
        <v>0</v>
      </c>
      <c r="CN42" s="330">
        <f t="shared" si="8"/>
        <v>0</v>
      </c>
      <c r="CO42" s="330">
        <f t="shared" si="9"/>
        <v>0</v>
      </c>
      <c r="CP42" s="330">
        <f t="shared" si="10"/>
        <v>0</v>
      </c>
      <c r="CQ42" s="330">
        <f t="shared" si="11"/>
        <v>0</v>
      </c>
      <c r="CR42" s="330">
        <f t="shared" si="12"/>
        <v>0</v>
      </c>
      <c r="CS42" s="330">
        <f t="shared" si="13"/>
        <v>0</v>
      </c>
      <c r="CT42" s="330">
        <f t="shared" si="14"/>
        <v>0</v>
      </c>
      <c r="CU42" s="330">
        <f t="shared" si="35"/>
        <v>0</v>
      </c>
      <c r="CV42" s="330">
        <f t="shared" si="35"/>
        <v>0</v>
      </c>
      <c r="CW42" s="330">
        <f t="shared" si="35"/>
        <v>0</v>
      </c>
      <c r="CX42" s="330">
        <f t="shared" si="35"/>
        <v>0</v>
      </c>
      <c r="CY42" s="330">
        <f t="shared" si="35"/>
        <v>0</v>
      </c>
      <c r="CZ42" s="330">
        <f t="shared" si="35"/>
        <v>0</v>
      </c>
      <c r="DA42" s="330">
        <f t="shared" si="35"/>
        <v>0</v>
      </c>
      <c r="DB42" s="330">
        <f t="shared" si="35"/>
        <v>0</v>
      </c>
      <c r="DC42" s="330">
        <f t="shared" si="35"/>
        <v>0</v>
      </c>
      <c r="DD42" s="330">
        <f t="shared" si="35"/>
        <v>0</v>
      </c>
      <c r="DE42" s="330">
        <f t="shared" si="36"/>
        <v>0</v>
      </c>
      <c r="DF42" s="330">
        <f t="shared" si="36"/>
        <v>0</v>
      </c>
      <c r="DG42" s="330">
        <f t="shared" si="36"/>
        <v>0</v>
      </c>
      <c r="DH42" s="330">
        <f t="shared" si="36"/>
        <v>0</v>
      </c>
      <c r="DI42" s="330">
        <f t="shared" si="36"/>
        <v>0</v>
      </c>
      <c r="DJ42" s="330">
        <f t="shared" si="36"/>
        <v>0</v>
      </c>
      <c r="DK42" s="330">
        <f t="shared" si="36"/>
        <v>0</v>
      </c>
      <c r="DL42" s="330">
        <f t="shared" si="36"/>
        <v>0</v>
      </c>
      <c r="DM42" s="330">
        <f t="shared" si="36"/>
        <v>0</v>
      </c>
      <c r="DN42" s="330">
        <f t="shared" si="36"/>
        <v>0</v>
      </c>
      <c r="DO42" s="330">
        <f t="shared" si="36"/>
        <v>0</v>
      </c>
      <c r="DP42" s="330">
        <f t="shared" si="37"/>
        <v>0</v>
      </c>
      <c r="DQ42" s="217"/>
      <c r="DR42" s="217"/>
      <c r="DS42" s="217"/>
      <c r="DT42" s="217"/>
    </row>
    <row r="43" spans="1:124" x14ac:dyDescent="0.3">
      <c r="A43" s="324"/>
      <c r="B43" s="221" t="s">
        <v>481</v>
      </c>
      <c r="C43" s="221" t="str">
        <f>IF('Default - Material Balance'!C53=0,"",'Default - Material Balance'!C53)</f>
        <v/>
      </c>
      <c r="D43" s="221" t="str">
        <f>IF('Default - Material Balance'!D53=0,"",'Default - Material Balance'!D53)</f>
        <v/>
      </c>
      <c r="E43" s="221" t="str">
        <f>IF('Default - Material Balance'!E53=0,"",'Default - Material Balance'!E53)</f>
        <v/>
      </c>
      <c r="F43" s="221" t="str">
        <f>IF('Default - Material Balance'!F53=0,"",'Default - Material Balance'!F53)</f>
        <v/>
      </c>
      <c r="G43" s="222"/>
      <c r="H43" s="222"/>
      <c r="I43" s="222"/>
      <c r="J43" s="325">
        <f>IF('Default - Material Balance'!M53=0,0,'Default - Material Balance'!M53)</f>
        <v>0</v>
      </c>
      <c r="K43" s="465"/>
      <c r="L43" s="326"/>
      <c r="M43" s="326"/>
      <c r="N43" s="326"/>
      <c r="O43" s="326"/>
      <c r="P43" s="326"/>
      <c r="Q43" s="326"/>
      <c r="R43" s="326"/>
      <c r="S43" s="326"/>
      <c r="T43" s="326"/>
      <c r="U43" s="326"/>
      <c r="V43" s="326"/>
      <c r="W43" s="326"/>
      <c r="X43" s="326"/>
      <c r="Y43" s="326"/>
      <c r="Z43" s="327"/>
      <c r="AA43" s="328"/>
      <c r="AB43" s="328"/>
      <c r="AC43" s="328"/>
      <c r="AD43" s="328"/>
      <c r="AE43" s="328"/>
      <c r="AF43" s="328"/>
      <c r="AG43" s="328"/>
      <c r="AH43" s="328"/>
      <c r="AI43" s="328"/>
      <c r="AJ43" s="328"/>
      <c r="AK43" s="328"/>
      <c r="AL43" s="328"/>
      <c r="AM43" s="328"/>
      <c r="AN43" s="328"/>
      <c r="AO43" s="329"/>
      <c r="AP43" s="326"/>
      <c r="AQ43" s="326"/>
      <c r="AR43" s="326"/>
      <c r="AS43" s="326"/>
      <c r="AT43" s="326"/>
      <c r="AU43" s="326"/>
      <c r="AV43" s="326"/>
      <c r="AW43" s="326"/>
      <c r="AX43" s="326"/>
      <c r="AY43" s="326"/>
      <c r="AZ43" s="326"/>
      <c r="BA43" s="326"/>
      <c r="BB43" s="326"/>
      <c r="BC43" s="326"/>
      <c r="BD43" s="326"/>
      <c r="BE43" s="330">
        <f>IF($F43="",0,$J43*VLOOKUP($F43,Lists!$C$72:$R$152,COLUMNS(Lists!$C$69:E$69),0))*VLOOKUP(BE$3,Conversions!$B$12:$E$34,4,0)</f>
        <v>0</v>
      </c>
      <c r="BF43" s="330">
        <f>IF($F43="",0,$J43*VLOOKUP($F43,Lists!$C$72:$R$152,COLUMNS(Lists!$C$69:F$69),0))*VLOOKUP(BF$3,Conversions!$B$12:$E$34,4,0)</f>
        <v>0</v>
      </c>
      <c r="BG43" s="330">
        <f>IF($F43="",0,$J43*VLOOKUP($F43,Lists!$C$72:$R$152,COLUMNS(Lists!$C$69:G$69),0))*VLOOKUP(BG$3,Conversions!$B$12:$E$34,4,0)</f>
        <v>0</v>
      </c>
      <c r="BH43" s="330">
        <f>IF($F43="",0,$J43*VLOOKUP($F43,Lists!$C$72:$R$152,COLUMNS(Lists!$C$69:H$69),0))*VLOOKUP(BH$3,Conversions!$B$12:$E$34,4,0)</f>
        <v>0</v>
      </c>
      <c r="BI43" s="330">
        <f>IF($F43="",0,$J43*VLOOKUP($F43,Lists!$C$72:$R$152,COLUMNS(Lists!$C$69:I$69),0))*VLOOKUP(BI$3,Conversions!$B$12:$E$34,4,0)</f>
        <v>0</v>
      </c>
      <c r="BJ43" s="330">
        <f>IF($F43="",0,$J43*VLOOKUP($F43,Lists!$C$72:$R$152,COLUMNS(Lists!$C$69:J$69),0))*VLOOKUP(BJ$3,Conversions!$B$12:$E$34,4,0)</f>
        <v>0</v>
      </c>
      <c r="BK43" s="330">
        <f>IF($F43="",0,$J43*VLOOKUP($F43,Lists!$C$72:$R$152,COLUMNS(Lists!$C$69:K$69),0))*VLOOKUP(BK$3,Conversions!$B$12:$E$34,4,0)</f>
        <v>0</v>
      </c>
      <c r="BL43" s="330">
        <f>IF($F43="",0,$J43*VLOOKUP($F43,Lists!$C$72:$R$152,COLUMNS(Lists!$C$69:L$69),0))*VLOOKUP(BL$3,Conversions!$B$12:$E$34,4,0)</f>
        <v>0</v>
      </c>
      <c r="BM43" s="330">
        <f>IF($F43="",0,$J43*VLOOKUP($F43,Lists!$C$72:$R$152,COLUMNS(Lists!$C$69:M$69),0))*VLOOKUP(BM$3,Conversions!$B$12:$E$34,4,0)</f>
        <v>0</v>
      </c>
      <c r="BN43" s="330">
        <f>IF($F43="",0,$J43*VLOOKUP($F43,Lists!$C$72:$R$152,COLUMNS(Lists!$C$69:N$69),0))*VLOOKUP(BN$3,Conversions!$B$12:$E$34,4,0)</f>
        <v>0</v>
      </c>
      <c r="BO43" s="330">
        <f>IF($F43="",0,$J43*VLOOKUP($F43,Lists!$C$72:$R$152,COLUMNS(Lists!$C$69:O$69),0))*VLOOKUP(BO$3,Conversions!$B$12:$E$34,4,0)</f>
        <v>0</v>
      </c>
      <c r="BP43" s="330">
        <f>IF($F43="",0,$J43*VLOOKUP($F43,Lists!$C$72:$R$152,COLUMNS(Lists!$C$69:P$69),0))*VLOOKUP(BP$3,Conversions!$B$12:$E$34,4,0)</f>
        <v>0</v>
      </c>
      <c r="BQ43" s="330">
        <f>IF($F43="",0,$J43*VLOOKUP($F43,Lists!$C$72:$R$152,COLUMNS(Lists!$C$69:Q$69),0))*VLOOKUP(BQ$3,Conversions!$B$12:$E$34,4,0)</f>
        <v>0</v>
      </c>
      <c r="BR43" s="330">
        <f>IF($F43="",0,$J43*VLOOKUP($F43,Lists!$C$72:$R$152,COLUMNS(Lists!$C$69:R$69),0))*VLOOKUP(BR$3,Conversions!$B$12:$E$34,4,0)</f>
        <v>0</v>
      </c>
      <c r="BS43" s="330">
        <f t="shared" si="4"/>
        <v>0</v>
      </c>
      <c r="BT43" s="329">
        <f t="shared" si="34"/>
        <v>0</v>
      </c>
      <c r="BU43" s="329">
        <f t="shared" si="34"/>
        <v>0</v>
      </c>
      <c r="BV43" s="329">
        <f t="shared" si="34"/>
        <v>0</v>
      </c>
      <c r="BW43" s="329">
        <f t="shared" si="34"/>
        <v>0</v>
      </c>
      <c r="BX43" s="329">
        <f t="shared" si="34"/>
        <v>0</v>
      </c>
      <c r="BY43" s="329">
        <f t="shared" si="34"/>
        <v>0</v>
      </c>
      <c r="BZ43" s="329">
        <f t="shared" si="34"/>
        <v>0</v>
      </c>
      <c r="CA43" s="329">
        <f t="shared" si="34"/>
        <v>0</v>
      </c>
      <c r="CB43" s="329">
        <f t="shared" si="34"/>
        <v>0</v>
      </c>
      <c r="CC43" s="329">
        <f t="shared" si="34"/>
        <v>0</v>
      </c>
      <c r="CD43" s="329">
        <f t="shared" si="34"/>
        <v>0</v>
      </c>
      <c r="CE43" s="329">
        <f t="shared" si="34"/>
        <v>0</v>
      </c>
      <c r="CF43" s="329">
        <f t="shared" si="34"/>
        <v>0</v>
      </c>
      <c r="CG43" s="329">
        <f t="shared" si="34"/>
        <v>0</v>
      </c>
      <c r="CH43" s="329">
        <f t="shared" si="34"/>
        <v>0</v>
      </c>
      <c r="CI43" s="329">
        <f t="shared" si="34"/>
        <v>0</v>
      </c>
      <c r="CJ43" s="331">
        <f t="shared" si="1"/>
        <v>0</v>
      </c>
      <c r="CK43" s="330">
        <f t="shared" si="5"/>
        <v>0</v>
      </c>
      <c r="CL43" s="330">
        <f t="shared" si="6"/>
        <v>0</v>
      </c>
      <c r="CM43" s="330">
        <f t="shared" si="7"/>
        <v>0</v>
      </c>
      <c r="CN43" s="330">
        <f t="shared" si="8"/>
        <v>0</v>
      </c>
      <c r="CO43" s="330">
        <f t="shared" si="9"/>
        <v>0</v>
      </c>
      <c r="CP43" s="330">
        <f t="shared" si="10"/>
        <v>0</v>
      </c>
      <c r="CQ43" s="330">
        <f t="shared" si="11"/>
        <v>0</v>
      </c>
      <c r="CR43" s="330">
        <f t="shared" si="12"/>
        <v>0</v>
      </c>
      <c r="CS43" s="330">
        <f t="shared" si="13"/>
        <v>0</v>
      </c>
      <c r="CT43" s="330">
        <f t="shared" si="14"/>
        <v>0</v>
      </c>
      <c r="CU43" s="330">
        <f t="shared" si="35"/>
        <v>0</v>
      </c>
      <c r="CV43" s="330">
        <f t="shared" si="35"/>
        <v>0</v>
      </c>
      <c r="CW43" s="330">
        <f t="shared" si="35"/>
        <v>0</v>
      </c>
      <c r="CX43" s="330">
        <f t="shared" si="35"/>
        <v>0</v>
      </c>
      <c r="CY43" s="330">
        <f t="shared" si="35"/>
        <v>0</v>
      </c>
      <c r="CZ43" s="330">
        <f t="shared" si="35"/>
        <v>0</v>
      </c>
      <c r="DA43" s="330">
        <f t="shared" si="35"/>
        <v>0</v>
      </c>
      <c r="DB43" s="330">
        <f t="shared" si="35"/>
        <v>0</v>
      </c>
      <c r="DC43" s="330">
        <f t="shared" si="35"/>
        <v>0</v>
      </c>
      <c r="DD43" s="330">
        <f t="shared" si="35"/>
        <v>0</v>
      </c>
      <c r="DE43" s="330">
        <f t="shared" si="36"/>
        <v>0</v>
      </c>
      <c r="DF43" s="330">
        <f t="shared" si="36"/>
        <v>0</v>
      </c>
      <c r="DG43" s="330">
        <f t="shared" si="36"/>
        <v>0</v>
      </c>
      <c r="DH43" s="330">
        <f t="shared" si="36"/>
        <v>0</v>
      </c>
      <c r="DI43" s="330">
        <f t="shared" si="36"/>
        <v>0</v>
      </c>
      <c r="DJ43" s="330">
        <f t="shared" si="36"/>
        <v>0</v>
      </c>
      <c r="DK43" s="330">
        <f t="shared" si="36"/>
        <v>0</v>
      </c>
      <c r="DL43" s="330">
        <f t="shared" si="36"/>
        <v>0</v>
      </c>
      <c r="DM43" s="330">
        <f t="shared" si="36"/>
        <v>0</v>
      </c>
      <c r="DN43" s="330">
        <f t="shared" si="36"/>
        <v>0</v>
      </c>
      <c r="DO43" s="330">
        <f t="shared" si="36"/>
        <v>0</v>
      </c>
      <c r="DP43" s="330">
        <f t="shared" si="37"/>
        <v>0</v>
      </c>
      <c r="DQ43" s="217"/>
      <c r="DR43" s="217"/>
      <c r="DS43" s="217"/>
      <c r="DT43" s="217"/>
    </row>
    <row r="44" spans="1:124" x14ac:dyDescent="0.3">
      <c r="A44" s="332"/>
      <c r="B44" s="221" t="s">
        <v>304</v>
      </c>
      <c r="C44" s="221" t="str">
        <f>IF('Simplified Material Balance'!C14=0,"",'Simplified Material Balance'!C14)</f>
        <v/>
      </c>
      <c r="D44" s="221" t="str">
        <f>IF('Simplified Material Balance'!D14=0,"",'Simplified Material Balance'!D14)</f>
        <v/>
      </c>
      <c r="E44" s="221" t="str">
        <f>IF('Simplified Material Balance'!E14=0,"",'Simplified Material Balance'!E14)</f>
        <v/>
      </c>
      <c r="F44" s="221" t="str">
        <f>IF('Simplified Material Balance'!F14=0,"",'Simplified Material Balance'!F14)</f>
        <v/>
      </c>
      <c r="G44" s="272">
        <f>IF('Simplified Material Balance'!H14&gt;'Simplified Material Balance'!G14,0,('Simplified Material Balance'!G14-'Simplified Material Balance'!H14)*Conversions!$C$4)</f>
        <v>0</v>
      </c>
      <c r="H44" s="272">
        <f>'Simplified Material Balance'!I14*Conversions!$C$4</f>
        <v>0</v>
      </c>
      <c r="I44" s="272">
        <f>('Simplified Material Balance'!J14-'Simplified Material Balance'!K14)*Conversions!$C$4</f>
        <v>0</v>
      </c>
      <c r="J44" s="325">
        <f>IF('Simplified Material Balance'!L14=0,0,'Simplified Material Balance'!L14)</f>
        <v>0</v>
      </c>
      <c r="K44" s="465"/>
      <c r="L44" s="333">
        <f>IF($F44="",0,IF($F44="Weighted Average",$G44*VLOOKUP($D44&amp;" (Install)",Lists!$C$72:$R$232,COLUMNS(Lists!$C$69:E$69),0)*VLOOKUP(BE$3,Conversions!$B$12:$E$34,4,0),$G44*VLOOKUP($F44,Lists!$C$72:$R$232,COLUMNS(Lists!$C$69:E$69),0)*VLOOKUP(BE$3,Conversions!$B$12:$E$34,4,0)))</f>
        <v>0</v>
      </c>
      <c r="M44" s="333">
        <f>IF($F44="",0,IF($F44="Weighted Average",$G44*VLOOKUP($D44&amp;" (Install)",Lists!$C$72:$R$232,COLUMNS(Lists!$C$69:F$69),0)*VLOOKUP(BF$3,Conversions!$B$12:$E$34,4,0),$G44*VLOOKUP($F44,Lists!$C$72:$R$232,COLUMNS(Lists!$C$69:F$69),0)*VLOOKUP(BF$3,Conversions!$B$12:$E$34,4,0)))</f>
        <v>0</v>
      </c>
      <c r="N44" s="333">
        <f>IF($F44="",0,IF($F44="Weighted Average",$G44*VLOOKUP($D44&amp;" (Install)",Lists!$C$72:$R$232,COLUMNS(Lists!$C$69:G$69),0)*VLOOKUP(BG$3,Conversions!$B$12:$E$34,4,0),$G44*VLOOKUP($F44,Lists!$C$72:$R$232,COLUMNS(Lists!$C$69:G$69),0)*VLOOKUP(BG$3,Conversions!$B$12:$E$34,4,0)))</f>
        <v>0</v>
      </c>
      <c r="O44" s="333">
        <f>IF($F44="",0,IF($F44="Weighted Average",$G44*VLOOKUP($D44&amp;" (Install)",Lists!$C$72:$R$232,COLUMNS(Lists!$C$69:H$69),0)*VLOOKUP(BH$3,Conversions!$B$12:$E$34,4,0),$G44*VLOOKUP($F44,Lists!$C$72:$R$232,COLUMNS(Lists!$C$69:H$69),0)*VLOOKUP(BH$3,Conversions!$B$12:$E$34,4,0)))</f>
        <v>0</v>
      </c>
      <c r="P44" s="333">
        <f>IF($F44="",0,IF($F44="Weighted Average",$G44*VLOOKUP($D44&amp;" (Install)",Lists!$C$72:$R$232,COLUMNS(Lists!$C$69:I$69),0)*VLOOKUP(BI$3,Conversions!$B$12:$E$34,4,0),$G44*VLOOKUP($F44,Lists!$C$72:$R$232,COLUMNS(Lists!$C$69:I$69),0)*VLOOKUP(BI$3,Conversions!$B$12:$E$34,4,0)))</f>
        <v>0</v>
      </c>
      <c r="Q44" s="333">
        <f>IF($F44="",0,IF($F44="Weighted Average",$G44*VLOOKUP($D44&amp;" (Install)",Lists!$C$72:$R$232,COLUMNS(Lists!$C$69:J$69),0)*VLOOKUP(BJ$3,Conversions!$B$12:$E$34,4,0),$G44*VLOOKUP($F44,Lists!$C$72:$R$232,COLUMNS(Lists!$C$69:J$69),0)*VLOOKUP(BJ$3,Conversions!$B$12:$E$34,4,0)))</f>
        <v>0</v>
      </c>
      <c r="R44" s="333">
        <f>IF($F44="",0,IF($F44="Weighted Average",$G44*VLOOKUP($D44&amp;" (Install)",Lists!$C$72:$R$232,COLUMNS(Lists!$C$69:K$69),0)*VLOOKUP(BK$3,Conversions!$B$12:$E$34,4,0),$G44*VLOOKUP($F44,Lists!$C$72:$R$232,COLUMNS(Lists!$C$69:K$69),0)*VLOOKUP(BK$3,Conversions!$B$12:$E$34,4,0)))</f>
        <v>0</v>
      </c>
      <c r="S44" s="333">
        <f>IF($F44="",0,IF($F44="Weighted Average",$G44*VLOOKUP($D44&amp;" (Install)",Lists!$C$72:$R$232,COLUMNS(Lists!$C$69:L$69),0)*VLOOKUP(BL$3,Conversions!$B$12:$E$34,4,0),$G44*VLOOKUP($F44,Lists!$C$72:$R$232,COLUMNS(Lists!$C$69:L$69),0)*VLOOKUP(BL$3,Conversions!$B$12:$E$34,4,0)))</f>
        <v>0</v>
      </c>
      <c r="T44" s="333">
        <f>IF($F44="",0,IF($F44="Weighted Average",$G44*VLOOKUP($D44&amp;" (Install)",Lists!$C$72:$R$232,COLUMNS(Lists!$C$69:M$69),0)*VLOOKUP(BM$3,Conversions!$B$12:$E$34,4,0),$G44*VLOOKUP($F44,Lists!$C$72:$R$232,COLUMNS(Lists!$C$69:M$69),0)*VLOOKUP(BM$3,Conversions!$B$12:$E$34,4,0)))</f>
        <v>0</v>
      </c>
      <c r="U44" s="333">
        <f>IF($F44="",0,IF($F44="Weighted Average",$G44*VLOOKUP($D44&amp;" (Install)",Lists!$C$72:$R$232,COLUMNS(Lists!$C$69:N$69),0)*VLOOKUP(BN$3,Conversions!$B$12:$E$34,4,0),$G44*VLOOKUP($F44,Lists!$C$72:$R$232,COLUMNS(Lists!$C$69:N$69),0)*VLOOKUP(BN$3,Conversions!$B$12:$E$34,4,0)))</f>
        <v>0</v>
      </c>
      <c r="V44" s="333">
        <f>IF($F44="",0,IF($F44="Weighted Average",$G44*VLOOKUP($D44&amp;" (Install)",Lists!$C$72:$R$232,COLUMNS(Lists!$C$69:O$69),0)*VLOOKUP(BO$3,Conversions!$B$12:$E$34,4,0),$G44*VLOOKUP($F44,Lists!$C$72:$R$232,COLUMNS(Lists!$C$69:O$69),0)*VLOOKUP(BO$3,Conversions!$B$12:$E$34,4,0)))</f>
        <v>0</v>
      </c>
      <c r="W44" s="333">
        <f>IF($F44="",0,IF($F44="Weighted Average",$G44*VLOOKUP($D44&amp;" (Install)",Lists!$C$72:$R$232,COLUMNS(Lists!$C$69:P$69),0)*VLOOKUP(BP$3,Conversions!$B$12:$E$34,4,0),$G44*VLOOKUP($F44,Lists!$C$72:$R$232,COLUMNS(Lists!$C$69:P$69),0)*VLOOKUP(BP$3,Conversions!$B$12:$E$34,4,0)))</f>
        <v>0</v>
      </c>
      <c r="X44" s="333">
        <f>IF($F44="",0,IF($F44="Weighted Average",$G44*VLOOKUP($D44&amp;" (Install)",Lists!$C$72:$R$232,COLUMNS(Lists!$C$69:Q$69),0)*VLOOKUP(BQ$3,Conversions!$B$12:$E$34,4,0),$G44*VLOOKUP($F44,Lists!$C$72:$R$232,COLUMNS(Lists!$C$69:Q$69),0)*VLOOKUP(BQ$3,Conversions!$B$12:$E$34,4,0)))</f>
        <v>0</v>
      </c>
      <c r="Y44" s="333">
        <f>IF($F44="",0,IF($F44="Weighted Average",$G44*VLOOKUP($D44&amp;" (Install)",Lists!$C$72:$R$232,COLUMNS(Lists!$C$69:R$69),0)*VLOOKUP(BR$3,Conversions!$B$12:$E$34,4,0),$G44*VLOOKUP($F44,Lists!$C$72:$R$232,COLUMNS(Lists!$C$69:R$69),0)*VLOOKUP(BR$3,Conversions!$B$12:$E$34,4,0)))</f>
        <v>0</v>
      </c>
      <c r="Z44" s="325">
        <f t="shared" ref="Z44:Z127" si="38">SUM(L44:Y44)</f>
        <v>0</v>
      </c>
      <c r="AA44" s="334">
        <f>IF($F44="",0,IF($F44="Weighted Average",$H44*VLOOKUP($D44&amp;" (Operation)",Lists!$C$72:$R$232,COLUMNS(Lists!$C$69:E$69),0)*VLOOKUP(BE$3,Conversions!$B$12:$E$34,4,0),$H44*VLOOKUP($F44,Lists!$C$72:$R$232,COLUMNS(Lists!$C$69:E$69),0)*VLOOKUP(BE$3,Conversions!$B$12:$E$34,4,0)))</f>
        <v>0</v>
      </c>
      <c r="AB44" s="334">
        <f>IF($F44="",0,IF($F44="Weighted Average",$H44*VLOOKUP($D44&amp;" (Operation)",Lists!$C$72:$R$232,COLUMNS(Lists!$C$69:F$69),0)*VLOOKUP(BF$3,Conversions!$B$12:$E$34,4,0),$H44*VLOOKUP($F44,Lists!$C$72:$R$232,COLUMNS(Lists!$C$69:F$69),0)*VLOOKUP(BF$3,Conversions!$B$12:$E$34,4,0)))</f>
        <v>0</v>
      </c>
      <c r="AC44" s="334">
        <f>IF($F44="",0,IF($F44="Weighted Average",$H44*VLOOKUP($D44&amp;" (Operation)",Lists!$C$72:$R$232,COLUMNS(Lists!$C$69:G$69),0)*VLOOKUP(BG$3,Conversions!$B$12:$E$34,4,0),$H44*VLOOKUP($F44,Lists!$C$72:$R$232,COLUMNS(Lists!$C$69:G$69),0)*VLOOKUP(BG$3,Conversions!$B$12:$E$34,4,0)))</f>
        <v>0</v>
      </c>
      <c r="AD44" s="334">
        <f>IF($F44="",0,IF($F44="Weighted Average",$H44*VLOOKUP($D44&amp;" (Operation)",Lists!$C$72:$R$232,COLUMNS(Lists!$C$69:H$69),0)*VLOOKUP(BH$3,Conversions!$B$12:$E$34,4,0),$H44*VLOOKUP($F44,Lists!$C$72:$R$232,COLUMNS(Lists!$C$69:H$69),0)*VLOOKUP(BH$3,Conversions!$B$12:$E$34,4,0)))</f>
        <v>0</v>
      </c>
      <c r="AE44" s="334">
        <f>IF($F44="",0,IF($F44="Weighted Average",$H44*VLOOKUP($D44&amp;" (Operation)",Lists!$C$72:$R$232,COLUMNS(Lists!$C$69:I$69),0)*VLOOKUP(BI$3,Conversions!$B$12:$E$34,4,0),$H44*VLOOKUP($F44,Lists!$C$72:$R$232,COLUMNS(Lists!$C$69:I$69),0)*VLOOKUP(BI$3,Conversions!$B$12:$E$34,4,0)))</f>
        <v>0</v>
      </c>
      <c r="AF44" s="334">
        <f>IF($F44="",0,IF($F44="Weighted Average",$H44*VLOOKUP($D44&amp;" (Operation)",Lists!$C$72:$R$232,COLUMNS(Lists!$C$69:J$69),0)*VLOOKUP(BJ$3,Conversions!$B$12:$E$34,4,0),$H44*VLOOKUP($F44,Lists!$C$72:$R$232,COLUMNS(Lists!$C$69:J$69),0)*VLOOKUP(BJ$3,Conversions!$B$12:$E$34,4,0)))</f>
        <v>0</v>
      </c>
      <c r="AG44" s="334">
        <f>IF($F44="",0,IF($F44="Weighted Average",$H44*VLOOKUP($D44&amp;" (Operation)",Lists!$C$72:$R$232,COLUMNS(Lists!$C$69:K$69),0)*VLOOKUP(BK$3,Conversions!$B$12:$E$34,4,0),$H44*VLOOKUP($F44,Lists!$C$72:$R$232,COLUMNS(Lists!$C$69:K$69),0)*VLOOKUP(BK$3,Conversions!$B$12:$E$34,4,0)))</f>
        <v>0</v>
      </c>
      <c r="AH44" s="334">
        <f>IF($F44="",0,IF($F44="Weighted Average",$H44*VLOOKUP($D44&amp;" (Operation)",Lists!$C$72:$R$232,COLUMNS(Lists!$C$69:L$69),0)*VLOOKUP(BL$3,Conversions!$B$12:$E$34,4,0),$H44*VLOOKUP($F44,Lists!$C$72:$R$232,COLUMNS(Lists!$C$69:L$69),0)*VLOOKUP(BL$3,Conversions!$B$12:$E$34,4,0)))</f>
        <v>0</v>
      </c>
      <c r="AI44" s="334">
        <f>IF($F44="",0,IF($F44="Weighted Average",$H44*VLOOKUP($D44&amp;" (Operation)",Lists!$C$72:$R$232,COLUMNS(Lists!$C$69:M$69),0)*VLOOKUP(BM$3,Conversions!$B$12:$E$34,4,0),$H44*VLOOKUP($F44,Lists!$C$72:$R$232,COLUMNS(Lists!$C$69:M$69),0)*VLOOKUP(BM$3,Conversions!$B$12:$E$34,4,0)))</f>
        <v>0</v>
      </c>
      <c r="AJ44" s="334">
        <f>IF($F44="",0,IF($F44="Weighted Average",$H44*VLOOKUP($D44&amp;" (Operation)",Lists!$C$72:$R$232,COLUMNS(Lists!$C$69:N$69),0)*VLOOKUP(BN$3,Conversions!$B$12:$E$34,4,0),$H44*VLOOKUP($F44,Lists!$C$72:$R$232,COLUMNS(Lists!$C$69:N$69),0)*VLOOKUP(BN$3,Conversions!$B$12:$E$34,4,0)))</f>
        <v>0</v>
      </c>
      <c r="AK44" s="334">
        <f>IF($F44="",0,IF($F44="Weighted Average",$H44*VLOOKUP($D44&amp;" (Operation)",Lists!$C$72:$R$232,COLUMNS(Lists!$C$69:O$69),0)*VLOOKUP(BO$3,Conversions!$B$12:$E$34,4,0),$H44*VLOOKUP($F44,Lists!$C$72:$R$232,COLUMNS(Lists!$C$69:O$69),0)*VLOOKUP(BO$3,Conversions!$B$12:$E$34,4,0)))</f>
        <v>0</v>
      </c>
      <c r="AL44" s="334">
        <f>IF($F44="",0,IF($F44="Weighted Average",$H44*VLOOKUP($D44&amp;" (Operation)",Lists!$C$72:$R$232,COLUMNS(Lists!$C$69:P$69),0)*VLOOKUP(BP$3,Conversions!$B$12:$E$34,4,0),$H44*VLOOKUP($F44,Lists!$C$72:$R$232,COLUMNS(Lists!$C$69:P$69),0)*VLOOKUP(BP$3,Conversions!$B$12:$E$34,4,0)))</f>
        <v>0</v>
      </c>
      <c r="AM44" s="334">
        <f>IF($F44="",0,IF($F44="Weighted Average",$H44*VLOOKUP($D44&amp;" (Operation)",Lists!$C$72:$R$232,COLUMNS(Lists!$C$69:Q$69),0)*VLOOKUP(BQ$3,Conversions!$B$12:$E$34,4,0),$H44*VLOOKUP($F44,Lists!$C$72:$R$232,COLUMNS(Lists!$C$69:Q$69),0)*VLOOKUP(BQ$3,Conversions!$B$12:$E$34,4,0)))</f>
        <v>0</v>
      </c>
      <c r="AN44" s="334">
        <f>IF($F44="",0,IF($F44="Weighted Average",$H44*VLOOKUP($D44&amp;" (Operation)",Lists!$C$72:$R$232,COLUMNS(Lists!$C$69:R$69),0)*VLOOKUP(BR$3,Conversions!$B$12:$E$34,4,0),$H44*VLOOKUP($F44,Lists!$C$72:$R$232,COLUMNS(Lists!$C$69:R$69),0)*VLOOKUP(BR$3,Conversions!$B$12:$E$34,4,0)))</f>
        <v>0</v>
      </c>
      <c r="AO44" s="330">
        <f t="shared" ref="AO44:AO127" si="39">SUM(AA44:AN44)</f>
        <v>0</v>
      </c>
      <c r="AP44" s="333">
        <f>IF($F44="",0,IF($F44="Weighted Average",$I44*VLOOKUP($D44&amp;" (Disposal)",Lists!$C$72:$R$232,COLUMNS(Lists!$C$69:E$69),0)*VLOOKUP(BE$3,Conversions!$B$12:$E$34,4,0),$I44*VLOOKUP($F44,Lists!$C$72:$R$232,COLUMNS(Lists!$C$69:E$69),0)*VLOOKUP(BE$3,Conversions!$B$12:$E$34,4,0)))</f>
        <v>0</v>
      </c>
      <c r="AQ44" s="333">
        <f>IF($F44="",0,IF($F44="Weighted Average",$I44*VLOOKUP($D44&amp;" (Disposal)",Lists!$C$72:$R$232,COLUMNS(Lists!$C$69:F$69),0)*VLOOKUP(BF$3,Conversions!$B$12:$E$34,4,0),$I44*VLOOKUP($F44,Lists!$C$72:$R$232,COLUMNS(Lists!$C$69:F$69),0)*VLOOKUP(BF$3,Conversions!$B$12:$E$34,4,0)))</f>
        <v>0</v>
      </c>
      <c r="AR44" s="333">
        <f>IF($F44="",0,IF($F44="Weighted Average",$I44*VLOOKUP($D44&amp;" (Disposal)",Lists!$C$72:$R$232,COLUMNS(Lists!$C$69:G$69),0)*VLOOKUP(BG$3,Conversions!$B$12:$E$34,4,0),$I44*VLOOKUP($F44,Lists!$C$72:$R$232,COLUMNS(Lists!$C$69:G$69),0)*VLOOKUP(BG$3,Conversions!$B$12:$E$34,4,0)))</f>
        <v>0</v>
      </c>
      <c r="AS44" s="333">
        <f>IF($F44="",0,IF($F44="Weighted Average",$I44*VLOOKUP($D44&amp;" (Disposal)",Lists!$C$72:$R$232,COLUMNS(Lists!$C$69:H$69),0)*VLOOKUP(BH$3,Conversions!$B$12:$E$34,4,0),$I44*VLOOKUP($F44,Lists!$C$72:$R$232,COLUMNS(Lists!$C$69:H$69),0)*VLOOKUP(BH$3,Conversions!$B$12:$E$34,4,0)))</f>
        <v>0</v>
      </c>
      <c r="AT44" s="333">
        <f>IF($F44="",0,IF($F44="Weighted Average",$I44*VLOOKUP($D44&amp;" (Disposal)",Lists!$C$72:$R$232,COLUMNS(Lists!$C$69:I$69),0)*VLOOKUP(BI$3,Conversions!$B$12:$E$34,4,0),$I44*VLOOKUP($F44,Lists!$C$72:$R$232,COLUMNS(Lists!$C$69:I$69),0)*VLOOKUP(BI$3,Conversions!$B$12:$E$34,4,0)))</f>
        <v>0</v>
      </c>
      <c r="AU44" s="333">
        <f>IF($F44="",0,IF($F44="Weighted Average",$I44*VLOOKUP($D44&amp;" (Disposal)",Lists!$C$72:$R$232,COLUMNS(Lists!$C$69:J$69),0)*VLOOKUP(BJ$3,Conversions!$B$12:$E$34,4,0),$I44*VLOOKUP($F44,Lists!$C$72:$R$232,COLUMNS(Lists!$C$69:J$69),0)*VLOOKUP(BJ$3,Conversions!$B$12:$E$34,4,0)))</f>
        <v>0</v>
      </c>
      <c r="AV44" s="333">
        <f>IF($F44="",0,IF($F44="Weighted Average",$I44*VLOOKUP($D44&amp;" (Disposal)",Lists!$C$72:$R$232,COLUMNS(Lists!$C$69:K$69),0)*VLOOKUP(BK$3,Conversions!$B$12:$E$34,4,0),$I44*VLOOKUP($F44,Lists!$C$72:$R$232,COLUMNS(Lists!$C$69:K$69),0)*VLOOKUP(BK$3,Conversions!$B$12:$E$34,4,0)))</f>
        <v>0</v>
      </c>
      <c r="AW44" s="333">
        <f>IF($F44="",0,IF($F44="Weighted Average",$I44*VLOOKUP($D44&amp;" (Disposal)",Lists!$C$72:$R$232,COLUMNS(Lists!$C$69:L$69),0)*VLOOKUP(BL$3,Conversions!$B$12:$E$34,4,0),$I44*VLOOKUP($F44,Lists!$C$72:$R$232,COLUMNS(Lists!$C$69:L$69),0)*VLOOKUP(BL$3,Conversions!$B$12:$E$34,4,0)))</f>
        <v>0</v>
      </c>
      <c r="AX44" s="333">
        <f>IF($F44="",0,IF($F44="Weighted Average",$I44*VLOOKUP($D44&amp;" (Disposal)",Lists!$C$72:$R$232,COLUMNS(Lists!$C$69:M$69),0)*VLOOKUP(BM$3,Conversions!$B$12:$E$34,4,0),$I44*VLOOKUP($F44,Lists!$C$72:$R$232,COLUMNS(Lists!$C$69:M$69),0)*VLOOKUP(BM$3,Conversions!$B$12:$E$34,4,0)))</f>
        <v>0</v>
      </c>
      <c r="AY44" s="333">
        <f>IF($F44="",0,IF($F44="Weighted Average",$I44*VLOOKUP($D44&amp;" (Disposal)",Lists!$C$72:$R$232,COLUMNS(Lists!$C$69:N$69),0)*VLOOKUP(BN$3,Conversions!$B$12:$E$34,4,0),$I44*VLOOKUP($F44,Lists!$C$72:$R$232,COLUMNS(Lists!$C$69:N$69),0)*VLOOKUP(BN$3,Conversions!$B$12:$E$34,4,0)))</f>
        <v>0</v>
      </c>
      <c r="AZ44" s="333">
        <f>IF($F44="",0,IF($F44="Weighted Average",$I44*VLOOKUP($D44&amp;" (Disposal)",Lists!$C$72:$R$232,COLUMNS(Lists!$C$69:O$69),0)*VLOOKUP(BO$3,Conversions!$B$12:$E$34,4,0),$I44*VLOOKUP($F44,Lists!$C$72:$R$232,COLUMNS(Lists!$C$69:O$69),0)*VLOOKUP(BO$3,Conversions!$B$12:$E$34,4,0)))</f>
        <v>0</v>
      </c>
      <c r="BA44" s="333">
        <f>IF($F44="",0,IF($F44="Weighted Average",$I44*VLOOKUP($D44&amp;" (Disposal)",Lists!$C$72:$R$232,COLUMNS(Lists!$C$69:P$69),0)*VLOOKUP(BP$3,Conversions!$B$12:$E$34,4,0),$I44*VLOOKUP($F44,Lists!$C$72:$R$232,COLUMNS(Lists!$C$69:P$69),0)*VLOOKUP(BP$3,Conversions!$B$12:$E$34,4,0)))</f>
        <v>0</v>
      </c>
      <c r="BB44" s="333">
        <f>IF($F44="",0,IF($F44="Weighted Average",$I44*VLOOKUP($D44&amp;" (Disposal)",Lists!$C$72:$R$232,COLUMNS(Lists!$C$69:Q$69),0)*VLOOKUP(BQ$3,Conversions!$B$12:$E$34,4,0),$I44*VLOOKUP($F44,Lists!$C$72:$R$232,COLUMNS(Lists!$C$69:Q$69),0)*VLOOKUP(BQ$3,Conversions!$B$12:$E$34,4,0)))</f>
        <v>0</v>
      </c>
      <c r="BC44" s="333">
        <f>IF($F44="",0,IF($F44="Weighted Average",$I44*VLOOKUP($D44&amp;" (Disposal)",Lists!$C$72:$R$232,COLUMNS(Lists!$C$69:R$69),0)*VLOOKUP(BR$3,Conversions!$B$12:$E$34,4,0),$I44*VLOOKUP($F44,Lists!$C$72:$R$232,COLUMNS(Lists!$C$69:R$69),0)*VLOOKUP(BR$3,Conversions!$B$12:$E$34,4,0)))</f>
        <v>0</v>
      </c>
      <c r="BD44" s="333">
        <f t="shared" ref="BD44:BD127" si="40">SUM(AP44:BC44)</f>
        <v>0</v>
      </c>
      <c r="BE44" s="330">
        <f t="shared" ref="BE44:BE123" si="41">L44+AA44+AP44</f>
        <v>0</v>
      </c>
      <c r="BF44" s="330">
        <f t="shared" ref="BF44:BF123" si="42">M44+AB44+AQ44</f>
        <v>0</v>
      </c>
      <c r="BG44" s="330">
        <f t="shared" ref="BG44:BG123" si="43">N44+AC44+AR44</f>
        <v>0</v>
      </c>
      <c r="BH44" s="330">
        <f t="shared" ref="BH44:BH123" si="44">O44+AD44+AS44</f>
        <v>0</v>
      </c>
      <c r="BI44" s="330">
        <f t="shared" ref="BI44:BI123" si="45">P44+AE44+AT44</f>
        <v>0</v>
      </c>
      <c r="BJ44" s="330">
        <f t="shared" ref="BJ44:BJ123" si="46">Q44+AF44+AU44</f>
        <v>0</v>
      </c>
      <c r="BK44" s="330">
        <f t="shared" ref="BK44:BK123" si="47">R44+AG44+AV44</f>
        <v>0</v>
      </c>
      <c r="BL44" s="330">
        <f t="shared" ref="BL44:BL123" si="48">S44+AH44+AW44</f>
        <v>0</v>
      </c>
      <c r="BM44" s="330">
        <f t="shared" ref="BM44:BM123" si="49">T44+AI44+AX44</f>
        <v>0</v>
      </c>
      <c r="BN44" s="330">
        <f t="shared" ref="BN44:BN123" si="50">U44+AJ44+AY44</f>
        <v>0</v>
      </c>
      <c r="BO44" s="330">
        <f t="shared" ref="BO44:BO123" si="51">V44+AK44+AZ44</f>
        <v>0</v>
      </c>
      <c r="BP44" s="330">
        <f t="shared" ref="BP44:BP123" si="52">W44+AL44+BA44</f>
        <v>0</v>
      </c>
      <c r="BQ44" s="330">
        <f t="shared" ref="BQ44:BQ123" si="53">X44+AM44+BB44</f>
        <v>0</v>
      </c>
      <c r="BR44" s="330">
        <f t="shared" ref="BR44:BR123" si="54">Y44+AN44+BC44</f>
        <v>0</v>
      </c>
      <c r="BS44" s="330">
        <f t="shared" ref="BS44:BS123" si="55">Z44+AO44+BD44</f>
        <v>0</v>
      </c>
      <c r="BT44" s="329">
        <f t="shared" ref="BT44:CI53" si="56">IF($E44="",0,IF($E44=BT$3,$BS44,0))</f>
        <v>0</v>
      </c>
      <c r="BU44" s="329">
        <f t="shared" si="56"/>
        <v>0</v>
      </c>
      <c r="BV44" s="329">
        <f t="shared" si="56"/>
        <v>0</v>
      </c>
      <c r="BW44" s="329">
        <f t="shared" si="56"/>
        <v>0</v>
      </c>
      <c r="BX44" s="329">
        <f t="shared" si="56"/>
        <v>0</v>
      </c>
      <c r="BY44" s="329">
        <f t="shared" si="56"/>
        <v>0</v>
      </c>
      <c r="BZ44" s="329">
        <f t="shared" si="56"/>
        <v>0</v>
      </c>
      <c r="CA44" s="329">
        <f t="shared" si="56"/>
        <v>0</v>
      </c>
      <c r="CB44" s="329">
        <f t="shared" si="56"/>
        <v>0</v>
      </c>
      <c r="CC44" s="329">
        <f t="shared" si="56"/>
        <v>0</v>
      </c>
      <c r="CD44" s="329">
        <f t="shared" si="56"/>
        <v>0</v>
      </c>
      <c r="CE44" s="329">
        <f t="shared" si="56"/>
        <v>0</v>
      </c>
      <c r="CF44" s="329">
        <f t="shared" si="56"/>
        <v>0</v>
      </c>
      <c r="CG44" s="329">
        <f t="shared" si="56"/>
        <v>0</v>
      </c>
      <c r="CH44" s="329">
        <f t="shared" si="56"/>
        <v>0</v>
      </c>
      <c r="CI44" s="329">
        <f t="shared" si="56"/>
        <v>0</v>
      </c>
      <c r="CJ44" s="331">
        <f t="shared" si="1"/>
        <v>0</v>
      </c>
      <c r="CK44" s="330">
        <f t="shared" si="5"/>
        <v>0</v>
      </c>
      <c r="CL44" s="330">
        <f t="shared" si="6"/>
        <v>0</v>
      </c>
      <c r="CM44" s="330">
        <f t="shared" si="7"/>
        <v>0</v>
      </c>
      <c r="CN44" s="330">
        <f t="shared" si="8"/>
        <v>0</v>
      </c>
      <c r="CO44" s="330">
        <f t="shared" si="9"/>
        <v>0</v>
      </c>
      <c r="CP44" s="330">
        <f t="shared" si="10"/>
        <v>0</v>
      </c>
      <c r="CQ44" s="330">
        <f t="shared" si="11"/>
        <v>0</v>
      </c>
      <c r="CR44" s="330">
        <f t="shared" si="12"/>
        <v>0</v>
      </c>
      <c r="CS44" s="330">
        <f t="shared" si="13"/>
        <v>0</v>
      </c>
      <c r="CT44" s="330">
        <f t="shared" si="14"/>
        <v>0</v>
      </c>
      <c r="CU44" s="330">
        <f t="shared" ref="CU44:DD53" si="57">IF($C44=CU$3,$BS44,0)</f>
        <v>0</v>
      </c>
      <c r="CV44" s="330">
        <f t="shared" si="57"/>
        <v>0</v>
      </c>
      <c r="CW44" s="330">
        <f t="shared" si="57"/>
        <v>0</v>
      </c>
      <c r="CX44" s="330">
        <f t="shared" si="57"/>
        <v>0</v>
      </c>
      <c r="CY44" s="330">
        <f t="shared" si="57"/>
        <v>0</v>
      </c>
      <c r="CZ44" s="330">
        <f t="shared" si="57"/>
        <v>0</v>
      </c>
      <c r="DA44" s="330">
        <f t="shared" si="57"/>
        <v>0</v>
      </c>
      <c r="DB44" s="330">
        <f t="shared" si="57"/>
        <v>0</v>
      </c>
      <c r="DC44" s="330">
        <f t="shared" si="57"/>
        <v>0</v>
      </c>
      <c r="DD44" s="330">
        <f t="shared" si="57"/>
        <v>0</v>
      </c>
      <c r="DE44" s="330">
        <f t="shared" ref="DE44:DO53" si="58">IF($C44=DE$3,$BS44,0)</f>
        <v>0</v>
      </c>
      <c r="DF44" s="330">
        <f t="shared" si="58"/>
        <v>0</v>
      </c>
      <c r="DG44" s="330">
        <f t="shared" si="58"/>
        <v>0</v>
      </c>
      <c r="DH44" s="330">
        <f t="shared" si="58"/>
        <v>0</v>
      </c>
      <c r="DI44" s="330">
        <f t="shared" si="58"/>
        <v>0</v>
      </c>
      <c r="DJ44" s="330">
        <f t="shared" si="58"/>
        <v>0</v>
      </c>
      <c r="DK44" s="330">
        <f t="shared" si="58"/>
        <v>0</v>
      </c>
      <c r="DL44" s="330">
        <f t="shared" si="58"/>
        <v>0</v>
      </c>
      <c r="DM44" s="330">
        <f t="shared" si="58"/>
        <v>0</v>
      </c>
      <c r="DN44" s="330">
        <f t="shared" si="58"/>
        <v>0</v>
      </c>
      <c r="DO44" s="330">
        <f t="shared" si="58"/>
        <v>0</v>
      </c>
      <c r="DP44" s="330">
        <f t="shared" si="37"/>
        <v>0</v>
      </c>
      <c r="DQ44" s="217"/>
      <c r="DR44" s="217"/>
      <c r="DS44" s="217"/>
      <c r="DT44" s="217"/>
    </row>
    <row r="45" spans="1:124" x14ac:dyDescent="0.3">
      <c r="A45" s="332"/>
      <c r="B45" s="221" t="s">
        <v>304</v>
      </c>
      <c r="C45" s="221" t="str">
        <f>IF('Simplified Material Balance'!C15=0,"",'Simplified Material Balance'!C15)</f>
        <v/>
      </c>
      <c r="D45" s="221" t="str">
        <f>IF('Simplified Material Balance'!D15=0,"",'Simplified Material Balance'!D15)</f>
        <v/>
      </c>
      <c r="E45" s="221" t="str">
        <f>IF('Simplified Material Balance'!E15=0,"",'Simplified Material Balance'!E15)</f>
        <v/>
      </c>
      <c r="F45" s="221" t="str">
        <f>IF('Simplified Material Balance'!F15=0,"",'Simplified Material Balance'!F15)</f>
        <v/>
      </c>
      <c r="G45" s="272">
        <f>IF('Simplified Material Balance'!H15&gt;'Simplified Material Balance'!G15,0,('Simplified Material Balance'!G15-'Simplified Material Balance'!H15)*Conversions!$C$4)</f>
        <v>0</v>
      </c>
      <c r="H45" s="272">
        <f>'Simplified Material Balance'!I15*Conversions!$C$4</f>
        <v>0</v>
      </c>
      <c r="I45" s="272">
        <f>('Simplified Material Balance'!J15-'Simplified Material Balance'!K15)*Conversions!$C$4</f>
        <v>0</v>
      </c>
      <c r="J45" s="325">
        <f>IF('Simplified Material Balance'!L15=0,0,'Simplified Material Balance'!L15)</f>
        <v>0</v>
      </c>
      <c r="K45" s="465"/>
      <c r="L45" s="333">
        <f>IF($F45="",0,IF($F45="Weighted Average",$G45*VLOOKUP($D45&amp;" (Install)",Lists!$C$72:$R$232,COLUMNS(Lists!$C$69:E$69),0)*VLOOKUP(BE$3,Conversions!$B$12:$E$34,4,0),$G45*VLOOKUP($F45,Lists!$C$72:$R$232,COLUMNS(Lists!$C$69:E$69),0)*VLOOKUP(BE$3,Conversions!$B$12:$E$34,4,0)))</f>
        <v>0</v>
      </c>
      <c r="M45" s="333">
        <f>IF($F45="",0,IF($F45="Weighted Average",$G45*VLOOKUP($D45&amp;" (Install)",Lists!$C$72:$R$232,COLUMNS(Lists!$C$69:F$69),0)*VLOOKUP(BF$3,Conversions!$B$12:$E$34,4,0),$G45*VLOOKUP($F45,Lists!$C$72:$R$232,COLUMNS(Lists!$C$69:F$69),0)*VLOOKUP(BF$3,Conversions!$B$12:$E$34,4,0)))</f>
        <v>0</v>
      </c>
      <c r="N45" s="333">
        <f>IF($F45="",0,IF($F45="Weighted Average",$G45*VLOOKUP($D45&amp;" (Install)",Lists!$C$72:$R$232,COLUMNS(Lists!$C$69:G$69),0)*VLOOKUP(BG$3,Conversions!$B$12:$E$34,4,0),$G45*VLOOKUP($F45,Lists!$C$72:$R$232,COLUMNS(Lists!$C$69:G$69),0)*VLOOKUP(BG$3,Conversions!$B$12:$E$34,4,0)))</f>
        <v>0</v>
      </c>
      <c r="O45" s="333">
        <f>IF($F45="",0,IF($F45="Weighted Average",$G45*VLOOKUP($D45&amp;" (Install)",Lists!$C$72:$R$232,COLUMNS(Lists!$C$69:H$69),0)*VLOOKUP(BH$3,Conversions!$B$12:$E$34,4,0),$G45*VLOOKUP($F45,Lists!$C$72:$R$232,COLUMNS(Lists!$C$69:H$69),0)*VLOOKUP(BH$3,Conversions!$B$12:$E$34,4,0)))</f>
        <v>0</v>
      </c>
      <c r="P45" s="333">
        <f>IF($F45="",0,IF($F45="Weighted Average",$G45*VLOOKUP($D45&amp;" (Install)",Lists!$C$72:$R$232,COLUMNS(Lists!$C$69:I$69),0)*VLOOKUP(BI$3,Conversions!$B$12:$E$34,4,0),$G45*VLOOKUP($F45,Lists!$C$72:$R$232,COLUMNS(Lists!$C$69:I$69),0)*VLOOKUP(BI$3,Conversions!$B$12:$E$34,4,0)))</f>
        <v>0</v>
      </c>
      <c r="Q45" s="333">
        <f>IF($F45="",0,IF($F45="Weighted Average",$G45*VLOOKUP($D45&amp;" (Install)",Lists!$C$72:$R$232,COLUMNS(Lists!$C$69:J$69),0)*VLOOKUP(BJ$3,Conversions!$B$12:$E$34,4,0),$G45*VLOOKUP($F45,Lists!$C$72:$R$232,COLUMNS(Lists!$C$69:J$69),0)*VLOOKUP(BJ$3,Conversions!$B$12:$E$34,4,0)))</f>
        <v>0</v>
      </c>
      <c r="R45" s="333">
        <f>IF($F45="",0,IF($F45="Weighted Average",$G45*VLOOKUP($D45&amp;" (Install)",Lists!$C$72:$R$232,COLUMNS(Lists!$C$69:K$69),0)*VLOOKUP(BK$3,Conversions!$B$12:$E$34,4,0),$G45*VLOOKUP($F45,Lists!$C$72:$R$232,COLUMNS(Lists!$C$69:K$69),0)*VLOOKUP(BK$3,Conversions!$B$12:$E$34,4,0)))</f>
        <v>0</v>
      </c>
      <c r="S45" s="333">
        <f>IF($F45="",0,IF($F45="Weighted Average",$G45*VLOOKUP($D45&amp;" (Install)",Lists!$C$72:$R$232,COLUMNS(Lists!$C$69:L$69),0)*VLOOKUP(BL$3,Conversions!$B$12:$E$34,4,0),$G45*VLOOKUP($F45,Lists!$C$72:$R$232,COLUMNS(Lists!$C$69:L$69),0)*VLOOKUP(BL$3,Conversions!$B$12:$E$34,4,0)))</f>
        <v>0</v>
      </c>
      <c r="T45" s="333">
        <f>IF($F45="",0,IF($F45="Weighted Average",$G45*VLOOKUP($D45&amp;" (Install)",Lists!$C$72:$R$232,COLUMNS(Lists!$C$69:M$69),0)*VLOOKUP(BM$3,Conversions!$B$12:$E$34,4,0),$G45*VLOOKUP($F45,Lists!$C$72:$R$232,COLUMNS(Lists!$C$69:M$69),0)*VLOOKUP(BM$3,Conversions!$B$12:$E$34,4,0)))</f>
        <v>0</v>
      </c>
      <c r="U45" s="333">
        <f>IF($F45="",0,IF($F45="Weighted Average",$G45*VLOOKUP($D45&amp;" (Install)",Lists!$C$72:$R$232,COLUMNS(Lists!$C$69:N$69),0)*VLOOKUP(BN$3,Conversions!$B$12:$E$34,4,0),$G45*VLOOKUP($F45,Lists!$C$72:$R$232,COLUMNS(Lists!$C$69:N$69),0)*VLOOKUP(BN$3,Conversions!$B$12:$E$34,4,0)))</f>
        <v>0</v>
      </c>
      <c r="V45" s="333">
        <f>IF($F45="",0,IF($F45="Weighted Average",$G45*VLOOKUP($D45&amp;" (Install)",Lists!$C$72:$R$232,COLUMNS(Lists!$C$69:O$69),0)*VLOOKUP(BO$3,Conversions!$B$12:$E$34,4,0),$G45*VLOOKUP($F45,Lists!$C$72:$R$232,COLUMNS(Lists!$C$69:O$69),0)*VLOOKUP(BO$3,Conversions!$B$12:$E$34,4,0)))</f>
        <v>0</v>
      </c>
      <c r="W45" s="333">
        <f>IF($F45="",0,IF($F45="Weighted Average",$G45*VLOOKUP($D45&amp;" (Install)",Lists!$C$72:$R$232,COLUMNS(Lists!$C$69:P$69),0)*VLOOKUP(BP$3,Conversions!$B$12:$E$34,4,0),$G45*VLOOKUP($F45,Lists!$C$72:$R$232,COLUMNS(Lists!$C$69:P$69),0)*VLOOKUP(BP$3,Conversions!$B$12:$E$34,4,0)))</f>
        <v>0</v>
      </c>
      <c r="X45" s="333">
        <f>IF($F45="",0,IF($F45="Weighted Average",$G45*VLOOKUP($D45&amp;" (Install)",Lists!$C$72:$R$232,COLUMNS(Lists!$C$69:Q$69),0)*VLOOKUP(BQ$3,Conversions!$B$12:$E$34,4,0),$G45*VLOOKUP($F45,Lists!$C$72:$R$232,COLUMNS(Lists!$C$69:Q$69),0)*VLOOKUP(BQ$3,Conversions!$B$12:$E$34,4,0)))</f>
        <v>0</v>
      </c>
      <c r="Y45" s="333">
        <f>IF($F45="",0,IF($F45="Weighted Average",$G45*VLOOKUP($D45&amp;" (Install)",Lists!$C$72:$R$232,COLUMNS(Lists!$C$69:R$69),0)*VLOOKUP(BR$3,Conversions!$B$12:$E$34,4,0),$G45*VLOOKUP($F45,Lists!$C$72:$R$232,COLUMNS(Lists!$C$69:R$69),0)*VLOOKUP(BR$3,Conversions!$B$12:$E$34,4,0)))</f>
        <v>0</v>
      </c>
      <c r="Z45" s="325">
        <f t="shared" si="38"/>
        <v>0</v>
      </c>
      <c r="AA45" s="334">
        <f>IF($F45="",0,IF($F45="Weighted Average",$H45*VLOOKUP($D45&amp;" (Operation)",Lists!$C$72:$R$232,COLUMNS(Lists!$C$69:E$69),0)*VLOOKUP(BE$3,Conversions!$B$12:$E$34,4,0),$H45*VLOOKUP($F45,Lists!$C$72:$R$232,COLUMNS(Lists!$C$69:E$69),0)*VLOOKUP(BE$3,Conversions!$B$12:$E$34,4,0)))</f>
        <v>0</v>
      </c>
      <c r="AB45" s="334">
        <f>IF($F45="",0,IF($F45="Weighted Average",$H45*VLOOKUP($D45&amp;" (Operation)",Lists!$C$72:$R$232,COLUMNS(Lists!$C$69:F$69),0)*VLOOKUP(BF$3,Conversions!$B$12:$E$34,4,0),$H45*VLOOKUP($F45,Lists!$C$72:$R$232,COLUMNS(Lists!$C$69:F$69),0)*VLOOKUP(BF$3,Conversions!$B$12:$E$34,4,0)))</f>
        <v>0</v>
      </c>
      <c r="AC45" s="334">
        <f>IF($F45="",0,IF($F45="Weighted Average",$H45*VLOOKUP($D45&amp;" (Operation)",Lists!$C$72:$R$232,COLUMNS(Lists!$C$69:G$69),0)*VLOOKUP(BG$3,Conversions!$B$12:$E$34,4,0),$H45*VLOOKUP($F45,Lists!$C$72:$R$232,COLUMNS(Lists!$C$69:G$69),0)*VLOOKUP(BG$3,Conversions!$B$12:$E$34,4,0)))</f>
        <v>0</v>
      </c>
      <c r="AD45" s="334">
        <f>IF($F45="",0,IF($F45="Weighted Average",$H45*VLOOKUP($D45&amp;" (Operation)",Lists!$C$72:$R$232,COLUMNS(Lists!$C$69:H$69),0)*VLOOKUP(BH$3,Conversions!$B$12:$E$34,4,0),$H45*VLOOKUP($F45,Lists!$C$72:$R$232,COLUMNS(Lists!$C$69:H$69),0)*VLOOKUP(BH$3,Conversions!$B$12:$E$34,4,0)))</f>
        <v>0</v>
      </c>
      <c r="AE45" s="334">
        <f>IF($F45="",0,IF($F45="Weighted Average",$H45*VLOOKUP($D45&amp;" (Operation)",Lists!$C$72:$R$232,COLUMNS(Lists!$C$69:I$69),0)*VLOOKUP(BI$3,Conversions!$B$12:$E$34,4,0),$H45*VLOOKUP($F45,Lists!$C$72:$R$232,COLUMNS(Lists!$C$69:I$69),0)*VLOOKUP(BI$3,Conversions!$B$12:$E$34,4,0)))</f>
        <v>0</v>
      </c>
      <c r="AF45" s="334">
        <f>IF($F45="",0,IF($F45="Weighted Average",$H45*VLOOKUP($D45&amp;" (Operation)",Lists!$C$72:$R$232,COLUMNS(Lists!$C$69:J$69),0)*VLOOKUP(BJ$3,Conversions!$B$12:$E$34,4,0),$H45*VLOOKUP($F45,Lists!$C$72:$R$232,COLUMNS(Lists!$C$69:J$69),0)*VLOOKUP(BJ$3,Conversions!$B$12:$E$34,4,0)))</f>
        <v>0</v>
      </c>
      <c r="AG45" s="334">
        <f>IF($F45="",0,IF($F45="Weighted Average",$H45*VLOOKUP($D45&amp;" (Operation)",Lists!$C$72:$R$232,COLUMNS(Lists!$C$69:K$69),0)*VLOOKUP(BK$3,Conversions!$B$12:$E$34,4,0),$H45*VLOOKUP($F45,Lists!$C$72:$R$232,COLUMNS(Lists!$C$69:K$69),0)*VLOOKUP(BK$3,Conversions!$B$12:$E$34,4,0)))</f>
        <v>0</v>
      </c>
      <c r="AH45" s="334">
        <f>IF($F45="",0,IF($F45="Weighted Average",$H45*VLOOKUP($D45&amp;" (Operation)",Lists!$C$72:$R$232,COLUMNS(Lists!$C$69:L$69),0)*VLOOKUP(BL$3,Conversions!$B$12:$E$34,4,0),$H45*VLOOKUP($F45,Lists!$C$72:$R$232,COLUMNS(Lists!$C$69:L$69),0)*VLOOKUP(BL$3,Conversions!$B$12:$E$34,4,0)))</f>
        <v>0</v>
      </c>
      <c r="AI45" s="334">
        <f>IF($F45="",0,IF($F45="Weighted Average",$H45*VLOOKUP($D45&amp;" (Operation)",Lists!$C$72:$R$232,COLUMNS(Lists!$C$69:M$69),0)*VLOOKUP(BM$3,Conversions!$B$12:$E$34,4,0),$H45*VLOOKUP($F45,Lists!$C$72:$R$232,COLUMNS(Lists!$C$69:M$69),0)*VLOOKUP(BM$3,Conversions!$B$12:$E$34,4,0)))</f>
        <v>0</v>
      </c>
      <c r="AJ45" s="334">
        <f>IF($F45="",0,IF($F45="Weighted Average",$H45*VLOOKUP($D45&amp;" (Operation)",Lists!$C$72:$R$232,COLUMNS(Lists!$C$69:N$69),0)*VLOOKUP(BN$3,Conversions!$B$12:$E$34,4,0),$H45*VLOOKUP($F45,Lists!$C$72:$R$232,COLUMNS(Lists!$C$69:N$69),0)*VLOOKUP(BN$3,Conversions!$B$12:$E$34,4,0)))</f>
        <v>0</v>
      </c>
      <c r="AK45" s="334">
        <f>IF($F45="",0,IF($F45="Weighted Average",$H45*VLOOKUP($D45&amp;" (Operation)",Lists!$C$72:$R$232,COLUMNS(Lists!$C$69:O$69),0)*VLOOKUP(BO$3,Conversions!$B$12:$E$34,4,0),$H45*VLOOKUP($F45,Lists!$C$72:$R$232,COLUMNS(Lists!$C$69:O$69),0)*VLOOKUP(BO$3,Conversions!$B$12:$E$34,4,0)))</f>
        <v>0</v>
      </c>
      <c r="AL45" s="334">
        <f>IF($F45="",0,IF($F45="Weighted Average",$H45*VLOOKUP($D45&amp;" (Operation)",Lists!$C$72:$R$232,COLUMNS(Lists!$C$69:P$69),0)*VLOOKUP(BP$3,Conversions!$B$12:$E$34,4,0),$H45*VLOOKUP($F45,Lists!$C$72:$R$232,COLUMNS(Lists!$C$69:P$69),0)*VLOOKUP(BP$3,Conversions!$B$12:$E$34,4,0)))</f>
        <v>0</v>
      </c>
      <c r="AM45" s="334">
        <f>IF($F45="",0,IF($F45="Weighted Average",$H45*VLOOKUP($D45&amp;" (Operation)",Lists!$C$72:$R$232,COLUMNS(Lists!$C$69:Q$69),0)*VLOOKUP(BQ$3,Conversions!$B$12:$E$34,4,0),$H45*VLOOKUP($F45,Lists!$C$72:$R$232,COLUMNS(Lists!$C$69:Q$69),0)*VLOOKUP(BQ$3,Conversions!$B$12:$E$34,4,0)))</f>
        <v>0</v>
      </c>
      <c r="AN45" s="334">
        <f>IF($F45="",0,IF($F45="Weighted Average",$H45*VLOOKUP($D45&amp;" (Operation)",Lists!$C$72:$R$232,COLUMNS(Lists!$C$69:R$69),0)*VLOOKUP(BR$3,Conversions!$B$12:$E$34,4,0),$H45*VLOOKUP($F45,Lists!$C$72:$R$232,COLUMNS(Lists!$C$69:R$69),0)*VLOOKUP(BR$3,Conversions!$B$12:$E$34,4,0)))</f>
        <v>0</v>
      </c>
      <c r="AO45" s="330">
        <f t="shared" si="39"/>
        <v>0</v>
      </c>
      <c r="AP45" s="333">
        <f>IF($F45="",0,IF($F45="Weighted Average",$I45*VLOOKUP($D45&amp;" (Disposal)",Lists!$C$72:$R$232,COLUMNS(Lists!$C$69:E$69),0)*VLOOKUP(BE$3,Conversions!$B$12:$E$34,4,0),$I45*VLOOKUP($F45,Lists!$C$72:$R$232,COLUMNS(Lists!$C$69:E$69),0)*VLOOKUP(BE$3,Conversions!$B$12:$E$34,4,0)))</f>
        <v>0</v>
      </c>
      <c r="AQ45" s="333">
        <f>IF($F45="",0,IF($F45="Weighted Average",$I45*VLOOKUP($D45&amp;" (Disposal)",Lists!$C$72:$R$232,COLUMNS(Lists!$C$69:F$69),0)*VLOOKUP(BF$3,Conversions!$B$12:$E$34,4,0),$I45*VLOOKUP($F45,Lists!$C$72:$R$232,COLUMNS(Lists!$C$69:F$69),0)*VLOOKUP(BF$3,Conversions!$B$12:$E$34,4,0)))</f>
        <v>0</v>
      </c>
      <c r="AR45" s="333">
        <f>IF($F45="",0,IF($F45="Weighted Average",$I45*VLOOKUP($D45&amp;" (Disposal)",Lists!$C$72:$R$232,COLUMNS(Lists!$C$69:G$69),0)*VLOOKUP(BG$3,Conversions!$B$12:$E$34,4,0),$I45*VLOOKUP($F45,Lists!$C$72:$R$232,COLUMNS(Lists!$C$69:G$69),0)*VLOOKUP(BG$3,Conversions!$B$12:$E$34,4,0)))</f>
        <v>0</v>
      </c>
      <c r="AS45" s="333">
        <f>IF($F45="",0,IF($F45="Weighted Average",$I45*VLOOKUP($D45&amp;" (Disposal)",Lists!$C$72:$R$232,COLUMNS(Lists!$C$69:H$69),0)*VLOOKUP(BH$3,Conversions!$B$12:$E$34,4,0),$I45*VLOOKUP($F45,Lists!$C$72:$R$232,COLUMNS(Lists!$C$69:H$69),0)*VLOOKUP(BH$3,Conversions!$B$12:$E$34,4,0)))</f>
        <v>0</v>
      </c>
      <c r="AT45" s="333">
        <f>IF($F45="",0,IF($F45="Weighted Average",$I45*VLOOKUP($D45&amp;" (Disposal)",Lists!$C$72:$R$232,COLUMNS(Lists!$C$69:I$69),0)*VLOOKUP(BI$3,Conversions!$B$12:$E$34,4,0),$I45*VLOOKUP($F45,Lists!$C$72:$R$232,COLUMNS(Lists!$C$69:I$69),0)*VLOOKUP(BI$3,Conversions!$B$12:$E$34,4,0)))</f>
        <v>0</v>
      </c>
      <c r="AU45" s="333">
        <f>IF($F45="",0,IF($F45="Weighted Average",$I45*VLOOKUP($D45&amp;" (Disposal)",Lists!$C$72:$R$232,COLUMNS(Lists!$C$69:J$69),0)*VLOOKUP(BJ$3,Conversions!$B$12:$E$34,4,0),$I45*VLOOKUP($F45,Lists!$C$72:$R$232,COLUMNS(Lists!$C$69:J$69),0)*VLOOKUP(BJ$3,Conversions!$B$12:$E$34,4,0)))</f>
        <v>0</v>
      </c>
      <c r="AV45" s="333">
        <f>IF($F45="",0,IF($F45="Weighted Average",$I45*VLOOKUP($D45&amp;" (Disposal)",Lists!$C$72:$R$232,COLUMNS(Lists!$C$69:K$69),0)*VLOOKUP(BK$3,Conversions!$B$12:$E$34,4,0),$I45*VLOOKUP($F45,Lists!$C$72:$R$232,COLUMNS(Lists!$C$69:K$69),0)*VLOOKUP(BK$3,Conversions!$B$12:$E$34,4,0)))</f>
        <v>0</v>
      </c>
      <c r="AW45" s="333">
        <f>IF($F45="",0,IF($F45="Weighted Average",$I45*VLOOKUP($D45&amp;" (Disposal)",Lists!$C$72:$R$232,COLUMNS(Lists!$C$69:L$69),0)*VLOOKUP(BL$3,Conversions!$B$12:$E$34,4,0),$I45*VLOOKUP($F45,Lists!$C$72:$R$232,COLUMNS(Lists!$C$69:L$69),0)*VLOOKUP(BL$3,Conversions!$B$12:$E$34,4,0)))</f>
        <v>0</v>
      </c>
      <c r="AX45" s="333">
        <f>IF($F45="",0,IF($F45="Weighted Average",$I45*VLOOKUP($D45&amp;" (Disposal)",Lists!$C$72:$R$232,COLUMNS(Lists!$C$69:M$69),0)*VLOOKUP(BM$3,Conversions!$B$12:$E$34,4,0),$I45*VLOOKUP($F45,Lists!$C$72:$R$232,COLUMNS(Lists!$C$69:M$69),0)*VLOOKUP(BM$3,Conversions!$B$12:$E$34,4,0)))</f>
        <v>0</v>
      </c>
      <c r="AY45" s="333">
        <f>IF($F45="",0,IF($F45="Weighted Average",$I45*VLOOKUP($D45&amp;" (Disposal)",Lists!$C$72:$R$232,COLUMNS(Lists!$C$69:N$69),0)*VLOOKUP(BN$3,Conversions!$B$12:$E$34,4,0),$I45*VLOOKUP($F45,Lists!$C$72:$R$232,COLUMNS(Lists!$C$69:N$69),0)*VLOOKUP(BN$3,Conversions!$B$12:$E$34,4,0)))</f>
        <v>0</v>
      </c>
      <c r="AZ45" s="333">
        <f>IF($F45="",0,IF($F45="Weighted Average",$I45*VLOOKUP($D45&amp;" (Disposal)",Lists!$C$72:$R$232,COLUMNS(Lists!$C$69:O$69),0)*VLOOKUP(BO$3,Conversions!$B$12:$E$34,4,0),$I45*VLOOKUP($F45,Lists!$C$72:$R$232,COLUMNS(Lists!$C$69:O$69),0)*VLOOKUP(BO$3,Conversions!$B$12:$E$34,4,0)))</f>
        <v>0</v>
      </c>
      <c r="BA45" s="333">
        <f>IF($F45="",0,IF($F45="Weighted Average",$I45*VLOOKUP($D45&amp;" (Disposal)",Lists!$C$72:$R$232,COLUMNS(Lists!$C$69:P$69),0)*VLOOKUP(BP$3,Conversions!$B$12:$E$34,4,0),$I45*VLOOKUP($F45,Lists!$C$72:$R$232,COLUMNS(Lists!$C$69:P$69),0)*VLOOKUP(BP$3,Conversions!$B$12:$E$34,4,0)))</f>
        <v>0</v>
      </c>
      <c r="BB45" s="333">
        <f>IF($F45="",0,IF($F45="Weighted Average",$I45*VLOOKUP($D45&amp;" (Disposal)",Lists!$C$72:$R$232,COLUMNS(Lists!$C$69:Q$69),0)*VLOOKUP(BQ$3,Conversions!$B$12:$E$34,4,0),$I45*VLOOKUP($F45,Lists!$C$72:$R$232,COLUMNS(Lists!$C$69:Q$69),0)*VLOOKUP(BQ$3,Conversions!$B$12:$E$34,4,0)))</f>
        <v>0</v>
      </c>
      <c r="BC45" s="333">
        <f>IF($F45="",0,IF($F45="Weighted Average",$I45*VLOOKUP($D45&amp;" (Disposal)",Lists!$C$72:$R$232,COLUMNS(Lists!$C$69:R$69),0)*VLOOKUP(BR$3,Conversions!$B$12:$E$34,4,0),$I45*VLOOKUP($F45,Lists!$C$72:$R$232,COLUMNS(Lists!$C$69:R$69),0)*VLOOKUP(BR$3,Conversions!$B$12:$E$34,4,0)))</f>
        <v>0</v>
      </c>
      <c r="BD45" s="333">
        <f t="shared" si="40"/>
        <v>0</v>
      </c>
      <c r="BE45" s="330">
        <f t="shared" si="41"/>
        <v>0</v>
      </c>
      <c r="BF45" s="330">
        <f t="shared" si="42"/>
        <v>0</v>
      </c>
      <c r="BG45" s="330">
        <f t="shared" si="43"/>
        <v>0</v>
      </c>
      <c r="BH45" s="330">
        <f t="shared" si="44"/>
        <v>0</v>
      </c>
      <c r="BI45" s="330">
        <f t="shared" si="45"/>
        <v>0</v>
      </c>
      <c r="BJ45" s="330">
        <f t="shared" si="46"/>
        <v>0</v>
      </c>
      <c r="BK45" s="330">
        <f t="shared" si="47"/>
        <v>0</v>
      </c>
      <c r="BL45" s="330">
        <f t="shared" si="48"/>
        <v>0</v>
      </c>
      <c r="BM45" s="330">
        <f t="shared" si="49"/>
        <v>0</v>
      </c>
      <c r="BN45" s="330">
        <f t="shared" si="50"/>
        <v>0</v>
      </c>
      <c r="BO45" s="330">
        <f t="shared" si="51"/>
        <v>0</v>
      </c>
      <c r="BP45" s="330">
        <f t="shared" si="52"/>
        <v>0</v>
      </c>
      <c r="BQ45" s="330">
        <f t="shared" si="53"/>
        <v>0</v>
      </c>
      <c r="BR45" s="330">
        <f t="shared" si="54"/>
        <v>0</v>
      </c>
      <c r="BS45" s="330">
        <f t="shared" si="55"/>
        <v>0</v>
      </c>
      <c r="BT45" s="329">
        <f t="shared" si="56"/>
        <v>0</v>
      </c>
      <c r="BU45" s="329">
        <f t="shared" si="56"/>
        <v>0</v>
      </c>
      <c r="BV45" s="329">
        <f t="shared" si="56"/>
        <v>0</v>
      </c>
      <c r="BW45" s="329">
        <f t="shared" si="56"/>
        <v>0</v>
      </c>
      <c r="BX45" s="329">
        <f t="shared" si="56"/>
        <v>0</v>
      </c>
      <c r="BY45" s="329">
        <f t="shared" si="56"/>
        <v>0</v>
      </c>
      <c r="BZ45" s="329">
        <f t="shared" si="56"/>
        <v>0</v>
      </c>
      <c r="CA45" s="329">
        <f t="shared" si="56"/>
        <v>0</v>
      </c>
      <c r="CB45" s="329">
        <f t="shared" si="56"/>
        <v>0</v>
      </c>
      <c r="CC45" s="329">
        <f t="shared" si="56"/>
        <v>0</v>
      </c>
      <c r="CD45" s="329">
        <f t="shared" si="56"/>
        <v>0</v>
      </c>
      <c r="CE45" s="329">
        <f t="shared" si="56"/>
        <v>0</v>
      </c>
      <c r="CF45" s="329">
        <f t="shared" si="56"/>
        <v>0</v>
      </c>
      <c r="CG45" s="329">
        <f t="shared" si="56"/>
        <v>0</v>
      </c>
      <c r="CH45" s="329">
        <f t="shared" si="56"/>
        <v>0</v>
      </c>
      <c r="CI45" s="329">
        <f t="shared" si="56"/>
        <v>0</v>
      </c>
      <c r="CJ45" s="331">
        <f t="shared" si="1"/>
        <v>0</v>
      </c>
      <c r="CK45" s="330">
        <f t="shared" si="5"/>
        <v>0</v>
      </c>
      <c r="CL45" s="330">
        <f t="shared" si="6"/>
        <v>0</v>
      </c>
      <c r="CM45" s="330">
        <f t="shared" si="7"/>
        <v>0</v>
      </c>
      <c r="CN45" s="330">
        <f t="shared" si="8"/>
        <v>0</v>
      </c>
      <c r="CO45" s="330">
        <f t="shared" si="9"/>
        <v>0</v>
      </c>
      <c r="CP45" s="330">
        <f t="shared" si="10"/>
        <v>0</v>
      </c>
      <c r="CQ45" s="330">
        <f t="shared" si="11"/>
        <v>0</v>
      </c>
      <c r="CR45" s="330">
        <f t="shared" si="12"/>
        <v>0</v>
      </c>
      <c r="CS45" s="330">
        <f t="shared" si="13"/>
        <v>0</v>
      </c>
      <c r="CT45" s="330">
        <f t="shared" si="14"/>
        <v>0</v>
      </c>
      <c r="CU45" s="330">
        <f t="shared" si="57"/>
        <v>0</v>
      </c>
      <c r="CV45" s="330">
        <f t="shared" si="57"/>
        <v>0</v>
      </c>
      <c r="CW45" s="330">
        <f t="shared" si="57"/>
        <v>0</v>
      </c>
      <c r="CX45" s="330">
        <f t="shared" si="57"/>
        <v>0</v>
      </c>
      <c r="CY45" s="330">
        <f t="shared" si="57"/>
        <v>0</v>
      </c>
      <c r="CZ45" s="330">
        <f t="shared" si="57"/>
        <v>0</v>
      </c>
      <c r="DA45" s="330">
        <f t="shared" si="57"/>
        <v>0</v>
      </c>
      <c r="DB45" s="330">
        <f t="shared" si="57"/>
        <v>0</v>
      </c>
      <c r="DC45" s="330">
        <f t="shared" si="57"/>
        <v>0</v>
      </c>
      <c r="DD45" s="330">
        <f t="shared" si="57"/>
        <v>0</v>
      </c>
      <c r="DE45" s="330">
        <f t="shared" si="58"/>
        <v>0</v>
      </c>
      <c r="DF45" s="330">
        <f t="shared" si="58"/>
        <v>0</v>
      </c>
      <c r="DG45" s="330">
        <f t="shared" si="58"/>
        <v>0</v>
      </c>
      <c r="DH45" s="330">
        <f t="shared" si="58"/>
        <v>0</v>
      </c>
      <c r="DI45" s="330">
        <f t="shared" si="58"/>
        <v>0</v>
      </c>
      <c r="DJ45" s="330">
        <f t="shared" si="58"/>
        <v>0</v>
      </c>
      <c r="DK45" s="330">
        <f t="shared" si="58"/>
        <v>0</v>
      </c>
      <c r="DL45" s="330">
        <f t="shared" si="58"/>
        <v>0</v>
      </c>
      <c r="DM45" s="330">
        <f t="shared" si="58"/>
        <v>0</v>
      </c>
      <c r="DN45" s="330">
        <f t="shared" si="58"/>
        <v>0</v>
      </c>
      <c r="DO45" s="330">
        <f t="shared" si="58"/>
        <v>0</v>
      </c>
      <c r="DP45" s="330">
        <f t="shared" si="37"/>
        <v>0</v>
      </c>
      <c r="DQ45" s="217"/>
      <c r="DR45" s="217"/>
      <c r="DS45" s="217"/>
      <c r="DT45" s="217"/>
    </row>
    <row r="46" spans="1:124" x14ac:dyDescent="0.3">
      <c r="A46" s="332"/>
      <c r="B46" s="221" t="s">
        <v>304</v>
      </c>
      <c r="C46" s="221" t="str">
        <f>IF('Simplified Material Balance'!C16=0,"",'Simplified Material Balance'!C16)</f>
        <v/>
      </c>
      <c r="D46" s="221" t="str">
        <f>IF('Simplified Material Balance'!D16=0,"",'Simplified Material Balance'!D16)</f>
        <v/>
      </c>
      <c r="E46" s="221" t="str">
        <f>IF('Simplified Material Balance'!E16=0,"",'Simplified Material Balance'!E16)</f>
        <v/>
      </c>
      <c r="F46" s="221" t="str">
        <f>IF('Simplified Material Balance'!F16=0,"",'Simplified Material Balance'!F16)</f>
        <v/>
      </c>
      <c r="G46" s="272">
        <f>IF('Simplified Material Balance'!H16&gt;'Simplified Material Balance'!G16,0,('Simplified Material Balance'!G16-'Simplified Material Balance'!H16)*Conversions!$C$4)</f>
        <v>0</v>
      </c>
      <c r="H46" s="272">
        <f>'Simplified Material Balance'!I16*Conversions!$C$4</f>
        <v>0</v>
      </c>
      <c r="I46" s="272">
        <f>('Simplified Material Balance'!J16-'Simplified Material Balance'!K16)*Conversions!$C$4</f>
        <v>0</v>
      </c>
      <c r="J46" s="325">
        <f>IF('Simplified Material Balance'!L16=0,0,'Simplified Material Balance'!L16)</f>
        <v>0</v>
      </c>
      <c r="K46" s="465"/>
      <c r="L46" s="333">
        <f>IF($F46="",0,IF($F46="Weighted Average",$G46*VLOOKUP($D46&amp;" (Install)",Lists!$C$72:$R$232,COLUMNS(Lists!$C$69:E$69),0)*VLOOKUP(BE$3,Conversions!$B$12:$E$34,4,0),$G46*VLOOKUP($F46,Lists!$C$72:$R$232,COLUMNS(Lists!$C$69:E$69),0)*VLOOKUP(BE$3,Conversions!$B$12:$E$34,4,0)))</f>
        <v>0</v>
      </c>
      <c r="M46" s="333">
        <f>IF($F46="",0,IF($F46="Weighted Average",$G46*VLOOKUP($D46&amp;" (Install)",Lists!$C$72:$R$232,COLUMNS(Lists!$C$69:F$69),0)*VLOOKUP(BF$3,Conversions!$B$12:$E$34,4,0),$G46*VLOOKUP($F46,Lists!$C$72:$R$232,COLUMNS(Lists!$C$69:F$69),0)*VLOOKUP(BF$3,Conversions!$B$12:$E$34,4,0)))</f>
        <v>0</v>
      </c>
      <c r="N46" s="333">
        <f>IF($F46="",0,IF($F46="Weighted Average",$G46*VLOOKUP($D46&amp;" (Install)",Lists!$C$72:$R$232,COLUMNS(Lists!$C$69:G$69),0)*VLOOKUP(BG$3,Conversions!$B$12:$E$34,4,0),$G46*VLOOKUP($F46,Lists!$C$72:$R$232,COLUMNS(Lists!$C$69:G$69),0)*VLOOKUP(BG$3,Conversions!$B$12:$E$34,4,0)))</f>
        <v>0</v>
      </c>
      <c r="O46" s="333">
        <f>IF($F46="",0,IF($F46="Weighted Average",$G46*VLOOKUP($D46&amp;" (Install)",Lists!$C$72:$R$232,COLUMNS(Lists!$C$69:H$69),0)*VLOOKUP(BH$3,Conversions!$B$12:$E$34,4,0),$G46*VLOOKUP($F46,Lists!$C$72:$R$232,COLUMNS(Lists!$C$69:H$69),0)*VLOOKUP(BH$3,Conversions!$B$12:$E$34,4,0)))</f>
        <v>0</v>
      </c>
      <c r="P46" s="333">
        <f>IF($F46="",0,IF($F46="Weighted Average",$G46*VLOOKUP($D46&amp;" (Install)",Lists!$C$72:$R$232,COLUMNS(Lists!$C$69:I$69),0)*VLOOKUP(BI$3,Conversions!$B$12:$E$34,4,0),$G46*VLOOKUP($F46,Lists!$C$72:$R$232,COLUMNS(Lists!$C$69:I$69),0)*VLOOKUP(BI$3,Conversions!$B$12:$E$34,4,0)))</f>
        <v>0</v>
      </c>
      <c r="Q46" s="333">
        <f>IF($F46="",0,IF($F46="Weighted Average",$G46*VLOOKUP($D46&amp;" (Install)",Lists!$C$72:$R$232,COLUMNS(Lists!$C$69:J$69),0)*VLOOKUP(BJ$3,Conversions!$B$12:$E$34,4,0),$G46*VLOOKUP($F46,Lists!$C$72:$R$232,COLUMNS(Lists!$C$69:J$69),0)*VLOOKUP(BJ$3,Conversions!$B$12:$E$34,4,0)))</f>
        <v>0</v>
      </c>
      <c r="R46" s="333">
        <f>IF($F46="",0,IF($F46="Weighted Average",$G46*VLOOKUP($D46&amp;" (Install)",Lists!$C$72:$R$232,COLUMNS(Lists!$C$69:K$69),0)*VLOOKUP(BK$3,Conversions!$B$12:$E$34,4,0),$G46*VLOOKUP($F46,Lists!$C$72:$R$232,COLUMNS(Lists!$C$69:K$69),0)*VLOOKUP(BK$3,Conversions!$B$12:$E$34,4,0)))</f>
        <v>0</v>
      </c>
      <c r="S46" s="333">
        <f>IF($F46="",0,IF($F46="Weighted Average",$G46*VLOOKUP($D46&amp;" (Install)",Lists!$C$72:$R$232,COLUMNS(Lists!$C$69:L$69),0)*VLOOKUP(BL$3,Conversions!$B$12:$E$34,4,0),$G46*VLOOKUP($F46,Lists!$C$72:$R$232,COLUMNS(Lists!$C$69:L$69),0)*VLOOKUP(BL$3,Conversions!$B$12:$E$34,4,0)))</f>
        <v>0</v>
      </c>
      <c r="T46" s="333">
        <f>IF($F46="",0,IF($F46="Weighted Average",$G46*VLOOKUP($D46&amp;" (Install)",Lists!$C$72:$R$232,COLUMNS(Lists!$C$69:M$69),0)*VLOOKUP(BM$3,Conversions!$B$12:$E$34,4,0),$G46*VLOOKUP($F46,Lists!$C$72:$R$232,COLUMNS(Lists!$C$69:M$69),0)*VLOOKUP(BM$3,Conversions!$B$12:$E$34,4,0)))</f>
        <v>0</v>
      </c>
      <c r="U46" s="333">
        <f>IF($F46="",0,IF($F46="Weighted Average",$G46*VLOOKUP($D46&amp;" (Install)",Lists!$C$72:$R$232,COLUMNS(Lists!$C$69:N$69),0)*VLOOKUP(BN$3,Conversions!$B$12:$E$34,4,0),$G46*VLOOKUP($F46,Lists!$C$72:$R$232,COLUMNS(Lists!$C$69:N$69),0)*VLOOKUP(BN$3,Conversions!$B$12:$E$34,4,0)))</f>
        <v>0</v>
      </c>
      <c r="V46" s="333">
        <f>IF($F46="",0,IF($F46="Weighted Average",$G46*VLOOKUP($D46&amp;" (Install)",Lists!$C$72:$R$232,COLUMNS(Lists!$C$69:O$69),0)*VLOOKUP(BO$3,Conversions!$B$12:$E$34,4,0),$G46*VLOOKUP($F46,Lists!$C$72:$R$232,COLUMNS(Lists!$C$69:O$69),0)*VLOOKUP(BO$3,Conversions!$B$12:$E$34,4,0)))</f>
        <v>0</v>
      </c>
      <c r="W46" s="333">
        <f>IF($F46="",0,IF($F46="Weighted Average",$G46*VLOOKUP($D46&amp;" (Install)",Lists!$C$72:$R$232,COLUMNS(Lists!$C$69:P$69),0)*VLOOKUP(BP$3,Conversions!$B$12:$E$34,4,0),$G46*VLOOKUP($F46,Lists!$C$72:$R$232,COLUMNS(Lists!$C$69:P$69),0)*VLOOKUP(BP$3,Conversions!$B$12:$E$34,4,0)))</f>
        <v>0</v>
      </c>
      <c r="X46" s="333">
        <f>IF($F46="",0,IF($F46="Weighted Average",$G46*VLOOKUP($D46&amp;" (Install)",Lists!$C$72:$R$232,COLUMNS(Lists!$C$69:Q$69),0)*VLOOKUP(BQ$3,Conversions!$B$12:$E$34,4,0),$G46*VLOOKUP($F46,Lists!$C$72:$R$232,COLUMNS(Lists!$C$69:Q$69),0)*VLOOKUP(BQ$3,Conversions!$B$12:$E$34,4,0)))</f>
        <v>0</v>
      </c>
      <c r="Y46" s="333">
        <f>IF($F46="",0,IF($F46="Weighted Average",$G46*VLOOKUP($D46&amp;" (Install)",Lists!$C$72:$R$232,COLUMNS(Lists!$C$69:R$69),0)*VLOOKUP(BR$3,Conversions!$B$12:$E$34,4,0),$G46*VLOOKUP($F46,Lists!$C$72:$R$232,COLUMNS(Lists!$C$69:R$69),0)*VLOOKUP(BR$3,Conversions!$B$12:$E$34,4,0)))</f>
        <v>0</v>
      </c>
      <c r="Z46" s="325">
        <f t="shared" si="38"/>
        <v>0</v>
      </c>
      <c r="AA46" s="334">
        <f>IF($F46="",0,IF($F46="Weighted Average",$H46*VLOOKUP($D46&amp;" (Operation)",Lists!$C$72:$R$232,COLUMNS(Lists!$C$69:E$69),0)*VLOOKUP(BE$3,Conversions!$B$12:$E$34,4,0),$H46*VLOOKUP($F46,Lists!$C$72:$R$232,COLUMNS(Lists!$C$69:E$69),0)*VLOOKUP(BE$3,Conversions!$B$12:$E$34,4,0)))</f>
        <v>0</v>
      </c>
      <c r="AB46" s="334">
        <f>IF($F46="",0,IF($F46="Weighted Average",$H46*VLOOKUP($D46&amp;" (Operation)",Lists!$C$72:$R$232,COLUMNS(Lists!$C$69:F$69),0)*VLOOKUP(BF$3,Conversions!$B$12:$E$34,4,0),$H46*VLOOKUP($F46,Lists!$C$72:$R$232,COLUMNS(Lists!$C$69:F$69),0)*VLOOKUP(BF$3,Conversions!$B$12:$E$34,4,0)))</f>
        <v>0</v>
      </c>
      <c r="AC46" s="334">
        <f>IF($F46="",0,IF($F46="Weighted Average",$H46*VLOOKUP($D46&amp;" (Operation)",Lists!$C$72:$R$232,COLUMNS(Lists!$C$69:G$69),0)*VLOOKUP(BG$3,Conversions!$B$12:$E$34,4,0),$H46*VLOOKUP($F46,Lists!$C$72:$R$232,COLUMNS(Lists!$C$69:G$69),0)*VLOOKUP(BG$3,Conversions!$B$12:$E$34,4,0)))</f>
        <v>0</v>
      </c>
      <c r="AD46" s="334">
        <f>IF($F46="",0,IF($F46="Weighted Average",$H46*VLOOKUP($D46&amp;" (Operation)",Lists!$C$72:$R$232,COLUMNS(Lists!$C$69:H$69),0)*VLOOKUP(BH$3,Conversions!$B$12:$E$34,4,0),$H46*VLOOKUP($F46,Lists!$C$72:$R$232,COLUMNS(Lists!$C$69:H$69),0)*VLOOKUP(BH$3,Conversions!$B$12:$E$34,4,0)))</f>
        <v>0</v>
      </c>
      <c r="AE46" s="334">
        <f>IF($F46="",0,IF($F46="Weighted Average",$H46*VLOOKUP($D46&amp;" (Operation)",Lists!$C$72:$R$232,COLUMNS(Lists!$C$69:I$69),0)*VLOOKUP(BI$3,Conversions!$B$12:$E$34,4,0),$H46*VLOOKUP($F46,Lists!$C$72:$R$232,COLUMNS(Lists!$C$69:I$69),0)*VLOOKUP(BI$3,Conversions!$B$12:$E$34,4,0)))</f>
        <v>0</v>
      </c>
      <c r="AF46" s="334">
        <f>IF($F46="",0,IF($F46="Weighted Average",$H46*VLOOKUP($D46&amp;" (Operation)",Lists!$C$72:$R$232,COLUMNS(Lists!$C$69:J$69),0)*VLOOKUP(BJ$3,Conversions!$B$12:$E$34,4,0),$H46*VLOOKUP($F46,Lists!$C$72:$R$232,COLUMNS(Lists!$C$69:J$69),0)*VLOOKUP(BJ$3,Conversions!$B$12:$E$34,4,0)))</f>
        <v>0</v>
      </c>
      <c r="AG46" s="334">
        <f>IF($F46="",0,IF($F46="Weighted Average",$H46*VLOOKUP($D46&amp;" (Operation)",Lists!$C$72:$R$232,COLUMNS(Lists!$C$69:K$69),0)*VLOOKUP(BK$3,Conversions!$B$12:$E$34,4,0),$H46*VLOOKUP($F46,Lists!$C$72:$R$232,COLUMNS(Lists!$C$69:K$69),0)*VLOOKUP(BK$3,Conversions!$B$12:$E$34,4,0)))</f>
        <v>0</v>
      </c>
      <c r="AH46" s="334">
        <f>IF($F46="",0,IF($F46="Weighted Average",$H46*VLOOKUP($D46&amp;" (Operation)",Lists!$C$72:$R$232,COLUMNS(Lists!$C$69:L$69),0)*VLOOKUP(BL$3,Conversions!$B$12:$E$34,4,0),$H46*VLOOKUP($F46,Lists!$C$72:$R$232,COLUMNS(Lists!$C$69:L$69),0)*VLOOKUP(BL$3,Conversions!$B$12:$E$34,4,0)))</f>
        <v>0</v>
      </c>
      <c r="AI46" s="334">
        <f>IF($F46="",0,IF($F46="Weighted Average",$H46*VLOOKUP($D46&amp;" (Operation)",Lists!$C$72:$R$232,COLUMNS(Lists!$C$69:M$69),0)*VLOOKUP(BM$3,Conversions!$B$12:$E$34,4,0),$H46*VLOOKUP($F46,Lists!$C$72:$R$232,COLUMNS(Lists!$C$69:M$69),0)*VLOOKUP(BM$3,Conversions!$B$12:$E$34,4,0)))</f>
        <v>0</v>
      </c>
      <c r="AJ46" s="334">
        <f>IF($F46="",0,IF($F46="Weighted Average",$H46*VLOOKUP($D46&amp;" (Operation)",Lists!$C$72:$R$232,COLUMNS(Lists!$C$69:N$69),0)*VLOOKUP(BN$3,Conversions!$B$12:$E$34,4,0),$H46*VLOOKUP($F46,Lists!$C$72:$R$232,COLUMNS(Lists!$C$69:N$69),0)*VLOOKUP(BN$3,Conversions!$B$12:$E$34,4,0)))</f>
        <v>0</v>
      </c>
      <c r="AK46" s="334">
        <f>IF($F46="",0,IF($F46="Weighted Average",$H46*VLOOKUP($D46&amp;" (Operation)",Lists!$C$72:$R$232,COLUMNS(Lists!$C$69:O$69),0)*VLOOKUP(BO$3,Conversions!$B$12:$E$34,4,0),$H46*VLOOKUP($F46,Lists!$C$72:$R$232,COLUMNS(Lists!$C$69:O$69),0)*VLOOKUP(BO$3,Conversions!$B$12:$E$34,4,0)))</f>
        <v>0</v>
      </c>
      <c r="AL46" s="334">
        <f>IF($F46="",0,IF($F46="Weighted Average",$H46*VLOOKUP($D46&amp;" (Operation)",Lists!$C$72:$R$232,COLUMNS(Lists!$C$69:P$69),0)*VLOOKUP(BP$3,Conversions!$B$12:$E$34,4,0),$H46*VLOOKUP($F46,Lists!$C$72:$R$232,COLUMNS(Lists!$C$69:P$69),0)*VLOOKUP(BP$3,Conversions!$B$12:$E$34,4,0)))</f>
        <v>0</v>
      </c>
      <c r="AM46" s="334">
        <f>IF($F46="",0,IF($F46="Weighted Average",$H46*VLOOKUP($D46&amp;" (Operation)",Lists!$C$72:$R$232,COLUMNS(Lists!$C$69:Q$69),0)*VLOOKUP(BQ$3,Conversions!$B$12:$E$34,4,0),$H46*VLOOKUP($F46,Lists!$C$72:$R$232,COLUMNS(Lists!$C$69:Q$69),0)*VLOOKUP(BQ$3,Conversions!$B$12:$E$34,4,0)))</f>
        <v>0</v>
      </c>
      <c r="AN46" s="334">
        <f>IF($F46="",0,IF($F46="Weighted Average",$H46*VLOOKUP($D46&amp;" (Operation)",Lists!$C$72:$R$232,COLUMNS(Lists!$C$69:R$69),0)*VLOOKUP(BR$3,Conversions!$B$12:$E$34,4,0),$H46*VLOOKUP($F46,Lists!$C$72:$R$232,COLUMNS(Lists!$C$69:R$69),0)*VLOOKUP(BR$3,Conversions!$B$12:$E$34,4,0)))</f>
        <v>0</v>
      </c>
      <c r="AO46" s="330">
        <f t="shared" si="39"/>
        <v>0</v>
      </c>
      <c r="AP46" s="333">
        <f>IF($F46="",0,IF($F46="Weighted Average",$I46*VLOOKUP($D46&amp;" (Disposal)",Lists!$C$72:$R$232,COLUMNS(Lists!$C$69:E$69),0)*VLOOKUP(BE$3,Conversions!$B$12:$E$34,4,0),$I46*VLOOKUP($F46,Lists!$C$72:$R$232,COLUMNS(Lists!$C$69:E$69),0)*VLOOKUP(BE$3,Conversions!$B$12:$E$34,4,0)))</f>
        <v>0</v>
      </c>
      <c r="AQ46" s="333">
        <f>IF($F46="",0,IF($F46="Weighted Average",$I46*VLOOKUP($D46&amp;" (Disposal)",Lists!$C$72:$R$232,COLUMNS(Lists!$C$69:F$69),0)*VLOOKUP(BF$3,Conversions!$B$12:$E$34,4,0),$I46*VLOOKUP($F46,Lists!$C$72:$R$232,COLUMNS(Lists!$C$69:F$69),0)*VLOOKUP(BF$3,Conversions!$B$12:$E$34,4,0)))</f>
        <v>0</v>
      </c>
      <c r="AR46" s="333">
        <f>IF($F46="",0,IF($F46="Weighted Average",$I46*VLOOKUP($D46&amp;" (Disposal)",Lists!$C$72:$R$232,COLUMNS(Lists!$C$69:G$69),0)*VLOOKUP(BG$3,Conversions!$B$12:$E$34,4,0),$I46*VLOOKUP($F46,Lists!$C$72:$R$232,COLUMNS(Lists!$C$69:G$69),0)*VLOOKUP(BG$3,Conversions!$B$12:$E$34,4,0)))</f>
        <v>0</v>
      </c>
      <c r="AS46" s="333">
        <f>IF($F46="",0,IF($F46="Weighted Average",$I46*VLOOKUP($D46&amp;" (Disposal)",Lists!$C$72:$R$232,COLUMNS(Lists!$C$69:H$69),0)*VLOOKUP(BH$3,Conversions!$B$12:$E$34,4,0),$I46*VLOOKUP($F46,Lists!$C$72:$R$232,COLUMNS(Lists!$C$69:H$69),0)*VLOOKUP(BH$3,Conversions!$B$12:$E$34,4,0)))</f>
        <v>0</v>
      </c>
      <c r="AT46" s="333">
        <f>IF($F46="",0,IF($F46="Weighted Average",$I46*VLOOKUP($D46&amp;" (Disposal)",Lists!$C$72:$R$232,COLUMNS(Lists!$C$69:I$69),0)*VLOOKUP(BI$3,Conversions!$B$12:$E$34,4,0),$I46*VLOOKUP($F46,Lists!$C$72:$R$232,COLUMNS(Lists!$C$69:I$69),0)*VLOOKUP(BI$3,Conversions!$B$12:$E$34,4,0)))</f>
        <v>0</v>
      </c>
      <c r="AU46" s="333">
        <f>IF($F46="",0,IF($F46="Weighted Average",$I46*VLOOKUP($D46&amp;" (Disposal)",Lists!$C$72:$R$232,COLUMNS(Lists!$C$69:J$69),0)*VLOOKUP(BJ$3,Conversions!$B$12:$E$34,4,0),$I46*VLOOKUP($F46,Lists!$C$72:$R$232,COLUMNS(Lists!$C$69:J$69),0)*VLOOKUP(BJ$3,Conversions!$B$12:$E$34,4,0)))</f>
        <v>0</v>
      </c>
      <c r="AV46" s="333">
        <f>IF($F46="",0,IF($F46="Weighted Average",$I46*VLOOKUP($D46&amp;" (Disposal)",Lists!$C$72:$R$232,COLUMNS(Lists!$C$69:K$69),0)*VLOOKUP(BK$3,Conversions!$B$12:$E$34,4,0),$I46*VLOOKUP($F46,Lists!$C$72:$R$232,COLUMNS(Lists!$C$69:K$69),0)*VLOOKUP(BK$3,Conversions!$B$12:$E$34,4,0)))</f>
        <v>0</v>
      </c>
      <c r="AW46" s="333">
        <f>IF($F46="",0,IF($F46="Weighted Average",$I46*VLOOKUP($D46&amp;" (Disposal)",Lists!$C$72:$R$232,COLUMNS(Lists!$C$69:L$69),0)*VLOOKUP(BL$3,Conversions!$B$12:$E$34,4,0),$I46*VLOOKUP($F46,Lists!$C$72:$R$232,COLUMNS(Lists!$C$69:L$69),0)*VLOOKUP(BL$3,Conversions!$B$12:$E$34,4,0)))</f>
        <v>0</v>
      </c>
      <c r="AX46" s="333">
        <f>IF($F46="",0,IF($F46="Weighted Average",$I46*VLOOKUP($D46&amp;" (Disposal)",Lists!$C$72:$R$232,COLUMNS(Lists!$C$69:M$69),0)*VLOOKUP(BM$3,Conversions!$B$12:$E$34,4,0),$I46*VLOOKUP($F46,Lists!$C$72:$R$232,COLUMNS(Lists!$C$69:M$69),0)*VLOOKUP(BM$3,Conversions!$B$12:$E$34,4,0)))</f>
        <v>0</v>
      </c>
      <c r="AY46" s="333">
        <f>IF($F46="",0,IF($F46="Weighted Average",$I46*VLOOKUP($D46&amp;" (Disposal)",Lists!$C$72:$R$232,COLUMNS(Lists!$C$69:N$69),0)*VLOOKUP(BN$3,Conversions!$B$12:$E$34,4,0),$I46*VLOOKUP($F46,Lists!$C$72:$R$232,COLUMNS(Lists!$C$69:N$69),0)*VLOOKUP(BN$3,Conversions!$B$12:$E$34,4,0)))</f>
        <v>0</v>
      </c>
      <c r="AZ46" s="333">
        <f>IF($F46="",0,IF($F46="Weighted Average",$I46*VLOOKUP($D46&amp;" (Disposal)",Lists!$C$72:$R$232,COLUMNS(Lists!$C$69:O$69),0)*VLOOKUP(BO$3,Conversions!$B$12:$E$34,4,0),$I46*VLOOKUP($F46,Lists!$C$72:$R$232,COLUMNS(Lists!$C$69:O$69),0)*VLOOKUP(BO$3,Conversions!$B$12:$E$34,4,0)))</f>
        <v>0</v>
      </c>
      <c r="BA46" s="333">
        <f>IF($F46="",0,IF($F46="Weighted Average",$I46*VLOOKUP($D46&amp;" (Disposal)",Lists!$C$72:$R$232,COLUMNS(Lists!$C$69:P$69),0)*VLOOKUP(BP$3,Conversions!$B$12:$E$34,4,0),$I46*VLOOKUP($F46,Lists!$C$72:$R$232,COLUMNS(Lists!$C$69:P$69),0)*VLOOKUP(BP$3,Conversions!$B$12:$E$34,4,0)))</f>
        <v>0</v>
      </c>
      <c r="BB46" s="333">
        <f>IF($F46="",0,IF($F46="Weighted Average",$I46*VLOOKUP($D46&amp;" (Disposal)",Lists!$C$72:$R$232,COLUMNS(Lists!$C$69:Q$69),0)*VLOOKUP(BQ$3,Conversions!$B$12:$E$34,4,0),$I46*VLOOKUP($F46,Lists!$C$72:$R$232,COLUMNS(Lists!$C$69:Q$69),0)*VLOOKUP(BQ$3,Conversions!$B$12:$E$34,4,0)))</f>
        <v>0</v>
      </c>
      <c r="BC46" s="333">
        <f>IF($F46="",0,IF($F46="Weighted Average",$I46*VLOOKUP($D46&amp;" (Disposal)",Lists!$C$72:$R$232,COLUMNS(Lists!$C$69:R$69),0)*VLOOKUP(BR$3,Conversions!$B$12:$E$34,4,0),$I46*VLOOKUP($F46,Lists!$C$72:$R$232,COLUMNS(Lists!$C$69:R$69),0)*VLOOKUP(BR$3,Conversions!$B$12:$E$34,4,0)))</f>
        <v>0</v>
      </c>
      <c r="BD46" s="333">
        <f t="shared" si="40"/>
        <v>0</v>
      </c>
      <c r="BE46" s="330">
        <f t="shared" si="41"/>
        <v>0</v>
      </c>
      <c r="BF46" s="330">
        <f t="shared" si="42"/>
        <v>0</v>
      </c>
      <c r="BG46" s="330">
        <f t="shared" si="43"/>
        <v>0</v>
      </c>
      <c r="BH46" s="330">
        <f t="shared" si="44"/>
        <v>0</v>
      </c>
      <c r="BI46" s="330">
        <f t="shared" si="45"/>
        <v>0</v>
      </c>
      <c r="BJ46" s="330">
        <f t="shared" si="46"/>
        <v>0</v>
      </c>
      <c r="BK46" s="330">
        <f t="shared" si="47"/>
        <v>0</v>
      </c>
      <c r="BL46" s="330">
        <f t="shared" si="48"/>
        <v>0</v>
      </c>
      <c r="BM46" s="330">
        <f t="shared" si="49"/>
        <v>0</v>
      </c>
      <c r="BN46" s="330">
        <f t="shared" si="50"/>
        <v>0</v>
      </c>
      <c r="BO46" s="330">
        <f t="shared" si="51"/>
        <v>0</v>
      </c>
      <c r="BP46" s="330">
        <f t="shared" si="52"/>
        <v>0</v>
      </c>
      <c r="BQ46" s="330">
        <f t="shared" si="53"/>
        <v>0</v>
      </c>
      <c r="BR46" s="330">
        <f t="shared" si="54"/>
        <v>0</v>
      </c>
      <c r="BS46" s="330">
        <f t="shared" si="55"/>
        <v>0</v>
      </c>
      <c r="BT46" s="329">
        <f t="shared" si="56"/>
        <v>0</v>
      </c>
      <c r="BU46" s="329">
        <f t="shared" si="56"/>
        <v>0</v>
      </c>
      <c r="BV46" s="329">
        <f t="shared" si="56"/>
        <v>0</v>
      </c>
      <c r="BW46" s="329">
        <f t="shared" si="56"/>
        <v>0</v>
      </c>
      <c r="BX46" s="329">
        <f t="shared" si="56"/>
        <v>0</v>
      </c>
      <c r="BY46" s="329">
        <f t="shared" si="56"/>
        <v>0</v>
      </c>
      <c r="BZ46" s="329">
        <f t="shared" si="56"/>
        <v>0</v>
      </c>
      <c r="CA46" s="329">
        <f t="shared" si="56"/>
        <v>0</v>
      </c>
      <c r="CB46" s="329">
        <f t="shared" si="56"/>
        <v>0</v>
      </c>
      <c r="CC46" s="329">
        <f t="shared" si="56"/>
        <v>0</v>
      </c>
      <c r="CD46" s="329">
        <f t="shared" si="56"/>
        <v>0</v>
      </c>
      <c r="CE46" s="329">
        <f t="shared" si="56"/>
        <v>0</v>
      </c>
      <c r="CF46" s="329">
        <f t="shared" si="56"/>
        <v>0</v>
      </c>
      <c r="CG46" s="329">
        <f t="shared" si="56"/>
        <v>0</v>
      </c>
      <c r="CH46" s="329">
        <f t="shared" si="56"/>
        <v>0</v>
      </c>
      <c r="CI46" s="329">
        <f t="shared" si="56"/>
        <v>0</v>
      </c>
      <c r="CJ46" s="331">
        <f t="shared" si="1"/>
        <v>0</v>
      </c>
      <c r="CK46" s="330">
        <f t="shared" si="5"/>
        <v>0</v>
      </c>
      <c r="CL46" s="330">
        <f t="shared" si="6"/>
        <v>0</v>
      </c>
      <c r="CM46" s="330">
        <f t="shared" si="7"/>
        <v>0</v>
      </c>
      <c r="CN46" s="330">
        <f t="shared" si="8"/>
        <v>0</v>
      </c>
      <c r="CO46" s="330">
        <f t="shared" si="9"/>
        <v>0</v>
      </c>
      <c r="CP46" s="330">
        <f t="shared" si="10"/>
        <v>0</v>
      </c>
      <c r="CQ46" s="330">
        <f t="shared" si="11"/>
        <v>0</v>
      </c>
      <c r="CR46" s="330">
        <f t="shared" si="12"/>
        <v>0</v>
      </c>
      <c r="CS46" s="330">
        <f t="shared" si="13"/>
        <v>0</v>
      </c>
      <c r="CT46" s="330">
        <f t="shared" si="14"/>
        <v>0</v>
      </c>
      <c r="CU46" s="330">
        <f t="shared" si="57"/>
        <v>0</v>
      </c>
      <c r="CV46" s="330">
        <f t="shared" si="57"/>
        <v>0</v>
      </c>
      <c r="CW46" s="330">
        <f t="shared" si="57"/>
        <v>0</v>
      </c>
      <c r="CX46" s="330">
        <f t="shared" si="57"/>
        <v>0</v>
      </c>
      <c r="CY46" s="330">
        <f t="shared" si="57"/>
        <v>0</v>
      </c>
      <c r="CZ46" s="330">
        <f t="shared" si="57"/>
        <v>0</v>
      </c>
      <c r="DA46" s="330">
        <f t="shared" si="57"/>
        <v>0</v>
      </c>
      <c r="DB46" s="330">
        <f t="shared" si="57"/>
        <v>0</v>
      </c>
      <c r="DC46" s="330">
        <f t="shared" si="57"/>
        <v>0</v>
      </c>
      <c r="DD46" s="330">
        <f t="shared" si="57"/>
        <v>0</v>
      </c>
      <c r="DE46" s="330">
        <f t="shared" si="58"/>
        <v>0</v>
      </c>
      <c r="DF46" s="330">
        <f t="shared" si="58"/>
        <v>0</v>
      </c>
      <c r="DG46" s="330">
        <f t="shared" si="58"/>
        <v>0</v>
      </c>
      <c r="DH46" s="330">
        <f t="shared" si="58"/>
        <v>0</v>
      </c>
      <c r="DI46" s="330">
        <f t="shared" si="58"/>
        <v>0</v>
      </c>
      <c r="DJ46" s="330">
        <f t="shared" si="58"/>
        <v>0</v>
      </c>
      <c r="DK46" s="330">
        <f t="shared" si="58"/>
        <v>0</v>
      </c>
      <c r="DL46" s="330">
        <f t="shared" si="58"/>
        <v>0</v>
      </c>
      <c r="DM46" s="330">
        <f t="shared" si="58"/>
        <v>0</v>
      </c>
      <c r="DN46" s="330">
        <f t="shared" si="58"/>
        <v>0</v>
      </c>
      <c r="DO46" s="330">
        <f t="shared" si="58"/>
        <v>0</v>
      </c>
      <c r="DP46" s="330">
        <f t="shared" si="37"/>
        <v>0</v>
      </c>
      <c r="DQ46" s="217"/>
      <c r="DR46" s="217"/>
      <c r="DS46" s="217"/>
      <c r="DT46" s="217"/>
    </row>
    <row r="47" spans="1:124" x14ac:dyDescent="0.3">
      <c r="A47" s="332"/>
      <c r="B47" s="221" t="s">
        <v>304</v>
      </c>
      <c r="C47" s="221" t="str">
        <f>IF('Simplified Material Balance'!C17=0,"",'Simplified Material Balance'!C17)</f>
        <v/>
      </c>
      <c r="D47" s="221" t="str">
        <f>IF('Simplified Material Balance'!D17=0,"",'Simplified Material Balance'!D17)</f>
        <v/>
      </c>
      <c r="E47" s="221" t="str">
        <f>IF('Simplified Material Balance'!E17=0,"",'Simplified Material Balance'!E17)</f>
        <v/>
      </c>
      <c r="F47" s="221" t="str">
        <f>IF('Simplified Material Balance'!F17=0,"",'Simplified Material Balance'!F17)</f>
        <v/>
      </c>
      <c r="G47" s="272">
        <f>IF('Simplified Material Balance'!H17&gt;'Simplified Material Balance'!G17,0,('Simplified Material Balance'!G17-'Simplified Material Balance'!H17)*Conversions!$C$4)</f>
        <v>0</v>
      </c>
      <c r="H47" s="272">
        <f>'Simplified Material Balance'!I17*Conversions!$C$4</f>
        <v>0</v>
      </c>
      <c r="I47" s="272">
        <f>('Simplified Material Balance'!J17-'Simplified Material Balance'!K17)*Conversions!$C$4</f>
        <v>0</v>
      </c>
      <c r="J47" s="325">
        <f>IF('Simplified Material Balance'!L17=0,0,'Simplified Material Balance'!L17)</f>
        <v>0</v>
      </c>
      <c r="K47" s="465"/>
      <c r="L47" s="333">
        <f>IF($F47="",0,IF($F47="Weighted Average",$G47*VLOOKUP($D47&amp;" (Install)",Lists!$C$72:$R$232,COLUMNS(Lists!$C$69:E$69),0)*VLOOKUP(BE$3,Conversions!$B$12:$E$34,4,0),$G47*VLOOKUP($F47,Lists!$C$72:$R$232,COLUMNS(Lists!$C$69:E$69),0)*VLOOKUP(BE$3,Conversions!$B$12:$E$34,4,0)))</f>
        <v>0</v>
      </c>
      <c r="M47" s="333">
        <f>IF($F47="",0,IF($F47="Weighted Average",$G47*VLOOKUP($D47&amp;" (Install)",Lists!$C$72:$R$232,COLUMNS(Lists!$C$69:F$69),0)*VLOOKUP(BF$3,Conversions!$B$12:$E$34,4,0),$G47*VLOOKUP($F47,Lists!$C$72:$R$232,COLUMNS(Lists!$C$69:F$69),0)*VLOOKUP(BF$3,Conversions!$B$12:$E$34,4,0)))</f>
        <v>0</v>
      </c>
      <c r="N47" s="333">
        <f>IF($F47="",0,IF($F47="Weighted Average",$G47*VLOOKUP($D47&amp;" (Install)",Lists!$C$72:$R$232,COLUMNS(Lists!$C$69:G$69),0)*VLOOKUP(BG$3,Conversions!$B$12:$E$34,4,0),$G47*VLOOKUP($F47,Lists!$C$72:$R$232,COLUMNS(Lists!$C$69:G$69),0)*VLOOKUP(BG$3,Conversions!$B$12:$E$34,4,0)))</f>
        <v>0</v>
      </c>
      <c r="O47" s="333">
        <f>IF($F47="",0,IF($F47="Weighted Average",$G47*VLOOKUP($D47&amp;" (Install)",Lists!$C$72:$R$232,COLUMNS(Lists!$C$69:H$69),0)*VLOOKUP(BH$3,Conversions!$B$12:$E$34,4,0),$G47*VLOOKUP($F47,Lists!$C$72:$R$232,COLUMNS(Lists!$C$69:H$69),0)*VLOOKUP(BH$3,Conversions!$B$12:$E$34,4,0)))</f>
        <v>0</v>
      </c>
      <c r="P47" s="333">
        <f>IF($F47="",0,IF($F47="Weighted Average",$G47*VLOOKUP($D47&amp;" (Install)",Lists!$C$72:$R$232,COLUMNS(Lists!$C$69:I$69),0)*VLOOKUP(BI$3,Conversions!$B$12:$E$34,4,0),$G47*VLOOKUP($F47,Lists!$C$72:$R$232,COLUMNS(Lists!$C$69:I$69),0)*VLOOKUP(BI$3,Conversions!$B$12:$E$34,4,0)))</f>
        <v>0</v>
      </c>
      <c r="Q47" s="333">
        <f>IF($F47="",0,IF($F47="Weighted Average",$G47*VLOOKUP($D47&amp;" (Install)",Lists!$C$72:$R$232,COLUMNS(Lists!$C$69:J$69),0)*VLOOKUP(BJ$3,Conversions!$B$12:$E$34,4,0),$G47*VLOOKUP($F47,Lists!$C$72:$R$232,COLUMNS(Lists!$C$69:J$69),0)*VLOOKUP(BJ$3,Conversions!$B$12:$E$34,4,0)))</f>
        <v>0</v>
      </c>
      <c r="R47" s="333">
        <f>IF($F47="",0,IF($F47="Weighted Average",$G47*VLOOKUP($D47&amp;" (Install)",Lists!$C$72:$R$232,COLUMNS(Lists!$C$69:K$69),0)*VLOOKUP(BK$3,Conversions!$B$12:$E$34,4,0),$G47*VLOOKUP($F47,Lists!$C$72:$R$232,COLUMNS(Lists!$C$69:K$69),0)*VLOOKUP(BK$3,Conversions!$B$12:$E$34,4,0)))</f>
        <v>0</v>
      </c>
      <c r="S47" s="333">
        <f>IF($F47="",0,IF($F47="Weighted Average",$G47*VLOOKUP($D47&amp;" (Install)",Lists!$C$72:$R$232,COLUMNS(Lists!$C$69:L$69),0)*VLOOKUP(BL$3,Conversions!$B$12:$E$34,4,0),$G47*VLOOKUP($F47,Lists!$C$72:$R$232,COLUMNS(Lists!$C$69:L$69),0)*VLOOKUP(BL$3,Conversions!$B$12:$E$34,4,0)))</f>
        <v>0</v>
      </c>
      <c r="T47" s="333">
        <f>IF($F47="",0,IF($F47="Weighted Average",$G47*VLOOKUP($D47&amp;" (Install)",Lists!$C$72:$R$232,COLUMNS(Lists!$C$69:M$69),0)*VLOOKUP(BM$3,Conversions!$B$12:$E$34,4,0),$G47*VLOOKUP($F47,Lists!$C$72:$R$232,COLUMNS(Lists!$C$69:M$69),0)*VLOOKUP(BM$3,Conversions!$B$12:$E$34,4,0)))</f>
        <v>0</v>
      </c>
      <c r="U47" s="333">
        <f>IF($F47="",0,IF($F47="Weighted Average",$G47*VLOOKUP($D47&amp;" (Install)",Lists!$C$72:$R$232,COLUMNS(Lists!$C$69:N$69),0)*VLOOKUP(BN$3,Conversions!$B$12:$E$34,4,0),$G47*VLOOKUP($F47,Lists!$C$72:$R$232,COLUMNS(Lists!$C$69:N$69),0)*VLOOKUP(BN$3,Conversions!$B$12:$E$34,4,0)))</f>
        <v>0</v>
      </c>
      <c r="V47" s="333">
        <f>IF($F47="",0,IF($F47="Weighted Average",$G47*VLOOKUP($D47&amp;" (Install)",Lists!$C$72:$R$232,COLUMNS(Lists!$C$69:O$69),0)*VLOOKUP(BO$3,Conversions!$B$12:$E$34,4,0),$G47*VLOOKUP($F47,Lists!$C$72:$R$232,COLUMNS(Lists!$C$69:O$69),0)*VLOOKUP(BO$3,Conversions!$B$12:$E$34,4,0)))</f>
        <v>0</v>
      </c>
      <c r="W47" s="333">
        <f>IF($F47="",0,IF($F47="Weighted Average",$G47*VLOOKUP($D47&amp;" (Install)",Lists!$C$72:$R$232,COLUMNS(Lists!$C$69:P$69),0)*VLOOKUP(BP$3,Conversions!$B$12:$E$34,4,0),$G47*VLOOKUP($F47,Lists!$C$72:$R$232,COLUMNS(Lists!$C$69:P$69),0)*VLOOKUP(BP$3,Conversions!$B$12:$E$34,4,0)))</f>
        <v>0</v>
      </c>
      <c r="X47" s="333">
        <f>IF($F47="",0,IF($F47="Weighted Average",$G47*VLOOKUP($D47&amp;" (Install)",Lists!$C$72:$R$232,COLUMNS(Lists!$C$69:Q$69),0)*VLOOKUP(BQ$3,Conversions!$B$12:$E$34,4,0),$G47*VLOOKUP($F47,Lists!$C$72:$R$232,COLUMNS(Lists!$C$69:Q$69),0)*VLOOKUP(BQ$3,Conversions!$B$12:$E$34,4,0)))</f>
        <v>0</v>
      </c>
      <c r="Y47" s="333">
        <f>IF($F47="",0,IF($F47="Weighted Average",$G47*VLOOKUP($D47&amp;" (Install)",Lists!$C$72:$R$232,COLUMNS(Lists!$C$69:R$69),0)*VLOOKUP(BR$3,Conversions!$B$12:$E$34,4,0),$G47*VLOOKUP($F47,Lists!$C$72:$R$232,COLUMNS(Lists!$C$69:R$69),0)*VLOOKUP(BR$3,Conversions!$B$12:$E$34,4,0)))</f>
        <v>0</v>
      </c>
      <c r="Z47" s="325">
        <f t="shared" si="38"/>
        <v>0</v>
      </c>
      <c r="AA47" s="334">
        <f>IF($F47="",0,IF($F47="Weighted Average",$H47*VLOOKUP($D47&amp;" (Operation)",Lists!$C$72:$R$232,COLUMNS(Lists!$C$69:E$69),0)*VLOOKUP(BE$3,Conversions!$B$12:$E$34,4,0),$H47*VLOOKUP($F47,Lists!$C$72:$R$232,COLUMNS(Lists!$C$69:E$69),0)*VLOOKUP(BE$3,Conversions!$B$12:$E$34,4,0)))</f>
        <v>0</v>
      </c>
      <c r="AB47" s="334">
        <f>IF($F47="",0,IF($F47="Weighted Average",$H47*VLOOKUP($D47&amp;" (Operation)",Lists!$C$72:$R$232,COLUMNS(Lists!$C$69:F$69),0)*VLOOKUP(BF$3,Conversions!$B$12:$E$34,4,0),$H47*VLOOKUP($F47,Lists!$C$72:$R$232,COLUMNS(Lists!$C$69:F$69),0)*VLOOKUP(BF$3,Conversions!$B$12:$E$34,4,0)))</f>
        <v>0</v>
      </c>
      <c r="AC47" s="334">
        <f>IF($F47="",0,IF($F47="Weighted Average",$H47*VLOOKUP($D47&amp;" (Operation)",Lists!$C$72:$R$232,COLUMNS(Lists!$C$69:G$69),0)*VLOOKUP(BG$3,Conversions!$B$12:$E$34,4,0),$H47*VLOOKUP($F47,Lists!$C$72:$R$232,COLUMNS(Lists!$C$69:G$69),0)*VLOOKUP(BG$3,Conversions!$B$12:$E$34,4,0)))</f>
        <v>0</v>
      </c>
      <c r="AD47" s="334">
        <f>IF($F47="",0,IF($F47="Weighted Average",$H47*VLOOKUP($D47&amp;" (Operation)",Lists!$C$72:$R$232,COLUMNS(Lists!$C$69:H$69),0)*VLOOKUP(BH$3,Conversions!$B$12:$E$34,4,0),$H47*VLOOKUP($F47,Lists!$C$72:$R$232,COLUMNS(Lists!$C$69:H$69),0)*VLOOKUP(BH$3,Conversions!$B$12:$E$34,4,0)))</f>
        <v>0</v>
      </c>
      <c r="AE47" s="334">
        <f>IF($F47="",0,IF($F47="Weighted Average",$H47*VLOOKUP($D47&amp;" (Operation)",Lists!$C$72:$R$232,COLUMNS(Lists!$C$69:I$69),0)*VLOOKUP(BI$3,Conversions!$B$12:$E$34,4,0),$H47*VLOOKUP($F47,Lists!$C$72:$R$232,COLUMNS(Lists!$C$69:I$69),0)*VLOOKUP(BI$3,Conversions!$B$12:$E$34,4,0)))</f>
        <v>0</v>
      </c>
      <c r="AF47" s="334">
        <f>IF($F47="",0,IF($F47="Weighted Average",$H47*VLOOKUP($D47&amp;" (Operation)",Lists!$C$72:$R$232,COLUMNS(Lists!$C$69:J$69),0)*VLOOKUP(BJ$3,Conversions!$B$12:$E$34,4,0),$H47*VLOOKUP($F47,Lists!$C$72:$R$232,COLUMNS(Lists!$C$69:J$69),0)*VLOOKUP(BJ$3,Conversions!$B$12:$E$34,4,0)))</f>
        <v>0</v>
      </c>
      <c r="AG47" s="334">
        <f>IF($F47="",0,IF($F47="Weighted Average",$H47*VLOOKUP($D47&amp;" (Operation)",Lists!$C$72:$R$232,COLUMNS(Lists!$C$69:K$69),0)*VLOOKUP(BK$3,Conversions!$B$12:$E$34,4,0),$H47*VLOOKUP($F47,Lists!$C$72:$R$232,COLUMNS(Lists!$C$69:K$69),0)*VLOOKUP(BK$3,Conversions!$B$12:$E$34,4,0)))</f>
        <v>0</v>
      </c>
      <c r="AH47" s="334">
        <f>IF($F47="",0,IF($F47="Weighted Average",$H47*VLOOKUP($D47&amp;" (Operation)",Lists!$C$72:$R$232,COLUMNS(Lists!$C$69:L$69),0)*VLOOKUP(BL$3,Conversions!$B$12:$E$34,4,0),$H47*VLOOKUP($F47,Lists!$C$72:$R$232,COLUMNS(Lists!$C$69:L$69),0)*VLOOKUP(BL$3,Conversions!$B$12:$E$34,4,0)))</f>
        <v>0</v>
      </c>
      <c r="AI47" s="334">
        <f>IF($F47="",0,IF($F47="Weighted Average",$H47*VLOOKUP($D47&amp;" (Operation)",Lists!$C$72:$R$232,COLUMNS(Lists!$C$69:M$69),0)*VLOOKUP(BM$3,Conversions!$B$12:$E$34,4,0),$H47*VLOOKUP($F47,Lists!$C$72:$R$232,COLUMNS(Lists!$C$69:M$69),0)*VLOOKUP(BM$3,Conversions!$B$12:$E$34,4,0)))</f>
        <v>0</v>
      </c>
      <c r="AJ47" s="334">
        <f>IF($F47="",0,IF($F47="Weighted Average",$H47*VLOOKUP($D47&amp;" (Operation)",Lists!$C$72:$R$232,COLUMNS(Lists!$C$69:N$69),0)*VLOOKUP(BN$3,Conversions!$B$12:$E$34,4,0),$H47*VLOOKUP($F47,Lists!$C$72:$R$232,COLUMNS(Lists!$C$69:N$69),0)*VLOOKUP(BN$3,Conversions!$B$12:$E$34,4,0)))</f>
        <v>0</v>
      </c>
      <c r="AK47" s="334">
        <f>IF($F47="",0,IF($F47="Weighted Average",$H47*VLOOKUP($D47&amp;" (Operation)",Lists!$C$72:$R$232,COLUMNS(Lists!$C$69:O$69),0)*VLOOKUP(BO$3,Conversions!$B$12:$E$34,4,0),$H47*VLOOKUP($F47,Lists!$C$72:$R$232,COLUMNS(Lists!$C$69:O$69),0)*VLOOKUP(BO$3,Conversions!$B$12:$E$34,4,0)))</f>
        <v>0</v>
      </c>
      <c r="AL47" s="334">
        <f>IF($F47="",0,IF($F47="Weighted Average",$H47*VLOOKUP($D47&amp;" (Operation)",Lists!$C$72:$R$232,COLUMNS(Lists!$C$69:P$69),0)*VLOOKUP(BP$3,Conversions!$B$12:$E$34,4,0),$H47*VLOOKUP($F47,Lists!$C$72:$R$232,COLUMNS(Lists!$C$69:P$69),0)*VLOOKUP(BP$3,Conversions!$B$12:$E$34,4,0)))</f>
        <v>0</v>
      </c>
      <c r="AM47" s="334">
        <f>IF($F47="",0,IF($F47="Weighted Average",$H47*VLOOKUP($D47&amp;" (Operation)",Lists!$C$72:$R$232,COLUMNS(Lists!$C$69:Q$69),0)*VLOOKUP(BQ$3,Conversions!$B$12:$E$34,4,0),$H47*VLOOKUP($F47,Lists!$C$72:$R$232,COLUMNS(Lists!$C$69:Q$69),0)*VLOOKUP(BQ$3,Conversions!$B$12:$E$34,4,0)))</f>
        <v>0</v>
      </c>
      <c r="AN47" s="334">
        <f>IF($F47="",0,IF($F47="Weighted Average",$H47*VLOOKUP($D47&amp;" (Operation)",Lists!$C$72:$R$232,COLUMNS(Lists!$C$69:R$69),0)*VLOOKUP(BR$3,Conversions!$B$12:$E$34,4,0),$H47*VLOOKUP($F47,Lists!$C$72:$R$232,COLUMNS(Lists!$C$69:R$69),0)*VLOOKUP(BR$3,Conversions!$B$12:$E$34,4,0)))</f>
        <v>0</v>
      </c>
      <c r="AO47" s="330">
        <f t="shared" si="39"/>
        <v>0</v>
      </c>
      <c r="AP47" s="333">
        <f>IF($F47="",0,IF($F47="Weighted Average",$I47*VLOOKUP($D47&amp;" (Disposal)",Lists!$C$72:$R$232,COLUMNS(Lists!$C$69:E$69),0)*VLOOKUP(BE$3,Conversions!$B$12:$E$34,4,0),$I47*VLOOKUP($F47,Lists!$C$72:$R$232,COLUMNS(Lists!$C$69:E$69),0)*VLOOKUP(BE$3,Conversions!$B$12:$E$34,4,0)))</f>
        <v>0</v>
      </c>
      <c r="AQ47" s="333">
        <f>IF($F47="",0,IF($F47="Weighted Average",$I47*VLOOKUP($D47&amp;" (Disposal)",Lists!$C$72:$R$232,COLUMNS(Lists!$C$69:F$69),0)*VLOOKUP(BF$3,Conversions!$B$12:$E$34,4,0),$I47*VLOOKUP($F47,Lists!$C$72:$R$232,COLUMNS(Lists!$C$69:F$69),0)*VLOOKUP(BF$3,Conversions!$B$12:$E$34,4,0)))</f>
        <v>0</v>
      </c>
      <c r="AR47" s="333">
        <f>IF($F47="",0,IF($F47="Weighted Average",$I47*VLOOKUP($D47&amp;" (Disposal)",Lists!$C$72:$R$232,COLUMNS(Lists!$C$69:G$69),0)*VLOOKUP(BG$3,Conversions!$B$12:$E$34,4,0),$I47*VLOOKUP($F47,Lists!$C$72:$R$232,COLUMNS(Lists!$C$69:G$69),0)*VLOOKUP(BG$3,Conversions!$B$12:$E$34,4,0)))</f>
        <v>0</v>
      </c>
      <c r="AS47" s="333">
        <f>IF($F47="",0,IF($F47="Weighted Average",$I47*VLOOKUP($D47&amp;" (Disposal)",Lists!$C$72:$R$232,COLUMNS(Lists!$C$69:H$69),0)*VLOOKUP(BH$3,Conversions!$B$12:$E$34,4,0),$I47*VLOOKUP($F47,Lists!$C$72:$R$232,COLUMNS(Lists!$C$69:H$69),0)*VLOOKUP(BH$3,Conversions!$B$12:$E$34,4,0)))</f>
        <v>0</v>
      </c>
      <c r="AT47" s="333">
        <f>IF($F47="",0,IF($F47="Weighted Average",$I47*VLOOKUP($D47&amp;" (Disposal)",Lists!$C$72:$R$232,COLUMNS(Lists!$C$69:I$69),0)*VLOOKUP(BI$3,Conversions!$B$12:$E$34,4,0),$I47*VLOOKUP($F47,Lists!$C$72:$R$232,COLUMNS(Lists!$C$69:I$69),0)*VLOOKUP(BI$3,Conversions!$B$12:$E$34,4,0)))</f>
        <v>0</v>
      </c>
      <c r="AU47" s="333">
        <f>IF($F47="",0,IF($F47="Weighted Average",$I47*VLOOKUP($D47&amp;" (Disposal)",Lists!$C$72:$R$232,COLUMNS(Lists!$C$69:J$69),0)*VLOOKUP(BJ$3,Conversions!$B$12:$E$34,4,0),$I47*VLOOKUP($F47,Lists!$C$72:$R$232,COLUMNS(Lists!$C$69:J$69),0)*VLOOKUP(BJ$3,Conversions!$B$12:$E$34,4,0)))</f>
        <v>0</v>
      </c>
      <c r="AV47" s="333">
        <f>IF($F47="",0,IF($F47="Weighted Average",$I47*VLOOKUP($D47&amp;" (Disposal)",Lists!$C$72:$R$232,COLUMNS(Lists!$C$69:K$69),0)*VLOOKUP(BK$3,Conversions!$B$12:$E$34,4,0),$I47*VLOOKUP($F47,Lists!$C$72:$R$232,COLUMNS(Lists!$C$69:K$69),0)*VLOOKUP(BK$3,Conversions!$B$12:$E$34,4,0)))</f>
        <v>0</v>
      </c>
      <c r="AW47" s="333">
        <f>IF($F47="",0,IF($F47="Weighted Average",$I47*VLOOKUP($D47&amp;" (Disposal)",Lists!$C$72:$R$232,COLUMNS(Lists!$C$69:L$69),0)*VLOOKUP(BL$3,Conversions!$B$12:$E$34,4,0),$I47*VLOOKUP($F47,Lists!$C$72:$R$232,COLUMNS(Lists!$C$69:L$69),0)*VLOOKUP(BL$3,Conversions!$B$12:$E$34,4,0)))</f>
        <v>0</v>
      </c>
      <c r="AX47" s="333">
        <f>IF($F47="",0,IF($F47="Weighted Average",$I47*VLOOKUP($D47&amp;" (Disposal)",Lists!$C$72:$R$232,COLUMNS(Lists!$C$69:M$69),0)*VLOOKUP(BM$3,Conversions!$B$12:$E$34,4,0),$I47*VLOOKUP($F47,Lists!$C$72:$R$232,COLUMNS(Lists!$C$69:M$69),0)*VLOOKUP(BM$3,Conversions!$B$12:$E$34,4,0)))</f>
        <v>0</v>
      </c>
      <c r="AY47" s="333">
        <f>IF($F47="",0,IF($F47="Weighted Average",$I47*VLOOKUP($D47&amp;" (Disposal)",Lists!$C$72:$R$232,COLUMNS(Lists!$C$69:N$69),0)*VLOOKUP(BN$3,Conversions!$B$12:$E$34,4,0),$I47*VLOOKUP($F47,Lists!$C$72:$R$232,COLUMNS(Lists!$C$69:N$69),0)*VLOOKUP(BN$3,Conversions!$B$12:$E$34,4,0)))</f>
        <v>0</v>
      </c>
      <c r="AZ47" s="333">
        <f>IF($F47="",0,IF($F47="Weighted Average",$I47*VLOOKUP($D47&amp;" (Disposal)",Lists!$C$72:$R$232,COLUMNS(Lists!$C$69:O$69),0)*VLOOKUP(BO$3,Conversions!$B$12:$E$34,4,0),$I47*VLOOKUP($F47,Lists!$C$72:$R$232,COLUMNS(Lists!$C$69:O$69),0)*VLOOKUP(BO$3,Conversions!$B$12:$E$34,4,0)))</f>
        <v>0</v>
      </c>
      <c r="BA47" s="333">
        <f>IF($F47="",0,IF($F47="Weighted Average",$I47*VLOOKUP($D47&amp;" (Disposal)",Lists!$C$72:$R$232,COLUMNS(Lists!$C$69:P$69),0)*VLOOKUP(BP$3,Conversions!$B$12:$E$34,4,0),$I47*VLOOKUP($F47,Lists!$C$72:$R$232,COLUMNS(Lists!$C$69:P$69),0)*VLOOKUP(BP$3,Conversions!$B$12:$E$34,4,0)))</f>
        <v>0</v>
      </c>
      <c r="BB47" s="333">
        <f>IF($F47="",0,IF($F47="Weighted Average",$I47*VLOOKUP($D47&amp;" (Disposal)",Lists!$C$72:$R$232,COLUMNS(Lists!$C$69:Q$69),0)*VLOOKUP(BQ$3,Conversions!$B$12:$E$34,4,0),$I47*VLOOKUP($F47,Lists!$C$72:$R$232,COLUMNS(Lists!$C$69:Q$69),0)*VLOOKUP(BQ$3,Conversions!$B$12:$E$34,4,0)))</f>
        <v>0</v>
      </c>
      <c r="BC47" s="333">
        <f>IF($F47="",0,IF($F47="Weighted Average",$I47*VLOOKUP($D47&amp;" (Disposal)",Lists!$C$72:$R$232,COLUMNS(Lists!$C$69:R$69),0)*VLOOKUP(BR$3,Conversions!$B$12:$E$34,4,0),$I47*VLOOKUP($F47,Lists!$C$72:$R$232,COLUMNS(Lists!$C$69:R$69),0)*VLOOKUP(BR$3,Conversions!$B$12:$E$34,4,0)))</f>
        <v>0</v>
      </c>
      <c r="BD47" s="333">
        <f t="shared" si="40"/>
        <v>0</v>
      </c>
      <c r="BE47" s="330">
        <f t="shared" si="41"/>
        <v>0</v>
      </c>
      <c r="BF47" s="330">
        <f t="shared" si="42"/>
        <v>0</v>
      </c>
      <c r="BG47" s="330">
        <f t="shared" si="43"/>
        <v>0</v>
      </c>
      <c r="BH47" s="330">
        <f t="shared" si="44"/>
        <v>0</v>
      </c>
      <c r="BI47" s="330">
        <f t="shared" si="45"/>
        <v>0</v>
      </c>
      <c r="BJ47" s="330">
        <f t="shared" si="46"/>
        <v>0</v>
      </c>
      <c r="BK47" s="330">
        <f t="shared" si="47"/>
        <v>0</v>
      </c>
      <c r="BL47" s="330">
        <f t="shared" si="48"/>
        <v>0</v>
      </c>
      <c r="BM47" s="330">
        <f t="shared" si="49"/>
        <v>0</v>
      </c>
      <c r="BN47" s="330">
        <f t="shared" si="50"/>
        <v>0</v>
      </c>
      <c r="BO47" s="330">
        <f t="shared" si="51"/>
        <v>0</v>
      </c>
      <c r="BP47" s="330">
        <f t="shared" si="52"/>
        <v>0</v>
      </c>
      <c r="BQ47" s="330">
        <f t="shared" si="53"/>
        <v>0</v>
      </c>
      <c r="BR47" s="330">
        <f t="shared" si="54"/>
        <v>0</v>
      </c>
      <c r="BS47" s="330">
        <f t="shared" si="55"/>
        <v>0</v>
      </c>
      <c r="BT47" s="329">
        <f t="shared" si="56"/>
        <v>0</v>
      </c>
      <c r="BU47" s="329">
        <f t="shared" si="56"/>
        <v>0</v>
      </c>
      <c r="BV47" s="329">
        <f t="shared" si="56"/>
        <v>0</v>
      </c>
      <c r="BW47" s="329">
        <f t="shared" si="56"/>
        <v>0</v>
      </c>
      <c r="BX47" s="329">
        <f t="shared" si="56"/>
        <v>0</v>
      </c>
      <c r="BY47" s="329">
        <f t="shared" si="56"/>
        <v>0</v>
      </c>
      <c r="BZ47" s="329">
        <f t="shared" si="56"/>
        <v>0</v>
      </c>
      <c r="CA47" s="329">
        <f t="shared" si="56"/>
        <v>0</v>
      </c>
      <c r="CB47" s="329">
        <f t="shared" si="56"/>
        <v>0</v>
      </c>
      <c r="CC47" s="329">
        <f t="shared" si="56"/>
        <v>0</v>
      </c>
      <c r="CD47" s="329">
        <f t="shared" si="56"/>
        <v>0</v>
      </c>
      <c r="CE47" s="329">
        <f t="shared" si="56"/>
        <v>0</v>
      </c>
      <c r="CF47" s="329">
        <f t="shared" si="56"/>
        <v>0</v>
      </c>
      <c r="CG47" s="329">
        <f t="shared" si="56"/>
        <v>0</v>
      </c>
      <c r="CH47" s="329">
        <f t="shared" si="56"/>
        <v>0</v>
      </c>
      <c r="CI47" s="329">
        <f t="shared" si="56"/>
        <v>0</v>
      </c>
      <c r="CJ47" s="331">
        <f t="shared" si="1"/>
        <v>0</v>
      </c>
      <c r="CK47" s="330">
        <f t="shared" si="5"/>
        <v>0</v>
      </c>
      <c r="CL47" s="330">
        <f t="shared" si="6"/>
        <v>0</v>
      </c>
      <c r="CM47" s="330">
        <f t="shared" si="7"/>
        <v>0</v>
      </c>
      <c r="CN47" s="330">
        <f t="shared" si="8"/>
        <v>0</v>
      </c>
      <c r="CO47" s="330">
        <f t="shared" si="9"/>
        <v>0</v>
      </c>
      <c r="CP47" s="330">
        <f t="shared" si="10"/>
        <v>0</v>
      </c>
      <c r="CQ47" s="330">
        <f t="shared" si="11"/>
        <v>0</v>
      </c>
      <c r="CR47" s="330">
        <f t="shared" si="12"/>
        <v>0</v>
      </c>
      <c r="CS47" s="330">
        <f t="shared" si="13"/>
        <v>0</v>
      </c>
      <c r="CT47" s="330">
        <f t="shared" si="14"/>
        <v>0</v>
      </c>
      <c r="CU47" s="330">
        <f t="shared" si="57"/>
        <v>0</v>
      </c>
      <c r="CV47" s="330">
        <f t="shared" si="57"/>
        <v>0</v>
      </c>
      <c r="CW47" s="330">
        <f t="shared" si="57"/>
        <v>0</v>
      </c>
      <c r="CX47" s="330">
        <f t="shared" si="57"/>
        <v>0</v>
      </c>
      <c r="CY47" s="330">
        <f t="shared" si="57"/>
        <v>0</v>
      </c>
      <c r="CZ47" s="330">
        <f t="shared" si="57"/>
        <v>0</v>
      </c>
      <c r="DA47" s="330">
        <f t="shared" si="57"/>
        <v>0</v>
      </c>
      <c r="DB47" s="330">
        <f t="shared" si="57"/>
        <v>0</v>
      </c>
      <c r="DC47" s="330">
        <f t="shared" si="57"/>
        <v>0</v>
      </c>
      <c r="DD47" s="330">
        <f t="shared" si="57"/>
        <v>0</v>
      </c>
      <c r="DE47" s="330">
        <f t="shared" si="58"/>
        <v>0</v>
      </c>
      <c r="DF47" s="330">
        <f t="shared" si="58"/>
        <v>0</v>
      </c>
      <c r="DG47" s="330">
        <f t="shared" si="58"/>
        <v>0</v>
      </c>
      <c r="DH47" s="330">
        <f t="shared" si="58"/>
        <v>0</v>
      </c>
      <c r="DI47" s="330">
        <f t="shared" si="58"/>
        <v>0</v>
      </c>
      <c r="DJ47" s="330">
        <f t="shared" si="58"/>
        <v>0</v>
      </c>
      <c r="DK47" s="330">
        <f t="shared" si="58"/>
        <v>0</v>
      </c>
      <c r="DL47" s="330">
        <f t="shared" si="58"/>
        <v>0</v>
      </c>
      <c r="DM47" s="330">
        <f t="shared" si="58"/>
        <v>0</v>
      </c>
      <c r="DN47" s="330">
        <f t="shared" si="58"/>
        <v>0</v>
      </c>
      <c r="DO47" s="330">
        <f t="shared" si="58"/>
        <v>0</v>
      </c>
      <c r="DP47" s="330">
        <f t="shared" si="37"/>
        <v>0</v>
      </c>
      <c r="DQ47" s="217"/>
      <c r="DR47" s="217"/>
      <c r="DS47" s="217"/>
      <c r="DT47" s="217"/>
    </row>
    <row r="48" spans="1:124" x14ac:dyDescent="0.3">
      <c r="A48" s="332"/>
      <c r="B48" s="221" t="s">
        <v>304</v>
      </c>
      <c r="C48" s="221" t="str">
        <f>IF('Simplified Material Balance'!C18=0,"",'Simplified Material Balance'!C18)</f>
        <v/>
      </c>
      <c r="D48" s="221" t="str">
        <f>IF('Simplified Material Balance'!D18=0,"",'Simplified Material Balance'!D18)</f>
        <v/>
      </c>
      <c r="E48" s="221" t="str">
        <f>IF('Simplified Material Balance'!E18=0,"",'Simplified Material Balance'!E18)</f>
        <v/>
      </c>
      <c r="F48" s="221" t="str">
        <f>IF('Simplified Material Balance'!F18=0,"",'Simplified Material Balance'!F18)</f>
        <v/>
      </c>
      <c r="G48" s="272">
        <f>IF('Simplified Material Balance'!H18&gt;'Simplified Material Balance'!G18,0,('Simplified Material Balance'!G18-'Simplified Material Balance'!H18)*Conversions!$C$4)</f>
        <v>0</v>
      </c>
      <c r="H48" s="272">
        <f>'Simplified Material Balance'!I18*Conversions!$C$4</f>
        <v>0</v>
      </c>
      <c r="I48" s="272">
        <f>('Simplified Material Balance'!J18-'Simplified Material Balance'!K18)*Conversions!$C$4</f>
        <v>0</v>
      </c>
      <c r="J48" s="325">
        <f>IF('Simplified Material Balance'!L18=0,0,'Simplified Material Balance'!L18)</f>
        <v>0</v>
      </c>
      <c r="K48" s="465"/>
      <c r="L48" s="333">
        <f>IF($F48="",0,IF($F48="Weighted Average",$G48*VLOOKUP($D48&amp;" (Install)",Lists!$C$72:$R$232,COLUMNS(Lists!$C$69:E$69),0)*VLOOKUP(BE$3,Conversions!$B$12:$E$34,4,0),$G48*VLOOKUP($F48,Lists!$C$72:$R$232,COLUMNS(Lists!$C$69:E$69),0)*VLOOKUP(BE$3,Conversions!$B$12:$E$34,4,0)))</f>
        <v>0</v>
      </c>
      <c r="M48" s="333">
        <f>IF($F48="",0,IF($F48="Weighted Average",$G48*VLOOKUP($D48&amp;" (Install)",Lists!$C$72:$R$232,COLUMNS(Lists!$C$69:F$69),0)*VLOOKUP(BF$3,Conversions!$B$12:$E$34,4,0),$G48*VLOOKUP($F48,Lists!$C$72:$R$232,COLUMNS(Lists!$C$69:F$69),0)*VLOOKUP(BF$3,Conversions!$B$12:$E$34,4,0)))</f>
        <v>0</v>
      </c>
      <c r="N48" s="333">
        <f>IF($F48="",0,IF($F48="Weighted Average",$G48*VLOOKUP($D48&amp;" (Install)",Lists!$C$72:$R$232,COLUMNS(Lists!$C$69:G$69),0)*VLOOKUP(BG$3,Conversions!$B$12:$E$34,4,0),$G48*VLOOKUP($F48,Lists!$C$72:$R$232,COLUMNS(Lists!$C$69:G$69),0)*VLOOKUP(BG$3,Conversions!$B$12:$E$34,4,0)))</f>
        <v>0</v>
      </c>
      <c r="O48" s="333">
        <f>IF($F48="",0,IF($F48="Weighted Average",$G48*VLOOKUP($D48&amp;" (Install)",Lists!$C$72:$R$232,COLUMNS(Lists!$C$69:H$69),0)*VLOOKUP(BH$3,Conversions!$B$12:$E$34,4,0),$G48*VLOOKUP($F48,Lists!$C$72:$R$232,COLUMNS(Lists!$C$69:H$69),0)*VLOOKUP(BH$3,Conversions!$B$12:$E$34,4,0)))</f>
        <v>0</v>
      </c>
      <c r="P48" s="333">
        <f>IF($F48="",0,IF($F48="Weighted Average",$G48*VLOOKUP($D48&amp;" (Install)",Lists!$C$72:$R$232,COLUMNS(Lists!$C$69:I$69),0)*VLOOKUP(BI$3,Conversions!$B$12:$E$34,4,0),$G48*VLOOKUP($F48,Lists!$C$72:$R$232,COLUMNS(Lists!$C$69:I$69),0)*VLOOKUP(BI$3,Conversions!$B$12:$E$34,4,0)))</f>
        <v>0</v>
      </c>
      <c r="Q48" s="333">
        <f>IF($F48="",0,IF($F48="Weighted Average",$G48*VLOOKUP($D48&amp;" (Install)",Lists!$C$72:$R$232,COLUMNS(Lists!$C$69:J$69),0)*VLOOKUP(BJ$3,Conversions!$B$12:$E$34,4,0),$G48*VLOOKUP($F48,Lists!$C$72:$R$232,COLUMNS(Lists!$C$69:J$69),0)*VLOOKUP(BJ$3,Conversions!$B$12:$E$34,4,0)))</f>
        <v>0</v>
      </c>
      <c r="R48" s="333">
        <f>IF($F48="",0,IF($F48="Weighted Average",$G48*VLOOKUP($D48&amp;" (Install)",Lists!$C$72:$R$232,COLUMNS(Lists!$C$69:K$69),0)*VLOOKUP(BK$3,Conversions!$B$12:$E$34,4,0),$G48*VLOOKUP($F48,Lists!$C$72:$R$232,COLUMNS(Lists!$C$69:K$69),0)*VLOOKUP(BK$3,Conversions!$B$12:$E$34,4,0)))</f>
        <v>0</v>
      </c>
      <c r="S48" s="333">
        <f>IF($F48="",0,IF($F48="Weighted Average",$G48*VLOOKUP($D48&amp;" (Install)",Lists!$C$72:$R$232,COLUMNS(Lists!$C$69:L$69),0)*VLOOKUP(BL$3,Conversions!$B$12:$E$34,4,0),$G48*VLOOKUP($F48,Lists!$C$72:$R$232,COLUMNS(Lists!$C$69:L$69),0)*VLOOKUP(BL$3,Conversions!$B$12:$E$34,4,0)))</f>
        <v>0</v>
      </c>
      <c r="T48" s="333">
        <f>IF($F48="",0,IF($F48="Weighted Average",$G48*VLOOKUP($D48&amp;" (Install)",Lists!$C$72:$R$232,COLUMNS(Lists!$C$69:M$69),0)*VLOOKUP(BM$3,Conversions!$B$12:$E$34,4,0),$G48*VLOOKUP($F48,Lists!$C$72:$R$232,COLUMNS(Lists!$C$69:M$69),0)*VLOOKUP(BM$3,Conversions!$B$12:$E$34,4,0)))</f>
        <v>0</v>
      </c>
      <c r="U48" s="333">
        <f>IF($F48="",0,IF($F48="Weighted Average",$G48*VLOOKUP($D48&amp;" (Install)",Lists!$C$72:$R$232,COLUMNS(Lists!$C$69:N$69),0)*VLOOKUP(BN$3,Conversions!$B$12:$E$34,4,0),$G48*VLOOKUP($F48,Lists!$C$72:$R$232,COLUMNS(Lists!$C$69:N$69),0)*VLOOKUP(BN$3,Conversions!$B$12:$E$34,4,0)))</f>
        <v>0</v>
      </c>
      <c r="V48" s="333">
        <f>IF($F48="",0,IF($F48="Weighted Average",$G48*VLOOKUP($D48&amp;" (Install)",Lists!$C$72:$R$232,COLUMNS(Lists!$C$69:O$69),0)*VLOOKUP(BO$3,Conversions!$B$12:$E$34,4,0),$G48*VLOOKUP($F48,Lists!$C$72:$R$232,COLUMNS(Lists!$C$69:O$69),0)*VLOOKUP(BO$3,Conversions!$B$12:$E$34,4,0)))</f>
        <v>0</v>
      </c>
      <c r="W48" s="333">
        <f>IF($F48="",0,IF($F48="Weighted Average",$G48*VLOOKUP($D48&amp;" (Install)",Lists!$C$72:$R$232,COLUMNS(Lists!$C$69:P$69),0)*VLOOKUP(BP$3,Conversions!$B$12:$E$34,4,0),$G48*VLOOKUP($F48,Lists!$C$72:$R$232,COLUMNS(Lists!$C$69:P$69),0)*VLOOKUP(BP$3,Conversions!$B$12:$E$34,4,0)))</f>
        <v>0</v>
      </c>
      <c r="X48" s="333">
        <f>IF($F48="",0,IF($F48="Weighted Average",$G48*VLOOKUP($D48&amp;" (Install)",Lists!$C$72:$R$232,COLUMNS(Lists!$C$69:Q$69),0)*VLOOKUP(BQ$3,Conversions!$B$12:$E$34,4,0),$G48*VLOOKUP($F48,Lists!$C$72:$R$232,COLUMNS(Lists!$C$69:Q$69),0)*VLOOKUP(BQ$3,Conversions!$B$12:$E$34,4,0)))</f>
        <v>0</v>
      </c>
      <c r="Y48" s="333">
        <f>IF($F48="",0,IF($F48="Weighted Average",$G48*VLOOKUP($D48&amp;" (Install)",Lists!$C$72:$R$232,COLUMNS(Lists!$C$69:R$69),0)*VLOOKUP(BR$3,Conversions!$B$12:$E$34,4,0),$G48*VLOOKUP($F48,Lists!$C$72:$R$232,COLUMNS(Lists!$C$69:R$69),0)*VLOOKUP(BR$3,Conversions!$B$12:$E$34,4,0)))</f>
        <v>0</v>
      </c>
      <c r="Z48" s="325">
        <f t="shared" si="38"/>
        <v>0</v>
      </c>
      <c r="AA48" s="334">
        <f>IF($F48="",0,IF($F48="Weighted Average",$H48*VLOOKUP($D48&amp;" (Operation)",Lists!$C$72:$R$232,COLUMNS(Lists!$C$69:E$69),0)*VLOOKUP(BE$3,Conversions!$B$12:$E$34,4,0),$H48*VLOOKUP($F48,Lists!$C$72:$R$232,COLUMNS(Lists!$C$69:E$69),0)*VLOOKUP(BE$3,Conversions!$B$12:$E$34,4,0)))</f>
        <v>0</v>
      </c>
      <c r="AB48" s="334">
        <f>IF($F48="",0,IF($F48="Weighted Average",$H48*VLOOKUP($D48&amp;" (Operation)",Lists!$C$72:$R$232,COLUMNS(Lists!$C$69:F$69),0)*VLOOKUP(BF$3,Conversions!$B$12:$E$34,4,0),$H48*VLOOKUP($F48,Lists!$C$72:$R$232,COLUMNS(Lists!$C$69:F$69),0)*VLOOKUP(BF$3,Conversions!$B$12:$E$34,4,0)))</f>
        <v>0</v>
      </c>
      <c r="AC48" s="334">
        <f>IF($F48="",0,IF($F48="Weighted Average",$H48*VLOOKUP($D48&amp;" (Operation)",Lists!$C$72:$R$232,COLUMNS(Lists!$C$69:G$69),0)*VLOOKUP(BG$3,Conversions!$B$12:$E$34,4,0),$H48*VLOOKUP($F48,Lists!$C$72:$R$232,COLUMNS(Lists!$C$69:G$69),0)*VLOOKUP(BG$3,Conversions!$B$12:$E$34,4,0)))</f>
        <v>0</v>
      </c>
      <c r="AD48" s="334">
        <f>IF($F48="",0,IF($F48="Weighted Average",$H48*VLOOKUP($D48&amp;" (Operation)",Lists!$C$72:$R$232,COLUMNS(Lists!$C$69:H$69),0)*VLOOKUP(BH$3,Conversions!$B$12:$E$34,4,0),$H48*VLOOKUP($F48,Lists!$C$72:$R$232,COLUMNS(Lists!$C$69:H$69),0)*VLOOKUP(BH$3,Conversions!$B$12:$E$34,4,0)))</f>
        <v>0</v>
      </c>
      <c r="AE48" s="334">
        <f>IF($F48="",0,IF($F48="Weighted Average",$H48*VLOOKUP($D48&amp;" (Operation)",Lists!$C$72:$R$232,COLUMNS(Lists!$C$69:I$69),0)*VLOOKUP(BI$3,Conversions!$B$12:$E$34,4,0),$H48*VLOOKUP($F48,Lists!$C$72:$R$232,COLUMNS(Lists!$C$69:I$69),0)*VLOOKUP(BI$3,Conversions!$B$12:$E$34,4,0)))</f>
        <v>0</v>
      </c>
      <c r="AF48" s="334">
        <f>IF($F48="",0,IF($F48="Weighted Average",$H48*VLOOKUP($D48&amp;" (Operation)",Lists!$C$72:$R$232,COLUMNS(Lists!$C$69:J$69),0)*VLOOKUP(BJ$3,Conversions!$B$12:$E$34,4,0),$H48*VLOOKUP($F48,Lists!$C$72:$R$232,COLUMNS(Lists!$C$69:J$69),0)*VLOOKUP(BJ$3,Conversions!$B$12:$E$34,4,0)))</f>
        <v>0</v>
      </c>
      <c r="AG48" s="334">
        <f>IF($F48="",0,IF($F48="Weighted Average",$H48*VLOOKUP($D48&amp;" (Operation)",Lists!$C$72:$R$232,COLUMNS(Lists!$C$69:K$69),0)*VLOOKUP(BK$3,Conversions!$B$12:$E$34,4,0),$H48*VLOOKUP($F48,Lists!$C$72:$R$232,COLUMNS(Lists!$C$69:K$69),0)*VLOOKUP(BK$3,Conversions!$B$12:$E$34,4,0)))</f>
        <v>0</v>
      </c>
      <c r="AH48" s="334">
        <f>IF($F48="",0,IF($F48="Weighted Average",$H48*VLOOKUP($D48&amp;" (Operation)",Lists!$C$72:$R$232,COLUMNS(Lists!$C$69:L$69),0)*VLOOKUP(BL$3,Conversions!$B$12:$E$34,4,0),$H48*VLOOKUP($F48,Lists!$C$72:$R$232,COLUMNS(Lists!$C$69:L$69),0)*VLOOKUP(BL$3,Conversions!$B$12:$E$34,4,0)))</f>
        <v>0</v>
      </c>
      <c r="AI48" s="334">
        <f>IF($F48="",0,IF($F48="Weighted Average",$H48*VLOOKUP($D48&amp;" (Operation)",Lists!$C$72:$R$232,COLUMNS(Lists!$C$69:M$69),0)*VLOOKUP(BM$3,Conversions!$B$12:$E$34,4,0),$H48*VLOOKUP($F48,Lists!$C$72:$R$232,COLUMNS(Lists!$C$69:M$69),0)*VLOOKUP(BM$3,Conversions!$B$12:$E$34,4,0)))</f>
        <v>0</v>
      </c>
      <c r="AJ48" s="334">
        <f>IF($F48="",0,IF($F48="Weighted Average",$H48*VLOOKUP($D48&amp;" (Operation)",Lists!$C$72:$R$232,COLUMNS(Lists!$C$69:N$69),0)*VLOOKUP(BN$3,Conversions!$B$12:$E$34,4,0),$H48*VLOOKUP($F48,Lists!$C$72:$R$232,COLUMNS(Lists!$C$69:N$69),0)*VLOOKUP(BN$3,Conversions!$B$12:$E$34,4,0)))</f>
        <v>0</v>
      </c>
      <c r="AK48" s="334">
        <f>IF($F48="",0,IF($F48="Weighted Average",$H48*VLOOKUP($D48&amp;" (Operation)",Lists!$C$72:$R$232,COLUMNS(Lists!$C$69:O$69),0)*VLOOKUP(BO$3,Conversions!$B$12:$E$34,4,0),$H48*VLOOKUP($F48,Lists!$C$72:$R$232,COLUMNS(Lists!$C$69:O$69),0)*VLOOKUP(BO$3,Conversions!$B$12:$E$34,4,0)))</f>
        <v>0</v>
      </c>
      <c r="AL48" s="334">
        <f>IF($F48="",0,IF($F48="Weighted Average",$H48*VLOOKUP($D48&amp;" (Operation)",Lists!$C$72:$R$232,COLUMNS(Lists!$C$69:P$69),0)*VLOOKUP(BP$3,Conversions!$B$12:$E$34,4,0),$H48*VLOOKUP($F48,Lists!$C$72:$R$232,COLUMNS(Lists!$C$69:P$69),0)*VLOOKUP(BP$3,Conversions!$B$12:$E$34,4,0)))</f>
        <v>0</v>
      </c>
      <c r="AM48" s="334">
        <f>IF($F48="",0,IF($F48="Weighted Average",$H48*VLOOKUP($D48&amp;" (Operation)",Lists!$C$72:$R$232,COLUMNS(Lists!$C$69:Q$69),0)*VLOOKUP(BQ$3,Conversions!$B$12:$E$34,4,0),$H48*VLOOKUP($F48,Lists!$C$72:$R$232,COLUMNS(Lists!$C$69:Q$69),0)*VLOOKUP(BQ$3,Conversions!$B$12:$E$34,4,0)))</f>
        <v>0</v>
      </c>
      <c r="AN48" s="334">
        <f>IF($F48="",0,IF($F48="Weighted Average",$H48*VLOOKUP($D48&amp;" (Operation)",Lists!$C$72:$R$232,COLUMNS(Lists!$C$69:R$69),0)*VLOOKUP(BR$3,Conversions!$B$12:$E$34,4,0),$H48*VLOOKUP($F48,Lists!$C$72:$R$232,COLUMNS(Lists!$C$69:R$69),0)*VLOOKUP(BR$3,Conversions!$B$12:$E$34,4,0)))</f>
        <v>0</v>
      </c>
      <c r="AO48" s="330">
        <f t="shared" si="39"/>
        <v>0</v>
      </c>
      <c r="AP48" s="333">
        <f>IF($F48="",0,IF($F48="Weighted Average",$I48*VLOOKUP($D48&amp;" (Disposal)",Lists!$C$72:$R$232,COLUMNS(Lists!$C$69:E$69),0)*VLOOKUP(BE$3,Conversions!$B$12:$E$34,4,0),$I48*VLOOKUP($F48,Lists!$C$72:$R$232,COLUMNS(Lists!$C$69:E$69),0)*VLOOKUP(BE$3,Conversions!$B$12:$E$34,4,0)))</f>
        <v>0</v>
      </c>
      <c r="AQ48" s="333">
        <f>IF($F48="",0,IF($F48="Weighted Average",$I48*VLOOKUP($D48&amp;" (Disposal)",Lists!$C$72:$R$232,COLUMNS(Lists!$C$69:F$69),0)*VLOOKUP(BF$3,Conversions!$B$12:$E$34,4,0),$I48*VLOOKUP($F48,Lists!$C$72:$R$232,COLUMNS(Lists!$C$69:F$69),0)*VLOOKUP(BF$3,Conversions!$B$12:$E$34,4,0)))</f>
        <v>0</v>
      </c>
      <c r="AR48" s="333">
        <f>IF($F48="",0,IF($F48="Weighted Average",$I48*VLOOKUP($D48&amp;" (Disposal)",Lists!$C$72:$R$232,COLUMNS(Lists!$C$69:G$69),0)*VLOOKUP(BG$3,Conversions!$B$12:$E$34,4,0),$I48*VLOOKUP($F48,Lists!$C$72:$R$232,COLUMNS(Lists!$C$69:G$69),0)*VLOOKUP(BG$3,Conversions!$B$12:$E$34,4,0)))</f>
        <v>0</v>
      </c>
      <c r="AS48" s="333">
        <f>IF($F48="",0,IF($F48="Weighted Average",$I48*VLOOKUP($D48&amp;" (Disposal)",Lists!$C$72:$R$232,COLUMNS(Lists!$C$69:H$69),0)*VLOOKUP(BH$3,Conversions!$B$12:$E$34,4,0),$I48*VLOOKUP($F48,Lists!$C$72:$R$232,COLUMNS(Lists!$C$69:H$69),0)*VLOOKUP(BH$3,Conversions!$B$12:$E$34,4,0)))</f>
        <v>0</v>
      </c>
      <c r="AT48" s="333">
        <f>IF($F48="",0,IF($F48="Weighted Average",$I48*VLOOKUP($D48&amp;" (Disposal)",Lists!$C$72:$R$232,COLUMNS(Lists!$C$69:I$69),0)*VLOOKUP(BI$3,Conversions!$B$12:$E$34,4,0),$I48*VLOOKUP($F48,Lists!$C$72:$R$232,COLUMNS(Lists!$C$69:I$69),0)*VLOOKUP(BI$3,Conversions!$B$12:$E$34,4,0)))</f>
        <v>0</v>
      </c>
      <c r="AU48" s="333">
        <f>IF($F48="",0,IF($F48="Weighted Average",$I48*VLOOKUP($D48&amp;" (Disposal)",Lists!$C$72:$R$232,COLUMNS(Lists!$C$69:J$69),0)*VLOOKUP(BJ$3,Conversions!$B$12:$E$34,4,0),$I48*VLOOKUP($F48,Lists!$C$72:$R$232,COLUMNS(Lists!$C$69:J$69),0)*VLOOKUP(BJ$3,Conversions!$B$12:$E$34,4,0)))</f>
        <v>0</v>
      </c>
      <c r="AV48" s="333">
        <f>IF($F48="",0,IF($F48="Weighted Average",$I48*VLOOKUP($D48&amp;" (Disposal)",Lists!$C$72:$R$232,COLUMNS(Lists!$C$69:K$69),0)*VLOOKUP(BK$3,Conversions!$B$12:$E$34,4,0),$I48*VLOOKUP($F48,Lists!$C$72:$R$232,COLUMNS(Lists!$C$69:K$69),0)*VLOOKUP(BK$3,Conversions!$B$12:$E$34,4,0)))</f>
        <v>0</v>
      </c>
      <c r="AW48" s="333">
        <f>IF($F48="",0,IF($F48="Weighted Average",$I48*VLOOKUP($D48&amp;" (Disposal)",Lists!$C$72:$R$232,COLUMNS(Lists!$C$69:L$69),0)*VLOOKUP(BL$3,Conversions!$B$12:$E$34,4,0),$I48*VLOOKUP($F48,Lists!$C$72:$R$232,COLUMNS(Lists!$C$69:L$69),0)*VLOOKUP(BL$3,Conversions!$B$12:$E$34,4,0)))</f>
        <v>0</v>
      </c>
      <c r="AX48" s="333">
        <f>IF($F48="",0,IF($F48="Weighted Average",$I48*VLOOKUP($D48&amp;" (Disposal)",Lists!$C$72:$R$232,COLUMNS(Lists!$C$69:M$69),0)*VLOOKUP(BM$3,Conversions!$B$12:$E$34,4,0),$I48*VLOOKUP($F48,Lists!$C$72:$R$232,COLUMNS(Lists!$C$69:M$69),0)*VLOOKUP(BM$3,Conversions!$B$12:$E$34,4,0)))</f>
        <v>0</v>
      </c>
      <c r="AY48" s="333">
        <f>IF($F48="",0,IF($F48="Weighted Average",$I48*VLOOKUP($D48&amp;" (Disposal)",Lists!$C$72:$R$232,COLUMNS(Lists!$C$69:N$69),0)*VLOOKUP(BN$3,Conversions!$B$12:$E$34,4,0),$I48*VLOOKUP($F48,Lists!$C$72:$R$232,COLUMNS(Lists!$C$69:N$69),0)*VLOOKUP(BN$3,Conversions!$B$12:$E$34,4,0)))</f>
        <v>0</v>
      </c>
      <c r="AZ48" s="333">
        <f>IF($F48="",0,IF($F48="Weighted Average",$I48*VLOOKUP($D48&amp;" (Disposal)",Lists!$C$72:$R$232,COLUMNS(Lists!$C$69:O$69),0)*VLOOKUP(BO$3,Conversions!$B$12:$E$34,4,0),$I48*VLOOKUP($F48,Lists!$C$72:$R$232,COLUMNS(Lists!$C$69:O$69),0)*VLOOKUP(BO$3,Conversions!$B$12:$E$34,4,0)))</f>
        <v>0</v>
      </c>
      <c r="BA48" s="333">
        <f>IF($F48="",0,IF($F48="Weighted Average",$I48*VLOOKUP($D48&amp;" (Disposal)",Lists!$C$72:$R$232,COLUMNS(Lists!$C$69:P$69),0)*VLOOKUP(BP$3,Conversions!$B$12:$E$34,4,0),$I48*VLOOKUP($F48,Lists!$C$72:$R$232,COLUMNS(Lists!$C$69:P$69),0)*VLOOKUP(BP$3,Conversions!$B$12:$E$34,4,0)))</f>
        <v>0</v>
      </c>
      <c r="BB48" s="333">
        <f>IF($F48="",0,IF($F48="Weighted Average",$I48*VLOOKUP($D48&amp;" (Disposal)",Lists!$C$72:$R$232,COLUMNS(Lists!$C$69:Q$69),0)*VLOOKUP(BQ$3,Conversions!$B$12:$E$34,4,0),$I48*VLOOKUP($F48,Lists!$C$72:$R$232,COLUMNS(Lists!$C$69:Q$69),0)*VLOOKUP(BQ$3,Conversions!$B$12:$E$34,4,0)))</f>
        <v>0</v>
      </c>
      <c r="BC48" s="333">
        <f>IF($F48="",0,IF($F48="Weighted Average",$I48*VLOOKUP($D48&amp;" (Disposal)",Lists!$C$72:$R$232,COLUMNS(Lists!$C$69:R$69),0)*VLOOKUP(BR$3,Conversions!$B$12:$E$34,4,0),$I48*VLOOKUP($F48,Lists!$C$72:$R$232,COLUMNS(Lists!$C$69:R$69),0)*VLOOKUP(BR$3,Conversions!$B$12:$E$34,4,0)))</f>
        <v>0</v>
      </c>
      <c r="BD48" s="333">
        <f t="shared" si="40"/>
        <v>0</v>
      </c>
      <c r="BE48" s="330">
        <f t="shared" si="41"/>
        <v>0</v>
      </c>
      <c r="BF48" s="330">
        <f t="shared" si="42"/>
        <v>0</v>
      </c>
      <c r="BG48" s="330">
        <f t="shared" si="43"/>
        <v>0</v>
      </c>
      <c r="BH48" s="330">
        <f t="shared" si="44"/>
        <v>0</v>
      </c>
      <c r="BI48" s="330">
        <f t="shared" si="45"/>
        <v>0</v>
      </c>
      <c r="BJ48" s="330">
        <f t="shared" si="46"/>
        <v>0</v>
      </c>
      <c r="BK48" s="330">
        <f t="shared" si="47"/>
        <v>0</v>
      </c>
      <c r="BL48" s="330">
        <f t="shared" si="48"/>
        <v>0</v>
      </c>
      <c r="BM48" s="330">
        <f t="shared" si="49"/>
        <v>0</v>
      </c>
      <c r="BN48" s="330">
        <f t="shared" si="50"/>
        <v>0</v>
      </c>
      <c r="BO48" s="330">
        <f t="shared" si="51"/>
        <v>0</v>
      </c>
      <c r="BP48" s="330">
        <f t="shared" si="52"/>
        <v>0</v>
      </c>
      <c r="BQ48" s="330">
        <f t="shared" si="53"/>
        <v>0</v>
      </c>
      <c r="BR48" s="330">
        <f t="shared" si="54"/>
        <v>0</v>
      </c>
      <c r="BS48" s="330">
        <f t="shared" si="55"/>
        <v>0</v>
      </c>
      <c r="BT48" s="329">
        <f t="shared" si="56"/>
        <v>0</v>
      </c>
      <c r="BU48" s="329">
        <f t="shared" si="56"/>
        <v>0</v>
      </c>
      <c r="BV48" s="329">
        <f t="shared" si="56"/>
        <v>0</v>
      </c>
      <c r="BW48" s="329">
        <f t="shared" si="56"/>
        <v>0</v>
      </c>
      <c r="BX48" s="329">
        <f t="shared" si="56"/>
        <v>0</v>
      </c>
      <c r="BY48" s="329">
        <f t="shared" si="56"/>
        <v>0</v>
      </c>
      <c r="BZ48" s="329">
        <f t="shared" si="56"/>
        <v>0</v>
      </c>
      <c r="CA48" s="329">
        <f t="shared" si="56"/>
        <v>0</v>
      </c>
      <c r="CB48" s="329">
        <f t="shared" si="56"/>
        <v>0</v>
      </c>
      <c r="CC48" s="329">
        <f t="shared" si="56"/>
        <v>0</v>
      </c>
      <c r="CD48" s="329">
        <f t="shared" si="56"/>
        <v>0</v>
      </c>
      <c r="CE48" s="329">
        <f t="shared" si="56"/>
        <v>0</v>
      </c>
      <c r="CF48" s="329">
        <f t="shared" si="56"/>
        <v>0</v>
      </c>
      <c r="CG48" s="329">
        <f t="shared" si="56"/>
        <v>0</v>
      </c>
      <c r="CH48" s="329">
        <f t="shared" si="56"/>
        <v>0</v>
      </c>
      <c r="CI48" s="329">
        <f t="shared" si="56"/>
        <v>0</v>
      </c>
      <c r="CJ48" s="331">
        <f t="shared" si="1"/>
        <v>0</v>
      </c>
      <c r="CK48" s="330">
        <f t="shared" si="5"/>
        <v>0</v>
      </c>
      <c r="CL48" s="330">
        <f t="shared" si="6"/>
        <v>0</v>
      </c>
      <c r="CM48" s="330">
        <f t="shared" si="7"/>
        <v>0</v>
      </c>
      <c r="CN48" s="330">
        <f t="shared" si="8"/>
        <v>0</v>
      </c>
      <c r="CO48" s="330">
        <f t="shared" si="9"/>
        <v>0</v>
      </c>
      <c r="CP48" s="330">
        <f t="shared" si="10"/>
        <v>0</v>
      </c>
      <c r="CQ48" s="330">
        <f t="shared" si="11"/>
        <v>0</v>
      </c>
      <c r="CR48" s="330">
        <f t="shared" si="12"/>
        <v>0</v>
      </c>
      <c r="CS48" s="330">
        <f t="shared" si="13"/>
        <v>0</v>
      </c>
      <c r="CT48" s="330">
        <f t="shared" si="14"/>
        <v>0</v>
      </c>
      <c r="CU48" s="330">
        <f t="shared" si="57"/>
        <v>0</v>
      </c>
      <c r="CV48" s="330">
        <f t="shared" si="57"/>
        <v>0</v>
      </c>
      <c r="CW48" s="330">
        <f t="shared" si="57"/>
        <v>0</v>
      </c>
      <c r="CX48" s="330">
        <f t="shared" si="57"/>
        <v>0</v>
      </c>
      <c r="CY48" s="330">
        <f t="shared" si="57"/>
        <v>0</v>
      </c>
      <c r="CZ48" s="330">
        <f t="shared" si="57"/>
        <v>0</v>
      </c>
      <c r="DA48" s="330">
        <f t="shared" si="57"/>
        <v>0</v>
      </c>
      <c r="DB48" s="330">
        <f t="shared" si="57"/>
        <v>0</v>
      </c>
      <c r="DC48" s="330">
        <f t="shared" si="57"/>
        <v>0</v>
      </c>
      <c r="DD48" s="330">
        <f t="shared" si="57"/>
        <v>0</v>
      </c>
      <c r="DE48" s="330">
        <f t="shared" si="58"/>
        <v>0</v>
      </c>
      <c r="DF48" s="330">
        <f t="shared" si="58"/>
        <v>0</v>
      </c>
      <c r="DG48" s="330">
        <f t="shared" si="58"/>
        <v>0</v>
      </c>
      <c r="DH48" s="330">
        <f t="shared" si="58"/>
        <v>0</v>
      </c>
      <c r="DI48" s="330">
        <f t="shared" si="58"/>
        <v>0</v>
      </c>
      <c r="DJ48" s="330">
        <f t="shared" si="58"/>
        <v>0</v>
      </c>
      <c r="DK48" s="330">
        <f t="shared" si="58"/>
        <v>0</v>
      </c>
      <c r="DL48" s="330">
        <f t="shared" si="58"/>
        <v>0</v>
      </c>
      <c r="DM48" s="330">
        <f t="shared" si="58"/>
        <v>0</v>
      </c>
      <c r="DN48" s="330">
        <f t="shared" si="58"/>
        <v>0</v>
      </c>
      <c r="DO48" s="330">
        <f t="shared" si="58"/>
        <v>0</v>
      </c>
      <c r="DP48" s="330">
        <f t="shared" si="37"/>
        <v>0</v>
      </c>
      <c r="DQ48" s="217"/>
      <c r="DR48" s="217"/>
      <c r="DS48" s="217"/>
      <c r="DT48" s="217"/>
    </row>
    <row r="49" spans="1:124" x14ac:dyDescent="0.3">
      <c r="A49" s="332"/>
      <c r="B49" s="221" t="s">
        <v>304</v>
      </c>
      <c r="C49" s="221" t="str">
        <f>IF('Simplified Material Balance'!C19=0,"",'Simplified Material Balance'!C19)</f>
        <v/>
      </c>
      <c r="D49" s="221" t="str">
        <f>IF('Simplified Material Balance'!D19=0,"",'Simplified Material Balance'!D19)</f>
        <v/>
      </c>
      <c r="E49" s="221" t="str">
        <f>IF('Simplified Material Balance'!E19=0,"",'Simplified Material Balance'!E19)</f>
        <v/>
      </c>
      <c r="F49" s="221" t="str">
        <f>IF('Simplified Material Balance'!F19=0,"",'Simplified Material Balance'!F19)</f>
        <v/>
      </c>
      <c r="G49" s="272">
        <f>IF('Simplified Material Balance'!H19&gt;'Simplified Material Balance'!G19,0,('Simplified Material Balance'!G19-'Simplified Material Balance'!H19)*Conversions!$C$4)</f>
        <v>0</v>
      </c>
      <c r="H49" s="272">
        <f>'Simplified Material Balance'!I19*Conversions!$C$4</f>
        <v>0</v>
      </c>
      <c r="I49" s="272">
        <f>('Simplified Material Balance'!J19-'Simplified Material Balance'!K19)*Conversions!$C$4</f>
        <v>0</v>
      </c>
      <c r="J49" s="325">
        <f>IF('Simplified Material Balance'!L19=0,0,'Simplified Material Balance'!L19)</f>
        <v>0</v>
      </c>
      <c r="K49" s="465"/>
      <c r="L49" s="333">
        <f>IF($F49="",0,IF($F49="Weighted Average",$G49*VLOOKUP($D49&amp;" (Install)",Lists!$C$72:$R$232,COLUMNS(Lists!$C$69:E$69),0)*VLOOKUP(BE$3,Conversions!$B$12:$E$34,4,0),$G49*VLOOKUP($F49,Lists!$C$72:$R$232,COLUMNS(Lists!$C$69:E$69),0)*VLOOKUP(BE$3,Conversions!$B$12:$E$34,4,0)))</f>
        <v>0</v>
      </c>
      <c r="M49" s="333">
        <f>IF($F49="",0,IF($F49="Weighted Average",$G49*VLOOKUP($D49&amp;" (Install)",Lists!$C$72:$R$232,COLUMNS(Lists!$C$69:F$69),0)*VLOOKUP(BF$3,Conversions!$B$12:$E$34,4,0),$G49*VLOOKUP($F49,Lists!$C$72:$R$232,COLUMNS(Lists!$C$69:F$69),0)*VLOOKUP(BF$3,Conversions!$B$12:$E$34,4,0)))</f>
        <v>0</v>
      </c>
      <c r="N49" s="333">
        <f>IF($F49="",0,IF($F49="Weighted Average",$G49*VLOOKUP($D49&amp;" (Install)",Lists!$C$72:$R$232,COLUMNS(Lists!$C$69:G$69),0)*VLOOKUP(BG$3,Conversions!$B$12:$E$34,4,0),$G49*VLOOKUP($F49,Lists!$C$72:$R$232,COLUMNS(Lists!$C$69:G$69),0)*VLOOKUP(BG$3,Conversions!$B$12:$E$34,4,0)))</f>
        <v>0</v>
      </c>
      <c r="O49" s="333">
        <f>IF($F49="",0,IF($F49="Weighted Average",$G49*VLOOKUP($D49&amp;" (Install)",Lists!$C$72:$R$232,COLUMNS(Lists!$C$69:H$69),0)*VLOOKUP(BH$3,Conversions!$B$12:$E$34,4,0),$G49*VLOOKUP($F49,Lists!$C$72:$R$232,COLUMNS(Lists!$C$69:H$69),0)*VLOOKUP(BH$3,Conversions!$B$12:$E$34,4,0)))</f>
        <v>0</v>
      </c>
      <c r="P49" s="333">
        <f>IF($F49="",0,IF($F49="Weighted Average",$G49*VLOOKUP($D49&amp;" (Install)",Lists!$C$72:$R$232,COLUMNS(Lists!$C$69:I$69),0)*VLOOKUP(BI$3,Conversions!$B$12:$E$34,4,0),$G49*VLOOKUP($F49,Lists!$C$72:$R$232,COLUMNS(Lists!$C$69:I$69),0)*VLOOKUP(BI$3,Conversions!$B$12:$E$34,4,0)))</f>
        <v>0</v>
      </c>
      <c r="Q49" s="333">
        <f>IF($F49="",0,IF($F49="Weighted Average",$G49*VLOOKUP($D49&amp;" (Install)",Lists!$C$72:$R$232,COLUMNS(Lists!$C$69:J$69),0)*VLOOKUP(BJ$3,Conversions!$B$12:$E$34,4,0),$G49*VLOOKUP($F49,Lists!$C$72:$R$232,COLUMNS(Lists!$C$69:J$69),0)*VLOOKUP(BJ$3,Conversions!$B$12:$E$34,4,0)))</f>
        <v>0</v>
      </c>
      <c r="R49" s="333">
        <f>IF($F49="",0,IF($F49="Weighted Average",$G49*VLOOKUP($D49&amp;" (Install)",Lists!$C$72:$R$232,COLUMNS(Lists!$C$69:K$69),0)*VLOOKUP(BK$3,Conversions!$B$12:$E$34,4,0),$G49*VLOOKUP($F49,Lists!$C$72:$R$232,COLUMNS(Lists!$C$69:K$69),0)*VLOOKUP(BK$3,Conversions!$B$12:$E$34,4,0)))</f>
        <v>0</v>
      </c>
      <c r="S49" s="333">
        <f>IF($F49="",0,IF($F49="Weighted Average",$G49*VLOOKUP($D49&amp;" (Install)",Lists!$C$72:$R$232,COLUMNS(Lists!$C$69:L$69),0)*VLOOKUP(BL$3,Conversions!$B$12:$E$34,4,0),$G49*VLOOKUP($F49,Lists!$C$72:$R$232,COLUMNS(Lists!$C$69:L$69),0)*VLOOKUP(BL$3,Conversions!$B$12:$E$34,4,0)))</f>
        <v>0</v>
      </c>
      <c r="T49" s="333">
        <f>IF($F49="",0,IF($F49="Weighted Average",$G49*VLOOKUP($D49&amp;" (Install)",Lists!$C$72:$R$232,COLUMNS(Lists!$C$69:M$69),0)*VLOOKUP(BM$3,Conversions!$B$12:$E$34,4,0),$G49*VLOOKUP($F49,Lists!$C$72:$R$232,COLUMNS(Lists!$C$69:M$69),0)*VLOOKUP(BM$3,Conversions!$B$12:$E$34,4,0)))</f>
        <v>0</v>
      </c>
      <c r="U49" s="333">
        <f>IF($F49="",0,IF($F49="Weighted Average",$G49*VLOOKUP($D49&amp;" (Install)",Lists!$C$72:$R$232,COLUMNS(Lists!$C$69:N$69),0)*VLOOKUP(BN$3,Conversions!$B$12:$E$34,4,0),$G49*VLOOKUP($F49,Lists!$C$72:$R$232,COLUMNS(Lists!$C$69:N$69),0)*VLOOKUP(BN$3,Conversions!$B$12:$E$34,4,0)))</f>
        <v>0</v>
      </c>
      <c r="V49" s="333">
        <f>IF($F49="",0,IF($F49="Weighted Average",$G49*VLOOKUP($D49&amp;" (Install)",Lists!$C$72:$R$232,COLUMNS(Lists!$C$69:O$69),0)*VLOOKUP(BO$3,Conversions!$B$12:$E$34,4,0),$G49*VLOOKUP($F49,Lists!$C$72:$R$232,COLUMNS(Lists!$C$69:O$69),0)*VLOOKUP(BO$3,Conversions!$B$12:$E$34,4,0)))</f>
        <v>0</v>
      </c>
      <c r="W49" s="333">
        <f>IF($F49="",0,IF($F49="Weighted Average",$G49*VLOOKUP($D49&amp;" (Install)",Lists!$C$72:$R$232,COLUMNS(Lists!$C$69:P$69),0)*VLOOKUP(BP$3,Conversions!$B$12:$E$34,4,0),$G49*VLOOKUP($F49,Lists!$C$72:$R$232,COLUMNS(Lists!$C$69:P$69),0)*VLOOKUP(BP$3,Conversions!$B$12:$E$34,4,0)))</f>
        <v>0</v>
      </c>
      <c r="X49" s="333">
        <f>IF($F49="",0,IF($F49="Weighted Average",$G49*VLOOKUP($D49&amp;" (Install)",Lists!$C$72:$R$232,COLUMNS(Lists!$C$69:Q$69),0)*VLOOKUP(BQ$3,Conversions!$B$12:$E$34,4,0),$G49*VLOOKUP($F49,Lists!$C$72:$R$232,COLUMNS(Lists!$C$69:Q$69),0)*VLOOKUP(BQ$3,Conversions!$B$12:$E$34,4,0)))</f>
        <v>0</v>
      </c>
      <c r="Y49" s="333">
        <f>IF($F49="",0,IF($F49="Weighted Average",$G49*VLOOKUP($D49&amp;" (Install)",Lists!$C$72:$R$232,COLUMNS(Lists!$C$69:R$69),0)*VLOOKUP(BR$3,Conversions!$B$12:$E$34,4,0),$G49*VLOOKUP($F49,Lists!$C$72:$R$232,COLUMNS(Lists!$C$69:R$69),0)*VLOOKUP(BR$3,Conversions!$B$12:$E$34,4,0)))</f>
        <v>0</v>
      </c>
      <c r="Z49" s="325">
        <f t="shared" si="38"/>
        <v>0</v>
      </c>
      <c r="AA49" s="334">
        <f>IF($F49="",0,IF($F49="Weighted Average",$H49*VLOOKUP($D49&amp;" (Operation)",Lists!$C$72:$R$232,COLUMNS(Lists!$C$69:E$69),0)*VLOOKUP(BE$3,Conversions!$B$12:$E$34,4,0),$H49*VLOOKUP($F49,Lists!$C$72:$R$232,COLUMNS(Lists!$C$69:E$69),0)*VLOOKUP(BE$3,Conversions!$B$12:$E$34,4,0)))</f>
        <v>0</v>
      </c>
      <c r="AB49" s="334">
        <f>IF($F49="",0,IF($F49="Weighted Average",$H49*VLOOKUP($D49&amp;" (Operation)",Lists!$C$72:$R$232,COLUMNS(Lists!$C$69:F$69),0)*VLOOKUP(BF$3,Conversions!$B$12:$E$34,4,0),$H49*VLOOKUP($F49,Lists!$C$72:$R$232,COLUMNS(Lists!$C$69:F$69),0)*VLOOKUP(BF$3,Conversions!$B$12:$E$34,4,0)))</f>
        <v>0</v>
      </c>
      <c r="AC49" s="334">
        <f>IF($F49="",0,IF($F49="Weighted Average",$H49*VLOOKUP($D49&amp;" (Operation)",Lists!$C$72:$R$232,COLUMNS(Lists!$C$69:G$69),0)*VLOOKUP(BG$3,Conversions!$B$12:$E$34,4,0),$H49*VLOOKUP($F49,Lists!$C$72:$R$232,COLUMNS(Lists!$C$69:G$69),0)*VLOOKUP(BG$3,Conversions!$B$12:$E$34,4,0)))</f>
        <v>0</v>
      </c>
      <c r="AD49" s="334">
        <f>IF($F49="",0,IF($F49="Weighted Average",$H49*VLOOKUP($D49&amp;" (Operation)",Lists!$C$72:$R$232,COLUMNS(Lists!$C$69:H$69),0)*VLOOKUP(BH$3,Conversions!$B$12:$E$34,4,0),$H49*VLOOKUP($F49,Lists!$C$72:$R$232,COLUMNS(Lists!$C$69:H$69),0)*VLOOKUP(BH$3,Conversions!$B$12:$E$34,4,0)))</f>
        <v>0</v>
      </c>
      <c r="AE49" s="334">
        <f>IF($F49="",0,IF($F49="Weighted Average",$H49*VLOOKUP($D49&amp;" (Operation)",Lists!$C$72:$R$232,COLUMNS(Lists!$C$69:I$69),0)*VLOOKUP(BI$3,Conversions!$B$12:$E$34,4,0),$H49*VLOOKUP($F49,Lists!$C$72:$R$232,COLUMNS(Lists!$C$69:I$69),0)*VLOOKUP(BI$3,Conversions!$B$12:$E$34,4,0)))</f>
        <v>0</v>
      </c>
      <c r="AF49" s="334">
        <f>IF($F49="",0,IF($F49="Weighted Average",$H49*VLOOKUP($D49&amp;" (Operation)",Lists!$C$72:$R$232,COLUMNS(Lists!$C$69:J$69),0)*VLOOKUP(BJ$3,Conversions!$B$12:$E$34,4,0),$H49*VLOOKUP($F49,Lists!$C$72:$R$232,COLUMNS(Lists!$C$69:J$69),0)*VLOOKUP(BJ$3,Conversions!$B$12:$E$34,4,0)))</f>
        <v>0</v>
      </c>
      <c r="AG49" s="334">
        <f>IF($F49="",0,IF($F49="Weighted Average",$H49*VLOOKUP($D49&amp;" (Operation)",Lists!$C$72:$R$232,COLUMNS(Lists!$C$69:K$69),0)*VLOOKUP(BK$3,Conversions!$B$12:$E$34,4,0),$H49*VLOOKUP($F49,Lists!$C$72:$R$232,COLUMNS(Lists!$C$69:K$69),0)*VLOOKUP(BK$3,Conversions!$B$12:$E$34,4,0)))</f>
        <v>0</v>
      </c>
      <c r="AH49" s="334">
        <f>IF($F49="",0,IF($F49="Weighted Average",$H49*VLOOKUP($D49&amp;" (Operation)",Lists!$C$72:$R$232,COLUMNS(Lists!$C$69:L$69),0)*VLOOKUP(BL$3,Conversions!$B$12:$E$34,4,0),$H49*VLOOKUP($F49,Lists!$C$72:$R$232,COLUMNS(Lists!$C$69:L$69),0)*VLOOKUP(BL$3,Conversions!$B$12:$E$34,4,0)))</f>
        <v>0</v>
      </c>
      <c r="AI49" s="334">
        <f>IF($F49="",0,IF($F49="Weighted Average",$H49*VLOOKUP($D49&amp;" (Operation)",Lists!$C$72:$R$232,COLUMNS(Lists!$C$69:M$69),0)*VLOOKUP(BM$3,Conversions!$B$12:$E$34,4,0),$H49*VLOOKUP($F49,Lists!$C$72:$R$232,COLUMNS(Lists!$C$69:M$69),0)*VLOOKUP(BM$3,Conversions!$B$12:$E$34,4,0)))</f>
        <v>0</v>
      </c>
      <c r="AJ49" s="334">
        <f>IF($F49="",0,IF($F49="Weighted Average",$H49*VLOOKUP($D49&amp;" (Operation)",Lists!$C$72:$R$232,COLUMNS(Lists!$C$69:N$69),0)*VLOOKUP(BN$3,Conversions!$B$12:$E$34,4,0),$H49*VLOOKUP($F49,Lists!$C$72:$R$232,COLUMNS(Lists!$C$69:N$69),0)*VLOOKUP(BN$3,Conversions!$B$12:$E$34,4,0)))</f>
        <v>0</v>
      </c>
      <c r="AK49" s="334">
        <f>IF($F49="",0,IF($F49="Weighted Average",$H49*VLOOKUP($D49&amp;" (Operation)",Lists!$C$72:$R$232,COLUMNS(Lists!$C$69:O$69),0)*VLOOKUP(BO$3,Conversions!$B$12:$E$34,4,0),$H49*VLOOKUP($F49,Lists!$C$72:$R$232,COLUMNS(Lists!$C$69:O$69),0)*VLOOKUP(BO$3,Conversions!$B$12:$E$34,4,0)))</f>
        <v>0</v>
      </c>
      <c r="AL49" s="334">
        <f>IF($F49="",0,IF($F49="Weighted Average",$H49*VLOOKUP($D49&amp;" (Operation)",Lists!$C$72:$R$232,COLUMNS(Lists!$C$69:P$69),0)*VLOOKUP(BP$3,Conversions!$B$12:$E$34,4,0),$H49*VLOOKUP($F49,Lists!$C$72:$R$232,COLUMNS(Lists!$C$69:P$69),0)*VLOOKUP(BP$3,Conversions!$B$12:$E$34,4,0)))</f>
        <v>0</v>
      </c>
      <c r="AM49" s="334">
        <f>IF($F49="",0,IF($F49="Weighted Average",$H49*VLOOKUP($D49&amp;" (Operation)",Lists!$C$72:$R$232,COLUMNS(Lists!$C$69:Q$69),0)*VLOOKUP(BQ$3,Conversions!$B$12:$E$34,4,0),$H49*VLOOKUP($F49,Lists!$C$72:$R$232,COLUMNS(Lists!$C$69:Q$69),0)*VLOOKUP(BQ$3,Conversions!$B$12:$E$34,4,0)))</f>
        <v>0</v>
      </c>
      <c r="AN49" s="334">
        <f>IF($F49="",0,IF($F49="Weighted Average",$H49*VLOOKUP($D49&amp;" (Operation)",Lists!$C$72:$R$232,COLUMNS(Lists!$C$69:R$69),0)*VLOOKUP(BR$3,Conversions!$B$12:$E$34,4,0),$H49*VLOOKUP($F49,Lists!$C$72:$R$232,COLUMNS(Lists!$C$69:R$69),0)*VLOOKUP(BR$3,Conversions!$B$12:$E$34,4,0)))</f>
        <v>0</v>
      </c>
      <c r="AO49" s="330">
        <f t="shared" si="39"/>
        <v>0</v>
      </c>
      <c r="AP49" s="333">
        <f>IF($F49="",0,IF($F49="Weighted Average",$I49*VLOOKUP($D49&amp;" (Disposal)",Lists!$C$72:$R$232,COLUMNS(Lists!$C$69:E$69),0)*VLOOKUP(BE$3,Conversions!$B$12:$E$34,4,0),$I49*VLOOKUP($F49,Lists!$C$72:$R$232,COLUMNS(Lists!$C$69:E$69),0)*VLOOKUP(BE$3,Conversions!$B$12:$E$34,4,0)))</f>
        <v>0</v>
      </c>
      <c r="AQ49" s="333">
        <f>IF($F49="",0,IF($F49="Weighted Average",$I49*VLOOKUP($D49&amp;" (Disposal)",Lists!$C$72:$R$232,COLUMNS(Lists!$C$69:F$69),0)*VLOOKUP(BF$3,Conversions!$B$12:$E$34,4,0),$I49*VLOOKUP($F49,Lists!$C$72:$R$232,COLUMNS(Lists!$C$69:F$69),0)*VLOOKUP(BF$3,Conversions!$B$12:$E$34,4,0)))</f>
        <v>0</v>
      </c>
      <c r="AR49" s="333">
        <f>IF($F49="",0,IF($F49="Weighted Average",$I49*VLOOKUP($D49&amp;" (Disposal)",Lists!$C$72:$R$232,COLUMNS(Lists!$C$69:G$69),0)*VLOOKUP(BG$3,Conversions!$B$12:$E$34,4,0),$I49*VLOOKUP($F49,Lists!$C$72:$R$232,COLUMNS(Lists!$C$69:G$69),0)*VLOOKUP(BG$3,Conversions!$B$12:$E$34,4,0)))</f>
        <v>0</v>
      </c>
      <c r="AS49" s="333">
        <f>IF($F49="",0,IF($F49="Weighted Average",$I49*VLOOKUP($D49&amp;" (Disposal)",Lists!$C$72:$R$232,COLUMNS(Lists!$C$69:H$69),0)*VLOOKUP(BH$3,Conversions!$B$12:$E$34,4,0),$I49*VLOOKUP($F49,Lists!$C$72:$R$232,COLUMNS(Lists!$C$69:H$69),0)*VLOOKUP(BH$3,Conversions!$B$12:$E$34,4,0)))</f>
        <v>0</v>
      </c>
      <c r="AT49" s="333">
        <f>IF($F49="",0,IF($F49="Weighted Average",$I49*VLOOKUP($D49&amp;" (Disposal)",Lists!$C$72:$R$232,COLUMNS(Lists!$C$69:I$69),0)*VLOOKUP(BI$3,Conversions!$B$12:$E$34,4,0),$I49*VLOOKUP($F49,Lists!$C$72:$R$232,COLUMNS(Lists!$C$69:I$69),0)*VLOOKUP(BI$3,Conversions!$B$12:$E$34,4,0)))</f>
        <v>0</v>
      </c>
      <c r="AU49" s="333">
        <f>IF($F49="",0,IF($F49="Weighted Average",$I49*VLOOKUP($D49&amp;" (Disposal)",Lists!$C$72:$R$232,COLUMNS(Lists!$C$69:J$69),0)*VLOOKUP(BJ$3,Conversions!$B$12:$E$34,4,0),$I49*VLOOKUP($F49,Lists!$C$72:$R$232,COLUMNS(Lists!$C$69:J$69),0)*VLOOKUP(BJ$3,Conversions!$B$12:$E$34,4,0)))</f>
        <v>0</v>
      </c>
      <c r="AV49" s="333">
        <f>IF($F49="",0,IF($F49="Weighted Average",$I49*VLOOKUP($D49&amp;" (Disposal)",Lists!$C$72:$R$232,COLUMNS(Lists!$C$69:K$69),0)*VLOOKUP(BK$3,Conversions!$B$12:$E$34,4,0),$I49*VLOOKUP($F49,Lists!$C$72:$R$232,COLUMNS(Lists!$C$69:K$69),0)*VLOOKUP(BK$3,Conversions!$B$12:$E$34,4,0)))</f>
        <v>0</v>
      </c>
      <c r="AW49" s="333">
        <f>IF($F49="",0,IF($F49="Weighted Average",$I49*VLOOKUP($D49&amp;" (Disposal)",Lists!$C$72:$R$232,COLUMNS(Lists!$C$69:L$69),0)*VLOOKUP(BL$3,Conversions!$B$12:$E$34,4,0),$I49*VLOOKUP($F49,Lists!$C$72:$R$232,COLUMNS(Lists!$C$69:L$69),0)*VLOOKUP(BL$3,Conversions!$B$12:$E$34,4,0)))</f>
        <v>0</v>
      </c>
      <c r="AX49" s="333">
        <f>IF($F49="",0,IF($F49="Weighted Average",$I49*VLOOKUP($D49&amp;" (Disposal)",Lists!$C$72:$R$232,COLUMNS(Lists!$C$69:M$69),0)*VLOOKUP(BM$3,Conversions!$B$12:$E$34,4,0),$I49*VLOOKUP($F49,Lists!$C$72:$R$232,COLUMNS(Lists!$C$69:M$69),0)*VLOOKUP(BM$3,Conversions!$B$12:$E$34,4,0)))</f>
        <v>0</v>
      </c>
      <c r="AY49" s="333">
        <f>IF($F49="",0,IF($F49="Weighted Average",$I49*VLOOKUP($D49&amp;" (Disposal)",Lists!$C$72:$R$232,COLUMNS(Lists!$C$69:N$69),0)*VLOOKUP(BN$3,Conversions!$B$12:$E$34,4,0),$I49*VLOOKUP($F49,Lists!$C$72:$R$232,COLUMNS(Lists!$C$69:N$69),0)*VLOOKUP(BN$3,Conversions!$B$12:$E$34,4,0)))</f>
        <v>0</v>
      </c>
      <c r="AZ49" s="333">
        <f>IF($F49="",0,IF($F49="Weighted Average",$I49*VLOOKUP($D49&amp;" (Disposal)",Lists!$C$72:$R$232,COLUMNS(Lists!$C$69:O$69),0)*VLOOKUP(BO$3,Conversions!$B$12:$E$34,4,0),$I49*VLOOKUP($F49,Lists!$C$72:$R$232,COLUMNS(Lists!$C$69:O$69),0)*VLOOKUP(BO$3,Conversions!$B$12:$E$34,4,0)))</f>
        <v>0</v>
      </c>
      <c r="BA49" s="333">
        <f>IF($F49="",0,IF($F49="Weighted Average",$I49*VLOOKUP($D49&amp;" (Disposal)",Lists!$C$72:$R$232,COLUMNS(Lists!$C$69:P$69),0)*VLOOKUP(BP$3,Conversions!$B$12:$E$34,4,0),$I49*VLOOKUP($F49,Lists!$C$72:$R$232,COLUMNS(Lists!$C$69:P$69),0)*VLOOKUP(BP$3,Conversions!$B$12:$E$34,4,0)))</f>
        <v>0</v>
      </c>
      <c r="BB49" s="333">
        <f>IF($F49="",0,IF($F49="Weighted Average",$I49*VLOOKUP($D49&amp;" (Disposal)",Lists!$C$72:$R$232,COLUMNS(Lists!$C$69:Q$69),0)*VLOOKUP(BQ$3,Conversions!$B$12:$E$34,4,0),$I49*VLOOKUP($F49,Lists!$C$72:$R$232,COLUMNS(Lists!$C$69:Q$69),0)*VLOOKUP(BQ$3,Conversions!$B$12:$E$34,4,0)))</f>
        <v>0</v>
      </c>
      <c r="BC49" s="333">
        <f>IF($F49="",0,IF($F49="Weighted Average",$I49*VLOOKUP($D49&amp;" (Disposal)",Lists!$C$72:$R$232,COLUMNS(Lists!$C$69:R$69),0)*VLOOKUP(BR$3,Conversions!$B$12:$E$34,4,0),$I49*VLOOKUP($F49,Lists!$C$72:$R$232,COLUMNS(Lists!$C$69:R$69),0)*VLOOKUP(BR$3,Conversions!$B$12:$E$34,4,0)))</f>
        <v>0</v>
      </c>
      <c r="BD49" s="333">
        <f t="shared" si="40"/>
        <v>0</v>
      </c>
      <c r="BE49" s="330">
        <f t="shared" si="41"/>
        <v>0</v>
      </c>
      <c r="BF49" s="330">
        <f t="shared" si="42"/>
        <v>0</v>
      </c>
      <c r="BG49" s="330">
        <f t="shared" si="43"/>
        <v>0</v>
      </c>
      <c r="BH49" s="330">
        <f t="shared" si="44"/>
        <v>0</v>
      </c>
      <c r="BI49" s="330">
        <f t="shared" si="45"/>
        <v>0</v>
      </c>
      <c r="BJ49" s="330">
        <f t="shared" si="46"/>
        <v>0</v>
      </c>
      <c r="BK49" s="330">
        <f t="shared" si="47"/>
        <v>0</v>
      </c>
      <c r="BL49" s="330">
        <f t="shared" si="48"/>
        <v>0</v>
      </c>
      <c r="BM49" s="330">
        <f t="shared" si="49"/>
        <v>0</v>
      </c>
      <c r="BN49" s="330">
        <f t="shared" si="50"/>
        <v>0</v>
      </c>
      <c r="BO49" s="330">
        <f t="shared" si="51"/>
        <v>0</v>
      </c>
      <c r="BP49" s="330">
        <f t="shared" si="52"/>
        <v>0</v>
      </c>
      <c r="BQ49" s="330">
        <f t="shared" si="53"/>
        <v>0</v>
      </c>
      <c r="BR49" s="330">
        <f t="shared" si="54"/>
        <v>0</v>
      </c>
      <c r="BS49" s="330">
        <f t="shared" si="55"/>
        <v>0</v>
      </c>
      <c r="BT49" s="329">
        <f t="shared" si="56"/>
        <v>0</v>
      </c>
      <c r="BU49" s="329">
        <f t="shared" si="56"/>
        <v>0</v>
      </c>
      <c r="BV49" s="329">
        <f t="shared" si="56"/>
        <v>0</v>
      </c>
      <c r="BW49" s="329">
        <f t="shared" si="56"/>
        <v>0</v>
      </c>
      <c r="BX49" s="329">
        <f t="shared" si="56"/>
        <v>0</v>
      </c>
      <c r="BY49" s="329">
        <f t="shared" si="56"/>
        <v>0</v>
      </c>
      <c r="BZ49" s="329">
        <f t="shared" si="56"/>
        <v>0</v>
      </c>
      <c r="CA49" s="329">
        <f t="shared" si="56"/>
        <v>0</v>
      </c>
      <c r="CB49" s="329">
        <f t="shared" si="56"/>
        <v>0</v>
      </c>
      <c r="CC49" s="329">
        <f t="shared" si="56"/>
        <v>0</v>
      </c>
      <c r="CD49" s="329">
        <f t="shared" si="56"/>
        <v>0</v>
      </c>
      <c r="CE49" s="329">
        <f t="shared" si="56"/>
        <v>0</v>
      </c>
      <c r="CF49" s="329">
        <f t="shared" si="56"/>
        <v>0</v>
      </c>
      <c r="CG49" s="329">
        <f t="shared" si="56"/>
        <v>0</v>
      </c>
      <c r="CH49" s="329">
        <f t="shared" si="56"/>
        <v>0</v>
      </c>
      <c r="CI49" s="329">
        <f t="shared" si="56"/>
        <v>0</v>
      </c>
      <c r="CJ49" s="331">
        <f t="shared" si="1"/>
        <v>0</v>
      </c>
      <c r="CK49" s="330">
        <f t="shared" si="5"/>
        <v>0</v>
      </c>
      <c r="CL49" s="330">
        <f t="shared" si="6"/>
        <v>0</v>
      </c>
      <c r="CM49" s="330">
        <f t="shared" si="7"/>
        <v>0</v>
      </c>
      <c r="CN49" s="330">
        <f t="shared" si="8"/>
        <v>0</v>
      </c>
      <c r="CO49" s="330">
        <f t="shared" si="9"/>
        <v>0</v>
      </c>
      <c r="CP49" s="330">
        <f t="shared" si="10"/>
        <v>0</v>
      </c>
      <c r="CQ49" s="330">
        <f t="shared" si="11"/>
        <v>0</v>
      </c>
      <c r="CR49" s="330">
        <f t="shared" si="12"/>
        <v>0</v>
      </c>
      <c r="CS49" s="330">
        <f t="shared" si="13"/>
        <v>0</v>
      </c>
      <c r="CT49" s="330">
        <f t="shared" si="14"/>
        <v>0</v>
      </c>
      <c r="CU49" s="330">
        <f t="shared" si="57"/>
        <v>0</v>
      </c>
      <c r="CV49" s="330">
        <f t="shared" si="57"/>
        <v>0</v>
      </c>
      <c r="CW49" s="330">
        <f t="shared" si="57"/>
        <v>0</v>
      </c>
      <c r="CX49" s="330">
        <f t="shared" si="57"/>
        <v>0</v>
      </c>
      <c r="CY49" s="330">
        <f t="shared" si="57"/>
        <v>0</v>
      </c>
      <c r="CZ49" s="330">
        <f t="shared" si="57"/>
        <v>0</v>
      </c>
      <c r="DA49" s="330">
        <f t="shared" si="57"/>
        <v>0</v>
      </c>
      <c r="DB49" s="330">
        <f t="shared" si="57"/>
        <v>0</v>
      </c>
      <c r="DC49" s="330">
        <f t="shared" si="57"/>
        <v>0</v>
      </c>
      <c r="DD49" s="330">
        <f t="shared" si="57"/>
        <v>0</v>
      </c>
      <c r="DE49" s="330">
        <f t="shared" si="58"/>
        <v>0</v>
      </c>
      <c r="DF49" s="330">
        <f t="shared" si="58"/>
        <v>0</v>
      </c>
      <c r="DG49" s="330">
        <f t="shared" si="58"/>
        <v>0</v>
      </c>
      <c r="DH49" s="330">
        <f t="shared" si="58"/>
        <v>0</v>
      </c>
      <c r="DI49" s="330">
        <f t="shared" si="58"/>
        <v>0</v>
      </c>
      <c r="DJ49" s="330">
        <f t="shared" si="58"/>
        <v>0</v>
      </c>
      <c r="DK49" s="330">
        <f t="shared" si="58"/>
        <v>0</v>
      </c>
      <c r="DL49" s="330">
        <f t="shared" si="58"/>
        <v>0</v>
      </c>
      <c r="DM49" s="330">
        <f t="shared" si="58"/>
        <v>0</v>
      </c>
      <c r="DN49" s="330">
        <f t="shared" si="58"/>
        <v>0</v>
      </c>
      <c r="DO49" s="330">
        <f t="shared" si="58"/>
        <v>0</v>
      </c>
      <c r="DP49" s="330">
        <f t="shared" si="37"/>
        <v>0</v>
      </c>
      <c r="DQ49" s="217"/>
      <c r="DR49" s="217"/>
      <c r="DS49" s="217"/>
      <c r="DT49" s="217"/>
    </row>
    <row r="50" spans="1:124" x14ac:dyDescent="0.3">
      <c r="A50" s="332"/>
      <c r="B50" s="221" t="s">
        <v>304</v>
      </c>
      <c r="C50" s="221" t="str">
        <f>IF('Simplified Material Balance'!C20=0,"",'Simplified Material Balance'!C20)</f>
        <v/>
      </c>
      <c r="D50" s="221" t="str">
        <f>IF('Simplified Material Balance'!D20=0,"",'Simplified Material Balance'!D20)</f>
        <v/>
      </c>
      <c r="E50" s="221" t="str">
        <f>IF('Simplified Material Balance'!E20=0,"",'Simplified Material Balance'!E20)</f>
        <v/>
      </c>
      <c r="F50" s="221" t="str">
        <f>IF('Simplified Material Balance'!F20=0,"",'Simplified Material Balance'!F20)</f>
        <v/>
      </c>
      <c r="G50" s="272">
        <f>IF('Simplified Material Balance'!H20&gt;'Simplified Material Balance'!G20,0,('Simplified Material Balance'!G20-'Simplified Material Balance'!H20)*Conversions!$C$4)</f>
        <v>0</v>
      </c>
      <c r="H50" s="272">
        <f>'Simplified Material Balance'!I20*Conversions!$C$4</f>
        <v>0</v>
      </c>
      <c r="I50" s="272">
        <f>('Simplified Material Balance'!J20-'Simplified Material Balance'!K20)*Conversions!$C$4</f>
        <v>0</v>
      </c>
      <c r="J50" s="325">
        <f>IF('Simplified Material Balance'!L20=0,0,'Simplified Material Balance'!L20)</f>
        <v>0</v>
      </c>
      <c r="K50" s="465"/>
      <c r="L50" s="333">
        <f>IF($F50="",0,IF($F50="Weighted Average",$G50*VLOOKUP($D50&amp;" (Install)",Lists!$C$72:$R$232,COLUMNS(Lists!$C$69:E$69),0)*VLOOKUP(BE$3,Conversions!$B$12:$E$34,4,0),$G50*VLOOKUP($F50,Lists!$C$72:$R$232,COLUMNS(Lists!$C$69:E$69),0)*VLOOKUP(BE$3,Conversions!$B$12:$E$34,4,0)))</f>
        <v>0</v>
      </c>
      <c r="M50" s="333">
        <f>IF($F50="",0,IF($F50="Weighted Average",$G50*VLOOKUP($D50&amp;" (Install)",Lists!$C$72:$R$232,COLUMNS(Lists!$C$69:F$69),0)*VLOOKUP(BF$3,Conversions!$B$12:$E$34,4,0),$G50*VLOOKUP($F50,Lists!$C$72:$R$232,COLUMNS(Lists!$C$69:F$69),0)*VLOOKUP(BF$3,Conversions!$B$12:$E$34,4,0)))</f>
        <v>0</v>
      </c>
      <c r="N50" s="333">
        <f>IF($F50="",0,IF($F50="Weighted Average",$G50*VLOOKUP($D50&amp;" (Install)",Lists!$C$72:$R$232,COLUMNS(Lists!$C$69:G$69),0)*VLOOKUP(BG$3,Conversions!$B$12:$E$34,4,0),$G50*VLOOKUP($F50,Lists!$C$72:$R$232,COLUMNS(Lists!$C$69:G$69),0)*VLOOKUP(BG$3,Conversions!$B$12:$E$34,4,0)))</f>
        <v>0</v>
      </c>
      <c r="O50" s="333">
        <f>IF($F50="",0,IF($F50="Weighted Average",$G50*VLOOKUP($D50&amp;" (Install)",Lists!$C$72:$R$232,COLUMNS(Lists!$C$69:H$69),0)*VLOOKUP(BH$3,Conversions!$B$12:$E$34,4,0),$G50*VLOOKUP($F50,Lists!$C$72:$R$232,COLUMNS(Lists!$C$69:H$69),0)*VLOOKUP(BH$3,Conversions!$B$12:$E$34,4,0)))</f>
        <v>0</v>
      </c>
      <c r="P50" s="333">
        <f>IF($F50="",0,IF($F50="Weighted Average",$G50*VLOOKUP($D50&amp;" (Install)",Lists!$C$72:$R$232,COLUMNS(Lists!$C$69:I$69),0)*VLOOKUP(BI$3,Conversions!$B$12:$E$34,4,0),$G50*VLOOKUP($F50,Lists!$C$72:$R$232,COLUMNS(Lists!$C$69:I$69),0)*VLOOKUP(BI$3,Conversions!$B$12:$E$34,4,0)))</f>
        <v>0</v>
      </c>
      <c r="Q50" s="333">
        <f>IF($F50="",0,IF($F50="Weighted Average",$G50*VLOOKUP($D50&amp;" (Install)",Lists!$C$72:$R$232,COLUMNS(Lists!$C$69:J$69),0)*VLOOKUP(BJ$3,Conversions!$B$12:$E$34,4,0),$G50*VLOOKUP($F50,Lists!$C$72:$R$232,COLUMNS(Lists!$C$69:J$69),0)*VLOOKUP(BJ$3,Conversions!$B$12:$E$34,4,0)))</f>
        <v>0</v>
      </c>
      <c r="R50" s="333">
        <f>IF($F50="",0,IF($F50="Weighted Average",$G50*VLOOKUP($D50&amp;" (Install)",Lists!$C$72:$R$232,COLUMNS(Lists!$C$69:K$69),0)*VLOOKUP(BK$3,Conversions!$B$12:$E$34,4,0),$G50*VLOOKUP($F50,Lists!$C$72:$R$232,COLUMNS(Lists!$C$69:K$69),0)*VLOOKUP(BK$3,Conversions!$B$12:$E$34,4,0)))</f>
        <v>0</v>
      </c>
      <c r="S50" s="333">
        <f>IF($F50="",0,IF($F50="Weighted Average",$G50*VLOOKUP($D50&amp;" (Install)",Lists!$C$72:$R$232,COLUMNS(Lists!$C$69:L$69),0)*VLOOKUP(BL$3,Conversions!$B$12:$E$34,4,0),$G50*VLOOKUP($F50,Lists!$C$72:$R$232,COLUMNS(Lists!$C$69:L$69),0)*VLOOKUP(BL$3,Conversions!$B$12:$E$34,4,0)))</f>
        <v>0</v>
      </c>
      <c r="T50" s="333">
        <f>IF($F50="",0,IF($F50="Weighted Average",$G50*VLOOKUP($D50&amp;" (Install)",Lists!$C$72:$R$232,COLUMNS(Lists!$C$69:M$69),0)*VLOOKUP(BM$3,Conversions!$B$12:$E$34,4,0),$G50*VLOOKUP($F50,Lists!$C$72:$R$232,COLUMNS(Lists!$C$69:M$69),0)*VLOOKUP(BM$3,Conversions!$B$12:$E$34,4,0)))</f>
        <v>0</v>
      </c>
      <c r="U50" s="333">
        <f>IF($F50="",0,IF($F50="Weighted Average",$G50*VLOOKUP($D50&amp;" (Install)",Lists!$C$72:$R$232,COLUMNS(Lists!$C$69:N$69),0)*VLOOKUP(BN$3,Conversions!$B$12:$E$34,4,0),$G50*VLOOKUP($F50,Lists!$C$72:$R$232,COLUMNS(Lists!$C$69:N$69),0)*VLOOKUP(BN$3,Conversions!$B$12:$E$34,4,0)))</f>
        <v>0</v>
      </c>
      <c r="V50" s="333">
        <f>IF($F50="",0,IF($F50="Weighted Average",$G50*VLOOKUP($D50&amp;" (Install)",Lists!$C$72:$R$232,COLUMNS(Lists!$C$69:O$69),0)*VLOOKUP(BO$3,Conversions!$B$12:$E$34,4,0),$G50*VLOOKUP($F50,Lists!$C$72:$R$232,COLUMNS(Lists!$C$69:O$69),0)*VLOOKUP(BO$3,Conversions!$B$12:$E$34,4,0)))</f>
        <v>0</v>
      </c>
      <c r="W50" s="333">
        <f>IF($F50="",0,IF($F50="Weighted Average",$G50*VLOOKUP($D50&amp;" (Install)",Lists!$C$72:$R$232,COLUMNS(Lists!$C$69:P$69),0)*VLOOKUP(BP$3,Conversions!$B$12:$E$34,4,0),$G50*VLOOKUP($F50,Lists!$C$72:$R$232,COLUMNS(Lists!$C$69:P$69),0)*VLOOKUP(BP$3,Conversions!$B$12:$E$34,4,0)))</f>
        <v>0</v>
      </c>
      <c r="X50" s="333">
        <f>IF($F50="",0,IF($F50="Weighted Average",$G50*VLOOKUP($D50&amp;" (Install)",Lists!$C$72:$R$232,COLUMNS(Lists!$C$69:Q$69),0)*VLOOKUP(BQ$3,Conversions!$B$12:$E$34,4,0),$G50*VLOOKUP($F50,Lists!$C$72:$R$232,COLUMNS(Lists!$C$69:Q$69),0)*VLOOKUP(BQ$3,Conversions!$B$12:$E$34,4,0)))</f>
        <v>0</v>
      </c>
      <c r="Y50" s="333">
        <f>IF($F50="",0,IF($F50="Weighted Average",$G50*VLOOKUP($D50&amp;" (Install)",Lists!$C$72:$R$232,COLUMNS(Lists!$C$69:R$69),0)*VLOOKUP(BR$3,Conversions!$B$12:$E$34,4,0),$G50*VLOOKUP($F50,Lists!$C$72:$R$232,COLUMNS(Lists!$C$69:R$69),0)*VLOOKUP(BR$3,Conversions!$B$12:$E$34,4,0)))</f>
        <v>0</v>
      </c>
      <c r="Z50" s="325">
        <f t="shared" si="38"/>
        <v>0</v>
      </c>
      <c r="AA50" s="334">
        <f>IF($F50="",0,IF($F50="Weighted Average",$H50*VLOOKUP($D50&amp;" (Operation)",Lists!$C$72:$R$232,COLUMNS(Lists!$C$69:E$69),0)*VLOOKUP(BE$3,Conversions!$B$12:$E$34,4,0),$H50*VLOOKUP($F50,Lists!$C$72:$R$232,COLUMNS(Lists!$C$69:E$69),0)*VLOOKUP(BE$3,Conversions!$B$12:$E$34,4,0)))</f>
        <v>0</v>
      </c>
      <c r="AB50" s="334">
        <f>IF($F50="",0,IF($F50="Weighted Average",$H50*VLOOKUP($D50&amp;" (Operation)",Lists!$C$72:$R$232,COLUMNS(Lists!$C$69:F$69),0)*VLOOKUP(BF$3,Conversions!$B$12:$E$34,4,0),$H50*VLOOKUP($F50,Lists!$C$72:$R$232,COLUMNS(Lists!$C$69:F$69),0)*VLOOKUP(BF$3,Conversions!$B$12:$E$34,4,0)))</f>
        <v>0</v>
      </c>
      <c r="AC50" s="334">
        <f>IF($F50="",0,IF($F50="Weighted Average",$H50*VLOOKUP($D50&amp;" (Operation)",Lists!$C$72:$R$232,COLUMNS(Lists!$C$69:G$69),0)*VLOOKUP(BG$3,Conversions!$B$12:$E$34,4,0),$H50*VLOOKUP($F50,Lists!$C$72:$R$232,COLUMNS(Lists!$C$69:G$69),0)*VLOOKUP(BG$3,Conversions!$B$12:$E$34,4,0)))</f>
        <v>0</v>
      </c>
      <c r="AD50" s="334">
        <f>IF($F50="",0,IF($F50="Weighted Average",$H50*VLOOKUP($D50&amp;" (Operation)",Lists!$C$72:$R$232,COLUMNS(Lists!$C$69:H$69),0)*VLOOKUP(BH$3,Conversions!$B$12:$E$34,4,0),$H50*VLOOKUP($F50,Lists!$C$72:$R$232,COLUMNS(Lists!$C$69:H$69),0)*VLOOKUP(BH$3,Conversions!$B$12:$E$34,4,0)))</f>
        <v>0</v>
      </c>
      <c r="AE50" s="334">
        <f>IF($F50="",0,IF($F50="Weighted Average",$H50*VLOOKUP($D50&amp;" (Operation)",Lists!$C$72:$R$232,COLUMNS(Lists!$C$69:I$69),0)*VLOOKUP(BI$3,Conversions!$B$12:$E$34,4,0),$H50*VLOOKUP($F50,Lists!$C$72:$R$232,COLUMNS(Lists!$C$69:I$69),0)*VLOOKUP(BI$3,Conversions!$B$12:$E$34,4,0)))</f>
        <v>0</v>
      </c>
      <c r="AF50" s="334">
        <f>IF($F50="",0,IF($F50="Weighted Average",$H50*VLOOKUP($D50&amp;" (Operation)",Lists!$C$72:$R$232,COLUMNS(Lists!$C$69:J$69),0)*VLOOKUP(BJ$3,Conversions!$B$12:$E$34,4,0),$H50*VLOOKUP($F50,Lists!$C$72:$R$232,COLUMNS(Lists!$C$69:J$69),0)*VLOOKUP(BJ$3,Conversions!$B$12:$E$34,4,0)))</f>
        <v>0</v>
      </c>
      <c r="AG50" s="334">
        <f>IF($F50="",0,IF($F50="Weighted Average",$H50*VLOOKUP($D50&amp;" (Operation)",Lists!$C$72:$R$232,COLUMNS(Lists!$C$69:K$69),0)*VLOOKUP(BK$3,Conversions!$B$12:$E$34,4,0),$H50*VLOOKUP($F50,Lists!$C$72:$R$232,COLUMNS(Lists!$C$69:K$69),0)*VLOOKUP(BK$3,Conversions!$B$12:$E$34,4,0)))</f>
        <v>0</v>
      </c>
      <c r="AH50" s="334">
        <f>IF($F50="",0,IF($F50="Weighted Average",$H50*VLOOKUP($D50&amp;" (Operation)",Lists!$C$72:$R$232,COLUMNS(Lists!$C$69:L$69),0)*VLOOKUP(BL$3,Conversions!$B$12:$E$34,4,0),$H50*VLOOKUP($F50,Lists!$C$72:$R$232,COLUMNS(Lists!$C$69:L$69),0)*VLOOKUP(BL$3,Conversions!$B$12:$E$34,4,0)))</f>
        <v>0</v>
      </c>
      <c r="AI50" s="334">
        <f>IF($F50="",0,IF($F50="Weighted Average",$H50*VLOOKUP($D50&amp;" (Operation)",Lists!$C$72:$R$232,COLUMNS(Lists!$C$69:M$69),0)*VLOOKUP(BM$3,Conversions!$B$12:$E$34,4,0),$H50*VLOOKUP($F50,Lists!$C$72:$R$232,COLUMNS(Lists!$C$69:M$69),0)*VLOOKUP(BM$3,Conversions!$B$12:$E$34,4,0)))</f>
        <v>0</v>
      </c>
      <c r="AJ50" s="334">
        <f>IF($F50="",0,IF($F50="Weighted Average",$H50*VLOOKUP($D50&amp;" (Operation)",Lists!$C$72:$R$232,COLUMNS(Lists!$C$69:N$69),0)*VLOOKUP(BN$3,Conversions!$B$12:$E$34,4,0),$H50*VLOOKUP($F50,Lists!$C$72:$R$232,COLUMNS(Lists!$C$69:N$69),0)*VLOOKUP(BN$3,Conversions!$B$12:$E$34,4,0)))</f>
        <v>0</v>
      </c>
      <c r="AK50" s="334">
        <f>IF($F50="",0,IF($F50="Weighted Average",$H50*VLOOKUP($D50&amp;" (Operation)",Lists!$C$72:$R$232,COLUMNS(Lists!$C$69:O$69),0)*VLOOKUP(BO$3,Conversions!$B$12:$E$34,4,0),$H50*VLOOKUP($F50,Lists!$C$72:$R$232,COLUMNS(Lists!$C$69:O$69),0)*VLOOKUP(BO$3,Conversions!$B$12:$E$34,4,0)))</f>
        <v>0</v>
      </c>
      <c r="AL50" s="334">
        <f>IF($F50="",0,IF($F50="Weighted Average",$H50*VLOOKUP($D50&amp;" (Operation)",Lists!$C$72:$R$232,COLUMNS(Lists!$C$69:P$69),0)*VLOOKUP(BP$3,Conversions!$B$12:$E$34,4,0),$H50*VLOOKUP($F50,Lists!$C$72:$R$232,COLUMNS(Lists!$C$69:P$69),0)*VLOOKUP(BP$3,Conversions!$B$12:$E$34,4,0)))</f>
        <v>0</v>
      </c>
      <c r="AM50" s="334">
        <f>IF($F50="",0,IF($F50="Weighted Average",$H50*VLOOKUP($D50&amp;" (Operation)",Lists!$C$72:$R$232,COLUMNS(Lists!$C$69:Q$69),0)*VLOOKUP(BQ$3,Conversions!$B$12:$E$34,4,0),$H50*VLOOKUP($F50,Lists!$C$72:$R$232,COLUMNS(Lists!$C$69:Q$69),0)*VLOOKUP(BQ$3,Conversions!$B$12:$E$34,4,0)))</f>
        <v>0</v>
      </c>
      <c r="AN50" s="334">
        <f>IF($F50="",0,IF($F50="Weighted Average",$H50*VLOOKUP($D50&amp;" (Operation)",Lists!$C$72:$R$232,COLUMNS(Lists!$C$69:R$69),0)*VLOOKUP(BR$3,Conversions!$B$12:$E$34,4,0),$H50*VLOOKUP($F50,Lists!$C$72:$R$232,COLUMNS(Lists!$C$69:R$69),0)*VLOOKUP(BR$3,Conversions!$B$12:$E$34,4,0)))</f>
        <v>0</v>
      </c>
      <c r="AO50" s="330">
        <f t="shared" si="39"/>
        <v>0</v>
      </c>
      <c r="AP50" s="333">
        <f>IF($F50="",0,IF($F50="Weighted Average",$I50*VLOOKUP($D50&amp;" (Disposal)",Lists!$C$72:$R$232,COLUMNS(Lists!$C$69:E$69),0)*VLOOKUP(BE$3,Conversions!$B$12:$E$34,4,0),$I50*VLOOKUP($F50,Lists!$C$72:$R$232,COLUMNS(Lists!$C$69:E$69),0)*VLOOKUP(BE$3,Conversions!$B$12:$E$34,4,0)))</f>
        <v>0</v>
      </c>
      <c r="AQ50" s="333">
        <f>IF($F50="",0,IF($F50="Weighted Average",$I50*VLOOKUP($D50&amp;" (Disposal)",Lists!$C$72:$R$232,COLUMNS(Lists!$C$69:F$69),0)*VLOOKUP(BF$3,Conversions!$B$12:$E$34,4,0),$I50*VLOOKUP($F50,Lists!$C$72:$R$232,COLUMNS(Lists!$C$69:F$69),0)*VLOOKUP(BF$3,Conversions!$B$12:$E$34,4,0)))</f>
        <v>0</v>
      </c>
      <c r="AR50" s="333">
        <f>IF($F50="",0,IF($F50="Weighted Average",$I50*VLOOKUP($D50&amp;" (Disposal)",Lists!$C$72:$R$232,COLUMNS(Lists!$C$69:G$69),0)*VLOOKUP(BG$3,Conversions!$B$12:$E$34,4,0),$I50*VLOOKUP($F50,Lists!$C$72:$R$232,COLUMNS(Lists!$C$69:G$69),0)*VLOOKUP(BG$3,Conversions!$B$12:$E$34,4,0)))</f>
        <v>0</v>
      </c>
      <c r="AS50" s="333">
        <f>IF($F50="",0,IF($F50="Weighted Average",$I50*VLOOKUP($D50&amp;" (Disposal)",Lists!$C$72:$R$232,COLUMNS(Lists!$C$69:H$69),0)*VLOOKUP(BH$3,Conversions!$B$12:$E$34,4,0),$I50*VLOOKUP($F50,Lists!$C$72:$R$232,COLUMNS(Lists!$C$69:H$69),0)*VLOOKUP(BH$3,Conversions!$B$12:$E$34,4,0)))</f>
        <v>0</v>
      </c>
      <c r="AT50" s="333">
        <f>IF($F50="",0,IF($F50="Weighted Average",$I50*VLOOKUP($D50&amp;" (Disposal)",Lists!$C$72:$R$232,COLUMNS(Lists!$C$69:I$69),0)*VLOOKUP(BI$3,Conversions!$B$12:$E$34,4,0),$I50*VLOOKUP($F50,Lists!$C$72:$R$232,COLUMNS(Lists!$C$69:I$69),0)*VLOOKUP(BI$3,Conversions!$B$12:$E$34,4,0)))</f>
        <v>0</v>
      </c>
      <c r="AU50" s="333">
        <f>IF($F50="",0,IF($F50="Weighted Average",$I50*VLOOKUP($D50&amp;" (Disposal)",Lists!$C$72:$R$232,COLUMNS(Lists!$C$69:J$69),0)*VLOOKUP(BJ$3,Conversions!$B$12:$E$34,4,0),$I50*VLOOKUP($F50,Lists!$C$72:$R$232,COLUMNS(Lists!$C$69:J$69),0)*VLOOKUP(BJ$3,Conversions!$B$12:$E$34,4,0)))</f>
        <v>0</v>
      </c>
      <c r="AV50" s="333">
        <f>IF($F50="",0,IF($F50="Weighted Average",$I50*VLOOKUP($D50&amp;" (Disposal)",Lists!$C$72:$R$232,COLUMNS(Lists!$C$69:K$69),0)*VLOOKUP(BK$3,Conversions!$B$12:$E$34,4,0),$I50*VLOOKUP($F50,Lists!$C$72:$R$232,COLUMNS(Lists!$C$69:K$69),0)*VLOOKUP(BK$3,Conversions!$B$12:$E$34,4,0)))</f>
        <v>0</v>
      </c>
      <c r="AW50" s="333">
        <f>IF($F50="",0,IF($F50="Weighted Average",$I50*VLOOKUP($D50&amp;" (Disposal)",Lists!$C$72:$R$232,COLUMNS(Lists!$C$69:L$69),0)*VLOOKUP(BL$3,Conversions!$B$12:$E$34,4,0),$I50*VLOOKUP($F50,Lists!$C$72:$R$232,COLUMNS(Lists!$C$69:L$69),0)*VLOOKUP(BL$3,Conversions!$B$12:$E$34,4,0)))</f>
        <v>0</v>
      </c>
      <c r="AX50" s="333">
        <f>IF($F50="",0,IF($F50="Weighted Average",$I50*VLOOKUP($D50&amp;" (Disposal)",Lists!$C$72:$R$232,COLUMNS(Lists!$C$69:M$69),0)*VLOOKUP(BM$3,Conversions!$B$12:$E$34,4,0),$I50*VLOOKUP($F50,Lists!$C$72:$R$232,COLUMNS(Lists!$C$69:M$69),0)*VLOOKUP(BM$3,Conversions!$B$12:$E$34,4,0)))</f>
        <v>0</v>
      </c>
      <c r="AY50" s="333">
        <f>IF($F50="",0,IF($F50="Weighted Average",$I50*VLOOKUP($D50&amp;" (Disposal)",Lists!$C$72:$R$232,COLUMNS(Lists!$C$69:N$69),0)*VLOOKUP(BN$3,Conversions!$B$12:$E$34,4,0),$I50*VLOOKUP($F50,Lists!$C$72:$R$232,COLUMNS(Lists!$C$69:N$69),0)*VLOOKUP(BN$3,Conversions!$B$12:$E$34,4,0)))</f>
        <v>0</v>
      </c>
      <c r="AZ50" s="333">
        <f>IF($F50="",0,IF($F50="Weighted Average",$I50*VLOOKUP($D50&amp;" (Disposal)",Lists!$C$72:$R$232,COLUMNS(Lists!$C$69:O$69),0)*VLOOKUP(BO$3,Conversions!$B$12:$E$34,4,0),$I50*VLOOKUP($F50,Lists!$C$72:$R$232,COLUMNS(Lists!$C$69:O$69),0)*VLOOKUP(BO$3,Conversions!$B$12:$E$34,4,0)))</f>
        <v>0</v>
      </c>
      <c r="BA50" s="333">
        <f>IF($F50="",0,IF($F50="Weighted Average",$I50*VLOOKUP($D50&amp;" (Disposal)",Lists!$C$72:$R$232,COLUMNS(Lists!$C$69:P$69),0)*VLOOKUP(BP$3,Conversions!$B$12:$E$34,4,0),$I50*VLOOKUP($F50,Lists!$C$72:$R$232,COLUMNS(Lists!$C$69:P$69),0)*VLOOKUP(BP$3,Conversions!$B$12:$E$34,4,0)))</f>
        <v>0</v>
      </c>
      <c r="BB50" s="333">
        <f>IF($F50="",0,IF($F50="Weighted Average",$I50*VLOOKUP($D50&amp;" (Disposal)",Lists!$C$72:$R$232,COLUMNS(Lists!$C$69:Q$69),0)*VLOOKUP(BQ$3,Conversions!$B$12:$E$34,4,0),$I50*VLOOKUP($F50,Lists!$C$72:$R$232,COLUMNS(Lists!$C$69:Q$69),0)*VLOOKUP(BQ$3,Conversions!$B$12:$E$34,4,0)))</f>
        <v>0</v>
      </c>
      <c r="BC50" s="333">
        <f>IF($F50="",0,IF($F50="Weighted Average",$I50*VLOOKUP($D50&amp;" (Disposal)",Lists!$C$72:$R$232,COLUMNS(Lists!$C$69:R$69),0)*VLOOKUP(BR$3,Conversions!$B$12:$E$34,4,0),$I50*VLOOKUP($F50,Lists!$C$72:$R$232,COLUMNS(Lists!$C$69:R$69),0)*VLOOKUP(BR$3,Conversions!$B$12:$E$34,4,0)))</f>
        <v>0</v>
      </c>
      <c r="BD50" s="333">
        <f t="shared" si="40"/>
        <v>0</v>
      </c>
      <c r="BE50" s="330">
        <f t="shared" si="41"/>
        <v>0</v>
      </c>
      <c r="BF50" s="330">
        <f t="shared" si="42"/>
        <v>0</v>
      </c>
      <c r="BG50" s="330">
        <f t="shared" si="43"/>
        <v>0</v>
      </c>
      <c r="BH50" s="330">
        <f t="shared" si="44"/>
        <v>0</v>
      </c>
      <c r="BI50" s="330">
        <f t="shared" si="45"/>
        <v>0</v>
      </c>
      <c r="BJ50" s="330">
        <f t="shared" si="46"/>
        <v>0</v>
      </c>
      <c r="BK50" s="330">
        <f t="shared" si="47"/>
        <v>0</v>
      </c>
      <c r="BL50" s="330">
        <f t="shared" si="48"/>
        <v>0</v>
      </c>
      <c r="BM50" s="330">
        <f t="shared" si="49"/>
        <v>0</v>
      </c>
      <c r="BN50" s="330">
        <f t="shared" si="50"/>
        <v>0</v>
      </c>
      <c r="BO50" s="330">
        <f t="shared" si="51"/>
        <v>0</v>
      </c>
      <c r="BP50" s="330">
        <f t="shared" si="52"/>
        <v>0</v>
      </c>
      <c r="BQ50" s="330">
        <f t="shared" si="53"/>
        <v>0</v>
      </c>
      <c r="BR50" s="330">
        <f t="shared" si="54"/>
        <v>0</v>
      </c>
      <c r="BS50" s="330">
        <f t="shared" si="55"/>
        <v>0</v>
      </c>
      <c r="BT50" s="329">
        <f t="shared" si="56"/>
        <v>0</v>
      </c>
      <c r="BU50" s="329">
        <f t="shared" si="56"/>
        <v>0</v>
      </c>
      <c r="BV50" s="329">
        <f t="shared" si="56"/>
        <v>0</v>
      </c>
      <c r="BW50" s="329">
        <f t="shared" si="56"/>
        <v>0</v>
      </c>
      <c r="BX50" s="329">
        <f t="shared" si="56"/>
        <v>0</v>
      </c>
      <c r="BY50" s="329">
        <f t="shared" si="56"/>
        <v>0</v>
      </c>
      <c r="BZ50" s="329">
        <f t="shared" si="56"/>
        <v>0</v>
      </c>
      <c r="CA50" s="329">
        <f t="shared" si="56"/>
        <v>0</v>
      </c>
      <c r="CB50" s="329">
        <f t="shared" si="56"/>
        <v>0</v>
      </c>
      <c r="CC50" s="329">
        <f t="shared" si="56"/>
        <v>0</v>
      </c>
      <c r="CD50" s="329">
        <f t="shared" si="56"/>
        <v>0</v>
      </c>
      <c r="CE50" s="329">
        <f t="shared" si="56"/>
        <v>0</v>
      </c>
      <c r="CF50" s="329">
        <f t="shared" si="56"/>
        <v>0</v>
      </c>
      <c r="CG50" s="329">
        <f t="shared" si="56"/>
        <v>0</v>
      </c>
      <c r="CH50" s="329">
        <f t="shared" si="56"/>
        <v>0</v>
      </c>
      <c r="CI50" s="329">
        <f t="shared" si="56"/>
        <v>0</v>
      </c>
      <c r="CJ50" s="331">
        <f t="shared" si="1"/>
        <v>0</v>
      </c>
      <c r="CK50" s="330">
        <f t="shared" si="5"/>
        <v>0</v>
      </c>
      <c r="CL50" s="330">
        <f t="shared" si="6"/>
        <v>0</v>
      </c>
      <c r="CM50" s="330">
        <f t="shared" si="7"/>
        <v>0</v>
      </c>
      <c r="CN50" s="330">
        <f t="shared" si="8"/>
        <v>0</v>
      </c>
      <c r="CO50" s="330">
        <f t="shared" si="9"/>
        <v>0</v>
      </c>
      <c r="CP50" s="330">
        <f t="shared" si="10"/>
        <v>0</v>
      </c>
      <c r="CQ50" s="330">
        <f t="shared" si="11"/>
        <v>0</v>
      </c>
      <c r="CR50" s="330">
        <f t="shared" si="12"/>
        <v>0</v>
      </c>
      <c r="CS50" s="330">
        <f t="shared" si="13"/>
        <v>0</v>
      </c>
      <c r="CT50" s="330">
        <f t="shared" si="14"/>
        <v>0</v>
      </c>
      <c r="CU50" s="330">
        <f t="shared" si="57"/>
        <v>0</v>
      </c>
      <c r="CV50" s="330">
        <f t="shared" si="57"/>
        <v>0</v>
      </c>
      <c r="CW50" s="330">
        <f t="shared" si="57"/>
        <v>0</v>
      </c>
      <c r="CX50" s="330">
        <f t="shared" si="57"/>
        <v>0</v>
      </c>
      <c r="CY50" s="330">
        <f t="shared" si="57"/>
        <v>0</v>
      </c>
      <c r="CZ50" s="330">
        <f t="shared" si="57"/>
        <v>0</v>
      </c>
      <c r="DA50" s="330">
        <f t="shared" si="57"/>
        <v>0</v>
      </c>
      <c r="DB50" s="330">
        <f t="shared" si="57"/>
        <v>0</v>
      </c>
      <c r="DC50" s="330">
        <f t="shared" si="57"/>
        <v>0</v>
      </c>
      <c r="DD50" s="330">
        <f t="shared" si="57"/>
        <v>0</v>
      </c>
      <c r="DE50" s="330">
        <f t="shared" si="58"/>
        <v>0</v>
      </c>
      <c r="DF50" s="330">
        <f t="shared" si="58"/>
        <v>0</v>
      </c>
      <c r="DG50" s="330">
        <f t="shared" si="58"/>
        <v>0</v>
      </c>
      <c r="DH50" s="330">
        <f t="shared" si="58"/>
        <v>0</v>
      </c>
      <c r="DI50" s="330">
        <f t="shared" si="58"/>
        <v>0</v>
      </c>
      <c r="DJ50" s="330">
        <f t="shared" si="58"/>
        <v>0</v>
      </c>
      <c r="DK50" s="330">
        <f t="shared" si="58"/>
        <v>0</v>
      </c>
      <c r="DL50" s="330">
        <f t="shared" si="58"/>
        <v>0</v>
      </c>
      <c r="DM50" s="330">
        <f t="shared" si="58"/>
        <v>0</v>
      </c>
      <c r="DN50" s="330">
        <f t="shared" si="58"/>
        <v>0</v>
      </c>
      <c r="DO50" s="330">
        <f t="shared" si="58"/>
        <v>0</v>
      </c>
      <c r="DP50" s="330">
        <f t="shared" si="37"/>
        <v>0</v>
      </c>
      <c r="DQ50" s="217"/>
      <c r="DR50" s="217"/>
      <c r="DS50" s="217"/>
      <c r="DT50" s="217"/>
    </row>
    <row r="51" spans="1:124" x14ac:dyDescent="0.3">
      <c r="A51" s="332"/>
      <c r="B51" s="221" t="s">
        <v>304</v>
      </c>
      <c r="C51" s="221" t="str">
        <f>IF('Simplified Material Balance'!C21=0,"",'Simplified Material Balance'!C21)</f>
        <v/>
      </c>
      <c r="D51" s="221" t="str">
        <f>IF('Simplified Material Balance'!D21=0,"",'Simplified Material Balance'!D21)</f>
        <v/>
      </c>
      <c r="E51" s="221" t="str">
        <f>IF('Simplified Material Balance'!E21=0,"",'Simplified Material Balance'!E21)</f>
        <v/>
      </c>
      <c r="F51" s="221" t="str">
        <f>IF('Simplified Material Balance'!F21=0,"",'Simplified Material Balance'!F21)</f>
        <v/>
      </c>
      <c r="G51" s="272">
        <f>IF('Simplified Material Balance'!H21&gt;'Simplified Material Balance'!G21,0,('Simplified Material Balance'!G21-'Simplified Material Balance'!H21)*Conversions!$C$4)</f>
        <v>0</v>
      </c>
      <c r="H51" s="272">
        <f>'Simplified Material Balance'!I21*Conversions!$C$4</f>
        <v>0</v>
      </c>
      <c r="I51" s="272">
        <f>('Simplified Material Balance'!J21-'Simplified Material Balance'!K21)*Conversions!$C$4</f>
        <v>0</v>
      </c>
      <c r="J51" s="325">
        <f>IF('Simplified Material Balance'!L21=0,0,'Simplified Material Balance'!L21)</f>
        <v>0</v>
      </c>
      <c r="K51" s="465"/>
      <c r="L51" s="333">
        <f>IF($F51="",0,IF($F51="Weighted Average",$G51*VLOOKUP($D51&amp;" (Install)",Lists!$C$72:$R$232,COLUMNS(Lists!$C$69:E$69),0)*VLOOKUP(BE$3,Conversions!$B$12:$E$34,4,0),$G51*VLOOKUP($F51,Lists!$C$72:$R$232,COLUMNS(Lists!$C$69:E$69),0)*VLOOKUP(BE$3,Conversions!$B$12:$E$34,4,0)))</f>
        <v>0</v>
      </c>
      <c r="M51" s="333">
        <f>IF($F51="",0,IF($F51="Weighted Average",$G51*VLOOKUP($D51&amp;" (Install)",Lists!$C$72:$R$232,COLUMNS(Lists!$C$69:F$69),0)*VLOOKUP(BF$3,Conversions!$B$12:$E$34,4,0),$G51*VLOOKUP($F51,Lists!$C$72:$R$232,COLUMNS(Lists!$C$69:F$69),0)*VLOOKUP(BF$3,Conversions!$B$12:$E$34,4,0)))</f>
        <v>0</v>
      </c>
      <c r="N51" s="333">
        <f>IF($F51="",0,IF($F51="Weighted Average",$G51*VLOOKUP($D51&amp;" (Install)",Lists!$C$72:$R$232,COLUMNS(Lists!$C$69:G$69),0)*VLOOKUP(BG$3,Conversions!$B$12:$E$34,4,0),$G51*VLOOKUP($F51,Lists!$C$72:$R$232,COLUMNS(Lists!$C$69:G$69),0)*VLOOKUP(BG$3,Conversions!$B$12:$E$34,4,0)))</f>
        <v>0</v>
      </c>
      <c r="O51" s="333">
        <f>IF($F51="",0,IF($F51="Weighted Average",$G51*VLOOKUP($D51&amp;" (Install)",Lists!$C$72:$R$232,COLUMNS(Lists!$C$69:H$69),0)*VLOOKUP(BH$3,Conversions!$B$12:$E$34,4,0),$G51*VLOOKUP($F51,Lists!$C$72:$R$232,COLUMNS(Lists!$C$69:H$69),0)*VLOOKUP(BH$3,Conversions!$B$12:$E$34,4,0)))</f>
        <v>0</v>
      </c>
      <c r="P51" s="333">
        <f>IF($F51="",0,IF($F51="Weighted Average",$G51*VLOOKUP($D51&amp;" (Install)",Lists!$C$72:$R$232,COLUMNS(Lists!$C$69:I$69),0)*VLOOKUP(BI$3,Conversions!$B$12:$E$34,4,0),$G51*VLOOKUP($F51,Lists!$C$72:$R$232,COLUMNS(Lists!$C$69:I$69),0)*VLOOKUP(BI$3,Conversions!$B$12:$E$34,4,0)))</f>
        <v>0</v>
      </c>
      <c r="Q51" s="333">
        <f>IF($F51="",0,IF($F51="Weighted Average",$G51*VLOOKUP($D51&amp;" (Install)",Lists!$C$72:$R$232,COLUMNS(Lists!$C$69:J$69),0)*VLOOKUP(BJ$3,Conversions!$B$12:$E$34,4,0),$G51*VLOOKUP($F51,Lists!$C$72:$R$232,COLUMNS(Lists!$C$69:J$69),0)*VLOOKUP(BJ$3,Conversions!$B$12:$E$34,4,0)))</f>
        <v>0</v>
      </c>
      <c r="R51" s="333">
        <f>IF($F51="",0,IF($F51="Weighted Average",$G51*VLOOKUP($D51&amp;" (Install)",Lists!$C$72:$R$232,COLUMNS(Lists!$C$69:K$69),0)*VLOOKUP(BK$3,Conversions!$B$12:$E$34,4,0),$G51*VLOOKUP($F51,Lists!$C$72:$R$232,COLUMNS(Lists!$C$69:K$69),0)*VLOOKUP(BK$3,Conversions!$B$12:$E$34,4,0)))</f>
        <v>0</v>
      </c>
      <c r="S51" s="333">
        <f>IF($F51="",0,IF($F51="Weighted Average",$G51*VLOOKUP($D51&amp;" (Install)",Lists!$C$72:$R$232,COLUMNS(Lists!$C$69:L$69),0)*VLOOKUP(BL$3,Conversions!$B$12:$E$34,4,0),$G51*VLOOKUP($F51,Lists!$C$72:$R$232,COLUMNS(Lists!$C$69:L$69),0)*VLOOKUP(BL$3,Conversions!$B$12:$E$34,4,0)))</f>
        <v>0</v>
      </c>
      <c r="T51" s="333">
        <f>IF($F51="",0,IF($F51="Weighted Average",$G51*VLOOKUP($D51&amp;" (Install)",Lists!$C$72:$R$232,COLUMNS(Lists!$C$69:M$69),0)*VLOOKUP(BM$3,Conversions!$B$12:$E$34,4,0),$G51*VLOOKUP($F51,Lists!$C$72:$R$232,COLUMNS(Lists!$C$69:M$69),0)*VLOOKUP(BM$3,Conversions!$B$12:$E$34,4,0)))</f>
        <v>0</v>
      </c>
      <c r="U51" s="333">
        <f>IF($F51="",0,IF($F51="Weighted Average",$G51*VLOOKUP($D51&amp;" (Install)",Lists!$C$72:$R$232,COLUMNS(Lists!$C$69:N$69),0)*VLOOKUP(BN$3,Conversions!$B$12:$E$34,4,0),$G51*VLOOKUP($F51,Lists!$C$72:$R$232,COLUMNS(Lists!$C$69:N$69),0)*VLOOKUP(BN$3,Conversions!$B$12:$E$34,4,0)))</f>
        <v>0</v>
      </c>
      <c r="V51" s="333">
        <f>IF($F51="",0,IF($F51="Weighted Average",$G51*VLOOKUP($D51&amp;" (Install)",Lists!$C$72:$R$232,COLUMNS(Lists!$C$69:O$69),0)*VLOOKUP(BO$3,Conversions!$B$12:$E$34,4,0),$G51*VLOOKUP($F51,Lists!$C$72:$R$232,COLUMNS(Lists!$C$69:O$69),0)*VLOOKUP(BO$3,Conversions!$B$12:$E$34,4,0)))</f>
        <v>0</v>
      </c>
      <c r="W51" s="333">
        <f>IF($F51="",0,IF($F51="Weighted Average",$G51*VLOOKUP($D51&amp;" (Install)",Lists!$C$72:$R$232,COLUMNS(Lists!$C$69:P$69),0)*VLOOKUP(BP$3,Conversions!$B$12:$E$34,4,0),$G51*VLOOKUP($F51,Lists!$C$72:$R$232,COLUMNS(Lists!$C$69:P$69),0)*VLOOKUP(BP$3,Conversions!$B$12:$E$34,4,0)))</f>
        <v>0</v>
      </c>
      <c r="X51" s="333">
        <f>IF($F51="",0,IF($F51="Weighted Average",$G51*VLOOKUP($D51&amp;" (Install)",Lists!$C$72:$R$232,COLUMNS(Lists!$C$69:Q$69),0)*VLOOKUP(BQ$3,Conversions!$B$12:$E$34,4,0),$G51*VLOOKUP($F51,Lists!$C$72:$R$232,COLUMNS(Lists!$C$69:Q$69),0)*VLOOKUP(BQ$3,Conversions!$B$12:$E$34,4,0)))</f>
        <v>0</v>
      </c>
      <c r="Y51" s="333">
        <f>IF($F51="",0,IF($F51="Weighted Average",$G51*VLOOKUP($D51&amp;" (Install)",Lists!$C$72:$R$232,COLUMNS(Lists!$C$69:R$69),0)*VLOOKUP(BR$3,Conversions!$B$12:$E$34,4,0),$G51*VLOOKUP($F51,Lists!$C$72:$R$232,COLUMNS(Lists!$C$69:R$69),0)*VLOOKUP(BR$3,Conversions!$B$12:$E$34,4,0)))</f>
        <v>0</v>
      </c>
      <c r="Z51" s="325">
        <f t="shared" si="38"/>
        <v>0</v>
      </c>
      <c r="AA51" s="334">
        <f>IF($F51="",0,IF($F51="Weighted Average",$H51*VLOOKUP($D51&amp;" (Operation)",Lists!$C$72:$R$232,COLUMNS(Lists!$C$69:E$69),0)*VLOOKUP(BE$3,Conversions!$B$12:$E$34,4,0),$H51*VLOOKUP($F51,Lists!$C$72:$R$232,COLUMNS(Lists!$C$69:E$69),0)*VLOOKUP(BE$3,Conversions!$B$12:$E$34,4,0)))</f>
        <v>0</v>
      </c>
      <c r="AB51" s="334">
        <f>IF($F51="",0,IF($F51="Weighted Average",$H51*VLOOKUP($D51&amp;" (Operation)",Lists!$C$72:$R$232,COLUMNS(Lists!$C$69:F$69),0)*VLOOKUP(BF$3,Conversions!$B$12:$E$34,4,0),$H51*VLOOKUP($F51,Lists!$C$72:$R$232,COLUMNS(Lists!$C$69:F$69),0)*VLOOKUP(BF$3,Conversions!$B$12:$E$34,4,0)))</f>
        <v>0</v>
      </c>
      <c r="AC51" s="334">
        <f>IF($F51="",0,IF($F51="Weighted Average",$H51*VLOOKUP($D51&amp;" (Operation)",Lists!$C$72:$R$232,COLUMNS(Lists!$C$69:G$69),0)*VLOOKUP(BG$3,Conversions!$B$12:$E$34,4,0),$H51*VLOOKUP($F51,Lists!$C$72:$R$232,COLUMNS(Lists!$C$69:G$69),0)*VLOOKUP(BG$3,Conversions!$B$12:$E$34,4,0)))</f>
        <v>0</v>
      </c>
      <c r="AD51" s="334">
        <f>IF($F51="",0,IF($F51="Weighted Average",$H51*VLOOKUP($D51&amp;" (Operation)",Lists!$C$72:$R$232,COLUMNS(Lists!$C$69:H$69),0)*VLOOKUP(BH$3,Conversions!$B$12:$E$34,4,0),$H51*VLOOKUP($F51,Lists!$C$72:$R$232,COLUMNS(Lists!$C$69:H$69),0)*VLOOKUP(BH$3,Conversions!$B$12:$E$34,4,0)))</f>
        <v>0</v>
      </c>
      <c r="AE51" s="334">
        <f>IF($F51="",0,IF($F51="Weighted Average",$H51*VLOOKUP($D51&amp;" (Operation)",Lists!$C$72:$R$232,COLUMNS(Lists!$C$69:I$69),0)*VLOOKUP(BI$3,Conversions!$B$12:$E$34,4,0),$H51*VLOOKUP($F51,Lists!$C$72:$R$232,COLUMNS(Lists!$C$69:I$69),0)*VLOOKUP(BI$3,Conversions!$B$12:$E$34,4,0)))</f>
        <v>0</v>
      </c>
      <c r="AF51" s="334">
        <f>IF($F51="",0,IF($F51="Weighted Average",$H51*VLOOKUP($D51&amp;" (Operation)",Lists!$C$72:$R$232,COLUMNS(Lists!$C$69:J$69),0)*VLOOKUP(BJ$3,Conversions!$B$12:$E$34,4,0),$H51*VLOOKUP($F51,Lists!$C$72:$R$232,COLUMNS(Lists!$C$69:J$69),0)*VLOOKUP(BJ$3,Conversions!$B$12:$E$34,4,0)))</f>
        <v>0</v>
      </c>
      <c r="AG51" s="334">
        <f>IF($F51="",0,IF($F51="Weighted Average",$H51*VLOOKUP($D51&amp;" (Operation)",Lists!$C$72:$R$232,COLUMNS(Lists!$C$69:K$69),0)*VLOOKUP(BK$3,Conversions!$B$12:$E$34,4,0),$H51*VLOOKUP($F51,Lists!$C$72:$R$232,COLUMNS(Lists!$C$69:K$69),0)*VLOOKUP(BK$3,Conversions!$B$12:$E$34,4,0)))</f>
        <v>0</v>
      </c>
      <c r="AH51" s="334">
        <f>IF($F51="",0,IF($F51="Weighted Average",$H51*VLOOKUP($D51&amp;" (Operation)",Lists!$C$72:$R$232,COLUMNS(Lists!$C$69:L$69),0)*VLOOKUP(BL$3,Conversions!$B$12:$E$34,4,0),$H51*VLOOKUP($F51,Lists!$C$72:$R$232,COLUMNS(Lists!$C$69:L$69),0)*VLOOKUP(BL$3,Conversions!$B$12:$E$34,4,0)))</f>
        <v>0</v>
      </c>
      <c r="AI51" s="334">
        <f>IF($F51="",0,IF($F51="Weighted Average",$H51*VLOOKUP($D51&amp;" (Operation)",Lists!$C$72:$R$232,COLUMNS(Lists!$C$69:M$69),0)*VLOOKUP(BM$3,Conversions!$B$12:$E$34,4,0),$H51*VLOOKUP($F51,Lists!$C$72:$R$232,COLUMNS(Lists!$C$69:M$69),0)*VLOOKUP(BM$3,Conversions!$B$12:$E$34,4,0)))</f>
        <v>0</v>
      </c>
      <c r="AJ51" s="334">
        <f>IF($F51="",0,IF($F51="Weighted Average",$H51*VLOOKUP($D51&amp;" (Operation)",Lists!$C$72:$R$232,COLUMNS(Lists!$C$69:N$69),0)*VLOOKUP(BN$3,Conversions!$B$12:$E$34,4,0),$H51*VLOOKUP($F51,Lists!$C$72:$R$232,COLUMNS(Lists!$C$69:N$69),0)*VLOOKUP(BN$3,Conversions!$B$12:$E$34,4,0)))</f>
        <v>0</v>
      </c>
      <c r="AK51" s="334">
        <f>IF($F51="",0,IF($F51="Weighted Average",$H51*VLOOKUP($D51&amp;" (Operation)",Lists!$C$72:$R$232,COLUMNS(Lists!$C$69:O$69),0)*VLOOKUP(BO$3,Conversions!$B$12:$E$34,4,0),$H51*VLOOKUP($F51,Lists!$C$72:$R$232,COLUMNS(Lists!$C$69:O$69),0)*VLOOKUP(BO$3,Conversions!$B$12:$E$34,4,0)))</f>
        <v>0</v>
      </c>
      <c r="AL51" s="334">
        <f>IF($F51="",0,IF($F51="Weighted Average",$H51*VLOOKUP($D51&amp;" (Operation)",Lists!$C$72:$R$232,COLUMNS(Lists!$C$69:P$69),0)*VLOOKUP(BP$3,Conversions!$B$12:$E$34,4,0),$H51*VLOOKUP($F51,Lists!$C$72:$R$232,COLUMNS(Lists!$C$69:P$69),0)*VLOOKUP(BP$3,Conversions!$B$12:$E$34,4,0)))</f>
        <v>0</v>
      </c>
      <c r="AM51" s="334">
        <f>IF($F51="",0,IF($F51="Weighted Average",$H51*VLOOKUP($D51&amp;" (Operation)",Lists!$C$72:$R$232,COLUMNS(Lists!$C$69:Q$69),0)*VLOOKUP(BQ$3,Conversions!$B$12:$E$34,4,0),$H51*VLOOKUP($F51,Lists!$C$72:$R$232,COLUMNS(Lists!$C$69:Q$69),0)*VLOOKUP(BQ$3,Conversions!$B$12:$E$34,4,0)))</f>
        <v>0</v>
      </c>
      <c r="AN51" s="334">
        <f>IF($F51="",0,IF($F51="Weighted Average",$H51*VLOOKUP($D51&amp;" (Operation)",Lists!$C$72:$R$232,COLUMNS(Lists!$C$69:R$69),0)*VLOOKUP(BR$3,Conversions!$B$12:$E$34,4,0),$H51*VLOOKUP($F51,Lists!$C$72:$R$232,COLUMNS(Lists!$C$69:R$69),0)*VLOOKUP(BR$3,Conversions!$B$12:$E$34,4,0)))</f>
        <v>0</v>
      </c>
      <c r="AO51" s="330">
        <f t="shared" si="39"/>
        <v>0</v>
      </c>
      <c r="AP51" s="333">
        <f>IF($F51="",0,IF($F51="Weighted Average",$I51*VLOOKUP($D51&amp;" (Disposal)",Lists!$C$72:$R$232,COLUMNS(Lists!$C$69:E$69),0)*VLOOKUP(BE$3,Conversions!$B$12:$E$34,4,0),$I51*VLOOKUP($F51,Lists!$C$72:$R$232,COLUMNS(Lists!$C$69:E$69),0)*VLOOKUP(BE$3,Conversions!$B$12:$E$34,4,0)))</f>
        <v>0</v>
      </c>
      <c r="AQ51" s="333">
        <f>IF($F51="",0,IF($F51="Weighted Average",$I51*VLOOKUP($D51&amp;" (Disposal)",Lists!$C$72:$R$232,COLUMNS(Lists!$C$69:F$69),0)*VLOOKUP(BF$3,Conversions!$B$12:$E$34,4,0),$I51*VLOOKUP($F51,Lists!$C$72:$R$232,COLUMNS(Lists!$C$69:F$69),0)*VLOOKUP(BF$3,Conversions!$B$12:$E$34,4,0)))</f>
        <v>0</v>
      </c>
      <c r="AR51" s="333">
        <f>IF($F51="",0,IF($F51="Weighted Average",$I51*VLOOKUP($D51&amp;" (Disposal)",Lists!$C$72:$R$232,COLUMNS(Lists!$C$69:G$69),0)*VLOOKUP(BG$3,Conversions!$B$12:$E$34,4,0),$I51*VLOOKUP($F51,Lists!$C$72:$R$232,COLUMNS(Lists!$C$69:G$69),0)*VLOOKUP(BG$3,Conversions!$B$12:$E$34,4,0)))</f>
        <v>0</v>
      </c>
      <c r="AS51" s="333">
        <f>IF($F51="",0,IF($F51="Weighted Average",$I51*VLOOKUP($D51&amp;" (Disposal)",Lists!$C$72:$R$232,COLUMNS(Lists!$C$69:H$69),0)*VLOOKUP(BH$3,Conversions!$B$12:$E$34,4,0),$I51*VLOOKUP($F51,Lists!$C$72:$R$232,COLUMNS(Lists!$C$69:H$69),0)*VLOOKUP(BH$3,Conversions!$B$12:$E$34,4,0)))</f>
        <v>0</v>
      </c>
      <c r="AT51" s="333">
        <f>IF($F51="",0,IF($F51="Weighted Average",$I51*VLOOKUP($D51&amp;" (Disposal)",Lists!$C$72:$R$232,COLUMNS(Lists!$C$69:I$69),0)*VLOOKUP(BI$3,Conversions!$B$12:$E$34,4,0),$I51*VLOOKUP($F51,Lists!$C$72:$R$232,COLUMNS(Lists!$C$69:I$69),0)*VLOOKUP(BI$3,Conversions!$B$12:$E$34,4,0)))</f>
        <v>0</v>
      </c>
      <c r="AU51" s="333">
        <f>IF($F51="",0,IF($F51="Weighted Average",$I51*VLOOKUP($D51&amp;" (Disposal)",Lists!$C$72:$R$232,COLUMNS(Lists!$C$69:J$69),0)*VLOOKUP(BJ$3,Conversions!$B$12:$E$34,4,0),$I51*VLOOKUP($F51,Lists!$C$72:$R$232,COLUMNS(Lists!$C$69:J$69),0)*VLOOKUP(BJ$3,Conversions!$B$12:$E$34,4,0)))</f>
        <v>0</v>
      </c>
      <c r="AV51" s="333">
        <f>IF($F51="",0,IF($F51="Weighted Average",$I51*VLOOKUP($D51&amp;" (Disposal)",Lists!$C$72:$R$232,COLUMNS(Lists!$C$69:K$69),0)*VLOOKUP(BK$3,Conversions!$B$12:$E$34,4,0),$I51*VLOOKUP($F51,Lists!$C$72:$R$232,COLUMNS(Lists!$C$69:K$69),0)*VLOOKUP(BK$3,Conversions!$B$12:$E$34,4,0)))</f>
        <v>0</v>
      </c>
      <c r="AW51" s="333">
        <f>IF($F51="",0,IF($F51="Weighted Average",$I51*VLOOKUP($D51&amp;" (Disposal)",Lists!$C$72:$R$232,COLUMNS(Lists!$C$69:L$69),0)*VLOOKUP(BL$3,Conversions!$B$12:$E$34,4,0),$I51*VLOOKUP($F51,Lists!$C$72:$R$232,COLUMNS(Lists!$C$69:L$69),0)*VLOOKUP(BL$3,Conversions!$B$12:$E$34,4,0)))</f>
        <v>0</v>
      </c>
      <c r="AX51" s="333">
        <f>IF($F51="",0,IF($F51="Weighted Average",$I51*VLOOKUP($D51&amp;" (Disposal)",Lists!$C$72:$R$232,COLUMNS(Lists!$C$69:M$69),0)*VLOOKUP(BM$3,Conversions!$B$12:$E$34,4,0),$I51*VLOOKUP($F51,Lists!$C$72:$R$232,COLUMNS(Lists!$C$69:M$69),0)*VLOOKUP(BM$3,Conversions!$B$12:$E$34,4,0)))</f>
        <v>0</v>
      </c>
      <c r="AY51" s="333">
        <f>IF($F51="",0,IF($F51="Weighted Average",$I51*VLOOKUP($D51&amp;" (Disposal)",Lists!$C$72:$R$232,COLUMNS(Lists!$C$69:N$69),0)*VLOOKUP(BN$3,Conversions!$B$12:$E$34,4,0),$I51*VLOOKUP($F51,Lists!$C$72:$R$232,COLUMNS(Lists!$C$69:N$69),0)*VLOOKUP(BN$3,Conversions!$B$12:$E$34,4,0)))</f>
        <v>0</v>
      </c>
      <c r="AZ51" s="333">
        <f>IF($F51="",0,IF($F51="Weighted Average",$I51*VLOOKUP($D51&amp;" (Disposal)",Lists!$C$72:$R$232,COLUMNS(Lists!$C$69:O$69),0)*VLOOKUP(BO$3,Conversions!$B$12:$E$34,4,0),$I51*VLOOKUP($F51,Lists!$C$72:$R$232,COLUMNS(Lists!$C$69:O$69),0)*VLOOKUP(BO$3,Conversions!$B$12:$E$34,4,0)))</f>
        <v>0</v>
      </c>
      <c r="BA51" s="333">
        <f>IF($F51="",0,IF($F51="Weighted Average",$I51*VLOOKUP($D51&amp;" (Disposal)",Lists!$C$72:$R$232,COLUMNS(Lists!$C$69:P$69),0)*VLOOKUP(BP$3,Conversions!$B$12:$E$34,4,0),$I51*VLOOKUP($F51,Lists!$C$72:$R$232,COLUMNS(Lists!$C$69:P$69),0)*VLOOKUP(BP$3,Conversions!$B$12:$E$34,4,0)))</f>
        <v>0</v>
      </c>
      <c r="BB51" s="333">
        <f>IF($F51="",0,IF($F51="Weighted Average",$I51*VLOOKUP($D51&amp;" (Disposal)",Lists!$C$72:$R$232,COLUMNS(Lists!$C$69:Q$69),0)*VLOOKUP(BQ$3,Conversions!$B$12:$E$34,4,0),$I51*VLOOKUP($F51,Lists!$C$72:$R$232,COLUMNS(Lists!$C$69:Q$69),0)*VLOOKUP(BQ$3,Conversions!$B$12:$E$34,4,0)))</f>
        <v>0</v>
      </c>
      <c r="BC51" s="333">
        <f>IF($F51="",0,IF($F51="Weighted Average",$I51*VLOOKUP($D51&amp;" (Disposal)",Lists!$C$72:$R$232,COLUMNS(Lists!$C$69:R$69),0)*VLOOKUP(BR$3,Conversions!$B$12:$E$34,4,0),$I51*VLOOKUP($F51,Lists!$C$72:$R$232,COLUMNS(Lists!$C$69:R$69),0)*VLOOKUP(BR$3,Conversions!$B$12:$E$34,4,0)))</f>
        <v>0</v>
      </c>
      <c r="BD51" s="333">
        <f t="shared" si="40"/>
        <v>0</v>
      </c>
      <c r="BE51" s="330">
        <f t="shared" si="41"/>
        <v>0</v>
      </c>
      <c r="BF51" s="330">
        <f t="shared" si="42"/>
        <v>0</v>
      </c>
      <c r="BG51" s="330">
        <f t="shared" si="43"/>
        <v>0</v>
      </c>
      <c r="BH51" s="330">
        <f t="shared" si="44"/>
        <v>0</v>
      </c>
      <c r="BI51" s="330">
        <f t="shared" si="45"/>
        <v>0</v>
      </c>
      <c r="BJ51" s="330">
        <f t="shared" si="46"/>
        <v>0</v>
      </c>
      <c r="BK51" s="330">
        <f t="shared" si="47"/>
        <v>0</v>
      </c>
      <c r="BL51" s="330">
        <f t="shared" si="48"/>
        <v>0</v>
      </c>
      <c r="BM51" s="330">
        <f t="shared" si="49"/>
        <v>0</v>
      </c>
      <c r="BN51" s="330">
        <f t="shared" si="50"/>
        <v>0</v>
      </c>
      <c r="BO51" s="330">
        <f t="shared" si="51"/>
        <v>0</v>
      </c>
      <c r="BP51" s="330">
        <f t="shared" si="52"/>
        <v>0</v>
      </c>
      <c r="BQ51" s="330">
        <f t="shared" si="53"/>
        <v>0</v>
      </c>
      <c r="BR51" s="330">
        <f t="shared" si="54"/>
        <v>0</v>
      </c>
      <c r="BS51" s="330">
        <f t="shared" si="55"/>
        <v>0</v>
      </c>
      <c r="BT51" s="329">
        <f t="shared" si="56"/>
        <v>0</v>
      </c>
      <c r="BU51" s="329">
        <f t="shared" si="56"/>
        <v>0</v>
      </c>
      <c r="BV51" s="329">
        <f t="shared" si="56"/>
        <v>0</v>
      </c>
      <c r="BW51" s="329">
        <f t="shared" si="56"/>
        <v>0</v>
      </c>
      <c r="BX51" s="329">
        <f t="shared" si="56"/>
        <v>0</v>
      </c>
      <c r="BY51" s="329">
        <f t="shared" si="56"/>
        <v>0</v>
      </c>
      <c r="BZ51" s="329">
        <f t="shared" si="56"/>
        <v>0</v>
      </c>
      <c r="CA51" s="329">
        <f t="shared" si="56"/>
        <v>0</v>
      </c>
      <c r="CB51" s="329">
        <f t="shared" si="56"/>
        <v>0</v>
      </c>
      <c r="CC51" s="329">
        <f t="shared" si="56"/>
        <v>0</v>
      </c>
      <c r="CD51" s="329">
        <f t="shared" si="56"/>
        <v>0</v>
      </c>
      <c r="CE51" s="329">
        <f t="shared" si="56"/>
        <v>0</v>
      </c>
      <c r="CF51" s="329">
        <f t="shared" si="56"/>
        <v>0</v>
      </c>
      <c r="CG51" s="329">
        <f t="shared" si="56"/>
        <v>0</v>
      </c>
      <c r="CH51" s="329">
        <f t="shared" si="56"/>
        <v>0</v>
      </c>
      <c r="CI51" s="329">
        <f t="shared" si="56"/>
        <v>0</v>
      </c>
      <c r="CJ51" s="331">
        <f t="shared" si="1"/>
        <v>0</v>
      </c>
      <c r="CK51" s="330">
        <f t="shared" si="5"/>
        <v>0</v>
      </c>
      <c r="CL51" s="330">
        <f t="shared" si="6"/>
        <v>0</v>
      </c>
      <c r="CM51" s="330">
        <f t="shared" si="7"/>
        <v>0</v>
      </c>
      <c r="CN51" s="330">
        <f t="shared" si="8"/>
        <v>0</v>
      </c>
      <c r="CO51" s="330">
        <f t="shared" si="9"/>
        <v>0</v>
      </c>
      <c r="CP51" s="330">
        <f t="shared" si="10"/>
        <v>0</v>
      </c>
      <c r="CQ51" s="330">
        <f t="shared" si="11"/>
        <v>0</v>
      </c>
      <c r="CR51" s="330">
        <f t="shared" si="12"/>
        <v>0</v>
      </c>
      <c r="CS51" s="330">
        <f t="shared" si="13"/>
        <v>0</v>
      </c>
      <c r="CT51" s="330">
        <f t="shared" si="14"/>
        <v>0</v>
      </c>
      <c r="CU51" s="330">
        <f t="shared" si="57"/>
        <v>0</v>
      </c>
      <c r="CV51" s="330">
        <f t="shared" si="57"/>
        <v>0</v>
      </c>
      <c r="CW51" s="330">
        <f t="shared" si="57"/>
        <v>0</v>
      </c>
      <c r="CX51" s="330">
        <f t="shared" si="57"/>
        <v>0</v>
      </c>
      <c r="CY51" s="330">
        <f t="shared" si="57"/>
        <v>0</v>
      </c>
      <c r="CZ51" s="330">
        <f t="shared" si="57"/>
        <v>0</v>
      </c>
      <c r="DA51" s="330">
        <f t="shared" si="57"/>
        <v>0</v>
      </c>
      <c r="DB51" s="330">
        <f t="shared" si="57"/>
        <v>0</v>
      </c>
      <c r="DC51" s="330">
        <f t="shared" si="57"/>
        <v>0</v>
      </c>
      <c r="DD51" s="330">
        <f t="shared" si="57"/>
        <v>0</v>
      </c>
      <c r="DE51" s="330">
        <f t="shared" si="58"/>
        <v>0</v>
      </c>
      <c r="DF51" s="330">
        <f t="shared" si="58"/>
        <v>0</v>
      </c>
      <c r="DG51" s="330">
        <f t="shared" si="58"/>
        <v>0</v>
      </c>
      <c r="DH51" s="330">
        <f t="shared" si="58"/>
        <v>0</v>
      </c>
      <c r="DI51" s="330">
        <f t="shared" si="58"/>
        <v>0</v>
      </c>
      <c r="DJ51" s="330">
        <f t="shared" si="58"/>
        <v>0</v>
      </c>
      <c r="DK51" s="330">
        <f t="shared" si="58"/>
        <v>0</v>
      </c>
      <c r="DL51" s="330">
        <f t="shared" si="58"/>
        <v>0</v>
      </c>
      <c r="DM51" s="330">
        <f t="shared" si="58"/>
        <v>0</v>
      </c>
      <c r="DN51" s="330">
        <f t="shared" si="58"/>
        <v>0</v>
      </c>
      <c r="DO51" s="330">
        <f t="shared" si="58"/>
        <v>0</v>
      </c>
      <c r="DP51" s="330">
        <f t="shared" si="37"/>
        <v>0</v>
      </c>
      <c r="DQ51" s="217"/>
      <c r="DR51" s="217"/>
      <c r="DS51" s="217"/>
      <c r="DT51" s="217"/>
    </row>
    <row r="52" spans="1:124" x14ac:dyDescent="0.3">
      <c r="A52" s="332"/>
      <c r="B52" s="221" t="s">
        <v>304</v>
      </c>
      <c r="C52" s="221" t="str">
        <f>IF('Simplified Material Balance'!C22=0,"",'Simplified Material Balance'!C22)</f>
        <v/>
      </c>
      <c r="D52" s="221" t="str">
        <f>IF('Simplified Material Balance'!D22=0,"",'Simplified Material Balance'!D22)</f>
        <v/>
      </c>
      <c r="E52" s="221" t="str">
        <f>IF('Simplified Material Balance'!E22=0,"",'Simplified Material Balance'!E22)</f>
        <v/>
      </c>
      <c r="F52" s="221" t="str">
        <f>IF('Simplified Material Balance'!F22=0,"",'Simplified Material Balance'!F22)</f>
        <v/>
      </c>
      <c r="G52" s="272">
        <f>IF('Simplified Material Balance'!H22&gt;'Simplified Material Balance'!G22,0,('Simplified Material Balance'!G22-'Simplified Material Balance'!H22)*Conversions!$C$4)</f>
        <v>0</v>
      </c>
      <c r="H52" s="272">
        <f>'Simplified Material Balance'!I22*Conversions!$C$4</f>
        <v>0</v>
      </c>
      <c r="I52" s="272">
        <f>('Simplified Material Balance'!J22-'Simplified Material Balance'!K22)*Conversions!$C$4</f>
        <v>0</v>
      </c>
      <c r="J52" s="325">
        <f>IF('Simplified Material Balance'!L22=0,0,'Simplified Material Balance'!L22)</f>
        <v>0</v>
      </c>
      <c r="K52" s="465"/>
      <c r="L52" s="333">
        <f>IF($F52="",0,IF($F52="Weighted Average",$G52*VLOOKUP($D52&amp;" (Install)",Lists!$C$72:$R$232,COLUMNS(Lists!$C$69:E$69),0)*VLOOKUP(BE$3,Conversions!$B$12:$E$34,4,0),$G52*VLOOKUP($F52,Lists!$C$72:$R$232,COLUMNS(Lists!$C$69:E$69),0)*VLOOKUP(BE$3,Conversions!$B$12:$E$34,4,0)))</f>
        <v>0</v>
      </c>
      <c r="M52" s="333">
        <f>IF($F52="",0,IF($F52="Weighted Average",$G52*VLOOKUP($D52&amp;" (Install)",Lists!$C$72:$R$232,COLUMNS(Lists!$C$69:F$69),0)*VLOOKUP(BF$3,Conversions!$B$12:$E$34,4,0),$G52*VLOOKUP($F52,Lists!$C$72:$R$232,COLUMNS(Lists!$C$69:F$69),0)*VLOOKUP(BF$3,Conversions!$B$12:$E$34,4,0)))</f>
        <v>0</v>
      </c>
      <c r="N52" s="333">
        <f>IF($F52="",0,IF($F52="Weighted Average",$G52*VLOOKUP($D52&amp;" (Install)",Lists!$C$72:$R$232,COLUMNS(Lists!$C$69:G$69),0)*VLOOKUP(BG$3,Conversions!$B$12:$E$34,4,0),$G52*VLOOKUP($F52,Lists!$C$72:$R$232,COLUMNS(Lists!$C$69:G$69),0)*VLOOKUP(BG$3,Conversions!$B$12:$E$34,4,0)))</f>
        <v>0</v>
      </c>
      <c r="O52" s="333">
        <f>IF($F52="",0,IF($F52="Weighted Average",$G52*VLOOKUP($D52&amp;" (Install)",Lists!$C$72:$R$232,COLUMNS(Lists!$C$69:H$69),0)*VLOOKUP(BH$3,Conversions!$B$12:$E$34,4,0),$G52*VLOOKUP($F52,Lists!$C$72:$R$232,COLUMNS(Lists!$C$69:H$69),0)*VLOOKUP(BH$3,Conversions!$B$12:$E$34,4,0)))</f>
        <v>0</v>
      </c>
      <c r="P52" s="333">
        <f>IF($F52="",0,IF($F52="Weighted Average",$G52*VLOOKUP($D52&amp;" (Install)",Lists!$C$72:$R$232,COLUMNS(Lists!$C$69:I$69),0)*VLOOKUP(BI$3,Conversions!$B$12:$E$34,4,0),$G52*VLOOKUP($F52,Lists!$C$72:$R$232,COLUMNS(Lists!$C$69:I$69),0)*VLOOKUP(BI$3,Conversions!$B$12:$E$34,4,0)))</f>
        <v>0</v>
      </c>
      <c r="Q52" s="333">
        <f>IF($F52="",0,IF($F52="Weighted Average",$G52*VLOOKUP($D52&amp;" (Install)",Lists!$C$72:$R$232,COLUMNS(Lists!$C$69:J$69),0)*VLOOKUP(BJ$3,Conversions!$B$12:$E$34,4,0),$G52*VLOOKUP($F52,Lists!$C$72:$R$232,COLUMNS(Lists!$C$69:J$69),0)*VLOOKUP(BJ$3,Conversions!$B$12:$E$34,4,0)))</f>
        <v>0</v>
      </c>
      <c r="R52" s="333">
        <f>IF($F52="",0,IF($F52="Weighted Average",$G52*VLOOKUP($D52&amp;" (Install)",Lists!$C$72:$R$232,COLUMNS(Lists!$C$69:K$69),0)*VLOOKUP(BK$3,Conversions!$B$12:$E$34,4,0),$G52*VLOOKUP($F52,Lists!$C$72:$R$232,COLUMNS(Lists!$C$69:K$69),0)*VLOOKUP(BK$3,Conversions!$B$12:$E$34,4,0)))</f>
        <v>0</v>
      </c>
      <c r="S52" s="333">
        <f>IF($F52="",0,IF($F52="Weighted Average",$G52*VLOOKUP($D52&amp;" (Install)",Lists!$C$72:$R$232,COLUMNS(Lists!$C$69:L$69),0)*VLOOKUP(BL$3,Conversions!$B$12:$E$34,4,0),$G52*VLOOKUP($F52,Lists!$C$72:$R$232,COLUMNS(Lists!$C$69:L$69),0)*VLOOKUP(BL$3,Conversions!$B$12:$E$34,4,0)))</f>
        <v>0</v>
      </c>
      <c r="T52" s="333">
        <f>IF($F52="",0,IF($F52="Weighted Average",$G52*VLOOKUP($D52&amp;" (Install)",Lists!$C$72:$R$232,COLUMNS(Lists!$C$69:M$69),0)*VLOOKUP(BM$3,Conversions!$B$12:$E$34,4,0),$G52*VLOOKUP($F52,Lists!$C$72:$R$232,COLUMNS(Lists!$C$69:M$69),0)*VLOOKUP(BM$3,Conversions!$B$12:$E$34,4,0)))</f>
        <v>0</v>
      </c>
      <c r="U52" s="333">
        <f>IF($F52="",0,IF($F52="Weighted Average",$G52*VLOOKUP($D52&amp;" (Install)",Lists!$C$72:$R$232,COLUMNS(Lists!$C$69:N$69),0)*VLOOKUP(BN$3,Conversions!$B$12:$E$34,4,0),$G52*VLOOKUP($F52,Lists!$C$72:$R$232,COLUMNS(Lists!$C$69:N$69),0)*VLOOKUP(BN$3,Conversions!$B$12:$E$34,4,0)))</f>
        <v>0</v>
      </c>
      <c r="V52" s="333">
        <f>IF($F52="",0,IF($F52="Weighted Average",$G52*VLOOKUP($D52&amp;" (Install)",Lists!$C$72:$R$232,COLUMNS(Lists!$C$69:O$69),0)*VLOOKUP(BO$3,Conversions!$B$12:$E$34,4,0),$G52*VLOOKUP($F52,Lists!$C$72:$R$232,COLUMNS(Lists!$C$69:O$69),0)*VLOOKUP(BO$3,Conversions!$B$12:$E$34,4,0)))</f>
        <v>0</v>
      </c>
      <c r="W52" s="333">
        <f>IF($F52="",0,IF($F52="Weighted Average",$G52*VLOOKUP($D52&amp;" (Install)",Lists!$C$72:$R$232,COLUMNS(Lists!$C$69:P$69),0)*VLOOKUP(BP$3,Conversions!$B$12:$E$34,4,0),$G52*VLOOKUP($F52,Lists!$C$72:$R$232,COLUMNS(Lists!$C$69:P$69),0)*VLOOKUP(BP$3,Conversions!$B$12:$E$34,4,0)))</f>
        <v>0</v>
      </c>
      <c r="X52" s="333">
        <f>IF($F52="",0,IF($F52="Weighted Average",$G52*VLOOKUP($D52&amp;" (Install)",Lists!$C$72:$R$232,COLUMNS(Lists!$C$69:Q$69),0)*VLOOKUP(BQ$3,Conversions!$B$12:$E$34,4,0),$G52*VLOOKUP($F52,Lists!$C$72:$R$232,COLUMNS(Lists!$C$69:Q$69),0)*VLOOKUP(BQ$3,Conversions!$B$12:$E$34,4,0)))</f>
        <v>0</v>
      </c>
      <c r="Y52" s="333">
        <f>IF($F52="",0,IF($F52="Weighted Average",$G52*VLOOKUP($D52&amp;" (Install)",Lists!$C$72:$R$232,COLUMNS(Lists!$C$69:R$69),0)*VLOOKUP(BR$3,Conversions!$B$12:$E$34,4,0),$G52*VLOOKUP($F52,Lists!$C$72:$R$232,COLUMNS(Lists!$C$69:R$69),0)*VLOOKUP(BR$3,Conversions!$B$12:$E$34,4,0)))</f>
        <v>0</v>
      </c>
      <c r="Z52" s="325">
        <f t="shared" si="38"/>
        <v>0</v>
      </c>
      <c r="AA52" s="334">
        <f>IF($F52="",0,IF($F52="Weighted Average",$H52*VLOOKUP($D52&amp;" (Operation)",Lists!$C$72:$R$232,COLUMNS(Lists!$C$69:E$69),0)*VLOOKUP(BE$3,Conversions!$B$12:$E$34,4,0),$H52*VLOOKUP($F52,Lists!$C$72:$R$232,COLUMNS(Lists!$C$69:E$69),0)*VLOOKUP(BE$3,Conversions!$B$12:$E$34,4,0)))</f>
        <v>0</v>
      </c>
      <c r="AB52" s="334">
        <f>IF($F52="",0,IF($F52="Weighted Average",$H52*VLOOKUP($D52&amp;" (Operation)",Lists!$C$72:$R$232,COLUMNS(Lists!$C$69:F$69),0)*VLOOKUP(BF$3,Conversions!$B$12:$E$34,4,0),$H52*VLOOKUP($F52,Lists!$C$72:$R$232,COLUMNS(Lists!$C$69:F$69),0)*VLOOKUP(BF$3,Conversions!$B$12:$E$34,4,0)))</f>
        <v>0</v>
      </c>
      <c r="AC52" s="334">
        <f>IF($F52="",0,IF($F52="Weighted Average",$H52*VLOOKUP($D52&amp;" (Operation)",Lists!$C$72:$R$232,COLUMNS(Lists!$C$69:G$69),0)*VLOOKUP(BG$3,Conversions!$B$12:$E$34,4,0),$H52*VLOOKUP($F52,Lists!$C$72:$R$232,COLUMNS(Lists!$C$69:G$69),0)*VLOOKUP(BG$3,Conversions!$B$12:$E$34,4,0)))</f>
        <v>0</v>
      </c>
      <c r="AD52" s="334">
        <f>IF($F52="",0,IF($F52="Weighted Average",$H52*VLOOKUP($D52&amp;" (Operation)",Lists!$C$72:$R$232,COLUMNS(Lists!$C$69:H$69),0)*VLOOKUP(BH$3,Conversions!$B$12:$E$34,4,0),$H52*VLOOKUP($F52,Lists!$C$72:$R$232,COLUMNS(Lists!$C$69:H$69),0)*VLOOKUP(BH$3,Conversions!$B$12:$E$34,4,0)))</f>
        <v>0</v>
      </c>
      <c r="AE52" s="334">
        <f>IF($F52="",0,IF($F52="Weighted Average",$H52*VLOOKUP($D52&amp;" (Operation)",Lists!$C$72:$R$232,COLUMNS(Lists!$C$69:I$69),0)*VLOOKUP(BI$3,Conversions!$B$12:$E$34,4,0),$H52*VLOOKUP($F52,Lists!$C$72:$R$232,COLUMNS(Lists!$C$69:I$69),0)*VLOOKUP(BI$3,Conversions!$B$12:$E$34,4,0)))</f>
        <v>0</v>
      </c>
      <c r="AF52" s="334">
        <f>IF($F52="",0,IF($F52="Weighted Average",$H52*VLOOKUP($D52&amp;" (Operation)",Lists!$C$72:$R$232,COLUMNS(Lists!$C$69:J$69),0)*VLOOKUP(BJ$3,Conversions!$B$12:$E$34,4,0),$H52*VLOOKUP($F52,Lists!$C$72:$R$232,COLUMNS(Lists!$C$69:J$69),0)*VLOOKUP(BJ$3,Conversions!$B$12:$E$34,4,0)))</f>
        <v>0</v>
      </c>
      <c r="AG52" s="334">
        <f>IF($F52="",0,IF($F52="Weighted Average",$H52*VLOOKUP($D52&amp;" (Operation)",Lists!$C$72:$R$232,COLUMNS(Lists!$C$69:K$69),0)*VLOOKUP(BK$3,Conversions!$B$12:$E$34,4,0),$H52*VLOOKUP($F52,Lists!$C$72:$R$232,COLUMNS(Lists!$C$69:K$69),0)*VLOOKUP(BK$3,Conversions!$B$12:$E$34,4,0)))</f>
        <v>0</v>
      </c>
      <c r="AH52" s="334">
        <f>IF($F52="",0,IF($F52="Weighted Average",$H52*VLOOKUP($D52&amp;" (Operation)",Lists!$C$72:$R$232,COLUMNS(Lists!$C$69:L$69),0)*VLOOKUP(BL$3,Conversions!$B$12:$E$34,4,0),$H52*VLOOKUP($F52,Lists!$C$72:$R$232,COLUMNS(Lists!$C$69:L$69),0)*VLOOKUP(BL$3,Conversions!$B$12:$E$34,4,0)))</f>
        <v>0</v>
      </c>
      <c r="AI52" s="334">
        <f>IF($F52="",0,IF($F52="Weighted Average",$H52*VLOOKUP($D52&amp;" (Operation)",Lists!$C$72:$R$232,COLUMNS(Lists!$C$69:M$69),0)*VLOOKUP(BM$3,Conversions!$B$12:$E$34,4,0),$H52*VLOOKUP($F52,Lists!$C$72:$R$232,COLUMNS(Lists!$C$69:M$69),0)*VLOOKUP(BM$3,Conversions!$B$12:$E$34,4,0)))</f>
        <v>0</v>
      </c>
      <c r="AJ52" s="334">
        <f>IF($F52="",0,IF($F52="Weighted Average",$H52*VLOOKUP($D52&amp;" (Operation)",Lists!$C$72:$R$232,COLUMNS(Lists!$C$69:N$69),0)*VLOOKUP(BN$3,Conversions!$B$12:$E$34,4,0),$H52*VLOOKUP($F52,Lists!$C$72:$R$232,COLUMNS(Lists!$C$69:N$69),0)*VLOOKUP(BN$3,Conversions!$B$12:$E$34,4,0)))</f>
        <v>0</v>
      </c>
      <c r="AK52" s="334">
        <f>IF($F52="",0,IF($F52="Weighted Average",$H52*VLOOKUP($D52&amp;" (Operation)",Lists!$C$72:$R$232,COLUMNS(Lists!$C$69:O$69),0)*VLOOKUP(BO$3,Conversions!$B$12:$E$34,4,0),$H52*VLOOKUP($F52,Lists!$C$72:$R$232,COLUMNS(Lists!$C$69:O$69),0)*VLOOKUP(BO$3,Conversions!$B$12:$E$34,4,0)))</f>
        <v>0</v>
      </c>
      <c r="AL52" s="334">
        <f>IF($F52="",0,IF($F52="Weighted Average",$H52*VLOOKUP($D52&amp;" (Operation)",Lists!$C$72:$R$232,COLUMNS(Lists!$C$69:P$69),0)*VLOOKUP(BP$3,Conversions!$B$12:$E$34,4,0),$H52*VLOOKUP($F52,Lists!$C$72:$R$232,COLUMNS(Lists!$C$69:P$69),0)*VLOOKUP(BP$3,Conversions!$B$12:$E$34,4,0)))</f>
        <v>0</v>
      </c>
      <c r="AM52" s="334">
        <f>IF($F52="",0,IF($F52="Weighted Average",$H52*VLOOKUP($D52&amp;" (Operation)",Lists!$C$72:$R$232,COLUMNS(Lists!$C$69:Q$69),0)*VLOOKUP(BQ$3,Conversions!$B$12:$E$34,4,0),$H52*VLOOKUP($F52,Lists!$C$72:$R$232,COLUMNS(Lists!$C$69:Q$69),0)*VLOOKUP(BQ$3,Conversions!$B$12:$E$34,4,0)))</f>
        <v>0</v>
      </c>
      <c r="AN52" s="334">
        <f>IF($F52="",0,IF($F52="Weighted Average",$H52*VLOOKUP($D52&amp;" (Operation)",Lists!$C$72:$R$232,COLUMNS(Lists!$C$69:R$69),0)*VLOOKUP(BR$3,Conversions!$B$12:$E$34,4,0),$H52*VLOOKUP($F52,Lists!$C$72:$R$232,COLUMNS(Lists!$C$69:R$69),0)*VLOOKUP(BR$3,Conversions!$B$12:$E$34,4,0)))</f>
        <v>0</v>
      </c>
      <c r="AO52" s="330">
        <f t="shared" si="39"/>
        <v>0</v>
      </c>
      <c r="AP52" s="333">
        <f>IF($F52="",0,IF($F52="Weighted Average",$I52*VLOOKUP($D52&amp;" (Disposal)",Lists!$C$72:$R$232,COLUMNS(Lists!$C$69:E$69),0)*VLOOKUP(BE$3,Conversions!$B$12:$E$34,4,0),$I52*VLOOKUP($F52,Lists!$C$72:$R$232,COLUMNS(Lists!$C$69:E$69),0)*VLOOKUP(BE$3,Conversions!$B$12:$E$34,4,0)))</f>
        <v>0</v>
      </c>
      <c r="AQ52" s="333">
        <f>IF($F52="",0,IF($F52="Weighted Average",$I52*VLOOKUP($D52&amp;" (Disposal)",Lists!$C$72:$R$232,COLUMNS(Lists!$C$69:F$69),0)*VLOOKUP(BF$3,Conversions!$B$12:$E$34,4,0),$I52*VLOOKUP($F52,Lists!$C$72:$R$232,COLUMNS(Lists!$C$69:F$69),0)*VLOOKUP(BF$3,Conversions!$B$12:$E$34,4,0)))</f>
        <v>0</v>
      </c>
      <c r="AR52" s="333">
        <f>IF($F52="",0,IF($F52="Weighted Average",$I52*VLOOKUP($D52&amp;" (Disposal)",Lists!$C$72:$R$232,COLUMNS(Lists!$C$69:G$69),0)*VLOOKUP(BG$3,Conversions!$B$12:$E$34,4,0),$I52*VLOOKUP($F52,Lists!$C$72:$R$232,COLUMNS(Lists!$C$69:G$69),0)*VLOOKUP(BG$3,Conversions!$B$12:$E$34,4,0)))</f>
        <v>0</v>
      </c>
      <c r="AS52" s="333">
        <f>IF($F52="",0,IF($F52="Weighted Average",$I52*VLOOKUP($D52&amp;" (Disposal)",Lists!$C$72:$R$232,COLUMNS(Lists!$C$69:H$69),0)*VLOOKUP(BH$3,Conversions!$B$12:$E$34,4,0),$I52*VLOOKUP($F52,Lists!$C$72:$R$232,COLUMNS(Lists!$C$69:H$69),0)*VLOOKUP(BH$3,Conversions!$B$12:$E$34,4,0)))</f>
        <v>0</v>
      </c>
      <c r="AT52" s="333">
        <f>IF($F52="",0,IF($F52="Weighted Average",$I52*VLOOKUP($D52&amp;" (Disposal)",Lists!$C$72:$R$232,COLUMNS(Lists!$C$69:I$69),0)*VLOOKUP(BI$3,Conversions!$B$12:$E$34,4,0),$I52*VLOOKUP($F52,Lists!$C$72:$R$232,COLUMNS(Lists!$C$69:I$69),0)*VLOOKUP(BI$3,Conversions!$B$12:$E$34,4,0)))</f>
        <v>0</v>
      </c>
      <c r="AU52" s="333">
        <f>IF($F52="",0,IF($F52="Weighted Average",$I52*VLOOKUP($D52&amp;" (Disposal)",Lists!$C$72:$R$232,COLUMNS(Lists!$C$69:J$69),0)*VLOOKUP(BJ$3,Conversions!$B$12:$E$34,4,0),$I52*VLOOKUP($F52,Lists!$C$72:$R$232,COLUMNS(Lists!$C$69:J$69),0)*VLOOKUP(BJ$3,Conversions!$B$12:$E$34,4,0)))</f>
        <v>0</v>
      </c>
      <c r="AV52" s="333">
        <f>IF($F52="",0,IF($F52="Weighted Average",$I52*VLOOKUP($D52&amp;" (Disposal)",Lists!$C$72:$R$232,COLUMNS(Lists!$C$69:K$69),0)*VLOOKUP(BK$3,Conversions!$B$12:$E$34,4,0),$I52*VLOOKUP($F52,Lists!$C$72:$R$232,COLUMNS(Lists!$C$69:K$69),0)*VLOOKUP(BK$3,Conversions!$B$12:$E$34,4,0)))</f>
        <v>0</v>
      </c>
      <c r="AW52" s="333">
        <f>IF($F52="",0,IF($F52="Weighted Average",$I52*VLOOKUP($D52&amp;" (Disposal)",Lists!$C$72:$R$232,COLUMNS(Lists!$C$69:L$69),0)*VLOOKUP(BL$3,Conversions!$B$12:$E$34,4,0),$I52*VLOOKUP($F52,Lists!$C$72:$R$232,COLUMNS(Lists!$C$69:L$69),0)*VLOOKUP(BL$3,Conversions!$B$12:$E$34,4,0)))</f>
        <v>0</v>
      </c>
      <c r="AX52" s="333">
        <f>IF($F52="",0,IF($F52="Weighted Average",$I52*VLOOKUP($D52&amp;" (Disposal)",Lists!$C$72:$R$232,COLUMNS(Lists!$C$69:M$69),0)*VLOOKUP(BM$3,Conversions!$B$12:$E$34,4,0),$I52*VLOOKUP($F52,Lists!$C$72:$R$232,COLUMNS(Lists!$C$69:M$69),0)*VLOOKUP(BM$3,Conversions!$B$12:$E$34,4,0)))</f>
        <v>0</v>
      </c>
      <c r="AY52" s="333">
        <f>IF($F52="",0,IF($F52="Weighted Average",$I52*VLOOKUP($D52&amp;" (Disposal)",Lists!$C$72:$R$232,COLUMNS(Lists!$C$69:N$69),0)*VLOOKUP(BN$3,Conversions!$B$12:$E$34,4,0),$I52*VLOOKUP($F52,Lists!$C$72:$R$232,COLUMNS(Lists!$C$69:N$69),0)*VLOOKUP(BN$3,Conversions!$B$12:$E$34,4,0)))</f>
        <v>0</v>
      </c>
      <c r="AZ52" s="333">
        <f>IF($F52="",0,IF($F52="Weighted Average",$I52*VLOOKUP($D52&amp;" (Disposal)",Lists!$C$72:$R$232,COLUMNS(Lists!$C$69:O$69),0)*VLOOKUP(BO$3,Conversions!$B$12:$E$34,4,0),$I52*VLOOKUP($F52,Lists!$C$72:$R$232,COLUMNS(Lists!$C$69:O$69),0)*VLOOKUP(BO$3,Conversions!$B$12:$E$34,4,0)))</f>
        <v>0</v>
      </c>
      <c r="BA52" s="333">
        <f>IF($F52="",0,IF($F52="Weighted Average",$I52*VLOOKUP($D52&amp;" (Disposal)",Lists!$C$72:$R$232,COLUMNS(Lists!$C$69:P$69),0)*VLOOKUP(BP$3,Conversions!$B$12:$E$34,4,0),$I52*VLOOKUP($F52,Lists!$C$72:$R$232,COLUMNS(Lists!$C$69:P$69),0)*VLOOKUP(BP$3,Conversions!$B$12:$E$34,4,0)))</f>
        <v>0</v>
      </c>
      <c r="BB52" s="333">
        <f>IF($F52="",0,IF($F52="Weighted Average",$I52*VLOOKUP($D52&amp;" (Disposal)",Lists!$C$72:$R$232,COLUMNS(Lists!$C$69:Q$69),0)*VLOOKUP(BQ$3,Conversions!$B$12:$E$34,4,0),$I52*VLOOKUP($F52,Lists!$C$72:$R$232,COLUMNS(Lists!$C$69:Q$69),0)*VLOOKUP(BQ$3,Conversions!$B$12:$E$34,4,0)))</f>
        <v>0</v>
      </c>
      <c r="BC52" s="333">
        <f>IF($F52="",0,IF($F52="Weighted Average",$I52*VLOOKUP($D52&amp;" (Disposal)",Lists!$C$72:$R$232,COLUMNS(Lists!$C$69:R$69),0)*VLOOKUP(BR$3,Conversions!$B$12:$E$34,4,0),$I52*VLOOKUP($F52,Lists!$C$72:$R$232,COLUMNS(Lists!$C$69:R$69),0)*VLOOKUP(BR$3,Conversions!$B$12:$E$34,4,0)))</f>
        <v>0</v>
      </c>
      <c r="BD52" s="333">
        <f t="shared" si="40"/>
        <v>0</v>
      </c>
      <c r="BE52" s="330">
        <f t="shared" si="41"/>
        <v>0</v>
      </c>
      <c r="BF52" s="330">
        <f t="shared" si="42"/>
        <v>0</v>
      </c>
      <c r="BG52" s="330">
        <f t="shared" si="43"/>
        <v>0</v>
      </c>
      <c r="BH52" s="330">
        <f t="shared" si="44"/>
        <v>0</v>
      </c>
      <c r="BI52" s="330">
        <f t="shared" si="45"/>
        <v>0</v>
      </c>
      <c r="BJ52" s="330">
        <f t="shared" si="46"/>
        <v>0</v>
      </c>
      <c r="BK52" s="330">
        <f t="shared" si="47"/>
        <v>0</v>
      </c>
      <c r="BL52" s="330">
        <f t="shared" si="48"/>
        <v>0</v>
      </c>
      <c r="BM52" s="330">
        <f t="shared" si="49"/>
        <v>0</v>
      </c>
      <c r="BN52" s="330">
        <f t="shared" si="50"/>
        <v>0</v>
      </c>
      <c r="BO52" s="330">
        <f t="shared" si="51"/>
        <v>0</v>
      </c>
      <c r="BP52" s="330">
        <f t="shared" si="52"/>
        <v>0</v>
      </c>
      <c r="BQ52" s="330">
        <f t="shared" si="53"/>
        <v>0</v>
      </c>
      <c r="BR52" s="330">
        <f t="shared" si="54"/>
        <v>0</v>
      </c>
      <c r="BS52" s="330">
        <f t="shared" si="55"/>
        <v>0</v>
      </c>
      <c r="BT52" s="329">
        <f t="shared" si="56"/>
        <v>0</v>
      </c>
      <c r="BU52" s="329">
        <f t="shared" si="56"/>
        <v>0</v>
      </c>
      <c r="BV52" s="329">
        <f t="shared" si="56"/>
        <v>0</v>
      </c>
      <c r="BW52" s="329">
        <f t="shared" si="56"/>
        <v>0</v>
      </c>
      <c r="BX52" s="329">
        <f t="shared" si="56"/>
        <v>0</v>
      </c>
      <c r="BY52" s="329">
        <f t="shared" si="56"/>
        <v>0</v>
      </c>
      <c r="BZ52" s="329">
        <f t="shared" si="56"/>
        <v>0</v>
      </c>
      <c r="CA52" s="329">
        <f t="shared" si="56"/>
        <v>0</v>
      </c>
      <c r="CB52" s="329">
        <f t="shared" si="56"/>
        <v>0</v>
      </c>
      <c r="CC52" s="329">
        <f t="shared" si="56"/>
        <v>0</v>
      </c>
      <c r="CD52" s="329">
        <f t="shared" si="56"/>
        <v>0</v>
      </c>
      <c r="CE52" s="329">
        <f t="shared" si="56"/>
        <v>0</v>
      </c>
      <c r="CF52" s="329">
        <f t="shared" si="56"/>
        <v>0</v>
      </c>
      <c r="CG52" s="329">
        <f t="shared" si="56"/>
        <v>0</v>
      </c>
      <c r="CH52" s="329">
        <f t="shared" si="56"/>
        <v>0</v>
      </c>
      <c r="CI52" s="329">
        <f t="shared" si="56"/>
        <v>0</v>
      </c>
      <c r="CJ52" s="331">
        <f t="shared" si="1"/>
        <v>0</v>
      </c>
      <c r="CK52" s="330">
        <f t="shared" si="5"/>
        <v>0</v>
      </c>
      <c r="CL52" s="330">
        <f t="shared" si="6"/>
        <v>0</v>
      </c>
      <c r="CM52" s="330">
        <f t="shared" si="7"/>
        <v>0</v>
      </c>
      <c r="CN52" s="330">
        <f t="shared" si="8"/>
        <v>0</v>
      </c>
      <c r="CO52" s="330">
        <f t="shared" si="9"/>
        <v>0</v>
      </c>
      <c r="CP52" s="330">
        <f t="shared" si="10"/>
        <v>0</v>
      </c>
      <c r="CQ52" s="330">
        <f t="shared" si="11"/>
        <v>0</v>
      </c>
      <c r="CR52" s="330">
        <f t="shared" si="12"/>
        <v>0</v>
      </c>
      <c r="CS52" s="330">
        <f t="shared" si="13"/>
        <v>0</v>
      </c>
      <c r="CT52" s="330">
        <f t="shared" si="14"/>
        <v>0</v>
      </c>
      <c r="CU52" s="330">
        <f t="shared" si="57"/>
        <v>0</v>
      </c>
      <c r="CV52" s="330">
        <f t="shared" si="57"/>
        <v>0</v>
      </c>
      <c r="CW52" s="330">
        <f t="shared" si="57"/>
        <v>0</v>
      </c>
      <c r="CX52" s="330">
        <f t="shared" si="57"/>
        <v>0</v>
      </c>
      <c r="CY52" s="330">
        <f t="shared" si="57"/>
        <v>0</v>
      </c>
      <c r="CZ52" s="330">
        <f t="shared" si="57"/>
        <v>0</v>
      </c>
      <c r="DA52" s="330">
        <f t="shared" si="57"/>
        <v>0</v>
      </c>
      <c r="DB52" s="330">
        <f t="shared" si="57"/>
        <v>0</v>
      </c>
      <c r="DC52" s="330">
        <f t="shared" si="57"/>
        <v>0</v>
      </c>
      <c r="DD52" s="330">
        <f t="shared" si="57"/>
        <v>0</v>
      </c>
      <c r="DE52" s="330">
        <f t="shared" si="58"/>
        <v>0</v>
      </c>
      <c r="DF52" s="330">
        <f t="shared" si="58"/>
        <v>0</v>
      </c>
      <c r="DG52" s="330">
        <f t="shared" si="58"/>
        <v>0</v>
      </c>
      <c r="DH52" s="330">
        <f t="shared" si="58"/>
        <v>0</v>
      </c>
      <c r="DI52" s="330">
        <f t="shared" si="58"/>
        <v>0</v>
      </c>
      <c r="DJ52" s="330">
        <f t="shared" si="58"/>
        <v>0</v>
      </c>
      <c r="DK52" s="330">
        <f t="shared" si="58"/>
        <v>0</v>
      </c>
      <c r="DL52" s="330">
        <f t="shared" si="58"/>
        <v>0</v>
      </c>
      <c r="DM52" s="330">
        <f t="shared" si="58"/>
        <v>0</v>
      </c>
      <c r="DN52" s="330">
        <f t="shared" si="58"/>
        <v>0</v>
      </c>
      <c r="DO52" s="330">
        <f t="shared" si="58"/>
        <v>0</v>
      </c>
      <c r="DP52" s="330">
        <f t="shared" si="37"/>
        <v>0</v>
      </c>
      <c r="DQ52" s="217"/>
      <c r="DR52" s="217"/>
      <c r="DS52" s="217"/>
      <c r="DT52" s="217"/>
    </row>
    <row r="53" spans="1:124" x14ac:dyDescent="0.3">
      <c r="A53" s="332"/>
      <c r="B53" s="221" t="s">
        <v>304</v>
      </c>
      <c r="C53" s="221" t="str">
        <f>IF('Simplified Material Balance'!C23=0,"",'Simplified Material Balance'!C23)</f>
        <v/>
      </c>
      <c r="D53" s="221" t="str">
        <f>IF('Simplified Material Balance'!D23=0,"",'Simplified Material Balance'!D23)</f>
        <v/>
      </c>
      <c r="E53" s="221" t="str">
        <f>IF('Simplified Material Balance'!E23=0,"",'Simplified Material Balance'!E23)</f>
        <v/>
      </c>
      <c r="F53" s="221" t="str">
        <f>IF('Simplified Material Balance'!F23=0,"",'Simplified Material Balance'!F23)</f>
        <v/>
      </c>
      <c r="G53" s="272">
        <f>IF('Simplified Material Balance'!H23&gt;'Simplified Material Balance'!G23,0,('Simplified Material Balance'!G23-'Simplified Material Balance'!H23)*Conversions!$C$4)</f>
        <v>0</v>
      </c>
      <c r="H53" s="272">
        <f>'Simplified Material Balance'!I23*Conversions!$C$4</f>
        <v>0</v>
      </c>
      <c r="I53" s="272">
        <f>('Simplified Material Balance'!J23-'Simplified Material Balance'!K23)*Conversions!$C$4</f>
        <v>0</v>
      </c>
      <c r="J53" s="325">
        <f>IF('Simplified Material Balance'!L23=0,0,'Simplified Material Balance'!L23)</f>
        <v>0</v>
      </c>
      <c r="K53" s="465"/>
      <c r="L53" s="333">
        <f>IF($F53="",0,IF($F53="Weighted Average",$G53*VLOOKUP($D53&amp;" (Install)",Lists!$C$72:$R$232,COLUMNS(Lists!$C$69:E$69),0)*VLOOKUP(BE$3,Conversions!$B$12:$E$34,4,0),$G53*VLOOKUP($F53,Lists!$C$72:$R$232,COLUMNS(Lists!$C$69:E$69),0)*VLOOKUP(BE$3,Conversions!$B$12:$E$34,4,0)))</f>
        <v>0</v>
      </c>
      <c r="M53" s="333">
        <f>IF($F53="",0,IF($F53="Weighted Average",$G53*VLOOKUP($D53&amp;" (Install)",Lists!$C$72:$R$232,COLUMNS(Lists!$C$69:F$69),0)*VLOOKUP(BF$3,Conversions!$B$12:$E$34,4,0),$G53*VLOOKUP($F53,Lists!$C$72:$R$232,COLUMNS(Lists!$C$69:F$69),0)*VLOOKUP(BF$3,Conversions!$B$12:$E$34,4,0)))</f>
        <v>0</v>
      </c>
      <c r="N53" s="333">
        <f>IF($F53="",0,IF($F53="Weighted Average",$G53*VLOOKUP($D53&amp;" (Install)",Lists!$C$72:$R$232,COLUMNS(Lists!$C$69:G$69),0)*VLOOKUP(BG$3,Conversions!$B$12:$E$34,4,0),$G53*VLOOKUP($F53,Lists!$C$72:$R$232,COLUMNS(Lists!$C$69:G$69),0)*VLOOKUP(BG$3,Conversions!$B$12:$E$34,4,0)))</f>
        <v>0</v>
      </c>
      <c r="O53" s="333">
        <f>IF($F53="",0,IF($F53="Weighted Average",$G53*VLOOKUP($D53&amp;" (Install)",Lists!$C$72:$R$232,COLUMNS(Lists!$C$69:H$69),0)*VLOOKUP(BH$3,Conversions!$B$12:$E$34,4,0),$G53*VLOOKUP($F53,Lists!$C$72:$R$232,COLUMNS(Lists!$C$69:H$69),0)*VLOOKUP(BH$3,Conversions!$B$12:$E$34,4,0)))</f>
        <v>0</v>
      </c>
      <c r="P53" s="333">
        <f>IF($F53="",0,IF($F53="Weighted Average",$G53*VLOOKUP($D53&amp;" (Install)",Lists!$C$72:$R$232,COLUMNS(Lists!$C$69:I$69),0)*VLOOKUP(BI$3,Conversions!$B$12:$E$34,4,0),$G53*VLOOKUP($F53,Lists!$C$72:$R$232,COLUMNS(Lists!$C$69:I$69),0)*VLOOKUP(BI$3,Conversions!$B$12:$E$34,4,0)))</f>
        <v>0</v>
      </c>
      <c r="Q53" s="333">
        <f>IF($F53="",0,IF($F53="Weighted Average",$G53*VLOOKUP($D53&amp;" (Install)",Lists!$C$72:$R$232,COLUMNS(Lists!$C$69:J$69),0)*VLOOKUP(BJ$3,Conversions!$B$12:$E$34,4,0),$G53*VLOOKUP($F53,Lists!$C$72:$R$232,COLUMNS(Lists!$C$69:J$69),0)*VLOOKUP(BJ$3,Conversions!$B$12:$E$34,4,0)))</f>
        <v>0</v>
      </c>
      <c r="R53" s="333">
        <f>IF($F53="",0,IF($F53="Weighted Average",$G53*VLOOKUP($D53&amp;" (Install)",Lists!$C$72:$R$232,COLUMNS(Lists!$C$69:K$69),0)*VLOOKUP(BK$3,Conversions!$B$12:$E$34,4,0),$G53*VLOOKUP($F53,Lists!$C$72:$R$232,COLUMNS(Lists!$C$69:K$69),0)*VLOOKUP(BK$3,Conversions!$B$12:$E$34,4,0)))</f>
        <v>0</v>
      </c>
      <c r="S53" s="333">
        <f>IF($F53="",0,IF($F53="Weighted Average",$G53*VLOOKUP($D53&amp;" (Install)",Lists!$C$72:$R$232,COLUMNS(Lists!$C$69:L$69),0)*VLOOKUP(BL$3,Conversions!$B$12:$E$34,4,0),$G53*VLOOKUP($F53,Lists!$C$72:$R$232,COLUMNS(Lists!$C$69:L$69),0)*VLOOKUP(BL$3,Conversions!$B$12:$E$34,4,0)))</f>
        <v>0</v>
      </c>
      <c r="T53" s="333">
        <f>IF($F53="",0,IF($F53="Weighted Average",$G53*VLOOKUP($D53&amp;" (Install)",Lists!$C$72:$R$232,COLUMNS(Lists!$C$69:M$69),0)*VLOOKUP(BM$3,Conversions!$B$12:$E$34,4,0),$G53*VLOOKUP($F53,Lists!$C$72:$R$232,COLUMNS(Lists!$C$69:M$69),0)*VLOOKUP(BM$3,Conversions!$B$12:$E$34,4,0)))</f>
        <v>0</v>
      </c>
      <c r="U53" s="333">
        <f>IF($F53="",0,IF($F53="Weighted Average",$G53*VLOOKUP($D53&amp;" (Install)",Lists!$C$72:$R$232,COLUMNS(Lists!$C$69:N$69),0)*VLOOKUP(BN$3,Conversions!$B$12:$E$34,4,0),$G53*VLOOKUP($F53,Lists!$C$72:$R$232,COLUMNS(Lists!$C$69:N$69),0)*VLOOKUP(BN$3,Conversions!$B$12:$E$34,4,0)))</f>
        <v>0</v>
      </c>
      <c r="V53" s="333">
        <f>IF($F53="",0,IF($F53="Weighted Average",$G53*VLOOKUP($D53&amp;" (Install)",Lists!$C$72:$R$232,COLUMNS(Lists!$C$69:O$69),0)*VLOOKUP(BO$3,Conversions!$B$12:$E$34,4,0),$G53*VLOOKUP($F53,Lists!$C$72:$R$232,COLUMNS(Lists!$C$69:O$69),0)*VLOOKUP(BO$3,Conversions!$B$12:$E$34,4,0)))</f>
        <v>0</v>
      </c>
      <c r="W53" s="333">
        <f>IF($F53="",0,IF($F53="Weighted Average",$G53*VLOOKUP($D53&amp;" (Install)",Lists!$C$72:$R$232,COLUMNS(Lists!$C$69:P$69),0)*VLOOKUP(BP$3,Conversions!$B$12:$E$34,4,0),$G53*VLOOKUP($F53,Lists!$C$72:$R$232,COLUMNS(Lists!$C$69:P$69),0)*VLOOKUP(BP$3,Conversions!$B$12:$E$34,4,0)))</f>
        <v>0</v>
      </c>
      <c r="X53" s="333">
        <f>IF($F53="",0,IF($F53="Weighted Average",$G53*VLOOKUP($D53&amp;" (Install)",Lists!$C$72:$R$232,COLUMNS(Lists!$C$69:Q$69),0)*VLOOKUP(BQ$3,Conversions!$B$12:$E$34,4,0),$G53*VLOOKUP($F53,Lists!$C$72:$R$232,COLUMNS(Lists!$C$69:Q$69),0)*VLOOKUP(BQ$3,Conversions!$B$12:$E$34,4,0)))</f>
        <v>0</v>
      </c>
      <c r="Y53" s="333">
        <f>IF($F53="",0,IF($F53="Weighted Average",$G53*VLOOKUP($D53&amp;" (Install)",Lists!$C$72:$R$232,COLUMNS(Lists!$C$69:R$69),0)*VLOOKUP(BR$3,Conversions!$B$12:$E$34,4,0),$G53*VLOOKUP($F53,Lists!$C$72:$R$232,COLUMNS(Lists!$C$69:R$69),0)*VLOOKUP(BR$3,Conversions!$B$12:$E$34,4,0)))</f>
        <v>0</v>
      </c>
      <c r="Z53" s="325">
        <f t="shared" si="38"/>
        <v>0</v>
      </c>
      <c r="AA53" s="334">
        <f>IF($F53="",0,IF($F53="Weighted Average",$H53*VLOOKUP($D53&amp;" (Operation)",Lists!$C$72:$R$232,COLUMNS(Lists!$C$69:E$69),0)*VLOOKUP(BE$3,Conversions!$B$12:$E$34,4,0),$H53*VLOOKUP($F53,Lists!$C$72:$R$232,COLUMNS(Lists!$C$69:E$69),0)*VLOOKUP(BE$3,Conversions!$B$12:$E$34,4,0)))</f>
        <v>0</v>
      </c>
      <c r="AB53" s="334">
        <f>IF($F53="",0,IF($F53="Weighted Average",$H53*VLOOKUP($D53&amp;" (Operation)",Lists!$C$72:$R$232,COLUMNS(Lists!$C$69:F$69),0)*VLOOKUP(BF$3,Conversions!$B$12:$E$34,4,0),$H53*VLOOKUP($F53,Lists!$C$72:$R$232,COLUMNS(Lists!$C$69:F$69),0)*VLOOKUP(BF$3,Conversions!$B$12:$E$34,4,0)))</f>
        <v>0</v>
      </c>
      <c r="AC53" s="334">
        <f>IF($F53="",0,IF($F53="Weighted Average",$H53*VLOOKUP($D53&amp;" (Operation)",Lists!$C$72:$R$232,COLUMNS(Lists!$C$69:G$69),0)*VLOOKUP(BG$3,Conversions!$B$12:$E$34,4,0),$H53*VLOOKUP($F53,Lists!$C$72:$R$232,COLUMNS(Lists!$C$69:G$69),0)*VLOOKUP(BG$3,Conversions!$B$12:$E$34,4,0)))</f>
        <v>0</v>
      </c>
      <c r="AD53" s="334">
        <f>IF($F53="",0,IF($F53="Weighted Average",$H53*VLOOKUP($D53&amp;" (Operation)",Lists!$C$72:$R$232,COLUMNS(Lists!$C$69:H$69),0)*VLOOKUP(BH$3,Conversions!$B$12:$E$34,4,0),$H53*VLOOKUP($F53,Lists!$C$72:$R$232,COLUMNS(Lists!$C$69:H$69),0)*VLOOKUP(BH$3,Conversions!$B$12:$E$34,4,0)))</f>
        <v>0</v>
      </c>
      <c r="AE53" s="334">
        <f>IF($F53="",0,IF($F53="Weighted Average",$H53*VLOOKUP($D53&amp;" (Operation)",Lists!$C$72:$R$232,COLUMNS(Lists!$C$69:I$69),0)*VLOOKUP(BI$3,Conversions!$B$12:$E$34,4,0),$H53*VLOOKUP($F53,Lists!$C$72:$R$232,COLUMNS(Lists!$C$69:I$69),0)*VLOOKUP(BI$3,Conversions!$B$12:$E$34,4,0)))</f>
        <v>0</v>
      </c>
      <c r="AF53" s="334">
        <f>IF($F53="",0,IF($F53="Weighted Average",$H53*VLOOKUP($D53&amp;" (Operation)",Lists!$C$72:$R$232,COLUMNS(Lists!$C$69:J$69),0)*VLOOKUP(BJ$3,Conversions!$B$12:$E$34,4,0),$H53*VLOOKUP($F53,Lists!$C$72:$R$232,COLUMNS(Lists!$C$69:J$69),0)*VLOOKUP(BJ$3,Conversions!$B$12:$E$34,4,0)))</f>
        <v>0</v>
      </c>
      <c r="AG53" s="334">
        <f>IF($F53="",0,IF($F53="Weighted Average",$H53*VLOOKUP($D53&amp;" (Operation)",Lists!$C$72:$R$232,COLUMNS(Lists!$C$69:K$69),0)*VLOOKUP(BK$3,Conversions!$B$12:$E$34,4,0),$H53*VLOOKUP($F53,Lists!$C$72:$R$232,COLUMNS(Lists!$C$69:K$69),0)*VLOOKUP(BK$3,Conversions!$B$12:$E$34,4,0)))</f>
        <v>0</v>
      </c>
      <c r="AH53" s="334">
        <f>IF($F53="",0,IF($F53="Weighted Average",$H53*VLOOKUP($D53&amp;" (Operation)",Lists!$C$72:$R$232,COLUMNS(Lists!$C$69:L$69),0)*VLOOKUP(BL$3,Conversions!$B$12:$E$34,4,0),$H53*VLOOKUP($F53,Lists!$C$72:$R$232,COLUMNS(Lists!$C$69:L$69),0)*VLOOKUP(BL$3,Conversions!$B$12:$E$34,4,0)))</f>
        <v>0</v>
      </c>
      <c r="AI53" s="334">
        <f>IF($F53="",0,IF($F53="Weighted Average",$H53*VLOOKUP($D53&amp;" (Operation)",Lists!$C$72:$R$232,COLUMNS(Lists!$C$69:M$69),0)*VLOOKUP(BM$3,Conversions!$B$12:$E$34,4,0),$H53*VLOOKUP($F53,Lists!$C$72:$R$232,COLUMNS(Lists!$C$69:M$69),0)*VLOOKUP(BM$3,Conversions!$B$12:$E$34,4,0)))</f>
        <v>0</v>
      </c>
      <c r="AJ53" s="334">
        <f>IF($F53="",0,IF($F53="Weighted Average",$H53*VLOOKUP($D53&amp;" (Operation)",Lists!$C$72:$R$232,COLUMNS(Lists!$C$69:N$69),0)*VLOOKUP(BN$3,Conversions!$B$12:$E$34,4,0),$H53*VLOOKUP($F53,Lists!$C$72:$R$232,COLUMNS(Lists!$C$69:N$69),0)*VLOOKUP(BN$3,Conversions!$B$12:$E$34,4,0)))</f>
        <v>0</v>
      </c>
      <c r="AK53" s="334">
        <f>IF($F53="",0,IF($F53="Weighted Average",$H53*VLOOKUP($D53&amp;" (Operation)",Lists!$C$72:$R$232,COLUMNS(Lists!$C$69:O$69),0)*VLOOKUP(BO$3,Conversions!$B$12:$E$34,4,0),$H53*VLOOKUP($F53,Lists!$C$72:$R$232,COLUMNS(Lists!$C$69:O$69),0)*VLOOKUP(BO$3,Conversions!$B$12:$E$34,4,0)))</f>
        <v>0</v>
      </c>
      <c r="AL53" s="334">
        <f>IF($F53="",0,IF($F53="Weighted Average",$H53*VLOOKUP($D53&amp;" (Operation)",Lists!$C$72:$R$232,COLUMNS(Lists!$C$69:P$69),0)*VLOOKUP(BP$3,Conversions!$B$12:$E$34,4,0),$H53*VLOOKUP($F53,Lists!$C$72:$R$232,COLUMNS(Lists!$C$69:P$69),0)*VLOOKUP(BP$3,Conversions!$B$12:$E$34,4,0)))</f>
        <v>0</v>
      </c>
      <c r="AM53" s="334">
        <f>IF($F53="",0,IF($F53="Weighted Average",$H53*VLOOKUP($D53&amp;" (Operation)",Lists!$C$72:$R$232,COLUMNS(Lists!$C$69:Q$69),0)*VLOOKUP(BQ$3,Conversions!$B$12:$E$34,4,0),$H53*VLOOKUP($F53,Lists!$C$72:$R$232,COLUMNS(Lists!$C$69:Q$69),0)*VLOOKUP(BQ$3,Conversions!$B$12:$E$34,4,0)))</f>
        <v>0</v>
      </c>
      <c r="AN53" s="334">
        <f>IF($F53="",0,IF($F53="Weighted Average",$H53*VLOOKUP($D53&amp;" (Operation)",Lists!$C$72:$R$232,COLUMNS(Lists!$C$69:R$69),0)*VLOOKUP(BR$3,Conversions!$B$12:$E$34,4,0),$H53*VLOOKUP($F53,Lists!$C$72:$R$232,COLUMNS(Lists!$C$69:R$69),0)*VLOOKUP(BR$3,Conversions!$B$12:$E$34,4,0)))</f>
        <v>0</v>
      </c>
      <c r="AO53" s="330">
        <f t="shared" si="39"/>
        <v>0</v>
      </c>
      <c r="AP53" s="333">
        <f>IF($F53="",0,IF($F53="Weighted Average",$I53*VLOOKUP($D53&amp;" (Disposal)",Lists!$C$72:$R$232,COLUMNS(Lists!$C$69:E$69),0)*VLOOKUP(BE$3,Conversions!$B$12:$E$34,4,0),$I53*VLOOKUP($F53,Lists!$C$72:$R$232,COLUMNS(Lists!$C$69:E$69),0)*VLOOKUP(BE$3,Conversions!$B$12:$E$34,4,0)))</f>
        <v>0</v>
      </c>
      <c r="AQ53" s="333">
        <f>IF($F53="",0,IF($F53="Weighted Average",$I53*VLOOKUP($D53&amp;" (Disposal)",Lists!$C$72:$R$232,COLUMNS(Lists!$C$69:F$69),0)*VLOOKUP(BF$3,Conversions!$B$12:$E$34,4,0),$I53*VLOOKUP($F53,Lists!$C$72:$R$232,COLUMNS(Lists!$C$69:F$69),0)*VLOOKUP(BF$3,Conversions!$B$12:$E$34,4,0)))</f>
        <v>0</v>
      </c>
      <c r="AR53" s="333">
        <f>IF($F53="",0,IF($F53="Weighted Average",$I53*VLOOKUP($D53&amp;" (Disposal)",Lists!$C$72:$R$232,COLUMNS(Lists!$C$69:G$69),0)*VLOOKUP(BG$3,Conversions!$B$12:$E$34,4,0),$I53*VLOOKUP($F53,Lists!$C$72:$R$232,COLUMNS(Lists!$C$69:G$69),0)*VLOOKUP(BG$3,Conversions!$B$12:$E$34,4,0)))</f>
        <v>0</v>
      </c>
      <c r="AS53" s="333">
        <f>IF($F53="",0,IF($F53="Weighted Average",$I53*VLOOKUP($D53&amp;" (Disposal)",Lists!$C$72:$R$232,COLUMNS(Lists!$C$69:H$69),0)*VLOOKUP(BH$3,Conversions!$B$12:$E$34,4,0),$I53*VLOOKUP($F53,Lists!$C$72:$R$232,COLUMNS(Lists!$C$69:H$69),0)*VLOOKUP(BH$3,Conversions!$B$12:$E$34,4,0)))</f>
        <v>0</v>
      </c>
      <c r="AT53" s="333">
        <f>IF($F53="",0,IF($F53="Weighted Average",$I53*VLOOKUP($D53&amp;" (Disposal)",Lists!$C$72:$R$232,COLUMNS(Lists!$C$69:I$69),0)*VLOOKUP(BI$3,Conversions!$B$12:$E$34,4,0),$I53*VLOOKUP($F53,Lists!$C$72:$R$232,COLUMNS(Lists!$C$69:I$69),0)*VLOOKUP(BI$3,Conversions!$B$12:$E$34,4,0)))</f>
        <v>0</v>
      </c>
      <c r="AU53" s="333">
        <f>IF($F53="",0,IF($F53="Weighted Average",$I53*VLOOKUP($D53&amp;" (Disposal)",Lists!$C$72:$R$232,COLUMNS(Lists!$C$69:J$69),0)*VLOOKUP(BJ$3,Conversions!$B$12:$E$34,4,0),$I53*VLOOKUP($F53,Lists!$C$72:$R$232,COLUMNS(Lists!$C$69:J$69),0)*VLOOKUP(BJ$3,Conversions!$B$12:$E$34,4,0)))</f>
        <v>0</v>
      </c>
      <c r="AV53" s="333">
        <f>IF($F53="",0,IF($F53="Weighted Average",$I53*VLOOKUP($D53&amp;" (Disposal)",Lists!$C$72:$R$232,COLUMNS(Lists!$C$69:K$69),0)*VLOOKUP(BK$3,Conversions!$B$12:$E$34,4,0),$I53*VLOOKUP($F53,Lists!$C$72:$R$232,COLUMNS(Lists!$C$69:K$69),0)*VLOOKUP(BK$3,Conversions!$B$12:$E$34,4,0)))</f>
        <v>0</v>
      </c>
      <c r="AW53" s="333">
        <f>IF($F53="",0,IF($F53="Weighted Average",$I53*VLOOKUP($D53&amp;" (Disposal)",Lists!$C$72:$R$232,COLUMNS(Lists!$C$69:L$69),0)*VLOOKUP(BL$3,Conversions!$B$12:$E$34,4,0),$I53*VLOOKUP($F53,Lists!$C$72:$R$232,COLUMNS(Lists!$C$69:L$69),0)*VLOOKUP(BL$3,Conversions!$B$12:$E$34,4,0)))</f>
        <v>0</v>
      </c>
      <c r="AX53" s="333">
        <f>IF($F53="",0,IF($F53="Weighted Average",$I53*VLOOKUP($D53&amp;" (Disposal)",Lists!$C$72:$R$232,COLUMNS(Lists!$C$69:M$69),0)*VLOOKUP(BM$3,Conversions!$B$12:$E$34,4,0),$I53*VLOOKUP($F53,Lists!$C$72:$R$232,COLUMNS(Lists!$C$69:M$69),0)*VLOOKUP(BM$3,Conversions!$B$12:$E$34,4,0)))</f>
        <v>0</v>
      </c>
      <c r="AY53" s="333">
        <f>IF($F53="",0,IF($F53="Weighted Average",$I53*VLOOKUP($D53&amp;" (Disposal)",Lists!$C$72:$R$232,COLUMNS(Lists!$C$69:N$69),0)*VLOOKUP(BN$3,Conversions!$B$12:$E$34,4,0),$I53*VLOOKUP($F53,Lists!$C$72:$R$232,COLUMNS(Lists!$C$69:N$69),0)*VLOOKUP(BN$3,Conversions!$B$12:$E$34,4,0)))</f>
        <v>0</v>
      </c>
      <c r="AZ53" s="333">
        <f>IF($F53="",0,IF($F53="Weighted Average",$I53*VLOOKUP($D53&amp;" (Disposal)",Lists!$C$72:$R$232,COLUMNS(Lists!$C$69:O$69),0)*VLOOKUP(BO$3,Conversions!$B$12:$E$34,4,0),$I53*VLOOKUP($F53,Lists!$C$72:$R$232,COLUMNS(Lists!$C$69:O$69),0)*VLOOKUP(BO$3,Conversions!$B$12:$E$34,4,0)))</f>
        <v>0</v>
      </c>
      <c r="BA53" s="333">
        <f>IF($F53="",0,IF($F53="Weighted Average",$I53*VLOOKUP($D53&amp;" (Disposal)",Lists!$C$72:$R$232,COLUMNS(Lists!$C$69:P$69),0)*VLOOKUP(BP$3,Conversions!$B$12:$E$34,4,0),$I53*VLOOKUP($F53,Lists!$C$72:$R$232,COLUMNS(Lists!$C$69:P$69),0)*VLOOKUP(BP$3,Conversions!$B$12:$E$34,4,0)))</f>
        <v>0</v>
      </c>
      <c r="BB53" s="333">
        <f>IF($F53="",0,IF($F53="Weighted Average",$I53*VLOOKUP($D53&amp;" (Disposal)",Lists!$C$72:$R$232,COLUMNS(Lists!$C$69:Q$69),0)*VLOOKUP(BQ$3,Conversions!$B$12:$E$34,4,0),$I53*VLOOKUP($F53,Lists!$C$72:$R$232,COLUMNS(Lists!$C$69:Q$69),0)*VLOOKUP(BQ$3,Conversions!$B$12:$E$34,4,0)))</f>
        <v>0</v>
      </c>
      <c r="BC53" s="333">
        <f>IF($F53="",0,IF($F53="Weighted Average",$I53*VLOOKUP($D53&amp;" (Disposal)",Lists!$C$72:$R$232,COLUMNS(Lists!$C$69:R$69),0)*VLOOKUP(BR$3,Conversions!$B$12:$E$34,4,0),$I53*VLOOKUP($F53,Lists!$C$72:$R$232,COLUMNS(Lists!$C$69:R$69),0)*VLOOKUP(BR$3,Conversions!$B$12:$E$34,4,0)))</f>
        <v>0</v>
      </c>
      <c r="BD53" s="333">
        <f t="shared" si="40"/>
        <v>0</v>
      </c>
      <c r="BE53" s="330">
        <f t="shared" si="41"/>
        <v>0</v>
      </c>
      <c r="BF53" s="330">
        <f t="shared" si="42"/>
        <v>0</v>
      </c>
      <c r="BG53" s="330">
        <f t="shared" si="43"/>
        <v>0</v>
      </c>
      <c r="BH53" s="330">
        <f t="shared" si="44"/>
        <v>0</v>
      </c>
      <c r="BI53" s="330">
        <f t="shared" si="45"/>
        <v>0</v>
      </c>
      <c r="BJ53" s="330">
        <f t="shared" si="46"/>
        <v>0</v>
      </c>
      <c r="BK53" s="330">
        <f t="shared" si="47"/>
        <v>0</v>
      </c>
      <c r="BL53" s="330">
        <f t="shared" si="48"/>
        <v>0</v>
      </c>
      <c r="BM53" s="330">
        <f t="shared" si="49"/>
        <v>0</v>
      </c>
      <c r="BN53" s="330">
        <f t="shared" si="50"/>
        <v>0</v>
      </c>
      <c r="BO53" s="330">
        <f t="shared" si="51"/>
        <v>0</v>
      </c>
      <c r="BP53" s="330">
        <f t="shared" si="52"/>
        <v>0</v>
      </c>
      <c r="BQ53" s="330">
        <f t="shared" si="53"/>
        <v>0</v>
      </c>
      <c r="BR53" s="330">
        <f t="shared" si="54"/>
        <v>0</v>
      </c>
      <c r="BS53" s="330">
        <f t="shared" si="55"/>
        <v>0</v>
      </c>
      <c r="BT53" s="329">
        <f t="shared" si="56"/>
        <v>0</v>
      </c>
      <c r="BU53" s="329">
        <f t="shared" si="56"/>
        <v>0</v>
      </c>
      <c r="BV53" s="329">
        <f t="shared" si="56"/>
        <v>0</v>
      </c>
      <c r="BW53" s="329">
        <f t="shared" si="56"/>
        <v>0</v>
      </c>
      <c r="BX53" s="329">
        <f t="shared" si="56"/>
        <v>0</v>
      </c>
      <c r="BY53" s="329">
        <f t="shared" si="56"/>
        <v>0</v>
      </c>
      <c r="BZ53" s="329">
        <f t="shared" si="56"/>
        <v>0</v>
      </c>
      <c r="CA53" s="329">
        <f t="shared" si="56"/>
        <v>0</v>
      </c>
      <c r="CB53" s="329">
        <f t="shared" si="56"/>
        <v>0</v>
      </c>
      <c r="CC53" s="329">
        <f t="shared" si="56"/>
        <v>0</v>
      </c>
      <c r="CD53" s="329">
        <f t="shared" si="56"/>
        <v>0</v>
      </c>
      <c r="CE53" s="329">
        <f t="shared" si="56"/>
        <v>0</v>
      </c>
      <c r="CF53" s="329">
        <f t="shared" si="56"/>
        <v>0</v>
      </c>
      <c r="CG53" s="329">
        <f t="shared" si="56"/>
        <v>0</v>
      </c>
      <c r="CH53" s="329">
        <f t="shared" si="56"/>
        <v>0</v>
      </c>
      <c r="CI53" s="329">
        <f t="shared" si="56"/>
        <v>0</v>
      </c>
      <c r="CJ53" s="331">
        <f t="shared" si="1"/>
        <v>0</v>
      </c>
      <c r="CK53" s="330">
        <f t="shared" si="5"/>
        <v>0</v>
      </c>
      <c r="CL53" s="330">
        <f t="shared" si="6"/>
        <v>0</v>
      </c>
      <c r="CM53" s="330">
        <f t="shared" si="7"/>
        <v>0</v>
      </c>
      <c r="CN53" s="330">
        <f t="shared" si="8"/>
        <v>0</v>
      </c>
      <c r="CO53" s="330">
        <f t="shared" si="9"/>
        <v>0</v>
      </c>
      <c r="CP53" s="330">
        <f t="shared" si="10"/>
        <v>0</v>
      </c>
      <c r="CQ53" s="330">
        <f t="shared" si="11"/>
        <v>0</v>
      </c>
      <c r="CR53" s="330">
        <f t="shared" si="12"/>
        <v>0</v>
      </c>
      <c r="CS53" s="330">
        <f t="shared" si="13"/>
        <v>0</v>
      </c>
      <c r="CT53" s="330">
        <f t="shared" si="14"/>
        <v>0</v>
      </c>
      <c r="CU53" s="330">
        <f t="shared" si="57"/>
        <v>0</v>
      </c>
      <c r="CV53" s="330">
        <f t="shared" si="57"/>
        <v>0</v>
      </c>
      <c r="CW53" s="330">
        <f t="shared" si="57"/>
        <v>0</v>
      </c>
      <c r="CX53" s="330">
        <f t="shared" si="57"/>
        <v>0</v>
      </c>
      <c r="CY53" s="330">
        <f t="shared" si="57"/>
        <v>0</v>
      </c>
      <c r="CZ53" s="330">
        <f t="shared" si="57"/>
        <v>0</v>
      </c>
      <c r="DA53" s="330">
        <f t="shared" si="57"/>
        <v>0</v>
      </c>
      <c r="DB53" s="330">
        <f t="shared" si="57"/>
        <v>0</v>
      </c>
      <c r="DC53" s="330">
        <f t="shared" si="57"/>
        <v>0</v>
      </c>
      <c r="DD53" s="330">
        <f t="shared" si="57"/>
        <v>0</v>
      </c>
      <c r="DE53" s="330">
        <f t="shared" si="58"/>
        <v>0</v>
      </c>
      <c r="DF53" s="330">
        <f t="shared" si="58"/>
        <v>0</v>
      </c>
      <c r="DG53" s="330">
        <f t="shared" si="58"/>
        <v>0</v>
      </c>
      <c r="DH53" s="330">
        <f t="shared" si="58"/>
        <v>0</v>
      </c>
      <c r="DI53" s="330">
        <f t="shared" si="58"/>
        <v>0</v>
      </c>
      <c r="DJ53" s="330">
        <f t="shared" si="58"/>
        <v>0</v>
      </c>
      <c r="DK53" s="330">
        <f t="shared" si="58"/>
        <v>0</v>
      </c>
      <c r="DL53" s="330">
        <f t="shared" si="58"/>
        <v>0</v>
      </c>
      <c r="DM53" s="330">
        <f t="shared" si="58"/>
        <v>0</v>
      </c>
      <c r="DN53" s="330">
        <f t="shared" si="58"/>
        <v>0</v>
      </c>
      <c r="DO53" s="330">
        <f t="shared" si="58"/>
        <v>0</v>
      </c>
      <c r="DP53" s="330">
        <f t="shared" si="37"/>
        <v>0</v>
      </c>
      <c r="DQ53" s="217"/>
      <c r="DR53" s="217"/>
      <c r="DS53" s="217"/>
      <c r="DT53" s="217"/>
    </row>
    <row r="54" spans="1:124" x14ac:dyDescent="0.3">
      <c r="A54" s="332"/>
      <c r="B54" s="221" t="s">
        <v>304</v>
      </c>
      <c r="C54" s="221" t="str">
        <f>IF('Simplified Material Balance'!C24=0,"",'Simplified Material Balance'!C24)</f>
        <v/>
      </c>
      <c r="D54" s="221" t="str">
        <f>IF('Simplified Material Balance'!D24=0,"",'Simplified Material Balance'!D24)</f>
        <v/>
      </c>
      <c r="E54" s="221" t="str">
        <f>IF('Simplified Material Balance'!E24=0,"",'Simplified Material Balance'!E24)</f>
        <v/>
      </c>
      <c r="F54" s="221" t="str">
        <f>IF('Simplified Material Balance'!F24=0,"",'Simplified Material Balance'!F24)</f>
        <v/>
      </c>
      <c r="G54" s="272">
        <f>IF('Simplified Material Balance'!H24&gt;'Simplified Material Balance'!G24,0,('Simplified Material Balance'!G24-'Simplified Material Balance'!H24)*Conversions!$C$4)</f>
        <v>0</v>
      </c>
      <c r="H54" s="272">
        <f>'Simplified Material Balance'!I24*Conversions!$C$4</f>
        <v>0</v>
      </c>
      <c r="I54" s="272">
        <f>('Simplified Material Balance'!J24-'Simplified Material Balance'!K24)*Conversions!$C$4</f>
        <v>0</v>
      </c>
      <c r="J54" s="325">
        <f>IF('Simplified Material Balance'!L24=0,0,'Simplified Material Balance'!L24)</f>
        <v>0</v>
      </c>
      <c r="K54" s="465"/>
      <c r="L54" s="333">
        <f>IF($F54="",0,IF($F54="Weighted Average",$G54*VLOOKUP($D54&amp;" (Install)",Lists!$C$72:$R$232,COLUMNS(Lists!$C$69:E$69),0)*VLOOKUP(BE$3,Conversions!$B$12:$E$34,4,0),$G54*VLOOKUP($F54,Lists!$C$72:$R$232,COLUMNS(Lists!$C$69:E$69),0)*VLOOKUP(BE$3,Conversions!$B$12:$E$34,4,0)))</f>
        <v>0</v>
      </c>
      <c r="M54" s="333">
        <f>IF($F54="",0,IF($F54="Weighted Average",$G54*VLOOKUP($D54&amp;" (Install)",Lists!$C$72:$R$232,COLUMNS(Lists!$C$69:F$69),0)*VLOOKUP(BF$3,Conversions!$B$12:$E$34,4,0),$G54*VLOOKUP($F54,Lists!$C$72:$R$232,COLUMNS(Lists!$C$69:F$69),0)*VLOOKUP(BF$3,Conversions!$B$12:$E$34,4,0)))</f>
        <v>0</v>
      </c>
      <c r="N54" s="333">
        <f>IF($F54="",0,IF($F54="Weighted Average",$G54*VLOOKUP($D54&amp;" (Install)",Lists!$C$72:$R$232,COLUMNS(Lists!$C$69:G$69),0)*VLOOKUP(BG$3,Conversions!$B$12:$E$34,4,0),$G54*VLOOKUP($F54,Lists!$C$72:$R$232,COLUMNS(Lists!$C$69:G$69),0)*VLOOKUP(BG$3,Conversions!$B$12:$E$34,4,0)))</f>
        <v>0</v>
      </c>
      <c r="O54" s="333">
        <f>IF($F54="",0,IF($F54="Weighted Average",$G54*VLOOKUP($D54&amp;" (Install)",Lists!$C$72:$R$232,COLUMNS(Lists!$C$69:H$69),0)*VLOOKUP(BH$3,Conversions!$B$12:$E$34,4,0),$G54*VLOOKUP($F54,Lists!$C$72:$R$232,COLUMNS(Lists!$C$69:H$69),0)*VLOOKUP(BH$3,Conversions!$B$12:$E$34,4,0)))</f>
        <v>0</v>
      </c>
      <c r="P54" s="333">
        <f>IF($F54="",0,IF($F54="Weighted Average",$G54*VLOOKUP($D54&amp;" (Install)",Lists!$C$72:$R$232,COLUMNS(Lists!$C$69:I$69),0)*VLOOKUP(BI$3,Conversions!$B$12:$E$34,4,0),$G54*VLOOKUP($F54,Lists!$C$72:$R$232,COLUMNS(Lists!$C$69:I$69),0)*VLOOKUP(BI$3,Conversions!$B$12:$E$34,4,0)))</f>
        <v>0</v>
      </c>
      <c r="Q54" s="333">
        <f>IF($F54="",0,IF($F54="Weighted Average",$G54*VLOOKUP($D54&amp;" (Install)",Lists!$C$72:$R$232,COLUMNS(Lists!$C$69:J$69),0)*VLOOKUP(BJ$3,Conversions!$B$12:$E$34,4,0),$G54*VLOOKUP($F54,Lists!$C$72:$R$232,COLUMNS(Lists!$C$69:J$69),0)*VLOOKUP(BJ$3,Conversions!$B$12:$E$34,4,0)))</f>
        <v>0</v>
      </c>
      <c r="R54" s="333">
        <f>IF($F54="",0,IF($F54="Weighted Average",$G54*VLOOKUP($D54&amp;" (Install)",Lists!$C$72:$R$232,COLUMNS(Lists!$C$69:K$69),0)*VLOOKUP(BK$3,Conversions!$B$12:$E$34,4,0),$G54*VLOOKUP($F54,Lists!$C$72:$R$232,COLUMNS(Lists!$C$69:K$69),0)*VLOOKUP(BK$3,Conversions!$B$12:$E$34,4,0)))</f>
        <v>0</v>
      </c>
      <c r="S54" s="333">
        <f>IF($F54="",0,IF($F54="Weighted Average",$G54*VLOOKUP($D54&amp;" (Install)",Lists!$C$72:$R$232,COLUMNS(Lists!$C$69:L$69),0)*VLOOKUP(BL$3,Conversions!$B$12:$E$34,4,0),$G54*VLOOKUP($F54,Lists!$C$72:$R$232,COLUMNS(Lists!$C$69:L$69),0)*VLOOKUP(BL$3,Conversions!$B$12:$E$34,4,0)))</f>
        <v>0</v>
      </c>
      <c r="T54" s="333">
        <f>IF($F54="",0,IF($F54="Weighted Average",$G54*VLOOKUP($D54&amp;" (Install)",Lists!$C$72:$R$232,COLUMNS(Lists!$C$69:M$69),0)*VLOOKUP(BM$3,Conversions!$B$12:$E$34,4,0),$G54*VLOOKUP($F54,Lists!$C$72:$R$232,COLUMNS(Lists!$C$69:M$69),0)*VLOOKUP(BM$3,Conversions!$B$12:$E$34,4,0)))</f>
        <v>0</v>
      </c>
      <c r="U54" s="333">
        <f>IF($F54="",0,IF($F54="Weighted Average",$G54*VLOOKUP($D54&amp;" (Install)",Lists!$C$72:$R$232,COLUMNS(Lists!$C$69:N$69),0)*VLOOKUP(BN$3,Conversions!$B$12:$E$34,4,0),$G54*VLOOKUP($F54,Lists!$C$72:$R$232,COLUMNS(Lists!$C$69:N$69),0)*VLOOKUP(BN$3,Conversions!$B$12:$E$34,4,0)))</f>
        <v>0</v>
      </c>
      <c r="V54" s="333">
        <f>IF($F54="",0,IF($F54="Weighted Average",$G54*VLOOKUP($D54&amp;" (Install)",Lists!$C$72:$R$232,COLUMNS(Lists!$C$69:O$69),0)*VLOOKUP(BO$3,Conversions!$B$12:$E$34,4,0),$G54*VLOOKUP($F54,Lists!$C$72:$R$232,COLUMNS(Lists!$C$69:O$69),0)*VLOOKUP(BO$3,Conversions!$B$12:$E$34,4,0)))</f>
        <v>0</v>
      </c>
      <c r="W54" s="333">
        <f>IF($F54="",0,IF($F54="Weighted Average",$G54*VLOOKUP($D54&amp;" (Install)",Lists!$C$72:$R$232,COLUMNS(Lists!$C$69:P$69),0)*VLOOKUP(BP$3,Conversions!$B$12:$E$34,4,0),$G54*VLOOKUP($F54,Lists!$C$72:$R$232,COLUMNS(Lists!$C$69:P$69),0)*VLOOKUP(BP$3,Conversions!$B$12:$E$34,4,0)))</f>
        <v>0</v>
      </c>
      <c r="X54" s="333">
        <f>IF($F54="",0,IF($F54="Weighted Average",$G54*VLOOKUP($D54&amp;" (Install)",Lists!$C$72:$R$232,COLUMNS(Lists!$C$69:Q$69),0)*VLOOKUP(BQ$3,Conversions!$B$12:$E$34,4,0),$G54*VLOOKUP($F54,Lists!$C$72:$R$232,COLUMNS(Lists!$C$69:Q$69),0)*VLOOKUP(BQ$3,Conversions!$B$12:$E$34,4,0)))</f>
        <v>0</v>
      </c>
      <c r="Y54" s="333">
        <f>IF($F54="",0,IF($F54="Weighted Average",$G54*VLOOKUP($D54&amp;" (Install)",Lists!$C$72:$R$232,COLUMNS(Lists!$C$69:R$69),0)*VLOOKUP(BR$3,Conversions!$B$12:$E$34,4,0),$G54*VLOOKUP($F54,Lists!$C$72:$R$232,COLUMNS(Lists!$C$69:R$69),0)*VLOOKUP(BR$3,Conversions!$B$12:$E$34,4,0)))</f>
        <v>0</v>
      </c>
      <c r="Z54" s="325">
        <f t="shared" ref="Z54:Z73" si="59">SUM(L54:Y54)</f>
        <v>0</v>
      </c>
      <c r="AA54" s="334">
        <f>IF($F54="",0,IF($F54="Weighted Average",$H54*VLOOKUP($D54&amp;" (Operation)",Lists!$C$72:$R$232,COLUMNS(Lists!$C$69:E$69),0)*VLOOKUP(BE$3,Conversions!$B$12:$E$34,4,0),$H54*VLOOKUP($F54,Lists!$C$72:$R$232,COLUMNS(Lists!$C$69:E$69),0)*VLOOKUP(BE$3,Conversions!$B$12:$E$34,4,0)))</f>
        <v>0</v>
      </c>
      <c r="AB54" s="334">
        <f>IF($F54="",0,IF($F54="Weighted Average",$H54*VLOOKUP($D54&amp;" (Operation)",Lists!$C$72:$R$232,COLUMNS(Lists!$C$69:F$69),0)*VLOOKUP(BF$3,Conversions!$B$12:$E$34,4,0),$H54*VLOOKUP($F54,Lists!$C$72:$R$232,COLUMNS(Lists!$C$69:F$69),0)*VLOOKUP(BF$3,Conversions!$B$12:$E$34,4,0)))</f>
        <v>0</v>
      </c>
      <c r="AC54" s="334">
        <f>IF($F54="",0,IF($F54="Weighted Average",$H54*VLOOKUP($D54&amp;" (Operation)",Lists!$C$72:$R$232,COLUMNS(Lists!$C$69:G$69),0)*VLOOKUP(BG$3,Conversions!$B$12:$E$34,4,0),$H54*VLOOKUP($F54,Lists!$C$72:$R$232,COLUMNS(Lists!$C$69:G$69),0)*VLOOKUP(BG$3,Conversions!$B$12:$E$34,4,0)))</f>
        <v>0</v>
      </c>
      <c r="AD54" s="334">
        <f>IF($F54="",0,IF($F54="Weighted Average",$H54*VLOOKUP($D54&amp;" (Operation)",Lists!$C$72:$R$232,COLUMNS(Lists!$C$69:H$69),0)*VLOOKUP(BH$3,Conversions!$B$12:$E$34,4,0),$H54*VLOOKUP($F54,Lists!$C$72:$R$232,COLUMNS(Lists!$C$69:H$69),0)*VLOOKUP(BH$3,Conversions!$B$12:$E$34,4,0)))</f>
        <v>0</v>
      </c>
      <c r="AE54" s="334">
        <f>IF($F54="",0,IF($F54="Weighted Average",$H54*VLOOKUP($D54&amp;" (Operation)",Lists!$C$72:$R$232,COLUMNS(Lists!$C$69:I$69),0)*VLOOKUP(BI$3,Conversions!$B$12:$E$34,4,0),$H54*VLOOKUP($F54,Lists!$C$72:$R$232,COLUMNS(Lists!$C$69:I$69),0)*VLOOKUP(BI$3,Conversions!$B$12:$E$34,4,0)))</f>
        <v>0</v>
      </c>
      <c r="AF54" s="334">
        <f>IF($F54="",0,IF($F54="Weighted Average",$H54*VLOOKUP($D54&amp;" (Operation)",Lists!$C$72:$R$232,COLUMNS(Lists!$C$69:J$69),0)*VLOOKUP(BJ$3,Conversions!$B$12:$E$34,4,0),$H54*VLOOKUP($F54,Lists!$C$72:$R$232,COLUMNS(Lists!$C$69:J$69),0)*VLOOKUP(BJ$3,Conversions!$B$12:$E$34,4,0)))</f>
        <v>0</v>
      </c>
      <c r="AG54" s="334">
        <f>IF($F54="",0,IF($F54="Weighted Average",$H54*VLOOKUP($D54&amp;" (Operation)",Lists!$C$72:$R$232,COLUMNS(Lists!$C$69:K$69),0)*VLOOKUP(BK$3,Conversions!$B$12:$E$34,4,0),$H54*VLOOKUP($F54,Lists!$C$72:$R$232,COLUMNS(Lists!$C$69:K$69),0)*VLOOKUP(BK$3,Conversions!$B$12:$E$34,4,0)))</f>
        <v>0</v>
      </c>
      <c r="AH54" s="334">
        <f>IF($F54="",0,IF($F54="Weighted Average",$H54*VLOOKUP($D54&amp;" (Operation)",Lists!$C$72:$R$232,COLUMNS(Lists!$C$69:L$69),0)*VLOOKUP(BL$3,Conversions!$B$12:$E$34,4,0),$H54*VLOOKUP($F54,Lists!$C$72:$R$232,COLUMNS(Lists!$C$69:L$69),0)*VLOOKUP(BL$3,Conversions!$B$12:$E$34,4,0)))</f>
        <v>0</v>
      </c>
      <c r="AI54" s="334">
        <f>IF($F54="",0,IF($F54="Weighted Average",$H54*VLOOKUP($D54&amp;" (Operation)",Lists!$C$72:$R$232,COLUMNS(Lists!$C$69:M$69),0)*VLOOKUP(BM$3,Conversions!$B$12:$E$34,4,0),$H54*VLOOKUP($F54,Lists!$C$72:$R$232,COLUMNS(Lists!$C$69:M$69),0)*VLOOKUP(BM$3,Conversions!$B$12:$E$34,4,0)))</f>
        <v>0</v>
      </c>
      <c r="AJ54" s="334">
        <f>IF($F54="",0,IF($F54="Weighted Average",$H54*VLOOKUP($D54&amp;" (Operation)",Lists!$C$72:$R$232,COLUMNS(Lists!$C$69:N$69),0)*VLOOKUP(BN$3,Conversions!$B$12:$E$34,4,0),$H54*VLOOKUP($F54,Lists!$C$72:$R$232,COLUMNS(Lists!$C$69:N$69),0)*VLOOKUP(BN$3,Conversions!$B$12:$E$34,4,0)))</f>
        <v>0</v>
      </c>
      <c r="AK54" s="334">
        <f>IF($F54="",0,IF($F54="Weighted Average",$H54*VLOOKUP($D54&amp;" (Operation)",Lists!$C$72:$R$232,COLUMNS(Lists!$C$69:O$69),0)*VLOOKUP(BO$3,Conversions!$B$12:$E$34,4,0),$H54*VLOOKUP($F54,Lists!$C$72:$R$232,COLUMNS(Lists!$C$69:O$69),0)*VLOOKUP(BO$3,Conversions!$B$12:$E$34,4,0)))</f>
        <v>0</v>
      </c>
      <c r="AL54" s="334">
        <f>IF($F54="",0,IF($F54="Weighted Average",$H54*VLOOKUP($D54&amp;" (Operation)",Lists!$C$72:$R$232,COLUMNS(Lists!$C$69:P$69),0)*VLOOKUP(BP$3,Conversions!$B$12:$E$34,4,0),$H54*VLOOKUP($F54,Lists!$C$72:$R$232,COLUMNS(Lists!$C$69:P$69),0)*VLOOKUP(BP$3,Conversions!$B$12:$E$34,4,0)))</f>
        <v>0</v>
      </c>
      <c r="AM54" s="334">
        <f>IF($F54="",0,IF($F54="Weighted Average",$H54*VLOOKUP($D54&amp;" (Operation)",Lists!$C$72:$R$232,COLUMNS(Lists!$C$69:Q$69),0)*VLOOKUP(BQ$3,Conversions!$B$12:$E$34,4,0),$H54*VLOOKUP($F54,Lists!$C$72:$R$232,COLUMNS(Lists!$C$69:Q$69),0)*VLOOKUP(BQ$3,Conversions!$B$12:$E$34,4,0)))</f>
        <v>0</v>
      </c>
      <c r="AN54" s="334">
        <f>IF($F54="",0,IF($F54="Weighted Average",$H54*VLOOKUP($D54&amp;" (Operation)",Lists!$C$72:$R$232,COLUMNS(Lists!$C$69:R$69),0)*VLOOKUP(BR$3,Conversions!$B$12:$E$34,4,0),$H54*VLOOKUP($F54,Lists!$C$72:$R$232,COLUMNS(Lists!$C$69:R$69),0)*VLOOKUP(BR$3,Conversions!$B$12:$E$34,4,0)))</f>
        <v>0</v>
      </c>
      <c r="AO54" s="330">
        <f t="shared" ref="AO54:AO73" si="60">SUM(AA54:AN54)</f>
        <v>0</v>
      </c>
      <c r="AP54" s="333">
        <f>IF($F54="",0,IF($F54="Weighted Average",$I54*VLOOKUP($D54&amp;" (Disposal)",Lists!$C$72:$R$232,COLUMNS(Lists!$C$69:E$69),0)*VLOOKUP(BE$3,Conversions!$B$12:$E$34,4,0),$I54*VLOOKUP($F54,Lists!$C$72:$R$232,COLUMNS(Lists!$C$69:E$69),0)*VLOOKUP(BE$3,Conversions!$B$12:$E$34,4,0)))</f>
        <v>0</v>
      </c>
      <c r="AQ54" s="333">
        <f>IF($F54="",0,IF($F54="Weighted Average",$I54*VLOOKUP($D54&amp;" (Disposal)",Lists!$C$72:$R$232,COLUMNS(Lists!$C$69:F$69),0)*VLOOKUP(BF$3,Conversions!$B$12:$E$34,4,0),$I54*VLOOKUP($F54,Lists!$C$72:$R$232,COLUMNS(Lists!$C$69:F$69),0)*VLOOKUP(BF$3,Conversions!$B$12:$E$34,4,0)))</f>
        <v>0</v>
      </c>
      <c r="AR54" s="333">
        <f>IF($F54="",0,IF($F54="Weighted Average",$I54*VLOOKUP($D54&amp;" (Disposal)",Lists!$C$72:$R$232,COLUMNS(Lists!$C$69:G$69),0)*VLOOKUP(BG$3,Conversions!$B$12:$E$34,4,0),$I54*VLOOKUP($F54,Lists!$C$72:$R$232,COLUMNS(Lists!$C$69:G$69),0)*VLOOKUP(BG$3,Conversions!$B$12:$E$34,4,0)))</f>
        <v>0</v>
      </c>
      <c r="AS54" s="333">
        <f>IF($F54="",0,IF($F54="Weighted Average",$I54*VLOOKUP($D54&amp;" (Disposal)",Lists!$C$72:$R$232,COLUMNS(Lists!$C$69:H$69),0)*VLOOKUP(BH$3,Conversions!$B$12:$E$34,4,0),$I54*VLOOKUP($F54,Lists!$C$72:$R$232,COLUMNS(Lists!$C$69:H$69),0)*VLOOKUP(BH$3,Conversions!$B$12:$E$34,4,0)))</f>
        <v>0</v>
      </c>
      <c r="AT54" s="333">
        <f>IF($F54="",0,IF($F54="Weighted Average",$I54*VLOOKUP($D54&amp;" (Disposal)",Lists!$C$72:$R$232,COLUMNS(Lists!$C$69:I$69),0)*VLOOKUP(BI$3,Conversions!$B$12:$E$34,4,0),$I54*VLOOKUP($F54,Lists!$C$72:$R$232,COLUMNS(Lists!$C$69:I$69),0)*VLOOKUP(BI$3,Conversions!$B$12:$E$34,4,0)))</f>
        <v>0</v>
      </c>
      <c r="AU54" s="333">
        <f>IF($F54="",0,IF($F54="Weighted Average",$I54*VLOOKUP($D54&amp;" (Disposal)",Lists!$C$72:$R$232,COLUMNS(Lists!$C$69:J$69),0)*VLOOKUP(BJ$3,Conversions!$B$12:$E$34,4,0),$I54*VLOOKUP($F54,Lists!$C$72:$R$232,COLUMNS(Lists!$C$69:J$69),0)*VLOOKUP(BJ$3,Conversions!$B$12:$E$34,4,0)))</f>
        <v>0</v>
      </c>
      <c r="AV54" s="333">
        <f>IF($F54="",0,IF($F54="Weighted Average",$I54*VLOOKUP($D54&amp;" (Disposal)",Lists!$C$72:$R$232,COLUMNS(Lists!$C$69:K$69),0)*VLOOKUP(BK$3,Conversions!$B$12:$E$34,4,0),$I54*VLOOKUP($F54,Lists!$C$72:$R$232,COLUMNS(Lists!$C$69:K$69),0)*VLOOKUP(BK$3,Conversions!$B$12:$E$34,4,0)))</f>
        <v>0</v>
      </c>
      <c r="AW54" s="333">
        <f>IF($F54="",0,IF($F54="Weighted Average",$I54*VLOOKUP($D54&amp;" (Disposal)",Lists!$C$72:$R$232,COLUMNS(Lists!$C$69:L$69),0)*VLOOKUP(BL$3,Conversions!$B$12:$E$34,4,0),$I54*VLOOKUP($F54,Lists!$C$72:$R$232,COLUMNS(Lists!$C$69:L$69),0)*VLOOKUP(BL$3,Conversions!$B$12:$E$34,4,0)))</f>
        <v>0</v>
      </c>
      <c r="AX54" s="333">
        <f>IF($F54="",0,IF($F54="Weighted Average",$I54*VLOOKUP($D54&amp;" (Disposal)",Lists!$C$72:$R$232,COLUMNS(Lists!$C$69:M$69),0)*VLOOKUP(BM$3,Conversions!$B$12:$E$34,4,0),$I54*VLOOKUP($F54,Lists!$C$72:$R$232,COLUMNS(Lists!$C$69:M$69),0)*VLOOKUP(BM$3,Conversions!$B$12:$E$34,4,0)))</f>
        <v>0</v>
      </c>
      <c r="AY54" s="333">
        <f>IF($F54="",0,IF($F54="Weighted Average",$I54*VLOOKUP($D54&amp;" (Disposal)",Lists!$C$72:$R$232,COLUMNS(Lists!$C$69:N$69),0)*VLOOKUP(BN$3,Conversions!$B$12:$E$34,4,0),$I54*VLOOKUP($F54,Lists!$C$72:$R$232,COLUMNS(Lists!$C$69:N$69),0)*VLOOKUP(BN$3,Conversions!$B$12:$E$34,4,0)))</f>
        <v>0</v>
      </c>
      <c r="AZ54" s="333">
        <f>IF($F54="",0,IF($F54="Weighted Average",$I54*VLOOKUP($D54&amp;" (Disposal)",Lists!$C$72:$R$232,COLUMNS(Lists!$C$69:O$69),0)*VLOOKUP(BO$3,Conversions!$B$12:$E$34,4,0),$I54*VLOOKUP($F54,Lists!$C$72:$R$232,COLUMNS(Lists!$C$69:O$69),0)*VLOOKUP(BO$3,Conversions!$B$12:$E$34,4,0)))</f>
        <v>0</v>
      </c>
      <c r="BA54" s="333">
        <f>IF($F54="",0,IF($F54="Weighted Average",$I54*VLOOKUP($D54&amp;" (Disposal)",Lists!$C$72:$R$232,COLUMNS(Lists!$C$69:P$69),0)*VLOOKUP(BP$3,Conversions!$B$12:$E$34,4,0),$I54*VLOOKUP($F54,Lists!$C$72:$R$232,COLUMNS(Lists!$C$69:P$69),0)*VLOOKUP(BP$3,Conversions!$B$12:$E$34,4,0)))</f>
        <v>0</v>
      </c>
      <c r="BB54" s="333">
        <f>IF($F54="",0,IF($F54="Weighted Average",$I54*VLOOKUP($D54&amp;" (Disposal)",Lists!$C$72:$R$232,COLUMNS(Lists!$C$69:Q$69),0)*VLOOKUP(BQ$3,Conversions!$B$12:$E$34,4,0),$I54*VLOOKUP($F54,Lists!$C$72:$R$232,COLUMNS(Lists!$C$69:Q$69),0)*VLOOKUP(BQ$3,Conversions!$B$12:$E$34,4,0)))</f>
        <v>0</v>
      </c>
      <c r="BC54" s="333">
        <f>IF($F54="",0,IF($F54="Weighted Average",$I54*VLOOKUP($D54&amp;" (Disposal)",Lists!$C$72:$R$232,COLUMNS(Lists!$C$69:R$69),0)*VLOOKUP(BR$3,Conversions!$B$12:$E$34,4,0),$I54*VLOOKUP($F54,Lists!$C$72:$R$232,COLUMNS(Lists!$C$69:R$69),0)*VLOOKUP(BR$3,Conversions!$B$12:$E$34,4,0)))</f>
        <v>0</v>
      </c>
      <c r="BD54" s="333">
        <f t="shared" ref="BD54:BD73" si="61">SUM(AP54:BC54)</f>
        <v>0</v>
      </c>
      <c r="BE54" s="330">
        <f t="shared" ref="BE54:BE73" si="62">L54+AA54+AP54</f>
        <v>0</v>
      </c>
      <c r="BF54" s="330">
        <f t="shared" ref="BF54:BF73" si="63">M54+AB54+AQ54</f>
        <v>0</v>
      </c>
      <c r="BG54" s="330">
        <f t="shared" ref="BG54:BG73" si="64">N54+AC54+AR54</f>
        <v>0</v>
      </c>
      <c r="BH54" s="330">
        <f t="shared" ref="BH54:BH73" si="65">O54+AD54+AS54</f>
        <v>0</v>
      </c>
      <c r="BI54" s="330">
        <f t="shared" ref="BI54:BI73" si="66">P54+AE54+AT54</f>
        <v>0</v>
      </c>
      <c r="BJ54" s="330">
        <f t="shared" ref="BJ54:BJ73" si="67">Q54+AF54+AU54</f>
        <v>0</v>
      </c>
      <c r="BK54" s="330">
        <f t="shared" ref="BK54:BK73" si="68">R54+AG54+AV54</f>
        <v>0</v>
      </c>
      <c r="BL54" s="330">
        <f t="shared" ref="BL54:BL73" si="69">S54+AH54+AW54</f>
        <v>0</v>
      </c>
      <c r="BM54" s="330">
        <f t="shared" ref="BM54:BM73" si="70">T54+AI54+AX54</f>
        <v>0</v>
      </c>
      <c r="BN54" s="330">
        <f t="shared" ref="BN54:BN73" si="71">U54+AJ54+AY54</f>
        <v>0</v>
      </c>
      <c r="BO54" s="330">
        <f t="shared" ref="BO54:BO73" si="72">V54+AK54+AZ54</f>
        <v>0</v>
      </c>
      <c r="BP54" s="330">
        <f t="shared" ref="BP54:BP73" si="73">W54+AL54+BA54</f>
        <v>0</v>
      </c>
      <c r="BQ54" s="330">
        <f t="shared" ref="BQ54:BQ73" si="74">X54+AM54+BB54</f>
        <v>0</v>
      </c>
      <c r="BR54" s="330">
        <f t="shared" ref="BR54:BR73" si="75">Y54+AN54+BC54</f>
        <v>0</v>
      </c>
      <c r="BS54" s="330">
        <f t="shared" ref="BS54:BS73" si="76">Z54+AO54+BD54</f>
        <v>0</v>
      </c>
      <c r="BT54" s="329">
        <f t="shared" ref="BT54:CI63" si="77">IF($E54="",0,IF($E54=BT$3,$BS54,0))</f>
        <v>0</v>
      </c>
      <c r="BU54" s="329">
        <f t="shared" si="77"/>
        <v>0</v>
      </c>
      <c r="BV54" s="329">
        <f t="shared" si="77"/>
        <v>0</v>
      </c>
      <c r="BW54" s="329">
        <f t="shared" si="77"/>
        <v>0</v>
      </c>
      <c r="BX54" s="329">
        <f t="shared" si="77"/>
        <v>0</v>
      </c>
      <c r="BY54" s="329">
        <f t="shared" si="77"/>
        <v>0</v>
      </c>
      <c r="BZ54" s="329">
        <f t="shared" si="77"/>
        <v>0</v>
      </c>
      <c r="CA54" s="329">
        <f t="shared" si="77"/>
        <v>0</v>
      </c>
      <c r="CB54" s="329">
        <f t="shared" si="77"/>
        <v>0</v>
      </c>
      <c r="CC54" s="329">
        <f t="shared" si="77"/>
        <v>0</v>
      </c>
      <c r="CD54" s="329">
        <f t="shared" si="77"/>
        <v>0</v>
      </c>
      <c r="CE54" s="329">
        <f t="shared" si="77"/>
        <v>0</v>
      </c>
      <c r="CF54" s="329">
        <f t="shared" si="77"/>
        <v>0</v>
      </c>
      <c r="CG54" s="329">
        <f t="shared" si="77"/>
        <v>0</v>
      </c>
      <c r="CH54" s="329">
        <f t="shared" si="77"/>
        <v>0</v>
      </c>
      <c r="CI54" s="329">
        <f t="shared" si="77"/>
        <v>0</v>
      </c>
      <c r="CJ54" s="331">
        <f t="shared" ref="CJ54:CJ73" si="78">SUM(BT54:CI54)</f>
        <v>0</v>
      </c>
      <c r="CK54" s="330">
        <f t="shared" ref="CK54:CK73" si="79">BT54</f>
        <v>0</v>
      </c>
      <c r="CL54" s="330">
        <f t="shared" ref="CL54:CL73" si="80">BU54+BV54+BW54</f>
        <v>0</v>
      </c>
      <c r="CM54" s="330">
        <f t="shared" ref="CM54:CM73" si="81">BX54</f>
        <v>0</v>
      </c>
      <c r="CN54" s="330">
        <f t="shared" ref="CN54:CN73" si="82">BY54+BZ54</f>
        <v>0</v>
      </c>
      <c r="CO54" s="330">
        <f t="shared" ref="CO54:CO73" si="83">CA54</f>
        <v>0</v>
      </c>
      <c r="CP54" s="330">
        <f t="shared" ref="CP54:CP73" si="84">CB54</f>
        <v>0</v>
      </c>
      <c r="CQ54" s="330">
        <f t="shared" si="11"/>
        <v>0</v>
      </c>
      <c r="CR54" s="330">
        <f t="shared" ref="CR54:CR73" si="85">CE54+CF54</f>
        <v>0</v>
      </c>
      <c r="CS54" s="330">
        <f t="shared" ref="CS54:CS73" si="86">CG54+CH54+CI54</f>
        <v>0</v>
      </c>
      <c r="CT54" s="330">
        <f t="shared" ref="CT54:CT73" si="87">SUM(CK54:CS54)</f>
        <v>0</v>
      </c>
      <c r="CU54" s="330">
        <f t="shared" ref="CU54:DD63" si="88">IF($C54=CU$3,$BS54,0)</f>
        <v>0</v>
      </c>
      <c r="CV54" s="330">
        <f t="shared" si="88"/>
        <v>0</v>
      </c>
      <c r="CW54" s="330">
        <f t="shared" si="88"/>
        <v>0</v>
      </c>
      <c r="CX54" s="330">
        <f t="shared" si="88"/>
        <v>0</v>
      </c>
      <c r="CY54" s="330">
        <f t="shared" si="88"/>
        <v>0</v>
      </c>
      <c r="CZ54" s="330">
        <f t="shared" si="88"/>
        <v>0</v>
      </c>
      <c r="DA54" s="330">
        <f t="shared" si="88"/>
        <v>0</v>
      </c>
      <c r="DB54" s="330">
        <f t="shared" si="88"/>
        <v>0</v>
      </c>
      <c r="DC54" s="330">
        <f t="shared" si="88"/>
        <v>0</v>
      </c>
      <c r="DD54" s="330">
        <f t="shared" si="88"/>
        <v>0</v>
      </c>
      <c r="DE54" s="330">
        <f t="shared" ref="DE54:DO63" si="89">IF($C54=DE$3,$BS54,0)</f>
        <v>0</v>
      </c>
      <c r="DF54" s="330">
        <f t="shared" si="89"/>
        <v>0</v>
      </c>
      <c r="DG54" s="330">
        <f t="shared" si="89"/>
        <v>0</v>
      </c>
      <c r="DH54" s="330">
        <f t="shared" si="89"/>
        <v>0</v>
      </c>
      <c r="DI54" s="330">
        <f t="shared" si="89"/>
        <v>0</v>
      </c>
      <c r="DJ54" s="330">
        <f t="shared" si="89"/>
        <v>0</v>
      </c>
      <c r="DK54" s="330">
        <f t="shared" si="89"/>
        <v>0</v>
      </c>
      <c r="DL54" s="330">
        <f t="shared" si="89"/>
        <v>0</v>
      </c>
      <c r="DM54" s="330">
        <f t="shared" si="89"/>
        <v>0</v>
      </c>
      <c r="DN54" s="330">
        <f t="shared" si="89"/>
        <v>0</v>
      </c>
      <c r="DO54" s="330">
        <f t="shared" si="89"/>
        <v>0</v>
      </c>
      <c r="DP54" s="330">
        <f t="shared" ref="DP54:DP73" si="90">BS54</f>
        <v>0</v>
      </c>
      <c r="DQ54" s="217"/>
      <c r="DR54" s="217"/>
      <c r="DS54" s="217"/>
      <c r="DT54" s="217"/>
    </row>
    <row r="55" spans="1:124" x14ac:dyDescent="0.3">
      <c r="A55" s="332"/>
      <c r="B55" s="221" t="s">
        <v>304</v>
      </c>
      <c r="C55" s="221" t="str">
        <f>IF('Simplified Material Balance'!C25=0,"",'Simplified Material Balance'!C25)</f>
        <v/>
      </c>
      <c r="D55" s="221" t="str">
        <f>IF('Simplified Material Balance'!D25=0,"",'Simplified Material Balance'!D25)</f>
        <v/>
      </c>
      <c r="E55" s="221" t="str">
        <f>IF('Simplified Material Balance'!E25=0,"",'Simplified Material Balance'!E25)</f>
        <v/>
      </c>
      <c r="F55" s="221" t="str">
        <f>IF('Simplified Material Balance'!F25=0,"",'Simplified Material Balance'!F25)</f>
        <v/>
      </c>
      <c r="G55" s="272">
        <f>IF('Simplified Material Balance'!H25&gt;'Simplified Material Balance'!G25,0,('Simplified Material Balance'!G25-'Simplified Material Balance'!H25)*Conversions!$C$4)</f>
        <v>0</v>
      </c>
      <c r="H55" s="272">
        <f>'Simplified Material Balance'!I25*Conversions!$C$4</f>
        <v>0</v>
      </c>
      <c r="I55" s="272">
        <f>('Simplified Material Balance'!J25-'Simplified Material Balance'!K25)*Conversions!$C$4</f>
        <v>0</v>
      </c>
      <c r="J55" s="325">
        <f>IF('Simplified Material Balance'!L25=0,0,'Simplified Material Balance'!L25)</f>
        <v>0</v>
      </c>
      <c r="K55" s="465"/>
      <c r="L55" s="333">
        <f>IF($F55="",0,IF($F55="Weighted Average",$G55*VLOOKUP($D55&amp;" (Install)",Lists!$C$72:$R$232,COLUMNS(Lists!$C$69:E$69),0)*VLOOKUP(BE$3,Conversions!$B$12:$E$34,4,0),$G55*VLOOKUP($F55,Lists!$C$72:$R$232,COLUMNS(Lists!$C$69:E$69),0)*VLOOKUP(BE$3,Conversions!$B$12:$E$34,4,0)))</f>
        <v>0</v>
      </c>
      <c r="M55" s="333">
        <f>IF($F55="",0,IF($F55="Weighted Average",$G55*VLOOKUP($D55&amp;" (Install)",Lists!$C$72:$R$232,COLUMNS(Lists!$C$69:F$69),0)*VLOOKUP(BF$3,Conversions!$B$12:$E$34,4,0),$G55*VLOOKUP($F55,Lists!$C$72:$R$232,COLUMNS(Lists!$C$69:F$69),0)*VLOOKUP(BF$3,Conversions!$B$12:$E$34,4,0)))</f>
        <v>0</v>
      </c>
      <c r="N55" s="333">
        <f>IF($F55="",0,IF($F55="Weighted Average",$G55*VLOOKUP($D55&amp;" (Install)",Lists!$C$72:$R$232,COLUMNS(Lists!$C$69:G$69),0)*VLOOKUP(BG$3,Conversions!$B$12:$E$34,4,0),$G55*VLOOKUP($F55,Lists!$C$72:$R$232,COLUMNS(Lists!$C$69:G$69),0)*VLOOKUP(BG$3,Conversions!$B$12:$E$34,4,0)))</f>
        <v>0</v>
      </c>
      <c r="O55" s="333">
        <f>IF($F55="",0,IF($F55="Weighted Average",$G55*VLOOKUP($D55&amp;" (Install)",Lists!$C$72:$R$232,COLUMNS(Lists!$C$69:H$69),0)*VLOOKUP(BH$3,Conversions!$B$12:$E$34,4,0),$G55*VLOOKUP($F55,Lists!$C$72:$R$232,COLUMNS(Lists!$C$69:H$69),0)*VLOOKUP(BH$3,Conversions!$B$12:$E$34,4,0)))</f>
        <v>0</v>
      </c>
      <c r="P55" s="333">
        <f>IF($F55="",0,IF($F55="Weighted Average",$G55*VLOOKUP($D55&amp;" (Install)",Lists!$C$72:$R$232,COLUMNS(Lists!$C$69:I$69),0)*VLOOKUP(BI$3,Conversions!$B$12:$E$34,4,0),$G55*VLOOKUP($F55,Lists!$C$72:$R$232,COLUMNS(Lists!$C$69:I$69),0)*VLOOKUP(BI$3,Conversions!$B$12:$E$34,4,0)))</f>
        <v>0</v>
      </c>
      <c r="Q55" s="333">
        <f>IF($F55="",0,IF($F55="Weighted Average",$G55*VLOOKUP($D55&amp;" (Install)",Lists!$C$72:$R$232,COLUMNS(Lists!$C$69:J$69),0)*VLOOKUP(BJ$3,Conversions!$B$12:$E$34,4,0),$G55*VLOOKUP($F55,Lists!$C$72:$R$232,COLUMNS(Lists!$C$69:J$69),0)*VLOOKUP(BJ$3,Conversions!$B$12:$E$34,4,0)))</f>
        <v>0</v>
      </c>
      <c r="R55" s="333">
        <f>IF($F55="",0,IF($F55="Weighted Average",$G55*VLOOKUP($D55&amp;" (Install)",Lists!$C$72:$R$232,COLUMNS(Lists!$C$69:K$69),0)*VLOOKUP(BK$3,Conversions!$B$12:$E$34,4,0),$G55*VLOOKUP($F55,Lists!$C$72:$R$232,COLUMNS(Lists!$C$69:K$69),0)*VLOOKUP(BK$3,Conversions!$B$12:$E$34,4,0)))</f>
        <v>0</v>
      </c>
      <c r="S55" s="333">
        <f>IF($F55="",0,IF($F55="Weighted Average",$G55*VLOOKUP($D55&amp;" (Install)",Lists!$C$72:$R$232,COLUMNS(Lists!$C$69:L$69),0)*VLOOKUP(BL$3,Conversions!$B$12:$E$34,4,0),$G55*VLOOKUP($F55,Lists!$C$72:$R$232,COLUMNS(Lists!$C$69:L$69),0)*VLOOKUP(BL$3,Conversions!$B$12:$E$34,4,0)))</f>
        <v>0</v>
      </c>
      <c r="T55" s="333">
        <f>IF($F55="",0,IF($F55="Weighted Average",$G55*VLOOKUP($D55&amp;" (Install)",Lists!$C$72:$R$232,COLUMNS(Lists!$C$69:M$69),0)*VLOOKUP(BM$3,Conversions!$B$12:$E$34,4,0),$G55*VLOOKUP($F55,Lists!$C$72:$R$232,COLUMNS(Lists!$C$69:M$69),0)*VLOOKUP(BM$3,Conversions!$B$12:$E$34,4,0)))</f>
        <v>0</v>
      </c>
      <c r="U55" s="333">
        <f>IF($F55="",0,IF($F55="Weighted Average",$G55*VLOOKUP($D55&amp;" (Install)",Lists!$C$72:$R$232,COLUMNS(Lists!$C$69:N$69),0)*VLOOKUP(BN$3,Conversions!$B$12:$E$34,4,0),$G55*VLOOKUP($F55,Lists!$C$72:$R$232,COLUMNS(Lists!$C$69:N$69),0)*VLOOKUP(BN$3,Conversions!$B$12:$E$34,4,0)))</f>
        <v>0</v>
      </c>
      <c r="V55" s="333">
        <f>IF($F55="",0,IF($F55="Weighted Average",$G55*VLOOKUP($D55&amp;" (Install)",Lists!$C$72:$R$232,COLUMNS(Lists!$C$69:O$69),0)*VLOOKUP(BO$3,Conversions!$B$12:$E$34,4,0),$G55*VLOOKUP($F55,Lists!$C$72:$R$232,COLUMNS(Lists!$C$69:O$69),0)*VLOOKUP(BO$3,Conversions!$B$12:$E$34,4,0)))</f>
        <v>0</v>
      </c>
      <c r="W55" s="333">
        <f>IF($F55="",0,IF($F55="Weighted Average",$G55*VLOOKUP($D55&amp;" (Install)",Lists!$C$72:$R$232,COLUMNS(Lists!$C$69:P$69),0)*VLOOKUP(BP$3,Conversions!$B$12:$E$34,4,0),$G55*VLOOKUP($F55,Lists!$C$72:$R$232,COLUMNS(Lists!$C$69:P$69),0)*VLOOKUP(BP$3,Conversions!$B$12:$E$34,4,0)))</f>
        <v>0</v>
      </c>
      <c r="X55" s="333">
        <f>IF($F55="",0,IF($F55="Weighted Average",$G55*VLOOKUP($D55&amp;" (Install)",Lists!$C$72:$R$232,COLUMNS(Lists!$C$69:Q$69),0)*VLOOKUP(BQ$3,Conversions!$B$12:$E$34,4,0),$G55*VLOOKUP($F55,Lists!$C$72:$R$232,COLUMNS(Lists!$C$69:Q$69),0)*VLOOKUP(BQ$3,Conversions!$B$12:$E$34,4,0)))</f>
        <v>0</v>
      </c>
      <c r="Y55" s="333">
        <f>IF($F55="",0,IF($F55="Weighted Average",$G55*VLOOKUP($D55&amp;" (Install)",Lists!$C$72:$R$232,COLUMNS(Lists!$C$69:R$69),0)*VLOOKUP(BR$3,Conversions!$B$12:$E$34,4,0),$G55*VLOOKUP($F55,Lists!$C$72:$R$232,COLUMNS(Lists!$C$69:R$69),0)*VLOOKUP(BR$3,Conversions!$B$12:$E$34,4,0)))</f>
        <v>0</v>
      </c>
      <c r="Z55" s="325">
        <f t="shared" si="59"/>
        <v>0</v>
      </c>
      <c r="AA55" s="334">
        <f>IF($F55="",0,IF($F55="Weighted Average",$H55*VLOOKUP($D55&amp;" (Operation)",Lists!$C$72:$R$232,COLUMNS(Lists!$C$69:E$69),0)*VLOOKUP(BE$3,Conversions!$B$12:$E$34,4,0),$H55*VLOOKUP($F55,Lists!$C$72:$R$232,COLUMNS(Lists!$C$69:E$69),0)*VLOOKUP(BE$3,Conversions!$B$12:$E$34,4,0)))</f>
        <v>0</v>
      </c>
      <c r="AB55" s="334">
        <f>IF($F55="",0,IF($F55="Weighted Average",$H55*VLOOKUP($D55&amp;" (Operation)",Lists!$C$72:$R$232,COLUMNS(Lists!$C$69:F$69),0)*VLOOKUP(BF$3,Conversions!$B$12:$E$34,4,0),$H55*VLOOKUP($F55,Lists!$C$72:$R$232,COLUMNS(Lists!$C$69:F$69),0)*VLOOKUP(BF$3,Conversions!$B$12:$E$34,4,0)))</f>
        <v>0</v>
      </c>
      <c r="AC55" s="334">
        <f>IF($F55="",0,IF($F55="Weighted Average",$H55*VLOOKUP($D55&amp;" (Operation)",Lists!$C$72:$R$232,COLUMNS(Lists!$C$69:G$69),0)*VLOOKUP(BG$3,Conversions!$B$12:$E$34,4,0),$H55*VLOOKUP($F55,Lists!$C$72:$R$232,COLUMNS(Lists!$C$69:G$69),0)*VLOOKUP(BG$3,Conversions!$B$12:$E$34,4,0)))</f>
        <v>0</v>
      </c>
      <c r="AD55" s="334">
        <f>IF($F55="",0,IF($F55="Weighted Average",$H55*VLOOKUP($D55&amp;" (Operation)",Lists!$C$72:$R$232,COLUMNS(Lists!$C$69:H$69),0)*VLOOKUP(BH$3,Conversions!$B$12:$E$34,4,0),$H55*VLOOKUP($F55,Lists!$C$72:$R$232,COLUMNS(Lists!$C$69:H$69),0)*VLOOKUP(BH$3,Conversions!$B$12:$E$34,4,0)))</f>
        <v>0</v>
      </c>
      <c r="AE55" s="334">
        <f>IF($F55="",0,IF($F55="Weighted Average",$H55*VLOOKUP($D55&amp;" (Operation)",Lists!$C$72:$R$232,COLUMNS(Lists!$C$69:I$69),0)*VLOOKUP(BI$3,Conversions!$B$12:$E$34,4,0),$H55*VLOOKUP($F55,Lists!$C$72:$R$232,COLUMNS(Lists!$C$69:I$69),0)*VLOOKUP(BI$3,Conversions!$B$12:$E$34,4,0)))</f>
        <v>0</v>
      </c>
      <c r="AF55" s="334">
        <f>IF($F55="",0,IF($F55="Weighted Average",$H55*VLOOKUP($D55&amp;" (Operation)",Lists!$C$72:$R$232,COLUMNS(Lists!$C$69:J$69),0)*VLOOKUP(BJ$3,Conversions!$B$12:$E$34,4,0),$H55*VLOOKUP($F55,Lists!$C$72:$R$232,COLUMNS(Lists!$C$69:J$69),0)*VLOOKUP(BJ$3,Conversions!$B$12:$E$34,4,0)))</f>
        <v>0</v>
      </c>
      <c r="AG55" s="334">
        <f>IF($F55="",0,IF($F55="Weighted Average",$H55*VLOOKUP($D55&amp;" (Operation)",Lists!$C$72:$R$232,COLUMNS(Lists!$C$69:K$69),0)*VLOOKUP(BK$3,Conversions!$B$12:$E$34,4,0),$H55*VLOOKUP($F55,Lists!$C$72:$R$232,COLUMNS(Lists!$C$69:K$69),0)*VLOOKUP(BK$3,Conversions!$B$12:$E$34,4,0)))</f>
        <v>0</v>
      </c>
      <c r="AH55" s="334">
        <f>IF($F55="",0,IF($F55="Weighted Average",$H55*VLOOKUP($D55&amp;" (Operation)",Lists!$C$72:$R$232,COLUMNS(Lists!$C$69:L$69),0)*VLOOKUP(BL$3,Conversions!$B$12:$E$34,4,0),$H55*VLOOKUP($F55,Lists!$C$72:$R$232,COLUMNS(Lists!$C$69:L$69),0)*VLOOKUP(BL$3,Conversions!$B$12:$E$34,4,0)))</f>
        <v>0</v>
      </c>
      <c r="AI55" s="334">
        <f>IF($F55="",0,IF($F55="Weighted Average",$H55*VLOOKUP($D55&amp;" (Operation)",Lists!$C$72:$R$232,COLUMNS(Lists!$C$69:M$69),0)*VLOOKUP(BM$3,Conversions!$B$12:$E$34,4,0),$H55*VLOOKUP($F55,Lists!$C$72:$R$232,COLUMNS(Lists!$C$69:M$69),0)*VLOOKUP(BM$3,Conversions!$B$12:$E$34,4,0)))</f>
        <v>0</v>
      </c>
      <c r="AJ55" s="334">
        <f>IF($F55="",0,IF($F55="Weighted Average",$H55*VLOOKUP($D55&amp;" (Operation)",Lists!$C$72:$R$232,COLUMNS(Lists!$C$69:N$69),0)*VLOOKUP(BN$3,Conversions!$B$12:$E$34,4,0),$H55*VLOOKUP($F55,Lists!$C$72:$R$232,COLUMNS(Lists!$C$69:N$69),0)*VLOOKUP(BN$3,Conversions!$B$12:$E$34,4,0)))</f>
        <v>0</v>
      </c>
      <c r="AK55" s="334">
        <f>IF($F55="",0,IF($F55="Weighted Average",$H55*VLOOKUP($D55&amp;" (Operation)",Lists!$C$72:$R$232,COLUMNS(Lists!$C$69:O$69),0)*VLOOKUP(BO$3,Conversions!$B$12:$E$34,4,0),$H55*VLOOKUP($F55,Lists!$C$72:$R$232,COLUMNS(Lists!$C$69:O$69),0)*VLOOKUP(BO$3,Conversions!$B$12:$E$34,4,0)))</f>
        <v>0</v>
      </c>
      <c r="AL55" s="334">
        <f>IF($F55="",0,IF($F55="Weighted Average",$H55*VLOOKUP($D55&amp;" (Operation)",Lists!$C$72:$R$232,COLUMNS(Lists!$C$69:P$69),0)*VLOOKUP(BP$3,Conversions!$B$12:$E$34,4,0),$H55*VLOOKUP($F55,Lists!$C$72:$R$232,COLUMNS(Lists!$C$69:P$69),0)*VLOOKUP(BP$3,Conversions!$B$12:$E$34,4,0)))</f>
        <v>0</v>
      </c>
      <c r="AM55" s="334">
        <f>IF($F55="",0,IF($F55="Weighted Average",$H55*VLOOKUP($D55&amp;" (Operation)",Lists!$C$72:$R$232,COLUMNS(Lists!$C$69:Q$69),0)*VLOOKUP(BQ$3,Conversions!$B$12:$E$34,4,0),$H55*VLOOKUP($F55,Lists!$C$72:$R$232,COLUMNS(Lists!$C$69:Q$69),0)*VLOOKUP(BQ$3,Conversions!$B$12:$E$34,4,0)))</f>
        <v>0</v>
      </c>
      <c r="AN55" s="334">
        <f>IF($F55="",0,IF($F55="Weighted Average",$H55*VLOOKUP($D55&amp;" (Operation)",Lists!$C$72:$R$232,COLUMNS(Lists!$C$69:R$69),0)*VLOOKUP(BR$3,Conversions!$B$12:$E$34,4,0),$H55*VLOOKUP($F55,Lists!$C$72:$R$232,COLUMNS(Lists!$C$69:R$69),0)*VLOOKUP(BR$3,Conversions!$B$12:$E$34,4,0)))</f>
        <v>0</v>
      </c>
      <c r="AO55" s="330">
        <f t="shared" si="60"/>
        <v>0</v>
      </c>
      <c r="AP55" s="333">
        <f>IF($F55="",0,IF($F55="Weighted Average",$I55*VLOOKUP($D55&amp;" (Disposal)",Lists!$C$72:$R$232,COLUMNS(Lists!$C$69:E$69),0)*VLOOKUP(BE$3,Conversions!$B$12:$E$34,4,0),$I55*VLOOKUP($F55,Lists!$C$72:$R$232,COLUMNS(Lists!$C$69:E$69),0)*VLOOKUP(BE$3,Conversions!$B$12:$E$34,4,0)))</f>
        <v>0</v>
      </c>
      <c r="AQ55" s="333">
        <f>IF($F55="",0,IF($F55="Weighted Average",$I55*VLOOKUP($D55&amp;" (Disposal)",Lists!$C$72:$R$232,COLUMNS(Lists!$C$69:F$69),0)*VLOOKUP(BF$3,Conversions!$B$12:$E$34,4,0),$I55*VLOOKUP($F55,Lists!$C$72:$R$232,COLUMNS(Lists!$C$69:F$69),0)*VLOOKUP(BF$3,Conversions!$B$12:$E$34,4,0)))</f>
        <v>0</v>
      </c>
      <c r="AR55" s="333">
        <f>IF($F55="",0,IF($F55="Weighted Average",$I55*VLOOKUP($D55&amp;" (Disposal)",Lists!$C$72:$R$232,COLUMNS(Lists!$C$69:G$69),0)*VLOOKUP(BG$3,Conversions!$B$12:$E$34,4,0),$I55*VLOOKUP($F55,Lists!$C$72:$R$232,COLUMNS(Lists!$C$69:G$69),0)*VLOOKUP(BG$3,Conversions!$B$12:$E$34,4,0)))</f>
        <v>0</v>
      </c>
      <c r="AS55" s="333">
        <f>IF($F55="",0,IF($F55="Weighted Average",$I55*VLOOKUP($D55&amp;" (Disposal)",Lists!$C$72:$R$232,COLUMNS(Lists!$C$69:H$69),0)*VLOOKUP(BH$3,Conversions!$B$12:$E$34,4,0),$I55*VLOOKUP($F55,Lists!$C$72:$R$232,COLUMNS(Lists!$C$69:H$69),0)*VLOOKUP(BH$3,Conversions!$B$12:$E$34,4,0)))</f>
        <v>0</v>
      </c>
      <c r="AT55" s="333">
        <f>IF($F55="",0,IF($F55="Weighted Average",$I55*VLOOKUP($D55&amp;" (Disposal)",Lists!$C$72:$R$232,COLUMNS(Lists!$C$69:I$69),0)*VLOOKUP(BI$3,Conversions!$B$12:$E$34,4,0),$I55*VLOOKUP($F55,Lists!$C$72:$R$232,COLUMNS(Lists!$C$69:I$69),0)*VLOOKUP(BI$3,Conversions!$B$12:$E$34,4,0)))</f>
        <v>0</v>
      </c>
      <c r="AU55" s="333">
        <f>IF($F55="",0,IF($F55="Weighted Average",$I55*VLOOKUP($D55&amp;" (Disposal)",Lists!$C$72:$R$232,COLUMNS(Lists!$C$69:J$69),0)*VLOOKUP(BJ$3,Conversions!$B$12:$E$34,4,0),$I55*VLOOKUP($F55,Lists!$C$72:$R$232,COLUMNS(Lists!$C$69:J$69),0)*VLOOKUP(BJ$3,Conversions!$B$12:$E$34,4,0)))</f>
        <v>0</v>
      </c>
      <c r="AV55" s="333">
        <f>IF($F55="",0,IF($F55="Weighted Average",$I55*VLOOKUP($D55&amp;" (Disposal)",Lists!$C$72:$R$232,COLUMNS(Lists!$C$69:K$69),0)*VLOOKUP(BK$3,Conversions!$B$12:$E$34,4,0),$I55*VLOOKUP($F55,Lists!$C$72:$R$232,COLUMNS(Lists!$C$69:K$69),0)*VLOOKUP(BK$3,Conversions!$B$12:$E$34,4,0)))</f>
        <v>0</v>
      </c>
      <c r="AW55" s="333">
        <f>IF($F55="",0,IF($F55="Weighted Average",$I55*VLOOKUP($D55&amp;" (Disposal)",Lists!$C$72:$R$232,COLUMNS(Lists!$C$69:L$69),0)*VLOOKUP(BL$3,Conversions!$B$12:$E$34,4,0),$I55*VLOOKUP($F55,Lists!$C$72:$R$232,COLUMNS(Lists!$C$69:L$69),0)*VLOOKUP(BL$3,Conversions!$B$12:$E$34,4,0)))</f>
        <v>0</v>
      </c>
      <c r="AX55" s="333">
        <f>IF($F55="",0,IF($F55="Weighted Average",$I55*VLOOKUP($D55&amp;" (Disposal)",Lists!$C$72:$R$232,COLUMNS(Lists!$C$69:M$69),0)*VLOOKUP(BM$3,Conversions!$B$12:$E$34,4,0),$I55*VLOOKUP($F55,Lists!$C$72:$R$232,COLUMNS(Lists!$C$69:M$69),0)*VLOOKUP(BM$3,Conversions!$B$12:$E$34,4,0)))</f>
        <v>0</v>
      </c>
      <c r="AY55" s="333">
        <f>IF($F55="",0,IF($F55="Weighted Average",$I55*VLOOKUP($D55&amp;" (Disposal)",Lists!$C$72:$R$232,COLUMNS(Lists!$C$69:N$69),0)*VLOOKUP(BN$3,Conversions!$B$12:$E$34,4,0),$I55*VLOOKUP($F55,Lists!$C$72:$R$232,COLUMNS(Lists!$C$69:N$69),0)*VLOOKUP(BN$3,Conversions!$B$12:$E$34,4,0)))</f>
        <v>0</v>
      </c>
      <c r="AZ55" s="333">
        <f>IF($F55="",0,IF($F55="Weighted Average",$I55*VLOOKUP($D55&amp;" (Disposal)",Lists!$C$72:$R$232,COLUMNS(Lists!$C$69:O$69),0)*VLOOKUP(BO$3,Conversions!$B$12:$E$34,4,0),$I55*VLOOKUP($F55,Lists!$C$72:$R$232,COLUMNS(Lists!$C$69:O$69),0)*VLOOKUP(BO$3,Conversions!$B$12:$E$34,4,0)))</f>
        <v>0</v>
      </c>
      <c r="BA55" s="333">
        <f>IF($F55="",0,IF($F55="Weighted Average",$I55*VLOOKUP($D55&amp;" (Disposal)",Lists!$C$72:$R$232,COLUMNS(Lists!$C$69:P$69),0)*VLOOKUP(BP$3,Conversions!$B$12:$E$34,4,0),$I55*VLOOKUP($F55,Lists!$C$72:$R$232,COLUMNS(Lists!$C$69:P$69),0)*VLOOKUP(BP$3,Conversions!$B$12:$E$34,4,0)))</f>
        <v>0</v>
      </c>
      <c r="BB55" s="333">
        <f>IF($F55="",0,IF($F55="Weighted Average",$I55*VLOOKUP($D55&amp;" (Disposal)",Lists!$C$72:$R$232,COLUMNS(Lists!$C$69:Q$69),0)*VLOOKUP(BQ$3,Conversions!$B$12:$E$34,4,0),$I55*VLOOKUP($F55,Lists!$C$72:$R$232,COLUMNS(Lists!$C$69:Q$69),0)*VLOOKUP(BQ$3,Conversions!$B$12:$E$34,4,0)))</f>
        <v>0</v>
      </c>
      <c r="BC55" s="333">
        <f>IF($F55="",0,IF($F55="Weighted Average",$I55*VLOOKUP($D55&amp;" (Disposal)",Lists!$C$72:$R$232,COLUMNS(Lists!$C$69:R$69),0)*VLOOKUP(BR$3,Conversions!$B$12:$E$34,4,0),$I55*VLOOKUP($F55,Lists!$C$72:$R$232,COLUMNS(Lists!$C$69:R$69),0)*VLOOKUP(BR$3,Conversions!$B$12:$E$34,4,0)))</f>
        <v>0</v>
      </c>
      <c r="BD55" s="333">
        <f t="shared" si="61"/>
        <v>0</v>
      </c>
      <c r="BE55" s="330">
        <f t="shared" si="62"/>
        <v>0</v>
      </c>
      <c r="BF55" s="330">
        <f t="shared" si="63"/>
        <v>0</v>
      </c>
      <c r="BG55" s="330">
        <f t="shared" si="64"/>
        <v>0</v>
      </c>
      <c r="BH55" s="330">
        <f t="shared" si="65"/>
        <v>0</v>
      </c>
      <c r="BI55" s="330">
        <f t="shared" si="66"/>
        <v>0</v>
      </c>
      <c r="BJ55" s="330">
        <f t="shared" si="67"/>
        <v>0</v>
      </c>
      <c r="BK55" s="330">
        <f t="shared" si="68"/>
        <v>0</v>
      </c>
      <c r="BL55" s="330">
        <f t="shared" si="69"/>
        <v>0</v>
      </c>
      <c r="BM55" s="330">
        <f t="shared" si="70"/>
        <v>0</v>
      </c>
      <c r="BN55" s="330">
        <f t="shared" si="71"/>
        <v>0</v>
      </c>
      <c r="BO55" s="330">
        <f t="shared" si="72"/>
        <v>0</v>
      </c>
      <c r="BP55" s="330">
        <f t="shared" si="73"/>
        <v>0</v>
      </c>
      <c r="BQ55" s="330">
        <f t="shared" si="74"/>
        <v>0</v>
      </c>
      <c r="BR55" s="330">
        <f t="shared" si="75"/>
        <v>0</v>
      </c>
      <c r="BS55" s="330">
        <f t="shared" si="76"/>
        <v>0</v>
      </c>
      <c r="BT55" s="329">
        <f t="shared" si="77"/>
        <v>0</v>
      </c>
      <c r="BU55" s="329">
        <f t="shared" si="77"/>
        <v>0</v>
      </c>
      <c r="BV55" s="329">
        <f t="shared" si="77"/>
        <v>0</v>
      </c>
      <c r="BW55" s="329">
        <f t="shared" si="77"/>
        <v>0</v>
      </c>
      <c r="BX55" s="329">
        <f t="shared" si="77"/>
        <v>0</v>
      </c>
      <c r="BY55" s="329">
        <f t="shared" si="77"/>
        <v>0</v>
      </c>
      <c r="BZ55" s="329">
        <f t="shared" si="77"/>
        <v>0</v>
      </c>
      <c r="CA55" s="329">
        <f t="shared" si="77"/>
        <v>0</v>
      </c>
      <c r="CB55" s="329">
        <f t="shared" si="77"/>
        <v>0</v>
      </c>
      <c r="CC55" s="329">
        <f t="shared" si="77"/>
        <v>0</v>
      </c>
      <c r="CD55" s="329">
        <f t="shared" si="77"/>
        <v>0</v>
      </c>
      <c r="CE55" s="329">
        <f t="shared" si="77"/>
        <v>0</v>
      </c>
      <c r="CF55" s="329">
        <f t="shared" si="77"/>
        <v>0</v>
      </c>
      <c r="CG55" s="329">
        <f t="shared" si="77"/>
        <v>0</v>
      </c>
      <c r="CH55" s="329">
        <f t="shared" si="77"/>
        <v>0</v>
      </c>
      <c r="CI55" s="329">
        <f t="shared" si="77"/>
        <v>0</v>
      </c>
      <c r="CJ55" s="331">
        <f t="shared" si="78"/>
        <v>0</v>
      </c>
      <c r="CK55" s="330">
        <f t="shared" si="79"/>
        <v>0</v>
      </c>
      <c r="CL55" s="330">
        <f t="shared" si="80"/>
        <v>0</v>
      </c>
      <c r="CM55" s="330">
        <f t="shared" si="81"/>
        <v>0</v>
      </c>
      <c r="CN55" s="330">
        <f t="shared" si="82"/>
        <v>0</v>
      </c>
      <c r="CO55" s="330">
        <f t="shared" si="83"/>
        <v>0</v>
      </c>
      <c r="CP55" s="330">
        <f t="shared" si="84"/>
        <v>0</v>
      </c>
      <c r="CQ55" s="330">
        <f t="shared" si="11"/>
        <v>0</v>
      </c>
      <c r="CR55" s="330">
        <f t="shared" si="85"/>
        <v>0</v>
      </c>
      <c r="CS55" s="330">
        <f t="shared" si="86"/>
        <v>0</v>
      </c>
      <c r="CT55" s="330">
        <f t="shared" si="87"/>
        <v>0</v>
      </c>
      <c r="CU55" s="330">
        <f t="shared" si="88"/>
        <v>0</v>
      </c>
      <c r="CV55" s="330">
        <f t="shared" si="88"/>
        <v>0</v>
      </c>
      <c r="CW55" s="330">
        <f t="shared" si="88"/>
        <v>0</v>
      </c>
      <c r="CX55" s="330">
        <f t="shared" si="88"/>
        <v>0</v>
      </c>
      <c r="CY55" s="330">
        <f t="shared" si="88"/>
        <v>0</v>
      </c>
      <c r="CZ55" s="330">
        <f t="shared" si="88"/>
        <v>0</v>
      </c>
      <c r="DA55" s="330">
        <f t="shared" si="88"/>
        <v>0</v>
      </c>
      <c r="DB55" s="330">
        <f t="shared" si="88"/>
        <v>0</v>
      </c>
      <c r="DC55" s="330">
        <f t="shared" si="88"/>
        <v>0</v>
      </c>
      <c r="DD55" s="330">
        <f t="shared" si="88"/>
        <v>0</v>
      </c>
      <c r="DE55" s="330">
        <f t="shared" si="89"/>
        <v>0</v>
      </c>
      <c r="DF55" s="330">
        <f t="shared" si="89"/>
        <v>0</v>
      </c>
      <c r="DG55" s="330">
        <f t="shared" si="89"/>
        <v>0</v>
      </c>
      <c r="DH55" s="330">
        <f t="shared" si="89"/>
        <v>0</v>
      </c>
      <c r="DI55" s="330">
        <f t="shared" si="89"/>
        <v>0</v>
      </c>
      <c r="DJ55" s="330">
        <f t="shared" si="89"/>
        <v>0</v>
      </c>
      <c r="DK55" s="330">
        <f t="shared" si="89"/>
        <v>0</v>
      </c>
      <c r="DL55" s="330">
        <f t="shared" si="89"/>
        <v>0</v>
      </c>
      <c r="DM55" s="330">
        <f t="shared" si="89"/>
        <v>0</v>
      </c>
      <c r="DN55" s="330">
        <f t="shared" si="89"/>
        <v>0</v>
      </c>
      <c r="DO55" s="330">
        <f t="shared" si="89"/>
        <v>0</v>
      </c>
      <c r="DP55" s="330">
        <f t="shared" si="90"/>
        <v>0</v>
      </c>
      <c r="DQ55" s="217"/>
      <c r="DR55" s="217"/>
      <c r="DS55" s="217"/>
      <c r="DT55" s="217"/>
    </row>
    <row r="56" spans="1:124" x14ac:dyDescent="0.3">
      <c r="A56" s="332"/>
      <c r="B56" s="221" t="s">
        <v>304</v>
      </c>
      <c r="C56" s="221" t="str">
        <f>IF('Simplified Material Balance'!C26=0,"",'Simplified Material Balance'!C26)</f>
        <v/>
      </c>
      <c r="D56" s="221" t="str">
        <f>IF('Simplified Material Balance'!D26=0,"",'Simplified Material Balance'!D26)</f>
        <v/>
      </c>
      <c r="E56" s="221" t="str">
        <f>IF('Simplified Material Balance'!E26=0,"",'Simplified Material Balance'!E26)</f>
        <v/>
      </c>
      <c r="F56" s="221" t="str">
        <f>IF('Simplified Material Balance'!F26=0,"",'Simplified Material Balance'!F26)</f>
        <v/>
      </c>
      <c r="G56" s="272">
        <f>IF('Simplified Material Balance'!H26&gt;'Simplified Material Balance'!G26,0,('Simplified Material Balance'!G26-'Simplified Material Balance'!H26)*Conversions!$C$4)</f>
        <v>0</v>
      </c>
      <c r="H56" s="272">
        <f>'Simplified Material Balance'!I26*Conversions!$C$4</f>
        <v>0</v>
      </c>
      <c r="I56" s="272">
        <f>('Simplified Material Balance'!J26-'Simplified Material Balance'!K26)*Conversions!$C$4</f>
        <v>0</v>
      </c>
      <c r="J56" s="325">
        <f>IF('Simplified Material Balance'!L26=0,0,'Simplified Material Balance'!L26)</f>
        <v>0</v>
      </c>
      <c r="K56" s="465"/>
      <c r="L56" s="333">
        <f>IF($F56="",0,IF($F56="Weighted Average",$G56*VLOOKUP($D56&amp;" (Install)",Lists!$C$72:$R$232,COLUMNS(Lists!$C$69:E$69),0)*VLOOKUP(BE$3,Conversions!$B$12:$E$34,4,0),$G56*VLOOKUP($F56,Lists!$C$72:$R$232,COLUMNS(Lists!$C$69:E$69),0)*VLOOKUP(BE$3,Conversions!$B$12:$E$34,4,0)))</f>
        <v>0</v>
      </c>
      <c r="M56" s="333">
        <f>IF($F56="",0,IF($F56="Weighted Average",$G56*VLOOKUP($D56&amp;" (Install)",Lists!$C$72:$R$232,COLUMNS(Lists!$C$69:F$69),0)*VLOOKUP(BF$3,Conversions!$B$12:$E$34,4,0),$G56*VLOOKUP($F56,Lists!$C$72:$R$232,COLUMNS(Lists!$C$69:F$69),0)*VLOOKUP(BF$3,Conversions!$B$12:$E$34,4,0)))</f>
        <v>0</v>
      </c>
      <c r="N56" s="333">
        <f>IF($F56="",0,IF($F56="Weighted Average",$G56*VLOOKUP($D56&amp;" (Install)",Lists!$C$72:$R$232,COLUMNS(Lists!$C$69:G$69),0)*VLOOKUP(BG$3,Conversions!$B$12:$E$34,4,0),$G56*VLOOKUP($F56,Lists!$C$72:$R$232,COLUMNS(Lists!$C$69:G$69),0)*VLOOKUP(BG$3,Conversions!$B$12:$E$34,4,0)))</f>
        <v>0</v>
      </c>
      <c r="O56" s="333">
        <f>IF($F56="",0,IF($F56="Weighted Average",$G56*VLOOKUP($D56&amp;" (Install)",Lists!$C$72:$R$232,COLUMNS(Lists!$C$69:H$69),0)*VLOOKUP(BH$3,Conversions!$B$12:$E$34,4,0),$G56*VLOOKUP($F56,Lists!$C$72:$R$232,COLUMNS(Lists!$C$69:H$69),0)*VLOOKUP(BH$3,Conversions!$B$12:$E$34,4,0)))</f>
        <v>0</v>
      </c>
      <c r="P56" s="333">
        <f>IF($F56="",0,IF($F56="Weighted Average",$G56*VLOOKUP($D56&amp;" (Install)",Lists!$C$72:$R$232,COLUMNS(Lists!$C$69:I$69),0)*VLOOKUP(BI$3,Conversions!$B$12:$E$34,4,0),$G56*VLOOKUP($F56,Lists!$C$72:$R$232,COLUMNS(Lists!$C$69:I$69),0)*VLOOKUP(BI$3,Conversions!$B$12:$E$34,4,0)))</f>
        <v>0</v>
      </c>
      <c r="Q56" s="333">
        <f>IF($F56="",0,IF($F56="Weighted Average",$G56*VLOOKUP($D56&amp;" (Install)",Lists!$C$72:$R$232,COLUMNS(Lists!$C$69:J$69),0)*VLOOKUP(BJ$3,Conversions!$B$12:$E$34,4,0),$G56*VLOOKUP($F56,Lists!$C$72:$R$232,COLUMNS(Lists!$C$69:J$69),0)*VLOOKUP(BJ$3,Conversions!$B$12:$E$34,4,0)))</f>
        <v>0</v>
      </c>
      <c r="R56" s="333">
        <f>IF($F56="",0,IF($F56="Weighted Average",$G56*VLOOKUP($D56&amp;" (Install)",Lists!$C$72:$R$232,COLUMNS(Lists!$C$69:K$69),0)*VLOOKUP(BK$3,Conversions!$B$12:$E$34,4,0),$G56*VLOOKUP($F56,Lists!$C$72:$R$232,COLUMNS(Lists!$C$69:K$69),0)*VLOOKUP(BK$3,Conversions!$B$12:$E$34,4,0)))</f>
        <v>0</v>
      </c>
      <c r="S56" s="333">
        <f>IF($F56="",0,IF($F56="Weighted Average",$G56*VLOOKUP($D56&amp;" (Install)",Lists!$C$72:$R$232,COLUMNS(Lists!$C$69:L$69),0)*VLOOKUP(BL$3,Conversions!$B$12:$E$34,4,0),$G56*VLOOKUP($F56,Lists!$C$72:$R$232,COLUMNS(Lists!$C$69:L$69),0)*VLOOKUP(BL$3,Conversions!$B$12:$E$34,4,0)))</f>
        <v>0</v>
      </c>
      <c r="T56" s="333">
        <f>IF($F56="",0,IF($F56="Weighted Average",$G56*VLOOKUP($D56&amp;" (Install)",Lists!$C$72:$R$232,COLUMNS(Lists!$C$69:M$69),0)*VLOOKUP(BM$3,Conversions!$B$12:$E$34,4,0),$G56*VLOOKUP($F56,Lists!$C$72:$R$232,COLUMNS(Lists!$C$69:M$69),0)*VLOOKUP(BM$3,Conversions!$B$12:$E$34,4,0)))</f>
        <v>0</v>
      </c>
      <c r="U56" s="333">
        <f>IF($F56="",0,IF($F56="Weighted Average",$G56*VLOOKUP($D56&amp;" (Install)",Lists!$C$72:$R$232,COLUMNS(Lists!$C$69:N$69),0)*VLOOKUP(BN$3,Conversions!$B$12:$E$34,4,0),$G56*VLOOKUP($F56,Lists!$C$72:$R$232,COLUMNS(Lists!$C$69:N$69),0)*VLOOKUP(BN$3,Conversions!$B$12:$E$34,4,0)))</f>
        <v>0</v>
      </c>
      <c r="V56" s="333">
        <f>IF($F56="",0,IF($F56="Weighted Average",$G56*VLOOKUP($D56&amp;" (Install)",Lists!$C$72:$R$232,COLUMNS(Lists!$C$69:O$69),0)*VLOOKUP(BO$3,Conversions!$B$12:$E$34,4,0),$G56*VLOOKUP($F56,Lists!$C$72:$R$232,COLUMNS(Lists!$C$69:O$69),0)*VLOOKUP(BO$3,Conversions!$B$12:$E$34,4,0)))</f>
        <v>0</v>
      </c>
      <c r="W56" s="333">
        <f>IF($F56="",0,IF($F56="Weighted Average",$G56*VLOOKUP($D56&amp;" (Install)",Lists!$C$72:$R$232,COLUMNS(Lists!$C$69:P$69),0)*VLOOKUP(BP$3,Conversions!$B$12:$E$34,4,0),$G56*VLOOKUP($F56,Lists!$C$72:$R$232,COLUMNS(Lists!$C$69:P$69),0)*VLOOKUP(BP$3,Conversions!$B$12:$E$34,4,0)))</f>
        <v>0</v>
      </c>
      <c r="X56" s="333">
        <f>IF($F56="",0,IF($F56="Weighted Average",$G56*VLOOKUP($D56&amp;" (Install)",Lists!$C$72:$R$232,COLUMNS(Lists!$C$69:Q$69),0)*VLOOKUP(BQ$3,Conversions!$B$12:$E$34,4,0),$G56*VLOOKUP($F56,Lists!$C$72:$R$232,COLUMNS(Lists!$C$69:Q$69),0)*VLOOKUP(BQ$3,Conversions!$B$12:$E$34,4,0)))</f>
        <v>0</v>
      </c>
      <c r="Y56" s="333">
        <f>IF($F56="",0,IF($F56="Weighted Average",$G56*VLOOKUP($D56&amp;" (Install)",Lists!$C$72:$R$232,COLUMNS(Lists!$C$69:R$69),0)*VLOOKUP(BR$3,Conversions!$B$12:$E$34,4,0),$G56*VLOOKUP($F56,Lists!$C$72:$R$232,COLUMNS(Lists!$C$69:R$69),0)*VLOOKUP(BR$3,Conversions!$B$12:$E$34,4,0)))</f>
        <v>0</v>
      </c>
      <c r="Z56" s="325">
        <f t="shared" si="59"/>
        <v>0</v>
      </c>
      <c r="AA56" s="334">
        <f>IF($F56="",0,IF($F56="Weighted Average",$H56*VLOOKUP($D56&amp;" (Operation)",Lists!$C$72:$R$232,COLUMNS(Lists!$C$69:E$69),0)*VLOOKUP(BE$3,Conversions!$B$12:$E$34,4,0),$H56*VLOOKUP($F56,Lists!$C$72:$R$232,COLUMNS(Lists!$C$69:E$69),0)*VLOOKUP(BE$3,Conversions!$B$12:$E$34,4,0)))</f>
        <v>0</v>
      </c>
      <c r="AB56" s="334">
        <f>IF($F56="",0,IF($F56="Weighted Average",$H56*VLOOKUP($D56&amp;" (Operation)",Lists!$C$72:$R$232,COLUMNS(Lists!$C$69:F$69),0)*VLOOKUP(BF$3,Conversions!$B$12:$E$34,4,0),$H56*VLOOKUP($F56,Lists!$C$72:$R$232,COLUMNS(Lists!$C$69:F$69),0)*VLOOKUP(BF$3,Conversions!$B$12:$E$34,4,0)))</f>
        <v>0</v>
      </c>
      <c r="AC56" s="334">
        <f>IF($F56="",0,IF($F56="Weighted Average",$H56*VLOOKUP($D56&amp;" (Operation)",Lists!$C$72:$R$232,COLUMNS(Lists!$C$69:G$69),0)*VLOOKUP(BG$3,Conversions!$B$12:$E$34,4,0),$H56*VLOOKUP($F56,Lists!$C$72:$R$232,COLUMNS(Lists!$C$69:G$69),0)*VLOOKUP(BG$3,Conversions!$B$12:$E$34,4,0)))</f>
        <v>0</v>
      </c>
      <c r="AD56" s="334">
        <f>IF($F56="",0,IF($F56="Weighted Average",$H56*VLOOKUP($D56&amp;" (Operation)",Lists!$C$72:$R$232,COLUMNS(Lists!$C$69:H$69),0)*VLOOKUP(BH$3,Conversions!$B$12:$E$34,4,0),$H56*VLOOKUP($F56,Lists!$C$72:$R$232,COLUMNS(Lists!$C$69:H$69),0)*VLOOKUP(BH$3,Conversions!$B$12:$E$34,4,0)))</f>
        <v>0</v>
      </c>
      <c r="AE56" s="334">
        <f>IF($F56="",0,IF($F56="Weighted Average",$H56*VLOOKUP($D56&amp;" (Operation)",Lists!$C$72:$R$232,COLUMNS(Lists!$C$69:I$69),0)*VLOOKUP(BI$3,Conversions!$B$12:$E$34,4,0),$H56*VLOOKUP($F56,Lists!$C$72:$R$232,COLUMNS(Lists!$C$69:I$69),0)*VLOOKUP(BI$3,Conversions!$B$12:$E$34,4,0)))</f>
        <v>0</v>
      </c>
      <c r="AF56" s="334">
        <f>IF($F56="",0,IF($F56="Weighted Average",$H56*VLOOKUP($D56&amp;" (Operation)",Lists!$C$72:$R$232,COLUMNS(Lists!$C$69:J$69),0)*VLOOKUP(BJ$3,Conversions!$B$12:$E$34,4,0),$H56*VLOOKUP($F56,Lists!$C$72:$R$232,COLUMNS(Lists!$C$69:J$69),0)*VLOOKUP(BJ$3,Conversions!$B$12:$E$34,4,0)))</f>
        <v>0</v>
      </c>
      <c r="AG56" s="334">
        <f>IF($F56="",0,IF($F56="Weighted Average",$H56*VLOOKUP($D56&amp;" (Operation)",Lists!$C$72:$R$232,COLUMNS(Lists!$C$69:K$69),0)*VLOOKUP(BK$3,Conversions!$B$12:$E$34,4,0),$H56*VLOOKUP($F56,Lists!$C$72:$R$232,COLUMNS(Lists!$C$69:K$69),0)*VLOOKUP(BK$3,Conversions!$B$12:$E$34,4,0)))</f>
        <v>0</v>
      </c>
      <c r="AH56" s="334">
        <f>IF($F56="",0,IF($F56="Weighted Average",$H56*VLOOKUP($D56&amp;" (Operation)",Lists!$C$72:$R$232,COLUMNS(Lists!$C$69:L$69),0)*VLOOKUP(BL$3,Conversions!$B$12:$E$34,4,0),$H56*VLOOKUP($F56,Lists!$C$72:$R$232,COLUMNS(Lists!$C$69:L$69),0)*VLOOKUP(BL$3,Conversions!$B$12:$E$34,4,0)))</f>
        <v>0</v>
      </c>
      <c r="AI56" s="334">
        <f>IF($F56="",0,IF($F56="Weighted Average",$H56*VLOOKUP($D56&amp;" (Operation)",Lists!$C$72:$R$232,COLUMNS(Lists!$C$69:M$69),0)*VLOOKUP(BM$3,Conversions!$B$12:$E$34,4,0),$H56*VLOOKUP($F56,Lists!$C$72:$R$232,COLUMNS(Lists!$C$69:M$69),0)*VLOOKUP(BM$3,Conversions!$B$12:$E$34,4,0)))</f>
        <v>0</v>
      </c>
      <c r="AJ56" s="334">
        <f>IF($F56="",0,IF($F56="Weighted Average",$H56*VLOOKUP($D56&amp;" (Operation)",Lists!$C$72:$R$232,COLUMNS(Lists!$C$69:N$69),0)*VLOOKUP(BN$3,Conversions!$B$12:$E$34,4,0),$H56*VLOOKUP($F56,Lists!$C$72:$R$232,COLUMNS(Lists!$C$69:N$69),0)*VLOOKUP(BN$3,Conversions!$B$12:$E$34,4,0)))</f>
        <v>0</v>
      </c>
      <c r="AK56" s="334">
        <f>IF($F56="",0,IF($F56="Weighted Average",$H56*VLOOKUP($D56&amp;" (Operation)",Lists!$C$72:$R$232,COLUMNS(Lists!$C$69:O$69),0)*VLOOKUP(BO$3,Conversions!$B$12:$E$34,4,0),$H56*VLOOKUP($F56,Lists!$C$72:$R$232,COLUMNS(Lists!$C$69:O$69),0)*VLOOKUP(BO$3,Conversions!$B$12:$E$34,4,0)))</f>
        <v>0</v>
      </c>
      <c r="AL56" s="334">
        <f>IF($F56="",0,IF($F56="Weighted Average",$H56*VLOOKUP($D56&amp;" (Operation)",Lists!$C$72:$R$232,COLUMNS(Lists!$C$69:P$69),0)*VLOOKUP(BP$3,Conversions!$B$12:$E$34,4,0),$H56*VLOOKUP($F56,Lists!$C$72:$R$232,COLUMNS(Lists!$C$69:P$69),0)*VLOOKUP(BP$3,Conversions!$B$12:$E$34,4,0)))</f>
        <v>0</v>
      </c>
      <c r="AM56" s="334">
        <f>IF($F56="",0,IF($F56="Weighted Average",$H56*VLOOKUP($D56&amp;" (Operation)",Lists!$C$72:$R$232,COLUMNS(Lists!$C$69:Q$69),0)*VLOOKUP(BQ$3,Conversions!$B$12:$E$34,4,0),$H56*VLOOKUP($F56,Lists!$C$72:$R$232,COLUMNS(Lists!$C$69:Q$69),0)*VLOOKUP(BQ$3,Conversions!$B$12:$E$34,4,0)))</f>
        <v>0</v>
      </c>
      <c r="AN56" s="334">
        <f>IF($F56="",0,IF($F56="Weighted Average",$H56*VLOOKUP($D56&amp;" (Operation)",Lists!$C$72:$R$232,COLUMNS(Lists!$C$69:R$69),0)*VLOOKUP(BR$3,Conversions!$B$12:$E$34,4,0),$H56*VLOOKUP($F56,Lists!$C$72:$R$232,COLUMNS(Lists!$C$69:R$69),0)*VLOOKUP(BR$3,Conversions!$B$12:$E$34,4,0)))</f>
        <v>0</v>
      </c>
      <c r="AO56" s="330">
        <f t="shared" si="60"/>
        <v>0</v>
      </c>
      <c r="AP56" s="333">
        <f>IF($F56="",0,IF($F56="Weighted Average",$I56*VLOOKUP($D56&amp;" (Disposal)",Lists!$C$72:$R$232,COLUMNS(Lists!$C$69:E$69),0)*VLOOKUP(BE$3,Conversions!$B$12:$E$34,4,0),$I56*VLOOKUP($F56,Lists!$C$72:$R$232,COLUMNS(Lists!$C$69:E$69),0)*VLOOKUP(BE$3,Conversions!$B$12:$E$34,4,0)))</f>
        <v>0</v>
      </c>
      <c r="AQ56" s="333">
        <f>IF($F56="",0,IF($F56="Weighted Average",$I56*VLOOKUP($D56&amp;" (Disposal)",Lists!$C$72:$R$232,COLUMNS(Lists!$C$69:F$69),0)*VLOOKUP(BF$3,Conversions!$B$12:$E$34,4,0),$I56*VLOOKUP($F56,Lists!$C$72:$R$232,COLUMNS(Lists!$C$69:F$69),0)*VLOOKUP(BF$3,Conversions!$B$12:$E$34,4,0)))</f>
        <v>0</v>
      </c>
      <c r="AR56" s="333">
        <f>IF($F56="",0,IF($F56="Weighted Average",$I56*VLOOKUP($D56&amp;" (Disposal)",Lists!$C$72:$R$232,COLUMNS(Lists!$C$69:G$69),0)*VLOOKUP(BG$3,Conversions!$B$12:$E$34,4,0),$I56*VLOOKUP($F56,Lists!$C$72:$R$232,COLUMNS(Lists!$C$69:G$69),0)*VLOOKUP(BG$3,Conversions!$B$12:$E$34,4,0)))</f>
        <v>0</v>
      </c>
      <c r="AS56" s="333">
        <f>IF($F56="",0,IF($F56="Weighted Average",$I56*VLOOKUP($D56&amp;" (Disposal)",Lists!$C$72:$R$232,COLUMNS(Lists!$C$69:H$69),0)*VLOOKUP(BH$3,Conversions!$B$12:$E$34,4,0),$I56*VLOOKUP($F56,Lists!$C$72:$R$232,COLUMNS(Lists!$C$69:H$69),0)*VLOOKUP(BH$3,Conversions!$B$12:$E$34,4,0)))</f>
        <v>0</v>
      </c>
      <c r="AT56" s="333">
        <f>IF($F56="",0,IF($F56="Weighted Average",$I56*VLOOKUP($D56&amp;" (Disposal)",Lists!$C$72:$R$232,COLUMNS(Lists!$C$69:I$69),0)*VLOOKUP(BI$3,Conversions!$B$12:$E$34,4,0),$I56*VLOOKUP($F56,Lists!$C$72:$R$232,COLUMNS(Lists!$C$69:I$69),0)*VLOOKUP(BI$3,Conversions!$B$12:$E$34,4,0)))</f>
        <v>0</v>
      </c>
      <c r="AU56" s="333">
        <f>IF($F56="",0,IF($F56="Weighted Average",$I56*VLOOKUP($D56&amp;" (Disposal)",Lists!$C$72:$R$232,COLUMNS(Lists!$C$69:J$69),0)*VLOOKUP(BJ$3,Conversions!$B$12:$E$34,4,0),$I56*VLOOKUP($F56,Lists!$C$72:$R$232,COLUMNS(Lists!$C$69:J$69),0)*VLOOKUP(BJ$3,Conversions!$B$12:$E$34,4,0)))</f>
        <v>0</v>
      </c>
      <c r="AV56" s="333">
        <f>IF($F56="",0,IF($F56="Weighted Average",$I56*VLOOKUP($D56&amp;" (Disposal)",Lists!$C$72:$R$232,COLUMNS(Lists!$C$69:K$69),0)*VLOOKUP(BK$3,Conversions!$B$12:$E$34,4,0),$I56*VLOOKUP($F56,Lists!$C$72:$R$232,COLUMNS(Lists!$C$69:K$69),0)*VLOOKUP(BK$3,Conversions!$B$12:$E$34,4,0)))</f>
        <v>0</v>
      </c>
      <c r="AW56" s="333">
        <f>IF($F56="",0,IF($F56="Weighted Average",$I56*VLOOKUP($D56&amp;" (Disposal)",Lists!$C$72:$R$232,COLUMNS(Lists!$C$69:L$69),0)*VLOOKUP(BL$3,Conversions!$B$12:$E$34,4,0),$I56*VLOOKUP($F56,Lists!$C$72:$R$232,COLUMNS(Lists!$C$69:L$69),0)*VLOOKUP(BL$3,Conversions!$B$12:$E$34,4,0)))</f>
        <v>0</v>
      </c>
      <c r="AX56" s="333">
        <f>IF($F56="",0,IF($F56="Weighted Average",$I56*VLOOKUP($D56&amp;" (Disposal)",Lists!$C$72:$R$232,COLUMNS(Lists!$C$69:M$69),0)*VLOOKUP(BM$3,Conversions!$B$12:$E$34,4,0),$I56*VLOOKUP($F56,Lists!$C$72:$R$232,COLUMNS(Lists!$C$69:M$69),0)*VLOOKUP(BM$3,Conversions!$B$12:$E$34,4,0)))</f>
        <v>0</v>
      </c>
      <c r="AY56" s="333">
        <f>IF($F56="",0,IF($F56="Weighted Average",$I56*VLOOKUP($D56&amp;" (Disposal)",Lists!$C$72:$R$232,COLUMNS(Lists!$C$69:N$69),0)*VLOOKUP(BN$3,Conversions!$B$12:$E$34,4,0),$I56*VLOOKUP($F56,Lists!$C$72:$R$232,COLUMNS(Lists!$C$69:N$69),0)*VLOOKUP(BN$3,Conversions!$B$12:$E$34,4,0)))</f>
        <v>0</v>
      </c>
      <c r="AZ56" s="333">
        <f>IF($F56="",0,IF($F56="Weighted Average",$I56*VLOOKUP($D56&amp;" (Disposal)",Lists!$C$72:$R$232,COLUMNS(Lists!$C$69:O$69),0)*VLOOKUP(BO$3,Conversions!$B$12:$E$34,4,0),$I56*VLOOKUP($F56,Lists!$C$72:$R$232,COLUMNS(Lists!$C$69:O$69),0)*VLOOKUP(BO$3,Conversions!$B$12:$E$34,4,0)))</f>
        <v>0</v>
      </c>
      <c r="BA56" s="333">
        <f>IF($F56="",0,IF($F56="Weighted Average",$I56*VLOOKUP($D56&amp;" (Disposal)",Lists!$C$72:$R$232,COLUMNS(Lists!$C$69:P$69),0)*VLOOKUP(BP$3,Conversions!$B$12:$E$34,4,0),$I56*VLOOKUP($F56,Lists!$C$72:$R$232,COLUMNS(Lists!$C$69:P$69),0)*VLOOKUP(BP$3,Conversions!$B$12:$E$34,4,0)))</f>
        <v>0</v>
      </c>
      <c r="BB56" s="333">
        <f>IF($F56="",0,IF($F56="Weighted Average",$I56*VLOOKUP($D56&amp;" (Disposal)",Lists!$C$72:$R$232,COLUMNS(Lists!$C$69:Q$69),0)*VLOOKUP(BQ$3,Conversions!$B$12:$E$34,4,0),$I56*VLOOKUP($F56,Lists!$C$72:$R$232,COLUMNS(Lists!$C$69:Q$69),0)*VLOOKUP(BQ$3,Conversions!$B$12:$E$34,4,0)))</f>
        <v>0</v>
      </c>
      <c r="BC56" s="333">
        <f>IF($F56="",0,IF($F56="Weighted Average",$I56*VLOOKUP($D56&amp;" (Disposal)",Lists!$C$72:$R$232,COLUMNS(Lists!$C$69:R$69),0)*VLOOKUP(BR$3,Conversions!$B$12:$E$34,4,0),$I56*VLOOKUP($F56,Lists!$C$72:$R$232,COLUMNS(Lists!$C$69:R$69),0)*VLOOKUP(BR$3,Conversions!$B$12:$E$34,4,0)))</f>
        <v>0</v>
      </c>
      <c r="BD56" s="333">
        <f t="shared" si="61"/>
        <v>0</v>
      </c>
      <c r="BE56" s="330">
        <f t="shared" si="62"/>
        <v>0</v>
      </c>
      <c r="BF56" s="330">
        <f t="shared" si="63"/>
        <v>0</v>
      </c>
      <c r="BG56" s="330">
        <f t="shared" si="64"/>
        <v>0</v>
      </c>
      <c r="BH56" s="330">
        <f t="shared" si="65"/>
        <v>0</v>
      </c>
      <c r="BI56" s="330">
        <f t="shared" si="66"/>
        <v>0</v>
      </c>
      <c r="BJ56" s="330">
        <f t="shared" si="67"/>
        <v>0</v>
      </c>
      <c r="BK56" s="330">
        <f t="shared" si="68"/>
        <v>0</v>
      </c>
      <c r="BL56" s="330">
        <f t="shared" si="69"/>
        <v>0</v>
      </c>
      <c r="BM56" s="330">
        <f t="shared" si="70"/>
        <v>0</v>
      </c>
      <c r="BN56" s="330">
        <f t="shared" si="71"/>
        <v>0</v>
      </c>
      <c r="BO56" s="330">
        <f t="shared" si="72"/>
        <v>0</v>
      </c>
      <c r="BP56" s="330">
        <f t="shared" si="73"/>
        <v>0</v>
      </c>
      <c r="BQ56" s="330">
        <f t="shared" si="74"/>
        <v>0</v>
      </c>
      <c r="BR56" s="330">
        <f t="shared" si="75"/>
        <v>0</v>
      </c>
      <c r="BS56" s="330">
        <f t="shared" si="76"/>
        <v>0</v>
      </c>
      <c r="BT56" s="329">
        <f t="shared" si="77"/>
        <v>0</v>
      </c>
      <c r="BU56" s="329">
        <f t="shared" si="77"/>
        <v>0</v>
      </c>
      <c r="BV56" s="329">
        <f t="shared" si="77"/>
        <v>0</v>
      </c>
      <c r="BW56" s="329">
        <f t="shared" si="77"/>
        <v>0</v>
      </c>
      <c r="BX56" s="329">
        <f t="shared" si="77"/>
        <v>0</v>
      </c>
      <c r="BY56" s="329">
        <f t="shared" si="77"/>
        <v>0</v>
      </c>
      <c r="BZ56" s="329">
        <f t="shared" si="77"/>
        <v>0</v>
      </c>
      <c r="CA56" s="329">
        <f t="shared" si="77"/>
        <v>0</v>
      </c>
      <c r="CB56" s="329">
        <f t="shared" si="77"/>
        <v>0</v>
      </c>
      <c r="CC56" s="329">
        <f t="shared" si="77"/>
        <v>0</v>
      </c>
      <c r="CD56" s="329">
        <f t="shared" si="77"/>
        <v>0</v>
      </c>
      <c r="CE56" s="329">
        <f t="shared" si="77"/>
        <v>0</v>
      </c>
      <c r="CF56" s="329">
        <f t="shared" si="77"/>
        <v>0</v>
      </c>
      <c r="CG56" s="329">
        <f t="shared" si="77"/>
        <v>0</v>
      </c>
      <c r="CH56" s="329">
        <f t="shared" si="77"/>
        <v>0</v>
      </c>
      <c r="CI56" s="329">
        <f t="shared" si="77"/>
        <v>0</v>
      </c>
      <c r="CJ56" s="331">
        <f t="shared" si="78"/>
        <v>0</v>
      </c>
      <c r="CK56" s="330">
        <f t="shared" si="79"/>
        <v>0</v>
      </c>
      <c r="CL56" s="330">
        <f t="shared" si="80"/>
        <v>0</v>
      </c>
      <c r="CM56" s="330">
        <f t="shared" si="81"/>
        <v>0</v>
      </c>
      <c r="CN56" s="330">
        <f t="shared" si="82"/>
        <v>0</v>
      </c>
      <c r="CO56" s="330">
        <f t="shared" si="83"/>
        <v>0</v>
      </c>
      <c r="CP56" s="330">
        <f t="shared" si="84"/>
        <v>0</v>
      </c>
      <c r="CQ56" s="330">
        <f t="shared" si="11"/>
        <v>0</v>
      </c>
      <c r="CR56" s="330">
        <f t="shared" si="85"/>
        <v>0</v>
      </c>
      <c r="CS56" s="330">
        <f t="shared" si="86"/>
        <v>0</v>
      </c>
      <c r="CT56" s="330">
        <f t="shared" si="87"/>
        <v>0</v>
      </c>
      <c r="CU56" s="330">
        <f t="shared" si="88"/>
        <v>0</v>
      </c>
      <c r="CV56" s="330">
        <f t="shared" si="88"/>
        <v>0</v>
      </c>
      <c r="CW56" s="330">
        <f t="shared" si="88"/>
        <v>0</v>
      </c>
      <c r="CX56" s="330">
        <f t="shared" si="88"/>
        <v>0</v>
      </c>
      <c r="CY56" s="330">
        <f t="shared" si="88"/>
        <v>0</v>
      </c>
      <c r="CZ56" s="330">
        <f t="shared" si="88"/>
        <v>0</v>
      </c>
      <c r="DA56" s="330">
        <f t="shared" si="88"/>
        <v>0</v>
      </c>
      <c r="DB56" s="330">
        <f t="shared" si="88"/>
        <v>0</v>
      </c>
      <c r="DC56" s="330">
        <f t="shared" si="88"/>
        <v>0</v>
      </c>
      <c r="DD56" s="330">
        <f t="shared" si="88"/>
        <v>0</v>
      </c>
      <c r="DE56" s="330">
        <f t="shared" si="89"/>
        <v>0</v>
      </c>
      <c r="DF56" s="330">
        <f t="shared" si="89"/>
        <v>0</v>
      </c>
      <c r="DG56" s="330">
        <f t="shared" si="89"/>
        <v>0</v>
      </c>
      <c r="DH56" s="330">
        <f t="shared" si="89"/>
        <v>0</v>
      </c>
      <c r="DI56" s="330">
        <f t="shared" si="89"/>
        <v>0</v>
      </c>
      <c r="DJ56" s="330">
        <f t="shared" si="89"/>
        <v>0</v>
      </c>
      <c r="DK56" s="330">
        <f t="shared" si="89"/>
        <v>0</v>
      </c>
      <c r="DL56" s="330">
        <f t="shared" si="89"/>
        <v>0</v>
      </c>
      <c r="DM56" s="330">
        <f t="shared" si="89"/>
        <v>0</v>
      </c>
      <c r="DN56" s="330">
        <f t="shared" si="89"/>
        <v>0</v>
      </c>
      <c r="DO56" s="330">
        <f t="shared" si="89"/>
        <v>0</v>
      </c>
      <c r="DP56" s="330">
        <f t="shared" si="90"/>
        <v>0</v>
      </c>
      <c r="DQ56" s="217"/>
      <c r="DR56" s="217"/>
      <c r="DS56" s="217"/>
      <c r="DT56" s="217"/>
    </row>
    <row r="57" spans="1:124" x14ac:dyDescent="0.3">
      <c r="A57" s="332"/>
      <c r="B57" s="221" t="s">
        <v>304</v>
      </c>
      <c r="C57" s="221" t="str">
        <f>IF('Simplified Material Balance'!C27=0,"",'Simplified Material Balance'!C27)</f>
        <v/>
      </c>
      <c r="D57" s="221" t="str">
        <f>IF('Simplified Material Balance'!D27=0,"",'Simplified Material Balance'!D27)</f>
        <v/>
      </c>
      <c r="E57" s="221" t="str">
        <f>IF('Simplified Material Balance'!E27=0,"",'Simplified Material Balance'!E27)</f>
        <v/>
      </c>
      <c r="F57" s="221" t="str">
        <f>IF('Simplified Material Balance'!F27=0,"",'Simplified Material Balance'!F27)</f>
        <v/>
      </c>
      <c r="G57" s="272">
        <f>IF('Simplified Material Balance'!H27&gt;'Simplified Material Balance'!G27,0,('Simplified Material Balance'!G27-'Simplified Material Balance'!H27)*Conversions!$C$4)</f>
        <v>0</v>
      </c>
      <c r="H57" s="272">
        <f>'Simplified Material Balance'!I27*Conversions!$C$4</f>
        <v>0</v>
      </c>
      <c r="I57" s="272">
        <f>('Simplified Material Balance'!J27-'Simplified Material Balance'!K27)*Conversions!$C$4</f>
        <v>0</v>
      </c>
      <c r="J57" s="325">
        <f>IF('Simplified Material Balance'!L27=0,0,'Simplified Material Balance'!L27)</f>
        <v>0</v>
      </c>
      <c r="K57" s="465"/>
      <c r="L57" s="333">
        <f>IF($F57="",0,IF($F57="Weighted Average",$G57*VLOOKUP($D57&amp;" (Install)",Lists!$C$72:$R$232,COLUMNS(Lists!$C$69:E$69),0)*VLOOKUP(BE$3,Conversions!$B$12:$E$34,4,0),$G57*VLOOKUP($F57,Lists!$C$72:$R$232,COLUMNS(Lists!$C$69:E$69),0)*VLOOKUP(BE$3,Conversions!$B$12:$E$34,4,0)))</f>
        <v>0</v>
      </c>
      <c r="M57" s="333">
        <f>IF($F57="",0,IF($F57="Weighted Average",$G57*VLOOKUP($D57&amp;" (Install)",Lists!$C$72:$R$232,COLUMNS(Lists!$C$69:F$69),0)*VLOOKUP(BF$3,Conversions!$B$12:$E$34,4,0),$G57*VLOOKUP($F57,Lists!$C$72:$R$232,COLUMNS(Lists!$C$69:F$69),0)*VLOOKUP(BF$3,Conversions!$B$12:$E$34,4,0)))</f>
        <v>0</v>
      </c>
      <c r="N57" s="333">
        <f>IF($F57="",0,IF($F57="Weighted Average",$G57*VLOOKUP($D57&amp;" (Install)",Lists!$C$72:$R$232,COLUMNS(Lists!$C$69:G$69),0)*VLOOKUP(BG$3,Conversions!$B$12:$E$34,4,0),$G57*VLOOKUP($F57,Lists!$C$72:$R$232,COLUMNS(Lists!$C$69:G$69),0)*VLOOKUP(BG$3,Conversions!$B$12:$E$34,4,0)))</f>
        <v>0</v>
      </c>
      <c r="O57" s="333">
        <f>IF($F57="",0,IF($F57="Weighted Average",$G57*VLOOKUP($D57&amp;" (Install)",Lists!$C$72:$R$232,COLUMNS(Lists!$C$69:H$69),0)*VLOOKUP(BH$3,Conversions!$B$12:$E$34,4,0),$G57*VLOOKUP($F57,Lists!$C$72:$R$232,COLUMNS(Lists!$C$69:H$69),0)*VLOOKUP(BH$3,Conversions!$B$12:$E$34,4,0)))</f>
        <v>0</v>
      </c>
      <c r="P57" s="333">
        <f>IF($F57="",0,IF($F57="Weighted Average",$G57*VLOOKUP($D57&amp;" (Install)",Lists!$C$72:$R$232,COLUMNS(Lists!$C$69:I$69),0)*VLOOKUP(BI$3,Conversions!$B$12:$E$34,4,0),$G57*VLOOKUP($F57,Lists!$C$72:$R$232,COLUMNS(Lists!$C$69:I$69),0)*VLOOKUP(BI$3,Conversions!$B$12:$E$34,4,0)))</f>
        <v>0</v>
      </c>
      <c r="Q57" s="333">
        <f>IF($F57="",0,IF($F57="Weighted Average",$G57*VLOOKUP($D57&amp;" (Install)",Lists!$C$72:$R$232,COLUMNS(Lists!$C$69:J$69),0)*VLOOKUP(BJ$3,Conversions!$B$12:$E$34,4,0),$G57*VLOOKUP($F57,Lists!$C$72:$R$232,COLUMNS(Lists!$C$69:J$69),0)*VLOOKUP(BJ$3,Conversions!$B$12:$E$34,4,0)))</f>
        <v>0</v>
      </c>
      <c r="R57" s="333">
        <f>IF($F57="",0,IF($F57="Weighted Average",$G57*VLOOKUP($D57&amp;" (Install)",Lists!$C$72:$R$232,COLUMNS(Lists!$C$69:K$69),0)*VLOOKUP(BK$3,Conversions!$B$12:$E$34,4,0),$G57*VLOOKUP($F57,Lists!$C$72:$R$232,COLUMNS(Lists!$C$69:K$69),0)*VLOOKUP(BK$3,Conversions!$B$12:$E$34,4,0)))</f>
        <v>0</v>
      </c>
      <c r="S57" s="333">
        <f>IF($F57="",0,IF($F57="Weighted Average",$G57*VLOOKUP($D57&amp;" (Install)",Lists!$C$72:$R$232,COLUMNS(Lists!$C$69:L$69),0)*VLOOKUP(BL$3,Conversions!$B$12:$E$34,4,0),$G57*VLOOKUP($F57,Lists!$C$72:$R$232,COLUMNS(Lists!$C$69:L$69),0)*VLOOKUP(BL$3,Conversions!$B$12:$E$34,4,0)))</f>
        <v>0</v>
      </c>
      <c r="T57" s="333">
        <f>IF($F57="",0,IF($F57="Weighted Average",$G57*VLOOKUP($D57&amp;" (Install)",Lists!$C$72:$R$232,COLUMNS(Lists!$C$69:M$69),0)*VLOOKUP(BM$3,Conversions!$B$12:$E$34,4,0),$G57*VLOOKUP($F57,Lists!$C$72:$R$232,COLUMNS(Lists!$C$69:M$69),0)*VLOOKUP(BM$3,Conversions!$B$12:$E$34,4,0)))</f>
        <v>0</v>
      </c>
      <c r="U57" s="333">
        <f>IF($F57="",0,IF($F57="Weighted Average",$G57*VLOOKUP($D57&amp;" (Install)",Lists!$C$72:$R$232,COLUMNS(Lists!$C$69:N$69),0)*VLOOKUP(BN$3,Conversions!$B$12:$E$34,4,0),$G57*VLOOKUP($F57,Lists!$C$72:$R$232,COLUMNS(Lists!$C$69:N$69),0)*VLOOKUP(BN$3,Conversions!$B$12:$E$34,4,0)))</f>
        <v>0</v>
      </c>
      <c r="V57" s="333">
        <f>IF($F57="",0,IF($F57="Weighted Average",$G57*VLOOKUP($D57&amp;" (Install)",Lists!$C$72:$R$232,COLUMNS(Lists!$C$69:O$69),0)*VLOOKUP(BO$3,Conversions!$B$12:$E$34,4,0),$G57*VLOOKUP($F57,Lists!$C$72:$R$232,COLUMNS(Lists!$C$69:O$69),0)*VLOOKUP(BO$3,Conversions!$B$12:$E$34,4,0)))</f>
        <v>0</v>
      </c>
      <c r="W57" s="333">
        <f>IF($F57="",0,IF($F57="Weighted Average",$G57*VLOOKUP($D57&amp;" (Install)",Lists!$C$72:$R$232,COLUMNS(Lists!$C$69:P$69),0)*VLOOKUP(BP$3,Conversions!$B$12:$E$34,4,0),$G57*VLOOKUP($F57,Lists!$C$72:$R$232,COLUMNS(Lists!$C$69:P$69),0)*VLOOKUP(BP$3,Conversions!$B$12:$E$34,4,0)))</f>
        <v>0</v>
      </c>
      <c r="X57" s="333">
        <f>IF($F57="",0,IF($F57="Weighted Average",$G57*VLOOKUP($D57&amp;" (Install)",Lists!$C$72:$R$232,COLUMNS(Lists!$C$69:Q$69),0)*VLOOKUP(BQ$3,Conversions!$B$12:$E$34,4,0),$G57*VLOOKUP($F57,Lists!$C$72:$R$232,COLUMNS(Lists!$C$69:Q$69),0)*VLOOKUP(BQ$3,Conversions!$B$12:$E$34,4,0)))</f>
        <v>0</v>
      </c>
      <c r="Y57" s="333">
        <f>IF($F57="",0,IF($F57="Weighted Average",$G57*VLOOKUP($D57&amp;" (Install)",Lists!$C$72:$R$232,COLUMNS(Lists!$C$69:R$69),0)*VLOOKUP(BR$3,Conversions!$B$12:$E$34,4,0),$G57*VLOOKUP($F57,Lists!$C$72:$R$232,COLUMNS(Lists!$C$69:R$69),0)*VLOOKUP(BR$3,Conversions!$B$12:$E$34,4,0)))</f>
        <v>0</v>
      </c>
      <c r="Z57" s="325">
        <f t="shared" si="59"/>
        <v>0</v>
      </c>
      <c r="AA57" s="334">
        <f>IF($F57="",0,IF($F57="Weighted Average",$H57*VLOOKUP($D57&amp;" (Operation)",Lists!$C$72:$R$232,COLUMNS(Lists!$C$69:E$69),0)*VLOOKUP(BE$3,Conversions!$B$12:$E$34,4,0),$H57*VLOOKUP($F57,Lists!$C$72:$R$232,COLUMNS(Lists!$C$69:E$69),0)*VLOOKUP(BE$3,Conversions!$B$12:$E$34,4,0)))</f>
        <v>0</v>
      </c>
      <c r="AB57" s="334">
        <f>IF($F57="",0,IF($F57="Weighted Average",$H57*VLOOKUP($D57&amp;" (Operation)",Lists!$C$72:$R$232,COLUMNS(Lists!$C$69:F$69),0)*VLOOKUP(BF$3,Conversions!$B$12:$E$34,4,0),$H57*VLOOKUP($F57,Lists!$C$72:$R$232,COLUMNS(Lists!$C$69:F$69),0)*VLOOKUP(BF$3,Conversions!$B$12:$E$34,4,0)))</f>
        <v>0</v>
      </c>
      <c r="AC57" s="334">
        <f>IF($F57="",0,IF($F57="Weighted Average",$H57*VLOOKUP($D57&amp;" (Operation)",Lists!$C$72:$R$232,COLUMNS(Lists!$C$69:G$69),0)*VLOOKUP(BG$3,Conversions!$B$12:$E$34,4,0),$H57*VLOOKUP($F57,Lists!$C$72:$R$232,COLUMNS(Lists!$C$69:G$69),0)*VLOOKUP(BG$3,Conversions!$B$12:$E$34,4,0)))</f>
        <v>0</v>
      </c>
      <c r="AD57" s="334">
        <f>IF($F57="",0,IF($F57="Weighted Average",$H57*VLOOKUP($D57&amp;" (Operation)",Lists!$C$72:$R$232,COLUMNS(Lists!$C$69:H$69),0)*VLOOKUP(BH$3,Conversions!$B$12:$E$34,4,0),$H57*VLOOKUP($F57,Lists!$C$72:$R$232,COLUMNS(Lists!$C$69:H$69),0)*VLOOKUP(BH$3,Conversions!$B$12:$E$34,4,0)))</f>
        <v>0</v>
      </c>
      <c r="AE57" s="334">
        <f>IF($F57="",0,IF($F57="Weighted Average",$H57*VLOOKUP($D57&amp;" (Operation)",Lists!$C$72:$R$232,COLUMNS(Lists!$C$69:I$69),0)*VLOOKUP(BI$3,Conversions!$B$12:$E$34,4,0),$H57*VLOOKUP($F57,Lists!$C$72:$R$232,COLUMNS(Lists!$C$69:I$69),0)*VLOOKUP(BI$3,Conversions!$B$12:$E$34,4,0)))</f>
        <v>0</v>
      </c>
      <c r="AF57" s="334">
        <f>IF($F57="",0,IF($F57="Weighted Average",$H57*VLOOKUP($D57&amp;" (Operation)",Lists!$C$72:$R$232,COLUMNS(Lists!$C$69:J$69),0)*VLOOKUP(BJ$3,Conversions!$B$12:$E$34,4,0),$H57*VLOOKUP($F57,Lists!$C$72:$R$232,COLUMNS(Lists!$C$69:J$69),0)*VLOOKUP(BJ$3,Conversions!$B$12:$E$34,4,0)))</f>
        <v>0</v>
      </c>
      <c r="AG57" s="334">
        <f>IF($F57="",0,IF($F57="Weighted Average",$H57*VLOOKUP($D57&amp;" (Operation)",Lists!$C$72:$R$232,COLUMNS(Lists!$C$69:K$69),0)*VLOOKUP(BK$3,Conversions!$B$12:$E$34,4,0),$H57*VLOOKUP($F57,Lists!$C$72:$R$232,COLUMNS(Lists!$C$69:K$69),0)*VLOOKUP(BK$3,Conversions!$B$12:$E$34,4,0)))</f>
        <v>0</v>
      </c>
      <c r="AH57" s="334">
        <f>IF($F57="",0,IF($F57="Weighted Average",$H57*VLOOKUP($D57&amp;" (Operation)",Lists!$C$72:$R$232,COLUMNS(Lists!$C$69:L$69),0)*VLOOKUP(BL$3,Conversions!$B$12:$E$34,4,0),$H57*VLOOKUP($F57,Lists!$C$72:$R$232,COLUMNS(Lists!$C$69:L$69),0)*VLOOKUP(BL$3,Conversions!$B$12:$E$34,4,0)))</f>
        <v>0</v>
      </c>
      <c r="AI57" s="334">
        <f>IF($F57="",0,IF($F57="Weighted Average",$H57*VLOOKUP($D57&amp;" (Operation)",Lists!$C$72:$R$232,COLUMNS(Lists!$C$69:M$69),0)*VLOOKUP(BM$3,Conversions!$B$12:$E$34,4,0),$H57*VLOOKUP($F57,Lists!$C$72:$R$232,COLUMNS(Lists!$C$69:M$69),0)*VLOOKUP(BM$3,Conversions!$B$12:$E$34,4,0)))</f>
        <v>0</v>
      </c>
      <c r="AJ57" s="334">
        <f>IF($F57="",0,IF($F57="Weighted Average",$H57*VLOOKUP($D57&amp;" (Operation)",Lists!$C$72:$R$232,COLUMNS(Lists!$C$69:N$69),0)*VLOOKUP(BN$3,Conversions!$B$12:$E$34,4,0),$H57*VLOOKUP($F57,Lists!$C$72:$R$232,COLUMNS(Lists!$C$69:N$69),0)*VLOOKUP(BN$3,Conversions!$B$12:$E$34,4,0)))</f>
        <v>0</v>
      </c>
      <c r="AK57" s="334">
        <f>IF($F57="",0,IF($F57="Weighted Average",$H57*VLOOKUP($D57&amp;" (Operation)",Lists!$C$72:$R$232,COLUMNS(Lists!$C$69:O$69),0)*VLOOKUP(BO$3,Conversions!$B$12:$E$34,4,0),$H57*VLOOKUP($F57,Lists!$C$72:$R$232,COLUMNS(Lists!$C$69:O$69),0)*VLOOKUP(BO$3,Conversions!$B$12:$E$34,4,0)))</f>
        <v>0</v>
      </c>
      <c r="AL57" s="334">
        <f>IF($F57="",0,IF($F57="Weighted Average",$H57*VLOOKUP($D57&amp;" (Operation)",Lists!$C$72:$R$232,COLUMNS(Lists!$C$69:P$69),0)*VLOOKUP(BP$3,Conversions!$B$12:$E$34,4,0),$H57*VLOOKUP($F57,Lists!$C$72:$R$232,COLUMNS(Lists!$C$69:P$69),0)*VLOOKUP(BP$3,Conversions!$B$12:$E$34,4,0)))</f>
        <v>0</v>
      </c>
      <c r="AM57" s="334">
        <f>IF($F57="",0,IF($F57="Weighted Average",$H57*VLOOKUP($D57&amp;" (Operation)",Lists!$C$72:$R$232,COLUMNS(Lists!$C$69:Q$69),0)*VLOOKUP(BQ$3,Conversions!$B$12:$E$34,4,0),$H57*VLOOKUP($F57,Lists!$C$72:$R$232,COLUMNS(Lists!$C$69:Q$69),0)*VLOOKUP(BQ$3,Conversions!$B$12:$E$34,4,0)))</f>
        <v>0</v>
      </c>
      <c r="AN57" s="334">
        <f>IF($F57="",0,IF($F57="Weighted Average",$H57*VLOOKUP($D57&amp;" (Operation)",Lists!$C$72:$R$232,COLUMNS(Lists!$C$69:R$69),0)*VLOOKUP(BR$3,Conversions!$B$12:$E$34,4,0),$H57*VLOOKUP($F57,Lists!$C$72:$R$232,COLUMNS(Lists!$C$69:R$69),0)*VLOOKUP(BR$3,Conversions!$B$12:$E$34,4,0)))</f>
        <v>0</v>
      </c>
      <c r="AO57" s="330">
        <f t="shared" si="60"/>
        <v>0</v>
      </c>
      <c r="AP57" s="333">
        <f>IF($F57="",0,IF($F57="Weighted Average",$I57*VLOOKUP($D57&amp;" (Disposal)",Lists!$C$72:$R$232,COLUMNS(Lists!$C$69:E$69),0)*VLOOKUP(BE$3,Conversions!$B$12:$E$34,4,0),$I57*VLOOKUP($F57,Lists!$C$72:$R$232,COLUMNS(Lists!$C$69:E$69),0)*VLOOKUP(BE$3,Conversions!$B$12:$E$34,4,0)))</f>
        <v>0</v>
      </c>
      <c r="AQ57" s="333">
        <f>IF($F57="",0,IF($F57="Weighted Average",$I57*VLOOKUP($D57&amp;" (Disposal)",Lists!$C$72:$R$232,COLUMNS(Lists!$C$69:F$69),0)*VLOOKUP(BF$3,Conversions!$B$12:$E$34,4,0),$I57*VLOOKUP($F57,Lists!$C$72:$R$232,COLUMNS(Lists!$C$69:F$69),0)*VLOOKUP(BF$3,Conversions!$B$12:$E$34,4,0)))</f>
        <v>0</v>
      </c>
      <c r="AR57" s="333">
        <f>IF($F57="",0,IF($F57="Weighted Average",$I57*VLOOKUP($D57&amp;" (Disposal)",Lists!$C$72:$R$232,COLUMNS(Lists!$C$69:G$69),0)*VLOOKUP(BG$3,Conversions!$B$12:$E$34,4,0),$I57*VLOOKUP($F57,Lists!$C$72:$R$232,COLUMNS(Lists!$C$69:G$69),0)*VLOOKUP(BG$3,Conversions!$B$12:$E$34,4,0)))</f>
        <v>0</v>
      </c>
      <c r="AS57" s="333">
        <f>IF($F57="",0,IF($F57="Weighted Average",$I57*VLOOKUP($D57&amp;" (Disposal)",Lists!$C$72:$R$232,COLUMNS(Lists!$C$69:H$69),0)*VLOOKUP(BH$3,Conversions!$B$12:$E$34,4,0),$I57*VLOOKUP($F57,Lists!$C$72:$R$232,COLUMNS(Lists!$C$69:H$69),0)*VLOOKUP(BH$3,Conversions!$B$12:$E$34,4,0)))</f>
        <v>0</v>
      </c>
      <c r="AT57" s="333">
        <f>IF($F57="",0,IF($F57="Weighted Average",$I57*VLOOKUP($D57&amp;" (Disposal)",Lists!$C$72:$R$232,COLUMNS(Lists!$C$69:I$69),0)*VLOOKUP(BI$3,Conversions!$B$12:$E$34,4,0),$I57*VLOOKUP($F57,Lists!$C$72:$R$232,COLUMNS(Lists!$C$69:I$69),0)*VLOOKUP(BI$3,Conversions!$B$12:$E$34,4,0)))</f>
        <v>0</v>
      </c>
      <c r="AU57" s="333">
        <f>IF($F57="",0,IF($F57="Weighted Average",$I57*VLOOKUP($D57&amp;" (Disposal)",Lists!$C$72:$R$232,COLUMNS(Lists!$C$69:J$69),0)*VLOOKUP(BJ$3,Conversions!$B$12:$E$34,4,0),$I57*VLOOKUP($F57,Lists!$C$72:$R$232,COLUMNS(Lists!$C$69:J$69),0)*VLOOKUP(BJ$3,Conversions!$B$12:$E$34,4,0)))</f>
        <v>0</v>
      </c>
      <c r="AV57" s="333">
        <f>IF($F57="",0,IF($F57="Weighted Average",$I57*VLOOKUP($D57&amp;" (Disposal)",Lists!$C$72:$R$232,COLUMNS(Lists!$C$69:K$69),0)*VLOOKUP(BK$3,Conversions!$B$12:$E$34,4,0),$I57*VLOOKUP($F57,Lists!$C$72:$R$232,COLUMNS(Lists!$C$69:K$69),0)*VLOOKUP(BK$3,Conversions!$B$12:$E$34,4,0)))</f>
        <v>0</v>
      </c>
      <c r="AW57" s="333">
        <f>IF($F57="",0,IF($F57="Weighted Average",$I57*VLOOKUP($D57&amp;" (Disposal)",Lists!$C$72:$R$232,COLUMNS(Lists!$C$69:L$69),0)*VLOOKUP(BL$3,Conversions!$B$12:$E$34,4,0),$I57*VLOOKUP($F57,Lists!$C$72:$R$232,COLUMNS(Lists!$C$69:L$69),0)*VLOOKUP(BL$3,Conversions!$B$12:$E$34,4,0)))</f>
        <v>0</v>
      </c>
      <c r="AX57" s="333">
        <f>IF($F57="",0,IF($F57="Weighted Average",$I57*VLOOKUP($D57&amp;" (Disposal)",Lists!$C$72:$R$232,COLUMNS(Lists!$C$69:M$69),0)*VLOOKUP(BM$3,Conversions!$B$12:$E$34,4,0),$I57*VLOOKUP($F57,Lists!$C$72:$R$232,COLUMNS(Lists!$C$69:M$69),0)*VLOOKUP(BM$3,Conversions!$B$12:$E$34,4,0)))</f>
        <v>0</v>
      </c>
      <c r="AY57" s="333">
        <f>IF($F57="",0,IF($F57="Weighted Average",$I57*VLOOKUP($D57&amp;" (Disposal)",Lists!$C$72:$R$232,COLUMNS(Lists!$C$69:N$69),0)*VLOOKUP(BN$3,Conversions!$B$12:$E$34,4,0),$I57*VLOOKUP($F57,Lists!$C$72:$R$232,COLUMNS(Lists!$C$69:N$69),0)*VLOOKUP(BN$3,Conversions!$B$12:$E$34,4,0)))</f>
        <v>0</v>
      </c>
      <c r="AZ57" s="333">
        <f>IF($F57="",0,IF($F57="Weighted Average",$I57*VLOOKUP($D57&amp;" (Disposal)",Lists!$C$72:$R$232,COLUMNS(Lists!$C$69:O$69),0)*VLOOKUP(BO$3,Conversions!$B$12:$E$34,4,0),$I57*VLOOKUP($F57,Lists!$C$72:$R$232,COLUMNS(Lists!$C$69:O$69),0)*VLOOKUP(BO$3,Conversions!$B$12:$E$34,4,0)))</f>
        <v>0</v>
      </c>
      <c r="BA57" s="333">
        <f>IF($F57="",0,IF($F57="Weighted Average",$I57*VLOOKUP($D57&amp;" (Disposal)",Lists!$C$72:$R$232,COLUMNS(Lists!$C$69:P$69),0)*VLOOKUP(BP$3,Conversions!$B$12:$E$34,4,0),$I57*VLOOKUP($F57,Lists!$C$72:$R$232,COLUMNS(Lists!$C$69:P$69),0)*VLOOKUP(BP$3,Conversions!$B$12:$E$34,4,0)))</f>
        <v>0</v>
      </c>
      <c r="BB57" s="333">
        <f>IF($F57="",0,IF($F57="Weighted Average",$I57*VLOOKUP($D57&amp;" (Disposal)",Lists!$C$72:$R$232,COLUMNS(Lists!$C$69:Q$69),0)*VLOOKUP(BQ$3,Conversions!$B$12:$E$34,4,0),$I57*VLOOKUP($F57,Lists!$C$72:$R$232,COLUMNS(Lists!$C$69:Q$69),0)*VLOOKUP(BQ$3,Conversions!$B$12:$E$34,4,0)))</f>
        <v>0</v>
      </c>
      <c r="BC57" s="333">
        <f>IF($F57="",0,IF($F57="Weighted Average",$I57*VLOOKUP($D57&amp;" (Disposal)",Lists!$C$72:$R$232,COLUMNS(Lists!$C$69:R$69),0)*VLOOKUP(BR$3,Conversions!$B$12:$E$34,4,0),$I57*VLOOKUP($F57,Lists!$C$72:$R$232,COLUMNS(Lists!$C$69:R$69),0)*VLOOKUP(BR$3,Conversions!$B$12:$E$34,4,0)))</f>
        <v>0</v>
      </c>
      <c r="BD57" s="333">
        <f t="shared" si="61"/>
        <v>0</v>
      </c>
      <c r="BE57" s="330">
        <f t="shared" si="62"/>
        <v>0</v>
      </c>
      <c r="BF57" s="330">
        <f t="shared" si="63"/>
        <v>0</v>
      </c>
      <c r="BG57" s="330">
        <f t="shared" si="64"/>
        <v>0</v>
      </c>
      <c r="BH57" s="330">
        <f t="shared" si="65"/>
        <v>0</v>
      </c>
      <c r="BI57" s="330">
        <f t="shared" si="66"/>
        <v>0</v>
      </c>
      <c r="BJ57" s="330">
        <f t="shared" si="67"/>
        <v>0</v>
      </c>
      <c r="BK57" s="330">
        <f t="shared" si="68"/>
        <v>0</v>
      </c>
      <c r="BL57" s="330">
        <f t="shared" si="69"/>
        <v>0</v>
      </c>
      <c r="BM57" s="330">
        <f t="shared" si="70"/>
        <v>0</v>
      </c>
      <c r="BN57" s="330">
        <f t="shared" si="71"/>
        <v>0</v>
      </c>
      <c r="BO57" s="330">
        <f t="shared" si="72"/>
        <v>0</v>
      </c>
      <c r="BP57" s="330">
        <f t="shared" si="73"/>
        <v>0</v>
      </c>
      <c r="BQ57" s="330">
        <f t="shared" si="74"/>
        <v>0</v>
      </c>
      <c r="BR57" s="330">
        <f t="shared" si="75"/>
        <v>0</v>
      </c>
      <c r="BS57" s="330">
        <f t="shared" si="76"/>
        <v>0</v>
      </c>
      <c r="BT57" s="329">
        <f t="shared" si="77"/>
        <v>0</v>
      </c>
      <c r="BU57" s="329">
        <f t="shared" si="77"/>
        <v>0</v>
      </c>
      <c r="BV57" s="329">
        <f t="shared" si="77"/>
        <v>0</v>
      </c>
      <c r="BW57" s="329">
        <f t="shared" si="77"/>
        <v>0</v>
      </c>
      <c r="BX57" s="329">
        <f t="shared" si="77"/>
        <v>0</v>
      </c>
      <c r="BY57" s="329">
        <f t="shared" si="77"/>
        <v>0</v>
      </c>
      <c r="BZ57" s="329">
        <f t="shared" si="77"/>
        <v>0</v>
      </c>
      <c r="CA57" s="329">
        <f t="shared" si="77"/>
        <v>0</v>
      </c>
      <c r="CB57" s="329">
        <f t="shared" si="77"/>
        <v>0</v>
      </c>
      <c r="CC57" s="329">
        <f t="shared" si="77"/>
        <v>0</v>
      </c>
      <c r="CD57" s="329">
        <f t="shared" si="77"/>
        <v>0</v>
      </c>
      <c r="CE57" s="329">
        <f t="shared" si="77"/>
        <v>0</v>
      </c>
      <c r="CF57" s="329">
        <f t="shared" si="77"/>
        <v>0</v>
      </c>
      <c r="CG57" s="329">
        <f t="shared" si="77"/>
        <v>0</v>
      </c>
      <c r="CH57" s="329">
        <f t="shared" si="77"/>
        <v>0</v>
      </c>
      <c r="CI57" s="329">
        <f t="shared" si="77"/>
        <v>0</v>
      </c>
      <c r="CJ57" s="331">
        <f t="shared" si="78"/>
        <v>0</v>
      </c>
      <c r="CK57" s="330">
        <f t="shared" si="79"/>
        <v>0</v>
      </c>
      <c r="CL57" s="330">
        <f t="shared" si="80"/>
        <v>0</v>
      </c>
      <c r="CM57" s="330">
        <f t="shared" si="81"/>
        <v>0</v>
      </c>
      <c r="CN57" s="330">
        <f t="shared" si="82"/>
        <v>0</v>
      </c>
      <c r="CO57" s="330">
        <f t="shared" si="83"/>
        <v>0</v>
      </c>
      <c r="CP57" s="330">
        <f t="shared" si="84"/>
        <v>0</v>
      </c>
      <c r="CQ57" s="330">
        <f t="shared" si="11"/>
        <v>0</v>
      </c>
      <c r="CR57" s="330">
        <f t="shared" si="85"/>
        <v>0</v>
      </c>
      <c r="CS57" s="330">
        <f t="shared" si="86"/>
        <v>0</v>
      </c>
      <c r="CT57" s="330">
        <f t="shared" si="87"/>
        <v>0</v>
      </c>
      <c r="CU57" s="330">
        <f t="shared" si="88"/>
        <v>0</v>
      </c>
      <c r="CV57" s="330">
        <f t="shared" si="88"/>
        <v>0</v>
      </c>
      <c r="CW57" s="330">
        <f t="shared" si="88"/>
        <v>0</v>
      </c>
      <c r="CX57" s="330">
        <f t="shared" si="88"/>
        <v>0</v>
      </c>
      <c r="CY57" s="330">
        <f t="shared" si="88"/>
        <v>0</v>
      </c>
      <c r="CZ57" s="330">
        <f t="shared" si="88"/>
        <v>0</v>
      </c>
      <c r="DA57" s="330">
        <f t="shared" si="88"/>
        <v>0</v>
      </c>
      <c r="DB57" s="330">
        <f t="shared" si="88"/>
        <v>0</v>
      </c>
      <c r="DC57" s="330">
        <f t="shared" si="88"/>
        <v>0</v>
      </c>
      <c r="DD57" s="330">
        <f t="shared" si="88"/>
        <v>0</v>
      </c>
      <c r="DE57" s="330">
        <f t="shared" si="89"/>
        <v>0</v>
      </c>
      <c r="DF57" s="330">
        <f t="shared" si="89"/>
        <v>0</v>
      </c>
      <c r="DG57" s="330">
        <f t="shared" si="89"/>
        <v>0</v>
      </c>
      <c r="DH57" s="330">
        <f t="shared" si="89"/>
        <v>0</v>
      </c>
      <c r="DI57" s="330">
        <f t="shared" si="89"/>
        <v>0</v>
      </c>
      <c r="DJ57" s="330">
        <f t="shared" si="89"/>
        <v>0</v>
      </c>
      <c r="DK57" s="330">
        <f t="shared" si="89"/>
        <v>0</v>
      </c>
      <c r="DL57" s="330">
        <f t="shared" si="89"/>
        <v>0</v>
      </c>
      <c r="DM57" s="330">
        <f t="shared" si="89"/>
        <v>0</v>
      </c>
      <c r="DN57" s="330">
        <f t="shared" si="89"/>
        <v>0</v>
      </c>
      <c r="DO57" s="330">
        <f t="shared" si="89"/>
        <v>0</v>
      </c>
      <c r="DP57" s="330">
        <f t="shared" si="90"/>
        <v>0</v>
      </c>
      <c r="DQ57" s="217"/>
      <c r="DR57" s="217"/>
      <c r="DS57" s="217"/>
      <c r="DT57" s="217"/>
    </row>
    <row r="58" spans="1:124" x14ac:dyDescent="0.3">
      <c r="A58" s="332"/>
      <c r="B58" s="221" t="s">
        <v>304</v>
      </c>
      <c r="C58" s="221" t="str">
        <f>IF('Simplified Material Balance'!C28=0,"",'Simplified Material Balance'!C28)</f>
        <v/>
      </c>
      <c r="D58" s="221" t="str">
        <f>IF('Simplified Material Balance'!D28=0,"",'Simplified Material Balance'!D28)</f>
        <v/>
      </c>
      <c r="E58" s="221" t="str">
        <f>IF('Simplified Material Balance'!E28=0,"",'Simplified Material Balance'!E28)</f>
        <v/>
      </c>
      <c r="F58" s="221" t="str">
        <f>IF('Simplified Material Balance'!F28=0,"",'Simplified Material Balance'!F28)</f>
        <v/>
      </c>
      <c r="G58" s="272">
        <f>IF('Simplified Material Balance'!H28&gt;'Simplified Material Balance'!G28,0,('Simplified Material Balance'!G28-'Simplified Material Balance'!H28)*Conversions!$C$4)</f>
        <v>0</v>
      </c>
      <c r="H58" s="272">
        <f>'Simplified Material Balance'!I28*Conversions!$C$4</f>
        <v>0</v>
      </c>
      <c r="I58" s="272">
        <f>('Simplified Material Balance'!J28-'Simplified Material Balance'!K28)*Conversions!$C$4</f>
        <v>0</v>
      </c>
      <c r="J58" s="325">
        <f>IF('Simplified Material Balance'!L28=0,0,'Simplified Material Balance'!L28)</f>
        <v>0</v>
      </c>
      <c r="K58" s="465"/>
      <c r="L58" s="333">
        <f>IF($F58="",0,IF($F58="Weighted Average",$G58*VLOOKUP($D58&amp;" (Install)",Lists!$C$72:$R$232,COLUMNS(Lists!$C$69:E$69),0)*VLOOKUP(BE$3,Conversions!$B$12:$E$34,4,0),$G58*VLOOKUP($F58,Lists!$C$72:$R$232,COLUMNS(Lists!$C$69:E$69),0)*VLOOKUP(BE$3,Conversions!$B$12:$E$34,4,0)))</f>
        <v>0</v>
      </c>
      <c r="M58" s="333">
        <f>IF($F58="",0,IF($F58="Weighted Average",$G58*VLOOKUP($D58&amp;" (Install)",Lists!$C$72:$R$232,COLUMNS(Lists!$C$69:F$69),0)*VLOOKUP(BF$3,Conversions!$B$12:$E$34,4,0),$G58*VLOOKUP($F58,Lists!$C$72:$R$232,COLUMNS(Lists!$C$69:F$69),0)*VLOOKUP(BF$3,Conversions!$B$12:$E$34,4,0)))</f>
        <v>0</v>
      </c>
      <c r="N58" s="333">
        <f>IF($F58="",0,IF($F58="Weighted Average",$G58*VLOOKUP($D58&amp;" (Install)",Lists!$C$72:$R$232,COLUMNS(Lists!$C$69:G$69),0)*VLOOKUP(BG$3,Conversions!$B$12:$E$34,4,0),$G58*VLOOKUP($F58,Lists!$C$72:$R$232,COLUMNS(Lists!$C$69:G$69),0)*VLOOKUP(BG$3,Conversions!$B$12:$E$34,4,0)))</f>
        <v>0</v>
      </c>
      <c r="O58" s="333">
        <f>IF($F58="",0,IF($F58="Weighted Average",$G58*VLOOKUP($D58&amp;" (Install)",Lists!$C$72:$R$232,COLUMNS(Lists!$C$69:H$69),0)*VLOOKUP(BH$3,Conversions!$B$12:$E$34,4,0),$G58*VLOOKUP($F58,Lists!$C$72:$R$232,COLUMNS(Lists!$C$69:H$69),0)*VLOOKUP(BH$3,Conversions!$B$12:$E$34,4,0)))</f>
        <v>0</v>
      </c>
      <c r="P58" s="333">
        <f>IF($F58="",0,IF($F58="Weighted Average",$G58*VLOOKUP($D58&amp;" (Install)",Lists!$C$72:$R$232,COLUMNS(Lists!$C$69:I$69),0)*VLOOKUP(BI$3,Conversions!$B$12:$E$34,4,0),$G58*VLOOKUP($F58,Lists!$C$72:$R$232,COLUMNS(Lists!$C$69:I$69),0)*VLOOKUP(BI$3,Conversions!$B$12:$E$34,4,0)))</f>
        <v>0</v>
      </c>
      <c r="Q58" s="333">
        <f>IF($F58="",0,IF($F58="Weighted Average",$G58*VLOOKUP($D58&amp;" (Install)",Lists!$C$72:$R$232,COLUMNS(Lists!$C$69:J$69),0)*VLOOKUP(BJ$3,Conversions!$B$12:$E$34,4,0),$G58*VLOOKUP($F58,Lists!$C$72:$R$232,COLUMNS(Lists!$C$69:J$69),0)*VLOOKUP(BJ$3,Conversions!$B$12:$E$34,4,0)))</f>
        <v>0</v>
      </c>
      <c r="R58" s="333">
        <f>IF($F58="",0,IF($F58="Weighted Average",$G58*VLOOKUP($D58&amp;" (Install)",Lists!$C$72:$R$232,COLUMNS(Lists!$C$69:K$69),0)*VLOOKUP(BK$3,Conversions!$B$12:$E$34,4,0),$G58*VLOOKUP($F58,Lists!$C$72:$R$232,COLUMNS(Lists!$C$69:K$69),0)*VLOOKUP(BK$3,Conversions!$B$12:$E$34,4,0)))</f>
        <v>0</v>
      </c>
      <c r="S58" s="333">
        <f>IF($F58="",0,IF($F58="Weighted Average",$G58*VLOOKUP($D58&amp;" (Install)",Lists!$C$72:$R$232,COLUMNS(Lists!$C$69:L$69),0)*VLOOKUP(BL$3,Conversions!$B$12:$E$34,4,0),$G58*VLOOKUP($F58,Lists!$C$72:$R$232,COLUMNS(Lists!$C$69:L$69),0)*VLOOKUP(BL$3,Conversions!$B$12:$E$34,4,0)))</f>
        <v>0</v>
      </c>
      <c r="T58" s="333">
        <f>IF($F58="",0,IF($F58="Weighted Average",$G58*VLOOKUP($D58&amp;" (Install)",Lists!$C$72:$R$232,COLUMNS(Lists!$C$69:M$69),0)*VLOOKUP(BM$3,Conversions!$B$12:$E$34,4,0),$G58*VLOOKUP($F58,Lists!$C$72:$R$232,COLUMNS(Lists!$C$69:M$69),0)*VLOOKUP(BM$3,Conversions!$B$12:$E$34,4,0)))</f>
        <v>0</v>
      </c>
      <c r="U58" s="333">
        <f>IF($F58="",0,IF($F58="Weighted Average",$G58*VLOOKUP($D58&amp;" (Install)",Lists!$C$72:$R$232,COLUMNS(Lists!$C$69:N$69),0)*VLOOKUP(BN$3,Conversions!$B$12:$E$34,4,0),$G58*VLOOKUP($F58,Lists!$C$72:$R$232,COLUMNS(Lists!$C$69:N$69),0)*VLOOKUP(BN$3,Conversions!$B$12:$E$34,4,0)))</f>
        <v>0</v>
      </c>
      <c r="V58" s="333">
        <f>IF($F58="",0,IF($F58="Weighted Average",$G58*VLOOKUP($D58&amp;" (Install)",Lists!$C$72:$R$232,COLUMNS(Lists!$C$69:O$69),0)*VLOOKUP(BO$3,Conversions!$B$12:$E$34,4,0),$G58*VLOOKUP($F58,Lists!$C$72:$R$232,COLUMNS(Lists!$C$69:O$69),0)*VLOOKUP(BO$3,Conversions!$B$12:$E$34,4,0)))</f>
        <v>0</v>
      </c>
      <c r="W58" s="333">
        <f>IF($F58="",0,IF($F58="Weighted Average",$G58*VLOOKUP($D58&amp;" (Install)",Lists!$C$72:$R$232,COLUMNS(Lists!$C$69:P$69),0)*VLOOKUP(BP$3,Conversions!$B$12:$E$34,4,0),$G58*VLOOKUP($F58,Lists!$C$72:$R$232,COLUMNS(Lists!$C$69:P$69),0)*VLOOKUP(BP$3,Conversions!$B$12:$E$34,4,0)))</f>
        <v>0</v>
      </c>
      <c r="X58" s="333">
        <f>IF($F58="",0,IF($F58="Weighted Average",$G58*VLOOKUP($D58&amp;" (Install)",Lists!$C$72:$R$232,COLUMNS(Lists!$C$69:Q$69),0)*VLOOKUP(BQ$3,Conversions!$B$12:$E$34,4,0),$G58*VLOOKUP($F58,Lists!$C$72:$R$232,COLUMNS(Lists!$C$69:Q$69),0)*VLOOKUP(BQ$3,Conversions!$B$12:$E$34,4,0)))</f>
        <v>0</v>
      </c>
      <c r="Y58" s="333">
        <f>IF($F58="",0,IF($F58="Weighted Average",$G58*VLOOKUP($D58&amp;" (Install)",Lists!$C$72:$R$232,COLUMNS(Lists!$C$69:R$69),0)*VLOOKUP(BR$3,Conversions!$B$12:$E$34,4,0),$G58*VLOOKUP($F58,Lists!$C$72:$R$232,COLUMNS(Lists!$C$69:R$69),0)*VLOOKUP(BR$3,Conversions!$B$12:$E$34,4,0)))</f>
        <v>0</v>
      </c>
      <c r="Z58" s="325">
        <f t="shared" si="59"/>
        <v>0</v>
      </c>
      <c r="AA58" s="334">
        <f>IF($F58="",0,IF($F58="Weighted Average",$H58*VLOOKUP($D58&amp;" (Operation)",Lists!$C$72:$R$232,COLUMNS(Lists!$C$69:E$69),0)*VLOOKUP(BE$3,Conversions!$B$12:$E$34,4,0),$H58*VLOOKUP($F58,Lists!$C$72:$R$232,COLUMNS(Lists!$C$69:E$69),0)*VLOOKUP(BE$3,Conversions!$B$12:$E$34,4,0)))</f>
        <v>0</v>
      </c>
      <c r="AB58" s="334">
        <f>IF($F58="",0,IF($F58="Weighted Average",$H58*VLOOKUP($D58&amp;" (Operation)",Lists!$C$72:$R$232,COLUMNS(Lists!$C$69:F$69),0)*VLOOKUP(BF$3,Conversions!$B$12:$E$34,4,0),$H58*VLOOKUP($F58,Lists!$C$72:$R$232,COLUMNS(Lists!$C$69:F$69),0)*VLOOKUP(BF$3,Conversions!$B$12:$E$34,4,0)))</f>
        <v>0</v>
      </c>
      <c r="AC58" s="334">
        <f>IF($F58="",0,IF($F58="Weighted Average",$H58*VLOOKUP($D58&amp;" (Operation)",Lists!$C$72:$R$232,COLUMNS(Lists!$C$69:G$69),0)*VLOOKUP(BG$3,Conversions!$B$12:$E$34,4,0),$H58*VLOOKUP($F58,Lists!$C$72:$R$232,COLUMNS(Lists!$C$69:G$69),0)*VLOOKUP(BG$3,Conversions!$B$12:$E$34,4,0)))</f>
        <v>0</v>
      </c>
      <c r="AD58" s="334">
        <f>IF($F58="",0,IF($F58="Weighted Average",$H58*VLOOKUP($D58&amp;" (Operation)",Lists!$C$72:$R$232,COLUMNS(Lists!$C$69:H$69),0)*VLOOKUP(BH$3,Conversions!$B$12:$E$34,4,0),$H58*VLOOKUP($F58,Lists!$C$72:$R$232,COLUMNS(Lists!$C$69:H$69),0)*VLOOKUP(BH$3,Conversions!$B$12:$E$34,4,0)))</f>
        <v>0</v>
      </c>
      <c r="AE58" s="334">
        <f>IF($F58="",0,IF($F58="Weighted Average",$H58*VLOOKUP($D58&amp;" (Operation)",Lists!$C$72:$R$232,COLUMNS(Lists!$C$69:I$69),0)*VLOOKUP(BI$3,Conversions!$B$12:$E$34,4,0),$H58*VLOOKUP($F58,Lists!$C$72:$R$232,COLUMNS(Lists!$C$69:I$69),0)*VLOOKUP(BI$3,Conversions!$B$12:$E$34,4,0)))</f>
        <v>0</v>
      </c>
      <c r="AF58" s="334">
        <f>IF($F58="",0,IF($F58="Weighted Average",$H58*VLOOKUP($D58&amp;" (Operation)",Lists!$C$72:$R$232,COLUMNS(Lists!$C$69:J$69),0)*VLOOKUP(BJ$3,Conversions!$B$12:$E$34,4,0),$H58*VLOOKUP($F58,Lists!$C$72:$R$232,COLUMNS(Lists!$C$69:J$69),0)*VLOOKUP(BJ$3,Conversions!$B$12:$E$34,4,0)))</f>
        <v>0</v>
      </c>
      <c r="AG58" s="334">
        <f>IF($F58="",0,IF($F58="Weighted Average",$H58*VLOOKUP($D58&amp;" (Operation)",Lists!$C$72:$R$232,COLUMNS(Lists!$C$69:K$69),0)*VLOOKUP(BK$3,Conversions!$B$12:$E$34,4,0),$H58*VLOOKUP($F58,Lists!$C$72:$R$232,COLUMNS(Lists!$C$69:K$69),0)*VLOOKUP(BK$3,Conversions!$B$12:$E$34,4,0)))</f>
        <v>0</v>
      </c>
      <c r="AH58" s="334">
        <f>IF($F58="",0,IF($F58="Weighted Average",$H58*VLOOKUP($D58&amp;" (Operation)",Lists!$C$72:$R$232,COLUMNS(Lists!$C$69:L$69),0)*VLOOKUP(BL$3,Conversions!$B$12:$E$34,4,0),$H58*VLOOKUP($F58,Lists!$C$72:$R$232,COLUMNS(Lists!$C$69:L$69),0)*VLOOKUP(BL$3,Conversions!$B$12:$E$34,4,0)))</f>
        <v>0</v>
      </c>
      <c r="AI58" s="334">
        <f>IF($F58="",0,IF($F58="Weighted Average",$H58*VLOOKUP($D58&amp;" (Operation)",Lists!$C$72:$R$232,COLUMNS(Lists!$C$69:M$69),0)*VLOOKUP(BM$3,Conversions!$B$12:$E$34,4,0),$H58*VLOOKUP($F58,Lists!$C$72:$R$232,COLUMNS(Lists!$C$69:M$69),0)*VLOOKUP(BM$3,Conversions!$B$12:$E$34,4,0)))</f>
        <v>0</v>
      </c>
      <c r="AJ58" s="334">
        <f>IF($F58="",0,IF($F58="Weighted Average",$H58*VLOOKUP($D58&amp;" (Operation)",Lists!$C$72:$R$232,COLUMNS(Lists!$C$69:N$69),0)*VLOOKUP(BN$3,Conversions!$B$12:$E$34,4,0),$H58*VLOOKUP($F58,Lists!$C$72:$R$232,COLUMNS(Lists!$C$69:N$69),0)*VLOOKUP(BN$3,Conversions!$B$12:$E$34,4,0)))</f>
        <v>0</v>
      </c>
      <c r="AK58" s="334">
        <f>IF($F58="",0,IF($F58="Weighted Average",$H58*VLOOKUP($D58&amp;" (Operation)",Lists!$C$72:$R$232,COLUMNS(Lists!$C$69:O$69),0)*VLOOKUP(BO$3,Conversions!$B$12:$E$34,4,0),$H58*VLOOKUP($F58,Lists!$C$72:$R$232,COLUMNS(Lists!$C$69:O$69),0)*VLOOKUP(BO$3,Conversions!$B$12:$E$34,4,0)))</f>
        <v>0</v>
      </c>
      <c r="AL58" s="334">
        <f>IF($F58="",0,IF($F58="Weighted Average",$H58*VLOOKUP($D58&amp;" (Operation)",Lists!$C$72:$R$232,COLUMNS(Lists!$C$69:P$69),0)*VLOOKUP(BP$3,Conversions!$B$12:$E$34,4,0),$H58*VLOOKUP($F58,Lists!$C$72:$R$232,COLUMNS(Lists!$C$69:P$69),0)*VLOOKUP(BP$3,Conversions!$B$12:$E$34,4,0)))</f>
        <v>0</v>
      </c>
      <c r="AM58" s="334">
        <f>IF($F58="",0,IF($F58="Weighted Average",$H58*VLOOKUP($D58&amp;" (Operation)",Lists!$C$72:$R$232,COLUMNS(Lists!$C$69:Q$69),0)*VLOOKUP(BQ$3,Conversions!$B$12:$E$34,4,0),$H58*VLOOKUP($F58,Lists!$C$72:$R$232,COLUMNS(Lists!$C$69:Q$69),0)*VLOOKUP(BQ$3,Conversions!$B$12:$E$34,4,0)))</f>
        <v>0</v>
      </c>
      <c r="AN58" s="334">
        <f>IF($F58="",0,IF($F58="Weighted Average",$H58*VLOOKUP($D58&amp;" (Operation)",Lists!$C$72:$R$232,COLUMNS(Lists!$C$69:R$69),0)*VLOOKUP(BR$3,Conversions!$B$12:$E$34,4,0),$H58*VLOOKUP($F58,Lists!$C$72:$R$232,COLUMNS(Lists!$C$69:R$69),0)*VLOOKUP(BR$3,Conversions!$B$12:$E$34,4,0)))</f>
        <v>0</v>
      </c>
      <c r="AO58" s="330">
        <f t="shared" si="60"/>
        <v>0</v>
      </c>
      <c r="AP58" s="333">
        <f>IF($F58="",0,IF($F58="Weighted Average",$I58*VLOOKUP($D58&amp;" (Disposal)",Lists!$C$72:$R$232,COLUMNS(Lists!$C$69:E$69),0)*VLOOKUP(BE$3,Conversions!$B$12:$E$34,4,0),$I58*VLOOKUP($F58,Lists!$C$72:$R$232,COLUMNS(Lists!$C$69:E$69),0)*VLOOKUP(BE$3,Conversions!$B$12:$E$34,4,0)))</f>
        <v>0</v>
      </c>
      <c r="AQ58" s="333">
        <f>IF($F58="",0,IF($F58="Weighted Average",$I58*VLOOKUP($D58&amp;" (Disposal)",Lists!$C$72:$R$232,COLUMNS(Lists!$C$69:F$69),0)*VLOOKUP(BF$3,Conversions!$B$12:$E$34,4,0),$I58*VLOOKUP($F58,Lists!$C$72:$R$232,COLUMNS(Lists!$C$69:F$69),0)*VLOOKUP(BF$3,Conversions!$B$12:$E$34,4,0)))</f>
        <v>0</v>
      </c>
      <c r="AR58" s="333">
        <f>IF($F58="",0,IF($F58="Weighted Average",$I58*VLOOKUP($D58&amp;" (Disposal)",Lists!$C$72:$R$232,COLUMNS(Lists!$C$69:G$69),0)*VLOOKUP(BG$3,Conversions!$B$12:$E$34,4,0),$I58*VLOOKUP($F58,Lists!$C$72:$R$232,COLUMNS(Lists!$C$69:G$69),0)*VLOOKUP(BG$3,Conversions!$B$12:$E$34,4,0)))</f>
        <v>0</v>
      </c>
      <c r="AS58" s="333">
        <f>IF($F58="",0,IF($F58="Weighted Average",$I58*VLOOKUP($D58&amp;" (Disposal)",Lists!$C$72:$R$232,COLUMNS(Lists!$C$69:H$69),0)*VLOOKUP(BH$3,Conversions!$B$12:$E$34,4,0),$I58*VLOOKUP($F58,Lists!$C$72:$R$232,COLUMNS(Lists!$C$69:H$69),0)*VLOOKUP(BH$3,Conversions!$B$12:$E$34,4,0)))</f>
        <v>0</v>
      </c>
      <c r="AT58" s="333">
        <f>IF($F58="",0,IF($F58="Weighted Average",$I58*VLOOKUP($D58&amp;" (Disposal)",Lists!$C$72:$R$232,COLUMNS(Lists!$C$69:I$69),0)*VLOOKUP(BI$3,Conversions!$B$12:$E$34,4,0),$I58*VLOOKUP($F58,Lists!$C$72:$R$232,COLUMNS(Lists!$C$69:I$69),0)*VLOOKUP(BI$3,Conversions!$B$12:$E$34,4,0)))</f>
        <v>0</v>
      </c>
      <c r="AU58" s="333">
        <f>IF($F58="",0,IF($F58="Weighted Average",$I58*VLOOKUP($D58&amp;" (Disposal)",Lists!$C$72:$R$232,COLUMNS(Lists!$C$69:J$69),0)*VLOOKUP(BJ$3,Conversions!$B$12:$E$34,4,0),$I58*VLOOKUP($F58,Lists!$C$72:$R$232,COLUMNS(Lists!$C$69:J$69),0)*VLOOKUP(BJ$3,Conversions!$B$12:$E$34,4,0)))</f>
        <v>0</v>
      </c>
      <c r="AV58" s="333">
        <f>IF($F58="",0,IF($F58="Weighted Average",$I58*VLOOKUP($D58&amp;" (Disposal)",Lists!$C$72:$R$232,COLUMNS(Lists!$C$69:K$69),0)*VLOOKUP(BK$3,Conversions!$B$12:$E$34,4,0),$I58*VLOOKUP($F58,Lists!$C$72:$R$232,COLUMNS(Lists!$C$69:K$69),0)*VLOOKUP(BK$3,Conversions!$B$12:$E$34,4,0)))</f>
        <v>0</v>
      </c>
      <c r="AW58" s="333">
        <f>IF($F58="",0,IF($F58="Weighted Average",$I58*VLOOKUP($D58&amp;" (Disposal)",Lists!$C$72:$R$232,COLUMNS(Lists!$C$69:L$69),0)*VLOOKUP(BL$3,Conversions!$B$12:$E$34,4,0),$I58*VLOOKUP($F58,Lists!$C$72:$R$232,COLUMNS(Lists!$C$69:L$69),0)*VLOOKUP(BL$3,Conversions!$B$12:$E$34,4,0)))</f>
        <v>0</v>
      </c>
      <c r="AX58" s="333">
        <f>IF($F58="",0,IF($F58="Weighted Average",$I58*VLOOKUP($D58&amp;" (Disposal)",Lists!$C$72:$R$232,COLUMNS(Lists!$C$69:M$69),0)*VLOOKUP(BM$3,Conversions!$B$12:$E$34,4,0),$I58*VLOOKUP($F58,Lists!$C$72:$R$232,COLUMNS(Lists!$C$69:M$69),0)*VLOOKUP(BM$3,Conversions!$B$12:$E$34,4,0)))</f>
        <v>0</v>
      </c>
      <c r="AY58" s="333">
        <f>IF($F58="",0,IF($F58="Weighted Average",$I58*VLOOKUP($D58&amp;" (Disposal)",Lists!$C$72:$R$232,COLUMNS(Lists!$C$69:N$69),0)*VLOOKUP(BN$3,Conversions!$B$12:$E$34,4,0),$I58*VLOOKUP($F58,Lists!$C$72:$R$232,COLUMNS(Lists!$C$69:N$69),0)*VLOOKUP(BN$3,Conversions!$B$12:$E$34,4,0)))</f>
        <v>0</v>
      </c>
      <c r="AZ58" s="333">
        <f>IF($F58="",0,IF($F58="Weighted Average",$I58*VLOOKUP($D58&amp;" (Disposal)",Lists!$C$72:$R$232,COLUMNS(Lists!$C$69:O$69),0)*VLOOKUP(BO$3,Conversions!$B$12:$E$34,4,0),$I58*VLOOKUP($F58,Lists!$C$72:$R$232,COLUMNS(Lists!$C$69:O$69),0)*VLOOKUP(BO$3,Conversions!$B$12:$E$34,4,0)))</f>
        <v>0</v>
      </c>
      <c r="BA58" s="333">
        <f>IF($F58="",0,IF($F58="Weighted Average",$I58*VLOOKUP($D58&amp;" (Disposal)",Lists!$C$72:$R$232,COLUMNS(Lists!$C$69:P$69),0)*VLOOKUP(BP$3,Conversions!$B$12:$E$34,4,0),$I58*VLOOKUP($F58,Lists!$C$72:$R$232,COLUMNS(Lists!$C$69:P$69),0)*VLOOKUP(BP$3,Conversions!$B$12:$E$34,4,0)))</f>
        <v>0</v>
      </c>
      <c r="BB58" s="333">
        <f>IF($F58="",0,IF($F58="Weighted Average",$I58*VLOOKUP($D58&amp;" (Disposal)",Lists!$C$72:$R$232,COLUMNS(Lists!$C$69:Q$69),0)*VLOOKUP(BQ$3,Conversions!$B$12:$E$34,4,0),$I58*VLOOKUP($F58,Lists!$C$72:$R$232,COLUMNS(Lists!$C$69:Q$69),0)*VLOOKUP(BQ$3,Conversions!$B$12:$E$34,4,0)))</f>
        <v>0</v>
      </c>
      <c r="BC58" s="333">
        <f>IF($F58="",0,IF($F58="Weighted Average",$I58*VLOOKUP($D58&amp;" (Disposal)",Lists!$C$72:$R$232,COLUMNS(Lists!$C$69:R$69),0)*VLOOKUP(BR$3,Conversions!$B$12:$E$34,4,0),$I58*VLOOKUP($F58,Lists!$C$72:$R$232,COLUMNS(Lists!$C$69:R$69),0)*VLOOKUP(BR$3,Conversions!$B$12:$E$34,4,0)))</f>
        <v>0</v>
      </c>
      <c r="BD58" s="333">
        <f t="shared" si="61"/>
        <v>0</v>
      </c>
      <c r="BE58" s="330">
        <f t="shared" si="62"/>
        <v>0</v>
      </c>
      <c r="BF58" s="330">
        <f t="shared" si="63"/>
        <v>0</v>
      </c>
      <c r="BG58" s="330">
        <f t="shared" si="64"/>
        <v>0</v>
      </c>
      <c r="BH58" s="330">
        <f t="shared" si="65"/>
        <v>0</v>
      </c>
      <c r="BI58" s="330">
        <f t="shared" si="66"/>
        <v>0</v>
      </c>
      <c r="BJ58" s="330">
        <f t="shared" si="67"/>
        <v>0</v>
      </c>
      <c r="BK58" s="330">
        <f t="shared" si="68"/>
        <v>0</v>
      </c>
      <c r="BL58" s="330">
        <f t="shared" si="69"/>
        <v>0</v>
      </c>
      <c r="BM58" s="330">
        <f t="shared" si="70"/>
        <v>0</v>
      </c>
      <c r="BN58" s="330">
        <f t="shared" si="71"/>
        <v>0</v>
      </c>
      <c r="BO58" s="330">
        <f t="shared" si="72"/>
        <v>0</v>
      </c>
      <c r="BP58" s="330">
        <f t="shared" si="73"/>
        <v>0</v>
      </c>
      <c r="BQ58" s="330">
        <f t="shared" si="74"/>
        <v>0</v>
      </c>
      <c r="BR58" s="330">
        <f t="shared" si="75"/>
        <v>0</v>
      </c>
      <c r="BS58" s="330">
        <f t="shared" si="76"/>
        <v>0</v>
      </c>
      <c r="BT58" s="329">
        <f t="shared" si="77"/>
        <v>0</v>
      </c>
      <c r="BU58" s="329">
        <f t="shared" si="77"/>
        <v>0</v>
      </c>
      <c r="BV58" s="329">
        <f t="shared" si="77"/>
        <v>0</v>
      </c>
      <c r="BW58" s="329">
        <f t="shared" si="77"/>
        <v>0</v>
      </c>
      <c r="BX58" s="329">
        <f t="shared" si="77"/>
        <v>0</v>
      </c>
      <c r="BY58" s="329">
        <f t="shared" si="77"/>
        <v>0</v>
      </c>
      <c r="BZ58" s="329">
        <f t="shared" si="77"/>
        <v>0</v>
      </c>
      <c r="CA58" s="329">
        <f t="shared" si="77"/>
        <v>0</v>
      </c>
      <c r="CB58" s="329">
        <f t="shared" si="77"/>
        <v>0</v>
      </c>
      <c r="CC58" s="329">
        <f t="shared" si="77"/>
        <v>0</v>
      </c>
      <c r="CD58" s="329">
        <f t="shared" si="77"/>
        <v>0</v>
      </c>
      <c r="CE58" s="329">
        <f t="shared" si="77"/>
        <v>0</v>
      </c>
      <c r="CF58" s="329">
        <f t="shared" si="77"/>
        <v>0</v>
      </c>
      <c r="CG58" s="329">
        <f t="shared" si="77"/>
        <v>0</v>
      </c>
      <c r="CH58" s="329">
        <f t="shared" si="77"/>
        <v>0</v>
      </c>
      <c r="CI58" s="329">
        <f t="shared" si="77"/>
        <v>0</v>
      </c>
      <c r="CJ58" s="331">
        <f t="shared" si="78"/>
        <v>0</v>
      </c>
      <c r="CK58" s="330">
        <f t="shared" si="79"/>
        <v>0</v>
      </c>
      <c r="CL58" s="330">
        <f t="shared" si="80"/>
        <v>0</v>
      </c>
      <c r="CM58" s="330">
        <f t="shared" si="81"/>
        <v>0</v>
      </c>
      <c r="CN58" s="330">
        <f t="shared" si="82"/>
        <v>0</v>
      </c>
      <c r="CO58" s="330">
        <f t="shared" si="83"/>
        <v>0</v>
      </c>
      <c r="CP58" s="330">
        <f t="shared" si="84"/>
        <v>0</v>
      </c>
      <c r="CQ58" s="330">
        <f t="shared" si="11"/>
        <v>0</v>
      </c>
      <c r="CR58" s="330">
        <f t="shared" si="85"/>
        <v>0</v>
      </c>
      <c r="CS58" s="330">
        <f t="shared" si="86"/>
        <v>0</v>
      </c>
      <c r="CT58" s="330">
        <f t="shared" si="87"/>
        <v>0</v>
      </c>
      <c r="CU58" s="330">
        <f t="shared" si="88"/>
        <v>0</v>
      </c>
      <c r="CV58" s="330">
        <f t="shared" si="88"/>
        <v>0</v>
      </c>
      <c r="CW58" s="330">
        <f t="shared" si="88"/>
        <v>0</v>
      </c>
      <c r="CX58" s="330">
        <f t="shared" si="88"/>
        <v>0</v>
      </c>
      <c r="CY58" s="330">
        <f t="shared" si="88"/>
        <v>0</v>
      </c>
      <c r="CZ58" s="330">
        <f t="shared" si="88"/>
        <v>0</v>
      </c>
      <c r="DA58" s="330">
        <f t="shared" si="88"/>
        <v>0</v>
      </c>
      <c r="DB58" s="330">
        <f t="shared" si="88"/>
        <v>0</v>
      </c>
      <c r="DC58" s="330">
        <f t="shared" si="88"/>
        <v>0</v>
      </c>
      <c r="DD58" s="330">
        <f t="shared" si="88"/>
        <v>0</v>
      </c>
      <c r="DE58" s="330">
        <f t="shared" si="89"/>
        <v>0</v>
      </c>
      <c r="DF58" s="330">
        <f t="shared" si="89"/>
        <v>0</v>
      </c>
      <c r="DG58" s="330">
        <f t="shared" si="89"/>
        <v>0</v>
      </c>
      <c r="DH58" s="330">
        <f t="shared" si="89"/>
        <v>0</v>
      </c>
      <c r="DI58" s="330">
        <f t="shared" si="89"/>
        <v>0</v>
      </c>
      <c r="DJ58" s="330">
        <f t="shared" si="89"/>
        <v>0</v>
      </c>
      <c r="DK58" s="330">
        <f t="shared" si="89"/>
        <v>0</v>
      </c>
      <c r="DL58" s="330">
        <f t="shared" si="89"/>
        <v>0</v>
      </c>
      <c r="DM58" s="330">
        <f t="shared" si="89"/>
        <v>0</v>
      </c>
      <c r="DN58" s="330">
        <f t="shared" si="89"/>
        <v>0</v>
      </c>
      <c r="DO58" s="330">
        <f t="shared" si="89"/>
        <v>0</v>
      </c>
      <c r="DP58" s="330">
        <f t="shared" si="90"/>
        <v>0</v>
      </c>
      <c r="DQ58" s="217"/>
      <c r="DR58" s="217"/>
      <c r="DS58" s="217"/>
      <c r="DT58" s="217"/>
    </row>
    <row r="59" spans="1:124" x14ac:dyDescent="0.3">
      <c r="A59" s="332"/>
      <c r="B59" s="221" t="s">
        <v>304</v>
      </c>
      <c r="C59" s="221" t="str">
        <f>IF('Simplified Material Balance'!C29=0,"",'Simplified Material Balance'!C29)</f>
        <v/>
      </c>
      <c r="D59" s="221" t="str">
        <f>IF('Simplified Material Balance'!D29=0,"",'Simplified Material Balance'!D29)</f>
        <v/>
      </c>
      <c r="E59" s="221" t="str">
        <f>IF('Simplified Material Balance'!E29=0,"",'Simplified Material Balance'!E29)</f>
        <v/>
      </c>
      <c r="F59" s="221" t="str">
        <f>IF('Simplified Material Balance'!F29=0,"",'Simplified Material Balance'!F29)</f>
        <v/>
      </c>
      <c r="G59" s="272">
        <f>IF('Simplified Material Balance'!H29&gt;'Simplified Material Balance'!G29,0,('Simplified Material Balance'!G29-'Simplified Material Balance'!H29)*Conversions!$C$4)</f>
        <v>0</v>
      </c>
      <c r="H59" s="272">
        <f>'Simplified Material Balance'!I29*Conversions!$C$4</f>
        <v>0</v>
      </c>
      <c r="I59" s="272">
        <f>('Simplified Material Balance'!J29-'Simplified Material Balance'!K29)*Conversions!$C$4</f>
        <v>0</v>
      </c>
      <c r="J59" s="325">
        <f>IF('Simplified Material Balance'!L29=0,0,'Simplified Material Balance'!L29)</f>
        <v>0</v>
      </c>
      <c r="K59" s="465"/>
      <c r="L59" s="333">
        <f>IF($F59="",0,IF($F59="Weighted Average",$G59*VLOOKUP($D59&amp;" (Install)",Lists!$C$72:$R$232,COLUMNS(Lists!$C$69:E$69),0)*VLOOKUP(BE$3,Conversions!$B$12:$E$34,4,0),$G59*VLOOKUP($F59,Lists!$C$72:$R$232,COLUMNS(Lists!$C$69:E$69),0)*VLOOKUP(BE$3,Conversions!$B$12:$E$34,4,0)))</f>
        <v>0</v>
      </c>
      <c r="M59" s="333">
        <f>IF($F59="",0,IF($F59="Weighted Average",$G59*VLOOKUP($D59&amp;" (Install)",Lists!$C$72:$R$232,COLUMNS(Lists!$C$69:F$69),0)*VLOOKUP(BF$3,Conversions!$B$12:$E$34,4,0),$G59*VLOOKUP($F59,Lists!$C$72:$R$232,COLUMNS(Lists!$C$69:F$69),0)*VLOOKUP(BF$3,Conversions!$B$12:$E$34,4,0)))</f>
        <v>0</v>
      </c>
      <c r="N59" s="333">
        <f>IF($F59="",0,IF($F59="Weighted Average",$G59*VLOOKUP($D59&amp;" (Install)",Lists!$C$72:$R$232,COLUMNS(Lists!$C$69:G$69),0)*VLOOKUP(BG$3,Conversions!$B$12:$E$34,4,0),$G59*VLOOKUP($F59,Lists!$C$72:$R$232,COLUMNS(Lists!$C$69:G$69),0)*VLOOKUP(BG$3,Conversions!$B$12:$E$34,4,0)))</f>
        <v>0</v>
      </c>
      <c r="O59" s="333">
        <f>IF($F59="",0,IF($F59="Weighted Average",$G59*VLOOKUP($D59&amp;" (Install)",Lists!$C$72:$R$232,COLUMNS(Lists!$C$69:H$69),0)*VLOOKUP(BH$3,Conversions!$B$12:$E$34,4,0),$G59*VLOOKUP($F59,Lists!$C$72:$R$232,COLUMNS(Lists!$C$69:H$69),0)*VLOOKUP(BH$3,Conversions!$B$12:$E$34,4,0)))</f>
        <v>0</v>
      </c>
      <c r="P59" s="333">
        <f>IF($F59="",0,IF($F59="Weighted Average",$G59*VLOOKUP($D59&amp;" (Install)",Lists!$C$72:$R$232,COLUMNS(Lists!$C$69:I$69),0)*VLOOKUP(BI$3,Conversions!$B$12:$E$34,4,0),$G59*VLOOKUP($F59,Lists!$C$72:$R$232,COLUMNS(Lists!$C$69:I$69),0)*VLOOKUP(BI$3,Conversions!$B$12:$E$34,4,0)))</f>
        <v>0</v>
      </c>
      <c r="Q59" s="333">
        <f>IF($F59="",0,IF($F59="Weighted Average",$G59*VLOOKUP($D59&amp;" (Install)",Lists!$C$72:$R$232,COLUMNS(Lists!$C$69:J$69),0)*VLOOKUP(BJ$3,Conversions!$B$12:$E$34,4,0),$G59*VLOOKUP($F59,Lists!$C$72:$R$232,COLUMNS(Lists!$C$69:J$69),0)*VLOOKUP(BJ$3,Conversions!$B$12:$E$34,4,0)))</f>
        <v>0</v>
      </c>
      <c r="R59" s="333">
        <f>IF($F59="",0,IF($F59="Weighted Average",$G59*VLOOKUP($D59&amp;" (Install)",Lists!$C$72:$R$232,COLUMNS(Lists!$C$69:K$69),0)*VLOOKUP(BK$3,Conversions!$B$12:$E$34,4,0),$G59*VLOOKUP($F59,Lists!$C$72:$R$232,COLUMNS(Lists!$C$69:K$69),0)*VLOOKUP(BK$3,Conversions!$B$12:$E$34,4,0)))</f>
        <v>0</v>
      </c>
      <c r="S59" s="333">
        <f>IF($F59="",0,IF($F59="Weighted Average",$G59*VLOOKUP($D59&amp;" (Install)",Lists!$C$72:$R$232,COLUMNS(Lists!$C$69:L$69),0)*VLOOKUP(BL$3,Conversions!$B$12:$E$34,4,0),$G59*VLOOKUP($F59,Lists!$C$72:$R$232,COLUMNS(Lists!$C$69:L$69),0)*VLOOKUP(BL$3,Conversions!$B$12:$E$34,4,0)))</f>
        <v>0</v>
      </c>
      <c r="T59" s="333">
        <f>IF($F59="",0,IF($F59="Weighted Average",$G59*VLOOKUP($D59&amp;" (Install)",Lists!$C$72:$R$232,COLUMNS(Lists!$C$69:M$69),0)*VLOOKUP(BM$3,Conversions!$B$12:$E$34,4,0),$G59*VLOOKUP($F59,Lists!$C$72:$R$232,COLUMNS(Lists!$C$69:M$69),0)*VLOOKUP(BM$3,Conversions!$B$12:$E$34,4,0)))</f>
        <v>0</v>
      </c>
      <c r="U59" s="333">
        <f>IF($F59="",0,IF($F59="Weighted Average",$G59*VLOOKUP($D59&amp;" (Install)",Lists!$C$72:$R$232,COLUMNS(Lists!$C$69:N$69),0)*VLOOKUP(BN$3,Conversions!$B$12:$E$34,4,0),$G59*VLOOKUP($F59,Lists!$C$72:$R$232,COLUMNS(Lists!$C$69:N$69),0)*VLOOKUP(BN$3,Conversions!$B$12:$E$34,4,0)))</f>
        <v>0</v>
      </c>
      <c r="V59" s="333">
        <f>IF($F59="",0,IF($F59="Weighted Average",$G59*VLOOKUP($D59&amp;" (Install)",Lists!$C$72:$R$232,COLUMNS(Lists!$C$69:O$69),0)*VLOOKUP(BO$3,Conversions!$B$12:$E$34,4,0),$G59*VLOOKUP($F59,Lists!$C$72:$R$232,COLUMNS(Lists!$C$69:O$69),0)*VLOOKUP(BO$3,Conversions!$B$12:$E$34,4,0)))</f>
        <v>0</v>
      </c>
      <c r="W59" s="333">
        <f>IF($F59="",0,IF($F59="Weighted Average",$G59*VLOOKUP($D59&amp;" (Install)",Lists!$C$72:$R$232,COLUMNS(Lists!$C$69:P$69),0)*VLOOKUP(BP$3,Conversions!$B$12:$E$34,4,0),$G59*VLOOKUP($F59,Lists!$C$72:$R$232,COLUMNS(Lists!$C$69:P$69),0)*VLOOKUP(BP$3,Conversions!$B$12:$E$34,4,0)))</f>
        <v>0</v>
      </c>
      <c r="X59" s="333">
        <f>IF($F59="",0,IF($F59="Weighted Average",$G59*VLOOKUP($D59&amp;" (Install)",Lists!$C$72:$R$232,COLUMNS(Lists!$C$69:Q$69),0)*VLOOKUP(BQ$3,Conversions!$B$12:$E$34,4,0),$G59*VLOOKUP($F59,Lists!$C$72:$R$232,COLUMNS(Lists!$C$69:Q$69),0)*VLOOKUP(BQ$3,Conversions!$B$12:$E$34,4,0)))</f>
        <v>0</v>
      </c>
      <c r="Y59" s="333">
        <f>IF($F59="",0,IF($F59="Weighted Average",$G59*VLOOKUP($D59&amp;" (Install)",Lists!$C$72:$R$232,COLUMNS(Lists!$C$69:R$69),0)*VLOOKUP(BR$3,Conversions!$B$12:$E$34,4,0),$G59*VLOOKUP($F59,Lists!$C$72:$R$232,COLUMNS(Lists!$C$69:R$69),0)*VLOOKUP(BR$3,Conversions!$B$12:$E$34,4,0)))</f>
        <v>0</v>
      </c>
      <c r="Z59" s="325">
        <f t="shared" si="59"/>
        <v>0</v>
      </c>
      <c r="AA59" s="334">
        <f>IF($F59="",0,IF($F59="Weighted Average",$H59*VLOOKUP($D59&amp;" (Operation)",Lists!$C$72:$R$232,COLUMNS(Lists!$C$69:E$69),0)*VLOOKUP(BE$3,Conversions!$B$12:$E$34,4,0),$H59*VLOOKUP($F59,Lists!$C$72:$R$232,COLUMNS(Lists!$C$69:E$69),0)*VLOOKUP(BE$3,Conversions!$B$12:$E$34,4,0)))</f>
        <v>0</v>
      </c>
      <c r="AB59" s="334">
        <f>IF($F59="",0,IF($F59="Weighted Average",$H59*VLOOKUP($D59&amp;" (Operation)",Lists!$C$72:$R$232,COLUMNS(Lists!$C$69:F$69),0)*VLOOKUP(BF$3,Conversions!$B$12:$E$34,4,0),$H59*VLOOKUP($F59,Lists!$C$72:$R$232,COLUMNS(Lists!$C$69:F$69),0)*VLOOKUP(BF$3,Conversions!$B$12:$E$34,4,0)))</f>
        <v>0</v>
      </c>
      <c r="AC59" s="334">
        <f>IF($F59="",0,IF($F59="Weighted Average",$H59*VLOOKUP($D59&amp;" (Operation)",Lists!$C$72:$R$232,COLUMNS(Lists!$C$69:G$69),0)*VLOOKUP(BG$3,Conversions!$B$12:$E$34,4,0),$H59*VLOOKUP($F59,Lists!$C$72:$R$232,COLUMNS(Lists!$C$69:G$69),0)*VLOOKUP(BG$3,Conversions!$B$12:$E$34,4,0)))</f>
        <v>0</v>
      </c>
      <c r="AD59" s="334">
        <f>IF($F59="",0,IF($F59="Weighted Average",$H59*VLOOKUP($D59&amp;" (Operation)",Lists!$C$72:$R$232,COLUMNS(Lists!$C$69:H$69),0)*VLOOKUP(BH$3,Conversions!$B$12:$E$34,4,0),$H59*VLOOKUP($F59,Lists!$C$72:$R$232,COLUMNS(Lists!$C$69:H$69),0)*VLOOKUP(BH$3,Conversions!$B$12:$E$34,4,0)))</f>
        <v>0</v>
      </c>
      <c r="AE59" s="334">
        <f>IF($F59="",0,IF($F59="Weighted Average",$H59*VLOOKUP($D59&amp;" (Operation)",Lists!$C$72:$R$232,COLUMNS(Lists!$C$69:I$69),0)*VLOOKUP(BI$3,Conversions!$B$12:$E$34,4,0),$H59*VLOOKUP($F59,Lists!$C$72:$R$232,COLUMNS(Lists!$C$69:I$69),0)*VLOOKUP(BI$3,Conversions!$B$12:$E$34,4,0)))</f>
        <v>0</v>
      </c>
      <c r="AF59" s="334">
        <f>IF($F59="",0,IF($F59="Weighted Average",$H59*VLOOKUP($D59&amp;" (Operation)",Lists!$C$72:$R$232,COLUMNS(Lists!$C$69:J$69),0)*VLOOKUP(BJ$3,Conversions!$B$12:$E$34,4,0),$H59*VLOOKUP($F59,Lists!$C$72:$R$232,COLUMNS(Lists!$C$69:J$69),0)*VLOOKUP(BJ$3,Conversions!$B$12:$E$34,4,0)))</f>
        <v>0</v>
      </c>
      <c r="AG59" s="334">
        <f>IF($F59="",0,IF($F59="Weighted Average",$H59*VLOOKUP($D59&amp;" (Operation)",Lists!$C$72:$R$232,COLUMNS(Lists!$C$69:K$69),0)*VLOOKUP(BK$3,Conversions!$B$12:$E$34,4,0),$H59*VLOOKUP($F59,Lists!$C$72:$R$232,COLUMNS(Lists!$C$69:K$69),0)*VLOOKUP(BK$3,Conversions!$B$12:$E$34,4,0)))</f>
        <v>0</v>
      </c>
      <c r="AH59" s="334">
        <f>IF($F59="",0,IF($F59="Weighted Average",$H59*VLOOKUP($D59&amp;" (Operation)",Lists!$C$72:$R$232,COLUMNS(Lists!$C$69:L$69),0)*VLOOKUP(BL$3,Conversions!$B$12:$E$34,4,0),$H59*VLOOKUP($F59,Lists!$C$72:$R$232,COLUMNS(Lists!$C$69:L$69),0)*VLOOKUP(BL$3,Conversions!$B$12:$E$34,4,0)))</f>
        <v>0</v>
      </c>
      <c r="AI59" s="334">
        <f>IF($F59="",0,IF($F59="Weighted Average",$H59*VLOOKUP($D59&amp;" (Operation)",Lists!$C$72:$R$232,COLUMNS(Lists!$C$69:M$69),0)*VLOOKUP(BM$3,Conversions!$B$12:$E$34,4,0),$H59*VLOOKUP($F59,Lists!$C$72:$R$232,COLUMNS(Lists!$C$69:M$69),0)*VLOOKUP(BM$3,Conversions!$B$12:$E$34,4,0)))</f>
        <v>0</v>
      </c>
      <c r="AJ59" s="334">
        <f>IF($F59="",0,IF($F59="Weighted Average",$H59*VLOOKUP($D59&amp;" (Operation)",Lists!$C$72:$R$232,COLUMNS(Lists!$C$69:N$69),0)*VLOOKUP(BN$3,Conversions!$B$12:$E$34,4,0),$H59*VLOOKUP($F59,Lists!$C$72:$R$232,COLUMNS(Lists!$C$69:N$69),0)*VLOOKUP(BN$3,Conversions!$B$12:$E$34,4,0)))</f>
        <v>0</v>
      </c>
      <c r="AK59" s="334">
        <f>IF($F59="",0,IF($F59="Weighted Average",$H59*VLOOKUP($D59&amp;" (Operation)",Lists!$C$72:$R$232,COLUMNS(Lists!$C$69:O$69),0)*VLOOKUP(BO$3,Conversions!$B$12:$E$34,4,0),$H59*VLOOKUP($F59,Lists!$C$72:$R$232,COLUMNS(Lists!$C$69:O$69),0)*VLOOKUP(BO$3,Conversions!$B$12:$E$34,4,0)))</f>
        <v>0</v>
      </c>
      <c r="AL59" s="334">
        <f>IF($F59="",0,IF($F59="Weighted Average",$H59*VLOOKUP($D59&amp;" (Operation)",Lists!$C$72:$R$232,COLUMNS(Lists!$C$69:P$69),0)*VLOOKUP(BP$3,Conversions!$B$12:$E$34,4,0),$H59*VLOOKUP($F59,Lists!$C$72:$R$232,COLUMNS(Lists!$C$69:P$69),0)*VLOOKUP(BP$3,Conversions!$B$12:$E$34,4,0)))</f>
        <v>0</v>
      </c>
      <c r="AM59" s="334">
        <f>IF($F59="",0,IF($F59="Weighted Average",$H59*VLOOKUP($D59&amp;" (Operation)",Lists!$C$72:$R$232,COLUMNS(Lists!$C$69:Q$69),0)*VLOOKUP(BQ$3,Conversions!$B$12:$E$34,4,0),$H59*VLOOKUP($F59,Lists!$C$72:$R$232,COLUMNS(Lists!$C$69:Q$69),0)*VLOOKUP(BQ$3,Conversions!$B$12:$E$34,4,0)))</f>
        <v>0</v>
      </c>
      <c r="AN59" s="334">
        <f>IF($F59="",0,IF($F59="Weighted Average",$H59*VLOOKUP($D59&amp;" (Operation)",Lists!$C$72:$R$232,COLUMNS(Lists!$C$69:R$69),0)*VLOOKUP(BR$3,Conversions!$B$12:$E$34,4,0),$H59*VLOOKUP($F59,Lists!$C$72:$R$232,COLUMNS(Lists!$C$69:R$69),0)*VLOOKUP(BR$3,Conversions!$B$12:$E$34,4,0)))</f>
        <v>0</v>
      </c>
      <c r="AO59" s="330">
        <f t="shared" si="60"/>
        <v>0</v>
      </c>
      <c r="AP59" s="333">
        <f>IF($F59="",0,IF($F59="Weighted Average",$I59*VLOOKUP($D59&amp;" (Disposal)",Lists!$C$72:$R$232,COLUMNS(Lists!$C$69:E$69),0)*VLOOKUP(BE$3,Conversions!$B$12:$E$34,4,0),$I59*VLOOKUP($F59,Lists!$C$72:$R$232,COLUMNS(Lists!$C$69:E$69),0)*VLOOKUP(BE$3,Conversions!$B$12:$E$34,4,0)))</f>
        <v>0</v>
      </c>
      <c r="AQ59" s="333">
        <f>IF($F59="",0,IF($F59="Weighted Average",$I59*VLOOKUP($D59&amp;" (Disposal)",Lists!$C$72:$R$232,COLUMNS(Lists!$C$69:F$69),0)*VLOOKUP(BF$3,Conversions!$B$12:$E$34,4,0),$I59*VLOOKUP($F59,Lists!$C$72:$R$232,COLUMNS(Lists!$C$69:F$69),0)*VLOOKUP(BF$3,Conversions!$B$12:$E$34,4,0)))</f>
        <v>0</v>
      </c>
      <c r="AR59" s="333">
        <f>IF($F59="",0,IF($F59="Weighted Average",$I59*VLOOKUP($D59&amp;" (Disposal)",Lists!$C$72:$R$232,COLUMNS(Lists!$C$69:G$69),0)*VLOOKUP(BG$3,Conversions!$B$12:$E$34,4,0),$I59*VLOOKUP($F59,Lists!$C$72:$R$232,COLUMNS(Lists!$C$69:G$69),0)*VLOOKUP(BG$3,Conversions!$B$12:$E$34,4,0)))</f>
        <v>0</v>
      </c>
      <c r="AS59" s="333">
        <f>IF($F59="",0,IF($F59="Weighted Average",$I59*VLOOKUP($D59&amp;" (Disposal)",Lists!$C$72:$R$232,COLUMNS(Lists!$C$69:H$69),0)*VLOOKUP(BH$3,Conversions!$B$12:$E$34,4,0),$I59*VLOOKUP($F59,Lists!$C$72:$R$232,COLUMNS(Lists!$C$69:H$69),0)*VLOOKUP(BH$3,Conversions!$B$12:$E$34,4,0)))</f>
        <v>0</v>
      </c>
      <c r="AT59" s="333">
        <f>IF($F59="",0,IF($F59="Weighted Average",$I59*VLOOKUP($D59&amp;" (Disposal)",Lists!$C$72:$R$232,COLUMNS(Lists!$C$69:I$69),0)*VLOOKUP(BI$3,Conversions!$B$12:$E$34,4,0),$I59*VLOOKUP($F59,Lists!$C$72:$R$232,COLUMNS(Lists!$C$69:I$69),0)*VLOOKUP(BI$3,Conversions!$B$12:$E$34,4,0)))</f>
        <v>0</v>
      </c>
      <c r="AU59" s="333">
        <f>IF($F59="",0,IF($F59="Weighted Average",$I59*VLOOKUP($D59&amp;" (Disposal)",Lists!$C$72:$R$232,COLUMNS(Lists!$C$69:J$69),0)*VLOOKUP(BJ$3,Conversions!$B$12:$E$34,4,0),$I59*VLOOKUP($F59,Lists!$C$72:$R$232,COLUMNS(Lists!$C$69:J$69),0)*VLOOKUP(BJ$3,Conversions!$B$12:$E$34,4,0)))</f>
        <v>0</v>
      </c>
      <c r="AV59" s="333">
        <f>IF($F59="",0,IF($F59="Weighted Average",$I59*VLOOKUP($D59&amp;" (Disposal)",Lists!$C$72:$R$232,COLUMNS(Lists!$C$69:K$69),0)*VLOOKUP(BK$3,Conversions!$B$12:$E$34,4,0),$I59*VLOOKUP($F59,Lists!$C$72:$R$232,COLUMNS(Lists!$C$69:K$69),0)*VLOOKUP(BK$3,Conversions!$B$12:$E$34,4,0)))</f>
        <v>0</v>
      </c>
      <c r="AW59" s="333">
        <f>IF($F59="",0,IF($F59="Weighted Average",$I59*VLOOKUP($D59&amp;" (Disposal)",Lists!$C$72:$R$232,COLUMNS(Lists!$C$69:L$69),0)*VLOOKUP(BL$3,Conversions!$B$12:$E$34,4,0),$I59*VLOOKUP($F59,Lists!$C$72:$R$232,COLUMNS(Lists!$C$69:L$69),0)*VLOOKUP(BL$3,Conversions!$B$12:$E$34,4,0)))</f>
        <v>0</v>
      </c>
      <c r="AX59" s="333">
        <f>IF($F59="",0,IF($F59="Weighted Average",$I59*VLOOKUP($D59&amp;" (Disposal)",Lists!$C$72:$R$232,COLUMNS(Lists!$C$69:M$69),0)*VLOOKUP(BM$3,Conversions!$B$12:$E$34,4,0),$I59*VLOOKUP($F59,Lists!$C$72:$R$232,COLUMNS(Lists!$C$69:M$69),0)*VLOOKUP(BM$3,Conversions!$B$12:$E$34,4,0)))</f>
        <v>0</v>
      </c>
      <c r="AY59" s="333">
        <f>IF($F59="",0,IF($F59="Weighted Average",$I59*VLOOKUP($D59&amp;" (Disposal)",Lists!$C$72:$R$232,COLUMNS(Lists!$C$69:N$69),0)*VLOOKUP(BN$3,Conversions!$B$12:$E$34,4,0),$I59*VLOOKUP($F59,Lists!$C$72:$R$232,COLUMNS(Lists!$C$69:N$69),0)*VLOOKUP(BN$3,Conversions!$B$12:$E$34,4,0)))</f>
        <v>0</v>
      </c>
      <c r="AZ59" s="333">
        <f>IF($F59="",0,IF($F59="Weighted Average",$I59*VLOOKUP($D59&amp;" (Disposal)",Lists!$C$72:$R$232,COLUMNS(Lists!$C$69:O$69),0)*VLOOKUP(BO$3,Conversions!$B$12:$E$34,4,0),$I59*VLOOKUP($F59,Lists!$C$72:$R$232,COLUMNS(Lists!$C$69:O$69),0)*VLOOKUP(BO$3,Conversions!$B$12:$E$34,4,0)))</f>
        <v>0</v>
      </c>
      <c r="BA59" s="333">
        <f>IF($F59="",0,IF($F59="Weighted Average",$I59*VLOOKUP($D59&amp;" (Disposal)",Lists!$C$72:$R$232,COLUMNS(Lists!$C$69:P$69),0)*VLOOKUP(BP$3,Conversions!$B$12:$E$34,4,0),$I59*VLOOKUP($F59,Lists!$C$72:$R$232,COLUMNS(Lists!$C$69:P$69),0)*VLOOKUP(BP$3,Conversions!$B$12:$E$34,4,0)))</f>
        <v>0</v>
      </c>
      <c r="BB59" s="333">
        <f>IF($F59="",0,IF($F59="Weighted Average",$I59*VLOOKUP($D59&amp;" (Disposal)",Lists!$C$72:$R$232,COLUMNS(Lists!$C$69:Q$69),0)*VLOOKUP(BQ$3,Conversions!$B$12:$E$34,4,0),$I59*VLOOKUP($F59,Lists!$C$72:$R$232,COLUMNS(Lists!$C$69:Q$69),0)*VLOOKUP(BQ$3,Conversions!$B$12:$E$34,4,0)))</f>
        <v>0</v>
      </c>
      <c r="BC59" s="333">
        <f>IF($F59="",0,IF($F59="Weighted Average",$I59*VLOOKUP($D59&amp;" (Disposal)",Lists!$C$72:$R$232,COLUMNS(Lists!$C$69:R$69),0)*VLOOKUP(BR$3,Conversions!$B$12:$E$34,4,0),$I59*VLOOKUP($F59,Lists!$C$72:$R$232,COLUMNS(Lists!$C$69:R$69),0)*VLOOKUP(BR$3,Conversions!$B$12:$E$34,4,0)))</f>
        <v>0</v>
      </c>
      <c r="BD59" s="333">
        <f t="shared" si="61"/>
        <v>0</v>
      </c>
      <c r="BE59" s="330">
        <f t="shared" si="62"/>
        <v>0</v>
      </c>
      <c r="BF59" s="330">
        <f t="shared" si="63"/>
        <v>0</v>
      </c>
      <c r="BG59" s="330">
        <f t="shared" si="64"/>
        <v>0</v>
      </c>
      <c r="BH59" s="330">
        <f t="shared" si="65"/>
        <v>0</v>
      </c>
      <c r="BI59" s="330">
        <f t="shared" si="66"/>
        <v>0</v>
      </c>
      <c r="BJ59" s="330">
        <f t="shared" si="67"/>
        <v>0</v>
      </c>
      <c r="BK59" s="330">
        <f t="shared" si="68"/>
        <v>0</v>
      </c>
      <c r="BL59" s="330">
        <f t="shared" si="69"/>
        <v>0</v>
      </c>
      <c r="BM59" s="330">
        <f t="shared" si="70"/>
        <v>0</v>
      </c>
      <c r="BN59" s="330">
        <f t="shared" si="71"/>
        <v>0</v>
      </c>
      <c r="BO59" s="330">
        <f t="shared" si="72"/>
        <v>0</v>
      </c>
      <c r="BP59" s="330">
        <f t="shared" si="73"/>
        <v>0</v>
      </c>
      <c r="BQ59" s="330">
        <f t="shared" si="74"/>
        <v>0</v>
      </c>
      <c r="BR59" s="330">
        <f t="shared" si="75"/>
        <v>0</v>
      </c>
      <c r="BS59" s="330">
        <f t="shared" si="76"/>
        <v>0</v>
      </c>
      <c r="BT59" s="329">
        <f t="shared" si="77"/>
        <v>0</v>
      </c>
      <c r="BU59" s="329">
        <f t="shared" si="77"/>
        <v>0</v>
      </c>
      <c r="BV59" s="329">
        <f t="shared" si="77"/>
        <v>0</v>
      </c>
      <c r="BW59" s="329">
        <f t="shared" si="77"/>
        <v>0</v>
      </c>
      <c r="BX59" s="329">
        <f t="shared" si="77"/>
        <v>0</v>
      </c>
      <c r="BY59" s="329">
        <f t="shared" si="77"/>
        <v>0</v>
      </c>
      <c r="BZ59" s="329">
        <f t="shared" si="77"/>
        <v>0</v>
      </c>
      <c r="CA59" s="329">
        <f t="shared" si="77"/>
        <v>0</v>
      </c>
      <c r="CB59" s="329">
        <f t="shared" si="77"/>
        <v>0</v>
      </c>
      <c r="CC59" s="329">
        <f t="shared" si="77"/>
        <v>0</v>
      </c>
      <c r="CD59" s="329">
        <f t="shared" si="77"/>
        <v>0</v>
      </c>
      <c r="CE59" s="329">
        <f t="shared" si="77"/>
        <v>0</v>
      </c>
      <c r="CF59" s="329">
        <f t="shared" si="77"/>
        <v>0</v>
      </c>
      <c r="CG59" s="329">
        <f t="shared" si="77"/>
        <v>0</v>
      </c>
      <c r="CH59" s="329">
        <f t="shared" si="77"/>
        <v>0</v>
      </c>
      <c r="CI59" s="329">
        <f t="shared" si="77"/>
        <v>0</v>
      </c>
      <c r="CJ59" s="331">
        <f t="shared" si="78"/>
        <v>0</v>
      </c>
      <c r="CK59" s="330">
        <f t="shared" si="79"/>
        <v>0</v>
      </c>
      <c r="CL59" s="330">
        <f t="shared" si="80"/>
        <v>0</v>
      </c>
      <c r="CM59" s="330">
        <f t="shared" si="81"/>
        <v>0</v>
      </c>
      <c r="CN59" s="330">
        <f t="shared" si="82"/>
        <v>0</v>
      </c>
      <c r="CO59" s="330">
        <f t="shared" si="83"/>
        <v>0</v>
      </c>
      <c r="CP59" s="330">
        <f t="shared" si="84"/>
        <v>0</v>
      </c>
      <c r="CQ59" s="330">
        <f t="shared" si="11"/>
        <v>0</v>
      </c>
      <c r="CR59" s="330">
        <f t="shared" si="85"/>
        <v>0</v>
      </c>
      <c r="CS59" s="330">
        <f t="shared" si="86"/>
        <v>0</v>
      </c>
      <c r="CT59" s="330">
        <f t="shared" si="87"/>
        <v>0</v>
      </c>
      <c r="CU59" s="330">
        <f t="shared" si="88"/>
        <v>0</v>
      </c>
      <c r="CV59" s="330">
        <f t="shared" si="88"/>
        <v>0</v>
      </c>
      <c r="CW59" s="330">
        <f t="shared" si="88"/>
        <v>0</v>
      </c>
      <c r="CX59" s="330">
        <f t="shared" si="88"/>
        <v>0</v>
      </c>
      <c r="CY59" s="330">
        <f t="shared" si="88"/>
        <v>0</v>
      </c>
      <c r="CZ59" s="330">
        <f t="shared" si="88"/>
        <v>0</v>
      </c>
      <c r="DA59" s="330">
        <f t="shared" si="88"/>
        <v>0</v>
      </c>
      <c r="DB59" s="330">
        <f t="shared" si="88"/>
        <v>0</v>
      </c>
      <c r="DC59" s="330">
        <f t="shared" si="88"/>
        <v>0</v>
      </c>
      <c r="DD59" s="330">
        <f t="shared" si="88"/>
        <v>0</v>
      </c>
      <c r="DE59" s="330">
        <f t="shared" si="89"/>
        <v>0</v>
      </c>
      <c r="DF59" s="330">
        <f t="shared" si="89"/>
        <v>0</v>
      </c>
      <c r="DG59" s="330">
        <f t="shared" si="89"/>
        <v>0</v>
      </c>
      <c r="DH59" s="330">
        <f t="shared" si="89"/>
        <v>0</v>
      </c>
      <c r="DI59" s="330">
        <f t="shared" si="89"/>
        <v>0</v>
      </c>
      <c r="DJ59" s="330">
        <f t="shared" si="89"/>
        <v>0</v>
      </c>
      <c r="DK59" s="330">
        <f t="shared" si="89"/>
        <v>0</v>
      </c>
      <c r="DL59" s="330">
        <f t="shared" si="89"/>
        <v>0</v>
      </c>
      <c r="DM59" s="330">
        <f t="shared" si="89"/>
        <v>0</v>
      </c>
      <c r="DN59" s="330">
        <f t="shared" si="89"/>
        <v>0</v>
      </c>
      <c r="DO59" s="330">
        <f t="shared" si="89"/>
        <v>0</v>
      </c>
      <c r="DP59" s="330">
        <f t="shared" si="90"/>
        <v>0</v>
      </c>
      <c r="DQ59" s="217"/>
      <c r="DR59" s="217"/>
      <c r="DS59" s="217"/>
      <c r="DT59" s="217"/>
    </row>
    <row r="60" spans="1:124" x14ac:dyDescent="0.3">
      <c r="A60" s="332"/>
      <c r="B60" s="221" t="s">
        <v>304</v>
      </c>
      <c r="C60" s="221" t="str">
        <f>IF('Simplified Material Balance'!C30=0,"",'Simplified Material Balance'!C30)</f>
        <v/>
      </c>
      <c r="D60" s="221" t="str">
        <f>IF('Simplified Material Balance'!D30=0,"",'Simplified Material Balance'!D30)</f>
        <v/>
      </c>
      <c r="E60" s="221" t="str">
        <f>IF('Simplified Material Balance'!E30=0,"",'Simplified Material Balance'!E30)</f>
        <v/>
      </c>
      <c r="F60" s="221" t="str">
        <f>IF('Simplified Material Balance'!F30=0,"",'Simplified Material Balance'!F30)</f>
        <v/>
      </c>
      <c r="G60" s="272">
        <f>IF('Simplified Material Balance'!H30&gt;'Simplified Material Balance'!G30,0,('Simplified Material Balance'!G30-'Simplified Material Balance'!H30)*Conversions!$C$4)</f>
        <v>0</v>
      </c>
      <c r="H60" s="272">
        <f>'Simplified Material Balance'!I30*Conversions!$C$4</f>
        <v>0</v>
      </c>
      <c r="I60" s="272">
        <f>('Simplified Material Balance'!J30-'Simplified Material Balance'!K30)*Conversions!$C$4</f>
        <v>0</v>
      </c>
      <c r="J60" s="325">
        <f>IF('Simplified Material Balance'!L30=0,0,'Simplified Material Balance'!L30)</f>
        <v>0</v>
      </c>
      <c r="K60" s="465"/>
      <c r="L60" s="333">
        <f>IF($F60="",0,IF($F60="Weighted Average",$G60*VLOOKUP($D60&amp;" (Install)",Lists!$C$72:$R$232,COLUMNS(Lists!$C$69:E$69),0)*VLOOKUP(BE$3,Conversions!$B$12:$E$34,4,0),$G60*VLOOKUP($F60,Lists!$C$72:$R$232,COLUMNS(Lists!$C$69:E$69),0)*VLOOKUP(BE$3,Conversions!$B$12:$E$34,4,0)))</f>
        <v>0</v>
      </c>
      <c r="M60" s="333">
        <f>IF($F60="",0,IF($F60="Weighted Average",$G60*VLOOKUP($D60&amp;" (Install)",Lists!$C$72:$R$232,COLUMNS(Lists!$C$69:F$69),0)*VLOOKUP(BF$3,Conversions!$B$12:$E$34,4,0),$G60*VLOOKUP($F60,Lists!$C$72:$R$232,COLUMNS(Lists!$C$69:F$69),0)*VLOOKUP(BF$3,Conversions!$B$12:$E$34,4,0)))</f>
        <v>0</v>
      </c>
      <c r="N60" s="333">
        <f>IF($F60="",0,IF($F60="Weighted Average",$G60*VLOOKUP($D60&amp;" (Install)",Lists!$C$72:$R$232,COLUMNS(Lists!$C$69:G$69),0)*VLOOKUP(BG$3,Conversions!$B$12:$E$34,4,0),$G60*VLOOKUP($F60,Lists!$C$72:$R$232,COLUMNS(Lists!$C$69:G$69),0)*VLOOKUP(BG$3,Conversions!$B$12:$E$34,4,0)))</f>
        <v>0</v>
      </c>
      <c r="O60" s="333">
        <f>IF($F60="",0,IF($F60="Weighted Average",$G60*VLOOKUP($D60&amp;" (Install)",Lists!$C$72:$R$232,COLUMNS(Lists!$C$69:H$69),0)*VLOOKUP(BH$3,Conversions!$B$12:$E$34,4,0),$G60*VLOOKUP($F60,Lists!$C$72:$R$232,COLUMNS(Lists!$C$69:H$69),0)*VLOOKUP(BH$3,Conversions!$B$12:$E$34,4,0)))</f>
        <v>0</v>
      </c>
      <c r="P60" s="333">
        <f>IF($F60="",0,IF($F60="Weighted Average",$G60*VLOOKUP($D60&amp;" (Install)",Lists!$C$72:$R$232,COLUMNS(Lists!$C$69:I$69),0)*VLOOKUP(BI$3,Conversions!$B$12:$E$34,4,0),$G60*VLOOKUP($F60,Lists!$C$72:$R$232,COLUMNS(Lists!$C$69:I$69),0)*VLOOKUP(BI$3,Conversions!$B$12:$E$34,4,0)))</f>
        <v>0</v>
      </c>
      <c r="Q60" s="333">
        <f>IF($F60="",0,IF($F60="Weighted Average",$G60*VLOOKUP($D60&amp;" (Install)",Lists!$C$72:$R$232,COLUMNS(Lists!$C$69:J$69),0)*VLOOKUP(BJ$3,Conversions!$B$12:$E$34,4,0),$G60*VLOOKUP($F60,Lists!$C$72:$R$232,COLUMNS(Lists!$C$69:J$69),0)*VLOOKUP(BJ$3,Conversions!$B$12:$E$34,4,0)))</f>
        <v>0</v>
      </c>
      <c r="R60" s="333">
        <f>IF($F60="",0,IF($F60="Weighted Average",$G60*VLOOKUP($D60&amp;" (Install)",Lists!$C$72:$R$232,COLUMNS(Lists!$C$69:K$69),0)*VLOOKUP(BK$3,Conversions!$B$12:$E$34,4,0),$G60*VLOOKUP($F60,Lists!$C$72:$R$232,COLUMNS(Lists!$C$69:K$69),0)*VLOOKUP(BK$3,Conversions!$B$12:$E$34,4,0)))</f>
        <v>0</v>
      </c>
      <c r="S60" s="333">
        <f>IF($F60="",0,IF($F60="Weighted Average",$G60*VLOOKUP($D60&amp;" (Install)",Lists!$C$72:$R$232,COLUMNS(Lists!$C$69:L$69),0)*VLOOKUP(BL$3,Conversions!$B$12:$E$34,4,0),$G60*VLOOKUP($F60,Lists!$C$72:$R$232,COLUMNS(Lists!$C$69:L$69),0)*VLOOKUP(BL$3,Conversions!$B$12:$E$34,4,0)))</f>
        <v>0</v>
      </c>
      <c r="T60" s="333">
        <f>IF($F60="",0,IF($F60="Weighted Average",$G60*VLOOKUP($D60&amp;" (Install)",Lists!$C$72:$R$232,COLUMNS(Lists!$C$69:M$69),0)*VLOOKUP(BM$3,Conversions!$B$12:$E$34,4,0),$G60*VLOOKUP($F60,Lists!$C$72:$R$232,COLUMNS(Lists!$C$69:M$69),0)*VLOOKUP(BM$3,Conversions!$B$12:$E$34,4,0)))</f>
        <v>0</v>
      </c>
      <c r="U60" s="333">
        <f>IF($F60="",0,IF($F60="Weighted Average",$G60*VLOOKUP($D60&amp;" (Install)",Lists!$C$72:$R$232,COLUMNS(Lists!$C$69:N$69),0)*VLOOKUP(BN$3,Conversions!$B$12:$E$34,4,0),$G60*VLOOKUP($F60,Lists!$C$72:$R$232,COLUMNS(Lists!$C$69:N$69),0)*VLOOKUP(BN$3,Conversions!$B$12:$E$34,4,0)))</f>
        <v>0</v>
      </c>
      <c r="V60" s="333">
        <f>IF($F60="",0,IF($F60="Weighted Average",$G60*VLOOKUP($D60&amp;" (Install)",Lists!$C$72:$R$232,COLUMNS(Lists!$C$69:O$69),0)*VLOOKUP(BO$3,Conversions!$B$12:$E$34,4,0),$G60*VLOOKUP($F60,Lists!$C$72:$R$232,COLUMNS(Lists!$C$69:O$69),0)*VLOOKUP(BO$3,Conversions!$B$12:$E$34,4,0)))</f>
        <v>0</v>
      </c>
      <c r="W60" s="333">
        <f>IF($F60="",0,IF($F60="Weighted Average",$G60*VLOOKUP($D60&amp;" (Install)",Lists!$C$72:$R$232,COLUMNS(Lists!$C$69:P$69),0)*VLOOKUP(BP$3,Conversions!$B$12:$E$34,4,0),$G60*VLOOKUP($F60,Lists!$C$72:$R$232,COLUMNS(Lists!$C$69:P$69),0)*VLOOKUP(BP$3,Conversions!$B$12:$E$34,4,0)))</f>
        <v>0</v>
      </c>
      <c r="X60" s="333">
        <f>IF($F60="",0,IF($F60="Weighted Average",$G60*VLOOKUP($D60&amp;" (Install)",Lists!$C$72:$R$232,COLUMNS(Lists!$C$69:Q$69),0)*VLOOKUP(BQ$3,Conversions!$B$12:$E$34,4,0),$G60*VLOOKUP($F60,Lists!$C$72:$R$232,COLUMNS(Lists!$C$69:Q$69),0)*VLOOKUP(BQ$3,Conversions!$B$12:$E$34,4,0)))</f>
        <v>0</v>
      </c>
      <c r="Y60" s="333">
        <f>IF($F60="",0,IF($F60="Weighted Average",$G60*VLOOKUP($D60&amp;" (Install)",Lists!$C$72:$R$232,COLUMNS(Lists!$C$69:R$69),0)*VLOOKUP(BR$3,Conversions!$B$12:$E$34,4,0),$G60*VLOOKUP($F60,Lists!$C$72:$R$232,COLUMNS(Lists!$C$69:R$69),0)*VLOOKUP(BR$3,Conversions!$B$12:$E$34,4,0)))</f>
        <v>0</v>
      </c>
      <c r="Z60" s="325">
        <f t="shared" si="59"/>
        <v>0</v>
      </c>
      <c r="AA60" s="334">
        <f>IF($F60="",0,IF($F60="Weighted Average",$H60*VLOOKUP($D60&amp;" (Operation)",Lists!$C$72:$R$232,COLUMNS(Lists!$C$69:E$69),0)*VLOOKUP(BE$3,Conversions!$B$12:$E$34,4,0),$H60*VLOOKUP($F60,Lists!$C$72:$R$232,COLUMNS(Lists!$C$69:E$69),0)*VLOOKUP(BE$3,Conversions!$B$12:$E$34,4,0)))</f>
        <v>0</v>
      </c>
      <c r="AB60" s="334">
        <f>IF($F60="",0,IF($F60="Weighted Average",$H60*VLOOKUP($D60&amp;" (Operation)",Lists!$C$72:$R$232,COLUMNS(Lists!$C$69:F$69),0)*VLOOKUP(BF$3,Conversions!$B$12:$E$34,4,0),$H60*VLOOKUP($F60,Lists!$C$72:$R$232,COLUMNS(Lists!$C$69:F$69),0)*VLOOKUP(BF$3,Conversions!$B$12:$E$34,4,0)))</f>
        <v>0</v>
      </c>
      <c r="AC60" s="334">
        <f>IF($F60="",0,IF($F60="Weighted Average",$H60*VLOOKUP($D60&amp;" (Operation)",Lists!$C$72:$R$232,COLUMNS(Lists!$C$69:G$69),0)*VLOOKUP(BG$3,Conversions!$B$12:$E$34,4,0),$H60*VLOOKUP($F60,Lists!$C$72:$R$232,COLUMNS(Lists!$C$69:G$69),0)*VLOOKUP(BG$3,Conversions!$B$12:$E$34,4,0)))</f>
        <v>0</v>
      </c>
      <c r="AD60" s="334">
        <f>IF($F60="",0,IF($F60="Weighted Average",$H60*VLOOKUP($D60&amp;" (Operation)",Lists!$C$72:$R$232,COLUMNS(Lists!$C$69:H$69),0)*VLOOKUP(BH$3,Conversions!$B$12:$E$34,4,0),$H60*VLOOKUP($F60,Lists!$C$72:$R$232,COLUMNS(Lists!$C$69:H$69),0)*VLOOKUP(BH$3,Conversions!$B$12:$E$34,4,0)))</f>
        <v>0</v>
      </c>
      <c r="AE60" s="334">
        <f>IF($F60="",0,IF($F60="Weighted Average",$H60*VLOOKUP($D60&amp;" (Operation)",Lists!$C$72:$R$232,COLUMNS(Lists!$C$69:I$69),0)*VLOOKUP(BI$3,Conversions!$B$12:$E$34,4,0),$H60*VLOOKUP($F60,Lists!$C$72:$R$232,COLUMNS(Lists!$C$69:I$69),0)*VLOOKUP(BI$3,Conversions!$B$12:$E$34,4,0)))</f>
        <v>0</v>
      </c>
      <c r="AF60" s="334">
        <f>IF($F60="",0,IF($F60="Weighted Average",$H60*VLOOKUP($D60&amp;" (Operation)",Lists!$C$72:$R$232,COLUMNS(Lists!$C$69:J$69),0)*VLOOKUP(BJ$3,Conversions!$B$12:$E$34,4,0),$H60*VLOOKUP($F60,Lists!$C$72:$R$232,COLUMNS(Lists!$C$69:J$69),0)*VLOOKUP(BJ$3,Conversions!$B$12:$E$34,4,0)))</f>
        <v>0</v>
      </c>
      <c r="AG60" s="334">
        <f>IF($F60="",0,IF($F60="Weighted Average",$H60*VLOOKUP($D60&amp;" (Operation)",Lists!$C$72:$R$232,COLUMNS(Lists!$C$69:K$69),0)*VLOOKUP(BK$3,Conversions!$B$12:$E$34,4,0),$H60*VLOOKUP($F60,Lists!$C$72:$R$232,COLUMNS(Lists!$C$69:K$69),0)*VLOOKUP(BK$3,Conversions!$B$12:$E$34,4,0)))</f>
        <v>0</v>
      </c>
      <c r="AH60" s="334">
        <f>IF($F60="",0,IF($F60="Weighted Average",$H60*VLOOKUP($D60&amp;" (Operation)",Lists!$C$72:$R$232,COLUMNS(Lists!$C$69:L$69),0)*VLOOKUP(BL$3,Conversions!$B$12:$E$34,4,0),$H60*VLOOKUP($F60,Lists!$C$72:$R$232,COLUMNS(Lists!$C$69:L$69),0)*VLOOKUP(BL$3,Conversions!$B$12:$E$34,4,0)))</f>
        <v>0</v>
      </c>
      <c r="AI60" s="334">
        <f>IF($F60="",0,IF($F60="Weighted Average",$H60*VLOOKUP($D60&amp;" (Operation)",Lists!$C$72:$R$232,COLUMNS(Lists!$C$69:M$69),0)*VLOOKUP(BM$3,Conversions!$B$12:$E$34,4,0),$H60*VLOOKUP($F60,Lists!$C$72:$R$232,COLUMNS(Lists!$C$69:M$69),0)*VLOOKUP(BM$3,Conversions!$B$12:$E$34,4,0)))</f>
        <v>0</v>
      </c>
      <c r="AJ60" s="334">
        <f>IF($F60="",0,IF($F60="Weighted Average",$H60*VLOOKUP($D60&amp;" (Operation)",Lists!$C$72:$R$232,COLUMNS(Lists!$C$69:N$69),0)*VLOOKUP(BN$3,Conversions!$B$12:$E$34,4,0),$H60*VLOOKUP($F60,Lists!$C$72:$R$232,COLUMNS(Lists!$C$69:N$69),0)*VLOOKUP(BN$3,Conversions!$B$12:$E$34,4,0)))</f>
        <v>0</v>
      </c>
      <c r="AK60" s="334">
        <f>IF($F60="",0,IF($F60="Weighted Average",$H60*VLOOKUP($D60&amp;" (Operation)",Lists!$C$72:$R$232,COLUMNS(Lists!$C$69:O$69),0)*VLOOKUP(BO$3,Conversions!$B$12:$E$34,4,0),$H60*VLOOKUP($F60,Lists!$C$72:$R$232,COLUMNS(Lists!$C$69:O$69),0)*VLOOKUP(BO$3,Conversions!$B$12:$E$34,4,0)))</f>
        <v>0</v>
      </c>
      <c r="AL60" s="334">
        <f>IF($F60="",0,IF($F60="Weighted Average",$H60*VLOOKUP($D60&amp;" (Operation)",Lists!$C$72:$R$232,COLUMNS(Lists!$C$69:P$69),0)*VLOOKUP(BP$3,Conversions!$B$12:$E$34,4,0),$H60*VLOOKUP($F60,Lists!$C$72:$R$232,COLUMNS(Lists!$C$69:P$69),0)*VLOOKUP(BP$3,Conversions!$B$12:$E$34,4,0)))</f>
        <v>0</v>
      </c>
      <c r="AM60" s="334">
        <f>IF($F60="",0,IF($F60="Weighted Average",$H60*VLOOKUP($D60&amp;" (Operation)",Lists!$C$72:$R$232,COLUMNS(Lists!$C$69:Q$69),0)*VLOOKUP(BQ$3,Conversions!$B$12:$E$34,4,0),$H60*VLOOKUP($F60,Lists!$C$72:$R$232,COLUMNS(Lists!$C$69:Q$69),0)*VLOOKUP(BQ$3,Conversions!$B$12:$E$34,4,0)))</f>
        <v>0</v>
      </c>
      <c r="AN60" s="334">
        <f>IF($F60="",0,IF($F60="Weighted Average",$H60*VLOOKUP($D60&amp;" (Operation)",Lists!$C$72:$R$232,COLUMNS(Lists!$C$69:R$69),0)*VLOOKUP(BR$3,Conversions!$B$12:$E$34,4,0),$H60*VLOOKUP($F60,Lists!$C$72:$R$232,COLUMNS(Lists!$C$69:R$69),0)*VLOOKUP(BR$3,Conversions!$B$12:$E$34,4,0)))</f>
        <v>0</v>
      </c>
      <c r="AO60" s="330">
        <f t="shared" si="60"/>
        <v>0</v>
      </c>
      <c r="AP60" s="333">
        <f>IF($F60="",0,IF($F60="Weighted Average",$I60*VLOOKUP($D60&amp;" (Disposal)",Lists!$C$72:$R$232,COLUMNS(Lists!$C$69:E$69),0)*VLOOKUP(BE$3,Conversions!$B$12:$E$34,4,0),$I60*VLOOKUP($F60,Lists!$C$72:$R$232,COLUMNS(Lists!$C$69:E$69),0)*VLOOKUP(BE$3,Conversions!$B$12:$E$34,4,0)))</f>
        <v>0</v>
      </c>
      <c r="AQ60" s="333">
        <f>IF($F60="",0,IF($F60="Weighted Average",$I60*VLOOKUP($D60&amp;" (Disposal)",Lists!$C$72:$R$232,COLUMNS(Lists!$C$69:F$69),0)*VLOOKUP(BF$3,Conversions!$B$12:$E$34,4,0),$I60*VLOOKUP($F60,Lists!$C$72:$R$232,COLUMNS(Lists!$C$69:F$69),0)*VLOOKUP(BF$3,Conversions!$B$12:$E$34,4,0)))</f>
        <v>0</v>
      </c>
      <c r="AR60" s="333">
        <f>IF($F60="",0,IF($F60="Weighted Average",$I60*VLOOKUP($D60&amp;" (Disposal)",Lists!$C$72:$R$232,COLUMNS(Lists!$C$69:G$69),0)*VLOOKUP(BG$3,Conversions!$B$12:$E$34,4,0),$I60*VLOOKUP($F60,Lists!$C$72:$R$232,COLUMNS(Lists!$C$69:G$69),0)*VLOOKUP(BG$3,Conversions!$B$12:$E$34,4,0)))</f>
        <v>0</v>
      </c>
      <c r="AS60" s="333">
        <f>IF($F60="",0,IF($F60="Weighted Average",$I60*VLOOKUP($D60&amp;" (Disposal)",Lists!$C$72:$R$232,COLUMNS(Lists!$C$69:H$69),0)*VLOOKUP(BH$3,Conversions!$B$12:$E$34,4,0),$I60*VLOOKUP($F60,Lists!$C$72:$R$232,COLUMNS(Lists!$C$69:H$69),0)*VLOOKUP(BH$3,Conversions!$B$12:$E$34,4,0)))</f>
        <v>0</v>
      </c>
      <c r="AT60" s="333">
        <f>IF($F60="",0,IF($F60="Weighted Average",$I60*VLOOKUP($D60&amp;" (Disposal)",Lists!$C$72:$R$232,COLUMNS(Lists!$C$69:I$69),0)*VLOOKUP(BI$3,Conversions!$B$12:$E$34,4,0),$I60*VLOOKUP($F60,Lists!$C$72:$R$232,COLUMNS(Lists!$C$69:I$69),0)*VLOOKUP(BI$3,Conversions!$B$12:$E$34,4,0)))</f>
        <v>0</v>
      </c>
      <c r="AU60" s="333">
        <f>IF($F60="",0,IF($F60="Weighted Average",$I60*VLOOKUP($D60&amp;" (Disposal)",Lists!$C$72:$R$232,COLUMNS(Lists!$C$69:J$69),0)*VLOOKUP(BJ$3,Conversions!$B$12:$E$34,4,0),$I60*VLOOKUP($F60,Lists!$C$72:$R$232,COLUMNS(Lists!$C$69:J$69),0)*VLOOKUP(BJ$3,Conversions!$B$12:$E$34,4,0)))</f>
        <v>0</v>
      </c>
      <c r="AV60" s="333">
        <f>IF($F60="",0,IF($F60="Weighted Average",$I60*VLOOKUP($D60&amp;" (Disposal)",Lists!$C$72:$R$232,COLUMNS(Lists!$C$69:K$69),0)*VLOOKUP(BK$3,Conversions!$B$12:$E$34,4,0),$I60*VLOOKUP($F60,Lists!$C$72:$R$232,COLUMNS(Lists!$C$69:K$69),0)*VLOOKUP(BK$3,Conversions!$B$12:$E$34,4,0)))</f>
        <v>0</v>
      </c>
      <c r="AW60" s="333">
        <f>IF($F60="",0,IF($F60="Weighted Average",$I60*VLOOKUP($D60&amp;" (Disposal)",Lists!$C$72:$R$232,COLUMNS(Lists!$C$69:L$69),0)*VLOOKUP(BL$3,Conversions!$B$12:$E$34,4,0),$I60*VLOOKUP($F60,Lists!$C$72:$R$232,COLUMNS(Lists!$C$69:L$69),0)*VLOOKUP(BL$3,Conversions!$B$12:$E$34,4,0)))</f>
        <v>0</v>
      </c>
      <c r="AX60" s="333">
        <f>IF($F60="",0,IF($F60="Weighted Average",$I60*VLOOKUP($D60&amp;" (Disposal)",Lists!$C$72:$R$232,COLUMNS(Lists!$C$69:M$69),0)*VLOOKUP(BM$3,Conversions!$B$12:$E$34,4,0),$I60*VLOOKUP($F60,Lists!$C$72:$R$232,COLUMNS(Lists!$C$69:M$69),0)*VLOOKUP(BM$3,Conversions!$B$12:$E$34,4,0)))</f>
        <v>0</v>
      </c>
      <c r="AY60" s="333">
        <f>IF($F60="",0,IF($F60="Weighted Average",$I60*VLOOKUP($D60&amp;" (Disposal)",Lists!$C$72:$R$232,COLUMNS(Lists!$C$69:N$69),0)*VLOOKUP(BN$3,Conversions!$B$12:$E$34,4,0),$I60*VLOOKUP($F60,Lists!$C$72:$R$232,COLUMNS(Lists!$C$69:N$69),0)*VLOOKUP(BN$3,Conversions!$B$12:$E$34,4,0)))</f>
        <v>0</v>
      </c>
      <c r="AZ60" s="333">
        <f>IF($F60="",0,IF($F60="Weighted Average",$I60*VLOOKUP($D60&amp;" (Disposal)",Lists!$C$72:$R$232,COLUMNS(Lists!$C$69:O$69),0)*VLOOKUP(BO$3,Conversions!$B$12:$E$34,4,0),$I60*VLOOKUP($F60,Lists!$C$72:$R$232,COLUMNS(Lists!$C$69:O$69),0)*VLOOKUP(BO$3,Conversions!$B$12:$E$34,4,0)))</f>
        <v>0</v>
      </c>
      <c r="BA60" s="333">
        <f>IF($F60="",0,IF($F60="Weighted Average",$I60*VLOOKUP($D60&amp;" (Disposal)",Lists!$C$72:$R$232,COLUMNS(Lists!$C$69:P$69),0)*VLOOKUP(BP$3,Conversions!$B$12:$E$34,4,0),$I60*VLOOKUP($F60,Lists!$C$72:$R$232,COLUMNS(Lists!$C$69:P$69),0)*VLOOKUP(BP$3,Conversions!$B$12:$E$34,4,0)))</f>
        <v>0</v>
      </c>
      <c r="BB60" s="333">
        <f>IF($F60="",0,IF($F60="Weighted Average",$I60*VLOOKUP($D60&amp;" (Disposal)",Lists!$C$72:$R$232,COLUMNS(Lists!$C$69:Q$69),0)*VLOOKUP(BQ$3,Conversions!$B$12:$E$34,4,0),$I60*VLOOKUP($F60,Lists!$C$72:$R$232,COLUMNS(Lists!$C$69:Q$69),0)*VLOOKUP(BQ$3,Conversions!$B$12:$E$34,4,0)))</f>
        <v>0</v>
      </c>
      <c r="BC60" s="333">
        <f>IF($F60="",0,IF($F60="Weighted Average",$I60*VLOOKUP($D60&amp;" (Disposal)",Lists!$C$72:$R$232,COLUMNS(Lists!$C$69:R$69),0)*VLOOKUP(BR$3,Conversions!$B$12:$E$34,4,0),$I60*VLOOKUP($F60,Lists!$C$72:$R$232,COLUMNS(Lists!$C$69:R$69),0)*VLOOKUP(BR$3,Conversions!$B$12:$E$34,4,0)))</f>
        <v>0</v>
      </c>
      <c r="BD60" s="333">
        <f t="shared" si="61"/>
        <v>0</v>
      </c>
      <c r="BE60" s="330">
        <f t="shared" si="62"/>
        <v>0</v>
      </c>
      <c r="BF60" s="330">
        <f t="shared" si="63"/>
        <v>0</v>
      </c>
      <c r="BG60" s="330">
        <f t="shared" si="64"/>
        <v>0</v>
      </c>
      <c r="BH60" s="330">
        <f t="shared" si="65"/>
        <v>0</v>
      </c>
      <c r="BI60" s="330">
        <f t="shared" si="66"/>
        <v>0</v>
      </c>
      <c r="BJ60" s="330">
        <f t="shared" si="67"/>
        <v>0</v>
      </c>
      <c r="BK60" s="330">
        <f t="shared" si="68"/>
        <v>0</v>
      </c>
      <c r="BL60" s="330">
        <f t="shared" si="69"/>
        <v>0</v>
      </c>
      <c r="BM60" s="330">
        <f t="shared" si="70"/>
        <v>0</v>
      </c>
      <c r="BN60" s="330">
        <f t="shared" si="71"/>
        <v>0</v>
      </c>
      <c r="BO60" s="330">
        <f t="shared" si="72"/>
        <v>0</v>
      </c>
      <c r="BP60" s="330">
        <f t="shared" si="73"/>
        <v>0</v>
      </c>
      <c r="BQ60" s="330">
        <f t="shared" si="74"/>
        <v>0</v>
      </c>
      <c r="BR60" s="330">
        <f t="shared" si="75"/>
        <v>0</v>
      </c>
      <c r="BS60" s="330">
        <f t="shared" si="76"/>
        <v>0</v>
      </c>
      <c r="BT60" s="329">
        <f t="shared" si="77"/>
        <v>0</v>
      </c>
      <c r="BU60" s="329">
        <f t="shared" si="77"/>
        <v>0</v>
      </c>
      <c r="BV60" s="329">
        <f t="shared" si="77"/>
        <v>0</v>
      </c>
      <c r="BW60" s="329">
        <f t="shared" si="77"/>
        <v>0</v>
      </c>
      <c r="BX60" s="329">
        <f t="shared" si="77"/>
        <v>0</v>
      </c>
      <c r="BY60" s="329">
        <f t="shared" si="77"/>
        <v>0</v>
      </c>
      <c r="BZ60" s="329">
        <f t="shared" si="77"/>
        <v>0</v>
      </c>
      <c r="CA60" s="329">
        <f t="shared" si="77"/>
        <v>0</v>
      </c>
      <c r="CB60" s="329">
        <f t="shared" si="77"/>
        <v>0</v>
      </c>
      <c r="CC60" s="329">
        <f t="shared" si="77"/>
        <v>0</v>
      </c>
      <c r="CD60" s="329">
        <f t="shared" si="77"/>
        <v>0</v>
      </c>
      <c r="CE60" s="329">
        <f t="shared" si="77"/>
        <v>0</v>
      </c>
      <c r="CF60" s="329">
        <f t="shared" si="77"/>
        <v>0</v>
      </c>
      <c r="CG60" s="329">
        <f t="shared" si="77"/>
        <v>0</v>
      </c>
      <c r="CH60" s="329">
        <f t="shared" si="77"/>
        <v>0</v>
      </c>
      <c r="CI60" s="329">
        <f t="shared" si="77"/>
        <v>0</v>
      </c>
      <c r="CJ60" s="331">
        <f t="shared" si="78"/>
        <v>0</v>
      </c>
      <c r="CK60" s="330">
        <f t="shared" si="79"/>
        <v>0</v>
      </c>
      <c r="CL60" s="330">
        <f t="shared" si="80"/>
        <v>0</v>
      </c>
      <c r="CM60" s="330">
        <f t="shared" si="81"/>
        <v>0</v>
      </c>
      <c r="CN60" s="330">
        <f t="shared" si="82"/>
        <v>0</v>
      </c>
      <c r="CO60" s="330">
        <f t="shared" si="83"/>
        <v>0</v>
      </c>
      <c r="CP60" s="330">
        <f t="shared" si="84"/>
        <v>0</v>
      </c>
      <c r="CQ60" s="330">
        <f t="shared" si="11"/>
        <v>0</v>
      </c>
      <c r="CR60" s="330">
        <f t="shared" si="85"/>
        <v>0</v>
      </c>
      <c r="CS60" s="330">
        <f t="shared" si="86"/>
        <v>0</v>
      </c>
      <c r="CT60" s="330">
        <f t="shared" si="87"/>
        <v>0</v>
      </c>
      <c r="CU60" s="330">
        <f t="shared" si="88"/>
        <v>0</v>
      </c>
      <c r="CV60" s="330">
        <f t="shared" si="88"/>
        <v>0</v>
      </c>
      <c r="CW60" s="330">
        <f t="shared" si="88"/>
        <v>0</v>
      </c>
      <c r="CX60" s="330">
        <f t="shared" si="88"/>
        <v>0</v>
      </c>
      <c r="CY60" s="330">
        <f t="shared" si="88"/>
        <v>0</v>
      </c>
      <c r="CZ60" s="330">
        <f t="shared" si="88"/>
        <v>0</v>
      </c>
      <c r="DA60" s="330">
        <f t="shared" si="88"/>
        <v>0</v>
      </c>
      <c r="DB60" s="330">
        <f t="shared" si="88"/>
        <v>0</v>
      </c>
      <c r="DC60" s="330">
        <f t="shared" si="88"/>
        <v>0</v>
      </c>
      <c r="DD60" s="330">
        <f t="shared" si="88"/>
        <v>0</v>
      </c>
      <c r="DE60" s="330">
        <f t="shared" si="89"/>
        <v>0</v>
      </c>
      <c r="DF60" s="330">
        <f t="shared" si="89"/>
        <v>0</v>
      </c>
      <c r="DG60" s="330">
        <f t="shared" si="89"/>
        <v>0</v>
      </c>
      <c r="DH60" s="330">
        <f t="shared" si="89"/>
        <v>0</v>
      </c>
      <c r="DI60" s="330">
        <f t="shared" si="89"/>
        <v>0</v>
      </c>
      <c r="DJ60" s="330">
        <f t="shared" si="89"/>
        <v>0</v>
      </c>
      <c r="DK60" s="330">
        <f t="shared" si="89"/>
        <v>0</v>
      </c>
      <c r="DL60" s="330">
        <f t="shared" si="89"/>
        <v>0</v>
      </c>
      <c r="DM60" s="330">
        <f t="shared" si="89"/>
        <v>0</v>
      </c>
      <c r="DN60" s="330">
        <f t="shared" si="89"/>
        <v>0</v>
      </c>
      <c r="DO60" s="330">
        <f t="shared" si="89"/>
        <v>0</v>
      </c>
      <c r="DP60" s="330">
        <f t="shared" si="90"/>
        <v>0</v>
      </c>
      <c r="DQ60" s="217"/>
      <c r="DR60" s="217"/>
      <c r="DS60" s="217"/>
      <c r="DT60" s="217"/>
    </row>
    <row r="61" spans="1:124" x14ac:dyDescent="0.3">
      <c r="A61" s="332"/>
      <c r="B61" s="221" t="s">
        <v>304</v>
      </c>
      <c r="C61" s="221" t="str">
        <f>IF('Simplified Material Balance'!C31=0,"",'Simplified Material Balance'!C31)</f>
        <v/>
      </c>
      <c r="D61" s="221" t="str">
        <f>IF('Simplified Material Balance'!D31=0,"",'Simplified Material Balance'!D31)</f>
        <v/>
      </c>
      <c r="E61" s="221" t="str">
        <f>IF('Simplified Material Balance'!E31=0,"",'Simplified Material Balance'!E31)</f>
        <v/>
      </c>
      <c r="F61" s="221" t="str">
        <f>IF('Simplified Material Balance'!F31=0,"",'Simplified Material Balance'!F31)</f>
        <v/>
      </c>
      <c r="G61" s="272">
        <f>IF('Simplified Material Balance'!H31&gt;'Simplified Material Balance'!G31,0,('Simplified Material Balance'!G31-'Simplified Material Balance'!H31)*Conversions!$C$4)</f>
        <v>0</v>
      </c>
      <c r="H61" s="272">
        <f>'Simplified Material Balance'!I31*Conversions!$C$4</f>
        <v>0</v>
      </c>
      <c r="I61" s="272">
        <f>('Simplified Material Balance'!J31-'Simplified Material Balance'!K31)*Conversions!$C$4</f>
        <v>0</v>
      </c>
      <c r="J61" s="325">
        <f>IF('Simplified Material Balance'!L31=0,0,'Simplified Material Balance'!L31)</f>
        <v>0</v>
      </c>
      <c r="K61" s="465"/>
      <c r="L61" s="333">
        <f>IF($F61="",0,IF($F61="Weighted Average",$G61*VLOOKUP($D61&amp;" (Install)",Lists!$C$72:$R$232,COLUMNS(Lists!$C$69:E$69),0)*VLOOKUP(BE$3,Conversions!$B$12:$E$34,4,0),$G61*VLOOKUP($F61,Lists!$C$72:$R$232,COLUMNS(Lists!$C$69:E$69),0)*VLOOKUP(BE$3,Conversions!$B$12:$E$34,4,0)))</f>
        <v>0</v>
      </c>
      <c r="M61" s="333">
        <f>IF($F61="",0,IF($F61="Weighted Average",$G61*VLOOKUP($D61&amp;" (Install)",Lists!$C$72:$R$232,COLUMNS(Lists!$C$69:F$69),0)*VLOOKUP(BF$3,Conversions!$B$12:$E$34,4,0),$G61*VLOOKUP($F61,Lists!$C$72:$R$232,COLUMNS(Lists!$C$69:F$69),0)*VLOOKUP(BF$3,Conversions!$B$12:$E$34,4,0)))</f>
        <v>0</v>
      </c>
      <c r="N61" s="333">
        <f>IF($F61="",0,IF($F61="Weighted Average",$G61*VLOOKUP($D61&amp;" (Install)",Lists!$C$72:$R$232,COLUMNS(Lists!$C$69:G$69),0)*VLOOKUP(BG$3,Conversions!$B$12:$E$34,4,0),$G61*VLOOKUP($F61,Lists!$C$72:$R$232,COLUMNS(Lists!$C$69:G$69),0)*VLOOKUP(BG$3,Conversions!$B$12:$E$34,4,0)))</f>
        <v>0</v>
      </c>
      <c r="O61" s="333">
        <f>IF($F61="",0,IF($F61="Weighted Average",$G61*VLOOKUP($D61&amp;" (Install)",Lists!$C$72:$R$232,COLUMNS(Lists!$C$69:H$69),0)*VLOOKUP(BH$3,Conversions!$B$12:$E$34,4,0),$G61*VLOOKUP($F61,Lists!$C$72:$R$232,COLUMNS(Lists!$C$69:H$69),0)*VLOOKUP(BH$3,Conversions!$B$12:$E$34,4,0)))</f>
        <v>0</v>
      </c>
      <c r="P61" s="333">
        <f>IF($F61="",0,IF($F61="Weighted Average",$G61*VLOOKUP($D61&amp;" (Install)",Lists!$C$72:$R$232,COLUMNS(Lists!$C$69:I$69),0)*VLOOKUP(BI$3,Conversions!$B$12:$E$34,4,0),$G61*VLOOKUP($F61,Lists!$C$72:$R$232,COLUMNS(Lists!$C$69:I$69),0)*VLOOKUP(BI$3,Conversions!$B$12:$E$34,4,0)))</f>
        <v>0</v>
      </c>
      <c r="Q61" s="333">
        <f>IF($F61="",0,IF($F61="Weighted Average",$G61*VLOOKUP($D61&amp;" (Install)",Lists!$C$72:$R$232,COLUMNS(Lists!$C$69:J$69),0)*VLOOKUP(BJ$3,Conversions!$B$12:$E$34,4,0),$G61*VLOOKUP($F61,Lists!$C$72:$R$232,COLUMNS(Lists!$C$69:J$69),0)*VLOOKUP(BJ$3,Conversions!$B$12:$E$34,4,0)))</f>
        <v>0</v>
      </c>
      <c r="R61" s="333">
        <f>IF($F61="",0,IF($F61="Weighted Average",$G61*VLOOKUP($D61&amp;" (Install)",Lists!$C$72:$R$232,COLUMNS(Lists!$C$69:K$69),0)*VLOOKUP(BK$3,Conversions!$B$12:$E$34,4,0),$G61*VLOOKUP($F61,Lists!$C$72:$R$232,COLUMNS(Lists!$C$69:K$69),0)*VLOOKUP(BK$3,Conversions!$B$12:$E$34,4,0)))</f>
        <v>0</v>
      </c>
      <c r="S61" s="333">
        <f>IF($F61="",0,IF($F61="Weighted Average",$G61*VLOOKUP($D61&amp;" (Install)",Lists!$C$72:$R$232,COLUMNS(Lists!$C$69:L$69),0)*VLOOKUP(BL$3,Conversions!$B$12:$E$34,4,0),$G61*VLOOKUP($F61,Lists!$C$72:$R$232,COLUMNS(Lists!$C$69:L$69),0)*VLOOKUP(BL$3,Conversions!$B$12:$E$34,4,0)))</f>
        <v>0</v>
      </c>
      <c r="T61" s="333">
        <f>IF($F61="",0,IF($F61="Weighted Average",$G61*VLOOKUP($D61&amp;" (Install)",Lists!$C$72:$R$232,COLUMNS(Lists!$C$69:M$69),0)*VLOOKUP(BM$3,Conversions!$B$12:$E$34,4,0),$G61*VLOOKUP($F61,Lists!$C$72:$R$232,COLUMNS(Lists!$C$69:M$69),0)*VLOOKUP(BM$3,Conversions!$B$12:$E$34,4,0)))</f>
        <v>0</v>
      </c>
      <c r="U61" s="333">
        <f>IF($F61="",0,IF($F61="Weighted Average",$G61*VLOOKUP($D61&amp;" (Install)",Lists!$C$72:$R$232,COLUMNS(Lists!$C$69:N$69),0)*VLOOKUP(BN$3,Conversions!$B$12:$E$34,4,0),$G61*VLOOKUP($F61,Lists!$C$72:$R$232,COLUMNS(Lists!$C$69:N$69),0)*VLOOKUP(BN$3,Conversions!$B$12:$E$34,4,0)))</f>
        <v>0</v>
      </c>
      <c r="V61" s="333">
        <f>IF($F61="",0,IF($F61="Weighted Average",$G61*VLOOKUP($D61&amp;" (Install)",Lists!$C$72:$R$232,COLUMNS(Lists!$C$69:O$69),0)*VLOOKUP(BO$3,Conversions!$B$12:$E$34,4,0),$G61*VLOOKUP($F61,Lists!$C$72:$R$232,COLUMNS(Lists!$C$69:O$69),0)*VLOOKUP(BO$3,Conversions!$B$12:$E$34,4,0)))</f>
        <v>0</v>
      </c>
      <c r="W61" s="333">
        <f>IF($F61="",0,IF($F61="Weighted Average",$G61*VLOOKUP($D61&amp;" (Install)",Lists!$C$72:$R$232,COLUMNS(Lists!$C$69:P$69),0)*VLOOKUP(BP$3,Conversions!$B$12:$E$34,4,0),$G61*VLOOKUP($F61,Lists!$C$72:$R$232,COLUMNS(Lists!$C$69:P$69),0)*VLOOKUP(BP$3,Conversions!$B$12:$E$34,4,0)))</f>
        <v>0</v>
      </c>
      <c r="X61" s="333">
        <f>IF($F61="",0,IF($F61="Weighted Average",$G61*VLOOKUP($D61&amp;" (Install)",Lists!$C$72:$R$232,COLUMNS(Lists!$C$69:Q$69),0)*VLOOKUP(BQ$3,Conversions!$B$12:$E$34,4,0),$G61*VLOOKUP($F61,Lists!$C$72:$R$232,COLUMNS(Lists!$C$69:Q$69),0)*VLOOKUP(BQ$3,Conversions!$B$12:$E$34,4,0)))</f>
        <v>0</v>
      </c>
      <c r="Y61" s="333">
        <f>IF($F61="",0,IF($F61="Weighted Average",$G61*VLOOKUP($D61&amp;" (Install)",Lists!$C$72:$R$232,COLUMNS(Lists!$C$69:R$69),0)*VLOOKUP(BR$3,Conversions!$B$12:$E$34,4,0),$G61*VLOOKUP($F61,Lists!$C$72:$R$232,COLUMNS(Lists!$C$69:R$69),0)*VLOOKUP(BR$3,Conversions!$B$12:$E$34,4,0)))</f>
        <v>0</v>
      </c>
      <c r="Z61" s="325">
        <f t="shared" si="59"/>
        <v>0</v>
      </c>
      <c r="AA61" s="334">
        <f>IF($F61="",0,IF($F61="Weighted Average",$H61*VLOOKUP($D61&amp;" (Operation)",Lists!$C$72:$R$232,COLUMNS(Lists!$C$69:E$69),0)*VLOOKUP(BE$3,Conversions!$B$12:$E$34,4,0),$H61*VLOOKUP($F61,Lists!$C$72:$R$232,COLUMNS(Lists!$C$69:E$69),0)*VLOOKUP(BE$3,Conversions!$B$12:$E$34,4,0)))</f>
        <v>0</v>
      </c>
      <c r="AB61" s="334">
        <f>IF($F61="",0,IF($F61="Weighted Average",$H61*VLOOKUP($D61&amp;" (Operation)",Lists!$C$72:$R$232,COLUMNS(Lists!$C$69:F$69),0)*VLOOKUP(BF$3,Conversions!$B$12:$E$34,4,0),$H61*VLOOKUP($F61,Lists!$C$72:$R$232,COLUMNS(Lists!$C$69:F$69),0)*VLOOKUP(BF$3,Conversions!$B$12:$E$34,4,0)))</f>
        <v>0</v>
      </c>
      <c r="AC61" s="334">
        <f>IF($F61="",0,IF($F61="Weighted Average",$H61*VLOOKUP($D61&amp;" (Operation)",Lists!$C$72:$R$232,COLUMNS(Lists!$C$69:G$69),0)*VLOOKUP(BG$3,Conversions!$B$12:$E$34,4,0),$H61*VLOOKUP($F61,Lists!$C$72:$R$232,COLUMNS(Lists!$C$69:G$69),0)*VLOOKUP(BG$3,Conversions!$B$12:$E$34,4,0)))</f>
        <v>0</v>
      </c>
      <c r="AD61" s="334">
        <f>IF($F61="",0,IF($F61="Weighted Average",$H61*VLOOKUP($D61&amp;" (Operation)",Lists!$C$72:$R$232,COLUMNS(Lists!$C$69:H$69),0)*VLOOKUP(BH$3,Conversions!$B$12:$E$34,4,0),$H61*VLOOKUP($F61,Lists!$C$72:$R$232,COLUMNS(Lists!$C$69:H$69),0)*VLOOKUP(BH$3,Conversions!$B$12:$E$34,4,0)))</f>
        <v>0</v>
      </c>
      <c r="AE61" s="334">
        <f>IF($F61="",0,IF($F61="Weighted Average",$H61*VLOOKUP($D61&amp;" (Operation)",Lists!$C$72:$R$232,COLUMNS(Lists!$C$69:I$69),0)*VLOOKUP(BI$3,Conversions!$B$12:$E$34,4,0),$H61*VLOOKUP($F61,Lists!$C$72:$R$232,COLUMNS(Lists!$C$69:I$69),0)*VLOOKUP(BI$3,Conversions!$B$12:$E$34,4,0)))</f>
        <v>0</v>
      </c>
      <c r="AF61" s="334">
        <f>IF($F61="",0,IF($F61="Weighted Average",$H61*VLOOKUP($D61&amp;" (Operation)",Lists!$C$72:$R$232,COLUMNS(Lists!$C$69:J$69),0)*VLOOKUP(BJ$3,Conversions!$B$12:$E$34,4,0),$H61*VLOOKUP($F61,Lists!$C$72:$R$232,COLUMNS(Lists!$C$69:J$69),0)*VLOOKUP(BJ$3,Conversions!$B$12:$E$34,4,0)))</f>
        <v>0</v>
      </c>
      <c r="AG61" s="334">
        <f>IF($F61="",0,IF($F61="Weighted Average",$H61*VLOOKUP($D61&amp;" (Operation)",Lists!$C$72:$R$232,COLUMNS(Lists!$C$69:K$69),0)*VLOOKUP(BK$3,Conversions!$B$12:$E$34,4,0),$H61*VLOOKUP($F61,Lists!$C$72:$R$232,COLUMNS(Lists!$C$69:K$69),0)*VLOOKUP(BK$3,Conversions!$B$12:$E$34,4,0)))</f>
        <v>0</v>
      </c>
      <c r="AH61" s="334">
        <f>IF($F61="",0,IF($F61="Weighted Average",$H61*VLOOKUP($D61&amp;" (Operation)",Lists!$C$72:$R$232,COLUMNS(Lists!$C$69:L$69),0)*VLOOKUP(BL$3,Conversions!$B$12:$E$34,4,0),$H61*VLOOKUP($F61,Lists!$C$72:$R$232,COLUMNS(Lists!$C$69:L$69),0)*VLOOKUP(BL$3,Conversions!$B$12:$E$34,4,0)))</f>
        <v>0</v>
      </c>
      <c r="AI61" s="334">
        <f>IF($F61="",0,IF($F61="Weighted Average",$H61*VLOOKUP($D61&amp;" (Operation)",Lists!$C$72:$R$232,COLUMNS(Lists!$C$69:M$69),0)*VLOOKUP(BM$3,Conversions!$B$12:$E$34,4,0),$H61*VLOOKUP($F61,Lists!$C$72:$R$232,COLUMNS(Lists!$C$69:M$69),0)*VLOOKUP(BM$3,Conversions!$B$12:$E$34,4,0)))</f>
        <v>0</v>
      </c>
      <c r="AJ61" s="334">
        <f>IF($F61="",0,IF($F61="Weighted Average",$H61*VLOOKUP($D61&amp;" (Operation)",Lists!$C$72:$R$232,COLUMNS(Lists!$C$69:N$69),0)*VLOOKUP(BN$3,Conversions!$B$12:$E$34,4,0),$H61*VLOOKUP($F61,Lists!$C$72:$R$232,COLUMNS(Lists!$C$69:N$69),0)*VLOOKUP(BN$3,Conversions!$B$12:$E$34,4,0)))</f>
        <v>0</v>
      </c>
      <c r="AK61" s="334">
        <f>IF($F61="",0,IF($F61="Weighted Average",$H61*VLOOKUP($D61&amp;" (Operation)",Lists!$C$72:$R$232,COLUMNS(Lists!$C$69:O$69),0)*VLOOKUP(BO$3,Conversions!$B$12:$E$34,4,0),$H61*VLOOKUP($F61,Lists!$C$72:$R$232,COLUMNS(Lists!$C$69:O$69),0)*VLOOKUP(BO$3,Conversions!$B$12:$E$34,4,0)))</f>
        <v>0</v>
      </c>
      <c r="AL61" s="334">
        <f>IF($F61="",0,IF($F61="Weighted Average",$H61*VLOOKUP($D61&amp;" (Operation)",Lists!$C$72:$R$232,COLUMNS(Lists!$C$69:P$69),0)*VLOOKUP(BP$3,Conversions!$B$12:$E$34,4,0),$H61*VLOOKUP($F61,Lists!$C$72:$R$232,COLUMNS(Lists!$C$69:P$69),0)*VLOOKUP(BP$3,Conversions!$B$12:$E$34,4,0)))</f>
        <v>0</v>
      </c>
      <c r="AM61" s="334">
        <f>IF($F61="",0,IF($F61="Weighted Average",$H61*VLOOKUP($D61&amp;" (Operation)",Lists!$C$72:$R$232,COLUMNS(Lists!$C$69:Q$69),0)*VLOOKUP(BQ$3,Conversions!$B$12:$E$34,4,0),$H61*VLOOKUP($F61,Lists!$C$72:$R$232,COLUMNS(Lists!$C$69:Q$69),0)*VLOOKUP(BQ$3,Conversions!$B$12:$E$34,4,0)))</f>
        <v>0</v>
      </c>
      <c r="AN61" s="334">
        <f>IF($F61="",0,IF($F61="Weighted Average",$H61*VLOOKUP($D61&amp;" (Operation)",Lists!$C$72:$R$232,COLUMNS(Lists!$C$69:R$69),0)*VLOOKUP(BR$3,Conversions!$B$12:$E$34,4,0),$H61*VLOOKUP($F61,Lists!$C$72:$R$232,COLUMNS(Lists!$C$69:R$69),0)*VLOOKUP(BR$3,Conversions!$B$12:$E$34,4,0)))</f>
        <v>0</v>
      </c>
      <c r="AO61" s="330">
        <f t="shared" si="60"/>
        <v>0</v>
      </c>
      <c r="AP61" s="333">
        <f>IF($F61="",0,IF($F61="Weighted Average",$I61*VLOOKUP($D61&amp;" (Disposal)",Lists!$C$72:$R$232,COLUMNS(Lists!$C$69:E$69),0)*VLOOKUP(BE$3,Conversions!$B$12:$E$34,4,0),$I61*VLOOKUP($F61,Lists!$C$72:$R$232,COLUMNS(Lists!$C$69:E$69),0)*VLOOKUP(BE$3,Conversions!$B$12:$E$34,4,0)))</f>
        <v>0</v>
      </c>
      <c r="AQ61" s="333">
        <f>IF($F61="",0,IF($F61="Weighted Average",$I61*VLOOKUP($D61&amp;" (Disposal)",Lists!$C$72:$R$232,COLUMNS(Lists!$C$69:F$69),0)*VLOOKUP(BF$3,Conversions!$B$12:$E$34,4,0),$I61*VLOOKUP($F61,Lists!$C$72:$R$232,COLUMNS(Lists!$C$69:F$69),0)*VLOOKUP(BF$3,Conversions!$B$12:$E$34,4,0)))</f>
        <v>0</v>
      </c>
      <c r="AR61" s="333">
        <f>IF($F61="",0,IF($F61="Weighted Average",$I61*VLOOKUP($D61&amp;" (Disposal)",Lists!$C$72:$R$232,COLUMNS(Lists!$C$69:G$69),0)*VLOOKUP(BG$3,Conversions!$B$12:$E$34,4,0),$I61*VLOOKUP($F61,Lists!$C$72:$R$232,COLUMNS(Lists!$C$69:G$69),0)*VLOOKUP(BG$3,Conversions!$B$12:$E$34,4,0)))</f>
        <v>0</v>
      </c>
      <c r="AS61" s="333">
        <f>IF($F61="",0,IF($F61="Weighted Average",$I61*VLOOKUP($D61&amp;" (Disposal)",Lists!$C$72:$R$232,COLUMNS(Lists!$C$69:H$69),0)*VLOOKUP(BH$3,Conversions!$B$12:$E$34,4,0),$I61*VLOOKUP($F61,Lists!$C$72:$R$232,COLUMNS(Lists!$C$69:H$69),0)*VLOOKUP(BH$3,Conversions!$B$12:$E$34,4,0)))</f>
        <v>0</v>
      </c>
      <c r="AT61" s="333">
        <f>IF($F61="",0,IF($F61="Weighted Average",$I61*VLOOKUP($D61&amp;" (Disposal)",Lists!$C$72:$R$232,COLUMNS(Lists!$C$69:I$69),0)*VLOOKUP(BI$3,Conversions!$B$12:$E$34,4,0),$I61*VLOOKUP($F61,Lists!$C$72:$R$232,COLUMNS(Lists!$C$69:I$69),0)*VLOOKUP(BI$3,Conversions!$B$12:$E$34,4,0)))</f>
        <v>0</v>
      </c>
      <c r="AU61" s="333">
        <f>IF($F61="",0,IF($F61="Weighted Average",$I61*VLOOKUP($D61&amp;" (Disposal)",Lists!$C$72:$R$232,COLUMNS(Lists!$C$69:J$69),0)*VLOOKUP(BJ$3,Conversions!$B$12:$E$34,4,0),$I61*VLOOKUP($F61,Lists!$C$72:$R$232,COLUMNS(Lists!$C$69:J$69),0)*VLOOKUP(BJ$3,Conversions!$B$12:$E$34,4,0)))</f>
        <v>0</v>
      </c>
      <c r="AV61" s="333">
        <f>IF($F61="",0,IF($F61="Weighted Average",$I61*VLOOKUP($D61&amp;" (Disposal)",Lists!$C$72:$R$232,COLUMNS(Lists!$C$69:K$69),0)*VLOOKUP(BK$3,Conversions!$B$12:$E$34,4,0),$I61*VLOOKUP($F61,Lists!$C$72:$R$232,COLUMNS(Lists!$C$69:K$69),0)*VLOOKUP(BK$3,Conversions!$B$12:$E$34,4,0)))</f>
        <v>0</v>
      </c>
      <c r="AW61" s="333">
        <f>IF($F61="",0,IF($F61="Weighted Average",$I61*VLOOKUP($D61&amp;" (Disposal)",Lists!$C$72:$R$232,COLUMNS(Lists!$C$69:L$69),0)*VLOOKUP(BL$3,Conversions!$B$12:$E$34,4,0),$I61*VLOOKUP($F61,Lists!$C$72:$R$232,COLUMNS(Lists!$C$69:L$69),0)*VLOOKUP(BL$3,Conversions!$B$12:$E$34,4,0)))</f>
        <v>0</v>
      </c>
      <c r="AX61" s="333">
        <f>IF($F61="",0,IF($F61="Weighted Average",$I61*VLOOKUP($D61&amp;" (Disposal)",Lists!$C$72:$R$232,COLUMNS(Lists!$C$69:M$69),0)*VLOOKUP(BM$3,Conversions!$B$12:$E$34,4,0),$I61*VLOOKUP($F61,Lists!$C$72:$R$232,COLUMNS(Lists!$C$69:M$69),0)*VLOOKUP(BM$3,Conversions!$B$12:$E$34,4,0)))</f>
        <v>0</v>
      </c>
      <c r="AY61" s="333">
        <f>IF($F61="",0,IF($F61="Weighted Average",$I61*VLOOKUP($D61&amp;" (Disposal)",Lists!$C$72:$R$232,COLUMNS(Lists!$C$69:N$69),0)*VLOOKUP(BN$3,Conversions!$B$12:$E$34,4,0),$I61*VLOOKUP($F61,Lists!$C$72:$R$232,COLUMNS(Lists!$C$69:N$69),0)*VLOOKUP(BN$3,Conversions!$B$12:$E$34,4,0)))</f>
        <v>0</v>
      </c>
      <c r="AZ61" s="333">
        <f>IF($F61="",0,IF($F61="Weighted Average",$I61*VLOOKUP($D61&amp;" (Disposal)",Lists!$C$72:$R$232,COLUMNS(Lists!$C$69:O$69),0)*VLOOKUP(BO$3,Conversions!$B$12:$E$34,4,0),$I61*VLOOKUP($F61,Lists!$C$72:$R$232,COLUMNS(Lists!$C$69:O$69),0)*VLOOKUP(BO$3,Conversions!$B$12:$E$34,4,0)))</f>
        <v>0</v>
      </c>
      <c r="BA61" s="333">
        <f>IF($F61="",0,IF($F61="Weighted Average",$I61*VLOOKUP($D61&amp;" (Disposal)",Lists!$C$72:$R$232,COLUMNS(Lists!$C$69:P$69),0)*VLOOKUP(BP$3,Conversions!$B$12:$E$34,4,0),$I61*VLOOKUP($F61,Lists!$C$72:$R$232,COLUMNS(Lists!$C$69:P$69),0)*VLOOKUP(BP$3,Conversions!$B$12:$E$34,4,0)))</f>
        <v>0</v>
      </c>
      <c r="BB61" s="333">
        <f>IF($F61="",0,IF($F61="Weighted Average",$I61*VLOOKUP($D61&amp;" (Disposal)",Lists!$C$72:$R$232,COLUMNS(Lists!$C$69:Q$69),0)*VLOOKUP(BQ$3,Conversions!$B$12:$E$34,4,0),$I61*VLOOKUP($F61,Lists!$C$72:$R$232,COLUMNS(Lists!$C$69:Q$69),0)*VLOOKUP(BQ$3,Conversions!$B$12:$E$34,4,0)))</f>
        <v>0</v>
      </c>
      <c r="BC61" s="333">
        <f>IF($F61="",0,IF($F61="Weighted Average",$I61*VLOOKUP($D61&amp;" (Disposal)",Lists!$C$72:$R$232,COLUMNS(Lists!$C$69:R$69),0)*VLOOKUP(BR$3,Conversions!$B$12:$E$34,4,0),$I61*VLOOKUP($F61,Lists!$C$72:$R$232,COLUMNS(Lists!$C$69:R$69),0)*VLOOKUP(BR$3,Conversions!$B$12:$E$34,4,0)))</f>
        <v>0</v>
      </c>
      <c r="BD61" s="333">
        <f t="shared" si="61"/>
        <v>0</v>
      </c>
      <c r="BE61" s="330">
        <f t="shared" si="62"/>
        <v>0</v>
      </c>
      <c r="BF61" s="330">
        <f t="shared" si="63"/>
        <v>0</v>
      </c>
      <c r="BG61" s="330">
        <f t="shared" si="64"/>
        <v>0</v>
      </c>
      <c r="BH61" s="330">
        <f t="shared" si="65"/>
        <v>0</v>
      </c>
      <c r="BI61" s="330">
        <f t="shared" si="66"/>
        <v>0</v>
      </c>
      <c r="BJ61" s="330">
        <f t="shared" si="67"/>
        <v>0</v>
      </c>
      <c r="BK61" s="330">
        <f t="shared" si="68"/>
        <v>0</v>
      </c>
      <c r="BL61" s="330">
        <f t="shared" si="69"/>
        <v>0</v>
      </c>
      <c r="BM61" s="330">
        <f t="shared" si="70"/>
        <v>0</v>
      </c>
      <c r="BN61" s="330">
        <f t="shared" si="71"/>
        <v>0</v>
      </c>
      <c r="BO61" s="330">
        <f t="shared" si="72"/>
        <v>0</v>
      </c>
      <c r="BP61" s="330">
        <f t="shared" si="73"/>
        <v>0</v>
      </c>
      <c r="BQ61" s="330">
        <f t="shared" si="74"/>
        <v>0</v>
      </c>
      <c r="BR61" s="330">
        <f t="shared" si="75"/>
        <v>0</v>
      </c>
      <c r="BS61" s="330">
        <f t="shared" si="76"/>
        <v>0</v>
      </c>
      <c r="BT61" s="329">
        <f t="shared" si="77"/>
        <v>0</v>
      </c>
      <c r="BU61" s="329">
        <f t="shared" si="77"/>
        <v>0</v>
      </c>
      <c r="BV61" s="329">
        <f t="shared" si="77"/>
        <v>0</v>
      </c>
      <c r="BW61" s="329">
        <f t="shared" si="77"/>
        <v>0</v>
      </c>
      <c r="BX61" s="329">
        <f t="shared" si="77"/>
        <v>0</v>
      </c>
      <c r="BY61" s="329">
        <f t="shared" si="77"/>
        <v>0</v>
      </c>
      <c r="BZ61" s="329">
        <f t="shared" si="77"/>
        <v>0</v>
      </c>
      <c r="CA61" s="329">
        <f t="shared" si="77"/>
        <v>0</v>
      </c>
      <c r="CB61" s="329">
        <f t="shared" si="77"/>
        <v>0</v>
      </c>
      <c r="CC61" s="329">
        <f t="shared" si="77"/>
        <v>0</v>
      </c>
      <c r="CD61" s="329">
        <f t="shared" si="77"/>
        <v>0</v>
      </c>
      <c r="CE61" s="329">
        <f t="shared" si="77"/>
        <v>0</v>
      </c>
      <c r="CF61" s="329">
        <f t="shared" si="77"/>
        <v>0</v>
      </c>
      <c r="CG61" s="329">
        <f t="shared" si="77"/>
        <v>0</v>
      </c>
      <c r="CH61" s="329">
        <f t="shared" si="77"/>
        <v>0</v>
      </c>
      <c r="CI61" s="329">
        <f t="shared" si="77"/>
        <v>0</v>
      </c>
      <c r="CJ61" s="331">
        <f t="shared" si="78"/>
        <v>0</v>
      </c>
      <c r="CK61" s="330">
        <f t="shared" si="79"/>
        <v>0</v>
      </c>
      <c r="CL61" s="330">
        <f t="shared" si="80"/>
        <v>0</v>
      </c>
      <c r="CM61" s="330">
        <f t="shared" si="81"/>
        <v>0</v>
      </c>
      <c r="CN61" s="330">
        <f t="shared" si="82"/>
        <v>0</v>
      </c>
      <c r="CO61" s="330">
        <f t="shared" si="83"/>
        <v>0</v>
      </c>
      <c r="CP61" s="330">
        <f t="shared" si="84"/>
        <v>0</v>
      </c>
      <c r="CQ61" s="330">
        <f t="shared" si="11"/>
        <v>0</v>
      </c>
      <c r="CR61" s="330">
        <f t="shared" si="85"/>
        <v>0</v>
      </c>
      <c r="CS61" s="330">
        <f t="shared" si="86"/>
        <v>0</v>
      </c>
      <c r="CT61" s="330">
        <f t="shared" si="87"/>
        <v>0</v>
      </c>
      <c r="CU61" s="330">
        <f t="shared" si="88"/>
        <v>0</v>
      </c>
      <c r="CV61" s="330">
        <f t="shared" si="88"/>
        <v>0</v>
      </c>
      <c r="CW61" s="330">
        <f t="shared" si="88"/>
        <v>0</v>
      </c>
      <c r="CX61" s="330">
        <f t="shared" si="88"/>
        <v>0</v>
      </c>
      <c r="CY61" s="330">
        <f t="shared" si="88"/>
        <v>0</v>
      </c>
      <c r="CZ61" s="330">
        <f t="shared" si="88"/>
        <v>0</v>
      </c>
      <c r="DA61" s="330">
        <f t="shared" si="88"/>
        <v>0</v>
      </c>
      <c r="DB61" s="330">
        <f t="shared" si="88"/>
        <v>0</v>
      </c>
      <c r="DC61" s="330">
        <f t="shared" si="88"/>
        <v>0</v>
      </c>
      <c r="DD61" s="330">
        <f t="shared" si="88"/>
        <v>0</v>
      </c>
      <c r="DE61" s="330">
        <f t="shared" si="89"/>
        <v>0</v>
      </c>
      <c r="DF61" s="330">
        <f t="shared" si="89"/>
        <v>0</v>
      </c>
      <c r="DG61" s="330">
        <f t="shared" si="89"/>
        <v>0</v>
      </c>
      <c r="DH61" s="330">
        <f t="shared" si="89"/>
        <v>0</v>
      </c>
      <c r="DI61" s="330">
        <f t="shared" si="89"/>
        <v>0</v>
      </c>
      <c r="DJ61" s="330">
        <f t="shared" si="89"/>
        <v>0</v>
      </c>
      <c r="DK61" s="330">
        <f t="shared" si="89"/>
        <v>0</v>
      </c>
      <c r="DL61" s="330">
        <f t="shared" si="89"/>
        <v>0</v>
      </c>
      <c r="DM61" s="330">
        <f t="shared" si="89"/>
        <v>0</v>
      </c>
      <c r="DN61" s="330">
        <f t="shared" si="89"/>
        <v>0</v>
      </c>
      <c r="DO61" s="330">
        <f t="shared" si="89"/>
        <v>0</v>
      </c>
      <c r="DP61" s="330">
        <f t="shared" si="90"/>
        <v>0</v>
      </c>
      <c r="DQ61" s="217"/>
      <c r="DR61" s="217"/>
      <c r="DS61" s="217"/>
      <c r="DT61" s="217"/>
    </row>
    <row r="62" spans="1:124" x14ac:dyDescent="0.3">
      <c r="A62" s="332"/>
      <c r="B62" s="221" t="s">
        <v>304</v>
      </c>
      <c r="C62" s="221" t="str">
        <f>IF('Simplified Material Balance'!C32=0,"",'Simplified Material Balance'!C32)</f>
        <v/>
      </c>
      <c r="D62" s="221" t="str">
        <f>IF('Simplified Material Balance'!D32=0,"",'Simplified Material Balance'!D32)</f>
        <v/>
      </c>
      <c r="E62" s="221" t="str">
        <f>IF('Simplified Material Balance'!E32=0,"",'Simplified Material Balance'!E32)</f>
        <v/>
      </c>
      <c r="F62" s="221" t="str">
        <f>IF('Simplified Material Balance'!F32=0,"",'Simplified Material Balance'!F32)</f>
        <v/>
      </c>
      <c r="G62" s="272">
        <f>IF('Simplified Material Balance'!H32&gt;'Simplified Material Balance'!G32,0,('Simplified Material Balance'!G32-'Simplified Material Balance'!H32)*Conversions!$C$4)</f>
        <v>0</v>
      </c>
      <c r="H62" s="272">
        <f>'Simplified Material Balance'!I32*Conversions!$C$4</f>
        <v>0</v>
      </c>
      <c r="I62" s="272">
        <f>('Simplified Material Balance'!J32-'Simplified Material Balance'!K32)*Conversions!$C$4</f>
        <v>0</v>
      </c>
      <c r="J62" s="325">
        <f>IF('Simplified Material Balance'!L32=0,0,'Simplified Material Balance'!L32)</f>
        <v>0</v>
      </c>
      <c r="K62" s="465"/>
      <c r="L62" s="333">
        <f>IF($F62="",0,IF($F62="Weighted Average",$G62*VLOOKUP($D62&amp;" (Install)",Lists!$C$72:$R$232,COLUMNS(Lists!$C$69:E$69),0)*VLOOKUP(BE$3,Conversions!$B$12:$E$34,4,0),$G62*VLOOKUP($F62,Lists!$C$72:$R$232,COLUMNS(Lists!$C$69:E$69),0)*VLOOKUP(BE$3,Conversions!$B$12:$E$34,4,0)))</f>
        <v>0</v>
      </c>
      <c r="M62" s="333">
        <f>IF($F62="",0,IF($F62="Weighted Average",$G62*VLOOKUP($D62&amp;" (Install)",Lists!$C$72:$R$232,COLUMNS(Lists!$C$69:F$69),0)*VLOOKUP(BF$3,Conversions!$B$12:$E$34,4,0),$G62*VLOOKUP($F62,Lists!$C$72:$R$232,COLUMNS(Lists!$C$69:F$69),0)*VLOOKUP(BF$3,Conversions!$B$12:$E$34,4,0)))</f>
        <v>0</v>
      </c>
      <c r="N62" s="333">
        <f>IF($F62="",0,IF($F62="Weighted Average",$G62*VLOOKUP($D62&amp;" (Install)",Lists!$C$72:$R$232,COLUMNS(Lists!$C$69:G$69),0)*VLOOKUP(BG$3,Conversions!$B$12:$E$34,4,0),$G62*VLOOKUP($F62,Lists!$C$72:$R$232,COLUMNS(Lists!$C$69:G$69),0)*VLOOKUP(BG$3,Conversions!$B$12:$E$34,4,0)))</f>
        <v>0</v>
      </c>
      <c r="O62" s="333">
        <f>IF($F62="",0,IF($F62="Weighted Average",$G62*VLOOKUP($D62&amp;" (Install)",Lists!$C$72:$R$232,COLUMNS(Lists!$C$69:H$69),0)*VLOOKUP(BH$3,Conversions!$B$12:$E$34,4,0),$G62*VLOOKUP($F62,Lists!$C$72:$R$232,COLUMNS(Lists!$C$69:H$69),0)*VLOOKUP(BH$3,Conversions!$B$12:$E$34,4,0)))</f>
        <v>0</v>
      </c>
      <c r="P62" s="333">
        <f>IF($F62="",0,IF($F62="Weighted Average",$G62*VLOOKUP($D62&amp;" (Install)",Lists!$C$72:$R$232,COLUMNS(Lists!$C$69:I$69),0)*VLOOKUP(BI$3,Conversions!$B$12:$E$34,4,0),$G62*VLOOKUP($F62,Lists!$C$72:$R$232,COLUMNS(Lists!$C$69:I$69),0)*VLOOKUP(BI$3,Conversions!$B$12:$E$34,4,0)))</f>
        <v>0</v>
      </c>
      <c r="Q62" s="333">
        <f>IF($F62="",0,IF($F62="Weighted Average",$G62*VLOOKUP($D62&amp;" (Install)",Lists!$C$72:$R$232,COLUMNS(Lists!$C$69:J$69),0)*VLOOKUP(BJ$3,Conversions!$B$12:$E$34,4,0),$G62*VLOOKUP($F62,Lists!$C$72:$R$232,COLUMNS(Lists!$C$69:J$69),0)*VLOOKUP(BJ$3,Conversions!$B$12:$E$34,4,0)))</f>
        <v>0</v>
      </c>
      <c r="R62" s="333">
        <f>IF($F62="",0,IF($F62="Weighted Average",$G62*VLOOKUP($D62&amp;" (Install)",Lists!$C$72:$R$232,COLUMNS(Lists!$C$69:K$69),0)*VLOOKUP(BK$3,Conversions!$B$12:$E$34,4,0),$G62*VLOOKUP($F62,Lists!$C$72:$R$232,COLUMNS(Lists!$C$69:K$69),0)*VLOOKUP(BK$3,Conversions!$B$12:$E$34,4,0)))</f>
        <v>0</v>
      </c>
      <c r="S62" s="333">
        <f>IF($F62="",0,IF($F62="Weighted Average",$G62*VLOOKUP($D62&amp;" (Install)",Lists!$C$72:$R$232,COLUMNS(Lists!$C$69:L$69),0)*VLOOKUP(BL$3,Conversions!$B$12:$E$34,4,0),$G62*VLOOKUP($F62,Lists!$C$72:$R$232,COLUMNS(Lists!$C$69:L$69),0)*VLOOKUP(BL$3,Conversions!$B$12:$E$34,4,0)))</f>
        <v>0</v>
      </c>
      <c r="T62" s="333">
        <f>IF($F62="",0,IF($F62="Weighted Average",$G62*VLOOKUP($D62&amp;" (Install)",Lists!$C$72:$R$232,COLUMNS(Lists!$C$69:M$69),0)*VLOOKUP(BM$3,Conversions!$B$12:$E$34,4,0),$G62*VLOOKUP($F62,Lists!$C$72:$R$232,COLUMNS(Lists!$C$69:M$69),0)*VLOOKUP(BM$3,Conversions!$B$12:$E$34,4,0)))</f>
        <v>0</v>
      </c>
      <c r="U62" s="333">
        <f>IF($F62="",0,IF($F62="Weighted Average",$G62*VLOOKUP($D62&amp;" (Install)",Lists!$C$72:$R$232,COLUMNS(Lists!$C$69:N$69),0)*VLOOKUP(BN$3,Conversions!$B$12:$E$34,4,0),$G62*VLOOKUP($F62,Lists!$C$72:$R$232,COLUMNS(Lists!$C$69:N$69),0)*VLOOKUP(BN$3,Conversions!$B$12:$E$34,4,0)))</f>
        <v>0</v>
      </c>
      <c r="V62" s="333">
        <f>IF($F62="",0,IF($F62="Weighted Average",$G62*VLOOKUP($D62&amp;" (Install)",Lists!$C$72:$R$232,COLUMNS(Lists!$C$69:O$69),0)*VLOOKUP(BO$3,Conversions!$B$12:$E$34,4,0),$G62*VLOOKUP($F62,Lists!$C$72:$R$232,COLUMNS(Lists!$C$69:O$69),0)*VLOOKUP(BO$3,Conversions!$B$12:$E$34,4,0)))</f>
        <v>0</v>
      </c>
      <c r="W62" s="333">
        <f>IF($F62="",0,IF($F62="Weighted Average",$G62*VLOOKUP($D62&amp;" (Install)",Lists!$C$72:$R$232,COLUMNS(Lists!$C$69:P$69),0)*VLOOKUP(BP$3,Conversions!$B$12:$E$34,4,0),$G62*VLOOKUP($F62,Lists!$C$72:$R$232,COLUMNS(Lists!$C$69:P$69),0)*VLOOKUP(BP$3,Conversions!$B$12:$E$34,4,0)))</f>
        <v>0</v>
      </c>
      <c r="X62" s="333">
        <f>IF($F62="",0,IF($F62="Weighted Average",$G62*VLOOKUP($D62&amp;" (Install)",Lists!$C$72:$R$232,COLUMNS(Lists!$C$69:Q$69),0)*VLOOKUP(BQ$3,Conversions!$B$12:$E$34,4,0),$G62*VLOOKUP($F62,Lists!$C$72:$R$232,COLUMNS(Lists!$C$69:Q$69),0)*VLOOKUP(BQ$3,Conversions!$B$12:$E$34,4,0)))</f>
        <v>0</v>
      </c>
      <c r="Y62" s="333">
        <f>IF($F62="",0,IF($F62="Weighted Average",$G62*VLOOKUP($D62&amp;" (Install)",Lists!$C$72:$R$232,COLUMNS(Lists!$C$69:R$69),0)*VLOOKUP(BR$3,Conversions!$B$12:$E$34,4,0),$G62*VLOOKUP($F62,Lists!$C$72:$R$232,COLUMNS(Lists!$C$69:R$69),0)*VLOOKUP(BR$3,Conversions!$B$12:$E$34,4,0)))</f>
        <v>0</v>
      </c>
      <c r="Z62" s="325">
        <f t="shared" si="59"/>
        <v>0</v>
      </c>
      <c r="AA62" s="334">
        <f>IF($F62="",0,IF($F62="Weighted Average",$H62*VLOOKUP($D62&amp;" (Operation)",Lists!$C$72:$R$232,COLUMNS(Lists!$C$69:E$69),0)*VLOOKUP(BE$3,Conversions!$B$12:$E$34,4,0),$H62*VLOOKUP($F62,Lists!$C$72:$R$232,COLUMNS(Lists!$C$69:E$69),0)*VLOOKUP(BE$3,Conversions!$B$12:$E$34,4,0)))</f>
        <v>0</v>
      </c>
      <c r="AB62" s="334">
        <f>IF($F62="",0,IF($F62="Weighted Average",$H62*VLOOKUP($D62&amp;" (Operation)",Lists!$C$72:$R$232,COLUMNS(Lists!$C$69:F$69),0)*VLOOKUP(BF$3,Conversions!$B$12:$E$34,4,0),$H62*VLOOKUP($F62,Lists!$C$72:$R$232,COLUMNS(Lists!$C$69:F$69),0)*VLOOKUP(BF$3,Conversions!$B$12:$E$34,4,0)))</f>
        <v>0</v>
      </c>
      <c r="AC62" s="334">
        <f>IF($F62="",0,IF($F62="Weighted Average",$H62*VLOOKUP($D62&amp;" (Operation)",Lists!$C$72:$R$232,COLUMNS(Lists!$C$69:G$69),0)*VLOOKUP(BG$3,Conversions!$B$12:$E$34,4,0),$H62*VLOOKUP($F62,Lists!$C$72:$R$232,COLUMNS(Lists!$C$69:G$69),0)*VLOOKUP(BG$3,Conversions!$B$12:$E$34,4,0)))</f>
        <v>0</v>
      </c>
      <c r="AD62" s="334">
        <f>IF($F62="",0,IF($F62="Weighted Average",$H62*VLOOKUP($D62&amp;" (Operation)",Lists!$C$72:$R$232,COLUMNS(Lists!$C$69:H$69),0)*VLOOKUP(BH$3,Conversions!$B$12:$E$34,4,0),$H62*VLOOKUP($F62,Lists!$C$72:$R$232,COLUMNS(Lists!$C$69:H$69),0)*VLOOKUP(BH$3,Conversions!$B$12:$E$34,4,0)))</f>
        <v>0</v>
      </c>
      <c r="AE62" s="334">
        <f>IF($F62="",0,IF($F62="Weighted Average",$H62*VLOOKUP($D62&amp;" (Operation)",Lists!$C$72:$R$232,COLUMNS(Lists!$C$69:I$69),0)*VLOOKUP(BI$3,Conversions!$B$12:$E$34,4,0),$H62*VLOOKUP($F62,Lists!$C$72:$R$232,COLUMNS(Lists!$C$69:I$69),0)*VLOOKUP(BI$3,Conversions!$B$12:$E$34,4,0)))</f>
        <v>0</v>
      </c>
      <c r="AF62" s="334">
        <f>IF($F62="",0,IF($F62="Weighted Average",$H62*VLOOKUP($D62&amp;" (Operation)",Lists!$C$72:$R$232,COLUMNS(Lists!$C$69:J$69),0)*VLOOKUP(BJ$3,Conversions!$B$12:$E$34,4,0),$H62*VLOOKUP($F62,Lists!$C$72:$R$232,COLUMNS(Lists!$C$69:J$69),0)*VLOOKUP(BJ$3,Conversions!$B$12:$E$34,4,0)))</f>
        <v>0</v>
      </c>
      <c r="AG62" s="334">
        <f>IF($F62="",0,IF($F62="Weighted Average",$H62*VLOOKUP($D62&amp;" (Operation)",Lists!$C$72:$R$232,COLUMNS(Lists!$C$69:K$69),0)*VLOOKUP(BK$3,Conversions!$B$12:$E$34,4,0),$H62*VLOOKUP($F62,Lists!$C$72:$R$232,COLUMNS(Lists!$C$69:K$69),0)*VLOOKUP(BK$3,Conversions!$B$12:$E$34,4,0)))</f>
        <v>0</v>
      </c>
      <c r="AH62" s="334">
        <f>IF($F62="",0,IF($F62="Weighted Average",$H62*VLOOKUP($D62&amp;" (Operation)",Lists!$C$72:$R$232,COLUMNS(Lists!$C$69:L$69),0)*VLOOKUP(BL$3,Conversions!$B$12:$E$34,4,0),$H62*VLOOKUP($F62,Lists!$C$72:$R$232,COLUMNS(Lists!$C$69:L$69),0)*VLOOKUP(BL$3,Conversions!$B$12:$E$34,4,0)))</f>
        <v>0</v>
      </c>
      <c r="AI62" s="334">
        <f>IF($F62="",0,IF($F62="Weighted Average",$H62*VLOOKUP($D62&amp;" (Operation)",Lists!$C$72:$R$232,COLUMNS(Lists!$C$69:M$69),0)*VLOOKUP(BM$3,Conversions!$B$12:$E$34,4,0),$H62*VLOOKUP($F62,Lists!$C$72:$R$232,COLUMNS(Lists!$C$69:M$69),0)*VLOOKUP(BM$3,Conversions!$B$12:$E$34,4,0)))</f>
        <v>0</v>
      </c>
      <c r="AJ62" s="334">
        <f>IF($F62="",0,IF($F62="Weighted Average",$H62*VLOOKUP($D62&amp;" (Operation)",Lists!$C$72:$R$232,COLUMNS(Lists!$C$69:N$69),0)*VLOOKUP(BN$3,Conversions!$B$12:$E$34,4,0),$H62*VLOOKUP($F62,Lists!$C$72:$R$232,COLUMNS(Lists!$C$69:N$69),0)*VLOOKUP(BN$3,Conversions!$B$12:$E$34,4,0)))</f>
        <v>0</v>
      </c>
      <c r="AK62" s="334">
        <f>IF($F62="",0,IF($F62="Weighted Average",$H62*VLOOKUP($D62&amp;" (Operation)",Lists!$C$72:$R$232,COLUMNS(Lists!$C$69:O$69),0)*VLOOKUP(BO$3,Conversions!$B$12:$E$34,4,0),$H62*VLOOKUP($F62,Lists!$C$72:$R$232,COLUMNS(Lists!$C$69:O$69),0)*VLOOKUP(BO$3,Conversions!$B$12:$E$34,4,0)))</f>
        <v>0</v>
      </c>
      <c r="AL62" s="334">
        <f>IF($F62="",0,IF($F62="Weighted Average",$H62*VLOOKUP($D62&amp;" (Operation)",Lists!$C$72:$R$232,COLUMNS(Lists!$C$69:P$69),0)*VLOOKUP(BP$3,Conversions!$B$12:$E$34,4,0),$H62*VLOOKUP($F62,Lists!$C$72:$R$232,COLUMNS(Lists!$C$69:P$69),0)*VLOOKUP(BP$3,Conversions!$B$12:$E$34,4,0)))</f>
        <v>0</v>
      </c>
      <c r="AM62" s="334">
        <f>IF($F62="",0,IF($F62="Weighted Average",$H62*VLOOKUP($D62&amp;" (Operation)",Lists!$C$72:$R$232,COLUMNS(Lists!$C$69:Q$69),0)*VLOOKUP(BQ$3,Conversions!$B$12:$E$34,4,0),$H62*VLOOKUP($F62,Lists!$C$72:$R$232,COLUMNS(Lists!$C$69:Q$69),0)*VLOOKUP(BQ$3,Conversions!$B$12:$E$34,4,0)))</f>
        <v>0</v>
      </c>
      <c r="AN62" s="334">
        <f>IF($F62="",0,IF($F62="Weighted Average",$H62*VLOOKUP($D62&amp;" (Operation)",Lists!$C$72:$R$232,COLUMNS(Lists!$C$69:R$69),0)*VLOOKUP(BR$3,Conversions!$B$12:$E$34,4,0),$H62*VLOOKUP($F62,Lists!$C$72:$R$232,COLUMNS(Lists!$C$69:R$69),0)*VLOOKUP(BR$3,Conversions!$B$12:$E$34,4,0)))</f>
        <v>0</v>
      </c>
      <c r="AO62" s="330">
        <f t="shared" si="60"/>
        <v>0</v>
      </c>
      <c r="AP62" s="333">
        <f>IF($F62="",0,IF($F62="Weighted Average",$I62*VLOOKUP($D62&amp;" (Disposal)",Lists!$C$72:$R$232,COLUMNS(Lists!$C$69:E$69),0)*VLOOKUP(BE$3,Conversions!$B$12:$E$34,4,0),$I62*VLOOKUP($F62,Lists!$C$72:$R$232,COLUMNS(Lists!$C$69:E$69),0)*VLOOKUP(BE$3,Conversions!$B$12:$E$34,4,0)))</f>
        <v>0</v>
      </c>
      <c r="AQ62" s="333">
        <f>IF($F62="",0,IF($F62="Weighted Average",$I62*VLOOKUP($D62&amp;" (Disposal)",Lists!$C$72:$R$232,COLUMNS(Lists!$C$69:F$69),0)*VLOOKUP(BF$3,Conversions!$B$12:$E$34,4,0),$I62*VLOOKUP($F62,Lists!$C$72:$R$232,COLUMNS(Lists!$C$69:F$69),0)*VLOOKUP(BF$3,Conversions!$B$12:$E$34,4,0)))</f>
        <v>0</v>
      </c>
      <c r="AR62" s="333">
        <f>IF($F62="",0,IF($F62="Weighted Average",$I62*VLOOKUP($D62&amp;" (Disposal)",Lists!$C$72:$R$232,COLUMNS(Lists!$C$69:G$69),0)*VLOOKUP(BG$3,Conversions!$B$12:$E$34,4,0),$I62*VLOOKUP($F62,Lists!$C$72:$R$232,COLUMNS(Lists!$C$69:G$69),0)*VLOOKUP(BG$3,Conversions!$B$12:$E$34,4,0)))</f>
        <v>0</v>
      </c>
      <c r="AS62" s="333">
        <f>IF($F62="",0,IF($F62="Weighted Average",$I62*VLOOKUP($D62&amp;" (Disposal)",Lists!$C$72:$R$232,COLUMNS(Lists!$C$69:H$69),0)*VLOOKUP(BH$3,Conversions!$B$12:$E$34,4,0),$I62*VLOOKUP($F62,Lists!$C$72:$R$232,COLUMNS(Lists!$C$69:H$69),0)*VLOOKUP(BH$3,Conversions!$B$12:$E$34,4,0)))</f>
        <v>0</v>
      </c>
      <c r="AT62" s="333">
        <f>IF($F62="",0,IF($F62="Weighted Average",$I62*VLOOKUP($D62&amp;" (Disposal)",Lists!$C$72:$R$232,COLUMNS(Lists!$C$69:I$69),0)*VLOOKUP(BI$3,Conversions!$B$12:$E$34,4,0),$I62*VLOOKUP($F62,Lists!$C$72:$R$232,COLUMNS(Lists!$C$69:I$69),0)*VLOOKUP(BI$3,Conversions!$B$12:$E$34,4,0)))</f>
        <v>0</v>
      </c>
      <c r="AU62" s="333">
        <f>IF($F62="",0,IF($F62="Weighted Average",$I62*VLOOKUP($D62&amp;" (Disposal)",Lists!$C$72:$R$232,COLUMNS(Lists!$C$69:J$69),0)*VLOOKUP(BJ$3,Conversions!$B$12:$E$34,4,0),$I62*VLOOKUP($F62,Lists!$C$72:$R$232,COLUMNS(Lists!$C$69:J$69),0)*VLOOKUP(BJ$3,Conversions!$B$12:$E$34,4,0)))</f>
        <v>0</v>
      </c>
      <c r="AV62" s="333">
        <f>IF($F62="",0,IF($F62="Weighted Average",$I62*VLOOKUP($D62&amp;" (Disposal)",Lists!$C$72:$R$232,COLUMNS(Lists!$C$69:K$69),0)*VLOOKUP(BK$3,Conversions!$B$12:$E$34,4,0),$I62*VLOOKUP($F62,Lists!$C$72:$R$232,COLUMNS(Lists!$C$69:K$69),0)*VLOOKUP(BK$3,Conversions!$B$12:$E$34,4,0)))</f>
        <v>0</v>
      </c>
      <c r="AW62" s="333">
        <f>IF($F62="",0,IF($F62="Weighted Average",$I62*VLOOKUP($D62&amp;" (Disposal)",Lists!$C$72:$R$232,COLUMNS(Lists!$C$69:L$69),0)*VLOOKUP(BL$3,Conversions!$B$12:$E$34,4,0),$I62*VLOOKUP($F62,Lists!$C$72:$R$232,COLUMNS(Lists!$C$69:L$69),0)*VLOOKUP(BL$3,Conversions!$B$12:$E$34,4,0)))</f>
        <v>0</v>
      </c>
      <c r="AX62" s="333">
        <f>IF($F62="",0,IF($F62="Weighted Average",$I62*VLOOKUP($D62&amp;" (Disposal)",Lists!$C$72:$R$232,COLUMNS(Lists!$C$69:M$69),0)*VLOOKUP(BM$3,Conversions!$B$12:$E$34,4,0),$I62*VLOOKUP($F62,Lists!$C$72:$R$232,COLUMNS(Lists!$C$69:M$69),0)*VLOOKUP(BM$3,Conversions!$B$12:$E$34,4,0)))</f>
        <v>0</v>
      </c>
      <c r="AY62" s="333">
        <f>IF($F62="",0,IF($F62="Weighted Average",$I62*VLOOKUP($D62&amp;" (Disposal)",Lists!$C$72:$R$232,COLUMNS(Lists!$C$69:N$69),0)*VLOOKUP(BN$3,Conversions!$B$12:$E$34,4,0),$I62*VLOOKUP($F62,Lists!$C$72:$R$232,COLUMNS(Lists!$C$69:N$69),0)*VLOOKUP(BN$3,Conversions!$B$12:$E$34,4,0)))</f>
        <v>0</v>
      </c>
      <c r="AZ62" s="333">
        <f>IF($F62="",0,IF($F62="Weighted Average",$I62*VLOOKUP($D62&amp;" (Disposal)",Lists!$C$72:$R$232,COLUMNS(Lists!$C$69:O$69),0)*VLOOKUP(BO$3,Conversions!$B$12:$E$34,4,0),$I62*VLOOKUP($F62,Lists!$C$72:$R$232,COLUMNS(Lists!$C$69:O$69),0)*VLOOKUP(BO$3,Conversions!$B$12:$E$34,4,0)))</f>
        <v>0</v>
      </c>
      <c r="BA62" s="333">
        <f>IF($F62="",0,IF($F62="Weighted Average",$I62*VLOOKUP($D62&amp;" (Disposal)",Lists!$C$72:$R$232,COLUMNS(Lists!$C$69:P$69),0)*VLOOKUP(BP$3,Conversions!$B$12:$E$34,4,0),$I62*VLOOKUP($F62,Lists!$C$72:$R$232,COLUMNS(Lists!$C$69:P$69),0)*VLOOKUP(BP$3,Conversions!$B$12:$E$34,4,0)))</f>
        <v>0</v>
      </c>
      <c r="BB62" s="333">
        <f>IF($F62="",0,IF($F62="Weighted Average",$I62*VLOOKUP($D62&amp;" (Disposal)",Lists!$C$72:$R$232,COLUMNS(Lists!$C$69:Q$69),0)*VLOOKUP(BQ$3,Conversions!$B$12:$E$34,4,0),$I62*VLOOKUP($F62,Lists!$C$72:$R$232,COLUMNS(Lists!$C$69:Q$69),0)*VLOOKUP(BQ$3,Conversions!$B$12:$E$34,4,0)))</f>
        <v>0</v>
      </c>
      <c r="BC62" s="333">
        <f>IF($F62="",0,IF($F62="Weighted Average",$I62*VLOOKUP($D62&amp;" (Disposal)",Lists!$C$72:$R$232,COLUMNS(Lists!$C$69:R$69),0)*VLOOKUP(BR$3,Conversions!$B$12:$E$34,4,0),$I62*VLOOKUP($F62,Lists!$C$72:$R$232,COLUMNS(Lists!$C$69:R$69),0)*VLOOKUP(BR$3,Conversions!$B$12:$E$34,4,0)))</f>
        <v>0</v>
      </c>
      <c r="BD62" s="333">
        <f t="shared" si="61"/>
        <v>0</v>
      </c>
      <c r="BE62" s="330">
        <f t="shared" si="62"/>
        <v>0</v>
      </c>
      <c r="BF62" s="330">
        <f t="shared" si="63"/>
        <v>0</v>
      </c>
      <c r="BG62" s="330">
        <f t="shared" si="64"/>
        <v>0</v>
      </c>
      <c r="BH62" s="330">
        <f t="shared" si="65"/>
        <v>0</v>
      </c>
      <c r="BI62" s="330">
        <f t="shared" si="66"/>
        <v>0</v>
      </c>
      <c r="BJ62" s="330">
        <f t="shared" si="67"/>
        <v>0</v>
      </c>
      <c r="BK62" s="330">
        <f t="shared" si="68"/>
        <v>0</v>
      </c>
      <c r="BL62" s="330">
        <f t="shared" si="69"/>
        <v>0</v>
      </c>
      <c r="BM62" s="330">
        <f t="shared" si="70"/>
        <v>0</v>
      </c>
      <c r="BN62" s="330">
        <f t="shared" si="71"/>
        <v>0</v>
      </c>
      <c r="BO62" s="330">
        <f t="shared" si="72"/>
        <v>0</v>
      </c>
      <c r="BP62" s="330">
        <f t="shared" si="73"/>
        <v>0</v>
      </c>
      <c r="BQ62" s="330">
        <f t="shared" si="74"/>
        <v>0</v>
      </c>
      <c r="BR62" s="330">
        <f t="shared" si="75"/>
        <v>0</v>
      </c>
      <c r="BS62" s="330">
        <f t="shared" si="76"/>
        <v>0</v>
      </c>
      <c r="BT62" s="329">
        <f t="shared" si="77"/>
        <v>0</v>
      </c>
      <c r="BU62" s="329">
        <f t="shared" si="77"/>
        <v>0</v>
      </c>
      <c r="BV62" s="329">
        <f t="shared" si="77"/>
        <v>0</v>
      </c>
      <c r="BW62" s="329">
        <f t="shared" si="77"/>
        <v>0</v>
      </c>
      <c r="BX62" s="329">
        <f t="shared" si="77"/>
        <v>0</v>
      </c>
      <c r="BY62" s="329">
        <f t="shared" si="77"/>
        <v>0</v>
      </c>
      <c r="BZ62" s="329">
        <f t="shared" si="77"/>
        <v>0</v>
      </c>
      <c r="CA62" s="329">
        <f t="shared" si="77"/>
        <v>0</v>
      </c>
      <c r="CB62" s="329">
        <f t="shared" si="77"/>
        <v>0</v>
      </c>
      <c r="CC62" s="329">
        <f t="shared" si="77"/>
        <v>0</v>
      </c>
      <c r="CD62" s="329">
        <f t="shared" si="77"/>
        <v>0</v>
      </c>
      <c r="CE62" s="329">
        <f t="shared" si="77"/>
        <v>0</v>
      </c>
      <c r="CF62" s="329">
        <f t="shared" si="77"/>
        <v>0</v>
      </c>
      <c r="CG62" s="329">
        <f t="shared" si="77"/>
        <v>0</v>
      </c>
      <c r="CH62" s="329">
        <f t="shared" si="77"/>
        <v>0</v>
      </c>
      <c r="CI62" s="329">
        <f t="shared" si="77"/>
        <v>0</v>
      </c>
      <c r="CJ62" s="331">
        <f t="shared" si="78"/>
        <v>0</v>
      </c>
      <c r="CK62" s="330">
        <f t="shared" si="79"/>
        <v>0</v>
      </c>
      <c r="CL62" s="330">
        <f t="shared" si="80"/>
        <v>0</v>
      </c>
      <c r="CM62" s="330">
        <f t="shared" si="81"/>
        <v>0</v>
      </c>
      <c r="CN62" s="330">
        <f t="shared" si="82"/>
        <v>0</v>
      </c>
      <c r="CO62" s="330">
        <f t="shared" si="83"/>
        <v>0</v>
      </c>
      <c r="CP62" s="330">
        <f t="shared" si="84"/>
        <v>0</v>
      </c>
      <c r="CQ62" s="330">
        <f t="shared" si="11"/>
        <v>0</v>
      </c>
      <c r="CR62" s="330">
        <f t="shared" si="85"/>
        <v>0</v>
      </c>
      <c r="CS62" s="330">
        <f t="shared" si="86"/>
        <v>0</v>
      </c>
      <c r="CT62" s="330">
        <f t="shared" si="87"/>
        <v>0</v>
      </c>
      <c r="CU62" s="330">
        <f t="shared" si="88"/>
        <v>0</v>
      </c>
      <c r="CV62" s="330">
        <f t="shared" si="88"/>
        <v>0</v>
      </c>
      <c r="CW62" s="330">
        <f t="shared" si="88"/>
        <v>0</v>
      </c>
      <c r="CX62" s="330">
        <f t="shared" si="88"/>
        <v>0</v>
      </c>
      <c r="CY62" s="330">
        <f t="shared" si="88"/>
        <v>0</v>
      </c>
      <c r="CZ62" s="330">
        <f t="shared" si="88"/>
        <v>0</v>
      </c>
      <c r="DA62" s="330">
        <f t="shared" si="88"/>
        <v>0</v>
      </c>
      <c r="DB62" s="330">
        <f t="shared" si="88"/>
        <v>0</v>
      </c>
      <c r="DC62" s="330">
        <f t="shared" si="88"/>
        <v>0</v>
      </c>
      <c r="DD62" s="330">
        <f t="shared" si="88"/>
        <v>0</v>
      </c>
      <c r="DE62" s="330">
        <f t="shared" si="89"/>
        <v>0</v>
      </c>
      <c r="DF62" s="330">
        <f t="shared" si="89"/>
        <v>0</v>
      </c>
      <c r="DG62" s="330">
        <f t="shared" si="89"/>
        <v>0</v>
      </c>
      <c r="DH62" s="330">
        <f t="shared" si="89"/>
        <v>0</v>
      </c>
      <c r="DI62" s="330">
        <f t="shared" si="89"/>
        <v>0</v>
      </c>
      <c r="DJ62" s="330">
        <f t="shared" si="89"/>
        <v>0</v>
      </c>
      <c r="DK62" s="330">
        <f t="shared" si="89"/>
        <v>0</v>
      </c>
      <c r="DL62" s="330">
        <f t="shared" si="89"/>
        <v>0</v>
      </c>
      <c r="DM62" s="330">
        <f t="shared" si="89"/>
        <v>0</v>
      </c>
      <c r="DN62" s="330">
        <f t="shared" si="89"/>
        <v>0</v>
      </c>
      <c r="DO62" s="330">
        <f t="shared" si="89"/>
        <v>0</v>
      </c>
      <c r="DP62" s="330">
        <f t="shared" si="90"/>
        <v>0</v>
      </c>
      <c r="DQ62" s="217"/>
      <c r="DR62" s="217"/>
      <c r="DS62" s="217"/>
      <c r="DT62" s="217"/>
    </row>
    <row r="63" spans="1:124" x14ac:dyDescent="0.3">
      <c r="A63" s="332"/>
      <c r="B63" s="221" t="s">
        <v>304</v>
      </c>
      <c r="C63" s="221" t="str">
        <f>IF('Simplified Material Balance'!C33=0,"",'Simplified Material Balance'!C33)</f>
        <v/>
      </c>
      <c r="D63" s="221" t="str">
        <f>IF('Simplified Material Balance'!D33=0,"",'Simplified Material Balance'!D33)</f>
        <v/>
      </c>
      <c r="E63" s="221" t="str">
        <f>IF('Simplified Material Balance'!E33=0,"",'Simplified Material Balance'!E33)</f>
        <v/>
      </c>
      <c r="F63" s="221" t="str">
        <f>IF('Simplified Material Balance'!F33=0,"",'Simplified Material Balance'!F33)</f>
        <v/>
      </c>
      <c r="G63" s="272">
        <f>IF('Simplified Material Balance'!H33&gt;'Simplified Material Balance'!G33,0,('Simplified Material Balance'!G33-'Simplified Material Balance'!H33)*Conversions!$C$4)</f>
        <v>0</v>
      </c>
      <c r="H63" s="272">
        <f>'Simplified Material Balance'!I33*Conversions!$C$4</f>
        <v>0</v>
      </c>
      <c r="I63" s="272">
        <f>('Simplified Material Balance'!J33-'Simplified Material Balance'!K33)*Conversions!$C$4</f>
        <v>0</v>
      </c>
      <c r="J63" s="325">
        <f>IF('Simplified Material Balance'!L33=0,0,'Simplified Material Balance'!L33)</f>
        <v>0</v>
      </c>
      <c r="K63" s="465"/>
      <c r="L63" s="333">
        <f>IF($F63="",0,IF($F63="Weighted Average",$G63*VLOOKUP($D63&amp;" (Install)",Lists!$C$72:$R$232,COLUMNS(Lists!$C$69:E$69),0)*VLOOKUP(BE$3,Conversions!$B$12:$E$34,4,0),$G63*VLOOKUP($F63,Lists!$C$72:$R$232,COLUMNS(Lists!$C$69:E$69),0)*VLOOKUP(BE$3,Conversions!$B$12:$E$34,4,0)))</f>
        <v>0</v>
      </c>
      <c r="M63" s="333">
        <f>IF($F63="",0,IF($F63="Weighted Average",$G63*VLOOKUP($D63&amp;" (Install)",Lists!$C$72:$R$232,COLUMNS(Lists!$C$69:F$69),0)*VLOOKUP(BF$3,Conversions!$B$12:$E$34,4,0),$G63*VLOOKUP($F63,Lists!$C$72:$R$232,COLUMNS(Lists!$C$69:F$69),0)*VLOOKUP(BF$3,Conversions!$B$12:$E$34,4,0)))</f>
        <v>0</v>
      </c>
      <c r="N63" s="333">
        <f>IF($F63="",0,IF($F63="Weighted Average",$G63*VLOOKUP($D63&amp;" (Install)",Lists!$C$72:$R$232,COLUMNS(Lists!$C$69:G$69),0)*VLOOKUP(BG$3,Conversions!$B$12:$E$34,4,0),$G63*VLOOKUP($F63,Lists!$C$72:$R$232,COLUMNS(Lists!$C$69:G$69),0)*VLOOKUP(BG$3,Conversions!$B$12:$E$34,4,0)))</f>
        <v>0</v>
      </c>
      <c r="O63" s="333">
        <f>IF($F63="",0,IF($F63="Weighted Average",$G63*VLOOKUP($D63&amp;" (Install)",Lists!$C$72:$R$232,COLUMNS(Lists!$C$69:H$69),0)*VLOOKUP(BH$3,Conversions!$B$12:$E$34,4,0),$G63*VLOOKUP($F63,Lists!$C$72:$R$232,COLUMNS(Lists!$C$69:H$69),0)*VLOOKUP(BH$3,Conversions!$B$12:$E$34,4,0)))</f>
        <v>0</v>
      </c>
      <c r="P63" s="333">
        <f>IF($F63="",0,IF($F63="Weighted Average",$G63*VLOOKUP($D63&amp;" (Install)",Lists!$C$72:$R$232,COLUMNS(Lists!$C$69:I$69),0)*VLOOKUP(BI$3,Conversions!$B$12:$E$34,4,0),$G63*VLOOKUP($F63,Lists!$C$72:$R$232,COLUMNS(Lists!$C$69:I$69),0)*VLOOKUP(BI$3,Conversions!$B$12:$E$34,4,0)))</f>
        <v>0</v>
      </c>
      <c r="Q63" s="333">
        <f>IF($F63="",0,IF($F63="Weighted Average",$G63*VLOOKUP($D63&amp;" (Install)",Lists!$C$72:$R$232,COLUMNS(Lists!$C$69:J$69),0)*VLOOKUP(BJ$3,Conversions!$B$12:$E$34,4,0),$G63*VLOOKUP($F63,Lists!$C$72:$R$232,COLUMNS(Lists!$C$69:J$69),0)*VLOOKUP(BJ$3,Conversions!$B$12:$E$34,4,0)))</f>
        <v>0</v>
      </c>
      <c r="R63" s="333">
        <f>IF($F63="",0,IF($F63="Weighted Average",$G63*VLOOKUP($D63&amp;" (Install)",Lists!$C$72:$R$232,COLUMNS(Lists!$C$69:K$69),0)*VLOOKUP(BK$3,Conversions!$B$12:$E$34,4,0),$G63*VLOOKUP($F63,Lists!$C$72:$R$232,COLUMNS(Lists!$C$69:K$69),0)*VLOOKUP(BK$3,Conversions!$B$12:$E$34,4,0)))</f>
        <v>0</v>
      </c>
      <c r="S63" s="333">
        <f>IF($F63="",0,IF($F63="Weighted Average",$G63*VLOOKUP($D63&amp;" (Install)",Lists!$C$72:$R$232,COLUMNS(Lists!$C$69:L$69),0)*VLOOKUP(BL$3,Conversions!$B$12:$E$34,4,0),$G63*VLOOKUP($F63,Lists!$C$72:$R$232,COLUMNS(Lists!$C$69:L$69),0)*VLOOKUP(BL$3,Conversions!$B$12:$E$34,4,0)))</f>
        <v>0</v>
      </c>
      <c r="T63" s="333">
        <f>IF($F63="",0,IF($F63="Weighted Average",$G63*VLOOKUP($D63&amp;" (Install)",Lists!$C$72:$R$232,COLUMNS(Lists!$C$69:M$69),0)*VLOOKUP(BM$3,Conversions!$B$12:$E$34,4,0),$G63*VLOOKUP($F63,Lists!$C$72:$R$232,COLUMNS(Lists!$C$69:M$69),0)*VLOOKUP(BM$3,Conversions!$B$12:$E$34,4,0)))</f>
        <v>0</v>
      </c>
      <c r="U63" s="333">
        <f>IF($F63="",0,IF($F63="Weighted Average",$G63*VLOOKUP($D63&amp;" (Install)",Lists!$C$72:$R$232,COLUMNS(Lists!$C$69:N$69),0)*VLOOKUP(BN$3,Conversions!$B$12:$E$34,4,0),$G63*VLOOKUP($F63,Lists!$C$72:$R$232,COLUMNS(Lists!$C$69:N$69),0)*VLOOKUP(BN$3,Conversions!$B$12:$E$34,4,0)))</f>
        <v>0</v>
      </c>
      <c r="V63" s="333">
        <f>IF($F63="",0,IF($F63="Weighted Average",$G63*VLOOKUP($D63&amp;" (Install)",Lists!$C$72:$R$232,COLUMNS(Lists!$C$69:O$69),0)*VLOOKUP(BO$3,Conversions!$B$12:$E$34,4,0),$G63*VLOOKUP($F63,Lists!$C$72:$R$232,COLUMNS(Lists!$C$69:O$69),0)*VLOOKUP(BO$3,Conversions!$B$12:$E$34,4,0)))</f>
        <v>0</v>
      </c>
      <c r="W63" s="333">
        <f>IF($F63="",0,IF($F63="Weighted Average",$G63*VLOOKUP($D63&amp;" (Install)",Lists!$C$72:$R$232,COLUMNS(Lists!$C$69:P$69),0)*VLOOKUP(BP$3,Conversions!$B$12:$E$34,4,0),$G63*VLOOKUP($F63,Lists!$C$72:$R$232,COLUMNS(Lists!$C$69:P$69),0)*VLOOKUP(BP$3,Conversions!$B$12:$E$34,4,0)))</f>
        <v>0</v>
      </c>
      <c r="X63" s="333">
        <f>IF($F63="",0,IF($F63="Weighted Average",$G63*VLOOKUP($D63&amp;" (Install)",Lists!$C$72:$R$232,COLUMNS(Lists!$C$69:Q$69),0)*VLOOKUP(BQ$3,Conversions!$B$12:$E$34,4,0),$G63*VLOOKUP($F63,Lists!$C$72:$R$232,COLUMNS(Lists!$C$69:Q$69),0)*VLOOKUP(BQ$3,Conversions!$B$12:$E$34,4,0)))</f>
        <v>0</v>
      </c>
      <c r="Y63" s="333">
        <f>IF($F63="",0,IF($F63="Weighted Average",$G63*VLOOKUP($D63&amp;" (Install)",Lists!$C$72:$R$232,COLUMNS(Lists!$C$69:R$69),0)*VLOOKUP(BR$3,Conversions!$B$12:$E$34,4,0),$G63*VLOOKUP($F63,Lists!$C$72:$R$232,COLUMNS(Lists!$C$69:R$69),0)*VLOOKUP(BR$3,Conversions!$B$12:$E$34,4,0)))</f>
        <v>0</v>
      </c>
      <c r="Z63" s="325">
        <f t="shared" si="59"/>
        <v>0</v>
      </c>
      <c r="AA63" s="334">
        <f>IF($F63="",0,IF($F63="Weighted Average",$H63*VLOOKUP($D63&amp;" (Operation)",Lists!$C$72:$R$232,COLUMNS(Lists!$C$69:E$69),0)*VLOOKUP(BE$3,Conversions!$B$12:$E$34,4,0),$H63*VLOOKUP($F63,Lists!$C$72:$R$232,COLUMNS(Lists!$C$69:E$69),0)*VLOOKUP(BE$3,Conversions!$B$12:$E$34,4,0)))</f>
        <v>0</v>
      </c>
      <c r="AB63" s="334">
        <f>IF($F63="",0,IF($F63="Weighted Average",$H63*VLOOKUP($D63&amp;" (Operation)",Lists!$C$72:$R$232,COLUMNS(Lists!$C$69:F$69),0)*VLOOKUP(BF$3,Conversions!$B$12:$E$34,4,0),$H63*VLOOKUP($F63,Lists!$C$72:$R$232,COLUMNS(Lists!$C$69:F$69),0)*VLOOKUP(BF$3,Conversions!$B$12:$E$34,4,0)))</f>
        <v>0</v>
      </c>
      <c r="AC63" s="334">
        <f>IF($F63="",0,IF($F63="Weighted Average",$H63*VLOOKUP($D63&amp;" (Operation)",Lists!$C$72:$R$232,COLUMNS(Lists!$C$69:G$69),0)*VLOOKUP(BG$3,Conversions!$B$12:$E$34,4,0),$H63*VLOOKUP($F63,Lists!$C$72:$R$232,COLUMNS(Lists!$C$69:G$69),0)*VLOOKUP(BG$3,Conversions!$B$12:$E$34,4,0)))</f>
        <v>0</v>
      </c>
      <c r="AD63" s="334">
        <f>IF($F63="",0,IF($F63="Weighted Average",$H63*VLOOKUP($D63&amp;" (Operation)",Lists!$C$72:$R$232,COLUMNS(Lists!$C$69:H$69),0)*VLOOKUP(BH$3,Conversions!$B$12:$E$34,4,0),$H63*VLOOKUP($F63,Lists!$C$72:$R$232,COLUMNS(Lists!$C$69:H$69),0)*VLOOKUP(BH$3,Conversions!$B$12:$E$34,4,0)))</f>
        <v>0</v>
      </c>
      <c r="AE63" s="334">
        <f>IF($F63="",0,IF($F63="Weighted Average",$H63*VLOOKUP($D63&amp;" (Operation)",Lists!$C$72:$R$232,COLUMNS(Lists!$C$69:I$69),0)*VLOOKUP(BI$3,Conversions!$B$12:$E$34,4,0),$H63*VLOOKUP($F63,Lists!$C$72:$R$232,COLUMNS(Lists!$C$69:I$69),0)*VLOOKUP(BI$3,Conversions!$B$12:$E$34,4,0)))</f>
        <v>0</v>
      </c>
      <c r="AF63" s="334">
        <f>IF($F63="",0,IF($F63="Weighted Average",$H63*VLOOKUP($D63&amp;" (Operation)",Lists!$C$72:$R$232,COLUMNS(Lists!$C$69:J$69),0)*VLOOKUP(BJ$3,Conversions!$B$12:$E$34,4,0),$H63*VLOOKUP($F63,Lists!$C$72:$R$232,COLUMNS(Lists!$C$69:J$69),0)*VLOOKUP(BJ$3,Conversions!$B$12:$E$34,4,0)))</f>
        <v>0</v>
      </c>
      <c r="AG63" s="334">
        <f>IF($F63="",0,IF($F63="Weighted Average",$H63*VLOOKUP($D63&amp;" (Operation)",Lists!$C$72:$R$232,COLUMNS(Lists!$C$69:K$69),0)*VLOOKUP(BK$3,Conversions!$B$12:$E$34,4,0),$H63*VLOOKUP($F63,Lists!$C$72:$R$232,COLUMNS(Lists!$C$69:K$69),0)*VLOOKUP(BK$3,Conversions!$B$12:$E$34,4,0)))</f>
        <v>0</v>
      </c>
      <c r="AH63" s="334">
        <f>IF($F63="",0,IF($F63="Weighted Average",$H63*VLOOKUP($D63&amp;" (Operation)",Lists!$C$72:$R$232,COLUMNS(Lists!$C$69:L$69),0)*VLOOKUP(BL$3,Conversions!$B$12:$E$34,4,0),$H63*VLOOKUP($F63,Lists!$C$72:$R$232,COLUMNS(Lists!$C$69:L$69),0)*VLOOKUP(BL$3,Conversions!$B$12:$E$34,4,0)))</f>
        <v>0</v>
      </c>
      <c r="AI63" s="334">
        <f>IF($F63="",0,IF($F63="Weighted Average",$H63*VLOOKUP($D63&amp;" (Operation)",Lists!$C$72:$R$232,COLUMNS(Lists!$C$69:M$69),0)*VLOOKUP(BM$3,Conversions!$B$12:$E$34,4,0),$H63*VLOOKUP($F63,Lists!$C$72:$R$232,COLUMNS(Lists!$C$69:M$69),0)*VLOOKUP(BM$3,Conversions!$B$12:$E$34,4,0)))</f>
        <v>0</v>
      </c>
      <c r="AJ63" s="334">
        <f>IF($F63="",0,IF($F63="Weighted Average",$H63*VLOOKUP($D63&amp;" (Operation)",Lists!$C$72:$R$232,COLUMNS(Lists!$C$69:N$69),0)*VLOOKUP(BN$3,Conversions!$B$12:$E$34,4,0),$H63*VLOOKUP($F63,Lists!$C$72:$R$232,COLUMNS(Lists!$C$69:N$69),0)*VLOOKUP(BN$3,Conversions!$B$12:$E$34,4,0)))</f>
        <v>0</v>
      </c>
      <c r="AK63" s="334">
        <f>IF($F63="",0,IF($F63="Weighted Average",$H63*VLOOKUP($D63&amp;" (Operation)",Lists!$C$72:$R$232,COLUMNS(Lists!$C$69:O$69),0)*VLOOKUP(BO$3,Conversions!$B$12:$E$34,4,0),$H63*VLOOKUP($F63,Lists!$C$72:$R$232,COLUMNS(Lists!$C$69:O$69),0)*VLOOKUP(BO$3,Conversions!$B$12:$E$34,4,0)))</f>
        <v>0</v>
      </c>
      <c r="AL63" s="334">
        <f>IF($F63="",0,IF($F63="Weighted Average",$H63*VLOOKUP($D63&amp;" (Operation)",Lists!$C$72:$R$232,COLUMNS(Lists!$C$69:P$69),0)*VLOOKUP(BP$3,Conversions!$B$12:$E$34,4,0),$H63*VLOOKUP($F63,Lists!$C$72:$R$232,COLUMNS(Lists!$C$69:P$69),0)*VLOOKUP(BP$3,Conversions!$B$12:$E$34,4,0)))</f>
        <v>0</v>
      </c>
      <c r="AM63" s="334">
        <f>IF($F63="",0,IF($F63="Weighted Average",$H63*VLOOKUP($D63&amp;" (Operation)",Lists!$C$72:$R$232,COLUMNS(Lists!$C$69:Q$69),0)*VLOOKUP(BQ$3,Conversions!$B$12:$E$34,4,0),$H63*VLOOKUP($F63,Lists!$C$72:$R$232,COLUMNS(Lists!$C$69:Q$69),0)*VLOOKUP(BQ$3,Conversions!$B$12:$E$34,4,0)))</f>
        <v>0</v>
      </c>
      <c r="AN63" s="334">
        <f>IF($F63="",0,IF($F63="Weighted Average",$H63*VLOOKUP($D63&amp;" (Operation)",Lists!$C$72:$R$232,COLUMNS(Lists!$C$69:R$69),0)*VLOOKUP(BR$3,Conversions!$B$12:$E$34,4,0),$H63*VLOOKUP($F63,Lists!$C$72:$R$232,COLUMNS(Lists!$C$69:R$69),0)*VLOOKUP(BR$3,Conversions!$B$12:$E$34,4,0)))</f>
        <v>0</v>
      </c>
      <c r="AO63" s="330">
        <f t="shared" si="60"/>
        <v>0</v>
      </c>
      <c r="AP63" s="333">
        <f>IF($F63="",0,IF($F63="Weighted Average",$I63*VLOOKUP($D63&amp;" (Disposal)",Lists!$C$72:$R$232,COLUMNS(Lists!$C$69:E$69),0)*VLOOKUP(BE$3,Conversions!$B$12:$E$34,4,0),$I63*VLOOKUP($F63,Lists!$C$72:$R$232,COLUMNS(Lists!$C$69:E$69),0)*VLOOKUP(BE$3,Conversions!$B$12:$E$34,4,0)))</f>
        <v>0</v>
      </c>
      <c r="AQ63" s="333">
        <f>IF($F63="",0,IF($F63="Weighted Average",$I63*VLOOKUP($D63&amp;" (Disposal)",Lists!$C$72:$R$232,COLUMNS(Lists!$C$69:F$69),0)*VLOOKUP(BF$3,Conversions!$B$12:$E$34,4,0),$I63*VLOOKUP($F63,Lists!$C$72:$R$232,COLUMNS(Lists!$C$69:F$69),0)*VLOOKUP(BF$3,Conversions!$B$12:$E$34,4,0)))</f>
        <v>0</v>
      </c>
      <c r="AR63" s="333">
        <f>IF($F63="",0,IF($F63="Weighted Average",$I63*VLOOKUP($D63&amp;" (Disposal)",Lists!$C$72:$R$232,COLUMNS(Lists!$C$69:G$69),0)*VLOOKUP(BG$3,Conversions!$B$12:$E$34,4,0),$I63*VLOOKUP($F63,Lists!$C$72:$R$232,COLUMNS(Lists!$C$69:G$69),0)*VLOOKUP(BG$3,Conversions!$B$12:$E$34,4,0)))</f>
        <v>0</v>
      </c>
      <c r="AS63" s="333">
        <f>IF($F63="",0,IF($F63="Weighted Average",$I63*VLOOKUP($D63&amp;" (Disposal)",Lists!$C$72:$R$232,COLUMNS(Lists!$C$69:H$69),0)*VLOOKUP(BH$3,Conversions!$B$12:$E$34,4,0),$I63*VLOOKUP($F63,Lists!$C$72:$R$232,COLUMNS(Lists!$C$69:H$69),0)*VLOOKUP(BH$3,Conversions!$B$12:$E$34,4,0)))</f>
        <v>0</v>
      </c>
      <c r="AT63" s="333">
        <f>IF($F63="",0,IF($F63="Weighted Average",$I63*VLOOKUP($D63&amp;" (Disposal)",Lists!$C$72:$R$232,COLUMNS(Lists!$C$69:I$69),0)*VLOOKUP(BI$3,Conversions!$B$12:$E$34,4,0),$I63*VLOOKUP($F63,Lists!$C$72:$R$232,COLUMNS(Lists!$C$69:I$69),0)*VLOOKUP(BI$3,Conversions!$B$12:$E$34,4,0)))</f>
        <v>0</v>
      </c>
      <c r="AU63" s="333">
        <f>IF($F63="",0,IF($F63="Weighted Average",$I63*VLOOKUP($D63&amp;" (Disposal)",Lists!$C$72:$R$232,COLUMNS(Lists!$C$69:J$69),0)*VLOOKUP(BJ$3,Conversions!$B$12:$E$34,4,0),$I63*VLOOKUP($F63,Lists!$C$72:$R$232,COLUMNS(Lists!$C$69:J$69),0)*VLOOKUP(BJ$3,Conversions!$B$12:$E$34,4,0)))</f>
        <v>0</v>
      </c>
      <c r="AV63" s="333">
        <f>IF($F63="",0,IF($F63="Weighted Average",$I63*VLOOKUP($D63&amp;" (Disposal)",Lists!$C$72:$R$232,COLUMNS(Lists!$C$69:K$69),0)*VLOOKUP(BK$3,Conversions!$B$12:$E$34,4,0),$I63*VLOOKUP($F63,Lists!$C$72:$R$232,COLUMNS(Lists!$C$69:K$69),0)*VLOOKUP(BK$3,Conversions!$B$12:$E$34,4,0)))</f>
        <v>0</v>
      </c>
      <c r="AW63" s="333">
        <f>IF($F63="",0,IF($F63="Weighted Average",$I63*VLOOKUP($D63&amp;" (Disposal)",Lists!$C$72:$R$232,COLUMNS(Lists!$C$69:L$69),0)*VLOOKUP(BL$3,Conversions!$B$12:$E$34,4,0),$I63*VLOOKUP($F63,Lists!$C$72:$R$232,COLUMNS(Lists!$C$69:L$69),0)*VLOOKUP(BL$3,Conversions!$B$12:$E$34,4,0)))</f>
        <v>0</v>
      </c>
      <c r="AX63" s="333">
        <f>IF($F63="",0,IF($F63="Weighted Average",$I63*VLOOKUP($D63&amp;" (Disposal)",Lists!$C$72:$R$232,COLUMNS(Lists!$C$69:M$69),0)*VLOOKUP(BM$3,Conversions!$B$12:$E$34,4,0),$I63*VLOOKUP($F63,Lists!$C$72:$R$232,COLUMNS(Lists!$C$69:M$69),0)*VLOOKUP(BM$3,Conversions!$B$12:$E$34,4,0)))</f>
        <v>0</v>
      </c>
      <c r="AY63" s="333">
        <f>IF($F63="",0,IF($F63="Weighted Average",$I63*VLOOKUP($D63&amp;" (Disposal)",Lists!$C$72:$R$232,COLUMNS(Lists!$C$69:N$69),0)*VLOOKUP(BN$3,Conversions!$B$12:$E$34,4,0),$I63*VLOOKUP($F63,Lists!$C$72:$R$232,COLUMNS(Lists!$C$69:N$69),0)*VLOOKUP(BN$3,Conversions!$B$12:$E$34,4,0)))</f>
        <v>0</v>
      </c>
      <c r="AZ63" s="333">
        <f>IF($F63="",0,IF($F63="Weighted Average",$I63*VLOOKUP($D63&amp;" (Disposal)",Lists!$C$72:$R$232,COLUMNS(Lists!$C$69:O$69),0)*VLOOKUP(BO$3,Conversions!$B$12:$E$34,4,0),$I63*VLOOKUP($F63,Lists!$C$72:$R$232,COLUMNS(Lists!$C$69:O$69),0)*VLOOKUP(BO$3,Conversions!$B$12:$E$34,4,0)))</f>
        <v>0</v>
      </c>
      <c r="BA63" s="333">
        <f>IF($F63="",0,IF($F63="Weighted Average",$I63*VLOOKUP($D63&amp;" (Disposal)",Lists!$C$72:$R$232,COLUMNS(Lists!$C$69:P$69),0)*VLOOKUP(BP$3,Conversions!$B$12:$E$34,4,0),$I63*VLOOKUP($F63,Lists!$C$72:$R$232,COLUMNS(Lists!$C$69:P$69),0)*VLOOKUP(BP$3,Conversions!$B$12:$E$34,4,0)))</f>
        <v>0</v>
      </c>
      <c r="BB63" s="333">
        <f>IF($F63="",0,IF($F63="Weighted Average",$I63*VLOOKUP($D63&amp;" (Disposal)",Lists!$C$72:$R$232,COLUMNS(Lists!$C$69:Q$69),0)*VLOOKUP(BQ$3,Conversions!$B$12:$E$34,4,0),$I63*VLOOKUP($F63,Lists!$C$72:$R$232,COLUMNS(Lists!$C$69:Q$69),0)*VLOOKUP(BQ$3,Conversions!$B$12:$E$34,4,0)))</f>
        <v>0</v>
      </c>
      <c r="BC63" s="333">
        <f>IF($F63="",0,IF($F63="Weighted Average",$I63*VLOOKUP($D63&amp;" (Disposal)",Lists!$C$72:$R$232,COLUMNS(Lists!$C$69:R$69),0)*VLOOKUP(BR$3,Conversions!$B$12:$E$34,4,0),$I63*VLOOKUP($F63,Lists!$C$72:$R$232,COLUMNS(Lists!$C$69:R$69),0)*VLOOKUP(BR$3,Conversions!$B$12:$E$34,4,0)))</f>
        <v>0</v>
      </c>
      <c r="BD63" s="333">
        <f t="shared" si="61"/>
        <v>0</v>
      </c>
      <c r="BE63" s="330">
        <f t="shared" si="62"/>
        <v>0</v>
      </c>
      <c r="BF63" s="330">
        <f t="shared" si="63"/>
        <v>0</v>
      </c>
      <c r="BG63" s="330">
        <f t="shared" si="64"/>
        <v>0</v>
      </c>
      <c r="BH63" s="330">
        <f t="shared" si="65"/>
        <v>0</v>
      </c>
      <c r="BI63" s="330">
        <f t="shared" si="66"/>
        <v>0</v>
      </c>
      <c r="BJ63" s="330">
        <f t="shared" si="67"/>
        <v>0</v>
      </c>
      <c r="BK63" s="330">
        <f t="shared" si="68"/>
        <v>0</v>
      </c>
      <c r="BL63" s="330">
        <f t="shared" si="69"/>
        <v>0</v>
      </c>
      <c r="BM63" s="330">
        <f t="shared" si="70"/>
        <v>0</v>
      </c>
      <c r="BN63" s="330">
        <f t="shared" si="71"/>
        <v>0</v>
      </c>
      <c r="BO63" s="330">
        <f t="shared" si="72"/>
        <v>0</v>
      </c>
      <c r="BP63" s="330">
        <f t="shared" si="73"/>
        <v>0</v>
      </c>
      <c r="BQ63" s="330">
        <f t="shared" si="74"/>
        <v>0</v>
      </c>
      <c r="BR63" s="330">
        <f t="shared" si="75"/>
        <v>0</v>
      </c>
      <c r="BS63" s="330">
        <f t="shared" si="76"/>
        <v>0</v>
      </c>
      <c r="BT63" s="329">
        <f t="shared" si="77"/>
        <v>0</v>
      </c>
      <c r="BU63" s="329">
        <f t="shared" si="77"/>
        <v>0</v>
      </c>
      <c r="BV63" s="329">
        <f t="shared" si="77"/>
        <v>0</v>
      </c>
      <c r="BW63" s="329">
        <f t="shared" si="77"/>
        <v>0</v>
      </c>
      <c r="BX63" s="329">
        <f t="shared" si="77"/>
        <v>0</v>
      </c>
      <c r="BY63" s="329">
        <f t="shared" si="77"/>
        <v>0</v>
      </c>
      <c r="BZ63" s="329">
        <f t="shared" si="77"/>
        <v>0</v>
      </c>
      <c r="CA63" s="329">
        <f t="shared" si="77"/>
        <v>0</v>
      </c>
      <c r="CB63" s="329">
        <f t="shared" si="77"/>
        <v>0</v>
      </c>
      <c r="CC63" s="329">
        <f t="shared" si="77"/>
        <v>0</v>
      </c>
      <c r="CD63" s="329">
        <f t="shared" si="77"/>
        <v>0</v>
      </c>
      <c r="CE63" s="329">
        <f t="shared" si="77"/>
        <v>0</v>
      </c>
      <c r="CF63" s="329">
        <f t="shared" si="77"/>
        <v>0</v>
      </c>
      <c r="CG63" s="329">
        <f t="shared" si="77"/>
        <v>0</v>
      </c>
      <c r="CH63" s="329">
        <f t="shared" si="77"/>
        <v>0</v>
      </c>
      <c r="CI63" s="329">
        <f t="shared" si="77"/>
        <v>0</v>
      </c>
      <c r="CJ63" s="331">
        <f t="shared" si="78"/>
        <v>0</v>
      </c>
      <c r="CK63" s="330">
        <f t="shared" si="79"/>
        <v>0</v>
      </c>
      <c r="CL63" s="330">
        <f t="shared" si="80"/>
        <v>0</v>
      </c>
      <c r="CM63" s="330">
        <f t="shared" si="81"/>
        <v>0</v>
      </c>
      <c r="CN63" s="330">
        <f t="shared" si="82"/>
        <v>0</v>
      </c>
      <c r="CO63" s="330">
        <f t="shared" si="83"/>
        <v>0</v>
      </c>
      <c r="CP63" s="330">
        <f t="shared" si="84"/>
        <v>0</v>
      </c>
      <c r="CQ63" s="330">
        <f t="shared" si="11"/>
        <v>0</v>
      </c>
      <c r="CR63" s="330">
        <f t="shared" si="85"/>
        <v>0</v>
      </c>
      <c r="CS63" s="330">
        <f t="shared" si="86"/>
        <v>0</v>
      </c>
      <c r="CT63" s="330">
        <f t="shared" si="87"/>
        <v>0</v>
      </c>
      <c r="CU63" s="330">
        <f t="shared" si="88"/>
        <v>0</v>
      </c>
      <c r="CV63" s="330">
        <f t="shared" si="88"/>
        <v>0</v>
      </c>
      <c r="CW63" s="330">
        <f t="shared" si="88"/>
        <v>0</v>
      </c>
      <c r="CX63" s="330">
        <f t="shared" si="88"/>
        <v>0</v>
      </c>
      <c r="CY63" s="330">
        <f t="shared" si="88"/>
        <v>0</v>
      </c>
      <c r="CZ63" s="330">
        <f t="shared" si="88"/>
        <v>0</v>
      </c>
      <c r="DA63" s="330">
        <f t="shared" si="88"/>
        <v>0</v>
      </c>
      <c r="DB63" s="330">
        <f t="shared" si="88"/>
        <v>0</v>
      </c>
      <c r="DC63" s="330">
        <f t="shared" si="88"/>
        <v>0</v>
      </c>
      <c r="DD63" s="330">
        <f t="shared" si="88"/>
        <v>0</v>
      </c>
      <c r="DE63" s="330">
        <f t="shared" si="89"/>
        <v>0</v>
      </c>
      <c r="DF63" s="330">
        <f t="shared" si="89"/>
        <v>0</v>
      </c>
      <c r="DG63" s="330">
        <f t="shared" si="89"/>
        <v>0</v>
      </c>
      <c r="DH63" s="330">
        <f t="shared" si="89"/>
        <v>0</v>
      </c>
      <c r="DI63" s="330">
        <f t="shared" si="89"/>
        <v>0</v>
      </c>
      <c r="DJ63" s="330">
        <f t="shared" si="89"/>
        <v>0</v>
      </c>
      <c r="DK63" s="330">
        <f t="shared" si="89"/>
        <v>0</v>
      </c>
      <c r="DL63" s="330">
        <f t="shared" si="89"/>
        <v>0</v>
      </c>
      <c r="DM63" s="330">
        <f t="shared" si="89"/>
        <v>0</v>
      </c>
      <c r="DN63" s="330">
        <f t="shared" si="89"/>
        <v>0</v>
      </c>
      <c r="DO63" s="330">
        <f t="shared" si="89"/>
        <v>0</v>
      </c>
      <c r="DP63" s="330">
        <f t="shared" si="90"/>
        <v>0</v>
      </c>
      <c r="DQ63" s="217"/>
      <c r="DR63" s="217"/>
      <c r="DS63" s="217"/>
      <c r="DT63" s="217"/>
    </row>
    <row r="64" spans="1:124" x14ac:dyDescent="0.3">
      <c r="A64" s="332"/>
      <c r="B64" s="221" t="s">
        <v>304</v>
      </c>
      <c r="C64" s="221" t="str">
        <f>IF('Simplified Material Balance'!C34=0,"",'Simplified Material Balance'!C34)</f>
        <v/>
      </c>
      <c r="D64" s="221" t="str">
        <f>IF('Simplified Material Balance'!D34=0,"",'Simplified Material Balance'!D34)</f>
        <v/>
      </c>
      <c r="E64" s="221" t="str">
        <f>IF('Simplified Material Balance'!E34=0,"",'Simplified Material Balance'!E34)</f>
        <v/>
      </c>
      <c r="F64" s="221" t="str">
        <f>IF('Simplified Material Balance'!F34=0,"",'Simplified Material Balance'!F34)</f>
        <v/>
      </c>
      <c r="G64" s="272">
        <f>IF('Simplified Material Balance'!H34&gt;'Simplified Material Balance'!G34,0,('Simplified Material Balance'!G34-'Simplified Material Balance'!H34)*Conversions!$C$4)</f>
        <v>0</v>
      </c>
      <c r="H64" s="272">
        <f>'Simplified Material Balance'!I34*Conversions!$C$4</f>
        <v>0</v>
      </c>
      <c r="I64" s="272">
        <f>('Simplified Material Balance'!J34-'Simplified Material Balance'!K34)*Conversions!$C$4</f>
        <v>0</v>
      </c>
      <c r="J64" s="325">
        <f>IF('Simplified Material Balance'!L34=0,0,'Simplified Material Balance'!L34)</f>
        <v>0</v>
      </c>
      <c r="K64" s="465"/>
      <c r="L64" s="333">
        <f>IF($F64="",0,IF($F64="Weighted Average",$G64*VLOOKUP($D64&amp;" (Install)",Lists!$C$72:$R$232,COLUMNS(Lists!$C$69:E$69),0)*VLOOKUP(BE$3,Conversions!$B$12:$E$34,4,0),$G64*VLOOKUP($F64,Lists!$C$72:$R$232,COLUMNS(Lists!$C$69:E$69),0)*VLOOKUP(BE$3,Conversions!$B$12:$E$34,4,0)))</f>
        <v>0</v>
      </c>
      <c r="M64" s="333">
        <f>IF($F64="",0,IF($F64="Weighted Average",$G64*VLOOKUP($D64&amp;" (Install)",Lists!$C$72:$R$232,COLUMNS(Lists!$C$69:F$69),0)*VLOOKUP(BF$3,Conversions!$B$12:$E$34,4,0),$G64*VLOOKUP($F64,Lists!$C$72:$R$232,COLUMNS(Lists!$C$69:F$69),0)*VLOOKUP(BF$3,Conversions!$B$12:$E$34,4,0)))</f>
        <v>0</v>
      </c>
      <c r="N64" s="333">
        <f>IF($F64="",0,IF($F64="Weighted Average",$G64*VLOOKUP($D64&amp;" (Install)",Lists!$C$72:$R$232,COLUMNS(Lists!$C$69:G$69),0)*VLOOKUP(BG$3,Conversions!$B$12:$E$34,4,0),$G64*VLOOKUP($F64,Lists!$C$72:$R$232,COLUMNS(Lists!$C$69:G$69),0)*VLOOKUP(BG$3,Conversions!$B$12:$E$34,4,0)))</f>
        <v>0</v>
      </c>
      <c r="O64" s="333">
        <f>IF($F64="",0,IF($F64="Weighted Average",$G64*VLOOKUP($D64&amp;" (Install)",Lists!$C$72:$R$232,COLUMNS(Lists!$C$69:H$69),0)*VLOOKUP(BH$3,Conversions!$B$12:$E$34,4,0),$G64*VLOOKUP($F64,Lists!$C$72:$R$232,COLUMNS(Lists!$C$69:H$69),0)*VLOOKUP(BH$3,Conversions!$B$12:$E$34,4,0)))</f>
        <v>0</v>
      </c>
      <c r="P64" s="333">
        <f>IF($F64="",0,IF($F64="Weighted Average",$G64*VLOOKUP($D64&amp;" (Install)",Lists!$C$72:$R$232,COLUMNS(Lists!$C$69:I$69),0)*VLOOKUP(BI$3,Conversions!$B$12:$E$34,4,0),$G64*VLOOKUP($F64,Lists!$C$72:$R$232,COLUMNS(Lists!$C$69:I$69),0)*VLOOKUP(BI$3,Conversions!$B$12:$E$34,4,0)))</f>
        <v>0</v>
      </c>
      <c r="Q64" s="333">
        <f>IF($F64="",0,IF($F64="Weighted Average",$G64*VLOOKUP($D64&amp;" (Install)",Lists!$C$72:$R$232,COLUMNS(Lists!$C$69:J$69),0)*VLOOKUP(BJ$3,Conversions!$B$12:$E$34,4,0),$G64*VLOOKUP($F64,Lists!$C$72:$R$232,COLUMNS(Lists!$C$69:J$69),0)*VLOOKUP(BJ$3,Conversions!$B$12:$E$34,4,0)))</f>
        <v>0</v>
      </c>
      <c r="R64" s="333">
        <f>IF($F64="",0,IF($F64="Weighted Average",$G64*VLOOKUP($D64&amp;" (Install)",Lists!$C$72:$R$232,COLUMNS(Lists!$C$69:K$69),0)*VLOOKUP(BK$3,Conversions!$B$12:$E$34,4,0),$G64*VLOOKUP($F64,Lists!$C$72:$R$232,COLUMNS(Lists!$C$69:K$69),0)*VLOOKUP(BK$3,Conversions!$B$12:$E$34,4,0)))</f>
        <v>0</v>
      </c>
      <c r="S64" s="333">
        <f>IF($F64="",0,IF($F64="Weighted Average",$G64*VLOOKUP($D64&amp;" (Install)",Lists!$C$72:$R$232,COLUMNS(Lists!$C$69:L$69),0)*VLOOKUP(BL$3,Conversions!$B$12:$E$34,4,0),$G64*VLOOKUP($F64,Lists!$C$72:$R$232,COLUMNS(Lists!$C$69:L$69),0)*VLOOKUP(BL$3,Conversions!$B$12:$E$34,4,0)))</f>
        <v>0</v>
      </c>
      <c r="T64" s="333">
        <f>IF($F64="",0,IF($F64="Weighted Average",$G64*VLOOKUP($D64&amp;" (Install)",Lists!$C$72:$R$232,COLUMNS(Lists!$C$69:M$69),0)*VLOOKUP(BM$3,Conversions!$B$12:$E$34,4,0),$G64*VLOOKUP($F64,Lists!$C$72:$R$232,COLUMNS(Lists!$C$69:M$69),0)*VLOOKUP(BM$3,Conversions!$B$12:$E$34,4,0)))</f>
        <v>0</v>
      </c>
      <c r="U64" s="333">
        <f>IF($F64="",0,IF($F64="Weighted Average",$G64*VLOOKUP($D64&amp;" (Install)",Lists!$C$72:$R$232,COLUMNS(Lists!$C$69:N$69),0)*VLOOKUP(BN$3,Conversions!$B$12:$E$34,4,0),$G64*VLOOKUP($F64,Lists!$C$72:$R$232,COLUMNS(Lists!$C$69:N$69),0)*VLOOKUP(BN$3,Conversions!$B$12:$E$34,4,0)))</f>
        <v>0</v>
      </c>
      <c r="V64" s="333">
        <f>IF($F64="",0,IF($F64="Weighted Average",$G64*VLOOKUP($D64&amp;" (Install)",Lists!$C$72:$R$232,COLUMNS(Lists!$C$69:O$69),0)*VLOOKUP(BO$3,Conversions!$B$12:$E$34,4,0),$G64*VLOOKUP($F64,Lists!$C$72:$R$232,COLUMNS(Lists!$C$69:O$69),0)*VLOOKUP(BO$3,Conversions!$B$12:$E$34,4,0)))</f>
        <v>0</v>
      </c>
      <c r="W64" s="333">
        <f>IF($F64="",0,IF($F64="Weighted Average",$G64*VLOOKUP($D64&amp;" (Install)",Lists!$C$72:$R$232,COLUMNS(Lists!$C$69:P$69),0)*VLOOKUP(BP$3,Conversions!$B$12:$E$34,4,0),$G64*VLOOKUP($F64,Lists!$C$72:$R$232,COLUMNS(Lists!$C$69:P$69),0)*VLOOKUP(BP$3,Conversions!$B$12:$E$34,4,0)))</f>
        <v>0</v>
      </c>
      <c r="X64" s="333">
        <f>IF($F64="",0,IF($F64="Weighted Average",$G64*VLOOKUP($D64&amp;" (Install)",Lists!$C$72:$R$232,COLUMNS(Lists!$C$69:Q$69),0)*VLOOKUP(BQ$3,Conversions!$B$12:$E$34,4,0),$G64*VLOOKUP($F64,Lists!$C$72:$R$232,COLUMNS(Lists!$C$69:Q$69),0)*VLOOKUP(BQ$3,Conversions!$B$12:$E$34,4,0)))</f>
        <v>0</v>
      </c>
      <c r="Y64" s="333">
        <f>IF($F64="",0,IF($F64="Weighted Average",$G64*VLOOKUP($D64&amp;" (Install)",Lists!$C$72:$R$232,COLUMNS(Lists!$C$69:R$69),0)*VLOOKUP(BR$3,Conversions!$B$12:$E$34,4,0),$G64*VLOOKUP($F64,Lists!$C$72:$R$232,COLUMNS(Lists!$C$69:R$69),0)*VLOOKUP(BR$3,Conversions!$B$12:$E$34,4,0)))</f>
        <v>0</v>
      </c>
      <c r="Z64" s="325">
        <f t="shared" si="59"/>
        <v>0</v>
      </c>
      <c r="AA64" s="334">
        <f>IF($F64="",0,IF($F64="Weighted Average",$H64*VLOOKUP($D64&amp;" (Operation)",Lists!$C$72:$R$232,COLUMNS(Lists!$C$69:E$69),0)*VLOOKUP(BE$3,Conversions!$B$12:$E$34,4,0),$H64*VLOOKUP($F64,Lists!$C$72:$R$232,COLUMNS(Lists!$C$69:E$69),0)*VLOOKUP(BE$3,Conversions!$B$12:$E$34,4,0)))</f>
        <v>0</v>
      </c>
      <c r="AB64" s="334">
        <f>IF($F64="",0,IF($F64="Weighted Average",$H64*VLOOKUP($D64&amp;" (Operation)",Lists!$C$72:$R$232,COLUMNS(Lists!$C$69:F$69),0)*VLOOKUP(BF$3,Conversions!$B$12:$E$34,4,0),$H64*VLOOKUP($F64,Lists!$C$72:$R$232,COLUMNS(Lists!$C$69:F$69),0)*VLOOKUP(BF$3,Conversions!$B$12:$E$34,4,0)))</f>
        <v>0</v>
      </c>
      <c r="AC64" s="334">
        <f>IF($F64="",0,IF($F64="Weighted Average",$H64*VLOOKUP($D64&amp;" (Operation)",Lists!$C$72:$R$232,COLUMNS(Lists!$C$69:G$69),0)*VLOOKUP(BG$3,Conversions!$B$12:$E$34,4,0),$H64*VLOOKUP($F64,Lists!$C$72:$R$232,COLUMNS(Lists!$C$69:G$69),0)*VLOOKUP(BG$3,Conversions!$B$12:$E$34,4,0)))</f>
        <v>0</v>
      </c>
      <c r="AD64" s="334">
        <f>IF($F64="",0,IF($F64="Weighted Average",$H64*VLOOKUP($D64&amp;" (Operation)",Lists!$C$72:$R$232,COLUMNS(Lists!$C$69:H$69),0)*VLOOKUP(BH$3,Conversions!$B$12:$E$34,4,0),$H64*VLOOKUP($F64,Lists!$C$72:$R$232,COLUMNS(Lists!$C$69:H$69),0)*VLOOKUP(BH$3,Conversions!$B$12:$E$34,4,0)))</f>
        <v>0</v>
      </c>
      <c r="AE64" s="334">
        <f>IF($F64="",0,IF($F64="Weighted Average",$H64*VLOOKUP($D64&amp;" (Operation)",Lists!$C$72:$R$232,COLUMNS(Lists!$C$69:I$69),0)*VLOOKUP(BI$3,Conversions!$B$12:$E$34,4,0),$H64*VLOOKUP($F64,Lists!$C$72:$R$232,COLUMNS(Lists!$C$69:I$69),0)*VLOOKUP(BI$3,Conversions!$B$12:$E$34,4,0)))</f>
        <v>0</v>
      </c>
      <c r="AF64" s="334">
        <f>IF($F64="",0,IF($F64="Weighted Average",$H64*VLOOKUP($D64&amp;" (Operation)",Lists!$C$72:$R$232,COLUMNS(Lists!$C$69:J$69),0)*VLOOKUP(BJ$3,Conversions!$B$12:$E$34,4,0),$H64*VLOOKUP($F64,Lists!$C$72:$R$232,COLUMNS(Lists!$C$69:J$69),0)*VLOOKUP(BJ$3,Conversions!$B$12:$E$34,4,0)))</f>
        <v>0</v>
      </c>
      <c r="AG64" s="334">
        <f>IF($F64="",0,IF($F64="Weighted Average",$H64*VLOOKUP($D64&amp;" (Operation)",Lists!$C$72:$R$232,COLUMNS(Lists!$C$69:K$69),0)*VLOOKUP(BK$3,Conversions!$B$12:$E$34,4,0),$H64*VLOOKUP($F64,Lists!$C$72:$R$232,COLUMNS(Lists!$C$69:K$69),0)*VLOOKUP(BK$3,Conversions!$B$12:$E$34,4,0)))</f>
        <v>0</v>
      </c>
      <c r="AH64" s="334">
        <f>IF($F64="",0,IF($F64="Weighted Average",$H64*VLOOKUP($D64&amp;" (Operation)",Lists!$C$72:$R$232,COLUMNS(Lists!$C$69:L$69),0)*VLOOKUP(BL$3,Conversions!$B$12:$E$34,4,0),$H64*VLOOKUP($F64,Lists!$C$72:$R$232,COLUMNS(Lists!$C$69:L$69),0)*VLOOKUP(BL$3,Conversions!$B$12:$E$34,4,0)))</f>
        <v>0</v>
      </c>
      <c r="AI64" s="334">
        <f>IF($F64="",0,IF($F64="Weighted Average",$H64*VLOOKUP($D64&amp;" (Operation)",Lists!$C$72:$R$232,COLUMNS(Lists!$C$69:M$69),0)*VLOOKUP(BM$3,Conversions!$B$12:$E$34,4,0),$H64*VLOOKUP($F64,Lists!$C$72:$R$232,COLUMNS(Lists!$C$69:M$69),0)*VLOOKUP(BM$3,Conversions!$B$12:$E$34,4,0)))</f>
        <v>0</v>
      </c>
      <c r="AJ64" s="334">
        <f>IF($F64="",0,IF($F64="Weighted Average",$H64*VLOOKUP($D64&amp;" (Operation)",Lists!$C$72:$R$232,COLUMNS(Lists!$C$69:N$69),0)*VLOOKUP(BN$3,Conversions!$B$12:$E$34,4,0),$H64*VLOOKUP($F64,Lists!$C$72:$R$232,COLUMNS(Lists!$C$69:N$69),0)*VLOOKUP(BN$3,Conversions!$B$12:$E$34,4,0)))</f>
        <v>0</v>
      </c>
      <c r="AK64" s="334">
        <f>IF($F64="",0,IF($F64="Weighted Average",$H64*VLOOKUP($D64&amp;" (Operation)",Lists!$C$72:$R$232,COLUMNS(Lists!$C$69:O$69),0)*VLOOKUP(BO$3,Conversions!$B$12:$E$34,4,0),$H64*VLOOKUP($F64,Lists!$C$72:$R$232,COLUMNS(Lists!$C$69:O$69),0)*VLOOKUP(BO$3,Conversions!$B$12:$E$34,4,0)))</f>
        <v>0</v>
      </c>
      <c r="AL64" s="334">
        <f>IF($F64="",0,IF($F64="Weighted Average",$H64*VLOOKUP($D64&amp;" (Operation)",Lists!$C$72:$R$232,COLUMNS(Lists!$C$69:P$69),0)*VLOOKUP(BP$3,Conversions!$B$12:$E$34,4,0),$H64*VLOOKUP($F64,Lists!$C$72:$R$232,COLUMNS(Lists!$C$69:P$69),0)*VLOOKUP(BP$3,Conversions!$B$12:$E$34,4,0)))</f>
        <v>0</v>
      </c>
      <c r="AM64" s="334">
        <f>IF($F64="",0,IF($F64="Weighted Average",$H64*VLOOKUP($D64&amp;" (Operation)",Lists!$C$72:$R$232,COLUMNS(Lists!$C$69:Q$69),0)*VLOOKUP(BQ$3,Conversions!$B$12:$E$34,4,0),$H64*VLOOKUP($F64,Lists!$C$72:$R$232,COLUMNS(Lists!$C$69:Q$69),0)*VLOOKUP(BQ$3,Conversions!$B$12:$E$34,4,0)))</f>
        <v>0</v>
      </c>
      <c r="AN64" s="334">
        <f>IF($F64="",0,IF($F64="Weighted Average",$H64*VLOOKUP($D64&amp;" (Operation)",Lists!$C$72:$R$232,COLUMNS(Lists!$C$69:R$69),0)*VLOOKUP(BR$3,Conversions!$B$12:$E$34,4,0),$H64*VLOOKUP($F64,Lists!$C$72:$R$232,COLUMNS(Lists!$C$69:R$69),0)*VLOOKUP(BR$3,Conversions!$B$12:$E$34,4,0)))</f>
        <v>0</v>
      </c>
      <c r="AO64" s="330">
        <f t="shared" si="60"/>
        <v>0</v>
      </c>
      <c r="AP64" s="333">
        <f>IF($F64="",0,IF($F64="Weighted Average",$I64*VLOOKUP($D64&amp;" (Disposal)",Lists!$C$72:$R$232,COLUMNS(Lists!$C$69:E$69),0)*VLOOKUP(BE$3,Conversions!$B$12:$E$34,4,0),$I64*VLOOKUP($F64,Lists!$C$72:$R$232,COLUMNS(Lists!$C$69:E$69),0)*VLOOKUP(BE$3,Conversions!$B$12:$E$34,4,0)))</f>
        <v>0</v>
      </c>
      <c r="AQ64" s="333">
        <f>IF($F64="",0,IF($F64="Weighted Average",$I64*VLOOKUP($D64&amp;" (Disposal)",Lists!$C$72:$R$232,COLUMNS(Lists!$C$69:F$69),0)*VLOOKUP(BF$3,Conversions!$B$12:$E$34,4,0),$I64*VLOOKUP($F64,Lists!$C$72:$R$232,COLUMNS(Lists!$C$69:F$69),0)*VLOOKUP(BF$3,Conversions!$B$12:$E$34,4,0)))</f>
        <v>0</v>
      </c>
      <c r="AR64" s="333">
        <f>IF($F64="",0,IF($F64="Weighted Average",$I64*VLOOKUP($D64&amp;" (Disposal)",Lists!$C$72:$R$232,COLUMNS(Lists!$C$69:G$69),0)*VLOOKUP(BG$3,Conversions!$B$12:$E$34,4,0),$I64*VLOOKUP($F64,Lists!$C$72:$R$232,COLUMNS(Lists!$C$69:G$69),0)*VLOOKUP(BG$3,Conversions!$B$12:$E$34,4,0)))</f>
        <v>0</v>
      </c>
      <c r="AS64" s="333">
        <f>IF($F64="",0,IF($F64="Weighted Average",$I64*VLOOKUP($D64&amp;" (Disposal)",Lists!$C$72:$R$232,COLUMNS(Lists!$C$69:H$69),0)*VLOOKUP(BH$3,Conversions!$B$12:$E$34,4,0),$I64*VLOOKUP($F64,Lists!$C$72:$R$232,COLUMNS(Lists!$C$69:H$69),0)*VLOOKUP(BH$3,Conversions!$B$12:$E$34,4,0)))</f>
        <v>0</v>
      </c>
      <c r="AT64" s="333">
        <f>IF($F64="",0,IF($F64="Weighted Average",$I64*VLOOKUP($D64&amp;" (Disposal)",Lists!$C$72:$R$232,COLUMNS(Lists!$C$69:I$69),0)*VLOOKUP(BI$3,Conversions!$B$12:$E$34,4,0),$I64*VLOOKUP($F64,Lists!$C$72:$R$232,COLUMNS(Lists!$C$69:I$69),0)*VLOOKUP(BI$3,Conversions!$B$12:$E$34,4,0)))</f>
        <v>0</v>
      </c>
      <c r="AU64" s="333">
        <f>IF($F64="",0,IF($F64="Weighted Average",$I64*VLOOKUP($D64&amp;" (Disposal)",Lists!$C$72:$R$232,COLUMNS(Lists!$C$69:J$69),0)*VLOOKUP(BJ$3,Conversions!$B$12:$E$34,4,0),$I64*VLOOKUP($F64,Lists!$C$72:$R$232,COLUMNS(Lists!$C$69:J$69),0)*VLOOKUP(BJ$3,Conversions!$B$12:$E$34,4,0)))</f>
        <v>0</v>
      </c>
      <c r="AV64" s="333">
        <f>IF($F64="",0,IF($F64="Weighted Average",$I64*VLOOKUP($D64&amp;" (Disposal)",Lists!$C$72:$R$232,COLUMNS(Lists!$C$69:K$69),0)*VLOOKUP(BK$3,Conversions!$B$12:$E$34,4,0),$I64*VLOOKUP($F64,Lists!$C$72:$R$232,COLUMNS(Lists!$C$69:K$69),0)*VLOOKUP(BK$3,Conversions!$B$12:$E$34,4,0)))</f>
        <v>0</v>
      </c>
      <c r="AW64" s="333">
        <f>IF($F64="",0,IF($F64="Weighted Average",$I64*VLOOKUP($D64&amp;" (Disposal)",Lists!$C$72:$R$232,COLUMNS(Lists!$C$69:L$69),0)*VLOOKUP(BL$3,Conversions!$B$12:$E$34,4,0),$I64*VLOOKUP($F64,Lists!$C$72:$R$232,COLUMNS(Lists!$C$69:L$69),0)*VLOOKUP(BL$3,Conversions!$B$12:$E$34,4,0)))</f>
        <v>0</v>
      </c>
      <c r="AX64" s="333">
        <f>IF($F64="",0,IF($F64="Weighted Average",$I64*VLOOKUP($D64&amp;" (Disposal)",Lists!$C$72:$R$232,COLUMNS(Lists!$C$69:M$69),0)*VLOOKUP(BM$3,Conversions!$B$12:$E$34,4,0),$I64*VLOOKUP($F64,Lists!$C$72:$R$232,COLUMNS(Lists!$C$69:M$69),0)*VLOOKUP(BM$3,Conversions!$B$12:$E$34,4,0)))</f>
        <v>0</v>
      </c>
      <c r="AY64" s="333">
        <f>IF($F64="",0,IF($F64="Weighted Average",$I64*VLOOKUP($D64&amp;" (Disposal)",Lists!$C$72:$R$232,COLUMNS(Lists!$C$69:N$69),0)*VLOOKUP(BN$3,Conversions!$B$12:$E$34,4,0),$I64*VLOOKUP($F64,Lists!$C$72:$R$232,COLUMNS(Lists!$C$69:N$69),0)*VLOOKUP(BN$3,Conversions!$B$12:$E$34,4,0)))</f>
        <v>0</v>
      </c>
      <c r="AZ64" s="333">
        <f>IF($F64="",0,IF($F64="Weighted Average",$I64*VLOOKUP($D64&amp;" (Disposal)",Lists!$C$72:$R$232,COLUMNS(Lists!$C$69:O$69),0)*VLOOKUP(BO$3,Conversions!$B$12:$E$34,4,0),$I64*VLOOKUP($F64,Lists!$C$72:$R$232,COLUMNS(Lists!$C$69:O$69),0)*VLOOKUP(BO$3,Conversions!$B$12:$E$34,4,0)))</f>
        <v>0</v>
      </c>
      <c r="BA64" s="333">
        <f>IF($F64="",0,IF($F64="Weighted Average",$I64*VLOOKUP($D64&amp;" (Disposal)",Lists!$C$72:$R$232,COLUMNS(Lists!$C$69:P$69),0)*VLOOKUP(BP$3,Conversions!$B$12:$E$34,4,0),$I64*VLOOKUP($F64,Lists!$C$72:$R$232,COLUMNS(Lists!$C$69:P$69),0)*VLOOKUP(BP$3,Conversions!$B$12:$E$34,4,0)))</f>
        <v>0</v>
      </c>
      <c r="BB64" s="333">
        <f>IF($F64="",0,IF($F64="Weighted Average",$I64*VLOOKUP($D64&amp;" (Disposal)",Lists!$C$72:$R$232,COLUMNS(Lists!$C$69:Q$69),0)*VLOOKUP(BQ$3,Conversions!$B$12:$E$34,4,0),$I64*VLOOKUP($F64,Lists!$C$72:$R$232,COLUMNS(Lists!$C$69:Q$69),0)*VLOOKUP(BQ$3,Conversions!$B$12:$E$34,4,0)))</f>
        <v>0</v>
      </c>
      <c r="BC64" s="333">
        <f>IF($F64="",0,IF($F64="Weighted Average",$I64*VLOOKUP($D64&amp;" (Disposal)",Lists!$C$72:$R$232,COLUMNS(Lists!$C$69:R$69),0)*VLOOKUP(BR$3,Conversions!$B$12:$E$34,4,0),$I64*VLOOKUP($F64,Lists!$C$72:$R$232,COLUMNS(Lists!$C$69:R$69),0)*VLOOKUP(BR$3,Conversions!$B$12:$E$34,4,0)))</f>
        <v>0</v>
      </c>
      <c r="BD64" s="333">
        <f t="shared" si="61"/>
        <v>0</v>
      </c>
      <c r="BE64" s="330">
        <f t="shared" si="62"/>
        <v>0</v>
      </c>
      <c r="BF64" s="330">
        <f t="shared" si="63"/>
        <v>0</v>
      </c>
      <c r="BG64" s="330">
        <f t="shared" si="64"/>
        <v>0</v>
      </c>
      <c r="BH64" s="330">
        <f t="shared" si="65"/>
        <v>0</v>
      </c>
      <c r="BI64" s="330">
        <f t="shared" si="66"/>
        <v>0</v>
      </c>
      <c r="BJ64" s="330">
        <f t="shared" si="67"/>
        <v>0</v>
      </c>
      <c r="BK64" s="330">
        <f t="shared" si="68"/>
        <v>0</v>
      </c>
      <c r="BL64" s="330">
        <f t="shared" si="69"/>
        <v>0</v>
      </c>
      <c r="BM64" s="330">
        <f t="shared" si="70"/>
        <v>0</v>
      </c>
      <c r="BN64" s="330">
        <f t="shared" si="71"/>
        <v>0</v>
      </c>
      <c r="BO64" s="330">
        <f t="shared" si="72"/>
        <v>0</v>
      </c>
      <c r="BP64" s="330">
        <f t="shared" si="73"/>
        <v>0</v>
      </c>
      <c r="BQ64" s="330">
        <f t="shared" si="74"/>
        <v>0</v>
      </c>
      <c r="BR64" s="330">
        <f t="shared" si="75"/>
        <v>0</v>
      </c>
      <c r="BS64" s="330">
        <f t="shared" si="76"/>
        <v>0</v>
      </c>
      <c r="BT64" s="329">
        <f t="shared" ref="BT64:CI73" si="91">IF($E64="",0,IF($E64=BT$3,$BS64,0))</f>
        <v>0</v>
      </c>
      <c r="BU64" s="329">
        <f t="shared" si="91"/>
        <v>0</v>
      </c>
      <c r="BV64" s="329">
        <f t="shared" si="91"/>
        <v>0</v>
      </c>
      <c r="BW64" s="329">
        <f t="shared" si="91"/>
        <v>0</v>
      </c>
      <c r="BX64" s="329">
        <f t="shared" si="91"/>
        <v>0</v>
      </c>
      <c r="BY64" s="329">
        <f t="shared" si="91"/>
        <v>0</v>
      </c>
      <c r="BZ64" s="329">
        <f t="shared" si="91"/>
        <v>0</v>
      </c>
      <c r="CA64" s="329">
        <f t="shared" si="91"/>
        <v>0</v>
      </c>
      <c r="CB64" s="329">
        <f t="shared" si="91"/>
        <v>0</v>
      </c>
      <c r="CC64" s="329">
        <f t="shared" si="91"/>
        <v>0</v>
      </c>
      <c r="CD64" s="329">
        <f t="shared" si="91"/>
        <v>0</v>
      </c>
      <c r="CE64" s="329">
        <f t="shared" si="91"/>
        <v>0</v>
      </c>
      <c r="CF64" s="329">
        <f t="shared" si="91"/>
        <v>0</v>
      </c>
      <c r="CG64" s="329">
        <f t="shared" si="91"/>
        <v>0</v>
      </c>
      <c r="CH64" s="329">
        <f t="shared" si="91"/>
        <v>0</v>
      </c>
      <c r="CI64" s="329">
        <f t="shared" si="91"/>
        <v>0</v>
      </c>
      <c r="CJ64" s="331">
        <f t="shared" si="78"/>
        <v>0</v>
      </c>
      <c r="CK64" s="330">
        <f t="shared" si="79"/>
        <v>0</v>
      </c>
      <c r="CL64" s="330">
        <f t="shared" si="80"/>
        <v>0</v>
      </c>
      <c r="CM64" s="330">
        <f t="shared" si="81"/>
        <v>0</v>
      </c>
      <c r="CN64" s="330">
        <f t="shared" si="82"/>
        <v>0</v>
      </c>
      <c r="CO64" s="330">
        <f t="shared" si="83"/>
        <v>0</v>
      </c>
      <c r="CP64" s="330">
        <f t="shared" si="84"/>
        <v>0</v>
      </c>
      <c r="CQ64" s="330">
        <f t="shared" si="11"/>
        <v>0</v>
      </c>
      <c r="CR64" s="330">
        <f t="shared" si="85"/>
        <v>0</v>
      </c>
      <c r="CS64" s="330">
        <f t="shared" si="86"/>
        <v>0</v>
      </c>
      <c r="CT64" s="330">
        <f t="shared" si="87"/>
        <v>0</v>
      </c>
      <c r="CU64" s="330">
        <f t="shared" ref="CU64:DD73" si="92">IF($C64=CU$3,$BS64,0)</f>
        <v>0</v>
      </c>
      <c r="CV64" s="330">
        <f t="shared" si="92"/>
        <v>0</v>
      </c>
      <c r="CW64" s="330">
        <f t="shared" si="92"/>
        <v>0</v>
      </c>
      <c r="CX64" s="330">
        <f t="shared" si="92"/>
        <v>0</v>
      </c>
      <c r="CY64" s="330">
        <f t="shared" si="92"/>
        <v>0</v>
      </c>
      <c r="CZ64" s="330">
        <f t="shared" si="92"/>
        <v>0</v>
      </c>
      <c r="DA64" s="330">
        <f t="shared" si="92"/>
        <v>0</v>
      </c>
      <c r="DB64" s="330">
        <f t="shared" si="92"/>
        <v>0</v>
      </c>
      <c r="DC64" s="330">
        <f t="shared" si="92"/>
        <v>0</v>
      </c>
      <c r="DD64" s="330">
        <f t="shared" si="92"/>
        <v>0</v>
      </c>
      <c r="DE64" s="330">
        <f t="shared" ref="DE64:DO73" si="93">IF($C64=DE$3,$BS64,0)</f>
        <v>0</v>
      </c>
      <c r="DF64" s="330">
        <f t="shared" si="93"/>
        <v>0</v>
      </c>
      <c r="DG64" s="330">
        <f t="shared" si="93"/>
        <v>0</v>
      </c>
      <c r="DH64" s="330">
        <f t="shared" si="93"/>
        <v>0</v>
      </c>
      <c r="DI64" s="330">
        <f t="shared" si="93"/>
        <v>0</v>
      </c>
      <c r="DJ64" s="330">
        <f t="shared" si="93"/>
        <v>0</v>
      </c>
      <c r="DK64" s="330">
        <f t="shared" si="93"/>
        <v>0</v>
      </c>
      <c r="DL64" s="330">
        <f t="shared" si="93"/>
        <v>0</v>
      </c>
      <c r="DM64" s="330">
        <f t="shared" si="93"/>
        <v>0</v>
      </c>
      <c r="DN64" s="330">
        <f t="shared" si="93"/>
        <v>0</v>
      </c>
      <c r="DO64" s="330">
        <f t="shared" si="93"/>
        <v>0</v>
      </c>
      <c r="DP64" s="330">
        <f t="shared" si="90"/>
        <v>0</v>
      </c>
      <c r="DQ64" s="217"/>
      <c r="DR64" s="217"/>
      <c r="DS64" s="217"/>
      <c r="DT64" s="217"/>
    </row>
    <row r="65" spans="1:124" x14ac:dyDescent="0.3">
      <c r="A65" s="332"/>
      <c r="B65" s="221" t="s">
        <v>304</v>
      </c>
      <c r="C65" s="221" t="str">
        <f>IF('Simplified Material Balance'!C35=0,"",'Simplified Material Balance'!C35)</f>
        <v/>
      </c>
      <c r="D65" s="221" t="str">
        <f>IF('Simplified Material Balance'!D35=0,"",'Simplified Material Balance'!D35)</f>
        <v/>
      </c>
      <c r="E65" s="221" t="str">
        <f>IF('Simplified Material Balance'!E35=0,"",'Simplified Material Balance'!E35)</f>
        <v/>
      </c>
      <c r="F65" s="221" t="str">
        <f>IF('Simplified Material Balance'!F35=0,"",'Simplified Material Balance'!F35)</f>
        <v/>
      </c>
      <c r="G65" s="272">
        <f>IF('Simplified Material Balance'!H35&gt;'Simplified Material Balance'!G35,0,('Simplified Material Balance'!G35-'Simplified Material Balance'!H35)*Conversions!$C$4)</f>
        <v>0</v>
      </c>
      <c r="H65" s="272">
        <f>'Simplified Material Balance'!I35*Conversions!$C$4</f>
        <v>0</v>
      </c>
      <c r="I65" s="272">
        <f>('Simplified Material Balance'!J35-'Simplified Material Balance'!K35)*Conversions!$C$4</f>
        <v>0</v>
      </c>
      <c r="J65" s="325">
        <f>IF('Simplified Material Balance'!L35=0,0,'Simplified Material Balance'!L35)</f>
        <v>0</v>
      </c>
      <c r="K65" s="465"/>
      <c r="L65" s="333">
        <f>IF($F65="",0,IF($F65="Weighted Average",$G65*VLOOKUP($D65&amp;" (Install)",Lists!$C$72:$R$232,COLUMNS(Lists!$C$69:E$69),0)*VLOOKUP(BE$3,Conversions!$B$12:$E$34,4,0),$G65*VLOOKUP($F65,Lists!$C$72:$R$232,COLUMNS(Lists!$C$69:E$69),0)*VLOOKUP(BE$3,Conversions!$B$12:$E$34,4,0)))</f>
        <v>0</v>
      </c>
      <c r="M65" s="333">
        <f>IF($F65="",0,IF($F65="Weighted Average",$G65*VLOOKUP($D65&amp;" (Install)",Lists!$C$72:$R$232,COLUMNS(Lists!$C$69:F$69),0)*VLOOKUP(BF$3,Conversions!$B$12:$E$34,4,0),$G65*VLOOKUP($F65,Lists!$C$72:$R$232,COLUMNS(Lists!$C$69:F$69),0)*VLOOKUP(BF$3,Conversions!$B$12:$E$34,4,0)))</f>
        <v>0</v>
      </c>
      <c r="N65" s="333">
        <f>IF($F65="",0,IF($F65="Weighted Average",$G65*VLOOKUP($D65&amp;" (Install)",Lists!$C$72:$R$232,COLUMNS(Lists!$C$69:G$69),0)*VLOOKUP(BG$3,Conversions!$B$12:$E$34,4,0),$G65*VLOOKUP($F65,Lists!$C$72:$R$232,COLUMNS(Lists!$C$69:G$69),0)*VLOOKUP(BG$3,Conversions!$B$12:$E$34,4,0)))</f>
        <v>0</v>
      </c>
      <c r="O65" s="333">
        <f>IF($F65="",0,IF($F65="Weighted Average",$G65*VLOOKUP($D65&amp;" (Install)",Lists!$C$72:$R$232,COLUMNS(Lists!$C$69:H$69),0)*VLOOKUP(BH$3,Conversions!$B$12:$E$34,4,0),$G65*VLOOKUP($F65,Lists!$C$72:$R$232,COLUMNS(Lists!$C$69:H$69),0)*VLOOKUP(BH$3,Conversions!$B$12:$E$34,4,0)))</f>
        <v>0</v>
      </c>
      <c r="P65" s="333">
        <f>IF($F65="",0,IF($F65="Weighted Average",$G65*VLOOKUP($D65&amp;" (Install)",Lists!$C$72:$R$232,COLUMNS(Lists!$C$69:I$69),0)*VLOOKUP(BI$3,Conversions!$B$12:$E$34,4,0),$G65*VLOOKUP($F65,Lists!$C$72:$R$232,COLUMNS(Lists!$C$69:I$69),0)*VLOOKUP(BI$3,Conversions!$B$12:$E$34,4,0)))</f>
        <v>0</v>
      </c>
      <c r="Q65" s="333">
        <f>IF($F65="",0,IF($F65="Weighted Average",$G65*VLOOKUP($D65&amp;" (Install)",Lists!$C$72:$R$232,COLUMNS(Lists!$C$69:J$69),0)*VLOOKUP(BJ$3,Conversions!$B$12:$E$34,4,0),$G65*VLOOKUP($F65,Lists!$C$72:$R$232,COLUMNS(Lists!$C$69:J$69),0)*VLOOKUP(BJ$3,Conversions!$B$12:$E$34,4,0)))</f>
        <v>0</v>
      </c>
      <c r="R65" s="333">
        <f>IF($F65="",0,IF($F65="Weighted Average",$G65*VLOOKUP($D65&amp;" (Install)",Lists!$C$72:$R$232,COLUMNS(Lists!$C$69:K$69),0)*VLOOKUP(BK$3,Conversions!$B$12:$E$34,4,0),$G65*VLOOKUP($F65,Lists!$C$72:$R$232,COLUMNS(Lists!$C$69:K$69),0)*VLOOKUP(BK$3,Conversions!$B$12:$E$34,4,0)))</f>
        <v>0</v>
      </c>
      <c r="S65" s="333">
        <f>IF($F65="",0,IF($F65="Weighted Average",$G65*VLOOKUP($D65&amp;" (Install)",Lists!$C$72:$R$232,COLUMNS(Lists!$C$69:L$69),0)*VLOOKUP(BL$3,Conversions!$B$12:$E$34,4,0),$G65*VLOOKUP($F65,Lists!$C$72:$R$232,COLUMNS(Lists!$C$69:L$69),0)*VLOOKUP(BL$3,Conversions!$B$12:$E$34,4,0)))</f>
        <v>0</v>
      </c>
      <c r="T65" s="333">
        <f>IF($F65="",0,IF($F65="Weighted Average",$G65*VLOOKUP($D65&amp;" (Install)",Lists!$C$72:$R$232,COLUMNS(Lists!$C$69:M$69),0)*VLOOKUP(BM$3,Conversions!$B$12:$E$34,4,0),$G65*VLOOKUP($F65,Lists!$C$72:$R$232,COLUMNS(Lists!$C$69:M$69),0)*VLOOKUP(BM$3,Conversions!$B$12:$E$34,4,0)))</f>
        <v>0</v>
      </c>
      <c r="U65" s="333">
        <f>IF($F65="",0,IF($F65="Weighted Average",$G65*VLOOKUP($D65&amp;" (Install)",Lists!$C$72:$R$232,COLUMNS(Lists!$C$69:N$69),0)*VLOOKUP(BN$3,Conversions!$B$12:$E$34,4,0),$G65*VLOOKUP($F65,Lists!$C$72:$R$232,COLUMNS(Lists!$C$69:N$69),0)*VLOOKUP(BN$3,Conversions!$B$12:$E$34,4,0)))</f>
        <v>0</v>
      </c>
      <c r="V65" s="333">
        <f>IF($F65="",0,IF($F65="Weighted Average",$G65*VLOOKUP($D65&amp;" (Install)",Lists!$C$72:$R$232,COLUMNS(Lists!$C$69:O$69),0)*VLOOKUP(BO$3,Conversions!$B$12:$E$34,4,0),$G65*VLOOKUP($F65,Lists!$C$72:$R$232,COLUMNS(Lists!$C$69:O$69),0)*VLOOKUP(BO$3,Conversions!$B$12:$E$34,4,0)))</f>
        <v>0</v>
      </c>
      <c r="W65" s="333">
        <f>IF($F65="",0,IF($F65="Weighted Average",$G65*VLOOKUP($D65&amp;" (Install)",Lists!$C$72:$R$232,COLUMNS(Lists!$C$69:P$69),0)*VLOOKUP(BP$3,Conversions!$B$12:$E$34,4,0),$G65*VLOOKUP($F65,Lists!$C$72:$R$232,COLUMNS(Lists!$C$69:P$69),0)*VLOOKUP(BP$3,Conversions!$B$12:$E$34,4,0)))</f>
        <v>0</v>
      </c>
      <c r="X65" s="333">
        <f>IF($F65="",0,IF($F65="Weighted Average",$G65*VLOOKUP($D65&amp;" (Install)",Lists!$C$72:$R$232,COLUMNS(Lists!$C$69:Q$69),0)*VLOOKUP(BQ$3,Conversions!$B$12:$E$34,4,0),$G65*VLOOKUP($F65,Lists!$C$72:$R$232,COLUMNS(Lists!$C$69:Q$69),0)*VLOOKUP(BQ$3,Conversions!$B$12:$E$34,4,0)))</f>
        <v>0</v>
      </c>
      <c r="Y65" s="333">
        <f>IF($F65="",0,IF($F65="Weighted Average",$G65*VLOOKUP($D65&amp;" (Install)",Lists!$C$72:$R$232,COLUMNS(Lists!$C$69:R$69),0)*VLOOKUP(BR$3,Conversions!$B$12:$E$34,4,0),$G65*VLOOKUP($F65,Lists!$C$72:$R$232,COLUMNS(Lists!$C$69:R$69),0)*VLOOKUP(BR$3,Conversions!$B$12:$E$34,4,0)))</f>
        <v>0</v>
      </c>
      <c r="Z65" s="325">
        <f t="shared" si="59"/>
        <v>0</v>
      </c>
      <c r="AA65" s="334">
        <f>IF($F65="",0,IF($F65="Weighted Average",$H65*VLOOKUP($D65&amp;" (Operation)",Lists!$C$72:$R$232,COLUMNS(Lists!$C$69:E$69),0)*VLOOKUP(BE$3,Conversions!$B$12:$E$34,4,0),$H65*VLOOKUP($F65,Lists!$C$72:$R$232,COLUMNS(Lists!$C$69:E$69),0)*VLOOKUP(BE$3,Conversions!$B$12:$E$34,4,0)))</f>
        <v>0</v>
      </c>
      <c r="AB65" s="334">
        <f>IF($F65="",0,IF($F65="Weighted Average",$H65*VLOOKUP($D65&amp;" (Operation)",Lists!$C$72:$R$232,COLUMNS(Lists!$C$69:F$69),0)*VLOOKUP(BF$3,Conversions!$B$12:$E$34,4,0),$H65*VLOOKUP($F65,Lists!$C$72:$R$232,COLUMNS(Lists!$C$69:F$69),0)*VLOOKUP(BF$3,Conversions!$B$12:$E$34,4,0)))</f>
        <v>0</v>
      </c>
      <c r="AC65" s="334">
        <f>IF($F65="",0,IF($F65="Weighted Average",$H65*VLOOKUP($D65&amp;" (Operation)",Lists!$C$72:$R$232,COLUMNS(Lists!$C$69:G$69),0)*VLOOKUP(BG$3,Conversions!$B$12:$E$34,4,0),$H65*VLOOKUP($F65,Lists!$C$72:$R$232,COLUMNS(Lists!$C$69:G$69),0)*VLOOKUP(BG$3,Conversions!$B$12:$E$34,4,0)))</f>
        <v>0</v>
      </c>
      <c r="AD65" s="334">
        <f>IF($F65="",0,IF($F65="Weighted Average",$H65*VLOOKUP($D65&amp;" (Operation)",Lists!$C$72:$R$232,COLUMNS(Lists!$C$69:H$69),0)*VLOOKUP(BH$3,Conversions!$B$12:$E$34,4,0),$H65*VLOOKUP($F65,Lists!$C$72:$R$232,COLUMNS(Lists!$C$69:H$69),0)*VLOOKUP(BH$3,Conversions!$B$12:$E$34,4,0)))</f>
        <v>0</v>
      </c>
      <c r="AE65" s="334">
        <f>IF($F65="",0,IF($F65="Weighted Average",$H65*VLOOKUP($D65&amp;" (Operation)",Lists!$C$72:$R$232,COLUMNS(Lists!$C$69:I$69),0)*VLOOKUP(BI$3,Conversions!$B$12:$E$34,4,0),$H65*VLOOKUP($F65,Lists!$C$72:$R$232,COLUMNS(Lists!$C$69:I$69),0)*VLOOKUP(BI$3,Conversions!$B$12:$E$34,4,0)))</f>
        <v>0</v>
      </c>
      <c r="AF65" s="334">
        <f>IF($F65="",0,IF($F65="Weighted Average",$H65*VLOOKUP($D65&amp;" (Operation)",Lists!$C$72:$R$232,COLUMNS(Lists!$C$69:J$69),0)*VLOOKUP(BJ$3,Conversions!$B$12:$E$34,4,0),$H65*VLOOKUP($F65,Lists!$C$72:$R$232,COLUMNS(Lists!$C$69:J$69),0)*VLOOKUP(BJ$3,Conversions!$B$12:$E$34,4,0)))</f>
        <v>0</v>
      </c>
      <c r="AG65" s="334">
        <f>IF($F65="",0,IF($F65="Weighted Average",$H65*VLOOKUP($D65&amp;" (Operation)",Lists!$C$72:$R$232,COLUMNS(Lists!$C$69:K$69),0)*VLOOKUP(BK$3,Conversions!$B$12:$E$34,4,0),$H65*VLOOKUP($F65,Lists!$C$72:$R$232,COLUMNS(Lists!$C$69:K$69),0)*VLOOKUP(BK$3,Conversions!$B$12:$E$34,4,0)))</f>
        <v>0</v>
      </c>
      <c r="AH65" s="334">
        <f>IF($F65="",0,IF($F65="Weighted Average",$H65*VLOOKUP($D65&amp;" (Operation)",Lists!$C$72:$R$232,COLUMNS(Lists!$C$69:L$69),0)*VLOOKUP(BL$3,Conversions!$B$12:$E$34,4,0),$H65*VLOOKUP($F65,Lists!$C$72:$R$232,COLUMNS(Lists!$C$69:L$69),0)*VLOOKUP(BL$3,Conversions!$B$12:$E$34,4,0)))</f>
        <v>0</v>
      </c>
      <c r="AI65" s="334">
        <f>IF($F65="",0,IF($F65="Weighted Average",$H65*VLOOKUP($D65&amp;" (Operation)",Lists!$C$72:$R$232,COLUMNS(Lists!$C$69:M$69),0)*VLOOKUP(BM$3,Conversions!$B$12:$E$34,4,0),$H65*VLOOKUP($F65,Lists!$C$72:$R$232,COLUMNS(Lists!$C$69:M$69),0)*VLOOKUP(BM$3,Conversions!$B$12:$E$34,4,0)))</f>
        <v>0</v>
      </c>
      <c r="AJ65" s="334">
        <f>IF($F65="",0,IF($F65="Weighted Average",$H65*VLOOKUP($D65&amp;" (Operation)",Lists!$C$72:$R$232,COLUMNS(Lists!$C$69:N$69),0)*VLOOKUP(BN$3,Conversions!$B$12:$E$34,4,0),$H65*VLOOKUP($F65,Lists!$C$72:$R$232,COLUMNS(Lists!$C$69:N$69),0)*VLOOKUP(BN$3,Conversions!$B$12:$E$34,4,0)))</f>
        <v>0</v>
      </c>
      <c r="AK65" s="334">
        <f>IF($F65="",0,IF($F65="Weighted Average",$H65*VLOOKUP($D65&amp;" (Operation)",Lists!$C$72:$R$232,COLUMNS(Lists!$C$69:O$69),0)*VLOOKUP(BO$3,Conversions!$B$12:$E$34,4,0),$H65*VLOOKUP($F65,Lists!$C$72:$R$232,COLUMNS(Lists!$C$69:O$69),0)*VLOOKUP(BO$3,Conversions!$B$12:$E$34,4,0)))</f>
        <v>0</v>
      </c>
      <c r="AL65" s="334">
        <f>IF($F65="",0,IF($F65="Weighted Average",$H65*VLOOKUP($D65&amp;" (Operation)",Lists!$C$72:$R$232,COLUMNS(Lists!$C$69:P$69),0)*VLOOKUP(BP$3,Conversions!$B$12:$E$34,4,0),$H65*VLOOKUP($F65,Lists!$C$72:$R$232,COLUMNS(Lists!$C$69:P$69),0)*VLOOKUP(BP$3,Conversions!$B$12:$E$34,4,0)))</f>
        <v>0</v>
      </c>
      <c r="AM65" s="334">
        <f>IF($F65="",0,IF($F65="Weighted Average",$H65*VLOOKUP($D65&amp;" (Operation)",Lists!$C$72:$R$232,COLUMNS(Lists!$C$69:Q$69),0)*VLOOKUP(BQ$3,Conversions!$B$12:$E$34,4,0),$H65*VLOOKUP($F65,Lists!$C$72:$R$232,COLUMNS(Lists!$C$69:Q$69),0)*VLOOKUP(BQ$3,Conversions!$B$12:$E$34,4,0)))</f>
        <v>0</v>
      </c>
      <c r="AN65" s="334">
        <f>IF($F65="",0,IF($F65="Weighted Average",$H65*VLOOKUP($D65&amp;" (Operation)",Lists!$C$72:$R$232,COLUMNS(Lists!$C$69:R$69),0)*VLOOKUP(BR$3,Conversions!$B$12:$E$34,4,0),$H65*VLOOKUP($F65,Lists!$C$72:$R$232,COLUMNS(Lists!$C$69:R$69),0)*VLOOKUP(BR$3,Conversions!$B$12:$E$34,4,0)))</f>
        <v>0</v>
      </c>
      <c r="AO65" s="330">
        <f t="shared" si="60"/>
        <v>0</v>
      </c>
      <c r="AP65" s="333">
        <f>IF($F65="",0,IF($F65="Weighted Average",$I65*VLOOKUP($D65&amp;" (Disposal)",Lists!$C$72:$R$232,COLUMNS(Lists!$C$69:E$69),0)*VLOOKUP(BE$3,Conversions!$B$12:$E$34,4,0),$I65*VLOOKUP($F65,Lists!$C$72:$R$232,COLUMNS(Lists!$C$69:E$69),0)*VLOOKUP(BE$3,Conversions!$B$12:$E$34,4,0)))</f>
        <v>0</v>
      </c>
      <c r="AQ65" s="333">
        <f>IF($F65="",0,IF($F65="Weighted Average",$I65*VLOOKUP($D65&amp;" (Disposal)",Lists!$C$72:$R$232,COLUMNS(Lists!$C$69:F$69),0)*VLOOKUP(BF$3,Conversions!$B$12:$E$34,4,0),$I65*VLOOKUP($F65,Lists!$C$72:$R$232,COLUMNS(Lists!$C$69:F$69),0)*VLOOKUP(BF$3,Conversions!$B$12:$E$34,4,0)))</f>
        <v>0</v>
      </c>
      <c r="AR65" s="333">
        <f>IF($F65="",0,IF($F65="Weighted Average",$I65*VLOOKUP($D65&amp;" (Disposal)",Lists!$C$72:$R$232,COLUMNS(Lists!$C$69:G$69),0)*VLOOKUP(BG$3,Conversions!$B$12:$E$34,4,0),$I65*VLOOKUP($F65,Lists!$C$72:$R$232,COLUMNS(Lists!$C$69:G$69),0)*VLOOKUP(BG$3,Conversions!$B$12:$E$34,4,0)))</f>
        <v>0</v>
      </c>
      <c r="AS65" s="333">
        <f>IF($F65="",0,IF($F65="Weighted Average",$I65*VLOOKUP($D65&amp;" (Disposal)",Lists!$C$72:$R$232,COLUMNS(Lists!$C$69:H$69),0)*VLOOKUP(BH$3,Conversions!$B$12:$E$34,4,0),$I65*VLOOKUP($F65,Lists!$C$72:$R$232,COLUMNS(Lists!$C$69:H$69),0)*VLOOKUP(BH$3,Conversions!$B$12:$E$34,4,0)))</f>
        <v>0</v>
      </c>
      <c r="AT65" s="333">
        <f>IF($F65="",0,IF($F65="Weighted Average",$I65*VLOOKUP($D65&amp;" (Disposal)",Lists!$C$72:$R$232,COLUMNS(Lists!$C$69:I$69),0)*VLOOKUP(BI$3,Conversions!$B$12:$E$34,4,0),$I65*VLOOKUP($F65,Lists!$C$72:$R$232,COLUMNS(Lists!$C$69:I$69),0)*VLOOKUP(BI$3,Conversions!$B$12:$E$34,4,0)))</f>
        <v>0</v>
      </c>
      <c r="AU65" s="333">
        <f>IF($F65="",0,IF($F65="Weighted Average",$I65*VLOOKUP($D65&amp;" (Disposal)",Lists!$C$72:$R$232,COLUMNS(Lists!$C$69:J$69),0)*VLOOKUP(BJ$3,Conversions!$B$12:$E$34,4,0),$I65*VLOOKUP($F65,Lists!$C$72:$R$232,COLUMNS(Lists!$C$69:J$69),0)*VLOOKUP(BJ$3,Conversions!$B$12:$E$34,4,0)))</f>
        <v>0</v>
      </c>
      <c r="AV65" s="333">
        <f>IF($F65="",0,IF($F65="Weighted Average",$I65*VLOOKUP($D65&amp;" (Disposal)",Lists!$C$72:$R$232,COLUMNS(Lists!$C$69:K$69),0)*VLOOKUP(BK$3,Conversions!$B$12:$E$34,4,0),$I65*VLOOKUP($F65,Lists!$C$72:$R$232,COLUMNS(Lists!$C$69:K$69),0)*VLOOKUP(BK$3,Conversions!$B$12:$E$34,4,0)))</f>
        <v>0</v>
      </c>
      <c r="AW65" s="333">
        <f>IF($F65="",0,IF($F65="Weighted Average",$I65*VLOOKUP($D65&amp;" (Disposal)",Lists!$C$72:$R$232,COLUMNS(Lists!$C$69:L$69),0)*VLOOKUP(BL$3,Conversions!$B$12:$E$34,4,0),$I65*VLOOKUP($F65,Lists!$C$72:$R$232,COLUMNS(Lists!$C$69:L$69),0)*VLOOKUP(BL$3,Conversions!$B$12:$E$34,4,0)))</f>
        <v>0</v>
      </c>
      <c r="AX65" s="333">
        <f>IF($F65="",0,IF($F65="Weighted Average",$I65*VLOOKUP($D65&amp;" (Disposal)",Lists!$C$72:$R$232,COLUMNS(Lists!$C$69:M$69),0)*VLOOKUP(BM$3,Conversions!$B$12:$E$34,4,0),$I65*VLOOKUP($F65,Lists!$C$72:$R$232,COLUMNS(Lists!$C$69:M$69),0)*VLOOKUP(BM$3,Conversions!$B$12:$E$34,4,0)))</f>
        <v>0</v>
      </c>
      <c r="AY65" s="333">
        <f>IF($F65="",0,IF($F65="Weighted Average",$I65*VLOOKUP($D65&amp;" (Disposal)",Lists!$C$72:$R$232,COLUMNS(Lists!$C$69:N$69),0)*VLOOKUP(BN$3,Conversions!$B$12:$E$34,4,0),$I65*VLOOKUP($F65,Lists!$C$72:$R$232,COLUMNS(Lists!$C$69:N$69),0)*VLOOKUP(BN$3,Conversions!$B$12:$E$34,4,0)))</f>
        <v>0</v>
      </c>
      <c r="AZ65" s="333">
        <f>IF($F65="",0,IF($F65="Weighted Average",$I65*VLOOKUP($D65&amp;" (Disposal)",Lists!$C$72:$R$232,COLUMNS(Lists!$C$69:O$69),0)*VLOOKUP(BO$3,Conversions!$B$12:$E$34,4,0),$I65*VLOOKUP($F65,Lists!$C$72:$R$232,COLUMNS(Lists!$C$69:O$69),0)*VLOOKUP(BO$3,Conversions!$B$12:$E$34,4,0)))</f>
        <v>0</v>
      </c>
      <c r="BA65" s="333">
        <f>IF($F65="",0,IF($F65="Weighted Average",$I65*VLOOKUP($D65&amp;" (Disposal)",Lists!$C$72:$R$232,COLUMNS(Lists!$C$69:P$69),0)*VLOOKUP(BP$3,Conversions!$B$12:$E$34,4,0),$I65*VLOOKUP($F65,Lists!$C$72:$R$232,COLUMNS(Lists!$C$69:P$69),0)*VLOOKUP(BP$3,Conversions!$B$12:$E$34,4,0)))</f>
        <v>0</v>
      </c>
      <c r="BB65" s="333">
        <f>IF($F65="",0,IF($F65="Weighted Average",$I65*VLOOKUP($D65&amp;" (Disposal)",Lists!$C$72:$R$232,COLUMNS(Lists!$C$69:Q$69),0)*VLOOKUP(BQ$3,Conversions!$B$12:$E$34,4,0),$I65*VLOOKUP($F65,Lists!$C$72:$R$232,COLUMNS(Lists!$C$69:Q$69),0)*VLOOKUP(BQ$3,Conversions!$B$12:$E$34,4,0)))</f>
        <v>0</v>
      </c>
      <c r="BC65" s="333">
        <f>IF($F65="",0,IF($F65="Weighted Average",$I65*VLOOKUP($D65&amp;" (Disposal)",Lists!$C$72:$R$232,COLUMNS(Lists!$C$69:R$69),0)*VLOOKUP(BR$3,Conversions!$B$12:$E$34,4,0),$I65*VLOOKUP($F65,Lists!$C$72:$R$232,COLUMNS(Lists!$C$69:R$69),0)*VLOOKUP(BR$3,Conversions!$B$12:$E$34,4,0)))</f>
        <v>0</v>
      </c>
      <c r="BD65" s="333">
        <f t="shared" si="61"/>
        <v>0</v>
      </c>
      <c r="BE65" s="330">
        <f t="shared" si="62"/>
        <v>0</v>
      </c>
      <c r="BF65" s="330">
        <f t="shared" si="63"/>
        <v>0</v>
      </c>
      <c r="BG65" s="330">
        <f t="shared" si="64"/>
        <v>0</v>
      </c>
      <c r="BH65" s="330">
        <f t="shared" si="65"/>
        <v>0</v>
      </c>
      <c r="BI65" s="330">
        <f t="shared" si="66"/>
        <v>0</v>
      </c>
      <c r="BJ65" s="330">
        <f t="shared" si="67"/>
        <v>0</v>
      </c>
      <c r="BK65" s="330">
        <f t="shared" si="68"/>
        <v>0</v>
      </c>
      <c r="BL65" s="330">
        <f t="shared" si="69"/>
        <v>0</v>
      </c>
      <c r="BM65" s="330">
        <f t="shared" si="70"/>
        <v>0</v>
      </c>
      <c r="BN65" s="330">
        <f t="shared" si="71"/>
        <v>0</v>
      </c>
      <c r="BO65" s="330">
        <f t="shared" si="72"/>
        <v>0</v>
      </c>
      <c r="BP65" s="330">
        <f t="shared" si="73"/>
        <v>0</v>
      </c>
      <c r="BQ65" s="330">
        <f t="shared" si="74"/>
        <v>0</v>
      </c>
      <c r="BR65" s="330">
        <f t="shared" si="75"/>
        <v>0</v>
      </c>
      <c r="BS65" s="330">
        <f t="shared" si="76"/>
        <v>0</v>
      </c>
      <c r="BT65" s="329">
        <f t="shared" si="91"/>
        <v>0</v>
      </c>
      <c r="BU65" s="329">
        <f t="shared" si="91"/>
        <v>0</v>
      </c>
      <c r="BV65" s="329">
        <f t="shared" si="91"/>
        <v>0</v>
      </c>
      <c r="BW65" s="329">
        <f t="shared" si="91"/>
        <v>0</v>
      </c>
      <c r="BX65" s="329">
        <f t="shared" si="91"/>
        <v>0</v>
      </c>
      <c r="BY65" s="329">
        <f t="shared" si="91"/>
        <v>0</v>
      </c>
      <c r="BZ65" s="329">
        <f t="shared" si="91"/>
        <v>0</v>
      </c>
      <c r="CA65" s="329">
        <f t="shared" si="91"/>
        <v>0</v>
      </c>
      <c r="CB65" s="329">
        <f t="shared" si="91"/>
        <v>0</v>
      </c>
      <c r="CC65" s="329">
        <f t="shared" si="91"/>
        <v>0</v>
      </c>
      <c r="CD65" s="329">
        <f t="shared" si="91"/>
        <v>0</v>
      </c>
      <c r="CE65" s="329">
        <f t="shared" si="91"/>
        <v>0</v>
      </c>
      <c r="CF65" s="329">
        <f t="shared" si="91"/>
        <v>0</v>
      </c>
      <c r="CG65" s="329">
        <f t="shared" si="91"/>
        <v>0</v>
      </c>
      <c r="CH65" s="329">
        <f t="shared" si="91"/>
        <v>0</v>
      </c>
      <c r="CI65" s="329">
        <f t="shared" si="91"/>
        <v>0</v>
      </c>
      <c r="CJ65" s="331">
        <f t="shared" si="78"/>
        <v>0</v>
      </c>
      <c r="CK65" s="330">
        <f t="shared" si="79"/>
        <v>0</v>
      </c>
      <c r="CL65" s="330">
        <f t="shared" si="80"/>
        <v>0</v>
      </c>
      <c r="CM65" s="330">
        <f t="shared" si="81"/>
        <v>0</v>
      </c>
      <c r="CN65" s="330">
        <f t="shared" si="82"/>
        <v>0</v>
      </c>
      <c r="CO65" s="330">
        <f t="shared" si="83"/>
        <v>0</v>
      </c>
      <c r="CP65" s="330">
        <f t="shared" si="84"/>
        <v>0</v>
      </c>
      <c r="CQ65" s="330">
        <f t="shared" si="11"/>
        <v>0</v>
      </c>
      <c r="CR65" s="330">
        <f t="shared" si="85"/>
        <v>0</v>
      </c>
      <c r="CS65" s="330">
        <f t="shared" si="86"/>
        <v>0</v>
      </c>
      <c r="CT65" s="330">
        <f t="shared" si="87"/>
        <v>0</v>
      </c>
      <c r="CU65" s="330">
        <f t="shared" si="92"/>
        <v>0</v>
      </c>
      <c r="CV65" s="330">
        <f t="shared" si="92"/>
        <v>0</v>
      </c>
      <c r="CW65" s="330">
        <f t="shared" si="92"/>
        <v>0</v>
      </c>
      <c r="CX65" s="330">
        <f t="shared" si="92"/>
        <v>0</v>
      </c>
      <c r="CY65" s="330">
        <f t="shared" si="92"/>
        <v>0</v>
      </c>
      <c r="CZ65" s="330">
        <f t="shared" si="92"/>
        <v>0</v>
      </c>
      <c r="DA65" s="330">
        <f t="shared" si="92"/>
        <v>0</v>
      </c>
      <c r="DB65" s="330">
        <f t="shared" si="92"/>
        <v>0</v>
      </c>
      <c r="DC65" s="330">
        <f t="shared" si="92"/>
        <v>0</v>
      </c>
      <c r="DD65" s="330">
        <f t="shared" si="92"/>
        <v>0</v>
      </c>
      <c r="DE65" s="330">
        <f t="shared" si="93"/>
        <v>0</v>
      </c>
      <c r="DF65" s="330">
        <f t="shared" si="93"/>
        <v>0</v>
      </c>
      <c r="DG65" s="330">
        <f t="shared" si="93"/>
        <v>0</v>
      </c>
      <c r="DH65" s="330">
        <f t="shared" si="93"/>
        <v>0</v>
      </c>
      <c r="DI65" s="330">
        <f t="shared" si="93"/>
        <v>0</v>
      </c>
      <c r="DJ65" s="330">
        <f t="shared" si="93"/>
        <v>0</v>
      </c>
      <c r="DK65" s="330">
        <f t="shared" si="93"/>
        <v>0</v>
      </c>
      <c r="DL65" s="330">
        <f t="shared" si="93"/>
        <v>0</v>
      </c>
      <c r="DM65" s="330">
        <f t="shared" si="93"/>
        <v>0</v>
      </c>
      <c r="DN65" s="330">
        <f t="shared" si="93"/>
        <v>0</v>
      </c>
      <c r="DO65" s="330">
        <f t="shared" si="93"/>
        <v>0</v>
      </c>
      <c r="DP65" s="330">
        <f t="shared" si="90"/>
        <v>0</v>
      </c>
      <c r="DQ65" s="217"/>
      <c r="DR65" s="217"/>
      <c r="DS65" s="217"/>
      <c r="DT65" s="217"/>
    </row>
    <row r="66" spans="1:124" x14ac:dyDescent="0.3">
      <c r="A66" s="332"/>
      <c r="B66" s="221" t="s">
        <v>304</v>
      </c>
      <c r="C66" s="221" t="str">
        <f>IF('Simplified Material Balance'!C36=0,"",'Simplified Material Balance'!C36)</f>
        <v/>
      </c>
      <c r="D66" s="221" t="str">
        <f>IF('Simplified Material Balance'!D36=0,"",'Simplified Material Balance'!D36)</f>
        <v/>
      </c>
      <c r="E66" s="221" t="str">
        <f>IF('Simplified Material Balance'!E36=0,"",'Simplified Material Balance'!E36)</f>
        <v/>
      </c>
      <c r="F66" s="221" t="str">
        <f>IF('Simplified Material Balance'!F36=0,"",'Simplified Material Balance'!F36)</f>
        <v/>
      </c>
      <c r="G66" s="272">
        <f>IF('Simplified Material Balance'!H36&gt;'Simplified Material Balance'!G36,0,('Simplified Material Balance'!G36-'Simplified Material Balance'!H36)*Conversions!$C$4)</f>
        <v>0</v>
      </c>
      <c r="H66" s="272">
        <f>'Simplified Material Balance'!I36*Conversions!$C$4</f>
        <v>0</v>
      </c>
      <c r="I66" s="272">
        <f>('Simplified Material Balance'!J36-'Simplified Material Balance'!K36)*Conversions!$C$4</f>
        <v>0</v>
      </c>
      <c r="J66" s="325">
        <f>IF('Simplified Material Balance'!L36=0,0,'Simplified Material Balance'!L36)</f>
        <v>0</v>
      </c>
      <c r="K66" s="465"/>
      <c r="L66" s="333">
        <f>IF($F66="",0,IF($F66="Weighted Average",$G66*VLOOKUP($D66&amp;" (Install)",Lists!$C$72:$R$232,COLUMNS(Lists!$C$69:E$69),0)*VLOOKUP(BE$3,Conversions!$B$12:$E$34,4,0),$G66*VLOOKUP($F66,Lists!$C$72:$R$232,COLUMNS(Lists!$C$69:E$69),0)*VLOOKUP(BE$3,Conversions!$B$12:$E$34,4,0)))</f>
        <v>0</v>
      </c>
      <c r="M66" s="333">
        <f>IF($F66="",0,IF($F66="Weighted Average",$G66*VLOOKUP($D66&amp;" (Install)",Lists!$C$72:$R$232,COLUMNS(Lists!$C$69:F$69),0)*VLOOKUP(BF$3,Conversions!$B$12:$E$34,4,0),$G66*VLOOKUP($F66,Lists!$C$72:$R$232,COLUMNS(Lists!$C$69:F$69),0)*VLOOKUP(BF$3,Conversions!$B$12:$E$34,4,0)))</f>
        <v>0</v>
      </c>
      <c r="N66" s="333">
        <f>IF($F66="",0,IF($F66="Weighted Average",$G66*VLOOKUP($D66&amp;" (Install)",Lists!$C$72:$R$232,COLUMNS(Lists!$C$69:G$69),0)*VLOOKUP(BG$3,Conversions!$B$12:$E$34,4,0),$G66*VLOOKUP($F66,Lists!$C$72:$R$232,COLUMNS(Lists!$C$69:G$69),0)*VLOOKUP(BG$3,Conversions!$B$12:$E$34,4,0)))</f>
        <v>0</v>
      </c>
      <c r="O66" s="333">
        <f>IF($F66="",0,IF($F66="Weighted Average",$G66*VLOOKUP($D66&amp;" (Install)",Lists!$C$72:$R$232,COLUMNS(Lists!$C$69:H$69),0)*VLOOKUP(BH$3,Conversions!$B$12:$E$34,4,0),$G66*VLOOKUP($F66,Lists!$C$72:$R$232,COLUMNS(Lists!$C$69:H$69),0)*VLOOKUP(BH$3,Conversions!$B$12:$E$34,4,0)))</f>
        <v>0</v>
      </c>
      <c r="P66" s="333">
        <f>IF($F66="",0,IF($F66="Weighted Average",$G66*VLOOKUP($D66&amp;" (Install)",Lists!$C$72:$R$232,COLUMNS(Lists!$C$69:I$69),0)*VLOOKUP(BI$3,Conversions!$B$12:$E$34,4,0),$G66*VLOOKUP($F66,Lists!$C$72:$R$232,COLUMNS(Lists!$C$69:I$69),0)*VLOOKUP(BI$3,Conversions!$B$12:$E$34,4,0)))</f>
        <v>0</v>
      </c>
      <c r="Q66" s="333">
        <f>IF($F66="",0,IF($F66="Weighted Average",$G66*VLOOKUP($D66&amp;" (Install)",Lists!$C$72:$R$232,COLUMNS(Lists!$C$69:J$69),0)*VLOOKUP(BJ$3,Conversions!$B$12:$E$34,4,0),$G66*VLOOKUP($F66,Lists!$C$72:$R$232,COLUMNS(Lists!$C$69:J$69),0)*VLOOKUP(BJ$3,Conversions!$B$12:$E$34,4,0)))</f>
        <v>0</v>
      </c>
      <c r="R66" s="333">
        <f>IF($F66="",0,IF($F66="Weighted Average",$G66*VLOOKUP($D66&amp;" (Install)",Lists!$C$72:$R$232,COLUMNS(Lists!$C$69:K$69),0)*VLOOKUP(BK$3,Conversions!$B$12:$E$34,4,0),$G66*VLOOKUP($F66,Lists!$C$72:$R$232,COLUMNS(Lists!$C$69:K$69),0)*VLOOKUP(BK$3,Conversions!$B$12:$E$34,4,0)))</f>
        <v>0</v>
      </c>
      <c r="S66" s="333">
        <f>IF($F66="",0,IF($F66="Weighted Average",$G66*VLOOKUP($D66&amp;" (Install)",Lists!$C$72:$R$232,COLUMNS(Lists!$C$69:L$69),0)*VLOOKUP(BL$3,Conversions!$B$12:$E$34,4,0),$G66*VLOOKUP($F66,Lists!$C$72:$R$232,COLUMNS(Lists!$C$69:L$69),0)*VLOOKUP(BL$3,Conversions!$B$12:$E$34,4,0)))</f>
        <v>0</v>
      </c>
      <c r="T66" s="333">
        <f>IF($F66="",0,IF($F66="Weighted Average",$G66*VLOOKUP($D66&amp;" (Install)",Lists!$C$72:$R$232,COLUMNS(Lists!$C$69:M$69),0)*VLOOKUP(BM$3,Conversions!$B$12:$E$34,4,0),$G66*VLOOKUP($F66,Lists!$C$72:$R$232,COLUMNS(Lists!$C$69:M$69),0)*VLOOKUP(BM$3,Conversions!$B$12:$E$34,4,0)))</f>
        <v>0</v>
      </c>
      <c r="U66" s="333">
        <f>IF($F66="",0,IF($F66="Weighted Average",$G66*VLOOKUP($D66&amp;" (Install)",Lists!$C$72:$R$232,COLUMNS(Lists!$C$69:N$69),0)*VLOOKUP(BN$3,Conversions!$B$12:$E$34,4,0),$G66*VLOOKUP($F66,Lists!$C$72:$R$232,COLUMNS(Lists!$C$69:N$69),0)*VLOOKUP(BN$3,Conversions!$B$12:$E$34,4,0)))</f>
        <v>0</v>
      </c>
      <c r="V66" s="333">
        <f>IF($F66="",0,IF($F66="Weighted Average",$G66*VLOOKUP($D66&amp;" (Install)",Lists!$C$72:$R$232,COLUMNS(Lists!$C$69:O$69),0)*VLOOKUP(BO$3,Conversions!$B$12:$E$34,4,0),$G66*VLOOKUP($F66,Lists!$C$72:$R$232,COLUMNS(Lists!$C$69:O$69),0)*VLOOKUP(BO$3,Conversions!$B$12:$E$34,4,0)))</f>
        <v>0</v>
      </c>
      <c r="W66" s="333">
        <f>IF($F66="",0,IF($F66="Weighted Average",$G66*VLOOKUP($D66&amp;" (Install)",Lists!$C$72:$R$232,COLUMNS(Lists!$C$69:P$69),0)*VLOOKUP(BP$3,Conversions!$B$12:$E$34,4,0),$G66*VLOOKUP($F66,Lists!$C$72:$R$232,COLUMNS(Lists!$C$69:P$69),0)*VLOOKUP(BP$3,Conversions!$B$12:$E$34,4,0)))</f>
        <v>0</v>
      </c>
      <c r="X66" s="333">
        <f>IF($F66="",0,IF($F66="Weighted Average",$G66*VLOOKUP($D66&amp;" (Install)",Lists!$C$72:$R$232,COLUMNS(Lists!$C$69:Q$69),0)*VLOOKUP(BQ$3,Conversions!$B$12:$E$34,4,0),$G66*VLOOKUP($F66,Lists!$C$72:$R$232,COLUMNS(Lists!$C$69:Q$69),0)*VLOOKUP(BQ$3,Conversions!$B$12:$E$34,4,0)))</f>
        <v>0</v>
      </c>
      <c r="Y66" s="333">
        <f>IF($F66="",0,IF($F66="Weighted Average",$G66*VLOOKUP($D66&amp;" (Install)",Lists!$C$72:$R$232,COLUMNS(Lists!$C$69:R$69),0)*VLOOKUP(BR$3,Conversions!$B$12:$E$34,4,0),$G66*VLOOKUP($F66,Lists!$C$72:$R$232,COLUMNS(Lists!$C$69:R$69),0)*VLOOKUP(BR$3,Conversions!$B$12:$E$34,4,0)))</f>
        <v>0</v>
      </c>
      <c r="Z66" s="325">
        <f t="shared" si="59"/>
        <v>0</v>
      </c>
      <c r="AA66" s="334">
        <f>IF($F66="",0,IF($F66="Weighted Average",$H66*VLOOKUP($D66&amp;" (Operation)",Lists!$C$72:$R$232,COLUMNS(Lists!$C$69:E$69),0)*VLOOKUP(BE$3,Conversions!$B$12:$E$34,4,0),$H66*VLOOKUP($F66,Lists!$C$72:$R$232,COLUMNS(Lists!$C$69:E$69),0)*VLOOKUP(BE$3,Conversions!$B$12:$E$34,4,0)))</f>
        <v>0</v>
      </c>
      <c r="AB66" s="334">
        <f>IF($F66="",0,IF($F66="Weighted Average",$H66*VLOOKUP($D66&amp;" (Operation)",Lists!$C$72:$R$232,COLUMNS(Lists!$C$69:F$69),0)*VLOOKUP(BF$3,Conversions!$B$12:$E$34,4,0),$H66*VLOOKUP($F66,Lists!$C$72:$R$232,COLUMNS(Lists!$C$69:F$69),0)*VLOOKUP(BF$3,Conversions!$B$12:$E$34,4,0)))</f>
        <v>0</v>
      </c>
      <c r="AC66" s="334">
        <f>IF($F66="",0,IF($F66="Weighted Average",$H66*VLOOKUP($D66&amp;" (Operation)",Lists!$C$72:$R$232,COLUMNS(Lists!$C$69:G$69),0)*VLOOKUP(BG$3,Conversions!$B$12:$E$34,4,0),$H66*VLOOKUP($F66,Lists!$C$72:$R$232,COLUMNS(Lists!$C$69:G$69),0)*VLOOKUP(BG$3,Conversions!$B$12:$E$34,4,0)))</f>
        <v>0</v>
      </c>
      <c r="AD66" s="334">
        <f>IF($F66="",0,IF($F66="Weighted Average",$H66*VLOOKUP($D66&amp;" (Operation)",Lists!$C$72:$R$232,COLUMNS(Lists!$C$69:H$69),0)*VLOOKUP(BH$3,Conversions!$B$12:$E$34,4,0),$H66*VLOOKUP($F66,Lists!$C$72:$R$232,COLUMNS(Lists!$C$69:H$69),0)*VLOOKUP(BH$3,Conversions!$B$12:$E$34,4,0)))</f>
        <v>0</v>
      </c>
      <c r="AE66" s="334">
        <f>IF($F66="",0,IF($F66="Weighted Average",$H66*VLOOKUP($D66&amp;" (Operation)",Lists!$C$72:$R$232,COLUMNS(Lists!$C$69:I$69),0)*VLOOKUP(BI$3,Conversions!$B$12:$E$34,4,0),$H66*VLOOKUP($F66,Lists!$C$72:$R$232,COLUMNS(Lists!$C$69:I$69),0)*VLOOKUP(BI$3,Conversions!$B$12:$E$34,4,0)))</f>
        <v>0</v>
      </c>
      <c r="AF66" s="334">
        <f>IF($F66="",0,IF($F66="Weighted Average",$H66*VLOOKUP($D66&amp;" (Operation)",Lists!$C$72:$R$232,COLUMNS(Lists!$C$69:J$69),0)*VLOOKUP(BJ$3,Conversions!$B$12:$E$34,4,0),$H66*VLOOKUP($F66,Lists!$C$72:$R$232,COLUMNS(Lists!$C$69:J$69),0)*VLOOKUP(BJ$3,Conversions!$B$12:$E$34,4,0)))</f>
        <v>0</v>
      </c>
      <c r="AG66" s="334">
        <f>IF($F66="",0,IF($F66="Weighted Average",$H66*VLOOKUP($D66&amp;" (Operation)",Lists!$C$72:$R$232,COLUMNS(Lists!$C$69:K$69),0)*VLOOKUP(BK$3,Conversions!$B$12:$E$34,4,0),$H66*VLOOKUP($F66,Lists!$C$72:$R$232,COLUMNS(Lists!$C$69:K$69),0)*VLOOKUP(BK$3,Conversions!$B$12:$E$34,4,0)))</f>
        <v>0</v>
      </c>
      <c r="AH66" s="334">
        <f>IF($F66="",0,IF($F66="Weighted Average",$H66*VLOOKUP($D66&amp;" (Operation)",Lists!$C$72:$R$232,COLUMNS(Lists!$C$69:L$69),0)*VLOOKUP(BL$3,Conversions!$B$12:$E$34,4,0),$H66*VLOOKUP($F66,Lists!$C$72:$R$232,COLUMNS(Lists!$C$69:L$69),0)*VLOOKUP(BL$3,Conversions!$B$12:$E$34,4,0)))</f>
        <v>0</v>
      </c>
      <c r="AI66" s="334">
        <f>IF($F66="",0,IF($F66="Weighted Average",$H66*VLOOKUP($D66&amp;" (Operation)",Lists!$C$72:$R$232,COLUMNS(Lists!$C$69:M$69),0)*VLOOKUP(BM$3,Conversions!$B$12:$E$34,4,0),$H66*VLOOKUP($F66,Lists!$C$72:$R$232,COLUMNS(Lists!$C$69:M$69),0)*VLOOKUP(BM$3,Conversions!$B$12:$E$34,4,0)))</f>
        <v>0</v>
      </c>
      <c r="AJ66" s="334">
        <f>IF($F66="",0,IF($F66="Weighted Average",$H66*VLOOKUP($D66&amp;" (Operation)",Lists!$C$72:$R$232,COLUMNS(Lists!$C$69:N$69),0)*VLOOKUP(BN$3,Conversions!$B$12:$E$34,4,0),$H66*VLOOKUP($F66,Lists!$C$72:$R$232,COLUMNS(Lists!$C$69:N$69),0)*VLOOKUP(BN$3,Conversions!$B$12:$E$34,4,0)))</f>
        <v>0</v>
      </c>
      <c r="AK66" s="334">
        <f>IF($F66="",0,IF($F66="Weighted Average",$H66*VLOOKUP($D66&amp;" (Operation)",Lists!$C$72:$R$232,COLUMNS(Lists!$C$69:O$69),0)*VLOOKUP(BO$3,Conversions!$B$12:$E$34,4,0),$H66*VLOOKUP($F66,Lists!$C$72:$R$232,COLUMNS(Lists!$C$69:O$69),0)*VLOOKUP(BO$3,Conversions!$B$12:$E$34,4,0)))</f>
        <v>0</v>
      </c>
      <c r="AL66" s="334">
        <f>IF($F66="",0,IF($F66="Weighted Average",$H66*VLOOKUP($D66&amp;" (Operation)",Lists!$C$72:$R$232,COLUMNS(Lists!$C$69:P$69),0)*VLOOKUP(BP$3,Conversions!$B$12:$E$34,4,0),$H66*VLOOKUP($F66,Lists!$C$72:$R$232,COLUMNS(Lists!$C$69:P$69),0)*VLOOKUP(BP$3,Conversions!$B$12:$E$34,4,0)))</f>
        <v>0</v>
      </c>
      <c r="AM66" s="334">
        <f>IF($F66="",0,IF($F66="Weighted Average",$H66*VLOOKUP($D66&amp;" (Operation)",Lists!$C$72:$R$232,COLUMNS(Lists!$C$69:Q$69),0)*VLOOKUP(BQ$3,Conversions!$B$12:$E$34,4,0),$H66*VLOOKUP($F66,Lists!$C$72:$R$232,COLUMNS(Lists!$C$69:Q$69),0)*VLOOKUP(BQ$3,Conversions!$B$12:$E$34,4,0)))</f>
        <v>0</v>
      </c>
      <c r="AN66" s="334">
        <f>IF($F66="",0,IF($F66="Weighted Average",$H66*VLOOKUP($D66&amp;" (Operation)",Lists!$C$72:$R$232,COLUMNS(Lists!$C$69:R$69),0)*VLOOKUP(BR$3,Conversions!$B$12:$E$34,4,0),$H66*VLOOKUP($F66,Lists!$C$72:$R$232,COLUMNS(Lists!$C$69:R$69),0)*VLOOKUP(BR$3,Conversions!$B$12:$E$34,4,0)))</f>
        <v>0</v>
      </c>
      <c r="AO66" s="330">
        <f t="shared" si="60"/>
        <v>0</v>
      </c>
      <c r="AP66" s="333">
        <f>IF($F66="",0,IF($F66="Weighted Average",$I66*VLOOKUP($D66&amp;" (Disposal)",Lists!$C$72:$R$232,COLUMNS(Lists!$C$69:E$69),0)*VLOOKUP(BE$3,Conversions!$B$12:$E$34,4,0),$I66*VLOOKUP($F66,Lists!$C$72:$R$232,COLUMNS(Lists!$C$69:E$69),0)*VLOOKUP(BE$3,Conversions!$B$12:$E$34,4,0)))</f>
        <v>0</v>
      </c>
      <c r="AQ66" s="333">
        <f>IF($F66="",0,IF($F66="Weighted Average",$I66*VLOOKUP($D66&amp;" (Disposal)",Lists!$C$72:$R$232,COLUMNS(Lists!$C$69:F$69),0)*VLOOKUP(BF$3,Conversions!$B$12:$E$34,4,0),$I66*VLOOKUP($F66,Lists!$C$72:$R$232,COLUMNS(Lists!$C$69:F$69),0)*VLOOKUP(BF$3,Conversions!$B$12:$E$34,4,0)))</f>
        <v>0</v>
      </c>
      <c r="AR66" s="333">
        <f>IF($F66="",0,IF($F66="Weighted Average",$I66*VLOOKUP($D66&amp;" (Disposal)",Lists!$C$72:$R$232,COLUMNS(Lists!$C$69:G$69),0)*VLOOKUP(BG$3,Conversions!$B$12:$E$34,4,0),$I66*VLOOKUP($F66,Lists!$C$72:$R$232,COLUMNS(Lists!$C$69:G$69),0)*VLOOKUP(BG$3,Conversions!$B$12:$E$34,4,0)))</f>
        <v>0</v>
      </c>
      <c r="AS66" s="333">
        <f>IF($F66="",0,IF($F66="Weighted Average",$I66*VLOOKUP($D66&amp;" (Disposal)",Lists!$C$72:$R$232,COLUMNS(Lists!$C$69:H$69),0)*VLOOKUP(BH$3,Conversions!$B$12:$E$34,4,0),$I66*VLOOKUP($F66,Lists!$C$72:$R$232,COLUMNS(Lists!$C$69:H$69),0)*VLOOKUP(BH$3,Conversions!$B$12:$E$34,4,0)))</f>
        <v>0</v>
      </c>
      <c r="AT66" s="333">
        <f>IF($F66="",0,IF($F66="Weighted Average",$I66*VLOOKUP($D66&amp;" (Disposal)",Lists!$C$72:$R$232,COLUMNS(Lists!$C$69:I$69),0)*VLOOKUP(BI$3,Conversions!$B$12:$E$34,4,0),$I66*VLOOKUP($F66,Lists!$C$72:$R$232,COLUMNS(Lists!$C$69:I$69),0)*VLOOKUP(BI$3,Conversions!$B$12:$E$34,4,0)))</f>
        <v>0</v>
      </c>
      <c r="AU66" s="333">
        <f>IF($F66="",0,IF($F66="Weighted Average",$I66*VLOOKUP($D66&amp;" (Disposal)",Lists!$C$72:$R$232,COLUMNS(Lists!$C$69:J$69),0)*VLOOKUP(BJ$3,Conversions!$B$12:$E$34,4,0),$I66*VLOOKUP($F66,Lists!$C$72:$R$232,COLUMNS(Lists!$C$69:J$69),0)*VLOOKUP(BJ$3,Conversions!$B$12:$E$34,4,0)))</f>
        <v>0</v>
      </c>
      <c r="AV66" s="333">
        <f>IF($F66="",0,IF($F66="Weighted Average",$I66*VLOOKUP($D66&amp;" (Disposal)",Lists!$C$72:$R$232,COLUMNS(Lists!$C$69:K$69),0)*VLOOKUP(BK$3,Conversions!$B$12:$E$34,4,0),$I66*VLOOKUP($F66,Lists!$C$72:$R$232,COLUMNS(Lists!$C$69:K$69),0)*VLOOKUP(BK$3,Conversions!$B$12:$E$34,4,0)))</f>
        <v>0</v>
      </c>
      <c r="AW66" s="333">
        <f>IF($F66="",0,IF($F66="Weighted Average",$I66*VLOOKUP($D66&amp;" (Disposal)",Lists!$C$72:$R$232,COLUMNS(Lists!$C$69:L$69),0)*VLOOKUP(BL$3,Conversions!$B$12:$E$34,4,0),$I66*VLOOKUP($F66,Lists!$C$72:$R$232,COLUMNS(Lists!$C$69:L$69),0)*VLOOKUP(BL$3,Conversions!$B$12:$E$34,4,0)))</f>
        <v>0</v>
      </c>
      <c r="AX66" s="333">
        <f>IF($F66="",0,IF($F66="Weighted Average",$I66*VLOOKUP($D66&amp;" (Disposal)",Lists!$C$72:$R$232,COLUMNS(Lists!$C$69:M$69),0)*VLOOKUP(BM$3,Conversions!$B$12:$E$34,4,0),$I66*VLOOKUP($F66,Lists!$C$72:$R$232,COLUMNS(Lists!$C$69:M$69),0)*VLOOKUP(BM$3,Conversions!$B$12:$E$34,4,0)))</f>
        <v>0</v>
      </c>
      <c r="AY66" s="333">
        <f>IF($F66="",0,IF($F66="Weighted Average",$I66*VLOOKUP($D66&amp;" (Disposal)",Lists!$C$72:$R$232,COLUMNS(Lists!$C$69:N$69),0)*VLOOKUP(BN$3,Conversions!$B$12:$E$34,4,0),$I66*VLOOKUP($F66,Lists!$C$72:$R$232,COLUMNS(Lists!$C$69:N$69),0)*VLOOKUP(BN$3,Conversions!$B$12:$E$34,4,0)))</f>
        <v>0</v>
      </c>
      <c r="AZ66" s="333">
        <f>IF($F66="",0,IF($F66="Weighted Average",$I66*VLOOKUP($D66&amp;" (Disposal)",Lists!$C$72:$R$232,COLUMNS(Lists!$C$69:O$69),0)*VLOOKUP(BO$3,Conversions!$B$12:$E$34,4,0),$I66*VLOOKUP($F66,Lists!$C$72:$R$232,COLUMNS(Lists!$C$69:O$69),0)*VLOOKUP(BO$3,Conversions!$B$12:$E$34,4,0)))</f>
        <v>0</v>
      </c>
      <c r="BA66" s="333">
        <f>IF($F66="",0,IF($F66="Weighted Average",$I66*VLOOKUP($D66&amp;" (Disposal)",Lists!$C$72:$R$232,COLUMNS(Lists!$C$69:P$69),0)*VLOOKUP(BP$3,Conversions!$B$12:$E$34,4,0),$I66*VLOOKUP($F66,Lists!$C$72:$R$232,COLUMNS(Lists!$C$69:P$69),0)*VLOOKUP(BP$3,Conversions!$B$12:$E$34,4,0)))</f>
        <v>0</v>
      </c>
      <c r="BB66" s="333">
        <f>IF($F66="",0,IF($F66="Weighted Average",$I66*VLOOKUP($D66&amp;" (Disposal)",Lists!$C$72:$R$232,COLUMNS(Lists!$C$69:Q$69),0)*VLOOKUP(BQ$3,Conversions!$B$12:$E$34,4,0),$I66*VLOOKUP($F66,Lists!$C$72:$R$232,COLUMNS(Lists!$C$69:Q$69),0)*VLOOKUP(BQ$3,Conversions!$B$12:$E$34,4,0)))</f>
        <v>0</v>
      </c>
      <c r="BC66" s="333">
        <f>IF($F66="",0,IF($F66="Weighted Average",$I66*VLOOKUP($D66&amp;" (Disposal)",Lists!$C$72:$R$232,COLUMNS(Lists!$C$69:R$69),0)*VLOOKUP(BR$3,Conversions!$B$12:$E$34,4,0),$I66*VLOOKUP($F66,Lists!$C$72:$R$232,COLUMNS(Lists!$C$69:R$69),0)*VLOOKUP(BR$3,Conversions!$B$12:$E$34,4,0)))</f>
        <v>0</v>
      </c>
      <c r="BD66" s="333">
        <f t="shared" si="61"/>
        <v>0</v>
      </c>
      <c r="BE66" s="330">
        <f t="shared" si="62"/>
        <v>0</v>
      </c>
      <c r="BF66" s="330">
        <f t="shared" si="63"/>
        <v>0</v>
      </c>
      <c r="BG66" s="330">
        <f t="shared" si="64"/>
        <v>0</v>
      </c>
      <c r="BH66" s="330">
        <f t="shared" si="65"/>
        <v>0</v>
      </c>
      <c r="BI66" s="330">
        <f t="shared" si="66"/>
        <v>0</v>
      </c>
      <c r="BJ66" s="330">
        <f t="shared" si="67"/>
        <v>0</v>
      </c>
      <c r="BK66" s="330">
        <f t="shared" si="68"/>
        <v>0</v>
      </c>
      <c r="BL66" s="330">
        <f t="shared" si="69"/>
        <v>0</v>
      </c>
      <c r="BM66" s="330">
        <f t="shared" si="70"/>
        <v>0</v>
      </c>
      <c r="BN66" s="330">
        <f t="shared" si="71"/>
        <v>0</v>
      </c>
      <c r="BO66" s="330">
        <f t="shared" si="72"/>
        <v>0</v>
      </c>
      <c r="BP66" s="330">
        <f t="shared" si="73"/>
        <v>0</v>
      </c>
      <c r="BQ66" s="330">
        <f t="shared" si="74"/>
        <v>0</v>
      </c>
      <c r="BR66" s="330">
        <f t="shared" si="75"/>
        <v>0</v>
      </c>
      <c r="BS66" s="330">
        <f t="shared" si="76"/>
        <v>0</v>
      </c>
      <c r="BT66" s="329">
        <f t="shared" si="91"/>
        <v>0</v>
      </c>
      <c r="BU66" s="329">
        <f t="shared" si="91"/>
        <v>0</v>
      </c>
      <c r="BV66" s="329">
        <f t="shared" si="91"/>
        <v>0</v>
      </c>
      <c r="BW66" s="329">
        <f t="shared" si="91"/>
        <v>0</v>
      </c>
      <c r="BX66" s="329">
        <f t="shared" si="91"/>
        <v>0</v>
      </c>
      <c r="BY66" s="329">
        <f t="shared" si="91"/>
        <v>0</v>
      </c>
      <c r="BZ66" s="329">
        <f t="shared" si="91"/>
        <v>0</v>
      </c>
      <c r="CA66" s="329">
        <f t="shared" si="91"/>
        <v>0</v>
      </c>
      <c r="CB66" s="329">
        <f t="shared" si="91"/>
        <v>0</v>
      </c>
      <c r="CC66" s="329">
        <f t="shared" si="91"/>
        <v>0</v>
      </c>
      <c r="CD66" s="329">
        <f t="shared" si="91"/>
        <v>0</v>
      </c>
      <c r="CE66" s="329">
        <f t="shared" si="91"/>
        <v>0</v>
      </c>
      <c r="CF66" s="329">
        <f t="shared" si="91"/>
        <v>0</v>
      </c>
      <c r="CG66" s="329">
        <f t="shared" si="91"/>
        <v>0</v>
      </c>
      <c r="CH66" s="329">
        <f t="shared" si="91"/>
        <v>0</v>
      </c>
      <c r="CI66" s="329">
        <f t="shared" si="91"/>
        <v>0</v>
      </c>
      <c r="CJ66" s="331">
        <f t="shared" si="78"/>
        <v>0</v>
      </c>
      <c r="CK66" s="330">
        <f t="shared" si="79"/>
        <v>0</v>
      </c>
      <c r="CL66" s="330">
        <f t="shared" si="80"/>
        <v>0</v>
      </c>
      <c r="CM66" s="330">
        <f t="shared" si="81"/>
        <v>0</v>
      </c>
      <c r="CN66" s="330">
        <f t="shared" si="82"/>
        <v>0</v>
      </c>
      <c r="CO66" s="330">
        <f t="shared" si="83"/>
        <v>0</v>
      </c>
      <c r="CP66" s="330">
        <f t="shared" si="84"/>
        <v>0</v>
      </c>
      <c r="CQ66" s="330">
        <f t="shared" si="11"/>
        <v>0</v>
      </c>
      <c r="CR66" s="330">
        <f t="shared" si="85"/>
        <v>0</v>
      </c>
      <c r="CS66" s="330">
        <f t="shared" si="86"/>
        <v>0</v>
      </c>
      <c r="CT66" s="330">
        <f t="shared" si="87"/>
        <v>0</v>
      </c>
      <c r="CU66" s="330">
        <f t="shared" si="92"/>
        <v>0</v>
      </c>
      <c r="CV66" s="330">
        <f t="shared" si="92"/>
        <v>0</v>
      </c>
      <c r="CW66" s="330">
        <f t="shared" si="92"/>
        <v>0</v>
      </c>
      <c r="CX66" s="330">
        <f t="shared" si="92"/>
        <v>0</v>
      </c>
      <c r="CY66" s="330">
        <f t="shared" si="92"/>
        <v>0</v>
      </c>
      <c r="CZ66" s="330">
        <f t="shared" si="92"/>
        <v>0</v>
      </c>
      <c r="DA66" s="330">
        <f t="shared" si="92"/>
        <v>0</v>
      </c>
      <c r="DB66" s="330">
        <f t="shared" si="92"/>
        <v>0</v>
      </c>
      <c r="DC66" s="330">
        <f t="shared" si="92"/>
        <v>0</v>
      </c>
      <c r="DD66" s="330">
        <f t="shared" si="92"/>
        <v>0</v>
      </c>
      <c r="DE66" s="330">
        <f t="shared" si="93"/>
        <v>0</v>
      </c>
      <c r="DF66" s="330">
        <f t="shared" si="93"/>
        <v>0</v>
      </c>
      <c r="DG66" s="330">
        <f t="shared" si="93"/>
        <v>0</v>
      </c>
      <c r="DH66" s="330">
        <f t="shared" si="93"/>
        <v>0</v>
      </c>
      <c r="DI66" s="330">
        <f t="shared" si="93"/>
        <v>0</v>
      </c>
      <c r="DJ66" s="330">
        <f t="shared" si="93"/>
        <v>0</v>
      </c>
      <c r="DK66" s="330">
        <f t="shared" si="93"/>
        <v>0</v>
      </c>
      <c r="DL66" s="330">
        <f t="shared" si="93"/>
        <v>0</v>
      </c>
      <c r="DM66" s="330">
        <f t="shared" si="93"/>
        <v>0</v>
      </c>
      <c r="DN66" s="330">
        <f t="shared" si="93"/>
        <v>0</v>
      </c>
      <c r="DO66" s="330">
        <f t="shared" si="93"/>
        <v>0</v>
      </c>
      <c r="DP66" s="330">
        <f t="shared" si="90"/>
        <v>0</v>
      </c>
      <c r="DQ66" s="217"/>
      <c r="DR66" s="217"/>
      <c r="DS66" s="217"/>
      <c r="DT66" s="217"/>
    </row>
    <row r="67" spans="1:124" x14ac:dyDescent="0.3">
      <c r="A67" s="332"/>
      <c r="B67" s="221" t="s">
        <v>304</v>
      </c>
      <c r="C67" s="221" t="str">
        <f>IF('Simplified Material Balance'!C37=0,"",'Simplified Material Balance'!C37)</f>
        <v/>
      </c>
      <c r="D67" s="221" t="str">
        <f>IF('Simplified Material Balance'!D37=0,"",'Simplified Material Balance'!D37)</f>
        <v/>
      </c>
      <c r="E67" s="221" t="str">
        <f>IF('Simplified Material Balance'!E37=0,"",'Simplified Material Balance'!E37)</f>
        <v/>
      </c>
      <c r="F67" s="221" t="str">
        <f>IF('Simplified Material Balance'!F37=0,"",'Simplified Material Balance'!F37)</f>
        <v/>
      </c>
      <c r="G67" s="272">
        <f>IF('Simplified Material Balance'!H37&gt;'Simplified Material Balance'!G37,0,('Simplified Material Balance'!G37-'Simplified Material Balance'!H37)*Conversions!$C$4)</f>
        <v>0</v>
      </c>
      <c r="H67" s="272">
        <f>'Simplified Material Balance'!I37*Conversions!$C$4</f>
        <v>0</v>
      </c>
      <c r="I67" s="272">
        <f>('Simplified Material Balance'!J37-'Simplified Material Balance'!K37)*Conversions!$C$4</f>
        <v>0</v>
      </c>
      <c r="J67" s="325">
        <f>IF('Simplified Material Balance'!L37=0,0,'Simplified Material Balance'!L37)</f>
        <v>0</v>
      </c>
      <c r="K67" s="465"/>
      <c r="L67" s="333">
        <f>IF($F67="",0,IF($F67="Weighted Average",$G67*VLOOKUP($D67&amp;" (Install)",Lists!$C$72:$R$232,COLUMNS(Lists!$C$69:E$69),0)*VLOOKUP(BE$3,Conversions!$B$12:$E$34,4,0),$G67*VLOOKUP($F67,Lists!$C$72:$R$232,COLUMNS(Lists!$C$69:E$69),0)*VLOOKUP(BE$3,Conversions!$B$12:$E$34,4,0)))</f>
        <v>0</v>
      </c>
      <c r="M67" s="333">
        <f>IF($F67="",0,IF($F67="Weighted Average",$G67*VLOOKUP($D67&amp;" (Install)",Lists!$C$72:$R$232,COLUMNS(Lists!$C$69:F$69),0)*VLOOKUP(BF$3,Conversions!$B$12:$E$34,4,0),$G67*VLOOKUP($F67,Lists!$C$72:$R$232,COLUMNS(Lists!$C$69:F$69),0)*VLOOKUP(BF$3,Conversions!$B$12:$E$34,4,0)))</f>
        <v>0</v>
      </c>
      <c r="N67" s="333">
        <f>IF($F67="",0,IF($F67="Weighted Average",$G67*VLOOKUP($D67&amp;" (Install)",Lists!$C$72:$R$232,COLUMNS(Lists!$C$69:G$69),0)*VLOOKUP(BG$3,Conversions!$B$12:$E$34,4,0),$G67*VLOOKUP($F67,Lists!$C$72:$R$232,COLUMNS(Lists!$C$69:G$69),0)*VLOOKUP(BG$3,Conversions!$B$12:$E$34,4,0)))</f>
        <v>0</v>
      </c>
      <c r="O67" s="333">
        <f>IF($F67="",0,IF($F67="Weighted Average",$G67*VLOOKUP($D67&amp;" (Install)",Lists!$C$72:$R$232,COLUMNS(Lists!$C$69:H$69),0)*VLOOKUP(BH$3,Conversions!$B$12:$E$34,4,0),$G67*VLOOKUP($F67,Lists!$C$72:$R$232,COLUMNS(Lists!$C$69:H$69),0)*VLOOKUP(BH$3,Conversions!$B$12:$E$34,4,0)))</f>
        <v>0</v>
      </c>
      <c r="P67" s="333">
        <f>IF($F67="",0,IF($F67="Weighted Average",$G67*VLOOKUP($D67&amp;" (Install)",Lists!$C$72:$R$232,COLUMNS(Lists!$C$69:I$69),0)*VLOOKUP(BI$3,Conversions!$B$12:$E$34,4,0),$G67*VLOOKUP($F67,Lists!$C$72:$R$232,COLUMNS(Lists!$C$69:I$69),0)*VLOOKUP(BI$3,Conversions!$B$12:$E$34,4,0)))</f>
        <v>0</v>
      </c>
      <c r="Q67" s="333">
        <f>IF($F67="",0,IF($F67="Weighted Average",$G67*VLOOKUP($D67&amp;" (Install)",Lists!$C$72:$R$232,COLUMNS(Lists!$C$69:J$69),0)*VLOOKUP(BJ$3,Conversions!$B$12:$E$34,4,0),$G67*VLOOKUP($F67,Lists!$C$72:$R$232,COLUMNS(Lists!$C$69:J$69),0)*VLOOKUP(BJ$3,Conversions!$B$12:$E$34,4,0)))</f>
        <v>0</v>
      </c>
      <c r="R67" s="333">
        <f>IF($F67="",0,IF($F67="Weighted Average",$G67*VLOOKUP($D67&amp;" (Install)",Lists!$C$72:$R$232,COLUMNS(Lists!$C$69:K$69),0)*VLOOKUP(BK$3,Conversions!$B$12:$E$34,4,0),$G67*VLOOKUP($F67,Lists!$C$72:$R$232,COLUMNS(Lists!$C$69:K$69),0)*VLOOKUP(BK$3,Conversions!$B$12:$E$34,4,0)))</f>
        <v>0</v>
      </c>
      <c r="S67" s="333">
        <f>IF($F67="",0,IF($F67="Weighted Average",$G67*VLOOKUP($D67&amp;" (Install)",Lists!$C$72:$R$232,COLUMNS(Lists!$C$69:L$69),0)*VLOOKUP(BL$3,Conversions!$B$12:$E$34,4,0),$G67*VLOOKUP($F67,Lists!$C$72:$R$232,COLUMNS(Lists!$C$69:L$69),0)*VLOOKUP(BL$3,Conversions!$B$12:$E$34,4,0)))</f>
        <v>0</v>
      </c>
      <c r="T67" s="333">
        <f>IF($F67="",0,IF($F67="Weighted Average",$G67*VLOOKUP($D67&amp;" (Install)",Lists!$C$72:$R$232,COLUMNS(Lists!$C$69:M$69),0)*VLOOKUP(BM$3,Conversions!$B$12:$E$34,4,0),$G67*VLOOKUP($F67,Lists!$C$72:$R$232,COLUMNS(Lists!$C$69:M$69),0)*VLOOKUP(BM$3,Conversions!$B$12:$E$34,4,0)))</f>
        <v>0</v>
      </c>
      <c r="U67" s="333">
        <f>IF($F67="",0,IF($F67="Weighted Average",$G67*VLOOKUP($D67&amp;" (Install)",Lists!$C$72:$R$232,COLUMNS(Lists!$C$69:N$69),0)*VLOOKUP(BN$3,Conversions!$B$12:$E$34,4,0),$G67*VLOOKUP($F67,Lists!$C$72:$R$232,COLUMNS(Lists!$C$69:N$69),0)*VLOOKUP(BN$3,Conversions!$B$12:$E$34,4,0)))</f>
        <v>0</v>
      </c>
      <c r="V67" s="333">
        <f>IF($F67="",0,IF($F67="Weighted Average",$G67*VLOOKUP($D67&amp;" (Install)",Lists!$C$72:$R$232,COLUMNS(Lists!$C$69:O$69),0)*VLOOKUP(BO$3,Conversions!$B$12:$E$34,4,0),$G67*VLOOKUP($F67,Lists!$C$72:$R$232,COLUMNS(Lists!$C$69:O$69),0)*VLOOKUP(BO$3,Conversions!$B$12:$E$34,4,0)))</f>
        <v>0</v>
      </c>
      <c r="W67" s="333">
        <f>IF($F67="",0,IF($F67="Weighted Average",$G67*VLOOKUP($D67&amp;" (Install)",Lists!$C$72:$R$232,COLUMNS(Lists!$C$69:P$69),0)*VLOOKUP(BP$3,Conversions!$B$12:$E$34,4,0),$G67*VLOOKUP($F67,Lists!$C$72:$R$232,COLUMNS(Lists!$C$69:P$69),0)*VLOOKUP(BP$3,Conversions!$B$12:$E$34,4,0)))</f>
        <v>0</v>
      </c>
      <c r="X67" s="333">
        <f>IF($F67="",0,IF($F67="Weighted Average",$G67*VLOOKUP($D67&amp;" (Install)",Lists!$C$72:$R$232,COLUMNS(Lists!$C$69:Q$69),0)*VLOOKUP(BQ$3,Conversions!$B$12:$E$34,4,0),$G67*VLOOKUP($F67,Lists!$C$72:$R$232,COLUMNS(Lists!$C$69:Q$69),0)*VLOOKUP(BQ$3,Conversions!$B$12:$E$34,4,0)))</f>
        <v>0</v>
      </c>
      <c r="Y67" s="333">
        <f>IF($F67="",0,IF($F67="Weighted Average",$G67*VLOOKUP($D67&amp;" (Install)",Lists!$C$72:$R$232,COLUMNS(Lists!$C$69:R$69),0)*VLOOKUP(BR$3,Conversions!$B$12:$E$34,4,0),$G67*VLOOKUP($F67,Lists!$C$72:$R$232,COLUMNS(Lists!$C$69:R$69),0)*VLOOKUP(BR$3,Conversions!$B$12:$E$34,4,0)))</f>
        <v>0</v>
      </c>
      <c r="Z67" s="325">
        <f t="shared" si="59"/>
        <v>0</v>
      </c>
      <c r="AA67" s="334">
        <f>IF($F67="",0,IF($F67="Weighted Average",$H67*VLOOKUP($D67&amp;" (Operation)",Lists!$C$72:$R$232,COLUMNS(Lists!$C$69:E$69),0)*VLOOKUP(BE$3,Conversions!$B$12:$E$34,4,0),$H67*VLOOKUP($F67,Lists!$C$72:$R$232,COLUMNS(Lists!$C$69:E$69),0)*VLOOKUP(BE$3,Conversions!$B$12:$E$34,4,0)))</f>
        <v>0</v>
      </c>
      <c r="AB67" s="334">
        <f>IF($F67="",0,IF($F67="Weighted Average",$H67*VLOOKUP($D67&amp;" (Operation)",Lists!$C$72:$R$232,COLUMNS(Lists!$C$69:F$69),0)*VLOOKUP(BF$3,Conversions!$B$12:$E$34,4,0),$H67*VLOOKUP($F67,Lists!$C$72:$R$232,COLUMNS(Lists!$C$69:F$69),0)*VLOOKUP(BF$3,Conversions!$B$12:$E$34,4,0)))</f>
        <v>0</v>
      </c>
      <c r="AC67" s="334">
        <f>IF($F67="",0,IF($F67="Weighted Average",$H67*VLOOKUP($D67&amp;" (Operation)",Lists!$C$72:$R$232,COLUMNS(Lists!$C$69:G$69),0)*VLOOKUP(BG$3,Conversions!$B$12:$E$34,4,0),$H67*VLOOKUP($F67,Lists!$C$72:$R$232,COLUMNS(Lists!$C$69:G$69),0)*VLOOKUP(BG$3,Conversions!$B$12:$E$34,4,0)))</f>
        <v>0</v>
      </c>
      <c r="AD67" s="334">
        <f>IF($F67="",0,IF($F67="Weighted Average",$H67*VLOOKUP($D67&amp;" (Operation)",Lists!$C$72:$R$232,COLUMNS(Lists!$C$69:H$69),0)*VLOOKUP(BH$3,Conversions!$B$12:$E$34,4,0),$H67*VLOOKUP($F67,Lists!$C$72:$R$232,COLUMNS(Lists!$C$69:H$69),0)*VLOOKUP(BH$3,Conversions!$B$12:$E$34,4,0)))</f>
        <v>0</v>
      </c>
      <c r="AE67" s="334">
        <f>IF($F67="",0,IF($F67="Weighted Average",$H67*VLOOKUP($D67&amp;" (Operation)",Lists!$C$72:$R$232,COLUMNS(Lists!$C$69:I$69),0)*VLOOKUP(BI$3,Conversions!$B$12:$E$34,4,0),$H67*VLOOKUP($F67,Lists!$C$72:$R$232,COLUMNS(Lists!$C$69:I$69),0)*VLOOKUP(BI$3,Conversions!$B$12:$E$34,4,0)))</f>
        <v>0</v>
      </c>
      <c r="AF67" s="334">
        <f>IF($F67="",0,IF($F67="Weighted Average",$H67*VLOOKUP($D67&amp;" (Operation)",Lists!$C$72:$R$232,COLUMNS(Lists!$C$69:J$69),0)*VLOOKUP(BJ$3,Conversions!$B$12:$E$34,4,0),$H67*VLOOKUP($F67,Lists!$C$72:$R$232,COLUMNS(Lists!$C$69:J$69),0)*VLOOKUP(BJ$3,Conversions!$B$12:$E$34,4,0)))</f>
        <v>0</v>
      </c>
      <c r="AG67" s="334">
        <f>IF($F67="",0,IF($F67="Weighted Average",$H67*VLOOKUP($D67&amp;" (Operation)",Lists!$C$72:$R$232,COLUMNS(Lists!$C$69:K$69),0)*VLOOKUP(BK$3,Conversions!$B$12:$E$34,4,0),$H67*VLOOKUP($F67,Lists!$C$72:$R$232,COLUMNS(Lists!$C$69:K$69),0)*VLOOKUP(BK$3,Conversions!$B$12:$E$34,4,0)))</f>
        <v>0</v>
      </c>
      <c r="AH67" s="334">
        <f>IF($F67="",0,IF($F67="Weighted Average",$H67*VLOOKUP($D67&amp;" (Operation)",Lists!$C$72:$R$232,COLUMNS(Lists!$C$69:L$69),0)*VLOOKUP(BL$3,Conversions!$B$12:$E$34,4,0),$H67*VLOOKUP($F67,Lists!$C$72:$R$232,COLUMNS(Lists!$C$69:L$69),0)*VLOOKUP(BL$3,Conversions!$B$12:$E$34,4,0)))</f>
        <v>0</v>
      </c>
      <c r="AI67" s="334">
        <f>IF($F67="",0,IF($F67="Weighted Average",$H67*VLOOKUP($D67&amp;" (Operation)",Lists!$C$72:$R$232,COLUMNS(Lists!$C$69:M$69),0)*VLOOKUP(BM$3,Conversions!$B$12:$E$34,4,0),$H67*VLOOKUP($F67,Lists!$C$72:$R$232,COLUMNS(Lists!$C$69:M$69),0)*VLOOKUP(BM$3,Conversions!$B$12:$E$34,4,0)))</f>
        <v>0</v>
      </c>
      <c r="AJ67" s="334">
        <f>IF($F67="",0,IF($F67="Weighted Average",$H67*VLOOKUP($D67&amp;" (Operation)",Lists!$C$72:$R$232,COLUMNS(Lists!$C$69:N$69),0)*VLOOKUP(BN$3,Conversions!$B$12:$E$34,4,0),$H67*VLOOKUP($F67,Lists!$C$72:$R$232,COLUMNS(Lists!$C$69:N$69),0)*VLOOKUP(BN$3,Conversions!$B$12:$E$34,4,0)))</f>
        <v>0</v>
      </c>
      <c r="AK67" s="334">
        <f>IF($F67="",0,IF($F67="Weighted Average",$H67*VLOOKUP($D67&amp;" (Operation)",Lists!$C$72:$R$232,COLUMNS(Lists!$C$69:O$69),0)*VLOOKUP(BO$3,Conversions!$B$12:$E$34,4,0),$H67*VLOOKUP($F67,Lists!$C$72:$R$232,COLUMNS(Lists!$C$69:O$69),0)*VLOOKUP(BO$3,Conversions!$B$12:$E$34,4,0)))</f>
        <v>0</v>
      </c>
      <c r="AL67" s="334">
        <f>IF($F67="",0,IF($F67="Weighted Average",$H67*VLOOKUP($D67&amp;" (Operation)",Lists!$C$72:$R$232,COLUMNS(Lists!$C$69:P$69),0)*VLOOKUP(BP$3,Conversions!$B$12:$E$34,4,0),$H67*VLOOKUP($F67,Lists!$C$72:$R$232,COLUMNS(Lists!$C$69:P$69),0)*VLOOKUP(BP$3,Conversions!$B$12:$E$34,4,0)))</f>
        <v>0</v>
      </c>
      <c r="AM67" s="334">
        <f>IF($F67="",0,IF($F67="Weighted Average",$H67*VLOOKUP($D67&amp;" (Operation)",Lists!$C$72:$R$232,COLUMNS(Lists!$C$69:Q$69),0)*VLOOKUP(BQ$3,Conversions!$B$12:$E$34,4,0),$H67*VLOOKUP($F67,Lists!$C$72:$R$232,COLUMNS(Lists!$C$69:Q$69),0)*VLOOKUP(BQ$3,Conversions!$B$12:$E$34,4,0)))</f>
        <v>0</v>
      </c>
      <c r="AN67" s="334">
        <f>IF($F67="",0,IF($F67="Weighted Average",$H67*VLOOKUP($D67&amp;" (Operation)",Lists!$C$72:$R$232,COLUMNS(Lists!$C$69:R$69),0)*VLOOKUP(BR$3,Conversions!$B$12:$E$34,4,0),$H67*VLOOKUP($F67,Lists!$C$72:$R$232,COLUMNS(Lists!$C$69:R$69),0)*VLOOKUP(BR$3,Conversions!$B$12:$E$34,4,0)))</f>
        <v>0</v>
      </c>
      <c r="AO67" s="330">
        <f t="shared" si="60"/>
        <v>0</v>
      </c>
      <c r="AP67" s="333">
        <f>IF($F67="",0,IF($F67="Weighted Average",$I67*VLOOKUP($D67&amp;" (Disposal)",Lists!$C$72:$R$232,COLUMNS(Lists!$C$69:E$69),0)*VLOOKUP(BE$3,Conversions!$B$12:$E$34,4,0),$I67*VLOOKUP($F67,Lists!$C$72:$R$232,COLUMNS(Lists!$C$69:E$69),0)*VLOOKUP(BE$3,Conversions!$B$12:$E$34,4,0)))</f>
        <v>0</v>
      </c>
      <c r="AQ67" s="333">
        <f>IF($F67="",0,IF($F67="Weighted Average",$I67*VLOOKUP($D67&amp;" (Disposal)",Lists!$C$72:$R$232,COLUMNS(Lists!$C$69:F$69),0)*VLOOKUP(BF$3,Conversions!$B$12:$E$34,4,0),$I67*VLOOKUP($F67,Lists!$C$72:$R$232,COLUMNS(Lists!$C$69:F$69),0)*VLOOKUP(BF$3,Conversions!$B$12:$E$34,4,0)))</f>
        <v>0</v>
      </c>
      <c r="AR67" s="333">
        <f>IF($F67="",0,IF($F67="Weighted Average",$I67*VLOOKUP($D67&amp;" (Disposal)",Lists!$C$72:$R$232,COLUMNS(Lists!$C$69:G$69),0)*VLOOKUP(BG$3,Conversions!$B$12:$E$34,4,0),$I67*VLOOKUP($F67,Lists!$C$72:$R$232,COLUMNS(Lists!$C$69:G$69),0)*VLOOKUP(BG$3,Conversions!$B$12:$E$34,4,0)))</f>
        <v>0</v>
      </c>
      <c r="AS67" s="333">
        <f>IF($F67="",0,IF($F67="Weighted Average",$I67*VLOOKUP($D67&amp;" (Disposal)",Lists!$C$72:$R$232,COLUMNS(Lists!$C$69:H$69),0)*VLOOKUP(BH$3,Conversions!$B$12:$E$34,4,0),$I67*VLOOKUP($F67,Lists!$C$72:$R$232,COLUMNS(Lists!$C$69:H$69),0)*VLOOKUP(BH$3,Conversions!$B$12:$E$34,4,0)))</f>
        <v>0</v>
      </c>
      <c r="AT67" s="333">
        <f>IF($F67="",0,IF($F67="Weighted Average",$I67*VLOOKUP($D67&amp;" (Disposal)",Lists!$C$72:$R$232,COLUMNS(Lists!$C$69:I$69),0)*VLOOKUP(BI$3,Conversions!$B$12:$E$34,4,0),$I67*VLOOKUP($F67,Lists!$C$72:$R$232,COLUMNS(Lists!$C$69:I$69),0)*VLOOKUP(BI$3,Conversions!$B$12:$E$34,4,0)))</f>
        <v>0</v>
      </c>
      <c r="AU67" s="333">
        <f>IF($F67="",0,IF($F67="Weighted Average",$I67*VLOOKUP($D67&amp;" (Disposal)",Lists!$C$72:$R$232,COLUMNS(Lists!$C$69:J$69),0)*VLOOKUP(BJ$3,Conversions!$B$12:$E$34,4,0),$I67*VLOOKUP($F67,Lists!$C$72:$R$232,COLUMNS(Lists!$C$69:J$69),0)*VLOOKUP(BJ$3,Conversions!$B$12:$E$34,4,0)))</f>
        <v>0</v>
      </c>
      <c r="AV67" s="333">
        <f>IF($F67="",0,IF($F67="Weighted Average",$I67*VLOOKUP($D67&amp;" (Disposal)",Lists!$C$72:$R$232,COLUMNS(Lists!$C$69:K$69),0)*VLOOKUP(BK$3,Conversions!$B$12:$E$34,4,0),$I67*VLOOKUP($F67,Lists!$C$72:$R$232,COLUMNS(Lists!$C$69:K$69),0)*VLOOKUP(BK$3,Conversions!$B$12:$E$34,4,0)))</f>
        <v>0</v>
      </c>
      <c r="AW67" s="333">
        <f>IF($F67="",0,IF($F67="Weighted Average",$I67*VLOOKUP($D67&amp;" (Disposal)",Lists!$C$72:$R$232,COLUMNS(Lists!$C$69:L$69),0)*VLOOKUP(BL$3,Conversions!$B$12:$E$34,4,0),$I67*VLOOKUP($F67,Lists!$C$72:$R$232,COLUMNS(Lists!$C$69:L$69),0)*VLOOKUP(BL$3,Conversions!$B$12:$E$34,4,0)))</f>
        <v>0</v>
      </c>
      <c r="AX67" s="333">
        <f>IF($F67="",0,IF($F67="Weighted Average",$I67*VLOOKUP($D67&amp;" (Disposal)",Lists!$C$72:$R$232,COLUMNS(Lists!$C$69:M$69),0)*VLOOKUP(BM$3,Conversions!$B$12:$E$34,4,0),$I67*VLOOKUP($F67,Lists!$C$72:$R$232,COLUMNS(Lists!$C$69:M$69),0)*VLOOKUP(BM$3,Conversions!$B$12:$E$34,4,0)))</f>
        <v>0</v>
      </c>
      <c r="AY67" s="333">
        <f>IF($F67="",0,IF($F67="Weighted Average",$I67*VLOOKUP($D67&amp;" (Disposal)",Lists!$C$72:$R$232,COLUMNS(Lists!$C$69:N$69),0)*VLOOKUP(BN$3,Conversions!$B$12:$E$34,4,0),$I67*VLOOKUP($F67,Lists!$C$72:$R$232,COLUMNS(Lists!$C$69:N$69),0)*VLOOKUP(BN$3,Conversions!$B$12:$E$34,4,0)))</f>
        <v>0</v>
      </c>
      <c r="AZ67" s="333">
        <f>IF($F67="",0,IF($F67="Weighted Average",$I67*VLOOKUP($D67&amp;" (Disposal)",Lists!$C$72:$R$232,COLUMNS(Lists!$C$69:O$69),0)*VLOOKUP(BO$3,Conversions!$B$12:$E$34,4,0),$I67*VLOOKUP($F67,Lists!$C$72:$R$232,COLUMNS(Lists!$C$69:O$69),0)*VLOOKUP(BO$3,Conversions!$B$12:$E$34,4,0)))</f>
        <v>0</v>
      </c>
      <c r="BA67" s="333">
        <f>IF($F67="",0,IF($F67="Weighted Average",$I67*VLOOKUP($D67&amp;" (Disposal)",Lists!$C$72:$R$232,COLUMNS(Lists!$C$69:P$69),0)*VLOOKUP(BP$3,Conversions!$B$12:$E$34,4,0),$I67*VLOOKUP($F67,Lists!$C$72:$R$232,COLUMNS(Lists!$C$69:P$69),0)*VLOOKUP(BP$3,Conversions!$B$12:$E$34,4,0)))</f>
        <v>0</v>
      </c>
      <c r="BB67" s="333">
        <f>IF($F67="",0,IF($F67="Weighted Average",$I67*VLOOKUP($D67&amp;" (Disposal)",Lists!$C$72:$R$232,COLUMNS(Lists!$C$69:Q$69),0)*VLOOKUP(BQ$3,Conversions!$B$12:$E$34,4,0),$I67*VLOOKUP($F67,Lists!$C$72:$R$232,COLUMNS(Lists!$C$69:Q$69),0)*VLOOKUP(BQ$3,Conversions!$B$12:$E$34,4,0)))</f>
        <v>0</v>
      </c>
      <c r="BC67" s="333">
        <f>IF($F67="",0,IF($F67="Weighted Average",$I67*VLOOKUP($D67&amp;" (Disposal)",Lists!$C$72:$R$232,COLUMNS(Lists!$C$69:R$69),0)*VLOOKUP(BR$3,Conversions!$B$12:$E$34,4,0),$I67*VLOOKUP($F67,Lists!$C$72:$R$232,COLUMNS(Lists!$C$69:R$69),0)*VLOOKUP(BR$3,Conversions!$B$12:$E$34,4,0)))</f>
        <v>0</v>
      </c>
      <c r="BD67" s="333">
        <f t="shared" si="61"/>
        <v>0</v>
      </c>
      <c r="BE67" s="330">
        <f t="shared" si="62"/>
        <v>0</v>
      </c>
      <c r="BF67" s="330">
        <f t="shared" si="63"/>
        <v>0</v>
      </c>
      <c r="BG67" s="330">
        <f t="shared" si="64"/>
        <v>0</v>
      </c>
      <c r="BH67" s="330">
        <f t="shared" si="65"/>
        <v>0</v>
      </c>
      <c r="BI67" s="330">
        <f t="shared" si="66"/>
        <v>0</v>
      </c>
      <c r="BJ67" s="330">
        <f t="shared" si="67"/>
        <v>0</v>
      </c>
      <c r="BK67" s="330">
        <f t="shared" si="68"/>
        <v>0</v>
      </c>
      <c r="BL67" s="330">
        <f t="shared" si="69"/>
        <v>0</v>
      </c>
      <c r="BM67" s="330">
        <f t="shared" si="70"/>
        <v>0</v>
      </c>
      <c r="BN67" s="330">
        <f t="shared" si="71"/>
        <v>0</v>
      </c>
      <c r="BO67" s="330">
        <f t="shared" si="72"/>
        <v>0</v>
      </c>
      <c r="BP67" s="330">
        <f t="shared" si="73"/>
        <v>0</v>
      </c>
      <c r="BQ67" s="330">
        <f t="shared" si="74"/>
        <v>0</v>
      </c>
      <c r="BR67" s="330">
        <f t="shared" si="75"/>
        <v>0</v>
      </c>
      <c r="BS67" s="330">
        <f t="shared" si="76"/>
        <v>0</v>
      </c>
      <c r="BT67" s="329">
        <f t="shared" si="91"/>
        <v>0</v>
      </c>
      <c r="BU67" s="329">
        <f t="shared" si="91"/>
        <v>0</v>
      </c>
      <c r="BV67" s="329">
        <f t="shared" si="91"/>
        <v>0</v>
      </c>
      <c r="BW67" s="329">
        <f t="shared" si="91"/>
        <v>0</v>
      </c>
      <c r="BX67" s="329">
        <f t="shared" si="91"/>
        <v>0</v>
      </c>
      <c r="BY67" s="329">
        <f t="shared" si="91"/>
        <v>0</v>
      </c>
      <c r="BZ67" s="329">
        <f t="shared" si="91"/>
        <v>0</v>
      </c>
      <c r="CA67" s="329">
        <f t="shared" si="91"/>
        <v>0</v>
      </c>
      <c r="CB67" s="329">
        <f t="shared" si="91"/>
        <v>0</v>
      </c>
      <c r="CC67" s="329">
        <f t="shared" si="91"/>
        <v>0</v>
      </c>
      <c r="CD67" s="329">
        <f t="shared" si="91"/>
        <v>0</v>
      </c>
      <c r="CE67" s="329">
        <f t="shared" si="91"/>
        <v>0</v>
      </c>
      <c r="CF67" s="329">
        <f t="shared" si="91"/>
        <v>0</v>
      </c>
      <c r="CG67" s="329">
        <f t="shared" si="91"/>
        <v>0</v>
      </c>
      <c r="CH67" s="329">
        <f t="shared" si="91"/>
        <v>0</v>
      </c>
      <c r="CI67" s="329">
        <f t="shared" si="91"/>
        <v>0</v>
      </c>
      <c r="CJ67" s="331">
        <f t="shared" si="78"/>
        <v>0</v>
      </c>
      <c r="CK67" s="330">
        <f t="shared" si="79"/>
        <v>0</v>
      </c>
      <c r="CL67" s="330">
        <f t="shared" si="80"/>
        <v>0</v>
      </c>
      <c r="CM67" s="330">
        <f t="shared" si="81"/>
        <v>0</v>
      </c>
      <c r="CN67" s="330">
        <f t="shared" si="82"/>
        <v>0</v>
      </c>
      <c r="CO67" s="330">
        <f t="shared" si="83"/>
        <v>0</v>
      </c>
      <c r="CP67" s="330">
        <f t="shared" si="84"/>
        <v>0</v>
      </c>
      <c r="CQ67" s="330">
        <f t="shared" si="11"/>
        <v>0</v>
      </c>
      <c r="CR67" s="330">
        <f t="shared" si="85"/>
        <v>0</v>
      </c>
      <c r="CS67" s="330">
        <f t="shared" si="86"/>
        <v>0</v>
      </c>
      <c r="CT67" s="330">
        <f t="shared" si="87"/>
        <v>0</v>
      </c>
      <c r="CU67" s="330">
        <f t="shared" si="92"/>
        <v>0</v>
      </c>
      <c r="CV67" s="330">
        <f t="shared" si="92"/>
        <v>0</v>
      </c>
      <c r="CW67" s="330">
        <f t="shared" si="92"/>
        <v>0</v>
      </c>
      <c r="CX67" s="330">
        <f t="shared" si="92"/>
        <v>0</v>
      </c>
      <c r="CY67" s="330">
        <f t="shared" si="92"/>
        <v>0</v>
      </c>
      <c r="CZ67" s="330">
        <f t="shared" si="92"/>
        <v>0</v>
      </c>
      <c r="DA67" s="330">
        <f t="shared" si="92"/>
        <v>0</v>
      </c>
      <c r="DB67" s="330">
        <f t="shared" si="92"/>
        <v>0</v>
      </c>
      <c r="DC67" s="330">
        <f t="shared" si="92"/>
        <v>0</v>
      </c>
      <c r="DD67" s="330">
        <f t="shared" si="92"/>
        <v>0</v>
      </c>
      <c r="DE67" s="330">
        <f t="shared" si="93"/>
        <v>0</v>
      </c>
      <c r="DF67" s="330">
        <f t="shared" si="93"/>
        <v>0</v>
      </c>
      <c r="DG67" s="330">
        <f t="shared" si="93"/>
        <v>0</v>
      </c>
      <c r="DH67" s="330">
        <f t="shared" si="93"/>
        <v>0</v>
      </c>
      <c r="DI67" s="330">
        <f t="shared" si="93"/>
        <v>0</v>
      </c>
      <c r="DJ67" s="330">
        <f t="shared" si="93"/>
        <v>0</v>
      </c>
      <c r="DK67" s="330">
        <f t="shared" si="93"/>
        <v>0</v>
      </c>
      <c r="DL67" s="330">
        <f t="shared" si="93"/>
        <v>0</v>
      </c>
      <c r="DM67" s="330">
        <f t="shared" si="93"/>
        <v>0</v>
      </c>
      <c r="DN67" s="330">
        <f t="shared" si="93"/>
        <v>0</v>
      </c>
      <c r="DO67" s="330">
        <f t="shared" si="93"/>
        <v>0</v>
      </c>
      <c r="DP67" s="330">
        <f t="shared" si="90"/>
        <v>0</v>
      </c>
      <c r="DQ67" s="217"/>
      <c r="DR67" s="217"/>
      <c r="DS67" s="217"/>
      <c r="DT67" s="217"/>
    </row>
    <row r="68" spans="1:124" x14ac:dyDescent="0.3">
      <c r="A68" s="332"/>
      <c r="B68" s="221" t="s">
        <v>304</v>
      </c>
      <c r="C68" s="221" t="str">
        <f>IF('Simplified Material Balance'!C38=0,"",'Simplified Material Balance'!C38)</f>
        <v/>
      </c>
      <c r="D68" s="221" t="str">
        <f>IF('Simplified Material Balance'!D38=0,"",'Simplified Material Balance'!D38)</f>
        <v/>
      </c>
      <c r="E68" s="221" t="str">
        <f>IF('Simplified Material Balance'!E38=0,"",'Simplified Material Balance'!E38)</f>
        <v/>
      </c>
      <c r="F68" s="221" t="str">
        <f>IF('Simplified Material Balance'!F38=0,"",'Simplified Material Balance'!F38)</f>
        <v/>
      </c>
      <c r="G68" s="272">
        <f>IF('Simplified Material Balance'!H38&gt;'Simplified Material Balance'!G38,0,('Simplified Material Balance'!G38-'Simplified Material Balance'!H38)*Conversions!$C$4)</f>
        <v>0</v>
      </c>
      <c r="H68" s="272">
        <f>'Simplified Material Balance'!I38*Conversions!$C$4</f>
        <v>0</v>
      </c>
      <c r="I68" s="272">
        <f>('Simplified Material Balance'!J38-'Simplified Material Balance'!K38)*Conversions!$C$4</f>
        <v>0</v>
      </c>
      <c r="J68" s="325">
        <f>IF('Simplified Material Balance'!L38=0,0,'Simplified Material Balance'!L38)</f>
        <v>0</v>
      </c>
      <c r="K68" s="465"/>
      <c r="L68" s="333">
        <f>IF($F68="",0,IF($F68="Weighted Average",$G68*VLOOKUP($D68&amp;" (Install)",Lists!$C$72:$R$232,COLUMNS(Lists!$C$69:E$69),0)*VLOOKUP(BE$3,Conversions!$B$12:$E$34,4,0),$G68*VLOOKUP($F68,Lists!$C$72:$R$232,COLUMNS(Lists!$C$69:E$69),0)*VLOOKUP(BE$3,Conversions!$B$12:$E$34,4,0)))</f>
        <v>0</v>
      </c>
      <c r="M68" s="333">
        <f>IF($F68="",0,IF($F68="Weighted Average",$G68*VLOOKUP($D68&amp;" (Install)",Lists!$C$72:$R$232,COLUMNS(Lists!$C$69:F$69),0)*VLOOKUP(BF$3,Conversions!$B$12:$E$34,4,0),$G68*VLOOKUP($F68,Lists!$C$72:$R$232,COLUMNS(Lists!$C$69:F$69),0)*VLOOKUP(BF$3,Conversions!$B$12:$E$34,4,0)))</f>
        <v>0</v>
      </c>
      <c r="N68" s="333">
        <f>IF($F68="",0,IF($F68="Weighted Average",$G68*VLOOKUP($D68&amp;" (Install)",Lists!$C$72:$R$232,COLUMNS(Lists!$C$69:G$69),0)*VLOOKUP(BG$3,Conversions!$B$12:$E$34,4,0),$G68*VLOOKUP($F68,Lists!$C$72:$R$232,COLUMNS(Lists!$C$69:G$69),0)*VLOOKUP(BG$3,Conversions!$B$12:$E$34,4,0)))</f>
        <v>0</v>
      </c>
      <c r="O68" s="333">
        <f>IF($F68="",0,IF($F68="Weighted Average",$G68*VLOOKUP($D68&amp;" (Install)",Lists!$C$72:$R$232,COLUMNS(Lists!$C$69:H$69),0)*VLOOKUP(BH$3,Conversions!$B$12:$E$34,4,0),$G68*VLOOKUP($F68,Lists!$C$72:$R$232,COLUMNS(Lists!$C$69:H$69),0)*VLOOKUP(BH$3,Conversions!$B$12:$E$34,4,0)))</f>
        <v>0</v>
      </c>
      <c r="P68" s="333">
        <f>IF($F68="",0,IF($F68="Weighted Average",$G68*VLOOKUP($D68&amp;" (Install)",Lists!$C$72:$R$232,COLUMNS(Lists!$C$69:I$69),0)*VLOOKUP(BI$3,Conversions!$B$12:$E$34,4,0),$G68*VLOOKUP($F68,Lists!$C$72:$R$232,COLUMNS(Lists!$C$69:I$69),0)*VLOOKUP(BI$3,Conversions!$B$12:$E$34,4,0)))</f>
        <v>0</v>
      </c>
      <c r="Q68" s="333">
        <f>IF($F68="",0,IF($F68="Weighted Average",$G68*VLOOKUP($D68&amp;" (Install)",Lists!$C$72:$R$232,COLUMNS(Lists!$C$69:J$69),0)*VLOOKUP(BJ$3,Conversions!$B$12:$E$34,4,0),$G68*VLOOKUP($F68,Lists!$C$72:$R$232,COLUMNS(Lists!$C$69:J$69),0)*VLOOKUP(BJ$3,Conversions!$B$12:$E$34,4,0)))</f>
        <v>0</v>
      </c>
      <c r="R68" s="333">
        <f>IF($F68="",0,IF($F68="Weighted Average",$G68*VLOOKUP($D68&amp;" (Install)",Lists!$C$72:$R$232,COLUMNS(Lists!$C$69:K$69),0)*VLOOKUP(BK$3,Conversions!$B$12:$E$34,4,0),$G68*VLOOKUP($F68,Lists!$C$72:$R$232,COLUMNS(Lists!$C$69:K$69),0)*VLOOKUP(BK$3,Conversions!$B$12:$E$34,4,0)))</f>
        <v>0</v>
      </c>
      <c r="S68" s="333">
        <f>IF($F68="",0,IF($F68="Weighted Average",$G68*VLOOKUP($D68&amp;" (Install)",Lists!$C$72:$R$232,COLUMNS(Lists!$C$69:L$69),0)*VLOOKUP(BL$3,Conversions!$B$12:$E$34,4,0),$G68*VLOOKUP($F68,Lists!$C$72:$R$232,COLUMNS(Lists!$C$69:L$69),0)*VLOOKUP(BL$3,Conversions!$B$12:$E$34,4,0)))</f>
        <v>0</v>
      </c>
      <c r="T68" s="333">
        <f>IF($F68="",0,IF($F68="Weighted Average",$G68*VLOOKUP($D68&amp;" (Install)",Lists!$C$72:$R$232,COLUMNS(Lists!$C$69:M$69),0)*VLOOKUP(BM$3,Conversions!$B$12:$E$34,4,0),$G68*VLOOKUP($F68,Lists!$C$72:$R$232,COLUMNS(Lists!$C$69:M$69),0)*VLOOKUP(BM$3,Conversions!$B$12:$E$34,4,0)))</f>
        <v>0</v>
      </c>
      <c r="U68" s="333">
        <f>IF($F68="",0,IF($F68="Weighted Average",$G68*VLOOKUP($D68&amp;" (Install)",Lists!$C$72:$R$232,COLUMNS(Lists!$C$69:N$69),0)*VLOOKUP(BN$3,Conversions!$B$12:$E$34,4,0),$G68*VLOOKUP($F68,Lists!$C$72:$R$232,COLUMNS(Lists!$C$69:N$69),0)*VLOOKUP(BN$3,Conversions!$B$12:$E$34,4,0)))</f>
        <v>0</v>
      </c>
      <c r="V68" s="333">
        <f>IF($F68="",0,IF($F68="Weighted Average",$G68*VLOOKUP($D68&amp;" (Install)",Lists!$C$72:$R$232,COLUMNS(Lists!$C$69:O$69),0)*VLOOKUP(BO$3,Conversions!$B$12:$E$34,4,0),$G68*VLOOKUP($F68,Lists!$C$72:$R$232,COLUMNS(Lists!$C$69:O$69),0)*VLOOKUP(BO$3,Conversions!$B$12:$E$34,4,0)))</f>
        <v>0</v>
      </c>
      <c r="W68" s="333">
        <f>IF($F68="",0,IF($F68="Weighted Average",$G68*VLOOKUP($D68&amp;" (Install)",Lists!$C$72:$R$232,COLUMNS(Lists!$C$69:P$69),0)*VLOOKUP(BP$3,Conversions!$B$12:$E$34,4,0),$G68*VLOOKUP($F68,Lists!$C$72:$R$232,COLUMNS(Lists!$C$69:P$69),0)*VLOOKUP(BP$3,Conversions!$B$12:$E$34,4,0)))</f>
        <v>0</v>
      </c>
      <c r="X68" s="333">
        <f>IF($F68="",0,IF($F68="Weighted Average",$G68*VLOOKUP($D68&amp;" (Install)",Lists!$C$72:$R$232,COLUMNS(Lists!$C$69:Q$69),0)*VLOOKUP(BQ$3,Conversions!$B$12:$E$34,4,0),$G68*VLOOKUP($F68,Lists!$C$72:$R$232,COLUMNS(Lists!$C$69:Q$69),0)*VLOOKUP(BQ$3,Conversions!$B$12:$E$34,4,0)))</f>
        <v>0</v>
      </c>
      <c r="Y68" s="333">
        <f>IF($F68="",0,IF($F68="Weighted Average",$G68*VLOOKUP($D68&amp;" (Install)",Lists!$C$72:$R$232,COLUMNS(Lists!$C$69:R$69),0)*VLOOKUP(BR$3,Conversions!$B$12:$E$34,4,0),$G68*VLOOKUP($F68,Lists!$C$72:$R$232,COLUMNS(Lists!$C$69:R$69),0)*VLOOKUP(BR$3,Conversions!$B$12:$E$34,4,0)))</f>
        <v>0</v>
      </c>
      <c r="Z68" s="325">
        <f t="shared" si="59"/>
        <v>0</v>
      </c>
      <c r="AA68" s="334">
        <f>IF($F68="",0,IF($F68="Weighted Average",$H68*VLOOKUP($D68&amp;" (Operation)",Lists!$C$72:$R$232,COLUMNS(Lists!$C$69:E$69),0)*VLOOKUP(BE$3,Conversions!$B$12:$E$34,4,0),$H68*VLOOKUP($F68,Lists!$C$72:$R$232,COLUMNS(Lists!$C$69:E$69),0)*VLOOKUP(BE$3,Conversions!$B$12:$E$34,4,0)))</f>
        <v>0</v>
      </c>
      <c r="AB68" s="334">
        <f>IF($F68="",0,IF($F68="Weighted Average",$H68*VLOOKUP($D68&amp;" (Operation)",Lists!$C$72:$R$232,COLUMNS(Lists!$C$69:F$69),0)*VLOOKUP(BF$3,Conversions!$B$12:$E$34,4,0),$H68*VLOOKUP($F68,Lists!$C$72:$R$232,COLUMNS(Lists!$C$69:F$69),0)*VLOOKUP(BF$3,Conversions!$B$12:$E$34,4,0)))</f>
        <v>0</v>
      </c>
      <c r="AC68" s="334">
        <f>IF($F68="",0,IF($F68="Weighted Average",$H68*VLOOKUP($D68&amp;" (Operation)",Lists!$C$72:$R$232,COLUMNS(Lists!$C$69:G$69),0)*VLOOKUP(BG$3,Conversions!$B$12:$E$34,4,0),$H68*VLOOKUP($F68,Lists!$C$72:$R$232,COLUMNS(Lists!$C$69:G$69),0)*VLOOKUP(BG$3,Conversions!$B$12:$E$34,4,0)))</f>
        <v>0</v>
      </c>
      <c r="AD68" s="334">
        <f>IF($F68="",0,IF($F68="Weighted Average",$H68*VLOOKUP($D68&amp;" (Operation)",Lists!$C$72:$R$232,COLUMNS(Lists!$C$69:H$69),0)*VLOOKUP(BH$3,Conversions!$B$12:$E$34,4,0),$H68*VLOOKUP($F68,Lists!$C$72:$R$232,COLUMNS(Lists!$C$69:H$69),0)*VLOOKUP(BH$3,Conversions!$B$12:$E$34,4,0)))</f>
        <v>0</v>
      </c>
      <c r="AE68" s="334">
        <f>IF($F68="",0,IF($F68="Weighted Average",$H68*VLOOKUP($D68&amp;" (Operation)",Lists!$C$72:$R$232,COLUMNS(Lists!$C$69:I$69),0)*VLOOKUP(BI$3,Conversions!$B$12:$E$34,4,0),$H68*VLOOKUP($F68,Lists!$C$72:$R$232,COLUMNS(Lists!$C$69:I$69),0)*VLOOKUP(BI$3,Conversions!$B$12:$E$34,4,0)))</f>
        <v>0</v>
      </c>
      <c r="AF68" s="334">
        <f>IF($F68="",0,IF($F68="Weighted Average",$H68*VLOOKUP($D68&amp;" (Operation)",Lists!$C$72:$R$232,COLUMNS(Lists!$C$69:J$69),0)*VLOOKUP(BJ$3,Conversions!$B$12:$E$34,4,0),$H68*VLOOKUP($F68,Lists!$C$72:$R$232,COLUMNS(Lists!$C$69:J$69),0)*VLOOKUP(BJ$3,Conversions!$B$12:$E$34,4,0)))</f>
        <v>0</v>
      </c>
      <c r="AG68" s="334">
        <f>IF($F68="",0,IF($F68="Weighted Average",$H68*VLOOKUP($D68&amp;" (Operation)",Lists!$C$72:$R$232,COLUMNS(Lists!$C$69:K$69),0)*VLOOKUP(BK$3,Conversions!$B$12:$E$34,4,0),$H68*VLOOKUP($F68,Lists!$C$72:$R$232,COLUMNS(Lists!$C$69:K$69),0)*VLOOKUP(BK$3,Conversions!$B$12:$E$34,4,0)))</f>
        <v>0</v>
      </c>
      <c r="AH68" s="334">
        <f>IF($F68="",0,IF($F68="Weighted Average",$H68*VLOOKUP($D68&amp;" (Operation)",Lists!$C$72:$R$232,COLUMNS(Lists!$C$69:L$69),0)*VLOOKUP(BL$3,Conversions!$B$12:$E$34,4,0),$H68*VLOOKUP($F68,Lists!$C$72:$R$232,COLUMNS(Lists!$C$69:L$69),0)*VLOOKUP(BL$3,Conversions!$B$12:$E$34,4,0)))</f>
        <v>0</v>
      </c>
      <c r="AI68" s="334">
        <f>IF($F68="",0,IF($F68="Weighted Average",$H68*VLOOKUP($D68&amp;" (Operation)",Lists!$C$72:$R$232,COLUMNS(Lists!$C$69:M$69),0)*VLOOKUP(BM$3,Conversions!$B$12:$E$34,4,0),$H68*VLOOKUP($F68,Lists!$C$72:$R$232,COLUMNS(Lists!$C$69:M$69),0)*VLOOKUP(BM$3,Conversions!$B$12:$E$34,4,0)))</f>
        <v>0</v>
      </c>
      <c r="AJ68" s="334">
        <f>IF($F68="",0,IF($F68="Weighted Average",$H68*VLOOKUP($D68&amp;" (Operation)",Lists!$C$72:$R$232,COLUMNS(Lists!$C$69:N$69),0)*VLOOKUP(BN$3,Conversions!$B$12:$E$34,4,0),$H68*VLOOKUP($F68,Lists!$C$72:$R$232,COLUMNS(Lists!$C$69:N$69),0)*VLOOKUP(BN$3,Conversions!$B$12:$E$34,4,0)))</f>
        <v>0</v>
      </c>
      <c r="AK68" s="334">
        <f>IF($F68="",0,IF($F68="Weighted Average",$H68*VLOOKUP($D68&amp;" (Operation)",Lists!$C$72:$R$232,COLUMNS(Lists!$C$69:O$69),0)*VLOOKUP(BO$3,Conversions!$B$12:$E$34,4,0),$H68*VLOOKUP($F68,Lists!$C$72:$R$232,COLUMNS(Lists!$C$69:O$69),0)*VLOOKUP(BO$3,Conversions!$B$12:$E$34,4,0)))</f>
        <v>0</v>
      </c>
      <c r="AL68" s="334">
        <f>IF($F68="",0,IF($F68="Weighted Average",$H68*VLOOKUP($D68&amp;" (Operation)",Lists!$C$72:$R$232,COLUMNS(Lists!$C$69:P$69),0)*VLOOKUP(BP$3,Conversions!$B$12:$E$34,4,0),$H68*VLOOKUP($F68,Lists!$C$72:$R$232,COLUMNS(Lists!$C$69:P$69),0)*VLOOKUP(BP$3,Conversions!$B$12:$E$34,4,0)))</f>
        <v>0</v>
      </c>
      <c r="AM68" s="334">
        <f>IF($F68="",0,IF($F68="Weighted Average",$H68*VLOOKUP($D68&amp;" (Operation)",Lists!$C$72:$R$232,COLUMNS(Lists!$C$69:Q$69),0)*VLOOKUP(BQ$3,Conversions!$B$12:$E$34,4,0),$H68*VLOOKUP($F68,Lists!$C$72:$R$232,COLUMNS(Lists!$C$69:Q$69),0)*VLOOKUP(BQ$3,Conversions!$B$12:$E$34,4,0)))</f>
        <v>0</v>
      </c>
      <c r="AN68" s="334">
        <f>IF($F68="",0,IF($F68="Weighted Average",$H68*VLOOKUP($D68&amp;" (Operation)",Lists!$C$72:$R$232,COLUMNS(Lists!$C$69:R$69),0)*VLOOKUP(BR$3,Conversions!$B$12:$E$34,4,0),$H68*VLOOKUP($F68,Lists!$C$72:$R$232,COLUMNS(Lists!$C$69:R$69),0)*VLOOKUP(BR$3,Conversions!$B$12:$E$34,4,0)))</f>
        <v>0</v>
      </c>
      <c r="AO68" s="330">
        <f t="shared" si="60"/>
        <v>0</v>
      </c>
      <c r="AP68" s="333">
        <f>IF($F68="",0,IF($F68="Weighted Average",$I68*VLOOKUP($D68&amp;" (Disposal)",Lists!$C$72:$R$232,COLUMNS(Lists!$C$69:E$69),0)*VLOOKUP(BE$3,Conversions!$B$12:$E$34,4,0),$I68*VLOOKUP($F68,Lists!$C$72:$R$232,COLUMNS(Lists!$C$69:E$69),0)*VLOOKUP(BE$3,Conversions!$B$12:$E$34,4,0)))</f>
        <v>0</v>
      </c>
      <c r="AQ68" s="333">
        <f>IF($F68="",0,IF($F68="Weighted Average",$I68*VLOOKUP($D68&amp;" (Disposal)",Lists!$C$72:$R$232,COLUMNS(Lists!$C$69:F$69),0)*VLOOKUP(BF$3,Conversions!$B$12:$E$34,4,0),$I68*VLOOKUP($F68,Lists!$C$72:$R$232,COLUMNS(Lists!$C$69:F$69),0)*VLOOKUP(BF$3,Conversions!$B$12:$E$34,4,0)))</f>
        <v>0</v>
      </c>
      <c r="AR68" s="333">
        <f>IF($F68="",0,IF($F68="Weighted Average",$I68*VLOOKUP($D68&amp;" (Disposal)",Lists!$C$72:$R$232,COLUMNS(Lists!$C$69:G$69),0)*VLOOKUP(BG$3,Conversions!$B$12:$E$34,4,0),$I68*VLOOKUP($F68,Lists!$C$72:$R$232,COLUMNS(Lists!$C$69:G$69),0)*VLOOKUP(BG$3,Conversions!$B$12:$E$34,4,0)))</f>
        <v>0</v>
      </c>
      <c r="AS68" s="333">
        <f>IF($F68="",0,IF($F68="Weighted Average",$I68*VLOOKUP($D68&amp;" (Disposal)",Lists!$C$72:$R$232,COLUMNS(Lists!$C$69:H$69),0)*VLOOKUP(BH$3,Conversions!$B$12:$E$34,4,0),$I68*VLOOKUP($F68,Lists!$C$72:$R$232,COLUMNS(Lists!$C$69:H$69),0)*VLOOKUP(BH$3,Conversions!$B$12:$E$34,4,0)))</f>
        <v>0</v>
      </c>
      <c r="AT68" s="333">
        <f>IF($F68="",0,IF($F68="Weighted Average",$I68*VLOOKUP($D68&amp;" (Disposal)",Lists!$C$72:$R$232,COLUMNS(Lists!$C$69:I$69),0)*VLOOKUP(BI$3,Conversions!$B$12:$E$34,4,0),$I68*VLOOKUP($F68,Lists!$C$72:$R$232,COLUMNS(Lists!$C$69:I$69),0)*VLOOKUP(BI$3,Conversions!$B$12:$E$34,4,0)))</f>
        <v>0</v>
      </c>
      <c r="AU68" s="333">
        <f>IF($F68="",0,IF($F68="Weighted Average",$I68*VLOOKUP($D68&amp;" (Disposal)",Lists!$C$72:$R$232,COLUMNS(Lists!$C$69:J$69),0)*VLOOKUP(BJ$3,Conversions!$B$12:$E$34,4,0),$I68*VLOOKUP($F68,Lists!$C$72:$R$232,COLUMNS(Lists!$C$69:J$69),0)*VLOOKUP(BJ$3,Conversions!$B$12:$E$34,4,0)))</f>
        <v>0</v>
      </c>
      <c r="AV68" s="333">
        <f>IF($F68="",0,IF($F68="Weighted Average",$I68*VLOOKUP($D68&amp;" (Disposal)",Lists!$C$72:$R$232,COLUMNS(Lists!$C$69:K$69),0)*VLOOKUP(BK$3,Conversions!$B$12:$E$34,4,0),$I68*VLOOKUP($F68,Lists!$C$72:$R$232,COLUMNS(Lists!$C$69:K$69),0)*VLOOKUP(BK$3,Conversions!$B$12:$E$34,4,0)))</f>
        <v>0</v>
      </c>
      <c r="AW68" s="333">
        <f>IF($F68="",0,IF($F68="Weighted Average",$I68*VLOOKUP($D68&amp;" (Disposal)",Lists!$C$72:$R$232,COLUMNS(Lists!$C$69:L$69),0)*VLOOKUP(BL$3,Conversions!$B$12:$E$34,4,0),$I68*VLOOKUP($F68,Lists!$C$72:$R$232,COLUMNS(Lists!$C$69:L$69),0)*VLOOKUP(BL$3,Conversions!$B$12:$E$34,4,0)))</f>
        <v>0</v>
      </c>
      <c r="AX68" s="333">
        <f>IF($F68="",0,IF($F68="Weighted Average",$I68*VLOOKUP($D68&amp;" (Disposal)",Lists!$C$72:$R$232,COLUMNS(Lists!$C$69:M$69),0)*VLOOKUP(BM$3,Conversions!$B$12:$E$34,4,0),$I68*VLOOKUP($F68,Lists!$C$72:$R$232,COLUMNS(Lists!$C$69:M$69),0)*VLOOKUP(BM$3,Conversions!$B$12:$E$34,4,0)))</f>
        <v>0</v>
      </c>
      <c r="AY68" s="333">
        <f>IF($F68="",0,IF($F68="Weighted Average",$I68*VLOOKUP($D68&amp;" (Disposal)",Lists!$C$72:$R$232,COLUMNS(Lists!$C$69:N$69),0)*VLOOKUP(BN$3,Conversions!$B$12:$E$34,4,0),$I68*VLOOKUP($F68,Lists!$C$72:$R$232,COLUMNS(Lists!$C$69:N$69),0)*VLOOKUP(BN$3,Conversions!$B$12:$E$34,4,0)))</f>
        <v>0</v>
      </c>
      <c r="AZ68" s="333">
        <f>IF($F68="",0,IF($F68="Weighted Average",$I68*VLOOKUP($D68&amp;" (Disposal)",Lists!$C$72:$R$232,COLUMNS(Lists!$C$69:O$69),0)*VLOOKUP(BO$3,Conversions!$B$12:$E$34,4,0),$I68*VLOOKUP($F68,Lists!$C$72:$R$232,COLUMNS(Lists!$C$69:O$69),0)*VLOOKUP(BO$3,Conversions!$B$12:$E$34,4,0)))</f>
        <v>0</v>
      </c>
      <c r="BA68" s="333">
        <f>IF($F68="",0,IF($F68="Weighted Average",$I68*VLOOKUP($D68&amp;" (Disposal)",Lists!$C$72:$R$232,COLUMNS(Lists!$C$69:P$69),0)*VLOOKUP(BP$3,Conversions!$B$12:$E$34,4,0),$I68*VLOOKUP($F68,Lists!$C$72:$R$232,COLUMNS(Lists!$C$69:P$69),0)*VLOOKUP(BP$3,Conversions!$B$12:$E$34,4,0)))</f>
        <v>0</v>
      </c>
      <c r="BB68" s="333">
        <f>IF($F68="",0,IF($F68="Weighted Average",$I68*VLOOKUP($D68&amp;" (Disposal)",Lists!$C$72:$R$232,COLUMNS(Lists!$C$69:Q$69),0)*VLOOKUP(BQ$3,Conversions!$B$12:$E$34,4,0),$I68*VLOOKUP($F68,Lists!$C$72:$R$232,COLUMNS(Lists!$C$69:Q$69),0)*VLOOKUP(BQ$3,Conversions!$B$12:$E$34,4,0)))</f>
        <v>0</v>
      </c>
      <c r="BC68" s="333">
        <f>IF($F68="",0,IF($F68="Weighted Average",$I68*VLOOKUP($D68&amp;" (Disposal)",Lists!$C$72:$R$232,COLUMNS(Lists!$C$69:R$69),0)*VLOOKUP(BR$3,Conversions!$B$12:$E$34,4,0),$I68*VLOOKUP($F68,Lists!$C$72:$R$232,COLUMNS(Lists!$C$69:R$69),0)*VLOOKUP(BR$3,Conversions!$B$12:$E$34,4,0)))</f>
        <v>0</v>
      </c>
      <c r="BD68" s="333">
        <f t="shared" si="61"/>
        <v>0</v>
      </c>
      <c r="BE68" s="330">
        <f t="shared" si="62"/>
        <v>0</v>
      </c>
      <c r="BF68" s="330">
        <f t="shared" si="63"/>
        <v>0</v>
      </c>
      <c r="BG68" s="330">
        <f t="shared" si="64"/>
        <v>0</v>
      </c>
      <c r="BH68" s="330">
        <f t="shared" si="65"/>
        <v>0</v>
      </c>
      <c r="BI68" s="330">
        <f t="shared" si="66"/>
        <v>0</v>
      </c>
      <c r="BJ68" s="330">
        <f t="shared" si="67"/>
        <v>0</v>
      </c>
      <c r="BK68" s="330">
        <f t="shared" si="68"/>
        <v>0</v>
      </c>
      <c r="BL68" s="330">
        <f t="shared" si="69"/>
        <v>0</v>
      </c>
      <c r="BM68" s="330">
        <f t="shared" si="70"/>
        <v>0</v>
      </c>
      <c r="BN68" s="330">
        <f t="shared" si="71"/>
        <v>0</v>
      </c>
      <c r="BO68" s="330">
        <f t="shared" si="72"/>
        <v>0</v>
      </c>
      <c r="BP68" s="330">
        <f t="shared" si="73"/>
        <v>0</v>
      </c>
      <c r="BQ68" s="330">
        <f t="shared" si="74"/>
        <v>0</v>
      </c>
      <c r="BR68" s="330">
        <f t="shared" si="75"/>
        <v>0</v>
      </c>
      <c r="BS68" s="330">
        <f t="shared" si="76"/>
        <v>0</v>
      </c>
      <c r="BT68" s="329">
        <f t="shared" si="91"/>
        <v>0</v>
      </c>
      <c r="BU68" s="329">
        <f t="shared" si="91"/>
        <v>0</v>
      </c>
      <c r="BV68" s="329">
        <f t="shared" si="91"/>
        <v>0</v>
      </c>
      <c r="BW68" s="329">
        <f t="shared" si="91"/>
        <v>0</v>
      </c>
      <c r="BX68" s="329">
        <f t="shared" si="91"/>
        <v>0</v>
      </c>
      <c r="BY68" s="329">
        <f t="shared" si="91"/>
        <v>0</v>
      </c>
      <c r="BZ68" s="329">
        <f t="shared" si="91"/>
        <v>0</v>
      </c>
      <c r="CA68" s="329">
        <f t="shared" si="91"/>
        <v>0</v>
      </c>
      <c r="CB68" s="329">
        <f t="shared" si="91"/>
        <v>0</v>
      </c>
      <c r="CC68" s="329">
        <f t="shared" si="91"/>
        <v>0</v>
      </c>
      <c r="CD68" s="329">
        <f t="shared" si="91"/>
        <v>0</v>
      </c>
      <c r="CE68" s="329">
        <f t="shared" si="91"/>
        <v>0</v>
      </c>
      <c r="CF68" s="329">
        <f t="shared" si="91"/>
        <v>0</v>
      </c>
      <c r="CG68" s="329">
        <f t="shared" si="91"/>
        <v>0</v>
      </c>
      <c r="CH68" s="329">
        <f t="shared" si="91"/>
        <v>0</v>
      </c>
      <c r="CI68" s="329">
        <f t="shared" si="91"/>
        <v>0</v>
      </c>
      <c r="CJ68" s="331">
        <f t="shared" si="78"/>
        <v>0</v>
      </c>
      <c r="CK68" s="330">
        <f t="shared" si="79"/>
        <v>0</v>
      </c>
      <c r="CL68" s="330">
        <f t="shared" si="80"/>
        <v>0</v>
      </c>
      <c r="CM68" s="330">
        <f t="shared" si="81"/>
        <v>0</v>
      </c>
      <c r="CN68" s="330">
        <f t="shared" si="82"/>
        <v>0</v>
      </c>
      <c r="CO68" s="330">
        <f t="shared" si="83"/>
        <v>0</v>
      </c>
      <c r="CP68" s="330">
        <f t="shared" si="84"/>
        <v>0</v>
      </c>
      <c r="CQ68" s="330">
        <f t="shared" si="11"/>
        <v>0</v>
      </c>
      <c r="CR68" s="330">
        <f t="shared" si="85"/>
        <v>0</v>
      </c>
      <c r="CS68" s="330">
        <f t="shared" si="86"/>
        <v>0</v>
      </c>
      <c r="CT68" s="330">
        <f t="shared" si="87"/>
        <v>0</v>
      </c>
      <c r="CU68" s="330">
        <f t="shared" si="92"/>
        <v>0</v>
      </c>
      <c r="CV68" s="330">
        <f t="shared" si="92"/>
        <v>0</v>
      </c>
      <c r="CW68" s="330">
        <f t="shared" si="92"/>
        <v>0</v>
      </c>
      <c r="CX68" s="330">
        <f t="shared" si="92"/>
        <v>0</v>
      </c>
      <c r="CY68" s="330">
        <f t="shared" si="92"/>
        <v>0</v>
      </c>
      <c r="CZ68" s="330">
        <f t="shared" si="92"/>
        <v>0</v>
      </c>
      <c r="DA68" s="330">
        <f t="shared" si="92"/>
        <v>0</v>
      </c>
      <c r="DB68" s="330">
        <f t="shared" si="92"/>
        <v>0</v>
      </c>
      <c r="DC68" s="330">
        <f t="shared" si="92"/>
        <v>0</v>
      </c>
      <c r="DD68" s="330">
        <f t="shared" si="92"/>
        <v>0</v>
      </c>
      <c r="DE68" s="330">
        <f t="shared" si="93"/>
        <v>0</v>
      </c>
      <c r="DF68" s="330">
        <f t="shared" si="93"/>
        <v>0</v>
      </c>
      <c r="DG68" s="330">
        <f t="shared" si="93"/>
        <v>0</v>
      </c>
      <c r="DH68" s="330">
        <f t="shared" si="93"/>
        <v>0</v>
      </c>
      <c r="DI68" s="330">
        <f t="shared" si="93"/>
        <v>0</v>
      </c>
      <c r="DJ68" s="330">
        <f t="shared" si="93"/>
        <v>0</v>
      </c>
      <c r="DK68" s="330">
        <f t="shared" si="93"/>
        <v>0</v>
      </c>
      <c r="DL68" s="330">
        <f t="shared" si="93"/>
        <v>0</v>
      </c>
      <c r="DM68" s="330">
        <f t="shared" si="93"/>
        <v>0</v>
      </c>
      <c r="DN68" s="330">
        <f t="shared" si="93"/>
        <v>0</v>
      </c>
      <c r="DO68" s="330">
        <f t="shared" si="93"/>
        <v>0</v>
      </c>
      <c r="DP68" s="330">
        <f t="shared" si="90"/>
        <v>0</v>
      </c>
      <c r="DQ68" s="217"/>
      <c r="DR68" s="217"/>
      <c r="DS68" s="217"/>
      <c r="DT68" s="217"/>
    </row>
    <row r="69" spans="1:124" x14ac:dyDescent="0.3">
      <c r="A69" s="332"/>
      <c r="B69" s="221" t="s">
        <v>304</v>
      </c>
      <c r="C69" s="221" t="str">
        <f>IF('Simplified Material Balance'!C39=0,"",'Simplified Material Balance'!C39)</f>
        <v/>
      </c>
      <c r="D69" s="221" t="str">
        <f>IF('Simplified Material Balance'!D39=0,"",'Simplified Material Balance'!D39)</f>
        <v/>
      </c>
      <c r="E69" s="221" t="str">
        <f>IF('Simplified Material Balance'!E39=0,"",'Simplified Material Balance'!E39)</f>
        <v/>
      </c>
      <c r="F69" s="221" t="str">
        <f>IF('Simplified Material Balance'!F39=0,"",'Simplified Material Balance'!F39)</f>
        <v/>
      </c>
      <c r="G69" s="272">
        <f>IF('Simplified Material Balance'!H39&gt;'Simplified Material Balance'!G39,0,('Simplified Material Balance'!G39-'Simplified Material Balance'!H39)*Conversions!$C$4)</f>
        <v>0</v>
      </c>
      <c r="H69" s="272">
        <f>'Simplified Material Balance'!I39*Conversions!$C$4</f>
        <v>0</v>
      </c>
      <c r="I69" s="272">
        <f>('Simplified Material Balance'!J39-'Simplified Material Balance'!K39)*Conversions!$C$4</f>
        <v>0</v>
      </c>
      <c r="J69" s="325">
        <f>IF('Simplified Material Balance'!L39=0,0,'Simplified Material Balance'!L39)</f>
        <v>0</v>
      </c>
      <c r="K69" s="465"/>
      <c r="L69" s="333">
        <f>IF($F69="",0,IF($F69="Weighted Average",$G69*VLOOKUP($D69&amp;" (Install)",Lists!$C$72:$R$232,COLUMNS(Lists!$C$69:E$69),0)*VLOOKUP(BE$3,Conversions!$B$12:$E$34,4,0),$G69*VLOOKUP($F69,Lists!$C$72:$R$232,COLUMNS(Lists!$C$69:E$69),0)*VLOOKUP(BE$3,Conversions!$B$12:$E$34,4,0)))</f>
        <v>0</v>
      </c>
      <c r="M69" s="333">
        <f>IF($F69="",0,IF($F69="Weighted Average",$G69*VLOOKUP($D69&amp;" (Install)",Lists!$C$72:$R$232,COLUMNS(Lists!$C$69:F$69),0)*VLOOKUP(BF$3,Conversions!$B$12:$E$34,4,0),$G69*VLOOKUP($F69,Lists!$C$72:$R$232,COLUMNS(Lists!$C$69:F$69),0)*VLOOKUP(BF$3,Conversions!$B$12:$E$34,4,0)))</f>
        <v>0</v>
      </c>
      <c r="N69" s="333">
        <f>IF($F69="",0,IF($F69="Weighted Average",$G69*VLOOKUP($D69&amp;" (Install)",Lists!$C$72:$R$232,COLUMNS(Lists!$C$69:G$69),0)*VLOOKUP(BG$3,Conversions!$B$12:$E$34,4,0),$G69*VLOOKUP($F69,Lists!$C$72:$R$232,COLUMNS(Lists!$C$69:G$69),0)*VLOOKUP(BG$3,Conversions!$B$12:$E$34,4,0)))</f>
        <v>0</v>
      </c>
      <c r="O69" s="333">
        <f>IF($F69="",0,IF($F69="Weighted Average",$G69*VLOOKUP($D69&amp;" (Install)",Lists!$C$72:$R$232,COLUMNS(Lists!$C$69:H$69),0)*VLOOKUP(BH$3,Conversions!$B$12:$E$34,4,0),$G69*VLOOKUP($F69,Lists!$C$72:$R$232,COLUMNS(Lists!$C$69:H$69),0)*VLOOKUP(BH$3,Conversions!$B$12:$E$34,4,0)))</f>
        <v>0</v>
      </c>
      <c r="P69" s="333">
        <f>IF($F69="",0,IF($F69="Weighted Average",$G69*VLOOKUP($D69&amp;" (Install)",Lists!$C$72:$R$232,COLUMNS(Lists!$C$69:I$69),0)*VLOOKUP(BI$3,Conversions!$B$12:$E$34,4,0),$G69*VLOOKUP($F69,Lists!$C$72:$R$232,COLUMNS(Lists!$C$69:I$69),0)*VLOOKUP(BI$3,Conversions!$B$12:$E$34,4,0)))</f>
        <v>0</v>
      </c>
      <c r="Q69" s="333">
        <f>IF($F69="",0,IF($F69="Weighted Average",$G69*VLOOKUP($D69&amp;" (Install)",Lists!$C$72:$R$232,COLUMNS(Lists!$C$69:J$69),0)*VLOOKUP(BJ$3,Conversions!$B$12:$E$34,4,0),$G69*VLOOKUP($F69,Lists!$C$72:$R$232,COLUMNS(Lists!$C$69:J$69),0)*VLOOKUP(BJ$3,Conversions!$B$12:$E$34,4,0)))</f>
        <v>0</v>
      </c>
      <c r="R69" s="333">
        <f>IF($F69="",0,IF($F69="Weighted Average",$G69*VLOOKUP($D69&amp;" (Install)",Lists!$C$72:$R$232,COLUMNS(Lists!$C$69:K$69),0)*VLOOKUP(BK$3,Conversions!$B$12:$E$34,4,0),$G69*VLOOKUP($F69,Lists!$C$72:$R$232,COLUMNS(Lists!$C$69:K$69),0)*VLOOKUP(BK$3,Conversions!$B$12:$E$34,4,0)))</f>
        <v>0</v>
      </c>
      <c r="S69" s="333">
        <f>IF($F69="",0,IF($F69="Weighted Average",$G69*VLOOKUP($D69&amp;" (Install)",Lists!$C$72:$R$232,COLUMNS(Lists!$C$69:L$69),0)*VLOOKUP(BL$3,Conversions!$B$12:$E$34,4,0),$G69*VLOOKUP($F69,Lists!$C$72:$R$232,COLUMNS(Lists!$C$69:L$69),0)*VLOOKUP(BL$3,Conversions!$B$12:$E$34,4,0)))</f>
        <v>0</v>
      </c>
      <c r="T69" s="333">
        <f>IF($F69="",0,IF($F69="Weighted Average",$G69*VLOOKUP($D69&amp;" (Install)",Lists!$C$72:$R$232,COLUMNS(Lists!$C$69:M$69),0)*VLOOKUP(BM$3,Conversions!$B$12:$E$34,4,0),$G69*VLOOKUP($F69,Lists!$C$72:$R$232,COLUMNS(Lists!$C$69:M$69),0)*VLOOKUP(BM$3,Conversions!$B$12:$E$34,4,0)))</f>
        <v>0</v>
      </c>
      <c r="U69" s="333">
        <f>IF($F69="",0,IF($F69="Weighted Average",$G69*VLOOKUP($D69&amp;" (Install)",Lists!$C$72:$R$232,COLUMNS(Lists!$C$69:N$69),0)*VLOOKUP(BN$3,Conversions!$B$12:$E$34,4,0),$G69*VLOOKUP($F69,Lists!$C$72:$R$232,COLUMNS(Lists!$C$69:N$69),0)*VLOOKUP(BN$3,Conversions!$B$12:$E$34,4,0)))</f>
        <v>0</v>
      </c>
      <c r="V69" s="333">
        <f>IF($F69="",0,IF($F69="Weighted Average",$G69*VLOOKUP($D69&amp;" (Install)",Lists!$C$72:$R$232,COLUMNS(Lists!$C$69:O$69),0)*VLOOKUP(BO$3,Conversions!$B$12:$E$34,4,0),$G69*VLOOKUP($F69,Lists!$C$72:$R$232,COLUMNS(Lists!$C$69:O$69),0)*VLOOKUP(BO$3,Conversions!$B$12:$E$34,4,0)))</f>
        <v>0</v>
      </c>
      <c r="W69" s="333">
        <f>IF($F69="",0,IF($F69="Weighted Average",$G69*VLOOKUP($D69&amp;" (Install)",Lists!$C$72:$R$232,COLUMNS(Lists!$C$69:P$69),0)*VLOOKUP(BP$3,Conversions!$B$12:$E$34,4,0),$G69*VLOOKUP($F69,Lists!$C$72:$R$232,COLUMNS(Lists!$C$69:P$69),0)*VLOOKUP(BP$3,Conversions!$B$12:$E$34,4,0)))</f>
        <v>0</v>
      </c>
      <c r="X69" s="333">
        <f>IF($F69="",0,IF($F69="Weighted Average",$G69*VLOOKUP($D69&amp;" (Install)",Lists!$C$72:$R$232,COLUMNS(Lists!$C$69:Q$69),0)*VLOOKUP(BQ$3,Conversions!$B$12:$E$34,4,0),$G69*VLOOKUP($F69,Lists!$C$72:$R$232,COLUMNS(Lists!$C$69:Q$69),0)*VLOOKUP(BQ$3,Conversions!$B$12:$E$34,4,0)))</f>
        <v>0</v>
      </c>
      <c r="Y69" s="333">
        <f>IF($F69="",0,IF($F69="Weighted Average",$G69*VLOOKUP($D69&amp;" (Install)",Lists!$C$72:$R$232,COLUMNS(Lists!$C$69:R$69),0)*VLOOKUP(BR$3,Conversions!$B$12:$E$34,4,0),$G69*VLOOKUP($F69,Lists!$C$72:$R$232,COLUMNS(Lists!$C$69:R$69),0)*VLOOKUP(BR$3,Conversions!$B$12:$E$34,4,0)))</f>
        <v>0</v>
      </c>
      <c r="Z69" s="325">
        <f t="shared" si="59"/>
        <v>0</v>
      </c>
      <c r="AA69" s="334">
        <f>IF($F69="",0,IF($F69="Weighted Average",$H69*VLOOKUP($D69&amp;" (Operation)",Lists!$C$72:$R$232,COLUMNS(Lists!$C$69:E$69),0)*VLOOKUP(BE$3,Conversions!$B$12:$E$34,4,0),$H69*VLOOKUP($F69,Lists!$C$72:$R$232,COLUMNS(Lists!$C$69:E$69),0)*VLOOKUP(BE$3,Conversions!$B$12:$E$34,4,0)))</f>
        <v>0</v>
      </c>
      <c r="AB69" s="334">
        <f>IF($F69="",0,IF($F69="Weighted Average",$H69*VLOOKUP($D69&amp;" (Operation)",Lists!$C$72:$R$232,COLUMNS(Lists!$C$69:F$69),0)*VLOOKUP(BF$3,Conversions!$B$12:$E$34,4,0),$H69*VLOOKUP($F69,Lists!$C$72:$R$232,COLUMNS(Lists!$C$69:F$69),0)*VLOOKUP(BF$3,Conversions!$B$12:$E$34,4,0)))</f>
        <v>0</v>
      </c>
      <c r="AC69" s="334">
        <f>IF($F69="",0,IF($F69="Weighted Average",$H69*VLOOKUP($D69&amp;" (Operation)",Lists!$C$72:$R$232,COLUMNS(Lists!$C$69:G$69),0)*VLOOKUP(BG$3,Conversions!$B$12:$E$34,4,0),$H69*VLOOKUP($F69,Lists!$C$72:$R$232,COLUMNS(Lists!$C$69:G$69),0)*VLOOKUP(BG$3,Conversions!$B$12:$E$34,4,0)))</f>
        <v>0</v>
      </c>
      <c r="AD69" s="334">
        <f>IF($F69="",0,IF($F69="Weighted Average",$H69*VLOOKUP($D69&amp;" (Operation)",Lists!$C$72:$R$232,COLUMNS(Lists!$C$69:H$69),0)*VLOOKUP(BH$3,Conversions!$B$12:$E$34,4,0),$H69*VLOOKUP($F69,Lists!$C$72:$R$232,COLUMNS(Lists!$C$69:H$69),0)*VLOOKUP(BH$3,Conversions!$B$12:$E$34,4,0)))</f>
        <v>0</v>
      </c>
      <c r="AE69" s="334">
        <f>IF($F69="",0,IF($F69="Weighted Average",$H69*VLOOKUP($D69&amp;" (Operation)",Lists!$C$72:$R$232,COLUMNS(Lists!$C$69:I$69),0)*VLOOKUP(BI$3,Conversions!$B$12:$E$34,4,0),$H69*VLOOKUP($F69,Lists!$C$72:$R$232,COLUMNS(Lists!$C$69:I$69),0)*VLOOKUP(BI$3,Conversions!$B$12:$E$34,4,0)))</f>
        <v>0</v>
      </c>
      <c r="AF69" s="334">
        <f>IF($F69="",0,IF($F69="Weighted Average",$H69*VLOOKUP($D69&amp;" (Operation)",Lists!$C$72:$R$232,COLUMNS(Lists!$C$69:J$69),0)*VLOOKUP(BJ$3,Conversions!$B$12:$E$34,4,0),$H69*VLOOKUP($F69,Lists!$C$72:$R$232,COLUMNS(Lists!$C$69:J$69),0)*VLOOKUP(BJ$3,Conversions!$B$12:$E$34,4,0)))</f>
        <v>0</v>
      </c>
      <c r="AG69" s="334">
        <f>IF($F69="",0,IF($F69="Weighted Average",$H69*VLOOKUP($D69&amp;" (Operation)",Lists!$C$72:$R$232,COLUMNS(Lists!$C$69:K$69),0)*VLOOKUP(BK$3,Conversions!$B$12:$E$34,4,0),$H69*VLOOKUP($F69,Lists!$C$72:$R$232,COLUMNS(Lists!$C$69:K$69),0)*VLOOKUP(BK$3,Conversions!$B$12:$E$34,4,0)))</f>
        <v>0</v>
      </c>
      <c r="AH69" s="334">
        <f>IF($F69="",0,IF($F69="Weighted Average",$H69*VLOOKUP($D69&amp;" (Operation)",Lists!$C$72:$R$232,COLUMNS(Lists!$C$69:L$69),0)*VLOOKUP(BL$3,Conversions!$B$12:$E$34,4,0),$H69*VLOOKUP($F69,Lists!$C$72:$R$232,COLUMNS(Lists!$C$69:L$69),0)*VLOOKUP(BL$3,Conversions!$B$12:$E$34,4,0)))</f>
        <v>0</v>
      </c>
      <c r="AI69" s="334">
        <f>IF($F69="",0,IF($F69="Weighted Average",$H69*VLOOKUP($D69&amp;" (Operation)",Lists!$C$72:$R$232,COLUMNS(Lists!$C$69:M$69),0)*VLOOKUP(BM$3,Conversions!$B$12:$E$34,4,0),$H69*VLOOKUP($F69,Lists!$C$72:$R$232,COLUMNS(Lists!$C$69:M$69),0)*VLOOKUP(BM$3,Conversions!$B$12:$E$34,4,0)))</f>
        <v>0</v>
      </c>
      <c r="AJ69" s="334">
        <f>IF($F69="",0,IF($F69="Weighted Average",$H69*VLOOKUP($D69&amp;" (Operation)",Lists!$C$72:$R$232,COLUMNS(Lists!$C$69:N$69),0)*VLOOKUP(BN$3,Conversions!$B$12:$E$34,4,0),$H69*VLOOKUP($F69,Lists!$C$72:$R$232,COLUMNS(Lists!$C$69:N$69),0)*VLOOKUP(BN$3,Conversions!$B$12:$E$34,4,0)))</f>
        <v>0</v>
      </c>
      <c r="AK69" s="334">
        <f>IF($F69="",0,IF($F69="Weighted Average",$H69*VLOOKUP($D69&amp;" (Operation)",Lists!$C$72:$R$232,COLUMNS(Lists!$C$69:O$69),0)*VLOOKUP(BO$3,Conversions!$B$12:$E$34,4,0),$H69*VLOOKUP($F69,Lists!$C$72:$R$232,COLUMNS(Lists!$C$69:O$69),0)*VLOOKUP(BO$3,Conversions!$B$12:$E$34,4,0)))</f>
        <v>0</v>
      </c>
      <c r="AL69" s="334">
        <f>IF($F69="",0,IF($F69="Weighted Average",$H69*VLOOKUP($D69&amp;" (Operation)",Lists!$C$72:$R$232,COLUMNS(Lists!$C$69:P$69),0)*VLOOKUP(BP$3,Conversions!$B$12:$E$34,4,0),$H69*VLOOKUP($F69,Lists!$C$72:$R$232,COLUMNS(Lists!$C$69:P$69),0)*VLOOKUP(BP$3,Conversions!$B$12:$E$34,4,0)))</f>
        <v>0</v>
      </c>
      <c r="AM69" s="334">
        <f>IF($F69="",0,IF($F69="Weighted Average",$H69*VLOOKUP($D69&amp;" (Operation)",Lists!$C$72:$R$232,COLUMNS(Lists!$C$69:Q$69),0)*VLOOKUP(BQ$3,Conversions!$B$12:$E$34,4,0),$H69*VLOOKUP($F69,Lists!$C$72:$R$232,COLUMNS(Lists!$C$69:Q$69),0)*VLOOKUP(BQ$3,Conversions!$B$12:$E$34,4,0)))</f>
        <v>0</v>
      </c>
      <c r="AN69" s="334">
        <f>IF($F69="",0,IF($F69="Weighted Average",$H69*VLOOKUP($D69&amp;" (Operation)",Lists!$C$72:$R$232,COLUMNS(Lists!$C$69:R$69),0)*VLOOKUP(BR$3,Conversions!$B$12:$E$34,4,0),$H69*VLOOKUP($F69,Lists!$C$72:$R$232,COLUMNS(Lists!$C$69:R$69),0)*VLOOKUP(BR$3,Conversions!$B$12:$E$34,4,0)))</f>
        <v>0</v>
      </c>
      <c r="AO69" s="330">
        <f t="shared" si="60"/>
        <v>0</v>
      </c>
      <c r="AP69" s="333">
        <f>IF($F69="",0,IF($F69="Weighted Average",$I69*VLOOKUP($D69&amp;" (Disposal)",Lists!$C$72:$R$232,COLUMNS(Lists!$C$69:E$69),0)*VLOOKUP(BE$3,Conversions!$B$12:$E$34,4,0),$I69*VLOOKUP($F69,Lists!$C$72:$R$232,COLUMNS(Lists!$C$69:E$69),0)*VLOOKUP(BE$3,Conversions!$B$12:$E$34,4,0)))</f>
        <v>0</v>
      </c>
      <c r="AQ69" s="333">
        <f>IF($F69="",0,IF($F69="Weighted Average",$I69*VLOOKUP($D69&amp;" (Disposal)",Lists!$C$72:$R$232,COLUMNS(Lists!$C$69:F$69),0)*VLOOKUP(BF$3,Conversions!$B$12:$E$34,4,0),$I69*VLOOKUP($F69,Lists!$C$72:$R$232,COLUMNS(Lists!$C$69:F$69),0)*VLOOKUP(BF$3,Conversions!$B$12:$E$34,4,0)))</f>
        <v>0</v>
      </c>
      <c r="AR69" s="333">
        <f>IF($F69="",0,IF($F69="Weighted Average",$I69*VLOOKUP($D69&amp;" (Disposal)",Lists!$C$72:$R$232,COLUMNS(Lists!$C$69:G$69),0)*VLOOKUP(BG$3,Conversions!$B$12:$E$34,4,0),$I69*VLOOKUP($F69,Lists!$C$72:$R$232,COLUMNS(Lists!$C$69:G$69),0)*VLOOKUP(BG$3,Conversions!$B$12:$E$34,4,0)))</f>
        <v>0</v>
      </c>
      <c r="AS69" s="333">
        <f>IF($F69="",0,IF($F69="Weighted Average",$I69*VLOOKUP($D69&amp;" (Disposal)",Lists!$C$72:$R$232,COLUMNS(Lists!$C$69:H$69),0)*VLOOKUP(BH$3,Conversions!$B$12:$E$34,4,0),$I69*VLOOKUP($F69,Lists!$C$72:$R$232,COLUMNS(Lists!$C$69:H$69),0)*VLOOKUP(BH$3,Conversions!$B$12:$E$34,4,0)))</f>
        <v>0</v>
      </c>
      <c r="AT69" s="333">
        <f>IF($F69="",0,IF($F69="Weighted Average",$I69*VLOOKUP($D69&amp;" (Disposal)",Lists!$C$72:$R$232,COLUMNS(Lists!$C$69:I$69),0)*VLOOKUP(BI$3,Conversions!$B$12:$E$34,4,0),$I69*VLOOKUP($F69,Lists!$C$72:$R$232,COLUMNS(Lists!$C$69:I$69),0)*VLOOKUP(BI$3,Conversions!$B$12:$E$34,4,0)))</f>
        <v>0</v>
      </c>
      <c r="AU69" s="333">
        <f>IF($F69="",0,IF($F69="Weighted Average",$I69*VLOOKUP($D69&amp;" (Disposal)",Lists!$C$72:$R$232,COLUMNS(Lists!$C$69:J$69),0)*VLOOKUP(BJ$3,Conversions!$B$12:$E$34,4,0),$I69*VLOOKUP($F69,Lists!$C$72:$R$232,COLUMNS(Lists!$C$69:J$69),0)*VLOOKUP(BJ$3,Conversions!$B$12:$E$34,4,0)))</f>
        <v>0</v>
      </c>
      <c r="AV69" s="333">
        <f>IF($F69="",0,IF($F69="Weighted Average",$I69*VLOOKUP($D69&amp;" (Disposal)",Lists!$C$72:$R$232,COLUMNS(Lists!$C$69:K$69),0)*VLOOKUP(BK$3,Conversions!$B$12:$E$34,4,0),$I69*VLOOKUP($F69,Lists!$C$72:$R$232,COLUMNS(Lists!$C$69:K$69),0)*VLOOKUP(BK$3,Conversions!$B$12:$E$34,4,0)))</f>
        <v>0</v>
      </c>
      <c r="AW69" s="333">
        <f>IF($F69="",0,IF($F69="Weighted Average",$I69*VLOOKUP($D69&amp;" (Disposal)",Lists!$C$72:$R$232,COLUMNS(Lists!$C$69:L$69),0)*VLOOKUP(BL$3,Conversions!$B$12:$E$34,4,0),$I69*VLOOKUP($F69,Lists!$C$72:$R$232,COLUMNS(Lists!$C$69:L$69),0)*VLOOKUP(BL$3,Conversions!$B$12:$E$34,4,0)))</f>
        <v>0</v>
      </c>
      <c r="AX69" s="333">
        <f>IF($F69="",0,IF($F69="Weighted Average",$I69*VLOOKUP($D69&amp;" (Disposal)",Lists!$C$72:$R$232,COLUMNS(Lists!$C$69:M$69),0)*VLOOKUP(BM$3,Conversions!$B$12:$E$34,4,0),$I69*VLOOKUP($F69,Lists!$C$72:$R$232,COLUMNS(Lists!$C$69:M$69),0)*VLOOKUP(BM$3,Conversions!$B$12:$E$34,4,0)))</f>
        <v>0</v>
      </c>
      <c r="AY69" s="333">
        <f>IF($F69="",0,IF($F69="Weighted Average",$I69*VLOOKUP($D69&amp;" (Disposal)",Lists!$C$72:$R$232,COLUMNS(Lists!$C$69:N$69),0)*VLOOKUP(BN$3,Conversions!$B$12:$E$34,4,0),$I69*VLOOKUP($F69,Lists!$C$72:$R$232,COLUMNS(Lists!$C$69:N$69),0)*VLOOKUP(BN$3,Conversions!$B$12:$E$34,4,0)))</f>
        <v>0</v>
      </c>
      <c r="AZ69" s="333">
        <f>IF($F69="",0,IF($F69="Weighted Average",$I69*VLOOKUP($D69&amp;" (Disposal)",Lists!$C$72:$R$232,COLUMNS(Lists!$C$69:O$69),0)*VLOOKUP(BO$3,Conversions!$B$12:$E$34,4,0),$I69*VLOOKUP($F69,Lists!$C$72:$R$232,COLUMNS(Lists!$C$69:O$69),0)*VLOOKUP(BO$3,Conversions!$B$12:$E$34,4,0)))</f>
        <v>0</v>
      </c>
      <c r="BA69" s="333">
        <f>IF($F69="",0,IF($F69="Weighted Average",$I69*VLOOKUP($D69&amp;" (Disposal)",Lists!$C$72:$R$232,COLUMNS(Lists!$C$69:P$69),0)*VLOOKUP(BP$3,Conversions!$B$12:$E$34,4,0),$I69*VLOOKUP($F69,Lists!$C$72:$R$232,COLUMNS(Lists!$C$69:P$69),0)*VLOOKUP(BP$3,Conversions!$B$12:$E$34,4,0)))</f>
        <v>0</v>
      </c>
      <c r="BB69" s="333">
        <f>IF($F69="",0,IF($F69="Weighted Average",$I69*VLOOKUP($D69&amp;" (Disposal)",Lists!$C$72:$R$232,COLUMNS(Lists!$C$69:Q$69),0)*VLOOKUP(BQ$3,Conversions!$B$12:$E$34,4,0),$I69*VLOOKUP($F69,Lists!$C$72:$R$232,COLUMNS(Lists!$C$69:Q$69),0)*VLOOKUP(BQ$3,Conversions!$B$12:$E$34,4,0)))</f>
        <v>0</v>
      </c>
      <c r="BC69" s="333">
        <f>IF($F69="",0,IF($F69="Weighted Average",$I69*VLOOKUP($D69&amp;" (Disposal)",Lists!$C$72:$R$232,COLUMNS(Lists!$C$69:R$69),0)*VLOOKUP(BR$3,Conversions!$B$12:$E$34,4,0),$I69*VLOOKUP($F69,Lists!$C$72:$R$232,COLUMNS(Lists!$C$69:R$69),0)*VLOOKUP(BR$3,Conversions!$B$12:$E$34,4,0)))</f>
        <v>0</v>
      </c>
      <c r="BD69" s="333">
        <f t="shared" si="61"/>
        <v>0</v>
      </c>
      <c r="BE69" s="330">
        <f t="shared" si="62"/>
        <v>0</v>
      </c>
      <c r="BF69" s="330">
        <f t="shared" si="63"/>
        <v>0</v>
      </c>
      <c r="BG69" s="330">
        <f t="shared" si="64"/>
        <v>0</v>
      </c>
      <c r="BH69" s="330">
        <f t="shared" si="65"/>
        <v>0</v>
      </c>
      <c r="BI69" s="330">
        <f t="shared" si="66"/>
        <v>0</v>
      </c>
      <c r="BJ69" s="330">
        <f t="shared" si="67"/>
        <v>0</v>
      </c>
      <c r="BK69" s="330">
        <f t="shared" si="68"/>
        <v>0</v>
      </c>
      <c r="BL69" s="330">
        <f t="shared" si="69"/>
        <v>0</v>
      </c>
      <c r="BM69" s="330">
        <f t="shared" si="70"/>
        <v>0</v>
      </c>
      <c r="BN69" s="330">
        <f t="shared" si="71"/>
        <v>0</v>
      </c>
      <c r="BO69" s="330">
        <f t="shared" si="72"/>
        <v>0</v>
      </c>
      <c r="BP69" s="330">
        <f t="shared" si="73"/>
        <v>0</v>
      </c>
      <c r="BQ69" s="330">
        <f t="shared" si="74"/>
        <v>0</v>
      </c>
      <c r="BR69" s="330">
        <f t="shared" si="75"/>
        <v>0</v>
      </c>
      <c r="BS69" s="330">
        <f t="shared" si="76"/>
        <v>0</v>
      </c>
      <c r="BT69" s="329">
        <f t="shared" si="91"/>
        <v>0</v>
      </c>
      <c r="BU69" s="329">
        <f t="shared" si="91"/>
        <v>0</v>
      </c>
      <c r="BV69" s="329">
        <f t="shared" si="91"/>
        <v>0</v>
      </c>
      <c r="BW69" s="329">
        <f t="shared" si="91"/>
        <v>0</v>
      </c>
      <c r="BX69" s="329">
        <f t="shared" si="91"/>
        <v>0</v>
      </c>
      <c r="BY69" s="329">
        <f t="shared" si="91"/>
        <v>0</v>
      </c>
      <c r="BZ69" s="329">
        <f t="shared" si="91"/>
        <v>0</v>
      </c>
      <c r="CA69" s="329">
        <f t="shared" si="91"/>
        <v>0</v>
      </c>
      <c r="CB69" s="329">
        <f t="shared" si="91"/>
        <v>0</v>
      </c>
      <c r="CC69" s="329">
        <f t="shared" si="91"/>
        <v>0</v>
      </c>
      <c r="CD69" s="329">
        <f t="shared" si="91"/>
        <v>0</v>
      </c>
      <c r="CE69" s="329">
        <f t="shared" si="91"/>
        <v>0</v>
      </c>
      <c r="CF69" s="329">
        <f t="shared" si="91"/>
        <v>0</v>
      </c>
      <c r="CG69" s="329">
        <f t="shared" si="91"/>
        <v>0</v>
      </c>
      <c r="CH69" s="329">
        <f t="shared" si="91"/>
        <v>0</v>
      </c>
      <c r="CI69" s="329">
        <f t="shared" si="91"/>
        <v>0</v>
      </c>
      <c r="CJ69" s="331">
        <f t="shared" si="78"/>
        <v>0</v>
      </c>
      <c r="CK69" s="330">
        <f t="shared" si="79"/>
        <v>0</v>
      </c>
      <c r="CL69" s="330">
        <f t="shared" si="80"/>
        <v>0</v>
      </c>
      <c r="CM69" s="330">
        <f t="shared" si="81"/>
        <v>0</v>
      </c>
      <c r="CN69" s="330">
        <f t="shared" si="82"/>
        <v>0</v>
      </c>
      <c r="CO69" s="330">
        <f t="shared" si="83"/>
        <v>0</v>
      </c>
      <c r="CP69" s="330">
        <f t="shared" si="84"/>
        <v>0</v>
      </c>
      <c r="CQ69" s="330">
        <f t="shared" ref="CQ69:CQ132" si="94">CC69+CD69</f>
        <v>0</v>
      </c>
      <c r="CR69" s="330">
        <f t="shared" si="85"/>
        <v>0</v>
      </c>
      <c r="CS69" s="330">
        <f t="shared" si="86"/>
        <v>0</v>
      </c>
      <c r="CT69" s="330">
        <f t="shared" si="87"/>
        <v>0</v>
      </c>
      <c r="CU69" s="330">
        <f t="shared" si="92"/>
        <v>0</v>
      </c>
      <c r="CV69" s="330">
        <f t="shared" si="92"/>
        <v>0</v>
      </c>
      <c r="CW69" s="330">
        <f t="shared" si="92"/>
        <v>0</v>
      </c>
      <c r="CX69" s="330">
        <f t="shared" si="92"/>
        <v>0</v>
      </c>
      <c r="CY69" s="330">
        <f t="shared" si="92"/>
        <v>0</v>
      </c>
      <c r="CZ69" s="330">
        <f t="shared" si="92"/>
        <v>0</v>
      </c>
      <c r="DA69" s="330">
        <f t="shared" si="92"/>
        <v>0</v>
      </c>
      <c r="DB69" s="330">
        <f t="shared" si="92"/>
        <v>0</v>
      </c>
      <c r="DC69" s="330">
        <f t="shared" si="92"/>
        <v>0</v>
      </c>
      <c r="DD69" s="330">
        <f t="shared" si="92"/>
        <v>0</v>
      </c>
      <c r="DE69" s="330">
        <f t="shared" si="93"/>
        <v>0</v>
      </c>
      <c r="DF69" s="330">
        <f t="shared" si="93"/>
        <v>0</v>
      </c>
      <c r="DG69" s="330">
        <f t="shared" si="93"/>
        <v>0</v>
      </c>
      <c r="DH69" s="330">
        <f t="shared" si="93"/>
        <v>0</v>
      </c>
      <c r="DI69" s="330">
        <f t="shared" si="93"/>
        <v>0</v>
      </c>
      <c r="DJ69" s="330">
        <f t="shared" si="93"/>
        <v>0</v>
      </c>
      <c r="DK69" s="330">
        <f t="shared" si="93"/>
        <v>0</v>
      </c>
      <c r="DL69" s="330">
        <f t="shared" si="93"/>
        <v>0</v>
      </c>
      <c r="DM69" s="330">
        <f t="shared" si="93"/>
        <v>0</v>
      </c>
      <c r="DN69" s="330">
        <f t="shared" si="93"/>
        <v>0</v>
      </c>
      <c r="DO69" s="330">
        <f t="shared" si="93"/>
        <v>0</v>
      </c>
      <c r="DP69" s="330">
        <f t="shared" si="90"/>
        <v>0</v>
      </c>
      <c r="DQ69" s="217"/>
      <c r="DR69" s="217"/>
      <c r="DS69" s="217"/>
      <c r="DT69" s="217"/>
    </row>
    <row r="70" spans="1:124" x14ac:dyDescent="0.3">
      <c r="A70" s="332"/>
      <c r="B70" s="221" t="s">
        <v>304</v>
      </c>
      <c r="C70" s="221" t="str">
        <f>IF('Simplified Material Balance'!C40=0,"",'Simplified Material Balance'!C40)</f>
        <v/>
      </c>
      <c r="D70" s="221" t="str">
        <f>IF('Simplified Material Balance'!D40=0,"",'Simplified Material Balance'!D40)</f>
        <v/>
      </c>
      <c r="E70" s="221" t="str">
        <f>IF('Simplified Material Balance'!E40=0,"",'Simplified Material Balance'!E40)</f>
        <v/>
      </c>
      <c r="F70" s="221" t="str">
        <f>IF('Simplified Material Balance'!F40=0,"",'Simplified Material Balance'!F40)</f>
        <v/>
      </c>
      <c r="G70" s="272">
        <f>IF('Simplified Material Balance'!H40&gt;'Simplified Material Balance'!G40,0,('Simplified Material Balance'!G40-'Simplified Material Balance'!H40)*Conversions!$C$4)</f>
        <v>0</v>
      </c>
      <c r="H70" s="272">
        <f>'Simplified Material Balance'!I40*Conversions!$C$4</f>
        <v>0</v>
      </c>
      <c r="I70" s="272">
        <f>('Simplified Material Balance'!J40-'Simplified Material Balance'!K40)*Conversions!$C$4</f>
        <v>0</v>
      </c>
      <c r="J70" s="325">
        <f>IF('Simplified Material Balance'!L40=0,0,'Simplified Material Balance'!L40)</f>
        <v>0</v>
      </c>
      <c r="K70" s="465"/>
      <c r="L70" s="333">
        <f>IF($F70="",0,IF($F70="Weighted Average",$G70*VLOOKUP($D70&amp;" (Install)",Lists!$C$72:$R$232,COLUMNS(Lists!$C$69:E$69),0)*VLOOKUP(BE$3,Conversions!$B$12:$E$34,4,0),$G70*VLOOKUP($F70,Lists!$C$72:$R$232,COLUMNS(Lists!$C$69:E$69),0)*VLOOKUP(BE$3,Conversions!$B$12:$E$34,4,0)))</f>
        <v>0</v>
      </c>
      <c r="M70" s="333">
        <f>IF($F70="",0,IF($F70="Weighted Average",$G70*VLOOKUP($D70&amp;" (Install)",Lists!$C$72:$R$232,COLUMNS(Lists!$C$69:F$69),0)*VLOOKUP(BF$3,Conversions!$B$12:$E$34,4,0),$G70*VLOOKUP($F70,Lists!$C$72:$R$232,COLUMNS(Lists!$C$69:F$69),0)*VLOOKUP(BF$3,Conversions!$B$12:$E$34,4,0)))</f>
        <v>0</v>
      </c>
      <c r="N70" s="333">
        <f>IF($F70="",0,IF($F70="Weighted Average",$G70*VLOOKUP($D70&amp;" (Install)",Lists!$C$72:$R$232,COLUMNS(Lists!$C$69:G$69),0)*VLOOKUP(BG$3,Conversions!$B$12:$E$34,4,0),$G70*VLOOKUP($F70,Lists!$C$72:$R$232,COLUMNS(Lists!$C$69:G$69),0)*VLOOKUP(BG$3,Conversions!$B$12:$E$34,4,0)))</f>
        <v>0</v>
      </c>
      <c r="O70" s="333">
        <f>IF($F70="",0,IF($F70="Weighted Average",$G70*VLOOKUP($D70&amp;" (Install)",Lists!$C$72:$R$232,COLUMNS(Lists!$C$69:H$69),0)*VLOOKUP(BH$3,Conversions!$B$12:$E$34,4,0),$G70*VLOOKUP($F70,Lists!$C$72:$R$232,COLUMNS(Lists!$C$69:H$69),0)*VLOOKUP(BH$3,Conversions!$B$12:$E$34,4,0)))</f>
        <v>0</v>
      </c>
      <c r="P70" s="333">
        <f>IF($F70="",0,IF($F70="Weighted Average",$G70*VLOOKUP($D70&amp;" (Install)",Lists!$C$72:$R$232,COLUMNS(Lists!$C$69:I$69),0)*VLOOKUP(BI$3,Conversions!$B$12:$E$34,4,0),$G70*VLOOKUP($F70,Lists!$C$72:$R$232,COLUMNS(Lists!$C$69:I$69),0)*VLOOKUP(BI$3,Conversions!$B$12:$E$34,4,0)))</f>
        <v>0</v>
      </c>
      <c r="Q70" s="333">
        <f>IF($F70="",0,IF($F70="Weighted Average",$G70*VLOOKUP($D70&amp;" (Install)",Lists!$C$72:$R$232,COLUMNS(Lists!$C$69:J$69),0)*VLOOKUP(BJ$3,Conversions!$B$12:$E$34,4,0),$G70*VLOOKUP($F70,Lists!$C$72:$R$232,COLUMNS(Lists!$C$69:J$69),0)*VLOOKUP(BJ$3,Conversions!$B$12:$E$34,4,0)))</f>
        <v>0</v>
      </c>
      <c r="R70" s="333">
        <f>IF($F70="",0,IF($F70="Weighted Average",$G70*VLOOKUP($D70&amp;" (Install)",Lists!$C$72:$R$232,COLUMNS(Lists!$C$69:K$69),0)*VLOOKUP(BK$3,Conversions!$B$12:$E$34,4,0),$G70*VLOOKUP($F70,Lists!$C$72:$R$232,COLUMNS(Lists!$C$69:K$69),0)*VLOOKUP(BK$3,Conversions!$B$12:$E$34,4,0)))</f>
        <v>0</v>
      </c>
      <c r="S70" s="333">
        <f>IF($F70="",0,IF($F70="Weighted Average",$G70*VLOOKUP($D70&amp;" (Install)",Lists!$C$72:$R$232,COLUMNS(Lists!$C$69:L$69),0)*VLOOKUP(BL$3,Conversions!$B$12:$E$34,4,0),$G70*VLOOKUP($F70,Lists!$C$72:$R$232,COLUMNS(Lists!$C$69:L$69),0)*VLOOKUP(BL$3,Conversions!$B$12:$E$34,4,0)))</f>
        <v>0</v>
      </c>
      <c r="T70" s="333">
        <f>IF($F70="",0,IF($F70="Weighted Average",$G70*VLOOKUP($D70&amp;" (Install)",Lists!$C$72:$R$232,COLUMNS(Lists!$C$69:M$69),0)*VLOOKUP(BM$3,Conversions!$B$12:$E$34,4,0),$G70*VLOOKUP($F70,Lists!$C$72:$R$232,COLUMNS(Lists!$C$69:M$69),0)*VLOOKUP(BM$3,Conversions!$B$12:$E$34,4,0)))</f>
        <v>0</v>
      </c>
      <c r="U70" s="333">
        <f>IF($F70="",0,IF($F70="Weighted Average",$G70*VLOOKUP($D70&amp;" (Install)",Lists!$C$72:$R$232,COLUMNS(Lists!$C$69:N$69),0)*VLOOKUP(BN$3,Conversions!$B$12:$E$34,4,0),$G70*VLOOKUP($F70,Lists!$C$72:$R$232,COLUMNS(Lists!$C$69:N$69),0)*VLOOKUP(BN$3,Conversions!$B$12:$E$34,4,0)))</f>
        <v>0</v>
      </c>
      <c r="V70" s="333">
        <f>IF($F70="",0,IF($F70="Weighted Average",$G70*VLOOKUP($D70&amp;" (Install)",Lists!$C$72:$R$232,COLUMNS(Lists!$C$69:O$69),0)*VLOOKUP(BO$3,Conversions!$B$12:$E$34,4,0),$G70*VLOOKUP($F70,Lists!$C$72:$R$232,COLUMNS(Lists!$C$69:O$69),0)*VLOOKUP(BO$3,Conversions!$B$12:$E$34,4,0)))</f>
        <v>0</v>
      </c>
      <c r="W70" s="333">
        <f>IF($F70="",0,IF($F70="Weighted Average",$G70*VLOOKUP($D70&amp;" (Install)",Lists!$C$72:$R$232,COLUMNS(Lists!$C$69:P$69),0)*VLOOKUP(BP$3,Conversions!$B$12:$E$34,4,0),$G70*VLOOKUP($F70,Lists!$C$72:$R$232,COLUMNS(Lists!$C$69:P$69),0)*VLOOKUP(BP$3,Conversions!$B$12:$E$34,4,0)))</f>
        <v>0</v>
      </c>
      <c r="X70" s="333">
        <f>IF($F70="",0,IF($F70="Weighted Average",$G70*VLOOKUP($D70&amp;" (Install)",Lists!$C$72:$R$232,COLUMNS(Lists!$C$69:Q$69),0)*VLOOKUP(BQ$3,Conversions!$B$12:$E$34,4,0),$G70*VLOOKUP($F70,Lists!$C$72:$R$232,COLUMNS(Lists!$C$69:Q$69),0)*VLOOKUP(BQ$3,Conversions!$B$12:$E$34,4,0)))</f>
        <v>0</v>
      </c>
      <c r="Y70" s="333">
        <f>IF($F70="",0,IF($F70="Weighted Average",$G70*VLOOKUP($D70&amp;" (Install)",Lists!$C$72:$R$232,COLUMNS(Lists!$C$69:R$69),0)*VLOOKUP(BR$3,Conversions!$B$12:$E$34,4,0),$G70*VLOOKUP($F70,Lists!$C$72:$R$232,COLUMNS(Lists!$C$69:R$69),0)*VLOOKUP(BR$3,Conversions!$B$12:$E$34,4,0)))</f>
        <v>0</v>
      </c>
      <c r="Z70" s="325">
        <f t="shared" si="59"/>
        <v>0</v>
      </c>
      <c r="AA70" s="334">
        <f>IF($F70="",0,IF($F70="Weighted Average",$H70*VLOOKUP($D70&amp;" (Operation)",Lists!$C$72:$R$232,COLUMNS(Lists!$C$69:E$69),0)*VLOOKUP(BE$3,Conversions!$B$12:$E$34,4,0),$H70*VLOOKUP($F70,Lists!$C$72:$R$232,COLUMNS(Lists!$C$69:E$69),0)*VLOOKUP(BE$3,Conversions!$B$12:$E$34,4,0)))</f>
        <v>0</v>
      </c>
      <c r="AB70" s="334">
        <f>IF($F70="",0,IF($F70="Weighted Average",$H70*VLOOKUP($D70&amp;" (Operation)",Lists!$C$72:$R$232,COLUMNS(Lists!$C$69:F$69),0)*VLOOKUP(BF$3,Conversions!$B$12:$E$34,4,0),$H70*VLOOKUP($F70,Lists!$C$72:$R$232,COLUMNS(Lists!$C$69:F$69),0)*VLOOKUP(BF$3,Conversions!$B$12:$E$34,4,0)))</f>
        <v>0</v>
      </c>
      <c r="AC70" s="334">
        <f>IF($F70="",0,IF($F70="Weighted Average",$H70*VLOOKUP($D70&amp;" (Operation)",Lists!$C$72:$R$232,COLUMNS(Lists!$C$69:G$69),0)*VLOOKUP(BG$3,Conversions!$B$12:$E$34,4,0),$H70*VLOOKUP($F70,Lists!$C$72:$R$232,COLUMNS(Lists!$C$69:G$69),0)*VLOOKUP(BG$3,Conversions!$B$12:$E$34,4,0)))</f>
        <v>0</v>
      </c>
      <c r="AD70" s="334">
        <f>IF($F70="",0,IF($F70="Weighted Average",$H70*VLOOKUP($D70&amp;" (Operation)",Lists!$C$72:$R$232,COLUMNS(Lists!$C$69:H$69),0)*VLOOKUP(BH$3,Conversions!$B$12:$E$34,4,0),$H70*VLOOKUP($F70,Lists!$C$72:$R$232,COLUMNS(Lists!$C$69:H$69),0)*VLOOKUP(BH$3,Conversions!$B$12:$E$34,4,0)))</f>
        <v>0</v>
      </c>
      <c r="AE70" s="334">
        <f>IF($F70="",0,IF($F70="Weighted Average",$H70*VLOOKUP($D70&amp;" (Operation)",Lists!$C$72:$R$232,COLUMNS(Lists!$C$69:I$69),0)*VLOOKUP(BI$3,Conversions!$B$12:$E$34,4,0),$H70*VLOOKUP($F70,Lists!$C$72:$R$232,COLUMNS(Lists!$C$69:I$69),0)*VLOOKUP(BI$3,Conversions!$B$12:$E$34,4,0)))</f>
        <v>0</v>
      </c>
      <c r="AF70" s="334">
        <f>IF($F70="",0,IF($F70="Weighted Average",$H70*VLOOKUP($D70&amp;" (Operation)",Lists!$C$72:$R$232,COLUMNS(Lists!$C$69:J$69),0)*VLOOKUP(BJ$3,Conversions!$B$12:$E$34,4,0),$H70*VLOOKUP($F70,Lists!$C$72:$R$232,COLUMNS(Lists!$C$69:J$69),0)*VLOOKUP(BJ$3,Conversions!$B$12:$E$34,4,0)))</f>
        <v>0</v>
      </c>
      <c r="AG70" s="334">
        <f>IF($F70="",0,IF($F70="Weighted Average",$H70*VLOOKUP($D70&amp;" (Operation)",Lists!$C$72:$R$232,COLUMNS(Lists!$C$69:K$69),0)*VLOOKUP(BK$3,Conversions!$B$12:$E$34,4,0),$H70*VLOOKUP($F70,Lists!$C$72:$R$232,COLUMNS(Lists!$C$69:K$69),0)*VLOOKUP(BK$3,Conversions!$B$12:$E$34,4,0)))</f>
        <v>0</v>
      </c>
      <c r="AH70" s="334">
        <f>IF($F70="",0,IF($F70="Weighted Average",$H70*VLOOKUP($D70&amp;" (Operation)",Lists!$C$72:$R$232,COLUMNS(Lists!$C$69:L$69),0)*VLOOKUP(BL$3,Conversions!$B$12:$E$34,4,0),$H70*VLOOKUP($F70,Lists!$C$72:$R$232,COLUMNS(Lists!$C$69:L$69),0)*VLOOKUP(BL$3,Conversions!$B$12:$E$34,4,0)))</f>
        <v>0</v>
      </c>
      <c r="AI70" s="334">
        <f>IF($F70="",0,IF($F70="Weighted Average",$H70*VLOOKUP($D70&amp;" (Operation)",Lists!$C$72:$R$232,COLUMNS(Lists!$C$69:M$69),0)*VLOOKUP(BM$3,Conversions!$B$12:$E$34,4,0),$H70*VLOOKUP($F70,Lists!$C$72:$R$232,COLUMNS(Lists!$C$69:M$69),0)*VLOOKUP(BM$3,Conversions!$B$12:$E$34,4,0)))</f>
        <v>0</v>
      </c>
      <c r="AJ70" s="334">
        <f>IF($F70="",0,IF($F70="Weighted Average",$H70*VLOOKUP($D70&amp;" (Operation)",Lists!$C$72:$R$232,COLUMNS(Lists!$C$69:N$69),0)*VLOOKUP(BN$3,Conversions!$B$12:$E$34,4,0),$H70*VLOOKUP($F70,Lists!$C$72:$R$232,COLUMNS(Lists!$C$69:N$69),0)*VLOOKUP(BN$3,Conversions!$B$12:$E$34,4,0)))</f>
        <v>0</v>
      </c>
      <c r="AK70" s="334">
        <f>IF($F70="",0,IF($F70="Weighted Average",$H70*VLOOKUP($D70&amp;" (Operation)",Lists!$C$72:$R$232,COLUMNS(Lists!$C$69:O$69),0)*VLOOKUP(BO$3,Conversions!$B$12:$E$34,4,0),$H70*VLOOKUP($F70,Lists!$C$72:$R$232,COLUMNS(Lists!$C$69:O$69),0)*VLOOKUP(BO$3,Conversions!$B$12:$E$34,4,0)))</f>
        <v>0</v>
      </c>
      <c r="AL70" s="334">
        <f>IF($F70="",0,IF($F70="Weighted Average",$H70*VLOOKUP($D70&amp;" (Operation)",Lists!$C$72:$R$232,COLUMNS(Lists!$C$69:P$69),0)*VLOOKUP(BP$3,Conversions!$B$12:$E$34,4,0),$H70*VLOOKUP($F70,Lists!$C$72:$R$232,COLUMNS(Lists!$C$69:P$69),0)*VLOOKUP(BP$3,Conversions!$B$12:$E$34,4,0)))</f>
        <v>0</v>
      </c>
      <c r="AM70" s="334">
        <f>IF($F70="",0,IF($F70="Weighted Average",$H70*VLOOKUP($D70&amp;" (Operation)",Lists!$C$72:$R$232,COLUMNS(Lists!$C$69:Q$69),0)*VLOOKUP(BQ$3,Conversions!$B$12:$E$34,4,0),$H70*VLOOKUP($F70,Lists!$C$72:$R$232,COLUMNS(Lists!$C$69:Q$69),0)*VLOOKUP(BQ$3,Conversions!$B$12:$E$34,4,0)))</f>
        <v>0</v>
      </c>
      <c r="AN70" s="334">
        <f>IF($F70="",0,IF($F70="Weighted Average",$H70*VLOOKUP($D70&amp;" (Operation)",Lists!$C$72:$R$232,COLUMNS(Lists!$C$69:R$69),0)*VLOOKUP(BR$3,Conversions!$B$12:$E$34,4,0),$H70*VLOOKUP($F70,Lists!$C$72:$R$232,COLUMNS(Lists!$C$69:R$69),0)*VLOOKUP(BR$3,Conversions!$B$12:$E$34,4,0)))</f>
        <v>0</v>
      </c>
      <c r="AO70" s="330">
        <f t="shared" si="60"/>
        <v>0</v>
      </c>
      <c r="AP70" s="333">
        <f>IF($F70="",0,IF($F70="Weighted Average",$I70*VLOOKUP($D70&amp;" (Disposal)",Lists!$C$72:$R$232,COLUMNS(Lists!$C$69:E$69),0)*VLOOKUP(BE$3,Conversions!$B$12:$E$34,4,0),$I70*VLOOKUP($F70,Lists!$C$72:$R$232,COLUMNS(Lists!$C$69:E$69),0)*VLOOKUP(BE$3,Conversions!$B$12:$E$34,4,0)))</f>
        <v>0</v>
      </c>
      <c r="AQ70" s="333">
        <f>IF($F70="",0,IF($F70="Weighted Average",$I70*VLOOKUP($D70&amp;" (Disposal)",Lists!$C$72:$R$232,COLUMNS(Lists!$C$69:F$69),0)*VLOOKUP(BF$3,Conversions!$B$12:$E$34,4,0),$I70*VLOOKUP($F70,Lists!$C$72:$R$232,COLUMNS(Lists!$C$69:F$69),0)*VLOOKUP(BF$3,Conversions!$B$12:$E$34,4,0)))</f>
        <v>0</v>
      </c>
      <c r="AR70" s="333">
        <f>IF($F70="",0,IF($F70="Weighted Average",$I70*VLOOKUP($D70&amp;" (Disposal)",Lists!$C$72:$R$232,COLUMNS(Lists!$C$69:G$69),0)*VLOOKUP(BG$3,Conversions!$B$12:$E$34,4,0),$I70*VLOOKUP($F70,Lists!$C$72:$R$232,COLUMNS(Lists!$C$69:G$69),0)*VLOOKUP(BG$3,Conversions!$B$12:$E$34,4,0)))</f>
        <v>0</v>
      </c>
      <c r="AS70" s="333">
        <f>IF($F70="",0,IF($F70="Weighted Average",$I70*VLOOKUP($D70&amp;" (Disposal)",Lists!$C$72:$R$232,COLUMNS(Lists!$C$69:H$69),0)*VLOOKUP(BH$3,Conversions!$B$12:$E$34,4,0),$I70*VLOOKUP($F70,Lists!$C$72:$R$232,COLUMNS(Lists!$C$69:H$69),0)*VLOOKUP(BH$3,Conversions!$B$12:$E$34,4,0)))</f>
        <v>0</v>
      </c>
      <c r="AT70" s="333">
        <f>IF($F70="",0,IF($F70="Weighted Average",$I70*VLOOKUP($D70&amp;" (Disposal)",Lists!$C$72:$R$232,COLUMNS(Lists!$C$69:I$69),0)*VLOOKUP(BI$3,Conversions!$B$12:$E$34,4,0),$I70*VLOOKUP($F70,Lists!$C$72:$R$232,COLUMNS(Lists!$C$69:I$69),0)*VLOOKUP(BI$3,Conversions!$B$12:$E$34,4,0)))</f>
        <v>0</v>
      </c>
      <c r="AU70" s="333">
        <f>IF($F70="",0,IF($F70="Weighted Average",$I70*VLOOKUP($D70&amp;" (Disposal)",Lists!$C$72:$R$232,COLUMNS(Lists!$C$69:J$69),0)*VLOOKUP(BJ$3,Conversions!$B$12:$E$34,4,0),$I70*VLOOKUP($F70,Lists!$C$72:$R$232,COLUMNS(Lists!$C$69:J$69),0)*VLOOKUP(BJ$3,Conversions!$B$12:$E$34,4,0)))</f>
        <v>0</v>
      </c>
      <c r="AV70" s="333">
        <f>IF($F70="",0,IF($F70="Weighted Average",$I70*VLOOKUP($D70&amp;" (Disposal)",Lists!$C$72:$R$232,COLUMNS(Lists!$C$69:K$69),0)*VLOOKUP(BK$3,Conversions!$B$12:$E$34,4,0),$I70*VLOOKUP($F70,Lists!$C$72:$R$232,COLUMNS(Lists!$C$69:K$69),0)*VLOOKUP(BK$3,Conversions!$B$12:$E$34,4,0)))</f>
        <v>0</v>
      </c>
      <c r="AW70" s="333">
        <f>IF($F70="",0,IF($F70="Weighted Average",$I70*VLOOKUP($D70&amp;" (Disposal)",Lists!$C$72:$R$232,COLUMNS(Lists!$C$69:L$69),0)*VLOOKUP(BL$3,Conversions!$B$12:$E$34,4,0),$I70*VLOOKUP($F70,Lists!$C$72:$R$232,COLUMNS(Lists!$C$69:L$69),0)*VLOOKUP(BL$3,Conversions!$B$12:$E$34,4,0)))</f>
        <v>0</v>
      </c>
      <c r="AX70" s="333">
        <f>IF($F70="",0,IF($F70="Weighted Average",$I70*VLOOKUP($D70&amp;" (Disposal)",Lists!$C$72:$R$232,COLUMNS(Lists!$C$69:M$69),0)*VLOOKUP(BM$3,Conversions!$B$12:$E$34,4,0),$I70*VLOOKUP($F70,Lists!$C$72:$R$232,COLUMNS(Lists!$C$69:M$69),0)*VLOOKUP(BM$3,Conversions!$B$12:$E$34,4,0)))</f>
        <v>0</v>
      </c>
      <c r="AY70" s="333">
        <f>IF($F70="",0,IF($F70="Weighted Average",$I70*VLOOKUP($D70&amp;" (Disposal)",Lists!$C$72:$R$232,COLUMNS(Lists!$C$69:N$69),0)*VLOOKUP(BN$3,Conversions!$B$12:$E$34,4,0),$I70*VLOOKUP($F70,Lists!$C$72:$R$232,COLUMNS(Lists!$C$69:N$69),0)*VLOOKUP(BN$3,Conversions!$B$12:$E$34,4,0)))</f>
        <v>0</v>
      </c>
      <c r="AZ70" s="333">
        <f>IF($F70="",0,IF($F70="Weighted Average",$I70*VLOOKUP($D70&amp;" (Disposal)",Lists!$C$72:$R$232,COLUMNS(Lists!$C$69:O$69),0)*VLOOKUP(BO$3,Conversions!$B$12:$E$34,4,0),$I70*VLOOKUP($F70,Lists!$C$72:$R$232,COLUMNS(Lists!$C$69:O$69),0)*VLOOKUP(BO$3,Conversions!$B$12:$E$34,4,0)))</f>
        <v>0</v>
      </c>
      <c r="BA70" s="333">
        <f>IF($F70="",0,IF($F70="Weighted Average",$I70*VLOOKUP($D70&amp;" (Disposal)",Lists!$C$72:$R$232,COLUMNS(Lists!$C$69:P$69),0)*VLOOKUP(BP$3,Conversions!$B$12:$E$34,4,0),$I70*VLOOKUP($F70,Lists!$C$72:$R$232,COLUMNS(Lists!$C$69:P$69),0)*VLOOKUP(BP$3,Conversions!$B$12:$E$34,4,0)))</f>
        <v>0</v>
      </c>
      <c r="BB70" s="333">
        <f>IF($F70="",0,IF($F70="Weighted Average",$I70*VLOOKUP($D70&amp;" (Disposal)",Lists!$C$72:$R$232,COLUMNS(Lists!$C$69:Q$69),0)*VLOOKUP(BQ$3,Conversions!$B$12:$E$34,4,0),$I70*VLOOKUP($F70,Lists!$C$72:$R$232,COLUMNS(Lists!$C$69:Q$69),0)*VLOOKUP(BQ$3,Conversions!$B$12:$E$34,4,0)))</f>
        <v>0</v>
      </c>
      <c r="BC70" s="333">
        <f>IF($F70="",0,IF($F70="Weighted Average",$I70*VLOOKUP($D70&amp;" (Disposal)",Lists!$C$72:$R$232,COLUMNS(Lists!$C$69:R$69),0)*VLOOKUP(BR$3,Conversions!$B$12:$E$34,4,0),$I70*VLOOKUP($F70,Lists!$C$72:$R$232,COLUMNS(Lists!$C$69:R$69),0)*VLOOKUP(BR$3,Conversions!$B$12:$E$34,4,0)))</f>
        <v>0</v>
      </c>
      <c r="BD70" s="333">
        <f t="shared" si="61"/>
        <v>0</v>
      </c>
      <c r="BE70" s="330">
        <f t="shared" si="62"/>
        <v>0</v>
      </c>
      <c r="BF70" s="330">
        <f t="shared" si="63"/>
        <v>0</v>
      </c>
      <c r="BG70" s="330">
        <f t="shared" si="64"/>
        <v>0</v>
      </c>
      <c r="BH70" s="330">
        <f t="shared" si="65"/>
        <v>0</v>
      </c>
      <c r="BI70" s="330">
        <f t="shared" si="66"/>
        <v>0</v>
      </c>
      <c r="BJ70" s="330">
        <f t="shared" si="67"/>
        <v>0</v>
      </c>
      <c r="BK70" s="330">
        <f t="shared" si="68"/>
        <v>0</v>
      </c>
      <c r="BL70" s="330">
        <f t="shared" si="69"/>
        <v>0</v>
      </c>
      <c r="BM70" s="330">
        <f t="shared" si="70"/>
        <v>0</v>
      </c>
      <c r="BN70" s="330">
        <f t="shared" si="71"/>
        <v>0</v>
      </c>
      <c r="BO70" s="330">
        <f t="shared" si="72"/>
        <v>0</v>
      </c>
      <c r="BP70" s="330">
        <f t="shared" si="73"/>
        <v>0</v>
      </c>
      <c r="BQ70" s="330">
        <f t="shared" si="74"/>
        <v>0</v>
      </c>
      <c r="BR70" s="330">
        <f t="shared" si="75"/>
        <v>0</v>
      </c>
      <c r="BS70" s="330">
        <f t="shared" si="76"/>
        <v>0</v>
      </c>
      <c r="BT70" s="329">
        <f t="shared" si="91"/>
        <v>0</v>
      </c>
      <c r="BU70" s="329">
        <f t="shared" si="91"/>
        <v>0</v>
      </c>
      <c r="BV70" s="329">
        <f t="shared" si="91"/>
        <v>0</v>
      </c>
      <c r="BW70" s="329">
        <f t="shared" si="91"/>
        <v>0</v>
      </c>
      <c r="BX70" s="329">
        <f t="shared" si="91"/>
        <v>0</v>
      </c>
      <c r="BY70" s="329">
        <f t="shared" si="91"/>
        <v>0</v>
      </c>
      <c r="BZ70" s="329">
        <f t="shared" si="91"/>
        <v>0</v>
      </c>
      <c r="CA70" s="329">
        <f t="shared" si="91"/>
        <v>0</v>
      </c>
      <c r="CB70" s="329">
        <f t="shared" si="91"/>
        <v>0</v>
      </c>
      <c r="CC70" s="329">
        <f t="shared" si="91"/>
        <v>0</v>
      </c>
      <c r="CD70" s="329">
        <f t="shared" si="91"/>
        <v>0</v>
      </c>
      <c r="CE70" s="329">
        <f t="shared" si="91"/>
        <v>0</v>
      </c>
      <c r="CF70" s="329">
        <f t="shared" si="91"/>
        <v>0</v>
      </c>
      <c r="CG70" s="329">
        <f t="shared" si="91"/>
        <v>0</v>
      </c>
      <c r="CH70" s="329">
        <f t="shared" si="91"/>
        <v>0</v>
      </c>
      <c r="CI70" s="329">
        <f t="shared" si="91"/>
        <v>0</v>
      </c>
      <c r="CJ70" s="331">
        <f t="shared" si="78"/>
        <v>0</v>
      </c>
      <c r="CK70" s="330">
        <f t="shared" si="79"/>
        <v>0</v>
      </c>
      <c r="CL70" s="330">
        <f t="shared" si="80"/>
        <v>0</v>
      </c>
      <c r="CM70" s="330">
        <f t="shared" si="81"/>
        <v>0</v>
      </c>
      <c r="CN70" s="330">
        <f t="shared" si="82"/>
        <v>0</v>
      </c>
      <c r="CO70" s="330">
        <f t="shared" si="83"/>
        <v>0</v>
      </c>
      <c r="CP70" s="330">
        <f t="shared" si="84"/>
        <v>0</v>
      </c>
      <c r="CQ70" s="330">
        <f t="shared" si="94"/>
        <v>0</v>
      </c>
      <c r="CR70" s="330">
        <f t="shared" si="85"/>
        <v>0</v>
      </c>
      <c r="CS70" s="330">
        <f t="shared" si="86"/>
        <v>0</v>
      </c>
      <c r="CT70" s="330">
        <f t="shared" si="87"/>
        <v>0</v>
      </c>
      <c r="CU70" s="330">
        <f t="shared" si="92"/>
        <v>0</v>
      </c>
      <c r="CV70" s="330">
        <f t="shared" si="92"/>
        <v>0</v>
      </c>
      <c r="CW70" s="330">
        <f t="shared" si="92"/>
        <v>0</v>
      </c>
      <c r="CX70" s="330">
        <f t="shared" si="92"/>
        <v>0</v>
      </c>
      <c r="CY70" s="330">
        <f t="shared" si="92"/>
        <v>0</v>
      </c>
      <c r="CZ70" s="330">
        <f t="shared" si="92"/>
        <v>0</v>
      </c>
      <c r="DA70" s="330">
        <f t="shared" si="92"/>
        <v>0</v>
      </c>
      <c r="DB70" s="330">
        <f t="shared" si="92"/>
        <v>0</v>
      </c>
      <c r="DC70" s="330">
        <f t="shared" si="92"/>
        <v>0</v>
      </c>
      <c r="DD70" s="330">
        <f t="shared" si="92"/>
        <v>0</v>
      </c>
      <c r="DE70" s="330">
        <f t="shared" si="93"/>
        <v>0</v>
      </c>
      <c r="DF70" s="330">
        <f t="shared" si="93"/>
        <v>0</v>
      </c>
      <c r="DG70" s="330">
        <f t="shared" si="93"/>
        <v>0</v>
      </c>
      <c r="DH70" s="330">
        <f t="shared" si="93"/>
        <v>0</v>
      </c>
      <c r="DI70" s="330">
        <f t="shared" si="93"/>
        <v>0</v>
      </c>
      <c r="DJ70" s="330">
        <f t="shared" si="93"/>
        <v>0</v>
      </c>
      <c r="DK70" s="330">
        <f t="shared" si="93"/>
        <v>0</v>
      </c>
      <c r="DL70" s="330">
        <f t="shared" si="93"/>
        <v>0</v>
      </c>
      <c r="DM70" s="330">
        <f t="shared" si="93"/>
        <v>0</v>
      </c>
      <c r="DN70" s="330">
        <f t="shared" si="93"/>
        <v>0</v>
      </c>
      <c r="DO70" s="330">
        <f t="shared" si="93"/>
        <v>0</v>
      </c>
      <c r="DP70" s="330">
        <f t="shared" si="90"/>
        <v>0</v>
      </c>
      <c r="DQ70" s="217"/>
      <c r="DR70" s="217"/>
      <c r="DS70" s="217"/>
      <c r="DT70" s="217"/>
    </row>
    <row r="71" spans="1:124" x14ac:dyDescent="0.3">
      <c r="A71" s="332"/>
      <c r="B71" s="221" t="s">
        <v>304</v>
      </c>
      <c r="C71" s="221" t="str">
        <f>IF('Simplified Material Balance'!C41=0,"",'Simplified Material Balance'!C41)</f>
        <v/>
      </c>
      <c r="D71" s="221" t="str">
        <f>IF('Simplified Material Balance'!D41=0,"",'Simplified Material Balance'!D41)</f>
        <v/>
      </c>
      <c r="E71" s="221" t="str">
        <f>IF('Simplified Material Balance'!E41=0,"",'Simplified Material Balance'!E41)</f>
        <v/>
      </c>
      <c r="F71" s="221" t="str">
        <f>IF('Simplified Material Balance'!F41=0,"",'Simplified Material Balance'!F41)</f>
        <v/>
      </c>
      <c r="G71" s="272">
        <f>IF('Simplified Material Balance'!H41&gt;'Simplified Material Balance'!G41,0,('Simplified Material Balance'!G41-'Simplified Material Balance'!H41)*Conversions!$C$4)</f>
        <v>0</v>
      </c>
      <c r="H71" s="272">
        <f>'Simplified Material Balance'!I41*Conversions!$C$4</f>
        <v>0</v>
      </c>
      <c r="I71" s="272">
        <f>('Simplified Material Balance'!J41-'Simplified Material Balance'!K41)*Conversions!$C$4</f>
        <v>0</v>
      </c>
      <c r="J71" s="325">
        <f>IF('Simplified Material Balance'!L41=0,0,'Simplified Material Balance'!L41)</f>
        <v>0</v>
      </c>
      <c r="K71" s="465"/>
      <c r="L71" s="333">
        <f>IF($F71="",0,IF($F71="Weighted Average",$G71*VLOOKUP($D71&amp;" (Install)",Lists!$C$72:$R$232,COLUMNS(Lists!$C$69:E$69),0)*VLOOKUP(BE$3,Conversions!$B$12:$E$34,4,0),$G71*VLOOKUP($F71,Lists!$C$72:$R$232,COLUMNS(Lists!$C$69:E$69),0)*VLOOKUP(BE$3,Conversions!$B$12:$E$34,4,0)))</f>
        <v>0</v>
      </c>
      <c r="M71" s="333">
        <f>IF($F71="",0,IF($F71="Weighted Average",$G71*VLOOKUP($D71&amp;" (Install)",Lists!$C$72:$R$232,COLUMNS(Lists!$C$69:F$69),0)*VLOOKUP(BF$3,Conversions!$B$12:$E$34,4,0),$G71*VLOOKUP($F71,Lists!$C$72:$R$232,COLUMNS(Lists!$C$69:F$69),0)*VLOOKUP(BF$3,Conversions!$B$12:$E$34,4,0)))</f>
        <v>0</v>
      </c>
      <c r="N71" s="333">
        <f>IF($F71="",0,IF($F71="Weighted Average",$G71*VLOOKUP($D71&amp;" (Install)",Lists!$C$72:$R$232,COLUMNS(Lists!$C$69:G$69),0)*VLOOKUP(BG$3,Conversions!$B$12:$E$34,4,0),$G71*VLOOKUP($F71,Lists!$C$72:$R$232,COLUMNS(Lists!$C$69:G$69),0)*VLOOKUP(BG$3,Conversions!$B$12:$E$34,4,0)))</f>
        <v>0</v>
      </c>
      <c r="O71" s="333">
        <f>IF($F71="",0,IF($F71="Weighted Average",$G71*VLOOKUP($D71&amp;" (Install)",Lists!$C$72:$R$232,COLUMNS(Lists!$C$69:H$69),0)*VLOOKUP(BH$3,Conversions!$B$12:$E$34,4,0),$G71*VLOOKUP($F71,Lists!$C$72:$R$232,COLUMNS(Lists!$C$69:H$69),0)*VLOOKUP(BH$3,Conversions!$B$12:$E$34,4,0)))</f>
        <v>0</v>
      </c>
      <c r="P71" s="333">
        <f>IF($F71="",0,IF($F71="Weighted Average",$G71*VLOOKUP($D71&amp;" (Install)",Lists!$C$72:$R$232,COLUMNS(Lists!$C$69:I$69),0)*VLOOKUP(BI$3,Conversions!$B$12:$E$34,4,0),$G71*VLOOKUP($F71,Lists!$C$72:$R$232,COLUMNS(Lists!$C$69:I$69),0)*VLOOKUP(BI$3,Conversions!$B$12:$E$34,4,0)))</f>
        <v>0</v>
      </c>
      <c r="Q71" s="333">
        <f>IF($F71="",0,IF($F71="Weighted Average",$G71*VLOOKUP($D71&amp;" (Install)",Lists!$C$72:$R$232,COLUMNS(Lists!$C$69:J$69),0)*VLOOKUP(BJ$3,Conversions!$B$12:$E$34,4,0),$G71*VLOOKUP($F71,Lists!$C$72:$R$232,COLUMNS(Lists!$C$69:J$69),0)*VLOOKUP(BJ$3,Conversions!$B$12:$E$34,4,0)))</f>
        <v>0</v>
      </c>
      <c r="R71" s="333">
        <f>IF($F71="",0,IF($F71="Weighted Average",$G71*VLOOKUP($D71&amp;" (Install)",Lists!$C$72:$R$232,COLUMNS(Lists!$C$69:K$69),0)*VLOOKUP(BK$3,Conversions!$B$12:$E$34,4,0),$G71*VLOOKUP($F71,Lists!$C$72:$R$232,COLUMNS(Lists!$C$69:K$69),0)*VLOOKUP(BK$3,Conversions!$B$12:$E$34,4,0)))</f>
        <v>0</v>
      </c>
      <c r="S71" s="333">
        <f>IF($F71="",0,IF($F71="Weighted Average",$G71*VLOOKUP($D71&amp;" (Install)",Lists!$C$72:$R$232,COLUMNS(Lists!$C$69:L$69),0)*VLOOKUP(BL$3,Conversions!$B$12:$E$34,4,0),$G71*VLOOKUP($F71,Lists!$C$72:$R$232,COLUMNS(Lists!$C$69:L$69),0)*VLOOKUP(BL$3,Conversions!$B$12:$E$34,4,0)))</f>
        <v>0</v>
      </c>
      <c r="T71" s="333">
        <f>IF($F71="",0,IF($F71="Weighted Average",$G71*VLOOKUP($D71&amp;" (Install)",Lists!$C$72:$R$232,COLUMNS(Lists!$C$69:M$69),0)*VLOOKUP(BM$3,Conversions!$B$12:$E$34,4,0),$G71*VLOOKUP($F71,Lists!$C$72:$R$232,COLUMNS(Lists!$C$69:M$69),0)*VLOOKUP(BM$3,Conversions!$B$12:$E$34,4,0)))</f>
        <v>0</v>
      </c>
      <c r="U71" s="333">
        <f>IF($F71="",0,IF($F71="Weighted Average",$G71*VLOOKUP($D71&amp;" (Install)",Lists!$C$72:$R$232,COLUMNS(Lists!$C$69:N$69),0)*VLOOKUP(BN$3,Conversions!$B$12:$E$34,4,0),$G71*VLOOKUP($F71,Lists!$C$72:$R$232,COLUMNS(Lists!$C$69:N$69),0)*VLOOKUP(BN$3,Conversions!$B$12:$E$34,4,0)))</f>
        <v>0</v>
      </c>
      <c r="V71" s="333">
        <f>IF($F71="",0,IF($F71="Weighted Average",$G71*VLOOKUP($D71&amp;" (Install)",Lists!$C$72:$R$232,COLUMNS(Lists!$C$69:O$69),0)*VLOOKUP(BO$3,Conversions!$B$12:$E$34,4,0),$G71*VLOOKUP($F71,Lists!$C$72:$R$232,COLUMNS(Lists!$C$69:O$69),0)*VLOOKUP(BO$3,Conversions!$B$12:$E$34,4,0)))</f>
        <v>0</v>
      </c>
      <c r="W71" s="333">
        <f>IF($F71="",0,IF($F71="Weighted Average",$G71*VLOOKUP($D71&amp;" (Install)",Lists!$C$72:$R$232,COLUMNS(Lists!$C$69:P$69),0)*VLOOKUP(BP$3,Conversions!$B$12:$E$34,4,0),$G71*VLOOKUP($F71,Lists!$C$72:$R$232,COLUMNS(Lists!$C$69:P$69),0)*VLOOKUP(BP$3,Conversions!$B$12:$E$34,4,0)))</f>
        <v>0</v>
      </c>
      <c r="X71" s="333">
        <f>IF($F71="",0,IF($F71="Weighted Average",$G71*VLOOKUP($D71&amp;" (Install)",Lists!$C$72:$R$232,COLUMNS(Lists!$C$69:Q$69),0)*VLOOKUP(BQ$3,Conversions!$B$12:$E$34,4,0),$G71*VLOOKUP($F71,Lists!$C$72:$R$232,COLUMNS(Lists!$C$69:Q$69),0)*VLOOKUP(BQ$3,Conversions!$B$12:$E$34,4,0)))</f>
        <v>0</v>
      </c>
      <c r="Y71" s="333">
        <f>IF($F71="",0,IF($F71="Weighted Average",$G71*VLOOKUP($D71&amp;" (Install)",Lists!$C$72:$R$232,COLUMNS(Lists!$C$69:R$69),0)*VLOOKUP(BR$3,Conversions!$B$12:$E$34,4,0),$G71*VLOOKUP($F71,Lists!$C$72:$R$232,COLUMNS(Lists!$C$69:R$69),0)*VLOOKUP(BR$3,Conversions!$B$12:$E$34,4,0)))</f>
        <v>0</v>
      </c>
      <c r="Z71" s="325">
        <f t="shared" si="59"/>
        <v>0</v>
      </c>
      <c r="AA71" s="334">
        <f>IF($F71="",0,IF($F71="Weighted Average",$H71*VLOOKUP($D71&amp;" (Operation)",Lists!$C$72:$R$232,COLUMNS(Lists!$C$69:E$69),0)*VLOOKUP(BE$3,Conversions!$B$12:$E$34,4,0),$H71*VLOOKUP($F71,Lists!$C$72:$R$232,COLUMNS(Lists!$C$69:E$69),0)*VLOOKUP(BE$3,Conversions!$B$12:$E$34,4,0)))</f>
        <v>0</v>
      </c>
      <c r="AB71" s="334">
        <f>IF($F71="",0,IF($F71="Weighted Average",$H71*VLOOKUP($D71&amp;" (Operation)",Lists!$C$72:$R$232,COLUMNS(Lists!$C$69:F$69),0)*VLOOKUP(BF$3,Conversions!$B$12:$E$34,4,0),$H71*VLOOKUP($F71,Lists!$C$72:$R$232,COLUMNS(Lists!$C$69:F$69),0)*VLOOKUP(BF$3,Conversions!$B$12:$E$34,4,0)))</f>
        <v>0</v>
      </c>
      <c r="AC71" s="334">
        <f>IF($F71="",0,IF($F71="Weighted Average",$H71*VLOOKUP($D71&amp;" (Operation)",Lists!$C$72:$R$232,COLUMNS(Lists!$C$69:G$69),0)*VLOOKUP(BG$3,Conversions!$B$12:$E$34,4,0),$H71*VLOOKUP($F71,Lists!$C$72:$R$232,COLUMNS(Lists!$C$69:G$69),0)*VLOOKUP(BG$3,Conversions!$B$12:$E$34,4,0)))</f>
        <v>0</v>
      </c>
      <c r="AD71" s="334">
        <f>IF($F71="",0,IF($F71="Weighted Average",$H71*VLOOKUP($D71&amp;" (Operation)",Lists!$C$72:$R$232,COLUMNS(Lists!$C$69:H$69),0)*VLOOKUP(BH$3,Conversions!$B$12:$E$34,4,0),$H71*VLOOKUP($F71,Lists!$C$72:$R$232,COLUMNS(Lists!$C$69:H$69),0)*VLOOKUP(BH$3,Conversions!$B$12:$E$34,4,0)))</f>
        <v>0</v>
      </c>
      <c r="AE71" s="334">
        <f>IF($F71="",0,IF($F71="Weighted Average",$H71*VLOOKUP($D71&amp;" (Operation)",Lists!$C$72:$R$232,COLUMNS(Lists!$C$69:I$69),0)*VLOOKUP(BI$3,Conversions!$B$12:$E$34,4,0),$H71*VLOOKUP($F71,Lists!$C$72:$R$232,COLUMNS(Lists!$C$69:I$69),0)*VLOOKUP(BI$3,Conversions!$B$12:$E$34,4,0)))</f>
        <v>0</v>
      </c>
      <c r="AF71" s="334">
        <f>IF($F71="",0,IF($F71="Weighted Average",$H71*VLOOKUP($D71&amp;" (Operation)",Lists!$C$72:$R$232,COLUMNS(Lists!$C$69:J$69),0)*VLOOKUP(BJ$3,Conversions!$B$12:$E$34,4,0),$H71*VLOOKUP($F71,Lists!$C$72:$R$232,COLUMNS(Lists!$C$69:J$69),0)*VLOOKUP(BJ$3,Conversions!$B$12:$E$34,4,0)))</f>
        <v>0</v>
      </c>
      <c r="AG71" s="334">
        <f>IF($F71="",0,IF($F71="Weighted Average",$H71*VLOOKUP($D71&amp;" (Operation)",Lists!$C$72:$R$232,COLUMNS(Lists!$C$69:K$69),0)*VLOOKUP(BK$3,Conversions!$B$12:$E$34,4,0),$H71*VLOOKUP($F71,Lists!$C$72:$R$232,COLUMNS(Lists!$C$69:K$69),0)*VLOOKUP(BK$3,Conversions!$B$12:$E$34,4,0)))</f>
        <v>0</v>
      </c>
      <c r="AH71" s="334">
        <f>IF($F71="",0,IF($F71="Weighted Average",$H71*VLOOKUP($D71&amp;" (Operation)",Lists!$C$72:$R$232,COLUMNS(Lists!$C$69:L$69),0)*VLOOKUP(BL$3,Conversions!$B$12:$E$34,4,0),$H71*VLOOKUP($F71,Lists!$C$72:$R$232,COLUMNS(Lists!$C$69:L$69),0)*VLOOKUP(BL$3,Conversions!$B$12:$E$34,4,0)))</f>
        <v>0</v>
      </c>
      <c r="AI71" s="334">
        <f>IF($F71="",0,IF($F71="Weighted Average",$H71*VLOOKUP($D71&amp;" (Operation)",Lists!$C$72:$R$232,COLUMNS(Lists!$C$69:M$69),0)*VLOOKUP(BM$3,Conversions!$B$12:$E$34,4,0),$H71*VLOOKUP($F71,Lists!$C$72:$R$232,COLUMNS(Lists!$C$69:M$69),0)*VLOOKUP(BM$3,Conversions!$B$12:$E$34,4,0)))</f>
        <v>0</v>
      </c>
      <c r="AJ71" s="334">
        <f>IF($F71="",0,IF($F71="Weighted Average",$H71*VLOOKUP($D71&amp;" (Operation)",Lists!$C$72:$R$232,COLUMNS(Lists!$C$69:N$69),0)*VLOOKUP(BN$3,Conversions!$B$12:$E$34,4,0),$H71*VLOOKUP($F71,Lists!$C$72:$R$232,COLUMNS(Lists!$C$69:N$69),0)*VLOOKUP(BN$3,Conversions!$B$12:$E$34,4,0)))</f>
        <v>0</v>
      </c>
      <c r="AK71" s="334">
        <f>IF($F71="",0,IF($F71="Weighted Average",$H71*VLOOKUP($D71&amp;" (Operation)",Lists!$C$72:$R$232,COLUMNS(Lists!$C$69:O$69),0)*VLOOKUP(BO$3,Conversions!$B$12:$E$34,4,0),$H71*VLOOKUP($F71,Lists!$C$72:$R$232,COLUMNS(Lists!$C$69:O$69),0)*VLOOKUP(BO$3,Conversions!$B$12:$E$34,4,0)))</f>
        <v>0</v>
      </c>
      <c r="AL71" s="334">
        <f>IF($F71="",0,IF($F71="Weighted Average",$H71*VLOOKUP($D71&amp;" (Operation)",Lists!$C$72:$R$232,COLUMNS(Lists!$C$69:P$69),0)*VLOOKUP(BP$3,Conversions!$B$12:$E$34,4,0),$H71*VLOOKUP($F71,Lists!$C$72:$R$232,COLUMNS(Lists!$C$69:P$69),0)*VLOOKUP(BP$3,Conversions!$B$12:$E$34,4,0)))</f>
        <v>0</v>
      </c>
      <c r="AM71" s="334">
        <f>IF($F71="",0,IF($F71="Weighted Average",$H71*VLOOKUP($D71&amp;" (Operation)",Lists!$C$72:$R$232,COLUMNS(Lists!$C$69:Q$69),0)*VLOOKUP(BQ$3,Conversions!$B$12:$E$34,4,0),$H71*VLOOKUP($F71,Lists!$C$72:$R$232,COLUMNS(Lists!$C$69:Q$69),0)*VLOOKUP(BQ$3,Conversions!$B$12:$E$34,4,0)))</f>
        <v>0</v>
      </c>
      <c r="AN71" s="334">
        <f>IF($F71="",0,IF($F71="Weighted Average",$H71*VLOOKUP($D71&amp;" (Operation)",Lists!$C$72:$R$232,COLUMNS(Lists!$C$69:R$69),0)*VLOOKUP(BR$3,Conversions!$B$12:$E$34,4,0),$H71*VLOOKUP($F71,Lists!$C$72:$R$232,COLUMNS(Lists!$C$69:R$69),0)*VLOOKUP(BR$3,Conversions!$B$12:$E$34,4,0)))</f>
        <v>0</v>
      </c>
      <c r="AO71" s="330">
        <f t="shared" si="60"/>
        <v>0</v>
      </c>
      <c r="AP71" s="333">
        <f>IF($F71="",0,IF($F71="Weighted Average",$I71*VLOOKUP($D71&amp;" (Disposal)",Lists!$C$72:$R$232,COLUMNS(Lists!$C$69:E$69),0)*VLOOKUP(BE$3,Conversions!$B$12:$E$34,4,0),$I71*VLOOKUP($F71,Lists!$C$72:$R$232,COLUMNS(Lists!$C$69:E$69),0)*VLOOKUP(BE$3,Conversions!$B$12:$E$34,4,0)))</f>
        <v>0</v>
      </c>
      <c r="AQ71" s="333">
        <f>IF($F71="",0,IF($F71="Weighted Average",$I71*VLOOKUP($D71&amp;" (Disposal)",Lists!$C$72:$R$232,COLUMNS(Lists!$C$69:F$69),0)*VLOOKUP(BF$3,Conversions!$B$12:$E$34,4,0),$I71*VLOOKUP($F71,Lists!$C$72:$R$232,COLUMNS(Lists!$C$69:F$69),0)*VLOOKUP(BF$3,Conversions!$B$12:$E$34,4,0)))</f>
        <v>0</v>
      </c>
      <c r="AR71" s="333">
        <f>IF($F71="",0,IF($F71="Weighted Average",$I71*VLOOKUP($D71&amp;" (Disposal)",Lists!$C$72:$R$232,COLUMNS(Lists!$C$69:G$69),0)*VLOOKUP(BG$3,Conversions!$B$12:$E$34,4,0),$I71*VLOOKUP($F71,Lists!$C$72:$R$232,COLUMNS(Lists!$C$69:G$69),0)*VLOOKUP(BG$3,Conversions!$B$12:$E$34,4,0)))</f>
        <v>0</v>
      </c>
      <c r="AS71" s="333">
        <f>IF($F71="",0,IF($F71="Weighted Average",$I71*VLOOKUP($D71&amp;" (Disposal)",Lists!$C$72:$R$232,COLUMNS(Lists!$C$69:H$69),0)*VLOOKUP(BH$3,Conversions!$B$12:$E$34,4,0),$I71*VLOOKUP($F71,Lists!$C$72:$R$232,COLUMNS(Lists!$C$69:H$69),0)*VLOOKUP(BH$3,Conversions!$B$12:$E$34,4,0)))</f>
        <v>0</v>
      </c>
      <c r="AT71" s="333">
        <f>IF($F71="",0,IF($F71="Weighted Average",$I71*VLOOKUP($D71&amp;" (Disposal)",Lists!$C$72:$R$232,COLUMNS(Lists!$C$69:I$69),0)*VLOOKUP(BI$3,Conversions!$B$12:$E$34,4,0),$I71*VLOOKUP($F71,Lists!$C$72:$R$232,COLUMNS(Lists!$C$69:I$69),0)*VLOOKUP(BI$3,Conversions!$B$12:$E$34,4,0)))</f>
        <v>0</v>
      </c>
      <c r="AU71" s="333">
        <f>IF($F71="",0,IF($F71="Weighted Average",$I71*VLOOKUP($D71&amp;" (Disposal)",Lists!$C$72:$R$232,COLUMNS(Lists!$C$69:J$69),0)*VLOOKUP(BJ$3,Conversions!$B$12:$E$34,4,0),$I71*VLOOKUP($F71,Lists!$C$72:$R$232,COLUMNS(Lists!$C$69:J$69),0)*VLOOKUP(BJ$3,Conversions!$B$12:$E$34,4,0)))</f>
        <v>0</v>
      </c>
      <c r="AV71" s="333">
        <f>IF($F71="",0,IF($F71="Weighted Average",$I71*VLOOKUP($D71&amp;" (Disposal)",Lists!$C$72:$R$232,COLUMNS(Lists!$C$69:K$69),0)*VLOOKUP(BK$3,Conversions!$B$12:$E$34,4,0),$I71*VLOOKUP($F71,Lists!$C$72:$R$232,COLUMNS(Lists!$C$69:K$69),0)*VLOOKUP(BK$3,Conversions!$B$12:$E$34,4,0)))</f>
        <v>0</v>
      </c>
      <c r="AW71" s="333">
        <f>IF($F71="",0,IF($F71="Weighted Average",$I71*VLOOKUP($D71&amp;" (Disposal)",Lists!$C$72:$R$232,COLUMNS(Lists!$C$69:L$69),0)*VLOOKUP(BL$3,Conversions!$B$12:$E$34,4,0),$I71*VLOOKUP($F71,Lists!$C$72:$R$232,COLUMNS(Lists!$C$69:L$69),0)*VLOOKUP(BL$3,Conversions!$B$12:$E$34,4,0)))</f>
        <v>0</v>
      </c>
      <c r="AX71" s="333">
        <f>IF($F71="",0,IF($F71="Weighted Average",$I71*VLOOKUP($D71&amp;" (Disposal)",Lists!$C$72:$R$232,COLUMNS(Lists!$C$69:M$69),0)*VLOOKUP(BM$3,Conversions!$B$12:$E$34,4,0),$I71*VLOOKUP($F71,Lists!$C$72:$R$232,COLUMNS(Lists!$C$69:M$69),0)*VLOOKUP(BM$3,Conversions!$B$12:$E$34,4,0)))</f>
        <v>0</v>
      </c>
      <c r="AY71" s="333">
        <f>IF($F71="",0,IF($F71="Weighted Average",$I71*VLOOKUP($D71&amp;" (Disposal)",Lists!$C$72:$R$232,COLUMNS(Lists!$C$69:N$69),0)*VLOOKUP(BN$3,Conversions!$B$12:$E$34,4,0),$I71*VLOOKUP($F71,Lists!$C$72:$R$232,COLUMNS(Lists!$C$69:N$69),0)*VLOOKUP(BN$3,Conversions!$B$12:$E$34,4,0)))</f>
        <v>0</v>
      </c>
      <c r="AZ71" s="333">
        <f>IF($F71="",0,IF($F71="Weighted Average",$I71*VLOOKUP($D71&amp;" (Disposal)",Lists!$C$72:$R$232,COLUMNS(Lists!$C$69:O$69),0)*VLOOKUP(BO$3,Conversions!$B$12:$E$34,4,0),$I71*VLOOKUP($F71,Lists!$C$72:$R$232,COLUMNS(Lists!$C$69:O$69),0)*VLOOKUP(BO$3,Conversions!$B$12:$E$34,4,0)))</f>
        <v>0</v>
      </c>
      <c r="BA71" s="333">
        <f>IF($F71="",0,IF($F71="Weighted Average",$I71*VLOOKUP($D71&amp;" (Disposal)",Lists!$C$72:$R$232,COLUMNS(Lists!$C$69:P$69),0)*VLOOKUP(BP$3,Conversions!$B$12:$E$34,4,0),$I71*VLOOKUP($F71,Lists!$C$72:$R$232,COLUMNS(Lists!$C$69:P$69),0)*VLOOKUP(BP$3,Conversions!$B$12:$E$34,4,0)))</f>
        <v>0</v>
      </c>
      <c r="BB71" s="333">
        <f>IF($F71="",0,IF($F71="Weighted Average",$I71*VLOOKUP($D71&amp;" (Disposal)",Lists!$C$72:$R$232,COLUMNS(Lists!$C$69:Q$69),0)*VLOOKUP(BQ$3,Conversions!$B$12:$E$34,4,0),$I71*VLOOKUP($F71,Lists!$C$72:$R$232,COLUMNS(Lists!$C$69:Q$69),0)*VLOOKUP(BQ$3,Conversions!$B$12:$E$34,4,0)))</f>
        <v>0</v>
      </c>
      <c r="BC71" s="333">
        <f>IF($F71="",0,IF($F71="Weighted Average",$I71*VLOOKUP($D71&amp;" (Disposal)",Lists!$C$72:$R$232,COLUMNS(Lists!$C$69:R$69),0)*VLOOKUP(BR$3,Conversions!$B$12:$E$34,4,0),$I71*VLOOKUP($F71,Lists!$C$72:$R$232,COLUMNS(Lists!$C$69:R$69),0)*VLOOKUP(BR$3,Conversions!$B$12:$E$34,4,0)))</f>
        <v>0</v>
      </c>
      <c r="BD71" s="333">
        <f t="shared" si="61"/>
        <v>0</v>
      </c>
      <c r="BE71" s="330">
        <f t="shared" si="62"/>
        <v>0</v>
      </c>
      <c r="BF71" s="330">
        <f t="shared" si="63"/>
        <v>0</v>
      </c>
      <c r="BG71" s="330">
        <f t="shared" si="64"/>
        <v>0</v>
      </c>
      <c r="BH71" s="330">
        <f t="shared" si="65"/>
        <v>0</v>
      </c>
      <c r="BI71" s="330">
        <f t="shared" si="66"/>
        <v>0</v>
      </c>
      <c r="BJ71" s="330">
        <f t="shared" si="67"/>
        <v>0</v>
      </c>
      <c r="BK71" s="330">
        <f t="shared" si="68"/>
        <v>0</v>
      </c>
      <c r="BL71" s="330">
        <f t="shared" si="69"/>
        <v>0</v>
      </c>
      <c r="BM71" s="330">
        <f t="shared" si="70"/>
        <v>0</v>
      </c>
      <c r="BN71" s="330">
        <f t="shared" si="71"/>
        <v>0</v>
      </c>
      <c r="BO71" s="330">
        <f t="shared" si="72"/>
        <v>0</v>
      </c>
      <c r="BP71" s="330">
        <f t="shared" si="73"/>
        <v>0</v>
      </c>
      <c r="BQ71" s="330">
        <f t="shared" si="74"/>
        <v>0</v>
      </c>
      <c r="BR71" s="330">
        <f t="shared" si="75"/>
        <v>0</v>
      </c>
      <c r="BS71" s="330">
        <f t="shared" si="76"/>
        <v>0</v>
      </c>
      <c r="BT71" s="329">
        <f t="shared" si="91"/>
        <v>0</v>
      </c>
      <c r="BU71" s="329">
        <f t="shared" si="91"/>
        <v>0</v>
      </c>
      <c r="BV71" s="329">
        <f t="shared" si="91"/>
        <v>0</v>
      </c>
      <c r="BW71" s="329">
        <f t="shared" si="91"/>
        <v>0</v>
      </c>
      <c r="BX71" s="329">
        <f t="shared" si="91"/>
        <v>0</v>
      </c>
      <c r="BY71" s="329">
        <f t="shared" si="91"/>
        <v>0</v>
      </c>
      <c r="BZ71" s="329">
        <f t="shared" si="91"/>
        <v>0</v>
      </c>
      <c r="CA71" s="329">
        <f t="shared" si="91"/>
        <v>0</v>
      </c>
      <c r="CB71" s="329">
        <f t="shared" si="91"/>
        <v>0</v>
      </c>
      <c r="CC71" s="329">
        <f t="shared" si="91"/>
        <v>0</v>
      </c>
      <c r="CD71" s="329">
        <f t="shared" si="91"/>
        <v>0</v>
      </c>
      <c r="CE71" s="329">
        <f t="shared" si="91"/>
        <v>0</v>
      </c>
      <c r="CF71" s="329">
        <f t="shared" si="91"/>
        <v>0</v>
      </c>
      <c r="CG71" s="329">
        <f t="shared" si="91"/>
        <v>0</v>
      </c>
      <c r="CH71" s="329">
        <f t="shared" si="91"/>
        <v>0</v>
      </c>
      <c r="CI71" s="329">
        <f t="shared" si="91"/>
        <v>0</v>
      </c>
      <c r="CJ71" s="331">
        <f t="shared" si="78"/>
        <v>0</v>
      </c>
      <c r="CK71" s="330">
        <f t="shared" si="79"/>
        <v>0</v>
      </c>
      <c r="CL71" s="330">
        <f t="shared" si="80"/>
        <v>0</v>
      </c>
      <c r="CM71" s="330">
        <f t="shared" si="81"/>
        <v>0</v>
      </c>
      <c r="CN71" s="330">
        <f t="shared" si="82"/>
        <v>0</v>
      </c>
      <c r="CO71" s="330">
        <f t="shared" si="83"/>
        <v>0</v>
      </c>
      <c r="CP71" s="330">
        <f t="shared" si="84"/>
        <v>0</v>
      </c>
      <c r="CQ71" s="330">
        <f t="shared" si="94"/>
        <v>0</v>
      </c>
      <c r="CR71" s="330">
        <f t="shared" si="85"/>
        <v>0</v>
      </c>
      <c r="CS71" s="330">
        <f t="shared" si="86"/>
        <v>0</v>
      </c>
      <c r="CT71" s="330">
        <f t="shared" si="87"/>
        <v>0</v>
      </c>
      <c r="CU71" s="330">
        <f t="shared" si="92"/>
        <v>0</v>
      </c>
      <c r="CV71" s="330">
        <f t="shared" si="92"/>
        <v>0</v>
      </c>
      <c r="CW71" s="330">
        <f t="shared" si="92"/>
        <v>0</v>
      </c>
      <c r="CX71" s="330">
        <f t="shared" si="92"/>
        <v>0</v>
      </c>
      <c r="CY71" s="330">
        <f t="shared" si="92"/>
        <v>0</v>
      </c>
      <c r="CZ71" s="330">
        <f t="shared" si="92"/>
        <v>0</v>
      </c>
      <c r="DA71" s="330">
        <f t="shared" si="92"/>
        <v>0</v>
      </c>
      <c r="DB71" s="330">
        <f t="shared" si="92"/>
        <v>0</v>
      </c>
      <c r="DC71" s="330">
        <f t="shared" si="92"/>
        <v>0</v>
      </c>
      <c r="DD71" s="330">
        <f t="shared" si="92"/>
        <v>0</v>
      </c>
      <c r="DE71" s="330">
        <f t="shared" si="93"/>
        <v>0</v>
      </c>
      <c r="DF71" s="330">
        <f t="shared" si="93"/>
        <v>0</v>
      </c>
      <c r="DG71" s="330">
        <f t="shared" si="93"/>
        <v>0</v>
      </c>
      <c r="DH71" s="330">
        <f t="shared" si="93"/>
        <v>0</v>
      </c>
      <c r="DI71" s="330">
        <f t="shared" si="93"/>
        <v>0</v>
      </c>
      <c r="DJ71" s="330">
        <f t="shared" si="93"/>
        <v>0</v>
      </c>
      <c r="DK71" s="330">
        <f t="shared" si="93"/>
        <v>0</v>
      </c>
      <c r="DL71" s="330">
        <f t="shared" si="93"/>
        <v>0</v>
      </c>
      <c r="DM71" s="330">
        <f t="shared" si="93"/>
        <v>0</v>
      </c>
      <c r="DN71" s="330">
        <f t="shared" si="93"/>
        <v>0</v>
      </c>
      <c r="DO71" s="330">
        <f t="shared" si="93"/>
        <v>0</v>
      </c>
      <c r="DP71" s="330">
        <f t="shared" si="90"/>
        <v>0</v>
      </c>
      <c r="DQ71" s="217"/>
      <c r="DR71" s="217"/>
      <c r="DS71" s="217"/>
      <c r="DT71" s="217"/>
    </row>
    <row r="72" spans="1:124" x14ac:dyDescent="0.3">
      <c r="A72" s="332"/>
      <c r="B72" s="221" t="s">
        <v>304</v>
      </c>
      <c r="C72" s="221" t="str">
        <f>IF('Simplified Material Balance'!C42=0,"",'Simplified Material Balance'!C42)</f>
        <v/>
      </c>
      <c r="D72" s="221" t="str">
        <f>IF('Simplified Material Balance'!D42=0,"",'Simplified Material Balance'!D42)</f>
        <v/>
      </c>
      <c r="E72" s="221" t="str">
        <f>IF('Simplified Material Balance'!E42=0,"",'Simplified Material Balance'!E42)</f>
        <v/>
      </c>
      <c r="F72" s="221" t="str">
        <f>IF('Simplified Material Balance'!F42=0,"",'Simplified Material Balance'!F42)</f>
        <v/>
      </c>
      <c r="G72" s="272">
        <f>IF('Simplified Material Balance'!H42&gt;'Simplified Material Balance'!G42,0,('Simplified Material Balance'!G42-'Simplified Material Balance'!H42)*Conversions!$C$4)</f>
        <v>0</v>
      </c>
      <c r="H72" s="272">
        <f>'Simplified Material Balance'!I42*Conversions!$C$4</f>
        <v>0</v>
      </c>
      <c r="I72" s="272">
        <f>('Simplified Material Balance'!J42-'Simplified Material Balance'!K42)*Conversions!$C$4</f>
        <v>0</v>
      </c>
      <c r="J72" s="325">
        <f>IF('Simplified Material Balance'!L42=0,0,'Simplified Material Balance'!L42)</f>
        <v>0</v>
      </c>
      <c r="K72" s="465"/>
      <c r="L72" s="333">
        <f>IF($F72="",0,IF($F72="Weighted Average",$G72*VLOOKUP($D72&amp;" (Install)",Lists!$C$72:$R$232,COLUMNS(Lists!$C$69:E$69),0)*VLOOKUP(BE$3,Conversions!$B$12:$E$34,4,0),$G72*VLOOKUP($F72,Lists!$C$72:$R$232,COLUMNS(Lists!$C$69:E$69),0)*VLOOKUP(BE$3,Conversions!$B$12:$E$34,4,0)))</f>
        <v>0</v>
      </c>
      <c r="M72" s="333">
        <f>IF($F72="",0,IF($F72="Weighted Average",$G72*VLOOKUP($D72&amp;" (Install)",Lists!$C$72:$R$232,COLUMNS(Lists!$C$69:F$69),0)*VLOOKUP(BF$3,Conversions!$B$12:$E$34,4,0),$G72*VLOOKUP($F72,Lists!$C$72:$R$232,COLUMNS(Lists!$C$69:F$69),0)*VLOOKUP(BF$3,Conversions!$B$12:$E$34,4,0)))</f>
        <v>0</v>
      </c>
      <c r="N72" s="333">
        <f>IF($F72="",0,IF($F72="Weighted Average",$G72*VLOOKUP($D72&amp;" (Install)",Lists!$C$72:$R$232,COLUMNS(Lists!$C$69:G$69),0)*VLOOKUP(BG$3,Conversions!$B$12:$E$34,4,0),$G72*VLOOKUP($F72,Lists!$C$72:$R$232,COLUMNS(Lists!$C$69:G$69),0)*VLOOKUP(BG$3,Conversions!$B$12:$E$34,4,0)))</f>
        <v>0</v>
      </c>
      <c r="O72" s="333">
        <f>IF($F72="",0,IF($F72="Weighted Average",$G72*VLOOKUP($D72&amp;" (Install)",Lists!$C$72:$R$232,COLUMNS(Lists!$C$69:H$69),0)*VLOOKUP(BH$3,Conversions!$B$12:$E$34,4,0),$G72*VLOOKUP($F72,Lists!$C$72:$R$232,COLUMNS(Lists!$C$69:H$69),0)*VLOOKUP(BH$3,Conversions!$B$12:$E$34,4,0)))</f>
        <v>0</v>
      </c>
      <c r="P72" s="333">
        <f>IF($F72="",0,IF($F72="Weighted Average",$G72*VLOOKUP($D72&amp;" (Install)",Lists!$C$72:$R$232,COLUMNS(Lists!$C$69:I$69),0)*VLOOKUP(BI$3,Conversions!$B$12:$E$34,4,0),$G72*VLOOKUP($F72,Lists!$C$72:$R$232,COLUMNS(Lists!$C$69:I$69),0)*VLOOKUP(BI$3,Conversions!$B$12:$E$34,4,0)))</f>
        <v>0</v>
      </c>
      <c r="Q72" s="333">
        <f>IF($F72="",0,IF($F72="Weighted Average",$G72*VLOOKUP($D72&amp;" (Install)",Lists!$C$72:$R$232,COLUMNS(Lists!$C$69:J$69),0)*VLOOKUP(BJ$3,Conversions!$B$12:$E$34,4,0),$G72*VLOOKUP($F72,Lists!$C$72:$R$232,COLUMNS(Lists!$C$69:J$69),0)*VLOOKUP(BJ$3,Conversions!$B$12:$E$34,4,0)))</f>
        <v>0</v>
      </c>
      <c r="R72" s="333">
        <f>IF($F72="",0,IF($F72="Weighted Average",$G72*VLOOKUP($D72&amp;" (Install)",Lists!$C$72:$R$232,COLUMNS(Lists!$C$69:K$69),0)*VLOOKUP(BK$3,Conversions!$B$12:$E$34,4,0),$G72*VLOOKUP($F72,Lists!$C$72:$R$232,COLUMNS(Lists!$C$69:K$69),0)*VLOOKUP(BK$3,Conversions!$B$12:$E$34,4,0)))</f>
        <v>0</v>
      </c>
      <c r="S72" s="333">
        <f>IF($F72="",0,IF($F72="Weighted Average",$G72*VLOOKUP($D72&amp;" (Install)",Lists!$C$72:$R$232,COLUMNS(Lists!$C$69:L$69),0)*VLOOKUP(BL$3,Conversions!$B$12:$E$34,4,0),$G72*VLOOKUP($F72,Lists!$C$72:$R$232,COLUMNS(Lists!$C$69:L$69),0)*VLOOKUP(BL$3,Conversions!$B$12:$E$34,4,0)))</f>
        <v>0</v>
      </c>
      <c r="T72" s="333">
        <f>IF($F72="",0,IF($F72="Weighted Average",$G72*VLOOKUP($D72&amp;" (Install)",Lists!$C$72:$R$232,COLUMNS(Lists!$C$69:M$69),0)*VLOOKUP(BM$3,Conversions!$B$12:$E$34,4,0),$G72*VLOOKUP($F72,Lists!$C$72:$R$232,COLUMNS(Lists!$C$69:M$69),0)*VLOOKUP(BM$3,Conversions!$B$12:$E$34,4,0)))</f>
        <v>0</v>
      </c>
      <c r="U72" s="333">
        <f>IF($F72="",0,IF($F72="Weighted Average",$G72*VLOOKUP($D72&amp;" (Install)",Lists!$C$72:$R$232,COLUMNS(Lists!$C$69:N$69),0)*VLOOKUP(BN$3,Conversions!$B$12:$E$34,4,0),$G72*VLOOKUP($F72,Lists!$C$72:$R$232,COLUMNS(Lists!$C$69:N$69),0)*VLOOKUP(BN$3,Conversions!$B$12:$E$34,4,0)))</f>
        <v>0</v>
      </c>
      <c r="V72" s="333">
        <f>IF($F72="",0,IF($F72="Weighted Average",$G72*VLOOKUP($D72&amp;" (Install)",Lists!$C$72:$R$232,COLUMNS(Lists!$C$69:O$69),0)*VLOOKUP(BO$3,Conversions!$B$12:$E$34,4,0),$G72*VLOOKUP($F72,Lists!$C$72:$R$232,COLUMNS(Lists!$C$69:O$69),0)*VLOOKUP(BO$3,Conversions!$B$12:$E$34,4,0)))</f>
        <v>0</v>
      </c>
      <c r="W72" s="333">
        <f>IF($F72="",0,IF($F72="Weighted Average",$G72*VLOOKUP($D72&amp;" (Install)",Lists!$C$72:$R$232,COLUMNS(Lists!$C$69:P$69),0)*VLOOKUP(BP$3,Conversions!$B$12:$E$34,4,0),$G72*VLOOKUP($F72,Lists!$C$72:$R$232,COLUMNS(Lists!$C$69:P$69),0)*VLOOKUP(BP$3,Conversions!$B$12:$E$34,4,0)))</f>
        <v>0</v>
      </c>
      <c r="X72" s="333">
        <f>IF($F72="",0,IF($F72="Weighted Average",$G72*VLOOKUP($D72&amp;" (Install)",Lists!$C$72:$R$232,COLUMNS(Lists!$C$69:Q$69),0)*VLOOKUP(BQ$3,Conversions!$B$12:$E$34,4,0),$G72*VLOOKUP($F72,Lists!$C$72:$R$232,COLUMNS(Lists!$C$69:Q$69),0)*VLOOKUP(BQ$3,Conversions!$B$12:$E$34,4,0)))</f>
        <v>0</v>
      </c>
      <c r="Y72" s="333">
        <f>IF($F72="",0,IF($F72="Weighted Average",$G72*VLOOKUP($D72&amp;" (Install)",Lists!$C$72:$R$232,COLUMNS(Lists!$C$69:R$69),0)*VLOOKUP(BR$3,Conversions!$B$12:$E$34,4,0),$G72*VLOOKUP($F72,Lists!$C$72:$R$232,COLUMNS(Lists!$C$69:R$69),0)*VLOOKUP(BR$3,Conversions!$B$12:$E$34,4,0)))</f>
        <v>0</v>
      </c>
      <c r="Z72" s="325">
        <f t="shared" si="59"/>
        <v>0</v>
      </c>
      <c r="AA72" s="334">
        <f>IF($F72="",0,IF($F72="Weighted Average",$H72*VLOOKUP($D72&amp;" (Operation)",Lists!$C$72:$R$232,COLUMNS(Lists!$C$69:E$69),0)*VLOOKUP(BE$3,Conversions!$B$12:$E$34,4,0),$H72*VLOOKUP($F72,Lists!$C$72:$R$232,COLUMNS(Lists!$C$69:E$69),0)*VLOOKUP(BE$3,Conversions!$B$12:$E$34,4,0)))</f>
        <v>0</v>
      </c>
      <c r="AB72" s="334">
        <f>IF($F72="",0,IF($F72="Weighted Average",$H72*VLOOKUP($D72&amp;" (Operation)",Lists!$C$72:$R$232,COLUMNS(Lists!$C$69:F$69),0)*VLOOKUP(BF$3,Conversions!$B$12:$E$34,4,0),$H72*VLOOKUP($F72,Lists!$C$72:$R$232,COLUMNS(Lists!$C$69:F$69),0)*VLOOKUP(BF$3,Conversions!$B$12:$E$34,4,0)))</f>
        <v>0</v>
      </c>
      <c r="AC72" s="334">
        <f>IF($F72="",0,IF($F72="Weighted Average",$H72*VLOOKUP($D72&amp;" (Operation)",Lists!$C$72:$R$232,COLUMNS(Lists!$C$69:G$69),0)*VLOOKUP(BG$3,Conversions!$B$12:$E$34,4,0),$H72*VLOOKUP($F72,Lists!$C$72:$R$232,COLUMNS(Lists!$C$69:G$69),0)*VLOOKUP(BG$3,Conversions!$B$12:$E$34,4,0)))</f>
        <v>0</v>
      </c>
      <c r="AD72" s="334">
        <f>IF($F72="",0,IF($F72="Weighted Average",$H72*VLOOKUP($D72&amp;" (Operation)",Lists!$C$72:$R$232,COLUMNS(Lists!$C$69:H$69),0)*VLOOKUP(BH$3,Conversions!$B$12:$E$34,4,0),$H72*VLOOKUP($F72,Lists!$C$72:$R$232,COLUMNS(Lists!$C$69:H$69),0)*VLOOKUP(BH$3,Conversions!$B$12:$E$34,4,0)))</f>
        <v>0</v>
      </c>
      <c r="AE72" s="334">
        <f>IF($F72="",0,IF($F72="Weighted Average",$H72*VLOOKUP($D72&amp;" (Operation)",Lists!$C$72:$R$232,COLUMNS(Lists!$C$69:I$69),0)*VLOOKUP(BI$3,Conversions!$B$12:$E$34,4,0),$H72*VLOOKUP($F72,Lists!$C$72:$R$232,COLUMNS(Lists!$C$69:I$69),0)*VLOOKUP(BI$3,Conversions!$B$12:$E$34,4,0)))</f>
        <v>0</v>
      </c>
      <c r="AF72" s="334">
        <f>IF($F72="",0,IF($F72="Weighted Average",$H72*VLOOKUP($D72&amp;" (Operation)",Lists!$C$72:$R$232,COLUMNS(Lists!$C$69:J$69),0)*VLOOKUP(BJ$3,Conversions!$B$12:$E$34,4,0),$H72*VLOOKUP($F72,Lists!$C$72:$R$232,COLUMNS(Lists!$C$69:J$69),0)*VLOOKUP(BJ$3,Conversions!$B$12:$E$34,4,0)))</f>
        <v>0</v>
      </c>
      <c r="AG72" s="334">
        <f>IF($F72="",0,IF($F72="Weighted Average",$H72*VLOOKUP($D72&amp;" (Operation)",Lists!$C$72:$R$232,COLUMNS(Lists!$C$69:K$69),0)*VLOOKUP(BK$3,Conversions!$B$12:$E$34,4,0),$H72*VLOOKUP($F72,Lists!$C$72:$R$232,COLUMNS(Lists!$C$69:K$69),0)*VLOOKUP(BK$3,Conversions!$B$12:$E$34,4,0)))</f>
        <v>0</v>
      </c>
      <c r="AH72" s="334">
        <f>IF($F72="",0,IF($F72="Weighted Average",$H72*VLOOKUP($D72&amp;" (Operation)",Lists!$C$72:$R$232,COLUMNS(Lists!$C$69:L$69),0)*VLOOKUP(BL$3,Conversions!$B$12:$E$34,4,0),$H72*VLOOKUP($F72,Lists!$C$72:$R$232,COLUMNS(Lists!$C$69:L$69),0)*VLOOKUP(BL$3,Conversions!$B$12:$E$34,4,0)))</f>
        <v>0</v>
      </c>
      <c r="AI72" s="334">
        <f>IF($F72="",0,IF($F72="Weighted Average",$H72*VLOOKUP($D72&amp;" (Operation)",Lists!$C$72:$R$232,COLUMNS(Lists!$C$69:M$69),0)*VLOOKUP(BM$3,Conversions!$B$12:$E$34,4,0),$H72*VLOOKUP($F72,Lists!$C$72:$R$232,COLUMNS(Lists!$C$69:M$69),0)*VLOOKUP(BM$3,Conversions!$B$12:$E$34,4,0)))</f>
        <v>0</v>
      </c>
      <c r="AJ72" s="334">
        <f>IF($F72="",0,IF($F72="Weighted Average",$H72*VLOOKUP($D72&amp;" (Operation)",Lists!$C$72:$R$232,COLUMNS(Lists!$C$69:N$69),0)*VLOOKUP(BN$3,Conversions!$B$12:$E$34,4,0),$H72*VLOOKUP($F72,Lists!$C$72:$R$232,COLUMNS(Lists!$C$69:N$69),0)*VLOOKUP(BN$3,Conversions!$B$12:$E$34,4,0)))</f>
        <v>0</v>
      </c>
      <c r="AK72" s="334">
        <f>IF($F72="",0,IF($F72="Weighted Average",$H72*VLOOKUP($D72&amp;" (Operation)",Lists!$C$72:$R$232,COLUMNS(Lists!$C$69:O$69),0)*VLOOKUP(BO$3,Conversions!$B$12:$E$34,4,0),$H72*VLOOKUP($F72,Lists!$C$72:$R$232,COLUMNS(Lists!$C$69:O$69),0)*VLOOKUP(BO$3,Conversions!$B$12:$E$34,4,0)))</f>
        <v>0</v>
      </c>
      <c r="AL72" s="334">
        <f>IF($F72="",0,IF($F72="Weighted Average",$H72*VLOOKUP($D72&amp;" (Operation)",Lists!$C$72:$R$232,COLUMNS(Lists!$C$69:P$69),0)*VLOOKUP(BP$3,Conversions!$B$12:$E$34,4,0),$H72*VLOOKUP($F72,Lists!$C$72:$R$232,COLUMNS(Lists!$C$69:P$69),0)*VLOOKUP(BP$3,Conversions!$B$12:$E$34,4,0)))</f>
        <v>0</v>
      </c>
      <c r="AM72" s="334">
        <f>IF($F72="",0,IF($F72="Weighted Average",$H72*VLOOKUP($D72&amp;" (Operation)",Lists!$C$72:$R$232,COLUMNS(Lists!$C$69:Q$69),0)*VLOOKUP(BQ$3,Conversions!$B$12:$E$34,4,0),$H72*VLOOKUP($F72,Lists!$C$72:$R$232,COLUMNS(Lists!$C$69:Q$69),0)*VLOOKUP(BQ$3,Conversions!$B$12:$E$34,4,0)))</f>
        <v>0</v>
      </c>
      <c r="AN72" s="334">
        <f>IF($F72="",0,IF($F72="Weighted Average",$H72*VLOOKUP($D72&amp;" (Operation)",Lists!$C$72:$R$232,COLUMNS(Lists!$C$69:R$69),0)*VLOOKUP(BR$3,Conversions!$B$12:$E$34,4,0),$H72*VLOOKUP($F72,Lists!$C$72:$R$232,COLUMNS(Lists!$C$69:R$69),0)*VLOOKUP(BR$3,Conversions!$B$12:$E$34,4,0)))</f>
        <v>0</v>
      </c>
      <c r="AO72" s="330">
        <f t="shared" si="60"/>
        <v>0</v>
      </c>
      <c r="AP72" s="333">
        <f>IF($F72="",0,IF($F72="Weighted Average",$I72*VLOOKUP($D72&amp;" (Disposal)",Lists!$C$72:$R$232,COLUMNS(Lists!$C$69:E$69),0)*VLOOKUP(BE$3,Conversions!$B$12:$E$34,4,0),$I72*VLOOKUP($F72,Lists!$C$72:$R$232,COLUMNS(Lists!$C$69:E$69),0)*VLOOKUP(BE$3,Conversions!$B$12:$E$34,4,0)))</f>
        <v>0</v>
      </c>
      <c r="AQ72" s="333">
        <f>IF($F72="",0,IF($F72="Weighted Average",$I72*VLOOKUP($D72&amp;" (Disposal)",Lists!$C$72:$R$232,COLUMNS(Lists!$C$69:F$69),0)*VLOOKUP(BF$3,Conversions!$B$12:$E$34,4,0),$I72*VLOOKUP($F72,Lists!$C$72:$R$232,COLUMNS(Lists!$C$69:F$69),0)*VLOOKUP(BF$3,Conversions!$B$12:$E$34,4,0)))</f>
        <v>0</v>
      </c>
      <c r="AR72" s="333">
        <f>IF($F72="",0,IF($F72="Weighted Average",$I72*VLOOKUP($D72&amp;" (Disposal)",Lists!$C$72:$R$232,COLUMNS(Lists!$C$69:G$69),0)*VLOOKUP(BG$3,Conversions!$B$12:$E$34,4,0),$I72*VLOOKUP($F72,Lists!$C$72:$R$232,COLUMNS(Lists!$C$69:G$69),0)*VLOOKUP(BG$3,Conversions!$B$12:$E$34,4,0)))</f>
        <v>0</v>
      </c>
      <c r="AS72" s="333">
        <f>IF($F72="",0,IF($F72="Weighted Average",$I72*VLOOKUP($D72&amp;" (Disposal)",Lists!$C$72:$R$232,COLUMNS(Lists!$C$69:H$69),0)*VLOOKUP(BH$3,Conversions!$B$12:$E$34,4,0),$I72*VLOOKUP($F72,Lists!$C$72:$R$232,COLUMNS(Lists!$C$69:H$69),0)*VLOOKUP(BH$3,Conversions!$B$12:$E$34,4,0)))</f>
        <v>0</v>
      </c>
      <c r="AT72" s="333">
        <f>IF($F72="",0,IF($F72="Weighted Average",$I72*VLOOKUP($D72&amp;" (Disposal)",Lists!$C$72:$R$232,COLUMNS(Lists!$C$69:I$69),0)*VLOOKUP(BI$3,Conversions!$B$12:$E$34,4,0),$I72*VLOOKUP($F72,Lists!$C$72:$R$232,COLUMNS(Lists!$C$69:I$69),0)*VLOOKUP(BI$3,Conversions!$B$12:$E$34,4,0)))</f>
        <v>0</v>
      </c>
      <c r="AU72" s="333">
        <f>IF($F72="",0,IF($F72="Weighted Average",$I72*VLOOKUP($D72&amp;" (Disposal)",Lists!$C$72:$R$232,COLUMNS(Lists!$C$69:J$69),0)*VLOOKUP(BJ$3,Conversions!$B$12:$E$34,4,0),$I72*VLOOKUP($F72,Lists!$C$72:$R$232,COLUMNS(Lists!$C$69:J$69),0)*VLOOKUP(BJ$3,Conversions!$B$12:$E$34,4,0)))</f>
        <v>0</v>
      </c>
      <c r="AV72" s="333">
        <f>IF($F72="",0,IF($F72="Weighted Average",$I72*VLOOKUP($D72&amp;" (Disposal)",Lists!$C$72:$R$232,COLUMNS(Lists!$C$69:K$69),0)*VLOOKUP(BK$3,Conversions!$B$12:$E$34,4,0),$I72*VLOOKUP($F72,Lists!$C$72:$R$232,COLUMNS(Lists!$C$69:K$69),0)*VLOOKUP(BK$3,Conversions!$B$12:$E$34,4,0)))</f>
        <v>0</v>
      </c>
      <c r="AW72" s="333">
        <f>IF($F72="",0,IF($F72="Weighted Average",$I72*VLOOKUP($D72&amp;" (Disposal)",Lists!$C$72:$R$232,COLUMNS(Lists!$C$69:L$69),0)*VLOOKUP(BL$3,Conversions!$B$12:$E$34,4,0),$I72*VLOOKUP($F72,Lists!$C$72:$R$232,COLUMNS(Lists!$C$69:L$69),0)*VLOOKUP(BL$3,Conversions!$B$12:$E$34,4,0)))</f>
        <v>0</v>
      </c>
      <c r="AX72" s="333">
        <f>IF($F72="",0,IF($F72="Weighted Average",$I72*VLOOKUP($D72&amp;" (Disposal)",Lists!$C$72:$R$232,COLUMNS(Lists!$C$69:M$69),0)*VLOOKUP(BM$3,Conversions!$B$12:$E$34,4,0),$I72*VLOOKUP($F72,Lists!$C$72:$R$232,COLUMNS(Lists!$C$69:M$69),0)*VLOOKUP(BM$3,Conversions!$B$12:$E$34,4,0)))</f>
        <v>0</v>
      </c>
      <c r="AY72" s="333">
        <f>IF($F72="",0,IF($F72="Weighted Average",$I72*VLOOKUP($D72&amp;" (Disposal)",Lists!$C$72:$R$232,COLUMNS(Lists!$C$69:N$69),0)*VLOOKUP(BN$3,Conversions!$B$12:$E$34,4,0),$I72*VLOOKUP($F72,Lists!$C$72:$R$232,COLUMNS(Lists!$C$69:N$69),0)*VLOOKUP(BN$3,Conversions!$B$12:$E$34,4,0)))</f>
        <v>0</v>
      </c>
      <c r="AZ72" s="333">
        <f>IF($F72="",0,IF($F72="Weighted Average",$I72*VLOOKUP($D72&amp;" (Disposal)",Lists!$C$72:$R$232,COLUMNS(Lists!$C$69:O$69),0)*VLOOKUP(BO$3,Conversions!$B$12:$E$34,4,0),$I72*VLOOKUP($F72,Lists!$C$72:$R$232,COLUMNS(Lists!$C$69:O$69),0)*VLOOKUP(BO$3,Conversions!$B$12:$E$34,4,0)))</f>
        <v>0</v>
      </c>
      <c r="BA72" s="333">
        <f>IF($F72="",0,IF($F72="Weighted Average",$I72*VLOOKUP($D72&amp;" (Disposal)",Lists!$C$72:$R$232,COLUMNS(Lists!$C$69:P$69),0)*VLOOKUP(BP$3,Conversions!$B$12:$E$34,4,0),$I72*VLOOKUP($F72,Lists!$C$72:$R$232,COLUMNS(Lists!$C$69:P$69),0)*VLOOKUP(BP$3,Conversions!$B$12:$E$34,4,0)))</f>
        <v>0</v>
      </c>
      <c r="BB72" s="333">
        <f>IF($F72="",0,IF($F72="Weighted Average",$I72*VLOOKUP($D72&amp;" (Disposal)",Lists!$C$72:$R$232,COLUMNS(Lists!$C$69:Q$69),0)*VLOOKUP(BQ$3,Conversions!$B$12:$E$34,4,0),$I72*VLOOKUP($F72,Lists!$C$72:$R$232,COLUMNS(Lists!$C$69:Q$69),0)*VLOOKUP(BQ$3,Conversions!$B$12:$E$34,4,0)))</f>
        <v>0</v>
      </c>
      <c r="BC72" s="333">
        <f>IF($F72="",0,IF($F72="Weighted Average",$I72*VLOOKUP($D72&amp;" (Disposal)",Lists!$C$72:$R$232,COLUMNS(Lists!$C$69:R$69),0)*VLOOKUP(BR$3,Conversions!$B$12:$E$34,4,0),$I72*VLOOKUP($F72,Lists!$C$72:$R$232,COLUMNS(Lists!$C$69:R$69),0)*VLOOKUP(BR$3,Conversions!$B$12:$E$34,4,0)))</f>
        <v>0</v>
      </c>
      <c r="BD72" s="333">
        <f t="shared" si="61"/>
        <v>0</v>
      </c>
      <c r="BE72" s="330">
        <f t="shared" si="62"/>
        <v>0</v>
      </c>
      <c r="BF72" s="330">
        <f t="shared" si="63"/>
        <v>0</v>
      </c>
      <c r="BG72" s="330">
        <f t="shared" si="64"/>
        <v>0</v>
      </c>
      <c r="BH72" s="330">
        <f t="shared" si="65"/>
        <v>0</v>
      </c>
      <c r="BI72" s="330">
        <f t="shared" si="66"/>
        <v>0</v>
      </c>
      <c r="BJ72" s="330">
        <f t="shared" si="67"/>
        <v>0</v>
      </c>
      <c r="BK72" s="330">
        <f t="shared" si="68"/>
        <v>0</v>
      </c>
      <c r="BL72" s="330">
        <f t="shared" si="69"/>
        <v>0</v>
      </c>
      <c r="BM72" s="330">
        <f t="shared" si="70"/>
        <v>0</v>
      </c>
      <c r="BN72" s="330">
        <f t="shared" si="71"/>
        <v>0</v>
      </c>
      <c r="BO72" s="330">
        <f t="shared" si="72"/>
        <v>0</v>
      </c>
      <c r="BP72" s="330">
        <f t="shared" si="73"/>
        <v>0</v>
      </c>
      <c r="BQ72" s="330">
        <f t="shared" si="74"/>
        <v>0</v>
      </c>
      <c r="BR72" s="330">
        <f t="shared" si="75"/>
        <v>0</v>
      </c>
      <c r="BS72" s="330">
        <f t="shared" si="76"/>
        <v>0</v>
      </c>
      <c r="BT72" s="329">
        <f t="shared" si="91"/>
        <v>0</v>
      </c>
      <c r="BU72" s="329">
        <f t="shared" si="91"/>
        <v>0</v>
      </c>
      <c r="BV72" s="329">
        <f t="shared" si="91"/>
        <v>0</v>
      </c>
      <c r="BW72" s="329">
        <f t="shared" si="91"/>
        <v>0</v>
      </c>
      <c r="BX72" s="329">
        <f t="shared" si="91"/>
        <v>0</v>
      </c>
      <c r="BY72" s="329">
        <f t="shared" si="91"/>
        <v>0</v>
      </c>
      <c r="BZ72" s="329">
        <f t="shared" si="91"/>
        <v>0</v>
      </c>
      <c r="CA72" s="329">
        <f t="shared" si="91"/>
        <v>0</v>
      </c>
      <c r="CB72" s="329">
        <f t="shared" si="91"/>
        <v>0</v>
      </c>
      <c r="CC72" s="329">
        <f t="shared" si="91"/>
        <v>0</v>
      </c>
      <c r="CD72" s="329">
        <f t="shared" si="91"/>
        <v>0</v>
      </c>
      <c r="CE72" s="329">
        <f t="shared" si="91"/>
        <v>0</v>
      </c>
      <c r="CF72" s="329">
        <f t="shared" si="91"/>
        <v>0</v>
      </c>
      <c r="CG72" s="329">
        <f t="shared" si="91"/>
        <v>0</v>
      </c>
      <c r="CH72" s="329">
        <f t="shared" si="91"/>
        <v>0</v>
      </c>
      <c r="CI72" s="329">
        <f t="shared" si="91"/>
        <v>0</v>
      </c>
      <c r="CJ72" s="331">
        <f t="shared" si="78"/>
        <v>0</v>
      </c>
      <c r="CK72" s="330">
        <f t="shared" si="79"/>
        <v>0</v>
      </c>
      <c r="CL72" s="330">
        <f t="shared" si="80"/>
        <v>0</v>
      </c>
      <c r="CM72" s="330">
        <f t="shared" si="81"/>
        <v>0</v>
      </c>
      <c r="CN72" s="330">
        <f t="shared" si="82"/>
        <v>0</v>
      </c>
      <c r="CO72" s="330">
        <f t="shared" si="83"/>
        <v>0</v>
      </c>
      <c r="CP72" s="330">
        <f t="shared" si="84"/>
        <v>0</v>
      </c>
      <c r="CQ72" s="330">
        <f t="shared" si="94"/>
        <v>0</v>
      </c>
      <c r="CR72" s="330">
        <f t="shared" si="85"/>
        <v>0</v>
      </c>
      <c r="CS72" s="330">
        <f t="shared" si="86"/>
        <v>0</v>
      </c>
      <c r="CT72" s="330">
        <f t="shared" si="87"/>
        <v>0</v>
      </c>
      <c r="CU72" s="330">
        <f t="shared" si="92"/>
        <v>0</v>
      </c>
      <c r="CV72" s="330">
        <f t="shared" si="92"/>
        <v>0</v>
      </c>
      <c r="CW72" s="330">
        <f t="shared" si="92"/>
        <v>0</v>
      </c>
      <c r="CX72" s="330">
        <f t="shared" si="92"/>
        <v>0</v>
      </c>
      <c r="CY72" s="330">
        <f t="shared" si="92"/>
        <v>0</v>
      </c>
      <c r="CZ72" s="330">
        <f t="shared" si="92"/>
        <v>0</v>
      </c>
      <c r="DA72" s="330">
        <f t="shared" si="92"/>
        <v>0</v>
      </c>
      <c r="DB72" s="330">
        <f t="shared" si="92"/>
        <v>0</v>
      </c>
      <c r="DC72" s="330">
        <f t="shared" si="92"/>
        <v>0</v>
      </c>
      <c r="DD72" s="330">
        <f t="shared" si="92"/>
        <v>0</v>
      </c>
      <c r="DE72" s="330">
        <f t="shared" si="93"/>
        <v>0</v>
      </c>
      <c r="DF72" s="330">
        <f t="shared" si="93"/>
        <v>0</v>
      </c>
      <c r="DG72" s="330">
        <f t="shared" si="93"/>
        <v>0</v>
      </c>
      <c r="DH72" s="330">
        <f t="shared" si="93"/>
        <v>0</v>
      </c>
      <c r="DI72" s="330">
        <f t="shared" si="93"/>
        <v>0</v>
      </c>
      <c r="DJ72" s="330">
        <f t="shared" si="93"/>
        <v>0</v>
      </c>
      <c r="DK72" s="330">
        <f t="shared" si="93"/>
        <v>0</v>
      </c>
      <c r="DL72" s="330">
        <f t="shared" si="93"/>
        <v>0</v>
      </c>
      <c r="DM72" s="330">
        <f t="shared" si="93"/>
        <v>0</v>
      </c>
      <c r="DN72" s="330">
        <f t="shared" si="93"/>
        <v>0</v>
      </c>
      <c r="DO72" s="330">
        <f t="shared" si="93"/>
        <v>0</v>
      </c>
      <c r="DP72" s="330">
        <f t="shared" si="90"/>
        <v>0</v>
      </c>
      <c r="DQ72" s="217"/>
      <c r="DR72" s="217"/>
      <c r="DS72" s="217"/>
      <c r="DT72" s="217"/>
    </row>
    <row r="73" spans="1:124" x14ac:dyDescent="0.3">
      <c r="A73" s="332"/>
      <c r="B73" s="221" t="s">
        <v>304</v>
      </c>
      <c r="C73" s="221" t="str">
        <f>IF('Simplified Material Balance'!C43=0,"",'Simplified Material Balance'!C43)</f>
        <v/>
      </c>
      <c r="D73" s="221" t="str">
        <f>IF('Simplified Material Balance'!D43=0,"",'Simplified Material Balance'!D43)</f>
        <v/>
      </c>
      <c r="E73" s="221" t="str">
        <f>IF('Simplified Material Balance'!E43=0,"",'Simplified Material Balance'!E43)</f>
        <v/>
      </c>
      <c r="F73" s="221" t="str">
        <f>IF('Simplified Material Balance'!F43=0,"",'Simplified Material Balance'!F43)</f>
        <v/>
      </c>
      <c r="G73" s="272">
        <f>IF('Simplified Material Balance'!H43&gt;'Simplified Material Balance'!G43,0,('Simplified Material Balance'!G43-'Simplified Material Balance'!H43)*Conversions!$C$4)</f>
        <v>0</v>
      </c>
      <c r="H73" s="272">
        <f>'Simplified Material Balance'!I43*Conversions!$C$4</f>
        <v>0</v>
      </c>
      <c r="I73" s="272">
        <f>('Simplified Material Balance'!J43-'Simplified Material Balance'!K43)*Conversions!$C$4</f>
        <v>0</v>
      </c>
      <c r="J73" s="325">
        <f>IF('Simplified Material Balance'!L43=0,0,'Simplified Material Balance'!L43)</f>
        <v>0</v>
      </c>
      <c r="K73" s="465"/>
      <c r="L73" s="333">
        <f>IF($F73="",0,IF($F73="Weighted Average",$G73*VLOOKUP($D73&amp;" (Install)",Lists!$C$72:$R$232,COLUMNS(Lists!$C$69:E$69),0)*VLOOKUP(BE$3,Conversions!$B$12:$E$34,4,0),$G73*VLOOKUP($F73,Lists!$C$72:$R$232,COLUMNS(Lists!$C$69:E$69),0)*VLOOKUP(BE$3,Conversions!$B$12:$E$34,4,0)))</f>
        <v>0</v>
      </c>
      <c r="M73" s="333">
        <f>IF($F73="",0,IF($F73="Weighted Average",$G73*VLOOKUP($D73&amp;" (Install)",Lists!$C$72:$R$232,COLUMNS(Lists!$C$69:F$69),0)*VLOOKUP(BF$3,Conversions!$B$12:$E$34,4,0),$G73*VLOOKUP($F73,Lists!$C$72:$R$232,COLUMNS(Lists!$C$69:F$69),0)*VLOOKUP(BF$3,Conversions!$B$12:$E$34,4,0)))</f>
        <v>0</v>
      </c>
      <c r="N73" s="333">
        <f>IF($F73="",0,IF($F73="Weighted Average",$G73*VLOOKUP($D73&amp;" (Install)",Lists!$C$72:$R$232,COLUMNS(Lists!$C$69:G$69),0)*VLOOKUP(BG$3,Conversions!$B$12:$E$34,4,0),$G73*VLOOKUP($F73,Lists!$C$72:$R$232,COLUMNS(Lists!$C$69:G$69),0)*VLOOKUP(BG$3,Conversions!$B$12:$E$34,4,0)))</f>
        <v>0</v>
      </c>
      <c r="O73" s="333">
        <f>IF($F73="",0,IF($F73="Weighted Average",$G73*VLOOKUP($D73&amp;" (Install)",Lists!$C$72:$R$232,COLUMNS(Lists!$C$69:H$69),0)*VLOOKUP(BH$3,Conversions!$B$12:$E$34,4,0),$G73*VLOOKUP($F73,Lists!$C$72:$R$232,COLUMNS(Lists!$C$69:H$69),0)*VLOOKUP(BH$3,Conversions!$B$12:$E$34,4,0)))</f>
        <v>0</v>
      </c>
      <c r="P73" s="333">
        <f>IF($F73="",0,IF($F73="Weighted Average",$G73*VLOOKUP($D73&amp;" (Install)",Lists!$C$72:$R$232,COLUMNS(Lists!$C$69:I$69),0)*VLOOKUP(BI$3,Conversions!$B$12:$E$34,4,0),$G73*VLOOKUP($F73,Lists!$C$72:$R$232,COLUMNS(Lists!$C$69:I$69),0)*VLOOKUP(BI$3,Conversions!$B$12:$E$34,4,0)))</f>
        <v>0</v>
      </c>
      <c r="Q73" s="333">
        <f>IF($F73="",0,IF($F73="Weighted Average",$G73*VLOOKUP($D73&amp;" (Install)",Lists!$C$72:$R$232,COLUMNS(Lists!$C$69:J$69),0)*VLOOKUP(BJ$3,Conversions!$B$12:$E$34,4,0),$G73*VLOOKUP($F73,Lists!$C$72:$R$232,COLUMNS(Lists!$C$69:J$69),0)*VLOOKUP(BJ$3,Conversions!$B$12:$E$34,4,0)))</f>
        <v>0</v>
      </c>
      <c r="R73" s="333">
        <f>IF($F73="",0,IF($F73="Weighted Average",$G73*VLOOKUP($D73&amp;" (Install)",Lists!$C$72:$R$232,COLUMNS(Lists!$C$69:K$69),0)*VLOOKUP(BK$3,Conversions!$B$12:$E$34,4,0),$G73*VLOOKUP($F73,Lists!$C$72:$R$232,COLUMNS(Lists!$C$69:K$69),0)*VLOOKUP(BK$3,Conversions!$B$12:$E$34,4,0)))</f>
        <v>0</v>
      </c>
      <c r="S73" s="333">
        <f>IF($F73="",0,IF($F73="Weighted Average",$G73*VLOOKUP($D73&amp;" (Install)",Lists!$C$72:$R$232,COLUMNS(Lists!$C$69:L$69),0)*VLOOKUP(BL$3,Conversions!$B$12:$E$34,4,0),$G73*VLOOKUP($F73,Lists!$C$72:$R$232,COLUMNS(Lists!$C$69:L$69),0)*VLOOKUP(BL$3,Conversions!$B$12:$E$34,4,0)))</f>
        <v>0</v>
      </c>
      <c r="T73" s="333">
        <f>IF($F73="",0,IF($F73="Weighted Average",$G73*VLOOKUP($D73&amp;" (Install)",Lists!$C$72:$R$232,COLUMNS(Lists!$C$69:M$69),0)*VLOOKUP(BM$3,Conversions!$B$12:$E$34,4,0),$G73*VLOOKUP($F73,Lists!$C$72:$R$232,COLUMNS(Lists!$C$69:M$69),0)*VLOOKUP(BM$3,Conversions!$B$12:$E$34,4,0)))</f>
        <v>0</v>
      </c>
      <c r="U73" s="333">
        <f>IF($F73="",0,IF($F73="Weighted Average",$G73*VLOOKUP($D73&amp;" (Install)",Lists!$C$72:$R$232,COLUMNS(Lists!$C$69:N$69),0)*VLOOKUP(BN$3,Conversions!$B$12:$E$34,4,0),$G73*VLOOKUP($F73,Lists!$C$72:$R$232,COLUMNS(Lists!$C$69:N$69),0)*VLOOKUP(BN$3,Conversions!$B$12:$E$34,4,0)))</f>
        <v>0</v>
      </c>
      <c r="V73" s="333">
        <f>IF($F73="",0,IF($F73="Weighted Average",$G73*VLOOKUP($D73&amp;" (Install)",Lists!$C$72:$R$232,COLUMNS(Lists!$C$69:O$69),0)*VLOOKUP(BO$3,Conversions!$B$12:$E$34,4,0),$G73*VLOOKUP($F73,Lists!$C$72:$R$232,COLUMNS(Lists!$C$69:O$69),0)*VLOOKUP(BO$3,Conversions!$B$12:$E$34,4,0)))</f>
        <v>0</v>
      </c>
      <c r="W73" s="333">
        <f>IF($F73="",0,IF($F73="Weighted Average",$G73*VLOOKUP($D73&amp;" (Install)",Lists!$C$72:$R$232,COLUMNS(Lists!$C$69:P$69),0)*VLOOKUP(BP$3,Conversions!$B$12:$E$34,4,0),$G73*VLOOKUP($F73,Lists!$C$72:$R$232,COLUMNS(Lists!$C$69:P$69),0)*VLOOKUP(BP$3,Conversions!$B$12:$E$34,4,0)))</f>
        <v>0</v>
      </c>
      <c r="X73" s="333">
        <f>IF($F73="",0,IF($F73="Weighted Average",$G73*VLOOKUP($D73&amp;" (Install)",Lists!$C$72:$R$232,COLUMNS(Lists!$C$69:Q$69),0)*VLOOKUP(BQ$3,Conversions!$B$12:$E$34,4,0),$G73*VLOOKUP($F73,Lists!$C$72:$R$232,COLUMNS(Lists!$C$69:Q$69),0)*VLOOKUP(BQ$3,Conversions!$B$12:$E$34,4,0)))</f>
        <v>0</v>
      </c>
      <c r="Y73" s="333">
        <f>IF($F73="",0,IF($F73="Weighted Average",$G73*VLOOKUP($D73&amp;" (Install)",Lists!$C$72:$R$232,COLUMNS(Lists!$C$69:R$69),0)*VLOOKUP(BR$3,Conversions!$B$12:$E$34,4,0),$G73*VLOOKUP($F73,Lists!$C$72:$R$232,COLUMNS(Lists!$C$69:R$69),0)*VLOOKUP(BR$3,Conversions!$B$12:$E$34,4,0)))</f>
        <v>0</v>
      </c>
      <c r="Z73" s="325">
        <f t="shared" si="59"/>
        <v>0</v>
      </c>
      <c r="AA73" s="334">
        <f>IF($F73="",0,IF($F73="Weighted Average",$H73*VLOOKUP($D73&amp;" (Operation)",Lists!$C$72:$R$232,COLUMNS(Lists!$C$69:E$69),0)*VLOOKUP(BE$3,Conversions!$B$12:$E$34,4,0),$H73*VLOOKUP($F73,Lists!$C$72:$R$232,COLUMNS(Lists!$C$69:E$69),0)*VLOOKUP(BE$3,Conversions!$B$12:$E$34,4,0)))</f>
        <v>0</v>
      </c>
      <c r="AB73" s="334">
        <f>IF($F73="",0,IF($F73="Weighted Average",$H73*VLOOKUP($D73&amp;" (Operation)",Lists!$C$72:$R$232,COLUMNS(Lists!$C$69:F$69),0)*VLOOKUP(BF$3,Conversions!$B$12:$E$34,4,0),$H73*VLOOKUP($F73,Lists!$C$72:$R$232,COLUMNS(Lists!$C$69:F$69),0)*VLOOKUP(BF$3,Conversions!$B$12:$E$34,4,0)))</f>
        <v>0</v>
      </c>
      <c r="AC73" s="334">
        <f>IF($F73="",0,IF($F73="Weighted Average",$H73*VLOOKUP($D73&amp;" (Operation)",Lists!$C$72:$R$232,COLUMNS(Lists!$C$69:G$69),0)*VLOOKUP(BG$3,Conversions!$B$12:$E$34,4,0),$H73*VLOOKUP($F73,Lists!$C$72:$R$232,COLUMNS(Lists!$C$69:G$69),0)*VLOOKUP(BG$3,Conversions!$B$12:$E$34,4,0)))</f>
        <v>0</v>
      </c>
      <c r="AD73" s="334">
        <f>IF($F73="",0,IF($F73="Weighted Average",$H73*VLOOKUP($D73&amp;" (Operation)",Lists!$C$72:$R$232,COLUMNS(Lists!$C$69:H$69),0)*VLOOKUP(BH$3,Conversions!$B$12:$E$34,4,0),$H73*VLOOKUP($F73,Lists!$C$72:$R$232,COLUMNS(Lists!$C$69:H$69),0)*VLOOKUP(BH$3,Conversions!$B$12:$E$34,4,0)))</f>
        <v>0</v>
      </c>
      <c r="AE73" s="334">
        <f>IF($F73="",0,IF($F73="Weighted Average",$H73*VLOOKUP($D73&amp;" (Operation)",Lists!$C$72:$R$232,COLUMNS(Lists!$C$69:I$69),0)*VLOOKUP(BI$3,Conversions!$B$12:$E$34,4,0),$H73*VLOOKUP($F73,Lists!$C$72:$R$232,COLUMNS(Lists!$C$69:I$69),0)*VLOOKUP(BI$3,Conversions!$B$12:$E$34,4,0)))</f>
        <v>0</v>
      </c>
      <c r="AF73" s="334">
        <f>IF($F73="",0,IF($F73="Weighted Average",$H73*VLOOKUP($D73&amp;" (Operation)",Lists!$C$72:$R$232,COLUMNS(Lists!$C$69:J$69),0)*VLOOKUP(BJ$3,Conversions!$B$12:$E$34,4,0),$H73*VLOOKUP($F73,Lists!$C$72:$R$232,COLUMNS(Lists!$C$69:J$69),0)*VLOOKUP(BJ$3,Conversions!$B$12:$E$34,4,0)))</f>
        <v>0</v>
      </c>
      <c r="AG73" s="334">
        <f>IF($F73="",0,IF($F73="Weighted Average",$H73*VLOOKUP($D73&amp;" (Operation)",Lists!$C$72:$R$232,COLUMNS(Lists!$C$69:K$69),0)*VLOOKUP(BK$3,Conversions!$B$12:$E$34,4,0),$H73*VLOOKUP($F73,Lists!$C$72:$R$232,COLUMNS(Lists!$C$69:K$69),0)*VLOOKUP(BK$3,Conversions!$B$12:$E$34,4,0)))</f>
        <v>0</v>
      </c>
      <c r="AH73" s="334">
        <f>IF($F73="",0,IF($F73="Weighted Average",$H73*VLOOKUP($D73&amp;" (Operation)",Lists!$C$72:$R$232,COLUMNS(Lists!$C$69:L$69),0)*VLOOKUP(BL$3,Conversions!$B$12:$E$34,4,0),$H73*VLOOKUP($F73,Lists!$C$72:$R$232,COLUMNS(Lists!$C$69:L$69),0)*VLOOKUP(BL$3,Conversions!$B$12:$E$34,4,0)))</f>
        <v>0</v>
      </c>
      <c r="AI73" s="334">
        <f>IF($F73="",0,IF($F73="Weighted Average",$H73*VLOOKUP($D73&amp;" (Operation)",Lists!$C$72:$R$232,COLUMNS(Lists!$C$69:M$69),0)*VLOOKUP(BM$3,Conversions!$B$12:$E$34,4,0),$H73*VLOOKUP($F73,Lists!$C$72:$R$232,COLUMNS(Lists!$C$69:M$69),0)*VLOOKUP(BM$3,Conversions!$B$12:$E$34,4,0)))</f>
        <v>0</v>
      </c>
      <c r="AJ73" s="334">
        <f>IF($F73="",0,IF($F73="Weighted Average",$H73*VLOOKUP($D73&amp;" (Operation)",Lists!$C$72:$R$232,COLUMNS(Lists!$C$69:N$69),0)*VLOOKUP(BN$3,Conversions!$B$12:$E$34,4,0),$H73*VLOOKUP($F73,Lists!$C$72:$R$232,COLUMNS(Lists!$C$69:N$69),0)*VLOOKUP(BN$3,Conversions!$B$12:$E$34,4,0)))</f>
        <v>0</v>
      </c>
      <c r="AK73" s="334">
        <f>IF($F73="",0,IF($F73="Weighted Average",$H73*VLOOKUP($D73&amp;" (Operation)",Lists!$C$72:$R$232,COLUMNS(Lists!$C$69:O$69),0)*VLOOKUP(BO$3,Conversions!$B$12:$E$34,4,0),$H73*VLOOKUP($F73,Lists!$C$72:$R$232,COLUMNS(Lists!$C$69:O$69),0)*VLOOKUP(BO$3,Conversions!$B$12:$E$34,4,0)))</f>
        <v>0</v>
      </c>
      <c r="AL73" s="334">
        <f>IF($F73="",0,IF($F73="Weighted Average",$H73*VLOOKUP($D73&amp;" (Operation)",Lists!$C$72:$R$232,COLUMNS(Lists!$C$69:P$69),0)*VLOOKUP(BP$3,Conversions!$B$12:$E$34,4,0),$H73*VLOOKUP($F73,Lists!$C$72:$R$232,COLUMNS(Lists!$C$69:P$69),0)*VLOOKUP(BP$3,Conversions!$B$12:$E$34,4,0)))</f>
        <v>0</v>
      </c>
      <c r="AM73" s="334">
        <f>IF($F73="",0,IF($F73="Weighted Average",$H73*VLOOKUP($D73&amp;" (Operation)",Lists!$C$72:$R$232,COLUMNS(Lists!$C$69:Q$69),0)*VLOOKUP(BQ$3,Conversions!$B$12:$E$34,4,0),$H73*VLOOKUP($F73,Lists!$C$72:$R$232,COLUMNS(Lists!$C$69:Q$69),0)*VLOOKUP(BQ$3,Conversions!$B$12:$E$34,4,0)))</f>
        <v>0</v>
      </c>
      <c r="AN73" s="334">
        <f>IF($F73="",0,IF($F73="Weighted Average",$H73*VLOOKUP($D73&amp;" (Operation)",Lists!$C$72:$R$232,COLUMNS(Lists!$C$69:R$69),0)*VLOOKUP(BR$3,Conversions!$B$12:$E$34,4,0),$H73*VLOOKUP($F73,Lists!$C$72:$R$232,COLUMNS(Lists!$C$69:R$69),0)*VLOOKUP(BR$3,Conversions!$B$12:$E$34,4,0)))</f>
        <v>0</v>
      </c>
      <c r="AO73" s="330">
        <f t="shared" si="60"/>
        <v>0</v>
      </c>
      <c r="AP73" s="333">
        <f>IF($F73="",0,IF($F73="Weighted Average",$I73*VLOOKUP($D73&amp;" (Disposal)",Lists!$C$72:$R$232,COLUMNS(Lists!$C$69:E$69),0)*VLOOKUP(BE$3,Conversions!$B$12:$E$34,4,0),$I73*VLOOKUP($F73,Lists!$C$72:$R$232,COLUMNS(Lists!$C$69:E$69),0)*VLOOKUP(BE$3,Conversions!$B$12:$E$34,4,0)))</f>
        <v>0</v>
      </c>
      <c r="AQ73" s="333">
        <f>IF($F73="",0,IF($F73="Weighted Average",$I73*VLOOKUP($D73&amp;" (Disposal)",Lists!$C$72:$R$232,COLUMNS(Lists!$C$69:F$69),0)*VLOOKUP(BF$3,Conversions!$B$12:$E$34,4,0),$I73*VLOOKUP($F73,Lists!$C$72:$R$232,COLUMNS(Lists!$C$69:F$69),0)*VLOOKUP(BF$3,Conversions!$B$12:$E$34,4,0)))</f>
        <v>0</v>
      </c>
      <c r="AR73" s="333">
        <f>IF($F73="",0,IF($F73="Weighted Average",$I73*VLOOKUP($D73&amp;" (Disposal)",Lists!$C$72:$R$232,COLUMNS(Lists!$C$69:G$69),0)*VLOOKUP(BG$3,Conversions!$B$12:$E$34,4,0),$I73*VLOOKUP($F73,Lists!$C$72:$R$232,COLUMNS(Lists!$C$69:G$69),0)*VLOOKUP(BG$3,Conversions!$B$12:$E$34,4,0)))</f>
        <v>0</v>
      </c>
      <c r="AS73" s="333">
        <f>IF($F73="",0,IF($F73="Weighted Average",$I73*VLOOKUP($D73&amp;" (Disposal)",Lists!$C$72:$R$232,COLUMNS(Lists!$C$69:H$69),0)*VLOOKUP(BH$3,Conversions!$B$12:$E$34,4,0),$I73*VLOOKUP($F73,Lists!$C$72:$R$232,COLUMNS(Lists!$C$69:H$69),0)*VLOOKUP(BH$3,Conversions!$B$12:$E$34,4,0)))</f>
        <v>0</v>
      </c>
      <c r="AT73" s="333">
        <f>IF($F73="",0,IF($F73="Weighted Average",$I73*VLOOKUP($D73&amp;" (Disposal)",Lists!$C$72:$R$232,COLUMNS(Lists!$C$69:I$69),0)*VLOOKUP(BI$3,Conversions!$B$12:$E$34,4,0),$I73*VLOOKUP($F73,Lists!$C$72:$R$232,COLUMNS(Lists!$C$69:I$69),0)*VLOOKUP(BI$3,Conversions!$B$12:$E$34,4,0)))</f>
        <v>0</v>
      </c>
      <c r="AU73" s="333">
        <f>IF($F73="",0,IF($F73="Weighted Average",$I73*VLOOKUP($D73&amp;" (Disposal)",Lists!$C$72:$R$232,COLUMNS(Lists!$C$69:J$69),0)*VLOOKUP(BJ$3,Conversions!$B$12:$E$34,4,0),$I73*VLOOKUP($F73,Lists!$C$72:$R$232,COLUMNS(Lists!$C$69:J$69),0)*VLOOKUP(BJ$3,Conversions!$B$12:$E$34,4,0)))</f>
        <v>0</v>
      </c>
      <c r="AV73" s="333">
        <f>IF($F73="",0,IF($F73="Weighted Average",$I73*VLOOKUP($D73&amp;" (Disposal)",Lists!$C$72:$R$232,COLUMNS(Lists!$C$69:K$69),0)*VLOOKUP(BK$3,Conversions!$B$12:$E$34,4,0),$I73*VLOOKUP($F73,Lists!$C$72:$R$232,COLUMNS(Lists!$C$69:K$69),0)*VLOOKUP(BK$3,Conversions!$B$12:$E$34,4,0)))</f>
        <v>0</v>
      </c>
      <c r="AW73" s="333">
        <f>IF($F73="",0,IF($F73="Weighted Average",$I73*VLOOKUP($D73&amp;" (Disposal)",Lists!$C$72:$R$232,COLUMNS(Lists!$C$69:L$69),0)*VLOOKUP(BL$3,Conversions!$B$12:$E$34,4,0),$I73*VLOOKUP($F73,Lists!$C$72:$R$232,COLUMNS(Lists!$C$69:L$69),0)*VLOOKUP(BL$3,Conversions!$B$12:$E$34,4,0)))</f>
        <v>0</v>
      </c>
      <c r="AX73" s="333">
        <f>IF($F73="",0,IF($F73="Weighted Average",$I73*VLOOKUP($D73&amp;" (Disposal)",Lists!$C$72:$R$232,COLUMNS(Lists!$C$69:M$69),0)*VLOOKUP(BM$3,Conversions!$B$12:$E$34,4,0),$I73*VLOOKUP($F73,Lists!$C$72:$R$232,COLUMNS(Lists!$C$69:M$69),0)*VLOOKUP(BM$3,Conversions!$B$12:$E$34,4,0)))</f>
        <v>0</v>
      </c>
      <c r="AY73" s="333">
        <f>IF($F73="",0,IF($F73="Weighted Average",$I73*VLOOKUP($D73&amp;" (Disposal)",Lists!$C$72:$R$232,COLUMNS(Lists!$C$69:N$69),0)*VLOOKUP(BN$3,Conversions!$B$12:$E$34,4,0),$I73*VLOOKUP($F73,Lists!$C$72:$R$232,COLUMNS(Lists!$C$69:N$69),0)*VLOOKUP(BN$3,Conversions!$B$12:$E$34,4,0)))</f>
        <v>0</v>
      </c>
      <c r="AZ73" s="333">
        <f>IF($F73="",0,IF($F73="Weighted Average",$I73*VLOOKUP($D73&amp;" (Disposal)",Lists!$C$72:$R$232,COLUMNS(Lists!$C$69:O$69),0)*VLOOKUP(BO$3,Conversions!$B$12:$E$34,4,0),$I73*VLOOKUP($F73,Lists!$C$72:$R$232,COLUMNS(Lists!$C$69:O$69),0)*VLOOKUP(BO$3,Conversions!$B$12:$E$34,4,0)))</f>
        <v>0</v>
      </c>
      <c r="BA73" s="333">
        <f>IF($F73="",0,IF($F73="Weighted Average",$I73*VLOOKUP($D73&amp;" (Disposal)",Lists!$C$72:$R$232,COLUMNS(Lists!$C$69:P$69),0)*VLOOKUP(BP$3,Conversions!$B$12:$E$34,4,0),$I73*VLOOKUP($F73,Lists!$C$72:$R$232,COLUMNS(Lists!$C$69:P$69),0)*VLOOKUP(BP$3,Conversions!$B$12:$E$34,4,0)))</f>
        <v>0</v>
      </c>
      <c r="BB73" s="333">
        <f>IF($F73="",0,IF($F73="Weighted Average",$I73*VLOOKUP($D73&amp;" (Disposal)",Lists!$C$72:$R$232,COLUMNS(Lists!$C$69:Q$69),0)*VLOOKUP(BQ$3,Conversions!$B$12:$E$34,4,0),$I73*VLOOKUP($F73,Lists!$C$72:$R$232,COLUMNS(Lists!$C$69:Q$69),0)*VLOOKUP(BQ$3,Conversions!$B$12:$E$34,4,0)))</f>
        <v>0</v>
      </c>
      <c r="BC73" s="333">
        <f>IF($F73="",0,IF($F73="Weighted Average",$I73*VLOOKUP($D73&amp;" (Disposal)",Lists!$C$72:$R$232,COLUMNS(Lists!$C$69:R$69),0)*VLOOKUP(BR$3,Conversions!$B$12:$E$34,4,0),$I73*VLOOKUP($F73,Lists!$C$72:$R$232,COLUMNS(Lists!$C$69:R$69),0)*VLOOKUP(BR$3,Conversions!$B$12:$E$34,4,0)))</f>
        <v>0</v>
      </c>
      <c r="BD73" s="333">
        <f t="shared" si="61"/>
        <v>0</v>
      </c>
      <c r="BE73" s="330">
        <f t="shared" si="62"/>
        <v>0</v>
      </c>
      <c r="BF73" s="330">
        <f t="shared" si="63"/>
        <v>0</v>
      </c>
      <c r="BG73" s="330">
        <f t="shared" si="64"/>
        <v>0</v>
      </c>
      <c r="BH73" s="330">
        <f t="shared" si="65"/>
        <v>0</v>
      </c>
      <c r="BI73" s="330">
        <f t="shared" si="66"/>
        <v>0</v>
      </c>
      <c r="BJ73" s="330">
        <f t="shared" si="67"/>
        <v>0</v>
      </c>
      <c r="BK73" s="330">
        <f t="shared" si="68"/>
        <v>0</v>
      </c>
      <c r="BL73" s="330">
        <f t="shared" si="69"/>
        <v>0</v>
      </c>
      <c r="BM73" s="330">
        <f t="shared" si="70"/>
        <v>0</v>
      </c>
      <c r="BN73" s="330">
        <f t="shared" si="71"/>
        <v>0</v>
      </c>
      <c r="BO73" s="330">
        <f t="shared" si="72"/>
        <v>0</v>
      </c>
      <c r="BP73" s="330">
        <f t="shared" si="73"/>
        <v>0</v>
      </c>
      <c r="BQ73" s="330">
        <f t="shared" si="74"/>
        <v>0</v>
      </c>
      <c r="BR73" s="330">
        <f t="shared" si="75"/>
        <v>0</v>
      </c>
      <c r="BS73" s="330">
        <f t="shared" si="76"/>
        <v>0</v>
      </c>
      <c r="BT73" s="329">
        <f t="shared" si="91"/>
        <v>0</v>
      </c>
      <c r="BU73" s="329">
        <f t="shared" si="91"/>
        <v>0</v>
      </c>
      <c r="BV73" s="329">
        <f t="shared" si="91"/>
        <v>0</v>
      </c>
      <c r="BW73" s="329">
        <f t="shared" si="91"/>
        <v>0</v>
      </c>
      <c r="BX73" s="329">
        <f t="shared" si="91"/>
        <v>0</v>
      </c>
      <c r="BY73" s="329">
        <f t="shared" si="91"/>
        <v>0</v>
      </c>
      <c r="BZ73" s="329">
        <f t="shared" si="91"/>
        <v>0</v>
      </c>
      <c r="CA73" s="329">
        <f t="shared" si="91"/>
        <v>0</v>
      </c>
      <c r="CB73" s="329">
        <f t="shared" si="91"/>
        <v>0</v>
      </c>
      <c r="CC73" s="329">
        <f t="shared" si="91"/>
        <v>0</v>
      </c>
      <c r="CD73" s="329">
        <f t="shared" si="91"/>
        <v>0</v>
      </c>
      <c r="CE73" s="329">
        <f t="shared" si="91"/>
        <v>0</v>
      </c>
      <c r="CF73" s="329">
        <f t="shared" si="91"/>
        <v>0</v>
      </c>
      <c r="CG73" s="329">
        <f t="shared" si="91"/>
        <v>0</v>
      </c>
      <c r="CH73" s="329">
        <f t="shared" si="91"/>
        <v>0</v>
      </c>
      <c r="CI73" s="329">
        <f t="shared" si="91"/>
        <v>0</v>
      </c>
      <c r="CJ73" s="331">
        <f t="shared" si="78"/>
        <v>0</v>
      </c>
      <c r="CK73" s="330">
        <f t="shared" si="79"/>
        <v>0</v>
      </c>
      <c r="CL73" s="330">
        <f t="shared" si="80"/>
        <v>0</v>
      </c>
      <c r="CM73" s="330">
        <f t="shared" si="81"/>
        <v>0</v>
      </c>
      <c r="CN73" s="330">
        <f t="shared" si="82"/>
        <v>0</v>
      </c>
      <c r="CO73" s="330">
        <f t="shared" si="83"/>
        <v>0</v>
      </c>
      <c r="CP73" s="330">
        <f t="shared" si="84"/>
        <v>0</v>
      </c>
      <c r="CQ73" s="330">
        <f t="shared" si="94"/>
        <v>0</v>
      </c>
      <c r="CR73" s="330">
        <f t="shared" si="85"/>
        <v>0</v>
      </c>
      <c r="CS73" s="330">
        <f t="shared" si="86"/>
        <v>0</v>
      </c>
      <c r="CT73" s="330">
        <f t="shared" si="87"/>
        <v>0</v>
      </c>
      <c r="CU73" s="330">
        <f t="shared" si="92"/>
        <v>0</v>
      </c>
      <c r="CV73" s="330">
        <f t="shared" si="92"/>
        <v>0</v>
      </c>
      <c r="CW73" s="330">
        <f t="shared" si="92"/>
        <v>0</v>
      </c>
      <c r="CX73" s="330">
        <f t="shared" si="92"/>
        <v>0</v>
      </c>
      <c r="CY73" s="330">
        <f t="shared" si="92"/>
        <v>0</v>
      </c>
      <c r="CZ73" s="330">
        <f t="shared" si="92"/>
        <v>0</v>
      </c>
      <c r="DA73" s="330">
        <f t="shared" si="92"/>
        <v>0</v>
      </c>
      <c r="DB73" s="330">
        <f t="shared" si="92"/>
        <v>0</v>
      </c>
      <c r="DC73" s="330">
        <f t="shared" si="92"/>
        <v>0</v>
      </c>
      <c r="DD73" s="330">
        <f t="shared" si="92"/>
        <v>0</v>
      </c>
      <c r="DE73" s="330">
        <f t="shared" si="93"/>
        <v>0</v>
      </c>
      <c r="DF73" s="330">
        <f t="shared" si="93"/>
        <v>0</v>
      </c>
      <c r="DG73" s="330">
        <f t="shared" si="93"/>
        <v>0</v>
      </c>
      <c r="DH73" s="330">
        <f t="shared" si="93"/>
        <v>0</v>
      </c>
      <c r="DI73" s="330">
        <f t="shared" si="93"/>
        <v>0</v>
      </c>
      <c r="DJ73" s="330">
        <f t="shared" si="93"/>
        <v>0</v>
      </c>
      <c r="DK73" s="330">
        <f t="shared" si="93"/>
        <v>0</v>
      </c>
      <c r="DL73" s="330">
        <f t="shared" si="93"/>
        <v>0</v>
      </c>
      <c r="DM73" s="330">
        <f t="shared" si="93"/>
        <v>0</v>
      </c>
      <c r="DN73" s="330">
        <f t="shared" si="93"/>
        <v>0</v>
      </c>
      <c r="DO73" s="330">
        <f t="shared" si="93"/>
        <v>0</v>
      </c>
      <c r="DP73" s="330">
        <f t="shared" si="90"/>
        <v>0</v>
      </c>
      <c r="DQ73" s="217"/>
      <c r="DR73" s="217"/>
      <c r="DS73" s="217"/>
      <c r="DT73" s="217"/>
    </row>
    <row r="74" spans="1:124" x14ac:dyDescent="0.3">
      <c r="A74" s="332"/>
      <c r="B74" s="221" t="s">
        <v>304</v>
      </c>
      <c r="C74" s="221" t="str">
        <f>IF('Simplified Material Balance'!C44=0,"",'Simplified Material Balance'!C44)</f>
        <v/>
      </c>
      <c r="D74" s="221" t="str">
        <f>IF('Simplified Material Balance'!D44=0,"",'Simplified Material Balance'!D44)</f>
        <v/>
      </c>
      <c r="E74" s="221" t="str">
        <f>IF('Simplified Material Balance'!E44=0,"",'Simplified Material Balance'!E44)</f>
        <v/>
      </c>
      <c r="F74" s="221" t="str">
        <f>IF('Simplified Material Balance'!F44=0,"",'Simplified Material Balance'!F44)</f>
        <v/>
      </c>
      <c r="G74" s="272">
        <f>IF('Simplified Material Balance'!H44&gt;'Simplified Material Balance'!G44,0,('Simplified Material Balance'!G44-'Simplified Material Balance'!H44)*Conversions!$C$4)</f>
        <v>0</v>
      </c>
      <c r="H74" s="272">
        <f>'Simplified Material Balance'!I44*Conversions!$C$4</f>
        <v>0</v>
      </c>
      <c r="I74" s="272">
        <f>('Simplified Material Balance'!J44-'Simplified Material Balance'!K44)*Conversions!$C$4</f>
        <v>0</v>
      </c>
      <c r="J74" s="325">
        <f>IF('Simplified Material Balance'!L44=0,0,'Simplified Material Balance'!L44)</f>
        <v>0</v>
      </c>
      <c r="K74" s="465"/>
      <c r="L74" s="333">
        <f>IF($F74="",0,IF($F74="Weighted Average",$G74*VLOOKUP($D74&amp;" (Install)",Lists!$C$72:$R$232,COLUMNS(Lists!$C$69:E$69),0)*VLOOKUP(BE$3,Conversions!$B$12:$E$34,4,0),$G74*VLOOKUP($F74,Lists!$C$72:$R$232,COLUMNS(Lists!$C$69:E$69),0)*VLOOKUP(BE$3,Conversions!$B$12:$E$34,4,0)))</f>
        <v>0</v>
      </c>
      <c r="M74" s="333">
        <f>IF($F74="",0,IF($F74="Weighted Average",$G74*VLOOKUP($D74&amp;" (Install)",Lists!$C$72:$R$232,COLUMNS(Lists!$C$69:F$69),0)*VLOOKUP(BF$3,Conversions!$B$12:$E$34,4,0),$G74*VLOOKUP($F74,Lists!$C$72:$R$232,COLUMNS(Lists!$C$69:F$69),0)*VLOOKUP(BF$3,Conversions!$B$12:$E$34,4,0)))</f>
        <v>0</v>
      </c>
      <c r="N74" s="333">
        <f>IF($F74="",0,IF($F74="Weighted Average",$G74*VLOOKUP($D74&amp;" (Install)",Lists!$C$72:$R$232,COLUMNS(Lists!$C$69:G$69),0)*VLOOKUP(BG$3,Conversions!$B$12:$E$34,4,0),$G74*VLOOKUP($F74,Lists!$C$72:$R$232,COLUMNS(Lists!$C$69:G$69),0)*VLOOKUP(BG$3,Conversions!$B$12:$E$34,4,0)))</f>
        <v>0</v>
      </c>
      <c r="O74" s="333">
        <f>IF($F74="",0,IF($F74="Weighted Average",$G74*VLOOKUP($D74&amp;" (Install)",Lists!$C$72:$R$232,COLUMNS(Lists!$C$69:H$69),0)*VLOOKUP(BH$3,Conversions!$B$12:$E$34,4,0),$G74*VLOOKUP($F74,Lists!$C$72:$R$232,COLUMNS(Lists!$C$69:H$69),0)*VLOOKUP(BH$3,Conversions!$B$12:$E$34,4,0)))</f>
        <v>0</v>
      </c>
      <c r="P74" s="333">
        <f>IF($F74="",0,IF($F74="Weighted Average",$G74*VLOOKUP($D74&amp;" (Install)",Lists!$C$72:$R$232,COLUMNS(Lists!$C$69:I$69),0)*VLOOKUP(BI$3,Conversions!$B$12:$E$34,4,0),$G74*VLOOKUP($F74,Lists!$C$72:$R$232,COLUMNS(Lists!$C$69:I$69),0)*VLOOKUP(BI$3,Conversions!$B$12:$E$34,4,0)))</f>
        <v>0</v>
      </c>
      <c r="Q74" s="333">
        <f>IF($F74="",0,IF($F74="Weighted Average",$G74*VLOOKUP($D74&amp;" (Install)",Lists!$C$72:$R$232,COLUMNS(Lists!$C$69:J$69),0)*VLOOKUP(BJ$3,Conversions!$B$12:$E$34,4,0),$G74*VLOOKUP($F74,Lists!$C$72:$R$232,COLUMNS(Lists!$C$69:J$69),0)*VLOOKUP(BJ$3,Conversions!$B$12:$E$34,4,0)))</f>
        <v>0</v>
      </c>
      <c r="R74" s="333">
        <f>IF($F74="",0,IF($F74="Weighted Average",$G74*VLOOKUP($D74&amp;" (Install)",Lists!$C$72:$R$232,COLUMNS(Lists!$C$69:K$69),0)*VLOOKUP(BK$3,Conversions!$B$12:$E$34,4,0),$G74*VLOOKUP($F74,Lists!$C$72:$R$232,COLUMNS(Lists!$C$69:K$69),0)*VLOOKUP(BK$3,Conversions!$B$12:$E$34,4,0)))</f>
        <v>0</v>
      </c>
      <c r="S74" s="333">
        <f>IF($F74="",0,IF($F74="Weighted Average",$G74*VLOOKUP($D74&amp;" (Install)",Lists!$C$72:$R$232,COLUMNS(Lists!$C$69:L$69),0)*VLOOKUP(BL$3,Conversions!$B$12:$E$34,4,0),$G74*VLOOKUP($F74,Lists!$C$72:$R$232,COLUMNS(Lists!$C$69:L$69),0)*VLOOKUP(BL$3,Conversions!$B$12:$E$34,4,0)))</f>
        <v>0</v>
      </c>
      <c r="T74" s="333">
        <f>IF($F74="",0,IF($F74="Weighted Average",$G74*VLOOKUP($D74&amp;" (Install)",Lists!$C$72:$R$232,COLUMNS(Lists!$C$69:M$69),0)*VLOOKUP(BM$3,Conversions!$B$12:$E$34,4,0),$G74*VLOOKUP($F74,Lists!$C$72:$R$232,COLUMNS(Lists!$C$69:M$69),0)*VLOOKUP(BM$3,Conversions!$B$12:$E$34,4,0)))</f>
        <v>0</v>
      </c>
      <c r="U74" s="333">
        <f>IF($F74="",0,IF($F74="Weighted Average",$G74*VLOOKUP($D74&amp;" (Install)",Lists!$C$72:$R$232,COLUMNS(Lists!$C$69:N$69),0)*VLOOKUP(BN$3,Conversions!$B$12:$E$34,4,0),$G74*VLOOKUP($F74,Lists!$C$72:$R$232,COLUMNS(Lists!$C$69:N$69),0)*VLOOKUP(BN$3,Conversions!$B$12:$E$34,4,0)))</f>
        <v>0</v>
      </c>
      <c r="V74" s="333">
        <f>IF($F74="",0,IF($F74="Weighted Average",$G74*VLOOKUP($D74&amp;" (Install)",Lists!$C$72:$R$232,COLUMNS(Lists!$C$69:O$69),0)*VLOOKUP(BO$3,Conversions!$B$12:$E$34,4,0),$G74*VLOOKUP($F74,Lists!$C$72:$R$232,COLUMNS(Lists!$C$69:O$69),0)*VLOOKUP(BO$3,Conversions!$B$12:$E$34,4,0)))</f>
        <v>0</v>
      </c>
      <c r="W74" s="333">
        <f>IF($F74="",0,IF($F74="Weighted Average",$G74*VLOOKUP($D74&amp;" (Install)",Lists!$C$72:$R$232,COLUMNS(Lists!$C$69:P$69),0)*VLOOKUP(BP$3,Conversions!$B$12:$E$34,4,0),$G74*VLOOKUP($F74,Lists!$C$72:$R$232,COLUMNS(Lists!$C$69:P$69),0)*VLOOKUP(BP$3,Conversions!$B$12:$E$34,4,0)))</f>
        <v>0</v>
      </c>
      <c r="X74" s="333">
        <f>IF($F74="",0,IF($F74="Weighted Average",$G74*VLOOKUP($D74&amp;" (Install)",Lists!$C$72:$R$232,COLUMNS(Lists!$C$69:Q$69),0)*VLOOKUP(BQ$3,Conversions!$B$12:$E$34,4,0),$G74*VLOOKUP($F74,Lists!$C$72:$R$232,COLUMNS(Lists!$C$69:Q$69),0)*VLOOKUP(BQ$3,Conversions!$B$12:$E$34,4,0)))</f>
        <v>0</v>
      </c>
      <c r="Y74" s="333">
        <f>IF($F74="",0,IF($F74="Weighted Average",$G74*VLOOKUP($D74&amp;" (Install)",Lists!$C$72:$R$232,COLUMNS(Lists!$C$69:R$69),0)*VLOOKUP(BR$3,Conversions!$B$12:$E$34,4,0),$G74*VLOOKUP($F74,Lists!$C$72:$R$232,COLUMNS(Lists!$C$69:R$69),0)*VLOOKUP(BR$3,Conversions!$B$12:$E$34,4,0)))</f>
        <v>0</v>
      </c>
      <c r="Z74" s="325">
        <f t="shared" si="38"/>
        <v>0</v>
      </c>
      <c r="AA74" s="334">
        <f>IF($F74="",0,IF($F74="Weighted Average",$H74*VLOOKUP($D74&amp;" (Operation)",Lists!$C$72:$R$232,COLUMNS(Lists!$C$69:E$69),0)*VLOOKUP(BE$3,Conversions!$B$12:$E$34,4,0),$H74*VLOOKUP($F74,Lists!$C$72:$R$232,COLUMNS(Lists!$C$69:E$69),0)*VLOOKUP(BE$3,Conversions!$B$12:$E$34,4,0)))</f>
        <v>0</v>
      </c>
      <c r="AB74" s="334">
        <f>IF($F74="",0,IF($F74="Weighted Average",$H74*VLOOKUP($D74&amp;" (Operation)",Lists!$C$72:$R$232,COLUMNS(Lists!$C$69:F$69),0)*VLOOKUP(BF$3,Conversions!$B$12:$E$34,4,0),$H74*VLOOKUP($F74,Lists!$C$72:$R$232,COLUMNS(Lists!$C$69:F$69),0)*VLOOKUP(BF$3,Conversions!$B$12:$E$34,4,0)))</f>
        <v>0</v>
      </c>
      <c r="AC74" s="334">
        <f>IF($F74="",0,IF($F74="Weighted Average",$H74*VLOOKUP($D74&amp;" (Operation)",Lists!$C$72:$R$232,COLUMNS(Lists!$C$69:G$69),0)*VLOOKUP(BG$3,Conversions!$B$12:$E$34,4,0),$H74*VLOOKUP($F74,Lists!$C$72:$R$232,COLUMNS(Lists!$C$69:G$69),0)*VLOOKUP(BG$3,Conversions!$B$12:$E$34,4,0)))</f>
        <v>0</v>
      </c>
      <c r="AD74" s="334">
        <f>IF($F74="",0,IF($F74="Weighted Average",$H74*VLOOKUP($D74&amp;" (Operation)",Lists!$C$72:$R$232,COLUMNS(Lists!$C$69:H$69),0)*VLOOKUP(BH$3,Conversions!$B$12:$E$34,4,0),$H74*VLOOKUP($F74,Lists!$C$72:$R$232,COLUMNS(Lists!$C$69:H$69),0)*VLOOKUP(BH$3,Conversions!$B$12:$E$34,4,0)))</f>
        <v>0</v>
      </c>
      <c r="AE74" s="334">
        <f>IF($F74="",0,IF($F74="Weighted Average",$H74*VLOOKUP($D74&amp;" (Operation)",Lists!$C$72:$R$232,COLUMNS(Lists!$C$69:I$69),0)*VLOOKUP(BI$3,Conversions!$B$12:$E$34,4,0),$H74*VLOOKUP($F74,Lists!$C$72:$R$232,COLUMNS(Lists!$C$69:I$69),0)*VLOOKUP(BI$3,Conversions!$B$12:$E$34,4,0)))</f>
        <v>0</v>
      </c>
      <c r="AF74" s="334">
        <f>IF($F74="",0,IF($F74="Weighted Average",$H74*VLOOKUP($D74&amp;" (Operation)",Lists!$C$72:$R$232,COLUMNS(Lists!$C$69:J$69),0)*VLOOKUP(BJ$3,Conversions!$B$12:$E$34,4,0),$H74*VLOOKUP($F74,Lists!$C$72:$R$232,COLUMNS(Lists!$C$69:J$69),0)*VLOOKUP(BJ$3,Conversions!$B$12:$E$34,4,0)))</f>
        <v>0</v>
      </c>
      <c r="AG74" s="334">
        <f>IF($F74="",0,IF($F74="Weighted Average",$H74*VLOOKUP($D74&amp;" (Operation)",Lists!$C$72:$R$232,COLUMNS(Lists!$C$69:K$69),0)*VLOOKUP(BK$3,Conversions!$B$12:$E$34,4,0),$H74*VLOOKUP($F74,Lists!$C$72:$R$232,COLUMNS(Lists!$C$69:K$69),0)*VLOOKUP(BK$3,Conversions!$B$12:$E$34,4,0)))</f>
        <v>0</v>
      </c>
      <c r="AH74" s="334">
        <f>IF($F74="",0,IF($F74="Weighted Average",$H74*VLOOKUP($D74&amp;" (Operation)",Lists!$C$72:$R$232,COLUMNS(Lists!$C$69:L$69),0)*VLOOKUP(BL$3,Conversions!$B$12:$E$34,4,0),$H74*VLOOKUP($F74,Lists!$C$72:$R$232,COLUMNS(Lists!$C$69:L$69),0)*VLOOKUP(BL$3,Conversions!$B$12:$E$34,4,0)))</f>
        <v>0</v>
      </c>
      <c r="AI74" s="334">
        <f>IF($F74="",0,IF($F74="Weighted Average",$H74*VLOOKUP($D74&amp;" (Operation)",Lists!$C$72:$R$232,COLUMNS(Lists!$C$69:M$69),0)*VLOOKUP(BM$3,Conversions!$B$12:$E$34,4,0),$H74*VLOOKUP($F74,Lists!$C$72:$R$232,COLUMNS(Lists!$C$69:M$69),0)*VLOOKUP(BM$3,Conversions!$B$12:$E$34,4,0)))</f>
        <v>0</v>
      </c>
      <c r="AJ74" s="334">
        <f>IF($F74="",0,IF($F74="Weighted Average",$H74*VLOOKUP($D74&amp;" (Operation)",Lists!$C$72:$R$232,COLUMNS(Lists!$C$69:N$69),0)*VLOOKUP(BN$3,Conversions!$B$12:$E$34,4,0),$H74*VLOOKUP($F74,Lists!$C$72:$R$232,COLUMNS(Lists!$C$69:N$69),0)*VLOOKUP(BN$3,Conversions!$B$12:$E$34,4,0)))</f>
        <v>0</v>
      </c>
      <c r="AK74" s="334">
        <f>IF($F74="",0,IF($F74="Weighted Average",$H74*VLOOKUP($D74&amp;" (Operation)",Lists!$C$72:$R$232,COLUMNS(Lists!$C$69:O$69),0)*VLOOKUP(BO$3,Conversions!$B$12:$E$34,4,0),$H74*VLOOKUP($F74,Lists!$C$72:$R$232,COLUMNS(Lists!$C$69:O$69),0)*VLOOKUP(BO$3,Conversions!$B$12:$E$34,4,0)))</f>
        <v>0</v>
      </c>
      <c r="AL74" s="334">
        <f>IF($F74="",0,IF($F74="Weighted Average",$H74*VLOOKUP($D74&amp;" (Operation)",Lists!$C$72:$R$232,COLUMNS(Lists!$C$69:P$69),0)*VLOOKUP(BP$3,Conversions!$B$12:$E$34,4,0),$H74*VLOOKUP($F74,Lists!$C$72:$R$232,COLUMNS(Lists!$C$69:P$69),0)*VLOOKUP(BP$3,Conversions!$B$12:$E$34,4,0)))</f>
        <v>0</v>
      </c>
      <c r="AM74" s="334">
        <f>IF($F74="",0,IF($F74="Weighted Average",$H74*VLOOKUP($D74&amp;" (Operation)",Lists!$C$72:$R$232,COLUMNS(Lists!$C$69:Q$69),0)*VLOOKUP(BQ$3,Conversions!$B$12:$E$34,4,0),$H74*VLOOKUP($F74,Lists!$C$72:$R$232,COLUMNS(Lists!$C$69:Q$69),0)*VLOOKUP(BQ$3,Conversions!$B$12:$E$34,4,0)))</f>
        <v>0</v>
      </c>
      <c r="AN74" s="334">
        <f>IF($F74="",0,IF($F74="Weighted Average",$H74*VLOOKUP($D74&amp;" (Operation)",Lists!$C$72:$R$232,COLUMNS(Lists!$C$69:R$69),0)*VLOOKUP(BR$3,Conversions!$B$12:$E$34,4,0),$H74*VLOOKUP($F74,Lists!$C$72:$R$232,COLUMNS(Lists!$C$69:R$69),0)*VLOOKUP(BR$3,Conversions!$B$12:$E$34,4,0)))</f>
        <v>0</v>
      </c>
      <c r="AO74" s="330">
        <f t="shared" si="39"/>
        <v>0</v>
      </c>
      <c r="AP74" s="333">
        <f>IF($F74="",0,IF($F74="Weighted Average",$I74*VLOOKUP($D74&amp;" (Disposal)",Lists!$C$72:$R$232,COLUMNS(Lists!$C$69:E$69),0)*VLOOKUP(BE$3,Conversions!$B$12:$E$34,4,0),$I74*VLOOKUP($F74,Lists!$C$72:$R$232,COLUMNS(Lists!$C$69:E$69),0)*VLOOKUP(BE$3,Conversions!$B$12:$E$34,4,0)))</f>
        <v>0</v>
      </c>
      <c r="AQ74" s="333">
        <f>IF($F74="",0,IF($F74="Weighted Average",$I74*VLOOKUP($D74&amp;" (Disposal)",Lists!$C$72:$R$232,COLUMNS(Lists!$C$69:F$69),0)*VLOOKUP(BF$3,Conversions!$B$12:$E$34,4,0),$I74*VLOOKUP($F74,Lists!$C$72:$R$232,COLUMNS(Lists!$C$69:F$69),0)*VLOOKUP(BF$3,Conversions!$B$12:$E$34,4,0)))</f>
        <v>0</v>
      </c>
      <c r="AR74" s="333">
        <f>IF($F74="",0,IF($F74="Weighted Average",$I74*VLOOKUP($D74&amp;" (Disposal)",Lists!$C$72:$R$232,COLUMNS(Lists!$C$69:G$69),0)*VLOOKUP(BG$3,Conversions!$B$12:$E$34,4,0),$I74*VLOOKUP($F74,Lists!$C$72:$R$232,COLUMNS(Lists!$C$69:G$69),0)*VLOOKUP(BG$3,Conversions!$B$12:$E$34,4,0)))</f>
        <v>0</v>
      </c>
      <c r="AS74" s="333">
        <f>IF($F74="",0,IF($F74="Weighted Average",$I74*VLOOKUP($D74&amp;" (Disposal)",Lists!$C$72:$R$232,COLUMNS(Lists!$C$69:H$69),0)*VLOOKUP(BH$3,Conversions!$B$12:$E$34,4,0),$I74*VLOOKUP($F74,Lists!$C$72:$R$232,COLUMNS(Lists!$C$69:H$69),0)*VLOOKUP(BH$3,Conversions!$B$12:$E$34,4,0)))</f>
        <v>0</v>
      </c>
      <c r="AT74" s="333">
        <f>IF($F74="",0,IF($F74="Weighted Average",$I74*VLOOKUP($D74&amp;" (Disposal)",Lists!$C$72:$R$232,COLUMNS(Lists!$C$69:I$69),0)*VLOOKUP(BI$3,Conversions!$B$12:$E$34,4,0),$I74*VLOOKUP($F74,Lists!$C$72:$R$232,COLUMNS(Lists!$C$69:I$69),0)*VLOOKUP(BI$3,Conversions!$B$12:$E$34,4,0)))</f>
        <v>0</v>
      </c>
      <c r="AU74" s="333">
        <f>IF($F74="",0,IF($F74="Weighted Average",$I74*VLOOKUP($D74&amp;" (Disposal)",Lists!$C$72:$R$232,COLUMNS(Lists!$C$69:J$69),0)*VLOOKUP(BJ$3,Conversions!$B$12:$E$34,4,0),$I74*VLOOKUP($F74,Lists!$C$72:$R$232,COLUMNS(Lists!$C$69:J$69),0)*VLOOKUP(BJ$3,Conversions!$B$12:$E$34,4,0)))</f>
        <v>0</v>
      </c>
      <c r="AV74" s="333">
        <f>IF($F74="",0,IF($F74="Weighted Average",$I74*VLOOKUP($D74&amp;" (Disposal)",Lists!$C$72:$R$232,COLUMNS(Lists!$C$69:K$69),0)*VLOOKUP(BK$3,Conversions!$B$12:$E$34,4,0),$I74*VLOOKUP($F74,Lists!$C$72:$R$232,COLUMNS(Lists!$C$69:K$69),0)*VLOOKUP(BK$3,Conversions!$B$12:$E$34,4,0)))</f>
        <v>0</v>
      </c>
      <c r="AW74" s="333">
        <f>IF($F74="",0,IF($F74="Weighted Average",$I74*VLOOKUP($D74&amp;" (Disposal)",Lists!$C$72:$R$232,COLUMNS(Lists!$C$69:L$69),0)*VLOOKUP(BL$3,Conversions!$B$12:$E$34,4,0),$I74*VLOOKUP($F74,Lists!$C$72:$R$232,COLUMNS(Lists!$C$69:L$69),0)*VLOOKUP(BL$3,Conversions!$B$12:$E$34,4,0)))</f>
        <v>0</v>
      </c>
      <c r="AX74" s="333">
        <f>IF($F74="",0,IF($F74="Weighted Average",$I74*VLOOKUP($D74&amp;" (Disposal)",Lists!$C$72:$R$232,COLUMNS(Lists!$C$69:M$69),0)*VLOOKUP(BM$3,Conversions!$B$12:$E$34,4,0),$I74*VLOOKUP($F74,Lists!$C$72:$R$232,COLUMNS(Lists!$C$69:M$69),0)*VLOOKUP(BM$3,Conversions!$B$12:$E$34,4,0)))</f>
        <v>0</v>
      </c>
      <c r="AY74" s="333">
        <f>IF($F74="",0,IF($F74="Weighted Average",$I74*VLOOKUP($D74&amp;" (Disposal)",Lists!$C$72:$R$232,COLUMNS(Lists!$C$69:N$69),0)*VLOOKUP(BN$3,Conversions!$B$12:$E$34,4,0),$I74*VLOOKUP($F74,Lists!$C$72:$R$232,COLUMNS(Lists!$C$69:N$69),0)*VLOOKUP(BN$3,Conversions!$B$12:$E$34,4,0)))</f>
        <v>0</v>
      </c>
      <c r="AZ74" s="333">
        <f>IF($F74="",0,IF($F74="Weighted Average",$I74*VLOOKUP($D74&amp;" (Disposal)",Lists!$C$72:$R$232,COLUMNS(Lists!$C$69:O$69),0)*VLOOKUP(BO$3,Conversions!$B$12:$E$34,4,0),$I74*VLOOKUP($F74,Lists!$C$72:$R$232,COLUMNS(Lists!$C$69:O$69),0)*VLOOKUP(BO$3,Conversions!$B$12:$E$34,4,0)))</f>
        <v>0</v>
      </c>
      <c r="BA74" s="333">
        <f>IF($F74="",0,IF($F74="Weighted Average",$I74*VLOOKUP($D74&amp;" (Disposal)",Lists!$C$72:$R$232,COLUMNS(Lists!$C$69:P$69),0)*VLOOKUP(BP$3,Conversions!$B$12:$E$34,4,0),$I74*VLOOKUP($F74,Lists!$C$72:$R$232,COLUMNS(Lists!$C$69:P$69),0)*VLOOKUP(BP$3,Conversions!$B$12:$E$34,4,0)))</f>
        <v>0</v>
      </c>
      <c r="BB74" s="333">
        <f>IF($F74="",0,IF($F74="Weighted Average",$I74*VLOOKUP($D74&amp;" (Disposal)",Lists!$C$72:$R$232,COLUMNS(Lists!$C$69:Q$69),0)*VLOOKUP(BQ$3,Conversions!$B$12:$E$34,4,0),$I74*VLOOKUP($F74,Lists!$C$72:$R$232,COLUMNS(Lists!$C$69:Q$69),0)*VLOOKUP(BQ$3,Conversions!$B$12:$E$34,4,0)))</f>
        <v>0</v>
      </c>
      <c r="BC74" s="333">
        <f>IF($F74="",0,IF($F74="Weighted Average",$I74*VLOOKUP($D74&amp;" (Disposal)",Lists!$C$72:$R$232,COLUMNS(Lists!$C$69:R$69),0)*VLOOKUP(BR$3,Conversions!$B$12:$E$34,4,0),$I74*VLOOKUP($F74,Lists!$C$72:$R$232,COLUMNS(Lists!$C$69:R$69),0)*VLOOKUP(BR$3,Conversions!$B$12:$E$34,4,0)))</f>
        <v>0</v>
      </c>
      <c r="BD74" s="333">
        <f t="shared" si="40"/>
        <v>0</v>
      </c>
      <c r="BE74" s="330">
        <f t="shared" si="41"/>
        <v>0</v>
      </c>
      <c r="BF74" s="330">
        <f t="shared" si="42"/>
        <v>0</v>
      </c>
      <c r="BG74" s="330">
        <f t="shared" si="43"/>
        <v>0</v>
      </c>
      <c r="BH74" s="330">
        <f t="shared" si="44"/>
        <v>0</v>
      </c>
      <c r="BI74" s="330">
        <f t="shared" si="45"/>
        <v>0</v>
      </c>
      <c r="BJ74" s="330">
        <f t="shared" si="46"/>
        <v>0</v>
      </c>
      <c r="BK74" s="330">
        <f t="shared" si="47"/>
        <v>0</v>
      </c>
      <c r="BL74" s="330">
        <f t="shared" si="48"/>
        <v>0</v>
      </c>
      <c r="BM74" s="330">
        <f t="shared" si="49"/>
        <v>0</v>
      </c>
      <c r="BN74" s="330">
        <f t="shared" si="50"/>
        <v>0</v>
      </c>
      <c r="BO74" s="330">
        <f t="shared" si="51"/>
        <v>0</v>
      </c>
      <c r="BP74" s="330">
        <f t="shared" si="52"/>
        <v>0</v>
      </c>
      <c r="BQ74" s="330">
        <f t="shared" si="53"/>
        <v>0</v>
      </c>
      <c r="BR74" s="330">
        <f t="shared" si="54"/>
        <v>0</v>
      </c>
      <c r="BS74" s="330">
        <f t="shared" si="55"/>
        <v>0</v>
      </c>
      <c r="BT74" s="329">
        <f t="shared" ref="BT74:CI83" si="95">IF($E74="",0,IF($E74=BT$3,$BS74,0))</f>
        <v>0</v>
      </c>
      <c r="BU74" s="329">
        <f t="shared" si="95"/>
        <v>0</v>
      </c>
      <c r="BV74" s="329">
        <f t="shared" si="95"/>
        <v>0</v>
      </c>
      <c r="BW74" s="329">
        <f t="shared" si="95"/>
        <v>0</v>
      </c>
      <c r="BX74" s="329">
        <f t="shared" si="95"/>
        <v>0</v>
      </c>
      <c r="BY74" s="329">
        <f t="shared" si="95"/>
        <v>0</v>
      </c>
      <c r="BZ74" s="329">
        <f t="shared" si="95"/>
        <v>0</v>
      </c>
      <c r="CA74" s="329">
        <f t="shared" si="95"/>
        <v>0</v>
      </c>
      <c r="CB74" s="329">
        <f t="shared" si="95"/>
        <v>0</v>
      </c>
      <c r="CC74" s="329">
        <f t="shared" si="95"/>
        <v>0</v>
      </c>
      <c r="CD74" s="329">
        <f t="shared" si="95"/>
        <v>0</v>
      </c>
      <c r="CE74" s="329">
        <f t="shared" si="95"/>
        <v>0</v>
      </c>
      <c r="CF74" s="329">
        <f t="shared" si="95"/>
        <v>0</v>
      </c>
      <c r="CG74" s="329">
        <f t="shared" si="95"/>
        <v>0</v>
      </c>
      <c r="CH74" s="329">
        <f t="shared" si="95"/>
        <v>0</v>
      </c>
      <c r="CI74" s="329">
        <f t="shared" si="95"/>
        <v>0</v>
      </c>
      <c r="CJ74" s="331">
        <f t="shared" si="1"/>
        <v>0</v>
      </c>
      <c r="CK74" s="330">
        <f t="shared" si="5"/>
        <v>0</v>
      </c>
      <c r="CL74" s="330">
        <f t="shared" si="6"/>
        <v>0</v>
      </c>
      <c r="CM74" s="330">
        <f t="shared" si="7"/>
        <v>0</v>
      </c>
      <c r="CN74" s="330">
        <f t="shared" si="8"/>
        <v>0</v>
      </c>
      <c r="CO74" s="330">
        <f t="shared" si="9"/>
        <v>0</v>
      </c>
      <c r="CP74" s="330">
        <f t="shared" si="10"/>
        <v>0</v>
      </c>
      <c r="CQ74" s="330">
        <f t="shared" si="94"/>
        <v>0</v>
      </c>
      <c r="CR74" s="330">
        <f t="shared" si="12"/>
        <v>0</v>
      </c>
      <c r="CS74" s="330">
        <f t="shared" si="13"/>
        <v>0</v>
      </c>
      <c r="CT74" s="330">
        <f t="shared" si="14"/>
        <v>0</v>
      </c>
      <c r="CU74" s="330">
        <f t="shared" ref="CU74:DD83" si="96">IF($C74=CU$3,$BS74,0)</f>
        <v>0</v>
      </c>
      <c r="CV74" s="330">
        <f t="shared" si="96"/>
        <v>0</v>
      </c>
      <c r="CW74" s="330">
        <f t="shared" si="96"/>
        <v>0</v>
      </c>
      <c r="CX74" s="330">
        <f t="shared" si="96"/>
        <v>0</v>
      </c>
      <c r="CY74" s="330">
        <f t="shared" si="96"/>
        <v>0</v>
      </c>
      <c r="CZ74" s="330">
        <f t="shared" si="96"/>
        <v>0</v>
      </c>
      <c r="DA74" s="330">
        <f t="shared" si="96"/>
        <v>0</v>
      </c>
      <c r="DB74" s="330">
        <f t="shared" si="96"/>
        <v>0</v>
      </c>
      <c r="DC74" s="330">
        <f t="shared" si="96"/>
        <v>0</v>
      </c>
      <c r="DD74" s="330">
        <f t="shared" si="96"/>
        <v>0</v>
      </c>
      <c r="DE74" s="330">
        <f t="shared" ref="DE74:DO83" si="97">IF($C74=DE$3,$BS74,0)</f>
        <v>0</v>
      </c>
      <c r="DF74" s="330">
        <f t="shared" si="97"/>
        <v>0</v>
      </c>
      <c r="DG74" s="330">
        <f t="shared" si="97"/>
        <v>0</v>
      </c>
      <c r="DH74" s="330">
        <f t="shared" si="97"/>
        <v>0</v>
      </c>
      <c r="DI74" s="330">
        <f t="shared" si="97"/>
        <v>0</v>
      </c>
      <c r="DJ74" s="330">
        <f t="shared" si="97"/>
        <v>0</v>
      </c>
      <c r="DK74" s="330">
        <f t="shared" si="97"/>
        <v>0</v>
      </c>
      <c r="DL74" s="330">
        <f t="shared" si="97"/>
        <v>0</v>
      </c>
      <c r="DM74" s="330">
        <f t="shared" si="97"/>
        <v>0</v>
      </c>
      <c r="DN74" s="330">
        <f t="shared" si="97"/>
        <v>0</v>
      </c>
      <c r="DO74" s="330">
        <f t="shared" si="97"/>
        <v>0</v>
      </c>
      <c r="DP74" s="330">
        <f t="shared" ref="DP74:DP93" si="98">BS74</f>
        <v>0</v>
      </c>
      <c r="DQ74" s="217"/>
      <c r="DR74" s="217"/>
      <c r="DS74" s="217"/>
      <c r="DT74" s="217"/>
    </row>
    <row r="75" spans="1:124" x14ac:dyDescent="0.3">
      <c r="A75" s="332"/>
      <c r="B75" s="221" t="s">
        <v>304</v>
      </c>
      <c r="C75" s="221" t="str">
        <f>IF('Simplified Material Balance'!C45=0,"",'Simplified Material Balance'!C45)</f>
        <v/>
      </c>
      <c r="D75" s="221" t="str">
        <f>IF('Simplified Material Balance'!D45=0,"",'Simplified Material Balance'!D45)</f>
        <v/>
      </c>
      <c r="E75" s="221" t="str">
        <f>IF('Simplified Material Balance'!E45=0,"",'Simplified Material Balance'!E45)</f>
        <v/>
      </c>
      <c r="F75" s="221" t="str">
        <f>IF('Simplified Material Balance'!F45=0,"",'Simplified Material Balance'!F45)</f>
        <v/>
      </c>
      <c r="G75" s="272">
        <f>IF('Simplified Material Balance'!H45&gt;'Simplified Material Balance'!G45,0,('Simplified Material Balance'!G45-'Simplified Material Balance'!H45)*Conversions!$C$4)</f>
        <v>0</v>
      </c>
      <c r="H75" s="272">
        <f>'Simplified Material Balance'!I45*Conversions!$C$4</f>
        <v>0</v>
      </c>
      <c r="I75" s="272">
        <f>('Simplified Material Balance'!J45-'Simplified Material Balance'!K45)*Conversions!$C$4</f>
        <v>0</v>
      </c>
      <c r="J75" s="325">
        <f>IF('Simplified Material Balance'!L45=0,0,'Simplified Material Balance'!L45)</f>
        <v>0</v>
      </c>
      <c r="K75" s="465"/>
      <c r="L75" s="333">
        <f>IF($F75="",0,IF($F75="Weighted Average",$G75*VLOOKUP($D75&amp;" (Install)",Lists!$C$72:$R$232,COLUMNS(Lists!$C$69:E$69),0)*VLOOKUP(BE$3,Conversions!$B$12:$E$34,4,0),$G75*VLOOKUP($F75,Lists!$C$72:$R$232,COLUMNS(Lists!$C$69:E$69),0)*VLOOKUP(BE$3,Conversions!$B$12:$E$34,4,0)))</f>
        <v>0</v>
      </c>
      <c r="M75" s="333">
        <f>IF($F75="",0,IF($F75="Weighted Average",$G75*VLOOKUP($D75&amp;" (Install)",Lists!$C$72:$R$232,COLUMNS(Lists!$C$69:F$69),0)*VLOOKUP(BF$3,Conversions!$B$12:$E$34,4,0),$G75*VLOOKUP($F75,Lists!$C$72:$R$232,COLUMNS(Lists!$C$69:F$69),0)*VLOOKUP(BF$3,Conversions!$B$12:$E$34,4,0)))</f>
        <v>0</v>
      </c>
      <c r="N75" s="333">
        <f>IF($F75="",0,IF($F75="Weighted Average",$G75*VLOOKUP($D75&amp;" (Install)",Lists!$C$72:$R$232,COLUMNS(Lists!$C$69:G$69),0)*VLOOKUP(BG$3,Conversions!$B$12:$E$34,4,0),$G75*VLOOKUP($F75,Lists!$C$72:$R$232,COLUMNS(Lists!$C$69:G$69),0)*VLOOKUP(BG$3,Conversions!$B$12:$E$34,4,0)))</f>
        <v>0</v>
      </c>
      <c r="O75" s="333">
        <f>IF($F75="",0,IF($F75="Weighted Average",$G75*VLOOKUP($D75&amp;" (Install)",Lists!$C$72:$R$232,COLUMNS(Lists!$C$69:H$69),0)*VLOOKUP(BH$3,Conversions!$B$12:$E$34,4,0),$G75*VLOOKUP($F75,Lists!$C$72:$R$232,COLUMNS(Lists!$C$69:H$69),0)*VLOOKUP(BH$3,Conversions!$B$12:$E$34,4,0)))</f>
        <v>0</v>
      </c>
      <c r="P75" s="333">
        <f>IF($F75="",0,IF($F75="Weighted Average",$G75*VLOOKUP($D75&amp;" (Install)",Lists!$C$72:$R$232,COLUMNS(Lists!$C$69:I$69),0)*VLOOKUP(BI$3,Conversions!$B$12:$E$34,4,0),$G75*VLOOKUP($F75,Lists!$C$72:$R$232,COLUMNS(Lists!$C$69:I$69),0)*VLOOKUP(BI$3,Conversions!$B$12:$E$34,4,0)))</f>
        <v>0</v>
      </c>
      <c r="Q75" s="333">
        <f>IF($F75="",0,IF($F75="Weighted Average",$G75*VLOOKUP($D75&amp;" (Install)",Lists!$C$72:$R$232,COLUMNS(Lists!$C$69:J$69),0)*VLOOKUP(BJ$3,Conversions!$B$12:$E$34,4,0),$G75*VLOOKUP($F75,Lists!$C$72:$R$232,COLUMNS(Lists!$C$69:J$69),0)*VLOOKUP(BJ$3,Conversions!$B$12:$E$34,4,0)))</f>
        <v>0</v>
      </c>
      <c r="R75" s="333">
        <f>IF($F75="",0,IF($F75="Weighted Average",$G75*VLOOKUP($D75&amp;" (Install)",Lists!$C$72:$R$232,COLUMNS(Lists!$C$69:K$69),0)*VLOOKUP(BK$3,Conversions!$B$12:$E$34,4,0),$G75*VLOOKUP($F75,Lists!$C$72:$R$232,COLUMNS(Lists!$C$69:K$69),0)*VLOOKUP(BK$3,Conversions!$B$12:$E$34,4,0)))</f>
        <v>0</v>
      </c>
      <c r="S75" s="333">
        <f>IF($F75="",0,IF($F75="Weighted Average",$G75*VLOOKUP($D75&amp;" (Install)",Lists!$C$72:$R$232,COLUMNS(Lists!$C$69:L$69),0)*VLOOKUP(BL$3,Conversions!$B$12:$E$34,4,0),$G75*VLOOKUP($F75,Lists!$C$72:$R$232,COLUMNS(Lists!$C$69:L$69),0)*VLOOKUP(BL$3,Conversions!$B$12:$E$34,4,0)))</f>
        <v>0</v>
      </c>
      <c r="T75" s="333">
        <f>IF($F75="",0,IF($F75="Weighted Average",$G75*VLOOKUP($D75&amp;" (Install)",Lists!$C$72:$R$232,COLUMNS(Lists!$C$69:M$69),0)*VLOOKUP(BM$3,Conversions!$B$12:$E$34,4,0),$G75*VLOOKUP($F75,Lists!$C$72:$R$232,COLUMNS(Lists!$C$69:M$69),0)*VLOOKUP(BM$3,Conversions!$B$12:$E$34,4,0)))</f>
        <v>0</v>
      </c>
      <c r="U75" s="333">
        <f>IF($F75="",0,IF($F75="Weighted Average",$G75*VLOOKUP($D75&amp;" (Install)",Lists!$C$72:$R$232,COLUMNS(Lists!$C$69:N$69),0)*VLOOKUP(BN$3,Conversions!$B$12:$E$34,4,0),$G75*VLOOKUP($F75,Lists!$C$72:$R$232,COLUMNS(Lists!$C$69:N$69),0)*VLOOKUP(BN$3,Conversions!$B$12:$E$34,4,0)))</f>
        <v>0</v>
      </c>
      <c r="V75" s="333">
        <f>IF($F75="",0,IF($F75="Weighted Average",$G75*VLOOKUP($D75&amp;" (Install)",Lists!$C$72:$R$232,COLUMNS(Lists!$C$69:O$69),0)*VLOOKUP(BO$3,Conversions!$B$12:$E$34,4,0),$G75*VLOOKUP($F75,Lists!$C$72:$R$232,COLUMNS(Lists!$C$69:O$69),0)*VLOOKUP(BO$3,Conversions!$B$12:$E$34,4,0)))</f>
        <v>0</v>
      </c>
      <c r="W75" s="333">
        <f>IF($F75="",0,IF($F75="Weighted Average",$G75*VLOOKUP($D75&amp;" (Install)",Lists!$C$72:$R$232,COLUMNS(Lists!$C$69:P$69),0)*VLOOKUP(BP$3,Conversions!$B$12:$E$34,4,0),$G75*VLOOKUP($F75,Lists!$C$72:$R$232,COLUMNS(Lists!$C$69:P$69),0)*VLOOKUP(BP$3,Conversions!$B$12:$E$34,4,0)))</f>
        <v>0</v>
      </c>
      <c r="X75" s="333">
        <f>IF($F75="",0,IF($F75="Weighted Average",$G75*VLOOKUP($D75&amp;" (Install)",Lists!$C$72:$R$232,COLUMNS(Lists!$C$69:Q$69),0)*VLOOKUP(BQ$3,Conversions!$B$12:$E$34,4,0),$G75*VLOOKUP($F75,Lists!$C$72:$R$232,COLUMNS(Lists!$C$69:Q$69),0)*VLOOKUP(BQ$3,Conversions!$B$12:$E$34,4,0)))</f>
        <v>0</v>
      </c>
      <c r="Y75" s="333">
        <f>IF($F75="",0,IF($F75="Weighted Average",$G75*VLOOKUP($D75&amp;" (Install)",Lists!$C$72:$R$232,COLUMNS(Lists!$C$69:R$69),0)*VLOOKUP(BR$3,Conversions!$B$12:$E$34,4,0),$G75*VLOOKUP($F75,Lists!$C$72:$R$232,COLUMNS(Lists!$C$69:R$69),0)*VLOOKUP(BR$3,Conversions!$B$12:$E$34,4,0)))</f>
        <v>0</v>
      </c>
      <c r="Z75" s="325">
        <f t="shared" si="38"/>
        <v>0</v>
      </c>
      <c r="AA75" s="334">
        <f>IF($F75="",0,IF($F75="Weighted Average",$H75*VLOOKUP($D75&amp;" (Operation)",Lists!$C$72:$R$232,COLUMNS(Lists!$C$69:E$69),0)*VLOOKUP(BE$3,Conversions!$B$12:$E$34,4,0),$H75*VLOOKUP($F75,Lists!$C$72:$R$232,COLUMNS(Lists!$C$69:E$69),0)*VLOOKUP(BE$3,Conversions!$B$12:$E$34,4,0)))</f>
        <v>0</v>
      </c>
      <c r="AB75" s="334">
        <f>IF($F75="",0,IF($F75="Weighted Average",$H75*VLOOKUP($D75&amp;" (Operation)",Lists!$C$72:$R$232,COLUMNS(Lists!$C$69:F$69),0)*VLOOKUP(BF$3,Conversions!$B$12:$E$34,4,0),$H75*VLOOKUP($F75,Lists!$C$72:$R$232,COLUMNS(Lists!$C$69:F$69),0)*VLOOKUP(BF$3,Conversions!$B$12:$E$34,4,0)))</f>
        <v>0</v>
      </c>
      <c r="AC75" s="334">
        <f>IF($F75="",0,IF($F75="Weighted Average",$H75*VLOOKUP($D75&amp;" (Operation)",Lists!$C$72:$R$232,COLUMNS(Lists!$C$69:G$69),0)*VLOOKUP(BG$3,Conversions!$B$12:$E$34,4,0),$H75*VLOOKUP($F75,Lists!$C$72:$R$232,COLUMNS(Lists!$C$69:G$69),0)*VLOOKUP(BG$3,Conversions!$B$12:$E$34,4,0)))</f>
        <v>0</v>
      </c>
      <c r="AD75" s="334">
        <f>IF($F75="",0,IF($F75="Weighted Average",$H75*VLOOKUP($D75&amp;" (Operation)",Lists!$C$72:$R$232,COLUMNS(Lists!$C$69:H$69),0)*VLOOKUP(BH$3,Conversions!$B$12:$E$34,4,0),$H75*VLOOKUP($F75,Lists!$C$72:$R$232,COLUMNS(Lists!$C$69:H$69),0)*VLOOKUP(BH$3,Conversions!$B$12:$E$34,4,0)))</f>
        <v>0</v>
      </c>
      <c r="AE75" s="334">
        <f>IF($F75="",0,IF($F75="Weighted Average",$H75*VLOOKUP($D75&amp;" (Operation)",Lists!$C$72:$R$232,COLUMNS(Lists!$C$69:I$69),0)*VLOOKUP(BI$3,Conversions!$B$12:$E$34,4,0),$H75*VLOOKUP($F75,Lists!$C$72:$R$232,COLUMNS(Lists!$C$69:I$69),0)*VLOOKUP(BI$3,Conversions!$B$12:$E$34,4,0)))</f>
        <v>0</v>
      </c>
      <c r="AF75" s="334">
        <f>IF($F75="",0,IF($F75="Weighted Average",$H75*VLOOKUP($D75&amp;" (Operation)",Lists!$C$72:$R$232,COLUMNS(Lists!$C$69:J$69),0)*VLOOKUP(BJ$3,Conversions!$B$12:$E$34,4,0),$H75*VLOOKUP($F75,Lists!$C$72:$R$232,COLUMNS(Lists!$C$69:J$69),0)*VLOOKUP(BJ$3,Conversions!$B$12:$E$34,4,0)))</f>
        <v>0</v>
      </c>
      <c r="AG75" s="334">
        <f>IF($F75="",0,IF($F75="Weighted Average",$H75*VLOOKUP($D75&amp;" (Operation)",Lists!$C$72:$R$232,COLUMNS(Lists!$C$69:K$69),0)*VLOOKUP(BK$3,Conversions!$B$12:$E$34,4,0),$H75*VLOOKUP($F75,Lists!$C$72:$R$232,COLUMNS(Lists!$C$69:K$69),0)*VLOOKUP(BK$3,Conversions!$B$12:$E$34,4,0)))</f>
        <v>0</v>
      </c>
      <c r="AH75" s="334">
        <f>IF($F75="",0,IF($F75="Weighted Average",$H75*VLOOKUP($D75&amp;" (Operation)",Lists!$C$72:$R$232,COLUMNS(Lists!$C$69:L$69),0)*VLOOKUP(BL$3,Conversions!$B$12:$E$34,4,0),$H75*VLOOKUP($F75,Lists!$C$72:$R$232,COLUMNS(Lists!$C$69:L$69),0)*VLOOKUP(BL$3,Conversions!$B$12:$E$34,4,0)))</f>
        <v>0</v>
      </c>
      <c r="AI75" s="334">
        <f>IF($F75="",0,IF($F75="Weighted Average",$H75*VLOOKUP($D75&amp;" (Operation)",Lists!$C$72:$R$232,COLUMNS(Lists!$C$69:M$69),0)*VLOOKUP(BM$3,Conversions!$B$12:$E$34,4,0),$H75*VLOOKUP($F75,Lists!$C$72:$R$232,COLUMNS(Lists!$C$69:M$69),0)*VLOOKUP(BM$3,Conversions!$B$12:$E$34,4,0)))</f>
        <v>0</v>
      </c>
      <c r="AJ75" s="334">
        <f>IF($F75="",0,IF($F75="Weighted Average",$H75*VLOOKUP($D75&amp;" (Operation)",Lists!$C$72:$R$232,COLUMNS(Lists!$C$69:N$69),0)*VLOOKUP(BN$3,Conversions!$B$12:$E$34,4,0),$H75*VLOOKUP($F75,Lists!$C$72:$R$232,COLUMNS(Lists!$C$69:N$69),0)*VLOOKUP(BN$3,Conversions!$B$12:$E$34,4,0)))</f>
        <v>0</v>
      </c>
      <c r="AK75" s="334">
        <f>IF($F75="",0,IF($F75="Weighted Average",$H75*VLOOKUP($D75&amp;" (Operation)",Lists!$C$72:$R$232,COLUMNS(Lists!$C$69:O$69),0)*VLOOKUP(BO$3,Conversions!$B$12:$E$34,4,0),$H75*VLOOKUP($F75,Lists!$C$72:$R$232,COLUMNS(Lists!$C$69:O$69),0)*VLOOKUP(BO$3,Conversions!$B$12:$E$34,4,0)))</f>
        <v>0</v>
      </c>
      <c r="AL75" s="334">
        <f>IF($F75="",0,IF($F75="Weighted Average",$H75*VLOOKUP($D75&amp;" (Operation)",Lists!$C$72:$R$232,COLUMNS(Lists!$C$69:P$69),0)*VLOOKUP(BP$3,Conversions!$B$12:$E$34,4,0),$H75*VLOOKUP($F75,Lists!$C$72:$R$232,COLUMNS(Lists!$C$69:P$69),0)*VLOOKUP(BP$3,Conversions!$B$12:$E$34,4,0)))</f>
        <v>0</v>
      </c>
      <c r="AM75" s="334">
        <f>IF($F75="",0,IF($F75="Weighted Average",$H75*VLOOKUP($D75&amp;" (Operation)",Lists!$C$72:$R$232,COLUMNS(Lists!$C$69:Q$69),0)*VLOOKUP(BQ$3,Conversions!$B$12:$E$34,4,0),$H75*VLOOKUP($F75,Lists!$C$72:$R$232,COLUMNS(Lists!$C$69:Q$69),0)*VLOOKUP(BQ$3,Conversions!$B$12:$E$34,4,0)))</f>
        <v>0</v>
      </c>
      <c r="AN75" s="334">
        <f>IF($F75="",0,IF($F75="Weighted Average",$H75*VLOOKUP($D75&amp;" (Operation)",Lists!$C$72:$R$232,COLUMNS(Lists!$C$69:R$69),0)*VLOOKUP(BR$3,Conversions!$B$12:$E$34,4,0),$H75*VLOOKUP($F75,Lists!$C$72:$R$232,COLUMNS(Lists!$C$69:R$69),0)*VLOOKUP(BR$3,Conversions!$B$12:$E$34,4,0)))</f>
        <v>0</v>
      </c>
      <c r="AO75" s="330">
        <f t="shared" si="39"/>
        <v>0</v>
      </c>
      <c r="AP75" s="333">
        <f>IF($F75="",0,IF($F75="Weighted Average",$I75*VLOOKUP($D75&amp;" (Disposal)",Lists!$C$72:$R$232,COLUMNS(Lists!$C$69:E$69),0)*VLOOKUP(BE$3,Conversions!$B$12:$E$34,4,0),$I75*VLOOKUP($F75,Lists!$C$72:$R$232,COLUMNS(Lists!$C$69:E$69),0)*VLOOKUP(BE$3,Conversions!$B$12:$E$34,4,0)))</f>
        <v>0</v>
      </c>
      <c r="AQ75" s="333">
        <f>IF($F75="",0,IF($F75="Weighted Average",$I75*VLOOKUP($D75&amp;" (Disposal)",Lists!$C$72:$R$232,COLUMNS(Lists!$C$69:F$69),0)*VLOOKUP(BF$3,Conversions!$B$12:$E$34,4,0),$I75*VLOOKUP($F75,Lists!$C$72:$R$232,COLUMNS(Lists!$C$69:F$69),0)*VLOOKUP(BF$3,Conversions!$B$12:$E$34,4,0)))</f>
        <v>0</v>
      </c>
      <c r="AR75" s="333">
        <f>IF($F75="",0,IF($F75="Weighted Average",$I75*VLOOKUP($D75&amp;" (Disposal)",Lists!$C$72:$R$232,COLUMNS(Lists!$C$69:G$69),0)*VLOOKUP(BG$3,Conversions!$B$12:$E$34,4,0),$I75*VLOOKUP($F75,Lists!$C$72:$R$232,COLUMNS(Lists!$C$69:G$69),0)*VLOOKUP(BG$3,Conversions!$B$12:$E$34,4,0)))</f>
        <v>0</v>
      </c>
      <c r="AS75" s="333">
        <f>IF($F75="",0,IF($F75="Weighted Average",$I75*VLOOKUP($D75&amp;" (Disposal)",Lists!$C$72:$R$232,COLUMNS(Lists!$C$69:H$69),0)*VLOOKUP(BH$3,Conversions!$B$12:$E$34,4,0),$I75*VLOOKUP($F75,Lists!$C$72:$R$232,COLUMNS(Lists!$C$69:H$69),0)*VLOOKUP(BH$3,Conversions!$B$12:$E$34,4,0)))</f>
        <v>0</v>
      </c>
      <c r="AT75" s="333">
        <f>IF($F75="",0,IF($F75="Weighted Average",$I75*VLOOKUP($D75&amp;" (Disposal)",Lists!$C$72:$R$232,COLUMNS(Lists!$C$69:I$69),0)*VLOOKUP(BI$3,Conversions!$B$12:$E$34,4,0),$I75*VLOOKUP($F75,Lists!$C$72:$R$232,COLUMNS(Lists!$C$69:I$69),0)*VLOOKUP(BI$3,Conversions!$B$12:$E$34,4,0)))</f>
        <v>0</v>
      </c>
      <c r="AU75" s="333">
        <f>IF($F75="",0,IF($F75="Weighted Average",$I75*VLOOKUP($D75&amp;" (Disposal)",Lists!$C$72:$R$232,COLUMNS(Lists!$C$69:J$69),0)*VLOOKUP(BJ$3,Conversions!$B$12:$E$34,4,0),$I75*VLOOKUP($F75,Lists!$C$72:$R$232,COLUMNS(Lists!$C$69:J$69),0)*VLOOKUP(BJ$3,Conversions!$B$12:$E$34,4,0)))</f>
        <v>0</v>
      </c>
      <c r="AV75" s="333">
        <f>IF($F75="",0,IF($F75="Weighted Average",$I75*VLOOKUP($D75&amp;" (Disposal)",Lists!$C$72:$R$232,COLUMNS(Lists!$C$69:K$69),0)*VLOOKUP(BK$3,Conversions!$B$12:$E$34,4,0),$I75*VLOOKUP($F75,Lists!$C$72:$R$232,COLUMNS(Lists!$C$69:K$69),0)*VLOOKUP(BK$3,Conversions!$B$12:$E$34,4,0)))</f>
        <v>0</v>
      </c>
      <c r="AW75" s="333">
        <f>IF($F75="",0,IF($F75="Weighted Average",$I75*VLOOKUP($D75&amp;" (Disposal)",Lists!$C$72:$R$232,COLUMNS(Lists!$C$69:L$69),0)*VLOOKUP(BL$3,Conversions!$B$12:$E$34,4,0),$I75*VLOOKUP($F75,Lists!$C$72:$R$232,COLUMNS(Lists!$C$69:L$69),0)*VLOOKUP(BL$3,Conversions!$B$12:$E$34,4,0)))</f>
        <v>0</v>
      </c>
      <c r="AX75" s="333">
        <f>IF($F75="",0,IF($F75="Weighted Average",$I75*VLOOKUP($D75&amp;" (Disposal)",Lists!$C$72:$R$232,COLUMNS(Lists!$C$69:M$69),0)*VLOOKUP(BM$3,Conversions!$B$12:$E$34,4,0),$I75*VLOOKUP($F75,Lists!$C$72:$R$232,COLUMNS(Lists!$C$69:M$69),0)*VLOOKUP(BM$3,Conversions!$B$12:$E$34,4,0)))</f>
        <v>0</v>
      </c>
      <c r="AY75" s="333">
        <f>IF($F75="",0,IF($F75="Weighted Average",$I75*VLOOKUP($D75&amp;" (Disposal)",Lists!$C$72:$R$232,COLUMNS(Lists!$C$69:N$69),0)*VLOOKUP(BN$3,Conversions!$B$12:$E$34,4,0),$I75*VLOOKUP($F75,Lists!$C$72:$R$232,COLUMNS(Lists!$C$69:N$69),0)*VLOOKUP(BN$3,Conversions!$B$12:$E$34,4,0)))</f>
        <v>0</v>
      </c>
      <c r="AZ75" s="333">
        <f>IF($F75="",0,IF($F75="Weighted Average",$I75*VLOOKUP($D75&amp;" (Disposal)",Lists!$C$72:$R$232,COLUMNS(Lists!$C$69:O$69),0)*VLOOKUP(BO$3,Conversions!$B$12:$E$34,4,0),$I75*VLOOKUP($F75,Lists!$C$72:$R$232,COLUMNS(Lists!$C$69:O$69),0)*VLOOKUP(BO$3,Conversions!$B$12:$E$34,4,0)))</f>
        <v>0</v>
      </c>
      <c r="BA75" s="333">
        <f>IF($F75="",0,IF($F75="Weighted Average",$I75*VLOOKUP($D75&amp;" (Disposal)",Lists!$C$72:$R$232,COLUMNS(Lists!$C$69:P$69),0)*VLOOKUP(BP$3,Conversions!$B$12:$E$34,4,0),$I75*VLOOKUP($F75,Lists!$C$72:$R$232,COLUMNS(Lists!$C$69:P$69),0)*VLOOKUP(BP$3,Conversions!$B$12:$E$34,4,0)))</f>
        <v>0</v>
      </c>
      <c r="BB75" s="333">
        <f>IF($F75="",0,IF($F75="Weighted Average",$I75*VLOOKUP($D75&amp;" (Disposal)",Lists!$C$72:$R$232,COLUMNS(Lists!$C$69:Q$69),0)*VLOOKUP(BQ$3,Conversions!$B$12:$E$34,4,0),$I75*VLOOKUP($F75,Lists!$C$72:$R$232,COLUMNS(Lists!$C$69:Q$69),0)*VLOOKUP(BQ$3,Conversions!$B$12:$E$34,4,0)))</f>
        <v>0</v>
      </c>
      <c r="BC75" s="333">
        <f>IF($F75="",0,IF($F75="Weighted Average",$I75*VLOOKUP($D75&amp;" (Disposal)",Lists!$C$72:$R$232,COLUMNS(Lists!$C$69:R$69),0)*VLOOKUP(BR$3,Conversions!$B$12:$E$34,4,0),$I75*VLOOKUP($F75,Lists!$C$72:$R$232,COLUMNS(Lists!$C$69:R$69),0)*VLOOKUP(BR$3,Conversions!$B$12:$E$34,4,0)))</f>
        <v>0</v>
      </c>
      <c r="BD75" s="333">
        <f t="shared" si="40"/>
        <v>0</v>
      </c>
      <c r="BE75" s="330">
        <f t="shared" si="41"/>
        <v>0</v>
      </c>
      <c r="BF75" s="330">
        <f t="shared" si="42"/>
        <v>0</v>
      </c>
      <c r="BG75" s="330">
        <f t="shared" si="43"/>
        <v>0</v>
      </c>
      <c r="BH75" s="330">
        <f t="shared" si="44"/>
        <v>0</v>
      </c>
      <c r="BI75" s="330">
        <f t="shared" si="45"/>
        <v>0</v>
      </c>
      <c r="BJ75" s="330">
        <f t="shared" si="46"/>
        <v>0</v>
      </c>
      <c r="BK75" s="330">
        <f t="shared" si="47"/>
        <v>0</v>
      </c>
      <c r="BL75" s="330">
        <f t="shared" si="48"/>
        <v>0</v>
      </c>
      <c r="BM75" s="330">
        <f t="shared" si="49"/>
        <v>0</v>
      </c>
      <c r="BN75" s="330">
        <f t="shared" si="50"/>
        <v>0</v>
      </c>
      <c r="BO75" s="330">
        <f t="shared" si="51"/>
        <v>0</v>
      </c>
      <c r="BP75" s="330">
        <f t="shared" si="52"/>
        <v>0</v>
      </c>
      <c r="BQ75" s="330">
        <f t="shared" si="53"/>
        <v>0</v>
      </c>
      <c r="BR75" s="330">
        <f t="shared" si="54"/>
        <v>0</v>
      </c>
      <c r="BS75" s="330">
        <f t="shared" si="55"/>
        <v>0</v>
      </c>
      <c r="BT75" s="329">
        <f t="shared" si="95"/>
        <v>0</v>
      </c>
      <c r="BU75" s="329">
        <f t="shared" si="95"/>
        <v>0</v>
      </c>
      <c r="BV75" s="329">
        <f t="shared" si="95"/>
        <v>0</v>
      </c>
      <c r="BW75" s="329">
        <f t="shared" si="95"/>
        <v>0</v>
      </c>
      <c r="BX75" s="329">
        <f t="shared" si="95"/>
        <v>0</v>
      </c>
      <c r="BY75" s="329">
        <f t="shared" si="95"/>
        <v>0</v>
      </c>
      <c r="BZ75" s="329">
        <f t="shared" si="95"/>
        <v>0</v>
      </c>
      <c r="CA75" s="329">
        <f t="shared" si="95"/>
        <v>0</v>
      </c>
      <c r="CB75" s="329">
        <f t="shared" si="95"/>
        <v>0</v>
      </c>
      <c r="CC75" s="329">
        <f t="shared" si="95"/>
        <v>0</v>
      </c>
      <c r="CD75" s="329">
        <f t="shared" si="95"/>
        <v>0</v>
      </c>
      <c r="CE75" s="329">
        <f t="shared" si="95"/>
        <v>0</v>
      </c>
      <c r="CF75" s="329">
        <f t="shared" si="95"/>
        <v>0</v>
      </c>
      <c r="CG75" s="329">
        <f t="shared" si="95"/>
        <v>0</v>
      </c>
      <c r="CH75" s="329">
        <f t="shared" si="95"/>
        <v>0</v>
      </c>
      <c r="CI75" s="329">
        <f t="shared" si="95"/>
        <v>0</v>
      </c>
      <c r="CJ75" s="331">
        <f t="shared" si="1"/>
        <v>0</v>
      </c>
      <c r="CK75" s="330">
        <f t="shared" si="5"/>
        <v>0</v>
      </c>
      <c r="CL75" s="330">
        <f t="shared" si="6"/>
        <v>0</v>
      </c>
      <c r="CM75" s="330">
        <f t="shared" si="7"/>
        <v>0</v>
      </c>
      <c r="CN75" s="330">
        <f t="shared" si="8"/>
        <v>0</v>
      </c>
      <c r="CO75" s="330">
        <f t="shared" si="9"/>
        <v>0</v>
      </c>
      <c r="CP75" s="330">
        <f t="shared" si="10"/>
        <v>0</v>
      </c>
      <c r="CQ75" s="330">
        <f t="shared" si="94"/>
        <v>0</v>
      </c>
      <c r="CR75" s="330">
        <f t="shared" si="12"/>
        <v>0</v>
      </c>
      <c r="CS75" s="330">
        <f t="shared" si="13"/>
        <v>0</v>
      </c>
      <c r="CT75" s="330">
        <f t="shared" si="14"/>
        <v>0</v>
      </c>
      <c r="CU75" s="330">
        <f t="shared" si="96"/>
        <v>0</v>
      </c>
      <c r="CV75" s="330">
        <f t="shared" si="96"/>
        <v>0</v>
      </c>
      <c r="CW75" s="330">
        <f t="shared" si="96"/>
        <v>0</v>
      </c>
      <c r="CX75" s="330">
        <f t="shared" si="96"/>
        <v>0</v>
      </c>
      <c r="CY75" s="330">
        <f t="shared" si="96"/>
        <v>0</v>
      </c>
      <c r="CZ75" s="330">
        <f t="shared" si="96"/>
        <v>0</v>
      </c>
      <c r="DA75" s="330">
        <f t="shared" si="96"/>
        <v>0</v>
      </c>
      <c r="DB75" s="330">
        <f t="shared" si="96"/>
        <v>0</v>
      </c>
      <c r="DC75" s="330">
        <f t="shared" si="96"/>
        <v>0</v>
      </c>
      <c r="DD75" s="330">
        <f t="shared" si="96"/>
        <v>0</v>
      </c>
      <c r="DE75" s="330">
        <f t="shared" si="97"/>
        <v>0</v>
      </c>
      <c r="DF75" s="330">
        <f t="shared" si="97"/>
        <v>0</v>
      </c>
      <c r="DG75" s="330">
        <f t="shared" si="97"/>
        <v>0</v>
      </c>
      <c r="DH75" s="330">
        <f t="shared" si="97"/>
        <v>0</v>
      </c>
      <c r="DI75" s="330">
        <f t="shared" si="97"/>
        <v>0</v>
      </c>
      <c r="DJ75" s="330">
        <f t="shared" si="97"/>
        <v>0</v>
      </c>
      <c r="DK75" s="330">
        <f t="shared" si="97"/>
        <v>0</v>
      </c>
      <c r="DL75" s="330">
        <f t="shared" si="97"/>
        <v>0</v>
      </c>
      <c r="DM75" s="330">
        <f t="shared" si="97"/>
        <v>0</v>
      </c>
      <c r="DN75" s="330">
        <f t="shared" si="97"/>
        <v>0</v>
      </c>
      <c r="DO75" s="330">
        <f t="shared" si="97"/>
        <v>0</v>
      </c>
      <c r="DP75" s="330">
        <f t="shared" si="98"/>
        <v>0</v>
      </c>
      <c r="DQ75" s="217"/>
      <c r="DR75" s="217"/>
      <c r="DS75" s="217"/>
      <c r="DT75" s="217"/>
    </row>
    <row r="76" spans="1:124" x14ac:dyDescent="0.3">
      <c r="A76" s="332"/>
      <c r="B76" s="221" t="s">
        <v>304</v>
      </c>
      <c r="C76" s="221" t="str">
        <f>IF('Simplified Material Balance'!C46=0,"",'Simplified Material Balance'!C46)</f>
        <v/>
      </c>
      <c r="D76" s="221" t="str">
        <f>IF('Simplified Material Balance'!D46=0,"",'Simplified Material Balance'!D46)</f>
        <v/>
      </c>
      <c r="E76" s="221" t="str">
        <f>IF('Simplified Material Balance'!E46=0,"",'Simplified Material Balance'!E46)</f>
        <v/>
      </c>
      <c r="F76" s="221" t="str">
        <f>IF('Simplified Material Balance'!F46=0,"",'Simplified Material Balance'!F46)</f>
        <v/>
      </c>
      <c r="G76" s="272">
        <f>IF('Simplified Material Balance'!H46&gt;'Simplified Material Balance'!G46,0,('Simplified Material Balance'!G46-'Simplified Material Balance'!H46)*Conversions!$C$4)</f>
        <v>0</v>
      </c>
      <c r="H76" s="272">
        <f>'Simplified Material Balance'!I46*Conversions!$C$4</f>
        <v>0</v>
      </c>
      <c r="I76" s="272">
        <f>('Simplified Material Balance'!J46-'Simplified Material Balance'!K46)*Conversions!$C$4</f>
        <v>0</v>
      </c>
      <c r="J76" s="325">
        <f>IF('Simplified Material Balance'!L46=0,0,'Simplified Material Balance'!L46)</f>
        <v>0</v>
      </c>
      <c r="K76" s="465"/>
      <c r="L76" s="333">
        <f>IF($F76="",0,IF($F76="Weighted Average",$G76*VLOOKUP($D76&amp;" (Install)",Lists!$C$72:$R$232,COLUMNS(Lists!$C$69:E$69),0)*VLOOKUP(BE$3,Conversions!$B$12:$E$34,4,0),$G76*VLOOKUP($F76,Lists!$C$72:$R$232,COLUMNS(Lists!$C$69:E$69),0)*VLOOKUP(BE$3,Conversions!$B$12:$E$34,4,0)))</f>
        <v>0</v>
      </c>
      <c r="M76" s="333">
        <f>IF($F76="",0,IF($F76="Weighted Average",$G76*VLOOKUP($D76&amp;" (Install)",Lists!$C$72:$R$232,COLUMNS(Lists!$C$69:F$69),0)*VLOOKUP(BF$3,Conversions!$B$12:$E$34,4,0),$G76*VLOOKUP($F76,Lists!$C$72:$R$232,COLUMNS(Lists!$C$69:F$69),0)*VLOOKUP(BF$3,Conversions!$B$12:$E$34,4,0)))</f>
        <v>0</v>
      </c>
      <c r="N76" s="333">
        <f>IF($F76="",0,IF($F76="Weighted Average",$G76*VLOOKUP($D76&amp;" (Install)",Lists!$C$72:$R$232,COLUMNS(Lists!$C$69:G$69),0)*VLOOKUP(BG$3,Conversions!$B$12:$E$34,4,0),$G76*VLOOKUP($F76,Lists!$C$72:$R$232,COLUMNS(Lists!$C$69:G$69),0)*VLOOKUP(BG$3,Conversions!$B$12:$E$34,4,0)))</f>
        <v>0</v>
      </c>
      <c r="O76" s="333">
        <f>IF($F76="",0,IF($F76="Weighted Average",$G76*VLOOKUP($D76&amp;" (Install)",Lists!$C$72:$R$232,COLUMNS(Lists!$C$69:H$69),0)*VLOOKUP(BH$3,Conversions!$B$12:$E$34,4,0),$G76*VLOOKUP($F76,Lists!$C$72:$R$232,COLUMNS(Lists!$C$69:H$69),0)*VLOOKUP(BH$3,Conversions!$B$12:$E$34,4,0)))</f>
        <v>0</v>
      </c>
      <c r="P76" s="333">
        <f>IF($F76="",0,IF($F76="Weighted Average",$G76*VLOOKUP($D76&amp;" (Install)",Lists!$C$72:$R$232,COLUMNS(Lists!$C$69:I$69),0)*VLOOKUP(BI$3,Conversions!$B$12:$E$34,4,0),$G76*VLOOKUP($F76,Lists!$C$72:$R$232,COLUMNS(Lists!$C$69:I$69),0)*VLOOKUP(BI$3,Conversions!$B$12:$E$34,4,0)))</f>
        <v>0</v>
      </c>
      <c r="Q76" s="333">
        <f>IF($F76="",0,IF($F76="Weighted Average",$G76*VLOOKUP($D76&amp;" (Install)",Lists!$C$72:$R$232,COLUMNS(Lists!$C$69:J$69),0)*VLOOKUP(BJ$3,Conversions!$B$12:$E$34,4,0),$G76*VLOOKUP($F76,Lists!$C$72:$R$232,COLUMNS(Lists!$C$69:J$69),0)*VLOOKUP(BJ$3,Conversions!$B$12:$E$34,4,0)))</f>
        <v>0</v>
      </c>
      <c r="R76" s="333">
        <f>IF($F76="",0,IF($F76="Weighted Average",$G76*VLOOKUP($D76&amp;" (Install)",Lists!$C$72:$R$232,COLUMNS(Lists!$C$69:K$69),0)*VLOOKUP(BK$3,Conversions!$B$12:$E$34,4,0),$G76*VLOOKUP($F76,Lists!$C$72:$R$232,COLUMNS(Lists!$C$69:K$69),0)*VLOOKUP(BK$3,Conversions!$B$12:$E$34,4,0)))</f>
        <v>0</v>
      </c>
      <c r="S76" s="333">
        <f>IF($F76="",0,IF($F76="Weighted Average",$G76*VLOOKUP($D76&amp;" (Install)",Lists!$C$72:$R$232,COLUMNS(Lists!$C$69:L$69),0)*VLOOKUP(BL$3,Conversions!$B$12:$E$34,4,0),$G76*VLOOKUP($F76,Lists!$C$72:$R$232,COLUMNS(Lists!$C$69:L$69),0)*VLOOKUP(BL$3,Conversions!$B$12:$E$34,4,0)))</f>
        <v>0</v>
      </c>
      <c r="T76" s="333">
        <f>IF($F76="",0,IF($F76="Weighted Average",$G76*VLOOKUP($D76&amp;" (Install)",Lists!$C$72:$R$232,COLUMNS(Lists!$C$69:M$69),0)*VLOOKUP(BM$3,Conversions!$B$12:$E$34,4,0),$G76*VLOOKUP($F76,Lists!$C$72:$R$232,COLUMNS(Lists!$C$69:M$69),0)*VLOOKUP(BM$3,Conversions!$B$12:$E$34,4,0)))</f>
        <v>0</v>
      </c>
      <c r="U76" s="333">
        <f>IF($F76="",0,IF($F76="Weighted Average",$G76*VLOOKUP($D76&amp;" (Install)",Lists!$C$72:$R$232,COLUMNS(Lists!$C$69:N$69),0)*VLOOKUP(BN$3,Conversions!$B$12:$E$34,4,0),$G76*VLOOKUP($F76,Lists!$C$72:$R$232,COLUMNS(Lists!$C$69:N$69),0)*VLOOKUP(BN$3,Conversions!$B$12:$E$34,4,0)))</f>
        <v>0</v>
      </c>
      <c r="V76" s="333">
        <f>IF($F76="",0,IF($F76="Weighted Average",$G76*VLOOKUP($D76&amp;" (Install)",Lists!$C$72:$R$232,COLUMNS(Lists!$C$69:O$69),0)*VLOOKUP(BO$3,Conversions!$B$12:$E$34,4,0),$G76*VLOOKUP($F76,Lists!$C$72:$R$232,COLUMNS(Lists!$C$69:O$69),0)*VLOOKUP(BO$3,Conversions!$B$12:$E$34,4,0)))</f>
        <v>0</v>
      </c>
      <c r="W76" s="333">
        <f>IF($F76="",0,IF($F76="Weighted Average",$G76*VLOOKUP($D76&amp;" (Install)",Lists!$C$72:$R$232,COLUMNS(Lists!$C$69:P$69),0)*VLOOKUP(BP$3,Conversions!$B$12:$E$34,4,0),$G76*VLOOKUP($F76,Lists!$C$72:$R$232,COLUMNS(Lists!$C$69:P$69),0)*VLOOKUP(BP$3,Conversions!$B$12:$E$34,4,0)))</f>
        <v>0</v>
      </c>
      <c r="X76" s="333">
        <f>IF($F76="",0,IF($F76="Weighted Average",$G76*VLOOKUP($D76&amp;" (Install)",Lists!$C$72:$R$232,COLUMNS(Lists!$C$69:Q$69),0)*VLOOKUP(BQ$3,Conversions!$B$12:$E$34,4,0),$G76*VLOOKUP($F76,Lists!$C$72:$R$232,COLUMNS(Lists!$C$69:Q$69),0)*VLOOKUP(BQ$3,Conversions!$B$12:$E$34,4,0)))</f>
        <v>0</v>
      </c>
      <c r="Y76" s="333">
        <f>IF($F76="",0,IF($F76="Weighted Average",$G76*VLOOKUP($D76&amp;" (Install)",Lists!$C$72:$R$232,COLUMNS(Lists!$C$69:R$69),0)*VLOOKUP(BR$3,Conversions!$B$12:$E$34,4,0),$G76*VLOOKUP($F76,Lists!$C$72:$R$232,COLUMNS(Lists!$C$69:R$69),0)*VLOOKUP(BR$3,Conversions!$B$12:$E$34,4,0)))</f>
        <v>0</v>
      </c>
      <c r="Z76" s="325">
        <f t="shared" si="38"/>
        <v>0</v>
      </c>
      <c r="AA76" s="334">
        <f>IF($F76="",0,IF($F76="Weighted Average",$H76*VLOOKUP($D76&amp;" (Operation)",Lists!$C$72:$R$232,COLUMNS(Lists!$C$69:E$69),0)*VLOOKUP(BE$3,Conversions!$B$12:$E$34,4,0),$H76*VLOOKUP($F76,Lists!$C$72:$R$232,COLUMNS(Lists!$C$69:E$69),0)*VLOOKUP(BE$3,Conversions!$B$12:$E$34,4,0)))</f>
        <v>0</v>
      </c>
      <c r="AB76" s="334">
        <f>IF($F76="",0,IF($F76="Weighted Average",$H76*VLOOKUP($D76&amp;" (Operation)",Lists!$C$72:$R$232,COLUMNS(Lists!$C$69:F$69),0)*VLOOKUP(BF$3,Conversions!$B$12:$E$34,4,0),$H76*VLOOKUP($F76,Lists!$C$72:$R$232,COLUMNS(Lists!$C$69:F$69),0)*VLOOKUP(BF$3,Conversions!$B$12:$E$34,4,0)))</f>
        <v>0</v>
      </c>
      <c r="AC76" s="334">
        <f>IF($F76="",0,IF($F76="Weighted Average",$H76*VLOOKUP($D76&amp;" (Operation)",Lists!$C$72:$R$232,COLUMNS(Lists!$C$69:G$69),0)*VLOOKUP(BG$3,Conversions!$B$12:$E$34,4,0),$H76*VLOOKUP($F76,Lists!$C$72:$R$232,COLUMNS(Lists!$C$69:G$69),0)*VLOOKUP(BG$3,Conversions!$B$12:$E$34,4,0)))</f>
        <v>0</v>
      </c>
      <c r="AD76" s="334">
        <f>IF($F76="",0,IF($F76="Weighted Average",$H76*VLOOKUP($D76&amp;" (Operation)",Lists!$C$72:$R$232,COLUMNS(Lists!$C$69:H$69),0)*VLOOKUP(BH$3,Conversions!$B$12:$E$34,4,0),$H76*VLOOKUP($F76,Lists!$C$72:$R$232,COLUMNS(Lists!$C$69:H$69),0)*VLOOKUP(BH$3,Conversions!$B$12:$E$34,4,0)))</f>
        <v>0</v>
      </c>
      <c r="AE76" s="334">
        <f>IF($F76="",0,IF($F76="Weighted Average",$H76*VLOOKUP($D76&amp;" (Operation)",Lists!$C$72:$R$232,COLUMNS(Lists!$C$69:I$69),0)*VLOOKUP(BI$3,Conversions!$B$12:$E$34,4,0),$H76*VLOOKUP($F76,Lists!$C$72:$R$232,COLUMNS(Lists!$C$69:I$69),0)*VLOOKUP(BI$3,Conversions!$B$12:$E$34,4,0)))</f>
        <v>0</v>
      </c>
      <c r="AF76" s="334">
        <f>IF($F76="",0,IF($F76="Weighted Average",$H76*VLOOKUP($D76&amp;" (Operation)",Lists!$C$72:$R$232,COLUMNS(Lists!$C$69:J$69),0)*VLOOKUP(BJ$3,Conversions!$B$12:$E$34,4,0),$H76*VLOOKUP($F76,Lists!$C$72:$R$232,COLUMNS(Lists!$C$69:J$69),0)*VLOOKUP(BJ$3,Conversions!$B$12:$E$34,4,0)))</f>
        <v>0</v>
      </c>
      <c r="AG76" s="334">
        <f>IF($F76="",0,IF($F76="Weighted Average",$H76*VLOOKUP($D76&amp;" (Operation)",Lists!$C$72:$R$232,COLUMNS(Lists!$C$69:K$69),0)*VLOOKUP(BK$3,Conversions!$B$12:$E$34,4,0),$H76*VLOOKUP($F76,Lists!$C$72:$R$232,COLUMNS(Lists!$C$69:K$69),0)*VLOOKUP(BK$3,Conversions!$B$12:$E$34,4,0)))</f>
        <v>0</v>
      </c>
      <c r="AH76" s="334">
        <f>IF($F76="",0,IF($F76="Weighted Average",$H76*VLOOKUP($D76&amp;" (Operation)",Lists!$C$72:$R$232,COLUMNS(Lists!$C$69:L$69),0)*VLOOKUP(BL$3,Conversions!$B$12:$E$34,4,0),$H76*VLOOKUP($F76,Lists!$C$72:$R$232,COLUMNS(Lists!$C$69:L$69),0)*VLOOKUP(BL$3,Conversions!$B$12:$E$34,4,0)))</f>
        <v>0</v>
      </c>
      <c r="AI76" s="334">
        <f>IF($F76="",0,IF($F76="Weighted Average",$H76*VLOOKUP($D76&amp;" (Operation)",Lists!$C$72:$R$232,COLUMNS(Lists!$C$69:M$69),0)*VLOOKUP(BM$3,Conversions!$B$12:$E$34,4,0),$H76*VLOOKUP($F76,Lists!$C$72:$R$232,COLUMNS(Lists!$C$69:M$69),0)*VLOOKUP(BM$3,Conversions!$B$12:$E$34,4,0)))</f>
        <v>0</v>
      </c>
      <c r="AJ76" s="334">
        <f>IF($F76="",0,IF($F76="Weighted Average",$H76*VLOOKUP($D76&amp;" (Operation)",Lists!$C$72:$R$232,COLUMNS(Lists!$C$69:N$69),0)*VLOOKUP(BN$3,Conversions!$B$12:$E$34,4,0),$H76*VLOOKUP($F76,Lists!$C$72:$R$232,COLUMNS(Lists!$C$69:N$69),0)*VLOOKUP(BN$3,Conversions!$B$12:$E$34,4,0)))</f>
        <v>0</v>
      </c>
      <c r="AK76" s="334">
        <f>IF($F76="",0,IF($F76="Weighted Average",$H76*VLOOKUP($D76&amp;" (Operation)",Lists!$C$72:$R$232,COLUMNS(Lists!$C$69:O$69),0)*VLOOKUP(BO$3,Conversions!$B$12:$E$34,4,0),$H76*VLOOKUP($F76,Lists!$C$72:$R$232,COLUMNS(Lists!$C$69:O$69),0)*VLOOKUP(BO$3,Conversions!$B$12:$E$34,4,0)))</f>
        <v>0</v>
      </c>
      <c r="AL76" s="334">
        <f>IF($F76="",0,IF($F76="Weighted Average",$H76*VLOOKUP($D76&amp;" (Operation)",Lists!$C$72:$R$232,COLUMNS(Lists!$C$69:P$69),0)*VLOOKUP(BP$3,Conversions!$B$12:$E$34,4,0),$H76*VLOOKUP($F76,Lists!$C$72:$R$232,COLUMNS(Lists!$C$69:P$69),0)*VLOOKUP(BP$3,Conversions!$B$12:$E$34,4,0)))</f>
        <v>0</v>
      </c>
      <c r="AM76" s="334">
        <f>IF($F76="",0,IF($F76="Weighted Average",$H76*VLOOKUP($D76&amp;" (Operation)",Lists!$C$72:$R$232,COLUMNS(Lists!$C$69:Q$69),0)*VLOOKUP(BQ$3,Conversions!$B$12:$E$34,4,0),$H76*VLOOKUP($F76,Lists!$C$72:$R$232,COLUMNS(Lists!$C$69:Q$69),0)*VLOOKUP(BQ$3,Conversions!$B$12:$E$34,4,0)))</f>
        <v>0</v>
      </c>
      <c r="AN76" s="334">
        <f>IF($F76="",0,IF($F76="Weighted Average",$H76*VLOOKUP($D76&amp;" (Operation)",Lists!$C$72:$R$232,COLUMNS(Lists!$C$69:R$69),0)*VLOOKUP(BR$3,Conversions!$B$12:$E$34,4,0),$H76*VLOOKUP($F76,Lists!$C$72:$R$232,COLUMNS(Lists!$C$69:R$69),0)*VLOOKUP(BR$3,Conversions!$B$12:$E$34,4,0)))</f>
        <v>0</v>
      </c>
      <c r="AO76" s="330">
        <f t="shared" si="39"/>
        <v>0</v>
      </c>
      <c r="AP76" s="333">
        <f>IF($F76="",0,IF($F76="Weighted Average",$I76*VLOOKUP($D76&amp;" (Disposal)",Lists!$C$72:$R$232,COLUMNS(Lists!$C$69:E$69),0)*VLOOKUP(BE$3,Conversions!$B$12:$E$34,4,0),$I76*VLOOKUP($F76,Lists!$C$72:$R$232,COLUMNS(Lists!$C$69:E$69),0)*VLOOKUP(BE$3,Conversions!$B$12:$E$34,4,0)))</f>
        <v>0</v>
      </c>
      <c r="AQ76" s="333">
        <f>IF($F76="",0,IF($F76="Weighted Average",$I76*VLOOKUP($D76&amp;" (Disposal)",Lists!$C$72:$R$232,COLUMNS(Lists!$C$69:F$69),0)*VLOOKUP(BF$3,Conversions!$B$12:$E$34,4,0),$I76*VLOOKUP($F76,Lists!$C$72:$R$232,COLUMNS(Lists!$C$69:F$69),0)*VLOOKUP(BF$3,Conversions!$B$12:$E$34,4,0)))</f>
        <v>0</v>
      </c>
      <c r="AR76" s="333">
        <f>IF($F76="",0,IF($F76="Weighted Average",$I76*VLOOKUP($D76&amp;" (Disposal)",Lists!$C$72:$R$232,COLUMNS(Lists!$C$69:G$69),0)*VLOOKUP(BG$3,Conversions!$B$12:$E$34,4,0),$I76*VLOOKUP($F76,Lists!$C$72:$R$232,COLUMNS(Lists!$C$69:G$69),0)*VLOOKUP(BG$3,Conversions!$B$12:$E$34,4,0)))</f>
        <v>0</v>
      </c>
      <c r="AS76" s="333">
        <f>IF($F76="",0,IF($F76="Weighted Average",$I76*VLOOKUP($D76&amp;" (Disposal)",Lists!$C$72:$R$232,COLUMNS(Lists!$C$69:H$69),0)*VLOOKUP(BH$3,Conversions!$B$12:$E$34,4,0),$I76*VLOOKUP($F76,Lists!$C$72:$R$232,COLUMNS(Lists!$C$69:H$69),0)*VLOOKUP(BH$3,Conversions!$B$12:$E$34,4,0)))</f>
        <v>0</v>
      </c>
      <c r="AT76" s="333">
        <f>IF($F76="",0,IF($F76="Weighted Average",$I76*VLOOKUP($D76&amp;" (Disposal)",Lists!$C$72:$R$232,COLUMNS(Lists!$C$69:I$69),0)*VLOOKUP(BI$3,Conversions!$B$12:$E$34,4,0),$I76*VLOOKUP($F76,Lists!$C$72:$R$232,COLUMNS(Lists!$C$69:I$69),0)*VLOOKUP(BI$3,Conversions!$B$12:$E$34,4,0)))</f>
        <v>0</v>
      </c>
      <c r="AU76" s="333">
        <f>IF($F76="",0,IF($F76="Weighted Average",$I76*VLOOKUP($D76&amp;" (Disposal)",Lists!$C$72:$R$232,COLUMNS(Lists!$C$69:J$69),0)*VLOOKUP(BJ$3,Conversions!$B$12:$E$34,4,0),$I76*VLOOKUP($F76,Lists!$C$72:$R$232,COLUMNS(Lists!$C$69:J$69),0)*VLOOKUP(BJ$3,Conversions!$B$12:$E$34,4,0)))</f>
        <v>0</v>
      </c>
      <c r="AV76" s="333">
        <f>IF($F76="",0,IF($F76="Weighted Average",$I76*VLOOKUP($D76&amp;" (Disposal)",Lists!$C$72:$R$232,COLUMNS(Lists!$C$69:K$69),0)*VLOOKUP(BK$3,Conversions!$B$12:$E$34,4,0),$I76*VLOOKUP($F76,Lists!$C$72:$R$232,COLUMNS(Lists!$C$69:K$69),0)*VLOOKUP(BK$3,Conversions!$B$12:$E$34,4,0)))</f>
        <v>0</v>
      </c>
      <c r="AW76" s="333">
        <f>IF($F76="",0,IF($F76="Weighted Average",$I76*VLOOKUP($D76&amp;" (Disposal)",Lists!$C$72:$R$232,COLUMNS(Lists!$C$69:L$69),0)*VLOOKUP(BL$3,Conversions!$B$12:$E$34,4,0),$I76*VLOOKUP($F76,Lists!$C$72:$R$232,COLUMNS(Lists!$C$69:L$69),0)*VLOOKUP(BL$3,Conversions!$B$12:$E$34,4,0)))</f>
        <v>0</v>
      </c>
      <c r="AX76" s="333">
        <f>IF($F76="",0,IF($F76="Weighted Average",$I76*VLOOKUP($D76&amp;" (Disposal)",Lists!$C$72:$R$232,COLUMNS(Lists!$C$69:M$69),0)*VLOOKUP(BM$3,Conversions!$B$12:$E$34,4,0),$I76*VLOOKUP($F76,Lists!$C$72:$R$232,COLUMNS(Lists!$C$69:M$69),0)*VLOOKUP(BM$3,Conversions!$B$12:$E$34,4,0)))</f>
        <v>0</v>
      </c>
      <c r="AY76" s="333">
        <f>IF($F76="",0,IF($F76="Weighted Average",$I76*VLOOKUP($D76&amp;" (Disposal)",Lists!$C$72:$R$232,COLUMNS(Lists!$C$69:N$69),0)*VLOOKUP(BN$3,Conversions!$B$12:$E$34,4,0),$I76*VLOOKUP($F76,Lists!$C$72:$R$232,COLUMNS(Lists!$C$69:N$69),0)*VLOOKUP(BN$3,Conversions!$B$12:$E$34,4,0)))</f>
        <v>0</v>
      </c>
      <c r="AZ76" s="333">
        <f>IF($F76="",0,IF($F76="Weighted Average",$I76*VLOOKUP($D76&amp;" (Disposal)",Lists!$C$72:$R$232,COLUMNS(Lists!$C$69:O$69),0)*VLOOKUP(BO$3,Conversions!$B$12:$E$34,4,0),$I76*VLOOKUP($F76,Lists!$C$72:$R$232,COLUMNS(Lists!$C$69:O$69),0)*VLOOKUP(BO$3,Conversions!$B$12:$E$34,4,0)))</f>
        <v>0</v>
      </c>
      <c r="BA76" s="333">
        <f>IF($F76="",0,IF($F76="Weighted Average",$I76*VLOOKUP($D76&amp;" (Disposal)",Lists!$C$72:$R$232,COLUMNS(Lists!$C$69:P$69),0)*VLOOKUP(BP$3,Conversions!$B$12:$E$34,4,0),$I76*VLOOKUP($F76,Lists!$C$72:$R$232,COLUMNS(Lists!$C$69:P$69),0)*VLOOKUP(BP$3,Conversions!$B$12:$E$34,4,0)))</f>
        <v>0</v>
      </c>
      <c r="BB76" s="333">
        <f>IF($F76="",0,IF($F76="Weighted Average",$I76*VLOOKUP($D76&amp;" (Disposal)",Lists!$C$72:$R$232,COLUMNS(Lists!$C$69:Q$69),0)*VLOOKUP(BQ$3,Conversions!$B$12:$E$34,4,0),$I76*VLOOKUP($F76,Lists!$C$72:$R$232,COLUMNS(Lists!$C$69:Q$69),0)*VLOOKUP(BQ$3,Conversions!$B$12:$E$34,4,0)))</f>
        <v>0</v>
      </c>
      <c r="BC76" s="333">
        <f>IF($F76="",0,IF($F76="Weighted Average",$I76*VLOOKUP($D76&amp;" (Disposal)",Lists!$C$72:$R$232,COLUMNS(Lists!$C$69:R$69),0)*VLOOKUP(BR$3,Conversions!$B$12:$E$34,4,0),$I76*VLOOKUP($F76,Lists!$C$72:$R$232,COLUMNS(Lists!$C$69:R$69),0)*VLOOKUP(BR$3,Conversions!$B$12:$E$34,4,0)))</f>
        <v>0</v>
      </c>
      <c r="BD76" s="333">
        <f t="shared" si="40"/>
        <v>0</v>
      </c>
      <c r="BE76" s="330">
        <f t="shared" si="41"/>
        <v>0</v>
      </c>
      <c r="BF76" s="330">
        <f t="shared" si="42"/>
        <v>0</v>
      </c>
      <c r="BG76" s="330">
        <f t="shared" si="43"/>
        <v>0</v>
      </c>
      <c r="BH76" s="330">
        <f t="shared" si="44"/>
        <v>0</v>
      </c>
      <c r="BI76" s="330">
        <f t="shared" si="45"/>
        <v>0</v>
      </c>
      <c r="BJ76" s="330">
        <f t="shared" si="46"/>
        <v>0</v>
      </c>
      <c r="BK76" s="330">
        <f t="shared" si="47"/>
        <v>0</v>
      </c>
      <c r="BL76" s="330">
        <f t="shared" si="48"/>
        <v>0</v>
      </c>
      <c r="BM76" s="330">
        <f t="shared" si="49"/>
        <v>0</v>
      </c>
      <c r="BN76" s="330">
        <f t="shared" si="50"/>
        <v>0</v>
      </c>
      <c r="BO76" s="330">
        <f t="shared" si="51"/>
        <v>0</v>
      </c>
      <c r="BP76" s="330">
        <f t="shared" si="52"/>
        <v>0</v>
      </c>
      <c r="BQ76" s="330">
        <f t="shared" si="53"/>
        <v>0</v>
      </c>
      <c r="BR76" s="330">
        <f t="shared" si="54"/>
        <v>0</v>
      </c>
      <c r="BS76" s="330">
        <f t="shared" si="55"/>
        <v>0</v>
      </c>
      <c r="BT76" s="329">
        <f t="shared" si="95"/>
        <v>0</v>
      </c>
      <c r="BU76" s="329">
        <f t="shared" si="95"/>
        <v>0</v>
      </c>
      <c r="BV76" s="329">
        <f t="shared" si="95"/>
        <v>0</v>
      </c>
      <c r="BW76" s="329">
        <f t="shared" si="95"/>
        <v>0</v>
      </c>
      <c r="BX76" s="329">
        <f t="shared" si="95"/>
        <v>0</v>
      </c>
      <c r="BY76" s="329">
        <f t="shared" si="95"/>
        <v>0</v>
      </c>
      <c r="BZ76" s="329">
        <f t="shared" si="95"/>
        <v>0</v>
      </c>
      <c r="CA76" s="329">
        <f t="shared" si="95"/>
        <v>0</v>
      </c>
      <c r="CB76" s="329">
        <f t="shared" si="95"/>
        <v>0</v>
      </c>
      <c r="CC76" s="329">
        <f t="shared" si="95"/>
        <v>0</v>
      </c>
      <c r="CD76" s="329">
        <f t="shared" si="95"/>
        <v>0</v>
      </c>
      <c r="CE76" s="329">
        <f t="shared" si="95"/>
        <v>0</v>
      </c>
      <c r="CF76" s="329">
        <f t="shared" si="95"/>
        <v>0</v>
      </c>
      <c r="CG76" s="329">
        <f t="shared" si="95"/>
        <v>0</v>
      </c>
      <c r="CH76" s="329">
        <f t="shared" si="95"/>
        <v>0</v>
      </c>
      <c r="CI76" s="329">
        <f t="shared" si="95"/>
        <v>0</v>
      </c>
      <c r="CJ76" s="331">
        <f t="shared" si="1"/>
        <v>0</v>
      </c>
      <c r="CK76" s="330">
        <f t="shared" si="5"/>
        <v>0</v>
      </c>
      <c r="CL76" s="330">
        <f t="shared" si="6"/>
        <v>0</v>
      </c>
      <c r="CM76" s="330">
        <f t="shared" si="7"/>
        <v>0</v>
      </c>
      <c r="CN76" s="330">
        <f t="shared" si="8"/>
        <v>0</v>
      </c>
      <c r="CO76" s="330">
        <f t="shared" si="9"/>
        <v>0</v>
      </c>
      <c r="CP76" s="330">
        <f t="shared" si="10"/>
        <v>0</v>
      </c>
      <c r="CQ76" s="330">
        <f t="shared" si="94"/>
        <v>0</v>
      </c>
      <c r="CR76" s="330">
        <f t="shared" si="12"/>
        <v>0</v>
      </c>
      <c r="CS76" s="330">
        <f t="shared" si="13"/>
        <v>0</v>
      </c>
      <c r="CT76" s="330">
        <f t="shared" si="14"/>
        <v>0</v>
      </c>
      <c r="CU76" s="330">
        <f t="shared" si="96"/>
        <v>0</v>
      </c>
      <c r="CV76" s="330">
        <f t="shared" si="96"/>
        <v>0</v>
      </c>
      <c r="CW76" s="330">
        <f t="shared" si="96"/>
        <v>0</v>
      </c>
      <c r="CX76" s="330">
        <f t="shared" si="96"/>
        <v>0</v>
      </c>
      <c r="CY76" s="330">
        <f t="shared" si="96"/>
        <v>0</v>
      </c>
      <c r="CZ76" s="330">
        <f t="shared" si="96"/>
        <v>0</v>
      </c>
      <c r="DA76" s="330">
        <f t="shared" si="96"/>
        <v>0</v>
      </c>
      <c r="DB76" s="330">
        <f t="shared" si="96"/>
        <v>0</v>
      </c>
      <c r="DC76" s="330">
        <f t="shared" si="96"/>
        <v>0</v>
      </c>
      <c r="DD76" s="330">
        <f t="shared" si="96"/>
        <v>0</v>
      </c>
      <c r="DE76" s="330">
        <f t="shared" si="97"/>
        <v>0</v>
      </c>
      <c r="DF76" s="330">
        <f t="shared" si="97"/>
        <v>0</v>
      </c>
      <c r="DG76" s="330">
        <f t="shared" si="97"/>
        <v>0</v>
      </c>
      <c r="DH76" s="330">
        <f t="shared" si="97"/>
        <v>0</v>
      </c>
      <c r="DI76" s="330">
        <f t="shared" si="97"/>
        <v>0</v>
      </c>
      <c r="DJ76" s="330">
        <f t="shared" si="97"/>
        <v>0</v>
      </c>
      <c r="DK76" s="330">
        <f t="shared" si="97"/>
        <v>0</v>
      </c>
      <c r="DL76" s="330">
        <f t="shared" si="97"/>
        <v>0</v>
      </c>
      <c r="DM76" s="330">
        <f t="shared" si="97"/>
        <v>0</v>
      </c>
      <c r="DN76" s="330">
        <f t="shared" si="97"/>
        <v>0</v>
      </c>
      <c r="DO76" s="330">
        <f t="shared" si="97"/>
        <v>0</v>
      </c>
      <c r="DP76" s="330">
        <f t="shared" si="98"/>
        <v>0</v>
      </c>
      <c r="DQ76" s="217"/>
      <c r="DR76" s="217"/>
      <c r="DS76" s="217"/>
      <c r="DT76" s="217"/>
    </row>
    <row r="77" spans="1:124" x14ac:dyDescent="0.3">
      <c r="A77" s="332"/>
      <c r="B77" s="221" t="s">
        <v>304</v>
      </c>
      <c r="C77" s="221" t="str">
        <f>IF('Simplified Material Balance'!C47=0,"",'Simplified Material Balance'!C47)</f>
        <v/>
      </c>
      <c r="D77" s="221" t="str">
        <f>IF('Simplified Material Balance'!D47=0,"",'Simplified Material Balance'!D47)</f>
        <v/>
      </c>
      <c r="E77" s="221" t="str">
        <f>IF('Simplified Material Balance'!E47=0,"",'Simplified Material Balance'!E47)</f>
        <v/>
      </c>
      <c r="F77" s="221" t="str">
        <f>IF('Simplified Material Balance'!F47=0,"",'Simplified Material Balance'!F47)</f>
        <v/>
      </c>
      <c r="G77" s="272">
        <f>IF('Simplified Material Balance'!H47&gt;'Simplified Material Balance'!G47,0,('Simplified Material Balance'!G47-'Simplified Material Balance'!H47)*Conversions!$C$4)</f>
        <v>0</v>
      </c>
      <c r="H77" s="272">
        <f>'Simplified Material Balance'!I47*Conversions!$C$4</f>
        <v>0</v>
      </c>
      <c r="I77" s="272">
        <f>('Simplified Material Balance'!J47-'Simplified Material Balance'!K47)*Conversions!$C$4</f>
        <v>0</v>
      </c>
      <c r="J77" s="325">
        <f>IF('Simplified Material Balance'!L47=0,0,'Simplified Material Balance'!L47)</f>
        <v>0</v>
      </c>
      <c r="K77" s="465"/>
      <c r="L77" s="333">
        <f>IF($F77="",0,IF($F77="Weighted Average",$G77*VLOOKUP($D77&amp;" (Install)",Lists!$C$72:$R$232,COLUMNS(Lists!$C$69:E$69),0)*VLOOKUP(BE$3,Conversions!$B$12:$E$34,4,0),$G77*VLOOKUP($F77,Lists!$C$72:$R$232,COLUMNS(Lists!$C$69:E$69),0)*VLOOKUP(BE$3,Conversions!$B$12:$E$34,4,0)))</f>
        <v>0</v>
      </c>
      <c r="M77" s="333">
        <f>IF($F77="",0,IF($F77="Weighted Average",$G77*VLOOKUP($D77&amp;" (Install)",Lists!$C$72:$R$232,COLUMNS(Lists!$C$69:F$69),0)*VLOOKUP(BF$3,Conversions!$B$12:$E$34,4,0),$G77*VLOOKUP($F77,Lists!$C$72:$R$232,COLUMNS(Lists!$C$69:F$69),0)*VLOOKUP(BF$3,Conversions!$B$12:$E$34,4,0)))</f>
        <v>0</v>
      </c>
      <c r="N77" s="333">
        <f>IF($F77="",0,IF($F77="Weighted Average",$G77*VLOOKUP($D77&amp;" (Install)",Lists!$C$72:$R$232,COLUMNS(Lists!$C$69:G$69),0)*VLOOKUP(BG$3,Conversions!$B$12:$E$34,4,0),$G77*VLOOKUP($F77,Lists!$C$72:$R$232,COLUMNS(Lists!$C$69:G$69),0)*VLOOKUP(BG$3,Conversions!$B$12:$E$34,4,0)))</f>
        <v>0</v>
      </c>
      <c r="O77" s="333">
        <f>IF($F77="",0,IF($F77="Weighted Average",$G77*VLOOKUP($D77&amp;" (Install)",Lists!$C$72:$R$232,COLUMNS(Lists!$C$69:H$69),0)*VLOOKUP(BH$3,Conversions!$B$12:$E$34,4,0),$G77*VLOOKUP($F77,Lists!$C$72:$R$232,COLUMNS(Lists!$C$69:H$69),0)*VLOOKUP(BH$3,Conversions!$B$12:$E$34,4,0)))</f>
        <v>0</v>
      </c>
      <c r="P77" s="333">
        <f>IF($F77="",0,IF($F77="Weighted Average",$G77*VLOOKUP($D77&amp;" (Install)",Lists!$C$72:$R$232,COLUMNS(Lists!$C$69:I$69),0)*VLOOKUP(BI$3,Conversions!$B$12:$E$34,4,0),$G77*VLOOKUP($F77,Lists!$C$72:$R$232,COLUMNS(Lists!$C$69:I$69),0)*VLOOKUP(BI$3,Conversions!$B$12:$E$34,4,0)))</f>
        <v>0</v>
      </c>
      <c r="Q77" s="333">
        <f>IF($F77="",0,IF($F77="Weighted Average",$G77*VLOOKUP($D77&amp;" (Install)",Lists!$C$72:$R$232,COLUMNS(Lists!$C$69:J$69),0)*VLOOKUP(BJ$3,Conversions!$B$12:$E$34,4,0),$G77*VLOOKUP($F77,Lists!$C$72:$R$232,COLUMNS(Lists!$C$69:J$69),0)*VLOOKUP(BJ$3,Conversions!$B$12:$E$34,4,0)))</f>
        <v>0</v>
      </c>
      <c r="R77" s="333">
        <f>IF($F77="",0,IF($F77="Weighted Average",$G77*VLOOKUP($D77&amp;" (Install)",Lists!$C$72:$R$232,COLUMNS(Lists!$C$69:K$69),0)*VLOOKUP(BK$3,Conversions!$B$12:$E$34,4,0),$G77*VLOOKUP($F77,Lists!$C$72:$R$232,COLUMNS(Lists!$C$69:K$69),0)*VLOOKUP(BK$3,Conversions!$B$12:$E$34,4,0)))</f>
        <v>0</v>
      </c>
      <c r="S77" s="333">
        <f>IF($F77="",0,IF($F77="Weighted Average",$G77*VLOOKUP($D77&amp;" (Install)",Lists!$C$72:$R$232,COLUMNS(Lists!$C$69:L$69),0)*VLOOKUP(BL$3,Conversions!$B$12:$E$34,4,0),$G77*VLOOKUP($F77,Lists!$C$72:$R$232,COLUMNS(Lists!$C$69:L$69),0)*VLOOKUP(BL$3,Conversions!$B$12:$E$34,4,0)))</f>
        <v>0</v>
      </c>
      <c r="T77" s="333">
        <f>IF($F77="",0,IF($F77="Weighted Average",$G77*VLOOKUP($D77&amp;" (Install)",Lists!$C$72:$R$232,COLUMNS(Lists!$C$69:M$69),0)*VLOOKUP(BM$3,Conversions!$B$12:$E$34,4,0),$G77*VLOOKUP($F77,Lists!$C$72:$R$232,COLUMNS(Lists!$C$69:M$69),0)*VLOOKUP(BM$3,Conversions!$B$12:$E$34,4,0)))</f>
        <v>0</v>
      </c>
      <c r="U77" s="333">
        <f>IF($F77="",0,IF($F77="Weighted Average",$G77*VLOOKUP($D77&amp;" (Install)",Lists!$C$72:$R$232,COLUMNS(Lists!$C$69:N$69),0)*VLOOKUP(BN$3,Conversions!$B$12:$E$34,4,0),$G77*VLOOKUP($F77,Lists!$C$72:$R$232,COLUMNS(Lists!$C$69:N$69),0)*VLOOKUP(BN$3,Conversions!$B$12:$E$34,4,0)))</f>
        <v>0</v>
      </c>
      <c r="V77" s="333">
        <f>IF($F77="",0,IF($F77="Weighted Average",$G77*VLOOKUP($D77&amp;" (Install)",Lists!$C$72:$R$232,COLUMNS(Lists!$C$69:O$69),0)*VLOOKUP(BO$3,Conversions!$B$12:$E$34,4,0),$G77*VLOOKUP($F77,Lists!$C$72:$R$232,COLUMNS(Lists!$C$69:O$69),0)*VLOOKUP(BO$3,Conversions!$B$12:$E$34,4,0)))</f>
        <v>0</v>
      </c>
      <c r="W77" s="333">
        <f>IF($F77="",0,IF($F77="Weighted Average",$G77*VLOOKUP($D77&amp;" (Install)",Lists!$C$72:$R$232,COLUMNS(Lists!$C$69:P$69),0)*VLOOKUP(BP$3,Conversions!$B$12:$E$34,4,0),$G77*VLOOKUP($F77,Lists!$C$72:$R$232,COLUMNS(Lists!$C$69:P$69),0)*VLOOKUP(BP$3,Conversions!$B$12:$E$34,4,0)))</f>
        <v>0</v>
      </c>
      <c r="X77" s="333">
        <f>IF($F77="",0,IF($F77="Weighted Average",$G77*VLOOKUP($D77&amp;" (Install)",Lists!$C$72:$R$232,COLUMNS(Lists!$C$69:Q$69),0)*VLOOKUP(BQ$3,Conversions!$B$12:$E$34,4,0),$G77*VLOOKUP($F77,Lists!$C$72:$R$232,COLUMNS(Lists!$C$69:Q$69),0)*VLOOKUP(BQ$3,Conversions!$B$12:$E$34,4,0)))</f>
        <v>0</v>
      </c>
      <c r="Y77" s="333">
        <f>IF($F77="",0,IF($F77="Weighted Average",$G77*VLOOKUP($D77&amp;" (Install)",Lists!$C$72:$R$232,COLUMNS(Lists!$C$69:R$69),0)*VLOOKUP(BR$3,Conversions!$B$12:$E$34,4,0),$G77*VLOOKUP($F77,Lists!$C$72:$R$232,COLUMNS(Lists!$C$69:R$69),0)*VLOOKUP(BR$3,Conversions!$B$12:$E$34,4,0)))</f>
        <v>0</v>
      </c>
      <c r="Z77" s="325">
        <f t="shared" si="38"/>
        <v>0</v>
      </c>
      <c r="AA77" s="334">
        <f>IF($F77="",0,IF($F77="Weighted Average",$H77*VLOOKUP($D77&amp;" (Operation)",Lists!$C$72:$R$232,COLUMNS(Lists!$C$69:E$69),0)*VLOOKUP(BE$3,Conversions!$B$12:$E$34,4,0),$H77*VLOOKUP($F77,Lists!$C$72:$R$232,COLUMNS(Lists!$C$69:E$69),0)*VLOOKUP(BE$3,Conversions!$B$12:$E$34,4,0)))</f>
        <v>0</v>
      </c>
      <c r="AB77" s="334">
        <f>IF($F77="",0,IF($F77="Weighted Average",$H77*VLOOKUP($D77&amp;" (Operation)",Lists!$C$72:$R$232,COLUMNS(Lists!$C$69:F$69),0)*VLOOKUP(BF$3,Conversions!$B$12:$E$34,4,0),$H77*VLOOKUP($F77,Lists!$C$72:$R$232,COLUMNS(Lists!$C$69:F$69),0)*VLOOKUP(BF$3,Conversions!$B$12:$E$34,4,0)))</f>
        <v>0</v>
      </c>
      <c r="AC77" s="334">
        <f>IF($F77="",0,IF($F77="Weighted Average",$H77*VLOOKUP($D77&amp;" (Operation)",Lists!$C$72:$R$232,COLUMNS(Lists!$C$69:G$69),0)*VLOOKUP(BG$3,Conversions!$B$12:$E$34,4,0),$H77*VLOOKUP($F77,Lists!$C$72:$R$232,COLUMNS(Lists!$C$69:G$69),0)*VLOOKUP(BG$3,Conversions!$B$12:$E$34,4,0)))</f>
        <v>0</v>
      </c>
      <c r="AD77" s="334">
        <f>IF($F77="",0,IF($F77="Weighted Average",$H77*VLOOKUP($D77&amp;" (Operation)",Lists!$C$72:$R$232,COLUMNS(Lists!$C$69:H$69),0)*VLOOKUP(BH$3,Conversions!$B$12:$E$34,4,0),$H77*VLOOKUP($F77,Lists!$C$72:$R$232,COLUMNS(Lists!$C$69:H$69),0)*VLOOKUP(BH$3,Conversions!$B$12:$E$34,4,0)))</f>
        <v>0</v>
      </c>
      <c r="AE77" s="334">
        <f>IF($F77="",0,IF($F77="Weighted Average",$H77*VLOOKUP($D77&amp;" (Operation)",Lists!$C$72:$R$232,COLUMNS(Lists!$C$69:I$69),0)*VLOOKUP(BI$3,Conversions!$B$12:$E$34,4,0),$H77*VLOOKUP($F77,Lists!$C$72:$R$232,COLUMNS(Lists!$C$69:I$69),0)*VLOOKUP(BI$3,Conversions!$B$12:$E$34,4,0)))</f>
        <v>0</v>
      </c>
      <c r="AF77" s="334">
        <f>IF($F77="",0,IF($F77="Weighted Average",$H77*VLOOKUP($D77&amp;" (Operation)",Lists!$C$72:$R$232,COLUMNS(Lists!$C$69:J$69),0)*VLOOKUP(BJ$3,Conversions!$B$12:$E$34,4,0),$H77*VLOOKUP($F77,Lists!$C$72:$R$232,COLUMNS(Lists!$C$69:J$69),0)*VLOOKUP(BJ$3,Conversions!$B$12:$E$34,4,0)))</f>
        <v>0</v>
      </c>
      <c r="AG77" s="334">
        <f>IF($F77="",0,IF($F77="Weighted Average",$H77*VLOOKUP($D77&amp;" (Operation)",Lists!$C$72:$R$232,COLUMNS(Lists!$C$69:K$69),0)*VLOOKUP(BK$3,Conversions!$B$12:$E$34,4,0),$H77*VLOOKUP($F77,Lists!$C$72:$R$232,COLUMNS(Lists!$C$69:K$69),0)*VLOOKUP(BK$3,Conversions!$B$12:$E$34,4,0)))</f>
        <v>0</v>
      </c>
      <c r="AH77" s="334">
        <f>IF($F77="",0,IF($F77="Weighted Average",$H77*VLOOKUP($D77&amp;" (Operation)",Lists!$C$72:$R$232,COLUMNS(Lists!$C$69:L$69),0)*VLOOKUP(BL$3,Conversions!$B$12:$E$34,4,0),$H77*VLOOKUP($F77,Lists!$C$72:$R$232,COLUMNS(Lists!$C$69:L$69),0)*VLOOKUP(BL$3,Conversions!$B$12:$E$34,4,0)))</f>
        <v>0</v>
      </c>
      <c r="AI77" s="334">
        <f>IF($F77="",0,IF($F77="Weighted Average",$H77*VLOOKUP($D77&amp;" (Operation)",Lists!$C$72:$R$232,COLUMNS(Lists!$C$69:M$69),0)*VLOOKUP(BM$3,Conversions!$B$12:$E$34,4,0),$H77*VLOOKUP($F77,Lists!$C$72:$R$232,COLUMNS(Lists!$C$69:M$69),0)*VLOOKUP(BM$3,Conversions!$B$12:$E$34,4,0)))</f>
        <v>0</v>
      </c>
      <c r="AJ77" s="334">
        <f>IF($F77="",0,IF($F77="Weighted Average",$H77*VLOOKUP($D77&amp;" (Operation)",Lists!$C$72:$R$232,COLUMNS(Lists!$C$69:N$69),0)*VLOOKUP(BN$3,Conversions!$B$12:$E$34,4,0),$H77*VLOOKUP($F77,Lists!$C$72:$R$232,COLUMNS(Lists!$C$69:N$69),0)*VLOOKUP(BN$3,Conversions!$B$12:$E$34,4,0)))</f>
        <v>0</v>
      </c>
      <c r="AK77" s="334">
        <f>IF($F77="",0,IF($F77="Weighted Average",$H77*VLOOKUP($D77&amp;" (Operation)",Lists!$C$72:$R$232,COLUMNS(Lists!$C$69:O$69),0)*VLOOKUP(BO$3,Conversions!$B$12:$E$34,4,0),$H77*VLOOKUP($F77,Lists!$C$72:$R$232,COLUMNS(Lists!$C$69:O$69),0)*VLOOKUP(BO$3,Conversions!$B$12:$E$34,4,0)))</f>
        <v>0</v>
      </c>
      <c r="AL77" s="334">
        <f>IF($F77="",0,IF($F77="Weighted Average",$H77*VLOOKUP($D77&amp;" (Operation)",Lists!$C$72:$R$232,COLUMNS(Lists!$C$69:P$69),0)*VLOOKUP(BP$3,Conversions!$B$12:$E$34,4,0),$H77*VLOOKUP($F77,Lists!$C$72:$R$232,COLUMNS(Lists!$C$69:P$69),0)*VLOOKUP(BP$3,Conversions!$B$12:$E$34,4,0)))</f>
        <v>0</v>
      </c>
      <c r="AM77" s="334">
        <f>IF($F77="",0,IF($F77="Weighted Average",$H77*VLOOKUP($D77&amp;" (Operation)",Lists!$C$72:$R$232,COLUMNS(Lists!$C$69:Q$69),0)*VLOOKUP(BQ$3,Conversions!$B$12:$E$34,4,0),$H77*VLOOKUP($F77,Lists!$C$72:$R$232,COLUMNS(Lists!$C$69:Q$69),0)*VLOOKUP(BQ$3,Conversions!$B$12:$E$34,4,0)))</f>
        <v>0</v>
      </c>
      <c r="AN77" s="334">
        <f>IF($F77="",0,IF($F77="Weighted Average",$H77*VLOOKUP($D77&amp;" (Operation)",Lists!$C$72:$R$232,COLUMNS(Lists!$C$69:R$69),0)*VLOOKUP(BR$3,Conversions!$B$12:$E$34,4,0),$H77*VLOOKUP($F77,Lists!$C$72:$R$232,COLUMNS(Lists!$C$69:R$69),0)*VLOOKUP(BR$3,Conversions!$B$12:$E$34,4,0)))</f>
        <v>0</v>
      </c>
      <c r="AO77" s="330">
        <f t="shared" si="39"/>
        <v>0</v>
      </c>
      <c r="AP77" s="333">
        <f>IF($F77="",0,IF($F77="Weighted Average",$I77*VLOOKUP($D77&amp;" (Disposal)",Lists!$C$72:$R$232,COLUMNS(Lists!$C$69:E$69),0)*VLOOKUP(BE$3,Conversions!$B$12:$E$34,4,0),$I77*VLOOKUP($F77,Lists!$C$72:$R$232,COLUMNS(Lists!$C$69:E$69),0)*VLOOKUP(BE$3,Conversions!$B$12:$E$34,4,0)))</f>
        <v>0</v>
      </c>
      <c r="AQ77" s="333">
        <f>IF($F77="",0,IF($F77="Weighted Average",$I77*VLOOKUP($D77&amp;" (Disposal)",Lists!$C$72:$R$232,COLUMNS(Lists!$C$69:F$69),0)*VLOOKUP(BF$3,Conversions!$B$12:$E$34,4,0),$I77*VLOOKUP($F77,Lists!$C$72:$R$232,COLUMNS(Lists!$C$69:F$69),0)*VLOOKUP(BF$3,Conversions!$B$12:$E$34,4,0)))</f>
        <v>0</v>
      </c>
      <c r="AR77" s="333">
        <f>IF($F77="",0,IF($F77="Weighted Average",$I77*VLOOKUP($D77&amp;" (Disposal)",Lists!$C$72:$R$232,COLUMNS(Lists!$C$69:G$69),0)*VLOOKUP(BG$3,Conversions!$B$12:$E$34,4,0),$I77*VLOOKUP($F77,Lists!$C$72:$R$232,COLUMNS(Lists!$C$69:G$69),0)*VLOOKUP(BG$3,Conversions!$B$12:$E$34,4,0)))</f>
        <v>0</v>
      </c>
      <c r="AS77" s="333">
        <f>IF($F77="",0,IF($F77="Weighted Average",$I77*VLOOKUP($D77&amp;" (Disposal)",Lists!$C$72:$R$232,COLUMNS(Lists!$C$69:H$69),0)*VLOOKUP(BH$3,Conversions!$B$12:$E$34,4,0),$I77*VLOOKUP($F77,Lists!$C$72:$R$232,COLUMNS(Lists!$C$69:H$69),0)*VLOOKUP(BH$3,Conversions!$B$12:$E$34,4,0)))</f>
        <v>0</v>
      </c>
      <c r="AT77" s="333">
        <f>IF($F77="",0,IF($F77="Weighted Average",$I77*VLOOKUP($D77&amp;" (Disposal)",Lists!$C$72:$R$232,COLUMNS(Lists!$C$69:I$69),0)*VLOOKUP(BI$3,Conversions!$B$12:$E$34,4,0),$I77*VLOOKUP($F77,Lists!$C$72:$R$232,COLUMNS(Lists!$C$69:I$69),0)*VLOOKUP(BI$3,Conversions!$B$12:$E$34,4,0)))</f>
        <v>0</v>
      </c>
      <c r="AU77" s="333">
        <f>IF($F77="",0,IF($F77="Weighted Average",$I77*VLOOKUP($D77&amp;" (Disposal)",Lists!$C$72:$R$232,COLUMNS(Lists!$C$69:J$69),0)*VLOOKUP(BJ$3,Conversions!$B$12:$E$34,4,0),$I77*VLOOKUP($F77,Lists!$C$72:$R$232,COLUMNS(Lists!$C$69:J$69),0)*VLOOKUP(BJ$3,Conversions!$B$12:$E$34,4,0)))</f>
        <v>0</v>
      </c>
      <c r="AV77" s="333">
        <f>IF($F77="",0,IF($F77="Weighted Average",$I77*VLOOKUP($D77&amp;" (Disposal)",Lists!$C$72:$R$232,COLUMNS(Lists!$C$69:K$69),0)*VLOOKUP(BK$3,Conversions!$B$12:$E$34,4,0),$I77*VLOOKUP($F77,Lists!$C$72:$R$232,COLUMNS(Lists!$C$69:K$69),0)*VLOOKUP(BK$3,Conversions!$B$12:$E$34,4,0)))</f>
        <v>0</v>
      </c>
      <c r="AW77" s="333">
        <f>IF($F77="",0,IF($F77="Weighted Average",$I77*VLOOKUP($D77&amp;" (Disposal)",Lists!$C$72:$R$232,COLUMNS(Lists!$C$69:L$69),0)*VLOOKUP(BL$3,Conversions!$B$12:$E$34,4,0),$I77*VLOOKUP($F77,Lists!$C$72:$R$232,COLUMNS(Lists!$C$69:L$69),0)*VLOOKUP(BL$3,Conversions!$B$12:$E$34,4,0)))</f>
        <v>0</v>
      </c>
      <c r="AX77" s="333">
        <f>IF($F77="",0,IF($F77="Weighted Average",$I77*VLOOKUP($D77&amp;" (Disposal)",Lists!$C$72:$R$232,COLUMNS(Lists!$C$69:M$69),0)*VLOOKUP(BM$3,Conversions!$B$12:$E$34,4,0),$I77*VLOOKUP($F77,Lists!$C$72:$R$232,COLUMNS(Lists!$C$69:M$69),0)*VLOOKUP(BM$3,Conversions!$B$12:$E$34,4,0)))</f>
        <v>0</v>
      </c>
      <c r="AY77" s="333">
        <f>IF($F77="",0,IF($F77="Weighted Average",$I77*VLOOKUP($D77&amp;" (Disposal)",Lists!$C$72:$R$232,COLUMNS(Lists!$C$69:N$69),0)*VLOOKUP(BN$3,Conversions!$B$12:$E$34,4,0),$I77*VLOOKUP($F77,Lists!$C$72:$R$232,COLUMNS(Lists!$C$69:N$69),0)*VLOOKUP(BN$3,Conversions!$B$12:$E$34,4,0)))</f>
        <v>0</v>
      </c>
      <c r="AZ77" s="333">
        <f>IF($F77="",0,IF($F77="Weighted Average",$I77*VLOOKUP($D77&amp;" (Disposal)",Lists!$C$72:$R$232,COLUMNS(Lists!$C$69:O$69),0)*VLOOKUP(BO$3,Conversions!$B$12:$E$34,4,0),$I77*VLOOKUP($F77,Lists!$C$72:$R$232,COLUMNS(Lists!$C$69:O$69),0)*VLOOKUP(BO$3,Conversions!$B$12:$E$34,4,0)))</f>
        <v>0</v>
      </c>
      <c r="BA77" s="333">
        <f>IF($F77="",0,IF($F77="Weighted Average",$I77*VLOOKUP($D77&amp;" (Disposal)",Lists!$C$72:$R$232,COLUMNS(Lists!$C$69:P$69),0)*VLOOKUP(BP$3,Conversions!$B$12:$E$34,4,0),$I77*VLOOKUP($F77,Lists!$C$72:$R$232,COLUMNS(Lists!$C$69:P$69),0)*VLOOKUP(BP$3,Conversions!$B$12:$E$34,4,0)))</f>
        <v>0</v>
      </c>
      <c r="BB77" s="333">
        <f>IF($F77="",0,IF($F77="Weighted Average",$I77*VLOOKUP($D77&amp;" (Disposal)",Lists!$C$72:$R$232,COLUMNS(Lists!$C$69:Q$69),0)*VLOOKUP(BQ$3,Conversions!$B$12:$E$34,4,0),$I77*VLOOKUP($F77,Lists!$C$72:$R$232,COLUMNS(Lists!$C$69:Q$69),0)*VLOOKUP(BQ$3,Conversions!$B$12:$E$34,4,0)))</f>
        <v>0</v>
      </c>
      <c r="BC77" s="333">
        <f>IF($F77="",0,IF($F77="Weighted Average",$I77*VLOOKUP($D77&amp;" (Disposal)",Lists!$C$72:$R$232,COLUMNS(Lists!$C$69:R$69),0)*VLOOKUP(BR$3,Conversions!$B$12:$E$34,4,0),$I77*VLOOKUP($F77,Lists!$C$72:$R$232,COLUMNS(Lists!$C$69:R$69),0)*VLOOKUP(BR$3,Conversions!$B$12:$E$34,4,0)))</f>
        <v>0</v>
      </c>
      <c r="BD77" s="333">
        <f t="shared" si="40"/>
        <v>0</v>
      </c>
      <c r="BE77" s="330">
        <f t="shared" si="41"/>
        <v>0</v>
      </c>
      <c r="BF77" s="330">
        <f t="shared" si="42"/>
        <v>0</v>
      </c>
      <c r="BG77" s="330">
        <f t="shared" si="43"/>
        <v>0</v>
      </c>
      <c r="BH77" s="330">
        <f t="shared" si="44"/>
        <v>0</v>
      </c>
      <c r="BI77" s="330">
        <f t="shared" si="45"/>
        <v>0</v>
      </c>
      <c r="BJ77" s="330">
        <f t="shared" si="46"/>
        <v>0</v>
      </c>
      <c r="BK77" s="330">
        <f t="shared" si="47"/>
        <v>0</v>
      </c>
      <c r="BL77" s="330">
        <f t="shared" si="48"/>
        <v>0</v>
      </c>
      <c r="BM77" s="330">
        <f t="shared" si="49"/>
        <v>0</v>
      </c>
      <c r="BN77" s="330">
        <f t="shared" si="50"/>
        <v>0</v>
      </c>
      <c r="BO77" s="330">
        <f t="shared" si="51"/>
        <v>0</v>
      </c>
      <c r="BP77" s="330">
        <f t="shared" si="52"/>
        <v>0</v>
      </c>
      <c r="BQ77" s="330">
        <f t="shared" si="53"/>
        <v>0</v>
      </c>
      <c r="BR77" s="330">
        <f t="shared" si="54"/>
        <v>0</v>
      </c>
      <c r="BS77" s="330">
        <f t="shared" si="55"/>
        <v>0</v>
      </c>
      <c r="BT77" s="329">
        <f t="shared" si="95"/>
        <v>0</v>
      </c>
      <c r="BU77" s="329">
        <f t="shared" si="95"/>
        <v>0</v>
      </c>
      <c r="BV77" s="329">
        <f t="shared" si="95"/>
        <v>0</v>
      </c>
      <c r="BW77" s="329">
        <f t="shared" si="95"/>
        <v>0</v>
      </c>
      <c r="BX77" s="329">
        <f t="shared" si="95"/>
        <v>0</v>
      </c>
      <c r="BY77" s="329">
        <f t="shared" si="95"/>
        <v>0</v>
      </c>
      <c r="BZ77" s="329">
        <f t="shared" si="95"/>
        <v>0</v>
      </c>
      <c r="CA77" s="329">
        <f t="shared" si="95"/>
        <v>0</v>
      </c>
      <c r="CB77" s="329">
        <f t="shared" si="95"/>
        <v>0</v>
      </c>
      <c r="CC77" s="329">
        <f t="shared" si="95"/>
        <v>0</v>
      </c>
      <c r="CD77" s="329">
        <f t="shared" si="95"/>
        <v>0</v>
      </c>
      <c r="CE77" s="329">
        <f t="shared" si="95"/>
        <v>0</v>
      </c>
      <c r="CF77" s="329">
        <f t="shared" si="95"/>
        <v>0</v>
      </c>
      <c r="CG77" s="329">
        <f t="shared" si="95"/>
        <v>0</v>
      </c>
      <c r="CH77" s="329">
        <f t="shared" si="95"/>
        <v>0</v>
      </c>
      <c r="CI77" s="329">
        <f t="shared" si="95"/>
        <v>0</v>
      </c>
      <c r="CJ77" s="331">
        <f t="shared" si="1"/>
        <v>0</v>
      </c>
      <c r="CK77" s="330">
        <f t="shared" si="5"/>
        <v>0</v>
      </c>
      <c r="CL77" s="330">
        <f t="shared" si="6"/>
        <v>0</v>
      </c>
      <c r="CM77" s="330">
        <f t="shared" si="7"/>
        <v>0</v>
      </c>
      <c r="CN77" s="330">
        <f t="shared" si="8"/>
        <v>0</v>
      </c>
      <c r="CO77" s="330">
        <f t="shared" si="9"/>
        <v>0</v>
      </c>
      <c r="CP77" s="330">
        <f t="shared" si="10"/>
        <v>0</v>
      </c>
      <c r="CQ77" s="330">
        <f t="shared" si="94"/>
        <v>0</v>
      </c>
      <c r="CR77" s="330">
        <f t="shared" si="12"/>
        <v>0</v>
      </c>
      <c r="CS77" s="330">
        <f t="shared" si="13"/>
        <v>0</v>
      </c>
      <c r="CT77" s="330">
        <f t="shared" si="14"/>
        <v>0</v>
      </c>
      <c r="CU77" s="330">
        <f t="shared" si="96"/>
        <v>0</v>
      </c>
      <c r="CV77" s="330">
        <f t="shared" si="96"/>
        <v>0</v>
      </c>
      <c r="CW77" s="330">
        <f t="shared" si="96"/>
        <v>0</v>
      </c>
      <c r="CX77" s="330">
        <f t="shared" si="96"/>
        <v>0</v>
      </c>
      <c r="CY77" s="330">
        <f t="shared" si="96"/>
        <v>0</v>
      </c>
      <c r="CZ77" s="330">
        <f t="shared" si="96"/>
        <v>0</v>
      </c>
      <c r="DA77" s="330">
        <f t="shared" si="96"/>
        <v>0</v>
      </c>
      <c r="DB77" s="330">
        <f t="shared" si="96"/>
        <v>0</v>
      </c>
      <c r="DC77" s="330">
        <f t="shared" si="96"/>
        <v>0</v>
      </c>
      <c r="DD77" s="330">
        <f t="shared" si="96"/>
        <v>0</v>
      </c>
      <c r="DE77" s="330">
        <f t="shared" si="97"/>
        <v>0</v>
      </c>
      <c r="DF77" s="330">
        <f t="shared" si="97"/>
        <v>0</v>
      </c>
      <c r="DG77" s="330">
        <f t="shared" si="97"/>
        <v>0</v>
      </c>
      <c r="DH77" s="330">
        <f t="shared" si="97"/>
        <v>0</v>
      </c>
      <c r="DI77" s="330">
        <f t="shared" si="97"/>
        <v>0</v>
      </c>
      <c r="DJ77" s="330">
        <f t="shared" si="97"/>
        <v>0</v>
      </c>
      <c r="DK77" s="330">
        <f t="shared" si="97"/>
        <v>0</v>
      </c>
      <c r="DL77" s="330">
        <f t="shared" si="97"/>
        <v>0</v>
      </c>
      <c r="DM77" s="330">
        <f t="shared" si="97"/>
        <v>0</v>
      </c>
      <c r="DN77" s="330">
        <f t="shared" si="97"/>
        <v>0</v>
      </c>
      <c r="DO77" s="330">
        <f t="shared" si="97"/>
        <v>0</v>
      </c>
      <c r="DP77" s="330">
        <f t="shared" si="98"/>
        <v>0</v>
      </c>
      <c r="DQ77" s="217"/>
      <c r="DR77" s="217"/>
      <c r="DS77" s="217"/>
      <c r="DT77" s="217"/>
    </row>
    <row r="78" spans="1:124" x14ac:dyDescent="0.3">
      <c r="A78" s="332"/>
      <c r="B78" s="221" t="s">
        <v>304</v>
      </c>
      <c r="C78" s="221" t="str">
        <f>IF('Simplified Material Balance'!C48=0,"",'Simplified Material Balance'!C48)</f>
        <v/>
      </c>
      <c r="D78" s="221" t="str">
        <f>IF('Simplified Material Balance'!D48=0,"",'Simplified Material Balance'!D48)</f>
        <v/>
      </c>
      <c r="E78" s="221" t="str">
        <f>IF('Simplified Material Balance'!E48=0,"",'Simplified Material Balance'!E48)</f>
        <v/>
      </c>
      <c r="F78" s="221" t="str">
        <f>IF('Simplified Material Balance'!F48=0,"",'Simplified Material Balance'!F48)</f>
        <v/>
      </c>
      <c r="G78" s="272">
        <f>IF('Simplified Material Balance'!H48&gt;'Simplified Material Balance'!G48,0,('Simplified Material Balance'!G48-'Simplified Material Balance'!H48)*Conversions!$C$4)</f>
        <v>0</v>
      </c>
      <c r="H78" s="272">
        <f>'Simplified Material Balance'!I48*Conversions!$C$4</f>
        <v>0</v>
      </c>
      <c r="I78" s="272">
        <f>('Simplified Material Balance'!J48-'Simplified Material Balance'!K48)*Conversions!$C$4</f>
        <v>0</v>
      </c>
      <c r="J78" s="325">
        <f>IF('Simplified Material Balance'!L48=0,0,'Simplified Material Balance'!L48)</f>
        <v>0</v>
      </c>
      <c r="K78" s="465"/>
      <c r="L78" s="333">
        <f>IF($F78="",0,IF($F78="Weighted Average",$G78*VLOOKUP($D78&amp;" (Install)",Lists!$C$72:$R$232,COLUMNS(Lists!$C$69:E$69),0)*VLOOKUP(BE$3,Conversions!$B$12:$E$34,4,0),$G78*VLOOKUP($F78,Lists!$C$72:$R$232,COLUMNS(Lists!$C$69:E$69),0)*VLOOKUP(BE$3,Conversions!$B$12:$E$34,4,0)))</f>
        <v>0</v>
      </c>
      <c r="M78" s="333">
        <f>IF($F78="",0,IF($F78="Weighted Average",$G78*VLOOKUP($D78&amp;" (Install)",Lists!$C$72:$R$232,COLUMNS(Lists!$C$69:F$69),0)*VLOOKUP(BF$3,Conversions!$B$12:$E$34,4,0),$G78*VLOOKUP($F78,Lists!$C$72:$R$232,COLUMNS(Lists!$C$69:F$69),0)*VLOOKUP(BF$3,Conversions!$B$12:$E$34,4,0)))</f>
        <v>0</v>
      </c>
      <c r="N78" s="333">
        <f>IF($F78="",0,IF($F78="Weighted Average",$G78*VLOOKUP($D78&amp;" (Install)",Lists!$C$72:$R$232,COLUMNS(Lists!$C$69:G$69),0)*VLOOKUP(BG$3,Conversions!$B$12:$E$34,4,0),$G78*VLOOKUP($F78,Lists!$C$72:$R$232,COLUMNS(Lists!$C$69:G$69),0)*VLOOKUP(BG$3,Conversions!$B$12:$E$34,4,0)))</f>
        <v>0</v>
      </c>
      <c r="O78" s="333">
        <f>IF($F78="",0,IF($F78="Weighted Average",$G78*VLOOKUP($D78&amp;" (Install)",Lists!$C$72:$R$232,COLUMNS(Lists!$C$69:H$69),0)*VLOOKUP(BH$3,Conversions!$B$12:$E$34,4,0),$G78*VLOOKUP($F78,Lists!$C$72:$R$232,COLUMNS(Lists!$C$69:H$69),0)*VLOOKUP(BH$3,Conversions!$B$12:$E$34,4,0)))</f>
        <v>0</v>
      </c>
      <c r="P78" s="333">
        <f>IF($F78="",0,IF($F78="Weighted Average",$G78*VLOOKUP($D78&amp;" (Install)",Lists!$C$72:$R$232,COLUMNS(Lists!$C$69:I$69),0)*VLOOKUP(BI$3,Conversions!$B$12:$E$34,4,0),$G78*VLOOKUP($F78,Lists!$C$72:$R$232,COLUMNS(Lists!$C$69:I$69),0)*VLOOKUP(BI$3,Conversions!$B$12:$E$34,4,0)))</f>
        <v>0</v>
      </c>
      <c r="Q78" s="333">
        <f>IF($F78="",0,IF($F78="Weighted Average",$G78*VLOOKUP($D78&amp;" (Install)",Lists!$C$72:$R$232,COLUMNS(Lists!$C$69:J$69),0)*VLOOKUP(BJ$3,Conversions!$B$12:$E$34,4,0),$G78*VLOOKUP($F78,Lists!$C$72:$R$232,COLUMNS(Lists!$C$69:J$69),0)*VLOOKUP(BJ$3,Conversions!$B$12:$E$34,4,0)))</f>
        <v>0</v>
      </c>
      <c r="R78" s="333">
        <f>IF($F78="",0,IF($F78="Weighted Average",$G78*VLOOKUP($D78&amp;" (Install)",Lists!$C$72:$R$232,COLUMNS(Lists!$C$69:K$69),0)*VLOOKUP(BK$3,Conversions!$B$12:$E$34,4,0),$G78*VLOOKUP($F78,Lists!$C$72:$R$232,COLUMNS(Lists!$C$69:K$69),0)*VLOOKUP(BK$3,Conversions!$B$12:$E$34,4,0)))</f>
        <v>0</v>
      </c>
      <c r="S78" s="333">
        <f>IF($F78="",0,IF($F78="Weighted Average",$G78*VLOOKUP($D78&amp;" (Install)",Lists!$C$72:$R$232,COLUMNS(Lists!$C$69:L$69),0)*VLOOKUP(BL$3,Conversions!$B$12:$E$34,4,0),$G78*VLOOKUP($F78,Lists!$C$72:$R$232,COLUMNS(Lists!$C$69:L$69),0)*VLOOKUP(BL$3,Conversions!$B$12:$E$34,4,0)))</f>
        <v>0</v>
      </c>
      <c r="T78" s="333">
        <f>IF($F78="",0,IF($F78="Weighted Average",$G78*VLOOKUP($D78&amp;" (Install)",Lists!$C$72:$R$232,COLUMNS(Lists!$C$69:M$69),0)*VLOOKUP(BM$3,Conversions!$B$12:$E$34,4,0),$G78*VLOOKUP($F78,Lists!$C$72:$R$232,COLUMNS(Lists!$C$69:M$69),0)*VLOOKUP(BM$3,Conversions!$B$12:$E$34,4,0)))</f>
        <v>0</v>
      </c>
      <c r="U78" s="333">
        <f>IF($F78="",0,IF($F78="Weighted Average",$G78*VLOOKUP($D78&amp;" (Install)",Lists!$C$72:$R$232,COLUMNS(Lists!$C$69:N$69),0)*VLOOKUP(BN$3,Conversions!$B$12:$E$34,4,0),$G78*VLOOKUP($F78,Lists!$C$72:$R$232,COLUMNS(Lists!$C$69:N$69),0)*VLOOKUP(BN$3,Conversions!$B$12:$E$34,4,0)))</f>
        <v>0</v>
      </c>
      <c r="V78" s="333">
        <f>IF($F78="",0,IF($F78="Weighted Average",$G78*VLOOKUP($D78&amp;" (Install)",Lists!$C$72:$R$232,COLUMNS(Lists!$C$69:O$69),0)*VLOOKUP(BO$3,Conversions!$B$12:$E$34,4,0),$G78*VLOOKUP($F78,Lists!$C$72:$R$232,COLUMNS(Lists!$C$69:O$69),0)*VLOOKUP(BO$3,Conversions!$B$12:$E$34,4,0)))</f>
        <v>0</v>
      </c>
      <c r="W78" s="333">
        <f>IF($F78="",0,IF($F78="Weighted Average",$G78*VLOOKUP($D78&amp;" (Install)",Lists!$C$72:$R$232,COLUMNS(Lists!$C$69:P$69),0)*VLOOKUP(BP$3,Conversions!$B$12:$E$34,4,0),$G78*VLOOKUP($F78,Lists!$C$72:$R$232,COLUMNS(Lists!$C$69:P$69),0)*VLOOKUP(BP$3,Conversions!$B$12:$E$34,4,0)))</f>
        <v>0</v>
      </c>
      <c r="X78" s="333">
        <f>IF($F78="",0,IF($F78="Weighted Average",$G78*VLOOKUP($D78&amp;" (Install)",Lists!$C$72:$R$232,COLUMNS(Lists!$C$69:Q$69),0)*VLOOKUP(BQ$3,Conversions!$B$12:$E$34,4,0),$G78*VLOOKUP($F78,Lists!$C$72:$R$232,COLUMNS(Lists!$C$69:Q$69),0)*VLOOKUP(BQ$3,Conversions!$B$12:$E$34,4,0)))</f>
        <v>0</v>
      </c>
      <c r="Y78" s="333">
        <f>IF($F78="",0,IF($F78="Weighted Average",$G78*VLOOKUP($D78&amp;" (Install)",Lists!$C$72:$R$232,COLUMNS(Lists!$C$69:R$69),0)*VLOOKUP(BR$3,Conversions!$B$12:$E$34,4,0),$G78*VLOOKUP($F78,Lists!$C$72:$R$232,COLUMNS(Lists!$C$69:R$69),0)*VLOOKUP(BR$3,Conversions!$B$12:$E$34,4,0)))</f>
        <v>0</v>
      </c>
      <c r="Z78" s="325">
        <f t="shared" si="38"/>
        <v>0</v>
      </c>
      <c r="AA78" s="334">
        <f>IF($F78="",0,IF($F78="Weighted Average",$H78*VLOOKUP($D78&amp;" (Operation)",Lists!$C$72:$R$232,COLUMNS(Lists!$C$69:E$69),0)*VLOOKUP(BE$3,Conversions!$B$12:$E$34,4,0),$H78*VLOOKUP($F78,Lists!$C$72:$R$232,COLUMNS(Lists!$C$69:E$69),0)*VLOOKUP(BE$3,Conversions!$B$12:$E$34,4,0)))</f>
        <v>0</v>
      </c>
      <c r="AB78" s="334">
        <f>IF($F78="",0,IF($F78="Weighted Average",$H78*VLOOKUP($D78&amp;" (Operation)",Lists!$C$72:$R$232,COLUMNS(Lists!$C$69:F$69),0)*VLOOKUP(BF$3,Conversions!$B$12:$E$34,4,0),$H78*VLOOKUP($F78,Lists!$C$72:$R$232,COLUMNS(Lists!$C$69:F$69),0)*VLOOKUP(BF$3,Conversions!$B$12:$E$34,4,0)))</f>
        <v>0</v>
      </c>
      <c r="AC78" s="334">
        <f>IF($F78="",0,IF($F78="Weighted Average",$H78*VLOOKUP($D78&amp;" (Operation)",Lists!$C$72:$R$232,COLUMNS(Lists!$C$69:G$69),0)*VLOOKUP(BG$3,Conversions!$B$12:$E$34,4,0),$H78*VLOOKUP($F78,Lists!$C$72:$R$232,COLUMNS(Lists!$C$69:G$69),0)*VLOOKUP(BG$3,Conversions!$B$12:$E$34,4,0)))</f>
        <v>0</v>
      </c>
      <c r="AD78" s="334">
        <f>IF($F78="",0,IF($F78="Weighted Average",$H78*VLOOKUP($D78&amp;" (Operation)",Lists!$C$72:$R$232,COLUMNS(Lists!$C$69:H$69),0)*VLOOKUP(BH$3,Conversions!$B$12:$E$34,4,0),$H78*VLOOKUP($F78,Lists!$C$72:$R$232,COLUMNS(Lists!$C$69:H$69),0)*VLOOKUP(BH$3,Conversions!$B$12:$E$34,4,0)))</f>
        <v>0</v>
      </c>
      <c r="AE78" s="334">
        <f>IF($F78="",0,IF($F78="Weighted Average",$H78*VLOOKUP($D78&amp;" (Operation)",Lists!$C$72:$R$232,COLUMNS(Lists!$C$69:I$69),0)*VLOOKUP(BI$3,Conversions!$B$12:$E$34,4,0),$H78*VLOOKUP($F78,Lists!$C$72:$R$232,COLUMNS(Lists!$C$69:I$69),0)*VLOOKUP(BI$3,Conversions!$B$12:$E$34,4,0)))</f>
        <v>0</v>
      </c>
      <c r="AF78" s="334">
        <f>IF($F78="",0,IF($F78="Weighted Average",$H78*VLOOKUP($D78&amp;" (Operation)",Lists!$C$72:$R$232,COLUMNS(Lists!$C$69:J$69),0)*VLOOKUP(BJ$3,Conversions!$B$12:$E$34,4,0),$H78*VLOOKUP($F78,Lists!$C$72:$R$232,COLUMNS(Lists!$C$69:J$69),0)*VLOOKUP(BJ$3,Conversions!$B$12:$E$34,4,0)))</f>
        <v>0</v>
      </c>
      <c r="AG78" s="334">
        <f>IF($F78="",0,IF($F78="Weighted Average",$H78*VLOOKUP($D78&amp;" (Operation)",Lists!$C$72:$R$232,COLUMNS(Lists!$C$69:K$69),0)*VLOOKUP(BK$3,Conversions!$B$12:$E$34,4,0),$H78*VLOOKUP($F78,Lists!$C$72:$R$232,COLUMNS(Lists!$C$69:K$69),0)*VLOOKUP(BK$3,Conversions!$B$12:$E$34,4,0)))</f>
        <v>0</v>
      </c>
      <c r="AH78" s="334">
        <f>IF($F78="",0,IF($F78="Weighted Average",$H78*VLOOKUP($D78&amp;" (Operation)",Lists!$C$72:$R$232,COLUMNS(Lists!$C$69:L$69),0)*VLOOKUP(BL$3,Conversions!$B$12:$E$34,4,0),$H78*VLOOKUP($F78,Lists!$C$72:$R$232,COLUMNS(Lists!$C$69:L$69),0)*VLOOKUP(BL$3,Conversions!$B$12:$E$34,4,0)))</f>
        <v>0</v>
      </c>
      <c r="AI78" s="334">
        <f>IF($F78="",0,IF($F78="Weighted Average",$H78*VLOOKUP($D78&amp;" (Operation)",Lists!$C$72:$R$232,COLUMNS(Lists!$C$69:M$69),0)*VLOOKUP(BM$3,Conversions!$B$12:$E$34,4,0),$H78*VLOOKUP($F78,Lists!$C$72:$R$232,COLUMNS(Lists!$C$69:M$69),0)*VLOOKUP(BM$3,Conversions!$B$12:$E$34,4,0)))</f>
        <v>0</v>
      </c>
      <c r="AJ78" s="334">
        <f>IF($F78="",0,IF($F78="Weighted Average",$H78*VLOOKUP($D78&amp;" (Operation)",Lists!$C$72:$R$232,COLUMNS(Lists!$C$69:N$69),0)*VLOOKUP(BN$3,Conversions!$B$12:$E$34,4,0),$H78*VLOOKUP($F78,Lists!$C$72:$R$232,COLUMNS(Lists!$C$69:N$69),0)*VLOOKUP(BN$3,Conversions!$B$12:$E$34,4,0)))</f>
        <v>0</v>
      </c>
      <c r="AK78" s="334">
        <f>IF($F78="",0,IF($F78="Weighted Average",$H78*VLOOKUP($D78&amp;" (Operation)",Lists!$C$72:$R$232,COLUMNS(Lists!$C$69:O$69),0)*VLOOKUP(BO$3,Conversions!$B$12:$E$34,4,0),$H78*VLOOKUP($F78,Lists!$C$72:$R$232,COLUMNS(Lists!$C$69:O$69),0)*VLOOKUP(BO$3,Conversions!$B$12:$E$34,4,0)))</f>
        <v>0</v>
      </c>
      <c r="AL78" s="334">
        <f>IF($F78="",0,IF($F78="Weighted Average",$H78*VLOOKUP($D78&amp;" (Operation)",Lists!$C$72:$R$232,COLUMNS(Lists!$C$69:P$69),0)*VLOOKUP(BP$3,Conversions!$B$12:$E$34,4,0),$H78*VLOOKUP($F78,Lists!$C$72:$R$232,COLUMNS(Lists!$C$69:P$69),0)*VLOOKUP(BP$3,Conversions!$B$12:$E$34,4,0)))</f>
        <v>0</v>
      </c>
      <c r="AM78" s="334">
        <f>IF($F78="",0,IF($F78="Weighted Average",$H78*VLOOKUP($D78&amp;" (Operation)",Lists!$C$72:$R$232,COLUMNS(Lists!$C$69:Q$69),0)*VLOOKUP(BQ$3,Conversions!$B$12:$E$34,4,0),$H78*VLOOKUP($F78,Lists!$C$72:$R$232,COLUMNS(Lists!$C$69:Q$69),0)*VLOOKUP(BQ$3,Conversions!$B$12:$E$34,4,0)))</f>
        <v>0</v>
      </c>
      <c r="AN78" s="334">
        <f>IF($F78="",0,IF($F78="Weighted Average",$H78*VLOOKUP($D78&amp;" (Operation)",Lists!$C$72:$R$232,COLUMNS(Lists!$C$69:R$69),0)*VLOOKUP(BR$3,Conversions!$B$12:$E$34,4,0),$H78*VLOOKUP($F78,Lists!$C$72:$R$232,COLUMNS(Lists!$C$69:R$69),0)*VLOOKUP(BR$3,Conversions!$B$12:$E$34,4,0)))</f>
        <v>0</v>
      </c>
      <c r="AO78" s="330">
        <f t="shared" si="39"/>
        <v>0</v>
      </c>
      <c r="AP78" s="333">
        <f>IF($F78="",0,IF($F78="Weighted Average",$I78*VLOOKUP($D78&amp;" (Disposal)",Lists!$C$72:$R$232,COLUMNS(Lists!$C$69:E$69),0)*VLOOKUP(BE$3,Conversions!$B$12:$E$34,4,0),$I78*VLOOKUP($F78,Lists!$C$72:$R$232,COLUMNS(Lists!$C$69:E$69),0)*VLOOKUP(BE$3,Conversions!$B$12:$E$34,4,0)))</f>
        <v>0</v>
      </c>
      <c r="AQ78" s="333">
        <f>IF($F78="",0,IF($F78="Weighted Average",$I78*VLOOKUP($D78&amp;" (Disposal)",Lists!$C$72:$R$232,COLUMNS(Lists!$C$69:F$69),0)*VLOOKUP(BF$3,Conversions!$B$12:$E$34,4,0),$I78*VLOOKUP($F78,Lists!$C$72:$R$232,COLUMNS(Lists!$C$69:F$69),0)*VLOOKUP(BF$3,Conversions!$B$12:$E$34,4,0)))</f>
        <v>0</v>
      </c>
      <c r="AR78" s="333">
        <f>IF($F78="",0,IF($F78="Weighted Average",$I78*VLOOKUP($D78&amp;" (Disposal)",Lists!$C$72:$R$232,COLUMNS(Lists!$C$69:G$69),0)*VLOOKUP(BG$3,Conversions!$B$12:$E$34,4,0),$I78*VLOOKUP($F78,Lists!$C$72:$R$232,COLUMNS(Lists!$C$69:G$69),0)*VLOOKUP(BG$3,Conversions!$B$12:$E$34,4,0)))</f>
        <v>0</v>
      </c>
      <c r="AS78" s="333">
        <f>IF($F78="",0,IF($F78="Weighted Average",$I78*VLOOKUP($D78&amp;" (Disposal)",Lists!$C$72:$R$232,COLUMNS(Lists!$C$69:H$69),0)*VLOOKUP(BH$3,Conversions!$B$12:$E$34,4,0),$I78*VLOOKUP($F78,Lists!$C$72:$R$232,COLUMNS(Lists!$C$69:H$69),0)*VLOOKUP(BH$3,Conversions!$B$12:$E$34,4,0)))</f>
        <v>0</v>
      </c>
      <c r="AT78" s="333">
        <f>IF($F78="",0,IF($F78="Weighted Average",$I78*VLOOKUP($D78&amp;" (Disposal)",Lists!$C$72:$R$232,COLUMNS(Lists!$C$69:I$69),0)*VLOOKUP(BI$3,Conversions!$B$12:$E$34,4,0),$I78*VLOOKUP($F78,Lists!$C$72:$R$232,COLUMNS(Lists!$C$69:I$69),0)*VLOOKUP(BI$3,Conversions!$B$12:$E$34,4,0)))</f>
        <v>0</v>
      </c>
      <c r="AU78" s="333">
        <f>IF($F78="",0,IF($F78="Weighted Average",$I78*VLOOKUP($D78&amp;" (Disposal)",Lists!$C$72:$R$232,COLUMNS(Lists!$C$69:J$69),0)*VLOOKUP(BJ$3,Conversions!$B$12:$E$34,4,0),$I78*VLOOKUP($F78,Lists!$C$72:$R$232,COLUMNS(Lists!$C$69:J$69),0)*VLOOKUP(BJ$3,Conversions!$B$12:$E$34,4,0)))</f>
        <v>0</v>
      </c>
      <c r="AV78" s="333">
        <f>IF($F78="",0,IF($F78="Weighted Average",$I78*VLOOKUP($D78&amp;" (Disposal)",Lists!$C$72:$R$232,COLUMNS(Lists!$C$69:K$69),0)*VLOOKUP(BK$3,Conversions!$B$12:$E$34,4,0),$I78*VLOOKUP($F78,Lists!$C$72:$R$232,COLUMNS(Lists!$C$69:K$69),0)*VLOOKUP(BK$3,Conversions!$B$12:$E$34,4,0)))</f>
        <v>0</v>
      </c>
      <c r="AW78" s="333">
        <f>IF($F78="",0,IF($F78="Weighted Average",$I78*VLOOKUP($D78&amp;" (Disposal)",Lists!$C$72:$R$232,COLUMNS(Lists!$C$69:L$69),0)*VLOOKUP(BL$3,Conversions!$B$12:$E$34,4,0),$I78*VLOOKUP($F78,Lists!$C$72:$R$232,COLUMNS(Lists!$C$69:L$69),0)*VLOOKUP(BL$3,Conversions!$B$12:$E$34,4,0)))</f>
        <v>0</v>
      </c>
      <c r="AX78" s="333">
        <f>IF($F78="",0,IF($F78="Weighted Average",$I78*VLOOKUP($D78&amp;" (Disposal)",Lists!$C$72:$R$232,COLUMNS(Lists!$C$69:M$69),0)*VLOOKUP(BM$3,Conversions!$B$12:$E$34,4,0),$I78*VLOOKUP($F78,Lists!$C$72:$R$232,COLUMNS(Lists!$C$69:M$69),0)*VLOOKUP(BM$3,Conversions!$B$12:$E$34,4,0)))</f>
        <v>0</v>
      </c>
      <c r="AY78" s="333">
        <f>IF($F78="",0,IF($F78="Weighted Average",$I78*VLOOKUP($D78&amp;" (Disposal)",Lists!$C$72:$R$232,COLUMNS(Lists!$C$69:N$69),0)*VLOOKUP(BN$3,Conversions!$B$12:$E$34,4,0),$I78*VLOOKUP($F78,Lists!$C$72:$R$232,COLUMNS(Lists!$C$69:N$69),0)*VLOOKUP(BN$3,Conversions!$B$12:$E$34,4,0)))</f>
        <v>0</v>
      </c>
      <c r="AZ78" s="333">
        <f>IF($F78="",0,IF($F78="Weighted Average",$I78*VLOOKUP($D78&amp;" (Disposal)",Lists!$C$72:$R$232,COLUMNS(Lists!$C$69:O$69),0)*VLOOKUP(BO$3,Conversions!$B$12:$E$34,4,0),$I78*VLOOKUP($F78,Lists!$C$72:$R$232,COLUMNS(Lists!$C$69:O$69),0)*VLOOKUP(BO$3,Conversions!$B$12:$E$34,4,0)))</f>
        <v>0</v>
      </c>
      <c r="BA78" s="333">
        <f>IF($F78="",0,IF($F78="Weighted Average",$I78*VLOOKUP($D78&amp;" (Disposal)",Lists!$C$72:$R$232,COLUMNS(Lists!$C$69:P$69),0)*VLOOKUP(BP$3,Conversions!$B$12:$E$34,4,0),$I78*VLOOKUP($F78,Lists!$C$72:$R$232,COLUMNS(Lists!$C$69:P$69),0)*VLOOKUP(BP$3,Conversions!$B$12:$E$34,4,0)))</f>
        <v>0</v>
      </c>
      <c r="BB78" s="333">
        <f>IF($F78="",0,IF($F78="Weighted Average",$I78*VLOOKUP($D78&amp;" (Disposal)",Lists!$C$72:$R$232,COLUMNS(Lists!$C$69:Q$69),0)*VLOOKUP(BQ$3,Conversions!$B$12:$E$34,4,0),$I78*VLOOKUP($F78,Lists!$C$72:$R$232,COLUMNS(Lists!$C$69:Q$69),0)*VLOOKUP(BQ$3,Conversions!$B$12:$E$34,4,0)))</f>
        <v>0</v>
      </c>
      <c r="BC78" s="333">
        <f>IF($F78="",0,IF($F78="Weighted Average",$I78*VLOOKUP($D78&amp;" (Disposal)",Lists!$C$72:$R$232,COLUMNS(Lists!$C$69:R$69),0)*VLOOKUP(BR$3,Conversions!$B$12:$E$34,4,0),$I78*VLOOKUP($F78,Lists!$C$72:$R$232,COLUMNS(Lists!$C$69:R$69),0)*VLOOKUP(BR$3,Conversions!$B$12:$E$34,4,0)))</f>
        <v>0</v>
      </c>
      <c r="BD78" s="333">
        <f t="shared" si="40"/>
        <v>0</v>
      </c>
      <c r="BE78" s="330">
        <f t="shared" si="41"/>
        <v>0</v>
      </c>
      <c r="BF78" s="330">
        <f t="shared" si="42"/>
        <v>0</v>
      </c>
      <c r="BG78" s="330">
        <f t="shared" si="43"/>
        <v>0</v>
      </c>
      <c r="BH78" s="330">
        <f t="shared" si="44"/>
        <v>0</v>
      </c>
      <c r="BI78" s="330">
        <f t="shared" si="45"/>
        <v>0</v>
      </c>
      <c r="BJ78" s="330">
        <f t="shared" si="46"/>
        <v>0</v>
      </c>
      <c r="BK78" s="330">
        <f t="shared" si="47"/>
        <v>0</v>
      </c>
      <c r="BL78" s="330">
        <f t="shared" si="48"/>
        <v>0</v>
      </c>
      <c r="BM78" s="330">
        <f t="shared" si="49"/>
        <v>0</v>
      </c>
      <c r="BN78" s="330">
        <f t="shared" si="50"/>
        <v>0</v>
      </c>
      <c r="BO78" s="330">
        <f t="shared" si="51"/>
        <v>0</v>
      </c>
      <c r="BP78" s="330">
        <f t="shared" si="52"/>
        <v>0</v>
      </c>
      <c r="BQ78" s="330">
        <f t="shared" si="53"/>
        <v>0</v>
      </c>
      <c r="BR78" s="330">
        <f t="shared" si="54"/>
        <v>0</v>
      </c>
      <c r="BS78" s="330">
        <f t="shared" si="55"/>
        <v>0</v>
      </c>
      <c r="BT78" s="329">
        <f t="shared" si="95"/>
        <v>0</v>
      </c>
      <c r="BU78" s="329">
        <f t="shared" si="95"/>
        <v>0</v>
      </c>
      <c r="BV78" s="329">
        <f t="shared" si="95"/>
        <v>0</v>
      </c>
      <c r="BW78" s="329">
        <f t="shared" si="95"/>
        <v>0</v>
      </c>
      <c r="BX78" s="329">
        <f t="shared" si="95"/>
        <v>0</v>
      </c>
      <c r="BY78" s="329">
        <f t="shared" si="95"/>
        <v>0</v>
      </c>
      <c r="BZ78" s="329">
        <f t="shared" si="95"/>
        <v>0</v>
      </c>
      <c r="CA78" s="329">
        <f t="shared" si="95"/>
        <v>0</v>
      </c>
      <c r="CB78" s="329">
        <f t="shared" si="95"/>
        <v>0</v>
      </c>
      <c r="CC78" s="329">
        <f t="shared" si="95"/>
        <v>0</v>
      </c>
      <c r="CD78" s="329">
        <f t="shared" si="95"/>
        <v>0</v>
      </c>
      <c r="CE78" s="329">
        <f t="shared" si="95"/>
        <v>0</v>
      </c>
      <c r="CF78" s="329">
        <f t="shared" si="95"/>
        <v>0</v>
      </c>
      <c r="CG78" s="329">
        <f t="shared" si="95"/>
        <v>0</v>
      </c>
      <c r="CH78" s="329">
        <f t="shared" si="95"/>
        <v>0</v>
      </c>
      <c r="CI78" s="329">
        <f t="shared" si="95"/>
        <v>0</v>
      </c>
      <c r="CJ78" s="331">
        <f t="shared" si="1"/>
        <v>0</v>
      </c>
      <c r="CK78" s="330">
        <f t="shared" si="5"/>
        <v>0</v>
      </c>
      <c r="CL78" s="330">
        <f t="shared" si="6"/>
        <v>0</v>
      </c>
      <c r="CM78" s="330">
        <f t="shared" si="7"/>
        <v>0</v>
      </c>
      <c r="CN78" s="330">
        <f t="shared" si="8"/>
        <v>0</v>
      </c>
      <c r="CO78" s="330">
        <f t="shared" si="9"/>
        <v>0</v>
      </c>
      <c r="CP78" s="330">
        <f t="shared" si="10"/>
        <v>0</v>
      </c>
      <c r="CQ78" s="330">
        <f t="shared" si="94"/>
        <v>0</v>
      </c>
      <c r="CR78" s="330">
        <f t="shared" si="12"/>
        <v>0</v>
      </c>
      <c r="CS78" s="330">
        <f t="shared" si="13"/>
        <v>0</v>
      </c>
      <c r="CT78" s="330">
        <f t="shared" si="14"/>
        <v>0</v>
      </c>
      <c r="CU78" s="330">
        <f t="shared" si="96"/>
        <v>0</v>
      </c>
      <c r="CV78" s="330">
        <f t="shared" si="96"/>
        <v>0</v>
      </c>
      <c r="CW78" s="330">
        <f t="shared" si="96"/>
        <v>0</v>
      </c>
      <c r="CX78" s="330">
        <f t="shared" si="96"/>
        <v>0</v>
      </c>
      <c r="CY78" s="330">
        <f t="shared" si="96"/>
        <v>0</v>
      </c>
      <c r="CZ78" s="330">
        <f t="shared" si="96"/>
        <v>0</v>
      </c>
      <c r="DA78" s="330">
        <f t="shared" si="96"/>
        <v>0</v>
      </c>
      <c r="DB78" s="330">
        <f t="shared" si="96"/>
        <v>0</v>
      </c>
      <c r="DC78" s="330">
        <f t="shared" si="96"/>
        <v>0</v>
      </c>
      <c r="DD78" s="330">
        <f t="shared" si="96"/>
        <v>0</v>
      </c>
      <c r="DE78" s="330">
        <f t="shared" si="97"/>
        <v>0</v>
      </c>
      <c r="DF78" s="330">
        <f t="shared" si="97"/>
        <v>0</v>
      </c>
      <c r="DG78" s="330">
        <f t="shared" si="97"/>
        <v>0</v>
      </c>
      <c r="DH78" s="330">
        <f t="shared" si="97"/>
        <v>0</v>
      </c>
      <c r="DI78" s="330">
        <f t="shared" si="97"/>
        <v>0</v>
      </c>
      <c r="DJ78" s="330">
        <f t="shared" si="97"/>
        <v>0</v>
      </c>
      <c r="DK78" s="330">
        <f t="shared" si="97"/>
        <v>0</v>
      </c>
      <c r="DL78" s="330">
        <f t="shared" si="97"/>
        <v>0</v>
      </c>
      <c r="DM78" s="330">
        <f t="shared" si="97"/>
        <v>0</v>
      </c>
      <c r="DN78" s="330">
        <f t="shared" si="97"/>
        <v>0</v>
      </c>
      <c r="DO78" s="330">
        <f t="shared" si="97"/>
        <v>0</v>
      </c>
      <c r="DP78" s="330">
        <f t="shared" si="98"/>
        <v>0</v>
      </c>
      <c r="DQ78" s="217"/>
      <c r="DR78" s="217"/>
      <c r="DS78" s="217"/>
      <c r="DT78" s="217"/>
    </row>
    <row r="79" spans="1:124" x14ac:dyDescent="0.3">
      <c r="A79" s="332"/>
      <c r="B79" s="221" t="s">
        <v>304</v>
      </c>
      <c r="C79" s="221" t="str">
        <f>IF('Simplified Material Balance'!C49=0,"",'Simplified Material Balance'!C49)</f>
        <v/>
      </c>
      <c r="D79" s="221" t="str">
        <f>IF('Simplified Material Balance'!D49=0,"",'Simplified Material Balance'!D49)</f>
        <v/>
      </c>
      <c r="E79" s="221" t="str">
        <f>IF('Simplified Material Balance'!E49=0,"",'Simplified Material Balance'!E49)</f>
        <v/>
      </c>
      <c r="F79" s="221" t="str">
        <f>IF('Simplified Material Balance'!F49=0,"",'Simplified Material Balance'!F49)</f>
        <v/>
      </c>
      <c r="G79" s="272">
        <f>IF('Simplified Material Balance'!H49&gt;'Simplified Material Balance'!G49,0,('Simplified Material Balance'!G49-'Simplified Material Balance'!H49)*Conversions!$C$4)</f>
        <v>0</v>
      </c>
      <c r="H79" s="272">
        <f>'Simplified Material Balance'!I49*Conversions!$C$4</f>
        <v>0</v>
      </c>
      <c r="I79" s="272">
        <f>('Simplified Material Balance'!J49-'Simplified Material Balance'!K49)*Conversions!$C$4</f>
        <v>0</v>
      </c>
      <c r="J79" s="325">
        <f>IF('Simplified Material Balance'!L49=0,0,'Simplified Material Balance'!L49)</f>
        <v>0</v>
      </c>
      <c r="K79" s="465"/>
      <c r="L79" s="333">
        <f>IF($F79="",0,IF($F79="Weighted Average",$G79*VLOOKUP($D79&amp;" (Install)",Lists!$C$72:$R$232,COLUMNS(Lists!$C$69:E$69),0)*VLOOKUP(BE$3,Conversions!$B$12:$E$34,4,0),$G79*VLOOKUP($F79,Lists!$C$72:$R$232,COLUMNS(Lists!$C$69:E$69),0)*VLOOKUP(BE$3,Conversions!$B$12:$E$34,4,0)))</f>
        <v>0</v>
      </c>
      <c r="M79" s="333">
        <f>IF($F79="",0,IF($F79="Weighted Average",$G79*VLOOKUP($D79&amp;" (Install)",Lists!$C$72:$R$232,COLUMNS(Lists!$C$69:F$69),0)*VLOOKUP(BF$3,Conversions!$B$12:$E$34,4,0),$G79*VLOOKUP($F79,Lists!$C$72:$R$232,COLUMNS(Lists!$C$69:F$69),0)*VLOOKUP(BF$3,Conversions!$B$12:$E$34,4,0)))</f>
        <v>0</v>
      </c>
      <c r="N79" s="333">
        <f>IF($F79="",0,IF($F79="Weighted Average",$G79*VLOOKUP($D79&amp;" (Install)",Lists!$C$72:$R$232,COLUMNS(Lists!$C$69:G$69),0)*VLOOKUP(BG$3,Conversions!$B$12:$E$34,4,0),$G79*VLOOKUP($F79,Lists!$C$72:$R$232,COLUMNS(Lists!$C$69:G$69),0)*VLOOKUP(BG$3,Conversions!$B$12:$E$34,4,0)))</f>
        <v>0</v>
      </c>
      <c r="O79" s="333">
        <f>IF($F79="",0,IF($F79="Weighted Average",$G79*VLOOKUP($D79&amp;" (Install)",Lists!$C$72:$R$232,COLUMNS(Lists!$C$69:H$69),0)*VLOOKUP(BH$3,Conversions!$B$12:$E$34,4,0),$G79*VLOOKUP($F79,Lists!$C$72:$R$232,COLUMNS(Lists!$C$69:H$69),0)*VLOOKUP(BH$3,Conversions!$B$12:$E$34,4,0)))</f>
        <v>0</v>
      </c>
      <c r="P79" s="333">
        <f>IF($F79="",0,IF($F79="Weighted Average",$G79*VLOOKUP($D79&amp;" (Install)",Lists!$C$72:$R$232,COLUMNS(Lists!$C$69:I$69),0)*VLOOKUP(BI$3,Conversions!$B$12:$E$34,4,0),$G79*VLOOKUP($F79,Lists!$C$72:$R$232,COLUMNS(Lists!$C$69:I$69),0)*VLOOKUP(BI$3,Conversions!$B$12:$E$34,4,0)))</f>
        <v>0</v>
      </c>
      <c r="Q79" s="333">
        <f>IF($F79="",0,IF($F79="Weighted Average",$G79*VLOOKUP($D79&amp;" (Install)",Lists!$C$72:$R$232,COLUMNS(Lists!$C$69:J$69),0)*VLOOKUP(BJ$3,Conversions!$B$12:$E$34,4,0),$G79*VLOOKUP($F79,Lists!$C$72:$R$232,COLUMNS(Lists!$C$69:J$69),0)*VLOOKUP(BJ$3,Conversions!$B$12:$E$34,4,0)))</f>
        <v>0</v>
      </c>
      <c r="R79" s="333">
        <f>IF($F79="",0,IF($F79="Weighted Average",$G79*VLOOKUP($D79&amp;" (Install)",Lists!$C$72:$R$232,COLUMNS(Lists!$C$69:K$69),0)*VLOOKUP(BK$3,Conversions!$B$12:$E$34,4,0),$G79*VLOOKUP($F79,Lists!$C$72:$R$232,COLUMNS(Lists!$C$69:K$69),0)*VLOOKUP(BK$3,Conversions!$B$12:$E$34,4,0)))</f>
        <v>0</v>
      </c>
      <c r="S79" s="333">
        <f>IF($F79="",0,IF($F79="Weighted Average",$G79*VLOOKUP($D79&amp;" (Install)",Lists!$C$72:$R$232,COLUMNS(Lists!$C$69:L$69),0)*VLOOKUP(BL$3,Conversions!$B$12:$E$34,4,0),$G79*VLOOKUP($F79,Lists!$C$72:$R$232,COLUMNS(Lists!$C$69:L$69),0)*VLOOKUP(BL$3,Conversions!$B$12:$E$34,4,0)))</f>
        <v>0</v>
      </c>
      <c r="T79" s="333">
        <f>IF($F79="",0,IF($F79="Weighted Average",$G79*VLOOKUP($D79&amp;" (Install)",Lists!$C$72:$R$232,COLUMNS(Lists!$C$69:M$69),0)*VLOOKUP(BM$3,Conversions!$B$12:$E$34,4,0),$G79*VLOOKUP($F79,Lists!$C$72:$R$232,COLUMNS(Lists!$C$69:M$69),0)*VLOOKUP(BM$3,Conversions!$B$12:$E$34,4,0)))</f>
        <v>0</v>
      </c>
      <c r="U79" s="333">
        <f>IF($F79="",0,IF($F79="Weighted Average",$G79*VLOOKUP($D79&amp;" (Install)",Lists!$C$72:$R$232,COLUMNS(Lists!$C$69:N$69),0)*VLOOKUP(BN$3,Conversions!$B$12:$E$34,4,0),$G79*VLOOKUP($F79,Lists!$C$72:$R$232,COLUMNS(Lists!$C$69:N$69),0)*VLOOKUP(BN$3,Conversions!$B$12:$E$34,4,0)))</f>
        <v>0</v>
      </c>
      <c r="V79" s="333">
        <f>IF($F79="",0,IF($F79="Weighted Average",$G79*VLOOKUP($D79&amp;" (Install)",Lists!$C$72:$R$232,COLUMNS(Lists!$C$69:O$69),0)*VLOOKUP(BO$3,Conversions!$B$12:$E$34,4,0),$G79*VLOOKUP($F79,Lists!$C$72:$R$232,COLUMNS(Lists!$C$69:O$69),0)*VLOOKUP(BO$3,Conversions!$B$12:$E$34,4,0)))</f>
        <v>0</v>
      </c>
      <c r="W79" s="333">
        <f>IF($F79="",0,IF($F79="Weighted Average",$G79*VLOOKUP($D79&amp;" (Install)",Lists!$C$72:$R$232,COLUMNS(Lists!$C$69:P$69),0)*VLOOKUP(BP$3,Conversions!$B$12:$E$34,4,0),$G79*VLOOKUP($F79,Lists!$C$72:$R$232,COLUMNS(Lists!$C$69:P$69),0)*VLOOKUP(BP$3,Conversions!$B$12:$E$34,4,0)))</f>
        <v>0</v>
      </c>
      <c r="X79" s="333">
        <f>IF($F79="",0,IF($F79="Weighted Average",$G79*VLOOKUP($D79&amp;" (Install)",Lists!$C$72:$R$232,COLUMNS(Lists!$C$69:Q$69),0)*VLOOKUP(BQ$3,Conversions!$B$12:$E$34,4,0),$G79*VLOOKUP($F79,Lists!$C$72:$R$232,COLUMNS(Lists!$C$69:Q$69),0)*VLOOKUP(BQ$3,Conversions!$B$12:$E$34,4,0)))</f>
        <v>0</v>
      </c>
      <c r="Y79" s="333">
        <f>IF($F79="",0,IF($F79="Weighted Average",$G79*VLOOKUP($D79&amp;" (Install)",Lists!$C$72:$R$232,COLUMNS(Lists!$C$69:R$69),0)*VLOOKUP(BR$3,Conversions!$B$12:$E$34,4,0),$G79*VLOOKUP($F79,Lists!$C$72:$R$232,COLUMNS(Lists!$C$69:R$69),0)*VLOOKUP(BR$3,Conversions!$B$12:$E$34,4,0)))</f>
        <v>0</v>
      </c>
      <c r="Z79" s="325">
        <f t="shared" si="38"/>
        <v>0</v>
      </c>
      <c r="AA79" s="334">
        <f>IF($F79="",0,IF($F79="Weighted Average",$H79*VLOOKUP($D79&amp;" (Operation)",Lists!$C$72:$R$232,COLUMNS(Lists!$C$69:E$69),0)*VLOOKUP(BE$3,Conversions!$B$12:$E$34,4,0),$H79*VLOOKUP($F79,Lists!$C$72:$R$232,COLUMNS(Lists!$C$69:E$69),0)*VLOOKUP(BE$3,Conversions!$B$12:$E$34,4,0)))</f>
        <v>0</v>
      </c>
      <c r="AB79" s="334">
        <f>IF($F79="",0,IF($F79="Weighted Average",$H79*VLOOKUP($D79&amp;" (Operation)",Lists!$C$72:$R$232,COLUMNS(Lists!$C$69:F$69),0)*VLOOKUP(BF$3,Conversions!$B$12:$E$34,4,0),$H79*VLOOKUP($F79,Lists!$C$72:$R$232,COLUMNS(Lists!$C$69:F$69),0)*VLOOKUP(BF$3,Conversions!$B$12:$E$34,4,0)))</f>
        <v>0</v>
      </c>
      <c r="AC79" s="334">
        <f>IF($F79="",0,IF($F79="Weighted Average",$H79*VLOOKUP($D79&amp;" (Operation)",Lists!$C$72:$R$232,COLUMNS(Lists!$C$69:G$69),0)*VLOOKUP(BG$3,Conversions!$B$12:$E$34,4,0),$H79*VLOOKUP($F79,Lists!$C$72:$R$232,COLUMNS(Lists!$C$69:G$69),0)*VLOOKUP(BG$3,Conversions!$B$12:$E$34,4,0)))</f>
        <v>0</v>
      </c>
      <c r="AD79" s="334">
        <f>IF($F79="",0,IF($F79="Weighted Average",$H79*VLOOKUP($D79&amp;" (Operation)",Lists!$C$72:$R$232,COLUMNS(Lists!$C$69:H$69),0)*VLOOKUP(BH$3,Conversions!$B$12:$E$34,4,0),$H79*VLOOKUP($F79,Lists!$C$72:$R$232,COLUMNS(Lists!$C$69:H$69),0)*VLOOKUP(BH$3,Conversions!$B$12:$E$34,4,0)))</f>
        <v>0</v>
      </c>
      <c r="AE79" s="334">
        <f>IF($F79="",0,IF($F79="Weighted Average",$H79*VLOOKUP($D79&amp;" (Operation)",Lists!$C$72:$R$232,COLUMNS(Lists!$C$69:I$69),0)*VLOOKUP(BI$3,Conversions!$B$12:$E$34,4,0),$H79*VLOOKUP($F79,Lists!$C$72:$R$232,COLUMNS(Lists!$C$69:I$69),0)*VLOOKUP(BI$3,Conversions!$B$12:$E$34,4,0)))</f>
        <v>0</v>
      </c>
      <c r="AF79" s="334">
        <f>IF($F79="",0,IF($F79="Weighted Average",$H79*VLOOKUP($D79&amp;" (Operation)",Lists!$C$72:$R$232,COLUMNS(Lists!$C$69:J$69),0)*VLOOKUP(BJ$3,Conversions!$B$12:$E$34,4,0),$H79*VLOOKUP($F79,Lists!$C$72:$R$232,COLUMNS(Lists!$C$69:J$69),0)*VLOOKUP(BJ$3,Conversions!$B$12:$E$34,4,0)))</f>
        <v>0</v>
      </c>
      <c r="AG79" s="334">
        <f>IF($F79="",0,IF($F79="Weighted Average",$H79*VLOOKUP($D79&amp;" (Operation)",Lists!$C$72:$R$232,COLUMNS(Lists!$C$69:K$69),0)*VLOOKUP(BK$3,Conversions!$B$12:$E$34,4,0),$H79*VLOOKUP($F79,Lists!$C$72:$R$232,COLUMNS(Lists!$C$69:K$69),0)*VLOOKUP(BK$3,Conversions!$B$12:$E$34,4,0)))</f>
        <v>0</v>
      </c>
      <c r="AH79" s="334">
        <f>IF($F79="",0,IF($F79="Weighted Average",$H79*VLOOKUP($D79&amp;" (Operation)",Lists!$C$72:$R$232,COLUMNS(Lists!$C$69:L$69),0)*VLOOKUP(BL$3,Conversions!$B$12:$E$34,4,0),$H79*VLOOKUP($F79,Lists!$C$72:$R$232,COLUMNS(Lists!$C$69:L$69),0)*VLOOKUP(BL$3,Conversions!$B$12:$E$34,4,0)))</f>
        <v>0</v>
      </c>
      <c r="AI79" s="334">
        <f>IF($F79="",0,IF($F79="Weighted Average",$H79*VLOOKUP($D79&amp;" (Operation)",Lists!$C$72:$R$232,COLUMNS(Lists!$C$69:M$69),0)*VLOOKUP(BM$3,Conversions!$B$12:$E$34,4,0),$H79*VLOOKUP($F79,Lists!$C$72:$R$232,COLUMNS(Lists!$C$69:M$69),0)*VLOOKUP(BM$3,Conversions!$B$12:$E$34,4,0)))</f>
        <v>0</v>
      </c>
      <c r="AJ79" s="334">
        <f>IF($F79="",0,IF($F79="Weighted Average",$H79*VLOOKUP($D79&amp;" (Operation)",Lists!$C$72:$R$232,COLUMNS(Lists!$C$69:N$69),0)*VLOOKUP(BN$3,Conversions!$B$12:$E$34,4,0),$H79*VLOOKUP($F79,Lists!$C$72:$R$232,COLUMNS(Lists!$C$69:N$69),0)*VLOOKUP(BN$3,Conversions!$B$12:$E$34,4,0)))</f>
        <v>0</v>
      </c>
      <c r="AK79" s="334">
        <f>IF($F79="",0,IF($F79="Weighted Average",$H79*VLOOKUP($D79&amp;" (Operation)",Lists!$C$72:$R$232,COLUMNS(Lists!$C$69:O$69),0)*VLOOKUP(BO$3,Conversions!$B$12:$E$34,4,0),$H79*VLOOKUP($F79,Lists!$C$72:$R$232,COLUMNS(Lists!$C$69:O$69),0)*VLOOKUP(BO$3,Conversions!$B$12:$E$34,4,0)))</f>
        <v>0</v>
      </c>
      <c r="AL79" s="334">
        <f>IF($F79="",0,IF($F79="Weighted Average",$H79*VLOOKUP($D79&amp;" (Operation)",Lists!$C$72:$R$232,COLUMNS(Lists!$C$69:P$69),0)*VLOOKUP(BP$3,Conversions!$B$12:$E$34,4,0),$H79*VLOOKUP($F79,Lists!$C$72:$R$232,COLUMNS(Lists!$C$69:P$69),0)*VLOOKUP(BP$3,Conversions!$B$12:$E$34,4,0)))</f>
        <v>0</v>
      </c>
      <c r="AM79" s="334">
        <f>IF($F79="",0,IF($F79="Weighted Average",$H79*VLOOKUP($D79&amp;" (Operation)",Lists!$C$72:$R$232,COLUMNS(Lists!$C$69:Q$69),0)*VLOOKUP(BQ$3,Conversions!$B$12:$E$34,4,0),$H79*VLOOKUP($F79,Lists!$C$72:$R$232,COLUMNS(Lists!$C$69:Q$69),0)*VLOOKUP(BQ$3,Conversions!$B$12:$E$34,4,0)))</f>
        <v>0</v>
      </c>
      <c r="AN79" s="334">
        <f>IF($F79="",0,IF($F79="Weighted Average",$H79*VLOOKUP($D79&amp;" (Operation)",Lists!$C$72:$R$232,COLUMNS(Lists!$C$69:R$69),0)*VLOOKUP(BR$3,Conversions!$B$12:$E$34,4,0),$H79*VLOOKUP($F79,Lists!$C$72:$R$232,COLUMNS(Lists!$C$69:R$69),0)*VLOOKUP(BR$3,Conversions!$B$12:$E$34,4,0)))</f>
        <v>0</v>
      </c>
      <c r="AO79" s="330">
        <f t="shared" si="39"/>
        <v>0</v>
      </c>
      <c r="AP79" s="333">
        <f>IF($F79="",0,IF($F79="Weighted Average",$I79*VLOOKUP($D79&amp;" (Disposal)",Lists!$C$72:$R$232,COLUMNS(Lists!$C$69:E$69),0)*VLOOKUP(BE$3,Conversions!$B$12:$E$34,4,0),$I79*VLOOKUP($F79,Lists!$C$72:$R$232,COLUMNS(Lists!$C$69:E$69),0)*VLOOKUP(BE$3,Conversions!$B$12:$E$34,4,0)))</f>
        <v>0</v>
      </c>
      <c r="AQ79" s="333">
        <f>IF($F79="",0,IF($F79="Weighted Average",$I79*VLOOKUP($D79&amp;" (Disposal)",Lists!$C$72:$R$232,COLUMNS(Lists!$C$69:F$69),0)*VLOOKUP(BF$3,Conversions!$B$12:$E$34,4,0),$I79*VLOOKUP($F79,Lists!$C$72:$R$232,COLUMNS(Lists!$C$69:F$69),0)*VLOOKUP(BF$3,Conversions!$B$12:$E$34,4,0)))</f>
        <v>0</v>
      </c>
      <c r="AR79" s="333">
        <f>IF($F79="",0,IF($F79="Weighted Average",$I79*VLOOKUP($D79&amp;" (Disposal)",Lists!$C$72:$R$232,COLUMNS(Lists!$C$69:G$69),0)*VLOOKUP(BG$3,Conversions!$B$12:$E$34,4,0),$I79*VLOOKUP($F79,Lists!$C$72:$R$232,COLUMNS(Lists!$C$69:G$69),0)*VLOOKUP(BG$3,Conversions!$B$12:$E$34,4,0)))</f>
        <v>0</v>
      </c>
      <c r="AS79" s="333">
        <f>IF($F79="",0,IF($F79="Weighted Average",$I79*VLOOKUP($D79&amp;" (Disposal)",Lists!$C$72:$R$232,COLUMNS(Lists!$C$69:H$69),0)*VLOOKUP(BH$3,Conversions!$B$12:$E$34,4,0),$I79*VLOOKUP($F79,Lists!$C$72:$R$232,COLUMNS(Lists!$C$69:H$69),0)*VLOOKUP(BH$3,Conversions!$B$12:$E$34,4,0)))</f>
        <v>0</v>
      </c>
      <c r="AT79" s="333">
        <f>IF($F79="",0,IF($F79="Weighted Average",$I79*VLOOKUP($D79&amp;" (Disposal)",Lists!$C$72:$R$232,COLUMNS(Lists!$C$69:I$69),0)*VLOOKUP(BI$3,Conversions!$B$12:$E$34,4,0),$I79*VLOOKUP($F79,Lists!$C$72:$R$232,COLUMNS(Lists!$C$69:I$69),0)*VLOOKUP(BI$3,Conversions!$B$12:$E$34,4,0)))</f>
        <v>0</v>
      </c>
      <c r="AU79" s="333">
        <f>IF($F79="",0,IF($F79="Weighted Average",$I79*VLOOKUP($D79&amp;" (Disposal)",Lists!$C$72:$R$232,COLUMNS(Lists!$C$69:J$69),0)*VLOOKUP(BJ$3,Conversions!$B$12:$E$34,4,0),$I79*VLOOKUP($F79,Lists!$C$72:$R$232,COLUMNS(Lists!$C$69:J$69),0)*VLOOKUP(BJ$3,Conversions!$B$12:$E$34,4,0)))</f>
        <v>0</v>
      </c>
      <c r="AV79" s="333">
        <f>IF($F79="",0,IF($F79="Weighted Average",$I79*VLOOKUP($D79&amp;" (Disposal)",Lists!$C$72:$R$232,COLUMNS(Lists!$C$69:K$69),0)*VLOOKUP(BK$3,Conversions!$B$12:$E$34,4,0),$I79*VLOOKUP($F79,Lists!$C$72:$R$232,COLUMNS(Lists!$C$69:K$69),0)*VLOOKUP(BK$3,Conversions!$B$12:$E$34,4,0)))</f>
        <v>0</v>
      </c>
      <c r="AW79" s="333">
        <f>IF($F79="",0,IF($F79="Weighted Average",$I79*VLOOKUP($D79&amp;" (Disposal)",Lists!$C$72:$R$232,COLUMNS(Lists!$C$69:L$69),0)*VLOOKUP(BL$3,Conversions!$B$12:$E$34,4,0),$I79*VLOOKUP($F79,Lists!$C$72:$R$232,COLUMNS(Lists!$C$69:L$69),0)*VLOOKUP(BL$3,Conversions!$B$12:$E$34,4,0)))</f>
        <v>0</v>
      </c>
      <c r="AX79" s="333">
        <f>IF($F79="",0,IF($F79="Weighted Average",$I79*VLOOKUP($D79&amp;" (Disposal)",Lists!$C$72:$R$232,COLUMNS(Lists!$C$69:M$69),0)*VLOOKUP(BM$3,Conversions!$B$12:$E$34,4,0),$I79*VLOOKUP($F79,Lists!$C$72:$R$232,COLUMNS(Lists!$C$69:M$69),0)*VLOOKUP(BM$3,Conversions!$B$12:$E$34,4,0)))</f>
        <v>0</v>
      </c>
      <c r="AY79" s="333">
        <f>IF($F79="",0,IF($F79="Weighted Average",$I79*VLOOKUP($D79&amp;" (Disposal)",Lists!$C$72:$R$232,COLUMNS(Lists!$C$69:N$69),0)*VLOOKUP(BN$3,Conversions!$B$12:$E$34,4,0),$I79*VLOOKUP($F79,Lists!$C$72:$R$232,COLUMNS(Lists!$C$69:N$69),0)*VLOOKUP(BN$3,Conversions!$B$12:$E$34,4,0)))</f>
        <v>0</v>
      </c>
      <c r="AZ79" s="333">
        <f>IF($F79="",0,IF($F79="Weighted Average",$I79*VLOOKUP($D79&amp;" (Disposal)",Lists!$C$72:$R$232,COLUMNS(Lists!$C$69:O$69),0)*VLOOKUP(BO$3,Conversions!$B$12:$E$34,4,0),$I79*VLOOKUP($F79,Lists!$C$72:$R$232,COLUMNS(Lists!$C$69:O$69),0)*VLOOKUP(BO$3,Conversions!$B$12:$E$34,4,0)))</f>
        <v>0</v>
      </c>
      <c r="BA79" s="333">
        <f>IF($F79="",0,IF($F79="Weighted Average",$I79*VLOOKUP($D79&amp;" (Disposal)",Lists!$C$72:$R$232,COLUMNS(Lists!$C$69:P$69),0)*VLOOKUP(BP$3,Conversions!$B$12:$E$34,4,0),$I79*VLOOKUP($F79,Lists!$C$72:$R$232,COLUMNS(Lists!$C$69:P$69),0)*VLOOKUP(BP$3,Conversions!$B$12:$E$34,4,0)))</f>
        <v>0</v>
      </c>
      <c r="BB79" s="333">
        <f>IF($F79="",0,IF($F79="Weighted Average",$I79*VLOOKUP($D79&amp;" (Disposal)",Lists!$C$72:$R$232,COLUMNS(Lists!$C$69:Q$69),0)*VLOOKUP(BQ$3,Conversions!$B$12:$E$34,4,0),$I79*VLOOKUP($F79,Lists!$C$72:$R$232,COLUMNS(Lists!$C$69:Q$69),0)*VLOOKUP(BQ$3,Conversions!$B$12:$E$34,4,0)))</f>
        <v>0</v>
      </c>
      <c r="BC79" s="333">
        <f>IF($F79="",0,IF($F79="Weighted Average",$I79*VLOOKUP($D79&amp;" (Disposal)",Lists!$C$72:$R$232,COLUMNS(Lists!$C$69:R$69),0)*VLOOKUP(BR$3,Conversions!$B$12:$E$34,4,0),$I79*VLOOKUP($F79,Lists!$C$72:$R$232,COLUMNS(Lists!$C$69:R$69),0)*VLOOKUP(BR$3,Conversions!$B$12:$E$34,4,0)))</f>
        <v>0</v>
      </c>
      <c r="BD79" s="333">
        <f t="shared" si="40"/>
        <v>0</v>
      </c>
      <c r="BE79" s="330">
        <f t="shared" si="41"/>
        <v>0</v>
      </c>
      <c r="BF79" s="330">
        <f t="shared" si="42"/>
        <v>0</v>
      </c>
      <c r="BG79" s="330">
        <f t="shared" si="43"/>
        <v>0</v>
      </c>
      <c r="BH79" s="330">
        <f t="shared" si="44"/>
        <v>0</v>
      </c>
      <c r="BI79" s="330">
        <f t="shared" si="45"/>
        <v>0</v>
      </c>
      <c r="BJ79" s="330">
        <f t="shared" si="46"/>
        <v>0</v>
      </c>
      <c r="BK79" s="330">
        <f t="shared" si="47"/>
        <v>0</v>
      </c>
      <c r="BL79" s="330">
        <f t="shared" si="48"/>
        <v>0</v>
      </c>
      <c r="BM79" s="330">
        <f t="shared" si="49"/>
        <v>0</v>
      </c>
      <c r="BN79" s="330">
        <f t="shared" si="50"/>
        <v>0</v>
      </c>
      <c r="BO79" s="330">
        <f t="shared" si="51"/>
        <v>0</v>
      </c>
      <c r="BP79" s="330">
        <f t="shared" si="52"/>
        <v>0</v>
      </c>
      <c r="BQ79" s="330">
        <f t="shared" si="53"/>
        <v>0</v>
      </c>
      <c r="BR79" s="330">
        <f t="shared" si="54"/>
        <v>0</v>
      </c>
      <c r="BS79" s="330">
        <f t="shared" si="55"/>
        <v>0</v>
      </c>
      <c r="BT79" s="329">
        <f t="shared" si="95"/>
        <v>0</v>
      </c>
      <c r="BU79" s="329">
        <f t="shared" si="95"/>
        <v>0</v>
      </c>
      <c r="BV79" s="329">
        <f t="shared" si="95"/>
        <v>0</v>
      </c>
      <c r="BW79" s="329">
        <f t="shared" si="95"/>
        <v>0</v>
      </c>
      <c r="BX79" s="329">
        <f t="shared" si="95"/>
        <v>0</v>
      </c>
      <c r="BY79" s="329">
        <f t="shared" si="95"/>
        <v>0</v>
      </c>
      <c r="BZ79" s="329">
        <f t="shared" si="95"/>
        <v>0</v>
      </c>
      <c r="CA79" s="329">
        <f t="shared" si="95"/>
        <v>0</v>
      </c>
      <c r="CB79" s="329">
        <f t="shared" si="95"/>
        <v>0</v>
      </c>
      <c r="CC79" s="329">
        <f t="shared" si="95"/>
        <v>0</v>
      </c>
      <c r="CD79" s="329">
        <f t="shared" si="95"/>
        <v>0</v>
      </c>
      <c r="CE79" s="329">
        <f t="shared" si="95"/>
        <v>0</v>
      </c>
      <c r="CF79" s="329">
        <f t="shared" si="95"/>
        <v>0</v>
      </c>
      <c r="CG79" s="329">
        <f t="shared" si="95"/>
        <v>0</v>
      </c>
      <c r="CH79" s="329">
        <f t="shared" si="95"/>
        <v>0</v>
      </c>
      <c r="CI79" s="329">
        <f t="shared" si="95"/>
        <v>0</v>
      </c>
      <c r="CJ79" s="331">
        <f t="shared" si="1"/>
        <v>0</v>
      </c>
      <c r="CK79" s="330">
        <f t="shared" si="5"/>
        <v>0</v>
      </c>
      <c r="CL79" s="330">
        <f t="shared" si="6"/>
        <v>0</v>
      </c>
      <c r="CM79" s="330">
        <f t="shared" si="7"/>
        <v>0</v>
      </c>
      <c r="CN79" s="330">
        <f t="shared" si="8"/>
        <v>0</v>
      </c>
      <c r="CO79" s="330">
        <f t="shared" si="9"/>
        <v>0</v>
      </c>
      <c r="CP79" s="330">
        <f t="shared" si="10"/>
        <v>0</v>
      </c>
      <c r="CQ79" s="330">
        <f t="shared" si="94"/>
        <v>0</v>
      </c>
      <c r="CR79" s="330">
        <f t="shared" si="12"/>
        <v>0</v>
      </c>
      <c r="CS79" s="330">
        <f t="shared" si="13"/>
        <v>0</v>
      </c>
      <c r="CT79" s="330">
        <f t="shared" si="14"/>
        <v>0</v>
      </c>
      <c r="CU79" s="330">
        <f t="shared" si="96"/>
        <v>0</v>
      </c>
      <c r="CV79" s="330">
        <f t="shared" si="96"/>
        <v>0</v>
      </c>
      <c r="CW79" s="330">
        <f t="shared" si="96"/>
        <v>0</v>
      </c>
      <c r="CX79" s="330">
        <f t="shared" si="96"/>
        <v>0</v>
      </c>
      <c r="CY79" s="330">
        <f t="shared" si="96"/>
        <v>0</v>
      </c>
      <c r="CZ79" s="330">
        <f t="shared" si="96"/>
        <v>0</v>
      </c>
      <c r="DA79" s="330">
        <f t="shared" si="96"/>
        <v>0</v>
      </c>
      <c r="DB79" s="330">
        <f t="shared" si="96"/>
        <v>0</v>
      </c>
      <c r="DC79" s="330">
        <f t="shared" si="96"/>
        <v>0</v>
      </c>
      <c r="DD79" s="330">
        <f t="shared" si="96"/>
        <v>0</v>
      </c>
      <c r="DE79" s="330">
        <f t="shared" si="97"/>
        <v>0</v>
      </c>
      <c r="DF79" s="330">
        <f t="shared" si="97"/>
        <v>0</v>
      </c>
      <c r="DG79" s="330">
        <f t="shared" si="97"/>
        <v>0</v>
      </c>
      <c r="DH79" s="330">
        <f t="shared" si="97"/>
        <v>0</v>
      </c>
      <c r="DI79" s="330">
        <f t="shared" si="97"/>
        <v>0</v>
      </c>
      <c r="DJ79" s="330">
        <f t="shared" si="97"/>
        <v>0</v>
      </c>
      <c r="DK79" s="330">
        <f t="shared" si="97"/>
        <v>0</v>
      </c>
      <c r="DL79" s="330">
        <f t="shared" si="97"/>
        <v>0</v>
      </c>
      <c r="DM79" s="330">
        <f t="shared" si="97"/>
        <v>0</v>
      </c>
      <c r="DN79" s="330">
        <f t="shared" si="97"/>
        <v>0</v>
      </c>
      <c r="DO79" s="330">
        <f t="shared" si="97"/>
        <v>0</v>
      </c>
      <c r="DP79" s="330">
        <f t="shared" si="98"/>
        <v>0</v>
      </c>
      <c r="DQ79" s="217"/>
      <c r="DR79" s="217"/>
      <c r="DS79" s="217"/>
      <c r="DT79" s="217"/>
    </row>
    <row r="80" spans="1:124" x14ac:dyDescent="0.3">
      <c r="A80" s="332"/>
      <c r="B80" s="221" t="s">
        <v>304</v>
      </c>
      <c r="C80" s="221" t="str">
        <f>IF('Simplified Material Balance'!C50=0,"",'Simplified Material Balance'!C50)</f>
        <v/>
      </c>
      <c r="D80" s="221" t="str">
        <f>IF('Simplified Material Balance'!D50=0,"",'Simplified Material Balance'!D50)</f>
        <v/>
      </c>
      <c r="E80" s="221" t="str">
        <f>IF('Simplified Material Balance'!E50=0,"",'Simplified Material Balance'!E50)</f>
        <v/>
      </c>
      <c r="F80" s="221" t="str">
        <f>IF('Simplified Material Balance'!F50=0,"",'Simplified Material Balance'!F50)</f>
        <v/>
      </c>
      <c r="G80" s="272">
        <f>IF('Simplified Material Balance'!H50&gt;'Simplified Material Balance'!G50,0,('Simplified Material Balance'!G50-'Simplified Material Balance'!H50)*Conversions!$C$4)</f>
        <v>0</v>
      </c>
      <c r="H80" s="272">
        <f>'Simplified Material Balance'!I50*Conversions!$C$4</f>
        <v>0</v>
      </c>
      <c r="I80" s="272">
        <f>('Simplified Material Balance'!J50-'Simplified Material Balance'!K50)*Conversions!$C$4</f>
        <v>0</v>
      </c>
      <c r="J80" s="325">
        <f>IF('Simplified Material Balance'!L50=0,0,'Simplified Material Balance'!L50)</f>
        <v>0</v>
      </c>
      <c r="K80" s="465"/>
      <c r="L80" s="333">
        <f>IF($F80="",0,IF($F80="Weighted Average",$G80*VLOOKUP($D80&amp;" (Install)",Lists!$C$72:$R$232,COLUMNS(Lists!$C$69:E$69),0)*VLOOKUP(BE$3,Conversions!$B$12:$E$34,4,0),$G80*VLOOKUP($F80,Lists!$C$72:$R$232,COLUMNS(Lists!$C$69:E$69),0)*VLOOKUP(BE$3,Conversions!$B$12:$E$34,4,0)))</f>
        <v>0</v>
      </c>
      <c r="M80" s="333">
        <f>IF($F80="",0,IF($F80="Weighted Average",$G80*VLOOKUP($D80&amp;" (Install)",Lists!$C$72:$R$232,COLUMNS(Lists!$C$69:F$69),0)*VLOOKUP(BF$3,Conversions!$B$12:$E$34,4,0),$G80*VLOOKUP($F80,Lists!$C$72:$R$232,COLUMNS(Lists!$C$69:F$69),0)*VLOOKUP(BF$3,Conversions!$B$12:$E$34,4,0)))</f>
        <v>0</v>
      </c>
      <c r="N80" s="333">
        <f>IF($F80="",0,IF($F80="Weighted Average",$G80*VLOOKUP($D80&amp;" (Install)",Lists!$C$72:$R$232,COLUMNS(Lists!$C$69:G$69),0)*VLOOKUP(BG$3,Conversions!$B$12:$E$34,4,0),$G80*VLOOKUP($F80,Lists!$C$72:$R$232,COLUMNS(Lists!$C$69:G$69),0)*VLOOKUP(BG$3,Conversions!$B$12:$E$34,4,0)))</f>
        <v>0</v>
      </c>
      <c r="O80" s="333">
        <f>IF($F80="",0,IF($F80="Weighted Average",$G80*VLOOKUP($D80&amp;" (Install)",Lists!$C$72:$R$232,COLUMNS(Lists!$C$69:H$69),0)*VLOOKUP(BH$3,Conversions!$B$12:$E$34,4,0),$G80*VLOOKUP($F80,Lists!$C$72:$R$232,COLUMNS(Lists!$C$69:H$69),0)*VLOOKUP(BH$3,Conversions!$B$12:$E$34,4,0)))</f>
        <v>0</v>
      </c>
      <c r="P80" s="333">
        <f>IF($F80="",0,IF($F80="Weighted Average",$G80*VLOOKUP($D80&amp;" (Install)",Lists!$C$72:$R$232,COLUMNS(Lists!$C$69:I$69),0)*VLOOKUP(BI$3,Conversions!$B$12:$E$34,4,0),$G80*VLOOKUP($F80,Lists!$C$72:$R$232,COLUMNS(Lists!$C$69:I$69),0)*VLOOKUP(BI$3,Conversions!$B$12:$E$34,4,0)))</f>
        <v>0</v>
      </c>
      <c r="Q80" s="333">
        <f>IF($F80="",0,IF($F80="Weighted Average",$G80*VLOOKUP($D80&amp;" (Install)",Lists!$C$72:$R$232,COLUMNS(Lists!$C$69:J$69),0)*VLOOKUP(BJ$3,Conversions!$B$12:$E$34,4,0),$G80*VLOOKUP($F80,Lists!$C$72:$R$232,COLUMNS(Lists!$C$69:J$69),0)*VLOOKUP(BJ$3,Conversions!$B$12:$E$34,4,0)))</f>
        <v>0</v>
      </c>
      <c r="R80" s="333">
        <f>IF($F80="",0,IF($F80="Weighted Average",$G80*VLOOKUP($D80&amp;" (Install)",Lists!$C$72:$R$232,COLUMNS(Lists!$C$69:K$69),0)*VLOOKUP(BK$3,Conversions!$B$12:$E$34,4,0),$G80*VLOOKUP($F80,Lists!$C$72:$R$232,COLUMNS(Lists!$C$69:K$69),0)*VLOOKUP(BK$3,Conversions!$B$12:$E$34,4,0)))</f>
        <v>0</v>
      </c>
      <c r="S80" s="333">
        <f>IF($F80="",0,IF($F80="Weighted Average",$G80*VLOOKUP($D80&amp;" (Install)",Lists!$C$72:$R$232,COLUMNS(Lists!$C$69:L$69),0)*VLOOKUP(BL$3,Conversions!$B$12:$E$34,4,0),$G80*VLOOKUP($F80,Lists!$C$72:$R$232,COLUMNS(Lists!$C$69:L$69),0)*VLOOKUP(BL$3,Conversions!$B$12:$E$34,4,0)))</f>
        <v>0</v>
      </c>
      <c r="T80" s="333">
        <f>IF($F80="",0,IF($F80="Weighted Average",$G80*VLOOKUP($D80&amp;" (Install)",Lists!$C$72:$R$232,COLUMNS(Lists!$C$69:M$69),0)*VLOOKUP(BM$3,Conversions!$B$12:$E$34,4,0),$G80*VLOOKUP($F80,Lists!$C$72:$R$232,COLUMNS(Lists!$C$69:M$69),0)*VLOOKUP(BM$3,Conversions!$B$12:$E$34,4,0)))</f>
        <v>0</v>
      </c>
      <c r="U80" s="333">
        <f>IF($F80="",0,IF($F80="Weighted Average",$G80*VLOOKUP($D80&amp;" (Install)",Lists!$C$72:$R$232,COLUMNS(Lists!$C$69:N$69),0)*VLOOKUP(BN$3,Conversions!$B$12:$E$34,4,0),$G80*VLOOKUP($F80,Lists!$C$72:$R$232,COLUMNS(Lists!$C$69:N$69),0)*VLOOKUP(BN$3,Conversions!$B$12:$E$34,4,0)))</f>
        <v>0</v>
      </c>
      <c r="V80" s="333">
        <f>IF($F80="",0,IF($F80="Weighted Average",$G80*VLOOKUP($D80&amp;" (Install)",Lists!$C$72:$R$232,COLUMNS(Lists!$C$69:O$69),0)*VLOOKUP(BO$3,Conversions!$B$12:$E$34,4,0),$G80*VLOOKUP($F80,Lists!$C$72:$R$232,COLUMNS(Lists!$C$69:O$69),0)*VLOOKUP(BO$3,Conversions!$B$12:$E$34,4,0)))</f>
        <v>0</v>
      </c>
      <c r="W80" s="333">
        <f>IF($F80="",0,IF($F80="Weighted Average",$G80*VLOOKUP($D80&amp;" (Install)",Lists!$C$72:$R$232,COLUMNS(Lists!$C$69:P$69),0)*VLOOKUP(BP$3,Conversions!$B$12:$E$34,4,0),$G80*VLOOKUP($F80,Lists!$C$72:$R$232,COLUMNS(Lists!$C$69:P$69),0)*VLOOKUP(BP$3,Conversions!$B$12:$E$34,4,0)))</f>
        <v>0</v>
      </c>
      <c r="X80" s="333">
        <f>IF($F80="",0,IF($F80="Weighted Average",$G80*VLOOKUP($D80&amp;" (Install)",Lists!$C$72:$R$232,COLUMNS(Lists!$C$69:Q$69),0)*VLOOKUP(BQ$3,Conversions!$B$12:$E$34,4,0),$G80*VLOOKUP($F80,Lists!$C$72:$R$232,COLUMNS(Lists!$C$69:Q$69),0)*VLOOKUP(BQ$3,Conversions!$B$12:$E$34,4,0)))</f>
        <v>0</v>
      </c>
      <c r="Y80" s="333">
        <f>IF($F80="",0,IF($F80="Weighted Average",$G80*VLOOKUP($D80&amp;" (Install)",Lists!$C$72:$R$232,COLUMNS(Lists!$C$69:R$69),0)*VLOOKUP(BR$3,Conversions!$B$12:$E$34,4,0),$G80*VLOOKUP($F80,Lists!$C$72:$R$232,COLUMNS(Lists!$C$69:R$69),0)*VLOOKUP(BR$3,Conversions!$B$12:$E$34,4,0)))</f>
        <v>0</v>
      </c>
      <c r="Z80" s="325">
        <f t="shared" si="38"/>
        <v>0</v>
      </c>
      <c r="AA80" s="334">
        <f>IF($F80="",0,IF($F80="Weighted Average",$H80*VLOOKUP($D80&amp;" (Operation)",Lists!$C$72:$R$232,COLUMNS(Lists!$C$69:E$69),0)*VLOOKUP(BE$3,Conversions!$B$12:$E$34,4,0),$H80*VLOOKUP($F80,Lists!$C$72:$R$232,COLUMNS(Lists!$C$69:E$69),0)*VLOOKUP(BE$3,Conversions!$B$12:$E$34,4,0)))</f>
        <v>0</v>
      </c>
      <c r="AB80" s="334">
        <f>IF($F80="",0,IF($F80="Weighted Average",$H80*VLOOKUP($D80&amp;" (Operation)",Lists!$C$72:$R$232,COLUMNS(Lists!$C$69:F$69),0)*VLOOKUP(BF$3,Conversions!$B$12:$E$34,4,0),$H80*VLOOKUP($F80,Lists!$C$72:$R$232,COLUMNS(Lists!$C$69:F$69),0)*VLOOKUP(BF$3,Conversions!$B$12:$E$34,4,0)))</f>
        <v>0</v>
      </c>
      <c r="AC80" s="334">
        <f>IF($F80="",0,IF($F80="Weighted Average",$H80*VLOOKUP($D80&amp;" (Operation)",Lists!$C$72:$R$232,COLUMNS(Lists!$C$69:G$69),0)*VLOOKUP(BG$3,Conversions!$B$12:$E$34,4,0),$H80*VLOOKUP($F80,Lists!$C$72:$R$232,COLUMNS(Lists!$C$69:G$69),0)*VLOOKUP(BG$3,Conversions!$B$12:$E$34,4,0)))</f>
        <v>0</v>
      </c>
      <c r="AD80" s="334">
        <f>IF($F80="",0,IF($F80="Weighted Average",$H80*VLOOKUP($D80&amp;" (Operation)",Lists!$C$72:$R$232,COLUMNS(Lists!$C$69:H$69),0)*VLOOKUP(BH$3,Conversions!$B$12:$E$34,4,0),$H80*VLOOKUP($F80,Lists!$C$72:$R$232,COLUMNS(Lists!$C$69:H$69),0)*VLOOKUP(BH$3,Conversions!$B$12:$E$34,4,0)))</f>
        <v>0</v>
      </c>
      <c r="AE80" s="334">
        <f>IF($F80="",0,IF($F80="Weighted Average",$H80*VLOOKUP($D80&amp;" (Operation)",Lists!$C$72:$R$232,COLUMNS(Lists!$C$69:I$69),0)*VLOOKUP(BI$3,Conversions!$B$12:$E$34,4,0),$H80*VLOOKUP($F80,Lists!$C$72:$R$232,COLUMNS(Lists!$C$69:I$69),0)*VLOOKUP(BI$3,Conversions!$B$12:$E$34,4,0)))</f>
        <v>0</v>
      </c>
      <c r="AF80" s="334">
        <f>IF($F80="",0,IF($F80="Weighted Average",$H80*VLOOKUP($D80&amp;" (Operation)",Lists!$C$72:$R$232,COLUMNS(Lists!$C$69:J$69),0)*VLOOKUP(BJ$3,Conversions!$B$12:$E$34,4,0),$H80*VLOOKUP($F80,Lists!$C$72:$R$232,COLUMNS(Lists!$C$69:J$69),0)*VLOOKUP(BJ$3,Conversions!$B$12:$E$34,4,0)))</f>
        <v>0</v>
      </c>
      <c r="AG80" s="334">
        <f>IF($F80="",0,IF($F80="Weighted Average",$H80*VLOOKUP($D80&amp;" (Operation)",Lists!$C$72:$R$232,COLUMNS(Lists!$C$69:K$69),0)*VLOOKUP(BK$3,Conversions!$B$12:$E$34,4,0),$H80*VLOOKUP($F80,Lists!$C$72:$R$232,COLUMNS(Lists!$C$69:K$69),0)*VLOOKUP(BK$3,Conversions!$B$12:$E$34,4,0)))</f>
        <v>0</v>
      </c>
      <c r="AH80" s="334">
        <f>IF($F80="",0,IF($F80="Weighted Average",$H80*VLOOKUP($D80&amp;" (Operation)",Lists!$C$72:$R$232,COLUMNS(Lists!$C$69:L$69),0)*VLOOKUP(BL$3,Conversions!$B$12:$E$34,4,0),$H80*VLOOKUP($F80,Lists!$C$72:$R$232,COLUMNS(Lists!$C$69:L$69),0)*VLOOKUP(BL$3,Conversions!$B$12:$E$34,4,0)))</f>
        <v>0</v>
      </c>
      <c r="AI80" s="334">
        <f>IF($F80="",0,IF($F80="Weighted Average",$H80*VLOOKUP($D80&amp;" (Operation)",Lists!$C$72:$R$232,COLUMNS(Lists!$C$69:M$69),0)*VLOOKUP(BM$3,Conversions!$B$12:$E$34,4,0),$H80*VLOOKUP($F80,Lists!$C$72:$R$232,COLUMNS(Lists!$C$69:M$69),0)*VLOOKUP(BM$3,Conversions!$B$12:$E$34,4,0)))</f>
        <v>0</v>
      </c>
      <c r="AJ80" s="334">
        <f>IF($F80="",0,IF($F80="Weighted Average",$H80*VLOOKUP($D80&amp;" (Operation)",Lists!$C$72:$R$232,COLUMNS(Lists!$C$69:N$69),0)*VLOOKUP(BN$3,Conversions!$B$12:$E$34,4,0),$H80*VLOOKUP($F80,Lists!$C$72:$R$232,COLUMNS(Lists!$C$69:N$69),0)*VLOOKUP(BN$3,Conversions!$B$12:$E$34,4,0)))</f>
        <v>0</v>
      </c>
      <c r="AK80" s="334">
        <f>IF($F80="",0,IF($F80="Weighted Average",$H80*VLOOKUP($D80&amp;" (Operation)",Lists!$C$72:$R$232,COLUMNS(Lists!$C$69:O$69),0)*VLOOKUP(BO$3,Conversions!$B$12:$E$34,4,0),$H80*VLOOKUP($F80,Lists!$C$72:$R$232,COLUMNS(Lists!$C$69:O$69),0)*VLOOKUP(BO$3,Conversions!$B$12:$E$34,4,0)))</f>
        <v>0</v>
      </c>
      <c r="AL80" s="334">
        <f>IF($F80="",0,IF($F80="Weighted Average",$H80*VLOOKUP($D80&amp;" (Operation)",Lists!$C$72:$R$232,COLUMNS(Lists!$C$69:P$69),0)*VLOOKUP(BP$3,Conversions!$B$12:$E$34,4,0),$H80*VLOOKUP($F80,Lists!$C$72:$R$232,COLUMNS(Lists!$C$69:P$69),0)*VLOOKUP(BP$3,Conversions!$B$12:$E$34,4,0)))</f>
        <v>0</v>
      </c>
      <c r="AM80" s="334">
        <f>IF($F80="",0,IF($F80="Weighted Average",$H80*VLOOKUP($D80&amp;" (Operation)",Lists!$C$72:$R$232,COLUMNS(Lists!$C$69:Q$69),0)*VLOOKUP(BQ$3,Conversions!$B$12:$E$34,4,0),$H80*VLOOKUP($F80,Lists!$C$72:$R$232,COLUMNS(Lists!$C$69:Q$69),0)*VLOOKUP(BQ$3,Conversions!$B$12:$E$34,4,0)))</f>
        <v>0</v>
      </c>
      <c r="AN80" s="334">
        <f>IF($F80="",0,IF($F80="Weighted Average",$H80*VLOOKUP($D80&amp;" (Operation)",Lists!$C$72:$R$232,COLUMNS(Lists!$C$69:R$69),0)*VLOOKUP(BR$3,Conversions!$B$12:$E$34,4,0),$H80*VLOOKUP($F80,Lists!$C$72:$R$232,COLUMNS(Lists!$C$69:R$69),0)*VLOOKUP(BR$3,Conversions!$B$12:$E$34,4,0)))</f>
        <v>0</v>
      </c>
      <c r="AO80" s="330">
        <f t="shared" si="39"/>
        <v>0</v>
      </c>
      <c r="AP80" s="333">
        <f>IF($F80="",0,IF($F80="Weighted Average",$I80*VLOOKUP($D80&amp;" (Disposal)",Lists!$C$72:$R$232,COLUMNS(Lists!$C$69:E$69),0)*VLOOKUP(BE$3,Conversions!$B$12:$E$34,4,0),$I80*VLOOKUP($F80,Lists!$C$72:$R$232,COLUMNS(Lists!$C$69:E$69),0)*VLOOKUP(BE$3,Conversions!$B$12:$E$34,4,0)))</f>
        <v>0</v>
      </c>
      <c r="AQ80" s="333">
        <f>IF($F80="",0,IF($F80="Weighted Average",$I80*VLOOKUP($D80&amp;" (Disposal)",Lists!$C$72:$R$232,COLUMNS(Lists!$C$69:F$69),0)*VLOOKUP(BF$3,Conversions!$B$12:$E$34,4,0),$I80*VLOOKUP($F80,Lists!$C$72:$R$232,COLUMNS(Lists!$C$69:F$69),0)*VLOOKUP(BF$3,Conversions!$B$12:$E$34,4,0)))</f>
        <v>0</v>
      </c>
      <c r="AR80" s="333">
        <f>IF($F80="",0,IF($F80="Weighted Average",$I80*VLOOKUP($D80&amp;" (Disposal)",Lists!$C$72:$R$232,COLUMNS(Lists!$C$69:G$69),0)*VLOOKUP(BG$3,Conversions!$B$12:$E$34,4,0),$I80*VLOOKUP($F80,Lists!$C$72:$R$232,COLUMNS(Lists!$C$69:G$69),0)*VLOOKUP(BG$3,Conversions!$B$12:$E$34,4,0)))</f>
        <v>0</v>
      </c>
      <c r="AS80" s="333">
        <f>IF($F80="",0,IF($F80="Weighted Average",$I80*VLOOKUP($D80&amp;" (Disposal)",Lists!$C$72:$R$232,COLUMNS(Lists!$C$69:H$69),0)*VLOOKUP(BH$3,Conversions!$B$12:$E$34,4,0),$I80*VLOOKUP($F80,Lists!$C$72:$R$232,COLUMNS(Lists!$C$69:H$69),0)*VLOOKUP(BH$3,Conversions!$B$12:$E$34,4,0)))</f>
        <v>0</v>
      </c>
      <c r="AT80" s="333">
        <f>IF($F80="",0,IF($F80="Weighted Average",$I80*VLOOKUP($D80&amp;" (Disposal)",Lists!$C$72:$R$232,COLUMNS(Lists!$C$69:I$69),0)*VLOOKUP(BI$3,Conversions!$B$12:$E$34,4,0),$I80*VLOOKUP($F80,Lists!$C$72:$R$232,COLUMNS(Lists!$C$69:I$69),0)*VLOOKUP(BI$3,Conversions!$B$12:$E$34,4,0)))</f>
        <v>0</v>
      </c>
      <c r="AU80" s="333">
        <f>IF($F80="",0,IF($F80="Weighted Average",$I80*VLOOKUP($D80&amp;" (Disposal)",Lists!$C$72:$R$232,COLUMNS(Lists!$C$69:J$69),0)*VLOOKUP(BJ$3,Conversions!$B$12:$E$34,4,0),$I80*VLOOKUP($F80,Lists!$C$72:$R$232,COLUMNS(Lists!$C$69:J$69),0)*VLOOKUP(BJ$3,Conversions!$B$12:$E$34,4,0)))</f>
        <v>0</v>
      </c>
      <c r="AV80" s="333">
        <f>IF($F80="",0,IF($F80="Weighted Average",$I80*VLOOKUP($D80&amp;" (Disposal)",Lists!$C$72:$R$232,COLUMNS(Lists!$C$69:K$69),0)*VLOOKUP(BK$3,Conversions!$B$12:$E$34,4,0),$I80*VLOOKUP($F80,Lists!$C$72:$R$232,COLUMNS(Lists!$C$69:K$69),0)*VLOOKUP(BK$3,Conversions!$B$12:$E$34,4,0)))</f>
        <v>0</v>
      </c>
      <c r="AW80" s="333">
        <f>IF($F80="",0,IF($F80="Weighted Average",$I80*VLOOKUP($D80&amp;" (Disposal)",Lists!$C$72:$R$232,COLUMNS(Lists!$C$69:L$69),0)*VLOOKUP(BL$3,Conversions!$B$12:$E$34,4,0),$I80*VLOOKUP($F80,Lists!$C$72:$R$232,COLUMNS(Lists!$C$69:L$69),0)*VLOOKUP(BL$3,Conversions!$B$12:$E$34,4,0)))</f>
        <v>0</v>
      </c>
      <c r="AX80" s="333">
        <f>IF($F80="",0,IF($F80="Weighted Average",$I80*VLOOKUP($D80&amp;" (Disposal)",Lists!$C$72:$R$232,COLUMNS(Lists!$C$69:M$69),0)*VLOOKUP(BM$3,Conversions!$B$12:$E$34,4,0),$I80*VLOOKUP($F80,Lists!$C$72:$R$232,COLUMNS(Lists!$C$69:M$69),0)*VLOOKUP(BM$3,Conversions!$B$12:$E$34,4,0)))</f>
        <v>0</v>
      </c>
      <c r="AY80" s="333">
        <f>IF($F80="",0,IF($F80="Weighted Average",$I80*VLOOKUP($D80&amp;" (Disposal)",Lists!$C$72:$R$232,COLUMNS(Lists!$C$69:N$69),0)*VLOOKUP(BN$3,Conversions!$B$12:$E$34,4,0),$I80*VLOOKUP($F80,Lists!$C$72:$R$232,COLUMNS(Lists!$C$69:N$69),0)*VLOOKUP(BN$3,Conversions!$B$12:$E$34,4,0)))</f>
        <v>0</v>
      </c>
      <c r="AZ80" s="333">
        <f>IF($F80="",0,IF($F80="Weighted Average",$I80*VLOOKUP($D80&amp;" (Disposal)",Lists!$C$72:$R$232,COLUMNS(Lists!$C$69:O$69),0)*VLOOKUP(BO$3,Conversions!$B$12:$E$34,4,0),$I80*VLOOKUP($F80,Lists!$C$72:$R$232,COLUMNS(Lists!$C$69:O$69),0)*VLOOKUP(BO$3,Conversions!$B$12:$E$34,4,0)))</f>
        <v>0</v>
      </c>
      <c r="BA80" s="333">
        <f>IF($F80="",0,IF($F80="Weighted Average",$I80*VLOOKUP($D80&amp;" (Disposal)",Lists!$C$72:$R$232,COLUMNS(Lists!$C$69:P$69),0)*VLOOKUP(BP$3,Conversions!$B$12:$E$34,4,0),$I80*VLOOKUP($F80,Lists!$C$72:$R$232,COLUMNS(Lists!$C$69:P$69),0)*VLOOKUP(BP$3,Conversions!$B$12:$E$34,4,0)))</f>
        <v>0</v>
      </c>
      <c r="BB80" s="333">
        <f>IF($F80="",0,IF($F80="Weighted Average",$I80*VLOOKUP($D80&amp;" (Disposal)",Lists!$C$72:$R$232,COLUMNS(Lists!$C$69:Q$69),0)*VLOOKUP(BQ$3,Conversions!$B$12:$E$34,4,0),$I80*VLOOKUP($F80,Lists!$C$72:$R$232,COLUMNS(Lists!$C$69:Q$69),0)*VLOOKUP(BQ$3,Conversions!$B$12:$E$34,4,0)))</f>
        <v>0</v>
      </c>
      <c r="BC80" s="333">
        <f>IF($F80="",0,IF($F80="Weighted Average",$I80*VLOOKUP($D80&amp;" (Disposal)",Lists!$C$72:$R$232,COLUMNS(Lists!$C$69:R$69),0)*VLOOKUP(BR$3,Conversions!$B$12:$E$34,4,0),$I80*VLOOKUP($F80,Lists!$C$72:$R$232,COLUMNS(Lists!$C$69:R$69),0)*VLOOKUP(BR$3,Conversions!$B$12:$E$34,4,0)))</f>
        <v>0</v>
      </c>
      <c r="BD80" s="333">
        <f t="shared" si="40"/>
        <v>0</v>
      </c>
      <c r="BE80" s="330">
        <f t="shared" si="41"/>
        <v>0</v>
      </c>
      <c r="BF80" s="330">
        <f t="shared" si="42"/>
        <v>0</v>
      </c>
      <c r="BG80" s="330">
        <f t="shared" si="43"/>
        <v>0</v>
      </c>
      <c r="BH80" s="330">
        <f t="shared" si="44"/>
        <v>0</v>
      </c>
      <c r="BI80" s="330">
        <f t="shared" si="45"/>
        <v>0</v>
      </c>
      <c r="BJ80" s="330">
        <f t="shared" si="46"/>
        <v>0</v>
      </c>
      <c r="BK80" s="330">
        <f t="shared" si="47"/>
        <v>0</v>
      </c>
      <c r="BL80" s="330">
        <f t="shared" si="48"/>
        <v>0</v>
      </c>
      <c r="BM80" s="330">
        <f t="shared" si="49"/>
        <v>0</v>
      </c>
      <c r="BN80" s="330">
        <f t="shared" si="50"/>
        <v>0</v>
      </c>
      <c r="BO80" s="330">
        <f t="shared" si="51"/>
        <v>0</v>
      </c>
      <c r="BP80" s="330">
        <f t="shared" si="52"/>
        <v>0</v>
      </c>
      <c r="BQ80" s="330">
        <f t="shared" si="53"/>
        <v>0</v>
      </c>
      <c r="BR80" s="330">
        <f t="shared" si="54"/>
        <v>0</v>
      </c>
      <c r="BS80" s="330">
        <f t="shared" si="55"/>
        <v>0</v>
      </c>
      <c r="BT80" s="329">
        <f t="shared" si="95"/>
        <v>0</v>
      </c>
      <c r="BU80" s="329">
        <f t="shared" si="95"/>
        <v>0</v>
      </c>
      <c r="BV80" s="329">
        <f t="shared" si="95"/>
        <v>0</v>
      </c>
      <c r="BW80" s="329">
        <f t="shared" si="95"/>
        <v>0</v>
      </c>
      <c r="BX80" s="329">
        <f t="shared" si="95"/>
        <v>0</v>
      </c>
      <c r="BY80" s="329">
        <f t="shared" si="95"/>
        <v>0</v>
      </c>
      <c r="BZ80" s="329">
        <f t="shared" si="95"/>
        <v>0</v>
      </c>
      <c r="CA80" s="329">
        <f t="shared" si="95"/>
        <v>0</v>
      </c>
      <c r="CB80" s="329">
        <f t="shared" si="95"/>
        <v>0</v>
      </c>
      <c r="CC80" s="329">
        <f t="shared" si="95"/>
        <v>0</v>
      </c>
      <c r="CD80" s="329">
        <f t="shared" si="95"/>
        <v>0</v>
      </c>
      <c r="CE80" s="329">
        <f t="shared" si="95"/>
        <v>0</v>
      </c>
      <c r="CF80" s="329">
        <f t="shared" si="95"/>
        <v>0</v>
      </c>
      <c r="CG80" s="329">
        <f t="shared" si="95"/>
        <v>0</v>
      </c>
      <c r="CH80" s="329">
        <f t="shared" si="95"/>
        <v>0</v>
      </c>
      <c r="CI80" s="329">
        <f t="shared" si="95"/>
        <v>0</v>
      </c>
      <c r="CJ80" s="331">
        <f t="shared" si="1"/>
        <v>0</v>
      </c>
      <c r="CK80" s="330">
        <f t="shared" si="5"/>
        <v>0</v>
      </c>
      <c r="CL80" s="330">
        <f t="shared" si="6"/>
        <v>0</v>
      </c>
      <c r="CM80" s="330">
        <f t="shared" si="7"/>
        <v>0</v>
      </c>
      <c r="CN80" s="330">
        <f t="shared" si="8"/>
        <v>0</v>
      </c>
      <c r="CO80" s="330">
        <f t="shared" si="9"/>
        <v>0</v>
      </c>
      <c r="CP80" s="330">
        <f t="shared" si="10"/>
        <v>0</v>
      </c>
      <c r="CQ80" s="330">
        <f t="shared" si="94"/>
        <v>0</v>
      </c>
      <c r="CR80" s="330">
        <f t="shared" si="12"/>
        <v>0</v>
      </c>
      <c r="CS80" s="330">
        <f t="shared" si="13"/>
        <v>0</v>
      </c>
      <c r="CT80" s="330">
        <f t="shared" si="14"/>
        <v>0</v>
      </c>
      <c r="CU80" s="330">
        <f t="shared" si="96"/>
        <v>0</v>
      </c>
      <c r="CV80" s="330">
        <f t="shared" si="96"/>
        <v>0</v>
      </c>
      <c r="CW80" s="330">
        <f t="shared" si="96"/>
        <v>0</v>
      </c>
      <c r="CX80" s="330">
        <f t="shared" si="96"/>
        <v>0</v>
      </c>
      <c r="CY80" s="330">
        <f t="shared" si="96"/>
        <v>0</v>
      </c>
      <c r="CZ80" s="330">
        <f t="shared" si="96"/>
        <v>0</v>
      </c>
      <c r="DA80" s="330">
        <f t="shared" si="96"/>
        <v>0</v>
      </c>
      <c r="DB80" s="330">
        <f t="shared" si="96"/>
        <v>0</v>
      </c>
      <c r="DC80" s="330">
        <f t="shared" si="96"/>
        <v>0</v>
      </c>
      <c r="DD80" s="330">
        <f t="shared" si="96"/>
        <v>0</v>
      </c>
      <c r="DE80" s="330">
        <f t="shared" si="97"/>
        <v>0</v>
      </c>
      <c r="DF80" s="330">
        <f t="shared" si="97"/>
        <v>0</v>
      </c>
      <c r="DG80" s="330">
        <f t="shared" si="97"/>
        <v>0</v>
      </c>
      <c r="DH80" s="330">
        <f t="shared" si="97"/>
        <v>0</v>
      </c>
      <c r="DI80" s="330">
        <f t="shared" si="97"/>
        <v>0</v>
      </c>
      <c r="DJ80" s="330">
        <f t="shared" si="97"/>
        <v>0</v>
      </c>
      <c r="DK80" s="330">
        <f t="shared" si="97"/>
        <v>0</v>
      </c>
      <c r="DL80" s="330">
        <f t="shared" si="97"/>
        <v>0</v>
      </c>
      <c r="DM80" s="330">
        <f t="shared" si="97"/>
        <v>0</v>
      </c>
      <c r="DN80" s="330">
        <f t="shared" si="97"/>
        <v>0</v>
      </c>
      <c r="DO80" s="330">
        <f t="shared" si="97"/>
        <v>0</v>
      </c>
      <c r="DP80" s="330">
        <f t="shared" si="98"/>
        <v>0</v>
      </c>
      <c r="DQ80" s="217"/>
      <c r="DR80" s="217"/>
      <c r="DS80" s="217"/>
      <c r="DT80" s="217"/>
    </row>
    <row r="81" spans="1:124" x14ac:dyDescent="0.3">
      <c r="A81" s="332"/>
      <c r="B81" s="221" t="s">
        <v>304</v>
      </c>
      <c r="C81" s="221" t="str">
        <f>IF('Simplified Material Balance'!C51=0,"",'Simplified Material Balance'!C51)</f>
        <v/>
      </c>
      <c r="D81" s="221" t="str">
        <f>IF('Simplified Material Balance'!D51=0,"",'Simplified Material Balance'!D51)</f>
        <v/>
      </c>
      <c r="E81" s="221" t="str">
        <f>IF('Simplified Material Balance'!E51=0,"",'Simplified Material Balance'!E51)</f>
        <v/>
      </c>
      <c r="F81" s="221" t="str">
        <f>IF('Simplified Material Balance'!F51=0,"",'Simplified Material Balance'!F51)</f>
        <v/>
      </c>
      <c r="G81" s="272">
        <f>IF('Simplified Material Balance'!H51&gt;'Simplified Material Balance'!G51,0,('Simplified Material Balance'!G51-'Simplified Material Balance'!H51)*Conversions!$C$4)</f>
        <v>0</v>
      </c>
      <c r="H81" s="272">
        <f>'Simplified Material Balance'!I51*Conversions!$C$4</f>
        <v>0</v>
      </c>
      <c r="I81" s="272">
        <f>('Simplified Material Balance'!J51-'Simplified Material Balance'!K51)*Conversions!$C$4</f>
        <v>0</v>
      </c>
      <c r="J81" s="325">
        <f>IF('Simplified Material Balance'!L51=0,0,'Simplified Material Balance'!L51)</f>
        <v>0</v>
      </c>
      <c r="K81" s="465"/>
      <c r="L81" s="333">
        <f>IF($F81="",0,IF($F81="Weighted Average",$G81*VLOOKUP($D81&amp;" (Install)",Lists!$C$72:$R$232,COLUMNS(Lists!$C$69:E$69),0)*VLOOKUP(BE$3,Conversions!$B$12:$E$34,4,0),$G81*VLOOKUP($F81,Lists!$C$72:$R$232,COLUMNS(Lists!$C$69:E$69),0)*VLOOKUP(BE$3,Conversions!$B$12:$E$34,4,0)))</f>
        <v>0</v>
      </c>
      <c r="M81" s="333">
        <f>IF($F81="",0,IF($F81="Weighted Average",$G81*VLOOKUP($D81&amp;" (Install)",Lists!$C$72:$R$232,COLUMNS(Lists!$C$69:F$69),0)*VLOOKUP(BF$3,Conversions!$B$12:$E$34,4,0),$G81*VLOOKUP($F81,Lists!$C$72:$R$232,COLUMNS(Lists!$C$69:F$69),0)*VLOOKUP(BF$3,Conversions!$B$12:$E$34,4,0)))</f>
        <v>0</v>
      </c>
      <c r="N81" s="333">
        <f>IF($F81="",0,IF($F81="Weighted Average",$G81*VLOOKUP($D81&amp;" (Install)",Lists!$C$72:$R$232,COLUMNS(Lists!$C$69:G$69),0)*VLOOKUP(BG$3,Conversions!$B$12:$E$34,4,0),$G81*VLOOKUP($F81,Lists!$C$72:$R$232,COLUMNS(Lists!$C$69:G$69),0)*VLOOKUP(BG$3,Conversions!$B$12:$E$34,4,0)))</f>
        <v>0</v>
      </c>
      <c r="O81" s="333">
        <f>IF($F81="",0,IF($F81="Weighted Average",$G81*VLOOKUP($D81&amp;" (Install)",Lists!$C$72:$R$232,COLUMNS(Lists!$C$69:H$69),0)*VLOOKUP(BH$3,Conversions!$B$12:$E$34,4,0),$G81*VLOOKUP($F81,Lists!$C$72:$R$232,COLUMNS(Lists!$C$69:H$69),0)*VLOOKUP(BH$3,Conversions!$B$12:$E$34,4,0)))</f>
        <v>0</v>
      </c>
      <c r="P81" s="333">
        <f>IF($F81="",0,IF($F81="Weighted Average",$G81*VLOOKUP($D81&amp;" (Install)",Lists!$C$72:$R$232,COLUMNS(Lists!$C$69:I$69),0)*VLOOKUP(BI$3,Conversions!$B$12:$E$34,4,0),$G81*VLOOKUP($F81,Lists!$C$72:$R$232,COLUMNS(Lists!$C$69:I$69),0)*VLOOKUP(BI$3,Conversions!$B$12:$E$34,4,0)))</f>
        <v>0</v>
      </c>
      <c r="Q81" s="333">
        <f>IF($F81="",0,IF($F81="Weighted Average",$G81*VLOOKUP($D81&amp;" (Install)",Lists!$C$72:$R$232,COLUMNS(Lists!$C$69:J$69),0)*VLOOKUP(BJ$3,Conversions!$B$12:$E$34,4,0),$G81*VLOOKUP($F81,Lists!$C$72:$R$232,COLUMNS(Lists!$C$69:J$69),0)*VLOOKUP(BJ$3,Conversions!$B$12:$E$34,4,0)))</f>
        <v>0</v>
      </c>
      <c r="R81" s="333">
        <f>IF($F81="",0,IF($F81="Weighted Average",$G81*VLOOKUP($D81&amp;" (Install)",Lists!$C$72:$R$232,COLUMNS(Lists!$C$69:K$69),0)*VLOOKUP(BK$3,Conversions!$B$12:$E$34,4,0),$G81*VLOOKUP($F81,Lists!$C$72:$R$232,COLUMNS(Lists!$C$69:K$69),0)*VLOOKUP(BK$3,Conversions!$B$12:$E$34,4,0)))</f>
        <v>0</v>
      </c>
      <c r="S81" s="333">
        <f>IF($F81="",0,IF($F81="Weighted Average",$G81*VLOOKUP($D81&amp;" (Install)",Lists!$C$72:$R$232,COLUMNS(Lists!$C$69:L$69),0)*VLOOKUP(BL$3,Conversions!$B$12:$E$34,4,0),$G81*VLOOKUP($F81,Lists!$C$72:$R$232,COLUMNS(Lists!$C$69:L$69),0)*VLOOKUP(BL$3,Conversions!$B$12:$E$34,4,0)))</f>
        <v>0</v>
      </c>
      <c r="T81" s="333">
        <f>IF($F81="",0,IF($F81="Weighted Average",$G81*VLOOKUP($D81&amp;" (Install)",Lists!$C$72:$R$232,COLUMNS(Lists!$C$69:M$69),0)*VLOOKUP(BM$3,Conversions!$B$12:$E$34,4,0),$G81*VLOOKUP($F81,Lists!$C$72:$R$232,COLUMNS(Lists!$C$69:M$69),0)*VLOOKUP(BM$3,Conversions!$B$12:$E$34,4,0)))</f>
        <v>0</v>
      </c>
      <c r="U81" s="333">
        <f>IF($F81="",0,IF($F81="Weighted Average",$G81*VLOOKUP($D81&amp;" (Install)",Lists!$C$72:$R$232,COLUMNS(Lists!$C$69:N$69),0)*VLOOKUP(BN$3,Conversions!$B$12:$E$34,4,0),$G81*VLOOKUP($F81,Lists!$C$72:$R$232,COLUMNS(Lists!$C$69:N$69),0)*VLOOKUP(BN$3,Conversions!$B$12:$E$34,4,0)))</f>
        <v>0</v>
      </c>
      <c r="V81" s="333">
        <f>IF($F81="",0,IF($F81="Weighted Average",$G81*VLOOKUP($D81&amp;" (Install)",Lists!$C$72:$R$232,COLUMNS(Lists!$C$69:O$69),0)*VLOOKUP(BO$3,Conversions!$B$12:$E$34,4,0),$G81*VLOOKUP($F81,Lists!$C$72:$R$232,COLUMNS(Lists!$C$69:O$69),0)*VLOOKUP(BO$3,Conversions!$B$12:$E$34,4,0)))</f>
        <v>0</v>
      </c>
      <c r="W81" s="333">
        <f>IF($F81="",0,IF($F81="Weighted Average",$G81*VLOOKUP($D81&amp;" (Install)",Lists!$C$72:$R$232,COLUMNS(Lists!$C$69:P$69),0)*VLOOKUP(BP$3,Conversions!$B$12:$E$34,4,0),$G81*VLOOKUP($F81,Lists!$C$72:$R$232,COLUMNS(Lists!$C$69:P$69),0)*VLOOKUP(BP$3,Conversions!$B$12:$E$34,4,0)))</f>
        <v>0</v>
      </c>
      <c r="X81" s="333">
        <f>IF($F81="",0,IF($F81="Weighted Average",$G81*VLOOKUP($D81&amp;" (Install)",Lists!$C$72:$R$232,COLUMNS(Lists!$C$69:Q$69),0)*VLOOKUP(BQ$3,Conversions!$B$12:$E$34,4,0),$G81*VLOOKUP($F81,Lists!$C$72:$R$232,COLUMNS(Lists!$C$69:Q$69),0)*VLOOKUP(BQ$3,Conversions!$B$12:$E$34,4,0)))</f>
        <v>0</v>
      </c>
      <c r="Y81" s="333">
        <f>IF($F81="",0,IF($F81="Weighted Average",$G81*VLOOKUP($D81&amp;" (Install)",Lists!$C$72:$R$232,COLUMNS(Lists!$C$69:R$69),0)*VLOOKUP(BR$3,Conversions!$B$12:$E$34,4,0),$G81*VLOOKUP($F81,Lists!$C$72:$R$232,COLUMNS(Lists!$C$69:R$69),0)*VLOOKUP(BR$3,Conversions!$B$12:$E$34,4,0)))</f>
        <v>0</v>
      </c>
      <c r="Z81" s="325">
        <f t="shared" si="38"/>
        <v>0</v>
      </c>
      <c r="AA81" s="334">
        <f>IF($F81="",0,IF($F81="Weighted Average",$H81*VLOOKUP($D81&amp;" (Operation)",Lists!$C$72:$R$232,COLUMNS(Lists!$C$69:E$69),0)*VLOOKUP(BE$3,Conversions!$B$12:$E$34,4,0),$H81*VLOOKUP($F81,Lists!$C$72:$R$232,COLUMNS(Lists!$C$69:E$69),0)*VLOOKUP(BE$3,Conversions!$B$12:$E$34,4,0)))</f>
        <v>0</v>
      </c>
      <c r="AB81" s="334">
        <f>IF($F81="",0,IF($F81="Weighted Average",$H81*VLOOKUP($D81&amp;" (Operation)",Lists!$C$72:$R$232,COLUMNS(Lists!$C$69:F$69),0)*VLOOKUP(BF$3,Conversions!$B$12:$E$34,4,0),$H81*VLOOKUP($F81,Lists!$C$72:$R$232,COLUMNS(Lists!$C$69:F$69),0)*VLOOKUP(BF$3,Conversions!$B$12:$E$34,4,0)))</f>
        <v>0</v>
      </c>
      <c r="AC81" s="334">
        <f>IF($F81="",0,IF($F81="Weighted Average",$H81*VLOOKUP($D81&amp;" (Operation)",Lists!$C$72:$R$232,COLUMNS(Lists!$C$69:G$69),0)*VLOOKUP(BG$3,Conversions!$B$12:$E$34,4,0),$H81*VLOOKUP($F81,Lists!$C$72:$R$232,COLUMNS(Lists!$C$69:G$69),0)*VLOOKUP(BG$3,Conversions!$B$12:$E$34,4,0)))</f>
        <v>0</v>
      </c>
      <c r="AD81" s="334">
        <f>IF($F81="",0,IF($F81="Weighted Average",$H81*VLOOKUP($D81&amp;" (Operation)",Lists!$C$72:$R$232,COLUMNS(Lists!$C$69:H$69),0)*VLOOKUP(BH$3,Conversions!$B$12:$E$34,4,0),$H81*VLOOKUP($F81,Lists!$C$72:$R$232,COLUMNS(Lists!$C$69:H$69),0)*VLOOKUP(BH$3,Conversions!$B$12:$E$34,4,0)))</f>
        <v>0</v>
      </c>
      <c r="AE81" s="334">
        <f>IF($F81="",0,IF($F81="Weighted Average",$H81*VLOOKUP($D81&amp;" (Operation)",Lists!$C$72:$R$232,COLUMNS(Lists!$C$69:I$69),0)*VLOOKUP(BI$3,Conversions!$B$12:$E$34,4,0),$H81*VLOOKUP($F81,Lists!$C$72:$R$232,COLUMNS(Lists!$C$69:I$69),0)*VLOOKUP(BI$3,Conversions!$B$12:$E$34,4,0)))</f>
        <v>0</v>
      </c>
      <c r="AF81" s="334">
        <f>IF($F81="",0,IF($F81="Weighted Average",$H81*VLOOKUP($D81&amp;" (Operation)",Lists!$C$72:$R$232,COLUMNS(Lists!$C$69:J$69),0)*VLOOKUP(BJ$3,Conversions!$B$12:$E$34,4,0),$H81*VLOOKUP($F81,Lists!$C$72:$R$232,COLUMNS(Lists!$C$69:J$69),0)*VLOOKUP(BJ$3,Conversions!$B$12:$E$34,4,0)))</f>
        <v>0</v>
      </c>
      <c r="AG81" s="334">
        <f>IF($F81="",0,IF($F81="Weighted Average",$H81*VLOOKUP($D81&amp;" (Operation)",Lists!$C$72:$R$232,COLUMNS(Lists!$C$69:K$69),0)*VLOOKUP(BK$3,Conversions!$B$12:$E$34,4,0),$H81*VLOOKUP($F81,Lists!$C$72:$R$232,COLUMNS(Lists!$C$69:K$69),0)*VLOOKUP(BK$3,Conversions!$B$12:$E$34,4,0)))</f>
        <v>0</v>
      </c>
      <c r="AH81" s="334">
        <f>IF($F81="",0,IF($F81="Weighted Average",$H81*VLOOKUP($D81&amp;" (Operation)",Lists!$C$72:$R$232,COLUMNS(Lists!$C$69:L$69),0)*VLOOKUP(BL$3,Conversions!$B$12:$E$34,4,0),$H81*VLOOKUP($F81,Lists!$C$72:$R$232,COLUMNS(Lists!$C$69:L$69),0)*VLOOKUP(BL$3,Conversions!$B$12:$E$34,4,0)))</f>
        <v>0</v>
      </c>
      <c r="AI81" s="334">
        <f>IF($F81="",0,IF($F81="Weighted Average",$H81*VLOOKUP($D81&amp;" (Operation)",Lists!$C$72:$R$232,COLUMNS(Lists!$C$69:M$69),0)*VLOOKUP(BM$3,Conversions!$B$12:$E$34,4,0),$H81*VLOOKUP($F81,Lists!$C$72:$R$232,COLUMNS(Lists!$C$69:M$69),0)*VLOOKUP(BM$3,Conversions!$B$12:$E$34,4,0)))</f>
        <v>0</v>
      </c>
      <c r="AJ81" s="334">
        <f>IF($F81="",0,IF($F81="Weighted Average",$H81*VLOOKUP($D81&amp;" (Operation)",Lists!$C$72:$R$232,COLUMNS(Lists!$C$69:N$69),0)*VLOOKUP(BN$3,Conversions!$B$12:$E$34,4,0),$H81*VLOOKUP($F81,Lists!$C$72:$R$232,COLUMNS(Lists!$C$69:N$69),0)*VLOOKUP(BN$3,Conversions!$B$12:$E$34,4,0)))</f>
        <v>0</v>
      </c>
      <c r="AK81" s="334">
        <f>IF($F81="",0,IF($F81="Weighted Average",$H81*VLOOKUP($D81&amp;" (Operation)",Lists!$C$72:$R$232,COLUMNS(Lists!$C$69:O$69),0)*VLOOKUP(BO$3,Conversions!$B$12:$E$34,4,0),$H81*VLOOKUP($F81,Lists!$C$72:$R$232,COLUMNS(Lists!$C$69:O$69),0)*VLOOKUP(BO$3,Conversions!$B$12:$E$34,4,0)))</f>
        <v>0</v>
      </c>
      <c r="AL81" s="334">
        <f>IF($F81="",0,IF($F81="Weighted Average",$H81*VLOOKUP($D81&amp;" (Operation)",Lists!$C$72:$R$232,COLUMNS(Lists!$C$69:P$69),0)*VLOOKUP(BP$3,Conversions!$B$12:$E$34,4,0),$H81*VLOOKUP($F81,Lists!$C$72:$R$232,COLUMNS(Lists!$C$69:P$69),0)*VLOOKUP(BP$3,Conversions!$B$12:$E$34,4,0)))</f>
        <v>0</v>
      </c>
      <c r="AM81" s="334">
        <f>IF($F81="",0,IF($F81="Weighted Average",$H81*VLOOKUP($D81&amp;" (Operation)",Lists!$C$72:$R$232,COLUMNS(Lists!$C$69:Q$69),0)*VLOOKUP(BQ$3,Conversions!$B$12:$E$34,4,0),$H81*VLOOKUP($F81,Lists!$C$72:$R$232,COLUMNS(Lists!$C$69:Q$69),0)*VLOOKUP(BQ$3,Conversions!$B$12:$E$34,4,0)))</f>
        <v>0</v>
      </c>
      <c r="AN81" s="334">
        <f>IF($F81="",0,IF($F81="Weighted Average",$H81*VLOOKUP($D81&amp;" (Operation)",Lists!$C$72:$R$232,COLUMNS(Lists!$C$69:R$69),0)*VLOOKUP(BR$3,Conversions!$B$12:$E$34,4,0),$H81*VLOOKUP($F81,Lists!$C$72:$R$232,COLUMNS(Lists!$C$69:R$69),0)*VLOOKUP(BR$3,Conversions!$B$12:$E$34,4,0)))</f>
        <v>0</v>
      </c>
      <c r="AO81" s="330">
        <f t="shared" si="39"/>
        <v>0</v>
      </c>
      <c r="AP81" s="333">
        <f>IF($F81="",0,IF($F81="Weighted Average",$I81*VLOOKUP($D81&amp;" (Disposal)",Lists!$C$72:$R$232,COLUMNS(Lists!$C$69:E$69),0)*VLOOKUP(BE$3,Conversions!$B$12:$E$34,4,0),$I81*VLOOKUP($F81,Lists!$C$72:$R$232,COLUMNS(Lists!$C$69:E$69),0)*VLOOKUP(BE$3,Conversions!$B$12:$E$34,4,0)))</f>
        <v>0</v>
      </c>
      <c r="AQ81" s="333">
        <f>IF($F81="",0,IF($F81="Weighted Average",$I81*VLOOKUP($D81&amp;" (Disposal)",Lists!$C$72:$R$232,COLUMNS(Lists!$C$69:F$69),0)*VLOOKUP(BF$3,Conversions!$B$12:$E$34,4,0),$I81*VLOOKUP($F81,Lists!$C$72:$R$232,COLUMNS(Lists!$C$69:F$69),0)*VLOOKUP(BF$3,Conversions!$B$12:$E$34,4,0)))</f>
        <v>0</v>
      </c>
      <c r="AR81" s="333">
        <f>IF($F81="",0,IF($F81="Weighted Average",$I81*VLOOKUP($D81&amp;" (Disposal)",Lists!$C$72:$R$232,COLUMNS(Lists!$C$69:G$69),0)*VLOOKUP(BG$3,Conversions!$B$12:$E$34,4,0),$I81*VLOOKUP($F81,Lists!$C$72:$R$232,COLUMNS(Lists!$C$69:G$69),0)*VLOOKUP(BG$3,Conversions!$B$12:$E$34,4,0)))</f>
        <v>0</v>
      </c>
      <c r="AS81" s="333">
        <f>IF($F81="",0,IF($F81="Weighted Average",$I81*VLOOKUP($D81&amp;" (Disposal)",Lists!$C$72:$R$232,COLUMNS(Lists!$C$69:H$69),0)*VLOOKUP(BH$3,Conversions!$B$12:$E$34,4,0),$I81*VLOOKUP($F81,Lists!$C$72:$R$232,COLUMNS(Lists!$C$69:H$69),0)*VLOOKUP(BH$3,Conversions!$B$12:$E$34,4,0)))</f>
        <v>0</v>
      </c>
      <c r="AT81" s="333">
        <f>IF($F81="",0,IF($F81="Weighted Average",$I81*VLOOKUP($D81&amp;" (Disposal)",Lists!$C$72:$R$232,COLUMNS(Lists!$C$69:I$69),0)*VLOOKUP(BI$3,Conversions!$B$12:$E$34,4,0),$I81*VLOOKUP($F81,Lists!$C$72:$R$232,COLUMNS(Lists!$C$69:I$69),0)*VLOOKUP(BI$3,Conversions!$B$12:$E$34,4,0)))</f>
        <v>0</v>
      </c>
      <c r="AU81" s="333">
        <f>IF($F81="",0,IF($F81="Weighted Average",$I81*VLOOKUP($D81&amp;" (Disposal)",Lists!$C$72:$R$232,COLUMNS(Lists!$C$69:J$69),0)*VLOOKUP(BJ$3,Conversions!$B$12:$E$34,4,0),$I81*VLOOKUP($F81,Lists!$C$72:$R$232,COLUMNS(Lists!$C$69:J$69),0)*VLOOKUP(BJ$3,Conversions!$B$12:$E$34,4,0)))</f>
        <v>0</v>
      </c>
      <c r="AV81" s="333">
        <f>IF($F81="",0,IF($F81="Weighted Average",$I81*VLOOKUP($D81&amp;" (Disposal)",Lists!$C$72:$R$232,COLUMNS(Lists!$C$69:K$69),0)*VLOOKUP(BK$3,Conversions!$B$12:$E$34,4,0),$I81*VLOOKUP($F81,Lists!$C$72:$R$232,COLUMNS(Lists!$C$69:K$69),0)*VLOOKUP(BK$3,Conversions!$B$12:$E$34,4,0)))</f>
        <v>0</v>
      </c>
      <c r="AW81" s="333">
        <f>IF($F81="",0,IF($F81="Weighted Average",$I81*VLOOKUP($D81&amp;" (Disposal)",Lists!$C$72:$R$232,COLUMNS(Lists!$C$69:L$69),0)*VLOOKUP(BL$3,Conversions!$B$12:$E$34,4,0),$I81*VLOOKUP($F81,Lists!$C$72:$R$232,COLUMNS(Lists!$C$69:L$69),0)*VLOOKUP(BL$3,Conversions!$B$12:$E$34,4,0)))</f>
        <v>0</v>
      </c>
      <c r="AX81" s="333">
        <f>IF($F81="",0,IF($F81="Weighted Average",$I81*VLOOKUP($D81&amp;" (Disposal)",Lists!$C$72:$R$232,COLUMNS(Lists!$C$69:M$69),0)*VLOOKUP(BM$3,Conversions!$B$12:$E$34,4,0),$I81*VLOOKUP($F81,Lists!$C$72:$R$232,COLUMNS(Lists!$C$69:M$69),0)*VLOOKUP(BM$3,Conversions!$B$12:$E$34,4,0)))</f>
        <v>0</v>
      </c>
      <c r="AY81" s="333">
        <f>IF($F81="",0,IF($F81="Weighted Average",$I81*VLOOKUP($D81&amp;" (Disposal)",Lists!$C$72:$R$232,COLUMNS(Lists!$C$69:N$69),0)*VLOOKUP(BN$3,Conversions!$B$12:$E$34,4,0),$I81*VLOOKUP($F81,Lists!$C$72:$R$232,COLUMNS(Lists!$C$69:N$69),0)*VLOOKUP(BN$3,Conversions!$B$12:$E$34,4,0)))</f>
        <v>0</v>
      </c>
      <c r="AZ81" s="333">
        <f>IF($F81="",0,IF($F81="Weighted Average",$I81*VLOOKUP($D81&amp;" (Disposal)",Lists!$C$72:$R$232,COLUMNS(Lists!$C$69:O$69),0)*VLOOKUP(BO$3,Conversions!$B$12:$E$34,4,0),$I81*VLOOKUP($F81,Lists!$C$72:$R$232,COLUMNS(Lists!$C$69:O$69),0)*VLOOKUP(BO$3,Conversions!$B$12:$E$34,4,0)))</f>
        <v>0</v>
      </c>
      <c r="BA81" s="333">
        <f>IF($F81="",0,IF($F81="Weighted Average",$I81*VLOOKUP($D81&amp;" (Disposal)",Lists!$C$72:$R$232,COLUMNS(Lists!$C$69:P$69),0)*VLOOKUP(BP$3,Conversions!$B$12:$E$34,4,0),$I81*VLOOKUP($F81,Lists!$C$72:$R$232,COLUMNS(Lists!$C$69:P$69),0)*VLOOKUP(BP$3,Conversions!$B$12:$E$34,4,0)))</f>
        <v>0</v>
      </c>
      <c r="BB81" s="333">
        <f>IF($F81="",0,IF($F81="Weighted Average",$I81*VLOOKUP($D81&amp;" (Disposal)",Lists!$C$72:$R$232,COLUMNS(Lists!$C$69:Q$69),0)*VLOOKUP(BQ$3,Conversions!$B$12:$E$34,4,0),$I81*VLOOKUP($F81,Lists!$C$72:$R$232,COLUMNS(Lists!$C$69:Q$69),0)*VLOOKUP(BQ$3,Conversions!$B$12:$E$34,4,0)))</f>
        <v>0</v>
      </c>
      <c r="BC81" s="333">
        <f>IF($F81="",0,IF($F81="Weighted Average",$I81*VLOOKUP($D81&amp;" (Disposal)",Lists!$C$72:$R$232,COLUMNS(Lists!$C$69:R$69),0)*VLOOKUP(BR$3,Conversions!$B$12:$E$34,4,0),$I81*VLOOKUP($F81,Lists!$C$72:$R$232,COLUMNS(Lists!$C$69:R$69),0)*VLOOKUP(BR$3,Conversions!$B$12:$E$34,4,0)))</f>
        <v>0</v>
      </c>
      <c r="BD81" s="333">
        <f t="shared" si="40"/>
        <v>0</v>
      </c>
      <c r="BE81" s="330">
        <f t="shared" si="41"/>
        <v>0</v>
      </c>
      <c r="BF81" s="330">
        <f t="shared" si="42"/>
        <v>0</v>
      </c>
      <c r="BG81" s="330">
        <f t="shared" si="43"/>
        <v>0</v>
      </c>
      <c r="BH81" s="330">
        <f t="shared" si="44"/>
        <v>0</v>
      </c>
      <c r="BI81" s="330">
        <f t="shared" si="45"/>
        <v>0</v>
      </c>
      <c r="BJ81" s="330">
        <f t="shared" si="46"/>
        <v>0</v>
      </c>
      <c r="BK81" s="330">
        <f t="shared" si="47"/>
        <v>0</v>
      </c>
      <c r="BL81" s="330">
        <f t="shared" si="48"/>
        <v>0</v>
      </c>
      <c r="BM81" s="330">
        <f t="shared" si="49"/>
        <v>0</v>
      </c>
      <c r="BN81" s="330">
        <f t="shared" si="50"/>
        <v>0</v>
      </c>
      <c r="BO81" s="330">
        <f t="shared" si="51"/>
        <v>0</v>
      </c>
      <c r="BP81" s="330">
        <f t="shared" si="52"/>
        <v>0</v>
      </c>
      <c r="BQ81" s="330">
        <f t="shared" si="53"/>
        <v>0</v>
      </c>
      <c r="BR81" s="330">
        <f t="shared" si="54"/>
        <v>0</v>
      </c>
      <c r="BS81" s="330">
        <f t="shared" si="55"/>
        <v>0</v>
      </c>
      <c r="BT81" s="329">
        <f t="shared" si="95"/>
        <v>0</v>
      </c>
      <c r="BU81" s="329">
        <f t="shared" si="95"/>
        <v>0</v>
      </c>
      <c r="BV81" s="329">
        <f t="shared" si="95"/>
        <v>0</v>
      </c>
      <c r="BW81" s="329">
        <f t="shared" si="95"/>
        <v>0</v>
      </c>
      <c r="BX81" s="329">
        <f t="shared" si="95"/>
        <v>0</v>
      </c>
      <c r="BY81" s="329">
        <f t="shared" si="95"/>
        <v>0</v>
      </c>
      <c r="BZ81" s="329">
        <f t="shared" si="95"/>
        <v>0</v>
      </c>
      <c r="CA81" s="329">
        <f t="shared" si="95"/>
        <v>0</v>
      </c>
      <c r="CB81" s="329">
        <f t="shared" si="95"/>
        <v>0</v>
      </c>
      <c r="CC81" s="329">
        <f t="shared" si="95"/>
        <v>0</v>
      </c>
      <c r="CD81" s="329">
        <f t="shared" si="95"/>
        <v>0</v>
      </c>
      <c r="CE81" s="329">
        <f t="shared" si="95"/>
        <v>0</v>
      </c>
      <c r="CF81" s="329">
        <f t="shared" si="95"/>
        <v>0</v>
      </c>
      <c r="CG81" s="329">
        <f t="shared" si="95"/>
        <v>0</v>
      </c>
      <c r="CH81" s="329">
        <f t="shared" si="95"/>
        <v>0</v>
      </c>
      <c r="CI81" s="329">
        <f t="shared" si="95"/>
        <v>0</v>
      </c>
      <c r="CJ81" s="331">
        <f t="shared" si="1"/>
        <v>0</v>
      </c>
      <c r="CK81" s="330">
        <f t="shared" si="5"/>
        <v>0</v>
      </c>
      <c r="CL81" s="330">
        <f t="shared" si="6"/>
        <v>0</v>
      </c>
      <c r="CM81" s="330">
        <f t="shared" si="7"/>
        <v>0</v>
      </c>
      <c r="CN81" s="330">
        <f t="shared" si="8"/>
        <v>0</v>
      </c>
      <c r="CO81" s="330">
        <f t="shared" si="9"/>
        <v>0</v>
      </c>
      <c r="CP81" s="330">
        <f t="shared" si="10"/>
        <v>0</v>
      </c>
      <c r="CQ81" s="330">
        <f t="shared" si="94"/>
        <v>0</v>
      </c>
      <c r="CR81" s="330">
        <f t="shared" si="12"/>
        <v>0</v>
      </c>
      <c r="CS81" s="330">
        <f t="shared" si="13"/>
        <v>0</v>
      </c>
      <c r="CT81" s="330">
        <f t="shared" si="14"/>
        <v>0</v>
      </c>
      <c r="CU81" s="330">
        <f t="shared" si="96"/>
        <v>0</v>
      </c>
      <c r="CV81" s="330">
        <f t="shared" si="96"/>
        <v>0</v>
      </c>
      <c r="CW81" s="330">
        <f t="shared" si="96"/>
        <v>0</v>
      </c>
      <c r="CX81" s="330">
        <f t="shared" si="96"/>
        <v>0</v>
      </c>
      <c r="CY81" s="330">
        <f t="shared" si="96"/>
        <v>0</v>
      </c>
      <c r="CZ81" s="330">
        <f t="shared" si="96"/>
        <v>0</v>
      </c>
      <c r="DA81" s="330">
        <f t="shared" si="96"/>
        <v>0</v>
      </c>
      <c r="DB81" s="330">
        <f t="shared" si="96"/>
        <v>0</v>
      </c>
      <c r="DC81" s="330">
        <f t="shared" si="96"/>
        <v>0</v>
      </c>
      <c r="DD81" s="330">
        <f t="shared" si="96"/>
        <v>0</v>
      </c>
      <c r="DE81" s="330">
        <f t="shared" si="97"/>
        <v>0</v>
      </c>
      <c r="DF81" s="330">
        <f t="shared" si="97"/>
        <v>0</v>
      </c>
      <c r="DG81" s="330">
        <f t="shared" si="97"/>
        <v>0</v>
      </c>
      <c r="DH81" s="330">
        <f t="shared" si="97"/>
        <v>0</v>
      </c>
      <c r="DI81" s="330">
        <f t="shared" si="97"/>
        <v>0</v>
      </c>
      <c r="DJ81" s="330">
        <f t="shared" si="97"/>
        <v>0</v>
      </c>
      <c r="DK81" s="330">
        <f t="shared" si="97"/>
        <v>0</v>
      </c>
      <c r="DL81" s="330">
        <f t="shared" si="97"/>
        <v>0</v>
      </c>
      <c r="DM81" s="330">
        <f t="shared" si="97"/>
        <v>0</v>
      </c>
      <c r="DN81" s="330">
        <f t="shared" si="97"/>
        <v>0</v>
      </c>
      <c r="DO81" s="330">
        <f t="shared" si="97"/>
        <v>0</v>
      </c>
      <c r="DP81" s="330">
        <f t="shared" si="98"/>
        <v>0</v>
      </c>
      <c r="DQ81" s="217"/>
      <c r="DR81" s="217"/>
      <c r="DS81" s="217"/>
      <c r="DT81" s="217"/>
    </row>
    <row r="82" spans="1:124" x14ac:dyDescent="0.3">
      <c r="A82" s="332"/>
      <c r="B82" s="221" t="s">
        <v>304</v>
      </c>
      <c r="C82" s="221" t="str">
        <f>IF('Simplified Material Balance'!C52=0,"",'Simplified Material Balance'!C52)</f>
        <v/>
      </c>
      <c r="D82" s="221" t="str">
        <f>IF('Simplified Material Balance'!D52=0,"",'Simplified Material Balance'!D52)</f>
        <v/>
      </c>
      <c r="E82" s="221" t="str">
        <f>IF('Simplified Material Balance'!E52=0,"",'Simplified Material Balance'!E52)</f>
        <v/>
      </c>
      <c r="F82" s="221" t="str">
        <f>IF('Simplified Material Balance'!F52=0,"",'Simplified Material Balance'!F52)</f>
        <v/>
      </c>
      <c r="G82" s="272">
        <f>IF('Simplified Material Balance'!H52&gt;'Simplified Material Balance'!G52,0,('Simplified Material Balance'!G52-'Simplified Material Balance'!H52)*Conversions!$C$4)</f>
        <v>0</v>
      </c>
      <c r="H82" s="272">
        <f>'Simplified Material Balance'!I52*Conversions!$C$4</f>
        <v>0</v>
      </c>
      <c r="I82" s="272">
        <f>('Simplified Material Balance'!J52-'Simplified Material Balance'!K52)*Conversions!$C$4</f>
        <v>0</v>
      </c>
      <c r="J82" s="325">
        <f>IF('Simplified Material Balance'!L52=0,0,'Simplified Material Balance'!L52)</f>
        <v>0</v>
      </c>
      <c r="K82" s="465"/>
      <c r="L82" s="333">
        <f>IF($F82="",0,IF($F82="Weighted Average",$G82*VLOOKUP($D82&amp;" (Install)",Lists!$C$72:$R$232,COLUMNS(Lists!$C$69:E$69),0)*VLOOKUP(BE$3,Conversions!$B$12:$E$34,4,0),$G82*VLOOKUP($F82,Lists!$C$72:$R$232,COLUMNS(Lists!$C$69:E$69),0)*VLOOKUP(BE$3,Conversions!$B$12:$E$34,4,0)))</f>
        <v>0</v>
      </c>
      <c r="M82" s="333">
        <f>IF($F82="",0,IF($F82="Weighted Average",$G82*VLOOKUP($D82&amp;" (Install)",Lists!$C$72:$R$232,COLUMNS(Lists!$C$69:F$69),0)*VLOOKUP(BF$3,Conversions!$B$12:$E$34,4,0),$G82*VLOOKUP($F82,Lists!$C$72:$R$232,COLUMNS(Lists!$C$69:F$69),0)*VLOOKUP(BF$3,Conversions!$B$12:$E$34,4,0)))</f>
        <v>0</v>
      </c>
      <c r="N82" s="333">
        <f>IF($F82="",0,IF($F82="Weighted Average",$G82*VLOOKUP($D82&amp;" (Install)",Lists!$C$72:$R$232,COLUMNS(Lists!$C$69:G$69),0)*VLOOKUP(BG$3,Conversions!$B$12:$E$34,4,0),$G82*VLOOKUP($F82,Lists!$C$72:$R$232,COLUMNS(Lists!$C$69:G$69),0)*VLOOKUP(BG$3,Conversions!$B$12:$E$34,4,0)))</f>
        <v>0</v>
      </c>
      <c r="O82" s="333">
        <f>IF($F82="",0,IF($F82="Weighted Average",$G82*VLOOKUP($D82&amp;" (Install)",Lists!$C$72:$R$232,COLUMNS(Lists!$C$69:H$69),0)*VLOOKUP(BH$3,Conversions!$B$12:$E$34,4,0),$G82*VLOOKUP($F82,Lists!$C$72:$R$232,COLUMNS(Lists!$C$69:H$69),0)*VLOOKUP(BH$3,Conversions!$B$12:$E$34,4,0)))</f>
        <v>0</v>
      </c>
      <c r="P82" s="333">
        <f>IF($F82="",0,IF($F82="Weighted Average",$G82*VLOOKUP($D82&amp;" (Install)",Lists!$C$72:$R$232,COLUMNS(Lists!$C$69:I$69),0)*VLOOKUP(BI$3,Conversions!$B$12:$E$34,4,0),$G82*VLOOKUP($F82,Lists!$C$72:$R$232,COLUMNS(Lists!$C$69:I$69),0)*VLOOKUP(BI$3,Conversions!$B$12:$E$34,4,0)))</f>
        <v>0</v>
      </c>
      <c r="Q82" s="333">
        <f>IF($F82="",0,IF($F82="Weighted Average",$G82*VLOOKUP($D82&amp;" (Install)",Lists!$C$72:$R$232,COLUMNS(Lists!$C$69:J$69),0)*VLOOKUP(BJ$3,Conversions!$B$12:$E$34,4,0),$G82*VLOOKUP($F82,Lists!$C$72:$R$232,COLUMNS(Lists!$C$69:J$69),0)*VLOOKUP(BJ$3,Conversions!$B$12:$E$34,4,0)))</f>
        <v>0</v>
      </c>
      <c r="R82" s="333">
        <f>IF($F82="",0,IF($F82="Weighted Average",$G82*VLOOKUP($D82&amp;" (Install)",Lists!$C$72:$R$232,COLUMNS(Lists!$C$69:K$69),0)*VLOOKUP(BK$3,Conversions!$B$12:$E$34,4,0),$G82*VLOOKUP($F82,Lists!$C$72:$R$232,COLUMNS(Lists!$C$69:K$69),0)*VLOOKUP(BK$3,Conversions!$B$12:$E$34,4,0)))</f>
        <v>0</v>
      </c>
      <c r="S82" s="333">
        <f>IF($F82="",0,IF($F82="Weighted Average",$G82*VLOOKUP($D82&amp;" (Install)",Lists!$C$72:$R$232,COLUMNS(Lists!$C$69:L$69),0)*VLOOKUP(BL$3,Conversions!$B$12:$E$34,4,0),$G82*VLOOKUP($F82,Lists!$C$72:$R$232,COLUMNS(Lists!$C$69:L$69),0)*VLOOKUP(BL$3,Conversions!$B$12:$E$34,4,0)))</f>
        <v>0</v>
      </c>
      <c r="T82" s="333">
        <f>IF($F82="",0,IF($F82="Weighted Average",$G82*VLOOKUP($D82&amp;" (Install)",Lists!$C$72:$R$232,COLUMNS(Lists!$C$69:M$69),0)*VLOOKUP(BM$3,Conversions!$B$12:$E$34,4,0),$G82*VLOOKUP($F82,Lists!$C$72:$R$232,COLUMNS(Lists!$C$69:M$69),0)*VLOOKUP(BM$3,Conversions!$B$12:$E$34,4,0)))</f>
        <v>0</v>
      </c>
      <c r="U82" s="333">
        <f>IF($F82="",0,IF($F82="Weighted Average",$G82*VLOOKUP($D82&amp;" (Install)",Lists!$C$72:$R$232,COLUMNS(Lists!$C$69:N$69),0)*VLOOKUP(BN$3,Conversions!$B$12:$E$34,4,0),$G82*VLOOKUP($F82,Lists!$C$72:$R$232,COLUMNS(Lists!$C$69:N$69),0)*VLOOKUP(BN$3,Conversions!$B$12:$E$34,4,0)))</f>
        <v>0</v>
      </c>
      <c r="V82" s="333">
        <f>IF($F82="",0,IF($F82="Weighted Average",$G82*VLOOKUP($D82&amp;" (Install)",Lists!$C$72:$R$232,COLUMNS(Lists!$C$69:O$69),0)*VLOOKUP(BO$3,Conversions!$B$12:$E$34,4,0),$G82*VLOOKUP($F82,Lists!$C$72:$R$232,COLUMNS(Lists!$C$69:O$69),0)*VLOOKUP(BO$3,Conversions!$B$12:$E$34,4,0)))</f>
        <v>0</v>
      </c>
      <c r="W82" s="333">
        <f>IF($F82="",0,IF($F82="Weighted Average",$G82*VLOOKUP($D82&amp;" (Install)",Lists!$C$72:$R$232,COLUMNS(Lists!$C$69:P$69),0)*VLOOKUP(BP$3,Conversions!$B$12:$E$34,4,0),$G82*VLOOKUP($F82,Lists!$C$72:$R$232,COLUMNS(Lists!$C$69:P$69),0)*VLOOKUP(BP$3,Conversions!$B$12:$E$34,4,0)))</f>
        <v>0</v>
      </c>
      <c r="X82" s="333">
        <f>IF($F82="",0,IF($F82="Weighted Average",$G82*VLOOKUP($D82&amp;" (Install)",Lists!$C$72:$R$232,COLUMNS(Lists!$C$69:Q$69),0)*VLOOKUP(BQ$3,Conversions!$B$12:$E$34,4,0),$G82*VLOOKUP($F82,Lists!$C$72:$R$232,COLUMNS(Lists!$C$69:Q$69),0)*VLOOKUP(BQ$3,Conversions!$B$12:$E$34,4,0)))</f>
        <v>0</v>
      </c>
      <c r="Y82" s="333">
        <f>IF($F82="",0,IF($F82="Weighted Average",$G82*VLOOKUP($D82&amp;" (Install)",Lists!$C$72:$R$232,COLUMNS(Lists!$C$69:R$69),0)*VLOOKUP(BR$3,Conversions!$B$12:$E$34,4,0),$G82*VLOOKUP($F82,Lists!$C$72:$R$232,COLUMNS(Lists!$C$69:R$69),0)*VLOOKUP(BR$3,Conversions!$B$12:$E$34,4,0)))</f>
        <v>0</v>
      </c>
      <c r="Z82" s="325">
        <f t="shared" si="38"/>
        <v>0</v>
      </c>
      <c r="AA82" s="334">
        <f>IF($F82="",0,IF($F82="Weighted Average",$H82*VLOOKUP($D82&amp;" (Operation)",Lists!$C$72:$R$232,COLUMNS(Lists!$C$69:E$69),0)*VLOOKUP(BE$3,Conversions!$B$12:$E$34,4,0),$H82*VLOOKUP($F82,Lists!$C$72:$R$232,COLUMNS(Lists!$C$69:E$69),0)*VLOOKUP(BE$3,Conversions!$B$12:$E$34,4,0)))</f>
        <v>0</v>
      </c>
      <c r="AB82" s="334">
        <f>IF($F82="",0,IF($F82="Weighted Average",$H82*VLOOKUP($D82&amp;" (Operation)",Lists!$C$72:$R$232,COLUMNS(Lists!$C$69:F$69),0)*VLOOKUP(BF$3,Conversions!$B$12:$E$34,4,0),$H82*VLOOKUP($F82,Lists!$C$72:$R$232,COLUMNS(Lists!$C$69:F$69),0)*VLOOKUP(BF$3,Conversions!$B$12:$E$34,4,0)))</f>
        <v>0</v>
      </c>
      <c r="AC82" s="334">
        <f>IF($F82="",0,IF($F82="Weighted Average",$H82*VLOOKUP($D82&amp;" (Operation)",Lists!$C$72:$R$232,COLUMNS(Lists!$C$69:G$69),0)*VLOOKUP(BG$3,Conversions!$B$12:$E$34,4,0),$H82*VLOOKUP($F82,Lists!$C$72:$R$232,COLUMNS(Lists!$C$69:G$69),0)*VLOOKUP(BG$3,Conversions!$B$12:$E$34,4,0)))</f>
        <v>0</v>
      </c>
      <c r="AD82" s="334">
        <f>IF($F82="",0,IF($F82="Weighted Average",$H82*VLOOKUP($D82&amp;" (Operation)",Lists!$C$72:$R$232,COLUMNS(Lists!$C$69:H$69),0)*VLOOKUP(BH$3,Conversions!$B$12:$E$34,4,0),$H82*VLOOKUP($F82,Lists!$C$72:$R$232,COLUMNS(Lists!$C$69:H$69),0)*VLOOKUP(BH$3,Conversions!$B$12:$E$34,4,0)))</f>
        <v>0</v>
      </c>
      <c r="AE82" s="334">
        <f>IF($F82="",0,IF($F82="Weighted Average",$H82*VLOOKUP($D82&amp;" (Operation)",Lists!$C$72:$R$232,COLUMNS(Lists!$C$69:I$69),0)*VLOOKUP(BI$3,Conversions!$B$12:$E$34,4,0),$H82*VLOOKUP($F82,Lists!$C$72:$R$232,COLUMNS(Lists!$C$69:I$69),0)*VLOOKUP(BI$3,Conversions!$B$12:$E$34,4,0)))</f>
        <v>0</v>
      </c>
      <c r="AF82" s="334">
        <f>IF($F82="",0,IF($F82="Weighted Average",$H82*VLOOKUP($D82&amp;" (Operation)",Lists!$C$72:$R$232,COLUMNS(Lists!$C$69:J$69),0)*VLOOKUP(BJ$3,Conversions!$B$12:$E$34,4,0),$H82*VLOOKUP($F82,Lists!$C$72:$R$232,COLUMNS(Lists!$C$69:J$69),0)*VLOOKUP(BJ$3,Conversions!$B$12:$E$34,4,0)))</f>
        <v>0</v>
      </c>
      <c r="AG82" s="334">
        <f>IF($F82="",0,IF($F82="Weighted Average",$H82*VLOOKUP($D82&amp;" (Operation)",Lists!$C$72:$R$232,COLUMNS(Lists!$C$69:K$69),0)*VLOOKUP(BK$3,Conversions!$B$12:$E$34,4,0),$H82*VLOOKUP($F82,Lists!$C$72:$R$232,COLUMNS(Lists!$C$69:K$69),0)*VLOOKUP(BK$3,Conversions!$B$12:$E$34,4,0)))</f>
        <v>0</v>
      </c>
      <c r="AH82" s="334">
        <f>IF($F82="",0,IF($F82="Weighted Average",$H82*VLOOKUP($D82&amp;" (Operation)",Lists!$C$72:$R$232,COLUMNS(Lists!$C$69:L$69),0)*VLOOKUP(BL$3,Conversions!$B$12:$E$34,4,0),$H82*VLOOKUP($F82,Lists!$C$72:$R$232,COLUMNS(Lists!$C$69:L$69),0)*VLOOKUP(BL$3,Conversions!$B$12:$E$34,4,0)))</f>
        <v>0</v>
      </c>
      <c r="AI82" s="334">
        <f>IF($F82="",0,IF($F82="Weighted Average",$H82*VLOOKUP($D82&amp;" (Operation)",Lists!$C$72:$R$232,COLUMNS(Lists!$C$69:M$69),0)*VLOOKUP(BM$3,Conversions!$B$12:$E$34,4,0),$H82*VLOOKUP($F82,Lists!$C$72:$R$232,COLUMNS(Lists!$C$69:M$69),0)*VLOOKUP(BM$3,Conversions!$B$12:$E$34,4,0)))</f>
        <v>0</v>
      </c>
      <c r="AJ82" s="334">
        <f>IF($F82="",0,IF($F82="Weighted Average",$H82*VLOOKUP($D82&amp;" (Operation)",Lists!$C$72:$R$232,COLUMNS(Lists!$C$69:N$69),0)*VLOOKUP(BN$3,Conversions!$B$12:$E$34,4,0),$H82*VLOOKUP($F82,Lists!$C$72:$R$232,COLUMNS(Lists!$C$69:N$69),0)*VLOOKUP(BN$3,Conversions!$B$12:$E$34,4,0)))</f>
        <v>0</v>
      </c>
      <c r="AK82" s="334">
        <f>IF($F82="",0,IF($F82="Weighted Average",$H82*VLOOKUP($D82&amp;" (Operation)",Lists!$C$72:$R$232,COLUMNS(Lists!$C$69:O$69),0)*VLOOKUP(BO$3,Conversions!$B$12:$E$34,4,0),$H82*VLOOKUP($F82,Lists!$C$72:$R$232,COLUMNS(Lists!$C$69:O$69),0)*VLOOKUP(BO$3,Conversions!$B$12:$E$34,4,0)))</f>
        <v>0</v>
      </c>
      <c r="AL82" s="334">
        <f>IF($F82="",0,IF($F82="Weighted Average",$H82*VLOOKUP($D82&amp;" (Operation)",Lists!$C$72:$R$232,COLUMNS(Lists!$C$69:P$69),0)*VLOOKUP(BP$3,Conversions!$B$12:$E$34,4,0),$H82*VLOOKUP($F82,Lists!$C$72:$R$232,COLUMNS(Lists!$C$69:P$69),0)*VLOOKUP(BP$3,Conversions!$B$12:$E$34,4,0)))</f>
        <v>0</v>
      </c>
      <c r="AM82" s="334">
        <f>IF($F82="",0,IF($F82="Weighted Average",$H82*VLOOKUP($D82&amp;" (Operation)",Lists!$C$72:$R$232,COLUMNS(Lists!$C$69:Q$69),0)*VLOOKUP(BQ$3,Conversions!$B$12:$E$34,4,0),$H82*VLOOKUP($F82,Lists!$C$72:$R$232,COLUMNS(Lists!$C$69:Q$69),0)*VLOOKUP(BQ$3,Conversions!$B$12:$E$34,4,0)))</f>
        <v>0</v>
      </c>
      <c r="AN82" s="334">
        <f>IF($F82="",0,IF($F82="Weighted Average",$H82*VLOOKUP($D82&amp;" (Operation)",Lists!$C$72:$R$232,COLUMNS(Lists!$C$69:R$69),0)*VLOOKUP(BR$3,Conversions!$B$12:$E$34,4,0),$H82*VLOOKUP($F82,Lists!$C$72:$R$232,COLUMNS(Lists!$C$69:R$69),0)*VLOOKUP(BR$3,Conversions!$B$12:$E$34,4,0)))</f>
        <v>0</v>
      </c>
      <c r="AO82" s="330">
        <f t="shared" si="39"/>
        <v>0</v>
      </c>
      <c r="AP82" s="333">
        <f>IF($F82="",0,IF($F82="Weighted Average",$I82*VLOOKUP($D82&amp;" (Disposal)",Lists!$C$72:$R$232,COLUMNS(Lists!$C$69:E$69),0)*VLOOKUP(BE$3,Conversions!$B$12:$E$34,4,0),$I82*VLOOKUP($F82,Lists!$C$72:$R$232,COLUMNS(Lists!$C$69:E$69),0)*VLOOKUP(BE$3,Conversions!$B$12:$E$34,4,0)))</f>
        <v>0</v>
      </c>
      <c r="AQ82" s="333">
        <f>IF($F82="",0,IF($F82="Weighted Average",$I82*VLOOKUP($D82&amp;" (Disposal)",Lists!$C$72:$R$232,COLUMNS(Lists!$C$69:F$69),0)*VLOOKUP(BF$3,Conversions!$B$12:$E$34,4,0),$I82*VLOOKUP($F82,Lists!$C$72:$R$232,COLUMNS(Lists!$C$69:F$69),0)*VLOOKUP(BF$3,Conversions!$B$12:$E$34,4,0)))</f>
        <v>0</v>
      </c>
      <c r="AR82" s="333">
        <f>IF($F82="",0,IF($F82="Weighted Average",$I82*VLOOKUP($D82&amp;" (Disposal)",Lists!$C$72:$R$232,COLUMNS(Lists!$C$69:G$69),0)*VLOOKUP(BG$3,Conversions!$B$12:$E$34,4,0),$I82*VLOOKUP($F82,Lists!$C$72:$R$232,COLUMNS(Lists!$C$69:G$69),0)*VLOOKUP(BG$3,Conversions!$B$12:$E$34,4,0)))</f>
        <v>0</v>
      </c>
      <c r="AS82" s="333">
        <f>IF($F82="",0,IF($F82="Weighted Average",$I82*VLOOKUP($D82&amp;" (Disposal)",Lists!$C$72:$R$232,COLUMNS(Lists!$C$69:H$69),0)*VLOOKUP(BH$3,Conversions!$B$12:$E$34,4,0),$I82*VLOOKUP($F82,Lists!$C$72:$R$232,COLUMNS(Lists!$C$69:H$69),0)*VLOOKUP(BH$3,Conversions!$B$12:$E$34,4,0)))</f>
        <v>0</v>
      </c>
      <c r="AT82" s="333">
        <f>IF($F82="",0,IF($F82="Weighted Average",$I82*VLOOKUP($D82&amp;" (Disposal)",Lists!$C$72:$R$232,COLUMNS(Lists!$C$69:I$69),0)*VLOOKUP(BI$3,Conversions!$B$12:$E$34,4,0),$I82*VLOOKUP($F82,Lists!$C$72:$R$232,COLUMNS(Lists!$C$69:I$69),0)*VLOOKUP(BI$3,Conversions!$B$12:$E$34,4,0)))</f>
        <v>0</v>
      </c>
      <c r="AU82" s="333">
        <f>IF($F82="",0,IF($F82="Weighted Average",$I82*VLOOKUP($D82&amp;" (Disposal)",Lists!$C$72:$R$232,COLUMNS(Lists!$C$69:J$69),0)*VLOOKUP(BJ$3,Conversions!$B$12:$E$34,4,0),$I82*VLOOKUP($F82,Lists!$C$72:$R$232,COLUMNS(Lists!$C$69:J$69),0)*VLOOKUP(BJ$3,Conversions!$B$12:$E$34,4,0)))</f>
        <v>0</v>
      </c>
      <c r="AV82" s="333">
        <f>IF($F82="",0,IF($F82="Weighted Average",$I82*VLOOKUP($D82&amp;" (Disposal)",Lists!$C$72:$R$232,COLUMNS(Lists!$C$69:K$69),0)*VLOOKUP(BK$3,Conversions!$B$12:$E$34,4,0),$I82*VLOOKUP($F82,Lists!$C$72:$R$232,COLUMNS(Lists!$C$69:K$69),0)*VLOOKUP(BK$3,Conversions!$B$12:$E$34,4,0)))</f>
        <v>0</v>
      </c>
      <c r="AW82" s="333">
        <f>IF($F82="",0,IF($F82="Weighted Average",$I82*VLOOKUP($D82&amp;" (Disposal)",Lists!$C$72:$R$232,COLUMNS(Lists!$C$69:L$69),0)*VLOOKUP(BL$3,Conversions!$B$12:$E$34,4,0),$I82*VLOOKUP($F82,Lists!$C$72:$R$232,COLUMNS(Lists!$C$69:L$69),0)*VLOOKUP(BL$3,Conversions!$B$12:$E$34,4,0)))</f>
        <v>0</v>
      </c>
      <c r="AX82" s="333">
        <f>IF($F82="",0,IF($F82="Weighted Average",$I82*VLOOKUP($D82&amp;" (Disposal)",Lists!$C$72:$R$232,COLUMNS(Lists!$C$69:M$69),0)*VLOOKUP(BM$3,Conversions!$B$12:$E$34,4,0),$I82*VLOOKUP($F82,Lists!$C$72:$R$232,COLUMNS(Lists!$C$69:M$69),0)*VLOOKUP(BM$3,Conversions!$B$12:$E$34,4,0)))</f>
        <v>0</v>
      </c>
      <c r="AY82" s="333">
        <f>IF($F82="",0,IF($F82="Weighted Average",$I82*VLOOKUP($D82&amp;" (Disposal)",Lists!$C$72:$R$232,COLUMNS(Lists!$C$69:N$69),0)*VLOOKUP(BN$3,Conversions!$B$12:$E$34,4,0),$I82*VLOOKUP($F82,Lists!$C$72:$R$232,COLUMNS(Lists!$C$69:N$69),0)*VLOOKUP(BN$3,Conversions!$B$12:$E$34,4,0)))</f>
        <v>0</v>
      </c>
      <c r="AZ82" s="333">
        <f>IF($F82="",0,IF($F82="Weighted Average",$I82*VLOOKUP($D82&amp;" (Disposal)",Lists!$C$72:$R$232,COLUMNS(Lists!$C$69:O$69),0)*VLOOKUP(BO$3,Conversions!$B$12:$E$34,4,0),$I82*VLOOKUP($F82,Lists!$C$72:$R$232,COLUMNS(Lists!$C$69:O$69),0)*VLOOKUP(BO$3,Conversions!$B$12:$E$34,4,0)))</f>
        <v>0</v>
      </c>
      <c r="BA82" s="333">
        <f>IF($F82="",0,IF($F82="Weighted Average",$I82*VLOOKUP($D82&amp;" (Disposal)",Lists!$C$72:$R$232,COLUMNS(Lists!$C$69:P$69),0)*VLOOKUP(BP$3,Conversions!$B$12:$E$34,4,0),$I82*VLOOKUP($F82,Lists!$C$72:$R$232,COLUMNS(Lists!$C$69:P$69),0)*VLOOKUP(BP$3,Conversions!$B$12:$E$34,4,0)))</f>
        <v>0</v>
      </c>
      <c r="BB82" s="333">
        <f>IF($F82="",0,IF($F82="Weighted Average",$I82*VLOOKUP($D82&amp;" (Disposal)",Lists!$C$72:$R$232,COLUMNS(Lists!$C$69:Q$69),0)*VLOOKUP(BQ$3,Conversions!$B$12:$E$34,4,0),$I82*VLOOKUP($F82,Lists!$C$72:$R$232,COLUMNS(Lists!$C$69:Q$69),0)*VLOOKUP(BQ$3,Conversions!$B$12:$E$34,4,0)))</f>
        <v>0</v>
      </c>
      <c r="BC82" s="333">
        <f>IF($F82="",0,IF($F82="Weighted Average",$I82*VLOOKUP($D82&amp;" (Disposal)",Lists!$C$72:$R$232,COLUMNS(Lists!$C$69:R$69),0)*VLOOKUP(BR$3,Conversions!$B$12:$E$34,4,0),$I82*VLOOKUP($F82,Lists!$C$72:$R$232,COLUMNS(Lists!$C$69:R$69),0)*VLOOKUP(BR$3,Conversions!$B$12:$E$34,4,0)))</f>
        <v>0</v>
      </c>
      <c r="BD82" s="333">
        <f t="shared" si="40"/>
        <v>0</v>
      </c>
      <c r="BE82" s="330">
        <f t="shared" si="41"/>
        <v>0</v>
      </c>
      <c r="BF82" s="330">
        <f t="shared" si="42"/>
        <v>0</v>
      </c>
      <c r="BG82" s="330">
        <f t="shared" si="43"/>
        <v>0</v>
      </c>
      <c r="BH82" s="330">
        <f t="shared" si="44"/>
        <v>0</v>
      </c>
      <c r="BI82" s="330">
        <f t="shared" si="45"/>
        <v>0</v>
      </c>
      <c r="BJ82" s="330">
        <f t="shared" si="46"/>
        <v>0</v>
      </c>
      <c r="BK82" s="330">
        <f t="shared" si="47"/>
        <v>0</v>
      </c>
      <c r="BL82" s="330">
        <f t="shared" si="48"/>
        <v>0</v>
      </c>
      <c r="BM82" s="330">
        <f t="shared" si="49"/>
        <v>0</v>
      </c>
      <c r="BN82" s="330">
        <f t="shared" si="50"/>
        <v>0</v>
      </c>
      <c r="BO82" s="330">
        <f t="shared" si="51"/>
        <v>0</v>
      </c>
      <c r="BP82" s="330">
        <f t="shared" si="52"/>
        <v>0</v>
      </c>
      <c r="BQ82" s="330">
        <f t="shared" si="53"/>
        <v>0</v>
      </c>
      <c r="BR82" s="330">
        <f t="shared" si="54"/>
        <v>0</v>
      </c>
      <c r="BS82" s="330">
        <f t="shared" si="55"/>
        <v>0</v>
      </c>
      <c r="BT82" s="329">
        <f t="shared" si="95"/>
        <v>0</v>
      </c>
      <c r="BU82" s="329">
        <f t="shared" si="95"/>
        <v>0</v>
      </c>
      <c r="BV82" s="329">
        <f t="shared" si="95"/>
        <v>0</v>
      </c>
      <c r="BW82" s="329">
        <f t="shared" si="95"/>
        <v>0</v>
      </c>
      <c r="BX82" s="329">
        <f t="shared" si="95"/>
        <v>0</v>
      </c>
      <c r="BY82" s="329">
        <f t="shared" si="95"/>
        <v>0</v>
      </c>
      <c r="BZ82" s="329">
        <f t="shared" si="95"/>
        <v>0</v>
      </c>
      <c r="CA82" s="329">
        <f t="shared" si="95"/>
        <v>0</v>
      </c>
      <c r="CB82" s="329">
        <f t="shared" si="95"/>
        <v>0</v>
      </c>
      <c r="CC82" s="329">
        <f t="shared" si="95"/>
        <v>0</v>
      </c>
      <c r="CD82" s="329">
        <f t="shared" si="95"/>
        <v>0</v>
      </c>
      <c r="CE82" s="329">
        <f t="shared" si="95"/>
        <v>0</v>
      </c>
      <c r="CF82" s="329">
        <f t="shared" si="95"/>
        <v>0</v>
      </c>
      <c r="CG82" s="329">
        <f t="shared" si="95"/>
        <v>0</v>
      </c>
      <c r="CH82" s="329">
        <f t="shared" si="95"/>
        <v>0</v>
      </c>
      <c r="CI82" s="329">
        <f t="shared" si="95"/>
        <v>0</v>
      </c>
      <c r="CJ82" s="331">
        <f t="shared" si="1"/>
        <v>0</v>
      </c>
      <c r="CK82" s="330">
        <f t="shared" si="5"/>
        <v>0</v>
      </c>
      <c r="CL82" s="330">
        <f t="shared" si="6"/>
        <v>0</v>
      </c>
      <c r="CM82" s="330">
        <f t="shared" si="7"/>
        <v>0</v>
      </c>
      <c r="CN82" s="330">
        <f t="shared" si="8"/>
        <v>0</v>
      </c>
      <c r="CO82" s="330">
        <f t="shared" si="9"/>
        <v>0</v>
      </c>
      <c r="CP82" s="330">
        <f t="shared" si="10"/>
        <v>0</v>
      </c>
      <c r="CQ82" s="330">
        <f t="shared" si="94"/>
        <v>0</v>
      </c>
      <c r="CR82" s="330">
        <f t="shared" si="12"/>
        <v>0</v>
      </c>
      <c r="CS82" s="330">
        <f t="shared" si="13"/>
        <v>0</v>
      </c>
      <c r="CT82" s="330">
        <f t="shared" si="14"/>
        <v>0</v>
      </c>
      <c r="CU82" s="330">
        <f t="shared" si="96"/>
        <v>0</v>
      </c>
      <c r="CV82" s="330">
        <f t="shared" si="96"/>
        <v>0</v>
      </c>
      <c r="CW82" s="330">
        <f t="shared" si="96"/>
        <v>0</v>
      </c>
      <c r="CX82" s="330">
        <f t="shared" si="96"/>
        <v>0</v>
      </c>
      <c r="CY82" s="330">
        <f t="shared" si="96"/>
        <v>0</v>
      </c>
      <c r="CZ82" s="330">
        <f t="shared" si="96"/>
        <v>0</v>
      </c>
      <c r="DA82" s="330">
        <f t="shared" si="96"/>
        <v>0</v>
      </c>
      <c r="DB82" s="330">
        <f t="shared" si="96"/>
        <v>0</v>
      </c>
      <c r="DC82" s="330">
        <f t="shared" si="96"/>
        <v>0</v>
      </c>
      <c r="DD82" s="330">
        <f t="shared" si="96"/>
        <v>0</v>
      </c>
      <c r="DE82" s="330">
        <f t="shared" si="97"/>
        <v>0</v>
      </c>
      <c r="DF82" s="330">
        <f t="shared" si="97"/>
        <v>0</v>
      </c>
      <c r="DG82" s="330">
        <f t="shared" si="97"/>
        <v>0</v>
      </c>
      <c r="DH82" s="330">
        <f t="shared" si="97"/>
        <v>0</v>
      </c>
      <c r="DI82" s="330">
        <f t="shared" si="97"/>
        <v>0</v>
      </c>
      <c r="DJ82" s="330">
        <f t="shared" si="97"/>
        <v>0</v>
      </c>
      <c r="DK82" s="330">
        <f t="shared" si="97"/>
        <v>0</v>
      </c>
      <c r="DL82" s="330">
        <f t="shared" si="97"/>
        <v>0</v>
      </c>
      <c r="DM82" s="330">
        <f t="shared" si="97"/>
        <v>0</v>
      </c>
      <c r="DN82" s="330">
        <f t="shared" si="97"/>
        <v>0</v>
      </c>
      <c r="DO82" s="330">
        <f t="shared" si="97"/>
        <v>0</v>
      </c>
      <c r="DP82" s="330">
        <f t="shared" si="98"/>
        <v>0</v>
      </c>
      <c r="DQ82" s="217"/>
      <c r="DR82" s="217"/>
      <c r="DS82" s="217"/>
      <c r="DT82" s="217"/>
    </row>
    <row r="83" spans="1:124" x14ac:dyDescent="0.3">
      <c r="A83" s="332"/>
      <c r="B83" s="221" t="s">
        <v>304</v>
      </c>
      <c r="C83" s="221" t="str">
        <f>IF('Simplified Material Balance'!C53=0,"",'Simplified Material Balance'!C53)</f>
        <v/>
      </c>
      <c r="D83" s="221" t="str">
        <f>IF('Simplified Material Balance'!D53=0,"",'Simplified Material Balance'!D53)</f>
        <v/>
      </c>
      <c r="E83" s="221" t="str">
        <f>IF('Simplified Material Balance'!E53=0,"",'Simplified Material Balance'!E53)</f>
        <v/>
      </c>
      <c r="F83" s="221" t="str">
        <f>IF('Simplified Material Balance'!F53=0,"",'Simplified Material Balance'!F53)</f>
        <v/>
      </c>
      <c r="G83" s="272">
        <f>IF('Simplified Material Balance'!H53&gt;'Simplified Material Balance'!G53,0,('Simplified Material Balance'!G53-'Simplified Material Balance'!H53)*Conversions!$C$4)</f>
        <v>0</v>
      </c>
      <c r="H83" s="272">
        <f>'Simplified Material Balance'!I53*Conversions!$C$4</f>
        <v>0</v>
      </c>
      <c r="I83" s="272">
        <f>('Simplified Material Balance'!J53-'Simplified Material Balance'!K53)*Conversions!$C$4</f>
        <v>0</v>
      </c>
      <c r="J83" s="325">
        <f>IF('Simplified Material Balance'!L53=0,0,'Simplified Material Balance'!L53)</f>
        <v>0</v>
      </c>
      <c r="K83" s="465"/>
      <c r="L83" s="333">
        <f>IF($F83="",0,IF($F83="Weighted Average",$G83*VLOOKUP($D83&amp;" (Install)",Lists!$C$72:$R$232,COLUMNS(Lists!$C$69:E$69),0)*VLOOKUP(BE$3,Conversions!$B$12:$E$34,4,0),$G83*VLOOKUP($F83,Lists!$C$72:$R$232,COLUMNS(Lists!$C$69:E$69),0)*VLOOKUP(BE$3,Conversions!$B$12:$E$34,4,0)))</f>
        <v>0</v>
      </c>
      <c r="M83" s="333">
        <f>IF($F83="",0,IF($F83="Weighted Average",$G83*VLOOKUP($D83&amp;" (Install)",Lists!$C$72:$R$232,COLUMNS(Lists!$C$69:F$69),0)*VLOOKUP(BF$3,Conversions!$B$12:$E$34,4,0),$G83*VLOOKUP($F83,Lists!$C$72:$R$232,COLUMNS(Lists!$C$69:F$69),0)*VLOOKUP(BF$3,Conversions!$B$12:$E$34,4,0)))</f>
        <v>0</v>
      </c>
      <c r="N83" s="333">
        <f>IF($F83="",0,IF($F83="Weighted Average",$G83*VLOOKUP($D83&amp;" (Install)",Lists!$C$72:$R$232,COLUMNS(Lists!$C$69:G$69),0)*VLOOKUP(BG$3,Conversions!$B$12:$E$34,4,0),$G83*VLOOKUP($F83,Lists!$C$72:$R$232,COLUMNS(Lists!$C$69:G$69),0)*VLOOKUP(BG$3,Conversions!$B$12:$E$34,4,0)))</f>
        <v>0</v>
      </c>
      <c r="O83" s="333">
        <f>IF($F83="",0,IF($F83="Weighted Average",$G83*VLOOKUP($D83&amp;" (Install)",Lists!$C$72:$R$232,COLUMNS(Lists!$C$69:H$69),0)*VLOOKUP(BH$3,Conversions!$B$12:$E$34,4,0),$G83*VLOOKUP($F83,Lists!$C$72:$R$232,COLUMNS(Lists!$C$69:H$69),0)*VLOOKUP(BH$3,Conversions!$B$12:$E$34,4,0)))</f>
        <v>0</v>
      </c>
      <c r="P83" s="333">
        <f>IF($F83="",0,IF($F83="Weighted Average",$G83*VLOOKUP($D83&amp;" (Install)",Lists!$C$72:$R$232,COLUMNS(Lists!$C$69:I$69),0)*VLOOKUP(BI$3,Conversions!$B$12:$E$34,4,0),$G83*VLOOKUP($F83,Lists!$C$72:$R$232,COLUMNS(Lists!$C$69:I$69),0)*VLOOKUP(BI$3,Conversions!$B$12:$E$34,4,0)))</f>
        <v>0</v>
      </c>
      <c r="Q83" s="333">
        <f>IF($F83="",0,IF($F83="Weighted Average",$G83*VLOOKUP($D83&amp;" (Install)",Lists!$C$72:$R$232,COLUMNS(Lists!$C$69:J$69),0)*VLOOKUP(BJ$3,Conversions!$B$12:$E$34,4,0),$G83*VLOOKUP($F83,Lists!$C$72:$R$232,COLUMNS(Lists!$C$69:J$69),0)*VLOOKUP(BJ$3,Conversions!$B$12:$E$34,4,0)))</f>
        <v>0</v>
      </c>
      <c r="R83" s="333">
        <f>IF($F83="",0,IF($F83="Weighted Average",$G83*VLOOKUP($D83&amp;" (Install)",Lists!$C$72:$R$232,COLUMNS(Lists!$C$69:K$69),0)*VLOOKUP(BK$3,Conversions!$B$12:$E$34,4,0),$G83*VLOOKUP($F83,Lists!$C$72:$R$232,COLUMNS(Lists!$C$69:K$69),0)*VLOOKUP(BK$3,Conversions!$B$12:$E$34,4,0)))</f>
        <v>0</v>
      </c>
      <c r="S83" s="333">
        <f>IF($F83="",0,IF($F83="Weighted Average",$G83*VLOOKUP($D83&amp;" (Install)",Lists!$C$72:$R$232,COLUMNS(Lists!$C$69:L$69),0)*VLOOKUP(BL$3,Conversions!$B$12:$E$34,4,0),$G83*VLOOKUP($F83,Lists!$C$72:$R$232,COLUMNS(Lists!$C$69:L$69),0)*VLOOKUP(BL$3,Conversions!$B$12:$E$34,4,0)))</f>
        <v>0</v>
      </c>
      <c r="T83" s="333">
        <f>IF($F83="",0,IF($F83="Weighted Average",$G83*VLOOKUP($D83&amp;" (Install)",Lists!$C$72:$R$232,COLUMNS(Lists!$C$69:M$69),0)*VLOOKUP(BM$3,Conversions!$B$12:$E$34,4,0),$G83*VLOOKUP($F83,Lists!$C$72:$R$232,COLUMNS(Lists!$C$69:M$69),0)*VLOOKUP(BM$3,Conversions!$B$12:$E$34,4,0)))</f>
        <v>0</v>
      </c>
      <c r="U83" s="333">
        <f>IF($F83="",0,IF($F83="Weighted Average",$G83*VLOOKUP($D83&amp;" (Install)",Lists!$C$72:$R$232,COLUMNS(Lists!$C$69:N$69),0)*VLOOKUP(BN$3,Conversions!$B$12:$E$34,4,0),$G83*VLOOKUP($F83,Lists!$C$72:$R$232,COLUMNS(Lists!$C$69:N$69),0)*VLOOKUP(BN$3,Conversions!$B$12:$E$34,4,0)))</f>
        <v>0</v>
      </c>
      <c r="V83" s="333">
        <f>IF($F83="",0,IF($F83="Weighted Average",$G83*VLOOKUP($D83&amp;" (Install)",Lists!$C$72:$R$232,COLUMNS(Lists!$C$69:O$69),0)*VLOOKUP(BO$3,Conversions!$B$12:$E$34,4,0),$G83*VLOOKUP($F83,Lists!$C$72:$R$232,COLUMNS(Lists!$C$69:O$69),0)*VLOOKUP(BO$3,Conversions!$B$12:$E$34,4,0)))</f>
        <v>0</v>
      </c>
      <c r="W83" s="333">
        <f>IF($F83="",0,IF($F83="Weighted Average",$G83*VLOOKUP($D83&amp;" (Install)",Lists!$C$72:$R$232,COLUMNS(Lists!$C$69:P$69),0)*VLOOKUP(BP$3,Conversions!$B$12:$E$34,4,0),$G83*VLOOKUP($F83,Lists!$C$72:$R$232,COLUMNS(Lists!$C$69:P$69),0)*VLOOKUP(BP$3,Conversions!$B$12:$E$34,4,0)))</f>
        <v>0</v>
      </c>
      <c r="X83" s="333">
        <f>IF($F83="",0,IF($F83="Weighted Average",$G83*VLOOKUP($D83&amp;" (Install)",Lists!$C$72:$R$232,COLUMNS(Lists!$C$69:Q$69),0)*VLOOKUP(BQ$3,Conversions!$B$12:$E$34,4,0),$G83*VLOOKUP($F83,Lists!$C$72:$R$232,COLUMNS(Lists!$C$69:Q$69),0)*VLOOKUP(BQ$3,Conversions!$B$12:$E$34,4,0)))</f>
        <v>0</v>
      </c>
      <c r="Y83" s="333">
        <f>IF($F83="",0,IF($F83="Weighted Average",$G83*VLOOKUP($D83&amp;" (Install)",Lists!$C$72:$R$232,COLUMNS(Lists!$C$69:R$69),0)*VLOOKUP(BR$3,Conversions!$B$12:$E$34,4,0),$G83*VLOOKUP($F83,Lists!$C$72:$R$232,COLUMNS(Lists!$C$69:R$69),0)*VLOOKUP(BR$3,Conversions!$B$12:$E$34,4,0)))</f>
        <v>0</v>
      </c>
      <c r="Z83" s="325">
        <f t="shared" si="38"/>
        <v>0</v>
      </c>
      <c r="AA83" s="334">
        <f>IF($F83="",0,IF($F83="Weighted Average",$H83*VLOOKUP($D83&amp;" (Operation)",Lists!$C$72:$R$232,COLUMNS(Lists!$C$69:E$69),0)*VLOOKUP(BE$3,Conversions!$B$12:$E$34,4,0),$H83*VLOOKUP($F83,Lists!$C$72:$R$232,COLUMNS(Lists!$C$69:E$69),0)*VLOOKUP(BE$3,Conversions!$B$12:$E$34,4,0)))</f>
        <v>0</v>
      </c>
      <c r="AB83" s="334">
        <f>IF($F83="",0,IF($F83="Weighted Average",$H83*VLOOKUP($D83&amp;" (Operation)",Lists!$C$72:$R$232,COLUMNS(Lists!$C$69:F$69),0)*VLOOKUP(BF$3,Conversions!$B$12:$E$34,4,0),$H83*VLOOKUP($F83,Lists!$C$72:$R$232,COLUMNS(Lists!$C$69:F$69),0)*VLOOKUP(BF$3,Conversions!$B$12:$E$34,4,0)))</f>
        <v>0</v>
      </c>
      <c r="AC83" s="334">
        <f>IF($F83="",0,IF($F83="Weighted Average",$H83*VLOOKUP($D83&amp;" (Operation)",Lists!$C$72:$R$232,COLUMNS(Lists!$C$69:G$69),0)*VLOOKUP(BG$3,Conversions!$B$12:$E$34,4,0),$H83*VLOOKUP($F83,Lists!$C$72:$R$232,COLUMNS(Lists!$C$69:G$69),0)*VLOOKUP(BG$3,Conversions!$B$12:$E$34,4,0)))</f>
        <v>0</v>
      </c>
      <c r="AD83" s="334">
        <f>IF($F83="",0,IF($F83="Weighted Average",$H83*VLOOKUP($D83&amp;" (Operation)",Lists!$C$72:$R$232,COLUMNS(Lists!$C$69:H$69),0)*VLOOKUP(BH$3,Conversions!$B$12:$E$34,4,0),$H83*VLOOKUP($F83,Lists!$C$72:$R$232,COLUMNS(Lists!$C$69:H$69),0)*VLOOKUP(BH$3,Conversions!$B$12:$E$34,4,0)))</f>
        <v>0</v>
      </c>
      <c r="AE83" s="334">
        <f>IF($F83="",0,IF($F83="Weighted Average",$H83*VLOOKUP($D83&amp;" (Operation)",Lists!$C$72:$R$232,COLUMNS(Lists!$C$69:I$69),0)*VLOOKUP(BI$3,Conversions!$B$12:$E$34,4,0),$H83*VLOOKUP($F83,Lists!$C$72:$R$232,COLUMNS(Lists!$C$69:I$69),0)*VLOOKUP(BI$3,Conversions!$B$12:$E$34,4,0)))</f>
        <v>0</v>
      </c>
      <c r="AF83" s="334">
        <f>IF($F83="",0,IF($F83="Weighted Average",$H83*VLOOKUP($D83&amp;" (Operation)",Lists!$C$72:$R$232,COLUMNS(Lists!$C$69:J$69),0)*VLOOKUP(BJ$3,Conversions!$B$12:$E$34,4,0),$H83*VLOOKUP($F83,Lists!$C$72:$R$232,COLUMNS(Lists!$C$69:J$69),0)*VLOOKUP(BJ$3,Conversions!$B$12:$E$34,4,0)))</f>
        <v>0</v>
      </c>
      <c r="AG83" s="334">
        <f>IF($F83="",0,IF($F83="Weighted Average",$H83*VLOOKUP($D83&amp;" (Operation)",Lists!$C$72:$R$232,COLUMNS(Lists!$C$69:K$69),0)*VLOOKUP(BK$3,Conversions!$B$12:$E$34,4,0),$H83*VLOOKUP($F83,Lists!$C$72:$R$232,COLUMNS(Lists!$C$69:K$69),0)*VLOOKUP(BK$3,Conversions!$B$12:$E$34,4,0)))</f>
        <v>0</v>
      </c>
      <c r="AH83" s="334">
        <f>IF($F83="",0,IF($F83="Weighted Average",$H83*VLOOKUP($D83&amp;" (Operation)",Lists!$C$72:$R$232,COLUMNS(Lists!$C$69:L$69),0)*VLOOKUP(BL$3,Conversions!$B$12:$E$34,4,0),$H83*VLOOKUP($F83,Lists!$C$72:$R$232,COLUMNS(Lists!$C$69:L$69),0)*VLOOKUP(BL$3,Conversions!$B$12:$E$34,4,0)))</f>
        <v>0</v>
      </c>
      <c r="AI83" s="334">
        <f>IF($F83="",0,IF($F83="Weighted Average",$H83*VLOOKUP($D83&amp;" (Operation)",Lists!$C$72:$R$232,COLUMNS(Lists!$C$69:M$69),0)*VLOOKUP(BM$3,Conversions!$B$12:$E$34,4,0),$H83*VLOOKUP($F83,Lists!$C$72:$R$232,COLUMNS(Lists!$C$69:M$69),0)*VLOOKUP(BM$3,Conversions!$B$12:$E$34,4,0)))</f>
        <v>0</v>
      </c>
      <c r="AJ83" s="334">
        <f>IF($F83="",0,IF($F83="Weighted Average",$H83*VLOOKUP($D83&amp;" (Operation)",Lists!$C$72:$R$232,COLUMNS(Lists!$C$69:N$69),0)*VLOOKUP(BN$3,Conversions!$B$12:$E$34,4,0),$H83*VLOOKUP($F83,Lists!$C$72:$R$232,COLUMNS(Lists!$C$69:N$69),0)*VLOOKUP(BN$3,Conversions!$B$12:$E$34,4,0)))</f>
        <v>0</v>
      </c>
      <c r="AK83" s="334">
        <f>IF($F83="",0,IF($F83="Weighted Average",$H83*VLOOKUP($D83&amp;" (Operation)",Lists!$C$72:$R$232,COLUMNS(Lists!$C$69:O$69),0)*VLOOKUP(BO$3,Conversions!$B$12:$E$34,4,0),$H83*VLOOKUP($F83,Lists!$C$72:$R$232,COLUMNS(Lists!$C$69:O$69),0)*VLOOKUP(BO$3,Conversions!$B$12:$E$34,4,0)))</f>
        <v>0</v>
      </c>
      <c r="AL83" s="334">
        <f>IF($F83="",0,IF($F83="Weighted Average",$H83*VLOOKUP($D83&amp;" (Operation)",Lists!$C$72:$R$232,COLUMNS(Lists!$C$69:P$69),0)*VLOOKUP(BP$3,Conversions!$B$12:$E$34,4,0),$H83*VLOOKUP($F83,Lists!$C$72:$R$232,COLUMNS(Lists!$C$69:P$69),0)*VLOOKUP(BP$3,Conversions!$B$12:$E$34,4,0)))</f>
        <v>0</v>
      </c>
      <c r="AM83" s="334">
        <f>IF($F83="",0,IF($F83="Weighted Average",$H83*VLOOKUP($D83&amp;" (Operation)",Lists!$C$72:$R$232,COLUMNS(Lists!$C$69:Q$69),0)*VLOOKUP(BQ$3,Conversions!$B$12:$E$34,4,0),$H83*VLOOKUP($F83,Lists!$C$72:$R$232,COLUMNS(Lists!$C$69:Q$69),0)*VLOOKUP(BQ$3,Conversions!$B$12:$E$34,4,0)))</f>
        <v>0</v>
      </c>
      <c r="AN83" s="334">
        <f>IF($F83="",0,IF($F83="Weighted Average",$H83*VLOOKUP($D83&amp;" (Operation)",Lists!$C$72:$R$232,COLUMNS(Lists!$C$69:R$69),0)*VLOOKUP(BR$3,Conversions!$B$12:$E$34,4,0),$H83*VLOOKUP($F83,Lists!$C$72:$R$232,COLUMNS(Lists!$C$69:R$69),0)*VLOOKUP(BR$3,Conversions!$B$12:$E$34,4,0)))</f>
        <v>0</v>
      </c>
      <c r="AO83" s="330">
        <f t="shared" si="39"/>
        <v>0</v>
      </c>
      <c r="AP83" s="333">
        <f>IF($F83="",0,IF($F83="Weighted Average",$I83*VLOOKUP($D83&amp;" (Disposal)",Lists!$C$72:$R$232,COLUMNS(Lists!$C$69:E$69),0)*VLOOKUP(BE$3,Conversions!$B$12:$E$34,4,0),$I83*VLOOKUP($F83,Lists!$C$72:$R$232,COLUMNS(Lists!$C$69:E$69),0)*VLOOKUP(BE$3,Conversions!$B$12:$E$34,4,0)))</f>
        <v>0</v>
      </c>
      <c r="AQ83" s="333">
        <f>IF($F83="",0,IF($F83="Weighted Average",$I83*VLOOKUP($D83&amp;" (Disposal)",Lists!$C$72:$R$232,COLUMNS(Lists!$C$69:F$69),0)*VLOOKUP(BF$3,Conversions!$B$12:$E$34,4,0),$I83*VLOOKUP($F83,Lists!$C$72:$R$232,COLUMNS(Lists!$C$69:F$69),0)*VLOOKUP(BF$3,Conversions!$B$12:$E$34,4,0)))</f>
        <v>0</v>
      </c>
      <c r="AR83" s="333">
        <f>IF($F83="",0,IF($F83="Weighted Average",$I83*VLOOKUP($D83&amp;" (Disposal)",Lists!$C$72:$R$232,COLUMNS(Lists!$C$69:G$69),0)*VLOOKUP(BG$3,Conversions!$B$12:$E$34,4,0),$I83*VLOOKUP($F83,Lists!$C$72:$R$232,COLUMNS(Lists!$C$69:G$69),0)*VLOOKUP(BG$3,Conversions!$B$12:$E$34,4,0)))</f>
        <v>0</v>
      </c>
      <c r="AS83" s="333">
        <f>IF($F83="",0,IF($F83="Weighted Average",$I83*VLOOKUP($D83&amp;" (Disposal)",Lists!$C$72:$R$232,COLUMNS(Lists!$C$69:H$69),0)*VLOOKUP(BH$3,Conversions!$B$12:$E$34,4,0),$I83*VLOOKUP($F83,Lists!$C$72:$R$232,COLUMNS(Lists!$C$69:H$69),0)*VLOOKUP(BH$3,Conversions!$B$12:$E$34,4,0)))</f>
        <v>0</v>
      </c>
      <c r="AT83" s="333">
        <f>IF($F83="",0,IF($F83="Weighted Average",$I83*VLOOKUP($D83&amp;" (Disposal)",Lists!$C$72:$R$232,COLUMNS(Lists!$C$69:I$69),0)*VLOOKUP(BI$3,Conversions!$B$12:$E$34,4,0),$I83*VLOOKUP($F83,Lists!$C$72:$R$232,COLUMNS(Lists!$C$69:I$69),0)*VLOOKUP(BI$3,Conversions!$B$12:$E$34,4,0)))</f>
        <v>0</v>
      </c>
      <c r="AU83" s="333">
        <f>IF($F83="",0,IF($F83="Weighted Average",$I83*VLOOKUP($D83&amp;" (Disposal)",Lists!$C$72:$R$232,COLUMNS(Lists!$C$69:J$69),0)*VLOOKUP(BJ$3,Conversions!$B$12:$E$34,4,0),$I83*VLOOKUP($F83,Lists!$C$72:$R$232,COLUMNS(Lists!$C$69:J$69),0)*VLOOKUP(BJ$3,Conversions!$B$12:$E$34,4,0)))</f>
        <v>0</v>
      </c>
      <c r="AV83" s="333">
        <f>IF($F83="",0,IF($F83="Weighted Average",$I83*VLOOKUP($D83&amp;" (Disposal)",Lists!$C$72:$R$232,COLUMNS(Lists!$C$69:K$69),0)*VLOOKUP(BK$3,Conversions!$B$12:$E$34,4,0),$I83*VLOOKUP($F83,Lists!$C$72:$R$232,COLUMNS(Lists!$C$69:K$69),0)*VLOOKUP(BK$3,Conversions!$B$12:$E$34,4,0)))</f>
        <v>0</v>
      </c>
      <c r="AW83" s="333">
        <f>IF($F83="",0,IF($F83="Weighted Average",$I83*VLOOKUP($D83&amp;" (Disposal)",Lists!$C$72:$R$232,COLUMNS(Lists!$C$69:L$69),0)*VLOOKUP(BL$3,Conversions!$B$12:$E$34,4,0),$I83*VLOOKUP($F83,Lists!$C$72:$R$232,COLUMNS(Lists!$C$69:L$69),0)*VLOOKUP(BL$3,Conversions!$B$12:$E$34,4,0)))</f>
        <v>0</v>
      </c>
      <c r="AX83" s="333">
        <f>IF($F83="",0,IF($F83="Weighted Average",$I83*VLOOKUP($D83&amp;" (Disposal)",Lists!$C$72:$R$232,COLUMNS(Lists!$C$69:M$69),0)*VLOOKUP(BM$3,Conversions!$B$12:$E$34,4,0),$I83*VLOOKUP($F83,Lists!$C$72:$R$232,COLUMNS(Lists!$C$69:M$69),0)*VLOOKUP(BM$3,Conversions!$B$12:$E$34,4,0)))</f>
        <v>0</v>
      </c>
      <c r="AY83" s="333">
        <f>IF($F83="",0,IF($F83="Weighted Average",$I83*VLOOKUP($D83&amp;" (Disposal)",Lists!$C$72:$R$232,COLUMNS(Lists!$C$69:N$69),0)*VLOOKUP(BN$3,Conversions!$B$12:$E$34,4,0),$I83*VLOOKUP($F83,Lists!$C$72:$R$232,COLUMNS(Lists!$C$69:N$69),0)*VLOOKUP(BN$3,Conversions!$B$12:$E$34,4,0)))</f>
        <v>0</v>
      </c>
      <c r="AZ83" s="333">
        <f>IF($F83="",0,IF($F83="Weighted Average",$I83*VLOOKUP($D83&amp;" (Disposal)",Lists!$C$72:$R$232,COLUMNS(Lists!$C$69:O$69),0)*VLOOKUP(BO$3,Conversions!$B$12:$E$34,4,0),$I83*VLOOKUP($F83,Lists!$C$72:$R$232,COLUMNS(Lists!$C$69:O$69),0)*VLOOKUP(BO$3,Conversions!$B$12:$E$34,4,0)))</f>
        <v>0</v>
      </c>
      <c r="BA83" s="333">
        <f>IF($F83="",0,IF($F83="Weighted Average",$I83*VLOOKUP($D83&amp;" (Disposal)",Lists!$C$72:$R$232,COLUMNS(Lists!$C$69:P$69),0)*VLOOKUP(BP$3,Conversions!$B$12:$E$34,4,0),$I83*VLOOKUP($F83,Lists!$C$72:$R$232,COLUMNS(Lists!$C$69:P$69),0)*VLOOKUP(BP$3,Conversions!$B$12:$E$34,4,0)))</f>
        <v>0</v>
      </c>
      <c r="BB83" s="333">
        <f>IF($F83="",0,IF($F83="Weighted Average",$I83*VLOOKUP($D83&amp;" (Disposal)",Lists!$C$72:$R$232,COLUMNS(Lists!$C$69:Q$69),0)*VLOOKUP(BQ$3,Conversions!$B$12:$E$34,4,0),$I83*VLOOKUP($F83,Lists!$C$72:$R$232,COLUMNS(Lists!$C$69:Q$69),0)*VLOOKUP(BQ$3,Conversions!$B$12:$E$34,4,0)))</f>
        <v>0</v>
      </c>
      <c r="BC83" s="333">
        <f>IF($F83="",0,IF($F83="Weighted Average",$I83*VLOOKUP($D83&amp;" (Disposal)",Lists!$C$72:$R$232,COLUMNS(Lists!$C$69:R$69),0)*VLOOKUP(BR$3,Conversions!$B$12:$E$34,4,0),$I83*VLOOKUP($F83,Lists!$C$72:$R$232,COLUMNS(Lists!$C$69:R$69),0)*VLOOKUP(BR$3,Conversions!$B$12:$E$34,4,0)))</f>
        <v>0</v>
      </c>
      <c r="BD83" s="333">
        <f t="shared" si="40"/>
        <v>0</v>
      </c>
      <c r="BE83" s="330">
        <f t="shared" si="41"/>
        <v>0</v>
      </c>
      <c r="BF83" s="330">
        <f t="shared" si="42"/>
        <v>0</v>
      </c>
      <c r="BG83" s="330">
        <f t="shared" si="43"/>
        <v>0</v>
      </c>
      <c r="BH83" s="330">
        <f t="shared" si="44"/>
        <v>0</v>
      </c>
      <c r="BI83" s="330">
        <f t="shared" si="45"/>
        <v>0</v>
      </c>
      <c r="BJ83" s="330">
        <f t="shared" si="46"/>
        <v>0</v>
      </c>
      <c r="BK83" s="330">
        <f t="shared" si="47"/>
        <v>0</v>
      </c>
      <c r="BL83" s="330">
        <f t="shared" si="48"/>
        <v>0</v>
      </c>
      <c r="BM83" s="330">
        <f t="shared" si="49"/>
        <v>0</v>
      </c>
      <c r="BN83" s="330">
        <f t="shared" si="50"/>
        <v>0</v>
      </c>
      <c r="BO83" s="330">
        <f t="shared" si="51"/>
        <v>0</v>
      </c>
      <c r="BP83" s="330">
        <f t="shared" si="52"/>
        <v>0</v>
      </c>
      <c r="BQ83" s="330">
        <f t="shared" si="53"/>
        <v>0</v>
      </c>
      <c r="BR83" s="330">
        <f t="shared" si="54"/>
        <v>0</v>
      </c>
      <c r="BS83" s="330">
        <f t="shared" si="55"/>
        <v>0</v>
      </c>
      <c r="BT83" s="329">
        <f t="shared" si="95"/>
        <v>0</v>
      </c>
      <c r="BU83" s="329">
        <f t="shared" si="95"/>
        <v>0</v>
      </c>
      <c r="BV83" s="329">
        <f t="shared" si="95"/>
        <v>0</v>
      </c>
      <c r="BW83" s="329">
        <f t="shared" si="95"/>
        <v>0</v>
      </c>
      <c r="BX83" s="329">
        <f t="shared" si="95"/>
        <v>0</v>
      </c>
      <c r="BY83" s="329">
        <f t="shared" si="95"/>
        <v>0</v>
      </c>
      <c r="BZ83" s="329">
        <f t="shared" si="95"/>
        <v>0</v>
      </c>
      <c r="CA83" s="329">
        <f t="shared" si="95"/>
        <v>0</v>
      </c>
      <c r="CB83" s="329">
        <f t="shared" si="95"/>
        <v>0</v>
      </c>
      <c r="CC83" s="329">
        <f t="shared" si="95"/>
        <v>0</v>
      </c>
      <c r="CD83" s="329">
        <f t="shared" si="95"/>
        <v>0</v>
      </c>
      <c r="CE83" s="329">
        <f t="shared" si="95"/>
        <v>0</v>
      </c>
      <c r="CF83" s="329">
        <f t="shared" si="95"/>
        <v>0</v>
      </c>
      <c r="CG83" s="329">
        <f t="shared" si="95"/>
        <v>0</v>
      </c>
      <c r="CH83" s="329">
        <f t="shared" si="95"/>
        <v>0</v>
      </c>
      <c r="CI83" s="329">
        <f t="shared" si="95"/>
        <v>0</v>
      </c>
      <c r="CJ83" s="331">
        <f t="shared" si="1"/>
        <v>0</v>
      </c>
      <c r="CK83" s="330">
        <f t="shared" si="5"/>
        <v>0</v>
      </c>
      <c r="CL83" s="330">
        <f t="shared" si="6"/>
        <v>0</v>
      </c>
      <c r="CM83" s="330">
        <f t="shared" si="7"/>
        <v>0</v>
      </c>
      <c r="CN83" s="330">
        <f t="shared" si="8"/>
        <v>0</v>
      </c>
      <c r="CO83" s="330">
        <f t="shared" si="9"/>
        <v>0</v>
      </c>
      <c r="CP83" s="330">
        <f t="shared" si="10"/>
        <v>0</v>
      </c>
      <c r="CQ83" s="330">
        <f t="shared" si="94"/>
        <v>0</v>
      </c>
      <c r="CR83" s="330">
        <f t="shared" si="12"/>
        <v>0</v>
      </c>
      <c r="CS83" s="330">
        <f t="shared" si="13"/>
        <v>0</v>
      </c>
      <c r="CT83" s="330">
        <f t="shared" si="14"/>
        <v>0</v>
      </c>
      <c r="CU83" s="330">
        <f t="shared" si="96"/>
        <v>0</v>
      </c>
      <c r="CV83" s="330">
        <f t="shared" si="96"/>
        <v>0</v>
      </c>
      <c r="CW83" s="330">
        <f t="shared" si="96"/>
        <v>0</v>
      </c>
      <c r="CX83" s="330">
        <f t="shared" si="96"/>
        <v>0</v>
      </c>
      <c r="CY83" s="330">
        <f t="shared" si="96"/>
        <v>0</v>
      </c>
      <c r="CZ83" s="330">
        <f t="shared" si="96"/>
        <v>0</v>
      </c>
      <c r="DA83" s="330">
        <f t="shared" si="96"/>
        <v>0</v>
      </c>
      <c r="DB83" s="330">
        <f t="shared" si="96"/>
        <v>0</v>
      </c>
      <c r="DC83" s="330">
        <f t="shared" si="96"/>
        <v>0</v>
      </c>
      <c r="DD83" s="330">
        <f t="shared" si="96"/>
        <v>0</v>
      </c>
      <c r="DE83" s="330">
        <f t="shared" si="97"/>
        <v>0</v>
      </c>
      <c r="DF83" s="330">
        <f t="shared" si="97"/>
        <v>0</v>
      </c>
      <c r="DG83" s="330">
        <f t="shared" si="97"/>
        <v>0</v>
      </c>
      <c r="DH83" s="330">
        <f t="shared" si="97"/>
        <v>0</v>
      </c>
      <c r="DI83" s="330">
        <f t="shared" si="97"/>
        <v>0</v>
      </c>
      <c r="DJ83" s="330">
        <f t="shared" si="97"/>
        <v>0</v>
      </c>
      <c r="DK83" s="330">
        <f t="shared" si="97"/>
        <v>0</v>
      </c>
      <c r="DL83" s="330">
        <f t="shared" si="97"/>
        <v>0</v>
      </c>
      <c r="DM83" s="330">
        <f t="shared" si="97"/>
        <v>0</v>
      </c>
      <c r="DN83" s="330">
        <f t="shared" si="97"/>
        <v>0</v>
      </c>
      <c r="DO83" s="330">
        <f t="shared" si="97"/>
        <v>0</v>
      </c>
      <c r="DP83" s="330">
        <f t="shared" si="98"/>
        <v>0</v>
      </c>
      <c r="DQ83" s="217"/>
      <c r="DR83" s="217"/>
      <c r="DS83" s="217"/>
      <c r="DT83" s="217"/>
    </row>
    <row r="84" spans="1:124" x14ac:dyDescent="0.3">
      <c r="A84" s="324"/>
      <c r="B84" s="221" t="s">
        <v>305</v>
      </c>
      <c r="C84" s="221" t="str">
        <f>IF(Screening!C14=0,"",Screening!C14)</f>
        <v/>
      </c>
      <c r="D84" s="221" t="str">
        <f>IF(Screening!D14=0,"",Screening!D14)</f>
        <v/>
      </c>
      <c r="E84" s="221" t="str">
        <f>IF(Screening!E14=0,"",Screening!E14)</f>
        <v/>
      </c>
      <c r="F84" s="221" t="str">
        <f>IF(Screening!F14=0,"",Screening!F14)</f>
        <v/>
      </c>
      <c r="G84" s="272">
        <f>Screening!G14*Screening!O14*Conversions!$C$4</f>
        <v>0</v>
      </c>
      <c r="H84" s="272">
        <f>Screening!H14*Screening!P14*Screening!I14*Conversions!$C$4</f>
        <v>0</v>
      </c>
      <c r="I84" s="272">
        <f>Screening!J14*Screening!Q14*(1-Screening!R14)*Conversions!$C$4</f>
        <v>0</v>
      </c>
      <c r="J84" s="325">
        <f>IF(Screening!S14=0,0,Screening!S14)</f>
        <v>0</v>
      </c>
      <c r="K84" s="465"/>
      <c r="L84" s="333">
        <f>IF($F84="",0,IF($F84="Weighted Average",$G84*VLOOKUP($D84&amp;" (Install)",Lists!$C$72:$R$232,COLUMNS(Lists!$C$69:E$69),0)*VLOOKUP(BE$3,Conversions!$B$12:$E$34,4,0),$G84*VLOOKUP($F84,Lists!$C$72:$R$232,COLUMNS(Lists!$C$69:E$69),0)*VLOOKUP(BE$3,Conversions!$B$12:$E$34,4,0)))</f>
        <v>0</v>
      </c>
      <c r="M84" s="333">
        <f>IF($F84="",0,IF($F84="Weighted Average",$G84*VLOOKUP($D84&amp;" (Install)",Lists!$C$72:$R$232,COLUMNS(Lists!$C$69:F$69),0)*VLOOKUP(BF$3,Conversions!$B$12:$E$34,4,0),$G84*VLOOKUP($F84,Lists!$C$72:$R$232,COLUMNS(Lists!$C$69:F$69),0)*VLOOKUP(BF$3,Conversions!$B$12:$E$34,4,0)))</f>
        <v>0</v>
      </c>
      <c r="N84" s="333">
        <f>IF($F84="",0,IF($F84="Weighted Average",$G84*VLOOKUP($D84&amp;" (Install)",Lists!$C$72:$R$232,COLUMNS(Lists!$C$69:G$69),0)*VLOOKUP(BG$3,Conversions!$B$12:$E$34,4,0),$G84*VLOOKUP($F84,Lists!$C$72:$R$232,COLUMNS(Lists!$C$69:G$69),0)*VLOOKUP(BG$3,Conversions!$B$12:$E$34,4,0)))</f>
        <v>0</v>
      </c>
      <c r="O84" s="333">
        <f>IF($F84="",0,IF($F84="Weighted Average",$G84*VLOOKUP($D84&amp;" (Install)",Lists!$C$72:$R$232,COLUMNS(Lists!$C$69:H$69),0)*VLOOKUP(BH$3,Conversions!$B$12:$E$34,4,0),$G84*VLOOKUP($F84,Lists!$C$72:$R$232,COLUMNS(Lists!$C$69:H$69),0)*VLOOKUP(BH$3,Conversions!$B$12:$E$34,4,0)))</f>
        <v>0</v>
      </c>
      <c r="P84" s="333">
        <f>IF($F84="",0,IF($F84="Weighted Average",$G84*VLOOKUP($D84&amp;" (Install)",Lists!$C$72:$R$232,COLUMNS(Lists!$C$69:I$69),0)*VLOOKUP(BI$3,Conversions!$B$12:$E$34,4,0),$G84*VLOOKUP($F84,Lists!$C$72:$R$232,COLUMNS(Lists!$C$69:I$69),0)*VLOOKUP(BI$3,Conversions!$B$12:$E$34,4,0)))</f>
        <v>0</v>
      </c>
      <c r="Q84" s="333">
        <f>IF($F84="",0,IF($F84="Weighted Average",$G84*VLOOKUP($D84&amp;" (Install)",Lists!$C$72:$R$232,COLUMNS(Lists!$C$69:J$69),0)*VLOOKUP(BJ$3,Conversions!$B$12:$E$34,4,0),$G84*VLOOKUP($F84,Lists!$C$72:$R$232,COLUMNS(Lists!$C$69:J$69),0)*VLOOKUP(BJ$3,Conversions!$B$12:$E$34,4,0)))</f>
        <v>0</v>
      </c>
      <c r="R84" s="333">
        <f>IF($F84="",0,IF($F84="Weighted Average",$G84*VLOOKUP($D84&amp;" (Install)",Lists!$C$72:$R$232,COLUMNS(Lists!$C$69:K$69),0)*VLOOKUP(BK$3,Conversions!$B$12:$E$34,4,0),$G84*VLOOKUP($F84,Lists!$C$72:$R$232,COLUMNS(Lists!$C$69:K$69),0)*VLOOKUP(BK$3,Conversions!$B$12:$E$34,4,0)))</f>
        <v>0</v>
      </c>
      <c r="S84" s="333">
        <f>IF($F84="",0,IF($F84="Weighted Average",$G84*VLOOKUP($D84&amp;" (Install)",Lists!$C$72:$R$232,COLUMNS(Lists!$C$69:L$69),0)*VLOOKUP(BL$3,Conversions!$B$12:$E$34,4,0),$G84*VLOOKUP($F84,Lists!$C$72:$R$232,COLUMNS(Lists!$C$69:L$69),0)*VLOOKUP(BL$3,Conversions!$B$12:$E$34,4,0)))</f>
        <v>0</v>
      </c>
      <c r="T84" s="333">
        <f>IF($F84="",0,IF($F84="Weighted Average",$G84*VLOOKUP($D84&amp;" (Install)",Lists!$C$72:$R$232,COLUMNS(Lists!$C$69:M$69),0)*VLOOKUP(BM$3,Conversions!$B$12:$E$34,4,0),$G84*VLOOKUP($F84,Lists!$C$72:$R$232,COLUMNS(Lists!$C$69:M$69),0)*VLOOKUP(BM$3,Conversions!$B$12:$E$34,4,0)))</f>
        <v>0</v>
      </c>
      <c r="U84" s="333">
        <f>IF($F84="",0,IF($F84="Weighted Average",$G84*VLOOKUP($D84&amp;" (Install)",Lists!$C$72:$R$232,COLUMNS(Lists!$C$69:N$69),0)*VLOOKUP(BN$3,Conversions!$B$12:$E$34,4,0),$G84*VLOOKUP($F84,Lists!$C$72:$R$232,COLUMNS(Lists!$C$69:N$69),0)*VLOOKUP(BN$3,Conversions!$B$12:$E$34,4,0)))</f>
        <v>0</v>
      </c>
      <c r="V84" s="333">
        <f>IF($F84="",0,IF($F84="Weighted Average",$G84*VLOOKUP($D84&amp;" (Install)",Lists!$C$72:$R$232,COLUMNS(Lists!$C$69:O$69),0)*VLOOKUP(BO$3,Conversions!$B$12:$E$34,4,0),$G84*VLOOKUP($F84,Lists!$C$72:$R$232,COLUMNS(Lists!$C$69:O$69),0)*VLOOKUP(BO$3,Conversions!$B$12:$E$34,4,0)))</f>
        <v>0</v>
      </c>
      <c r="W84" s="333">
        <f>IF($F84="",0,IF($F84="Weighted Average",$G84*VLOOKUP($D84&amp;" (Install)",Lists!$C$72:$R$232,COLUMNS(Lists!$C$69:P$69),0)*VLOOKUP(BP$3,Conversions!$B$12:$E$34,4,0),$G84*VLOOKUP($F84,Lists!$C$72:$R$232,COLUMNS(Lists!$C$69:P$69),0)*VLOOKUP(BP$3,Conversions!$B$12:$E$34,4,0)))</f>
        <v>0</v>
      </c>
      <c r="X84" s="333">
        <f>IF($F84="",0,IF($F84="Weighted Average",$G84*VLOOKUP($D84&amp;" (Install)",Lists!$C$72:$R$232,COLUMNS(Lists!$C$69:Q$69),0)*VLOOKUP(BQ$3,Conversions!$B$12:$E$34,4,0),$G84*VLOOKUP($F84,Lists!$C$72:$R$232,COLUMNS(Lists!$C$69:Q$69),0)*VLOOKUP(BQ$3,Conversions!$B$12:$E$34,4,0)))</f>
        <v>0</v>
      </c>
      <c r="Y84" s="333">
        <f>IF($F84="",0,IF($F84="Weighted Average",$G84*VLOOKUP($D84&amp;" (Install)",Lists!$C$72:$R$232,COLUMNS(Lists!$C$69:R$69),0)*VLOOKUP(BR$3,Conversions!$B$12:$E$34,4,0),$G84*VLOOKUP($F84,Lists!$C$72:$R$232,COLUMNS(Lists!$C$69:R$69),0)*VLOOKUP(BR$3,Conversions!$B$12:$E$34,4,0)))</f>
        <v>0</v>
      </c>
      <c r="Z84" s="325">
        <f t="shared" si="38"/>
        <v>0</v>
      </c>
      <c r="AA84" s="334">
        <f>IF($F84="",0,IF($F84="Weighted Average",$H84*VLOOKUP($D84&amp;" (Operation)",Lists!$C$72:$R$232,COLUMNS(Lists!$C$69:E$69),0)*VLOOKUP(BE$3,Conversions!$B$12:$E$34,4,0),$H84*VLOOKUP($F84,Lists!$C$72:$R$232,COLUMNS(Lists!$C$69:E$69),0)*VLOOKUP(BE$3,Conversions!$B$12:$E$34,4,0)))</f>
        <v>0</v>
      </c>
      <c r="AB84" s="334">
        <f>IF($F84="",0,IF($F84="Weighted Average",$H84*VLOOKUP($D84&amp;" (Operation)",Lists!$C$72:$R$232,COLUMNS(Lists!$C$69:F$69),0)*VLOOKUP(BF$3,Conversions!$B$12:$E$34,4,0),$H84*VLOOKUP($F84,Lists!$C$72:$R$232,COLUMNS(Lists!$C$69:F$69),0)*VLOOKUP(BF$3,Conversions!$B$12:$E$34,4,0)))</f>
        <v>0</v>
      </c>
      <c r="AC84" s="334">
        <f>IF($F84="",0,IF($F84="Weighted Average",$H84*VLOOKUP($D84&amp;" (Operation)",Lists!$C$72:$R$232,COLUMNS(Lists!$C$69:G$69),0)*VLOOKUP(BG$3,Conversions!$B$12:$E$34,4,0),$H84*VLOOKUP($F84,Lists!$C$72:$R$232,COLUMNS(Lists!$C$69:G$69),0)*VLOOKUP(BG$3,Conversions!$B$12:$E$34,4,0)))</f>
        <v>0</v>
      </c>
      <c r="AD84" s="334">
        <f>IF($F84="",0,IF($F84="Weighted Average",$H84*VLOOKUP($D84&amp;" (Operation)",Lists!$C$72:$R$232,COLUMNS(Lists!$C$69:H$69),0)*VLOOKUP(BH$3,Conversions!$B$12:$E$34,4,0),$H84*VLOOKUP($F84,Lists!$C$72:$R$232,COLUMNS(Lists!$C$69:H$69),0)*VLOOKUP(BH$3,Conversions!$B$12:$E$34,4,0)))</f>
        <v>0</v>
      </c>
      <c r="AE84" s="334">
        <f>IF($F84="",0,IF($F84="Weighted Average",$H84*VLOOKUP($D84&amp;" (Operation)",Lists!$C$72:$R$232,COLUMNS(Lists!$C$69:I$69),0)*VLOOKUP(BI$3,Conversions!$B$12:$E$34,4,0),$H84*VLOOKUP($F84,Lists!$C$72:$R$232,COLUMNS(Lists!$C$69:I$69),0)*VLOOKUP(BI$3,Conversions!$B$12:$E$34,4,0)))</f>
        <v>0</v>
      </c>
      <c r="AF84" s="334">
        <f>IF($F84="",0,IF($F84="Weighted Average",$H84*VLOOKUP($D84&amp;" (Operation)",Lists!$C$72:$R$232,COLUMNS(Lists!$C$69:J$69),0)*VLOOKUP(BJ$3,Conversions!$B$12:$E$34,4,0),$H84*VLOOKUP($F84,Lists!$C$72:$R$232,COLUMNS(Lists!$C$69:J$69),0)*VLOOKUP(BJ$3,Conversions!$B$12:$E$34,4,0)))</f>
        <v>0</v>
      </c>
      <c r="AG84" s="334">
        <f>IF($F84="",0,IF($F84="Weighted Average",$H84*VLOOKUP($D84&amp;" (Operation)",Lists!$C$72:$R$232,COLUMNS(Lists!$C$69:K$69),0)*VLOOKUP(BK$3,Conversions!$B$12:$E$34,4,0),$H84*VLOOKUP($F84,Lists!$C$72:$R$232,COLUMNS(Lists!$C$69:K$69),0)*VLOOKUP(BK$3,Conversions!$B$12:$E$34,4,0)))</f>
        <v>0</v>
      </c>
      <c r="AH84" s="334">
        <f>IF($F84="",0,IF($F84="Weighted Average",$H84*VLOOKUP($D84&amp;" (Operation)",Lists!$C$72:$R$232,COLUMNS(Lists!$C$69:L$69),0)*VLOOKUP(BL$3,Conversions!$B$12:$E$34,4,0),$H84*VLOOKUP($F84,Lists!$C$72:$R$232,COLUMNS(Lists!$C$69:L$69),0)*VLOOKUP(BL$3,Conversions!$B$12:$E$34,4,0)))</f>
        <v>0</v>
      </c>
      <c r="AI84" s="334">
        <f>IF($F84="",0,IF($F84="Weighted Average",$H84*VLOOKUP($D84&amp;" (Operation)",Lists!$C$72:$R$232,COLUMNS(Lists!$C$69:M$69),0)*VLOOKUP(BM$3,Conversions!$B$12:$E$34,4,0),$H84*VLOOKUP($F84,Lists!$C$72:$R$232,COLUMNS(Lists!$C$69:M$69),0)*VLOOKUP(BM$3,Conversions!$B$12:$E$34,4,0)))</f>
        <v>0</v>
      </c>
      <c r="AJ84" s="334">
        <f>IF($F84="",0,IF($F84="Weighted Average",$H84*VLOOKUP($D84&amp;" (Operation)",Lists!$C$72:$R$232,COLUMNS(Lists!$C$69:N$69),0)*VLOOKUP(BN$3,Conversions!$B$12:$E$34,4,0),$H84*VLOOKUP($F84,Lists!$C$72:$R$232,COLUMNS(Lists!$C$69:N$69),0)*VLOOKUP(BN$3,Conversions!$B$12:$E$34,4,0)))</f>
        <v>0</v>
      </c>
      <c r="AK84" s="334">
        <f>IF($F84="",0,IF($F84="Weighted Average",$H84*VLOOKUP($D84&amp;" (Operation)",Lists!$C$72:$R$232,COLUMNS(Lists!$C$69:O$69),0)*VLOOKUP(BO$3,Conversions!$B$12:$E$34,4,0),$H84*VLOOKUP($F84,Lists!$C$72:$R$232,COLUMNS(Lists!$C$69:O$69),0)*VLOOKUP(BO$3,Conversions!$B$12:$E$34,4,0)))</f>
        <v>0</v>
      </c>
      <c r="AL84" s="334">
        <f>IF($F84="",0,IF($F84="Weighted Average",$H84*VLOOKUP($D84&amp;" (Operation)",Lists!$C$72:$R$232,COLUMNS(Lists!$C$69:P$69),0)*VLOOKUP(BP$3,Conversions!$B$12:$E$34,4,0),$H84*VLOOKUP($F84,Lists!$C$72:$R$232,COLUMNS(Lists!$C$69:P$69),0)*VLOOKUP(BP$3,Conversions!$B$12:$E$34,4,0)))</f>
        <v>0</v>
      </c>
      <c r="AM84" s="334">
        <f>IF($F84="",0,IF($F84="Weighted Average",$H84*VLOOKUP($D84&amp;" (Operation)",Lists!$C$72:$R$232,COLUMNS(Lists!$C$69:Q$69),0)*VLOOKUP(BQ$3,Conversions!$B$12:$E$34,4,0),$H84*VLOOKUP($F84,Lists!$C$72:$R$232,COLUMNS(Lists!$C$69:Q$69),0)*VLOOKUP(BQ$3,Conversions!$B$12:$E$34,4,0)))</f>
        <v>0</v>
      </c>
      <c r="AN84" s="334">
        <f>IF($F84="",0,IF($F84="Weighted Average",$H84*VLOOKUP($D84&amp;" (Operation)",Lists!$C$72:$R$232,COLUMNS(Lists!$C$69:R$69),0)*VLOOKUP(BR$3,Conversions!$B$12:$E$34,4,0),$H84*VLOOKUP($F84,Lists!$C$72:$R$232,COLUMNS(Lists!$C$69:R$69),0)*VLOOKUP(BR$3,Conversions!$B$12:$E$34,4,0)))</f>
        <v>0</v>
      </c>
      <c r="AO84" s="330">
        <f t="shared" si="39"/>
        <v>0</v>
      </c>
      <c r="AP84" s="333">
        <f>IF($F84="",0,IF($F84="Weighted Average",$I84*VLOOKUP($D84&amp;" (Disposal)",Lists!$C$72:$R$232,COLUMNS(Lists!$C$69:E$69),0)*VLOOKUP(BE$3,Conversions!$B$12:$E$34,4,0),$I84*VLOOKUP($F84,Lists!$C$72:$R$232,COLUMNS(Lists!$C$69:E$69),0)*VLOOKUP(BE$3,Conversions!$B$12:$E$34,4,0)))</f>
        <v>0</v>
      </c>
      <c r="AQ84" s="333">
        <f>IF($F84="",0,IF($F84="Weighted Average",$I84*VLOOKUP($D84&amp;" (Disposal)",Lists!$C$72:$R$232,COLUMNS(Lists!$C$69:F$69),0)*VLOOKUP(BF$3,Conversions!$B$12:$E$34,4,0),$I84*VLOOKUP($F84,Lists!$C$72:$R$232,COLUMNS(Lists!$C$69:F$69),0)*VLOOKUP(BF$3,Conversions!$B$12:$E$34,4,0)))</f>
        <v>0</v>
      </c>
      <c r="AR84" s="333">
        <f>IF($F84="",0,IF($F84="Weighted Average",$I84*VLOOKUP($D84&amp;" (Disposal)",Lists!$C$72:$R$232,COLUMNS(Lists!$C$69:G$69),0)*VLOOKUP(BG$3,Conversions!$B$12:$E$34,4,0),$I84*VLOOKUP($F84,Lists!$C$72:$R$232,COLUMNS(Lists!$C$69:G$69),0)*VLOOKUP(BG$3,Conversions!$B$12:$E$34,4,0)))</f>
        <v>0</v>
      </c>
      <c r="AS84" s="333">
        <f>IF($F84="",0,IF($F84="Weighted Average",$I84*VLOOKUP($D84&amp;" (Disposal)",Lists!$C$72:$R$232,COLUMNS(Lists!$C$69:H$69),0)*VLOOKUP(BH$3,Conversions!$B$12:$E$34,4,0),$I84*VLOOKUP($F84,Lists!$C$72:$R$232,COLUMNS(Lists!$C$69:H$69),0)*VLOOKUP(BH$3,Conversions!$B$12:$E$34,4,0)))</f>
        <v>0</v>
      </c>
      <c r="AT84" s="333">
        <f>IF($F84="",0,IF($F84="Weighted Average",$I84*VLOOKUP($D84&amp;" (Disposal)",Lists!$C$72:$R$232,COLUMNS(Lists!$C$69:I$69),0)*VLOOKUP(BI$3,Conversions!$B$12:$E$34,4,0),$I84*VLOOKUP($F84,Lists!$C$72:$R$232,COLUMNS(Lists!$C$69:I$69),0)*VLOOKUP(BI$3,Conversions!$B$12:$E$34,4,0)))</f>
        <v>0</v>
      </c>
      <c r="AU84" s="333">
        <f>IF($F84="",0,IF($F84="Weighted Average",$I84*VLOOKUP($D84&amp;" (Disposal)",Lists!$C$72:$R$232,COLUMNS(Lists!$C$69:J$69),0)*VLOOKUP(BJ$3,Conversions!$B$12:$E$34,4,0),$I84*VLOOKUP($F84,Lists!$C$72:$R$232,COLUMNS(Lists!$C$69:J$69),0)*VLOOKUP(BJ$3,Conversions!$B$12:$E$34,4,0)))</f>
        <v>0</v>
      </c>
      <c r="AV84" s="333">
        <f>IF($F84="",0,IF($F84="Weighted Average",$I84*VLOOKUP($D84&amp;" (Disposal)",Lists!$C$72:$R$232,COLUMNS(Lists!$C$69:K$69),0)*VLOOKUP(BK$3,Conversions!$B$12:$E$34,4,0),$I84*VLOOKUP($F84,Lists!$C$72:$R$232,COLUMNS(Lists!$C$69:K$69),0)*VLOOKUP(BK$3,Conversions!$B$12:$E$34,4,0)))</f>
        <v>0</v>
      </c>
      <c r="AW84" s="333">
        <f>IF($F84="",0,IF($F84="Weighted Average",$I84*VLOOKUP($D84&amp;" (Disposal)",Lists!$C$72:$R$232,COLUMNS(Lists!$C$69:L$69),0)*VLOOKUP(BL$3,Conversions!$B$12:$E$34,4,0),$I84*VLOOKUP($F84,Lists!$C$72:$R$232,COLUMNS(Lists!$C$69:L$69),0)*VLOOKUP(BL$3,Conversions!$B$12:$E$34,4,0)))</f>
        <v>0</v>
      </c>
      <c r="AX84" s="333">
        <f>IF($F84="",0,IF($F84="Weighted Average",$I84*VLOOKUP($D84&amp;" (Disposal)",Lists!$C$72:$R$232,COLUMNS(Lists!$C$69:M$69),0)*VLOOKUP(BM$3,Conversions!$B$12:$E$34,4,0),$I84*VLOOKUP($F84,Lists!$C$72:$R$232,COLUMNS(Lists!$C$69:M$69),0)*VLOOKUP(BM$3,Conversions!$B$12:$E$34,4,0)))</f>
        <v>0</v>
      </c>
      <c r="AY84" s="333">
        <f>IF($F84="",0,IF($F84="Weighted Average",$I84*VLOOKUP($D84&amp;" (Disposal)",Lists!$C$72:$R$232,COLUMNS(Lists!$C$69:N$69),0)*VLOOKUP(BN$3,Conversions!$B$12:$E$34,4,0),$I84*VLOOKUP($F84,Lists!$C$72:$R$232,COLUMNS(Lists!$C$69:N$69),0)*VLOOKUP(BN$3,Conversions!$B$12:$E$34,4,0)))</f>
        <v>0</v>
      </c>
      <c r="AZ84" s="333">
        <f>IF($F84="",0,IF($F84="Weighted Average",$I84*VLOOKUP($D84&amp;" (Disposal)",Lists!$C$72:$R$232,COLUMNS(Lists!$C$69:O$69),0)*VLOOKUP(BO$3,Conversions!$B$12:$E$34,4,0),$I84*VLOOKUP($F84,Lists!$C$72:$R$232,COLUMNS(Lists!$C$69:O$69),0)*VLOOKUP(BO$3,Conversions!$B$12:$E$34,4,0)))</f>
        <v>0</v>
      </c>
      <c r="BA84" s="333">
        <f>IF($F84="",0,IF($F84="Weighted Average",$I84*VLOOKUP($D84&amp;" (Disposal)",Lists!$C$72:$R$232,COLUMNS(Lists!$C$69:P$69),0)*VLOOKUP(BP$3,Conversions!$B$12:$E$34,4,0),$I84*VLOOKUP($F84,Lists!$C$72:$R$232,COLUMNS(Lists!$C$69:P$69),0)*VLOOKUP(BP$3,Conversions!$B$12:$E$34,4,0)))</f>
        <v>0</v>
      </c>
      <c r="BB84" s="333">
        <f>IF($F84="",0,IF($F84="Weighted Average",$I84*VLOOKUP($D84&amp;" (Disposal)",Lists!$C$72:$R$232,COLUMNS(Lists!$C$69:Q$69),0)*VLOOKUP(BQ$3,Conversions!$B$12:$E$34,4,0),$I84*VLOOKUP($F84,Lists!$C$72:$R$232,COLUMNS(Lists!$C$69:Q$69),0)*VLOOKUP(BQ$3,Conversions!$B$12:$E$34,4,0)))</f>
        <v>0</v>
      </c>
      <c r="BC84" s="333">
        <f>IF($F84="",0,IF($F84="Weighted Average",$I84*VLOOKUP($D84&amp;" (Disposal)",Lists!$C$72:$R$232,COLUMNS(Lists!$C$69:R$69),0)*VLOOKUP(BR$3,Conversions!$B$12:$E$34,4,0),$I84*VLOOKUP($F84,Lists!$C$72:$R$232,COLUMNS(Lists!$C$69:R$69),0)*VLOOKUP(BR$3,Conversions!$B$12:$E$34,4,0)))</f>
        <v>0</v>
      </c>
      <c r="BD84" s="333">
        <f t="shared" si="40"/>
        <v>0</v>
      </c>
      <c r="BE84" s="330">
        <f t="shared" si="41"/>
        <v>0</v>
      </c>
      <c r="BF84" s="330">
        <f t="shared" si="42"/>
        <v>0</v>
      </c>
      <c r="BG84" s="330">
        <f t="shared" si="43"/>
        <v>0</v>
      </c>
      <c r="BH84" s="330">
        <f t="shared" si="44"/>
        <v>0</v>
      </c>
      <c r="BI84" s="330">
        <f t="shared" si="45"/>
        <v>0</v>
      </c>
      <c r="BJ84" s="330">
        <f t="shared" si="46"/>
        <v>0</v>
      </c>
      <c r="BK84" s="330">
        <f t="shared" si="47"/>
        <v>0</v>
      </c>
      <c r="BL84" s="330">
        <f t="shared" si="48"/>
        <v>0</v>
      </c>
      <c r="BM84" s="330">
        <f t="shared" si="49"/>
        <v>0</v>
      </c>
      <c r="BN84" s="330">
        <f t="shared" si="50"/>
        <v>0</v>
      </c>
      <c r="BO84" s="330">
        <f t="shared" si="51"/>
        <v>0</v>
      </c>
      <c r="BP84" s="330">
        <f t="shared" si="52"/>
        <v>0</v>
      </c>
      <c r="BQ84" s="330">
        <f t="shared" si="53"/>
        <v>0</v>
      </c>
      <c r="BR84" s="330">
        <f t="shared" si="54"/>
        <v>0</v>
      </c>
      <c r="BS84" s="330">
        <f t="shared" si="55"/>
        <v>0</v>
      </c>
      <c r="BT84" s="329">
        <f t="shared" ref="BT84:CI93" si="99">IF($E84="",0,IF($E84=BT$3,$BS84,0))</f>
        <v>0</v>
      </c>
      <c r="BU84" s="329">
        <f t="shared" si="99"/>
        <v>0</v>
      </c>
      <c r="BV84" s="329">
        <f t="shared" si="99"/>
        <v>0</v>
      </c>
      <c r="BW84" s="329">
        <f t="shared" si="99"/>
        <v>0</v>
      </c>
      <c r="BX84" s="329">
        <f t="shared" si="99"/>
        <v>0</v>
      </c>
      <c r="BY84" s="329">
        <f t="shared" si="99"/>
        <v>0</v>
      </c>
      <c r="BZ84" s="329">
        <f t="shared" si="99"/>
        <v>0</v>
      </c>
      <c r="CA84" s="329">
        <f t="shared" si="99"/>
        <v>0</v>
      </c>
      <c r="CB84" s="329">
        <f t="shared" si="99"/>
        <v>0</v>
      </c>
      <c r="CC84" s="329">
        <f t="shared" si="99"/>
        <v>0</v>
      </c>
      <c r="CD84" s="329">
        <f t="shared" si="99"/>
        <v>0</v>
      </c>
      <c r="CE84" s="329">
        <f t="shared" si="99"/>
        <v>0</v>
      </c>
      <c r="CF84" s="329">
        <f t="shared" si="99"/>
        <v>0</v>
      </c>
      <c r="CG84" s="329">
        <f t="shared" si="99"/>
        <v>0</v>
      </c>
      <c r="CH84" s="329">
        <f t="shared" si="99"/>
        <v>0</v>
      </c>
      <c r="CI84" s="329">
        <f t="shared" si="99"/>
        <v>0</v>
      </c>
      <c r="CJ84" s="331">
        <f t="shared" si="1"/>
        <v>0</v>
      </c>
      <c r="CK84" s="330">
        <f t="shared" si="5"/>
        <v>0</v>
      </c>
      <c r="CL84" s="330">
        <f t="shared" si="6"/>
        <v>0</v>
      </c>
      <c r="CM84" s="330">
        <f t="shared" si="7"/>
        <v>0</v>
      </c>
      <c r="CN84" s="330">
        <f t="shared" si="8"/>
        <v>0</v>
      </c>
      <c r="CO84" s="330">
        <f t="shared" si="9"/>
        <v>0</v>
      </c>
      <c r="CP84" s="330">
        <f t="shared" si="10"/>
        <v>0</v>
      </c>
      <c r="CQ84" s="330">
        <f t="shared" si="94"/>
        <v>0</v>
      </c>
      <c r="CR84" s="330">
        <f t="shared" si="12"/>
        <v>0</v>
      </c>
      <c r="CS84" s="330">
        <f t="shared" si="13"/>
        <v>0</v>
      </c>
      <c r="CT84" s="330">
        <f t="shared" si="14"/>
        <v>0</v>
      </c>
      <c r="CU84" s="330">
        <f t="shared" ref="CU84:DD93" si="100">IF($C84=CU$3,$BS84,0)</f>
        <v>0</v>
      </c>
      <c r="CV84" s="330">
        <f t="shared" si="100"/>
        <v>0</v>
      </c>
      <c r="CW84" s="330">
        <f t="shared" si="100"/>
        <v>0</v>
      </c>
      <c r="CX84" s="330">
        <f t="shared" si="100"/>
        <v>0</v>
      </c>
      <c r="CY84" s="330">
        <f t="shared" si="100"/>
        <v>0</v>
      </c>
      <c r="CZ84" s="330">
        <f t="shared" si="100"/>
        <v>0</v>
      </c>
      <c r="DA84" s="330">
        <f t="shared" si="100"/>
        <v>0</v>
      </c>
      <c r="DB84" s="330">
        <f t="shared" si="100"/>
        <v>0</v>
      </c>
      <c r="DC84" s="330">
        <f t="shared" si="100"/>
        <v>0</v>
      </c>
      <c r="DD84" s="330">
        <f t="shared" si="100"/>
        <v>0</v>
      </c>
      <c r="DE84" s="330">
        <f t="shared" ref="DE84:DO93" si="101">IF($C84=DE$3,$BS84,0)</f>
        <v>0</v>
      </c>
      <c r="DF84" s="330">
        <f t="shared" si="101"/>
        <v>0</v>
      </c>
      <c r="DG84" s="330">
        <f t="shared" si="101"/>
        <v>0</v>
      </c>
      <c r="DH84" s="330">
        <f t="shared" si="101"/>
        <v>0</v>
      </c>
      <c r="DI84" s="330">
        <f t="shared" si="101"/>
        <v>0</v>
      </c>
      <c r="DJ84" s="330">
        <f t="shared" si="101"/>
        <v>0</v>
      </c>
      <c r="DK84" s="330">
        <f t="shared" si="101"/>
        <v>0</v>
      </c>
      <c r="DL84" s="330">
        <f t="shared" si="101"/>
        <v>0</v>
      </c>
      <c r="DM84" s="330">
        <f t="shared" si="101"/>
        <v>0</v>
      </c>
      <c r="DN84" s="330">
        <f t="shared" si="101"/>
        <v>0</v>
      </c>
      <c r="DO84" s="330">
        <f t="shared" si="101"/>
        <v>0</v>
      </c>
      <c r="DP84" s="330">
        <f t="shared" si="98"/>
        <v>0</v>
      </c>
      <c r="DQ84" s="217"/>
      <c r="DR84" s="217"/>
      <c r="DS84" s="217"/>
      <c r="DT84" s="217"/>
    </row>
    <row r="85" spans="1:124" x14ac:dyDescent="0.3">
      <c r="A85" s="324"/>
      <c r="B85" s="221" t="s">
        <v>305</v>
      </c>
      <c r="C85" s="221" t="str">
        <f>IF(Screening!C15=0,"",Screening!C15)</f>
        <v/>
      </c>
      <c r="D85" s="221" t="str">
        <f>IF(Screening!D15=0,"",Screening!D15)</f>
        <v/>
      </c>
      <c r="E85" s="221" t="str">
        <f>IF(Screening!E15=0,"",Screening!E15)</f>
        <v/>
      </c>
      <c r="F85" s="221" t="str">
        <f>IF(Screening!F15=0,"",Screening!F15)</f>
        <v/>
      </c>
      <c r="G85" s="272">
        <f>Screening!G15*Screening!O15*Conversions!$C$4</f>
        <v>0</v>
      </c>
      <c r="H85" s="272">
        <f>Screening!H15*Screening!P15*Screening!I15*Conversions!$C$4</f>
        <v>0</v>
      </c>
      <c r="I85" s="272">
        <f>Screening!J15*Screening!Q15*(1-Screening!R15)*Conversions!$C$4</f>
        <v>0</v>
      </c>
      <c r="J85" s="325">
        <f>IF(Screening!S15=0,0,Screening!S15)</f>
        <v>0</v>
      </c>
      <c r="K85" s="465"/>
      <c r="L85" s="333">
        <f>IF($F85="",0,IF($F85="Weighted Average",$G85*VLOOKUP($D85&amp;" (Install)",Lists!$C$72:$R$232,COLUMNS(Lists!$C$69:E$69),0)*VLOOKUP(BE$3,Conversions!$B$12:$E$34,4,0),$G85*VLOOKUP($F85,Lists!$C$72:$R$232,COLUMNS(Lists!$C$69:E$69),0)*VLOOKUP(BE$3,Conversions!$B$12:$E$34,4,0)))</f>
        <v>0</v>
      </c>
      <c r="M85" s="333">
        <f>IF($F85="",0,IF($F85="Weighted Average",$G85*VLOOKUP($D85&amp;" (Install)",Lists!$C$72:$R$232,COLUMNS(Lists!$C$69:F$69),0)*VLOOKUP(BF$3,Conversions!$B$12:$E$34,4,0),$G85*VLOOKUP($F85,Lists!$C$72:$R$232,COLUMNS(Lists!$C$69:F$69),0)*VLOOKUP(BF$3,Conversions!$B$12:$E$34,4,0)))</f>
        <v>0</v>
      </c>
      <c r="N85" s="333">
        <f>IF($F85="",0,IF($F85="Weighted Average",$G85*VLOOKUP($D85&amp;" (Install)",Lists!$C$72:$R$232,COLUMNS(Lists!$C$69:G$69),0)*VLOOKUP(BG$3,Conversions!$B$12:$E$34,4,0),$G85*VLOOKUP($F85,Lists!$C$72:$R$232,COLUMNS(Lists!$C$69:G$69),0)*VLOOKUP(BG$3,Conversions!$B$12:$E$34,4,0)))</f>
        <v>0</v>
      </c>
      <c r="O85" s="333">
        <f>IF($F85="",0,IF($F85="Weighted Average",$G85*VLOOKUP($D85&amp;" (Install)",Lists!$C$72:$R$232,COLUMNS(Lists!$C$69:H$69),0)*VLOOKUP(BH$3,Conversions!$B$12:$E$34,4,0),$G85*VLOOKUP($F85,Lists!$C$72:$R$232,COLUMNS(Lists!$C$69:H$69),0)*VLOOKUP(BH$3,Conversions!$B$12:$E$34,4,0)))</f>
        <v>0</v>
      </c>
      <c r="P85" s="333">
        <f>IF($F85="",0,IF($F85="Weighted Average",$G85*VLOOKUP($D85&amp;" (Install)",Lists!$C$72:$R$232,COLUMNS(Lists!$C$69:I$69),0)*VLOOKUP(BI$3,Conversions!$B$12:$E$34,4,0),$G85*VLOOKUP($F85,Lists!$C$72:$R$232,COLUMNS(Lists!$C$69:I$69),0)*VLOOKUP(BI$3,Conversions!$B$12:$E$34,4,0)))</f>
        <v>0</v>
      </c>
      <c r="Q85" s="333">
        <f>IF($F85="",0,IF($F85="Weighted Average",$G85*VLOOKUP($D85&amp;" (Install)",Lists!$C$72:$R$232,COLUMNS(Lists!$C$69:J$69),0)*VLOOKUP(BJ$3,Conversions!$B$12:$E$34,4,0),$G85*VLOOKUP($F85,Lists!$C$72:$R$232,COLUMNS(Lists!$C$69:J$69),0)*VLOOKUP(BJ$3,Conversions!$B$12:$E$34,4,0)))</f>
        <v>0</v>
      </c>
      <c r="R85" s="333">
        <f>IF($F85="",0,IF($F85="Weighted Average",$G85*VLOOKUP($D85&amp;" (Install)",Lists!$C$72:$R$232,COLUMNS(Lists!$C$69:K$69),0)*VLOOKUP(BK$3,Conversions!$B$12:$E$34,4,0),$G85*VLOOKUP($F85,Lists!$C$72:$R$232,COLUMNS(Lists!$C$69:K$69),0)*VLOOKUP(BK$3,Conversions!$B$12:$E$34,4,0)))</f>
        <v>0</v>
      </c>
      <c r="S85" s="333">
        <f>IF($F85="",0,IF($F85="Weighted Average",$G85*VLOOKUP($D85&amp;" (Install)",Lists!$C$72:$R$232,COLUMNS(Lists!$C$69:L$69),0)*VLOOKUP(BL$3,Conversions!$B$12:$E$34,4,0),$G85*VLOOKUP($F85,Lists!$C$72:$R$232,COLUMNS(Lists!$C$69:L$69),0)*VLOOKUP(BL$3,Conversions!$B$12:$E$34,4,0)))</f>
        <v>0</v>
      </c>
      <c r="T85" s="333">
        <f>IF($F85="",0,IF($F85="Weighted Average",$G85*VLOOKUP($D85&amp;" (Install)",Lists!$C$72:$R$232,COLUMNS(Lists!$C$69:M$69),0)*VLOOKUP(BM$3,Conversions!$B$12:$E$34,4,0),$G85*VLOOKUP($F85,Lists!$C$72:$R$232,COLUMNS(Lists!$C$69:M$69),0)*VLOOKUP(BM$3,Conversions!$B$12:$E$34,4,0)))</f>
        <v>0</v>
      </c>
      <c r="U85" s="333">
        <f>IF($F85="",0,IF($F85="Weighted Average",$G85*VLOOKUP($D85&amp;" (Install)",Lists!$C$72:$R$232,COLUMNS(Lists!$C$69:N$69),0)*VLOOKUP(BN$3,Conversions!$B$12:$E$34,4,0),$G85*VLOOKUP($F85,Lists!$C$72:$R$232,COLUMNS(Lists!$C$69:N$69),0)*VLOOKUP(BN$3,Conversions!$B$12:$E$34,4,0)))</f>
        <v>0</v>
      </c>
      <c r="V85" s="333">
        <f>IF($F85="",0,IF($F85="Weighted Average",$G85*VLOOKUP($D85&amp;" (Install)",Lists!$C$72:$R$232,COLUMNS(Lists!$C$69:O$69),0)*VLOOKUP(BO$3,Conversions!$B$12:$E$34,4,0),$G85*VLOOKUP($F85,Lists!$C$72:$R$232,COLUMNS(Lists!$C$69:O$69),0)*VLOOKUP(BO$3,Conversions!$B$12:$E$34,4,0)))</f>
        <v>0</v>
      </c>
      <c r="W85" s="333">
        <f>IF($F85="",0,IF($F85="Weighted Average",$G85*VLOOKUP($D85&amp;" (Install)",Lists!$C$72:$R$232,COLUMNS(Lists!$C$69:P$69),0)*VLOOKUP(BP$3,Conversions!$B$12:$E$34,4,0),$G85*VLOOKUP($F85,Lists!$C$72:$R$232,COLUMNS(Lists!$C$69:P$69),0)*VLOOKUP(BP$3,Conversions!$B$12:$E$34,4,0)))</f>
        <v>0</v>
      </c>
      <c r="X85" s="333">
        <f>IF($F85="",0,IF($F85="Weighted Average",$G85*VLOOKUP($D85&amp;" (Install)",Lists!$C$72:$R$232,COLUMNS(Lists!$C$69:Q$69),0)*VLOOKUP(BQ$3,Conversions!$B$12:$E$34,4,0),$G85*VLOOKUP($F85,Lists!$C$72:$R$232,COLUMNS(Lists!$C$69:Q$69),0)*VLOOKUP(BQ$3,Conversions!$B$12:$E$34,4,0)))</f>
        <v>0</v>
      </c>
      <c r="Y85" s="333">
        <f>IF($F85="",0,IF($F85="Weighted Average",$G85*VLOOKUP($D85&amp;" (Install)",Lists!$C$72:$R$232,COLUMNS(Lists!$C$69:R$69),0)*VLOOKUP(BR$3,Conversions!$B$12:$E$34,4,0),$G85*VLOOKUP($F85,Lists!$C$72:$R$232,COLUMNS(Lists!$C$69:R$69),0)*VLOOKUP(BR$3,Conversions!$B$12:$E$34,4,0)))</f>
        <v>0</v>
      </c>
      <c r="Z85" s="325">
        <f t="shared" si="38"/>
        <v>0</v>
      </c>
      <c r="AA85" s="334">
        <f>IF($F85="",0,IF($F85="Weighted Average",$H85*VLOOKUP($D85&amp;" (Operation)",Lists!$C$72:$R$232,COLUMNS(Lists!$C$69:E$69),0)*VLOOKUP(BE$3,Conversions!$B$12:$E$34,4,0),$H85*VLOOKUP($F85,Lists!$C$72:$R$232,COLUMNS(Lists!$C$69:E$69),0)*VLOOKUP(BE$3,Conversions!$B$12:$E$34,4,0)))</f>
        <v>0</v>
      </c>
      <c r="AB85" s="334">
        <f>IF($F85="",0,IF($F85="Weighted Average",$H85*VLOOKUP($D85&amp;" (Operation)",Lists!$C$72:$R$232,COLUMNS(Lists!$C$69:F$69),0)*VLOOKUP(BF$3,Conversions!$B$12:$E$34,4,0),$H85*VLOOKUP($F85,Lists!$C$72:$R$232,COLUMNS(Lists!$C$69:F$69),0)*VLOOKUP(BF$3,Conversions!$B$12:$E$34,4,0)))</f>
        <v>0</v>
      </c>
      <c r="AC85" s="334">
        <f>IF($F85="",0,IF($F85="Weighted Average",$H85*VLOOKUP($D85&amp;" (Operation)",Lists!$C$72:$R$232,COLUMNS(Lists!$C$69:G$69),0)*VLOOKUP(BG$3,Conversions!$B$12:$E$34,4,0),$H85*VLOOKUP($F85,Lists!$C$72:$R$232,COLUMNS(Lists!$C$69:G$69),0)*VLOOKUP(BG$3,Conversions!$B$12:$E$34,4,0)))</f>
        <v>0</v>
      </c>
      <c r="AD85" s="334">
        <f>IF($F85="",0,IF($F85="Weighted Average",$H85*VLOOKUP($D85&amp;" (Operation)",Lists!$C$72:$R$232,COLUMNS(Lists!$C$69:H$69),0)*VLOOKUP(BH$3,Conversions!$B$12:$E$34,4,0),$H85*VLOOKUP($F85,Lists!$C$72:$R$232,COLUMNS(Lists!$C$69:H$69),0)*VLOOKUP(BH$3,Conversions!$B$12:$E$34,4,0)))</f>
        <v>0</v>
      </c>
      <c r="AE85" s="334">
        <f>IF($F85="",0,IF($F85="Weighted Average",$H85*VLOOKUP($D85&amp;" (Operation)",Lists!$C$72:$R$232,COLUMNS(Lists!$C$69:I$69),0)*VLOOKUP(BI$3,Conversions!$B$12:$E$34,4,0),$H85*VLOOKUP($F85,Lists!$C$72:$R$232,COLUMNS(Lists!$C$69:I$69),0)*VLOOKUP(BI$3,Conversions!$B$12:$E$34,4,0)))</f>
        <v>0</v>
      </c>
      <c r="AF85" s="334">
        <f>IF($F85="",0,IF($F85="Weighted Average",$H85*VLOOKUP($D85&amp;" (Operation)",Lists!$C$72:$R$232,COLUMNS(Lists!$C$69:J$69),0)*VLOOKUP(BJ$3,Conversions!$B$12:$E$34,4,0),$H85*VLOOKUP($F85,Lists!$C$72:$R$232,COLUMNS(Lists!$C$69:J$69),0)*VLOOKUP(BJ$3,Conversions!$B$12:$E$34,4,0)))</f>
        <v>0</v>
      </c>
      <c r="AG85" s="334">
        <f>IF($F85="",0,IF($F85="Weighted Average",$H85*VLOOKUP($D85&amp;" (Operation)",Lists!$C$72:$R$232,COLUMNS(Lists!$C$69:K$69),0)*VLOOKUP(BK$3,Conversions!$B$12:$E$34,4,0),$H85*VLOOKUP($F85,Lists!$C$72:$R$232,COLUMNS(Lists!$C$69:K$69),0)*VLOOKUP(BK$3,Conversions!$B$12:$E$34,4,0)))</f>
        <v>0</v>
      </c>
      <c r="AH85" s="334">
        <f>IF($F85="",0,IF($F85="Weighted Average",$H85*VLOOKUP($D85&amp;" (Operation)",Lists!$C$72:$R$232,COLUMNS(Lists!$C$69:L$69),0)*VLOOKUP(BL$3,Conversions!$B$12:$E$34,4,0),$H85*VLOOKUP($F85,Lists!$C$72:$R$232,COLUMNS(Lists!$C$69:L$69),0)*VLOOKUP(BL$3,Conversions!$B$12:$E$34,4,0)))</f>
        <v>0</v>
      </c>
      <c r="AI85" s="334">
        <f>IF($F85="",0,IF($F85="Weighted Average",$H85*VLOOKUP($D85&amp;" (Operation)",Lists!$C$72:$R$232,COLUMNS(Lists!$C$69:M$69),0)*VLOOKUP(BM$3,Conversions!$B$12:$E$34,4,0),$H85*VLOOKUP($F85,Lists!$C$72:$R$232,COLUMNS(Lists!$C$69:M$69),0)*VLOOKUP(BM$3,Conversions!$B$12:$E$34,4,0)))</f>
        <v>0</v>
      </c>
      <c r="AJ85" s="334">
        <f>IF($F85="",0,IF($F85="Weighted Average",$H85*VLOOKUP($D85&amp;" (Operation)",Lists!$C$72:$R$232,COLUMNS(Lists!$C$69:N$69),0)*VLOOKUP(BN$3,Conversions!$B$12:$E$34,4,0),$H85*VLOOKUP($F85,Lists!$C$72:$R$232,COLUMNS(Lists!$C$69:N$69),0)*VLOOKUP(BN$3,Conversions!$B$12:$E$34,4,0)))</f>
        <v>0</v>
      </c>
      <c r="AK85" s="334">
        <f>IF($F85="",0,IF($F85="Weighted Average",$H85*VLOOKUP($D85&amp;" (Operation)",Lists!$C$72:$R$232,COLUMNS(Lists!$C$69:O$69),0)*VLOOKUP(BO$3,Conversions!$B$12:$E$34,4,0),$H85*VLOOKUP($F85,Lists!$C$72:$R$232,COLUMNS(Lists!$C$69:O$69),0)*VLOOKUP(BO$3,Conversions!$B$12:$E$34,4,0)))</f>
        <v>0</v>
      </c>
      <c r="AL85" s="334">
        <f>IF($F85="",0,IF($F85="Weighted Average",$H85*VLOOKUP($D85&amp;" (Operation)",Lists!$C$72:$R$232,COLUMNS(Lists!$C$69:P$69),0)*VLOOKUP(BP$3,Conversions!$B$12:$E$34,4,0),$H85*VLOOKUP($F85,Lists!$C$72:$R$232,COLUMNS(Lists!$C$69:P$69),0)*VLOOKUP(BP$3,Conversions!$B$12:$E$34,4,0)))</f>
        <v>0</v>
      </c>
      <c r="AM85" s="334">
        <f>IF($F85="",0,IF($F85="Weighted Average",$H85*VLOOKUP($D85&amp;" (Operation)",Lists!$C$72:$R$232,COLUMNS(Lists!$C$69:Q$69),0)*VLOOKUP(BQ$3,Conversions!$B$12:$E$34,4,0),$H85*VLOOKUP($F85,Lists!$C$72:$R$232,COLUMNS(Lists!$C$69:Q$69),0)*VLOOKUP(BQ$3,Conversions!$B$12:$E$34,4,0)))</f>
        <v>0</v>
      </c>
      <c r="AN85" s="334">
        <f>IF($F85="",0,IF($F85="Weighted Average",$H85*VLOOKUP($D85&amp;" (Operation)",Lists!$C$72:$R$232,COLUMNS(Lists!$C$69:R$69),0)*VLOOKUP(BR$3,Conversions!$B$12:$E$34,4,0),$H85*VLOOKUP($F85,Lists!$C$72:$R$232,COLUMNS(Lists!$C$69:R$69),0)*VLOOKUP(BR$3,Conversions!$B$12:$E$34,4,0)))</f>
        <v>0</v>
      </c>
      <c r="AO85" s="330">
        <f t="shared" si="39"/>
        <v>0</v>
      </c>
      <c r="AP85" s="333">
        <f>IF($F85="",0,IF($F85="Weighted Average",$I85*VLOOKUP($D85&amp;" (Disposal)",Lists!$C$72:$R$232,COLUMNS(Lists!$C$69:E$69),0)*VLOOKUP(BE$3,Conversions!$B$12:$E$34,4,0),$I85*VLOOKUP($F85,Lists!$C$72:$R$232,COLUMNS(Lists!$C$69:E$69),0)*VLOOKUP(BE$3,Conversions!$B$12:$E$34,4,0)))</f>
        <v>0</v>
      </c>
      <c r="AQ85" s="333">
        <f>IF($F85="",0,IF($F85="Weighted Average",$I85*VLOOKUP($D85&amp;" (Disposal)",Lists!$C$72:$R$232,COLUMNS(Lists!$C$69:F$69),0)*VLOOKUP(BF$3,Conversions!$B$12:$E$34,4,0),$I85*VLOOKUP($F85,Lists!$C$72:$R$232,COLUMNS(Lists!$C$69:F$69),0)*VLOOKUP(BF$3,Conversions!$B$12:$E$34,4,0)))</f>
        <v>0</v>
      </c>
      <c r="AR85" s="333">
        <f>IF($F85="",0,IF($F85="Weighted Average",$I85*VLOOKUP($D85&amp;" (Disposal)",Lists!$C$72:$R$232,COLUMNS(Lists!$C$69:G$69),0)*VLOOKUP(BG$3,Conversions!$B$12:$E$34,4,0),$I85*VLOOKUP($F85,Lists!$C$72:$R$232,COLUMNS(Lists!$C$69:G$69),0)*VLOOKUP(BG$3,Conversions!$B$12:$E$34,4,0)))</f>
        <v>0</v>
      </c>
      <c r="AS85" s="333">
        <f>IF($F85="",0,IF($F85="Weighted Average",$I85*VLOOKUP($D85&amp;" (Disposal)",Lists!$C$72:$R$232,COLUMNS(Lists!$C$69:H$69),0)*VLOOKUP(BH$3,Conversions!$B$12:$E$34,4,0),$I85*VLOOKUP($F85,Lists!$C$72:$R$232,COLUMNS(Lists!$C$69:H$69),0)*VLOOKUP(BH$3,Conversions!$B$12:$E$34,4,0)))</f>
        <v>0</v>
      </c>
      <c r="AT85" s="333">
        <f>IF($F85="",0,IF($F85="Weighted Average",$I85*VLOOKUP($D85&amp;" (Disposal)",Lists!$C$72:$R$232,COLUMNS(Lists!$C$69:I$69),0)*VLOOKUP(BI$3,Conversions!$B$12:$E$34,4,0),$I85*VLOOKUP($F85,Lists!$C$72:$R$232,COLUMNS(Lists!$C$69:I$69),0)*VLOOKUP(BI$3,Conversions!$B$12:$E$34,4,0)))</f>
        <v>0</v>
      </c>
      <c r="AU85" s="333">
        <f>IF($F85="",0,IF($F85="Weighted Average",$I85*VLOOKUP($D85&amp;" (Disposal)",Lists!$C$72:$R$232,COLUMNS(Lists!$C$69:J$69),0)*VLOOKUP(BJ$3,Conversions!$B$12:$E$34,4,0),$I85*VLOOKUP($F85,Lists!$C$72:$R$232,COLUMNS(Lists!$C$69:J$69),0)*VLOOKUP(BJ$3,Conversions!$B$12:$E$34,4,0)))</f>
        <v>0</v>
      </c>
      <c r="AV85" s="333">
        <f>IF($F85="",0,IF($F85="Weighted Average",$I85*VLOOKUP($D85&amp;" (Disposal)",Lists!$C$72:$R$232,COLUMNS(Lists!$C$69:K$69),0)*VLOOKUP(BK$3,Conversions!$B$12:$E$34,4,0),$I85*VLOOKUP($F85,Lists!$C$72:$R$232,COLUMNS(Lists!$C$69:K$69),0)*VLOOKUP(BK$3,Conversions!$B$12:$E$34,4,0)))</f>
        <v>0</v>
      </c>
      <c r="AW85" s="333">
        <f>IF($F85="",0,IF($F85="Weighted Average",$I85*VLOOKUP($D85&amp;" (Disposal)",Lists!$C$72:$R$232,COLUMNS(Lists!$C$69:L$69),0)*VLOOKUP(BL$3,Conversions!$B$12:$E$34,4,0),$I85*VLOOKUP($F85,Lists!$C$72:$R$232,COLUMNS(Lists!$C$69:L$69),0)*VLOOKUP(BL$3,Conversions!$B$12:$E$34,4,0)))</f>
        <v>0</v>
      </c>
      <c r="AX85" s="333">
        <f>IF($F85="",0,IF($F85="Weighted Average",$I85*VLOOKUP($D85&amp;" (Disposal)",Lists!$C$72:$R$232,COLUMNS(Lists!$C$69:M$69),0)*VLOOKUP(BM$3,Conversions!$B$12:$E$34,4,0),$I85*VLOOKUP($F85,Lists!$C$72:$R$232,COLUMNS(Lists!$C$69:M$69),0)*VLOOKUP(BM$3,Conversions!$B$12:$E$34,4,0)))</f>
        <v>0</v>
      </c>
      <c r="AY85" s="333">
        <f>IF($F85="",0,IF($F85="Weighted Average",$I85*VLOOKUP($D85&amp;" (Disposal)",Lists!$C$72:$R$232,COLUMNS(Lists!$C$69:N$69),0)*VLOOKUP(BN$3,Conversions!$B$12:$E$34,4,0),$I85*VLOOKUP($F85,Lists!$C$72:$R$232,COLUMNS(Lists!$C$69:N$69),0)*VLOOKUP(BN$3,Conversions!$B$12:$E$34,4,0)))</f>
        <v>0</v>
      </c>
      <c r="AZ85" s="333">
        <f>IF($F85="",0,IF($F85="Weighted Average",$I85*VLOOKUP($D85&amp;" (Disposal)",Lists!$C$72:$R$232,COLUMNS(Lists!$C$69:O$69),0)*VLOOKUP(BO$3,Conversions!$B$12:$E$34,4,0),$I85*VLOOKUP($F85,Lists!$C$72:$R$232,COLUMNS(Lists!$C$69:O$69),0)*VLOOKUP(BO$3,Conversions!$B$12:$E$34,4,0)))</f>
        <v>0</v>
      </c>
      <c r="BA85" s="333">
        <f>IF($F85="",0,IF($F85="Weighted Average",$I85*VLOOKUP($D85&amp;" (Disposal)",Lists!$C$72:$R$232,COLUMNS(Lists!$C$69:P$69),0)*VLOOKUP(BP$3,Conversions!$B$12:$E$34,4,0),$I85*VLOOKUP($F85,Lists!$C$72:$R$232,COLUMNS(Lists!$C$69:P$69),0)*VLOOKUP(BP$3,Conversions!$B$12:$E$34,4,0)))</f>
        <v>0</v>
      </c>
      <c r="BB85" s="333">
        <f>IF($F85="",0,IF($F85="Weighted Average",$I85*VLOOKUP($D85&amp;" (Disposal)",Lists!$C$72:$R$232,COLUMNS(Lists!$C$69:Q$69),0)*VLOOKUP(BQ$3,Conversions!$B$12:$E$34,4,0),$I85*VLOOKUP($F85,Lists!$C$72:$R$232,COLUMNS(Lists!$C$69:Q$69),0)*VLOOKUP(BQ$3,Conversions!$B$12:$E$34,4,0)))</f>
        <v>0</v>
      </c>
      <c r="BC85" s="333">
        <f>IF($F85="",0,IF($F85="Weighted Average",$I85*VLOOKUP($D85&amp;" (Disposal)",Lists!$C$72:$R$232,COLUMNS(Lists!$C$69:R$69),0)*VLOOKUP(BR$3,Conversions!$B$12:$E$34,4,0),$I85*VLOOKUP($F85,Lists!$C$72:$R$232,COLUMNS(Lists!$C$69:R$69),0)*VLOOKUP(BR$3,Conversions!$B$12:$E$34,4,0)))</f>
        <v>0</v>
      </c>
      <c r="BD85" s="333">
        <f t="shared" si="40"/>
        <v>0</v>
      </c>
      <c r="BE85" s="330">
        <f t="shared" si="41"/>
        <v>0</v>
      </c>
      <c r="BF85" s="330">
        <f t="shared" si="42"/>
        <v>0</v>
      </c>
      <c r="BG85" s="330">
        <f t="shared" si="43"/>
        <v>0</v>
      </c>
      <c r="BH85" s="330">
        <f t="shared" si="44"/>
        <v>0</v>
      </c>
      <c r="BI85" s="330">
        <f t="shared" si="45"/>
        <v>0</v>
      </c>
      <c r="BJ85" s="330">
        <f t="shared" si="46"/>
        <v>0</v>
      </c>
      <c r="BK85" s="330">
        <f t="shared" si="47"/>
        <v>0</v>
      </c>
      <c r="BL85" s="330">
        <f t="shared" si="48"/>
        <v>0</v>
      </c>
      <c r="BM85" s="330">
        <f t="shared" si="49"/>
        <v>0</v>
      </c>
      <c r="BN85" s="330">
        <f t="shared" si="50"/>
        <v>0</v>
      </c>
      <c r="BO85" s="330">
        <f t="shared" si="51"/>
        <v>0</v>
      </c>
      <c r="BP85" s="330">
        <f t="shared" si="52"/>
        <v>0</v>
      </c>
      <c r="BQ85" s="330">
        <f t="shared" si="53"/>
        <v>0</v>
      </c>
      <c r="BR85" s="330">
        <f t="shared" si="54"/>
        <v>0</v>
      </c>
      <c r="BS85" s="330">
        <f t="shared" si="55"/>
        <v>0</v>
      </c>
      <c r="BT85" s="329">
        <f t="shared" si="99"/>
        <v>0</v>
      </c>
      <c r="BU85" s="329">
        <f t="shared" si="99"/>
        <v>0</v>
      </c>
      <c r="BV85" s="329">
        <f t="shared" si="99"/>
        <v>0</v>
      </c>
      <c r="BW85" s="329">
        <f t="shared" si="99"/>
        <v>0</v>
      </c>
      <c r="BX85" s="329">
        <f t="shared" si="99"/>
        <v>0</v>
      </c>
      <c r="BY85" s="329">
        <f t="shared" si="99"/>
        <v>0</v>
      </c>
      <c r="BZ85" s="329">
        <f t="shared" si="99"/>
        <v>0</v>
      </c>
      <c r="CA85" s="329">
        <f t="shared" si="99"/>
        <v>0</v>
      </c>
      <c r="CB85" s="329">
        <f t="shared" si="99"/>
        <v>0</v>
      </c>
      <c r="CC85" s="329">
        <f t="shared" si="99"/>
        <v>0</v>
      </c>
      <c r="CD85" s="329">
        <f t="shared" si="99"/>
        <v>0</v>
      </c>
      <c r="CE85" s="329">
        <f t="shared" si="99"/>
        <v>0</v>
      </c>
      <c r="CF85" s="329">
        <f t="shared" si="99"/>
        <v>0</v>
      </c>
      <c r="CG85" s="329">
        <f t="shared" si="99"/>
        <v>0</v>
      </c>
      <c r="CH85" s="329">
        <f t="shared" si="99"/>
        <v>0</v>
      </c>
      <c r="CI85" s="329">
        <f t="shared" si="99"/>
        <v>0</v>
      </c>
      <c r="CJ85" s="331">
        <f t="shared" si="1"/>
        <v>0</v>
      </c>
      <c r="CK85" s="330">
        <f t="shared" si="5"/>
        <v>0</v>
      </c>
      <c r="CL85" s="330">
        <f t="shared" si="6"/>
        <v>0</v>
      </c>
      <c r="CM85" s="330">
        <f t="shared" si="7"/>
        <v>0</v>
      </c>
      <c r="CN85" s="330">
        <f t="shared" si="8"/>
        <v>0</v>
      </c>
      <c r="CO85" s="330">
        <f t="shared" si="9"/>
        <v>0</v>
      </c>
      <c r="CP85" s="330">
        <f t="shared" si="10"/>
        <v>0</v>
      </c>
      <c r="CQ85" s="330">
        <f t="shared" si="94"/>
        <v>0</v>
      </c>
      <c r="CR85" s="330">
        <f t="shared" si="12"/>
        <v>0</v>
      </c>
      <c r="CS85" s="330">
        <f t="shared" si="13"/>
        <v>0</v>
      </c>
      <c r="CT85" s="330">
        <f t="shared" si="14"/>
        <v>0</v>
      </c>
      <c r="CU85" s="330">
        <f t="shared" si="100"/>
        <v>0</v>
      </c>
      <c r="CV85" s="330">
        <f t="shared" si="100"/>
        <v>0</v>
      </c>
      <c r="CW85" s="330">
        <f t="shared" si="100"/>
        <v>0</v>
      </c>
      <c r="CX85" s="330">
        <f t="shared" si="100"/>
        <v>0</v>
      </c>
      <c r="CY85" s="330">
        <f t="shared" si="100"/>
        <v>0</v>
      </c>
      <c r="CZ85" s="330">
        <f t="shared" si="100"/>
        <v>0</v>
      </c>
      <c r="DA85" s="330">
        <f t="shared" si="100"/>
        <v>0</v>
      </c>
      <c r="DB85" s="330">
        <f t="shared" si="100"/>
        <v>0</v>
      </c>
      <c r="DC85" s="330">
        <f t="shared" si="100"/>
        <v>0</v>
      </c>
      <c r="DD85" s="330">
        <f t="shared" si="100"/>
        <v>0</v>
      </c>
      <c r="DE85" s="330">
        <f t="shared" si="101"/>
        <v>0</v>
      </c>
      <c r="DF85" s="330">
        <f t="shared" si="101"/>
        <v>0</v>
      </c>
      <c r="DG85" s="330">
        <f t="shared" si="101"/>
        <v>0</v>
      </c>
      <c r="DH85" s="330">
        <f t="shared" si="101"/>
        <v>0</v>
      </c>
      <c r="DI85" s="330">
        <f t="shared" si="101"/>
        <v>0</v>
      </c>
      <c r="DJ85" s="330">
        <f t="shared" si="101"/>
        <v>0</v>
      </c>
      <c r="DK85" s="330">
        <f t="shared" si="101"/>
        <v>0</v>
      </c>
      <c r="DL85" s="330">
        <f t="shared" si="101"/>
        <v>0</v>
      </c>
      <c r="DM85" s="330">
        <f t="shared" si="101"/>
        <v>0</v>
      </c>
      <c r="DN85" s="330">
        <f t="shared" si="101"/>
        <v>0</v>
      </c>
      <c r="DO85" s="330">
        <f t="shared" si="101"/>
        <v>0</v>
      </c>
      <c r="DP85" s="330">
        <f t="shared" si="98"/>
        <v>0</v>
      </c>
      <c r="DQ85" s="217"/>
      <c r="DR85" s="217"/>
      <c r="DS85" s="217"/>
      <c r="DT85" s="217"/>
    </row>
    <row r="86" spans="1:124" x14ac:dyDescent="0.3">
      <c r="A86" s="324"/>
      <c r="B86" s="221" t="s">
        <v>305</v>
      </c>
      <c r="C86" s="221" t="str">
        <f>IF(Screening!C16=0,"",Screening!C16)</f>
        <v/>
      </c>
      <c r="D86" s="221" t="str">
        <f>IF(Screening!D16=0,"",Screening!D16)</f>
        <v/>
      </c>
      <c r="E86" s="221" t="str">
        <f>IF(Screening!E16=0,"",Screening!E16)</f>
        <v/>
      </c>
      <c r="F86" s="221" t="str">
        <f>IF(Screening!F16=0,"",Screening!F16)</f>
        <v/>
      </c>
      <c r="G86" s="272">
        <f>Screening!G16*Screening!O16*Conversions!$C$4</f>
        <v>0</v>
      </c>
      <c r="H86" s="272">
        <f>Screening!H16*Screening!P16*Screening!I16*Conversions!$C$4</f>
        <v>0</v>
      </c>
      <c r="I86" s="272">
        <f>Screening!J16*Screening!Q16*(1-Screening!R16)*Conversions!$C$4</f>
        <v>0</v>
      </c>
      <c r="J86" s="325">
        <f>IF(Screening!S16=0,0,Screening!S16)</f>
        <v>0</v>
      </c>
      <c r="K86" s="465"/>
      <c r="L86" s="333">
        <f>IF($F86="",0,IF($F86="Weighted Average",$G86*VLOOKUP($D86&amp;" (Install)",Lists!$C$72:$R$232,COLUMNS(Lists!$C$69:E$69),0)*VLOOKUP(BE$3,Conversions!$B$12:$E$34,4,0),$G86*VLOOKUP($F86,Lists!$C$72:$R$232,COLUMNS(Lists!$C$69:E$69),0)*VLOOKUP(BE$3,Conversions!$B$12:$E$34,4,0)))</f>
        <v>0</v>
      </c>
      <c r="M86" s="333">
        <f>IF($F86="",0,IF($F86="Weighted Average",$G86*VLOOKUP($D86&amp;" (Install)",Lists!$C$72:$R$232,COLUMNS(Lists!$C$69:F$69),0)*VLOOKUP(BF$3,Conversions!$B$12:$E$34,4,0),$G86*VLOOKUP($F86,Lists!$C$72:$R$232,COLUMNS(Lists!$C$69:F$69),0)*VLOOKUP(BF$3,Conversions!$B$12:$E$34,4,0)))</f>
        <v>0</v>
      </c>
      <c r="N86" s="333">
        <f>IF($F86="",0,IF($F86="Weighted Average",$G86*VLOOKUP($D86&amp;" (Install)",Lists!$C$72:$R$232,COLUMNS(Lists!$C$69:G$69),0)*VLOOKUP(BG$3,Conversions!$B$12:$E$34,4,0),$G86*VLOOKUP($F86,Lists!$C$72:$R$232,COLUMNS(Lists!$C$69:G$69),0)*VLOOKUP(BG$3,Conversions!$B$12:$E$34,4,0)))</f>
        <v>0</v>
      </c>
      <c r="O86" s="333">
        <f>IF($F86="",0,IF($F86="Weighted Average",$G86*VLOOKUP($D86&amp;" (Install)",Lists!$C$72:$R$232,COLUMNS(Lists!$C$69:H$69),0)*VLOOKUP(BH$3,Conversions!$B$12:$E$34,4,0),$G86*VLOOKUP($F86,Lists!$C$72:$R$232,COLUMNS(Lists!$C$69:H$69),0)*VLOOKUP(BH$3,Conversions!$B$12:$E$34,4,0)))</f>
        <v>0</v>
      </c>
      <c r="P86" s="333">
        <f>IF($F86="",0,IF($F86="Weighted Average",$G86*VLOOKUP($D86&amp;" (Install)",Lists!$C$72:$R$232,COLUMNS(Lists!$C$69:I$69),0)*VLOOKUP(BI$3,Conversions!$B$12:$E$34,4,0),$G86*VLOOKUP($F86,Lists!$C$72:$R$232,COLUMNS(Lists!$C$69:I$69),0)*VLOOKUP(BI$3,Conversions!$B$12:$E$34,4,0)))</f>
        <v>0</v>
      </c>
      <c r="Q86" s="333">
        <f>IF($F86="",0,IF($F86="Weighted Average",$G86*VLOOKUP($D86&amp;" (Install)",Lists!$C$72:$R$232,COLUMNS(Lists!$C$69:J$69),0)*VLOOKUP(BJ$3,Conversions!$B$12:$E$34,4,0),$G86*VLOOKUP($F86,Lists!$C$72:$R$232,COLUMNS(Lists!$C$69:J$69),0)*VLOOKUP(BJ$3,Conversions!$B$12:$E$34,4,0)))</f>
        <v>0</v>
      </c>
      <c r="R86" s="333">
        <f>IF($F86="",0,IF($F86="Weighted Average",$G86*VLOOKUP($D86&amp;" (Install)",Lists!$C$72:$R$232,COLUMNS(Lists!$C$69:K$69),0)*VLOOKUP(BK$3,Conversions!$B$12:$E$34,4,0),$G86*VLOOKUP($F86,Lists!$C$72:$R$232,COLUMNS(Lists!$C$69:K$69),0)*VLOOKUP(BK$3,Conversions!$B$12:$E$34,4,0)))</f>
        <v>0</v>
      </c>
      <c r="S86" s="333">
        <f>IF($F86="",0,IF($F86="Weighted Average",$G86*VLOOKUP($D86&amp;" (Install)",Lists!$C$72:$R$232,COLUMNS(Lists!$C$69:L$69),0)*VLOOKUP(BL$3,Conversions!$B$12:$E$34,4,0),$G86*VLOOKUP($F86,Lists!$C$72:$R$232,COLUMNS(Lists!$C$69:L$69),0)*VLOOKUP(BL$3,Conversions!$B$12:$E$34,4,0)))</f>
        <v>0</v>
      </c>
      <c r="T86" s="333">
        <f>IF($F86="",0,IF($F86="Weighted Average",$G86*VLOOKUP($D86&amp;" (Install)",Lists!$C$72:$R$232,COLUMNS(Lists!$C$69:M$69),0)*VLOOKUP(BM$3,Conversions!$B$12:$E$34,4,0),$G86*VLOOKUP($F86,Lists!$C$72:$R$232,COLUMNS(Lists!$C$69:M$69),0)*VLOOKUP(BM$3,Conversions!$B$12:$E$34,4,0)))</f>
        <v>0</v>
      </c>
      <c r="U86" s="333">
        <f>IF($F86="",0,IF($F86="Weighted Average",$G86*VLOOKUP($D86&amp;" (Install)",Lists!$C$72:$R$232,COLUMNS(Lists!$C$69:N$69),0)*VLOOKUP(BN$3,Conversions!$B$12:$E$34,4,0),$G86*VLOOKUP($F86,Lists!$C$72:$R$232,COLUMNS(Lists!$C$69:N$69),0)*VLOOKUP(BN$3,Conversions!$B$12:$E$34,4,0)))</f>
        <v>0</v>
      </c>
      <c r="V86" s="333">
        <f>IF($F86="",0,IF($F86="Weighted Average",$G86*VLOOKUP($D86&amp;" (Install)",Lists!$C$72:$R$232,COLUMNS(Lists!$C$69:O$69),0)*VLOOKUP(BO$3,Conversions!$B$12:$E$34,4,0),$G86*VLOOKUP($F86,Lists!$C$72:$R$232,COLUMNS(Lists!$C$69:O$69),0)*VLOOKUP(BO$3,Conversions!$B$12:$E$34,4,0)))</f>
        <v>0</v>
      </c>
      <c r="W86" s="333">
        <f>IF($F86="",0,IF($F86="Weighted Average",$G86*VLOOKUP($D86&amp;" (Install)",Lists!$C$72:$R$232,COLUMNS(Lists!$C$69:P$69),0)*VLOOKUP(BP$3,Conversions!$B$12:$E$34,4,0),$G86*VLOOKUP($F86,Lists!$C$72:$R$232,COLUMNS(Lists!$C$69:P$69),0)*VLOOKUP(BP$3,Conversions!$B$12:$E$34,4,0)))</f>
        <v>0</v>
      </c>
      <c r="X86" s="333">
        <f>IF($F86="",0,IF($F86="Weighted Average",$G86*VLOOKUP($D86&amp;" (Install)",Lists!$C$72:$R$232,COLUMNS(Lists!$C$69:Q$69),0)*VLOOKUP(BQ$3,Conversions!$B$12:$E$34,4,0),$G86*VLOOKUP($F86,Lists!$C$72:$R$232,COLUMNS(Lists!$C$69:Q$69),0)*VLOOKUP(BQ$3,Conversions!$B$12:$E$34,4,0)))</f>
        <v>0</v>
      </c>
      <c r="Y86" s="333">
        <f>IF($F86="",0,IF($F86="Weighted Average",$G86*VLOOKUP($D86&amp;" (Install)",Lists!$C$72:$R$232,COLUMNS(Lists!$C$69:R$69),0)*VLOOKUP(BR$3,Conversions!$B$12:$E$34,4,0),$G86*VLOOKUP($F86,Lists!$C$72:$R$232,COLUMNS(Lists!$C$69:R$69),0)*VLOOKUP(BR$3,Conversions!$B$12:$E$34,4,0)))</f>
        <v>0</v>
      </c>
      <c r="Z86" s="325">
        <f t="shared" si="38"/>
        <v>0</v>
      </c>
      <c r="AA86" s="334">
        <f>IF($F86="",0,IF($F86="Weighted Average",$H86*VLOOKUP($D86&amp;" (Operation)",Lists!$C$72:$R$232,COLUMNS(Lists!$C$69:E$69),0)*VLOOKUP(BE$3,Conversions!$B$12:$E$34,4,0),$H86*VLOOKUP($F86,Lists!$C$72:$R$232,COLUMNS(Lists!$C$69:E$69),0)*VLOOKUP(BE$3,Conversions!$B$12:$E$34,4,0)))</f>
        <v>0</v>
      </c>
      <c r="AB86" s="334">
        <f>IF($F86="",0,IF($F86="Weighted Average",$H86*VLOOKUP($D86&amp;" (Operation)",Lists!$C$72:$R$232,COLUMNS(Lists!$C$69:F$69),0)*VLOOKUP(BF$3,Conversions!$B$12:$E$34,4,0),$H86*VLOOKUP($F86,Lists!$C$72:$R$232,COLUMNS(Lists!$C$69:F$69),0)*VLOOKUP(BF$3,Conversions!$B$12:$E$34,4,0)))</f>
        <v>0</v>
      </c>
      <c r="AC86" s="334">
        <f>IF($F86="",0,IF($F86="Weighted Average",$H86*VLOOKUP($D86&amp;" (Operation)",Lists!$C$72:$R$232,COLUMNS(Lists!$C$69:G$69),0)*VLOOKUP(BG$3,Conversions!$B$12:$E$34,4,0),$H86*VLOOKUP($F86,Lists!$C$72:$R$232,COLUMNS(Lists!$C$69:G$69),0)*VLOOKUP(BG$3,Conversions!$B$12:$E$34,4,0)))</f>
        <v>0</v>
      </c>
      <c r="AD86" s="334">
        <f>IF($F86="",0,IF($F86="Weighted Average",$H86*VLOOKUP($D86&amp;" (Operation)",Lists!$C$72:$R$232,COLUMNS(Lists!$C$69:H$69),0)*VLOOKUP(BH$3,Conversions!$B$12:$E$34,4,0),$H86*VLOOKUP($F86,Lists!$C$72:$R$232,COLUMNS(Lists!$C$69:H$69),0)*VLOOKUP(BH$3,Conversions!$B$12:$E$34,4,0)))</f>
        <v>0</v>
      </c>
      <c r="AE86" s="334">
        <f>IF($F86="",0,IF($F86="Weighted Average",$H86*VLOOKUP($D86&amp;" (Operation)",Lists!$C$72:$R$232,COLUMNS(Lists!$C$69:I$69),0)*VLOOKUP(BI$3,Conversions!$B$12:$E$34,4,0),$H86*VLOOKUP($F86,Lists!$C$72:$R$232,COLUMNS(Lists!$C$69:I$69),0)*VLOOKUP(BI$3,Conversions!$B$12:$E$34,4,0)))</f>
        <v>0</v>
      </c>
      <c r="AF86" s="334">
        <f>IF($F86="",0,IF($F86="Weighted Average",$H86*VLOOKUP($D86&amp;" (Operation)",Lists!$C$72:$R$232,COLUMNS(Lists!$C$69:J$69),0)*VLOOKUP(BJ$3,Conversions!$B$12:$E$34,4,0),$H86*VLOOKUP($F86,Lists!$C$72:$R$232,COLUMNS(Lists!$C$69:J$69),0)*VLOOKUP(BJ$3,Conversions!$B$12:$E$34,4,0)))</f>
        <v>0</v>
      </c>
      <c r="AG86" s="334">
        <f>IF($F86="",0,IF($F86="Weighted Average",$H86*VLOOKUP($D86&amp;" (Operation)",Lists!$C$72:$R$232,COLUMNS(Lists!$C$69:K$69),0)*VLOOKUP(BK$3,Conversions!$B$12:$E$34,4,0),$H86*VLOOKUP($F86,Lists!$C$72:$R$232,COLUMNS(Lists!$C$69:K$69),0)*VLOOKUP(BK$3,Conversions!$B$12:$E$34,4,0)))</f>
        <v>0</v>
      </c>
      <c r="AH86" s="334">
        <f>IF($F86="",0,IF($F86="Weighted Average",$H86*VLOOKUP($D86&amp;" (Operation)",Lists!$C$72:$R$232,COLUMNS(Lists!$C$69:L$69),0)*VLOOKUP(BL$3,Conversions!$B$12:$E$34,4,0),$H86*VLOOKUP($F86,Lists!$C$72:$R$232,COLUMNS(Lists!$C$69:L$69),0)*VLOOKUP(BL$3,Conversions!$B$12:$E$34,4,0)))</f>
        <v>0</v>
      </c>
      <c r="AI86" s="334">
        <f>IF($F86="",0,IF($F86="Weighted Average",$H86*VLOOKUP($D86&amp;" (Operation)",Lists!$C$72:$R$232,COLUMNS(Lists!$C$69:M$69),0)*VLOOKUP(BM$3,Conversions!$B$12:$E$34,4,0),$H86*VLOOKUP($F86,Lists!$C$72:$R$232,COLUMNS(Lists!$C$69:M$69),0)*VLOOKUP(BM$3,Conversions!$B$12:$E$34,4,0)))</f>
        <v>0</v>
      </c>
      <c r="AJ86" s="334">
        <f>IF($F86="",0,IF($F86="Weighted Average",$H86*VLOOKUP($D86&amp;" (Operation)",Lists!$C$72:$R$232,COLUMNS(Lists!$C$69:N$69),0)*VLOOKUP(BN$3,Conversions!$B$12:$E$34,4,0),$H86*VLOOKUP($F86,Lists!$C$72:$R$232,COLUMNS(Lists!$C$69:N$69),0)*VLOOKUP(BN$3,Conversions!$B$12:$E$34,4,0)))</f>
        <v>0</v>
      </c>
      <c r="AK86" s="334">
        <f>IF($F86="",0,IF($F86="Weighted Average",$H86*VLOOKUP($D86&amp;" (Operation)",Lists!$C$72:$R$232,COLUMNS(Lists!$C$69:O$69),0)*VLOOKUP(BO$3,Conversions!$B$12:$E$34,4,0),$H86*VLOOKUP($F86,Lists!$C$72:$R$232,COLUMNS(Lists!$C$69:O$69),0)*VLOOKUP(BO$3,Conversions!$B$12:$E$34,4,0)))</f>
        <v>0</v>
      </c>
      <c r="AL86" s="334">
        <f>IF($F86="",0,IF($F86="Weighted Average",$H86*VLOOKUP($D86&amp;" (Operation)",Lists!$C$72:$R$232,COLUMNS(Lists!$C$69:P$69),0)*VLOOKUP(BP$3,Conversions!$B$12:$E$34,4,0),$H86*VLOOKUP($F86,Lists!$C$72:$R$232,COLUMNS(Lists!$C$69:P$69),0)*VLOOKUP(BP$3,Conversions!$B$12:$E$34,4,0)))</f>
        <v>0</v>
      </c>
      <c r="AM86" s="334">
        <f>IF($F86="",0,IF($F86="Weighted Average",$H86*VLOOKUP($D86&amp;" (Operation)",Lists!$C$72:$R$232,COLUMNS(Lists!$C$69:Q$69),0)*VLOOKUP(BQ$3,Conversions!$B$12:$E$34,4,0),$H86*VLOOKUP($F86,Lists!$C$72:$R$232,COLUMNS(Lists!$C$69:Q$69),0)*VLOOKUP(BQ$3,Conversions!$B$12:$E$34,4,0)))</f>
        <v>0</v>
      </c>
      <c r="AN86" s="334">
        <f>IF($F86="",0,IF($F86="Weighted Average",$H86*VLOOKUP($D86&amp;" (Operation)",Lists!$C$72:$R$232,COLUMNS(Lists!$C$69:R$69),0)*VLOOKUP(BR$3,Conversions!$B$12:$E$34,4,0),$H86*VLOOKUP($F86,Lists!$C$72:$R$232,COLUMNS(Lists!$C$69:R$69),0)*VLOOKUP(BR$3,Conversions!$B$12:$E$34,4,0)))</f>
        <v>0</v>
      </c>
      <c r="AO86" s="330">
        <f t="shared" si="39"/>
        <v>0</v>
      </c>
      <c r="AP86" s="333">
        <f>IF($F86="",0,IF($F86="Weighted Average",$I86*VLOOKUP($D86&amp;" (Disposal)",Lists!$C$72:$R$232,COLUMNS(Lists!$C$69:E$69),0)*VLOOKUP(BE$3,Conversions!$B$12:$E$34,4,0),$I86*VLOOKUP($F86,Lists!$C$72:$R$232,COLUMNS(Lists!$C$69:E$69),0)*VLOOKUP(BE$3,Conversions!$B$12:$E$34,4,0)))</f>
        <v>0</v>
      </c>
      <c r="AQ86" s="333">
        <f>IF($F86="",0,IF($F86="Weighted Average",$I86*VLOOKUP($D86&amp;" (Disposal)",Lists!$C$72:$R$232,COLUMNS(Lists!$C$69:F$69),0)*VLOOKUP(BF$3,Conversions!$B$12:$E$34,4,0),$I86*VLOOKUP($F86,Lists!$C$72:$R$232,COLUMNS(Lists!$C$69:F$69),0)*VLOOKUP(BF$3,Conversions!$B$12:$E$34,4,0)))</f>
        <v>0</v>
      </c>
      <c r="AR86" s="333">
        <f>IF($F86="",0,IF($F86="Weighted Average",$I86*VLOOKUP($D86&amp;" (Disposal)",Lists!$C$72:$R$232,COLUMNS(Lists!$C$69:G$69),0)*VLOOKUP(BG$3,Conversions!$B$12:$E$34,4,0),$I86*VLOOKUP($F86,Lists!$C$72:$R$232,COLUMNS(Lists!$C$69:G$69),0)*VLOOKUP(BG$3,Conversions!$B$12:$E$34,4,0)))</f>
        <v>0</v>
      </c>
      <c r="AS86" s="333">
        <f>IF($F86="",0,IF($F86="Weighted Average",$I86*VLOOKUP($D86&amp;" (Disposal)",Lists!$C$72:$R$232,COLUMNS(Lists!$C$69:H$69),0)*VLOOKUP(BH$3,Conversions!$B$12:$E$34,4,0),$I86*VLOOKUP($F86,Lists!$C$72:$R$232,COLUMNS(Lists!$C$69:H$69),0)*VLOOKUP(BH$3,Conversions!$B$12:$E$34,4,0)))</f>
        <v>0</v>
      </c>
      <c r="AT86" s="333">
        <f>IF($F86="",0,IF($F86="Weighted Average",$I86*VLOOKUP($D86&amp;" (Disposal)",Lists!$C$72:$R$232,COLUMNS(Lists!$C$69:I$69),0)*VLOOKUP(BI$3,Conversions!$B$12:$E$34,4,0),$I86*VLOOKUP($F86,Lists!$C$72:$R$232,COLUMNS(Lists!$C$69:I$69),0)*VLOOKUP(BI$3,Conversions!$B$12:$E$34,4,0)))</f>
        <v>0</v>
      </c>
      <c r="AU86" s="333">
        <f>IF($F86="",0,IF($F86="Weighted Average",$I86*VLOOKUP($D86&amp;" (Disposal)",Lists!$C$72:$R$232,COLUMNS(Lists!$C$69:J$69),0)*VLOOKUP(BJ$3,Conversions!$B$12:$E$34,4,0),$I86*VLOOKUP($F86,Lists!$C$72:$R$232,COLUMNS(Lists!$C$69:J$69),0)*VLOOKUP(BJ$3,Conversions!$B$12:$E$34,4,0)))</f>
        <v>0</v>
      </c>
      <c r="AV86" s="333">
        <f>IF($F86="",0,IF($F86="Weighted Average",$I86*VLOOKUP($D86&amp;" (Disposal)",Lists!$C$72:$R$232,COLUMNS(Lists!$C$69:K$69),0)*VLOOKUP(BK$3,Conversions!$B$12:$E$34,4,0),$I86*VLOOKUP($F86,Lists!$C$72:$R$232,COLUMNS(Lists!$C$69:K$69),0)*VLOOKUP(BK$3,Conversions!$B$12:$E$34,4,0)))</f>
        <v>0</v>
      </c>
      <c r="AW86" s="333">
        <f>IF($F86="",0,IF($F86="Weighted Average",$I86*VLOOKUP($D86&amp;" (Disposal)",Lists!$C$72:$R$232,COLUMNS(Lists!$C$69:L$69),0)*VLOOKUP(BL$3,Conversions!$B$12:$E$34,4,0),$I86*VLOOKUP($F86,Lists!$C$72:$R$232,COLUMNS(Lists!$C$69:L$69),0)*VLOOKUP(BL$3,Conversions!$B$12:$E$34,4,0)))</f>
        <v>0</v>
      </c>
      <c r="AX86" s="333">
        <f>IF($F86="",0,IF($F86="Weighted Average",$I86*VLOOKUP($D86&amp;" (Disposal)",Lists!$C$72:$R$232,COLUMNS(Lists!$C$69:M$69),0)*VLOOKUP(BM$3,Conversions!$B$12:$E$34,4,0),$I86*VLOOKUP($F86,Lists!$C$72:$R$232,COLUMNS(Lists!$C$69:M$69),0)*VLOOKUP(BM$3,Conversions!$B$12:$E$34,4,0)))</f>
        <v>0</v>
      </c>
      <c r="AY86" s="333">
        <f>IF($F86="",0,IF($F86="Weighted Average",$I86*VLOOKUP($D86&amp;" (Disposal)",Lists!$C$72:$R$232,COLUMNS(Lists!$C$69:N$69),0)*VLOOKUP(BN$3,Conversions!$B$12:$E$34,4,0),$I86*VLOOKUP($F86,Lists!$C$72:$R$232,COLUMNS(Lists!$C$69:N$69),0)*VLOOKUP(BN$3,Conversions!$B$12:$E$34,4,0)))</f>
        <v>0</v>
      </c>
      <c r="AZ86" s="333">
        <f>IF($F86="",0,IF($F86="Weighted Average",$I86*VLOOKUP($D86&amp;" (Disposal)",Lists!$C$72:$R$232,COLUMNS(Lists!$C$69:O$69),0)*VLOOKUP(BO$3,Conversions!$B$12:$E$34,4,0),$I86*VLOOKUP($F86,Lists!$C$72:$R$232,COLUMNS(Lists!$C$69:O$69),0)*VLOOKUP(BO$3,Conversions!$B$12:$E$34,4,0)))</f>
        <v>0</v>
      </c>
      <c r="BA86" s="333">
        <f>IF($F86="",0,IF($F86="Weighted Average",$I86*VLOOKUP($D86&amp;" (Disposal)",Lists!$C$72:$R$232,COLUMNS(Lists!$C$69:P$69),0)*VLOOKUP(BP$3,Conversions!$B$12:$E$34,4,0),$I86*VLOOKUP($F86,Lists!$C$72:$R$232,COLUMNS(Lists!$C$69:P$69),0)*VLOOKUP(BP$3,Conversions!$B$12:$E$34,4,0)))</f>
        <v>0</v>
      </c>
      <c r="BB86" s="333">
        <f>IF($F86="",0,IF($F86="Weighted Average",$I86*VLOOKUP($D86&amp;" (Disposal)",Lists!$C$72:$R$232,COLUMNS(Lists!$C$69:Q$69),0)*VLOOKUP(BQ$3,Conversions!$B$12:$E$34,4,0),$I86*VLOOKUP($F86,Lists!$C$72:$R$232,COLUMNS(Lists!$C$69:Q$69),0)*VLOOKUP(BQ$3,Conversions!$B$12:$E$34,4,0)))</f>
        <v>0</v>
      </c>
      <c r="BC86" s="333">
        <f>IF($F86="",0,IF($F86="Weighted Average",$I86*VLOOKUP($D86&amp;" (Disposal)",Lists!$C$72:$R$232,COLUMNS(Lists!$C$69:R$69),0)*VLOOKUP(BR$3,Conversions!$B$12:$E$34,4,0),$I86*VLOOKUP($F86,Lists!$C$72:$R$232,COLUMNS(Lists!$C$69:R$69),0)*VLOOKUP(BR$3,Conversions!$B$12:$E$34,4,0)))</f>
        <v>0</v>
      </c>
      <c r="BD86" s="333">
        <f t="shared" si="40"/>
        <v>0</v>
      </c>
      <c r="BE86" s="330">
        <f t="shared" si="41"/>
        <v>0</v>
      </c>
      <c r="BF86" s="330">
        <f t="shared" si="42"/>
        <v>0</v>
      </c>
      <c r="BG86" s="330">
        <f t="shared" si="43"/>
        <v>0</v>
      </c>
      <c r="BH86" s="330">
        <f t="shared" si="44"/>
        <v>0</v>
      </c>
      <c r="BI86" s="330">
        <f t="shared" si="45"/>
        <v>0</v>
      </c>
      <c r="BJ86" s="330">
        <f t="shared" si="46"/>
        <v>0</v>
      </c>
      <c r="BK86" s="330">
        <f t="shared" si="47"/>
        <v>0</v>
      </c>
      <c r="BL86" s="330">
        <f t="shared" si="48"/>
        <v>0</v>
      </c>
      <c r="BM86" s="330">
        <f t="shared" si="49"/>
        <v>0</v>
      </c>
      <c r="BN86" s="330">
        <f t="shared" si="50"/>
        <v>0</v>
      </c>
      <c r="BO86" s="330">
        <f t="shared" si="51"/>
        <v>0</v>
      </c>
      <c r="BP86" s="330">
        <f t="shared" si="52"/>
        <v>0</v>
      </c>
      <c r="BQ86" s="330">
        <f t="shared" si="53"/>
        <v>0</v>
      </c>
      <c r="BR86" s="330">
        <f t="shared" si="54"/>
        <v>0</v>
      </c>
      <c r="BS86" s="330">
        <f t="shared" si="55"/>
        <v>0</v>
      </c>
      <c r="BT86" s="329">
        <f t="shared" si="99"/>
        <v>0</v>
      </c>
      <c r="BU86" s="329">
        <f t="shared" si="99"/>
        <v>0</v>
      </c>
      <c r="BV86" s="329">
        <f t="shared" si="99"/>
        <v>0</v>
      </c>
      <c r="BW86" s="329">
        <f t="shared" si="99"/>
        <v>0</v>
      </c>
      <c r="BX86" s="329">
        <f t="shared" si="99"/>
        <v>0</v>
      </c>
      <c r="BY86" s="329">
        <f t="shared" si="99"/>
        <v>0</v>
      </c>
      <c r="BZ86" s="329">
        <f t="shared" si="99"/>
        <v>0</v>
      </c>
      <c r="CA86" s="329">
        <f t="shared" si="99"/>
        <v>0</v>
      </c>
      <c r="CB86" s="329">
        <f t="shared" si="99"/>
        <v>0</v>
      </c>
      <c r="CC86" s="329">
        <f t="shared" si="99"/>
        <v>0</v>
      </c>
      <c r="CD86" s="329">
        <f t="shared" si="99"/>
        <v>0</v>
      </c>
      <c r="CE86" s="329">
        <f t="shared" si="99"/>
        <v>0</v>
      </c>
      <c r="CF86" s="329">
        <f t="shared" si="99"/>
        <v>0</v>
      </c>
      <c r="CG86" s="329">
        <f t="shared" si="99"/>
        <v>0</v>
      </c>
      <c r="CH86" s="329">
        <f t="shared" si="99"/>
        <v>0</v>
      </c>
      <c r="CI86" s="329">
        <f t="shared" si="99"/>
        <v>0</v>
      </c>
      <c r="CJ86" s="331">
        <f t="shared" si="1"/>
        <v>0</v>
      </c>
      <c r="CK86" s="330">
        <f t="shared" si="5"/>
        <v>0</v>
      </c>
      <c r="CL86" s="330">
        <f t="shared" si="6"/>
        <v>0</v>
      </c>
      <c r="CM86" s="330">
        <f t="shared" si="7"/>
        <v>0</v>
      </c>
      <c r="CN86" s="330">
        <f t="shared" si="8"/>
        <v>0</v>
      </c>
      <c r="CO86" s="330">
        <f t="shared" si="9"/>
        <v>0</v>
      </c>
      <c r="CP86" s="330">
        <f t="shared" si="10"/>
        <v>0</v>
      </c>
      <c r="CQ86" s="330">
        <f t="shared" si="94"/>
        <v>0</v>
      </c>
      <c r="CR86" s="330">
        <f t="shared" si="12"/>
        <v>0</v>
      </c>
      <c r="CS86" s="330">
        <f t="shared" si="13"/>
        <v>0</v>
      </c>
      <c r="CT86" s="330">
        <f t="shared" si="14"/>
        <v>0</v>
      </c>
      <c r="CU86" s="330">
        <f t="shared" si="100"/>
        <v>0</v>
      </c>
      <c r="CV86" s="330">
        <f t="shared" si="100"/>
        <v>0</v>
      </c>
      <c r="CW86" s="330">
        <f t="shared" si="100"/>
        <v>0</v>
      </c>
      <c r="CX86" s="330">
        <f t="shared" si="100"/>
        <v>0</v>
      </c>
      <c r="CY86" s="330">
        <f t="shared" si="100"/>
        <v>0</v>
      </c>
      <c r="CZ86" s="330">
        <f t="shared" si="100"/>
        <v>0</v>
      </c>
      <c r="DA86" s="330">
        <f t="shared" si="100"/>
        <v>0</v>
      </c>
      <c r="DB86" s="330">
        <f t="shared" si="100"/>
        <v>0</v>
      </c>
      <c r="DC86" s="330">
        <f t="shared" si="100"/>
        <v>0</v>
      </c>
      <c r="DD86" s="330">
        <f t="shared" si="100"/>
        <v>0</v>
      </c>
      <c r="DE86" s="330">
        <f t="shared" si="101"/>
        <v>0</v>
      </c>
      <c r="DF86" s="330">
        <f t="shared" si="101"/>
        <v>0</v>
      </c>
      <c r="DG86" s="330">
        <f t="shared" si="101"/>
        <v>0</v>
      </c>
      <c r="DH86" s="330">
        <f t="shared" si="101"/>
        <v>0</v>
      </c>
      <c r="DI86" s="330">
        <f t="shared" si="101"/>
        <v>0</v>
      </c>
      <c r="DJ86" s="330">
        <f t="shared" si="101"/>
        <v>0</v>
      </c>
      <c r="DK86" s="330">
        <f t="shared" si="101"/>
        <v>0</v>
      </c>
      <c r="DL86" s="330">
        <f t="shared" si="101"/>
        <v>0</v>
      </c>
      <c r="DM86" s="330">
        <f t="shared" si="101"/>
        <v>0</v>
      </c>
      <c r="DN86" s="330">
        <f t="shared" si="101"/>
        <v>0</v>
      </c>
      <c r="DO86" s="330">
        <f t="shared" si="101"/>
        <v>0</v>
      </c>
      <c r="DP86" s="330">
        <f t="shared" si="98"/>
        <v>0</v>
      </c>
      <c r="DQ86" s="217"/>
      <c r="DR86" s="217"/>
      <c r="DS86" s="217"/>
      <c r="DT86" s="217"/>
    </row>
    <row r="87" spans="1:124" x14ac:dyDescent="0.3">
      <c r="A87" s="324"/>
      <c r="B87" s="221" t="s">
        <v>305</v>
      </c>
      <c r="C87" s="221" t="str">
        <f>IF(Screening!C17=0,"",Screening!C17)</f>
        <v/>
      </c>
      <c r="D87" s="221" t="str">
        <f>IF(Screening!D17=0,"",Screening!D17)</f>
        <v/>
      </c>
      <c r="E87" s="221" t="str">
        <f>IF(Screening!E17=0,"",Screening!E17)</f>
        <v/>
      </c>
      <c r="F87" s="221" t="str">
        <f>IF(Screening!F17=0,"",Screening!F17)</f>
        <v/>
      </c>
      <c r="G87" s="272">
        <f>Screening!G17*Screening!O17*Conversions!$C$4</f>
        <v>0</v>
      </c>
      <c r="H87" s="272">
        <f>Screening!H17*Screening!P17*Screening!I17*Conversions!$C$4</f>
        <v>0</v>
      </c>
      <c r="I87" s="272">
        <f>Screening!J17*Screening!Q17*(1-Screening!R17)*Conversions!$C$4</f>
        <v>0</v>
      </c>
      <c r="J87" s="325">
        <f>IF(Screening!S17=0,0,Screening!S17)</f>
        <v>0</v>
      </c>
      <c r="K87" s="465"/>
      <c r="L87" s="333">
        <f>IF($F87="",0,IF($F87="Weighted Average",$G87*VLOOKUP($D87&amp;" (Install)",Lists!$C$72:$R$232,COLUMNS(Lists!$C$69:E$69),0)*VLOOKUP(BE$3,Conversions!$B$12:$E$34,4,0),$G87*VLOOKUP($F87,Lists!$C$72:$R$232,COLUMNS(Lists!$C$69:E$69),0)*VLOOKUP(BE$3,Conversions!$B$12:$E$34,4,0)))</f>
        <v>0</v>
      </c>
      <c r="M87" s="333">
        <f>IF($F87="",0,IF($F87="Weighted Average",$G87*VLOOKUP($D87&amp;" (Install)",Lists!$C$72:$R$232,COLUMNS(Lists!$C$69:F$69),0)*VLOOKUP(BF$3,Conversions!$B$12:$E$34,4,0),$G87*VLOOKUP($F87,Lists!$C$72:$R$232,COLUMNS(Lists!$C$69:F$69),0)*VLOOKUP(BF$3,Conversions!$B$12:$E$34,4,0)))</f>
        <v>0</v>
      </c>
      <c r="N87" s="333">
        <f>IF($F87="",0,IF($F87="Weighted Average",$G87*VLOOKUP($D87&amp;" (Install)",Lists!$C$72:$R$232,COLUMNS(Lists!$C$69:G$69),0)*VLOOKUP(BG$3,Conversions!$B$12:$E$34,4,0),$G87*VLOOKUP($F87,Lists!$C$72:$R$232,COLUMNS(Lists!$C$69:G$69),0)*VLOOKUP(BG$3,Conversions!$B$12:$E$34,4,0)))</f>
        <v>0</v>
      </c>
      <c r="O87" s="333">
        <f>IF($F87="",0,IF($F87="Weighted Average",$G87*VLOOKUP($D87&amp;" (Install)",Lists!$C$72:$R$232,COLUMNS(Lists!$C$69:H$69),0)*VLOOKUP(BH$3,Conversions!$B$12:$E$34,4,0),$G87*VLOOKUP($F87,Lists!$C$72:$R$232,COLUMNS(Lists!$C$69:H$69),0)*VLOOKUP(BH$3,Conversions!$B$12:$E$34,4,0)))</f>
        <v>0</v>
      </c>
      <c r="P87" s="333">
        <f>IF($F87="",0,IF($F87="Weighted Average",$G87*VLOOKUP($D87&amp;" (Install)",Lists!$C$72:$R$232,COLUMNS(Lists!$C$69:I$69),0)*VLOOKUP(BI$3,Conversions!$B$12:$E$34,4,0),$G87*VLOOKUP($F87,Lists!$C$72:$R$232,COLUMNS(Lists!$C$69:I$69),0)*VLOOKUP(BI$3,Conversions!$B$12:$E$34,4,0)))</f>
        <v>0</v>
      </c>
      <c r="Q87" s="333">
        <f>IF($F87="",0,IF($F87="Weighted Average",$G87*VLOOKUP($D87&amp;" (Install)",Lists!$C$72:$R$232,COLUMNS(Lists!$C$69:J$69),0)*VLOOKUP(BJ$3,Conversions!$B$12:$E$34,4,0),$G87*VLOOKUP($F87,Lists!$C$72:$R$232,COLUMNS(Lists!$C$69:J$69),0)*VLOOKUP(BJ$3,Conversions!$B$12:$E$34,4,0)))</f>
        <v>0</v>
      </c>
      <c r="R87" s="333">
        <f>IF($F87="",0,IF($F87="Weighted Average",$G87*VLOOKUP($D87&amp;" (Install)",Lists!$C$72:$R$232,COLUMNS(Lists!$C$69:K$69),0)*VLOOKUP(BK$3,Conversions!$B$12:$E$34,4,0),$G87*VLOOKUP($F87,Lists!$C$72:$R$232,COLUMNS(Lists!$C$69:K$69),0)*VLOOKUP(BK$3,Conversions!$B$12:$E$34,4,0)))</f>
        <v>0</v>
      </c>
      <c r="S87" s="333">
        <f>IF($F87="",0,IF($F87="Weighted Average",$G87*VLOOKUP($D87&amp;" (Install)",Lists!$C$72:$R$232,COLUMNS(Lists!$C$69:L$69),0)*VLOOKUP(BL$3,Conversions!$B$12:$E$34,4,0),$G87*VLOOKUP($F87,Lists!$C$72:$R$232,COLUMNS(Lists!$C$69:L$69),0)*VLOOKUP(BL$3,Conversions!$B$12:$E$34,4,0)))</f>
        <v>0</v>
      </c>
      <c r="T87" s="333">
        <f>IF($F87="",0,IF($F87="Weighted Average",$G87*VLOOKUP($D87&amp;" (Install)",Lists!$C$72:$R$232,COLUMNS(Lists!$C$69:M$69),0)*VLOOKUP(BM$3,Conversions!$B$12:$E$34,4,0),$G87*VLOOKUP($F87,Lists!$C$72:$R$232,COLUMNS(Lists!$C$69:M$69),0)*VLOOKUP(BM$3,Conversions!$B$12:$E$34,4,0)))</f>
        <v>0</v>
      </c>
      <c r="U87" s="333">
        <f>IF($F87="",0,IF($F87="Weighted Average",$G87*VLOOKUP($D87&amp;" (Install)",Lists!$C$72:$R$232,COLUMNS(Lists!$C$69:N$69),0)*VLOOKUP(BN$3,Conversions!$B$12:$E$34,4,0),$G87*VLOOKUP($F87,Lists!$C$72:$R$232,COLUMNS(Lists!$C$69:N$69),0)*VLOOKUP(BN$3,Conversions!$B$12:$E$34,4,0)))</f>
        <v>0</v>
      </c>
      <c r="V87" s="333">
        <f>IF($F87="",0,IF($F87="Weighted Average",$G87*VLOOKUP($D87&amp;" (Install)",Lists!$C$72:$R$232,COLUMNS(Lists!$C$69:O$69),0)*VLOOKUP(BO$3,Conversions!$B$12:$E$34,4,0),$G87*VLOOKUP($F87,Lists!$C$72:$R$232,COLUMNS(Lists!$C$69:O$69),0)*VLOOKUP(BO$3,Conversions!$B$12:$E$34,4,0)))</f>
        <v>0</v>
      </c>
      <c r="W87" s="333">
        <f>IF($F87="",0,IF($F87="Weighted Average",$G87*VLOOKUP($D87&amp;" (Install)",Lists!$C$72:$R$232,COLUMNS(Lists!$C$69:P$69),0)*VLOOKUP(BP$3,Conversions!$B$12:$E$34,4,0),$G87*VLOOKUP($F87,Lists!$C$72:$R$232,COLUMNS(Lists!$C$69:P$69),0)*VLOOKUP(BP$3,Conversions!$B$12:$E$34,4,0)))</f>
        <v>0</v>
      </c>
      <c r="X87" s="333">
        <f>IF($F87="",0,IF($F87="Weighted Average",$G87*VLOOKUP($D87&amp;" (Install)",Lists!$C$72:$R$232,COLUMNS(Lists!$C$69:Q$69),0)*VLOOKUP(BQ$3,Conversions!$B$12:$E$34,4,0),$G87*VLOOKUP($F87,Lists!$C$72:$R$232,COLUMNS(Lists!$C$69:Q$69),0)*VLOOKUP(BQ$3,Conversions!$B$12:$E$34,4,0)))</f>
        <v>0</v>
      </c>
      <c r="Y87" s="333">
        <f>IF($F87="",0,IF($F87="Weighted Average",$G87*VLOOKUP($D87&amp;" (Install)",Lists!$C$72:$R$232,COLUMNS(Lists!$C$69:R$69),0)*VLOOKUP(BR$3,Conversions!$B$12:$E$34,4,0),$G87*VLOOKUP($F87,Lists!$C$72:$R$232,COLUMNS(Lists!$C$69:R$69),0)*VLOOKUP(BR$3,Conversions!$B$12:$E$34,4,0)))</f>
        <v>0</v>
      </c>
      <c r="Z87" s="325">
        <f t="shared" si="38"/>
        <v>0</v>
      </c>
      <c r="AA87" s="334">
        <f>IF($F87="",0,IF($F87="Weighted Average",$H87*VLOOKUP($D87&amp;" (Operation)",Lists!$C$72:$R$232,COLUMNS(Lists!$C$69:E$69),0)*VLOOKUP(BE$3,Conversions!$B$12:$E$34,4,0),$H87*VLOOKUP($F87,Lists!$C$72:$R$232,COLUMNS(Lists!$C$69:E$69),0)*VLOOKUP(BE$3,Conversions!$B$12:$E$34,4,0)))</f>
        <v>0</v>
      </c>
      <c r="AB87" s="334">
        <f>IF($F87="",0,IF($F87="Weighted Average",$H87*VLOOKUP($D87&amp;" (Operation)",Lists!$C$72:$R$232,COLUMNS(Lists!$C$69:F$69),0)*VLOOKUP(BF$3,Conversions!$B$12:$E$34,4,0),$H87*VLOOKUP($F87,Lists!$C$72:$R$232,COLUMNS(Lists!$C$69:F$69),0)*VLOOKUP(BF$3,Conversions!$B$12:$E$34,4,0)))</f>
        <v>0</v>
      </c>
      <c r="AC87" s="334">
        <f>IF($F87="",0,IF($F87="Weighted Average",$H87*VLOOKUP($D87&amp;" (Operation)",Lists!$C$72:$R$232,COLUMNS(Lists!$C$69:G$69),0)*VLOOKUP(BG$3,Conversions!$B$12:$E$34,4,0),$H87*VLOOKUP($F87,Lists!$C$72:$R$232,COLUMNS(Lists!$C$69:G$69),0)*VLOOKUP(BG$3,Conversions!$B$12:$E$34,4,0)))</f>
        <v>0</v>
      </c>
      <c r="AD87" s="334">
        <f>IF($F87="",0,IF($F87="Weighted Average",$H87*VLOOKUP($D87&amp;" (Operation)",Lists!$C$72:$R$232,COLUMNS(Lists!$C$69:H$69),0)*VLOOKUP(BH$3,Conversions!$B$12:$E$34,4,0),$H87*VLOOKUP($F87,Lists!$C$72:$R$232,COLUMNS(Lists!$C$69:H$69),0)*VLOOKUP(BH$3,Conversions!$B$12:$E$34,4,0)))</f>
        <v>0</v>
      </c>
      <c r="AE87" s="334">
        <f>IF($F87="",0,IF($F87="Weighted Average",$H87*VLOOKUP($D87&amp;" (Operation)",Lists!$C$72:$R$232,COLUMNS(Lists!$C$69:I$69),0)*VLOOKUP(BI$3,Conversions!$B$12:$E$34,4,0),$H87*VLOOKUP($F87,Lists!$C$72:$R$232,COLUMNS(Lists!$C$69:I$69),0)*VLOOKUP(BI$3,Conversions!$B$12:$E$34,4,0)))</f>
        <v>0</v>
      </c>
      <c r="AF87" s="334">
        <f>IF($F87="",0,IF($F87="Weighted Average",$H87*VLOOKUP($D87&amp;" (Operation)",Lists!$C$72:$R$232,COLUMNS(Lists!$C$69:J$69),0)*VLOOKUP(BJ$3,Conversions!$B$12:$E$34,4,0),$H87*VLOOKUP($F87,Lists!$C$72:$R$232,COLUMNS(Lists!$C$69:J$69),0)*VLOOKUP(BJ$3,Conversions!$B$12:$E$34,4,0)))</f>
        <v>0</v>
      </c>
      <c r="AG87" s="334">
        <f>IF($F87="",0,IF($F87="Weighted Average",$H87*VLOOKUP($D87&amp;" (Operation)",Lists!$C$72:$R$232,COLUMNS(Lists!$C$69:K$69),0)*VLOOKUP(BK$3,Conversions!$B$12:$E$34,4,0),$H87*VLOOKUP($F87,Lists!$C$72:$R$232,COLUMNS(Lists!$C$69:K$69),0)*VLOOKUP(BK$3,Conversions!$B$12:$E$34,4,0)))</f>
        <v>0</v>
      </c>
      <c r="AH87" s="334">
        <f>IF($F87="",0,IF($F87="Weighted Average",$H87*VLOOKUP($D87&amp;" (Operation)",Lists!$C$72:$R$232,COLUMNS(Lists!$C$69:L$69),0)*VLOOKUP(BL$3,Conversions!$B$12:$E$34,4,0),$H87*VLOOKUP($F87,Lists!$C$72:$R$232,COLUMNS(Lists!$C$69:L$69),0)*VLOOKUP(BL$3,Conversions!$B$12:$E$34,4,0)))</f>
        <v>0</v>
      </c>
      <c r="AI87" s="334">
        <f>IF($F87="",0,IF($F87="Weighted Average",$H87*VLOOKUP($D87&amp;" (Operation)",Lists!$C$72:$R$232,COLUMNS(Lists!$C$69:M$69),0)*VLOOKUP(BM$3,Conversions!$B$12:$E$34,4,0),$H87*VLOOKUP($F87,Lists!$C$72:$R$232,COLUMNS(Lists!$C$69:M$69),0)*VLOOKUP(BM$3,Conversions!$B$12:$E$34,4,0)))</f>
        <v>0</v>
      </c>
      <c r="AJ87" s="334">
        <f>IF($F87="",0,IF($F87="Weighted Average",$H87*VLOOKUP($D87&amp;" (Operation)",Lists!$C$72:$R$232,COLUMNS(Lists!$C$69:N$69),0)*VLOOKUP(BN$3,Conversions!$B$12:$E$34,4,0),$H87*VLOOKUP($F87,Lists!$C$72:$R$232,COLUMNS(Lists!$C$69:N$69),0)*VLOOKUP(BN$3,Conversions!$B$12:$E$34,4,0)))</f>
        <v>0</v>
      </c>
      <c r="AK87" s="334">
        <f>IF($F87="",0,IF($F87="Weighted Average",$H87*VLOOKUP($D87&amp;" (Operation)",Lists!$C$72:$R$232,COLUMNS(Lists!$C$69:O$69),0)*VLOOKUP(BO$3,Conversions!$B$12:$E$34,4,0),$H87*VLOOKUP($F87,Lists!$C$72:$R$232,COLUMNS(Lists!$C$69:O$69),0)*VLOOKUP(BO$3,Conversions!$B$12:$E$34,4,0)))</f>
        <v>0</v>
      </c>
      <c r="AL87" s="334">
        <f>IF($F87="",0,IF($F87="Weighted Average",$H87*VLOOKUP($D87&amp;" (Operation)",Lists!$C$72:$R$232,COLUMNS(Lists!$C$69:P$69),0)*VLOOKUP(BP$3,Conversions!$B$12:$E$34,4,0),$H87*VLOOKUP($F87,Lists!$C$72:$R$232,COLUMNS(Lists!$C$69:P$69),0)*VLOOKUP(BP$3,Conversions!$B$12:$E$34,4,0)))</f>
        <v>0</v>
      </c>
      <c r="AM87" s="334">
        <f>IF($F87="",0,IF($F87="Weighted Average",$H87*VLOOKUP($D87&amp;" (Operation)",Lists!$C$72:$R$232,COLUMNS(Lists!$C$69:Q$69),0)*VLOOKUP(BQ$3,Conversions!$B$12:$E$34,4,0),$H87*VLOOKUP($F87,Lists!$C$72:$R$232,COLUMNS(Lists!$C$69:Q$69),0)*VLOOKUP(BQ$3,Conversions!$B$12:$E$34,4,0)))</f>
        <v>0</v>
      </c>
      <c r="AN87" s="334">
        <f>IF($F87="",0,IF($F87="Weighted Average",$H87*VLOOKUP($D87&amp;" (Operation)",Lists!$C$72:$R$232,COLUMNS(Lists!$C$69:R$69),0)*VLOOKUP(BR$3,Conversions!$B$12:$E$34,4,0),$H87*VLOOKUP($F87,Lists!$C$72:$R$232,COLUMNS(Lists!$C$69:R$69),0)*VLOOKUP(BR$3,Conversions!$B$12:$E$34,4,0)))</f>
        <v>0</v>
      </c>
      <c r="AO87" s="330">
        <f t="shared" si="39"/>
        <v>0</v>
      </c>
      <c r="AP87" s="333">
        <f>IF($F87="",0,IF($F87="Weighted Average",$I87*VLOOKUP($D87&amp;" (Disposal)",Lists!$C$72:$R$232,COLUMNS(Lists!$C$69:E$69),0)*VLOOKUP(BE$3,Conversions!$B$12:$E$34,4,0),$I87*VLOOKUP($F87,Lists!$C$72:$R$232,COLUMNS(Lists!$C$69:E$69),0)*VLOOKUP(BE$3,Conversions!$B$12:$E$34,4,0)))</f>
        <v>0</v>
      </c>
      <c r="AQ87" s="333">
        <f>IF($F87="",0,IF($F87="Weighted Average",$I87*VLOOKUP($D87&amp;" (Disposal)",Lists!$C$72:$R$232,COLUMNS(Lists!$C$69:F$69),0)*VLOOKUP(BF$3,Conversions!$B$12:$E$34,4,0),$I87*VLOOKUP($F87,Lists!$C$72:$R$232,COLUMNS(Lists!$C$69:F$69),0)*VLOOKUP(BF$3,Conversions!$B$12:$E$34,4,0)))</f>
        <v>0</v>
      </c>
      <c r="AR87" s="333">
        <f>IF($F87="",0,IF($F87="Weighted Average",$I87*VLOOKUP($D87&amp;" (Disposal)",Lists!$C$72:$R$232,COLUMNS(Lists!$C$69:G$69),0)*VLOOKUP(BG$3,Conversions!$B$12:$E$34,4,0),$I87*VLOOKUP($F87,Lists!$C$72:$R$232,COLUMNS(Lists!$C$69:G$69),0)*VLOOKUP(BG$3,Conversions!$B$12:$E$34,4,0)))</f>
        <v>0</v>
      </c>
      <c r="AS87" s="333">
        <f>IF($F87="",0,IF($F87="Weighted Average",$I87*VLOOKUP($D87&amp;" (Disposal)",Lists!$C$72:$R$232,COLUMNS(Lists!$C$69:H$69),0)*VLOOKUP(BH$3,Conversions!$B$12:$E$34,4,0),$I87*VLOOKUP($F87,Lists!$C$72:$R$232,COLUMNS(Lists!$C$69:H$69),0)*VLOOKUP(BH$3,Conversions!$B$12:$E$34,4,0)))</f>
        <v>0</v>
      </c>
      <c r="AT87" s="333">
        <f>IF($F87="",0,IF($F87="Weighted Average",$I87*VLOOKUP($D87&amp;" (Disposal)",Lists!$C$72:$R$232,COLUMNS(Lists!$C$69:I$69),0)*VLOOKUP(BI$3,Conversions!$B$12:$E$34,4,0),$I87*VLOOKUP($F87,Lists!$C$72:$R$232,COLUMNS(Lists!$C$69:I$69),0)*VLOOKUP(BI$3,Conversions!$B$12:$E$34,4,0)))</f>
        <v>0</v>
      </c>
      <c r="AU87" s="333">
        <f>IF($F87="",0,IF($F87="Weighted Average",$I87*VLOOKUP($D87&amp;" (Disposal)",Lists!$C$72:$R$232,COLUMNS(Lists!$C$69:J$69),0)*VLOOKUP(BJ$3,Conversions!$B$12:$E$34,4,0),$I87*VLOOKUP($F87,Lists!$C$72:$R$232,COLUMNS(Lists!$C$69:J$69),0)*VLOOKUP(BJ$3,Conversions!$B$12:$E$34,4,0)))</f>
        <v>0</v>
      </c>
      <c r="AV87" s="333">
        <f>IF($F87="",0,IF($F87="Weighted Average",$I87*VLOOKUP($D87&amp;" (Disposal)",Lists!$C$72:$R$232,COLUMNS(Lists!$C$69:K$69),0)*VLOOKUP(BK$3,Conversions!$B$12:$E$34,4,0),$I87*VLOOKUP($F87,Lists!$C$72:$R$232,COLUMNS(Lists!$C$69:K$69),0)*VLOOKUP(BK$3,Conversions!$B$12:$E$34,4,0)))</f>
        <v>0</v>
      </c>
      <c r="AW87" s="333">
        <f>IF($F87="",0,IF($F87="Weighted Average",$I87*VLOOKUP($D87&amp;" (Disposal)",Lists!$C$72:$R$232,COLUMNS(Lists!$C$69:L$69),0)*VLOOKUP(BL$3,Conversions!$B$12:$E$34,4,0),$I87*VLOOKUP($F87,Lists!$C$72:$R$232,COLUMNS(Lists!$C$69:L$69),0)*VLOOKUP(BL$3,Conversions!$B$12:$E$34,4,0)))</f>
        <v>0</v>
      </c>
      <c r="AX87" s="333">
        <f>IF($F87="",0,IF($F87="Weighted Average",$I87*VLOOKUP($D87&amp;" (Disposal)",Lists!$C$72:$R$232,COLUMNS(Lists!$C$69:M$69),0)*VLOOKUP(BM$3,Conversions!$B$12:$E$34,4,0),$I87*VLOOKUP($F87,Lists!$C$72:$R$232,COLUMNS(Lists!$C$69:M$69),0)*VLOOKUP(BM$3,Conversions!$B$12:$E$34,4,0)))</f>
        <v>0</v>
      </c>
      <c r="AY87" s="333">
        <f>IF($F87="",0,IF($F87="Weighted Average",$I87*VLOOKUP($D87&amp;" (Disposal)",Lists!$C$72:$R$232,COLUMNS(Lists!$C$69:N$69),0)*VLOOKUP(BN$3,Conversions!$B$12:$E$34,4,0),$I87*VLOOKUP($F87,Lists!$C$72:$R$232,COLUMNS(Lists!$C$69:N$69),0)*VLOOKUP(BN$3,Conversions!$B$12:$E$34,4,0)))</f>
        <v>0</v>
      </c>
      <c r="AZ87" s="333">
        <f>IF($F87="",0,IF($F87="Weighted Average",$I87*VLOOKUP($D87&amp;" (Disposal)",Lists!$C$72:$R$232,COLUMNS(Lists!$C$69:O$69),0)*VLOOKUP(BO$3,Conversions!$B$12:$E$34,4,0),$I87*VLOOKUP($F87,Lists!$C$72:$R$232,COLUMNS(Lists!$C$69:O$69),0)*VLOOKUP(BO$3,Conversions!$B$12:$E$34,4,0)))</f>
        <v>0</v>
      </c>
      <c r="BA87" s="333">
        <f>IF($F87="",0,IF($F87="Weighted Average",$I87*VLOOKUP($D87&amp;" (Disposal)",Lists!$C$72:$R$232,COLUMNS(Lists!$C$69:P$69),0)*VLOOKUP(BP$3,Conversions!$B$12:$E$34,4,0),$I87*VLOOKUP($F87,Lists!$C$72:$R$232,COLUMNS(Lists!$C$69:P$69),0)*VLOOKUP(BP$3,Conversions!$B$12:$E$34,4,0)))</f>
        <v>0</v>
      </c>
      <c r="BB87" s="333">
        <f>IF($F87="",0,IF($F87="Weighted Average",$I87*VLOOKUP($D87&amp;" (Disposal)",Lists!$C$72:$R$232,COLUMNS(Lists!$C$69:Q$69),0)*VLOOKUP(BQ$3,Conversions!$B$12:$E$34,4,0),$I87*VLOOKUP($F87,Lists!$C$72:$R$232,COLUMNS(Lists!$C$69:Q$69),0)*VLOOKUP(BQ$3,Conversions!$B$12:$E$34,4,0)))</f>
        <v>0</v>
      </c>
      <c r="BC87" s="333">
        <f>IF($F87="",0,IF($F87="Weighted Average",$I87*VLOOKUP($D87&amp;" (Disposal)",Lists!$C$72:$R$232,COLUMNS(Lists!$C$69:R$69),0)*VLOOKUP(BR$3,Conversions!$B$12:$E$34,4,0),$I87*VLOOKUP($F87,Lists!$C$72:$R$232,COLUMNS(Lists!$C$69:R$69),0)*VLOOKUP(BR$3,Conversions!$B$12:$E$34,4,0)))</f>
        <v>0</v>
      </c>
      <c r="BD87" s="333">
        <f t="shared" si="40"/>
        <v>0</v>
      </c>
      <c r="BE87" s="330">
        <f t="shared" si="41"/>
        <v>0</v>
      </c>
      <c r="BF87" s="330">
        <f t="shared" si="42"/>
        <v>0</v>
      </c>
      <c r="BG87" s="330">
        <f t="shared" si="43"/>
        <v>0</v>
      </c>
      <c r="BH87" s="330">
        <f t="shared" si="44"/>
        <v>0</v>
      </c>
      <c r="BI87" s="330">
        <f t="shared" si="45"/>
        <v>0</v>
      </c>
      <c r="BJ87" s="330">
        <f t="shared" si="46"/>
        <v>0</v>
      </c>
      <c r="BK87" s="330">
        <f t="shared" si="47"/>
        <v>0</v>
      </c>
      <c r="BL87" s="330">
        <f t="shared" si="48"/>
        <v>0</v>
      </c>
      <c r="BM87" s="330">
        <f t="shared" si="49"/>
        <v>0</v>
      </c>
      <c r="BN87" s="330">
        <f t="shared" si="50"/>
        <v>0</v>
      </c>
      <c r="BO87" s="330">
        <f t="shared" si="51"/>
        <v>0</v>
      </c>
      <c r="BP87" s="330">
        <f t="shared" si="52"/>
        <v>0</v>
      </c>
      <c r="BQ87" s="330">
        <f t="shared" si="53"/>
        <v>0</v>
      </c>
      <c r="BR87" s="330">
        <f t="shared" si="54"/>
        <v>0</v>
      </c>
      <c r="BS87" s="330">
        <f t="shared" si="55"/>
        <v>0</v>
      </c>
      <c r="BT87" s="329">
        <f t="shared" si="99"/>
        <v>0</v>
      </c>
      <c r="BU87" s="329">
        <f t="shared" si="99"/>
        <v>0</v>
      </c>
      <c r="BV87" s="329">
        <f t="shared" si="99"/>
        <v>0</v>
      </c>
      <c r="BW87" s="329">
        <f t="shared" si="99"/>
        <v>0</v>
      </c>
      <c r="BX87" s="329">
        <f t="shared" si="99"/>
        <v>0</v>
      </c>
      <c r="BY87" s="329">
        <f t="shared" si="99"/>
        <v>0</v>
      </c>
      <c r="BZ87" s="329">
        <f t="shared" si="99"/>
        <v>0</v>
      </c>
      <c r="CA87" s="329">
        <f t="shared" si="99"/>
        <v>0</v>
      </c>
      <c r="CB87" s="329">
        <f t="shared" si="99"/>
        <v>0</v>
      </c>
      <c r="CC87" s="329">
        <f t="shared" si="99"/>
        <v>0</v>
      </c>
      <c r="CD87" s="329">
        <f t="shared" si="99"/>
        <v>0</v>
      </c>
      <c r="CE87" s="329">
        <f t="shared" si="99"/>
        <v>0</v>
      </c>
      <c r="CF87" s="329">
        <f t="shared" si="99"/>
        <v>0</v>
      </c>
      <c r="CG87" s="329">
        <f t="shared" si="99"/>
        <v>0</v>
      </c>
      <c r="CH87" s="329">
        <f t="shared" si="99"/>
        <v>0</v>
      </c>
      <c r="CI87" s="329">
        <f t="shared" si="99"/>
        <v>0</v>
      </c>
      <c r="CJ87" s="331">
        <f t="shared" si="1"/>
        <v>0</v>
      </c>
      <c r="CK87" s="330">
        <f t="shared" si="5"/>
        <v>0</v>
      </c>
      <c r="CL87" s="330">
        <f t="shared" si="6"/>
        <v>0</v>
      </c>
      <c r="CM87" s="330">
        <f t="shared" si="7"/>
        <v>0</v>
      </c>
      <c r="CN87" s="330">
        <f t="shared" si="8"/>
        <v>0</v>
      </c>
      <c r="CO87" s="330">
        <f t="shared" si="9"/>
        <v>0</v>
      </c>
      <c r="CP87" s="330">
        <f t="shared" si="10"/>
        <v>0</v>
      </c>
      <c r="CQ87" s="330">
        <f t="shared" si="94"/>
        <v>0</v>
      </c>
      <c r="CR87" s="330">
        <f t="shared" si="12"/>
        <v>0</v>
      </c>
      <c r="CS87" s="330">
        <f t="shared" si="13"/>
        <v>0</v>
      </c>
      <c r="CT87" s="330">
        <f t="shared" si="14"/>
        <v>0</v>
      </c>
      <c r="CU87" s="330">
        <f t="shared" si="100"/>
        <v>0</v>
      </c>
      <c r="CV87" s="330">
        <f t="shared" si="100"/>
        <v>0</v>
      </c>
      <c r="CW87" s="330">
        <f t="shared" si="100"/>
        <v>0</v>
      </c>
      <c r="CX87" s="330">
        <f t="shared" si="100"/>
        <v>0</v>
      </c>
      <c r="CY87" s="330">
        <f t="shared" si="100"/>
        <v>0</v>
      </c>
      <c r="CZ87" s="330">
        <f t="shared" si="100"/>
        <v>0</v>
      </c>
      <c r="DA87" s="330">
        <f t="shared" si="100"/>
        <v>0</v>
      </c>
      <c r="DB87" s="330">
        <f t="shared" si="100"/>
        <v>0</v>
      </c>
      <c r="DC87" s="330">
        <f t="shared" si="100"/>
        <v>0</v>
      </c>
      <c r="DD87" s="330">
        <f t="shared" si="100"/>
        <v>0</v>
      </c>
      <c r="DE87" s="330">
        <f t="shared" si="101"/>
        <v>0</v>
      </c>
      <c r="DF87" s="330">
        <f t="shared" si="101"/>
        <v>0</v>
      </c>
      <c r="DG87" s="330">
        <f t="shared" si="101"/>
        <v>0</v>
      </c>
      <c r="DH87" s="330">
        <f t="shared" si="101"/>
        <v>0</v>
      </c>
      <c r="DI87" s="330">
        <f t="shared" si="101"/>
        <v>0</v>
      </c>
      <c r="DJ87" s="330">
        <f t="shared" si="101"/>
        <v>0</v>
      </c>
      <c r="DK87" s="330">
        <f t="shared" si="101"/>
        <v>0</v>
      </c>
      <c r="DL87" s="330">
        <f t="shared" si="101"/>
        <v>0</v>
      </c>
      <c r="DM87" s="330">
        <f t="shared" si="101"/>
        <v>0</v>
      </c>
      <c r="DN87" s="330">
        <f t="shared" si="101"/>
        <v>0</v>
      </c>
      <c r="DO87" s="330">
        <f t="shared" si="101"/>
        <v>0</v>
      </c>
      <c r="DP87" s="330">
        <f t="shared" si="98"/>
        <v>0</v>
      </c>
      <c r="DQ87" s="217"/>
      <c r="DR87" s="217"/>
      <c r="DS87" s="217"/>
      <c r="DT87" s="217"/>
    </row>
    <row r="88" spans="1:124" x14ac:dyDescent="0.3">
      <c r="A88" s="324"/>
      <c r="B88" s="221" t="s">
        <v>305</v>
      </c>
      <c r="C88" s="221" t="str">
        <f>IF(Screening!C18=0,"",Screening!C18)</f>
        <v/>
      </c>
      <c r="D88" s="221" t="str">
        <f>IF(Screening!D18=0,"",Screening!D18)</f>
        <v/>
      </c>
      <c r="E88" s="221" t="str">
        <f>IF(Screening!E18=0,"",Screening!E18)</f>
        <v/>
      </c>
      <c r="F88" s="221" t="str">
        <f>IF(Screening!F18=0,"",Screening!F18)</f>
        <v/>
      </c>
      <c r="G88" s="272">
        <f>Screening!G18*Screening!O18*Conversions!$C$4</f>
        <v>0</v>
      </c>
      <c r="H88" s="272">
        <f>Screening!H18*Screening!P18*Screening!I18*Conversions!$C$4</f>
        <v>0</v>
      </c>
      <c r="I88" s="272">
        <f>Screening!J18*Screening!Q18*(1-Screening!R18)*Conversions!$C$4</f>
        <v>0</v>
      </c>
      <c r="J88" s="325">
        <f>IF(Screening!S18=0,0,Screening!S18)</f>
        <v>0</v>
      </c>
      <c r="K88" s="465"/>
      <c r="L88" s="333">
        <f>IF($F88="",0,IF($F88="Weighted Average",$G88*VLOOKUP($D88&amp;" (Install)",Lists!$C$72:$R$232,COLUMNS(Lists!$C$69:E$69),0)*VLOOKUP(BE$3,Conversions!$B$12:$E$34,4,0),$G88*VLOOKUP($F88,Lists!$C$72:$R$232,COLUMNS(Lists!$C$69:E$69),0)*VLOOKUP(BE$3,Conversions!$B$12:$E$34,4,0)))</f>
        <v>0</v>
      </c>
      <c r="M88" s="333">
        <f>IF($F88="",0,IF($F88="Weighted Average",$G88*VLOOKUP($D88&amp;" (Install)",Lists!$C$72:$R$232,COLUMNS(Lists!$C$69:F$69),0)*VLOOKUP(BF$3,Conversions!$B$12:$E$34,4,0),$G88*VLOOKUP($F88,Lists!$C$72:$R$232,COLUMNS(Lists!$C$69:F$69),0)*VLOOKUP(BF$3,Conversions!$B$12:$E$34,4,0)))</f>
        <v>0</v>
      </c>
      <c r="N88" s="333">
        <f>IF($F88="",0,IF($F88="Weighted Average",$G88*VLOOKUP($D88&amp;" (Install)",Lists!$C$72:$R$232,COLUMNS(Lists!$C$69:G$69),0)*VLOOKUP(BG$3,Conversions!$B$12:$E$34,4,0),$G88*VLOOKUP($F88,Lists!$C$72:$R$232,COLUMNS(Lists!$C$69:G$69),0)*VLOOKUP(BG$3,Conversions!$B$12:$E$34,4,0)))</f>
        <v>0</v>
      </c>
      <c r="O88" s="333">
        <f>IF($F88="",0,IF($F88="Weighted Average",$G88*VLOOKUP($D88&amp;" (Install)",Lists!$C$72:$R$232,COLUMNS(Lists!$C$69:H$69),0)*VLOOKUP(BH$3,Conversions!$B$12:$E$34,4,0),$G88*VLOOKUP($F88,Lists!$C$72:$R$232,COLUMNS(Lists!$C$69:H$69),0)*VLOOKUP(BH$3,Conversions!$B$12:$E$34,4,0)))</f>
        <v>0</v>
      </c>
      <c r="P88" s="333">
        <f>IF($F88="",0,IF($F88="Weighted Average",$G88*VLOOKUP($D88&amp;" (Install)",Lists!$C$72:$R$232,COLUMNS(Lists!$C$69:I$69),0)*VLOOKUP(BI$3,Conversions!$B$12:$E$34,4,0),$G88*VLOOKUP($F88,Lists!$C$72:$R$232,COLUMNS(Lists!$C$69:I$69),0)*VLOOKUP(BI$3,Conversions!$B$12:$E$34,4,0)))</f>
        <v>0</v>
      </c>
      <c r="Q88" s="333">
        <f>IF($F88="",0,IF($F88="Weighted Average",$G88*VLOOKUP($D88&amp;" (Install)",Lists!$C$72:$R$232,COLUMNS(Lists!$C$69:J$69),0)*VLOOKUP(BJ$3,Conversions!$B$12:$E$34,4,0),$G88*VLOOKUP($F88,Lists!$C$72:$R$232,COLUMNS(Lists!$C$69:J$69),0)*VLOOKUP(BJ$3,Conversions!$B$12:$E$34,4,0)))</f>
        <v>0</v>
      </c>
      <c r="R88" s="333">
        <f>IF($F88="",0,IF($F88="Weighted Average",$G88*VLOOKUP($D88&amp;" (Install)",Lists!$C$72:$R$232,COLUMNS(Lists!$C$69:K$69),0)*VLOOKUP(BK$3,Conversions!$B$12:$E$34,4,0),$G88*VLOOKUP($F88,Lists!$C$72:$R$232,COLUMNS(Lists!$C$69:K$69),0)*VLOOKUP(BK$3,Conversions!$B$12:$E$34,4,0)))</f>
        <v>0</v>
      </c>
      <c r="S88" s="333">
        <f>IF($F88="",0,IF($F88="Weighted Average",$G88*VLOOKUP($D88&amp;" (Install)",Lists!$C$72:$R$232,COLUMNS(Lists!$C$69:L$69),0)*VLOOKUP(BL$3,Conversions!$B$12:$E$34,4,0),$G88*VLOOKUP($F88,Lists!$C$72:$R$232,COLUMNS(Lists!$C$69:L$69),0)*VLOOKUP(BL$3,Conversions!$B$12:$E$34,4,0)))</f>
        <v>0</v>
      </c>
      <c r="T88" s="333">
        <f>IF($F88="",0,IF($F88="Weighted Average",$G88*VLOOKUP($D88&amp;" (Install)",Lists!$C$72:$R$232,COLUMNS(Lists!$C$69:M$69),0)*VLOOKUP(BM$3,Conversions!$B$12:$E$34,4,0),$G88*VLOOKUP($F88,Lists!$C$72:$R$232,COLUMNS(Lists!$C$69:M$69),0)*VLOOKUP(BM$3,Conversions!$B$12:$E$34,4,0)))</f>
        <v>0</v>
      </c>
      <c r="U88" s="333">
        <f>IF($F88="",0,IF($F88="Weighted Average",$G88*VLOOKUP($D88&amp;" (Install)",Lists!$C$72:$R$232,COLUMNS(Lists!$C$69:N$69),0)*VLOOKUP(BN$3,Conversions!$B$12:$E$34,4,0),$G88*VLOOKUP($F88,Lists!$C$72:$R$232,COLUMNS(Lists!$C$69:N$69),0)*VLOOKUP(BN$3,Conversions!$B$12:$E$34,4,0)))</f>
        <v>0</v>
      </c>
      <c r="V88" s="333">
        <f>IF($F88="",0,IF($F88="Weighted Average",$G88*VLOOKUP($D88&amp;" (Install)",Lists!$C$72:$R$232,COLUMNS(Lists!$C$69:O$69),0)*VLOOKUP(BO$3,Conversions!$B$12:$E$34,4,0),$G88*VLOOKUP($F88,Lists!$C$72:$R$232,COLUMNS(Lists!$C$69:O$69),0)*VLOOKUP(BO$3,Conversions!$B$12:$E$34,4,0)))</f>
        <v>0</v>
      </c>
      <c r="W88" s="333">
        <f>IF($F88="",0,IF($F88="Weighted Average",$G88*VLOOKUP($D88&amp;" (Install)",Lists!$C$72:$R$232,COLUMNS(Lists!$C$69:P$69),0)*VLOOKUP(BP$3,Conversions!$B$12:$E$34,4,0),$G88*VLOOKUP($F88,Lists!$C$72:$R$232,COLUMNS(Lists!$C$69:P$69),0)*VLOOKUP(BP$3,Conversions!$B$12:$E$34,4,0)))</f>
        <v>0</v>
      </c>
      <c r="X88" s="333">
        <f>IF($F88="",0,IF($F88="Weighted Average",$G88*VLOOKUP($D88&amp;" (Install)",Lists!$C$72:$R$232,COLUMNS(Lists!$C$69:Q$69),0)*VLOOKUP(BQ$3,Conversions!$B$12:$E$34,4,0),$G88*VLOOKUP($F88,Lists!$C$72:$R$232,COLUMNS(Lists!$C$69:Q$69),0)*VLOOKUP(BQ$3,Conversions!$B$12:$E$34,4,0)))</f>
        <v>0</v>
      </c>
      <c r="Y88" s="333">
        <f>IF($F88="",0,IF($F88="Weighted Average",$G88*VLOOKUP($D88&amp;" (Install)",Lists!$C$72:$R$232,COLUMNS(Lists!$C$69:R$69),0)*VLOOKUP(BR$3,Conversions!$B$12:$E$34,4,0),$G88*VLOOKUP($F88,Lists!$C$72:$R$232,COLUMNS(Lists!$C$69:R$69),0)*VLOOKUP(BR$3,Conversions!$B$12:$E$34,4,0)))</f>
        <v>0</v>
      </c>
      <c r="Z88" s="325">
        <f t="shared" si="38"/>
        <v>0</v>
      </c>
      <c r="AA88" s="334">
        <f>IF($F88="",0,IF($F88="Weighted Average",$H88*VLOOKUP($D88&amp;" (Operation)",Lists!$C$72:$R$232,COLUMNS(Lists!$C$69:E$69),0)*VLOOKUP(BE$3,Conversions!$B$12:$E$34,4,0),$H88*VLOOKUP($F88,Lists!$C$72:$R$232,COLUMNS(Lists!$C$69:E$69),0)*VLOOKUP(BE$3,Conversions!$B$12:$E$34,4,0)))</f>
        <v>0</v>
      </c>
      <c r="AB88" s="334">
        <f>IF($F88="",0,IF($F88="Weighted Average",$H88*VLOOKUP($D88&amp;" (Operation)",Lists!$C$72:$R$232,COLUMNS(Lists!$C$69:F$69),0)*VLOOKUP(BF$3,Conversions!$B$12:$E$34,4,0),$H88*VLOOKUP($F88,Lists!$C$72:$R$232,COLUMNS(Lists!$C$69:F$69),0)*VLOOKUP(BF$3,Conversions!$B$12:$E$34,4,0)))</f>
        <v>0</v>
      </c>
      <c r="AC88" s="334">
        <f>IF($F88="",0,IF($F88="Weighted Average",$H88*VLOOKUP($D88&amp;" (Operation)",Lists!$C$72:$R$232,COLUMNS(Lists!$C$69:G$69),0)*VLOOKUP(BG$3,Conversions!$B$12:$E$34,4,0),$H88*VLOOKUP($F88,Lists!$C$72:$R$232,COLUMNS(Lists!$C$69:G$69),0)*VLOOKUP(BG$3,Conversions!$B$12:$E$34,4,0)))</f>
        <v>0</v>
      </c>
      <c r="AD88" s="334">
        <f>IF($F88="",0,IF($F88="Weighted Average",$H88*VLOOKUP($D88&amp;" (Operation)",Lists!$C$72:$R$232,COLUMNS(Lists!$C$69:H$69),0)*VLOOKUP(BH$3,Conversions!$B$12:$E$34,4,0),$H88*VLOOKUP($F88,Lists!$C$72:$R$232,COLUMNS(Lists!$C$69:H$69),0)*VLOOKUP(BH$3,Conversions!$B$12:$E$34,4,0)))</f>
        <v>0</v>
      </c>
      <c r="AE88" s="334">
        <f>IF($F88="",0,IF($F88="Weighted Average",$H88*VLOOKUP($D88&amp;" (Operation)",Lists!$C$72:$R$232,COLUMNS(Lists!$C$69:I$69),0)*VLOOKUP(BI$3,Conversions!$B$12:$E$34,4,0),$H88*VLOOKUP($F88,Lists!$C$72:$R$232,COLUMNS(Lists!$C$69:I$69),0)*VLOOKUP(BI$3,Conversions!$B$12:$E$34,4,0)))</f>
        <v>0</v>
      </c>
      <c r="AF88" s="334">
        <f>IF($F88="",0,IF($F88="Weighted Average",$H88*VLOOKUP($D88&amp;" (Operation)",Lists!$C$72:$R$232,COLUMNS(Lists!$C$69:J$69),0)*VLOOKUP(BJ$3,Conversions!$B$12:$E$34,4,0),$H88*VLOOKUP($F88,Lists!$C$72:$R$232,COLUMNS(Lists!$C$69:J$69),0)*VLOOKUP(BJ$3,Conversions!$B$12:$E$34,4,0)))</f>
        <v>0</v>
      </c>
      <c r="AG88" s="334">
        <f>IF($F88="",0,IF($F88="Weighted Average",$H88*VLOOKUP($D88&amp;" (Operation)",Lists!$C$72:$R$232,COLUMNS(Lists!$C$69:K$69),0)*VLOOKUP(BK$3,Conversions!$B$12:$E$34,4,0),$H88*VLOOKUP($F88,Lists!$C$72:$R$232,COLUMNS(Lists!$C$69:K$69),0)*VLOOKUP(BK$3,Conversions!$B$12:$E$34,4,0)))</f>
        <v>0</v>
      </c>
      <c r="AH88" s="334">
        <f>IF($F88="",0,IF($F88="Weighted Average",$H88*VLOOKUP($D88&amp;" (Operation)",Lists!$C$72:$R$232,COLUMNS(Lists!$C$69:L$69),0)*VLOOKUP(BL$3,Conversions!$B$12:$E$34,4,0),$H88*VLOOKUP($F88,Lists!$C$72:$R$232,COLUMNS(Lists!$C$69:L$69),0)*VLOOKUP(BL$3,Conversions!$B$12:$E$34,4,0)))</f>
        <v>0</v>
      </c>
      <c r="AI88" s="334">
        <f>IF($F88="",0,IF($F88="Weighted Average",$H88*VLOOKUP($D88&amp;" (Operation)",Lists!$C$72:$R$232,COLUMNS(Lists!$C$69:M$69),0)*VLOOKUP(BM$3,Conversions!$B$12:$E$34,4,0),$H88*VLOOKUP($F88,Lists!$C$72:$R$232,COLUMNS(Lists!$C$69:M$69),0)*VLOOKUP(BM$3,Conversions!$B$12:$E$34,4,0)))</f>
        <v>0</v>
      </c>
      <c r="AJ88" s="334">
        <f>IF($F88="",0,IF($F88="Weighted Average",$H88*VLOOKUP($D88&amp;" (Operation)",Lists!$C$72:$R$232,COLUMNS(Lists!$C$69:N$69),0)*VLOOKUP(BN$3,Conversions!$B$12:$E$34,4,0),$H88*VLOOKUP($F88,Lists!$C$72:$R$232,COLUMNS(Lists!$C$69:N$69),0)*VLOOKUP(BN$3,Conversions!$B$12:$E$34,4,0)))</f>
        <v>0</v>
      </c>
      <c r="AK88" s="334">
        <f>IF($F88="",0,IF($F88="Weighted Average",$H88*VLOOKUP($D88&amp;" (Operation)",Lists!$C$72:$R$232,COLUMNS(Lists!$C$69:O$69),0)*VLOOKUP(BO$3,Conversions!$B$12:$E$34,4,0),$H88*VLOOKUP($F88,Lists!$C$72:$R$232,COLUMNS(Lists!$C$69:O$69),0)*VLOOKUP(BO$3,Conversions!$B$12:$E$34,4,0)))</f>
        <v>0</v>
      </c>
      <c r="AL88" s="334">
        <f>IF($F88="",0,IF($F88="Weighted Average",$H88*VLOOKUP($D88&amp;" (Operation)",Lists!$C$72:$R$232,COLUMNS(Lists!$C$69:P$69),0)*VLOOKUP(BP$3,Conversions!$B$12:$E$34,4,0),$H88*VLOOKUP($F88,Lists!$C$72:$R$232,COLUMNS(Lists!$C$69:P$69),0)*VLOOKUP(BP$3,Conversions!$B$12:$E$34,4,0)))</f>
        <v>0</v>
      </c>
      <c r="AM88" s="334">
        <f>IF($F88="",0,IF($F88="Weighted Average",$H88*VLOOKUP($D88&amp;" (Operation)",Lists!$C$72:$R$232,COLUMNS(Lists!$C$69:Q$69),0)*VLOOKUP(BQ$3,Conversions!$B$12:$E$34,4,0),$H88*VLOOKUP($F88,Lists!$C$72:$R$232,COLUMNS(Lists!$C$69:Q$69),0)*VLOOKUP(BQ$3,Conversions!$B$12:$E$34,4,0)))</f>
        <v>0</v>
      </c>
      <c r="AN88" s="334">
        <f>IF($F88="",0,IF($F88="Weighted Average",$H88*VLOOKUP($D88&amp;" (Operation)",Lists!$C$72:$R$232,COLUMNS(Lists!$C$69:R$69),0)*VLOOKUP(BR$3,Conversions!$B$12:$E$34,4,0),$H88*VLOOKUP($F88,Lists!$C$72:$R$232,COLUMNS(Lists!$C$69:R$69),0)*VLOOKUP(BR$3,Conversions!$B$12:$E$34,4,0)))</f>
        <v>0</v>
      </c>
      <c r="AO88" s="330">
        <f t="shared" si="39"/>
        <v>0</v>
      </c>
      <c r="AP88" s="333">
        <f>IF($F88="",0,IF($F88="Weighted Average",$I88*VLOOKUP($D88&amp;" (Disposal)",Lists!$C$72:$R$232,COLUMNS(Lists!$C$69:E$69),0)*VLOOKUP(BE$3,Conversions!$B$12:$E$34,4,0),$I88*VLOOKUP($F88,Lists!$C$72:$R$232,COLUMNS(Lists!$C$69:E$69),0)*VLOOKUP(BE$3,Conversions!$B$12:$E$34,4,0)))</f>
        <v>0</v>
      </c>
      <c r="AQ88" s="333">
        <f>IF($F88="",0,IF($F88="Weighted Average",$I88*VLOOKUP($D88&amp;" (Disposal)",Lists!$C$72:$R$232,COLUMNS(Lists!$C$69:F$69),0)*VLOOKUP(BF$3,Conversions!$B$12:$E$34,4,0),$I88*VLOOKUP($F88,Lists!$C$72:$R$232,COLUMNS(Lists!$C$69:F$69),0)*VLOOKUP(BF$3,Conversions!$B$12:$E$34,4,0)))</f>
        <v>0</v>
      </c>
      <c r="AR88" s="333">
        <f>IF($F88="",0,IF($F88="Weighted Average",$I88*VLOOKUP($D88&amp;" (Disposal)",Lists!$C$72:$R$232,COLUMNS(Lists!$C$69:G$69),0)*VLOOKUP(BG$3,Conversions!$B$12:$E$34,4,0),$I88*VLOOKUP($F88,Lists!$C$72:$R$232,COLUMNS(Lists!$C$69:G$69),0)*VLOOKUP(BG$3,Conversions!$B$12:$E$34,4,0)))</f>
        <v>0</v>
      </c>
      <c r="AS88" s="333">
        <f>IF($F88="",0,IF($F88="Weighted Average",$I88*VLOOKUP($D88&amp;" (Disposal)",Lists!$C$72:$R$232,COLUMNS(Lists!$C$69:H$69),0)*VLOOKUP(BH$3,Conversions!$B$12:$E$34,4,0),$I88*VLOOKUP($F88,Lists!$C$72:$R$232,COLUMNS(Lists!$C$69:H$69),0)*VLOOKUP(BH$3,Conversions!$B$12:$E$34,4,0)))</f>
        <v>0</v>
      </c>
      <c r="AT88" s="333">
        <f>IF($F88="",0,IF($F88="Weighted Average",$I88*VLOOKUP($D88&amp;" (Disposal)",Lists!$C$72:$R$232,COLUMNS(Lists!$C$69:I$69),0)*VLOOKUP(BI$3,Conversions!$B$12:$E$34,4,0),$I88*VLOOKUP($F88,Lists!$C$72:$R$232,COLUMNS(Lists!$C$69:I$69),0)*VLOOKUP(BI$3,Conversions!$B$12:$E$34,4,0)))</f>
        <v>0</v>
      </c>
      <c r="AU88" s="333">
        <f>IF($F88="",0,IF($F88="Weighted Average",$I88*VLOOKUP($D88&amp;" (Disposal)",Lists!$C$72:$R$232,COLUMNS(Lists!$C$69:J$69),0)*VLOOKUP(BJ$3,Conversions!$B$12:$E$34,4,0),$I88*VLOOKUP($F88,Lists!$C$72:$R$232,COLUMNS(Lists!$C$69:J$69),0)*VLOOKUP(BJ$3,Conversions!$B$12:$E$34,4,0)))</f>
        <v>0</v>
      </c>
      <c r="AV88" s="333">
        <f>IF($F88="",0,IF($F88="Weighted Average",$I88*VLOOKUP($D88&amp;" (Disposal)",Lists!$C$72:$R$232,COLUMNS(Lists!$C$69:K$69),0)*VLOOKUP(BK$3,Conversions!$B$12:$E$34,4,0),$I88*VLOOKUP($F88,Lists!$C$72:$R$232,COLUMNS(Lists!$C$69:K$69),0)*VLOOKUP(BK$3,Conversions!$B$12:$E$34,4,0)))</f>
        <v>0</v>
      </c>
      <c r="AW88" s="333">
        <f>IF($F88="",0,IF($F88="Weighted Average",$I88*VLOOKUP($D88&amp;" (Disposal)",Lists!$C$72:$R$232,COLUMNS(Lists!$C$69:L$69),0)*VLOOKUP(BL$3,Conversions!$B$12:$E$34,4,0),$I88*VLOOKUP($F88,Lists!$C$72:$R$232,COLUMNS(Lists!$C$69:L$69),0)*VLOOKUP(BL$3,Conversions!$B$12:$E$34,4,0)))</f>
        <v>0</v>
      </c>
      <c r="AX88" s="333">
        <f>IF($F88="",0,IF($F88="Weighted Average",$I88*VLOOKUP($D88&amp;" (Disposal)",Lists!$C$72:$R$232,COLUMNS(Lists!$C$69:M$69),0)*VLOOKUP(BM$3,Conversions!$B$12:$E$34,4,0),$I88*VLOOKUP($F88,Lists!$C$72:$R$232,COLUMNS(Lists!$C$69:M$69),0)*VLOOKUP(BM$3,Conversions!$B$12:$E$34,4,0)))</f>
        <v>0</v>
      </c>
      <c r="AY88" s="333">
        <f>IF($F88="",0,IF($F88="Weighted Average",$I88*VLOOKUP($D88&amp;" (Disposal)",Lists!$C$72:$R$232,COLUMNS(Lists!$C$69:N$69),0)*VLOOKUP(BN$3,Conversions!$B$12:$E$34,4,0),$I88*VLOOKUP($F88,Lists!$C$72:$R$232,COLUMNS(Lists!$C$69:N$69),0)*VLOOKUP(BN$3,Conversions!$B$12:$E$34,4,0)))</f>
        <v>0</v>
      </c>
      <c r="AZ88" s="333">
        <f>IF($F88="",0,IF($F88="Weighted Average",$I88*VLOOKUP($D88&amp;" (Disposal)",Lists!$C$72:$R$232,COLUMNS(Lists!$C$69:O$69),0)*VLOOKUP(BO$3,Conversions!$B$12:$E$34,4,0),$I88*VLOOKUP($F88,Lists!$C$72:$R$232,COLUMNS(Lists!$C$69:O$69),0)*VLOOKUP(BO$3,Conversions!$B$12:$E$34,4,0)))</f>
        <v>0</v>
      </c>
      <c r="BA88" s="333">
        <f>IF($F88="",0,IF($F88="Weighted Average",$I88*VLOOKUP($D88&amp;" (Disposal)",Lists!$C$72:$R$232,COLUMNS(Lists!$C$69:P$69),0)*VLOOKUP(BP$3,Conversions!$B$12:$E$34,4,0),$I88*VLOOKUP($F88,Lists!$C$72:$R$232,COLUMNS(Lists!$C$69:P$69),0)*VLOOKUP(BP$3,Conversions!$B$12:$E$34,4,0)))</f>
        <v>0</v>
      </c>
      <c r="BB88" s="333">
        <f>IF($F88="",0,IF($F88="Weighted Average",$I88*VLOOKUP($D88&amp;" (Disposal)",Lists!$C$72:$R$232,COLUMNS(Lists!$C$69:Q$69),0)*VLOOKUP(BQ$3,Conversions!$B$12:$E$34,4,0),$I88*VLOOKUP($F88,Lists!$C$72:$R$232,COLUMNS(Lists!$C$69:Q$69),0)*VLOOKUP(BQ$3,Conversions!$B$12:$E$34,4,0)))</f>
        <v>0</v>
      </c>
      <c r="BC88" s="333">
        <f>IF($F88="",0,IF($F88="Weighted Average",$I88*VLOOKUP($D88&amp;" (Disposal)",Lists!$C$72:$R$232,COLUMNS(Lists!$C$69:R$69),0)*VLOOKUP(BR$3,Conversions!$B$12:$E$34,4,0),$I88*VLOOKUP($F88,Lists!$C$72:$R$232,COLUMNS(Lists!$C$69:R$69),0)*VLOOKUP(BR$3,Conversions!$B$12:$E$34,4,0)))</f>
        <v>0</v>
      </c>
      <c r="BD88" s="333">
        <f t="shared" si="40"/>
        <v>0</v>
      </c>
      <c r="BE88" s="330">
        <f t="shared" si="41"/>
        <v>0</v>
      </c>
      <c r="BF88" s="330">
        <f t="shared" si="42"/>
        <v>0</v>
      </c>
      <c r="BG88" s="330">
        <f t="shared" si="43"/>
        <v>0</v>
      </c>
      <c r="BH88" s="330">
        <f t="shared" si="44"/>
        <v>0</v>
      </c>
      <c r="BI88" s="330">
        <f t="shared" si="45"/>
        <v>0</v>
      </c>
      <c r="BJ88" s="330">
        <f t="shared" si="46"/>
        <v>0</v>
      </c>
      <c r="BK88" s="330">
        <f t="shared" si="47"/>
        <v>0</v>
      </c>
      <c r="BL88" s="330">
        <f t="shared" si="48"/>
        <v>0</v>
      </c>
      <c r="BM88" s="330">
        <f t="shared" si="49"/>
        <v>0</v>
      </c>
      <c r="BN88" s="330">
        <f t="shared" si="50"/>
        <v>0</v>
      </c>
      <c r="BO88" s="330">
        <f t="shared" si="51"/>
        <v>0</v>
      </c>
      <c r="BP88" s="330">
        <f t="shared" si="52"/>
        <v>0</v>
      </c>
      <c r="BQ88" s="330">
        <f t="shared" si="53"/>
        <v>0</v>
      </c>
      <c r="BR88" s="330">
        <f t="shared" si="54"/>
        <v>0</v>
      </c>
      <c r="BS88" s="330">
        <f t="shared" si="55"/>
        <v>0</v>
      </c>
      <c r="BT88" s="329">
        <f t="shared" si="99"/>
        <v>0</v>
      </c>
      <c r="BU88" s="329">
        <f t="shared" si="99"/>
        <v>0</v>
      </c>
      <c r="BV88" s="329">
        <f t="shared" si="99"/>
        <v>0</v>
      </c>
      <c r="BW88" s="329">
        <f t="shared" si="99"/>
        <v>0</v>
      </c>
      <c r="BX88" s="329">
        <f t="shared" si="99"/>
        <v>0</v>
      </c>
      <c r="BY88" s="329">
        <f t="shared" si="99"/>
        <v>0</v>
      </c>
      <c r="BZ88" s="329">
        <f t="shared" si="99"/>
        <v>0</v>
      </c>
      <c r="CA88" s="329">
        <f t="shared" si="99"/>
        <v>0</v>
      </c>
      <c r="CB88" s="329">
        <f t="shared" si="99"/>
        <v>0</v>
      </c>
      <c r="CC88" s="329">
        <f t="shared" si="99"/>
        <v>0</v>
      </c>
      <c r="CD88" s="329">
        <f t="shared" si="99"/>
        <v>0</v>
      </c>
      <c r="CE88" s="329">
        <f t="shared" si="99"/>
        <v>0</v>
      </c>
      <c r="CF88" s="329">
        <f t="shared" si="99"/>
        <v>0</v>
      </c>
      <c r="CG88" s="329">
        <f t="shared" si="99"/>
        <v>0</v>
      </c>
      <c r="CH88" s="329">
        <f t="shared" si="99"/>
        <v>0</v>
      </c>
      <c r="CI88" s="329">
        <f t="shared" si="99"/>
        <v>0</v>
      </c>
      <c r="CJ88" s="331">
        <f t="shared" si="1"/>
        <v>0</v>
      </c>
      <c r="CK88" s="330">
        <f t="shared" si="5"/>
        <v>0</v>
      </c>
      <c r="CL88" s="330">
        <f t="shared" si="6"/>
        <v>0</v>
      </c>
      <c r="CM88" s="330">
        <f t="shared" si="7"/>
        <v>0</v>
      </c>
      <c r="CN88" s="330">
        <f t="shared" si="8"/>
        <v>0</v>
      </c>
      <c r="CO88" s="330">
        <f t="shared" si="9"/>
        <v>0</v>
      </c>
      <c r="CP88" s="330">
        <f t="shared" si="10"/>
        <v>0</v>
      </c>
      <c r="CQ88" s="330">
        <f t="shared" si="94"/>
        <v>0</v>
      </c>
      <c r="CR88" s="330">
        <f t="shared" si="12"/>
        <v>0</v>
      </c>
      <c r="CS88" s="330">
        <f t="shared" si="13"/>
        <v>0</v>
      </c>
      <c r="CT88" s="330">
        <f t="shared" si="14"/>
        <v>0</v>
      </c>
      <c r="CU88" s="330">
        <f t="shared" si="100"/>
        <v>0</v>
      </c>
      <c r="CV88" s="330">
        <f t="shared" si="100"/>
        <v>0</v>
      </c>
      <c r="CW88" s="330">
        <f t="shared" si="100"/>
        <v>0</v>
      </c>
      <c r="CX88" s="330">
        <f t="shared" si="100"/>
        <v>0</v>
      </c>
      <c r="CY88" s="330">
        <f t="shared" si="100"/>
        <v>0</v>
      </c>
      <c r="CZ88" s="330">
        <f t="shared" si="100"/>
        <v>0</v>
      </c>
      <c r="DA88" s="330">
        <f t="shared" si="100"/>
        <v>0</v>
      </c>
      <c r="DB88" s="330">
        <f t="shared" si="100"/>
        <v>0</v>
      </c>
      <c r="DC88" s="330">
        <f t="shared" si="100"/>
        <v>0</v>
      </c>
      <c r="DD88" s="330">
        <f t="shared" si="100"/>
        <v>0</v>
      </c>
      <c r="DE88" s="330">
        <f t="shared" si="101"/>
        <v>0</v>
      </c>
      <c r="DF88" s="330">
        <f t="shared" si="101"/>
        <v>0</v>
      </c>
      <c r="DG88" s="330">
        <f t="shared" si="101"/>
        <v>0</v>
      </c>
      <c r="DH88" s="330">
        <f t="shared" si="101"/>
        <v>0</v>
      </c>
      <c r="DI88" s="330">
        <f t="shared" si="101"/>
        <v>0</v>
      </c>
      <c r="DJ88" s="330">
        <f t="shared" si="101"/>
        <v>0</v>
      </c>
      <c r="DK88" s="330">
        <f t="shared" si="101"/>
        <v>0</v>
      </c>
      <c r="DL88" s="330">
        <f t="shared" si="101"/>
        <v>0</v>
      </c>
      <c r="DM88" s="330">
        <f t="shared" si="101"/>
        <v>0</v>
      </c>
      <c r="DN88" s="330">
        <f t="shared" si="101"/>
        <v>0</v>
      </c>
      <c r="DO88" s="330">
        <f t="shared" si="101"/>
        <v>0</v>
      </c>
      <c r="DP88" s="330">
        <f t="shared" si="98"/>
        <v>0</v>
      </c>
      <c r="DQ88" s="217"/>
      <c r="DR88" s="217"/>
      <c r="DS88" s="217"/>
      <c r="DT88" s="217"/>
    </row>
    <row r="89" spans="1:124" x14ac:dyDescent="0.3">
      <c r="A89" s="324"/>
      <c r="B89" s="221" t="s">
        <v>305</v>
      </c>
      <c r="C89" s="221" t="str">
        <f>IF(Screening!C19=0,"",Screening!C19)</f>
        <v/>
      </c>
      <c r="D89" s="221" t="str">
        <f>IF(Screening!D19=0,"",Screening!D19)</f>
        <v/>
      </c>
      <c r="E89" s="221" t="str">
        <f>IF(Screening!E19=0,"",Screening!E19)</f>
        <v/>
      </c>
      <c r="F89" s="221" t="str">
        <f>IF(Screening!F19=0,"",Screening!F19)</f>
        <v/>
      </c>
      <c r="G89" s="272">
        <f>Screening!G19*Screening!O19*Conversions!$C$4</f>
        <v>0</v>
      </c>
      <c r="H89" s="272">
        <f>Screening!H19*Screening!P19*Screening!I19*Conversions!$C$4</f>
        <v>0</v>
      </c>
      <c r="I89" s="272">
        <f>Screening!J19*Screening!Q19*(1-Screening!R19)*Conversions!$C$4</f>
        <v>0</v>
      </c>
      <c r="J89" s="325">
        <f>IF(Screening!S19=0,0,Screening!S19)</f>
        <v>0</v>
      </c>
      <c r="K89" s="465"/>
      <c r="L89" s="333">
        <f>IF($F89="",0,IF($F89="Weighted Average",$G89*VLOOKUP($D89&amp;" (Install)",Lists!$C$72:$R$232,COLUMNS(Lists!$C$69:E$69),0)*VLOOKUP(BE$3,Conversions!$B$12:$E$34,4,0),$G89*VLOOKUP($F89,Lists!$C$72:$R$232,COLUMNS(Lists!$C$69:E$69),0)*VLOOKUP(BE$3,Conversions!$B$12:$E$34,4,0)))</f>
        <v>0</v>
      </c>
      <c r="M89" s="333">
        <f>IF($F89="",0,IF($F89="Weighted Average",$G89*VLOOKUP($D89&amp;" (Install)",Lists!$C$72:$R$232,COLUMNS(Lists!$C$69:F$69),0)*VLOOKUP(BF$3,Conversions!$B$12:$E$34,4,0),$G89*VLOOKUP($F89,Lists!$C$72:$R$232,COLUMNS(Lists!$C$69:F$69),0)*VLOOKUP(BF$3,Conversions!$B$12:$E$34,4,0)))</f>
        <v>0</v>
      </c>
      <c r="N89" s="333">
        <f>IF($F89="",0,IF($F89="Weighted Average",$G89*VLOOKUP($D89&amp;" (Install)",Lists!$C$72:$R$232,COLUMNS(Lists!$C$69:G$69),0)*VLOOKUP(BG$3,Conversions!$B$12:$E$34,4,0),$G89*VLOOKUP($F89,Lists!$C$72:$R$232,COLUMNS(Lists!$C$69:G$69),0)*VLOOKUP(BG$3,Conversions!$B$12:$E$34,4,0)))</f>
        <v>0</v>
      </c>
      <c r="O89" s="333">
        <f>IF($F89="",0,IF($F89="Weighted Average",$G89*VLOOKUP($D89&amp;" (Install)",Lists!$C$72:$R$232,COLUMNS(Lists!$C$69:H$69),0)*VLOOKUP(BH$3,Conversions!$B$12:$E$34,4,0),$G89*VLOOKUP($F89,Lists!$C$72:$R$232,COLUMNS(Lists!$C$69:H$69),0)*VLOOKUP(BH$3,Conversions!$B$12:$E$34,4,0)))</f>
        <v>0</v>
      </c>
      <c r="P89" s="333">
        <f>IF($F89="",0,IF($F89="Weighted Average",$G89*VLOOKUP($D89&amp;" (Install)",Lists!$C$72:$R$232,COLUMNS(Lists!$C$69:I$69),0)*VLOOKUP(BI$3,Conversions!$B$12:$E$34,4,0),$G89*VLOOKUP($F89,Lists!$C$72:$R$232,COLUMNS(Lists!$C$69:I$69),0)*VLOOKUP(BI$3,Conversions!$B$12:$E$34,4,0)))</f>
        <v>0</v>
      </c>
      <c r="Q89" s="333">
        <f>IF($F89="",0,IF($F89="Weighted Average",$G89*VLOOKUP($D89&amp;" (Install)",Lists!$C$72:$R$232,COLUMNS(Lists!$C$69:J$69),0)*VLOOKUP(BJ$3,Conversions!$B$12:$E$34,4,0),$G89*VLOOKUP($F89,Lists!$C$72:$R$232,COLUMNS(Lists!$C$69:J$69),0)*VLOOKUP(BJ$3,Conversions!$B$12:$E$34,4,0)))</f>
        <v>0</v>
      </c>
      <c r="R89" s="333">
        <f>IF($F89="",0,IF($F89="Weighted Average",$G89*VLOOKUP($D89&amp;" (Install)",Lists!$C$72:$R$232,COLUMNS(Lists!$C$69:K$69),0)*VLOOKUP(BK$3,Conversions!$B$12:$E$34,4,0),$G89*VLOOKUP($F89,Lists!$C$72:$R$232,COLUMNS(Lists!$C$69:K$69),0)*VLOOKUP(BK$3,Conversions!$B$12:$E$34,4,0)))</f>
        <v>0</v>
      </c>
      <c r="S89" s="333">
        <f>IF($F89="",0,IF($F89="Weighted Average",$G89*VLOOKUP($D89&amp;" (Install)",Lists!$C$72:$R$232,COLUMNS(Lists!$C$69:L$69),0)*VLOOKUP(BL$3,Conversions!$B$12:$E$34,4,0),$G89*VLOOKUP($F89,Lists!$C$72:$R$232,COLUMNS(Lists!$C$69:L$69),0)*VLOOKUP(BL$3,Conversions!$B$12:$E$34,4,0)))</f>
        <v>0</v>
      </c>
      <c r="T89" s="333">
        <f>IF($F89="",0,IF($F89="Weighted Average",$G89*VLOOKUP($D89&amp;" (Install)",Lists!$C$72:$R$232,COLUMNS(Lists!$C$69:M$69),0)*VLOOKUP(BM$3,Conversions!$B$12:$E$34,4,0),$G89*VLOOKUP($F89,Lists!$C$72:$R$232,COLUMNS(Lists!$C$69:M$69),0)*VLOOKUP(BM$3,Conversions!$B$12:$E$34,4,0)))</f>
        <v>0</v>
      </c>
      <c r="U89" s="333">
        <f>IF($F89="",0,IF($F89="Weighted Average",$G89*VLOOKUP($D89&amp;" (Install)",Lists!$C$72:$R$232,COLUMNS(Lists!$C$69:N$69),0)*VLOOKUP(BN$3,Conversions!$B$12:$E$34,4,0),$G89*VLOOKUP($F89,Lists!$C$72:$R$232,COLUMNS(Lists!$C$69:N$69),0)*VLOOKUP(BN$3,Conversions!$B$12:$E$34,4,0)))</f>
        <v>0</v>
      </c>
      <c r="V89" s="333">
        <f>IF($F89="",0,IF($F89="Weighted Average",$G89*VLOOKUP($D89&amp;" (Install)",Lists!$C$72:$R$232,COLUMNS(Lists!$C$69:O$69),0)*VLOOKUP(BO$3,Conversions!$B$12:$E$34,4,0),$G89*VLOOKUP($F89,Lists!$C$72:$R$232,COLUMNS(Lists!$C$69:O$69),0)*VLOOKUP(BO$3,Conversions!$B$12:$E$34,4,0)))</f>
        <v>0</v>
      </c>
      <c r="W89" s="333">
        <f>IF($F89="",0,IF($F89="Weighted Average",$G89*VLOOKUP($D89&amp;" (Install)",Lists!$C$72:$R$232,COLUMNS(Lists!$C$69:P$69),0)*VLOOKUP(BP$3,Conversions!$B$12:$E$34,4,0),$G89*VLOOKUP($F89,Lists!$C$72:$R$232,COLUMNS(Lists!$C$69:P$69),0)*VLOOKUP(BP$3,Conversions!$B$12:$E$34,4,0)))</f>
        <v>0</v>
      </c>
      <c r="X89" s="333">
        <f>IF($F89="",0,IF($F89="Weighted Average",$G89*VLOOKUP($D89&amp;" (Install)",Lists!$C$72:$R$232,COLUMNS(Lists!$C$69:Q$69),0)*VLOOKUP(BQ$3,Conversions!$B$12:$E$34,4,0),$G89*VLOOKUP($F89,Lists!$C$72:$R$232,COLUMNS(Lists!$C$69:Q$69),0)*VLOOKUP(BQ$3,Conversions!$B$12:$E$34,4,0)))</f>
        <v>0</v>
      </c>
      <c r="Y89" s="333">
        <f>IF($F89="",0,IF($F89="Weighted Average",$G89*VLOOKUP($D89&amp;" (Install)",Lists!$C$72:$R$232,COLUMNS(Lists!$C$69:R$69),0)*VLOOKUP(BR$3,Conversions!$B$12:$E$34,4,0),$G89*VLOOKUP($F89,Lists!$C$72:$R$232,COLUMNS(Lists!$C$69:R$69),0)*VLOOKUP(BR$3,Conversions!$B$12:$E$34,4,0)))</f>
        <v>0</v>
      </c>
      <c r="Z89" s="325">
        <f t="shared" si="38"/>
        <v>0</v>
      </c>
      <c r="AA89" s="334">
        <f>IF($F89="",0,IF($F89="Weighted Average",$H89*VLOOKUP($D89&amp;" (Operation)",Lists!$C$72:$R$232,COLUMNS(Lists!$C$69:E$69),0)*VLOOKUP(BE$3,Conversions!$B$12:$E$34,4,0),$H89*VLOOKUP($F89,Lists!$C$72:$R$232,COLUMNS(Lists!$C$69:E$69),0)*VLOOKUP(BE$3,Conversions!$B$12:$E$34,4,0)))</f>
        <v>0</v>
      </c>
      <c r="AB89" s="334">
        <f>IF($F89="",0,IF($F89="Weighted Average",$H89*VLOOKUP($D89&amp;" (Operation)",Lists!$C$72:$R$232,COLUMNS(Lists!$C$69:F$69),0)*VLOOKUP(BF$3,Conversions!$B$12:$E$34,4,0),$H89*VLOOKUP($F89,Lists!$C$72:$R$232,COLUMNS(Lists!$C$69:F$69),0)*VLOOKUP(BF$3,Conversions!$B$12:$E$34,4,0)))</f>
        <v>0</v>
      </c>
      <c r="AC89" s="334">
        <f>IF($F89="",0,IF($F89="Weighted Average",$H89*VLOOKUP($D89&amp;" (Operation)",Lists!$C$72:$R$232,COLUMNS(Lists!$C$69:G$69),0)*VLOOKUP(BG$3,Conversions!$B$12:$E$34,4,0),$H89*VLOOKUP($F89,Lists!$C$72:$R$232,COLUMNS(Lists!$C$69:G$69),0)*VLOOKUP(BG$3,Conversions!$B$12:$E$34,4,0)))</f>
        <v>0</v>
      </c>
      <c r="AD89" s="334">
        <f>IF($F89="",0,IF($F89="Weighted Average",$H89*VLOOKUP($D89&amp;" (Operation)",Lists!$C$72:$R$232,COLUMNS(Lists!$C$69:H$69),0)*VLOOKUP(BH$3,Conversions!$B$12:$E$34,4,0),$H89*VLOOKUP($F89,Lists!$C$72:$R$232,COLUMNS(Lists!$C$69:H$69),0)*VLOOKUP(BH$3,Conversions!$B$12:$E$34,4,0)))</f>
        <v>0</v>
      </c>
      <c r="AE89" s="334">
        <f>IF($F89="",0,IF($F89="Weighted Average",$H89*VLOOKUP($D89&amp;" (Operation)",Lists!$C$72:$R$232,COLUMNS(Lists!$C$69:I$69),0)*VLOOKUP(BI$3,Conversions!$B$12:$E$34,4,0),$H89*VLOOKUP($F89,Lists!$C$72:$R$232,COLUMNS(Lists!$C$69:I$69),0)*VLOOKUP(BI$3,Conversions!$B$12:$E$34,4,0)))</f>
        <v>0</v>
      </c>
      <c r="AF89" s="334">
        <f>IF($F89="",0,IF($F89="Weighted Average",$H89*VLOOKUP($D89&amp;" (Operation)",Lists!$C$72:$R$232,COLUMNS(Lists!$C$69:J$69),0)*VLOOKUP(BJ$3,Conversions!$B$12:$E$34,4,0),$H89*VLOOKUP($F89,Lists!$C$72:$R$232,COLUMNS(Lists!$C$69:J$69),0)*VLOOKUP(BJ$3,Conversions!$B$12:$E$34,4,0)))</f>
        <v>0</v>
      </c>
      <c r="AG89" s="334">
        <f>IF($F89="",0,IF($F89="Weighted Average",$H89*VLOOKUP($D89&amp;" (Operation)",Lists!$C$72:$R$232,COLUMNS(Lists!$C$69:K$69),0)*VLOOKUP(BK$3,Conversions!$B$12:$E$34,4,0),$H89*VLOOKUP($F89,Lists!$C$72:$R$232,COLUMNS(Lists!$C$69:K$69),0)*VLOOKUP(BK$3,Conversions!$B$12:$E$34,4,0)))</f>
        <v>0</v>
      </c>
      <c r="AH89" s="334">
        <f>IF($F89="",0,IF($F89="Weighted Average",$H89*VLOOKUP($D89&amp;" (Operation)",Lists!$C$72:$R$232,COLUMNS(Lists!$C$69:L$69),0)*VLOOKUP(BL$3,Conversions!$B$12:$E$34,4,0),$H89*VLOOKUP($F89,Lists!$C$72:$R$232,COLUMNS(Lists!$C$69:L$69),0)*VLOOKUP(BL$3,Conversions!$B$12:$E$34,4,0)))</f>
        <v>0</v>
      </c>
      <c r="AI89" s="334">
        <f>IF($F89="",0,IF($F89="Weighted Average",$H89*VLOOKUP($D89&amp;" (Operation)",Lists!$C$72:$R$232,COLUMNS(Lists!$C$69:M$69),0)*VLOOKUP(BM$3,Conversions!$B$12:$E$34,4,0),$H89*VLOOKUP($F89,Lists!$C$72:$R$232,COLUMNS(Lists!$C$69:M$69),0)*VLOOKUP(BM$3,Conversions!$B$12:$E$34,4,0)))</f>
        <v>0</v>
      </c>
      <c r="AJ89" s="334">
        <f>IF($F89="",0,IF($F89="Weighted Average",$H89*VLOOKUP($D89&amp;" (Operation)",Lists!$C$72:$R$232,COLUMNS(Lists!$C$69:N$69),0)*VLOOKUP(BN$3,Conversions!$B$12:$E$34,4,0),$H89*VLOOKUP($F89,Lists!$C$72:$R$232,COLUMNS(Lists!$C$69:N$69),0)*VLOOKUP(BN$3,Conversions!$B$12:$E$34,4,0)))</f>
        <v>0</v>
      </c>
      <c r="AK89" s="334">
        <f>IF($F89="",0,IF($F89="Weighted Average",$H89*VLOOKUP($D89&amp;" (Operation)",Lists!$C$72:$R$232,COLUMNS(Lists!$C$69:O$69),0)*VLOOKUP(BO$3,Conversions!$B$12:$E$34,4,0),$H89*VLOOKUP($F89,Lists!$C$72:$R$232,COLUMNS(Lists!$C$69:O$69),0)*VLOOKUP(BO$3,Conversions!$B$12:$E$34,4,0)))</f>
        <v>0</v>
      </c>
      <c r="AL89" s="334">
        <f>IF($F89="",0,IF($F89="Weighted Average",$H89*VLOOKUP($D89&amp;" (Operation)",Lists!$C$72:$R$232,COLUMNS(Lists!$C$69:P$69),0)*VLOOKUP(BP$3,Conversions!$B$12:$E$34,4,0),$H89*VLOOKUP($F89,Lists!$C$72:$R$232,COLUMNS(Lists!$C$69:P$69),0)*VLOOKUP(BP$3,Conversions!$B$12:$E$34,4,0)))</f>
        <v>0</v>
      </c>
      <c r="AM89" s="334">
        <f>IF($F89="",0,IF($F89="Weighted Average",$H89*VLOOKUP($D89&amp;" (Operation)",Lists!$C$72:$R$232,COLUMNS(Lists!$C$69:Q$69),0)*VLOOKUP(BQ$3,Conversions!$B$12:$E$34,4,0),$H89*VLOOKUP($F89,Lists!$C$72:$R$232,COLUMNS(Lists!$C$69:Q$69),0)*VLOOKUP(BQ$3,Conversions!$B$12:$E$34,4,0)))</f>
        <v>0</v>
      </c>
      <c r="AN89" s="334">
        <f>IF($F89="",0,IF($F89="Weighted Average",$H89*VLOOKUP($D89&amp;" (Operation)",Lists!$C$72:$R$232,COLUMNS(Lists!$C$69:R$69),0)*VLOOKUP(BR$3,Conversions!$B$12:$E$34,4,0),$H89*VLOOKUP($F89,Lists!$C$72:$R$232,COLUMNS(Lists!$C$69:R$69),0)*VLOOKUP(BR$3,Conversions!$B$12:$E$34,4,0)))</f>
        <v>0</v>
      </c>
      <c r="AO89" s="330">
        <f t="shared" si="39"/>
        <v>0</v>
      </c>
      <c r="AP89" s="333">
        <f>IF($F89="",0,IF($F89="Weighted Average",$I89*VLOOKUP($D89&amp;" (Disposal)",Lists!$C$72:$R$232,COLUMNS(Lists!$C$69:E$69),0)*VLOOKUP(BE$3,Conversions!$B$12:$E$34,4,0),$I89*VLOOKUP($F89,Lists!$C$72:$R$232,COLUMNS(Lists!$C$69:E$69),0)*VLOOKUP(BE$3,Conversions!$B$12:$E$34,4,0)))</f>
        <v>0</v>
      </c>
      <c r="AQ89" s="333">
        <f>IF($F89="",0,IF($F89="Weighted Average",$I89*VLOOKUP($D89&amp;" (Disposal)",Lists!$C$72:$R$232,COLUMNS(Lists!$C$69:F$69),0)*VLOOKUP(BF$3,Conversions!$B$12:$E$34,4,0),$I89*VLOOKUP($F89,Lists!$C$72:$R$232,COLUMNS(Lists!$C$69:F$69),0)*VLOOKUP(BF$3,Conversions!$B$12:$E$34,4,0)))</f>
        <v>0</v>
      </c>
      <c r="AR89" s="333">
        <f>IF($F89="",0,IF($F89="Weighted Average",$I89*VLOOKUP($D89&amp;" (Disposal)",Lists!$C$72:$R$232,COLUMNS(Lists!$C$69:G$69),0)*VLOOKUP(BG$3,Conversions!$B$12:$E$34,4,0),$I89*VLOOKUP($F89,Lists!$C$72:$R$232,COLUMNS(Lists!$C$69:G$69),0)*VLOOKUP(BG$3,Conversions!$B$12:$E$34,4,0)))</f>
        <v>0</v>
      </c>
      <c r="AS89" s="333">
        <f>IF($F89="",0,IF($F89="Weighted Average",$I89*VLOOKUP($D89&amp;" (Disposal)",Lists!$C$72:$R$232,COLUMNS(Lists!$C$69:H$69),0)*VLOOKUP(BH$3,Conversions!$B$12:$E$34,4,0),$I89*VLOOKUP($F89,Lists!$C$72:$R$232,COLUMNS(Lists!$C$69:H$69),0)*VLOOKUP(BH$3,Conversions!$B$12:$E$34,4,0)))</f>
        <v>0</v>
      </c>
      <c r="AT89" s="333">
        <f>IF($F89="",0,IF($F89="Weighted Average",$I89*VLOOKUP($D89&amp;" (Disposal)",Lists!$C$72:$R$232,COLUMNS(Lists!$C$69:I$69),0)*VLOOKUP(BI$3,Conversions!$B$12:$E$34,4,0),$I89*VLOOKUP($F89,Lists!$C$72:$R$232,COLUMNS(Lists!$C$69:I$69),0)*VLOOKUP(BI$3,Conversions!$B$12:$E$34,4,0)))</f>
        <v>0</v>
      </c>
      <c r="AU89" s="333">
        <f>IF($F89="",0,IF($F89="Weighted Average",$I89*VLOOKUP($D89&amp;" (Disposal)",Lists!$C$72:$R$232,COLUMNS(Lists!$C$69:J$69),0)*VLOOKUP(BJ$3,Conversions!$B$12:$E$34,4,0),$I89*VLOOKUP($F89,Lists!$C$72:$R$232,COLUMNS(Lists!$C$69:J$69),0)*VLOOKUP(BJ$3,Conversions!$B$12:$E$34,4,0)))</f>
        <v>0</v>
      </c>
      <c r="AV89" s="333">
        <f>IF($F89="",0,IF($F89="Weighted Average",$I89*VLOOKUP($D89&amp;" (Disposal)",Lists!$C$72:$R$232,COLUMNS(Lists!$C$69:K$69),0)*VLOOKUP(BK$3,Conversions!$B$12:$E$34,4,0),$I89*VLOOKUP($F89,Lists!$C$72:$R$232,COLUMNS(Lists!$C$69:K$69),0)*VLOOKUP(BK$3,Conversions!$B$12:$E$34,4,0)))</f>
        <v>0</v>
      </c>
      <c r="AW89" s="333">
        <f>IF($F89="",0,IF($F89="Weighted Average",$I89*VLOOKUP($D89&amp;" (Disposal)",Lists!$C$72:$R$232,COLUMNS(Lists!$C$69:L$69),0)*VLOOKUP(BL$3,Conversions!$B$12:$E$34,4,0),$I89*VLOOKUP($F89,Lists!$C$72:$R$232,COLUMNS(Lists!$C$69:L$69),0)*VLOOKUP(BL$3,Conversions!$B$12:$E$34,4,0)))</f>
        <v>0</v>
      </c>
      <c r="AX89" s="333">
        <f>IF($F89="",0,IF($F89="Weighted Average",$I89*VLOOKUP($D89&amp;" (Disposal)",Lists!$C$72:$R$232,COLUMNS(Lists!$C$69:M$69),0)*VLOOKUP(BM$3,Conversions!$B$12:$E$34,4,0),$I89*VLOOKUP($F89,Lists!$C$72:$R$232,COLUMNS(Lists!$C$69:M$69),0)*VLOOKUP(BM$3,Conversions!$B$12:$E$34,4,0)))</f>
        <v>0</v>
      </c>
      <c r="AY89" s="333">
        <f>IF($F89="",0,IF($F89="Weighted Average",$I89*VLOOKUP($D89&amp;" (Disposal)",Lists!$C$72:$R$232,COLUMNS(Lists!$C$69:N$69),0)*VLOOKUP(BN$3,Conversions!$B$12:$E$34,4,0),$I89*VLOOKUP($F89,Lists!$C$72:$R$232,COLUMNS(Lists!$C$69:N$69),0)*VLOOKUP(BN$3,Conversions!$B$12:$E$34,4,0)))</f>
        <v>0</v>
      </c>
      <c r="AZ89" s="333">
        <f>IF($F89="",0,IF($F89="Weighted Average",$I89*VLOOKUP($D89&amp;" (Disposal)",Lists!$C$72:$R$232,COLUMNS(Lists!$C$69:O$69),0)*VLOOKUP(BO$3,Conversions!$B$12:$E$34,4,0),$I89*VLOOKUP($F89,Lists!$C$72:$R$232,COLUMNS(Lists!$C$69:O$69),0)*VLOOKUP(BO$3,Conversions!$B$12:$E$34,4,0)))</f>
        <v>0</v>
      </c>
      <c r="BA89" s="333">
        <f>IF($F89="",0,IF($F89="Weighted Average",$I89*VLOOKUP($D89&amp;" (Disposal)",Lists!$C$72:$R$232,COLUMNS(Lists!$C$69:P$69),0)*VLOOKUP(BP$3,Conversions!$B$12:$E$34,4,0),$I89*VLOOKUP($F89,Lists!$C$72:$R$232,COLUMNS(Lists!$C$69:P$69),0)*VLOOKUP(BP$3,Conversions!$B$12:$E$34,4,0)))</f>
        <v>0</v>
      </c>
      <c r="BB89" s="333">
        <f>IF($F89="",0,IF($F89="Weighted Average",$I89*VLOOKUP($D89&amp;" (Disposal)",Lists!$C$72:$R$232,COLUMNS(Lists!$C$69:Q$69),0)*VLOOKUP(BQ$3,Conversions!$B$12:$E$34,4,0),$I89*VLOOKUP($F89,Lists!$C$72:$R$232,COLUMNS(Lists!$C$69:Q$69),0)*VLOOKUP(BQ$3,Conversions!$B$12:$E$34,4,0)))</f>
        <v>0</v>
      </c>
      <c r="BC89" s="333">
        <f>IF($F89="",0,IF($F89="Weighted Average",$I89*VLOOKUP($D89&amp;" (Disposal)",Lists!$C$72:$R$232,COLUMNS(Lists!$C$69:R$69),0)*VLOOKUP(BR$3,Conversions!$B$12:$E$34,4,0),$I89*VLOOKUP($F89,Lists!$C$72:$R$232,COLUMNS(Lists!$C$69:R$69),0)*VLOOKUP(BR$3,Conversions!$B$12:$E$34,4,0)))</f>
        <v>0</v>
      </c>
      <c r="BD89" s="333">
        <f t="shared" si="40"/>
        <v>0</v>
      </c>
      <c r="BE89" s="330">
        <f t="shared" si="41"/>
        <v>0</v>
      </c>
      <c r="BF89" s="330">
        <f t="shared" si="42"/>
        <v>0</v>
      </c>
      <c r="BG89" s="330">
        <f t="shared" si="43"/>
        <v>0</v>
      </c>
      <c r="BH89" s="330">
        <f t="shared" si="44"/>
        <v>0</v>
      </c>
      <c r="BI89" s="330">
        <f t="shared" si="45"/>
        <v>0</v>
      </c>
      <c r="BJ89" s="330">
        <f t="shared" si="46"/>
        <v>0</v>
      </c>
      <c r="BK89" s="330">
        <f t="shared" si="47"/>
        <v>0</v>
      </c>
      <c r="BL89" s="330">
        <f t="shared" si="48"/>
        <v>0</v>
      </c>
      <c r="BM89" s="330">
        <f t="shared" si="49"/>
        <v>0</v>
      </c>
      <c r="BN89" s="330">
        <f t="shared" si="50"/>
        <v>0</v>
      </c>
      <c r="BO89" s="330">
        <f t="shared" si="51"/>
        <v>0</v>
      </c>
      <c r="BP89" s="330">
        <f t="shared" si="52"/>
        <v>0</v>
      </c>
      <c r="BQ89" s="330">
        <f t="shared" si="53"/>
        <v>0</v>
      </c>
      <c r="BR89" s="330">
        <f t="shared" si="54"/>
        <v>0</v>
      </c>
      <c r="BS89" s="330">
        <f t="shared" si="55"/>
        <v>0</v>
      </c>
      <c r="BT89" s="329">
        <f t="shared" si="99"/>
        <v>0</v>
      </c>
      <c r="BU89" s="329">
        <f t="shared" si="99"/>
        <v>0</v>
      </c>
      <c r="BV89" s="329">
        <f t="shared" si="99"/>
        <v>0</v>
      </c>
      <c r="BW89" s="329">
        <f t="shared" si="99"/>
        <v>0</v>
      </c>
      <c r="BX89" s="329">
        <f t="shared" si="99"/>
        <v>0</v>
      </c>
      <c r="BY89" s="329">
        <f t="shared" si="99"/>
        <v>0</v>
      </c>
      <c r="BZ89" s="329">
        <f t="shared" si="99"/>
        <v>0</v>
      </c>
      <c r="CA89" s="329">
        <f t="shared" si="99"/>
        <v>0</v>
      </c>
      <c r="CB89" s="329">
        <f t="shared" si="99"/>
        <v>0</v>
      </c>
      <c r="CC89" s="329">
        <f t="shared" si="99"/>
        <v>0</v>
      </c>
      <c r="CD89" s="329">
        <f t="shared" si="99"/>
        <v>0</v>
      </c>
      <c r="CE89" s="329">
        <f t="shared" si="99"/>
        <v>0</v>
      </c>
      <c r="CF89" s="329">
        <f t="shared" si="99"/>
        <v>0</v>
      </c>
      <c r="CG89" s="329">
        <f t="shared" si="99"/>
        <v>0</v>
      </c>
      <c r="CH89" s="329">
        <f t="shared" si="99"/>
        <v>0</v>
      </c>
      <c r="CI89" s="329">
        <f t="shared" si="99"/>
        <v>0</v>
      </c>
      <c r="CJ89" s="331">
        <f t="shared" si="1"/>
        <v>0</v>
      </c>
      <c r="CK89" s="330">
        <f t="shared" si="5"/>
        <v>0</v>
      </c>
      <c r="CL89" s="330">
        <f t="shared" si="6"/>
        <v>0</v>
      </c>
      <c r="CM89" s="330">
        <f t="shared" si="7"/>
        <v>0</v>
      </c>
      <c r="CN89" s="330">
        <f t="shared" si="8"/>
        <v>0</v>
      </c>
      <c r="CO89" s="330">
        <f t="shared" si="9"/>
        <v>0</v>
      </c>
      <c r="CP89" s="330">
        <f t="shared" si="10"/>
        <v>0</v>
      </c>
      <c r="CQ89" s="330">
        <f t="shared" si="94"/>
        <v>0</v>
      </c>
      <c r="CR89" s="330">
        <f t="shared" si="12"/>
        <v>0</v>
      </c>
      <c r="CS89" s="330">
        <f t="shared" si="13"/>
        <v>0</v>
      </c>
      <c r="CT89" s="330">
        <f t="shared" si="14"/>
        <v>0</v>
      </c>
      <c r="CU89" s="330">
        <f t="shared" si="100"/>
        <v>0</v>
      </c>
      <c r="CV89" s="330">
        <f t="shared" si="100"/>
        <v>0</v>
      </c>
      <c r="CW89" s="330">
        <f t="shared" si="100"/>
        <v>0</v>
      </c>
      <c r="CX89" s="330">
        <f t="shared" si="100"/>
        <v>0</v>
      </c>
      <c r="CY89" s="330">
        <f t="shared" si="100"/>
        <v>0</v>
      </c>
      <c r="CZ89" s="330">
        <f t="shared" si="100"/>
        <v>0</v>
      </c>
      <c r="DA89" s="330">
        <f t="shared" si="100"/>
        <v>0</v>
      </c>
      <c r="DB89" s="330">
        <f t="shared" si="100"/>
        <v>0</v>
      </c>
      <c r="DC89" s="330">
        <f t="shared" si="100"/>
        <v>0</v>
      </c>
      <c r="DD89" s="330">
        <f t="shared" si="100"/>
        <v>0</v>
      </c>
      <c r="DE89" s="330">
        <f t="shared" si="101"/>
        <v>0</v>
      </c>
      <c r="DF89" s="330">
        <f t="shared" si="101"/>
        <v>0</v>
      </c>
      <c r="DG89" s="330">
        <f t="shared" si="101"/>
        <v>0</v>
      </c>
      <c r="DH89" s="330">
        <f t="shared" si="101"/>
        <v>0</v>
      </c>
      <c r="DI89" s="330">
        <f t="shared" si="101"/>
        <v>0</v>
      </c>
      <c r="DJ89" s="330">
        <f t="shared" si="101"/>
        <v>0</v>
      </c>
      <c r="DK89" s="330">
        <f t="shared" si="101"/>
        <v>0</v>
      </c>
      <c r="DL89" s="330">
        <f t="shared" si="101"/>
        <v>0</v>
      </c>
      <c r="DM89" s="330">
        <f t="shared" si="101"/>
        <v>0</v>
      </c>
      <c r="DN89" s="330">
        <f t="shared" si="101"/>
        <v>0</v>
      </c>
      <c r="DO89" s="330">
        <f t="shared" si="101"/>
        <v>0</v>
      </c>
      <c r="DP89" s="330">
        <f t="shared" si="98"/>
        <v>0</v>
      </c>
      <c r="DQ89" s="217"/>
      <c r="DR89" s="217"/>
      <c r="DS89" s="217"/>
      <c r="DT89" s="217"/>
    </row>
    <row r="90" spans="1:124" x14ac:dyDescent="0.3">
      <c r="A90" s="324"/>
      <c r="B90" s="221" t="s">
        <v>305</v>
      </c>
      <c r="C90" s="221" t="str">
        <f>IF(Screening!C20=0,"",Screening!C20)</f>
        <v/>
      </c>
      <c r="D90" s="221" t="str">
        <f>IF(Screening!D20=0,"",Screening!D20)</f>
        <v/>
      </c>
      <c r="E90" s="221" t="str">
        <f>IF(Screening!E20=0,"",Screening!E20)</f>
        <v/>
      </c>
      <c r="F90" s="221" t="str">
        <f>IF(Screening!F20=0,"",Screening!F20)</f>
        <v/>
      </c>
      <c r="G90" s="272">
        <f>Screening!G20*Screening!O20*Conversions!$C$4</f>
        <v>0</v>
      </c>
      <c r="H90" s="272">
        <f>Screening!H20*Screening!P20*Screening!I20*Conversions!$C$4</f>
        <v>0</v>
      </c>
      <c r="I90" s="272">
        <f>Screening!J20*Screening!Q20*(1-Screening!R20)*Conversions!$C$4</f>
        <v>0</v>
      </c>
      <c r="J90" s="325">
        <f>IF(Screening!S20=0,0,Screening!S20)</f>
        <v>0</v>
      </c>
      <c r="K90" s="465"/>
      <c r="L90" s="333">
        <f>IF($F90="",0,IF($F90="Weighted Average",$G90*VLOOKUP($D90&amp;" (Install)",Lists!$C$72:$R$232,COLUMNS(Lists!$C$69:E$69),0)*VLOOKUP(BE$3,Conversions!$B$12:$E$34,4,0),$G90*VLOOKUP($F90,Lists!$C$72:$R$232,COLUMNS(Lists!$C$69:E$69),0)*VLOOKUP(BE$3,Conversions!$B$12:$E$34,4,0)))</f>
        <v>0</v>
      </c>
      <c r="M90" s="333">
        <f>IF($F90="",0,IF($F90="Weighted Average",$G90*VLOOKUP($D90&amp;" (Install)",Lists!$C$72:$R$232,COLUMNS(Lists!$C$69:F$69),0)*VLOOKUP(BF$3,Conversions!$B$12:$E$34,4,0),$G90*VLOOKUP($F90,Lists!$C$72:$R$232,COLUMNS(Lists!$C$69:F$69),0)*VLOOKUP(BF$3,Conversions!$B$12:$E$34,4,0)))</f>
        <v>0</v>
      </c>
      <c r="N90" s="333">
        <f>IF($F90="",0,IF($F90="Weighted Average",$G90*VLOOKUP($D90&amp;" (Install)",Lists!$C$72:$R$232,COLUMNS(Lists!$C$69:G$69),0)*VLOOKUP(BG$3,Conversions!$B$12:$E$34,4,0),$G90*VLOOKUP($F90,Lists!$C$72:$R$232,COLUMNS(Lists!$C$69:G$69),0)*VLOOKUP(BG$3,Conversions!$B$12:$E$34,4,0)))</f>
        <v>0</v>
      </c>
      <c r="O90" s="333">
        <f>IF($F90="",0,IF($F90="Weighted Average",$G90*VLOOKUP($D90&amp;" (Install)",Lists!$C$72:$R$232,COLUMNS(Lists!$C$69:H$69),0)*VLOOKUP(BH$3,Conversions!$B$12:$E$34,4,0),$G90*VLOOKUP($F90,Lists!$C$72:$R$232,COLUMNS(Lists!$C$69:H$69),0)*VLOOKUP(BH$3,Conversions!$B$12:$E$34,4,0)))</f>
        <v>0</v>
      </c>
      <c r="P90" s="333">
        <f>IF($F90="",0,IF($F90="Weighted Average",$G90*VLOOKUP($D90&amp;" (Install)",Lists!$C$72:$R$232,COLUMNS(Lists!$C$69:I$69),0)*VLOOKUP(BI$3,Conversions!$B$12:$E$34,4,0),$G90*VLOOKUP($F90,Lists!$C$72:$R$232,COLUMNS(Lists!$C$69:I$69),0)*VLOOKUP(BI$3,Conversions!$B$12:$E$34,4,0)))</f>
        <v>0</v>
      </c>
      <c r="Q90" s="333">
        <f>IF($F90="",0,IF($F90="Weighted Average",$G90*VLOOKUP($D90&amp;" (Install)",Lists!$C$72:$R$232,COLUMNS(Lists!$C$69:J$69),0)*VLOOKUP(BJ$3,Conversions!$B$12:$E$34,4,0),$G90*VLOOKUP($F90,Lists!$C$72:$R$232,COLUMNS(Lists!$C$69:J$69),0)*VLOOKUP(BJ$3,Conversions!$B$12:$E$34,4,0)))</f>
        <v>0</v>
      </c>
      <c r="R90" s="333">
        <f>IF($F90="",0,IF($F90="Weighted Average",$G90*VLOOKUP($D90&amp;" (Install)",Lists!$C$72:$R$232,COLUMNS(Lists!$C$69:K$69),0)*VLOOKUP(BK$3,Conversions!$B$12:$E$34,4,0),$G90*VLOOKUP($F90,Lists!$C$72:$R$232,COLUMNS(Lists!$C$69:K$69),0)*VLOOKUP(BK$3,Conversions!$B$12:$E$34,4,0)))</f>
        <v>0</v>
      </c>
      <c r="S90" s="333">
        <f>IF($F90="",0,IF($F90="Weighted Average",$G90*VLOOKUP($D90&amp;" (Install)",Lists!$C$72:$R$232,COLUMNS(Lists!$C$69:L$69),0)*VLOOKUP(BL$3,Conversions!$B$12:$E$34,4,0),$G90*VLOOKUP($F90,Lists!$C$72:$R$232,COLUMNS(Lists!$C$69:L$69),0)*VLOOKUP(BL$3,Conversions!$B$12:$E$34,4,0)))</f>
        <v>0</v>
      </c>
      <c r="T90" s="333">
        <f>IF($F90="",0,IF($F90="Weighted Average",$G90*VLOOKUP($D90&amp;" (Install)",Lists!$C$72:$R$232,COLUMNS(Lists!$C$69:M$69),0)*VLOOKUP(BM$3,Conversions!$B$12:$E$34,4,0),$G90*VLOOKUP($F90,Lists!$C$72:$R$232,COLUMNS(Lists!$C$69:M$69),0)*VLOOKUP(BM$3,Conversions!$B$12:$E$34,4,0)))</f>
        <v>0</v>
      </c>
      <c r="U90" s="333">
        <f>IF($F90="",0,IF($F90="Weighted Average",$G90*VLOOKUP($D90&amp;" (Install)",Lists!$C$72:$R$232,COLUMNS(Lists!$C$69:N$69),0)*VLOOKUP(BN$3,Conversions!$B$12:$E$34,4,0),$G90*VLOOKUP($F90,Lists!$C$72:$R$232,COLUMNS(Lists!$C$69:N$69),0)*VLOOKUP(BN$3,Conversions!$B$12:$E$34,4,0)))</f>
        <v>0</v>
      </c>
      <c r="V90" s="333">
        <f>IF($F90="",0,IF($F90="Weighted Average",$G90*VLOOKUP($D90&amp;" (Install)",Lists!$C$72:$R$232,COLUMNS(Lists!$C$69:O$69),0)*VLOOKUP(BO$3,Conversions!$B$12:$E$34,4,0),$G90*VLOOKUP($F90,Lists!$C$72:$R$232,COLUMNS(Lists!$C$69:O$69),0)*VLOOKUP(BO$3,Conversions!$B$12:$E$34,4,0)))</f>
        <v>0</v>
      </c>
      <c r="W90" s="333">
        <f>IF($F90="",0,IF($F90="Weighted Average",$G90*VLOOKUP($D90&amp;" (Install)",Lists!$C$72:$R$232,COLUMNS(Lists!$C$69:P$69),0)*VLOOKUP(BP$3,Conversions!$B$12:$E$34,4,0),$G90*VLOOKUP($F90,Lists!$C$72:$R$232,COLUMNS(Lists!$C$69:P$69),0)*VLOOKUP(BP$3,Conversions!$B$12:$E$34,4,0)))</f>
        <v>0</v>
      </c>
      <c r="X90" s="333">
        <f>IF($F90="",0,IF($F90="Weighted Average",$G90*VLOOKUP($D90&amp;" (Install)",Lists!$C$72:$R$232,COLUMNS(Lists!$C$69:Q$69),0)*VLOOKUP(BQ$3,Conversions!$B$12:$E$34,4,0),$G90*VLOOKUP($F90,Lists!$C$72:$R$232,COLUMNS(Lists!$C$69:Q$69),0)*VLOOKUP(BQ$3,Conversions!$B$12:$E$34,4,0)))</f>
        <v>0</v>
      </c>
      <c r="Y90" s="333">
        <f>IF($F90="",0,IF($F90="Weighted Average",$G90*VLOOKUP($D90&amp;" (Install)",Lists!$C$72:$R$232,COLUMNS(Lists!$C$69:R$69),0)*VLOOKUP(BR$3,Conversions!$B$12:$E$34,4,0),$G90*VLOOKUP($F90,Lists!$C$72:$R$232,COLUMNS(Lists!$C$69:R$69),0)*VLOOKUP(BR$3,Conversions!$B$12:$E$34,4,0)))</f>
        <v>0</v>
      </c>
      <c r="Z90" s="325">
        <f t="shared" si="38"/>
        <v>0</v>
      </c>
      <c r="AA90" s="334">
        <f>IF($F90="",0,IF($F90="Weighted Average",$H90*VLOOKUP($D90&amp;" (Operation)",Lists!$C$72:$R$232,COLUMNS(Lists!$C$69:E$69),0)*VLOOKUP(BE$3,Conversions!$B$12:$E$34,4,0),$H90*VLOOKUP($F90,Lists!$C$72:$R$232,COLUMNS(Lists!$C$69:E$69),0)*VLOOKUP(BE$3,Conversions!$B$12:$E$34,4,0)))</f>
        <v>0</v>
      </c>
      <c r="AB90" s="334">
        <f>IF($F90="",0,IF($F90="Weighted Average",$H90*VLOOKUP($D90&amp;" (Operation)",Lists!$C$72:$R$232,COLUMNS(Lists!$C$69:F$69),0)*VLOOKUP(BF$3,Conversions!$B$12:$E$34,4,0),$H90*VLOOKUP($F90,Lists!$C$72:$R$232,COLUMNS(Lists!$C$69:F$69),0)*VLOOKUP(BF$3,Conversions!$B$12:$E$34,4,0)))</f>
        <v>0</v>
      </c>
      <c r="AC90" s="334">
        <f>IF($F90="",0,IF($F90="Weighted Average",$H90*VLOOKUP($D90&amp;" (Operation)",Lists!$C$72:$R$232,COLUMNS(Lists!$C$69:G$69),0)*VLOOKUP(BG$3,Conversions!$B$12:$E$34,4,0),$H90*VLOOKUP($F90,Lists!$C$72:$R$232,COLUMNS(Lists!$C$69:G$69),0)*VLOOKUP(BG$3,Conversions!$B$12:$E$34,4,0)))</f>
        <v>0</v>
      </c>
      <c r="AD90" s="334">
        <f>IF($F90="",0,IF($F90="Weighted Average",$H90*VLOOKUP($D90&amp;" (Operation)",Lists!$C$72:$R$232,COLUMNS(Lists!$C$69:H$69),0)*VLOOKUP(BH$3,Conversions!$B$12:$E$34,4,0),$H90*VLOOKUP($F90,Lists!$C$72:$R$232,COLUMNS(Lists!$C$69:H$69),0)*VLOOKUP(BH$3,Conversions!$B$12:$E$34,4,0)))</f>
        <v>0</v>
      </c>
      <c r="AE90" s="334">
        <f>IF($F90="",0,IF($F90="Weighted Average",$H90*VLOOKUP($D90&amp;" (Operation)",Lists!$C$72:$R$232,COLUMNS(Lists!$C$69:I$69),0)*VLOOKUP(BI$3,Conversions!$B$12:$E$34,4,0),$H90*VLOOKUP($F90,Lists!$C$72:$R$232,COLUMNS(Lists!$C$69:I$69),0)*VLOOKUP(BI$3,Conversions!$B$12:$E$34,4,0)))</f>
        <v>0</v>
      </c>
      <c r="AF90" s="334">
        <f>IF($F90="",0,IF($F90="Weighted Average",$H90*VLOOKUP($D90&amp;" (Operation)",Lists!$C$72:$R$232,COLUMNS(Lists!$C$69:J$69),0)*VLOOKUP(BJ$3,Conversions!$B$12:$E$34,4,0),$H90*VLOOKUP($F90,Lists!$C$72:$R$232,COLUMNS(Lists!$C$69:J$69),0)*VLOOKUP(BJ$3,Conversions!$B$12:$E$34,4,0)))</f>
        <v>0</v>
      </c>
      <c r="AG90" s="334">
        <f>IF($F90="",0,IF($F90="Weighted Average",$H90*VLOOKUP($D90&amp;" (Operation)",Lists!$C$72:$R$232,COLUMNS(Lists!$C$69:K$69),0)*VLOOKUP(BK$3,Conversions!$B$12:$E$34,4,0),$H90*VLOOKUP($F90,Lists!$C$72:$R$232,COLUMNS(Lists!$C$69:K$69),0)*VLOOKUP(BK$3,Conversions!$B$12:$E$34,4,0)))</f>
        <v>0</v>
      </c>
      <c r="AH90" s="334">
        <f>IF($F90="",0,IF($F90="Weighted Average",$H90*VLOOKUP($D90&amp;" (Operation)",Lists!$C$72:$R$232,COLUMNS(Lists!$C$69:L$69),0)*VLOOKUP(BL$3,Conversions!$B$12:$E$34,4,0),$H90*VLOOKUP($F90,Lists!$C$72:$R$232,COLUMNS(Lists!$C$69:L$69),0)*VLOOKUP(BL$3,Conversions!$B$12:$E$34,4,0)))</f>
        <v>0</v>
      </c>
      <c r="AI90" s="334">
        <f>IF($F90="",0,IF($F90="Weighted Average",$H90*VLOOKUP($D90&amp;" (Operation)",Lists!$C$72:$R$232,COLUMNS(Lists!$C$69:M$69),0)*VLOOKUP(BM$3,Conversions!$B$12:$E$34,4,0),$H90*VLOOKUP($F90,Lists!$C$72:$R$232,COLUMNS(Lists!$C$69:M$69),0)*VLOOKUP(BM$3,Conversions!$B$12:$E$34,4,0)))</f>
        <v>0</v>
      </c>
      <c r="AJ90" s="334">
        <f>IF($F90="",0,IF($F90="Weighted Average",$H90*VLOOKUP($D90&amp;" (Operation)",Lists!$C$72:$R$232,COLUMNS(Lists!$C$69:N$69),0)*VLOOKUP(BN$3,Conversions!$B$12:$E$34,4,0),$H90*VLOOKUP($F90,Lists!$C$72:$R$232,COLUMNS(Lists!$C$69:N$69),0)*VLOOKUP(BN$3,Conversions!$B$12:$E$34,4,0)))</f>
        <v>0</v>
      </c>
      <c r="AK90" s="334">
        <f>IF($F90="",0,IF($F90="Weighted Average",$H90*VLOOKUP($D90&amp;" (Operation)",Lists!$C$72:$R$232,COLUMNS(Lists!$C$69:O$69),0)*VLOOKUP(BO$3,Conversions!$B$12:$E$34,4,0),$H90*VLOOKUP($F90,Lists!$C$72:$R$232,COLUMNS(Lists!$C$69:O$69),0)*VLOOKUP(BO$3,Conversions!$B$12:$E$34,4,0)))</f>
        <v>0</v>
      </c>
      <c r="AL90" s="334">
        <f>IF($F90="",0,IF($F90="Weighted Average",$H90*VLOOKUP($D90&amp;" (Operation)",Lists!$C$72:$R$232,COLUMNS(Lists!$C$69:P$69),0)*VLOOKUP(BP$3,Conversions!$B$12:$E$34,4,0),$H90*VLOOKUP($F90,Lists!$C$72:$R$232,COLUMNS(Lists!$C$69:P$69),0)*VLOOKUP(BP$3,Conversions!$B$12:$E$34,4,0)))</f>
        <v>0</v>
      </c>
      <c r="AM90" s="334">
        <f>IF($F90="",0,IF($F90="Weighted Average",$H90*VLOOKUP($D90&amp;" (Operation)",Lists!$C$72:$R$232,COLUMNS(Lists!$C$69:Q$69),0)*VLOOKUP(BQ$3,Conversions!$B$12:$E$34,4,0),$H90*VLOOKUP($F90,Lists!$C$72:$R$232,COLUMNS(Lists!$C$69:Q$69),0)*VLOOKUP(BQ$3,Conversions!$B$12:$E$34,4,0)))</f>
        <v>0</v>
      </c>
      <c r="AN90" s="334">
        <f>IF($F90="",0,IF($F90="Weighted Average",$H90*VLOOKUP($D90&amp;" (Operation)",Lists!$C$72:$R$232,COLUMNS(Lists!$C$69:R$69),0)*VLOOKUP(BR$3,Conversions!$B$12:$E$34,4,0),$H90*VLOOKUP($F90,Lists!$C$72:$R$232,COLUMNS(Lists!$C$69:R$69),0)*VLOOKUP(BR$3,Conversions!$B$12:$E$34,4,0)))</f>
        <v>0</v>
      </c>
      <c r="AO90" s="330">
        <f t="shared" si="39"/>
        <v>0</v>
      </c>
      <c r="AP90" s="333">
        <f>IF($F90="",0,IF($F90="Weighted Average",$I90*VLOOKUP($D90&amp;" (Disposal)",Lists!$C$72:$R$232,COLUMNS(Lists!$C$69:E$69),0)*VLOOKUP(BE$3,Conversions!$B$12:$E$34,4,0),$I90*VLOOKUP($F90,Lists!$C$72:$R$232,COLUMNS(Lists!$C$69:E$69),0)*VLOOKUP(BE$3,Conversions!$B$12:$E$34,4,0)))</f>
        <v>0</v>
      </c>
      <c r="AQ90" s="333">
        <f>IF($F90="",0,IF($F90="Weighted Average",$I90*VLOOKUP($D90&amp;" (Disposal)",Lists!$C$72:$R$232,COLUMNS(Lists!$C$69:F$69),0)*VLOOKUP(BF$3,Conversions!$B$12:$E$34,4,0),$I90*VLOOKUP($F90,Lists!$C$72:$R$232,COLUMNS(Lists!$C$69:F$69),0)*VLOOKUP(BF$3,Conversions!$B$12:$E$34,4,0)))</f>
        <v>0</v>
      </c>
      <c r="AR90" s="333">
        <f>IF($F90="",0,IF($F90="Weighted Average",$I90*VLOOKUP($D90&amp;" (Disposal)",Lists!$C$72:$R$232,COLUMNS(Lists!$C$69:G$69),0)*VLOOKUP(BG$3,Conversions!$B$12:$E$34,4,0),$I90*VLOOKUP($F90,Lists!$C$72:$R$232,COLUMNS(Lists!$C$69:G$69),0)*VLOOKUP(BG$3,Conversions!$B$12:$E$34,4,0)))</f>
        <v>0</v>
      </c>
      <c r="AS90" s="333">
        <f>IF($F90="",0,IF($F90="Weighted Average",$I90*VLOOKUP($D90&amp;" (Disposal)",Lists!$C$72:$R$232,COLUMNS(Lists!$C$69:H$69),0)*VLOOKUP(BH$3,Conversions!$B$12:$E$34,4,0),$I90*VLOOKUP($F90,Lists!$C$72:$R$232,COLUMNS(Lists!$C$69:H$69),0)*VLOOKUP(BH$3,Conversions!$B$12:$E$34,4,0)))</f>
        <v>0</v>
      </c>
      <c r="AT90" s="333">
        <f>IF($F90="",0,IF($F90="Weighted Average",$I90*VLOOKUP($D90&amp;" (Disposal)",Lists!$C$72:$R$232,COLUMNS(Lists!$C$69:I$69),0)*VLOOKUP(BI$3,Conversions!$B$12:$E$34,4,0),$I90*VLOOKUP($F90,Lists!$C$72:$R$232,COLUMNS(Lists!$C$69:I$69),0)*VLOOKUP(BI$3,Conversions!$B$12:$E$34,4,0)))</f>
        <v>0</v>
      </c>
      <c r="AU90" s="333">
        <f>IF($F90="",0,IF($F90="Weighted Average",$I90*VLOOKUP($D90&amp;" (Disposal)",Lists!$C$72:$R$232,COLUMNS(Lists!$C$69:J$69),0)*VLOOKUP(BJ$3,Conversions!$B$12:$E$34,4,0),$I90*VLOOKUP($F90,Lists!$C$72:$R$232,COLUMNS(Lists!$C$69:J$69),0)*VLOOKUP(BJ$3,Conversions!$B$12:$E$34,4,0)))</f>
        <v>0</v>
      </c>
      <c r="AV90" s="333">
        <f>IF($F90="",0,IF($F90="Weighted Average",$I90*VLOOKUP($D90&amp;" (Disposal)",Lists!$C$72:$R$232,COLUMNS(Lists!$C$69:K$69),0)*VLOOKUP(BK$3,Conversions!$B$12:$E$34,4,0),$I90*VLOOKUP($F90,Lists!$C$72:$R$232,COLUMNS(Lists!$C$69:K$69),0)*VLOOKUP(BK$3,Conversions!$B$12:$E$34,4,0)))</f>
        <v>0</v>
      </c>
      <c r="AW90" s="333">
        <f>IF($F90="",0,IF($F90="Weighted Average",$I90*VLOOKUP($D90&amp;" (Disposal)",Lists!$C$72:$R$232,COLUMNS(Lists!$C$69:L$69),0)*VLOOKUP(BL$3,Conversions!$B$12:$E$34,4,0),$I90*VLOOKUP($F90,Lists!$C$72:$R$232,COLUMNS(Lists!$C$69:L$69),0)*VLOOKUP(BL$3,Conversions!$B$12:$E$34,4,0)))</f>
        <v>0</v>
      </c>
      <c r="AX90" s="333">
        <f>IF($F90="",0,IF($F90="Weighted Average",$I90*VLOOKUP($D90&amp;" (Disposal)",Lists!$C$72:$R$232,COLUMNS(Lists!$C$69:M$69),0)*VLOOKUP(BM$3,Conversions!$B$12:$E$34,4,0),$I90*VLOOKUP($F90,Lists!$C$72:$R$232,COLUMNS(Lists!$C$69:M$69),0)*VLOOKUP(BM$3,Conversions!$B$12:$E$34,4,0)))</f>
        <v>0</v>
      </c>
      <c r="AY90" s="333">
        <f>IF($F90="",0,IF($F90="Weighted Average",$I90*VLOOKUP($D90&amp;" (Disposal)",Lists!$C$72:$R$232,COLUMNS(Lists!$C$69:N$69),0)*VLOOKUP(BN$3,Conversions!$B$12:$E$34,4,0),$I90*VLOOKUP($F90,Lists!$C$72:$R$232,COLUMNS(Lists!$C$69:N$69),0)*VLOOKUP(BN$3,Conversions!$B$12:$E$34,4,0)))</f>
        <v>0</v>
      </c>
      <c r="AZ90" s="333">
        <f>IF($F90="",0,IF($F90="Weighted Average",$I90*VLOOKUP($D90&amp;" (Disposal)",Lists!$C$72:$R$232,COLUMNS(Lists!$C$69:O$69),0)*VLOOKUP(BO$3,Conversions!$B$12:$E$34,4,0),$I90*VLOOKUP($F90,Lists!$C$72:$R$232,COLUMNS(Lists!$C$69:O$69),0)*VLOOKUP(BO$3,Conversions!$B$12:$E$34,4,0)))</f>
        <v>0</v>
      </c>
      <c r="BA90" s="333">
        <f>IF($F90="",0,IF($F90="Weighted Average",$I90*VLOOKUP($D90&amp;" (Disposal)",Lists!$C$72:$R$232,COLUMNS(Lists!$C$69:P$69),0)*VLOOKUP(BP$3,Conversions!$B$12:$E$34,4,0),$I90*VLOOKUP($F90,Lists!$C$72:$R$232,COLUMNS(Lists!$C$69:P$69),0)*VLOOKUP(BP$3,Conversions!$B$12:$E$34,4,0)))</f>
        <v>0</v>
      </c>
      <c r="BB90" s="333">
        <f>IF($F90="",0,IF($F90="Weighted Average",$I90*VLOOKUP($D90&amp;" (Disposal)",Lists!$C$72:$R$232,COLUMNS(Lists!$C$69:Q$69),0)*VLOOKUP(BQ$3,Conversions!$B$12:$E$34,4,0),$I90*VLOOKUP($F90,Lists!$C$72:$R$232,COLUMNS(Lists!$C$69:Q$69),0)*VLOOKUP(BQ$3,Conversions!$B$12:$E$34,4,0)))</f>
        <v>0</v>
      </c>
      <c r="BC90" s="333">
        <f>IF($F90="",0,IF($F90="Weighted Average",$I90*VLOOKUP($D90&amp;" (Disposal)",Lists!$C$72:$R$232,COLUMNS(Lists!$C$69:R$69),0)*VLOOKUP(BR$3,Conversions!$B$12:$E$34,4,0),$I90*VLOOKUP($F90,Lists!$C$72:$R$232,COLUMNS(Lists!$C$69:R$69),0)*VLOOKUP(BR$3,Conversions!$B$12:$E$34,4,0)))</f>
        <v>0</v>
      </c>
      <c r="BD90" s="333">
        <f t="shared" si="40"/>
        <v>0</v>
      </c>
      <c r="BE90" s="330">
        <f t="shared" si="41"/>
        <v>0</v>
      </c>
      <c r="BF90" s="330">
        <f t="shared" si="42"/>
        <v>0</v>
      </c>
      <c r="BG90" s="330">
        <f t="shared" si="43"/>
        <v>0</v>
      </c>
      <c r="BH90" s="330">
        <f t="shared" si="44"/>
        <v>0</v>
      </c>
      <c r="BI90" s="330">
        <f t="shared" si="45"/>
        <v>0</v>
      </c>
      <c r="BJ90" s="330">
        <f t="shared" si="46"/>
        <v>0</v>
      </c>
      <c r="BK90" s="330">
        <f t="shared" si="47"/>
        <v>0</v>
      </c>
      <c r="BL90" s="330">
        <f t="shared" si="48"/>
        <v>0</v>
      </c>
      <c r="BM90" s="330">
        <f t="shared" si="49"/>
        <v>0</v>
      </c>
      <c r="BN90" s="330">
        <f t="shared" si="50"/>
        <v>0</v>
      </c>
      <c r="BO90" s="330">
        <f t="shared" si="51"/>
        <v>0</v>
      </c>
      <c r="BP90" s="330">
        <f t="shared" si="52"/>
        <v>0</v>
      </c>
      <c r="BQ90" s="330">
        <f t="shared" si="53"/>
        <v>0</v>
      </c>
      <c r="BR90" s="330">
        <f t="shared" si="54"/>
        <v>0</v>
      </c>
      <c r="BS90" s="330">
        <f t="shared" si="55"/>
        <v>0</v>
      </c>
      <c r="BT90" s="329">
        <f t="shared" si="99"/>
        <v>0</v>
      </c>
      <c r="BU90" s="329">
        <f t="shared" si="99"/>
        <v>0</v>
      </c>
      <c r="BV90" s="329">
        <f t="shared" si="99"/>
        <v>0</v>
      </c>
      <c r="BW90" s="329">
        <f t="shared" si="99"/>
        <v>0</v>
      </c>
      <c r="BX90" s="329">
        <f t="shared" si="99"/>
        <v>0</v>
      </c>
      <c r="BY90" s="329">
        <f t="shared" si="99"/>
        <v>0</v>
      </c>
      <c r="BZ90" s="329">
        <f t="shared" si="99"/>
        <v>0</v>
      </c>
      <c r="CA90" s="329">
        <f t="shared" si="99"/>
        <v>0</v>
      </c>
      <c r="CB90" s="329">
        <f t="shared" si="99"/>
        <v>0</v>
      </c>
      <c r="CC90" s="329">
        <f t="shared" si="99"/>
        <v>0</v>
      </c>
      <c r="CD90" s="329">
        <f t="shared" si="99"/>
        <v>0</v>
      </c>
      <c r="CE90" s="329">
        <f t="shared" si="99"/>
        <v>0</v>
      </c>
      <c r="CF90" s="329">
        <f t="shared" si="99"/>
        <v>0</v>
      </c>
      <c r="CG90" s="329">
        <f t="shared" si="99"/>
        <v>0</v>
      </c>
      <c r="CH90" s="329">
        <f t="shared" si="99"/>
        <v>0</v>
      </c>
      <c r="CI90" s="329">
        <f t="shared" si="99"/>
        <v>0</v>
      </c>
      <c r="CJ90" s="331">
        <f t="shared" si="1"/>
        <v>0</v>
      </c>
      <c r="CK90" s="330">
        <f t="shared" si="5"/>
        <v>0</v>
      </c>
      <c r="CL90" s="330">
        <f t="shared" si="6"/>
        <v>0</v>
      </c>
      <c r="CM90" s="330">
        <f t="shared" si="7"/>
        <v>0</v>
      </c>
      <c r="CN90" s="330">
        <f t="shared" si="8"/>
        <v>0</v>
      </c>
      <c r="CO90" s="330">
        <f t="shared" si="9"/>
        <v>0</v>
      </c>
      <c r="CP90" s="330">
        <f t="shared" si="10"/>
        <v>0</v>
      </c>
      <c r="CQ90" s="330">
        <f t="shared" si="94"/>
        <v>0</v>
      </c>
      <c r="CR90" s="330">
        <f t="shared" si="12"/>
        <v>0</v>
      </c>
      <c r="CS90" s="330">
        <f t="shared" si="13"/>
        <v>0</v>
      </c>
      <c r="CT90" s="330">
        <f t="shared" si="14"/>
        <v>0</v>
      </c>
      <c r="CU90" s="330">
        <f t="shared" si="100"/>
        <v>0</v>
      </c>
      <c r="CV90" s="330">
        <f t="shared" si="100"/>
        <v>0</v>
      </c>
      <c r="CW90" s="330">
        <f t="shared" si="100"/>
        <v>0</v>
      </c>
      <c r="CX90" s="330">
        <f t="shared" si="100"/>
        <v>0</v>
      </c>
      <c r="CY90" s="330">
        <f t="shared" si="100"/>
        <v>0</v>
      </c>
      <c r="CZ90" s="330">
        <f t="shared" si="100"/>
        <v>0</v>
      </c>
      <c r="DA90" s="330">
        <f t="shared" si="100"/>
        <v>0</v>
      </c>
      <c r="DB90" s="330">
        <f t="shared" si="100"/>
        <v>0</v>
      </c>
      <c r="DC90" s="330">
        <f t="shared" si="100"/>
        <v>0</v>
      </c>
      <c r="DD90" s="330">
        <f t="shared" si="100"/>
        <v>0</v>
      </c>
      <c r="DE90" s="330">
        <f t="shared" si="101"/>
        <v>0</v>
      </c>
      <c r="DF90" s="330">
        <f t="shared" si="101"/>
        <v>0</v>
      </c>
      <c r="DG90" s="330">
        <f t="shared" si="101"/>
        <v>0</v>
      </c>
      <c r="DH90" s="330">
        <f t="shared" si="101"/>
        <v>0</v>
      </c>
      <c r="DI90" s="330">
        <f t="shared" si="101"/>
        <v>0</v>
      </c>
      <c r="DJ90" s="330">
        <f t="shared" si="101"/>
        <v>0</v>
      </c>
      <c r="DK90" s="330">
        <f t="shared" si="101"/>
        <v>0</v>
      </c>
      <c r="DL90" s="330">
        <f t="shared" si="101"/>
        <v>0</v>
      </c>
      <c r="DM90" s="330">
        <f t="shared" si="101"/>
        <v>0</v>
      </c>
      <c r="DN90" s="330">
        <f t="shared" si="101"/>
        <v>0</v>
      </c>
      <c r="DO90" s="330">
        <f t="shared" si="101"/>
        <v>0</v>
      </c>
      <c r="DP90" s="330">
        <f t="shared" si="98"/>
        <v>0</v>
      </c>
      <c r="DQ90" s="217"/>
      <c r="DR90" s="217"/>
      <c r="DS90" s="217"/>
      <c r="DT90" s="217"/>
    </row>
    <row r="91" spans="1:124" x14ac:dyDescent="0.3">
      <c r="A91" s="324"/>
      <c r="B91" s="221" t="s">
        <v>305</v>
      </c>
      <c r="C91" s="221" t="str">
        <f>IF(Screening!C21=0,"",Screening!C21)</f>
        <v/>
      </c>
      <c r="D91" s="221" t="str">
        <f>IF(Screening!D21=0,"",Screening!D21)</f>
        <v/>
      </c>
      <c r="E91" s="221" t="str">
        <f>IF(Screening!E21=0,"",Screening!E21)</f>
        <v/>
      </c>
      <c r="F91" s="221" t="str">
        <f>IF(Screening!F21=0,"",Screening!F21)</f>
        <v/>
      </c>
      <c r="G91" s="272">
        <f>Screening!G21*Screening!O21*Conversions!$C$4</f>
        <v>0</v>
      </c>
      <c r="H91" s="272">
        <f>Screening!H21*Screening!P21*Screening!I21*Conversions!$C$4</f>
        <v>0</v>
      </c>
      <c r="I91" s="272">
        <f>Screening!J21*Screening!Q21*(1-Screening!R21)*Conversions!$C$4</f>
        <v>0</v>
      </c>
      <c r="J91" s="325">
        <f>IF(Screening!S21=0,0,Screening!S21)</f>
        <v>0</v>
      </c>
      <c r="K91" s="465"/>
      <c r="L91" s="333">
        <f>IF($F91="",0,IF($F91="Weighted Average",$G91*VLOOKUP($D91&amp;" (Install)",Lists!$C$72:$R$232,COLUMNS(Lists!$C$69:E$69),0)*VLOOKUP(BE$3,Conversions!$B$12:$E$34,4,0),$G91*VLOOKUP($F91,Lists!$C$72:$R$232,COLUMNS(Lists!$C$69:E$69),0)*VLOOKUP(BE$3,Conversions!$B$12:$E$34,4,0)))</f>
        <v>0</v>
      </c>
      <c r="M91" s="333">
        <f>IF($F91="",0,IF($F91="Weighted Average",$G91*VLOOKUP($D91&amp;" (Install)",Lists!$C$72:$R$232,COLUMNS(Lists!$C$69:F$69),0)*VLOOKUP(BF$3,Conversions!$B$12:$E$34,4,0),$G91*VLOOKUP($F91,Lists!$C$72:$R$232,COLUMNS(Lists!$C$69:F$69),0)*VLOOKUP(BF$3,Conversions!$B$12:$E$34,4,0)))</f>
        <v>0</v>
      </c>
      <c r="N91" s="333">
        <f>IF($F91="",0,IF($F91="Weighted Average",$G91*VLOOKUP($D91&amp;" (Install)",Lists!$C$72:$R$232,COLUMNS(Lists!$C$69:G$69),0)*VLOOKUP(BG$3,Conversions!$B$12:$E$34,4,0),$G91*VLOOKUP($F91,Lists!$C$72:$R$232,COLUMNS(Lists!$C$69:G$69),0)*VLOOKUP(BG$3,Conversions!$B$12:$E$34,4,0)))</f>
        <v>0</v>
      </c>
      <c r="O91" s="333">
        <f>IF($F91="",0,IF($F91="Weighted Average",$G91*VLOOKUP($D91&amp;" (Install)",Lists!$C$72:$R$232,COLUMNS(Lists!$C$69:H$69),0)*VLOOKUP(BH$3,Conversions!$B$12:$E$34,4,0),$G91*VLOOKUP($F91,Lists!$C$72:$R$232,COLUMNS(Lists!$C$69:H$69),0)*VLOOKUP(BH$3,Conversions!$B$12:$E$34,4,0)))</f>
        <v>0</v>
      </c>
      <c r="P91" s="333">
        <f>IF($F91="",0,IF($F91="Weighted Average",$G91*VLOOKUP($D91&amp;" (Install)",Lists!$C$72:$R$232,COLUMNS(Lists!$C$69:I$69),0)*VLOOKUP(BI$3,Conversions!$B$12:$E$34,4,0),$G91*VLOOKUP($F91,Lists!$C$72:$R$232,COLUMNS(Lists!$C$69:I$69),0)*VLOOKUP(BI$3,Conversions!$B$12:$E$34,4,0)))</f>
        <v>0</v>
      </c>
      <c r="Q91" s="333">
        <f>IF($F91="",0,IF($F91="Weighted Average",$G91*VLOOKUP($D91&amp;" (Install)",Lists!$C$72:$R$232,COLUMNS(Lists!$C$69:J$69),0)*VLOOKUP(BJ$3,Conversions!$B$12:$E$34,4,0),$G91*VLOOKUP($F91,Lists!$C$72:$R$232,COLUMNS(Lists!$C$69:J$69),0)*VLOOKUP(BJ$3,Conversions!$B$12:$E$34,4,0)))</f>
        <v>0</v>
      </c>
      <c r="R91" s="333">
        <f>IF($F91="",0,IF($F91="Weighted Average",$G91*VLOOKUP($D91&amp;" (Install)",Lists!$C$72:$R$232,COLUMNS(Lists!$C$69:K$69),0)*VLOOKUP(BK$3,Conversions!$B$12:$E$34,4,0),$G91*VLOOKUP($F91,Lists!$C$72:$R$232,COLUMNS(Lists!$C$69:K$69),0)*VLOOKUP(BK$3,Conversions!$B$12:$E$34,4,0)))</f>
        <v>0</v>
      </c>
      <c r="S91" s="333">
        <f>IF($F91="",0,IF($F91="Weighted Average",$G91*VLOOKUP($D91&amp;" (Install)",Lists!$C$72:$R$232,COLUMNS(Lists!$C$69:L$69),0)*VLOOKUP(BL$3,Conversions!$B$12:$E$34,4,0),$G91*VLOOKUP($F91,Lists!$C$72:$R$232,COLUMNS(Lists!$C$69:L$69),0)*VLOOKUP(BL$3,Conversions!$B$12:$E$34,4,0)))</f>
        <v>0</v>
      </c>
      <c r="T91" s="333">
        <f>IF($F91="",0,IF($F91="Weighted Average",$G91*VLOOKUP($D91&amp;" (Install)",Lists!$C$72:$R$232,COLUMNS(Lists!$C$69:M$69),0)*VLOOKUP(BM$3,Conversions!$B$12:$E$34,4,0),$G91*VLOOKUP($F91,Lists!$C$72:$R$232,COLUMNS(Lists!$C$69:M$69),0)*VLOOKUP(BM$3,Conversions!$B$12:$E$34,4,0)))</f>
        <v>0</v>
      </c>
      <c r="U91" s="333">
        <f>IF($F91="",0,IF($F91="Weighted Average",$G91*VLOOKUP($D91&amp;" (Install)",Lists!$C$72:$R$232,COLUMNS(Lists!$C$69:N$69),0)*VLOOKUP(BN$3,Conversions!$B$12:$E$34,4,0),$G91*VLOOKUP($F91,Lists!$C$72:$R$232,COLUMNS(Lists!$C$69:N$69),0)*VLOOKUP(BN$3,Conversions!$B$12:$E$34,4,0)))</f>
        <v>0</v>
      </c>
      <c r="V91" s="333">
        <f>IF($F91="",0,IF($F91="Weighted Average",$G91*VLOOKUP($D91&amp;" (Install)",Lists!$C$72:$R$232,COLUMNS(Lists!$C$69:O$69),0)*VLOOKUP(BO$3,Conversions!$B$12:$E$34,4,0),$G91*VLOOKUP($F91,Lists!$C$72:$R$232,COLUMNS(Lists!$C$69:O$69),0)*VLOOKUP(BO$3,Conversions!$B$12:$E$34,4,0)))</f>
        <v>0</v>
      </c>
      <c r="W91" s="333">
        <f>IF($F91="",0,IF($F91="Weighted Average",$G91*VLOOKUP($D91&amp;" (Install)",Lists!$C$72:$R$232,COLUMNS(Lists!$C$69:P$69),0)*VLOOKUP(BP$3,Conversions!$B$12:$E$34,4,0),$G91*VLOOKUP($F91,Lists!$C$72:$R$232,COLUMNS(Lists!$C$69:P$69),0)*VLOOKUP(BP$3,Conversions!$B$12:$E$34,4,0)))</f>
        <v>0</v>
      </c>
      <c r="X91" s="333">
        <f>IF($F91="",0,IF($F91="Weighted Average",$G91*VLOOKUP($D91&amp;" (Install)",Lists!$C$72:$R$232,COLUMNS(Lists!$C$69:Q$69),0)*VLOOKUP(BQ$3,Conversions!$B$12:$E$34,4,0),$G91*VLOOKUP($F91,Lists!$C$72:$R$232,COLUMNS(Lists!$C$69:Q$69),0)*VLOOKUP(BQ$3,Conversions!$B$12:$E$34,4,0)))</f>
        <v>0</v>
      </c>
      <c r="Y91" s="333">
        <f>IF($F91="",0,IF($F91="Weighted Average",$G91*VLOOKUP($D91&amp;" (Install)",Lists!$C$72:$R$232,COLUMNS(Lists!$C$69:R$69),0)*VLOOKUP(BR$3,Conversions!$B$12:$E$34,4,0),$G91*VLOOKUP($F91,Lists!$C$72:$R$232,COLUMNS(Lists!$C$69:R$69),0)*VLOOKUP(BR$3,Conversions!$B$12:$E$34,4,0)))</f>
        <v>0</v>
      </c>
      <c r="Z91" s="325">
        <f t="shared" si="38"/>
        <v>0</v>
      </c>
      <c r="AA91" s="334">
        <f>IF($F91="",0,IF($F91="Weighted Average",$H91*VLOOKUP($D91&amp;" (Operation)",Lists!$C$72:$R$232,COLUMNS(Lists!$C$69:E$69),0)*VLOOKUP(BE$3,Conversions!$B$12:$E$34,4,0),$H91*VLOOKUP($F91,Lists!$C$72:$R$232,COLUMNS(Lists!$C$69:E$69),0)*VLOOKUP(BE$3,Conversions!$B$12:$E$34,4,0)))</f>
        <v>0</v>
      </c>
      <c r="AB91" s="334">
        <f>IF($F91="",0,IF($F91="Weighted Average",$H91*VLOOKUP($D91&amp;" (Operation)",Lists!$C$72:$R$232,COLUMNS(Lists!$C$69:F$69),0)*VLOOKUP(BF$3,Conversions!$B$12:$E$34,4,0),$H91*VLOOKUP($F91,Lists!$C$72:$R$232,COLUMNS(Lists!$C$69:F$69),0)*VLOOKUP(BF$3,Conversions!$B$12:$E$34,4,0)))</f>
        <v>0</v>
      </c>
      <c r="AC91" s="334">
        <f>IF($F91="",0,IF($F91="Weighted Average",$H91*VLOOKUP($D91&amp;" (Operation)",Lists!$C$72:$R$232,COLUMNS(Lists!$C$69:G$69),0)*VLOOKUP(BG$3,Conversions!$B$12:$E$34,4,0),$H91*VLOOKUP($F91,Lists!$C$72:$R$232,COLUMNS(Lists!$C$69:G$69),0)*VLOOKUP(BG$3,Conversions!$B$12:$E$34,4,0)))</f>
        <v>0</v>
      </c>
      <c r="AD91" s="334">
        <f>IF($F91="",0,IF($F91="Weighted Average",$H91*VLOOKUP($D91&amp;" (Operation)",Lists!$C$72:$R$232,COLUMNS(Lists!$C$69:H$69),0)*VLOOKUP(BH$3,Conversions!$B$12:$E$34,4,0),$H91*VLOOKUP($F91,Lists!$C$72:$R$232,COLUMNS(Lists!$C$69:H$69),0)*VLOOKUP(BH$3,Conversions!$B$12:$E$34,4,0)))</f>
        <v>0</v>
      </c>
      <c r="AE91" s="334">
        <f>IF($F91="",0,IF($F91="Weighted Average",$H91*VLOOKUP($D91&amp;" (Operation)",Lists!$C$72:$R$232,COLUMNS(Lists!$C$69:I$69),0)*VLOOKUP(BI$3,Conversions!$B$12:$E$34,4,0),$H91*VLOOKUP($F91,Lists!$C$72:$R$232,COLUMNS(Lists!$C$69:I$69),0)*VLOOKUP(BI$3,Conversions!$B$12:$E$34,4,0)))</f>
        <v>0</v>
      </c>
      <c r="AF91" s="334">
        <f>IF($F91="",0,IF($F91="Weighted Average",$H91*VLOOKUP($D91&amp;" (Operation)",Lists!$C$72:$R$232,COLUMNS(Lists!$C$69:J$69),0)*VLOOKUP(BJ$3,Conversions!$B$12:$E$34,4,0),$H91*VLOOKUP($F91,Lists!$C$72:$R$232,COLUMNS(Lists!$C$69:J$69),0)*VLOOKUP(BJ$3,Conversions!$B$12:$E$34,4,0)))</f>
        <v>0</v>
      </c>
      <c r="AG91" s="334">
        <f>IF($F91="",0,IF($F91="Weighted Average",$H91*VLOOKUP($D91&amp;" (Operation)",Lists!$C$72:$R$232,COLUMNS(Lists!$C$69:K$69),0)*VLOOKUP(BK$3,Conversions!$B$12:$E$34,4,0),$H91*VLOOKUP($F91,Lists!$C$72:$R$232,COLUMNS(Lists!$C$69:K$69),0)*VLOOKUP(BK$3,Conversions!$B$12:$E$34,4,0)))</f>
        <v>0</v>
      </c>
      <c r="AH91" s="334">
        <f>IF($F91="",0,IF($F91="Weighted Average",$H91*VLOOKUP($D91&amp;" (Operation)",Lists!$C$72:$R$232,COLUMNS(Lists!$C$69:L$69),0)*VLOOKUP(BL$3,Conversions!$B$12:$E$34,4,0),$H91*VLOOKUP($F91,Lists!$C$72:$R$232,COLUMNS(Lists!$C$69:L$69),0)*VLOOKUP(BL$3,Conversions!$B$12:$E$34,4,0)))</f>
        <v>0</v>
      </c>
      <c r="AI91" s="334">
        <f>IF($F91="",0,IF($F91="Weighted Average",$H91*VLOOKUP($D91&amp;" (Operation)",Lists!$C$72:$R$232,COLUMNS(Lists!$C$69:M$69),0)*VLOOKUP(BM$3,Conversions!$B$12:$E$34,4,0),$H91*VLOOKUP($F91,Lists!$C$72:$R$232,COLUMNS(Lists!$C$69:M$69),0)*VLOOKUP(BM$3,Conversions!$B$12:$E$34,4,0)))</f>
        <v>0</v>
      </c>
      <c r="AJ91" s="334">
        <f>IF($F91="",0,IF($F91="Weighted Average",$H91*VLOOKUP($D91&amp;" (Operation)",Lists!$C$72:$R$232,COLUMNS(Lists!$C$69:N$69),0)*VLOOKUP(BN$3,Conversions!$B$12:$E$34,4,0),$H91*VLOOKUP($F91,Lists!$C$72:$R$232,COLUMNS(Lists!$C$69:N$69),0)*VLOOKUP(BN$3,Conversions!$B$12:$E$34,4,0)))</f>
        <v>0</v>
      </c>
      <c r="AK91" s="334">
        <f>IF($F91="",0,IF($F91="Weighted Average",$H91*VLOOKUP($D91&amp;" (Operation)",Lists!$C$72:$R$232,COLUMNS(Lists!$C$69:O$69),0)*VLOOKUP(BO$3,Conversions!$B$12:$E$34,4,0),$H91*VLOOKUP($F91,Lists!$C$72:$R$232,COLUMNS(Lists!$C$69:O$69),0)*VLOOKUP(BO$3,Conversions!$B$12:$E$34,4,0)))</f>
        <v>0</v>
      </c>
      <c r="AL91" s="334">
        <f>IF($F91="",0,IF($F91="Weighted Average",$H91*VLOOKUP($D91&amp;" (Operation)",Lists!$C$72:$R$232,COLUMNS(Lists!$C$69:P$69),0)*VLOOKUP(BP$3,Conversions!$B$12:$E$34,4,0),$H91*VLOOKUP($F91,Lists!$C$72:$R$232,COLUMNS(Lists!$C$69:P$69),0)*VLOOKUP(BP$3,Conversions!$B$12:$E$34,4,0)))</f>
        <v>0</v>
      </c>
      <c r="AM91" s="334">
        <f>IF($F91="",0,IF($F91="Weighted Average",$H91*VLOOKUP($D91&amp;" (Operation)",Lists!$C$72:$R$232,COLUMNS(Lists!$C$69:Q$69),0)*VLOOKUP(BQ$3,Conversions!$B$12:$E$34,4,0),$H91*VLOOKUP($F91,Lists!$C$72:$R$232,COLUMNS(Lists!$C$69:Q$69),0)*VLOOKUP(BQ$3,Conversions!$B$12:$E$34,4,0)))</f>
        <v>0</v>
      </c>
      <c r="AN91" s="334">
        <f>IF($F91="",0,IF($F91="Weighted Average",$H91*VLOOKUP($D91&amp;" (Operation)",Lists!$C$72:$R$232,COLUMNS(Lists!$C$69:R$69),0)*VLOOKUP(BR$3,Conversions!$B$12:$E$34,4,0),$H91*VLOOKUP($F91,Lists!$C$72:$R$232,COLUMNS(Lists!$C$69:R$69),0)*VLOOKUP(BR$3,Conversions!$B$12:$E$34,4,0)))</f>
        <v>0</v>
      </c>
      <c r="AO91" s="330">
        <f t="shared" si="39"/>
        <v>0</v>
      </c>
      <c r="AP91" s="333">
        <f>IF($F91="",0,IF($F91="Weighted Average",$I91*VLOOKUP($D91&amp;" (Disposal)",Lists!$C$72:$R$232,COLUMNS(Lists!$C$69:E$69),0)*VLOOKUP(BE$3,Conversions!$B$12:$E$34,4,0),$I91*VLOOKUP($F91,Lists!$C$72:$R$232,COLUMNS(Lists!$C$69:E$69),0)*VLOOKUP(BE$3,Conversions!$B$12:$E$34,4,0)))</f>
        <v>0</v>
      </c>
      <c r="AQ91" s="333">
        <f>IF($F91="",0,IF($F91="Weighted Average",$I91*VLOOKUP($D91&amp;" (Disposal)",Lists!$C$72:$R$232,COLUMNS(Lists!$C$69:F$69),0)*VLOOKUP(BF$3,Conversions!$B$12:$E$34,4,0),$I91*VLOOKUP($F91,Lists!$C$72:$R$232,COLUMNS(Lists!$C$69:F$69),0)*VLOOKUP(BF$3,Conversions!$B$12:$E$34,4,0)))</f>
        <v>0</v>
      </c>
      <c r="AR91" s="333">
        <f>IF($F91="",0,IF($F91="Weighted Average",$I91*VLOOKUP($D91&amp;" (Disposal)",Lists!$C$72:$R$232,COLUMNS(Lists!$C$69:G$69),0)*VLOOKUP(BG$3,Conversions!$B$12:$E$34,4,0),$I91*VLOOKUP($F91,Lists!$C$72:$R$232,COLUMNS(Lists!$C$69:G$69),0)*VLOOKUP(BG$3,Conversions!$B$12:$E$34,4,0)))</f>
        <v>0</v>
      </c>
      <c r="AS91" s="333">
        <f>IF($F91="",0,IF($F91="Weighted Average",$I91*VLOOKUP($D91&amp;" (Disposal)",Lists!$C$72:$R$232,COLUMNS(Lists!$C$69:H$69),0)*VLOOKUP(BH$3,Conversions!$B$12:$E$34,4,0),$I91*VLOOKUP($F91,Lists!$C$72:$R$232,COLUMNS(Lists!$C$69:H$69),0)*VLOOKUP(BH$3,Conversions!$B$12:$E$34,4,0)))</f>
        <v>0</v>
      </c>
      <c r="AT91" s="333">
        <f>IF($F91="",0,IF($F91="Weighted Average",$I91*VLOOKUP($D91&amp;" (Disposal)",Lists!$C$72:$R$232,COLUMNS(Lists!$C$69:I$69),0)*VLOOKUP(BI$3,Conversions!$B$12:$E$34,4,0),$I91*VLOOKUP($F91,Lists!$C$72:$R$232,COLUMNS(Lists!$C$69:I$69),0)*VLOOKUP(BI$3,Conversions!$B$12:$E$34,4,0)))</f>
        <v>0</v>
      </c>
      <c r="AU91" s="333">
        <f>IF($F91="",0,IF($F91="Weighted Average",$I91*VLOOKUP($D91&amp;" (Disposal)",Lists!$C$72:$R$232,COLUMNS(Lists!$C$69:J$69),0)*VLOOKUP(BJ$3,Conversions!$B$12:$E$34,4,0),$I91*VLOOKUP($F91,Lists!$C$72:$R$232,COLUMNS(Lists!$C$69:J$69),0)*VLOOKUP(BJ$3,Conversions!$B$12:$E$34,4,0)))</f>
        <v>0</v>
      </c>
      <c r="AV91" s="333">
        <f>IF($F91="",0,IF($F91="Weighted Average",$I91*VLOOKUP($D91&amp;" (Disposal)",Lists!$C$72:$R$232,COLUMNS(Lists!$C$69:K$69),0)*VLOOKUP(BK$3,Conversions!$B$12:$E$34,4,0),$I91*VLOOKUP($F91,Lists!$C$72:$R$232,COLUMNS(Lists!$C$69:K$69),0)*VLOOKUP(BK$3,Conversions!$B$12:$E$34,4,0)))</f>
        <v>0</v>
      </c>
      <c r="AW91" s="333">
        <f>IF($F91="",0,IF($F91="Weighted Average",$I91*VLOOKUP($D91&amp;" (Disposal)",Lists!$C$72:$R$232,COLUMNS(Lists!$C$69:L$69),0)*VLOOKUP(BL$3,Conversions!$B$12:$E$34,4,0),$I91*VLOOKUP($F91,Lists!$C$72:$R$232,COLUMNS(Lists!$C$69:L$69),0)*VLOOKUP(BL$3,Conversions!$B$12:$E$34,4,0)))</f>
        <v>0</v>
      </c>
      <c r="AX91" s="333">
        <f>IF($F91="",0,IF($F91="Weighted Average",$I91*VLOOKUP($D91&amp;" (Disposal)",Lists!$C$72:$R$232,COLUMNS(Lists!$C$69:M$69),0)*VLOOKUP(BM$3,Conversions!$B$12:$E$34,4,0),$I91*VLOOKUP($F91,Lists!$C$72:$R$232,COLUMNS(Lists!$C$69:M$69),0)*VLOOKUP(BM$3,Conversions!$B$12:$E$34,4,0)))</f>
        <v>0</v>
      </c>
      <c r="AY91" s="333">
        <f>IF($F91="",0,IF($F91="Weighted Average",$I91*VLOOKUP($D91&amp;" (Disposal)",Lists!$C$72:$R$232,COLUMNS(Lists!$C$69:N$69),0)*VLOOKUP(BN$3,Conversions!$B$12:$E$34,4,0),$I91*VLOOKUP($F91,Lists!$C$72:$R$232,COLUMNS(Lists!$C$69:N$69),0)*VLOOKUP(BN$3,Conversions!$B$12:$E$34,4,0)))</f>
        <v>0</v>
      </c>
      <c r="AZ91" s="333">
        <f>IF($F91="",0,IF($F91="Weighted Average",$I91*VLOOKUP($D91&amp;" (Disposal)",Lists!$C$72:$R$232,COLUMNS(Lists!$C$69:O$69),0)*VLOOKUP(BO$3,Conversions!$B$12:$E$34,4,0),$I91*VLOOKUP($F91,Lists!$C$72:$R$232,COLUMNS(Lists!$C$69:O$69),0)*VLOOKUP(BO$3,Conversions!$B$12:$E$34,4,0)))</f>
        <v>0</v>
      </c>
      <c r="BA91" s="333">
        <f>IF($F91="",0,IF($F91="Weighted Average",$I91*VLOOKUP($D91&amp;" (Disposal)",Lists!$C$72:$R$232,COLUMNS(Lists!$C$69:P$69),0)*VLOOKUP(BP$3,Conversions!$B$12:$E$34,4,0),$I91*VLOOKUP($F91,Lists!$C$72:$R$232,COLUMNS(Lists!$C$69:P$69),0)*VLOOKUP(BP$3,Conversions!$B$12:$E$34,4,0)))</f>
        <v>0</v>
      </c>
      <c r="BB91" s="333">
        <f>IF($F91="",0,IF($F91="Weighted Average",$I91*VLOOKUP($D91&amp;" (Disposal)",Lists!$C$72:$R$232,COLUMNS(Lists!$C$69:Q$69),0)*VLOOKUP(BQ$3,Conversions!$B$12:$E$34,4,0),$I91*VLOOKUP($F91,Lists!$C$72:$R$232,COLUMNS(Lists!$C$69:Q$69),0)*VLOOKUP(BQ$3,Conversions!$B$12:$E$34,4,0)))</f>
        <v>0</v>
      </c>
      <c r="BC91" s="333">
        <f>IF($F91="",0,IF($F91="Weighted Average",$I91*VLOOKUP($D91&amp;" (Disposal)",Lists!$C$72:$R$232,COLUMNS(Lists!$C$69:R$69),0)*VLOOKUP(BR$3,Conversions!$B$12:$E$34,4,0),$I91*VLOOKUP($F91,Lists!$C$72:$R$232,COLUMNS(Lists!$C$69:R$69),0)*VLOOKUP(BR$3,Conversions!$B$12:$E$34,4,0)))</f>
        <v>0</v>
      </c>
      <c r="BD91" s="333">
        <f t="shared" si="40"/>
        <v>0</v>
      </c>
      <c r="BE91" s="330">
        <f t="shared" si="41"/>
        <v>0</v>
      </c>
      <c r="BF91" s="330">
        <f t="shared" si="42"/>
        <v>0</v>
      </c>
      <c r="BG91" s="330">
        <f t="shared" si="43"/>
        <v>0</v>
      </c>
      <c r="BH91" s="330">
        <f t="shared" si="44"/>
        <v>0</v>
      </c>
      <c r="BI91" s="330">
        <f t="shared" si="45"/>
        <v>0</v>
      </c>
      <c r="BJ91" s="330">
        <f t="shared" si="46"/>
        <v>0</v>
      </c>
      <c r="BK91" s="330">
        <f t="shared" si="47"/>
        <v>0</v>
      </c>
      <c r="BL91" s="330">
        <f t="shared" si="48"/>
        <v>0</v>
      </c>
      <c r="BM91" s="330">
        <f t="shared" si="49"/>
        <v>0</v>
      </c>
      <c r="BN91" s="330">
        <f t="shared" si="50"/>
        <v>0</v>
      </c>
      <c r="BO91" s="330">
        <f t="shared" si="51"/>
        <v>0</v>
      </c>
      <c r="BP91" s="330">
        <f t="shared" si="52"/>
        <v>0</v>
      </c>
      <c r="BQ91" s="330">
        <f t="shared" si="53"/>
        <v>0</v>
      </c>
      <c r="BR91" s="330">
        <f t="shared" si="54"/>
        <v>0</v>
      </c>
      <c r="BS91" s="330">
        <f t="shared" si="55"/>
        <v>0</v>
      </c>
      <c r="BT91" s="329">
        <f t="shared" si="99"/>
        <v>0</v>
      </c>
      <c r="BU91" s="329">
        <f t="shared" si="99"/>
        <v>0</v>
      </c>
      <c r="BV91" s="329">
        <f t="shared" si="99"/>
        <v>0</v>
      </c>
      <c r="BW91" s="329">
        <f t="shared" si="99"/>
        <v>0</v>
      </c>
      <c r="BX91" s="329">
        <f t="shared" si="99"/>
        <v>0</v>
      </c>
      <c r="BY91" s="329">
        <f t="shared" si="99"/>
        <v>0</v>
      </c>
      <c r="BZ91" s="329">
        <f t="shared" si="99"/>
        <v>0</v>
      </c>
      <c r="CA91" s="329">
        <f t="shared" si="99"/>
        <v>0</v>
      </c>
      <c r="CB91" s="329">
        <f t="shared" si="99"/>
        <v>0</v>
      </c>
      <c r="CC91" s="329">
        <f t="shared" si="99"/>
        <v>0</v>
      </c>
      <c r="CD91" s="329">
        <f t="shared" si="99"/>
        <v>0</v>
      </c>
      <c r="CE91" s="329">
        <f t="shared" si="99"/>
        <v>0</v>
      </c>
      <c r="CF91" s="329">
        <f t="shared" si="99"/>
        <v>0</v>
      </c>
      <c r="CG91" s="329">
        <f t="shared" si="99"/>
        <v>0</v>
      </c>
      <c r="CH91" s="329">
        <f t="shared" si="99"/>
        <v>0</v>
      </c>
      <c r="CI91" s="329">
        <f t="shared" si="99"/>
        <v>0</v>
      </c>
      <c r="CJ91" s="331">
        <f t="shared" si="1"/>
        <v>0</v>
      </c>
      <c r="CK91" s="330">
        <f t="shared" si="5"/>
        <v>0</v>
      </c>
      <c r="CL91" s="330">
        <f t="shared" si="6"/>
        <v>0</v>
      </c>
      <c r="CM91" s="330">
        <f t="shared" si="7"/>
        <v>0</v>
      </c>
      <c r="CN91" s="330">
        <f t="shared" si="8"/>
        <v>0</v>
      </c>
      <c r="CO91" s="330">
        <f t="shared" si="9"/>
        <v>0</v>
      </c>
      <c r="CP91" s="330">
        <f t="shared" si="10"/>
        <v>0</v>
      </c>
      <c r="CQ91" s="330">
        <f t="shared" si="94"/>
        <v>0</v>
      </c>
      <c r="CR91" s="330">
        <f t="shared" si="12"/>
        <v>0</v>
      </c>
      <c r="CS91" s="330">
        <f t="shared" si="13"/>
        <v>0</v>
      </c>
      <c r="CT91" s="330">
        <f t="shared" si="14"/>
        <v>0</v>
      </c>
      <c r="CU91" s="330">
        <f t="shared" si="100"/>
        <v>0</v>
      </c>
      <c r="CV91" s="330">
        <f t="shared" si="100"/>
        <v>0</v>
      </c>
      <c r="CW91" s="330">
        <f t="shared" si="100"/>
        <v>0</v>
      </c>
      <c r="CX91" s="330">
        <f t="shared" si="100"/>
        <v>0</v>
      </c>
      <c r="CY91" s="330">
        <f t="shared" si="100"/>
        <v>0</v>
      </c>
      <c r="CZ91" s="330">
        <f t="shared" si="100"/>
        <v>0</v>
      </c>
      <c r="DA91" s="330">
        <f t="shared" si="100"/>
        <v>0</v>
      </c>
      <c r="DB91" s="330">
        <f t="shared" si="100"/>
        <v>0</v>
      </c>
      <c r="DC91" s="330">
        <f t="shared" si="100"/>
        <v>0</v>
      </c>
      <c r="DD91" s="330">
        <f t="shared" si="100"/>
        <v>0</v>
      </c>
      <c r="DE91" s="330">
        <f t="shared" si="101"/>
        <v>0</v>
      </c>
      <c r="DF91" s="330">
        <f t="shared" si="101"/>
        <v>0</v>
      </c>
      <c r="DG91" s="330">
        <f t="shared" si="101"/>
        <v>0</v>
      </c>
      <c r="DH91" s="330">
        <f t="shared" si="101"/>
        <v>0</v>
      </c>
      <c r="DI91" s="330">
        <f t="shared" si="101"/>
        <v>0</v>
      </c>
      <c r="DJ91" s="330">
        <f t="shared" si="101"/>
        <v>0</v>
      </c>
      <c r="DK91" s="330">
        <f t="shared" si="101"/>
        <v>0</v>
      </c>
      <c r="DL91" s="330">
        <f t="shared" si="101"/>
        <v>0</v>
      </c>
      <c r="DM91" s="330">
        <f t="shared" si="101"/>
        <v>0</v>
      </c>
      <c r="DN91" s="330">
        <f t="shared" si="101"/>
        <v>0</v>
      </c>
      <c r="DO91" s="330">
        <f t="shared" si="101"/>
        <v>0</v>
      </c>
      <c r="DP91" s="330">
        <f t="shared" si="98"/>
        <v>0</v>
      </c>
      <c r="DQ91" s="217"/>
      <c r="DR91" s="217"/>
      <c r="DS91" s="217"/>
      <c r="DT91" s="217"/>
    </row>
    <row r="92" spans="1:124" x14ac:dyDescent="0.3">
      <c r="A92" s="324"/>
      <c r="B92" s="221" t="s">
        <v>305</v>
      </c>
      <c r="C92" s="221" t="str">
        <f>IF(Screening!C22=0,"",Screening!C22)</f>
        <v/>
      </c>
      <c r="D92" s="221" t="str">
        <f>IF(Screening!D22=0,"",Screening!D22)</f>
        <v/>
      </c>
      <c r="E92" s="221" t="str">
        <f>IF(Screening!E22=0,"",Screening!E22)</f>
        <v/>
      </c>
      <c r="F92" s="221" t="str">
        <f>IF(Screening!F22=0,"",Screening!F22)</f>
        <v/>
      </c>
      <c r="G92" s="272">
        <f>Screening!G22*Screening!O22*Conversions!$C$4</f>
        <v>0</v>
      </c>
      <c r="H92" s="272">
        <f>Screening!H22*Screening!P22*Screening!I22*Conversions!$C$4</f>
        <v>0</v>
      </c>
      <c r="I92" s="272">
        <f>Screening!J22*Screening!Q22*(1-Screening!R22)*Conversions!$C$4</f>
        <v>0</v>
      </c>
      <c r="J92" s="325">
        <f>IF(Screening!S22=0,0,Screening!S22)</f>
        <v>0</v>
      </c>
      <c r="K92" s="465"/>
      <c r="L92" s="333">
        <f>IF($F92="",0,IF($F92="Weighted Average",$G92*VLOOKUP($D92&amp;" (Install)",Lists!$C$72:$R$232,COLUMNS(Lists!$C$69:E$69),0)*VLOOKUP(BE$3,Conversions!$B$12:$E$34,4,0),$G92*VLOOKUP($F92,Lists!$C$72:$R$232,COLUMNS(Lists!$C$69:E$69),0)*VLOOKUP(BE$3,Conversions!$B$12:$E$34,4,0)))</f>
        <v>0</v>
      </c>
      <c r="M92" s="333">
        <f>IF($F92="",0,IF($F92="Weighted Average",$G92*VLOOKUP($D92&amp;" (Install)",Lists!$C$72:$R$232,COLUMNS(Lists!$C$69:F$69),0)*VLOOKUP(BF$3,Conversions!$B$12:$E$34,4,0),$G92*VLOOKUP($F92,Lists!$C$72:$R$232,COLUMNS(Lists!$C$69:F$69),0)*VLOOKUP(BF$3,Conversions!$B$12:$E$34,4,0)))</f>
        <v>0</v>
      </c>
      <c r="N92" s="333">
        <f>IF($F92="",0,IF($F92="Weighted Average",$G92*VLOOKUP($D92&amp;" (Install)",Lists!$C$72:$R$232,COLUMNS(Lists!$C$69:G$69),0)*VLOOKUP(BG$3,Conversions!$B$12:$E$34,4,0),$G92*VLOOKUP($F92,Lists!$C$72:$R$232,COLUMNS(Lists!$C$69:G$69),0)*VLOOKUP(BG$3,Conversions!$B$12:$E$34,4,0)))</f>
        <v>0</v>
      </c>
      <c r="O92" s="333">
        <f>IF($F92="",0,IF($F92="Weighted Average",$G92*VLOOKUP($D92&amp;" (Install)",Lists!$C$72:$R$232,COLUMNS(Lists!$C$69:H$69),0)*VLOOKUP(BH$3,Conversions!$B$12:$E$34,4,0),$G92*VLOOKUP($F92,Lists!$C$72:$R$232,COLUMNS(Lists!$C$69:H$69),0)*VLOOKUP(BH$3,Conversions!$B$12:$E$34,4,0)))</f>
        <v>0</v>
      </c>
      <c r="P92" s="333">
        <f>IF($F92="",0,IF($F92="Weighted Average",$G92*VLOOKUP($D92&amp;" (Install)",Lists!$C$72:$R$232,COLUMNS(Lists!$C$69:I$69),0)*VLOOKUP(BI$3,Conversions!$B$12:$E$34,4,0),$G92*VLOOKUP($F92,Lists!$C$72:$R$232,COLUMNS(Lists!$C$69:I$69),0)*VLOOKUP(BI$3,Conversions!$B$12:$E$34,4,0)))</f>
        <v>0</v>
      </c>
      <c r="Q92" s="333">
        <f>IF($F92="",0,IF($F92="Weighted Average",$G92*VLOOKUP($D92&amp;" (Install)",Lists!$C$72:$R$232,COLUMNS(Lists!$C$69:J$69),0)*VLOOKUP(BJ$3,Conversions!$B$12:$E$34,4,0),$G92*VLOOKUP($F92,Lists!$C$72:$R$232,COLUMNS(Lists!$C$69:J$69),0)*VLOOKUP(BJ$3,Conversions!$B$12:$E$34,4,0)))</f>
        <v>0</v>
      </c>
      <c r="R92" s="333">
        <f>IF($F92="",0,IF($F92="Weighted Average",$G92*VLOOKUP($D92&amp;" (Install)",Lists!$C$72:$R$232,COLUMNS(Lists!$C$69:K$69),0)*VLOOKUP(BK$3,Conversions!$B$12:$E$34,4,0),$G92*VLOOKUP($F92,Lists!$C$72:$R$232,COLUMNS(Lists!$C$69:K$69),0)*VLOOKUP(BK$3,Conversions!$B$12:$E$34,4,0)))</f>
        <v>0</v>
      </c>
      <c r="S92" s="333">
        <f>IF($F92="",0,IF($F92="Weighted Average",$G92*VLOOKUP($D92&amp;" (Install)",Lists!$C$72:$R$232,COLUMNS(Lists!$C$69:L$69),0)*VLOOKUP(BL$3,Conversions!$B$12:$E$34,4,0),$G92*VLOOKUP($F92,Lists!$C$72:$R$232,COLUMNS(Lists!$C$69:L$69),0)*VLOOKUP(BL$3,Conversions!$B$12:$E$34,4,0)))</f>
        <v>0</v>
      </c>
      <c r="T92" s="333">
        <f>IF($F92="",0,IF($F92="Weighted Average",$G92*VLOOKUP($D92&amp;" (Install)",Lists!$C$72:$R$232,COLUMNS(Lists!$C$69:M$69),0)*VLOOKUP(BM$3,Conversions!$B$12:$E$34,4,0),$G92*VLOOKUP($F92,Lists!$C$72:$R$232,COLUMNS(Lists!$C$69:M$69),0)*VLOOKUP(BM$3,Conversions!$B$12:$E$34,4,0)))</f>
        <v>0</v>
      </c>
      <c r="U92" s="333">
        <f>IF($F92="",0,IF($F92="Weighted Average",$G92*VLOOKUP($D92&amp;" (Install)",Lists!$C$72:$R$232,COLUMNS(Lists!$C$69:N$69),0)*VLOOKUP(BN$3,Conversions!$B$12:$E$34,4,0),$G92*VLOOKUP($F92,Lists!$C$72:$R$232,COLUMNS(Lists!$C$69:N$69),0)*VLOOKUP(BN$3,Conversions!$B$12:$E$34,4,0)))</f>
        <v>0</v>
      </c>
      <c r="V92" s="333">
        <f>IF($F92="",0,IF($F92="Weighted Average",$G92*VLOOKUP($D92&amp;" (Install)",Lists!$C$72:$R$232,COLUMNS(Lists!$C$69:O$69),0)*VLOOKUP(BO$3,Conversions!$B$12:$E$34,4,0),$G92*VLOOKUP($F92,Lists!$C$72:$R$232,COLUMNS(Lists!$C$69:O$69),0)*VLOOKUP(BO$3,Conversions!$B$12:$E$34,4,0)))</f>
        <v>0</v>
      </c>
      <c r="W92" s="333">
        <f>IF($F92="",0,IF($F92="Weighted Average",$G92*VLOOKUP($D92&amp;" (Install)",Lists!$C$72:$R$232,COLUMNS(Lists!$C$69:P$69),0)*VLOOKUP(BP$3,Conversions!$B$12:$E$34,4,0),$G92*VLOOKUP($F92,Lists!$C$72:$R$232,COLUMNS(Lists!$C$69:P$69),0)*VLOOKUP(BP$3,Conversions!$B$12:$E$34,4,0)))</f>
        <v>0</v>
      </c>
      <c r="X92" s="333">
        <f>IF($F92="",0,IF($F92="Weighted Average",$G92*VLOOKUP($D92&amp;" (Install)",Lists!$C$72:$R$232,COLUMNS(Lists!$C$69:Q$69),0)*VLOOKUP(BQ$3,Conversions!$B$12:$E$34,4,0),$G92*VLOOKUP($F92,Lists!$C$72:$R$232,COLUMNS(Lists!$C$69:Q$69),0)*VLOOKUP(BQ$3,Conversions!$B$12:$E$34,4,0)))</f>
        <v>0</v>
      </c>
      <c r="Y92" s="333">
        <f>IF($F92="",0,IF($F92="Weighted Average",$G92*VLOOKUP($D92&amp;" (Install)",Lists!$C$72:$R$232,COLUMNS(Lists!$C$69:R$69),0)*VLOOKUP(BR$3,Conversions!$B$12:$E$34,4,0),$G92*VLOOKUP($F92,Lists!$C$72:$R$232,COLUMNS(Lists!$C$69:R$69),0)*VLOOKUP(BR$3,Conversions!$B$12:$E$34,4,0)))</f>
        <v>0</v>
      </c>
      <c r="Z92" s="325">
        <f t="shared" si="38"/>
        <v>0</v>
      </c>
      <c r="AA92" s="334">
        <f>IF($F92="",0,IF($F92="Weighted Average",$H92*VLOOKUP($D92&amp;" (Operation)",Lists!$C$72:$R$232,COLUMNS(Lists!$C$69:E$69),0)*VLOOKUP(BE$3,Conversions!$B$12:$E$34,4,0),$H92*VLOOKUP($F92,Lists!$C$72:$R$232,COLUMNS(Lists!$C$69:E$69),0)*VLOOKUP(BE$3,Conversions!$B$12:$E$34,4,0)))</f>
        <v>0</v>
      </c>
      <c r="AB92" s="334">
        <f>IF($F92="",0,IF($F92="Weighted Average",$H92*VLOOKUP($D92&amp;" (Operation)",Lists!$C$72:$R$232,COLUMNS(Lists!$C$69:F$69),0)*VLOOKUP(BF$3,Conversions!$B$12:$E$34,4,0),$H92*VLOOKUP($F92,Lists!$C$72:$R$232,COLUMNS(Lists!$C$69:F$69),0)*VLOOKUP(BF$3,Conversions!$B$12:$E$34,4,0)))</f>
        <v>0</v>
      </c>
      <c r="AC92" s="334">
        <f>IF($F92="",0,IF($F92="Weighted Average",$H92*VLOOKUP($D92&amp;" (Operation)",Lists!$C$72:$R$232,COLUMNS(Lists!$C$69:G$69),0)*VLOOKUP(BG$3,Conversions!$B$12:$E$34,4,0),$H92*VLOOKUP($F92,Lists!$C$72:$R$232,COLUMNS(Lists!$C$69:G$69),0)*VLOOKUP(BG$3,Conversions!$B$12:$E$34,4,0)))</f>
        <v>0</v>
      </c>
      <c r="AD92" s="334">
        <f>IF($F92="",0,IF($F92="Weighted Average",$H92*VLOOKUP($D92&amp;" (Operation)",Lists!$C$72:$R$232,COLUMNS(Lists!$C$69:H$69),0)*VLOOKUP(BH$3,Conversions!$B$12:$E$34,4,0),$H92*VLOOKUP($F92,Lists!$C$72:$R$232,COLUMNS(Lists!$C$69:H$69),0)*VLOOKUP(BH$3,Conversions!$B$12:$E$34,4,0)))</f>
        <v>0</v>
      </c>
      <c r="AE92" s="334">
        <f>IF($F92="",0,IF($F92="Weighted Average",$H92*VLOOKUP($D92&amp;" (Operation)",Lists!$C$72:$R$232,COLUMNS(Lists!$C$69:I$69),0)*VLOOKUP(BI$3,Conversions!$B$12:$E$34,4,0),$H92*VLOOKUP($F92,Lists!$C$72:$R$232,COLUMNS(Lists!$C$69:I$69),0)*VLOOKUP(BI$3,Conversions!$B$12:$E$34,4,0)))</f>
        <v>0</v>
      </c>
      <c r="AF92" s="334">
        <f>IF($F92="",0,IF($F92="Weighted Average",$H92*VLOOKUP($D92&amp;" (Operation)",Lists!$C$72:$R$232,COLUMNS(Lists!$C$69:J$69),0)*VLOOKUP(BJ$3,Conversions!$B$12:$E$34,4,0),$H92*VLOOKUP($F92,Lists!$C$72:$R$232,COLUMNS(Lists!$C$69:J$69),0)*VLOOKUP(BJ$3,Conversions!$B$12:$E$34,4,0)))</f>
        <v>0</v>
      </c>
      <c r="AG92" s="334">
        <f>IF($F92="",0,IF($F92="Weighted Average",$H92*VLOOKUP($D92&amp;" (Operation)",Lists!$C$72:$R$232,COLUMNS(Lists!$C$69:K$69),0)*VLOOKUP(BK$3,Conversions!$B$12:$E$34,4,0),$H92*VLOOKUP($F92,Lists!$C$72:$R$232,COLUMNS(Lists!$C$69:K$69),0)*VLOOKUP(BK$3,Conversions!$B$12:$E$34,4,0)))</f>
        <v>0</v>
      </c>
      <c r="AH92" s="334">
        <f>IF($F92="",0,IF($F92="Weighted Average",$H92*VLOOKUP($D92&amp;" (Operation)",Lists!$C$72:$R$232,COLUMNS(Lists!$C$69:L$69),0)*VLOOKUP(BL$3,Conversions!$B$12:$E$34,4,0),$H92*VLOOKUP($F92,Lists!$C$72:$R$232,COLUMNS(Lists!$C$69:L$69),0)*VLOOKUP(BL$3,Conversions!$B$12:$E$34,4,0)))</f>
        <v>0</v>
      </c>
      <c r="AI92" s="334">
        <f>IF($F92="",0,IF($F92="Weighted Average",$H92*VLOOKUP($D92&amp;" (Operation)",Lists!$C$72:$R$232,COLUMNS(Lists!$C$69:M$69),0)*VLOOKUP(BM$3,Conversions!$B$12:$E$34,4,0),$H92*VLOOKUP($F92,Lists!$C$72:$R$232,COLUMNS(Lists!$C$69:M$69),0)*VLOOKUP(BM$3,Conversions!$B$12:$E$34,4,0)))</f>
        <v>0</v>
      </c>
      <c r="AJ92" s="334">
        <f>IF($F92="",0,IF($F92="Weighted Average",$H92*VLOOKUP($D92&amp;" (Operation)",Lists!$C$72:$R$232,COLUMNS(Lists!$C$69:N$69),0)*VLOOKUP(BN$3,Conversions!$B$12:$E$34,4,0),$H92*VLOOKUP($F92,Lists!$C$72:$R$232,COLUMNS(Lists!$C$69:N$69),0)*VLOOKUP(BN$3,Conversions!$B$12:$E$34,4,0)))</f>
        <v>0</v>
      </c>
      <c r="AK92" s="334">
        <f>IF($F92="",0,IF($F92="Weighted Average",$H92*VLOOKUP($D92&amp;" (Operation)",Lists!$C$72:$R$232,COLUMNS(Lists!$C$69:O$69),0)*VLOOKUP(BO$3,Conversions!$B$12:$E$34,4,0),$H92*VLOOKUP($F92,Lists!$C$72:$R$232,COLUMNS(Lists!$C$69:O$69),0)*VLOOKUP(BO$3,Conversions!$B$12:$E$34,4,0)))</f>
        <v>0</v>
      </c>
      <c r="AL92" s="334">
        <f>IF($F92="",0,IF($F92="Weighted Average",$H92*VLOOKUP($D92&amp;" (Operation)",Lists!$C$72:$R$232,COLUMNS(Lists!$C$69:P$69),0)*VLOOKUP(BP$3,Conversions!$B$12:$E$34,4,0),$H92*VLOOKUP($F92,Lists!$C$72:$R$232,COLUMNS(Lists!$C$69:P$69),0)*VLOOKUP(BP$3,Conversions!$B$12:$E$34,4,0)))</f>
        <v>0</v>
      </c>
      <c r="AM92" s="334">
        <f>IF($F92="",0,IF($F92="Weighted Average",$H92*VLOOKUP($D92&amp;" (Operation)",Lists!$C$72:$R$232,COLUMNS(Lists!$C$69:Q$69),0)*VLOOKUP(BQ$3,Conversions!$B$12:$E$34,4,0),$H92*VLOOKUP($F92,Lists!$C$72:$R$232,COLUMNS(Lists!$C$69:Q$69),0)*VLOOKUP(BQ$3,Conversions!$B$12:$E$34,4,0)))</f>
        <v>0</v>
      </c>
      <c r="AN92" s="334">
        <f>IF($F92="",0,IF($F92="Weighted Average",$H92*VLOOKUP($D92&amp;" (Operation)",Lists!$C$72:$R$232,COLUMNS(Lists!$C$69:R$69),0)*VLOOKUP(BR$3,Conversions!$B$12:$E$34,4,0),$H92*VLOOKUP($F92,Lists!$C$72:$R$232,COLUMNS(Lists!$C$69:R$69),0)*VLOOKUP(BR$3,Conversions!$B$12:$E$34,4,0)))</f>
        <v>0</v>
      </c>
      <c r="AO92" s="330">
        <f t="shared" si="39"/>
        <v>0</v>
      </c>
      <c r="AP92" s="333">
        <f>IF($F92="",0,IF($F92="Weighted Average",$I92*VLOOKUP($D92&amp;" (Disposal)",Lists!$C$72:$R$232,COLUMNS(Lists!$C$69:E$69),0)*VLOOKUP(BE$3,Conversions!$B$12:$E$34,4,0),$I92*VLOOKUP($F92,Lists!$C$72:$R$232,COLUMNS(Lists!$C$69:E$69),0)*VLOOKUP(BE$3,Conversions!$B$12:$E$34,4,0)))</f>
        <v>0</v>
      </c>
      <c r="AQ92" s="333">
        <f>IF($F92="",0,IF($F92="Weighted Average",$I92*VLOOKUP($D92&amp;" (Disposal)",Lists!$C$72:$R$232,COLUMNS(Lists!$C$69:F$69),0)*VLOOKUP(BF$3,Conversions!$B$12:$E$34,4,0),$I92*VLOOKUP($F92,Lists!$C$72:$R$232,COLUMNS(Lists!$C$69:F$69),0)*VLOOKUP(BF$3,Conversions!$B$12:$E$34,4,0)))</f>
        <v>0</v>
      </c>
      <c r="AR92" s="333">
        <f>IF($F92="",0,IF($F92="Weighted Average",$I92*VLOOKUP($D92&amp;" (Disposal)",Lists!$C$72:$R$232,COLUMNS(Lists!$C$69:G$69),0)*VLOOKUP(BG$3,Conversions!$B$12:$E$34,4,0),$I92*VLOOKUP($F92,Lists!$C$72:$R$232,COLUMNS(Lists!$C$69:G$69),0)*VLOOKUP(BG$3,Conversions!$B$12:$E$34,4,0)))</f>
        <v>0</v>
      </c>
      <c r="AS92" s="333">
        <f>IF($F92="",0,IF($F92="Weighted Average",$I92*VLOOKUP($D92&amp;" (Disposal)",Lists!$C$72:$R$232,COLUMNS(Lists!$C$69:H$69),0)*VLOOKUP(BH$3,Conversions!$B$12:$E$34,4,0),$I92*VLOOKUP($F92,Lists!$C$72:$R$232,COLUMNS(Lists!$C$69:H$69),0)*VLOOKUP(BH$3,Conversions!$B$12:$E$34,4,0)))</f>
        <v>0</v>
      </c>
      <c r="AT92" s="333">
        <f>IF($F92="",0,IF($F92="Weighted Average",$I92*VLOOKUP($D92&amp;" (Disposal)",Lists!$C$72:$R$232,COLUMNS(Lists!$C$69:I$69),0)*VLOOKUP(BI$3,Conversions!$B$12:$E$34,4,0),$I92*VLOOKUP($F92,Lists!$C$72:$R$232,COLUMNS(Lists!$C$69:I$69),0)*VLOOKUP(BI$3,Conversions!$B$12:$E$34,4,0)))</f>
        <v>0</v>
      </c>
      <c r="AU92" s="333">
        <f>IF($F92="",0,IF($F92="Weighted Average",$I92*VLOOKUP($D92&amp;" (Disposal)",Lists!$C$72:$R$232,COLUMNS(Lists!$C$69:J$69),0)*VLOOKUP(BJ$3,Conversions!$B$12:$E$34,4,0),$I92*VLOOKUP($F92,Lists!$C$72:$R$232,COLUMNS(Lists!$C$69:J$69),0)*VLOOKUP(BJ$3,Conversions!$B$12:$E$34,4,0)))</f>
        <v>0</v>
      </c>
      <c r="AV92" s="333">
        <f>IF($F92="",0,IF($F92="Weighted Average",$I92*VLOOKUP($D92&amp;" (Disposal)",Lists!$C$72:$R$232,COLUMNS(Lists!$C$69:K$69),0)*VLOOKUP(BK$3,Conversions!$B$12:$E$34,4,0),$I92*VLOOKUP($F92,Lists!$C$72:$R$232,COLUMNS(Lists!$C$69:K$69),0)*VLOOKUP(BK$3,Conversions!$B$12:$E$34,4,0)))</f>
        <v>0</v>
      </c>
      <c r="AW92" s="333">
        <f>IF($F92="",0,IF($F92="Weighted Average",$I92*VLOOKUP($D92&amp;" (Disposal)",Lists!$C$72:$R$232,COLUMNS(Lists!$C$69:L$69),0)*VLOOKUP(BL$3,Conversions!$B$12:$E$34,4,0),$I92*VLOOKUP($F92,Lists!$C$72:$R$232,COLUMNS(Lists!$C$69:L$69),0)*VLOOKUP(BL$3,Conversions!$B$12:$E$34,4,0)))</f>
        <v>0</v>
      </c>
      <c r="AX92" s="333">
        <f>IF($F92="",0,IF($F92="Weighted Average",$I92*VLOOKUP($D92&amp;" (Disposal)",Lists!$C$72:$R$232,COLUMNS(Lists!$C$69:M$69),0)*VLOOKUP(BM$3,Conversions!$B$12:$E$34,4,0),$I92*VLOOKUP($F92,Lists!$C$72:$R$232,COLUMNS(Lists!$C$69:M$69),0)*VLOOKUP(BM$3,Conversions!$B$12:$E$34,4,0)))</f>
        <v>0</v>
      </c>
      <c r="AY92" s="333">
        <f>IF($F92="",0,IF($F92="Weighted Average",$I92*VLOOKUP($D92&amp;" (Disposal)",Lists!$C$72:$R$232,COLUMNS(Lists!$C$69:N$69),0)*VLOOKUP(BN$3,Conversions!$B$12:$E$34,4,0),$I92*VLOOKUP($F92,Lists!$C$72:$R$232,COLUMNS(Lists!$C$69:N$69),0)*VLOOKUP(BN$3,Conversions!$B$12:$E$34,4,0)))</f>
        <v>0</v>
      </c>
      <c r="AZ92" s="333">
        <f>IF($F92="",0,IF($F92="Weighted Average",$I92*VLOOKUP($D92&amp;" (Disposal)",Lists!$C$72:$R$232,COLUMNS(Lists!$C$69:O$69),0)*VLOOKUP(BO$3,Conversions!$B$12:$E$34,4,0),$I92*VLOOKUP($F92,Lists!$C$72:$R$232,COLUMNS(Lists!$C$69:O$69),0)*VLOOKUP(BO$3,Conversions!$B$12:$E$34,4,0)))</f>
        <v>0</v>
      </c>
      <c r="BA92" s="333">
        <f>IF($F92="",0,IF($F92="Weighted Average",$I92*VLOOKUP($D92&amp;" (Disposal)",Lists!$C$72:$R$232,COLUMNS(Lists!$C$69:P$69),0)*VLOOKUP(BP$3,Conversions!$B$12:$E$34,4,0),$I92*VLOOKUP($F92,Lists!$C$72:$R$232,COLUMNS(Lists!$C$69:P$69),0)*VLOOKUP(BP$3,Conversions!$B$12:$E$34,4,0)))</f>
        <v>0</v>
      </c>
      <c r="BB92" s="333">
        <f>IF($F92="",0,IF($F92="Weighted Average",$I92*VLOOKUP($D92&amp;" (Disposal)",Lists!$C$72:$R$232,COLUMNS(Lists!$C$69:Q$69),0)*VLOOKUP(BQ$3,Conversions!$B$12:$E$34,4,0),$I92*VLOOKUP($F92,Lists!$C$72:$R$232,COLUMNS(Lists!$C$69:Q$69),0)*VLOOKUP(BQ$3,Conversions!$B$12:$E$34,4,0)))</f>
        <v>0</v>
      </c>
      <c r="BC92" s="333">
        <f>IF($F92="",0,IF($F92="Weighted Average",$I92*VLOOKUP($D92&amp;" (Disposal)",Lists!$C$72:$R$232,COLUMNS(Lists!$C$69:R$69),0)*VLOOKUP(BR$3,Conversions!$B$12:$E$34,4,0),$I92*VLOOKUP($F92,Lists!$C$72:$R$232,COLUMNS(Lists!$C$69:R$69),0)*VLOOKUP(BR$3,Conversions!$B$12:$E$34,4,0)))</f>
        <v>0</v>
      </c>
      <c r="BD92" s="333">
        <f t="shared" si="40"/>
        <v>0</v>
      </c>
      <c r="BE92" s="330">
        <f t="shared" si="41"/>
        <v>0</v>
      </c>
      <c r="BF92" s="330">
        <f t="shared" si="42"/>
        <v>0</v>
      </c>
      <c r="BG92" s="330">
        <f t="shared" si="43"/>
        <v>0</v>
      </c>
      <c r="BH92" s="330">
        <f t="shared" si="44"/>
        <v>0</v>
      </c>
      <c r="BI92" s="330">
        <f t="shared" si="45"/>
        <v>0</v>
      </c>
      <c r="BJ92" s="330">
        <f t="shared" si="46"/>
        <v>0</v>
      </c>
      <c r="BK92" s="330">
        <f t="shared" si="47"/>
        <v>0</v>
      </c>
      <c r="BL92" s="330">
        <f t="shared" si="48"/>
        <v>0</v>
      </c>
      <c r="BM92" s="330">
        <f t="shared" si="49"/>
        <v>0</v>
      </c>
      <c r="BN92" s="330">
        <f t="shared" si="50"/>
        <v>0</v>
      </c>
      <c r="BO92" s="330">
        <f t="shared" si="51"/>
        <v>0</v>
      </c>
      <c r="BP92" s="330">
        <f t="shared" si="52"/>
        <v>0</v>
      </c>
      <c r="BQ92" s="330">
        <f t="shared" si="53"/>
        <v>0</v>
      </c>
      <c r="BR92" s="330">
        <f t="shared" si="54"/>
        <v>0</v>
      </c>
      <c r="BS92" s="330">
        <f t="shared" si="55"/>
        <v>0</v>
      </c>
      <c r="BT92" s="329">
        <f t="shared" si="99"/>
        <v>0</v>
      </c>
      <c r="BU92" s="329">
        <f t="shared" si="99"/>
        <v>0</v>
      </c>
      <c r="BV92" s="329">
        <f t="shared" si="99"/>
        <v>0</v>
      </c>
      <c r="BW92" s="329">
        <f t="shared" si="99"/>
        <v>0</v>
      </c>
      <c r="BX92" s="329">
        <f t="shared" si="99"/>
        <v>0</v>
      </c>
      <c r="BY92" s="329">
        <f t="shared" si="99"/>
        <v>0</v>
      </c>
      <c r="BZ92" s="329">
        <f t="shared" si="99"/>
        <v>0</v>
      </c>
      <c r="CA92" s="329">
        <f t="shared" si="99"/>
        <v>0</v>
      </c>
      <c r="CB92" s="329">
        <f t="shared" si="99"/>
        <v>0</v>
      </c>
      <c r="CC92" s="329">
        <f t="shared" si="99"/>
        <v>0</v>
      </c>
      <c r="CD92" s="329">
        <f t="shared" si="99"/>
        <v>0</v>
      </c>
      <c r="CE92" s="329">
        <f t="shared" si="99"/>
        <v>0</v>
      </c>
      <c r="CF92" s="329">
        <f t="shared" si="99"/>
        <v>0</v>
      </c>
      <c r="CG92" s="329">
        <f t="shared" si="99"/>
        <v>0</v>
      </c>
      <c r="CH92" s="329">
        <f t="shared" si="99"/>
        <v>0</v>
      </c>
      <c r="CI92" s="329">
        <f t="shared" si="99"/>
        <v>0</v>
      </c>
      <c r="CJ92" s="331">
        <f t="shared" si="1"/>
        <v>0</v>
      </c>
      <c r="CK92" s="330">
        <f t="shared" si="5"/>
        <v>0</v>
      </c>
      <c r="CL92" s="330">
        <f t="shared" si="6"/>
        <v>0</v>
      </c>
      <c r="CM92" s="330">
        <f t="shared" si="7"/>
        <v>0</v>
      </c>
      <c r="CN92" s="330">
        <f t="shared" si="8"/>
        <v>0</v>
      </c>
      <c r="CO92" s="330">
        <f t="shared" si="9"/>
        <v>0</v>
      </c>
      <c r="CP92" s="330">
        <f t="shared" si="10"/>
        <v>0</v>
      </c>
      <c r="CQ92" s="330">
        <f t="shared" si="94"/>
        <v>0</v>
      </c>
      <c r="CR92" s="330">
        <f t="shared" si="12"/>
        <v>0</v>
      </c>
      <c r="CS92" s="330">
        <f t="shared" si="13"/>
        <v>0</v>
      </c>
      <c r="CT92" s="330">
        <f t="shared" si="14"/>
        <v>0</v>
      </c>
      <c r="CU92" s="330">
        <f t="shared" si="100"/>
        <v>0</v>
      </c>
      <c r="CV92" s="330">
        <f t="shared" si="100"/>
        <v>0</v>
      </c>
      <c r="CW92" s="330">
        <f t="shared" si="100"/>
        <v>0</v>
      </c>
      <c r="CX92" s="330">
        <f t="shared" si="100"/>
        <v>0</v>
      </c>
      <c r="CY92" s="330">
        <f t="shared" si="100"/>
        <v>0</v>
      </c>
      <c r="CZ92" s="330">
        <f t="shared" si="100"/>
        <v>0</v>
      </c>
      <c r="DA92" s="330">
        <f t="shared" si="100"/>
        <v>0</v>
      </c>
      <c r="DB92" s="330">
        <f t="shared" si="100"/>
        <v>0</v>
      </c>
      <c r="DC92" s="330">
        <f t="shared" si="100"/>
        <v>0</v>
      </c>
      <c r="DD92" s="330">
        <f t="shared" si="100"/>
        <v>0</v>
      </c>
      <c r="DE92" s="330">
        <f t="shared" si="101"/>
        <v>0</v>
      </c>
      <c r="DF92" s="330">
        <f t="shared" si="101"/>
        <v>0</v>
      </c>
      <c r="DG92" s="330">
        <f t="shared" si="101"/>
        <v>0</v>
      </c>
      <c r="DH92" s="330">
        <f t="shared" si="101"/>
        <v>0</v>
      </c>
      <c r="DI92" s="330">
        <f t="shared" si="101"/>
        <v>0</v>
      </c>
      <c r="DJ92" s="330">
        <f t="shared" si="101"/>
        <v>0</v>
      </c>
      <c r="DK92" s="330">
        <f t="shared" si="101"/>
        <v>0</v>
      </c>
      <c r="DL92" s="330">
        <f t="shared" si="101"/>
        <v>0</v>
      </c>
      <c r="DM92" s="330">
        <f t="shared" si="101"/>
        <v>0</v>
      </c>
      <c r="DN92" s="330">
        <f t="shared" si="101"/>
        <v>0</v>
      </c>
      <c r="DO92" s="330">
        <f t="shared" si="101"/>
        <v>0</v>
      </c>
      <c r="DP92" s="330">
        <f t="shared" si="98"/>
        <v>0</v>
      </c>
      <c r="DQ92" s="217"/>
      <c r="DR92" s="217"/>
      <c r="DS92" s="217"/>
      <c r="DT92" s="217"/>
    </row>
    <row r="93" spans="1:124" x14ac:dyDescent="0.3">
      <c r="A93" s="324"/>
      <c r="B93" s="221" t="s">
        <v>305</v>
      </c>
      <c r="C93" s="221" t="str">
        <f>IF(Screening!C23=0,"",Screening!C23)</f>
        <v/>
      </c>
      <c r="D93" s="221" t="str">
        <f>IF(Screening!D23=0,"",Screening!D23)</f>
        <v/>
      </c>
      <c r="E93" s="221" t="str">
        <f>IF(Screening!E23=0,"",Screening!E23)</f>
        <v/>
      </c>
      <c r="F93" s="221" t="str">
        <f>IF(Screening!F23=0,"",Screening!F23)</f>
        <v/>
      </c>
      <c r="G93" s="272">
        <f>Screening!G23*Screening!O23*Conversions!$C$4</f>
        <v>0</v>
      </c>
      <c r="H93" s="272">
        <f>Screening!H23*Screening!P23*Screening!I23*Conversions!$C$4</f>
        <v>0</v>
      </c>
      <c r="I93" s="272">
        <f>Screening!J23*Screening!Q23*(1-Screening!R23)*Conversions!$C$4</f>
        <v>0</v>
      </c>
      <c r="J93" s="325">
        <f>IF(Screening!S23=0,0,Screening!S23)</f>
        <v>0</v>
      </c>
      <c r="K93" s="465"/>
      <c r="L93" s="333">
        <f>IF($F93="",0,IF($F93="Weighted Average",$G93*VLOOKUP($D93&amp;" (Install)",Lists!$C$72:$R$232,COLUMNS(Lists!$C$69:E$69),0)*VLOOKUP(BE$3,Conversions!$B$12:$E$34,4,0),$G93*VLOOKUP($F93,Lists!$C$72:$R$232,COLUMNS(Lists!$C$69:E$69),0)*VLOOKUP(BE$3,Conversions!$B$12:$E$34,4,0)))</f>
        <v>0</v>
      </c>
      <c r="M93" s="333">
        <f>IF($F93="",0,IF($F93="Weighted Average",$G93*VLOOKUP($D93&amp;" (Install)",Lists!$C$72:$R$232,COLUMNS(Lists!$C$69:F$69),0)*VLOOKUP(BF$3,Conversions!$B$12:$E$34,4,0),$G93*VLOOKUP($F93,Lists!$C$72:$R$232,COLUMNS(Lists!$C$69:F$69),0)*VLOOKUP(BF$3,Conversions!$B$12:$E$34,4,0)))</f>
        <v>0</v>
      </c>
      <c r="N93" s="333">
        <f>IF($F93="",0,IF($F93="Weighted Average",$G93*VLOOKUP($D93&amp;" (Install)",Lists!$C$72:$R$232,COLUMNS(Lists!$C$69:G$69),0)*VLOOKUP(BG$3,Conversions!$B$12:$E$34,4,0),$G93*VLOOKUP($F93,Lists!$C$72:$R$232,COLUMNS(Lists!$C$69:G$69),0)*VLOOKUP(BG$3,Conversions!$B$12:$E$34,4,0)))</f>
        <v>0</v>
      </c>
      <c r="O93" s="333">
        <f>IF($F93="",0,IF($F93="Weighted Average",$G93*VLOOKUP($D93&amp;" (Install)",Lists!$C$72:$R$232,COLUMNS(Lists!$C$69:H$69),0)*VLOOKUP(BH$3,Conversions!$B$12:$E$34,4,0),$G93*VLOOKUP($F93,Lists!$C$72:$R$232,COLUMNS(Lists!$C$69:H$69),0)*VLOOKUP(BH$3,Conversions!$B$12:$E$34,4,0)))</f>
        <v>0</v>
      </c>
      <c r="P93" s="333">
        <f>IF($F93="",0,IF($F93="Weighted Average",$G93*VLOOKUP($D93&amp;" (Install)",Lists!$C$72:$R$232,COLUMNS(Lists!$C$69:I$69),0)*VLOOKUP(BI$3,Conversions!$B$12:$E$34,4,0),$G93*VLOOKUP($F93,Lists!$C$72:$R$232,COLUMNS(Lists!$C$69:I$69),0)*VLOOKUP(BI$3,Conversions!$B$12:$E$34,4,0)))</f>
        <v>0</v>
      </c>
      <c r="Q93" s="333">
        <f>IF($F93="",0,IF($F93="Weighted Average",$G93*VLOOKUP($D93&amp;" (Install)",Lists!$C$72:$R$232,COLUMNS(Lists!$C$69:J$69),0)*VLOOKUP(BJ$3,Conversions!$B$12:$E$34,4,0),$G93*VLOOKUP($F93,Lists!$C$72:$R$232,COLUMNS(Lists!$C$69:J$69),0)*VLOOKUP(BJ$3,Conversions!$B$12:$E$34,4,0)))</f>
        <v>0</v>
      </c>
      <c r="R93" s="333">
        <f>IF($F93="",0,IF($F93="Weighted Average",$G93*VLOOKUP($D93&amp;" (Install)",Lists!$C$72:$R$232,COLUMNS(Lists!$C$69:K$69),0)*VLOOKUP(BK$3,Conversions!$B$12:$E$34,4,0),$G93*VLOOKUP($F93,Lists!$C$72:$R$232,COLUMNS(Lists!$C$69:K$69),0)*VLOOKUP(BK$3,Conversions!$B$12:$E$34,4,0)))</f>
        <v>0</v>
      </c>
      <c r="S93" s="333">
        <f>IF($F93="",0,IF($F93="Weighted Average",$G93*VLOOKUP($D93&amp;" (Install)",Lists!$C$72:$R$232,COLUMNS(Lists!$C$69:L$69),0)*VLOOKUP(BL$3,Conversions!$B$12:$E$34,4,0),$G93*VLOOKUP($F93,Lists!$C$72:$R$232,COLUMNS(Lists!$C$69:L$69),0)*VLOOKUP(BL$3,Conversions!$B$12:$E$34,4,0)))</f>
        <v>0</v>
      </c>
      <c r="T93" s="333">
        <f>IF($F93="",0,IF($F93="Weighted Average",$G93*VLOOKUP($D93&amp;" (Install)",Lists!$C$72:$R$232,COLUMNS(Lists!$C$69:M$69),0)*VLOOKUP(BM$3,Conversions!$B$12:$E$34,4,0),$G93*VLOOKUP($F93,Lists!$C$72:$R$232,COLUMNS(Lists!$C$69:M$69),0)*VLOOKUP(BM$3,Conversions!$B$12:$E$34,4,0)))</f>
        <v>0</v>
      </c>
      <c r="U93" s="333">
        <f>IF($F93="",0,IF($F93="Weighted Average",$G93*VLOOKUP($D93&amp;" (Install)",Lists!$C$72:$R$232,COLUMNS(Lists!$C$69:N$69),0)*VLOOKUP(BN$3,Conversions!$B$12:$E$34,4,0),$G93*VLOOKUP($F93,Lists!$C$72:$R$232,COLUMNS(Lists!$C$69:N$69),0)*VLOOKUP(BN$3,Conversions!$B$12:$E$34,4,0)))</f>
        <v>0</v>
      </c>
      <c r="V93" s="333">
        <f>IF($F93="",0,IF($F93="Weighted Average",$G93*VLOOKUP($D93&amp;" (Install)",Lists!$C$72:$R$232,COLUMNS(Lists!$C$69:O$69),0)*VLOOKUP(BO$3,Conversions!$B$12:$E$34,4,0),$G93*VLOOKUP($F93,Lists!$C$72:$R$232,COLUMNS(Lists!$C$69:O$69),0)*VLOOKUP(BO$3,Conversions!$B$12:$E$34,4,0)))</f>
        <v>0</v>
      </c>
      <c r="W93" s="333">
        <f>IF($F93="",0,IF($F93="Weighted Average",$G93*VLOOKUP($D93&amp;" (Install)",Lists!$C$72:$R$232,COLUMNS(Lists!$C$69:P$69),0)*VLOOKUP(BP$3,Conversions!$B$12:$E$34,4,0),$G93*VLOOKUP($F93,Lists!$C$72:$R$232,COLUMNS(Lists!$C$69:P$69),0)*VLOOKUP(BP$3,Conversions!$B$12:$E$34,4,0)))</f>
        <v>0</v>
      </c>
      <c r="X93" s="333">
        <f>IF($F93="",0,IF($F93="Weighted Average",$G93*VLOOKUP($D93&amp;" (Install)",Lists!$C$72:$R$232,COLUMNS(Lists!$C$69:Q$69),0)*VLOOKUP(BQ$3,Conversions!$B$12:$E$34,4,0),$G93*VLOOKUP($F93,Lists!$C$72:$R$232,COLUMNS(Lists!$C$69:Q$69),0)*VLOOKUP(BQ$3,Conversions!$B$12:$E$34,4,0)))</f>
        <v>0</v>
      </c>
      <c r="Y93" s="333">
        <f>IF($F93="",0,IF($F93="Weighted Average",$G93*VLOOKUP($D93&amp;" (Install)",Lists!$C$72:$R$232,COLUMNS(Lists!$C$69:R$69),0)*VLOOKUP(BR$3,Conversions!$B$12:$E$34,4,0),$G93*VLOOKUP($F93,Lists!$C$72:$R$232,COLUMNS(Lists!$C$69:R$69),0)*VLOOKUP(BR$3,Conversions!$B$12:$E$34,4,0)))</f>
        <v>0</v>
      </c>
      <c r="Z93" s="325">
        <f t="shared" si="38"/>
        <v>0</v>
      </c>
      <c r="AA93" s="334">
        <f>IF($F93="",0,IF($F93="Weighted Average",$H93*VLOOKUP($D93&amp;" (Operation)",Lists!$C$72:$R$232,COLUMNS(Lists!$C$69:E$69),0)*VLOOKUP(BE$3,Conversions!$B$12:$E$34,4,0),$H93*VLOOKUP($F93,Lists!$C$72:$R$232,COLUMNS(Lists!$C$69:E$69),0)*VLOOKUP(BE$3,Conversions!$B$12:$E$34,4,0)))</f>
        <v>0</v>
      </c>
      <c r="AB93" s="334">
        <f>IF($F93="",0,IF($F93="Weighted Average",$H93*VLOOKUP($D93&amp;" (Operation)",Lists!$C$72:$R$232,COLUMNS(Lists!$C$69:F$69),0)*VLOOKUP(BF$3,Conversions!$B$12:$E$34,4,0),$H93*VLOOKUP($F93,Lists!$C$72:$R$232,COLUMNS(Lists!$C$69:F$69),0)*VLOOKUP(BF$3,Conversions!$B$12:$E$34,4,0)))</f>
        <v>0</v>
      </c>
      <c r="AC93" s="334">
        <f>IF($F93="",0,IF($F93="Weighted Average",$H93*VLOOKUP($D93&amp;" (Operation)",Lists!$C$72:$R$232,COLUMNS(Lists!$C$69:G$69),0)*VLOOKUP(BG$3,Conversions!$B$12:$E$34,4,0),$H93*VLOOKUP($F93,Lists!$C$72:$R$232,COLUMNS(Lists!$C$69:G$69),0)*VLOOKUP(BG$3,Conversions!$B$12:$E$34,4,0)))</f>
        <v>0</v>
      </c>
      <c r="AD93" s="334">
        <f>IF($F93="",0,IF($F93="Weighted Average",$H93*VLOOKUP($D93&amp;" (Operation)",Lists!$C$72:$R$232,COLUMNS(Lists!$C$69:H$69),0)*VLOOKUP(BH$3,Conversions!$B$12:$E$34,4,0),$H93*VLOOKUP($F93,Lists!$C$72:$R$232,COLUMNS(Lists!$C$69:H$69),0)*VLOOKUP(BH$3,Conversions!$B$12:$E$34,4,0)))</f>
        <v>0</v>
      </c>
      <c r="AE93" s="334">
        <f>IF($F93="",0,IF($F93="Weighted Average",$H93*VLOOKUP($D93&amp;" (Operation)",Lists!$C$72:$R$232,COLUMNS(Lists!$C$69:I$69),0)*VLOOKUP(BI$3,Conversions!$B$12:$E$34,4,0),$H93*VLOOKUP($F93,Lists!$C$72:$R$232,COLUMNS(Lists!$C$69:I$69),0)*VLOOKUP(BI$3,Conversions!$B$12:$E$34,4,0)))</f>
        <v>0</v>
      </c>
      <c r="AF93" s="334">
        <f>IF($F93="",0,IF($F93="Weighted Average",$H93*VLOOKUP($D93&amp;" (Operation)",Lists!$C$72:$R$232,COLUMNS(Lists!$C$69:J$69),0)*VLOOKUP(BJ$3,Conversions!$B$12:$E$34,4,0),$H93*VLOOKUP($F93,Lists!$C$72:$R$232,COLUMNS(Lists!$C$69:J$69),0)*VLOOKUP(BJ$3,Conversions!$B$12:$E$34,4,0)))</f>
        <v>0</v>
      </c>
      <c r="AG93" s="334">
        <f>IF($F93="",0,IF($F93="Weighted Average",$H93*VLOOKUP($D93&amp;" (Operation)",Lists!$C$72:$R$232,COLUMNS(Lists!$C$69:K$69),0)*VLOOKUP(BK$3,Conversions!$B$12:$E$34,4,0),$H93*VLOOKUP($F93,Lists!$C$72:$R$232,COLUMNS(Lists!$C$69:K$69),0)*VLOOKUP(BK$3,Conversions!$B$12:$E$34,4,0)))</f>
        <v>0</v>
      </c>
      <c r="AH93" s="334">
        <f>IF($F93="",0,IF($F93="Weighted Average",$H93*VLOOKUP($D93&amp;" (Operation)",Lists!$C$72:$R$232,COLUMNS(Lists!$C$69:L$69),0)*VLOOKUP(BL$3,Conversions!$B$12:$E$34,4,0),$H93*VLOOKUP($F93,Lists!$C$72:$R$232,COLUMNS(Lists!$C$69:L$69),0)*VLOOKUP(BL$3,Conversions!$B$12:$E$34,4,0)))</f>
        <v>0</v>
      </c>
      <c r="AI93" s="334">
        <f>IF($F93="",0,IF($F93="Weighted Average",$H93*VLOOKUP($D93&amp;" (Operation)",Lists!$C$72:$R$232,COLUMNS(Lists!$C$69:M$69),0)*VLOOKUP(BM$3,Conversions!$B$12:$E$34,4,0),$H93*VLOOKUP($F93,Lists!$C$72:$R$232,COLUMNS(Lists!$C$69:M$69),0)*VLOOKUP(BM$3,Conversions!$B$12:$E$34,4,0)))</f>
        <v>0</v>
      </c>
      <c r="AJ93" s="334">
        <f>IF($F93="",0,IF($F93="Weighted Average",$H93*VLOOKUP($D93&amp;" (Operation)",Lists!$C$72:$R$232,COLUMNS(Lists!$C$69:N$69),0)*VLOOKUP(BN$3,Conversions!$B$12:$E$34,4,0),$H93*VLOOKUP($F93,Lists!$C$72:$R$232,COLUMNS(Lists!$C$69:N$69),0)*VLOOKUP(BN$3,Conversions!$B$12:$E$34,4,0)))</f>
        <v>0</v>
      </c>
      <c r="AK93" s="334">
        <f>IF($F93="",0,IF($F93="Weighted Average",$H93*VLOOKUP($D93&amp;" (Operation)",Lists!$C$72:$R$232,COLUMNS(Lists!$C$69:O$69),0)*VLOOKUP(BO$3,Conversions!$B$12:$E$34,4,0),$H93*VLOOKUP($F93,Lists!$C$72:$R$232,COLUMNS(Lists!$C$69:O$69),0)*VLOOKUP(BO$3,Conversions!$B$12:$E$34,4,0)))</f>
        <v>0</v>
      </c>
      <c r="AL93" s="334">
        <f>IF($F93="",0,IF($F93="Weighted Average",$H93*VLOOKUP($D93&amp;" (Operation)",Lists!$C$72:$R$232,COLUMNS(Lists!$C$69:P$69),0)*VLOOKUP(BP$3,Conversions!$B$12:$E$34,4,0),$H93*VLOOKUP($F93,Lists!$C$72:$R$232,COLUMNS(Lists!$C$69:P$69),0)*VLOOKUP(BP$3,Conversions!$B$12:$E$34,4,0)))</f>
        <v>0</v>
      </c>
      <c r="AM93" s="334">
        <f>IF($F93="",0,IF($F93="Weighted Average",$H93*VLOOKUP($D93&amp;" (Operation)",Lists!$C$72:$R$232,COLUMNS(Lists!$C$69:Q$69),0)*VLOOKUP(BQ$3,Conversions!$B$12:$E$34,4,0),$H93*VLOOKUP($F93,Lists!$C$72:$R$232,COLUMNS(Lists!$C$69:Q$69),0)*VLOOKUP(BQ$3,Conversions!$B$12:$E$34,4,0)))</f>
        <v>0</v>
      </c>
      <c r="AN93" s="334">
        <f>IF($F93="",0,IF($F93="Weighted Average",$H93*VLOOKUP($D93&amp;" (Operation)",Lists!$C$72:$R$232,COLUMNS(Lists!$C$69:R$69),0)*VLOOKUP(BR$3,Conversions!$B$12:$E$34,4,0),$H93*VLOOKUP($F93,Lists!$C$72:$R$232,COLUMNS(Lists!$C$69:R$69),0)*VLOOKUP(BR$3,Conversions!$B$12:$E$34,4,0)))</f>
        <v>0</v>
      </c>
      <c r="AO93" s="330">
        <f t="shared" si="39"/>
        <v>0</v>
      </c>
      <c r="AP93" s="333">
        <f>IF($F93="",0,IF($F93="Weighted Average",$I93*VLOOKUP($D93&amp;" (Disposal)",Lists!$C$72:$R$232,COLUMNS(Lists!$C$69:E$69),0)*VLOOKUP(BE$3,Conversions!$B$12:$E$34,4,0),$I93*VLOOKUP($F93,Lists!$C$72:$R$232,COLUMNS(Lists!$C$69:E$69),0)*VLOOKUP(BE$3,Conversions!$B$12:$E$34,4,0)))</f>
        <v>0</v>
      </c>
      <c r="AQ93" s="333">
        <f>IF($F93="",0,IF($F93="Weighted Average",$I93*VLOOKUP($D93&amp;" (Disposal)",Lists!$C$72:$R$232,COLUMNS(Lists!$C$69:F$69),0)*VLOOKUP(BF$3,Conversions!$B$12:$E$34,4,0),$I93*VLOOKUP($F93,Lists!$C$72:$R$232,COLUMNS(Lists!$C$69:F$69),0)*VLOOKUP(BF$3,Conversions!$B$12:$E$34,4,0)))</f>
        <v>0</v>
      </c>
      <c r="AR93" s="333">
        <f>IF($F93="",0,IF($F93="Weighted Average",$I93*VLOOKUP($D93&amp;" (Disposal)",Lists!$C$72:$R$232,COLUMNS(Lists!$C$69:G$69),0)*VLOOKUP(BG$3,Conversions!$B$12:$E$34,4,0),$I93*VLOOKUP($F93,Lists!$C$72:$R$232,COLUMNS(Lists!$C$69:G$69),0)*VLOOKUP(BG$3,Conversions!$B$12:$E$34,4,0)))</f>
        <v>0</v>
      </c>
      <c r="AS93" s="333">
        <f>IF($F93="",0,IF($F93="Weighted Average",$I93*VLOOKUP($D93&amp;" (Disposal)",Lists!$C$72:$R$232,COLUMNS(Lists!$C$69:H$69),0)*VLOOKUP(BH$3,Conversions!$B$12:$E$34,4,0),$I93*VLOOKUP($F93,Lists!$C$72:$R$232,COLUMNS(Lists!$C$69:H$69),0)*VLOOKUP(BH$3,Conversions!$B$12:$E$34,4,0)))</f>
        <v>0</v>
      </c>
      <c r="AT93" s="333">
        <f>IF($F93="",0,IF($F93="Weighted Average",$I93*VLOOKUP($D93&amp;" (Disposal)",Lists!$C$72:$R$232,COLUMNS(Lists!$C$69:I$69),0)*VLOOKUP(BI$3,Conversions!$B$12:$E$34,4,0),$I93*VLOOKUP($F93,Lists!$C$72:$R$232,COLUMNS(Lists!$C$69:I$69),0)*VLOOKUP(BI$3,Conversions!$B$12:$E$34,4,0)))</f>
        <v>0</v>
      </c>
      <c r="AU93" s="333">
        <f>IF($F93="",0,IF($F93="Weighted Average",$I93*VLOOKUP($D93&amp;" (Disposal)",Lists!$C$72:$R$232,COLUMNS(Lists!$C$69:J$69),0)*VLOOKUP(BJ$3,Conversions!$B$12:$E$34,4,0),$I93*VLOOKUP($F93,Lists!$C$72:$R$232,COLUMNS(Lists!$C$69:J$69),0)*VLOOKUP(BJ$3,Conversions!$B$12:$E$34,4,0)))</f>
        <v>0</v>
      </c>
      <c r="AV93" s="333">
        <f>IF($F93="",0,IF($F93="Weighted Average",$I93*VLOOKUP($D93&amp;" (Disposal)",Lists!$C$72:$R$232,COLUMNS(Lists!$C$69:K$69),0)*VLOOKUP(BK$3,Conversions!$B$12:$E$34,4,0),$I93*VLOOKUP($F93,Lists!$C$72:$R$232,COLUMNS(Lists!$C$69:K$69),0)*VLOOKUP(BK$3,Conversions!$B$12:$E$34,4,0)))</f>
        <v>0</v>
      </c>
      <c r="AW93" s="333">
        <f>IF($F93="",0,IF($F93="Weighted Average",$I93*VLOOKUP($D93&amp;" (Disposal)",Lists!$C$72:$R$232,COLUMNS(Lists!$C$69:L$69),0)*VLOOKUP(BL$3,Conversions!$B$12:$E$34,4,0),$I93*VLOOKUP($F93,Lists!$C$72:$R$232,COLUMNS(Lists!$C$69:L$69),0)*VLOOKUP(BL$3,Conversions!$B$12:$E$34,4,0)))</f>
        <v>0</v>
      </c>
      <c r="AX93" s="333">
        <f>IF($F93="",0,IF($F93="Weighted Average",$I93*VLOOKUP($D93&amp;" (Disposal)",Lists!$C$72:$R$232,COLUMNS(Lists!$C$69:M$69),0)*VLOOKUP(BM$3,Conversions!$B$12:$E$34,4,0),$I93*VLOOKUP($F93,Lists!$C$72:$R$232,COLUMNS(Lists!$C$69:M$69),0)*VLOOKUP(BM$3,Conversions!$B$12:$E$34,4,0)))</f>
        <v>0</v>
      </c>
      <c r="AY93" s="333">
        <f>IF($F93="",0,IF($F93="Weighted Average",$I93*VLOOKUP($D93&amp;" (Disposal)",Lists!$C$72:$R$232,COLUMNS(Lists!$C$69:N$69),0)*VLOOKUP(BN$3,Conversions!$B$12:$E$34,4,0),$I93*VLOOKUP($F93,Lists!$C$72:$R$232,COLUMNS(Lists!$C$69:N$69),0)*VLOOKUP(BN$3,Conversions!$B$12:$E$34,4,0)))</f>
        <v>0</v>
      </c>
      <c r="AZ93" s="333">
        <f>IF($F93="",0,IF($F93="Weighted Average",$I93*VLOOKUP($D93&amp;" (Disposal)",Lists!$C$72:$R$232,COLUMNS(Lists!$C$69:O$69),0)*VLOOKUP(BO$3,Conversions!$B$12:$E$34,4,0),$I93*VLOOKUP($F93,Lists!$C$72:$R$232,COLUMNS(Lists!$C$69:O$69),0)*VLOOKUP(BO$3,Conversions!$B$12:$E$34,4,0)))</f>
        <v>0</v>
      </c>
      <c r="BA93" s="333">
        <f>IF($F93="",0,IF($F93="Weighted Average",$I93*VLOOKUP($D93&amp;" (Disposal)",Lists!$C$72:$R$232,COLUMNS(Lists!$C$69:P$69),0)*VLOOKUP(BP$3,Conversions!$B$12:$E$34,4,0),$I93*VLOOKUP($F93,Lists!$C$72:$R$232,COLUMNS(Lists!$C$69:P$69),0)*VLOOKUP(BP$3,Conversions!$B$12:$E$34,4,0)))</f>
        <v>0</v>
      </c>
      <c r="BB93" s="333">
        <f>IF($F93="",0,IF($F93="Weighted Average",$I93*VLOOKUP($D93&amp;" (Disposal)",Lists!$C$72:$R$232,COLUMNS(Lists!$C$69:Q$69),0)*VLOOKUP(BQ$3,Conversions!$B$12:$E$34,4,0),$I93*VLOOKUP($F93,Lists!$C$72:$R$232,COLUMNS(Lists!$C$69:Q$69),0)*VLOOKUP(BQ$3,Conversions!$B$12:$E$34,4,0)))</f>
        <v>0</v>
      </c>
      <c r="BC93" s="333">
        <f>IF($F93="",0,IF($F93="Weighted Average",$I93*VLOOKUP($D93&amp;" (Disposal)",Lists!$C$72:$R$232,COLUMNS(Lists!$C$69:R$69),0)*VLOOKUP(BR$3,Conversions!$B$12:$E$34,4,0),$I93*VLOOKUP($F93,Lists!$C$72:$R$232,COLUMNS(Lists!$C$69:R$69),0)*VLOOKUP(BR$3,Conversions!$B$12:$E$34,4,0)))</f>
        <v>0</v>
      </c>
      <c r="BD93" s="333">
        <f t="shared" si="40"/>
        <v>0</v>
      </c>
      <c r="BE93" s="330">
        <f t="shared" si="41"/>
        <v>0</v>
      </c>
      <c r="BF93" s="330">
        <f t="shared" si="42"/>
        <v>0</v>
      </c>
      <c r="BG93" s="330">
        <f t="shared" si="43"/>
        <v>0</v>
      </c>
      <c r="BH93" s="330">
        <f t="shared" si="44"/>
        <v>0</v>
      </c>
      <c r="BI93" s="330">
        <f t="shared" si="45"/>
        <v>0</v>
      </c>
      <c r="BJ93" s="330">
        <f t="shared" si="46"/>
        <v>0</v>
      </c>
      <c r="BK93" s="330">
        <f t="shared" si="47"/>
        <v>0</v>
      </c>
      <c r="BL93" s="330">
        <f t="shared" si="48"/>
        <v>0</v>
      </c>
      <c r="BM93" s="330">
        <f t="shared" si="49"/>
        <v>0</v>
      </c>
      <c r="BN93" s="330">
        <f t="shared" si="50"/>
        <v>0</v>
      </c>
      <c r="BO93" s="330">
        <f t="shared" si="51"/>
        <v>0</v>
      </c>
      <c r="BP93" s="330">
        <f t="shared" si="52"/>
        <v>0</v>
      </c>
      <c r="BQ93" s="330">
        <f t="shared" si="53"/>
        <v>0</v>
      </c>
      <c r="BR93" s="330">
        <f t="shared" si="54"/>
        <v>0</v>
      </c>
      <c r="BS93" s="330">
        <f t="shared" si="55"/>
        <v>0</v>
      </c>
      <c r="BT93" s="329">
        <f t="shared" si="99"/>
        <v>0</v>
      </c>
      <c r="BU93" s="329">
        <f t="shared" si="99"/>
        <v>0</v>
      </c>
      <c r="BV93" s="329">
        <f t="shared" si="99"/>
        <v>0</v>
      </c>
      <c r="BW93" s="329">
        <f t="shared" si="99"/>
        <v>0</v>
      </c>
      <c r="BX93" s="329">
        <f t="shared" si="99"/>
        <v>0</v>
      </c>
      <c r="BY93" s="329">
        <f t="shared" si="99"/>
        <v>0</v>
      </c>
      <c r="BZ93" s="329">
        <f t="shared" si="99"/>
        <v>0</v>
      </c>
      <c r="CA93" s="329">
        <f t="shared" si="99"/>
        <v>0</v>
      </c>
      <c r="CB93" s="329">
        <f t="shared" si="99"/>
        <v>0</v>
      </c>
      <c r="CC93" s="329">
        <f t="shared" si="99"/>
        <v>0</v>
      </c>
      <c r="CD93" s="329">
        <f t="shared" si="99"/>
        <v>0</v>
      </c>
      <c r="CE93" s="329">
        <f t="shared" si="99"/>
        <v>0</v>
      </c>
      <c r="CF93" s="329">
        <f t="shared" si="99"/>
        <v>0</v>
      </c>
      <c r="CG93" s="329">
        <f t="shared" si="99"/>
        <v>0</v>
      </c>
      <c r="CH93" s="329">
        <f t="shared" si="99"/>
        <v>0</v>
      </c>
      <c r="CI93" s="329">
        <f t="shared" si="99"/>
        <v>0</v>
      </c>
      <c r="CJ93" s="331">
        <f t="shared" si="1"/>
        <v>0</v>
      </c>
      <c r="CK93" s="330">
        <f t="shared" si="5"/>
        <v>0</v>
      </c>
      <c r="CL93" s="330">
        <f t="shared" si="6"/>
        <v>0</v>
      </c>
      <c r="CM93" s="330">
        <f t="shared" si="7"/>
        <v>0</v>
      </c>
      <c r="CN93" s="330">
        <f t="shared" si="8"/>
        <v>0</v>
      </c>
      <c r="CO93" s="330">
        <f t="shared" si="9"/>
        <v>0</v>
      </c>
      <c r="CP93" s="330">
        <f t="shared" si="10"/>
        <v>0</v>
      </c>
      <c r="CQ93" s="330">
        <f t="shared" si="94"/>
        <v>0</v>
      </c>
      <c r="CR93" s="330">
        <f t="shared" si="12"/>
        <v>0</v>
      </c>
      <c r="CS93" s="330">
        <f t="shared" si="13"/>
        <v>0</v>
      </c>
      <c r="CT93" s="330">
        <f t="shared" si="14"/>
        <v>0</v>
      </c>
      <c r="CU93" s="330">
        <f t="shared" si="100"/>
        <v>0</v>
      </c>
      <c r="CV93" s="330">
        <f t="shared" si="100"/>
        <v>0</v>
      </c>
      <c r="CW93" s="330">
        <f t="shared" si="100"/>
        <v>0</v>
      </c>
      <c r="CX93" s="330">
        <f t="shared" si="100"/>
        <v>0</v>
      </c>
      <c r="CY93" s="330">
        <f t="shared" si="100"/>
        <v>0</v>
      </c>
      <c r="CZ93" s="330">
        <f t="shared" si="100"/>
        <v>0</v>
      </c>
      <c r="DA93" s="330">
        <f t="shared" si="100"/>
        <v>0</v>
      </c>
      <c r="DB93" s="330">
        <f t="shared" si="100"/>
        <v>0</v>
      </c>
      <c r="DC93" s="330">
        <f t="shared" si="100"/>
        <v>0</v>
      </c>
      <c r="DD93" s="330">
        <f t="shared" si="100"/>
        <v>0</v>
      </c>
      <c r="DE93" s="330">
        <f t="shared" si="101"/>
        <v>0</v>
      </c>
      <c r="DF93" s="330">
        <f t="shared" si="101"/>
        <v>0</v>
      </c>
      <c r="DG93" s="330">
        <f t="shared" si="101"/>
        <v>0</v>
      </c>
      <c r="DH93" s="330">
        <f t="shared" si="101"/>
        <v>0</v>
      </c>
      <c r="DI93" s="330">
        <f t="shared" si="101"/>
        <v>0</v>
      </c>
      <c r="DJ93" s="330">
        <f t="shared" si="101"/>
        <v>0</v>
      </c>
      <c r="DK93" s="330">
        <f t="shared" si="101"/>
        <v>0</v>
      </c>
      <c r="DL93" s="330">
        <f t="shared" si="101"/>
        <v>0</v>
      </c>
      <c r="DM93" s="330">
        <f t="shared" si="101"/>
        <v>0</v>
      </c>
      <c r="DN93" s="330">
        <f t="shared" si="101"/>
        <v>0</v>
      </c>
      <c r="DO93" s="330">
        <f t="shared" si="101"/>
        <v>0</v>
      </c>
      <c r="DP93" s="330">
        <f t="shared" si="98"/>
        <v>0</v>
      </c>
      <c r="DQ93" s="217"/>
      <c r="DR93" s="217"/>
      <c r="DS93" s="217"/>
      <c r="DT93" s="217"/>
    </row>
    <row r="94" spans="1:124" x14ac:dyDescent="0.3">
      <c r="A94" s="324"/>
      <c r="B94" s="221" t="s">
        <v>305</v>
      </c>
      <c r="C94" s="221" t="str">
        <f>IF(Screening!C24=0,"",Screening!C24)</f>
        <v/>
      </c>
      <c r="D94" s="221" t="str">
        <f>IF(Screening!D24=0,"",Screening!D24)</f>
        <v/>
      </c>
      <c r="E94" s="221" t="str">
        <f>IF(Screening!E24=0,"",Screening!E24)</f>
        <v/>
      </c>
      <c r="F94" s="221" t="str">
        <f>IF(Screening!F24=0,"",Screening!F24)</f>
        <v/>
      </c>
      <c r="G94" s="272">
        <f>Screening!G24*Screening!O24*Conversions!$C$4</f>
        <v>0</v>
      </c>
      <c r="H94" s="272">
        <f>Screening!H24*Screening!P24*Screening!I24*Conversions!$C$4</f>
        <v>0</v>
      </c>
      <c r="I94" s="272">
        <f>Screening!J24*Screening!Q24*(1-Screening!R24)*Conversions!$C$4</f>
        <v>0</v>
      </c>
      <c r="J94" s="325">
        <f>IF(Screening!S24=0,0,Screening!S24)</f>
        <v>0</v>
      </c>
      <c r="K94" s="465"/>
      <c r="L94" s="333">
        <f>IF($F94="",0,IF($F94="Weighted Average",$G94*VLOOKUP($D94&amp;" (Install)",Lists!$C$72:$R$232,COLUMNS(Lists!$C$69:E$69),0)*VLOOKUP(BE$3,Conversions!$B$12:$E$34,4,0),$G94*VLOOKUP($F94,Lists!$C$72:$R$232,COLUMNS(Lists!$C$69:E$69),0)*VLOOKUP(BE$3,Conversions!$B$12:$E$34,4,0)))</f>
        <v>0</v>
      </c>
      <c r="M94" s="333">
        <f>IF($F94="",0,IF($F94="Weighted Average",$G94*VLOOKUP($D94&amp;" (Install)",Lists!$C$72:$R$232,COLUMNS(Lists!$C$69:F$69),0)*VLOOKUP(BF$3,Conversions!$B$12:$E$34,4,0),$G94*VLOOKUP($F94,Lists!$C$72:$R$232,COLUMNS(Lists!$C$69:F$69),0)*VLOOKUP(BF$3,Conversions!$B$12:$E$34,4,0)))</f>
        <v>0</v>
      </c>
      <c r="N94" s="333">
        <f>IF($F94="",0,IF($F94="Weighted Average",$G94*VLOOKUP($D94&amp;" (Install)",Lists!$C$72:$R$232,COLUMNS(Lists!$C$69:G$69),0)*VLOOKUP(BG$3,Conversions!$B$12:$E$34,4,0),$G94*VLOOKUP($F94,Lists!$C$72:$R$232,COLUMNS(Lists!$C$69:G$69),0)*VLOOKUP(BG$3,Conversions!$B$12:$E$34,4,0)))</f>
        <v>0</v>
      </c>
      <c r="O94" s="333">
        <f>IF($F94="",0,IF($F94="Weighted Average",$G94*VLOOKUP($D94&amp;" (Install)",Lists!$C$72:$R$232,COLUMNS(Lists!$C$69:H$69),0)*VLOOKUP(BH$3,Conversions!$B$12:$E$34,4,0),$G94*VLOOKUP($F94,Lists!$C$72:$R$232,COLUMNS(Lists!$C$69:H$69),0)*VLOOKUP(BH$3,Conversions!$B$12:$E$34,4,0)))</f>
        <v>0</v>
      </c>
      <c r="P94" s="333">
        <f>IF($F94="",0,IF($F94="Weighted Average",$G94*VLOOKUP($D94&amp;" (Install)",Lists!$C$72:$R$232,COLUMNS(Lists!$C$69:I$69),0)*VLOOKUP(BI$3,Conversions!$B$12:$E$34,4,0),$G94*VLOOKUP($F94,Lists!$C$72:$R$232,COLUMNS(Lists!$C$69:I$69),0)*VLOOKUP(BI$3,Conversions!$B$12:$E$34,4,0)))</f>
        <v>0</v>
      </c>
      <c r="Q94" s="333">
        <f>IF($F94="",0,IF($F94="Weighted Average",$G94*VLOOKUP($D94&amp;" (Install)",Lists!$C$72:$R$232,COLUMNS(Lists!$C$69:J$69),0)*VLOOKUP(BJ$3,Conversions!$B$12:$E$34,4,0),$G94*VLOOKUP($F94,Lists!$C$72:$R$232,COLUMNS(Lists!$C$69:J$69),0)*VLOOKUP(BJ$3,Conversions!$B$12:$E$34,4,0)))</f>
        <v>0</v>
      </c>
      <c r="R94" s="333">
        <f>IF($F94="",0,IF($F94="Weighted Average",$G94*VLOOKUP($D94&amp;" (Install)",Lists!$C$72:$R$232,COLUMNS(Lists!$C$69:K$69),0)*VLOOKUP(BK$3,Conversions!$B$12:$E$34,4,0),$G94*VLOOKUP($F94,Lists!$C$72:$R$232,COLUMNS(Lists!$C$69:K$69),0)*VLOOKUP(BK$3,Conversions!$B$12:$E$34,4,0)))</f>
        <v>0</v>
      </c>
      <c r="S94" s="333">
        <f>IF($F94="",0,IF($F94="Weighted Average",$G94*VLOOKUP($D94&amp;" (Install)",Lists!$C$72:$R$232,COLUMNS(Lists!$C$69:L$69),0)*VLOOKUP(BL$3,Conversions!$B$12:$E$34,4,0),$G94*VLOOKUP($F94,Lists!$C$72:$R$232,COLUMNS(Lists!$C$69:L$69),0)*VLOOKUP(BL$3,Conversions!$B$12:$E$34,4,0)))</f>
        <v>0</v>
      </c>
      <c r="T94" s="333">
        <f>IF($F94="",0,IF($F94="Weighted Average",$G94*VLOOKUP($D94&amp;" (Install)",Lists!$C$72:$R$232,COLUMNS(Lists!$C$69:M$69),0)*VLOOKUP(BM$3,Conversions!$B$12:$E$34,4,0),$G94*VLOOKUP($F94,Lists!$C$72:$R$232,COLUMNS(Lists!$C$69:M$69),0)*VLOOKUP(BM$3,Conversions!$B$12:$E$34,4,0)))</f>
        <v>0</v>
      </c>
      <c r="U94" s="333">
        <f>IF($F94="",0,IF($F94="Weighted Average",$G94*VLOOKUP($D94&amp;" (Install)",Lists!$C$72:$R$232,COLUMNS(Lists!$C$69:N$69),0)*VLOOKUP(BN$3,Conversions!$B$12:$E$34,4,0),$G94*VLOOKUP($F94,Lists!$C$72:$R$232,COLUMNS(Lists!$C$69:N$69),0)*VLOOKUP(BN$3,Conversions!$B$12:$E$34,4,0)))</f>
        <v>0</v>
      </c>
      <c r="V94" s="333">
        <f>IF($F94="",0,IF($F94="Weighted Average",$G94*VLOOKUP($D94&amp;" (Install)",Lists!$C$72:$R$232,COLUMNS(Lists!$C$69:O$69),0)*VLOOKUP(BO$3,Conversions!$B$12:$E$34,4,0),$G94*VLOOKUP($F94,Lists!$C$72:$R$232,COLUMNS(Lists!$C$69:O$69),0)*VLOOKUP(BO$3,Conversions!$B$12:$E$34,4,0)))</f>
        <v>0</v>
      </c>
      <c r="W94" s="333">
        <f>IF($F94="",0,IF($F94="Weighted Average",$G94*VLOOKUP($D94&amp;" (Install)",Lists!$C$72:$R$232,COLUMNS(Lists!$C$69:P$69),0)*VLOOKUP(BP$3,Conversions!$B$12:$E$34,4,0),$G94*VLOOKUP($F94,Lists!$C$72:$R$232,COLUMNS(Lists!$C$69:P$69),0)*VLOOKUP(BP$3,Conversions!$B$12:$E$34,4,0)))</f>
        <v>0</v>
      </c>
      <c r="X94" s="333">
        <f>IF($F94="",0,IF($F94="Weighted Average",$G94*VLOOKUP($D94&amp;" (Install)",Lists!$C$72:$R$232,COLUMNS(Lists!$C$69:Q$69),0)*VLOOKUP(BQ$3,Conversions!$B$12:$E$34,4,0),$G94*VLOOKUP($F94,Lists!$C$72:$R$232,COLUMNS(Lists!$C$69:Q$69),0)*VLOOKUP(BQ$3,Conversions!$B$12:$E$34,4,0)))</f>
        <v>0</v>
      </c>
      <c r="Y94" s="333">
        <f>IF($F94="",0,IF($F94="Weighted Average",$G94*VLOOKUP($D94&amp;" (Install)",Lists!$C$72:$R$232,COLUMNS(Lists!$C$69:R$69),0)*VLOOKUP(BR$3,Conversions!$B$12:$E$34,4,0),$G94*VLOOKUP($F94,Lists!$C$72:$R$232,COLUMNS(Lists!$C$69:R$69),0)*VLOOKUP(BR$3,Conversions!$B$12:$E$34,4,0)))</f>
        <v>0</v>
      </c>
      <c r="Z94" s="325">
        <f t="shared" ref="Z94:Z113" si="102">SUM(L94:Y94)</f>
        <v>0</v>
      </c>
      <c r="AA94" s="334">
        <f>IF($F94="",0,IF($F94="Weighted Average",$H94*VLOOKUP($D94&amp;" (Operation)",Lists!$C$72:$R$232,COLUMNS(Lists!$C$69:E$69),0)*VLOOKUP(BE$3,Conversions!$B$12:$E$34,4,0),$H94*VLOOKUP($F94,Lists!$C$72:$R$232,COLUMNS(Lists!$C$69:E$69),0)*VLOOKUP(BE$3,Conversions!$B$12:$E$34,4,0)))</f>
        <v>0</v>
      </c>
      <c r="AB94" s="334">
        <f>IF($F94="",0,IF($F94="Weighted Average",$H94*VLOOKUP($D94&amp;" (Operation)",Lists!$C$72:$R$232,COLUMNS(Lists!$C$69:F$69),0)*VLOOKUP(BF$3,Conversions!$B$12:$E$34,4,0),$H94*VLOOKUP($F94,Lists!$C$72:$R$232,COLUMNS(Lists!$C$69:F$69),0)*VLOOKUP(BF$3,Conversions!$B$12:$E$34,4,0)))</f>
        <v>0</v>
      </c>
      <c r="AC94" s="334">
        <f>IF($F94="",0,IF($F94="Weighted Average",$H94*VLOOKUP($D94&amp;" (Operation)",Lists!$C$72:$R$232,COLUMNS(Lists!$C$69:G$69),0)*VLOOKUP(BG$3,Conversions!$B$12:$E$34,4,0),$H94*VLOOKUP($F94,Lists!$C$72:$R$232,COLUMNS(Lists!$C$69:G$69),0)*VLOOKUP(BG$3,Conversions!$B$12:$E$34,4,0)))</f>
        <v>0</v>
      </c>
      <c r="AD94" s="334">
        <f>IF($F94="",0,IF($F94="Weighted Average",$H94*VLOOKUP($D94&amp;" (Operation)",Lists!$C$72:$R$232,COLUMNS(Lists!$C$69:H$69),0)*VLOOKUP(BH$3,Conversions!$B$12:$E$34,4,0),$H94*VLOOKUP($F94,Lists!$C$72:$R$232,COLUMNS(Lists!$C$69:H$69),0)*VLOOKUP(BH$3,Conversions!$B$12:$E$34,4,0)))</f>
        <v>0</v>
      </c>
      <c r="AE94" s="334">
        <f>IF($F94="",0,IF($F94="Weighted Average",$H94*VLOOKUP($D94&amp;" (Operation)",Lists!$C$72:$R$232,COLUMNS(Lists!$C$69:I$69),0)*VLOOKUP(BI$3,Conversions!$B$12:$E$34,4,0),$H94*VLOOKUP($F94,Lists!$C$72:$R$232,COLUMNS(Lists!$C$69:I$69),0)*VLOOKUP(BI$3,Conversions!$B$12:$E$34,4,0)))</f>
        <v>0</v>
      </c>
      <c r="AF94" s="334">
        <f>IF($F94="",0,IF($F94="Weighted Average",$H94*VLOOKUP($D94&amp;" (Operation)",Lists!$C$72:$R$232,COLUMNS(Lists!$C$69:J$69),0)*VLOOKUP(BJ$3,Conversions!$B$12:$E$34,4,0),$H94*VLOOKUP($F94,Lists!$C$72:$R$232,COLUMNS(Lists!$C$69:J$69),0)*VLOOKUP(BJ$3,Conversions!$B$12:$E$34,4,0)))</f>
        <v>0</v>
      </c>
      <c r="AG94" s="334">
        <f>IF($F94="",0,IF($F94="Weighted Average",$H94*VLOOKUP($D94&amp;" (Operation)",Lists!$C$72:$R$232,COLUMNS(Lists!$C$69:K$69),0)*VLOOKUP(BK$3,Conversions!$B$12:$E$34,4,0),$H94*VLOOKUP($F94,Lists!$C$72:$R$232,COLUMNS(Lists!$C$69:K$69),0)*VLOOKUP(BK$3,Conversions!$B$12:$E$34,4,0)))</f>
        <v>0</v>
      </c>
      <c r="AH94" s="334">
        <f>IF($F94="",0,IF($F94="Weighted Average",$H94*VLOOKUP($D94&amp;" (Operation)",Lists!$C$72:$R$232,COLUMNS(Lists!$C$69:L$69),0)*VLOOKUP(BL$3,Conversions!$B$12:$E$34,4,0),$H94*VLOOKUP($F94,Lists!$C$72:$R$232,COLUMNS(Lists!$C$69:L$69),0)*VLOOKUP(BL$3,Conversions!$B$12:$E$34,4,0)))</f>
        <v>0</v>
      </c>
      <c r="AI94" s="334">
        <f>IF($F94="",0,IF($F94="Weighted Average",$H94*VLOOKUP($D94&amp;" (Operation)",Lists!$C$72:$R$232,COLUMNS(Lists!$C$69:M$69),0)*VLOOKUP(BM$3,Conversions!$B$12:$E$34,4,0),$H94*VLOOKUP($F94,Lists!$C$72:$R$232,COLUMNS(Lists!$C$69:M$69),0)*VLOOKUP(BM$3,Conversions!$B$12:$E$34,4,0)))</f>
        <v>0</v>
      </c>
      <c r="AJ94" s="334">
        <f>IF($F94="",0,IF($F94="Weighted Average",$H94*VLOOKUP($D94&amp;" (Operation)",Lists!$C$72:$R$232,COLUMNS(Lists!$C$69:N$69),0)*VLOOKUP(BN$3,Conversions!$B$12:$E$34,4,0),$H94*VLOOKUP($F94,Lists!$C$72:$R$232,COLUMNS(Lists!$C$69:N$69),0)*VLOOKUP(BN$3,Conversions!$B$12:$E$34,4,0)))</f>
        <v>0</v>
      </c>
      <c r="AK94" s="334">
        <f>IF($F94="",0,IF($F94="Weighted Average",$H94*VLOOKUP($D94&amp;" (Operation)",Lists!$C$72:$R$232,COLUMNS(Lists!$C$69:O$69),0)*VLOOKUP(BO$3,Conversions!$B$12:$E$34,4,0),$H94*VLOOKUP($F94,Lists!$C$72:$R$232,COLUMNS(Lists!$C$69:O$69),0)*VLOOKUP(BO$3,Conversions!$B$12:$E$34,4,0)))</f>
        <v>0</v>
      </c>
      <c r="AL94" s="334">
        <f>IF($F94="",0,IF($F94="Weighted Average",$H94*VLOOKUP($D94&amp;" (Operation)",Lists!$C$72:$R$232,COLUMNS(Lists!$C$69:P$69),0)*VLOOKUP(BP$3,Conversions!$B$12:$E$34,4,0),$H94*VLOOKUP($F94,Lists!$C$72:$R$232,COLUMNS(Lists!$C$69:P$69),0)*VLOOKUP(BP$3,Conversions!$B$12:$E$34,4,0)))</f>
        <v>0</v>
      </c>
      <c r="AM94" s="334">
        <f>IF($F94="",0,IF($F94="Weighted Average",$H94*VLOOKUP($D94&amp;" (Operation)",Lists!$C$72:$R$232,COLUMNS(Lists!$C$69:Q$69),0)*VLOOKUP(BQ$3,Conversions!$B$12:$E$34,4,0),$H94*VLOOKUP($F94,Lists!$C$72:$R$232,COLUMNS(Lists!$C$69:Q$69),0)*VLOOKUP(BQ$3,Conversions!$B$12:$E$34,4,0)))</f>
        <v>0</v>
      </c>
      <c r="AN94" s="334">
        <f>IF($F94="",0,IF($F94="Weighted Average",$H94*VLOOKUP($D94&amp;" (Operation)",Lists!$C$72:$R$232,COLUMNS(Lists!$C$69:R$69),0)*VLOOKUP(BR$3,Conversions!$B$12:$E$34,4,0),$H94*VLOOKUP($F94,Lists!$C$72:$R$232,COLUMNS(Lists!$C$69:R$69),0)*VLOOKUP(BR$3,Conversions!$B$12:$E$34,4,0)))</f>
        <v>0</v>
      </c>
      <c r="AO94" s="330">
        <f t="shared" ref="AO94:AO113" si="103">SUM(AA94:AN94)</f>
        <v>0</v>
      </c>
      <c r="AP94" s="333">
        <f>IF($F94="",0,IF($F94="Weighted Average",$I94*VLOOKUP($D94&amp;" (Disposal)",Lists!$C$72:$R$232,COLUMNS(Lists!$C$69:E$69),0)*VLOOKUP(BE$3,Conversions!$B$12:$E$34,4,0),$I94*VLOOKUP($F94,Lists!$C$72:$R$232,COLUMNS(Lists!$C$69:E$69),0)*VLOOKUP(BE$3,Conversions!$B$12:$E$34,4,0)))</f>
        <v>0</v>
      </c>
      <c r="AQ94" s="333">
        <f>IF($F94="",0,IF($F94="Weighted Average",$I94*VLOOKUP($D94&amp;" (Disposal)",Lists!$C$72:$R$232,COLUMNS(Lists!$C$69:F$69),0)*VLOOKUP(BF$3,Conversions!$B$12:$E$34,4,0),$I94*VLOOKUP($F94,Lists!$C$72:$R$232,COLUMNS(Lists!$C$69:F$69),0)*VLOOKUP(BF$3,Conversions!$B$12:$E$34,4,0)))</f>
        <v>0</v>
      </c>
      <c r="AR94" s="333">
        <f>IF($F94="",0,IF($F94="Weighted Average",$I94*VLOOKUP($D94&amp;" (Disposal)",Lists!$C$72:$R$232,COLUMNS(Lists!$C$69:G$69),0)*VLOOKUP(BG$3,Conversions!$B$12:$E$34,4,0),$I94*VLOOKUP($F94,Lists!$C$72:$R$232,COLUMNS(Lists!$C$69:G$69),0)*VLOOKUP(BG$3,Conversions!$B$12:$E$34,4,0)))</f>
        <v>0</v>
      </c>
      <c r="AS94" s="333">
        <f>IF($F94="",0,IF($F94="Weighted Average",$I94*VLOOKUP($D94&amp;" (Disposal)",Lists!$C$72:$R$232,COLUMNS(Lists!$C$69:H$69),0)*VLOOKUP(BH$3,Conversions!$B$12:$E$34,4,0),$I94*VLOOKUP($F94,Lists!$C$72:$R$232,COLUMNS(Lists!$C$69:H$69),0)*VLOOKUP(BH$3,Conversions!$B$12:$E$34,4,0)))</f>
        <v>0</v>
      </c>
      <c r="AT94" s="333">
        <f>IF($F94="",0,IF($F94="Weighted Average",$I94*VLOOKUP($D94&amp;" (Disposal)",Lists!$C$72:$R$232,COLUMNS(Lists!$C$69:I$69),0)*VLOOKUP(BI$3,Conversions!$B$12:$E$34,4,0),$I94*VLOOKUP($F94,Lists!$C$72:$R$232,COLUMNS(Lists!$C$69:I$69),0)*VLOOKUP(BI$3,Conversions!$B$12:$E$34,4,0)))</f>
        <v>0</v>
      </c>
      <c r="AU94" s="333">
        <f>IF($F94="",0,IF($F94="Weighted Average",$I94*VLOOKUP($D94&amp;" (Disposal)",Lists!$C$72:$R$232,COLUMNS(Lists!$C$69:J$69),0)*VLOOKUP(BJ$3,Conversions!$B$12:$E$34,4,0),$I94*VLOOKUP($F94,Lists!$C$72:$R$232,COLUMNS(Lists!$C$69:J$69),0)*VLOOKUP(BJ$3,Conversions!$B$12:$E$34,4,0)))</f>
        <v>0</v>
      </c>
      <c r="AV94" s="333">
        <f>IF($F94="",0,IF($F94="Weighted Average",$I94*VLOOKUP($D94&amp;" (Disposal)",Lists!$C$72:$R$232,COLUMNS(Lists!$C$69:K$69),0)*VLOOKUP(BK$3,Conversions!$B$12:$E$34,4,0),$I94*VLOOKUP($F94,Lists!$C$72:$R$232,COLUMNS(Lists!$C$69:K$69),0)*VLOOKUP(BK$3,Conversions!$B$12:$E$34,4,0)))</f>
        <v>0</v>
      </c>
      <c r="AW94" s="333">
        <f>IF($F94="",0,IF($F94="Weighted Average",$I94*VLOOKUP($D94&amp;" (Disposal)",Lists!$C$72:$R$232,COLUMNS(Lists!$C$69:L$69),0)*VLOOKUP(BL$3,Conversions!$B$12:$E$34,4,0),$I94*VLOOKUP($F94,Lists!$C$72:$R$232,COLUMNS(Lists!$C$69:L$69),0)*VLOOKUP(BL$3,Conversions!$B$12:$E$34,4,0)))</f>
        <v>0</v>
      </c>
      <c r="AX94" s="333">
        <f>IF($F94="",0,IF($F94="Weighted Average",$I94*VLOOKUP($D94&amp;" (Disposal)",Lists!$C$72:$R$232,COLUMNS(Lists!$C$69:M$69),0)*VLOOKUP(BM$3,Conversions!$B$12:$E$34,4,0),$I94*VLOOKUP($F94,Lists!$C$72:$R$232,COLUMNS(Lists!$C$69:M$69),0)*VLOOKUP(BM$3,Conversions!$B$12:$E$34,4,0)))</f>
        <v>0</v>
      </c>
      <c r="AY94" s="333">
        <f>IF($F94="",0,IF($F94="Weighted Average",$I94*VLOOKUP($D94&amp;" (Disposal)",Lists!$C$72:$R$232,COLUMNS(Lists!$C$69:N$69),0)*VLOOKUP(BN$3,Conversions!$B$12:$E$34,4,0),$I94*VLOOKUP($F94,Lists!$C$72:$R$232,COLUMNS(Lists!$C$69:N$69),0)*VLOOKUP(BN$3,Conversions!$B$12:$E$34,4,0)))</f>
        <v>0</v>
      </c>
      <c r="AZ94" s="333">
        <f>IF($F94="",0,IF($F94="Weighted Average",$I94*VLOOKUP($D94&amp;" (Disposal)",Lists!$C$72:$R$232,COLUMNS(Lists!$C$69:O$69),0)*VLOOKUP(BO$3,Conversions!$B$12:$E$34,4,0),$I94*VLOOKUP($F94,Lists!$C$72:$R$232,COLUMNS(Lists!$C$69:O$69),0)*VLOOKUP(BO$3,Conversions!$B$12:$E$34,4,0)))</f>
        <v>0</v>
      </c>
      <c r="BA94" s="333">
        <f>IF($F94="",0,IF($F94="Weighted Average",$I94*VLOOKUP($D94&amp;" (Disposal)",Lists!$C$72:$R$232,COLUMNS(Lists!$C$69:P$69),0)*VLOOKUP(BP$3,Conversions!$B$12:$E$34,4,0),$I94*VLOOKUP($F94,Lists!$C$72:$R$232,COLUMNS(Lists!$C$69:P$69),0)*VLOOKUP(BP$3,Conversions!$B$12:$E$34,4,0)))</f>
        <v>0</v>
      </c>
      <c r="BB94" s="333">
        <f>IF($F94="",0,IF($F94="Weighted Average",$I94*VLOOKUP($D94&amp;" (Disposal)",Lists!$C$72:$R$232,COLUMNS(Lists!$C$69:Q$69),0)*VLOOKUP(BQ$3,Conversions!$B$12:$E$34,4,0),$I94*VLOOKUP($F94,Lists!$C$72:$R$232,COLUMNS(Lists!$C$69:Q$69),0)*VLOOKUP(BQ$3,Conversions!$B$12:$E$34,4,0)))</f>
        <v>0</v>
      </c>
      <c r="BC94" s="333">
        <f>IF($F94="",0,IF($F94="Weighted Average",$I94*VLOOKUP($D94&amp;" (Disposal)",Lists!$C$72:$R$232,COLUMNS(Lists!$C$69:R$69),0)*VLOOKUP(BR$3,Conversions!$B$12:$E$34,4,0),$I94*VLOOKUP($F94,Lists!$C$72:$R$232,COLUMNS(Lists!$C$69:R$69),0)*VLOOKUP(BR$3,Conversions!$B$12:$E$34,4,0)))</f>
        <v>0</v>
      </c>
      <c r="BD94" s="333">
        <f t="shared" ref="BD94:BD113" si="104">SUM(AP94:BC94)</f>
        <v>0</v>
      </c>
      <c r="BE94" s="330">
        <f t="shared" ref="BE94:BE113" si="105">L94+AA94+AP94</f>
        <v>0</v>
      </c>
      <c r="BF94" s="330">
        <f t="shared" ref="BF94:BF113" si="106">M94+AB94+AQ94</f>
        <v>0</v>
      </c>
      <c r="BG94" s="330">
        <f t="shared" ref="BG94:BG113" si="107">N94+AC94+AR94</f>
        <v>0</v>
      </c>
      <c r="BH94" s="330">
        <f t="shared" ref="BH94:BH113" si="108">O94+AD94+AS94</f>
        <v>0</v>
      </c>
      <c r="BI94" s="330">
        <f t="shared" ref="BI94:BI113" si="109">P94+AE94+AT94</f>
        <v>0</v>
      </c>
      <c r="BJ94" s="330">
        <f t="shared" ref="BJ94:BJ113" si="110">Q94+AF94+AU94</f>
        <v>0</v>
      </c>
      <c r="BK94" s="330">
        <f t="shared" ref="BK94:BK113" si="111">R94+AG94+AV94</f>
        <v>0</v>
      </c>
      <c r="BL94" s="330">
        <f t="shared" ref="BL94:BL113" si="112">S94+AH94+AW94</f>
        <v>0</v>
      </c>
      <c r="BM94" s="330">
        <f t="shared" ref="BM94:BM113" si="113">T94+AI94+AX94</f>
        <v>0</v>
      </c>
      <c r="BN94" s="330">
        <f t="shared" ref="BN94:BN113" si="114">U94+AJ94+AY94</f>
        <v>0</v>
      </c>
      <c r="BO94" s="330">
        <f t="shared" ref="BO94:BO113" si="115">V94+AK94+AZ94</f>
        <v>0</v>
      </c>
      <c r="BP94" s="330">
        <f t="shared" ref="BP94:BP113" si="116">W94+AL94+BA94</f>
        <v>0</v>
      </c>
      <c r="BQ94" s="330">
        <f t="shared" ref="BQ94:BQ113" si="117">X94+AM94+BB94</f>
        <v>0</v>
      </c>
      <c r="BR94" s="330">
        <f t="shared" ref="BR94:BR113" si="118">Y94+AN94+BC94</f>
        <v>0</v>
      </c>
      <c r="BS94" s="330">
        <f t="shared" ref="BS94:BS113" si="119">Z94+AO94+BD94</f>
        <v>0</v>
      </c>
      <c r="BT94" s="329">
        <f t="shared" ref="BT94:CI103" si="120">IF($E94="",0,IF($E94=BT$3,$BS94,0))</f>
        <v>0</v>
      </c>
      <c r="BU94" s="329">
        <f t="shared" si="120"/>
        <v>0</v>
      </c>
      <c r="BV94" s="329">
        <f t="shared" si="120"/>
        <v>0</v>
      </c>
      <c r="BW94" s="329">
        <f t="shared" si="120"/>
        <v>0</v>
      </c>
      <c r="BX94" s="329">
        <f t="shared" si="120"/>
        <v>0</v>
      </c>
      <c r="BY94" s="329">
        <f t="shared" si="120"/>
        <v>0</v>
      </c>
      <c r="BZ94" s="329">
        <f t="shared" si="120"/>
        <v>0</v>
      </c>
      <c r="CA94" s="329">
        <f t="shared" si="120"/>
        <v>0</v>
      </c>
      <c r="CB94" s="329">
        <f t="shared" si="120"/>
        <v>0</v>
      </c>
      <c r="CC94" s="329">
        <f t="shared" si="120"/>
        <v>0</v>
      </c>
      <c r="CD94" s="329">
        <f t="shared" si="120"/>
        <v>0</v>
      </c>
      <c r="CE94" s="329">
        <f t="shared" si="120"/>
        <v>0</v>
      </c>
      <c r="CF94" s="329">
        <f t="shared" si="120"/>
        <v>0</v>
      </c>
      <c r="CG94" s="329">
        <f t="shared" si="120"/>
        <v>0</v>
      </c>
      <c r="CH94" s="329">
        <f t="shared" si="120"/>
        <v>0</v>
      </c>
      <c r="CI94" s="329">
        <f t="shared" si="120"/>
        <v>0</v>
      </c>
      <c r="CJ94" s="331">
        <f t="shared" ref="CJ94:CJ113" si="121">SUM(BT94:CI94)</f>
        <v>0</v>
      </c>
      <c r="CK94" s="330">
        <f t="shared" ref="CK94:CK113" si="122">BT94</f>
        <v>0</v>
      </c>
      <c r="CL94" s="330">
        <f t="shared" ref="CL94:CL113" si="123">BU94+BV94+BW94</f>
        <v>0</v>
      </c>
      <c r="CM94" s="330">
        <f t="shared" ref="CM94:CM113" si="124">BX94</f>
        <v>0</v>
      </c>
      <c r="CN94" s="330">
        <f t="shared" ref="CN94:CN113" si="125">BY94+BZ94</f>
        <v>0</v>
      </c>
      <c r="CO94" s="330">
        <f t="shared" ref="CO94:CO113" si="126">CA94</f>
        <v>0</v>
      </c>
      <c r="CP94" s="330">
        <f t="shared" ref="CP94:CP113" si="127">CB94</f>
        <v>0</v>
      </c>
      <c r="CQ94" s="330">
        <f t="shared" si="94"/>
        <v>0</v>
      </c>
      <c r="CR94" s="330">
        <f t="shared" ref="CR94:CR113" si="128">CE94+CF94</f>
        <v>0</v>
      </c>
      <c r="CS94" s="330">
        <f t="shared" ref="CS94:CS113" si="129">CG94+CH94+CI94</f>
        <v>0</v>
      </c>
      <c r="CT94" s="330">
        <f t="shared" ref="CT94:CT113" si="130">SUM(CK94:CS94)</f>
        <v>0</v>
      </c>
      <c r="CU94" s="330">
        <f t="shared" ref="CU94:DD103" si="131">IF($C94=CU$3,$BS94,0)</f>
        <v>0</v>
      </c>
      <c r="CV94" s="330">
        <f t="shared" si="131"/>
        <v>0</v>
      </c>
      <c r="CW94" s="330">
        <f t="shared" si="131"/>
        <v>0</v>
      </c>
      <c r="CX94" s="330">
        <f t="shared" si="131"/>
        <v>0</v>
      </c>
      <c r="CY94" s="330">
        <f t="shared" si="131"/>
        <v>0</v>
      </c>
      <c r="CZ94" s="330">
        <f t="shared" si="131"/>
        <v>0</v>
      </c>
      <c r="DA94" s="330">
        <f t="shared" si="131"/>
        <v>0</v>
      </c>
      <c r="DB94" s="330">
        <f t="shared" si="131"/>
        <v>0</v>
      </c>
      <c r="DC94" s="330">
        <f t="shared" si="131"/>
        <v>0</v>
      </c>
      <c r="DD94" s="330">
        <f t="shared" si="131"/>
        <v>0</v>
      </c>
      <c r="DE94" s="330">
        <f t="shared" ref="DE94:DO103" si="132">IF($C94=DE$3,$BS94,0)</f>
        <v>0</v>
      </c>
      <c r="DF94" s="330">
        <f t="shared" si="132"/>
        <v>0</v>
      </c>
      <c r="DG94" s="330">
        <f t="shared" si="132"/>
        <v>0</v>
      </c>
      <c r="DH94" s="330">
        <f t="shared" si="132"/>
        <v>0</v>
      </c>
      <c r="DI94" s="330">
        <f t="shared" si="132"/>
        <v>0</v>
      </c>
      <c r="DJ94" s="330">
        <f t="shared" si="132"/>
        <v>0</v>
      </c>
      <c r="DK94" s="330">
        <f t="shared" si="132"/>
        <v>0</v>
      </c>
      <c r="DL94" s="330">
        <f t="shared" si="132"/>
        <v>0</v>
      </c>
      <c r="DM94" s="330">
        <f t="shared" si="132"/>
        <v>0</v>
      </c>
      <c r="DN94" s="330">
        <f t="shared" si="132"/>
        <v>0</v>
      </c>
      <c r="DO94" s="330">
        <f t="shared" si="132"/>
        <v>0</v>
      </c>
      <c r="DP94" s="330">
        <f t="shared" ref="DP94:DP113" si="133">BS94</f>
        <v>0</v>
      </c>
      <c r="DQ94" s="217"/>
      <c r="DR94" s="217"/>
      <c r="DS94" s="217"/>
      <c r="DT94" s="217"/>
    </row>
    <row r="95" spans="1:124" x14ac:dyDescent="0.3">
      <c r="A95" s="324"/>
      <c r="B95" s="221" t="s">
        <v>305</v>
      </c>
      <c r="C95" s="221" t="str">
        <f>IF(Screening!C25=0,"",Screening!C25)</f>
        <v/>
      </c>
      <c r="D95" s="221" t="str">
        <f>IF(Screening!D25=0,"",Screening!D25)</f>
        <v/>
      </c>
      <c r="E95" s="221" t="str">
        <f>IF(Screening!E25=0,"",Screening!E25)</f>
        <v/>
      </c>
      <c r="F95" s="221" t="str">
        <f>IF(Screening!F25=0,"",Screening!F25)</f>
        <v/>
      </c>
      <c r="G95" s="272">
        <f>Screening!G25*Screening!O25*Conversions!$C$4</f>
        <v>0</v>
      </c>
      <c r="H95" s="272">
        <f>Screening!H25*Screening!P25*Screening!I25*Conversions!$C$4</f>
        <v>0</v>
      </c>
      <c r="I95" s="272">
        <f>Screening!J25*Screening!Q25*(1-Screening!R25)*Conversions!$C$4</f>
        <v>0</v>
      </c>
      <c r="J95" s="325">
        <f>IF(Screening!S25=0,0,Screening!S25)</f>
        <v>0</v>
      </c>
      <c r="K95" s="465"/>
      <c r="L95" s="333">
        <f>IF($F95="",0,IF($F95="Weighted Average",$G95*VLOOKUP($D95&amp;" (Install)",Lists!$C$72:$R$232,COLUMNS(Lists!$C$69:E$69),0)*VLOOKUP(BE$3,Conversions!$B$12:$E$34,4,0),$G95*VLOOKUP($F95,Lists!$C$72:$R$232,COLUMNS(Lists!$C$69:E$69),0)*VLOOKUP(BE$3,Conversions!$B$12:$E$34,4,0)))</f>
        <v>0</v>
      </c>
      <c r="M95" s="333">
        <f>IF($F95="",0,IF($F95="Weighted Average",$G95*VLOOKUP($D95&amp;" (Install)",Lists!$C$72:$R$232,COLUMNS(Lists!$C$69:F$69),0)*VLOOKUP(BF$3,Conversions!$B$12:$E$34,4,0),$G95*VLOOKUP($F95,Lists!$C$72:$R$232,COLUMNS(Lists!$C$69:F$69),0)*VLOOKUP(BF$3,Conversions!$B$12:$E$34,4,0)))</f>
        <v>0</v>
      </c>
      <c r="N95" s="333">
        <f>IF($F95="",0,IF($F95="Weighted Average",$G95*VLOOKUP($D95&amp;" (Install)",Lists!$C$72:$R$232,COLUMNS(Lists!$C$69:G$69),0)*VLOOKUP(BG$3,Conversions!$B$12:$E$34,4,0),$G95*VLOOKUP($F95,Lists!$C$72:$R$232,COLUMNS(Lists!$C$69:G$69),0)*VLOOKUP(BG$3,Conversions!$B$12:$E$34,4,0)))</f>
        <v>0</v>
      </c>
      <c r="O95" s="333">
        <f>IF($F95="",0,IF($F95="Weighted Average",$G95*VLOOKUP($D95&amp;" (Install)",Lists!$C$72:$R$232,COLUMNS(Lists!$C$69:H$69),0)*VLOOKUP(BH$3,Conversions!$B$12:$E$34,4,0),$G95*VLOOKUP($F95,Lists!$C$72:$R$232,COLUMNS(Lists!$C$69:H$69),0)*VLOOKUP(BH$3,Conversions!$B$12:$E$34,4,0)))</f>
        <v>0</v>
      </c>
      <c r="P95" s="333">
        <f>IF($F95="",0,IF($F95="Weighted Average",$G95*VLOOKUP($D95&amp;" (Install)",Lists!$C$72:$R$232,COLUMNS(Lists!$C$69:I$69),0)*VLOOKUP(BI$3,Conversions!$B$12:$E$34,4,0),$G95*VLOOKUP($F95,Lists!$C$72:$R$232,COLUMNS(Lists!$C$69:I$69),0)*VLOOKUP(BI$3,Conversions!$B$12:$E$34,4,0)))</f>
        <v>0</v>
      </c>
      <c r="Q95" s="333">
        <f>IF($F95="",0,IF($F95="Weighted Average",$G95*VLOOKUP($D95&amp;" (Install)",Lists!$C$72:$R$232,COLUMNS(Lists!$C$69:J$69),0)*VLOOKUP(BJ$3,Conversions!$B$12:$E$34,4,0),$G95*VLOOKUP($F95,Lists!$C$72:$R$232,COLUMNS(Lists!$C$69:J$69),0)*VLOOKUP(BJ$3,Conversions!$B$12:$E$34,4,0)))</f>
        <v>0</v>
      </c>
      <c r="R95" s="333">
        <f>IF($F95="",0,IF($F95="Weighted Average",$G95*VLOOKUP($D95&amp;" (Install)",Lists!$C$72:$R$232,COLUMNS(Lists!$C$69:K$69),0)*VLOOKUP(BK$3,Conversions!$B$12:$E$34,4,0),$G95*VLOOKUP($F95,Lists!$C$72:$R$232,COLUMNS(Lists!$C$69:K$69),0)*VLOOKUP(BK$3,Conversions!$B$12:$E$34,4,0)))</f>
        <v>0</v>
      </c>
      <c r="S95" s="333">
        <f>IF($F95="",0,IF($F95="Weighted Average",$G95*VLOOKUP($D95&amp;" (Install)",Lists!$C$72:$R$232,COLUMNS(Lists!$C$69:L$69),0)*VLOOKUP(BL$3,Conversions!$B$12:$E$34,4,0),$G95*VLOOKUP($F95,Lists!$C$72:$R$232,COLUMNS(Lists!$C$69:L$69),0)*VLOOKUP(BL$3,Conversions!$B$12:$E$34,4,0)))</f>
        <v>0</v>
      </c>
      <c r="T95" s="333">
        <f>IF($F95="",0,IF($F95="Weighted Average",$G95*VLOOKUP($D95&amp;" (Install)",Lists!$C$72:$R$232,COLUMNS(Lists!$C$69:M$69),0)*VLOOKUP(BM$3,Conversions!$B$12:$E$34,4,0),$G95*VLOOKUP($F95,Lists!$C$72:$R$232,COLUMNS(Lists!$C$69:M$69),0)*VLOOKUP(BM$3,Conversions!$B$12:$E$34,4,0)))</f>
        <v>0</v>
      </c>
      <c r="U95" s="333">
        <f>IF($F95="",0,IF($F95="Weighted Average",$G95*VLOOKUP($D95&amp;" (Install)",Lists!$C$72:$R$232,COLUMNS(Lists!$C$69:N$69),0)*VLOOKUP(BN$3,Conversions!$B$12:$E$34,4,0),$G95*VLOOKUP($F95,Lists!$C$72:$R$232,COLUMNS(Lists!$C$69:N$69),0)*VLOOKUP(BN$3,Conversions!$B$12:$E$34,4,0)))</f>
        <v>0</v>
      </c>
      <c r="V95" s="333">
        <f>IF($F95="",0,IF($F95="Weighted Average",$G95*VLOOKUP($D95&amp;" (Install)",Lists!$C$72:$R$232,COLUMNS(Lists!$C$69:O$69),0)*VLOOKUP(BO$3,Conversions!$B$12:$E$34,4,0),$G95*VLOOKUP($F95,Lists!$C$72:$R$232,COLUMNS(Lists!$C$69:O$69),0)*VLOOKUP(BO$3,Conversions!$B$12:$E$34,4,0)))</f>
        <v>0</v>
      </c>
      <c r="W95" s="333">
        <f>IF($F95="",0,IF($F95="Weighted Average",$G95*VLOOKUP($D95&amp;" (Install)",Lists!$C$72:$R$232,COLUMNS(Lists!$C$69:P$69),0)*VLOOKUP(BP$3,Conversions!$B$12:$E$34,4,0),$G95*VLOOKUP($F95,Lists!$C$72:$R$232,COLUMNS(Lists!$C$69:P$69),0)*VLOOKUP(BP$3,Conversions!$B$12:$E$34,4,0)))</f>
        <v>0</v>
      </c>
      <c r="X95" s="333">
        <f>IF($F95="",0,IF($F95="Weighted Average",$G95*VLOOKUP($D95&amp;" (Install)",Lists!$C$72:$R$232,COLUMNS(Lists!$C$69:Q$69),0)*VLOOKUP(BQ$3,Conversions!$B$12:$E$34,4,0),$G95*VLOOKUP($F95,Lists!$C$72:$R$232,COLUMNS(Lists!$C$69:Q$69),0)*VLOOKUP(BQ$3,Conversions!$B$12:$E$34,4,0)))</f>
        <v>0</v>
      </c>
      <c r="Y95" s="333">
        <f>IF($F95="",0,IF($F95="Weighted Average",$G95*VLOOKUP($D95&amp;" (Install)",Lists!$C$72:$R$232,COLUMNS(Lists!$C$69:R$69),0)*VLOOKUP(BR$3,Conversions!$B$12:$E$34,4,0),$G95*VLOOKUP($F95,Lists!$C$72:$R$232,COLUMNS(Lists!$C$69:R$69),0)*VLOOKUP(BR$3,Conversions!$B$12:$E$34,4,0)))</f>
        <v>0</v>
      </c>
      <c r="Z95" s="325">
        <f t="shared" si="102"/>
        <v>0</v>
      </c>
      <c r="AA95" s="334">
        <f>IF($F95="",0,IF($F95="Weighted Average",$H95*VLOOKUP($D95&amp;" (Operation)",Lists!$C$72:$R$232,COLUMNS(Lists!$C$69:E$69),0)*VLOOKUP(BE$3,Conversions!$B$12:$E$34,4,0),$H95*VLOOKUP($F95,Lists!$C$72:$R$232,COLUMNS(Lists!$C$69:E$69),0)*VLOOKUP(BE$3,Conversions!$B$12:$E$34,4,0)))</f>
        <v>0</v>
      </c>
      <c r="AB95" s="334">
        <f>IF($F95="",0,IF($F95="Weighted Average",$H95*VLOOKUP($D95&amp;" (Operation)",Lists!$C$72:$R$232,COLUMNS(Lists!$C$69:F$69),0)*VLOOKUP(BF$3,Conversions!$B$12:$E$34,4,0),$H95*VLOOKUP($F95,Lists!$C$72:$R$232,COLUMNS(Lists!$C$69:F$69),0)*VLOOKUP(BF$3,Conversions!$B$12:$E$34,4,0)))</f>
        <v>0</v>
      </c>
      <c r="AC95" s="334">
        <f>IF($F95="",0,IF($F95="Weighted Average",$H95*VLOOKUP($D95&amp;" (Operation)",Lists!$C$72:$R$232,COLUMNS(Lists!$C$69:G$69),0)*VLOOKUP(BG$3,Conversions!$B$12:$E$34,4,0),$H95*VLOOKUP($F95,Lists!$C$72:$R$232,COLUMNS(Lists!$C$69:G$69),0)*VLOOKUP(BG$3,Conversions!$B$12:$E$34,4,0)))</f>
        <v>0</v>
      </c>
      <c r="AD95" s="334">
        <f>IF($F95="",0,IF($F95="Weighted Average",$H95*VLOOKUP($D95&amp;" (Operation)",Lists!$C$72:$R$232,COLUMNS(Lists!$C$69:H$69),0)*VLOOKUP(BH$3,Conversions!$B$12:$E$34,4,0),$H95*VLOOKUP($F95,Lists!$C$72:$R$232,COLUMNS(Lists!$C$69:H$69),0)*VLOOKUP(BH$3,Conversions!$B$12:$E$34,4,0)))</f>
        <v>0</v>
      </c>
      <c r="AE95" s="334">
        <f>IF($F95="",0,IF($F95="Weighted Average",$H95*VLOOKUP($D95&amp;" (Operation)",Lists!$C$72:$R$232,COLUMNS(Lists!$C$69:I$69),0)*VLOOKUP(BI$3,Conversions!$B$12:$E$34,4,0),$H95*VLOOKUP($F95,Lists!$C$72:$R$232,COLUMNS(Lists!$C$69:I$69),0)*VLOOKUP(BI$3,Conversions!$B$12:$E$34,4,0)))</f>
        <v>0</v>
      </c>
      <c r="AF95" s="334">
        <f>IF($F95="",0,IF($F95="Weighted Average",$H95*VLOOKUP($D95&amp;" (Operation)",Lists!$C$72:$R$232,COLUMNS(Lists!$C$69:J$69),0)*VLOOKUP(BJ$3,Conversions!$B$12:$E$34,4,0),$H95*VLOOKUP($F95,Lists!$C$72:$R$232,COLUMNS(Lists!$C$69:J$69),0)*VLOOKUP(BJ$3,Conversions!$B$12:$E$34,4,0)))</f>
        <v>0</v>
      </c>
      <c r="AG95" s="334">
        <f>IF($F95="",0,IF($F95="Weighted Average",$H95*VLOOKUP($D95&amp;" (Operation)",Lists!$C$72:$R$232,COLUMNS(Lists!$C$69:K$69),0)*VLOOKUP(BK$3,Conversions!$B$12:$E$34,4,0),$H95*VLOOKUP($F95,Lists!$C$72:$R$232,COLUMNS(Lists!$C$69:K$69),0)*VLOOKUP(BK$3,Conversions!$B$12:$E$34,4,0)))</f>
        <v>0</v>
      </c>
      <c r="AH95" s="334">
        <f>IF($F95="",0,IF($F95="Weighted Average",$H95*VLOOKUP($D95&amp;" (Operation)",Lists!$C$72:$R$232,COLUMNS(Lists!$C$69:L$69),0)*VLOOKUP(BL$3,Conversions!$B$12:$E$34,4,0),$H95*VLOOKUP($F95,Lists!$C$72:$R$232,COLUMNS(Lists!$C$69:L$69),0)*VLOOKUP(BL$3,Conversions!$B$12:$E$34,4,0)))</f>
        <v>0</v>
      </c>
      <c r="AI95" s="334">
        <f>IF($F95="",0,IF($F95="Weighted Average",$H95*VLOOKUP($D95&amp;" (Operation)",Lists!$C$72:$R$232,COLUMNS(Lists!$C$69:M$69),0)*VLOOKUP(BM$3,Conversions!$B$12:$E$34,4,0),$H95*VLOOKUP($F95,Lists!$C$72:$R$232,COLUMNS(Lists!$C$69:M$69),0)*VLOOKUP(BM$3,Conversions!$B$12:$E$34,4,0)))</f>
        <v>0</v>
      </c>
      <c r="AJ95" s="334">
        <f>IF($F95="",0,IF($F95="Weighted Average",$H95*VLOOKUP($D95&amp;" (Operation)",Lists!$C$72:$R$232,COLUMNS(Lists!$C$69:N$69),0)*VLOOKUP(BN$3,Conversions!$B$12:$E$34,4,0),$H95*VLOOKUP($F95,Lists!$C$72:$R$232,COLUMNS(Lists!$C$69:N$69),0)*VLOOKUP(BN$3,Conversions!$B$12:$E$34,4,0)))</f>
        <v>0</v>
      </c>
      <c r="AK95" s="334">
        <f>IF($F95="",0,IF($F95="Weighted Average",$H95*VLOOKUP($D95&amp;" (Operation)",Lists!$C$72:$R$232,COLUMNS(Lists!$C$69:O$69),0)*VLOOKUP(BO$3,Conversions!$B$12:$E$34,4,0),$H95*VLOOKUP($F95,Lists!$C$72:$R$232,COLUMNS(Lists!$C$69:O$69),0)*VLOOKUP(BO$3,Conversions!$B$12:$E$34,4,0)))</f>
        <v>0</v>
      </c>
      <c r="AL95" s="334">
        <f>IF($F95="",0,IF($F95="Weighted Average",$H95*VLOOKUP($D95&amp;" (Operation)",Lists!$C$72:$R$232,COLUMNS(Lists!$C$69:P$69),0)*VLOOKUP(BP$3,Conversions!$B$12:$E$34,4,0),$H95*VLOOKUP($F95,Lists!$C$72:$R$232,COLUMNS(Lists!$C$69:P$69),0)*VLOOKUP(BP$3,Conversions!$B$12:$E$34,4,0)))</f>
        <v>0</v>
      </c>
      <c r="AM95" s="334">
        <f>IF($F95="",0,IF($F95="Weighted Average",$H95*VLOOKUP($D95&amp;" (Operation)",Lists!$C$72:$R$232,COLUMNS(Lists!$C$69:Q$69),0)*VLOOKUP(BQ$3,Conversions!$B$12:$E$34,4,0),$H95*VLOOKUP($F95,Lists!$C$72:$R$232,COLUMNS(Lists!$C$69:Q$69),0)*VLOOKUP(BQ$3,Conversions!$B$12:$E$34,4,0)))</f>
        <v>0</v>
      </c>
      <c r="AN95" s="334">
        <f>IF($F95="",0,IF($F95="Weighted Average",$H95*VLOOKUP($D95&amp;" (Operation)",Lists!$C$72:$R$232,COLUMNS(Lists!$C$69:R$69),0)*VLOOKUP(BR$3,Conversions!$B$12:$E$34,4,0),$H95*VLOOKUP($F95,Lists!$C$72:$R$232,COLUMNS(Lists!$C$69:R$69),0)*VLOOKUP(BR$3,Conversions!$B$12:$E$34,4,0)))</f>
        <v>0</v>
      </c>
      <c r="AO95" s="330">
        <f t="shared" si="103"/>
        <v>0</v>
      </c>
      <c r="AP95" s="333">
        <f>IF($F95="",0,IF($F95="Weighted Average",$I95*VLOOKUP($D95&amp;" (Disposal)",Lists!$C$72:$R$232,COLUMNS(Lists!$C$69:E$69),0)*VLOOKUP(BE$3,Conversions!$B$12:$E$34,4,0),$I95*VLOOKUP($F95,Lists!$C$72:$R$232,COLUMNS(Lists!$C$69:E$69),0)*VLOOKUP(BE$3,Conversions!$B$12:$E$34,4,0)))</f>
        <v>0</v>
      </c>
      <c r="AQ95" s="333">
        <f>IF($F95="",0,IF($F95="Weighted Average",$I95*VLOOKUP($D95&amp;" (Disposal)",Lists!$C$72:$R$232,COLUMNS(Lists!$C$69:F$69),0)*VLOOKUP(BF$3,Conversions!$B$12:$E$34,4,0),$I95*VLOOKUP($F95,Lists!$C$72:$R$232,COLUMNS(Lists!$C$69:F$69),0)*VLOOKUP(BF$3,Conversions!$B$12:$E$34,4,0)))</f>
        <v>0</v>
      </c>
      <c r="AR95" s="333">
        <f>IF($F95="",0,IF($F95="Weighted Average",$I95*VLOOKUP($D95&amp;" (Disposal)",Lists!$C$72:$R$232,COLUMNS(Lists!$C$69:G$69),0)*VLOOKUP(BG$3,Conversions!$B$12:$E$34,4,0),$I95*VLOOKUP($F95,Lists!$C$72:$R$232,COLUMNS(Lists!$C$69:G$69),0)*VLOOKUP(BG$3,Conversions!$B$12:$E$34,4,0)))</f>
        <v>0</v>
      </c>
      <c r="AS95" s="333">
        <f>IF($F95="",0,IF($F95="Weighted Average",$I95*VLOOKUP($D95&amp;" (Disposal)",Lists!$C$72:$R$232,COLUMNS(Lists!$C$69:H$69),0)*VLOOKUP(BH$3,Conversions!$B$12:$E$34,4,0),$I95*VLOOKUP($F95,Lists!$C$72:$R$232,COLUMNS(Lists!$C$69:H$69),0)*VLOOKUP(BH$3,Conversions!$B$12:$E$34,4,0)))</f>
        <v>0</v>
      </c>
      <c r="AT95" s="333">
        <f>IF($F95="",0,IF($F95="Weighted Average",$I95*VLOOKUP($D95&amp;" (Disposal)",Lists!$C$72:$R$232,COLUMNS(Lists!$C$69:I$69),0)*VLOOKUP(BI$3,Conversions!$B$12:$E$34,4,0),$I95*VLOOKUP($F95,Lists!$C$72:$R$232,COLUMNS(Lists!$C$69:I$69),0)*VLOOKUP(BI$3,Conversions!$B$12:$E$34,4,0)))</f>
        <v>0</v>
      </c>
      <c r="AU95" s="333">
        <f>IF($F95="",0,IF($F95="Weighted Average",$I95*VLOOKUP($D95&amp;" (Disposal)",Lists!$C$72:$R$232,COLUMNS(Lists!$C$69:J$69),0)*VLOOKUP(BJ$3,Conversions!$B$12:$E$34,4,0),$I95*VLOOKUP($F95,Lists!$C$72:$R$232,COLUMNS(Lists!$C$69:J$69),0)*VLOOKUP(BJ$3,Conversions!$B$12:$E$34,4,0)))</f>
        <v>0</v>
      </c>
      <c r="AV95" s="333">
        <f>IF($F95="",0,IF($F95="Weighted Average",$I95*VLOOKUP($D95&amp;" (Disposal)",Lists!$C$72:$R$232,COLUMNS(Lists!$C$69:K$69),0)*VLOOKUP(BK$3,Conversions!$B$12:$E$34,4,0),$I95*VLOOKUP($F95,Lists!$C$72:$R$232,COLUMNS(Lists!$C$69:K$69),0)*VLOOKUP(BK$3,Conversions!$B$12:$E$34,4,0)))</f>
        <v>0</v>
      </c>
      <c r="AW95" s="333">
        <f>IF($F95="",0,IF($F95="Weighted Average",$I95*VLOOKUP($D95&amp;" (Disposal)",Lists!$C$72:$R$232,COLUMNS(Lists!$C$69:L$69),0)*VLOOKUP(BL$3,Conversions!$B$12:$E$34,4,0),$I95*VLOOKUP($F95,Lists!$C$72:$R$232,COLUMNS(Lists!$C$69:L$69),0)*VLOOKUP(BL$3,Conversions!$B$12:$E$34,4,0)))</f>
        <v>0</v>
      </c>
      <c r="AX95" s="333">
        <f>IF($F95="",0,IF($F95="Weighted Average",$I95*VLOOKUP($D95&amp;" (Disposal)",Lists!$C$72:$R$232,COLUMNS(Lists!$C$69:M$69),0)*VLOOKUP(BM$3,Conversions!$B$12:$E$34,4,0),$I95*VLOOKUP($F95,Lists!$C$72:$R$232,COLUMNS(Lists!$C$69:M$69),0)*VLOOKUP(BM$3,Conversions!$B$12:$E$34,4,0)))</f>
        <v>0</v>
      </c>
      <c r="AY95" s="333">
        <f>IF($F95="",0,IF($F95="Weighted Average",$I95*VLOOKUP($D95&amp;" (Disposal)",Lists!$C$72:$R$232,COLUMNS(Lists!$C$69:N$69),0)*VLOOKUP(BN$3,Conversions!$B$12:$E$34,4,0),$I95*VLOOKUP($F95,Lists!$C$72:$R$232,COLUMNS(Lists!$C$69:N$69),0)*VLOOKUP(BN$3,Conversions!$B$12:$E$34,4,0)))</f>
        <v>0</v>
      </c>
      <c r="AZ95" s="333">
        <f>IF($F95="",0,IF($F95="Weighted Average",$I95*VLOOKUP($D95&amp;" (Disposal)",Lists!$C$72:$R$232,COLUMNS(Lists!$C$69:O$69),0)*VLOOKUP(BO$3,Conversions!$B$12:$E$34,4,0),$I95*VLOOKUP($F95,Lists!$C$72:$R$232,COLUMNS(Lists!$C$69:O$69),0)*VLOOKUP(BO$3,Conversions!$B$12:$E$34,4,0)))</f>
        <v>0</v>
      </c>
      <c r="BA95" s="333">
        <f>IF($F95="",0,IF($F95="Weighted Average",$I95*VLOOKUP($D95&amp;" (Disposal)",Lists!$C$72:$R$232,COLUMNS(Lists!$C$69:P$69),0)*VLOOKUP(BP$3,Conversions!$B$12:$E$34,4,0),$I95*VLOOKUP($F95,Lists!$C$72:$R$232,COLUMNS(Lists!$C$69:P$69),0)*VLOOKUP(BP$3,Conversions!$B$12:$E$34,4,0)))</f>
        <v>0</v>
      </c>
      <c r="BB95" s="333">
        <f>IF($F95="",0,IF($F95="Weighted Average",$I95*VLOOKUP($D95&amp;" (Disposal)",Lists!$C$72:$R$232,COLUMNS(Lists!$C$69:Q$69),0)*VLOOKUP(BQ$3,Conversions!$B$12:$E$34,4,0),$I95*VLOOKUP($F95,Lists!$C$72:$R$232,COLUMNS(Lists!$C$69:Q$69),0)*VLOOKUP(BQ$3,Conversions!$B$12:$E$34,4,0)))</f>
        <v>0</v>
      </c>
      <c r="BC95" s="333">
        <f>IF($F95="",0,IF($F95="Weighted Average",$I95*VLOOKUP($D95&amp;" (Disposal)",Lists!$C$72:$R$232,COLUMNS(Lists!$C$69:R$69),0)*VLOOKUP(BR$3,Conversions!$B$12:$E$34,4,0),$I95*VLOOKUP($F95,Lists!$C$72:$R$232,COLUMNS(Lists!$C$69:R$69),0)*VLOOKUP(BR$3,Conversions!$B$12:$E$34,4,0)))</f>
        <v>0</v>
      </c>
      <c r="BD95" s="333">
        <f t="shared" si="104"/>
        <v>0</v>
      </c>
      <c r="BE95" s="330">
        <f t="shared" si="105"/>
        <v>0</v>
      </c>
      <c r="BF95" s="330">
        <f t="shared" si="106"/>
        <v>0</v>
      </c>
      <c r="BG95" s="330">
        <f t="shared" si="107"/>
        <v>0</v>
      </c>
      <c r="BH95" s="330">
        <f t="shared" si="108"/>
        <v>0</v>
      </c>
      <c r="BI95" s="330">
        <f t="shared" si="109"/>
        <v>0</v>
      </c>
      <c r="BJ95" s="330">
        <f t="shared" si="110"/>
        <v>0</v>
      </c>
      <c r="BK95" s="330">
        <f t="shared" si="111"/>
        <v>0</v>
      </c>
      <c r="BL95" s="330">
        <f t="shared" si="112"/>
        <v>0</v>
      </c>
      <c r="BM95" s="330">
        <f t="shared" si="113"/>
        <v>0</v>
      </c>
      <c r="BN95" s="330">
        <f t="shared" si="114"/>
        <v>0</v>
      </c>
      <c r="BO95" s="330">
        <f t="shared" si="115"/>
        <v>0</v>
      </c>
      <c r="BP95" s="330">
        <f t="shared" si="116"/>
        <v>0</v>
      </c>
      <c r="BQ95" s="330">
        <f t="shared" si="117"/>
        <v>0</v>
      </c>
      <c r="BR95" s="330">
        <f t="shared" si="118"/>
        <v>0</v>
      </c>
      <c r="BS95" s="330">
        <f t="shared" si="119"/>
        <v>0</v>
      </c>
      <c r="BT95" s="329">
        <f t="shared" si="120"/>
        <v>0</v>
      </c>
      <c r="BU95" s="329">
        <f t="shared" si="120"/>
        <v>0</v>
      </c>
      <c r="BV95" s="329">
        <f t="shared" si="120"/>
        <v>0</v>
      </c>
      <c r="BW95" s="329">
        <f t="shared" si="120"/>
        <v>0</v>
      </c>
      <c r="BX95" s="329">
        <f t="shared" si="120"/>
        <v>0</v>
      </c>
      <c r="BY95" s="329">
        <f t="shared" si="120"/>
        <v>0</v>
      </c>
      <c r="BZ95" s="329">
        <f t="shared" si="120"/>
        <v>0</v>
      </c>
      <c r="CA95" s="329">
        <f t="shared" si="120"/>
        <v>0</v>
      </c>
      <c r="CB95" s="329">
        <f t="shared" si="120"/>
        <v>0</v>
      </c>
      <c r="CC95" s="329">
        <f t="shared" si="120"/>
        <v>0</v>
      </c>
      <c r="CD95" s="329">
        <f t="shared" si="120"/>
        <v>0</v>
      </c>
      <c r="CE95" s="329">
        <f t="shared" si="120"/>
        <v>0</v>
      </c>
      <c r="CF95" s="329">
        <f t="shared" si="120"/>
        <v>0</v>
      </c>
      <c r="CG95" s="329">
        <f t="shared" si="120"/>
        <v>0</v>
      </c>
      <c r="CH95" s="329">
        <f t="shared" si="120"/>
        <v>0</v>
      </c>
      <c r="CI95" s="329">
        <f t="shared" si="120"/>
        <v>0</v>
      </c>
      <c r="CJ95" s="331">
        <f t="shared" si="121"/>
        <v>0</v>
      </c>
      <c r="CK95" s="330">
        <f t="shared" si="122"/>
        <v>0</v>
      </c>
      <c r="CL95" s="330">
        <f t="shared" si="123"/>
        <v>0</v>
      </c>
      <c r="CM95" s="330">
        <f t="shared" si="124"/>
        <v>0</v>
      </c>
      <c r="CN95" s="330">
        <f t="shared" si="125"/>
        <v>0</v>
      </c>
      <c r="CO95" s="330">
        <f t="shared" si="126"/>
        <v>0</v>
      </c>
      <c r="CP95" s="330">
        <f t="shared" si="127"/>
        <v>0</v>
      </c>
      <c r="CQ95" s="330">
        <f t="shared" si="94"/>
        <v>0</v>
      </c>
      <c r="CR95" s="330">
        <f t="shared" si="128"/>
        <v>0</v>
      </c>
      <c r="CS95" s="330">
        <f t="shared" si="129"/>
        <v>0</v>
      </c>
      <c r="CT95" s="330">
        <f t="shared" si="130"/>
        <v>0</v>
      </c>
      <c r="CU95" s="330">
        <f t="shared" si="131"/>
        <v>0</v>
      </c>
      <c r="CV95" s="330">
        <f t="shared" si="131"/>
        <v>0</v>
      </c>
      <c r="CW95" s="330">
        <f t="shared" si="131"/>
        <v>0</v>
      </c>
      <c r="CX95" s="330">
        <f t="shared" si="131"/>
        <v>0</v>
      </c>
      <c r="CY95" s="330">
        <f t="shared" si="131"/>
        <v>0</v>
      </c>
      <c r="CZ95" s="330">
        <f t="shared" si="131"/>
        <v>0</v>
      </c>
      <c r="DA95" s="330">
        <f t="shared" si="131"/>
        <v>0</v>
      </c>
      <c r="DB95" s="330">
        <f t="shared" si="131"/>
        <v>0</v>
      </c>
      <c r="DC95" s="330">
        <f t="shared" si="131"/>
        <v>0</v>
      </c>
      <c r="DD95" s="330">
        <f t="shared" si="131"/>
        <v>0</v>
      </c>
      <c r="DE95" s="330">
        <f t="shared" si="132"/>
        <v>0</v>
      </c>
      <c r="DF95" s="330">
        <f t="shared" si="132"/>
        <v>0</v>
      </c>
      <c r="DG95" s="330">
        <f t="shared" si="132"/>
        <v>0</v>
      </c>
      <c r="DH95" s="330">
        <f t="shared" si="132"/>
        <v>0</v>
      </c>
      <c r="DI95" s="330">
        <f t="shared" si="132"/>
        <v>0</v>
      </c>
      <c r="DJ95" s="330">
        <f t="shared" si="132"/>
        <v>0</v>
      </c>
      <c r="DK95" s="330">
        <f t="shared" si="132"/>
        <v>0</v>
      </c>
      <c r="DL95" s="330">
        <f t="shared" si="132"/>
        <v>0</v>
      </c>
      <c r="DM95" s="330">
        <f t="shared" si="132"/>
        <v>0</v>
      </c>
      <c r="DN95" s="330">
        <f t="shared" si="132"/>
        <v>0</v>
      </c>
      <c r="DO95" s="330">
        <f t="shared" si="132"/>
        <v>0</v>
      </c>
      <c r="DP95" s="330">
        <f t="shared" si="133"/>
        <v>0</v>
      </c>
      <c r="DQ95" s="217"/>
      <c r="DR95" s="217"/>
      <c r="DS95" s="217"/>
      <c r="DT95" s="217"/>
    </row>
    <row r="96" spans="1:124" x14ac:dyDescent="0.3">
      <c r="A96" s="324"/>
      <c r="B96" s="221" t="s">
        <v>305</v>
      </c>
      <c r="C96" s="221" t="str">
        <f>IF(Screening!C26=0,"",Screening!C26)</f>
        <v/>
      </c>
      <c r="D96" s="221" t="str">
        <f>IF(Screening!D26=0,"",Screening!D26)</f>
        <v/>
      </c>
      <c r="E96" s="221" t="str">
        <f>IF(Screening!E26=0,"",Screening!E26)</f>
        <v/>
      </c>
      <c r="F96" s="221" t="str">
        <f>IF(Screening!F26=0,"",Screening!F26)</f>
        <v/>
      </c>
      <c r="G96" s="272">
        <f>Screening!G26*Screening!O26*Conversions!$C$4</f>
        <v>0</v>
      </c>
      <c r="H96" s="272">
        <f>Screening!H26*Screening!P26*Screening!I26*Conversions!$C$4</f>
        <v>0</v>
      </c>
      <c r="I96" s="272">
        <f>Screening!J26*Screening!Q26*(1-Screening!R26)*Conversions!$C$4</f>
        <v>0</v>
      </c>
      <c r="J96" s="325">
        <f>IF(Screening!S26=0,0,Screening!S26)</f>
        <v>0</v>
      </c>
      <c r="K96" s="465"/>
      <c r="L96" s="333">
        <f>IF($F96="",0,IF($F96="Weighted Average",$G96*VLOOKUP($D96&amp;" (Install)",Lists!$C$72:$R$232,COLUMNS(Lists!$C$69:E$69),0)*VLOOKUP(BE$3,Conversions!$B$12:$E$34,4,0),$G96*VLOOKUP($F96,Lists!$C$72:$R$232,COLUMNS(Lists!$C$69:E$69),0)*VLOOKUP(BE$3,Conversions!$B$12:$E$34,4,0)))</f>
        <v>0</v>
      </c>
      <c r="M96" s="333">
        <f>IF($F96="",0,IF($F96="Weighted Average",$G96*VLOOKUP($D96&amp;" (Install)",Lists!$C$72:$R$232,COLUMNS(Lists!$C$69:F$69),0)*VLOOKUP(BF$3,Conversions!$B$12:$E$34,4,0),$G96*VLOOKUP($F96,Lists!$C$72:$R$232,COLUMNS(Lists!$C$69:F$69),0)*VLOOKUP(BF$3,Conversions!$B$12:$E$34,4,0)))</f>
        <v>0</v>
      </c>
      <c r="N96" s="333">
        <f>IF($F96="",0,IF($F96="Weighted Average",$G96*VLOOKUP($D96&amp;" (Install)",Lists!$C$72:$R$232,COLUMNS(Lists!$C$69:G$69),0)*VLOOKUP(BG$3,Conversions!$B$12:$E$34,4,0),$G96*VLOOKUP($F96,Lists!$C$72:$R$232,COLUMNS(Lists!$C$69:G$69),0)*VLOOKUP(BG$3,Conversions!$B$12:$E$34,4,0)))</f>
        <v>0</v>
      </c>
      <c r="O96" s="333">
        <f>IF($F96="",0,IF($F96="Weighted Average",$G96*VLOOKUP($D96&amp;" (Install)",Lists!$C$72:$R$232,COLUMNS(Lists!$C$69:H$69),0)*VLOOKUP(BH$3,Conversions!$B$12:$E$34,4,0),$G96*VLOOKUP($F96,Lists!$C$72:$R$232,COLUMNS(Lists!$C$69:H$69),0)*VLOOKUP(BH$3,Conversions!$B$12:$E$34,4,0)))</f>
        <v>0</v>
      </c>
      <c r="P96" s="333">
        <f>IF($F96="",0,IF($F96="Weighted Average",$G96*VLOOKUP($D96&amp;" (Install)",Lists!$C$72:$R$232,COLUMNS(Lists!$C$69:I$69),0)*VLOOKUP(BI$3,Conversions!$B$12:$E$34,4,0),$G96*VLOOKUP($F96,Lists!$C$72:$R$232,COLUMNS(Lists!$C$69:I$69),0)*VLOOKUP(BI$3,Conversions!$B$12:$E$34,4,0)))</f>
        <v>0</v>
      </c>
      <c r="Q96" s="333">
        <f>IF($F96="",0,IF($F96="Weighted Average",$G96*VLOOKUP($D96&amp;" (Install)",Lists!$C$72:$R$232,COLUMNS(Lists!$C$69:J$69),0)*VLOOKUP(BJ$3,Conversions!$B$12:$E$34,4,0),$G96*VLOOKUP($F96,Lists!$C$72:$R$232,COLUMNS(Lists!$C$69:J$69),0)*VLOOKUP(BJ$3,Conversions!$B$12:$E$34,4,0)))</f>
        <v>0</v>
      </c>
      <c r="R96" s="333">
        <f>IF($F96="",0,IF($F96="Weighted Average",$G96*VLOOKUP($D96&amp;" (Install)",Lists!$C$72:$R$232,COLUMNS(Lists!$C$69:K$69),0)*VLOOKUP(BK$3,Conversions!$B$12:$E$34,4,0),$G96*VLOOKUP($F96,Lists!$C$72:$R$232,COLUMNS(Lists!$C$69:K$69),0)*VLOOKUP(BK$3,Conversions!$B$12:$E$34,4,0)))</f>
        <v>0</v>
      </c>
      <c r="S96" s="333">
        <f>IF($F96="",0,IF($F96="Weighted Average",$G96*VLOOKUP($D96&amp;" (Install)",Lists!$C$72:$R$232,COLUMNS(Lists!$C$69:L$69),0)*VLOOKUP(BL$3,Conversions!$B$12:$E$34,4,0),$G96*VLOOKUP($F96,Lists!$C$72:$R$232,COLUMNS(Lists!$C$69:L$69),0)*VLOOKUP(BL$3,Conversions!$B$12:$E$34,4,0)))</f>
        <v>0</v>
      </c>
      <c r="T96" s="333">
        <f>IF($F96="",0,IF($F96="Weighted Average",$G96*VLOOKUP($D96&amp;" (Install)",Lists!$C$72:$R$232,COLUMNS(Lists!$C$69:M$69),0)*VLOOKUP(BM$3,Conversions!$B$12:$E$34,4,0),$G96*VLOOKUP($F96,Lists!$C$72:$R$232,COLUMNS(Lists!$C$69:M$69),0)*VLOOKUP(BM$3,Conversions!$B$12:$E$34,4,0)))</f>
        <v>0</v>
      </c>
      <c r="U96" s="333">
        <f>IF($F96="",0,IF($F96="Weighted Average",$G96*VLOOKUP($D96&amp;" (Install)",Lists!$C$72:$R$232,COLUMNS(Lists!$C$69:N$69),0)*VLOOKUP(BN$3,Conversions!$B$12:$E$34,4,0),$G96*VLOOKUP($F96,Lists!$C$72:$R$232,COLUMNS(Lists!$C$69:N$69),0)*VLOOKUP(BN$3,Conversions!$B$12:$E$34,4,0)))</f>
        <v>0</v>
      </c>
      <c r="V96" s="333">
        <f>IF($F96="",0,IF($F96="Weighted Average",$G96*VLOOKUP($D96&amp;" (Install)",Lists!$C$72:$R$232,COLUMNS(Lists!$C$69:O$69),0)*VLOOKUP(BO$3,Conversions!$B$12:$E$34,4,0),$G96*VLOOKUP($F96,Lists!$C$72:$R$232,COLUMNS(Lists!$C$69:O$69),0)*VLOOKUP(BO$3,Conversions!$B$12:$E$34,4,0)))</f>
        <v>0</v>
      </c>
      <c r="W96" s="333">
        <f>IF($F96="",0,IF($F96="Weighted Average",$G96*VLOOKUP($D96&amp;" (Install)",Lists!$C$72:$R$232,COLUMNS(Lists!$C$69:P$69),0)*VLOOKUP(BP$3,Conversions!$B$12:$E$34,4,0),$G96*VLOOKUP($F96,Lists!$C$72:$R$232,COLUMNS(Lists!$C$69:P$69),0)*VLOOKUP(BP$3,Conversions!$B$12:$E$34,4,0)))</f>
        <v>0</v>
      </c>
      <c r="X96" s="333">
        <f>IF($F96="",0,IF($F96="Weighted Average",$G96*VLOOKUP($D96&amp;" (Install)",Lists!$C$72:$R$232,COLUMNS(Lists!$C$69:Q$69),0)*VLOOKUP(BQ$3,Conversions!$B$12:$E$34,4,0),$G96*VLOOKUP($F96,Lists!$C$72:$R$232,COLUMNS(Lists!$C$69:Q$69),0)*VLOOKUP(BQ$3,Conversions!$B$12:$E$34,4,0)))</f>
        <v>0</v>
      </c>
      <c r="Y96" s="333">
        <f>IF($F96="",0,IF($F96="Weighted Average",$G96*VLOOKUP($D96&amp;" (Install)",Lists!$C$72:$R$232,COLUMNS(Lists!$C$69:R$69),0)*VLOOKUP(BR$3,Conversions!$B$12:$E$34,4,0),$G96*VLOOKUP($F96,Lists!$C$72:$R$232,COLUMNS(Lists!$C$69:R$69),0)*VLOOKUP(BR$3,Conversions!$B$12:$E$34,4,0)))</f>
        <v>0</v>
      </c>
      <c r="Z96" s="325">
        <f t="shared" si="102"/>
        <v>0</v>
      </c>
      <c r="AA96" s="334">
        <f>IF($F96="",0,IF($F96="Weighted Average",$H96*VLOOKUP($D96&amp;" (Operation)",Lists!$C$72:$R$232,COLUMNS(Lists!$C$69:E$69),0)*VLOOKUP(BE$3,Conversions!$B$12:$E$34,4,0),$H96*VLOOKUP($F96,Lists!$C$72:$R$232,COLUMNS(Lists!$C$69:E$69),0)*VLOOKUP(BE$3,Conversions!$B$12:$E$34,4,0)))</f>
        <v>0</v>
      </c>
      <c r="AB96" s="334">
        <f>IF($F96="",0,IF($F96="Weighted Average",$H96*VLOOKUP($D96&amp;" (Operation)",Lists!$C$72:$R$232,COLUMNS(Lists!$C$69:F$69),0)*VLOOKUP(BF$3,Conversions!$B$12:$E$34,4,0),$H96*VLOOKUP($F96,Lists!$C$72:$R$232,COLUMNS(Lists!$C$69:F$69),0)*VLOOKUP(BF$3,Conversions!$B$12:$E$34,4,0)))</f>
        <v>0</v>
      </c>
      <c r="AC96" s="334">
        <f>IF($F96="",0,IF($F96="Weighted Average",$H96*VLOOKUP($D96&amp;" (Operation)",Lists!$C$72:$R$232,COLUMNS(Lists!$C$69:G$69),0)*VLOOKUP(BG$3,Conversions!$B$12:$E$34,4,0),$H96*VLOOKUP($F96,Lists!$C$72:$R$232,COLUMNS(Lists!$C$69:G$69),0)*VLOOKUP(BG$3,Conversions!$B$12:$E$34,4,0)))</f>
        <v>0</v>
      </c>
      <c r="AD96" s="334">
        <f>IF($F96="",0,IF($F96="Weighted Average",$H96*VLOOKUP($D96&amp;" (Operation)",Lists!$C$72:$R$232,COLUMNS(Lists!$C$69:H$69),0)*VLOOKUP(BH$3,Conversions!$B$12:$E$34,4,0),$H96*VLOOKUP($F96,Lists!$C$72:$R$232,COLUMNS(Lists!$C$69:H$69),0)*VLOOKUP(BH$3,Conversions!$B$12:$E$34,4,0)))</f>
        <v>0</v>
      </c>
      <c r="AE96" s="334">
        <f>IF($F96="",0,IF($F96="Weighted Average",$H96*VLOOKUP($D96&amp;" (Operation)",Lists!$C$72:$R$232,COLUMNS(Lists!$C$69:I$69),0)*VLOOKUP(BI$3,Conversions!$B$12:$E$34,4,0),$H96*VLOOKUP($F96,Lists!$C$72:$R$232,COLUMNS(Lists!$C$69:I$69),0)*VLOOKUP(BI$3,Conversions!$B$12:$E$34,4,0)))</f>
        <v>0</v>
      </c>
      <c r="AF96" s="334">
        <f>IF($F96="",0,IF($F96="Weighted Average",$H96*VLOOKUP($D96&amp;" (Operation)",Lists!$C$72:$R$232,COLUMNS(Lists!$C$69:J$69),0)*VLOOKUP(BJ$3,Conversions!$B$12:$E$34,4,0),$H96*VLOOKUP($F96,Lists!$C$72:$R$232,COLUMNS(Lists!$C$69:J$69),0)*VLOOKUP(BJ$3,Conversions!$B$12:$E$34,4,0)))</f>
        <v>0</v>
      </c>
      <c r="AG96" s="334">
        <f>IF($F96="",0,IF($F96="Weighted Average",$H96*VLOOKUP($D96&amp;" (Operation)",Lists!$C$72:$R$232,COLUMNS(Lists!$C$69:K$69),0)*VLOOKUP(BK$3,Conversions!$B$12:$E$34,4,0),$H96*VLOOKUP($F96,Lists!$C$72:$R$232,COLUMNS(Lists!$C$69:K$69),0)*VLOOKUP(BK$3,Conversions!$B$12:$E$34,4,0)))</f>
        <v>0</v>
      </c>
      <c r="AH96" s="334">
        <f>IF($F96="",0,IF($F96="Weighted Average",$H96*VLOOKUP($D96&amp;" (Operation)",Lists!$C$72:$R$232,COLUMNS(Lists!$C$69:L$69),0)*VLOOKUP(BL$3,Conversions!$B$12:$E$34,4,0),$H96*VLOOKUP($F96,Lists!$C$72:$R$232,COLUMNS(Lists!$C$69:L$69),0)*VLOOKUP(BL$3,Conversions!$B$12:$E$34,4,0)))</f>
        <v>0</v>
      </c>
      <c r="AI96" s="334">
        <f>IF($F96="",0,IF($F96="Weighted Average",$H96*VLOOKUP($D96&amp;" (Operation)",Lists!$C$72:$R$232,COLUMNS(Lists!$C$69:M$69),0)*VLOOKUP(BM$3,Conversions!$B$12:$E$34,4,0),$H96*VLOOKUP($F96,Lists!$C$72:$R$232,COLUMNS(Lists!$C$69:M$69),0)*VLOOKUP(BM$3,Conversions!$B$12:$E$34,4,0)))</f>
        <v>0</v>
      </c>
      <c r="AJ96" s="334">
        <f>IF($F96="",0,IF($F96="Weighted Average",$H96*VLOOKUP($D96&amp;" (Operation)",Lists!$C$72:$R$232,COLUMNS(Lists!$C$69:N$69),0)*VLOOKUP(BN$3,Conversions!$B$12:$E$34,4,0),$H96*VLOOKUP($F96,Lists!$C$72:$R$232,COLUMNS(Lists!$C$69:N$69),0)*VLOOKUP(BN$3,Conversions!$B$12:$E$34,4,0)))</f>
        <v>0</v>
      </c>
      <c r="AK96" s="334">
        <f>IF($F96="",0,IF($F96="Weighted Average",$H96*VLOOKUP($D96&amp;" (Operation)",Lists!$C$72:$R$232,COLUMNS(Lists!$C$69:O$69),0)*VLOOKUP(BO$3,Conversions!$B$12:$E$34,4,0),$H96*VLOOKUP($F96,Lists!$C$72:$R$232,COLUMNS(Lists!$C$69:O$69),0)*VLOOKUP(BO$3,Conversions!$B$12:$E$34,4,0)))</f>
        <v>0</v>
      </c>
      <c r="AL96" s="334">
        <f>IF($F96="",0,IF($F96="Weighted Average",$H96*VLOOKUP($D96&amp;" (Operation)",Lists!$C$72:$R$232,COLUMNS(Lists!$C$69:P$69),0)*VLOOKUP(BP$3,Conversions!$B$12:$E$34,4,0),$H96*VLOOKUP($F96,Lists!$C$72:$R$232,COLUMNS(Lists!$C$69:P$69),0)*VLOOKUP(BP$3,Conversions!$B$12:$E$34,4,0)))</f>
        <v>0</v>
      </c>
      <c r="AM96" s="334">
        <f>IF($F96="",0,IF($F96="Weighted Average",$H96*VLOOKUP($D96&amp;" (Operation)",Lists!$C$72:$R$232,COLUMNS(Lists!$C$69:Q$69),0)*VLOOKUP(BQ$3,Conversions!$B$12:$E$34,4,0),$H96*VLOOKUP($F96,Lists!$C$72:$R$232,COLUMNS(Lists!$C$69:Q$69),0)*VLOOKUP(BQ$3,Conversions!$B$12:$E$34,4,0)))</f>
        <v>0</v>
      </c>
      <c r="AN96" s="334">
        <f>IF($F96="",0,IF($F96="Weighted Average",$H96*VLOOKUP($D96&amp;" (Operation)",Lists!$C$72:$R$232,COLUMNS(Lists!$C$69:R$69),0)*VLOOKUP(BR$3,Conversions!$B$12:$E$34,4,0),$H96*VLOOKUP($F96,Lists!$C$72:$R$232,COLUMNS(Lists!$C$69:R$69),0)*VLOOKUP(BR$3,Conversions!$B$12:$E$34,4,0)))</f>
        <v>0</v>
      </c>
      <c r="AO96" s="330">
        <f t="shared" si="103"/>
        <v>0</v>
      </c>
      <c r="AP96" s="333">
        <f>IF($F96="",0,IF($F96="Weighted Average",$I96*VLOOKUP($D96&amp;" (Disposal)",Lists!$C$72:$R$232,COLUMNS(Lists!$C$69:E$69),0)*VLOOKUP(BE$3,Conversions!$B$12:$E$34,4,0),$I96*VLOOKUP($F96,Lists!$C$72:$R$232,COLUMNS(Lists!$C$69:E$69),0)*VLOOKUP(BE$3,Conversions!$B$12:$E$34,4,0)))</f>
        <v>0</v>
      </c>
      <c r="AQ96" s="333">
        <f>IF($F96="",0,IF($F96="Weighted Average",$I96*VLOOKUP($D96&amp;" (Disposal)",Lists!$C$72:$R$232,COLUMNS(Lists!$C$69:F$69),0)*VLOOKUP(BF$3,Conversions!$B$12:$E$34,4,0),$I96*VLOOKUP($F96,Lists!$C$72:$R$232,COLUMNS(Lists!$C$69:F$69),0)*VLOOKUP(BF$3,Conversions!$B$12:$E$34,4,0)))</f>
        <v>0</v>
      </c>
      <c r="AR96" s="333">
        <f>IF($F96="",0,IF($F96="Weighted Average",$I96*VLOOKUP($D96&amp;" (Disposal)",Lists!$C$72:$R$232,COLUMNS(Lists!$C$69:G$69),0)*VLOOKUP(BG$3,Conversions!$B$12:$E$34,4,0),$I96*VLOOKUP($F96,Lists!$C$72:$R$232,COLUMNS(Lists!$C$69:G$69),0)*VLOOKUP(BG$3,Conversions!$B$12:$E$34,4,0)))</f>
        <v>0</v>
      </c>
      <c r="AS96" s="333">
        <f>IF($F96="",0,IF($F96="Weighted Average",$I96*VLOOKUP($D96&amp;" (Disposal)",Lists!$C$72:$R$232,COLUMNS(Lists!$C$69:H$69),0)*VLOOKUP(BH$3,Conversions!$B$12:$E$34,4,0),$I96*VLOOKUP($F96,Lists!$C$72:$R$232,COLUMNS(Lists!$C$69:H$69),0)*VLOOKUP(BH$3,Conversions!$B$12:$E$34,4,0)))</f>
        <v>0</v>
      </c>
      <c r="AT96" s="333">
        <f>IF($F96="",0,IF($F96="Weighted Average",$I96*VLOOKUP($D96&amp;" (Disposal)",Lists!$C$72:$R$232,COLUMNS(Lists!$C$69:I$69),0)*VLOOKUP(BI$3,Conversions!$B$12:$E$34,4,0),$I96*VLOOKUP($F96,Lists!$C$72:$R$232,COLUMNS(Lists!$C$69:I$69),0)*VLOOKUP(BI$3,Conversions!$B$12:$E$34,4,0)))</f>
        <v>0</v>
      </c>
      <c r="AU96" s="333">
        <f>IF($F96="",0,IF($F96="Weighted Average",$I96*VLOOKUP($D96&amp;" (Disposal)",Lists!$C$72:$R$232,COLUMNS(Lists!$C$69:J$69),0)*VLOOKUP(BJ$3,Conversions!$B$12:$E$34,4,0),$I96*VLOOKUP($F96,Lists!$C$72:$R$232,COLUMNS(Lists!$C$69:J$69),0)*VLOOKUP(BJ$3,Conversions!$B$12:$E$34,4,0)))</f>
        <v>0</v>
      </c>
      <c r="AV96" s="333">
        <f>IF($F96="",0,IF($F96="Weighted Average",$I96*VLOOKUP($D96&amp;" (Disposal)",Lists!$C$72:$R$232,COLUMNS(Lists!$C$69:K$69),0)*VLOOKUP(BK$3,Conversions!$B$12:$E$34,4,0),$I96*VLOOKUP($F96,Lists!$C$72:$R$232,COLUMNS(Lists!$C$69:K$69),0)*VLOOKUP(BK$3,Conversions!$B$12:$E$34,4,0)))</f>
        <v>0</v>
      </c>
      <c r="AW96" s="333">
        <f>IF($F96="",0,IF($F96="Weighted Average",$I96*VLOOKUP($D96&amp;" (Disposal)",Lists!$C$72:$R$232,COLUMNS(Lists!$C$69:L$69),0)*VLOOKUP(BL$3,Conversions!$B$12:$E$34,4,0),$I96*VLOOKUP($F96,Lists!$C$72:$R$232,COLUMNS(Lists!$C$69:L$69),0)*VLOOKUP(BL$3,Conversions!$B$12:$E$34,4,0)))</f>
        <v>0</v>
      </c>
      <c r="AX96" s="333">
        <f>IF($F96="",0,IF($F96="Weighted Average",$I96*VLOOKUP($D96&amp;" (Disposal)",Lists!$C$72:$R$232,COLUMNS(Lists!$C$69:M$69),0)*VLOOKUP(BM$3,Conversions!$B$12:$E$34,4,0),$I96*VLOOKUP($F96,Lists!$C$72:$R$232,COLUMNS(Lists!$C$69:M$69),0)*VLOOKUP(BM$3,Conversions!$B$12:$E$34,4,0)))</f>
        <v>0</v>
      </c>
      <c r="AY96" s="333">
        <f>IF($F96="",0,IF($F96="Weighted Average",$I96*VLOOKUP($D96&amp;" (Disposal)",Lists!$C$72:$R$232,COLUMNS(Lists!$C$69:N$69),0)*VLOOKUP(BN$3,Conversions!$B$12:$E$34,4,0),$I96*VLOOKUP($F96,Lists!$C$72:$R$232,COLUMNS(Lists!$C$69:N$69),0)*VLOOKUP(BN$3,Conversions!$B$12:$E$34,4,0)))</f>
        <v>0</v>
      </c>
      <c r="AZ96" s="333">
        <f>IF($F96="",0,IF($F96="Weighted Average",$I96*VLOOKUP($D96&amp;" (Disposal)",Lists!$C$72:$R$232,COLUMNS(Lists!$C$69:O$69),0)*VLOOKUP(BO$3,Conversions!$B$12:$E$34,4,0),$I96*VLOOKUP($F96,Lists!$C$72:$R$232,COLUMNS(Lists!$C$69:O$69),0)*VLOOKUP(BO$3,Conversions!$B$12:$E$34,4,0)))</f>
        <v>0</v>
      </c>
      <c r="BA96" s="333">
        <f>IF($F96="",0,IF($F96="Weighted Average",$I96*VLOOKUP($D96&amp;" (Disposal)",Lists!$C$72:$R$232,COLUMNS(Lists!$C$69:P$69),0)*VLOOKUP(BP$3,Conversions!$B$12:$E$34,4,0),$I96*VLOOKUP($F96,Lists!$C$72:$R$232,COLUMNS(Lists!$C$69:P$69),0)*VLOOKUP(BP$3,Conversions!$B$12:$E$34,4,0)))</f>
        <v>0</v>
      </c>
      <c r="BB96" s="333">
        <f>IF($F96="",0,IF($F96="Weighted Average",$I96*VLOOKUP($D96&amp;" (Disposal)",Lists!$C$72:$R$232,COLUMNS(Lists!$C$69:Q$69),0)*VLOOKUP(BQ$3,Conversions!$B$12:$E$34,4,0),$I96*VLOOKUP($F96,Lists!$C$72:$R$232,COLUMNS(Lists!$C$69:Q$69),0)*VLOOKUP(BQ$3,Conversions!$B$12:$E$34,4,0)))</f>
        <v>0</v>
      </c>
      <c r="BC96" s="333">
        <f>IF($F96="",0,IF($F96="Weighted Average",$I96*VLOOKUP($D96&amp;" (Disposal)",Lists!$C$72:$R$232,COLUMNS(Lists!$C$69:R$69),0)*VLOOKUP(BR$3,Conversions!$B$12:$E$34,4,0),$I96*VLOOKUP($F96,Lists!$C$72:$R$232,COLUMNS(Lists!$C$69:R$69),0)*VLOOKUP(BR$3,Conversions!$B$12:$E$34,4,0)))</f>
        <v>0</v>
      </c>
      <c r="BD96" s="333">
        <f t="shared" si="104"/>
        <v>0</v>
      </c>
      <c r="BE96" s="330">
        <f t="shared" si="105"/>
        <v>0</v>
      </c>
      <c r="BF96" s="330">
        <f t="shared" si="106"/>
        <v>0</v>
      </c>
      <c r="BG96" s="330">
        <f t="shared" si="107"/>
        <v>0</v>
      </c>
      <c r="BH96" s="330">
        <f t="shared" si="108"/>
        <v>0</v>
      </c>
      <c r="BI96" s="330">
        <f t="shared" si="109"/>
        <v>0</v>
      </c>
      <c r="BJ96" s="330">
        <f t="shared" si="110"/>
        <v>0</v>
      </c>
      <c r="BK96" s="330">
        <f t="shared" si="111"/>
        <v>0</v>
      </c>
      <c r="BL96" s="330">
        <f t="shared" si="112"/>
        <v>0</v>
      </c>
      <c r="BM96" s="330">
        <f t="shared" si="113"/>
        <v>0</v>
      </c>
      <c r="BN96" s="330">
        <f t="shared" si="114"/>
        <v>0</v>
      </c>
      <c r="BO96" s="330">
        <f t="shared" si="115"/>
        <v>0</v>
      </c>
      <c r="BP96" s="330">
        <f t="shared" si="116"/>
        <v>0</v>
      </c>
      <c r="BQ96" s="330">
        <f t="shared" si="117"/>
        <v>0</v>
      </c>
      <c r="BR96" s="330">
        <f t="shared" si="118"/>
        <v>0</v>
      </c>
      <c r="BS96" s="330">
        <f t="shared" si="119"/>
        <v>0</v>
      </c>
      <c r="BT96" s="329">
        <f t="shared" si="120"/>
        <v>0</v>
      </c>
      <c r="BU96" s="329">
        <f t="shared" si="120"/>
        <v>0</v>
      </c>
      <c r="BV96" s="329">
        <f t="shared" si="120"/>
        <v>0</v>
      </c>
      <c r="BW96" s="329">
        <f t="shared" si="120"/>
        <v>0</v>
      </c>
      <c r="BX96" s="329">
        <f t="shared" si="120"/>
        <v>0</v>
      </c>
      <c r="BY96" s="329">
        <f t="shared" si="120"/>
        <v>0</v>
      </c>
      <c r="BZ96" s="329">
        <f t="shared" si="120"/>
        <v>0</v>
      </c>
      <c r="CA96" s="329">
        <f t="shared" si="120"/>
        <v>0</v>
      </c>
      <c r="CB96" s="329">
        <f t="shared" si="120"/>
        <v>0</v>
      </c>
      <c r="CC96" s="329">
        <f t="shared" si="120"/>
        <v>0</v>
      </c>
      <c r="CD96" s="329">
        <f t="shared" si="120"/>
        <v>0</v>
      </c>
      <c r="CE96" s="329">
        <f t="shared" si="120"/>
        <v>0</v>
      </c>
      <c r="CF96" s="329">
        <f t="shared" si="120"/>
        <v>0</v>
      </c>
      <c r="CG96" s="329">
        <f t="shared" si="120"/>
        <v>0</v>
      </c>
      <c r="CH96" s="329">
        <f t="shared" si="120"/>
        <v>0</v>
      </c>
      <c r="CI96" s="329">
        <f t="shared" si="120"/>
        <v>0</v>
      </c>
      <c r="CJ96" s="331">
        <f t="shared" si="121"/>
        <v>0</v>
      </c>
      <c r="CK96" s="330">
        <f t="shared" si="122"/>
        <v>0</v>
      </c>
      <c r="CL96" s="330">
        <f t="shared" si="123"/>
        <v>0</v>
      </c>
      <c r="CM96" s="330">
        <f t="shared" si="124"/>
        <v>0</v>
      </c>
      <c r="CN96" s="330">
        <f t="shared" si="125"/>
        <v>0</v>
      </c>
      <c r="CO96" s="330">
        <f t="shared" si="126"/>
        <v>0</v>
      </c>
      <c r="CP96" s="330">
        <f t="shared" si="127"/>
        <v>0</v>
      </c>
      <c r="CQ96" s="330">
        <f t="shared" si="94"/>
        <v>0</v>
      </c>
      <c r="CR96" s="330">
        <f t="shared" si="128"/>
        <v>0</v>
      </c>
      <c r="CS96" s="330">
        <f t="shared" si="129"/>
        <v>0</v>
      </c>
      <c r="CT96" s="330">
        <f t="shared" si="130"/>
        <v>0</v>
      </c>
      <c r="CU96" s="330">
        <f t="shared" si="131"/>
        <v>0</v>
      </c>
      <c r="CV96" s="330">
        <f t="shared" si="131"/>
        <v>0</v>
      </c>
      <c r="CW96" s="330">
        <f t="shared" si="131"/>
        <v>0</v>
      </c>
      <c r="CX96" s="330">
        <f t="shared" si="131"/>
        <v>0</v>
      </c>
      <c r="CY96" s="330">
        <f t="shared" si="131"/>
        <v>0</v>
      </c>
      <c r="CZ96" s="330">
        <f t="shared" si="131"/>
        <v>0</v>
      </c>
      <c r="DA96" s="330">
        <f t="shared" si="131"/>
        <v>0</v>
      </c>
      <c r="DB96" s="330">
        <f t="shared" si="131"/>
        <v>0</v>
      </c>
      <c r="DC96" s="330">
        <f t="shared" si="131"/>
        <v>0</v>
      </c>
      <c r="DD96" s="330">
        <f t="shared" si="131"/>
        <v>0</v>
      </c>
      <c r="DE96" s="330">
        <f t="shared" si="132"/>
        <v>0</v>
      </c>
      <c r="DF96" s="330">
        <f t="shared" si="132"/>
        <v>0</v>
      </c>
      <c r="DG96" s="330">
        <f t="shared" si="132"/>
        <v>0</v>
      </c>
      <c r="DH96" s="330">
        <f t="shared" si="132"/>
        <v>0</v>
      </c>
      <c r="DI96" s="330">
        <f t="shared" si="132"/>
        <v>0</v>
      </c>
      <c r="DJ96" s="330">
        <f t="shared" si="132"/>
        <v>0</v>
      </c>
      <c r="DK96" s="330">
        <f t="shared" si="132"/>
        <v>0</v>
      </c>
      <c r="DL96" s="330">
        <f t="shared" si="132"/>
        <v>0</v>
      </c>
      <c r="DM96" s="330">
        <f t="shared" si="132"/>
        <v>0</v>
      </c>
      <c r="DN96" s="330">
        <f t="shared" si="132"/>
        <v>0</v>
      </c>
      <c r="DO96" s="330">
        <f t="shared" si="132"/>
        <v>0</v>
      </c>
      <c r="DP96" s="330">
        <f t="shared" si="133"/>
        <v>0</v>
      </c>
      <c r="DQ96" s="217"/>
      <c r="DR96" s="217"/>
      <c r="DS96" s="217"/>
      <c r="DT96" s="217"/>
    </row>
    <row r="97" spans="1:124" x14ac:dyDescent="0.3">
      <c r="A97" s="324"/>
      <c r="B97" s="221" t="s">
        <v>305</v>
      </c>
      <c r="C97" s="221" t="str">
        <f>IF(Screening!C27=0,"",Screening!C27)</f>
        <v/>
      </c>
      <c r="D97" s="221" t="str">
        <f>IF(Screening!D27=0,"",Screening!D27)</f>
        <v/>
      </c>
      <c r="E97" s="221" t="str">
        <f>IF(Screening!E27=0,"",Screening!E27)</f>
        <v/>
      </c>
      <c r="F97" s="221" t="str">
        <f>IF(Screening!F27=0,"",Screening!F27)</f>
        <v/>
      </c>
      <c r="G97" s="272">
        <f>Screening!G27*Screening!O27*Conversions!$C$4</f>
        <v>0</v>
      </c>
      <c r="H97" s="272">
        <f>Screening!H27*Screening!P27*Screening!I27*Conversions!$C$4</f>
        <v>0</v>
      </c>
      <c r="I97" s="272">
        <f>Screening!J27*Screening!Q27*(1-Screening!R27)*Conversions!$C$4</f>
        <v>0</v>
      </c>
      <c r="J97" s="325">
        <f>IF(Screening!S27=0,0,Screening!S27)</f>
        <v>0</v>
      </c>
      <c r="K97" s="465"/>
      <c r="L97" s="333">
        <f>IF($F97="",0,IF($F97="Weighted Average",$G97*VLOOKUP($D97&amp;" (Install)",Lists!$C$72:$R$232,COLUMNS(Lists!$C$69:E$69),0)*VLOOKUP(BE$3,Conversions!$B$12:$E$34,4,0),$G97*VLOOKUP($F97,Lists!$C$72:$R$232,COLUMNS(Lists!$C$69:E$69),0)*VLOOKUP(BE$3,Conversions!$B$12:$E$34,4,0)))</f>
        <v>0</v>
      </c>
      <c r="M97" s="333">
        <f>IF($F97="",0,IF($F97="Weighted Average",$G97*VLOOKUP($D97&amp;" (Install)",Lists!$C$72:$R$232,COLUMNS(Lists!$C$69:F$69),0)*VLOOKUP(BF$3,Conversions!$B$12:$E$34,4,0),$G97*VLOOKUP($F97,Lists!$C$72:$R$232,COLUMNS(Lists!$C$69:F$69),0)*VLOOKUP(BF$3,Conversions!$B$12:$E$34,4,0)))</f>
        <v>0</v>
      </c>
      <c r="N97" s="333">
        <f>IF($F97="",0,IF($F97="Weighted Average",$G97*VLOOKUP($D97&amp;" (Install)",Lists!$C$72:$R$232,COLUMNS(Lists!$C$69:G$69),0)*VLOOKUP(BG$3,Conversions!$B$12:$E$34,4,0),$G97*VLOOKUP($F97,Lists!$C$72:$R$232,COLUMNS(Lists!$C$69:G$69),0)*VLOOKUP(BG$3,Conversions!$B$12:$E$34,4,0)))</f>
        <v>0</v>
      </c>
      <c r="O97" s="333">
        <f>IF($F97="",0,IF($F97="Weighted Average",$G97*VLOOKUP($D97&amp;" (Install)",Lists!$C$72:$R$232,COLUMNS(Lists!$C$69:H$69),0)*VLOOKUP(BH$3,Conversions!$B$12:$E$34,4,0),$G97*VLOOKUP($F97,Lists!$C$72:$R$232,COLUMNS(Lists!$C$69:H$69),0)*VLOOKUP(BH$3,Conversions!$B$12:$E$34,4,0)))</f>
        <v>0</v>
      </c>
      <c r="P97" s="333">
        <f>IF($F97="",0,IF($F97="Weighted Average",$G97*VLOOKUP($D97&amp;" (Install)",Lists!$C$72:$R$232,COLUMNS(Lists!$C$69:I$69),0)*VLOOKUP(BI$3,Conversions!$B$12:$E$34,4,0),$G97*VLOOKUP($F97,Lists!$C$72:$R$232,COLUMNS(Lists!$C$69:I$69),0)*VLOOKUP(BI$3,Conversions!$B$12:$E$34,4,0)))</f>
        <v>0</v>
      </c>
      <c r="Q97" s="333">
        <f>IF($F97="",0,IF($F97="Weighted Average",$G97*VLOOKUP($D97&amp;" (Install)",Lists!$C$72:$R$232,COLUMNS(Lists!$C$69:J$69),0)*VLOOKUP(BJ$3,Conversions!$B$12:$E$34,4,0),$G97*VLOOKUP($F97,Lists!$C$72:$R$232,COLUMNS(Lists!$C$69:J$69),0)*VLOOKUP(BJ$3,Conversions!$B$12:$E$34,4,0)))</f>
        <v>0</v>
      </c>
      <c r="R97" s="333">
        <f>IF($F97="",0,IF($F97="Weighted Average",$G97*VLOOKUP($D97&amp;" (Install)",Lists!$C$72:$R$232,COLUMNS(Lists!$C$69:K$69),0)*VLOOKUP(BK$3,Conversions!$B$12:$E$34,4,0),$G97*VLOOKUP($F97,Lists!$C$72:$R$232,COLUMNS(Lists!$C$69:K$69),0)*VLOOKUP(BK$3,Conversions!$B$12:$E$34,4,0)))</f>
        <v>0</v>
      </c>
      <c r="S97" s="333">
        <f>IF($F97="",0,IF($F97="Weighted Average",$G97*VLOOKUP($D97&amp;" (Install)",Lists!$C$72:$R$232,COLUMNS(Lists!$C$69:L$69),0)*VLOOKUP(BL$3,Conversions!$B$12:$E$34,4,0),$G97*VLOOKUP($F97,Lists!$C$72:$R$232,COLUMNS(Lists!$C$69:L$69),0)*VLOOKUP(BL$3,Conversions!$B$12:$E$34,4,0)))</f>
        <v>0</v>
      </c>
      <c r="T97" s="333">
        <f>IF($F97="",0,IF($F97="Weighted Average",$G97*VLOOKUP($D97&amp;" (Install)",Lists!$C$72:$R$232,COLUMNS(Lists!$C$69:M$69),0)*VLOOKUP(BM$3,Conversions!$B$12:$E$34,4,0),$G97*VLOOKUP($F97,Lists!$C$72:$R$232,COLUMNS(Lists!$C$69:M$69),0)*VLOOKUP(BM$3,Conversions!$B$12:$E$34,4,0)))</f>
        <v>0</v>
      </c>
      <c r="U97" s="333">
        <f>IF($F97="",0,IF($F97="Weighted Average",$G97*VLOOKUP($D97&amp;" (Install)",Lists!$C$72:$R$232,COLUMNS(Lists!$C$69:N$69),0)*VLOOKUP(BN$3,Conversions!$B$12:$E$34,4,0),$G97*VLOOKUP($F97,Lists!$C$72:$R$232,COLUMNS(Lists!$C$69:N$69),0)*VLOOKUP(BN$3,Conversions!$B$12:$E$34,4,0)))</f>
        <v>0</v>
      </c>
      <c r="V97" s="333">
        <f>IF($F97="",0,IF($F97="Weighted Average",$G97*VLOOKUP($D97&amp;" (Install)",Lists!$C$72:$R$232,COLUMNS(Lists!$C$69:O$69),0)*VLOOKUP(BO$3,Conversions!$B$12:$E$34,4,0),$G97*VLOOKUP($F97,Lists!$C$72:$R$232,COLUMNS(Lists!$C$69:O$69),0)*VLOOKUP(BO$3,Conversions!$B$12:$E$34,4,0)))</f>
        <v>0</v>
      </c>
      <c r="W97" s="333">
        <f>IF($F97="",0,IF($F97="Weighted Average",$G97*VLOOKUP($D97&amp;" (Install)",Lists!$C$72:$R$232,COLUMNS(Lists!$C$69:P$69),0)*VLOOKUP(BP$3,Conversions!$B$12:$E$34,4,0),$G97*VLOOKUP($F97,Lists!$C$72:$R$232,COLUMNS(Lists!$C$69:P$69),0)*VLOOKUP(BP$3,Conversions!$B$12:$E$34,4,0)))</f>
        <v>0</v>
      </c>
      <c r="X97" s="333">
        <f>IF($F97="",0,IF($F97="Weighted Average",$G97*VLOOKUP($D97&amp;" (Install)",Lists!$C$72:$R$232,COLUMNS(Lists!$C$69:Q$69),0)*VLOOKUP(BQ$3,Conversions!$B$12:$E$34,4,0),$G97*VLOOKUP($F97,Lists!$C$72:$R$232,COLUMNS(Lists!$C$69:Q$69),0)*VLOOKUP(BQ$3,Conversions!$B$12:$E$34,4,0)))</f>
        <v>0</v>
      </c>
      <c r="Y97" s="333">
        <f>IF($F97="",0,IF($F97="Weighted Average",$G97*VLOOKUP($D97&amp;" (Install)",Lists!$C$72:$R$232,COLUMNS(Lists!$C$69:R$69),0)*VLOOKUP(BR$3,Conversions!$B$12:$E$34,4,0),$G97*VLOOKUP($F97,Lists!$C$72:$R$232,COLUMNS(Lists!$C$69:R$69),0)*VLOOKUP(BR$3,Conversions!$B$12:$E$34,4,0)))</f>
        <v>0</v>
      </c>
      <c r="Z97" s="325">
        <f t="shared" si="102"/>
        <v>0</v>
      </c>
      <c r="AA97" s="334">
        <f>IF($F97="",0,IF($F97="Weighted Average",$H97*VLOOKUP($D97&amp;" (Operation)",Lists!$C$72:$R$232,COLUMNS(Lists!$C$69:E$69),0)*VLOOKUP(BE$3,Conversions!$B$12:$E$34,4,0),$H97*VLOOKUP($F97,Lists!$C$72:$R$232,COLUMNS(Lists!$C$69:E$69),0)*VLOOKUP(BE$3,Conversions!$B$12:$E$34,4,0)))</f>
        <v>0</v>
      </c>
      <c r="AB97" s="334">
        <f>IF($F97="",0,IF($F97="Weighted Average",$H97*VLOOKUP($D97&amp;" (Operation)",Lists!$C$72:$R$232,COLUMNS(Lists!$C$69:F$69),0)*VLOOKUP(BF$3,Conversions!$B$12:$E$34,4,0),$H97*VLOOKUP($F97,Lists!$C$72:$R$232,COLUMNS(Lists!$C$69:F$69),0)*VLOOKUP(BF$3,Conversions!$B$12:$E$34,4,0)))</f>
        <v>0</v>
      </c>
      <c r="AC97" s="334">
        <f>IF($F97="",0,IF($F97="Weighted Average",$H97*VLOOKUP($D97&amp;" (Operation)",Lists!$C$72:$R$232,COLUMNS(Lists!$C$69:G$69),0)*VLOOKUP(BG$3,Conversions!$B$12:$E$34,4,0),$H97*VLOOKUP($F97,Lists!$C$72:$R$232,COLUMNS(Lists!$C$69:G$69),0)*VLOOKUP(BG$3,Conversions!$B$12:$E$34,4,0)))</f>
        <v>0</v>
      </c>
      <c r="AD97" s="334">
        <f>IF($F97="",0,IF($F97="Weighted Average",$H97*VLOOKUP($D97&amp;" (Operation)",Lists!$C$72:$R$232,COLUMNS(Lists!$C$69:H$69),0)*VLOOKUP(BH$3,Conversions!$B$12:$E$34,4,0),$H97*VLOOKUP($F97,Lists!$C$72:$R$232,COLUMNS(Lists!$C$69:H$69),0)*VLOOKUP(BH$3,Conversions!$B$12:$E$34,4,0)))</f>
        <v>0</v>
      </c>
      <c r="AE97" s="334">
        <f>IF($F97="",0,IF($F97="Weighted Average",$H97*VLOOKUP($D97&amp;" (Operation)",Lists!$C$72:$R$232,COLUMNS(Lists!$C$69:I$69),0)*VLOOKUP(BI$3,Conversions!$B$12:$E$34,4,0),$H97*VLOOKUP($F97,Lists!$C$72:$R$232,COLUMNS(Lists!$C$69:I$69),0)*VLOOKUP(BI$3,Conversions!$B$12:$E$34,4,0)))</f>
        <v>0</v>
      </c>
      <c r="AF97" s="334">
        <f>IF($F97="",0,IF($F97="Weighted Average",$H97*VLOOKUP($D97&amp;" (Operation)",Lists!$C$72:$R$232,COLUMNS(Lists!$C$69:J$69),0)*VLOOKUP(BJ$3,Conversions!$B$12:$E$34,4,0),$H97*VLOOKUP($F97,Lists!$C$72:$R$232,COLUMNS(Lists!$C$69:J$69),0)*VLOOKUP(BJ$3,Conversions!$B$12:$E$34,4,0)))</f>
        <v>0</v>
      </c>
      <c r="AG97" s="334">
        <f>IF($F97="",0,IF($F97="Weighted Average",$H97*VLOOKUP($D97&amp;" (Operation)",Lists!$C$72:$R$232,COLUMNS(Lists!$C$69:K$69),0)*VLOOKUP(BK$3,Conversions!$B$12:$E$34,4,0),$H97*VLOOKUP($F97,Lists!$C$72:$R$232,COLUMNS(Lists!$C$69:K$69),0)*VLOOKUP(BK$3,Conversions!$B$12:$E$34,4,0)))</f>
        <v>0</v>
      </c>
      <c r="AH97" s="334">
        <f>IF($F97="",0,IF($F97="Weighted Average",$H97*VLOOKUP($D97&amp;" (Operation)",Lists!$C$72:$R$232,COLUMNS(Lists!$C$69:L$69),0)*VLOOKUP(BL$3,Conversions!$B$12:$E$34,4,0),$H97*VLOOKUP($F97,Lists!$C$72:$R$232,COLUMNS(Lists!$C$69:L$69),0)*VLOOKUP(BL$3,Conversions!$B$12:$E$34,4,0)))</f>
        <v>0</v>
      </c>
      <c r="AI97" s="334">
        <f>IF($F97="",0,IF($F97="Weighted Average",$H97*VLOOKUP($D97&amp;" (Operation)",Lists!$C$72:$R$232,COLUMNS(Lists!$C$69:M$69),0)*VLOOKUP(BM$3,Conversions!$B$12:$E$34,4,0),$H97*VLOOKUP($F97,Lists!$C$72:$R$232,COLUMNS(Lists!$C$69:M$69),0)*VLOOKUP(BM$3,Conversions!$B$12:$E$34,4,0)))</f>
        <v>0</v>
      </c>
      <c r="AJ97" s="334">
        <f>IF($F97="",0,IF($F97="Weighted Average",$H97*VLOOKUP($D97&amp;" (Operation)",Lists!$C$72:$R$232,COLUMNS(Lists!$C$69:N$69),0)*VLOOKUP(BN$3,Conversions!$B$12:$E$34,4,0),$H97*VLOOKUP($F97,Lists!$C$72:$R$232,COLUMNS(Lists!$C$69:N$69),0)*VLOOKUP(BN$3,Conversions!$B$12:$E$34,4,0)))</f>
        <v>0</v>
      </c>
      <c r="AK97" s="334">
        <f>IF($F97="",0,IF($F97="Weighted Average",$H97*VLOOKUP($D97&amp;" (Operation)",Lists!$C$72:$R$232,COLUMNS(Lists!$C$69:O$69),0)*VLOOKUP(BO$3,Conversions!$B$12:$E$34,4,0),$H97*VLOOKUP($F97,Lists!$C$72:$R$232,COLUMNS(Lists!$C$69:O$69),0)*VLOOKUP(BO$3,Conversions!$B$12:$E$34,4,0)))</f>
        <v>0</v>
      </c>
      <c r="AL97" s="334">
        <f>IF($F97="",0,IF($F97="Weighted Average",$H97*VLOOKUP($D97&amp;" (Operation)",Lists!$C$72:$R$232,COLUMNS(Lists!$C$69:P$69),0)*VLOOKUP(BP$3,Conversions!$B$12:$E$34,4,0),$H97*VLOOKUP($F97,Lists!$C$72:$R$232,COLUMNS(Lists!$C$69:P$69),0)*VLOOKUP(BP$3,Conversions!$B$12:$E$34,4,0)))</f>
        <v>0</v>
      </c>
      <c r="AM97" s="334">
        <f>IF($F97="",0,IF($F97="Weighted Average",$H97*VLOOKUP($D97&amp;" (Operation)",Lists!$C$72:$R$232,COLUMNS(Lists!$C$69:Q$69),0)*VLOOKUP(BQ$3,Conversions!$B$12:$E$34,4,0),$H97*VLOOKUP($F97,Lists!$C$72:$R$232,COLUMNS(Lists!$C$69:Q$69),0)*VLOOKUP(BQ$3,Conversions!$B$12:$E$34,4,0)))</f>
        <v>0</v>
      </c>
      <c r="AN97" s="334">
        <f>IF($F97="",0,IF($F97="Weighted Average",$H97*VLOOKUP($D97&amp;" (Operation)",Lists!$C$72:$R$232,COLUMNS(Lists!$C$69:R$69),0)*VLOOKUP(BR$3,Conversions!$B$12:$E$34,4,0),$H97*VLOOKUP($F97,Lists!$C$72:$R$232,COLUMNS(Lists!$C$69:R$69),0)*VLOOKUP(BR$3,Conversions!$B$12:$E$34,4,0)))</f>
        <v>0</v>
      </c>
      <c r="AO97" s="330">
        <f t="shared" si="103"/>
        <v>0</v>
      </c>
      <c r="AP97" s="333">
        <f>IF($F97="",0,IF($F97="Weighted Average",$I97*VLOOKUP($D97&amp;" (Disposal)",Lists!$C$72:$R$232,COLUMNS(Lists!$C$69:E$69),0)*VLOOKUP(BE$3,Conversions!$B$12:$E$34,4,0),$I97*VLOOKUP($F97,Lists!$C$72:$R$232,COLUMNS(Lists!$C$69:E$69),0)*VLOOKUP(BE$3,Conversions!$B$12:$E$34,4,0)))</f>
        <v>0</v>
      </c>
      <c r="AQ97" s="333">
        <f>IF($F97="",0,IF($F97="Weighted Average",$I97*VLOOKUP($D97&amp;" (Disposal)",Lists!$C$72:$R$232,COLUMNS(Lists!$C$69:F$69),0)*VLOOKUP(BF$3,Conversions!$B$12:$E$34,4,0),$I97*VLOOKUP($F97,Lists!$C$72:$R$232,COLUMNS(Lists!$C$69:F$69),0)*VLOOKUP(BF$3,Conversions!$B$12:$E$34,4,0)))</f>
        <v>0</v>
      </c>
      <c r="AR97" s="333">
        <f>IF($F97="",0,IF($F97="Weighted Average",$I97*VLOOKUP($D97&amp;" (Disposal)",Lists!$C$72:$R$232,COLUMNS(Lists!$C$69:G$69),0)*VLOOKUP(BG$3,Conversions!$B$12:$E$34,4,0),$I97*VLOOKUP($F97,Lists!$C$72:$R$232,COLUMNS(Lists!$C$69:G$69),0)*VLOOKUP(BG$3,Conversions!$B$12:$E$34,4,0)))</f>
        <v>0</v>
      </c>
      <c r="AS97" s="333">
        <f>IF($F97="",0,IF($F97="Weighted Average",$I97*VLOOKUP($D97&amp;" (Disposal)",Lists!$C$72:$R$232,COLUMNS(Lists!$C$69:H$69),0)*VLOOKUP(BH$3,Conversions!$B$12:$E$34,4,0),$I97*VLOOKUP($F97,Lists!$C$72:$R$232,COLUMNS(Lists!$C$69:H$69),0)*VLOOKUP(BH$3,Conversions!$B$12:$E$34,4,0)))</f>
        <v>0</v>
      </c>
      <c r="AT97" s="333">
        <f>IF($F97="",0,IF($F97="Weighted Average",$I97*VLOOKUP($D97&amp;" (Disposal)",Lists!$C$72:$R$232,COLUMNS(Lists!$C$69:I$69),0)*VLOOKUP(BI$3,Conversions!$B$12:$E$34,4,0),$I97*VLOOKUP($F97,Lists!$C$72:$R$232,COLUMNS(Lists!$C$69:I$69),0)*VLOOKUP(BI$3,Conversions!$B$12:$E$34,4,0)))</f>
        <v>0</v>
      </c>
      <c r="AU97" s="333">
        <f>IF($F97="",0,IF($F97="Weighted Average",$I97*VLOOKUP($D97&amp;" (Disposal)",Lists!$C$72:$R$232,COLUMNS(Lists!$C$69:J$69),0)*VLOOKUP(BJ$3,Conversions!$B$12:$E$34,4,0),$I97*VLOOKUP($F97,Lists!$C$72:$R$232,COLUMNS(Lists!$C$69:J$69),0)*VLOOKUP(BJ$3,Conversions!$B$12:$E$34,4,0)))</f>
        <v>0</v>
      </c>
      <c r="AV97" s="333">
        <f>IF($F97="",0,IF($F97="Weighted Average",$I97*VLOOKUP($D97&amp;" (Disposal)",Lists!$C$72:$R$232,COLUMNS(Lists!$C$69:K$69),0)*VLOOKUP(BK$3,Conversions!$B$12:$E$34,4,0),$I97*VLOOKUP($F97,Lists!$C$72:$R$232,COLUMNS(Lists!$C$69:K$69),0)*VLOOKUP(BK$3,Conversions!$B$12:$E$34,4,0)))</f>
        <v>0</v>
      </c>
      <c r="AW97" s="333">
        <f>IF($F97="",0,IF($F97="Weighted Average",$I97*VLOOKUP($D97&amp;" (Disposal)",Lists!$C$72:$R$232,COLUMNS(Lists!$C$69:L$69),0)*VLOOKUP(BL$3,Conversions!$B$12:$E$34,4,0),$I97*VLOOKUP($F97,Lists!$C$72:$R$232,COLUMNS(Lists!$C$69:L$69),0)*VLOOKUP(BL$3,Conversions!$B$12:$E$34,4,0)))</f>
        <v>0</v>
      </c>
      <c r="AX97" s="333">
        <f>IF($F97="",0,IF($F97="Weighted Average",$I97*VLOOKUP($D97&amp;" (Disposal)",Lists!$C$72:$R$232,COLUMNS(Lists!$C$69:M$69),0)*VLOOKUP(BM$3,Conversions!$B$12:$E$34,4,0),$I97*VLOOKUP($F97,Lists!$C$72:$R$232,COLUMNS(Lists!$C$69:M$69),0)*VLOOKUP(BM$3,Conversions!$B$12:$E$34,4,0)))</f>
        <v>0</v>
      </c>
      <c r="AY97" s="333">
        <f>IF($F97="",0,IF($F97="Weighted Average",$I97*VLOOKUP($D97&amp;" (Disposal)",Lists!$C$72:$R$232,COLUMNS(Lists!$C$69:N$69),0)*VLOOKUP(BN$3,Conversions!$B$12:$E$34,4,0),$I97*VLOOKUP($F97,Lists!$C$72:$R$232,COLUMNS(Lists!$C$69:N$69),0)*VLOOKUP(BN$3,Conversions!$B$12:$E$34,4,0)))</f>
        <v>0</v>
      </c>
      <c r="AZ97" s="333">
        <f>IF($F97="",0,IF($F97="Weighted Average",$I97*VLOOKUP($D97&amp;" (Disposal)",Lists!$C$72:$R$232,COLUMNS(Lists!$C$69:O$69),0)*VLOOKUP(BO$3,Conversions!$B$12:$E$34,4,0),$I97*VLOOKUP($F97,Lists!$C$72:$R$232,COLUMNS(Lists!$C$69:O$69),0)*VLOOKUP(BO$3,Conversions!$B$12:$E$34,4,0)))</f>
        <v>0</v>
      </c>
      <c r="BA97" s="333">
        <f>IF($F97="",0,IF($F97="Weighted Average",$I97*VLOOKUP($D97&amp;" (Disposal)",Lists!$C$72:$R$232,COLUMNS(Lists!$C$69:P$69),0)*VLOOKUP(BP$3,Conversions!$B$12:$E$34,4,0),$I97*VLOOKUP($F97,Lists!$C$72:$R$232,COLUMNS(Lists!$C$69:P$69),0)*VLOOKUP(BP$3,Conversions!$B$12:$E$34,4,0)))</f>
        <v>0</v>
      </c>
      <c r="BB97" s="333">
        <f>IF($F97="",0,IF($F97="Weighted Average",$I97*VLOOKUP($D97&amp;" (Disposal)",Lists!$C$72:$R$232,COLUMNS(Lists!$C$69:Q$69),0)*VLOOKUP(BQ$3,Conversions!$B$12:$E$34,4,0),$I97*VLOOKUP($F97,Lists!$C$72:$R$232,COLUMNS(Lists!$C$69:Q$69),0)*VLOOKUP(BQ$3,Conversions!$B$12:$E$34,4,0)))</f>
        <v>0</v>
      </c>
      <c r="BC97" s="333">
        <f>IF($F97="",0,IF($F97="Weighted Average",$I97*VLOOKUP($D97&amp;" (Disposal)",Lists!$C$72:$R$232,COLUMNS(Lists!$C$69:R$69),0)*VLOOKUP(BR$3,Conversions!$B$12:$E$34,4,0),$I97*VLOOKUP($F97,Lists!$C$72:$R$232,COLUMNS(Lists!$C$69:R$69),0)*VLOOKUP(BR$3,Conversions!$B$12:$E$34,4,0)))</f>
        <v>0</v>
      </c>
      <c r="BD97" s="333">
        <f t="shared" si="104"/>
        <v>0</v>
      </c>
      <c r="BE97" s="330">
        <f t="shared" si="105"/>
        <v>0</v>
      </c>
      <c r="BF97" s="330">
        <f t="shared" si="106"/>
        <v>0</v>
      </c>
      <c r="BG97" s="330">
        <f t="shared" si="107"/>
        <v>0</v>
      </c>
      <c r="BH97" s="330">
        <f t="shared" si="108"/>
        <v>0</v>
      </c>
      <c r="BI97" s="330">
        <f t="shared" si="109"/>
        <v>0</v>
      </c>
      <c r="BJ97" s="330">
        <f t="shared" si="110"/>
        <v>0</v>
      </c>
      <c r="BK97" s="330">
        <f t="shared" si="111"/>
        <v>0</v>
      </c>
      <c r="BL97" s="330">
        <f t="shared" si="112"/>
        <v>0</v>
      </c>
      <c r="BM97" s="330">
        <f t="shared" si="113"/>
        <v>0</v>
      </c>
      <c r="BN97" s="330">
        <f t="shared" si="114"/>
        <v>0</v>
      </c>
      <c r="BO97" s="330">
        <f t="shared" si="115"/>
        <v>0</v>
      </c>
      <c r="BP97" s="330">
        <f t="shared" si="116"/>
        <v>0</v>
      </c>
      <c r="BQ97" s="330">
        <f t="shared" si="117"/>
        <v>0</v>
      </c>
      <c r="BR97" s="330">
        <f t="shared" si="118"/>
        <v>0</v>
      </c>
      <c r="BS97" s="330">
        <f t="shared" si="119"/>
        <v>0</v>
      </c>
      <c r="BT97" s="329">
        <f t="shared" si="120"/>
        <v>0</v>
      </c>
      <c r="BU97" s="329">
        <f t="shared" si="120"/>
        <v>0</v>
      </c>
      <c r="BV97" s="329">
        <f t="shared" si="120"/>
        <v>0</v>
      </c>
      <c r="BW97" s="329">
        <f t="shared" si="120"/>
        <v>0</v>
      </c>
      <c r="BX97" s="329">
        <f t="shared" si="120"/>
        <v>0</v>
      </c>
      <c r="BY97" s="329">
        <f t="shared" si="120"/>
        <v>0</v>
      </c>
      <c r="BZ97" s="329">
        <f t="shared" si="120"/>
        <v>0</v>
      </c>
      <c r="CA97" s="329">
        <f t="shared" si="120"/>
        <v>0</v>
      </c>
      <c r="CB97" s="329">
        <f t="shared" si="120"/>
        <v>0</v>
      </c>
      <c r="CC97" s="329">
        <f t="shared" si="120"/>
        <v>0</v>
      </c>
      <c r="CD97" s="329">
        <f t="shared" si="120"/>
        <v>0</v>
      </c>
      <c r="CE97" s="329">
        <f t="shared" si="120"/>
        <v>0</v>
      </c>
      <c r="CF97" s="329">
        <f t="shared" si="120"/>
        <v>0</v>
      </c>
      <c r="CG97" s="329">
        <f t="shared" si="120"/>
        <v>0</v>
      </c>
      <c r="CH97" s="329">
        <f t="shared" si="120"/>
        <v>0</v>
      </c>
      <c r="CI97" s="329">
        <f t="shared" si="120"/>
        <v>0</v>
      </c>
      <c r="CJ97" s="331">
        <f t="shared" si="121"/>
        <v>0</v>
      </c>
      <c r="CK97" s="330">
        <f t="shared" si="122"/>
        <v>0</v>
      </c>
      <c r="CL97" s="330">
        <f t="shared" si="123"/>
        <v>0</v>
      </c>
      <c r="CM97" s="330">
        <f t="shared" si="124"/>
        <v>0</v>
      </c>
      <c r="CN97" s="330">
        <f t="shared" si="125"/>
        <v>0</v>
      </c>
      <c r="CO97" s="330">
        <f t="shared" si="126"/>
        <v>0</v>
      </c>
      <c r="CP97" s="330">
        <f t="shared" si="127"/>
        <v>0</v>
      </c>
      <c r="CQ97" s="330">
        <f t="shared" si="94"/>
        <v>0</v>
      </c>
      <c r="CR97" s="330">
        <f t="shared" si="128"/>
        <v>0</v>
      </c>
      <c r="CS97" s="330">
        <f t="shared" si="129"/>
        <v>0</v>
      </c>
      <c r="CT97" s="330">
        <f t="shared" si="130"/>
        <v>0</v>
      </c>
      <c r="CU97" s="330">
        <f t="shared" si="131"/>
        <v>0</v>
      </c>
      <c r="CV97" s="330">
        <f t="shared" si="131"/>
        <v>0</v>
      </c>
      <c r="CW97" s="330">
        <f t="shared" si="131"/>
        <v>0</v>
      </c>
      <c r="CX97" s="330">
        <f t="shared" si="131"/>
        <v>0</v>
      </c>
      <c r="CY97" s="330">
        <f t="shared" si="131"/>
        <v>0</v>
      </c>
      <c r="CZ97" s="330">
        <f t="shared" si="131"/>
        <v>0</v>
      </c>
      <c r="DA97" s="330">
        <f t="shared" si="131"/>
        <v>0</v>
      </c>
      <c r="DB97" s="330">
        <f t="shared" si="131"/>
        <v>0</v>
      </c>
      <c r="DC97" s="330">
        <f t="shared" si="131"/>
        <v>0</v>
      </c>
      <c r="DD97" s="330">
        <f t="shared" si="131"/>
        <v>0</v>
      </c>
      <c r="DE97" s="330">
        <f t="shared" si="132"/>
        <v>0</v>
      </c>
      <c r="DF97" s="330">
        <f t="shared" si="132"/>
        <v>0</v>
      </c>
      <c r="DG97" s="330">
        <f t="shared" si="132"/>
        <v>0</v>
      </c>
      <c r="DH97" s="330">
        <f t="shared" si="132"/>
        <v>0</v>
      </c>
      <c r="DI97" s="330">
        <f t="shared" si="132"/>
        <v>0</v>
      </c>
      <c r="DJ97" s="330">
        <f t="shared" si="132"/>
        <v>0</v>
      </c>
      <c r="DK97" s="330">
        <f t="shared" si="132"/>
        <v>0</v>
      </c>
      <c r="DL97" s="330">
        <f t="shared" si="132"/>
        <v>0</v>
      </c>
      <c r="DM97" s="330">
        <f t="shared" si="132"/>
        <v>0</v>
      </c>
      <c r="DN97" s="330">
        <f t="shared" si="132"/>
        <v>0</v>
      </c>
      <c r="DO97" s="330">
        <f t="shared" si="132"/>
        <v>0</v>
      </c>
      <c r="DP97" s="330">
        <f t="shared" si="133"/>
        <v>0</v>
      </c>
      <c r="DQ97" s="217"/>
      <c r="DR97" s="217"/>
      <c r="DS97" s="217"/>
      <c r="DT97" s="217"/>
    </row>
    <row r="98" spans="1:124" x14ac:dyDescent="0.3">
      <c r="A98" s="324"/>
      <c r="B98" s="221" t="s">
        <v>305</v>
      </c>
      <c r="C98" s="221" t="str">
        <f>IF(Screening!C28=0,"",Screening!C28)</f>
        <v/>
      </c>
      <c r="D98" s="221" t="str">
        <f>IF(Screening!D28=0,"",Screening!D28)</f>
        <v/>
      </c>
      <c r="E98" s="221" t="str">
        <f>IF(Screening!E28=0,"",Screening!E28)</f>
        <v/>
      </c>
      <c r="F98" s="221" t="str">
        <f>IF(Screening!F28=0,"",Screening!F28)</f>
        <v/>
      </c>
      <c r="G98" s="272">
        <f>Screening!G28*Screening!O28*Conversions!$C$4</f>
        <v>0</v>
      </c>
      <c r="H98" s="272">
        <f>Screening!H28*Screening!P28*Screening!I28*Conversions!$C$4</f>
        <v>0</v>
      </c>
      <c r="I98" s="272">
        <f>Screening!J28*Screening!Q28*(1-Screening!R28)*Conversions!$C$4</f>
        <v>0</v>
      </c>
      <c r="J98" s="325">
        <f>IF(Screening!S28=0,0,Screening!S28)</f>
        <v>0</v>
      </c>
      <c r="K98" s="465"/>
      <c r="L98" s="333">
        <f>IF($F98="",0,IF($F98="Weighted Average",$G98*VLOOKUP($D98&amp;" (Install)",Lists!$C$72:$R$232,COLUMNS(Lists!$C$69:E$69),0)*VLOOKUP(BE$3,Conversions!$B$12:$E$34,4,0),$G98*VLOOKUP($F98,Lists!$C$72:$R$232,COLUMNS(Lists!$C$69:E$69),0)*VLOOKUP(BE$3,Conversions!$B$12:$E$34,4,0)))</f>
        <v>0</v>
      </c>
      <c r="M98" s="333">
        <f>IF($F98="",0,IF($F98="Weighted Average",$G98*VLOOKUP($D98&amp;" (Install)",Lists!$C$72:$R$232,COLUMNS(Lists!$C$69:F$69),0)*VLOOKUP(BF$3,Conversions!$B$12:$E$34,4,0),$G98*VLOOKUP($F98,Lists!$C$72:$R$232,COLUMNS(Lists!$C$69:F$69),0)*VLOOKUP(BF$3,Conversions!$B$12:$E$34,4,0)))</f>
        <v>0</v>
      </c>
      <c r="N98" s="333">
        <f>IF($F98="",0,IF($F98="Weighted Average",$G98*VLOOKUP($D98&amp;" (Install)",Lists!$C$72:$R$232,COLUMNS(Lists!$C$69:G$69),0)*VLOOKUP(BG$3,Conversions!$B$12:$E$34,4,0),$G98*VLOOKUP($F98,Lists!$C$72:$R$232,COLUMNS(Lists!$C$69:G$69),0)*VLOOKUP(BG$3,Conversions!$B$12:$E$34,4,0)))</f>
        <v>0</v>
      </c>
      <c r="O98" s="333">
        <f>IF($F98="",0,IF($F98="Weighted Average",$G98*VLOOKUP($D98&amp;" (Install)",Lists!$C$72:$R$232,COLUMNS(Lists!$C$69:H$69),0)*VLOOKUP(BH$3,Conversions!$B$12:$E$34,4,0),$G98*VLOOKUP($F98,Lists!$C$72:$R$232,COLUMNS(Lists!$C$69:H$69),0)*VLOOKUP(BH$3,Conversions!$B$12:$E$34,4,0)))</f>
        <v>0</v>
      </c>
      <c r="P98" s="333">
        <f>IF($F98="",0,IF($F98="Weighted Average",$G98*VLOOKUP($D98&amp;" (Install)",Lists!$C$72:$R$232,COLUMNS(Lists!$C$69:I$69),0)*VLOOKUP(BI$3,Conversions!$B$12:$E$34,4,0),$G98*VLOOKUP($F98,Lists!$C$72:$R$232,COLUMNS(Lists!$C$69:I$69),0)*VLOOKUP(BI$3,Conversions!$B$12:$E$34,4,0)))</f>
        <v>0</v>
      </c>
      <c r="Q98" s="333">
        <f>IF($F98="",0,IF($F98="Weighted Average",$G98*VLOOKUP($D98&amp;" (Install)",Lists!$C$72:$R$232,COLUMNS(Lists!$C$69:J$69),0)*VLOOKUP(BJ$3,Conversions!$B$12:$E$34,4,0),$G98*VLOOKUP($F98,Lists!$C$72:$R$232,COLUMNS(Lists!$C$69:J$69),0)*VLOOKUP(BJ$3,Conversions!$B$12:$E$34,4,0)))</f>
        <v>0</v>
      </c>
      <c r="R98" s="333">
        <f>IF($F98="",0,IF($F98="Weighted Average",$G98*VLOOKUP($D98&amp;" (Install)",Lists!$C$72:$R$232,COLUMNS(Lists!$C$69:K$69),0)*VLOOKUP(BK$3,Conversions!$B$12:$E$34,4,0),$G98*VLOOKUP($F98,Lists!$C$72:$R$232,COLUMNS(Lists!$C$69:K$69),0)*VLOOKUP(BK$3,Conversions!$B$12:$E$34,4,0)))</f>
        <v>0</v>
      </c>
      <c r="S98" s="333">
        <f>IF($F98="",0,IF($F98="Weighted Average",$G98*VLOOKUP($D98&amp;" (Install)",Lists!$C$72:$R$232,COLUMNS(Lists!$C$69:L$69),0)*VLOOKUP(BL$3,Conversions!$B$12:$E$34,4,0),$G98*VLOOKUP($F98,Lists!$C$72:$R$232,COLUMNS(Lists!$C$69:L$69),0)*VLOOKUP(BL$3,Conversions!$B$12:$E$34,4,0)))</f>
        <v>0</v>
      </c>
      <c r="T98" s="333">
        <f>IF($F98="",0,IF($F98="Weighted Average",$G98*VLOOKUP($D98&amp;" (Install)",Lists!$C$72:$R$232,COLUMNS(Lists!$C$69:M$69),0)*VLOOKUP(BM$3,Conversions!$B$12:$E$34,4,0),$G98*VLOOKUP($F98,Lists!$C$72:$R$232,COLUMNS(Lists!$C$69:M$69),0)*VLOOKUP(BM$3,Conversions!$B$12:$E$34,4,0)))</f>
        <v>0</v>
      </c>
      <c r="U98" s="333">
        <f>IF($F98="",0,IF($F98="Weighted Average",$G98*VLOOKUP($D98&amp;" (Install)",Lists!$C$72:$R$232,COLUMNS(Lists!$C$69:N$69),0)*VLOOKUP(BN$3,Conversions!$B$12:$E$34,4,0),$G98*VLOOKUP($F98,Lists!$C$72:$R$232,COLUMNS(Lists!$C$69:N$69),0)*VLOOKUP(BN$3,Conversions!$B$12:$E$34,4,0)))</f>
        <v>0</v>
      </c>
      <c r="V98" s="333">
        <f>IF($F98="",0,IF($F98="Weighted Average",$G98*VLOOKUP($D98&amp;" (Install)",Lists!$C$72:$R$232,COLUMNS(Lists!$C$69:O$69),0)*VLOOKUP(BO$3,Conversions!$B$12:$E$34,4,0),$G98*VLOOKUP($F98,Lists!$C$72:$R$232,COLUMNS(Lists!$C$69:O$69),0)*VLOOKUP(BO$3,Conversions!$B$12:$E$34,4,0)))</f>
        <v>0</v>
      </c>
      <c r="W98" s="333">
        <f>IF($F98="",0,IF($F98="Weighted Average",$G98*VLOOKUP($D98&amp;" (Install)",Lists!$C$72:$R$232,COLUMNS(Lists!$C$69:P$69),0)*VLOOKUP(BP$3,Conversions!$B$12:$E$34,4,0),$G98*VLOOKUP($F98,Lists!$C$72:$R$232,COLUMNS(Lists!$C$69:P$69),0)*VLOOKUP(BP$3,Conversions!$B$12:$E$34,4,0)))</f>
        <v>0</v>
      </c>
      <c r="X98" s="333">
        <f>IF($F98="",0,IF($F98="Weighted Average",$G98*VLOOKUP($D98&amp;" (Install)",Lists!$C$72:$R$232,COLUMNS(Lists!$C$69:Q$69),0)*VLOOKUP(BQ$3,Conversions!$B$12:$E$34,4,0),$G98*VLOOKUP($F98,Lists!$C$72:$R$232,COLUMNS(Lists!$C$69:Q$69),0)*VLOOKUP(BQ$3,Conversions!$B$12:$E$34,4,0)))</f>
        <v>0</v>
      </c>
      <c r="Y98" s="333">
        <f>IF($F98="",0,IF($F98="Weighted Average",$G98*VLOOKUP($D98&amp;" (Install)",Lists!$C$72:$R$232,COLUMNS(Lists!$C$69:R$69),0)*VLOOKUP(BR$3,Conversions!$B$12:$E$34,4,0),$G98*VLOOKUP($F98,Lists!$C$72:$R$232,COLUMNS(Lists!$C$69:R$69),0)*VLOOKUP(BR$3,Conversions!$B$12:$E$34,4,0)))</f>
        <v>0</v>
      </c>
      <c r="Z98" s="325">
        <f t="shared" si="102"/>
        <v>0</v>
      </c>
      <c r="AA98" s="334">
        <f>IF($F98="",0,IF($F98="Weighted Average",$H98*VLOOKUP($D98&amp;" (Operation)",Lists!$C$72:$R$232,COLUMNS(Lists!$C$69:E$69),0)*VLOOKUP(BE$3,Conversions!$B$12:$E$34,4,0),$H98*VLOOKUP($F98,Lists!$C$72:$R$232,COLUMNS(Lists!$C$69:E$69),0)*VLOOKUP(BE$3,Conversions!$B$12:$E$34,4,0)))</f>
        <v>0</v>
      </c>
      <c r="AB98" s="334">
        <f>IF($F98="",0,IF($F98="Weighted Average",$H98*VLOOKUP($D98&amp;" (Operation)",Lists!$C$72:$R$232,COLUMNS(Lists!$C$69:F$69),0)*VLOOKUP(BF$3,Conversions!$B$12:$E$34,4,0),$H98*VLOOKUP($F98,Lists!$C$72:$R$232,COLUMNS(Lists!$C$69:F$69),0)*VLOOKUP(BF$3,Conversions!$B$12:$E$34,4,0)))</f>
        <v>0</v>
      </c>
      <c r="AC98" s="334">
        <f>IF($F98="",0,IF($F98="Weighted Average",$H98*VLOOKUP($D98&amp;" (Operation)",Lists!$C$72:$R$232,COLUMNS(Lists!$C$69:G$69),0)*VLOOKUP(BG$3,Conversions!$B$12:$E$34,4,0),$H98*VLOOKUP($F98,Lists!$C$72:$R$232,COLUMNS(Lists!$C$69:G$69),0)*VLOOKUP(BG$3,Conversions!$B$12:$E$34,4,0)))</f>
        <v>0</v>
      </c>
      <c r="AD98" s="334">
        <f>IF($F98="",0,IF($F98="Weighted Average",$H98*VLOOKUP($D98&amp;" (Operation)",Lists!$C$72:$R$232,COLUMNS(Lists!$C$69:H$69),0)*VLOOKUP(BH$3,Conversions!$B$12:$E$34,4,0),$H98*VLOOKUP($F98,Lists!$C$72:$R$232,COLUMNS(Lists!$C$69:H$69),0)*VLOOKUP(BH$3,Conversions!$B$12:$E$34,4,0)))</f>
        <v>0</v>
      </c>
      <c r="AE98" s="334">
        <f>IF($F98="",0,IF($F98="Weighted Average",$H98*VLOOKUP($D98&amp;" (Operation)",Lists!$C$72:$R$232,COLUMNS(Lists!$C$69:I$69),0)*VLOOKUP(BI$3,Conversions!$B$12:$E$34,4,0),$H98*VLOOKUP($F98,Lists!$C$72:$R$232,COLUMNS(Lists!$C$69:I$69),0)*VLOOKUP(BI$3,Conversions!$B$12:$E$34,4,0)))</f>
        <v>0</v>
      </c>
      <c r="AF98" s="334">
        <f>IF($F98="",0,IF($F98="Weighted Average",$H98*VLOOKUP($D98&amp;" (Operation)",Lists!$C$72:$R$232,COLUMNS(Lists!$C$69:J$69),0)*VLOOKUP(BJ$3,Conversions!$B$12:$E$34,4,0),$H98*VLOOKUP($F98,Lists!$C$72:$R$232,COLUMNS(Lists!$C$69:J$69),0)*VLOOKUP(BJ$3,Conversions!$B$12:$E$34,4,0)))</f>
        <v>0</v>
      </c>
      <c r="AG98" s="334">
        <f>IF($F98="",0,IF($F98="Weighted Average",$H98*VLOOKUP($D98&amp;" (Operation)",Lists!$C$72:$R$232,COLUMNS(Lists!$C$69:K$69),0)*VLOOKUP(BK$3,Conversions!$B$12:$E$34,4,0),$H98*VLOOKUP($F98,Lists!$C$72:$R$232,COLUMNS(Lists!$C$69:K$69),0)*VLOOKUP(BK$3,Conversions!$B$12:$E$34,4,0)))</f>
        <v>0</v>
      </c>
      <c r="AH98" s="334">
        <f>IF($F98="",0,IF($F98="Weighted Average",$H98*VLOOKUP($D98&amp;" (Operation)",Lists!$C$72:$R$232,COLUMNS(Lists!$C$69:L$69),0)*VLOOKUP(BL$3,Conversions!$B$12:$E$34,4,0),$H98*VLOOKUP($F98,Lists!$C$72:$R$232,COLUMNS(Lists!$C$69:L$69),0)*VLOOKUP(BL$3,Conversions!$B$12:$E$34,4,0)))</f>
        <v>0</v>
      </c>
      <c r="AI98" s="334">
        <f>IF($F98="",0,IF($F98="Weighted Average",$H98*VLOOKUP($D98&amp;" (Operation)",Lists!$C$72:$R$232,COLUMNS(Lists!$C$69:M$69),0)*VLOOKUP(BM$3,Conversions!$B$12:$E$34,4,0),$H98*VLOOKUP($F98,Lists!$C$72:$R$232,COLUMNS(Lists!$C$69:M$69),0)*VLOOKUP(BM$3,Conversions!$B$12:$E$34,4,0)))</f>
        <v>0</v>
      </c>
      <c r="AJ98" s="334">
        <f>IF($F98="",0,IF($F98="Weighted Average",$H98*VLOOKUP($D98&amp;" (Operation)",Lists!$C$72:$R$232,COLUMNS(Lists!$C$69:N$69),0)*VLOOKUP(BN$3,Conversions!$B$12:$E$34,4,0),$H98*VLOOKUP($F98,Lists!$C$72:$R$232,COLUMNS(Lists!$C$69:N$69),0)*VLOOKUP(BN$3,Conversions!$B$12:$E$34,4,0)))</f>
        <v>0</v>
      </c>
      <c r="AK98" s="334">
        <f>IF($F98="",0,IF($F98="Weighted Average",$H98*VLOOKUP($D98&amp;" (Operation)",Lists!$C$72:$R$232,COLUMNS(Lists!$C$69:O$69),0)*VLOOKUP(BO$3,Conversions!$B$12:$E$34,4,0),$H98*VLOOKUP($F98,Lists!$C$72:$R$232,COLUMNS(Lists!$C$69:O$69),0)*VLOOKUP(BO$3,Conversions!$B$12:$E$34,4,0)))</f>
        <v>0</v>
      </c>
      <c r="AL98" s="334">
        <f>IF($F98="",0,IF($F98="Weighted Average",$H98*VLOOKUP($D98&amp;" (Operation)",Lists!$C$72:$R$232,COLUMNS(Lists!$C$69:P$69),0)*VLOOKUP(BP$3,Conversions!$B$12:$E$34,4,0),$H98*VLOOKUP($F98,Lists!$C$72:$R$232,COLUMNS(Lists!$C$69:P$69),0)*VLOOKUP(BP$3,Conversions!$B$12:$E$34,4,0)))</f>
        <v>0</v>
      </c>
      <c r="AM98" s="334">
        <f>IF($F98="",0,IF($F98="Weighted Average",$H98*VLOOKUP($D98&amp;" (Operation)",Lists!$C$72:$R$232,COLUMNS(Lists!$C$69:Q$69),0)*VLOOKUP(BQ$3,Conversions!$B$12:$E$34,4,0),$H98*VLOOKUP($F98,Lists!$C$72:$R$232,COLUMNS(Lists!$C$69:Q$69),0)*VLOOKUP(BQ$3,Conversions!$B$12:$E$34,4,0)))</f>
        <v>0</v>
      </c>
      <c r="AN98" s="334">
        <f>IF($F98="",0,IF($F98="Weighted Average",$H98*VLOOKUP($D98&amp;" (Operation)",Lists!$C$72:$R$232,COLUMNS(Lists!$C$69:R$69),0)*VLOOKUP(BR$3,Conversions!$B$12:$E$34,4,0),$H98*VLOOKUP($F98,Lists!$C$72:$R$232,COLUMNS(Lists!$C$69:R$69),0)*VLOOKUP(BR$3,Conversions!$B$12:$E$34,4,0)))</f>
        <v>0</v>
      </c>
      <c r="AO98" s="330">
        <f t="shared" si="103"/>
        <v>0</v>
      </c>
      <c r="AP98" s="333">
        <f>IF($F98="",0,IF($F98="Weighted Average",$I98*VLOOKUP($D98&amp;" (Disposal)",Lists!$C$72:$R$232,COLUMNS(Lists!$C$69:E$69),0)*VLOOKUP(BE$3,Conversions!$B$12:$E$34,4,0),$I98*VLOOKUP($F98,Lists!$C$72:$R$232,COLUMNS(Lists!$C$69:E$69),0)*VLOOKUP(BE$3,Conversions!$B$12:$E$34,4,0)))</f>
        <v>0</v>
      </c>
      <c r="AQ98" s="333">
        <f>IF($F98="",0,IF($F98="Weighted Average",$I98*VLOOKUP($D98&amp;" (Disposal)",Lists!$C$72:$R$232,COLUMNS(Lists!$C$69:F$69),0)*VLOOKUP(BF$3,Conversions!$B$12:$E$34,4,0),$I98*VLOOKUP($F98,Lists!$C$72:$R$232,COLUMNS(Lists!$C$69:F$69),0)*VLOOKUP(BF$3,Conversions!$B$12:$E$34,4,0)))</f>
        <v>0</v>
      </c>
      <c r="AR98" s="333">
        <f>IF($F98="",0,IF($F98="Weighted Average",$I98*VLOOKUP($D98&amp;" (Disposal)",Lists!$C$72:$R$232,COLUMNS(Lists!$C$69:G$69),0)*VLOOKUP(BG$3,Conversions!$B$12:$E$34,4,0),$I98*VLOOKUP($F98,Lists!$C$72:$R$232,COLUMNS(Lists!$C$69:G$69),0)*VLOOKUP(BG$3,Conversions!$B$12:$E$34,4,0)))</f>
        <v>0</v>
      </c>
      <c r="AS98" s="333">
        <f>IF($F98="",0,IF($F98="Weighted Average",$I98*VLOOKUP($D98&amp;" (Disposal)",Lists!$C$72:$R$232,COLUMNS(Lists!$C$69:H$69),0)*VLOOKUP(BH$3,Conversions!$B$12:$E$34,4,0),$I98*VLOOKUP($F98,Lists!$C$72:$R$232,COLUMNS(Lists!$C$69:H$69),0)*VLOOKUP(BH$3,Conversions!$B$12:$E$34,4,0)))</f>
        <v>0</v>
      </c>
      <c r="AT98" s="333">
        <f>IF($F98="",0,IF($F98="Weighted Average",$I98*VLOOKUP($D98&amp;" (Disposal)",Lists!$C$72:$R$232,COLUMNS(Lists!$C$69:I$69),0)*VLOOKUP(BI$3,Conversions!$B$12:$E$34,4,0),$I98*VLOOKUP($F98,Lists!$C$72:$R$232,COLUMNS(Lists!$C$69:I$69),0)*VLOOKUP(BI$3,Conversions!$B$12:$E$34,4,0)))</f>
        <v>0</v>
      </c>
      <c r="AU98" s="333">
        <f>IF($F98="",0,IF($F98="Weighted Average",$I98*VLOOKUP($D98&amp;" (Disposal)",Lists!$C$72:$R$232,COLUMNS(Lists!$C$69:J$69),0)*VLOOKUP(BJ$3,Conversions!$B$12:$E$34,4,0),$I98*VLOOKUP($F98,Lists!$C$72:$R$232,COLUMNS(Lists!$C$69:J$69),0)*VLOOKUP(BJ$3,Conversions!$B$12:$E$34,4,0)))</f>
        <v>0</v>
      </c>
      <c r="AV98" s="333">
        <f>IF($F98="",0,IF($F98="Weighted Average",$I98*VLOOKUP($D98&amp;" (Disposal)",Lists!$C$72:$R$232,COLUMNS(Lists!$C$69:K$69),0)*VLOOKUP(BK$3,Conversions!$B$12:$E$34,4,0),$I98*VLOOKUP($F98,Lists!$C$72:$R$232,COLUMNS(Lists!$C$69:K$69),0)*VLOOKUP(BK$3,Conversions!$B$12:$E$34,4,0)))</f>
        <v>0</v>
      </c>
      <c r="AW98" s="333">
        <f>IF($F98="",0,IF($F98="Weighted Average",$I98*VLOOKUP($D98&amp;" (Disposal)",Lists!$C$72:$R$232,COLUMNS(Lists!$C$69:L$69),0)*VLOOKUP(BL$3,Conversions!$B$12:$E$34,4,0),$I98*VLOOKUP($F98,Lists!$C$72:$R$232,COLUMNS(Lists!$C$69:L$69),0)*VLOOKUP(BL$3,Conversions!$B$12:$E$34,4,0)))</f>
        <v>0</v>
      </c>
      <c r="AX98" s="333">
        <f>IF($F98="",0,IF($F98="Weighted Average",$I98*VLOOKUP($D98&amp;" (Disposal)",Lists!$C$72:$R$232,COLUMNS(Lists!$C$69:M$69),0)*VLOOKUP(BM$3,Conversions!$B$12:$E$34,4,0),$I98*VLOOKUP($F98,Lists!$C$72:$R$232,COLUMNS(Lists!$C$69:M$69),0)*VLOOKUP(BM$3,Conversions!$B$12:$E$34,4,0)))</f>
        <v>0</v>
      </c>
      <c r="AY98" s="333">
        <f>IF($F98="",0,IF($F98="Weighted Average",$I98*VLOOKUP($D98&amp;" (Disposal)",Lists!$C$72:$R$232,COLUMNS(Lists!$C$69:N$69),0)*VLOOKUP(BN$3,Conversions!$B$12:$E$34,4,0),$I98*VLOOKUP($F98,Lists!$C$72:$R$232,COLUMNS(Lists!$C$69:N$69),0)*VLOOKUP(BN$3,Conversions!$B$12:$E$34,4,0)))</f>
        <v>0</v>
      </c>
      <c r="AZ98" s="333">
        <f>IF($F98="",0,IF($F98="Weighted Average",$I98*VLOOKUP($D98&amp;" (Disposal)",Lists!$C$72:$R$232,COLUMNS(Lists!$C$69:O$69),0)*VLOOKUP(BO$3,Conversions!$B$12:$E$34,4,0),$I98*VLOOKUP($F98,Lists!$C$72:$R$232,COLUMNS(Lists!$C$69:O$69),0)*VLOOKUP(BO$3,Conversions!$B$12:$E$34,4,0)))</f>
        <v>0</v>
      </c>
      <c r="BA98" s="333">
        <f>IF($F98="",0,IF($F98="Weighted Average",$I98*VLOOKUP($D98&amp;" (Disposal)",Lists!$C$72:$R$232,COLUMNS(Lists!$C$69:P$69),0)*VLOOKUP(BP$3,Conversions!$B$12:$E$34,4,0),$I98*VLOOKUP($F98,Lists!$C$72:$R$232,COLUMNS(Lists!$C$69:P$69),0)*VLOOKUP(BP$3,Conversions!$B$12:$E$34,4,0)))</f>
        <v>0</v>
      </c>
      <c r="BB98" s="333">
        <f>IF($F98="",0,IF($F98="Weighted Average",$I98*VLOOKUP($D98&amp;" (Disposal)",Lists!$C$72:$R$232,COLUMNS(Lists!$C$69:Q$69),0)*VLOOKUP(BQ$3,Conversions!$B$12:$E$34,4,0),$I98*VLOOKUP($F98,Lists!$C$72:$R$232,COLUMNS(Lists!$C$69:Q$69),0)*VLOOKUP(BQ$3,Conversions!$B$12:$E$34,4,0)))</f>
        <v>0</v>
      </c>
      <c r="BC98" s="333">
        <f>IF($F98="",0,IF($F98="Weighted Average",$I98*VLOOKUP($D98&amp;" (Disposal)",Lists!$C$72:$R$232,COLUMNS(Lists!$C$69:R$69),0)*VLOOKUP(BR$3,Conversions!$B$12:$E$34,4,0),$I98*VLOOKUP($F98,Lists!$C$72:$R$232,COLUMNS(Lists!$C$69:R$69),0)*VLOOKUP(BR$3,Conversions!$B$12:$E$34,4,0)))</f>
        <v>0</v>
      </c>
      <c r="BD98" s="333">
        <f t="shared" si="104"/>
        <v>0</v>
      </c>
      <c r="BE98" s="330">
        <f t="shared" si="105"/>
        <v>0</v>
      </c>
      <c r="BF98" s="330">
        <f t="shared" si="106"/>
        <v>0</v>
      </c>
      <c r="BG98" s="330">
        <f t="shared" si="107"/>
        <v>0</v>
      </c>
      <c r="BH98" s="330">
        <f t="shared" si="108"/>
        <v>0</v>
      </c>
      <c r="BI98" s="330">
        <f t="shared" si="109"/>
        <v>0</v>
      </c>
      <c r="BJ98" s="330">
        <f t="shared" si="110"/>
        <v>0</v>
      </c>
      <c r="BK98" s="330">
        <f t="shared" si="111"/>
        <v>0</v>
      </c>
      <c r="BL98" s="330">
        <f t="shared" si="112"/>
        <v>0</v>
      </c>
      <c r="BM98" s="330">
        <f t="shared" si="113"/>
        <v>0</v>
      </c>
      <c r="BN98" s="330">
        <f t="shared" si="114"/>
        <v>0</v>
      </c>
      <c r="BO98" s="330">
        <f t="shared" si="115"/>
        <v>0</v>
      </c>
      <c r="BP98" s="330">
        <f t="shared" si="116"/>
        <v>0</v>
      </c>
      <c r="BQ98" s="330">
        <f t="shared" si="117"/>
        <v>0</v>
      </c>
      <c r="BR98" s="330">
        <f t="shared" si="118"/>
        <v>0</v>
      </c>
      <c r="BS98" s="330">
        <f t="shared" si="119"/>
        <v>0</v>
      </c>
      <c r="BT98" s="329">
        <f t="shared" si="120"/>
        <v>0</v>
      </c>
      <c r="BU98" s="329">
        <f t="shared" si="120"/>
        <v>0</v>
      </c>
      <c r="BV98" s="329">
        <f t="shared" si="120"/>
        <v>0</v>
      </c>
      <c r="BW98" s="329">
        <f t="shared" si="120"/>
        <v>0</v>
      </c>
      <c r="BX98" s="329">
        <f t="shared" si="120"/>
        <v>0</v>
      </c>
      <c r="BY98" s="329">
        <f t="shared" si="120"/>
        <v>0</v>
      </c>
      <c r="BZ98" s="329">
        <f t="shared" si="120"/>
        <v>0</v>
      </c>
      <c r="CA98" s="329">
        <f t="shared" si="120"/>
        <v>0</v>
      </c>
      <c r="CB98" s="329">
        <f t="shared" si="120"/>
        <v>0</v>
      </c>
      <c r="CC98" s="329">
        <f t="shared" si="120"/>
        <v>0</v>
      </c>
      <c r="CD98" s="329">
        <f t="shared" si="120"/>
        <v>0</v>
      </c>
      <c r="CE98" s="329">
        <f t="shared" si="120"/>
        <v>0</v>
      </c>
      <c r="CF98" s="329">
        <f t="shared" si="120"/>
        <v>0</v>
      </c>
      <c r="CG98" s="329">
        <f t="shared" si="120"/>
        <v>0</v>
      </c>
      <c r="CH98" s="329">
        <f t="shared" si="120"/>
        <v>0</v>
      </c>
      <c r="CI98" s="329">
        <f t="shared" si="120"/>
        <v>0</v>
      </c>
      <c r="CJ98" s="331">
        <f t="shared" si="121"/>
        <v>0</v>
      </c>
      <c r="CK98" s="330">
        <f t="shared" si="122"/>
        <v>0</v>
      </c>
      <c r="CL98" s="330">
        <f t="shared" si="123"/>
        <v>0</v>
      </c>
      <c r="CM98" s="330">
        <f t="shared" si="124"/>
        <v>0</v>
      </c>
      <c r="CN98" s="330">
        <f t="shared" si="125"/>
        <v>0</v>
      </c>
      <c r="CO98" s="330">
        <f t="shared" si="126"/>
        <v>0</v>
      </c>
      <c r="CP98" s="330">
        <f t="shared" si="127"/>
        <v>0</v>
      </c>
      <c r="CQ98" s="330">
        <f t="shared" si="94"/>
        <v>0</v>
      </c>
      <c r="CR98" s="330">
        <f t="shared" si="128"/>
        <v>0</v>
      </c>
      <c r="CS98" s="330">
        <f t="shared" si="129"/>
        <v>0</v>
      </c>
      <c r="CT98" s="330">
        <f t="shared" si="130"/>
        <v>0</v>
      </c>
      <c r="CU98" s="330">
        <f t="shared" si="131"/>
        <v>0</v>
      </c>
      <c r="CV98" s="330">
        <f t="shared" si="131"/>
        <v>0</v>
      </c>
      <c r="CW98" s="330">
        <f t="shared" si="131"/>
        <v>0</v>
      </c>
      <c r="CX98" s="330">
        <f t="shared" si="131"/>
        <v>0</v>
      </c>
      <c r="CY98" s="330">
        <f t="shared" si="131"/>
        <v>0</v>
      </c>
      <c r="CZ98" s="330">
        <f t="shared" si="131"/>
        <v>0</v>
      </c>
      <c r="DA98" s="330">
        <f t="shared" si="131"/>
        <v>0</v>
      </c>
      <c r="DB98" s="330">
        <f t="shared" si="131"/>
        <v>0</v>
      </c>
      <c r="DC98" s="330">
        <f t="shared" si="131"/>
        <v>0</v>
      </c>
      <c r="DD98" s="330">
        <f t="shared" si="131"/>
        <v>0</v>
      </c>
      <c r="DE98" s="330">
        <f t="shared" si="132"/>
        <v>0</v>
      </c>
      <c r="DF98" s="330">
        <f t="shared" si="132"/>
        <v>0</v>
      </c>
      <c r="DG98" s="330">
        <f t="shared" si="132"/>
        <v>0</v>
      </c>
      <c r="DH98" s="330">
        <f t="shared" si="132"/>
        <v>0</v>
      </c>
      <c r="DI98" s="330">
        <f t="shared" si="132"/>
        <v>0</v>
      </c>
      <c r="DJ98" s="330">
        <f t="shared" si="132"/>
        <v>0</v>
      </c>
      <c r="DK98" s="330">
        <f t="shared" si="132"/>
        <v>0</v>
      </c>
      <c r="DL98" s="330">
        <f t="shared" si="132"/>
        <v>0</v>
      </c>
      <c r="DM98" s="330">
        <f t="shared" si="132"/>
        <v>0</v>
      </c>
      <c r="DN98" s="330">
        <f t="shared" si="132"/>
        <v>0</v>
      </c>
      <c r="DO98" s="330">
        <f t="shared" si="132"/>
        <v>0</v>
      </c>
      <c r="DP98" s="330">
        <f t="shared" si="133"/>
        <v>0</v>
      </c>
      <c r="DQ98" s="217"/>
      <c r="DR98" s="217"/>
      <c r="DS98" s="217"/>
      <c r="DT98" s="217"/>
    </row>
    <row r="99" spans="1:124" x14ac:dyDescent="0.3">
      <c r="A99" s="324"/>
      <c r="B99" s="221" t="s">
        <v>305</v>
      </c>
      <c r="C99" s="221" t="str">
        <f>IF(Screening!C29=0,"",Screening!C29)</f>
        <v/>
      </c>
      <c r="D99" s="221" t="str">
        <f>IF(Screening!D29=0,"",Screening!D29)</f>
        <v/>
      </c>
      <c r="E99" s="221" t="str">
        <f>IF(Screening!E29=0,"",Screening!E29)</f>
        <v/>
      </c>
      <c r="F99" s="221" t="str">
        <f>IF(Screening!F29=0,"",Screening!F29)</f>
        <v/>
      </c>
      <c r="G99" s="272">
        <f>Screening!G29*Screening!O29*Conversions!$C$4</f>
        <v>0</v>
      </c>
      <c r="H99" s="272">
        <f>Screening!H29*Screening!P29*Screening!I29*Conversions!$C$4</f>
        <v>0</v>
      </c>
      <c r="I99" s="272">
        <f>Screening!J29*Screening!Q29*(1-Screening!R29)*Conversions!$C$4</f>
        <v>0</v>
      </c>
      <c r="J99" s="325">
        <f>IF(Screening!S29=0,0,Screening!S29)</f>
        <v>0</v>
      </c>
      <c r="K99" s="465"/>
      <c r="L99" s="333">
        <f>IF($F99="",0,IF($F99="Weighted Average",$G99*VLOOKUP($D99&amp;" (Install)",Lists!$C$72:$R$232,COLUMNS(Lists!$C$69:E$69),0)*VLOOKUP(BE$3,Conversions!$B$12:$E$34,4,0),$G99*VLOOKUP($F99,Lists!$C$72:$R$232,COLUMNS(Lists!$C$69:E$69),0)*VLOOKUP(BE$3,Conversions!$B$12:$E$34,4,0)))</f>
        <v>0</v>
      </c>
      <c r="M99" s="333">
        <f>IF($F99="",0,IF($F99="Weighted Average",$G99*VLOOKUP($D99&amp;" (Install)",Lists!$C$72:$R$232,COLUMNS(Lists!$C$69:F$69),0)*VLOOKUP(BF$3,Conversions!$B$12:$E$34,4,0),$G99*VLOOKUP($F99,Lists!$C$72:$R$232,COLUMNS(Lists!$C$69:F$69),0)*VLOOKUP(BF$3,Conversions!$B$12:$E$34,4,0)))</f>
        <v>0</v>
      </c>
      <c r="N99" s="333">
        <f>IF($F99="",0,IF($F99="Weighted Average",$G99*VLOOKUP($D99&amp;" (Install)",Lists!$C$72:$R$232,COLUMNS(Lists!$C$69:G$69),0)*VLOOKUP(BG$3,Conversions!$B$12:$E$34,4,0),$G99*VLOOKUP($F99,Lists!$C$72:$R$232,COLUMNS(Lists!$C$69:G$69),0)*VLOOKUP(BG$3,Conversions!$B$12:$E$34,4,0)))</f>
        <v>0</v>
      </c>
      <c r="O99" s="333">
        <f>IF($F99="",0,IF($F99="Weighted Average",$G99*VLOOKUP($D99&amp;" (Install)",Lists!$C$72:$R$232,COLUMNS(Lists!$C$69:H$69),0)*VLOOKUP(BH$3,Conversions!$B$12:$E$34,4,0),$G99*VLOOKUP($F99,Lists!$C$72:$R$232,COLUMNS(Lists!$C$69:H$69),0)*VLOOKUP(BH$3,Conversions!$B$12:$E$34,4,0)))</f>
        <v>0</v>
      </c>
      <c r="P99" s="333">
        <f>IF($F99="",0,IF($F99="Weighted Average",$G99*VLOOKUP($D99&amp;" (Install)",Lists!$C$72:$R$232,COLUMNS(Lists!$C$69:I$69),0)*VLOOKUP(BI$3,Conversions!$B$12:$E$34,4,0),$G99*VLOOKUP($F99,Lists!$C$72:$R$232,COLUMNS(Lists!$C$69:I$69),0)*VLOOKUP(BI$3,Conversions!$B$12:$E$34,4,0)))</f>
        <v>0</v>
      </c>
      <c r="Q99" s="333">
        <f>IF($F99="",0,IF($F99="Weighted Average",$G99*VLOOKUP($D99&amp;" (Install)",Lists!$C$72:$R$232,COLUMNS(Lists!$C$69:J$69),0)*VLOOKUP(BJ$3,Conversions!$B$12:$E$34,4,0),$G99*VLOOKUP($F99,Lists!$C$72:$R$232,COLUMNS(Lists!$C$69:J$69),0)*VLOOKUP(BJ$3,Conversions!$B$12:$E$34,4,0)))</f>
        <v>0</v>
      </c>
      <c r="R99" s="333">
        <f>IF($F99="",0,IF($F99="Weighted Average",$G99*VLOOKUP($D99&amp;" (Install)",Lists!$C$72:$R$232,COLUMNS(Lists!$C$69:K$69),0)*VLOOKUP(BK$3,Conversions!$B$12:$E$34,4,0),$G99*VLOOKUP($F99,Lists!$C$72:$R$232,COLUMNS(Lists!$C$69:K$69),0)*VLOOKUP(BK$3,Conversions!$B$12:$E$34,4,0)))</f>
        <v>0</v>
      </c>
      <c r="S99" s="333">
        <f>IF($F99="",0,IF($F99="Weighted Average",$G99*VLOOKUP($D99&amp;" (Install)",Lists!$C$72:$R$232,COLUMNS(Lists!$C$69:L$69),0)*VLOOKUP(BL$3,Conversions!$B$12:$E$34,4,0),$G99*VLOOKUP($F99,Lists!$C$72:$R$232,COLUMNS(Lists!$C$69:L$69),0)*VLOOKUP(BL$3,Conversions!$B$12:$E$34,4,0)))</f>
        <v>0</v>
      </c>
      <c r="T99" s="333">
        <f>IF($F99="",0,IF($F99="Weighted Average",$G99*VLOOKUP($D99&amp;" (Install)",Lists!$C$72:$R$232,COLUMNS(Lists!$C$69:M$69),0)*VLOOKUP(BM$3,Conversions!$B$12:$E$34,4,0),$G99*VLOOKUP($F99,Lists!$C$72:$R$232,COLUMNS(Lists!$C$69:M$69),0)*VLOOKUP(BM$3,Conversions!$B$12:$E$34,4,0)))</f>
        <v>0</v>
      </c>
      <c r="U99" s="333">
        <f>IF($F99="",0,IF($F99="Weighted Average",$G99*VLOOKUP($D99&amp;" (Install)",Lists!$C$72:$R$232,COLUMNS(Lists!$C$69:N$69),0)*VLOOKUP(BN$3,Conversions!$B$12:$E$34,4,0),$G99*VLOOKUP($F99,Lists!$C$72:$R$232,COLUMNS(Lists!$C$69:N$69),0)*VLOOKUP(BN$3,Conversions!$B$12:$E$34,4,0)))</f>
        <v>0</v>
      </c>
      <c r="V99" s="333">
        <f>IF($F99="",0,IF($F99="Weighted Average",$G99*VLOOKUP($D99&amp;" (Install)",Lists!$C$72:$R$232,COLUMNS(Lists!$C$69:O$69),0)*VLOOKUP(BO$3,Conversions!$B$12:$E$34,4,0),$G99*VLOOKUP($F99,Lists!$C$72:$R$232,COLUMNS(Lists!$C$69:O$69),0)*VLOOKUP(BO$3,Conversions!$B$12:$E$34,4,0)))</f>
        <v>0</v>
      </c>
      <c r="W99" s="333">
        <f>IF($F99="",0,IF($F99="Weighted Average",$G99*VLOOKUP($D99&amp;" (Install)",Lists!$C$72:$R$232,COLUMNS(Lists!$C$69:P$69),0)*VLOOKUP(BP$3,Conversions!$B$12:$E$34,4,0),$G99*VLOOKUP($F99,Lists!$C$72:$R$232,COLUMNS(Lists!$C$69:P$69),0)*VLOOKUP(BP$3,Conversions!$B$12:$E$34,4,0)))</f>
        <v>0</v>
      </c>
      <c r="X99" s="333">
        <f>IF($F99="",0,IF($F99="Weighted Average",$G99*VLOOKUP($D99&amp;" (Install)",Lists!$C$72:$R$232,COLUMNS(Lists!$C$69:Q$69),0)*VLOOKUP(BQ$3,Conversions!$B$12:$E$34,4,0),$G99*VLOOKUP($F99,Lists!$C$72:$R$232,COLUMNS(Lists!$C$69:Q$69),0)*VLOOKUP(BQ$3,Conversions!$B$12:$E$34,4,0)))</f>
        <v>0</v>
      </c>
      <c r="Y99" s="333">
        <f>IF($F99="",0,IF($F99="Weighted Average",$G99*VLOOKUP($D99&amp;" (Install)",Lists!$C$72:$R$232,COLUMNS(Lists!$C$69:R$69),0)*VLOOKUP(BR$3,Conversions!$B$12:$E$34,4,0),$G99*VLOOKUP($F99,Lists!$C$72:$R$232,COLUMNS(Lists!$C$69:R$69),0)*VLOOKUP(BR$3,Conversions!$B$12:$E$34,4,0)))</f>
        <v>0</v>
      </c>
      <c r="Z99" s="325">
        <f t="shared" si="102"/>
        <v>0</v>
      </c>
      <c r="AA99" s="334">
        <f>IF($F99="",0,IF($F99="Weighted Average",$H99*VLOOKUP($D99&amp;" (Operation)",Lists!$C$72:$R$232,COLUMNS(Lists!$C$69:E$69),0)*VLOOKUP(BE$3,Conversions!$B$12:$E$34,4,0),$H99*VLOOKUP($F99,Lists!$C$72:$R$232,COLUMNS(Lists!$C$69:E$69),0)*VLOOKUP(BE$3,Conversions!$B$12:$E$34,4,0)))</f>
        <v>0</v>
      </c>
      <c r="AB99" s="334">
        <f>IF($F99="",0,IF($F99="Weighted Average",$H99*VLOOKUP($D99&amp;" (Operation)",Lists!$C$72:$R$232,COLUMNS(Lists!$C$69:F$69),0)*VLOOKUP(BF$3,Conversions!$B$12:$E$34,4,0),$H99*VLOOKUP($F99,Lists!$C$72:$R$232,COLUMNS(Lists!$C$69:F$69),0)*VLOOKUP(BF$3,Conversions!$B$12:$E$34,4,0)))</f>
        <v>0</v>
      </c>
      <c r="AC99" s="334">
        <f>IF($F99="",0,IF($F99="Weighted Average",$H99*VLOOKUP($D99&amp;" (Operation)",Lists!$C$72:$R$232,COLUMNS(Lists!$C$69:G$69),0)*VLOOKUP(BG$3,Conversions!$B$12:$E$34,4,0),$H99*VLOOKUP($F99,Lists!$C$72:$R$232,COLUMNS(Lists!$C$69:G$69),0)*VLOOKUP(BG$3,Conversions!$B$12:$E$34,4,0)))</f>
        <v>0</v>
      </c>
      <c r="AD99" s="334">
        <f>IF($F99="",0,IF($F99="Weighted Average",$H99*VLOOKUP($D99&amp;" (Operation)",Lists!$C$72:$R$232,COLUMNS(Lists!$C$69:H$69),0)*VLOOKUP(BH$3,Conversions!$B$12:$E$34,4,0),$H99*VLOOKUP($F99,Lists!$C$72:$R$232,COLUMNS(Lists!$C$69:H$69),0)*VLOOKUP(BH$3,Conversions!$B$12:$E$34,4,0)))</f>
        <v>0</v>
      </c>
      <c r="AE99" s="334">
        <f>IF($F99="",0,IF($F99="Weighted Average",$H99*VLOOKUP($D99&amp;" (Operation)",Lists!$C$72:$R$232,COLUMNS(Lists!$C$69:I$69),0)*VLOOKUP(BI$3,Conversions!$B$12:$E$34,4,0),$H99*VLOOKUP($F99,Lists!$C$72:$R$232,COLUMNS(Lists!$C$69:I$69),0)*VLOOKUP(BI$3,Conversions!$B$12:$E$34,4,0)))</f>
        <v>0</v>
      </c>
      <c r="AF99" s="334">
        <f>IF($F99="",0,IF($F99="Weighted Average",$H99*VLOOKUP($D99&amp;" (Operation)",Lists!$C$72:$R$232,COLUMNS(Lists!$C$69:J$69),0)*VLOOKUP(BJ$3,Conversions!$B$12:$E$34,4,0),$H99*VLOOKUP($F99,Lists!$C$72:$R$232,COLUMNS(Lists!$C$69:J$69),0)*VLOOKUP(BJ$3,Conversions!$B$12:$E$34,4,0)))</f>
        <v>0</v>
      </c>
      <c r="AG99" s="334">
        <f>IF($F99="",0,IF($F99="Weighted Average",$H99*VLOOKUP($D99&amp;" (Operation)",Lists!$C$72:$R$232,COLUMNS(Lists!$C$69:K$69),0)*VLOOKUP(BK$3,Conversions!$B$12:$E$34,4,0),$H99*VLOOKUP($F99,Lists!$C$72:$R$232,COLUMNS(Lists!$C$69:K$69),0)*VLOOKUP(BK$3,Conversions!$B$12:$E$34,4,0)))</f>
        <v>0</v>
      </c>
      <c r="AH99" s="334">
        <f>IF($F99="",0,IF($F99="Weighted Average",$H99*VLOOKUP($D99&amp;" (Operation)",Lists!$C$72:$R$232,COLUMNS(Lists!$C$69:L$69),0)*VLOOKUP(BL$3,Conversions!$B$12:$E$34,4,0),$H99*VLOOKUP($F99,Lists!$C$72:$R$232,COLUMNS(Lists!$C$69:L$69),0)*VLOOKUP(BL$3,Conversions!$B$12:$E$34,4,0)))</f>
        <v>0</v>
      </c>
      <c r="AI99" s="334">
        <f>IF($F99="",0,IF($F99="Weighted Average",$H99*VLOOKUP($D99&amp;" (Operation)",Lists!$C$72:$R$232,COLUMNS(Lists!$C$69:M$69),0)*VLOOKUP(BM$3,Conversions!$B$12:$E$34,4,0),$H99*VLOOKUP($F99,Lists!$C$72:$R$232,COLUMNS(Lists!$C$69:M$69),0)*VLOOKUP(BM$3,Conversions!$B$12:$E$34,4,0)))</f>
        <v>0</v>
      </c>
      <c r="AJ99" s="334">
        <f>IF($F99="",0,IF($F99="Weighted Average",$H99*VLOOKUP($D99&amp;" (Operation)",Lists!$C$72:$R$232,COLUMNS(Lists!$C$69:N$69),0)*VLOOKUP(BN$3,Conversions!$B$12:$E$34,4,0),$H99*VLOOKUP($F99,Lists!$C$72:$R$232,COLUMNS(Lists!$C$69:N$69),0)*VLOOKUP(BN$3,Conversions!$B$12:$E$34,4,0)))</f>
        <v>0</v>
      </c>
      <c r="AK99" s="334">
        <f>IF($F99="",0,IF($F99="Weighted Average",$H99*VLOOKUP($D99&amp;" (Operation)",Lists!$C$72:$R$232,COLUMNS(Lists!$C$69:O$69),0)*VLOOKUP(BO$3,Conversions!$B$12:$E$34,4,0),$H99*VLOOKUP($F99,Lists!$C$72:$R$232,COLUMNS(Lists!$C$69:O$69),0)*VLOOKUP(BO$3,Conversions!$B$12:$E$34,4,0)))</f>
        <v>0</v>
      </c>
      <c r="AL99" s="334">
        <f>IF($F99="",0,IF($F99="Weighted Average",$H99*VLOOKUP($D99&amp;" (Operation)",Lists!$C$72:$R$232,COLUMNS(Lists!$C$69:P$69),0)*VLOOKUP(BP$3,Conversions!$B$12:$E$34,4,0),$H99*VLOOKUP($F99,Lists!$C$72:$R$232,COLUMNS(Lists!$C$69:P$69),0)*VLOOKUP(BP$3,Conversions!$B$12:$E$34,4,0)))</f>
        <v>0</v>
      </c>
      <c r="AM99" s="334">
        <f>IF($F99="",0,IF($F99="Weighted Average",$H99*VLOOKUP($D99&amp;" (Operation)",Lists!$C$72:$R$232,COLUMNS(Lists!$C$69:Q$69),0)*VLOOKUP(BQ$3,Conversions!$B$12:$E$34,4,0),$H99*VLOOKUP($F99,Lists!$C$72:$R$232,COLUMNS(Lists!$C$69:Q$69),0)*VLOOKUP(BQ$3,Conversions!$B$12:$E$34,4,0)))</f>
        <v>0</v>
      </c>
      <c r="AN99" s="334">
        <f>IF($F99="",0,IF($F99="Weighted Average",$H99*VLOOKUP($D99&amp;" (Operation)",Lists!$C$72:$R$232,COLUMNS(Lists!$C$69:R$69),0)*VLOOKUP(BR$3,Conversions!$B$12:$E$34,4,0),$H99*VLOOKUP($F99,Lists!$C$72:$R$232,COLUMNS(Lists!$C$69:R$69),0)*VLOOKUP(BR$3,Conversions!$B$12:$E$34,4,0)))</f>
        <v>0</v>
      </c>
      <c r="AO99" s="330">
        <f t="shared" si="103"/>
        <v>0</v>
      </c>
      <c r="AP99" s="333">
        <f>IF($F99="",0,IF($F99="Weighted Average",$I99*VLOOKUP($D99&amp;" (Disposal)",Lists!$C$72:$R$232,COLUMNS(Lists!$C$69:E$69),0)*VLOOKUP(BE$3,Conversions!$B$12:$E$34,4,0),$I99*VLOOKUP($F99,Lists!$C$72:$R$232,COLUMNS(Lists!$C$69:E$69),0)*VLOOKUP(BE$3,Conversions!$B$12:$E$34,4,0)))</f>
        <v>0</v>
      </c>
      <c r="AQ99" s="333">
        <f>IF($F99="",0,IF($F99="Weighted Average",$I99*VLOOKUP($D99&amp;" (Disposal)",Lists!$C$72:$R$232,COLUMNS(Lists!$C$69:F$69),0)*VLOOKUP(BF$3,Conversions!$B$12:$E$34,4,0),$I99*VLOOKUP($F99,Lists!$C$72:$R$232,COLUMNS(Lists!$C$69:F$69),0)*VLOOKUP(BF$3,Conversions!$B$12:$E$34,4,0)))</f>
        <v>0</v>
      </c>
      <c r="AR99" s="333">
        <f>IF($F99="",0,IF($F99="Weighted Average",$I99*VLOOKUP($D99&amp;" (Disposal)",Lists!$C$72:$R$232,COLUMNS(Lists!$C$69:G$69),0)*VLOOKUP(BG$3,Conversions!$B$12:$E$34,4,0),$I99*VLOOKUP($F99,Lists!$C$72:$R$232,COLUMNS(Lists!$C$69:G$69),0)*VLOOKUP(BG$3,Conversions!$B$12:$E$34,4,0)))</f>
        <v>0</v>
      </c>
      <c r="AS99" s="333">
        <f>IF($F99="",0,IF($F99="Weighted Average",$I99*VLOOKUP($D99&amp;" (Disposal)",Lists!$C$72:$R$232,COLUMNS(Lists!$C$69:H$69),0)*VLOOKUP(BH$3,Conversions!$B$12:$E$34,4,0),$I99*VLOOKUP($F99,Lists!$C$72:$R$232,COLUMNS(Lists!$C$69:H$69),0)*VLOOKUP(BH$3,Conversions!$B$12:$E$34,4,0)))</f>
        <v>0</v>
      </c>
      <c r="AT99" s="333">
        <f>IF($F99="",0,IF($F99="Weighted Average",$I99*VLOOKUP($D99&amp;" (Disposal)",Lists!$C$72:$R$232,COLUMNS(Lists!$C$69:I$69),0)*VLOOKUP(BI$3,Conversions!$B$12:$E$34,4,0),$I99*VLOOKUP($F99,Lists!$C$72:$R$232,COLUMNS(Lists!$C$69:I$69),0)*VLOOKUP(BI$3,Conversions!$B$12:$E$34,4,0)))</f>
        <v>0</v>
      </c>
      <c r="AU99" s="333">
        <f>IF($F99="",0,IF($F99="Weighted Average",$I99*VLOOKUP($D99&amp;" (Disposal)",Lists!$C$72:$R$232,COLUMNS(Lists!$C$69:J$69),0)*VLOOKUP(BJ$3,Conversions!$B$12:$E$34,4,0),$I99*VLOOKUP($F99,Lists!$C$72:$R$232,COLUMNS(Lists!$C$69:J$69),0)*VLOOKUP(BJ$3,Conversions!$B$12:$E$34,4,0)))</f>
        <v>0</v>
      </c>
      <c r="AV99" s="333">
        <f>IF($F99="",0,IF($F99="Weighted Average",$I99*VLOOKUP($D99&amp;" (Disposal)",Lists!$C$72:$R$232,COLUMNS(Lists!$C$69:K$69),0)*VLOOKUP(BK$3,Conversions!$B$12:$E$34,4,0),$I99*VLOOKUP($F99,Lists!$C$72:$R$232,COLUMNS(Lists!$C$69:K$69),0)*VLOOKUP(BK$3,Conversions!$B$12:$E$34,4,0)))</f>
        <v>0</v>
      </c>
      <c r="AW99" s="333">
        <f>IF($F99="",0,IF($F99="Weighted Average",$I99*VLOOKUP($D99&amp;" (Disposal)",Lists!$C$72:$R$232,COLUMNS(Lists!$C$69:L$69),0)*VLOOKUP(BL$3,Conversions!$B$12:$E$34,4,0),$I99*VLOOKUP($F99,Lists!$C$72:$R$232,COLUMNS(Lists!$C$69:L$69),0)*VLOOKUP(BL$3,Conversions!$B$12:$E$34,4,0)))</f>
        <v>0</v>
      </c>
      <c r="AX99" s="333">
        <f>IF($F99="",0,IF($F99="Weighted Average",$I99*VLOOKUP($D99&amp;" (Disposal)",Lists!$C$72:$R$232,COLUMNS(Lists!$C$69:M$69),0)*VLOOKUP(BM$3,Conversions!$B$12:$E$34,4,0),$I99*VLOOKUP($F99,Lists!$C$72:$R$232,COLUMNS(Lists!$C$69:M$69),0)*VLOOKUP(BM$3,Conversions!$B$12:$E$34,4,0)))</f>
        <v>0</v>
      </c>
      <c r="AY99" s="333">
        <f>IF($F99="",0,IF($F99="Weighted Average",$I99*VLOOKUP($D99&amp;" (Disposal)",Lists!$C$72:$R$232,COLUMNS(Lists!$C$69:N$69),0)*VLOOKUP(BN$3,Conversions!$B$12:$E$34,4,0),$I99*VLOOKUP($F99,Lists!$C$72:$R$232,COLUMNS(Lists!$C$69:N$69),0)*VLOOKUP(BN$3,Conversions!$B$12:$E$34,4,0)))</f>
        <v>0</v>
      </c>
      <c r="AZ99" s="333">
        <f>IF($F99="",0,IF($F99="Weighted Average",$I99*VLOOKUP($D99&amp;" (Disposal)",Lists!$C$72:$R$232,COLUMNS(Lists!$C$69:O$69),0)*VLOOKUP(BO$3,Conversions!$B$12:$E$34,4,0),$I99*VLOOKUP($F99,Lists!$C$72:$R$232,COLUMNS(Lists!$C$69:O$69),0)*VLOOKUP(BO$3,Conversions!$B$12:$E$34,4,0)))</f>
        <v>0</v>
      </c>
      <c r="BA99" s="333">
        <f>IF($F99="",0,IF($F99="Weighted Average",$I99*VLOOKUP($D99&amp;" (Disposal)",Lists!$C$72:$R$232,COLUMNS(Lists!$C$69:P$69),0)*VLOOKUP(BP$3,Conversions!$B$12:$E$34,4,0),$I99*VLOOKUP($F99,Lists!$C$72:$R$232,COLUMNS(Lists!$C$69:P$69),0)*VLOOKUP(BP$3,Conversions!$B$12:$E$34,4,0)))</f>
        <v>0</v>
      </c>
      <c r="BB99" s="333">
        <f>IF($F99="",0,IF($F99="Weighted Average",$I99*VLOOKUP($D99&amp;" (Disposal)",Lists!$C$72:$R$232,COLUMNS(Lists!$C$69:Q$69),0)*VLOOKUP(BQ$3,Conversions!$B$12:$E$34,4,0),$I99*VLOOKUP($F99,Lists!$C$72:$R$232,COLUMNS(Lists!$C$69:Q$69),0)*VLOOKUP(BQ$3,Conversions!$B$12:$E$34,4,0)))</f>
        <v>0</v>
      </c>
      <c r="BC99" s="333">
        <f>IF($F99="",0,IF($F99="Weighted Average",$I99*VLOOKUP($D99&amp;" (Disposal)",Lists!$C$72:$R$232,COLUMNS(Lists!$C$69:R$69),0)*VLOOKUP(BR$3,Conversions!$B$12:$E$34,4,0),$I99*VLOOKUP($F99,Lists!$C$72:$R$232,COLUMNS(Lists!$C$69:R$69),0)*VLOOKUP(BR$3,Conversions!$B$12:$E$34,4,0)))</f>
        <v>0</v>
      </c>
      <c r="BD99" s="333">
        <f t="shared" si="104"/>
        <v>0</v>
      </c>
      <c r="BE99" s="330">
        <f t="shared" si="105"/>
        <v>0</v>
      </c>
      <c r="BF99" s="330">
        <f t="shared" si="106"/>
        <v>0</v>
      </c>
      <c r="BG99" s="330">
        <f t="shared" si="107"/>
        <v>0</v>
      </c>
      <c r="BH99" s="330">
        <f t="shared" si="108"/>
        <v>0</v>
      </c>
      <c r="BI99" s="330">
        <f t="shared" si="109"/>
        <v>0</v>
      </c>
      <c r="BJ99" s="330">
        <f t="shared" si="110"/>
        <v>0</v>
      </c>
      <c r="BK99" s="330">
        <f t="shared" si="111"/>
        <v>0</v>
      </c>
      <c r="BL99" s="330">
        <f t="shared" si="112"/>
        <v>0</v>
      </c>
      <c r="BM99" s="330">
        <f t="shared" si="113"/>
        <v>0</v>
      </c>
      <c r="BN99" s="330">
        <f t="shared" si="114"/>
        <v>0</v>
      </c>
      <c r="BO99" s="330">
        <f t="shared" si="115"/>
        <v>0</v>
      </c>
      <c r="BP99" s="330">
        <f t="shared" si="116"/>
        <v>0</v>
      </c>
      <c r="BQ99" s="330">
        <f t="shared" si="117"/>
        <v>0</v>
      </c>
      <c r="BR99" s="330">
        <f t="shared" si="118"/>
        <v>0</v>
      </c>
      <c r="BS99" s="330">
        <f t="shared" si="119"/>
        <v>0</v>
      </c>
      <c r="BT99" s="329">
        <f t="shared" si="120"/>
        <v>0</v>
      </c>
      <c r="BU99" s="329">
        <f t="shared" si="120"/>
        <v>0</v>
      </c>
      <c r="BV99" s="329">
        <f t="shared" si="120"/>
        <v>0</v>
      </c>
      <c r="BW99" s="329">
        <f t="shared" si="120"/>
        <v>0</v>
      </c>
      <c r="BX99" s="329">
        <f t="shared" si="120"/>
        <v>0</v>
      </c>
      <c r="BY99" s="329">
        <f t="shared" si="120"/>
        <v>0</v>
      </c>
      <c r="BZ99" s="329">
        <f t="shared" si="120"/>
        <v>0</v>
      </c>
      <c r="CA99" s="329">
        <f t="shared" si="120"/>
        <v>0</v>
      </c>
      <c r="CB99" s="329">
        <f t="shared" si="120"/>
        <v>0</v>
      </c>
      <c r="CC99" s="329">
        <f t="shared" si="120"/>
        <v>0</v>
      </c>
      <c r="CD99" s="329">
        <f t="shared" si="120"/>
        <v>0</v>
      </c>
      <c r="CE99" s="329">
        <f t="shared" si="120"/>
        <v>0</v>
      </c>
      <c r="CF99" s="329">
        <f t="shared" si="120"/>
        <v>0</v>
      </c>
      <c r="CG99" s="329">
        <f t="shared" si="120"/>
        <v>0</v>
      </c>
      <c r="CH99" s="329">
        <f t="shared" si="120"/>
        <v>0</v>
      </c>
      <c r="CI99" s="329">
        <f t="shared" si="120"/>
        <v>0</v>
      </c>
      <c r="CJ99" s="331">
        <f t="shared" si="121"/>
        <v>0</v>
      </c>
      <c r="CK99" s="330">
        <f t="shared" si="122"/>
        <v>0</v>
      </c>
      <c r="CL99" s="330">
        <f t="shared" si="123"/>
        <v>0</v>
      </c>
      <c r="CM99" s="330">
        <f t="shared" si="124"/>
        <v>0</v>
      </c>
      <c r="CN99" s="330">
        <f t="shared" si="125"/>
        <v>0</v>
      </c>
      <c r="CO99" s="330">
        <f t="shared" si="126"/>
        <v>0</v>
      </c>
      <c r="CP99" s="330">
        <f t="shared" si="127"/>
        <v>0</v>
      </c>
      <c r="CQ99" s="330">
        <f t="shared" si="94"/>
        <v>0</v>
      </c>
      <c r="CR99" s="330">
        <f t="shared" si="128"/>
        <v>0</v>
      </c>
      <c r="CS99" s="330">
        <f t="shared" si="129"/>
        <v>0</v>
      </c>
      <c r="CT99" s="330">
        <f t="shared" si="130"/>
        <v>0</v>
      </c>
      <c r="CU99" s="330">
        <f t="shared" si="131"/>
        <v>0</v>
      </c>
      <c r="CV99" s="330">
        <f t="shared" si="131"/>
        <v>0</v>
      </c>
      <c r="CW99" s="330">
        <f t="shared" si="131"/>
        <v>0</v>
      </c>
      <c r="CX99" s="330">
        <f t="shared" si="131"/>
        <v>0</v>
      </c>
      <c r="CY99" s="330">
        <f t="shared" si="131"/>
        <v>0</v>
      </c>
      <c r="CZ99" s="330">
        <f t="shared" si="131"/>
        <v>0</v>
      </c>
      <c r="DA99" s="330">
        <f t="shared" si="131"/>
        <v>0</v>
      </c>
      <c r="DB99" s="330">
        <f t="shared" si="131"/>
        <v>0</v>
      </c>
      <c r="DC99" s="330">
        <f t="shared" si="131"/>
        <v>0</v>
      </c>
      <c r="DD99" s="330">
        <f t="shared" si="131"/>
        <v>0</v>
      </c>
      <c r="DE99" s="330">
        <f t="shared" si="132"/>
        <v>0</v>
      </c>
      <c r="DF99" s="330">
        <f t="shared" si="132"/>
        <v>0</v>
      </c>
      <c r="DG99" s="330">
        <f t="shared" si="132"/>
        <v>0</v>
      </c>
      <c r="DH99" s="330">
        <f t="shared" si="132"/>
        <v>0</v>
      </c>
      <c r="DI99" s="330">
        <f t="shared" si="132"/>
        <v>0</v>
      </c>
      <c r="DJ99" s="330">
        <f t="shared" si="132"/>
        <v>0</v>
      </c>
      <c r="DK99" s="330">
        <f t="shared" si="132"/>
        <v>0</v>
      </c>
      <c r="DL99" s="330">
        <f t="shared" si="132"/>
        <v>0</v>
      </c>
      <c r="DM99" s="330">
        <f t="shared" si="132"/>
        <v>0</v>
      </c>
      <c r="DN99" s="330">
        <f t="shared" si="132"/>
        <v>0</v>
      </c>
      <c r="DO99" s="330">
        <f t="shared" si="132"/>
        <v>0</v>
      </c>
      <c r="DP99" s="330">
        <f t="shared" si="133"/>
        <v>0</v>
      </c>
      <c r="DQ99" s="217"/>
      <c r="DR99" s="217"/>
      <c r="DS99" s="217"/>
      <c r="DT99" s="217"/>
    </row>
    <row r="100" spans="1:124" x14ac:dyDescent="0.3">
      <c r="A100" s="324"/>
      <c r="B100" s="221" t="s">
        <v>305</v>
      </c>
      <c r="C100" s="221" t="str">
        <f>IF(Screening!C30=0,"",Screening!C30)</f>
        <v/>
      </c>
      <c r="D100" s="221" t="str">
        <f>IF(Screening!D30=0,"",Screening!D30)</f>
        <v/>
      </c>
      <c r="E100" s="221" t="str">
        <f>IF(Screening!E30=0,"",Screening!E30)</f>
        <v/>
      </c>
      <c r="F100" s="221" t="str">
        <f>IF(Screening!F30=0,"",Screening!F30)</f>
        <v/>
      </c>
      <c r="G100" s="272">
        <f>Screening!G30*Screening!O30*Conversions!$C$4</f>
        <v>0</v>
      </c>
      <c r="H100" s="272">
        <f>Screening!H30*Screening!P30*Screening!I30*Conversions!$C$4</f>
        <v>0</v>
      </c>
      <c r="I100" s="272">
        <f>Screening!J30*Screening!Q30*(1-Screening!R30)*Conversions!$C$4</f>
        <v>0</v>
      </c>
      <c r="J100" s="325">
        <f>IF(Screening!S30=0,0,Screening!S30)</f>
        <v>0</v>
      </c>
      <c r="K100" s="465"/>
      <c r="L100" s="333">
        <f>IF($F100="",0,IF($F100="Weighted Average",$G100*VLOOKUP($D100&amp;" (Install)",Lists!$C$72:$R$232,COLUMNS(Lists!$C$69:E$69),0)*VLOOKUP(BE$3,Conversions!$B$12:$E$34,4,0),$G100*VLOOKUP($F100,Lists!$C$72:$R$232,COLUMNS(Lists!$C$69:E$69),0)*VLOOKUP(BE$3,Conversions!$B$12:$E$34,4,0)))</f>
        <v>0</v>
      </c>
      <c r="M100" s="333">
        <f>IF($F100="",0,IF($F100="Weighted Average",$G100*VLOOKUP($D100&amp;" (Install)",Lists!$C$72:$R$232,COLUMNS(Lists!$C$69:F$69),0)*VLOOKUP(BF$3,Conversions!$B$12:$E$34,4,0),$G100*VLOOKUP($F100,Lists!$C$72:$R$232,COLUMNS(Lists!$C$69:F$69),0)*VLOOKUP(BF$3,Conversions!$B$12:$E$34,4,0)))</f>
        <v>0</v>
      </c>
      <c r="N100" s="333">
        <f>IF($F100="",0,IF($F100="Weighted Average",$G100*VLOOKUP($D100&amp;" (Install)",Lists!$C$72:$R$232,COLUMNS(Lists!$C$69:G$69),0)*VLOOKUP(BG$3,Conversions!$B$12:$E$34,4,0),$G100*VLOOKUP($F100,Lists!$C$72:$R$232,COLUMNS(Lists!$C$69:G$69),0)*VLOOKUP(BG$3,Conversions!$B$12:$E$34,4,0)))</f>
        <v>0</v>
      </c>
      <c r="O100" s="333">
        <f>IF($F100="",0,IF($F100="Weighted Average",$G100*VLOOKUP($D100&amp;" (Install)",Lists!$C$72:$R$232,COLUMNS(Lists!$C$69:H$69),0)*VLOOKUP(BH$3,Conversions!$B$12:$E$34,4,0),$G100*VLOOKUP($F100,Lists!$C$72:$R$232,COLUMNS(Lists!$C$69:H$69),0)*VLOOKUP(BH$3,Conversions!$B$12:$E$34,4,0)))</f>
        <v>0</v>
      </c>
      <c r="P100" s="333">
        <f>IF($F100="",0,IF($F100="Weighted Average",$G100*VLOOKUP($D100&amp;" (Install)",Lists!$C$72:$R$232,COLUMNS(Lists!$C$69:I$69),0)*VLOOKUP(BI$3,Conversions!$B$12:$E$34,4,0),$G100*VLOOKUP($F100,Lists!$C$72:$R$232,COLUMNS(Lists!$C$69:I$69),0)*VLOOKUP(BI$3,Conversions!$B$12:$E$34,4,0)))</f>
        <v>0</v>
      </c>
      <c r="Q100" s="333">
        <f>IF($F100="",0,IF($F100="Weighted Average",$G100*VLOOKUP($D100&amp;" (Install)",Lists!$C$72:$R$232,COLUMNS(Lists!$C$69:J$69),0)*VLOOKUP(BJ$3,Conversions!$B$12:$E$34,4,0),$G100*VLOOKUP($F100,Lists!$C$72:$R$232,COLUMNS(Lists!$C$69:J$69),0)*VLOOKUP(BJ$3,Conversions!$B$12:$E$34,4,0)))</f>
        <v>0</v>
      </c>
      <c r="R100" s="333">
        <f>IF($F100="",0,IF($F100="Weighted Average",$G100*VLOOKUP($D100&amp;" (Install)",Lists!$C$72:$R$232,COLUMNS(Lists!$C$69:K$69),0)*VLOOKUP(BK$3,Conversions!$B$12:$E$34,4,0),$G100*VLOOKUP($F100,Lists!$C$72:$R$232,COLUMNS(Lists!$C$69:K$69),0)*VLOOKUP(BK$3,Conversions!$B$12:$E$34,4,0)))</f>
        <v>0</v>
      </c>
      <c r="S100" s="333">
        <f>IF($F100="",0,IF($F100="Weighted Average",$G100*VLOOKUP($D100&amp;" (Install)",Lists!$C$72:$R$232,COLUMNS(Lists!$C$69:L$69),0)*VLOOKUP(BL$3,Conversions!$B$12:$E$34,4,0),$G100*VLOOKUP($F100,Lists!$C$72:$R$232,COLUMNS(Lists!$C$69:L$69),0)*VLOOKUP(BL$3,Conversions!$B$12:$E$34,4,0)))</f>
        <v>0</v>
      </c>
      <c r="T100" s="333">
        <f>IF($F100="",0,IF($F100="Weighted Average",$G100*VLOOKUP($D100&amp;" (Install)",Lists!$C$72:$R$232,COLUMNS(Lists!$C$69:M$69),0)*VLOOKUP(BM$3,Conversions!$B$12:$E$34,4,0),$G100*VLOOKUP($F100,Lists!$C$72:$R$232,COLUMNS(Lists!$C$69:M$69),0)*VLOOKUP(BM$3,Conversions!$B$12:$E$34,4,0)))</f>
        <v>0</v>
      </c>
      <c r="U100" s="333">
        <f>IF($F100="",0,IF($F100="Weighted Average",$G100*VLOOKUP($D100&amp;" (Install)",Lists!$C$72:$R$232,COLUMNS(Lists!$C$69:N$69),0)*VLOOKUP(BN$3,Conversions!$B$12:$E$34,4,0),$G100*VLOOKUP($F100,Lists!$C$72:$R$232,COLUMNS(Lists!$C$69:N$69),0)*VLOOKUP(BN$3,Conversions!$B$12:$E$34,4,0)))</f>
        <v>0</v>
      </c>
      <c r="V100" s="333">
        <f>IF($F100="",0,IF($F100="Weighted Average",$G100*VLOOKUP($D100&amp;" (Install)",Lists!$C$72:$R$232,COLUMNS(Lists!$C$69:O$69),0)*VLOOKUP(BO$3,Conversions!$B$12:$E$34,4,0),$G100*VLOOKUP($F100,Lists!$C$72:$R$232,COLUMNS(Lists!$C$69:O$69),0)*VLOOKUP(BO$3,Conversions!$B$12:$E$34,4,0)))</f>
        <v>0</v>
      </c>
      <c r="W100" s="333">
        <f>IF($F100="",0,IF($F100="Weighted Average",$G100*VLOOKUP($D100&amp;" (Install)",Lists!$C$72:$R$232,COLUMNS(Lists!$C$69:P$69),0)*VLOOKUP(BP$3,Conversions!$B$12:$E$34,4,0),$G100*VLOOKUP($F100,Lists!$C$72:$R$232,COLUMNS(Lists!$C$69:P$69),0)*VLOOKUP(BP$3,Conversions!$B$12:$E$34,4,0)))</f>
        <v>0</v>
      </c>
      <c r="X100" s="333">
        <f>IF($F100="",0,IF($F100="Weighted Average",$G100*VLOOKUP($D100&amp;" (Install)",Lists!$C$72:$R$232,COLUMNS(Lists!$C$69:Q$69),0)*VLOOKUP(BQ$3,Conversions!$B$12:$E$34,4,0),$G100*VLOOKUP($F100,Lists!$C$72:$R$232,COLUMNS(Lists!$C$69:Q$69),0)*VLOOKUP(BQ$3,Conversions!$B$12:$E$34,4,0)))</f>
        <v>0</v>
      </c>
      <c r="Y100" s="333">
        <f>IF($F100="",0,IF($F100="Weighted Average",$G100*VLOOKUP($D100&amp;" (Install)",Lists!$C$72:$R$232,COLUMNS(Lists!$C$69:R$69),0)*VLOOKUP(BR$3,Conversions!$B$12:$E$34,4,0),$G100*VLOOKUP($F100,Lists!$C$72:$R$232,COLUMNS(Lists!$C$69:R$69),0)*VLOOKUP(BR$3,Conversions!$B$12:$E$34,4,0)))</f>
        <v>0</v>
      </c>
      <c r="Z100" s="325">
        <f t="shared" si="102"/>
        <v>0</v>
      </c>
      <c r="AA100" s="334">
        <f>IF($F100="",0,IF($F100="Weighted Average",$H100*VLOOKUP($D100&amp;" (Operation)",Lists!$C$72:$R$232,COLUMNS(Lists!$C$69:E$69),0)*VLOOKUP(BE$3,Conversions!$B$12:$E$34,4,0),$H100*VLOOKUP($F100,Lists!$C$72:$R$232,COLUMNS(Lists!$C$69:E$69),0)*VLOOKUP(BE$3,Conversions!$B$12:$E$34,4,0)))</f>
        <v>0</v>
      </c>
      <c r="AB100" s="334">
        <f>IF($F100="",0,IF($F100="Weighted Average",$H100*VLOOKUP($D100&amp;" (Operation)",Lists!$C$72:$R$232,COLUMNS(Lists!$C$69:F$69),0)*VLOOKUP(BF$3,Conversions!$B$12:$E$34,4,0),$H100*VLOOKUP($F100,Lists!$C$72:$R$232,COLUMNS(Lists!$C$69:F$69),0)*VLOOKUP(BF$3,Conversions!$B$12:$E$34,4,0)))</f>
        <v>0</v>
      </c>
      <c r="AC100" s="334">
        <f>IF($F100="",0,IF($F100="Weighted Average",$H100*VLOOKUP($D100&amp;" (Operation)",Lists!$C$72:$R$232,COLUMNS(Lists!$C$69:G$69),0)*VLOOKUP(BG$3,Conversions!$B$12:$E$34,4,0),$H100*VLOOKUP($F100,Lists!$C$72:$R$232,COLUMNS(Lists!$C$69:G$69),0)*VLOOKUP(BG$3,Conversions!$B$12:$E$34,4,0)))</f>
        <v>0</v>
      </c>
      <c r="AD100" s="334">
        <f>IF($F100="",0,IF($F100="Weighted Average",$H100*VLOOKUP($D100&amp;" (Operation)",Lists!$C$72:$R$232,COLUMNS(Lists!$C$69:H$69),0)*VLOOKUP(BH$3,Conversions!$B$12:$E$34,4,0),$H100*VLOOKUP($F100,Lists!$C$72:$R$232,COLUMNS(Lists!$C$69:H$69),0)*VLOOKUP(BH$3,Conversions!$B$12:$E$34,4,0)))</f>
        <v>0</v>
      </c>
      <c r="AE100" s="334">
        <f>IF($F100="",0,IF($F100="Weighted Average",$H100*VLOOKUP($D100&amp;" (Operation)",Lists!$C$72:$R$232,COLUMNS(Lists!$C$69:I$69),0)*VLOOKUP(BI$3,Conversions!$B$12:$E$34,4,0),$H100*VLOOKUP($F100,Lists!$C$72:$R$232,COLUMNS(Lists!$C$69:I$69),0)*VLOOKUP(BI$3,Conversions!$B$12:$E$34,4,0)))</f>
        <v>0</v>
      </c>
      <c r="AF100" s="334">
        <f>IF($F100="",0,IF($F100="Weighted Average",$H100*VLOOKUP($D100&amp;" (Operation)",Lists!$C$72:$R$232,COLUMNS(Lists!$C$69:J$69),0)*VLOOKUP(BJ$3,Conversions!$B$12:$E$34,4,0),$H100*VLOOKUP($F100,Lists!$C$72:$R$232,COLUMNS(Lists!$C$69:J$69),0)*VLOOKUP(BJ$3,Conversions!$B$12:$E$34,4,0)))</f>
        <v>0</v>
      </c>
      <c r="AG100" s="334">
        <f>IF($F100="",0,IF($F100="Weighted Average",$H100*VLOOKUP($D100&amp;" (Operation)",Lists!$C$72:$R$232,COLUMNS(Lists!$C$69:K$69),0)*VLOOKUP(BK$3,Conversions!$B$12:$E$34,4,0),$H100*VLOOKUP($F100,Lists!$C$72:$R$232,COLUMNS(Lists!$C$69:K$69),0)*VLOOKUP(BK$3,Conversions!$B$12:$E$34,4,0)))</f>
        <v>0</v>
      </c>
      <c r="AH100" s="334">
        <f>IF($F100="",0,IF($F100="Weighted Average",$H100*VLOOKUP($D100&amp;" (Operation)",Lists!$C$72:$R$232,COLUMNS(Lists!$C$69:L$69),0)*VLOOKUP(BL$3,Conversions!$B$12:$E$34,4,0),$H100*VLOOKUP($F100,Lists!$C$72:$R$232,COLUMNS(Lists!$C$69:L$69),0)*VLOOKUP(BL$3,Conversions!$B$12:$E$34,4,0)))</f>
        <v>0</v>
      </c>
      <c r="AI100" s="334">
        <f>IF($F100="",0,IF($F100="Weighted Average",$H100*VLOOKUP($D100&amp;" (Operation)",Lists!$C$72:$R$232,COLUMNS(Lists!$C$69:M$69),0)*VLOOKUP(BM$3,Conversions!$B$12:$E$34,4,0),$H100*VLOOKUP($F100,Lists!$C$72:$R$232,COLUMNS(Lists!$C$69:M$69),0)*VLOOKUP(BM$3,Conversions!$B$12:$E$34,4,0)))</f>
        <v>0</v>
      </c>
      <c r="AJ100" s="334">
        <f>IF($F100="",0,IF($F100="Weighted Average",$H100*VLOOKUP($D100&amp;" (Operation)",Lists!$C$72:$R$232,COLUMNS(Lists!$C$69:N$69),0)*VLOOKUP(BN$3,Conversions!$B$12:$E$34,4,0),$H100*VLOOKUP($F100,Lists!$C$72:$R$232,COLUMNS(Lists!$C$69:N$69),0)*VLOOKUP(BN$3,Conversions!$B$12:$E$34,4,0)))</f>
        <v>0</v>
      </c>
      <c r="AK100" s="334">
        <f>IF($F100="",0,IF($F100="Weighted Average",$H100*VLOOKUP($D100&amp;" (Operation)",Lists!$C$72:$R$232,COLUMNS(Lists!$C$69:O$69),0)*VLOOKUP(BO$3,Conversions!$B$12:$E$34,4,0),$H100*VLOOKUP($F100,Lists!$C$72:$R$232,COLUMNS(Lists!$C$69:O$69),0)*VLOOKUP(BO$3,Conversions!$B$12:$E$34,4,0)))</f>
        <v>0</v>
      </c>
      <c r="AL100" s="334">
        <f>IF($F100="",0,IF($F100="Weighted Average",$H100*VLOOKUP($D100&amp;" (Operation)",Lists!$C$72:$R$232,COLUMNS(Lists!$C$69:P$69),0)*VLOOKUP(BP$3,Conversions!$B$12:$E$34,4,0),$H100*VLOOKUP($F100,Lists!$C$72:$R$232,COLUMNS(Lists!$C$69:P$69),0)*VLOOKUP(BP$3,Conversions!$B$12:$E$34,4,0)))</f>
        <v>0</v>
      </c>
      <c r="AM100" s="334">
        <f>IF($F100="",0,IF($F100="Weighted Average",$H100*VLOOKUP($D100&amp;" (Operation)",Lists!$C$72:$R$232,COLUMNS(Lists!$C$69:Q$69),0)*VLOOKUP(BQ$3,Conversions!$B$12:$E$34,4,0),$H100*VLOOKUP($F100,Lists!$C$72:$R$232,COLUMNS(Lists!$C$69:Q$69),0)*VLOOKUP(BQ$3,Conversions!$B$12:$E$34,4,0)))</f>
        <v>0</v>
      </c>
      <c r="AN100" s="334">
        <f>IF($F100="",0,IF($F100="Weighted Average",$H100*VLOOKUP($D100&amp;" (Operation)",Lists!$C$72:$R$232,COLUMNS(Lists!$C$69:R$69),0)*VLOOKUP(BR$3,Conversions!$B$12:$E$34,4,0),$H100*VLOOKUP($F100,Lists!$C$72:$R$232,COLUMNS(Lists!$C$69:R$69),0)*VLOOKUP(BR$3,Conversions!$B$12:$E$34,4,0)))</f>
        <v>0</v>
      </c>
      <c r="AO100" s="330">
        <f t="shared" si="103"/>
        <v>0</v>
      </c>
      <c r="AP100" s="333">
        <f>IF($F100="",0,IF($F100="Weighted Average",$I100*VLOOKUP($D100&amp;" (Disposal)",Lists!$C$72:$R$232,COLUMNS(Lists!$C$69:E$69),0)*VLOOKUP(BE$3,Conversions!$B$12:$E$34,4,0),$I100*VLOOKUP($F100,Lists!$C$72:$R$232,COLUMNS(Lists!$C$69:E$69),0)*VLOOKUP(BE$3,Conversions!$B$12:$E$34,4,0)))</f>
        <v>0</v>
      </c>
      <c r="AQ100" s="333">
        <f>IF($F100="",0,IF($F100="Weighted Average",$I100*VLOOKUP($D100&amp;" (Disposal)",Lists!$C$72:$R$232,COLUMNS(Lists!$C$69:F$69),0)*VLOOKUP(BF$3,Conversions!$B$12:$E$34,4,0),$I100*VLOOKUP($F100,Lists!$C$72:$R$232,COLUMNS(Lists!$C$69:F$69),0)*VLOOKUP(BF$3,Conversions!$B$12:$E$34,4,0)))</f>
        <v>0</v>
      </c>
      <c r="AR100" s="333">
        <f>IF($F100="",0,IF($F100="Weighted Average",$I100*VLOOKUP($D100&amp;" (Disposal)",Lists!$C$72:$R$232,COLUMNS(Lists!$C$69:G$69),0)*VLOOKUP(BG$3,Conversions!$B$12:$E$34,4,0),$I100*VLOOKUP($F100,Lists!$C$72:$R$232,COLUMNS(Lists!$C$69:G$69),0)*VLOOKUP(BG$3,Conversions!$B$12:$E$34,4,0)))</f>
        <v>0</v>
      </c>
      <c r="AS100" s="333">
        <f>IF($F100="",0,IF($F100="Weighted Average",$I100*VLOOKUP($D100&amp;" (Disposal)",Lists!$C$72:$R$232,COLUMNS(Lists!$C$69:H$69),0)*VLOOKUP(BH$3,Conversions!$B$12:$E$34,4,0),$I100*VLOOKUP($F100,Lists!$C$72:$R$232,COLUMNS(Lists!$C$69:H$69),0)*VLOOKUP(BH$3,Conversions!$B$12:$E$34,4,0)))</f>
        <v>0</v>
      </c>
      <c r="AT100" s="333">
        <f>IF($F100="",0,IF($F100="Weighted Average",$I100*VLOOKUP($D100&amp;" (Disposal)",Lists!$C$72:$R$232,COLUMNS(Lists!$C$69:I$69),0)*VLOOKUP(BI$3,Conversions!$B$12:$E$34,4,0),$I100*VLOOKUP($F100,Lists!$C$72:$R$232,COLUMNS(Lists!$C$69:I$69),0)*VLOOKUP(BI$3,Conversions!$B$12:$E$34,4,0)))</f>
        <v>0</v>
      </c>
      <c r="AU100" s="333">
        <f>IF($F100="",0,IF($F100="Weighted Average",$I100*VLOOKUP($D100&amp;" (Disposal)",Lists!$C$72:$R$232,COLUMNS(Lists!$C$69:J$69),0)*VLOOKUP(BJ$3,Conversions!$B$12:$E$34,4,0),$I100*VLOOKUP($F100,Lists!$C$72:$R$232,COLUMNS(Lists!$C$69:J$69),0)*VLOOKUP(BJ$3,Conversions!$B$12:$E$34,4,0)))</f>
        <v>0</v>
      </c>
      <c r="AV100" s="333">
        <f>IF($F100="",0,IF($F100="Weighted Average",$I100*VLOOKUP($D100&amp;" (Disposal)",Lists!$C$72:$R$232,COLUMNS(Lists!$C$69:K$69),0)*VLOOKUP(BK$3,Conversions!$B$12:$E$34,4,0),$I100*VLOOKUP($F100,Lists!$C$72:$R$232,COLUMNS(Lists!$C$69:K$69),0)*VLOOKUP(BK$3,Conversions!$B$12:$E$34,4,0)))</f>
        <v>0</v>
      </c>
      <c r="AW100" s="333">
        <f>IF($F100="",0,IF($F100="Weighted Average",$I100*VLOOKUP($D100&amp;" (Disposal)",Lists!$C$72:$R$232,COLUMNS(Lists!$C$69:L$69),0)*VLOOKUP(BL$3,Conversions!$B$12:$E$34,4,0),$I100*VLOOKUP($F100,Lists!$C$72:$R$232,COLUMNS(Lists!$C$69:L$69),0)*VLOOKUP(BL$3,Conversions!$B$12:$E$34,4,0)))</f>
        <v>0</v>
      </c>
      <c r="AX100" s="333">
        <f>IF($F100="",0,IF($F100="Weighted Average",$I100*VLOOKUP($D100&amp;" (Disposal)",Lists!$C$72:$R$232,COLUMNS(Lists!$C$69:M$69),0)*VLOOKUP(BM$3,Conversions!$B$12:$E$34,4,0),$I100*VLOOKUP($F100,Lists!$C$72:$R$232,COLUMNS(Lists!$C$69:M$69),0)*VLOOKUP(BM$3,Conversions!$B$12:$E$34,4,0)))</f>
        <v>0</v>
      </c>
      <c r="AY100" s="333">
        <f>IF($F100="",0,IF($F100="Weighted Average",$I100*VLOOKUP($D100&amp;" (Disposal)",Lists!$C$72:$R$232,COLUMNS(Lists!$C$69:N$69),0)*VLOOKUP(BN$3,Conversions!$B$12:$E$34,4,0),$I100*VLOOKUP($F100,Lists!$C$72:$R$232,COLUMNS(Lists!$C$69:N$69),0)*VLOOKUP(BN$3,Conversions!$B$12:$E$34,4,0)))</f>
        <v>0</v>
      </c>
      <c r="AZ100" s="333">
        <f>IF($F100="",0,IF($F100="Weighted Average",$I100*VLOOKUP($D100&amp;" (Disposal)",Lists!$C$72:$R$232,COLUMNS(Lists!$C$69:O$69),0)*VLOOKUP(BO$3,Conversions!$B$12:$E$34,4,0),$I100*VLOOKUP($F100,Lists!$C$72:$R$232,COLUMNS(Lists!$C$69:O$69),0)*VLOOKUP(BO$3,Conversions!$B$12:$E$34,4,0)))</f>
        <v>0</v>
      </c>
      <c r="BA100" s="333">
        <f>IF($F100="",0,IF($F100="Weighted Average",$I100*VLOOKUP($D100&amp;" (Disposal)",Lists!$C$72:$R$232,COLUMNS(Lists!$C$69:P$69),0)*VLOOKUP(BP$3,Conversions!$B$12:$E$34,4,0),$I100*VLOOKUP($F100,Lists!$C$72:$R$232,COLUMNS(Lists!$C$69:P$69),0)*VLOOKUP(BP$3,Conversions!$B$12:$E$34,4,0)))</f>
        <v>0</v>
      </c>
      <c r="BB100" s="333">
        <f>IF($F100="",0,IF($F100="Weighted Average",$I100*VLOOKUP($D100&amp;" (Disposal)",Lists!$C$72:$R$232,COLUMNS(Lists!$C$69:Q$69),0)*VLOOKUP(BQ$3,Conversions!$B$12:$E$34,4,0),$I100*VLOOKUP($F100,Lists!$C$72:$R$232,COLUMNS(Lists!$C$69:Q$69),0)*VLOOKUP(BQ$3,Conversions!$B$12:$E$34,4,0)))</f>
        <v>0</v>
      </c>
      <c r="BC100" s="333">
        <f>IF($F100="",0,IF($F100="Weighted Average",$I100*VLOOKUP($D100&amp;" (Disposal)",Lists!$C$72:$R$232,COLUMNS(Lists!$C$69:R$69),0)*VLOOKUP(BR$3,Conversions!$B$12:$E$34,4,0),$I100*VLOOKUP($F100,Lists!$C$72:$R$232,COLUMNS(Lists!$C$69:R$69),0)*VLOOKUP(BR$3,Conversions!$B$12:$E$34,4,0)))</f>
        <v>0</v>
      </c>
      <c r="BD100" s="333">
        <f t="shared" si="104"/>
        <v>0</v>
      </c>
      <c r="BE100" s="330">
        <f t="shared" si="105"/>
        <v>0</v>
      </c>
      <c r="BF100" s="330">
        <f t="shared" si="106"/>
        <v>0</v>
      </c>
      <c r="BG100" s="330">
        <f t="shared" si="107"/>
        <v>0</v>
      </c>
      <c r="BH100" s="330">
        <f t="shared" si="108"/>
        <v>0</v>
      </c>
      <c r="BI100" s="330">
        <f t="shared" si="109"/>
        <v>0</v>
      </c>
      <c r="BJ100" s="330">
        <f t="shared" si="110"/>
        <v>0</v>
      </c>
      <c r="BK100" s="330">
        <f t="shared" si="111"/>
        <v>0</v>
      </c>
      <c r="BL100" s="330">
        <f t="shared" si="112"/>
        <v>0</v>
      </c>
      <c r="BM100" s="330">
        <f t="shared" si="113"/>
        <v>0</v>
      </c>
      <c r="BN100" s="330">
        <f t="shared" si="114"/>
        <v>0</v>
      </c>
      <c r="BO100" s="330">
        <f t="shared" si="115"/>
        <v>0</v>
      </c>
      <c r="BP100" s="330">
        <f t="shared" si="116"/>
        <v>0</v>
      </c>
      <c r="BQ100" s="330">
        <f t="shared" si="117"/>
        <v>0</v>
      </c>
      <c r="BR100" s="330">
        <f t="shared" si="118"/>
        <v>0</v>
      </c>
      <c r="BS100" s="330">
        <f t="shared" si="119"/>
        <v>0</v>
      </c>
      <c r="BT100" s="329">
        <f t="shared" si="120"/>
        <v>0</v>
      </c>
      <c r="BU100" s="329">
        <f t="shared" si="120"/>
        <v>0</v>
      </c>
      <c r="BV100" s="329">
        <f t="shared" si="120"/>
        <v>0</v>
      </c>
      <c r="BW100" s="329">
        <f t="shared" si="120"/>
        <v>0</v>
      </c>
      <c r="BX100" s="329">
        <f t="shared" si="120"/>
        <v>0</v>
      </c>
      <c r="BY100" s="329">
        <f t="shared" si="120"/>
        <v>0</v>
      </c>
      <c r="BZ100" s="329">
        <f t="shared" si="120"/>
        <v>0</v>
      </c>
      <c r="CA100" s="329">
        <f t="shared" si="120"/>
        <v>0</v>
      </c>
      <c r="CB100" s="329">
        <f t="shared" si="120"/>
        <v>0</v>
      </c>
      <c r="CC100" s="329">
        <f t="shared" si="120"/>
        <v>0</v>
      </c>
      <c r="CD100" s="329">
        <f t="shared" si="120"/>
        <v>0</v>
      </c>
      <c r="CE100" s="329">
        <f t="shared" si="120"/>
        <v>0</v>
      </c>
      <c r="CF100" s="329">
        <f t="shared" si="120"/>
        <v>0</v>
      </c>
      <c r="CG100" s="329">
        <f t="shared" si="120"/>
        <v>0</v>
      </c>
      <c r="CH100" s="329">
        <f t="shared" si="120"/>
        <v>0</v>
      </c>
      <c r="CI100" s="329">
        <f t="shared" si="120"/>
        <v>0</v>
      </c>
      <c r="CJ100" s="331">
        <f t="shared" si="121"/>
        <v>0</v>
      </c>
      <c r="CK100" s="330">
        <f t="shared" si="122"/>
        <v>0</v>
      </c>
      <c r="CL100" s="330">
        <f t="shared" si="123"/>
        <v>0</v>
      </c>
      <c r="CM100" s="330">
        <f t="shared" si="124"/>
        <v>0</v>
      </c>
      <c r="CN100" s="330">
        <f t="shared" si="125"/>
        <v>0</v>
      </c>
      <c r="CO100" s="330">
        <f t="shared" si="126"/>
        <v>0</v>
      </c>
      <c r="CP100" s="330">
        <f t="shared" si="127"/>
        <v>0</v>
      </c>
      <c r="CQ100" s="330">
        <f t="shared" si="94"/>
        <v>0</v>
      </c>
      <c r="CR100" s="330">
        <f t="shared" si="128"/>
        <v>0</v>
      </c>
      <c r="CS100" s="330">
        <f t="shared" si="129"/>
        <v>0</v>
      </c>
      <c r="CT100" s="330">
        <f t="shared" si="130"/>
        <v>0</v>
      </c>
      <c r="CU100" s="330">
        <f t="shared" si="131"/>
        <v>0</v>
      </c>
      <c r="CV100" s="330">
        <f t="shared" si="131"/>
        <v>0</v>
      </c>
      <c r="CW100" s="330">
        <f t="shared" si="131"/>
        <v>0</v>
      </c>
      <c r="CX100" s="330">
        <f t="shared" si="131"/>
        <v>0</v>
      </c>
      <c r="CY100" s="330">
        <f t="shared" si="131"/>
        <v>0</v>
      </c>
      <c r="CZ100" s="330">
        <f t="shared" si="131"/>
        <v>0</v>
      </c>
      <c r="DA100" s="330">
        <f t="shared" si="131"/>
        <v>0</v>
      </c>
      <c r="DB100" s="330">
        <f t="shared" si="131"/>
        <v>0</v>
      </c>
      <c r="DC100" s="330">
        <f t="shared" si="131"/>
        <v>0</v>
      </c>
      <c r="DD100" s="330">
        <f t="shared" si="131"/>
        <v>0</v>
      </c>
      <c r="DE100" s="330">
        <f t="shared" si="132"/>
        <v>0</v>
      </c>
      <c r="DF100" s="330">
        <f t="shared" si="132"/>
        <v>0</v>
      </c>
      <c r="DG100" s="330">
        <f t="shared" si="132"/>
        <v>0</v>
      </c>
      <c r="DH100" s="330">
        <f t="shared" si="132"/>
        <v>0</v>
      </c>
      <c r="DI100" s="330">
        <f t="shared" si="132"/>
        <v>0</v>
      </c>
      <c r="DJ100" s="330">
        <f t="shared" si="132"/>
        <v>0</v>
      </c>
      <c r="DK100" s="330">
        <f t="shared" si="132"/>
        <v>0</v>
      </c>
      <c r="DL100" s="330">
        <f t="shared" si="132"/>
        <v>0</v>
      </c>
      <c r="DM100" s="330">
        <f t="shared" si="132"/>
        <v>0</v>
      </c>
      <c r="DN100" s="330">
        <f t="shared" si="132"/>
        <v>0</v>
      </c>
      <c r="DO100" s="330">
        <f t="shared" si="132"/>
        <v>0</v>
      </c>
      <c r="DP100" s="330">
        <f t="shared" si="133"/>
        <v>0</v>
      </c>
      <c r="DQ100" s="217"/>
      <c r="DR100" s="217"/>
      <c r="DS100" s="217"/>
      <c r="DT100" s="217"/>
    </row>
    <row r="101" spans="1:124" x14ac:dyDescent="0.3">
      <c r="A101" s="324"/>
      <c r="B101" s="221" t="s">
        <v>305</v>
      </c>
      <c r="C101" s="221" t="str">
        <f>IF(Screening!C31=0,"",Screening!C31)</f>
        <v/>
      </c>
      <c r="D101" s="221" t="str">
        <f>IF(Screening!D31=0,"",Screening!D31)</f>
        <v/>
      </c>
      <c r="E101" s="221" t="str">
        <f>IF(Screening!E31=0,"",Screening!E31)</f>
        <v/>
      </c>
      <c r="F101" s="221" t="str">
        <f>IF(Screening!F31=0,"",Screening!F31)</f>
        <v/>
      </c>
      <c r="G101" s="272">
        <f>Screening!G31*Screening!O31*Conversions!$C$4</f>
        <v>0</v>
      </c>
      <c r="H101" s="272">
        <f>Screening!H31*Screening!P31*Screening!I31*Conversions!$C$4</f>
        <v>0</v>
      </c>
      <c r="I101" s="272">
        <f>Screening!J31*Screening!Q31*(1-Screening!R31)*Conversions!$C$4</f>
        <v>0</v>
      </c>
      <c r="J101" s="325">
        <f>IF(Screening!S31=0,0,Screening!S31)</f>
        <v>0</v>
      </c>
      <c r="K101" s="465"/>
      <c r="L101" s="333">
        <f>IF($F101="",0,IF($F101="Weighted Average",$G101*VLOOKUP($D101&amp;" (Install)",Lists!$C$72:$R$232,COLUMNS(Lists!$C$69:E$69),0)*VLOOKUP(BE$3,Conversions!$B$12:$E$34,4,0),$G101*VLOOKUP($F101,Lists!$C$72:$R$232,COLUMNS(Lists!$C$69:E$69),0)*VLOOKUP(BE$3,Conversions!$B$12:$E$34,4,0)))</f>
        <v>0</v>
      </c>
      <c r="M101" s="333">
        <f>IF($F101="",0,IF($F101="Weighted Average",$G101*VLOOKUP($D101&amp;" (Install)",Lists!$C$72:$R$232,COLUMNS(Lists!$C$69:F$69),0)*VLOOKUP(BF$3,Conversions!$B$12:$E$34,4,0),$G101*VLOOKUP($F101,Lists!$C$72:$R$232,COLUMNS(Lists!$C$69:F$69),0)*VLOOKUP(BF$3,Conversions!$B$12:$E$34,4,0)))</f>
        <v>0</v>
      </c>
      <c r="N101" s="333">
        <f>IF($F101="",0,IF($F101="Weighted Average",$G101*VLOOKUP($D101&amp;" (Install)",Lists!$C$72:$R$232,COLUMNS(Lists!$C$69:G$69),0)*VLOOKUP(BG$3,Conversions!$B$12:$E$34,4,0),$G101*VLOOKUP($F101,Lists!$C$72:$R$232,COLUMNS(Lists!$C$69:G$69),0)*VLOOKUP(BG$3,Conversions!$B$12:$E$34,4,0)))</f>
        <v>0</v>
      </c>
      <c r="O101" s="333">
        <f>IF($F101="",0,IF($F101="Weighted Average",$G101*VLOOKUP($D101&amp;" (Install)",Lists!$C$72:$R$232,COLUMNS(Lists!$C$69:H$69),0)*VLOOKUP(BH$3,Conversions!$B$12:$E$34,4,0),$G101*VLOOKUP($F101,Lists!$C$72:$R$232,COLUMNS(Lists!$C$69:H$69),0)*VLOOKUP(BH$3,Conversions!$B$12:$E$34,4,0)))</f>
        <v>0</v>
      </c>
      <c r="P101" s="333">
        <f>IF($F101="",0,IF($F101="Weighted Average",$G101*VLOOKUP($D101&amp;" (Install)",Lists!$C$72:$R$232,COLUMNS(Lists!$C$69:I$69),0)*VLOOKUP(BI$3,Conversions!$B$12:$E$34,4,0),$G101*VLOOKUP($F101,Lists!$C$72:$R$232,COLUMNS(Lists!$C$69:I$69),0)*VLOOKUP(BI$3,Conversions!$B$12:$E$34,4,0)))</f>
        <v>0</v>
      </c>
      <c r="Q101" s="333">
        <f>IF($F101="",0,IF($F101="Weighted Average",$G101*VLOOKUP($D101&amp;" (Install)",Lists!$C$72:$R$232,COLUMNS(Lists!$C$69:J$69),0)*VLOOKUP(BJ$3,Conversions!$B$12:$E$34,4,0),$G101*VLOOKUP($F101,Lists!$C$72:$R$232,COLUMNS(Lists!$C$69:J$69),0)*VLOOKUP(BJ$3,Conversions!$B$12:$E$34,4,0)))</f>
        <v>0</v>
      </c>
      <c r="R101" s="333">
        <f>IF($F101="",0,IF($F101="Weighted Average",$G101*VLOOKUP($D101&amp;" (Install)",Lists!$C$72:$R$232,COLUMNS(Lists!$C$69:K$69),0)*VLOOKUP(BK$3,Conversions!$B$12:$E$34,4,0),$G101*VLOOKUP($F101,Lists!$C$72:$R$232,COLUMNS(Lists!$C$69:K$69),0)*VLOOKUP(BK$3,Conversions!$B$12:$E$34,4,0)))</f>
        <v>0</v>
      </c>
      <c r="S101" s="333">
        <f>IF($F101="",0,IF($F101="Weighted Average",$G101*VLOOKUP($D101&amp;" (Install)",Lists!$C$72:$R$232,COLUMNS(Lists!$C$69:L$69),0)*VLOOKUP(BL$3,Conversions!$B$12:$E$34,4,0),$G101*VLOOKUP($F101,Lists!$C$72:$R$232,COLUMNS(Lists!$C$69:L$69),0)*VLOOKUP(BL$3,Conversions!$B$12:$E$34,4,0)))</f>
        <v>0</v>
      </c>
      <c r="T101" s="333">
        <f>IF($F101="",0,IF($F101="Weighted Average",$G101*VLOOKUP($D101&amp;" (Install)",Lists!$C$72:$R$232,COLUMNS(Lists!$C$69:M$69),0)*VLOOKUP(BM$3,Conversions!$B$12:$E$34,4,0),$G101*VLOOKUP($F101,Lists!$C$72:$R$232,COLUMNS(Lists!$C$69:M$69),0)*VLOOKUP(BM$3,Conversions!$B$12:$E$34,4,0)))</f>
        <v>0</v>
      </c>
      <c r="U101" s="333">
        <f>IF($F101="",0,IF($F101="Weighted Average",$G101*VLOOKUP($D101&amp;" (Install)",Lists!$C$72:$R$232,COLUMNS(Lists!$C$69:N$69),0)*VLOOKUP(BN$3,Conversions!$B$12:$E$34,4,0),$G101*VLOOKUP($F101,Lists!$C$72:$R$232,COLUMNS(Lists!$C$69:N$69),0)*VLOOKUP(BN$3,Conversions!$B$12:$E$34,4,0)))</f>
        <v>0</v>
      </c>
      <c r="V101" s="333">
        <f>IF($F101="",0,IF($F101="Weighted Average",$G101*VLOOKUP($D101&amp;" (Install)",Lists!$C$72:$R$232,COLUMNS(Lists!$C$69:O$69),0)*VLOOKUP(BO$3,Conversions!$B$12:$E$34,4,0),$G101*VLOOKUP($F101,Lists!$C$72:$R$232,COLUMNS(Lists!$C$69:O$69),0)*VLOOKUP(BO$3,Conversions!$B$12:$E$34,4,0)))</f>
        <v>0</v>
      </c>
      <c r="W101" s="333">
        <f>IF($F101="",0,IF($F101="Weighted Average",$G101*VLOOKUP($D101&amp;" (Install)",Lists!$C$72:$R$232,COLUMNS(Lists!$C$69:P$69),0)*VLOOKUP(BP$3,Conversions!$B$12:$E$34,4,0),$G101*VLOOKUP($F101,Lists!$C$72:$R$232,COLUMNS(Lists!$C$69:P$69),0)*VLOOKUP(BP$3,Conversions!$B$12:$E$34,4,0)))</f>
        <v>0</v>
      </c>
      <c r="X101" s="333">
        <f>IF($F101="",0,IF($F101="Weighted Average",$G101*VLOOKUP($D101&amp;" (Install)",Lists!$C$72:$R$232,COLUMNS(Lists!$C$69:Q$69),0)*VLOOKUP(BQ$3,Conversions!$B$12:$E$34,4,0),$G101*VLOOKUP($F101,Lists!$C$72:$R$232,COLUMNS(Lists!$C$69:Q$69),0)*VLOOKUP(BQ$3,Conversions!$B$12:$E$34,4,0)))</f>
        <v>0</v>
      </c>
      <c r="Y101" s="333">
        <f>IF($F101="",0,IF($F101="Weighted Average",$G101*VLOOKUP($D101&amp;" (Install)",Lists!$C$72:$R$232,COLUMNS(Lists!$C$69:R$69),0)*VLOOKUP(BR$3,Conversions!$B$12:$E$34,4,0),$G101*VLOOKUP($F101,Lists!$C$72:$R$232,COLUMNS(Lists!$C$69:R$69),0)*VLOOKUP(BR$3,Conversions!$B$12:$E$34,4,0)))</f>
        <v>0</v>
      </c>
      <c r="Z101" s="325">
        <f t="shared" si="102"/>
        <v>0</v>
      </c>
      <c r="AA101" s="334">
        <f>IF($F101="",0,IF($F101="Weighted Average",$H101*VLOOKUP($D101&amp;" (Operation)",Lists!$C$72:$R$232,COLUMNS(Lists!$C$69:E$69),0)*VLOOKUP(BE$3,Conversions!$B$12:$E$34,4,0),$H101*VLOOKUP($F101,Lists!$C$72:$R$232,COLUMNS(Lists!$C$69:E$69),0)*VLOOKUP(BE$3,Conversions!$B$12:$E$34,4,0)))</f>
        <v>0</v>
      </c>
      <c r="AB101" s="334">
        <f>IF($F101="",0,IF($F101="Weighted Average",$H101*VLOOKUP($D101&amp;" (Operation)",Lists!$C$72:$R$232,COLUMNS(Lists!$C$69:F$69),0)*VLOOKUP(BF$3,Conversions!$B$12:$E$34,4,0),$H101*VLOOKUP($F101,Lists!$C$72:$R$232,COLUMNS(Lists!$C$69:F$69),0)*VLOOKUP(BF$3,Conversions!$B$12:$E$34,4,0)))</f>
        <v>0</v>
      </c>
      <c r="AC101" s="334">
        <f>IF($F101="",0,IF($F101="Weighted Average",$H101*VLOOKUP($D101&amp;" (Operation)",Lists!$C$72:$R$232,COLUMNS(Lists!$C$69:G$69),0)*VLOOKUP(BG$3,Conversions!$B$12:$E$34,4,0),$H101*VLOOKUP($F101,Lists!$C$72:$R$232,COLUMNS(Lists!$C$69:G$69),0)*VLOOKUP(BG$3,Conversions!$B$12:$E$34,4,0)))</f>
        <v>0</v>
      </c>
      <c r="AD101" s="334">
        <f>IF($F101="",0,IF($F101="Weighted Average",$H101*VLOOKUP($D101&amp;" (Operation)",Lists!$C$72:$R$232,COLUMNS(Lists!$C$69:H$69),0)*VLOOKUP(BH$3,Conversions!$B$12:$E$34,4,0),$H101*VLOOKUP($F101,Lists!$C$72:$R$232,COLUMNS(Lists!$C$69:H$69),0)*VLOOKUP(BH$3,Conversions!$B$12:$E$34,4,0)))</f>
        <v>0</v>
      </c>
      <c r="AE101" s="334">
        <f>IF($F101="",0,IF($F101="Weighted Average",$H101*VLOOKUP($D101&amp;" (Operation)",Lists!$C$72:$R$232,COLUMNS(Lists!$C$69:I$69),0)*VLOOKUP(BI$3,Conversions!$B$12:$E$34,4,0),$H101*VLOOKUP($F101,Lists!$C$72:$R$232,COLUMNS(Lists!$C$69:I$69),0)*VLOOKUP(BI$3,Conversions!$B$12:$E$34,4,0)))</f>
        <v>0</v>
      </c>
      <c r="AF101" s="334">
        <f>IF($F101="",0,IF($F101="Weighted Average",$H101*VLOOKUP($D101&amp;" (Operation)",Lists!$C$72:$R$232,COLUMNS(Lists!$C$69:J$69),0)*VLOOKUP(BJ$3,Conversions!$B$12:$E$34,4,0),$H101*VLOOKUP($F101,Lists!$C$72:$R$232,COLUMNS(Lists!$C$69:J$69),0)*VLOOKUP(BJ$3,Conversions!$B$12:$E$34,4,0)))</f>
        <v>0</v>
      </c>
      <c r="AG101" s="334">
        <f>IF($F101="",0,IF($F101="Weighted Average",$H101*VLOOKUP($D101&amp;" (Operation)",Lists!$C$72:$R$232,COLUMNS(Lists!$C$69:K$69),0)*VLOOKUP(BK$3,Conversions!$B$12:$E$34,4,0),$H101*VLOOKUP($F101,Lists!$C$72:$R$232,COLUMNS(Lists!$C$69:K$69),0)*VLOOKUP(BK$3,Conversions!$B$12:$E$34,4,0)))</f>
        <v>0</v>
      </c>
      <c r="AH101" s="334">
        <f>IF($F101="",0,IF($F101="Weighted Average",$H101*VLOOKUP($D101&amp;" (Operation)",Lists!$C$72:$R$232,COLUMNS(Lists!$C$69:L$69),0)*VLOOKUP(BL$3,Conversions!$B$12:$E$34,4,0),$H101*VLOOKUP($F101,Lists!$C$72:$R$232,COLUMNS(Lists!$C$69:L$69),0)*VLOOKUP(BL$3,Conversions!$B$12:$E$34,4,0)))</f>
        <v>0</v>
      </c>
      <c r="AI101" s="334">
        <f>IF($F101="",0,IF($F101="Weighted Average",$H101*VLOOKUP($D101&amp;" (Operation)",Lists!$C$72:$R$232,COLUMNS(Lists!$C$69:M$69),0)*VLOOKUP(BM$3,Conversions!$B$12:$E$34,4,0),$H101*VLOOKUP($F101,Lists!$C$72:$R$232,COLUMNS(Lists!$C$69:M$69),0)*VLOOKUP(BM$3,Conversions!$B$12:$E$34,4,0)))</f>
        <v>0</v>
      </c>
      <c r="AJ101" s="334">
        <f>IF($F101="",0,IF($F101="Weighted Average",$H101*VLOOKUP($D101&amp;" (Operation)",Lists!$C$72:$R$232,COLUMNS(Lists!$C$69:N$69),0)*VLOOKUP(BN$3,Conversions!$B$12:$E$34,4,0),$H101*VLOOKUP($F101,Lists!$C$72:$R$232,COLUMNS(Lists!$C$69:N$69),0)*VLOOKUP(BN$3,Conversions!$B$12:$E$34,4,0)))</f>
        <v>0</v>
      </c>
      <c r="AK101" s="334">
        <f>IF($F101="",0,IF($F101="Weighted Average",$H101*VLOOKUP($D101&amp;" (Operation)",Lists!$C$72:$R$232,COLUMNS(Lists!$C$69:O$69),0)*VLOOKUP(BO$3,Conversions!$B$12:$E$34,4,0),$H101*VLOOKUP($F101,Lists!$C$72:$R$232,COLUMNS(Lists!$C$69:O$69),0)*VLOOKUP(BO$3,Conversions!$B$12:$E$34,4,0)))</f>
        <v>0</v>
      </c>
      <c r="AL101" s="334">
        <f>IF($F101="",0,IF($F101="Weighted Average",$H101*VLOOKUP($D101&amp;" (Operation)",Lists!$C$72:$R$232,COLUMNS(Lists!$C$69:P$69),0)*VLOOKUP(BP$3,Conversions!$B$12:$E$34,4,0),$H101*VLOOKUP($F101,Lists!$C$72:$R$232,COLUMNS(Lists!$C$69:P$69),0)*VLOOKUP(BP$3,Conversions!$B$12:$E$34,4,0)))</f>
        <v>0</v>
      </c>
      <c r="AM101" s="334">
        <f>IF($F101="",0,IF($F101="Weighted Average",$H101*VLOOKUP($D101&amp;" (Operation)",Lists!$C$72:$R$232,COLUMNS(Lists!$C$69:Q$69),0)*VLOOKUP(BQ$3,Conversions!$B$12:$E$34,4,0),$H101*VLOOKUP($F101,Lists!$C$72:$R$232,COLUMNS(Lists!$C$69:Q$69),0)*VLOOKUP(BQ$3,Conversions!$B$12:$E$34,4,0)))</f>
        <v>0</v>
      </c>
      <c r="AN101" s="334">
        <f>IF($F101="",0,IF($F101="Weighted Average",$H101*VLOOKUP($D101&amp;" (Operation)",Lists!$C$72:$R$232,COLUMNS(Lists!$C$69:R$69),0)*VLOOKUP(BR$3,Conversions!$B$12:$E$34,4,0),$H101*VLOOKUP($F101,Lists!$C$72:$R$232,COLUMNS(Lists!$C$69:R$69),0)*VLOOKUP(BR$3,Conversions!$B$12:$E$34,4,0)))</f>
        <v>0</v>
      </c>
      <c r="AO101" s="330">
        <f t="shared" si="103"/>
        <v>0</v>
      </c>
      <c r="AP101" s="333">
        <f>IF($F101="",0,IF($F101="Weighted Average",$I101*VLOOKUP($D101&amp;" (Disposal)",Lists!$C$72:$R$232,COLUMNS(Lists!$C$69:E$69),0)*VLOOKUP(BE$3,Conversions!$B$12:$E$34,4,0),$I101*VLOOKUP($F101,Lists!$C$72:$R$232,COLUMNS(Lists!$C$69:E$69),0)*VLOOKUP(BE$3,Conversions!$B$12:$E$34,4,0)))</f>
        <v>0</v>
      </c>
      <c r="AQ101" s="333">
        <f>IF($F101="",0,IF($F101="Weighted Average",$I101*VLOOKUP($D101&amp;" (Disposal)",Lists!$C$72:$R$232,COLUMNS(Lists!$C$69:F$69),0)*VLOOKUP(BF$3,Conversions!$B$12:$E$34,4,0),$I101*VLOOKUP($F101,Lists!$C$72:$R$232,COLUMNS(Lists!$C$69:F$69),0)*VLOOKUP(BF$3,Conversions!$B$12:$E$34,4,0)))</f>
        <v>0</v>
      </c>
      <c r="AR101" s="333">
        <f>IF($F101="",0,IF($F101="Weighted Average",$I101*VLOOKUP($D101&amp;" (Disposal)",Lists!$C$72:$R$232,COLUMNS(Lists!$C$69:G$69),0)*VLOOKUP(BG$3,Conversions!$B$12:$E$34,4,0),$I101*VLOOKUP($F101,Lists!$C$72:$R$232,COLUMNS(Lists!$C$69:G$69),0)*VLOOKUP(BG$3,Conversions!$B$12:$E$34,4,0)))</f>
        <v>0</v>
      </c>
      <c r="AS101" s="333">
        <f>IF($F101="",0,IF($F101="Weighted Average",$I101*VLOOKUP($D101&amp;" (Disposal)",Lists!$C$72:$R$232,COLUMNS(Lists!$C$69:H$69),0)*VLOOKUP(BH$3,Conversions!$B$12:$E$34,4,0),$I101*VLOOKUP($F101,Lists!$C$72:$R$232,COLUMNS(Lists!$C$69:H$69),0)*VLOOKUP(BH$3,Conversions!$B$12:$E$34,4,0)))</f>
        <v>0</v>
      </c>
      <c r="AT101" s="333">
        <f>IF($F101="",0,IF($F101="Weighted Average",$I101*VLOOKUP($D101&amp;" (Disposal)",Lists!$C$72:$R$232,COLUMNS(Lists!$C$69:I$69),0)*VLOOKUP(BI$3,Conversions!$B$12:$E$34,4,0),$I101*VLOOKUP($F101,Lists!$C$72:$R$232,COLUMNS(Lists!$C$69:I$69),0)*VLOOKUP(BI$3,Conversions!$B$12:$E$34,4,0)))</f>
        <v>0</v>
      </c>
      <c r="AU101" s="333">
        <f>IF($F101="",0,IF($F101="Weighted Average",$I101*VLOOKUP($D101&amp;" (Disposal)",Lists!$C$72:$R$232,COLUMNS(Lists!$C$69:J$69),0)*VLOOKUP(BJ$3,Conversions!$B$12:$E$34,4,0),$I101*VLOOKUP($F101,Lists!$C$72:$R$232,COLUMNS(Lists!$C$69:J$69),0)*VLOOKUP(BJ$3,Conversions!$B$12:$E$34,4,0)))</f>
        <v>0</v>
      </c>
      <c r="AV101" s="333">
        <f>IF($F101="",0,IF($F101="Weighted Average",$I101*VLOOKUP($D101&amp;" (Disposal)",Lists!$C$72:$R$232,COLUMNS(Lists!$C$69:K$69),0)*VLOOKUP(BK$3,Conversions!$B$12:$E$34,4,0),$I101*VLOOKUP($F101,Lists!$C$72:$R$232,COLUMNS(Lists!$C$69:K$69),0)*VLOOKUP(BK$3,Conversions!$B$12:$E$34,4,0)))</f>
        <v>0</v>
      </c>
      <c r="AW101" s="333">
        <f>IF($F101="",0,IF($F101="Weighted Average",$I101*VLOOKUP($D101&amp;" (Disposal)",Lists!$C$72:$R$232,COLUMNS(Lists!$C$69:L$69),0)*VLOOKUP(BL$3,Conversions!$B$12:$E$34,4,0),$I101*VLOOKUP($F101,Lists!$C$72:$R$232,COLUMNS(Lists!$C$69:L$69),0)*VLOOKUP(BL$3,Conversions!$B$12:$E$34,4,0)))</f>
        <v>0</v>
      </c>
      <c r="AX101" s="333">
        <f>IF($F101="",0,IF($F101="Weighted Average",$I101*VLOOKUP($D101&amp;" (Disposal)",Lists!$C$72:$R$232,COLUMNS(Lists!$C$69:M$69),0)*VLOOKUP(BM$3,Conversions!$B$12:$E$34,4,0),$I101*VLOOKUP($F101,Lists!$C$72:$R$232,COLUMNS(Lists!$C$69:M$69),0)*VLOOKUP(BM$3,Conversions!$B$12:$E$34,4,0)))</f>
        <v>0</v>
      </c>
      <c r="AY101" s="333">
        <f>IF($F101="",0,IF($F101="Weighted Average",$I101*VLOOKUP($D101&amp;" (Disposal)",Lists!$C$72:$R$232,COLUMNS(Lists!$C$69:N$69),0)*VLOOKUP(BN$3,Conversions!$B$12:$E$34,4,0),$I101*VLOOKUP($F101,Lists!$C$72:$R$232,COLUMNS(Lists!$C$69:N$69),0)*VLOOKUP(BN$3,Conversions!$B$12:$E$34,4,0)))</f>
        <v>0</v>
      </c>
      <c r="AZ101" s="333">
        <f>IF($F101="",0,IF($F101="Weighted Average",$I101*VLOOKUP($D101&amp;" (Disposal)",Lists!$C$72:$R$232,COLUMNS(Lists!$C$69:O$69),0)*VLOOKUP(BO$3,Conversions!$B$12:$E$34,4,0),$I101*VLOOKUP($F101,Lists!$C$72:$R$232,COLUMNS(Lists!$C$69:O$69),0)*VLOOKUP(BO$3,Conversions!$B$12:$E$34,4,0)))</f>
        <v>0</v>
      </c>
      <c r="BA101" s="333">
        <f>IF($F101="",0,IF($F101="Weighted Average",$I101*VLOOKUP($D101&amp;" (Disposal)",Lists!$C$72:$R$232,COLUMNS(Lists!$C$69:P$69),0)*VLOOKUP(BP$3,Conversions!$B$12:$E$34,4,0),$I101*VLOOKUP($F101,Lists!$C$72:$R$232,COLUMNS(Lists!$C$69:P$69),0)*VLOOKUP(BP$3,Conversions!$B$12:$E$34,4,0)))</f>
        <v>0</v>
      </c>
      <c r="BB101" s="333">
        <f>IF($F101="",0,IF($F101="Weighted Average",$I101*VLOOKUP($D101&amp;" (Disposal)",Lists!$C$72:$R$232,COLUMNS(Lists!$C$69:Q$69),0)*VLOOKUP(BQ$3,Conversions!$B$12:$E$34,4,0),$I101*VLOOKUP($F101,Lists!$C$72:$R$232,COLUMNS(Lists!$C$69:Q$69),0)*VLOOKUP(BQ$3,Conversions!$B$12:$E$34,4,0)))</f>
        <v>0</v>
      </c>
      <c r="BC101" s="333">
        <f>IF($F101="",0,IF($F101="Weighted Average",$I101*VLOOKUP($D101&amp;" (Disposal)",Lists!$C$72:$R$232,COLUMNS(Lists!$C$69:R$69),0)*VLOOKUP(BR$3,Conversions!$B$12:$E$34,4,0),$I101*VLOOKUP($F101,Lists!$C$72:$R$232,COLUMNS(Lists!$C$69:R$69),0)*VLOOKUP(BR$3,Conversions!$B$12:$E$34,4,0)))</f>
        <v>0</v>
      </c>
      <c r="BD101" s="333">
        <f t="shared" si="104"/>
        <v>0</v>
      </c>
      <c r="BE101" s="330">
        <f t="shared" si="105"/>
        <v>0</v>
      </c>
      <c r="BF101" s="330">
        <f t="shared" si="106"/>
        <v>0</v>
      </c>
      <c r="BG101" s="330">
        <f t="shared" si="107"/>
        <v>0</v>
      </c>
      <c r="BH101" s="330">
        <f t="shared" si="108"/>
        <v>0</v>
      </c>
      <c r="BI101" s="330">
        <f t="shared" si="109"/>
        <v>0</v>
      </c>
      <c r="BJ101" s="330">
        <f t="shared" si="110"/>
        <v>0</v>
      </c>
      <c r="BK101" s="330">
        <f t="shared" si="111"/>
        <v>0</v>
      </c>
      <c r="BL101" s="330">
        <f t="shared" si="112"/>
        <v>0</v>
      </c>
      <c r="BM101" s="330">
        <f t="shared" si="113"/>
        <v>0</v>
      </c>
      <c r="BN101" s="330">
        <f t="shared" si="114"/>
        <v>0</v>
      </c>
      <c r="BO101" s="330">
        <f t="shared" si="115"/>
        <v>0</v>
      </c>
      <c r="BP101" s="330">
        <f t="shared" si="116"/>
        <v>0</v>
      </c>
      <c r="BQ101" s="330">
        <f t="shared" si="117"/>
        <v>0</v>
      </c>
      <c r="BR101" s="330">
        <f t="shared" si="118"/>
        <v>0</v>
      </c>
      <c r="BS101" s="330">
        <f t="shared" si="119"/>
        <v>0</v>
      </c>
      <c r="BT101" s="329">
        <f t="shared" si="120"/>
        <v>0</v>
      </c>
      <c r="BU101" s="329">
        <f t="shared" si="120"/>
        <v>0</v>
      </c>
      <c r="BV101" s="329">
        <f t="shared" si="120"/>
        <v>0</v>
      </c>
      <c r="BW101" s="329">
        <f t="shared" si="120"/>
        <v>0</v>
      </c>
      <c r="BX101" s="329">
        <f t="shared" si="120"/>
        <v>0</v>
      </c>
      <c r="BY101" s="329">
        <f t="shared" si="120"/>
        <v>0</v>
      </c>
      <c r="BZ101" s="329">
        <f t="shared" si="120"/>
        <v>0</v>
      </c>
      <c r="CA101" s="329">
        <f t="shared" si="120"/>
        <v>0</v>
      </c>
      <c r="CB101" s="329">
        <f t="shared" si="120"/>
        <v>0</v>
      </c>
      <c r="CC101" s="329">
        <f t="shared" si="120"/>
        <v>0</v>
      </c>
      <c r="CD101" s="329">
        <f t="shared" si="120"/>
        <v>0</v>
      </c>
      <c r="CE101" s="329">
        <f t="shared" si="120"/>
        <v>0</v>
      </c>
      <c r="CF101" s="329">
        <f t="shared" si="120"/>
        <v>0</v>
      </c>
      <c r="CG101" s="329">
        <f t="shared" si="120"/>
        <v>0</v>
      </c>
      <c r="CH101" s="329">
        <f t="shared" si="120"/>
        <v>0</v>
      </c>
      <c r="CI101" s="329">
        <f t="shared" si="120"/>
        <v>0</v>
      </c>
      <c r="CJ101" s="331">
        <f t="shared" si="121"/>
        <v>0</v>
      </c>
      <c r="CK101" s="330">
        <f t="shared" si="122"/>
        <v>0</v>
      </c>
      <c r="CL101" s="330">
        <f t="shared" si="123"/>
        <v>0</v>
      </c>
      <c r="CM101" s="330">
        <f t="shared" si="124"/>
        <v>0</v>
      </c>
      <c r="CN101" s="330">
        <f t="shared" si="125"/>
        <v>0</v>
      </c>
      <c r="CO101" s="330">
        <f t="shared" si="126"/>
        <v>0</v>
      </c>
      <c r="CP101" s="330">
        <f t="shared" si="127"/>
        <v>0</v>
      </c>
      <c r="CQ101" s="330">
        <f t="shared" si="94"/>
        <v>0</v>
      </c>
      <c r="CR101" s="330">
        <f t="shared" si="128"/>
        <v>0</v>
      </c>
      <c r="CS101" s="330">
        <f t="shared" si="129"/>
        <v>0</v>
      </c>
      <c r="CT101" s="330">
        <f t="shared" si="130"/>
        <v>0</v>
      </c>
      <c r="CU101" s="330">
        <f t="shared" si="131"/>
        <v>0</v>
      </c>
      <c r="CV101" s="330">
        <f t="shared" si="131"/>
        <v>0</v>
      </c>
      <c r="CW101" s="330">
        <f t="shared" si="131"/>
        <v>0</v>
      </c>
      <c r="CX101" s="330">
        <f t="shared" si="131"/>
        <v>0</v>
      </c>
      <c r="CY101" s="330">
        <f t="shared" si="131"/>
        <v>0</v>
      </c>
      <c r="CZ101" s="330">
        <f t="shared" si="131"/>
        <v>0</v>
      </c>
      <c r="DA101" s="330">
        <f t="shared" si="131"/>
        <v>0</v>
      </c>
      <c r="DB101" s="330">
        <f t="shared" si="131"/>
        <v>0</v>
      </c>
      <c r="DC101" s="330">
        <f t="shared" si="131"/>
        <v>0</v>
      </c>
      <c r="DD101" s="330">
        <f t="shared" si="131"/>
        <v>0</v>
      </c>
      <c r="DE101" s="330">
        <f t="shared" si="132"/>
        <v>0</v>
      </c>
      <c r="DF101" s="330">
        <f t="shared" si="132"/>
        <v>0</v>
      </c>
      <c r="DG101" s="330">
        <f t="shared" si="132"/>
        <v>0</v>
      </c>
      <c r="DH101" s="330">
        <f t="shared" si="132"/>
        <v>0</v>
      </c>
      <c r="DI101" s="330">
        <f t="shared" si="132"/>
        <v>0</v>
      </c>
      <c r="DJ101" s="330">
        <f t="shared" si="132"/>
        <v>0</v>
      </c>
      <c r="DK101" s="330">
        <f t="shared" si="132"/>
        <v>0</v>
      </c>
      <c r="DL101" s="330">
        <f t="shared" si="132"/>
        <v>0</v>
      </c>
      <c r="DM101" s="330">
        <f t="shared" si="132"/>
        <v>0</v>
      </c>
      <c r="DN101" s="330">
        <f t="shared" si="132"/>
        <v>0</v>
      </c>
      <c r="DO101" s="330">
        <f t="shared" si="132"/>
        <v>0</v>
      </c>
      <c r="DP101" s="330">
        <f t="shared" si="133"/>
        <v>0</v>
      </c>
      <c r="DQ101" s="217"/>
      <c r="DR101" s="217"/>
      <c r="DS101" s="217"/>
      <c r="DT101" s="217"/>
    </row>
    <row r="102" spans="1:124" x14ac:dyDescent="0.3">
      <c r="A102" s="324"/>
      <c r="B102" s="221" t="s">
        <v>305</v>
      </c>
      <c r="C102" s="221" t="str">
        <f>IF(Screening!C32=0,"",Screening!C32)</f>
        <v/>
      </c>
      <c r="D102" s="221" t="str">
        <f>IF(Screening!D32=0,"",Screening!D32)</f>
        <v/>
      </c>
      <c r="E102" s="221" t="str">
        <f>IF(Screening!E32=0,"",Screening!E32)</f>
        <v/>
      </c>
      <c r="F102" s="221" t="str">
        <f>IF(Screening!F32=0,"",Screening!F32)</f>
        <v/>
      </c>
      <c r="G102" s="272">
        <f>Screening!G32*Screening!O32*Conversions!$C$4</f>
        <v>0</v>
      </c>
      <c r="H102" s="272">
        <f>Screening!H32*Screening!P32*Screening!I32*Conversions!$C$4</f>
        <v>0</v>
      </c>
      <c r="I102" s="272">
        <f>Screening!J32*Screening!Q32*(1-Screening!R32)*Conversions!$C$4</f>
        <v>0</v>
      </c>
      <c r="J102" s="325">
        <f>IF(Screening!S32=0,0,Screening!S32)</f>
        <v>0</v>
      </c>
      <c r="K102" s="465"/>
      <c r="L102" s="333">
        <f>IF($F102="",0,IF($F102="Weighted Average",$G102*VLOOKUP($D102&amp;" (Install)",Lists!$C$72:$R$232,COLUMNS(Lists!$C$69:E$69),0)*VLOOKUP(BE$3,Conversions!$B$12:$E$34,4,0),$G102*VLOOKUP($F102,Lists!$C$72:$R$232,COLUMNS(Lists!$C$69:E$69),0)*VLOOKUP(BE$3,Conversions!$B$12:$E$34,4,0)))</f>
        <v>0</v>
      </c>
      <c r="M102" s="333">
        <f>IF($F102="",0,IF($F102="Weighted Average",$G102*VLOOKUP($D102&amp;" (Install)",Lists!$C$72:$R$232,COLUMNS(Lists!$C$69:F$69),0)*VLOOKUP(BF$3,Conversions!$B$12:$E$34,4,0),$G102*VLOOKUP($F102,Lists!$C$72:$R$232,COLUMNS(Lists!$C$69:F$69),0)*VLOOKUP(BF$3,Conversions!$B$12:$E$34,4,0)))</f>
        <v>0</v>
      </c>
      <c r="N102" s="333">
        <f>IF($F102="",0,IF($F102="Weighted Average",$G102*VLOOKUP($D102&amp;" (Install)",Lists!$C$72:$R$232,COLUMNS(Lists!$C$69:G$69),0)*VLOOKUP(BG$3,Conversions!$B$12:$E$34,4,0),$G102*VLOOKUP($F102,Lists!$C$72:$R$232,COLUMNS(Lists!$C$69:G$69),0)*VLOOKUP(BG$3,Conversions!$B$12:$E$34,4,0)))</f>
        <v>0</v>
      </c>
      <c r="O102" s="333">
        <f>IF($F102="",0,IF($F102="Weighted Average",$G102*VLOOKUP($D102&amp;" (Install)",Lists!$C$72:$R$232,COLUMNS(Lists!$C$69:H$69),0)*VLOOKUP(BH$3,Conversions!$B$12:$E$34,4,0),$G102*VLOOKUP($F102,Lists!$C$72:$R$232,COLUMNS(Lists!$C$69:H$69),0)*VLOOKUP(BH$3,Conversions!$B$12:$E$34,4,0)))</f>
        <v>0</v>
      </c>
      <c r="P102" s="333">
        <f>IF($F102="",0,IF($F102="Weighted Average",$G102*VLOOKUP($D102&amp;" (Install)",Lists!$C$72:$R$232,COLUMNS(Lists!$C$69:I$69),0)*VLOOKUP(BI$3,Conversions!$B$12:$E$34,4,0),$G102*VLOOKUP($F102,Lists!$C$72:$R$232,COLUMNS(Lists!$C$69:I$69),0)*VLOOKUP(BI$3,Conversions!$B$12:$E$34,4,0)))</f>
        <v>0</v>
      </c>
      <c r="Q102" s="333">
        <f>IF($F102="",0,IF($F102="Weighted Average",$G102*VLOOKUP($D102&amp;" (Install)",Lists!$C$72:$R$232,COLUMNS(Lists!$C$69:J$69),0)*VLOOKUP(BJ$3,Conversions!$B$12:$E$34,4,0),$G102*VLOOKUP($F102,Lists!$C$72:$R$232,COLUMNS(Lists!$C$69:J$69),0)*VLOOKUP(BJ$3,Conversions!$B$12:$E$34,4,0)))</f>
        <v>0</v>
      </c>
      <c r="R102" s="333">
        <f>IF($F102="",0,IF($F102="Weighted Average",$G102*VLOOKUP($D102&amp;" (Install)",Lists!$C$72:$R$232,COLUMNS(Lists!$C$69:K$69),0)*VLOOKUP(BK$3,Conversions!$B$12:$E$34,4,0),$G102*VLOOKUP($F102,Lists!$C$72:$R$232,COLUMNS(Lists!$C$69:K$69),0)*VLOOKUP(BK$3,Conversions!$B$12:$E$34,4,0)))</f>
        <v>0</v>
      </c>
      <c r="S102" s="333">
        <f>IF($F102="",0,IF($F102="Weighted Average",$G102*VLOOKUP($D102&amp;" (Install)",Lists!$C$72:$R$232,COLUMNS(Lists!$C$69:L$69),0)*VLOOKUP(BL$3,Conversions!$B$12:$E$34,4,0),$G102*VLOOKUP($F102,Lists!$C$72:$R$232,COLUMNS(Lists!$C$69:L$69),0)*VLOOKUP(BL$3,Conversions!$B$12:$E$34,4,0)))</f>
        <v>0</v>
      </c>
      <c r="T102" s="333">
        <f>IF($F102="",0,IF($F102="Weighted Average",$G102*VLOOKUP($D102&amp;" (Install)",Lists!$C$72:$R$232,COLUMNS(Lists!$C$69:M$69),0)*VLOOKUP(BM$3,Conversions!$B$12:$E$34,4,0),$G102*VLOOKUP($F102,Lists!$C$72:$R$232,COLUMNS(Lists!$C$69:M$69),0)*VLOOKUP(BM$3,Conversions!$B$12:$E$34,4,0)))</f>
        <v>0</v>
      </c>
      <c r="U102" s="333">
        <f>IF($F102="",0,IF($F102="Weighted Average",$G102*VLOOKUP($D102&amp;" (Install)",Lists!$C$72:$R$232,COLUMNS(Lists!$C$69:N$69),0)*VLOOKUP(BN$3,Conversions!$B$12:$E$34,4,0),$G102*VLOOKUP($F102,Lists!$C$72:$R$232,COLUMNS(Lists!$C$69:N$69),0)*VLOOKUP(BN$3,Conversions!$B$12:$E$34,4,0)))</f>
        <v>0</v>
      </c>
      <c r="V102" s="333">
        <f>IF($F102="",0,IF($F102="Weighted Average",$G102*VLOOKUP($D102&amp;" (Install)",Lists!$C$72:$R$232,COLUMNS(Lists!$C$69:O$69),0)*VLOOKUP(BO$3,Conversions!$B$12:$E$34,4,0),$G102*VLOOKUP($F102,Lists!$C$72:$R$232,COLUMNS(Lists!$C$69:O$69),0)*VLOOKUP(BO$3,Conversions!$B$12:$E$34,4,0)))</f>
        <v>0</v>
      </c>
      <c r="W102" s="333">
        <f>IF($F102="",0,IF($F102="Weighted Average",$G102*VLOOKUP($D102&amp;" (Install)",Lists!$C$72:$R$232,COLUMNS(Lists!$C$69:P$69),0)*VLOOKUP(BP$3,Conversions!$B$12:$E$34,4,0),$G102*VLOOKUP($F102,Lists!$C$72:$R$232,COLUMNS(Lists!$C$69:P$69),0)*VLOOKUP(BP$3,Conversions!$B$12:$E$34,4,0)))</f>
        <v>0</v>
      </c>
      <c r="X102" s="333">
        <f>IF($F102="",0,IF($F102="Weighted Average",$G102*VLOOKUP($D102&amp;" (Install)",Lists!$C$72:$R$232,COLUMNS(Lists!$C$69:Q$69),0)*VLOOKUP(BQ$3,Conversions!$B$12:$E$34,4,0),$G102*VLOOKUP($F102,Lists!$C$72:$R$232,COLUMNS(Lists!$C$69:Q$69),0)*VLOOKUP(BQ$3,Conversions!$B$12:$E$34,4,0)))</f>
        <v>0</v>
      </c>
      <c r="Y102" s="333">
        <f>IF($F102="",0,IF($F102="Weighted Average",$G102*VLOOKUP($D102&amp;" (Install)",Lists!$C$72:$R$232,COLUMNS(Lists!$C$69:R$69),0)*VLOOKUP(BR$3,Conversions!$B$12:$E$34,4,0),$G102*VLOOKUP($F102,Lists!$C$72:$R$232,COLUMNS(Lists!$C$69:R$69),0)*VLOOKUP(BR$3,Conversions!$B$12:$E$34,4,0)))</f>
        <v>0</v>
      </c>
      <c r="Z102" s="325">
        <f t="shared" si="102"/>
        <v>0</v>
      </c>
      <c r="AA102" s="334">
        <f>IF($F102="",0,IF($F102="Weighted Average",$H102*VLOOKUP($D102&amp;" (Operation)",Lists!$C$72:$R$232,COLUMNS(Lists!$C$69:E$69),0)*VLOOKUP(BE$3,Conversions!$B$12:$E$34,4,0),$H102*VLOOKUP($F102,Lists!$C$72:$R$232,COLUMNS(Lists!$C$69:E$69),0)*VLOOKUP(BE$3,Conversions!$B$12:$E$34,4,0)))</f>
        <v>0</v>
      </c>
      <c r="AB102" s="334">
        <f>IF($F102="",0,IF($F102="Weighted Average",$H102*VLOOKUP($D102&amp;" (Operation)",Lists!$C$72:$R$232,COLUMNS(Lists!$C$69:F$69),0)*VLOOKUP(BF$3,Conversions!$B$12:$E$34,4,0),$H102*VLOOKUP($F102,Lists!$C$72:$R$232,COLUMNS(Lists!$C$69:F$69),0)*VLOOKUP(BF$3,Conversions!$B$12:$E$34,4,0)))</f>
        <v>0</v>
      </c>
      <c r="AC102" s="334">
        <f>IF($F102="",0,IF($F102="Weighted Average",$H102*VLOOKUP($D102&amp;" (Operation)",Lists!$C$72:$R$232,COLUMNS(Lists!$C$69:G$69),0)*VLOOKUP(BG$3,Conversions!$B$12:$E$34,4,0),$H102*VLOOKUP($F102,Lists!$C$72:$R$232,COLUMNS(Lists!$C$69:G$69),0)*VLOOKUP(BG$3,Conversions!$B$12:$E$34,4,0)))</f>
        <v>0</v>
      </c>
      <c r="AD102" s="334">
        <f>IF($F102="",0,IF($F102="Weighted Average",$H102*VLOOKUP($D102&amp;" (Operation)",Lists!$C$72:$R$232,COLUMNS(Lists!$C$69:H$69),0)*VLOOKUP(BH$3,Conversions!$B$12:$E$34,4,0),$H102*VLOOKUP($F102,Lists!$C$72:$R$232,COLUMNS(Lists!$C$69:H$69),0)*VLOOKUP(BH$3,Conversions!$B$12:$E$34,4,0)))</f>
        <v>0</v>
      </c>
      <c r="AE102" s="334">
        <f>IF($F102="",0,IF($F102="Weighted Average",$H102*VLOOKUP($D102&amp;" (Operation)",Lists!$C$72:$R$232,COLUMNS(Lists!$C$69:I$69),0)*VLOOKUP(BI$3,Conversions!$B$12:$E$34,4,0),$H102*VLOOKUP($F102,Lists!$C$72:$R$232,COLUMNS(Lists!$C$69:I$69),0)*VLOOKUP(BI$3,Conversions!$B$12:$E$34,4,0)))</f>
        <v>0</v>
      </c>
      <c r="AF102" s="334">
        <f>IF($F102="",0,IF($F102="Weighted Average",$H102*VLOOKUP($D102&amp;" (Operation)",Lists!$C$72:$R$232,COLUMNS(Lists!$C$69:J$69),0)*VLOOKUP(BJ$3,Conversions!$B$12:$E$34,4,0),$H102*VLOOKUP($F102,Lists!$C$72:$R$232,COLUMNS(Lists!$C$69:J$69),0)*VLOOKUP(BJ$3,Conversions!$B$12:$E$34,4,0)))</f>
        <v>0</v>
      </c>
      <c r="AG102" s="334">
        <f>IF($F102="",0,IF($F102="Weighted Average",$H102*VLOOKUP($D102&amp;" (Operation)",Lists!$C$72:$R$232,COLUMNS(Lists!$C$69:K$69),0)*VLOOKUP(BK$3,Conversions!$B$12:$E$34,4,0),$H102*VLOOKUP($F102,Lists!$C$72:$R$232,COLUMNS(Lists!$C$69:K$69),0)*VLOOKUP(BK$3,Conversions!$B$12:$E$34,4,0)))</f>
        <v>0</v>
      </c>
      <c r="AH102" s="334">
        <f>IF($F102="",0,IF($F102="Weighted Average",$H102*VLOOKUP($D102&amp;" (Operation)",Lists!$C$72:$R$232,COLUMNS(Lists!$C$69:L$69),0)*VLOOKUP(BL$3,Conversions!$B$12:$E$34,4,0),$H102*VLOOKUP($F102,Lists!$C$72:$R$232,COLUMNS(Lists!$C$69:L$69),0)*VLOOKUP(BL$3,Conversions!$B$12:$E$34,4,0)))</f>
        <v>0</v>
      </c>
      <c r="AI102" s="334">
        <f>IF($F102="",0,IF($F102="Weighted Average",$H102*VLOOKUP($D102&amp;" (Operation)",Lists!$C$72:$R$232,COLUMNS(Lists!$C$69:M$69),0)*VLOOKUP(BM$3,Conversions!$B$12:$E$34,4,0),$H102*VLOOKUP($F102,Lists!$C$72:$R$232,COLUMNS(Lists!$C$69:M$69),0)*VLOOKUP(BM$3,Conversions!$B$12:$E$34,4,0)))</f>
        <v>0</v>
      </c>
      <c r="AJ102" s="334">
        <f>IF($F102="",0,IF($F102="Weighted Average",$H102*VLOOKUP($D102&amp;" (Operation)",Lists!$C$72:$R$232,COLUMNS(Lists!$C$69:N$69),0)*VLOOKUP(BN$3,Conversions!$B$12:$E$34,4,0),$H102*VLOOKUP($F102,Lists!$C$72:$R$232,COLUMNS(Lists!$C$69:N$69),0)*VLOOKUP(BN$3,Conversions!$B$12:$E$34,4,0)))</f>
        <v>0</v>
      </c>
      <c r="AK102" s="334">
        <f>IF($F102="",0,IF($F102="Weighted Average",$H102*VLOOKUP($D102&amp;" (Operation)",Lists!$C$72:$R$232,COLUMNS(Lists!$C$69:O$69),0)*VLOOKUP(BO$3,Conversions!$B$12:$E$34,4,0),$H102*VLOOKUP($F102,Lists!$C$72:$R$232,COLUMNS(Lists!$C$69:O$69),0)*VLOOKUP(BO$3,Conversions!$B$12:$E$34,4,0)))</f>
        <v>0</v>
      </c>
      <c r="AL102" s="334">
        <f>IF($F102="",0,IF($F102="Weighted Average",$H102*VLOOKUP($D102&amp;" (Operation)",Lists!$C$72:$R$232,COLUMNS(Lists!$C$69:P$69),0)*VLOOKUP(BP$3,Conversions!$B$12:$E$34,4,0),$H102*VLOOKUP($F102,Lists!$C$72:$R$232,COLUMNS(Lists!$C$69:P$69),0)*VLOOKUP(BP$3,Conversions!$B$12:$E$34,4,0)))</f>
        <v>0</v>
      </c>
      <c r="AM102" s="334">
        <f>IF($F102="",0,IF($F102="Weighted Average",$H102*VLOOKUP($D102&amp;" (Operation)",Lists!$C$72:$R$232,COLUMNS(Lists!$C$69:Q$69),0)*VLOOKUP(BQ$3,Conversions!$B$12:$E$34,4,0),$H102*VLOOKUP($F102,Lists!$C$72:$R$232,COLUMNS(Lists!$C$69:Q$69),0)*VLOOKUP(BQ$3,Conversions!$B$12:$E$34,4,0)))</f>
        <v>0</v>
      </c>
      <c r="AN102" s="334">
        <f>IF($F102="",0,IF($F102="Weighted Average",$H102*VLOOKUP($D102&amp;" (Operation)",Lists!$C$72:$R$232,COLUMNS(Lists!$C$69:R$69),0)*VLOOKUP(BR$3,Conversions!$B$12:$E$34,4,0),$H102*VLOOKUP($F102,Lists!$C$72:$R$232,COLUMNS(Lists!$C$69:R$69),0)*VLOOKUP(BR$3,Conversions!$B$12:$E$34,4,0)))</f>
        <v>0</v>
      </c>
      <c r="AO102" s="330">
        <f t="shared" si="103"/>
        <v>0</v>
      </c>
      <c r="AP102" s="333">
        <f>IF($F102="",0,IF($F102="Weighted Average",$I102*VLOOKUP($D102&amp;" (Disposal)",Lists!$C$72:$R$232,COLUMNS(Lists!$C$69:E$69),0)*VLOOKUP(BE$3,Conversions!$B$12:$E$34,4,0),$I102*VLOOKUP($F102,Lists!$C$72:$R$232,COLUMNS(Lists!$C$69:E$69),0)*VLOOKUP(BE$3,Conversions!$B$12:$E$34,4,0)))</f>
        <v>0</v>
      </c>
      <c r="AQ102" s="333">
        <f>IF($F102="",0,IF($F102="Weighted Average",$I102*VLOOKUP($D102&amp;" (Disposal)",Lists!$C$72:$R$232,COLUMNS(Lists!$C$69:F$69),0)*VLOOKUP(BF$3,Conversions!$B$12:$E$34,4,0),$I102*VLOOKUP($F102,Lists!$C$72:$R$232,COLUMNS(Lists!$C$69:F$69),0)*VLOOKUP(BF$3,Conversions!$B$12:$E$34,4,0)))</f>
        <v>0</v>
      </c>
      <c r="AR102" s="333">
        <f>IF($F102="",0,IF($F102="Weighted Average",$I102*VLOOKUP($D102&amp;" (Disposal)",Lists!$C$72:$R$232,COLUMNS(Lists!$C$69:G$69),0)*VLOOKUP(BG$3,Conversions!$B$12:$E$34,4,0),$I102*VLOOKUP($F102,Lists!$C$72:$R$232,COLUMNS(Lists!$C$69:G$69),0)*VLOOKUP(BG$3,Conversions!$B$12:$E$34,4,0)))</f>
        <v>0</v>
      </c>
      <c r="AS102" s="333">
        <f>IF($F102="",0,IF($F102="Weighted Average",$I102*VLOOKUP($D102&amp;" (Disposal)",Lists!$C$72:$R$232,COLUMNS(Lists!$C$69:H$69),0)*VLOOKUP(BH$3,Conversions!$B$12:$E$34,4,0),$I102*VLOOKUP($F102,Lists!$C$72:$R$232,COLUMNS(Lists!$C$69:H$69),0)*VLOOKUP(BH$3,Conversions!$B$12:$E$34,4,0)))</f>
        <v>0</v>
      </c>
      <c r="AT102" s="333">
        <f>IF($F102="",0,IF($F102="Weighted Average",$I102*VLOOKUP($D102&amp;" (Disposal)",Lists!$C$72:$R$232,COLUMNS(Lists!$C$69:I$69),0)*VLOOKUP(BI$3,Conversions!$B$12:$E$34,4,0),$I102*VLOOKUP($F102,Lists!$C$72:$R$232,COLUMNS(Lists!$C$69:I$69),0)*VLOOKUP(BI$3,Conversions!$B$12:$E$34,4,0)))</f>
        <v>0</v>
      </c>
      <c r="AU102" s="333">
        <f>IF($F102="",0,IF($F102="Weighted Average",$I102*VLOOKUP($D102&amp;" (Disposal)",Lists!$C$72:$R$232,COLUMNS(Lists!$C$69:J$69),0)*VLOOKUP(BJ$3,Conversions!$B$12:$E$34,4,0),$I102*VLOOKUP($F102,Lists!$C$72:$R$232,COLUMNS(Lists!$C$69:J$69),0)*VLOOKUP(BJ$3,Conversions!$B$12:$E$34,4,0)))</f>
        <v>0</v>
      </c>
      <c r="AV102" s="333">
        <f>IF($F102="",0,IF($F102="Weighted Average",$I102*VLOOKUP($D102&amp;" (Disposal)",Lists!$C$72:$R$232,COLUMNS(Lists!$C$69:K$69),0)*VLOOKUP(BK$3,Conversions!$B$12:$E$34,4,0),$I102*VLOOKUP($F102,Lists!$C$72:$R$232,COLUMNS(Lists!$C$69:K$69),0)*VLOOKUP(BK$3,Conversions!$B$12:$E$34,4,0)))</f>
        <v>0</v>
      </c>
      <c r="AW102" s="333">
        <f>IF($F102="",0,IF($F102="Weighted Average",$I102*VLOOKUP($D102&amp;" (Disposal)",Lists!$C$72:$R$232,COLUMNS(Lists!$C$69:L$69),0)*VLOOKUP(BL$3,Conversions!$B$12:$E$34,4,0),$I102*VLOOKUP($F102,Lists!$C$72:$R$232,COLUMNS(Lists!$C$69:L$69),0)*VLOOKUP(BL$3,Conversions!$B$12:$E$34,4,0)))</f>
        <v>0</v>
      </c>
      <c r="AX102" s="333">
        <f>IF($F102="",0,IF($F102="Weighted Average",$I102*VLOOKUP($D102&amp;" (Disposal)",Lists!$C$72:$R$232,COLUMNS(Lists!$C$69:M$69),0)*VLOOKUP(BM$3,Conversions!$B$12:$E$34,4,0),$I102*VLOOKUP($F102,Lists!$C$72:$R$232,COLUMNS(Lists!$C$69:M$69),0)*VLOOKUP(BM$3,Conversions!$B$12:$E$34,4,0)))</f>
        <v>0</v>
      </c>
      <c r="AY102" s="333">
        <f>IF($F102="",0,IF($F102="Weighted Average",$I102*VLOOKUP($D102&amp;" (Disposal)",Lists!$C$72:$R$232,COLUMNS(Lists!$C$69:N$69),0)*VLOOKUP(BN$3,Conversions!$B$12:$E$34,4,0),$I102*VLOOKUP($F102,Lists!$C$72:$R$232,COLUMNS(Lists!$C$69:N$69),0)*VLOOKUP(BN$3,Conversions!$B$12:$E$34,4,0)))</f>
        <v>0</v>
      </c>
      <c r="AZ102" s="333">
        <f>IF($F102="",0,IF($F102="Weighted Average",$I102*VLOOKUP($D102&amp;" (Disposal)",Lists!$C$72:$R$232,COLUMNS(Lists!$C$69:O$69),0)*VLOOKUP(BO$3,Conversions!$B$12:$E$34,4,0),$I102*VLOOKUP($F102,Lists!$C$72:$R$232,COLUMNS(Lists!$C$69:O$69),0)*VLOOKUP(BO$3,Conversions!$B$12:$E$34,4,0)))</f>
        <v>0</v>
      </c>
      <c r="BA102" s="333">
        <f>IF($F102="",0,IF($F102="Weighted Average",$I102*VLOOKUP($D102&amp;" (Disposal)",Lists!$C$72:$R$232,COLUMNS(Lists!$C$69:P$69),0)*VLOOKUP(BP$3,Conversions!$B$12:$E$34,4,0),$I102*VLOOKUP($F102,Lists!$C$72:$R$232,COLUMNS(Lists!$C$69:P$69),0)*VLOOKUP(BP$3,Conversions!$B$12:$E$34,4,0)))</f>
        <v>0</v>
      </c>
      <c r="BB102" s="333">
        <f>IF($F102="",0,IF($F102="Weighted Average",$I102*VLOOKUP($D102&amp;" (Disposal)",Lists!$C$72:$R$232,COLUMNS(Lists!$C$69:Q$69),0)*VLOOKUP(BQ$3,Conversions!$B$12:$E$34,4,0),$I102*VLOOKUP($F102,Lists!$C$72:$R$232,COLUMNS(Lists!$C$69:Q$69),0)*VLOOKUP(BQ$3,Conversions!$B$12:$E$34,4,0)))</f>
        <v>0</v>
      </c>
      <c r="BC102" s="333">
        <f>IF($F102="",0,IF($F102="Weighted Average",$I102*VLOOKUP($D102&amp;" (Disposal)",Lists!$C$72:$R$232,COLUMNS(Lists!$C$69:R$69),0)*VLOOKUP(BR$3,Conversions!$B$12:$E$34,4,0),$I102*VLOOKUP($F102,Lists!$C$72:$R$232,COLUMNS(Lists!$C$69:R$69),0)*VLOOKUP(BR$3,Conversions!$B$12:$E$34,4,0)))</f>
        <v>0</v>
      </c>
      <c r="BD102" s="333">
        <f t="shared" si="104"/>
        <v>0</v>
      </c>
      <c r="BE102" s="330">
        <f t="shared" si="105"/>
        <v>0</v>
      </c>
      <c r="BF102" s="330">
        <f t="shared" si="106"/>
        <v>0</v>
      </c>
      <c r="BG102" s="330">
        <f t="shared" si="107"/>
        <v>0</v>
      </c>
      <c r="BH102" s="330">
        <f t="shared" si="108"/>
        <v>0</v>
      </c>
      <c r="BI102" s="330">
        <f t="shared" si="109"/>
        <v>0</v>
      </c>
      <c r="BJ102" s="330">
        <f t="shared" si="110"/>
        <v>0</v>
      </c>
      <c r="BK102" s="330">
        <f t="shared" si="111"/>
        <v>0</v>
      </c>
      <c r="BL102" s="330">
        <f t="shared" si="112"/>
        <v>0</v>
      </c>
      <c r="BM102" s="330">
        <f t="shared" si="113"/>
        <v>0</v>
      </c>
      <c r="BN102" s="330">
        <f t="shared" si="114"/>
        <v>0</v>
      </c>
      <c r="BO102" s="330">
        <f t="shared" si="115"/>
        <v>0</v>
      </c>
      <c r="BP102" s="330">
        <f t="shared" si="116"/>
        <v>0</v>
      </c>
      <c r="BQ102" s="330">
        <f t="shared" si="117"/>
        <v>0</v>
      </c>
      <c r="BR102" s="330">
        <f t="shared" si="118"/>
        <v>0</v>
      </c>
      <c r="BS102" s="330">
        <f t="shared" si="119"/>
        <v>0</v>
      </c>
      <c r="BT102" s="329">
        <f t="shared" si="120"/>
        <v>0</v>
      </c>
      <c r="BU102" s="329">
        <f t="shared" si="120"/>
        <v>0</v>
      </c>
      <c r="BV102" s="329">
        <f t="shared" si="120"/>
        <v>0</v>
      </c>
      <c r="BW102" s="329">
        <f t="shared" si="120"/>
        <v>0</v>
      </c>
      <c r="BX102" s="329">
        <f t="shared" si="120"/>
        <v>0</v>
      </c>
      <c r="BY102" s="329">
        <f t="shared" si="120"/>
        <v>0</v>
      </c>
      <c r="BZ102" s="329">
        <f t="shared" si="120"/>
        <v>0</v>
      </c>
      <c r="CA102" s="329">
        <f t="shared" si="120"/>
        <v>0</v>
      </c>
      <c r="CB102" s="329">
        <f t="shared" si="120"/>
        <v>0</v>
      </c>
      <c r="CC102" s="329">
        <f t="shared" si="120"/>
        <v>0</v>
      </c>
      <c r="CD102" s="329">
        <f t="shared" si="120"/>
        <v>0</v>
      </c>
      <c r="CE102" s="329">
        <f t="shared" si="120"/>
        <v>0</v>
      </c>
      <c r="CF102" s="329">
        <f t="shared" si="120"/>
        <v>0</v>
      </c>
      <c r="CG102" s="329">
        <f t="shared" si="120"/>
        <v>0</v>
      </c>
      <c r="CH102" s="329">
        <f t="shared" si="120"/>
        <v>0</v>
      </c>
      <c r="CI102" s="329">
        <f t="shared" si="120"/>
        <v>0</v>
      </c>
      <c r="CJ102" s="331">
        <f t="shared" si="121"/>
        <v>0</v>
      </c>
      <c r="CK102" s="330">
        <f t="shared" si="122"/>
        <v>0</v>
      </c>
      <c r="CL102" s="330">
        <f t="shared" si="123"/>
        <v>0</v>
      </c>
      <c r="CM102" s="330">
        <f t="shared" si="124"/>
        <v>0</v>
      </c>
      <c r="CN102" s="330">
        <f t="shared" si="125"/>
        <v>0</v>
      </c>
      <c r="CO102" s="330">
        <f t="shared" si="126"/>
        <v>0</v>
      </c>
      <c r="CP102" s="330">
        <f t="shared" si="127"/>
        <v>0</v>
      </c>
      <c r="CQ102" s="330">
        <f t="shared" si="94"/>
        <v>0</v>
      </c>
      <c r="CR102" s="330">
        <f t="shared" si="128"/>
        <v>0</v>
      </c>
      <c r="CS102" s="330">
        <f t="shared" si="129"/>
        <v>0</v>
      </c>
      <c r="CT102" s="330">
        <f t="shared" si="130"/>
        <v>0</v>
      </c>
      <c r="CU102" s="330">
        <f t="shared" si="131"/>
        <v>0</v>
      </c>
      <c r="CV102" s="330">
        <f t="shared" si="131"/>
        <v>0</v>
      </c>
      <c r="CW102" s="330">
        <f t="shared" si="131"/>
        <v>0</v>
      </c>
      <c r="CX102" s="330">
        <f t="shared" si="131"/>
        <v>0</v>
      </c>
      <c r="CY102" s="330">
        <f t="shared" si="131"/>
        <v>0</v>
      </c>
      <c r="CZ102" s="330">
        <f t="shared" si="131"/>
        <v>0</v>
      </c>
      <c r="DA102" s="330">
        <f t="shared" si="131"/>
        <v>0</v>
      </c>
      <c r="DB102" s="330">
        <f t="shared" si="131"/>
        <v>0</v>
      </c>
      <c r="DC102" s="330">
        <f t="shared" si="131"/>
        <v>0</v>
      </c>
      <c r="DD102" s="330">
        <f t="shared" si="131"/>
        <v>0</v>
      </c>
      <c r="DE102" s="330">
        <f t="shared" si="132"/>
        <v>0</v>
      </c>
      <c r="DF102" s="330">
        <f t="shared" si="132"/>
        <v>0</v>
      </c>
      <c r="DG102" s="330">
        <f t="shared" si="132"/>
        <v>0</v>
      </c>
      <c r="DH102" s="330">
        <f t="shared" si="132"/>
        <v>0</v>
      </c>
      <c r="DI102" s="330">
        <f t="shared" si="132"/>
        <v>0</v>
      </c>
      <c r="DJ102" s="330">
        <f t="shared" si="132"/>
        <v>0</v>
      </c>
      <c r="DK102" s="330">
        <f t="shared" si="132"/>
        <v>0</v>
      </c>
      <c r="DL102" s="330">
        <f t="shared" si="132"/>
        <v>0</v>
      </c>
      <c r="DM102" s="330">
        <f t="shared" si="132"/>
        <v>0</v>
      </c>
      <c r="DN102" s="330">
        <f t="shared" si="132"/>
        <v>0</v>
      </c>
      <c r="DO102" s="330">
        <f t="shared" si="132"/>
        <v>0</v>
      </c>
      <c r="DP102" s="330">
        <f t="shared" si="133"/>
        <v>0</v>
      </c>
      <c r="DQ102" s="217"/>
      <c r="DR102" s="217"/>
      <c r="DS102" s="217"/>
      <c r="DT102" s="217"/>
    </row>
    <row r="103" spans="1:124" x14ac:dyDescent="0.3">
      <c r="A103" s="324"/>
      <c r="B103" s="221" t="s">
        <v>305</v>
      </c>
      <c r="C103" s="221" t="str">
        <f>IF(Screening!C33=0,"",Screening!C33)</f>
        <v/>
      </c>
      <c r="D103" s="221" t="str">
        <f>IF(Screening!D33=0,"",Screening!D33)</f>
        <v/>
      </c>
      <c r="E103" s="221" t="str">
        <f>IF(Screening!E33=0,"",Screening!E33)</f>
        <v/>
      </c>
      <c r="F103" s="221" t="str">
        <f>IF(Screening!F33=0,"",Screening!F33)</f>
        <v/>
      </c>
      <c r="G103" s="272">
        <f>Screening!G33*Screening!O33*Conversions!$C$4</f>
        <v>0</v>
      </c>
      <c r="H103" s="272">
        <f>Screening!H33*Screening!P33*Screening!I33*Conversions!$C$4</f>
        <v>0</v>
      </c>
      <c r="I103" s="272">
        <f>Screening!J33*Screening!Q33*(1-Screening!R33)*Conversions!$C$4</f>
        <v>0</v>
      </c>
      <c r="J103" s="325">
        <f>IF(Screening!S33=0,0,Screening!S33)</f>
        <v>0</v>
      </c>
      <c r="K103" s="465"/>
      <c r="L103" s="333">
        <f>IF($F103="",0,IF($F103="Weighted Average",$G103*VLOOKUP($D103&amp;" (Install)",Lists!$C$72:$R$232,COLUMNS(Lists!$C$69:E$69),0)*VLOOKUP(BE$3,Conversions!$B$12:$E$34,4,0),$G103*VLOOKUP($F103,Lists!$C$72:$R$232,COLUMNS(Lists!$C$69:E$69),0)*VLOOKUP(BE$3,Conversions!$B$12:$E$34,4,0)))</f>
        <v>0</v>
      </c>
      <c r="M103" s="333">
        <f>IF($F103="",0,IF($F103="Weighted Average",$G103*VLOOKUP($D103&amp;" (Install)",Lists!$C$72:$R$232,COLUMNS(Lists!$C$69:F$69),0)*VLOOKUP(BF$3,Conversions!$B$12:$E$34,4,0),$G103*VLOOKUP($F103,Lists!$C$72:$R$232,COLUMNS(Lists!$C$69:F$69),0)*VLOOKUP(BF$3,Conversions!$B$12:$E$34,4,0)))</f>
        <v>0</v>
      </c>
      <c r="N103" s="333">
        <f>IF($F103="",0,IF($F103="Weighted Average",$G103*VLOOKUP($D103&amp;" (Install)",Lists!$C$72:$R$232,COLUMNS(Lists!$C$69:G$69),0)*VLOOKUP(BG$3,Conversions!$B$12:$E$34,4,0),$G103*VLOOKUP($F103,Lists!$C$72:$R$232,COLUMNS(Lists!$C$69:G$69),0)*VLOOKUP(BG$3,Conversions!$B$12:$E$34,4,0)))</f>
        <v>0</v>
      </c>
      <c r="O103" s="333">
        <f>IF($F103="",0,IF($F103="Weighted Average",$G103*VLOOKUP($D103&amp;" (Install)",Lists!$C$72:$R$232,COLUMNS(Lists!$C$69:H$69),0)*VLOOKUP(BH$3,Conversions!$B$12:$E$34,4,0),$G103*VLOOKUP($F103,Lists!$C$72:$R$232,COLUMNS(Lists!$C$69:H$69),0)*VLOOKUP(BH$3,Conversions!$B$12:$E$34,4,0)))</f>
        <v>0</v>
      </c>
      <c r="P103" s="333">
        <f>IF($F103="",0,IF($F103="Weighted Average",$G103*VLOOKUP($D103&amp;" (Install)",Lists!$C$72:$R$232,COLUMNS(Lists!$C$69:I$69),0)*VLOOKUP(BI$3,Conversions!$B$12:$E$34,4,0),$G103*VLOOKUP($F103,Lists!$C$72:$R$232,COLUMNS(Lists!$C$69:I$69),0)*VLOOKUP(BI$3,Conversions!$B$12:$E$34,4,0)))</f>
        <v>0</v>
      </c>
      <c r="Q103" s="333">
        <f>IF($F103="",0,IF($F103="Weighted Average",$G103*VLOOKUP($D103&amp;" (Install)",Lists!$C$72:$R$232,COLUMNS(Lists!$C$69:J$69),0)*VLOOKUP(BJ$3,Conversions!$B$12:$E$34,4,0),$G103*VLOOKUP($F103,Lists!$C$72:$R$232,COLUMNS(Lists!$C$69:J$69),0)*VLOOKUP(BJ$3,Conversions!$B$12:$E$34,4,0)))</f>
        <v>0</v>
      </c>
      <c r="R103" s="333">
        <f>IF($F103="",0,IF($F103="Weighted Average",$G103*VLOOKUP($D103&amp;" (Install)",Lists!$C$72:$R$232,COLUMNS(Lists!$C$69:K$69),0)*VLOOKUP(BK$3,Conversions!$B$12:$E$34,4,0),$G103*VLOOKUP($F103,Lists!$C$72:$R$232,COLUMNS(Lists!$C$69:K$69),0)*VLOOKUP(BK$3,Conversions!$B$12:$E$34,4,0)))</f>
        <v>0</v>
      </c>
      <c r="S103" s="333">
        <f>IF($F103="",0,IF($F103="Weighted Average",$G103*VLOOKUP($D103&amp;" (Install)",Lists!$C$72:$R$232,COLUMNS(Lists!$C$69:L$69),0)*VLOOKUP(BL$3,Conversions!$B$12:$E$34,4,0),$G103*VLOOKUP($F103,Lists!$C$72:$R$232,COLUMNS(Lists!$C$69:L$69),0)*VLOOKUP(BL$3,Conversions!$B$12:$E$34,4,0)))</f>
        <v>0</v>
      </c>
      <c r="T103" s="333">
        <f>IF($F103="",0,IF($F103="Weighted Average",$G103*VLOOKUP($D103&amp;" (Install)",Lists!$C$72:$R$232,COLUMNS(Lists!$C$69:M$69),0)*VLOOKUP(BM$3,Conversions!$B$12:$E$34,4,0),$G103*VLOOKUP($F103,Lists!$C$72:$R$232,COLUMNS(Lists!$C$69:M$69),0)*VLOOKUP(BM$3,Conversions!$B$12:$E$34,4,0)))</f>
        <v>0</v>
      </c>
      <c r="U103" s="333">
        <f>IF($F103="",0,IF($F103="Weighted Average",$G103*VLOOKUP($D103&amp;" (Install)",Lists!$C$72:$R$232,COLUMNS(Lists!$C$69:N$69),0)*VLOOKUP(BN$3,Conversions!$B$12:$E$34,4,0),$G103*VLOOKUP($F103,Lists!$C$72:$R$232,COLUMNS(Lists!$C$69:N$69),0)*VLOOKUP(BN$3,Conversions!$B$12:$E$34,4,0)))</f>
        <v>0</v>
      </c>
      <c r="V103" s="333">
        <f>IF($F103="",0,IF($F103="Weighted Average",$G103*VLOOKUP($D103&amp;" (Install)",Lists!$C$72:$R$232,COLUMNS(Lists!$C$69:O$69),0)*VLOOKUP(BO$3,Conversions!$B$12:$E$34,4,0),$G103*VLOOKUP($F103,Lists!$C$72:$R$232,COLUMNS(Lists!$C$69:O$69),0)*VLOOKUP(BO$3,Conversions!$B$12:$E$34,4,0)))</f>
        <v>0</v>
      </c>
      <c r="W103" s="333">
        <f>IF($F103="",0,IF($F103="Weighted Average",$G103*VLOOKUP($D103&amp;" (Install)",Lists!$C$72:$R$232,COLUMNS(Lists!$C$69:P$69),0)*VLOOKUP(BP$3,Conversions!$B$12:$E$34,4,0),$G103*VLOOKUP($F103,Lists!$C$72:$R$232,COLUMNS(Lists!$C$69:P$69),0)*VLOOKUP(BP$3,Conversions!$B$12:$E$34,4,0)))</f>
        <v>0</v>
      </c>
      <c r="X103" s="333">
        <f>IF($F103="",0,IF($F103="Weighted Average",$G103*VLOOKUP($D103&amp;" (Install)",Lists!$C$72:$R$232,COLUMNS(Lists!$C$69:Q$69),0)*VLOOKUP(BQ$3,Conversions!$B$12:$E$34,4,0),$G103*VLOOKUP($F103,Lists!$C$72:$R$232,COLUMNS(Lists!$C$69:Q$69),0)*VLOOKUP(BQ$3,Conversions!$B$12:$E$34,4,0)))</f>
        <v>0</v>
      </c>
      <c r="Y103" s="333">
        <f>IF($F103="",0,IF($F103="Weighted Average",$G103*VLOOKUP($D103&amp;" (Install)",Lists!$C$72:$R$232,COLUMNS(Lists!$C$69:R$69),0)*VLOOKUP(BR$3,Conversions!$B$12:$E$34,4,0),$G103*VLOOKUP($F103,Lists!$C$72:$R$232,COLUMNS(Lists!$C$69:R$69),0)*VLOOKUP(BR$3,Conversions!$B$12:$E$34,4,0)))</f>
        <v>0</v>
      </c>
      <c r="Z103" s="325">
        <f t="shared" si="102"/>
        <v>0</v>
      </c>
      <c r="AA103" s="334">
        <f>IF($F103="",0,IF($F103="Weighted Average",$H103*VLOOKUP($D103&amp;" (Operation)",Lists!$C$72:$R$232,COLUMNS(Lists!$C$69:E$69),0)*VLOOKUP(BE$3,Conversions!$B$12:$E$34,4,0),$H103*VLOOKUP($F103,Lists!$C$72:$R$232,COLUMNS(Lists!$C$69:E$69),0)*VLOOKUP(BE$3,Conversions!$B$12:$E$34,4,0)))</f>
        <v>0</v>
      </c>
      <c r="AB103" s="334">
        <f>IF($F103="",0,IF($F103="Weighted Average",$H103*VLOOKUP($D103&amp;" (Operation)",Lists!$C$72:$R$232,COLUMNS(Lists!$C$69:F$69),0)*VLOOKUP(BF$3,Conversions!$B$12:$E$34,4,0),$H103*VLOOKUP($F103,Lists!$C$72:$R$232,COLUMNS(Lists!$C$69:F$69),0)*VLOOKUP(BF$3,Conversions!$B$12:$E$34,4,0)))</f>
        <v>0</v>
      </c>
      <c r="AC103" s="334">
        <f>IF($F103="",0,IF($F103="Weighted Average",$H103*VLOOKUP($D103&amp;" (Operation)",Lists!$C$72:$R$232,COLUMNS(Lists!$C$69:G$69),0)*VLOOKUP(BG$3,Conversions!$B$12:$E$34,4,0),$H103*VLOOKUP($F103,Lists!$C$72:$R$232,COLUMNS(Lists!$C$69:G$69),0)*VLOOKUP(BG$3,Conversions!$B$12:$E$34,4,0)))</f>
        <v>0</v>
      </c>
      <c r="AD103" s="334">
        <f>IF($F103="",0,IF($F103="Weighted Average",$H103*VLOOKUP($D103&amp;" (Operation)",Lists!$C$72:$R$232,COLUMNS(Lists!$C$69:H$69),0)*VLOOKUP(BH$3,Conversions!$B$12:$E$34,4,0),$H103*VLOOKUP($F103,Lists!$C$72:$R$232,COLUMNS(Lists!$C$69:H$69),0)*VLOOKUP(BH$3,Conversions!$B$12:$E$34,4,0)))</f>
        <v>0</v>
      </c>
      <c r="AE103" s="334">
        <f>IF($F103="",0,IF($F103="Weighted Average",$H103*VLOOKUP($D103&amp;" (Operation)",Lists!$C$72:$R$232,COLUMNS(Lists!$C$69:I$69),0)*VLOOKUP(BI$3,Conversions!$B$12:$E$34,4,0),$H103*VLOOKUP($F103,Lists!$C$72:$R$232,COLUMNS(Lists!$C$69:I$69),0)*VLOOKUP(BI$3,Conversions!$B$12:$E$34,4,0)))</f>
        <v>0</v>
      </c>
      <c r="AF103" s="334">
        <f>IF($F103="",0,IF($F103="Weighted Average",$H103*VLOOKUP($D103&amp;" (Operation)",Lists!$C$72:$R$232,COLUMNS(Lists!$C$69:J$69),0)*VLOOKUP(BJ$3,Conversions!$B$12:$E$34,4,0),$H103*VLOOKUP($F103,Lists!$C$72:$R$232,COLUMNS(Lists!$C$69:J$69),0)*VLOOKUP(BJ$3,Conversions!$B$12:$E$34,4,0)))</f>
        <v>0</v>
      </c>
      <c r="AG103" s="334">
        <f>IF($F103="",0,IF($F103="Weighted Average",$H103*VLOOKUP($D103&amp;" (Operation)",Lists!$C$72:$R$232,COLUMNS(Lists!$C$69:K$69),0)*VLOOKUP(BK$3,Conversions!$B$12:$E$34,4,0),$H103*VLOOKUP($F103,Lists!$C$72:$R$232,COLUMNS(Lists!$C$69:K$69),0)*VLOOKUP(BK$3,Conversions!$B$12:$E$34,4,0)))</f>
        <v>0</v>
      </c>
      <c r="AH103" s="334">
        <f>IF($F103="",0,IF($F103="Weighted Average",$H103*VLOOKUP($D103&amp;" (Operation)",Lists!$C$72:$R$232,COLUMNS(Lists!$C$69:L$69),0)*VLOOKUP(BL$3,Conversions!$B$12:$E$34,4,0),$H103*VLOOKUP($F103,Lists!$C$72:$R$232,COLUMNS(Lists!$C$69:L$69),0)*VLOOKUP(BL$3,Conversions!$B$12:$E$34,4,0)))</f>
        <v>0</v>
      </c>
      <c r="AI103" s="334">
        <f>IF($F103="",0,IF($F103="Weighted Average",$H103*VLOOKUP($D103&amp;" (Operation)",Lists!$C$72:$R$232,COLUMNS(Lists!$C$69:M$69),0)*VLOOKUP(BM$3,Conversions!$B$12:$E$34,4,0),$H103*VLOOKUP($F103,Lists!$C$72:$R$232,COLUMNS(Lists!$C$69:M$69),0)*VLOOKUP(BM$3,Conversions!$B$12:$E$34,4,0)))</f>
        <v>0</v>
      </c>
      <c r="AJ103" s="334">
        <f>IF($F103="",0,IF($F103="Weighted Average",$H103*VLOOKUP($D103&amp;" (Operation)",Lists!$C$72:$R$232,COLUMNS(Lists!$C$69:N$69),0)*VLOOKUP(BN$3,Conversions!$B$12:$E$34,4,0),$H103*VLOOKUP($F103,Lists!$C$72:$R$232,COLUMNS(Lists!$C$69:N$69),0)*VLOOKUP(BN$3,Conversions!$B$12:$E$34,4,0)))</f>
        <v>0</v>
      </c>
      <c r="AK103" s="334">
        <f>IF($F103="",0,IF($F103="Weighted Average",$H103*VLOOKUP($D103&amp;" (Operation)",Lists!$C$72:$R$232,COLUMNS(Lists!$C$69:O$69),0)*VLOOKUP(BO$3,Conversions!$B$12:$E$34,4,0),$H103*VLOOKUP($F103,Lists!$C$72:$R$232,COLUMNS(Lists!$C$69:O$69),0)*VLOOKUP(BO$3,Conversions!$B$12:$E$34,4,0)))</f>
        <v>0</v>
      </c>
      <c r="AL103" s="334">
        <f>IF($F103="",0,IF($F103="Weighted Average",$H103*VLOOKUP($D103&amp;" (Operation)",Lists!$C$72:$R$232,COLUMNS(Lists!$C$69:P$69),0)*VLOOKUP(BP$3,Conversions!$B$12:$E$34,4,0),$H103*VLOOKUP($F103,Lists!$C$72:$R$232,COLUMNS(Lists!$C$69:P$69),0)*VLOOKUP(BP$3,Conversions!$B$12:$E$34,4,0)))</f>
        <v>0</v>
      </c>
      <c r="AM103" s="334">
        <f>IF($F103="",0,IF($F103="Weighted Average",$H103*VLOOKUP($D103&amp;" (Operation)",Lists!$C$72:$R$232,COLUMNS(Lists!$C$69:Q$69),0)*VLOOKUP(BQ$3,Conversions!$B$12:$E$34,4,0),$H103*VLOOKUP($F103,Lists!$C$72:$R$232,COLUMNS(Lists!$C$69:Q$69),0)*VLOOKUP(BQ$3,Conversions!$B$12:$E$34,4,0)))</f>
        <v>0</v>
      </c>
      <c r="AN103" s="334">
        <f>IF($F103="",0,IF($F103="Weighted Average",$H103*VLOOKUP($D103&amp;" (Operation)",Lists!$C$72:$R$232,COLUMNS(Lists!$C$69:R$69),0)*VLOOKUP(BR$3,Conversions!$B$12:$E$34,4,0),$H103*VLOOKUP($F103,Lists!$C$72:$R$232,COLUMNS(Lists!$C$69:R$69),0)*VLOOKUP(BR$3,Conversions!$B$12:$E$34,4,0)))</f>
        <v>0</v>
      </c>
      <c r="AO103" s="330">
        <f t="shared" si="103"/>
        <v>0</v>
      </c>
      <c r="AP103" s="333">
        <f>IF($F103="",0,IF($F103="Weighted Average",$I103*VLOOKUP($D103&amp;" (Disposal)",Lists!$C$72:$R$232,COLUMNS(Lists!$C$69:E$69),0)*VLOOKUP(BE$3,Conversions!$B$12:$E$34,4,0),$I103*VLOOKUP($F103,Lists!$C$72:$R$232,COLUMNS(Lists!$C$69:E$69),0)*VLOOKUP(BE$3,Conversions!$B$12:$E$34,4,0)))</f>
        <v>0</v>
      </c>
      <c r="AQ103" s="333">
        <f>IF($F103="",0,IF($F103="Weighted Average",$I103*VLOOKUP($D103&amp;" (Disposal)",Lists!$C$72:$R$232,COLUMNS(Lists!$C$69:F$69),0)*VLOOKUP(BF$3,Conversions!$B$12:$E$34,4,0),$I103*VLOOKUP($F103,Lists!$C$72:$R$232,COLUMNS(Lists!$C$69:F$69),0)*VLOOKUP(BF$3,Conversions!$B$12:$E$34,4,0)))</f>
        <v>0</v>
      </c>
      <c r="AR103" s="333">
        <f>IF($F103="",0,IF($F103="Weighted Average",$I103*VLOOKUP($D103&amp;" (Disposal)",Lists!$C$72:$R$232,COLUMNS(Lists!$C$69:G$69),0)*VLOOKUP(BG$3,Conversions!$B$12:$E$34,4,0),$I103*VLOOKUP($F103,Lists!$C$72:$R$232,COLUMNS(Lists!$C$69:G$69),0)*VLOOKUP(BG$3,Conversions!$B$12:$E$34,4,0)))</f>
        <v>0</v>
      </c>
      <c r="AS103" s="333">
        <f>IF($F103="",0,IF($F103="Weighted Average",$I103*VLOOKUP($D103&amp;" (Disposal)",Lists!$C$72:$R$232,COLUMNS(Lists!$C$69:H$69),0)*VLOOKUP(BH$3,Conversions!$B$12:$E$34,4,0),$I103*VLOOKUP($F103,Lists!$C$72:$R$232,COLUMNS(Lists!$C$69:H$69),0)*VLOOKUP(BH$3,Conversions!$B$12:$E$34,4,0)))</f>
        <v>0</v>
      </c>
      <c r="AT103" s="333">
        <f>IF($F103="",0,IF($F103="Weighted Average",$I103*VLOOKUP($D103&amp;" (Disposal)",Lists!$C$72:$R$232,COLUMNS(Lists!$C$69:I$69),0)*VLOOKUP(BI$3,Conversions!$B$12:$E$34,4,0),$I103*VLOOKUP($F103,Lists!$C$72:$R$232,COLUMNS(Lists!$C$69:I$69),0)*VLOOKUP(BI$3,Conversions!$B$12:$E$34,4,0)))</f>
        <v>0</v>
      </c>
      <c r="AU103" s="333">
        <f>IF($F103="",0,IF($F103="Weighted Average",$I103*VLOOKUP($D103&amp;" (Disposal)",Lists!$C$72:$R$232,COLUMNS(Lists!$C$69:J$69),0)*VLOOKUP(BJ$3,Conversions!$B$12:$E$34,4,0),$I103*VLOOKUP($F103,Lists!$C$72:$R$232,COLUMNS(Lists!$C$69:J$69),0)*VLOOKUP(BJ$3,Conversions!$B$12:$E$34,4,0)))</f>
        <v>0</v>
      </c>
      <c r="AV103" s="333">
        <f>IF($F103="",0,IF($F103="Weighted Average",$I103*VLOOKUP($D103&amp;" (Disposal)",Lists!$C$72:$R$232,COLUMNS(Lists!$C$69:K$69),0)*VLOOKUP(BK$3,Conversions!$B$12:$E$34,4,0),$I103*VLOOKUP($F103,Lists!$C$72:$R$232,COLUMNS(Lists!$C$69:K$69),0)*VLOOKUP(BK$3,Conversions!$B$12:$E$34,4,0)))</f>
        <v>0</v>
      </c>
      <c r="AW103" s="333">
        <f>IF($F103="",0,IF($F103="Weighted Average",$I103*VLOOKUP($D103&amp;" (Disposal)",Lists!$C$72:$R$232,COLUMNS(Lists!$C$69:L$69),0)*VLOOKUP(BL$3,Conversions!$B$12:$E$34,4,0),$I103*VLOOKUP($F103,Lists!$C$72:$R$232,COLUMNS(Lists!$C$69:L$69),0)*VLOOKUP(BL$3,Conversions!$B$12:$E$34,4,0)))</f>
        <v>0</v>
      </c>
      <c r="AX103" s="333">
        <f>IF($F103="",0,IF($F103="Weighted Average",$I103*VLOOKUP($D103&amp;" (Disposal)",Lists!$C$72:$R$232,COLUMNS(Lists!$C$69:M$69),0)*VLOOKUP(BM$3,Conversions!$B$12:$E$34,4,0),$I103*VLOOKUP($F103,Lists!$C$72:$R$232,COLUMNS(Lists!$C$69:M$69),0)*VLOOKUP(BM$3,Conversions!$B$12:$E$34,4,0)))</f>
        <v>0</v>
      </c>
      <c r="AY103" s="333">
        <f>IF($F103="",0,IF($F103="Weighted Average",$I103*VLOOKUP($D103&amp;" (Disposal)",Lists!$C$72:$R$232,COLUMNS(Lists!$C$69:N$69),0)*VLOOKUP(BN$3,Conversions!$B$12:$E$34,4,0),$I103*VLOOKUP($F103,Lists!$C$72:$R$232,COLUMNS(Lists!$C$69:N$69),0)*VLOOKUP(BN$3,Conversions!$B$12:$E$34,4,0)))</f>
        <v>0</v>
      </c>
      <c r="AZ103" s="333">
        <f>IF($F103="",0,IF($F103="Weighted Average",$I103*VLOOKUP($D103&amp;" (Disposal)",Lists!$C$72:$R$232,COLUMNS(Lists!$C$69:O$69),0)*VLOOKUP(BO$3,Conversions!$B$12:$E$34,4,0),$I103*VLOOKUP($F103,Lists!$C$72:$R$232,COLUMNS(Lists!$C$69:O$69),0)*VLOOKUP(BO$3,Conversions!$B$12:$E$34,4,0)))</f>
        <v>0</v>
      </c>
      <c r="BA103" s="333">
        <f>IF($F103="",0,IF($F103="Weighted Average",$I103*VLOOKUP($D103&amp;" (Disposal)",Lists!$C$72:$R$232,COLUMNS(Lists!$C$69:P$69),0)*VLOOKUP(BP$3,Conversions!$B$12:$E$34,4,0),$I103*VLOOKUP($F103,Lists!$C$72:$R$232,COLUMNS(Lists!$C$69:P$69),0)*VLOOKUP(BP$3,Conversions!$B$12:$E$34,4,0)))</f>
        <v>0</v>
      </c>
      <c r="BB103" s="333">
        <f>IF($F103="",0,IF($F103="Weighted Average",$I103*VLOOKUP($D103&amp;" (Disposal)",Lists!$C$72:$R$232,COLUMNS(Lists!$C$69:Q$69),0)*VLOOKUP(BQ$3,Conversions!$B$12:$E$34,4,0),$I103*VLOOKUP($F103,Lists!$C$72:$R$232,COLUMNS(Lists!$C$69:Q$69),0)*VLOOKUP(BQ$3,Conversions!$B$12:$E$34,4,0)))</f>
        <v>0</v>
      </c>
      <c r="BC103" s="333">
        <f>IF($F103="",0,IF($F103="Weighted Average",$I103*VLOOKUP($D103&amp;" (Disposal)",Lists!$C$72:$R$232,COLUMNS(Lists!$C$69:R$69),0)*VLOOKUP(BR$3,Conversions!$B$12:$E$34,4,0),$I103*VLOOKUP($F103,Lists!$C$72:$R$232,COLUMNS(Lists!$C$69:R$69),0)*VLOOKUP(BR$3,Conversions!$B$12:$E$34,4,0)))</f>
        <v>0</v>
      </c>
      <c r="BD103" s="333">
        <f t="shared" si="104"/>
        <v>0</v>
      </c>
      <c r="BE103" s="330">
        <f t="shared" si="105"/>
        <v>0</v>
      </c>
      <c r="BF103" s="330">
        <f t="shared" si="106"/>
        <v>0</v>
      </c>
      <c r="BG103" s="330">
        <f t="shared" si="107"/>
        <v>0</v>
      </c>
      <c r="BH103" s="330">
        <f t="shared" si="108"/>
        <v>0</v>
      </c>
      <c r="BI103" s="330">
        <f t="shared" si="109"/>
        <v>0</v>
      </c>
      <c r="BJ103" s="330">
        <f t="shared" si="110"/>
        <v>0</v>
      </c>
      <c r="BK103" s="330">
        <f t="shared" si="111"/>
        <v>0</v>
      </c>
      <c r="BL103" s="330">
        <f t="shared" si="112"/>
        <v>0</v>
      </c>
      <c r="BM103" s="330">
        <f t="shared" si="113"/>
        <v>0</v>
      </c>
      <c r="BN103" s="330">
        <f t="shared" si="114"/>
        <v>0</v>
      </c>
      <c r="BO103" s="330">
        <f t="shared" si="115"/>
        <v>0</v>
      </c>
      <c r="BP103" s="330">
        <f t="shared" si="116"/>
        <v>0</v>
      </c>
      <c r="BQ103" s="330">
        <f t="shared" si="117"/>
        <v>0</v>
      </c>
      <c r="BR103" s="330">
        <f t="shared" si="118"/>
        <v>0</v>
      </c>
      <c r="BS103" s="330">
        <f t="shared" si="119"/>
        <v>0</v>
      </c>
      <c r="BT103" s="329">
        <f t="shared" si="120"/>
        <v>0</v>
      </c>
      <c r="BU103" s="329">
        <f t="shared" si="120"/>
        <v>0</v>
      </c>
      <c r="BV103" s="329">
        <f t="shared" si="120"/>
        <v>0</v>
      </c>
      <c r="BW103" s="329">
        <f t="shared" si="120"/>
        <v>0</v>
      </c>
      <c r="BX103" s="329">
        <f t="shared" si="120"/>
        <v>0</v>
      </c>
      <c r="BY103" s="329">
        <f t="shared" si="120"/>
        <v>0</v>
      </c>
      <c r="BZ103" s="329">
        <f t="shared" si="120"/>
        <v>0</v>
      </c>
      <c r="CA103" s="329">
        <f t="shared" si="120"/>
        <v>0</v>
      </c>
      <c r="CB103" s="329">
        <f t="shared" si="120"/>
        <v>0</v>
      </c>
      <c r="CC103" s="329">
        <f t="shared" si="120"/>
        <v>0</v>
      </c>
      <c r="CD103" s="329">
        <f t="shared" si="120"/>
        <v>0</v>
      </c>
      <c r="CE103" s="329">
        <f t="shared" si="120"/>
        <v>0</v>
      </c>
      <c r="CF103" s="329">
        <f t="shared" si="120"/>
        <v>0</v>
      </c>
      <c r="CG103" s="329">
        <f t="shared" si="120"/>
        <v>0</v>
      </c>
      <c r="CH103" s="329">
        <f t="shared" si="120"/>
        <v>0</v>
      </c>
      <c r="CI103" s="329">
        <f t="shared" si="120"/>
        <v>0</v>
      </c>
      <c r="CJ103" s="331">
        <f t="shared" si="121"/>
        <v>0</v>
      </c>
      <c r="CK103" s="330">
        <f t="shared" si="122"/>
        <v>0</v>
      </c>
      <c r="CL103" s="330">
        <f t="shared" si="123"/>
        <v>0</v>
      </c>
      <c r="CM103" s="330">
        <f t="shared" si="124"/>
        <v>0</v>
      </c>
      <c r="CN103" s="330">
        <f t="shared" si="125"/>
        <v>0</v>
      </c>
      <c r="CO103" s="330">
        <f t="shared" si="126"/>
        <v>0</v>
      </c>
      <c r="CP103" s="330">
        <f t="shared" si="127"/>
        <v>0</v>
      </c>
      <c r="CQ103" s="330">
        <f t="shared" si="94"/>
        <v>0</v>
      </c>
      <c r="CR103" s="330">
        <f t="shared" si="128"/>
        <v>0</v>
      </c>
      <c r="CS103" s="330">
        <f t="shared" si="129"/>
        <v>0</v>
      </c>
      <c r="CT103" s="330">
        <f t="shared" si="130"/>
        <v>0</v>
      </c>
      <c r="CU103" s="330">
        <f t="shared" si="131"/>
        <v>0</v>
      </c>
      <c r="CV103" s="330">
        <f t="shared" si="131"/>
        <v>0</v>
      </c>
      <c r="CW103" s="330">
        <f t="shared" si="131"/>
        <v>0</v>
      </c>
      <c r="CX103" s="330">
        <f t="shared" si="131"/>
        <v>0</v>
      </c>
      <c r="CY103" s="330">
        <f t="shared" si="131"/>
        <v>0</v>
      </c>
      <c r="CZ103" s="330">
        <f t="shared" si="131"/>
        <v>0</v>
      </c>
      <c r="DA103" s="330">
        <f t="shared" si="131"/>
        <v>0</v>
      </c>
      <c r="DB103" s="330">
        <f t="shared" si="131"/>
        <v>0</v>
      </c>
      <c r="DC103" s="330">
        <f t="shared" si="131"/>
        <v>0</v>
      </c>
      <c r="DD103" s="330">
        <f t="shared" si="131"/>
        <v>0</v>
      </c>
      <c r="DE103" s="330">
        <f t="shared" si="132"/>
        <v>0</v>
      </c>
      <c r="DF103" s="330">
        <f t="shared" si="132"/>
        <v>0</v>
      </c>
      <c r="DG103" s="330">
        <f t="shared" si="132"/>
        <v>0</v>
      </c>
      <c r="DH103" s="330">
        <f t="shared" si="132"/>
        <v>0</v>
      </c>
      <c r="DI103" s="330">
        <f t="shared" si="132"/>
        <v>0</v>
      </c>
      <c r="DJ103" s="330">
        <f t="shared" si="132"/>
        <v>0</v>
      </c>
      <c r="DK103" s="330">
        <f t="shared" si="132"/>
        <v>0</v>
      </c>
      <c r="DL103" s="330">
        <f t="shared" si="132"/>
        <v>0</v>
      </c>
      <c r="DM103" s="330">
        <f t="shared" si="132"/>
        <v>0</v>
      </c>
      <c r="DN103" s="330">
        <f t="shared" si="132"/>
        <v>0</v>
      </c>
      <c r="DO103" s="330">
        <f t="shared" si="132"/>
        <v>0</v>
      </c>
      <c r="DP103" s="330">
        <f t="shared" si="133"/>
        <v>0</v>
      </c>
      <c r="DQ103" s="217"/>
      <c r="DR103" s="217"/>
      <c r="DS103" s="217"/>
      <c r="DT103" s="217"/>
    </row>
    <row r="104" spans="1:124" x14ac:dyDescent="0.3">
      <c r="A104" s="324"/>
      <c r="B104" s="221" t="s">
        <v>305</v>
      </c>
      <c r="C104" s="221" t="str">
        <f>IF(Screening!C34=0,"",Screening!C34)</f>
        <v/>
      </c>
      <c r="D104" s="221" t="str">
        <f>IF(Screening!D34=0,"",Screening!D34)</f>
        <v/>
      </c>
      <c r="E104" s="221" t="str">
        <f>IF(Screening!E34=0,"",Screening!E34)</f>
        <v/>
      </c>
      <c r="F104" s="221" t="str">
        <f>IF(Screening!F34=0,"",Screening!F34)</f>
        <v/>
      </c>
      <c r="G104" s="272">
        <f>Screening!G34*Screening!O34*Conversions!$C$4</f>
        <v>0</v>
      </c>
      <c r="H104" s="272">
        <f>Screening!H34*Screening!P34*Screening!I34*Conversions!$C$4</f>
        <v>0</v>
      </c>
      <c r="I104" s="272">
        <f>Screening!J34*Screening!Q34*(1-Screening!R34)*Conversions!$C$4</f>
        <v>0</v>
      </c>
      <c r="J104" s="325">
        <f>IF(Screening!S34=0,0,Screening!S34)</f>
        <v>0</v>
      </c>
      <c r="K104" s="465"/>
      <c r="L104" s="333">
        <f>IF($F104="",0,IF($F104="Weighted Average",$G104*VLOOKUP($D104&amp;" (Install)",Lists!$C$72:$R$232,COLUMNS(Lists!$C$69:E$69),0)*VLOOKUP(BE$3,Conversions!$B$12:$E$34,4,0),$G104*VLOOKUP($F104,Lists!$C$72:$R$232,COLUMNS(Lists!$C$69:E$69),0)*VLOOKUP(BE$3,Conversions!$B$12:$E$34,4,0)))</f>
        <v>0</v>
      </c>
      <c r="M104" s="333">
        <f>IF($F104="",0,IF($F104="Weighted Average",$G104*VLOOKUP($D104&amp;" (Install)",Lists!$C$72:$R$232,COLUMNS(Lists!$C$69:F$69),0)*VLOOKUP(BF$3,Conversions!$B$12:$E$34,4,0),$G104*VLOOKUP($F104,Lists!$C$72:$R$232,COLUMNS(Lists!$C$69:F$69),0)*VLOOKUP(BF$3,Conversions!$B$12:$E$34,4,0)))</f>
        <v>0</v>
      </c>
      <c r="N104" s="333">
        <f>IF($F104="",0,IF($F104="Weighted Average",$G104*VLOOKUP($D104&amp;" (Install)",Lists!$C$72:$R$232,COLUMNS(Lists!$C$69:G$69),0)*VLOOKUP(BG$3,Conversions!$B$12:$E$34,4,0),$G104*VLOOKUP($F104,Lists!$C$72:$R$232,COLUMNS(Lists!$C$69:G$69),0)*VLOOKUP(BG$3,Conversions!$B$12:$E$34,4,0)))</f>
        <v>0</v>
      </c>
      <c r="O104" s="333">
        <f>IF($F104="",0,IF($F104="Weighted Average",$G104*VLOOKUP($D104&amp;" (Install)",Lists!$C$72:$R$232,COLUMNS(Lists!$C$69:H$69),0)*VLOOKUP(BH$3,Conversions!$B$12:$E$34,4,0),$G104*VLOOKUP($F104,Lists!$C$72:$R$232,COLUMNS(Lists!$C$69:H$69),0)*VLOOKUP(BH$3,Conversions!$B$12:$E$34,4,0)))</f>
        <v>0</v>
      </c>
      <c r="P104" s="333">
        <f>IF($F104="",0,IF($F104="Weighted Average",$G104*VLOOKUP($D104&amp;" (Install)",Lists!$C$72:$R$232,COLUMNS(Lists!$C$69:I$69),0)*VLOOKUP(BI$3,Conversions!$B$12:$E$34,4,0),$G104*VLOOKUP($F104,Lists!$C$72:$R$232,COLUMNS(Lists!$C$69:I$69),0)*VLOOKUP(BI$3,Conversions!$B$12:$E$34,4,0)))</f>
        <v>0</v>
      </c>
      <c r="Q104" s="333">
        <f>IF($F104="",0,IF($F104="Weighted Average",$G104*VLOOKUP($D104&amp;" (Install)",Lists!$C$72:$R$232,COLUMNS(Lists!$C$69:J$69),0)*VLOOKUP(BJ$3,Conversions!$B$12:$E$34,4,0),$G104*VLOOKUP($F104,Lists!$C$72:$R$232,COLUMNS(Lists!$C$69:J$69),0)*VLOOKUP(BJ$3,Conversions!$B$12:$E$34,4,0)))</f>
        <v>0</v>
      </c>
      <c r="R104" s="333">
        <f>IF($F104="",0,IF($F104="Weighted Average",$G104*VLOOKUP($D104&amp;" (Install)",Lists!$C$72:$R$232,COLUMNS(Lists!$C$69:K$69),0)*VLOOKUP(BK$3,Conversions!$B$12:$E$34,4,0),$G104*VLOOKUP($F104,Lists!$C$72:$R$232,COLUMNS(Lists!$C$69:K$69),0)*VLOOKUP(BK$3,Conversions!$B$12:$E$34,4,0)))</f>
        <v>0</v>
      </c>
      <c r="S104" s="333">
        <f>IF($F104="",0,IF($F104="Weighted Average",$G104*VLOOKUP($D104&amp;" (Install)",Lists!$C$72:$R$232,COLUMNS(Lists!$C$69:L$69),0)*VLOOKUP(BL$3,Conversions!$B$12:$E$34,4,0),$G104*VLOOKUP($F104,Lists!$C$72:$R$232,COLUMNS(Lists!$C$69:L$69),0)*VLOOKUP(BL$3,Conversions!$B$12:$E$34,4,0)))</f>
        <v>0</v>
      </c>
      <c r="T104" s="333">
        <f>IF($F104="",0,IF($F104="Weighted Average",$G104*VLOOKUP($D104&amp;" (Install)",Lists!$C$72:$R$232,COLUMNS(Lists!$C$69:M$69),0)*VLOOKUP(BM$3,Conversions!$B$12:$E$34,4,0),$G104*VLOOKUP($F104,Lists!$C$72:$R$232,COLUMNS(Lists!$C$69:M$69),0)*VLOOKUP(BM$3,Conversions!$B$12:$E$34,4,0)))</f>
        <v>0</v>
      </c>
      <c r="U104" s="333">
        <f>IF($F104="",0,IF($F104="Weighted Average",$G104*VLOOKUP($D104&amp;" (Install)",Lists!$C$72:$R$232,COLUMNS(Lists!$C$69:N$69),0)*VLOOKUP(BN$3,Conversions!$B$12:$E$34,4,0),$G104*VLOOKUP($F104,Lists!$C$72:$R$232,COLUMNS(Lists!$C$69:N$69),0)*VLOOKUP(BN$3,Conversions!$B$12:$E$34,4,0)))</f>
        <v>0</v>
      </c>
      <c r="V104" s="333">
        <f>IF($F104="",0,IF($F104="Weighted Average",$G104*VLOOKUP($D104&amp;" (Install)",Lists!$C$72:$R$232,COLUMNS(Lists!$C$69:O$69),0)*VLOOKUP(BO$3,Conversions!$B$12:$E$34,4,0),$G104*VLOOKUP($F104,Lists!$C$72:$R$232,COLUMNS(Lists!$C$69:O$69),0)*VLOOKUP(BO$3,Conversions!$B$12:$E$34,4,0)))</f>
        <v>0</v>
      </c>
      <c r="W104" s="333">
        <f>IF($F104="",0,IF($F104="Weighted Average",$G104*VLOOKUP($D104&amp;" (Install)",Lists!$C$72:$R$232,COLUMNS(Lists!$C$69:P$69),0)*VLOOKUP(BP$3,Conversions!$B$12:$E$34,4,0),$G104*VLOOKUP($F104,Lists!$C$72:$R$232,COLUMNS(Lists!$C$69:P$69),0)*VLOOKUP(BP$3,Conversions!$B$12:$E$34,4,0)))</f>
        <v>0</v>
      </c>
      <c r="X104" s="333">
        <f>IF($F104="",0,IF($F104="Weighted Average",$G104*VLOOKUP($D104&amp;" (Install)",Lists!$C$72:$R$232,COLUMNS(Lists!$C$69:Q$69),0)*VLOOKUP(BQ$3,Conversions!$B$12:$E$34,4,0),$G104*VLOOKUP($F104,Lists!$C$72:$R$232,COLUMNS(Lists!$C$69:Q$69),0)*VLOOKUP(BQ$3,Conversions!$B$12:$E$34,4,0)))</f>
        <v>0</v>
      </c>
      <c r="Y104" s="333">
        <f>IF($F104="",0,IF($F104="Weighted Average",$G104*VLOOKUP($D104&amp;" (Install)",Lists!$C$72:$R$232,COLUMNS(Lists!$C$69:R$69),0)*VLOOKUP(BR$3,Conversions!$B$12:$E$34,4,0),$G104*VLOOKUP($F104,Lists!$C$72:$R$232,COLUMNS(Lists!$C$69:R$69),0)*VLOOKUP(BR$3,Conversions!$B$12:$E$34,4,0)))</f>
        <v>0</v>
      </c>
      <c r="Z104" s="325">
        <f t="shared" si="102"/>
        <v>0</v>
      </c>
      <c r="AA104" s="334">
        <f>IF($F104="",0,IF($F104="Weighted Average",$H104*VLOOKUP($D104&amp;" (Operation)",Lists!$C$72:$R$232,COLUMNS(Lists!$C$69:E$69),0)*VLOOKUP(BE$3,Conversions!$B$12:$E$34,4,0),$H104*VLOOKUP($F104,Lists!$C$72:$R$232,COLUMNS(Lists!$C$69:E$69),0)*VLOOKUP(BE$3,Conversions!$B$12:$E$34,4,0)))</f>
        <v>0</v>
      </c>
      <c r="AB104" s="334">
        <f>IF($F104="",0,IF($F104="Weighted Average",$H104*VLOOKUP($D104&amp;" (Operation)",Lists!$C$72:$R$232,COLUMNS(Lists!$C$69:F$69),0)*VLOOKUP(BF$3,Conversions!$B$12:$E$34,4,0),$H104*VLOOKUP($F104,Lists!$C$72:$R$232,COLUMNS(Lists!$C$69:F$69),0)*VLOOKUP(BF$3,Conversions!$B$12:$E$34,4,0)))</f>
        <v>0</v>
      </c>
      <c r="AC104" s="334">
        <f>IF($F104="",0,IF($F104="Weighted Average",$H104*VLOOKUP($D104&amp;" (Operation)",Lists!$C$72:$R$232,COLUMNS(Lists!$C$69:G$69),0)*VLOOKUP(BG$3,Conversions!$B$12:$E$34,4,0),$H104*VLOOKUP($F104,Lists!$C$72:$R$232,COLUMNS(Lists!$C$69:G$69),0)*VLOOKUP(BG$3,Conversions!$B$12:$E$34,4,0)))</f>
        <v>0</v>
      </c>
      <c r="AD104" s="334">
        <f>IF($F104="",0,IF($F104="Weighted Average",$H104*VLOOKUP($D104&amp;" (Operation)",Lists!$C$72:$R$232,COLUMNS(Lists!$C$69:H$69),0)*VLOOKUP(BH$3,Conversions!$B$12:$E$34,4,0),$H104*VLOOKUP($F104,Lists!$C$72:$R$232,COLUMNS(Lists!$C$69:H$69),0)*VLOOKUP(BH$3,Conversions!$B$12:$E$34,4,0)))</f>
        <v>0</v>
      </c>
      <c r="AE104" s="334">
        <f>IF($F104="",0,IF($F104="Weighted Average",$H104*VLOOKUP($D104&amp;" (Operation)",Lists!$C$72:$R$232,COLUMNS(Lists!$C$69:I$69),0)*VLOOKUP(BI$3,Conversions!$B$12:$E$34,4,0),$H104*VLOOKUP($F104,Lists!$C$72:$R$232,COLUMNS(Lists!$C$69:I$69),0)*VLOOKUP(BI$3,Conversions!$B$12:$E$34,4,0)))</f>
        <v>0</v>
      </c>
      <c r="AF104" s="334">
        <f>IF($F104="",0,IF($F104="Weighted Average",$H104*VLOOKUP($D104&amp;" (Operation)",Lists!$C$72:$R$232,COLUMNS(Lists!$C$69:J$69),0)*VLOOKUP(BJ$3,Conversions!$B$12:$E$34,4,0),$H104*VLOOKUP($F104,Lists!$C$72:$R$232,COLUMNS(Lists!$C$69:J$69),0)*VLOOKUP(BJ$3,Conversions!$B$12:$E$34,4,0)))</f>
        <v>0</v>
      </c>
      <c r="AG104" s="334">
        <f>IF($F104="",0,IF($F104="Weighted Average",$H104*VLOOKUP($D104&amp;" (Operation)",Lists!$C$72:$R$232,COLUMNS(Lists!$C$69:K$69),0)*VLOOKUP(BK$3,Conversions!$B$12:$E$34,4,0),$H104*VLOOKUP($F104,Lists!$C$72:$R$232,COLUMNS(Lists!$C$69:K$69),0)*VLOOKUP(BK$3,Conversions!$B$12:$E$34,4,0)))</f>
        <v>0</v>
      </c>
      <c r="AH104" s="334">
        <f>IF($F104="",0,IF($F104="Weighted Average",$H104*VLOOKUP($D104&amp;" (Operation)",Lists!$C$72:$R$232,COLUMNS(Lists!$C$69:L$69),0)*VLOOKUP(BL$3,Conversions!$B$12:$E$34,4,0),$H104*VLOOKUP($F104,Lists!$C$72:$R$232,COLUMNS(Lists!$C$69:L$69),0)*VLOOKUP(BL$3,Conversions!$B$12:$E$34,4,0)))</f>
        <v>0</v>
      </c>
      <c r="AI104" s="334">
        <f>IF($F104="",0,IF($F104="Weighted Average",$H104*VLOOKUP($D104&amp;" (Operation)",Lists!$C$72:$R$232,COLUMNS(Lists!$C$69:M$69),0)*VLOOKUP(BM$3,Conversions!$B$12:$E$34,4,0),$H104*VLOOKUP($F104,Lists!$C$72:$R$232,COLUMNS(Lists!$C$69:M$69),0)*VLOOKUP(BM$3,Conversions!$B$12:$E$34,4,0)))</f>
        <v>0</v>
      </c>
      <c r="AJ104" s="334">
        <f>IF($F104="",0,IF($F104="Weighted Average",$H104*VLOOKUP($D104&amp;" (Operation)",Lists!$C$72:$R$232,COLUMNS(Lists!$C$69:N$69),0)*VLOOKUP(BN$3,Conversions!$B$12:$E$34,4,0),$H104*VLOOKUP($F104,Lists!$C$72:$R$232,COLUMNS(Lists!$C$69:N$69),0)*VLOOKUP(BN$3,Conversions!$B$12:$E$34,4,0)))</f>
        <v>0</v>
      </c>
      <c r="AK104" s="334">
        <f>IF($F104="",0,IF($F104="Weighted Average",$H104*VLOOKUP($D104&amp;" (Operation)",Lists!$C$72:$R$232,COLUMNS(Lists!$C$69:O$69),0)*VLOOKUP(BO$3,Conversions!$B$12:$E$34,4,0),$H104*VLOOKUP($F104,Lists!$C$72:$R$232,COLUMNS(Lists!$C$69:O$69),0)*VLOOKUP(BO$3,Conversions!$B$12:$E$34,4,0)))</f>
        <v>0</v>
      </c>
      <c r="AL104" s="334">
        <f>IF($F104="",0,IF($F104="Weighted Average",$H104*VLOOKUP($D104&amp;" (Operation)",Lists!$C$72:$R$232,COLUMNS(Lists!$C$69:P$69),0)*VLOOKUP(BP$3,Conversions!$B$12:$E$34,4,0),$H104*VLOOKUP($F104,Lists!$C$72:$R$232,COLUMNS(Lists!$C$69:P$69),0)*VLOOKUP(BP$3,Conversions!$B$12:$E$34,4,0)))</f>
        <v>0</v>
      </c>
      <c r="AM104" s="334">
        <f>IF($F104="",0,IF($F104="Weighted Average",$H104*VLOOKUP($D104&amp;" (Operation)",Lists!$C$72:$R$232,COLUMNS(Lists!$C$69:Q$69),0)*VLOOKUP(BQ$3,Conversions!$B$12:$E$34,4,0),$H104*VLOOKUP($F104,Lists!$C$72:$R$232,COLUMNS(Lists!$C$69:Q$69),0)*VLOOKUP(BQ$3,Conversions!$B$12:$E$34,4,0)))</f>
        <v>0</v>
      </c>
      <c r="AN104" s="334">
        <f>IF($F104="",0,IF($F104="Weighted Average",$H104*VLOOKUP($D104&amp;" (Operation)",Lists!$C$72:$R$232,COLUMNS(Lists!$C$69:R$69),0)*VLOOKUP(BR$3,Conversions!$B$12:$E$34,4,0),$H104*VLOOKUP($F104,Lists!$C$72:$R$232,COLUMNS(Lists!$C$69:R$69),0)*VLOOKUP(BR$3,Conversions!$B$12:$E$34,4,0)))</f>
        <v>0</v>
      </c>
      <c r="AO104" s="330">
        <f t="shared" si="103"/>
        <v>0</v>
      </c>
      <c r="AP104" s="333">
        <f>IF($F104="",0,IF($F104="Weighted Average",$I104*VLOOKUP($D104&amp;" (Disposal)",Lists!$C$72:$R$232,COLUMNS(Lists!$C$69:E$69),0)*VLOOKUP(BE$3,Conversions!$B$12:$E$34,4,0),$I104*VLOOKUP($F104,Lists!$C$72:$R$232,COLUMNS(Lists!$C$69:E$69),0)*VLOOKUP(BE$3,Conversions!$B$12:$E$34,4,0)))</f>
        <v>0</v>
      </c>
      <c r="AQ104" s="333">
        <f>IF($F104="",0,IF($F104="Weighted Average",$I104*VLOOKUP($D104&amp;" (Disposal)",Lists!$C$72:$R$232,COLUMNS(Lists!$C$69:F$69),0)*VLOOKUP(BF$3,Conversions!$B$12:$E$34,4,0),$I104*VLOOKUP($F104,Lists!$C$72:$R$232,COLUMNS(Lists!$C$69:F$69),0)*VLOOKUP(BF$3,Conversions!$B$12:$E$34,4,0)))</f>
        <v>0</v>
      </c>
      <c r="AR104" s="333">
        <f>IF($F104="",0,IF($F104="Weighted Average",$I104*VLOOKUP($D104&amp;" (Disposal)",Lists!$C$72:$R$232,COLUMNS(Lists!$C$69:G$69),0)*VLOOKUP(BG$3,Conversions!$B$12:$E$34,4,0),$I104*VLOOKUP($F104,Lists!$C$72:$R$232,COLUMNS(Lists!$C$69:G$69),0)*VLOOKUP(BG$3,Conversions!$B$12:$E$34,4,0)))</f>
        <v>0</v>
      </c>
      <c r="AS104" s="333">
        <f>IF($F104="",0,IF($F104="Weighted Average",$I104*VLOOKUP($D104&amp;" (Disposal)",Lists!$C$72:$R$232,COLUMNS(Lists!$C$69:H$69),0)*VLOOKUP(BH$3,Conversions!$B$12:$E$34,4,0),$I104*VLOOKUP($F104,Lists!$C$72:$R$232,COLUMNS(Lists!$C$69:H$69),0)*VLOOKUP(BH$3,Conversions!$B$12:$E$34,4,0)))</f>
        <v>0</v>
      </c>
      <c r="AT104" s="333">
        <f>IF($F104="",0,IF($F104="Weighted Average",$I104*VLOOKUP($D104&amp;" (Disposal)",Lists!$C$72:$R$232,COLUMNS(Lists!$C$69:I$69),0)*VLOOKUP(BI$3,Conversions!$B$12:$E$34,4,0),$I104*VLOOKUP($F104,Lists!$C$72:$R$232,COLUMNS(Lists!$C$69:I$69),0)*VLOOKUP(BI$3,Conversions!$B$12:$E$34,4,0)))</f>
        <v>0</v>
      </c>
      <c r="AU104" s="333">
        <f>IF($F104="",0,IF($F104="Weighted Average",$I104*VLOOKUP($D104&amp;" (Disposal)",Lists!$C$72:$R$232,COLUMNS(Lists!$C$69:J$69),0)*VLOOKUP(BJ$3,Conversions!$B$12:$E$34,4,0),$I104*VLOOKUP($F104,Lists!$C$72:$R$232,COLUMNS(Lists!$C$69:J$69),0)*VLOOKUP(BJ$3,Conversions!$B$12:$E$34,4,0)))</f>
        <v>0</v>
      </c>
      <c r="AV104" s="333">
        <f>IF($F104="",0,IF($F104="Weighted Average",$I104*VLOOKUP($D104&amp;" (Disposal)",Lists!$C$72:$R$232,COLUMNS(Lists!$C$69:K$69),0)*VLOOKUP(BK$3,Conversions!$B$12:$E$34,4,0),$I104*VLOOKUP($F104,Lists!$C$72:$R$232,COLUMNS(Lists!$C$69:K$69),0)*VLOOKUP(BK$3,Conversions!$B$12:$E$34,4,0)))</f>
        <v>0</v>
      </c>
      <c r="AW104" s="333">
        <f>IF($F104="",0,IF($F104="Weighted Average",$I104*VLOOKUP($D104&amp;" (Disposal)",Lists!$C$72:$R$232,COLUMNS(Lists!$C$69:L$69),0)*VLOOKUP(BL$3,Conversions!$B$12:$E$34,4,0),$I104*VLOOKUP($F104,Lists!$C$72:$R$232,COLUMNS(Lists!$C$69:L$69),0)*VLOOKUP(BL$3,Conversions!$B$12:$E$34,4,0)))</f>
        <v>0</v>
      </c>
      <c r="AX104" s="333">
        <f>IF($F104="",0,IF($F104="Weighted Average",$I104*VLOOKUP($D104&amp;" (Disposal)",Lists!$C$72:$R$232,COLUMNS(Lists!$C$69:M$69),0)*VLOOKUP(BM$3,Conversions!$B$12:$E$34,4,0),$I104*VLOOKUP($F104,Lists!$C$72:$R$232,COLUMNS(Lists!$C$69:M$69),0)*VLOOKUP(BM$3,Conversions!$B$12:$E$34,4,0)))</f>
        <v>0</v>
      </c>
      <c r="AY104" s="333">
        <f>IF($F104="",0,IF($F104="Weighted Average",$I104*VLOOKUP($D104&amp;" (Disposal)",Lists!$C$72:$R$232,COLUMNS(Lists!$C$69:N$69),0)*VLOOKUP(BN$3,Conversions!$B$12:$E$34,4,0),$I104*VLOOKUP($F104,Lists!$C$72:$R$232,COLUMNS(Lists!$C$69:N$69),0)*VLOOKUP(BN$3,Conversions!$B$12:$E$34,4,0)))</f>
        <v>0</v>
      </c>
      <c r="AZ104" s="333">
        <f>IF($F104="",0,IF($F104="Weighted Average",$I104*VLOOKUP($D104&amp;" (Disposal)",Lists!$C$72:$R$232,COLUMNS(Lists!$C$69:O$69),0)*VLOOKUP(BO$3,Conversions!$B$12:$E$34,4,0),$I104*VLOOKUP($F104,Lists!$C$72:$R$232,COLUMNS(Lists!$C$69:O$69),0)*VLOOKUP(BO$3,Conversions!$B$12:$E$34,4,0)))</f>
        <v>0</v>
      </c>
      <c r="BA104" s="333">
        <f>IF($F104="",0,IF($F104="Weighted Average",$I104*VLOOKUP($D104&amp;" (Disposal)",Lists!$C$72:$R$232,COLUMNS(Lists!$C$69:P$69),0)*VLOOKUP(BP$3,Conversions!$B$12:$E$34,4,0),$I104*VLOOKUP($F104,Lists!$C$72:$R$232,COLUMNS(Lists!$C$69:P$69),0)*VLOOKUP(BP$3,Conversions!$B$12:$E$34,4,0)))</f>
        <v>0</v>
      </c>
      <c r="BB104" s="333">
        <f>IF($F104="",0,IF($F104="Weighted Average",$I104*VLOOKUP($D104&amp;" (Disposal)",Lists!$C$72:$R$232,COLUMNS(Lists!$C$69:Q$69),0)*VLOOKUP(BQ$3,Conversions!$B$12:$E$34,4,0),$I104*VLOOKUP($F104,Lists!$C$72:$R$232,COLUMNS(Lists!$C$69:Q$69),0)*VLOOKUP(BQ$3,Conversions!$B$12:$E$34,4,0)))</f>
        <v>0</v>
      </c>
      <c r="BC104" s="333">
        <f>IF($F104="",0,IF($F104="Weighted Average",$I104*VLOOKUP($D104&amp;" (Disposal)",Lists!$C$72:$R$232,COLUMNS(Lists!$C$69:R$69),0)*VLOOKUP(BR$3,Conversions!$B$12:$E$34,4,0),$I104*VLOOKUP($F104,Lists!$C$72:$R$232,COLUMNS(Lists!$C$69:R$69),0)*VLOOKUP(BR$3,Conversions!$B$12:$E$34,4,0)))</f>
        <v>0</v>
      </c>
      <c r="BD104" s="333">
        <f t="shared" si="104"/>
        <v>0</v>
      </c>
      <c r="BE104" s="330">
        <f t="shared" si="105"/>
        <v>0</v>
      </c>
      <c r="BF104" s="330">
        <f t="shared" si="106"/>
        <v>0</v>
      </c>
      <c r="BG104" s="330">
        <f t="shared" si="107"/>
        <v>0</v>
      </c>
      <c r="BH104" s="330">
        <f t="shared" si="108"/>
        <v>0</v>
      </c>
      <c r="BI104" s="330">
        <f t="shared" si="109"/>
        <v>0</v>
      </c>
      <c r="BJ104" s="330">
        <f t="shared" si="110"/>
        <v>0</v>
      </c>
      <c r="BK104" s="330">
        <f t="shared" si="111"/>
        <v>0</v>
      </c>
      <c r="BL104" s="330">
        <f t="shared" si="112"/>
        <v>0</v>
      </c>
      <c r="BM104" s="330">
        <f t="shared" si="113"/>
        <v>0</v>
      </c>
      <c r="BN104" s="330">
        <f t="shared" si="114"/>
        <v>0</v>
      </c>
      <c r="BO104" s="330">
        <f t="shared" si="115"/>
        <v>0</v>
      </c>
      <c r="BP104" s="330">
        <f t="shared" si="116"/>
        <v>0</v>
      </c>
      <c r="BQ104" s="330">
        <f t="shared" si="117"/>
        <v>0</v>
      </c>
      <c r="BR104" s="330">
        <f t="shared" si="118"/>
        <v>0</v>
      </c>
      <c r="BS104" s="330">
        <f t="shared" si="119"/>
        <v>0</v>
      </c>
      <c r="BT104" s="329">
        <f t="shared" ref="BT104:CI113" si="134">IF($E104="",0,IF($E104=BT$3,$BS104,0))</f>
        <v>0</v>
      </c>
      <c r="BU104" s="329">
        <f t="shared" si="134"/>
        <v>0</v>
      </c>
      <c r="BV104" s="329">
        <f t="shared" si="134"/>
        <v>0</v>
      </c>
      <c r="BW104" s="329">
        <f t="shared" si="134"/>
        <v>0</v>
      </c>
      <c r="BX104" s="329">
        <f t="shared" si="134"/>
        <v>0</v>
      </c>
      <c r="BY104" s="329">
        <f t="shared" si="134"/>
        <v>0</v>
      </c>
      <c r="BZ104" s="329">
        <f t="shared" si="134"/>
        <v>0</v>
      </c>
      <c r="CA104" s="329">
        <f t="shared" si="134"/>
        <v>0</v>
      </c>
      <c r="CB104" s="329">
        <f t="shared" si="134"/>
        <v>0</v>
      </c>
      <c r="CC104" s="329">
        <f t="shared" si="134"/>
        <v>0</v>
      </c>
      <c r="CD104" s="329">
        <f t="shared" si="134"/>
        <v>0</v>
      </c>
      <c r="CE104" s="329">
        <f t="shared" si="134"/>
        <v>0</v>
      </c>
      <c r="CF104" s="329">
        <f t="shared" si="134"/>
        <v>0</v>
      </c>
      <c r="CG104" s="329">
        <f t="shared" si="134"/>
        <v>0</v>
      </c>
      <c r="CH104" s="329">
        <f t="shared" si="134"/>
        <v>0</v>
      </c>
      <c r="CI104" s="329">
        <f t="shared" si="134"/>
        <v>0</v>
      </c>
      <c r="CJ104" s="331">
        <f t="shared" si="121"/>
        <v>0</v>
      </c>
      <c r="CK104" s="330">
        <f t="shared" si="122"/>
        <v>0</v>
      </c>
      <c r="CL104" s="330">
        <f t="shared" si="123"/>
        <v>0</v>
      </c>
      <c r="CM104" s="330">
        <f t="shared" si="124"/>
        <v>0</v>
      </c>
      <c r="CN104" s="330">
        <f t="shared" si="125"/>
        <v>0</v>
      </c>
      <c r="CO104" s="330">
        <f t="shared" si="126"/>
        <v>0</v>
      </c>
      <c r="CP104" s="330">
        <f t="shared" si="127"/>
        <v>0</v>
      </c>
      <c r="CQ104" s="330">
        <f t="shared" si="94"/>
        <v>0</v>
      </c>
      <c r="CR104" s="330">
        <f t="shared" si="128"/>
        <v>0</v>
      </c>
      <c r="CS104" s="330">
        <f t="shared" si="129"/>
        <v>0</v>
      </c>
      <c r="CT104" s="330">
        <f t="shared" si="130"/>
        <v>0</v>
      </c>
      <c r="CU104" s="330">
        <f t="shared" ref="CU104:DD113" si="135">IF($C104=CU$3,$BS104,0)</f>
        <v>0</v>
      </c>
      <c r="CV104" s="330">
        <f t="shared" si="135"/>
        <v>0</v>
      </c>
      <c r="CW104" s="330">
        <f t="shared" si="135"/>
        <v>0</v>
      </c>
      <c r="CX104" s="330">
        <f t="shared" si="135"/>
        <v>0</v>
      </c>
      <c r="CY104" s="330">
        <f t="shared" si="135"/>
        <v>0</v>
      </c>
      <c r="CZ104" s="330">
        <f t="shared" si="135"/>
        <v>0</v>
      </c>
      <c r="DA104" s="330">
        <f t="shared" si="135"/>
        <v>0</v>
      </c>
      <c r="DB104" s="330">
        <f t="shared" si="135"/>
        <v>0</v>
      </c>
      <c r="DC104" s="330">
        <f t="shared" si="135"/>
        <v>0</v>
      </c>
      <c r="DD104" s="330">
        <f t="shared" si="135"/>
        <v>0</v>
      </c>
      <c r="DE104" s="330">
        <f t="shared" ref="DE104:DO113" si="136">IF($C104=DE$3,$BS104,0)</f>
        <v>0</v>
      </c>
      <c r="DF104" s="330">
        <f t="shared" si="136"/>
        <v>0</v>
      </c>
      <c r="DG104" s="330">
        <f t="shared" si="136"/>
        <v>0</v>
      </c>
      <c r="DH104" s="330">
        <f t="shared" si="136"/>
        <v>0</v>
      </c>
      <c r="DI104" s="330">
        <f t="shared" si="136"/>
        <v>0</v>
      </c>
      <c r="DJ104" s="330">
        <f t="shared" si="136"/>
        <v>0</v>
      </c>
      <c r="DK104" s="330">
        <f t="shared" si="136"/>
        <v>0</v>
      </c>
      <c r="DL104" s="330">
        <f t="shared" si="136"/>
        <v>0</v>
      </c>
      <c r="DM104" s="330">
        <f t="shared" si="136"/>
        <v>0</v>
      </c>
      <c r="DN104" s="330">
        <f t="shared" si="136"/>
        <v>0</v>
      </c>
      <c r="DO104" s="330">
        <f t="shared" si="136"/>
        <v>0</v>
      </c>
      <c r="DP104" s="330">
        <f t="shared" si="133"/>
        <v>0</v>
      </c>
      <c r="DQ104" s="217"/>
      <c r="DR104" s="217"/>
      <c r="DS104" s="217"/>
      <c r="DT104" s="217"/>
    </row>
    <row r="105" spans="1:124" x14ac:dyDescent="0.3">
      <c r="A105" s="324"/>
      <c r="B105" s="221" t="s">
        <v>305</v>
      </c>
      <c r="C105" s="221" t="str">
        <f>IF(Screening!C35=0,"",Screening!C35)</f>
        <v/>
      </c>
      <c r="D105" s="221" t="str">
        <f>IF(Screening!D35=0,"",Screening!D35)</f>
        <v/>
      </c>
      <c r="E105" s="221" t="str">
        <f>IF(Screening!E35=0,"",Screening!E35)</f>
        <v/>
      </c>
      <c r="F105" s="221" t="str">
        <f>IF(Screening!F35=0,"",Screening!F35)</f>
        <v/>
      </c>
      <c r="G105" s="272">
        <f>Screening!G35*Screening!O35*Conversions!$C$4</f>
        <v>0</v>
      </c>
      <c r="H105" s="272">
        <f>Screening!H35*Screening!P35*Screening!I35*Conversions!$C$4</f>
        <v>0</v>
      </c>
      <c r="I105" s="272">
        <f>Screening!J35*Screening!Q35*(1-Screening!R35)*Conversions!$C$4</f>
        <v>0</v>
      </c>
      <c r="J105" s="325">
        <f>IF(Screening!S35=0,0,Screening!S35)</f>
        <v>0</v>
      </c>
      <c r="K105" s="465"/>
      <c r="L105" s="333">
        <f>IF($F105="",0,IF($F105="Weighted Average",$G105*VLOOKUP($D105&amp;" (Install)",Lists!$C$72:$R$232,COLUMNS(Lists!$C$69:E$69),0)*VLOOKUP(BE$3,Conversions!$B$12:$E$34,4,0),$G105*VLOOKUP($F105,Lists!$C$72:$R$232,COLUMNS(Lists!$C$69:E$69),0)*VLOOKUP(BE$3,Conversions!$B$12:$E$34,4,0)))</f>
        <v>0</v>
      </c>
      <c r="M105" s="333">
        <f>IF($F105="",0,IF($F105="Weighted Average",$G105*VLOOKUP($D105&amp;" (Install)",Lists!$C$72:$R$232,COLUMNS(Lists!$C$69:F$69),0)*VLOOKUP(BF$3,Conversions!$B$12:$E$34,4,0),$G105*VLOOKUP($F105,Lists!$C$72:$R$232,COLUMNS(Lists!$C$69:F$69),0)*VLOOKUP(BF$3,Conversions!$B$12:$E$34,4,0)))</f>
        <v>0</v>
      </c>
      <c r="N105" s="333">
        <f>IF($F105="",0,IF($F105="Weighted Average",$G105*VLOOKUP($D105&amp;" (Install)",Lists!$C$72:$R$232,COLUMNS(Lists!$C$69:G$69),0)*VLOOKUP(BG$3,Conversions!$B$12:$E$34,4,0),$G105*VLOOKUP($F105,Lists!$C$72:$R$232,COLUMNS(Lists!$C$69:G$69),0)*VLOOKUP(BG$3,Conversions!$B$12:$E$34,4,0)))</f>
        <v>0</v>
      </c>
      <c r="O105" s="333">
        <f>IF($F105="",0,IF($F105="Weighted Average",$G105*VLOOKUP($D105&amp;" (Install)",Lists!$C$72:$R$232,COLUMNS(Lists!$C$69:H$69),0)*VLOOKUP(BH$3,Conversions!$B$12:$E$34,4,0),$G105*VLOOKUP($F105,Lists!$C$72:$R$232,COLUMNS(Lists!$C$69:H$69),0)*VLOOKUP(BH$3,Conversions!$B$12:$E$34,4,0)))</f>
        <v>0</v>
      </c>
      <c r="P105" s="333">
        <f>IF($F105="",0,IF($F105="Weighted Average",$G105*VLOOKUP($D105&amp;" (Install)",Lists!$C$72:$R$232,COLUMNS(Lists!$C$69:I$69),0)*VLOOKUP(BI$3,Conversions!$B$12:$E$34,4,0),$G105*VLOOKUP($F105,Lists!$C$72:$R$232,COLUMNS(Lists!$C$69:I$69),0)*VLOOKUP(BI$3,Conversions!$B$12:$E$34,4,0)))</f>
        <v>0</v>
      </c>
      <c r="Q105" s="333">
        <f>IF($F105="",0,IF($F105="Weighted Average",$G105*VLOOKUP($D105&amp;" (Install)",Lists!$C$72:$R$232,COLUMNS(Lists!$C$69:J$69),0)*VLOOKUP(BJ$3,Conversions!$B$12:$E$34,4,0),$G105*VLOOKUP($F105,Lists!$C$72:$R$232,COLUMNS(Lists!$C$69:J$69),0)*VLOOKUP(BJ$3,Conversions!$B$12:$E$34,4,0)))</f>
        <v>0</v>
      </c>
      <c r="R105" s="333">
        <f>IF($F105="",0,IF($F105="Weighted Average",$G105*VLOOKUP($D105&amp;" (Install)",Lists!$C$72:$R$232,COLUMNS(Lists!$C$69:K$69),0)*VLOOKUP(BK$3,Conversions!$B$12:$E$34,4,0),$G105*VLOOKUP($F105,Lists!$C$72:$R$232,COLUMNS(Lists!$C$69:K$69),0)*VLOOKUP(BK$3,Conversions!$B$12:$E$34,4,0)))</f>
        <v>0</v>
      </c>
      <c r="S105" s="333">
        <f>IF($F105="",0,IF($F105="Weighted Average",$G105*VLOOKUP($D105&amp;" (Install)",Lists!$C$72:$R$232,COLUMNS(Lists!$C$69:L$69),0)*VLOOKUP(BL$3,Conversions!$B$12:$E$34,4,0),$G105*VLOOKUP($F105,Lists!$C$72:$R$232,COLUMNS(Lists!$C$69:L$69),0)*VLOOKUP(BL$3,Conversions!$B$12:$E$34,4,0)))</f>
        <v>0</v>
      </c>
      <c r="T105" s="333">
        <f>IF($F105="",0,IF($F105="Weighted Average",$G105*VLOOKUP($D105&amp;" (Install)",Lists!$C$72:$R$232,COLUMNS(Lists!$C$69:M$69),0)*VLOOKUP(BM$3,Conversions!$B$12:$E$34,4,0),$G105*VLOOKUP($F105,Lists!$C$72:$R$232,COLUMNS(Lists!$C$69:M$69),0)*VLOOKUP(BM$3,Conversions!$B$12:$E$34,4,0)))</f>
        <v>0</v>
      </c>
      <c r="U105" s="333">
        <f>IF($F105="",0,IF($F105="Weighted Average",$G105*VLOOKUP($D105&amp;" (Install)",Lists!$C$72:$R$232,COLUMNS(Lists!$C$69:N$69),0)*VLOOKUP(BN$3,Conversions!$B$12:$E$34,4,0),$G105*VLOOKUP($F105,Lists!$C$72:$R$232,COLUMNS(Lists!$C$69:N$69),0)*VLOOKUP(BN$3,Conversions!$B$12:$E$34,4,0)))</f>
        <v>0</v>
      </c>
      <c r="V105" s="333">
        <f>IF($F105="",0,IF($F105="Weighted Average",$G105*VLOOKUP($D105&amp;" (Install)",Lists!$C$72:$R$232,COLUMNS(Lists!$C$69:O$69),0)*VLOOKUP(BO$3,Conversions!$B$12:$E$34,4,0),$G105*VLOOKUP($F105,Lists!$C$72:$R$232,COLUMNS(Lists!$C$69:O$69),0)*VLOOKUP(BO$3,Conversions!$B$12:$E$34,4,0)))</f>
        <v>0</v>
      </c>
      <c r="W105" s="333">
        <f>IF($F105="",0,IF($F105="Weighted Average",$G105*VLOOKUP($D105&amp;" (Install)",Lists!$C$72:$R$232,COLUMNS(Lists!$C$69:P$69),0)*VLOOKUP(BP$3,Conversions!$B$12:$E$34,4,0),$G105*VLOOKUP($F105,Lists!$C$72:$R$232,COLUMNS(Lists!$C$69:P$69),0)*VLOOKUP(BP$3,Conversions!$B$12:$E$34,4,0)))</f>
        <v>0</v>
      </c>
      <c r="X105" s="333">
        <f>IF($F105="",0,IF($F105="Weighted Average",$G105*VLOOKUP($D105&amp;" (Install)",Lists!$C$72:$R$232,COLUMNS(Lists!$C$69:Q$69),0)*VLOOKUP(BQ$3,Conversions!$B$12:$E$34,4,0),$G105*VLOOKUP($F105,Lists!$C$72:$R$232,COLUMNS(Lists!$C$69:Q$69),0)*VLOOKUP(BQ$3,Conversions!$B$12:$E$34,4,0)))</f>
        <v>0</v>
      </c>
      <c r="Y105" s="333">
        <f>IF($F105="",0,IF($F105="Weighted Average",$G105*VLOOKUP($D105&amp;" (Install)",Lists!$C$72:$R$232,COLUMNS(Lists!$C$69:R$69),0)*VLOOKUP(BR$3,Conversions!$B$12:$E$34,4,0),$G105*VLOOKUP($F105,Lists!$C$72:$R$232,COLUMNS(Lists!$C$69:R$69),0)*VLOOKUP(BR$3,Conversions!$B$12:$E$34,4,0)))</f>
        <v>0</v>
      </c>
      <c r="Z105" s="325">
        <f t="shared" si="102"/>
        <v>0</v>
      </c>
      <c r="AA105" s="334">
        <f>IF($F105="",0,IF($F105="Weighted Average",$H105*VLOOKUP($D105&amp;" (Operation)",Lists!$C$72:$R$232,COLUMNS(Lists!$C$69:E$69),0)*VLOOKUP(BE$3,Conversions!$B$12:$E$34,4,0),$H105*VLOOKUP($F105,Lists!$C$72:$R$232,COLUMNS(Lists!$C$69:E$69),0)*VLOOKUP(BE$3,Conversions!$B$12:$E$34,4,0)))</f>
        <v>0</v>
      </c>
      <c r="AB105" s="334">
        <f>IF($F105="",0,IF($F105="Weighted Average",$H105*VLOOKUP($D105&amp;" (Operation)",Lists!$C$72:$R$232,COLUMNS(Lists!$C$69:F$69),0)*VLOOKUP(BF$3,Conversions!$B$12:$E$34,4,0),$H105*VLOOKUP($F105,Lists!$C$72:$R$232,COLUMNS(Lists!$C$69:F$69),0)*VLOOKUP(BF$3,Conversions!$B$12:$E$34,4,0)))</f>
        <v>0</v>
      </c>
      <c r="AC105" s="334">
        <f>IF($F105="",0,IF($F105="Weighted Average",$H105*VLOOKUP($D105&amp;" (Operation)",Lists!$C$72:$R$232,COLUMNS(Lists!$C$69:G$69),0)*VLOOKUP(BG$3,Conversions!$B$12:$E$34,4,0),$H105*VLOOKUP($F105,Lists!$C$72:$R$232,COLUMNS(Lists!$C$69:G$69),0)*VLOOKUP(BG$3,Conversions!$B$12:$E$34,4,0)))</f>
        <v>0</v>
      </c>
      <c r="AD105" s="334">
        <f>IF($F105="",0,IF($F105="Weighted Average",$H105*VLOOKUP($D105&amp;" (Operation)",Lists!$C$72:$R$232,COLUMNS(Lists!$C$69:H$69),0)*VLOOKUP(BH$3,Conversions!$B$12:$E$34,4,0),$H105*VLOOKUP($F105,Lists!$C$72:$R$232,COLUMNS(Lists!$C$69:H$69),0)*VLOOKUP(BH$3,Conversions!$B$12:$E$34,4,0)))</f>
        <v>0</v>
      </c>
      <c r="AE105" s="334">
        <f>IF($F105="",0,IF($F105="Weighted Average",$H105*VLOOKUP($D105&amp;" (Operation)",Lists!$C$72:$R$232,COLUMNS(Lists!$C$69:I$69),0)*VLOOKUP(BI$3,Conversions!$B$12:$E$34,4,0),$H105*VLOOKUP($F105,Lists!$C$72:$R$232,COLUMNS(Lists!$C$69:I$69),0)*VLOOKUP(BI$3,Conversions!$B$12:$E$34,4,0)))</f>
        <v>0</v>
      </c>
      <c r="AF105" s="334">
        <f>IF($F105="",0,IF($F105="Weighted Average",$H105*VLOOKUP($D105&amp;" (Operation)",Lists!$C$72:$R$232,COLUMNS(Lists!$C$69:J$69),0)*VLOOKUP(BJ$3,Conversions!$B$12:$E$34,4,0),$H105*VLOOKUP($F105,Lists!$C$72:$R$232,COLUMNS(Lists!$C$69:J$69),0)*VLOOKUP(BJ$3,Conversions!$B$12:$E$34,4,0)))</f>
        <v>0</v>
      </c>
      <c r="AG105" s="334">
        <f>IF($F105="",0,IF($F105="Weighted Average",$H105*VLOOKUP($D105&amp;" (Operation)",Lists!$C$72:$R$232,COLUMNS(Lists!$C$69:K$69),0)*VLOOKUP(BK$3,Conversions!$B$12:$E$34,4,0),$H105*VLOOKUP($F105,Lists!$C$72:$R$232,COLUMNS(Lists!$C$69:K$69),0)*VLOOKUP(BK$3,Conversions!$B$12:$E$34,4,0)))</f>
        <v>0</v>
      </c>
      <c r="AH105" s="334">
        <f>IF($F105="",0,IF($F105="Weighted Average",$H105*VLOOKUP($D105&amp;" (Operation)",Lists!$C$72:$R$232,COLUMNS(Lists!$C$69:L$69),0)*VLOOKUP(BL$3,Conversions!$B$12:$E$34,4,0),$H105*VLOOKUP($F105,Lists!$C$72:$R$232,COLUMNS(Lists!$C$69:L$69),0)*VLOOKUP(BL$3,Conversions!$B$12:$E$34,4,0)))</f>
        <v>0</v>
      </c>
      <c r="AI105" s="334">
        <f>IF($F105="",0,IF($F105="Weighted Average",$H105*VLOOKUP($D105&amp;" (Operation)",Lists!$C$72:$R$232,COLUMNS(Lists!$C$69:M$69),0)*VLOOKUP(BM$3,Conversions!$B$12:$E$34,4,0),$H105*VLOOKUP($F105,Lists!$C$72:$R$232,COLUMNS(Lists!$C$69:M$69),0)*VLOOKUP(BM$3,Conversions!$B$12:$E$34,4,0)))</f>
        <v>0</v>
      </c>
      <c r="AJ105" s="334">
        <f>IF($F105="",0,IF($F105="Weighted Average",$H105*VLOOKUP($D105&amp;" (Operation)",Lists!$C$72:$R$232,COLUMNS(Lists!$C$69:N$69),0)*VLOOKUP(BN$3,Conversions!$B$12:$E$34,4,0),$H105*VLOOKUP($F105,Lists!$C$72:$R$232,COLUMNS(Lists!$C$69:N$69),0)*VLOOKUP(BN$3,Conversions!$B$12:$E$34,4,0)))</f>
        <v>0</v>
      </c>
      <c r="AK105" s="334">
        <f>IF($F105="",0,IF($F105="Weighted Average",$H105*VLOOKUP($D105&amp;" (Operation)",Lists!$C$72:$R$232,COLUMNS(Lists!$C$69:O$69),0)*VLOOKUP(BO$3,Conversions!$B$12:$E$34,4,0),$H105*VLOOKUP($F105,Lists!$C$72:$R$232,COLUMNS(Lists!$C$69:O$69),0)*VLOOKUP(BO$3,Conversions!$B$12:$E$34,4,0)))</f>
        <v>0</v>
      </c>
      <c r="AL105" s="334">
        <f>IF($F105="",0,IF($F105="Weighted Average",$H105*VLOOKUP($D105&amp;" (Operation)",Lists!$C$72:$R$232,COLUMNS(Lists!$C$69:P$69),0)*VLOOKUP(BP$3,Conversions!$B$12:$E$34,4,0),$H105*VLOOKUP($F105,Lists!$C$72:$R$232,COLUMNS(Lists!$C$69:P$69),0)*VLOOKUP(BP$3,Conversions!$B$12:$E$34,4,0)))</f>
        <v>0</v>
      </c>
      <c r="AM105" s="334">
        <f>IF($F105="",0,IF($F105="Weighted Average",$H105*VLOOKUP($D105&amp;" (Operation)",Lists!$C$72:$R$232,COLUMNS(Lists!$C$69:Q$69),0)*VLOOKUP(BQ$3,Conversions!$B$12:$E$34,4,0),$H105*VLOOKUP($F105,Lists!$C$72:$R$232,COLUMNS(Lists!$C$69:Q$69),0)*VLOOKUP(BQ$3,Conversions!$B$12:$E$34,4,0)))</f>
        <v>0</v>
      </c>
      <c r="AN105" s="334">
        <f>IF($F105="",0,IF($F105="Weighted Average",$H105*VLOOKUP($D105&amp;" (Operation)",Lists!$C$72:$R$232,COLUMNS(Lists!$C$69:R$69),0)*VLOOKUP(BR$3,Conversions!$B$12:$E$34,4,0),$H105*VLOOKUP($F105,Lists!$C$72:$R$232,COLUMNS(Lists!$C$69:R$69),0)*VLOOKUP(BR$3,Conversions!$B$12:$E$34,4,0)))</f>
        <v>0</v>
      </c>
      <c r="AO105" s="330">
        <f t="shared" si="103"/>
        <v>0</v>
      </c>
      <c r="AP105" s="333">
        <f>IF($F105="",0,IF($F105="Weighted Average",$I105*VLOOKUP($D105&amp;" (Disposal)",Lists!$C$72:$R$232,COLUMNS(Lists!$C$69:E$69),0)*VLOOKUP(BE$3,Conversions!$B$12:$E$34,4,0),$I105*VLOOKUP($F105,Lists!$C$72:$R$232,COLUMNS(Lists!$C$69:E$69),0)*VLOOKUP(BE$3,Conversions!$B$12:$E$34,4,0)))</f>
        <v>0</v>
      </c>
      <c r="AQ105" s="333">
        <f>IF($F105="",0,IF($F105="Weighted Average",$I105*VLOOKUP($D105&amp;" (Disposal)",Lists!$C$72:$R$232,COLUMNS(Lists!$C$69:F$69),0)*VLOOKUP(BF$3,Conversions!$B$12:$E$34,4,0),$I105*VLOOKUP($F105,Lists!$C$72:$R$232,COLUMNS(Lists!$C$69:F$69),0)*VLOOKUP(BF$3,Conversions!$B$12:$E$34,4,0)))</f>
        <v>0</v>
      </c>
      <c r="AR105" s="333">
        <f>IF($F105="",0,IF($F105="Weighted Average",$I105*VLOOKUP($D105&amp;" (Disposal)",Lists!$C$72:$R$232,COLUMNS(Lists!$C$69:G$69),0)*VLOOKUP(BG$3,Conversions!$B$12:$E$34,4,0),$I105*VLOOKUP($F105,Lists!$C$72:$R$232,COLUMNS(Lists!$C$69:G$69),0)*VLOOKUP(BG$3,Conversions!$B$12:$E$34,4,0)))</f>
        <v>0</v>
      </c>
      <c r="AS105" s="333">
        <f>IF($F105="",0,IF($F105="Weighted Average",$I105*VLOOKUP($D105&amp;" (Disposal)",Lists!$C$72:$R$232,COLUMNS(Lists!$C$69:H$69),0)*VLOOKUP(BH$3,Conversions!$B$12:$E$34,4,0),$I105*VLOOKUP($F105,Lists!$C$72:$R$232,COLUMNS(Lists!$C$69:H$69),0)*VLOOKUP(BH$3,Conversions!$B$12:$E$34,4,0)))</f>
        <v>0</v>
      </c>
      <c r="AT105" s="333">
        <f>IF($F105="",0,IF($F105="Weighted Average",$I105*VLOOKUP($D105&amp;" (Disposal)",Lists!$C$72:$R$232,COLUMNS(Lists!$C$69:I$69),0)*VLOOKUP(BI$3,Conversions!$B$12:$E$34,4,0),$I105*VLOOKUP($F105,Lists!$C$72:$R$232,COLUMNS(Lists!$C$69:I$69),0)*VLOOKUP(BI$3,Conversions!$B$12:$E$34,4,0)))</f>
        <v>0</v>
      </c>
      <c r="AU105" s="333">
        <f>IF($F105="",0,IF($F105="Weighted Average",$I105*VLOOKUP($D105&amp;" (Disposal)",Lists!$C$72:$R$232,COLUMNS(Lists!$C$69:J$69),0)*VLOOKUP(BJ$3,Conversions!$B$12:$E$34,4,0),$I105*VLOOKUP($F105,Lists!$C$72:$R$232,COLUMNS(Lists!$C$69:J$69),0)*VLOOKUP(BJ$3,Conversions!$B$12:$E$34,4,0)))</f>
        <v>0</v>
      </c>
      <c r="AV105" s="333">
        <f>IF($F105="",0,IF($F105="Weighted Average",$I105*VLOOKUP($D105&amp;" (Disposal)",Lists!$C$72:$R$232,COLUMNS(Lists!$C$69:K$69),0)*VLOOKUP(BK$3,Conversions!$B$12:$E$34,4,0),$I105*VLOOKUP($F105,Lists!$C$72:$R$232,COLUMNS(Lists!$C$69:K$69),0)*VLOOKUP(BK$3,Conversions!$B$12:$E$34,4,0)))</f>
        <v>0</v>
      </c>
      <c r="AW105" s="333">
        <f>IF($F105="",0,IF($F105="Weighted Average",$I105*VLOOKUP($D105&amp;" (Disposal)",Lists!$C$72:$R$232,COLUMNS(Lists!$C$69:L$69),0)*VLOOKUP(BL$3,Conversions!$B$12:$E$34,4,0),$I105*VLOOKUP($F105,Lists!$C$72:$R$232,COLUMNS(Lists!$C$69:L$69),0)*VLOOKUP(BL$3,Conversions!$B$12:$E$34,4,0)))</f>
        <v>0</v>
      </c>
      <c r="AX105" s="333">
        <f>IF($F105="",0,IF($F105="Weighted Average",$I105*VLOOKUP($D105&amp;" (Disposal)",Lists!$C$72:$R$232,COLUMNS(Lists!$C$69:M$69),0)*VLOOKUP(BM$3,Conversions!$B$12:$E$34,4,0),$I105*VLOOKUP($F105,Lists!$C$72:$R$232,COLUMNS(Lists!$C$69:M$69),0)*VLOOKUP(BM$3,Conversions!$B$12:$E$34,4,0)))</f>
        <v>0</v>
      </c>
      <c r="AY105" s="333">
        <f>IF($F105="",0,IF($F105="Weighted Average",$I105*VLOOKUP($D105&amp;" (Disposal)",Lists!$C$72:$R$232,COLUMNS(Lists!$C$69:N$69),0)*VLOOKUP(BN$3,Conversions!$B$12:$E$34,4,0),$I105*VLOOKUP($F105,Lists!$C$72:$R$232,COLUMNS(Lists!$C$69:N$69),0)*VLOOKUP(BN$3,Conversions!$B$12:$E$34,4,0)))</f>
        <v>0</v>
      </c>
      <c r="AZ105" s="333">
        <f>IF($F105="",0,IF($F105="Weighted Average",$I105*VLOOKUP($D105&amp;" (Disposal)",Lists!$C$72:$R$232,COLUMNS(Lists!$C$69:O$69),0)*VLOOKUP(BO$3,Conversions!$B$12:$E$34,4,0),$I105*VLOOKUP($F105,Lists!$C$72:$R$232,COLUMNS(Lists!$C$69:O$69),0)*VLOOKUP(BO$3,Conversions!$B$12:$E$34,4,0)))</f>
        <v>0</v>
      </c>
      <c r="BA105" s="333">
        <f>IF($F105="",0,IF($F105="Weighted Average",$I105*VLOOKUP($D105&amp;" (Disposal)",Lists!$C$72:$R$232,COLUMNS(Lists!$C$69:P$69),0)*VLOOKUP(BP$3,Conversions!$B$12:$E$34,4,0),$I105*VLOOKUP($F105,Lists!$C$72:$R$232,COLUMNS(Lists!$C$69:P$69),0)*VLOOKUP(BP$3,Conversions!$B$12:$E$34,4,0)))</f>
        <v>0</v>
      </c>
      <c r="BB105" s="333">
        <f>IF($F105="",0,IF($F105="Weighted Average",$I105*VLOOKUP($D105&amp;" (Disposal)",Lists!$C$72:$R$232,COLUMNS(Lists!$C$69:Q$69),0)*VLOOKUP(BQ$3,Conversions!$B$12:$E$34,4,0),$I105*VLOOKUP($F105,Lists!$C$72:$R$232,COLUMNS(Lists!$C$69:Q$69),0)*VLOOKUP(BQ$3,Conversions!$B$12:$E$34,4,0)))</f>
        <v>0</v>
      </c>
      <c r="BC105" s="333">
        <f>IF($F105="",0,IF($F105="Weighted Average",$I105*VLOOKUP($D105&amp;" (Disposal)",Lists!$C$72:$R$232,COLUMNS(Lists!$C$69:R$69),0)*VLOOKUP(BR$3,Conversions!$B$12:$E$34,4,0),$I105*VLOOKUP($F105,Lists!$C$72:$R$232,COLUMNS(Lists!$C$69:R$69),0)*VLOOKUP(BR$3,Conversions!$B$12:$E$34,4,0)))</f>
        <v>0</v>
      </c>
      <c r="BD105" s="333">
        <f t="shared" si="104"/>
        <v>0</v>
      </c>
      <c r="BE105" s="330">
        <f t="shared" si="105"/>
        <v>0</v>
      </c>
      <c r="BF105" s="330">
        <f t="shared" si="106"/>
        <v>0</v>
      </c>
      <c r="BG105" s="330">
        <f t="shared" si="107"/>
        <v>0</v>
      </c>
      <c r="BH105" s="330">
        <f t="shared" si="108"/>
        <v>0</v>
      </c>
      <c r="BI105" s="330">
        <f t="shared" si="109"/>
        <v>0</v>
      </c>
      <c r="BJ105" s="330">
        <f t="shared" si="110"/>
        <v>0</v>
      </c>
      <c r="BK105" s="330">
        <f t="shared" si="111"/>
        <v>0</v>
      </c>
      <c r="BL105" s="330">
        <f t="shared" si="112"/>
        <v>0</v>
      </c>
      <c r="BM105" s="330">
        <f t="shared" si="113"/>
        <v>0</v>
      </c>
      <c r="BN105" s="330">
        <f t="shared" si="114"/>
        <v>0</v>
      </c>
      <c r="BO105" s="330">
        <f t="shared" si="115"/>
        <v>0</v>
      </c>
      <c r="BP105" s="330">
        <f t="shared" si="116"/>
        <v>0</v>
      </c>
      <c r="BQ105" s="330">
        <f t="shared" si="117"/>
        <v>0</v>
      </c>
      <c r="BR105" s="330">
        <f t="shared" si="118"/>
        <v>0</v>
      </c>
      <c r="BS105" s="330">
        <f t="shared" si="119"/>
        <v>0</v>
      </c>
      <c r="BT105" s="329">
        <f t="shared" si="134"/>
        <v>0</v>
      </c>
      <c r="BU105" s="329">
        <f t="shared" si="134"/>
        <v>0</v>
      </c>
      <c r="BV105" s="329">
        <f t="shared" si="134"/>
        <v>0</v>
      </c>
      <c r="BW105" s="329">
        <f t="shared" si="134"/>
        <v>0</v>
      </c>
      <c r="BX105" s="329">
        <f t="shared" si="134"/>
        <v>0</v>
      </c>
      <c r="BY105" s="329">
        <f t="shared" si="134"/>
        <v>0</v>
      </c>
      <c r="BZ105" s="329">
        <f t="shared" si="134"/>
        <v>0</v>
      </c>
      <c r="CA105" s="329">
        <f t="shared" si="134"/>
        <v>0</v>
      </c>
      <c r="CB105" s="329">
        <f t="shared" si="134"/>
        <v>0</v>
      </c>
      <c r="CC105" s="329">
        <f t="shared" si="134"/>
        <v>0</v>
      </c>
      <c r="CD105" s="329">
        <f t="shared" si="134"/>
        <v>0</v>
      </c>
      <c r="CE105" s="329">
        <f t="shared" si="134"/>
        <v>0</v>
      </c>
      <c r="CF105" s="329">
        <f t="shared" si="134"/>
        <v>0</v>
      </c>
      <c r="CG105" s="329">
        <f t="shared" si="134"/>
        <v>0</v>
      </c>
      <c r="CH105" s="329">
        <f t="shared" si="134"/>
        <v>0</v>
      </c>
      <c r="CI105" s="329">
        <f t="shared" si="134"/>
        <v>0</v>
      </c>
      <c r="CJ105" s="331">
        <f t="shared" si="121"/>
        <v>0</v>
      </c>
      <c r="CK105" s="330">
        <f t="shared" si="122"/>
        <v>0</v>
      </c>
      <c r="CL105" s="330">
        <f t="shared" si="123"/>
        <v>0</v>
      </c>
      <c r="CM105" s="330">
        <f t="shared" si="124"/>
        <v>0</v>
      </c>
      <c r="CN105" s="330">
        <f t="shared" si="125"/>
        <v>0</v>
      </c>
      <c r="CO105" s="330">
        <f t="shared" si="126"/>
        <v>0</v>
      </c>
      <c r="CP105" s="330">
        <f t="shared" si="127"/>
        <v>0</v>
      </c>
      <c r="CQ105" s="330">
        <f t="shared" si="94"/>
        <v>0</v>
      </c>
      <c r="CR105" s="330">
        <f t="shared" si="128"/>
        <v>0</v>
      </c>
      <c r="CS105" s="330">
        <f t="shared" si="129"/>
        <v>0</v>
      </c>
      <c r="CT105" s="330">
        <f t="shared" si="130"/>
        <v>0</v>
      </c>
      <c r="CU105" s="330">
        <f t="shared" si="135"/>
        <v>0</v>
      </c>
      <c r="CV105" s="330">
        <f t="shared" si="135"/>
        <v>0</v>
      </c>
      <c r="CW105" s="330">
        <f t="shared" si="135"/>
        <v>0</v>
      </c>
      <c r="CX105" s="330">
        <f t="shared" si="135"/>
        <v>0</v>
      </c>
      <c r="CY105" s="330">
        <f t="shared" si="135"/>
        <v>0</v>
      </c>
      <c r="CZ105" s="330">
        <f t="shared" si="135"/>
        <v>0</v>
      </c>
      <c r="DA105" s="330">
        <f t="shared" si="135"/>
        <v>0</v>
      </c>
      <c r="DB105" s="330">
        <f t="shared" si="135"/>
        <v>0</v>
      </c>
      <c r="DC105" s="330">
        <f t="shared" si="135"/>
        <v>0</v>
      </c>
      <c r="DD105" s="330">
        <f t="shared" si="135"/>
        <v>0</v>
      </c>
      <c r="DE105" s="330">
        <f t="shared" si="136"/>
        <v>0</v>
      </c>
      <c r="DF105" s="330">
        <f t="shared" si="136"/>
        <v>0</v>
      </c>
      <c r="DG105" s="330">
        <f t="shared" si="136"/>
        <v>0</v>
      </c>
      <c r="DH105" s="330">
        <f t="shared" si="136"/>
        <v>0</v>
      </c>
      <c r="DI105" s="330">
        <f t="shared" si="136"/>
        <v>0</v>
      </c>
      <c r="DJ105" s="330">
        <f t="shared" si="136"/>
        <v>0</v>
      </c>
      <c r="DK105" s="330">
        <f t="shared" si="136"/>
        <v>0</v>
      </c>
      <c r="DL105" s="330">
        <f t="shared" si="136"/>
        <v>0</v>
      </c>
      <c r="DM105" s="330">
        <f t="shared" si="136"/>
        <v>0</v>
      </c>
      <c r="DN105" s="330">
        <f t="shared" si="136"/>
        <v>0</v>
      </c>
      <c r="DO105" s="330">
        <f t="shared" si="136"/>
        <v>0</v>
      </c>
      <c r="DP105" s="330">
        <f t="shared" si="133"/>
        <v>0</v>
      </c>
      <c r="DQ105" s="217"/>
      <c r="DR105" s="217"/>
      <c r="DS105" s="217"/>
      <c r="DT105" s="217"/>
    </row>
    <row r="106" spans="1:124" x14ac:dyDescent="0.3">
      <c r="A106" s="324"/>
      <c r="B106" s="221" t="s">
        <v>305</v>
      </c>
      <c r="C106" s="221" t="str">
        <f>IF(Screening!C36=0,"",Screening!C36)</f>
        <v/>
      </c>
      <c r="D106" s="221" t="str">
        <f>IF(Screening!D36=0,"",Screening!D36)</f>
        <v/>
      </c>
      <c r="E106" s="221" t="str">
        <f>IF(Screening!E36=0,"",Screening!E36)</f>
        <v/>
      </c>
      <c r="F106" s="221" t="str">
        <f>IF(Screening!F36=0,"",Screening!F36)</f>
        <v/>
      </c>
      <c r="G106" s="272">
        <f>Screening!G36*Screening!O36*Conversions!$C$4</f>
        <v>0</v>
      </c>
      <c r="H106" s="272">
        <f>Screening!H36*Screening!P36*Screening!I36*Conversions!$C$4</f>
        <v>0</v>
      </c>
      <c r="I106" s="272">
        <f>Screening!J36*Screening!Q36*(1-Screening!R36)*Conversions!$C$4</f>
        <v>0</v>
      </c>
      <c r="J106" s="325">
        <f>IF(Screening!S36=0,0,Screening!S36)</f>
        <v>0</v>
      </c>
      <c r="K106" s="465"/>
      <c r="L106" s="333">
        <f>IF($F106="",0,IF($F106="Weighted Average",$G106*VLOOKUP($D106&amp;" (Install)",Lists!$C$72:$R$232,COLUMNS(Lists!$C$69:E$69),0)*VLOOKUP(BE$3,Conversions!$B$12:$E$34,4,0),$G106*VLOOKUP($F106,Lists!$C$72:$R$232,COLUMNS(Lists!$C$69:E$69),0)*VLOOKUP(BE$3,Conversions!$B$12:$E$34,4,0)))</f>
        <v>0</v>
      </c>
      <c r="M106" s="333">
        <f>IF($F106="",0,IF($F106="Weighted Average",$G106*VLOOKUP($D106&amp;" (Install)",Lists!$C$72:$R$232,COLUMNS(Lists!$C$69:F$69),0)*VLOOKUP(BF$3,Conversions!$B$12:$E$34,4,0),$G106*VLOOKUP($F106,Lists!$C$72:$R$232,COLUMNS(Lists!$C$69:F$69),0)*VLOOKUP(BF$3,Conversions!$B$12:$E$34,4,0)))</f>
        <v>0</v>
      </c>
      <c r="N106" s="333">
        <f>IF($F106="",0,IF($F106="Weighted Average",$G106*VLOOKUP($D106&amp;" (Install)",Lists!$C$72:$R$232,COLUMNS(Lists!$C$69:G$69),0)*VLOOKUP(BG$3,Conversions!$B$12:$E$34,4,0),$G106*VLOOKUP($F106,Lists!$C$72:$R$232,COLUMNS(Lists!$C$69:G$69),0)*VLOOKUP(BG$3,Conversions!$B$12:$E$34,4,0)))</f>
        <v>0</v>
      </c>
      <c r="O106" s="333">
        <f>IF($F106="",0,IF($F106="Weighted Average",$G106*VLOOKUP($D106&amp;" (Install)",Lists!$C$72:$R$232,COLUMNS(Lists!$C$69:H$69),0)*VLOOKUP(BH$3,Conversions!$B$12:$E$34,4,0),$G106*VLOOKUP($F106,Lists!$C$72:$R$232,COLUMNS(Lists!$C$69:H$69),0)*VLOOKUP(BH$3,Conversions!$B$12:$E$34,4,0)))</f>
        <v>0</v>
      </c>
      <c r="P106" s="333">
        <f>IF($F106="",0,IF($F106="Weighted Average",$G106*VLOOKUP($D106&amp;" (Install)",Lists!$C$72:$R$232,COLUMNS(Lists!$C$69:I$69),0)*VLOOKUP(BI$3,Conversions!$B$12:$E$34,4,0),$G106*VLOOKUP($F106,Lists!$C$72:$R$232,COLUMNS(Lists!$C$69:I$69),0)*VLOOKUP(BI$3,Conversions!$B$12:$E$34,4,0)))</f>
        <v>0</v>
      </c>
      <c r="Q106" s="333">
        <f>IF($F106="",0,IF($F106="Weighted Average",$G106*VLOOKUP($D106&amp;" (Install)",Lists!$C$72:$R$232,COLUMNS(Lists!$C$69:J$69),0)*VLOOKUP(BJ$3,Conversions!$B$12:$E$34,4,0),$G106*VLOOKUP($F106,Lists!$C$72:$R$232,COLUMNS(Lists!$C$69:J$69),0)*VLOOKUP(BJ$3,Conversions!$B$12:$E$34,4,0)))</f>
        <v>0</v>
      </c>
      <c r="R106" s="333">
        <f>IF($F106="",0,IF($F106="Weighted Average",$G106*VLOOKUP($D106&amp;" (Install)",Lists!$C$72:$R$232,COLUMNS(Lists!$C$69:K$69),0)*VLOOKUP(BK$3,Conversions!$B$12:$E$34,4,0),$G106*VLOOKUP($F106,Lists!$C$72:$R$232,COLUMNS(Lists!$C$69:K$69),0)*VLOOKUP(BK$3,Conversions!$B$12:$E$34,4,0)))</f>
        <v>0</v>
      </c>
      <c r="S106" s="333">
        <f>IF($F106="",0,IF($F106="Weighted Average",$G106*VLOOKUP($D106&amp;" (Install)",Lists!$C$72:$R$232,COLUMNS(Lists!$C$69:L$69),0)*VLOOKUP(BL$3,Conversions!$B$12:$E$34,4,0),$G106*VLOOKUP($F106,Lists!$C$72:$R$232,COLUMNS(Lists!$C$69:L$69),0)*VLOOKUP(BL$3,Conversions!$B$12:$E$34,4,0)))</f>
        <v>0</v>
      </c>
      <c r="T106" s="333">
        <f>IF($F106="",0,IF($F106="Weighted Average",$G106*VLOOKUP($D106&amp;" (Install)",Lists!$C$72:$R$232,COLUMNS(Lists!$C$69:M$69),0)*VLOOKUP(BM$3,Conversions!$B$12:$E$34,4,0),$G106*VLOOKUP($F106,Lists!$C$72:$R$232,COLUMNS(Lists!$C$69:M$69),0)*VLOOKUP(BM$3,Conversions!$B$12:$E$34,4,0)))</f>
        <v>0</v>
      </c>
      <c r="U106" s="333">
        <f>IF($F106="",0,IF($F106="Weighted Average",$G106*VLOOKUP($D106&amp;" (Install)",Lists!$C$72:$R$232,COLUMNS(Lists!$C$69:N$69),0)*VLOOKUP(BN$3,Conversions!$B$12:$E$34,4,0),$G106*VLOOKUP($F106,Lists!$C$72:$R$232,COLUMNS(Lists!$C$69:N$69),0)*VLOOKUP(BN$3,Conversions!$B$12:$E$34,4,0)))</f>
        <v>0</v>
      </c>
      <c r="V106" s="333">
        <f>IF($F106="",0,IF($F106="Weighted Average",$G106*VLOOKUP($D106&amp;" (Install)",Lists!$C$72:$R$232,COLUMNS(Lists!$C$69:O$69),0)*VLOOKUP(BO$3,Conversions!$B$12:$E$34,4,0),$G106*VLOOKUP($F106,Lists!$C$72:$R$232,COLUMNS(Lists!$C$69:O$69),0)*VLOOKUP(BO$3,Conversions!$B$12:$E$34,4,0)))</f>
        <v>0</v>
      </c>
      <c r="W106" s="333">
        <f>IF($F106="",0,IF($F106="Weighted Average",$G106*VLOOKUP($D106&amp;" (Install)",Lists!$C$72:$R$232,COLUMNS(Lists!$C$69:P$69),0)*VLOOKUP(BP$3,Conversions!$B$12:$E$34,4,0),$G106*VLOOKUP($F106,Lists!$C$72:$R$232,COLUMNS(Lists!$C$69:P$69),0)*VLOOKUP(BP$3,Conversions!$B$12:$E$34,4,0)))</f>
        <v>0</v>
      </c>
      <c r="X106" s="333">
        <f>IF($F106="",0,IF($F106="Weighted Average",$G106*VLOOKUP($D106&amp;" (Install)",Lists!$C$72:$R$232,COLUMNS(Lists!$C$69:Q$69),0)*VLOOKUP(BQ$3,Conversions!$B$12:$E$34,4,0),$G106*VLOOKUP($F106,Lists!$C$72:$R$232,COLUMNS(Lists!$C$69:Q$69),0)*VLOOKUP(BQ$3,Conversions!$B$12:$E$34,4,0)))</f>
        <v>0</v>
      </c>
      <c r="Y106" s="333">
        <f>IF($F106="",0,IF($F106="Weighted Average",$G106*VLOOKUP($D106&amp;" (Install)",Lists!$C$72:$R$232,COLUMNS(Lists!$C$69:R$69),0)*VLOOKUP(BR$3,Conversions!$B$12:$E$34,4,0),$G106*VLOOKUP($F106,Lists!$C$72:$R$232,COLUMNS(Lists!$C$69:R$69),0)*VLOOKUP(BR$3,Conversions!$B$12:$E$34,4,0)))</f>
        <v>0</v>
      </c>
      <c r="Z106" s="325">
        <f t="shared" si="102"/>
        <v>0</v>
      </c>
      <c r="AA106" s="334">
        <f>IF($F106="",0,IF($F106="Weighted Average",$H106*VLOOKUP($D106&amp;" (Operation)",Lists!$C$72:$R$232,COLUMNS(Lists!$C$69:E$69),0)*VLOOKUP(BE$3,Conversions!$B$12:$E$34,4,0),$H106*VLOOKUP($F106,Lists!$C$72:$R$232,COLUMNS(Lists!$C$69:E$69),0)*VLOOKUP(BE$3,Conversions!$B$12:$E$34,4,0)))</f>
        <v>0</v>
      </c>
      <c r="AB106" s="334">
        <f>IF($F106="",0,IF($F106="Weighted Average",$H106*VLOOKUP($D106&amp;" (Operation)",Lists!$C$72:$R$232,COLUMNS(Lists!$C$69:F$69),0)*VLOOKUP(BF$3,Conversions!$B$12:$E$34,4,0),$H106*VLOOKUP($F106,Lists!$C$72:$R$232,COLUMNS(Lists!$C$69:F$69),0)*VLOOKUP(BF$3,Conversions!$B$12:$E$34,4,0)))</f>
        <v>0</v>
      </c>
      <c r="AC106" s="334">
        <f>IF($F106="",0,IF($F106="Weighted Average",$H106*VLOOKUP($D106&amp;" (Operation)",Lists!$C$72:$R$232,COLUMNS(Lists!$C$69:G$69),0)*VLOOKUP(BG$3,Conversions!$B$12:$E$34,4,0),$H106*VLOOKUP($F106,Lists!$C$72:$R$232,COLUMNS(Lists!$C$69:G$69),0)*VLOOKUP(BG$3,Conversions!$B$12:$E$34,4,0)))</f>
        <v>0</v>
      </c>
      <c r="AD106" s="334">
        <f>IF($F106="",0,IF($F106="Weighted Average",$H106*VLOOKUP($D106&amp;" (Operation)",Lists!$C$72:$R$232,COLUMNS(Lists!$C$69:H$69),0)*VLOOKUP(BH$3,Conversions!$B$12:$E$34,4,0),$H106*VLOOKUP($F106,Lists!$C$72:$R$232,COLUMNS(Lists!$C$69:H$69),0)*VLOOKUP(BH$3,Conversions!$B$12:$E$34,4,0)))</f>
        <v>0</v>
      </c>
      <c r="AE106" s="334">
        <f>IF($F106="",0,IF($F106="Weighted Average",$H106*VLOOKUP($D106&amp;" (Operation)",Lists!$C$72:$R$232,COLUMNS(Lists!$C$69:I$69),0)*VLOOKUP(BI$3,Conversions!$B$12:$E$34,4,0),$H106*VLOOKUP($F106,Lists!$C$72:$R$232,COLUMNS(Lists!$C$69:I$69),0)*VLOOKUP(BI$3,Conversions!$B$12:$E$34,4,0)))</f>
        <v>0</v>
      </c>
      <c r="AF106" s="334">
        <f>IF($F106="",0,IF($F106="Weighted Average",$H106*VLOOKUP($D106&amp;" (Operation)",Lists!$C$72:$R$232,COLUMNS(Lists!$C$69:J$69),0)*VLOOKUP(BJ$3,Conversions!$B$12:$E$34,4,0),$H106*VLOOKUP($F106,Lists!$C$72:$R$232,COLUMNS(Lists!$C$69:J$69),0)*VLOOKUP(BJ$3,Conversions!$B$12:$E$34,4,0)))</f>
        <v>0</v>
      </c>
      <c r="AG106" s="334">
        <f>IF($F106="",0,IF($F106="Weighted Average",$H106*VLOOKUP($D106&amp;" (Operation)",Lists!$C$72:$R$232,COLUMNS(Lists!$C$69:K$69),0)*VLOOKUP(BK$3,Conversions!$B$12:$E$34,4,0),$H106*VLOOKUP($F106,Lists!$C$72:$R$232,COLUMNS(Lists!$C$69:K$69),0)*VLOOKUP(BK$3,Conversions!$B$12:$E$34,4,0)))</f>
        <v>0</v>
      </c>
      <c r="AH106" s="334">
        <f>IF($F106="",0,IF($F106="Weighted Average",$H106*VLOOKUP($D106&amp;" (Operation)",Lists!$C$72:$R$232,COLUMNS(Lists!$C$69:L$69),0)*VLOOKUP(BL$3,Conversions!$B$12:$E$34,4,0),$H106*VLOOKUP($F106,Lists!$C$72:$R$232,COLUMNS(Lists!$C$69:L$69),0)*VLOOKUP(BL$3,Conversions!$B$12:$E$34,4,0)))</f>
        <v>0</v>
      </c>
      <c r="AI106" s="334">
        <f>IF($F106="",0,IF($F106="Weighted Average",$H106*VLOOKUP($D106&amp;" (Operation)",Lists!$C$72:$R$232,COLUMNS(Lists!$C$69:M$69),0)*VLOOKUP(BM$3,Conversions!$B$12:$E$34,4,0),$H106*VLOOKUP($F106,Lists!$C$72:$R$232,COLUMNS(Lists!$C$69:M$69),0)*VLOOKUP(BM$3,Conversions!$B$12:$E$34,4,0)))</f>
        <v>0</v>
      </c>
      <c r="AJ106" s="334">
        <f>IF($F106="",0,IF($F106="Weighted Average",$H106*VLOOKUP($D106&amp;" (Operation)",Lists!$C$72:$R$232,COLUMNS(Lists!$C$69:N$69),0)*VLOOKUP(BN$3,Conversions!$B$12:$E$34,4,0),$H106*VLOOKUP($F106,Lists!$C$72:$R$232,COLUMNS(Lists!$C$69:N$69),0)*VLOOKUP(BN$3,Conversions!$B$12:$E$34,4,0)))</f>
        <v>0</v>
      </c>
      <c r="AK106" s="334">
        <f>IF($F106="",0,IF($F106="Weighted Average",$H106*VLOOKUP($D106&amp;" (Operation)",Lists!$C$72:$R$232,COLUMNS(Lists!$C$69:O$69),0)*VLOOKUP(BO$3,Conversions!$B$12:$E$34,4,0),$H106*VLOOKUP($F106,Lists!$C$72:$R$232,COLUMNS(Lists!$C$69:O$69),0)*VLOOKUP(BO$3,Conversions!$B$12:$E$34,4,0)))</f>
        <v>0</v>
      </c>
      <c r="AL106" s="334">
        <f>IF($F106="",0,IF($F106="Weighted Average",$H106*VLOOKUP($D106&amp;" (Operation)",Lists!$C$72:$R$232,COLUMNS(Lists!$C$69:P$69),0)*VLOOKUP(BP$3,Conversions!$B$12:$E$34,4,0),$H106*VLOOKUP($F106,Lists!$C$72:$R$232,COLUMNS(Lists!$C$69:P$69),0)*VLOOKUP(BP$3,Conversions!$B$12:$E$34,4,0)))</f>
        <v>0</v>
      </c>
      <c r="AM106" s="334">
        <f>IF($F106="",0,IF($F106="Weighted Average",$H106*VLOOKUP($D106&amp;" (Operation)",Lists!$C$72:$R$232,COLUMNS(Lists!$C$69:Q$69),0)*VLOOKUP(BQ$3,Conversions!$B$12:$E$34,4,0),$H106*VLOOKUP($F106,Lists!$C$72:$R$232,COLUMNS(Lists!$C$69:Q$69),0)*VLOOKUP(BQ$3,Conversions!$B$12:$E$34,4,0)))</f>
        <v>0</v>
      </c>
      <c r="AN106" s="334">
        <f>IF($F106="",0,IF($F106="Weighted Average",$H106*VLOOKUP($D106&amp;" (Operation)",Lists!$C$72:$R$232,COLUMNS(Lists!$C$69:R$69),0)*VLOOKUP(BR$3,Conversions!$B$12:$E$34,4,0),$H106*VLOOKUP($F106,Lists!$C$72:$R$232,COLUMNS(Lists!$C$69:R$69),0)*VLOOKUP(BR$3,Conversions!$B$12:$E$34,4,0)))</f>
        <v>0</v>
      </c>
      <c r="AO106" s="330">
        <f t="shared" si="103"/>
        <v>0</v>
      </c>
      <c r="AP106" s="333">
        <f>IF($F106="",0,IF($F106="Weighted Average",$I106*VLOOKUP($D106&amp;" (Disposal)",Lists!$C$72:$R$232,COLUMNS(Lists!$C$69:E$69),0)*VLOOKUP(BE$3,Conversions!$B$12:$E$34,4,0),$I106*VLOOKUP($F106,Lists!$C$72:$R$232,COLUMNS(Lists!$C$69:E$69),0)*VLOOKUP(BE$3,Conversions!$B$12:$E$34,4,0)))</f>
        <v>0</v>
      </c>
      <c r="AQ106" s="333">
        <f>IF($F106="",0,IF($F106="Weighted Average",$I106*VLOOKUP($D106&amp;" (Disposal)",Lists!$C$72:$R$232,COLUMNS(Lists!$C$69:F$69),0)*VLOOKUP(BF$3,Conversions!$B$12:$E$34,4,0),$I106*VLOOKUP($F106,Lists!$C$72:$R$232,COLUMNS(Lists!$C$69:F$69),0)*VLOOKUP(BF$3,Conversions!$B$12:$E$34,4,0)))</f>
        <v>0</v>
      </c>
      <c r="AR106" s="333">
        <f>IF($F106="",0,IF($F106="Weighted Average",$I106*VLOOKUP($D106&amp;" (Disposal)",Lists!$C$72:$R$232,COLUMNS(Lists!$C$69:G$69),0)*VLOOKUP(BG$3,Conversions!$B$12:$E$34,4,0),$I106*VLOOKUP($F106,Lists!$C$72:$R$232,COLUMNS(Lists!$C$69:G$69),0)*VLOOKUP(BG$3,Conversions!$B$12:$E$34,4,0)))</f>
        <v>0</v>
      </c>
      <c r="AS106" s="333">
        <f>IF($F106="",0,IF($F106="Weighted Average",$I106*VLOOKUP($D106&amp;" (Disposal)",Lists!$C$72:$R$232,COLUMNS(Lists!$C$69:H$69),0)*VLOOKUP(BH$3,Conversions!$B$12:$E$34,4,0),$I106*VLOOKUP($F106,Lists!$C$72:$R$232,COLUMNS(Lists!$C$69:H$69),0)*VLOOKUP(BH$3,Conversions!$B$12:$E$34,4,0)))</f>
        <v>0</v>
      </c>
      <c r="AT106" s="333">
        <f>IF($F106="",0,IF($F106="Weighted Average",$I106*VLOOKUP($D106&amp;" (Disposal)",Lists!$C$72:$R$232,COLUMNS(Lists!$C$69:I$69),0)*VLOOKUP(BI$3,Conversions!$B$12:$E$34,4,0),$I106*VLOOKUP($F106,Lists!$C$72:$R$232,COLUMNS(Lists!$C$69:I$69),0)*VLOOKUP(BI$3,Conversions!$B$12:$E$34,4,0)))</f>
        <v>0</v>
      </c>
      <c r="AU106" s="333">
        <f>IF($F106="",0,IF($F106="Weighted Average",$I106*VLOOKUP($D106&amp;" (Disposal)",Lists!$C$72:$R$232,COLUMNS(Lists!$C$69:J$69),0)*VLOOKUP(BJ$3,Conversions!$B$12:$E$34,4,0),$I106*VLOOKUP($F106,Lists!$C$72:$R$232,COLUMNS(Lists!$C$69:J$69),0)*VLOOKUP(BJ$3,Conversions!$B$12:$E$34,4,0)))</f>
        <v>0</v>
      </c>
      <c r="AV106" s="333">
        <f>IF($F106="",0,IF($F106="Weighted Average",$I106*VLOOKUP($D106&amp;" (Disposal)",Lists!$C$72:$R$232,COLUMNS(Lists!$C$69:K$69),0)*VLOOKUP(BK$3,Conversions!$B$12:$E$34,4,0),$I106*VLOOKUP($F106,Lists!$C$72:$R$232,COLUMNS(Lists!$C$69:K$69),0)*VLOOKUP(BK$3,Conversions!$B$12:$E$34,4,0)))</f>
        <v>0</v>
      </c>
      <c r="AW106" s="333">
        <f>IF($F106="",0,IF($F106="Weighted Average",$I106*VLOOKUP($D106&amp;" (Disposal)",Lists!$C$72:$R$232,COLUMNS(Lists!$C$69:L$69),0)*VLOOKUP(BL$3,Conversions!$B$12:$E$34,4,0),$I106*VLOOKUP($F106,Lists!$C$72:$R$232,COLUMNS(Lists!$C$69:L$69),0)*VLOOKUP(BL$3,Conversions!$B$12:$E$34,4,0)))</f>
        <v>0</v>
      </c>
      <c r="AX106" s="333">
        <f>IF($F106="",0,IF($F106="Weighted Average",$I106*VLOOKUP($D106&amp;" (Disposal)",Lists!$C$72:$R$232,COLUMNS(Lists!$C$69:M$69),0)*VLOOKUP(BM$3,Conversions!$B$12:$E$34,4,0),$I106*VLOOKUP($F106,Lists!$C$72:$R$232,COLUMNS(Lists!$C$69:M$69),0)*VLOOKUP(BM$3,Conversions!$B$12:$E$34,4,0)))</f>
        <v>0</v>
      </c>
      <c r="AY106" s="333">
        <f>IF($F106="",0,IF($F106="Weighted Average",$I106*VLOOKUP($D106&amp;" (Disposal)",Lists!$C$72:$R$232,COLUMNS(Lists!$C$69:N$69),0)*VLOOKUP(BN$3,Conversions!$B$12:$E$34,4,0),$I106*VLOOKUP($F106,Lists!$C$72:$R$232,COLUMNS(Lists!$C$69:N$69),0)*VLOOKUP(BN$3,Conversions!$B$12:$E$34,4,0)))</f>
        <v>0</v>
      </c>
      <c r="AZ106" s="333">
        <f>IF($F106="",0,IF($F106="Weighted Average",$I106*VLOOKUP($D106&amp;" (Disposal)",Lists!$C$72:$R$232,COLUMNS(Lists!$C$69:O$69),0)*VLOOKUP(BO$3,Conversions!$B$12:$E$34,4,0),$I106*VLOOKUP($F106,Lists!$C$72:$R$232,COLUMNS(Lists!$C$69:O$69),0)*VLOOKUP(BO$3,Conversions!$B$12:$E$34,4,0)))</f>
        <v>0</v>
      </c>
      <c r="BA106" s="333">
        <f>IF($F106="",0,IF($F106="Weighted Average",$I106*VLOOKUP($D106&amp;" (Disposal)",Lists!$C$72:$R$232,COLUMNS(Lists!$C$69:P$69),0)*VLOOKUP(BP$3,Conversions!$B$12:$E$34,4,0),$I106*VLOOKUP($F106,Lists!$C$72:$R$232,COLUMNS(Lists!$C$69:P$69),0)*VLOOKUP(BP$3,Conversions!$B$12:$E$34,4,0)))</f>
        <v>0</v>
      </c>
      <c r="BB106" s="333">
        <f>IF($F106="",0,IF($F106="Weighted Average",$I106*VLOOKUP($D106&amp;" (Disposal)",Lists!$C$72:$R$232,COLUMNS(Lists!$C$69:Q$69),0)*VLOOKUP(BQ$3,Conversions!$B$12:$E$34,4,0),$I106*VLOOKUP($F106,Lists!$C$72:$R$232,COLUMNS(Lists!$C$69:Q$69),0)*VLOOKUP(BQ$3,Conversions!$B$12:$E$34,4,0)))</f>
        <v>0</v>
      </c>
      <c r="BC106" s="333">
        <f>IF($F106="",0,IF($F106="Weighted Average",$I106*VLOOKUP($D106&amp;" (Disposal)",Lists!$C$72:$R$232,COLUMNS(Lists!$C$69:R$69),0)*VLOOKUP(BR$3,Conversions!$B$12:$E$34,4,0),$I106*VLOOKUP($F106,Lists!$C$72:$R$232,COLUMNS(Lists!$C$69:R$69),0)*VLOOKUP(BR$3,Conversions!$B$12:$E$34,4,0)))</f>
        <v>0</v>
      </c>
      <c r="BD106" s="333">
        <f t="shared" si="104"/>
        <v>0</v>
      </c>
      <c r="BE106" s="330">
        <f t="shared" si="105"/>
        <v>0</v>
      </c>
      <c r="BF106" s="330">
        <f t="shared" si="106"/>
        <v>0</v>
      </c>
      <c r="BG106" s="330">
        <f t="shared" si="107"/>
        <v>0</v>
      </c>
      <c r="BH106" s="330">
        <f t="shared" si="108"/>
        <v>0</v>
      </c>
      <c r="BI106" s="330">
        <f t="shared" si="109"/>
        <v>0</v>
      </c>
      <c r="BJ106" s="330">
        <f t="shared" si="110"/>
        <v>0</v>
      </c>
      <c r="BK106" s="330">
        <f t="shared" si="111"/>
        <v>0</v>
      </c>
      <c r="BL106" s="330">
        <f t="shared" si="112"/>
        <v>0</v>
      </c>
      <c r="BM106" s="330">
        <f t="shared" si="113"/>
        <v>0</v>
      </c>
      <c r="BN106" s="330">
        <f t="shared" si="114"/>
        <v>0</v>
      </c>
      <c r="BO106" s="330">
        <f t="shared" si="115"/>
        <v>0</v>
      </c>
      <c r="BP106" s="330">
        <f t="shared" si="116"/>
        <v>0</v>
      </c>
      <c r="BQ106" s="330">
        <f t="shared" si="117"/>
        <v>0</v>
      </c>
      <c r="BR106" s="330">
        <f t="shared" si="118"/>
        <v>0</v>
      </c>
      <c r="BS106" s="330">
        <f t="shared" si="119"/>
        <v>0</v>
      </c>
      <c r="BT106" s="329">
        <f t="shared" si="134"/>
        <v>0</v>
      </c>
      <c r="BU106" s="329">
        <f t="shared" si="134"/>
        <v>0</v>
      </c>
      <c r="BV106" s="329">
        <f t="shared" si="134"/>
        <v>0</v>
      </c>
      <c r="BW106" s="329">
        <f t="shared" si="134"/>
        <v>0</v>
      </c>
      <c r="BX106" s="329">
        <f t="shared" si="134"/>
        <v>0</v>
      </c>
      <c r="BY106" s="329">
        <f t="shared" si="134"/>
        <v>0</v>
      </c>
      <c r="BZ106" s="329">
        <f t="shared" si="134"/>
        <v>0</v>
      </c>
      <c r="CA106" s="329">
        <f t="shared" si="134"/>
        <v>0</v>
      </c>
      <c r="CB106" s="329">
        <f t="shared" si="134"/>
        <v>0</v>
      </c>
      <c r="CC106" s="329">
        <f t="shared" si="134"/>
        <v>0</v>
      </c>
      <c r="CD106" s="329">
        <f t="shared" si="134"/>
        <v>0</v>
      </c>
      <c r="CE106" s="329">
        <f t="shared" si="134"/>
        <v>0</v>
      </c>
      <c r="CF106" s="329">
        <f t="shared" si="134"/>
        <v>0</v>
      </c>
      <c r="CG106" s="329">
        <f t="shared" si="134"/>
        <v>0</v>
      </c>
      <c r="CH106" s="329">
        <f t="shared" si="134"/>
        <v>0</v>
      </c>
      <c r="CI106" s="329">
        <f t="shared" si="134"/>
        <v>0</v>
      </c>
      <c r="CJ106" s="331">
        <f t="shared" si="121"/>
        <v>0</v>
      </c>
      <c r="CK106" s="330">
        <f t="shared" si="122"/>
        <v>0</v>
      </c>
      <c r="CL106" s="330">
        <f t="shared" si="123"/>
        <v>0</v>
      </c>
      <c r="CM106" s="330">
        <f t="shared" si="124"/>
        <v>0</v>
      </c>
      <c r="CN106" s="330">
        <f t="shared" si="125"/>
        <v>0</v>
      </c>
      <c r="CO106" s="330">
        <f t="shared" si="126"/>
        <v>0</v>
      </c>
      <c r="CP106" s="330">
        <f t="shared" si="127"/>
        <v>0</v>
      </c>
      <c r="CQ106" s="330">
        <f t="shared" si="94"/>
        <v>0</v>
      </c>
      <c r="CR106" s="330">
        <f t="shared" si="128"/>
        <v>0</v>
      </c>
      <c r="CS106" s="330">
        <f t="shared" si="129"/>
        <v>0</v>
      </c>
      <c r="CT106" s="330">
        <f t="shared" si="130"/>
        <v>0</v>
      </c>
      <c r="CU106" s="330">
        <f t="shared" si="135"/>
        <v>0</v>
      </c>
      <c r="CV106" s="330">
        <f t="shared" si="135"/>
        <v>0</v>
      </c>
      <c r="CW106" s="330">
        <f t="shared" si="135"/>
        <v>0</v>
      </c>
      <c r="CX106" s="330">
        <f t="shared" si="135"/>
        <v>0</v>
      </c>
      <c r="CY106" s="330">
        <f t="shared" si="135"/>
        <v>0</v>
      </c>
      <c r="CZ106" s="330">
        <f t="shared" si="135"/>
        <v>0</v>
      </c>
      <c r="DA106" s="330">
        <f t="shared" si="135"/>
        <v>0</v>
      </c>
      <c r="DB106" s="330">
        <f t="shared" si="135"/>
        <v>0</v>
      </c>
      <c r="DC106" s="330">
        <f t="shared" si="135"/>
        <v>0</v>
      </c>
      <c r="DD106" s="330">
        <f t="shared" si="135"/>
        <v>0</v>
      </c>
      <c r="DE106" s="330">
        <f t="shared" si="136"/>
        <v>0</v>
      </c>
      <c r="DF106" s="330">
        <f t="shared" si="136"/>
        <v>0</v>
      </c>
      <c r="DG106" s="330">
        <f t="shared" si="136"/>
        <v>0</v>
      </c>
      <c r="DH106" s="330">
        <f t="shared" si="136"/>
        <v>0</v>
      </c>
      <c r="DI106" s="330">
        <f t="shared" si="136"/>
        <v>0</v>
      </c>
      <c r="DJ106" s="330">
        <f t="shared" si="136"/>
        <v>0</v>
      </c>
      <c r="DK106" s="330">
        <f t="shared" si="136"/>
        <v>0</v>
      </c>
      <c r="DL106" s="330">
        <f t="shared" si="136"/>
        <v>0</v>
      </c>
      <c r="DM106" s="330">
        <f t="shared" si="136"/>
        <v>0</v>
      </c>
      <c r="DN106" s="330">
        <f t="shared" si="136"/>
        <v>0</v>
      </c>
      <c r="DO106" s="330">
        <f t="shared" si="136"/>
        <v>0</v>
      </c>
      <c r="DP106" s="330">
        <f t="shared" si="133"/>
        <v>0</v>
      </c>
      <c r="DQ106" s="217"/>
      <c r="DR106" s="217"/>
      <c r="DS106" s="217"/>
      <c r="DT106" s="217"/>
    </row>
    <row r="107" spans="1:124" x14ac:dyDescent="0.3">
      <c r="A107" s="324"/>
      <c r="B107" s="221" t="s">
        <v>305</v>
      </c>
      <c r="C107" s="221" t="str">
        <f>IF(Screening!C37=0,"",Screening!C37)</f>
        <v/>
      </c>
      <c r="D107" s="221" t="str">
        <f>IF(Screening!D37=0,"",Screening!D37)</f>
        <v/>
      </c>
      <c r="E107" s="221" t="str">
        <f>IF(Screening!E37=0,"",Screening!E37)</f>
        <v/>
      </c>
      <c r="F107" s="221" t="str">
        <f>IF(Screening!F37=0,"",Screening!F37)</f>
        <v/>
      </c>
      <c r="G107" s="272">
        <f>Screening!G37*Screening!O37*Conversions!$C$4</f>
        <v>0</v>
      </c>
      <c r="H107" s="272">
        <f>Screening!H37*Screening!P37*Screening!I37*Conversions!$C$4</f>
        <v>0</v>
      </c>
      <c r="I107" s="272">
        <f>Screening!J37*Screening!Q37*(1-Screening!R37)*Conversions!$C$4</f>
        <v>0</v>
      </c>
      <c r="J107" s="325">
        <f>IF(Screening!S37=0,0,Screening!S37)</f>
        <v>0</v>
      </c>
      <c r="K107" s="465"/>
      <c r="L107" s="333">
        <f>IF($F107="",0,IF($F107="Weighted Average",$G107*VLOOKUP($D107&amp;" (Install)",Lists!$C$72:$R$232,COLUMNS(Lists!$C$69:E$69),0)*VLOOKUP(BE$3,Conversions!$B$12:$E$34,4,0),$G107*VLOOKUP($F107,Lists!$C$72:$R$232,COLUMNS(Lists!$C$69:E$69),0)*VLOOKUP(BE$3,Conversions!$B$12:$E$34,4,0)))</f>
        <v>0</v>
      </c>
      <c r="M107" s="333">
        <f>IF($F107="",0,IF($F107="Weighted Average",$G107*VLOOKUP($D107&amp;" (Install)",Lists!$C$72:$R$232,COLUMNS(Lists!$C$69:F$69),0)*VLOOKUP(BF$3,Conversions!$B$12:$E$34,4,0),$G107*VLOOKUP($F107,Lists!$C$72:$R$232,COLUMNS(Lists!$C$69:F$69),0)*VLOOKUP(BF$3,Conversions!$B$12:$E$34,4,0)))</f>
        <v>0</v>
      </c>
      <c r="N107" s="333">
        <f>IF($F107="",0,IF($F107="Weighted Average",$G107*VLOOKUP($D107&amp;" (Install)",Lists!$C$72:$R$232,COLUMNS(Lists!$C$69:G$69),0)*VLOOKUP(BG$3,Conversions!$B$12:$E$34,4,0),$G107*VLOOKUP($F107,Lists!$C$72:$R$232,COLUMNS(Lists!$C$69:G$69),0)*VLOOKUP(BG$3,Conversions!$B$12:$E$34,4,0)))</f>
        <v>0</v>
      </c>
      <c r="O107" s="333">
        <f>IF($F107="",0,IF($F107="Weighted Average",$G107*VLOOKUP($D107&amp;" (Install)",Lists!$C$72:$R$232,COLUMNS(Lists!$C$69:H$69),0)*VLOOKUP(BH$3,Conversions!$B$12:$E$34,4,0),$G107*VLOOKUP($F107,Lists!$C$72:$R$232,COLUMNS(Lists!$C$69:H$69),0)*VLOOKUP(BH$3,Conversions!$B$12:$E$34,4,0)))</f>
        <v>0</v>
      </c>
      <c r="P107" s="333">
        <f>IF($F107="",0,IF($F107="Weighted Average",$G107*VLOOKUP($D107&amp;" (Install)",Lists!$C$72:$R$232,COLUMNS(Lists!$C$69:I$69),0)*VLOOKUP(BI$3,Conversions!$B$12:$E$34,4,0),$G107*VLOOKUP($F107,Lists!$C$72:$R$232,COLUMNS(Lists!$C$69:I$69),0)*VLOOKUP(BI$3,Conversions!$B$12:$E$34,4,0)))</f>
        <v>0</v>
      </c>
      <c r="Q107" s="333">
        <f>IF($F107="",0,IF($F107="Weighted Average",$G107*VLOOKUP($D107&amp;" (Install)",Lists!$C$72:$R$232,COLUMNS(Lists!$C$69:J$69),0)*VLOOKUP(BJ$3,Conversions!$B$12:$E$34,4,0),$G107*VLOOKUP($F107,Lists!$C$72:$R$232,COLUMNS(Lists!$C$69:J$69),0)*VLOOKUP(BJ$3,Conversions!$B$12:$E$34,4,0)))</f>
        <v>0</v>
      </c>
      <c r="R107" s="333">
        <f>IF($F107="",0,IF($F107="Weighted Average",$G107*VLOOKUP($D107&amp;" (Install)",Lists!$C$72:$R$232,COLUMNS(Lists!$C$69:K$69),0)*VLOOKUP(BK$3,Conversions!$B$12:$E$34,4,0),$G107*VLOOKUP($F107,Lists!$C$72:$R$232,COLUMNS(Lists!$C$69:K$69),0)*VLOOKUP(BK$3,Conversions!$B$12:$E$34,4,0)))</f>
        <v>0</v>
      </c>
      <c r="S107" s="333">
        <f>IF($F107="",0,IF($F107="Weighted Average",$G107*VLOOKUP($D107&amp;" (Install)",Lists!$C$72:$R$232,COLUMNS(Lists!$C$69:L$69),0)*VLOOKUP(BL$3,Conversions!$B$12:$E$34,4,0),$G107*VLOOKUP($F107,Lists!$C$72:$R$232,COLUMNS(Lists!$C$69:L$69),0)*VLOOKUP(BL$3,Conversions!$B$12:$E$34,4,0)))</f>
        <v>0</v>
      </c>
      <c r="T107" s="333">
        <f>IF($F107="",0,IF($F107="Weighted Average",$G107*VLOOKUP($D107&amp;" (Install)",Lists!$C$72:$R$232,COLUMNS(Lists!$C$69:M$69),0)*VLOOKUP(BM$3,Conversions!$B$12:$E$34,4,0),$G107*VLOOKUP($F107,Lists!$C$72:$R$232,COLUMNS(Lists!$C$69:M$69),0)*VLOOKUP(BM$3,Conversions!$B$12:$E$34,4,0)))</f>
        <v>0</v>
      </c>
      <c r="U107" s="333">
        <f>IF($F107="",0,IF($F107="Weighted Average",$G107*VLOOKUP($D107&amp;" (Install)",Lists!$C$72:$R$232,COLUMNS(Lists!$C$69:N$69),0)*VLOOKUP(BN$3,Conversions!$B$12:$E$34,4,0),$G107*VLOOKUP($F107,Lists!$C$72:$R$232,COLUMNS(Lists!$C$69:N$69),0)*VLOOKUP(BN$3,Conversions!$B$12:$E$34,4,0)))</f>
        <v>0</v>
      </c>
      <c r="V107" s="333">
        <f>IF($F107="",0,IF($F107="Weighted Average",$G107*VLOOKUP($D107&amp;" (Install)",Lists!$C$72:$R$232,COLUMNS(Lists!$C$69:O$69),0)*VLOOKUP(BO$3,Conversions!$B$12:$E$34,4,0),$G107*VLOOKUP($F107,Lists!$C$72:$R$232,COLUMNS(Lists!$C$69:O$69),0)*VLOOKUP(BO$3,Conversions!$B$12:$E$34,4,0)))</f>
        <v>0</v>
      </c>
      <c r="W107" s="333">
        <f>IF($F107="",0,IF($F107="Weighted Average",$G107*VLOOKUP($D107&amp;" (Install)",Lists!$C$72:$R$232,COLUMNS(Lists!$C$69:P$69),0)*VLOOKUP(BP$3,Conversions!$B$12:$E$34,4,0),$G107*VLOOKUP($F107,Lists!$C$72:$R$232,COLUMNS(Lists!$C$69:P$69),0)*VLOOKUP(BP$3,Conversions!$B$12:$E$34,4,0)))</f>
        <v>0</v>
      </c>
      <c r="X107" s="333">
        <f>IF($F107="",0,IF($F107="Weighted Average",$G107*VLOOKUP($D107&amp;" (Install)",Lists!$C$72:$R$232,COLUMNS(Lists!$C$69:Q$69),0)*VLOOKUP(BQ$3,Conversions!$B$12:$E$34,4,0),$G107*VLOOKUP($F107,Lists!$C$72:$R$232,COLUMNS(Lists!$C$69:Q$69),0)*VLOOKUP(BQ$3,Conversions!$B$12:$E$34,4,0)))</f>
        <v>0</v>
      </c>
      <c r="Y107" s="333">
        <f>IF($F107="",0,IF($F107="Weighted Average",$G107*VLOOKUP($D107&amp;" (Install)",Lists!$C$72:$R$232,COLUMNS(Lists!$C$69:R$69),0)*VLOOKUP(BR$3,Conversions!$B$12:$E$34,4,0),$G107*VLOOKUP($F107,Lists!$C$72:$R$232,COLUMNS(Lists!$C$69:R$69),0)*VLOOKUP(BR$3,Conversions!$B$12:$E$34,4,0)))</f>
        <v>0</v>
      </c>
      <c r="Z107" s="325">
        <f t="shared" si="102"/>
        <v>0</v>
      </c>
      <c r="AA107" s="334">
        <f>IF($F107="",0,IF($F107="Weighted Average",$H107*VLOOKUP($D107&amp;" (Operation)",Lists!$C$72:$R$232,COLUMNS(Lists!$C$69:E$69),0)*VLOOKUP(BE$3,Conversions!$B$12:$E$34,4,0),$H107*VLOOKUP($F107,Lists!$C$72:$R$232,COLUMNS(Lists!$C$69:E$69),0)*VLOOKUP(BE$3,Conversions!$B$12:$E$34,4,0)))</f>
        <v>0</v>
      </c>
      <c r="AB107" s="334">
        <f>IF($F107="",0,IF($F107="Weighted Average",$H107*VLOOKUP($D107&amp;" (Operation)",Lists!$C$72:$R$232,COLUMNS(Lists!$C$69:F$69),0)*VLOOKUP(BF$3,Conversions!$B$12:$E$34,4,0),$H107*VLOOKUP($F107,Lists!$C$72:$R$232,COLUMNS(Lists!$C$69:F$69),0)*VLOOKUP(BF$3,Conversions!$B$12:$E$34,4,0)))</f>
        <v>0</v>
      </c>
      <c r="AC107" s="334">
        <f>IF($F107="",0,IF($F107="Weighted Average",$H107*VLOOKUP($D107&amp;" (Operation)",Lists!$C$72:$R$232,COLUMNS(Lists!$C$69:G$69),0)*VLOOKUP(BG$3,Conversions!$B$12:$E$34,4,0),$H107*VLOOKUP($F107,Lists!$C$72:$R$232,COLUMNS(Lists!$C$69:G$69),0)*VLOOKUP(BG$3,Conversions!$B$12:$E$34,4,0)))</f>
        <v>0</v>
      </c>
      <c r="AD107" s="334">
        <f>IF($F107="",0,IF($F107="Weighted Average",$H107*VLOOKUP($D107&amp;" (Operation)",Lists!$C$72:$R$232,COLUMNS(Lists!$C$69:H$69),0)*VLOOKUP(BH$3,Conversions!$B$12:$E$34,4,0),$H107*VLOOKUP($F107,Lists!$C$72:$R$232,COLUMNS(Lists!$C$69:H$69),0)*VLOOKUP(BH$3,Conversions!$B$12:$E$34,4,0)))</f>
        <v>0</v>
      </c>
      <c r="AE107" s="334">
        <f>IF($F107="",0,IF($F107="Weighted Average",$H107*VLOOKUP($D107&amp;" (Operation)",Lists!$C$72:$R$232,COLUMNS(Lists!$C$69:I$69),0)*VLOOKUP(BI$3,Conversions!$B$12:$E$34,4,0),$H107*VLOOKUP($F107,Lists!$C$72:$R$232,COLUMNS(Lists!$C$69:I$69),0)*VLOOKUP(BI$3,Conversions!$B$12:$E$34,4,0)))</f>
        <v>0</v>
      </c>
      <c r="AF107" s="334">
        <f>IF($F107="",0,IF($F107="Weighted Average",$H107*VLOOKUP($D107&amp;" (Operation)",Lists!$C$72:$R$232,COLUMNS(Lists!$C$69:J$69),0)*VLOOKUP(BJ$3,Conversions!$B$12:$E$34,4,0),$H107*VLOOKUP($F107,Lists!$C$72:$R$232,COLUMNS(Lists!$C$69:J$69),0)*VLOOKUP(BJ$3,Conversions!$B$12:$E$34,4,0)))</f>
        <v>0</v>
      </c>
      <c r="AG107" s="334">
        <f>IF($F107="",0,IF($F107="Weighted Average",$H107*VLOOKUP($D107&amp;" (Operation)",Lists!$C$72:$R$232,COLUMNS(Lists!$C$69:K$69),0)*VLOOKUP(BK$3,Conversions!$B$12:$E$34,4,0),$H107*VLOOKUP($F107,Lists!$C$72:$R$232,COLUMNS(Lists!$C$69:K$69),0)*VLOOKUP(BK$3,Conversions!$B$12:$E$34,4,0)))</f>
        <v>0</v>
      </c>
      <c r="AH107" s="334">
        <f>IF($F107="",0,IF($F107="Weighted Average",$H107*VLOOKUP($D107&amp;" (Operation)",Lists!$C$72:$R$232,COLUMNS(Lists!$C$69:L$69),0)*VLOOKUP(BL$3,Conversions!$B$12:$E$34,4,0),$H107*VLOOKUP($F107,Lists!$C$72:$R$232,COLUMNS(Lists!$C$69:L$69),0)*VLOOKUP(BL$3,Conversions!$B$12:$E$34,4,0)))</f>
        <v>0</v>
      </c>
      <c r="AI107" s="334">
        <f>IF($F107="",0,IF($F107="Weighted Average",$H107*VLOOKUP($D107&amp;" (Operation)",Lists!$C$72:$R$232,COLUMNS(Lists!$C$69:M$69),0)*VLOOKUP(BM$3,Conversions!$B$12:$E$34,4,0),$H107*VLOOKUP($F107,Lists!$C$72:$R$232,COLUMNS(Lists!$C$69:M$69),0)*VLOOKUP(BM$3,Conversions!$B$12:$E$34,4,0)))</f>
        <v>0</v>
      </c>
      <c r="AJ107" s="334">
        <f>IF($F107="",0,IF($F107="Weighted Average",$H107*VLOOKUP($D107&amp;" (Operation)",Lists!$C$72:$R$232,COLUMNS(Lists!$C$69:N$69),0)*VLOOKUP(BN$3,Conversions!$B$12:$E$34,4,0),$H107*VLOOKUP($F107,Lists!$C$72:$R$232,COLUMNS(Lists!$C$69:N$69),0)*VLOOKUP(BN$3,Conversions!$B$12:$E$34,4,0)))</f>
        <v>0</v>
      </c>
      <c r="AK107" s="334">
        <f>IF($F107="",0,IF($F107="Weighted Average",$H107*VLOOKUP($D107&amp;" (Operation)",Lists!$C$72:$R$232,COLUMNS(Lists!$C$69:O$69),0)*VLOOKUP(BO$3,Conversions!$B$12:$E$34,4,0),$H107*VLOOKUP($F107,Lists!$C$72:$R$232,COLUMNS(Lists!$C$69:O$69),0)*VLOOKUP(BO$3,Conversions!$B$12:$E$34,4,0)))</f>
        <v>0</v>
      </c>
      <c r="AL107" s="334">
        <f>IF($F107="",0,IF($F107="Weighted Average",$H107*VLOOKUP($D107&amp;" (Operation)",Lists!$C$72:$R$232,COLUMNS(Lists!$C$69:P$69),0)*VLOOKUP(BP$3,Conversions!$B$12:$E$34,4,0),$H107*VLOOKUP($F107,Lists!$C$72:$R$232,COLUMNS(Lists!$C$69:P$69),0)*VLOOKUP(BP$3,Conversions!$B$12:$E$34,4,0)))</f>
        <v>0</v>
      </c>
      <c r="AM107" s="334">
        <f>IF($F107="",0,IF($F107="Weighted Average",$H107*VLOOKUP($D107&amp;" (Operation)",Lists!$C$72:$R$232,COLUMNS(Lists!$C$69:Q$69),0)*VLOOKUP(BQ$3,Conversions!$B$12:$E$34,4,0),$H107*VLOOKUP($F107,Lists!$C$72:$R$232,COLUMNS(Lists!$C$69:Q$69),0)*VLOOKUP(BQ$3,Conversions!$B$12:$E$34,4,0)))</f>
        <v>0</v>
      </c>
      <c r="AN107" s="334">
        <f>IF($F107="",0,IF($F107="Weighted Average",$H107*VLOOKUP($D107&amp;" (Operation)",Lists!$C$72:$R$232,COLUMNS(Lists!$C$69:R$69),0)*VLOOKUP(BR$3,Conversions!$B$12:$E$34,4,0),$H107*VLOOKUP($F107,Lists!$C$72:$R$232,COLUMNS(Lists!$C$69:R$69),0)*VLOOKUP(BR$3,Conversions!$B$12:$E$34,4,0)))</f>
        <v>0</v>
      </c>
      <c r="AO107" s="330">
        <f t="shared" si="103"/>
        <v>0</v>
      </c>
      <c r="AP107" s="333">
        <f>IF($F107="",0,IF($F107="Weighted Average",$I107*VLOOKUP($D107&amp;" (Disposal)",Lists!$C$72:$R$232,COLUMNS(Lists!$C$69:E$69),0)*VLOOKUP(BE$3,Conversions!$B$12:$E$34,4,0),$I107*VLOOKUP($F107,Lists!$C$72:$R$232,COLUMNS(Lists!$C$69:E$69),0)*VLOOKUP(BE$3,Conversions!$B$12:$E$34,4,0)))</f>
        <v>0</v>
      </c>
      <c r="AQ107" s="333">
        <f>IF($F107="",0,IF($F107="Weighted Average",$I107*VLOOKUP($D107&amp;" (Disposal)",Lists!$C$72:$R$232,COLUMNS(Lists!$C$69:F$69),0)*VLOOKUP(BF$3,Conversions!$B$12:$E$34,4,0),$I107*VLOOKUP($F107,Lists!$C$72:$R$232,COLUMNS(Lists!$C$69:F$69),0)*VLOOKUP(BF$3,Conversions!$B$12:$E$34,4,0)))</f>
        <v>0</v>
      </c>
      <c r="AR107" s="333">
        <f>IF($F107="",0,IF($F107="Weighted Average",$I107*VLOOKUP($D107&amp;" (Disposal)",Lists!$C$72:$R$232,COLUMNS(Lists!$C$69:G$69),0)*VLOOKUP(BG$3,Conversions!$B$12:$E$34,4,0),$I107*VLOOKUP($F107,Lists!$C$72:$R$232,COLUMNS(Lists!$C$69:G$69),0)*VLOOKUP(BG$3,Conversions!$B$12:$E$34,4,0)))</f>
        <v>0</v>
      </c>
      <c r="AS107" s="333">
        <f>IF($F107="",0,IF($F107="Weighted Average",$I107*VLOOKUP($D107&amp;" (Disposal)",Lists!$C$72:$R$232,COLUMNS(Lists!$C$69:H$69),0)*VLOOKUP(BH$3,Conversions!$B$12:$E$34,4,0),$I107*VLOOKUP($F107,Lists!$C$72:$R$232,COLUMNS(Lists!$C$69:H$69),0)*VLOOKUP(BH$3,Conversions!$B$12:$E$34,4,0)))</f>
        <v>0</v>
      </c>
      <c r="AT107" s="333">
        <f>IF($F107="",0,IF($F107="Weighted Average",$I107*VLOOKUP($D107&amp;" (Disposal)",Lists!$C$72:$R$232,COLUMNS(Lists!$C$69:I$69),0)*VLOOKUP(BI$3,Conversions!$B$12:$E$34,4,0),$I107*VLOOKUP($F107,Lists!$C$72:$R$232,COLUMNS(Lists!$C$69:I$69),0)*VLOOKUP(BI$3,Conversions!$B$12:$E$34,4,0)))</f>
        <v>0</v>
      </c>
      <c r="AU107" s="333">
        <f>IF($F107="",0,IF($F107="Weighted Average",$I107*VLOOKUP($D107&amp;" (Disposal)",Lists!$C$72:$R$232,COLUMNS(Lists!$C$69:J$69),0)*VLOOKUP(BJ$3,Conversions!$B$12:$E$34,4,0),$I107*VLOOKUP($F107,Lists!$C$72:$R$232,COLUMNS(Lists!$C$69:J$69),0)*VLOOKUP(BJ$3,Conversions!$B$12:$E$34,4,0)))</f>
        <v>0</v>
      </c>
      <c r="AV107" s="333">
        <f>IF($F107="",0,IF($F107="Weighted Average",$I107*VLOOKUP($D107&amp;" (Disposal)",Lists!$C$72:$R$232,COLUMNS(Lists!$C$69:K$69),0)*VLOOKUP(BK$3,Conversions!$B$12:$E$34,4,0),$I107*VLOOKUP($F107,Lists!$C$72:$R$232,COLUMNS(Lists!$C$69:K$69),0)*VLOOKUP(BK$3,Conversions!$B$12:$E$34,4,0)))</f>
        <v>0</v>
      </c>
      <c r="AW107" s="333">
        <f>IF($F107="",0,IF($F107="Weighted Average",$I107*VLOOKUP($D107&amp;" (Disposal)",Lists!$C$72:$R$232,COLUMNS(Lists!$C$69:L$69),0)*VLOOKUP(BL$3,Conversions!$B$12:$E$34,4,0),$I107*VLOOKUP($F107,Lists!$C$72:$R$232,COLUMNS(Lists!$C$69:L$69),0)*VLOOKUP(BL$3,Conversions!$B$12:$E$34,4,0)))</f>
        <v>0</v>
      </c>
      <c r="AX107" s="333">
        <f>IF($F107="",0,IF($F107="Weighted Average",$I107*VLOOKUP($D107&amp;" (Disposal)",Lists!$C$72:$R$232,COLUMNS(Lists!$C$69:M$69),0)*VLOOKUP(BM$3,Conversions!$B$12:$E$34,4,0),$I107*VLOOKUP($F107,Lists!$C$72:$R$232,COLUMNS(Lists!$C$69:M$69),0)*VLOOKUP(BM$3,Conversions!$B$12:$E$34,4,0)))</f>
        <v>0</v>
      </c>
      <c r="AY107" s="333">
        <f>IF($F107="",0,IF($F107="Weighted Average",$I107*VLOOKUP($D107&amp;" (Disposal)",Lists!$C$72:$R$232,COLUMNS(Lists!$C$69:N$69),0)*VLOOKUP(BN$3,Conversions!$B$12:$E$34,4,0),$I107*VLOOKUP($F107,Lists!$C$72:$R$232,COLUMNS(Lists!$C$69:N$69),0)*VLOOKUP(BN$3,Conversions!$B$12:$E$34,4,0)))</f>
        <v>0</v>
      </c>
      <c r="AZ107" s="333">
        <f>IF($F107="",0,IF($F107="Weighted Average",$I107*VLOOKUP($D107&amp;" (Disposal)",Lists!$C$72:$R$232,COLUMNS(Lists!$C$69:O$69),0)*VLOOKUP(BO$3,Conversions!$B$12:$E$34,4,0),$I107*VLOOKUP($F107,Lists!$C$72:$R$232,COLUMNS(Lists!$C$69:O$69),0)*VLOOKUP(BO$3,Conversions!$B$12:$E$34,4,0)))</f>
        <v>0</v>
      </c>
      <c r="BA107" s="333">
        <f>IF($F107="",0,IF($F107="Weighted Average",$I107*VLOOKUP($D107&amp;" (Disposal)",Lists!$C$72:$R$232,COLUMNS(Lists!$C$69:P$69),0)*VLOOKUP(BP$3,Conversions!$B$12:$E$34,4,0),$I107*VLOOKUP($F107,Lists!$C$72:$R$232,COLUMNS(Lists!$C$69:P$69),0)*VLOOKUP(BP$3,Conversions!$B$12:$E$34,4,0)))</f>
        <v>0</v>
      </c>
      <c r="BB107" s="333">
        <f>IF($F107="",0,IF($F107="Weighted Average",$I107*VLOOKUP($D107&amp;" (Disposal)",Lists!$C$72:$R$232,COLUMNS(Lists!$C$69:Q$69),0)*VLOOKUP(BQ$3,Conversions!$B$12:$E$34,4,0),$I107*VLOOKUP($F107,Lists!$C$72:$R$232,COLUMNS(Lists!$C$69:Q$69),0)*VLOOKUP(BQ$3,Conversions!$B$12:$E$34,4,0)))</f>
        <v>0</v>
      </c>
      <c r="BC107" s="333">
        <f>IF($F107="",0,IF($F107="Weighted Average",$I107*VLOOKUP($D107&amp;" (Disposal)",Lists!$C$72:$R$232,COLUMNS(Lists!$C$69:R$69),0)*VLOOKUP(BR$3,Conversions!$B$12:$E$34,4,0),$I107*VLOOKUP($F107,Lists!$C$72:$R$232,COLUMNS(Lists!$C$69:R$69),0)*VLOOKUP(BR$3,Conversions!$B$12:$E$34,4,0)))</f>
        <v>0</v>
      </c>
      <c r="BD107" s="333">
        <f t="shared" si="104"/>
        <v>0</v>
      </c>
      <c r="BE107" s="330">
        <f t="shared" si="105"/>
        <v>0</v>
      </c>
      <c r="BF107" s="330">
        <f t="shared" si="106"/>
        <v>0</v>
      </c>
      <c r="BG107" s="330">
        <f t="shared" si="107"/>
        <v>0</v>
      </c>
      <c r="BH107" s="330">
        <f t="shared" si="108"/>
        <v>0</v>
      </c>
      <c r="BI107" s="330">
        <f t="shared" si="109"/>
        <v>0</v>
      </c>
      <c r="BJ107" s="330">
        <f t="shared" si="110"/>
        <v>0</v>
      </c>
      <c r="BK107" s="330">
        <f t="shared" si="111"/>
        <v>0</v>
      </c>
      <c r="BL107" s="330">
        <f t="shared" si="112"/>
        <v>0</v>
      </c>
      <c r="BM107" s="330">
        <f t="shared" si="113"/>
        <v>0</v>
      </c>
      <c r="BN107" s="330">
        <f t="shared" si="114"/>
        <v>0</v>
      </c>
      <c r="BO107" s="330">
        <f t="shared" si="115"/>
        <v>0</v>
      </c>
      <c r="BP107" s="330">
        <f t="shared" si="116"/>
        <v>0</v>
      </c>
      <c r="BQ107" s="330">
        <f t="shared" si="117"/>
        <v>0</v>
      </c>
      <c r="BR107" s="330">
        <f t="shared" si="118"/>
        <v>0</v>
      </c>
      <c r="BS107" s="330">
        <f t="shared" si="119"/>
        <v>0</v>
      </c>
      <c r="BT107" s="329">
        <f t="shared" si="134"/>
        <v>0</v>
      </c>
      <c r="BU107" s="329">
        <f t="shared" si="134"/>
        <v>0</v>
      </c>
      <c r="BV107" s="329">
        <f t="shared" si="134"/>
        <v>0</v>
      </c>
      <c r="BW107" s="329">
        <f t="shared" si="134"/>
        <v>0</v>
      </c>
      <c r="BX107" s="329">
        <f t="shared" si="134"/>
        <v>0</v>
      </c>
      <c r="BY107" s="329">
        <f t="shared" si="134"/>
        <v>0</v>
      </c>
      <c r="BZ107" s="329">
        <f t="shared" si="134"/>
        <v>0</v>
      </c>
      <c r="CA107" s="329">
        <f t="shared" si="134"/>
        <v>0</v>
      </c>
      <c r="CB107" s="329">
        <f t="shared" si="134"/>
        <v>0</v>
      </c>
      <c r="CC107" s="329">
        <f t="shared" si="134"/>
        <v>0</v>
      </c>
      <c r="CD107" s="329">
        <f t="shared" si="134"/>
        <v>0</v>
      </c>
      <c r="CE107" s="329">
        <f t="shared" si="134"/>
        <v>0</v>
      </c>
      <c r="CF107" s="329">
        <f t="shared" si="134"/>
        <v>0</v>
      </c>
      <c r="CG107" s="329">
        <f t="shared" si="134"/>
        <v>0</v>
      </c>
      <c r="CH107" s="329">
        <f t="shared" si="134"/>
        <v>0</v>
      </c>
      <c r="CI107" s="329">
        <f t="shared" si="134"/>
        <v>0</v>
      </c>
      <c r="CJ107" s="331">
        <f t="shared" si="121"/>
        <v>0</v>
      </c>
      <c r="CK107" s="330">
        <f t="shared" si="122"/>
        <v>0</v>
      </c>
      <c r="CL107" s="330">
        <f t="shared" si="123"/>
        <v>0</v>
      </c>
      <c r="CM107" s="330">
        <f t="shared" si="124"/>
        <v>0</v>
      </c>
      <c r="CN107" s="330">
        <f t="shared" si="125"/>
        <v>0</v>
      </c>
      <c r="CO107" s="330">
        <f t="shared" si="126"/>
        <v>0</v>
      </c>
      <c r="CP107" s="330">
        <f t="shared" si="127"/>
        <v>0</v>
      </c>
      <c r="CQ107" s="330">
        <f t="shared" si="94"/>
        <v>0</v>
      </c>
      <c r="CR107" s="330">
        <f t="shared" si="128"/>
        <v>0</v>
      </c>
      <c r="CS107" s="330">
        <f t="shared" si="129"/>
        <v>0</v>
      </c>
      <c r="CT107" s="330">
        <f t="shared" si="130"/>
        <v>0</v>
      </c>
      <c r="CU107" s="330">
        <f t="shared" si="135"/>
        <v>0</v>
      </c>
      <c r="CV107" s="330">
        <f t="shared" si="135"/>
        <v>0</v>
      </c>
      <c r="CW107" s="330">
        <f t="shared" si="135"/>
        <v>0</v>
      </c>
      <c r="CX107" s="330">
        <f t="shared" si="135"/>
        <v>0</v>
      </c>
      <c r="CY107" s="330">
        <f t="shared" si="135"/>
        <v>0</v>
      </c>
      <c r="CZ107" s="330">
        <f t="shared" si="135"/>
        <v>0</v>
      </c>
      <c r="DA107" s="330">
        <f t="shared" si="135"/>
        <v>0</v>
      </c>
      <c r="DB107" s="330">
        <f t="shared" si="135"/>
        <v>0</v>
      </c>
      <c r="DC107" s="330">
        <f t="shared" si="135"/>
        <v>0</v>
      </c>
      <c r="DD107" s="330">
        <f t="shared" si="135"/>
        <v>0</v>
      </c>
      <c r="DE107" s="330">
        <f t="shared" si="136"/>
        <v>0</v>
      </c>
      <c r="DF107" s="330">
        <f t="shared" si="136"/>
        <v>0</v>
      </c>
      <c r="DG107" s="330">
        <f t="shared" si="136"/>
        <v>0</v>
      </c>
      <c r="DH107" s="330">
        <f t="shared" si="136"/>
        <v>0</v>
      </c>
      <c r="DI107" s="330">
        <f t="shared" si="136"/>
        <v>0</v>
      </c>
      <c r="DJ107" s="330">
        <f t="shared" si="136"/>
        <v>0</v>
      </c>
      <c r="DK107" s="330">
        <f t="shared" si="136"/>
        <v>0</v>
      </c>
      <c r="DL107" s="330">
        <f t="shared" si="136"/>
        <v>0</v>
      </c>
      <c r="DM107" s="330">
        <f t="shared" si="136"/>
        <v>0</v>
      </c>
      <c r="DN107" s="330">
        <f t="shared" si="136"/>
        <v>0</v>
      </c>
      <c r="DO107" s="330">
        <f t="shared" si="136"/>
        <v>0</v>
      </c>
      <c r="DP107" s="330">
        <f t="shared" si="133"/>
        <v>0</v>
      </c>
      <c r="DQ107" s="217"/>
      <c r="DR107" s="217"/>
      <c r="DS107" s="217"/>
      <c r="DT107" s="217"/>
    </row>
    <row r="108" spans="1:124" x14ac:dyDescent="0.3">
      <c r="A108" s="324"/>
      <c r="B108" s="221" t="s">
        <v>305</v>
      </c>
      <c r="C108" s="221" t="str">
        <f>IF(Screening!C38=0,"",Screening!C38)</f>
        <v/>
      </c>
      <c r="D108" s="221" t="str">
        <f>IF(Screening!D38=0,"",Screening!D38)</f>
        <v/>
      </c>
      <c r="E108" s="221" t="str">
        <f>IF(Screening!E38=0,"",Screening!E38)</f>
        <v/>
      </c>
      <c r="F108" s="221" t="str">
        <f>IF(Screening!F38=0,"",Screening!F38)</f>
        <v/>
      </c>
      <c r="G108" s="272">
        <f>Screening!G38*Screening!O38*Conversions!$C$4</f>
        <v>0</v>
      </c>
      <c r="H108" s="272">
        <f>Screening!H38*Screening!P38*Screening!I38*Conversions!$C$4</f>
        <v>0</v>
      </c>
      <c r="I108" s="272">
        <f>Screening!J38*Screening!Q38*(1-Screening!R38)*Conversions!$C$4</f>
        <v>0</v>
      </c>
      <c r="J108" s="325">
        <f>IF(Screening!S38=0,0,Screening!S38)</f>
        <v>0</v>
      </c>
      <c r="K108" s="465"/>
      <c r="L108" s="333">
        <f>IF($F108="",0,IF($F108="Weighted Average",$G108*VLOOKUP($D108&amp;" (Install)",Lists!$C$72:$R$232,COLUMNS(Lists!$C$69:E$69),0)*VLOOKUP(BE$3,Conversions!$B$12:$E$34,4,0),$G108*VLOOKUP($F108,Lists!$C$72:$R$232,COLUMNS(Lists!$C$69:E$69),0)*VLOOKUP(BE$3,Conversions!$B$12:$E$34,4,0)))</f>
        <v>0</v>
      </c>
      <c r="M108" s="333">
        <f>IF($F108="",0,IF($F108="Weighted Average",$G108*VLOOKUP($D108&amp;" (Install)",Lists!$C$72:$R$232,COLUMNS(Lists!$C$69:F$69),0)*VLOOKUP(BF$3,Conversions!$B$12:$E$34,4,0),$G108*VLOOKUP($F108,Lists!$C$72:$R$232,COLUMNS(Lists!$C$69:F$69),0)*VLOOKUP(BF$3,Conversions!$B$12:$E$34,4,0)))</f>
        <v>0</v>
      </c>
      <c r="N108" s="333">
        <f>IF($F108="",0,IF($F108="Weighted Average",$G108*VLOOKUP($D108&amp;" (Install)",Lists!$C$72:$R$232,COLUMNS(Lists!$C$69:G$69),0)*VLOOKUP(BG$3,Conversions!$B$12:$E$34,4,0),$G108*VLOOKUP($F108,Lists!$C$72:$R$232,COLUMNS(Lists!$C$69:G$69),0)*VLOOKUP(BG$3,Conversions!$B$12:$E$34,4,0)))</f>
        <v>0</v>
      </c>
      <c r="O108" s="333">
        <f>IF($F108="",0,IF($F108="Weighted Average",$G108*VLOOKUP($D108&amp;" (Install)",Lists!$C$72:$R$232,COLUMNS(Lists!$C$69:H$69),0)*VLOOKUP(BH$3,Conversions!$B$12:$E$34,4,0),$G108*VLOOKUP($F108,Lists!$C$72:$R$232,COLUMNS(Lists!$C$69:H$69),0)*VLOOKUP(BH$3,Conversions!$B$12:$E$34,4,0)))</f>
        <v>0</v>
      </c>
      <c r="P108" s="333">
        <f>IF($F108="",0,IF($F108="Weighted Average",$G108*VLOOKUP($D108&amp;" (Install)",Lists!$C$72:$R$232,COLUMNS(Lists!$C$69:I$69),0)*VLOOKUP(BI$3,Conversions!$B$12:$E$34,4,0),$G108*VLOOKUP($F108,Lists!$C$72:$R$232,COLUMNS(Lists!$C$69:I$69),0)*VLOOKUP(BI$3,Conversions!$B$12:$E$34,4,0)))</f>
        <v>0</v>
      </c>
      <c r="Q108" s="333">
        <f>IF($F108="",0,IF($F108="Weighted Average",$G108*VLOOKUP($D108&amp;" (Install)",Lists!$C$72:$R$232,COLUMNS(Lists!$C$69:J$69),0)*VLOOKUP(BJ$3,Conversions!$B$12:$E$34,4,0),$G108*VLOOKUP($F108,Lists!$C$72:$R$232,COLUMNS(Lists!$C$69:J$69),0)*VLOOKUP(BJ$3,Conversions!$B$12:$E$34,4,0)))</f>
        <v>0</v>
      </c>
      <c r="R108" s="333">
        <f>IF($F108="",0,IF($F108="Weighted Average",$G108*VLOOKUP($D108&amp;" (Install)",Lists!$C$72:$R$232,COLUMNS(Lists!$C$69:K$69),0)*VLOOKUP(BK$3,Conversions!$B$12:$E$34,4,0),$G108*VLOOKUP($F108,Lists!$C$72:$R$232,COLUMNS(Lists!$C$69:K$69),0)*VLOOKUP(BK$3,Conversions!$B$12:$E$34,4,0)))</f>
        <v>0</v>
      </c>
      <c r="S108" s="333">
        <f>IF($F108="",0,IF($F108="Weighted Average",$G108*VLOOKUP($D108&amp;" (Install)",Lists!$C$72:$R$232,COLUMNS(Lists!$C$69:L$69),0)*VLOOKUP(BL$3,Conversions!$B$12:$E$34,4,0),$G108*VLOOKUP($F108,Lists!$C$72:$R$232,COLUMNS(Lists!$C$69:L$69),0)*VLOOKUP(BL$3,Conversions!$B$12:$E$34,4,0)))</f>
        <v>0</v>
      </c>
      <c r="T108" s="333">
        <f>IF($F108="",0,IF($F108="Weighted Average",$G108*VLOOKUP($D108&amp;" (Install)",Lists!$C$72:$R$232,COLUMNS(Lists!$C$69:M$69),0)*VLOOKUP(BM$3,Conversions!$B$12:$E$34,4,0),$G108*VLOOKUP($F108,Lists!$C$72:$R$232,COLUMNS(Lists!$C$69:M$69),0)*VLOOKUP(BM$3,Conversions!$B$12:$E$34,4,0)))</f>
        <v>0</v>
      </c>
      <c r="U108" s="333">
        <f>IF($F108="",0,IF($F108="Weighted Average",$G108*VLOOKUP($D108&amp;" (Install)",Lists!$C$72:$R$232,COLUMNS(Lists!$C$69:N$69),0)*VLOOKUP(BN$3,Conversions!$B$12:$E$34,4,0),$G108*VLOOKUP($F108,Lists!$C$72:$R$232,COLUMNS(Lists!$C$69:N$69),0)*VLOOKUP(BN$3,Conversions!$B$12:$E$34,4,0)))</f>
        <v>0</v>
      </c>
      <c r="V108" s="333">
        <f>IF($F108="",0,IF($F108="Weighted Average",$G108*VLOOKUP($D108&amp;" (Install)",Lists!$C$72:$R$232,COLUMNS(Lists!$C$69:O$69),0)*VLOOKUP(BO$3,Conversions!$B$12:$E$34,4,0),$G108*VLOOKUP($F108,Lists!$C$72:$R$232,COLUMNS(Lists!$C$69:O$69),0)*VLOOKUP(BO$3,Conversions!$B$12:$E$34,4,0)))</f>
        <v>0</v>
      </c>
      <c r="W108" s="333">
        <f>IF($F108="",0,IF($F108="Weighted Average",$G108*VLOOKUP($D108&amp;" (Install)",Lists!$C$72:$R$232,COLUMNS(Lists!$C$69:P$69),0)*VLOOKUP(BP$3,Conversions!$B$12:$E$34,4,0),$G108*VLOOKUP($F108,Lists!$C$72:$R$232,COLUMNS(Lists!$C$69:P$69),0)*VLOOKUP(BP$3,Conversions!$B$12:$E$34,4,0)))</f>
        <v>0</v>
      </c>
      <c r="X108" s="333">
        <f>IF($F108="",0,IF($F108="Weighted Average",$G108*VLOOKUP($D108&amp;" (Install)",Lists!$C$72:$R$232,COLUMNS(Lists!$C$69:Q$69),0)*VLOOKUP(BQ$3,Conversions!$B$12:$E$34,4,0),$G108*VLOOKUP($F108,Lists!$C$72:$R$232,COLUMNS(Lists!$C$69:Q$69),0)*VLOOKUP(BQ$3,Conversions!$B$12:$E$34,4,0)))</f>
        <v>0</v>
      </c>
      <c r="Y108" s="333">
        <f>IF($F108="",0,IF($F108="Weighted Average",$G108*VLOOKUP($D108&amp;" (Install)",Lists!$C$72:$R$232,COLUMNS(Lists!$C$69:R$69),0)*VLOOKUP(BR$3,Conversions!$B$12:$E$34,4,0),$G108*VLOOKUP($F108,Lists!$C$72:$R$232,COLUMNS(Lists!$C$69:R$69),0)*VLOOKUP(BR$3,Conversions!$B$12:$E$34,4,0)))</f>
        <v>0</v>
      </c>
      <c r="Z108" s="325">
        <f t="shared" si="102"/>
        <v>0</v>
      </c>
      <c r="AA108" s="334">
        <f>IF($F108="",0,IF($F108="Weighted Average",$H108*VLOOKUP($D108&amp;" (Operation)",Lists!$C$72:$R$232,COLUMNS(Lists!$C$69:E$69),0)*VLOOKUP(BE$3,Conversions!$B$12:$E$34,4,0),$H108*VLOOKUP($F108,Lists!$C$72:$R$232,COLUMNS(Lists!$C$69:E$69),0)*VLOOKUP(BE$3,Conversions!$B$12:$E$34,4,0)))</f>
        <v>0</v>
      </c>
      <c r="AB108" s="334">
        <f>IF($F108="",0,IF($F108="Weighted Average",$H108*VLOOKUP($D108&amp;" (Operation)",Lists!$C$72:$R$232,COLUMNS(Lists!$C$69:F$69),0)*VLOOKUP(BF$3,Conversions!$B$12:$E$34,4,0),$H108*VLOOKUP($F108,Lists!$C$72:$R$232,COLUMNS(Lists!$C$69:F$69),0)*VLOOKUP(BF$3,Conversions!$B$12:$E$34,4,0)))</f>
        <v>0</v>
      </c>
      <c r="AC108" s="334">
        <f>IF($F108="",0,IF($F108="Weighted Average",$H108*VLOOKUP($D108&amp;" (Operation)",Lists!$C$72:$R$232,COLUMNS(Lists!$C$69:G$69),0)*VLOOKUP(BG$3,Conversions!$B$12:$E$34,4,0),$H108*VLOOKUP($F108,Lists!$C$72:$R$232,COLUMNS(Lists!$C$69:G$69),0)*VLOOKUP(BG$3,Conversions!$B$12:$E$34,4,0)))</f>
        <v>0</v>
      </c>
      <c r="AD108" s="334">
        <f>IF($F108="",0,IF($F108="Weighted Average",$H108*VLOOKUP($D108&amp;" (Operation)",Lists!$C$72:$R$232,COLUMNS(Lists!$C$69:H$69),0)*VLOOKUP(BH$3,Conversions!$B$12:$E$34,4,0),$H108*VLOOKUP($F108,Lists!$C$72:$R$232,COLUMNS(Lists!$C$69:H$69),0)*VLOOKUP(BH$3,Conversions!$B$12:$E$34,4,0)))</f>
        <v>0</v>
      </c>
      <c r="AE108" s="334">
        <f>IF($F108="",0,IF($F108="Weighted Average",$H108*VLOOKUP($D108&amp;" (Operation)",Lists!$C$72:$R$232,COLUMNS(Lists!$C$69:I$69),0)*VLOOKUP(BI$3,Conversions!$B$12:$E$34,4,0),$H108*VLOOKUP($F108,Lists!$C$72:$R$232,COLUMNS(Lists!$C$69:I$69),0)*VLOOKUP(BI$3,Conversions!$B$12:$E$34,4,0)))</f>
        <v>0</v>
      </c>
      <c r="AF108" s="334">
        <f>IF($F108="",0,IF($F108="Weighted Average",$H108*VLOOKUP($D108&amp;" (Operation)",Lists!$C$72:$R$232,COLUMNS(Lists!$C$69:J$69),0)*VLOOKUP(BJ$3,Conversions!$B$12:$E$34,4,0),$H108*VLOOKUP($F108,Lists!$C$72:$R$232,COLUMNS(Lists!$C$69:J$69),0)*VLOOKUP(BJ$3,Conversions!$B$12:$E$34,4,0)))</f>
        <v>0</v>
      </c>
      <c r="AG108" s="334">
        <f>IF($F108="",0,IF($F108="Weighted Average",$H108*VLOOKUP($D108&amp;" (Operation)",Lists!$C$72:$R$232,COLUMNS(Lists!$C$69:K$69),0)*VLOOKUP(BK$3,Conversions!$B$12:$E$34,4,0),$H108*VLOOKUP($F108,Lists!$C$72:$R$232,COLUMNS(Lists!$C$69:K$69),0)*VLOOKUP(BK$3,Conversions!$B$12:$E$34,4,0)))</f>
        <v>0</v>
      </c>
      <c r="AH108" s="334">
        <f>IF($F108="",0,IF($F108="Weighted Average",$H108*VLOOKUP($D108&amp;" (Operation)",Lists!$C$72:$R$232,COLUMNS(Lists!$C$69:L$69),0)*VLOOKUP(BL$3,Conversions!$B$12:$E$34,4,0),$H108*VLOOKUP($F108,Lists!$C$72:$R$232,COLUMNS(Lists!$C$69:L$69),0)*VLOOKUP(BL$3,Conversions!$B$12:$E$34,4,0)))</f>
        <v>0</v>
      </c>
      <c r="AI108" s="334">
        <f>IF($F108="",0,IF($F108="Weighted Average",$H108*VLOOKUP($D108&amp;" (Operation)",Lists!$C$72:$R$232,COLUMNS(Lists!$C$69:M$69),0)*VLOOKUP(BM$3,Conversions!$B$12:$E$34,4,0),$H108*VLOOKUP($F108,Lists!$C$72:$R$232,COLUMNS(Lists!$C$69:M$69),0)*VLOOKUP(BM$3,Conversions!$B$12:$E$34,4,0)))</f>
        <v>0</v>
      </c>
      <c r="AJ108" s="334">
        <f>IF($F108="",0,IF($F108="Weighted Average",$H108*VLOOKUP($D108&amp;" (Operation)",Lists!$C$72:$R$232,COLUMNS(Lists!$C$69:N$69),0)*VLOOKUP(BN$3,Conversions!$B$12:$E$34,4,0),$H108*VLOOKUP($F108,Lists!$C$72:$R$232,COLUMNS(Lists!$C$69:N$69),0)*VLOOKUP(BN$3,Conversions!$B$12:$E$34,4,0)))</f>
        <v>0</v>
      </c>
      <c r="AK108" s="334">
        <f>IF($F108="",0,IF($F108="Weighted Average",$H108*VLOOKUP($D108&amp;" (Operation)",Lists!$C$72:$R$232,COLUMNS(Lists!$C$69:O$69),0)*VLOOKUP(BO$3,Conversions!$B$12:$E$34,4,0),$H108*VLOOKUP($F108,Lists!$C$72:$R$232,COLUMNS(Lists!$C$69:O$69),0)*VLOOKUP(BO$3,Conversions!$B$12:$E$34,4,0)))</f>
        <v>0</v>
      </c>
      <c r="AL108" s="334">
        <f>IF($F108="",0,IF($F108="Weighted Average",$H108*VLOOKUP($D108&amp;" (Operation)",Lists!$C$72:$R$232,COLUMNS(Lists!$C$69:P$69),0)*VLOOKUP(BP$3,Conversions!$B$12:$E$34,4,0),$H108*VLOOKUP($F108,Lists!$C$72:$R$232,COLUMNS(Lists!$C$69:P$69),0)*VLOOKUP(BP$3,Conversions!$B$12:$E$34,4,0)))</f>
        <v>0</v>
      </c>
      <c r="AM108" s="334">
        <f>IF($F108="",0,IF($F108="Weighted Average",$H108*VLOOKUP($D108&amp;" (Operation)",Lists!$C$72:$R$232,COLUMNS(Lists!$C$69:Q$69),0)*VLOOKUP(BQ$3,Conversions!$B$12:$E$34,4,0),$H108*VLOOKUP($F108,Lists!$C$72:$R$232,COLUMNS(Lists!$C$69:Q$69),0)*VLOOKUP(BQ$3,Conversions!$B$12:$E$34,4,0)))</f>
        <v>0</v>
      </c>
      <c r="AN108" s="334">
        <f>IF($F108="",0,IF($F108="Weighted Average",$H108*VLOOKUP($D108&amp;" (Operation)",Lists!$C$72:$R$232,COLUMNS(Lists!$C$69:R$69),0)*VLOOKUP(BR$3,Conversions!$B$12:$E$34,4,0),$H108*VLOOKUP($F108,Lists!$C$72:$R$232,COLUMNS(Lists!$C$69:R$69),0)*VLOOKUP(BR$3,Conversions!$B$12:$E$34,4,0)))</f>
        <v>0</v>
      </c>
      <c r="AO108" s="330">
        <f t="shared" si="103"/>
        <v>0</v>
      </c>
      <c r="AP108" s="333">
        <f>IF($F108="",0,IF($F108="Weighted Average",$I108*VLOOKUP($D108&amp;" (Disposal)",Lists!$C$72:$R$232,COLUMNS(Lists!$C$69:E$69),0)*VLOOKUP(BE$3,Conversions!$B$12:$E$34,4,0),$I108*VLOOKUP($F108,Lists!$C$72:$R$232,COLUMNS(Lists!$C$69:E$69),0)*VLOOKUP(BE$3,Conversions!$B$12:$E$34,4,0)))</f>
        <v>0</v>
      </c>
      <c r="AQ108" s="333">
        <f>IF($F108="",0,IF($F108="Weighted Average",$I108*VLOOKUP($D108&amp;" (Disposal)",Lists!$C$72:$R$232,COLUMNS(Lists!$C$69:F$69),0)*VLOOKUP(BF$3,Conversions!$B$12:$E$34,4,0),$I108*VLOOKUP($F108,Lists!$C$72:$R$232,COLUMNS(Lists!$C$69:F$69),0)*VLOOKUP(BF$3,Conversions!$B$12:$E$34,4,0)))</f>
        <v>0</v>
      </c>
      <c r="AR108" s="333">
        <f>IF($F108="",0,IF($F108="Weighted Average",$I108*VLOOKUP($D108&amp;" (Disposal)",Lists!$C$72:$R$232,COLUMNS(Lists!$C$69:G$69),0)*VLOOKUP(BG$3,Conversions!$B$12:$E$34,4,0),$I108*VLOOKUP($F108,Lists!$C$72:$R$232,COLUMNS(Lists!$C$69:G$69),0)*VLOOKUP(BG$3,Conversions!$B$12:$E$34,4,0)))</f>
        <v>0</v>
      </c>
      <c r="AS108" s="333">
        <f>IF($F108="",0,IF($F108="Weighted Average",$I108*VLOOKUP($D108&amp;" (Disposal)",Lists!$C$72:$R$232,COLUMNS(Lists!$C$69:H$69),0)*VLOOKUP(BH$3,Conversions!$B$12:$E$34,4,0),$I108*VLOOKUP($F108,Lists!$C$72:$R$232,COLUMNS(Lists!$C$69:H$69),0)*VLOOKUP(BH$3,Conversions!$B$12:$E$34,4,0)))</f>
        <v>0</v>
      </c>
      <c r="AT108" s="333">
        <f>IF($F108="",0,IF($F108="Weighted Average",$I108*VLOOKUP($D108&amp;" (Disposal)",Lists!$C$72:$R$232,COLUMNS(Lists!$C$69:I$69),0)*VLOOKUP(BI$3,Conversions!$B$12:$E$34,4,0),$I108*VLOOKUP($F108,Lists!$C$72:$R$232,COLUMNS(Lists!$C$69:I$69),0)*VLOOKUP(BI$3,Conversions!$B$12:$E$34,4,0)))</f>
        <v>0</v>
      </c>
      <c r="AU108" s="333">
        <f>IF($F108="",0,IF($F108="Weighted Average",$I108*VLOOKUP($D108&amp;" (Disposal)",Lists!$C$72:$R$232,COLUMNS(Lists!$C$69:J$69),0)*VLOOKUP(BJ$3,Conversions!$B$12:$E$34,4,0),$I108*VLOOKUP($F108,Lists!$C$72:$R$232,COLUMNS(Lists!$C$69:J$69),0)*VLOOKUP(BJ$3,Conversions!$B$12:$E$34,4,0)))</f>
        <v>0</v>
      </c>
      <c r="AV108" s="333">
        <f>IF($F108="",0,IF($F108="Weighted Average",$I108*VLOOKUP($D108&amp;" (Disposal)",Lists!$C$72:$R$232,COLUMNS(Lists!$C$69:K$69),0)*VLOOKUP(BK$3,Conversions!$B$12:$E$34,4,0),$I108*VLOOKUP($F108,Lists!$C$72:$R$232,COLUMNS(Lists!$C$69:K$69),0)*VLOOKUP(BK$3,Conversions!$B$12:$E$34,4,0)))</f>
        <v>0</v>
      </c>
      <c r="AW108" s="333">
        <f>IF($F108="",0,IF($F108="Weighted Average",$I108*VLOOKUP($D108&amp;" (Disposal)",Lists!$C$72:$R$232,COLUMNS(Lists!$C$69:L$69),0)*VLOOKUP(BL$3,Conversions!$B$12:$E$34,4,0),$I108*VLOOKUP($F108,Lists!$C$72:$R$232,COLUMNS(Lists!$C$69:L$69),0)*VLOOKUP(BL$3,Conversions!$B$12:$E$34,4,0)))</f>
        <v>0</v>
      </c>
      <c r="AX108" s="333">
        <f>IF($F108="",0,IF($F108="Weighted Average",$I108*VLOOKUP($D108&amp;" (Disposal)",Lists!$C$72:$R$232,COLUMNS(Lists!$C$69:M$69),0)*VLOOKUP(BM$3,Conversions!$B$12:$E$34,4,0),$I108*VLOOKUP($F108,Lists!$C$72:$R$232,COLUMNS(Lists!$C$69:M$69),0)*VLOOKUP(BM$3,Conversions!$B$12:$E$34,4,0)))</f>
        <v>0</v>
      </c>
      <c r="AY108" s="333">
        <f>IF($F108="",0,IF($F108="Weighted Average",$I108*VLOOKUP($D108&amp;" (Disposal)",Lists!$C$72:$R$232,COLUMNS(Lists!$C$69:N$69),0)*VLOOKUP(BN$3,Conversions!$B$12:$E$34,4,0),$I108*VLOOKUP($F108,Lists!$C$72:$R$232,COLUMNS(Lists!$C$69:N$69),0)*VLOOKUP(BN$3,Conversions!$B$12:$E$34,4,0)))</f>
        <v>0</v>
      </c>
      <c r="AZ108" s="333">
        <f>IF($F108="",0,IF($F108="Weighted Average",$I108*VLOOKUP($D108&amp;" (Disposal)",Lists!$C$72:$R$232,COLUMNS(Lists!$C$69:O$69),0)*VLOOKUP(BO$3,Conversions!$B$12:$E$34,4,0),$I108*VLOOKUP($F108,Lists!$C$72:$R$232,COLUMNS(Lists!$C$69:O$69),0)*VLOOKUP(BO$3,Conversions!$B$12:$E$34,4,0)))</f>
        <v>0</v>
      </c>
      <c r="BA108" s="333">
        <f>IF($F108="",0,IF($F108="Weighted Average",$I108*VLOOKUP($D108&amp;" (Disposal)",Lists!$C$72:$R$232,COLUMNS(Lists!$C$69:P$69),0)*VLOOKUP(BP$3,Conversions!$B$12:$E$34,4,0),$I108*VLOOKUP($F108,Lists!$C$72:$R$232,COLUMNS(Lists!$C$69:P$69),0)*VLOOKUP(BP$3,Conversions!$B$12:$E$34,4,0)))</f>
        <v>0</v>
      </c>
      <c r="BB108" s="333">
        <f>IF($F108="",0,IF($F108="Weighted Average",$I108*VLOOKUP($D108&amp;" (Disposal)",Lists!$C$72:$R$232,COLUMNS(Lists!$C$69:Q$69),0)*VLOOKUP(BQ$3,Conversions!$B$12:$E$34,4,0),$I108*VLOOKUP($F108,Lists!$C$72:$R$232,COLUMNS(Lists!$C$69:Q$69),0)*VLOOKUP(BQ$3,Conversions!$B$12:$E$34,4,0)))</f>
        <v>0</v>
      </c>
      <c r="BC108" s="333">
        <f>IF($F108="",0,IF($F108="Weighted Average",$I108*VLOOKUP($D108&amp;" (Disposal)",Lists!$C$72:$R$232,COLUMNS(Lists!$C$69:R$69),0)*VLOOKUP(BR$3,Conversions!$B$12:$E$34,4,0),$I108*VLOOKUP($F108,Lists!$C$72:$R$232,COLUMNS(Lists!$C$69:R$69),0)*VLOOKUP(BR$3,Conversions!$B$12:$E$34,4,0)))</f>
        <v>0</v>
      </c>
      <c r="BD108" s="333">
        <f t="shared" si="104"/>
        <v>0</v>
      </c>
      <c r="BE108" s="330">
        <f t="shared" si="105"/>
        <v>0</v>
      </c>
      <c r="BF108" s="330">
        <f t="shared" si="106"/>
        <v>0</v>
      </c>
      <c r="BG108" s="330">
        <f t="shared" si="107"/>
        <v>0</v>
      </c>
      <c r="BH108" s="330">
        <f t="shared" si="108"/>
        <v>0</v>
      </c>
      <c r="BI108" s="330">
        <f t="shared" si="109"/>
        <v>0</v>
      </c>
      <c r="BJ108" s="330">
        <f t="shared" si="110"/>
        <v>0</v>
      </c>
      <c r="BK108" s="330">
        <f t="shared" si="111"/>
        <v>0</v>
      </c>
      <c r="BL108" s="330">
        <f t="shared" si="112"/>
        <v>0</v>
      </c>
      <c r="BM108" s="330">
        <f t="shared" si="113"/>
        <v>0</v>
      </c>
      <c r="BN108" s="330">
        <f t="shared" si="114"/>
        <v>0</v>
      </c>
      <c r="BO108" s="330">
        <f t="shared" si="115"/>
        <v>0</v>
      </c>
      <c r="BP108" s="330">
        <f t="shared" si="116"/>
        <v>0</v>
      </c>
      <c r="BQ108" s="330">
        <f t="shared" si="117"/>
        <v>0</v>
      </c>
      <c r="BR108" s="330">
        <f t="shared" si="118"/>
        <v>0</v>
      </c>
      <c r="BS108" s="330">
        <f t="shared" si="119"/>
        <v>0</v>
      </c>
      <c r="BT108" s="329">
        <f t="shared" si="134"/>
        <v>0</v>
      </c>
      <c r="BU108" s="329">
        <f t="shared" si="134"/>
        <v>0</v>
      </c>
      <c r="BV108" s="329">
        <f t="shared" si="134"/>
        <v>0</v>
      </c>
      <c r="BW108" s="329">
        <f t="shared" si="134"/>
        <v>0</v>
      </c>
      <c r="BX108" s="329">
        <f t="shared" si="134"/>
        <v>0</v>
      </c>
      <c r="BY108" s="329">
        <f t="shared" si="134"/>
        <v>0</v>
      </c>
      <c r="BZ108" s="329">
        <f t="shared" si="134"/>
        <v>0</v>
      </c>
      <c r="CA108" s="329">
        <f t="shared" si="134"/>
        <v>0</v>
      </c>
      <c r="CB108" s="329">
        <f t="shared" si="134"/>
        <v>0</v>
      </c>
      <c r="CC108" s="329">
        <f t="shared" si="134"/>
        <v>0</v>
      </c>
      <c r="CD108" s="329">
        <f t="shared" si="134"/>
        <v>0</v>
      </c>
      <c r="CE108" s="329">
        <f t="shared" si="134"/>
        <v>0</v>
      </c>
      <c r="CF108" s="329">
        <f t="shared" si="134"/>
        <v>0</v>
      </c>
      <c r="CG108" s="329">
        <f t="shared" si="134"/>
        <v>0</v>
      </c>
      <c r="CH108" s="329">
        <f t="shared" si="134"/>
        <v>0</v>
      </c>
      <c r="CI108" s="329">
        <f t="shared" si="134"/>
        <v>0</v>
      </c>
      <c r="CJ108" s="331">
        <f t="shared" si="121"/>
        <v>0</v>
      </c>
      <c r="CK108" s="330">
        <f t="shared" si="122"/>
        <v>0</v>
      </c>
      <c r="CL108" s="330">
        <f t="shared" si="123"/>
        <v>0</v>
      </c>
      <c r="CM108" s="330">
        <f t="shared" si="124"/>
        <v>0</v>
      </c>
      <c r="CN108" s="330">
        <f t="shared" si="125"/>
        <v>0</v>
      </c>
      <c r="CO108" s="330">
        <f t="shared" si="126"/>
        <v>0</v>
      </c>
      <c r="CP108" s="330">
        <f t="shared" si="127"/>
        <v>0</v>
      </c>
      <c r="CQ108" s="330">
        <f t="shared" si="94"/>
        <v>0</v>
      </c>
      <c r="CR108" s="330">
        <f t="shared" si="128"/>
        <v>0</v>
      </c>
      <c r="CS108" s="330">
        <f t="shared" si="129"/>
        <v>0</v>
      </c>
      <c r="CT108" s="330">
        <f t="shared" si="130"/>
        <v>0</v>
      </c>
      <c r="CU108" s="330">
        <f t="shared" si="135"/>
        <v>0</v>
      </c>
      <c r="CV108" s="330">
        <f t="shared" si="135"/>
        <v>0</v>
      </c>
      <c r="CW108" s="330">
        <f t="shared" si="135"/>
        <v>0</v>
      </c>
      <c r="CX108" s="330">
        <f t="shared" si="135"/>
        <v>0</v>
      </c>
      <c r="CY108" s="330">
        <f t="shared" si="135"/>
        <v>0</v>
      </c>
      <c r="CZ108" s="330">
        <f t="shared" si="135"/>
        <v>0</v>
      </c>
      <c r="DA108" s="330">
        <f t="shared" si="135"/>
        <v>0</v>
      </c>
      <c r="DB108" s="330">
        <f t="shared" si="135"/>
        <v>0</v>
      </c>
      <c r="DC108" s="330">
        <f t="shared" si="135"/>
        <v>0</v>
      </c>
      <c r="DD108" s="330">
        <f t="shared" si="135"/>
        <v>0</v>
      </c>
      <c r="DE108" s="330">
        <f t="shared" si="136"/>
        <v>0</v>
      </c>
      <c r="DF108" s="330">
        <f t="shared" si="136"/>
        <v>0</v>
      </c>
      <c r="DG108" s="330">
        <f t="shared" si="136"/>
        <v>0</v>
      </c>
      <c r="DH108" s="330">
        <f t="shared" si="136"/>
        <v>0</v>
      </c>
      <c r="DI108" s="330">
        <f t="shared" si="136"/>
        <v>0</v>
      </c>
      <c r="DJ108" s="330">
        <f t="shared" si="136"/>
        <v>0</v>
      </c>
      <c r="DK108" s="330">
        <f t="shared" si="136"/>
        <v>0</v>
      </c>
      <c r="DL108" s="330">
        <f t="shared" si="136"/>
        <v>0</v>
      </c>
      <c r="DM108" s="330">
        <f t="shared" si="136"/>
        <v>0</v>
      </c>
      <c r="DN108" s="330">
        <f t="shared" si="136"/>
        <v>0</v>
      </c>
      <c r="DO108" s="330">
        <f t="shared" si="136"/>
        <v>0</v>
      </c>
      <c r="DP108" s="330">
        <f t="shared" si="133"/>
        <v>0</v>
      </c>
      <c r="DQ108" s="217"/>
      <c r="DR108" s="217"/>
      <c r="DS108" s="217"/>
      <c r="DT108" s="217"/>
    </row>
    <row r="109" spans="1:124" x14ac:dyDescent="0.3">
      <c r="A109" s="324"/>
      <c r="B109" s="221" t="s">
        <v>305</v>
      </c>
      <c r="C109" s="221" t="str">
        <f>IF(Screening!C39=0,"",Screening!C39)</f>
        <v/>
      </c>
      <c r="D109" s="221" t="str">
        <f>IF(Screening!D39=0,"",Screening!D39)</f>
        <v/>
      </c>
      <c r="E109" s="221" t="str">
        <f>IF(Screening!E39=0,"",Screening!E39)</f>
        <v/>
      </c>
      <c r="F109" s="221" t="str">
        <f>IF(Screening!F39=0,"",Screening!F39)</f>
        <v/>
      </c>
      <c r="G109" s="272">
        <f>Screening!G39*Screening!O39*Conversions!$C$4</f>
        <v>0</v>
      </c>
      <c r="H109" s="272">
        <f>Screening!H39*Screening!P39*Screening!I39*Conversions!$C$4</f>
        <v>0</v>
      </c>
      <c r="I109" s="272">
        <f>Screening!J39*Screening!Q39*(1-Screening!R39)*Conversions!$C$4</f>
        <v>0</v>
      </c>
      <c r="J109" s="325">
        <f>IF(Screening!S39=0,0,Screening!S39)</f>
        <v>0</v>
      </c>
      <c r="K109" s="465"/>
      <c r="L109" s="333">
        <f>IF($F109="",0,IF($F109="Weighted Average",$G109*VLOOKUP($D109&amp;" (Install)",Lists!$C$72:$R$232,COLUMNS(Lists!$C$69:E$69),0)*VLOOKUP(BE$3,Conversions!$B$12:$E$34,4,0),$G109*VLOOKUP($F109,Lists!$C$72:$R$232,COLUMNS(Lists!$C$69:E$69),0)*VLOOKUP(BE$3,Conversions!$B$12:$E$34,4,0)))</f>
        <v>0</v>
      </c>
      <c r="M109" s="333">
        <f>IF($F109="",0,IF($F109="Weighted Average",$G109*VLOOKUP($D109&amp;" (Install)",Lists!$C$72:$R$232,COLUMNS(Lists!$C$69:F$69),0)*VLOOKUP(BF$3,Conversions!$B$12:$E$34,4,0),$G109*VLOOKUP($F109,Lists!$C$72:$R$232,COLUMNS(Lists!$C$69:F$69),0)*VLOOKUP(BF$3,Conversions!$B$12:$E$34,4,0)))</f>
        <v>0</v>
      </c>
      <c r="N109" s="333">
        <f>IF($F109="",0,IF($F109="Weighted Average",$G109*VLOOKUP($D109&amp;" (Install)",Lists!$C$72:$R$232,COLUMNS(Lists!$C$69:G$69),0)*VLOOKUP(BG$3,Conversions!$B$12:$E$34,4,0),$G109*VLOOKUP($F109,Lists!$C$72:$R$232,COLUMNS(Lists!$C$69:G$69),0)*VLOOKUP(BG$3,Conversions!$B$12:$E$34,4,0)))</f>
        <v>0</v>
      </c>
      <c r="O109" s="333">
        <f>IF($F109="",0,IF($F109="Weighted Average",$G109*VLOOKUP($D109&amp;" (Install)",Lists!$C$72:$R$232,COLUMNS(Lists!$C$69:H$69),0)*VLOOKUP(BH$3,Conversions!$B$12:$E$34,4,0),$G109*VLOOKUP($F109,Lists!$C$72:$R$232,COLUMNS(Lists!$C$69:H$69),0)*VLOOKUP(BH$3,Conversions!$B$12:$E$34,4,0)))</f>
        <v>0</v>
      </c>
      <c r="P109" s="333">
        <f>IF($F109="",0,IF($F109="Weighted Average",$G109*VLOOKUP($D109&amp;" (Install)",Lists!$C$72:$R$232,COLUMNS(Lists!$C$69:I$69),0)*VLOOKUP(BI$3,Conversions!$B$12:$E$34,4,0),$G109*VLOOKUP($F109,Lists!$C$72:$R$232,COLUMNS(Lists!$C$69:I$69),0)*VLOOKUP(BI$3,Conversions!$B$12:$E$34,4,0)))</f>
        <v>0</v>
      </c>
      <c r="Q109" s="333">
        <f>IF($F109="",0,IF($F109="Weighted Average",$G109*VLOOKUP($D109&amp;" (Install)",Lists!$C$72:$R$232,COLUMNS(Lists!$C$69:J$69),0)*VLOOKUP(BJ$3,Conversions!$B$12:$E$34,4,0),$G109*VLOOKUP($F109,Lists!$C$72:$R$232,COLUMNS(Lists!$C$69:J$69),0)*VLOOKUP(BJ$3,Conversions!$B$12:$E$34,4,0)))</f>
        <v>0</v>
      </c>
      <c r="R109" s="333">
        <f>IF($F109="",0,IF($F109="Weighted Average",$G109*VLOOKUP($D109&amp;" (Install)",Lists!$C$72:$R$232,COLUMNS(Lists!$C$69:K$69),0)*VLOOKUP(BK$3,Conversions!$B$12:$E$34,4,0),$G109*VLOOKUP($F109,Lists!$C$72:$R$232,COLUMNS(Lists!$C$69:K$69),0)*VLOOKUP(BK$3,Conversions!$B$12:$E$34,4,0)))</f>
        <v>0</v>
      </c>
      <c r="S109" s="333">
        <f>IF($F109="",0,IF($F109="Weighted Average",$G109*VLOOKUP($D109&amp;" (Install)",Lists!$C$72:$R$232,COLUMNS(Lists!$C$69:L$69),0)*VLOOKUP(BL$3,Conversions!$B$12:$E$34,4,0),$G109*VLOOKUP($F109,Lists!$C$72:$R$232,COLUMNS(Lists!$C$69:L$69),0)*VLOOKUP(BL$3,Conversions!$B$12:$E$34,4,0)))</f>
        <v>0</v>
      </c>
      <c r="T109" s="333">
        <f>IF($F109="",0,IF($F109="Weighted Average",$G109*VLOOKUP($D109&amp;" (Install)",Lists!$C$72:$R$232,COLUMNS(Lists!$C$69:M$69),0)*VLOOKUP(BM$3,Conversions!$B$12:$E$34,4,0),$G109*VLOOKUP($F109,Lists!$C$72:$R$232,COLUMNS(Lists!$C$69:M$69),0)*VLOOKUP(BM$3,Conversions!$B$12:$E$34,4,0)))</f>
        <v>0</v>
      </c>
      <c r="U109" s="333">
        <f>IF($F109="",0,IF($F109="Weighted Average",$G109*VLOOKUP($D109&amp;" (Install)",Lists!$C$72:$R$232,COLUMNS(Lists!$C$69:N$69),0)*VLOOKUP(BN$3,Conversions!$B$12:$E$34,4,0),$G109*VLOOKUP($F109,Lists!$C$72:$R$232,COLUMNS(Lists!$C$69:N$69),0)*VLOOKUP(BN$3,Conversions!$B$12:$E$34,4,0)))</f>
        <v>0</v>
      </c>
      <c r="V109" s="333">
        <f>IF($F109="",0,IF($F109="Weighted Average",$G109*VLOOKUP($D109&amp;" (Install)",Lists!$C$72:$R$232,COLUMNS(Lists!$C$69:O$69),0)*VLOOKUP(BO$3,Conversions!$B$12:$E$34,4,0),$G109*VLOOKUP($F109,Lists!$C$72:$R$232,COLUMNS(Lists!$C$69:O$69),0)*VLOOKUP(BO$3,Conversions!$B$12:$E$34,4,0)))</f>
        <v>0</v>
      </c>
      <c r="W109" s="333">
        <f>IF($F109="",0,IF($F109="Weighted Average",$G109*VLOOKUP($D109&amp;" (Install)",Lists!$C$72:$R$232,COLUMNS(Lists!$C$69:P$69),0)*VLOOKUP(BP$3,Conversions!$B$12:$E$34,4,0),$G109*VLOOKUP($F109,Lists!$C$72:$R$232,COLUMNS(Lists!$C$69:P$69),0)*VLOOKUP(BP$3,Conversions!$B$12:$E$34,4,0)))</f>
        <v>0</v>
      </c>
      <c r="X109" s="333">
        <f>IF($F109="",0,IF($F109="Weighted Average",$G109*VLOOKUP($D109&amp;" (Install)",Lists!$C$72:$R$232,COLUMNS(Lists!$C$69:Q$69),0)*VLOOKUP(BQ$3,Conversions!$B$12:$E$34,4,0),$G109*VLOOKUP($F109,Lists!$C$72:$R$232,COLUMNS(Lists!$C$69:Q$69),0)*VLOOKUP(BQ$3,Conversions!$B$12:$E$34,4,0)))</f>
        <v>0</v>
      </c>
      <c r="Y109" s="333">
        <f>IF($F109="",0,IF($F109="Weighted Average",$G109*VLOOKUP($D109&amp;" (Install)",Lists!$C$72:$R$232,COLUMNS(Lists!$C$69:R$69),0)*VLOOKUP(BR$3,Conversions!$B$12:$E$34,4,0),$G109*VLOOKUP($F109,Lists!$C$72:$R$232,COLUMNS(Lists!$C$69:R$69),0)*VLOOKUP(BR$3,Conversions!$B$12:$E$34,4,0)))</f>
        <v>0</v>
      </c>
      <c r="Z109" s="325">
        <f t="shared" si="102"/>
        <v>0</v>
      </c>
      <c r="AA109" s="334">
        <f>IF($F109="",0,IF($F109="Weighted Average",$H109*VLOOKUP($D109&amp;" (Operation)",Lists!$C$72:$R$232,COLUMNS(Lists!$C$69:E$69),0)*VLOOKUP(BE$3,Conversions!$B$12:$E$34,4,0),$H109*VLOOKUP($F109,Lists!$C$72:$R$232,COLUMNS(Lists!$C$69:E$69),0)*VLOOKUP(BE$3,Conversions!$B$12:$E$34,4,0)))</f>
        <v>0</v>
      </c>
      <c r="AB109" s="334">
        <f>IF($F109="",0,IF($F109="Weighted Average",$H109*VLOOKUP($D109&amp;" (Operation)",Lists!$C$72:$R$232,COLUMNS(Lists!$C$69:F$69),0)*VLOOKUP(BF$3,Conversions!$B$12:$E$34,4,0),$H109*VLOOKUP($F109,Lists!$C$72:$R$232,COLUMNS(Lists!$C$69:F$69),0)*VLOOKUP(BF$3,Conversions!$B$12:$E$34,4,0)))</f>
        <v>0</v>
      </c>
      <c r="AC109" s="334">
        <f>IF($F109="",0,IF($F109="Weighted Average",$H109*VLOOKUP($D109&amp;" (Operation)",Lists!$C$72:$R$232,COLUMNS(Lists!$C$69:G$69),0)*VLOOKUP(BG$3,Conversions!$B$12:$E$34,4,0),$H109*VLOOKUP($F109,Lists!$C$72:$R$232,COLUMNS(Lists!$C$69:G$69),0)*VLOOKUP(BG$3,Conversions!$B$12:$E$34,4,0)))</f>
        <v>0</v>
      </c>
      <c r="AD109" s="334">
        <f>IF($F109="",0,IF($F109="Weighted Average",$H109*VLOOKUP($D109&amp;" (Operation)",Lists!$C$72:$R$232,COLUMNS(Lists!$C$69:H$69),0)*VLOOKUP(BH$3,Conversions!$B$12:$E$34,4,0),$H109*VLOOKUP($F109,Lists!$C$72:$R$232,COLUMNS(Lists!$C$69:H$69),0)*VLOOKUP(BH$3,Conversions!$B$12:$E$34,4,0)))</f>
        <v>0</v>
      </c>
      <c r="AE109" s="334">
        <f>IF($F109="",0,IF($F109="Weighted Average",$H109*VLOOKUP($D109&amp;" (Operation)",Lists!$C$72:$R$232,COLUMNS(Lists!$C$69:I$69),0)*VLOOKUP(BI$3,Conversions!$B$12:$E$34,4,0),$H109*VLOOKUP($F109,Lists!$C$72:$R$232,COLUMNS(Lists!$C$69:I$69),0)*VLOOKUP(BI$3,Conversions!$B$12:$E$34,4,0)))</f>
        <v>0</v>
      </c>
      <c r="AF109" s="334">
        <f>IF($F109="",0,IF($F109="Weighted Average",$H109*VLOOKUP($D109&amp;" (Operation)",Lists!$C$72:$R$232,COLUMNS(Lists!$C$69:J$69),0)*VLOOKUP(BJ$3,Conversions!$B$12:$E$34,4,0),$H109*VLOOKUP($F109,Lists!$C$72:$R$232,COLUMNS(Lists!$C$69:J$69),0)*VLOOKUP(BJ$3,Conversions!$B$12:$E$34,4,0)))</f>
        <v>0</v>
      </c>
      <c r="AG109" s="334">
        <f>IF($F109="",0,IF($F109="Weighted Average",$H109*VLOOKUP($D109&amp;" (Operation)",Lists!$C$72:$R$232,COLUMNS(Lists!$C$69:K$69),0)*VLOOKUP(BK$3,Conversions!$B$12:$E$34,4,0),$H109*VLOOKUP($F109,Lists!$C$72:$R$232,COLUMNS(Lists!$C$69:K$69),0)*VLOOKUP(BK$3,Conversions!$B$12:$E$34,4,0)))</f>
        <v>0</v>
      </c>
      <c r="AH109" s="334">
        <f>IF($F109="",0,IF($F109="Weighted Average",$H109*VLOOKUP($D109&amp;" (Operation)",Lists!$C$72:$R$232,COLUMNS(Lists!$C$69:L$69),0)*VLOOKUP(BL$3,Conversions!$B$12:$E$34,4,0),$H109*VLOOKUP($F109,Lists!$C$72:$R$232,COLUMNS(Lists!$C$69:L$69),0)*VLOOKUP(BL$3,Conversions!$B$12:$E$34,4,0)))</f>
        <v>0</v>
      </c>
      <c r="AI109" s="334">
        <f>IF($F109="",0,IF($F109="Weighted Average",$H109*VLOOKUP($D109&amp;" (Operation)",Lists!$C$72:$R$232,COLUMNS(Lists!$C$69:M$69),0)*VLOOKUP(BM$3,Conversions!$B$12:$E$34,4,0),$H109*VLOOKUP($F109,Lists!$C$72:$R$232,COLUMNS(Lists!$C$69:M$69),0)*VLOOKUP(BM$3,Conversions!$B$12:$E$34,4,0)))</f>
        <v>0</v>
      </c>
      <c r="AJ109" s="334">
        <f>IF($F109="",0,IF($F109="Weighted Average",$H109*VLOOKUP($D109&amp;" (Operation)",Lists!$C$72:$R$232,COLUMNS(Lists!$C$69:N$69),0)*VLOOKUP(BN$3,Conversions!$B$12:$E$34,4,0),$H109*VLOOKUP($F109,Lists!$C$72:$R$232,COLUMNS(Lists!$C$69:N$69),0)*VLOOKUP(BN$3,Conversions!$B$12:$E$34,4,0)))</f>
        <v>0</v>
      </c>
      <c r="AK109" s="334">
        <f>IF($F109="",0,IF($F109="Weighted Average",$H109*VLOOKUP($D109&amp;" (Operation)",Lists!$C$72:$R$232,COLUMNS(Lists!$C$69:O$69),0)*VLOOKUP(BO$3,Conversions!$B$12:$E$34,4,0),$H109*VLOOKUP($F109,Lists!$C$72:$R$232,COLUMNS(Lists!$C$69:O$69),0)*VLOOKUP(BO$3,Conversions!$B$12:$E$34,4,0)))</f>
        <v>0</v>
      </c>
      <c r="AL109" s="334">
        <f>IF($F109="",0,IF($F109="Weighted Average",$H109*VLOOKUP($D109&amp;" (Operation)",Lists!$C$72:$R$232,COLUMNS(Lists!$C$69:P$69),0)*VLOOKUP(BP$3,Conversions!$B$12:$E$34,4,0),$H109*VLOOKUP($F109,Lists!$C$72:$R$232,COLUMNS(Lists!$C$69:P$69),0)*VLOOKUP(BP$3,Conversions!$B$12:$E$34,4,0)))</f>
        <v>0</v>
      </c>
      <c r="AM109" s="334">
        <f>IF($F109="",0,IF($F109="Weighted Average",$H109*VLOOKUP($D109&amp;" (Operation)",Lists!$C$72:$R$232,COLUMNS(Lists!$C$69:Q$69),0)*VLOOKUP(BQ$3,Conversions!$B$12:$E$34,4,0),$H109*VLOOKUP($F109,Lists!$C$72:$R$232,COLUMNS(Lists!$C$69:Q$69),0)*VLOOKUP(BQ$3,Conversions!$B$12:$E$34,4,0)))</f>
        <v>0</v>
      </c>
      <c r="AN109" s="334">
        <f>IF($F109="",0,IF($F109="Weighted Average",$H109*VLOOKUP($D109&amp;" (Operation)",Lists!$C$72:$R$232,COLUMNS(Lists!$C$69:R$69),0)*VLOOKUP(BR$3,Conversions!$B$12:$E$34,4,0),$H109*VLOOKUP($F109,Lists!$C$72:$R$232,COLUMNS(Lists!$C$69:R$69),0)*VLOOKUP(BR$3,Conversions!$B$12:$E$34,4,0)))</f>
        <v>0</v>
      </c>
      <c r="AO109" s="330">
        <f t="shared" si="103"/>
        <v>0</v>
      </c>
      <c r="AP109" s="333">
        <f>IF($F109="",0,IF($F109="Weighted Average",$I109*VLOOKUP($D109&amp;" (Disposal)",Lists!$C$72:$R$232,COLUMNS(Lists!$C$69:E$69),0)*VLOOKUP(BE$3,Conversions!$B$12:$E$34,4,0),$I109*VLOOKUP($F109,Lists!$C$72:$R$232,COLUMNS(Lists!$C$69:E$69),0)*VLOOKUP(BE$3,Conversions!$B$12:$E$34,4,0)))</f>
        <v>0</v>
      </c>
      <c r="AQ109" s="333">
        <f>IF($F109="",0,IF($F109="Weighted Average",$I109*VLOOKUP($D109&amp;" (Disposal)",Lists!$C$72:$R$232,COLUMNS(Lists!$C$69:F$69),0)*VLOOKUP(BF$3,Conversions!$B$12:$E$34,4,0),$I109*VLOOKUP($F109,Lists!$C$72:$R$232,COLUMNS(Lists!$C$69:F$69),0)*VLOOKUP(BF$3,Conversions!$B$12:$E$34,4,0)))</f>
        <v>0</v>
      </c>
      <c r="AR109" s="333">
        <f>IF($F109="",0,IF($F109="Weighted Average",$I109*VLOOKUP($D109&amp;" (Disposal)",Lists!$C$72:$R$232,COLUMNS(Lists!$C$69:G$69),0)*VLOOKUP(BG$3,Conversions!$B$12:$E$34,4,0),$I109*VLOOKUP($F109,Lists!$C$72:$R$232,COLUMNS(Lists!$C$69:G$69),0)*VLOOKUP(BG$3,Conversions!$B$12:$E$34,4,0)))</f>
        <v>0</v>
      </c>
      <c r="AS109" s="333">
        <f>IF($F109="",0,IF($F109="Weighted Average",$I109*VLOOKUP($D109&amp;" (Disposal)",Lists!$C$72:$R$232,COLUMNS(Lists!$C$69:H$69),0)*VLOOKUP(BH$3,Conversions!$B$12:$E$34,4,0),$I109*VLOOKUP($F109,Lists!$C$72:$R$232,COLUMNS(Lists!$C$69:H$69),0)*VLOOKUP(BH$3,Conversions!$B$12:$E$34,4,0)))</f>
        <v>0</v>
      </c>
      <c r="AT109" s="333">
        <f>IF($F109="",0,IF($F109="Weighted Average",$I109*VLOOKUP($D109&amp;" (Disposal)",Lists!$C$72:$R$232,COLUMNS(Lists!$C$69:I$69),0)*VLOOKUP(BI$3,Conversions!$B$12:$E$34,4,0),$I109*VLOOKUP($F109,Lists!$C$72:$R$232,COLUMNS(Lists!$C$69:I$69),0)*VLOOKUP(BI$3,Conversions!$B$12:$E$34,4,0)))</f>
        <v>0</v>
      </c>
      <c r="AU109" s="333">
        <f>IF($F109="",0,IF($F109="Weighted Average",$I109*VLOOKUP($D109&amp;" (Disposal)",Lists!$C$72:$R$232,COLUMNS(Lists!$C$69:J$69),0)*VLOOKUP(BJ$3,Conversions!$B$12:$E$34,4,0),$I109*VLOOKUP($F109,Lists!$C$72:$R$232,COLUMNS(Lists!$C$69:J$69),0)*VLOOKUP(BJ$3,Conversions!$B$12:$E$34,4,0)))</f>
        <v>0</v>
      </c>
      <c r="AV109" s="333">
        <f>IF($F109="",0,IF($F109="Weighted Average",$I109*VLOOKUP($D109&amp;" (Disposal)",Lists!$C$72:$R$232,COLUMNS(Lists!$C$69:K$69),0)*VLOOKUP(BK$3,Conversions!$B$12:$E$34,4,0),$I109*VLOOKUP($F109,Lists!$C$72:$R$232,COLUMNS(Lists!$C$69:K$69),0)*VLOOKUP(BK$3,Conversions!$B$12:$E$34,4,0)))</f>
        <v>0</v>
      </c>
      <c r="AW109" s="333">
        <f>IF($F109="",0,IF($F109="Weighted Average",$I109*VLOOKUP($D109&amp;" (Disposal)",Lists!$C$72:$R$232,COLUMNS(Lists!$C$69:L$69),0)*VLOOKUP(BL$3,Conversions!$B$12:$E$34,4,0),$I109*VLOOKUP($F109,Lists!$C$72:$R$232,COLUMNS(Lists!$C$69:L$69),0)*VLOOKUP(BL$3,Conversions!$B$12:$E$34,4,0)))</f>
        <v>0</v>
      </c>
      <c r="AX109" s="333">
        <f>IF($F109="",0,IF($F109="Weighted Average",$I109*VLOOKUP($D109&amp;" (Disposal)",Lists!$C$72:$R$232,COLUMNS(Lists!$C$69:M$69),0)*VLOOKUP(BM$3,Conversions!$B$12:$E$34,4,0),$I109*VLOOKUP($F109,Lists!$C$72:$R$232,COLUMNS(Lists!$C$69:M$69),0)*VLOOKUP(BM$3,Conversions!$B$12:$E$34,4,0)))</f>
        <v>0</v>
      </c>
      <c r="AY109" s="333">
        <f>IF($F109="",0,IF($F109="Weighted Average",$I109*VLOOKUP($D109&amp;" (Disposal)",Lists!$C$72:$R$232,COLUMNS(Lists!$C$69:N$69),0)*VLOOKUP(BN$3,Conversions!$B$12:$E$34,4,0),$I109*VLOOKUP($F109,Lists!$C$72:$R$232,COLUMNS(Lists!$C$69:N$69),0)*VLOOKUP(BN$3,Conversions!$B$12:$E$34,4,0)))</f>
        <v>0</v>
      </c>
      <c r="AZ109" s="333">
        <f>IF($F109="",0,IF($F109="Weighted Average",$I109*VLOOKUP($D109&amp;" (Disposal)",Lists!$C$72:$R$232,COLUMNS(Lists!$C$69:O$69),0)*VLOOKUP(BO$3,Conversions!$B$12:$E$34,4,0),$I109*VLOOKUP($F109,Lists!$C$72:$R$232,COLUMNS(Lists!$C$69:O$69),0)*VLOOKUP(BO$3,Conversions!$B$12:$E$34,4,0)))</f>
        <v>0</v>
      </c>
      <c r="BA109" s="333">
        <f>IF($F109="",0,IF($F109="Weighted Average",$I109*VLOOKUP($D109&amp;" (Disposal)",Lists!$C$72:$R$232,COLUMNS(Lists!$C$69:P$69),0)*VLOOKUP(BP$3,Conversions!$B$12:$E$34,4,0),$I109*VLOOKUP($F109,Lists!$C$72:$R$232,COLUMNS(Lists!$C$69:P$69),0)*VLOOKUP(BP$3,Conversions!$B$12:$E$34,4,0)))</f>
        <v>0</v>
      </c>
      <c r="BB109" s="333">
        <f>IF($F109="",0,IF($F109="Weighted Average",$I109*VLOOKUP($D109&amp;" (Disposal)",Lists!$C$72:$R$232,COLUMNS(Lists!$C$69:Q$69),0)*VLOOKUP(BQ$3,Conversions!$B$12:$E$34,4,0),$I109*VLOOKUP($F109,Lists!$C$72:$R$232,COLUMNS(Lists!$C$69:Q$69),0)*VLOOKUP(BQ$3,Conversions!$B$12:$E$34,4,0)))</f>
        <v>0</v>
      </c>
      <c r="BC109" s="333">
        <f>IF($F109="",0,IF($F109="Weighted Average",$I109*VLOOKUP($D109&amp;" (Disposal)",Lists!$C$72:$R$232,COLUMNS(Lists!$C$69:R$69),0)*VLOOKUP(BR$3,Conversions!$B$12:$E$34,4,0),$I109*VLOOKUP($F109,Lists!$C$72:$R$232,COLUMNS(Lists!$C$69:R$69),0)*VLOOKUP(BR$3,Conversions!$B$12:$E$34,4,0)))</f>
        <v>0</v>
      </c>
      <c r="BD109" s="333">
        <f t="shared" si="104"/>
        <v>0</v>
      </c>
      <c r="BE109" s="330">
        <f t="shared" si="105"/>
        <v>0</v>
      </c>
      <c r="BF109" s="330">
        <f t="shared" si="106"/>
        <v>0</v>
      </c>
      <c r="BG109" s="330">
        <f t="shared" si="107"/>
        <v>0</v>
      </c>
      <c r="BH109" s="330">
        <f t="shared" si="108"/>
        <v>0</v>
      </c>
      <c r="BI109" s="330">
        <f t="shared" si="109"/>
        <v>0</v>
      </c>
      <c r="BJ109" s="330">
        <f t="shared" si="110"/>
        <v>0</v>
      </c>
      <c r="BK109" s="330">
        <f t="shared" si="111"/>
        <v>0</v>
      </c>
      <c r="BL109" s="330">
        <f t="shared" si="112"/>
        <v>0</v>
      </c>
      <c r="BM109" s="330">
        <f t="shared" si="113"/>
        <v>0</v>
      </c>
      <c r="BN109" s="330">
        <f t="shared" si="114"/>
        <v>0</v>
      </c>
      <c r="BO109" s="330">
        <f t="shared" si="115"/>
        <v>0</v>
      </c>
      <c r="BP109" s="330">
        <f t="shared" si="116"/>
        <v>0</v>
      </c>
      <c r="BQ109" s="330">
        <f t="shared" si="117"/>
        <v>0</v>
      </c>
      <c r="BR109" s="330">
        <f t="shared" si="118"/>
        <v>0</v>
      </c>
      <c r="BS109" s="330">
        <f t="shared" si="119"/>
        <v>0</v>
      </c>
      <c r="BT109" s="329">
        <f t="shared" si="134"/>
        <v>0</v>
      </c>
      <c r="BU109" s="329">
        <f t="shared" si="134"/>
        <v>0</v>
      </c>
      <c r="BV109" s="329">
        <f t="shared" si="134"/>
        <v>0</v>
      </c>
      <c r="BW109" s="329">
        <f t="shared" si="134"/>
        <v>0</v>
      </c>
      <c r="BX109" s="329">
        <f t="shared" si="134"/>
        <v>0</v>
      </c>
      <c r="BY109" s="329">
        <f t="shared" si="134"/>
        <v>0</v>
      </c>
      <c r="BZ109" s="329">
        <f t="shared" si="134"/>
        <v>0</v>
      </c>
      <c r="CA109" s="329">
        <f t="shared" si="134"/>
        <v>0</v>
      </c>
      <c r="CB109" s="329">
        <f t="shared" si="134"/>
        <v>0</v>
      </c>
      <c r="CC109" s="329">
        <f t="shared" si="134"/>
        <v>0</v>
      </c>
      <c r="CD109" s="329">
        <f t="shared" si="134"/>
        <v>0</v>
      </c>
      <c r="CE109" s="329">
        <f t="shared" si="134"/>
        <v>0</v>
      </c>
      <c r="CF109" s="329">
        <f t="shared" si="134"/>
        <v>0</v>
      </c>
      <c r="CG109" s="329">
        <f t="shared" si="134"/>
        <v>0</v>
      </c>
      <c r="CH109" s="329">
        <f t="shared" si="134"/>
        <v>0</v>
      </c>
      <c r="CI109" s="329">
        <f t="shared" si="134"/>
        <v>0</v>
      </c>
      <c r="CJ109" s="331">
        <f t="shared" si="121"/>
        <v>0</v>
      </c>
      <c r="CK109" s="330">
        <f t="shared" si="122"/>
        <v>0</v>
      </c>
      <c r="CL109" s="330">
        <f t="shared" si="123"/>
        <v>0</v>
      </c>
      <c r="CM109" s="330">
        <f t="shared" si="124"/>
        <v>0</v>
      </c>
      <c r="CN109" s="330">
        <f t="shared" si="125"/>
        <v>0</v>
      </c>
      <c r="CO109" s="330">
        <f t="shared" si="126"/>
        <v>0</v>
      </c>
      <c r="CP109" s="330">
        <f t="shared" si="127"/>
        <v>0</v>
      </c>
      <c r="CQ109" s="330">
        <f t="shared" si="94"/>
        <v>0</v>
      </c>
      <c r="CR109" s="330">
        <f t="shared" si="128"/>
        <v>0</v>
      </c>
      <c r="CS109" s="330">
        <f t="shared" si="129"/>
        <v>0</v>
      </c>
      <c r="CT109" s="330">
        <f t="shared" si="130"/>
        <v>0</v>
      </c>
      <c r="CU109" s="330">
        <f t="shared" si="135"/>
        <v>0</v>
      </c>
      <c r="CV109" s="330">
        <f t="shared" si="135"/>
        <v>0</v>
      </c>
      <c r="CW109" s="330">
        <f t="shared" si="135"/>
        <v>0</v>
      </c>
      <c r="CX109" s="330">
        <f t="shared" si="135"/>
        <v>0</v>
      </c>
      <c r="CY109" s="330">
        <f t="shared" si="135"/>
        <v>0</v>
      </c>
      <c r="CZ109" s="330">
        <f t="shared" si="135"/>
        <v>0</v>
      </c>
      <c r="DA109" s="330">
        <f t="shared" si="135"/>
        <v>0</v>
      </c>
      <c r="DB109" s="330">
        <f t="shared" si="135"/>
        <v>0</v>
      </c>
      <c r="DC109" s="330">
        <f t="shared" si="135"/>
        <v>0</v>
      </c>
      <c r="DD109" s="330">
        <f t="shared" si="135"/>
        <v>0</v>
      </c>
      <c r="DE109" s="330">
        <f t="shared" si="136"/>
        <v>0</v>
      </c>
      <c r="DF109" s="330">
        <f t="shared" si="136"/>
        <v>0</v>
      </c>
      <c r="DG109" s="330">
        <f t="shared" si="136"/>
        <v>0</v>
      </c>
      <c r="DH109" s="330">
        <f t="shared" si="136"/>
        <v>0</v>
      </c>
      <c r="DI109" s="330">
        <f t="shared" si="136"/>
        <v>0</v>
      </c>
      <c r="DJ109" s="330">
        <f t="shared" si="136"/>
        <v>0</v>
      </c>
      <c r="DK109" s="330">
        <f t="shared" si="136"/>
        <v>0</v>
      </c>
      <c r="DL109" s="330">
        <f t="shared" si="136"/>
        <v>0</v>
      </c>
      <c r="DM109" s="330">
        <f t="shared" si="136"/>
        <v>0</v>
      </c>
      <c r="DN109" s="330">
        <f t="shared" si="136"/>
        <v>0</v>
      </c>
      <c r="DO109" s="330">
        <f t="shared" si="136"/>
        <v>0</v>
      </c>
      <c r="DP109" s="330">
        <f t="shared" si="133"/>
        <v>0</v>
      </c>
      <c r="DQ109" s="217"/>
      <c r="DR109" s="217"/>
      <c r="DS109" s="217"/>
      <c r="DT109" s="217"/>
    </row>
    <row r="110" spans="1:124" x14ac:dyDescent="0.3">
      <c r="A110" s="324"/>
      <c r="B110" s="221" t="s">
        <v>305</v>
      </c>
      <c r="C110" s="221" t="str">
        <f>IF(Screening!C40=0,"",Screening!C40)</f>
        <v/>
      </c>
      <c r="D110" s="221" t="str">
        <f>IF(Screening!D40=0,"",Screening!D40)</f>
        <v/>
      </c>
      <c r="E110" s="221" t="str">
        <f>IF(Screening!E40=0,"",Screening!E40)</f>
        <v/>
      </c>
      <c r="F110" s="221" t="str">
        <f>IF(Screening!F40=0,"",Screening!F40)</f>
        <v/>
      </c>
      <c r="G110" s="272">
        <f>Screening!G40*Screening!O40*Conversions!$C$4</f>
        <v>0</v>
      </c>
      <c r="H110" s="272">
        <f>Screening!H40*Screening!P40*Screening!I40*Conversions!$C$4</f>
        <v>0</v>
      </c>
      <c r="I110" s="272">
        <f>Screening!J40*Screening!Q40*(1-Screening!R40)*Conversions!$C$4</f>
        <v>0</v>
      </c>
      <c r="J110" s="325">
        <f>IF(Screening!S40=0,0,Screening!S40)</f>
        <v>0</v>
      </c>
      <c r="K110" s="465"/>
      <c r="L110" s="333">
        <f>IF($F110="",0,IF($F110="Weighted Average",$G110*VLOOKUP($D110&amp;" (Install)",Lists!$C$72:$R$232,COLUMNS(Lists!$C$69:E$69),0)*VLOOKUP(BE$3,Conversions!$B$12:$E$34,4,0),$G110*VLOOKUP($F110,Lists!$C$72:$R$232,COLUMNS(Lists!$C$69:E$69),0)*VLOOKUP(BE$3,Conversions!$B$12:$E$34,4,0)))</f>
        <v>0</v>
      </c>
      <c r="M110" s="333">
        <f>IF($F110="",0,IF($F110="Weighted Average",$G110*VLOOKUP($D110&amp;" (Install)",Lists!$C$72:$R$232,COLUMNS(Lists!$C$69:F$69),0)*VLOOKUP(BF$3,Conversions!$B$12:$E$34,4,0),$G110*VLOOKUP($F110,Lists!$C$72:$R$232,COLUMNS(Lists!$C$69:F$69),0)*VLOOKUP(BF$3,Conversions!$B$12:$E$34,4,0)))</f>
        <v>0</v>
      </c>
      <c r="N110" s="333">
        <f>IF($F110="",0,IF($F110="Weighted Average",$G110*VLOOKUP($D110&amp;" (Install)",Lists!$C$72:$R$232,COLUMNS(Lists!$C$69:G$69),0)*VLOOKUP(BG$3,Conversions!$B$12:$E$34,4,0),$G110*VLOOKUP($F110,Lists!$C$72:$R$232,COLUMNS(Lists!$C$69:G$69),0)*VLOOKUP(BG$3,Conversions!$B$12:$E$34,4,0)))</f>
        <v>0</v>
      </c>
      <c r="O110" s="333">
        <f>IF($F110="",0,IF($F110="Weighted Average",$G110*VLOOKUP($D110&amp;" (Install)",Lists!$C$72:$R$232,COLUMNS(Lists!$C$69:H$69),0)*VLOOKUP(BH$3,Conversions!$B$12:$E$34,4,0),$G110*VLOOKUP($F110,Lists!$C$72:$R$232,COLUMNS(Lists!$C$69:H$69),0)*VLOOKUP(BH$3,Conversions!$B$12:$E$34,4,0)))</f>
        <v>0</v>
      </c>
      <c r="P110" s="333">
        <f>IF($F110="",0,IF($F110="Weighted Average",$G110*VLOOKUP($D110&amp;" (Install)",Lists!$C$72:$R$232,COLUMNS(Lists!$C$69:I$69),0)*VLOOKUP(BI$3,Conversions!$B$12:$E$34,4,0),$G110*VLOOKUP($F110,Lists!$C$72:$R$232,COLUMNS(Lists!$C$69:I$69),0)*VLOOKUP(BI$3,Conversions!$B$12:$E$34,4,0)))</f>
        <v>0</v>
      </c>
      <c r="Q110" s="333">
        <f>IF($F110="",0,IF($F110="Weighted Average",$G110*VLOOKUP($D110&amp;" (Install)",Lists!$C$72:$R$232,COLUMNS(Lists!$C$69:J$69),0)*VLOOKUP(BJ$3,Conversions!$B$12:$E$34,4,0),$G110*VLOOKUP($F110,Lists!$C$72:$R$232,COLUMNS(Lists!$C$69:J$69),0)*VLOOKUP(BJ$3,Conversions!$B$12:$E$34,4,0)))</f>
        <v>0</v>
      </c>
      <c r="R110" s="333">
        <f>IF($F110="",0,IF($F110="Weighted Average",$G110*VLOOKUP($D110&amp;" (Install)",Lists!$C$72:$R$232,COLUMNS(Lists!$C$69:K$69),0)*VLOOKUP(BK$3,Conversions!$B$12:$E$34,4,0),$G110*VLOOKUP($F110,Lists!$C$72:$R$232,COLUMNS(Lists!$C$69:K$69),0)*VLOOKUP(BK$3,Conversions!$B$12:$E$34,4,0)))</f>
        <v>0</v>
      </c>
      <c r="S110" s="333">
        <f>IF($F110="",0,IF($F110="Weighted Average",$G110*VLOOKUP($D110&amp;" (Install)",Lists!$C$72:$R$232,COLUMNS(Lists!$C$69:L$69),0)*VLOOKUP(BL$3,Conversions!$B$12:$E$34,4,0),$G110*VLOOKUP($F110,Lists!$C$72:$R$232,COLUMNS(Lists!$C$69:L$69),0)*VLOOKUP(BL$3,Conversions!$B$12:$E$34,4,0)))</f>
        <v>0</v>
      </c>
      <c r="T110" s="333">
        <f>IF($F110="",0,IF($F110="Weighted Average",$G110*VLOOKUP($D110&amp;" (Install)",Lists!$C$72:$R$232,COLUMNS(Lists!$C$69:M$69),0)*VLOOKUP(BM$3,Conversions!$B$12:$E$34,4,0),$G110*VLOOKUP($F110,Lists!$C$72:$R$232,COLUMNS(Lists!$C$69:M$69),0)*VLOOKUP(BM$3,Conversions!$B$12:$E$34,4,0)))</f>
        <v>0</v>
      </c>
      <c r="U110" s="333">
        <f>IF($F110="",0,IF($F110="Weighted Average",$G110*VLOOKUP($D110&amp;" (Install)",Lists!$C$72:$R$232,COLUMNS(Lists!$C$69:N$69),0)*VLOOKUP(BN$3,Conversions!$B$12:$E$34,4,0),$G110*VLOOKUP($F110,Lists!$C$72:$R$232,COLUMNS(Lists!$C$69:N$69),0)*VLOOKUP(BN$3,Conversions!$B$12:$E$34,4,0)))</f>
        <v>0</v>
      </c>
      <c r="V110" s="333">
        <f>IF($F110="",0,IF($F110="Weighted Average",$G110*VLOOKUP($D110&amp;" (Install)",Lists!$C$72:$R$232,COLUMNS(Lists!$C$69:O$69),0)*VLOOKUP(BO$3,Conversions!$B$12:$E$34,4,0),$G110*VLOOKUP($F110,Lists!$C$72:$R$232,COLUMNS(Lists!$C$69:O$69),0)*VLOOKUP(BO$3,Conversions!$B$12:$E$34,4,0)))</f>
        <v>0</v>
      </c>
      <c r="W110" s="333">
        <f>IF($F110="",0,IF($F110="Weighted Average",$G110*VLOOKUP($D110&amp;" (Install)",Lists!$C$72:$R$232,COLUMNS(Lists!$C$69:P$69),0)*VLOOKUP(BP$3,Conversions!$B$12:$E$34,4,0),$G110*VLOOKUP($F110,Lists!$C$72:$R$232,COLUMNS(Lists!$C$69:P$69),0)*VLOOKUP(BP$3,Conversions!$B$12:$E$34,4,0)))</f>
        <v>0</v>
      </c>
      <c r="X110" s="333">
        <f>IF($F110="",0,IF($F110="Weighted Average",$G110*VLOOKUP($D110&amp;" (Install)",Lists!$C$72:$R$232,COLUMNS(Lists!$C$69:Q$69),0)*VLOOKUP(BQ$3,Conversions!$B$12:$E$34,4,0),$G110*VLOOKUP($F110,Lists!$C$72:$R$232,COLUMNS(Lists!$C$69:Q$69),0)*VLOOKUP(BQ$3,Conversions!$B$12:$E$34,4,0)))</f>
        <v>0</v>
      </c>
      <c r="Y110" s="333">
        <f>IF($F110="",0,IF($F110="Weighted Average",$G110*VLOOKUP($D110&amp;" (Install)",Lists!$C$72:$R$232,COLUMNS(Lists!$C$69:R$69),0)*VLOOKUP(BR$3,Conversions!$B$12:$E$34,4,0),$G110*VLOOKUP($F110,Lists!$C$72:$R$232,COLUMNS(Lists!$C$69:R$69),0)*VLOOKUP(BR$3,Conversions!$B$12:$E$34,4,0)))</f>
        <v>0</v>
      </c>
      <c r="Z110" s="325">
        <f t="shared" si="102"/>
        <v>0</v>
      </c>
      <c r="AA110" s="334">
        <f>IF($F110="",0,IF($F110="Weighted Average",$H110*VLOOKUP($D110&amp;" (Operation)",Lists!$C$72:$R$232,COLUMNS(Lists!$C$69:E$69),0)*VLOOKUP(BE$3,Conversions!$B$12:$E$34,4,0),$H110*VLOOKUP($F110,Lists!$C$72:$R$232,COLUMNS(Lists!$C$69:E$69),0)*VLOOKUP(BE$3,Conversions!$B$12:$E$34,4,0)))</f>
        <v>0</v>
      </c>
      <c r="AB110" s="334">
        <f>IF($F110="",0,IF($F110="Weighted Average",$H110*VLOOKUP($D110&amp;" (Operation)",Lists!$C$72:$R$232,COLUMNS(Lists!$C$69:F$69),0)*VLOOKUP(BF$3,Conversions!$B$12:$E$34,4,0),$H110*VLOOKUP($F110,Lists!$C$72:$R$232,COLUMNS(Lists!$C$69:F$69),0)*VLOOKUP(BF$3,Conversions!$B$12:$E$34,4,0)))</f>
        <v>0</v>
      </c>
      <c r="AC110" s="334">
        <f>IF($F110="",0,IF($F110="Weighted Average",$H110*VLOOKUP($D110&amp;" (Operation)",Lists!$C$72:$R$232,COLUMNS(Lists!$C$69:G$69),0)*VLOOKUP(BG$3,Conversions!$B$12:$E$34,4,0),$H110*VLOOKUP($F110,Lists!$C$72:$R$232,COLUMNS(Lists!$C$69:G$69),0)*VLOOKUP(BG$3,Conversions!$B$12:$E$34,4,0)))</f>
        <v>0</v>
      </c>
      <c r="AD110" s="334">
        <f>IF($F110="",0,IF($F110="Weighted Average",$H110*VLOOKUP($D110&amp;" (Operation)",Lists!$C$72:$R$232,COLUMNS(Lists!$C$69:H$69),0)*VLOOKUP(BH$3,Conversions!$B$12:$E$34,4,0),$H110*VLOOKUP($F110,Lists!$C$72:$R$232,COLUMNS(Lists!$C$69:H$69),0)*VLOOKUP(BH$3,Conversions!$B$12:$E$34,4,0)))</f>
        <v>0</v>
      </c>
      <c r="AE110" s="334">
        <f>IF($F110="",0,IF($F110="Weighted Average",$H110*VLOOKUP($D110&amp;" (Operation)",Lists!$C$72:$R$232,COLUMNS(Lists!$C$69:I$69),0)*VLOOKUP(BI$3,Conversions!$B$12:$E$34,4,0),$H110*VLOOKUP($F110,Lists!$C$72:$R$232,COLUMNS(Lists!$C$69:I$69),0)*VLOOKUP(BI$3,Conversions!$B$12:$E$34,4,0)))</f>
        <v>0</v>
      </c>
      <c r="AF110" s="334">
        <f>IF($F110="",0,IF($F110="Weighted Average",$H110*VLOOKUP($D110&amp;" (Operation)",Lists!$C$72:$R$232,COLUMNS(Lists!$C$69:J$69),0)*VLOOKUP(BJ$3,Conversions!$B$12:$E$34,4,0),$H110*VLOOKUP($F110,Lists!$C$72:$R$232,COLUMNS(Lists!$C$69:J$69),0)*VLOOKUP(BJ$3,Conversions!$B$12:$E$34,4,0)))</f>
        <v>0</v>
      </c>
      <c r="AG110" s="334">
        <f>IF($F110="",0,IF($F110="Weighted Average",$H110*VLOOKUP($D110&amp;" (Operation)",Lists!$C$72:$R$232,COLUMNS(Lists!$C$69:K$69),0)*VLOOKUP(BK$3,Conversions!$B$12:$E$34,4,0),$H110*VLOOKUP($F110,Lists!$C$72:$R$232,COLUMNS(Lists!$C$69:K$69),0)*VLOOKUP(BK$3,Conversions!$B$12:$E$34,4,0)))</f>
        <v>0</v>
      </c>
      <c r="AH110" s="334">
        <f>IF($F110="",0,IF($F110="Weighted Average",$H110*VLOOKUP($D110&amp;" (Operation)",Lists!$C$72:$R$232,COLUMNS(Lists!$C$69:L$69),0)*VLOOKUP(BL$3,Conversions!$B$12:$E$34,4,0),$H110*VLOOKUP($F110,Lists!$C$72:$R$232,COLUMNS(Lists!$C$69:L$69),0)*VLOOKUP(BL$3,Conversions!$B$12:$E$34,4,0)))</f>
        <v>0</v>
      </c>
      <c r="AI110" s="334">
        <f>IF($F110="",0,IF($F110="Weighted Average",$H110*VLOOKUP($D110&amp;" (Operation)",Lists!$C$72:$R$232,COLUMNS(Lists!$C$69:M$69),0)*VLOOKUP(BM$3,Conversions!$B$12:$E$34,4,0),$H110*VLOOKUP($F110,Lists!$C$72:$R$232,COLUMNS(Lists!$C$69:M$69),0)*VLOOKUP(BM$3,Conversions!$B$12:$E$34,4,0)))</f>
        <v>0</v>
      </c>
      <c r="AJ110" s="334">
        <f>IF($F110="",0,IF($F110="Weighted Average",$H110*VLOOKUP($D110&amp;" (Operation)",Lists!$C$72:$R$232,COLUMNS(Lists!$C$69:N$69),0)*VLOOKUP(BN$3,Conversions!$B$12:$E$34,4,0),$H110*VLOOKUP($F110,Lists!$C$72:$R$232,COLUMNS(Lists!$C$69:N$69),0)*VLOOKUP(BN$3,Conversions!$B$12:$E$34,4,0)))</f>
        <v>0</v>
      </c>
      <c r="AK110" s="334">
        <f>IF($F110="",0,IF($F110="Weighted Average",$H110*VLOOKUP($D110&amp;" (Operation)",Lists!$C$72:$R$232,COLUMNS(Lists!$C$69:O$69),0)*VLOOKUP(BO$3,Conversions!$B$12:$E$34,4,0),$H110*VLOOKUP($F110,Lists!$C$72:$R$232,COLUMNS(Lists!$C$69:O$69),0)*VLOOKUP(BO$3,Conversions!$B$12:$E$34,4,0)))</f>
        <v>0</v>
      </c>
      <c r="AL110" s="334">
        <f>IF($F110="",0,IF($F110="Weighted Average",$H110*VLOOKUP($D110&amp;" (Operation)",Lists!$C$72:$R$232,COLUMNS(Lists!$C$69:P$69),0)*VLOOKUP(BP$3,Conversions!$B$12:$E$34,4,0),$H110*VLOOKUP($F110,Lists!$C$72:$R$232,COLUMNS(Lists!$C$69:P$69),0)*VLOOKUP(BP$3,Conversions!$B$12:$E$34,4,0)))</f>
        <v>0</v>
      </c>
      <c r="AM110" s="334">
        <f>IF($F110="",0,IF($F110="Weighted Average",$H110*VLOOKUP($D110&amp;" (Operation)",Lists!$C$72:$R$232,COLUMNS(Lists!$C$69:Q$69),0)*VLOOKUP(BQ$3,Conversions!$B$12:$E$34,4,0),$H110*VLOOKUP($F110,Lists!$C$72:$R$232,COLUMNS(Lists!$C$69:Q$69),0)*VLOOKUP(BQ$3,Conversions!$B$12:$E$34,4,0)))</f>
        <v>0</v>
      </c>
      <c r="AN110" s="334">
        <f>IF($F110="",0,IF($F110="Weighted Average",$H110*VLOOKUP($D110&amp;" (Operation)",Lists!$C$72:$R$232,COLUMNS(Lists!$C$69:R$69),0)*VLOOKUP(BR$3,Conversions!$B$12:$E$34,4,0),$H110*VLOOKUP($F110,Lists!$C$72:$R$232,COLUMNS(Lists!$C$69:R$69),0)*VLOOKUP(BR$3,Conversions!$B$12:$E$34,4,0)))</f>
        <v>0</v>
      </c>
      <c r="AO110" s="330">
        <f t="shared" si="103"/>
        <v>0</v>
      </c>
      <c r="AP110" s="333">
        <f>IF($F110="",0,IF($F110="Weighted Average",$I110*VLOOKUP($D110&amp;" (Disposal)",Lists!$C$72:$R$232,COLUMNS(Lists!$C$69:E$69),0)*VLOOKUP(BE$3,Conversions!$B$12:$E$34,4,0),$I110*VLOOKUP($F110,Lists!$C$72:$R$232,COLUMNS(Lists!$C$69:E$69),0)*VLOOKUP(BE$3,Conversions!$B$12:$E$34,4,0)))</f>
        <v>0</v>
      </c>
      <c r="AQ110" s="333">
        <f>IF($F110="",0,IF($F110="Weighted Average",$I110*VLOOKUP($D110&amp;" (Disposal)",Lists!$C$72:$R$232,COLUMNS(Lists!$C$69:F$69),0)*VLOOKUP(BF$3,Conversions!$B$12:$E$34,4,0),$I110*VLOOKUP($F110,Lists!$C$72:$R$232,COLUMNS(Lists!$C$69:F$69),0)*VLOOKUP(BF$3,Conversions!$B$12:$E$34,4,0)))</f>
        <v>0</v>
      </c>
      <c r="AR110" s="333">
        <f>IF($F110="",0,IF($F110="Weighted Average",$I110*VLOOKUP($D110&amp;" (Disposal)",Lists!$C$72:$R$232,COLUMNS(Lists!$C$69:G$69),0)*VLOOKUP(BG$3,Conversions!$B$12:$E$34,4,0),$I110*VLOOKUP($F110,Lists!$C$72:$R$232,COLUMNS(Lists!$C$69:G$69),0)*VLOOKUP(BG$3,Conversions!$B$12:$E$34,4,0)))</f>
        <v>0</v>
      </c>
      <c r="AS110" s="333">
        <f>IF($F110="",0,IF($F110="Weighted Average",$I110*VLOOKUP($D110&amp;" (Disposal)",Lists!$C$72:$R$232,COLUMNS(Lists!$C$69:H$69),0)*VLOOKUP(BH$3,Conversions!$B$12:$E$34,4,0),$I110*VLOOKUP($F110,Lists!$C$72:$R$232,COLUMNS(Lists!$C$69:H$69),0)*VLOOKUP(BH$3,Conversions!$B$12:$E$34,4,0)))</f>
        <v>0</v>
      </c>
      <c r="AT110" s="333">
        <f>IF($F110="",0,IF($F110="Weighted Average",$I110*VLOOKUP($D110&amp;" (Disposal)",Lists!$C$72:$R$232,COLUMNS(Lists!$C$69:I$69),0)*VLOOKUP(BI$3,Conversions!$B$12:$E$34,4,0),$I110*VLOOKUP($F110,Lists!$C$72:$R$232,COLUMNS(Lists!$C$69:I$69),0)*VLOOKUP(BI$3,Conversions!$B$12:$E$34,4,0)))</f>
        <v>0</v>
      </c>
      <c r="AU110" s="333">
        <f>IF($F110="",0,IF($F110="Weighted Average",$I110*VLOOKUP($D110&amp;" (Disposal)",Lists!$C$72:$R$232,COLUMNS(Lists!$C$69:J$69),0)*VLOOKUP(BJ$3,Conversions!$B$12:$E$34,4,0),$I110*VLOOKUP($F110,Lists!$C$72:$R$232,COLUMNS(Lists!$C$69:J$69),0)*VLOOKUP(BJ$3,Conversions!$B$12:$E$34,4,0)))</f>
        <v>0</v>
      </c>
      <c r="AV110" s="333">
        <f>IF($F110="",0,IF($F110="Weighted Average",$I110*VLOOKUP($D110&amp;" (Disposal)",Lists!$C$72:$R$232,COLUMNS(Lists!$C$69:K$69),0)*VLOOKUP(BK$3,Conversions!$B$12:$E$34,4,0),$I110*VLOOKUP($F110,Lists!$C$72:$R$232,COLUMNS(Lists!$C$69:K$69),0)*VLOOKUP(BK$3,Conversions!$B$12:$E$34,4,0)))</f>
        <v>0</v>
      </c>
      <c r="AW110" s="333">
        <f>IF($F110="",0,IF($F110="Weighted Average",$I110*VLOOKUP($D110&amp;" (Disposal)",Lists!$C$72:$R$232,COLUMNS(Lists!$C$69:L$69),0)*VLOOKUP(BL$3,Conversions!$B$12:$E$34,4,0),$I110*VLOOKUP($F110,Lists!$C$72:$R$232,COLUMNS(Lists!$C$69:L$69),0)*VLOOKUP(BL$3,Conversions!$B$12:$E$34,4,0)))</f>
        <v>0</v>
      </c>
      <c r="AX110" s="333">
        <f>IF($F110="",0,IF($F110="Weighted Average",$I110*VLOOKUP($D110&amp;" (Disposal)",Lists!$C$72:$R$232,COLUMNS(Lists!$C$69:M$69),0)*VLOOKUP(BM$3,Conversions!$B$12:$E$34,4,0),$I110*VLOOKUP($F110,Lists!$C$72:$R$232,COLUMNS(Lists!$C$69:M$69),0)*VLOOKUP(BM$3,Conversions!$B$12:$E$34,4,0)))</f>
        <v>0</v>
      </c>
      <c r="AY110" s="333">
        <f>IF($F110="",0,IF($F110="Weighted Average",$I110*VLOOKUP($D110&amp;" (Disposal)",Lists!$C$72:$R$232,COLUMNS(Lists!$C$69:N$69),0)*VLOOKUP(BN$3,Conversions!$B$12:$E$34,4,0),$I110*VLOOKUP($F110,Lists!$C$72:$R$232,COLUMNS(Lists!$C$69:N$69),0)*VLOOKUP(BN$3,Conversions!$B$12:$E$34,4,0)))</f>
        <v>0</v>
      </c>
      <c r="AZ110" s="333">
        <f>IF($F110="",0,IF($F110="Weighted Average",$I110*VLOOKUP($D110&amp;" (Disposal)",Lists!$C$72:$R$232,COLUMNS(Lists!$C$69:O$69),0)*VLOOKUP(BO$3,Conversions!$B$12:$E$34,4,0),$I110*VLOOKUP($F110,Lists!$C$72:$R$232,COLUMNS(Lists!$C$69:O$69),0)*VLOOKUP(BO$3,Conversions!$B$12:$E$34,4,0)))</f>
        <v>0</v>
      </c>
      <c r="BA110" s="333">
        <f>IF($F110="",0,IF($F110="Weighted Average",$I110*VLOOKUP($D110&amp;" (Disposal)",Lists!$C$72:$R$232,COLUMNS(Lists!$C$69:P$69),0)*VLOOKUP(BP$3,Conversions!$B$12:$E$34,4,0),$I110*VLOOKUP($F110,Lists!$C$72:$R$232,COLUMNS(Lists!$C$69:P$69),0)*VLOOKUP(BP$3,Conversions!$B$12:$E$34,4,0)))</f>
        <v>0</v>
      </c>
      <c r="BB110" s="333">
        <f>IF($F110="",0,IF($F110="Weighted Average",$I110*VLOOKUP($D110&amp;" (Disposal)",Lists!$C$72:$R$232,COLUMNS(Lists!$C$69:Q$69),0)*VLOOKUP(BQ$3,Conversions!$B$12:$E$34,4,0),$I110*VLOOKUP($F110,Lists!$C$72:$R$232,COLUMNS(Lists!$C$69:Q$69),0)*VLOOKUP(BQ$3,Conversions!$B$12:$E$34,4,0)))</f>
        <v>0</v>
      </c>
      <c r="BC110" s="333">
        <f>IF($F110="",0,IF($F110="Weighted Average",$I110*VLOOKUP($D110&amp;" (Disposal)",Lists!$C$72:$R$232,COLUMNS(Lists!$C$69:R$69),0)*VLOOKUP(BR$3,Conversions!$B$12:$E$34,4,0),$I110*VLOOKUP($F110,Lists!$C$72:$R$232,COLUMNS(Lists!$C$69:R$69),0)*VLOOKUP(BR$3,Conversions!$B$12:$E$34,4,0)))</f>
        <v>0</v>
      </c>
      <c r="BD110" s="333">
        <f t="shared" si="104"/>
        <v>0</v>
      </c>
      <c r="BE110" s="330">
        <f t="shared" si="105"/>
        <v>0</v>
      </c>
      <c r="BF110" s="330">
        <f t="shared" si="106"/>
        <v>0</v>
      </c>
      <c r="BG110" s="330">
        <f t="shared" si="107"/>
        <v>0</v>
      </c>
      <c r="BH110" s="330">
        <f t="shared" si="108"/>
        <v>0</v>
      </c>
      <c r="BI110" s="330">
        <f t="shared" si="109"/>
        <v>0</v>
      </c>
      <c r="BJ110" s="330">
        <f t="shared" si="110"/>
        <v>0</v>
      </c>
      <c r="BK110" s="330">
        <f t="shared" si="111"/>
        <v>0</v>
      </c>
      <c r="BL110" s="330">
        <f t="shared" si="112"/>
        <v>0</v>
      </c>
      <c r="BM110" s="330">
        <f t="shared" si="113"/>
        <v>0</v>
      </c>
      <c r="BN110" s="330">
        <f t="shared" si="114"/>
        <v>0</v>
      </c>
      <c r="BO110" s="330">
        <f t="shared" si="115"/>
        <v>0</v>
      </c>
      <c r="BP110" s="330">
        <f t="shared" si="116"/>
        <v>0</v>
      </c>
      <c r="BQ110" s="330">
        <f t="shared" si="117"/>
        <v>0</v>
      </c>
      <c r="BR110" s="330">
        <f t="shared" si="118"/>
        <v>0</v>
      </c>
      <c r="BS110" s="330">
        <f t="shared" si="119"/>
        <v>0</v>
      </c>
      <c r="BT110" s="329">
        <f t="shared" si="134"/>
        <v>0</v>
      </c>
      <c r="BU110" s="329">
        <f t="shared" si="134"/>
        <v>0</v>
      </c>
      <c r="BV110" s="329">
        <f t="shared" si="134"/>
        <v>0</v>
      </c>
      <c r="BW110" s="329">
        <f t="shared" si="134"/>
        <v>0</v>
      </c>
      <c r="BX110" s="329">
        <f t="shared" si="134"/>
        <v>0</v>
      </c>
      <c r="BY110" s="329">
        <f t="shared" si="134"/>
        <v>0</v>
      </c>
      <c r="BZ110" s="329">
        <f t="shared" si="134"/>
        <v>0</v>
      </c>
      <c r="CA110" s="329">
        <f t="shared" si="134"/>
        <v>0</v>
      </c>
      <c r="CB110" s="329">
        <f t="shared" si="134"/>
        <v>0</v>
      </c>
      <c r="CC110" s="329">
        <f t="shared" si="134"/>
        <v>0</v>
      </c>
      <c r="CD110" s="329">
        <f t="shared" si="134"/>
        <v>0</v>
      </c>
      <c r="CE110" s="329">
        <f t="shared" si="134"/>
        <v>0</v>
      </c>
      <c r="CF110" s="329">
        <f t="shared" si="134"/>
        <v>0</v>
      </c>
      <c r="CG110" s="329">
        <f t="shared" si="134"/>
        <v>0</v>
      </c>
      <c r="CH110" s="329">
        <f t="shared" si="134"/>
        <v>0</v>
      </c>
      <c r="CI110" s="329">
        <f t="shared" si="134"/>
        <v>0</v>
      </c>
      <c r="CJ110" s="331">
        <f t="shared" si="121"/>
        <v>0</v>
      </c>
      <c r="CK110" s="330">
        <f t="shared" si="122"/>
        <v>0</v>
      </c>
      <c r="CL110" s="330">
        <f t="shared" si="123"/>
        <v>0</v>
      </c>
      <c r="CM110" s="330">
        <f t="shared" si="124"/>
        <v>0</v>
      </c>
      <c r="CN110" s="330">
        <f t="shared" si="125"/>
        <v>0</v>
      </c>
      <c r="CO110" s="330">
        <f t="shared" si="126"/>
        <v>0</v>
      </c>
      <c r="CP110" s="330">
        <f t="shared" si="127"/>
        <v>0</v>
      </c>
      <c r="CQ110" s="330">
        <f t="shared" si="94"/>
        <v>0</v>
      </c>
      <c r="CR110" s="330">
        <f t="shared" si="128"/>
        <v>0</v>
      </c>
      <c r="CS110" s="330">
        <f t="shared" si="129"/>
        <v>0</v>
      </c>
      <c r="CT110" s="330">
        <f t="shared" si="130"/>
        <v>0</v>
      </c>
      <c r="CU110" s="330">
        <f t="shared" si="135"/>
        <v>0</v>
      </c>
      <c r="CV110" s="330">
        <f t="shared" si="135"/>
        <v>0</v>
      </c>
      <c r="CW110" s="330">
        <f t="shared" si="135"/>
        <v>0</v>
      </c>
      <c r="CX110" s="330">
        <f t="shared" si="135"/>
        <v>0</v>
      </c>
      <c r="CY110" s="330">
        <f t="shared" si="135"/>
        <v>0</v>
      </c>
      <c r="CZ110" s="330">
        <f t="shared" si="135"/>
        <v>0</v>
      </c>
      <c r="DA110" s="330">
        <f t="shared" si="135"/>
        <v>0</v>
      </c>
      <c r="DB110" s="330">
        <f t="shared" si="135"/>
        <v>0</v>
      </c>
      <c r="DC110" s="330">
        <f t="shared" si="135"/>
        <v>0</v>
      </c>
      <c r="DD110" s="330">
        <f t="shared" si="135"/>
        <v>0</v>
      </c>
      <c r="DE110" s="330">
        <f t="shared" si="136"/>
        <v>0</v>
      </c>
      <c r="DF110" s="330">
        <f t="shared" si="136"/>
        <v>0</v>
      </c>
      <c r="DG110" s="330">
        <f t="shared" si="136"/>
        <v>0</v>
      </c>
      <c r="DH110" s="330">
        <f t="shared" si="136"/>
        <v>0</v>
      </c>
      <c r="DI110" s="330">
        <f t="shared" si="136"/>
        <v>0</v>
      </c>
      <c r="DJ110" s="330">
        <f t="shared" si="136"/>
        <v>0</v>
      </c>
      <c r="DK110" s="330">
        <f t="shared" si="136"/>
        <v>0</v>
      </c>
      <c r="DL110" s="330">
        <f t="shared" si="136"/>
        <v>0</v>
      </c>
      <c r="DM110" s="330">
        <f t="shared" si="136"/>
        <v>0</v>
      </c>
      <c r="DN110" s="330">
        <f t="shared" si="136"/>
        <v>0</v>
      </c>
      <c r="DO110" s="330">
        <f t="shared" si="136"/>
        <v>0</v>
      </c>
      <c r="DP110" s="330">
        <f t="shared" si="133"/>
        <v>0</v>
      </c>
      <c r="DQ110" s="217"/>
      <c r="DR110" s="217"/>
      <c r="DS110" s="217"/>
      <c r="DT110" s="217"/>
    </row>
    <row r="111" spans="1:124" x14ac:dyDescent="0.3">
      <c r="A111" s="324"/>
      <c r="B111" s="221" t="s">
        <v>305</v>
      </c>
      <c r="C111" s="221" t="str">
        <f>IF(Screening!C41=0,"",Screening!C41)</f>
        <v/>
      </c>
      <c r="D111" s="221" t="str">
        <f>IF(Screening!D41=0,"",Screening!D41)</f>
        <v/>
      </c>
      <c r="E111" s="221" t="str">
        <f>IF(Screening!E41=0,"",Screening!E41)</f>
        <v/>
      </c>
      <c r="F111" s="221" t="str">
        <f>IF(Screening!F41=0,"",Screening!F41)</f>
        <v/>
      </c>
      <c r="G111" s="272">
        <f>Screening!G41*Screening!O41*Conversions!$C$4</f>
        <v>0</v>
      </c>
      <c r="H111" s="272">
        <f>Screening!H41*Screening!P41*Screening!I41*Conversions!$C$4</f>
        <v>0</v>
      </c>
      <c r="I111" s="272">
        <f>Screening!J41*Screening!Q41*(1-Screening!R41)*Conversions!$C$4</f>
        <v>0</v>
      </c>
      <c r="J111" s="325">
        <f>IF(Screening!S41=0,0,Screening!S41)</f>
        <v>0</v>
      </c>
      <c r="K111" s="465"/>
      <c r="L111" s="333">
        <f>IF($F111="",0,IF($F111="Weighted Average",$G111*VLOOKUP($D111&amp;" (Install)",Lists!$C$72:$R$232,COLUMNS(Lists!$C$69:E$69),0)*VLOOKUP(BE$3,Conversions!$B$12:$E$34,4,0),$G111*VLOOKUP($F111,Lists!$C$72:$R$232,COLUMNS(Lists!$C$69:E$69),0)*VLOOKUP(BE$3,Conversions!$B$12:$E$34,4,0)))</f>
        <v>0</v>
      </c>
      <c r="M111" s="333">
        <f>IF($F111="",0,IF($F111="Weighted Average",$G111*VLOOKUP($D111&amp;" (Install)",Lists!$C$72:$R$232,COLUMNS(Lists!$C$69:F$69),0)*VLOOKUP(BF$3,Conversions!$B$12:$E$34,4,0),$G111*VLOOKUP($F111,Lists!$C$72:$R$232,COLUMNS(Lists!$C$69:F$69),0)*VLOOKUP(BF$3,Conversions!$B$12:$E$34,4,0)))</f>
        <v>0</v>
      </c>
      <c r="N111" s="333">
        <f>IF($F111="",0,IF($F111="Weighted Average",$G111*VLOOKUP($D111&amp;" (Install)",Lists!$C$72:$R$232,COLUMNS(Lists!$C$69:G$69),0)*VLOOKUP(BG$3,Conversions!$B$12:$E$34,4,0),$G111*VLOOKUP($F111,Lists!$C$72:$R$232,COLUMNS(Lists!$C$69:G$69),0)*VLOOKUP(BG$3,Conversions!$B$12:$E$34,4,0)))</f>
        <v>0</v>
      </c>
      <c r="O111" s="333">
        <f>IF($F111="",0,IF($F111="Weighted Average",$G111*VLOOKUP($D111&amp;" (Install)",Lists!$C$72:$R$232,COLUMNS(Lists!$C$69:H$69),0)*VLOOKUP(BH$3,Conversions!$B$12:$E$34,4,0),$G111*VLOOKUP($F111,Lists!$C$72:$R$232,COLUMNS(Lists!$C$69:H$69),0)*VLOOKUP(BH$3,Conversions!$B$12:$E$34,4,0)))</f>
        <v>0</v>
      </c>
      <c r="P111" s="333">
        <f>IF($F111="",0,IF($F111="Weighted Average",$G111*VLOOKUP($D111&amp;" (Install)",Lists!$C$72:$R$232,COLUMNS(Lists!$C$69:I$69),0)*VLOOKUP(BI$3,Conversions!$B$12:$E$34,4,0),$G111*VLOOKUP($F111,Lists!$C$72:$R$232,COLUMNS(Lists!$C$69:I$69),0)*VLOOKUP(BI$3,Conversions!$B$12:$E$34,4,0)))</f>
        <v>0</v>
      </c>
      <c r="Q111" s="333">
        <f>IF($F111="",0,IF($F111="Weighted Average",$G111*VLOOKUP($D111&amp;" (Install)",Lists!$C$72:$R$232,COLUMNS(Lists!$C$69:J$69),0)*VLOOKUP(BJ$3,Conversions!$B$12:$E$34,4,0),$G111*VLOOKUP($F111,Lists!$C$72:$R$232,COLUMNS(Lists!$C$69:J$69),0)*VLOOKUP(BJ$3,Conversions!$B$12:$E$34,4,0)))</f>
        <v>0</v>
      </c>
      <c r="R111" s="333">
        <f>IF($F111="",0,IF($F111="Weighted Average",$G111*VLOOKUP($D111&amp;" (Install)",Lists!$C$72:$R$232,COLUMNS(Lists!$C$69:K$69),0)*VLOOKUP(BK$3,Conversions!$B$12:$E$34,4,0),$G111*VLOOKUP($F111,Lists!$C$72:$R$232,COLUMNS(Lists!$C$69:K$69),0)*VLOOKUP(BK$3,Conversions!$B$12:$E$34,4,0)))</f>
        <v>0</v>
      </c>
      <c r="S111" s="333">
        <f>IF($F111="",0,IF($F111="Weighted Average",$G111*VLOOKUP($D111&amp;" (Install)",Lists!$C$72:$R$232,COLUMNS(Lists!$C$69:L$69),0)*VLOOKUP(BL$3,Conversions!$B$12:$E$34,4,0),$G111*VLOOKUP($F111,Lists!$C$72:$R$232,COLUMNS(Lists!$C$69:L$69),0)*VLOOKUP(BL$3,Conversions!$B$12:$E$34,4,0)))</f>
        <v>0</v>
      </c>
      <c r="T111" s="333">
        <f>IF($F111="",0,IF($F111="Weighted Average",$G111*VLOOKUP($D111&amp;" (Install)",Lists!$C$72:$R$232,COLUMNS(Lists!$C$69:M$69),0)*VLOOKUP(BM$3,Conversions!$B$12:$E$34,4,0),$G111*VLOOKUP($F111,Lists!$C$72:$R$232,COLUMNS(Lists!$C$69:M$69),0)*VLOOKUP(BM$3,Conversions!$B$12:$E$34,4,0)))</f>
        <v>0</v>
      </c>
      <c r="U111" s="333">
        <f>IF($F111="",0,IF($F111="Weighted Average",$G111*VLOOKUP($D111&amp;" (Install)",Lists!$C$72:$R$232,COLUMNS(Lists!$C$69:N$69),0)*VLOOKUP(BN$3,Conversions!$B$12:$E$34,4,0),$G111*VLOOKUP($F111,Lists!$C$72:$R$232,COLUMNS(Lists!$C$69:N$69),0)*VLOOKUP(BN$3,Conversions!$B$12:$E$34,4,0)))</f>
        <v>0</v>
      </c>
      <c r="V111" s="333">
        <f>IF($F111="",0,IF($F111="Weighted Average",$G111*VLOOKUP($D111&amp;" (Install)",Lists!$C$72:$R$232,COLUMNS(Lists!$C$69:O$69),0)*VLOOKUP(BO$3,Conversions!$B$12:$E$34,4,0),$G111*VLOOKUP($F111,Lists!$C$72:$R$232,COLUMNS(Lists!$C$69:O$69),0)*VLOOKUP(BO$3,Conversions!$B$12:$E$34,4,0)))</f>
        <v>0</v>
      </c>
      <c r="W111" s="333">
        <f>IF($F111="",0,IF($F111="Weighted Average",$G111*VLOOKUP($D111&amp;" (Install)",Lists!$C$72:$R$232,COLUMNS(Lists!$C$69:P$69),0)*VLOOKUP(BP$3,Conversions!$B$12:$E$34,4,0),$G111*VLOOKUP($F111,Lists!$C$72:$R$232,COLUMNS(Lists!$C$69:P$69),0)*VLOOKUP(BP$3,Conversions!$B$12:$E$34,4,0)))</f>
        <v>0</v>
      </c>
      <c r="X111" s="333">
        <f>IF($F111="",0,IF($F111="Weighted Average",$G111*VLOOKUP($D111&amp;" (Install)",Lists!$C$72:$R$232,COLUMNS(Lists!$C$69:Q$69),0)*VLOOKUP(BQ$3,Conversions!$B$12:$E$34,4,0),$G111*VLOOKUP($F111,Lists!$C$72:$R$232,COLUMNS(Lists!$C$69:Q$69),0)*VLOOKUP(BQ$3,Conversions!$B$12:$E$34,4,0)))</f>
        <v>0</v>
      </c>
      <c r="Y111" s="333">
        <f>IF($F111="",0,IF($F111="Weighted Average",$G111*VLOOKUP($D111&amp;" (Install)",Lists!$C$72:$R$232,COLUMNS(Lists!$C$69:R$69),0)*VLOOKUP(BR$3,Conversions!$B$12:$E$34,4,0),$G111*VLOOKUP($F111,Lists!$C$72:$R$232,COLUMNS(Lists!$C$69:R$69),0)*VLOOKUP(BR$3,Conversions!$B$12:$E$34,4,0)))</f>
        <v>0</v>
      </c>
      <c r="Z111" s="325">
        <f t="shared" si="102"/>
        <v>0</v>
      </c>
      <c r="AA111" s="334">
        <f>IF($F111="",0,IF($F111="Weighted Average",$H111*VLOOKUP($D111&amp;" (Operation)",Lists!$C$72:$R$232,COLUMNS(Lists!$C$69:E$69),0)*VLOOKUP(BE$3,Conversions!$B$12:$E$34,4,0),$H111*VLOOKUP($F111,Lists!$C$72:$R$232,COLUMNS(Lists!$C$69:E$69),0)*VLOOKUP(BE$3,Conversions!$B$12:$E$34,4,0)))</f>
        <v>0</v>
      </c>
      <c r="AB111" s="334">
        <f>IF($F111="",0,IF($F111="Weighted Average",$H111*VLOOKUP($D111&amp;" (Operation)",Lists!$C$72:$R$232,COLUMNS(Lists!$C$69:F$69),0)*VLOOKUP(BF$3,Conversions!$B$12:$E$34,4,0),$H111*VLOOKUP($F111,Lists!$C$72:$R$232,COLUMNS(Lists!$C$69:F$69),0)*VLOOKUP(BF$3,Conversions!$B$12:$E$34,4,0)))</f>
        <v>0</v>
      </c>
      <c r="AC111" s="334">
        <f>IF($F111="",0,IF($F111="Weighted Average",$H111*VLOOKUP($D111&amp;" (Operation)",Lists!$C$72:$R$232,COLUMNS(Lists!$C$69:G$69),0)*VLOOKUP(BG$3,Conversions!$B$12:$E$34,4,0),$H111*VLOOKUP($F111,Lists!$C$72:$R$232,COLUMNS(Lists!$C$69:G$69),0)*VLOOKUP(BG$3,Conversions!$B$12:$E$34,4,0)))</f>
        <v>0</v>
      </c>
      <c r="AD111" s="334">
        <f>IF($F111="",0,IF($F111="Weighted Average",$H111*VLOOKUP($D111&amp;" (Operation)",Lists!$C$72:$R$232,COLUMNS(Lists!$C$69:H$69),0)*VLOOKUP(BH$3,Conversions!$B$12:$E$34,4,0),$H111*VLOOKUP($F111,Lists!$C$72:$R$232,COLUMNS(Lists!$C$69:H$69),0)*VLOOKUP(BH$3,Conversions!$B$12:$E$34,4,0)))</f>
        <v>0</v>
      </c>
      <c r="AE111" s="334">
        <f>IF($F111="",0,IF($F111="Weighted Average",$H111*VLOOKUP($D111&amp;" (Operation)",Lists!$C$72:$R$232,COLUMNS(Lists!$C$69:I$69),0)*VLOOKUP(BI$3,Conversions!$B$12:$E$34,4,0),$H111*VLOOKUP($F111,Lists!$C$72:$R$232,COLUMNS(Lists!$C$69:I$69),0)*VLOOKUP(BI$3,Conversions!$B$12:$E$34,4,0)))</f>
        <v>0</v>
      </c>
      <c r="AF111" s="334">
        <f>IF($F111="",0,IF($F111="Weighted Average",$H111*VLOOKUP($D111&amp;" (Operation)",Lists!$C$72:$R$232,COLUMNS(Lists!$C$69:J$69),0)*VLOOKUP(BJ$3,Conversions!$B$12:$E$34,4,0),$H111*VLOOKUP($F111,Lists!$C$72:$R$232,COLUMNS(Lists!$C$69:J$69),0)*VLOOKUP(BJ$3,Conversions!$B$12:$E$34,4,0)))</f>
        <v>0</v>
      </c>
      <c r="AG111" s="334">
        <f>IF($F111="",0,IF($F111="Weighted Average",$H111*VLOOKUP($D111&amp;" (Operation)",Lists!$C$72:$R$232,COLUMNS(Lists!$C$69:K$69),0)*VLOOKUP(BK$3,Conversions!$B$12:$E$34,4,0),$H111*VLOOKUP($F111,Lists!$C$72:$R$232,COLUMNS(Lists!$C$69:K$69),0)*VLOOKUP(BK$3,Conversions!$B$12:$E$34,4,0)))</f>
        <v>0</v>
      </c>
      <c r="AH111" s="334">
        <f>IF($F111="",0,IF($F111="Weighted Average",$H111*VLOOKUP($D111&amp;" (Operation)",Lists!$C$72:$R$232,COLUMNS(Lists!$C$69:L$69),0)*VLOOKUP(BL$3,Conversions!$B$12:$E$34,4,0),$H111*VLOOKUP($F111,Lists!$C$72:$R$232,COLUMNS(Lists!$C$69:L$69),0)*VLOOKUP(BL$3,Conversions!$B$12:$E$34,4,0)))</f>
        <v>0</v>
      </c>
      <c r="AI111" s="334">
        <f>IF($F111="",0,IF($F111="Weighted Average",$H111*VLOOKUP($D111&amp;" (Operation)",Lists!$C$72:$R$232,COLUMNS(Lists!$C$69:M$69),0)*VLOOKUP(BM$3,Conversions!$B$12:$E$34,4,0),$H111*VLOOKUP($F111,Lists!$C$72:$R$232,COLUMNS(Lists!$C$69:M$69),0)*VLOOKUP(BM$3,Conversions!$B$12:$E$34,4,0)))</f>
        <v>0</v>
      </c>
      <c r="AJ111" s="334">
        <f>IF($F111="",0,IF($F111="Weighted Average",$H111*VLOOKUP($D111&amp;" (Operation)",Lists!$C$72:$R$232,COLUMNS(Lists!$C$69:N$69),0)*VLOOKUP(BN$3,Conversions!$B$12:$E$34,4,0),$H111*VLOOKUP($F111,Lists!$C$72:$R$232,COLUMNS(Lists!$C$69:N$69),0)*VLOOKUP(BN$3,Conversions!$B$12:$E$34,4,0)))</f>
        <v>0</v>
      </c>
      <c r="AK111" s="334">
        <f>IF($F111="",0,IF($F111="Weighted Average",$H111*VLOOKUP($D111&amp;" (Operation)",Lists!$C$72:$R$232,COLUMNS(Lists!$C$69:O$69),0)*VLOOKUP(BO$3,Conversions!$B$12:$E$34,4,0),$H111*VLOOKUP($F111,Lists!$C$72:$R$232,COLUMNS(Lists!$C$69:O$69),0)*VLOOKUP(BO$3,Conversions!$B$12:$E$34,4,0)))</f>
        <v>0</v>
      </c>
      <c r="AL111" s="334">
        <f>IF($F111="",0,IF($F111="Weighted Average",$H111*VLOOKUP($D111&amp;" (Operation)",Lists!$C$72:$R$232,COLUMNS(Lists!$C$69:P$69),0)*VLOOKUP(BP$3,Conversions!$B$12:$E$34,4,0),$H111*VLOOKUP($F111,Lists!$C$72:$R$232,COLUMNS(Lists!$C$69:P$69),0)*VLOOKUP(BP$3,Conversions!$B$12:$E$34,4,0)))</f>
        <v>0</v>
      </c>
      <c r="AM111" s="334">
        <f>IF($F111="",0,IF($F111="Weighted Average",$H111*VLOOKUP($D111&amp;" (Operation)",Lists!$C$72:$R$232,COLUMNS(Lists!$C$69:Q$69),0)*VLOOKUP(BQ$3,Conversions!$B$12:$E$34,4,0),$H111*VLOOKUP($F111,Lists!$C$72:$R$232,COLUMNS(Lists!$C$69:Q$69),0)*VLOOKUP(BQ$3,Conversions!$B$12:$E$34,4,0)))</f>
        <v>0</v>
      </c>
      <c r="AN111" s="334">
        <f>IF($F111="",0,IF($F111="Weighted Average",$H111*VLOOKUP($D111&amp;" (Operation)",Lists!$C$72:$R$232,COLUMNS(Lists!$C$69:R$69),0)*VLOOKUP(BR$3,Conversions!$B$12:$E$34,4,0),$H111*VLOOKUP($F111,Lists!$C$72:$R$232,COLUMNS(Lists!$C$69:R$69),0)*VLOOKUP(BR$3,Conversions!$B$12:$E$34,4,0)))</f>
        <v>0</v>
      </c>
      <c r="AO111" s="330">
        <f t="shared" si="103"/>
        <v>0</v>
      </c>
      <c r="AP111" s="333">
        <f>IF($F111="",0,IF($F111="Weighted Average",$I111*VLOOKUP($D111&amp;" (Disposal)",Lists!$C$72:$R$232,COLUMNS(Lists!$C$69:E$69),0)*VLOOKUP(BE$3,Conversions!$B$12:$E$34,4,0),$I111*VLOOKUP($F111,Lists!$C$72:$R$232,COLUMNS(Lists!$C$69:E$69),0)*VLOOKUP(BE$3,Conversions!$B$12:$E$34,4,0)))</f>
        <v>0</v>
      </c>
      <c r="AQ111" s="333">
        <f>IF($F111="",0,IF($F111="Weighted Average",$I111*VLOOKUP($D111&amp;" (Disposal)",Lists!$C$72:$R$232,COLUMNS(Lists!$C$69:F$69),0)*VLOOKUP(BF$3,Conversions!$B$12:$E$34,4,0),$I111*VLOOKUP($F111,Lists!$C$72:$R$232,COLUMNS(Lists!$C$69:F$69),0)*VLOOKUP(BF$3,Conversions!$B$12:$E$34,4,0)))</f>
        <v>0</v>
      </c>
      <c r="AR111" s="333">
        <f>IF($F111="",0,IF($F111="Weighted Average",$I111*VLOOKUP($D111&amp;" (Disposal)",Lists!$C$72:$R$232,COLUMNS(Lists!$C$69:G$69),0)*VLOOKUP(BG$3,Conversions!$B$12:$E$34,4,0),$I111*VLOOKUP($F111,Lists!$C$72:$R$232,COLUMNS(Lists!$C$69:G$69),0)*VLOOKUP(BG$3,Conversions!$B$12:$E$34,4,0)))</f>
        <v>0</v>
      </c>
      <c r="AS111" s="333">
        <f>IF($F111="",0,IF($F111="Weighted Average",$I111*VLOOKUP($D111&amp;" (Disposal)",Lists!$C$72:$R$232,COLUMNS(Lists!$C$69:H$69),0)*VLOOKUP(BH$3,Conversions!$B$12:$E$34,4,0),$I111*VLOOKUP($F111,Lists!$C$72:$R$232,COLUMNS(Lists!$C$69:H$69),0)*VLOOKUP(BH$3,Conversions!$B$12:$E$34,4,0)))</f>
        <v>0</v>
      </c>
      <c r="AT111" s="333">
        <f>IF($F111="",0,IF($F111="Weighted Average",$I111*VLOOKUP($D111&amp;" (Disposal)",Lists!$C$72:$R$232,COLUMNS(Lists!$C$69:I$69),0)*VLOOKUP(BI$3,Conversions!$B$12:$E$34,4,0),$I111*VLOOKUP($F111,Lists!$C$72:$R$232,COLUMNS(Lists!$C$69:I$69),0)*VLOOKUP(BI$3,Conversions!$B$12:$E$34,4,0)))</f>
        <v>0</v>
      </c>
      <c r="AU111" s="333">
        <f>IF($F111="",0,IF($F111="Weighted Average",$I111*VLOOKUP($D111&amp;" (Disposal)",Lists!$C$72:$R$232,COLUMNS(Lists!$C$69:J$69),0)*VLOOKUP(BJ$3,Conversions!$B$12:$E$34,4,0),$I111*VLOOKUP($F111,Lists!$C$72:$R$232,COLUMNS(Lists!$C$69:J$69),0)*VLOOKUP(BJ$3,Conversions!$B$12:$E$34,4,0)))</f>
        <v>0</v>
      </c>
      <c r="AV111" s="333">
        <f>IF($F111="",0,IF($F111="Weighted Average",$I111*VLOOKUP($D111&amp;" (Disposal)",Lists!$C$72:$R$232,COLUMNS(Lists!$C$69:K$69),0)*VLOOKUP(BK$3,Conversions!$B$12:$E$34,4,0),$I111*VLOOKUP($F111,Lists!$C$72:$R$232,COLUMNS(Lists!$C$69:K$69),0)*VLOOKUP(BK$3,Conversions!$B$12:$E$34,4,0)))</f>
        <v>0</v>
      </c>
      <c r="AW111" s="333">
        <f>IF($F111="",0,IF($F111="Weighted Average",$I111*VLOOKUP($D111&amp;" (Disposal)",Lists!$C$72:$R$232,COLUMNS(Lists!$C$69:L$69),0)*VLOOKUP(BL$3,Conversions!$B$12:$E$34,4,0),$I111*VLOOKUP($F111,Lists!$C$72:$R$232,COLUMNS(Lists!$C$69:L$69),0)*VLOOKUP(BL$3,Conversions!$B$12:$E$34,4,0)))</f>
        <v>0</v>
      </c>
      <c r="AX111" s="333">
        <f>IF($F111="",0,IF($F111="Weighted Average",$I111*VLOOKUP($D111&amp;" (Disposal)",Lists!$C$72:$R$232,COLUMNS(Lists!$C$69:M$69),0)*VLOOKUP(BM$3,Conversions!$B$12:$E$34,4,0),$I111*VLOOKUP($F111,Lists!$C$72:$R$232,COLUMNS(Lists!$C$69:M$69),0)*VLOOKUP(BM$3,Conversions!$B$12:$E$34,4,0)))</f>
        <v>0</v>
      </c>
      <c r="AY111" s="333">
        <f>IF($F111="",0,IF($F111="Weighted Average",$I111*VLOOKUP($D111&amp;" (Disposal)",Lists!$C$72:$R$232,COLUMNS(Lists!$C$69:N$69),0)*VLOOKUP(BN$3,Conversions!$B$12:$E$34,4,0),$I111*VLOOKUP($F111,Lists!$C$72:$R$232,COLUMNS(Lists!$C$69:N$69),0)*VLOOKUP(BN$3,Conversions!$B$12:$E$34,4,0)))</f>
        <v>0</v>
      </c>
      <c r="AZ111" s="333">
        <f>IF($F111="",0,IF($F111="Weighted Average",$I111*VLOOKUP($D111&amp;" (Disposal)",Lists!$C$72:$R$232,COLUMNS(Lists!$C$69:O$69),0)*VLOOKUP(BO$3,Conversions!$B$12:$E$34,4,0),$I111*VLOOKUP($F111,Lists!$C$72:$R$232,COLUMNS(Lists!$C$69:O$69),0)*VLOOKUP(BO$3,Conversions!$B$12:$E$34,4,0)))</f>
        <v>0</v>
      </c>
      <c r="BA111" s="333">
        <f>IF($F111="",0,IF($F111="Weighted Average",$I111*VLOOKUP($D111&amp;" (Disposal)",Lists!$C$72:$R$232,COLUMNS(Lists!$C$69:P$69),0)*VLOOKUP(BP$3,Conversions!$B$12:$E$34,4,0),$I111*VLOOKUP($F111,Lists!$C$72:$R$232,COLUMNS(Lists!$C$69:P$69),0)*VLOOKUP(BP$3,Conversions!$B$12:$E$34,4,0)))</f>
        <v>0</v>
      </c>
      <c r="BB111" s="333">
        <f>IF($F111="",0,IF($F111="Weighted Average",$I111*VLOOKUP($D111&amp;" (Disposal)",Lists!$C$72:$R$232,COLUMNS(Lists!$C$69:Q$69),0)*VLOOKUP(BQ$3,Conversions!$B$12:$E$34,4,0),$I111*VLOOKUP($F111,Lists!$C$72:$R$232,COLUMNS(Lists!$C$69:Q$69),0)*VLOOKUP(BQ$3,Conversions!$B$12:$E$34,4,0)))</f>
        <v>0</v>
      </c>
      <c r="BC111" s="333">
        <f>IF($F111="",0,IF($F111="Weighted Average",$I111*VLOOKUP($D111&amp;" (Disposal)",Lists!$C$72:$R$232,COLUMNS(Lists!$C$69:R$69),0)*VLOOKUP(BR$3,Conversions!$B$12:$E$34,4,0),$I111*VLOOKUP($F111,Lists!$C$72:$R$232,COLUMNS(Lists!$C$69:R$69),0)*VLOOKUP(BR$3,Conversions!$B$12:$E$34,4,0)))</f>
        <v>0</v>
      </c>
      <c r="BD111" s="333">
        <f t="shared" si="104"/>
        <v>0</v>
      </c>
      <c r="BE111" s="330">
        <f t="shared" si="105"/>
        <v>0</v>
      </c>
      <c r="BF111" s="330">
        <f t="shared" si="106"/>
        <v>0</v>
      </c>
      <c r="BG111" s="330">
        <f t="shared" si="107"/>
        <v>0</v>
      </c>
      <c r="BH111" s="330">
        <f t="shared" si="108"/>
        <v>0</v>
      </c>
      <c r="BI111" s="330">
        <f t="shared" si="109"/>
        <v>0</v>
      </c>
      <c r="BJ111" s="330">
        <f t="shared" si="110"/>
        <v>0</v>
      </c>
      <c r="BK111" s="330">
        <f t="shared" si="111"/>
        <v>0</v>
      </c>
      <c r="BL111" s="330">
        <f t="shared" si="112"/>
        <v>0</v>
      </c>
      <c r="BM111" s="330">
        <f t="shared" si="113"/>
        <v>0</v>
      </c>
      <c r="BN111" s="330">
        <f t="shared" si="114"/>
        <v>0</v>
      </c>
      <c r="BO111" s="330">
        <f t="shared" si="115"/>
        <v>0</v>
      </c>
      <c r="BP111" s="330">
        <f t="shared" si="116"/>
        <v>0</v>
      </c>
      <c r="BQ111" s="330">
        <f t="shared" si="117"/>
        <v>0</v>
      </c>
      <c r="BR111" s="330">
        <f t="shared" si="118"/>
        <v>0</v>
      </c>
      <c r="BS111" s="330">
        <f t="shared" si="119"/>
        <v>0</v>
      </c>
      <c r="BT111" s="329">
        <f t="shared" si="134"/>
        <v>0</v>
      </c>
      <c r="BU111" s="329">
        <f t="shared" si="134"/>
        <v>0</v>
      </c>
      <c r="BV111" s="329">
        <f t="shared" si="134"/>
        <v>0</v>
      </c>
      <c r="BW111" s="329">
        <f t="shared" si="134"/>
        <v>0</v>
      </c>
      <c r="BX111" s="329">
        <f t="shared" si="134"/>
        <v>0</v>
      </c>
      <c r="BY111" s="329">
        <f t="shared" si="134"/>
        <v>0</v>
      </c>
      <c r="BZ111" s="329">
        <f t="shared" si="134"/>
        <v>0</v>
      </c>
      <c r="CA111" s="329">
        <f t="shared" si="134"/>
        <v>0</v>
      </c>
      <c r="CB111" s="329">
        <f t="shared" si="134"/>
        <v>0</v>
      </c>
      <c r="CC111" s="329">
        <f t="shared" si="134"/>
        <v>0</v>
      </c>
      <c r="CD111" s="329">
        <f t="shared" si="134"/>
        <v>0</v>
      </c>
      <c r="CE111" s="329">
        <f t="shared" si="134"/>
        <v>0</v>
      </c>
      <c r="CF111" s="329">
        <f t="shared" si="134"/>
        <v>0</v>
      </c>
      <c r="CG111" s="329">
        <f t="shared" si="134"/>
        <v>0</v>
      </c>
      <c r="CH111" s="329">
        <f t="shared" si="134"/>
        <v>0</v>
      </c>
      <c r="CI111" s="329">
        <f t="shared" si="134"/>
        <v>0</v>
      </c>
      <c r="CJ111" s="331">
        <f t="shared" si="121"/>
        <v>0</v>
      </c>
      <c r="CK111" s="330">
        <f t="shared" si="122"/>
        <v>0</v>
      </c>
      <c r="CL111" s="330">
        <f t="shared" si="123"/>
        <v>0</v>
      </c>
      <c r="CM111" s="330">
        <f t="shared" si="124"/>
        <v>0</v>
      </c>
      <c r="CN111" s="330">
        <f t="shared" si="125"/>
        <v>0</v>
      </c>
      <c r="CO111" s="330">
        <f t="shared" si="126"/>
        <v>0</v>
      </c>
      <c r="CP111" s="330">
        <f t="shared" si="127"/>
        <v>0</v>
      </c>
      <c r="CQ111" s="330">
        <f t="shared" si="94"/>
        <v>0</v>
      </c>
      <c r="CR111" s="330">
        <f t="shared" si="128"/>
        <v>0</v>
      </c>
      <c r="CS111" s="330">
        <f t="shared" si="129"/>
        <v>0</v>
      </c>
      <c r="CT111" s="330">
        <f t="shared" si="130"/>
        <v>0</v>
      </c>
      <c r="CU111" s="330">
        <f t="shared" si="135"/>
        <v>0</v>
      </c>
      <c r="CV111" s="330">
        <f t="shared" si="135"/>
        <v>0</v>
      </c>
      <c r="CW111" s="330">
        <f t="shared" si="135"/>
        <v>0</v>
      </c>
      <c r="CX111" s="330">
        <f t="shared" si="135"/>
        <v>0</v>
      </c>
      <c r="CY111" s="330">
        <f t="shared" si="135"/>
        <v>0</v>
      </c>
      <c r="CZ111" s="330">
        <f t="shared" si="135"/>
        <v>0</v>
      </c>
      <c r="DA111" s="330">
        <f t="shared" si="135"/>
        <v>0</v>
      </c>
      <c r="DB111" s="330">
        <f t="shared" si="135"/>
        <v>0</v>
      </c>
      <c r="DC111" s="330">
        <f t="shared" si="135"/>
        <v>0</v>
      </c>
      <c r="DD111" s="330">
        <f t="shared" si="135"/>
        <v>0</v>
      </c>
      <c r="DE111" s="330">
        <f t="shared" si="136"/>
        <v>0</v>
      </c>
      <c r="DF111" s="330">
        <f t="shared" si="136"/>
        <v>0</v>
      </c>
      <c r="DG111" s="330">
        <f t="shared" si="136"/>
        <v>0</v>
      </c>
      <c r="DH111" s="330">
        <f t="shared" si="136"/>
        <v>0</v>
      </c>
      <c r="DI111" s="330">
        <f t="shared" si="136"/>
        <v>0</v>
      </c>
      <c r="DJ111" s="330">
        <f t="shared" si="136"/>
        <v>0</v>
      </c>
      <c r="DK111" s="330">
        <f t="shared" si="136"/>
        <v>0</v>
      </c>
      <c r="DL111" s="330">
        <f t="shared" si="136"/>
        <v>0</v>
      </c>
      <c r="DM111" s="330">
        <f t="shared" si="136"/>
        <v>0</v>
      </c>
      <c r="DN111" s="330">
        <f t="shared" si="136"/>
        <v>0</v>
      </c>
      <c r="DO111" s="330">
        <f t="shared" si="136"/>
        <v>0</v>
      </c>
      <c r="DP111" s="330">
        <f t="shared" si="133"/>
        <v>0</v>
      </c>
      <c r="DQ111" s="217"/>
      <c r="DR111" s="217"/>
      <c r="DS111" s="217"/>
      <c r="DT111" s="217"/>
    </row>
    <row r="112" spans="1:124" x14ac:dyDescent="0.3">
      <c r="A112" s="324"/>
      <c r="B112" s="221" t="s">
        <v>305</v>
      </c>
      <c r="C112" s="221" t="str">
        <f>IF(Screening!C42=0,"",Screening!C42)</f>
        <v/>
      </c>
      <c r="D112" s="221" t="str">
        <f>IF(Screening!D42=0,"",Screening!D42)</f>
        <v/>
      </c>
      <c r="E112" s="221" t="str">
        <f>IF(Screening!E42=0,"",Screening!E42)</f>
        <v/>
      </c>
      <c r="F112" s="221" t="str">
        <f>IF(Screening!F42=0,"",Screening!F42)</f>
        <v/>
      </c>
      <c r="G112" s="272">
        <f>Screening!G42*Screening!O42*Conversions!$C$4</f>
        <v>0</v>
      </c>
      <c r="H112" s="272">
        <f>Screening!H42*Screening!P42*Screening!I42*Conversions!$C$4</f>
        <v>0</v>
      </c>
      <c r="I112" s="272">
        <f>Screening!J42*Screening!Q42*(1-Screening!R42)*Conversions!$C$4</f>
        <v>0</v>
      </c>
      <c r="J112" s="325">
        <f>IF(Screening!S42=0,0,Screening!S42)</f>
        <v>0</v>
      </c>
      <c r="K112" s="465"/>
      <c r="L112" s="333">
        <f>IF($F112="",0,IF($F112="Weighted Average",$G112*VLOOKUP($D112&amp;" (Install)",Lists!$C$72:$R$232,COLUMNS(Lists!$C$69:E$69),0)*VLOOKUP(BE$3,Conversions!$B$12:$E$34,4,0),$G112*VLOOKUP($F112,Lists!$C$72:$R$232,COLUMNS(Lists!$C$69:E$69),0)*VLOOKUP(BE$3,Conversions!$B$12:$E$34,4,0)))</f>
        <v>0</v>
      </c>
      <c r="M112" s="333">
        <f>IF($F112="",0,IF($F112="Weighted Average",$G112*VLOOKUP($D112&amp;" (Install)",Lists!$C$72:$R$232,COLUMNS(Lists!$C$69:F$69),0)*VLOOKUP(BF$3,Conversions!$B$12:$E$34,4,0),$G112*VLOOKUP($F112,Lists!$C$72:$R$232,COLUMNS(Lists!$C$69:F$69),0)*VLOOKUP(BF$3,Conversions!$B$12:$E$34,4,0)))</f>
        <v>0</v>
      </c>
      <c r="N112" s="333">
        <f>IF($F112="",0,IF($F112="Weighted Average",$G112*VLOOKUP($D112&amp;" (Install)",Lists!$C$72:$R$232,COLUMNS(Lists!$C$69:G$69),0)*VLOOKUP(BG$3,Conversions!$B$12:$E$34,4,0),$G112*VLOOKUP($F112,Lists!$C$72:$R$232,COLUMNS(Lists!$C$69:G$69),0)*VLOOKUP(BG$3,Conversions!$B$12:$E$34,4,0)))</f>
        <v>0</v>
      </c>
      <c r="O112" s="333">
        <f>IF($F112="",0,IF($F112="Weighted Average",$G112*VLOOKUP($D112&amp;" (Install)",Lists!$C$72:$R$232,COLUMNS(Lists!$C$69:H$69),0)*VLOOKUP(BH$3,Conversions!$B$12:$E$34,4,0),$G112*VLOOKUP($F112,Lists!$C$72:$R$232,COLUMNS(Lists!$C$69:H$69),0)*VLOOKUP(BH$3,Conversions!$B$12:$E$34,4,0)))</f>
        <v>0</v>
      </c>
      <c r="P112" s="333">
        <f>IF($F112="",0,IF($F112="Weighted Average",$G112*VLOOKUP($D112&amp;" (Install)",Lists!$C$72:$R$232,COLUMNS(Lists!$C$69:I$69),0)*VLOOKUP(BI$3,Conversions!$B$12:$E$34,4,0),$G112*VLOOKUP($F112,Lists!$C$72:$R$232,COLUMNS(Lists!$C$69:I$69),0)*VLOOKUP(BI$3,Conversions!$B$12:$E$34,4,0)))</f>
        <v>0</v>
      </c>
      <c r="Q112" s="333">
        <f>IF($F112="",0,IF($F112="Weighted Average",$G112*VLOOKUP($D112&amp;" (Install)",Lists!$C$72:$R$232,COLUMNS(Lists!$C$69:J$69),0)*VLOOKUP(BJ$3,Conversions!$B$12:$E$34,4,0),$G112*VLOOKUP($F112,Lists!$C$72:$R$232,COLUMNS(Lists!$C$69:J$69),0)*VLOOKUP(BJ$3,Conversions!$B$12:$E$34,4,0)))</f>
        <v>0</v>
      </c>
      <c r="R112" s="333">
        <f>IF($F112="",0,IF($F112="Weighted Average",$G112*VLOOKUP($D112&amp;" (Install)",Lists!$C$72:$R$232,COLUMNS(Lists!$C$69:K$69),0)*VLOOKUP(BK$3,Conversions!$B$12:$E$34,4,0),$G112*VLOOKUP($F112,Lists!$C$72:$R$232,COLUMNS(Lists!$C$69:K$69),0)*VLOOKUP(BK$3,Conversions!$B$12:$E$34,4,0)))</f>
        <v>0</v>
      </c>
      <c r="S112" s="333">
        <f>IF($F112="",0,IF($F112="Weighted Average",$G112*VLOOKUP($D112&amp;" (Install)",Lists!$C$72:$R$232,COLUMNS(Lists!$C$69:L$69),0)*VLOOKUP(BL$3,Conversions!$B$12:$E$34,4,0),$G112*VLOOKUP($F112,Lists!$C$72:$R$232,COLUMNS(Lists!$C$69:L$69),0)*VLOOKUP(BL$3,Conversions!$B$12:$E$34,4,0)))</f>
        <v>0</v>
      </c>
      <c r="T112" s="333">
        <f>IF($F112="",0,IF($F112="Weighted Average",$G112*VLOOKUP($D112&amp;" (Install)",Lists!$C$72:$R$232,COLUMNS(Lists!$C$69:M$69),0)*VLOOKUP(BM$3,Conversions!$B$12:$E$34,4,0),$G112*VLOOKUP($F112,Lists!$C$72:$R$232,COLUMNS(Lists!$C$69:M$69),0)*VLOOKUP(BM$3,Conversions!$B$12:$E$34,4,0)))</f>
        <v>0</v>
      </c>
      <c r="U112" s="333">
        <f>IF($F112="",0,IF($F112="Weighted Average",$G112*VLOOKUP($D112&amp;" (Install)",Lists!$C$72:$R$232,COLUMNS(Lists!$C$69:N$69),0)*VLOOKUP(BN$3,Conversions!$B$12:$E$34,4,0),$G112*VLOOKUP($F112,Lists!$C$72:$R$232,COLUMNS(Lists!$C$69:N$69),0)*VLOOKUP(BN$3,Conversions!$B$12:$E$34,4,0)))</f>
        <v>0</v>
      </c>
      <c r="V112" s="333">
        <f>IF($F112="",0,IF($F112="Weighted Average",$G112*VLOOKUP($D112&amp;" (Install)",Lists!$C$72:$R$232,COLUMNS(Lists!$C$69:O$69),0)*VLOOKUP(BO$3,Conversions!$B$12:$E$34,4,0),$G112*VLOOKUP($F112,Lists!$C$72:$R$232,COLUMNS(Lists!$C$69:O$69),0)*VLOOKUP(BO$3,Conversions!$B$12:$E$34,4,0)))</f>
        <v>0</v>
      </c>
      <c r="W112" s="333">
        <f>IF($F112="",0,IF($F112="Weighted Average",$G112*VLOOKUP($D112&amp;" (Install)",Lists!$C$72:$R$232,COLUMNS(Lists!$C$69:P$69),0)*VLOOKUP(BP$3,Conversions!$B$12:$E$34,4,0),$G112*VLOOKUP($F112,Lists!$C$72:$R$232,COLUMNS(Lists!$C$69:P$69),0)*VLOOKUP(BP$3,Conversions!$B$12:$E$34,4,0)))</f>
        <v>0</v>
      </c>
      <c r="X112" s="333">
        <f>IF($F112="",0,IF($F112="Weighted Average",$G112*VLOOKUP($D112&amp;" (Install)",Lists!$C$72:$R$232,COLUMNS(Lists!$C$69:Q$69),0)*VLOOKUP(BQ$3,Conversions!$B$12:$E$34,4,0),$G112*VLOOKUP($F112,Lists!$C$72:$R$232,COLUMNS(Lists!$C$69:Q$69),0)*VLOOKUP(BQ$3,Conversions!$B$12:$E$34,4,0)))</f>
        <v>0</v>
      </c>
      <c r="Y112" s="333">
        <f>IF($F112="",0,IF($F112="Weighted Average",$G112*VLOOKUP($D112&amp;" (Install)",Lists!$C$72:$R$232,COLUMNS(Lists!$C$69:R$69),0)*VLOOKUP(BR$3,Conversions!$B$12:$E$34,4,0),$G112*VLOOKUP($F112,Lists!$C$72:$R$232,COLUMNS(Lists!$C$69:R$69),0)*VLOOKUP(BR$3,Conversions!$B$12:$E$34,4,0)))</f>
        <v>0</v>
      </c>
      <c r="Z112" s="325">
        <f t="shared" si="102"/>
        <v>0</v>
      </c>
      <c r="AA112" s="334">
        <f>IF($F112="",0,IF($F112="Weighted Average",$H112*VLOOKUP($D112&amp;" (Operation)",Lists!$C$72:$R$232,COLUMNS(Lists!$C$69:E$69),0)*VLOOKUP(BE$3,Conversions!$B$12:$E$34,4,0),$H112*VLOOKUP($F112,Lists!$C$72:$R$232,COLUMNS(Lists!$C$69:E$69),0)*VLOOKUP(BE$3,Conversions!$B$12:$E$34,4,0)))</f>
        <v>0</v>
      </c>
      <c r="AB112" s="334">
        <f>IF($F112="",0,IF($F112="Weighted Average",$H112*VLOOKUP($D112&amp;" (Operation)",Lists!$C$72:$R$232,COLUMNS(Lists!$C$69:F$69),0)*VLOOKUP(BF$3,Conversions!$B$12:$E$34,4,0),$H112*VLOOKUP($F112,Lists!$C$72:$R$232,COLUMNS(Lists!$C$69:F$69),0)*VLOOKUP(BF$3,Conversions!$B$12:$E$34,4,0)))</f>
        <v>0</v>
      </c>
      <c r="AC112" s="334">
        <f>IF($F112="",0,IF($F112="Weighted Average",$H112*VLOOKUP($D112&amp;" (Operation)",Lists!$C$72:$R$232,COLUMNS(Lists!$C$69:G$69),0)*VLOOKUP(BG$3,Conversions!$B$12:$E$34,4,0),$H112*VLOOKUP($F112,Lists!$C$72:$R$232,COLUMNS(Lists!$C$69:G$69),0)*VLOOKUP(BG$3,Conversions!$B$12:$E$34,4,0)))</f>
        <v>0</v>
      </c>
      <c r="AD112" s="334">
        <f>IF($F112="",0,IF($F112="Weighted Average",$H112*VLOOKUP($D112&amp;" (Operation)",Lists!$C$72:$R$232,COLUMNS(Lists!$C$69:H$69),0)*VLOOKUP(BH$3,Conversions!$B$12:$E$34,4,0),$H112*VLOOKUP($F112,Lists!$C$72:$R$232,COLUMNS(Lists!$C$69:H$69),0)*VLOOKUP(BH$3,Conversions!$B$12:$E$34,4,0)))</f>
        <v>0</v>
      </c>
      <c r="AE112" s="334">
        <f>IF($F112="",0,IF($F112="Weighted Average",$H112*VLOOKUP($D112&amp;" (Operation)",Lists!$C$72:$R$232,COLUMNS(Lists!$C$69:I$69),0)*VLOOKUP(BI$3,Conversions!$B$12:$E$34,4,0),$H112*VLOOKUP($F112,Lists!$C$72:$R$232,COLUMNS(Lists!$C$69:I$69),0)*VLOOKUP(BI$3,Conversions!$B$12:$E$34,4,0)))</f>
        <v>0</v>
      </c>
      <c r="AF112" s="334">
        <f>IF($F112="",0,IF($F112="Weighted Average",$H112*VLOOKUP($D112&amp;" (Operation)",Lists!$C$72:$R$232,COLUMNS(Lists!$C$69:J$69),0)*VLOOKUP(BJ$3,Conversions!$B$12:$E$34,4,0),$H112*VLOOKUP($F112,Lists!$C$72:$R$232,COLUMNS(Lists!$C$69:J$69),0)*VLOOKUP(BJ$3,Conversions!$B$12:$E$34,4,0)))</f>
        <v>0</v>
      </c>
      <c r="AG112" s="334">
        <f>IF($F112="",0,IF($F112="Weighted Average",$H112*VLOOKUP($D112&amp;" (Operation)",Lists!$C$72:$R$232,COLUMNS(Lists!$C$69:K$69),0)*VLOOKUP(BK$3,Conversions!$B$12:$E$34,4,0),$H112*VLOOKUP($F112,Lists!$C$72:$R$232,COLUMNS(Lists!$C$69:K$69),0)*VLOOKUP(BK$3,Conversions!$B$12:$E$34,4,0)))</f>
        <v>0</v>
      </c>
      <c r="AH112" s="334">
        <f>IF($F112="",0,IF($F112="Weighted Average",$H112*VLOOKUP($D112&amp;" (Operation)",Lists!$C$72:$R$232,COLUMNS(Lists!$C$69:L$69),0)*VLOOKUP(BL$3,Conversions!$B$12:$E$34,4,0),$H112*VLOOKUP($F112,Lists!$C$72:$R$232,COLUMNS(Lists!$C$69:L$69),0)*VLOOKUP(BL$3,Conversions!$B$12:$E$34,4,0)))</f>
        <v>0</v>
      </c>
      <c r="AI112" s="334">
        <f>IF($F112="",0,IF($F112="Weighted Average",$H112*VLOOKUP($D112&amp;" (Operation)",Lists!$C$72:$R$232,COLUMNS(Lists!$C$69:M$69),0)*VLOOKUP(BM$3,Conversions!$B$12:$E$34,4,0),$H112*VLOOKUP($F112,Lists!$C$72:$R$232,COLUMNS(Lists!$C$69:M$69),0)*VLOOKUP(BM$3,Conversions!$B$12:$E$34,4,0)))</f>
        <v>0</v>
      </c>
      <c r="AJ112" s="334">
        <f>IF($F112="",0,IF($F112="Weighted Average",$H112*VLOOKUP($D112&amp;" (Operation)",Lists!$C$72:$R$232,COLUMNS(Lists!$C$69:N$69),0)*VLOOKUP(BN$3,Conversions!$B$12:$E$34,4,0),$H112*VLOOKUP($F112,Lists!$C$72:$R$232,COLUMNS(Lists!$C$69:N$69),0)*VLOOKUP(BN$3,Conversions!$B$12:$E$34,4,0)))</f>
        <v>0</v>
      </c>
      <c r="AK112" s="334">
        <f>IF($F112="",0,IF($F112="Weighted Average",$H112*VLOOKUP($D112&amp;" (Operation)",Lists!$C$72:$R$232,COLUMNS(Lists!$C$69:O$69),0)*VLOOKUP(BO$3,Conversions!$B$12:$E$34,4,0),$H112*VLOOKUP($F112,Lists!$C$72:$R$232,COLUMNS(Lists!$C$69:O$69),0)*VLOOKUP(BO$3,Conversions!$B$12:$E$34,4,0)))</f>
        <v>0</v>
      </c>
      <c r="AL112" s="334">
        <f>IF($F112="",0,IF($F112="Weighted Average",$H112*VLOOKUP($D112&amp;" (Operation)",Lists!$C$72:$R$232,COLUMNS(Lists!$C$69:P$69),0)*VLOOKUP(BP$3,Conversions!$B$12:$E$34,4,0),$H112*VLOOKUP($F112,Lists!$C$72:$R$232,COLUMNS(Lists!$C$69:P$69),0)*VLOOKUP(BP$3,Conversions!$B$12:$E$34,4,0)))</f>
        <v>0</v>
      </c>
      <c r="AM112" s="334">
        <f>IF($F112="",0,IF($F112="Weighted Average",$H112*VLOOKUP($D112&amp;" (Operation)",Lists!$C$72:$R$232,COLUMNS(Lists!$C$69:Q$69),0)*VLOOKUP(BQ$3,Conversions!$B$12:$E$34,4,0),$H112*VLOOKUP($F112,Lists!$C$72:$R$232,COLUMNS(Lists!$C$69:Q$69),0)*VLOOKUP(BQ$3,Conversions!$B$12:$E$34,4,0)))</f>
        <v>0</v>
      </c>
      <c r="AN112" s="334">
        <f>IF($F112="",0,IF($F112="Weighted Average",$H112*VLOOKUP($D112&amp;" (Operation)",Lists!$C$72:$R$232,COLUMNS(Lists!$C$69:R$69),0)*VLOOKUP(BR$3,Conversions!$B$12:$E$34,4,0),$H112*VLOOKUP($F112,Lists!$C$72:$R$232,COLUMNS(Lists!$C$69:R$69),0)*VLOOKUP(BR$3,Conversions!$B$12:$E$34,4,0)))</f>
        <v>0</v>
      </c>
      <c r="AO112" s="330">
        <f t="shared" si="103"/>
        <v>0</v>
      </c>
      <c r="AP112" s="333">
        <f>IF($F112="",0,IF($F112="Weighted Average",$I112*VLOOKUP($D112&amp;" (Disposal)",Lists!$C$72:$R$232,COLUMNS(Lists!$C$69:E$69),0)*VLOOKUP(BE$3,Conversions!$B$12:$E$34,4,0),$I112*VLOOKUP($F112,Lists!$C$72:$R$232,COLUMNS(Lists!$C$69:E$69),0)*VLOOKUP(BE$3,Conversions!$B$12:$E$34,4,0)))</f>
        <v>0</v>
      </c>
      <c r="AQ112" s="333">
        <f>IF($F112="",0,IF($F112="Weighted Average",$I112*VLOOKUP($D112&amp;" (Disposal)",Lists!$C$72:$R$232,COLUMNS(Lists!$C$69:F$69),0)*VLOOKUP(BF$3,Conversions!$B$12:$E$34,4,0),$I112*VLOOKUP($F112,Lists!$C$72:$R$232,COLUMNS(Lists!$C$69:F$69),0)*VLOOKUP(BF$3,Conversions!$B$12:$E$34,4,0)))</f>
        <v>0</v>
      </c>
      <c r="AR112" s="333">
        <f>IF($F112="",0,IF($F112="Weighted Average",$I112*VLOOKUP($D112&amp;" (Disposal)",Lists!$C$72:$R$232,COLUMNS(Lists!$C$69:G$69),0)*VLOOKUP(BG$3,Conversions!$B$12:$E$34,4,0),$I112*VLOOKUP($F112,Lists!$C$72:$R$232,COLUMNS(Lists!$C$69:G$69),0)*VLOOKUP(BG$3,Conversions!$B$12:$E$34,4,0)))</f>
        <v>0</v>
      </c>
      <c r="AS112" s="333">
        <f>IF($F112="",0,IF($F112="Weighted Average",$I112*VLOOKUP($D112&amp;" (Disposal)",Lists!$C$72:$R$232,COLUMNS(Lists!$C$69:H$69),0)*VLOOKUP(BH$3,Conversions!$B$12:$E$34,4,0),$I112*VLOOKUP($F112,Lists!$C$72:$R$232,COLUMNS(Lists!$C$69:H$69),0)*VLOOKUP(BH$3,Conversions!$B$12:$E$34,4,0)))</f>
        <v>0</v>
      </c>
      <c r="AT112" s="333">
        <f>IF($F112="",0,IF($F112="Weighted Average",$I112*VLOOKUP($D112&amp;" (Disposal)",Lists!$C$72:$R$232,COLUMNS(Lists!$C$69:I$69),0)*VLOOKUP(BI$3,Conversions!$B$12:$E$34,4,0),$I112*VLOOKUP($F112,Lists!$C$72:$R$232,COLUMNS(Lists!$C$69:I$69),0)*VLOOKUP(BI$3,Conversions!$B$12:$E$34,4,0)))</f>
        <v>0</v>
      </c>
      <c r="AU112" s="333">
        <f>IF($F112="",0,IF($F112="Weighted Average",$I112*VLOOKUP($D112&amp;" (Disposal)",Lists!$C$72:$R$232,COLUMNS(Lists!$C$69:J$69),0)*VLOOKUP(BJ$3,Conversions!$B$12:$E$34,4,0),$I112*VLOOKUP($F112,Lists!$C$72:$R$232,COLUMNS(Lists!$C$69:J$69),0)*VLOOKUP(BJ$3,Conversions!$B$12:$E$34,4,0)))</f>
        <v>0</v>
      </c>
      <c r="AV112" s="333">
        <f>IF($F112="",0,IF($F112="Weighted Average",$I112*VLOOKUP($D112&amp;" (Disposal)",Lists!$C$72:$R$232,COLUMNS(Lists!$C$69:K$69),0)*VLOOKUP(BK$3,Conversions!$B$12:$E$34,4,0),$I112*VLOOKUP($F112,Lists!$C$72:$R$232,COLUMNS(Lists!$C$69:K$69),0)*VLOOKUP(BK$3,Conversions!$B$12:$E$34,4,0)))</f>
        <v>0</v>
      </c>
      <c r="AW112" s="333">
        <f>IF($F112="",0,IF($F112="Weighted Average",$I112*VLOOKUP($D112&amp;" (Disposal)",Lists!$C$72:$R$232,COLUMNS(Lists!$C$69:L$69),0)*VLOOKUP(BL$3,Conversions!$B$12:$E$34,4,0),$I112*VLOOKUP($F112,Lists!$C$72:$R$232,COLUMNS(Lists!$C$69:L$69),0)*VLOOKUP(BL$3,Conversions!$B$12:$E$34,4,0)))</f>
        <v>0</v>
      </c>
      <c r="AX112" s="333">
        <f>IF($F112="",0,IF($F112="Weighted Average",$I112*VLOOKUP($D112&amp;" (Disposal)",Lists!$C$72:$R$232,COLUMNS(Lists!$C$69:M$69),0)*VLOOKUP(BM$3,Conversions!$B$12:$E$34,4,0),$I112*VLOOKUP($F112,Lists!$C$72:$R$232,COLUMNS(Lists!$C$69:M$69),0)*VLOOKUP(BM$3,Conversions!$B$12:$E$34,4,0)))</f>
        <v>0</v>
      </c>
      <c r="AY112" s="333">
        <f>IF($F112="",0,IF($F112="Weighted Average",$I112*VLOOKUP($D112&amp;" (Disposal)",Lists!$C$72:$R$232,COLUMNS(Lists!$C$69:N$69),0)*VLOOKUP(BN$3,Conversions!$B$12:$E$34,4,0),$I112*VLOOKUP($F112,Lists!$C$72:$R$232,COLUMNS(Lists!$C$69:N$69),0)*VLOOKUP(BN$3,Conversions!$B$12:$E$34,4,0)))</f>
        <v>0</v>
      </c>
      <c r="AZ112" s="333">
        <f>IF($F112="",0,IF($F112="Weighted Average",$I112*VLOOKUP($D112&amp;" (Disposal)",Lists!$C$72:$R$232,COLUMNS(Lists!$C$69:O$69),0)*VLOOKUP(BO$3,Conversions!$B$12:$E$34,4,0),$I112*VLOOKUP($F112,Lists!$C$72:$R$232,COLUMNS(Lists!$C$69:O$69),0)*VLOOKUP(BO$3,Conversions!$B$12:$E$34,4,0)))</f>
        <v>0</v>
      </c>
      <c r="BA112" s="333">
        <f>IF($F112="",0,IF($F112="Weighted Average",$I112*VLOOKUP($D112&amp;" (Disposal)",Lists!$C$72:$R$232,COLUMNS(Lists!$C$69:P$69),0)*VLOOKUP(BP$3,Conversions!$B$12:$E$34,4,0),$I112*VLOOKUP($F112,Lists!$C$72:$R$232,COLUMNS(Lists!$C$69:P$69),0)*VLOOKUP(BP$3,Conversions!$B$12:$E$34,4,0)))</f>
        <v>0</v>
      </c>
      <c r="BB112" s="333">
        <f>IF($F112="",0,IF($F112="Weighted Average",$I112*VLOOKUP($D112&amp;" (Disposal)",Lists!$C$72:$R$232,COLUMNS(Lists!$C$69:Q$69),0)*VLOOKUP(BQ$3,Conversions!$B$12:$E$34,4,0),$I112*VLOOKUP($F112,Lists!$C$72:$R$232,COLUMNS(Lists!$C$69:Q$69),0)*VLOOKUP(BQ$3,Conversions!$B$12:$E$34,4,0)))</f>
        <v>0</v>
      </c>
      <c r="BC112" s="333">
        <f>IF($F112="",0,IF($F112="Weighted Average",$I112*VLOOKUP($D112&amp;" (Disposal)",Lists!$C$72:$R$232,COLUMNS(Lists!$C$69:R$69),0)*VLOOKUP(BR$3,Conversions!$B$12:$E$34,4,0),$I112*VLOOKUP($F112,Lists!$C$72:$R$232,COLUMNS(Lists!$C$69:R$69),0)*VLOOKUP(BR$3,Conversions!$B$12:$E$34,4,0)))</f>
        <v>0</v>
      </c>
      <c r="BD112" s="333">
        <f t="shared" si="104"/>
        <v>0</v>
      </c>
      <c r="BE112" s="330">
        <f t="shared" si="105"/>
        <v>0</v>
      </c>
      <c r="BF112" s="330">
        <f t="shared" si="106"/>
        <v>0</v>
      </c>
      <c r="BG112" s="330">
        <f t="shared" si="107"/>
        <v>0</v>
      </c>
      <c r="BH112" s="330">
        <f t="shared" si="108"/>
        <v>0</v>
      </c>
      <c r="BI112" s="330">
        <f t="shared" si="109"/>
        <v>0</v>
      </c>
      <c r="BJ112" s="330">
        <f t="shared" si="110"/>
        <v>0</v>
      </c>
      <c r="BK112" s="330">
        <f t="shared" si="111"/>
        <v>0</v>
      </c>
      <c r="BL112" s="330">
        <f t="shared" si="112"/>
        <v>0</v>
      </c>
      <c r="BM112" s="330">
        <f t="shared" si="113"/>
        <v>0</v>
      </c>
      <c r="BN112" s="330">
        <f t="shared" si="114"/>
        <v>0</v>
      </c>
      <c r="BO112" s="330">
        <f t="shared" si="115"/>
        <v>0</v>
      </c>
      <c r="BP112" s="330">
        <f t="shared" si="116"/>
        <v>0</v>
      </c>
      <c r="BQ112" s="330">
        <f t="shared" si="117"/>
        <v>0</v>
      </c>
      <c r="BR112" s="330">
        <f t="shared" si="118"/>
        <v>0</v>
      </c>
      <c r="BS112" s="330">
        <f t="shared" si="119"/>
        <v>0</v>
      </c>
      <c r="BT112" s="329">
        <f t="shared" si="134"/>
        <v>0</v>
      </c>
      <c r="BU112" s="329">
        <f t="shared" si="134"/>
        <v>0</v>
      </c>
      <c r="BV112" s="329">
        <f t="shared" si="134"/>
        <v>0</v>
      </c>
      <c r="BW112" s="329">
        <f t="shared" si="134"/>
        <v>0</v>
      </c>
      <c r="BX112" s="329">
        <f t="shared" si="134"/>
        <v>0</v>
      </c>
      <c r="BY112" s="329">
        <f t="shared" si="134"/>
        <v>0</v>
      </c>
      <c r="BZ112" s="329">
        <f t="shared" si="134"/>
        <v>0</v>
      </c>
      <c r="CA112" s="329">
        <f t="shared" si="134"/>
        <v>0</v>
      </c>
      <c r="CB112" s="329">
        <f t="shared" si="134"/>
        <v>0</v>
      </c>
      <c r="CC112" s="329">
        <f t="shared" si="134"/>
        <v>0</v>
      </c>
      <c r="CD112" s="329">
        <f t="shared" si="134"/>
        <v>0</v>
      </c>
      <c r="CE112" s="329">
        <f t="shared" si="134"/>
        <v>0</v>
      </c>
      <c r="CF112" s="329">
        <f t="shared" si="134"/>
        <v>0</v>
      </c>
      <c r="CG112" s="329">
        <f t="shared" si="134"/>
        <v>0</v>
      </c>
      <c r="CH112" s="329">
        <f t="shared" si="134"/>
        <v>0</v>
      </c>
      <c r="CI112" s="329">
        <f t="shared" si="134"/>
        <v>0</v>
      </c>
      <c r="CJ112" s="331">
        <f t="shared" si="121"/>
        <v>0</v>
      </c>
      <c r="CK112" s="330">
        <f t="shared" si="122"/>
        <v>0</v>
      </c>
      <c r="CL112" s="330">
        <f t="shared" si="123"/>
        <v>0</v>
      </c>
      <c r="CM112" s="330">
        <f t="shared" si="124"/>
        <v>0</v>
      </c>
      <c r="CN112" s="330">
        <f t="shared" si="125"/>
        <v>0</v>
      </c>
      <c r="CO112" s="330">
        <f t="shared" si="126"/>
        <v>0</v>
      </c>
      <c r="CP112" s="330">
        <f t="shared" si="127"/>
        <v>0</v>
      </c>
      <c r="CQ112" s="330">
        <f t="shared" si="94"/>
        <v>0</v>
      </c>
      <c r="CR112" s="330">
        <f t="shared" si="128"/>
        <v>0</v>
      </c>
      <c r="CS112" s="330">
        <f t="shared" si="129"/>
        <v>0</v>
      </c>
      <c r="CT112" s="330">
        <f t="shared" si="130"/>
        <v>0</v>
      </c>
      <c r="CU112" s="330">
        <f t="shared" si="135"/>
        <v>0</v>
      </c>
      <c r="CV112" s="330">
        <f t="shared" si="135"/>
        <v>0</v>
      </c>
      <c r="CW112" s="330">
        <f t="shared" si="135"/>
        <v>0</v>
      </c>
      <c r="CX112" s="330">
        <f t="shared" si="135"/>
        <v>0</v>
      </c>
      <c r="CY112" s="330">
        <f t="shared" si="135"/>
        <v>0</v>
      </c>
      <c r="CZ112" s="330">
        <f t="shared" si="135"/>
        <v>0</v>
      </c>
      <c r="DA112" s="330">
        <f t="shared" si="135"/>
        <v>0</v>
      </c>
      <c r="DB112" s="330">
        <f t="shared" si="135"/>
        <v>0</v>
      </c>
      <c r="DC112" s="330">
        <f t="shared" si="135"/>
        <v>0</v>
      </c>
      <c r="DD112" s="330">
        <f t="shared" si="135"/>
        <v>0</v>
      </c>
      <c r="DE112" s="330">
        <f t="shared" si="136"/>
        <v>0</v>
      </c>
      <c r="DF112" s="330">
        <f t="shared" si="136"/>
        <v>0</v>
      </c>
      <c r="DG112" s="330">
        <f t="shared" si="136"/>
        <v>0</v>
      </c>
      <c r="DH112" s="330">
        <f t="shared" si="136"/>
        <v>0</v>
      </c>
      <c r="DI112" s="330">
        <f t="shared" si="136"/>
        <v>0</v>
      </c>
      <c r="DJ112" s="330">
        <f t="shared" si="136"/>
        <v>0</v>
      </c>
      <c r="DK112" s="330">
        <f t="shared" si="136"/>
        <v>0</v>
      </c>
      <c r="DL112" s="330">
        <f t="shared" si="136"/>
        <v>0</v>
      </c>
      <c r="DM112" s="330">
        <f t="shared" si="136"/>
        <v>0</v>
      </c>
      <c r="DN112" s="330">
        <f t="shared" si="136"/>
        <v>0</v>
      </c>
      <c r="DO112" s="330">
        <f t="shared" si="136"/>
        <v>0</v>
      </c>
      <c r="DP112" s="330">
        <f t="shared" si="133"/>
        <v>0</v>
      </c>
      <c r="DQ112" s="217"/>
      <c r="DR112" s="217"/>
      <c r="DS112" s="217"/>
      <c r="DT112" s="217"/>
    </row>
    <row r="113" spans="1:124" x14ac:dyDescent="0.3">
      <c r="A113" s="324"/>
      <c r="B113" s="221" t="s">
        <v>305</v>
      </c>
      <c r="C113" s="221" t="str">
        <f>IF(Screening!C43=0,"",Screening!C43)</f>
        <v/>
      </c>
      <c r="D113" s="221" t="str">
        <f>IF(Screening!D43=0,"",Screening!D43)</f>
        <v/>
      </c>
      <c r="E113" s="221" t="str">
        <f>IF(Screening!E43=0,"",Screening!E43)</f>
        <v/>
      </c>
      <c r="F113" s="221" t="str">
        <f>IF(Screening!F43=0,"",Screening!F43)</f>
        <v/>
      </c>
      <c r="G113" s="272">
        <f>Screening!G43*Screening!O43*Conversions!$C$4</f>
        <v>0</v>
      </c>
      <c r="H113" s="272">
        <f>Screening!H43*Screening!P43*Screening!I43*Conversions!$C$4</f>
        <v>0</v>
      </c>
      <c r="I113" s="272">
        <f>Screening!J43*Screening!Q43*(1-Screening!R43)*Conversions!$C$4</f>
        <v>0</v>
      </c>
      <c r="J113" s="325">
        <f>IF(Screening!S43=0,0,Screening!S43)</f>
        <v>0</v>
      </c>
      <c r="K113" s="465"/>
      <c r="L113" s="333">
        <f>IF($F113="",0,IF($F113="Weighted Average",$G113*VLOOKUP($D113&amp;" (Install)",Lists!$C$72:$R$232,COLUMNS(Lists!$C$69:E$69),0)*VLOOKUP(BE$3,Conversions!$B$12:$E$34,4,0),$G113*VLOOKUP($F113,Lists!$C$72:$R$232,COLUMNS(Lists!$C$69:E$69),0)*VLOOKUP(BE$3,Conversions!$B$12:$E$34,4,0)))</f>
        <v>0</v>
      </c>
      <c r="M113" s="333">
        <f>IF($F113="",0,IF($F113="Weighted Average",$G113*VLOOKUP($D113&amp;" (Install)",Lists!$C$72:$R$232,COLUMNS(Lists!$C$69:F$69),0)*VLOOKUP(BF$3,Conversions!$B$12:$E$34,4,0),$G113*VLOOKUP($F113,Lists!$C$72:$R$232,COLUMNS(Lists!$C$69:F$69),0)*VLOOKUP(BF$3,Conversions!$B$12:$E$34,4,0)))</f>
        <v>0</v>
      </c>
      <c r="N113" s="333">
        <f>IF($F113="",0,IF($F113="Weighted Average",$G113*VLOOKUP($D113&amp;" (Install)",Lists!$C$72:$R$232,COLUMNS(Lists!$C$69:G$69),0)*VLOOKUP(BG$3,Conversions!$B$12:$E$34,4,0),$G113*VLOOKUP($F113,Lists!$C$72:$R$232,COLUMNS(Lists!$C$69:G$69),0)*VLOOKUP(BG$3,Conversions!$B$12:$E$34,4,0)))</f>
        <v>0</v>
      </c>
      <c r="O113" s="333">
        <f>IF($F113="",0,IF($F113="Weighted Average",$G113*VLOOKUP($D113&amp;" (Install)",Lists!$C$72:$R$232,COLUMNS(Lists!$C$69:H$69),0)*VLOOKUP(BH$3,Conversions!$B$12:$E$34,4,0),$G113*VLOOKUP($F113,Lists!$C$72:$R$232,COLUMNS(Lists!$C$69:H$69),0)*VLOOKUP(BH$3,Conversions!$B$12:$E$34,4,0)))</f>
        <v>0</v>
      </c>
      <c r="P113" s="333">
        <f>IF($F113="",0,IF($F113="Weighted Average",$G113*VLOOKUP($D113&amp;" (Install)",Lists!$C$72:$R$232,COLUMNS(Lists!$C$69:I$69),0)*VLOOKUP(BI$3,Conversions!$B$12:$E$34,4,0),$G113*VLOOKUP($F113,Lists!$C$72:$R$232,COLUMNS(Lists!$C$69:I$69),0)*VLOOKUP(BI$3,Conversions!$B$12:$E$34,4,0)))</f>
        <v>0</v>
      </c>
      <c r="Q113" s="333">
        <f>IF($F113="",0,IF($F113="Weighted Average",$G113*VLOOKUP($D113&amp;" (Install)",Lists!$C$72:$R$232,COLUMNS(Lists!$C$69:J$69),0)*VLOOKUP(BJ$3,Conversions!$B$12:$E$34,4,0),$G113*VLOOKUP($F113,Lists!$C$72:$R$232,COLUMNS(Lists!$C$69:J$69),0)*VLOOKUP(BJ$3,Conversions!$B$12:$E$34,4,0)))</f>
        <v>0</v>
      </c>
      <c r="R113" s="333">
        <f>IF($F113="",0,IF($F113="Weighted Average",$G113*VLOOKUP($D113&amp;" (Install)",Lists!$C$72:$R$232,COLUMNS(Lists!$C$69:K$69),0)*VLOOKUP(BK$3,Conversions!$B$12:$E$34,4,0),$G113*VLOOKUP($F113,Lists!$C$72:$R$232,COLUMNS(Lists!$C$69:K$69),0)*VLOOKUP(BK$3,Conversions!$B$12:$E$34,4,0)))</f>
        <v>0</v>
      </c>
      <c r="S113" s="333">
        <f>IF($F113="",0,IF($F113="Weighted Average",$G113*VLOOKUP($D113&amp;" (Install)",Lists!$C$72:$R$232,COLUMNS(Lists!$C$69:L$69),0)*VLOOKUP(BL$3,Conversions!$B$12:$E$34,4,0),$G113*VLOOKUP($F113,Lists!$C$72:$R$232,COLUMNS(Lists!$C$69:L$69),0)*VLOOKUP(BL$3,Conversions!$B$12:$E$34,4,0)))</f>
        <v>0</v>
      </c>
      <c r="T113" s="333">
        <f>IF($F113="",0,IF($F113="Weighted Average",$G113*VLOOKUP($D113&amp;" (Install)",Lists!$C$72:$R$232,COLUMNS(Lists!$C$69:M$69),0)*VLOOKUP(BM$3,Conversions!$B$12:$E$34,4,0),$G113*VLOOKUP($F113,Lists!$C$72:$R$232,COLUMNS(Lists!$C$69:M$69),0)*VLOOKUP(BM$3,Conversions!$B$12:$E$34,4,0)))</f>
        <v>0</v>
      </c>
      <c r="U113" s="333">
        <f>IF($F113="",0,IF($F113="Weighted Average",$G113*VLOOKUP($D113&amp;" (Install)",Lists!$C$72:$R$232,COLUMNS(Lists!$C$69:N$69),0)*VLOOKUP(BN$3,Conversions!$B$12:$E$34,4,0),$G113*VLOOKUP($F113,Lists!$C$72:$R$232,COLUMNS(Lists!$C$69:N$69),0)*VLOOKUP(BN$3,Conversions!$B$12:$E$34,4,0)))</f>
        <v>0</v>
      </c>
      <c r="V113" s="333">
        <f>IF($F113="",0,IF($F113="Weighted Average",$G113*VLOOKUP($D113&amp;" (Install)",Lists!$C$72:$R$232,COLUMNS(Lists!$C$69:O$69),0)*VLOOKUP(BO$3,Conversions!$B$12:$E$34,4,0),$G113*VLOOKUP($F113,Lists!$C$72:$R$232,COLUMNS(Lists!$C$69:O$69),0)*VLOOKUP(BO$3,Conversions!$B$12:$E$34,4,0)))</f>
        <v>0</v>
      </c>
      <c r="W113" s="333">
        <f>IF($F113="",0,IF($F113="Weighted Average",$G113*VLOOKUP($D113&amp;" (Install)",Lists!$C$72:$R$232,COLUMNS(Lists!$C$69:P$69),0)*VLOOKUP(BP$3,Conversions!$B$12:$E$34,4,0),$G113*VLOOKUP($F113,Lists!$C$72:$R$232,COLUMNS(Lists!$C$69:P$69),0)*VLOOKUP(BP$3,Conversions!$B$12:$E$34,4,0)))</f>
        <v>0</v>
      </c>
      <c r="X113" s="333">
        <f>IF($F113="",0,IF($F113="Weighted Average",$G113*VLOOKUP($D113&amp;" (Install)",Lists!$C$72:$R$232,COLUMNS(Lists!$C$69:Q$69),0)*VLOOKUP(BQ$3,Conversions!$B$12:$E$34,4,0),$G113*VLOOKUP($F113,Lists!$C$72:$R$232,COLUMNS(Lists!$C$69:Q$69),0)*VLOOKUP(BQ$3,Conversions!$B$12:$E$34,4,0)))</f>
        <v>0</v>
      </c>
      <c r="Y113" s="333">
        <f>IF($F113="",0,IF($F113="Weighted Average",$G113*VLOOKUP($D113&amp;" (Install)",Lists!$C$72:$R$232,COLUMNS(Lists!$C$69:R$69),0)*VLOOKUP(BR$3,Conversions!$B$12:$E$34,4,0),$G113*VLOOKUP($F113,Lists!$C$72:$R$232,COLUMNS(Lists!$C$69:R$69),0)*VLOOKUP(BR$3,Conversions!$B$12:$E$34,4,0)))</f>
        <v>0</v>
      </c>
      <c r="Z113" s="325">
        <f t="shared" si="102"/>
        <v>0</v>
      </c>
      <c r="AA113" s="334">
        <f>IF($F113="",0,IF($F113="Weighted Average",$H113*VLOOKUP($D113&amp;" (Operation)",Lists!$C$72:$R$232,COLUMNS(Lists!$C$69:E$69),0)*VLOOKUP(BE$3,Conversions!$B$12:$E$34,4,0),$H113*VLOOKUP($F113,Lists!$C$72:$R$232,COLUMNS(Lists!$C$69:E$69),0)*VLOOKUP(BE$3,Conversions!$B$12:$E$34,4,0)))</f>
        <v>0</v>
      </c>
      <c r="AB113" s="334">
        <f>IF($F113="",0,IF($F113="Weighted Average",$H113*VLOOKUP($D113&amp;" (Operation)",Lists!$C$72:$R$232,COLUMNS(Lists!$C$69:F$69),0)*VLOOKUP(BF$3,Conversions!$B$12:$E$34,4,0),$H113*VLOOKUP($F113,Lists!$C$72:$R$232,COLUMNS(Lists!$C$69:F$69),0)*VLOOKUP(BF$3,Conversions!$B$12:$E$34,4,0)))</f>
        <v>0</v>
      </c>
      <c r="AC113" s="334">
        <f>IF($F113="",0,IF($F113="Weighted Average",$H113*VLOOKUP($D113&amp;" (Operation)",Lists!$C$72:$R$232,COLUMNS(Lists!$C$69:G$69),0)*VLOOKUP(BG$3,Conversions!$B$12:$E$34,4,0),$H113*VLOOKUP($F113,Lists!$C$72:$R$232,COLUMNS(Lists!$C$69:G$69),0)*VLOOKUP(BG$3,Conversions!$B$12:$E$34,4,0)))</f>
        <v>0</v>
      </c>
      <c r="AD113" s="334">
        <f>IF($F113="",0,IF($F113="Weighted Average",$H113*VLOOKUP($D113&amp;" (Operation)",Lists!$C$72:$R$232,COLUMNS(Lists!$C$69:H$69),0)*VLOOKUP(BH$3,Conversions!$B$12:$E$34,4,0),$H113*VLOOKUP($F113,Lists!$C$72:$R$232,COLUMNS(Lists!$C$69:H$69),0)*VLOOKUP(BH$3,Conversions!$B$12:$E$34,4,0)))</f>
        <v>0</v>
      </c>
      <c r="AE113" s="334">
        <f>IF($F113="",0,IF($F113="Weighted Average",$H113*VLOOKUP($D113&amp;" (Operation)",Lists!$C$72:$R$232,COLUMNS(Lists!$C$69:I$69),0)*VLOOKUP(BI$3,Conversions!$B$12:$E$34,4,0),$H113*VLOOKUP($F113,Lists!$C$72:$R$232,COLUMNS(Lists!$C$69:I$69),0)*VLOOKUP(BI$3,Conversions!$B$12:$E$34,4,0)))</f>
        <v>0</v>
      </c>
      <c r="AF113" s="334">
        <f>IF($F113="",0,IF($F113="Weighted Average",$H113*VLOOKUP($D113&amp;" (Operation)",Lists!$C$72:$R$232,COLUMNS(Lists!$C$69:J$69),0)*VLOOKUP(BJ$3,Conversions!$B$12:$E$34,4,0),$H113*VLOOKUP($F113,Lists!$C$72:$R$232,COLUMNS(Lists!$C$69:J$69),0)*VLOOKUP(BJ$3,Conversions!$B$12:$E$34,4,0)))</f>
        <v>0</v>
      </c>
      <c r="AG113" s="334">
        <f>IF($F113="",0,IF($F113="Weighted Average",$H113*VLOOKUP($D113&amp;" (Operation)",Lists!$C$72:$R$232,COLUMNS(Lists!$C$69:K$69),0)*VLOOKUP(BK$3,Conversions!$B$12:$E$34,4,0),$H113*VLOOKUP($F113,Lists!$C$72:$R$232,COLUMNS(Lists!$C$69:K$69),0)*VLOOKUP(BK$3,Conversions!$B$12:$E$34,4,0)))</f>
        <v>0</v>
      </c>
      <c r="AH113" s="334">
        <f>IF($F113="",0,IF($F113="Weighted Average",$H113*VLOOKUP($D113&amp;" (Operation)",Lists!$C$72:$R$232,COLUMNS(Lists!$C$69:L$69),0)*VLOOKUP(BL$3,Conversions!$B$12:$E$34,4,0),$H113*VLOOKUP($F113,Lists!$C$72:$R$232,COLUMNS(Lists!$C$69:L$69),0)*VLOOKUP(BL$3,Conversions!$B$12:$E$34,4,0)))</f>
        <v>0</v>
      </c>
      <c r="AI113" s="334">
        <f>IF($F113="",0,IF($F113="Weighted Average",$H113*VLOOKUP($D113&amp;" (Operation)",Lists!$C$72:$R$232,COLUMNS(Lists!$C$69:M$69),0)*VLOOKUP(BM$3,Conversions!$B$12:$E$34,4,0),$H113*VLOOKUP($F113,Lists!$C$72:$R$232,COLUMNS(Lists!$C$69:M$69),0)*VLOOKUP(BM$3,Conversions!$B$12:$E$34,4,0)))</f>
        <v>0</v>
      </c>
      <c r="AJ113" s="334">
        <f>IF($F113="",0,IF($F113="Weighted Average",$H113*VLOOKUP($D113&amp;" (Operation)",Lists!$C$72:$R$232,COLUMNS(Lists!$C$69:N$69),0)*VLOOKUP(BN$3,Conversions!$B$12:$E$34,4,0),$H113*VLOOKUP($F113,Lists!$C$72:$R$232,COLUMNS(Lists!$C$69:N$69),0)*VLOOKUP(BN$3,Conversions!$B$12:$E$34,4,0)))</f>
        <v>0</v>
      </c>
      <c r="AK113" s="334">
        <f>IF($F113="",0,IF($F113="Weighted Average",$H113*VLOOKUP($D113&amp;" (Operation)",Lists!$C$72:$R$232,COLUMNS(Lists!$C$69:O$69),0)*VLOOKUP(BO$3,Conversions!$B$12:$E$34,4,0),$H113*VLOOKUP($F113,Lists!$C$72:$R$232,COLUMNS(Lists!$C$69:O$69),0)*VLOOKUP(BO$3,Conversions!$B$12:$E$34,4,0)))</f>
        <v>0</v>
      </c>
      <c r="AL113" s="334">
        <f>IF($F113="",0,IF($F113="Weighted Average",$H113*VLOOKUP($D113&amp;" (Operation)",Lists!$C$72:$R$232,COLUMNS(Lists!$C$69:P$69),0)*VLOOKUP(BP$3,Conversions!$B$12:$E$34,4,0),$H113*VLOOKUP($F113,Lists!$C$72:$R$232,COLUMNS(Lists!$C$69:P$69),0)*VLOOKUP(BP$3,Conversions!$B$12:$E$34,4,0)))</f>
        <v>0</v>
      </c>
      <c r="AM113" s="334">
        <f>IF($F113="",0,IF($F113="Weighted Average",$H113*VLOOKUP($D113&amp;" (Operation)",Lists!$C$72:$R$232,COLUMNS(Lists!$C$69:Q$69),0)*VLOOKUP(BQ$3,Conversions!$B$12:$E$34,4,0),$H113*VLOOKUP($F113,Lists!$C$72:$R$232,COLUMNS(Lists!$C$69:Q$69),0)*VLOOKUP(BQ$3,Conversions!$B$12:$E$34,4,0)))</f>
        <v>0</v>
      </c>
      <c r="AN113" s="334">
        <f>IF($F113="",0,IF($F113="Weighted Average",$H113*VLOOKUP($D113&amp;" (Operation)",Lists!$C$72:$R$232,COLUMNS(Lists!$C$69:R$69),0)*VLOOKUP(BR$3,Conversions!$B$12:$E$34,4,0),$H113*VLOOKUP($F113,Lists!$C$72:$R$232,COLUMNS(Lists!$C$69:R$69),0)*VLOOKUP(BR$3,Conversions!$B$12:$E$34,4,0)))</f>
        <v>0</v>
      </c>
      <c r="AO113" s="330">
        <f t="shared" si="103"/>
        <v>0</v>
      </c>
      <c r="AP113" s="333">
        <f>IF($F113="",0,IF($F113="Weighted Average",$I113*VLOOKUP($D113&amp;" (Disposal)",Lists!$C$72:$R$232,COLUMNS(Lists!$C$69:E$69),0)*VLOOKUP(BE$3,Conversions!$B$12:$E$34,4,0),$I113*VLOOKUP($F113,Lists!$C$72:$R$232,COLUMNS(Lists!$C$69:E$69),0)*VLOOKUP(BE$3,Conversions!$B$12:$E$34,4,0)))</f>
        <v>0</v>
      </c>
      <c r="AQ113" s="333">
        <f>IF($F113="",0,IF($F113="Weighted Average",$I113*VLOOKUP($D113&amp;" (Disposal)",Lists!$C$72:$R$232,COLUMNS(Lists!$C$69:F$69),0)*VLOOKUP(BF$3,Conversions!$B$12:$E$34,4,0),$I113*VLOOKUP($F113,Lists!$C$72:$R$232,COLUMNS(Lists!$C$69:F$69),0)*VLOOKUP(BF$3,Conversions!$B$12:$E$34,4,0)))</f>
        <v>0</v>
      </c>
      <c r="AR113" s="333">
        <f>IF($F113="",0,IF($F113="Weighted Average",$I113*VLOOKUP($D113&amp;" (Disposal)",Lists!$C$72:$R$232,COLUMNS(Lists!$C$69:G$69),0)*VLOOKUP(BG$3,Conversions!$B$12:$E$34,4,0),$I113*VLOOKUP($F113,Lists!$C$72:$R$232,COLUMNS(Lists!$C$69:G$69),0)*VLOOKUP(BG$3,Conversions!$B$12:$E$34,4,0)))</f>
        <v>0</v>
      </c>
      <c r="AS113" s="333">
        <f>IF($F113="",0,IF($F113="Weighted Average",$I113*VLOOKUP($D113&amp;" (Disposal)",Lists!$C$72:$R$232,COLUMNS(Lists!$C$69:H$69),0)*VLOOKUP(BH$3,Conversions!$B$12:$E$34,4,0),$I113*VLOOKUP($F113,Lists!$C$72:$R$232,COLUMNS(Lists!$C$69:H$69),0)*VLOOKUP(BH$3,Conversions!$B$12:$E$34,4,0)))</f>
        <v>0</v>
      </c>
      <c r="AT113" s="333">
        <f>IF($F113="",0,IF($F113="Weighted Average",$I113*VLOOKUP($D113&amp;" (Disposal)",Lists!$C$72:$R$232,COLUMNS(Lists!$C$69:I$69),0)*VLOOKUP(BI$3,Conversions!$B$12:$E$34,4,0),$I113*VLOOKUP($F113,Lists!$C$72:$R$232,COLUMNS(Lists!$C$69:I$69),0)*VLOOKUP(BI$3,Conversions!$B$12:$E$34,4,0)))</f>
        <v>0</v>
      </c>
      <c r="AU113" s="333">
        <f>IF($F113="",0,IF($F113="Weighted Average",$I113*VLOOKUP($D113&amp;" (Disposal)",Lists!$C$72:$R$232,COLUMNS(Lists!$C$69:J$69),0)*VLOOKUP(BJ$3,Conversions!$B$12:$E$34,4,0),$I113*VLOOKUP($F113,Lists!$C$72:$R$232,COLUMNS(Lists!$C$69:J$69),0)*VLOOKUP(BJ$3,Conversions!$B$12:$E$34,4,0)))</f>
        <v>0</v>
      </c>
      <c r="AV113" s="333">
        <f>IF($F113="",0,IF($F113="Weighted Average",$I113*VLOOKUP($D113&amp;" (Disposal)",Lists!$C$72:$R$232,COLUMNS(Lists!$C$69:K$69),0)*VLOOKUP(BK$3,Conversions!$B$12:$E$34,4,0),$I113*VLOOKUP($F113,Lists!$C$72:$R$232,COLUMNS(Lists!$C$69:K$69),0)*VLOOKUP(BK$3,Conversions!$B$12:$E$34,4,0)))</f>
        <v>0</v>
      </c>
      <c r="AW113" s="333">
        <f>IF($F113="",0,IF($F113="Weighted Average",$I113*VLOOKUP($D113&amp;" (Disposal)",Lists!$C$72:$R$232,COLUMNS(Lists!$C$69:L$69),0)*VLOOKUP(BL$3,Conversions!$B$12:$E$34,4,0),$I113*VLOOKUP($F113,Lists!$C$72:$R$232,COLUMNS(Lists!$C$69:L$69),0)*VLOOKUP(BL$3,Conversions!$B$12:$E$34,4,0)))</f>
        <v>0</v>
      </c>
      <c r="AX113" s="333">
        <f>IF($F113="",0,IF($F113="Weighted Average",$I113*VLOOKUP($D113&amp;" (Disposal)",Lists!$C$72:$R$232,COLUMNS(Lists!$C$69:M$69),0)*VLOOKUP(BM$3,Conversions!$B$12:$E$34,4,0),$I113*VLOOKUP($F113,Lists!$C$72:$R$232,COLUMNS(Lists!$C$69:M$69),0)*VLOOKUP(BM$3,Conversions!$B$12:$E$34,4,0)))</f>
        <v>0</v>
      </c>
      <c r="AY113" s="333">
        <f>IF($F113="",0,IF($F113="Weighted Average",$I113*VLOOKUP($D113&amp;" (Disposal)",Lists!$C$72:$R$232,COLUMNS(Lists!$C$69:N$69),0)*VLOOKUP(BN$3,Conversions!$B$12:$E$34,4,0),$I113*VLOOKUP($F113,Lists!$C$72:$R$232,COLUMNS(Lists!$C$69:N$69),0)*VLOOKUP(BN$3,Conversions!$B$12:$E$34,4,0)))</f>
        <v>0</v>
      </c>
      <c r="AZ113" s="333">
        <f>IF($F113="",0,IF($F113="Weighted Average",$I113*VLOOKUP($D113&amp;" (Disposal)",Lists!$C$72:$R$232,COLUMNS(Lists!$C$69:O$69),0)*VLOOKUP(BO$3,Conversions!$B$12:$E$34,4,0),$I113*VLOOKUP($F113,Lists!$C$72:$R$232,COLUMNS(Lists!$C$69:O$69),0)*VLOOKUP(BO$3,Conversions!$B$12:$E$34,4,0)))</f>
        <v>0</v>
      </c>
      <c r="BA113" s="333">
        <f>IF($F113="",0,IF($F113="Weighted Average",$I113*VLOOKUP($D113&amp;" (Disposal)",Lists!$C$72:$R$232,COLUMNS(Lists!$C$69:P$69),0)*VLOOKUP(BP$3,Conversions!$B$12:$E$34,4,0),$I113*VLOOKUP($F113,Lists!$C$72:$R$232,COLUMNS(Lists!$C$69:P$69),0)*VLOOKUP(BP$3,Conversions!$B$12:$E$34,4,0)))</f>
        <v>0</v>
      </c>
      <c r="BB113" s="333">
        <f>IF($F113="",0,IF($F113="Weighted Average",$I113*VLOOKUP($D113&amp;" (Disposal)",Lists!$C$72:$R$232,COLUMNS(Lists!$C$69:Q$69),0)*VLOOKUP(BQ$3,Conversions!$B$12:$E$34,4,0),$I113*VLOOKUP($F113,Lists!$C$72:$R$232,COLUMNS(Lists!$C$69:Q$69),0)*VLOOKUP(BQ$3,Conversions!$B$12:$E$34,4,0)))</f>
        <v>0</v>
      </c>
      <c r="BC113" s="333">
        <f>IF($F113="",0,IF($F113="Weighted Average",$I113*VLOOKUP($D113&amp;" (Disposal)",Lists!$C$72:$R$232,COLUMNS(Lists!$C$69:R$69),0)*VLOOKUP(BR$3,Conversions!$B$12:$E$34,4,0),$I113*VLOOKUP($F113,Lists!$C$72:$R$232,COLUMNS(Lists!$C$69:R$69),0)*VLOOKUP(BR$3,Conversions!$B$12:$E$34,4,0)))</f>
        <v>0</v>
      </c>
      <c r="BD113" s="333">
        <f t="shared" si="104"/>
        <v>0</v>
      </c>
      <c r="BE113" s="330">
        <f t="shared" si="105"/>
        <v>0</v>
      </c>
      <c r="BF113" s="330">
        <f t="shared" si="106"/>
        <v>0</v>
      </c>
      <c r="BG113" s="330">
        <f t="shared" si="107"/>
        <v>0</v>
      </c>
      <c r="BH113" s="330">
        <f t="shared" si="108"/>
        <v>0</v>
      </c>
      <c r="BI113" s="330">
        <f t="shared" si="109"/>
        <v>0</v>
      </c>
      <c r="BJ113" s="330">
        <f t="shared" si="110"/>
        <v>0</v>
      </c>
      <c r="BK113" s="330">
        <f t="shared" si="111"/>
        <v>0</v>
      </c>
      <c r="BL113" s="330">
        <f t="shared" si="112"/>
        <v>0</v>
      </c>
      <c r="BM113" s="330">
        <f t="shared" si="113"/>
        <v>0</v>
      </c>
      <c r="BN113" s="330">
        <f t="shared" si="114"/>
        <v>0</v>
      </c>
      <c r="BO113" s="330">
        <f t="shared" si="115"/>
        <v>0</v>
      </c>
      <c r="BP113" s="330">
        <f t="shared" si="116"/>
        <v>0</v>
      </c>
      <c r="BQ113" s="330">
        <f t="shared" si="117"/>
        <v>0</v>
      </c>
      <c r="BR113" s="330">
        <f t="shared" si="118"/>
        <v>0</v>
      </c>
      <c r="BS113" s="330">
        <f t="shared" si="119"/>
        <v>0</v>
      </c>
      <c r="BT113" s="329">
        <f t="shared" si="134"/>
        <v>0</v>
      </c>
      <c r="BU113" s="329">
        <f t="shared" si="134"/>
        <v>0</v>
      </c>
      <c r="BV113" s="329">
        <f t="shared" si="134"/>
        <v>0</v>
      </c>
      <c r="BW113" s="329">
        <f t="shared" si="134"/>
        <v>0</v>
      </c>
      <c r="BX113" s="329">
        <f t="shared" si="134"/>
        <v>0</v>
      </c>
      <c r="BY113" s="329">
        <f t="shared" si="134"/>
        <v>0</v>
      </c>
      <c r="BZ113" s="329">
        <f t="shared" si="134"/>
        <v>0</v>
      </c>
      <c r="CA113" s="329">
        <f t="shared" si="134"/>
        <v>0</v>
      </c>
      <c r="CB113" s="329">
        <f t="shared" si="134"/>
        <v>0</v>
      </c>
      <c r="CC113" s="329">
        <f t="shared" si="134"/>
        <v>0</v>
      </c>
      <c r="CD113" s="329">
        <f t="shared" si="134"/>
        <v>0</v>
      </c>
      <c r="CE113" s="329">
        <f t="shared" si="134"/>
        <v>0</v>
      </c>
      <c r="CF113" s="329">
        <f t="shared" si="134"/>
        <v>0</v>
      </c>
      <c r="CG113" s="329">
        <f t="shared" si="134"/>
        <v>0</v>
      </c>
      <c r="CH113" s="329">
        <f t="shared" si="134"/>
        <v>0</v>
      </c>
      <c r="CI113" s="329">
        <f t="shared" si="134"/>
        <v>0</v>
      </c>
      <c r="CJ113" s="331">
        <f t="shared" si="121"/>
        <v>0</v>
      </c>
      <c r="CK113" s="330">
        <f t="shared" si="122"/>
        <v>0</v>
      </c>
      <c r="CL113" s="330">
        <f t="shared" si="123"/>
        <v>0</v>
      </c>
      <c r="CM113" s="330">
        <f t="shared" si="124"/>
        <v>0</v>
      </c>
      <c r="CN113" s="330">
        <f t="shared" si="125"/>
        <v>0</v>
      </c>
      <c r="CO113" s="330">
        <f t="shared" si="126"/>
        <v>0</v>
      </c>
      <c r="CP113" s="330">
        <f t="shared" si="127"/>
        <v>0</v>
      </c>
      <c r="CQ113" s="330">
        <f t="shared" si="94"/>
        <v>0</v>
      </c>
      <c r="CR113" s="330">
        <f t="shared" si="128"/>
        <v>0</v>
      </c>
      <c r="CS113" s="330">
        <f t="shared" si="129"/>
        <v>0</v>
      </c>
      <c r="CT113" s="330">
        <f t="shared" si="130"/>
        <v>0</v>
      </c>
      <c r="CU113" s="330">
        <f t="shared" si="135"/>
        <v>0</v>
      </c>
      <c r="CV113" s="330">
        <f t="shared" si="135"/>
        <v>0</v>
      </c>
      <c r="CW113" s="330">
        <f t="shared" si="135"/>
        <v>0</v>
      </c>
      <c r="CX113" s="330">
        <f t="shared" si="135"/>
        <v>0</v>
      </c>
      <c r="CY113" s="330">
        <f t="shared" si="135"/>
        <v>0</v>
      </c>
      <c r="CZ113" s="330">
        <f t="shared" si="135"/>
        <v>0</v>
      </c>
      <c r="DA113" s="330">
        <f t="shared" si="135"/>
        <v>0</v>
      </c>
      <c r="DB113" s="330">
        <f t="shared" si="135"/>
        <v>0</v>
      </c>
      <c r="DC113" s="330">
        <f t="shared" si="135"/>
        <v>0</v>
      </c>
      <c r="DD113" s="330">
        <f t="shared" si="135"/>
        <v>0</v>
      </c>
      <c r="DE113" s="330">
        <f t="shared" si="136"/>
        <v>0</v>
      </c>
      <c r="DF113" s="330">
        <f t="shared" si="136"/>
        <v>0</v>
      </c>
      <c r="DG113" s="330">
        <f t="shared" si="136"/>
        <v>0</v>
      </c>
      <c r="DH113" s="330">
        <f t="shared" si="136"/>
        <v>0</v>
      </c>
      <c r="DI113" s="330">
        <f t="shared" si="136"/>
        <v>0</v>
      </c>
      <c r="DJ113" s="330">
        <f t="shared" si="136"/>
        <v>0</v>
      </c>
      <c r="DK113" s="330">
        <f t="shared" si="136"/>
        <v>0</v>
      </c>
      <c r="DL113" s="330">
        <f t="shared" si="136"/>
        <v>0</v>
      </c>
      <c r="DM113" s="330">
        <f t="shared" si="136"/>
        <v>0</v>
      </c>
      <c r="DN113" s="330">
        <f t="shared" si="136"/>
        <v>0</v>
      </c>
      <c r="DO113" s="330">
        <f t="shared" si="136"/>
        <v>0</v>
      </c>
      <c r="DP113" s="330">
        <f t="shared" si="133"/>
        <v>0</v>
      </c>
      <c r="DQ113" s="217"/>
      <c r="DR113" s="217"/>
      <c r="DS113" s="217"/>
      <c r="DT113" s="217"/>
    </row>
    <row r="114" spans="1:124" x14ac:dyDescent="0.3">
      <c r="A114" s="324"/>
      <c r="B114" s="221" t="s">
        <v>305</v>
      </c>
      <c r="C114" s="221" t="str">
        <f>IF(Screening!C44=0,"",Screening!C44)</f>
        <v/>
      </c>
      <c r="D114" s="221" t="str">
        <f>IF(Screening!D44=0,"",Screening!D44)</f>
        <v/>
      </c>
      <c r="E114" s="221" t="str">
        <f>IF(Screening!E44=0,"",Screening!E44)</f>
        <v/>
      </c>
      <c r="F114" s="221" t="str">
        <f>IF(Screening!F44=0,"",Screening!F44)</f>
        <v/>
      </c>
      <c r="G114" s="272">
        <f>Screening!G44*Screening!O44*Conversions!$C$4</f>
        <v>0</v>
      </c>
      <c r="H114" s="272">
        <f>Screening!H44*Screening!P44*Screening!I44*Conversions!$C$4</f>
        <v>0</v>
      </c>
      <c r="I114" s="272">
        <f>Screening!J44*Screening!Q44*(1-Screening!R44)*Conversions!$C$4</f>
        <v>0</v>
      </c>
      <c r="J114" s="325">
        <f>IF(Screening!S44=0,0,Screening!S44)</f>
        <v>0</v>
      </c>
      <c r="K114" s="465"/>
      <c r="L114" s="333">
        <f>IF($F114="",0,IF($F114="Weighted Average",$G114*VLOOKUP($D114&amp;" (Install)",Lists!$C$72:$R$232,COLUMNS(Lists!$C$69:E$69),0)*VLOOKUP(BE$3,Conversions!$B$12:$E$34,4,0),$G114*VLOOKUP($F114,Lists!$C$72:$R$232,COLUMNS(Lists!$C$69:E$69),0)*VLOOKUP(BE$3,Conversions!$B$12:$E$34,4,0)))</f>
        <v>0</v>
      </c>
      <c r="M114" s="333">
        <f>IF($F114="",0,IF($F114="Weighted Average",$G114*VLOOKUP($D114&amp;" (Install)",Lists!$C$72:$R$232,COLUMNS(Lists!$C$69:F$69),0)*VLOOKUP(BF$3,Conversions!$B$12:$E$34,4,0),$G114*VLOOKUP($F114,Lists!$C$72:$R$232,COLUMNS(Lists!$C$69:F$69),0)*VLOOKUP(BF$3,Conversions!$B$12:$E$34,4,0)))</f>
        <v>0</v>
      </c>
      <c r="N114" s="333">
        <f>IF($F114="",0,IF($F114="Weighted Average",$G114*VLOOKUP($D114&amp;" (Install)",Lists!$C$72:$R$232,COLUMNS(Lists!$C$69:G$69),0)*VLOOKUP(BG$3,Conversions!$B$12:$E$34,4,0),$G114*VLOOKUP($F114,Lists!$C$72:$R$232,COLUMNS(Lists!$C$69:G$69),0)*VLOOKUP(BG$3,Conversions!$B$12:$E$34,4,0)))</f>
        <v>0</v>
      </c>
      <c r="O114" s="333">
        <f>IF($F114="",0,IF($F114="Weighted Average",$G114*VLOOKUP($D114&amp;" (Install)",Lists!$C$72:$R$232,COLUMNS(Lists!$C$69:H$69),0)*VLOOKUP(BH$3,Conversions!$B$12:$E$34,4,0),$G114*VLOOKUP($F114,Lists!$C$72:$R$232,COLUMNS(Lists!$C$69:H$69),0)*VLOOKUP(BH$3,Conversions!$B$12:$E$34,4,0)))</f>
        <v>0</v>
      </c>
      <c r="P114" s="333">
        <f>IF($F114="",0,IF($F114="Weighted Average",$G114*VLOOKUP($D114&amp;" (Install)",Lists!$C$72:$R$232,COLUMNS(Lists!$C$69:I$69),0)*VLOOKUP(BI$3,Conversions!$B$12:$E$34,4,0),$G114*VLOOKUP($F114,Lists!$C$72:$R$232,COLUMNS(Lists!$C$69:I$69),0)*VLOOKUP(BI$3,Conversions!$B$12:$E$34,4,0)))</f>
        <v>0</v>
      </c>
      <c r="Q114" s="333">
        <f>IF($F114="",0,IF($F114="Weighted Average",$G114*VLOOKUP($D114&amp;" (Install)",Lists!$C$72:$R$232,COLUMNS(Lists!$C$69:J$69),0)*VLOOKUP(BJ$3,Conversions!$B$12:$E$34,4,0),$G114*VLOOKUP($F114,Lists!$C$72:$R$232,COLUMNS(Lists!$C$69:J$69),0)*VLOOKUP(BJ$3,Conversions!$B$12:$E$34,4,0)))</f>
        <v>0</v>
      </c>
      <c r="R114" s="333">
        <f>IF($F114="",0,IF($F114="Weighted Average",$G114*VLOOKUP($D114&amp;" (Install)",Lists!$C$72:$R$232,COLUMNS(Lists!$C$69:K$69),0)*VLOOKUP(BK$3,Conversions!$B$12:$E$34,4,0),$G114*VLOOKUP($F114,Lists!$C$72:$R$232,COLUMNS(Lists!$C$69:K$69),0)*VLOOKUP(BK$3,Conversions!$B$12:$E$34,4,0)))</f>
        <v>0</v>
      </c>
      <c r="S114" s="333">
        <f>IF($F114="",0,IF($F114="Weighted Average",$G114*VLOOKUP($D114&amp;" (Install)",Lists!$C$72:$R$232,COLUMNS(Lists!$C$69:L$69),0)*VLOOKUP(BL$3,Conversions!$B$12:$E$34,4,0),$G114*VLOOKUP($F114,Lists!$C$72:$R$232,COLUMNS(Lists!$C$69:L$69),0)*VLOOKUP(BL$3,Conversions!$B$12:$E$34,4,0)))</f>
        <v>0</v>
      </c>
      <c r="T114" s="333">
        <f>IF($F114="",0,IF($F114="Weighted Average",$G114*VLOOKUP($D114&amp;" (Install)",Lists!$C$72:$R$232,COLUMNS(Lists!$C$69:M$69),0)*VLOOKUP(BM$3,Conversions!$B$12:$E$34,4,0),$G114*VLOOKUP($F114,Lists!$C$72:$R$232,COLUMNS(Lists!$C$69:M$69),0)*VLOOKUP(BM$3,Conversions!$B$12:$E$34,4,0)))</f>
        <v>0</v>
      </c>
      <c r="U114" s="333">
        <f>IF($F114="",0,IF($F114="Weighted Average",$G114*VLOOKUP($D114&amp;" (Install)",Lists!$C$72:$R$232,COLUMNS(Lists!$C$69:N$69),0)*VLOOKUP(BN$3,Conversions!$B$12:$E$34,4,0),$G114*VLOOKUP($F114,Lists!$C$72:$R$232,COLUMNS(Lists!$C$69:N$69),0)*VLOOKUP(BN$3,Conversions!$B$12:$E$34,4,0)))</f>
        <v>0</v>
      </c>
      <c r="V114" s="333">
        <f>IF($F114="",0,IF($F114="Weighted Average",$G114*VLOOKUP($D114&amp;" (Install)",Lists!$C$72:$R$232,COLUMNS(Lists!$C$69:O$69),0)*VLOOKUP(BO$3,Conversions!$B$12:$E$34,4,0),$G114*VLOOKUP($F114,Lists!$C$72:$R$232,COLUMNS(Lists!$C$69:O$69),0)*VLOOKUP(BO$3,Conversions!$B$12:$E$34,4,0)))</f>
        <v>0</v>
      </c>
      <c r="W114" s="333">
        <f>IF($F114="",0,IF($F114="Weighted Average",$G114*VLOOKUP($D114&amp;" (Install)",Lists!$C$72:$R$232,COLUMNS(Lists!$C$69:P$69),0)*VLOOKUP(BP$3,Conversions!$B$12:$E$34,4,0),$G114*VLOOKUP($F114,Lists!$C$72:$R$232,COLUMNS(Lists!$C$69:P$69),0)*VLOOKUP(BP$3,Conversions!$B$12:$E$34,4,0)))</f>
        <v>0</v>
      </c>
      <c r="X114" s="333">
        <f>IF($F114="",0,IF($F114="Weighted Average",$G114*VLOOKUP($D114&amp;" (Install)",Lists!$C$72:$R$232,COLUMNS(Lists!$C$69:Q$69),0)*VLOOKUP(BQ$3,Conversions!$B$12:$E$34,4,0),$G114*VLOOKUP($F114,Lists!$C$72:$R$232,COLUMNS(Lists!$C$69:Q$69),0)*VLOOKUP(BQ$3,Conversions!$B$12:$E$34,4,0)))</f>
        <v>0</v>
      </c>
      <c r="Y114" s="333">
        <f>IF($F114="",0,IF($F114="Weighted Average",$G114*VLOOKUP($D114&amp;" (Install)",Lists!$C$72:$R$232,COLUMNS(Lists!$C$69:R$69),0)*VLOOKUP(BR$3,Conversions!$B$12:$E$34,4,0),$G114*VLOOKUP($F114,Lists!$C$72:$R$232,COLUMNS(Lists!$C$69:R$69),0)*VLOOKUP(BR$3,Conversions!$B$12:$E$34,4,0)))</f>
        <v>0</v>
      </c>
      <c r="Z114" s="325">
        <f t="shared" si="38"/>
        <v>0</v>
      </c>
      <c r="AA114" s="334">
        <f>IF($F114="",0,IF($F114="Weighted Average",$H114*VLOOKUP($D114&amp;" (Operation)",Lists!$C$72:$R$232,COLUMNS(Lists!$C$69:E$69),0)*VLOOKUP(BE$3,Conversions!$B$12:$E$34,4,0),$H114*VLOOKUP($F114,Lists!$C$72:$R$232,COLUMNS(Lists!$C$69:E$69),0)*VLOOKUP(BE$3,Conversions!$B$12:$E$34,4,0)))</f>
        <v>0</v>
      </c>
      <c r="AB114" s="334">
        <f>IF($F114="",0,IF($F114="Weighted Average",$H114*VLOOKUP($D114&amp;" (Operation)",Lists!$C$72:$R$232,COLUMNS(Lists!$C$69:F$69),0)*VLOOKUP(BF$3,Conversions!$B$12:$E$34,4,0),$H114*VLOOKUP($F114,Lists!$C$72:$R$232,COLUMNS(Lists!$C$69:F$69),0)*VLOOKUP(BF$3,Conversions!$B$12:$E$34,4,0)))</f>
        <v>0</v>
      </c>
      <c r="AC114" s="334">
        <f>IF($F114="",0,IF($F114="Weighted Average",$H114*VLOOKUP($D114&amp;" (Operation)",Lists!$C$72:$R$232,COLUMNS(Lists!$C$69:G$69),0)*VLOOKUP(BG$3,Conversions!$B$12:$E$34,4,0),$H114*VLOOKUP($F114,Lists!$C$72:$R$232,COLUMNS(Lists!$C$69:G$69),0)*VLOOKUP(BG$3,Conversions!$B$12:$E$34,4,0)))</f>
        <v>0</v>
      </c>
      <c r="AD114" s="334">
        <f>IF($F114="",0,IF($F114="Weighted Average",$H114*VLOOKUP($D114&amp;" (Operation)",Lists!$C$72:$R$232,COLUMNS(Lists!$C$69:H$69),0)*VLOOKUP(BH$3,Conversions!$B$12:$E$34,4,0),$H114*VLOOKUP($F114,Lists!$C$72:$R$232,COLUMNS(Lists!$C$69:H$69),0)*VLOOKUP(BH$3,Conversions!$B$12:$E$34,4,0)))</f>
        <v>0</v>
      </c>
      <c r="AE114" s="334">
        <f>IF($F114="",0,IF($F114="Weighted Average",$H114*VLOOKUP($D114&amp;" (Operation)",Lists!$C$72:$R$232,COLUMNS(Lists!$C$69:I$69),0)*VLOOKUP(BI$3,Conversions!$B$12:$E$34,4,0),$H114*VLOOKUP($F114,Lists!$C$72:$R$232,COLUMNS(Lists!$C$69:I$69),0)*VLOOKUP(BI$3,Conversions!$B$12:$E$34,4,0)))</f>
        <v>0</v>
      </c>
      <c r="AF114" s="334">
        <f>IF($F114="",0,IF($F114="Weighted Average",$H114*VLOOKUP($D114&amp;" (Operation)",Lists!$C$72:$R$232,COLUMNS(Lists!$C$69:J$69),0)*VLOOKUP(BJ$3,Conversions!$B$12:$E$34,4,0),$H114*VLOOKUP($F114,Lists!$C$72:$R$232,COLUMNS(Lists!$C$69:J$69),0)*VLOOKUP(BJ$3,Conversions!$B$12:$E$34,4,0)))</f>
        <v>0</v>
      </c>
      <c r="AG114" s="334">
        <f>IF($F114="",0,IF($F114="Weighted Average",$H114*VLOOKUP($D114&amp;" (Operation)",Lists!$C$72:$R$232,COLUMNS(Lists!$C$69:K$69),0)*VLOOKUP(BK$3,Conversions!$B$12:$E$34,4,0),$H114*VLOOKUP($F114,Lists!$C$72:$R$232,COLUMNS(Lists!$C$69:K$69),0)*VLOOKUP(BK$3,Conversions!$B$12:$E$34,4,0)))</f>
        <v>0</v>
      </c>
      <c r="AH114" s="334">
        <f>IF($F114="",0,IF($F114="Weighted Average",$H114*VLOOKUP($D114&amp;" (Operation)",Lists!$C$72:$R$232,COLUMNS(Lists!$C$69:L$69),0)*VLOOKUP(BL$3,Conversions!$B$12:$E$34,4,0),$H114*VLOOKUP($F114,Lists!$C$72:$R$232,COLUMNS(Lists!$C$69:L$69),0)*VLOOKUP(BL$3,Conversions!$B$12:$E$34,4,0)))</f>
        <v>0</v>
      </c>
      <c r="AI114" s="334">
        <f>IF($F114="",0,IF($F114="Weighted Average",$H114*VLOOKUP($D114&amp;" (Operation)",Lists!$C$72:$R$232,COLUMNS(Lists!$C$69:M$69),0)*VLOOKUP(BM$3,Conversions!$B$12:$E$34,4,0),$H114*VLOOKUP($F114,Lists!$C$72:$R$232,COLUMNS(Lists!$C$69:M$69),0)*VLOOKUP(BM$3,Conversions!$B$12:$E$34,4,0)))</f>
        <v>0</v>
      </c>
      <c r="AJ114" s="334">
        <f>IF($F114="",0,IF($F114="Weighted Average",$H114*VLOOKUP($D114&amp;" (Operation)",Lists!$C$72:$R$232,COLUMNS(Lists!$C$69:N$69),0)*VLOOKUP(BN$3,Conversions!$B$12:$E$34,4,0),$H114*VLOOKUP($F114,Lists!$C$72:$R$232,COLUMNS(Lists!$C$69:N$69),0)*VLOOKUP(BN$3,Conversions!$B$12:$E$34,4,0)))</f>
        <v>0</v>
      </c>
      <c r="AK114" s="334">
        <f>IF($F114="",0,IF($F114="Weighted Average",$H114*VLOOKUP($D114&amp;" (Operation)",Lists!$C$72:$R$232,COLUMNS(Lists!$C$69:O$69),0)*VLOOKUP(BO$3,Conversions!$B$12:$E$34,4,0),$H114*VLOOKUP($F114,Lists!$C$72:$R$232,COLUMNS(Lists!$C$69:O$69),0)*VLOOKUP(BO$3,Conversions!$B$12:$E$34,4,0)))</f>
        <v>0</v>
      </c>
      <c r="AL114" s="334">
        <f>IF($F114="",0,IF($F114="Weighted Average",$H114*VLOOKUP($D114&amp;" (Operation)",Lists!$C$72:$R$232,COLUMNS(Lists!$C$69:P$69),0)*VLOOKUP(BP$3,Conversions!$B$12:$E$34,4,0),$H114*VLOOKUP($F114,Lists!$C$72:$R$232,COLUMNS(Lists!$C$69:P$69),0)*VLOOKUP(BP$3,Conversions!$B$12:$E$34,4,0)))</f>
        <v>0</v>
      </c>
      <c r="AM114" s="334">
        <f>IF($F114="",0,IF($F114="Weighted Average",$H114*VLOOKUP($D114&amp;" (Operation)",Lists!$C$72:$R$232,COLUMNS(Lists!$C$69:Q$69),0)*VLOOKUP(BQ$3,Conversions!$B$12:$E$34,4,0),$H114*VLOOKUP($F114,Lists!$C$72:$R$232,COLUMNS(Lists!$C$69:Q$69),0)*VLOOKUP(BQ$3,Conversions!$B$12:$E$34,4,0)))</f>
        <v>0</v>
      </c>
      <c r="AN114" s="334">
        <f>IF($F114="",0,IF($F114="Weighted Average",$H114*VLOOKUP($D114&amp;" (Operation)",Lists!$C$72:$R$232,COLUMNS(Lists!$C$69:R$69),0)*VLOOKUP(BR$3,Conversions!$B$12:$E$34,4,0),$H114*VLOOKUP($F114,Lists!$C$72:$R$232,COLUMNS(Lists!$C$69:R$69),0)*VLOOKUP(BR$3,Conversions!$B$12:$E$34,4,0)))</f>
        <v>0</v>
      </c>
      <c r="AO114" s="330">
        <f t="shared" si="39"/>
        <v>0</v>
      </c>
      <c r="AP114" s="333">
        <f>IF($F114="",0,IF($F114="Weighted Average",$I114*VLOOKUP($D114&amp;" (Disposal)",Lists!$C$72:$R$232,COLUMNS(Lists!$C$69:E$69),0)*VLOOKUP(BE$3,Conversions!$B$12:$E$34,4,0),$I114*VLOOKUP($F114,Lists!$C$72:$R$232,COLUMNS(Lists!$C$69:E$69),0)*VLOOKUP(BE$3,Conversions!$B$12:$E$34,4,0)))</f>
        <v>0</v>
      </c>
      <c r="AQ114" s="333">
        <f>IF($F114="",0,IF($F114="Weighted Average",$I114*VLOOKUP($D114&amp;" (Disposal)",Lists!$C$72:$R$232,COLUMNS(Lists!$C$69:F$69),0)*VLOOKUP(BF$3,Conversions!$B$12:$E$34,4,0),$I114*VLOOKUP($F114,Lists!$C$72:$R$232,COLUMNS(Lists!$C$69:F$69),0)*VLOOKUP(BF$3,Conversions!$B$12:$E$34,4,0)))</f>
        <v>0</v>
      </c>
      <c r="AR114" s="333">
        <f>IF($F114="",0,IF($F114="Weighted Average",$I114*VLOOKUP($D114&amp;" (Disposal)",Lists!$C$72:$R$232,COLUMNS(Lists!$C$69:G$69),0)*VLOOKUP(BG$3,Conversions!$B$12:$E$34,4,0),$I114*VLOOKUP($F114,Lists!$C$72:$R$232,COLUMNS(Lists!$C$69:G$69),0)*VLOOKUP(BG$3,Conversions!$B$12:$E$34,4,0)))</f>
        <v>0</v>
      </c>
      <c r="AS114" s="333">
        <f>IF($F114="",0,IF($F114="Weighted Average",$I114*VLOOKUP($D114&amp;" (Disposal)",Lists!$C$72:$R$232,COLUMNS(Lists!$C$69:H$69),0)*VLOOKUP(BH$3,Conversions!$B$12:$E$34,4,0),$I114*VLOOKUP($F114,Lists!$C$72:$R$232,COLUMNS(Lists!$C$69:H$69),0)*VLOOKUP(BH$3,Conversions!$B$12:$E$34,4,0)))</f>
        <v>0</v>
      </c>
      <c r="AT114" s="333">
        <f>IF($F114="",0,IF($F114="Weighted Average",$I114*VLOOKUP($D114&amp;" (Disposal)",Lists!$C$72:$R$232,COLUMNS(Lists!$C$69:I$69),0)*VLOOKUP(BI$3,Conversions!$B$12:$E$34,4,0),$I114*VLOOKUP($F114,Lists!$C$72:$R$232,COLUMNS(Lists!$C$69:I$69),0)*VLOOKUP(BI$3,Conversions!$B$12:$E$34,4,0)))</f>
        <v>0</v>
      </c>
      <c r="AU114" s="333">
        <f>IF($F114="",0,IF($F114="Weighted Average",$I114*VLOOKUP($D114&amp;" (Disposal)",Lists!$C$72:$R$232,COLUMNS(Lists!$C$69:J$69),0)*VLOOKUP(BJ$3,Conversions!$B$12:$E$34,4,0),$I114*VLOOKUP($F114,Lists!$C$72:$R$232,COLUMNS(Lists!$C$69:J$69),0)*VLOOKUP(BJ$3,Conversions!$B$12:$E$34,4,0)))</f>
        <v>0</v>
      </c>
      <c r="AV114" s="333">
        <f>IF($F114="",0,IF($F114="Weighted Average",$I114*VLOOKUP($D114&amp;" (Disposal)",Lists!$C$72:$R$232,COLUMNS(Lists!$C$69:K$69),0)*VLOOKUP(BK$3,Conversions!$B$12:$E$34,4,0),$I114*VLOOKUP($F114,Lists!$C$72:$R$232,COLUMNS(Lists!$C$69:K$69),0)*VLOOKUP(BK$3,Conversions!$B$12:$E$34,4,0)))</f>
        <v>0</v>
      </c>
      <c r="AW114" s="333">
        <f>IF($F114="",0,IF($F114="Weighted Average",$I114*VLOOKUP($D114&amp;" (Disposal)",Lists!$C$72:$R$232,COLUMNS(Lists!$C$69:L$69),0)*VLOOKUP(BL$3,Conversions!$B$12:$E$34,4,0),$I114*VLOOKUP($F114,Lists!$C$72:$R$232,COLUMNS(Lists!$C$69:L$69),0)*VLOOKUP(BL$3,Conversions!$B$12:$E$34,4,0)))</f>
        <v>0</v>
      </c>
      <c r="AX114" s="333">
        <f>IF($F114="",0,IF($F114="Weighted Average",$I114*VLOOKUP($D114&amp;" (Disposal)",Lists!$C$72:$R$232,COLUMNS(Lists!$C$69:M$69),0)*VLOOKUP(BM$3,Conversions!$B$12:$E$34,4,0),$I114*VLOOKUP($F114,Lists!$C$72:$R$232,COLUMNS(Lists!$C$69:M$69),0)*VLOOKUP(BM$3,Conversions!$B$12:$E$34,4,0)))</f>
        <v>0</v>
      </c>
      <c r="AY114" s="333">
        <f>IF($F114="",0,IF($F114="Weighted Average",$I114*VLOOKUP($D114&amp;" (Disposal)",Lists!$C$72:$R$232,COLUMNS(Lists!$C$69:N$69),0)*VLOOKUP(BN$3,Conversions!$B$12:$E$34,4,0),$I114*VLOOKUP($F114,Lists!$C$72:$R$232,COLUMNS(Lists!$C$69:N$69),0)*VLOOKUP(BN$3,Conversions!$B$12:$E$34,4,0)))</f>
        <v>0</v>
      </c>
      <c r="AZ114" s="333">
        <f>IF($F114="",0,IF($F114="Weighted Average",$I114*VLOOKUP($D114&amp;" (Disposal)",Lists!$C$72:$R$232,COLUMNS(Lists!$C$69:O$69),0)*VLOOKUP(BO$3,Conversions!$B$12:$E$34,4,0),$I114*VLOOKUP($F114,Lists!$C$72:$R$232,COLUMNS(Lists!$C$69:O$69),0)*VLOOKUP(BO$3,Conversions!$B$12:$E$34,4,0)))</f>
        <v>0</v>
      </c>
      <c r="BA114" s="333">
        <f>IF($F114="",0,IF($F114="Weighted Average",$I114*VLOOKUP($D114&amp;" (Disposal)",Lists!$C$72:$R$232,COLUMNS(Lists!$C$69:P$69),0)*VLOOKUP(BP$3,Conversions!$B$12:$E$34,4,0),$I114*VLOOKUP($F114,Lists!$C$72:$R$232,COLUMNS(Lists!$C$69:P$69),0)*VLOOKUP(BP$3,Conversions!$B$12:$E$34,4,0)))</f>
        <v>0</v>
      </c>
      <c r="BB114" s="333">
        <f>IF($F114="",0,IF($F114="Weighted Average",$I114*VLOOKUP($D114&amp;" (Disposal)",Lists!$C$72:$R$232,COLUMNS(Lists!$C$69:Q$69),0)*VLOOKUP(BQ$3,Conversions!$B$12:$E$34,4,0),$I114*VLOOKUP($F114,Lists!$C$72:$R$232,COLUMNS(Lists!$C$69:Q$69),0)*VLOOKUP(BQ$3,Conversions!$B$12:$E$34,4,0)))</f>
        <v>0</v>
      </c>
      <c r="BC114" s="333">
        <f>IF($F114="",0,IF($F114="Weighted Average",$I114*VLOOKUP($D114&amp;" (Disposal)",Lists!$C$72:$R$232,COLUMNS(Lists!$C$69:R$69),0)*VLOOKUP(BR$3,Conversions!$B$12:$E$34,4,0),$I114*VLOOKUP($F114,Lists!$C$72:$R$232,COLUMNS(Lists!$C$69:R$69),0)*VLOOKUP(BR$3,Conversions!$B$12:$E$34,4,0)))</f>
        <v>0</v>
      </c>
      <c r="BD114" s="333">
        <f t="shared" si="40"/>
        <v>0</v>
      </c>
      <c r="BE114" s="330">
        <f t="shared" si="41"/>
        <v>0</v>
      </c>
      <c r="BF114" s="330">
        <f t="shared" si="42"/>
        <v>0</v>
      </c>
      <c r="BG114" s="330">
        <f t="shared" si="43"/>
        <v>0</v>
      </c>
      <c r="BH114" s="330">
        <f t="shared" si="44"/>
        <v>0</v>
      </c>
      <c r="BI114" s="330">
        <f t="shared" si="45"/>
        <v>0</v>
      </c>
      <c r="BJ114" s="330">
        <f t="shared" si="46"/>
        <v>0</v>
      </c>
      <c r="BK114" s="330">
        <f t="shared" si="47"/>
        <v>0</v>
      </c>
      <c r="BL114" s="330">
        <f t="shared" si="48"/>
        <v>0</v>
      </c>
      <c r="BM114" s="330">
        <f t="shared" si="49"/>
        <v>0</v>
      </c>
      <c r="BN114" s="330">
        <f t="shared" si="50"/>
        <v>0</v>
      </c>
      <c r="BO114" s="330">
        <f t="shared" si="51"/>
        <v>0</v>
      </c>
      <c r="BP114" s="330">
        <f t="shared" si="52"/>
        <v>0</v>
      </c>
      <c r="BQ114" s="330">
        <f t="shared" si="53"/>
        <v>0</v>
      </c>
      <c r="BR114" s="330">
        <f t="shared" si="54"/>
        <v>0</v>
      </c>
      <c r="BS114" s="330">
        <f t="shared" si="55"/>
        <v>0</v>
      </c>
      <c r="BT114" s="329">
        <f t="shared" ref="BT114:CI123" si="137">IF($E114="",0,IF($E114=BT$3,$BS114,0))</f>
        <v>0</v>
      </c>
      <c r="BU114" s="329">
        <f t="shared" si="137"/>
        <v>0</v>
      </c>
      <c r="BV114" s="329">
        <f t="shared" si="137"/>
        <v>0</v>
      </c>
      <c r="BW114" s="329">
        <f t="shared" si="137"/>
        <v>0</v>
      </c>
      <c r="BX114" s="329">
        <f t="shared" si="137"/>
        <v>0</v>
      </c>
      <c r="BY114" s="329">
        <f t="shared" si="137"/>
        <v>0</v>
      </c>
      <c r="BZ114" s="329">
        <f t="shared" si="137"/>
        <v>0</v>
      </c>
      <c r="CA114" s="329">
        <f t="shared" si="137"/>
        <v>0</v>
      </c>
      <c r="CB114" s="329">
        <f t="shared" si="137"/>
        <v>0</v>
      </c>
      <c r="CC114" s="329">
        <f t="shared" si="137"/>
        <v>0</v>
      </c>
      <c r="CD114" s="329">
        <f t="shared" si="137"/>
        <v>0</v>
      </c>
      <c r="CE114" s="329">
        <f t="shared" si="137"/>
        <v>0</v>
      </c>
      <c r="CF114" s="329">
        <f t="shared" si="137"/>
        <v>0</v>
      </c>
      <c r="CG114" s="329">
        <f t="shared" si="137"/>
        <v>0</v>
      </c>
      <c r="CH114" s="329">
        <f t="shared" si="137"/>
        <v>0</v>
      </c>
      <c r="CI114" s="329">
        <f t="shared" si="137"/>
        <v>0</v>
      </c>
      <c r="CJ114" s="331">
        <f t="shared" si="1"/>
        <v>0</v>
      </c>
      <c r="CK114" s="330">
        <f t="shared" si="5"/>
        <v>0</v>
      </c>
      <c r="CL114" s="330">
        <f t="shared" si="6"/>
        <v>0</v>
      </c>
      <c r="CM114" s="330">
        <f t="shared" si="7"/>
        <v>0</v>
      </c>
      <c r="CN114" s="330">
        <f t="shared" si="8"/>
        <v>0</v>
      </c>
      <c r="CO114" s="330">
        <f t="shared" si="9"/>
        <v>0</v>
      </c>
      <c r="CP114" s="330">
        <f t="shared" si="10"/>
        <v>0</v>
      </c>
      <c r="CQ114" s="330">
        <f t="shared" si="94"/>
        <v>0</v>
      </c>
      <c r="CR114" s="330">
        <f t="shared" si="12"/>
        <v>0</v>
      </c>
      <c r="CS114" s="330">
        <f t="shared" si="13"/>
        <v>0</v>
      </c>
      <c r="CT114" s="330">
        <f t="shared" si="14"/>
        <v>0</v>
      </c>
      <c r="CU114" s="330">
        <f t="shared" ref="CU114:DD123" si="138">IF($C114=CU$3,$BS114,0)</f>
        <v>0</v>
      </c>
      <c r="CV114" s="330">
        <f t="shared" si="138"/>
        <v>0</v>
      </c>
      <c r="CW114" s="330">
        <f t="shared" si="138"/>
        <v>0</v>
      </c>
      <c r="CX114" s="330">
        <f t="shared" si="138"/>
        <v>0</v>
      </c>
      <c r="CY114" s="330">
        <f t="shared" si="138"/>
        <v>0</v>
      </c>
      <c r="CZ114" s="330">
        <f t="shared" si="138"/>
        <v>0</v>
      </c>
      <c r="DA114" s="330">
        <f t="shared" si="138"/>
        <v>0</v>
      </c>
      <c r="DB114" s="330">
        <f t="shared" si="138"/>
        <v>0</v>
      </c>
      <c r="DC114" s="330">
        <f t="shared" si="138"/>
        <v>0</v>
      </c>
      <c r="DD114" s="330">
        <f t="shared" si="138"/>
        <v>0</v>
      </c>
      <c r="DE114" s="330">
        <f t="shared" ref="DE114:DO123" si="139">IF($C114=DE$3,$BS114,0)</f>
        <v>0</v>
      </c>
      <c r="DF114" s="330">
        <f t="shared" si="139"/>
        <v>0</v>
      </c>
      <c r="DG114" s="330">
        <f t="shared" si="139"/>
        <v>0</v>
      </c>
      <c r="DH114" s="330">
        <f t="shared" si="139"/>
        <v>0</v>
      </c>
      <c r="DI114" s="330">
        <f t="shared" si="139"/>
        <v>0</v>
      </c>
      <c r="DJ114" s="330">
        <f t="shared" si="139"/>
        <v>0</v>
      </c>
      <c r="DK114" s="330">
        <f t="shared" si="139"/>
        <v>0</v>
      </c>
      <c r="DL114" s="330">
        <f t="shared" si="139"/>
        <v>0</v>
      </c>
      <c r="DM114" s="330">
        <f t="shared" si="139"/>
        <v>0</v>
      </c>
      <c r="DN114" s="330">
        <f t="shared" si="139"/>
        <v>0</v>
      </c>
      <c r="DO114" s="330">
        <f t="shared" si="139"/>
        <v>0</v>
      </c>
      <c r="DP114" s="330">
        <f t="shared" ref="DP114:DP132" si="140">BS114</f>
        <v>0</v>
      </c>
      <c r="DQ114" s="217"/>
      <c r="DR114" s="217"/>
      <c r="DS114" s="217"/>
      <c r="DT114" s="217"/>
    </row>
    <row r="115" spans="1:124" x14ac:dyDescent="0.3">
      <c r="A115" s="324"/>
      <c r="B115" s="221" t="s">
        <v>305</v>
      </c>
      <c r="C115" s="221" t="str">
        <f>IF(Screening!C45=0,"",Screening!C45)</f>
        <v/>
      </c>
      <c r="D115" s="221" t="str">
        <f>IF(Screening!D45=0,"",Screening!D45)</f>
        <v/>
      </c>
      <c r="E115" s="221" t="str">
        <f>IF(Screening!E45=0,"",Screening!E45)</f>
        <v/>
      </c>
      <c r="F115" s="221" t="str">
        <f>IF(Screening!F45=0,"",Screening!F45)</f>
        <v/>
      </c>
      <c r="G115" s="272">
        <f>Screening!G45*Screening!O45*Conversions!$C$4</f>
        <v>0</v>
      </c>
      <c r="H115" s="272">
        <f>Screening!H45*Screening!P45*Screening!I45*Conversions!$C$4</f>
        <v>0</v>
      </c>
      <c r="I115" s="272">
        <f>Screening!J45*Screening!Q45*(1-Screening!R45)*Conversions!$C$4</f>
        <v>0</v>
      </c>
      <c r="J115" s="325">
        <f>IF(Screening!S45=0,0,Screening!S45)</f>
        <v>0</v>
      </c>
      <c r="K115" s="465"/>
      <c r="L115" s="333">
        <f>IF($F115="",0,IF($F115="Weighted Average",$G115*VLOOKUP($D115&amp;" (Install)",Lists!$C$72:$R$232,COLUMNS(Lists!$C$69:E$69),0)*VLOOKUP(BE$3,Conversions!$B$12:$E$34,4,0),$G115*VLOOKUP($F115,Lists!$C$72:$R$232,COLUMNS(Lists!$C$69:E$69),0)*VLOOKUP(BE$3,Conversions!$B$12:$E$34,4,0)))</f>
        <v>0</v>
      </c>
      <c r="M115" s="333">
        <f>IF($F115="",0,IF($F115="Weighted Average",$G115*VLOOKUP($D115&amp;" (Install)",Lists!$C$72:$R$232,COLUMNS(Lists!$C$69:F$69),0)*VLOOKUP(BF$3,Conversions!$B$12:$E$34,4,0),$G115*VLOOKUP($F115,Lists!$C$72:$R$232,COLUMNS(Lists!$C$69:F$69),0)*VLOOKUP(BF$3,Conversions!$B$12:$E$34,4,0)))</f>
        <v>0</v>
      </c>
      <c r="N115" s="333">
        <f>IF($F115="",0,IF($F115="Weighted Average",$G115*VLOOKUP($D115&amp;" (Install)",Lists!$C$72:$R$232,COLUMNS(Lists!$C$69:G$69),0)*VLOOKUP(BG$3,Conversions!$B$12:$E$34,4,0),$G115*VLOOKUP($F115,Lists!$C$72:$R$232,COLUMNS(Lists!$C$69:G$69),0)*VLOOKUP(BG$3,Conversions!$B$12:$E$34,4,0)))</f>
        <v>0</v>
      </c>
      <c r="O115" s="333">
        <f>IF($F115="",0,IF($F115="Weighted Average",$G115*VLOOKUP($D115&amp;" (Install)",Lists!$C$72:$R$232,COLUMNS(Lists!$C$69:H$69),0)*VLOOKUP(BH$3,Conversions!$B$12:$E$34,4,0),$G115*VLOOKUP($F115,Lists!$C$72:$R$232,COLUMNS(Lists!$C$69:H$69),0)*VLOOKUP(BH$3,Conversions!$B$12:$E$34,4,0)))</f>
        <v>0</v>
      </c>
      <c r="P115" s="333">
        <f>IF($F115="",0,IF($F115="Weighted Average",$G115*VLOOKUP($D115&amp;" (Install)",Lists!$C$72:$R$232,COLUMNS(Lists!$C$69:I$69),0)*VLOOKUP(BI$3,Conversions!$B$12:$E$34,4,0),$G115*VLOOKUP($F115,Lists!$C$72:$R$232,COLUMNS(Lists!$C$69:I$69),0)*VLOOKUP(BI$3,Conversions!$B$12:$E$34,4,0)))</f>
        <v>0</v>
      </c>
      <c r="Q115" s="333">
        <f>IF($F115="",0,IF($F115="Weighted Average",$G115*VLOOKUP($D115&amp;" (Install)",Lists!$C$72:$R$232,COLUMNS(Lists!$C$69:J$69),0)*VLOOKUP(BJ$3,Conversions!$B$12:$E$34,4,0),$G115*VLOOKUP($F115,Lists!$C$72:$R$232,COLUMNS(Lists!$C$69:J$69),0)*VLOOKUP(BJ$3,Conversions!$B$12:$E$34,4,0)))</f>
        <v>0</v>
      </c>
      <c r="R115" s="333">
        <f>IF($F115="",0,IF($F115="Weighted Average",$G115*VLOOKUP($D115&amp;" (Install)",Lists!$C$72:$R$232,COLUMNS(Lists!$C$69:K$69),0)*VLOOKUP(BK$3,Conversions!$B$12:$E$34,4,0),$G115*VLOOKUP($F115,Lists!$C$72:$R$232,COLUMNS(Lists!$C$69:K$69),0)*VLOOKUP(BK$3,Conversions!$B$12:$E$34,4,0)))</f>
        <v>0</v>
      </c>
      <c r="S115" s="333">
        <f>IF($F115="",0,IF($F115="Weighted Average",$G115*VLOOKUP($D115&amp;" (Install)",Lists!$C$72:$R$232,COLUMNS(Lists!$C$69:L$69),0)*VLOOKUP(BL$3,Conversions!$B$12:$E$34,4,0),$G115*VLOOKUP($F115,Lists!$C$72:$R$232,COLUMNS(Lists!$C$69:L$69),0)*VLOOKUP(BL$3,Conversions!$B$12:$E$34,4,0)))</f>
        <v>0</v>
      </c>
      <c r="T115" s="333">
        <f>IF($F115="",0,IF($F115="Weighted Average",$G115*VLOOKUP($D115&amp;" (Install)",Lists!$C$72:$R$232,COLUMNS(Lists!$C$69:M$69),0)*VLOOKUP(BM$3,Conversions!$B$12:$E$34,4,0),$G115*VLOOKUP($F115,Lists!$C$72:$R$232,COLUMNS(Lists!$C$69:M$69),0)*VLOOKUP(BM$3,Conversions!$B$12:$E$34,4,0)))</f>
        <v>0</v>
      </c>
      <c r="U115" s="333">
        <f>IF($F115="",0,IF($F115="Weighted Average",$G115*VLOOKUP($D115&amp;" (Install)",Lists!$C$72:$R$232,COLUMNS(Lists!$C$69:N$69),0)*VLOOKUP(BN$3,Conversions!$B$12:$E$34,4,0),$G115*VLOOKUP($F115,Lists!$C$72:$R$232,COLUMNS(Lists!$C$69:N$69),0)*VLOOKUP(BN$3,Conversions!$B$12:$E$34,4,0)))</f>
        <v>0</v>
      </c>
      <c r="V115" s="333">
        <f>IF($F115="",0,IF($F115="Weighted Average",$G115*VLOOKUP($D115&amp;" (Install)",Lists!$C$72:$R$232,COLUMNS(Lists!$C$69:O$69),0)*VLOOKUP(BO$3,Conversions!$B$12:$E$34,4,0),$G115*VLOOKUP($F115,Lists!$C$72:$R$232,COLUMNS(Lists!$C$69:O$69),0)*VLOOKUP(BO$3,Conversions!$B$12:$E$34,4,0)))</f>
        <v>0</v>
      </c>
      <c r="W115" s="333">
        <f>IF($F115="",0,IF($F115="Weighted Average",$G115*VLOOKUP($D115&amp;" (Install)",Lists!$C$72:$R$232,COLUMNS(Lists!$C$69:P$69),0)*VLOOKUP(BP$3,Conversions!$B$12:$E$34,4,0),$G115*VLOOKUP($F115,Lists!$C$72:$R$232,COLUMNS(Lists!$C$69:P$69),0)*VLOOKUP(BP$3,Conversions!$B$12:$E$34,4,0)))</f>
        <v>0</v>
      </c>
      <c r="X115" s="333">
        <f>IF($F115="",0,IF($F115="Weighted Average",$G115*VLOOKUP($D115&amp;" (Install)",Lists!$C$72:$R$232,COLUMNS(Lists!$C$69:Q$69),0)*VLOOKUP(BQ$3,Conversions!$B$12:$E$34,4,0),$G115*VLOOKUP($F115,Lists!$C$72:$R$232,COLUMNS(Lists!$C$69:Q$69),0)*VLOOKUP(BQ$3,Conversions!$B$12:$E$34,4,0)))</f>
        <v>0</v>
      </c>
      <c r="Y115" s="333">
        <f>IF($F115="",0,IF($F115="Weighted Average",$G115*VLOOKUP($D115&amp;" (Install)",Lists!$C$72:$R$232,COLUMNS(Lists!$C$69:R$69),0)*VLOOKUP(BR$3,Conversions!$B$12:$E$34,4,0),$G115*VLOOKUP($F115,Lists!$C$72:$R$232,COLUMNS(Lists!$C$69:R$69),0)*VLOOKUP(BR$3,Conversions!$B$12:$E$34,4,0)))</f>
        <v>0</v>
      </c>
      <c r="Z115" s="325">
        <f t="shared" si="38"/>
        <v>0</v>
      </c>
      <c r="AA115" s="334">
        <f>IF($F115="",0,IF($F115="Weighted Average",$H115*VLOOKUP($D115&amp;" (Operation)",Lists!$C$72:$R$232,COLUMNS(Lists!$C$69:E$69),0)*VLOOKUP(BE$3,Conversions!$B$12:$E$34,4,0),$H115*VLOOKUP($F115,Lists!$C$72:$R$232,COLUMNS(Lists!$C$69:E$69),0)*VLOOKUP(BE$3,Conversions!$B$12:$E$34,4,0)))</f>
        <v>0</v>
      </c>
      <c r="AB115" s="334">
        <f>IF($F115="",0,IF($F115="Weighted Average",$H115*VLOOKUP($D115&amp;" (Operation)",Lists!$C$72:$R$232,COLUMNS(Lists!$C$69:F$69),0)*VLOOKUP(BF$3,Conversions!$B$12:$E$34,4,0),$H115*VLOOKUP($F115,Lists!$C$72:$R$232,COLUMNS(Lists!$C$69:F$69),0)*VLOOKUP(BF$3,Conversions!$B$12:$E$34,4,0)))</f>
        <v>0</v>
      </c>
      <c r="AC115" s="334">
        <f>IF($F115="",0,IF($F115="Weighted Average",$H115*VLOOKUP($D115&amp;" (Operation)",Lists!$C$72:$R$232,COLUMNS(Lists!$C$69:G$69),0)*VLOOKUP(BG$3,Conversions!$B$12:$E$34,4,0),$H115*VLOOKUP($F115,Lists!$C$72:$R$232,COLUMNS(Lists!$C$69:G$69),0)*VLOOKUP(BG$3,Conversions!$B$12:$E$34,4,0)))</f>
        <v>0</v>
      </c>
      <c r="AD115" s="334">
        <f>IF($F115="",0,IF($F115="Weighted Average",$H115*VLOOKUP($D115&amp;" (Operation)",Lists!$C$72:$R$232,COLUMNS(Lists!$C$69:H$69),0)*VLOOKUP(BH$3,Conversions!$B$12:$E$34,4,0),$H115*VLOOKUP($F115,Lists!$C$72:$R$232,COLUMNS(Lists!$C$69:H$69),0)*VLOOKUP(BH$3,Conversions!$B$12:$E$34,4,0)))</f>
        <v>0</v>
      </c>
      <c r="AE115" s="334">
        <f>IF($F115="",0,IF($F115="Weighted Average",$H115*VLOOKUP($D115&amp;" (Operation)",Lists!$C$72:$R$232,COLUMNS(Lists!$C$69:I$69),0)*VLOOKUP(BI$3,Conversions!$B$12:$E$34,4,0),$H115*VLOOKUP($F115,Lists!$C$72:$R$232,COLUMNS(Lists!$C$69:I$69),0)*VLOOKUP(BI$3,Conversions!$B$12:$E$34,4,0)))</f>
        <v>0</v>
      </c>
      <c r="AF115" s="334">
        <f>IF($F115="",0,IF($F115="Weighted Average",$H115*VLOOKUP($D115&amp;" (Operation)",Lists!$C$72:$R$232,COLUMNS(Lists!$C$69:J$69),0)*VLOOKUP(BJ$3,Conversions!$B$12:$E$34,4,0),$H115*VLOOKUP($F115,Lists!$C$72:$R$232,COLUMNS(Lists!$C$69:J$69),0)*VLOOKUP(BJ$3,Conversions!$B$12:$E$34,4,0)))</f>
        <v>0</v>
      </c>
      <c r="AG115" s="334">
        <f>IF($F115="",0,IF($F115="Weighted Average",$H115*VLOOKUP($D115&amp;" (Operation)",Lists!$C$72:$R$232,COLUMNS(Lists!$C$69:K$69),0)*VLOOKUP(BK$3,Conversions!$B$12:$E$34,4,0),$H115*VLOOKUP($F115,Lists!$C$72:$R$232,COLUMNS(Lists!$C$69:K$69),0)*VLOOKUP(BK$3,Conversions!$B$12:$E$34,4,0)))</f>
        <v>0</v>
      </c>
      <c r="AH115" s="334">
        <f>IF($F115="",0,IF($F115="Weighted Average",$H115*VLOOKUP($D115&amp;" (Operation)",Lists!$C$72:$R$232,COLUMNS(Lists!$C$69:L$69),0)*VLOOKUP(BL$3,Conversions!$B$12:$E$34,4,0),$H115*VLOOKUP($F115,Lists!$C$72:$R$232,COLUMNS(Lists!$C$69:L$69),0)*VLOOKUP(BL$3,Conversions!$B$12:$E$34,4,0)))</f>
        <v>0</v>
      </c>
      <c r="AI115" s="334">
        <f>IF($F115="",0,IF($F115="Weighted Average",$H115*VLOOKUP($D115&amp;" (Operation)",Lists!$C$72:$R$232,COLUMNS(Lists!$C$69:M$69),0)*VLOOKUP(BM$3,Conversions!$B$12:$E$34,4,0),$H115*VLOOKUP($F115,Lists!$C$72:$R$232,COLUMNS(Lists!$C$69:M$69),0)*VLOOKUP(BM$3,Conversions!$B$12:$E$34,4,0)))</f>
        <v>0</v>
      </c>
      <c r="AJ115" s="334">
        <f>IF($F115="",0,IF($F115="Weighted Average",$H115*VLOOKUP($D115&amp;" (Operation)",Lists!$C$72:$R$232,COLUMNS(Lists!$C$69:N$69),0)*VLOOKUP(BN$3,Conversions!$B$12:$E$34,4,0),$H115*VLOOKUP($F115,Lists!$C$72:$R$232,COLUMNS(Lists!$C$69:N$69),0)*VLOOKUP(BN$3,Conversions!$B$12:$E$34,4,0)))</f>
        <v>0</v>
      </c>
      <c r="AK115" s="334">
        <f>IF($F115="",0,IF($F115="Weighted Average",$H115*VLOOKUP($D115&amp;" (Operation)",Lists!$C$72:$R$232,COLUMNS(Lists!$C$69:O$69),0)*VLOOKUP(BO$3,Conversions!$B$12:$E$34,4,0),$H115*VLOOKUP($F115,Lists!$C$72:$R$232,COLUMNS(Lists!$C$69:O$69),0)*VLOOKUP(BO$3,Conversions!$B$12:$E$34,4,0)))</f>
        <v>0</v>
      </c>
      <c r="AL115" s="334">
        <f>IF($F115="",0,IF($F115="Weighted Average",$H115*VLOOKUP($D115&amp;" (Operation)",Lists!$C$72:$R$232,COLUMNS(Lists!$C$69:P$69),0)*VLOOKUP(BP$3,Conversions!$B$12:$E$34,4,0),$H115*VLOOKUP($F115,Lists!$C$72:$R$232,COLUMNS(Lists!$C$69:P$69),0)*VLOOKUP(BP$3,Conversions!$B$12:$E$34,4,0)))</f>
        <v>0</v>
      </c>
      <c r="AM115" s="334">
        <f>IF($F115="",0,IF($F115="Weighted Average",$H115*VLOOKUP($D115&amp;" (Operation)",Lists!$C$72:$R$232,COLUMNS(Lists!$C$69:Q$69),0)*VLOOKUP(BQ$3,Conversions!$B$12:$E$34,4,0),$H115*VLOOKUP($F115,Lists!$C$72:$R$232,COLUMNS(Lists!$C$69:Q$69),0)*VLOOKUP(BQ$3,Conversions!$B$12:$E$34,4,0)))</f>
        <v>0</v>
      </c>
      <c r="AN115" s="334">
        <f>IF($F115="",0,IF($F115="Weighted Average",$H115*VLOOKUP($D115&amp;" (Operation)",Lists!$C$72:$R$232,COLUMNS(Lists!$C$69:R$69),0)*VLOOKUP(BR$3,Conversions!$B$12:$E$34,4,0),$H115*VLOOKUP($F115,Lists!$C$72:$R$232,COLUMNS(Lists!$C$69:R$69),0)*VLOOKUP(BR$3,Conversions!$B$12:$E$34,4,0)))</f>
        <v>0</v>
      </c>
      <c r="AO115" s="330">
        <f t="shared" si="39"/>
        <v>0</v>
      </c>
      <c r="AP115" s="333">
        <f>IF($F115="",0,IF($F115="Weighted Average",$I115*VLOOKUP($D115&amp;" (Disposal)",Lists!$C$72:$R$232,COLUMNS(Lists!$C$69:E$69),0)*VLOOKUP(BE$3,Conversions!$B$12:$E$34,4,0),$I115*VLOOKUP($F115,Lists!$C$72:$R$232,COLUMNS(Lists!$C$69:E$69),0)*VLOOKUP(BE$3,Conversions!$B$12:$E$34,4,0)))</f>
        <v>0</v>
      </c>
      <c r="AQ115" s="333">
        <f>IF($F115="",0,IF($F115="Weighted Average",$I115*VLOOKUP($D115&amp;" (Disposal)",Lists!$C$72:$R$232,COLUMNS(Lists!$C$69:F$69),0)*VLOOKUP(BF$3,Conversions!$B$12:$E$34,4,0),$I115*VLOOKUP($F115,Lists!$C$72:$R$232,COLUMNS(Lists!$C$69:F$69),0)*VLOOKUP(BF$3,Conversions!$B$12:$E$34,4,0)))</f>
        <v>0</v>
      </c>
      <c r="AR115" s="333">
        <f>IF($F115="",0,IF($F115="Weighted Average",$I115*VLOOKUP($D115&amp;" (Disposal)",Lists!$C$72:$R$232,COLUMNS(Lists!$C$69:G$69),0)*VLOOKUP(BG$3,Conversions!$B$12:$E$34,4,0),$I115*VLOOKUP($F115,Lists!$C$72:$R$232,COLUMNS(Lists!$C$69:G$69),0)*VLOOKUP(BG$3,Conversions!$B$12:$E$34,4,0)))</f>
        <v>0</v>
      </c>
      <c r="AS115" s="333">
        <f>IF($F115="",0,IF($F115="Weighted Average",$I115*VLOOKUP($D115&amp;" (Disposal)",Lists!$C$72:$R$232,COLUMNS(Lists!$C$69:H$69),0)*VLOOKUP(BH$3,Conversions!$B$12:$E$34,4,0),$I115*VLOOKUP($F115,Lists!$C$72:$R$232,COLUMNS(Lists!$C$69:H$69),0)*VLOOKUP(BH$3,Conversions!$B$12:$E$34,4,0)))</f>
        <v>0</v>
      </c>
      <c r="AT115" s="333">
        <f>IF($F115="",0,IF($F115="Weighted Average",$I115*VLOOKUP($D115&amp;" (Disposal)",Lists!$C$72:$R$232,COLUMNS(Lists!$C$69:I$69),0)*VLOOKUP(BI$3,Conversions!$B$12:$E$34,4,0),$I115*VLOOKUP($F115,Lists!$C$72:$R$232,COLUMNS(Lists!$C$69:I$69),0)*VLOOKUP(BI$3,Conversions!$B$12:$E$34,4,0)))</f>
        <v>0</v>
      </c>
      <c r="AU115" s="333">
        <f>IF($F115="",0,IF($F115="Weighted Average",$I115*VLOOKUP($D115&amp;" (Disposal)",Lists!$C$72:$R$232,COLUMNS(Lists!$C$69:J$69),0)*VLOOKUP(BJ$3,Conversions!$B$12:$E$34,4,0),$I115*VLOOKUP($F115,Lists!$C$72:$R$232,COLUMNS(Lists!$C$69:J$69),0)*VLOOKUP(BJ$3,Conversions!$B$12:$E$34,4,0)))</f>
        <v>0</v>
      </c>
      <c r="AV115" s="333">
        <f>IF($F115="",0,IF($F115="Weighted Average",$I115*VLOOKUP($D115&amp;" (Disposal)",Lists!$C$72:$R$232,COLUMNS(Lists!$C$69:K$69),0)*VLOOKUP(BK$3,Conversions!$B$12:$E$34,4,0),$I115*VLOOKUP($F115,Lists!$C$72:$R$232,COLUMNS(Lists!$C$69:K$69),0)*VLOOKUP(BK$3,Conversions!$B$12:$E$34,4,0)))</f>
        <v>0</v>
      </c>
      <c r="AW115" s="333">
        <f>IF($F115="",0,IF($F115="Weighted Average",$I115*VLOOKUP($D115&amp;" (Disposal)",Lists!$C$72:$R$232,COLUMNS(Lists!$C$69:L$69),0)*VLOOKUP(BL$3,Conversions!$B$12:$E$34,4,0),$I115*VLOOKUP($F115,Lists!$C$72:$R$232,COLUMNS(Lists!$C$69:L$69),0)*VLOOKUP(BL$3,Conversions!$B$12:$E$34,4,0)))</f>
        <v>0</v>
      </c>
      <c r="AX115" s="333">
        <f>IF($F115="",0,IF($F115="Weighted Average",$I115*VLOOKUP($D115&amp;" (Disposal)",Lists!$C$72:$R$232,COLUMNS(Lists!$C$69:M$69),0)*VLOOKUP(BM$3,Conversions!$B$12:$E$34,4,0),$I115*VLOOKUP($F115,Lists!$C$72:$R$232,COLUMNS(Lists!$C$69:M$69),0)*VLOOKUP(BM$3,Conversions!$B$12:$E$34,4,0)))</f>
        <v>0</v>
      </c>
      <c r="AY115" s="333">
        <f>IF($F115="",0,IF($F115="Weighted Average",$I115*VLOOKUP($D115&amp;" (Disposal)",Lists!$C$72:$R$232,COLUMNS(Lists!$C$69:N$69),0)*VLOOKUP(BN$3,Conversions!$B$12:$E$34,4,0),$I115*VLOOKUP($F115,Lists!$C$72:$R$232,COLUMNS(Lists!$C$69:N$69),0)*VLOOKUP(BN$3,Conversions!$B$12:$E$34,4,0)))</f>
        <v>0</v>
      </c>
      <c r="AZ115" s="333">
        <f>IF($F115="",0,IF($F115="Weighted Average",$I115*VLOOKUP($D115&amp;" (Disposal)",Lists!$C$72:$R$232,COLUMNS(Lists!$C$69:O$69),0)*VLOOKUP(BO$3,Conversions!$B$12:$E$34,4,0),$I115*VLOOKUP($F115,Lists!$C$72:$R$232,COLUMNS(Lists!$C$69:O$69),0)*VLOOKUP(BO$3,Conversions!$B$12:$E$34,4,0)))</f>
        <v>0</v>
      </c>
      <c r="BA115" s="333">
        <f>IF($F115="",0,IF($F115="Weighted Average",$I115*VLOOKUP($D115&amp;" (Disposal)",Lists!$C$72:$R$232,COLUMNS(Lists!$C$69:P$69),0)*VLOOKUP(BP$3,Conversions!$B$12:$E$34,4,0),$I115*VLOOKUP($F115,Lists!$C$72:$R$232,COLUMNS(Lists!$C$69:P$69),0)*VLOOKUP(BP$3,Conversions!$B$12:$E$34,4,0)))</f>
        <v>0</v>
      </c>
      <c r="BB115" s="333">
        <f>IF($F115="",0,IF($F115="Weighted Average",$I115*VLOOKUP($D115&amp;" (Disposal)",Lists!$C$72:$R$232,COLUMNS(Lists!$C$69:Q$69),0)*VLOOKUP(BQ$3,Conversions!$B$12:$E$34,4,0),$I115*VLOOKUP($F115,Lists!$C$72:$R$232,COLUMNS(Lists!$C$69:Q$69),0)*VLOOKUP(BQ$3,Conversions!$B$12:$E$34,4,0)))</f>
        <v>0</v>
      </c>
      <c r="BC115" s="333">
        <f>IF($F115="",0,IF($F115="Weighted Average",$I115*VLOOKUP($D115&amp;" (Disposal)",Lists!$C$72:$R$232,COLUMNS(Lists!$C$69:R$69),0)*VLOOKUP(BR$3,Conversions!$B$12:$E$34,4,0),$I115*VLOOKUP($F115,Lists!$C$72:$R$232,COLUMNS(Lists!$C$69:R$69),0)*VLOOKUP(BR$3,Conversions!$B$12:$E$34,4,0)))</f>
        <v>0</v>
      </c>
      <c r="BD115" s="333">
        <f t="shared" si="40"/>
        <v>0</v>
      </c>
      <c r="BE115" s="330">
        <f t="shared" si="41"/>
        <v>0</v>
      </c>
      <c r="BF115" s="330">
        <f t="shared" si="42"/>
        <v>0</v>
      </c>
      <c r="BG115" s="330">
        <f t="shared" si="43"/>
        <v>0</v>
      </c>
      <c r="BH115" s="330">
        <f t="shared" si="44"/>
        <v>0</v>
      </c>
      <c r="BI115" s="330">
        <f t="shared" si="45"/>
        <v>0</v>
      </c>
      <c r="BJ115" s="330">
        <f t="shared" si="46"/>
        <v>0</v>
      </c>
      <c r="BK115" s="330">
        <f t="shared" si="47"/>
        <v>0</v>
      </c>
      <c r="BL115" s="330">
        <f t="shared" si="48"/>
        <v>0</v>
      </c>
      <c r="BM115" s="330">
        <f t="shared" si="49"/>
        <v>0</v>
      </c>
      <c r="BN115" s="330">
        <f t="shared" si="50"/>
        <v>0</v>
      </c>
      <c r="BO115" s="330">
        <f t="shared" si="51"/>
        <v>0</v>
      </c>
      <c r="BP115" s="330">
        <f t="shared" si="52"/>
        <v>0</v>
      </c>
      <c r="BQ115" s="330">
        <f t="shared" si="53"/>
        <v>0</v>
      </c>
      <c r="BR115" s="330">
        <f t="shared" si="54"/>
        <v>0</v>
      </c>
      <c r="BS115" s="330">
        <f t="shared" si="55"/>
        <v>0</v>
      </c>
      <c r="BT115" s="329">
        <f t="shared" si="137"/>
        <v>0</v>
      </c>
      <c r="BU115" s="329">
        <f t="shared" si="137"/>
        <v>0</v>
      </c>
      <c r="BV115" s="329">
        <f t="shared" si="137"/>
        <v>0</v>
      </c>
      <c r="BW115" s="329">
        <f t="shared" si="137"/>
        <v>0</v>
      </c>
      <c r="BX115" s="329">
        <f t="shared" si="137"/>
        <v>0</v>
      </c>
      <c r="BY115" s="329">
        <f t="shared" si="137"/>
        <v>0</v>
      </c>
      <c r="BZ115" s="329">
        <f t="shared" si="137"/>
        <v>0</v>
      </c>
      <c r="CA115" s="329">
        <f t="shared" si="137"/>
        <v>0</v>
      </c>
      <c r="CB115" s="329">
        <f t="shared" si="137"/>
        <v>0</v>
      </c>
      <c r="CC115" s="329">
        <f t="shared" si="137"/>
        <v>0</v>
      </c>
      <c r="CD115" s="329">
        <f t="shared" si="137"/>
        <v>0</v>
      </c>
      <c r="CE115" s="329">
        <f t="shared" si="137"/>
        <v>0</v>
      </c>
      <c r="CF115" s="329">
        <f t="shared" si="137"/>
        <v>0</v>
      </c>
      <c r="CG115" s="329">
        <f t="shared" si="137"/>
        <v>0</v>
      </c>
      <c r="CH115" s="329">
        <f t="shared" si="137"/>
        <v>0</v>
      </c>
      <c r="CI115" s="329">
        <f t="shared" si="137"/>
        <v>0</v>
      </c>
      <c r="CJ115" s="331">
        <f t="shared" si="1"/>
        <v>0</v>
      </c>
      <c r="CK115" s="330">
        <f t="shared" si="5"/>
        <v>0</v>
      </c>
      <c r="CL115" s="330">
        <f t="shared" si="6"/>
        <v>0</v>
      </c>
      <c r="CM115" s="330">
        <f t="shared" si="7"/>
        <v>0</v>
      </c>
      <c r="CN115" s="330">
        <f t="shared" si="8"/>
        <v>0</v>
      </c>
      <c r="CO115" s="330">
        <f t="shared" si="9"/>
        <v>0</v>
      </c>
      <c r="CP115" s="330">
        <f t="shared" si="10"/>
        <v>0</v>
      </c>
      <c r="CQ115" s="330">
        <f t="shared" si="94"/>
        <v>0</v>
      </c>
      <c r="CR115" s="330">
        <f t="shared" si="12"/>
        <v>0</v>
      </c>
      <c r="CS115" s="330">
        <f t="shared" si="13"/>
        <v>0</v>
      </c>
      <c r="CT115" s="330">
        <f t="shared" si="14"/>
        <v>0</v>
      </c>
      <c r="CU115" s="330">
        <f t="shared" si="138"/>
        <v>0</v>
      </c>
      <c r="CV115" s="330">
        <f t="shared" si="138"/>
        <v>0</v>
      </c>
      <c r="CW115" s="330">
        <f t="shared" si="138"/>
        <v>0</v>
      </c>
      <c r="CX115" s="330">
        <f t="shared" si="138"/>
        <v>0</v>
      </c>
      <c r="CY115" s="330">
        <f t="shared" si="138"/>
        <v>0</v>
      </c>
      <c r="CZ115" s="330">
        <f t="shared" si="138"/>
        <v>0</v>
      </c>
      <c r="DA115" s="330">
        <f t="shared" si="138"/>
        <v>0</v>
      </c>
      <c r="DB115" s="330">
        <f t="shared" si="138"/>
        <v>0</v>
      </c>
      <c r="DC115" s="330">
        <f t="shared" si="138"/>
        <v>0</v>
      </c>
      <c r="DD115" s="330">
        <f t="shared" si="138"/>
        <v>0</v>
      </c>
      <c r="DE115" s="330">
        <f t="shared" si="139"/>
        <v>0</v>
      </c>
      <c r="DF115" s="330">
        <f t="shared" si="139"/>
        <v>0</v>
      </c>
      <c r="DG115" s="330">
        <f t="shared" si="139"/>
        <v>0</v>
      </c>
      <c r="DH115" s="330">
        <f t="shared" si="139"/>
        <v>0</v>
      </c>
      <c r="DI115" s="330">
        <f t="shared" si="139"/>
        <v>0</v>
      </c>
      <c r="DJ115" s="330">
        <f t="shared" si="139"/>
        <v>0</v>
      </c>
      <c r="DK115" s="330">
        <f t="shared" si="139"/>
        <v>0</v>
      </c>
      <c r="DL115" s="330">
        <f t="shared" si="139"/>
        <v>0</v>
      </c>
      <c r="DM115" s="330">
        <f t="shared" si="139"/>
        <v>0</v>
      </c>
      <c r="DN115" s="330">
        <f t="shared" si="139"/>
        <v>0</v>
      </c>
      <c r="DO115" s="330">
        <f t="shared" si="139"/>
        <v>0</v>
      </c>
      <c r="DP115" s="330">
        <f t="shared" si="140"/>
        <v>0</v>
      </c>
      <c r="DQ115" s="217"/>
      <c r="DR115" s="217"/>
      <c r="DS115" s="217"/>
      <c r="DT115" s="217"/>
    </row>
    <row r="116" spans="1:124" x14ac:dyDescent="0.3">
      <c r="A116" s="324"/>
      <c r="B116" s="221" t="s">
        <v>305</v>
      </c>
      <c r="C116" s="221" t="str">
        <f>IF(Screening!C46=0,"",Screening!C46)</f>
        <v/>
      </c>
      <c r="D116" s="221" t="str">
        <f>IF(Screening!D46=0,"",Screening!D46)</f>
        <v/>
      </c>
      <c r="E116" s="221" t="str">
        <f>IF(Screening!E46=0,"",Screening!E46)</f>
        <v/>
      </c>
      <c r="F116" s="221" t="str">
        <f>IF(Screening!F46=0,"",Screening!F46)</f>
        <v/>
      </c>
      <c r="G116" s="272">
        <f>Screening!G46*Screening!O46*Conversions!$C$4</f>
        <v>0</v>
      </c>
      <c r="H116" s="272">
        <f>Screening!H46*Screening!P46*Screening!I46*Conversions!$C$4</f>
        <v>0</v>
      </c>
      <c r="I116" s="272">
        <f>Screening!J46*Screening!Q46*(1-Screening!R46)*Conversions!$C$4</f>
        <v>0</v>
      </c>
      <c r="J116" s="325">
        <f>IF(Screening!S46=0,0,Screening!S46)</f>
        <v>0</v>
      </c>
      <c r="K116" s="465"/>
      <c r="L116" s="333">
        <f>IF($F116="",0,IF($F116="Weighted Average",$G116*VLOOKUP($D116&amp;" (Install)",Lists!$C$72:$R$232,COLUMNS(Lists!$C$69:E$69),0)*VLOOKUP(BE$3,Conversions!$B$12:$E$34,4,0),$G116*VLOOKUP($F116,Lists!$C$72:$R$232,COLUMNS(Lists!$C$69:E$69),0)*VLOOKUP(BE$3,Conversions!$B$12:$E$34,4,0)))</f>
        <v>0</v>
      </c>
      <c r="M116" s="333">
        <f>IF($F116="",0,IF($F116="Weighted Average",$G116*VLOOKUP($D116&amp;" (Install)",Lists!$C$72:$R$232,COLUMNS(Lists!$C$69:F$69),0)*VLOOKUP(BF$3,Conversions!$B$12:$E$34,4,0),$G116*VLOOKUP($F116,Lists!$C$72:$R$232,COLUMNS(Lists!$C$69:F$69),0)*VLOOKUP(BF$3,Conversions!$B$12:$E$34,4,0)))</f>
        <v>0</v>
      </c>
      <c r="N116" s="333">
        <f>IF($F116="",0,IF($F116="Weighted Average",$G116*VLOOKUP($D116&amp;" (Install)",Lists!$C$72:$R$232,COLUMNS(Lists!$C$69:G$69),0)*VLOOKUP(BG$3,Conversions!$B$12:$E$34,4,0),$G116*VLOOKUP($F116,Lists!$C$72:$R$232,COLUMNS(Lists!$C$69:G$69),0)*VLOOKUP(BG$3,Conversions!$B$12:$E$34,4,0)))</f>
        <v>0</v>
      </c>
      <c r="O116" s="333">
        <f>IF($F116="",0,IF($F116="Weighted Average",$G116*VLOOKUP($D116&amp;" (Install)",Lists!$C$72:$R$232,COLUMNS(Lists!$C$69:H$69),0)*VLOOKUP(BH$3,Conversions!$B$12:$E$34,4,0),$G116*VLOOKUP($F116,Lists!$C$72:$R$232,COLUMNS(Lists!$C$69:H$69),0)*VLOOKUP(BH$3,Conversions!$B$12:$E$34,4,0)))</f>
        <v>0</v>
      </c>
      <c r="P116" s="333">
        <f>IF($F116="",0,IF($F116="Weighted Average",$G116*VLOOKUP($D116&amp;" (Install)",Lists!$C$72:$R$232,COLUMNS(Lists!$C$69:I$69),0)*VLOOKUP(BI$3,Conversions!$B$12:$E$34,4,0),$G116*VLOOKUP($F116,Lists!$C$72:$R$232,COLUMNS(Lists!$C$69:I$69),0)*VLOOKUP(BI$3,Conversions!$B$12:$E$34,4,0)))</f>
        <v>0</v>
      </c>
      <c r="Q116" s="333">
        <f>IF($F116="",0,IF($F116="Weighted Average",$G116*VLOOKUP($D116&amp;" (Install)",Lists!$C$72:$R$232,COLUMNS(Lists!$C$69:J$69),0)*VLOOKUP(BJ$3,Conversions!$B$12:$E$34,4,0),$G116*VLOOKUP($F116,Lists!$C$72:$R$232,COLUMNS(Lists!$C$69:J$69),0)*VLOOKUP(BJ$3,Conversions!$B$12:$E$34,4,0)))</f>
        <v>0</v>
      </c>
      <c r="R116" s="333">
        <f>IF($F116="",0,IF($F116="Weighted Average",$G116*VLOOKUP($D116&amp;" (Install)",Lists!$C$72:$R$232,COLUMNS(Lists!$C$69:K$69),0)*VLOOKUP(BK$3,Conversions!$B$12:$E$34,4,0),$G116*VLOOKUP($F116,Lists!$C$72:$R$232,COLUMNS(Lists!$C$69:K$69),0)*VLOOKUP(BK$3,Conversions!$B$12:$E$34,4,0)))</f>
        <v>0</v>
      </c>
      <c r="S116" s="333">
        <f>IF($F116="",0,IF($F116="Weighted Average",$G116*VLOOKUP($D116&amp;" (Install)",Lists!$C$72:$R$232,COLUMNS(Lists!$C$69:L$69),0)*VLOOKUP(BL$3,Conversions!$B$12:$E$34,4,0),$G116*VLOOKUP($F116,Lists!$C$72:$R$232,COLUMNS(Lists!$C$69:L$69),0)*VLOOKUP(BL$3,Conversions!$B$12:$E$34,4,0)))</f>
        <v>0</v>
      </c>
      <c r="T116" s="333">
        <f>IF($F116="",0,IF($F116="Weighted Average",$G116*VLOOKUP($D116&amp;" (Install)",Lists!$C$72:$R$232,COLUMNS(Lists!$C$69:M$69),0)*VLOOKUP(BM$3,Conversions!$B$12:$E$34,4,0),$G116*VLOOKUP($F116,Lists!$C$72:$R$232,COLUMNS(Lists!$C$69:M$69),0)*VLOOKUP(BM$3,Conversions!$B$12:$E$34,4,0)))</f>
        <v>0</v>
      </c>
      <c r="U116" s="333">
        <f>IF($F116="",0,IF($F116="Weighted Average",$G116*VLOOKUP($D116&amp;" (Install)",Lists!$C$72:$R$232,COLUMNS(Lists!$C$69:N$69),0)*VLOOKUP(BN$3,Conversions!$B$12:$E$34,4,0),$G116*VLOOKUP($F116,Lists!$C$72:$R$232,COLUMNS(Lists!$C$69:N$69),0)*VLOOKUP(BN$3,Conversions!$B$12:$E$34,4,0)))</f>
        <v>0</v>
      </c>
      <c r="V116" s="333">
        <f>IF($F116="",0,IF($F116="Weighted Average",$G116*VLOOKUP($D116&amp;" (Install)",Lists!$C$72:$R$232,COLUMNS(Lists!$C$69:O$69),0)*VLOOKUP(BO$3,Conversions!$B$12:$E$34,4,0),$G116*VLOOKUP($F116,Lists!$C$72:$R$232,COLUMNS(Lists!$C$69:O$69),0)*VLOOKUP(BO$3,Conversions!$B$12:$E$34,4,0)))</f>
        <v>0</v>
      </c>
      <c r="W116" s="333">
        <f>IF($F116="",0,IF($F116="Weighted Average",$G116*VLOOKUP($D116&amp;" (Install)",Lists!$C$72:$R$232,COLUMNS(Lists!$C$69:P$69),0)*VLOOKUP(BP$3,Conversions!$B$12:$E$34,4,0),$G116*VLOOKUP($F116,Lists!$C$72:$R$232,COLUMNS(Lists!$C$69:P$69),0)*VLOOKUP(BP$3,Conversions!$B$12:$E$34,4,0)))</f>
        <v>0</v>
      </c>
      <c r="X116" s="333">
        <f>IF($F116="",0,IF($F116="Weighted Average",$G116*VLOOKUP($D116&amp;" (Install)",Lists!$C$72:$R$232,COLUMNS(Lists!$C$69:Q$69),0)*VLOOKUP(BQ$3,Conversions!$B$12:$E$34,4,0),$G116*VLOOKUP($F116,Lists!$C$72:$R$232,COLUMNS(Lists!$C$69:Q$69),0)*VLOOKUP(BQ$3,Conversions!$B$12:$E$34,4,0)))</f>
        <v>0</v>
      </c>
      <c r="Y116" s="333">
        <f>IF($F116="",0,IF($F116="Weighted Average",$G116*VLOOKUP($D116&amp;" (Install)",Lists!$C$72:$R$232,COLUMNS(Lists!$C$69:R$69),0)*VLOOKUP(BR$3,Conversions!$B$12:$E$34,4,0),$G116*VLOOKUP($F116,Lists!$C$72:$R$232,COLUMNS(Lists!$C$69:R$69),0)*VLOOKUP(BR$3,Conversions!$B$12:$E$34,4,0)))</f>
        <v>0</v>
      </c>
      <c r="Z116" s="325">
        <f t="shared" si="38"/>
        <v>0</v>
      </c>
      <c r="AA116" s="334">
        <f>IF($F116="",0,IF($F116="Weighted Average",$H116*VLOOKUP($D116&amp;" (Operation)",Lists!$C$72:$R$232,COLUMNS(Lists!$C$69:E$69),0)*VLOOKUP(BE$3,Conversions!$B$12:$E$34,4,0),$H116*VLOOKUP($F116,Lists!$C$72:$R$232,COLUMNS(Lists!$C$69:E$69),0)*VLOOKUP(BE$3,Conversions!$B$12:$E$34,4,0)))</f>
        <v>0</v>
      </c>
      <c r="AB116" s="334">
        <f>IF($F116="",0,IF($F116="Weighted Average",$H116*VLOOKUP($D116&amp;" (Operation)",Lists!$C$72:$R$232,COLUMNS(Lists!$C$69:F$69),0)*VLOOKUP(BF$3,Conversions!$B$12:$E$34,4,0),$H116*VLOOKUP($F116,Lists!$C$72:$R$232,COLUMNS(Lists!$C$69:F$69),0)*VLOOKUP(BF$3,Conversions!$B$12:$E$34,4,0)))</f>
        <v>0</v>
      </c>
      <c r="AC116" s="334">
        <f>IF($F116="",0,IF($F116="Weighted Average",$H116*VLOOKUP($D116&amp;" (Operation)",Lists!$C$72:$R$232,COLUMNS(Lists!$C$69:G$69),0)*VLOOKUP(BG$3,Conversions!$B$12:$E$34,4,0),$H116*VLOOKUP($F116,Lists!$C$72:$R$232,COLUMNS(Lists!$C$69:G$69),0)*VLOOKUP(BG$3,Conversions!$B$12:$E$34,4,0)))</f>
        <v>0</v>
      </c>
      <c r="AD116" s="334">
        <f>IF($F116="",0,IF($F116="Weighted Average",$H116*VLOOKUP($D116&amp;" (Operation)",Lists!$C$72:$R$232,COLUMNS(Lists!$C$69:H$69),0)*VLOOKUP(BH$3,Conversions!$B$12:$E$34,4,0),$H116*VLOOKUP($F116,Lists!$C$72:$R$232,COLUMNS(Lists!$C$69:H$69),0)*VLOOKUP(BH$3,Conversions!$B$12:$E$34,4,0)))</f>
        <v>0</v>
      </c>
      <c r="AE116" s="334">
        <f>IF($F116="",0,IF($F116="Weighted Average",$H116*VLOOKUP($D116&amp;" (Operation)",Lists!$C$72:$R$232,COLUMNS(Lists!$C$69:I$69),0)*VLOOKUP(BI$3,Conversions!$B$12:$E$34,4,0),$H116*VLOOKUP($F116,Lists!$C$72:$R$232,COLUMNS(Lists!$C$69:I$69),0)*VLOOKUP(BI$3,Conversions!$B$12:$E$34,4,0)))</f>
        <v>0</v>
      </c>
      <c r="AF116" s="334">
        <f>IF($F116="",0,IF($F116="Weighted Average",$H116*VLOOKUP($D116&amp;" (Operation)",Lists!$C$72:$R$232,COLUMNS(Lists!$C$69:J$69),0)*VLOOKUP(BJ$3,Conversions!$B$12:$E$34,4,0),$H116*VLOOKUP($F116,Lists!$C$72:$R$232,COLUMNS(Lists!$C$69:J$69),0)*VLOOKUP(BJ$3,Conversions!$B$12:$E$34,4,0)))</f>
        <v>0</v>
      </c>
      <c r="AG116" s="334">
        <f>IF($F116="",0,IF($F116="Weighted Average",$H116*VLOOKUP($D116&amp;" (Operation)",Lists!$C$72:$R$232,COLUMNS(Lists!$C$69:K$69),0)*VLOOKUP(BK$3,Conversions!$B$12:$E$34,4,0),$H116*VLOOKUP($F116,Lists!$C$72:$R$232,COLUMNS(Lists!$C$69:K$69),0)*VLOOKUP(BK$3,Conversions!$B$12:$E$34,4,0)))</f>
        <v>0</v>
      </c>
      <c r="AH116" s="334">
        <f>IF($F116="",0,IF($F116="Weighted Average",$H116*VLOOKUP($D116&amp;" (Operation)",Lists!$C$72:$R$232,COLUMNS(Lists!$C$69:L$69),0)*VLOOKUP(BL$3,Conversions!$B$12:$E$34,4,0),$H116*VLOOKUP($F116,Lists!$C$72:$R$232,COLUMNS(Lists!$C$69:L$69),0)*VLOOKUP(BL$3,Conversions!$B$12:$E$34,4,0)))</f>
        <v>0</v>
      </c>
      <c r="AI116" s="334">
        <f>IF($F116="",0,IF($F116="Weighted Average",$H116*VLOOKUP($D116&amp;" (Operation)",Lists!$C$72:$R$232,COLUMNS(Lists!$C$69:M$69),0)*VLOOKUP(BM$3,Conversions!$B$12:$E$34,4,0),$H116*VLOOKUP($F116,Lists!$C$72:$R$232,COLUMNS(Lists!$C$69:M$69),0)*VLOOKUP(BM$3,Conversions!$B$12:$E$34,4,0)))</f>
        <v>0</v>
      </c>
      <c r="AJ116" s="334">
        <f>IF($F116="",0,IF($F116="Weighted Average",$H116*VLOOKUP($D116&amp;" (Operation)",Lists!$C$72:$R$232,COLUMNS(Lists!$C$69:N$69),0)*VLOOKUP(BN$3,Conversions!$B$12:$E$34,4,0),$H116*VLOOKUP($F116,Lists!$C$72:$R$232,COLUMNS(Lists!$C$69:N$69),0)*VLOOKUP(BN$3,Conversions!$B$12:$E$34,4,0)))</f>
        <v>0</v>
      </c>
      <c r="AK116" s="334">
        <f>IF($F116="",0,IF($F116="Weighted Average",$H116*VLOOKUP($D116&amp;" (Operation)",Lists!$C$72:$R$232,COLUMNS(Lists!$C$69:O$69),0)*VLOOKUP(BO$3,Conversions!$B$12:$E$34,4,0),$H116*VLOOKUP($F116,Lists!$C$72:$R$232,COLUMNS(Lists!$C$69:O$69),0)*VLOOKUP(BO$3,Conversions!$B$12:$E$34,4,0)))</f>
        <v>0</v>
      </c>
      <c r="AL116" s="334">
        <f>IF($F116="",0,IF($F116="Weighted Average",$H116*VLOOKUP($D116&amp;" (Operation)",Lists!$C$72:$R$232,COLUMNS(Lists!$C$69:P$69),0)*VLOOKUP(BP$3,Conversions!$B$12:$E$34,4,0),$H116*VLOOKUP($F116,Lists!$C$72:$R$232,COLUMNS(Lists!$C$69:P$69),0)*VLOOKUP(BP$3,Conversions!$B$12:$E$34,4,0)))</f>
        <v>0</v>
      </c>
      <c r="AM116" s="334">
        <f>IF($F116="",0,IF($F116="Weighted Average",$H116*VLOOKUP($D116&amp;" (Operation)",Lists!$C$72:$R$232,COLUMNS(Lists!$C$69:Q$69),0)*VLOOKUP(BQ$3,Conversions!$B$12:$E$34,4,0),$H116*VLOOKUP($F116,Lists!$C$72:$R$232,COLUMNS(Lists!$C$69:Q$69),0)*VLOOKUP(BQ$3,Conversions!$B$12:$E$34,4,0)))</f>
        <v>0</v>
      </c>
      <c r="AN116" s="334">
        <f>IF($F116="",0,IF($F116="Weighted Average",$H116*VLOOKUP($D116&amp;" (Operation)",Lists!$C$72:$R$232,COLUMNS(Lists!$C$69:R$69),0)*VLOOKUP(BR$3,Conversions!$B$12:$E$34,4,0),$H116*VLOOKUP($F116,Lists!$C$72:$R$232,COLUMNS(Lists!$C$69:R$69),0)*VLOOKUP(BR$3,Conversions!$B$12:$E$34,4,0)))</f>
        <v>0</v>
      </c>
      <c r="AO116" s="330">
        <f t="shared" si="39"/>
        <v>0</v>
      </c>
      <c r="AP116" s="333">
        <f>IF($F116="",0,IF($F116="Weighted Average",$I116*VLOOKUP($D116&amp;" (Disposal)",Lists!$C$72:$R$232,COLUMNS(Lists!$C$69:E$69),0)*VLOOKUP(BE$3,Conversions!$B$12:$E$34,4,0),$I116*VLOOKUP($F116,Lists!$C$72:$R$232,COLUMNS(Lists!$C$69:E$69),0)*VLOOKUP(BE$3,Conversions!$B$12:$E$34,4,0)))</f>
        <v>0</v>
      </c>
      <c r="AQ116" s="333">
        <f>IF($F116="",0,IF($F116="Weighted Average",$I116*VLOOKUP($D116&amp;" (Disposal)",Lists!$C$72:$R$232,COLUMNS(Lists!$C$69:F$69),0)*VLOOKUP(BF$3,Conversions!$B$12:$E$34,4,0),$I116*VLOOKUP($F116,Lists!$C$72:$R$232,COLUMNS(Lists!$C$69:F$69),0)*VLOOKUP(BF$3,Conversions!$B$12:$E$34,4,0)))</f>
        <v>0</v>
      </c>
      <c r="AR116" s="333">
        <f>IF($F116="",0,IF($F116="Weighted Average",$I116*VLOOKUP($D116&amp;" (Disposal)",Lists!$C$72:$R$232,COLUMNS(Lists!$C$69:G$69),0)*VLOOKUP(BG$3,Conversions!$B$12:$E$34,4,0),$I116*VLOOKUP($F116,Lists!$C$72:$R$232,COLUMNS(Lists!$C$69:G$69),0)*VLOOKUP(BG$3,Conversions!$B$12:$E$34,4,0)))</f>
        <v>0</v>
      </c>
      <c r="AS116" s="333">
        <f>IF($F116="",0,IF($F116="Weighted Average",$I116*VLOOKUP($D116&amp;" (Disposal)",Lists!$C$72:$R$232,COLUMNS(Lists!$C$69:H$69),0)*VLOOKUP(BH$3,Conversions!$B$12:$E$34,4,0),$I116*VLOOKUP($F116,Lists!$C$72:$R$232,COLUMNS(Lists!$C$69:H$69),0)*VLOOKUP(BH$3,Conversions!$B$12:$E$34,4,0)))</f>
        <v>0</v>
      </c>
      <c r="AT116" s="333">
        <f>IF($F116="",0,IF($F116="Weighted Average",$I116*VLOOKUP($D116&amp;" (Disposal)",Lists!$C$72:$R$232,COLUMNS(Lists!$C$69:I$69),0)*VLOOKUP(BI$3,Conversions!$B$12:$E$34,4,0),$I116*VLOOKUP($F116,Lists!$C$72:$R$232,COLUMNS(Lists!$C$69:I$69),0)*VLOOKUP(BI$3,Conversions!$B$12:$E$34,4,0)))</f>
        <v>0</v>
      </c>
      <c r="AU116" s="333">
        <f>IF($F116="",0,IF($F116="Weighted Average",$I116*VLOOKUP($D116&amp;" (Disposal)",Lists!$C$72:$R$232,COLUMNS(Lists!$C$69:J$69),0)*VLOOKUP(BJ$3,Conversions!$B$12:$E$34,4,0),$I116*VLOOKUP($F116,Lists!$C$72:$R$232,COLUMNS(Lists!$C$69:J$69),0)*VLOOKUP(BJ$3,Conversions!$B$12:$E$34,4,0)))</f>
        <v>0</v>
      </c>
      <c r="AV116" s="333">
        <f>IF($F116="",0,IF($F116="Weighted Average",$I116*VLOOKUP($D116&amp;" (Disposal)",Lists!$C$72:$R$232,COLUMNS(Lists!$C$69:K$69),0)*VLOOKUP(BK$3,Conversions!$B$12:$E$34,4,0),$I116*VLOOKUP($F116,Lists!$C$72:$R$232,COLUMNS(Lists!$C$69:K$69),0)*VLOOKUP(BK$3,Conversions!$B$12:$E$34,4,0)))</f>
        <v>0</v>
      </c>
      <c r="AW116" s="333">
        <f>IF($F116="",0,IF($F116="Weighted Average",$I116*VLOOKUP($D116&amp;" (Disposal)",Lists!$C$72:$R$232,COLUMNS(Lists!$C$69:L$69),0)*VLOOKUP(BL$3,Conversions!$B$12:$E$34,4,0),$I116*VLOOKUP($F116,Lists!$C$72:$R$232,COLUMNS(Lists!$C$69:L$69),0)*VLOOKUP(BL$3,Conversions!$B$12:$E$34,4,0)))</f>
        <v>0</v>
      </c>
      <c r="AX116" s="333">
        <f>IF($F116="",0,IF($F116="Weighted Average",$I116*VLOOKUP($D116&amp;" (Disposal)",Lists!$C$72:$R$232,COLUMNS(Lists!$C$69:M$69),0)*VLOOKUP(BM$3,Conversions!$B$12:$E$34,4,0),$I116*VLOOKUP($F116,Lists!$C$72:$R$232,COLUMNS(Lists!$C$69:M$69),0)*VLOOKUP(BM$3,Conversions!$B$12:$E$34,4,0)))</f>
        <v>0</v>
      </c>
      <c r="AY116" s="333">
        <f>IF($F116="",0,IF($F116="Weighted Average",$I116*VLOOKUP($D116&amp;" (Disposal)",Lists!$C$72:$R$232,COLUMNS(Lists!$C$69:N$69),0)*VLOOKUP(BN$3,Conversions!$B$12:$E$34,4,0),$I116*VLOOKUP($F116,Lists!$C$72:$R$232,COLUMNS(Lists!$C$69:N$69),0)*VLOOKUP(BN$3,Conversions!$B$12:$E$34,4,0)))</f>
        <v>0</v>
      </c>
      <c r="AZ116" s="333">
        <f>IF($F116="",0,IF($F116="Weighted Average",$I116*VLOOKUP($D116&amp;" (Disposal)",Lists!$C$72:$R$232,COLUMNS(Lists!$C$69:O$69),0)*VLOOKUP(BO$3,Conversions!$B$12:$E$34,4,0),$I116*VLOOKUP($F116,Lists!$C$72:$R$232,COLUMNS(Lists!$C$69:O$69),0)*VLOOKUP(BO$3,Conversions!$B$12:$E$34,4,0)))</f>
        <v>0</v>
      </c>
      <c r="BA116" s="333">
        <f>IF($F116="",0,IF($F116="Weighted Average",$I116*VLOOKUP($D116&amp;" (Disposal)",Lists!$C$72:$R$232,COLUMNS(Lists!$C$69:P$69),0)*VLOOKUP(BP$3,Conversions!$B$12:$E$34,4,0),$I116*VLOOKUP($F116,Lists!$C$72:$R$232,COLUMNS(Lists!$C$69:P$69),0)*VLOOKUP(BP$3,Conversions!$B$12:$E$34,4,0)))</f>
        <v>0</v>
      </c>
      <c r="BB116" s="333">
        <f>IF($F116="",0,IF($F116="Weighted Average",$I116*VLOOKUP($D116&amp;" (Disposal)",Lists!$C$72:$R$232,COLUMNS(Lists!$C$69:Q$69),0)*VLOOKUP(BQ$3,Conversions!$B$12:$E$34,4,0),$I116*VLOOKUP($F116,Lists!$C$72:$R$232,COLUMNS(Lists!$C$69:Q$69),0)*VLOOKUP(BQ$3,Conversions!$B$12:$E$34,4,0)))</f>
        <v>0</v>
      </c>
      <c r="BC116" s="333">
        <f>IF($F116="",0,IF($F116="Weighted Average",$I116*VLOOKUP($D116&amp;" (Disposal)",Lists!$C$72:$R$232,COLUMNS(Lists!$C$69:R$69),0)*VLOOKUP(BR$3,Conversions!$B$12:$E$34,4,0),$I116*VLOOKUP($F116,Lists!$C$72:$R$232,COLUMNS(Lists!$C$69:R$69),0)*VLOOKUP(BR$3,Conversions!$B$12:$E$34,4,0)))</f>
        <v>0</v>
      </c>
      <c r="BD116" s="333">
        <f t="shared" si="40"/>
        <v>0</v>
      </c>
      <c r="BE116" s="330">
        <f t="shared" si="41"/>
        <v>0</v>
      </c>
      <c r="BF116" s="330">
        <f t="shared" si="42"/>
        <v>0</v>
      </c>
      <c r="BG116" s="330">
        <f t="shared" si="43"/>
        <v>0</v>
      </c>
      <c r="BH116" s="330">
        <f t="shared" si="44"/>
        <v>0</v>
      </c>
      <c r="BI116" s="330">
        <f t="shared" si="45"/>
        <v>0</v>
      </c>
      <c r="BJ116" s="330">
        <f t="shared" si="46"/>
        <v>0</v>
      </c>
      <c r="BK116" s="330">
        <f t="shared" si="47"/>
        <v>0</v>
      </c>
      <c r="BL116" s="330">
        <f t="shared" si="48"/>
        <v>0</v>
      </c>
      <c r="BM116" s="330">
        <f t="shared" si="49"/>
        <v>0</v>
      </c>
      <c r="BN116" s="330">
        <f t="shared" si="50"/>
        <v>0</v>
      </c>
      <c r="BO116" s="330">
        <f t="shared" si="51"/>
        <v>0</v>
      </c>
      <c r="BP116" s="330">
        <f t="shared" si="52"/>
        <v>0</v>
      </c>
      <c r="BQ116" s="330">
        <f t="shared" si="53"/>
        <v>0</v>
      </c>
      <c r="BR116" s="330">
        <f t="shared" si="54"/>
        <v>0</v>
      </c>
      <c r="BS116" s="330">
        <f t="shared" si="55"/>
        <v>0</v>
      </c>
      <c r="BT116" s="329">
        <f t="shared" si="137"/>
        <v>0</v>
      </c>
      <c r="BU116" s="329">
        <f t="shared" si="137"/>
        <v>0</v>
      </c>
      <c r="BV116" s="329">
        <f t="shared" si="137"/>
        <v>0</v>
      </c>
      <c r="BW116" s="329">
        <f t="shared" si="137"/>
        <v>0</v>
      </c>
      <c r="BX116" s="329">
        <f t="shared" si="137"/>
        <v>0</v>
      </c>
      <c r="BY116" s="329">
        <f t="shared" si="137"/>
        <v>0</v>
      </c>
      <c r="BZ116" s="329">
        <f t="shared" si="137"/>
        <v>0</v>
      </c>
      <c r="CA116" s="329">
        <f t="shared" si="137"/>
        <v>0</v>
      </c>
      <c r="CB116" s="329">
        <f t="shared" si="137"/>
        <v>0</v>
      </c>
      <c r="CC116" s="329">
        <f t="shared" si="137"/>
        <v>0</v>
      </c>
      <c r="CD116" s="329">
        <f t="shared" si="137"/>
        <v>0</v>
      </c>
      <c r="CE116" s="329">
        <f t="shared" si="137"/>
        <v>0</v>
      </c>
      <c r="CF116" s="329">
        <f t="shared" si="137"/>
        <v>0</v>
      </c>
      <c r="CG116" s="329">
        <f t="shared" si="137"/>
        <v>0</v>
      </c>
      <c r="CH116" s="329">
        <f t="shared" si="137"/>
        <v>0</v>
      </c>
      <c r="CI116" s="329">
        <f t="shared" si="137"/>
        <v>0</v>
      </c>
      <c r="CJ116" s="331">
        <f t="shared" si="1"/>
        <v>0</v>
      </c>
      <c r="CK116" s="330">
        <f t="shared" si="5"/>
        <v>0</v>
      </c>
      <c r="CL116" s="330">
        <f t="shared" si="6"/>
        <v>0</v>
      </c>
      <c r="CM116" s="330">
        <f t="shared" si="7"/>
        <v>0</v>
      </c>
      <c r="CN116" s="330">
        <f t="shared" si="8"/>
        <v>0</v>
      </c>
      <c r="CO116" s="330">
        <f t="shared" si="9"/>
        <v>0</v>
      </c>
      <c r="CP116" s="330">
        <f t="shared" si="10"/>
        <v>0</v>
      </c>
      <c r="CQ116" s="330">
        <f t="shared" si="94"/>
        <v>0</v>
      </c>
      <c r="CR116" s="330">
        <f t="shared" si="12"/>
        <v>0</v>
      </c>
      <c r="CS116" s="330">
        <f t="shared" si="13"/>
        <v>0</v>
      </c>
      <c r="CT116" s="330">
        <f t="shared" si="14"/>
        <v>0</v>
      </c>
      <c r="CU116" s="330">
        <f t="shared" si="138"/>
        <v>0</v>
      </c>
      <c r="CV116" s="330">
        <f t="shared" si="138"/>
        <v>0</v>
      </c>
      <c r="CW116" s="330">
        <f t="shared" si="138"/>
        <v>0</v>
      </c>
      <c r="CX116" s="330">
        <f t="shared" si="138"/>
        <v>0</v>
      </c>
      <c r="CY116" s="330">
        <f t="shared" si="138"/>
        <v>0</v>
      </c>
      <c r="CZ116" s="330">
        <f t="shared" si="138"/>
        <v>0</v>
      </c>
      <c r="DA116" s="330">
        <f t="shared" si="138"/>
        <v>0</v>
      </c>
      <c r="DB116" s="330">
        <f t="shared" si="138"/>
        <v>0</v>
      </c>
      <c r="DC116" s="330">
        <f t="shared" si="138"/>
        <v>0</v>
      </c>
      <c r="DD116" s="330">
        <f t="shared" si="138"/>
        <v>0</v>
      </c>
      <c r="DE116" s="330">
        <f t="shared" si="139"/>
        <v>0</v>
      </c>
      <c r="DF116" s="330">
        <f t="shared" si="139"/>
        <v>0</v>
      </c>
      <c r="DG116" s="330">
        <f t="shared" si="139"/>
        <v>0</v>
      </c>
      <c r="DH116" s="330">
        <f t="shared" si="139"/>
        <v>0</v>
      </c>
      <c r="DI116" s="330">
        <f t="shared" si="139"/>
        <v>0</v>
      </c>
      <c r="DJ116" s="330">
        <f t="shared" si="139"/>
        <v>0</v>
      </c>
      <c r="DK116" s="330">
        <f t="shared" si="139"/>
        <v>0</v>
      </c>
      <c r="DL116" s="330">
        <f t="shared" si="139"/>
        <v>0</v>
      </c>
      <c r="DM116" s="330">
        <f t="shared" si="139"/>
        <v>0</v>
      </c>
      <c r="DN116" s="330">
        <f t="shared" si="139"/>
        <v>0</v>
      </c>
      <c r="DO116" s="330">
        <f t="shared" si="139"/>
        <v>0</v>
      </c>
      <c r="DP116" s="330">
        <f t="shared" si="140"/>
        <v>0</v>
      </c>
      <c r="DQ116" s="217"/>
      <c r="DR116" s="217"/>
      <c r="DS116" s="217"/>
      <c r="DT116" s="217"/>
    </row>
    <row r="117" spans="1:124" x14ac:dyDescent="0.3">
      <c r="A117" s="324"/>
      <c r="B117" s="221" t="s">
        <v>305</v>
      </c>
      <c r="C117" s="221" t="str">
        <f>IF(Screening!C47=0,"",Screening!C47)</f>
        <v/>
      </c>
      <c r="D117" s="221" t="str">
        <f>IF(Screening!D47=0,"",Screening!D47)</f>
        <v/>
      </c>
      <c r="E117" s="221" t="str">
        <f>IF(Screening!E47=0,"",Screening!E47)</f>
        <v/>
      </c>
      <c r="F117" s="221" t="str">
        <f>IF(Screening!F47=0,"",Screening!F47)</f>
        <v/>
      </c>
      <c r="G117" s="272">
        <f>Screening!G47*Screening!O47*Conversions!$C$4</f>
        <v>0</v>
      </c>
      <c r="H117" s="272">
        <f>Screening!H47*Screening!P47*Screening!I47*Conversions!$C$4</f>
        <v>0</v>
      </c>
      <c r="I117" s="272">
        <f>Screening!J47*Screening!Q47*(1-Screening!R47)*Conversions!$C$4</f>
        <v>0</v>
      </c>
      <c r="J117" s="325">
        <f>IF(Screening!S47=0,0,Screening!S47)</f>
        <v>0</v>
      </c>
      <c r="K117" s="465"/>
      <c r="L117" s="333">
        <f>IF($F117="",0,IF($F117="Weighted Average",$G117*VLOOKUP($D117&amp;" (Install)",Lists!$C$72:$R$232,COLUMNS(Lists!$C$69:E$69),0)*VLOOKUP(BE$3,Conversions!$B$12:$E$34,4,0),$G117*VLOOKUP($F117,Lists!$C$72:$R$232,COLUMNS(Lists!$C$69:E$69),0)*VLOOKUP(BE$3,Conversions!$B$12:$E$34,4,0)))</f>
        <v>0</v>
      </c>
      <c r="M117" s="333">
        <f>IF($F117="",0,IF($F117="Weighted Average",$G117*VLOOKUP($D117&amp;" (Install)",Lists!$C$72:$R$232,COLUMNS(Lists!$C$69:F$69),0)*VLOOKUP(BF$3,Conversions!$B$12:$E$34,4,0),$G117*VLOOKUP($F117,Lists!$C$72:$R$232,COLUMNS(Lists!$C$69:F$69),0)*VLOOKUP(BF$3,Conversions!$B$12:$E$34,4,0)))</f>
        <v>0</v>
      </c>
      <c r="N117" s="333">
        <f>IF($F117="",0,IF($F117="Weighted Average",$G117*VLOOKUP($D117&amp;" (Install)",Lists!$C$72:$R$232,COLUMNS(Lists!$C$69:G$69),0)*VLOOKUP(BG$3,Conversions!$B$12:$E$34,4,0),$G117*VLOOKUP($F117,Lists!$C$72:$R$232,COLUMNS(Lists!$C$69:G$69),0)*VLOOKUP(BG$3,Conversions!$B$12:$E$34,4,0)))</f>
        <v>0</v>
      </c>
      <c r="O117" s="333">
        <f>IF($F117="",0,IF($F117="Weighted Average",$G117*VLOOKUP($D117&amp;" (Install)",Lists!$C$72:$R$232,COLUMNS(Lists!$C$69:H$69),0)*VLOOKUP(BH$3,Conversions!$B$12:$E$34,4,0),$G117*VLOOKUP($F117,Lists!$C$72:$R$232,COLUMNS(Lists!$C$69:H$69),0)*VLOOKUP(BH$3,Conversions!$B$12:$E$34,4,0)))</f>
        <v>0</v>
      </c>
      <c r="P117" s="333">
        <f>IF($F117="",0,IF($F117="Weighted Average",$G117*VLOOKUP($D117&amp;" (Install)",Lists!$C$72:$R$232,COLUMNS(Lists!$C$69:I$69),0)*VLOOKUP(BI$3,Conversions!$B$12:$E$34,4,0),$G117*VLOOKUP($F117,Lists!$C$72:$R$232,COLUMNS(Lists!$C$69:I$69),0)*VLOOKUP(BI$3,Conversions!$B$12:$E$34,4,0)))</f>
        <v>0</v>
      </c>
      <c r="Q117" s="333">
        <f>IF($F117="",0,IF($F117="Weighted Average",$G117*VLOOKUP($D117&amp;" (Install)",Lists!$C$72:$R$232,COLUMNS(Lists!$C$69:J$69),0)*VLOOKUP(BJ$3,Conversions!$B$12:$E$34,4,0),$G117*VLOOKUP($F117,Lists!$C$72:$R$232,COLUMNS(Lists!$C$69:J$69),0)*VLOOKUP(BJ$3,Conversions!$B$12:$E$34,4,0)))</f>
        <v>0</v>
      </c>
      <c r="R117" s="333">
        <f>IF($F117="",0,IF($F117="Weighted Average",$G117*VLOOKUP($D117&amp;" (Install)",Lists!$C$72:$R$232,COLUMNS(Lists!$C$69:K$69),0)*VLOOKUP(BK$3,Conversions!$B$12:$E$34,4,0),$G117*VLOOKUP($F117,Lists!$C$72:$R$232,COLUMNS(Lists!$C$69:K$69),0)*VLOOKUP(BK$3,Conversions!$B$12:$E$34,4,0)))</f>
        <v>0</v>
      </c>
      <c r="S117" s="333">
        <f>IF($F117="",0,IF($F117="Weighted Average",$G117*VLOOKUP($D117&amp;" (Install)",Lists!$C$72:$R$232,COLUMNS(Lists!$C$69:L$69),0)*VLOOKUP(BL$3,Conversions!$B$12:$E$34,4,0),$G117*VLOOKUP($F117,Lists!$C$72:$R$232,COLUMNS(Lists!$C$69:L$69),0)*VLOOKUP(BL$3,Conversions!$B$12:$E$34,4,0)))</f>
        <v>0</v>
      </c>
      <c r="T117" s="333">
        <f>IF($F117="",0,IF($F117="Weighted Average",$G117*VLOOKUP($D117&amp;" (Install)",Lists!$C$72:$R$232,COLUMNS(Lists!$C$69:M$69),0)*VLOOKUP(BM$3,Conversions!$B$12:$E$34,4,0),$G117*VLOOKUP($F117,Lists!$C$72:$R$232,COLUMNS(Lists!$C$69:M$69),0)*VLOOKUP(BM$3,Conversions!$B$12:$E$34,4,0)))</f>
        <v>0</v>
      </c>
      <c r="U117" s="333">
        <f>IF($F117="",0,IF($F117="Weighted Average",$G117*VLOOKUP($D117&amp;" (Install)",Lists!$C$72:$R$232,COLUMNS(Lists!$C$69:N$69),0)*VLOOKUP(BN$3,Conversions!$B$12:$E$34,4,0),$G117*VLOOKUP($F117,Lists!$C$72:$R$232,COLUMNS(Lists!$C$69:N$69),0)*VLOOKUP(BN$3,Conversions!$B$12:$E$34,4,0)))</f>
        <v>0</v>
      </c>
      <c r="V117" s="333">
        <f>IF($F117="",0,IF($F117="Weighted Average",$G117*VLOOKUP($D117&amp;" (Install)",Lists!$C$72:$R$232,COLUMNS(Lists!$C$69:O$69),0)*VLOOKUP(BO$3,Conversions!$B$12:$E$34,4,0),$G117*VLOOKUP($F117,Lists!$C$72:$R$232,COLUMNS(Lists!$C$69:O$69),0)*VLOOKUP(BO$3,Conversions!$B$12:$E$34,4,0)))</f>
        <v>0</v>
      </c>
      <c r="W117" s="333">
        <f>IF($F117="",0,IF($F117="Weighted Average",$G117*VLOOKUP($D117&amp;" (Install)",Lists!$C$72:$R$232,COLUMNS(Lists!$C$69:P$69),0)*VLOOKUP(BP$3,Conversions!$B$12:$E$34,4,0),$G117*VLOOKUP($F117,Lists!$C$72:$R$232,COLUMNS(Lists!$C$69:P$69),0)*VLOOKUP(BP$3,Conversions!$B$12:$E$34,4,0)))</f>
        <v>0</v>
      </c>
      <c r="X117" s="333">
        <f>IF($F117="",0,IF($F117="Weighted Average",$G117*VLOOKUP($D117&amp;" (Install)",Lists!$C$72:$R$232,COLUMNS(Lists!$C$69:Q$69),0)*VLOOKUP(BQ$3,Conversions!$B$12:$E$34,4,0),$G117*VLOOKUP($F117,Lists!$C$72:$R$232,COLUMNS(Lists!$C$69:Q$69),0)*VLOOKUP(BQ$3,Conversions!$B$12:$E$34,4,0)))</f>
        <v>0</v>
      </c>
      <c r="Y117" s="333">
        <f>IF($F117="",0,IF($F117="Weighted Average",$G117*VLOOKUP($D117&amp;" (Install)",Lists!$C$72:$R$232,COLUMNS(Lists!$C$69:R$69),0)*VLOOKUP(BR$3,Conversions!$B$12:$E$34,4,0),$G117*VLOOKUP($F117,Lists!$C$72:$R$232,COLUMNS(Lists!$C$69:R$69),0)*VLOOKUP(BR$3,Conversions!$B$12:$E$34,4,0)))</f>
        <v>0</v>
      </c>
      <c r="Z117" s="325">
        <f t="shared" si="38"/>
        <v>0</v>
      </c>
      <c r="AA117" s="334">
        <f>IF($F117="",0,IF($F117="Weighted Average",$H117*VLOOKUP($D117&amp;" (Operation)",Lists!$C$72:$R$232,COLUMNS(Lists!$C$69:E$69),0)*VLOOKUP(BE$3,Conversions!$B$12:$E$34,4,0),$H117*VLOOKUP($F117,Lists!$C$72:$R$232,COLUMNS(Lists!$C$69:E$69),0)*VLOOKUP(BE$3,Conversions!$B$12:$E$34,4,0)))</f>
        <v>0</v>
      </c>
      <c r="AB117" s="334">
        <f>IF($F117="",0,IF($F117="Weighted Average",$H117*VLOOKUP($D117&amp;" (Operation)",Lists!$C$72:$R$232,COLUMNS(Lists!$C$69:F$69),0)*VLOOKUP(BF$3,Conversions!$B$12:$E$34,4,0),$H117*VLOOKUP($F117,Lists!$C$72:$R$232,COLUMNS(Lists!$C$69:F$69),0)*VLOOKUP(BF$3,Conversions!$B$12:$E$34,4,0)))</f>
        <v>0</v>
      </c>
      <c r="AC117" s="334">
        <f>IF($F117="",0,IF($F117="Weighted Average",$H117*VLOOKUP($D117&amp;" (Operation)",Lists!$C$72:$R$232,COLUMNS(Lists!$C$69:G$69),0)*VLOOKUP(BG$3,Conversions!$B$12:$E$34,4,0),$H117*VLOOKUP($F117,Lists!$C$72:$R$232,COLUMNS(Lists!$C$69:G$69),0)*VLOOKUP(BG$3,Conversions!$B$12:$E$34,4,0)))</f>
        <v>0</v>
      </c>
      <c r="AD117" s="334">
        <f>IF($F117="",0,IF($F117="Weighted Average",$H117*VLOOKUP($D117&amp;" (Operation)",Lists!$C$72:$R$232,COLUMNS(Lists!$C$69:H$69),0)*VLOOKUP(BH$3,Conversions!$B$12:$E$34,4,0),$H117*VLOOKUP($F117,Lists!$C$72:$R$232,COLUMNS(Lists!$C$69:H$69),0)*VLOOKUP(BH$3,Conversions!$B$12:$E$34,4,0)))</f>
        <v>0</v>
      </c>
      <c r="AE117" s="334">
        <f>IF($F117="",0,IF($F117="Weighted Average",$H117*VLOOKUP($D117&amp;" (Operation)",Lists!$C$72:$R$232,COLUMNS(Lists!$C$69:I$69),0)*VLOOKUP(BI$3,Conversions!$B$12:$E$34,4,0),$H117*VLOOKUP($F117,Lists!$C$72:$R$232,COLUMNS(Lists!$C$69:I$69),0)*VLOOKUP(BI$3,Conversions!$B$12:$E$34,4,0)))</f>
        <v>0</v>
      </c>
      <c r="AF117" s="334">
        <f>IF($F117="",0,IF($F117="Weighted Average",$H117*VLOOKUP($D117&amp;" (Operation)",Lists!$C$72:$R$232,COLUMNS(Lists!$C$69:J$69),0)*VLOOKUP(BJ$3,Conversions!$B$12:$E$34,4,0),$H117*VLOOKUP($F117,Lists!$C$72:$R$232,COLUMNS(Lists!$C$69:J$69),0)*VLOOKUP(BJ$3,Conversions!$B$12:$E$34,4,0)))</f>
        <v>0</v>
      </c>
      <c r="AG117" s="334">
        <f>IF($F117="",0,IF($F117="Weighted Average",$H117*VLOOKUP($D117&amp;" (Operation)",Lists!$C$72:$R$232,COLUMNS(Lists!$C$69:K$69),0)*VLOOKUP(BK$3,Conversions!$B$12:$E$34,4,0),$H117*VLOOKUP($F117,Lists!$C$72:$R$232,COLUMNS(Lists!$C$69:K$69),0)*VLOOKUP(BK$3,Conversions!$B$12:$E$34,4,0)))</f>
        <v>0</v>
      </c>
      <c r="AH117" s="334">
        <f>IF($F117="",0,IF($F117="Weighted Average",$H117*VLOOKUP($D117&amp;" (Operation)",Lists!$C$72:$R$232,COLUMNS(Lists!$C$69:L$69),0)*VLOOKUP(BL$3,Conversions!$B$12:$E$34,4,0),$H117*VLOOKUP($F117,Lists!$C$72:$R$232,COLUMNS(Lists!$C$69:L$69),0)*VLOOKUP(BL$3,Conversions!$B$12:$E$34,4,0)))</f>
        <v>0</v>
      </c>
      <c r="AI117" s="334">
        <f>IF($F117="",0,IF($F117="Weighted Average",$H117*VLOOKUP($D117&amp;" (Operation)",Lists!$C$72:$R$232,COLUMNS(Lists!$C$69:M$69),0)*VLOOKUP(BM$3,Conversions!$B$12:$E$34,4,0),$H117*VLOOKUP($F117,Lists!$C$72:$R$232,COLUMNS(Lists!$C$69:M$69),0)*VLOOKUP(BM$3,Conversions!$B$12:$E$34,4,0)))</f>
        <v>0</v>
      </c>
      <c r="AJ117" s="334">
        <f>IF($F117="",0,IF($F117="Weighted Average",$H117*VLOOKUP($D117&amp;" (Operation)",Lists!$C$72:$R$232,COLUMNS(Lists!$C$69:N$69),0)*VLOOKUP(BN$3,Conversions!$B$12:$E$34,4,0),$H117*VLOOKUP($F117,Lists!$C$72:$R$232,COLUMNS(Lists!$C$69:N$69),0)*VLOOKUP(BN$3,Conversions!$B$12:$E$34,4,0)))</f>
        <v>0</v>
      </c>
      <c r="AK117" s="334">
        <f>IF($F117="",0,IF($F117="Weighted Average",$H117*VLOOKUP($D117&amp;" (Operation)",Lists!$C$72:$R$232,COLUMNS(Lists!$C$69:O$69),0)*VLOOKUP(BO$3,Conversions!$B$12:$E$34,4,0),$H117*VLOOKUP($F117,Lists!$C$72:$R$232,COLUMNS(Lists!$C$69:O$69),0)*VLOOKUP(BO$3,Conversions!$B$12:$E$34,4,0)))</f>
        <v>0</v>
      </c>
      <c r="AL117" s="334">
        <f>IF($F117="",0,IF($F117="Weighted Average",$H117*VLOOKUP($D117&amp;" (Operation)",Lists!$C$72:$R$232,COLUMNS(Lists!$C$69:P$69),0)*VLOOKUP(BP$3,Conversions!$B$12:$E$34,4,0),$H117*VLOOKUP($F117,Lists!$C$72:$R$232,COLUMNS(Lists!$C$69:P$69),0)*VLOOKUP(BP$3,Conversions!$B$12:$E$34,4,0)))</f>
        <v>0</v>
      </c>
      <c r="AM117" s="334">
        <f>IF($F117="",0,IF($F117="Weighted Average",$H117*VLOOKUP($D117&amp;" (Operation)",Lists!$C$72:$R$232,COLUMNS(Lists!$C$69:Q$69),0)*VLOOKUP(BQ$3,Conversions!$B$12:$E$34,4,0),$H117*VLOOKUP($F117,Lists!$C$72:$R$232,COLUMNS(Lists!$C$69:Q$69),0)*VLOOKUP(BQ$3,Conversions!$B$12:$E$34,4,0)))</f>
        <v>0</v>
      </c>
      <c r="AN117" s="334">
        <f>IF($F117="",0,IF($F117="Weighted Average",$H117*VLOOKUP($D117&amp;" (Operation)",Lists!$C$72:$R$232,COLUMNS(Lists!$C$69:R$69),0)*VLOOKUP(BR$3,Conversions!$B$12:$E$34,4,0),$H117*VLOOKUP($F117,Lists!$C$72:$R$232,COLUMNS(Lists!$C$69:R$69),0)*VLOOKUP(BR$3,Conversions!$B$12:$E$34,4,0)))</f>
        <v>0</v>
      </c>
      <c r="AO117" s="330">
        <f t="shared" si="39"/>
        <v>0</v>
      </c>
      <c r="AP117" s="333">
        <f>IF($F117="",0,IF($F117="Weighted Average",$I117*VLOOKUP($D117&amp;" (Disposal)",Lists!$C$72:$R$232,COLUMNS(Lists!$C$69:E$69),0)*VLOOKUP(BE$3,Conversions!$B$12:$E$34,4,0),$I117*VLOOKUP($F117,Lists!$C$72:$R$232,COLUMNS(Lists!$C$69:E$69),0)*VLOOKUP(BE$3,Conversions!$B$12:$E$34,4,0)))</f>
        <v>0</v>
      </c>
      <c r="AQ117" s="333">
        <f>IF($F117="",0,IF($F117="Weighted Average",$I117*VLOOKUP($D117&amp;" (Disposal)",Lists!$C$72:$R$232,COLUMNS(Lists!$C$69:F$69),0)*VLOOKUP(BF$3,Conversions!$B$12:$E$34,4,0),$I117*VLOOKUP($F117,Lists!$C$72:$R$232,COLUMNS(Lists!$C$69:F$69),0)*VLOOKUP(BF$3,Conversions!$B$12:$E$34,4,0)))</f>
        <v>0</v>
      </c>
      <c r="AR117" s="333">
        <f>IF($F117="",0,IF($F117="Weighted Average",$I117*VLOOKUP($D117&amp;" (Disposal)",Lists!$C$72:$R$232,COLUMNS(Lists!$C$69:G$69),0)*VLOOKUP(BG$3,Conversions!$B$12:$E$34,4,0),$I117*VLOOKUP($F117,Lists!$C$72:$R$232,COLUMNS(Lists!$C$69:G$69),0)*VLOOKUP(BG$3,Conversions!$B$12:$E$34,4,0)))</f>
        <v>0</v>
      </c>
      <c r="AS117" s="333">
        <f>IF($F117="",0,IF($F117="Weighted Average",$I117*VLOOKUP($D117&amp;" (Disposal)",Lists!$C$72:$R$232,COLUMNS(Lists!$C$69:H$69),0)*VLOOKUP(BH$3,Conversions!$B$12:$E$34,4,0),$I117*VLOOKUP($F117,Lists!$C$72:$R$232,COLUMNS(Lists!$C$69:H$69),0)*VLOOKUP(BH$3,Conversions!$B$12:$E$34,4,0)))</f>
        <v>0</v>
      </c>
      <c r="AT117" s="333">
        <f>IF($F117="",0,IF($F117="Weighted Average",$I117*VLOOKUP($D117&amp;" (Disposal)",Lists!$C$72:$R$232,COLUMNS(Lists!$C$69:I$69),0)*VLOOKUP(BI$3,Conversions!$B$12:$E$34,4,0),$I117*VLOOKUP($F117,Lists!$C$72:$R$232,COLUMNS(Lists!$C$69:I$69),0)*VLOOKUP(BI$3,Conversions!$B$12:$E$34,4,0)))</f>
        <v>0</v>
      </c>
      <c r="AU117" s="333">
        <f>IF($F117="",0,IF($F117="Weighted Average",$I117*VLOOKUP($D117&amp;" (Disposal)",Lists!$C$72:$R$232,COLUMNS(Lists!$C$69:J$69),0)*VLOOKUP(BJ$3,Conversions!$B$12:$E$34,4,0),$I117*VLOOKUP($F117,Lists!$C$72:$R$232,COLUMNS(Lists!$C$69:J$69),0)*VLOOKUP(BJ$3,Conversions!$B$12:$E$34,4,0)))</f>
        <v>0</v>
      </c>
      <c r="AV117" s="333">
        <f>IF($F117="",0,IF($F117="Weighted Average",$I117*VLOOKUP($D117&amp;" (Disposal)",Lists!$C$72:$R$232,COLUMNS(Lists!$C$69:K$69),0)*VLOOKUP(BK$3,Conversions!$B$12:$E$34,4,0),$I117*VLOOKUP($F117,Lists!$C$72:$R$232,COLUMNS(Lists!$C$69:K$69),0)*VLOOKUP(BK$3,Conversions!$B$12:$E$34,4,0)))</f>
        <v>0</v>
      </c>
      <c r="AW117" s="333">
        <f>IF($F117="",0,IF($F117="Weighted Average",$I117*VLOOKUP($D117&amp;" (Disposal)",Lists!$C$72:$R$232,COLUMNS(Lists!$C$69:L$69),0)*VLOOKUP(BL$3,Conversions!$B$12:$E$34,4,0),$I117*VLOOKUP($F117,Lists!$C$72:$R$232,COLUMNS(Lists!$C$69:L$69),0)*VLOOKUP(BL$3,Conversions!$B$12:$E$34,4,0)))</f>
        <v>0</v>
      </c>
      <c r="AX117" s="333">
        <f>IF($F117="",0,IF($F117="Weighted Average",$I117*VLOOKUP($D117&amp;" (Disposal)",Lists!$C$72:$R$232,COLUMNS(Lists!$C$69:M$69),0)*VLOOKUP(BM$3,Conversions!$B$12:$E$34,4,0),$I117*VLOOKUP($F117,Lists!$C$72:$R$232,COLUMNS(Lists!$C$69:M$69),0)*VLOOKUP(BM$3,Conversions!$B$12:$E$34,4,0)))</f>
        <v>0</v>
      </c>
      <c r="AY117" s="333">
        <f>IF($F117="",0,IF($F117="Weighted Average",$I117*VLOOKUP($D117&amp;" (Disposal)",Lists!$C$72:$R$232,COLUMNS(Lists!$C$69:N$69),0)*VLOOKUP(BN$3,Conversions!$B$12:$E$34,4,0),$I117*VLOOKUP($F117,Lists!$C$72:$R$232,COLUMNS(Lists!$C$69:N$69),0)*VLOOKUP(BN$3,Conversions!$B$12:$E$34,4,0)))</f>
        <v>0</v>
      </c>
      <c r="AZ117" s="333">
        <f>IF($F117="",0,IF($F117="Weighted Average",$I117*VLOOKUP($D117&amp;" (Disposal)",Lists!$C$72:$R$232,COLUMNS(Lists!$C$69:O$69),0)*VLOOKUP(BO$3,Conversions!$B$12:$E$34,4,0),$I117*VLOOKUP($F117,Lists!$C$72:$R$232,COLUMNS(Lists!$C$69:O$69),0)*VLOOKUP(BO$3,Conversions!$B$12:$E$34,4,0)))</f>
        <v>0</v>
      </c>
      <c r="BA117" s="333">
        <f>IF($F117="",0,IF($F117="Weighted Average",$I117*VLOOKUP($D117&amp;" (Disposal)",Lists!$C$72:$R$232,COLUMNS(Lists!$C$69:P$69),0)*VLOOKUP(BP$3,Conversions!$B$12:$E$34,4,0),$I117*VLOOKUP($F117,Lists!$C$72:$R$232,COLUMNS(Lists!$C$69:P$69),0)*VLOOKUP(BP$3,Conversions!$B$12:$E$34,4,0)))</f>
        <v>0</v>
      </c>
      <c r="BB117" s="333">
        <f>IF($F117="",0,IF($F117="Weighted Average",$I117*VLOOKUP($D117&amp;" (Disposal)",Lists!$C$72:$R$232,COLUMNS(Lists!$C$69:Q$69),0)*VLOOKUP(BQ$3,Conversions!$B$12:$E$34,4,0),$I117*VLOOKUP($F117,Lists!$C$72:$R$232,COLUMNS(Lists!$C$69:Q$69),0)*VLOOKUP(BQ$3,Conversions!$B$12:$E$34,4,0)))</f>
        <v>0</v>
      </c>
      <c r="BC117" s="333">
        <f>IF($F117="",0,IF($F117="Weighted Average",$I117*VLOOKUP($D117&amp;" (Disposal)",Lists!$C$72:$R$232,COLUMNS(Lists!$C$69:R$69),0)*VLOOKUP(BR$3,Conversions!$B$12:$E$34,4,0),$I117*VLOOKUP($F117,Lists!$C$72:$R$232,COLUMNS(Lists!$C$69:R$69),0)*VLOOKUP(BR$3,Conversions!$B$12:$E$34,4,0)))</f>
        <v>0</v>
      </c>
      <c r="BD117" s="333">
        <f t="shared" si="40"/>
        <v>0</v>
      </c>
      <c r="BE117" s="330">
        <f t="shared" si="41"/>
        <v>0</v>
      </c>
      <c r="BF117" s="330">
        <f t="shared" si="42"/>
        <v>0</v>
      </c>
      <c r="BG117" s="330">
        <f t="shared" si="43"/>
        <v>0</v>
      </c>
      <c r="BH117" s="330">
        <f t="shared" si="44"/>
        <v>0</v>
      </c>
      <c r="BI117" s="330">
        <f t="shared" si="45"/>
        <v>0</v>
      </c>
      <c r="BJ117" s="330">
        <f t="shared" si="46"/>
        <v>0</v>
      </c>
      <c r="BK117" s="330">
        <f t="shared" si="47"/>
        <v>0</v>
      </c>
      <c r="BL117" s="330">
        <f t="shared" si="48"/>
        <v>0</v>
      </c>
      <c r="BM117" s="330">
        <f t="shared" si="49"/>
        <v>0</v>
      </c>
      <c r="BN117" s="330">
        <f t="shared" si="50"/>
        <v>0</v>
      </c>
      <c r="BO117" s="330">
        <f t="shared" si="51"/>
        <v>0</v>
      </c>
      <c r="BP117" s="330">
        <f t="shared" si="52"/>
        <v>0</v>
      </c>
      <c r="BQ117" s="330">
        <f t="shared" si="53"/>
        <v>0</v>
      </c>
      <c r="BR117" s="330">
        <f t="shared" si="54"/>
        <v>0</v>
      </c>
      <c r="BS117" s="330">
        <f t="shared" si="55"/>
        <v>0</v>
      </c>
      <c r="BT117" s="329">
        <f t="shared" si="137"/>
        <v>0</v>
      </c>
      <c r="BU117" s="329">
        <f t="shared" si="137"/>
        <v>0</v>
      </c>
      <c r="BV117" s="329">
        <f t="shared" si="137"/>
        <v>0</v>
      </c>
      <c r="BW117" s="329">
        <f t="shared" si="137"/>
        <v>0</v>
      </c>
      <c r="BX117" s="329">
        <f t="shared" si="137"/>
        <v>0</v>
      </c>
      <c r="BY117" s="329">
        <f t="shared" si="137"/>
        <v>0</v>
      </c>
      <c r="BZ117" s="329">
        <f t="shared" si="137"/>
        <v>0</v>
      </c>
      <c r="CA117" s="329">
        <f t="shared" si="137"/>
        <v>0</v>
      </c>
      <c r="CB117" s="329">
        <f t="shared" si="137"/>
        <v>0</v>
      </c>
      <c r="CC117" s="329">
        <f t="shared" si="137"/>
        <v>0</v>
      </c>
      <c r="CD117" s="329">
        <f t="shared" si="137"/>
        <v>0</v>
      </c>
      <c r="CE117" s="329">
        <f t="shared" si="137"/>
        <v>0</v>
      </c>
      <c r="CF117" s="329">
        <f t="shared" si="137"/>
        <v>0</v>
      </c>
      <c r="CG117" s="329">
        <f t="shared" si="137"/>
        <v>0</v>
      </c>
      <c r="CH117" s="329">
        <f t="shared" si="137"/>
        <v>0</v>
      </c>
      <c r="CI117" s="329">
        <f t="shared" si="137"/>
        <v>0</v>
      </c>
      <c r="CJ117" s="331">
        <f t="shared" si="1"/>
        <v>0</v>
      </c>
      <c r="CK117" s="330">
        <f t="shared" si="5"/>
        <v>0</v>
      </c>
      <c r="CL117" s="330">
        <f t="shared" si="6"/>
        <v>0</v>
      </c>
      <c r="CM117" s="330">
        <f t="shared" si="7"/>
        <v>0</v>
      </c>
      <c r="CN117" s="330">
        <f t="shared" si="8"/>
        <v>0</v>
      </c>
      <c r="CO117" s="330">
        <f t="shared" si="9"/>
        <v>0</v>
      </c>
      <c r="CP117" s="330">
        <f t="shared" si="10"/>
        <v>0</v>
      </c>
      <c r="CQ117" s="330">
        <f t="shared" si="94"/>
        <v>0</v>
      </c>
      <c r="CR117" s="330">
        <f t="shared" si="12"/>
        <v>0</v>
      </c>
      <c r="CS117" s="330">
        <f t="shared" si="13"/>
        <v>0</v>
      </c>
      <c r="CT117" s="330">
        <f t="shared" si="14"/>
        <v>0</v>
      </c>
      <c r="CU117" s="330">
        <f t="shared" si="138"/>
        <v>0</v>
      </c>
      <c r="CV117" s="330">
        <f t="shared" si="138"/>
        <v>0</v>
      </c>
      <c r="CW117" s="330">
        <f t="shared" si="138"/>
        <v>0</v>
      </c>
      <c r="CX117" s="330">
        <f t="shared" si="138"/>
        <v>0</v>
      </c>
      <c r="CY117" s="330">
        <f t="shared" si="138"/>
        <v>0</v>
      </c>
      <c r="CZ117" s="330">
        <f t="shared" si="138"/>
        <v>0</v>
      </c>
      <c r="DA117" s="330">
        <f t="shared" si="138"/>
        <v>0</v>
      </c>
      <c r="DB117" s="330">
        <f t="shared" si="138"/>
        <v>0</v>
      </c>
      <c r="DC117" s="330">
        <f t="shared" si="138"/>
        <v>0</v>
      </c>
      <c r="DD117" s="330">
        <f t="shared" si="138"/>
        <v>0</v>
      </c>
      <c r="DE117" s="330">
        <f t="shared" si="139"/>
        <v>0</v>
      </c>
      <c r="DF117" s="330">
        <f t="shared" si="139"/>
        <v>0</v>
      </c>
      <c r="DG117" s="330">
        <f t="shared" si="139"/>
        <v>0</v>
      </c>
      <c r="DH117" s="330">
        <f t="shared" si="139"/>
        <v>0</v>
      </c>
      <c r="DI117" s="330">
        <f t="shared" si="139"/>
        <v>0</v>
      </c>
      <c r="DJ117" s="330">
        <f t="shared" si="139"/>
        <v>0</v>
      </c>
      <c r="DK117" s="330">
        <f t="shared" si="139"/>
        <v>0</v>
      </c>
      <c r="DL117" s="330">
        <f t="shared" si="139"/>
        <v>0</v>
      </c>
      <c r="DM117" s="330">
        <f t="shared" si="139"/>
        <v>0</v>
      </c>
      <c r="DN117" s="330">
        <f t="shared" si="139"/>
        <v>0</v>
      </c>
      <c r="DO117" s="330">
        <f t="shared" si="139"/>
        <v>0</v>
      </c>
      <c r="DP117" s="330">
        <f t="shared" si="140"/>
        <v>0</v>
      </c>
      <c r="DQ117" s="217"/>
      <c r="DR117" s="217"/>
      <c r="DS117" s="217"/>
      <c r="DT117" s="217"/>
    </row>
    <row r="118" spans="1:124" x14ac:dyDescent="0.3">
      <c r="A118" s="324"/>
      <c r="B118" s="221" t="s">
        <v>305</v>
      </c>
      <c r="C118" s="221" t="str">
        <f>IF(Screening!C48=0,"",Screening!C48)</f>
        <v/>
      </c>
      <c r="D118" s="221" t="str">
        <f>IF(Screening!D48=0,"",Screening!D48)</f>
        <v/>
      </c>
      <c r="E118" s="221" t="str">
        <f>IF(Screening!E48=0,"",Screening!E48)</f>
        <v/>
      </c>
      <c r="F118" s="221" t="str">
        <f>IF(Screening!F48=0,"",Screening!F48)</f>
        <v/>
      </c>
      <c r="G118" s="272">
        <f>Screening!G48*Screening!O48*Conversions!$C$4</f>
        <v>0</v>
      </c>
      <c r="H118" s="272">
        <f>Screening!H48*Screening!P48*Screening!I48*Conversions!$C$4</f>
        <v>0</v>
      </c>
      <c r="I118" s="272">
        <f>Screening!J48*Screening!Q48*(1-Screening!R48)*Conversions!$C$4</f>
        <v>0</v>
      </c>
      <c r="J118" s="325">
        <f>IF(Screening!S48=0,0,Screening!S48)</f>
        <v>0</v>
      </c>
      <c r="K118" s="465"/>
      <c r="L118" s="333">
        <f>IF($F118="",0,IF($F118="Weighted Average",$G118*VLOOKUP($D118&amp;" (Install)",Lists!$C$72:$R$232,COLUMNS(Lists!$C$69:E$69),0)*VLOOKUP(BE$3,Conversions!$B$12:$E$34,4,0),$G118*VLOOKUP($F118,Lists!$C$72:$R$232,COLUMNS(Lists!$C$69:E$69),0)*VLOOKUP(BE$3,Conversions!$B$12:$E$34,4,0)))</f>
        <v>0</v>
      </c>
      <c r="M118" s="333">
        <f>IF($F118="",0,IF($F118="Weighted Average",$G118*VLOOKUP($D118&amp;" (Install)",Lists!$C$72:$R$232,COLUMNS(Lists!$C$69:F$69),0)*VLOOKUP(BF$3,Conversions!$B$12:$E$34,4,0),$G118*VLOOKUP($F118,Lists!$C$72:$R$232,COLUMNS(Lists!$C$69:F$69),0)*VLOOKUP(BF$3,Conversions!$B$12:$E$34,4,0)))</f>
        <v>0</v>
      </c>
      <c r="N118" s="333">
        <f>IF($F118="",0,IF($F118="Weighted Average",$G118*VLOOKUP($D118&amp;" (Install)",Lists!$C$72:$R$232,COLUMNS(Lists!$C$69:G$69),0)*VLOOKUP(BG$3,Conversions!$B$12:$E$34,4,0),$G118*VLOOKUP($F118,Lists!$C$72:$R$232,COLUMNS(Lists!$C$69:G$69),0)*VLOOKUP(BG$3,Conversions!$B$12:$E$34,4,0)))</f>
        <v>0</v>
      </c>
      <c r="O118" s="333">
        <f>IF($F118="",0,IF($F118="Weighted Average",$G118*VLOOKUP($D118&amp;" (Install)",Lists!$C$72:$R$232,COLUMNS(Lists!$C$69:H$69),0)*VLOOKUP(BH$3,Conversions!$B$12:$E$34,4,0),$G118*VLOOKUP($F118,Lists!$C$72:$R$232,COLUMNS(Lists!$C$69:H$69),0)*VLOOKUP(BH$3,Conversions!$B$12:$E$34,4,0)))</f>
        <v>0</v>
      </c>
      <c r="P118" s="333">
        <f>IF($F118="",0,IF($F118="Weighted Average",$G118*VLOOKUP($D118&amp;" (Install)",Lists!$C$72:$R$232,COLUMNS(Lists!$C$69:I$69),0)*VLOOKUP(BI$3,Conversions!$B$12:$E$34,4,0),$G118*VLOOKUP($F118,Lists!$C$72:$R$232,COLUMNS(Lists!$C$69:I$69),0)*VLOOKUP(BI$3,Conversions!$B$12:$E$34,4,0)))</f>
        <v>0</v>
      </c>
      <c r="Q118" s="333">
        <f>IF($F118="",0,IF($F118="Weighted Average",$G118*VLOOKUP($D118&amp;" (Install)",Lists!$C$72:$R$232,COLUMNS(Lists!$C$69:J$69),0)*VLOOKUP(BJ$3,Conversions!$B$12:$E$34,4,0),$G118*VLOOKUP($F118,Lists!$C$72:$R$232,COLUMNS(Lists!$C$69:J$69),0)*VLOOKUP(BJ$3,Conversions!$B$12:$E$34,4,0)))</f>
        <v>0</v>
      </c>
      <c r="R118" s="333">
        <f>IF($F118="",0,IF($F118="Weighted Average",$G118*VLOOKUP($D118&amp;" (Install)",Lists!$C$72:$R$232,COLUMNS(Lists!$C$69:K$69),0)*VLOOKUP(BK$3,Conversions!$B$12:$E$34,4,0),$G118*VLOOKUP($F118,Lists!$C$72:$R$232,COLUMNS(Lists!$C$69:K$69),0)*VLOOKUP(BK$3,Conversions!$B$12:$E$34,4,0)))</f>
        <v>0</v>
      </c>
      <c r="S118" s="333">
        <f>IF($F118="",0,IF($F118="Weighted Average",$G118*VLOOKUP($D118&amp;" (Install)",Lists!$C$72:$R$232,COLUMNS(Lists!$C$69:L$69),0)*VLOOKUP(BL$3,Conversions!$B$12:$E$34,4,0),$G118*VLOOKUP($F118,Lists!$C$72:$R$232,COLUMNS(Lists!$C$69:L$69),0)*VLOOKUP(BL$3,Conversions!$B$12:$E$34,4,0)))</f>
        <v>0</v>
      </c>
      <c r="T118" s="333">
        <f>IF($F118="",0,IF($F118="Weighted Average",$G118*VLOOKUP($D118&amp;" (Install)",Lists!$C$72:$R$232,COLUMNS(Lists!$C$69:M$69),0)*VLOOKUP(BM$3,Conversions!$B$12:$E$34,4,0),$G118*VLOOKUP($F118,Lists!$C$72:$R$232,COLUMNS(Lists!$C$69:M$69),0)*VLOOKUP(BM$3,Conversions!$B$12:$E$34,4,0)))</f>
        <v>0</v>
      </c>
      <c r="U118" s="333">
        <f>IF($F118="",0,IF($F118="Weighted Average",$G118*VLOOKUP($D118&amp;" (Install)",Lists!$C$72:$R$232,COLUMNS(Lists!$C$69:N$69),0)*VLOOKUP(BN$3,Conversions!$B$12:$E$34,4,0),$G118*VLOOKUP($F118,Lists!$C$72:$R$232,COLUMNS(Lists!$C$69:N$69),0)*VLOOKUP(BN$3,Conversions!$B$12:$E$34,4,0)))</f>
        <v>0</v>
      </c>
      <c r="V118" s="333">
        <f>IF($F118="",0,IF($F118="Weighted Average",$G118*VLOOKUP($D118&amp;" (Install)",Lists!$C$72:$R$232,COLUMNS(Lists!$C$69:O$69),0)*VLOOKUP(BO$3,Conversions!$B$12:$E$34,4,0),$G118*VLOOKUP($F118,Lists!$C$72:$R$232,COLUMNS(Lists!$C$69:O$69),0)*VLOOKUP(BO$3,Conversions!$B$12:$E$34,4,0)))</f>
        <v>0</v>
      </c>
      <c r="W118" s="333">
        <f>IF($F118="",0,IF($F118="Weighted Average",$G118*VLOOKUP($D118&amp;" (Install)",Lists!$C$72:$R$232,COLUMNS(Lists!$C$69:P$69),0)*VLOOKUP(BP$3,Conversions!$B$12:$E$34,4,0),$G118*VLOOKUP($F118,Lists!$C$72:$R$232,COLUMNS(Lists!$C$69:P$69),0)*VLOOKUP(BP$3,Conversions!$B$12:$E$34,4,0)))</f>
        <v>0</v>
      </c>
      <c r="X118" s="333">
        <f>IF($F118="",0,IF($F118="Weighted Average",$G118*VLOOKUP($D118&amp;" (Install)",Lists!$C$72:$R$232,COLUMNS(Lists!$C$69:Q$69),0)*VLOOKUP(BQ$3,Conversions!$B$12:$E$34,4,0),$G118*VLOOKUP($F118,Lists!$C$72:$R$232,COLUMNS(Lists!$C$69:Q$69),0)*VLOOKUP(BQ$3,Conversions!$B$12:$E$34,4,0)))</f>
        <v>0</v>
      </c>
      <c r="Y118" s="333">
        <f>IF($F118="",0,IF($F118="Weighted Average",$G118*VLOOKUP($D118&amp;" (Install)",Lists!$C$72:$R$232,COLUMNS(Lists!$C$69:R$69),0)*VLOOKUP(BR$3,Conversions!$B$12:$E$34,4,0),$G118*VLOOKUP($F118,Lists!$C$72:$R$232,COLUMNS(Lists!$C$69:R$69),0)*VLOOKUP(BR$3,Conversions!$B$12:$E$34,4,0)))</f>
        <v>0</v>
      </c>
      <c r="Z118" s="325">
        <f t="shared" si="38"/>
        <v>0</v>
      </c>
      <c r="AA118" s="334">
        <f>IF($F118="",0,IF($F118="Weighted Average",$H118*VLOOKUP($D118&amp;" (Operation)",Lists!$C$72:$R$232,COLUMNS(Lists!$C$69:E$69),0)*VLOOKUP(BE$3,Conversions!$B$12:$E$34,4,0),$H118*VLOOKUP($F118,Lists!$C$72:$R$232,COLUMNS(Lists!$C$69:E$69),0)*VLOOKUP(BE$3,Conversions!$B$12:$E$34,4,0)))</f>
        <v>0</v>
      </c>
      <c r="AB118" s="334">
        <f>IF($F118="",0,IF($F118="Weighted Average",$H118*VLOOKUP($D118&amp;" (Operation)",Lists!$C$72:$R$232,COLUMNS(Lists!$C$69:F$69),0)*VLOOKUP(BF$3,Conversions!$B$12:$E$34,4,0),$H118*VLOOKUP($F118,Lists!$C$72:$R$232,COLUMNS(Lists!$C$69:F$69),0)*VLOOKUP(BF$3,Conversions!$B$12:$E$34,4,0)))</f>
        <v>0</v>
      </c>
      <c r="AC118" s="334">
        <f>IF($F118="",0,IF($F118="Weighted Average",$H118*VLOOKUP($D118&amp;" (Operation)",Lists!$C$72:$R$232,COLUMNS(Lists!$C$69:G$69),0)*VLOOKUP(BG$3,Conversions!$B$12:$E$34,4,0),$H118*VLOOKUP($F118,Lists!$C$72:$R$232,COLUMNS(Lists!$C$69:G$69),0)*VLOOKUP(BG$3,Conversions!$B$12:$E$34,4,0)))</f>
        <v>0</v>
      </c>
      <c r="AD118" s="334">
        <f>IF($F118="",0,IF($F118="Weighted Average",$H118*VLOOKUP($D118&amp;" (Operation)",Lists!$C$72:$R$232,COLUMNS(Lists!$C$69:H$69),0)*VLOOKUP(BH$3,Conversions!$B$12:$E$34,4,0),$H118*VLOOKUP($F118,Lists!$C$72:$R$232,COLUMNS(Lists!$C$69:H$69),0)*VLOOKUP(BH$3,Conversions!$B$12:$E$34,4,0)))</f>
        <v>0</v>
      </c>
      <c r="AE118" s="334">
        <f>IF($F118="",0,IF($F118="Weighted Average",$H118*VLOOKUP($D118&amp;" (Operation)",Lists!$C$72:$R$232,COLUMNS(Lists!$C$69:I$69),0)*VLOOKUP(BI$3,Conversions!$B$12:$E$34,4,0),$H118*VLOOKUP($F118,Lists!$C$72:$R$232,COLUMNS(Lists!$C$69:I$69),0)*VLOOKUP(BI$3,Conversions!$B$12:$E$34,4,0)))</f>
        <v>0</v>
      </c>
      <c r="AF118" s="334">
        <f>IF($F118="",0,IF($F118="Weighted Average",$H118*VLOOKUP($D118&amp;" (Operation)",Lists!$C$72:$R$232,COLUMNS(Lists!$C$69:J$69),0)*VLOOKUP(BJ$3,Conversions!$B$12:$E$34,4,0),$H118*VLOOKUP($F118,Lists!$C$72:$R$232,COLUMNS(Lists!$C$69:J$69),0)*VLOOKUP(BJ$3,Conversions!$B$12:$E$34,4,0)))</f>
        <v>0</v>
      </c>
      <c r="AG118" s="334">
        <f>IF($F118="",0,IF($F118="Weighted Average",$H118*VLOOKUP($D118&amp;" (Operation)",Lists!$C$72:$R$232,COLUMNS(Lists!$C$69:K$69),0)*VLOOKUP(BK$3,Conversions!$B$12:$E$34,4,0),$H118*VLOOKUP($F118,Lists!$C$72:$R$232,COLUMNS(Lists!$C$69:K$69),0)*VLOOKUP(BK$3,Conversions!$B$12:$E$34,4,0)))</f>
        <v>0</v>
      </c>
      <c r="AH118" s="334">
        <f>IF($F118="",0,IF($F118="Weighted Average",$H118*VLOOKUP($D118&amp;" (Operation)",Lists!$C$72:$R$232,COLUMNS(Lists!$C$69:L$69),0)*VLOOKUP(BL$3,Conversions!$B$12:$E$34,4,0),$H118*VLOOKUP($F118,Lists!$C$72:$R$232,COLUMNS(Lists!$C$69:L$69),0)*VLOOKUP(BL$3,Conversions!$B$12:$E$34,4,0)))</f>
        <v>0</v>
      </c>
      <c r="AI118" s="334">
        <f>IF($F118="",0,IF($F118="Weighted Average",$H118*VLOOKUP($D118&amp;" (Operation)",Lists!$C$72:$R$232,COLUMNS(Lists!$C$69:M$69),0)*VLOOKUP(BM$3,Conversions!$B$12:$E$34,4,0),$H118*VLOOKUP($F118,Lists!$C$72:$R$232,COLUMNS(Lists!$C$69:M$69),0)*VLOOKUP(BM$3,Conversions!$B$12:$E$34,4,0)))</f>
        <v>0</v>
      </c>
      <c r="AJ118" s="334">
        <f>IF($F118="",0,IF($F118="Weighted Average",$H118*VLOOKUP($D118&amp;" (Operation)",Lists!$C$72:$R$232,COLUMNS(Lists!$C$69:N$69),0)*VLOOKUP(BN$3,Conversions!$B$12:$E$34,4,0),$H118*VLOOKUP($F118,Lists!$C$72:$R$232,COLUMNS(Lists!$C$69:N$69),0)*VLOOKUP(BN$3,Conversions!$B$12:$E$34,4,0)))</f>
        <v>0</v>
      </c>
      <c r="AK118" s="334">
        <f>IF($F118="",0,IF($F118="Weighted Average",$H118*VLOOKUP($D118&amp;" (Operation)",Lists!$C$72:$R$232,COLUMNS(Lists!$C$69:O$69),0)*VLOOKUP(BO$3,Conversions!$B$12:$E$34,4,0),$H118*VLOOKUP($F118,Lists!$C$72:$R$232,COLUMNS(Lists!$C$69:O$69),0)*VLOOKUP(BO$3,Conversions!$B$12:$E$34,4,0)))</f>
        <v>0</v>
      </c>
      <c r="AL118" s="334">
        <f>IF($F118="",0,IF($F118="Weighted Average",$H118*VLOOKUP($D118&amp;" (Operation)",Lists!$C$72:$R$232,COLUMNS(Lists!$C$69:P$69),0)*VLOOKUP(BP$3,Conversions!$B$12:$E$34,4,0),$H118*VLOOKUP($F118,Lists!$C$72:$R$232,COLUMNS(Lists!$C$69:P$69),0)*VLOOKUP(BP$3,Conversions!$B$12:$E$34,4,0)))</f>
        <v>0</v>
      </c>
      <c r="AM118" s="334">
        <f>IF($F118="",0,IF($F118="Weighted Average",$H118*VLOOKUP($D118&amp;" (Operation)",Lists!$C$72:$R$232,COLUMNS(Lists!$C$69:Q$69),0)*VLOOKUP(BQ$3,Conversions!$B$12:$E$34,4,0),$H118*VLOOKUP($F118,Lists!$C$72:$R$232,COLUMNS(Lists!$C$69:Q$69),0)*VLOOKUP(BQ$3,Conversions!$B$12:$E$34,4,0)))</f>
        <v>0</v>
      </c>
      <c r="AN118" s="334">
        <f>IF($F118="",0,IF($F118="Weighted Average",$H118*VLOOKUP($D118&amp;" (Operation)",Lists!$C$72:$R$232,COLUMNS(Lists!$C$69:R$69),0)*VLOOKUP(BR$3,Conversions!$B$12:$E$34,4,0),$H118*VLOOKUP($F118,Lists!$C$72:$R$232,COLUMNS(Lists!$C$69:R$69),0)*VLOOKUP(BR$3,Conversions!$B$12:$E$34,4,0)))</f>
        <v>0</v>
      </c>
      <c r="AO118" s="330">
        <f t="shared" si="39"/>
        <v>0</v>
      </c>
      <c r="AP118" s="333">
        <f>IF($F118="",0,IF($F118="Weighted Average",$I118*VLOOKUP($D118&amp;" (Disposal)",Lists!$C$72:$R$232,COLUMNS(Lists!$C$69:E$69),0)*VLOOKUP(BE$3,Conversions!$B$12:$E$34,4,0),$I118*VLOOKUP($F118,Lists!$C$72:$R$232,COLUMNS(Lists!$C$69:E$69),0)*VLOOKUP(BE$3,Conversions!$B$12:$E$34,4,0)))</f>
        <v>0</v>
      </c>
      <c r="AQ118" s="333">
        <f>IF($F118="",0,IF($F118="Weighted Average",$I118*VLOOKUP($D118&amp;" (Disposal)",Lists!$C$72:$R$232,COLUMNS(Lists!$C$69:F$69),0)*VLOOKUP(BF$3,Conversions!$B$12:$E$34,4,0),$I118*VLOOKUP($F118,Lists!$C$72:$R$232,COLUMNS(Lists!$C$69:F$69),0)*VLOOKUP(BF$3,Conversions!$B$12:$E$34,4,0)))</f>
        <v>0</v>
      </c>
      <c r="AR118" s="333">
        <f>IF($F118="",0,IF($F118="Weighted Average",$I118*VLOOKUP($D118&amp;" (Disposal)",Lists!$C$72:$R$232,COLUMNS(Lists!$C$69:G$69),0)*VLOOKUP(BG$3,Conversions!$B$12:$E$34,4,0),$I118*VLOOKUP($F118,Lists!$C$72:$R$232,COLUMNS(Lists!$C$69:G$69),0)*VLOOKUP(BG$3,Conversions!$B$12:$E$34,4,0)))</f>
        <v>0</v>
      </c>
      <c r="AS118" s="333">
        <f>IF($F118="",0,IF($F118="Weighted Average",$I118*VLOOKUP($D118&amp;" (Disposal)",Lists!$C$72:$R$232,COLUMNS(Lists!$C$69:H$69),0)*VLOOKUP(BH$3,Conversions!$B$12:$E$34,4,0),$I118*VLOOKUP($F118,Lists!$C$72:$R$232,COLUMNS(Lists!$C$69:H$69),0)*VLOOKUP(BH$3,Conversions!$B$12:$E$34,4,0)))</f>
        <v>0</v>
      </c>
      <c r="AT118" s="333">
        <f>IF($F118="",0,IF($F118="Weighted Average",$I118*VLOOKUP($D118&amp;" (Disposal)",Lists!$C$72:$R$232,COLUMNS(Lists!$C$69:I$69),0)*VLOOKUP(BI$3,Conversions!$B$12:$E$34,4,0),$I118*VLOOKUP($F118,Lists!$C$72:$R$232,COLUMNS(Lists!$C$69:I$69),0)*VLOOKUP(BI$3,Conversions!$B$12:$E$34,4,0)))</f>
        <v>0</v>
      </c>
      <c r="AU118" s="333">
        <f>IF($F118="",0,IF($F118="Weighted Average",$I118*VLOOKUP($D118&amp;" (Disposal)",Lists!$C$72:$R$232,COLUMNS(Lists!$C$69:J$69),0)*VLOOKUP(BJ$3,Conversions!$B$12:$E$34,4,0),$I118*VLOOKUP($F118,Lists!$C$72:$R$232,COLUMNS(Lists!$C$69:J$69),0)*VLOOKUP(BJ$3,Conversions!$B$12:$E$34,4,0)))</f>
        <v>0</v>
      </c>
      <c r="AV118" s="333">
        <f>IF($F118="",0,IF($F118="Weighted Average",$I118*VLOOKUP($D118&amp;" (Disposal)",Lists!$C$72:$R$232,COLUMNS(Lists!$C$69:K$69),0)*VLOOKUP(BK$3,Conversions!$B$12:$E$34,4,0),$I118*VLOOKUP($F118,Lists!$C$72:$R$232,COLUMNS(Lists!$C$69:K$69),0)*VLOOKUP(BK$3,Conversions!$B$12:$E$34,4,0)))</f>
        <v>0</v>
      </c>
      <c r="AW118" s="333">
        <f>IF($F118="",0,IF($F118="Weighted Average",$I118*VLOOKUP($D118&amp;" (Disposal)",Lists!$C$72:$R$232,COLUMNS(Lists!$C$69:L$69),0)*VLOOKUP(BL$3,Conversions!$B$12:$E$34,4,0),$I118*VLOOKUP($F118,Lists!$C$72:$R$232,COLUMNS(Lists!$C$69:L$69),0)*VLOOKUP(BL$3,Conversions!$B$12:$E$34,4,0)))</f>
        <v>0</v>
      </c>
      <c r="AX118" s="333">
        <f>IF($F118="",0,IF($F118="Weighted Average",$I118*VLOOKUP($D118&amp;" (Disposal)",Lists!$C$72:$R$232,COLUMNS(Lists!$C$69:M$69),0)*VLOOKUP(BM$3,Conversions!$B$12:$E$34,4,0),$I118*VLOOKUP($F118,Lists!$C$72:$R$232,COLUMNS(Lists!$C$69:M$69),0)*VLOOKUP(BM$3,Conversions!$B$12:$E$34,4,0)))</f>
        <v>0</v>
      </c>
      <c r="AY118" s="333">
        <f>IF($F118="",0,IF($F118="Weighted Average",$I118*VLOOKUP($D118&amp;" (Disposal)",Lists!$C$72:$R$232,COLUMNS(Lists!$C$69:N$69),0)*VLOOKUP(BN$3,Conversions!$B$12:$E$34,4,0),$I118*VLOOKUP($F118,Lists!$C$72:$R$232,COLUMNS(Lists!$C$69:N$69),0)*VLOOKUP(BN$3,Conversions!$B$12:$E$34,4,0)))</f>
        <v>0</v>
      </c>
      <c r="AZ118" s="333">
        <f>IF($F118="",0,IF($F118="Weighted Average",$I118*VLOOKUP($D118&amp;" (Disposal)",Lists!$C$72:$R$232,COLUMNS(Lists!$C$69:O$69),0)*VLOOKUP(BO$3,Conversions!$B$12:$E$34,4,0),$I118*VLOOKUP($F118,Lists!$C$72:$R$232,COLUMNS(Lists!$C$69:O$69),0)*VLOOKUP(BO$3,Conversions!$B$12:$E$34,4,0)))</f>
        <v>0</v>
      </c>
      <c r="BA118" s="333">
        <f>IF($F118="",0,IF($F118="Weighted Average",$I118*VLOOKUP($D118&amp;" (Disposal)",Lists!$C$72:$R$232,COLUMNS(Lists!$C$69:P$69),0)*VLOOKUP(BP$3,Conversions!$B$12:$E$34,4,0),$I118*VLOOKUP($F118,Lists!$C$72:$R$232,COLUMNS(Lists!$C$69:P$69),0)*VLOOKUP(BP$3,Conversions!$B$12:$E$34,4,0)))</f>
        <v>0</v>
      </c>
      <c r="BB118" s="333">
        <f>IF($F118="",0,IF($F118="Weighted Average",$I118*VLOOKUP($D118&amp;" (Disposal)",Lists!$C$72:$R$232,COLUMNS(Lists!$C$69:Q$69),0)*VLOOKUP(BQ$3,Conversions!$B$12:$E$34,4,0),$I118*VLOOKUP($F118,Lists!$C$72:$R$232,COLUMNS(Lists!$C$69:Q$69),0)*VLOOKUP(BQ$3,Conversions!$B$12:$E$34,4,0)))</f>
        <v>0</v>
      </c>
      <c r="BC118" s="333">
        <f>IF($F118="",0,IF($F118="Weighted Average",$I118*VLOOKUP($D118&amp;" (Disposal)",Lists!$C$72:$R$232,COLUMNS(Lists!$C$69:R$69),0)*VLOOKUP(BR$3,Conversions!$B$12:$E$34,4,0),$I118*VLOOKUP($F118,Lists!$C$72:$R$232,COLUMNS(Lists!$C$69:R$69),0)*VLOOKUP(BR$3,Conversions!$B$12:$E$34,4,0)))</f>
        <v>0</v>
      </c>
      <c r="BD118" s="333">
        <f t="shared" si="40"/>
        <v>0</v>
      </c>
      <c r="BE118" s="330">
        <f t="shared" si="41"/>
        <v>0</v>
      </c>
      <c r="BF118" s="330">
        <f t="shared" si="42"/>
        <v>0</v>
      </c>
      <c r="BG118" s="330">
        <f t="shared" si="43"/>
        <v>0</v>
      </c>
      <c r="BH118" s="330">
        <f t="shared" si="44"/>
        <v>0</v>
      </c>
      <c r="BI118" s="330">
        <f t="shared" si="45"/>
        <v>0</v>
      </c>
      <c r="BJ118" s="330">
        <f t="shared" si="46"/>
        <v>0</v>
      </c>
      <c r="BK118" s="330">
        <f t="shared" si="47"/>
        <v>0</v>
      </c>
      <c r="BL118" s="330">
        <f t="shared" si="48"/>
        <v>0</v>
      </c>
      <c r="BM118" s="330">
        <f t="shared" si="49"/>
        <v>0</v>
      </c>
      <c r="BN118" s="330">
        <f t="shared" si="50"/>
        <v>0</v>
      </c>
      <c r="BO118" s="330">
        <f t="shared" si="51"/>
        <v>0</v>
      </c>
      <c r="BP118" s="330">
        <f t="shared" si="52"/>
        <v>0</v>
      </c>
      <c r="BQ118" s="330">
        <f t="shared" si="53"/>
        <v>0</v>
      </c>
      <c r="BR118" s="330">
        <f t="shared" si="54"/>
        <v>0</v>
      </c>
      <c r="BS118" s="330">
        <f t="shared" si="55"/>
        <v>0</v>
      </c>
      <c r="BT118" s="329">
        <f t="shared" si="137"/>
        <v>0</v>
      </c>
      <c r="BU118" s="329">
        <f t="shared" si="137"/>
        <v>0</v>
      </c>
      <c r="BV118" s="329">
        <f t="shared" si="137"/>
        <v>0</v>
      </c>
      <c r="BW118" s="329">
        <f t="shared" si="137"/>
        <v>0</v>
      </c>
      <c r="BX118" s="329">
        <f t="shared" si="137"/>
        <v>0</v>
      </c>
      <c r="BY118" s="329">
        <f t="shared" si="137"/>
        <v>0</v>
      </c>
      <c r="BZ118" s="329">
        <f t="shared" si="137"/>
        <v>0</v>
      </c>
      <c r="CA118" s="329">
        <f t="shared" si="137"/>
        <v>0</v>
      </c>
      <c r="CB118" s="329">
        <f t="shared" si="137"/>
        <v>0</v>
      </c>
      <c r="CC118" s="329">
        <f t="shared" si="137"/>
        <v>0</v>
      </c>
      <c r="CD118" s="329">
        <f t="shared" si="137"/>
        <v>0</v>
      </c>
      <c r="CE118" s="329">
        <f t="shared" si="137"/>
        <v>0</v>
      </c>
      <c r="CF118" s="329">
        <f t="shared" si="137"/>
        <v>0</v>
      </c>
      <c r="CG118" s="329">
        <f t="shared" si="137"/>
        <v>0</v>
      </c>
      <c r="CH118" s="329">
        <f t="shared" si="137"/>
        <v>0</v>
      </c>
      <c r="CI118" s="329">
        <f t="shared" si="137"/>
        <v>0</v>
      </c>
      <c r="CJ118" s="331">
        <f t="shared" si="1"/>
        <v>0</v>
      </c>
      <c r="CK118" s="330">
        <f t="shared" si="5"/>
        <v>0</v>
      </c>
      <c r="CL118" s="330">
        <f t="shared" si="6"/>
        <v>0</v>
      </c>
      <c r="CM118" s="330">
        <f t="shared" si="7"/>
        <v>0</v>
      </c>
      <c r="CN118" s="330">
        <f t="shared" si="8"/>
        <v>0</v>
      </c>
      <c r="CO118" s="330">
        <f t="shared" si="9"/>
        <v>0</v>
      </c>
      <c r="CP118" s="330">
        <f t="shared" si="10"/>
        <v>0</v>
      </c>
      <c r="CQ118" s="330">
        <f t="shared" si="94"/>
        <v>0</v>
      </c>
      <c r="CR118" s="330">
        <f t="shared" si="12"/>
        <v>0</v>
      </c>
      <c r="CS118" s="330">
        <f t="shared" si="13"/>
        <v>0</v>
      </c>
      <c r="CT118" s="330">
        <f t="shared" si="14"/>
        <v>0</v>
      </c>
      <c r="CU118" s="330">
        <f t="shared" si="138"/>
        <v>0</v>
      </c>
      <c r="CV118" s="330">
        <f t="shared" si="138"/>
        <v>0</v>
      </c>
      <c r="CW118" s="330">
        <f t="shared" si="138"/>
        <v>0</v>
      </c>
      <c r="CX118" s="330">
        <f t="shared" si="138"/>
        <v>0</v>
      </c>
      <c r="CY118" s="330">
        <f t="shared" si="138"/>
        <v>0</v>
      </c>
      <c r="CZ118" s="330">
        <f t="shared" si="138"/>
        <v>0</v>
      </c>
      <c r="DA118" s="330">
        <f t="shared" si="138"/>
        <v>0</v>
      </c>
      <c r="DB118" s="330">
        <f t="shared" si="138"/>
        <v>0</v>
      </c>
      <c r="DC118" s="330">
        <f t="shared" si="138"/>
        <v>0</v>
      </c>
      <c r="DD118" s="330">
        <f t="shared" si="138"/>
        <v>0</v>
      </c>
      <c r="DE118" s="330">
        <f t="shared" si="139"/>
        <v>0</v>
      </c>
      <c r="DF118" s="330">
        <f t="shared" si="139"/>
        <v>0</v>
      </c>
      <c r="DG118" s="330">
        <f t="shared" si="139"/>
        <v>0</v>
      </c>
      <c r="DH118" s="330">
        <f t="shared" si="139"/>
        <v>0</v>
      </c>
      <c r="DI118" s="330">
        <f t="shared" si="139"/>
        <v>0</v>
      </c>
      <c r="DJ118" s="330">
        <f t="shared" si="139"/>
        <v>0</v>
      </c>
      <c r="DK118" s="330">
        <f t="shared" si="139"/>
        <v>0</v>
      </c>
      <c r="DL118" s="330">
        <f t="shared" si="139"/>
        <v>0</v>
      </c>
      <c r="DM118" s="330">
        <f t="shared" si="139"/>
        <v>0</v>
      </c>
      <c r="DN118" s="330">
        <f t="shared" si="139"/>
        <v>0</v>
      </c>
      <c r="DO118" s="330">
        <f t="shared" si="139"/>
        <v>0</v>
      </c>
      <c r="DP118" s="330">
        <f t="shared" si="140"/>
        <v>0</v>
      </c>
      <c r="DQ118" s="217"/>
      <c r="DR118" s="217"/>
      <c r="DS118" s="217"/>
      <c r="DT118" s="217"/>
    </row>
    <row r="119" spans="1:124" x14ac:dyDescent="0.3">
      <c r="A119" s="324"/>
      <c r="B119" s="221" t="s">
        <v>305</v>
      </c>
      <c r="C119" s="221" t="str">
        <f>IF(Screening!C49=0,"",Screening!C49)</f>
        <v/>
      </c>
      <c r="D119" s="221" t="str">
        <f>IF(Screening!D49=0,"",Screening!D49)</f>
        <v/>
      </c>
      <c r="E119" s="221" t="str">
        <f>IF(Screening!E49=0,"",Screening!E49)</f>
        <v/>
      </c>
      <c r="F119" s="221" t="str">
        <f>IF(Screening!F49=0,"",Screening!F49)</f>
        <v/>
      </c>
      <c r="G119" s="272">
        <f>Screening!G49*Screening!O49*Conversions!$C$4</f>
        <v>0</v>
      </c>
      <c r="H119" s="272">
        <f>Screening!H49*Screening!P49*Screening!I49*Conversions!$C$4</f>
        <v>0</v>
      </c>
      <c r="I119" s="272">
        <f>Screening!J49*Screening!Q49*(1-Screening!R49)*Conversions!$C$4</f>
        <v>0</v>
      </c>
      <c r="J119" s="325">
        <f>IF(Screening!S49=0,0,Screening!S49)</f>
        <v>0</v>
      </c>
      <c r="K119" s="465"/>
      <c r="L119" s="333">
        <f>IF($F119="",0,IF($F119="Weighted Average",$G119*VLOOKUP($D119&amp;" (Install)",Lists!$C$72:$R$232,COLUMNS(Lists!$C$69:E$69),0)*VLOOKUP(BE$3,Conversions!$B$12:$E$34,4,0),$G119*VLOOKUP($F119,Lists!$C$72:$R$232,COLUMNS(Lists!$C$69:E$69),0)*VLOOKUP(BE$3,Conversions!$B$12:$E$34,4,0)))</f>
        <v>0</v>
      </c>
      <c r="M119" s="333">
        <f>IF($F119="",0,IF($F119="Weighted Average",$G119*VLOOKUP($D119&amp;" (Install)",Lists!$C$72:$R$232,COLUMNS(Lists!$C$69:F$69),0)*VLOOKUP(BF$3,Conversions!$B$12:$E$34,4,0),$G119*VLOOKUP($F119,Lists!$C$72:$R$232,COLUMNS(Lists!$C$69:F$69),0)*VLOOKUP(BF$3,Conversions!$B$12:$E$34,4,0)))</f>
        <v>0</v>
      </c>
      <c r="N119" s="333">
        <f>IF($F119="",0,IF($F119="Weighted Average",$G119*VLOOKUP($D119&amp;" (Install)",Lists!$C$72:$R$232,COLUMNS(Lists!$C$69:G$69),0)*VLOOKUP(BG$3,Conversions!$B$12:$E$34,4,0),$G119*VLOOKUP($F119,Lists!$C$72:$R$232,COLUMNS(Lists!$C$69:G$69),0)*VLOOKUP(BG$3,Conversions!$B$12:$E$34,4,0)))</f>
        <v>0</v>
      </c>
      <c r="O119" s="333">
        <f>IF($F119="",0,IF($F119="Weighted Average",$G119*VLOOKUP($D119&amp;" (Install)",Lists!$C$72:$R$232,COLUMNS(Lists!$C$69:H$69),0)*VLOOKUP(BH$3,Conversions!$B$12:$E$34,4,0),$G119*VLOOKUP($F119,Lists!$C$72:$R$232,COLUMNS(Lists!$C$69:H$69),0)*VLOOKUP(BH$3,Conversions!$B$12:$E$34,4,0)))</f>
        <v>0</v>
      </c>
      <c r="P119" s="333">
        <f>IF($F119="",0,IF($F119="Weighted Average",$G119*VLOOKUP($D119&amp;" (Install)",Lists!$C$72:$R$232,COLUMNS(Lists!$C$69:I$69),0)*VLOOKUP(BI$3,Conversions!$B$12:$E$34,4,0),$G119*VLOOKUP($F119,Lists!$C$72:$R$232,COLUMNS(Lists!$C$69:I$69),0)*VLOOKUP(BI$3,Conversions!$B$12:$E$34,4,0)))</f>
        <v>0</v>
      </c>
      <c r="Q119" s="333">
        <f>IF($F119="",0,IF($F119="Weighted Average",$G119*VLOOKUP($D119&amp;" (Install)",Lists!$C$72:$R$232,COLUMNS(Lists!$C$69:J$69),0)*VLOOKUP(BJ$3,Conversions!$B$12:$E$34,4,0),$G119*VLOOKUP($F119,Lists!$C$72:$R$232,COLUMNS(Lists!$C$69:J$69),0)*VLOOKUP(BJ$3,Conversions!$B$12:$E$34,4,0)))</f>
        <v>0</v>
      </c>
      <c r="R119" s="333">
        <f>IF($F119="",0,IF($F119="Weighted Average",$G119*VLOOKUP($D119&amp;" (Install)",Lists!$C$72:$R$232,COLUMNS(Lists!$C$69:K$69),0)*VLOOKUP(BK$3,Conversions!$B$12:$E$34,4,0),$G119*VLOOKUP($F119,Lists!$C$72:$R$232,COLUMNS(Lists!$C$69:K$69),0)*VLOOKUP(BK$3,Conversions!$B$12:$E$34,4,0)))</f>
        <v>0</v>
      </c>
      <c r="S119" s="333">
        <f>IF($F119="",0,IF($F119="Weighted Average",$G119*VLOOKUP($D119&amp;" (Install)",Lists!$C$72:$R$232,COLUMNS(Lists!$C$69:L$69),0)*VLOOKUP(BL$3,Conversions!$B$12:$E$34,4,0),$G119*VLOOKUP($F119,Lists!$C$72:$R$232,COLUMNS(Lists!$C$69:L$69),0)*VLOOKUP(BL$3,Conversions!$B$12:$E$34,4,0)))</f>
        <v>0</v>
      </c>
      <c r="T119" s="333">
        <f>IF($F119="",0,IF($F119="Weighted Average",$G119*VLOOKUP($D119&amp;" (Install)",Lists!$C$72:$R$232,COLUMNS(Lists!$C$69:M$69),0)*VLOOKUP(BM$3,Conversions!$B$12:$E$34,4,0),$G119*VLOOKUP($F119,Lists!$C$72:$R$232,COLUMNS(Lists!$C$69:M$69),0)*VLOOKUP(BM$3,Conversions!$B$12:$E$34,4,0)))</f>
        <v>0</v>
      </c>
      <c r="U119" s="333">
        <f>IF($F119="",0,IF($F119="Weighted Average",$G119*VLOOKUP($D119&amp;" (Install)",Lists!$C$72:$R$232,COLUMNS(Lists!$C$69:N$69),0)*VLOOKUP(BN$3,Conversions!$B$12:$E$34,4,0),$G119*VLOOKUP($F119,Lists!$C$72:$R$232,COLUMNS(Lists!$C$69:N$69),0)*VLOOKUP(BN$3,Conversions!$B$12:$E$34,4,0)))</f>
        <v>0</v>
      </c>
      <c r="V119" s="333">
        <f>IF($F119="",0,IF($F119="Weighted Average",$G119*VLOOKUP($D119&amp;" (Install)",Lists!$C$72:$R$232,COLUMNS(Lists!$C$69:O$69),0)*VLOOKUP(BO$3,Conversions!$B$12:$E$34,4,0),$G119*VLOOKUP($F119,Lists!$C$72:$R$232,COLUMNS(Lists!$C$69:O$69),0)*VLOOKUP(BO$3,Conversions!$B$12:$E$34,4,0)))</f>
        <v>0</v>
      </c>
      <c r="W119" s="333">
        <f>IF($F119="",0,IF($F119="Weighted Average",$G119*VLOOKUP($D119&amp;" (Install)",Lists!$C$72:$R$232,COLUMNS(Lists!$C$69:P$69),0)*VLOOKUP(BP$3,Conversions!$B$12:$E$34,4,0),$G119*VLOOKUP($F119,Lists!$C$72:$R$232,COLUMNS(Lists!$C$69:P$69),0)*VLOOKUP(BP$3,Conversions!$B$12:$E$34,4,0)))</f>
        <v>0</v>
      </c>
      <c r="X119" s="333">
        <f>IF($F119="",0,IF($F119="Weighted Average",$G119*VLOOKUP($D119&amp;" (Install)",Lists!$C$72:$R$232,COLUMNS(Lists!$C$69:Q$69),0)*VLOOKUP(BQ$3,Conversions!$B$12:$E$34,4,0),$G119*VLOOKUP($F119,Lists!$C$72:$R$232,COLUMNS(Lists!$C$69:Q$69),0)*VLOOKUP(BQ$3,Conversions!$B$12:$E$34,4,0)))</f>
        <v>0</v>
      </c>
      <c r="Y119" s="333">
        <f>IF($F119="",0,IF($F119="Weighted Average",$G119*VLOOKUP($D119&amp;" (Install)",Lists!$C$72:$R$232,COLUMNS(Lists!$C$69:R$69),0)*VLOOKUP(BR$3,Conversions!$B$12:$E$34,4,0),$G119*VLOOKUP($F119,Lists!$C$72:$R$232,COLUMNS(Lists!$C$69:R$69),0)*VLOOKUP(BR$3,Conversions!$B$12:$E$34,4,0)))</f>
        <v>0</v>
      </c>
      <c r="Z119" s="325">
        <f t="shared" si="38"/>
        <v>0</v>
      </c>
      <c r="AA119" s="334">
        <f>IF($F119="",0,IF($F119="Weighted Average",$H119*VLOOKUP($D119&amp;" (Operation)",Lists!$C$72:$R$232,COLUMNS(Lists!$C$69:E$69),0)*VLOOKUP(BE$3,Conversions!$B$12:$E$34,4,0),$H119*VLOOKUP($F119,Lists!$C$72:$R$232,COLUMNS(Lists!$C$69:E$69),0)*VLOOKUP(BE$3,Conversions!$B$12:$E$34,4,0)))</f>
        <v>0</v>
      </c>
      <c r="AB119" s="334">
        <f>IF($F119="",0,IF($F119="Weighted Average",$H119*VLOOKUP($D119&amp;" (Operation)",Lists!$C$72:$R$232,COLUMNS(Lists!$C$69:F$69),0)*VLOOKUP(BF$3,Conversions!$B$12:$E$34,4,0),$H119*VLOOKUP($F119,Lists!$C$72:$R$232,COLUMNS(Lists!$C$69:F$69),0)*VLOOKUP(BF$3,Conversions!$B$12:$E$34,4,0)))</f>
        <v>0</v>
      </c>
      <c r="AC119" s="334">
        <f>IF($F119="",0,IF($F119="Weighted Average",$H119*VLOOKUP($D119&amp;" (Operation)",Lists!$C$72:$R$232,COLUMNS(Lists!$C$69:G$69),0)*VLOOKUP(BG$3,Conversions!$B$12:$E$34,4,0),$H119*VLOOKUP($F119,Lists!$C$72:$R$232,COLUMNS(Lists!$C$69:G$69),0)*VLOOKUP(BG$3,Conversions!$B$12:$E$34,4,0)))</f>
        <v>0</v>
      </c>
      <c r="AD119" s="334">
        <f>IF($F119="",0,IF($F119="Weighted Average",$H119*VLOOKUP($D119&amp;" (Operation)",Lists!$C$72:$R$232,COLUMNS(Lists!$C$69:H$69),0)*VLOOKUP(BH$3,Conversions!$B$12:$E$34,4,0),$H119*VLOOKUP($F119,Lists!$C$72:$R$232,COLUMNS(Lists!$C$69:H$69),0)*VLOOKUP(BH$3,Conversions!$B$12:$E$34,4,0)))</f>
        <v>0</v>
      </c>
      <c r="AE119" s="334">
        <f>IF($F119="",0,IF($F119="Weighted Average",$H119*VLOOKUP($D119&amp;" (Operation)",Lists!$C$72:$R$232,COLUMNS(Lists!$C$69:I$69),0)*VLOOKUP(BI$3,Conversions!$B$12:$E$34,4,0),$H119*VLOOKUP($F119,Lists!$C$72:$R$232,COLUMNS(Lists!$C$69:I$69),0)*VLOOKUP(BI$3,Conversions!$B$12:$E$34,4,0)))</f>
        <v>0</v>
      </c>
      <c r="AF119" s="334">
        <f>IF($F119="",0,IF($F119="Weighted Average",$H119*VLOOKUP($D119&amp;" (Operation)",Lists!$C$72:$R$232,COLUMNS(Lists!$C$69:J$69),0)*VLOOKUP(BJ$3,Conversions!$B$12:$E$34,4,0),$H119*VLOOKUP($F119,Lists!$C$72:$R$232,COLUMNS(Lists!$C$69:J$69),0)*VLOOKUP(BJ$3,Conversions!$B$12:$E$34,4,0)))</f>
        <v>0</v>
      </c>
      <c r="AG119" s="334">
        <f>IF($F119="",0,IF($F119="Weighted Average",$H119*VLOOKUP($D119&amp;" (Operation)",Lists!$C$72:$R$232,COLUMNS(Lists!$C$69:K$69),0)*VLOOKUP(BK$3,Conversions!$B$12:$E$34,4,0),$H119*VLOOKUP($F119,Lists!$C$72:$R$232,COLUMNS(Lists!$C$69:K$69),0)*VLOOKUP(BK$3,Conversions!$B$12:$E$34,4,0)))</f>
        <v>0</v>
      </c>
      <c r="AH119" s="334">
        <f>IF($F119="",0,IF($F119="Weighted Average",$H119*VLOOKUP($D119&amp;" (Operation)",Lists!$C$72:$R$232,COLUMNS(Lists!$C$69:L$69),0)*VLOOKUP(BL$3,Conversions!$B$12:$E$34,4,0),$H119*VLOOKUP($F119,Lists!$C$72:$R$232,COLUMNS(Lists!$C$69:L$69),0)*VLOOKUP(BL$3,Conversions!$B$12:$E$34,4,0)))</f>
        <v>0</v>
      </c>
      <c r="AI119" s="334">
        <f>IF($F119="",0,IF($F119="Weighted Average",$H119*VLOOKUP($D119&amp;" (Operation)",Lists!$C$72:$R$232,COLUMNS(Lists!$C$69:M$69),0)*VLOOKUP(BM$3,Conversions!$B$12:$E$34,4,0),$H119*VLOOKUP($F119,Lists!$C$72:$R$232,COLUMNS(Lists!$C$69:M$69),0)*VLOOKUP(BM$3,Conversions!$B$12:$E$34,4,0)))</f>
        <v>0</v>
      </c>
      <c r="AJ119" s="334">
        <f>IF($F119="",0,IF($F119="Weighted Average",$H119*VLOOKUP($D119&amp;" (Operation)",Lists!$C$72:$R$232,COLUMNS(Lists!$C$69:N$69),0)*VLOOKUP(BN$3,Conversions!$B$12:$E$34,4,0),$H119*VLOOKUP($F119,Lists!$C$72:$R$232,COLUMNS(Lists!$C$69:N$69),0)*VLOOKUP(BN$3,Conversions!$B$12:$E$34,4,0)))</f>
        <v>0</v>
      </c>
      <c r="AK119" s="334">
        <f>IF($F119="",0,IF($F119="Weighted Average",$H119*VLOOKUP($D119&amp;" (Operation)",Lists!$C$72:$R$232,COLUMNS(Lists!$C$69:O$69),0)*VLOOKUP(BO$3,Conversions!$B$12:$E$34,4,0),$H119*VLOOKUP($F119,Lists!$C$72:$R$232,COLUMNS(Lists!$C$69:O$69),0)*VLOOKUP(BO$3,Conversions!$B$12:$E$34,4,0)))</f>
        <v>0</v>
      </c>
      <c r="AL119" s="334">
        <f>IF($F119="",0,IF($F119="Weighted Average",$H119*VLOOKUP($D119&amp;" (Operation)",Lists!$C$72:$R$232,COLUMNS(Lists!$C$69:P$69),0)*VLOOKUP(BP$3,Conversions!$B$12:$E$34,4,0),$H119*VLOOKUP($F119,Lists!$C$72:$R$232,COLUMNS(Lists!$C$69:P$69),0)*VLOOKUP(BP$3,Conversions!$B$12:$E$34,4,0)))</f>
        <v>0</v>
      </c>
      <c r="AM119" s="334">
        <f>IF($F119="",0,IF($F119="Weighted Average",$H119*VLOOKUP($D119&amp;" (Operation)",Lists!$C$72:$R$232,COLUMNS(Lists!$C$69:Q$69),0)*VLOOKUP(BQ$3,Conversions!$B$12:$E$34,4,0),$H119*VLOOKUP($F119,Lists!$C$72:$R$232,COLUMNS(Lists!$C$69:Q$69),0)*VLOOKUP(BQ$3,Conversions!$B$12:$E$34,4,0)))</f>
        <v>0</v>
      </c>
      <c r="AN119" s="334">
        <f>IF($F119="",0,IF($F119="Weighted Average",$H119*VLOOKUP($D119&amp;" (Operation)",Lists!$C$72:$R$232,COLUMNS(Lists!$C$69:R$69),0)*VLOOKUP(BR$3,Conversions!$B$12:$E$34,4,0),$H119*VLOOKUP($F119,Lists!$C$72:$R$232,COLUMNS(Lists!$C$69:R$69),0)*VLOOKUP(BR$3,Conversions!$B$12:$E$34,4,0)))</f>
        <v>0</v>
      </c>
      <c r="AO119" s="330">
        <f t="shared" si="39"/>
        <v>0</v>
      </c>
      <c r="AP119" s="333">
        <f>IF($F119="",0,IF($F119="Weighted Average",$I119*VLOOKUP($D119&amp;" (Disposal)",Lists!$C$72:$R$232,COLUMNS(Lists!$C$69:E$69),0)*VLOOKUP(BE$3,Conversions!$B$12:$E$34,4,0),$I119*VLOOKUP($F119,Lists!$C$72:$R$232,COLUMNS(Lists!$C$69:E$69),0)*VLOOKUP(BE$3,Conversions!$B$12:$E$34,4,0)))</f>
        <v>0</v>
      </c>
      <c r="AQ119" s="333">
        <f>IF($F119="",0,IF($F119="Weighted Average",$I119*VLOOKUP($D119&amp;" (Disposal)",Lists!$C$72:$R$232,COLUMNS(Lists!$C$69:F$69),0)*VLOOKUP(BF$3,Conversions!$B$12:$E$34,4,0),$I119*VLOOKUP($F119,Lists!$C$72:$R$232,COLUMNS(Lists!$C$69:F$69),0)*VLOOKUP(BF$3,Conversions!$B$12:$E$34,4,0)))</f>
        <v>0</v>
      </c>
      <c r="AR119" s="333">
        <f>IF($F119="",0,IF($F119="Weighted Average",$I119*VLOOKUP($D119&amp;" (Disposal)",Lists!$C$72:$R$232,COLUMNS(Lists!$C$69:G$69),0)*VLOOKUP(BG$3,Conversions!$B$12:$E$34,4,0),$I119*VLOOKUP($F119,Lists!$C$72:$R$232,COLUMNS(Lists!$C$69:G$69),0)*VLOOKUP(BG$3,Conversions!$B$12:$E$34,4,0)))</f>
        <v>0</v>
      </c>
      <c r="AS119" s="333">
        <f>IF($F119="",0,IF($F119="Weighted Average",$I119*VLOOKUP($D119&amp;" (Disposal)",Lists!$C$72:$R$232,COLUMNS(Lists!$C$69:H$69),0)*VLOOKUP(BH$3,Conversions!$B$12:$E$34,4,0),$I119*VLOOKUP($F119,Lists!$C$72:$R$232,COLUMNS(Lists!$C$69:H$69),0)*VLOOKUP(BH$3,Conversions!$B$12:$E$34,4,0)))</f>
        <v>0</v>
      </c>
      <c r="AT119" s="333">
        <f>IF($F119="",0,IF($F119="Weighted Average",$I119*VLOOKUP($D119&amp;" (Disposal)",Lists!$C$72:$R$232,COLUMNS(Lists!$C$69:I$69),0)*VLOOKUP(BI$3,Conversions!$B$12:$E$34,4,0),$I119*VLOOKUP($F119,Lists!$C$72:$R$232,COLUMNS(Lists!$C$69:I$69),0)*VLOOKUP(BI$3,Conversions!$B$12:$E$34,4,0)))</f>
        <v>0</v>
      </c>
      <c r="AU119" s="333">
        <f>IF($F119="",0,IF($F119="Weighted Average",$I119*VLOOKUP($D119&amp;" (Disposal)",Lists!$C$72:$R$232,COLUMNS(Lists!$C$69:J$69),0)*VLOOKUP(BJ$3,Conversions!$B$12:$E$34,4,0),$I119*VLOOKUP($F119,Lists!$C$72:$R$232,COLUMNS(Lists!$C$69:J$69),0)*VLOOKUP(BJ$3,Conversions!$B$12:$E$34,4,0)))</f>
        <v>0</v>
      </c>
      <c r="AV119" s="333">
        <f>IF($F119="",0,IF($F119="Weighted Average",$I119*VLOOKUP($D119&amp;" (Disposal)",Lists!$C$72:$R$232,COLUMNS(Lists!$C$69:K$69),0)*VLOOKUP(BK$3,Conversions!$B$12:$E$34,4,0),$I119*VLOOKUP($F119,Lists!$C$72:$R$232,COLUMNS(Lists!$C$69:K$69),0)*VLOOKUP(BK$3,Conversions!$B$12:$E$34,4,0)))</f>
        <v>0</v>
      </c>
      <c r="AW119" s="333">
        <f>IF($F119="",0,IF($F119="Weighted Average",$I119*VLOOKUP($D119&amp;" (Disposal)",Lists!$C$72:$R$232,COLUMNS(Lists!$C$69:L$69),0)*VLOOKUP(BL$3,Conversions!$B$12:$E$34,4,0),$I119*VLOOKUP($F119,Lists!$C$72:$R$232,COLUMNS(Lists!$C$69:L$69),0)*VLOOKUP(BL$3,Conversions!$B$12:$E$34,4,0)))</f>
        <v>0</v>
      </c>
      <c r="AX119" s="333">
        <f>IF($F119="",0,IF($F119="Weighted Average",$I119*VLOOKUP($D119&amp;" (Disposal)",Lists!$C$72:$R$232,COLUMNS(Lists!$C$69:M$69),0)*VLOOKUP(BM$3,Conversions!$B$12:$E$34,4,0),$I119*VLOOKUP($F119,Lists!$C$72:$R$232,COLUMNS(Lists!$C$69:M$69),0)*VLOOKUP(BM$3,Conversions!$B$12:$E$34,4,0)))</f>
        <v>0</v>
      </c>
      <c r="AY119" s="333">
        <f>IF($F119="",0,IF($F119="Weighted Average",$I119*VLOOKUP($D119&amp;" (Disposal)",Lists!$C$72:$R$232,COLUMNS(Lists!$C$69:N$69),0)*VLOOKUP(BN$3,Conversions!$B$12:$E$34,4,0),$I119*VLOOKUP($F119,Lists!$C$72:$R$232,COLUMNS(Lists!$C$69:N$69),0)*VLOOKUP(BN$3,Conversions!$B$12:$E$34,4,0)))</f>
        <v>0</v>
      </c>
      <c r="AZ119" s="333">
        <f>IF($F119="",0,IF($F119="Weighted Average",$I119*VLOOKUP($D119&amp;" (Disposal)",Lists!$C$72:$R$232,COLUMNS(Lists!$C$69:O$69),0)*VLOOKUP(BO$3,Conversions!$B$12:$E$34,4,0),$I119*VLOOKUP($F119,Lists!$C$72:$R$232,COLUMNS(Lists!$C$69:O$69),0)*VLOOKUP(BO$3,Conversions!$B$12:$E$34,4,0)))</f>
        <v>0</v>
      </c>
      <c r="BA119" s="333">
        <f>IF($F119="",0,IF($F119="Weighted Average",$I119*VLOOKUP($D119&amp;" (Disposal)",Lists!$C$72:$R$232,COLUMNS(Lists!$C$69:P$69),0)*VLOOKUP(BP$3,Conversions!$B$12:$E$34,4,0),$I119*VLOOKUP($F119,Lists!$C$72:$R$232,COLUMNS(Lists!$C$69:P$69),0)*VLOOKUP(BP$3,Conversions!$B$12:$E$34,4,0)))</f>
        <v>0</v>
      </c>
      <c r="BB119" s="333">
        <f>IF($F119="",0,IF($F119="Weighted Average",$I119*VLOOKUP($D119&amp;" (Disposal)",Lists!$C$72:$R$232,COLUMNS(Lists!$C$69:Q$69),0)*VLOOKUP(BQ$3,Conversions!$B$12:$E$34,4,0),$I119*VLOOKUP($F119,Lists!$C$72:$R$232,COLUMNS(Lists!$C$69:Q$69),0)*VLOOKUP(BQ$3,Conversions!$B$12:$E$34,4,0)))</f>
        <v>0</v>
      </c>
      <c r="BC119" s="333">
        <f>IF($F119="",0,IF($F119="Weighted Average",$I119*VLOOKUP($D119&amp;" (Disposal)",Lists!$C$72:$R$232,COLUMNS(Lists!$C$69:R$69),0)*VLOOKUP(BR$3,Conversions!$B$12:$E$34,4,0),$I119*VLOOKUP($F119,Lists!$C$72:$R$232,COLUMNS(Lists!$C$69:R$69),0)*VLOOKUP(BR$3,Conversions!$B$12:$E$34,4,0)))</f>
        <v>0</v>
      </c>
      <c r="BD119" s="333">
        <f t="shared" si="40"/>
        <v>0</v>
      </c>
      <c r="BE119" s="330">
        <f t="shared" si="41"/>
        <v>0</v>
      </c>
      <c r="BF119" s="330">
        <f t="shared" si="42"/>
        <v>0</v>
      </c>
      <c r="BG119" s="330">
        <f t="shared" si="43"/>
        <v>0</v>
      </c>
      <c r="BH119" s="330">
        <f t="shared" si="44"/>
        <v>0</v>
      </c>
      <c r="BI119" s="330">
        <f t="shared" si="45"/>
        <v>0</v>
      </c>
      <c r="BJ119" s="330">
        <f t="shared" si="46"/>
        <v>0</v>
      </c>
      <c r="BK119" s="330">
        <f t="shared" si="47"/>
        <v>0</v>
      </c>
      <c r="BL119" s="330">
        <f t="shared" si="48"/>
        <v>0</v>
      </c>
      <c r="BM119" s="330">
        <f t="shared" si="49"/>
        <v>0</v>
      </c>
      <c r="BN119" s="330">
        <f t="shared" si="50"/>
        <v>0</v>
      </c>
      <c r="BO119" s="330">
        <f t="shared" si="51"/>
        <v>0</v>
      </c>
      <c r="BP119" s="330">
        <f t="shared" si="52"/>
        <v>0</v>
      </c>
      <c r="BQ119" s="330">
        <f t="shared" si="53"/>
        <v>0</v>
      </c>
      <c r="BR119" s="330">
        <f t="shared" si="54"/>
        <v>0</v>
      </c>
      <c r="BS119" s="330">
        <f t="shared" si="55"/>
        <v>0</v>
      </c>
      <c r="BT119" s="329">
        <f t="shared" si="137"/>
        <v>0</v>
      </c>
      <c r="BU119" s="329">
        <f t="shared" si="137"/>
        <v>0</v>
      </c>
      <c r="BV119" s="329">
        <f t="shared" si="137"/>
        <v>0</v>
      </c>
      <c r="BW119" s="329">
        <f t="shared" si="137"/>
        <v>0</v>
      </c>
      <c r="BX119" s="329">
        <f t="shared" si="137"/>
        <v>0</v>
      </c>
      <c r="BY119" s="329">
        <f t="shared" si="137"/>
        <v>0</v>
      </c>
      <c r="BZ119" s="329">
        <f t="shared" si="137"/>
        <v>0</v>
      </c>
      <c r="CA119" s="329">
        <f t="shared" si="137"/>
        <v>0</v>
      </c>
      <c r="CB119" s="329">
        <f t="shared" si="137"/>
        <v>0</v>
      </c>
      <c r="CC119" s="329">
        <f t="shared" si="137"/>
        <v>0</v>
      </c>
      <c r="CD119" s="329">
        <f t="shared" si="137"/>
        <v>0</v>
      </c>
      <c r="CE119" s="329">
        <f t="shared" si="137"/>
        <v>0</v>
      </c>
      <c r="CF119" s="329">
        <f t="shared" si="137"/>
        <v>0</v>
      </c>
      <c r="CG119" s="329">
        <f t="shared" si="137"/>
        <v>0</v>
      </c>
      <c r="CH119" s="329">
        <f t="shared" si="137"/>
        <v>0</v>
      </c>
      <c r="CI119" s="329">
        <f t="shared" si="137"/>
        <v>0</v>
      </c>
      <c r="CJ119" s="331">
        <f t="shared" si="1"/>
        <v>0</v>
      </c>
      <c r="CK119" s="330">
        <f t="shared" si="5"/>
        <v>0</v>
      </c>
      <c r="CL119" s="330">
        <f t="shared" si="6"/>
        <v>0</v>
      </c>
      <c r="CM119" s="330">
        <f t="shared" si="7"/>
        <v>0</v>
      </c>
      <c r="CN119" s="330">
        <f t="shared" si="8"/>
        <v>0</v>
      </c>
      <c r="CO119" s="330">
        <f t="shared" si="9"/>
        <v>0</v>
      </c>
      <c r="CP119" s="330">
        <f t="shared" si="10"/>
        <v>0</v>
      </c>
      <c r="CQ119" s="330">
        <f t="shared" si="94"/>
        <v>0</v>
      </c>
      <c r="CR119" s="330">
        <f t="shared" si="12"/>
        <v>0</v>
      </c>
      <c r="CS119" s="330">
        <f t="shared" si="13"/>
        <v>0</v>
      </c>
      <c r="CT119" s="330">
        <f t="shared" si="14"/>
        <v>0</v>
      </c>
      <c r="CU119" s="330">
        <f t="shared" si="138"/>
        <v>0</v>
      </c>
      <c r="CV119" s="330">
        <f t="shared" si="138"/>
        <v>0</v>
      </c>
      <c r="CW119" s="330">
        <f t="shared" si="138"/>
        <v>0</v>
      </c>
      <c r="CX119" s="330">
        <f t="shared" si="138"/>
        <v>0</v>
      </c>
      <c r="CY119" s="330">
        <f t="shared" si="138"/>
        <v>0</v>
      </c>
      <c r="CZ119" s="330">
        <f t="shared" si="138"/>
        <v>0</v>
      </c>
      <c r="DA119" s="330">
        <f t="shared" si="138"/>
        <v>0</v>
      </c>
      <c r="DB119" s="330">
        <f t="shared" si="138"/>
        <v>0</v>
      </c>
      <c r="DC119" s="330">
        <f t="shared" si="138"/>
        <v>0</v>
      </c>
      <c r="DD119" s="330">
        <f t="shared" si="138"/>
        <v>0</v>
      </c>
      <c r="DE119" s="330">
        <f t="shared" si="139"/>
        <v>0</v>
      </c>
      <c r="DF119" s="330">
        <f t="shared" si="139"/>
        <v>0</v>
      </c>
      <c r="DG119" s="330">
        <f t="shared" si="139"/>
        <v>0</v>
      </c>
      <c r="DH119" s="330">
        <f t="shared" si="139"/>
        <v>0</v>
      </c>
      <c r="DI119" s="330">
        <f t="shared" si="139"/>
        <v>0</v>
      </c>
      <c r="DJ119" s="330">
        <f t="shared" si="139"/>
        <v>0</v>
      </c>
      <c r="DK119" s="330">
        <f t="shared" si="139"/>
        <v>0</v>
      </c>
      <c r="DL119" s="330">
        <f t="shared" si="139"/>
        <v>0</v>
      </c>
      <c r="DM119" s="330">
        <f t="shared" si="139"/>
        <v>0</v>
      </c>
      <c r="DN119" s="330">
        <f t="shared" si="139"/>
        <v>0</v>
      </c>
      <c r="DO119" s="330">
        <f t="shared" si="139"/>
        <v>0</v>
      </c>
      <c r="DP119" s="330">
        <f t="shared" si="140"/>
        <v>0</v>
      </c>
      <c r="DQ119" s="217"/>
      <c r="DR119" s="217"/>
      <c r="DS119" s="217"/>
      <c r="DT119" s="217"/>
    </row>
    <row r="120" spans="1:124" x14ac:dyDescent="0.3">
      <c r="A120" s="324"/>
      <c r="B120" s="221" t="s">
        <v>305</v>
      </c>
      <c r="C120" s="221" t="str">
        <f>IF(Screening!C50=0,"",Screening!C50)</f>
        <v/>
      </c>
      <c r="D120" s="221" t="str">
        <f>IF(Screening!D50=0,"",Screening!D50)</f>
        <v/>
      </c>
      <c r="E120" s="221" t="str">
        <f>IF(Screening!E50=0,"",Screening!E50)</f>
        <v/>
      </c>
      <c r="F120" s="221" t="str">
        <f>IF(Screening!F50=0,"",Screening!F50)</f>
        <v/>
      </c>
      <c r="G120" s="272">
        <f>Screening!G50*Screening!O50*Conversions!$C$4</f>
        <v>0</v>
      </c>
      <c r="H120" s="272">
        <f>Screening!H50*Screening!P50*Screening!I50*Conversions!$C$4</f>
        <v>0</v>
      </c>
      <c r="I120" s="272">
        <f>Screening!J50*Screening!Q50*(1-Screening!R50)*Conversions!$C$4</f>
        <v>0</v>
      </c>
      <c r="J120" s="325">
        <f>IF(Screening!S50=0,0,Screening!S50)</f>
        <v>0</v>
      </c>
      <c r="K120" s="465"/>
      <c r="L120" s="333">
        <f>IF($F120="",0,IF($F120="Weighted Average",$G120*VLOOKUP($D120&amp;" (Install)",Lists!$C$72:$R$232,COLUMNS(Lists!$C$69:E$69),0)*VLOOKUP(BE$3,Conversions!$B$12:$E$34,4,0),$G120*VLOOKUP($F120,Lists!$C$72:$R$232,COLUMNS(Lists!$C$69:E$69),0)*VLOOKUP(BE$3,Conversions!$B$12:$E$34,4,0)))</f>
        <v>0</v>
      </c>
      <c r="M120" s="333">
        <f>IF($F120="",0,IF($F120="Weighted Average",$G120*VLOOKUP($D120&amp;" (Install)",Lists!$C$72:$R$232,COLUMNS(Lists!$C$69:F$69),0)*VLOOKUP(BF$3,Conversions!$B$12:$E$34,4,0),$G120*VLOOKUP($F120,Lists!$C$72:$R$232,COLUMNS(Lists!$C$69:F$69),0)*VLOOKUP(BF$3,Conversions!$B$12:$E$34,4,0)))</f>
        <v>0</v>
      </c>
      <c r="N120" s="333">
        <f>IF($F120="",0,IF($F120="Weighted Average",$G120*VLOOKUP($D120&amp;" (Install)",Lists!$C$72:$R$232,COLUMNS(Lists!$C$69:G$69),0)*VLOOKUP(BG$3,Conversions!$B$12:$E$34,4,0),$G120*VLOOKUP($F120,Lists!$C$72:$R$232,COLUMNS(Lists!$C$69:G$69),0)*VLOOKUP(BG$3,Conversions!$B$12:$E$34,4,0)))</f>
        <v>0</v>
      </c>
      <c r="O120" s="333">
        <f>IF($F120="",0,IF($F120="Weighted Average",$G120*VLOOKUP($D120&amp;" (Install)",Lists!$C$72:$R$232,COLUMNS(Lists!$C$69:H$69),0)*VLOOKUP(BH$3,Conversions!$B$12:$E$34,4,0),$G120*VLOOKUP($F120,Lists!$C$72:$R$232,COLUMNS(Lists!$C$69:H$69),0)*VLOOKUP(BH$3,Conversions!$B$12:$E$34,4,0)))</f>
        <v>0</v>
      </c>
      <c r="P120" s="333">
        <f>IF($F120="",0,IF($F120="Weighted Average",$G120*VLOOKUP($D120&amp;" (Install)",Lists!$C$72:$R$232,COLUMNS(Lists!$C$69:I$69),0)*VLOOKUP(BI$3,Conversions!$B$12:$E$34,4,0),$G120*VLOOKUP($F120,Lists!$C$72:$R$232,COLUMNS(Lists!$C$69:I$69),0)*VLOOKUP(BI$3,Conversions!$B$12:$E$34,4,0)))</f>
        <v>0</v>
      </c>
      <c r="Q120" s="333">
        <f>IF($F120="",0,IF($F120="Weighted Average",$G120*VLOOKUP($D120&amp;" (Install)",Lists!$C$72:$R$232,COLUMNS(Lists!$C$69:J$69),0)*VLOOKUP(BJ$3,Conversions!$B$12:$E$34,4,0),$G120*VLOOKUP($F120,Lists!$C$72:$R$232,COLUMNS(Lists!$C$69:J$69),0)*VLOOKUP(BJ$3,Conversions!$B$12:$E$34,4,0)))</f>
        <v>0</v>
      </c>
      <c r="R120" s="333">
        <f>IF($F120="",0,IF($F120="Weighted Average",$G120*VLOOKUP($D120&amp;" (Install)",Lists!$C$72:$R$232,COLUMNS(Lists!$C$69:K$69),0)*VLOOKUP(BK$3,Conversions!$B$12:$E$34,4,0),$G120*VLOOKUP($F120,Lists!$C$72:$R$232,COLUMNS(Lists!$C$69:K$69),0)*VLOOKUP(BK$3,Conversions!$B$12:$E$34,4,0)))</f>
        <v>0</v>
      </c>
      <c r="S120" s="333">
        <f>IF($F120="",0,IF($F120="Weighted Average",$G120*VLOOKUP($D120&amp;" (Install)",Lists!$C$72:$R$232,COLUMNS(Lists!$C$69:L$69),0)*VLOOKUP(BL$3,Conversions!$B$12:$E$34,4,0),$G120*VLOOKUP($F120,Lists!$C$72:$R$232,COLUMNS(Lists!$C$69:L$69),0)*VLOOKUP(BL$3,Conversions!$B$12:$E$34,4,0)))</f>
        <v>0</v>
      </c>
      <c r="T120" s="333">
        <f>IF($F120="",0,IF($F120="Weighted Average",$G120*VLOOKUP($D120&amp;" (Install)",Lists!$C$72:$R$232,COLUMNS(Lists!$C$69:M$69),0)*VLOOKUP(BM$3,Conversions!$B$12:$E$34,4,0),$G120*VLOOKUP($F120,Lists!$C$72:$R$232,COLUMNS(Lists!$C$69:M$69),0)*VLOOKUP(BM$3,Conversions!$B$12:$E$34,4,0)))</f>
        <v>0</v>
      </c>
      <c r="U120" s="333">
        <f>IF($F120="",0,IF($F120="Weighted Average",$G120*VLOOKUP($D120&amp;" (Install)",Lists!$C$72:$R$232,COLUMNS(Lists!$C$69:N$69),0)*VLOOKUP(BN$3,Conversions!$B$12:$E$34,4,0),$G120*VLOOKUP($F120,Lists!$C$72:$R$232,COLUMNS(Lists!$C$69:N$69),0)*VLOOKUP(BN$3,Conversions!$B$12:$E$34,4,0)))</f>
        <v>0</v>
      </c>
      <c r="V120" s="333">
        <f>IF($F120="",0,IF($F120="Weighted Average",$G120*VLOOKUP($D120&amp;" (Install)",Lists!$C$72:$R$232,COLUMNS(Lists!$C$69:O$69),0)*VLOOKUP(BO$3,Conversions!$B$12:$E$34,4,0),$G120*VLOOKUP($F120,Lists!$C$72:$R$232,COLUMNS(Lists!$C$69:O$69),0)*VLOOKUP(BO$3,Conversions!$B$12:$E$34,4,0)))</f>
        <v>0</v>
      </c>
      <c r="W120" s="333">
        <f>IF($F120="",0,IF($F120="Weighted Average",$G120*VLOOKUP($D120&amp;" (Install)",Lists!$C$72:$R$232,COLUMNS(Lists!$C$69:P$69),0)*VLOOKUP(BP$3,Conversions!$B$12:$E$34,4,0),$G120*VLOOKUP($F120,Lists!$C$72:$R$232,COLUMNS(Lists!$C$69:P$69),0)*VLOOKUP(BP$3,Conversions!$B$12:$E$34,4,0)))</f>
        <v>0</v>
      </c>
      <c r="X120" s="333">
        <f>IF($F120="",0,IF($F120="Weighted Average",$G120*VLOOKUP($D120&amp;" (Install)",Lists!$C$72:$R$232,COLUMNS(Lists!$C$69:Q$69),0)*VLOOKUP(BQ$3,Conversions!$B$12:$E$34,4,0),$G120*VLOOKUP($F120,Lists!$C$72:$R$232,COLUMNS(Lists!$C$69:Q$69),0)*VLOOKUP(BQ$3,Conversions!$B$12:$E$34,4,0)))</f>
        <v>0</v>
      </c>
      <c r="Y120" s="333">
        <f>IF($F120="",0,IF($F120="Weighted Average",$G120*VLOOKUP($D120&amp;" (Install)",Lists!$C$72:$R$232,COLUMNS(Lists!$C$69:R$69),0)*VLOOKUP(BR$3,Conversions!$B$12:$E$34,4,0),$G120*VLOOKUP($F120,Lists!$C$72:$R$232,COLUMNS(Lists!$C$69:R$69),0)*VLOOKUP(BR$3,Conversions!$B$12:$E$34,4,0)))</f>
        <v>0</v>
      </c>
      <c r="Z120" s="325">
        <f t="shared" si="38"/>
        <v>0</v>
      </c>
      <c r="AA120" s="334">
        <f>IF($F120="",0,IF($F120="Weighted Average",$H120*VLOOKUP($D120&amp;" (Operation)",Lists!$C$72:$R$232,COLUMNS(Lists!$C$69:E$69),0)*VLOOKUP(BE$3,Conversions!$B$12:$E$34,4,0),$H120*VLOOKUP($F120,Lists!$C$72:$R$232,COLUMNS(Lists!$C$69:E$69),0)*VLOOKUP(BE$3,Conversions!$B$12:$E$34,4,0)))</f>
        <v>0</v>
      </c>
      <c r="AB120" s="334">
        <f>IF($F120="",0,IF($F120="Weighted Average",$H120*VLOOKUP($D120&amp;" (Operation)",Lists!$C$72:$R$232,COLUMNS(Lists!$C$69:F$69),0)*VLOOKUP(BF$3,Conversions!$B$12:$E$34,4,0),$H120*VLOOKUP($F120,Lists!$C$72:$R$232,COLUMNS(Lists!$C$69:F$69),0)*VLOOKUP(BF$3,Conversions!$B$12:$E$34,4,0)))</f>
        <v>0</v>
      </c>
      <c r="AC120" s="334">
        <f>IF($F120="",0,IF($F120="Weighted Average",$H120*VLOOKUP($D120&amp;" (Operation)",Lists!$C$72:$R$232,COLUMNS(Lists!$C$69:G$69),0)*VLOOKUP(BG$3,Conversions!$B$12:$E$34,4,0),$H120*VLOOKUP($F120,Lists!$C$72:$R$232,COLUMNS(Lists!$C$69:G$69),0)*VLOOKUP(BG$3,Conversions!$B$12:$E$34,4,0)))</f>
        <v>0</v>
      </c>
      <c r="AD120" s="334">
        <f>IF($F120="",0,IF($F120="Weighted Average",$H120*VLOOKUP($D120&amp;" (Operation)",Lists!$C$72:$R$232,COLUMNS(Lists!$C$69:H$69),0)*VLOOKUP(BH$3,Conversions!$B$12:$E$34,4,0),$H120*VLOOKUP($F120,Lists!$C$72:$R$232,COLUMNS(Lists!$C$69:H$69),0)*VLOOKUP(BH$3,Conversions!$B$12:$E$34,4,0)))</f>
        <v>0</v>
      </c>
      <c r="AE120" s="334">
        <f>IF($F120="",0,IF($F120="Weighted Average",$H120*VLOOKUP($D120&amp;" (Operation)",Lists!$C$72:$R$232,COLUMNS(Lists!$C$69:I$69),0)*VLOOKUP(BI$3,Conversions!$B$12:$E$34,4,0),$H120*VLOOKUP($F120,Lists!$C$72:$R$232,COLUMNS(Lists!$C$69:I$69),0)*VLOOKUP(BI$3,Conversions!$B$12:$E$34,4,0)))</f>
        <v>0</v>
      </c>
      <c r="AF120" s="334">
        <f>IF($F120="",0,IF($F120="Weighted Average",$H120*VLOOKUP($D120&amp;" (Operation)",Lists!$C$72:$R$232,COLUMNS(Lists!$C$69:J$69),0)*VLOOKUP(BJ$3,Conversions!$B$12:$E$34,4,0),$H120*VLOOKUP($F120,Lists!$C$72:$R$232,COLUMNS(Lists!$C$69:J$69),0)*VLOOKUP(BJ$3,Conversions!$B$12:$E$34,4,0)))</f>
        <v>0</v>
      </c>
      <c r="AG120" s="334">
        <f>IF($F120="",0,IF($F120="Weighted Average",$H120*VLOOKUP($D120&amp;" (Operation)",Lists!$C$72:$R$232,COLUMNS(Lists!$C$69:K$69),0)*VLOOKUP(BK$3,Conversions!$B$12:$E$34,4,0),$H120*VLOOKUP($F120,Lists!$C$72:$R$232,COLUMNS(Lists!$C$69:K$69),0)*VLOOKUP(BK$3,Conversions!$B$12:$E$34,4,0)))</f>
        <v>0</v>
      </c>
      <c r="AH120" s="334">
        <f>IF($F120="",0,IF($F120="Weighted Average",$H120*VLOOKUP($D120&amp;" (Operation)",Lists!$C$72:$R$232,COLUMNS(Lists!$C$69:L$69),0)*VLOOKUP(BL$3,Conversions!$B$12:$E$34,4,0),$H120*VLOOKUP($F120,Lists!$C$72:$R$232,COLUMNS(Lists!$C$69:L$69),0)*VLOOKUP(BL$3,Conversions!$B$12:$E$34,4,0)))</f>
        <v>0</v>
      </c>
      <c r="AI120" s="334">
        <f>IF($F120="",0,IF($F120="Weighted Average",$H120*VLOOKUP($D120&amp;" (Operation)",Lists!$C$72:$R$232,COLUMNS(Lists!$C$69:M$69),0)*VLOOKUP(BM$3,Conversions!$B$12:$E$34,4,0),$H120*VLOOKUP($F120,Lists!$C$72:$R$232,COLUMNS(Lists!$C$69:M$69),0)*VLOOKUP(BM$3,Conversions!$B$12:$E$34,4,0)))</f>
        <v>0</v>
      </c>
      <c r="AJ120" s="334">
        <f>IF($F120="",0,IF($F120="Weighted Average",$H120*VLOOKUP($D120&amp;" (Operation)",Lists!$C$72:$R$232,COLUMNS(Lists!$C$69:N$69),0)*VLOOKUP(BN$3,Conversions!$B$12:$E$34,4,0),$H120*VLOOKUP($F120,Lists!$C$72:$R$232,COLUMNS(Lists!$C$69:N$69),0)*VLOOKUP(BN$3,Conversions!$B$12:$E$34,4,0)))</f>
        <v>0</v>
      </c>
      <c r="AK120" s="334">
        <f>IF($F120="",0,IF($F120="Weighted Average",$H120*VLOOKUP($D120&amp;" (Operation)",Lists!$C$72:$R$232,COLUMNS(Lists!$C$69:O$69),0)*VLOOKUP(BO$3,Conversions!$B$12:$E$34,4,0),$H120*VLOOKUP($F120,Lists!$C$72:$R$232,COLUMNS(Lists!$C$69:O$69),0)*VLOOKUP(BO$3,Conversions!$B$12:$E$34,4,0)))</f>
        <v>0</v>
      </c>
      <c r="AL120" s="334">
        <f>IF($F120="",0,IF($F120="Weighted Average",$H120*VLOOKUP($D120&amp;" (Operation)",Lists!$C$72:$R$232,COLUMNS(Lists!$C$69:P$69),0)*VLOOKUP(BP$3,Conversions!$B$12:$E$34,4,0),$H120*VLOOKUP($F120,Lists!$C$72:$R$232,COLUMNS(Lists!$C$69:P$69),0)*VLOOKUP(BP$3,Conversions!$B$12:$E$34,4,0)))</f>
        <v>0</v>
      </c>
      <c r="AM120" s="334">
        <f>IF($F120="",0,IF($F120="Weighted Average",$H120*VLOOKUP($D120&amp;" (Operation)",Lists!$C$72:$R$232,COLUMNS(Lists!$C$69:Q$69),0)*VLOOKUP(BQ$3,Conversions!$B$12:$E$34,4,0),$H120*VLOOKUP($F120,Lists!$C$72:$R$232,COLUMNS(Lists!$C$69:Q$69),0)*VLOOKUP(BQ$3,Conversions!$B$12:$E$34,4,0)))</f>
        <v>0</v>
      </c>
      <c r="AN120" s="334">
        <f>IF($F120="",0,IF($F120="Weighted Average",$H120*VLOOKUP($D120&amp;" (Operation)",Lists!$C$72:$R$232,COLUMNS(Lists!$C$69:R$69),0)*VLOOKUP(BR$3,Conversions!$B$12:$E$34,4,0),$H120*VLOOKUP($F120,Lists!$C$72:$R$232,COLUMNS(Lists!$C$69:R$69),0)*VLOOKUP(BR$3,Conversions!$B$12:$E$34,4,0)))</f>
        <v>0</v>
      </c>
      <c r="AO120" s="330">
        <f t="shared" si="39"/>
        <v>0</v>
      </c>
      <c r="AP120" s="333">
        <f>IF($F120="",0,IF($F120="Weighted Average",$I120*VLOOKUP($D120&amp;" (Disposal)",Lists!$C$72:$R$232,COLUMNS(Lists!$C$69:E$69),0)*VLOOKUP(BE$3,Conversions!$B$12:$E$34,4,0),$I120*VLOOKUP($F120,Lists!$C$72:$R$232,COLUMNS(Lists!$C$69:E$69),0)*VLOOKUP(BE$3,Conversions!$B$12:$E$34,4,0)))</f>
        <v>0</v>
      </c>
      <c r="AQ120" s="333">
        <f>IF($F120="",0,IF($F120="Weighted Average",$I120*VLOOKUP($D120&amp;" (Disposal)",Lists!$C$72:$R$232,COLUMNS(Lists!$C$69:F$69),0)*VLOOKUP(BF$3,Conversions!$B$12:$E$34,4,0),$I120*VLOOKUP($F120,Lists!$C$72:$R$232,COLUMNS(Lists!$C$69:F$69),0)*VLOOKUP(BF$3,Conversions!$B$12:$E$34,4,0)))</f>
        <v>0</v>
      </c>
      <c r="AR120" s="333">
        <f>IF($F120="",0,IF($F120="Weighted Average",$I120*VLOOKUP($D120&amp;" (Disposal)",Lists!$C$72:$R$232,COLUMNS(Lists!$C$69:G$69),0)*VLOOKUP(BG$3,Conversions!$B$12:$E$34,4,0),$I120*VLOOKUP($F120,Lists!$C$72:$R$232,COLUMNS(Lists!$C$69:G$69),0)*VLOOKUP(BG$3,Conversions!$B$12:$E$34,4,0)))</f>
        <v>0</v>
      </c>
      <c r="AS120" s="333">
        <f>IF($F120="",0,IF($F120="Weighted Average",$I120*VLOOKUP($D120&amp;" (Disposal)",Lists!$C$72:$R$232,COLUMNS(Lists!$C$69:H$69),0)*VLOOKUP(BH$3,Conversions!$B$12:$E$34,4,0),$I120*VLOOKUP($F120,Lists!$C$72:$R$232,COLUMNS(Lists!$C$69:H$69),0)*VLOOKUP(BH$3,Conversions!$B$12:$E$34,4,0)))</f>
        <v>0</v>
      </c>
      <c r="AT120" s="333">
        <f>IF($F120="",0,IF($F120="Weighted Average",$I120*VLOOKUP($D120&amp;" (Disposal)",Lists!$C$72:$R$232,COLUMNS(Lists!$C$69:I$69),0)*VLOOKUP(BI$3,Conversions!$B$12:$E$34,4,0),$I120*VLOOKUP($F120,Lists!$C$72:$R$232,COLUMNS(Lists!$C$69:I$69),0)*VLOOKUP(BI$3,Conversions!$B$12:$E$34,4,0)))</f>
        <v>0</v>
      </c>
      <c r="AU120" s="333">
        <f>IF($F120="",0,IF($F120="Weighted Average",$I120*VLOOKUP($D120&amp;" (Disposal)",Lists!$C$72:$R$232,COLUMNS(Lists!$C$69:J$69),0)*VLOOKUP(BJ$3,Conversions!$B$12:$E$34,4,0),$I120*VLOOKUP($F120,Lists!$C$72:$R$232,COLUMNS(Lists!$C$69:J$69),0)*VLOOKUP(BJ$3,Conversions!$B$12:$E$34,4,0)))</f>
        <v>0</v>
      </c>
      <c r="AV120" s="333">
        <f>IF($F120="",0,IF($F120="Weighted Average",$I120*VLOOKUP($D120&amp;" (Disposal)",Lists!$C$72:$R$232,COLUMNS(Lists!$C$69:K$69),0)*VLOOKUP(BK$3,Conversions!$B$12:$E$34,4,0),$I120*VLOOKUP($F120,Lists!$C$72:$R$232,COLUMNS(Lists!$C$69:K$69),0)*VLOOKUP(BK$3,Conversions!$B$12:$E$34,4,0)))</f>
        <v>0</v>
      </c>
      <c r="AW120" s="333">
        <f>IF($F120="",0,IF($F120="Weighted Average",$I120*VLOOKUP($D120&amp;" (Disposal)",Lists!$C$72:$R$232,COLUMNS(Lists!$C$69:L$69),0)*VLOOKUP(BL$3,Conversions!$B$12:$E$34,4,0),$I120*VLOOKUP($F120,Lists!$C$72:$R$232,COLUMNS(Lists!$C$69:L$69),0)*VLOOKUP(BL$3,Conversions!$B$12:$E$34,4,0)))</f>
        <v>0</v>
      </c>
      <c r="AX120" s="333">
        <f>IF($F120="",0,IF($F120="Weighted Average",$I120*VLOOKUP($D120&amp;" (Disposal)",Lists!$C$72:$R$232,COLUMNS(Lists!$C$69:M$69),0)*VLOOKUP(BM$3,Conversions!$B$12:$E$34,4,0),$I120*VLOOKUP($F120,Lists!$C$72:$R$232,COLUMNS(Lists!$C$69:M$69),0)*VLOOKUP(BM$3,Conversions!$B$12:$E$34,4,0)))</f>
        <v>0</v>
      </c>
      <c r="AY120" s="333">
        <f>IF($F120="",0,IF($F120="Weighted Average",$I120*VLOOKUP($D120&amp;" (Disposal)",Lists!$C$72:$R$232,COLUMNS(Lists!$C$69:N$69),0)*VLOOKUP(BN$3,Conversions!$B$12:$E$34,4,0),$I120*VLOOKUP($F120,Lists!$C$72:$R$232,COLUMNS(Lists!$C$69:N$69),0)*VLOOKUP(BN$3,Conversions!$B$12:$E$34,4,0)))</f>
        <v>0</v>
      </c>
      <c r="AZ120" s="333">
        <f>IF($F120="",0,IF($F120="Weighted Average",$I120*VLOOKUP($D120&amp;" (Disposal)",Lists!$C$72:$R$232,COLUMNS(Lists!$C$69:O$69),0)*VLOOKUP(BO$3,Conversions!$B$12:$E$34,4,0),$I120*VLOOKUP($F120,Lists!$C$72:$R$232,COLUMNS(Lists!$C$69:O$69),0)*VLOOKUP(BO$3,Conversions!$B$12:$E$34,4,0)))</f>
        <v>0</v>
      </c>
      <c r="BA120" s="333">
        <f>IF($F120="",0,IF($F120="Weighted Average",$I120*VLOOKUP($D120&amp;" (Disposal)",Lists!$C$72:$R$232,COLUMNS(Lists!$C$69:P$69),0)*VLOOKUP(BP$3,Conversions!$B$12:$E$34,4,0),$I120*VLOOKUP($F120,Lists!$C$72:$R$232,COLUMNS(Lists!$C$69:P$69),0)*VLOOKUP(BP$3,Conversions!$B$12:$E$34,4,0)))</f>
        <v>0</v>
      </c>
      <c r="BB120" s="333">
        <f>IF($F120="",0,IF($F120="Weighted Average",$I120*VLOOKUP($D120&amp;" (Disposal)",Lists!$C$72:$R$232,COLUMNS(Lists!$C$69:Q$69),0)*VLOOKUP(BQ$3,Conversions!$B$12:$E$34,4,0),$I120*VLOOKUP($F120,Lists!$C$72:$R$232,COLUMNS(Lists!$C$69:Q$69),0)*VLOOKUP(BQ$3,Conversions!$B$12:$E$34,4,0)))</f>
        <v>0</v>
      </c>
      <c r="BC120" s="333">
        <f>IF($F120="",0,IF($F120="Weighted Average",$I120*VLOOKUP($D120&amp;" (Disposal)",Lists!$C$72:$R$232,COLUMNS(Lists!$C$69:R$69),0)*VLOOKUP(BR$3,Conversions!$B$12:$E$34,4,0),$I120*VLOOKUP($F120,Lists!$C$72:$R$232,COLUMNS(Lists!$C$69:R$69),0)*VLOOKUP(BR$3,Conversions!$B$12:$E$34,4,0)))</f>
        <v>0</v>
      </c>
      <c r="BD120" s="333">
        <f t="shared" si="40"/>
        <v>0</v>
      </c>
      <c r="BE120" s="330">
        <f t="shared" si="41"/>
        <v>0</v>
      </c>
      <c r="BF120" s="330">
        <f t="shared" si="42"/>
        <v>0</v>
      </c>
      <c r="BG120" s="330">
        <f t="shared" si="43"/>
        <v>0</v>
      </c>
      <c r="BH120" s="330">
        <f t="shared" si="44"/>
        <v>0</v>
      </c>
      <c r="BI120" s="330">
        <f t="shared" si="45"/>
        <v>0</v>
      </c>
      <c r="BJ120" s="330">
        <f t="shared" si="46"/>
        <v>0</v>
      </c>
      <c r="BK120" s="330">
        <f t="shared" si="47"/>
        <v>0</v>
      </c>
      <c r="BL120" s="330">
        <f t="shared" si="48"/>
        <v>0</v>
      </c>
      <c r="BM120" s="330">
        <f t="shared" si="49"/>
        <v>0</v>
      </c>
      <c r="BN120" s="330">
        <f t="shared" si="50"/>
        <v>0</v>
      </c>
      <c r="BO120" s="330">
        <f t="shared" si="51"/>
        <v>0</v>
      </c>
      <c r="BP120" s="330">
        <f t="shared" si="52"/>
        <v>0</v>
      </c>
      <c r="BQ120" s="330">
        <f t="shared" si="53"/>
        <v>0</v>
      </c>
      <c r="BR120" s="330">
        <f t="shared" si="54"/>
        <v>0</v>
      </c>
      <c r="BS120" s="330">
        <f t="shared" si="55"/>
        <v>0</v>
      </c>
      <c r="BT120" s="329">
        <f t="shared" si="137"/>
        <v>0</v>
      </c>
      <c r="BU120" s="329">
        <f t="shared" si="137"/>
        <v>0</v>
      </c>
      <c r="BV120" s="329">
        <f t="shared" si="137"/>
        <v>0</v>
      </c>
      <c r="BW120" s="329">
        <f t="shared" si="137"/>
        <v>0</v>
      </c>
      <c r="BX120" s="329">
        <f t="shared" si="137"/>
        <v>0</v>
      </c>
      <c r="BY120" s="329">
        <f t="shared" si="137"/>
        <v>0</v>
      </c>
      <c r="BZ120" s="329">
        <f t="shared" si="137"/>
        <v>0</v>
      </c>
      <c r="CA120" s="329">
        <f t="shared" si="137"/>
        <v>0</v>
      </c>
      <c r="CB120" s="329">
        <f t="shared" si="137"/>
        <v>0</v>
      </c>
      <c r="CC120" s="329">
        <f t="shared" si="137"/>
        <v>0</v>
      </c>
      <c r="CD120" s="329">
        <f t="shared" si="137"/>
        <v>0</v>
      </c>
      <c r="CE120" s="329">
        <f t="shared" si="137"/>
        <v>0</v>
      </c>
      <c r="CF120" s="329">
        <f t="shared" si="137"/>
        <v>0</v>
      </c>
      <c r="CG120" s="329">
        <f t="shared" si="137"/>
        <v>0</v>
      </c>
      <c r="CH120" s="329">
        <f t="shared" si="137"/>
        <v>0</v>
      </c>
      <c r="CI120" s="329">
        <f t="shared" si="137"/>
        <v>0</v>
      </c>
      <c r="CJ120" s="331">
        <f t="shared" si="1"/>
        <v>0</v>
      </c>
      <c r="CK120" s="330">
        <f t="shared" si="5"/>
        <v>0</v>
      </c>
      <c r="CL120" s="330">
        <f t="shared" si="6"/>
        <v>0</v>
      </c>
      <c r="CM120" s="330">
        <f t="shared" si="7"/>
        <v>0</v>
      </c>
      <c r="CN120" s="330">
        <f t="shared" si="8"/>
        <v>0</v>
      </c>
      <c r="CO120" s="330">
        <f t="shared" si="9"/>
        <v>0</v>
      </c>
      <c r="CP120" s="330">
        <f t="shared" si="10"/>
        <v>0</v>
      </c>
      <c r="CQ120" s="330">
        <f t="shared" si="94"/>
        <v>0</v>
      </c>
      <c r="CR120" s="330">
        <f t="shared" si="12"/>
        <v>0</v>
      </c>
      <c r="CS120" s="330">
        <f t="shared" si="13"/>
        <v>0</v>
      </c>
      <c r="CT120" s="330">
        <f t="shared" si="14"/>
        <v>0</v>
      </c>
      <c r="CU120" s="330">
        <f t="shared" si="138"/>
        <v>0</v>
      </c>
      <c r="CV120" s="330">
        <f t="shared" si="138"/>
        <v>0</v>
      </c>
      <c r="CW120" s="330">
        <f t="shared" si="138"/>
        <v>0</v>
      </c>
      <c r="CX120" s="330">
        <f t="shared" si="138"/>
        <v>0</v>
      </c>
      <c r="CY120" s="330">
        <f t="shared" si="138"/>
        <v>0</v>
      </c>
      <c r="CZ120" s="330">
        <f t="shared" si="138"/>
        <v>0</v>
      </c>
      <c r="DA120" s="330">
        <f t="shared" si="138"/>
        <v>0</v>
      </c>
      <c r="DB120" s="330">
        <f t="shared" si="138"/>
        <v>0</v>
      </c>
      <c r="DC120" s="330">
        <f t="shared" si="138"/>
        <v>0</v>
      </c>
      <c r="DD120" s="330">
        <f t="shared" si="138"/>
        <v>0</v>
      </c>
      <c r="DE120" s="330">
        <f t="shared" si="139"/>
        <v>0</v>
      </c>
      <c r="DF120" s="330">
        <f t="shared" si="139"/>
        <v>0</v>
      </c>
      <c r="DG120" s="330">
        <f t="shared" si="139"/>
        <v>0</v>
      </c>
      <c r="DH120" s="330">
        <f t="shared" si="139"/>
        <v>0</v>
      </c>
      <c r="DI120" s="330">
        <f t="shared" si="139"/>
        <v>0</v>
      </c>
      <c r="DJ120" s="330">
        <f t="shared" si="139"/>
        <v>0</v>
      </c>
      <c r="DK120" s="330">
        <f t="shared" si="139"/>
        <v>0</v>
      </c>
      <c r="DL120" s="330">
        <f t="shared" si="139"/>
        <v>0</v>
      </c>
      <c r="DM120" s="330">
        <f t="shared" si="139"/>
        <v>0</v>
      </c>
      <c r="DN120" s="330">
        <f t="shared" si="139"/>
        <v>0</v>
      </c>
      <c r="DO120" s="330">
        <f t="shared" si="139"/>
        <v>0</v>
      </c>
      <c r="DP120" s="330">
        <f t="shared" si="140"/>
        <v>0</v>
      </c>
      <c r="DQ120" s="217"/>
      <c r="DR120" s="217"/>
      <c r="DS120" s="217"/>
      <c r="DT120" s="217"/>
    </row>
    <row r="121" spans="1:124" x14ac:dyDescent="0.3">
      <c r="A121" s="324"/>
      <c r="B121" s="221" t="s">
        <v>305</v>
      </c>
      <c r="C121" s="221" t="str">
        <f>IF(Screening!C51=0,"",Screening!C51)</f>
        <v/>
      </c>
      <c r="D121" s="221" t="str">
        <f>IF(Screening!D51=0,"",Screening!D51)</f>
        <v/>
      </c>
      <c r="E121" s="221" t="str">
        <f>IF(Screening!E51=0,"",Screening!E51)</f>
        <v/>
      </c>
      <c r="F121" s="221" t="str">
        <f>IF(Screening!F51=0,"",Screening!F51)</f>
        <v/>
      </c>
      <c r="G121" s="272">
        <f>Screening!G51*Screening!O51*Conversions!$C$4</f>
        <v>0</v>
      </c>
      <c r="H121" s="272">
        <f>Screening!H51*Screening!P51*Screening!I51*Conversions!$C$4</f>
        <v>0</v>
      </c>
      <c r="I121" s="272">
        <f>Screening!J51*Screening!Q51*(1-Screening!R51)*Conversions!$C$4</f>
        <v>0</v>
      </c>
      <c r="J121" s="325">
        <f>IF(Screening!S51=0,0,Screening!S51)</f>
        <v>0</v>
      </c>
      <c r="K121" s="465"/>
      <c r="L121" s="333">
        <f>IF($F121="",0,IF($F121="Weighted Average",$G121*VLOOKUP($D121&amp;" (Install)",Lists!$C$72:$R$232,COLUMNS(Lists!$C$69:E$69),0)*VLOOKUP(BE$3,Conversions!$B$12:$E$34,4,0),$G121*VLOOKUP($F121,Lists!$C$72:$R$232,COLUMNS(Lists!$C$69:E$69),0)*VLOOKUP(BE$3,Conversions!$B$12:$E$34,4,0)))</f>
        <v>0</v>
      </c>
      <c r="M121" s="333">
        <f>IF($F121="",0,IF($F121="Weighted Average",$G121*VLOOKUP($D121&amp;" (Install)",Lists!$C$72:$R$232,COLUMNS(Lists!$C$69:F$69),0)*VLOOKUP(BF$3,Conversions!$B$12:$E$34,4,0),$G121*VLOOKUP($F121,Lists!$C$72:$R$232,COLUMNS(Lists!$C$69:F$69),0)*VLOOKUP(BF$3,Conversions!$B$12:$E$34,4,0)))</f>
        <v>0</v>
      </c>
      <c r="N121" s="333">
        <f>IF($F121="",0,IF($F121="Weighted Average",$G121*VLOOKUP($D121&amp;" (Install)",Lists!$C$72:$R$232,COLUMNS(Lists!$C$69:G$69),0)*VLOOKUP(BG$3,Conversions!$B$12:$E$34,4,0),$G121*VLOOKUP($F121,Lists!$C$72:$R$232,COLUMNS(Lists!$C$69:G$69),0)*VLOOKUP(BG$3,Conversions!$B$12:$E$34,4,0)))</f>
        <v>0</v>
      </c>
      <c r="O121" s="333">
        <f>IF($F121="",0,IF($F121="Weighted Average",$G121*VLOOKUP($D121&amp;" (Install)",Lists!$C$72:$R$232,COLUMNS(Lists!$C$69:H$69),0)*VLOOKUP(BH$3,Conversions!$B$12:$E$34,4,0),$G121*VLOOKUP($F121,Lists!$C$72:$R$232,COLUMNS(Lists!$C$69:H$69),0)*VLOOKUP(BH$3,Conversions!$B$12:$E$34,4,0)))</f>
        <v>0</v>
      </c>
      <c r="P121" s="333">
        <f>IF($F121="",0,IF($F121="Weighted Average",$G121*VLOOKUP($D121&amp;" (Install)",Lists!$C$72:$R$232,COLUMNS(Lists!$C$69:I$69),0)*VLOOKUP(BI$3,Conversions!$B$12:$E$34,4,0),$G121*VLOOKUP($F121,Lists!$C$72:$R$232,COLUMNS(Lists!$C$69:I$69),0)*VLOOKUP(BI$3,Conversions!$B$12:$E$34,4,0)))</f>
        <v>0</v>
      </c>
      <c r="Q121" s="333">
        <f>IF($F121="",0,IF($F121="Weighted Average",$G121*VLOOKUP($D121&amp;" (Install)",Lists!$C$72:$R$232,COLUMNS(Lists!$C$69:J$69),0)*VLOOKUP(BJ$3,Conversions!$B$12:$E$34,4,0),$G121*VLOOKUP($F121,Lists!$C$72:$R$232,COLUMNS(Lists!$C$69:J$69),0)*VLOOKUP(BJ$3,Conversions!$B$12:$E$34,4,0)))</f>
        <v>0</v>
      </c>
      <c r="R121" s="333">
        <f>IF($F121="",0,IF($F121="Weighted Average",$G121*VLOOKUP($D121&amp;" (Install)",Lists!$C$72:$R$232,COLUMNS(Lists!$C$69:K$69),0)*VLOOKUP(BK$3,Conversions!$B$12:$E$34,4,0),$G121*VLOOKUP($F121,Lists!$C$72:$R$232,COLUMNS(Lists!$C$69:K$69),0)*VLOOKUP(BK$3,Conversions!$B$12:$E$34,4,0)))</f>
        <v>0</v>
      </c>
      <c r="S121" s="333">
        <f>IF($F121="",0,IF($F121="Weighted Average",$G121*VLOOKUP($D121&amp;" (Install)",Lists!$C$72:$R$232,COLUMNS(Lists!$C$69:L$69),0)*VLOOKUP(BL$3,Conversions!$B$12:$E$34,4,0),$G121*VLOOKUP($F121,Lists!$C$72:$R$232,COLUMNS(Lists!$C$69:L$69),0)*VLOOKUP(BL$3,Conversions!$B$12:$E$34,4,0)))</f>
        <v>0</v>
      </c>
      <c r="T121" s="333">
        <f>IF($F121="",0,IF($F121="Weighted Average",$G121*VLOOKUP($D121&amp;" (Install)",Lists!$C$72:$R$232,COLUMNS(Lists!$C$69:M$69),0)*VLOOKUP(BM$3,Conversions!$B$12:$E$34,4,0),$G121*VLOOKUP($F121,Lists!$C$72:$R$232,COLUMNS(Lists!$C$69:M$69),0)*VLOOKUP(BM$3,Conversions!$B$12:$E$34,4,0)))</f>
        <v>0</v>
      </c>
      <c r="U121" s="333">
        <f>IF($F121="",0,IF($F121="Weighted Average",$G121*VLOOKUP($D121&amp;" (Install)",Lists!$C$72:$R$232,COLUMNS(Lists!$C$69:N$69),0)*VLOOKUP(BN$3,Conversions!$B$12:$E$34,4,0),$G121*VLOOKUP($F121,Lists!$C$72:$R$232,COLUMNS(Lists!$C$69:N$69),0)*VLOOKUP(BN$3,Conversions!$B$12:$E$34,4,0)))</f>
        <v>0</v>
      </c>
      <c r="V121" s="333">
        <f>IF($F121="",0,IF($F121="Weighted Average",$G121*VLOOKUP($D121&amp;" (Install)",Lists!$C$72:$R$232,COLUMNS(Lists!$C$69:O$69),0)*VLOOKUP(BO$3,Conversions!$B$12:$E$34,4,0),$G121*VLOOKUP($F121,Lists!$C$72:$R$232,COLUMNS(Lists!$C$69:O$69),0)*VLOOKUP(BO$3,Conversions!$B$12:$E$34,4,0)))</f>
        <v>0</v>
      </c>
      <c r="W121" s="333">
        <f>IF($F121="",0,IF($F121="Weighted Average",$G121*VLOOKUP($D121&amp;" (Install)",Lists!$C$72:$R$232,COLUMNS(Lists!$C$69:P$69),0)*VLOOKUP(BP$3,Conversions!$B$12:$E$34,4,0),$G121*VLOOKUP($F121,Lists!$C$72:$R$232,COLUMNS(Lists!$C$69:P$69),0)*VLOOKUP(BP$3,Conversions!$B$12:$E$34,4,0)))</f>
        <v>0</v>
      </c>
      <c r="X121" s="333">
        <f>IF($F121="",0,IF($F121="Weighted Average",$G121*VLOOKUP($D121&amp;" (Install)",Lists!$C$72:$R$232,COLUMNS(Lists!$C$69:Q$69),0)*VLOOKUP(BQ$3,Conversions!$B$12:$E$34,4,0),$G121*VLOOKUP($F121,Lists!$C$72:$R$232,COLUMNS(Lists!$C$69:Q$69),0)*VLOOKUP(BQ$3,Conversions!$B$12:$E$34,4,0)))</f>
        <v>0</v>
      </c>
      <c r="Y121" s="333">
        <f>IF($F121="",0,IF($F121="Weighted Average",$G121*VLOOKUP($D121&amp;" (Install)",Lists!$C$72:$R$232,COLUMNS(Lists!$C$69:R$69),0)*VLOOKUP(BR$3,Conversions!$B$12:$E$34,4,0),$G121*VLOOKUP($F121,Lists!$C$72:$R$232,COLUMNS(Lists!$C$69:R$69),0)*VLOOKUP(BR$3,Conversions!$B$12:$E$34,4,0)))</f>
        <v>0</v>
      </c>
      <c r="Z121" s="325">
        <f t="shared" si="38"/>
        <v>0</v>
      </c>
      <c r="AA121" s="334">
        <f>IF($F121="",0,IF($F121="Weighted Average",$H121*VLOOKUP($D121&amp;" (Operation)",Lists!$C$72:$R$232,COLUMNS(Lists!$C$69:E$69),0)*VLOOKUP(BE$3,Conversions!$B$12:$E$34,4,0),$H121*VLOOKUP($F121,Lists!$C$72:$R$232,COLUMNS(Lists!$C$69:E$69),0)*VLOOKUP(BE$3,Conversions!$B$12:$E$34,4,0)))</f>
        <v>0</v>
      </c>
      <c r="AB121" s="334">
        <f>IF($F121="",0,IF($F121="Weighted Average",$H121*VLOOKUP($D121&amp;" (Operation)",Lists!$C$72:$R$232,COLUMNS(Lists!$C$69:F$69),0)*VLOOKUP(BF$3,Conversions!$B$12:$E$34,4,0),$H121*VLOOKUP($F121,Lists!$C$72:$R$232,COLUMNS(Lists!$C$69:F$69),0)*VLOOKUP(BF$3,Conversions!$B$12:$E$34,4,0)))</f>
        <v>0</v>
      </c>
      <c r="AC121" s="334">
        <f>IF($F121="",0,IF($F121="Weighted Average",$H121*VLOOKUP($D121&amp;" (Operation)",Lists!$C$72:$R$232,COLUMNS(Lists!$C$69:G$69),0)*VLOOKUP(BG$3,Conversions!$B$12:$E$34,4,0),$H121*VLOOKUP($F121,Lists!$C$72:$R$232,COLUMNS(Lists!$C$69:G$69),0)*VLOOKUP(BG$3,Conversions!$B$12:$E$34,4,0)))</f>
        <v>0</v>
      </c>
      <c r="AD121" s="334">
        <f>IF($F121="",0,IF($F121="Weighted Average",$H121*VLOOKUP($D121&amp;" (Operation)",Lists!$C$72:$R$232,COLUMNS(Lists!$C$69:H$69),0)*VLOOKUP(BH$3,Conversions!$B$12:$E$34,4,0),$H121*VLOOKUP($F121,Lists!$C$72:$R$232,COLUMNS(Lists!$C$69:H$69),0)*VLOOKUP(BH$3,Conversions!$B$12:$E$34,4,0)))</f>
        <v>0</v>
      </c>
      <c r="AE121" s="334">
        <f>IF($F121="",0,IF($F121="Weighted Average",$H121*VLOOKUP($D121&amp;" (Operation)",Lists!$C$72:$R$232,COLUMNS(Lists!$C$69:I$69),0)*VLOOKUP(BI$3,Conversions!$B$12:$E$34,4,0),$H121*VLOOKUP($F121,Lists!$C$72:$R$232,COLUMNS(Lists!$C$69:I$69),0)*VLOOKUP(BI$3,Conversions!$B$12:$E$34,4,0)))</f>
        <v>0</v>
      </c>
      <c r="AF121" s="334">
        <f>IF($F121="",0,IF($F121="Weighted Average",$H121*VLOOKUP($D121&amp;" (Operation)",Lists!$C$72:$R$232,COLUMNS(Lists!$C$69:J$69),0)*VLOOKUP(BJ$3,Conversions!$B$12:$E$34,4,0),$H121*VLOOKUP($F121,Lists!$C$72:$R$232,COLUMNS(Lists!$C$69:J$69),0)*VLOOKUP(BJ$3,Conversions!$B$12:$E$34,4,0)))</f>
        <v>0</v>
      </c>
      <c r="AG121" s="334">
        <f>IF($F121="",0,IF($F121="Weighted Average",$H121*VLOOKUP($D121&amp;" (Operation)",Lists!$C$72:$R$232,COLUMNS(Lists!$C$69:K$69),0)*VLOOKUP(BK$3,Conversions!$B$12:$E$34,4,0),$H121*VLOOKUP($F121,Lists!$C$72:$R$232,COLUMNS(Lists!$C$69:K$69),0)*VLOOKUP(BK$3,Conversions!$B$12:$E$34,4,0)))</f>
        <v>0</v>
      </c>
      <c r="AH121" s="334">
        <f>IF($F121="",0,IF($F121="Weighted Average",$H121*VLOOKUP($D121&amp;" (Operation)",Lists!$C$72:$R$232,COLUMNS(Lists!$C$69:L$69),0)*VLOOKUP(BL$3,Conversions!$B$12:$E$34,4,0),$H121*VLOOKUP($F121,Lists!$C$72:$R$232,COLUMNS(Lists!$C$69:L$69),0)*VLOOKUP(BL$3,Conversions!$B$12:$E$34,4,0)))</f>
        <v>0</v>
      </c>
      <c r="AI121" s="334">
        <f>IF($F121="",0,IF($F121="Weighted Average",$H121*VLOOKUP($D121&amp;" (Operation)",Lists!$C$72:$R$232,COLUMNS(Lists!$C$69:M$69),0)*VLOOKUP(BM$3,Conversions!$B$12:$E$34,4,0),$H121*VLOOKUP($F121,Lists!$C$72:$R$232,COLUMNS(Lists!$C$69:M$69),0)*VLOOKUP(BM$3,Conversions!$B$12:$E$34,4,0)))</f>
        <v>0</v>
      </c>
      <c r="AJ121" s="334">
        <f>IF($F121="",0,IF($F121="Weighted Average",$H121*VLOOKUP($D121&amp;" (Operation)",Lists!$C$72:$R$232,COLUMNS(Lists!$C$69:N$69),0)*VLOOKUP(BN$3,Conversions!$B$12:$E$34,4,0),$H121*VLOOKUP($F121,Lists!$C$72:$R$232,COLUMNS(Lists!$C$69:N$69),0)*VLOOKUP(BN$3,Conversions!$B$12:$E$34,4,0)))</f>
        <v>0</v>
      </c>
      <c r="AK121" s="334">
        <f>IF($F121="",0,IF($F121="Weighted Average",$H121*VLOOKUP($D121&amp;" (Operation)",Lists!$C$72:$R$232,COLUMNS(Lists!$C$69:O$69),0)*VLOOKUP(BO$3,Conversions!$B$12:$E$34,4,0),$H121*VLOOKUP($F121,Lists!$C$72:$R$232,COLUMNS(Lists!$C$69:O$69),0)*VLOOKUP(BO$3,Conversions!$B$12:$E$34,4,0)))</f>
        <v>0</v>
      </c>
      <c r="AL121" s="334">
        <f>IF($F121="",0,IF($F121="Weighted Average",$H121*VLOOKUP($D121&amp;" (Operation)",Lists!$C$72:$R$232,COLUMNS(Lists!$C$69:P$69),0)*VLOOKUP(BP$3,Conversions!$B$12:$E$34,4,0),$H121*VLOOKUP($F121,Lists!$C$72:$R$232,COLUMNS(Lists!$C$69:P$69),0)*VLOOKUP(BP$3,Conversions!$B$12:$E$34,4,0)))</f>
        <v>0</v>
      </c>
      <c r="AM121" s="334">
        <f>IF($F121="",0,IF($F121="Weighted Average",$H121*VLOOKUP($D121&amp;" (Operation)",Lists!$C$72:$R$232,COLUMNS(Lists!$C$69:Q$69),0)*VLOOKUP(BQ$3,Conversions!$B$12:$E$34,4,0),$H121*VLOOKUP($F121,Lists!$C$72:$R$232,COLUMNS(Lists!$C$69:Q$69),0)*VLOOKUP(BQ$3,Conversions!$B$12:$E$34,4,0)))</f>
        <v>0</v>
      </c>
      <c r="AN121" s="334">
        <f>IF($F121="",0,IF($F121="Weighted Average",$H121*VLOOKUP($D121&amp;" (Operation)",Lists!$C$72:$R$232,COLUMNS(Lists!$C$69:R$69),0)*VLOOKUP(BR$3,Conversions!$B$12:$E$34,4,0),$H121*VLOOKUP($F121,Lists!$C$72:$R$232,COLUMNS(Lists!$C$69:R$69),0)*VLOOKUP(BR$3,Conversions!$B$12:$E$34,4,0)))</f>
        <v>0</v>
      </c>
      <c r="AO121" s="330">
        <f t="shared" si="39"/>
        <v>0</v>
      </c>
      <c r="AP121" s="333">
        <f>IF($F121="",0,IF($F121="Weighted Average",$I121*VLOOKUP($D121&amp;" (Disposal)",Lists!$C$72:$R$232,COLUMNS(Lists!$C$69:E$69),0)*VLOOKUP(BE$3,Conversions!$B$12:$E$34,4,0),$I121*VLOOKUP($F121,Lists!$C$72:$R$232,COLUMNS(Lists!$C$69:E$69),0)*VLOOKUP(BE$3,Conversions!$B$12:$E$34,4,0)))</f>
        <v>0</v>
      </c>
      <c r="AQ121" s="333">
        <f>IF($F121="",0,IF($F121="Weighted Average",$I121*VLOOKUP($D121&amp;" (Disposal)",Lists!$C$72:$R$232,COLUMNS(Lists!$C$69:F$69),0)*VLOOKUP(BF$3,Conversions!$B$12:$E$34,4,0),$I121*VLOOKUP($F121,Lists!$C$72:$R$232,COLUMNS(Lists!$C$69:F$69),0)*VLOOKUP(BF$3,Conversions!$B$12:$E$34,4,0)))</f>
        <v>0</v>
      </c>
      <c r="AR121" s="333">
        <f>IF($F121="",0,IF($F121="Weighted Average",$I121*VLOOKUP($D121&amp;" (Disposal)",Lists!$C$72:$R$232,COLUMNS(Lists!$C$69:G$69),0)*VLOOKUP(BG$3,Conversions!$B$12:$E$34,4,0),$I121*VLOOKUP($F121,Lists!$C$72:$R$232,COLUMNS(Lists!$C$69:G$69),0)*VLOOKUP(BG$3,Conversions!$B$12:$E$34,4,0)))</f>
        <v>0</v>
      </c>
      <c r="AS121" s="333">
        <f>IF($F121="",0,IF($F121="Weighted Average",$I121*VLOOKUP($D121&amp;" (Disposal)",Lists!$C$72:$R$232,COLUMNS(Lists!$C$69:H$69),0)*VLOOKUP(BH$3,Conversions!$B$12:$E$34,4,0),$I121*VLOOKUP($F121,Lists!$C$72:$R$232,COLUMNS(Lists!$C$69:H$69),0)*VLOOKUP(BH$3,Conversions!$B$12:$E$34,4,0)))</f>
        <v>0</v>
      </c>
      <c r="AT121" s="333">
        <f>IF($F121="",0,IF($F121="Weighted Average",$I121*VLOOKUP($D121&amp;" (Disposal)",Lists!$C$72:$R$232,COLUMNS(Lists!$C$69:I$69),0)*VLOOKUP(BI$3,Conversions!$B$12:$E$34,4,0),$I121*VLOOKUP($F121,Lists!$C$72:$R$232,COLUMNS(Lists!$C$69:I$69),0)*VLOOKUP(BI$3,Conversions!$B$12:$E$34,4,0)))</f>
        <v>0</v>
      </c>
      <c r="AU121" s="333">
        <f>IF($F121="",0,IF($F121="Weighted Average",$I121*VLOOKUP($D121&amp;" (Disposal)",Lists!$C$72:$R$232,COLUMNS(Lists!$C$69:J$69),0)*VLOOKUP(BJ$3,Conversions!$B$12:$E$34,4,0),$I121*VLOOKUP($F121,Lists!$C$72:$R$232,COLUMNS(Lists!$C$69:J$69),0)*VLOOKUP(BJ$3,Conversions!$B$12:$E$34,4,0)))</f>
        <v>0</v>
      </c>
      <c r="AV121" s="333">
        <f>IF($F121="",0,IF($F121="Weighted Average",$I121*VLOOKUP($D121&amp;" (Disposal)",Lists!$C$72:$R$232,COLUMNS(Lists!$C$69:K$69),0)*VLOOKUP(BK$3,Conversions!$B$12:$E$34,4,0),$I121*VLOOKUP($F121,Lists!$C$72:$R$232,COLUMNS(Lists!$C$69:K$69),0)*VLOOKUP(BK$3,Conversions!$B$12:$E$34,4,0)))</f>
        <v>0</v>
      </c>
      <c r="AW121" s="333">
        <f>IF($F121="",0,IF($F121="Weighted Average",$I121*VLOOKUP($D121&amp;" (Disposal)",Lists!$C$72:$R$232,COLUMNS(Lists!$C$69:L$69),0)*VLOOKUP(BL$3,Conversions!$B$12:$E$34,4,0),$I121*VLOOKUP($F121,Lists!$C$72:$R$232,COLUMNS(Lists!$C$69:L$69),0)*VLOOKUP(BL$3,Conversions!$B$12:$E$34,4,0)))</f>
        <v>0</v>
      </c>
      <c r="AX121" s="333">
        <f>IF($F121="",0,IF($F121="Weighted Average",$I121*VLOOKUP($D121&amp;" (Disposal)",Lists!$C$72:$R$232,COLUMNS(Lists!$C$69:M$69),0)*VLOOKUP(BM$3,Conversions!$B$12:$E$34,4,0),$I121*VLOOKUP($F121,Lists!$C$72:$R$232,COLUMNS(Lists!$C$69:M$69),0)*VLOOKUP(BM$3,Conversions!$B$12:$E$34,4,0)))</f>
        <v>0</v>
      </c>
      <c r="AY121" s="333">
        <f>IF($F121="",0,IF($F121="Weighted Average",$I121*VLOOKUP($D121&amp;" (Disposal)",Lists!$C$72:$R$232,COLUMNS(Lists!$C$69:N$69),0)*VLOOKUP(BN$3,Conversions!$B$12:$E$34,4,0),$I121*VLOOKUP($F121,Lists!$C$72:$R$232,COLUMNS(Lists!$C$69:N$69),0)*VLOOKUP(BN$3,Conversions!$B$12:$E$34,4,0)))</f>
        <v>0</v>
      </c>
      <c r="AZ121" s="333">
        <f>IF($F121="",0,IF($F121="Weighted Average",$I121*VLOOKUP($D121&amp;" (Disposal)",Lists!$C$72:$R$232,COLUMNS(Lists!$C$69:O$69),0)*VLOOKUP(BO$3,Conversions!$B$12:$E$34,4,0),$I121*VLOOKUP($F121,Lists!$C$72:$R$232,COLUMNS(Lists!$C$69:O$69),0)*VLOOKUP(BO$3,Conversions!$B$12:$E$34,4,0)))</f>
        <v>0</v>
      </c>
      <c r="BA121" s="333">
        <f>IF($F121="",0,IF($F121="Weighted Average",$I121*VLOOKUP($D121&amp;" (Disposal)",Lists!$C$72:$R$232,COLUMNS(Lists!$C$69:P$69),0)*VLOOKUP(BP$3,Conversions!$B$12:$E$34,4,0),$I121*VLOOKUP($F121,Lists!$C$72:$R$232,COLUMNS(Lists!$C$69:P$69),0)*VLOOKUP(BP$3,Conversions!$B$12:$E$34,4,0)))</f>
        <v>0</v>
      </c>
      <c r="BB121" s="333">
        <f>IF($F121="",0,IF($F121="Weighted Average",$I121*VLOOKUP($D121&amp;" (Disposal)",Lists!$C$72:$R$232,COLUMNS(Lists!$C$69:Q$69),0)*VLOOKUP(BQ$3,Conversions!$B$12:$E$34,4,0),$I121*VLOOKUP($F121,Lists!$C$72:$R$232,COLUMNS(Lists!$C$69:Q$69),0)*VLOOKUP(BQ$3,Conversions!$B$12:$E$34,4,0)))</f>
        <v>0</v>
      </c>
      <c r="BC121" s="333">
        <f>IF($F121="",0,IF($F121="Weighted Average",$I121*VLOOKUP($D121&amp;" (Disposal)",Lists!$C$72:$R$232,COLUMNS(Lists!$C$69:R$69),0)*VLOOKUP(BR$3,Conversions!$B$12:$E$34,4,0),$I121*VLOOKUP($F121,Lists!$C$72:$R$232,COLUMNS(Lists!$C$69:R$69),0)*VLOOKUP(BR$3,Conversions!$B$12:$E$34,4,0)))</f>
        <v>0</v>
      </c>
      <c r="BD121" s="333">
        <f t="shared" si="40"/>
        <v>0</v>
      </c>
      <c r="BE121" s="330">
        <f t="shared" si="41"/>
        <v>0</v>
      </c>
      <c r="BF121" s="330">
        <f t="shared" si="42"/>
        <v>0</v>
      </c>
      <c r="BG121" s="330">
        <f t="shared" si="43"/>
        <v>0</v>
      </c>
      <c r="BH121" s="330">
        <f t="shared" si="44"/>
        <v>0</v>
      </c>
      <c r="BI121" s="330">
        <f t="shared" si="45"/>
        <v>0</v>
      </c>
      <c r="BJ121" s="330">
        <f t="shared" si="46"/>
        <v>0</v>
      </c>
      <c r="BK121" s="330">
        <f t="shared" si="47"/>
        <v>0</v>
      </c>
      <c r="BL121" s="330">
        <f t="shared" si="48"/>
        <v>0</v>
      </c>
      <c r="BM121" s="330">
        <f t="shared" si="49"/>
        <v>0</v>
      </c>
      <c r="BN121" s="330">
        <f t="shared" si="50"/>
        <v>0</v>
      </c>
      <c r="BO121" s="330">
        <f t="shared" si="51"/>
        <v>0</v>
      </c>
      <c r="BP121" s="330">
        <f t="shared" si="52"/>
        <v>0</v>
      </c>
      <c r="BQ121" s="330">
        <f t="shared" si="53"/>
        <v>0</v>
      </c>
      <c r="BR121" s="330">
        <f t="shared" si="54"/>
        <v>0</v>
      </c>
      <c r="BS121" s="330">
        <f t="shared" si="55"/>
        <v>0</v>
      </c>
      <c r="BT121" s="329">
        <f t="shared" si="137"/>
        <v>0</v>
      </c>
      <c r="BU121" s="329">
        <f t="shared" si="137"/>
        <v>0</v>
      </c>
      <c r="BV121" s="329">
        <f t="shared" si="137"/>
        <v>0</v>
      </c>
      <c r="BW121" s="329">
        <f t="shared" si="137"/>
        <v>0</v>
      </c>
      <c r="BX121" s="329">
        <f t="shared" si="137"/>
        <v>0</v>
      </c>
      <c r="BY121" s="329">
        <f t="shared" si="137"/>
        <v>0</v>
      </c>
      <c r="BZ121" s="329">
        <f t="shared" si="137"/>
        <v>0</v>
      </c>
      <c r="CA121" s="329">
        <f t="shared" si="137"/>
        <v>0</v>
      </c>
      <c r="CB121" s="329">
        <f t="shared" si="137"/>
        <v>0</v>
      </c>
      <c r="CC121" s="329">
        <f t="shared" si="137"/>
        <v>0</v>
      </c>
      <c r="CD121" s="329">
        <f t="shared" si="137"/>
        <v>0</v>
      </c>
      <c r="CE121" s="329">
        <f t="shared" si="137"/>
        <v>0</v>
      </c>
      <c r="CF121" s="329">
        <f t="shared" si="137"/>
        <v>0</v>
      </c>
      <c r="CG121" s="329">
        <f t="shared" si="137"/>
        <v>0</v>
      </c>
      <c r="CH121" s="329">
        <f t="shared" si="137"/>
        <v>0</v>
      </c>
      <c r="CI121" s="329">
        <f t="shared" si="137"/>
        <v>0</v>
      </c>
      <c r="CJ121" s="331">
        <f t="shared" si="1"/>
        <v>0</v>
      </c>
      <c r="CK121" s="330">
        <f t="shared" si="5"/>
        <v>0</v>
      </c>
      <c r="CL121" s="330">
        <f t="shared" si="6"/>
        <v>0</v>
      </c>
      <c r="CM121" s="330">
        <f t="shared" si="7"/>
        <v>0</v>
      </c>
      <c r="CN121" s="330">
        <f t="shared" si="8"/>
        <v>0</v>
      </c>
      <c r="CO121" s="330">
        <f t="shared" si="9"/>
        <v>0</v>
      </c>
      <c r="CP121" s="330">
        <f t="shared" si="10"/>
        <v>0</v>
      </c>
      <c r="CQ121" s="330">
        <f t="shared" si="94"/>
        <v>0</v>
      </c>
      <c r="CR121" s="330">
        <f t="shared" si="12"/>
        <v>0</v>
      </c>
      <c r="CS121" s="330">
        <f t="shared" si="13"/>
        <v>0</v>
      </c>
      <c r="CT121" s="330">
        <f t="shared" si="14"/>
        <v>0</v>
      </c>
      <c r="CU121" s="330">
        <f t="shared" si="138"/>
        <v>0</v>
      </c>
      <c r="CV121" s="330">
        <f t="shared" si="138"/>
        <v>0</v>
      </c>
      <c r="CW121" s="330">
        <f t="shared" si="138"/>
        <v>0</v>
      </c>
      <c r="CX121" s="330">
        <f t="shared" si="138"/>
        <v>0</v>
      </c>
      <c r="CY121" s="330">
        <f t="shared" si="138"/>
        <v>0</v>
      </c>
      <c r="CZ121" s="330">
        <f t="shared" si="138"/>
        <v>0</v>
      </c>
      <c r="DA121" s="330">
        <f t="shared" si="138"/>
        <v>0</v>
      </c>
      <c r="DB121" s="330">
        <f t="shared" si="138"/>
        <v>0</v>
      </c>
      <c r="DC121" s="330">
        <f t="shared" si="138"/>
        <v>0</v>
      </c>
      <c r="DD121" s="330">
        <f t="shared" si="138"/>
        <v>0</v>
      </c>
      <c r="DE121" s="330">
        <f t="shared" si="139"/>
        <v>0</v>
      </c>
      <c r="DF121" s="330">
        <f t="shared" si="139"/>
        <v>0</v>
      </c>
      <c r="DG121" s="330">
        <f t="shared" si="139"/>
        <v>0</v>
      </c>
      <c r="DH121" s="330">
        <f t="shared" si="139"/>
        <v>0</v>
      </c>
      <c r="DI121" s="330">
        <f t="shared" si="139"/>
        <v>0</v>
      </c>
      <c r="DJ121" s="330">
        <f t="shared" si="139"/>
        <v>0</v>
      </c>
      <c r="DK121" s="330">
        <f t="shared" si="139"/>
        <v>0</v>
      </c>
      <c r="DL121" s="330">
        <f t="shared" si="139"/>
        <v>0</v>
      </c>
      <c r="DM121" s="330">
        <f t="shared" si="139"/>
        <v>0</v>
      </c>
      <c r="DN121" s="330">
        <f t="shared" si="139"/>
        <v>0</v>
      </c>
      <c r="DO121" s="330">
        <f t="shared" si="139"/>
        <v>0</v>
      </c>
      <c r="DP121" s="330">
        <f t="shared" si="140"/>
        <v>0</v>
      </c>
      <c r="DQ121" s="217"/>
      <c r="DR121" s="217"/>
      <c r="DS121" s="217"/>
      <c r="DT121" s="217"/>
    </row>
    <row r="122" spans="1:124" x14ac:dyDescent="0.3">
      <c r="A122" s="324"/>
      <c r="B122" s="221" t="s">
        <v>305</v>
      </c>
      <c r="C122" s="221" t="str">
        <f>IF(Screening!C52=0,"",Screening!C52)</f>
        <v/>
      </c>
      <c r="D122" s="221" t="str">
        <f>IF(Screening!D52=0,"",Screening!D52)</f>
        <v/>
      </c>
      <c r="E122" s="221" t="str">
        <f>IF(Screening!E52=0,"",Screening!E52)</f>
        <v/>
      </c>
      <c r="F122" s="221" t="str">
        <f>IF(Screening!F52=0,"",Screening!F52)</f>
        <v/>
      </c>
      <c r="G122" s="272">
        <f>Screening!G52*Screening!O52*Conversions!$C$4</f>
        <v>0</v>
      </c>
      <c r="H122" s="272">
        <f>Screening!H52*Screening!P52*Screening!I52*Conversions!$C$4</f>
        <v>0</v>
      </c>
      <c r="I122" s="272">
        <f>Screening!J52*Screening!Q52*(1-Screening!R52)*Conversions!$C$4</f>
        <v>0</v>
      </c>
      <c r="J122" s="325">
        <f>IF(Screening!S52=0,0,Screening!S52)</f>
        <v>0</v>
      </c>
      <c r="K122" s="465"/>
      <c r="L122" s="333">
        <f>IF($F122="",0,IF($F122="Weighted Average",$G122*VLOOKUP($D122&amp;" (Install)",Lists!$C$72:$R$232,COLUMNS(Lists!$C$69:E$69),0)*VLOOKUP(BE$3,Conversions!$B$12:$E$34,4,0),$G122*VLOOKUP($F122,Lists!$C$72:$R$232,COLUMNS(Lists!$C$69:E$69),0)*VLOOKUP(BE$3,Conversions!$B$12:$E$34,4,0)))</f>
        <v>0</v>
      </c>
      <c r="M122" s="333">
        <f>IF($F122="",0,IF($F122="Weighted Average",$G122*VLOOKUP($D122&amp;" (Install)",Lists!$C$72:$R$232,COLUMNS(Lists!$C$69:F$69),0)*VLOOKUP(BF$3,Conversions!$B$12:$E$34,4,0),$G122*VLOOKUP($F122,Lists!$C$72:$R$232,COLUMNS(Lists!$C$69:F$69),0)*VLOOKUP(BF$3,Conversions!$B$12:$E$34,4,0)))</f>
        <v>0</v>
      </c>
      <c r="N122" s="333">
        <f>IF($F122="",0,IF($F122="Weighted Average",$G122*VLOOKUP($D122&amp;" (Install)",Lists!$C$72:$R$232,COLUMNS(Lists!$C$69:G$69),0)*VLOOKUP(BG$3,Conversions!$B$12:$E$34,4,0),$G122*VLOOKUP($F122,Lists!$C$72:$R$232,COLUMNS(Lists!$C$69:G$69),0)*VLOOKUP(BG$3,Conversions!$B$12:$E$34,4,0)))</f>
        <v>0</v>
      </c>
      <c r="O122" s="333">
        <f>IF($F122="",0,IF($F122="Weighted Average",$G122*VLOOKUP($D122&amp;" (Install)",Lists!$C$72:$R$232,COLUMNS(Lists!$C$69:H$69),0)*VLOOKUP(BH$3,Conversions!$B$12:$E$34,4,0),$G122*VLOOKUP($F122,Lists!$C$72:$R$232,COLUMNS(Lists!$C$69:H$69),0)*VLOOKUP(BH$3,Conversions!$B$12:$E$34,4,0)))</f>
        <v>0</v>
      </c>
      <c r="P122" s="333">
        <f>IF($F122="",0,IF($F122="Weighted Average",$G122*VLOOKUP($D122&amp;" (Install)",Lists!$C$72:$R$232,COLUMNS(Lists!$C$69:I$69),0)*VLOOKUP(BI$3,Conversions!$B$12:$E$34,4,0),$G122*VLOOKUP($F122,Lists!$C$72:$R$232,COLUMNS(Lists!$C$69:I$69),0)*VLOOKUP(BI$3,Conversions!$B$12:$E$34,4,0)))</f>
        <v>0</v>
      </c>
      <c r="Q122" s="333">
        <f>IF($F122="",0,IF($F122="Weighted Average",$G122*VLOOKUP($D122&amp;" (Install)",Lists!$C$72:$R$232,COLUMNS(Lists!$C$69:J$69),0)*VLOOKUP(BJ$3,Conversions!$B$12:$E$34,4,0),$G122*VLOOKUP($F122,Lists!$C$72:$R$232,COLUMNS(Lists!$C$69:J$69),0)*VLOOKUP(BJ$3,Conversions!$B$12:$E$34,4,0)))</f>
        <v>0</v>
      </c>
      <c r="R122" s="333">
        <f>IF($F122="",0,IF($F122="Weighted Average",$G122*VLOOKUP($D122&amp;" (Install)",Lists!$C$72:$R$232,COLUMNS(Lists!$C$69:K$69),0)*VLOOKUP(BK$3,Conversions!$B$12:$E$34,4,0),$G122*VLOOKUP($F122,Lists!$C$72:$R$232,COLUMNS(Lists!$C$69:K$69),0)*VLOOKUP(BK$3,Conversions!$B$12:$E$34,4,0)))</f>
        <v>0</v>
      </c>
      <c r="S122" s="333">
        <f>IF($F122="",0,IF($F122="Weighted Average",$G122*VLOOKUP($D122&amp;" (Install)",Lists!$C$72:$R$232,COLUMNS(Lists!$C$69:L$69),0)*VLOOKUP(BL$3,Conversions!$B$12:$E$34,4,0),$G122*VLOOKUP($F122,Lists!$C$72:$R$232,COLUMNS(Lists!$C$69:L$69),0)*VLOOKUP(BL$3,Conversions!$B$12:$E$34,4,0)))</f>
        <v>0</v>
      </c>
      <c r="T122" s="333">
        <f>IF($F122="",0,IF($F122="Weighted Average",$G122*VLOOKUP($D122&amp;" (Install)",Lists!$C$72:$R$232,COLUMNS(Lists!$C$69:M$69),0)*VLOOKUP(BM$3,Conversions!$B$12:$E$34,4,0),$G122*VLOOKUP($F122,Lists!$C$72:$R$232,COLUMNS(Lists!$C$69:M$69),0)*VLOOKUP(BM$3,Conversions!$B$12:$E$34,4,0)))</f>
        <v>0</v>
      </c>
      <c r="U122" s="333">
        <f>IF($F122="",0,IF($F122="Weighted Average",$G122*VLOOKUP($D122&amp;" (Install)",Lists!$C$72:$R$232,COLUMNS(Lists!$C$69:N$69),0)*VLOOKUP(BN$3,Conversions!$B$12:$E$34,4,0),$G122*VLOOKUP($F122,Lists!$C$72:$R$232,COLUMNS(Lists!$C$69:N$69),0)*VLOOKUP(BN$3,Conversions!$B$12:$E$34,4,0)))</f>
        <v>0</v>
      </c>
      <c r="V122" s="333">
        <f>IF($F122="",0,IF($F122="Weighted Average",$G122*VLOOKUP($D122&amp;" (Install)",Lists!$C$72:$R$232,COLUMNS(Lists!$C$69:O$69),0)*VLOOKUP(BO$3,Conversions!$B$12:$E$34,4,0),$G122*VLOOKUP($F122,Lists!$C$72:$R$232,COLUMNS(Lists!$C$69:O$69),0)*VLOOKUP(BO$3,Conversions!$B$12:$E$34,4,0)))</f>
        <v>0</v>
      </c>
      <c r="W122" s="333">
        <f>IF($F122="",0,IF($F122="Weighted Average",$G122*VLOOKUP($D122&amp;" (Install)",Lists!$C$72:$R$232,COLUMNS(Lists!$C$69:P$69),0)*VLOOKUP(BP$3,Conversions!$B$12:$E$34,4,0),$G122*VLOOKUP($F122,Lists!$C$72:$R$232,COLUMNS(Lists!$C$69:P$69),0)*VLOOKUP(BP$3,Conversions!$B$12:$E$34,4,0)))</f>
        <v>0</v>
      </c>
      <c r="X122" s="333">
        <f>IF($F122="",0,IF($F122="Weighted Average",$G122*VLOOKUP($D122&amp;" (Install)",Lists!$C$72:$R$232,COLUMNS(Lists!$C$69:Q$69),0)*VLOOKUP(BQ$3,Conversions!$B$12:$E$34,4,0),$G122*VLOOKUP($F122,Lists!$C$72:$R$232,COLUMNS(Lists!$C$69:Q$69),0)*VLOOKUP(BQ$3,Conversions!$B$12:$E$34,4,0)))</f>
        <v>0</v>
      </c>
      <c r="Y122" s="333">
        <f>IF($F122="",0,IF($F122="Weighted Average",$G122*VLOOKUP($D122&amp;" (Install)",Lists!$C$72:$R$232,COLUMNS(Lists!$C$69:R$69),0)*VLOOKUP(BR$3,Conversions!$B$12:$E$34,4,0),$G122*VLOOKUP($F122,Lists!$C$72:$R$232,COLUMNS(Lists!$C$69:R$69),0)*VLOOKUP(BR$3,Conversions!$B$12:$E$34,4,0)))</f>
        <v>0</v>
      </c>
      <c r="Z122" s="325">
        <f t="shared" si="38"/>
        <v>0</v>
      </c>
      <c r="AA122" s="334">
        <f>IF($F122="",0,IF($F122="Weighted Average",$H122*VLOOKUP($D122&amp;" (Operation)",Lists!$C$72:$R$232,COLUMNS(Lists!$C$69:E$69),0)*VLOOKUP(BE$3,Conversions!$B$12:$E$34,4,0),$H122*VLOOKUP($F122,Lists!$C$72:$R$232,COLUMNS(Lists!$C$69:E$69),0)*VLOOKUP(BE$3,Conversions!$B$12:$E$34,4,0)))</f>
        <v>0</v>
      </c>
      <c r="AB122" s="334">
        <f>IF($F122="",0,IF($F122="Weighted Average",$H122*VLOOKUP($D122&amp;" (Operation)",Lists!$C$72:$R$232,COLUMNS(Lists!$C$69:F$69),0)*VLOOKUP(BF$3,Conversions!$B$12:$E$34,4,0),$H122*VLOOKUP($F122,Lists!$C$72:$R$232,COLUMNS(Lists!$C$69:F$69),0)*VLOOKUP(BF$3,Conversions!$B$12:$E$34,4,0)))</f>
        <v>0</v>
      </c>
      <c r="AC122" s="334">
        <f>IF($F122="",0,IF($F122="Weighted Average",$H122*VLOOKUP($D122&amp;" (Operation)",Lists!$C$72:$R$232,COLUMNS(Lists!$C$69:G$69),0)*VLOOKUP(BG$3,Conversions!$B$12:$E$34,4,0),$H122*VLOOKUP($F122,Lists!$C$72:$R$232,COLUMNS(Lists!$C$69:G$69),0)*VLOOKUP(BG$3,Conversions!$B$12:$E$34,4,0)))</f>
        <v>0</v>
      </c>
      <c r="AD122" s="334">
        <f>IF($F122="",0,IF($F122="Weighted Average",$H122*VLOOKUP($D122&amp;" (Operation)",Lists!$C$72:$R$232,COLUMNS(Lists!$C$69:H$69),0)*VLOOKUP(BH$3,Conversions!$B$12:$E$34,4,0),$H122*VLOOKUP($F122,Lists!$C$72:$R$232,COLUMNS(Lists!$C$69:H$69),0)*VLOOKUP(BH$3,Conversions!$B$12:$E$34,4,0)))</f>
        <v>0</v>
      </c>
      <c r="AE122" s="334">
        <f>IF($F122="",0,IF($F122="Weighted Average",$H122*VLOOKUP($D122&amp;" (Operation)",Lists!$C$72:$R$232,COLUMNS(Lists!$C$69:I$69),0)*VLOOKUP(BI$3,Conversions!$B$12:$E$34,4,0),$H122*VLOOKUP($F122,Lists!$C$72:$R$232,COLUMNS(Lists!$C$69:I$69),0)*VLOOKUP(BI$3,Conversions!$B$12:$E$34,4,0)))</f>
        <v>0</v>
      </c>
      <c r="AF122" s="334">
        <f>IF($F122="",0,IF($F122="Weighted Average",$H122*VLOOKUP($D122&amp;" (Operation)",Lists!$C$72:$R$232,COLUMNS(Lists!$C$69:J$69),0)*VLOOKUP(BJ$3,Conversions!$B$12:$E$34,4,0),$H122*VLOOKUP($F122,Lists!$C$72:$R$232,COLUMNS(Lists!$C$69:J$69),0)*VLOOKUP(BJ$3,Conversions!$B$12:$E$34,4,0)))</f>
        <v>0</v>
      </c>
      <c r="AG122" s="334">
        <f>IF($F122="",0,IF($F122="Weighted Average",$H122*VLOOKUP($D122&amp;" (Operation)",Lists!$C$72:$R$232,COLUMNS(Lists!$C$69:K$69),0)*VLOOKUP(BK$3,Conversions!$B$12:$E$34,4,0),$H122*VLOOKUP($F122,Lists!$C$72:$R$232,COLUMNS(Lists!$C$69:K$69),0)*VLOOKUP(BK$3,Conversions!$B$12:$E$34,4,0)))</f>
        <v>0</v>
      </c>
      <c r="AH122" s="334">
        <f>IF($F122="",0,IF($F122="Weighted Average",$H122*VLOOKUP($D122&amp;" (Operation)",Lists!$C$72:$R$232,COLUMNS(Lists!$C$69:L$69),0)*VLOOKUP(BL$3,Conversions!$B$12:$E$34,4,0),$H122*VLOOKUP($F122,Lists!$C$72:$R$232,COLUMNS(Lists!$C$69:L$69),0)*VLOOKUP(BL$3,Conversions!$B$12:$E$34,4,0)))</f>
        <v>0</v>
      </c>
      <c r="AI122" s="334">
        <f>IF($F122="",0,IF($F122="Weighted Average",$H122*VLOOKUP($D122&amp;" (Operation)",Lists!$C$72:$R$232,COLUMNS(Lists!$C$69:M$69),0)*VLOOKUP(BM$3,Conversions!$B$12:$E$34,4,0),$H122*VLOOKUP($F122,Lists!$C$72:$R$232,COLUMNS(Lists!$C$69:M$69),0)*VLOOKUP(BM$3,Conversions!$B$12:$E$34,4,0)))</f>
        <v>0</v>
      </c>
      <c r="AJ122" s="334">
        <f>IF($F122="",0,IF($F122="Weighted Average",$H122*VLOOKUP($D122&amp;" (Operation)",Lists!$C$72:$R$232,COLUMNS(Lists!$C$69:N$69),0)*VLOOKUP(BN$3,Conversions!$B$12:$E$34,4,0),$H122*VLOOKUP($F122,Lists!$C$72:$R$232,COLUMNS(Lists!$C$69:N$69),0)*VLOOKUP(BN$3,Conversions!$B$12:$E$34,4,0)))</f>
        <v>0</v>
      </c>
      <c r="AK122" s="334">
        <f>IF($F122="",0,IF($F122="Weighted Average",$H122*VLOOKUP($D122&amp;" (Operation)",Lists!$C$72:$R$232,COLUMNS(Lists!$C$69:O$69),0)*VLOOKUP(BO$3,Conversions!$B$12:$E$34,4,0),$H122*VLOOKUP($F122,Lists!$C$72:$R$232,COLUMNS(Lists!$C$69:O$69),0)*VLOOKUP(BO$3,Conversions!$B$12:$E$34,4,0)))</f>
        <v>0</v>
      </c>
      <c r="AL122" s="334">
        <f>IF($F122="",0,IF($F122="Weighted Average",$H122*VLOOKUP($D122&amp;" (Operation)",Lists!$C$72:$R$232,COLUMNS(Lists!$C$69:P$69),0)*VLOOKUP(BP$3,Conversions!$B$12:$E$34,4,0),$H122*VLOOKUP($F122,Lists!$C$72:$R$232,COLUMNS(Lists!$C$69:P$69),0)*VLOOKUP(BP$3,Conversions!$B$12:$E$34,4,0)))</f>
        <v>0</v>
      </c>
      <c r="AM122" s="334">
        <f>IF($F122="",0,IF($F122="Weighted Average",$H122*VLOOKUP($D122&amp;" (Operation)",Lists!$C$72:$R$232,COLUMNS(Lists!$C$69:Q$69),0)*VLOOKUP(BQ$3,Conversions!$B$12:$E$34,4,0),$H122*VLOOKUP($F122,Lists!$C$72:$R$232,COLUMNS(Lists!$C$69:Q$69),0)*VLOOKUP(BQ$3,Conversions!$B$12:$E$34,4,0)))</f>
        <v>0</v>
      </c>
      <c r="AN122" s="334">
        <f>IF($F122="",0,IF($F122="Weighted Average",$H122*VLOOKUP($D122&amp;" (Operation)",Lists!$C$72:$R$232,COLUMNS(Lists!$C$69:R$69),0)*VLOOKUP(BR$3,Conversions!$B$12:$E$34,4,0),$H122*VLOOKUP($F122,Lists!$C$72:$R$232,COLUMNS(Lists!$C$69:R$69),0)*VLOOKUP(BR$3,Conversions!$B$12:$E$34,4,0)))</f>
        <v>0</v>
      </c>
      <c r="AO122" s="330">
        <f t="shared" si="39"/>
        <v>0</v>
      </c>
      <c r="AP122" s="333">
        <f>IF($F122="",0,IF($F122="Weighted Average",$I122*VLOOKUP($D122&amp;" (Disposal)",Lists!$C$72:$R$232,COLUMNS(Lists!$C$69:E$69),0)*VLOOKUP(BE$3,Conversions!$B$12:$E$34,4,0),$I122*VLOOKUP($F122,Lists!$C$72:$R$232,COLUMNS(Lists!$C$69:E$69),0)*VLOOKUP(BE$3,Conversions!$B$12:$E$34,4,0)))</f>
        <v>0</v>
      </c>
      <c r="AQ122" s="333">
        <f>IF($F122="",0,IF($F122="Weighted Average",$I122*VLOOKUP($D122&amp;" (Disposal)",Lists!$C$72:$R$232,COLUMNS(Lists!$C$69:F$69),0)*VLOOKUP(BF$3,Conversions!$B$12:$E$34,4,0),$I122*VLOOKUP($F122,Lists!$C$72:$R$232,COLUMNS(Lists!$C$69:F$69),0)*VLOOKUP(BF$3,Conversions!$B$12:$E$34,4,0)))</f>
        <v>0</v>
      </c>
      <c r="AR122" s="333">
        <f>IF($F122="",0,IF($F122="Weighted Average",$I122*VLOOKUP($D122&amp;" (Disposal)",Lists!$C$72:$R$232,COLUMNS(Lists!$C$69:G$69),0)*VLOOKUP(BG$3,Conversions!$B$12:$E$34,4,0),$I122*VLOOKUP($F122,Lists!$C$72:$R$232,COLUMNS(Lists!$C$69:G$69),0)*VLOOKUP(BG$3,Conversions!$B$12:$E$34,4,0)))</f>
        <v>0</v>
      </c>
      <c r="AS122" s="333">
        <f>IF($F122="",0,IF($F122="Weighted Average",$I122*VLOOKUP($D122&amp;" (Disposal)",Lists!$C$72:$R$232,COLUMNS(Lists!$C$69:H$69),0)*VLOOKUP(BH$3,Conversions!$B$12:$E$34,4,0),$I122*VLOOKUP($F122,Lists!$C$72:$R$232,COLUMNS(Lists!$C$69:H$69),0)*VLOOKUP(BH$3,Conversions!$B$12:$E$34,4,0)))</f>
        <v>0</v>
      </c>
      <c r="AT122" s="333">
        <f>IF($F122="",0,IF($F122="Weighted Average",$I122*VLOOKUP($D122&amp;" (Disposal)",Lists!$C$72:$R$232,COLUMNS(Lists!$C$69:I$69),0)*VLOOKUP(BI$3,Conversions!$B$12:$E$34,4,0),$I122*VLOOKUP($F122,Lists!$C$72:$R$232,COLUMNS(Lists!$C$69:I$69),0)*VLOOKUP(BI$3,Conversions!$B$12:$E$34,4,0)))</f>
        <v>0</v>
      </c>
      <c r="AU122" s="333">
        <f>IF($F122="",0,IF($F122="Weighted Average",$I122*VLOOKUP($D122&amp;" (Disposal)",Lists!$C$72:$R$232,COLUMNS(Lists!$C$69:J$69),0)*VLOOKUP(BJ$3,Conversions!$B$12:$E$34,4,0),$I122*VLOOKUP($F122,Lists!$C$72:$R$232,COLUMNS(Lists!$C$69:J$69),0)*VLOOKUP(BJ$3,Conversions!$B$12:$E$34,4,0)))</f>
        <v>0</v>
      </c>
      <c r="AV122" s="333">
        <f>IF($F122="",0,IF($F122="Weighted Average",$I122*VLOOKUP($D122&amp;" (Disposal)",Lists!$C$72:$R$232,COLUMNS(Lists!$C$69:K$69),0)*VLOOKUP(BK$3,Conversions!$B$12:$E$34,4,0),$I122*VLOOKUP($F122,Lists!$C$72:$R$232,COLUMNS(Lists!$C$69:K$69),0)*VLOOKUP(BK$3,Conversions!$B$12:$E$34,4,0)))</f>
        <v>0</v>
      </c>
      <c r="AW122" s="333">
        <f>IF($F122="",0,IF($F122="Weighted Average",$I122*VLOOKUP($D122&amp;" (Disposal)",Lists!$C$72:$R$232,COLUMNS(Lists!$C$69:L$69),0)*VLOOKUP(BL$3,Conversions!$B$12:$E$34,4,0),$I122*VLOOKUP($F122,Lists!$C$72:$R$232,COLUMNS(Lists!$C$69:L$69),0)*VLOOKUP(BL$3,Conversions!$B$12:$E$34,4,0)))</f>
        <v>0</v>
      </c>
      <c r="AX122" s="333">
        <f>IF($F122="",0,IF($F122="Weighted Average",$I122*VLOOKUP($D122&amp;" (Disposal)",Lists!$C$72:$R$232,COLUMNS(Lists!$C$69:M$69),0)*VLOOKUP(BM$3,Conversions!$B$12:$E$34,4,0),$I122*VLOOKUP($F122,Lists!$C$72:$R$232,COLUMNS(Lists!$C$69:M$69),0)*VLOOKUP(BM$3,Conversions!$B$12:$E$34,4,0)))</f>
        <v>0</v>
      </c>
      <c r="AY122" s="333">
        <f>IF($F122="",0,IF($F122="Weighted Average",$I122*VLOOKUP($D122&amp;" (Disposal)",Lists!$C$72:$R$232,COLUMNS(Lists!$C$69:N$69),0)*VLOOKUP(BN$3,Conversions!$B$12:$E$34,4,0),$I122*VLOOKUP($F122,Lists!$C$72:$R$232,COLUMNS(Lists!$C$69:N$69),0)*VLOOKUP(BN$3,Conversions!$B$12:$E$34,4,0)))</f>
        <v>0</v>
      </c>
      <c r="AZ122" s="333">
        <f>IF($F122="",0,IF($F122="Weighted Average",$I122*VLOOKUP($D122&amp;" (Disposal)",Lists!$C$72:$R$232,COLUMNS(Lists!$C$69:O$69),0)*VLOOKUP(BO$3,Conversions!$B$12:$E$34,4,0),$I122*VLOOKUP($F122,Lists!$C$72:$R$232,COLUMNS(Lists!$C$69:O$69),0)*VLOOKUP(BO$3,Conversions!$B$12:$E$34,4,0)))</f>
        <v>0</v>
      </c>
      <c r="BA122" s="333">
        <f>IF($F122="",0,IF($F122="Weighted Average",$I122*VLOOKUP($D122&amp;" (Disposal)",Lists!$C$72:$R$232,COLUMNS(Lists!$C$69:P$69),0)*VLOOKUP(BP$3,Conversions!$B$12:$E$34,4,0),$I122*VLOOKUP($F122,Lists!$C$72:$R$232,COLUMNS(Lists!$C$69:P$69),0)*VLOOKUP(BP$3,Conversions!$B$12:$E$34,4,0)))</f>
        <v>0</v>
      </c>
      <c r="BB122" s="333">
        <f>IF($F122="",0,IF($F122="Weighted Average",$I122*VLOOKUP($D122&amp;" (Disposal)",Lists!$C$72:$R$232,COLUMNS(Lists!$C$69:Q$69),0)*VLOOKUP(BQ$3,Conversions!$B$12:$E$34,4,0),$I122*VLOOKUP($F122,Lists!$C$72:$R$232,COLUMNS(Lists!$C$69:Q$69),0)*VLOOKUP(BQ$3,Conversions!$B$12:$E$34,4,0)))</f>
        <v>0</v>
      </c>
      <c r="BC122" s="333">
        <f>IF($F122="",0,IF($F122="Weighted Average",$I122*VLOOKUP($D122&amp;" (Disposal)",Lists!$C$72:$R$232,COLUMNS(Lists!$C$69:R$69),0)*VLOOKUP(BR$3,Conversions!$B$12:$E$34,4,0),$I122*VLOOKUP($F122,Lists!$C$72:$R$232,COLUMNS(Lists!$C$69:R$69),0)*VLOOKUP(BR$3,Conversions!$B$12:$E$34,4,0)))</f>
        <v>0</v>
      </c>
      <c r="BD122" s="333">
        <f t="shared" si="40"/>
        <v>0</v>
      </c>
      <c r="BE122" s="330">
        <f t="shared" si="41"/>
        <v>0</v>
      </c>
      <c r="BF122" s="330">
        <f t="shared" si="42"/>
        <v>0</v>
      </c>
      <c r="BG122" s="330">
        <f t="shared" si="43"/>
        <v>0</v>
      </c>
      <c r="BH122" s="330">
        <f t="shared" si="44"/>
        <v>0</v>
      </c>
      <c r="BI122" s="330">
        <f t="shared" si="45"/>
        <v>0</v>
      </c>
      <c r="BJ122" s="330">
        <f t="shared" si="46"/>
        <v>0</v>
      </c>
      <c r="BK122" s="330">
        <f t="shared" si="47"/>
        <v>0</v>
      </c>
      <c r="BL122" s="330">
        <f t="shared" si="48"/>
        <v>0</v>
      </c>
      <c r="BM122" s="330">
        <f t="shared" si="49"/>
        <v>0</v>
      </c>
      <c r="BN122" s="330">
        <f t="shared" si="50"/>
        <v>0</v>
      </c>
      <c r="BO122" s="330">
        <f t="shared" si="51"/>
        <v>0</v>
      </c>
      <c r="BP122" s="330">
        <f t="shared" si="52"/>
        <v>0</v>
      </c>
      <c r="BQ122" s="330">
        <f t="shared" si="53"/>
        <v>0</v>
      </c>
      <c r="BR122" s="330">
        <f t="shared" si="54"/>
        <v>0</v>
      </c>
      <c r="BS122" s="330">
        <f t="shared" si="55"/>
        <v>0</v>
      </c>
      <c r="BT122" s="329">
        <f t="shared" si="137"/>
        <v>0</v>
      </c>
      <c r="BU122" s="329">
        <f t="shared" si="137"/>
        <v>0</v>
      </c>
      <c r="BV122" s="329">
        <f t="shared" si="137"/>
        <v>0</v>
      </c>
      <c r="BW122" s="329">
        <f t="shared" si="137"/>
        <v>0</v>
      </c>
      <c r="BX122" s="329">
        <f t="shared" si="137"/>
        <v>0</v>
      </c>
      <c r="BY122" s="329">
        <f t="shared" si="137"/>
        <v>0</v>
      </c>
      <c r="BZ122" s="329">
        <f t="shared" si="137"/>
        <v>0</v>
      </c>
      <c r="CA122" s="329">
        <f t="shared" si="137"/>
        <v>0</v>
      </c>
      <c r="CB122" s="329">
        <f t="shared" si="137"/>
        <v>0</v>
      </c>
      <c r="CC122" s="329">
        <f t="shared" si="137"/>
        <v>0</v>
      </c>
      <c r="CD122" s="329">
        <f t="shared" si="137"/>
        <v>0</v>
      </c>
      <c r="CE122" s="329">
        <f t="shared" si="137"/>
        <v>0</v>
      </c>
      <c r="CF122" s="329">
        <f t="shared" si="137"/>
        <v>0</v>
      </c>
      <c r="CG122" s="329">
        <f t="shared" si="137"/>
        <v>0</v>
      </c>
      <c r="CH122" s="329">
        <f t="shared" si="137"/>
        <v>0</v>
      </c>
      <c r="CI122" s="329">
        <f t="shared" si="137"/>
        <v>0</v>
      </c>
      <c r="CJ122" s="331">
        <f t="shared" si="1"/>
        <v>0</v>
      </c>
      <c r="CK122" s="330">
        <f t="shared" si="5"/>
        <v>0</v>
      </c>
      <c r="CL122" s="330">
        <f t="shared" si="6"/>
        <v>0</v>
      </c>
      <c r="CM122" s="330">
        <f t="shared" si="7"/>
        <v>0</v>
      </c>
      <c r="CN122" s="330">
        <f t="shared" si="8"/>
        <v>0</v>
      </c>
      <c r="CO122" s="330">
        <f t="shared" si="9"/>
        <v>0</v>
      </c>
      <c r="CP122" s="330">
        <f t="shared" si="10"/>
        <v>0</v>
      </c>
      <c r="CQ122" s="330">
        <f t="shared" si="94"/>
        <v>0</v>
      </c>
      <c r="CR122" s="330">
        <f t="shared" si="12"/>
        <v>0</v>
      </c>
      <c r="CS122" s="330">
        <f t="shared" si="13"/>
        <v>0</v>
      </c>
      <c r="CT122" s="330">
        <f t="shared" si="14"/>
        <v>0</v>
      </c>
      <c r="CU122" s="330">
        <f t="shared" si="138"/>
        <v>0</v>
      </c>
      <c r="CV122" s="330">
        <f t="shared" si="138"/>
        <v>0</v>
      </c>
      <c r="CW122" s="330">
        <f t="shared" si="138"/>
        <v>0</v>
      </c>
      <c r="CX122" s="330">
        <f t="shared" si="138"/>
        <v>0</v>
      </c>
      <c r="CY122" s="330">
        <f t="shared" si="138"/>
        <v>0</v>
      </c>
      <c r="CZ122" s="330">
        <f t="shared" si="138"/>
        <v>0</v>
      </c>
      <c r="DA122" s="330">
        <f t="shared" si="138"/>
        <v>0</v>
      </c>
      <c r="DB122" s="330">
        <f t="shared" si="138"/>
        <v>0</v>
      </c>
      <c r="DC122" s="330">
        <f t="shared" si="138"/>
        <v>0</v>
      </c>
      <c r="DD122" s="330">
        <f t="shared" si="138"/>
        <v>0</v>
      </c>
      <c r="DE122" s="330">
        <f t="shared" si="139"/>
        <v>0</v>
      </c>
      <c r="DF122" s="330">
        <f t="shared" si="139"/>
        <v>0</v>
      </c>
      <c r="DG122" s="330">
        <f t="shared" si="139"/>
        <v>0</v>
      </c>
      <c r="DH122" s="330">
        <f t="shared" si="139"/>
        <v>0</v>
      </c>
      <c r="DI122" s="330">
        <f t="shared" si="139"/>
        <v>0</v>
      </c>
      <c r="DJ122" s="330">
        <f t="shared" si="139"/>
        <v>0</v>
      </c>
      <c r="DK122" s="330">
        <f t="shared" si="139"/>
        <v>0</v>
      </c>
      <c r="DL122" s="330">
        <f t="shared" si="139"/>
        <v>0</v>
      </c>
      <c r="DM122" s="330">
        <f t="shared" si="139"/>
        <v>0</v>
      </c>
      <c r="DN122" s="330">
        <f t="shared" si="139"/>
        <v>0</v>
      </c>
      <c r="DO122" s="330">
        <f t="shared" si="139"/>
        <v>0</v>
      </c>
      <c r="DP122" s="330">
        <f t="shared" si="140"/>
        <v>0</v>
      </c>
      <c r="DQ122" s="217"/>
      <c r="DR122" s="217"/>
      <c r="DS122" s="217"/>
      <c r="DT122" s="217"/>
    </row>
    <row r="123" spans="1:124" x14ac:dyDescent="0.3">
      <c r="A123" s="324"/>
      <c r="B123" s="221" t="s">
        <v>305</v>
      </c>
      <c r="C123" s="221" t="str">
        <f>IF(Screening!C53=0,"",Screening!C53)</f>
        <v/>
      </c>
      <c r="D123" s="221" t="str">
        <f>IF(Screening!D53=0,"",Screening!D53)</f>
        <v/>
      </c>
      <c r="E123" s="221" t="str">
        <f>IF(Screening!E53=0,"",Screening!E53)</f>
        <v/>
      </c>
      <c r="F123" s="221" t="str">
        <f>IF(Screening!F53=0,"",Screening!F53)</f>
        <v/>
      </c>
      <c r="G123" s="272">
        <f>Screening!G53*Screening!O53*Conversions!$C$4</f>
        <v>0</v>
      </c>
      <c r="H123" s="272">
        <f>Screening!H53*Screening!P53*Screening!I53*Conversions!$C$4</f>
        <v>0</v>
      </c>
      <c r="I123" s="272">
        <f>Screening!J53*Screening!Q53*(1-Screening!R53)*Conversions!$C$4</f>
        <v>0</v>
      </c>
      <c r="J123" s="325">
        <f>IF(Screening!S53=0,0,Screening!S53)</f>
        <v>0</v>
      </c>
      <c r="K123" s="465"/>
      <c r="L123" s="333">
        <f>IF($F123="",0,IF($F123="Weighted Average",$G123*VLOOKUP($D123&amp;" (Install)",Lists!$C$72:$R$232,COLUMNS(Lists!$C$69:E$69),0)*VLOOKUP(BE$3,Conversions!$B$12:$E$34,4,0),$G123*VLOOKUP($F123,Lists!$C$72:$R$232,COLUMNS(Lists!$C$69:E$69),0)*VLOOKUP(BE$3,Conversions!$B$12:$E$34,4,0)))</f>
        <v>0</v>
      </c>
      <c r="M123" s="333">
        <f>IF($F123="",0,IF($F123="Weighted Average",$G123*VLOOKUP($D123&amp;" (Install)",Lists!$C$72:$R$232,COLUMNS(Lists!$C$69:F$69),0)*VLOOKUP(BF$3,Conversions!$B$12:$E$34,4,0),$G123*VLOOKUP($F123,Lists!$C$72:$R$232,COLUMNS(Lists!$C$69:F$69),0)*VLOOKUP(BF$3,Conversions!$B$12:$E$34,4,0)))</f>
        <v>0</v>
      </c>
      <c r="N123" s="333">
        <f>IF($F123="",0,IF($F123="Weighted Average",$G123*VLOOKUP($D123&amp;" (Install)",Lists!$C$72:$R$232,COLUMNS(Lists!$C$69:G$69),0)*VLOOKUP(BG$3,Conversions!$B$12:$E$34,4,0),$G123*VLOOKUP($F123,Lists!$C$72:$R$232,COLUMNS(Lists!$C$69:G$69),0)*VLOOKUP(BG$3,Conversions!$B$12:$E$34,4,0)))</f>
        <v>0</v>
      </c>
      <c r="O123" s="333">
        <f>IF($F123="",0,IF($F123="Weighted Average",$G123*VLOOKUP($D123&amp;" (Install)",Lists!$C$72:$R$232,COLUMNS(Lists!$C$69:H$69),0)*VLOOKUP(BH$3,Conversions!$B$12:$E$34,4,0),$G123*VLOOKUP($F123,Lists!$C$72:$R$232,COLUMNS(Lists!$C$69:H$69),0)*VLOOKUP(BH$3,Conversions!$B$12:$E$34,4,0)))</f>
        <v>0</v>
      </c>
      <c r="P123" s="333">
        <f>IF($F123="",0,IF($F123="Weighted Average",$G123*VLOOKUP($D123&amp;" (Install)",Lists!$C$72:$R$232,COLUMNS(Lists!$C$69:I$69),0)*VLOOKUP(BI$3,Conversions!$B$12:$E$34,4,0),$G123*VLOOKUP($F123,Lists!$C$72:$R$232,COLUMNS(Lists!$C$69:I$69),0)*VLOOKUP(BI$3,Conversions!$B$12:$E$34,4,0)))</f>
        <v>0</v>
      </c>
      <c r="Q123" s="333">
        <f>IF($F123="",0,IF($F123="Weighted Average",$G123*VLOOKUP($D123&amp;" (Install)",Lists!$C$72:$R$232,COLUMNS(Lists!$C$69:J$69),0)*VLOOKUP(BJ$3,Conversions!$B$12:$E$34,4,0),$G123*VLOOKUP($F123,Lists!$C$72:$R$232,COLUMNS(Lists!$C$69:J$69),0)*VLOOKUP(BJ$3,Conversions!$B$12:$E$34,4,0)))</f>
        <v>0</v>
      </c>
      <c r="R123" s="333">
        <f>IF($F123="",0,IF($F123="Weighted Average",$G123*VLOOKUP($D123&amp;" (Install)",Lists!$C$72:$R$232,COLUMNS(Lists!$C$69:K$69),0)*VLOOKUP(BK$3,Conversions!$B$12:$E$34,4,0),$G123*VLOOKUP($F123,Lists!$C$72:$R$232,COLUMNS(Lists!$C$69:K$69),0)*VLOOKUP(BK$3,Conversions!$B$12:$E$34,4,0)))</f>
        <v>0</v>
      </c>
      <c r="S123" s="333">
        <f>IF($F123="",0,IF($F123="Weighted Average",$G123*VLOOKUP($D123&amp;" (Install)",Lists!$C$72:$R$232,COLUMNS(Lists!$C$69:L$69),0)*VLOOKUP(BL$3,Conversions!$B$12:$E$34,4,0),$G123*VLOOKUP($F123,Lists!$C$72:$R$232,COLUMNS(Lists!$C$69:L$69),0)*VLOOKUP(BL$3,Conversions!$B$12:$E$34,4,0)))</f>
        <v>0</v>
      </c>
      <c r="T123" s="333">
        <f>IF($F123="",0,IF($F123="Weighted Average",$G123*VLOOKUP($D123&amp;" (Install)",Lists!$C$72:$R$232,COLUMNS(Lists!$C$69:M$69),0)*VLOOKUP(BM$3,Conversions!$B$12:$E$34,4,0),$G123*VLOOKUP($F123,Lists!$C$72:$R$232,COLUMNS(Lists!$C$69:M$69),0)*VLOOKUP(BM$3,Conversions!$B$12:$E$34,4,0)))</f>
        <v>0</v>
      </c>
      <c r="U123" s="333">
        <f>IF($F123="",0,IF($F123="Weighted Average",$G123*VLOOKUP($D123&amp;" (Install)",Lists!$C$72:$R$232,COLUMNS(Lists!$C$69:N$69),0)*VLOOKUP(BN$3,Conversions!$B$12:$E$34,4,0),$G123*VLOOKUP($F123,Lists!$C$72:$R$232,COLUMNS(Lists!$C$69:N$69),0)*VLOOKUP(BN$3,Conversions!$B$12:$E$34,4,0)))</f>
        <v>0</v>
      </c>
      <c r="V123" s="333">
        <f>IF($F123="",0,IF($F123="Weighted Average",$G123*VLOOKUP($D123&amp;" (Install)",Lists!$C$72:$R$232,COLUMNS(Lists!$C$69:O$69),0)*VLOOKUP(BO$3,Conversions!$B$12:$E$34,4,0),$G123*VLOOKUP($F123,Lists!$C$72:$R$232,COLUMNS(Lists!$C$69:O$69),0)*VLOOKUP(BO$3,Conversions!$B$12:$E$34,4,0)))</f>
        <v>0</v>
      </c>
      <c r="W123" s="333">
        <f>IF($F123="",0,IF($F123="Weighted Average",$G123*VLOOKUP($D123&amp;" (Install)",Lists!$C$72:$R$232,COLUMNS(Lists!$C$69:P$69),0)*VLOOKUP(BP$3,Conversions!$B$12:$E$34,4,0),$G123*VLOOKUP($F123,Lists!$C$72:$R$232,COLUMNS(Lists!$C$69:P$69),0)*VLOOKUP(BP$3,Conversions!$B$12:$E$34,4,0)))</f>
        <v>0</v>
      </c>
      <c r="X123" s="333">
        <f>IF($F123="",0,IF($F123="Weighted Average",$G123*VLOOKUP($D123&amp;" (Install)",Lists!$C$72:$R$232,COLUMNS(Lists!$C$69:Q$69),0)*VLOOKUP(BQ$3,Conversions!$B$12:$E$34,4,0),$G123*VLOOKUP($F123,Lists!$C$72:$R$232,COLUMNS(Lists!$C$69:Q$69),0)*VLOOKUP(BQ$3,Conversions!$B$12:$E$34,4,0)))</f>
        <v>0</v>
      </c>
      <c r="Y123" s="333">
        <f>IF($F123="",0,IF($F123="Weighted Average",$G123*VLOOKUP($D123&amp;" (Install)",Lists!$C$72:$R$232,COLUMNS(Lists!$C$69:R$69),0)*VLOOKUP(BR$3,Conversions!$B$12:$E$34,4,0),$G123*VLOOKUP($F123,Lists!$C$72:$R$232,COLUMNS(Lists!$C$69:R$69),0)*VLOOKUP(BR$3,Conversions!$B$12:$E$34,4,0)))</f>
        <v>0</v>
      </c>
      <c r="Z123" s="325">
        <f t="shared" si="38"/>
        <v>0</v>
      </c>
      <c r="AA123" s="334">
        <f>IF($F123="",0,IF($F123="Weighted Average",$H123*VLOOKUP($D123&amp;" (Operation)",Lists!$C$72:$R$232,COLUMNS(Lists!$C$69:E$69),0)*VLOOKUP(BE$3,Conversions!$B$12:$E$34,4,0),$H123*VLOOKUP($F123,Lists!$C$72:$R$232,COLUMNS(Lists!$C$69:E$69),0)*VLOOKUP(BE$3,Conversions!$B$12:$E$34,4,0)))</f>
        <v>0</v>
      </c>
      <c r="AB123" s="334">
        <f>IF($F123="",0,IF($F123="Weighted Average",$H123*VLOOKUP($D123&amp;" (Operation)",Lists!$C$72:$R$232,COLUMNS(Lists!$C$69:F$69),0)*VLOOKUP(BF$3,Conversions!$B$12:$E$34,4,0),$H123*VLOOKUP($F123,Lists!$C$72:$R$232,COLUMNS(Lists!$C$69:F$69),0)*VLOOKUP(BF$3,Conversions!$B$12:$E$34,4,0)))</f>
        <v>0</v>
      </c>
      <c r="AC123" s="334">
        <f>IF($F123="",0,IF($F123="Weighted Average",$H123*VLOOKUP($D123&amp;" (Operation)",Lists!$C$72:$R$232,COLUMNS(Lists!$C$69:G$69),0)*VLOOKUP(BG$3,Conversions!$B$12:$E$34,4,0),$H123*VLOOKUP($F123,Lists!$C$72:$R$232,COLUMNS(Lists!$C$69:G$69),0)*VLOOKUP(BG$3,Conversions!$B$12:$E$34,4,0)))</f>
        <v>0</v>
      </c>
      <c r="AD123" s="334">
        <f>IF($F123="",0,IF($F123="Weighted Average",$H123*VLOOKUP($D123&amp;" (Operation)",Lists!$C$72:$R$232,COLUMNS(Lists!$C$69:H$69),0)*VLOOKUP(BH$3,Conversions!$B$12:$E$34,4,0),$H123*VLOOKUP($F123,Lists!$C$72:$R$232,COLUMNS(Lists!$C$69:H$69),0)*VLOOKUP(BH$3,Conversions!$B$12:$E$34,4,0)))</f>
        <v>0</v>
      </c>
      <c r="AE123" s="334">
        <f>IF($F123="",0,IF($F123="Weighted Average",$H123*VLOOKUP($D123&amp;" (Operation)",Lists!$C$72:$R$232,COLUMNS(Lists!$C$69:I$69),0)*VLOOKUP(BI$3,Conversions!$B$12:$E$34,4,0),$H123*VLOOKUP($F123,Lists!$C$72:$R$232,COLUMNS(Lists!$C$69:I$69),0)*VLOOKUP(BI$3,Conversions!$B$12:$E$34,4,0)))</f>
        <v>0</v>
      </c>
      <c r="AF123" s="334">
        <f>IF($F123="",0,IF($F123="Weighted Average",$H123*VLOOKUP($D123&amp;" (Operation)",Lists!$C$72:$R$232,COLUMNS(Lists!$C$69:J$69),0)*VLOOKUP(BJ$3,Conversions!$B$12:$E$34,4,0),$H123*VLOOKUP($F123,Lists!$C$72:$R$232,COLUMNS(Lists!$C$69:J$69),0)*VLOOKUP(BJ$3,Conversions!$B$12:$E$34,4,0)))</f>
        <v>0</v>
      </c>
      <c r="AG123" s="334">
        <f>IF($F123="",0,IF($F123="Weighted Average",$H123*VLOOKUP($D123&amp;" (Operation)",Lists!$C$72:$R$232,COLUMNS(Lists!$C$69:K$69),0)*VLOOKUP(BK$3,Conversions!$B$12:$E$34,4,0),$H123*VLOOKUP($F123,Lists!$C$72:$R$232,COLUMNS(Lists!$C$69:K$69),0)*VLOOKUP(BK$3,Conversions!$B$12:$E$34,4,0)))</f>
        <v>0</v>
      </c>
      <c r="AH123" s="334">
        <f>IF($F123="",0,IF($F123="Weighted Average",$H123*VLOOKUP($D123&amp;" (Operation)",Lists!$C$72:$R$232,COLUMNS(Lists!$C$69:L$69),0)*VLOOKUP(BL$3,Conversions!$B$12:$E$34,4,0),$H123*VLOOKUP($F123,Lists!$C$72:$R$232,COLUMNS(Lists!$C$69:L$69),0)*VLOOKUP(BL$3,Conversions!$B$12:$E$34,4,0)))</f>
        <v>0</v>
      </c>
      <c r="AI123" s="334">
        <f>IF($F123="",0,IF($F123="Weighted Average",$H123*VLOOKUP($D123&amp;" (Operation)",Lists!$C$72:$R$232,COLUMNS(Lists!$C$69:M$69),0)*VLOOKUP(BM$3,Conversions!$B$12:$E$34,4,0),$H123*VLOOKUP($F123,Lists!$C$72:$R$232,COLUMNS(Lists!$C$69:M$69),0)*VLOOKUP(BM$3,Conversions!$B$12:$E$34,4,0)))</f>
        <v>0</v>
      </c>
      <c r="AJ123" s="334">
        <f>IF($F123="",0,IF($F123="Weighted Average",$H123*VLOOKUP($D123&amp;" (Operation)",Lists!$C$72:$R$232,COLUMNS(Lists!$C$69:N$69),0)*VLOOKUP(BN$3,Conversions!$B$12:$E$34,4,0),$H123*VLOOKUP($F123,Lists!$C$72:$R$232,COLUMNS(Lists!$C$69:N$69),0)*VLOOKUP(BN$3,Conversions!$B$12:$E$34,4,0)))</f>
        <v>0</v>
      </c>
      <c r="AK123" s="334">
        <f>IF($F123="",0,IF($F123="Weighted Average",$H123*VLOOKUP($D123&amp;" (Operation)",Lists!$C$72:$R$232,COLUMNS(Lists!$C$69:O$69),0)*VLOOKUP(BO$3,Conversions!$B$12:$E$34,4,0),$H123*VLOOKUP($F123,Lists!$C$72:$R$232,COLUMNS(Lists!$C$69:O$69),0)*VLOOKUP(BO$3,Conversions!$B$12:$E$34,4,0)))</f>
        <v>0</v>
      </c>
      <c r="AL123" s="334">
        <f>IF($F123="",0,IF($F123="Weighted Average",$H123*VLOOKUP($D123&amp;" (Operation)",Lists!$C$72:$R$232,COLUMNS(Lists!$C$69:P$69),0)*VLOOKUP(BP$3,Conversions!$B$12:$E$34,4,0),$H123*VLOOKUP($F123,Lists!$C$72:$R$232,COLUMNS(Lists!$C$69:P$69),0)*VLOOKUP(BP$3,Conversions!$B$12:$E$34,4,0)))</f>
        <v>0</v>
      </c>
      <c r="AM123" s="334">
        <f>IF($F123="",0,IF($F123="Weighted Average",$H123*VLOOKUP($D123&amp;" (Operation)",Lists!$C$72:$R$232,COLUMNS(Lists!$C$69:Q$69),0)*VLOOKUP(BQ$3,Conversions!$B$12:$E$34,4,0),$H123*VLOOKUP($F123,Lists!$C$72:$R$232,COLUMNS(Lists!$C$69:Q$69),0)*VLOOKUP(BQ$3,Conversions!$B$12:$E$34,4,0)))</f>
        <v>0</v>
      </c>
      <c r="AN123" s="334">
        <f>IF($F123="",0,IF($F123="Weighted Average",$H123*VLOOKUP($D123&amp;" (Operation)",Lists!$C$72:$R$232,COLUMNS(Lists!$C$69:R$69),0)*VLOOKUP(BR$3,Conversions!$B$12:$E$34,4,0),$H123*VLOOKUP($F123,Lists!$C$72:$R$232,COLUMNS(Lists!$C$69:R$69),0)*VLOOKUP(BR$3,Conversions!$B$12:$E$34,4,0)))</f>
        <v>0</v>
      </c>
      <c r="AO123" s="330">
        <f t="shared" si="39"/>
        <v>0</v>
      </c>
      <c r="AP123" s="333">
        <f>IF($F123="",0,IF($F123="Weighted Average",$I123*VLOOKUP($D123&amp;" (Disposal)",Lists!$C$72:$R$232,COLUMNS(Lists!$C$69:E$69),0)*VLOOKUP(BE$3,Conversions!$B$12:$E$34,4,0),$I123*VLOOKUP($F123,Lists!$C$72:$R$232,COLUMNS(Lists!$C$69:E$69),0)*VLOOKUP(BE$3,Conversions!$B$12:$E$34,4,0)))</f>
        <v>0</v>
      </c>
      <c r="AQ123" s="333">
        <f>IF($F123="",0,IF($F123="Weighted Average",$I123*VLOOKUP($D123&amp;" (Disposal)",Lists!$C$72:$R$232,COLUMNS(Lists!$C$69:F$69),0)*VLOOKUP(BF$3,Conversions!$B$12:$E$34,4,0),$I123*VLOOKUP($F123,Lists!$C$72:$R$232,COLUMNS(Lists!$C$69:F$69),0)*VLOOKUP(BF$3,Conversions!$B$12:$E$34,4,0)))</f>
        <v>0</v>
      </c>
      <c r="AR123" s="333">
        <f>IF($F123="",0,IF($F123="Weighted Average",$I123*VLOOKUP($D123&amp;" (Disposal)",Lists!$C$72:$R$232,COLUMNS(Lists!$C$69:G$69),0)*VLOOKUP(BG$3,Conversions!$B$12:$E$34,4,0),$I123*VLOOKUP($F123,Lists!$C$72:$R$232,COLUMNS(Lists!$C$69:G$69),0)*VLOOKUP(BG$3,Conversions!$B$12:$E$34,4,0)))</f>
        <v>0</v>
      </c>
      <c r="AS123" s="333">
        <f>IF($F123="",0,IF($F123="Weighted Average",$I123*VLOOKUP($D123&amp;" (Disposal)",Lists!$C$72:$R$232,COLUMNS(Lists!$C$69:H$69),0)*VLOOKUP(BH$3,Conversions!$B$12:$E$34,4,0),$I123*VLOOKUP($F123,Lists!$C$72:$R$232,COLUMNS(Lists!$C$69:H$69),0)*VLOOKUP(BH$3,Conversions!$B$12:$E$34,4,0)))</f>
        <v>0</v>
      </c>
      <c r="AT123" s="333">
        <f>IF($F123="",0,IF($F123="Weighted Average",$I123*VLOOKUP($D123&amp;" (Disposal)",Lists!$C$72:$R$232,COLUMNS(Lists!$C$69:I$69),0)*VLOOKUP(BI$3,Conversions!$B$12:$E$34,4,0),$I123*VLOOKUP($F123,Lists!$C$72:$R$232,COLUMNS(Lists!$C$69:I$69),0)*VLOOKUP(BI$3,Conversions!$B$12:$E$34,4,0)))</f>
        <v>0</v>
      </c>
      <c r="AU123" s="333">
        <f>IF($F123="",0,IF($F123="Weighted Average",$I123*VLOOKUP($D123&amp;" (Disposal)",Lists!$C$72:$R$232,COLUMNS(Lists!$C$69:J$69),0)*VLOOKUP(BJ$3,Conversions!$B$12:$E$34,4,0),$I123*VLOOKUP($F123,Lists!$C$72:$R$232,COLUMNS(Lists!$C$69:J$69),0)*VLOOKUP(BJ$3,Conversions!$B$12:$E$34,4,0)))</f>
        <v>0</v>
      </c>
      <c r="AV123" s="333">
        <f>IF($F123="",0,IF($F123="Weighted Average",$I123*VLOOKUP($D123&amp;" (Disposal)",Lists!$C$72:$R$232,COLUMNS(Lists!$C$69:K$69),0)*VLOOKUP(BK$3,Conversions!$B$12:$E$34,4,0),$I123*VLOOKUP($F123,Lists!$C$72:$R$232,COLUMNS(Lists!$C$69:K$69),0)*VLOOKUP(BK$3,Conversions!$B$12:$E$34,4,0)))</f>
        <v>0</v>
      </c>
      <c r="AW123" s="333">
        <f>IF($F123="",0,IF($F123="Weighted Average",$I123*VLOOKUP($D123&amp;" (Disposal)",Lists!$C$72:$R$232,COLUMNS(Lists!$C$69:L$69),0)*VLOOKUP(BL$3,Conversions!$B$12:$E$34,4,0),$I123*VLOOKUP($F123,Lists!$C$72:$R$232,COLUMNS(Lists!$C$69:L$69),0)*VLOOKUP(BL$3,Conversions!$B$12:$E$34,4,0)))</f>
        <v>0</v>
      </c>
      <c r="AX123" s="333">
        <f>IF($F123="",0,IF($F123="Weighted Average",$I123*VLOOKUP($D123&amp;" (Disposal)",Lists!$C$72:$R$232,COLUMNS(Lists!$C$69:M$69),0)*VLOOKUP(BM$3,Conversions!$B$12:$E$34,4,0),$I123*VLOOKUP($F123,Lists!$C$72:$R$232,COLUMNS(Lists!$C$69:M$69),0)*VLOOKUP(BM$3,Conversions!$B$12:$E$34,4,0)))</f>
        <v>0</v>
      </c>
      <c r="AY123" s="333">
        <f>IF($F123="",0,IF($F123="Weighted Average",$I123*VLOOKUP($D123&amp;" (Disposal)",Lists!$C$72:$R$232,COLUMNS(Lists!$C$69:N$69),0)*VLOOKUP(BN$3,Conversions!$B$12:$E$34,4,0),$I123*VLOOKUP($F123,Lists!$C$72:$R$232,COLUMNS(Lists!$C$69:N$69),0)*VLOOKUP(BN$3,Conversions!$B$12:$E$34,4,0)))</f>
        <v>0</v>
      </c>
      <c r="AZ123" s="333">
        <f>IF($F123="",0,IF($F123="Weighted Average",$I123*VLOOKUP($D123&amp;" (Disposal)",Lists!$C$72:$R$232,COLUMNS(Lists!$C$69:O$69),0)*VLOOKUP(BO$3,Conversions!$B$12:$E$34,4,0),$I123*VLOOKUP($F123,Lists!$C$72:$R$232,COLUMNS(Lists!$C$69:O$69),0)*VLOOKUP(BO$3,Conversions!$B$12:$E$34,4,0)))</f>
        <v>0</v>
      </c>
      <c r="BA123" s="333">
        <f>IF($F123="",0,IF($F123="Weighted Average",$I123*VLOOKUP($D123&amp;" (Disposal)",Lists!$C$72:$R$232,COLUMNS(Lists!$C$69:P$69),0)*VLOOKUP(BP$3,Conversions!$B$12:$E$34,4,0),$I123*VLOOKUP($F123,Lists!$C$72:$R$232,COLUMNS(Lists!$C$69:P$69),0)*VLOOKUP(BP$3,Conversions!$B$12:$E$34,4,0)))</f>
        <v>0</v>
      </c>
      <c r="BB123" s="333">
        <f>IF($F123="",0,IF($F123="Weighted Average",$I123*VLOOKUP($D123&amp;" (Disposal)",Lists!$C$72:$R$232,COLUMNS(Lists!$C$69:Q$69),0)*VLOOKUP(BQ$3,Conversions!$B$12:$E$34,4,0),$I123*VLOOKUP($F123,Lists!$C$72:$R$232,COLUMNS(Lists!$C$69:Q$69),0)*VLOOKUP(BQ$3,Conversions!$B$12:$E$34,4,0)))</f>
        <v>0</v>
      </c>
      <c r="BC123" s="333">
        <f>IF($F123="",0,IF($F123="Weighted Average",$I123*VLOOKUP($D123&amp;" (Disposal)",Lists!$C$72:$R$232,COLUMNS(Lists!$C$69:R$69),0)*VLOOKUP(BR$3,Conversions!$B$12:$E$34,4,0),$I123*VLOOKUP($F123,Lists!$C$72:$R$232,COLUMNS(Lists!$C$69:R$69),0)*VLOOKUP(BR$3,Conversions!$B$12:$E$34,4,0)))</f>
        <v>0</v>
      </c>
      <c r="BD123" s="333">
        <f t="shared" si="40"/>
        <v>0</v>
      </c>
      <c r="BE123" s="330">
        <f t="shared" si="41"/>
        <v>0</v>
      </c>
      <c r="BF123" s="330">
        <f t="shared" si="42"/>
        <v>0</v>
      </c>
      <c r="BG123" s="330">
        <f t="shared" si="43"/>
        <v>0</v>
      </c>
      <c r="BH123" s="330">
        <f t="shared" si="44"/>
        <v>0</v>
      </c>
      <c r="BI123" s="330">
        <f t="shared" si="45"/>
        <v>0</v>
      </c>
      <c r="BJ123" s="330">
        <f t="shared" si="46"/>
        <v>0</v>
      </c>
      <c r="BK123" s="330">
        <f t="shared" si="47"/>
        <v>0</v>
      </c>
      <c r="BL123" s="330">
        <f t="shared" si="48"/>
        <v>0</v>
      </c>
      <c r="BM123" s="330">
        <f t="shared" si="49"/>
        <v>0</v>
      </c>
      <c r="BN123" s="330">
        <f t="shared" si="50"/>
        <v>0</v>
      </c>
      <c r="BO123" s="330">
        <f t="shared" si="51"/>
        <v>0</v>
      </c>
      <c r="BP123" s="330">
        <f t="shared" si="52"/>
        <v>0</v>
      </c>
      <c r="BQ123" s="330">
        <f t="shared" si="53"/>
        <v>0</v>
      </c>
      <c r="BR123" s="330">
        <f t="shared" si="54"/>
        <v>0</v>
      </c>
      <c r="BS123" s="330">
        <f t="shared" si="55"/>
        <v>0</v>
      </c>
      <c r="BT123" s="329">
        <f t="shared" si="137"/>
        <v>0</v>
      </c>
      <c r="BU123" s="329">
        <f t="shared" si="137"/>
        <v>0</v>
      </c>
      <c r="BV123" s="329">
        <f t="shared" si="137"/>
        <v>0</v>
      </c>
      <c r="BW123" s="329">
        <f t="shared" si="137"/>
        <v>0</v>
      </c>
      <c r="BX123" s="329">
        <f t="shared" si="137"/>
        <v>0</v>
      </c>
      <c r="BY123" s="329">
        <f t="shared" si="137"/>
        <v>0</v>
      </c>
      <c r="BZ123" s="329">
        <f t="shared" si="137"/>
        <v>0</v>
      </c>
      <c r="CA123" s="329">
        <f t="shared" si="137"/>
        <v>0</v>
      </c>
      <c r="CB123" s="329">
        <f t="shared" si="137"/>
        <v>0</v>
      </c>
      <c r="CC123" s="329">
        <f t="shared" si="137"/>
        <v>0</v>
      </c>
      <c r="CD123" s="329">
        <f t="shared" si="137"/>
        <v>0</v>
      </c>
      <c r="CE123" s="329">
        <f t="shared" si="137"/>
        <v>0</v>
      </c>
      <c r="CF123" s="329">
        <f t="shared" si="137"/>
        <v>0</v>
      </c>
      <c r="CG123" s="329">
        <f t="shared" si="137"/>
        <v>0</v>
      </c>
      <c r="CH123" s="329">
        <f t="shared" si="137"/>
        <v>0</v>
      </c>
      <c r="CI123" s="329">
        <f t="shared" si="137"/>
        <v>0</v>
      </c>
      <c r="CJ123" s="331">
        <f t="shared" si="1"/>
        <v>0</v>
      </c>
      <c r="CK123" s="330">
        <f t="shared" si="5"/>
        <v>0</v>
      </c>
      <c r="CL123" s="330">
        <f t="shared" si="6"/>
        <v>0</v>
      </c>
      <c r="CM123" s="330">
        <f t="shared" si="7"/>
        <v>0</v>
      </c>
      <c r="CN123" s="330">
        <f t="shared" si="8"/>
        <v>0</v>
      </c>
      <c r="CO123" s="330">
        <f t="shared" si="9"/>
        <v>0</v>
      </c>
      <c r="CP123" s="330">
        <f t="shared" si="10"/>
        <v>0</v>
      </c>
      <c r="CQ123" s="330">
        <f t="shared" si="94"/>
        <v>0</v>
      </c>
      <c r="CR123" s="330">
        <f t="shared" si="12"/>
        <v>0</v>
      </c>
      <c r="CS123" s="330">
        <f t="shared" si="13"/>
        <v>0</v>
      </c>
      <c r="CT123" s="330">
        <f t="shared" si="14"/>
        <v>0</v>
      </c>
      <c r="CU123" s="330">
        <f t="shared" si="138"/>
        <v>0</v>
      </c>
      <c r="CV123" s="330">
        <f t="shared" si="138"/>
        <v>0</v>
      </c>
      <c r="CW123" s="330">
        <f t="shared" si="138"/>
        <v>0</v>
      </c>
      <c r="CX123" s="330">
        <f t="shared" si="138"/>
        <v>0</v>
      </c>
      <c r="CY123" s="330">
        <f t="shared" si="138"/>
        <v>0</v>
      </c>
      <c r="CZ123" s="330">
        <f t="shared" si="138"/>
        <v>0</v>
      </c>
      <c r="DA123" s="330">
        <f t="shared" si="138"/>
        <v>0</v>
      </c>
      <c r="DB123" s="330">
        <f t="shared" si="138"/>
        <v>0</v>
      </c>
      <c r="DC123" s="330">
        <f t="shared" si="138"/>
        <v>0</v>
      </c>
      <c r="DD123" s="330">
        <f t="shared" si="138"/>
        <v>0</v>
      </c>
      <c r="DE123" s="330">
        <f t="shared" si="139"/>
        <v>0</v>
      </c>
      <c r="DF123" s="330">
        <f t="shared" si="139"/>
        <v>0</v>
      </c>
      <c r="DG123" s="330">
        <f t="shared" si="139"/>
        <v>0</v>
      </c>
      <c r="DH123" s="330">
        <f t="shared" si="139"/>
        <v>0</v>
      </c>
      <c r="DI123" s="330">
        <f t="shared" si="139"/>
        <v>0</v>
      </c>
      <c r="DJ123" s="330">
        <f t="shared" si="139"/>
        <v>0</v>
      </c>
      <c r="DK123" s="330">
        <f t="shared" si="139"/>
        <v>0</v>
      </c>
      <c r="DL123" s="330">
        <f t="shared" si="139"/>
        <v>0</v>
      </c>
      <c r="DM123" s="330">
        <f t="shared" si="139"/>
        <v>0</v>
      </c>
      <c r="DN123" s="330">
        <f t="shared" si="139"/>
        <v>0</v>
      </c>
      <c r="DO123" s="330">
        <f t="shared" si="139"/>
        <v>0</v>
      </c>
      <c r="DP123" s="330">
        <f t="shared" si="140"/>
        <v>0</v>
      </c>
      <c r="DQ123" s="217"/>
      <c r="DR123" s="217"/>
      <c r="DS123" s="217"/>
      <c r="DT123" s="217"/>
    </row>
    <row r="124" spans="1:124" x14ac:dyDescent="0.3">
      <c r="A124" s="332" t="str">
        <f>IF(AND(F124&lt;&gt;"",OR('Simplified Screening 1'!G15=0,'Simplified Screening 1'!G15="I Don't Know")),"Default","")</f>
        <v/>
      </c>
      <c r="B124" s="221" t="s">
        <v>306</v>
      </c>
      <c r="C124" s="221" t="str">
        <f>IF('Simplified Screening 1'!C15=0,"",'Simplified Screening 1'!C15)</f>
        <v/>
      </c>
      <c r="D124" s="221" t="str">
        <f>IF('Simplified Screening 1'!D15=0,"",'Simplified Screening 1'!D15)</f>
        <v/>
      </c>
      <c r="E124" s="221" t="str">
        <f>IF('Simplified Screening 1'!E15=0,"",'Simplified Screening 1'!E15)</f>
        <v/>
      </c>
      <c r="F124" s="221" t="str">
        <f>'Simplified Screening 1'!R15</f>
        <v/>
      </c>
      <c r="G124" s="272">
        <f>'Simplified Screening 1'!H15*'Simplified Screening 1'!L15*Conversions!$C$4</f>
        <v>0</v>
      </c>
      <c r="H124" s="272">
        <f>'Simplified Screening 1'!I15*'Simplified Screening 1'!M15*'Simplified Screening 1'!J15*Conversions!$C$4</f>
        <v>0</v>
      </c>
      <c r="I124" s="272">
        <f>'Simplified Screening 1'!K15*'Simplified Screening 1'!N15*(1-'Simplified Screening 1'!O15)*Conversions!$C$4</f>
        <v>0</v>
      </c>
      <c r="J124" s="325">
        <f>IF('Simplified Screening 1'!P15=0,0,'Simplified Screening 1'!P15)</f>
        <v>0</v>
      </c>
      <c r="K124" s="325">
        <f>IF(AND(OR('Simplified Screening 1'!G15=0,'Simplified Screening 1'!G15="I Don't Know"),F124&lt;&gt;""),J124*HLOOKUP(E124,'Equipment Assumptions'!$C$30:$Q$31,2,0),IF(F124="Non-HFC",0,J124))</f>
        <v>0</v>
      </c>
      <c r="L124" s="461">
        <f>IF($F124="",0,IF($A124="Default",$G124*VLOOKUP($F124,Lists!$C$72:$R$232,COLUMNS(Lists!$C$69:E$69),0)*VLOOKUP(BE$3,Conversions!$B$12:$E$34,4,0)*HLOOKUP($E124,'Equipment Assumptions'!$C$30:$Q$31,2,0),$G124*VLOOKUP($F124,Lists!$C$72:$R$232,COLUMNS(Lists!$C$69:E$69),0)*VLOOKUP(BE$3,Conversions!$B$12:$E$34,4,0)))</f>
        <v>0</v>
      </c>
      <c r="M124" s="461">
        <f>IF($F124="",0,IF($A124="Default",$G124*VLOOKUP($F124,Lists!$C$72:$R$232,COLUMNS(Lists!$C$69:F$69),0)*VLOOKUP(BF$3,Conversions!$B$12:$E$34,4,0)*HLOOKUP($E124,'Equipment Assumptions'!$C$30:$Q$31,2,0),$G124*VLOOKUP($F124,Lists!$C$72:$R$232,COLUMNS(Lists!$C$69:F$69),0)*VLOOKUP(BF$3,Conversions!$B$12:$E$34,4,0)))</f>
        <v>0</v>
      </c>
      <c r="N124" s="461">
        <f>IF($F124="",0,IF($A124="Default",$G124*VLOOKUP($F124,Lists!$C$72:$R$232,COLUMNS(Lists!$C$69:G$69),0)*VLOOKUP(BG$3,Conversions!$B$12:$E$34,4,0)*HLOOKUP($E124,'Equipment Assumptions'!$C$30:$Q$31,2,0),$G124*VLOOKUP($F124,Lists!$C$72:$R$232,COLUMNS(Lists!$C$69:G$69),0)*VLOOKUP(BG$3,Conversions!$B$12:$E$34,4,0)))</f>
        <v>0</v>
      </c>
      <c r="O124" s="461">
        <f>IF($F124="",0,IF($A124="Default",$G124*VLOOKUP($F124,Lists!$C$72:$R$232,COLUMNS(Lists!$C$69:H$69),0)*VLOOKUP(BH$3,Conversions!$B$12:$E$34,4,0)*HLOOKUP($E124,'Equipment Assumptions'!$C$30:$Q$31,2,0),$G124*VLOOKUP($F124,Lists!$C$72:$R$232,COLUMNS(Lists!$C$69:H$69),0)*VLOOKUP(BH$3,Conversions!$B$12:$E$34,4,0)))</f>
        <v>0</v>
      </c>
      <c r="P124" s="461">
        <f>IF($F124="",0,IF($A124="Default",$G124*VLOOKUP($F124,Lists!$C$72:$R$232,COLUMNS(Lists!$C$69:I$69),0)*VLOOKUP(BI$3,Conversions!$B$12:$E$34,4,0)*HLOOKUP($E124,'Equipment Assumptions'!$C$30:$Q$31,2,0),$G124*VLOOKUP($F124,Lists!$C$72:$R$232,COLUMNS(Lists!$C$69:I$69),0)*VLOOKUP(BI$3,Conversions!$B$12:$E$34,4,0)))</f>
        <v>0</v>
      </c>
      <c r="Q124" s="461">
        <f>IF($F124="",0,IF($A124="Default",$G124*VLOOKUP($F124,Lists!$C$72:$R$232,COLUMNS(Lists!$C$69:J$69),0)*VLOOKUP(BJ$3,Conversions!$B$12:$E$34,4,0)*HLOOKUP($E124,'Equipment Assumptions'!$C$30:$Q$31,2,0),$G124*VLOOKUP($F124,Lists!$C$72:$R$232,COLUMNS(Lists!$C$69:J$69),0)*VLOOKUP(BJ$3,Conversions!$B$12:$E$34,4,0)))</f>
        <v>0</v>
      </c>
      <c r="R124" s="461">
        <f>IF($F124="",0,IF($A124="Default",$G124*VLOOKUP($F124,Lists!$C$72:$R$232,COLUMNS(Lists!$C$69:K$69),0)*VLOOKUP(BK$3,Conversions!$B$12:$E$34,4,0)*HLOOKUP($E124,'Equipment Assumptions'!$C$30:$Q$31,2,0),$G124*VLOOKUP($F124,Lists!$C$72:$R$232,COLUMNS(Lists!$C$69:K$69),0)*VLOOKUP(BK$3,Conversions!$B$12:$E$34,4,0)))</f>
        <v>0</v>
      </c>
      <c r="S124" s="461">
        <f>IF($F124="",0,IF($A124="Default",$G124*VLOOKUP($F124,Lists!$C$72:$R$232,COLUMNS(Lists!$C$69:L$69),0)*VLOOKUP(BL$3,Conversions!$B$12:$E$34,4,0)*HLOOKUP($E124,'Equipment Assumptions'!$C$30:$Q$31,2,0),$G124*VLOOKUP($F124,Lists!$C$72:$R$232,COLUMNS(Lists!$C$69:L$69),0)*VLOOKUP(BL$3,Conversions!$B$12:$E$34,4,0)))</f>
        <v>0</v>
      </c>
      <c r="T124" s="461">
        <f>IF($F124="",0,IF($A124="Default",$G124*VLOOKUP($F124,Lists!$C$72:$R$232,COLUMNS(Lists!$C$69:M$69),0)*VLOOKUP(BM$3,Conversions!$B$12:$E$34,4,0)*HLOOKUP($E124,'Equipment Assumptions'!$C$30:$Q$31,2,0),$G124*VLOOKUP($F124,Lists!$C$72:$R$232,COLUMNS(Lists!$C$69:M$69),0)*VLOOKUP(BM$3,Conversions!$B$12:$E$34,4,0)))</f>
        <v>0</v>
      </c>
      <c r="U124" s="461">
        <f>IF($F124="",0,IF($A124="Default",$G124*VLOOKUP($F124,Lists!$C$72:$R$232,COLUMNS(Lists!$C$69:N$69),0)*VLOOKUP(BN$3,Conversions!$B$12:$E$34,4,0)*HLOOKUP($E124,'Equipment Assumptions'!$C$30:$Q$31,2,0),$G124*VLOOKUP($F124,Lists!$C$72:$R$232,COLUMNS(Lists!$C$69:N$69),0)*VLOOKUP(BN$3,Conversions!$B$12:$E$34,4,0)))</f>
        <v>0</v>
      </c>
      <c r="V124" s="461">
        <f>IF($F124="",0,IF($A124="Default",$G124*VLOOKUP($F124,Lists!$C$72:$R$232,COLUMNS(Lists!$C$69:O$69),0)*VLOOKUP(BO$3,Conversions!$B$12:$E$34,4,0)*HLOOKUP($E124,'Equipment Assumptions'!$C$30:$Q$31,2,0),$G124*VLOOKUP($F124,Lists!$C$72:$R$232,COLUMNS(Lists!$C$69:O$69),0)*VLOOKUP(BO$3,Conversions!$B$12:$E$34,4,0)))</f>
        <v>0</v>
      </c>
      <c r="W124" s="461">
        <f>IF($F124="",0,IF($A124="Default",$G124*VLOOKUP($F124,Lists!$C$72:$R$232,COLUMNS(Lists!$C$69:P$69),0)*VLOOKUP(BP$3,Conversions!$B$12:$E$34,4,0)*HLOOKUP($E124,'Equipment Assumptions'!$C$30:$Q$31,2,0),$G124*VLOOKUP($F124,Lists!$C$72:$R$232,COLUMNS(Lists!$C$69:P$69),0)*VLOOKUP(BP$3,Conversions!$B$12:$E$34,4,0)))</f>
        <v>0</v>
      </c>
      <c r="X124" s="461">
        <f>IF($F124="",0,IF($A124="Default",$G124*VLOOKUP($F124,Lists!$C$72:$R$232,COLUMNS(Lists!$C$69:Q$69),0)*VLOOKUP(BQ$3,Conversions!$B$12:$E$34,4,0)*HLOOKUP($E124,'Equipment Assumptions'!$C$30:$Q$31,2,0),$G124*VLOOKUP($F124,Lists!$C$72:$R$232,COLUMNS(Lists!$C$69:Q$69),0)*VLOOKUP(BQ$3,Conversions!$B$12:$E$34,4,0)))</f>
        <v>0</v>
      </c>
      <c r="Y124" s="461">
        <f>IF($F124="",0,IF($A124="Default",$G124*VLOOKUP($F124,Lists!$C$72:$R$232,COLUMNS(Lists!$C$69:R$69),0)*VLOOKUP(BR$3,Conversions!$B$12:$E$34,4,0)*HLOOKUP($E124,'Equipment Assumptions'!$C$30:$Q$31,2,0),$G124*VLOOKUP($F124,Lists!$C$72:$R$232,COLUMNS(Lists!$C$69:R$69),0)*VLOOKUP(BR$3,Conversions!$B$12:$E$34,4,0)))</f>
        <v>0</v>
      </c>
      <c r="Z124" s="462">
        <f t="shared" si="38"/>
        <v>0</v>
      </c>
      <c r="AA124" s="463">
        <f>IF($F124="",0,IF($A124="Default",$H124*VLOOKUP($F124,Lists!$C$72:$R$232,COLUMNS(Lists!$C$69:E$69),0)*VLOOKUP(BE$3,Conversions!$B$12:$E$34,4,0)*HLOOKUP($E124,'Equipment Assumptions'!$C$30:$Q$31,2,0),$H124*VLOOKUP($F124,Lists!$C$72:$R$232,COLUMNS(Lists!$C$69:E$69),0)*VLOOKUP(BE$3,Conversions!$B$12:$E$34,4,0)))</f>
        <v>0</v>
      </c>
      <c r="AB124" s="463">
        <f>IF($F124="",0,IF($A124="Default",$H124*VLOOKUP($F124,Lists!$C$72:$R$232,COLUMNS(Lists!$C$69:F$69),0)*VLOOKUP(BF$3,Conversions!$B$12:$E$34,4,0)*HLOOKUP($E124,'Equipment Assumptions'!$C$30:$Q$31,2,0),$H124*VLOOKUP($F124,Lists!$C$72:$R$232,COLUMNS(Lists!$C$69:F$69),0)*VLOOKUP(BF$3,Conversions!$B$12:$E$34,4,0)))</f>
        <v>0</v>
      </c>
      <c r="AC124" s="463">
        <f>IF($F124="",0,IF($A124="Default",$H124*VLOOKUP($F124,Lists!$C$72:$R$232,COLUMNS(Lists!$C$69:G$69),0)*VLOOKUP(BG$3,Conversions!$B$12:$E$34,4,0)*HLOOKUP($E124,'Equipment Assumptions'!$C$30:$Q$31,2,0),$H124*VLOOKUP($F124,Lists!$C$72:$R$232,COLUMNS(Lists!$C$69:G$69),0)*VLOOKUP(BG$3,Conversions!$B$12:$E$34,4,0)))</f>
        <v>0</v>
      </c>
      <c r="AD124" s="463">
        <f>IF($F124="",0,IF($A124="Default",$H124*VLOOKUP($F124,Lists!$C$72:$R$232,COLUMNS(Lists!$C$69:H$69),0)*VLOOKUP(BH$3,Conversions!$B$12:$E$34,4,0)*HLOOKUP($E124,'Equipment Assumptions'!$C$30:$Q$31,2,0),$H124*VLOOKUP($F124,Lists!$C$72:$R$232,COLUMNS(Lists!$C$69:H$69),0)*VLOOKUP(BH$3,Conversions!$B$12:$E$34,4,0)))</f>
        <v>0</v>
      </c>
      <c r="AE124" s="463">
        <f>IF($F124="",0,IF($A124="Default",$H124*VLOOKUP($F124,Lists!$C$72:$R$232,COLUMNS(Lists!$C$69:I$69),0)*VLOOKUP(BI$3,Conversions!$B$12:$E$34,4,0)*HLOOKUP($E124,'Equipment Assumptions'!$C$30:$Q$31,2,0),$H124*VLOOKUP($F124,Lists!$C$72:$R$232,COLUMNS(Lists!$C$69:I$69),0)*VLOOKUP(BI$3,Conversions!$B$12:$E$34,4,0)))</f>
        <v>0</v>
      </c>
      <c r="AF124" s="463">
        <f>IF($F124="",0,IF($A124="Default",$H124*VLOOKUP($F124,Lists!$C$72:$R$232,COLUMNS(Lists!$C$69:J$69),0)*VLOOKUP(BJ$3,Conversions!$B$12:$E$34,4,0)*HLOOKUP($E124,'Equipment Assumptions'!$C$30:$Q$31,2,0),$H124*VLOOKUP($F124,Lists!$C$72:$R$232,COLUMNS(Lists!$C$69:J$69),0)*VLOOKUP(BJ$3,Conversions!$B$12:$E$34,4,0)))</f>
        <v>0</v>
      </c>
      <c r="AG124" s="463">
        <f>IF($F124="",0,IF($A124="Default",$H124*VLOOKUP($F124,Lists!$C$72:$R$232,COLUMNS(Lists!$C$69:K$69),0)*VLOOKUP(BK$3,Conversions!$B$12:$E$34,4,0)*HLOOKUP($E124,'Equipment Assumptions'!$C$30:$Q$31,2,0),$H124*VLOOKUP($F124,Lists!$C$72:$R$232,COLUMNS(Lists!$C$69:K$69),0)*VLOOKUP(BK$3,Conversions!$B$12:$E$34,4,0)))</f>
        <v>0</v>
      </c>
      <c r="AH124" s="463">
        <f>IF($F124="",0,IF($A124="Default",$H124*VLOOKUP($F124,Lists!$C$72:$R$232,COLUMNS(Lists!$C$69:L$69),0)*VLOOKUP(BL$3,Conversions!$B$12:$E$34,4,0)*HLOOKUP($E124,'Equipment Assumptions'!$C$30:$Q$31,2,0),$H124*VLOOKUP($F124,Lists!$C$72:$R$232,COLUMNS(Lists!$C$69:L$69),0)*VLOOKUP(BL$3,Conversions!$B$12:$E$34,4,0)))</f>
        <v>0</v>
      </c>
      <c r="AI124" s="463">
        <f>IF($F124="",0,IF($A124="Default",$H124*VLOOKUP($F124,Lists!$C$72:$R$232,COLUMNS(Lists!$C$69:M$69),0)*VLOOKUP(BM$3,Conversions!$B$12:$E$34,4,0)*HLOOKUP($E124,'Equipment Assumptions'!$C$30:$Q$31,2,0),$H124*VLOOKUP($F124,Lists!$C$72:$R$232,COLUMNS(Lists!$C$69:M$69),0)*VLOOKUP(BM$3,Conversions!$B$12:$E$34,4,0)))</f>
        <v>0</v>
      </c>
      <c r="AJ124" s="463">
        <f>IF($F124="",0,IF($A124="Default",$H124*VLOOKUP($F124,Lists!$C$72:$R$232,COLUMNS(Lists!$C$69:N$69),0)*VLOOKUP(BN$3,Conversions!$B$12:$E$34,4,0)*HLOOKUP($E124,'Equipment Assumptions'!$C$30:$Q$31,2,0),$H124*VLOOKUP($F124,Lists!$C$72:$R$232,COLUMNS(Lists!$C$69:N$69),0)*VLOOKUP(BN$3,Conversions!$B$12:$E$34,4,0)))</f>
        <v>0</v>
      </c>
      <c r="AK124" s="463">
        <f>IF($F124="",0,IF($A124="Default",$H124*VLOOKUP($F124,Lists!$C$72:$R$232,COLUMNS(Lists!$C$69:O$69),0)*VLOOKUP(BO$3,Conversions!$B$12:$E$34,4,0)*HLOOKUP($E124,'Equipment Assumptions'!$C$30:$Q$31,2,0),$H124*VLOOKUP($F124,Lists!$C$72:$R$232,COLUMNS(Lists!$C$69:O$69),0)*VLOOKUP(BO$3,Conversions!$B$12:$E$34,4,0)))</f>
        <v>0</v>
      </c>
      <c r="AL124" s="463">
        <f>IF($F124="",0,IF($A124="Default",$H124*VLOOKUP($F124,Lists!$C$72:$R$232,COLUMNS(Lists!$C$69:P$69),0)*VLOOKUP(BP$3,Conversions!$B$12:$E$34,4,0)*HLOOKUP($E124,'Equipment Assumptions'!$C$30:$Q$31,2,0),$H124*VLOOKUP($F124,Lists!$C$72:$R$232,COLUMNS(Lists!$C$69:P$69),0)*VLOOKUP(BP$3,Conversions!$B$12:$E$34,4,0)))</f>
        <v>0</v>
      </c>
      <c r="AM124" s="463">
        <f>IF($F124="",0,IF($A124="Default",$H124*VLOOKUP($F124,Lists!$C$72:$R$232,COLUMNS(Lists!$C$69:Q$69),0)*VLOOKUP(BQ$3,Conversions!$B$12:$E$34,4,0)*HLOOKUP($E124,'Equipment Assumptions'!$C$30:$Q$31,2,0),$H124*VLOOKUP($F124,Lists!$C$72:$R$232,COLUMNS(Lists!$C$69:Q$69),0)*VLOOKUP(BQ$3,Conversions!$B$12:$E$34,4,0)))</f>
        <v>0</v>
      </c>
      <c r="AN124" s="463">
        <f>IF($F124="",0,IF($A124="Default",$H124*VLOOKUP($F124,Lists!$C$72:$R$232,COLUMNS(Lists!$C$69:R$69),0)*VLOOKUP(BR$3,Conversions!$B$12:$E$34,4,0)*HLOOKUP($E124,'Equipment Assumptions'!$C$30:$Q$31,2,0),$H124*VLOOKUP($F124,Lists!$C$72:$R$232,COLUMNS(Lists!$C$69:R$69),0)*VLOOKUP(BR$3,Conversions!$B$12:$E$34,4,0)))</f>
        <v>0</v>
      </c>
      <c r="AO124" s="464">
        <f t="shared" si="39"/>
        <v>0</v>
      </c>
      <c r="AP124" s="461">
        <f>IF($F124="",0,IF($A124="Default",$I124*VLOOKUP($F124,Lists!$C$72:$R$232,COLUMNS(Lists!$C$69:E$69),0)*VLOOKUP(BE$3,Conversions!$B$12:$E$34,4,0)*HLOOKUP($E124,'Equipment Assumptions'!$C$30:$Q$31,2,0),$I124*VLOOKUP($F124,Lists!$C$72:$R$232,COLUMNS(Lists!$C$69:E$69),0)*VLOOKUP(BE$3,Conversions!$B$12:$E$34,4,0)))</f>
        <v>0</v>
      </c>
      <c r="AQ124" s="461">
        <f>IF($F124="",0,IF($A124="Default",$I124*VLOOKUP($F124,Lists!$C$72:$R$232,COLUMNS(Lists!$C$69:F$69),0)*VLOOKUP(BF$3,Conversions!$B$12:$E$34,4,0)*HLOOKUP($E124,'Equipment Assumptions'!$C$30:$Q$31,2,0),$I124*VLOOKUP($F124,Lists!$C$72:$R$232,COLUMNS(Lists!$C$69:F$69),0)*VLOOKUP(BF$3,Conversions!$B$12:$E$34,4,0)))</f>
        <v>0</v>
      </c>
      <c r="AR124" s="461">
        <f>IF($F124="",0,IF($A124="Default",$I124*VLOOKUP($F124,Lists!$C$72:$R$232,COLUMNS(Lists!$C$69:G$69),0)*VLOOKUP(BG$3,Conversions!$B$12:$E$34,4,0)*HLOOKUP($E124,'Equipment Assumptions'!$C$30:$Q$31,2,0),$I124*VLOOKUP($F124,Lists!$C$72:$R$232,COLUMNS(Lists!$C$69:G$69),0)*VLOOKUP(BG$3,Conversions!$B$12:$E$34,4,0)))</f>
        <v>0</v>
      </c>
      <c r="AS124" s="461">
        <f>IF($F124="",0,IF($A124="Default",$I124*VLOOKUP($F124,Lists!$C$72:$R$232,COLUMNS(Lists!$C$69:H$69),0)*VLOOKUP(BH$3,Conversions!$B$12:$E$34,4,0)*HLOOKUP($E124,'Equipment Assumptions'!$C$30:$Q$31,2,0),$I124*VLOOKUP($F124,Lists!$C$72:$R$232,COLUMNS(Lists!$C$69:H$69),0)*VLOOKUP(BH$3,Conversions!$B$12:$E$34,4,0)))</f>
        <v>0</v>
      </c>
      <c r="AT124" s="461">
        <f>IF($F124="",0,IF($A124="Default",$I124*VLOOKUP($F124,Lists!$C$72:$R$232,COLUMNS(Lists!$C$69:I$69),0)*VLOOKUP(BI$3,Conversions!$B$12:$E$34,4,0)*HLOOKUP($E124,'Equipment Assumptions'!$C$30:$Q$31,2,0),$I124*VLOOKUP($F124,Lists!$C$72:$R$232,COLUMNS(Lists!$C$69:I$69),0)*VLOOKUP(BI$3,Conversions!$B$12:$E$34,4,0)))</f>
        <v>0</v>
      </c>
      <c r="AU124" s="461">
        <f>IF($F124="",0,IF($A124="Default",$I124*VLOOKUP($F124,Lists!$C$72:$R$232,COLUMNS(Lists!$C$69:J$69),0)*VLOOKUP(BJ$3,Conversions!$B$12:$E$34,4,0)*HLOOKUP($E124,'Equipment Assumptions'!$C$30:$Q$31,2,0),$I124*VLOOKUP($F124,Lists!$C$72:$R$232,COLUMNS(Lists!$C$69:J$69),0)*VLOOKUP(BJ$3,Conversions!$B$12:$E$34,4,0)))</f>
        <v>0</v>
      </c>
      <c r="AV124" s="461">
        <f>IF($F124="",0,IF($A124="Default",$I124*VLOOKUP($F124,Lists!$C$72:$R$232,COLUMNS(Lists!$C$69:K$69),0)*VLOOKUP(BK$3,Conversions!$B$12:$E$34,4,0)*HLOOKUP($E124,'Equipment Assumptions'!$C$30:$Q$31,2,0),$I124*VLOOKUP($F124,Lists!$C$72:$R$232,COLUMNS(Lists!$C$69:K$69),0)*VLOOKUP(BK$3,Conversions!$B$12:$E$34,4,0)))</f>
        <v>0</v>
      </c>
      <c r="AW124" s="461">
        <f>IF($F124="",0,IF($A124="Default",$I124*VLOOKUP($F124,Lists!$C$72:$R$232,COLUMNS(Lists!$C$69:L$69),0)*VLOOKUP(BL$3,Conversions!$B$12:$E$34,4,0)*HLOOKUP($E124,'Equipment Assumptions'!$C$30:$Q$31,2,0),$I124*VLOOKUP($F124,Lists!$C$72:$R$232,COLUMNS(Lists!$C$69:L$69),0)*VLOOKUP(BL$3,Conversions!$B$12:$E$34,4,0)))</f>
        <v>0</v>
      </c>
      <c r="AX124" s="461">
        <f>IF($F124="",0,IF($A124="Default",$I124*VLOOKUP($F124,Lists!$C$72:$R$232,COLUMNS(Lists!$C$69:M$69),0)*VLOOKUP(BM$3,Conversions!$B$12:$E$34,4,0)*HLOOKUP($E124,'Equipment Assumptions'!$C$30:$Q$31,2,0),$I124*VLOOKUP($F124,Lists!$C$72:$R$232,COLUMNS(Lists!$C$69:M$69),0)*VLOOKUP(BM$3,Conversions!$B$12:$E$34,4,0)))</f>
        <v>0</v>
      </c>
      <c r="AY124" s="461">
        <f>IF($F124="",0,IF($A124="Default",$I124*VLOOKUP($F124,Lists!$C$72:$R$232,COLUMNS(Lists!$C$69:N$69),0)*VLOOKUP(BN$3,Conversions!$B$12:$E$34,4,0)*HLOOKUP($E124,'Equipment Assumptions'!$C$30:$Q$31,2,0),$I124*VLOOKUP($F124,Lists!$C$72:$R$232,COLUMNS(Lists!$C$69:N$69),0)*VLOOKUP(BN$3,Conversions!$B$12:$E$34,4,0)))</f>
        <v>0</v>
      </c>
      <c r="AZ124" s="461">
        <f>IF($F124="",0,IF($A124="Default",$I124*VLOOKUP($F124,Lists!$C$72:$R$232,COLUMNS(Lists!$C$69:O$69),0)*VLOOKUP(BO$3,Conversions!$B$12:$E$34,4,0)*HLOOKUP($E124,'Equipment Assumptions'!$C$30:$Q$31,2,0),$I124*VLOOKUP($F124,Lists!$C$72:$R$232,COLUMNS(Lists!$C$69:O$69),0)*VLOOKUP(BO$3,Conversions!$B$12:$E$34,4,0)))</f>
        <v>0</v>
      </c>
      <c r="BA124" s="461">
        <f>IF($F124="",0,IF($A124="Default",$I124*VLOOKUP($F124,Lists!$C$72:$R$232,COLUMNS(Lists!$C$69:P$69),0)*VLOOKUP(BP$3,Conversions!$B$12:$E$34,4,0)*HLOOKUP($E124,'Equipment Assumptions'!$C$30:$Q$31,2,0),$I124*VLOOKUP($F124,Lists!$C$72:$R$232,COLUMNS(Lists!$C$69:P$69),0)*VLOOKUP(BP$3,Conversions!$B$12:$E$34,4,0)))</f>
        <v>0</v>
      </c>
      <c r="BB124" s="461">
        <f>IF($F124="",0,IF($A124="Default",$I124*VLOOKUP($F124,Lists!$C$72:$R$232,COLUMNS(Lists!$C$69:Q$69),0)*VLOOKUP(BQ$3,Conversions!$B$12:$E$34,4,0)*HLOOKUP($E124,'Equipment Assumptions'!$C$30:$Q$31,2,0),$I124*VLOOKUP($F124,Lists!$C$72:$R$232,COLUMNS(Lists!$C$69:Q$69),0)*VLOOKUP(BQ$3,Conversions!$B$12:$E$34,4,0)))</f>
        <v>0</v>
      </c>
      <c r="BC124" s="461">
        <f>IF($F124="",0,IF($A124="Default",$I124*VLOOKUP($F124,Lists!$C$72:$R$232,COLUMNS(Lists!$C$69:R$69),0)*VLOOKUP(BR$3,Conversions!$B$12:$E$34,4,0)*HLOOKUP($E124,'Equipment Assumptions'!$C$30:$Q$31,2,0),$I124*VLOOKUP($F124,Lists!$C$72:$R$232,COLUMNS(Lists!$C$69:R$69),0)*VLOOKUP(BR$3,Conversions!$B$12:$E$34,4,0)))</f>
        <v>0</v>
      </c>
      <c r="BD124" s="461">
        <f t="shared" si="40"/>
        <v>0</v>
      </c>
      <c r="BE124" s="330">
        <f t="shared" ref="BE124:BS124" si="141">L124+AA124+AP124</f>
        <v>0</v>
      </c>
      <c r="BF124" s="330">
        <f t="shared" si="141"/>
        <v>0</v>
      </c>
      <c r="BG124" s="330">
        <f t="shared" si="141"/>
        <v>0</v>
      </c>
      <c r="BH124" s="330">
        <f t="shared" si="141"/>
        <v>0</v>
      </c>
      <c r="BI124" s="330">
        <f t="shared" si="141"/>
        <v>0</v>
      </c>
      <c r="BJ124" s="330">
        <f t="shared" si="141"/>
        <v>0</v>
      </c>
      <c r="BK124" s="330">
        <f t="shared" si="141"/>
        <v>0</v>
      </c>
      <c r="BL124" s="330">
        <f t="shared" si="141"/>
        <v>0</v>
      </c>
      <c r="BM124" s="330">
        <f t="shared" si="141"/>
        <v>0</v>
      </c>
      <c r="BN124" s="330">
        <f t="shared" si="141"/>
        <v>0</v>
      </c>
      <c r="BO124" s="330">
        <f t="shared" si="141"/>
        <v>0</v>
      </c>
      <c r="BP124" s="330">
        <f t="shared" si="141"/>
        <v>0</v>
      </c>
      <c r="BQ124" s="330">
        <f t="shared" si="141"/>
        <v>0</v>
      </c>
      <c r="BR124" s="330">
        <f t="shared" si="141"/>
        <v>0</v>
      </c>
      <c r="BS124" s="330">
        <f t="shared" si="141"/>
        <v>0</v>
      </c>
      <c r="BT124" s="329">
        <f t="shared" ref="BT124:CI133" si="142">IF($E124="",0,IF($E124=BT$3,$BS124,0))</f>
        <v>0</v>
      </c>
      <c r="BU124" s="329">
        <f t="shared" si="142"/>
        <v>0</v>
      </c>
      <c r="BV124" s="329">
        <f t="shared" si="142"/>
        <v>0</v>
      </c>
      <c r="BW124" s="329">
        <f t="shared" si="142"/>
        <v>0</v>
      </c>
      <c r="BX124" s="329">
        <f t="shared" si="142"/>
        <v>0</v>
      </c>
      <c r="BY124" s="329">
        <f t="shared" si="142"/>
        <v>0</v>
      </c>
      <c r="BZ124" s="329">
        <f t="shared" si="142"/>
        <v>0</v>
      </c>
      <c r="CA124" s="329">
        <f t="shared" si="142"/>
        <v>0</v>
      </c>
      <c r="CB124" s="329">
        <f t="shared" si="142"/>
        <v>0</v>
      </c>
      <c r="CC124" s="329">
        <f t="shared" si="142"/>
        <v>0</v>
      </c>
      <c r="CD124" s="329">
        <f t="shared" si="142"/>
        <v>0</v>
      </c>
      <c r="CE124" s="329">
        <f t="shared" si="142"/>
        <v>0</v>
      </c>
      <c r="CF124" s="329">
        <f t="shared" si="142"/>
        <v>0</v>
      </c>
      <c r="CG124" s="329">
        <f t="shared" si="142"/>
        <v>0</v>
      </c>
      <c r="CH124" s="329">
        <f t="shared" si="142"/>
        <v>0</v>
      </c>
      <c r="CI124" s="329">
        <f t="shared" si="142"/>
        <v>0</v>
      </c>
      <c r="CJ124" s="331">
        <f t="shared" si="1"/>
        <v>0</v>
      </c>
      <c r="CK124" s="330">
        <f t="shared" si="5"/>
        <v>0</v>
      </c>
      <c r="CL124" s="330">
        <f t="shared" si="6"/>
        <v>0</v>
      </c>
      <c r="CM124" s="330">
        <f t="shared" si="7"/>
        <v>0</v>
      </c>
      <c r="CN124" s="330">
        <f t="shared" si="8"/>
        <v>0</v>
      </c>
      <c r="CO124" s="330">
        <f t="shared" si="9"/>
        <v>0</v>
      </c>
      <c r="CP124" s="330">
        <f t="shared" si="10"/>
        <v>0</v>
      </c>
      <c r="CQ124" s="330">
        <f t="shared" si="94"/>
        <v>0</v>
      </c>
      <c r="CR124" s="330">
        <f t="shared" si="12"/>
        <v>0</v>
      </c>
      <c r="CS124" s="330">
        <f t="shared" si="13"/>
        <v>0</v>
      </c>
      <c r="CT124" s="330">
        <f t="shared" si="14"/>
        <v>0</v>
      </c>
      <c r="CU124" s="330">
        <f t="shared" ref="CU124:DD133" si="143">IF($C124=CU$3,$BS124,0)</f>
        <v>0</v>
      </c>
      <c r="CV124" s="330">
        <f t="shared" si="143"/>
        <v>0</v>
      </c>
      <c r="CW124" s="330">
        <f t="shared" si="143"/>
        <v>0</v>
      </c>
      <c r="CX124" s="330">
        <f t="shared" si="143"/>
        <v>0</v>
      </c>
      <c r="CY124" s="330">
        <f t="shared" si="143"/>
        <v>0</v>
      </c>
      <c r="CZ124" s="330">
        <f t="shared" si="143"/>
        <v>0</v>
      </c>
      <c r="DA124" s="330">
        <f t="shared" si="143"/>
        <v>0</v>
      </c>
      <c r="DB124" s="330">
        <f t="shared" si="143"/>
        <v>0</v>
      </c>
      <c r="DC124" s="330">
        <f t="shared" si="143"/>
        <v>0</v>
      </c>
      <c r="DD124" s="330">
        <f t="shared" si="143"/>
        <v>0</v>
      </c>
      <c r="DE124" s="330">
        <f t="shared" ref="DE124:DO133" si="144">IF($C124=DE$3,$BS124,0)</f>
        <v>0</v>
      </c>
      <c r="DF124" s="330">
        <f t="shared" si="144"/>
        <v>0</v>
      </c>
      <c r="DG124" s="330">
        <f t="shared" si="144"/>
        <v>0</v>
      </c>
      <c r="DH124" s="330">
        <f t="shared" si="144"/>
        <v>0</v>
      </c>
      <c r="DI124" s="330">
        <f t="shared" si="144"/>
        <v>0</v>
      </c>
      <c r="DJ124" s="330">
        <f t="shared" si="144"/>
        <v>0</v>
      </c>
      <c r="DK124" s="330">
        <f t="shared" si="144"/>
        <v>0</v>
      </c>
      <c r="DL124" s="330">
        <f t="shared" si="144"/>
        <v>0</v>
      </c>
      <c r="DM124" s="330">
        <f t="shared" si="144"/>
        <v>0</v>
      </c>
      <c r="DN124" s="330">
        <f t="shared" si="144"/>
        <v>0</v>
      </c>
      <c r="DO124" s="330">
        <f t="shared" si="144"/>
        <v>0</v>
      </c>
      <c r="DP124" s="330">
        <f t="shared" si="140"/>
        <v>0</v>
      </c>
      <c r="DQ124" s="217"/>
      <c r="DR124" s="217"/>
      <c r="DS124" s="217"/>
      <c r="DT124" s="217"/>
    </row>
    <row r="125" spans="1:124" x14ac:dyDescent="0.3">
      <c r="A125" s="332" t="str">
        <f>IF(AND(F125&lt;&gt;"",OR('Simplified Screening 1'!G16=0,'Simplified Screening 1'!G16="I Don't Know")),"Default","")</f>
        <v/>
      </c>
      <c r="B125" s="221" t="s">
        <v>306</v>
      </c>
      <c r="C125" s="221" t="str">
        <f>IF('Simplified Screening 1'!C16=0,"",'Simplified Screening 1'!C16)</f>
        <v/>
      </c>
      <c r="D125" s="221" t="str">
        <f>IF('Simplified Screening 1'!D16=0,"",'Simplified Screening 1'!D16)</f>
        <v/>
      </c>
      <c r="E125" s="221" t="str">
        <f>IF('Simplified Screening 1'!E16=0,"",'Simplified Screening 1'!E16)</f>
        <v/>
      </c>
      <c r="F125" s="221" t="str">
        <f>'Simplified Screening 1'!R16</f>
        <v/>
      </c>
      <c r="G125" s="272">
        <f>'Simplified Screening 1'!H16*'Simplified Screening 1'!L16*Conversions!$C$4</f>
        <v>0</v>
      </c>
      <c r="H125" s="272">
        <f>'Simplified Screening 1'!I16*'Simplified Screening 1'!M16*'Simplified Screening 1'!J16*Conversions!$C$4</f>
        <v>0</v>
      </c>
      <c r="I125" s="272">
        <f>'Simplified Screening 1'!K16*'Simplified Screening 1'!N16*(1-'Simplified Screening 1'!O16)*Conversions!$C$4</f>
        <v>0</v>
      </c>
      <c r="J125" s="325">
        <f>IF('Simplified Screening 1'!P16=0,0,'Simplified Screening 1'!P16)</f>
        <v>0</v>
      </c>
      <c r="K125" s="325">
        <f>IF(AND(OR('Simplified Screening 1'!G16=0,'Simplified Screening 1'!G16="I Don't Know"),F125&lt;&gt;""),J125*HLOOKUP(E125,'Equipment Assumptions'!$C$30:$Q$31,2,0),IF(F125="Non-HFC",0,J125))</f>
        <v>0</v>
      </c>
      <c r="L125" s="333">
        <f>IF($F125="",0,IF($A125="Default",$G125*VLOOKUP($F125,Lists!$C$72:$R$232,COLUMNS(Lists!$C$69:E$69),0)*VLOOKUP(BE$3,Conversions!$B$12:$E$34,4,0)*HLOOKUP($E125,'Equipment Assumptions'!$C$30:$Q$31,2,0),$G125*VLOOKUP($F125,Lists!$C$72:$R$232,COLUMNS(Lists!$C$69:E$69),0)*VLOOKUP(BE$3,Conversions!$B$12:$E$34,4,0)))</f>
        <v>0</v>
      </c>
      <c r="M125" s="333">
        <f>IF($F125="",0,IF($A125="Default",$G125*VLOOKUP($F125,Lists!$C$72:$R$232,COLUMNS(Lists!$C$69:F$69),0)*VLOOKUP(BF$3,Conversions!$B$12:$E$34,4,0)*HLOOKUP($E125,'Equipment Assumptions'!$C$30:$Q$31,2,0),$G125*VLOOKUP($F125,Lists!$C$72:$R$232,COLUMNS(Lists!$C$69:F$69),0)*VLOOKUP(BF$3,Conversions!$B$12:$E$34,4,0)))</f>
        <v>0</v>
      </c>
      <c r="N125" s="333">
        <f>IF($F125="",0,IF($A125="Default",$G125*VLOOKUP($F125,Lists!$C$72:$R$232,COLUMNS(Lists!$C$69:G$69),0)*VLOOKUP(BG$3,Conversions!$B$12:$E$34,4,0)*HLOOKUP($E125,'Equipment Assumptions'!$C$30:$Q$31,2,0),$G125*VLOOKUP($F125,Lists!$C$72:$R$232,COLUMNS(Lists!$C$69:G$69),0)*VLOOKUP(BG$3,Conversions!$B$12:$E$34,4,0)))</f>
        <v>0</v>
      </c>
      <c r="O125" s="333">
        <f>IF($F125="",0,IF($A125="Default",$G125*VLOOKUP($F125,Lists!$C$72:$R$232,COLUMNS(Lists!$C$69:H$69),0)*VLOOKUP(BH$3,Conversions!$B$12:$E$34,4,0)*HLOOKUP($E125,'Equipment Assumptions'!$C$30:$Q$31,2,0),$G125*VLOOKUP($F125,Lists!$C$72:$R$232,COLUMNS(Lists!$C$69:H$69),0)*VLOOKUP(BH$3,Conversions!$B$12:$E$34,4,0)))</f>
        <v>0</v>
      </c>
      <c r="P125" s="333">
        <f>IF($F125="",0,IF($A125="Default",$G125*VLOOKUP($F125,Lists!$C$72:$R$232,COLUMNS(Lists!$C$69:I$69),0)*VLOOKUP(BI$3,Conversions!$B$12:$E$34,4,0)*HLOOKUP($E125,'Equipment Assumptions'!$C$30:$Q$31,2,0),$G125*VLOOKUP($F125,Lists!$C$72:$R$232,COLUMNS(Lists!$C$69:I$69),0)*VLOOKUP(BI$3,Conversions!$B$12:$E$34,4,0)))</f>
        <v>0</v>
      </c>
      <c r="Q125" s="333">
        <f>IF($F125="",0,IF($A125="Default",$G125*VLOOKUP($F125,Lists!$C$72:$R$232,COLUMNS(Lists!$C$69:J$69),0)*VLOOKUP(BJ$3,Conversions!$B$12:$E$34,4,0)*HLOOKUP($E125,'Equipment Assumptions'!$C$30:$Q$31,2,0),$G125*VLOOKUP($F125,Lists!$C$72:$R$232,COLUMNS(Lists!$C$69:J$69),0)*VLOOKUP(BJ$3,Conversions!$B$12:$E$34,4,0)))</f>
        <v>0</v>
      </c>
      <c r="R125" s="333">
        <f>IF($F125="",0,IF($A125="Default",$G125*VLOOKUP($F125,Lists!$C$72:$R$232,COLUMNS(Lists!$C$69:K$69),0)*VLOOKUP(BK$3,Conversions!$B$12:$E$34,4,0)*HLOOKUP($E125,'Equipment Assumptions'!$C$30:$Q$31,2,0),$G125*VLOOKUP($F125,Lists!$C$72:$R$232,COLUMNS(Lists!$C$69:K$69),0)*VLOOKUP(BK$3,Conversions!$B$12:$E$34,4,0)))</f>
        <v>0</v>
      </c>
      <c r="S125" s="333">
        <f>IF($F125="",0,IF($A125="Default",$G125*VLOOKUP($F125,Lists!$C$72:$R$232,COLUMNS(Lists!$C$69:L$69),0)*VLOOKUP(BL$3,Conversions!$B$12:$E$34,4,0)*HLOOKUP($E125,'Equipment Assumptions'!$C$30:$Q$31,2,0),$G125*VLOOKUP($F125,Lists!$C$72:$R$232,COLUMNS(Lists!$C$69:L$69),0)*VLOOKUP(BL$3,Conversions!$B$12:$E$34,4,0)))</f>
        <v>0</v>
      </c>
      <c r="T125" s="333">
        <f>IF($F125="",0,IF($A125="Default",$G125*VLOOKUP($F125,Lists!$C$72:$R$232,COLUMNS(Lists!$C$69:M$69),0)*VLOOKUP(BM$3,Conversions!$B$12:$E$34,4,0)*HLOOKUP($E125,'Equipment Assumptions'!$C$30:$Q$31,2,0),$G125*VLOOKUP($F125,Lists!$C$72:$R$232,COLUMNS(Lists!$C$69:M$69),0)*VLOOKUP(BM$3,Conversions!$B$12:$E$34,4,0)))</f>
        <v>0</v>
      </c>
      <c r="U125" s="333">
        <f>IF($F125="",0,IF($A125="Default",$G125*VLOOKUP($F125,Lists!$C$72:$R$232,COLUMNS(Lists!$C$69:N$69),0)*VLOOKUP(BN$3,Conversions!$B$12:$E$34,4,0)*HLOOKUP($E125,'Equipment Assumptions'!$C$30:$Q$31,2,0),$G125*VLOOKUP($F125,Lists!$C$72:$R$232,COLUMNS(Lists!$C$69:N$69),0)*VLOOKUP(BN$3,Conversions!$B$12:$E$34,4,0)))</f>
        <v>0</v>
      </c>
      <c r="V125" s="333">
        <f>IF($F125="",0,IF($A125="Default",$G125*VLOOKUP($F125,Lists!$C$72:$R$232,COLUMNS(Lists!$C$69:O$69),0)*VLOOKUP(BO$3,Conversions!$B$12:$E$34,4,0)*HLOOKUP($E125,'Equipment Assumptions'!$C$30:$Q$31,2,0),$G125*VLOOKUP($F125,Lists!$C$72:$R$232,COLUMNS(Lists!$C$69:O$69),0)*VLOOKUP(BO$3,Conversions!$B$12:$E$34,4,0)))</f>
        <v>0</v>
      </c>
      <c r="W125" s="333">
        <f>IF($F125="",0,IF($A125="Default",$G125*VLOOKUP($F125,Lists!$C$72:$R$232,COLUMNS(Lists!$C$69:P$69),0)*VLOOKUP(BP$3,Conversions!$B$12:$E$34,4,0)*HLOOKUP($E125,'Equipment Assumptions'!$C$30:$Q$31,2,0),$G125*VLOOKUP($F125,Lists!$C$72:$R$232,COLUMNS(Lists!$C$69:P$69),0)*VLOOKUP(BP$3,Conversions!$B$12:$E$34,4,0)))</f>
        <v>0</v>
      </c>
      <c r="X125" s="333">
        <f>IF($F125="",0,IF($A125="Default",$G125*VLOOKUP($F125,Lists!$C$72:$R$232,COLUMNS(Lists!$C$69:Q$69),0)*VLOOKUP(BQ$3,Conversions!$B$12:$E$34,4,0)*HLOOKUP($E125,'Equipment Assumptions'!$C$30:$Q$31,2,0),$G125*VLOOKUP($F125,Lists!$C$72:$R$232,COLUMNS(Lists!$C$69:Q$69),0)*VLOOKUP(BQ$3,Conversions!$B$12:$E$34,4,0)))</f>
        <v>0</v>
      </c>
      <c r="Y125" s="333">
        <f>IF($F125="",0,IF($A125="Default",$G125*VLOOKUP($F125,Lists!$C$72:$R$232,COLUMNS(Lists!$C$69:R$69),0)*VLOOKUP(BR$3,Conversions!$B$12:$E$34,4,0)*HLOOKUP($E125,'Equipment Assumptions'!$C$30:$Q$31,2,0),$G125*VLOOKUP($F125,Lists!$C$72:$R$232,COLUMNS(Lists!$C$69:R$69),0)*VLOOKUP(BR$3,Conversions!$B$12:$E$34,4,0)))</f>
        <v>0</v>
      </c>
      <c r="Z125" s="325">
        <f t="shared" si="38"/>
        <v>0</v>
      </c>
      <c r="AA125" s="334">
        <f>IF($F125="",0,IF($A125="Default",$H125*VLOOKUP($F125,Lists!$C$72:$R$232,COLUMNS(Lists!$C$69:E$69),0)*VLOOKUP(BE$3,Conversions!$B$12:$E$34,4,0)*HLOOKUP($E125,'Equipment Assumptions'!$C$30:$Q$31,2,0),$H125*VLOOKUP($F125,Lists!$C$72:$R$232,COLUMNS(Lists!$C$69:E$69),0)*VLOOKUP(BE$3,Conversions!$B$12:$E$34,4,0)))</f>
        <v>0</v>
      </c>
      <c r="AB125" s="334">
        <f>IF($F125="",0,IF($A125="Default",$H125*VLOOKUP($F125,Lists!$C$72:$R$232,COLUMNS(Lists!$C$69:F$69),0)*VLOOKUP(BF$3,Conversions!$B$12:$E$34,4,0)*HLOOKUP($E125,'Equipment Assumptions'!$C$30:$Q$31,2,0),$H125*VLOOKUP($F125,Lists!$C$72:$R$232,COLUMNS(Lists!$C$69:F$69),0)*VLOOKUP(BF$3,Conversions!$B$12:$E$34,4,0)))</f>
        <v>0</v>
      </c>
      <c r="AC125" s="334">
        <f>IF($F125="",0,IF($A125="Default",$H125*VLOOKUP($F125,Lists!$C$72:$R$232,COLUMNS(Lists!$C$69:G$69),0)*VLOOKUP(BG$3,Conversions!$B$12:$E$34,4,0)*HLOOKUP($E125,'Equipment Assumptions'!$C$30:$Q$31,2,0),$H125*VLOOKUP($F125,Lists!$C$72:$R$232,COLUMNS(Lists!$C$69:G$69),0)*VLOOKUP(BG$3,Conversions!$B$12:$E$34,4,0)))</f>
        <v>0</v>
      </c>
      <c r="AD125" s="334">
        <f>IF($F125="",0,IF($A125="Default",$H125*VLOOKUP($F125,Lists!$C$72:$R$232,COLUMNS(Lists!$C$69:H$69),0)*VLOOKUP(BH$3,Conversions!$B$12:$E$34,4,0)*HLOOKUP($E125,'Equipment Assumptions'!$C$30:$Q$31,2,0),$H125*VLOOKUP($F125,Lists!$C$72:$R$232,COLUMNS(Lists!$C$69:H$69),0)*VLOOKUP(BH$3,Conversions!$B$12:$E$34,4,0)))</f>
        <v>0</v>
      </c>
      <c r="AE125" s="334">
        <f>IF($F125="",0,IF($A125="Default",$H125*VLOOKUP($F125,Lists!$C$72:$R$232,COLUMNS(Lists!$C$69:I$69),0)*VLOOKUP(BI$3,Conversions!$B$12:$E$34,4,0)*HLOOKUP($E125,'Equipment Assumptions'!$C$30:$Q$31,2,0),$H125*VLOOKUP($F125,Lists!$C$72:$R$232,COLUMNS(Lists!$C$69:I$69),0)*VLOOKUP(BI$3,Conversions!$B$12:$E$34,4,0)))</f>
        <v>0</v>
      </c>
      <c r="AF125" s="334">
        <f>IF($F125="",0,IF($A125="Default",$H125*VLOOKUP($F125,Lists!$C$72:$R$232,COLUMNS(Lists!$C$69:J$69),0)*VLOOKUP(BJ$3,Conversions!$B$12:$E$34,4,0)*HLOOKUP($E125,'Equipment Assumptions'!$C$30:$Q$31,2,0),$H125*VLOOKUP($F125,Lists!$C$72:$R$232,COLUMNS(Lists!$C$69:J$69),0)*VLOOKUP(BJ$3,Conversions!$B$12:$E$34,4,0)))</f>
        <v>0</v>
      </c>
      <c r="AG125" s="334">
        <f>IF($F125="",0,IF($A125="Default",$H125*VLOOKUP($F125,Lists!$C$72:$R$232,COLUMNS(Lists!$C$69:K$69),0)*VLOOKUP(BK$3,Conversions!$B$12:$E$34,4,0)*HLOOKUP($E125,'Equipment Assumptions'!$C$30:$Q$31,2,0),$H125*VLOOKUP($F125,Lists!$C$72:$R$232,COLUMNS(Lists!$C$69:K$69),0)*VLOOKUP(BK$3,Conversions!$B$12:$E$34,4,0)))</f>
        <v>0</v>
      </c>
      <c r="AH125" s="334">
        <f>IF($F125="",0,IF($A125="Default",$H125*VLOOKUP($F125,Lists!$C$72:$R$232,COLUMNS(Lists!$C$69:L$69),0)*VLOOKUP(BL$3,Conversions!$B$12:$E$34,4,0)*HLOOKUP($E125,'Equipment Assumptions'!$C$30:$Q$31,2,0),$H125*VLOOKUP($F125,Lists!$C$72:$R$232,COLUMNS(Lists!$C$69:L$69),0)*VLOOKUP(BL$3,Conversions!$B$12:$E$34,4,0)))</f>
        <v>0</v>
      </c>
      <c r="AI125" s="334">
        <f>IF($F125="",0,IF($A125="Default",$H125*VLOOKUP($F125,Lists!$C$72:$R$232,COLUMNS(Lists!$C$69:M$69),0)*VLOOKUP(BM$3,Conversions!$B$12:$E$34,4,0)*HLOOKUP($E125,'Equipment Assumptions'!$C$30:$Q$31,2,0),$H125*VLOOKUP($F125,Lists!$C$72:$R$232,COLUMNS(Lists!$C$69:M$69),0)*VLOOKUP(BM$3,Conversions!$B$12:$E$34,4,0)))</f>
        <v>0</v>
      </c>
      <c r="AJ125" s="334">
        <f>IF($F125="",0,IF($A125="Default",$H125*VLOOKUP($F125,Lists!$C$72:$R$232,COLUMNS(Lists!$C$69:N$69),0)*VLOOKUP(BN$3,Conversions!$B$12:$E$34,4,0)*HLOOKUP($E125,'Equipment Assumptions'!$C$30:$Q$31,2,0),$H125*VLOOKUP($F125,Lists!$C$72:$R$232,COLUMNS(Lists!$C$69:N$69),0)*VLOOKUP(BN$3,Conversions!$B$12:$E$34,4,0)))</f>
        <v>0</v>
      </c>
      <c r="AK125" s="334">
        <f>IF($F125="",0,IF($A125="Default",$H125*VLOOKUP($F125,Lists!$C$72:$R$232,COLUMNS(Lists!$C$69:O$69),0)*VLOOKUP(BO$3,Conversions!$B$12:$E$34,4,0)*HLOOKUP($E125,'Equipment Assumptions'!$C$30:$Q$31,2,0),$H125*VLOOKUP($F125,Lists!$C$72:$R$232,COLUMNS(Lists!$C$69:O$69),0)*VLOOKUP(BO$3,Conversions!$B$12:$E$34,4,0)))</f>
        <v>0</v>
      </c>
      <c r="AL125" s="334">
        <f>IF($F125="",0,IF($A125="Default",$H125*VLOOKUP($F125,Lists!$C$72:$R$232,COLUMNS(Lists!$C$69:P$69),0)*VLOOKUP(BP$3,Conversions!$B$12:$E$34,4,0)*HLOOKUP($E125,'Equipment Assumptions'!$C$30:$Q$31,2,0),$H125*VLOOKUP($F125,Lists!$C$72:$R$232,COLUMNS(Lists!$C$69:P$69),0)*VLOOKUP(BP$3,Conversions!$B$12:$E$34,4,0)))</f>
        <v>0</v>
      </c>
      <c r="AM125" s="334">
        <f>IF($F125="",0,IF($A125="Default",$H125*VLOOKUP($F125,Lists!$C$72:$R$232,COLUMNS(Lists!$C$69:Q$69),0)*VLOOKUP(BQ$3,Conversions!$B$12:$E$34,4,0)*HLOOKUP($E125,'Equipment Assumptions'!$C$30:$Q$31,2,0),$H125*VLOOKUP($F125,Lists!$C$72:$R$232,COLUMNS(Lists!$C$69:Q$69),0)*VLOOKUP(BQ$3,Conversions!$B$12:$E$34,4,0)))</f>
        <v>0</v>
      </c>
      <c r="AN125" s="334">
        <f>IF($F125="",0,IF($A125="Default",$H125*VLOOKUP($F125,Lists!$C$72:$R$232,COLUMNS(Lists!$C$69:R$69),0)*VLOOKUP(BR$3,Conversions!$B$12:$E$34,4,0)*HLOOKUP($E125,'Equipment Assumptions'!$C$30:$Q$31,2,0),$H125*VLOOKUP($F125,Lists!$C$72:$R$232,COLUMNS(Lists!$C$69:R$69),0)*VLOOKUP(BR$3,Conversions!$B$12:$E$34,4,0)))</f>
        <v>0</v>
      </c>
      <c r="AO125" s="330">
        <f t="shared" si="39"/>
        <v>0</v>
      </c>
      <c r="AP125" s="333">
        <f>IF($F125="",0,IF($A125="Default",$I125*VLOOKUP($F125,Lists!$C$72:$R$232,COLUMNS(Lists!$C$69:E$69),0)*VLOOKUP(BE$3,Conversions!$B$12:$E$34,4,0)*HLOOKUP($E125,'Equipment Assumptions'!$C$30:$Q$31,2,0),$I125*VLOOKUP($F125,Lists!$C$72:$R$232,COLUMNS(Lists!$C$69:E$69),0)*VLOOKUP(BE$3,Conversions!$B$12:$E$34,4,0)))</f>
        <v>0</v>
      </c>
      <c r="AQ125" s="333">
        <f>IF($F125="",0,IF($A125="Default",$I125*VLOOKUP($F125,Lists!$C$72:$R$232,COLUMNS(Lists!$C$69:F$69),0)*VLOOKUP(BF$3,Conversions!$B$12:$E$34,4,0)*HLOOKUP($E125,'Equipment Assumptions'!$C$30:$Q$31,2,0),$I125*VLOOKUP($F125,Lists!$C$72:$R$232,COLUMNS(Lists!$C$69:F$69),0)*VLOOKUP(BF$3,Conversions!$B$12:$E$34,4,0)))</f>
        <v>0</v>
      </c>
      <c r="AR125" s="333">
        <f>IF($F125="",0,IF($A125="Default",$I125*VLOOKUP($F125,Lists!$C$72:$R$232,COLUMNS(Lists!$C$69:G$69),0)*VLOOKUP(BG$3,Conversions!$B$12:$E$34,4,0)*HLOOKUP($E125,'Equipment Assumptions'!$C$30:$Q$31,2,0),$I125*VLOOKUP($F125,Lists!$C$72:$R$232,COLUMNS(Lists!$C$69:G$69),0)*VLOOKUP(BG$3,Conversions!$B$12:$E$34,4,0)))</f>
        <v>0</v>
      </c>
      <c r="AS125" s="333">
        <f>IF($F125="",0,IF($A125="Default",$I125*VLOOKUP($F125,Lists!$C$72:$R$232,COLUMNS(Lists!$C$69:H$69),0)*VLOOKUP(BH$3,Conversions!$B$12:$E$34,4,0)*HLOOKUP($E125,'Equipment Assumptions'!$C$30:$Q$31,2,0),$I125*VLOOKUP($F125,Lists!$C$72:$R$232,COLUMNS(Lists!$C$69:H$69),0)*VLOOKUP(BH$3,Conversions!$B$12:$E$34,4,0)))</f>
        <v>0</v>
      </c>
      <c r="AT125" s="333">
        <f>IF($F125="",0,IF($A125="Default",$I125*VLOOKUP($F125,Lists!$C$72:$R$232,COLUMNS(Lists!$C$69:I$69),0)*VLOOKUP(BI$3,Conversions!$B$12:$E$34,4,0)*HLOOKUP($E125,'Equipment Assumptions'!$C$30:$Q$31,2,0),$I125*VLOOKUP($F125,Lists!$C$72:$R$232,COLUMNS(Lists!$C$69:I$69),0)*VLOOKUP(BI$3,Conversions!$B$12:$E$34,4,0)))</f>
        <v>0</v>
      </c>
      <c r="AU125" s="333">
        <f>IF($F125="",0,IF($A125="Default",$I125*VLOOKUP($F125,Lists!$C$72:$R$232,COLUMNS(Lists!$C$69:J$69),0)*VLOOKUP(BJ$3,Conversions!$B$12:$E$34,4,0)*HLOOKUP($E125,'Equipment Assumptions'!$C$30:$Q$31,2,0),$I125*VLOOKUP($F125,Lists!$C$72:$R$232,COLUMNS(Lists!$C$69:J$69),0)*VLOOKUP(BJ$3,Conversions!$B$12:$E$34,4,0)))</f>
        <v>0</v>
      </c>
      <c r="AV125" s="333">
        <f>IF($F125="",0,IF($A125="Default",$I125*VLOOKUP($F125,Lists!$C$72:$R$232,COLUMNS(Lists!$C$69:K$69),0)*VLOOKUP(BK$3,Conversions!$B$12:$E$34,4,0)*HLOOKUP($E125,'Equipment Assumptions'!$C$30:$Q$31,2,0),$I125*VLOOKUP($F125,Lists!$C$72:$R$232,COLUMNS(Lists!$C$69:K$69),0)*VLOOKUP(BK$3,Conversions!$B$12:$E$34,4,0)))</f>
        <v>0</v>
      </c>
      <c r="AW125" s="333">
        <f>IF($F125="",0,IF($A125="Default",$I125*VLOOKUP($F125,Lists!$C$72:$R$232,COLUMNS(Lists!$C$69:L$69),0)*VLOOKUP(BL$3,Conversions!$B$12:$E$34,4,0)*HLOOKUP($E125,'Equipment Assumptions'!$C$30:$Q$31,2,0),$I125*VLOOKUP($F125,Lists!$C$72:$R$232,COLUMNS(Lists!$C$69:L$69),0)*VLOOKUP(BL$3,Conversions!$B$12:$E$34,4,0)))</f>
        <v>0</v>
      </c>
      <c r="AX125" s="333">
        <f>IF($F125="",0,IF($A125="Default",$I125*VLOOKUP($F125,Lists!$C$72:$R$232,COLUMNS(Lists!$C$69:M$69),0)*VLOOKUP(BM$3,Conversions!$B$12:$E$34,4,0)*HLOOKUP($E125,'Equipment Assumptions'!$C$30:$Q$31,2,0),$I125*VLOOKUP($F125,Lists!$C$72:$R$232,COLUMNS(Lists!$C$69:M$69),0)*VLOOKUP(BM$3,Conversions!$B$12:$E$34,4,0)))</f>
        <v>0</v>
      </c>
      <c r="AY125" s="333">
        <f>IF($F125="",0,IF($A125="Default",$I125*VLOOKUP($F125,Lists!$C$72:$R$232,COLUMNS(Lists!$C$69:N$69),0)*VLOOKUP(BN$3,Conversions!$B$12:$E$34,4,0)*HLOOKUP($E125,'Equipment Assumptions'!$C$30:$Q$31,2,0),$I125*VLOOKUP($F125,Lists!$C$72:$R$232,COLUMNS(Lists!$C$69:N$69),0)*VLOOKUP(BN$3,Conversions!$B$12:$E$34,4,0)))</f>
        <v>0</v>
      </c>
      <c r="AZ125" s="333">
        <f>IF($F125="",0,IF($A125="Default",$I125*VLOOKUP($F125,Lists!$C$72:$R$232,COLUMNS(Lists!$C$69:O$69),0)*VLOOKUP(BO$3,Conversions!$B$12:$E$34,4,0)*HLOOKUP($E125,'Equipment Assumptions'!$C$30:$Q$31,2,0),$I125*VLOOKUP($F125,Lists!$C$72:$R$232,COLUMNS(Lists!$C$69:O$69),0)*VLOOKUP(BO$3,Conversions!$B$12:$E$34,4,0)))</f>
        <v>0</v>
      </c>
      <c r="BA125" s="333">
        <f>IF($F125="",0,IF($A125="Default",$I125*VLOOKUP($F125,Lists!$C$72:$R$232,COLUMNS(Lists!$C$69:P$69),0)*VLOOKUP(BP$3,Conversions!$B$12:$E$34,4,0)*HLOOKUP($E125,'Equipment Assumptions'!$C$30:$Q$31,2,0),$I125*VLOOKUP($F125,Lists!$C$72:$R$232,COLUMNS(Lists!$C$69:P$69),0)*VLOOKUP(BP$3,Conversions!$B$12:$E$34,4,0)))</f>
        <v>0</v>
      </c>
      <c r="BB125" s="333">
        <f>IF($F125="",0,IF($A125="Default",$I125*VLOOKUP($F125,Lists!$C$72:$R$232,COLUMNS(Lists!$C$69:Q$69),0)*VLOOKUP(BQ$3,Conversions!$B$12:$E$34,4,0)*HLOOKUP($E125,'Equipment Assumptions'!$C$30:$Q$31,2,0),$I125*VLOOKUP($F125,Lists!$C$72:$R$232,COLUMNS(Lists!$C$69:Q$69),0)*VLOOKUP(BQ$3,Conversions!$B$12:$E$34,4,0)))</f>
        <v>0</v>
      </c>
      <c r="BC125" s="333">
        <f>IF($F125="",0,IF($A125="Default",$I125*VLOOKUP($F125,Lists!$C$72:$R$232,COLUMNS(Lists!$C$69:R$69),0)*VLOOKUP(BR$3,Conversions!$B$12:$E$34,4,0)*HLOOKUP($E125,'Equipment Assumptions'!$C$30:$Q$31,2,0),$I125*VLOOKUP($F125,Lists!$C$72:$R$232,COLUMNS(Lists!$C$69:R$69),0)*VLOOKUP(BR$3,Conversions!$B$12:$E$34,4,0)))</f>
        <v>0</v>
      </c>
      <c r="BD125" s="333">
        <f t="shared" si="40"/>
        <v>0</v>
      </c>
      <c r="BE125" s="330">
        <f t="shared" ref="BE125:BE163" si="145">L125+AA125+AP125</f>
        <v>0</v>
      </c>
      <c r="BF125" s="330">
        <f t="shared" ref="BF125:BF163" si="146">M125+AB125+AQ125</f>
        <v>0</v>
      </c>
      <c r="BG125" s="330">
        <f t="shared" ref="BG125:BG163" si="147">N125+AC125+AR125</f>
        <v>0</v>
      </c>
      <c r="BH125" s="330">
        <f t="shared" ref="BH125:BH163" si="148">O125+AD125+AS125</f>
        <v>0</v>
      </c>
      <c r="BI125" s="330">
        <f t="shared" ref="BI125:BI163" si="149">P125+AE125+AT125</f>
        <v>0</v>
      </c>
      <c r="BJ125" s="330">
        <f t="shared" ref="BJ125:BJ163" si="150">Q125+AF125+AU125</f>
        <v>0</v>
      </c>
      <c r="BK125" s="330">
        <f t="shared" ref="BK125:BK163" si="151">R125+AG125+AV125</f>
        <v>0</v>
      </c>
      <c r="BL125" s="330">
        <f t="shared" ref="BL125:BL163" si="152">S125+AH125+AW125</f>
        <v>0</v>
      </c>
      <c r="BM125" s="330">
        <f t="shared" ref="BM125:BM163" si="153">T125+AI125+AX125</f>
        <v>0</v>
      </c>
      <c r="BN125" s="330">
        <f t="shared" ref="BN125:BN163" si="154">U125+AJ125+AY125</f>
        <v>0</v>
      </c>
      <c r="BO125" s="330">
        <f t="shared" ref="BO125:BO163" si="155">V125+AK125+AZ125</f>
        <v>0</v>
      </c>
      <c r="BP125" s="330">
        <f t="shared" ref="BP125:BP163" si="156">W125+AL125+BA125</f>
        <v>0</v>
      </c>
      <c r="BQ125" s="330">
        <f t="shared" ref="BQ125:BQ163" si="157">X125+AM125+BB125</f>
        <v>0</v>
      </c>
      <c r="BR125" s="330">
        <f t="shared" ref="BR125:BR163" si="158">Y125+AN125+BC125</f>
        <v>0</v>
      </c>
      <c r="BS125" s="330">
        <f t="shared" ref="BS125:BS163" si="159">Z125+AO125+BD125</f>
        <v>0</v>
      </c>
      <c r="BT125" s="329">
        <f t="shared" si="142"/>
        <v>0</v>
      </c>
      <c r="BU125" s="329">
        <f t="shared" si="142"/>
        <v>0</v>
      </c>
      <c r="BV125" s="329">
        <f t="shared" si="142"/>
        <v>0</v>
      </c>
      <c r="BW125" s="329">
        <f t="shared" si="142"/>
        <v>0</v>
      </c>
      <c r="BX125" s="329">
        <f t="shared" si="142"/>
        <v>0</v>
      </c>
      <c r="BY125" s="329">
        <f t="shared" si="142"/>
        <v>0</v>
      </c>
      <c r="BZ125" s="329">
        <f t="shared" si="142"/>
        <v>0</v>
      </c>
      <c r="CA125" s="329">
        <f t="shared" si="142"/>
        <v>0</v>
      </c>
      <c r="CB125" s="329">
        <f t="shared" si="142"/>
        <v>0</v>
      </c>
      <c r="CC125" s="329">
        <f t="shared" si="142"/>
        <v>0</v>
      </c>
      <c r="CD125" s="329">
        <f t="shared" si="142"/>
        <v>0</v>
      </c>
      <c r="CE125" s="329">
        <f t="shared" si="142"/>
        <v>0</v>
      </c>
      <c r="CF125" s="329">
        <f t="shared" si="142"/>
        <v>0</v>
      </c>
      <c r="CG125" s="329">
        <f t="shared" si="142"/>
        <v>0</v>
      </c>
      <c r="CH125" s="329">
        <f t="shared" si="142"/>
        <v>0</v>
      </c>
      <c r="CI125" s="329">
        <f t="shared" si="142"/>
        <v>0</v>
      </c>
      <c r="CJ125" s="331">
        <f t="shared" si="1"/>
        <v>0</v>
      </c>
      <c r="CK125" s="330">
        <f t="shared" si="5"/>
        <v>0</v>
      </c>
      <c r="CL125" s="330">
        <f t="shared" si="6"/>
        <v>0</v>
      </c>
      <c r="CM125" s="330">
        <f t="shared" si="7"/>
        <v>0</v>
      </c>
      <c r="CN125" s="330">
        <f t="shared" si="8"/>
        <v>0</v>
      </c>
      <c r="CO125" s="330">
        <f t="shared" si="9"/>
        <v>0</v>
      </c>
      <c r="CP125" s="330">
        <f t="shared" si="10"/>
        <v>0</v>
      </c>
      <c r="CQ125" s="330">
        <f t="shared" si="94"/>
        <v>0</v>
      </c>
      <c r="CR125" s="330">
        <f t="shared" si="12"/>
        <v>0</v>
      </c>
      <c r="CS125" s="330">
        <f t="shared" si="13"/>
        <v>0</v>
      </c>
      <c r="CT125" s="330">
        <f t="shared" si="14"/>
        <v>0</v>
      </c>
      <c r="CU125" s="330">
        <f t="shared" si="143"/>
        <v>0</v>
      </c>
      <c r="CV125" s="330">
        <f t="shared" si="143"/>
        <v>0</v>
      </c>
      <c r="CW125" s="330">
        <f t="shared" si="143"/>
        <v>0</v>
      </c>
      <c r="CX125" s="330">
        <f t="shared" si="143"/>
        <v>0</v>
      </c>
      <c r="CY125" s="330">
        <f t="shared" si="143"/>
        <v>0</v>
      </c>
      <c r="CZ125" s="330">
        <f t="shared" si="143"/>
        <v>0</v>
      </c>
      <c r="DA125" s="330">
        <f t="shared" si="143"/>
        <v>0</v>
      </c>
      <c r="DB125" s="330">
        <f t="shared" si="143"/>
        <v>0</v>
      </c>
      <c r="DC125" s="330">
        <f t="shared" si="143"/>
        <v>0</v>
      </c>
      <c r="DD125" s="330">
        <f t="shared" si="143"/>
        <v>0</v>
      </c>
      <c r="DE125" s="330">
        <f t="shared" si="144"/>
        <v>0</v>
      </c>
      <c r="DF125" s="330">
        <f t="shared" si="144"/>
        <v>0</v>
      </c>
      <c r="DG125" s="330">
        <f t="shared" si="144"/>
        <v>0</v>
      </c>
      <c r="DH125" s="330">
        <f t="shared" si="144"/>
        <v>0</v>
      </c>
      <c r="DI125" s="330">
        <f t="shared" si="144"/>
        <v>0</v>
      </c>
      <c r="DJ125" s="330">
        <f t="shared" si="144"/>
        <v>0</v>
      </c>
      <c r="DK125" s="330">
        <f t="shared" si="144"/>
        <v>0</v>
      </c>
      <c r="DL125" s="330">
        <f t="shared" si="144"/>
        <v>0</v>
      </c>
      <c r="DM125" s="330">
        <f t="shared" si="144"/>
        <v>0</v>
      </c>
      <c r="DN125" s="330">
        <f t="shared" si="144"/>
        <v>0</v>
      </c>
      <c r="DO125" s="330">
        <f t="shared" si="144"/>
        <v>0</v>
      </c>
      <c r="DP125" s="330">
        <f t="shared" si="140"/>
        <v>0</v>
      </c>
      <c r="DQ125" s="217"/>
      <c r="DR125" s="217"/>
      <c r="DS125" s="217"/>
      <c r="DT125" s="217"/>
    </row>
    <row r="126" spans="1:124" x14ac:dyDescent="0.3">
      <c r="A126" s="332" t="str">
        <f>IF(AND(F126&lt;&gt;"",OR('Simplified Screening 1'!G17=0,'Simplified Screening 1'!G17="I Don't Know")),"Default","")</f>
        <v/>
      </c>
      <c r="B126" s="221" t="s">
        <v>306</v>
      </c>
      <c r="C126" s="221" t="str">
        <f>IF('Simplified Screening 1'!C17=0,"",'Simplified Screening 1'!C17)</f>
        <v/>
      </c>
      <c r="D126" s="221" t="str">
        <f>IF('Simplified Screening 1'!D17=0,"",'Simplified Screening 1'!D17)</f>
        <v/>
      </c>
      <c r="E126" s="221" t="str">
        <f>IF('Simplified Screening 1'!E17=0,"",'Simplified Screening 1'!E17)</f>
        <v/>
      </c>
      <c r="F126" s="221" t="str">
        <f>'Simplified Screening 1'!R17</f>
        <v/>
      </c>
      <c r="G126" s="272">
        <f>'Simplified Screening 1'!H17*'Simplified Screening 1'!L17*Conversions!$C$4</f>
        <v>0</v>
      </c>
      <c r="H126" s="272">
        <f>'Simplified Screening 1'!I17*'Simplified Screening 1'!M17*'Simplified Screening 1'!J17*Conversions!$C$4</f>
        <v>0</v>
      </c>
      <c r="I126" s="272">
        <f>'Simplified Screening 1'!K17*'Simplified Screening 1'!N17*(1-'Simplified Screening 1'!O17)*Conversions!$C$4</f>
        <v>0</v>
      </c>
      <c r="J126" s="325">
        <f>IF('Simplified Screening 1'!P17=0,0,'Simplified Screening 1'!P17)</f>
        <v>0</v>
      </c>
      <c r="K126" s="325">
        <f>IF(AND(OR('Simplified Screening 1'!G17=0,'Simplified Screening 1'!G17="I Don't Know"),F126&lt;&gt;""),J126*HLOOKUP(E126,'Equipment Assumptions'!$C$30:$Q$31,2,0),IF(F126="Non-HFC",0,J126))</f>
        <v>0</v>
      </c>
      <c r="L126" s="333">
        <f>IF($F126="",0,IF($A126="Default",$G126*VLOOKUP($F126,Lists!$C$72:$R$232,COLUMNS(Lists!$C$69:E$69),0)*VLOOKUP(BE$3,Conversions!$B$12:$E$34,4,0)*HLOOKUP($E126,'Equipment Assumptions'!$C$30:$Q$31,2,0),$G126*VLOOKUP($F126,Lists!$C$72:$R$232,COLUMNS(Lists!$C$69:E$69),0)*VLOOKUP(BE$3,Conversions!$B$12:$E$34,4,0)))</f>
        <v>0</v>
      </c>
      <c r="M126" s="333">
        <f>IF($F126="",0,IF($A126="Default",$G126*VLOOKUP($F126,Lists!$C$72:$R$232,COLUMNS(Lists!$C$69:F$69),0)*VLOOKUP(BF$3,Conversions!$B$12:$E$34,4,0)*HLOOKUP($E126,'Equipment Assumptions'!$C$30:$Q$31,2,0),$G126*VLOOKUP($F126,Lists!$C$72:$R$232,COLUMNS(Lists!$C$69:F$69),0)*VLOOKUP(BF$3,Conversions!$B$12:$E$34,4,0)))</f>
        <v>0</v>
      </c>
      <c r="N126" s="333">
        <f>IF($F126="",0,IF($A126="Default",$G126*VLOOKUP($F126,Lists!$C$72:$R$232,COLUMNS(Lists!$C$69:G$69),0)*VLOOKUP(BG$3,Conversions!$B$12:$E$34,4,0)*HLOOKUP($E126,'Equipment Assumptions'!$C$30:$Q$31,2,0),$G126*VLOOKUP($F126,Lists!$C$72:$R$232,COLUMNS(Lists!$C$69:G$69),0)*VLOOKUP(BG$3,Conversions!$B$12:$E$34,4,0)))</f>
        <v>0</v>
      </c>
      <c r="O126" s="333">
        <f>IF($F126="",0,IF($A126="Default",$G126*VLOOKUP($F126,Lists!$C$72:$R$232,COLUMNS(Lists!$C$69:H$69),0)*VLOOKUP(BH$3,Conversions!$B$12:$E$34,4,0)*HLOOKUP($E126,'Equipment Assumptions'!$C$30:$Q$31,2,0),$G126*VLOOKUP($F126,Lists!$C$72:$R$232,COLUMNS(Lists!$C$69:H$69),0)*VLOOKUP(BH$3,Conversions!$B$12:$E$34,4,0)))</f>
        <v>0</v>
      </c>
      <c r="P126" s="333">
        <f>IF($F126="",0,IF($A126="Default",$G126*VLOOKUP($F126,Lists!$C$72:$R$232,COLUMNS(Lists!$C$69:I$69),0)*VLOOKUP(BI$3,Conversions!$B$12:$E$34,4,0)*HLOOKUP($E126,'Equipment Assumptions'!$C$30:$Q$31,2,0),$G126*VLOOKUP($F126,Lists!$C$72:$R$232,COLUMNS(Lists!$C$69:I$69),0)*VLOOKUP(BI$3,Conversions!$B$12:$E$34,4,0)))</f>
        <v>0</v>
      </c>
      <c r="Q126" s="333">
        <f>IF($F126="",0,IF($A126="Default",$G126*VLOOKUP($F126,Lists!$C$72:$R$232,COLUMNS(Lists!$C$69:J$69),0)*VLOOKUP(BJ$3,Conversions!$B$12:$E$34,4,0)*HLOOKUP($E126,'Equipment Assumptions'!$C$30:$Q$31,2,0),$G126*VLOOKUP($F126,Lists!$C$72:$R$232,COLUMNS(Lists!$C$69:J$69),0)*VLOOKUP(BJ$3,Conversions!$B$12:$E$34,4,0)))</f>
        <v>0</v>
      </c>
      <c r="R126" s="333">
        <f>IF($F126="",0,IF($A126="Default",$G126*VLOOKUP($F126,Lists!$C$72:$R$232,COLUMNS(Lists!$C$69:K$69),0)*VLOOKUP(BK$3,Conversions!$B$12:$E$34,4,0)*HLOOKUP($E126,'Equipment Assumptions'!$C$30:$Q$31,2,0),$G126*VLOOKUP($F126,Lists!$C$72:$R$232,COLUMNS(Lists!$C$69:K$69),0)*VLOOKUP(BK$3,Conversions!$B$12:$E$34,4,0)))</f>
        <v>0</v>
      </c>
      <c r="S126" s="333">
        <f>IF($F126="",0,IF($A126="Default",$G126*VLOOKUP($F126,Lists!$C$72:$R$232,COLUMNS(Lists!$C$69:L$69),0)*VLOOKUP(BL$3,Conversions!$B$12:$E$34,4,0)*HLOOKUP($E126,'Equipment Assumptions'!$C$30:$Q$31,2,0),$G126*VLOOKUP($F126,Lists!$C$72:$R$232,COLUMNS(Lists!$C$69:L$69),0)*VLOOKUP(BL$3,Conversions!$B$12:$E$34,4,0)))</f>
        <v>0</v>
      </c>
      <c r="T126" s="333">
        <f>IF($F126="",0,IF($A126="Default",$G126*VLOOKUP($F126,Lists!$C$72:$R$232,COLUMNS(Lists!$C$69:M$69),0)*VLOOKUP(BM$3,Conversions!$B$12:$E$34,4,0)*HLOOKUP($E126,'Equipment Assumptions'!$C$30:$Q$31,2,0),$G126*VLOOKUP($F126,Lists!$C$72:$R$232,COLUMNS(Lists!$C$69:M$69),0)*VLOOKUP(BM$3,Conversions!$B$12:$E$34,4,0)))</f>
        <v>0</v>
      </c>
      <c r="U126" s="333">
        <f>IF($F126="",0,IF($A126="Default",$G126*VLOOKUP($F126,Lists!$C$72:$R$232,COLUMNS(Lists!$C$69:N$69),0)*VLOOKUP(BN$3,Conversions!$B$12:$E$34,4,0)*HLOOKUP($E126,'Equipment Assumptions'!$C$30:$Q$31,2,0),$G126*VLOOKUP($F126,Lists!$C$72:$R$232,COLUMNS(Lists!$C$69:N$69),0)*VLOOKUP(BN$3,Conversions!$B$12:$E$34,4,0)))</f>
        <v>0</v>
      </c>
      <c r="V126" s="333">
        <f>IF($F126="",0,IF($A126="Default",$G126*VLOOKUP($F126,Lists!$C$72:$R$232,COLUMNS(Lists!$C$69:O$69),0)*VLOOKUP(BO$3,Conversions!$B$12:$E$34,4,0)*HLOOKUP($E126,'Equipment Assumptions'!$C$30:$Q$31,2,0),$G126*VLOOKUP($F126,Lists!$C$72:$R$232,COLUMNS(Lists!$C$69:O$69),0)*VLOOKUP(BO$3,Conversions!$B$12:$E$34,4,0)))</f>
        <v>0</v>
      </c>
      <c r="W126" s="333">
        <f>IF($F126="",0,IF($A126="Default",$G126*VLOOKUP($F126,Lists!$C$72:$R$232,COLUMNS(Lists!$C$69:P$69),0)*VLOOKUP(BP$3,Conversions!$B$12:$E$34,4,0)*HLOOKUP($E126,'Equipment Assumptions'!$C$30:$Q$31,2,0),$G126*VLOOKUP($F126,Lists!$C$72:$R$232,COLUMNS(Lists!$C$69:P$69),0)*VLOOKUP(BP$3,Conversions!$B$12:$E$34,4,0)))</f>
        <v>0</v>
      </c>
      <c r="X126" s="333">
        <f>IF($F126="",0,IF($A126="Default",$G126*VLOOKUP($F126,Lists!$C$72:$R$232,COLUMNS(Lists!$C$69:Q$69),0)*VLOOKUP(BQ$3,Conversions!$B$12:$E$34,4,0)*HLOOKUP($E126,'Equipment Assumptions'!$C$30:$Q$31,2,0),$G126*VLOOKUP($F126,Lists!$C$72:$R$232,COLUMNS(Lists!$C$69:Q$69),0)*VLOOKUP(BQ$3,Conversions!$B$12:$E$34,4,0)))</f>
        <v>0</v>
      </c>
      <c r="Y126" s="333">
        <f>IF($F126="",0,IF($A126="Default",$G126*VLOOKUP($F126,Lists!$C$72:$R$232,COLUMNS(Lists!$C$69:R$69),0)*VLOOKUP(BR$3,Conversions!$B$12:$E$34,4,0)*HLOOKUP($E126,'Equipment Assumptions'!$C$30:$Q$31,2,0),$G126*VLOOKUP($F126,Lists!$C$72:$R$232,COLUMNS(Lists!$C$69:R$69),0)*VLOOKUP(BR$3,Conversions!$B$12:$E$34,4,0)))</f>
        <v>0</v>
      </c>
      <c r="Z126" s="325">
        <f t="shared" si="38"/>
        <v>0</v>
      </c>
      <c r="AA126" s="334">
        <f>IF($F126="",0,IF($A126="Default",$H126*VLOOKUP($F126,Lists!$C$72:$R$232,COLUMNS(Lists!$C$69:E$69),0)*VLOOKUP(BE$3,Conversions!$B$12:$E$34,4,0)*HLOOKUP($E126,'Equipment Assumptions'!$C$30:$Q$31,2,0),$H126*VLOOKUP($F126,Lists!$C$72:$R$232,COLUMNS(Lists!$C$69:E$69),0)*VLOOKUP(BE$3,Conversions!$B$12:$E$34,4,0)))</f>
        <v>0</v>
      </c>
      <c r="AB126" s="334">
        <f>IF($F126="",0,IF($A126="Default",$H126*VLOOKUP($F126,Lists!$C$72:$R$232,COLUMNS(Lists!$C$69:F$69),0)*VLOOKUP(BF$3,Conversions!$B$12:$E$34,4,0)*HLOOKUP($E126,'Equipment Assumptions'!$C$30:$Q$31,2,0),$H126*VLOOKUP($F126,Lists!$C$72:$R$232,COLUMNS(Lists!$C$69:F$69),0)*VLOOKUP(BF$3,Conversions!$B$12:$E$34,4,0)))</f>
        <v>0</v>
      </c>
      <c r="AC126" s="334">
        <f>IF($F126="",0,IF($A126="Default",$H126*VLOOKUP($F126,Lists!$C$72:$R$232,COLUMNS(Lists!$C$69:G$69),0)*VLOOKUP(BG$3,Conversions!$B$12:$E$34,4,0)*HLOOKUP($E126,'Equipment Assumptions'!$C$30:$Q$31,2,0),$H126*VLOOKUP($F126,Lists!$C$72:$R$232,COLUMNS(Lists!$C$69:G$69),0)*VLOOKUP(BG$3,Conversions!$B$12:$E$34,4,0)))</f>
        <v>0</v>
      </c>
      <c r="AD126" s="334">
        <f>IF($F126="",0,IF($A126="Default",$H126*VLOOKUP($F126,Lists!$C$72:$R$232,COLUMNS(Lists!$C$69:H$69),0)*VLOOKUP(BH$3,Conversions!$B$12:$E$34,4,0)*HLOOKUP($E126,'Equipment Assumptions'!$C$30:$Q$31,2,0),$H126*VLOOKUP($F126,Lists!$C$72:$R$232,COLUMNS(Lists!$C$69:H$69),0)*VLOOKUP(BH$3,Conversions!$B$12:$E$34,4,0)))</f>
        <v>0</v>
      </c>
      <c r="AE126" s="334">
        <f>IF($F126="",0,IF($A126="Default",$H126*VLOOKUP($F126,Lists!$C$72:$R$232,COLUMNS(Lists!$C$69:I$69),0)*VLOOKUP(BI$3,Conversions!$B$12:$E$34,4,0)*HLOOKUP($E126,'Equipment Assumptions'!$C$30:$Q$31,2,0),$H126*VLOOKUP($F126,Lists!$C$72:$R$232,COLUMNS(Lists!$C$69:I$69),0)*VLOOKUP(BI$3,Conversions!$B$12:$E$34,4,0)))</f>
        <v>0</v>
      </c>
      <c r="AF126" s="334">
        <f>IF($F126="",0,IF($A126="Default",$H126*VLOOKUP($F126,Lists!$C$72:$R$232,COLUMNS(Lists!$C$69:J$69),0)*VLOOKUP(BJ$3,Conversions!$B$12:$E$34,4,0)*HLOOKUP($E126,'Equipment Assumptions'!$C$30:$Q$31,2,0),$H126*VLOOKUP($F126,Lists!$C$72:$R$232,COLUMNS(Lists!$C$69:J$69),0)*VLOOKUP(BJ$3,Conversions!$B$12:$E$34,4,0)))</f>
        <v>0</v>
      </c>
      <c r="AG126" s="334">
        <f>IF($F126="",0,IF($A126="Default",$H126*VLOOKUP($F126,Lists!$C$72:$R$232,COLUMNS(Lists!$C$69:K$69),0)*VLOOKUP(BK$3,Conversions!$B$12:$E$34,4,0)*HLOOKUP($E126,'Equipment Assumptions'!$C$30:$Q$31,2,0),$H126*VLOOKUP($F126,Lists!$C$72:$R$232,COLUMNS(Lists!$C$69:K$69),0)*VLOOKUP(BK$3,Conversions!$B$12:$E$34,4,0)))</f>
        <v>0</v>
      </c>
      <c r="AH126" s="334">
        <f>IF($F126="",0,IF($A126="Default",$H126*VLOOKUP($F126,Lists!$C$72:$R$232,COLUMNS(Lists!$C$69:L$69),0)*VLOOKUP(BL$3,Conversions!$B$12:$E$34,4,0)*HLOOKUP($E126,'Equipment Assumptions'!$C$30:$Q$31,2,0),$H126*VLOOKUP($F126,Lists!$C$72:$R$232,COLUMNS(Lists!$C$69:L$69),0)*VLOOKUP(BL$3,Conversions!$B$12:$E$34,4,0)))</f>
        <v>0</v>
      </c>
      <c r="AI126" s="334">
        <f>IF($F126="",0,IF($A126="Default",$H126*VLOOKUP($F126,Lists!$C$72:$R$232,COLUMNS(Lists!$C$69:M$69),0)*VLOOKUP(BM$3,Conversions!$B$12:$E$34,4,0)*HLOOKUP($E126,'Equipment Assumptions'!$C$30:$Q$31,2,0),$H126*VLOOKUP($F126,Lists!$C$72:$R$232,COLUMNS(Lists!$C$69:M$69),0)*VLOOKUP(BM$3,Conversions!$B$12:$E$34,4,0)))</f>
        <v>0</v>
      </c>
      <c r="AJ126" s="334">
        <f>IF($F126="",0,IF($A126="Default",$H126*VLOOKUP($F126,Lists!$C$72:$R$232,COLUMNS(Lists!$C$69:N$69),0)*VLOOKUP(BN$3,Conversions!$B$12:$E$34,4,0)*HLOOKUP($E126,'Equipment Assumptions'!$C$30:$Q$31,2,0),$H126*VLOOKUP($F126,Lists!$C$72:$R$232,COLUMNS(Lists!$C$69:N$69),0)*VLOOKUP(BN$3,Conversions!$B$12:$E$34,4,0)))</f>
        <v>0</v>
      </c>
      <c r="AK126" s="334">
        <f>IF($F126="",0,IF($A126="Default",$H126*VLOOKUP($F126,Lists!$C$72:$R$232,COLUMNS(Lists!$C$69:O$69),0)*VLOOKUP(BO$3,Conversions!$B$12:$E$34,4,0)*HLOOKUP($E126,'Equipment Assumptions'!$C$30:$Q$31,2,0),$H126*VLOOKUP($F126,Lists!$C$72:$R$232,COLUMNS(Lists!$C$69:O$69),0)*VLOOKUP(BO$3,Conversions!$B$12:$E$34,4,0)))</f>
        <v>0</v>
      </c>
      <c r="AL126" s="334">
        <f>IF($F126="",0,IF($A126="Default",$H126*VLOOKUP($F126,Lists!$C$72:$R$232,COLUMNS(Lists!$C$69:P$69),0)*VLOOKUP(BP$3,Conversions!$B$12:$E$34,4,0)*HLOOKUP($E126,'Equipment Assumptions'!$C$30:$Q$31,2,0),$H126*VLOOKUP($F126,Lists!$C$72:$R$232,COLUMNS(Lists!$C$69:P$69),0)*VLOOKUP(BP$3,Conversions!$B$12:$E$34,4,0)))</f>
        <v>0</v>
      </c>
      <c r="AM126" s="334">
        <f>IF($F126="",0,IF($A126="Default",$H126*VLOOKUP($F126,Lists!$C$72:$R$232,COLUMNS(Lists!$C$69:Q$69),0)*VLOOKUP(BQ$3,Conversions!$B$12:$E$34,4,0)*HLOOKUP($E126,'Equipment Assumptions'!$C$30:$Q$31,2,0),$H126*VLOOKUP($F126,Lists!$C$72:$R$232,COLUMNS(Lists!$C$69:Q$69),0)*VLOOKUP(BQ$3,Conversions!$B$12:$E$34,4,0)))</f>
        <v>0</v>
      </c>
      <c r="AN126" s="334">
        <f>IF($F126="",0,IF($A126="Default",$H126*VLOOKUP($F126,Lists!$C$72:$R$232,COLUMNS(Lists!$C$69:R$69),0)*VLOOKUP(BR$3,Conversions!$B$12:$E$34,4,0)*HLOOKUP($E126,'Equipment Assumptions'!$C$30:$Q$31,2,0),$H126*VLOOKUP($F126,Lists!$C$72:$R$232,COLUMNS(Lists!$C$69:R$69),0)*VLOOKUP(BR$3,Conversions!$B$12:$E$34,4,0)))</f>
        <v>0</v>
      </c>
      <c r="AO126" s="330">
        <f t="shared" si="39"/>
        <v>0</v>
      </c>
      <c r="AP126" s="333">
        <f>IF($F126="",0,IF($A126="Default",$I126*VLOOKUP($F126,Lists!$C$72:$R$232,COLUMNS(Lists!$C$69:E$69),0)*VLOOKUP(BE$3,Conversions!$B$12:$E$34,4,0)*HLOOKUP($E126,'Equipment Assumptions'!$C$30:$Q$31,2,0),$I126*VLOOKUP($F126,Lists!$C$72:$R$232,COLUMNS(Lists!$C$69:E$69),0)*VLOOKUP(BE$3,Conversions!$B$12:$E$34,4,0)))</f>
        <v>0</v>
      </c>
      <c r="AQ126" s="333">
        <f>IF($F126="",0,IF($A126="Default",$I126*VLOOKUP($F126,Lists!$C$72:$R$232,COLUMNS(Lists!$C$69:F$69),0)*VLOOKUP(BF$3,Conversions!$B$12:$E$34,4,0)*HLOOKUP($E126,'Equipment Assumptions'!$C$30:$Q$31,2,0),$I126*VLOOKUP($F126,Lists!$C$72:$R$232,COLUMNS(Lists!$C$69:F$69),0)*VLOOKUP(BF$3,Conversions!$B$12:$E$34,4,0)))</f>
        <v>0</v>
      </c>
      <c r="AR126" s="333">
        <f>IF($F126="",0,IF($A126="Default",$I126*VLOOKUP($F126,Lists!$C$72:$R$232,COLUMNS(Lists!$C$69:G$69),0)*VLOOKUP(BG$3,Conversions!$B$12:$E$34,4,0)*HLOOKUP($E126,'Equipment Assumptions'!$C$30:$Q$31,2,0),$I126*VLOOKUP($F126,Lists!$C$72:$R$232,COLUMNS(Lists!$C$69:G$69),0)*VLOOKUP(BG$3,Conversions!$B$12:$E$34,4,0)))</f>
        <v>0</v>
      </c>
      <c r="AS126" s="333">
        <f>IF($F126="",0,IF($A126="Default",$I126*VLOOKUP($F126,Lists!$C$72:$R$232,COLUMNS(Lists!$C$69:H$69),0)*VLOOKUP(BH$3,Conversions!$B$12:$E$34,4,0)*HLOOKUP($E126,'Equipment Assumptions'!$C$30:$Q$31,2,0),$I126*VLOOKUP($F126,Lists!$C$72:$R$232,COLUMNS(Lists!$C$69:H$69),0)*VLOOKUP(BH$3,Conversions!$B$12:$E$34,4,0)))</f>
        <v>0</v>
      </c>
      <c r="AT126" s="333">
        <f>IF($F126="",0,IF($A126="Default",$I126*VLOOKUP($F126,Lists!$C$72:$R$232,COLUMNS(Lists!$C$69:I$69),0)*VLOOKUP(BI$3,Conversions!$B$12:$E$34,4,0)*HLOOKUP($E126,'Equipment Assumptions'!$C$30:$Q$31,2,0),$I126*VLOOKUP($F126,Lists!$C$72:$R$232,COLUMNS(Lists!$C$69:I$69),0)*VLOOKUP(BI$3,Conversions!$B$12:$E$34,4,0)))</f>
        <v>0</v>
      </c>
      <c r="AU126" s="333">
        <f>IF($F126="",0,IF($A126="Default",$I126*VLOOKUP($F126,Lists!$C$72:$R$232,COLUMNS(Lists!$C$69:J$69),0)*VLOOKUP(BJ$3,Conversions!$B$12:$E$34,4,0)*HLOOKUP($E126,'Equipment Assumptions'!$C$30:$Q$31,2,0),$I126*VLOOKUP($F126,Lists!$C$72:$R$232,COLUMNS(Lists!$C$69:J$69),0)*VLOOKUP(BJ$3,Conversions!$B$12:$E$34,4,0)))</f>
        <v>0</v>
      </c>
      <c r="AV126" s="333">
        <f>IF($F126="",0,IF($A126="Default",$I126*VLOOKUP($F126,Lists!$C$72:$R$232,COLUMNS(Lists!$C$69:K$69),0)*VLOOKUP(BK$3,Conversions!$B$12:$E$34,4,0)*HLOOKUP($E126,'Equipment Assumptions'!$C$30:$Q$31,2,0),$I126*VLOOKUP($F126,Lists!$C$72:$R$232,COLUMNS(Lists!$C$69:K$69),0)*VLOOKUP(BK$3,Conversions!$B$12:$E$34,4,0)))</f>
        <v>0</v>
      </c>
      <c r="AW126" s="333">
        <f>IF($F126="",0,IF($A126="Default",$I126*VLOOKUP($F126,Lists!$C$72:$R$232,COLUMNS(Lists!$C$69:L$69),0)*VLOOKUP(BL$3,Conversions!$B$12:$E$34,4,0)*HLOOKUP($E126,'Equipment Assumptions'!$C$30:$Q$31,2,0),$I126*VLOOKUP($F126,Lists!$C$72:$R$232,COLUMNS(Lists!$C$69:L$69),0)*VLOOKUP(BL$3,Conversions!$B$12:$E$34,4,0)))</f>
        <v>0</v>
      </c>
      <c r="AX126" s="333">
        <f>IF($F126="",0,IF($A126="Default",$I126*VLOOKUP($F126,Lists!$C$72:$R$232,COLUMNS(Lists!$C$69:M$69),0)*VLOOKUP(BM$3,Conversions!$B$12:$E$34,4,0)*HLOOKUP($E126,'Equipment Assumptions'!$C$30:$Q$31,2,0),$I126*VLOOKUP($F126,Lists!$C$72:$R$232,COLUMNS(Lists!$C$69:M$69),0)*VLOOKUP(BM$3,Conversions!$B$12:$E$34,4,0)))</f>
        <v>0</v>
      </c>
      <c r="AY126" s="333">
        <f>IF($F126="",0,IF($A126="Default",$I126*VLOOKUP($F126,Lists!$C$72:$R$232,COLUMNS(Lists!$C$69:N$69),0)*VLOOKUP(BN$3,Conversions!$B$12:$E$34,4,0)*HLOOKUP($E126,'Equipment Assumptions'!$C$30:$Q$31,2,0),$I126*VLOOKUP($F126,Lists!$C$72:$R$232,COLUMNS(Lists!$C$69:N$69),0)*VLOOKUP(BN$3,Conversions!$B$12:$E$34,4,0)))</f>
        <v>0</v>
      </c>
      <c r="AZ126" s="333">
        <f>IF($F126="",0,IF($A126="Default",$I126*VLOOKUP($F126,Lists!$C$72:$R$232,COLUMNS(Lists!$C$69:O$69),0)*VLOOKUP(BO$3,Conversions!$B$12:$E$34,4,0)*HLOOKUP($E126,'Equipment Assumptions'!$C$30:$Q$31,2,0),$I126*VLOOKUP($F126,Lists!$C$72:$R$232,COLUMNS(Lists!$C$69:O$69),0)*VLOOKUP(BO$3,Conversions!$B$12:$E$34,4,0)))</f>
        <v>0</v>
      </c>
      <c r="BA126" s="333">
        <f>IF($F126="",0,IF($A126="Default",$I126*VLOOKUP($F126,Lists!$C$72:$R$232,COLUMNS(Lists!$C$69:P$69),0)*VLOOKUP(BP$3,Conversions!$B$12:$E$34,4,0)*HLOOKUP($E126,'Equipment Assumptions'!$C$30:$Q$31,2,0),$I126*VLOOKUP($F126,Lists!$C$72:$R$232,COLUMNS(Lists!$C$69:P$69),0)*VLOOKUP(BP$3,Conversions!$B$12:$E$34,4,0)))</f>
        <v>0</v>
      </c>
      <c r="BB126" s="333">
        <f>IF($F126="",0,IF($A126="Default",$I126*VLOOKUP($F126,Lists!$C$72:$R$232,COLUMNS(Lists!$C$69:Q$69),0)*VLOOKUP(BQ$3,Conversions!$B$12:$E$34,4,0)*HLOOKUP($E126,'Equipment Assumptions'!$C$30:$Q$31,2,0),$I126*VLOOKUP($F126,Lists!$C$72:$R$232,COLUMNS(Lists!$C$69:Q$69),0)*VLOOKUP(BQ$3,Conversions!$B$12:$E$34,4,0)))</f>
        <v>0</v>
      </c>
      <c r="BC126" s="333">
        <f>IF($F126="",0,IF($A126="Default",$I126*VLOOKUP($F126,Lists!$C$72:$R$232,COLUMNS(Lists!$C$69:R$69),0)*VLOOKUP(BR$3,Conversions!$B$12:$E$34,4,0)*HLOOKUP($E126,'Equipment Assumptions'!$C$30:$Q$31,2,0),$I126*VLOOKUP($F126,Lists!$C$72:$R$232,COLUMNS(Lists!$C$69:R$69),0)*VLOOKUP(BR$3,Conversions!$B$12:$E$34,4,0)))</f>
        <v>0</v>
      </c>
      <c r="BD126" s="333">
        <f t="shared" si="40"/>
        <v>0</v>
      </c>
      <c r="BE126" s="330">
        <f t="shared" si="145"/>
        <v>0</v>
      </c>
      <c r="BF126" s="330">
        <f t="shared" si="146"/>
        <v>0</v>
      </c>
      <c r="BG126" s="330">
        <f t="shared" si="147"/>
        <v>0</v>
      </c>
      <c r="BH126" s="330">
        <f t="shared" si="148"/>
        <v>0</v>
      </c>
      <c r="BI126" s="330">
        <f t="shared" si="149"/>
        <v>0</v>
      </c>
      <c r="BJ126" s="330">
        <f t="shared" si="150"/>
        <v>0</v>
      </c>
      <c r="BK126" s="330">
        <f t="shared" si="151"/>
        <v>0</v>
      </c>
      <c r="BL126" s="330">
        <f t="shared" si="152"/>
        <v>0</v>
      </c>
      <c r="BM126" s="330">
        <f t="shared" si="153"/>
        <v>0</v>
      </c>
      <c r="BN126" s="330">
        <f t="shared" si="154"/>
        <v>0</v>
      </c>
      <c r="BO126" s="330">
        <f t="shared" si="155"/>
        <v>0</v>
      </c>
      <c r="BP126" s="330">
        <f t="shared" si="156"/>
        <v>0</v>
      </c>
      <c r="BQ126" s="330">
        <f t="shared" si="157"/>
        <v>0</v>
      </c>
      <c r="BR126" s="330">
        <f t="shared" si="158"/>
        <v>0</v>
      </c>
      <c r="BS126" s="330">
        <f t="shared" si="159"/>
        <v>0</v>
      </c>
      <c r="BT126" s="329">
        <f t="shared" si="142"/>
        <v>0</v>
      </c>
      <c r="BU126" s="329">
        <f t="shared" si="142"/>
        <v>0</v>
      </c>
      <c r="BV126" s="329">
        <f t="shared" si="142"/>
        <v>0</v>
      </c>
      <c r="BW126" s="329">
        <f t="shared" si="142"/>
        <v>0</v>
      </c>
      <c r="BX126" s="329">
        <f t="shared" si="142"/>
        <v>0</v>
      </c>
      <c r="BY126" s="329">
        <f t="shared" si="142"/>
        <v>0</v>
      </c>
      <c r="BZ126" s="329">
        <f t="shared" si="142"/>
        <v>0</v>
      </c>
      <c r="CA126" s="329">
        <f t="shared" si="142"/>
        <v>0</v>
      </c>
      <c r="CB126" s="329">
        <f t="shared" si="142"/>
        <v>0</v>
      </c>
      <c r="CC126" s="329">
        <f t="shared" si="142"/>
        <v>0</v>
      </c>
      <c r="CD126" s="329">
        <f t="shared" si="142"/>
        <v>0</v>
      </c>
      <c r="CE126" s="329">
        <f t="shared" si="142"/>
        <v>0</v>
      </c>
      <c r="CF126" s="329">
        <f t="shared" si="142"/>
        <v>0</v>
      </c>
      <c r="CG126" s="329">
        <f t="shared" si="142"/>
        <v>0</v>
      </c>
      <c r="CH126" s="329">
        <f t="shared" si="142"/>
        <v>0</v>
      </c>
      <c r="CI126" s="329">
        <f t="shared" si="142"/>
        <v>0</v>
      </c>
      <c r="CJ126" s="331">
        <f t="shared" si="1"/>
        <v>0</v>
      </c>
      <c r="CK126" s="330">
        <f t="shared" si="5"/>
        <v>0</v>
      </c>
      <c r="CL126" s="330">
        <f t="shared" si="6"/>
        <v>0</v>
      </c>
      <c r="CM126" s="330">
        <f t="shared" si="7"/>
        <v>0</v>
      </c>
      <c r="CN126" s="330">
        <f t="shared" si="8"/>
        <v>0</v>
      </c>
      <c r="CO126" s="330">
        <f t="shared" si="9"/>
        <v>0</v>
      </c>
      <c r="CP126" s="330">
        <f t="shared" si="10"/>
        <v>0</v>
      </c>
      <c r="CQ126" s="330">
        <f t="shared" si="94"/>
        <v>0</v>
      </c>
      <c r="CR126" s="330">
        <f t="shared" si="12"/>
        <v>0</v>
      </c>
      <c r="CS126" s="330">
        <f t="shared" si="13"/>
        <v>0</v>
      </c>
      <c r="CT126" s="330">
        <f t="shared" si="14"/>
        <v>0</v>
      </c>
      <c r="CU126" s="330">
        <f t="shared" si="143"/>
        <v>0</v>
      </c>
      <c r="CV126" s="330">
        <f t="shared" si="143"/>
        <v>0</v>
      </c>
      <c r="CW126" s="330">
        <f t="shared" si="143"/>
        <v>0</v>
      </c>
      <c r="CX126" s="330">
        <f t="shared" si="143"/>
        <v>0</v>
      </c>
      <c r="CY126" s="330">
        <f t="shared" si="143"/>
        <v>0</v>
      </c>
      <c r="CZ126" s="330">
        <f t="shared" si="143"/>
        <v>0</v>
      </c>
      <c r="DA126" s="330">
        <f t="shared" si="143"/>
        <v>0</v>
      </c>
      <c r="DB126" s="330">
        <f t="shared" si="143"/>
        <v>0</v>
      </c>
      <c r="DC126" s="330">
        <f t="shared" si="143"/>
        <v>0</v>
      </c>
      <c r="DD126" s="330">
        <f t="shared" si="143"/>
        <v>0</v>
      </c>
      <c r="DE126" s="330">
        <f t="shared" si="144"/>
        <v>0</v>
      </c>
      <c r="DF126" s="330">
        <f t="shared" si="144"/>
        <v>0</v>
      </c>
      <c r="DG126" s="330">
        <f t="shared" si="144"/>
        <v>0</v>
      </c>
      <c r="DH126" s="330">
        <f t="shared" si="144"/>
        <v>0</v>
      </c>
      <c r="DI126" s="330">
        <f t="shared" si="144"/>
        <v>0</v>
      </c>
      <c r="DJ126" s="330">
        <f t="shared" si="144"/>
        <v>0</v>
      </c>
      <c r="DK126" s="330">
        <f t="shared" si="144"/>
        <v>0</v>
      </c>
      <c r="DL126" s="330">
        <f t="shared" si="144"/>
        <v>0</v>
      </c>
      <c r="DM126" s="330">
        <f t="shared" si="144"/>
        <v>0</v>
      </c>
      <c r="DN126" s="330">
        <f t="shared" si="144"/>
        <v>0</v>
      </c>
      <c r="DO126" s="330">
        <f t="shared" si="144"/>
        <v>0</v>
      </c>
      <c r="DP126" s="330">
        <f t="shared" si="140"/>
        <v>0</v>
      </c>
      <c r="DQ126" s="217"/>
      <c r="DR126" s="217"/>
      <c r="DS126" s="217"/>
      <c r="DT126" s="217"/>
    </row>
    <row r="127" spans="1:124" x14ac:dyDescent="0.3">
      <c r="A127" s="332" t="str">
        <f>IF(AND(F127&lt;&gt;"",OR('Simplified Screening 1'!G18=0,'Simplified Screening 1'!G18="I Don't Know")),"Default","")</f>
        <v/>
      </c>
      <c r="B127" s="221" t="s">
        <v>306</v>
      </c>
      <c r="C127" s="221" t="str">
        <f>IF('Simplified Screening 1'!C18=0,"",'Simplified Screening 1'!C18)</f>
        <v/>
      </c>
      <c r="D127" s="221" t="str">
        <f>IF('Simplified Screening 1'!D18=0,"",'Simplified Screening 1'!D18)</f>
        <v/>
      </c>
      <c r="E127" s="221" t="str">
        <f>IF('Simplified Screening 1'!E18=0,"",'Simplified Screening 1'!E18)</f>
        <v/>
      </c>
      <c r="F127" s="221" t="str">
        <f>'Simplified Screening 1'!R18</f>
        <v/>
      </c>
      <c r="G127" s="272">
        <f>'Simplified Screening 1'!H18*'Simplified Screening 1'!L18*Conversions!$C$4</f>
        <v>0</v>
      </c>
      <c r="H127" s="272">
        <f>'Simplified Screening 1'!I18*'Simplified Screening 1'!M18*'Simplified Screening 1'!J18*Conversions!$C$4</f>
        <v>0</v>
      </c>
      <c r="I127" s="272">
        <f>'Simplified Screening 1'!K18*'Simplified Screening 1'!N18*(1-'Simplified Screening 1'!O18)*Conversions!$C$4</f>
        <v>0</v>
      </c>
      <c r="J127" s="325">
        <f>IF('Simplified Screening 1'!P18=0,0,'Simplified Screening 1'!P18)</f>
        <v>0</v>
      </c>
      <c r="K127" s="325">
        <f>IF(AND(OR('Simplified Screening 1'!G18=0,'Simplified Screening 1'!G18="I Don't Know"),F127&lt;&gt;""),J127*HLOOKUP(E127,'Equipment Assumptions'!$C$30:$Q$31,2,0),IF(F127="Non-HFC",0,J127))</f>
        <v>0</v>
      </c>
      <c r="L127" s="333">
        <f>IF($F127="",0,IF($A127="Default",$G127*VLOOKUP($F127,Lists!$C$72:$R$232,COLUMNS(Lists!$C$69:E$69),0)*VLOOKUP(BE$3,Conversions!$B$12:$E$34,4,0)*HLOOKUP($E127,'Equipment Assumptions'!$C$30:$Q$31,2,0),$G127*VLOOKUP($F127,Lists!$C$72:$R$232,COLUMNS(Lists!$C$69:E$69),0)*VLOOKUP(BE$3,Conversions!$B$12:$E$34,4,0)))</f>
        <v>0</v>
      </c>
      <c r="M127" s="333">
        <f>IF($F127="",0,IF($A127="Default",$G127*VLOOKUP($F127,Lists!$C$72:$R$232,COLUMNS(Lists!$C$69:F$69),0)*VLOOKUP(BF$3,Conversions!$B$12:$E$34,4,0)*HLOOKUP($E127,'Equipment Assumptions'!$C$30:$Q$31,2,0),$G127*VLOOKUP($F127,Lists!$C$72:$R$232,COLUMNS(Lists!$C$69:F$69),0)*VLOOKUP(BF$3,Conversions!$B$12:$E$34,4,0)))</f>
        <v>0</v>
      </c>
      <c r="N127" s="333">
        <f>IF($F127="",0,IF($A127="Default",$G127*VLOOKUP($F127,Lists!$C$72:$R$232,COLUMNS(Lists!$C$69:G$69),0)*VLOOKUP(BG$3,Conversions!$B$12:$E$34,4,0)*HLOOKUP($E127,'Equipment Assumptions'!$C$30:$Q$31,2,0),$G127*VLOOKUP($F127,Lists!$C$72:$R$232,COLUMNS(Lists!$C$69:G$69),0)*VLOOKUP(BG$3,Conversions!$B$12:$E$34,4,0)))</f>
        <v>0</v>
      </c>
      <c r="O127" s="333">
        <f>IF($F127="",0,IF($A127="Default",$G127*VLOOKUP($F127,Lists!$C$72:$R$232,COLUMNS(Lists!$C$69:H$69),0)*VLOOKUP(BH$3,Conversions!$B$12:$E$34,4,0)*HLOOKUP($E127,'Equipment Assumptions'!$C$30:$Q$31,2,0),$G127*VLOOKUP($F127,Lists!$C$72:$R$232,COLUMNS(Lists!$C$69:H$69),0)*VLOOKUP(BH$3,Conversions!$B$12:$E$34,4,0)))</f>
        <v>0</v>
      </c>
      <c r="P127" s="333">
        <f>IF($F127="",0,IF($A127="Default",$G127*VLOOKUP($F127,Lists!$C$72:$R$232,COLUMNS(Lists!$C$69:I$69),0)*VLOOKUP(BI$3,Conversions!$B$12:$E$34,4,0)*HLOOKUP($E127,'Equipment Assumptions'!$C$30:$Q$31,2,0),$G127*VLOOKUP($F127,Lists!$C$72:$R$232,COLUMNS(Lists!$C$69:I$69),0)*VLOOKUP(BI$3,Conversions!$B$12:$E$34,4,0)))</f>
        <v>0</v>
      </c>
      <c r="Q127" s="333">
        <f>IF($F127="",0,IF($A127="Default",$G127*VLOOKUP($F127,Lists!$C$72:$R$232,COLUMNS(Lists!$C$69:J$69),0)*VLOOKUP(BJ$3,Conversions!$B$12:$E$34,4,0)*HLOOKUP($E127,'Equipment Assumptions'!$C$30:$Q$31,2,0),$G127*VLOOKUP($F127,Lists!$C$72:$R$232,COLUMNS(Lists!$C$69:J$69),0)*VLOOKUP(BJ$3,Conversions!$B$12:$E$34,4,0)))</f>
        <v>0</v>
      </c>
      <c r="R127" s="333">
        <f>IF($F127="",0,IF($A127="Default",$G127*VLOOKUP($F127,Lists!$C$72:$R$232,COLUMNS(Lists!$C$69:K$69),0)*VLOOKUP(BK$3,Conversions!$B$12:$E$34,4,0)*HLOOKUP($E127,'Equipment Assumptions'!$C$30:$Q$31,2,0),$G127*VLOOKUP($F127,Lists!$C$72:$R$232,COLUMNS(Lists!$C$69:K$69),0)*VLOOKUP(BK$3,Conversions!$B$12:$E$34,4,0)))</f>
        <v>0</v>
      </c>
      <c r="S127" s="333">
        <f>IF($F127="",0,IF($A127="Default",$G127*VLOOKUP($F127,Lists!$C$72:$R$232,COLUMNS(Lists!$C$69:L$69),0)*VLOOKUP(BL$3,Conversions!$B$12:$E$34,4,0)*HLOOKUP($E127,'Equipment Assumptions'!$C$30:$Q$31,2,0),$G127*VLOOKUP($F127,Lists!$C$72:$R$232,COLUMNS(Lists!$C$69:L$69),0)*VLOOKUP(BL$3,Conversions!$B$12:$E$34,4,0)))</f>
        <v>0</v>
      </c>
      <c r="T127" s="333">
        <f>IF($F127="",0,IF($A127="Default",$G127*VLOOKUP($F127,Lists!$C$72:$R$232,COLUMNS(Lists!$C$69:M$69),0)*VLOOKUP(BM$3,Conversions!$B$12:$E$34,4,0)*HLOOKUP($E127,'Equipment Assumptions'!$C$30:$Q$31,2,0),$G127*VLOOKUP($F127,Lists!$C$72:$R$232,COLUMNS(Lists!$C$69:M$69),0)*VLOOKUP(BM$3,Conversions!$B$12:$E$34,4,0)))</f>
        <v>0</v>
      </c>
      <c r="U127" s="333">
        <f>IF($F127="",0,IF($A127="Default",$G127*VLOOKUP($F127,Lists!$C$72:$R$232,COLUMNS(Lists!$C$69:N$69),0)*VLOOKUP(BN$3,Conversions!$B$12:$E$34,4,0)*HLOOKUP($E127,'Equipment Assumptions'!$C$30:$Q$31,2,0),$G127*VLOOKUP($F127,Lists!$C$72:$R$232,COLUMNS(Lists!$C$69:N$69),0)*VLOOKUP(BN$3,Conversions!$B$12:$E$34,4,0)))</f>
        <v>0</v>
      </c>
      <c r="V127" s="333">
        <f>IF($F127="",0,IF($A127="Default",$G127*VLOOKUP($F127,Lists!$C$72:$R$232,COLUMNS(Lists!$C$69:O$69),0)*VLOOKUP(BO$3,Conversions!$B$12:$E$34,4,0)*HLOOKUP($E127,'Equipment Assumptions'!$C$30:$Q$31,2,0),$G127*VLOOKUP($F127,Lists!$C$72:$R$232,COLUMNS(Lists!$C$69:O$69),0)*VLOOKUP(BO$3,Conversions!$B$12:$E$34,4,0)))</f>
        <v>0</v>
      </c>
      <c r="W127" s="333">
        <f>IF($F127="",0,IF($A127="Default",$G127*VLOOKUP($F127,Lists!$C$72:$R$232,COLUMNS(Lists!$C$69:P$69),0)*VLOOKUP(BP$3,Conversions!$B$12:$E$34,4,0)*HLOOKUP($E127,'Equipment Assumptions'!$C$30:$Q$31,2,0),$G127*VLOOKUP($F127,Lists!$C$72:$R$232,COLUMNS(Lists!$C$69:P$69),0)*VLOOKUP(BP$3,Conversions!$B$12:$E$34,4,0)))</f>
        <v>0</v>
      </c>
      <c r="X127" s="333">
        <f>IF($F127="",0,IF($A127="Default",$G127*VLOOKUP($F127,Lists!$C$72:$R$232,COLUMNS(Lists!$C$69:Q$69),0)*VLOOKUP(BQ$3,Conversions!$B$12:$E$34,4,0)*HLOOKUP($E127,'Equipment Assumptions'!$C$30:$Q$31,2,0),$G127*VLOOKUP($F127,Lists!$C$72:$R$232,COLUMNS(Lists!$C$69:Q$69),0)*VLOOKUP(BQ$3,Conversions!$B$12:$E$34,4,0)))</f>
        <v>0</v>
      </c>
      <c r="Y127" s="333">
        <f>IF($F127="",0,IF($A127="Default",$G127*VLOOKUP($F127,Lists!$C$72:$R$232,COLUMNS(Lists!$C$69:R$69),0)*VLOOKUP(BR$3,Conversions!$B$12:$E$34,4,0)*HLOOKUP($E127,'Equipment Assumptions'!$C$30:$Q$31,2,0),$G127*VLOOKUP($F127,Lists!$C$72:$R$232,COLUMNS(Lists!$C$69:R$69),0)*VLOOKUP(BR$3,Conversions!$B$12:$E$34,4,0)))</f>
        <v>0</v>
      </c>
      <c r="Z127" s="325">
        <f t="shared" si="38"/>
        <v>0</v>
      </c>
      <c r="AA127" s="334">
        <f>IF($F127="",0,IF($A127="Default",$H127*VLOOKUP($F127,Lists!$C$72:$R$232,COLUMNS(Lists!$C$69:E$69),0)*VLOOKUP(BE$3,Conversions!$B$12:$E$34,4,0)*HLOOKUP($E127,'Equipment Assumptions'!$C$30:$Q$31,2,0),$H127*VLOOKUP($F127,Lists!$C$72:$R$232,COLUMNS(Lists!$C$69:E$69),0)*VLOOKUP(BE$3,Conversions!$B$12:$E$34,4,0)))</f>
        <v>0</v>
      </c>
      <c r="AB127" s="334">
        <f>IF($F127="",0,IF($A127="Default",$H127*VLOOKUP($F127,Lists!$C$72:$R$232,COLUMNS(Lists!$C$69:F$69),0)*VLOOKUP(BF$3,Conversions!$B$12:$E$34,4,0)*HLOOKUP($E127,'Equipment Assumptions'!$C$30:$Q$31,2,0),$H127*VLOOKUP($F127,Lists!$C$72:$R$232,COLUMNS(Lists!$C$69:F$69),0)*VLOOKUP(BF$3,Conversions!$B$12:$E$34,4,0)))</f>
        <v>0</v>
      </c>
      <c r="AC127" s="334">
        <f>IF($F127="",0,IF($A127="Default",$H127*VLOOKUP($F127,Lists!$C$72:$R$232,COLUMNS(Lists!$C$69:G$69),0)*VLOOKUP(BG$3,Conversions!$B$12:$E$34,4,0)*HLOOKUP($E127,'Equipment Assumptions'!$C$30:$Q$31,2,0),$H127*VLOOKUP($F127,Lists!$C$72:$R$232,COLUMNS(Lists!$C$69:G$69),0)*VLOOKUP(BG$3,Conversions!$B$12:$E$34,4,0)))</f>
        <v>0</v>
      </c>
      <c r="AD127" s="334">
        <f>IF($F127="",0,IF($A127="Default",$H127*VLOOKUP($F127,Lists!$C$72:$R$232,COLUMNS(Lists!$C$69:H$69),0)*VLOOKUP(BH$3,Conversions!$B$12:$E$34,4,0)*HLOOKUP($E127,'Equipment Assumptions'!$C$30:$Q$31,2,0),$H127*VLOOKUP($F127,Lists!$C$72:$R$232,COLUMNS(Lists!$C$69:H$69),0)*VLOOKUP(BH$3,Conversions!$B$12:$E$34,4,0)))</f>
        <v>0</v>
      </c>
      <c r="AE127" s="334">
        <f>IF($F127="",0,IF($A127="Default",$H127*VLOOKUP($F127,Lists!$C$72:$R$232,COLUMNS(Lists!$C$69:I$69),0)*VLOOKUP(BI$3,Conversions!$B$12:$E$34,4,0)*HLOOKUP($E127,'Equipment Assumptions'!$C$30:$Q$31,2,0),$H127*VLOOKUP($F127,Lists!$C$72:$R$232,COLUMNS(Lists!$C$69:I$69),0)*VLOOKUP(BI$3,Conversions!$B$12:$E$34,4,0)))</f>
        <v>0</v>
      </c>
      <c r="AF127" s="334">
        <f>IF($F127="",0,IF($A127="Default",$H127*VLOOKUP($F127,Lists!$C$72:$R$232,COLUMNS(Lists!$C$69:J$69),0)*VLOOKUP(BJ$3,Conversions!$B$12:$E$34,4,0)*HLOOKUP($E127,'Equipment Assumptions'!$C$30:$Q$31,2,0),$H127*VLOOKUP($F127,Lists!$C$72:$R$232,COLUMNS(Lists!$C$69:J$69),0)*VLOOKUP(BJ$3,Conversions!$B$12:$E$34,4,0)))</f>
        <v>0</v>
      </c>
      <c r="AG127" s="334">
        <f>IF($F127="",0,IF($A127="Default",$H127*VLOOKUP($F127,Lists!$C$72:$R$232,COLUMNS(Lists!$C$69:K$69),0)*VLOOKUP(BK$3,Conversions!$B$12:$E$34,4,0)*HLOOKUP($E127,'Equipment Assumptions'!$C$30:$Q$31,2,0),$H127*VLOOKUP($F127,Lists!$C$72:$R$232,COLUMNS(Lists!$C$69:K$69),0)*VLOOKUP(BK$3,Conversions!$B$12:$E$34,4,0)))</f>
        <v>0</v>
      </c>
      <c r="AH127" s="334">
        <f>IF($F127="",0,IF($A127="Default",$H127*VLOOKUP($F127,Lists!$C$72:$R$232,COLUMNS(Lists!$C$69:L$69),0)*VLOOKUP(BL$3,Conversions!$B$12:$E$34,4,0)*HLOOKUP($E127,'Equipment Assumptions'!$C$30:$Q$31,2,0),$H127*VLOOKUP($F127,Lists!$C$72:$R$232,COLUMNS(Lists!$C$69:L$69),0)*VLOOKUP(BL$3,Conversions!$B$12:$E$34,4,0)))</f>
        <v>0</v>
      </c>
      <c r="AI127" s="334">
        <f>IF($F127="",0,IF($A127="Default",$H127*VLOOKUP($F127,Lists!$C$72:$R$232,COLUMNS(Lists!$C$69:M$69),0)*VLOOKUP(BM$3,Conversions!$B$12:$E$34,4,0)*HLOOKUP($E127,'Equipment Assumptions'!$C$30:$Q$31,2,0),$H127*VLOOKUP($F127,Lists!$C$72:$R$232,COLUMNS(Lists!$C$69:M$69),0)*VLOOKUP(BM$3,Conversions!$B$12:$E$34,4,0)))</f>
        <v>0</v>
      </c>
      <c r="AJ127" s="334">
        <f>IF($F127="",0,IF($A127="Default",$H127*VLOOKUP($F127,Lists!$C$72:$R$232,COLUMNS(Lists!$C$69:N$69),0)*VLOOKUP(BN$3,Conversions!$B$12:$E$34,4,0)*HLOOKUP($E127,'Equipment Assumptions'!$C$30:$Q$31,2,0),$H127*VLOOKUP($F127,Lists!$C$72:$R$232,COLUMNS(Lists!$C$69:N$69),0)*VLOOKUP(BN$3,Conversions!$B$12:$E$34,4,0)))</f>
        <v>0</v>
      </c>
      <c r="AK127" s="334">
        <f>IF($F127="",0,IF($A127="Default",$H127*VLOOKUP($F127,Lists!$C$72:$R$232,COLUMNS(Lists!$C$69:O$69),0)*VLOOKUP(BO$3,Conversions!$B$12:$E$34,4,0)*HLOOKUP($E127,'Equipment Assumptions'!$C$30:$Q$31,2,0),$H127*VLOOKUP($F127,Lists!$C$72:$R$232,COLUMNS(Lists!$C$69:O$69),0)*VLOOKUP(BO$3,Conversions!$B$12:$E$34,4,0)))</f>
        <v>0</v>
      </c>
      <c r="AL127" s="334">
        <f>IF($F127="",0,IF($A127="Default",$H127*VLOOKUP($F127,Lists!$C$72:$R$232,COLUMNS(Lists!$C$69:P$69),0)*VLOOKUP(BP$3,Conversions!$B$12:$E$34,4,0)*HLOOKUP($E127,'Equipment Assumptions'!$C$30:$Q$31,2,0),$H127*VLOOKUP($F127,Lists!$C$72:$R$232,COLUMNS(Lists!$C$69:P$69),0)*VLOOKUP(BP$3,Conversions!$B$12:$E$34,4,0)))</f>
        <v>0</v>
      </c>
      <c r="AM127" s="334">
        <f>IF($F127="",0,IF($A127="Default",$H127*VLOOKUP($F127,Lists!$C$72:$R$232,COLUMNS(Lists!$C$69:Q$69),0)*VLOOKUP(BQ$3,Conversions!$B$12:$E$34,4,0)*HLOOKUP($E127,'Equipment Assumptions'!$C$30:$Q$31,2,0),$H127*VLOOKUP($F127,Lists!$C$72:$R$232,COLUMNS(Lists!$C$69:Q$69),0)*VLOOKUP(BQ$3,Conversions!$B$12:$E$34,4,0)))</f>
        <v>0</v>
      </c>
      <c r="AN127" s="334">
        <f>IF($F127="",0,IF($A127="Default",$H127*VLOOKUP($F127,Lists!$C$72:$R$232,COLUMNS(Lists!$C$69:R$69),0)*VLOOKUP(BR$3,Conversions!$B$12:$E$34,4,0)*HLOOKUP($E127,'Equipment Assumptions'!$C$30:$Q$31,2,0),$H127*VLOOKUP($F127,Lists!$C$72:$R$232,COLUMNS(Lists!$C$69:R$69),0)*VLOOKUP(BR$3,Conversions!$B$12:$E$34,4,0)))</f>
        <v>0</v>
      </c>
      <c r="AO127" s="330">
        <f t="shared" si="39"/>
        <v>0</v>
      </c>
      <c r="AP127" s="333">
        <f>IF($F127="",0,IF($A127="Default",$I127*VLOOKUP($F127,Lists!$C$72:$R$232,COLUMNS(Lists!$C$69:E$69),0)*VLOOKUP(BE$3,Conversions!$B$12:$E$34,4,0)*HLOOKUP($E127,'Equipment Assumptions'!$C$30:$Q$31,2,0),$I127*VLOOKUP($F127,Lists!$C$72:$R$232,COLUMNS(Lists!$C$69:E$69),0)*VLOOKUP(BE$3,Conversions!$B$12:$E$34,4,0)))</f>
        <v>0</v>
      </c>
      <c r="AQ127" s="333">
        <f>IF($F127="",0,IF($A127="Default",$I127*VLOOKUP($F127,Lists!$C$72:$R$232,COLUMNS(Lists!$C$69:F$69),0)*VLOOKUP(BF$3,Conversions!$B$12:$E$34,4,0)*HLOOKUP($E127,'Equipment Assumptions'!$C$30:$Q$31,2,0),$I127*VLOOKUP($F127,Lists!$C$72:$R$232,COLUMNS(Lists!$C$69:F$69),0)*VLOOKUP(BF$3,Conversions!$B$12:$E$34,4,0)))</f>
        <v>0</v>
      </c>
      <c r="AR127" s="333">
        <f>IF($F127="",0,IF($A127="Default",$I127*VLOOKUP($F127,Lists!$C$72:$R$232,COLUMNS(Lists!$C$69:G$69),0)*VLOOKUP(BG$3,Conversions!$B$12:$E$34,4,0)*HLOOKUP($E127,'Equipment Assumptions'!$C$30:$Q$31,2,0),$I127*VLOOKUP($F127,Lists!$C$72:$R$232,COLUMNS(Lists!$C$69:G$69),0)*VLOOKUP(BG$3,Conversions!$B$12:$E$34,4,0)))</f>
        <v>0</v>
      </c>
      <c r="AS127" s="333">
        <f>IF($F127="",0,IF($A127="Default",$I127*VLOOKUP($F127,Lists!$C$72:$R$232,COLUMNS(Lists!$C$69:H$69),0)*VLOOKUP(BH$3,Conversions!$B$12:$E$34,4,0)*HLOOKUP($E127,'Equipment Assumptions'!$C$30:$Q$31,2,0),$I127*VLOOKUP($F127,Lists!$C$72:$R$232,COLUMNS(Lists!$C$69:H$69),0)*VLOOKUP(BH$3,Conversions!$B$12:$E$34,4,0)))</f>
        <v>0</v>
      </c>
      <c r="AT127" s="333">
        <f>IF($F127="",0,IF($A127="Default",$I127*VLOOKUP($F127,Lists!$C$72:$R$232,COLUMNS(Lists!$C$69:I$69),0)*VLOOKUP(BI$3,Conversions!$B$12:$E$34,4,0)*HLOOKUP($E127,'Equipment Assumptions'!$C$30:$Q$31,2,0),$I127*VLOOKUP($F127,Lists!$C$72:$R$232,COLUMNS(Lists!$C$69:I$69),0)*VLOOKUP(BI$3,Conversions!$B$12:$E$34,4,0)))</f>
        <v>0</v>
      </c>
      <c r="AU127" s="333">
        <f>IF($F127="",0,IF($A127="Default",$I127*VLOOKUP($F127,Lists!$C$72:$R$232,COLUMNS(Lists!$C$69:J$69),0)*VLOOKUP(BJ$3,Conversions!$B$12:$E$34,4,0)*HLOOKUP($E127,'Equipment Assumptions'!$C$30:$Q$31,2,0),$I127*VLOOKUP($F127,Lists!$C$72:$R$232,COLUMNS(Lists!$C$69:J$69),0)*VLOOKUP(BJ$3,Conversions!$B$12:$E$34,4,0)))</f>
        <v>0</v>
      </c>
      <c r="AV127" s="333">
        <f>IF($F127="",0,IF($A127="Default",$I127*VLOOKUP($F127,Lists!$C$72:$R$232,COLUMNS(Lists!$C$69:K$69),0)*VLOOKUP(BK$3,Conversions!$B$12:$E$34,4,0)*HLOOKUP($E127,'Equipment Assumptions'!$C$30:$Q$31,2,0),$I127*VLOOKUP($F127,Lists!$C$72:$R$232,COLUMNS(Lists!$C$69:K$69),0)*VLOOKUP(BK$3,Conversions!$B$12:$E$34,4,0)))</f>
        <v>0</v>
      </c>
      <c r="AW127" s="333">
        <f>IF($F127="",0,IF($A127="Default",$I127*VLOOKUP($F127,Lists!$C$72:$R$232,COLUMNS(Lists!$C$69:L$69),0)*VLOOKUP(BL$3,Conversions!$B$12:$E$34,4,0)*HLOOKUP($E127,'Equipment Assumptions'!$C$30:$Q$31,2,0),$I127*VLOOKUP($F127,Lists!$C$72:$R$232,COLUMNS(Lists!$C$69:L$69),0)*VLOOKUP(BL$3,Conversions!$B$12:$E$34,4,0)))</f>
        <v>0</v>
      </c>
      <c r="AX127" s="333">
        <f>IF($F127="",0,IF($A127="Default",$I127*VLOOKUP($F127,Lists!$C$72:$R$232,COLUMNS(Lists!$C$69:M$69),0)*VLOOKUP(BM$3,Conversions!$B$12:$E$34,4,0)*HLOOKUP($E127,'Equipment Assumptions'!$C$30:$Q$31,2,0),$I127*VLOOKUP($F127,Lists!$C$72:$R$232,COLUMNS(Lists!$C$69:M$69),0)*VLOOKUP(BM$3,Conversions!$B$12:$E$34,4,0)))</f>
        <v>0</v>
      </c>
      <c r="AY127" s="333">
        <f>IF($F127="",0,IF($A127="Default",$I127*VLOOKUP($F127,Lists!$C$72:$R$232,COLUMNS(Lists!$C$69:N$69),0)*VLOOKUP(BN$3,Conversions!$B$12:$E$34,4,0)*HLOOKUP($E127,'Equipment Assumptions'!$C$30:$Q$31,2,0),$I127*VLOOKUP($F127,Lists!$C$72:$R$232,COLUMNS(Lists!$C$69:N$69),0)*VLOOKUP(BN$3,Conversions!$B$12:$E$34,4,0)))</f>
        <v>0</v>
      </c>
      <c r="AZ127" s="333">
        <f>IF($F127="",0,IF($A127="Default",$I127*VLOOKUP($F127,Lists!$C$72:$R$232,COLUMNS(Lists!$C$69:O$69),0)*VLOOKUP(BO$3,Conversions!$B$12:$E$34,4,0)*HLOOKUP($E127,'Equipment Assumptions'!$C$30:$Q$31,2,0),$I127*VLOOKUP($F127,Lists!$C$72:$R$232,COLUMNS(Lists!$C$69:O$69),0)*VLOOKUP(BO$3,Conversions!$B$12:$E$34,4,0)))</f>
        <v>0</v>
      </c>
      <c r="BA127" s="333">
        <f>IF($F127="",0,IF($A127="Default",$I127*VLOOKUP($F127,Lists!$C$72:$R$232,COLUMNS(Lists!$C$69:P$69),0)*VLOOKUP(BP$3,Conversions!$B$12:$E$34,4,0)*HLOOKUP($E127,'Equipment Assumptions'!$C$30:$Q$31,2,0),$I127*VLOOKUP($F127,Lists!$C$72:$R$232,COLUMNS(Lists!$C$69:P$69),0)*VLOOKUP(BP$3,Conversions!$B$12:$E$34,4,0)))</f>
        <v>0</v>
      </c>
      <c r="BB127" s="333">
        <f>IF($F127="",0,IF($A127="Default",$I127*VLOOKUP($F127,Lists!$C$72:$R$232,COLUMNS(Lists!$C$69:Q$69),0)*VLOOKUP(BQ$3,Conversions!$B$12:$E$34,4,0)*HLOOKUP($E127,'Equipment Assumptions'!$C$30:$Q$31,2,0),$I127*VLOOKUP($F127,Lists!$C$72:$R$232,COLUMNS(Lists!$C$69:Q$69),0)*VLOOKUP(BQ$3,Conversions!$B$12:$E$34,4,0)))</f>
        <v>0</v>
      </c>
      <c r="BC127" s="333">
        <f>IF($F127="",0,IF($A127="Default",$I127*VLOOKUP($F127,Lists!$C$72:$R$232,COLUMNS(Lists!$C$69:R$69),0)*VLOOKUP(BR$3,Conversions!$B$12:$E$34,4,0)*HLOOKUP($E127,'Equipment Assumptions'!$C$30:$Q$31,2,0),$I127*VLOOKUP($F127,Lists!$C$72:$R$232,COLUMNS(Lists!$C$69:R$69),0)*VLOOKUP(BR$3,Conversions!$B$12:$E$34,4,0)))</f>
        <v>0</v>
      </c>
      <c r="BD127" s="333">
        <f t="shared" si="40"/>
        <v>0</v>
      </c>
      <c r="BE127" s="330">
        <f t="shared" si="145"/>
        <v>0</v>
      </c>
      <c r="BF127" s="330">
        <f t="shared" si="146"/>
        <v>0</v>
      </c>
      <c r="BG127" s="330">
        <f t="shared" si="147"/>
        <v>0</v>
      </c>
      <c r="BH127" s="330">
        <f t="shared" si="148"/>
        <v>0</v>
      </c>
      <c r="BI127" s="330">
        <f t="shared" si="149"/>
        <v>0</v>
      </c>
      <c r="BJ127" s="330">
        <f t="shared" si="150"/>
        <v>0</v>
      </c>
      <c r="BK127" s="330">
        <f t="shared" si="151"/>
        <v>0</v>
      </c>
      <c r="BL127" s="330">
        <f t="shared" si="152"/>
        <v>0</v>
      </c>
      <c r="BM127" s="330">
        <f t="shared" si="153"/>
        <v>0</v>
      </c>
      <c r="BN127" s="330">
        <f t="shared" si="154"/>
        <v>0</v>
      </c>
      <c r="BO127" s="330">
        <f t="shared" si="155"/>
        <v>0</v>
      </c>
      <c r="BP127" s="330">
        <f t="shared" si="156"/>
        <v>0</v>
      </c>
      <c r="BQ127" s="330">
        <f t="shared" si="157"/>
        <v>0</v>
      </c>
      <c r="BR127" s="330">
        <f t="shared" si="158"/>
        <v>0</v>
      </c>
      <c r="BS127" s="330">
        <f t="shared" si="159"/>
        <v>0</v>
      </c>
      <c r="BT127" s="329">
        <f t="shared" si="142"/>
        <v>0</v>
      </c>
      <c r="BU127" s="329">
        <f t="shared" si="142"/>
        <v>0</v>
      </c>
      <c r="BV127" s="329">
        <f t="shared" si="142"/>
        <v>0</v>
      </c>
      <c r="BW127" s="329">
        <f t="shared" si="142"/>
        <v>0</v>
      </c>
      <c r="BX127" s="329">
        <f t="shared" si="142"/>
        <v>0</v>
      </c>
      <c r="BY127" s="329">
        <f t="shared" si="142"/>
        <v>0</v>
      </c>
      <c r="BZ127" s="329">
        <f t="shared" si="142"/>
        <v>0</v>
      </c>
      <c r="CA127" s="329">
        <f t="shared" si="142"/>
        <v>0</v>
      </c>
      <c r="CB127" s="329">
        <f t="shared" si="142"/>
        <v>0</v>
      </c>
      <c r="CC127" s="329">
        <f t="shared" si="142"/>
        <v>0</v>
      </c>
      <c r="CD127" s="329">
        <f t="shared" si="142"/>
        <v>0</v>
      </c>
      <c r="CE127" s="329">
        <f t="shared" si="142"/>
        <v>0</v>
      </c>
      <c r="CF127" s="329">
        <f t="shared" si="142"/>
        <v>0</v>
      </c>
      <c r="CG127" s="329">
        <f t="shared" si="142"/>
        <v>0</v>
      </c>
      <c r="CH127" s="329">
        <f t="shared" si="142"/>
        <v>0</v>
      </c>
      <c r="CI127" s="329">
        <f t="shared" si="142"/>
        <v>0</v>
      </c>
      <c r="CJ127" s="331">
        <f t="shared" si="1"/>
        <v>0</v>
      </c>
      <c r="CK127" s="330">
        <f t="shared" si="5"/>
        <v>0</v>
      </c>
      <c r="CL127" s="330">
        <f t="shared" si="6"/>
        <v>0</v>
      </c>
      <c r="CM127" s="330">
        <f t="shared" si="7"/>
        <v>0</v>
      </c>
      <c r="CN127" s="330">
        <f t="shared" si="8"/>
        <v>0</v>
      </c>
      <c r="CO127" s="330">
        <f t="shared" si="9"/>
        <v>0</v>
      </c>
      <c r="CP127" s="330">
        <f t="shared" si="10"/>
        <v>0</v>
      </c>
      <c r="CQ127" s="330">
        <f t="shared" si="94"/>
        <v>0</v>
      </c>
      <c r="CR127" s="330">
        <f t="shared" si="12"/>
        <v>0</v>
      </c>
      <c r="CS127" s="330">
        <f t="shared" si="13"/>
        <v>0</v>
      </c>
      <c r="CT127" s="330">
        <f t="shared" si="14"/>
        <v>0</v>
      </c>
      <c r="CU127" s="330">
        <f t="shared" si="143"/>
        <v>0</v>
      </c>
      <c r="CV127" s="330">
        <f t="shared" si="143"/>
        <v>0</v>
      </c>
      <c r="CW127" s="330">
        <f t="shared" si="143"/>
        <v>0</v>
      </c>
      <c r="CX127" s="330">
        <f t="shared" si="143"/>
        <v>0</v>
      </c>
      <c r="CY127" s="330">
        <f t="shared" si="143"/>
        <v>0</v>
      </c>
      <c r="CZ127" s="330">
        <f t="shared" si="143"/>
        <v>0</v>
      </c>
      <c r="DA127" s="330">
        <f t="shared" si="143"/>
        <v>0</v>
      </c>
      <c r="DB127" s="330">
        <f t="shared" si="143"/>
        <v>0</v>
      </c>
      <c r="DC127" s="330">
        <f t="shared" si="143"/>
        <v>0</v>
      </c>
      <c r="DD127" s="330">
        <f t="shared" si="143"/>
        <v>0</v>
      </c>
      <c r="DE127" s="330">
        <f t="shared" si="144"/>
        <v>0</v>
      </c>
      <c r="DF127" s="330">
        <f t="shared" si="144"/>
        <v>0</v>
      </c>
      <c r="DG127" s="330">
        <f t="shared" si="144"/>
        <v>0</v>
      </c>
      <c r="DH127" s="330">
        <f t="shared" si="144"/>
        <v>0</v>
      </c>
      <c r="DI127" s="330">
        <f t="shared" si="144"/>
        <v>0</v>
      </c>
      <c r="DJ127" s="330">
        <f t="shared" si="144"/>
        <v>0</v>
      </c>
      <c r="DK127" s="330">
        <f t="shared" si="144"/>
        <v>0</v>
      </c>
      <c r="DL127" s="330">
        <f t="shared" si="144"/>
        <v>0</v>
      </c>
      <c r="DM127" s="330">
        <f t="shared" si="144"/>
        <v>0</v>
      </c>
      <c r="DN127" s="330">
        <f t="shared" si="144"/>
        <v>0</v>
      </c>
      <c r="DO127" s="330">
        <f t="shared" si="144"/>
        <v>0</v>
      </c>
      <c r="DP127" s="330">
        <f t="shared" si="140"/>
        <v>0</v>
      </c>
      <c r="DQ127" s="217"/>
      <c r="DR127" s="217"/>
      <c r="DS127" s="217"/>
      <c r="DT127" s="217"/>
    </row>
    <row r="128" spans="1:124" x14ac:dyDescent="0.3">
      <c r="A128" s="332" t="str">
        <f>IF(AND(F128&lt;&gt;"",OR('Simplified Screening 1'!G19=0,'Simplified Screening 1'!G19="I Don't Know")),"Default","")</f>
        <v/>
      </c>
      <c r="B128" s="221" t="s">
        <v>306</v>
      </c>
      <c r="C128" s="221" t="str">
        <f>IF('Simplified Screening 1'!C19=0,"",'Simplified Screening 1'!C19)</f>
        <v/>
      </c>
      <c r="D128" s="221" t="str">
        <f>IF('Simplified Screening 1'!D19=0,"",'Simplified Screening 1'!D19)</f>
        <v/>
      </c>
      <c r="E128" s="221" t="str">
        <f>IF('Simplified Screening 1'!E19=0,"",'Simplified Screening 1'!E19)</f>
        <v/>
      </c>
      <c r="F128" s="221" t="str">
        <f>'Simplified Screening 1'!R19</f>
        <v/>
      </c>
      <c r="G128" s="272">
        <f>'Simplified Screening 1'!H19*'Simplified Screening 1'!L19*Conversions!$C$4</f>
        <v>0</v>
      </c>
      <c r="H128" s="272">
        <f>'Simplified Screening 1'!I19*'Simplified Screening 1'!M19*'Simplified Screening 1'!J19*Conversions!$C$4</f>
        <v>0</v>
      </c>
      <c r="I128" s="272">
        <f>'Simplified Screening 1'!K19*'Simplified Screening 1'!N19*(1-'Simplified Screening 1'!O19)*Conversions!$C$4</f>
        <v>0</v>
      </c>
      <c r="J128" s="325">
        <f>IF('Simplified Screening 1'!P19=0,0,'Simplified Screening 1'!P19)</f>
        <v>0</v>
      </c>
      <c r="K128" s="325">
        <f>IF(AND(OR('Simplified Screening 1'!G19=0,'Simplified Screening 1'!G19="I Don't Know"),F128&lt;&gt;""),J128*HLOOKUP(E128,'Equipment Assumptions'!$C$30:$Q$31,2,0),IF(F128="Non-HFC",0,J128))</f>
        <v>0</v>
      </c>
      <c r="L128" s="333">
        <f>IF($F128="",0,IF($A128="Default",$G128*VLOOKUP($F128,Lists!$C$72:$R$232,COLUMNS(Lists!$C$69:E$69),0)*VLOOKUP(BE$3,Conversions!$B$12:$E$34,4,0)*HLOOKUP($E128,'Equipment Assumptions'!$C$30:$Q$31,2,0),$G128*VLOOKUP($F128,Lists!$C$72:$R$232,COLUMNS(Lists!$C$69:E$69),0)*VLOOKUP(BE$3,Conversions!$B$12:$E$34,4,0)))</f>
        <v>0</v>
      </c>
      <c r="M128" s="333">
        <f>IF($F128="",0,IF($A128="Default",$G128*VLOOKUP($F128,Lists!$C$72:$R$232,COLUMNS(Lists!$C$69:F$69),0)*VLOOKUP(BF$3,Conversions!$B$12:$E$34,4,0)*HLOOKUP($E128,'Equipment Assumptions'!$C$30:$Q$31,2,0),$G128*VLOOKUP($F128,Lists!$C$72:$R$232,COLUMNS(Lists!$C$69:F$69),0)*VLOOKUP(BF$3,Conversions!$B$12:$E$34,4,0)))</f>
        <v>0</v>
      </c>
      <c r="N128" s="333">
        <f>IF($F128="",0,IF($A128="Default",$G128*VLOOKUP($F128,Lists!$C$72:$R$232,COLUMNS(Lists!$C$69:G$69),0)*VLOOKUP(BG$3,Conversions!$B$12:$E$34,4,0)*HLOOKUP($E128,'Equipment Assumptions'!$C$30:$Q$31,2,0),$G128*VLOOKUP($F128,Lists!$C$72:$R$232,COLUMNS(Lists!$C$69:G$69),0)*VLOOKUP(BG$3,Conversions!$B$12:$E$34,4,0)))</f>
        <v>0</v>
      </c>
      <c r="O128" s="333">
        <f>IF($F128="",0,IF($A128="Default",$G128*VLOOKUP($F128,Lists!$C$72:$R$232,COLUMNS(Lists!$C$69:H$69),0)*VLOOKUP(BH$3,Conversions!$B$12:$E$34,4,0)*HLOOKUP($E128,'Equipment Assumptions'!$C$30:$Q$31,2,0),$G128*VLOOKUP($F128,Lists!$C$72:$R$232,COLUMNS(Lists!$C$69:H$69),0)*VLOOKUP(BH$3,Conversions!$B$12:$E$34,4,0)))</f>
        <v>0</v>
      </c>
      <c r="P128" s="333">
        <f>IF($F128="",0,IF($A128="Default",$G128*VLOOKUP($F128,Lists!$C$72:$R$232,COLUMNS(Lists!$C$69:I$69),0)*VLOOKUP(BI$3,Conversions!$B$12:$E$34,4,0)*HLOOKUP($E128,'Equipment Assumptions'!$C$30:$Q$31,2,0),$G128*VLOOKUP($F128,Lists!$C$72:$R$232,COLUMNS(Lists!$C$69:I$69),0)*VLOOKUP(BI$3,Conversions!$B$12:$E$34,4,0)))</f>
        <v>0</v>
      </c>
      <c r="Q128" s="333">
        <f>IF($F128="",0,IF($A128="Default",$G128*VLOOKUP($F128,Lists!$C$72:$R$232,COLUMNS(Lists!$C$69:J$69),0)*VLOOKUP(BJ$3,Conversions!$B$12:$E$34,4,0)*HLOOKUP($E128,'Equipment Assumptions'!$C$30:$Q$31,2,0),$G128*VLOOKUP($F128,Lists!$C$72:$R$232,COLUMNS(Lists!$C$69:J$69),0)*VLOOKUP(BJ$3,Conversions!$B$12:$E$34,4,0)))</f>
        <v>0</v>
      </c>
      <c r="R128" s="333">
        <f>IF($F128="",0,IF($A128="Default",$G128*VLOOKUP($F128,Lists!$C$72:$R$232,COLUMNS(Lists!$C$69:K$69),0)*VLOOKUP(BK$3,Conversions!$B$12:$E$34,4,0)*HLOOKUP($E128,'Equipment Assumptions'!$C$30:$Q$31,2,0),$G128*VLOOKUP($F128,Lists!$C$72:$R$232,COLUMNS(Lists!$C$69:K$69),0)*VLOOKUP(BK$3,Conversions!$B$12:$E$34,4,0)))</f>
        <v>0</v>
      </c>
      <c r="S128" s="333">
        <f>IF($F128="",0,IF($A128="Default",$G128*VLOOKUP($F128,Lists!$C$72:$R$232,COLUMNS(Lists!$C$69:L$69),0)*VLOOKUP(BL$3,Conversions!$B$12:$E$34,4,0)*HLOOKUP($E128,'Equipment Assumptions'!$C$30:$Q$31,2,0),$G128*VLOOKUP($F128,Lists!$C$72:$R$232,COLUMNS(Lists!$C$69:L$69),0)*VLOOKUP(BL$3,Conversions!$B$12:$E$34,4,0)))</f>
        <v>0</v>
      </c>
      <c r="T128" s="333">
        <f>IF($F128="",0,IF($A128="Default",$G128*VLOOKUP($F128,Lists!$C$72:$R$232,COLUMNS(Lists!$C$69:M$69),0)*VLOOKUP(BM$3,Conversions!$B$12:$E$34,4,0)*HLOOKUP($E128,'Equipment Assumptions'!$C$30:$Q$31,2,0),$G128*VLOOKUP($F128,Lists!$C$72:$R$232,COLUMNS(Lists!$C$69:M$69),0)*VLOOKUP(BM$3,Conversions!$B$12:$E$34,4,0)))</f>
        <v>0</v>
      </c>
      <c r="U128" s="333">
        <f>IF($F128="",0,IF($A128="Default",$G128*VLOOKUP($F128,Lists!$C$72:$R$232,COLUMNS(Lists!$C$69:N$69),0)*VLOOKUP(BN$3,Conversions!$B$12:$E$34,4,0)*HLOOKUP($E128,'Equipment Assumptions'!$C$30:$Q$31,2,0),$G128*VLOOKUP($F128,Lists!$C$72:$R$232,COLUMNS(Lists!$C$69:N$69),0)*VLOOKUP(BN$3,Conversions!$B$12:$E$34,4,0)))</f>
        <v>0</v>
      </c>
      <c r="V128" s="333">
        <f>IF($F128="",0,IF($A128="Default",$G128*VLOOKUP($F128,Lists!$C$72:$R$232,COLUMNS(Lists!$C$69:O$69),0)*VLOOKUP(BO$3,Conversions!$B$12:$E$34,4,0)*HLOOKUP($E128,'Equipment Assumptions'!$C$30:$Q$31,2,0),$G128*VLOOKUP($F128,Lists!$C$72:$R$232,COLUMNS(Lists!$C$69:O$69),0)*VLOOKUP(BO$3,Conversions!$B$12:$E$34,4,0)))</f>
        <v>0</v>
      </c>
      <c r="W128" s="333">
        <f>IF($F128="",0,IF($A128="Default",$G128*VLOOKUP($F128,Lists!$C$72:$R$232,COLUMNS(Lists!$C$69:P$69),0)*VLOOKUP(BP$3,Conversions!$B$12:$E$34,4,0)*HLOOKUP($E128,'Equipment Assumptions'!$C$30:$Q$31,2,0),$G128*VLOOKUP($F128,Lists!$C$72:$R$232,COLUMNS(Lists!$C$69:P$69),0)*VLOOKUP(BP$3,Conversions!$B$12:$E$34,4,0)))</f>
        <v>0</v>
      </c>
      <c r="X128" s="333">
        <f>IF($F128="",0,IF($A128="Default",$G128*VLOOKUP($F128,Lists!$C$72:$R$232,COLUMNS(Lists!$C$69:Q$69),0)*VLOOKUP(BQ$3,Conversions!$B$12:$E$34,4,0)*HLOOKUP($E128,'Equipment Assumptions'!$C$30:$Q$31,2,0),$G128*VLOOKUP($F128,Lists!$C$72:$R$232,COLUMNS(Lists!$C$69:Q$69),0)*VLOOKUP(BQ$3,Conversions!$B$12:$E$34,4,0)))</f>
        <v>0</v>
      </c>
      <c r="Y128" s="333">
        <f>IF($F128="",0,IF($A128="Default",$G128*VLOOKUP($F128,Lists!$C$72:$R$232,COLUMNS(Lists!$C$69:R$69),0)*VLOOKUP(BR$3,Conversions!$B$12:$E$34,4,0)*HLOOKUP($E128,'Equipment Assumptions'!$C$30:$Q$31,2,0),$G128*VLOOKUP($F128,Lists!$C$72:$R$232,COLUMNS(Lists!$C$69:R$69),0)*VLOOKUP(BR$3,Conversions!$B$12:$E$34,4,0)))</f>
        <v>0</v>
      </c>
      <c r="Z128" s="325">
        <f>SUM(L128:Y128)</f>
        <v>0</v>
      </c>
      <c r="AA128" s="334">
        <f>IF($F128="",0,IF($A128="Default",$H128*VLOOKUP($F128,Lists!$C$72:$R$232,COLUMNS(Lists!$C$69:E$69),0)*VLOOKUP(BE$3,Conversions!$B$12:$E$34,4,0)*HLOOKUP($E128,'Equipment Assumptions'!$C$30:$Q$31,2,0),$H128*VLOOKUP($F128,Lists!$C$72:$R$232,COLUMNS(Lists!$C$69:E$69),0)*VLOOKUP(BE$3,Conversions!$B$12:$E$34,4,0)))</f>
        <v>0</v>
      </c>
      <c r="AB128" s="334">
        <f>IF($F128="",0,IF($A128="Default",$H128*VLOOKUP($F128,Lists!$C$72:$R$232,COLUMNS(Lists!$C$69:F$69),0)*VLOOKUP(BF$3,Conversions!$B$12:$E$34,4,0)*HLOOKUP($E128,'Equipment Assumptions'!$C$30:$Q$31,2,0),$H128*VLOOKUP($F128,Lists!$C$72:$R$232,COLUMNS(Lists!$C$69:F$69),0)*VLOOKUP(BF$3,Conversions!$B$12:$E$34,4,0)))</f>
        <v>0</v>
      </c>
      <c r="AC128" s="334">
        <f>IF($F128="",0,IF($A128="Default",$H128*VLOOKUP($F128,Lists!$C$72:$R$232,COLUMNS(Lists!$C$69:G$69),0)*VLOOKUP(BG$3,Conversions!$B$12:$E$34,4,0)*HLOOKUP($E128,'Equipment Assumptions'!$C$30:$Q$31,2,0),$H128*VLOOKUP($F128,Lists!$C$72:$R$232,COLUMNS(Lists!$C$69:G$69),0)*VLOOKUP(BG$3,Conversions!$B$12:$E$34,4,0)))</f>
        <v>0</v>
      </c>
      <c r="AD128" s="334">
        <f>IF($F128="",0,IF($A128="Default",$H128*VLOOKUP($F128,Lists!$C$72:$R$232,COLUMNS(Lists!$C$69:H$69),0)*VLOOKUP(BH$3,Conversions!$B$12:$E$34,4,0)*HLOOKUP($E128,'Equipment Assumptions'!$C$30:$Q$31,2,0),$H128*VLOOKUP($F128,Lists!$C$72:$R$232,COLUMNS(Lists!$C$69:H$69),0)*VLOOKUP(BH$3,Conversions!$B$12:$E$34,4,0)))</f>
        <v>0</v>
      </c>
      <c r="AE128" s="334">
        <f>IF($F128="",0,IF($A128="Default",$H128*VLOOKUP($F128,Lists!$C$72:$R$232,COLUMNS(Lists!$C$69:I$69),0)*VLOOKUP(BI$3,Conversions!$B$12:$E$34,4,0)*HLOOKUP($E128,'Equipment Assumptions'!$C$30:$Q$31,2,0),$H128*VLOOKUP($F128,Lists!$C$72:$R$232,COLUMNS(Lists!$C$69:I$69),0)*VLOOKUP(BI$3,Conversions!$B$12:$E$34,4,0)))</f>
        <v>0</v>
      </c>
      <c r="AF128" s="334">
        <f>IF($F128="",0,IF($A128="Default",$H128*VLOOKUP($F128,Lists!$C$72:$R$232,COLUMNS(Lists!$C$69:J$69),0)*VLOOKUP(BJ$3,Conversions!$B$12:$E$34,4,0)*HLOOKUP($E128,'Equipment Assumptions'!$C$30:$Q$31,2,0),$H128*VLOOKUP($F128,Lists!$C$72:$R$232,COLUMNS(Lists!$C$69:J$69),0)*VLOOKUP(BJ$3,Conversions!$B$12:$E$34,4,0)))</f>
        <v>0</v>
      </c>
      <c r="AG128" s="334">
        <f>IF($F128="",0,IF($A128="Default",$H128*VLOOKUP($F128,Lists!$C$72:$R$232,COLUMNS(Lists!$C$69:K$69),0)*VLOOKUP(BK$3,Conversions!$B$12:$E$34,4,0)*HLOOKUP($E128,'Equipment Assumptions'!$C$30:$Q$31,2,0),$H128*VLOOKUP($F128,Lists!$C$72:$R$232,COLUMNS(Lists!$C$69:K$69),0)*VLOOKUP(BK$3,Conversions!$B$12:$E$34,4,0)))</f>
        <v>0</v>
      </c>
      <c r="AH128" s="334">
        <f>IF($F128="",0,IF($A128="Default",$H128*VLOOKUP($F128,Lists!$C$72:$R$232,COLUMNS(Lists!$C$69:L$69),0)*VLOOKUP(BL$3,Conversions!$B$12:$E$34,4,0)*HLOOKUP($E128,'Equipment Assumptions'!$C$30:$Q$31,2,0),$H128*VLOOKUP($F128,Lists!$C$72:$R$232,COLUMNS(Lists!$C$69:L$69),0)*VLOOKUP(BL$3,Conversions!$B$12:$E$34,4,0)))</f>
        <v>0</v>
      </c>
      <c r="AI128" s="334">
        <f>IF($F128="",0,IF($A128="Default",$H128*VLOOKUP($F128,Lists!$C$72:$R$232,COLUMNS(Lists!$C$69:M$69),0)*VLOOKUP(BM$3,Conversions!$B$12:$E$34,4,0)*HLOOKUP($E128,'Equipment Assumptions'!$C$30:$Q$31,2,0),$H128*VLOOKUP($F128,Lists!$C$72:$R$232,COLUMNS(Lists!$C$69:M$69),0)*VLOOKUP(BM$3,Conversions!$B$12:$E$34,4,0)))</f>
        <v>0</v>
      </c>
      <c r="AJ128" s="334">
        <f>IF($F128="",0,IF($A128="Default",$H128*VLOOKUP($F128,Lists!$C$72:$R$232,COLUMNS(Lists!$C$69:N$69),0)*VLOOKUP(BN$3,Conversions!$B$12:$E$34,4,0)*HLOOKUP($E128,'Equipment Assumptions'!$C$30:$Q$31,2,0),$H128*VLOOKUP($F128,Lists!$C$72:$R$232,COLUMNS(Lists!$C$69:N$69),0)*VLOOKUP(BN$3,Conversions!$B$12:$E$34,4,0)))</f>
        <v>0</v>
      </c>
      <c r="AK128" s="334">
        <f>IF($F128="",0,IF($A128="Default",$H128*VLOOKUP($F128,Lists!$C$72:$R$232,COLUMNS(Lists!$C$69:O$69),0)*VLOOKUP(BO$3,Conversions!$B$12:$E$34,4,0)*HLOOKUP($E128,'Equipment Assumptions'!$C$30:$Q$31,2,0),$H128*VLOOKUP($F128,Lists!$C$72:$R$232,COLUMNS(Lists!$C$69:O$69),0)*VLOOKUP(BO$3,Conversions!$B$12:$E$34,4,0)))</f>
        <v>0</v>
      </c>
      <c r="AL128" s="334">
        <f>IF($F128="",0,IF($A128="Default",$H128*VLOOKUP($F128,Lists!$C$72:$R$232,COLUMNS(Lists!$C$69:P$69),0)*VLOOKUP(BP$3,Conversions!$B$12:$E$34,4,0)*HLOOKUP($E128,'Equipment Assumptions'!$C$30:$Q$31,2,0),$H128*VLOOKUP($F128,Lists!$C$72:$R$232,COLUMNS(Lists!$C$69:P$69),0)*VLOOKUP(BP$3,Conversions!$B$12:$E$34,4,0)))</f>
        <v>0</v>
      </c>
      <c r="AM128" s="334">
        <f>IF($F128="",0,IF($A128="Default",$H128*VLOOKUP($F128,Lists!$C$72:$R$232,COLUMNS(Lists!$C$69:Q$69),0)*VLOOKUP(BQ$3,Conversions!$B$12:$E$34,4,0)*HLOOKUP($E128,'Equipment Assumptions'!$C$30:$Q$31,2,0),$H128*VLOOKUP($F128,Lists!$C$72:$R$232,COLUMNS(Lists!$C$69:Q$69),0)*VLOOKUP(BQ$3,Conversions!$B$12:$E$34,4,0)))</f>
        <v>0</v>
      </c>
      <c r="AN128" s="334">
        <f>IF($F128="",0,IF($A128="Default",$H128*VLOOKUP($F128,Lists!$C$72:$R$232,COLUMNS(Lists!$C$69:R$69),0)*VLOOKUP(BR$3,Conversions!$B$12:$E$34,4,0)*HLOOKUP($E128,'Equipment Assumptions'!$C$30:$Q$31,2,0),$H128*VLOOKUP($F128,Lists!$C$72:$R$232,COLUMNS(Lists!$C$69:R$69),0)*VLOOKUP(BR$3,Conversions!$B$12:$E$34,4,0)))</f>
        <v>0</v>
      </c>
      <c r="AO128" s="330">
        <f>SUM(AA128:AN128)</f>
        <v>0</v>
      </c>
      <c r="AP128" s="333">
        <f>IF($F128="",0,IF($A128="Default",$I128*VLOOKUP($F128,Lists!$C$72:$R$232,COLUMNS(Lists!$C$69:E$69),0)*VLOOKUP(BE$3,Conversions!$B$12:$E$34,4,0)*HLOOKUP($E128,'Equipment Assumptions'!$C$30:$Q$31,2,0),$I128*VLOOKUP($F128,Lists!$C$72:$R$232,COLUMNS(Lists!$C$69:E$69),0)*VLOOKUP(BE$3,Conversions!$B$12:$E$34,4,0)))</f>
        <v>0</v>
      </c>
      <c r="AQ128" s="333">
        <f>IF($F128="",0,IF($A128="Default",$I128*VLOOKUP($F128,Lists!$C$72:$R$232,COLUMNS(Lists!$C$69:F$69),0)*VLOOKUP(BF$3,Conversions!$B$12:$E$34,4,0)*HLOOKUP($E128,'Equipment Assumptions'!$C$30:$Q$31,2,0),$I128*VLOOKUP($F128,Lists!$C$72:$R$232,COLUMNS(Lists!$C$69:F$69),0)*VLOOKUP(BF$3,Conversions!$B$12:$E$34,4,0)))</f>
        <v>0</v>
      </c>
      <c r="AR128" s="333">
        <f>IF($F128="",0,IF($A128="Default",$I128*VLOOKUP($F128,Lists!$C$72:$R$232,COLUMNS(Lists!$C$69:G$69),0)*VLOOKUP(BG$3,Conversions!$B$12:$E$34,4,0)*HLOOKUP($E128,'Equipment Assumptions'!$C$30:$Q$31,2,0),$I128*VLOOKUP($F128,Lists!$C$72:$R$232,COLUMNS(Lists!$C$69:G$69),0)*VLOOKUP(BG$3,Conversions!$B$12:$E$34,4,0)))</f>
        <v>0</v>
      </c>
      <c r="AS128" s="333">
        <f>IF($F128="",0,IF($A128="Default",$I128*VLOOKUP($F128,Lists!$C$72:$R$232,COLUMNS(Lists!$C$69:H$69),0)*VLOOKUP(BH$3,Conversions!$B$12:$E$34,4,0)*HLOOKUP($E128,'Equipment Assumptions'!$C$30:$Q$31,2,0),$I128*VLOOKUP($F128,Lists!$C$72:$R$232,COLUMNS(Lists!$C$69:H$69),0)*VLOOKUP(BH$3,Conversions!$B$12:$E$34,4,0)))</f>
        <v>0</v>
      </c>
      <c r="AT128" s="333">
        <f>IF($F128="",0,IF($A128="Default",$I128*VLOOKUP($F128,Lists!$C$72:$R$232,COLUMNS(Lists!$C$69:I$69),0)*VLOOKUP(BI$3,Conversions!$B$12:$E$34,4,0)*HLOOKUP($E128,'Equipment Assumptions'!$C$30:$Q$31,2,0),$I128*VLOOKUP($F128,Lists!$C$72:$R$232,COLUMNS(Lists!$C$69:I$69),0)*VLOOKUP(BI$3,Conversions!$B$12:$E$34,4,0)))</f>
        <v>0</v>
      </c>
      <c r="AU128" s="333">
        <f>IF($F128="",0,IF($A128="Default",$I128*VLOOKUP($F128,Lists!$C$72:$R$232,COLUMNS(Lists!$C$69:J$69),0)*VLOOKUP(BJ$3,Conversions!$B$12:$E$34,4,0)*HLOOKUP($E128,'Equipment Assumptions'!$C$30:$Q$31,2,0),$I128*VLOOKUP($F128,Lists!$C$72:$R$232,COLUMNS(Lists!$C$69:J$69),0)*VLOOKUP(BJ$3,Conversions!$B$12:$E$34,4,0)))</f>
        <v>0</v>
      </c>
      <c r="AV128" s="333">
        <f>IF($F128="",0,IF($A128="Default",$I128*VLOOKUP($F128,Lists!$C$72:$R$232,COLUMNS(Lists!$C$69:K$69),0)*VLOOKUP(BK$3,Conversions!$B$12:$E$34,4,0)*HLOOKUP($E128,'Equipment Assumptions'!$C$30:$Q$31,2,0),$I128*VLOOKUP($F128,Lists!$C$72:$R$232,COLUMNS(Lists!$C$69:K$69),0)*VLOOKUP(BK$3,Conversions!$B$12:$E$34,4,0)))</f>
        <v>0</v>
      </c>
      <c r="AW128" s="333">
        <f>IF($F128="",0,IF($A128="Default",$I128*VLOOKUP($F128,Lists!$C$72:$R$232,COLUMNS(Lists!$C$69:L$69),0)*VLOOKUP(BL$3,Conversions!$B$12:$E$34,4,0)*HLOOKUP($E128,'Equipment Assumptions'!$C$30:$Q$31,2,0),$I128*VLOOKUP($F128,Lists!$C$72:$R$232,COLUMNS(Lists!$C$69:L$69),0)*VLOOKUP(BL$3,Conversions!$B$12:$E$34,4,0)))</f>
        <v>0</v>
      </c>
      <c r="AX128" s="333">
        <f>IF($F128="",0,IF($A128="Default",$I128*VLOOKUP($F128,Lists!$C$72:$R$232,COLUMNS(Lists!$C$69:M$69),0)*VLOOKUP(BM$3,Conversions!$B$12:$E$34,4,0)*HLOOKUP($E128,'Equipment Assumptions'!$C$30:$Q$31,2,0),$I128*VLOOKUP($F128,Lists!$C$72:$R$232,COLUMNS(Lists!$C$69:M$69),0)*VLOOKUP(BM$3,Conversions!$B$12:$E$34,4,0)))</f>
        <v>0</v>
      </c>
      <c r="AY128" s="333">
        <f>IF($F128="",0,IF($A128="Default",$I128*VLOOKUP($F128,Lists!$C$72:$R$232,COLUMNS(Lists!$C$69:N$69),0)*VLOOKUP(BN$3,Conversions!$B$12:$E$34,4,0)*HLOOKUP($E128,'Equipment Assumptions'!$C$30:$Q$31,2,0),$I128*VLOOKUP($F128,Lists!$C$72:$R$232,COLUMNS(Lists!$C$69:N$69),0)*VLOOKUP(BN$3,Conversions!$B$12:$E$34,4,0)))</f>
        <v>0</v>
      </c>
      <c r="AZ128" s="333">
        <f>IF($F128="",0,IF($A128="Default",$I128*VLOOKUP($F128,Lists!$C$72:$R$232,COLUMNS(Lists!$C$69:O$69),0)*VLOOKUP(BO$3,Conversions!$B$12:$E$34,4,0)*HLOOKUP($E128,'Equipment Assumptions'!$C$30:$Q$31,2,0),$I128*VLOOKUP($F128,Lists!$C$72:$R$232,COLUMNS(Lists!$C$69:O$69),0)*VLOOKUP(BO$3,Conversions!$B$12:$E$34,4,0)))</f>
        <v>0</v>
      </c>
      <c r="BA128" s="333">
        <f>IF($F128="",0,IF($A128="Default",$I128*VLOOKUP($F128,Lists!$C$72:$R$232,COLUMNS(Lists!$C$69:P$69),0)*VLOOKUP(BP$3,Conversions!$B$12:$E$34,4,0)*HLOOKUP($E128,'Equipment Assumptions'!$C$30:$Q$31,2,0),$I128*VLOOKUP($F128,Lists!$C$72:$R$232,COLUMNS(Lists!$C$69:P$69),0)*VLOOKUP(BP$3,Conversions!$B$12:$E$34,4,0)))</f>
        <v>0</v>
      </c>
      <c r="BB128" s="333">
        <f>IF($F128="",0,IF($A128="Default",$I128*VLOOKUP($F128,Lists!$C$72:$R$232,COLUMNS(Lists!$C$69:Q$69),0)*VLOOKUP(BQ$3,Conversions!$B$12:$E$34,4,0)*HLOOKUP($E128,'Equipment Assumptions'!$C$30:$Q$31,2,0),$I128*VLOOKUP($F128,Lists!$C$72:$R$232,COLUMNS(Lists!$C$69:Q$69),0)*VLOOKUP(BQ$3,Conversions!$B$12:$E$34,4,0)))</f>
        <v>0</v>
      </c>
      <c r="BC128" s="333">
        <f>IF($F128="",0,IF($A128="Default",$I128*VLOOKUP($F128,Lists!$C$72:$R$232,COLUMNS(Lists!$C$69:R$69),0)*VLOOKUP(BR$3,Conversions!$B$12:$E$34,4,0)*HLOOKUP($E128,'Equipment Assumptions'!$C$30:$Q$31,2,0),$I128*VLOOKUP($F128,Lists!$C$72:$R$232,COLUMNS(Lists!$C$69:R$69),0)*VLOOKUP(BR$3,Conversions!$B$12:$E$34,4,0)))</f>
        <v>0</v>
      </c>
      <c r="BD128" s="333">
        <f>SUM(AP128:BC128)</f>
        <v>0</v>
      </c>
      <c r="BE128" s="330">
        <f t="shared" si="145"/>
        <v>0</v>
      </c>
      <c r="BF128" s="330">
        <f t="shared" si="146"/>
        <v>0</v>
      </c>
      <c r="BG128" s="330">
        <f t="shared" si="147"/>
        <v>0</v>
      </c>
      <c r="BH128" s="330">
        <f t="shared" si="148"/>
        <v>0</v>
      </c>
      <c r="BI128" s="330">
        <f t="shared" si="149"/>
        <v>0</v>
      </c>
      <c r="BJ128" s="330">
        <f t="shared" si="150"/>
        <v>0</v>
      </c>
      <c r="BK128" s="330">
        <f t="shared" si="151"/>
        <v>0</v>
      </c>
      <c r="BL128" s="330">
        <f t="shared" si="152"/>
        <v>0</v>
      </c>
      <c r="BM128" s="330">
        <f t="shared" si="153"/>
        <v>0</v>
      </c>
      <c r="BN128" s="330">
        <f t="shared" si="154"/>
        <v>0</v>
      </c>
      <c r="BO128" s="330">
        <f t="shared" si="155"/>
        <v>0</v>
      </c>
      <c r="BP128" s="330">
        <f t="shared" si="156"/>
        <v>0</v>
      </c>
      <c r="BQ128" s="330">
        <f t="shared" si="157"/>
        <v>0</v>
      </c>
      <c r="BR128" s="330">
        <f t="shared" si="158"/>
        <v>0</v>
      </c>
      <c r="BS128" s="330">
        <f t="shared" si="159"/>
        <v>0</v>
      </c>
      <c r="BT128" s="329">
        <f t="shared" si="142"/>
        <v>0</v>
      </c>
      <c r="BU128" s="329">
        <f t="shared" si="142"/>
        <v>0</v>
      </c>
      <c r="BV128" s="329">
        <f t="shared" si="142"/>
        <v>0</v>
      </c>
      <c r="BW128" s="329">
        <f t="shared" si="142"/>
        <v>0</v>
      </c>
      <c r="BX128" s="329">
        <f t="shared" si="142"/>
        <v>0</v>
      </c>
      <c r="BY128" s="329">
        <f t="shared" si="142"/>
        <v>0</v>
      </c>
      <c r="BZ128" s="329">
        <f t="shared" si="142"/>
        <v>0</v>
      </c>
      <c r="CA128" s="329">
        <f t="shared" si="142"/>
        <v>0</v>
      </c>
      <c r="CB128" s="329">
        <f t="shared" si="142"/>
        <v>0</v>
      </c>
      <c r="CC128" s="329">
        <f t="shared" si="142"/>
        <v>0</v>
      </c>
      <c r="CD128" s="329">
        <f t="shared" si="142"/>
        <v>0</v>
      </c>
      <c r="CE128" s="329">
        <f t="shared" si="142"/>
        <v>0</v>
      </c>
      <c r="CF128" s="329">
        <f t="shared" si="142"/>
        <v>0</v>
      </c>
      <c r="CG128" s="329">
        <f t="shared" si="142"/>
        <v>0</v>
      </c>
      <c r="CH128" s="329">
        <f t="shared" si="142"/>
        <v>0</v>
      </c>
      <c r="CI128" s="329">
        <f t="shared" si="142"/>
        <v>0</v>
      </c>
      <c r="CJ128" s="331">
        <f>SUM(BT128:CI128)</f>
        <v>0</v>
      </c>
      <c r="CK128" s="330">
        <f t="shared" si="5"/>
        <v>0</v>
      </c>
      <c r="CL128" s="330">
        <f t="shared" si="6"/>
        <v>0</v>
      </c>
      <c r="CM128" s="330">
        <f t="shared" si="7"/>
        <v>0</v>
      </c>
      <c r="CN128" s="330">
        <f t="shared" si="8"/>
        <v>0</v>
      </c>
      <c r="CO128" s="330">
        <f t="shared" si="9"/>
        <v>0</v>
      </c>
      <c r="CP128" s="330">
        <f t="shared" si="10"/>
        <v>0</v>
      </c>
      <c r="CQ128" s="330">
        <f t="shared" si="94"/>
        <v>0</v>
      </c>
      <c r="CR128" s="330">
        <f t="shared" si="12"/>
        <v>0</v>
      </c>
      <c r="CS128" s="330">
        <f t="shared" si="13"/>
        <v>0</v>
      </c>
      <c r="CT128" s="330">
        <f t="shared" si="14"/>
        <v>0</v>
      </c>
      <c r="CU128" s="330">
        <f t="shared" si="143"/>
        <v>0</v>
      </c>
      <c r="CV128" s="330">
        <f t="shared" si="143"/>
        <v>0</v>
      </c>
      <c r="CW128" s="330">
        <f t="shared" si="143"/>
        <v>0</v>
      </c>
      <c r="CX128" s="330">
        <f t="shared" si="143"/>
        <v>0</v>
      </c>
      <c r="CY128" s="330">
        <f t="shared" si="143"/>
        <v>0</v>
      </c>
      <c r="CZ128" s="330">
        <f t="shared" si="143"/>
        <v>0</v>
      </c>
      <c r="DA128" s="330">
        <f t="shared" si="143"/>
        <v>0</v>
      </c>
      <c r="DB128" s="330">
        <f t="shared" si="143"/>
        <v>0</v>
      </c>
      <c r="DC128" s="330">
        <f t="shared" si="143"/>
        <v>0</v>
      </c>
      <c r="DD128" s="330">
        <f t="shared" si="143"/>
        <v>0</v>
      </c>
      <c r="DE128" s="330">
        <f t="shared" si="144"/>
        <v>0</v>
      </c>
      <c r="DF128" s="330">
        <f t="shared" si="144"/>
        <v>0</v>
      </c>
      <c r="DG128" s="330">
        <f t="shared" si="144"/>
        <v>0</v>
      </c>
      <c r="DH128" s="330">
        <f t="shared" si="144"/>
        <v>0</v>
      </c>
      <c r="DI128" s="330">
        <f t="shared" si="144"/>
        <v>0</v>
      </c>
      <c r="DJ128" s="330">
        <f t="shared" si="144"/>
        <v>0</v>
      </c>
      <c r="DK128" s="330">
        <f t="shared" si="144"/>
        <v>0</v>
      </c>
      <c r="DL128" s="330">
        <f t="shared" si="144"/>
        <v>0</v>
      </c>
      <c r="DM128" s="330">
        <f t="shared" si="144"/>
        <v>0</v>
      </c>
      <c r="DN128" s="330">
        <f t="shared" si="144"/>
        <v>0</v>
      </c>
      <c r="DO128" s="330">
        <f t="shared" si="144"/>
        <v>0</v>
      </c>
      <c r="DP128" s="330">
        <f t="shared" si="140"/>
        <v>0</v>
      </c>
      <c r="DQ128" s="217"/>
      <c r="DR128" s="217"/>
      <c r="DS128" s="217"/>
      <c r="DT128" s="217"/>
    </row>
    <row r="129" spans="1:124" x14ac:dyDescent="0.3">
      <c r="A129" s="332" t="str">
        <f>IF(AND(F129&lt;&gt;"",OR('Simplified Screening 1'!G20=0,'Simplified Screening 1'!G20="I Don't Know")),"Default","")</f>
        <v/>
      </c>
      <c r="B129" s="221" t="s">
        <v>306</v>
      </c>
      <c r="C129" s="221" t="str">
        <f>IF('Simplified Screening 1'!C20=0,"",'Simplified Screening 1'!C20)</f>
        <v/>
      </c>
      <c r="D129" s="221" t="str">
        <f>IF('Simplified Screening 1'!D20=0,"",'Simplified Screening 1'!D20)</f>
        <v/>
      </c>
      <c r="E129" s="221" t="str">
        <f>IF('Simplified Screening 1'!E20=0,"",'Simplified Screening 1'!E20)</f>
        <v/>
      </c>
      <c r="F129" s="221" t="str">
        <f>'Simplified Screening 1'!R20</f>
        <v/>
      </c>
      <c r="G129" s="272">
        <f>'Simplified Screening 1'!H20*'Simplified Screening 1'!L20*Conversions!$C$4</f>
        <v>0</v>
      </c>
      <c r="H129" s="272">
        <f>'Simplified Screening 1'!I20*'Simplified Screening 1'!M20*'Simplified Screening 1'!J20*Conversions!$C$4</f>
        <v>0</v>
      </c>
      <c r="I129" s="272">
        <f>'Simplified Screening 1'!K20*'Simplified Screening 1'!N20*(1-'Simplified Screening 1'!O20)*Conversions!$C$4</f>
        <v>0</v>
      </c>
      <c r="J129" s="325">
        <f>IF('Simplified Screening 1'!P20=0,0,'Simplified Screening 1'!P20)</f>
        <v>0</v>
      </c>
      <c r="K129" s="325">
        <f>IF(AND(OR('Simplified Screening 1'!G20=0,'Simplified Screening 1'!G20="I Don't Know"),F129&lt;&gt;""),J129*HLOOKUP(E129,'Equipment Assumptions'!$C$30:$Q$31,2,0),IF(F129="Non-HFC",0,J129))</f>
        <v>0</v>
      </c>
      <c r="L129" s="333">
        <f>IF($F129="",0,IF($A129="Default",$G129*VLOOKUP($F129,Lists!$C$72:$R$232,COLUMNS(Lists!$C$69:E$69),0)*VLOOKUP(BE$3,Conversions!$B$12:$E$34,4,0)*HLOOKUP($E129,'Equipment Assumptions'!$C$30:$Q$31,2,0),$G129*VLOOKUP($F129,Lists!$C$72:$R$232,COLUMNS(Lists!$C$69:E$69),0)*VLOOKUP(BE$3,Conversions!$B$12:$E$34,4,0)))</f>
        <v>0</v>
      </c>
      <c r="M129" s="333">
        <f>IF($F129="",0,IF($A129="Default",$G129*VLOOKUP($F129,Lists!$C$72:$R$232,COLUMNS(Lists!$C$69:F$69),0)*VLOOKUP(BF$3,Conversions!$B$12:$E$34,4,0)*HLOOKUP($E129,'Equipment Assumptions'!$C$30:$Q$31,2,0),$G129*VLOOKUP($F129,Lists!$C$72:$R$232,COLUMNS(Lists!$C$69:F$69),0)*VLOOKUP(BF$3,Conversions!$B$12:$E$34,4,0)))</f>
        <v>0</v>
      </c>
      <c r="N129" s="333">
        <f>IF($F129="",0,IF($A129="Default",$G129*VLOOKUP($F129,Lists!$C$72:$R$232,COLUMNS(Lists!$C$69:G$69),0)*VLOOKUP(BG$3,Conversions!$B$12:$E$34,4,0)*HLOOKUP($E129,'Equipment Assumptions'!$C$30:$Q$31,2,0),$G129*VLOOKUP($F129,Lists!$C$72:$R$232,COLUMNS(Lists!$C$69:G$69),0)*VLOOKUP(BG$3,Conversions!$B$12:$E$34,4,0)))</f>
        <v>0</v>
      </c>
      <c r="O129" s="333">
        <f>IF($F129="",0,IF($A129="Default",$G129*VLOOKUP($F129,Lists!$C$72:$R$232,COLUMNS(Lists!$C$69:H$69),0)*VLOOKUP(BH$3,Conversions!$B$12:$E$34,4,0)*HLOOKUP($E129,'Equipment Assumptions'!$C$30:$Q$31,2,0),$G129*VLOOKUP($F129,Lists!$C$72:$R$232,COLUMNS(Lists!$C$69:H$69),0)*VLOOKUP(BH$3,Conversions!$B$12:$E$34,4,0)))</f>
        <v>0</v>
      </c>
      <c r="P129" s="333">
        <f>IF($F129="",0,IF($A129="Default",$G129*VLOOKUP($F129,Lists!$C$72:$R$232,COLUMNS(Lists!$C$69:I$69),0)*VLOOKUP(BI$3,Conversions!$B$12:$E$34,4,0)*HLOOKUP($E129,'Equipment Assumptions'!$C$30:$Q$31,2,0),$G129*VLOOKUP($F129,Lists!$C$72:$R$232,COLUMNS(Lists!$C$69:I$69),0)*VLOOKUP(BI$3,Conversions!$B$12:$E$34,4,0)))</f>
        <v>0</v>
      </c>
      <c r="Q129" s="333">
        <f>IF($F129="",0,IF($A129="Default",$G129*VLOOKUP($F129,Lists!$C$72:$R$232,COLUMNS(Lists!$C$69:J$69),0)*VLOOKUP(BJ$3,Conversions!$B$12:$E$34,4,0)*HLOOKUP($E129,'Equipment Assumptions'!$C$30:$Q$31,2,0),$G129*VLOOKUP($F129,Lists!$C$72:$R$232,COLUMNS(Lists!$C$69:J$69),0)*VLOOKUP(BJ$3,Conversions!$B$12:$E$34,4,0)))</f>
        <v>0</v>
      </c>
      <c r="R129" s="333">
        <f>IF($F129="",0,IF($A129="Default",$G129*VLOOKUP($F129,Lists!$C$72:$R$232,COLUMNS(Lists!$C$69:K$69),0)*VLOOKUP(BK$3,Conversions!$B$12:$E$34,4,0)*HLOOKUP($E129,'Equipment Assumptions'!$C$30:$Q$31,2,0),$G129*VLOOKUP($F129,Lists!$C$72:$R$232,COLUMNS(Lists!$C$69:K$69),0)*VLOOKUP(BK$3,Conversions!$B$12:$E$34,4,0)))</f>
        <v>0</v>
      </c>
      <c r="S129" s="333">
        <f>IF($F129="",0,IF($A129="Default",$G129*VLOOKUP($F129,Lists!$C$72:$R$232,COLUMNS(Lists!$C$69:L$69),0)*VLOOKUP(BL$3,Conversions!$B$12:$E$34,4,0)*HLOOKUP($E129,'Equipment Assumptions'!$C$30:$Q$31,2,0),$G129*VLOOKUP($F129,Lists!$C$72:$R$232,COLUMNS(Lists!$C$69:L$69),0)*VLOOKUP(BL$3,Conversions!$B$12:$E$34,4,0)))</f>
        <v>0</v>
      </c>
      <c r="T129" s="333">
        <f>IF($F129="",0,IF($A129="Default",$G129*VLOOKUP($F129,Lists!$C$72:$R$232,COLUMNS(Lists!$C$69:M$69),0)*VLOOKUP(BM$3,Conversions!$B$12:$E$34,4,0)*HLOOKUP($E129,'Equipment Assumptions'!$C$30:$Q$31,2,0),$G129*VLOOKUP($F129,Lists!$C$72:$R$232,COLUMNS(Lists!$C$69:M$69),0)*VLOOKUP(BM$3,Conversions!$B$12:$E$34,4,0)))</f>
        <v>0</v>
      </c>
      <c r="U129" s="333">
        <f>IF($F129="",0,IF($A129="Default",$G129*VLOOKUP($F129,Lists!$C$72:$R$232,COLUMNS(Lists!$C$69:N$69),0)*VLOOKUP(BN$3,Conversions!$B$12:$E$34,4,0)*HLOOKUP($E129,'Equipment Assumptions'!$C$30:$Q$31,2,0),$G129*VLOOKUP($F129,Lists!$C$72:$R$232,COLUMNS(Lists!$C$69:N$69),0)*VLOOKUP(BN$3,Conversions!$B$12:$E$34,4,0)))</f>
        <v>0</v>
      </c>
      <c r="V129" s="333">
        <f>IF($F129="",0,IF($A129="Default",$G129*VLOOKUP($F129,Lists!$C$72:$R$232,COLUMNS(Lists!$C$69:O$69),0)*VLOOKUP(BO$3,Conversions!$B$12:$E$34,4,0)*HLOOKUP($E129,'Equipment Assumptions'!$C$30:$Q$31,2,0),$G129*VLOOKUP($F129,Lists!$C$72:$R$232,COLUMNS(Lists!$C$69:O$69),0)*VLOOKUP(BO$3,Conversions!$B$12:$E$34,4,0)))</f>
        <v>0</v>
      </c>
      <c r="W129" s="333">
        <f>IF($F129="",0,IF($A129="Default",$G129*VLOOKUP($F129,Lists!$C$72:$R$232,COLUMNS(Lists!$C$69:P$69),0)*VLOOKUP(BP$3,Conversions!$B$12:$E$34,4,0)*HLOOKUP($E129,'Equipment Assumptions'!$C$30:$Q$31,2,0),$G129*VLOOKUP($F129,Lists!$C$72:$R$232,COLUMNS(Lists!$C$69:P$69),0)*VLOOKUP(BP$3,Conversions!$B$12:$E$34,4,0)))</f>
        <v>0</v>
      </c>
      <c r="X129" s="333">
        <f>IF($F129="",0,IF($A129="Default",$G129*VLOOKUP($F129,Lists!$C$72:$R$232,COLUMNS(Lists!$C$69:Q$69),0)*VLOOKUP(BQ$3,Conversions!$B$12:$E$34,4,0)*HLOOKUP($E129,'Equipment Assumptions'!$C$30:$Q$31,2,0),$G129*VLOOKUP($F129,Lists!$C$72:$R$232,COLUMNS(Lists!$C$69:Q$69),0)*VLOOKUP(BQ$3,Conversions!$B$12:$E$34,4,0)))</f>
        <v>0</v>
      </c>
      <c r="Y129" s="333">
        <f>IF($F129="",0,IF($A129="Default",$G129*VLOOKUP($F129,Lists!$C$72:$R$232,COLUMNS(Lists!$C$69:R$69),0)*VLOOKUP(BR$3,Conversions!$B$12:$E$34,4,0)*HLOOKUP($E129,'Equipment Assumptions'!$C$30:$Q$31,2,0),$G129*VLOOKUP($F129,Lists!$C$72:$R$232,COLUMNS(Lists!$C$69:R$69),0)*VLOOKUP(BR$3,Conversions!$B$12:$E$34,4,0)))</f>
        <v>0</v>
      </c>
      <c r="Z129" s="325">
        <f>SUM(L129:Y129)</f>
        <v>0</v>
      </c>
      <c r="AA129" s="334">
        <f>IF($F129="",0,IF($A129="Default",$H129*VLOOKUP($F129,Lists!$C$72:$R$232,COLUMNS(Lists!$C$69:E$69),0)*VLOOKUP(BE$3,Conversions!$B$12:$E$34,4,0)*HLOOKUP($E129,'Equipment Assumptions'!$C$30:$Q$31,2,0),$H129*VLOOKUP($F129,Lists!$C$72:$R$232,COLUMNS(Lists!$C$69:E$69),0)*VLOOKUP(BE$3,Conversions!$B$12:$E$34,4,0)))</f>
        <v>0</v>
      </c>
      <c r="AB129" s="334">
        <f>IF($F129="",0,IF($A129="Default",$H129*VLOOKUP($F129,Lists!$C$72:$R$232,COLUMNS(Lists!$C$69:F$69),0)*VLOOKUP(BF$3,Conversions!$B$12:$E$34,4,0)*HLOOKUP($E129,'Equipment Assumptions'!$C$30:$Q$31,2,0),$H129*VLOOKUP($F129,Lists!$C$72:$R$232,COLUMNS(Lists!$C$69:F$69),0)*VLOOKUP(BF$3,Conversions!$B$12:$E$34,4,0)))</f>
        <v>0</v>
      </c>
      <c r="AC129" s="334">
        <f>IF($F129="",0,IF($A129="Default",$H129*VLOOKUP($F129,Lists!$C$72:$R$232,COLUMNS(Lists!$C$69:G$69),0)*VLOOKUP(BG$3,Conversions!$B$12:$E$34,4,0)*HLOOKUP($E129,'Equipment Assumptions'!$C$30:$Q$31,2,0),$H129*VLOOKUP($F129,Lists!$C$72:$R$232,COLUMNS(Lists!$C$69:G$69),0)*VLOOKUP(BG$3,Conversions!$B$12:$E$34,4,0)))</f>
        <v>0</v>
      </c>
      <c r="AD129" s="334">
        <f>IF($F129="",0,IF($A129="Default",$H129*VLOOKUP($F129,Lists!$C$72:$R$232,COLUMNS(Lists!$C$69:H$69),0)*VLOOKUP(BH$3,Conversions!$B$12:$E$34,4,0)*HLOOKUP($E129,'Equipment Assumptions'!$C$30:$Q$31,2,0),$H129*VLOOKUP($F129,Lists!$C$72:$R$232,COLUMNS(Lists!$C$69:H$69),0)*VLOOKUP(BH$3,Conversions!$B$12:$E$34,4,0)))</f>
        <v>0</v>
      </c>
      <c r="AE129" s="334">
        <f>IF($F129="",0,IF($A129="Default",$H129*VLOOKUP($F129,Lists!$C$72:$R$232,COLUMNS(Lists!$C$69:I$69),0)*VLOOKUP(BI$3,Conversions!$B$12:$E$34,4,0)*HLOOKUP($E129,'Equipment Assumptions'!$C$30:$Q$31,2,0),$H129*VLOOKUP($F129,Lists!$C$72:$R$232,COLUMNS(Lists!$C$69:I$69),0)*VLOOKUP(BI$3,Conversions!$B$12:$E$34,4,0)))</f>
        <v>0</v>
      </c>
      <c r="AF129" s="334">
        <f>IF($F129="",0,IF($A129="Default",$H129*VLOOKUP($F129,Lists!$C$72:$R$232,COLUMNS(Lists!$C$69:J$69),0)*VLOOKUP(BJ$3,Conversions!$B$12:$E$34,4,0)*HLOOKUP($E129,'Equipment Assumptions'!$C$30:$Q$31,2,0),$H129*VLOOKUP($F129,Lists!$C$72:$R$232,COLUMNS(Lists!$C$69:J$69),0)*VLOOKUP(BJ$3,Conversions!$B$12:$E$34,4,0)))</f>
        <v>0</v>
      </c>
      <c r="AG129" s="334">
        <f>IF($F129="",0,IF($A129="Default",$H129*VLOOKUP($F129,Lists!$C$72:$R$232,COLUMNS(Lists!$C$69:K$69),0)*VLOOKUP(BK$3,Conversions!$B$12:$E$34,4,0)*HLOOKUP($E129,'Equipment Assumptions'!$C$30:$Q$31,2,0),$H129*VLOOKUP($F129,Lists!$C$72:$R$232,COLUMNS(Lists!$C$69:K$69),0)*VLOOKUP(BK$3,Conversions!$B$12:$E$34,4,0)))</f>
        <v>0</v>
      </c>
      <c r="AH129" s="334">
        <f>IF($F129="",0,IF($A129="Default",$H129*VLOOKUP($F129,Lists!$C$72:$R$232,COLUMNS(Lists!$C$69:L$69),0)*VLOOKUP(BL$3,Conversions!$B$12:$E$34,4,0)*HLOOKUP($E129,'Equipment Assumptions'!$C$30:$Q$31,2,0),$H129*VLOOKUP($F129,Lists!$C$72:$R$232,COLUMNS(Lists!$C$69:L$69),0)*VLOOKUP(BL$3,Conversions!$B$12:$E$34,4,0)))</f>
        <v>0</v>
      </c>
      <c r="AI129" s="334">
        <f>IF($F129="",0,IF($A129="Default",$H129*VLOOKUP($F129,Lists!$C$72:$R$232,COLUMNS(Lists!$C$69:M$69),0)*VLOOKUP(BM$3,Conversions!$B$12:$E$34,4,0)*HLOOKUP($E129,'Equipment Assumptions'!$C$30:$Q$31,2,0),$H129*VLOOKUP($F129,Lists!$C$72:$R$232,COLUMNS(Lists!$C$69:M$69),0)*VLOOKUP(BM$3,Conversions!$B$12:$E$34,4,0)))</f>
        <v>0</v>
      </c>
      <c r="AJ129" s="334">
        <f>IF($F129="",0,IF($A129="Default",$H129*VLOOKUP($F129,Lists!$C$72:$R$232,COLUMNS(Lists!$C$69:N$69),0)*VLOOKUP(BN$3,Conversions!$B$12:$E$34,4,0)*HLOOKUP($E129,'Equipment Assumptions'!$C$30:$Q$31,2,0),$H129*VLOOKUP($F129,Lists!$C$72:$R$232,COLUMNS(Lists!$C$69:N$69),0)*VLOOKUP(BN$3,Conversions!$B$12:$E$34,4,0)))</f>
        <v>0</v>
      </c>
      <c r="AK129" s="334">
        <f>IF($F129="",0,IF($A129="Default",$H129*VLOOKUP($F129,Lists!$C$72:$R$232,COLUMNS(Lists!$C$69:O$69),0)*VLOOKUP(BO$3,Conversions!$B$12:$E$34,4,0)*HLOOKUP($E129,'Equipment Assumptions'!$C$30:$Q$31,2,0),$H129*VLOOKUP($F129,Lists!$C$72:$R$232,COLUMNS(Lists!$C$69:O$69),0)*VLOOKUP(BO$3,Conversions!$B$12:$E$34,4,0)))</f>
        <v>0</v>
      </c>
      <c r="AL129" s="334">
        <f>IF($F129="",0,IF($A129="Default",$H129*VLOOKUP($F129,Lists!$C$72:$R$232,COLUMNS(Lists!$C$69:P$69),0)*VLOOKUP(BP$3,Conversions!$B$12:$E$34,4,0)*HLOOKUP($E129,'Equipment Assumptions'!$C$30:$Q$31,2,0),$H129*VLOOKUP($F129,Lists!$C$72:$R$232,COLUMNS(Lists!$C$69:P$69),0)*VLOOKUP(BP$3,Conversions!$B$12:$E$34,4,0)))</f>
        <v>0</v>
      </c>
      <c r="AM129" s="334">
        <f>IF($F129="",0,IF($A129="Default",$H129*VLOOKUP($F129,Lists!$C$72:$R$232,COLUMNS(Lists!$C$69:Q$69),0)*VLOOKUP(BQ$3,Conversions!$B$12:$E$34,4,0)*HLOOKUP($E129,'Equipment Assumptions'!$C$30:$Q$31,2,0),$H129*VLOOKUP($F129,Lists!$C$72:$R$232,COLUMNS(Lists!$C$69:Q$69),0)*VLOOKUP(BQ$3,Conversions!$B$12:$E$34,4,0)))</f>
        <v>0</v>
      </c>
      <c r="AN129" s="334">
        <f>IF($F129="",0,IF($A129="Default",$H129*VLOOKUP($F129,Lists!$C$72:$R$232,COLUMNS(Lists!$C$69:R$69),0)*VLOOKUP(BR$3,Conversions!$B$12:$E$34,4,0)*HLOOKUP($E129,'Equipment Assumptions'!$C$30:$Q$31,2,0),$H129*VLOOKUP($F129,Lists!$C$72:$R$232,COLUMNS(Lists!$C$69:R$69),0)*VLOOKUP(BR$3,Conversions!$B$12:$E$34,4,0)))</f>
        <v>0</v>
      </c>
      <c r="AO129" s="330">
        <f>SUM(AA129:AN129)</f>
        <v>0</v>
      </c>
      <c r="AP129" s="333">
        <f>IF($F129="",0,IF($A129="Default",$I129*VLOOKUP($F129,Lists!$C$72:$R$232,COLUMNS(Lists!$C$69:E$69),0)*VLOOKUP(BE$3,Conversions!$B$12:$E$34,4,0)*HLOOKUP($E129,'Equipment Assumptions'!$C$30:$Q$31,2,0),$I129*VLOOKUP($F129,Lists!$C$72:$R$232,COLUMNS(Lists!$C$69:E$69),0)*VLOOKUP(BE$3,Conversions!$B$12:$E$34,4,0)))</f>
        <v>0</v>
      </c>
      <c r="AQ129" s="333">
        <f>IF($F129="",0,IF($A129="Default",$I129*VLOOKUP($F129,Lists!$C$72:$R$232,COLUMNS(Lists!$C$69:F$69),0)*VLOOKUP(BF$3,Conversions!$B$12:$E$34,4,0)*HLOOKUP($E129,'Equipment Assumptions'!$C$30:$Q$31,2,0),$I129*VLOOKUP($F129,Lists!$C$72:$R$232,COLUMNS(Lists!$C$69:F$69),0)*VLOOKUP(BF$3,Conversions!$B$12:$E$34,4,0)))</f>
        <v>0</v>
      </c>
      <c r="AR129" s="333">
        <f>IF($F129="",0,IF($A129="Default",$I129*VLOOKUP($F129,Lists!$C$72:$R$232,COLUMNS(Lists!$C$69:G$69),0)*VLOOKUP(BG$3,Conversions!$B$12:$E$34,4,0)*HLOOKUP($E129,'Equipment Assumptions'!$C$30:$Q$31,2,0),$I129*VLOOKUP($F129,Lists!$C$72:$R$232,COLUMNS(Lists!$C$69:G$69),0)*VLOOKUP(BG$3,Conversions!$B$12:$E$34,4,0)))</f>
        <v>0</v>
      </c>
      <c r="AS129" s="333">
        <f>IF($F129="",0,IF($A129="Default",$I129*VLOOKUP($F129,Lists!$C$72:$R$232,COLUMNS(Lists!$C$69:H$69),0)*VLOOKUP(BH$3,Conversions!$B$12:$E$34,4,0)*HLOOKUP($E129,'Equipment Assumptions'!$C$30:$Q$31,2,0),$I129*VLOOKUP($F129,Lists!$C$72:$R$232,COLUMNS(Lists!$C$69:H$69),0)*VLOOKUP(BH$3,Conversions!$B$12:$E$34,4,0)))</f>
        <v>0</v>
      </c>
      <c r="AT129" s="333">
        <f>IF($F129="",0,IF($A129="Default",$I129*VLOOKUP($F129,Lists!$C$72:$R$232,COLUMNS(Lists!$C$69:I$69),0)*VLOOKUP(BI$3,Conversions!$B$12:$E$34,4,0)*HLOOKUP($E129,'Equipment Assumptions'!$C$30:$Q$31,2,0),$I129*VLOOKUP($F129,Lists!$C$72:$R$232,COLUMNS(Lists!$C$69:I$69),0)*VLOOKUP(BI$3,Conversions!$B$12:$E$34,4,0)))</f>
        <v>0</v>
      </c>
      <c r="AU129" s="333">
        <f>IF($F129="",0,IF($A129="Default",$I129*VLOOKUP($F129,Lists!$C$72:$R$232,COLUMNS(Lists!$C$69:J$69),0)*VLOOKUP(BJ$3,Conversions!$B$12:$E$34,4,0)*HLOOKUP($E129,'Equipment Assumptions'!$C$30:$Q$31,2,0),$I129*VLOOKUP($F129,Lists!$C$72:$R$232,COLUMNS(Lists!$C$69:J$69),0)*VLOOKUP(BJ$3,Conversions!$B$12:$E$34,4,0)))</f>
        <v>0</v>
      </c>
      <c r="AV129" s="333">
        <f>IF($F129="",0,IF($A129="Default",$I129*VLOOKUP($F129,Lists!$C$72:$R$232,COLUMNS(Lists!$C$69:K$69),0)*VLOOKUP(BK$3,Conversions!$B$12:$E$34,4,0)*HLOOKUP($E129,'Equipment Assumptions'!$C$30:$Q$31,2,0),$I129*VLOOKUP($F129,Lists!$C$72:$R$232,COLUMNS(Lists!$C$69:K$69),0)*VLOOKUP(BK$3,Conversions!$B$12:$E$34,4,0)))</f>
        <v>0</v>
      </c>
      <c r="AW129" s="333">
        <f>IF($F129="",0,IF($A129="Default",$I129*VLOOKUP($F129,Lists!$C$72:$R$232,COLUMNS(Lists!$C$69:L$69),0)*VLOOKUP(BL$3,Conversions!$B$12:$E$34,4,0)*HLOOKUP($E129,'Equipment Assumptions'!$C$30:$Q$31,2,0),$I129*VLOOKUP($F129,Lists!$C$72:$R$232,COLUMNS(Lists!$C$69:L$69),0)*VLOOKUP(BL$3,Conversions!$B$12:$E$34,4,0)))</f>
        <v>0</v>
      </c>
      <c r="AX129" s="333">
        <f>IF($F129="",0,IF($A129="Default",$I129*VLOOKUP($F129,Lists!$C$72:$R$232,COLUMNS(Lists!$C$69:M$69),0)*VLOOKUP(BM$3,Conversions!$B$12:$E$34,4,0)*HLOOKUP($E129,'Equipment Assumptions'!$C$30:$Q$31,2,0),$I129*VLOOKUP($F129,Lists!$C$72:$R$232,COLUMNS(Lists!$C$69:M$69),0)*VLOOKUP(BM$3,Conversions!$B$12:$E$34,4,0)))</f>
        <v>0</v>
      </c>
      <c r="AY129" s="333">
        <f>IF($F129="",0,IF($A129="Default",$I129*VLOOKUP($F129,Lists!$C$72:$R$232,COLUMNS(Lists!$C$69:N$69),0)*VLOOKUP(BN$3,Conversions!$B$12:$E$34,4,0)*HLOOKUP($E129,'Equipment Assumptions'!$C$30:$Q$31,2,0),$I129*VLOOKUP($F129,Lists!$C$72:$R$232,COLUMNS(Lists!$C$69:N$69),0)*VLOOKUP(BN$3,Conversions!$B$12:$E$34,4,0)))</f>
        <v>0</v>
      </c>
      <c r="AZ129" s="333">
        <f>IF($F129="",0,IF($A129="Default",$I129*VLOOKUP($F129,Lists!$C$72:$R$232,COLUMNS(Lists!$C$69:O$69),0)*VLOOKUP(BO$3,Conversions!$B$12:$E$34,4,0)*HLOOKUP($E129,'Equipment Assumptions'!$C$30:$Q$31,2,0),$I129*VLOOKUP($F129,Lists!$C$72:$R$232,COLUMNS(Lists!$C$69:O$69),0)*VLOOKUP(BO$3,Conversions!$B$12:$E$34,4,0)))</f>
        <v>0</v>
      </c>
      <c r="BA129" s="333">
        <f>IF($F129="",0,IF($A129="Default",$I129*VLOOKUP($F129,Lists!$C$72:$R$232,COLUMNS(Lists!$C$69:P$69),0)*VLOOKUP(BP$3,Conversions!$B$12:$E$34,4,0)*HLOOKUP($E129,'Equipment Assumptions'!$C$30:$Q$31,2,0),$I129*VLOOKUP($F129,Lists!$C$72:$R$232,COLUMNS(Lists!$C$69:P$69),0)*VLOOKUP(BP$3,Conversions!$B$12:$E$34,4,0)))</f>
        <v>0</v>
      </c>
      <c r="BB129" s="333">
        <f>IF($F129="",0,IF($A129="Default",$I129*VLOOKUP($F129,Lists!$C$72:$R$232,COLUMNS(Lists!$C$69:Q$69),0)*VLOOKUP(BQ$3,Conversions!$B$12:$E$34,4,0)*HLOOKUP($E129,'Equipment Assumptions'!$C$30:$Q$31,2,0),$I129*VLOOKUP($F129,Lists!$C$72:$R$232,COLUMNS(Lists!$C$69:Q$69),0)*VLOOKUP(BQ$3,Conversions!$B$12:$E$34,4,0)))</f>
        <v>0</v>
      </c>
      <c r="BC129" s="333">
        <f>IF($F129="",0,IF($A129="Default",$I129*VLOOKUP($F129,Lists!$C$72:$R$232,COLUMNS(Lists!$C$69:R$69),0)*VLOOKUP(BR$3,Conversions!$B$12:$E$34,4,0)*HLOOKUP($E129,'Equipment Assumptions'!$C$30:$Q$31,2,0),$I129*VLOOKUP($F129,Lists!$C$72:$R$232,COLUMNS(Lists!$C$69:R$69),0)*VLOOKUP(BR$3,Conversions!$B$12:$E$34,4,0)))</f>
        <v>0</v>
      </c>
      <c r="BD129" s="333">
        <f>SUM(AP129:BC129)</f>
        <v>0</v>
      </c>
      <c r="BE129" s="330">
        <f t="shared" si="145"/>
        <v>0</v>
      </c>
      <c r="BF129" s="330">
        <f t="shared" si="146"/>
        <v>0</v>
      </c>
      <c r="BG129" s="330">
        <f t="shared" si="147"/>
        <v>0</v>
      </c>
      <c r="BH129" s="330">
        <f t="shared" si="148"/>
        <v>0</v>
      </c>
      <c r="BI129" s="330">
        <f t="shared" si="149"/>
        <v>0</v>
      </c>
      <c r="BJ129" s="330">
        <f t="shared" si="150"/>
        <v>0</v>
      </c>
      <c r="BK129" s="330">
        <f t="shared" si="151"/>
        <v>0</v>
      </c>
      <c r="BL129" s="330">
        <f t="shared" si="152"/>
        <v>0</v>
      </c>
      <c r="BM129" s="330">
        <f t="shared" si="153"/>
        <v>0</v>
      </c>
      <c r="BN129" s="330">
        <f t="shared" si="154"/>
        <v>0</v>
      </c>
      <c r="BO129" s="330">
        <f t="shared" si="155"/>
        <v>0</v>
      </c>
      <c r="BP129" s="330">
        <f t="shared" si="156"/>
        <v>0</v>
      </c>
      <c r="BQ129" s="330">
        <f t="shared" si="157"/>
        <v>0</v>
      </c>
      <c r="BR129" s="330">
        <f t="shared" si="158"/>
        <v>0</v>
      </c>
      <c r="BS129" s="330">
        <f t="shared" si="159"/>
        <v>0</v>
      </c>
      <c r="BT129" s="329">
        <f t="shared" si="142"/>
        <v>0</v>
      </c>
      <c r="BU129" s="329">
        <f t="shared" si="142"/>
        <v>0</v>
      </c>
      <c r="BV129" s="329">
        <f t="shared" si="142"/>
        <v>0</v>
      </c>
      <c r="BW129" s="329">
        <f t="shared" si="142"/>
        <v>0</v>
      </c>
      <c r="BX129" s="329">
        <f t="shared" si="142"/>
        <v>0</v>
      </c>
      <c r="BY129" s="329">
        <f t="shared" si="142"/>
        <v>0</v>
      </c>
      <c r="BZ129" s="329">
        <f t="shared" si="142"/>
        <v>0</v>
      </c>
      <c r="CA129" s="329">
        <f t="shared" si="142"/>
        <v>0</v>
      </c>
      <c r="CB129" s="329">
        <f t="shared" si="142"/>
        <v>0</v>
      </c>
      <c r="CC129" s="329">
        <f t="shared" si="142"/>
        <v>0</v>
      </c>
      <c r="CD129" s="329">
        <f t="shared" si="142"/>
        <v>0</v>
      </c>
      <c r="CE129" s="329">
        <f t="shared" si="142"/>
        <v>0</v>
      </c>
      <c r="CF129" s="329">
        <f t="shared" si="142"/>
        <v>0</v>
      </c>
      <c r="CG129" s="329">
        <f t="shared" si="142"/>
        <v>0</v>
      </c>
      <c r="CH129" s="329">
        <f t="shared" si="142"/>
        <v>0</v>
      </c>
      <c r="CI129" s="329">
        <f t="shared" si="142"/>
        <v>0</v>
      </c>
      <c r="CJ129" s="331">
        <f>SUM(BT129:CI129)</f>
        <v>0</v>
      </c>
      <c r="CK129" s="330">
        <f>BT129</f>
        <v>0</v>
      </c>
      <c r="CL129" s="330">
        <f>BU129+BV129+BW129</f>
        <v>0</v>
      </c>
      <c r="CM129" s="330">
        <f>BX129</f>
        <v>0</v>
      </c>
      <c r="CN129" s="330">
        <f>BY129+BZ129</f>
        <v>0</v>
      </c>
      <c r="CO129" s="330">
        <f t="shared" ref="CO129:CP132" si="160">CA129</f>
        <v>0</v>
      </c>
      <c r="CP129" s="330">
        <f t="shared" si="160"/>
        <v>0</v>
      </c>
      <c r="CQ129" s="330">
        <f t="shared" si="94"/>
        <v>0</v>
      </c>
      <c r="CR129" s="330">
        <f>CE129+CF129</f>
        <v>0</v>
      </c>
      <c r="CS129" s="330">
        <f>CG129+CH129+CI129</f>
        <v>0</v>
      </c>
      <c r="CT129" s="330">
        <f>SUM(CK129:CS129)</f>
        <v>0</v>
      </c>
      <c r="CU129" s="330">
        <f t="shared" si="143"/>
        <v>0</v>
      </c>
      <c r="CV129" s="330">
        <f t="shared" si="143"/>
        <v>0</v>
      </c>
      <c r="CW129" s="330">
        <f t="shared" si="143"/>
        <v>0</v>
      </c>
      <c r="CX129" s="330">
        <f t="shared" si="143"/>
        <v>0</v>
      </c>
      <c r="CY129" s="330">
        <f t="shared" si="143"/>
        <v>0</v>
      </c>
      <c r="CZ129" s="330">
        <f t="shared" si="143"/>
        <v>0</v>
      </c>
      <c r="DA129" s="330">
        <f t="shared" si="143"/>
        <v>0</v>
      </c>
      <c r="DB129" s="330">
        <f t="shared" si="143"/>
        <v>0</v>
      </c>
      <c r="DC129" s="330">
        <f t="shared" si="143"/>
        <v>0</v>
      </c>
      <c r="DD129" s="330">
        <f t="shared" si="143"/>
        <v>0</v>
      </c>
      <c r="DE129" s="330">
        <f t="shared" si="144"/>
        <v>0</v>
      </c>
      <c r="DF129" s="330">
        <f t="shared" si="144"/>
        <v>0</v>
      </c>
      <c r="DG129" s="330">
        <f t="shared" si="144"/>
        <v>0</v>
      </c>
      <c r="DH129" s="330">
        <f t="shared" si="144"/>
        <v>0</v>
      </c>
      <c r="DI129" s="330">
        <f t="shared" si="144"/>
        <v>0</v>
      </c>
      <c r="DJ129" s="330">
        <f t="shared" si="144"/>
        <v>0</v>
      </c>
      <c r="DK129" s="330">
        <f t="shared" si="144"/>
        <v>0</v>
      </c>
      <c r="DL129" s="330">
        <f t="shared" si="144"/>
        <v>0</v>
      </c>
      <c r="DM129" s="330">
        <f t="shared" si="144"/>
        <v>0</v>
      </c>
      <c r="DN129" s="330">
        <f t="shared" si="144"/>
        <v>0</v>
      </c>
      <c r="DO129" s="330">
        <f t="shared" si="144"/>
        <v>0</v>
      </c>
      <c r="DP129" s="330">
        <f t="shared" si="140"/>
        <v>0</v>
      </c>
      <c r="DQ129" s="217"/>
      <c r="DR129" s="217"/>
      <c r="DS129" s="217"/>
      <c r="DT129" s="217"/>
    </row>
    <row r="130" spans="1:124" x14ac:dyDescent="0.3">
      <c r="A130" s="332" t="str">
        <f>IF(AND(F130&lt;&gt;"",OR('Simplified Screening 1'!G21=0,'Simplified Screening 1'!G21="I Don't Know")),"Default","")</f>
        <v/>
      </c>
      <c r="B130" s="221" t="s">
        <v>306</v>
      </c>
      <c r="C130" s="221" t="str">
        <f>IF('Simplified Screening 1'!C21=0,"",'Simplified Screening 1'!C21)</f>
        <v/>
      </c>
      <c r="D130" s="221" t="str">
        <f>IF('Simplified Screening 1'!D21=0,"",'Simplified Screening 1'!D21)</f>
        <v/>
      </c>
      <c r="E130" s="221" t="str">
        <f>IF('Simplified Screening 1'!E21=0,"",'Simplified Screening 1'!E21)</f>
        <v/>
      </c>
      <c r="F130" s="221" t="str">
        <f>'Simplified Screening 1'!R21</f>
        <v/>
      </c>
      <c r="G130" s="272">
        <f>'Simplified Screening 1'!H21*'Simplified Screening 1'!L21*Conversions!$C$4</f>
        <v>0</v>
      </c>
      <c r="H130" s="272">
        <f>'Simplified Screening 1'!I21*'Simplified Screening 1'!M21*'Simplified Screening 1'!J21*Conversions!$C$4</f>
        <v>0</v>
      </c>
      <c r="I130" s="272">
        <f>'Simplified Screening 1'!K21*'Simplified Screening 1'!N21*(1-'Simplified Screening 1'!O21)*Conversions!$C$4</f>
        <v>0</v>
      </c>
      <c r="J130" s="325">
        <f>IF('Simplified Screening 1'!P21=0,0,'Simplified Screening 1'!P21)</f>
        <v>0</v>
      </c>
      <c r="K130" s="325">
        <f>IF(AND(OR('Simplified Screening 1'!G21=0,'Simplified Screening 1'!G21="I Don't Know"),F130&lt;&gt;""),J130*HLOOKUP(E130,'Equipment Assumptions'!$C$30:$Q$31,2,0),IF(F130="Non-HFC",0,J130))</f>
        <v>0</v>
      </c>
      <c r="L130" s="333">
        <f>IF($F130="",0,IF($A130="Default",$G130*VLOOKUP($F130,Lists!$C$72:$R$232,COLUMNS(Lists!$C$69:E$69),0)*VLOOKUP(BE$3,Conversions!$B$12:$E$34,4,0)*HLOOKUP($E130,'Equipment Assumptions'!$C$30:$Q$31,2,0),$G130*VLOOKUP($F130,Lists!$C$72:$R$232,COLUMNS(Lists!$C$69:E$69),0)*VLOOKUP(BE$3,Conversions!$B$12:$E$34,4,0)))</f>
        <v>0</v>
      </c>
      <c r="M130" s="333">
        <f>IF($F130="",0,IF($A130="Default",$G130*VLOOKUP($F130,Lists!$C$72:$R$232,COLUMNS(Lists!$C$69:F$69),0)*VLOOKUP(BF$3,Conversions!$B$12:$E$34,4,0)*HLOOKUP($E130,'Equipment Assumptions'!$C$30:$Q$31,2,0),$G130*VLOOKUP($F130,Lists!$C$72:$R$232,COLUMNS(Lists!$C$69:F$69),0)*VLOOKUP(BF$3,Conversions!$B$12:$E$34,4,0)))</f>
        <v>0</v>
      </c>
      <c r="N130" s="333">
        <f>IF($F130="",0,IF($A130="Default",$G130*VLOOKUP($F130,Lists!$C$72:$R$232,COLUMNS(Lists!$C$69:G$69),0)*VLOOKUP(BG$3,Conversions!$B$12:$E$34,4,0)*HLOOKUP($E130,'Equipment Assumptions'!$C$30:$Q$31,2,0),$G130*VLOOKUP($F130,Lists!$C$72:$R$232,COLUMNS(Lists!$C$69:G$69),0)*VLOOKUP(BG$3,Conversions!$B$12:$E$34,4,0)))</f>
        <v>0</v>
      </c>
      <c r="O130" s="333">
        <f>IF($F130="",0,IF($A130="Default",$G130*VLOOKUP($F130,Lists!$C$72:$R$232,COLUMNS(Lists!$C$69:H$69),0)*VLOOKUP(BH$3,Conversions!$B$12:$E$34,4,0)*HLOOKUP($E130,'Equipment Assumptions'!$C$30:$Q$31,2,0),$G130*VLOOKUP($F130,Lists!$C$72:$R$232,COLUMNS(Lists!$C$69:H$69),0)*VLOOKUP(BH$3,Conversions!$B$12:$E$34,4,0)))</f>
        <v>0</v>
      </c>
      <c r="P130" s="333">
        <f>IF($F130="",0,IF($A130="Default",$G130*VLOOKUP($F130,Lists!$C$72:$R$232,COLUMNS(Lists!$C$69:I$69),0)*VLOOKUP(BI$3,Conversions!$B$12:$E$34,4,0)*HLOOKUP($E130,'Equipment Assumptions'!$C$30:$Q$31,2,0),$G130*VLOOKUP($F130,Lists!$C$72:$R$232,COLUMNS(Lists!$C$69:I$69),0)*VLOOKUP(BI$3,Conversions!$B$12:$E$34,4,0)))</f>
        <v>0</v>
      </c>
      <c r="Q130" s="333">
        <f>IF($F130="",0,IF($A130="Default",$G130*VLOOKUP($F130,Lists!$C$72:$R$232,COLUMNS(Lists!$C$69:J$69),0)*VLOOKUP(BJ$3,Conversions!$B$12:$E$34,4,0)*HLOOKUP($E130,'Equipment Assumptions'!$C$30:$Q$31,2,0),$G130*VLOOKUP($F130,Lists!$C$72:$R$232,COLUMNS(Lists!$C$69:J$69),0)*VLOOKUP(BJ$3,Conversions!$B$12:$E$34,4,0)))</f>
        <v>0</v>
      </c>
      <c r="R130" s="333">
        <f>IF($F130="",0,IF($A130="Default",$G130*VLOOKUP($F130,Lists!$C$72:$R$232,COLUMNS(Lists!$C$69:K$69),0)*VLOOKUP(BK$3,Conversions!$B$12:$E$34,4,0)*HLOOKUP($E130,'Equipment Assumptions'!$C$30:$Q$31,2,0),$G130*VLOOKUP($F130,Lists!$C$72:$R$232,COLUMNS(Lists!$C$69:K$69),0)*VLOOKUP(BK$3,Conversions!$B$12:$E$34,4,0)))</f>
        <v>0</v>
      </c>
      <c r="S130" s="333">
        <f>IF($F130="",0,IF($A130="Default",$G130*VLOOKUP($F130,Lists!$C$72:$R$232,COLUMNS(Lists!$C$69:L$69),0)*VLOOKUP(BL$3,Conversions!$B$12:$E$34,4,0)*HLOOKUP($E130,'Equipment Assumptions'!$C$30:$Q$31,2,0),$G130*VLOOKUP($F130,Lists!$C$72:$R$232,COLUMNS(Lists!$C$69:L$69),0)*VLOOKUP(BL$3,Conversions!$B$12:$E$34,4,0)))</f>
        <v>0</v>
      </c>
      <c r="T130" s="333">
        <f>IF($F130="",0,IF($A130="Default",$G130*VLOOKUP($F130,Lists!$C$72:$R$232,COLUMNS(Lists!$C$69:M$69),0)*VLOOKUP(BM$3,Conversions!$B$12:$E$34,4,0)*HLOOKUP($E130,'Equipment Assumptions'!$C$30:$Q$31,2,0),$G130*VLOOKUP($F130,Lists!$C$72:$R$232,COLUMNS(Lists!$C$69:M$69),0)*VLOOKUP(BM$3,Conversions!$B$12:$E$34,4,0)))</f>
        <v>0</v>
      </c>
      <c r="U130" s="333">
        <f>IF($F130="",0,IF($A130="Default",$G130*VLOOKUP($F130,Lists!$C$72:$R$232,COLUMNS(Lists!$C$69:N$69),0)*VLOOKUP(BN$3,Conversions!$B$12:$E$34,4,0)*HLOOKUP($E130,'Equipment Assumptions'!$C$30:$Q$31,2,0),$G130*VLOOKUP($F130,Lists!$C$72:$R$232,COLUMNS(Lists!$C$69:N$69),0)*VLOOKUP(BN$3,Conversions!$B$12:$E$34,4,0)))</f>
        <v>0</v>
      </c>
      <c r="V130" s="333">
        <f>IF($F130="",0,IF($A130="Default",$G130*VLOOKUP($F130,Lists!$C$72:$R$232,COLUMNS(Lists!$C$69:O$69),0)*VLOOKUP(BO$3,Conversions!$B$12:$E$34,4,0)*HLOOKUP($E130,'Equipment Assumptions'!$C$30:$Q$31,2,0),$G130*VLOOKUP($F130,Lists!$C$72:$R$232,COLUMNS(Lists!$C$69:O$69),0)*VLOOKUP(BO$3,Conversions!$B$12:$E$34,4,0)))</f>
        <v>0</v>
      </c>
      <c r="W130" s="333">
        <f>IF($F130="",0,IF($A130="Default",$G130*VLOOKUP($F130,Lists!$C$72:$R$232,COLUMNS(Lists!$C$69:P$69),0)*VLOOKUP(BP$3,Conversions!$B$12:$E$34,4,0)*HLOOKUP($E130,'Equipment Assumptions'!$C$30:$Q$31,2,0),$G130*VLOOKUP($F130,Lists!$C$72:$R$232,COLUMNS(Lists!$C$69:P$69),0)*VLOOKUP(BP$3,Conversions!$B$12:$E$34,4,0)))</f>
        <v>0</v>
      </c>
      <c r="X130" s="333">
        <f>IF($F130="",0,IF($A130="Default",$G130*VLOOKUP($F130,Lists!$C$72:$R$232,COLUMNS(Lists!$C$69:Q$69),0)*VLOOKUP(BQ$3,Conversions!$B$12:$E$34,4,0)*HLOOKUP($E130,'Equipment Assumptions'!$C$30:$Q$31,2,0),$G130*VLOOKUP($F130,Lists!$C$72:$R$232,COLUMNS(Lists!$C$69:Q$69),0)*VLOOKUP(BQ$3,Conversions!$B$12:$E$34,4,0)))</f>
        <v>0</v>
      </c>
      <c r="Y130" s="333">
        <f>IF($F130="",0,IF($A130="Default",$G130*VLOOKUP($F130,Lists!$C$72:$R$232,COLUMNS(Lists!$C$69:R$69),0)*VLOOKUP(BR$3,Conversions!$B$12:$E$34,4,0)*HLOOKUP($E130,'Equipment Assumptions'!$C$30:$Q$31,2,0),$G130*VLOOKUP($F130,Lists!$C$72:$R$232,COLUMNS(Lists!$C$69:R$69),0)*VLOOKUP(BR$3,Conversions!$B$12:$E$34,4,0)))</f>
        <v>0</v>
      </c>
      <c r="Z130" s="325">
        <f>SUM(L130:Y130)</f>
        <v>0</v>
      </c>
      <c r="AA130" s="334">
        <f>IF($F130="",0,IF($A130="Default",$H130*VLOOKUP($F130,Lists!$C$72:$R$232,COLUMNS(Lists!$C$69:E$69),0)*VLOOKUP(BE$3,Conversions!$B$12:$E$34,4,0)*HLOOKUP($E130,'Equipment Assumptions'!$C$30:$Q$31,2,0),$H130*VLOOKUP($F130,Lists!$C$72:$R$232,COLUMNS(Lists!$C$69:E$69),0)*VLOOKUP(BE$3,Conversions!$B$12:$E$34,4,0)))</f>
        <v>0</v>
      </c>
      <c r="AB130" s="334">
        <f>IF($F130="",0,IF($A130="Default",$H130*VLOOKUP($F130,Lists!$C$72:$R$232,COLUMNS(Lists!$C$69:F$69),0)*VLOOKUP(BF$3,Conversions!$B$12:$E$34,4,0)*HLOOKUP($E130,'Equipment Assumptions'!$C$30:$Q$31,2,0),$H130*VLOOKUP($F130,Lists!$C$72:$R$232,COLUMNS(Lists!$C$69:F$69),0)*VLOOKUP(BF$3,Conversions!$B$12:$E$34,4,0)))</f>
        <v>0</v>
      </c>
      <c r="AC130" s="334">
        <f>IF($F130="",0,IF($A130="Default",$H130*VLOOKUP($F130,Lists!$C$72:$R$232,COLUMNS(Lists!$C$69:G$69),0)*VLOOKUP(BG$3,Conversions!$B$12:$E$34,4,0)*HLOOKUP($E130,'Equipment Assumptions'!$C$30:$Q$31,2,0),$H130*VLOOKUP($F130,Lists!$C$72:$R$232,COLUMNS(Lists!$C$69:G$69),0)*VLOOKUP(BG$3,Conversions!$B$12:$E$34,4,0)))</f>
        <v>0</v>
      </c>
      <c r="AD130" s="334">
        <f>IF($F130="",0,IF($A130="Default",$H130*VLOOKUP($F130,Lists!$C$72:$R$232,COLUMNS(Lists!$C$69:H$69),0)*VLOOKUP(BH$3,Conversions!$B$12:$E$34,4,0)*HLOOKUP($E130,'Equipment Assumptions'!$C$30:$Q$31,2,0),$H130*VLOOKUP($F130,Lists!$C$72:$R$232,COLUMNS(Lists!$C$69:H$69),0)*VLOOKUP(BH$3,Conversions!$B$12:$E$34,4,0)))</f>
        <v>0</v>
      </c>
      <c r="AE130" s="334">
        <f>IF($F130="",0,IF($A130="Default",$H130*VLOOKUP($F130,Lists!$C$72:$R$232,COLUMNS(Lists!$C$69:I$69),0)*VLOOKUP(BI$3,Conversions!$B$12:$E$34,4,0)*HLOOKUP($E130,'Equipment Assumptions'!$C$30:$Q$31,2,0),$H130*VLOOKUP($F130,Lists!$C$72:$R$232,COLUMNS(Lists!$C$69:I$69),0)*VLOOKUP(BI$3,Conversions!$B$12:$E$34,4,0)))</f>
        <v>0</v>
      </c>
      <c r="AF130" s="334">
        <f>IF($F130="",0,IF($A130="Default",$H130*VLOOKUP($F130,Lists!$C$72:$R$232,COLUMNS(Lists!$C$69:J$69),0)*VLOOKUP(BJ$3,Conversions!$B$12:$E$34,4,0)*HLOOKUP($E130,'Equipment Assumptions'!$C$30:$Q$31,2,0),$H130*VLOOKUP($F130,Lists!$C$72:$R$232,COLUMNS(Lists!$C$69:J$69),0)*VLOOKUP(BJ$3,Conversions!$B$12:$E$34,4,0)))</f>
        <v>0</v>
      </c>
      <c r="AG130" s="334">
        <f>IF($F130="",0,IF($A130="Default",$H130*VLOOKUP($F130,Lists!$C$72:$R$232,COLUMNS(Lists!$C$69:K$69),0)*VLOOKUP(BK$3,Conversions!$B$12:$E$34,4,0)*HLOOKUP($E130,'Equipment Assumptions'!$C$30:$Q$31,2,0),$H130*VLOOKUP($F130,Lists!$C$72:$R$232,COLUMNS(Lists!$C$69:K$69),0)*VLOOKUP(BK$3,Conversions!$B$12:$E$34,4,0)))</f>
        <v>0</v>
      </c>
      <c r="AH130" s="334">
        <f>IF($F130="",0,IF($A130="Default",$H130*VLOOKUP($F130,Lists!$C$72:$R$232,COLUMNS(Lists!$C$69:L$69),0)*VLOOKUP(BL$3,Conversions!$B$12:$E$34,4,0)*HLOOKUP($E130,'Equipment Assumptions'!$C$30:$Q$31,2,0),$H130*VLOOKUP($F130,Lists!$C$72:$R$232,COLUMNS(Lists!$C$69:L$69),0)*VLOOKUP(BL$3,Conversions!$B$12:$E$34,4,0)))</f>
        <v>0</v>
      </c>
      <c r="AI130" s="334">
        <f>IF($F130="",0,IF($A130="Default",$H130*VLOOKUP($F130,Lists!$C$72:$R$232,COLUMNS(Lists!$C$69:M$69),0)*VLOOKUP(BM$3,Conversions!$B$12:$E$34,4,0)*HLOOKUP($E130,'Equipment Assumptions'!$C$30:$Q$31,2,0),$H130*VLOOKUP($F130,Lists!$C$72:$R$232,COLUMNS(Lists!$C$69:M$69),0)*VLOOKUP(BM$3,Conversions!$B$12:$E$34,4,0)))</f>
        <v>0</v>
      </c>
      <c r="AJ130" s="334">
        <f>IF($F130="",0,IF($A130="Default",$H130*VLOOKUP($F130,Lists!$C$72:$R$232,COLUMNS(Lists!$C$69:N$69),0)*VLOOKUP(BN$3,Conversions!$B$12:$E$34,4,0)*HLOOKUP($E130,'Equipment Assumptions'!$C$30:$Q$31,2,0),$H130*VLOOKUP($F130,Lists!$C$72:$R$232,COLUMNS(Lists!$C$69:N$69),0)*VLOOKUP(BN$3,Conversions!$B$12:$E$34,4,0)))</f>
        <v>0</v>
      </c>
      <c r="AK130" s="334">
        <f>IF($F130="",0,IF($A130="Default",$H130*VLOOKUP($F130,Lists!$C$72:$R$232,COLUMNS(Lists!$C$69:O$69),0)*VLOOKUP(BO$3,Conversions!$B$12:$E$34,4,0)*HLOOKUP($E130,'Equipment Assumptions'!$C$30:$Q$31,2,0),$H130*VLOOKUP($F130,Lists!$C$72:$R$232,COLUMNS(Lists!$C$69:O$69),0)*VLOOKUP(BO$3,Conversions!$B$12:$E$34,4,0)))</f>
        <v>0</v>
      </c>
      <c r="AL130" s="334">
        <f>IF($F130="",0,IF($A130="Default",$H130*VLOOKUP($F130,Lists!$C$72:$R$232,COLUMNS(Lists!$C$69:P$69),0)*VLOOKUP(BP$3,Conversions!$B$12:$E$34,4,0)*HLOOKUP($E130,'Equipment Assumptions'!$C$30:$Q$31,2,0),$H130*VLOOKUP($F130,Lists!$C$72:$R$232,COLUMNS(Lists!$C$69:P$69),0)*VLOOKUP(BP$3,Conversions!$B$12:$E$34,4,0)))</f>
        <v>0</v>
      </c>
      <c r="AM130" s="334">
        <f>IF($F130="",0,IF($A130="Default",$H130*VLOOKUP($F130,Lists!$C$72:$R$232,COLUMNS(Lists!$C$69:Q$69),0)*VLOOKUP(BQ$3,Conversions!$B$12:$E$34,4,0)*HLOOKUP($E130,'Equipment Assumptions'!$C$30:$Q$31,2,0),$H130*VLOOKUP($F130,Lists!$C$72:$R$232,COLUMNS(Lists!$C$69:Q$69),0)*VLOOKUP(BQ$3,Conversions!$B$12:$E$34,4,0)))</f>
        <v>0</v>
      </c>
      <c r="AN130" s="334">
        <f>IF($F130="",0,IF($A130="Default",$H130*VLOOKUP($F130,Lists!$C$72:$R$232,COLUMNS(Lists!$C$69:R$69),0)*VLOOKUP(BR$3,Conversions!$B$12:$E$34,4,0)*HLOOKUP($E130,'Equipment Assumptions'!$C$30:$Q$31,2,0),$H130*VLOOKUP($F130,Lists!$C$72:$R$232,COLUMNS(Lists!$C$69:R$69),0)*VLOOKUP(BR$3,Conversions!$B$12:$E$34,4,0)))</f>
        <v>0</v>
      </c>
      <c r="AO130" s="330">
        <f>SUM(AA130:AN130)</f>
        <v>0</v>
      </c>
      <c r="AP130" s="333">
        <f>IF($F130="",0,IF($A130="Default",$I130*VLOOKUP($F130,Lists!$C$72:$R$232,COLUMNS(Lists!$C$69:E$69),0)*VLOOKUP(BE$3,Conversions!$B$12:$E$34,4,0)*HLOOKUP($E130,'Equipment Assumptions'!$C$30:$Q$31,2,0),$I130*VLOOKUP($F130,Lists!$C$72:$R$232,COLUMNS(Lists!$C$69:E$69),0)*VLOOKUP(BE$3,Conversions!$B$12:$E$34,4,0)))</f>
        <v>0</v>
      </c>
      <c r="AQ130" s="333">
        <f>IF($F130="",0,IF($A130="Default",$I130*VLOOKUP($F130,Lists!$C$72:$R$232,COLUMNS(Lists!$C$69:F$69),0)*VLOOKUP(BF$3,Conversions!$B$12:$E$34,4,0)*HLOOKUP($E130,'Equipment Assumptions'!$C$30:$Q$31,2,0),$I130*VLOOKUP($F130,Lists!$C$72:$R$232,COLUMNS(Lists!$C$69:F$69),0)*VLOOKUP(BF$3,Conversions!$B$12:$E$34,4,0)))</f>
        <v>0</v>
      </c>
      <c r="AR130" s="333">
        <f>IF($F130="",0,IF($A130="Default",$I130*VLOOKUP($F130,Lists!$C$72:$R$232,COLUMNS(Lists!$C$69:G$69),0)*VLOOKUP(BG$3,Conversions!$B$12:$E$34,4,0)*HLOOKUP($E130,'Equipment Assumptions'!$C$30:$Q$31,2,0),$I130*VLOOKUP($F130,Lists!$C$72:$R$232,COLUMNS(Lists!$C$69:G$69),0)*VLOOKUP(BG$3,Conversions!$B$12:$E$34,4,0)))</f>
        <v>0</v>
      </c>
      <c r="AS130" s="333">
        <f>IF($F130="",0,IF($A130="Default",$I130*VLOOKUP($F130,Lists!$C$72:$R$232,COLUMNS(Lists!$C$69:H$69),0)*VLOOKUP(BH$3,Conversions!$B$12:$E$34,4,0)*HLOOKUP($E130,'Equipment Assumptions'!$C$30:$Q$31,2,0),$I130*VLOOKUP($F130,Lists!$C$72:$R$232,COLUMNS(Lists!$C$69:H$69),0)*VLOOKUP(BH$3,Conversions!$B$12:$E$34,4,0)))</f>
        <v>0</v>
      </c>
      <c r="AT130" s="333">
        <f>IF($F130="",0,IF($A130="Default",$I130*VLOOKUP($F130,Lists!$C$72:$R$232,COLUMNS(Lists!$C$69:I$69),0)*VLOOKUP(BI$3,Conversions!$B$12:$E$34,4,0)*HLOOKUP($E130,'Equipment Assumptions'!$C$30:$Q$31,2,0),$I130*VLOOKUP($F130,Lists!$C$72:$R$232,COLUMNS(Lists!$C$69:I$69),0)*VLOOKUP(BI$3,Conversions!$B$12:$E$34,4,0)))</f>
        <v>0</v>
      </c>
      <c r="AU130" s="333">
        <f>IF($F130="",0,IF($A130="Default",$I130*VLOOKUP($F130,Lists!$C$72:$R$232,COLUMNS(Lists!$C$69:J$69),0)*VLOOKUP(BJ$3,Conversions!$B$12:$E$34,4,0)*HLOOKUP($E130,'Equipment Assumptions'!$C$30:$Q$31,2,0),$I130*VLOOKUP($F130,Lists!$C$72:$R$232,COLUMNS(Lists!$C$69:J$69),0)*VLOOKUP(BJ$3,Conversions!$B$12:$E$34,4,0)))</f>
        <v>0</v>
      </c>
      <c r="AV130" s="333">
        <f>IF($F130="",0,IF($A130="Default",$I130*VLOOKUP($F130,Lists!$C$72:$R$232,COLUMNS(Lists!$C$69:K$69),0)*VLOOKUP(BK$3,Conversions!$B$12:$E$34,4,0)*HLOOKUP($E130,'Equipment Assumptions'!$C$30:$Q$31,2,0),$I130*VLOOKUP($F130,Lists!$C$72:$R$232,COLUMNS(Lists!$C$69:K$69),0)*VLOOKUP(BK$3,Conversions!$B$12:$E$34,4,0)))</f>
        <v>0</v>
      </c>
      <c r="AW130" s="333">
        <f>IF($F130="",0,IF($A130="Default",$I130*VLOOKUP($F130,Lists!$C$72:$R$232,COLUMNS(Lists!$C$69:L$69),0)*VLOOKUP(BL$3,Conversions!$B$12:$E$34,4,0)*HLOOKUP($E130,'Equipment Assumptions'!$C$30:$Q$31,2,0),$I130*VLOOKUP($F130,Lists!$C$72:$R$232,COLUMNS(Lists!$C$69:L$69),0)*VLOOKUP(BL$3,Conversions!$B$12:$E$34,4,0)))</f>
        <v>0</v>
      </c>
      <c r="AX130" s="333">
        <f>IF($F130="",0,IF($A130="Default",$I130*VLOOKUP($F130,Lists!$C$72:$R$232,COLUMNS(Lists!$C$69:M$69),0)*VLOOKUP(BM$3,Conversions!$B$12:$E$34,4,0)*HLOOKUP($E130,'Equipment Assumptions'!$C$30:$Q$31,2,0),$I130*VLOOKUP($F130,Lists!$C$72:$R$232,COLUMNS(Lists!$C$69:M$69),0)*VLOOKUP(BM$3,Conversions!$B$12:$E$34,4,0)))</f>
        <v>0</v>
      </c>
      <c r="AY130" s="333">
        <f>IF($F130="",0,IF($A130="Default",$I130*VLOOKUP($F130,Lists!$C$72:$R$232,COLUMNS(Lists!$C$69:N$69),0)*VLOOKUP(BN$3,Conversions!$B$12:$E$34,4,0)*HLOOKUP($E130,'Equipment Assumptions'!$C$30:$Q$31,2,0),$I130*VLOOKUP($F130,Lists!$C$72:$R$232,COLUMNS(Lists!$C$69:N$69),0)*VLOOKUP(BN$3,Conversions!$B$12:$E$34,4,0)))</f>
        <v>0</v>
      </c>
      <c r="AZ130" s="333">
        <f>IF($F130="",0,IF($A130="Default",$I130*VLOOKUP($F130,Lists!$C$72:$R$232,COLUMNS(Lists!$C$69:O$69),0)*VLOOKUP(BO$3,Conversions!$B$12:$E$34,4,0)*HLOOKUP($E130,'Equipment Assumptions'!$C$30:$Q$31,2,0),$I130*VLOOKUP($F130,Lists!$C$72:$R$232,COLUMNS(Lists!$C$69:O$69),0)*VLOOKUP(BO$3,Conversions!$B$12:$E$34,4,0)))</f>
        <v>0</v>
      </c>
      <c r="BA130" s="333">
        <f>IF($F130="",0,IF($A130="Default",$I130*VLOOKUP($F130,Lists!$C$72:$R$232,COLUMNS(Lists!$C$69:P$69),0)*VLOOKUP(BP$3,Conversions!$B$12:$E$34,4,0)*HLOOKUP($E130,'Equipment Assumptions'!$C$30:$Q$31,2,0),$I130*VLOOKUP($F130,Lists!$C$72:$R$232,COLUMNS(Lists!$C$69:P$69),0)*VLOOKUP(BP$3,Conversions!$B$12:$E$34,4,0)))</f>
        <v>0</v>
      </c>
      <c r="BB130" s="333">
        <f>IF($F130="",0,IF($A130="Default",$I130*VLOOKUP($F130,Lists!$C$72:$R$232,COLUMNS(Lists!$C$69:Q$69),0)*VLOOKUP(BQ$3,Conversions!$B$12:$E$34,4,0)*HLOOKUP($E130,'Equipment Assumptions'!$C$30:$Q$31,2,0),$I130*VLOOKUP($F130,Lists!$C$72:$R$232,COLUMNS(Lists!$C$69:Q$69),0)*VLOOKUP(BQ$3,Conversions!$B$12:$E$34,4,0)))</f>
        <v>0</v>
      </c>
      <c r="BC130" s="333">
        <f>IF($F130="",0,IF($A130="Default",$I130*VLOOKUP($F130,Lists!$C$72:$R$232,COLUMNS(Lists!$C$69:R$69),0)*VLOOKUP(BR$3,Conversions!$B$12:$E$34,4,0)*HLOOKUP($E130,'Equipment Assumptions'!$C$30:$Q$31,2,0),$I130*VLOOKUP($F130,Lists!$C$72:$R$232,COLUMNS(Lists!$C$69:R$69),0)*VLOOKUP(BR$3,Conversions!$B$12:$E$34,4,0)))</f>
        <v>0</v>
      </c>
      <c r="BD130" s="333">
        <f>SUM(AP130:BC130)</f>
        <v>0</v>
      </c>
      <c r="BE130" s="330">
        <f t="shared" si="145"/>
        <v>0</v>
      </c>
      <c r="BF130" s="330">
        <f t="shared" si="146"/>
        <v>0</v>
      </c>
      <c r="BG130" s="330">
        <f t="shared" si="147"/>
        <v>0</v>
      </c>
      <c r="BH130" s="330">
        <f t="shared" si="148"/>
        <v>0</v>
      </c>
      <c r="BI130" s="330">
        <f t="shared" si="149"/>
        <v>0</v>
      </c>
      <c r="BJ130" s="330">
        <f t="shared" si="150"/>
        <v>0</v>
      </c>
      <c r="BK130" s="330">
        <f t="shared" si="151"/>
        <v>0</v>
      </c>
      <c r="BL130" s="330">
        <f t="shared" si="152"/>
        <v>0</v>
      </c>
      <c r="BM130" s="330">
        <f t="shared" si="153"/>
        <v>0</v>
      </c>
      <c r="BN130" s="330">
        <f t="shared" si="154"/>
        <v>0</v>
      </c>
      <c r="BO130" s="330">
        <f t="shared" si="155"/>
        <v>0</v>
      </c>
      <c r="BP130" s="330">
        <f t="shared" si="156"/>
        <v>0</v>
      </c>
      <c r="BQ130" s="330">
        <f t="shared" si="157"/>
        <v>0</v>
      </c>
      <c r="BR130" s="330">
        <f t="shared" si="158"/>
        <v>0</v>
      </c>
      <c r="BS130" s="330">
        <f t="shared" si="159"/>
        <v>0</v>
      </c>
      <c r="BT130" s="329">
        <f t="shared" si="142"/>
        <v>0</v>
      </c>
      <c r="BU130" s="329">
        <f t="shared" si="142"/>
        <v>0</v>
      </c>
      <c r="BV130" s="329">
        <f t="shared" si="142"/>
        <v>0</v>
      </c>
      <c r="BW130" s="329">
        <f t="shared" si="142"/>
        <v>0</v>
      </c>
      <c r="BX130" s="329">
        <f t="shared" si="142"/>
        <v>0</v>
      </c>
      <c r="BY130" s="329">
        <f t="shared" si="142"/>
        <v>0</v>
      </c>
      <c r="BZ130" s="329">
        <f t="shared" si="142"/>
        <v>0</v>
      </c>
      <c r="CA130" s="329">
        <f t="shared" si="142"/>
        <v>0</v>
      </c>
      <c r="CB130" s="329">
        <f t="shared" si="142"/>
        <v>0</v>
      </c>
      <c r="CC130" s="329">
        <f t="shared" si="142"/>
        <v>0</v>
      </c>
      <c r="CD130" s="329">
        <f t="shared" si="142"/>
        <v>0</v>
      </c>
      <c r="CE130" s="329">
        <f t="shared" si="142"/>
        <v>0</v>
      </c>
      <c r="CF130" s="329">
        <f t="shared" si="142"/>
        <v>0</v>
      </c>
      <c r="CG130" s="329">
        <f t="shared" si="142"/>
        <v>0</v>
      </c>
      <c r="CH130" s="329">
        <f t="shared" si="142"/>
        <v>0</v>
      </c>
      <c r="CI130" s="329">
        <f t="shared" si="142"/>
        <v>0</v>
      </c>
      <c r="CJ130" s="331">
        <f>SUM(BT130:CI130)</f>
        <v>0</v>
      </c>
      <c r="CK130" s="330">
        <f>BT130</f>
        <v>0</v>
      </c>
      <c r="CL130" s="330">
        <f>BU130+BV130+BW130</f>
        <v>0</v>
      </c>
      <c r="CM130" s="330">
        <f>BX130</f>
        <v>0</v>
      </c>
      <c r="CN130" s="330">
        <f>BY130+BZ130</f>
        <v>0</v>
      </c>
      <c r="CO130" s="330">
        <f t="shared" si="160"/>
        <v>0</v>
      </c>
      <c r="CP130" s="330">
        <f t="shared" si="160"/>
        <v>0</v>
      </c>
      <c r="CQ130" s="330">
        <f t="shared" si="94"/>
        <v>0</v>
      </c>
      <c r="CR130" s="330">
        <f>CE130+CF130</f>
        <v>0</v>
      </c>
      <c r="CS130" s="330">
        <f>CG130+CH130+CI130</f>
        <v>0</v>
      </c>
      <c r="CT130" s="330">
        <f>SUM(CK130:CS130)</f>
        <v>0</v>
      </c>
      <c r="CU130" s="330">
        <f t="shared" si="143"/>
        <v>0</v>
      </c>
      <c r="CV130" s="330">
        <f t="shared" si="143"/>
        <v>0</v>
      </c>
      <c r="CW130" s="330">
        <f t="shared" si="143"/>
        <v>0</v>
      </c>
      <c r="CX130" s="330">
        <f t="shared" si="143"/>
        <v>0</v>
      </c>
      <c r="CY130" s="330">
        <f t="shared" si="143"/>
        <v>0</v>
      </c>
      <c r="CZ130" s="330">
        <f t="shared" si="143"/>
        <v>0</v>
      </c>
      <c r="DA130" s="330">
        <f t="shared" si="143"/>
        <v>0</v>
      </c>
      <c r="DB130" s="330">
        <f t="shared" si="143"/>
        <v>0</v>
      </c>
      <c r="DC130" s="330">
        <f t="shared" si="143"/>
        <v>0</v>
      </c>
      <c r="DD130" s="330">
        <f t="shared" si="143"/>
        <v>0</v>
      </c>
      <c r="DE130" s="330">
        <f t="shared" si="144"/>
        <v>0</v>
      </c>
      <c r="DF130" s="330">
        <f t="shared" si="144"/>
        <v>0</v>
      </c>
      <c r="DG130" s="330">
        <f t="shared" si="144"/>
        <v>0</v>
      </c>
      <c r="DH130" s="330">
        <f t="shared" si="144"/>
        <v>0</v>
      </c>
      <c r="DI130" s="330">
        <f t="shared" si="144"/>
        <v>0</v>
      </c>
      <c r="DJ130" s="330">
        <f t="shared" si="144"/>
        <v>0</v>
      </c>
      <c r="DK130" s="330">
        <f t="shared" si="144"/>
        <v>0</v>
      </c>
      <c r="DL130" s="330">
        <f t="shared" si="144"/>
        <v>0</v>
      </c>
      <c r="DM130" s="330">
        <f t="shared" si="144"/>
        <v>0</v>
      </c>
      <c r="DN130" s="330">
        <f t="shared" si="144"/>
        <v>0</v>
      </c>
      <c r="DO130" s="330">
        <f t="shared" si="144"/>
        <v>0</v>
      </c>
      <c r="DP130" s="330">
        <f t="shared" si="140"/>
        <v>0</v>
      </c>
      <c r="DQ130" s="217"/>
      <c r="DR130" s="217"/>
      <c r="DS130" s="217"/>
      <c r="DT130" s="217"/>
    </row>
    <row r="131" spans="1:124" x14ac:dyDescent="0.3">
      <c r="A131" s="332" t="str">
        <f>IF(AND(F131&lt;&gt;"",OR('Simplified Screening 1'!G22=0,'Simplified Screening 1'!G22="I Don't Know")),"Default","")</f>
        <v/>
      </c>
      <c r="B131" s="221" t="s">
        <v>306</v>
      </c>
      <c r="C131" s="221" t="str">
        <f>IF('Simplified Screening 1'!C22=0,"",'Simplified Screening 1'!C22)</f>
        <v/>
      </c>
      <c r="D131" s="221" t="str">
        <f>IF('Simplified Screening 1'!D22=0,"",'Simplified Screening 1'!D22)</f>
        <v/>
      </c>
      <c r="E131" s="221" t="str">
        <f>IF('Simplified Screening 1'!E22=0,"",'Simplified Screening 1'!E22)</f>
        <v/>
      </c>
      <c r="F131" s="221" t="str">
        <f>'Simplified Screening 1'!R22</f>
        <v/>
      </c>
      <c r="G131" s="272">
        <f>'Simplified Screening 1'!H22*'Simplified Screening 1'!L22*Conversions!$C$4</f>
        <v>0</v>
      </c>
      <c r="H131" s="272">
        <f>'Simplified Screening 1'!I22*'Simplified Screening 1'!M22*'Simplified Screening 1'!J22*Conversions!$C$4</f>
        <v>0</v>
      </c>
      <c r="I131" s="272">
        <f>'Simplified Screening 1'!K22*'Simplified Screening 1'!N22*(1-'Simplified Screening 1'!O22)*Conversions!$C$4</f>
        <v>0</v>
      </c>
      <c r="J131" s="325">
        <f>IF('Simplified Screening 1'!P22=0,0,'Simplified Screening 1'!P22)</f>
        <v>0</v>
      </c>
      <c r="K131" s="325">
        <f>IF(AND(OR('Simplified Screening 1'!G22=0,'Simplified Screening 1'!G22="I Don't Know"),F131&lt;&gt;""),J131*HLOOKUP(E131,'Equipment Assumptions'!$C$30:$Q$31,2,0),IF(F131="Non-HFC",0,J131))</f>
        <v>0</v>
      </c>
      <c r="L131" s="333">
        <f>IF($F131="",0,IF($A131="Default",$G131*VLOOKUP($F131,Lists!$C$72:$R$232,COLUMNS(Lists!$C$69:E$69),0)*VLOOKUP(BE$3,Conversions!$B$12:$E$34,4,0)*HLOOKUP($E131,'Equipment Assumptions'!$C$30:$Q$31,2,0),$G131*VLOOKUP($F131,Lists!$C$72:$R$232,COLUMNS(Lists!$C$69:E$69),0)*VLOOKUP(BE$3,Conversions!$B$12:$E$34,4,0)))</f>
        <v>0</v>
      </c>
      <c r="M131" s="333">
        <f>IF($F131="",0,IF($A131="Default",$G131*VLOOKUP($F131,Lists!$C$72:$R$232,COLUMNS(Lists!$C$69:F$69),0)*VLOOKUP(BF$3,Conversions!$B$12:$E$34,4,0)*HLOOKUP($E131,'Equipment Assumptions'!$C$30:$Q$31,2,0),$G131*VLOOKUP($F131,Lists!$C$72:$R$232,COLUMNS(Lists!$C$69:F$69),0)*VLOOKUP(BF$3,Conversions!$B$12:$E$34,4,0)))</f>
        <v>0</v>
      </c>
      <c r="N131" s="333">
        <f>IF($F131="",0,IF($A131="Default",$G131*VLOOKUP($F131,Lists!$C$72:$R$232,COLUMNS(Lists!$C$69:G$69),0)*VLOOKUP(BG$3,Conversions!$B$12:$E$34,4,0)*HLOOKUP($E131,'Equipment Assumptions'!$C$30:$Q$31,2,0),$G131*VLOOKUP($F131,Lists!$C$72:$R$232,COLUMNS(Lists!$C$69:G$69),0)*VLOOKUP(BG$3,Conversions!$B$12:$E$34,4,0)))</f>
        <v>0</v>
      </c>
      <c r="O131" s="333">
        <f>IF($F131="",0,IF($A131="Default",$G131*VLOOKUP($F131,Lists!$C$72:$R$232,COLUMNS(Lists!$C$69:H$69),0)*VLOOKUP(BH$3,Conversions!$B$12:$E$34,4,0)*HLOOKUP($E131,'Equipment Assumptions'!$C$30:$Q$31,2,0),$G131*VLOOKUP($F131,Lists!$C$72:$R$232,COLUMNS(Lists!$C$69:H$69),0)*VLOOKUP(BH$3,Conversions!$B$12:$E$34,4,0)))</f>
        <v>0</v>
      </c>
      <c r="P131" s="333">
        <f>IF($F131="",0,IF($A131="Default",$G131*VLOOKUP($F131,Lists!$C$72:$R$232,COLUMNS(Lists!$C$69:I$69),0)*VLOOKUP(BI$3,Conversions!$B$12:$E$34,4,0)*HLOOKUP($E131,'Equipment Assumptions'!$C$30:$Q$31,2,0),$G131*VLOOKUP($F131,Lists!$C$72:$R$232,COLUMNS(Lists!$C$69:I$69),0)*VLOOKUP(BI$3,Conversions!$B$12:$E$34,4,0)))</f>
        <v>0</v>
      </c>
      <c r="Q131" s="333">
        <f>IF($F131="",0,IF($A131="Default",$G131*VLOOKUP($F131,Lists!$C$72:$R$232,COLUMNS(Lists!$C$69:J$69),0)*VLOOKUP(BJ$3,Conversions!$B$12:$E$34,4,0)*HLOOKUP($E131,'Equipment Assumptions'!$C$30:$Q$31,2,0),$G131*VLOOKUP($F131,Lists!$C$72:$R$232,COLUMNS(Lists!$C$69:J$69),0)*VLOOKUP(BJ$3,Conversions!$B$12:$E$34,4,0)))</f>
        <v>0</v>
      </c>
      <c r="R131" s="333">
        <f>IF($F131="",0,IF($A131="Default",$G131*VLOOKUP($F131,Lists!$C$72:$R$232,COLUMNS(Lists!$C$69:K$69),0)*VLOOKUP(BK$3,Conversions!$B$12:$E$34,4,0)*HLOOKUP($E131,'Equipment Assumptions'!$C$30:$Q$31,2,0),$G131*VLOOKUP($F131,Lists!$C$72:$R$232,COLUMNS(Lists!$C$69:K$69),0)*VLOOKUP(BK$3,Conversions!$B$12:$E$34,4,0)))</f>
        <v>0</v>
      </c>
      <c r="S131" s="333">
        <f>IF($F131="",0,IF($A131="Default",$G131*VLOOKUP($F131,Lists!$C$72:$R$232,COLUMNS(Lists!$C$69:L$69),0)*VLOOKUP(BL$3,Conversions!$B$12:$E$34,4,0)*HLOOKUP($E131,'Equipment Assumptions'!$C$30:$Q$31,2,0),$G131*VLOOKUP($F131,Lists!$C$72:$R$232,COLUMNS(Lists!$C$69:L$69),0)*VLOOKUP(BL$3,Conversions!$B$12:$E$34,4,0)))</f>
        <v>0</v>
      </c>
      <c r="T131" s="333">
        <f>IF($F131="",0,IF($A131="Default",$G131*VLOOKUP($F131,Lists!$C$72:$R$232,COLUMNS(Lists!$C$69:M$69),0)*VLOOKUP(BM$3,Conversions!$B$12:$E$34,4,0)*HLOOKUP($E131,'Equipment Assumptions'!$C$30:$Q$31,2,0),$G131*VLOOKUP($F131,Lists!$C$72:$R$232,COLUMNS(Lists!$C$69:M$69),0)*VLOOKUP(BM$3,Conversions!$B$12:$E$34,4,0)))</f>
        <v>0</v>
      </c>
      <c r="U131" s="333">
        <f>IF($F131="",0,IF($A131="Default",$G131*VLOOKUP($F131,Lists!$C$72:$R$232,COLUMNS(Lists!$C$69:N$69),0)*VLOOKUP(BN$3,Conversions!$B$12:$E$34,4,0)*HLOOKUP($E131,'Equipment Assumptions'!$C$30:$Q$31,2,0),$G131*VLOOKUP($F131,Lists!$C$72:$R$232,COLUMNS(Lists!$C$69:N$69),0)*VLOOKUP(BN$3,Conversions!$B$12:$E$34,4,0)))</f>
        <v>0</v>
      </c>
      <c r="V131" s="333">
        <f>IF($F131="",0,IF($A131="Default",$G131*VLOOKUP($F131,Lists!$C$72:$R$232,COLUMNS(Lists!$C$69:O$69),0)*VLOOKUP(BO$3,Conversions!$B$12:$E$34,4,0)*HLOOKUP($E131,'Equipment Assumptions'!$C$30:$Q$31,2,0),$G131*VLOOKUP($F131,Lists!$C$72:$R$232,COLUMNS(Lists!$C$69:O$69),0)*VLOOKUP(BO$3,Conversions!$B$12:$E$34,4,0)))</f>
        <v>0</v>
      </c>
      <c r="W131" s="333">
        <f>IF($F131="",0,IF($A131="Default",$G131*VLOOKUP($F131,Lists!$C$72:$R$232,COLUMNS(Lists!$C$69:P$69),0)*VLOOKUP(BP$3,Conversions!$B$12:$E$34,4,0)*HLOOKUP($E131,'Equipment Assumptions'!$C$30:$Q$31,2,0),$G131*VLOOKUP($F131,Lists!$C$72:$R$232,COLUMNS(Lists!$C$69:P$69),0)*VLOOKUP(BP$3,Conversions!$B$12:$E$34,4,0)))</f>
        <v>0</v>
      </c>
      <c r="X131" s="333">
        <f>IF($F131="",0,IF($A131="Default",$G131*VLOOKUP($F131,Lists!$C$72:$R$232,COLUMNS(Lists!$C$69:Q$69),0)*VLOOKUP(BQ$3,Conversions!$B$12:$E$34,4,0)*HLOOKUP($E131,'Equipment Assumptions'!$C$30:$Q$31,2,0),$G131*VLOOKUP($F131,Lists!$C$72:$R$232,COLUMNS(Lists!$C$69:Q$69),0)*VLOOKUP(BQ$3,Conversions!$B$12:$E$34,4,0)))</f>
        <v>0</v>
      </c>
      <c r="Y131" s="333">
        <f>IF($F131="",0,IF($A131="Default",$G131*VLOOKUP($F131,Lists!$C$72:$R$232,COLUMNS(Lists!$C$69:R$69),0)*VLOOKUP(BR$3,Conversions!$B$12:$E$34,4,0)*HLOOKUP($E131,'Equipment Assumptions'!$C$30:$Q$31,2,0),$G131*VLOOKUP($F131,Lists!$C$72:$R$232,COLUMNS(Lists!$C$69:R$69),0)*VLOOKUP(BR$3,Conversions!$B$12:$E$34,4,0)))</f>
        <v>0</v>
      </c>
      <c r="Z131" s="325">
        <f>SUM(L131:Y131)</f>
        <v>0</v>
      </c>
      <c r="AA131" s="334">
        <f>IF($F131="",0,IF($A131="Default",$H131*VLOOKUP($F131,Lists!$C$72:$R$232,COLUMNS(Lists!$C$69:E$69),0)*VLOOKUP(BE$3,Conversions!$B$12:$E$34,4,0)*HLOOKUP($E131,'Equipment Assumptions'!$C$30:$Q$31,2,0),$H131*VLOOKUP($F131,Lists!$C$72:$R$232,COLUMNS(Lists!$C$69:E$69),0)*VLOOKUP(BE$3,Conversions!$B$12:$E$34,4,0)))</f>
        <v>0</v>
      </c>
      <c r="AB131" s="334">
        <f>IF($F131="",0,IF($A131="Default",$H131*VLOOKUP($F131,Lists!$C$72:$R$232,COLUMNS(Lists!$C$69:F$69),0)*VLOOKUP(BF$3,Conversions!$B$12:$E$34,4,0)*HLOOKUP($E131,'Equipment Assumptions'!$C$30:$Q$31,2,0),$H131*VLOOKUP($F131,Lists!$C$72:$R$232,COLUMNS(Lists!$C$69:F$69),0)*VLOOKUP(BF$3,Conversions!$B$12:$E$34,4,0)))</f>
        <v>0</v>
      </c>
      <c r="AC131" s="334">
        <f>IF($F131="",0,IF($A131="Default",$H131*VLOOKUP($F131,Lists!$C$72:$R$232,COLUMNS(Lists!$C$69:G$69),0)*VLOOKUP(BG$3,Conversions!$B$12:$E$34,4,0)*HLOOKUP($E131,'Equipment Assumptions'!$C$30:$Q$31,2,0),$H131*VLOOKUP($F131,Lists!$C$72:$R$232,COLUMNS(Lists!$C$69:G$69),0)*VLOOKUP(BG$3,Conversions!$B$12:$E$34,4,0)))</f>
        <v>0</v>
      </c>
      <c r="AD131" s="334">
        <f>IF($F131="",0,IF($A131="Default",$H131*VLOOKUP($F131,Lists!$C$72:$R$232,COLUMNS(Lists!$C$69:H$69),0)*VLOOKUP(BH$3,Conversions!$B$12:$E$34,4,0)*HLOOKUP($E131,'Equipment Assumptions'!$C$30:$Q$31,2,0),$H131*VLOOKUP($F131,Lists!$C$72:$R$232,COLUMNS(Lists!$C$69:H$69),0)*VLOOKUP(BH$3,Conversions!$B$12:$E$34,4,0)))</f>
        <v>0</v>
      </c>
      <c r="AE131" s="334">
        <f>IF($F131="",0,IF($A131="Default",$H131*VLOOKUP($F131,Lists!$C$72:$R$232,COLUMNS(Lists!$C$69:I$69),0)*VLOOKUP(BI$3,Conversions!$B$12:$E$34,4,0)*HLOOKUP($E131,'Equipment Assumptions'!$C$30:$Q$31,2,0),$H131*VLOOKUP($F131,Lists!$C$72:$R$232,COLUMNS(Lists!$C$69:I$69),0)*VLOOKUP(BI$3,Conversions!$B$12:$E$34,4,0)))</f>
        <v>0</v>
      </c>
      <c r="AF131" s="334">
        <f>IF($F131="",0,IF($A131="Default",$H131*VLOOKUP($F131,Lists!$C$72:$R$232,COLUMNS(Lists!$C$69:J$69),0)*VLOOKUP(BJ$3,Conversions!$B$12:$E$34,4,0)*HLOOKUP($E131,'Equipment Assumptions'!$C$30:$Q$31,2,0),$H131*VLOOKUP($F131,Lists!$C$72:$R$232,COLUMNS(Lists!$C$69:J$69),0)*VLOOKUP(BJ$3,Conversions!$B$12:$E$34,4,0)))</f>
        <v>0</v>
      </c>
      <c r="AG131" s="334">
        <f>IF($F131="",0,IF($A131="Default",$H131*VLOOKUP($F131,Lists!$C$72:$R$232,COLUMNS(Lists!$C$69:K$69),0)*VLOOKUP(BK$3,Conversions!$B$12:$E$34,4,0)*HLOOKUP($E131,'Equipment Assumptions'!$C$30:$Q$31,2,0),$H131*VLOOKUP($F131,Lists!$C$72:$R$232,COLUMNS(Lists!$C$69:K$69),0)*VLOOKUP(BK$3,Conversions!$B$12:$E$34,4,0)))</f>
        <v>0</v>
      </c>
      <c r="AH131" s="334">
        <f>IF($F131="",0,IF($A131="Default",$H131*VLOOKUP($F131,Lists!$C$72:$R$232,COLUMNS(Lists!$C$69:L$69),0)*VLOOKUP(BL$3,Conversions!$B$12:$E$34,4,0)*HLOOKUP($E131,'Equipment Assumptions'!$C$30:$Q$31,2,0),$H131*VLOOKUP($F131,Lists!$C$72:$R$232,COLUMNS(Lists!$C$69:L$69),0)*VLOOKUP(BL$3,Conversions!$B$12:$E$34,4,0)))</f>
        <v>0</v>
      </c>
      <c r="AI131" s="334">
        <f>IF($F131="",0,IF($A131="Default",$H131*VLOOKUP($F131,Lists!$C$72:$R$232,COLUMNS(Lists!$C$69:M$69),0)*VLOOKUP(BM$3,Conversions!$B$12:$E$34,4,0)*HLOOKUP($E131,'Equipment Assumptions'!$C$30:$Q$31,2,0),$H131*VLOOKUP($F131,Lists!$C$72:$R$232,COLUMNS(Lists!$C$69:M$69),0)*VLOOKUP(BM$3,Conversions!$B$12:$E$34,4,0)))</f>
        <v>0</v>
      </c>
      <c r="AJ131" s="334">
        <f>IF($F131="",0,IF($A131="Default",$H131*VLOOKUP($F131,Lists!$C$72:$R$232,COLUMNS(Lists!$C$69:N$69),0)*VLOOKUP(BN$3,Conversions!$B$12:$E$34,4,0)*HLOOKUP($E131,'Equipment Assumptions'!$C$30:$Q$31,2,0),$H131*VLOOKUP($F131,Lists!$C$72:$R$232,COLUMNS(Lists!$C$69:N$69),0)*VLOOKUP(BN$3,Conversions!$B$12:$E$34,4,0)))</f>
        <v>0</v>
      </c>
      <c r="AK131" s="334">
        <f>IF($F131="",0,IF($A131="Default",$H131*VLOOKUP($F131,Lists!$C$72:$R$232,COLUMNS(Lists!$C$69:O$69),0)*VLOOKUP(BO$3,Conversions!$B$12:$E$34,4,0)*HLOOKUP($E131,'Equipment Assumptions'!$C$30:$Q$31,2,0),$H131*VLOOKUP($F131,Lists!$C$72:$R$232,COLUMNS(Lists!$C$69:O$69),0)*VLOOKUP(BO$3,Conversions!$B$12:$E$34,4,0)))</f>
        <v>0</v>
      </c>
      <c r="AL131" s="334">
        <f>IF($F131="",0,IF($A131="Default",$H131*VLOOKUP($F131,Lists!$C$72:$R$232,COLUMNS(Lists!$C$69:P$69),0)*VLOOKUP(BP$3,Conversions!$B$12:$E$34,4,0)*HLOOKUP($E131,'Equipment Assumptions'!$C$30:$Q$31,2,0),$H131*VLOOKUP($F131,Lists!$C$72:$R$232,COLUMNS(Lists!$C$69:P$69),0)*VLOOKUP(BP$3,Conversions!$B$12:$E$34,4,0)))</f>
        <v>0</v>
      </c>
      <c r="AM131" s="334">
        <f>IF($F131="",0,IF($A131="Default",$H131*VLOOKUP($F131,Lists!$C$72:$R$232,COLUMNS(Lists!$C$69:Q$69),0)*VLOOKUP(BQ$3,Conversions!$B$12:$E$34,4,0)*HLOOKUP($E131,'Equipment Assumptions'!$C$30:$Q$31,2,0),$H131*VLOOKUP($F131,Lists!$C$72:$R$232,COLUMNS(Lists!$C$69:Q$69),0)*VLOOKUP(BQ$3,Conversions!$B$12:$E$34,4,0)))</f>
        <v>0</v>
      </c>
      <c r="AN131" s="334">
        <f>IF($F131="",0,IF($A131="Default",$H131*VLOOKUP($F131,Lists!$C$72:$R$232,COLUMNS(Lists!$C$69:R$69),0)*VLOOKUP(BR$3,Conversions!$B$12:$E$34,4,0)*HLOOKUP($E131,'Equipment Assumptions'!$C$30:$Q$31,2,0),$H131*VLOOKUP($F131,Lists!$C$72:$R$232,COLUMNS(Lists!$C$69:R$69),0)*VLOOKUP(BR$3,Conversions!$B$12:$E$34,4,0)))</f>
        <v>0</v>
      </c>
      <c r="AO131" s="330">
        <f>SUM(AA131:AN131)</f>
        <v>0</v>
      </c>
      <c r="AP131" s="333">
        <f>IF($F131="",0,IF($A131="Default",$I131*VLOOKUP($F131,Lists!$C$72:$R$232,COLUMNS(Lists!$C$69:E$69),0)*VLOOKUP(BE$3,Conversions!$B$12:$E$34,4,0)*HLOOKUP($E131,'Equipment Assumptions'!$C$30:$Q$31,2,0),$I131*VLOOKUP($F131,Lists!$C$72:$R$232,COLUMNS(Lists!$C$69:E$69),0)*VLOOKUP(BE$3,Conversions!$B$12:$E$34,4,0)))</f>
        <v>0</v>
      </c>
      <c r="AQ131" s="333">
        <f>IF($F131="",0,IF($A131="Default",$I131*VLOOKUP($F131,Lists!$C$72:$R$232,COLUMNS(Lists!$C$69:F$69),0)*VLOOKUP(BF$3,Conversions!$B$12:$E$34,4,0)*HLOOKUP($E131,'Equipment Assumptions'!$C$30:$Q$31,2,0),$I131*VLOOKUP($F131,Lists!$C$72:$R$232,COLUMNS(Lists!$C$69:F$69),0)*VLOOKUP(BF$3,Conversions!$B$12:$E$34,4,0)))</f>
        <v>0</v>
      </c>
      <c r="AR131" s="333">
        <f>IF($F131="",0,IF($A131="Default",$I131*VLOOKUP($F131,Lists!$C$72:$R$232,COLUMNS(Lists!$C$69:G$69),0)*VLOOKUP(BG$3,Conversions!$B$12:$E$34,4,0)*HLOOKUP($E131,'Equipment Assumptions'!$C$30:$Q$31,2,0),$I131*VLOOKUP($F131,Lists!$C$72:$R$232,COLUMNS(Lists!$C$69:G$69),0)*VLOOKUP(BG$3,Conversions!$B$12:$E$34,4,0)))</f>
        <v>0</v>
      </c>
      <c r="AS131" s="333">
        <f>IF($F131="",0,IF($A131="Default",$I131*VLOOKUP($F131,Lists!$C$72:$R$232,COLUMNS(Lists!$C$69:H$69),0)*VLOOKUP(BH$3,Conversions!$B$12:$E$34,4,0)*HLOOKUP($E131,'Equipment Assumptions'!$C$30:$Q$31,2,0),$I131*VLOOKUP($F131,Lists!$C$72:$R$232,COLUMNS(Lists!$C$69:H$69),0)*VLOOKUP(BH$3,Conversions!$B$12:$E$34,4,0)))</f>
        <v>0</v>
      </c>
      <c r="AT131" s="333">
        <f>IF($F131="",0,IF($A131="Default",$I131*VLOOKUP($F131,Lists!$C$72:$R$232,COLUMNS(Lists!$C$69:I$69),0)*VLOOKUP(BI$3,Conversions!$B$12:$E$34,4,0)*HLOOKUP($E131,'Equipment Assumptions'!$C$30:$Q$31,2,0),$I131*VLOOKUP($F131,Lists!$C$72:$R$232,COLUMNS(Lists!$C$69:I$69),0)*VLOOKUP(BI$3,Conversions!$B$12:$E$34,4,0)))</f>
        <v>0</v>
      </c>
      <c r="AU131" s="333">
        <f>IF($F131="",0,IF($A131="Default",$I131*VLOOKUP($F131,Lists!$C$72:$R$232,COLUMNS(Lists!$C$69:J$69),0)*VLOOKUP(BJ$3,Conversions!$B$12:$E$34,4,0)*HLOOKUP($E131,'Equipment Assumptions'!$C$30:$Q$31,2,0),$I131*VLOOKUP($F131,Lists!$C$72:$R$232,COLUMNS(Lists!$C$69:J$69),0)*VLOOKUP(BJ$3,Conversions!$B$12:$E$34,4,0)))</f>
        <v>0</v>
      </c>
      <c r="AV131" s="333">
        <f>IF($F131="",0,IF($A131="Default",$I131*VLOOKUP($F131,Lists!$C$72:$R$232,COLUMNS(Lists!$C$69:K$69),0)*VLOOKUP(BK$3,Conversions!$B$12:$E$34,4,0)*HLOOKUP($E131,'Equipment Assumptions'!$C$30:$Q$31,2,0),$I131*VLOOKUP($F131,Lists!$C$72:$R$232,COLUMNS(Lists!$C$69:K$69),0)*VLOOKUP(BK$3,Conversions!$B$12:$E$34,4,0)))</f>
        <v>0</v>
      </c>
      <c r="AW131" s="333">
        <f>IF($F131="",0,IF($A131="Default",$I131*VLOOKUP($F131,Lists!$C$72:$R$232,COLUMNS(Lists!$C$69:L$69),0)*VLOOKUP(BL$3,Conversions!$B$12:$E$34,4,0)*HLOOKUP($E131,'Equipment Assumptions'!$C$30:$Q$31,2,0),$I131*VLOOKUP($F131,Lists!$C$72:$R$232,COLUMNS(Lists!$C$69:L$69),0)*VLOOKUP(BL$3,Conversions!$B$12:$E$34,4,0)))</f>
        <v>0</v>
      </c>
      <c r="AX131" s="333">
        <f>IF($F131="",0,IF($A131="Default",$I131*VLOOKUP($F131,Lists!$C$72:$R$232,COLUMNS(Lists!$C$69:M$69),0)*VLOOKUP(BM$3,Conversions!$B$12:$E$34,4,0)*HLOOKUP($E131,'Equipment Assumptions'!$C$30:$Q$31,2,0),$I131*VLOOKUP($F131,Lists!$C$72:$R$232,COLUMNS(Lists!$C$69:M$69),0)*VLOOKUP(BM$3,Conversions!$B$12:$E$34,4,0)))</f>
        <v>0</v>
      </c>
      <c r="AY131" s="333">
        <f>IF($F131="",0,IF($A131="Default",$I131*VLOOKUP($F131,Lists!$C$72:$R$232,COLUMNS(Lists!$C$69:N$69),0)*VLOOKUP(BN$3,Conversions!$B$12:$E$34,4,0)*HLOOKUP($E131,'Equipment Assumptions'!$C$30:$Q$31,2,0),$I131*VLOOKUP($F131,Lists!$C$72:$R$232,COLUMNS(Lists!$C$69:N$69),0)*VLOOKUP(BN$3,Conversions!$B$12:$E$34,4,0)))</f>
        <v>0</v>
      </c>
      <c r="AZ131" s="333">
        <f>IF($F131="",0,IF($A131="Default",$I131*VLOOKUP($F131,Lists!$C$72:$R$232,COLUMNS(Lists!$C$69:O$69),0)*VLOOKUP(BO$3,Conversions!$B$12:$E$34,4,0)*HLOOKUP($E131,'Equipment Assumptions'!$C$30:$Q$31,2,0),$I131*VLOOKUP($F131,Lists!$C$72:$R$232,COLUMNS(Lists!$C$69:O$69),0)*VLOOKUP(BO$3,Conversions!$B$12:$E$34,4,0)))</f>
        <v>0</v>
      </c>
      <c r="BA131" s="333">
        <f>IF($F131="",0,IF($A131="Default",$I131*VLOOKUP($F131,Lists!$C$72:$R$232,COLUMNS(Lists!$C$69:P$69),0)*VLOOKUP(BP$3,Conversions!$B$12:$E$34,4,0)*HLOOKUP($E131,'Equipment Assumptions'!$C$30:$Q$31,2,0),$I131*VLOOKUP($F131,Lists!$C$72:$R$232,COLUMNS(Lists!$C$69:P$69),0)*VLOOKUP(BP$3,Conversions!$B$12:$E$34,4,0)))</f>
        <v>0</v>
      </c>
      <c r="BB131" s="333">
        <f>IF($F131="",0,IF($A131="Default",$I131*VLOOKUP($F131,Lists!$C$72:$R$232,COLUMNS(Lists!$C$69:Q$69),0)*VLOOKUP(BQ$3,Conversions!$B$12:$E$34,4,0)*HLOOKUP($E131,'Equipment Assumptions'!$C$30:$Q$31,2,0),$I131*VLOOKUP($F131,Lists!$C$72:$R$232,COLUMNS(Lists!$C$69:Q$69),0)*VLOOKUP(BQ$3,Conversions!$B$12:$E$34,4,0)))</f>
        <v>0</v>
      </c>
      <c r="BC131" s="333">
        <f>IF($F131="",0,IF($A131="Default",$I131*VLOOKUP($F131,Lists!$C$72:$R$232,COLUMNS(Lists!$C$69:R$69),0)*VLOOKUP(BR$3,Conversions!$B$12:$E$34,4,0)*HLOOKUP($E131,'Equipment Assumptions'!$C$30:$Q$31,2,0),$I131*VLOOKUP($F131,Lists!$C$72:$R$232,COLUMNS(Lists!$C$69:R$69),0)*VLOOKUP(BR$3,Conversions!$B$12:$E$34,4,0)))</f>
        <v>0</v>
      </c>
      <c r="BD131" s="333">
        <f>SUM(AP131:BC131)</f>
        <v>0</v>
      </c>
      <c r="BE131" s="330">
        <f t="shared" si="145"/>
        <v>0</v>
      </c>
      <c r="BF131" s="330">
        <f t="shared" si="146"/>
        <v>0</v>
      </c>
      <c r="BG131" s="330">
        <f t="shared" si="147"/>
        <v>0</v>
      </c>
      <c r="BH131" s="330">
        <f t="shared" si="148"/>
        <v>0</v>
      </c>
      <c r="BI131" s="330">
        <f t="shared" si="149"/>
        <v>0</v>
      </c>
      <c r="BJ131" s="330">
        <f t="shared" si="150"/>
        <v>0</v>
      </c>
      <c r="BK131" s="330">
        <f t="shared" si="151"/>
        <v>0</v>
      </c>
      <c r="BL131" s="330">
        <f t="shared" si="152"/>
        <v>0</v>
      </c>
      <c r="BM131" s="330">
        <f t="shared" si="153"/>
        <v>0</v>
      </c>
      <c r="BN131" s="330">
        <f t="shared" si="154"/>
        <v>0</v>
      </c>
      <c r="BO131" s="330">
        <f t="shared" si="155"/>
        <v>0</v>
      </c>
      <c r="BP131" s="330">
        <f t="shared" si="156"/>
        <v>0</v>
      </c>
      <c r="BQ131" s="330">
        <f t="shared" si="157"/>
        <v>0</v>
      </c>
      <c r="BR131" s="330">
        <f t="shared" si="158"/>
        <v>0</v>
      </c>
      <c r="BS131" s="330">
        <f t="shared" si="159"/>
        <v>0</v>
      </c>
      <c r="BT131" s="329">
        <f t="shared" si="142"/>
        <v>0</v>
      </c>
      <c r="BU131" s="329">
        <f t="shared" si="142"/>
        <v>0</v>
      </c>
      <c r="BV131" s="329">
        <f t="shared" si="142"/>
        <v>0</v>
      </c>
      <c r="BW131" s="329">
        <f t="shared" si="142"/>
        <v>0</v>
      </c>
      <c r="BX131" s="329">
        <f t="shared" si="142"/>
        <v>0</v>
      </c>
      <c r="BY131" s="329">
        <f t="shared" si="142"/>
        <v>0</v>
      </c>
      <c r="BZ131" s="329">
        <f t="shared" si="142"/>
        <v>0</v>
      </c>
      <c r="CA131" s="329">
        <f t="shared" si="142"/>
        <v>0</v>
      </c>
      <c r="CB131" s="329">
        <f t="shared" si="142"/>
        <v>0</v>
      </c>
      <c r="CC131" s="329">
        <f t="shared" si="142"/>
        <v>0</v>
      </c>
      <c r="CD131" s="329">
        <f t="shared" si="142"/>
        <v>0</v>
      </c>
      <c r="CE131" s="329">
        <f t="shared" si="142"/>
        <v>0</v>
      </c>
      <c r="CF131" s="329">
        <f t="shared" si="142"/>
        <v>0</v>
      </c>
      <c r="CG131" s="329">
        <f t="shared" si="142"/>
        <v>0</v>
      </c>
      <c r="CH131" s="329">
        <f t="shared" si="142"/>
        <v>0</v>
      </c>
      <c r="CI131" s="329">
        <f t="shared" si="142"/>
        <v>0</v>
      </c>
      <c r="CJ131" s="331">
        <f>SUM(BT131:CI131)</f>
        <v>0</v>
      </c>
      <c r="CK131" s="330">
        <f>BT131</f>
        <v>0</v>
      </c>
      <c r="CL131" s="330">
        <f>BU131+BV131+BW131</f>
        <v>0</v>
      </c>
      <c r="CM131" s="330">
        <f>BX131</f>
        <v>0</v>
      </c>
      <c r="CN131" s="330">
        <f>BY131+BZ131</f>
        <v>0</v>
      </c>
      <c r="CO131" s="330">
        <f t="shared" si="160"/>
        <v>0</v>
      </c>
      <c r="CP131" s="330">
        <f t="shared" si="160"/>
        <v>0</v>
      </c>
      <c r="CQ131" s="330">
        <f t="shared" si="94"/>
        <v>0</v>
      </c>
      <c r="CR131" s="330">
        <f>CE131+CF131</f>
        <v>0</v>
      </c>
      <c r="CS131" s="330">
        <f>CG131+CH131+CI131</f>
        <v>0</v>
      </c>
      <c r="CT131" s="330">
        <f>SUM(CK131:CS131)</f>
        <v>0</v>
      </c>
      <c r="CU131" s="330">
        <f t="shared" si="143"/>
        <v>0</v>
      </c>
      <c r="CV131" s="330">
        <f t="shared" si="143"/>
        <v>0</v>
      </c>
      <c r="CW131" s="330">
        <f t="shared" si="143"/>
        <v>0</v>
      </c>
      <c r="CX131" s="330">
        <f t="shared" si="143"/>
        <v>0</v>
      </c>
      <c r="CY131" s="330">
        <f t="shared" si="143"/>
        <v>0</v>
      </c>
      <c r="CZ131" s="330">
        <f t="shared" si="143"/>
        <v>0</v>
      </c>
      <c r="DA131" s="330">
        <f t="shared" si="143"/>
        <v>0</v>
      </c>
      <c r="DB131" s="330">
        <f t="shared" si="143"/>
        <v>0</v>
      </c>
      <c r="DC131" s="330">
        <f t="shared" si="143"/>
        <v>0</v>
      </c>
      <c r="DD131" s="330">
        <f t="shared" si="143"/>
        <v>0</v>
      </c>
      <c r="DE131" s="330">
        <f t="shared" si="144"/>
        <v>0</v>
      </c>
      <c r="DF131" s="330">
        <f t="shared" si="144"/>
        <v>0</v>
      </c>
      <c r="DG131" s="330">
        <f t="shared" si="144"/>
        <v>0</v>
      </c>
      <c r="DH131" s="330">
        <f t="shared" si="144"/>
        <v>0</v>
      </c>
      <c r="DI131" s="330">
        <f t="shared" si="144"/>
        <v>0</v>
      </c>
      <c r="DJ131" s="330">
        <f t="shared" si="144"/>
        <v>0</v>
      </c>
      <c r="DK131" s="330">
        <f t="shared" si="144"/>
        <v>0</v>
      </c>
      <c r="DL131" s="330">
        <f t="shared" si="144"/>
        <v>0</v>
      </c>
      <c r="DM131" s="330">
        <f t="shared" si="144"/>
        <v>0</v>
      </c>
      <c r="DN131" s="330">
        <f t="shared" si="144"/>
        <v>0</v>
      </c>
      <c r="DO131" s="330">
        <f t="shared" si="144"/>
        <v>0</v>
      </c>
      <c r="DP131" s="330">
        <f t="shared" si="140"/>
        <v>0</v>
      </c>
      <c r="DQ131" s="217"/>
      <c r="DR131" s="217"/>
      <c r="DS131" s="217"/>
      <c r="DT131" s="217"/>
    </row>
    <row r="132" spans="1:124" x14ac:dyDescent="0.3">
      <c r="A132" s="332" t="str">
        <f>IF(AND(F132&lt;&gt;"",OR('Simplified Screening 1'!G23=0,'Simplified Screening 1'!G23="I Don't Know")),"Default","")</f>
        <v/>
      </c>
      <c r="B132" s="221" t="s">
        <v>306</v>
      </c>
      <c r="C132" s="221" t="str">
        <f>IF('Simplified Screening 1'!C23=0,"",'Simplified Screening 1'!C23)</f>
        <v/>
      </c>
      <c r="D132" s="221" t="str">
        <f>IF('Simplified Screening 1'!D23=0,"",'Simplified Screening 1'!D23)</f>
        <v/>
      </c>
      <c r="E132" s="221" t="str">
        <f>IF('Simplified Screening 1'!E23=0,"",'Simplified Screening 1'!E23)</f>
        <v/>
      </c>
      <c r="F132" s="221" t="str">
        <f>'Simplified Screening 1'!R23</f>
        <v/>
      </c>
      <c r="G132" s="272">
        <f>'Simplified Screening 1'!H23*'Simplified Screening 1'!L23*Conversions!$C$4</f>
        <v>0</v>
      </c>
      <c r="H132" s="272">
        <f>'Simplified Screening 1'!I23*'Simplified Screening 1'!M23*'Simplified Screening 1'!J23*Conversions!$C$4</f>
        <v>0</v>
      </c>
      <c r="I132" s="272">
        <f>'Simplified Screening 1'!K23*'Simplified Screening 1'!N23*(1-'Simplified Screening 1'!O23)*Conversions!$C$4</f>
        <v>0</v>
      </c>
      <c r="J132" s="325">
        <f>IF('Simplified Screening 1'!P23=0,0,'Simplified Screening 1'!P23)</f>
        <v>0</v>
      </c>
      <c r="K132" s="325">
        <f>IF(AND(OR('Simplified Screening 1'!G23=0,'Simplified Screening 1'!G23="I Don't Know"),F132&lt;&gt;""),J132*HLOOKUP(E132,'Equipment Assumptions'!$C$30:$Q$31,2,0),IF(F132="Non-HFC",0,J132))</f>
        <v>0</v>
      </c>
      <c r="L132" s="333">
        <f>IF($F132="",0,IF($A132="Default",$G132*VLOOKUP($F132,Lists!$C$72:$R$232,COLUMNS(Lists!$C$69:E$69),0)*VLOOKUP(BE$3,Conversions!$B$12:$E$34,4,0)*HLOOKUP($E132,'Equipment Assumptions'!$C$30:$Q$31,2,0),$G132*VLOOKUP($F132,Lists!$C$72:$R$232,COLUMNS(Lists!$C$69:E$69),0)*VLOOKUP(BE$3,Conversions!$B$12:$E$34,4,0)))</f>
        <v>0</v>
      </c>
      <c r="M132" s="333">
        <f>IF($F132="",0,IF($A132="Default",$G132*VLOOKUP($F132,Lists!$C$72:$R$232,COLUMNS(Lists!$C$69:F$69),0)*VLOOKUP(BF$3,Conversions!$B$12:$E$34,4,0)*HLOOKUP($E132,'Equipment Assumptions'!$C$30:$Q$31,2,0),$G132*VLOOKUP($F132,Lists!$C$72:$R$232,COLUMNS(Lists!$C$69:F$69),0)*VLOOKUP(BF$3,Conversions!$B$12:$E$34,4,0)))</f>
        <v>0</v>
      </c>
      <c r="N132" s="333">
        <f>IF($F132="",0,IF($A132="Default",$G132*VLOOKUP($F132,Lists!$C$72:$R$232,COLUMNS(Lists!$C$69:G$69),0)*VLOOKUP(BG$3,Conversions!$B$12:$E$34,4,0)*HLOOKUP($E132,'Equipment Assumptions'!$C$30:$Q$31,2,0),$G132*VLOOKUP($F132,Lists!$C$72:$R$232,COLUMNS(Lists!$C$69:G$69),0)*VLOOKUP(BG$3,Conversions!$B$12:$E$34,4,0)))</f>
        <v>0</v>
      </c>
      <c r="O132" s="333">
        <f>IF($F132="",0,IF($A132="Default",$G132*VLOOKUP($F132,Lists!$C$72:$R$232,COLUMNS(Lists!$C$69:H$69),0)*VLOOKUP(BH$3,Conversions!$B$12:$E$34,4,0)*HLOOKUP($E132,'Equipment Assumptions'!$C$30:$Q$31,2,0),$G132*VLOOKUP($F132,Lists!$C$72:$R$232,COLUMNS(Lists!$C$69:H$69),0)*VLOOKUP(BH$3,Conversions!$B$12:$E$34,4,0)))</f>
        <v>0</v>
      </c>
      <c r="P132" s="333">
        <f>IF($F132="",0,IF($A132="Default",$G132*VLOOKUP($F132,Lists!$C$72:$R$232,COLUMNS(Lists!$C$69:I$69),0)*VLOOKUP(BI$3,Conversions!$B$12:$E$34,4,0)*HLOOKUP($E132,'Equipment Assumptions'!$C$30:$Q$31,2,0),$G132*VLOOKUP($F132,Lists!$C$72:$R$232,COLUMNS(Lists!$C$69:I$69),0)*VLOOKUP(BI$3,Conversions!$B$12:$E$34,4,0)))</f>
        <v>0</v>
      </c>
      <c r="Q132" s="333">
        <f>IF($F132="",0,IF($A132="Default",$G132*VLOOKUP($F132,Lists!$C$72:$R$232,COLUMNS(Lists!$C$69:J$69),0)*VLOOKUP(BJ$3,Conversions!$B$12:$E$34,4,0)*HLOOKUP($E132,'Equipment Assumptions'!$C$30:$Q$31,2,0),$G132*VLOOKUP($F132,Lists!$C$72:$R$232,COLUMNS(Lists!$C$69:J$69),0)*VLOOKUP(BJ$3,Conversions!$B$12:$E$34,4,0)))</f>
        <v>0</v>
      </c>
      <c r="R132" s="333">
        <f>IF($F132="",0,IF($A132="Default",$G132*VLOOKUP($F132,Lists!$C$72:$R$232,COLUMNS(Lists!$C$69:K$69),0)*VLOOKUP(BK$3,Conversions!$B$12:$E$34,4,0)*HLOOKUP($E132,'Equipment Assumptions'!$C$30:$Q$31,2,0),$G132*VLOOKUP($F132,Lists!$C$72:$R$232,COLUMNS(Lists!$C$69:K$69),0)*VLOOKUP(BK$3,Conversions!$B$12:$E$34,4,0)))</f>
        <v>0</v>
      </c>
      <c r="S132" s="333">
        <f>IF($F132="",0,IF($A132="Default",$G132*VLOOKUP($F132,Lists!$C$72:$R$232,COLUMNS(Lists!$C$69:L$69),0)*VLOOKUP(BL$3,Conversions!$B$12:$E$34,4,0)*HLOOKUP($E132,'Equipment Assumptions'!$C$30:$Q$31,2,0),$G132*VLOOKUP($F132,Lists!$C$72:$R$232,COLUMNS(Lists!$C$69:L$69),0)*VLOOKUP(BL$3,Conversions!$B$12:$E$34,4,0)))</f>
        <v>0</v>
      </c>
      <c r="T132" s="333">
        <f>IF($F132="",0,IF($A132="Default",$G132*VLOOKUP($F132,Lists!$C$72:$R$232,COLUMNS(Lists!$C$69:M$69),0)*VLOOKUP(BM$3,Conversions!$B$12:$E$34,4,0)*HLOOKUP($E132,'Equipment Assumptions'!$C$30:$Q$31,2,0),$G132*VLOOKUP($F132,Lists!$C$72:$R$232,COLUMNS(Lists!$C$69:M$69),0)*VLOOKUP(BM$3,Conversions!$B$12:$E$34,4,0)))</f>
        <v>0</v>
      </c>
      <c r="U132" s="333">
        <f>IF($F132="",0,IF($A132="Default",$G132*VLOOKUP($F132,Lists!$C$72:$R$232,COLUMNS(Lists!$C$69:N$69),0)*VLOOKUP(BN$3,Conversions!$B$12:$E$34,4,0)*HLOOKUP($E132,'Equipment Assumptions'!$C$30:$Q$31,2,0),$G132*VLOOKUP($F132,Lists!$C$72:$R$232,COLUMNS(Lists!$C$69:N$69),0)*VLOOKUP(BN$3,Conversions!$B$12:$E$34,4,0)))</f>
        <v>0</v>
      </c>
      <c r="V132" s="333">
        <f>IF($F132="",0,IF($A132="Default",$G132*VLOOKUP($F132,Lists!$C$72:$R$232,COLUMNS(Lists!$C$69:O$69),0)*VLOOKUP(BO$3,Conversions!$B$12:$E$34,4,0)*HLOOKUP($E132,'Equipment Assumptions'!$C$30:$Q$31,2,0),$G132*VLOOKUP($F132,Lists!$C$72:$R$232,COLUMNS(Lists!$C$69:O$69),0)*VLOOKUP(BO$3,Conversions!$B$12:$E$34,4,0)))</f>
        <v>0</v>
      </c>
      <c r="W132" s="333">
        <f>IF($F132="",0,IF($A132="Default",$G132*VLOOKUP($F132,Lists!$C$72:$R$232,COLUMNS(Lists!$C$69:P$69),0)*VLOOKUP(BP$3,Conversions!$B$12:$E$34,4,0)*HLOOKUP($E132,'Equipment Assumptions'!$C$30:$Q$31,2,0),$G132*VLOOKUP($F132,Lists!$C$72:$R$232,COLUMNS(Lists!$C$69:P$69),0)*VLOOKUP(BP$3,Conversions!$B$12:$E$34,4,0)))</f>
        <v>0</v>
      </c>
      <c r="X132" s="333">
        <f>IF($F132="",0,IF($A132="Default",$G132*VLOOKUP($F132,Lists!$C$72:$R$232,COLUMNS(Lists!$C$69:Q$69),0)*VLOOKUP(BQ$3,Conversions!$B$12:$E$34,4,0)*HLOOKUP($E132,'Equipment Assumptions'!$C$30:$Q$31,2,0),$G132*VLOOKUP($F132,Lists!$C$72:$R$232,COLUMNS(Lists!$C$69:Q$69),0)*VLOOKUP(BQ$3,Conversions!$B$12:$E$34,4,0)))</f>
        <v>0</v>
      </c>
      <c r="Y132" s="333">
        <f>IF($F132="",0,IF($A132="Default",$G132*VLOOKUP($F132,Lists!$C$72:$R$232,COLUMNS(Lists!$C$69:R$69),0)*VLOOKUP(BR$3,Conversions!$B$12:$E$34,4,0)*HLOOKUP($E132,'Equipment Assumptions'!$C$30:$Q$31,2,0),$G132*VLOOKUP($F132,Lists!$C$72:$R$232,COLUMNS(Lists!$C$69:R$69),0)*VLOOKUP(BR$3,Conversions!$B$12:$E$34,4,0)))</f>
        <v>0</v>
      </c>
      <c r="Z132" s="325">
        <f>SUM(L132:Y132)</f>
        <v>0</v>
      </c>
      <c r="AA132" s="334">
        <f>IF($F132="",0,IF($A132="Default",$H132*VLOOKUP($F132,Lists!$C$72:$R$232,COLUMNS(Lists!$C$69:E$69),0)*VLOOKUP(BE$3,Conversions!$B$12:$E$34,4,0)*HLOOKUP($E132,'Equipment Assumptions'!$C$30:$Q$31,2,0),$H132*VLOOKUP($F132,Lists!$C$72:$R$232,COLUMNS(Lists!$C$69:E$69),0)*VLOOKUP(BE$3,Conversions!$B$12:$E$34,4,0)))</f>
        <v>0</v>
      </c>
      <c r="AB132" s="334">
        <f>IF($F132="",0,IF($A132="Default",$H132*VLOOKUP($F132,Lists!$C$72:$R$232,COLUMNS(Lists!$C$69:F$69),0)*VLOOKUP(BF$3,Conversions!$B$12:$E$34,4,0)*HLOOKUP($E132,'Equipment Assumptions'!$C$30:$Q$31,2,0),$H132*VLOOKUP($F132,Lists!$C$72:$R$232,COLUMNS(Lists!$C$69:F$69),0)*VLOOKUP(BF$3,Conversions!$B$12:$E$34,4,0)))</f>
        <v>0</v>
      </c>
      <c r="AC132" s="334">
        <f>IF($F132="",0,IF($A132="Default",$H132*VLOOKUP($F132,Lists!$C$72:$R$232,COLUMNS(Lists!$C$69:G$69),0)*VLOOKUP(BG$3,Conversions!$B$12:$E$34,4,0)*HLOOKUP($E132,'Equipment Assumptions'!$C$30:$Q$31,2,0),$H132*VLOOKUP($F132,Lists!$C$72:$R$232,COLUMNS(Lists!$C$69:G$69),0)*VLOOKUP(BG$3,Conversions!$B$12:$E$34,4,0)))</f>
        <v>0</v>
      </c>
      <c r="AD132" s="334">
        <f>IF($F132="",0,IF($A132="Default",$H132*VLOOKUP($F132,Lists!$C$72:$R$232,COLUMNS(Lists!$C$69:H$69),0)*VLOOKUP(BH$3,Conversions!$B$12:$E$34,4,0)*HLOOKUP($E132,'Equipment Assumptions'!$C$30:$Q$31,2,0),$H132*VLOOKUP($F132,Lists!$C$72:$R$232,COLUMNS(Lists!$C$69:H$69),0)*VLOOKUP(BH$3,Conversions!$B$12:$E$34,4,0)))</f>
        <v>0</v>
      </c>
      <c r="AE132" s="334">
        <f>IF($F132="",0,IF($A132="Default",$H132*VLOOKUP($F132,Lists!$C$72:$R$232,COLUMNS(Lists!$C$69:I$69),0)*VLOOKUP(BI$3,Conversions!$B$12:$E$34,4,0)*HLOOKUP($E132,'Equipment Assumptions'!$C$30:$Q$31,2,0),$H132*VLOOKUP($F132,Lists!$C$72:$R$232,COLUMNS(Lists!$C$69:I$69),0)*VLOOKUP(BI$3,Conversions!$B$12:$E$34,4,0)))</f>
        <v>0</v>
      </c>
      <c r="AF132" s="334">
        <f>IF($F132="",0,IF($A132="Default",$H132*VLOOKUP($F132,Lists!$C$72:$R$232,COLUMNS(Lists!$C$69:J$69),0)*VLOOKUP(BJ$3,Conversions!$B$12:$E$34,4,0)*HLOOKUP($E132,'Equipment Assumptions'!$C$30:$Q$31,2,0),$H132*VLOOKUP($F132,Lists!$C$72:$R$232,COLUMNS(Lists!$C$69:J$69),0)*VLOOKUP(BJ$3,Conversions!$B$12:$E$34,4,0)))</f>
        <v>0</v>
      </c>
      <c r="AG132" s="334">
        <f>IF($F132="",0,IF($A132="Default",$H132*VLOOKUP($F132,Lists!$C$72:$R$232,COLUMNS(Lists!$C$69:K$69),0)*VLOOKUP(BK$3,Conversions!$B$12:$E$34,4,0)*HLOOKUP($E132,'Equipment Assumptions'!$C$30:$Q$31,2,0),$H132*VLOOKUP($F132,Lists!$C$72:$R$232,COLUMNS(Lists!$C$69:K$69),0)*VLOOKUP(BK$3,Conversions!$B$12:$E$34,4,0)))</f>
        <v>0</v>
      </c>
      <c r="AH132" s="334">
        <f>IF($F132="",0,IF($A132="Default",$H132*VLOOKUP($F132,Lists!$C$72:$R$232,COLUMNS(Lists!$C$69:L$69),0)*VLOOKUP(BL$3,Conversions!$B$12:$E$34,4,0)*HLOOKUP($E132,'Equipment Assumptions'!$C$30:$Q$31,2,0),$H132*VLOOKUP($F132,Lists!$C$72:$R$232,COLUMNS(Lists!$C$69:L$69),0)*VLOOKUP(BL$3,Conversions!$B$12:$E$34,4,0)))</f>
        <v>0</v>
      </c>
      <c r="AI132" s="334">
        <f>IF($F132="",0,IF($A132="Default",$H132*VLOOKUP($F132,Lists!$C$72:$R$232,COLUMNS(Lists!$C$69:M$69),0)*VLOOKUP(BM$3,Conversions!$B$12:$E$34,4,0)*HLOOKUP($E132,'Equipment Assumptions'!$C$30:$Q$31,2,0),$H132*VLOOKUP($F132,Lists!$C$72:$R$232,COLUMNS(Lists!$C$69:M$69),0)*VLOOKUP(BM$3,Conversions!$B$12:$E$34,4,0)))</f>
        <v>0</v>
      </c>
      <c r="AJ132" s="334">
        <f>IF($F132="",0,IF($A132="Default",$H132*VLOOKUP($F132,Lists!$C$72:$R$232,COLUMNS(Lists!$C$69:N$69),0)*VLOOKUP(BN$3,Conversions!$B$12:$E$34,4,0)*HLOOKUP($E132,'Equipment Assumptions'!$C$30:$Q$31,2,0),$H132*VLOOKUP($F132,Lists!$C$72:$R$232,COLUMNS(Lists!$C$69:N$69),0)*VLOOKUP(BN$3,Conversions!$B$12:$E$34,4,0)))</f>
        <v>0</v>
      </c>
      <c r="AK132" s="334">
        <f>IF($F132="",0,IF($A132="Default",$H132*VLOOKUP($F132,Lists!$C$72:$R$232,COLUMNS(Lists!$C$69:O$69),0)*VLOOKUP(BO$3,Conversions!$B$12:$E$34,4,0)*HLOOKUP($E132,'Equipment Assumptions'!$C$30:$Q$31,2,0),$H132*VLOOKUP($F132,Lists!$C$72:$R$232,COLUMNS(Lists!$C$69:O$69),0)*VLOOKUP(BO$3,Conversions!$B$12:$E$34,4,0)))</f>
        <v>0</v>
      </c>
      <c r="AL132" s="334">
        <f>IF($F132="",0,IF($A132="Default",$H132*VLOOKUP($F132,Lists!$C$72:$R$232,COLUMNS(Lists!$C$69:P$69),0)*VLOOKUP(BP$3,Conversions!$B$12:$E$34,4,0)*HLOOKUP($E132,'Equipment Assumptions'!$C$30:$Q$31,2,0),$H132*VLOOKUP($F132,Lists!$C$72:$R$232,COLUMNS(Lists!$C$69:P$69),0)*VLOOKUP(BP$3,Conversions!$B$12:$E$34,4,0)))</f>
        <v>0</v>
      </c>
      <c r="AM132" s="334">
        <f>IF($F132="",0,IF($A132="Default",$H132*VLOOKUP($F132,Lists!$C$72:$R$232,COLUMNS(Lists!$C$69:Q$69),0)*VLOOKUP(BQ$3,Conversions!$B$12:$E$34,4,0)*HLOOKUP($E132,'Equipment Assumptions'!$C$30:$Q$31,2,0),$H132*VLOOKUP($F132,Lists!$C$72:$R$232,COLUMNS(Lists!$C$69:Q$69),0)*VLOOKUP(BQ$3,Conversions!$B$12:$E$34,4,0)))</f>
        <v>0</v>
      </c>
      <c r="AN132" s="334">
        <f>IF($F132="",0,IF($A132="Default",$H132*VLOOKUP($F132,Lists!$C$72:$R$232,COLUMNS(Lists!$C$69:R$69),0)*VLOOKUP(BR$3,Conversions!$B$12:$E$34,4,0)*HLOOKUP($E132,'Equipment Assumptions'!$C$30:$Q$31,2,0),$H132*VLOOKUP($F132,Lists!$C$72:$R$232,COLUMNS(Lists!$C$69:R$69),0)*VLOOKUP(BR$3,Conversions!$B$12:$E$34,4,0)))</f>
        <v>0</v>
      </c>
      <c r="AO132" s="330">
        <f>SUM(AA132:AN132)</f>
        <v>0</v>
      </c>
      <c r="AP132" s="333">
        <f>IF($F132="",0,IF($A132="Default",$I132*VLOOKUP($F132,Lists!$C$72:$R$232,COLUMNS(Lists!$C$69:E$69),0)*VLOOKUP(BE$3,Conversions!$B$12:$E$34,4,0)*HLOOKUP($E132,'Equipment Assumptions'!$C$30:$Q$31,2,0),$I132*VLOOKUP($F132,Lists!$C$72:$R$232,COLUMNS(Lists!$C$69:E$69),0)*VLOOKUP(BE$3,Conversions!$B$12:$E$34,4,0)))</f>
        <v>0</v>
      </c>
      <c r="AQ132" s="333">
        <f>IF($F132="",0,IF($A132="Default",$I132*VLOOKUP($F132,Lists!$C$72:$R$232,COLUMNS(Lists!$C$69:F$69),0)*VLOOKUP(BF$3,Conversions!$B$12:$E$34,4,0)*HLOOKUP($E132,'Equipment Assumptions'!$C$30:$Q$31,2,0),$I132*VLOOKUP($F132,Lists!$C$72:$R$232,COLUMNS(Lists!$C$69:F$69),0)*VLOOKUP(BF$3,Conversions!$B$12:$E$34,4,0)))</f>
        <v>0</v>
      </c>
      <c r="AR132" s="333">
        <f>IF($F132="",0,IF($A132="Default",$I132*VLOOKUP($F132,Lists!$C$72:$R$232,COLUMNS(Lists!$C$69:G$69),0)*VLOOKUP(BG$3,Conversions!$B$12:$E$34,4,0)*HLOOKUP($E132,'Equipment Assumptions'!$C$30:$Q$31,2,0),$I132*VLOOKUP($F132,Lists!$C$72:$R$232,COLUMNS(Lists!$C$69:G$69),0)*VLOOKUP(BG$3,Conversions!$B$12:$E$34,4,0)))</f>
        <v>0</v>
      </c>
      <c r="AS132" s="333">
        <f>IF($F132="",0,IF($A132="Default",$I132*VLOOKUP($F132,Lists!$C$72:$R$232,COLUMNS(Lists!$C$69:H$69),0)*VLOOKUP(BH$3,Conversions!$B$12:$E$34,4,0)*HLOOKUP($E132,'Equipment Assumptions'!$C$30:$Q$31,2,0),$I132*VLOOKUP($F132,Lists!$C$72:$R$232,COLUMNS(Lists!$C$69:H$69),0)*VLOOKUP(BH$3,Conversions!$B$12:$E$34,4,0)))</f>
        <v>0</v>
      </c>
      <c r="AT132" s="333">
        <f>IF($F132="",0,IF($A132="Default",$I132*VLOOKUP($F132,Lists!$C$72:$R$232,COLUMNS(Lists!$C$69:I$69),0)*VLOOKUP(BI$3,Conversions!$B$12:$E$34,4,0)*HLOOKUP($E132,'Equipment Assumptions'!$C$30:$Q$31,2,0),$I132*VLOOKUP($F132,Lists!$C$72:$R$232,COLUMNS(Lists!$C$69:I$69),0)*VLOOKUP(BI$3,Conversions!$B$12:$E$34,4,0)))</f>
        <v>0</v>
      </c>
      <c r="AU132" s="333">
        <f>IF($F132="",0,IF($A132="Default",$I132*VLOOKUP($F132,Lists!$C$72:$R$232,COLUMNS(Lists!$C$69:J$69),0)*VLOOKUP(BJ$3,Conversions!$B$12:$E$34,4,0)*HLOOKUP($E132,'Equipment Assumptions'!$C$30:$Q$31,2,0),$I132*VLOOKUP($F132,Lists!$C$72:$R$232,COLUMNS(Lists!$C$69:J$69),0)*VLOOKUP(BJ$3,Conversions!$B$12:$E$34,4,0)))</f>
        <v>0</v>
      </c>
      <c r="AV132" s="333">
        <f>IF($F132="",0,IF($A132="Default",$I132*VLOOKUP($F132,Lists!$C$72:$R$232,COLUMNS(Lists!$C$69:K$69),0)*VLOOKUP(BK$3,Conversions!$B$12:$E$34,4,0)*HLOOKUP($E132,'Equipment Assumptions'!$C$30:$Q$31,2,0),$I132*VLOOKUP($F132,Lists!$C$72:$R$232,COLUMNS(Lists!$C$69:K$69),0)*VLOOKUP(BK$3,Conversions!$B$12:$E$34,4,0)))</f>
        <v>0</v>
      </c>
      <c r="AW132" s="333">
        <f>IF($F132="",0,IF($A132="Default",$I132*VLOOKUP($F132,Lists!$C$72:$R$232,COLUMNS(Lists!$C$69:L$69),0)*VLOOKUP(BL$3,Conversions!$B$12:$E$34,4,0)*HLOOKUP($E132,'Equipment Assumptions'!$C$30:$Q$31,2,0),$I132*VLOOKUP($F132,Lists!$C$72:$R$232,COLUMNS(Lists!$C$69:L$69),0)*VLOOKUP(BL$3,Conversions!$B$12:$E$34,4,0)))</f>
        <v>0</v>
      </c>
      <c r="AX132" s="333">
        <f>IF($F132="",0,IF($A132="Default",$I132*VLOOKUP($F132,Lists!$C$72:$R$232,COLUMNS(Lists!$C$69:M$69),0)*VLOOKUP(BM$3,Conversions!$B$12:$E$34,4,0)*HLOOKUP($E132,'Equipment Assumptions'!$C$30:$Q$31,2,0),$I132*VLOOKUP($F132,Lists!$C$72:$R$232,COLUMNS(Lists!$C$69:M$69),0)*VLOOKUP(BM$3,Conversions!$B$12:$E$34,4,0)))</f>
        <v>0</v>
      </c>
      <c r="AY132" s="333">
        <f>IF($F132="",0,IF($A132="Default",$I132*VLOOKUP($F132,Lists!$C$72:$R$232,COLUMNS(Lists!$C$69:N$69),0)*VLOOKUP(BN$3,Conversions!$B$12:$E$34,4,0)*HLOOKUP($E132,'Equipment Assumptions'!$C$30:$Q$31,2,0),$I132*VLOOKUP($F132,Lists!$C$72:$R$232,COLUMNS(Lists!$C$69:N$69),0)*VLOOKUP(BN$3,Conversions!$B$12:$E$34,4,0)))</f>
        <v>0</v>
      </c>
      <c r="AZ132" s="333">
        <f>IF($F132="",0,IF($A132="Default",$I132*VLOOKUP($F132,Lists!$C$72:$R$232,COLUMNS(Lists!$C$69:O$69),0)*VLOOKUP(BO$3,Conversions!$B$12:$E$34,4,0)*HLOOKUP($E132,'Equipment Assumptions'!$C$30:$Q$31,2,0),$I132*VLOOKUP($F132,Lists!$C$72:$R$232,COLUMNS(Lists!$C$69:O$69),0)*VLOOKUP(BO$3,Conversions!$B$12:$E$34,4,0)))</f>
        <v>0</v>
      </c>
      <c r="BA132" s="333">
        <f>IF($F132="",0,IF($A132="Default",$I132*VLOOKUP($F132,Lists!$C$72:$R$232,COLUMNS(Lists!$C$69:P$69),0)*VLOOKUP(BP$3,Conversions!$B$12:$E$34,4,0)*HLOOKUP($E132,'Equipment Assumptions'!$C$30:$Q$31,2,0),$I132*VLOOKUP($F132,Lists!$C$72:$R$232,COLUMNS(Lists!$C$69:P$69),0)*VLOOKUP(BP$3,Conversions!$B$12:$E$34,4,0)))</f>
        <v>0</v>
      </c>
      <c r="BB132" s="333">
        <f>IF($F132="",0,IF($A132="Default",$I132*VLOOKUP($F132,Lists!$C$72:$R$232,COLUMNS(Lists!$C$69:Q$69),0)*VLOOKUP(BQ$3,Conversions!$B$12:$E$34,4,0)*HLOOKUP($E132,'Equipment Assumptions'!$C$30:$Q$31,2,0),$I132*VLOOKUP($F132,Lists!$C$72:$R$232,COLUMNS(Lists!$C$69:Q$69),0)*VLOOKUP(BQ$3,Conversions!$B$12:$E$34,4,0)))</f>
        <v>0</v>
      </c>
      <c r="BC132" s="333">
        <f>IF($F132="",0,IF($A132="Default",$I132*VLOOKUP($F132,Lists!$C$72:$R$232,COLUMNS(Lists!$C$69:R$69),0)*VLOOKUP(BR$3,Conversions!$B$12:$E$34,4,0)*HLOOKUP($E132,'Equipment Assumptions'!$C$30:$Q$31,2,0),$I132*VLOOKUP($F132,Lists!$C$72:$R$232,COLUMNS(Lists!$C$69:R$69),0)*VLOOKUP(BR$3,Conversions!$B$12:$E$34,4,0)))</f>
        <v>0</v>
      </c>
      <c r="BD132" s="333">
        <f>SUM(AP132:BC132)</f>
        <v>0</v>
      </c>
      <c r="BE132" s="330">
        <f t="shared" si="145"/>
        <v>0</v>
      </c>
      <c r="BF132" s="330">
        <f t="shared" si="146"/>
        <v>0</v>
      </c>
      <c r="BG132" s="330">
        <f t="shared" si="147"/>
        <v>0</v>
      </c>
      <c r="BH132" s="330">
        <f t="shared" si="148"/>
        <v>0</v>
      </c>
      <c r="BI132" s="330">
        <f t="shared" si="149"/>
        <v>0</v>
      </c>
      <c r="BJ132" s="330">
        <f t="shared" si="150"/>
        <v>0</v>
      </c>
      <c r="BK132" s="330">
        <f t="shared" si="151"/>
        <v>0</v>
      </c>
      <c r="BL132" s="330">
        <f t="shared" si="152"/>
        <v>0</v>
      </c>
      <c r="BM132" s="330">
        <f t="shared" si="153"/>
        <v>0</v>
      </c>
      <c r="BN132" s="330">
        <f t="shared" si="154"/>
        <v>0</v>
      </c>
      <c r="BO132" s="330">
        <f t="shared" si="155"/>
        <v>0</v>
      </c>
      <c r="BP132" s="330">
        <f t="shared" si="156"/>
        <v>0</v>
      </c>
      <c r="BQ132" s="330">
        <f t="shared" si="157"/>
        <v>0</v>
      </c>
      <c r="BR132" s="330">
        <f t="shared" si="158"/>
        <v>0</v>
      </c>
      <c r="BS132" s="330">
        <f t="shared" si="159"/>
        <v>0</v>
      </c>
      <c r="BT132" s="329">
        <f t="shared" si="142"/>
        <v>0</v>
      </c>
      <c r="BU132" s="329">
        <f t="shared" si="142"/>
        <v>0</v>
      </c>
      <c r="BV132" s="329">
        <f t="shared" si="142"/>
        <v>0</v>
      </c>
      <c r="BW132" s="329">
        <f t="shared" si="142"/>
        <v>0</v>
      </c>
      <c r="BX132" s="329">
        <f t="shared" si="142"/>
        <v>0</v>
      </c>
      <c r="BY132" s="329">
        <f t="shared" si="142"/>
        <v>0</v>
      </c>
      <c r="BZ132" s="329">
        <f t="shared" si="142"/>
        <v>0</v>
      </c>
      <c r="CA132" s="329">
        <f t="shared" si="142"/>
        <v>0</v>
      </c>
      <c r="CB132" s="329">
        <f t="shared" si="142"/>
        <v>0</v>
      </c>
      <c r="CC132" s="329">
        <f t="shared" si="142"/>
        <v>0</v>
      </c>
      <c r="CD132" s="329">
        <f t="shared" si="142"/>
        <v>0</v>
      </c>
      <c r="CE132" s="329">
        <f t="shared" si="142"/>
        <v>0</v>
      </c>
      <c r="CF132" s="329">
        <f t="shared" si="142"/>
        <v>0</v>
      </c>
      <c r="CG132" s="329">
        <f t="shared" si="142"/>
        <v>0</v>
      </c>
      <c r="CH132" s="329">
        <f t="shared" si="142"/>
        <v>0</v>
      </c>
      <c r="CI132" s="329">
        <f t="shared" si="142"/>
        <v>0</v>
      </c>
      <c r="CJ132" s="331">
        <f>SUM(BT132:CI132)</f>
        <v>0</v>
      </c>
      <c r="CK132" s="330">
        <f>BT132</f>
        <v>0</v>
      </c>
      <c r="CL132" s="330">
        <f>BU132+BV132+BW132</f>
        <v>0</v>
      </c>
      <c r="CM132" s="330">
        <f>BX132</f>
        <v>0</v>
      </c>
      <c r="CN132" s="330">
        <f>BY132+BZ132</f>
        <v>0</v>
      </c>
      <c r="CO132" s="330">
        <f t="shared" si="160"/>
        <v>0</v>
      </c>
      <c r="CP132" s="330">
        <f t="shared" si="160"/>
        <v>0</v>
      </c>
      <c r="CQ132" s="330">
        <f t="shared" si="94"/>
        <v>0</v>
      </c>
      <c r="CR132" s="330">
        <f>CE132+CF132</f>
        <v>0</v>
      </c>
      <c r="CS132" s="330">
        <f>CG132+CH132+CI132</f>
        <v>0</v>
      </c>
      <c r="CT132" s="330">
        <f>SUM(CK132:CS132)</f>
        <v>0</v>
      </c>
      <c r="CU132" s="330">
        <f t="shared" si="143"/>
        <v>0</v>
      </c>
      <c r="CV132" s="330">
        <f t="shared" si="143"/>
        <v>0</v>
      </c>
      <c r="CW132" s="330">
        <f t="shared" si="143"/>
        <v>0</v>
      </c>
      <c r="CX132" s="330">
        <f t="shared" si="143"/>
        <v>0</v>
      </c>
      <c r="CY132" s="330">
        <f t="shared" si="143"/>
        <v>0</v>
      </c>
      <c r="CZ132" s="330">
        <f t="shared" si="143"/>
        <v>0</v>
      </c>
      <c r="DA132" s="330">
        <f t="shared" si="143"/>
        <v>0</v>
      </c>
      <c r="DB132" s="330">
        <f t="shared" si="143"/>
        <v>0</v>
      </c>
      <c r="DC132" s="330">
        <f t="shared" si="143"/>
        <v>0</v>
      </c>
      <c r="DD132" s="330">
        <f t="shared" si="143"/>
        <v>0</v>
      </c>
      <c r="DE132" s="330">
        <f t="shared" si="144"/>
        <v>0</v>
      </c>
      <c r="DF132" s="330">
        <f t="shared" si="144"/>
        <v>0</v>
      </c>
      <c r="DG132" s="330">
        <f t="shared" si="144"/>
        <v>0</v>
      </c>
      <c r="DH132" s="330">
        <f t="shared" si="144"/>
        <v>0</v>
      </c>
      <c r="DI132" s="330">
        <f t="shared" si="144"/>
        <v>0</v>
      </c>
      <c r="DJ132" s="330">
        <f t="shared" si="144"/>
        <v>0</v>
      </c>
      <c r="DK132" s="330">
        <f t="shared" si="144"/>
        <v>0</v>
      </c>
      <c r="DL132" s="330">
        <f t="shared" si="144"/>
        <v>0</v>
      </c>
      <c r="DM132" s="330">
        <f t="shared" si="144"/>
        <v>0</v>
      </c>
      <c r="DN132" s="330">
        <f t="shared" si="144"/>
        <v>0</v>
      </c>
      <c r="DO132" s="330">
        <f t="shared" si="144"/>
        <v>0</v>
      </c>
      <c r="DP132" s="330">
        <f t="shared" si="140"/>
        <v>0</v>
      </c>
      <c r="DQ132" s="217"/>
      <c r="DR132" s="217"/>
      <c r="DS132" s="217"/>
      <c r="DT132" s="217"/>
    </row>
    <row r="133" spans="1:124" x14ac:dyDescent="0.3">
      <c r="A133" s="332" t="str">
        <f>IF(AND(F133&lt;&gt;"",OR('Simplified Screening 1'!G24=0,'Simplified Screening 1'!G24="I Don't Know")),"Default","")</f>
        <v/>
      </c>
      <c r="B133" s="221" t="s">
        <v>306</v>
      </c>
      <c r="C133" s="221" t="str">
        <f>IF('Simplified Screening 1'!C24=0,"",'Simplified Screening 1'!C24)</f>
        <v/>
      </c>
      <c r="D133" s="221" t="str">
        <f>IF('Simplified Screening 1'!D24=0,"",'Simplified Screening 1'!D24)</f>
        <v/>
      </c>
      <c r="E133" s="221" t="str">
        <f>IF('Simplified Screening 1'!E24=0,"",'Simplified Screening 1'!E24)</f>
        <v/>
      </c>
      <c r="F133" s="221" t="str">
        <f>'Simplified Screening 1'!R24</f>
        <v/>
      </c>
      <c r="G133" s="272">
        <f>'Simplified Screening 1'!H24*'Simplified Screening 1'!L24*Conversions!$C$4</f>
        <v>0</v>
      </c>
      <c r="H133" s="272">
        <f>'Simplified Screening 1'!I24*'Simplified Screening 1'!M24*'Simplified Screening 1'!J24*Conversions!$C$4</f>
        <v>0</v>
      </c>
      <c r="I133" s="272">
        <f>'Simplified Screening 1'!K24*'Simplified Screening 1'!N24*(1-'Simplified Screening 1'!O24)*Conversions!$C$4</f>
        <v>0</v>
      </c>
      <c r="J133" s="325">
        <f>IF('Simplified Screening 1'!P24=0,0,'Simplified Screening 1'!P24)</f>
        <v>0</v>
      </c>
      <c r="K133" s="325">
        <f>IF(AND(OR('Simplified Screening 1'!G24=0,'Simplified Screening 1'!G24="I Don't Know"),F133&lt;&gt;""),J133*HLOOKUP(E133,'Equipment Assumptions'!$C$30:$Q$31,2,0),IF(F133="Non-HFC",0,J133))</f>
        <v>0</v>
      </c>
      <c r="L133" s="333">
        <f>IF($F133="",0,IF($A133="Default",$G133*VLOOKUP($F133,Lists!$C$72:$R$232,COLUMNS(Lists!$C$69:E$69),0)*VLOOKUP(BE$3,Conversions!$B$12:$E$34,4,0)*HLOOKUP($E133,'Equipment Assumptions'!$C$30:$Q$31,2,0),$G133*VLOOKUP($F133,Lists!$C$72:$R$232,COLUMNS(Lists!$C$69:E$69),0)*VLOOKUP(BE$3,Conversions!$B$12:$E$34,4,0)))</f>
        <v>0</v>
      </c>
      <c r="M133" s="333">
        <f>IF($F133="",0,IF($A133="Default",$G133*VLOOKUP($F133,Lists!$C$72:$R$232,COLUMNS(Lists!$C$69:F$69),0)*VLOOKUP(BF$3,Conversions!$B$12:$E$34,4,0)*HLOOKUP($E133,'Equipment Assumptions'!$C$30:$Q$31,2,0),$G133*VLOOKUP($F133,Lists!$C$72:$R$232,COLUMNS(Lists!$C$69:F$69),0)*VLOOKUP(BF$3,Conversions!$B$12:$E$34,4,0)))</f>
        <v>0</v>
      </c>
      <c r="N133" s="333">
        <f>IF($F133="",0,IF($A133="Default",$G133*VLOOKUP($F133,Lists!$C$72:$R$232,COLUMNS(Lists!$C$69:G$69),0)*VLOOKUP(BG$3,Conversions!$B$12:$E$34,4,0)*HLOOKUP($E133,'Equipment Assumptions'!$C$30:$Q$31,2,0),$G133*VLOOKUP($F133,Lists!$C$72:$R$232,COLUMNS(Lists!$C$69:G$69),0)*VLOOKUP(BG$3,Conversions!$B$12:$E$34,4,0)))</f>
        <v>0</v>
      </c>
      <c r="O133" s="333">
        <f>IF($F133="",0,IF($A133="Default",$G133*VLOOKUP($F133,Lists!$C$72:$R$232,COLUMNS(Lists!$C$69:H$69),0)*VLOOKUP(BH$3,Conversions!$B$12:$E$34,4,0)*HLOOKUP($E133,'Equipment Assumptions'!$C$30:$Q$31,2,0),$G133*VLOOKUP($F133,Lists!$C$72:$R$232,COLUMNS(Lists!$C$69:H$69),0)*VLOOKUP(BH$3,Conversions!$B$12:$E$34,4,0)))</f>
        <v>0</v>
      </c>
      <c r="P133" s="333">
        <f>IF($F133="",0,IF($A133="Default",$G133*VLOOKUP($F133,Lists!$C$72:$R$232,COLUMNS(Lists!$C$69:I$69),0)*VLOOKUP(BI$3,Conversions!$B$12:$E$34,4,0)*HLOOKUP($E133,'Equipment Assumptions'!$C$30:$Q$31,2,0),$G133*VLOOKUP($F133,Lists!$C$72:$R$232,COLUMNS(Lists!$C$69:I$69),0)*VLOOKUP(BI$3,Conversions!$B$12:$E$34,4,0)))</f>
        <v>0</v>
      </c>
      <c r="Q133" s="333">
        <f>IF($F133="",0,IF($A133="Default",$G133*VLOOKUP($F133,Lists!$C$72:$R$232,COLUMNS(Lists!$C$69:J$69),0)*VLOOKUP(BJ$3,Conversions!$B$12:$E$34,4,0)*HLOOKUP($E133,'Equipment Assumptions'!$C$30:$Q$31,2,0),$G133*VLOOKUP($F133,Lists!$C$72:$R$232,COLUMNS(Lists!$C$69:J$69),0)*VLOOKUP(BJ$3,Conversions!$B$12:$E$34,4,0)))</f>
        <v>0</v>
      </c>
      <c r="R133" s="333">
        <f>IF($F133="",0,IF($A133="Default",$G133*VLOOKUP($F133,Lists!$C$72:$R$232,COLUMNS(Lists!$C$69:K$69),0)*VLOOKUP(BK$3,Conversions!$B$12:$E$34,4,0)*HLOOKUP($E133,'Equipment Assumptions'!$C$30:$Q$31,2,0),$G133*VLOOKUP($F133,Lists!$C$72:$R$232,COLUMNS(Lists!$C$69:K$69),0)*VLOOKUP(BK$3,Conversions!$B$12:$E$34,4,0)))</f>
        <v>0</v>
      </c>
      <c r="S133" s="333">
        <f>IF($F133="",0,IF($A133="Default",$G133*VLOOKUP($F133,Lists!$C$72:$R$232,COLUMNS(Lists!$C$69:L$69),0)*VLOOKUP(BL$3,Conversions!$B$12:$E$34,4,0)*HLOOKUP($E133,'Equipment Assumptions'!$C$30:$Q$31,2,0),$G133*VLOOKUP($F133,Lists!$C$72:$R$232,COLUMNS(Lists!$C$69:L$69),0)*VLOOKUP(BL$3,Conversions!$B$12:$E$34,4,0)))</f>
        <v>0</v>
      </c>
      <c r="T133" s="333">
        <f>IF($F133="",0,IF($A133="Default",$G133*VLOOKUP($F133,Lists!$C$72:$R$232,COLUMNS(Lists!$C$69:M$69),0)*VLOOKUP(BM$3,Conversions!$B$12:$E$34,4,0)*HLOOKUP($E133,'Equipment Assumptions'!$C$30:$Q$31,2,0),$G133*VLOOKUP($F133,Lists!$C$72:$R$232,COLUMNS(Lists!$C$69:M$69),0)*VLOOKUP(BM$3,Conversions!$B$12:$E$34,4,0)))</f>
        <v>0</v>
      </c>
      <c r="U133" s="333">
        <f>IF($F133="",0,IF($A133="Default",$G133*VLOOKUP($F133,Lists!$C$72:$R$232,COLUMNS(Lists!$C$69:N$69),0)*VLOOKUP(BN$3,Conversions!$B$12:$E$34,4,0)*HLOOKUP($E133,'Equipment Assumptions'!$C$30:$Q$31,2,0),$G133*VLOOKUP($F133,Lists!$C$72:$R$232,COLUMNS(Lists!$C$69:N$69),0)*VLOOKUP(BN$3,Conversions!$B$12:$E$34,4,0)))</f>
        <v>0</v>
      </c>
      <c r="V133" s="333">
        <f>IF($F133="",0,IF($A133="Default",$G133*VLOOKUP($F133,Lists!$C$72:$R$232,COLUMNS(Lists!$C$69:O$69),0)*VLOOKUP(BO$3,Conversions!$B$12:$E$34,4,0)*HLOOKUP($E133,'Equipment Assumptions'!$C$30:$Q$31,2,0),$G133*VLOOKUP($F133,Lists!$C$72:$R$232,COLUMNS(Lists!$C$69:O$69),0)*VLOOKUP(BO$3,Conversions!$B$12:$E$34,4,0)))</f>
        <v>0</v>
      </c>
      <c r="W133" s="333">
        <f>IF($F133="",0,IF($A133="Default",$G133*VLOOKUP($F133,Lists!$C$72:$R$232,COLUMNS(Lists!$C$69:P$69),0)*VLOOKUP(BP$3,Conversions!$B$12:$E$34,4,0)*HLOOKUP($E133,'Equipment Assumptions'!$C$30:$Q$31,2,0),$G133*VLOOKUP($F133,Lists!$C$72:$R$232,COLUMNS(Lists!$C$69:P$69),0)*VLOOKUP(BP$3,Conversions!$B$12:$E$34,4,0)))</f>
        <v>0</v>
      </c>
      <c r="X133" s="333">
        <f>IF($F133="",0,IF($A133="Default",$G133*VLOOKUP($F133,Lists!$C$72:$R$232,COLUMNS(Lists!$C$69:Q$69),0)*VLOOKUP(BQ$3,Conversions!$B$12:$E$34,4,0)*HLOOKUP($E133,'Equipment Assumptions'!$C$30:$Q$31,2,0),$G133*VLOOKUP($F133,Lists!$C$72:$R$232,COLUMNS(Lists!$C$69:Q$69),0)*VLOOKUP(BQ$3,Conversions!$B$12:$E$34,4,0)))</f>
        <v>0</v>
      </c>
      <c r="Y133" s="333">
        <f>IF($F133="",0,IF($A133="Default",$G133*VLOOKUP($F133,Lists!$C$72:$R$232,COLUMNS(Lists!$C$69:R$69),0)*VLOOKUP(BR$3,Conversions!$B$12:$E$34,4,0)*HLOOKUP($E133,'Equipment Assumptions'!$C$30:$Q$31,2,0),$G133*VLOOKUP($F133,Lists!$C$72:$R$232,COLUMNS(Lists!$C$69:R$69),0)*VLOOKUP(BR$3,Conversions!$B$12:$E$34,4,0)))</f>
        <v>0</v>
      </c>
      <c r="Z133" s="325">
        <f t="shared" ref="Z133:Z152" si="161">SUM(L133:Y133)</f>
        <v>0</v>
      </c>
      <c r="AA133" s="334">
        <f>IF($F133="",0,IF($A133="Default",$H133*VLOOKUP($F133,Lists!$C$72:$R$232,COLUMNS(Lists!$C$69:E$69),0)*VLOOKUP(BE$3,Conversions!$B$12:$E$34,4,0)*HLOOKUP($E133,'Equipment Assumptions'!$C$30:$Q$31,2,0),$H133*VLOOKUP($F133,Lists!$C$72:$R$232,COLUMNS(Lists!$C$69:E$69),0)*VLOOKUP(BE$3,Conversions!$B$12:$E$34,4,0)))</f>
        <v>0</v>
      </c>
      <c r="AB133" s="334">
        <f>IF($F133="",0,IF($A133="Default",$H133*VLOOKUP($F133,Lists!$C$72:$R$232,COLUMNS(Lists!$C$69:F$69),0)*VLOOKUP(BF$3,Conversions!$B$12:$E$34,4,0)*HLOOKUP($E133,'Equipment Assumptions'!$C$30:$Q$31,2,0),$H133*VLOOKUP($F133,Lists!$C$72:$R$232,COLUMNS(Lists!$C$69:F$69),0)*VLOOKUP(BF$3,Conversions!$B$12:$E$34,4,0)))</f>
        <v>0</v>
      </c>
      <c r="AC133" s="334">
        <f>IF($F133="",0,IF($A133="Default",$H133*VLOOKUP($F133,Lists!$C$72:$R$232,COLUMNS(Lists!$C$69:G$69),0)*VLOOKUP(BG$3,Conversions!$B$12:$E$34,4,0)*HLOOKUP($E133,'Equipment Assumptions'!$C$30:$Q$31,2,0),$H133*VLOOKUP($F133,Lists!$C$72:$R$232,COLUMNS(Lists!$C$69:G$69),0)*VLOOKUP(BG$3,Conversions!$B$12:$E$34,4,0)))</f>
        <v>0</v>
      </c>
      <c r="AD133" s="334">
        <f>IF($F133="",0,IF($A133="Default",$H133*VLOOKUP($F133,Lists!$C$72:$R$232,COLUMNS(Lists!$C$69:H$69),0)*VLOOKUP(BH$3,Conversions!$B$12:$E$34,4,0)*HLOOKUP($E133,'Equipment Assumptions'!$C$30:$Q$31,2,0),$H133*VLOOKUP($F133,Lists!$C$72:$R$232,COLUMNS(Lists!$C$69:H$69),0)*VLOOKUP(BH$3,Conversions!$B$12:$E$34,4,0)))</f>
        <v>0</v>
      </c>
      <c r="AE133" s="334">
        <f>IF($F133="",0,IF($A133="Default",$H133*VLOOKUP($F133,Lists!$C$72:$R$232,COLUMNS(Lists!$C$69:I$69),0)*VLOOKUP(BI$3,Conversions!$B$12:$E$34,4,0)*HLOOKUP($E133,'Equipment Assumptions'!$C$30:$Q$31,2,0),$H133*VLOOKUP($F133,Lists!$C$72:$R$232,COLUMNS(Lists!$C$69:I$69),0)*VLOOKUP(BI$3,Conversions!$B$12:$E$34,4,0)))</f>
        <v>0</v>
      </c>
      <c r="AF133" s="334">
        <f>IF($F133="",0,IF($A133="Default",$H133*VLOOKUP($F133,Lists!$C$72:$R$232,COLUMNS(Lists!$C$69:J$69),0)*VLOOKUP(BJ$3,Conversions!$B$12:$E$34,4,0)*HLOOKUP($E133,'Equipment Assumptions'!$C$30:$Q$31,2,0),$H133*VLOOKUP($F133,Lists!$C$72:$R$232,COLUMNS(Lists!$C$69:J$69),0)*VLOOKUP(BJ$3,Conversions!$B$12:$E$34,4,0)))</f>
        <v>0</v>
      </c>
      <c r="AG133" s="334">
        <f>IF($F133="",0,IF($A133="Default",$H133*VLOOKUP($F133,Lists!$C$72:$R$232,COLUMNS(Lists!$C$69:K$69),0)*VLOOKUP(BK$3,Conversions!$B$12:$E$34,4,0)*HLOOKUP($E133,'Equipment Assumptions'!$C$30:$Q$31,2,0),$H133*VLOOKUP($F133,Lists!$C$72:$R$232,COLUMNS(Lists!$C$69:K$69),0)*VLOOKUP(BK$3,Conversions!$B$12:$E$34,4,0)))</f>
        <v>0</v>
      </c>
      <c r="AH133" s="334">
        <f>IF($F133="",0,IF($A133="Default",$H133*VLOOKUP($F133,Lists!$C$72:$R$232,COLUMNS(Lists!$C$69:L$69),0)*VLOOKUP(BL$3,Conversions!$B$12:$E$34,4,0)*HLOOKUP($E133,'Equipment Assumptions'!$C$30:$Q$31,2,0),$H133*VLOOKUP($F133,Lists!$C$72:$R$232,COLUMNS(Lists!$C$69:L$69),0)*VLOOKUP(BL$3,Conversions!$B$12:$E$34,4,0)))</f>
        <v>0</v>
      </c>
      <c r="AI133" s="334">
        <f>IF($F133="",0,IF($A133="Default",$H133*VLOOKUP($F133,Lists!$C$72:$R$232,COLUMNS(Lists!$C$69:M$69),0)*VLOOKUP(BM$3,Conversions!$B$12:$E$34,4,0)*HLOOKUP($E133,'Equipment Assumptions'!$C$30:$Q$31,2,0),$H133*VLOOKUP($F133,Lists!$C$72:$R$232,COLUMNS(Lists!$C$69:M$69),0)*VLOOKUP(BM$3,Conversions!$B$12:$E$34,4,0)))</f>
        <v>0</v>
      </c>
      <c r="AJ133" s="334">
        <f>IF($F133="",0,IF($A133="Default",$H133*VLOOKUP($F133,Lists!$C$72:$R$232,COLUMNS(Lists!$C$69:N$69),0)*VLOOKUP(BN$3,Conversions!$B$12:$E$34,4,0)*HLOOKUP($E133,'Equipment Assumptions'!$C$30:$Q$31,2,0),$H133*VLOOKUP($F133,Lists!$C$72:$R$232,COLUMNS(Lists!$C$69:N$69),0)*VLOOKUP(BN$3,Conversions!$B$12:$E$34,4,0)))</f>
        <v>0</v>
      </c>
      <c r="AK133" s="334">
        <f>IF($F133="",0,IF($A133="Default",$H133*VLOOKUP($F133,Lists!$C$72:$R$232,COLUMNS(Lists!$C$69:O$69),0)*VLOOKUP(BO$3,Conversions!$B$12:$E$34,4,0)*HLOOKUP($E133,'Equipment Assumptions'!$C$30:$Q$31,2,0),$H133*VLOOKUP($F133,Lists!$C$72:$R$232,COLUMNS(Lists!$C$69:O$69),0)*VLOOKUP(BO$3,Conversions!$B$12:$E$34,4,0)))</f>
        <v>0</v>
      </c>
      <c r="AL133" s="334">
        <f>IF($F133="",0,IF($A133="Default",$H133*VLOOKUP($F133,Lists!$C$72:$R$232,COLUMNS(Lists!$C$69:P$69),0)*VLOOKUP(BP$3,Conversions!$B$12:$E$34,4,0)*HLOOKUP($E133,'Equipment Assumptions'!$C$30:$Q$31,2,0),$H133*VLOOKUP($F133,Lists!$C$72:$R$232,COLUMNS(Lists!$C$69:P$69),0)*VLOOKUP(BP$3,Conversions!$B$12:$E$34,4,0)))</f>
        <v>0</v>
      </c>
      <c r="AM133" s="334">
        <f>IF($F133="",0,IF($A133="Default",$H133*VLOOKUP($F133,Lists!$C$72:$R$232,COLUMNS(Lists!$C$69:Q$69),0)*VLOOKUP(BQ$3,Conversions!$B$12:$E$34,4,0)*HLOOKUP($E133,'Equipment Assumptions'!$C$30:$Q$31,2,0),$H133*VLOOKUP($F133,Lists!$C$72:$R$232,COLUMNS(Lists!$C$69:Q$69),0)*VLOOKUP(BQ$3,Conversions!$B$12:$E$34,4,0)))</f>
        <v>0</v>
      </c>
      <c r="AN133" s="334">
        <f>IF($F133="",0,IF($A133="Default",$H133*VLOOKUP($F133,Lists!$C$72:$R$232,COLUMNS(Lists!$C$69:R$69),0)*VLOOKUP(BR$3,Conversions!$B$12:$E$34,4,0)*HLOOKUP($E133,'Equipment Assumptions'!$C$30:$Q$31,2,0),$H133*VLOOKUP($F133,Lists!$C$72:$R$232,COLUMNS(Lists!$C$69:R$69),0)*VLOOKUP(BR$3,Conversions!$B$12:$E$34,4,0)))</f>
        <v>0</v>
      </c>
      <c r="AO133" s="330">
        <f t="shared" ref="AO133:AO152" si="162">SUM(AA133:AN133)</f>
        <v>0</v>
      </c>
      <c r="AP133" s="333">
        <f>IF($F133="",0,IF($A133="Default",$I133*VLOOKUP($F133,Lists!$C$72:$R$232,COLUMNS(Lists!$C$69:E$69),0)*VLOOKUP(BE$3,Conversions!$B$12:$E$34,4,0)*HLOOKUP($E133,'Equipment Assumptions'!$C$30:$Q$31,2,0),$I133*VLOOKUP($F133,Lists!$C$72:$R$232,COLUMNS(Lists!$C$69:E$69),0)*VLOOKUP(BE$3,Conversions!$B$12:$E$34,4,0)))</f>
        <v>0</v>
      </c>
      <c r="AQ133" s="333">
        <f>IF($F133="",0,IF($A133="Default",$I133*VLOOKUP($F133,Lists!$C$72:$R$232,COLUMNS(Lists!$C$69:F$69),0)*VLOOKUP(BF$3,Conversions!$B$12:$E$34,4,0)*HLOOKUP($E133,'Equipment Assumptions'!$C$30:$Q$31,2,0),$I133*VLOOKUP($F133,Lists!$C$72:$R$232,COLUMNS(Lists!$C$69:F$69),0)*VLOOKUP(BF$3,Conversions!$B$12:$E$34,4,0)))</f>
        <v>0</v>
      </c>
      <c r="AR133" s="333">
        <f>IF($F133="",0,IF($A133="Default",$I133*VLOOKUP($F133,Lists!$C$72:$R$232,COLUMNS(Lists!$C$69:G$69),0)*VLOOKUP(BG$3,Conversions!$B$12:$E$34,4,0)*HLOOKUP($E133,'Equipment Assumptions'!$C$30:$Q$31,2,0),$I133*VLOOKUP($F133,Lists!$C$72:$R$232,COLUMNS(Lists!$C$69:G$69),0)*VLOOKUP(BG$3,Conversions!$B$12:$E$34,4,0)))</f>
        <v>0</v>
      </c>
      <c r="AS133" s="333">
        <f>IF($F133="",0,IF($A133="Default",$I133*VLOOKUP($F133,Lists!$C$72:$R$232,COLUMNS(Lists!$C$69:H$69),0)*VLOOKUP(BH$3,Conversions!$B$12:$E$34,4,0)*HLOOKUP($E133,'Equipment Assumptions'!$C$30:$Q$31,2,0),$I133*VLOOKUP($F133,Lists!$C$72:$R$232,COLUMNS(Lists!$C$69:H$69),0)*VLOOKUP(BH$3,Conversions!$B$12:$E$34,4,0)))</f>
        <v>0</v>
      </c>
      <c r="AT133" s="333">
        <f>IF($F133="",0,IF($A133="Default",$I133*VLOOKUP($F133,Lists!$C$72:$R$232,COLUMNS(Lists!$C$69:I$69),0)*VLOOKUP(BI$3,Conversions!$B$12:$E$34,4,0)*HLOOKUP($E133,'Equipment Assumptions'!$C$30:$Q$31,2,0),$I133*VLOOKUP($F133,Lists!$C$72:$R$232,COLUMNS(Lists!$C$69:I$69),0)*VLOOKUP(BI$3,Conversions!$B$12:$E$34,4,0)))</f>
        <v>0</v>
      </c>
      <c r="AU133" s="333">
        <f>IF($F133="",0,IF($A133="Default",$I133*VLOOKUP($F133,Lists!$C$72:$R$232,COLUMNS(Lists!$C$69:J$69),0)*VLOOKUP(BJ$3,Conversions!$B$12:$E$34,4,0)*HLOOKUP($E133,'Equipment Assumptions'!$C$30:$Q$31,2,0),$I133*VLOOKUP($F133,Lists!$C$72:$R$232,COLUMNS(Lists!$C$69:J$69),0)*VLOOKUP(BJ$3,Conversions!$B$12:$E$34,4,0)))</f>
        <v>0</v>
      </c>
      <c r="AV133" s="333">
        <f>IF($F133="",0,IF($A133="Default",$I133*VLOOKUP($F133,Lists!$C$72:$R$232,COLUMNS(Lists!$C$69:K$69),0)*VLOOKUP(BK$3,Conversions!$B$12:$E$34,4,0)*HLOOKUP($E133,'Equipment Assumptions'!$C$30:$Q$31,2,0),$I133*VLOOKUP($F133,Lists!$C$72:$R$232,COLUMNS(Lists!$C$69:K$69),0)*VLOOKUP(BK$3,Conversions!$B$12:$E$34,4,0)))</f>
        <v>0</v>
      </c>
      <c r="AW133" s="333">
        <f>IF($F133="",0,IF($A133="Default",$I133*VLOOKUP($F133,Lists!$C$72:$R$232,COLUMNS(Lists!$C$69:L$69),0)*VLOOKUP(BL$3,Conversions!$B$12:$E$34,4,0)*HLOOKUP($E133,'Equipment Assumptions'!$C$30:$Q$31,2,0),$I133*VLOOKUP($F133,Lists!$C$72:$R$232,COLUMNS(Lists!$C$69:L$69),0)*VLOOKUP(BL$3,Conversions!$B$12:$E$34,4,0)))</f>
        <v>0</v>
      </c>
      <c r="AX133" s="333">
        <f>IF($F133="",0,IF($A133="Default",$I133*VLOOKUP($F133,Lists!$C$72:$R$232,COLUMNS(Lists!$C$69:M$69),0)*VLOOKUP(BM$3,Conversions!$B$12:$E$34,4,0)*HLOOKUP($E133,'Equipment Assumptions'!$C$30:$Q$31,2,0),$I133*VLOOKUP($F133,Lists!$C$72:$R$232,COLUMNS(Lists!$C$69:M$69),0)*VLOOKUP(BM$3,Conversions!$B$12:$E$34,4,0)))</f>
        <v>0</v>
      </c>
      <c r="AY133" s="333">
        <f>IF($F133="",0,IF($A133="Default",$I133*VLOOKUP($F133,Lists!$C$72:$R$232,COLUMNS(Lists!$C$69:N$69),0)*VLOOKUP(BN$3,Conversions!$B$12:$E$34,4,0)*HLOOKUP($E133,'Equipment Assumptions'!$C$30:$Q$31,2,0),$I133*VLOOKUP($F133,Lists!$C$72:$R$232,COLUMNS(Lists!$C$69:N$69),0)*VLOOKUP(BN$3,Conversions!$B$12:$E$34,4,0)))</f>
        <v>0</v>
      </c>
      <c r="AZ133" s="333">
        <f>IF($F133="",0,IF($A133="Default",$I133*VLOOKUP($F133,Lists!$C$72:$R$232,COLUMNS(Lists!$C$69:O$69),0)*VLOOKUP(BO$3,Conversions!$B$12:$E$34,4,0)*HLOOKUP($E133,'Equipment Assumptions'!$C$30:$Q$31,2,0),$I133*VLOOKUP($F133,Lists!$C$72:$R$232,COLUMNS(Lists!$C$69:O$69),0)*VLOOKUP(BO$3,Conversions!$B$12:$E$34,4,0)))</f>
        <v>0</v>
      </c>
      <c r="BA133" s="333">
        <f>IF($F133="",0,IF($A133="Default",$I133*VLOOKUP($F133,Lists!$C$72:$R$232,COLUMNS(Lists!$C$69:P$69),0)*VLOOKUP(BP$3,Conversions!$B$12:$E$34,4,0)*HLOOKUP($E133,'Equipment Assumptions'!$C$30:$Q$31,2,0),$I133*VLOOKUP($F133,Lists!$C$72:$R$232,COLUMNS(Lists!$C$69:P$69),0)*VLOOKUP(BP$3,Conversions!$B$12:$E$34,4,0)))</f>
        <v>0</v>
      </c>
      <c r="BB133" s="333">
        <f>IF($F133="",0,IF($A133="Default",$I133*VLOOKUP($F133,Lists!$C$72:$R$232,COLUMNS(Lists!$C$69:Q$69),0)*VLOOKUP(BQ$3,Conversions!$B$12:$E$34,4,0)*HLOOKUP($E133,'Equipment Assumptions'!$C$30:$Q$31,2,0),$I133*VLOOKUP($F133,Lists!$C$72:$R$232,COLUMNS(Lists!$C$69:Q$69),0)*VLOOKUP(BQ$3,Conversions!$B$12:$E$34,4,0)))</f>
        <v>0</v>
      </c>
      <c r="BC133" s="333">
        <f>IF($F133="",0,IF($A133="Default",$I133*VLOOKUP($F133,Lists!$C$72:$R$232,COLUMNS(Lists!$C$69:R$69),0)*VLOOKUP(BR$3,Conversions!$B$12:$E$34,4,0)*HLOOKUP($E133,'Equipment Assumptions'!$C$30:$Q$31,2,0),$I133*VLOOKUP($F133,Lists!$C$72:$R$232,COLUMNS(Lists!$C$69:R$69),0)*VLOOKUP(BR$3,Conversions!$B$12:$E$34,4,0)))</f>
        <v>0</v>
      </c>
      <c r="BD133" s="333">
        <f t="shared" ref="BD133:BD152" si="163">SUM(AP133:BC133)</f>
        <v>0</v>
      </c>
      <c r="BE133" s="330">
        <f t="shared" ref="BE133:BE152" si="164">L133+AA133+AP133</f>
        <v>0</v>
      </c>
      <c r="BF133" s="330">
        <f t="shared" ref="BF133:BF152" si="165">M133+AB133+AQ133</f>
        <v>0</v>
      </c>
      <c r="BG133" s="330">
        <f t="shared" ref="BG133:BG152" si="166">N133+AC133+AR133</f>
        <v>0</v>
      </c>
      <c r="BH133" s="330">
        <f t="shared" ref="BH133:BH152" si="167">O133+AD133+AS133</f>
        <v>0</v>
      </c>
      <c r="BI133" s="330">
        <f t="shared" ref="BI133:BI152" si="168">P133+AE133+AT133</f>
        <v>0</v>
      </c>
      <c r="BJ133" s="330">
        <f t="shared" ref="BJ133:BJ152" si="169">Q133+AF133+AU133</f>
        <v>0</v>
      </c>
      <c r="BK133" s="330">
        <f t="shared" ref="BK133:BK152" si="170">R133+AG133+AV133</f>
        <v>0</v>
      </c>
      <c r="BL133" s="330">
        <f t="shared" ref="BL133:BL152" si="171">S133+AH133+AW133</f>
        <v>0</v>
      </c>
      <c r="BM133" s="330">
        <f t="shared" ref="BM133:BM152" si="172">T133+AI133+AX133</f>
        <v>0</v>
      </c>
      <c r="BN133" s="330">
        <f t="shared" ref="BN133:BN152" si="173">U133+AJ133+AY133</f>
        <v>0</v>
      </c>
      <c r="BO133" s="330">
        <f t="shared" ref="BO133:BO152" si="174">V133+AK133+AZ133</f>
        <v>0</v>
      </c>
      <c r="BP133" s="330">
        <f t="shared" ref="BP133:BP152" si="175">W133+AL133+BA133</f>
        <v>0</v>
      </c>
      <c r="BQ133" s="330">
        <f t="shared" ref="BQ133:BQ152" si="176">X133+AM133+BB133</f>
        <v>0</v>
      </c>
      <c r="BR133" s="330">
        <f t="shared" ref="BR133:BR152" si="177">Y133+AN133+BC133</f>
        <v>0</v>
      </c>
      <c r="BS133" s="330">
        <f t="shared" ref="BS133:BS152" si="178">Z133+AO133+BD133</f>
        <v>0</v>
      </c>
      <c r="BT133" s="329">
        <f t="shared" si="142"/>
        <v>0</v>
      </c>
      <c r="BU133" s="329">
        <f t="shared" si="142"/>
        <v>0</v>
      </c>
      <c r="BV133" s="329">
        <f t="shared" si="142"/>
        <v>0</v>
      </c>
      <c r="BW133" s="329">
        <f t="shared" si="142"/>
        <v>0</v>
      </c>
      <c r="BX133" s="329">
        <f t="shared" si="142"/>
        <v>0</v>
      </c>
      <c r="BY133" s="329">
        <f t="shared" si="142"/>
        <v>0</v>
      </c>
      <c r="BZ133" s="329">
        <f t="shared" si="142"/>
        <v>0</v>
      </c>
      <c r="CA133" s="329">
        <f t="shared" si="142"/>
        <v>0</v>
      </c>
      <c r="CB133" s="329">
        <f t="shared" si="142"/>
        <v>0</v>
      </c>
      <c r="CC133" s="329">
        <f t="shared" si="142"/>
        <v>0</v>
      </c>
      <c r="CD133" s="329">
        <f t="shared" si="142"/>
        <v>0</v>
      </c>
      <c r="CE133" s="329">
        <f t="shared" si="142"/>
        <v>0</v>
      </c>
      <c r="CF133" s="329">
        <f t="shared" si="142"/>
        <v>0</v>
      </c>
      <c r="CG133" s="329">
        <f t="shared" si="142"/>
        <v>0</v>
      </c>
      <c r="CH133" s="329">
        <f t="shared" si="142"/>
        <v>0</v>
      </c>
      <c r="CI133" s="329">
        <f t="shared" si="142"/>
        <v>0</v>
      </c>
      <c r="CJ133" s="331">
        <f t="shared" ref="CJ133:CJ152" si="179">SUM(BT133:CI133)</f>
        <v>0</v>
      </c>
      <c r="CK133" s="330">
        <f t="shared" ref="CK133:CK152" si="180">BT133</f>
        <v>0</v>
      </c>
      <c r="CL133" s="330">
        <f t="shared" ref="CL133:CL152" si="181">BU133+BV133+BW133</f>
        <v>0</v>
      </c>
      <c r="CM133" s="330">
        <f t="shared" ref="CM133:CM152" si="182">BX133</f>
        <v>0</v>
      </c>
      <c r="CN133" s="330">
        <f t="shared" ref="CN133:CN152" si="183">BY133+BZ133</f>
        <v>0</v>
      </c>
      <c r="CO133" s="330">
        <f t="shared" ref="CO133:CO152" si="184">CA133</f>
        <v>0</v>
      </c>
      <c r="CP133" s="330">
        <f t="shared" ref="CP133:CP152" si="185">CB133</f>
        <v>0</v>
      </c>
      <c r="CQ133" s="330">
        <f t="shared" ref="CQ133:CQ196" si="186">CC133+CD133</f>
        <v>0</v>
      </c>
      <c r="CR133" s="330">
        <f t="shared" ref="CR133:CR152" si="187">CE133+CF133</f>
        <v>0</v>
      </c>
      <c r="CS133" s="330">
        <f t="shared" ref="CS133:CS152" si="188">CG133+CH133+CI133</f>
        <v>0</v>
      </c>
      <c r="CT133" s="330">
        <f t="shared" ref="CT133:CT152" si="189">SUM(CK133:CS133)</f>
        <v>0</v>
      </c>
      <c r="CU133" s="330">
        <f t="shared" si="143"/>
        <v>0</v>
      </c>
      <c r="CV133" s="330">
        <f t="shared" si="143"/>
        <v>0</v>
      </c>
      <c r="CW133" s="330">
        <f t="shared" si="143"/>
        <v>0</v>
      </c>
      <c r="CX133" s="330">
        <f t="shared" si="143"/>
        <v>0</v>
      </c>
      <c r="CY133" s="330">
        <f t="shared" si="143"/>
        <v>0</v>
      </c>
      <c r="CZ133" s="330">
        <f t="shared" si="143"/>
        <v>0</v>
      </c>
      <c r="DA133" s="330">
        <f t="shared" si="143"/>
        <v>0</v>
      </c>
      <c r="DB133" s="330">
        <f t="shared" si="143"/>
        <v>0</v>
      </c>
      <c r="DC133" s="330">
        <f t="shared" si="143"/>
        <v>0</v>
      </c>
      <c r="DD133" s="330">
        <f t="shared" si="143"/>
        <v>0</v>
      </c>
      <c r="DE133" s="330">
        <f t="shared" si="144"/>
        <v>0</v>
      </c>
      <c r="DF133" s="330">
        <f t="shared" si="144"/>
        <v>0</v>
      </c>
      <c r="DG133" s="330">
        <f t="shared" si="144"/>
        <v>0</v>
      </c>
      <c r="DH133" s="330">
        <f t="shared" si="144"/>
        <v>0</v>
      </c>
      <c r="DI133" s="330">
        <f t="shared" si="144"/>
        <v>0</v>
      </c>
      <c r="DJ133" s="330">
        <f t="shared" si="144"/>
        <v>0</v>
      </c>
      <c r="DK133" s="330">
        <f t="shared" si="144"/>
        <v>0</v>
      </c>
      <c r="DL133" s="330">
        <f t="shared" si="144"/>
        <v>0</v>
      </c>
      <c r="DM133" s="330">
        <f t="shared" si="144"/>
        <v>0</v>
      </c>
      <c r="DN133" s="330">
        <f t="shared" si="144"/>
        <v>0</v>
      </c>
      <c r="DO133" s="330">
        <f t="shared" si="144"/>
        <v>0</v>
      </c>
      <c r="DP133" s="330">
        <f t="shared" ref="DP133:DP152" si="190">BS133</f>
        <v>0</v>
      </c>
      <c r="DQ133" s="217"/>
      <c r="DR133" s="217"/>
      <c r="DS133" s="217"/>
      <c r="DT133" s="217"/>
    </row>
    <row r="134" spans="1:124" x14ac:dyDescent="0.3">
      <c r="A134" s="332" t="str">
        <f>IF(AND(F134&lt;&gt;"",OR('Simplified Screening 1'!G25=0,'Simplified Screening 1'!G25="I Don't Know")),"Default","")</f>
        <v/>
      </c>
      <c r="B134" s="221" t="s">
        <v>306</v>
      </c>
      <c r="C134" s="221" t="str">
        <f>IF('Simplified Screening 1'!C25=0,"",'Simplified Screening 1'!C25)</f>
        <v/>
      </c>
      <c r="D134" s="221" t="str">
        <f>IF('Simplified Screening 1'!D25=0,"",'Simplified Screening 1'!D25)</f>
        <v/>
      </c>
      <c r="E134" s="221" t="str">
        <f>IF('Simplified Screening 1'!E25=0,"",'Simplified Screening 1'!E25)</f>
        <v/>
      </c>
      <c r="F134" s="221" t="str">
        <f>'Simplified Screening 1'!R25</f>
        <v/>
      </c>
      <c r="G134" s="272">
        <f>'Simplified Screening 1'!H25*'Simplified Screening 1'!L25*Conversions!$C$4</f>
        <v>0</v>
      </c>
      <c r="H134" s="272">
        <f>'Simplified Screening 1'!I25*'Simplified Screening 1'!M25*'Simplified Screening 1'!J25*Conversions!$C$4</f>
        <v>0</v>
      </c>
      <c r="I134" s="272">
        <f>'Simplified Screening 1'!K25*'Simplified Screening 1'!N25*(1-'Simplified Screening 1'!O25)*Conversions!$C$4</f>
        <v>0</v>
      </c>
      <c r="J134" s="325">
        <f>IF('Simplified Screening 1'!P25=0,0,'Simplified Screening 1'!P25)</f>
        <v>0</v>
      </c>
      <c r="K134" s="325">
        <f>IF(AND(OR('Simplified Screening 1'!G25=0,'Simplified Screening 1'!G25="I Don't Know"),F134&lt;&gt;""),J134*HLOOKUP(E134,'Equipment Assumptions'!$C$30:$Q$31,2,0),IF(F134="Non-HFC",0,J134))</f>
        <v>0</v>
      </c>
      <c r="L134" s="333">
        <f>IF($F134="",0,IF($A134="Default",$G134*VLOOKUP($F134,Lists!$C$72:$R$232,COLUMNS(Lists!$C$69:E$69),0)*VLOOKUP(BE$3,Conversions!$B$12:$E$34,4,0)*HLOOKUP($E134,'Equipment Assumptions'!$C$30:$Q$31,2,0),$G134*VLOOKUP($F134,Lists!$C$72:$R$232,COLUMNS(Lists!$C$69:E$69),0)*VLOOKUP(BE$3,Conversions!$B$12:$E$34,4,0)))</f>
        <v>0</v>
      </c>
      <c r="M134" s="333">
        <f>IF($F134="",0,IF($A134="Default",$G134*VLOOKUP($F134,Lists!$C$72:$R$232,COLUMNS(Lists!$C$69:F$69),0)*VLOOKUP(BF$3,Conversions!$B$12:$E$34,4,0)*HLOOKUP($E134,'Equipment Assumptions'!$C$30:$Q$31,2,0),$G134*VLOOKUP($F134,Lists!$C$72:$R$232,COLUMNS(Lists!$C$69:F$69),0)*VLOOKUP(BF$3,Conversions!$B$12:$E$34,4,0)))</f>
        <v>0</v>
      </c>
      <c r="N134" s="333">
        <f>IF($F134="",0,IF($A134="Default",$G134*VLOOKUP($F134,Lists!$C$72:$R$232,COLUMNS(Lists!$C$69:G$69),0)*VLOOKUP(BG$3,Conversions!$B$12:$E$34,4,0)*HLOOKUP($E134,'Equipment Assumptions'!$C$30:$Q$31,2,0),$G134*VLOOKUP($F134,Lists!$C$72:$R$232,COLUMNS(Lists!$C$69:G$69),0)*VLOOKUP(BG$3,Conversions!$B$12:$E$34,4,0)))</f>
        <v>0</v>
      </c>
      <c r="O134" s="333">
        <f>IF($F134="",0,IF($A134="Default",$G134*VLOOKUP($F134,Lists!$C$72:$R$232,COLUMNS(Lists!$C$69:H$69),0)*VLOOKUP(BH$3,Conversions!$B$12:$E$34,4,0)*HLOOKUP($E134,'Equipment Assumptions'!$C$30:$Q$31,2,0),$G134*VLOOKUP($F134,Lists!$C$72:$R$232,COLUMNS(Lists!$C$69:H$69),0)*VLOOKUP(BH$3,Conversions!$B$12:$E$34,4,0)))</f>
        <v>0</v>
      </c>
      <c r="P134" s="333">
        <f>IF($F134="",0,IF($A134="Default",$G134*VLOOKUP($F134,Lists!$C$72:$R$232,COLUMNS(Lists!$C$69:I$69),0)*VLOOKUP(BI$3,Conversions!$B$12:$E$34,4,0)*HLOOKUP($E134,'Equipment Assumptions'!$C$30:$Q$31,2,0),$G134*VLOOKUP($F134,Lists!$C$72:$R$232,COLUMNS(Lists!$C$69:I$69),0)*VLOOKUP(BI$3,Conversions!$B$12:$E$34,4,0)))</f>
        <v>0</v>
      </c>
      <c r="Q134" s="333">
        <f>IF($F134="",0,IF($A134="Default",$G134*VLOOKUP($F134,Lists!$C$72:$R$232,COLUMNS(Lists!$C$69:J$69),0)*VLOOKUP(BJ$3,Conversions!$B$12:$E$34,4,0)*HLOOKUP($E134,'Equipment Assumptions'!$C$30:$Q$31,2,0),$G134*VLOOKUP($F134,Lists!$C$72:$R$232,COLUMNS(Lists!$C$69:J$69),0)*VLOOKUP(BJ$3,Conversions!$B$12:$E$34,4,0)))</f>
        <v>0</v>
      </c>
      <c r="R134" s="333">
        <f>IF($F134="",0,IF($A134="Default",$G134*VLOOKUP($F134,Lists!$C$72:$R$232,COLUMNS(Lists!$C$69:K$69),0)*VLOOKUP(BK$3,Conversions!$B$12:$E$34,4,0)*HLOOKUP($E134,'Equipment Assumptions'!$C$30:$Q$31,2,0),$G134*VLOOKUP($F134,Lists!$C$72:$R$232,COLUMNS(Lists!$C$69:K$69),0)*VLOOKUP(BK$3,Conversions!$B$12:$E$34,4,0)))</f>
        <v>0</v>
      </c>
      <c r="S134" s="333">
        <f>IF($F134="",0,IF($A134="Default",$G134*VLOOKUP($F134,Lists!$C$72:$R$232,COLUMNS(Lists!$C$69:L$69),0)*VLOOKUP(BL$3,Conversions!$B$12:$E$34,4,0)*HLOOKUP($E134,'Equipment Assumptions'!$C$30:$Q$31,2,0),$G134*VLOOKUP($F134,Lists!$C$72:$R$232,COLUMNS(Lists!$C$69:L$69),0)*VLOOKUP(BL$3,Conversions!$B$12:$E$34,4,0)))</f>
        <v>0</v>
      </c>
      <c r="T134" s="333">
        <f>IF($F134="",0,IF($A134="Default",$G134*VLOOKUP($F134,Lists!$C$72:$R$232,COLUMNS(Lists!$C$69:M$69),0)*VLOOKUP(BM$3,Conversions!$B$12:$E$34,4,0)*HLOOKUP($E134,'Equipment Assumptions'!$C$30:$Q$31,2,0),$G134*VLOOKUP($F134,Lists!$C$72:$R$232,COLUMNS(Lists!$C$69:M$69),0)*VLOOKUP(BM$3,Conversions!$B$12:$E$34,4,0)))</f>
        <v>0</v>
      </c>
      <c r="U134" s="333">
        <f>IF($F134="",0,IF($A134="Default",$G134*VLOOKUP($F134,Lists!$C$72:$R$232,COLUMNS(Lists!$C$69:N$69),0)*VLOOKUP(BN$3,Conversions!$B$12:$E$34,4,0)*HLOOKUP($E134,'Equipment Assumptions'!$C$30:$Q$31,2,0),$G134*VLOOKUP($F134,Lists!$C$72:$R$232,COLUMNS(Lists!$C$69:N$69),0)*VLOOKUP(BN$3,Conversions!$B$12:$E$34,4,0)))</f>
        <v>0</v>
      </c>
      <c r="V134" s="333">
        <f>IF($F134="",0,IF($A134="Default",$G134*VLOOKUP($F134,Lists!$C$72:$R$232,COLUMNS(Lists!$C$69:O$69),0)*VLOOKUP(BO$3,Conversions!$B$12:$E$34,4,0)*HLOOKUP($E134,'Equipment Assumptions'!$C$30:$Q$31,2,0),$G134*VLOOKUP($F134,Lists!$C$72:$R$232,COLUMNS(Lists!$C$69:O$69),0)*VLOOKUP(BO$3,Conversions!$B$12:$E$34,4,0)))</f>
        <v>0</v>
      </c>
      <c r="W134" s="333">
        <f>IF($F134="",0,IF($A134="Default",$G134*VLOOKUP($F134,Lists!$C$72:$R$232,COLUMNS(Lists!$C$69:P$69),0)*VLOOKUP(BP$3,Conversions!$B$12:$E$34,4,0)*HLOOKUP($E134,'Equipment Assumptions'!$C$30:$Q$31,2,0),$G134*VLOOKUP($F134,Lists!$C$72:$R$232,COLUMNS(Lists!$C$69:P$69),0)*VLOOKUP(BP$3,Conversions!$B$12:$E$34,4,0)))</f>
        <v>0</v>
      </c>
      <c r="X134" s="333">
        <f>IF($F134="",0,IF($A134="Default",$G134*VLOOKUP($F134,Lists!$C$72:$R$232,COLUMNS(Lists!$C$69:Q$69),0)*VLOOKUP(BQ$3,Conversions!$B$12:$E$34,4,0)*HLOOKUP($E134,'Equipment Assumptions'!$C$30:$Q$31,2,0),$G134*VLOOKUP($F134,Lists!$C$72:$R$232,COLUMNS(Lists!$C$69:Q$69),0)*VLOOKUP(BQ$3,Conversions!$B$12:$E$34,4,0)))</f>
        <v>0</v>
      </c>
      <c r="Y134" s="333">
        <f>IF($F134="",0,IF($A134="Default",$G134*VLOOKUP($F134,Lists!$C$72:$R$232,COLUMNS(Lists!$C$69:R$69),0)*VLOOKUP(BR$3,Conversions!$B$12:$E$34,4,0)*HLOOKUP($E134,'Equipment Assumptions'!$C$30:$Q$31,2,0),$G134*VLOOKUP($F134,Lists!$C$72:$R$232,COLUMNS(Lists!$C$69:R$69),0)*VLOOKUP(BR$3,Conversions!$B$12:$E$34,4,0)))</f>
        <v>0</v>
      </c>
      <c r="Z134" s="325">
        <f t="shared" si="161"/>
        <v>0</v>
      </c>
      <c r="AA134" s="334">
        <f>IF($F134="",0,IF($A134="Default",$H134*VLOOKUP($F134,Lists!$C$72:$R$232,COLUMNS(Lists!$C$69:E$69),0)*VLOOKUP(BE$3,Conversions!$B$12:$E$34,4,0)*HLOOKUP($E134,'Equipment Assumptions'!$C$30:$Q$31,2,0),$H134*VLOOKUP($F134,Lists!$C$72:$R$232,COLUMNS(Lists!$C$69:E$69),0)*VLOOKUP(BE$3,Conversions!$B$12:$E$34,4,0)))</f>
        <v>0</v>
      </c>
      <c r="AB134" s="334">
        <f>IF($F134="",0,IF($A134="Default",$H134*VLOOKUP($F134,Lists!$C$72:$R$232,COLUMNS(Lists!$C$69:F$69),0)*VLOOKUP(BF$3,Conversions!$B$12:$E$34,4,0)*HLOOKUP($E134,'Equipment Assumptions'!$C$30:$Q$31,2,0),$H134*VLOOKUP($F134,Lists!$C$72:$R$232,COLUMNS(Lists!$C$69:F$69),0)*VLOOKUP(BF$3,Conversions!$B$12:$E$34,4,0)))</f>
        <v>0</v>
      </c>
      <c r="AC134" s="334">
        <f>IF($F134="",0,IF($A134="Default",$H134*VLOOKUP($F134,Lists!$C$72:$R$232,COLUMNS(Lists!$C$69:G$69),0)*VLOOKUP(BG$3,Conversions!$B$12:$E$34,4,0)*HLOOKUP($E134,'Equipment Assumptions'!$C$30:$Q$31,2,0),$H134*VLOOKUP($F134,Lists!$C$72:$R$232,COLUMNS(Lists!$C$69:G$69),0)*VLOOKUP(BG$3,Conversions!$B$12:$E$34,4,0)))</f>
        <v>0</v>
      </c>
      <c r="AD134" s="334">
        <f>IF($F134="",0,IF($A134="Default",$H134*VLOOKUP($F134,Lists!$C$72:$R$232,COLUMNS(Lists!$C$69:H$69),0)*VLOOKUP(BH$3,Conversions!$B$12:$E$34,4,0)*HLOOKUP($E134,'Equipment Assumptions'!$C$30:$Q$31,2,0),$H134*VLOOKUP($F134,Lists!$C$72:$R$232,COLUMNS(Lists!$C$69:H$69),0)*VLOOKUP(BH$3,Conversions!$B$12:$E$34,4,0)))</f>
        <v>0</v>
      </c>
      <c r="AE134" s="334">
        <f>IF($F134="",0,IF($A134="Default",$H134*VLOOKUP($F134,Lists!$C$72:$R$232,COLUMNS(Lists!$C$69:I$69),0)*VLOOKUP(BI$3,Conversions!$B$12:$E$34,4,0)*HLOOKUP($E134,'Equipment Assumptions'!$C$30:$Q$31,2,0),$H134*VLOOKUP($F134,Lists!$C$72:$R$232,COLUMNS(Lists!$C$69:I$69),0)*VLOOKUP(BI$3,Conversions!$B$12:$E$34,4,0)))</f>
        <v>0</v>
      </c>
      <c r="AF134" s="334">
        <f>IF($F134="",0,IF($A134="Default",$H134*VLOOKUP($F134,Lists!$C$72:$R$232,COLUMNS(Lists!$C$69:J$69),0)*VLOOKUP(BJ$3,Conversions!$B$12:$E$34,4,0)*HLOOKUP($E134,'Equipment Assumptions'!$C$30:$Q$31,2,0),$H134*VLOOKUP($F134,Lists!$C$72:$R$232,COLUMNS(Lists!$C$69:J$69),0)*VLOOKUP(BJ$3,Conversions!$B$12:$E$34,4,0)))</f>
        <v>0</v>
      </c>
      <c r="AG134" s="334">
        <f>IF($F134="",0,IF($A134="Default",$H134*VLOOKUP($F134,Lists!$C$72:$R$232,COLUMNS(Lists!$C$69:K$69),0)*VLOOKUP(BK$3,Conversions!$B$12:$E$34,4,0)*HLOOKUP($E134,'Equipment Assumptions'!$C$30:$Q$31,2,0),$H134*VLOOKUP($F134,Lists!$C$72:$R$232,COLUMNS(Lists!$C$69:K$69),0)*VLOOKUP(BK$3,Conversions!$B$12:$E$34,4,0)))</f>
        <v>0</v>
      </c>
      <c r="AH134" s="334">
        <f>IF($F134="",0,IF($A134="Default",$H134*VLOOKUP($F134,Lists!$C$72:$R$232,COLUMNS(Lists!$C$69:L$69),0)*VLOOKUP(BL$3,Conversions!$B$12:$E$34,4,0)*HLOOKUP($E134,'Equipment Assumptions'!$C$30:$Q$31,2,0),$H134*VLOOKUP($F134,Lists!$C$72:$R$232,COLUMNS(Lists!$C$69:L$69),0)*VLOOKUP(BL$3,Conversions!$B$12:$E$34,4,0)))</f>
        <v>0</v>
      </c>
      <c r="AI134" s="334">
        <f>IF($F134="",0,IF($A134="Default",$H134*VLOOKUP($F134,Lists!$C$72:$R$232,COLUMNS(Lists!$C$69:M$69),0)*VLOOKUP(BM$3,Conversions!$B$12:$E$34,4,0)*HLOOKUP($E134,'Equipment Assumptions'!$C$30:$Q$31,2,0),$H134*VLOOKUP($F134,Lists!$C$72:$R$232,COLUMNS(Lists!$C$69:M$69),0)*VLOOKUP(BM$3,Conversions!$B$12:$E$34,4,0)))</f>
        <v>0</v>
      </c>
      <c r="AJ134" s="334">
        <f>IF($F134="",0,IF($A134="Default",$H134*VLOOKUP($F134,Lists!$C$72:$R$232,COLUMNS(Lists!$C$69:N$69),0)*VLOOKUP(BN$3,Conversions!$B$12:$E$34,4,0)*HLOOKUP($E134,'Equipment Assumptions'!$C$30:$Q$31,2,0),$H134*VLOOKUP($F134,Lists!$C$72:$R$232,COLUMNS(Lists!$C$69:N$69),0)*VLOOKUP(BN$3,Conversions!$B$12:$E$34,4,0)))</f>
        <v>0</v>
      </c>
      <c r="AK134" s="334">
        <f>IF($F134="",0,IF($A134="Default",$H134*VLOOKUP($F134,Lists!$C$72:$R$232,COLUMNS(Lists!$C$69:O$69),0)*VLOOKUP(BO$3,Conversions!$B$12:$E$34,4,0)*HLOOKUP($E134,'Equipment Assumptions'!$C$30:$Q$31,2,0),$H134*VLOOKUP($F134,Lists!$C$72:$R$232,COLUMNS(Lists!$C$69:O$69),0)*VLOOKUP(BO$3,Conversions!$B$12:$E$34,4,0)))</f>
        <v>0</v>
      </c>
      <c r="AL134" s="334">
        <f>IF($F134="",0,IF($A134="Default",$H134*VLOOKUP($F134,Lists!$C$72:$R$232,COLUMNS(Lists!$C$69:P$69),0)*VLOOKUP(BP$3,Conversions!$B$12:$E$34,4,0)*HLOOKUP($E134,'Equipment Assumptions'!$C$30:$Q$31,2,0),$H134*VLOOKUP($F134,Lists!$C$72:$R$232,COLUMNS(Lists!$C$69:P$69),0)*VLOOKUP(BP$3,Conversions!$B$12:$E$34,4,0)))</f>
        <v>0</v>
      </c>
      <c r="AM134" s="334">
        <f>IF($F134="",0,IF($A134="Default",$H134*VLOOKUP($F134,Lists!$C$72:$R$232,COLUMNS(Lists!$C$69:Q$69),0)*VLOOKUP(BQ$3,Conversions!$B$12:$E$34,4,0)*HLOOKUP($E134,'Equipment Assumptions'!$C$30:$Q$31,2,0),$H134*VLOOKUP($F134,Lists!$C$72:$R$232,COLUMNS(Lists!$C$69:Q$69),0)*VLOOKUP(BQ$3,Conversions!$B$12:$E$34,4,0)))</f>
        <v>0</v>
      </c>
      <c r="AN134" s="334">
        <f>IF($F134="",0,IF($A134="Default",$H134*VLOOKUP($F134,Lists!$C$72:$R$232,COLUMNS(Lists!$C$69:R$69),0)*VLOOKUP(BR$3,Conversions!$B$12:$E$34,4,0)*HLOOKUP($E134,'Equipment Assumptions'!$C$30:$Q$31,2,0),$H134*VLOOKUP($F134,Lists!$C$72:$R$232,COLUMNS(Lists!$C$69:R$69),0)*VLOOKUP(BR$3,Conversions!$B$12:$E$34,4,0)))</f>
        <v>0</v>
      </c>
      <c r="AO134" s="330">
        <f t="shared" si="162"/>
        <v>0</v>
      </c>
      <c r="AP134" s="333">
        <f>IF($F134="",0,IF($A134="Default",$I134*VLOOKUP($F134,Lists!$C$72:$R$232,COLUMNS(Lists!$C$69:E$69),0)*VLOOKUP(BE$3,Conversions!$B$12:$E$34,4,0)*HLOOKUP($E134,'Equipment Assumptions'!$C$30:$Q$31,2,0),$I134*VLOOKUP($F134,Lists!$C$72:$R$232,COLUMNS(Lists!$C$69:E$69),0)*VLOOKUP(BE$3,Conversions!$B$12:$E$34,4,0)))</f>
        <v>0</v>
      </c>
      <c r="AQ134" s="333">
        <f>IF($F134="",0,IF($A134="Default",$I134*VLOOKUP($F134,Lists!$C$72:$R$232,COLUMNS(Lists!$C$69:F$69),0)*VLOOKUP(BF$3,Conversions!$B$12:$E$34,4,0)*HLOOKUP($E134,'Equipment Assumptions'!$C$30:$Q$31,2,0),$I134*VLOOKUP($F134,Lists!$C$72:$R$232,COLUMNS(Lists!$C$69:F$69),0)*VLOOKUP(BF$3,Conversions!$B$12:$E$34,4,0)))</f>
        <v>0</v>
      </c>
      <c r="AR134" s="333">
        <f>IF($F134="",0,IF($A134="Default",$I134*VLOOKUP($F134,Lists!$C$72:$R$232,COLUMNS(Lists!$C$69:G$69),0)*VLOOKUP(BG$3,Conversions!$B$12:$E$34,4,0)*HLOOKUP($E134,'Equipment Assumptions'!$C$30:$Q$31,2,0),$I134*VLOOKUP($F134,Lists!$C$72:$R$232,COLUMNS(Lists!$C$69:G$69),0)*VLOOKUP(BG$3,Conversions!$B$12:$E$34,4,0)))</f>
        <v>0</v>
      </c>
      <c r="AS134" s="333">
        <f>IF($F134="",0,IF($A134="Default",$I134*VLOOKUP($F134,Lists!$C$72:$R$232,COLUMNS(Lists!$C$69:H$69),0)*VLOOKUP(BH$3,Conversions!$B$12:$E$34,4,0)*HLOOKUP($E134,'Equipment Assumptions'!$C$30:$Q$31,2,0),$I134*VLOOKUP($F134,Lists!$C$72:$R$232,COLUMNS(Lists!$C$69:H$69),0)*VLOOKUP(BH$3,Conversions!$B$12:$E$34,4,0)))</f>
        <v>0</v>
      </c>
      <c r="AT134" s="333">
        <f>IF($F134="",0,IF($A134="Default",$I134*VLOOKUP($F134,Lists!$C$72:$R$232,COLUMNS(Lists!$C$69:I$69),0)*VLOOKUP(BI$3,Conversions!$B$12:$E$34,4,0)*HLOOKUP($E134,'Equipment Assumptions'!$C$30:$Q$31,2,0),$I134*VLOOKUP($F134,Lists!$C$72:$R$232,COLUMNS(Lists!$C$69:I$69),0)*VLOOKUP(BI$3,Conversions!$B$12:$E$34,4,0)))</f>
        <v>0</v>
      </c>
      <c r="AU134" s="333">
        <f>IF($F134="",0,IF($A134="Default",$I134*VLOOKUP($F134,Lists!$C$72:$R$232,COLUMNS(Lists!$C$69:J$69),0)*VLOOKUP(BJ$3,Conversions!$B$12:$E$34,4,0)*HLOOKUP($E134,'Equipment Assumptions'!$C$30:$Q$31,2,0),$I134*VLOOKUP($F134,Lists!$C$72:$R$232,COLUMNS(Lists!$C$69:J$69),0)*VLOOKUP(BJ$3,Conversions!$B$12:$E$34,4,0)))</f>
        <v>0</v>
      </c>
      <c r="AV134" s="333">
        <f>IF($F134="",0,IF($A134="Default",$I134*VLOOKUP($F134,Lists!$C$72:$R$232,COLUMNS(Lists!$C$69:K$69),0)*VLOOKUP(BK$3,Conversions!$B$12:$E$34,4,0)*HLOOKUP($E134,'Equipment Assumptions'!$C$30:$Q$31,2,0),$I134*VLOOKUP($F134,Lists!$C$72:$R$232,COLUMNS(Lists!$C$69:K$69),0)*VLOOKUP(BK$3,Conversions!$B$12:$E$34,4,0)))</f>
        <v>0</v>
      </c>
      <c r="AW134" s="333">
        <f>IF($F134="",0,IF($A134="Default",$I134*VLOOKUP($F134,Lists!$C$72:$R$232,COLUMNS(Lists!$C$69:L$69),0)*VLOOKUP(BL$3,Conversions!$B$12:$E$34,4,0)*HLOOKUP($E134,'Equipment Assumptions'!$C$30:$Q$31,2,0),$I134*VLOOKUP($F134,Lists!$C$72:$R$232,COLUMNS(Lists!$C$69:L$69),0)*VLOOKUP(BL$3,Conversions!$B$12:$E$34,4,0)))</f>
        <v>0</v>
      </c>
      <c r="AX134" s="333">
        <f>IF($F134="",0,IF($A134="Default",$I134*VLOOKUP($F134,Lists!$C$72:$R$232,COLUMNS(Lists!$C$69:M$69),0)*VLOOKUP(BM$3,Conversions!$B$12:$E$34,4,0)*HLOOKUP($E134,'Equipment Assumptions'!$C$30:$Q$31,2,0),$I134*VLOOKUP($F134,Lists!$C$72:$R$232,COLUMNS(Lists!$C$69:M$69),0)*VLOOKUP(BM$3,Conversions!$B$12:$E$34,4,0)))</f>
        <v>0</v>
      </c>
      <c r="AY134" s="333">
        <f>IF($F134="",0,IF($A134="Default",$I134*VLOOKUP($F134,Lists!$C$72:$R$232,COLUMNS(Lists!$C$69:N$69),0)*VLOOKUP(BN$3,Conversions!$B$12:$E$34,4,0)*HLOOKUP($E134,'Equipment Assumptions'!$C$30:$Q$31,2,0),$I134*VLOOKUP($F134,Lists!$C$72:$R$232,COLUMNS(Lists!$C$69:N$69),0)*VLOOKUP(BN$3,Conversions!$B$12:$E$34,4,0)))</f>
        <v>0</v>
      </c>
      <c r="AZ134" s="333">
        <f>IF($F134="",0,IF($A134="Default",$I134*VLOOKUP($F134,Lists!$C$72:$R$232,COLUMNS(Lists!$C$69:O$69),0)*VLOOKUP(BO$3,Conversions!$B$12:$E$34,4,0)*HLOOKUP($E134,'Equipment Assumptions'!$C$30:$Q$31,2,0),$I134*VLOOKUP($F134,Lists!$C$72:$R$232,COLUMNS(Lists!$C$69:O$69),0)*VLOOKUP(BO$3,Conversions!$B$12:$E$34,4,0)))</f>
        <v>0</v>
      </c>
      <c r="BA134" s="333">
        <f>IF($F134="",0,IF($A134="Default",$I134*VLOOKUP($F134,Lists!$C$72:$R$232,COLUMNS(Lists!$C$69:P$69),0)*VLOOKUP(BP$3,Conversions!$B$12:$E$34,4,0)*HLOOKUP($E134,'Equipment Assumptions'!$C$30:$Q$31,2,0),$I134*VLOOKUP($F134,Lists!$C$72:$R$232,COLUMNS(Lists!$C$69:P$69),0)*VLOOKUP(BP$3,Conversions!$B$12:$E$34,4,0)))</f>
        <v>0</v>
      </c>
      <c r="BB134" s="333">
        <f>IF($F134="",0,IF($A134="Default",$I134*VLOOKUP($F134,Lists!$C$72:$R$232,COLUMNS(Lists!$C$69:Q$69),0)*VLOOKUP(BQ$3,Conversions!$B$12:$E$34,4,0)*HLOOKUP($E134,'Equipment Assumptions'!$C$30:$Q$31,2,0),$I134*VLOOKUP($F134,Lists!$C$72:$R$232,COLUMNS(Lists!$C$69:Q$69),0)*VLOOKUP(BQ$3,Conversions!$B$12:$E$34,4,0)))</f>
        <v>0</v>
      </c>
      <c r="BC134" s="333">
        <f>IF($F134="",0,IF($A134="Default",$I134*VLOOKUP($F134,Lists!$C$72:$R$232,COLUMNS(Lists!$C$69:R$69),0)*VLOOKUP(BR$3,Conversions!$B$12:$E$34,4,0)*HLOOKUP($E134,'Equipment Assumptions'!$C$30:$Q$31,2,0),$I134*VLOOKUP($F134,Lists!$C$72:$R$232,COLUMNS(Lists!$C$69:R$69),0)*VLOOKUP(BR$3,Conversions!$B$12:$E$34,4,0)))</f>
        <v>0</v>
      </c>
      <c r="BD134" s="333">
        <f t="shared" si="163"/>
        <v>0</v>
      </c>
      <c r="BE134" s="330">
        <f t="shared" si="164"/>
        <v>0</v>
      </c>
      <c r="BF134" s="330">
        <f t="shared" si="165"/>
        <v>0</v>
      </c>
      <c r="BG134" s="330">
        <f t="shared" si="166"/>
        <v>0</v>
      </c>
      <c r="BH134" s="330">
        <f t="shared" si="167"/>
        <v>0</v>
      </c>
      <c r="BI134" s="330">
        <f t="shared" si="168"/>
        <v>0</v>
      </c>
      <c r="BJ134" s="330">
        <f t="shared" si="169"/>
        <v>0</v>
      </c>
      <c r="BK134" s="330">
        <f t="shared" si="170"/>
        <v>0</v>
      </c>
      <c r="BL134" s="330">
        <f t="shared" si="171"/>
        <v>0</v>
      </c>
      <c r="BM134" s="330">
        <f t="shared" si="172"/>
        <v>0</v>
      </c>
      <c r="BN134" s="330">
        <f t="shared" si="173"/>
        <v>0</v>
      </c>
      <c r="BO134" s="330">
        <f t="shared" si="174"/>
        <v>0</v>
      </c>
      <c r="BP134" s="330">
        <f t="shared" si="175"/>
        <v>0</v>
      </c>
      <c r="BQ134" s="330">
        <f t="shared" si="176"/>
        <v>0</v>
      </c>
      <c r="BR134" s="330">
        <f t="shared" si="177"/>
        <v>0</v>
      </c>
      <c r="BS134" s="330">
        <f t="shared" si="178"/>
        <v>0</v>
      </c>
      <c r="BT134" s="329">
        <f t="shared" ref="BT134:CI143" si="191">IF($E134="",0,IF($E134=BT$3,$BS134,0))</f>
        <v>0</v>
      </c>
      <c r="BU134" s="329">
        <f t="shared" si="191"/>
        <v>0</v>
      </c>
      <c r="BV134" s="329">
        <f t="shared" si="191"/>
        <v>0</v>
      </c>
      <c r="BW134" s="329">
        <f t="shared" si="191"/>
        <v>0</v>
      </c>
      <c r="BX134" s="329">
        <f t="shared" si="191"/>
        <v>0</v>
      </c>
      <c r="BY134" s="329">
        <f t="shared" si="191"/>
        <v>0</v>
      </c>
      <c r="BZ134" s="329">
        <f t="shared" si="191"/>
        <v>0</v>
      </c>
      <c r="CA134" s="329">
        <f t="shared" si="191"/>
        <v>0</v>
      </c>
      <c r="CB134" s="329">
        <f t="shared" si="191"/>
        <v>0</v>
      </c>
      <c r="CC134" s="329">
        <f t="shared" si="191"/>
        <v>0</v>
      </c>
      <c r="CD134" s="329">
        <f t="shared" si="191"/>
        <v>0</v>
      </c>
      <c r="CE134" s="329">
        <f t="shared" si="191"/>
        <v>0</v>
      </c>
      <c r="CF134" s="329">
        <f t="shared" si="191"/>
        <v>0</v>
      </c>
      <c r="CG134" s="329">
        <f t="shared" si="191"/>
        <v>0</v>
      </c>
      <c r="CH134" s="329">
        <f t="shared" si="191"/>
        <v>0</v>
      </c>
      <c r="CI134" s="329">
        <f t="shared" si="191"/>
        <v>0</v>
      </c>
      <c r="CJ134" s="331">
        <f t="shared" si="179"/>
        <v>0</v>
      </c>
      <c r="CK134" s="330">
        <f t="shared" si="180"/>
        <v>0</v>
      </c>
      <c r="CL134" s="330">
        <f t="shared" si="181"/>
        <v>0</v>
      </c>
      <c r="CM134" s="330">
        <f t="shared" si="182"/>
        <v>0</v>
      </c>
      <c r="CN134" s="330">
        <f t="shared" si="183"/>
        <v>0</v>
      </c>
      <c r="CO134" s="330">
        <f t="shared" si="184"/>
        <v>0</v>
      </c>
      <c r="CP134" s="330">
        <f t="shared" si="185"/>
        <v>0</v>
      </c>
      <c r="CQ134" s="330">
        <f t="shared" si="186"/>
        <v>0</v>
      </c>
      <c r="CR134" s="330">
        <f t="shared" si="187"/>
        <v>0</v>
      </c>
      <c r="CS134" s="330">
        <f t="shared" si="188"/>
        <v>0</v>
      </c>
      <c r="CT134" s="330">
        <f t="shared" si="189"/>
        <v>0</v>
      </c>
      <c r="CU134" s="330">
        <f t="shared" ref="CU134:DD143" si="192">IF($C134=CU$3,$BS134,0)</f>
        <v>0</v>
      </c>
      <c r="CV134" s="330">
        <f t="shared" si="192"/>
        <v>0</v>
      </c>
      <c r="CW134" s="330">
        <f t="shared" si="192"/>
        <v>0</v>
      </c>
      <c r="CX134" s="330">
        <f t="shared" si="192"/>
        <v>0</v>
      </c>
      <c r="CY134" s="330">
        <f t="shared" si="192"/>
        <v>0</v>
      </c>
      <c r="CZ134" s="330">
        <f t="shared" si="192"/>
        <v>0</v>
      </c>
      <c r="DA134" s="330">
        <f t="shared" si="192"/>
        <v>0</v>
      </c>
      <c r="DB134" s="330">
        <f t="shared" si="192"/>
        <v>0</v>
      </c>
      <c r="DC134" s="330">
        <f t="shared" si="192"/>
        <v>0</v>
      </c>
      <c r="DD134" s="330">
        <f t="shared" si="192"/>
        <v>0</v>
      </c>
      <c r="DE134" s="330">
        <f t="shared" ref="DE134:DO143" si="193">IF($C134=DE$3,$BS134,0)</f>
        <v>0</v>
      </c>
      <c r="DF134" s="330">
        <f t="shared" si="193"/>
        <v>0</v>
      </c>
      <c r="DG134" s="330">
        <f t="shared" si="193"/>
        <v>0</v>
      </c>
      <c r="DH134" s="330">
        <f t="shared" si="193"/>
        <v>0</v>
      </c>
      <c r="DI134" s="330">
        <f t="shared" si="193"/>
        <v>0</v>
      </c>
      <c r="DJ134" s="330">
        <f t="shared" si="193"/>
        <v>0</v>
      </c>
      <c r="DK134" s="330">
        <f t="shared" si="193"/>
        <v>0</v>
      </c>
      <c r="DL134" s="330">
        <f t="shared" si="193"/>
        <v>0</v>
      </c>
      <c r="DM134" s="330">
        <f t="shared" si="193"/>
        <v>0</v>
      </c>
      <c r="DN134" s="330">
        <f t="shared" si="193"/>
        <v>0</v>
      </c>
      <c r="DO134" s="330">
        <f t="shared" si="193"/>
        <v>0</v>
      </c>
      <c r="DP134" s="330">
        <f t="shared" si="190"/>
        <v>0</v>
      </c>
      <c r="DQ134" s="217"/>
      <c r="DR134" s="217"/>
      <c r="DS134" s="217"/>
      <c r="DT134" s="217"/>
    </row>
    <row r="135" spans="1:124" x14ac:dyDescent="0.3">
      <c r="A135" s="332" t="str">
        <f>IF(AND(F135&lt;&gt;"",OR('Simplified Screening 1'!G26=0,'Simplified Screening 1'!G26="I Don't Know")),"Default","")</f>
        <v/>
      </c>
      <c r="B135" s="221" t="s">
        <v>306</v>
      </c>
      <c r="C135" s="221" t="str">
        <f>IF('Simplified Screening 1'!C26=0,"",'Simplified Screening 1'!C26)</f>
        <v/>
      </c>
      <c r="D135" s="221" t="str">
        <f>IF('Simplified Screening 1'!D26=0,"",'Simplified Screening 1'!D26)</f>
        <v/>
      </c>
      <c r="E135" s="221" t="str">
        <f>IF('Simplified Screening 1'!E26=0,"",'Simplified Screening 1'!E26)</f>
        <v/>
      </c>
      <c r="F135" s="221" t="str">
        <f>'Simplified Screening 1'!R26</f>
        <v/>
      </c>
      <c r="G135" s="272">
        <f>'Simplified Screening 1'!H26*'Simplified Screening 1'!L26*Conversions!$C$4</f>
        <v>0</v>
      </c>
      <c r="H135" s="272">
        <f>'Simplified Screening 1'!I26*'Simplified Screening 1'!M26*'Simplified Screening 1'!J26*Conversions!$C$4</f>
        <v>0</v>
      </c>
      <c r="I135" s="272">
        <f>'Simplified Screening 1'!K26*'Simplified Screening 1'!N26*(1-'Simplified Screening 1'!O26)*Conversions!$C$4</f>
        <v>0</v>
      </c>
      <c r="J135" s="325">
        <f>IF('Simplified Screening 1'!P26=0,0,'Simplified Screening 1'!P26)</f>
        <v>0</v>
      </c>
      <c r="K135" s="325">
        <f>IF(AND(OR('Simplified Screening 1'!G26=0,'Simplified Screening 1'!G26="I Don't Know"),F135&lt;&gt;""),J135*HLOOKUP(E135,'Equipment Assumptions'!$C$30:$Q$31,2,0),IF(F135="Non-HFC",0,J135))</f>
        <v>0</v>
      </c>
      <c r="L135" s="333">
        <f>IF($F135="",0,IF($A135="Default",$G135*VLOOKUP($F135,Lists!$C$72:$R$232,COLUMNS(Lists!$C$69:E$69),0)*VLOOKUP(BE$3,Conversions!$B$12:$E$34,4,0)*HLOOKUP($E135,'Equipment Assumptions'!$C$30:$Q$31,2,0),$G135*VLOOKUP($F135,Lists!$C$72:$R$232,COLUMNS(Lists!$C$69:E$69),0)*VLOOKUP(BE$3,Conversions!$B$12:$E$34,4,0)))</f>
        <v>0</v>
      </c>
      <c r="M135" s="333">
        <f>IF($F135="",0,IF($A135="Default",$G135*VLOOKUP($F135,Lists!$C$72:$R$232,COLUMNS(Lists!$C$69:F$69),0)*VLOOKUP(BF$3,Conversions!$B$12:$E$34,4,0)*HLOOKUP($E135,'Equipment Assumptions'!$C$30:$Q$31,2,0),$G135*VLOOKUP($F135,Lists!$C$72:$R$232,COLUMNS(Lists!$C$69:F$69),0)*VLOOKUP(BF$3,Conversions!$B$12:$E$34,4,0)))</f>
        <v>0</v>
      </c>
      <c r="N135" s="333">
        <f>IF($F135="",0,IF($A135="Default",$G135*VLOOKUP($F135,Lists!$C$72:$R$232,COLUMNS(Lists!$C$69:G$69),0)*VLOOKUP(BG$3,Conversions!$B$12:$E$34,4,0)*HLOOKUP($E135,'Equipment Assumptions'!$C$30:$Q$31,2,0),$G135*VLOOKUP($F135,Lists!$C$72:$R$232,COLUMNS(Lists!$C$69:G$69),0)*VLOOKUP(BG$3,Conversions!$B$12:$E$34,4,0)))</f>
        <v>0</v>
      </c>
      <c r="O135" s="333">
        <f>IF($F135="",0,IF($A135="Default",$G135*VLOOKUP($F135,Lists!$C$72:$R$232,COLUMNS(Lists!$C$69:H$69),0)*VLOOKUP(BH$3,Conversions!$B$12:$E$34,4,0)*HLOOKUP($E135,'Equipment Assumptions'!$C$30:$Q$31,2,0),$G135*VLOOKUP($F135,Lists!$C$72:$R$232,COLUMNS(Lists!$C$69:H$69),0)*VLOOKUP(BH$3,Conversions!$B$12:$E$34,4,0)))</f>
        <v>0</v>
      </c>
      <c r="P135" s="333">
        <f>IF($F135="",0,IF($A135="Default",$G135*VLOOKUP($F135,Lists!$C$72:$R$232,COLUMNS(Lists!$C$69:I$69),0)*VLOOKUP(BI$3,Conversions!$B$12:$E$34,4,0)*HLOOKUP($E135,'Equipment Assumptions'!$C$30:$Q$31,2,0),$G135*VLOOKUP($F135,Lists!$C$72:$R$232,COLUMNS(Lists!$C$69:I$69),0)*VLOOKUP(BI$3,Conversions!$B$12:$E$34,4,0)))</f>
        <v>0</v>
      </c>
      <c r="Q135" s="333">
        <f>IF($F135="",0,IF($A135="Default",$G135*VLOOKUP($F135,Lists!$C$72:$R$232,COLUMNS(Lists!$C$69:J$69),0)*VLOOKUP(BJ$3,Conversions!$B$12:$E$34,4,0)*HLOOKUP($E135,'Equipment Assumptions'!$C$30:$Q$31,2,0),$G135*VLOOKUP($F135,Lists!$C$72:$R$232,COLUMNS(Lists!$C$69:J$69),0)*VLOOKUP(BJ$3,Conversions!$B$12:$E$34,4,0)))</f>
        <v>0</v>
      </c>
      <c r="R135" s="333">
        <f>IF($F135="",0,IF($A135="Default",$G135*VLOOKUP($F135,Lists!$C$72:$R$232,COLUMNS(Lists!$C$69:K$69),0)*VLOOKUP(BK$3,Conversions!$B$12:$E$34,4,0)*HLOOKUP($E135,'Equipment Assumptions'!$C$30:$Q$31,2,0),$G135*VLOOKUP($F135,Lists!$C$72:$R$232,COLUMNS(Lists!$C$69:K$69),0)*VLOOKUP(BK$3,Conversions!$B$12:$E$34,4,0)))</f>
        <v>0</v>
      </c>
      <c r="S135" s="333">
        <f>IF($F135="",0,IF($A135="Default",$G135*VLOOKUP($F135,Lists!$C$72:$R$232,COLUMNS(Lists!$C$69:L$69),0)*VLOOKUP(BL$3,Conversions!$B$12:$E$34,4,0)*HLOOKUP($E135,'Equipment Assumptions'!$C$30:$Q$31,2,0),$G135*VLOOKUP($F135,Lists!$C$72:$R$232,COLUMNS(Lists!$C$69:L$69),0)*VLOOKUP(BL$3,Conversions!$B$12:$E$34,4,0)))</f>
        <v>0</v>
      </c>
      <c r="T135" s="333">
        <f>IF($F135="",0,IF($A135="Default",$G135*VLOOKUP($F135,Lists!$C$72:$R$232,COLUMNS(Lists!$C$69:M$69),0)*VLOOKUP(BM$3,Conversions!$B$12:$E$34,4,0)*HLOOKUP($E135,'Equipment Assumptions'!$C$30:$Q$31,2,0),$G135*VLOOKUP($F135,Lists!$C$72:$R$232,COLUMNS(Lists!$C$69:M$69),0)*VLOOKUP(BM$3,Conversions!$B$12:$E$34,4,0)))</f>
        <v>0</v>
      </c>
      <c r="U135" s="333">
        <f>IF($F135="",0,IF($A135="Default",$G135*VLOOKUP($F135,Lists!$C$72:$R$232,COLUMNS(Lists!$C$69:N$69),0)*VLOOKUP(BN$3,Conversions!$B$12:$E$34,4,0)*HLOOKUP($E135,'Equipment Assumptions'!$C$30:$Q$31,2,0),$G135*VLOOKUP($F135,Lists!$C$72:$R$232,COLUMNS(Lists!$C$69:N$69),0)*VLOOKUP(BN$3,Conversions!$B$12:$E$34,4,0)))</f>
        <v>0</v>
      </c>
      <c r="V135" s="333">
        <f>IF($F135="",0,IF($A135="Default",$G135*VLOOKUP($F135,Lists!$C$72:$R$232,COLUMNS(Lists!$C$69:O$69),0)*VLOOKUP(BO$3,Conversions!$B$12:$E$34,4,0)*HLOOKUP($E135,'Equipment Assumptions'!$C$30:$Q$31,2,0),$G135*VLOOKUP($F135,Lists!$C$72:$R$232,COLUMNS(Lists!$C$69:O$69),0)*VLOOKUP(BO$3,Conversions!$B$12:$E$34,4,0)))</f>
        <v>0</v>
      </c>
      <c r="W135" s="333">
        <f>IF($F135="",0,IF($A135="Default",$G135*VLOOKUP($F135,Lists!$C$72:$R$232,COLUMNS(Lists!$C$69:P$69),0)*VLOOKUP(BP$3,Conversions!$B$12:$E$34,4,0)*HLOOKUP($E135,'Equipment Assumptions'!$C$30:$Q$31,2,0),$G135*VLOOKUP($F135,Lists!$C$72:$R$232,COLUMNS(Lists!$C$69:P$69),0)*VLOOKUP(BP$3,Conversions!$B$12:$E$34,4,0)))</f>
        <v>0</v>
      </c>
      <c r="X135" s="333">
        <f>IF($F135="",0,IF($A135="Default",$G135*VLOOKUP($F135,Lists!$C$72:$R$232,COLUMNS(Lists!$C$69:Q$69),0)*VLOOKUP(BQ$3,Conversions!$B$12:$E$34,4,0)*HLOOKUP($E135,'Equipment Assumptions'!$C$30:$Q$31,2,0),$G135*VLOOKUP($F135,Lists!$C$72:$R$232,COLUMNS(Lists!$C$69:Q$69),0)*VLOOKUP(BQ$3,Conversions!$B$12:$E$34,4,0)))</f>
        <v>0</v>
      </c>
      <c r="Y135" s="333">
        <f>IF($F135="",0,IF($A135="Default",$G135*VLOOKUP($F135,Lists!$C$72:$R$232,COLUMNS(Lists!$C$69:R$69),0)*VLOOKUP(BR$3,Conversions!$B$12:$E$34,4,0)*HLOOKUP($E135,'Equipment Assumptions'!$C$30:$Q$31,2,0),$G135*VLOOKUP($F135,Lists!$C$72:$R$232,COLUMNS(Lists!$C$69:R$69),0)*VLOOKUP(BR$3,Conversions!$B$12:$E$34,4,0)))</f>
        <v>0</v>
      </c>
      <c r="Z135" s="325">
        <f t="shared" si="161"/>
        <v>0</v>
      </c>
      <c r="AA135" s="334">
        <f>IF($F135="",0,IF($A135="Default",$H135*VLOOKUP($F135,Lists!$C$72:$R$232,COLUMNS(Lists!$C$69:E$69),0)*VLOOKUP(BE$3,Conversions!$B$12:$E$34,4,0)*HLOOKUP($E135,'Equipment Assumptions'!$C$30:$Q$31,2,0),$H135*VLOOKUP($F135,Lists!$C$72:$R$232,COLUMNS(Lists!$C$69:E$69),0)*VLOOKUP(BE$3,Conversions!$B$12:$E$34,4,0)))</f>
        <v>0</v>
      </c>
      <c r="AB135" s="334">
        <f>IF($F135="",0,IF($A135="Default",$H135*VLOOKUP($F135,Lists!$C$72:$R$232,COLUMNS(Lists!$C$69:F$69),0)*VLOOKUP(BF$3,Conversions!$B$12:$E$34,4,0)*HLOOKUP($E135,'Equipment Assumptions'!$C$30:$Q$31,2,0),$H135*VLOOKUP($F135,Lists!$C$72:$R$232,COLUMNS(Lists!$C$69:F$69),0)*VLOOKUP(BF$3,Conversions!$B$12:$E$34,4,0)))</f>
        <v>0</v>
      </c>
      <c r="AC135" s="334">
        <f>IF($F135="",0,IF($A135="Default",$H135*VLOOKUP($F135,Lists!$C$72:$R$232,COLUMNS(Lists!$C$69:G$69),0)*VLOOKUP(BG$3,Conversions!$B$12:$E$34,4,0)*HLOOKUP($E135,'Equipment Assumptions'!$C$30:$Q$31,2,0),$H135*VLOOKUP($F135,Lists!$C$72:$R$232,COLUMNS(Lists!$C$69:G$69),0)*VLOOKUP(BG$3,Conversions!$B$12:$E$34,4,0)))</f>
        <v>0</v>
      </c>
      <c r="AD135" s="334">
        <f>IF($F135="",0,IF($A135="Default",$H135*VLOOKUP($F135,Lists!$C$72:$R$232,COLUMNS(Lists!$C$69:H$69),0)*VLOOKUP(BH$3,Conversions!$B$12:$E$34,4,0)*HLOOKUP($E135,'Equipment Assumptions'!$C$30:$Q$31,2,0),$H135*VLOOKUP($F135,Lists!$C$72:$R$232,COLUMNS(Lists!$C$69:H$69),0)*VLOOKUP(BH$3,Conversions!$B$12:$E$34,4,0)))</f>
        <v>0</v>
      </c>
      <c r="AE135" s="334">
        <f>IF($F135="",0,IF($A135="Default",$H135*VLOOKUP($F135,Lists!$C$72:$R$232,COLUMNS(Lists!$C$69:I$69),0)*VLOOKUP(BI$3,Conversions!$B$12:$E$34,4,0)*HLOOKUP($E135,'Equipment Assumptions'!$C$30:$Q$31,2,0),$H135*VLOOKUP($F135,Lists!$C$72:$R$232,COLUMNS(Lists!$C$69:I$69),0)*VLOOKUP(BI$3,Conversions!$B$12:$E$34,4,0)))</f>
        <v>0</v>
      </c>
      <c r="AF135" s="334">
        <f>IF($F135="",0,IF($A135="Default",$H135*VLOOKUP($F135,Lists!$C$72:$R$232,COLUMNS(Lists!$C$69:J$69),0)*VLOOKUP(BJ$3,Conversions!$B$12:$E$34,4,0)*HLOOKUP($E135,'Equipment Assumptions'!$C$30:$Q$31,2,0),$H135*VLOOKUP($F135,Lists!$C$72:$R$232,COLUMNS(Lists!$C$69:J$69),0)*VLOOKUP(BJ$3,Conversions!$B$12:$E$34,4,0)))</f>
        <v>0</v>
      </c>
      <c r="AG135" s="334">
        <f>IF($F135="",0,IF($A135="Default",$H135*VLOOKUP($F135,Lists!$C$72:$R$232,COLUMNS(Lists!$C$69:K$69),0)*VLOOKUP(BK$3,Conversions!$B$12:$E$34,4,0)*HLOOKUP($E135,'Equipment Assumptions'!$C$30:$Q$31,2,0),$H135*VLOOKUP($F135,Lists!$C$72:$R$232,COLUMNS(Lists!$C$69:K$69),0)*VLOOKUP(BK$3,Conversions!$B$12:$E$34,4,0)))</f>
        <v>0</v>
      </c>
      <c r="AH135" s="334">
        <f>IF($F135="",0,IF($A135="Default",$H135*VLOOKUP($F135,Lists!$C$72:$R$232,COLUMNS(Lists!$C$69:L$69),0)*VLOOKUP(BL$3,Conversions!$B$12:$E$34,4,0)*HLOOKUP($E135,'Equipment Assumptions'!$C$30:$Q$31,2,0),$H135*VLOOKUP($F135,Lists!$C$72:$R$232,COLUMNS(Lists!$C$69:L$69),0)*VLOOKUP(BL$3,Conversions!$B$12:$E$34,4,0)))</f>
        <v>0</v>
      </c>
      <c r="AI135" s="334">
        <f>IF($F135="",0,IF($A135="Default",$H135*VLOOKUP($F135,Lists!$C$72:$R$232,COLUMNS(Lists!$C$69:M$69),0)*VLOOKUP(BM$3,Conversions!$B$12:$E$34,4,0)*HLOOKUP($E135,'Equipment Assumptions'!$C$30:$Q$31,2,0),$H135*VLOOKUP($F135,Lists!$C$72:$R$232,COLUMNS(Lists!$C$69:M$69),0)*VLOOKUP(BM$3,Conversions!$B$12:$E$34,4,0)))</f>
        <v>0</v>
      </c>
      <c r="AJ135" s="334">
        <f>IF($F135="",0,IF($A135="Default",$H135*VLOOKUP($F135,Lists!$C$72:$R$232,COLUMNS(Lists!$C$69:N$69),0)*VLOOKUP(BN$3,Conversions!$B$12:$E$34,4,0)*HLOOKUP($E135,'Equipment Assumptions'!$C$30:$Q$31,2,0),$H135*VLOOKUP($F135,Lists!$C$72:$R$232,COLUMNS(Lists!$C$69:N$69),0)*VLOOKUP(BN$3,Conversions!$B$12:$E$34,4,0)))</f>
        <v>0</v>
      </c>
      <c r="AK135" s="334">
        <f>IF($F135="",0,IF($A135="Default",$H135*VLOOKUP($F135,Lists!$C$72:$R$232,COLUMNS(Lists!$C$69:O$69),0)*VLOOKUP(BO$3,Conversions!$B$12:$E$34,4,0)*HLOOKUP($E135,'Equipment Assumptions'!$C$30:$Q$31,2,0),$H135*VLOOKUP($F135,Lists!$C$72:$R$232,COLUMNS(Lists!$C$69:O$69),0)*VLOOKUP(BO$3,Conversions!$B$12:$E$34,4,0)))</f>
        <v>0</v>
      </c>
      <c r="AL135" s="334">
        <f>IF($F135="",0,IF($A135="Default",$H135*VLOOKUP($F135,Lists!$C$72:$R$232,COLUMNS(Lists!$C$69:P$69),0)*VLOOKUP(BP$3,Conversions!$B$12:$E$34,4,0)*HLOOKUP($E135,'Equipment Assumptions'!$C$30:$Q$31,2,0),$H135*VLOOKUP($F135,Lists!$C$72:$R$232,COLUMNS(Lists!$C$69:P$69),0)*VLOOKUP(BP$3,Conversions!$B$12:$E$34,4,0)))</f>
        <v>0</v>
      </c>
      <c r="AM135" s="334">
        <f>IF($F135="",0,IF($A135="Default",$H135*VLOOKUP($F135,Lists!$C$72:$R$232,COLUMNS(Lists!$C$69:Q$69),0)*VLOOKUP(BQ$3,Conversions!$B$12:$E$34,4,0)*HLOOKUP($E135,'Equipment Assumptions'!$C$30:$Q$31,2,0),$H135*VLOOKUP($F135,Lists!$C$72:$R$232,COLUMNS(Lists!$C$69:Q$69),0)*VLOOKUP(BQ$3,Conversions!$B$12:$E$34,4,0)))</f>
        <v>0</v>
      </c>
      <c r="AN135" s="334">
        <f>IF($F135="",0,IF($A135="Default",$H135*VLOOKUP($F135,Lists!$C$72:$R$232,COLUMNS(Lists!$C$69:R$69),0)*VLOOKUP(BR$3,Conversions!$B$12:$E$34,4,0)*HLOOKUP($E135,'Equipment Assumptions'!$C$30:$Q$31,2,0),$H135*VLOOKUP($F135,Lists!$C$72:$R$232,COLUMNS(Lists!$C$69:R$69),0)*VLOOKUP(BR$3,Conversions!$B$12:$E$34,4,0)))</f>
        <v>0</v>
      </c>
      <c r="AO135" s="330">
        <f t="shared" si="162"/>
        <v>0</v>
      </c>
      <c r="AP135" s="333">
        <f>IF($F135="",0,IF($A135="Default",$I135*VLOOKUP($F135,Lists!$C$72:$R$232,COLUMNS(Lists!$C$69:E$69),0)*VLOOKUP(BE$3,Conversions!$B$12:$E$34,4,0)*HLOOKUP($E135,'Equipment Assumptions'!$C$30:$Q$31,2,0),$I135*VLOOKUP($F135,Lists!$C$72:$R$232,COLUMNS(Lists!$C$69:E$69),0)*VLOOKUP(BE$3,Conversions!$B$12:$E$34,4,0)))</f>
        <v>0</v>
      </c>
      <c r="AQ135" s="333">
        <f>IF($F135="",0,IF($A135="Default",$I135*VLOOKUP($F135,Lists!$C$72:$R$232,COLUMNS(Lists!$C$69:F$69),0)*VLOOKUP(BF$3,Conversions!$B$12:$E$34,4,0)*HLOOKUP($E135,'Equipment Assumptions'!$C$30:$Q$31,2,0),$I135*VLOOKUP($F135,Lists!$C$72:$R$232,COLUMNS(Lists!$C$69:F$69),0)*VLOOKUP(BF$3,Conversions!$B$12:$E$34,4,0)))</f>
        <v>0</v>
      </c>
      <c r="AR135" s="333">
        <f>IF($F135="",0,IF($A135="Default",$I135*VLOOKUP($F135,Lists!$C$72:$R$232,COLUMNS(Lists!$C$69:G$69),0)*VLOOKUP(BG$3,Conversions!$B$12:$E$34,4,0)*HLOOKUP($E135,'Equipment Assumptions'!$C$30:$Q$31,2,0),$I135*VLOOKUP($F135,Lists!$C$72:$R$232,COLUMNS(Lists!$C$69:G$69),0)*VLOOKUP(BG$3,Conversions!$B$12:$E$34,4,0)))</f>
        <v>0</v>
      </c>
      <c r="AS135" s="333">
        <f>IF($F135="",0,IF($A135="Default",$I135*VLOOKUP($F135,Lists!$C$72:$R$232,COLUMNS(Lists!$C$69:H$69),0)*VLOOKUP(BH$3,Conversions!$B$12:$E$34,4,0)*HLOOKUP($E135,'Equipment Assumptions'!$C$30:$Q$31,2,0),$I135*VLOOKUP($F135,Lists!$C$72:$R$232,COLUMNS(Lists!$C$69:H$69),0)*VLOOKUP(BH$3,Conversions!$B$12:$E$34,4,0)))</f>
        <v>0</v>
      </c>
      <c r="AT135" s="333">
        <f>IF($F135="",0,IF($A135="Default",$I135*VLOOKUP($F135,Lists!$C$72:$R$232,COLUMNS(Lists!$C$69:I$69),0)*VLOOKUP(BI$3,Conversions!$B$12:$E$34,4,0)*HLOOKUP($E135,'Equipment Assumptions'!$C$30:$Q$31,2,0),$I135*VLOOKUP($F135,Lists!$C$72:$R$232,COLUMNS(Lists!$C$69:I$69),0)*VLOOKUP(BI$3,Conversions!$B$12:$E$34,4,0)))</f>
        <v>0</v>
      </c>
      <c r="AU135" s="333">
        <f>IF($F135="",0,IF($A135="Default",$I135*VLOOKUP($F135,Lists!$C$72:$R$232,COLUMNS(Lists!$C$69:J$69),0)*VLOOKUP(BJ$3,Conversions!$B$12:$E$34,4,0)*HLOOKUP($E135,'Equipment Assumptions'!$C$30:$Q$31,2,0),$I135*VLOOKUP($F135,Lists!$C$72:$R$232,COLUMNS(Lists!$C$69:J$69),0)*VLOOKUP(BJ$3,Conversions!$B$12:$E$34,4,0)))</f>
        <v>0</v>
      </c>
      <c r="AV135" s="333">
        <f>IF($F135="",0,IF($A135="Default",$I135*VLOOKUP($F135,Lists!$C$72:$R$232,COLUMNS(Lists!$C$69:K$69),0)*VLOOKUP(BK$3,Conversions!$B$12:$E$34,4,0)*HLOOKUP($E135,'Equipment Assumptions'!$C$30:$Q$31,2,0),$I135*VLOOKUP($F135,Lists!$C$72:$R$232,COLUMNS(Lists!$C$69:K$69),0)*VLOOKUP(BK$3,Conversions!$B$12:$E$34,4,0)))</f>
        <v>0</v>
      </c>
      <c r="AW135" s="333">
        <f>IF($F135="",0,IF($A135="Default",$I135*VLOOKUP($F135,Lists!$C$72:$R$232,COLUMNS(Lists!$C$69:L$69),0)*VLOOKUP(BL$3,Conversions!$B$12:$E$34,4,0)*HLOOKUP($E135,'Equipment Assumptions'!$C$30:$Q$31,2,0),$I135*VLOOKUP($F135,Lists!$C$72:$R$232,COLUMNS(Lists!$C$69:L$69),0)*VLOOKUP(BL$3,Conversions!$B$12:$E$34,4,0)))</f>
        <v>0</v>
      </c>
      <c r="AX135" s="333">
        <f>IF($F135="",0,IF($A135="Default",$I135*VLOOKUP($F135,Lists!$C$72:$R$232,COLUMNS(Lists!$C$69:M$69),0)*VLOOKUP(BM$3,Conversions!$B$12:$E$34,4,0)*HLOOKUP($E135,'Equipment Assumptions'!$C$30:$Q$31,2,0),$I135*VLOOKUP($F135,Lists!$C$72:$R$232,COLUMNS(Lists!$C$69:M$69),0)*VLOOKUP(BM$3,Conversions!$B$12:$E$34,4,0)))</f>
        <v>0</v>
      </c>
      <c r="AY135" s="333">
        <f>IF($F135="",0,IF($A135="Default",$I135*VLOOKUP($F135,Lists!$C$72:$R$232,COLUMNS(Lists!$C$69:N$69),0)*VLOOKUP(BN$3,Conversions!$B$12:$E$34,4,0)*HLOOKUP($E135,'Equipment Assumptions'!$C$30:$Q$31,2,0),$I135*VLOOKUP($F135,Lists!$C$72:$R$232,COLUMNS(Lists!$C$69:N$69),0)*VLOOKUP(BN$3,Conversions!$B$12:$E$34,4,0)))</f>
        <v>0</v>
      </c>
      <c r="AZ135" s="333">
        <f>IF($F135="",0,IF($A135="Default",$I135*VLOOKUP($F135,Lists!$C$72:$R$232,COLUMNS(Lists!$C$69:O$69),0)*VLOOKUP(BO$3,Conversions!$B$12:$E$34,4,0)*HLOOKUP($E135,'Equipment Assumptions'!$C$30:$Q$31,2,0),$I135*VLOOKUP($F135,Lists!$C$72:$R$232,COLUMNS(Lists!$C$69:O$69),0)*VLOOKUP(BO$3,Conversions!$B$12:$E$34,4,0)))</f>
        <v>0</v>
      </c>
      <c r="BA135" s="333">
        <f>IF($F135="",0,IF($A135="Default",$I135*VLOOKUP($F135,Lists!$C$72:$R$232,COLUMNS(Lists!$C$69:P$69),0)*VLOOKUP(BP$3,Conversions!$B$12:$E$34,4,0)*HLOOKUP($E135,'Equipment Assumptions'!$C$30:$Q$31,2,0),$I135*VLOOKUP($F135,Lists!$C$72:$R$232,COLUMNS(Lists!$C$69:P$69),0)*VLOOKUP(BP$3,Conversions!$B$12:$E$34,4,0)))</f>
        <v>0</v>
      </c>
      <c r="BB135" s="333">
        <f>IF($F135="",0,IF($A135="Default",$I135*VLOOKUP($F135,Lists!$C$72:$R$232,COLUMNS(Lists!$C$69:Q$69),0)*VLOOKUP(BQ$3,Conversions!$B$12:$E$34,4,0)*HLOOKUP($E135,'Equipment Assumptions'!$C$30:$Q$31,2,0),$I135*VLOOKUP($F135,Lists!$C$72:$R$232,COLUMNS(Lists!$C$69:Q$69),0)*VLOOKUP(BQ$3,Conversions!$B$12:$E$34,4,0)))</f>
        <v>0</v>
      </c>
      <c r="BC135" s="333">
        <f>IF($F135="",0,IF($A135="Default",$I135*VLOOKUP($F135,Lists!$C$72:$R$232,COLUMNS(Lists!$C$69:R$69),0)*VLOOKUP(BR$3,Conversions!$B$12:$E$34,4,0)*HLOOKUP($E135,'Equipment Assumptions'!$C$30:$Q$31,2,0),$I135*VLOOKUP($F135,Lists!$C$72:$R$232,COLUMNS(Lists!$C$69:R$69),0)*VLOOKUP(BR$3,Conversions!$B$12:$E$34,4,0)))</f>
        <v>0</v>
      </c>
      <c r="BD135" s="333">
        <f t="shared" si="163"/>
        <v>0</v>
      </c>
      <c r="BE135" s="330">
        <f t="shared" si="164"/>
        <v>0</v>
      </c>
      <c r="BF135" s="330">
        <f t="shared" si="165"/>
        <v>0</v>
      </c>
      <c r="BG135" s="330">
        <f t="shared" si="166"/>
        <v>0</v>
      </c>
      <c r="BH135" s="330">
        <f t="shared" si="167"/>
        <v>0</v>
      </c>
      <c r="BI135" s="330">
        <f t="shared" si="168"/>
        <v>0</v>
      </c>
      <c r="BJ135" s="330">
        <f t="shared" si="169"/>
        <v>0</v>
      </c>
      <c r="BK135" s="330">
        <f t="shared" si="170"/>
        <v>0</v>
      </c>
      <c r="BL135" s="330">
        <f t="shared" si="171"/>
        <v>0</v>
      </c>
      <c r="BM135" s="330">
        <f t="shared" si="172"/>
        <v>0</v>
      </c>
      <c r="BN135" s="330">
        <f t="shared" si="173"/>
        <v>0</v>
      </c>
      <c r="BO135" s="330">
        <f t="shared" si="174"/>
        <v>0</v>
      </c>
      <c r="BP135" s="330">
        <f t="shared" si="175"/>
        <v>0</v>
      </c>
      <c r="BQ135" s="330">
        <f t="shared" si="176"/>
        <v>0</v>
      </c>
      <c r="BR135" s="330">
        <f t="shared" si="177"/>
        <v>0</v>
      </c>
      <c r="BS135" s="330">
        <f t="shared" si="178"/>
        <v>0</v>
      </c>
      <c r="BT135" s="329">
        <f t="shared" si="191"/>
        <v>0</v>
      </c>
      <c r="BU135" s="329">
        <f t="shared" si="191"/>
        <v>0</v>
      </c>
      <c r="BV135" s="329">
        <f t="shared" si="191"/>
        <v>0</v>
      </c>
      <c r="BW135" s="329">
        <f t="shared" si="191"/>
        <v>0</v>
      </c>
      <c r="BX135" s="329">
        <f t="shared" si="191"/>
        <v>0</v>
      </c>
      <c r="BY135" s="329">
        <f t="shared" si="191"/>
        <v>0</v>
      </c>
      <c r="BZ135" s="329">
        <f t="shared" si="191"/>
        <v>0</v>
      </c>
      <c r="CA135" s="329">
        <f t="shared" si="191"/>
        <v>0</v>
      </c>
      <c r="CB135" s="329">
        <f t="shared" si="191"/>
        <v>0</v>
      </c>
      <c r="CC135" s="329">
        <f t="shared" si="191"/>
        <v>0</v>
      </c>
      <c r="CD135" s="329">
        <f t="shared" si="191"/>
        <v>0</v>
      </c>
      <c r="CE135" s="329">
        <f t="shared" si="191"/>
        <v>0</v>
      </c>
      <c r="CF135" s="329">
        <f t="shared" si="191"/>
        <v>0</v>
      </c>
      <c r="CG135" s="329">
        <f t="shared" si="191"/>
        <v>0</v>
      </c>
      <c r="CH135" s="329">
        <f t="shared" si="191"/>
        <v>0</v>
      </c>
      <c r="CI135" s="329">
        <f t="shared" si="191"/>
        <v>0</v>
      </c>
      <c r="CJ135" s="331">
        <f t="shared" si="179"/>
        <v>0</v>
      </c>
      <c r="CK135" s="330">
        <f t="shared" si="180"/>
        <v>0</v>
      </c>
      <c r="CL135" s="330">
        <f t="shared" si="181"/>
        <v>0</v>
      </c>
      <c r="CM135" s="330">
        <f t="shared" si="182"/>
        <v>0</v>
      </c>
      <c r="CN135" s="330">
        <f t="shared" si="183"/>
        <v>0</v>
      </c>
      <c r="CO135" s="330">
        <f t="shared" si="184"/>
        <v>0</v>
      </c>
      <c r="CP135" s="330">
        <f t="shared" si="185"/>
        <v>0</v>
      </c>
      <c r="CQ135" s="330">
        <f t="shared" si="186"/>
        <v>0</v>
      </c>
      <c r="CR135" s="330">
        <f t="shared" si="187"/>
        <v>0</v>
      </c>
      <c r="CS135" s="330">
        <f t="shared" si="188"/>
        <v>0</v>
      </c>
      <c r="CT135" s="330">
        <f t="shared" si="189"/>
        <v>0</v>
      </c>
      <c r="CU135" s="330">
        <f t="shared" si="192"/>
        <v>0</v>
      </c>
      <c r="CV135" s="330">
        <f t="shared" si="192"/>
        <v>0</v>
      </c>
      <c r="CW135" s="330">
        <f t="shared" si="192"/>
        <v>0</v>
      </c>
      <c r="CX135" s="330">
        <f t="shared" si="192"/>
        <v>0</v>
      </c>
      <c r="CY135" s="330">
        <f t="shared" si="192"/>
        <v>0</v>
      </c>
      <c r="CZ135" s="330">
        <f t="shared" si="192"/>
        <v>0</v>
      </c>
      <c r="DA135" s="330">
        <f t="shared" si="192"/>
        <v>0</v>
      </c>
      <c r="DB135" s="330">
        <f t="shared" si="192"/>
        <v>0</v>
      </c>
      <c r="DC135" s="330">
        <f t="shared" si="192"/>
        <v>0</v>
      </c>
      <c r="DD135" s="330">
        <f t="shared" si="192"/>
        <v>0</v>
      </c>
      <c r="DE135" s="330">
        <f t="shared" si="193"/>
        <v>0</v>
      </c>
      <c r="DF135" s="330">
        <f t="shared" si="193"/>
        <v>0</v>
      </c>
      <c r="DG135" s="330">
        <f t="shared" si="193"/>
        <v>0</v>
      </c>
      <c r="DH135" s="330">
        <f t="shared" si="193"/>
        <v>0</v>
      </c>
      <c r="DI135" s="330">
        <f t="shared" si="193"/>
        <v>0</v>
      </c>
      <c r="DJ135" s="330">
        <f t="shared" si="193"/>
        <v>0</v>
      </c>
      <c r="DK135" s="330">
        <f t="shared" si="193"/>
        <v>0</v>
      </c>
      <c r="DL135" s="330">
        <f t="shared" si="193"/>
        <v>0</v>
      </c>
      <c r="DM135" s="330">
        <f t="shared" si="193"/>
        <v>0</v>
      </c>
      <c r="DN135" s="330">
        <f t="shared" si="193"/>
        <v>0</v>
      </c>
      <c r="DO135" s="330">
        <f t="shared" si="193"/>
        <v>0</v>
      </c>
      <c r="DP135" s="330">
        <f t="shared" si="190"/>
        <v>0</v>
      </c>
      <c r="DQ135" s="217"/>
      <c r="DR135" s="217"/>
      <c r="DS135" s="217"/>
      <c r="DT135" s="217"/>
    </row>
    <row r="136" spans="1:124" x14ac:dyDescent="0.3">
      <c r="A136" s="332" t="str">
        <f>IF(AND(F136&lt;&gt;"",OR('Simplified Screening 1'!G27=0,'Simplified Screening 1'!G27="I Don't Know")),"Default","")</f>
        <v/>
      </c>
      <c r="B136" s="221" t="s">
        <v>306</v>
      </c>
      <c r="C136" s="221" t="str">
        <f>IF('Simplified Screening 1'!C27=0,"",'Simplified Screening 1'!C27)</f>
        <v/>
      </c>
      <c r="D136" s="221" t="str">
        <f>IF('Simplified Screening 1'!D27=0,"",'Simplified Screening 1'!D27)</f>
        <v/>
      </c>
      <c r="E136" s="221" t="str">
        <f>IF('Simplified Screening 1'!E27=0,"",'Simplified Screening 1'!E27)</f>
        <v/>
      </c>
      <c r="F136" s="221" t="str">
        <f>'Simplified Screening 1'!R27</f>
        <v/>
      </c>
      <c r="G136" s="272">
        <f>'Simplified Screening 1'!H27*'Simplified Screening 1'!L27*Conversions!$C$4</f>
        <v>0</v>
      </c>
      <c r="H136" s="272">
        <f>'Simplified Screening 1'!I27*'Simplified Screening 1'!M27*'Simplified Screening 1'!J27*Conversions!$C$4</f>
        <v>0</v>
      </c>
      <c r="I136" s="272">
        <f>'Simplified Screening 1'!K27*'Simplified Screening 1'!N27*(1-'Simplified Screening 1'!O27)*Conversions!$C$4</f>
        <v>0</v>
      </c>
      <c r="J136" s="325">
        <f>IF('Simplified Screening 1'!P27=0,0,'Simplified Screening 1'!P27)</f>
        <v>0</v>
      </c>
      <c r="K136" s="325">
        <f>IF(AND(OR('Simplified Screening 1'!G27=0,'Simplified Screening 1'!G27="I Don't Know"),F136&lt;&gt;""),J136*HLOOKUP(E136,'Equipment Assumptions'!$C$30:$Q$31,2,0),IF(F136="Non-HFC",0,J136))</f>
        <v>0</v>
      </c>
      <c r="L136" s="333">
        <f>IF($F136="",0,IF($A136="Default",$G136*VLOOKUP($F136,Lists!$C$72:$R$232,COLUMNS(Lists!$C$69:E$69),0)*VLOOKUP(BE$3,Conversions!$B$12:$E$34,4,0)*HLOOKUP($E136,'Equipment Assumptions'!$C$30:$Q$31,2,0),$G136*VLOOKUP($F136,Lists!$C$72:$R$232,COLUMNS(Lists!$C$69:E$69),0)*VLOOKUP(BE$3,Conversions!$B$12:$E$34,4,0)))</f>
        <v>0</v>
      </c>
      <c r="M136" s="333">
        <f>IF($F136="",0,IF($A136="Default",$G136*VLOOKUP($F136,Lists!$C$72:$R$232,COLUMNS(Lists!$C$69:F$69),0)*VLOOKUP(BF$3,Conversions!$B$12:$E$34,4,0)*HLOOKUP($E136,'Equipment Assumptions'!$C$30:$Q$31,2,0),$G136*VLOOKUP($F136,Lists!$C$72:$R$232,COLUMNS(Lists!$C$69:F$69),0)*VLOOKUP(BF$3,Conversions!$B$12:$E$34,4,0)))</f>
        <v>0</v>
      </c>
      <c r="N136" s="333">
        <f>IF($F136="",0,IF($A136="Default",$G136*VLOOKUP($F136,Lists!$C$72:$R$232,COLUMNS(Lists!$C$69:G$69),0)*VLOOKUP(BG$3,Conversions!$B$12:$E$34,4,0)*HLOOKUP($E136,'Equipment Assumptions'!$C$30:$Q$31,2,0),$G136*VLOOKUP($F136,Lists!$C$72:$R$232,COLUMNS(Lists!$C$69:G$69),0)*VLOOKUP(BG$3,Conversions!$B$12:$E$34,4,0)))</f>
        <v>0</v>
      </c>
      <c r="O136" s="333">
        <f>IF($F136="",0,IF($A136="Default",$G136*VLOOKUP($F136,Lists!$C$72:$R$232,COLUMNS(Lists!$C$69:H$69),0)*VLOOKUP(BH$3,Conversions!$B$12:$E$34,4,0)*HLOOKUP($E136,'Equipment Assumptions'!$C$30:$Q$31,2,0),$G136*VLOOKUP($F136,Lists!$C$72:$R$232,COLUMNS(Lists!$C$69:H$69),0)*VLOOKUP(BH$3,Conversions!$B$12:$E$34,4,0)))</f>
        <v>0</v>
      </c>
      <c r="P136" s="333">
        <f>IF($F136="",0,IF($A136="Default",$G136*VLOOKUP($F136,Lists!$C$72:$R$232,COLUMNS(Lists!$C$69:I$69),0)*VLOOKUP(BI$3,Conversions!$B$12:$E$34,4,0)*HLOOKUP($E136,'Equipment Assumptions'!$C$30:$Q$31,2,0),$G136*VLOOKUP($F136,Lists!$C$72:$R$232,COLUMNS(Lists!$C$69:I$69),0)*VLOOKUP(BI$3,Conversions!$B$12:$E$34,4,0)))</f>
        <v>0</v>
      </c>
      <c r="Q136" s="333">
        <f>IF($F136="",0,IF($A136="Default",$G136*VLOOKUP($F136,Lists!$C$72:$R$232,COLUMNS(Lists!$C$69:J$69),0)*VLOOKUP(BJ$3,Conversions!$B$12:$E$34,4,0)*HLOOKUP($E136,'Equipment Assumptions'!$C$30:$Q$31,2,0),$G136*VLOOKUP($F136,Lists!$C$72:$R$232,COLUMNS(Lists!$C$69:J$69),0)*VLOOKUP(BJ$3,Conversions!$B$12:$E$34,4,0)))</f>
        <v>0</v>
      </c>
      <c r="R136" s="333">
        <f>IF($F136="",0,IF($A136="Default",$G136*VLOOKUP($F136,Lists!$C$72:$R$232,COLUMNS(Lists!$C$69:K$69),0)*VLOOKUP(BK$3,Conversions!$B$12:$E$34,4,0)*HLOOKUP($E136,'Equipment Assumptions'!$C$30:$Q$31,2,0),$G136*VLOOKUP($F136,Lists!$C$72:$R$232,COLUMNS(Lists!$C$69:K$69),0)*VLOOKUP(BK$3,Conversions!$B$12:$E$34,4,0)))</f>
        <v>0</v>
      </c>
      <c r="S136" s="333">
        <f>IF($F136="",0,IF($A136="Default",$G136*VLOOKUP($F136,Lists!$C$72:$R$232,COLUMNS(Lists!$C$69:L$69),0)*VLOOKUP(BL$3,Conversions!$B$12:$E$34,4,0)*HLOOKUP($E136,'Equipment Assumptions'!$C$30:$Q$31,2,0),$G136*VLOOKUP($F136,Lists!$C$72:$R$232,COLUMNS(Lists!$C$69:L$69),0)*VLOOKUP(BL$3,Conversions!$B$12:$E$34,4,0)))</f>
        <v>0</v>
      </c>
      <c r="T136" s="333">
        <f>IF($F136="",0,IF($A136="Default",$G136*VLOOKUP($F136,Lists!$C$72:$R$232,COLUMNS(Lists!$C$69:M$69),0)*VLOOKUP(BM$3,Conversions!$B$12:$E$34,4,0)*HLOOKUP($E136,'Equipment Assumptions'!$C$30:$Q$31,2,0),$G136*VLOOKUP($F136,Lists!$C$72:$R$232,COLUMNS(Lists!$C$69:M$69),0)*VLOOKUP(BM$3,Conversions!$B$12:$E$34,4,0)))</f>
        <v>0</v>
      </c>
      <c r="U136" s="333">
        <f>IF($F136="",0,IF($A136="Default",$G136*VLOOKUP($F136,Lists!$C$72:$R$232,COLUMNS(Lists!$C$69:N$69),0)*VLOOKUP(BN$3,Conversions!$B$12:$E$34,4,0)*HLOOKUP($E136,'Equipment Assumptions'!$C$30:$Q$31,2,0),$G136*VLOOKUP($F136,Lists!$C$72:$R$232,COLUMNS(Lists!$C$69:N$69),0)*VLOOKUP(BN$3,Conversions!$B$12:$E$34,4,0)))</f>
        <v>0</v>
      </c>
      <c r="V136" s="333">
        <f>IF($F136="",0,IF($A136="Default",$G136*VLOOKUP($F136,Lists!$C$72:$R$232,COLUMNS(Lists!$C$69:O$69),0)*VLOOKUP(BO$3,Conversions!$B$12:$E$34,4,0)*HLOOKUP($E136,'Equipment Assumptions'!$C$30:$Q$31,2,0),$G136*VLOOKUP($F136,Lists!$C$72:$R$232,COLUMNS(Lists!$C$69:O$69),0)*VLOOKUP(BO$3,Conversions!$B$12:$E$34,4,0)))</f>
        <v>0</v>
      </c>
      <c r="W136" s="333">
        <f>IF($F136="",0,IF($A136="Default",$G136*VLOOKUP($F136,Lists!$C$72:$R$232,COLUMNS(Lists!$C$69:P$69),0)*VLOOKUP(BP$3,Conversions!$B$12:$E$34,4,0)*HLOOKUP($E136,'Equipment Assumptions'!$C$30:$Q$31,2,0),$G136*VLOOKUP($F136,Lists!$C$72:$R$232,COLUMNS(Lists!$C$69:P$69),0)*VLOOKUP(BP$3,Conversions!$B$12:$E$34,4,0)))</f>
        <v>0</v>
      </c>
      <c r="X136" s="333">
        <f>IF($F136="",0,IF($A136="Default",$G136*VLOOKUP($F136,Lists!$C$72:$R$232,COLUMNS(Lists!$C$69:Q$69),0)*VLOOKUP(BQ$3,Conversions!$B$12:$E$34,4,0)*HLOOKUP($E136,'Equipment Assumptions'!$C$30:$Q$31,2,0),$G136*VLOOKUP($F136,Lists!$C$72:$R$232,COLUMNS(Lists!$C$69:Q$69),0)*VLOOKUP(BQ$3,Conversions!$B$12:$E$34,4,0)))</f>
        <v>0</v>
      </c>
      <c r="Y136" s="333">
        <f>IF($F136="",0,IF($A136="Default",$G136*VLOOKUP($F136,Lists!$C$72:$R$232,COLUMNS(Lists!$C$69:R$69),0)*VLOOKUP(BR$3,Conversions!$B$12:$E$34,4,0)*HLOOKUP($E136,'Equipment Assumptions'!$C$30:$Q$31,2,0),$G136*VLOOKUP($F136,Lists!$C$72:$R$232,COLUMNS(Lists!$C$69:R$69),0)*VLOOKUP(BR$3,Conversions!$B$12:$E$34,4,0)))</f>
        <v>0</v>
      </c>
      <c r="Z136" s="325">
        <f t="shared" si="161"/>
        <v>0</v>
      </c>
      <c r="AA136" s="334">
        <f>IF($F136="",0,IF($A136="Default",$H136*VLOOKUP($F136,Lists!$C$72:$R$232,COLUMNS(Lists!$C$69:E$69),0)*VLOOKUP(BE$3,Conversions!$B$12:$E$34,4,0)*HLOOKUP($E136,'Equipment Assumptions'!$C$30:$Q$31,2,0),$H136*VLOOKUP($F136,Lists!$C$72:$R$232,COLUMNS(Lists!$C$69:E$69),0)*VLOOKUP(BE$3,Conversions!$B$12:$E$34,4,0)))</f>
        <v>0</v>
      </c>
      <c r="AB136" s="334">
        <f>IF($F136="",0,IF($A136="Default",$H136*VLOOKUP($F136,Lists!$C$72:$R$232,COLUMNS(Lists!$C$69:F$69),0)*VLOOKUP(BF$3,Conversions!$B$12:$E$34,4,0)*HLOOKUP($E136,'Equipment Assumptions'!$C$30:$Q$31,2,0),$H136*VLOOKUP($F136,Lists!$C$72:$R$232,COLUMNS(Lists!$C$69:F$69),0)*VLOOKUP(BF$3,Conversions!$B$12:$E$34,4,0)))</f>
        <v>0</v>
      </c>
      <c r="AC136" s="334">
        <f>IF($F136="",0,IF($A136="Default",$H136*VLOOKUP($F136,Lists!$C$72:$R$232,COLUMNS(Lists!$C$69:G$69),0)*VLOOKUP(BG$3,Conversions!$B$12:$E$34,4,0)*HLOOKUP($E136,'Equipment Assumptions'!$C$30:$Q$31,2,0),$H136*VLOOKUP($F136,Lists!$C$72:$R$232,COLUMNS(Lists!$C$69:G$69),0)*VLOOKUP(BG$3,Conversions!$B$12:$E$34,4,0)))</f>
        <v>0</v>
      </c>
      <c r="AD136" s="334">
        <f>IF($F136="",0,IF($A136="Default",$H136*VLOOKUP($F136,Lists!$C$72:$R$232,COLUMNS(Lists!$C$69:H$69),0)*VLOOKUP(BH$3,Conversions!$B$12:$E$34,4,0)*HLOOKUP($E136,'Equipment Assumptions'!$C$30:$Q$31,2,0),$H136*VLOOKUP($F136,Lists!$C$72:$R$232,COLUMNS(Lists!$C$69:H$69),0)*VLOOKUP(BH$3,Conversions!$B$12:$E$34,4,0)))</f>
        <v>0</v>
      </c>
      <c r="AE136" s="334">
        <f>IF($F136="",0,IF($A136="Default",$H136*VLOOKUP($F136,Lists!$C$72:$R$232,COLUMNS(Lists!$C$69:I$69),0)*VLOOKUP(BI$3,Conversions!$B$12:$E$34,4,0)*HLOOKUP($E136,'Equipment Assumptions'!$C$30:$Q$31,2,0),$H136*VLOOKUP($F136,Lists!$C$72:$R$232,COLUMNS(Lists!$C$69:I$69),0)*VLOOKUP(BI$3,Conversions!$B$12:$E$34,4,0)))</f>
        <v>0</v>
      </c>
      <c r="AF136" s="334">
        <f>IF($F136="",0,IF($A136="Default",$H136*VLOOKUP($F136,Lists!$C$72:$R$232,COLUMNS(Lists!$C$69:J$69),0)*VLOOKUP(BJ$3,Conversions!$B$12:$E$34,4,0)*HLOOKUP($E136,'Equipment Assumptions'!$C$30:$Q$31,2,0),$H136*VLOOKUP($F136,Lists!$C$72:$R$232,COLUMNS(Lists!$C$69:J$69),0)*VLOOKUP(BJ$3,Conversions!$B$12:$E$34,4,0)))</f>
        <v>0</v>
      </c>
      <c r="AG136" s="334">
        <f>IF($F136="",0,IF($A136="Default",$H136*VLOOKUP($F136,Lists!$C$72:$R$232,COLUMNS(Lists!$C$69:K$69),0)*VLOOKUP(BK$3,Conversions!$B$12:$E$34,4,0)*HLOOKUP($E136,'Equipment Assumptions'!$C$30:$Q$31,2,0),$H136*VLOOKUP($F136,Lists!$C$72:$R$232,COLUMNS(Lists!$C$69:K$69),0)*VLOOKUP(BK$3,Conversions!$B$12:$E$34,4,0)))</f>
        <v>0</v>
      </c>
      <c r="AH136" s="334">
        <f>IF($F136="",0,IF($A136="Default",$H136*VLOOKUP($F136,Lists!$C$72:$R$232,COLUMNS(Lists!$C$69:L$69),0)*VLOOKUP(BL$3,Conversions!$B$12:$E$34,4,0)*HLOOKUP($E136,'Equipment Assumptions'!$C$30:$Q$31,2,0),$H136*VLOOKUP($F136,Lists!$C$72:$R$232,COLUMNS(Lists!$C$69:L$69),0)*VLOOKUP(BL$3,Conversions!$B$12:$E$34,4,0)))</f>
        <v>0</v>
      </c>
      <c r="AI136" s="334">
        <f>IF($F136="",0,IF($A136="Default",$H136*VLOOKUP($F136,Lists!$C$72:$R$232,COLUMNS(Lists!$C$69:M$69),0)*VLOOKUP(BM$3,Conversions!$B$12:$E$34,4,0)*HLOOKUP($E136,'Equipment Assumptions'!$C$30:$Q$31,2,0),$H136*VLOOKUP($F136,Lists!$C$72:$R$232,COLUMNS(Lists!$C$69:M$69),0)*VLOOKUP(BM$3,Conversions!$B$12:$E$34,4,0)))</f>
        <v>0</v>
      </c>
      <c r="AJ136" s="334">
        <f>IF($F136="",0,IF($A136="Default",$H136*VLOOKUP($F136,Lists!$C$72:$R$232,COLUMNS(Lists!$C$69:N$69),0)*VLOOKUP(BN$3,Conversions!$B$12:$E$34,4,0)*HLOOKUP($E136,'Equipment Assumptions'!$C$30:$Q$31,2,0),$H136*VLOOKUP($F136,Lists!$C$72:$R$232,COLUMNS(Lists!$C$69:N$69),0)*VLOOKUP(BN$3,Conversions!$B$12:$E$34,4,0)))</f>
        <v>0</v>
      </c>
      <c r="AK136" s="334">
        <f>IF($F136="",0,IF($A136="Default",$H136*VLOOKUP($F136,Lists!$C$72:$R$232,COLUMNS(Lists!$C$69:O$69),0)*VLOOKUP(BO$3,Conversions!$B$12:$E$34,4,0)*HLOOKUP($E136,'Equipment Assumptions'!$C$30:$Q$31,2,0),$H136*VLOOKUP($F136,Lists!$C$72:$R$232,COLUMNS(Lists!$C$69:O$69),0)*VLOOKUP(BO$3,Conversions!$B$12:$E$34,4,0)))</f>
        <v>0</v>
      </c>
      <c r="AL136" s="334">
        <f>IF($F136="",0,IF($A136="Default",$H136*VLOOKUP($F136,Lists!$C$72:$R$232,COLUMNS(Lists!$C$69:P$69),0)*VLOOKUP(BP$3,Conversions!$B$12:$E$34,4,0)*HLOOKUP($E136,'Equipment Assumptions'!$C$30:$Q$31,2,0),$H136*VLOOKUP($F136,Lists!$C$72:$R$232,COLUMNS(Lists!$C$69:P$69),0)*VLOOKUP(BP$3,Conversions!$B$12:$E$34,4,0)))</f>
        <v>0</v>
      </c>
      <c r="AM136" s="334">
        <f>IF($F136="",0,IF($A136="Default",$H136*VLOOKUP($F136,Lists!$C$72:$R$232,COLUMNS(Lists!$C$69:Q$69),0)*VLOOKUP(BQ$3,Conversions!$B$12:$E$34,4,0)*HLOOKUP($E136,'Equipment Assumptions'!$C$30:$Q$31,2,0),$H136*VLOOKUP($F136,Lists!$C$72:$R$232,COLUMNS(Lists!$C$69:Q$69),0)*VLOOKUP(BQ$3,Conversions!$B$12:$E$34,4,0)))</f>
        <v>0</v>
      </c>
      <c r="AN136" s="334">
        <f>IF($F136="",0,IF($A136="Default",$H136*VLOOKUP($F136,Lists!$C$72:$R$232,COLUMNS(Lists!$C$69:R$69),0)*VLOOKUP(BR$3,Conversions!$B$12:$E$34,4,0)*HLOOKUP($E136,'Equipment Assumptions'!$C$30:$Q$31,2,0),$H136*VLOOKUP($F136,Lists!$C$72:$R$232,COLUMNS(Lists!$C$69:R$69),0)*VLOOKUP(BR$3,Conversions!$B$12:$E$34,4,0)))</f>
        <v>0</v>
      </c>
      <c r="AO136" s="330">
        <f t="shared" si="162"/>
        <v>0</v>
      </c>
      <c r="AP136" s="333">
        <f>IF($F136="",0,IF($A136="Default",$I136*VLOOKUP($F136,Lists!$C$72:$R$232,COLUMNS(Lists!$C$69:E$69),0)*VLOOKUP(BE$3,Conversions!$B$12:$E$34,4,0)*HLOOKUP($E136,'Equipment Assumptions'!$C$30:$Q$31,2,0),$I136*VLOOKUP($F136,Lists!$C$72:$R$232,COLUMNS(Lists!$C$69:E$69),0)*VLOOKUP(BE$3,Conversions!$B$12:$E$34,4,0)))</f>
        <v>0</v>
      </c>
      <c r="AQ136" s="333">
        <f>IF($F136="",0,IF($A136="Default",$I136*VLOOKUP($F136,Lists!$C$72:$R$232,COLUMNS(Lists!$C$69:F$69),0)*VLOOKUP(BF$3,Conversions!$B$12:$E$34,4,0)*HLOOKUP($E136,'Equipment Assumptions'!$C$30:$Q$31,2,0),$I136*VLOOKUP($F136,Lists!$C$72:$R$232,COLUMNS(Lists!$C$69:F$69),0)*VLOOKUP(BF$3,Conversions!$B$12:$E$34,4,0)))</f>
        <v>0</v>
      </c>
      <c r="AR136" s="333">
        <f>IF($F136="",0,IF($A136="Default",$I136*VLOOKUP($F136,Lists!$C$72:$R$232,COLUMNS(Lists!$C$69:G$69),0)*VLOOKUP(BG$3,Conversions!$B$12:$E$34,4,0)*HLOOKUP($E136,'Equipment Assumptions'!$C$30:$Q$31,2,0),$I136*VLOOKUP($F136,Lists!$C$72:$R$232,COLUMNS(Lists!$C$69:G$69),0)*VLOOKUP(BG$3,Conversions!$B$12:$E$34,4,0)))</f>
        <v>0</v>
      </c>
      <c r="AS136" s="333">
        <f>IF($F136="",0,IF($A136="Default",$I136*VLOOKUP($F136,Lists!$C$72:$R$232,COLUMNS(Lists!$C$69:H$69),0)*VLOOKUP(BH$3,Conversions!$B$12:$E$34,4,0)*HLOOKUP($E136,'Equipment Assumptions'!$C$30:$Q$31,2,0),$I136*VLOOKUP($F136,Lists!$C$72:$R$232,COLUMNS(Lists!$C$69:H$69),0)*VLOOKUP(BH$3,Conversions!$B$12:$E$34,4,0)))</f>
        <v>0</v>
      </c>
      <c r="AT136" s="333">
        <f>IF($F136="",0,IF($A136="Default",$I136*VLOOKUP($F136,Lists!$C$72:$R$232,COLUMNS(Lists!$C$69:I$69),0)*VLOOKUP(BI$3,Conversions!$B$12:$E$34,4,0)*HLOOKUP($E136,'Equipment Assumptions'!$C$30:$Q$31,2,0),$I136*VLOOKUP($F136,Lists!$C$72:$R$232,COLUMNS(Lists!$C$69:I$69),0)*VLOOKUP(BI$3,Conversions!$B$12:$E$34,4,0)))</f>
        <v>0</v>
      </c>
      <c r="AU136" s="333">
        <f>IF($F136="",0,IF($A136="Default",$I136*VLOOKUP($F136,Lists!$C$72:$R$232,COLUMNS(Lists!$C$69:J$69),0)*VLOOKUP(BJ$3,Conversions!$B$12:$E$34,4,0)*HLOOKUP($E136,'Equipment Assumptions'!$C$30:$Q$31,2,0),$I136*VLOOKUP($F136,Lists!$C$72:$R$232,COLUMNS(Lists!$C$69:J$69),0)*VLOOKUP(BJ$3,Conversions!$B$12:$E$34,4,0)))</f>
        <v>0</v>
      </c>
      <c r="AV136" s="333">
        <f>IF($F136="",0,IF($A136="Default",$I136*VLOOKUP($F136,Lists!$C$72:$R$232,COLUMNS(Lists!$C$69:K$69),0)*VLOOKUP(BK$3,Conversions!$B$12:$E$34,4,0)*HLOOKUP($E136,'Equipment Assumptions'!$C$30:$Q$31,2,0),$I136*VLOOKUP($F136,Lists!$C$72:$R$232,COLUMNS(Lists!$C$69:K$69),0)*VLOOKUP(BK$3,Conversions!$B$12:$E$34,4,0)))</f>
        <v>0</v>
      </c>
      <c r="AW136" s="333">
        <f>IF($F136="",0,IF($A136="Default",$I136*VLOOKUP($F136,Lists!$C$72:$R$232,COLUMNS(Lists!$C$69:L$69),0)*VLOOKUP(BL$3,Conversions!$B$12:$E$34,4,0)*HLOOKUP($E136,'Equipment Assumptions'!$C$30:$Q$31,2,0),$I136*VLOOKUP($F136,Lists!$C$72:$R$232,COLUMNS(Lists!$C$69:L$69),0)*VLOOKUP(BL$3,Conversions!$B$12:$E$34,4,0)))</f>
        <v>0</v>
      </c>
      <c r="AX136" s="333">
        <f>IF($F136="",0,IF($A136="Default",$I136*VLOOKUP($F136,Lists!$C$72:$R$232,COLUMNS(Lists!$C$69:M$69),0)*VLOOKUP(BM$3,Conversions!$B$12:$E$34,4,0)*HLOOKUP($E136,'Equipment Assumptions'!$C$30:$Q$31,2,0),$I136*VLOOKUP($F136,Lists!$C$72:$R$232,COLUMNS(Lists!$C$69:M$69),0)*VLOOKUP(BM$3,Conversions!$B$12:$E$34,4,0)))</f>
        <v>0</v>
      </c>
      <c r="AY136" s="333">
        <f>IF($F136="",0,IF($A136="Default",$I136*VLOOKUP($F136,Lists!$C$72:$R$232,COLUMNS(Lists!$C$69:N$69),0)*VLOOKUP(BN$3,Conversions!$B$12:$E$34,4,0)*HLOOKUP($E136,'Equipment Assumptions'!$C$30:$Q$31,2,0),$I136*VLOOKUP($F136,Lists!$C$72:$R$232,COLUMNS(Lists!$C$69:N$69),0)*VLOOKUP(BN$3,Conversions!$B$12:$E$34,4,0)))</f>
        <v>0</v>
      </c>
      <c r="AZ136" s="333">
        <f>IF($F136="",0,IF($A136="Default",$I136*VLOOKUP($F136,Lists!$C$72:$R$232,COLUMNS(Lists!$C$69:O$69),0)*VLOOKUP(BO$3,Conversions!$B$12:$E$34,4,0)*HLOOKUP($E136,'Equipment Assumptions'!$C$30:$Q$31,2,0),$I136*VLOOKUP($F136,Lists!$C$72:$R$232,COLUMNS(Lists!$C$69:O$69),0)*VLOOKUP(BO$3,Conversions!$B$12:$E$34,4,0)))</f>
        <v>0</v>
      </c>
      <c r="BA136" s="333">
        <f>IF($F136="",0,IF($A136="Default",$I136*VLOOKUP($F136,Lists!$C$72:$R$232,COLUMNS(Lists!$C$69:P$69),0)*VLOOKUP(BP$3,Conversions!$B$12:$E$34,4,0)*HLOOKUP($E136,'Equipment Assumptions'!$C$30:$Q$31,2,0),$I136*VLOOKUP($F136,Lists!$C$72:$R$232,COLUMNS(Lists!$C$69:P$69),0)*VLOOKUP(BP$3,Conversions!$B$12:$E$34,4,0)))</f>
        <v>0</v>
      </c>
      <c r="BB136" s="333">
        <f>IF($F136="",0,IF($A136="Default",$I136*VLOOKUP($F136,Lists!$C$72:$R$232,COLUMNS(Lists!$C$69:Q$69),0)*VLOOKUP(BQ$3,Conversions!$B$12:$E$34,4,0)*HLOOKUP($E136,'Equipment Assumptions'!$C$30:$Q$31,2,0),$I136*VLOOKUP($F136,Lists!$C$72:$R$232,COLUMNS(Lists!$C$69:Q$69),0)*VLOOKUP(BQ$3,Conversions!$B$12:$E$34,4,0)))</f>
        <v>0</v>
      </c>
      <c r="BC136" s="333">
        <f>IF($F136="",0,IF($A136="Default",$I136*VLOOKUP($F136,Lists!$C$72:$R$232,COLUMNS(Lists!$C$69:R$69),0)*VLOOKUP(BR$3,Conversions!$B$12:$E$34,4,0)*HLOOKUP($E136,'Equipment Assumptions'!$C$30:$Q$31,2,0),$I136*VLOOKUP($F136,Lists!$C$72:$R$232,COLUMNS(Lists!$C$69:R$69),0)*VLOOKUP(BR$3,Conversions!$B$12:$E$34,4,0)))</f>
        <v>0</v>
      </c>
      <c r="BD136" s="333">
        <f t="shared" si="163"/>
        <v>0</v>
      </c>
      <c r="BE136" s="330">
        <f t="shared" si="164"/>
        <v>0</v>
      </c>
      <c r="BF136" s="330">
        <f t="shared" si="165"/>
        <v>0</v>
      </c>
      <c r="BG136" s="330">
        <f t="shared" si="166"/>
        <v>0</v>
      </c>
      <c r="BH136" s="330">
        <f t="shared" si="167"/>
        <v>0</v>
      </c>
      <c r="BI136" s="330">
        <f t="shared" si="168"/>
        <v>0</v>
      </c>
      <c r="BJ136" s="330">
        <f t="shared" si="169"/>
        <v>0</v>
      </c>
      <c r="BK136" s="330">
        <f t="shared" si="170"/>
        <v>0</v>
      </c>
      <c r="BL136" s="330">
        <f t="shared" si="171"/>
        <v>0</v>
      </c>
      <c r="BM136" s="330">
        <f t="shared" si="172"/>
        <v>0</v>
      </c>
      <c r="BN136" s="330">
        <f t="shared" si="173"/>
        <v>0</v>
      </c>
      <c r="BO136" s="330">
        <f t="shared" si="174"/>
        <v>0</v>
      </c>
      <c r="BP136" s="330">
        <f t="shared" si="175"/>
        <v>0</v>
      </c>
      <c r="BQ136" s="330">
        <f t="shared" si="176"/>
        <v>0</v>
      </c>
      <c r="BR136" s="330">
        <f t="shared" si="177"/>
        <v>0</v>
      </c>
      <c r="BS136" s="330">
        <f t="shared" si="178"/>
        <v>0</v>
      </c>
      <c r="BT136" s="329">
        <f t="shared" si="191"/>
        <v>0</v>
      </c>
      <c r="BU136" s="329">
        <f t="shared" si="191"/>
        <v>0</v>
      </c>
      <c r="BV136" s="329">
        <f t="shared" si="191"/>
        <v>0</v>
      </c>
      <c r="BW136" s="329">
        <f t="shared" si="191"/>
        <v>0</v>
      </c>
      <c r="BX136" s="329">
        <f t="shared" si="191"/>
        <v>0</v>
      </c>
      <c r="BY136" s="329">
        <f t="shared" si="191"/>
        <v>0</v>
      </c>
      <c r="BZ136" s="329">
        <f t="shared" si="191"/>
        <v>0</v>
      </c>
      <c r="CA136" s="329">
        <f t="shared" si="191"/>
        <v>0</v>
      </c>
      <c r="CB136" s="329">
        <f t="shared" si="191"/>
        <v>0</v>
      </c>
      <c r="CC136" s="329">
        <f t="shared" si="191"/>
        <v>0</v>
      </c>
      <c r="CD136" s="329">
        <f t="shared" si="191"/>
        <v>0</v>
      </c>
      <c r="CE136" s="329">
        <f t="shared" si="191"/>
        <v>0</v>
      </c>
      <c r="CF136" s="329">
        <f t="shared" si="191"/>
        <v>0</v>
      </c>
      <c r="CG136" s="329">
        <f t="shared" si="191"/>
        <v>0</v>
      </c>
      <c r="CH136" s="329">
        <f t="shared" si="191"/>
        <v>0</v>
      </c>
      <c r="CI136" s="329">
        <f t="shared" si="191"/>
        <v>0</v>
      </c>
      <c r="CJ136" s="331">
        <f t="shared" si="179"/>
        <v>0</v>
      </c>
      <c r="CK136" s="330">
        <f t="shared" si="180"/>
        <v>0</v>
      </c>
      <c r="CL136" s="330">
        <f t="shared" si="181"/>
        <v>0</v>
      </c>
      <c r="CM136" s="330">
        <f t="shared" si="182"/>
        <v>0</v>
      </c>
      <c r="CN136" s="330">
        <f t="shared" si="183"/>
        <v>0</v>
      </c>
      <c r="CO136" s="330">
        <f t="shared" si="184"/>
        <v>0</v>
      </c>
      <c r="CP136" s="330">
        <f t="shared" si="185"/>
        <v>0</v>
      </c>
      <c r="CQ136" s="330">
        <f t="shared" si="186"/>
        <v>0</v>
      </c>
      <c r="CR136" s="330">
        <f t="shared" si="187"/>
        <v>0</v>
      </c>
      <c r="CS136" s="330">
        <f t="shared" si="188"/>
        <v>0</v>
      </c>
      <c r="CT136" s="330">
        <f t="shared" si="189"/>
        <v>0</v>
      </c>
      <c r="CU136" s="330">
        <f t="shared" si="192"/>
        <v>0</v>
      </c>
      <c r="CV136" s="330">
        <f t="shared" si="192"/>
        <v>0</v>
      </c>
      <c r="CW136" s="330">
        <f t="shared" si="192"/>
        <v>0</v>
      </c>
      <c r="CX136" s="330">
        <f t="shared" si="192"/>
        <v>0</v>
      </c>
      <c r="CY136" s="330">
        <f t="shared" si="192"/>
        <v>0</v>
      </c>
      <c r="CZ136" s="330">
        <f t="shared" si="192"/>
        <v>0</v>
      </c>
      <c r="DA136" s="330">
        <f t="shared" si="192"/>
        <v>0</v>
      </c>
      <c r="DB136" s="330">
        <f t="shared" si="192"/>
        <v>0</v>
      </c>
      <c r="DC136" s="330">
        <f t="shared" si="192"/>
        <v>0</v>
      </c>
      <c r="DD136" s="330">
        <f t="shared" si="192"/>
        <v>0</v>
      </c>
      <c r="DE136" s="330">
        <f t="shared" si="193"/>
        <v>0</v>
      </c>
      <c r="DF136" s="330">
        <f t="shared" si="193"/>
        <v>0</v>
      </c>
      <c r="DG136" s="330">
        <f t="shared" si="193"/>
        <v>0</v>
      </c>
      <c r="DH136" s="330">
        <f t="shared" si="193"/>
        <v>0</v>
      </c>
      <c r="DI136" s="330">
        <f t="shared" si="193"/>
        <v>0</v>
      </c>
      <c r="DJ136" s="330">
        <f t="shared" si="193"/>
        <v>0</v>
      </c>
      <c r="DK136" s="330">
        <f t="shared" si="193"/>
        <v>0</v>
      </c>
      <c r="DL136" s="330">
        <f t="shared" si="193"/>
        <v>0</v>
      </c>
      <c r="DM136" s="330">
        <f t="shared" si="193"/>
        <v>0</v>
      </c>
      <c r="DN136" s="330">
        <f t="shared" si="193"/>
        <v>0</v>
      </c>
      <c r="DO136" s="330">
        <f t="shared" si="193"/>
        <v>0</v>
      </c>
      <c r="DP136" s="330">
        <f t="shared" si="190"/>
        <v>0</v>
      </c>
      <c r="DQ136" s="217"/>
      <c r="DR136" s="217"/>
      <c r="DS136" s="217"/>
      <c r="DT136" s="217"/>
    </row>
    <row r="137" spans="1:124" x14ac:dyDescent="0.3">
      <c r="A137" s="332" t="str">
        <f>IF(AND(F137&lt;&gt;"",OR('Simplified Screening 1'!G28=0,'Simplified Screening 1'!G28="I Don't Know")),"Default","")</f>
        <v/>
      </c>
      <c r="B137" s="221" t="s">
        <v>306</v>
      </c>
      <c r="C137" s="221" t="str">
        <f>IF('Simplified Screening 1'!C28=0,"",'Simplified Screening 1'!C28)</f>
        <v/>
      </c>
      <c r="D137" s="221" t="str">
        <f>IF('Simplified Screening 1'!D28=0,"",'Simplified Screening 1'!D28)</f>
        <v/>
      </c>
      <c r="E137" s="221" t="str">
        <f>IF('Simplified Screening 1'!E28=0,"",'Simplified Screening 1'!E28)</f>
        <v/>
      </c>
      <c r="F137" s="221" t="str">
        <f>'Simplified Screening 1'!R28</f>
        <v/>
      </c>
      <c r="G137" s="272">
        <f>'Simplified Screening 1'!H28*'Simplified Screening 1'!L28*Conversions!$C$4</f>
        <v>0</v>
      </c>
      <c r="H137" s="272">
        <f>'Simplified Screening 1'!I28*'Simplified Screening 1'!M28*'Simplified Screening 1'!J28*Conversions!$C$4</f>
        <v>0</v>
      </c>
      <c r="I137" s="272">
        <f>'Simplified Screening 1'!K28*'Simplified Screening 1'!N28*(1-'Simplified Screening 1'!O28)*Conversions!$C$4</f>
        <v>0</v>
      </c>
      <c r="J137" s="325">
        <f>IF('Simplified Screening 1'!P28=0,0,'Simplified Screening 1'!P28)</f>
        <v>0</v>
      </c>
      <c r="K137" s="325">
        <f>IF(AND(OR('Simplified Screening 1'!G28=0,'Simplified Screening 1'!G28="I Don't Know"),F137&lt;&gt;""),J137*HLOOKUP(E137,'Equipment Assumptions'!$C$30:$Q$31,2,0),IF(F137="Non-HFC",0,J137))</f>
        <v>0</v>
      </c>
      <c r="L137" s="333">
        <f>IF($F137="",0,IF($A137="Default",$G137*VLOOKUP($F137,Lists!$C$72:$R$232,COLUMNS(Lists!$C$69:E$69),0)*VLOOKUP(BE$3,Conversions!$B$12:$E$34,4,0)*HLOOKUP($E137,'Equipment Assumptions'!$C$30:$Q$31,2,0),$G137*VLOOKUP($F137,Lists!$C$72:$R$232,COLUMNS(Lists!$C$69:E$69),0)*VLOOKUP(BE$3,Conversions!$B$12:$E$34,4,0)))</f>
        <v>0</v>
      </c>
      <c r="M137" s="333">
        <f>IF($F137="",0,IF($A137="Default",$G137*VLOOKUP($F137,Lists!$C$72:$R$232,COLUMNS(Lists!$C$69:F$69),0)*VLOOKUP(BF$3,Conversions!$B$12:$E$34,4,0)*HLOOKUP($E137,'Equipment Assumptions'!$C$30:$Q$31,2,0),$G137*VLOOKUP($F137,Lists!$C$72:$R$232,COLUMNS(Lists!$C$69:F$69),0)*VLOOKUP(BF$3,Conversions!$B$12:$E$34,4,0)))</f>
        <v>0</v>
      </c>
      <c r="N137" s="333">
        <f>IF($F137="",0,IF($A137="Default",$G137*VLOOKUP($F137,Lists!$C$72:$R$232,COLUMNS(Lists!$C$69:G$69),0)*VLOOKUP(BG$3,Conversions!$B$12:$E$34,4,0)*HLOOKUP($E137,'Equipment Assumptions'!$C$30:$Q$31,2,0),$G137*VLOOKUP($F137,Lists!$C$72:$R$232,COLUMNS(Lists!$C$69:G$69),0)*VLOOKUP(BG$3,Conversions!$B$12:$E$34,4,0)))</f>
        <v>0</v>
      </c>
      <c r="O137" s="333">
        <f>IF($F137="",0,IF($A137="Default",$G137*VLOOKUP($F137,Lists!$C$72:$R$232,COLUMNS(Lists!$C$69:H$69),0)*VLOOKUP(BH$3,Conversions!$B$12:$E$34,4,0)*HLOOKUP($E137,'Equipment Assumptions'!$C$30:$Q$31,2,0),$G137*VLOOKUP($F137,Lists!$C$72:$R$232,COLUMNS(Lists!$C$69:H$69),0)*VLOOKUP(BH$3,Conversions!$B$12:$E$34,4,0)))</f>
        <v>0</v>
      </c>
      <c r="P137" s="333">
        <f>IF($F137="",0,IF($A137="Default",$G137*VLOOKUP($F137,Lists!$C$72:$R$232,COLUMNS(Lists!$C$69:I$69),0)*VLOOKUP(BI$3,Conversions!$B$12:$E$34,4,0)*HLOOKUP($E137,'Equipment Assumptions'!$C$30:$Q$31,2,0),$G137*VLOOKUP($F137,Lists!$C$72:$R$232,COLUMNS(Lists!$C$69:I$69),0)*VLOOKUP(BI$3,Conversions!$B$12:$E$34,4,0)))</f>
        <v>0</v>
      </c>
      <c r="Q137" s="333">
        <f>IF($F137="",0,IF($A137="Default",$G137*VLOOKUP($F137,Lists!$C$72:$R$232,COLUMNS(Lists!$C$69:J$69),0)*VLOOKUP(BJ$3,Conversions!$B$12:$E$34,4,0)*HLOOKUP($E137,'Equipment Assumptions'!$C$30:$Q$31,2,0),$G137*VLOOKUP($F137,Lists!$C$72:$R$232,COLUMNS(Lists!$C$69:J$69),0)*VLOOKUP(BJ$3,Conversions!$B$12:$E$34,4,0)))</f>
        <v>0</v>
      </c>
      <c r="R137" s="333">
        <f>IF($F137="",0,IF($A137="Default",$G137*VLOOKUP($F137,Lists!$C$72:$R$232,COLUMNS(Lists!$C$69:K$69),0)*VLOOKUP(BK$3,Conversions!$B$12:$E$34,4,0)*HLOOKUP($E137,'Equipment Assumptions'!$C$30:$Q$31,2,0),$G137*VLOOKUP($F137,Lists!$C$72:$R$232,COLUMNS(Lists!$C$69:K$69),0)*VLOOKUP(BK$3,Conversions!$B$12:$E$34,4,0)))</f>
        <v>0</v>
      </c>
      <c r="S137" s="333">
        <f>IF($F137="",0,IF($A137="Default",$G137*VLOOKUP($F137,Lists!$C$72:$R$232,COLUMNS(Lists!$C$69:L$69),0)*VLOOKUP(BL$3,Conversions!$B$12:$E$34,4,0)*HLOOKUP($E137,'Equipment Assumptions'!$C$30:$Q$31,2,0),$G137*VLOOKUP($F137,Lists!$C$72:$R$232,COLUMNS(Lists!$C$69:L$69),0)*VLOOKUP(BL$3,Conversions!$B$12:$E$34,4,0)))</f>
        <v>0</v>
      </c>
      <c r="T137" s="333">
        <f>IF($F137="",0,IF($A137="Default",$G137*VLOOKUP($F137,Lists!$C$72:$R$232,COLUMNS(Lists!$C$69:M$69),0)*VLOOKUP(BM$3,Conversions!$B$12:$E$34,4,0)*HLOOKUP($E137,'Equipment Assumptions'!$C$30:$Q$31,2,0),$G137*VLOOKUP($F137,Lists!$C$72:$R$232,COLUMNS(Lists!$C$69:M$69),0)*VLOOKUP(BM$3,Conversions!$B$12:$E$34,4,0)))</f>
        <v>0</v>
      </c>
      <c r="U137" s="333">
        <f>IF($F137="",0,IF($A137="Default",$G137*VLOOKUP($F137,Lists!$C$72:$R$232,COLUMNS(Lists!$C$69:N$69),0)*VLOOKUP(BN$3,Conversions!$B$12:$E$34,4,0)*HLOOKUP($E137,'Equipment Assumptions'!$C$30:$Q$31,2,0),$G137*VLOOKUP($F137,Lists!$C$72:$R$232,COLUMNS(Lists!$C$69:N$69),0)*VLOOKUP(BN$3,Conversions!$B$12:$E$34,4,0)))</f>
        <v>0</v>
      </c>
      <c r="V137" s="333">
        <f>IF($F137="",0,IF($A137="Default",$G137*VLOOKUP($F137,Lists!$C$72:$R$232,COLUMNS(Lists!$C$69:O$69),0)*VLOOKUP(BO$3,Conversions!$B$12:$E$34,4,0)*HLOOKUP($E137,'Equipment Assumptions'!$C$30:$Q$31,2,0),$G137*VLOOKUP($F137,Lists!$C$72:$R$232,COLUMNS(Lists!$C$69:O$69),0)*VLOOKUP(BO$3,Conversions!$B$12:$E$34,4,0)))</f>
        <v>0</v>
      </c>
      <c r="W137" s="333">
        <f>IF($F137="",0,IF($A137="Default",$G137*VLOOKUP($F137,Lists!$C$72:$R$232,COLUMNS(Lists!$C$69:P$69),0)*VLOOKUP(BP$3,Conversions!$B$12:$E$34,4,0)*HLOOKUP($E137,'Equipment Assumptions'!$C$30:$Q$31,2,0),$G137*VLOOKUP($F137,Lists!$C$72:$R$232,COLUMNS(Lists!$C$69:P$69),0)*VLOOKUP(BP$3,Conversions!$B$12:$E$34,4,0)))</f>
        <v>0</v>
      </c>
      <c r="X137" s="333">
        <f>IF($F137="",0,IF($A137="Default",$G137*VLOOKUP($F137,Lists!$C$72:$R$232,COLUMNS(Lists!$C$69:Q$69),0)*VLOOKUP(BQ$3,Conversions!$B$12:$E$34,4,0)*HLOOKUP($E137,'Equipment Assumptions'!$C$30:$Q$31,2,0),$G137*VLOOKUP($F137,Lists!$C$72:$R$232,COLUMNS(Lists!$C$69:Q$69),0)*VLOOKUP(BQ$3,Conversions!$B$12:$E$34,4,0)))</f>
        <v>0</v>
      </c>
      <c r="Y137" s="333">
        <f>IF($F137="",0,IF($A137="Default",$G137*VLOOKUP($F137,Lists!$C$72:$R$232,COLUMNS(Lists!$C$69:R$69),0)*VLOOKUP(BR$3,Conversions!$B$12:$E$34,4,0)*HLOOKUP($E137,'Equipment Assumptions'!$C$30:$Q$31,2,0),$G137*VLOOKUP($F137,Lists!$C$72:$R$232,COLUMNS(Lists!$C$69:R$69),0)*VLOOKUP(BR$3,Conversions!$B$12:$E$34,4,0)))</f>
        <v>0</v>
      </c>
      <c r="Z137" s="325">
        <f t="shared" si="161"/>
        <v>0</v>
      </c>
      <c r="AA137" s="334">
        <f>IF($F137="",0,IF($A137="Default",$H137*VLOOKUP($F137,Lists!$C$72:$R$232,COLUMNS(Lists!$C$69:E$69),0)*VLOOKUP(BE$3,Conversions!$B$12:$E$34,4,0)*HLOOKUP($E137,'Equipment Assumptions'!$C$30:$Q$31,2,0),$H137*VLOOKUP($F137,Lists!$C$72:$R$232,COLUMNS(Lists!$C$69:E$69),0)*VLOOKUP(BE$3,Conversions!$B$12:$E$34,4,0)))</f>
        <v>0</v>
      </c>
      <c r="AB137" s="334">
        <f>IF($F137="",0,IF($A137="Default",$H137*VLOOKUP($F137,Lists!$C$72:$R$232,COLUMNS(Lists!$C$69:F$69),0)*VLOOKUP(BF$3,Conversions!$B$12:$E$34,4,0)*HLOOKUP($E137,'Equipment Assumptions'!$C$30:$Q$31,2,0),$H137*VLOOKUP($F137,Lists!$C$72:$R$232,COLUMNS(Lists!$C$69:F$69),0)*VLOOKUP(BF$3,Conversions!$B$12:$E$34,4,0)))</f>
        <v>0</v>
      </c>
      <c r="AC137" s="334">
        <f>IF($F137="",0,IF($A137="Default",$H137*VLOOKUP($F137,Lists!$C$72:$R$232,COLUMNS(Lists!$C$69:G$69),0)*VLOOKUP(BG$3,Conversions!$B$12:$E$34,4,0)*HLOOKUP($E137,'Equipment Assumptions'!$C$30:$Q$31,2,0),$H137*VLOOKUP($F137,Lists!$C$72:$R$232,COLUMNS(Lists!$C$69:G$69),0)*VLOOKUP(BG$3,Conversions!$B$12:$E$34,4,0)))</f>
        <v>0</v>
      </c>
      <c r="AD137" s="334">
        <f>IF($F137="",0,IF($A137="Default",$H137*VLOOKUP($F137,Lists!$C$72:$R$232,COLUMNS(Lists!$C$69:H$69),0)*VLOOKUP(BH$3,Conversions!$B$12:$E$34,4,0)*HLOOKUP($E137,'Equipment Assumptions'!$C$30:$Q$31,2,0),$H137*VLOOKUP($F137,Lists!$C$72:$R$232,COLUMNS(Lists!$C$69:H$69),0)*VLOOKUP(BH$3,Conversions!$B$12:$E$34,4,0)))</f>
        <v>0</v>
      </c>
      <c r="AE137" s="334">
        <f>IF($F137="",0,IF($A137="Default",$H137*VLOOKUP($F137,Lists!$C$72:$R$232,COLUMNS(Lists!$C$69:I$69),0)*VLOOKUP(BI$3,Conversions!$B$12:$E$34,4,0)*HLOOKUP($E137,'Equipment Assumptions'!$C$30:$Q$31,2,0),$H137*VLOOKUP($F137,Lists!$C$72:$R$232,COLUMNS(Lists!$C$69:I$69),0)*VLOOKUP(BI$3,Conversions!$B$12:$E$34,4,0)))</f>
        <v>0</v>
      </c>
      <c r="AF137" s="334">
        <f>IF($F137="",0,IF($A137="Default",$H137*VLOOKUP($F137,Lists!$C$72:$R$232,COLUMNS(Lists!$C$69:J$69),0)*VLOOKUP(BJ$3,Conversions!$B$12:$E$34,4,0)*HLOOKUP($E137,'Equipment Assumptions'!$C$30:$Q$31,2,0),$H137*VLOOKUP($F137,Lists!$C$72:$R$232,COLUMNS(Lists!$C$69:J$69),0)*VLOOKUP(BJ$3,Conversions!$B$12:$E$34,4,0)))</f>
        <v>0</v>
      </c>
      <c r="AG137" s="334">
        <f>IF($F137="",0,IF($A137="Default",$H137*VLOOKUP($F137,Lists!$C$72:$R$232,COLUMNS(Lists!$C$69:K$69),0)*VLOOKUP(BK$3,Conversions!$B$12:$E$34,4,0)*HLOOKUP($E137,'Equipment Assumptions'!$C$30:$Q$31,2,0),$H137*VLOOKUP($F137,Lists!$C$72:$R$232,COLUMNS(Lists!$C$69:K$69),0)*VLOOKUP(BK$3,Conversions!$B$12:$E$34,4,0)))</f>
        <v>0</v>
      </c>
      <c r="AH137" s="334">
        <f>IF($F137="",0,IF($A137="Default",$H137*VLOOKUP($F137,Lists!$C$72:$R$232,COLUMNS(Lists!$C$69:L$69),0)*VLOOKUP(BL$3,Conversions!$B$12:$E$34,4,0)*HLOOKUP($E137,'Equipment Assumptions'!$C$30:$Q$31,2,0),$H137*VLOOKUP($F137,Lists!$C$72:$R$232,COLUMNS(Lists!$C$69:L$69),0)*VLOOKUP(BL$3,Conversions!$B$12:$E$34,4,0)))</f>
        <v>0</v>
      </c>
      <c r="AI137" s="334">
        <f>IF($F137="",0,IF($A137="Default",$H137*VLOOKUP($F137,Lists!$C$72:$R$232,COLUMNS(Lists!$C$69:M$69),0)*VLOOKUP(BM$3,Conversions!$B$12:$E$34,4,0)*HLOOKUP($E137,'Equipment Assumptions'!$C$30:$Q$31,2,0),$H137*VLOOKUP($F137,Lists!$C$72:$R$232,COLUMNS(Lists!$C$69:M$69),0)*VLOOKUP(BM$3,Conversions!$B$12:$E$34,4,0)))</f>
        <v>0</v>
      </c>
      <c r="AJ137" s="334">
        <f>IF($F137="",0,IF($A137="Default",$H137*VLOOKUP($F137,Lists!$C$72:$R$232,COLUMNS(Lists!$C$69:N$69),0)*VLOOKUP(BN$3,Conversions!$B$12:$E$34,4,0)*HLOOKUP($E137,'Equipment Assumptions'!$C$30:$Q$31,2,0),$H137*VLOOKUP($F137,Lists!$C$72:$R$232,COLUMNS(Lists!$C$69:N$69),0)*VLOOKUP(BN$3,Conversions!$B$12:$E$34,4,0)))</f>
        <v>0</v>
      </c>
      <c r="AK137" s="334">
        <f>IF($F137="",0,IF($A137="Default",$H137*VLOOKUP($F137,Lists!$C$72:$R$232,COLUMNS(Lists!$C$69:O$69),0)*VLOOKUP(BO$3,Conversions!$B$12:$E$34,4,0)*HLOOKUP($E137,'Equipment Assumptions'!$C$30:$Q$31,2,0),$H137*VLOOKUP($F137,Lists!$C$72:$R$232,COLUMNS(Lists!$C$69:O$69),0)*VLOOKUP(BO$3,Conversions!$B$12:$E$34,4,0)))</f>
        <v>0</v>
      </c>
      <c r="AL137" s="334">
        <f>IF($F137="",0,IF($A137="Default",$H137*VLOOKUP($F137,Lists!$C$72:$R$232,COLUMNS(Lists!$C$69:P$69),0)*VLOOKUP(BP$3,Conversions!$B$12:$E$34,4,0)*HLOOKUP($E137,'Equipment Assumptions'!$C$30:$Q$31,2,0),$H137*VLOOKUP($F137,Lists!$C$72:$R$232,COLUMNS(Lists!$C$69:P$69),0)*VLOOKUP(BP$3,Conversions!$B$12:$E$34,4,0)))</f>
        <v>0</v>
      </c>
      <c r="AM137" s="334">
        <f>IF($F137="",0,IF($A137="Default",$H137*VLOOKUP($F137,Lists!$C$72:$R$232,COLUMNS(Lists!$C$69:Q$69),0)*VLOOKUP(BQ$3,Conversions!$B$12:$E$34,4,0)*HLOOKUP($E137,'Equipment Assumptions'!$C$30:$Q$31,2,0),$H137*VLOOKUP($F137,Lists!$C$72:$R$232,COLUMNS(Lists!$C$69:Q$69),0)*VLOOKUP(BQ$3,Conversions!$B$12:$E$34,4,0)))</f>
        <v>0</v>
      </c>
      <c r="AN137" s="334">
        <f>IF($F137="",0,IF($A137="Default",$H137*VLOOKUP($F137,Lists!$C$72:$R$232,COLUMNS(Lists!$C$69:R$69),0)*VLOOKUP(BR$3,Conversions!$B$12:$E$34,4,0)*HLOOKUP($E137,'Equipment Assumptions'!$C$30:$Q$31,2,0),$H137*VLOOKUP($F137,Lists!$C$72:$R$232,COLUMNS(Lists!$C$69:R$69),0)*VLOOKUP(BR$3,Conversions!$B$12:$E$34,4,0)))</f>
        <v>0</v>
      </c>
      <c r="AO137" s="330">
        <f t="shared" si="162"/>
        <v>0</v>
      </c>
      <c r="AP137" s="333">
        <f>IF($F137="",0,IF($A137="Default",$I137*VLOOKUP($F137,Lists!$C$72:$R$232,COLUMNS(Lists!$C$69:E$69),0)*VLOOKUP(BE$3,Conversions!$B$12:$E$34,4,0)*HLOOKUP($E137,'Equipment Assumptions'!$C$30:$Q$31,2,0),$I137*VLOOKUP($F137,Lists!$C$72:$R$232,COLUMNS(Lists!$C$69:E$69),0)*VLOOKUP(BE$3,Conversions!$B$12:$E$34,4,0)))</f>
        <v>0</v>
      </c>
      <c r="AQ137" s="333">
        <f>IF($F137="",0,IF($A137="Default",$I137*VLOOKUP($F137,Lists!$C$72:$R$232,COLUMNS(Lists!$C$69:F$69),0)*VLOOKUP(BF$3,Conversions!$B$12:$E$34,4,0)*HLOOKUP($E137,'Equipment Assumptions'!$C$30:$Q$31,2,0),$I137*VLOOKUP($F137,Lists!$C$72:$R$232,COLUMNS(Lists!$C$69:F$69),0)*VLOOKUP(BF$3,Conversions!$B$12:$E$34,4,0)))</f>
        <v>0</v>
      </c>
      <c r="AR137" s="333">
        <f>IF($F137="",0,IF($A137="Default",$I137*VLOOKUP($F137,Lists!$C$72:$R$232,COLUMNS(Lists!$C$69:G$69),0)*VLOOKUP(BG$3,Conversions!$B$12:$E$34,4,0)*HLOOKUP($E137,'Equipment Assumptions'!$C$30:$Q$31,2,0),$I137*VLOOKUP($F137,Lists!$C$72:$R$232,COLUMNS(Lists!$C$69:G$69),0)*VLOOKUP(BG$3,Conversions!$B$12:$E$34,4,0)))</f>
        <v>0</v>
      </c>
      <c r="AS137" s="333">
        <f>IF($F137="",0,IF($A137="Default",$I137*VLOOKUP($F137,Lists!$C$72:$R$232,COLUMNS(Lists!$C$69:H$69),0)*VLOOKUP(BH$3,Conversions!$B$12:$E$34,4,0)*HLOOKUP($E137,'Equipment Assumptions'!$C$30:$Q$31,2,0),$I137*VLOOKUP($F137,Lists!$C$72:$R$232,COLUMNS(Lists!$C$69:H$69),0)*VLOOKUP(BH$3,Conversions!$B$12:$E$34,4,0)))</f>
        <v>0</v>
      </c>
      <c r="AT137" s="333">
        <f>IF($F137="",0,IF($A137="Default",$I137*VLOOKUP($F137,Lists!$C$72:$R$232,COLUMNS(Lists!$C$69:I$69),0)*VLOOKUP(BI$3,Conversions!$B$12:$E$34,4,0)*HLOOKUP($E137,'Equipment Assumptions'!$C$30:$Q$31,2,0),$I137*VLOOKUP($F137,Lists!$C$72:$R$232,COLUMNS(Lists!$C$69:I$69),0)*VLOOKUP(BI$3,Conversions!$B$12:$E$34,4,0)))</f>
        <v>0</v>
      </c>
      <c r="AU137" s="333">
        <f>IF($F137="",0,IF($A137="Default",$I137*VLOOKUP($F137,Lists!$C$72:$R$232,COLUMNS(Lists!$C$69:J$69),0)*VLOOKUP(BJ$3,Conversions!$B$12:$E$34,4,0)*HLOOKUP($E137,'Equipment Assumptions'!$C$30:$Q$31,2,0),$I137*VLOOKUP($F137,Lists!$C$72:$R$232,COLUMNS(Lists!$C$69:J$69),0)*VLOOKUP(BJ$3,Conversions!$B$12:$E$34,4,0)))</f>
        <v>0</v>
      </c>
      <c r="AV137" s="333">
        <f>IF($F137="",0,IF($A137="Default",$I137*VLOOKUP($F137,Lists!$C$72:$R$232,COLUMNS(Lists!$C$69:K$69),0)*VLOOKUP(BK$3,Conversions!$B$12:$E$34,4,0)*HLOOKUP($E137,'Equipment Assumptions'!$C$30:$Q$31,2,0),$I137*VLOOKUP($F137,Lists!$C$72:$R$232,COLUMNS(Lists!$C$69:K$69),0)*VLOOKUP(BK$3,Conversions!$B$12:$E$34,4,0)))</f>
        <v>0</v>
      </c>
      <c r="AW137" s="333">
        <f>IF($F137="",0,IF($A137="Default",$I137*VLOOKUP($F137,Lists!$C$72:$R$232,COLUMNS(Lists!$C$69:L$69),0)*VLOOKUP(BL$3,Conversions!$B$12:$E$34,4,0)*HLOOKUP($E137,'Equipment Assumptions'!$C$30:$Q$31,2,0),$I137*VLOOKUP($F137,Lists!$C$72:$R$232,COLUMNS(Lists!$C$69:L$69),0)*VLOOKUP(BL$3,Conversions!$B$12:$E$34,4,0)))</f>
        <v>0</v>
      </c>
      <c r="AX137" s="333">
        <f>IF($F137="",0,IF($A137="Default",$I137*VLOOKUP($F137,Lists!$C$72:$R$232,COLUMNS(Lists!$C$69:M$69),0)*VLOOKUP(BM$3,Conversions!$B$12:$E$34,4,0)*HLOOKUP($E137,'Equipment Assumptions'!$C$30:$Q$31,2,0),$I137*VLOOKUP($F137,Lists!$C$72:$R$232,COLUMNS(Lists!$C$69:M$69),0)*VLOOKUP(BM$3,Conversions!$B$12:$E$34,4,0)))</f>
        <v>0</v>
      </c>
      <c r="AY137" s="333">
        <f>IF($F137="",0,IF($A137="Default",$I137*VLOOKUP($F137,Lists!$C$72:$R$232,COLUMNS(Lists!$C$69:N$69),0)*VLOOKUP(BN$3,Conversions!$B$12:$E$34,4,0)*HLOOKUP($E137,'Equipment Assumptions'!$C$30:$Q$31,2,0),$I137*VLOOKUP($F137,Lists!$C$72:$R$232,COLUMNS(Lists!$C$69:N$69),0)*VLOOKUP(BN$3,Conversions!$B$12:$E$34,4,0)))</f>
        <v>0</v>
      </c>
      <c r="AZ137" s="333">
        <f>IF($F137="",0,IF($A137="Default",$I137*VLOOKUP($F137,Lists!$C$72:$R$232,COLUMNS(Lists!$C$69:O$69),0)*VLOOKUP(BO$3,Conversions!$B$12:$E$34,4,0)*HLOOKUP($E137,'Equipment Assumptions'!$C$30:$Q$31,2,0),$I137*VLOOKUP($F137,Lists!$C$72:$R$232,COLUMNS(Lists!$C$69:O$69),0)*VLOOKUP(BO$3,Conversions!$B$12:$E$34,4,0)))</f>
        <v>0</v>
      </c>
      <c r="BA137" s="333">
        <f>IF($F137="",0,IF($A137="Default",$I137*VLOOKUP($F137,Lists!$C$72:$R$232,COLUMNS(Lists!$C$69:P$69),0)*VLOOKUP(BP$3,Conversions!$B$12:$E$34,4,0)*HLOOKUP($E137,'Equipment Assumptions'!$C$30:$Q$31,2,0),$I137*VLOOKUP($F137,Lists!$C$72:$R$232,COLUMNS(Lists!$C$69:P$69),0)*VLOOKUP(BP$3,Conversions!$B$12:$E$34,4,0)))</f>
        <v>0</v>
      </c>
      <c r="BB137" s="333">
        <f>IF($F137="",0,IF($A137="Default",$I137*VLOOKUP($F137,Lists!$C$72:$R$232,COLUMNS(Lists!$C$69:Q$69),0)*VLOOKUP(BQ$3,Conversions!$B$12:$E$34,4,0)*HLOOKUP($E137,'Equipment Assumptions'!$C$30:$Q$31,2,0),$I137*VLOOKUP($F137,Lists!$C$72:$R$232,COLUMNS(Lists!$C$69:Q$69),0)*VLOOKUP(BQ$3,Conversions!$B$12:$E$34,4,0)))</f>
        <v>0</v>
      </c>
      <c r="BC137" s="333">
        <f>IF($F137="",0,IF($A137="Default",$I137*VLOOKUP($F137,Lists!$C$72:$R$232,COLUMNS(Lists!$C$69:R$69),0)*VLOOKUP(BR$3,Conversions!$B$12:$E$34,4,0)*HLOOKUP($E137,'Equipment Assumptions'!$C$30:$Q$31,2,0),$I137*VLOOKUP($F137,Lists!$C$72:$R$232,COLUMNS(Lists!$C$69:R$69),0)*VLOOKUP(BR$3,Conversions!$B$12:$E$34,4,0)))</f>
        <v>0</v>
      </c>
      <c r="BD137" s="333">
        <f t="shared" si="163"/>
        <v>0</v>
      </c>
      <c r="BE137" s="330">
        <f t="shared" si="164"/>
        <v>0</v>
      </c>
      <c r="BF137" s="330">
        <f t="shared" si="165"/>
        <v>0</v>
      </c>
      <c r="BG137" s="330">
        <f t="shared" si="166"/>
        <v>0</v>
      </c>
      <c r="BH137" s="330">
        <f t="shared" si="167"/>
        <v>0</v>
      </c>
      <c r="BI137" s="330">
        <f t="shared" si="168"/>
        <v>0</v>
      </c>
      <c r="BJ137" s="330">
        <f t="shared" si="169"/>
        <v>0</v>
      </c>
      <c r="BK137" s="330">
        <f t="shared" si="170"/>
        <v>0</v>
      </c>
      <c r="BL137" s="330">
        <f t="shared" si="171"/>
        <v>0</v>
      </c>
      <c r="BM137" s="330">
        <f t="shared" si="172"/>
        <v>0</v>
      </c>
      <c r="BN137" s="330">
        <f t="shared" si="173"/>
        <v>0</v>
      </c>
      <c r="BO137" s="330">
        <f t="shared" si="174"/>
        <v>0</v>
      </c>
      <c r="BP137" s="330">
        <f t="shared" si="175"/>
        <v>0</v>
      </c>
      <c r="BQ137" s="330">
        <f t="shared" si="176"/>
        <v>0</v>
      </c>
      <c r="BR137" s="330">
        <f t="shared" si="177"/>
        <v>0</v>
      </c>
      <c r="BS137" s="330">
        <f t="shared" si="178"/>
        <v>0</v>
      </c>
      <c r="BT137" s="329">
        <f t="shared" si="191"/>
        <v>0</v>
      </c>
      <c r="BU137" s="329">
        <f t="shared" si="191"/>
        <v>0</v>
      </c>
      <c r="BV137" s="329">
        <f t="shared" si="191"/>
        <v>0</v>
      </c>
      <c r="BW137" s="329">
        <f t="shared" si="191"/>
        <v>0</v>
      </c>
      <c r="BX137" s="329">
        <f t="shared" si="191"/>
        <v>0</v>
      </c>
      <c r="BY137" s="329">
        <f t="shared" si="191"/>
        <v>0</v>
      </c>
      <c r="BZ137" s="329">
        <f t="shared" si="191"/>
        <v>0</v>
      </c>
      <c r="CA137" s="329">
        <f t="shared" si="191"/>
        <v>0</v>
      </c>
      <c r="CB137" s="329">
        <f t="shared" si="191"/>
        <v>0</v>
      </c>
      <c r="CC137" s="329">
        <f t="shared" si="191"/>
        <v>0</v>
      </c>
      <c r="CD137" s="329">
        <f t="shared" si="191"/>
        <v>0</v>
      </c>
      <c r="CE137" s="329">
        <f t="shared" si="191"/>
        <v>0</v>
      </c>
      <c r="CF137" s="329">
        <f t="shared" si="191"/>
        <v>0</v>
      </c>
      <c r="CG137" s="329">
        <f t="shared" si="191"/>
        <v>0</v>
      </c>
      <c r="CH137" s="329">
        <f t="shared" si="191"/>
        <v>0</v>
      </c>
      <c r="CI137" s="329">
        <f t="shared" si="191"/>
        <v>0</v>
      </c>
      <c r="CJ137" s="331">
        <f t="shared" si="179"/>
        <v>0</v>
      </c>
      <c r="CK137" s="330">
        <f t="shared" si="180"/>
        <v>0</v>
      </c>
      <c r="CL137" s="330">
        <f t="shared" si="181"/>
        <v>0</v>
      </c>
      <c r="CM137" s="330">
        <f t="shared" si="182"/>
        <v>0</v>
      </c>
      <c r="CN137" s="330">
        <f t="shared" si="183"/>
        <v>0</v>
      </c>
      <c r="CO137" s="330">
        <f t="shared" si="184"/>
        <v>0</v>
      </c>
      <c r="CP137" s="330">
        <f t="shared" si="185"/>
        <v>0</v>
      </c>
      <c r="CQ137" s="330">
        <f t="shared" si="186"/>
        <v>0</v>
      </c>
      <c r="CR137" s="330">
        <f t="shared" si="187"/>
        <v>0</v>
      </c>
      <c r="CS137" s="330">
        <f t="shared" si="188"/>
        <v>0</v>
      </c>
      <c r="CT137" s="330">
        <f t="shared" si="189"/>
        <v>0</v>
      </c>
      <c r="CU137" s="330">
        <f t="shared" si="192"/>
        <v>0</v>
      </c>
      <c r="CV137" s="330">
        <f t="shared" si="192"/>
        <v>0</v>
      </c>
      <c r="CW137" s="330">
        <f t="shared" si="192"/>
        <v>0</v>
      </c>
      <c r="CX137" s="330">
        <f t="shared" si="192"/>
        <v>0</v>
      </c>
      <c r="CY137" s="330">
        <f t="shared" si="192"/>
        <v>0</v>
      </c>
      <c r="CZ137" s="330">
        <f t="shared" si="192"/>
        <v>0</v>
      </c>
      <c r="DA137" s="330">
        <f t="shared" si="192"/>
        <v>0</v>
      </c>
      <c r="DB137" s="330">
        <f t="shared" si="192"/>
        <v>0</v>
      </c>
      <c r="DC137" s="330">
        <f t="shared" si="192"/>
        <v>0</v>
      </c>
      <c r="DD137" s="330">
        <f t="shared" si="192"/>
        <v>0</v>
      </c>
      <c r="DE137" s="330">
        <f t="shared" si="193"/>
        <v>0</v>
      </c>
      <c r="DF137" s="330">
        <f t="shared" si="193"/>
        <v>0</v>
      </c>
      <c r="DG137" s="330">
        <f t="shared" si="193"/>
        <v>0</v>
      </c>
      <c r="DH137" s="330">
        <f t="shared" si="193"/>
        <v>0</v>
      </c>
      <c r="DI137" s="330">
        <f t="shared" si="193"/>
        <v>0</v>
      </c>
      <c r="DJ137" s="330">
        <f t="shared" si="193"/>
        <v>0</v>
      </c>
      <c r="DK137" s="330">
        <f t="shared" si="193"/>
        <v>0</v>
      </c>
      <c r="DL137" s="330">
        <f t="shared" si="193"/>
        <v>0</v>
      </c>
      <c r="DM137" s="330">
        <f t="shared" si="193"/>
        <v>0</v>
      </c>
      <c r="DN137" s="330">
        <f t="shared" si="193"/>
        <v>0</v>
      </c>
      <c r="DO137" s="330">
        <f t="shared" si="193"/>
        <v>0</v>
      </c>
      <c r="DP137" s="330">
        <f t="shared" si="190"/>
        <v>0</v>
      </c>
      <c r="DQ137" s="217"/>
      <c r="DR137" s="217"/>
      <c r="DS137" s="217"/>
      <c r="DT137" s="217"/>
    </row>
    <row r="138" spans="1:124" x14ac:dyDescent="0.3">
      <c r="A138" s="332" t="str">
        <f>IF(AND(F138&lt;&gt;"",OR('Simplified Screening 1'!G29=0,'Simplified Screening 1'!G29="I Don't Know")),"Default","")</f>
        <v/>
      </c>
      <c r="B138" s="221" t="s">
        <v>306</v>
      </c>
      <c r="C138" s="221" t="str">
        <f>IF('Simplified Screening 1'!C29=0,"",'Simplified Screening 1'!C29)</f>
        <v/>
      </c>
      <c r="D138" s="221" t="str">
        <f>IF('Simplified Screening 1'!D29=0,"",'Simplified Screening 1'!D29)</f>
        <v/>
      </c>
      <c r="E138" s="221" t="str">
        <f>IF('Simplified Screening 1'!E29=0,"",'Simplified Screening 1'!E29)</f>
        <v/>
      </c>
      <c r="F138" s="221" t="str">
        <f>'Simplified Screening 1'!R29</f>
        <v/>
      </c>
      <c r="G138" s="272">
        <f>'Simplified Screening 1'!H29*'Simplified Screening 1'!L29*Conversions!$C$4</f>
        <v>0</v>
      </c>
      <c r="H138" s="272">
        <f>'Simplified Screening 1'!I29*'Simplified Screening 1'!M29*'Simplified Screening 1'!J29*Conversions!$C$4</f>
        <v>0</v>
      </c>
      <c r="I138" s="272">
        <f>'Simplified Screening 1'!K29*'Simplified Screening 1'!N29*(1-'Simplified Screening 1'!O29)*Conversions!$C$4</f>
        <v>0</v>
      </c>
      <c r="J138" s="325">
        <f>IF('Simplified Screening 1'!P29=0,0,'Simplified Screening 1'!P29)</f>
        <v>0</v>
      </c>
      <c r="K138" s="325">
        <f>IF(AND(OR('Simplified Screening 1'!G29=0,'Simplified Screening 1'!G29="I Don't Know"),F138&lt;&gt;""),J138*HLOOKUP(E138,'Equipment Assumptions'!$C$30:$Q$31,2,0),IF(F138="Non-HFC",0,J138))</f>
        <v>0</v>
      </c>
      <c r="L138" s="333">
        <f>IF($F138="",0,IF($A138="Default",$G138*VLOOKUP($F138,Lists!$C$72:$R$232,COLUMNS(Lists!$C$69:E$69),0)*VLOOKUP(BE$3,Conversions!$B$12:$E$34,4,0)*HLOOKUP($E138,'Equipment Assumptions'!$C$30:$Q$31,2,0),$G138*VLOOKUP($F138,Lists!$C$72:$R$232,COLUMNS(Lists!$C$69:E$69),0)*VLOOKUP(BE$3,Conversions!$B$12:$E$34,4,0)))</f>
        <v>0</v>
      </c>
      <c r="M138" s="333">
        <f>IF($F138="",0,IF($A138="Default",$G138*VLOOKUP($F138,Lists!$C$72:$R$232,COLUMNS(Lists!$C$69:F$69),0)*VLOOKUP(BF$3,Conversions!$B$12:$E$34,4,0)*HLOOKUP($E138,'Equipment Assumptions'!$C$30:$Q$31,2,0),$G138*VLOOKUP($F138,Lists!$C$72:$R$232,COLUMNS(Lists!$C$69:F$69),0)*VLOOKUP(BF$3,Conversions!$B$12:$E$34,4,0)))</f>
        <v>0</v>
      </c>
      <c r="N138" s="333">
        <f>IF($F138="",0,IF($A138="Default",$G138*VLOOKUP($F138,Lists!$C$72:$R$232,COLUMNS(Lists!$C$69:G$69),0)*VLOOKUP(BG$3,Conversions!$B$12:$E$34,4,0)*HLOOKUP($E138,'Equipment Assumptions'!$C$30:$Q$31,2,0),$G138*VLOOKUP($F138,Lists!$C$72:$R$232,COLUMNS(Lists!$C$69:G$69),0)*VLOOKUP(BG$3,Conversions!$B$12:$E$34,4,0)))</f>
        <v>0</v>
      </c>
      <c r="O138" s="333">
        <f>IF($F138="",0,IF($A138="Default",$G138*VLOOKUP($F138,Lists!$C$72:$R$232,COLUMNS(Lists!$C$69:H$69),0)*VLOOKUP(BH$3,Conversions!$B$12:$E$34,4,0)*HLOOKUP($E138,'Equipment Assumptions'!$C$30:$Q$31,2,0),$G138*VLOOKUP($F138,Lists!$C$72:$R$232,COLUMNS(Lists!$C$69:H$69),0)*VLOOKUP(BH$3,Conversions!$B$12:$E$34,4,0)))</f>
        <v>0</v>
      </c>
      <c r="P138" s="333">
        <f>IF($F138="",0,IF($A138="Default",$G138*VLOOKUP($F138,Lists!$C$72:$R$232,COLUMNS(Lists!$C$69:I$69),0)*VLOOKUP(BI$3,Conversions!$B$12:$E$34,4,0)*HLOOKUP($E138,'Equipment Assumptions'!$C$30:$Q$31,2,0),$G138*VLOOKUP($F138,Lists!$C$72:$R$232,COLUMNS(Lists!$C$69:I$69),0)*VLOOKUP(BI$3,Conversions!$B$12:$E$34,4,0)))</f>
        <v>0</v>
      </c>
      <c r="Q138" s="333">
        <f>IF($F138="",0,IF($A138="Default",$G138*VLOOKUP($F138,Lists!$C$72:$R$232,COLUMNS(Lists!$C$69:J$69),0)*VLOOKUP(BJ$3,Conversions!$B$12:$E$34,4,0)*HLOOKUP($E138,'Equipment Assumptions'!$C$30:$Q$31,2,0),$G138*VLOOKUP($F138,Lists!$C$72:$R$232,COLUMNS(Lists!$C$69:J$69),0)*VLOOKUP(BJ$3,Conversions!$B$12:$E$34,4,0)))</f>
        <v>0</v>
      </c>
      <c r="R138" s="333">
        <f>IF($F138="",0,IF($A138="Default",$G138*VLOOKUP($F138,Lists!$C$72:$R$232,COLUMNS(Lists!$C$69:K$69),0)*VLOOKUP(BK$3,Conversions!$B$12:$E$34,4,0)*HLOOKUP($E138,'Equipment Assumptions'!$C$30:$Q$31,2,0),$G138*VLOOKUP($F138,Lists!$C$72:$R$232,COLUMNS(Lists!$C$69:K$69),0)*VLOOKUP(BK$3,Conversions!$B$12:$E$34,4,0)))</f>
        <v>0</v>
      </c>
      <c r="S138" s="333">
        <f>IF($F138="",0,IF($A138="Default",$G138*VLOOKUP($F138,Lists!$C$72:$R$232,COLUMNS(Lists!$C$69:L$69),0)*VLOOKUP(BL$3,Conversions!$B$12:$E$34,4,0)*HLOOKUP($E138,'Equipment Assumptions'!$C$30:$Q$31,2,0),$G138*VLOOKUP($F138,Lists!$C$72:$R$232,COLUMNS(Lists!$C$69:L$69),0)*VLOOKUP(BL$3,Conversions!$B$12:$E$34,4,0)))</f>
        <v>0</v>
      </c>
      <c r="T138" s="333">
        <f>IF($F138="",0,IF($A138="Default",$G138*VLOOKUP($F138,Lists!$C$72:$R$232,COLUMNS(Lists!$C$69:M$69),0)*VLOOKUP(BM$3,Conversions!$B$12:$E$34,4,0)*HLOOKUP($E138,'Equipment Assumptions'!$C$30:$Q$31,2,0),$G138*VLOOKUP($F138,Lists!$C$72:$R$232,COLUMNS(Lists!$C$69:M$69),0)*VLOOKUP(BM$3,Conversions!$B$12:$E$34,4,0)))</f>
        <v>0</v>
      </c>
      <c r="U138" s="333">
        <f>IF($F138="",0,IF($A138="Default",$G138*VLOOKUP($F138,Lists!$C$72:$R$232,COLUMNS(Lists!$C$69:N$69),0)*VLOOKUP(BN$3,Conversions!$B$12:$E$34,4,0)*HLOOKUP($E138,'Equipment Assumptions'!$C$30:$Q$31,2,0),$G138*VLOOKUP($F138,Lists!$C$72:$R$232,COLUMNS(Lists!$C$69:N$69),0)*VLOOKUP(BN$3,Conversions!$B$12:$E$34,4,0)))</f>
        <v>0</v>
      </c>
      <c r="V138" s="333">
        <f>IF($F138="",0,IF($A138="Default",$G138*VLOOKUP($F138,Lists!$C$72:$R$232,COLUMNS(Lists!$C$69:O$69),0)*VLOOKUP(BO$3,Conversions!$B$12:$E$34,4,0)*HLOOKUP($E138,'Equipment Assumptions'!$C$30:$Q$31,2,0),$G138*VLOOKUP($F138,Lists!$C$72:$R$232,COLUMNS(Lists!$C$69:O$69),0)*VLOOKUP(BO$3,Conversions!$B$12:$E$34,4,0)))</f>
        <v>0</v>
      </c>
      <c r="W138" s="333">
        <f>IF($F138="",0,IF($A138="Default",$G138*VLOOKUP($F138,Lists!$C$72:$R$232,COLUMNS(Lists!$C$69:P$69),0)*VLOOKUP(BP$3,Conversions!$B$12:$E$34,4,0)*HLOOKUP($E138,'Equipment Assumptions'!$C$30:$Q$31,2,0),$G138*VLOOKUP($F138,Lists!$C$72:$R$232,COLUMNS(Lists!$C$69:P$69),0)*VLOOKUP(BP$3,Conversions!$B$12:$E$34,4,0)))</f>
        <v>0</v>
      </c>
      <c r="X138" s="333">
        <f>IF($F138="",0,IF($A138="Default",$G138*VLOOKUP($F138,Lists!$C$72:$R$232,COLUMNS(Lists!$C$69:Q$69),0)*VLOOKUP(BQ$3,Conversions!$B$12:$E$34,4,0)*HLOOKUP($E138,'Equipment Assumptions'!$C$30:$Q$31,2,0),$G138*VLOOKUP($F138,Lists!$C$72:$R$232,COLUMNS(Lists!$C$69:Q$69),0)*VLOOKUP(BQ$3,Conversions!$B$12:$E$34,4,0)))</f>
        <v>0</v>
      </c>
      <c r="Y138" s="333">
        <f>IF($F138="",0,IF($A138="Default",$G138*VLOOKUP($F138,Lists!$C$72:$R$232,COLUMNS(Lists!$C$69:R$69),0)*VLOOKUP(BR$3,Conversions!$B$12:$E$34,4,0)*HLOOKUP($E138,'Equipment Assumptions'!$C$30:$Q$31,2,0),$G138*VLOOKUP($F138,Lists!$C$72:$R$232,COLUMNS(Lists!$C$69:R$69),0)*VLOOKUP(BR$3,Conversions!$B$12:$E$34,4,0)))</f>
        <v>0</v>
      </c>
      <c r="Z138" s="325">
        <f t="shared" si="161"/>
        <v>0</v>
      </c>
      <c r="AA138" s="334">
        <f>IF($F138="",0,IF($A138="Default",$H138*VLOOKUP($F138,Lists!$C$72:$R$232,COLUMNS(Lists!$C$69:E$69),0)*VLOOKUP(BE$3,Conversions!$B$12:$E$34,4,0)*HLOOKUP($E138,'Equipment Assumptions'!$C$30:$Q$31,2,0),$H138*VLOOKUP($F138,Lists!$C$72:$R$232,COLUMNS(Lists!$C$69:E$69),0)*VLOOKUP(BE$3,Conversions!$B$12:$E$34,4,0)))</f>
        <v>0</v>
      </c>
      <c r="AB138" s="334">
        <f>IF($F138="",0,IF($A138="Default",$H138*VLOOKUP($F138,Lists!$C$72:$R$232,COLUMNS(Lists!$C$69:F$69),0)*VLOOKUP(BF$3,Conversions!$B$12:$E$34,4,0)*HLOOKUP($E138,'Equipment Assumptions'!$C$30:$Q$31,2,0),$H138*VLOOKUP($F138,Lists!$C$72:$R$232,COLUMNS(Lists!$C$69:F$69),0)*VLOOKUP(BF$3,Conversions!$B$12:$E$34,4,0)))</f>
        <v>0</v>
      </c>
      <c r="AC138" s="334">
        <f>IF($F138="",0,IF($A138="Default",$H138*VLOOKUP($F138,Lists!$C$72:$R$232,COLUMNS(Lists!$C$69:G$69),0)*VLOOKUP(BG$3,Conversions!$B$12:$E$34,4,0)*HLOOKUP($E138,'Equipment Assumptions'!$C$30:$Q$31,2,0),$H138*VLOOKUP($F138,Lists!$C$72:$R$232,COLUMNS(Lists!$C$69:G$69),0)*VLOOKUP(BG$3,Conversions!$B$12:$E$34,4,0)))</f>
        <v>0</v>
      </c>
      <c r="AD138" s="334">
        <f>IF($F138="",0,IF($A138="Default",$H138*VLOOKUP($F138,Lists!$C$72:$R$232,COLUMNS(Lists!$C$69:H$69),0)*VLOOKUP(BH$3,Conversions!$B$12:$E$34,4,0)*HLOOKUP($E138,'Equipment Assumptions'!$C$30:$Q$31,2,0),$H138*VLOOKUP($F138,Lists!$C$72:$R$232,COLUMNS(Lists!$C$69:H$69),0)*VLOOKUP(BH$3,Conversions!$B$12:$E$34,4,0)))</f>
        <v>0</v>
      </c>
      <c r="AE138" s="334">
        <f>IF($F138="",0,IF($A138="Default",$H138*VLOOKUP($F138,Lists!$C$72:$R$232,COLUMNS(Lists!$C$69:I$69),0)*VLOOKUP(BI$3,Conversions!$B$12:$E$34,4,0)*HLOOKUP($E138,'Equipment Assumptions'!$C$30:$Q$31,2,0),$H138*VLOOKUP($F138,Lists!$C$72:$R$232,COLUMNS(Lists!$C$69:I$69),0)*VLOOKUP(BI$3,Conversions!$B$12:$E$34,4,0)))</f>
        <v>0</v>
      </c>
      <c r="AF138" s="334">
        <f>IF($F138="",0,IF($A138="Default",$H138*VLOOKUP($F138,Lists!$C$72:$R$232,COLUMNS(Lists!$C$69:J$69),0)*VLOOKUP(BJ$3,Conversions!$B$12:$E$34,4,0)*HLOOKUP($E138,'Equipment Assumptions'!$C$30:$Q$31,2,0),$H138*VLOOKUP($F138,Lists!$C$72:$R$232,COLUMNS(Lists!$C$69:J$69),0)*VLOOKUP(BJ$3,Conversions!$B$12:$E$34,4,0)))</f>
        <v>0</v>
      </c>
      <c r="AG138" s="334">
        <f>IF($F138="",0,IF($A138="Default",$H138*VLOOKUP($F138,Lists!$C$72:$R$232,COLUMNS(Lists!$C$69:K$69),0)*VLOOKUP(BK$3,Conversions!$B$12:$E$34,4,0)*HLOOKUP($E138,'Equipment Assumptions'!$C$30:$Q$31,2,0),$H138*VLOOKUP($F138,Lists!$C$72:$R$232,COLUMNS(Lists!$C$69:K$69),0)*VLOOKUP(BK$3,Conversions!$B$12:$E$34,4,0)))</f>
        <v>0</v>
      </c>
      <c r="AH138" s="334">
        <f>IF($F138="",0,IF($A138="Default",$H138*VLOOKUP($F138,Lists!$C$72:$R$232,COLUMNS(Lists!$C$69:L$69),0)*VLOOKUP(BL$3,Conversions!$B$12:$E$34,4,0)*HLOOKUP($E138,'Equipment Assumptions'!$C$30:$Q$31,2,0),$H138*VLOOKUP($F138,Lists!$C$72:$R$232,COLUMNS(Lists!$C$69:L$69),0)*VLOOKUP(BL$3,Conversions!$B$12:$E$34,4,0)))</f>
        <v>0</v>
      </c>
      <c r="AI138" s="334">
        <f>IF($F138="",0,IF($A138="Default",$H138*VLOOKUP($F138,Lists!$C$72:$R$232,COLUMNS(Lists!$C$69:M$69),0)*VLOOKUP(BM$3,Conversions!$B$12:$E$34,4,0)*HLOOKUP($E138,'Equipment Assumptions'!$C$30:$Q$31,2,0),$H138*VLOOKUP($F138,Lists!$C$72:$R$232,COLUMNS(Lists!$C$69:M$69),0)*VLOOKUP(BM$3,Conversions!$B$12:$E$34,4,0)))</f>
        <v>0</v>
      </c>
      <c r="AJ138" s="334">
        <f>IF($F138="",0,IF($A138="Default",$H138*VLOOKUP($F138,Lists!$C$72:$R$232,COLUMNS(Lists!$C$69:N$69),0)*VLOOKUP(BN$3,Conversions!$B$12:$E$34,4,0)*HLOOKUP($E138,'Equipment Assumptions'!$C$30:$Q$31,2,0),$H138*VLOOKUP($F138,Lists!$C$72:$R$232,COLUMNS(Lists!$C$69:N$69),0)*VLOOKUP(BN$3,Conversions!$B$12:$E$34,4,0)))</f>
        <v>0</v>
      </c>
      <c r="AK138" s="334">
        <f>IF($F138="",0,IF($A138="Default",$H138*VLOOKUP($F138,Lists!$C$72:$R$232,COLUMNS(Lists!$C$69:O$69),0)*VLOOKUP(BO$3,Conversions!$B$12:$E$34,4,0)*HLOOKUP($E138,'Equipment Assumptions'!$C$30:$Q$31,2,0),$H138*VLOOKUP($F138,Lists!$C$72:$R$232,COLUMNS(Lists!$C$69:O$69),0)*VLOOKUP(BO$3,Conversions!$B$12:$E$34,4,0)))</f>
        <v>0</v>
      </c>
      <c r="AL138" s="334">
        <f>IF($F138="",0,IF($A138="Default",$H138*VLOOKUP($F138,Lists!$C$72:$R$232,COLUMNS(Lists!$C$69:P$69),0)*VLOOKUP(BP$3,Conversions!$B$12:$E$34,4,0)*HLOOKUP($E138,'Equipment Assumptions'!$C$30:$Q$31,2,0),$H138*VLOOKUP($F138,Lists!$C$72:$R$232,COLUMNS(Lists!$C$69:P$69),0)*VLOOKUP(BP$3,Conversions!$B$12:$E$34,4,0)))</f>
        <v>0</v>
      </c>
      <c r="AM138" s="334">
        <f>IF($F138="",0,IF($A138="Default",$H138*VLOOKUP($F138,Lists!$C$72:$R$232,COLUMNS(Lists!$C$69:Q$69),0)*VLOOKUP(BQ$3,Conversions!$B$12:$E$34,4,0)*HLOOKUP($E138,'Equipment Assumptions'!$C$30:$Q$31,2,0),$H138*VLOOKUP($F138,Lists!$C$72:$R$232,COLUMNS(Lists!$C$69:Q$69),0)*VLOOKUP(BQ$3,Conversions!$B$12:$E$34,4,0)))</f>
        <v>0</v>
      </c>
      <c r="AN138" s="334">
        <f>IF($F138="",0,IF($A138="Default",$H138*VLOOKUP($F138,Lists!$C$72:$R$232,COLUMNS(Lists!$C$69:R$69),0)*VLOOKUP(BR$3,Conversions!$B$12:$E$34,4,0)*HLOOKUP($E138,'Equipment Assumptions'!$C$30:$Q$31,2,0),$H138*VLOOKUP($F138,Lists!$C$72:$R$232,COLUMNS(Lists!$C$69:R$69),0)*VLOOKUP(BR$3,Conversions!$B$12:$E$34,4,0)))</f>
        <v>0</v>
      </c>
      <c r="AO138" s="330">
        <f t="shared" si="162"/>
        <v>0</v>
      </c>
      <c r="AP138" s="333">
        <f>IF($F138="",0,IF($A138="Default",$I138*VLOOKUP($F138,Lists!$C$72:$R$232,COLUMNS(Lists!$C$69:E$69),0)*VLOOKUP(BE$3,Conversions!$B$12:$E$34,4,0)*HLOOKUP($E138,'Equipment Assumptions'!$C$30:$Q$31,2,0),$I138*VLOOKUP($F138,Lists!$C$72:$R$232,COLUMNS(Lists!$C$69:E$69),0)*VLOOKUP(BE$3,Conversions!$B$12:$E$34,4,0)))</f>
        <v>0</v>
      </c>
      <c r="AQ138" s="333">
        <f>IF($F138="",0,IF($A138="Default",$I138*VLOOKUP($F138,Lists!$C$72:$R$232,COLUMNS(Lists!$C$69:F$69),0)*VLOOKUP(BF$3,Conversions!$B$12:$E$34,4,0)*HLOOKUP($E138,'Equipment Assumptions'!$C$30:$Q$31,2,0),$I138*VLOOKUP($F138,Lists!$C$72:$R$232,COLUMNS(Lists!$C$69:F$69),0)*VLOOKUP(BF$3,Conversions!$B$12:$E$34,4,0)))</f>
        <v>0</v>
      </c>
      <c r="AR138" s="333">
        <f>IF($F138="",0,IF($A138="Default",$I138*VLOOKUP($F138,Lists!$C$72:$R$232,COLUMNS(Lists!$C$69:G$69),0)*VLOOKUP(BG$3,Conversions!$B$12:$E$34,4,0)*HLOOKUP($E138,'Equipment Assumptions'!$C$30:$Q$31,2,0),$I138*VLOOKUP($F138,Lists!$C$72:$R$232,COLUMNS(Lists!$C$69:G$69),0)*VLOOKUP(BG$3,Conversions!$B$12:$E$34,4,0)))</f>
        <v>0</v>
      </c>
      <c r="AS138" s="333">
        <f>IF($F138="",0,IF($A138="Default",$I138*VLOOKUP($F138,Lists!$C$72:$R$232,COLUMNS(Lists!$C$69:H$69),0)*VLOOKUP(BH$3,Conversions!$B$12:$E$34,4,0)*HLOOKUP($E138,'Equipment Assumptions'!$C$30:$Q$31,2,0),$I138*VLOOKUP($F138,Lists!$C$72:$R$232,COLUMNS(Lists!$C$69:H$69),0)*VLOOKUP(BH$3,Conversions!$B$12:$E$34,4,0)))</f>
        <v>0</v>
      </c>
      <c r="AT138" s="333">
        <f>IF($F138="",0,IF($A138="Default",$I138*VLOOKUP($F138,Lists!$C$72:$R$232,COLUMNS(Lists!$C$69:I$69),0)*VLOOKUP(BI$3,Conversions!$B$12:$E$34,4,0)*HLOOKUP($E138,'Equipment Assumptions'!$C$30:$Q$31,2,0),$I138*VLOOKUP($F138,Lists!$C$72:$R$232,COLUMNS(Lists!$C$69:I$69),0)*VLOOKUP(BI$3,Conversions!$B$12:$E$34,4,0)))</f>
        <v>0</v>
      </c>
      <c r="AU138" s="333">
        <f>IF($F138="",0,IF($A138="Default",$I138*VLOOKUP($F138,Lists!$C$72:$R$232,COLUMNS(Lists!$C$69:J$69),0)*VLOOKUP(BJ$3,Conversions!$B$12:$E$34,4,0)*HLOOKUP($E138,'Equipment Assumptions'!$C$30:$Q$31,2,0),$I138*VLOOKUP($F138,Lists!$C$72:$R$232,COLUMNS(Lists!$C$69:J$69),0)*VLOOKUP(BJ$3,Conversions!$B$12:$E$34,4,0)))</f>
        <v>0</v>
      </c>
      <c r="AV138" s="333">
        <f>IF($F138="",0,IF($A138="Default",$I138*VLOOKUP($F138,Lists!$C$72:$R$232,COLUMNS(Lists!$C$69:K$69),0)*VLOOKUP(BK$3,Conversions!$B$12:$E$34,4,0)*HLOOKUP($E138,'Equipment Assumptions'!$C$30:$Q$31,2,0),$I138*VLOOKUP($F138,Lists!$C$72:$R$232,COLUMNS(Lists!$C$69:K$69),0)*VLOOKUP(BK$3,Conversions!$B$12:$E$34,4,0)))</f>
        <v>0</v>
      </c>
      <c r="AW138" s="333">
        <f>IF($F138="",0,IF($A138="Default",$I138*VLOOKUP($F138,Lists!$C$72:$R$232,COLUMNS(Lists!$C$69:L$69),0)*VLOOKUP(BL$3,Conversions!$B$12:$E$34,4,0)*HLOOKUP($E138,'Equipment Assumptions'!$C$30:$Q$31,2,0),$I138*VLOOKUP($F138,Lists!$C$72:$R$232,COLUMNS(Lists!$C$69:L$69),0)*VLOOKUP(BL$3,Conversions!$B$12:$E$34,4,0)))</f>
        <v>0</v>
      </c>
      <c r="AX138" s="333">
        <f>IF($F138="",0,IF($A138="Default",$I138*VLOOKUP($F138,Lists!$C$72:$R$232,COLUMNS(Lists!$C$69:M$69),0)*VLOOKUP(BM$3,Conversions!$B$12:$E$34,4,0)*HLOOKUP($E138,'Equipment Assumptions'!$C$30:$Q$31,2,0),$I138*VLOOKUP($F138,Lists!$C$72:$R$232,COLUMNS(Lists!$C$69:M$69),0)*VLOOKUP(BM$3,Conversions!$B$12:$E$34,4,0)))</f>
        <v>0</v>
      </c>
      <c r="AY138" s="333">
        <f>IF($F138="",0,IF($A138="Default",$I138*VLOOKUP($F138,Lists!$C$72:$R$232,COLUMNS(Lists!$C$69:N$69),0)*VLOOKUP(BN$3,Conversions!$B$12:$E$34,4,0)*HLOOKUP($E138,'Equipment Assumptions'!$C$30:$Q$31,2,0),$I138*VLOOKUP($F138,Lists!$C$72:$R$232,COLUMNS(Lists!$C$69:N$69),0)*VLOOKUP(BN$3,Conversions!$B$12:$E$34,4,0)))</f>
        <v>0</v>
      </c>
      <c r="AZ138" s="333">
        <f>IF($F138="",0,IF($A138="Default",$I138*VLOOKUP($F138,Lists!$C$72:$R$232,COLUMNS(Lists!$C$69:O$69),0)*VLOOKUP(BO$3,Conversions!$B$12:$E$34,4,0)*HLOOKUP($E138,'Equipment Assumptions'!$C$30:$Q$31,2,0),$I138*VLOOKUP($F138,Lists!$C$72:$R$232,COLUMNS(Lists!$C$69:O$69),0)*VLOOKUP(BO$3,Conversions!$B$12:$E$34,4,0)))</f>
        <v>0</v>
      </c>
      <c r="BA138" s="333">
        <f>IF($F138="",0,IF($A138="Default",$I138*VLOOKUP($F138,Lists!$C$72:$R$232,COLUMNS(Lists!$C$69:P$69),0)*VLOOKUP(BP$3,Conversions!$B$12:$E$34,4,0)*HLOOKUP($E138,'Equipment Assumptions'!$C$30:$Q$31,2,0),$I138*VLOOKUP($F138,Lists!$C$72:$R$232,COLUMNS(Lists!$C$69:P$69),0)*VLOOKUP(BP$3,Conversions!$B$12:$E$34,4,0)))</f>
        <v>0</v>
      </c>
      <c r="BB138" s="333">
        <f>IF($F138="",0,IF($A138="Default",$I138*VLOOKUP($F138,Lists!$C$72:$R$232,COLUMNS(Lists!$C$69:Q$69),0)*VLOOKUP(BQ$3,Conversions!$B$12:$E$34,4,0)*HLOOKUP($E138,'Equipment Assumptions'!$C$30:$Q$31,2,0),$I138*VLOOKUP($F138,Lists!$C$72:$R$232,COLUMNS(Lists!$C$69:Q$69),0)*VLOOKUP(BQ$3,Conversions!$B$12:$E$34,4,0)))</f>
        <v>0</v>
      </c>
      <c r="BC138" s="333">
        <f>IF($F138="",0,IF($A138="Default",$I138*VLOOKUP($F138,Lists!$C$72:$R$232,COLUMNS(Lists!$C$69:R$69),0)*VLOOKUP(BR$3,Conversions!$B$12:$E$34,4,0)*HLOOKUP($E138,'Equipment Assumptions'!$C$30:$Q$31,2,0),$I138*VLOOKUP($F138,Lists!$C$72:$R$232,COLUMNS(Lists!$C$69:R$69),0)*VLOOKUP(BR$3,Conversions!$B$12:$E$34,4,0)))</f>
        <v>0</v>
      </c>
      <c r="BD138" s="333">
        <f t="shared" si="163"/>
        <v>0</v>
      </c>
      <c r="BE138" s="330">
        <f t="shared" si="164"/>
        <v>0</v>
      </c>
      <c r="BF138" s="330">
        <f t="shared" si="165"/>
        <v>0</v>
      </c>
      <c r="BG138" s="330">
        <f t="shared" si="166"/>
        <v>0</v>
      </c>
      <c r="BH138" s="330">
        <f t="shared" si="167"/>
        <v>0</v>
      </c>
      <c r="BI138" s="330">
        <f t="shared" si="168"/>
        <v>0</v>
      </c>
      <c r="BJ138" s="330">
        <f t="shared" si="169"/>
        <v>0</v>
      </c>
      <c r="BK138" s="330">
        <f t="shared" si="170"/>
        <v>0</v>
      </c>
      <c r="BL138" s="330">
        <f t="shared" si="171"/>
        <v>0</v>
      </c>
      <c r="BM138" s="330">
        <f t="shared" si="172"/>
        <v>0</v>
      </c>
      <c r="BN138" s="330">
        <f t="shared" si="173"/>
        <v>0</v>
      </c>
      <c r="BO138" s="330">
        <f t="shared" si="174"/>
        <v>0</v>
      </c>
      <c r="BP138" s="330">
        <f t="shared" si="175"/>
        <v>0</v>
      </c>
      <c r="BQ138" s="330">
        <f t="shared" si="176"/>
        <v>0</v>
      </c>
      <c r="BR138" s="330">
        <f t="shared" si="177"/>
        <v>0</v>
      </c>
      <c r="BS138" s="330">
        <f t="shared" si="178"/>
        <v>0</v>
      </c>
      <c r="BT138" s="329">
        <f t="shared" si="191"/>
        <v>0</v>
      </c>
      <c r="BU138" s="329">
        <f t="shared" si="191"/>
        <v>0</v>
      </c>
      <c r="BV138" s="329">
        <f t="shared" si="191"/>
        <v>0</v>
      </c>
      <c r="BW138" s="329">
        <f t="shared" si="191"/>
        <v>0</v>
      </c>
      <c r="BX138" s="329">
        <f t="shared" si="191"/>
        <v>0</v>
      </c>
      <c r="BY138" s="329">
        <f t="shared" si="191"/>
        <v>0</v>
      </c>
      <c r="BZ138" s="329">
        <f t="shared" si="191"/>
        <v>0</v>
      </c>
      <c r="CA138" s="329">
        <f t="shared" si="191"/>
        <v>0</v>
      </c>
      <c r="CB138" s="329">
        <f t="shared" si="191"/>
        <v>0</v>
      </c>
      <c r="CC138" s="329">
        <f t="shared" si="191"/>
        <v>0</v>
      </c>
      <c r="CD138" s="329">
        <f t="shared" si="191"/>
        <v>0</v>
      </c>
      <c r="CE138" s="329">
        <f t="shared" si="191"/>
        <v>0</v>
      </c>
      <c r="CF138" s="329">
        <f t="shared" si="191"/>
        <v>0</v>
      </c>
      <c r="CG138" s="329">
        <f t="shared" si="191"/>
        <v>0</v>
      </c>
      <c r="CH138" s="329">
        <f t="shared" si="191"/>
        <v>0</v>
      </c>
      <c r="CI138" s="329">
        <f t="shared" si="191"/>
        <v>0</v>
      </c>
      <c r="CJ138" s="331">
        <f t="shared" si="179"/>
        <v>0</v>
      </c>
      <c r="CK138" s="330">
        <f t="shared" si="180"/>
        <v>0</v>
      </c>
      <c r="CL138" s="330">
        <f t="shared" si="181"/>
        <v>0</v>
      </c>
      <c r="CM138" s="330">
        <f t="shared" si="182"/>
        <v>0</v>
      </c>
      <c r="CN138" s="330">
        <f t="shared" si="183"/>
        <v>0</v>
      </c>
      <c r="CO138" s="330">
        <f t="shared" si="184"/>
        <v>0</v>
      </c>
      <c r="CP138" s="330">
        <f t="shared" si="185"/>
        <v>0</v>
      </c>
      <c r="CQ138" s="330">
        <f t="shared" si="186"/>
        <v>0</v>
      </c>
      <c r="CR138" s="330">
        <f t="shared" si="187"/>
        <v>0</v>
      </c>
      <c r="CS138" s="330">
        <f t="shared" si="188"/>
        <v>0</v>
      </c>
      <c r="CT138" s="330">
        <f t="shared" si="189"/>
        <v>0</v>
      </c>
      <c r="CU138" s="330">
        <f t="shared" si="192"/>
        <v>0</v>
      </c>
      <c r="CV138" s="330">
        <f t="shared" si="192"/>
        <v>0</v>
      </c>
      <c r="CW138" s="330">
        <f t="shared" si="192"/>
        <v>0</v>
      </c>
      <c r="CX138" s="330">
        <f t="shared" si="192"/>
        <v>0</v>
      </c>
      <c r="CY138" s="330">
        <f t="shared" si="192"/>
        <v>0</v>
      </c>
      <c r="CZ138" s="330">
        <f t="shared" si="192"/>
        <v>0</v>
      </c>
      <c r="DA138" s="330">
        <f t="shared" si="192"/>
        <v>0</v>
      </c>
      <c r="DB138" s="330">
        <f t="shared" si="192"/>
        <v>0</v>
      </c>
      <c r="DC138" s="330">
        <f t="shared" si="192"/>
        <v>0</v>
      </c>
      <c r="DD138" s="330">
        <f t="shared" si="192"/>
        <v>0</v>
      </c>
      <c r="DE138" s="330">
        <f t="shared" si="193"/>
        <v>0</v>
      </c>
      <c r="DF138" s="330">
        <f t="shared" si="193"/>
        <v>0</v>
      </c>
      <c r="DG138" s="330">
        <f t="shared" si="193"/>
        <v>0</v>
      </c>
      <c r="DH138" s="330">
        <f t="shared" si="193"/>
        <v>0</v>
      </c>
      <c r="DI138" s="330">
        <f t="shared" si="193"/>
        <v>0</v>
      </c>
      <c r="DJ138" s="330">
        <f t="shared" si="193"/>
        <v>0</v>
      </c>
      <c r="DK138" s="330">
        <f t="shared" si="193"/>
        <v>0</v>
      </c>
      <c r="DL138" s="330">
        <f t="shared" si="193"/>
        <v>0</v>
      </c>
      <c r="DM138" s="330">
        <f t="shared" si="193"/>
        <v>0</v>
      </c>
      <c r="DN138" s="330">
        <f t="shared" si="193"/>
        <v>0</v>
      </c>
      <c r="DO138" s="330">
        <f t="shared" si="193"/>
        <v>0</v>
      </c>
      <c r="DP138" s="330">
        <f t="shared" si="190"/>
        <v>0</v>
      </c>
      <c r="DQ138" s="217"/>
      <c r="DR138" s="217"/>
      <c r="DS138" s="217"/>
      <c r="DT138" s="217"/>
    </row>
    <row r="139" spans="1:124" x14ac:dyDescent="0.3">
      <c r="A139" s="332" t="str">
        <f>IF(AND(F139&lt;&gt;"",OR('Simplified Screening 1'!G30=0,'Simplified Screening 1'!G30="I Don't Know")),"Default","")</f>
        <v/>
      </c>
      <c r="B139" s="221" t="s">
        <v>306</v>
      </c>
      <c r="C139" s="221" t="str">
        <f>IF('Simplified Screening 1'!C30=0,"",'Simplified Screening 1'!C30)</f>
        <v/>
      </c>
      <c r="D139" s="221" t="str">
        <f>IF('Simplified Screening 1'!D30=0,"",'Simplified Screening 1'!D30)</f>
        <v/>
      </c>
      <c r="E139" s="221" t="str">
        <f>IF('Simplified Screening 1'!E30=0,"",'Simplified Screening 1'!E30)</f>
        <v/>
      </c>
      <c r="F139" s="221" t="str">
        <f>'Simplified Screening 1'!R30</f>
        <v/>
      </c>
      <c r="G139" s="272">
        <f>'Simplified Screening 1'!H30*'Simplified Screening 1'!L30*Conversions!$C$4</f>
        <v>0</v>
      </c>
      <c r="H139" s="272">
        <f>'Simplified Screening 1'!I30*'Simplified Screening 1'!M30*'Simplified Screening 1'!J30*Conversions!$C$4</f>
        <v>0</v>
      </c>
      <c r="I139" s="272">
        <f>'Simplified Screening 1'!K30*'Simplified Screening 1'!N30*(1-'Simplified Screening 1'!O30)*Conversions!$C$4</f>
        <v>0</v>
      </c>
      <c r="J139" s="325">
        <f>IF('Simplified Screening 1'!P30=0,0,'Simplified Screening 1'!P30)</f>
        <v>0</v>
      </c>
      <c r="K139" s="325">
        <f>IF(AND(OR('Simplified Screening 1'!G30=0,'Simplified Screening 1'!G30="I Don't Know"),F139&lt;&gt;""),J139*HLOOKUP(E139,'Equipment Assumptions'!$C$30:$Q$31,2,0),IF(F139="Non-HFC",0,J139))</f>
        <v>0</v>
      </c>
      <c r="L139" s="333">
        <f>IF($F139="",0,IF($A139="Default",$G139*VLOOKUP($F139,Lists!$C$72:$R$232,COLUMNS(Lists!$C$69:E$69),0)*VLOOKUP(BE$3,Conversions!$B$12:$E$34,4,0)*HLOOKUP($E139,'Equipment Assumptions'!$C$30:$Q$31,2,0),$G139*VLOOKUP($F139,Lists!$C$72:$R$232,COLUMNS(Lists!$C$69:E$69),0)*VLOOKUP(BE$3,Conversions!$B$12:$E$34,4,0)))</f>
        <v>0</v>
      </c>
      <c r="M139" s="333">
        <f>IF($F139="",0,IF($A139="Default",$G139*VLOOKUP($F139,Lists!$C$72:$R$232,COLUMNS(Lists!$C$69:F$69),0)*VLOOKUP(BF$3,Conversions!$B$12:$E$34,4,0)*HLOOKUP($E139,'Equipment Assumptions'!$C$30:$Q$31,2,0),$G139*VLOOKUP($F139,Lists!$C$72:$R$232,COLUMNS(Lists!$C$69:F$69),0)*VLOOKUP(BF$3,Conversions!$B$12:$E$34,4,0)))</f>
        <v>0</v>
      </c>
      <c r="N139" s="333">
        <f>IF($F139="",0,IF($A139="Default",$G139*VLOOKUP($F139,Lists!$C$72:$R$232,COLUMNS(Lists!$C$69:G$69),0)*VLOOKUP(BG$3,Conversions!$B$12:$E$34,4,0)*HLOOKUP($E139,'Equipment Assumptions'!$C$30:$Q$31,2,0),$G139*VLOOKUP($F139,Lists!$C$72:$R$232,COLUMNS(Lists!$C$69:G$69),0)*VLOOKUP(BG$3,Conversions!$B$12:$E$34,4,0)))</f>
        <v>0</v>
      </c>
      <c r="O139" s="333">
        <f>IF($F139="",0,IF($A139="Default",$G139*VLOOKUP($F139,Lists!$C$72:$R$232,COLUMNS(Lists!$C$69:H$69),0)*VLOOKUP(BH$3,Conversions!$B$12:$E$34,4,0)*HLOOKUP($E139,'Equipment Assumptions'!$C$30:$Q$31,2,0),$G139*VLOOKUP($F139,Lists!$C$72:$R$232,COLUMNS(Lists!$C$69:H$69),0)*VLOOKUP(BH$3,Conversions!$B$12:$E$34,4,0)))</f>
        <v>0</v>
      </c>
      <c r="P139" s="333">
        <f>IF($F139="",0,IF($A139="Default",$G139*VLOOKUP($F139,Lists!$C$72:$R$232,COLUMNS(Lists!$C$69:I$69),0)*VLOOKUP(BI$3,Conversions!$B$12:$E$34,4,0)*HLOOKUP($E139,'Equipment Assumptions'!$C$30:$Q$31,2,0),$G139*VLOOKUP($F139,Lists!$C$72:$R$232,COLUMNS(Lists!$C$69:I$69),0)*VLOOKUP(BI$3,Conversions!$B$12:$E$34,4,0)))</f>
        <v>0</v>
      </c>
      <c r="Q139" s="333">
        <f>IF($F139="",0,IF($A139="Default",$G139*VLOOKUP($F139,Lists!$C$72:$R$232,COLUMNS(Lists!$C$69:J$69),0)*VLOOKUP(BJ$3,Conversions!$B$12:$E$34,4,0)*HLOOKUP($E139,'Equipment Assumptions'!$C$30:$Q$31,2,0),$G139*VLOOKUP($F139,Lists!$C$72:$R$232,COLUMNS(Lists!$C$69:J$69),0)*VLOOKUP(BJ$3,Conversions!$B$12:$E$34,4,0)))</f>
        <v>0</v>
      </c>
      <c r="R139" s="333">
        <f>IF($F139="",0,IF($A139="Default",$G139*VLOOKUP($F139,Lists!$C$72:$R$232,COLUMNS(Lists!$C$69:K$69),0)*VLOOKUP(BK$3,Conversions!$B$12:$E$34,4,0)*HLOOKUP($E139,'Equipment Assumptions'!$C$30:$Q$31,2,0),$G139*VLOOKUP($F139,Lists!$C$72:$R$232,COLUMNS(Lists!$C$69:K$69),0)*VLOOKUP(BK$3,Conversions!$B$12:$E$34,4,0)))</f>
        <v>0</v>
      </c>
      <c r="S139" s="333">
        <f>IF($F139="",0,IF($A139="Default",$G139*VLOOKUP($F139,Lists!$C$72:$R$232,COLUMNS(Lists!$C$69:L$69),0)*VLOOKUP(BL$3,Conversions!$B$12:$E$34,4,0)*HLOOKUP($E139,'Equipment Assumptions'!$C$30:$Q$31,2,0),$G139*VLOOKUP($F139,Lists!$C$72:$R$232,COLUMNS(Lists!$C$69:L$69),0)*VLOOKUP(BL$3,Conversions!$B$12:$E$34,4,0)))</f>
        <v>0</v>
      </c>
      <c r="T139" s="333">
        <f>IF($F139="",0,IF($A139="Default",$G139*VLOOKUP($F139,Lists!$C$72:$R$232,COLUMNS(Lists!$C$69:M$69),0)*VLOOKUP(BM$3,Conversions!$B$12:$E$34,4,0)*HLOOKUP($E139,'Equipment Assumptions'!$C$30:$Q$31,2,0),$G139*VLOOKUP($F139,Lists!$C$72:$R$232,COLUMNS(Lists!$C$69:M$69),0)*VLOOKUP(BM$3,Conversions!$B$12:$E$34,4,0)))</f>
        <v>0</v>
      </c>
      <c r="U139" s="333">
        <f>IF($F139="",0,IF($A139="Default",$G139*VLOOKUP($F139,Lists!$C$72:$R$232,COLUMNS(Lists!$C$69:N$69),0)*VLOOKUP(BN$3,Conversions!$B$12:$E$34,4,0)*HLOOKUP($E139,'Equipment Assumptions'!$C$30:$Q$31,2,0),$G139*VLOOKUP($F139,Lists!$C$72:$R$232,COLUMNS(Lists!$C$69:N$69),0)*VLOOKUP(BN$3,Conversions!$B$12:$E$34,4,0)))</f>
        <v>0</v>
      </c>
      <c r="V139" s="333">
        <f>IF($F139="",0,IF($A139="Default",$G139*VLOOKUP($F139,Lists!$C$72:$R$232,COLUMNS(Lists!$C$69:O$69),0)*VLOOKUP(BO$3,Conversions!$B$12:$E$34,4,0)*HLOOKUP($E139,'Equipment Assumptions'!$C$30:$Q$31,2,0),$G139*VLOOKUP($F139,Lists!$C$72:$R$232,COLUMNS(Lists!$C$69:O$69),0)*VLOOKUP(BO$3,Conversions!$B$12:$E$34,4,0)))</f>
        <v>0</v>
      </c>
      <c r="W139" s="333">
        <f>IF($F139="",0,IF($A139="Default",$G139*VLOOKUP($F139,Lists!$C$72:$R$232,COLUMNS(Lists!$C$69:P$69),0)*VLOOKUP(BP$3,Conversions!$B$12:$E$34,4,0)*HLOOKUP($E139,'Equipment Assumptions'!$C$30:$Q$31,2,0),$G139*VLOOKUP($F139,Lists!$C$72:$R$232,COLUMNS(Lists!$C$69:P$69),0)*VLOOKUP(BP$3,Conversions!$B$12:$E$34,4,0)))</f>
        <v>0</v>
      </c>
      <c r="X139" s="333">
        <f>IF($F139="",0,IF($A139="Default",$G139*VLOOKUP($F139,Lists!$C$72:$R$232,COLUMNS(Lists!$C$69:Q$69),0)*VLOOKUP(BQ$3,Conversions!$B$12:$E$34,4,0)*HLOOKUP($E139,'Equipment Assumptions'!$C$30:$Q$31,2,0),$G139*VLOOKUP($F139,Lists!$C$72:$R$232,COLUMNS(Lists!$C$69:Q$69),0)*VLOOKUP(BQ$3,Conversions!$B$12:$E$34,4,0)))</f>
        <v>0</v>
      </c>
      <c r="Y139" s="333">
        <f>IF($F139="",0,IF($A139="Default",$G139*VLOOKUP($F139,Lists!$C$72:$R$232,COLUMNS(Lists!$C$69:R$69),0)*VLOOKUP(BR$3,Conversions!$B$12:$E$34,4,0)*HLOOKUP($E139,'Equipment Assumptions'!$C$30:$Q$31,2,0),$G139*VLOOKUP($F139,Lists!$C$72:$R$232,COLUMNS(Lists!$C$69:R$69),0)*VLOOKUP(BR$3,Conversions!$B$12:$E$34,4,0)))</f>
        <v>0</v>
      </c>
      <c r="Z139" s="325">
        <f t="shared" si="161"/>
        <v>0</v>
      </c>
      <c r="AA139" s="334">
        <f>IF($F139="",0,IF($A139="Default",$H139*VLOOKUP($F139,Lists!$C$72:$R$232,COLUMNS(Lists!$C$69:E$69),0)*VLOOKUP(BE$3,Conversions!$B$12:$E$34,4,0)*HLOOKUP($E139,'Equipment Assumptions'!$C$30:$Q$31,2,0),$H139*VLOOKUP($F139,Lists!$C$72:$R$232,COLUMNS(Lists!$C$69:E$69),0)*VLOOKUP(BE$3,Conversions!$B$12:$E$34,4,0)))</f>
        <v>0</v>
      </c>
      <c r="AB139" s="334">
        <f>IF($F139="",0,IF($A139="Default",$H139*VLOOKUP($F139,Lists!$C$72:$R$232,COLUMNS(Lists!$C$69:F$69),0)*VLOOKUP(BF$3,Conversions!$B$12:$E$34,4,0)*HLOOKUP($E139,'Equipment Assumptions'!$C$30:$Q$31,2,0),$H139*VLOOKUP($F139,Lists!$C$72:$R$232,COLUMNS(Lists!$C$69:F$69),0)*VLOOKUP(BF$3,Conversions!$B$12:$E$34,4,0)))</f>
        <v>0</v>
      </c>
      <c r="AC139" s="334">
        <f>IF($F139="",0,IF($A139="Default",$H139*VLOOKUP($F139,Lists!$C$72:$R$232,COLUMNS(Lists!$C$69:G$69),0)*VLOOKUP(BG$3,Conversions!$B$12:$E$34,4,0)*HLOOKUP($E139,'Equipment Assumptions'!$C$30:$Q$31,2,0),$H139*VLOOKUP($F139,Lists!$C$72:$R$232,COLUMNS(Lists!$C$69:G$69),0)*VLOOKUP(BG$3,Conversions!$B$12:$E$34,4,0)))</f>
        <v>0</v>
      </c>
      <c r="AD139" s="334">
        <f>IF($F139="",0,IF($A139="Default",$H139*VLOOKUP($F139,Lists!$C$72:$R$232,COLUMNS(Lists!$C$69:H$69),0)*VLOOKUP(BH$3,Conversions!$B$12:$E$34,4,0)*HLOOKUP($E139,'Equipment Assumptions'!$C$30:$Q$31,2,0),$H139*VLOOKUP($F139,Lists!$C$72:$R$232,COLUMNS(Lists!$C$69:H$69),0)*VLOOKUP(BH$3,Conversions!$B$12:$E$34,4,0)))</f>
        <v>0</v>
      </c>
      <c r="AE139" s="334">
        <f>IF($F139="",0,IF($A139="Default",$H139*VLOOKUP($F139,Lists!$C$72:$R$232,COLUMNS(Lists!$C$69:I$69),0)*VLOOKUP(BI$3,Conversions!$B$12:$E$34,4,0)*HLOOKUP($E139,'Equipment Assumptions'!$C$30:$Q$31,2,0),$H139*VLOOKUP($F139,Lists!$C$72:$R$232,COLUMNS(Lists!$C$69:I$69),0)*VLOOKUP(BI$3,Conversions!$B$12:$E$34,4,0)))</f>
        <v>0</v>
      </c>
      <c r="AF139" s="334">
        <f>IF($F139="",0,IF($A139="Default",$H139*VLOOKUP($F139,Lists!$C$72:$R$232,COLUMNS(Lists!$C$69:J$69),0)*VLOOKUP(BJ$3,Conversions!$B$12:$E$34,4,0)*HLOOKUP($E139,'Equipment Assumptions'!$C$30:$Q$31,2,0),$H139*VLOOKUP($F139,Lists!$C$72:$R$232,COLUMNS(Lists!$C$69:J$69),0)*VLOOKUP(BJ$3,Conversions!$B$12:$E$34,4,0)))</f>
        <v>0</v>
      </c>
      <c r="AG139" s="334">
        <f>IF($F139="",0,IF($A139="Default",$H139*VLOOKUP($F139,Lists!$C$72:$R$232,COLUMNS(Lists!$C$69:K$69),0)*VLOOKUP(BK$3,Conversions!$B$12:$E$34,4,0)*HLOOKUP($E139,'Equipment Assumptions'!$C$30:$Q$31,2,0),$H139*VLOOKUP($F139,Lists!$C$72:$R$232,COLUMNS(Lists!$C$69:K$69),0)*VLOOKUP(BK$3,Conversions!$B$12:$E$34,4,0)))</f>
        <v>0</v>
      </c>
      <c r="AH139" s="334">
        <f>IF($F139="",0,IF($A139="Default",$H139*VLOOKUP($F139,Lists!$C$72:$R$232,COLUMNS(Lists!$C$69:L$69),0)*VLOOKUP(BL$3,Conversions!$B$12:$E$34,4,0)*HLOOKUP($E139,'Equipment Assumptions'!$C$30:$Q$31,2,0),$H139*VLOOKUP($F139,Lists!$C$72:$R$232,COLUMNS(Lists!$C$69:L$69),0)*VLOOKUP(BL$3,Conversions!$B$12:$E$34,4,0)))</f>
        <v>0</v>
      </c>
      <c r="AI139" s="334">
        <f>IF($F139="",0,IF($A139="Default",$H139*VLOOKUP($F139,Lists!$C$72:$R$232,COLUMNS(Lists!$C$69:M$69),0)*VLOOKUP(BM$3,Conversions!$B$12:$E$34,4,0)*HLOOKUP($E139,'Equipment Assumptions'!$C$30:$Q$31,2,0),$H139*VLOOKUP($F139,Lists!$C$72:$R$232,COLUMNS(Lists!$C$69:M$69),0)*VLOOKUP(BM$3,Conversions!$B$12:$E$34,4,0)))</f>
        <v>0</v>
      </c>
      <c r="AJ139" s="334">
        <f>IF($F139="",0,IF($A139="Default",$H139*VLOOKUP($F139,Lists!$C$72:$R$232,COLUMNS(Lists!$C$69:N$69),0)*VLOOKUP(BN$3,Conversions!$B$12:$E$34,4,0)*HLOOKUP($E139,'Equipment Assumptions'!$C$30:$Q$31,2,0),$H139*VLOOKUP($F139,Lists!$C$72:$R$232,COLUMNS(Lists!$C$69:N$69),0)*VLOOKUP(BN$3,Conversions!$B$12:$E$34,4,0)))</f>
        <v>0</v>
      </c>
      <c r="AK139" s="334">
        <f>IF($F139="",0,IF($A139="Default",$H139*VLOOKUP($F139,Lists!$C$72:$R$232,COLUMNS(Lists!$C$69:O$69),0)*VLOOKUP(BO$3,Conversions!$B$12:$E$34,4,0)*HLOOKUP($E139,'Equipment Assumptions'!$C$30:$Q$31,2,0),$H139*VLOOKUP($F139,Lists!$C$72:$R$232,COLUMNS(Lists!$C$69:O$69),0)*VLOOKUP(BO$3,Conversions!$B$12:$E$34,4,0)))</f>
        <v>0</v>
      </c>
      <c r="AL139" s="334">
        <f>IF($F139="",0,IF($A139="Default",$H139*VLOOKUP($F139,Lists!$C$72:$R$232,COLUMNS(Lists!$C$69:P$69),0)*VLOOKUP(BP$3,Conversions!$B$12:$E$34,4,0)*HLOOKUP($E139,'Equipment Assumptions'!$C$30:$Q$31,2,0),$H139*VLOOKUP($F139,Lists!$C$72:$R$232,COLUMNS(Lists!$C$69:P$69),0)*VLOOKUP(BP$3,Conversions!$B$12:$E$34,4,0)))</f>
        <v>0</v>
      </c>
      <c r="AM139" s="334">
        <f>IF($F139="",0,IF($A139="Default",$H139*VLOOKUP($F139,Lists!$C$72:$R$232,COLUMNS(Lists!$C$69:Q$69),0)*VLOOKUP(BQ$3,Conversions!$B$12:$E$34,4,0)*HLOOKUP($E139,'Equipment Assumptions'!$C$30:$Q$31,2,0),$H139*VLOOKUP($F139,Lists!$C$72:$R$232,COLUMNS(Lists!$C$69:Q$69),0)*VLOOKUP(BQ$3,Conversions!$B$12:$E$34,4,0)))</f>
        <v>0</v>
      </c>
      <c r="AN139" s="334">
        <f>IF($F139="",0,IF($A139="Default",$H139*VLOOKUP($F139,Lists!$C$72:$R$232,COLUMNS(Lists!$C$69:R$69),0)*VLOOKUP(BR$3,Conversions!$B$12:$E$34,4,0)*HLOOKUP($E139,'Equipment Assumptions'!$C$30:$Q$31,2,0),$H139*VLOOKUP($F139,Lists!$C$72:$R$232,COLUMNS(Lists!$C$69:R$69),0)*VLOOKUP(BR$3,Conversions!$B$12:$E$34,4,0)))</f>
        <v>0</v>
      </c>
      <c r="AO139" s="330">
        <f t="shared" si="162"/>
        <v>0</v>
      </c>
      <c r="AP139" s="333">
        <f>IF($F139="",0,IF($A139="Default",$I139*VLOOKUP($F139,Lists!$C$72:$R$232,COLUMNS(Lists!$C$69:E$69),0)*VLOOKUP(BE$3,Conversions!$B$12:$E$34,4,0)*HLOOKUP($E139,'Equipment Assumptions'!$C$30:$Q$31,2,0),$I139*VLOOKUP($F139,Lists!$C$72:$R$232,COLUMNS(Lists!$C$69:E$69),0)*VLOOKUP(BE$3,Conversions!$B$12:$E$34,4,0)))</f>
        <v>0</v>
      </c>
      <c r="AQ139" s="333">
        <f>IF($F139="",0,IF($A139="Default",$I139*VLOOKUP($F139,Lists!$C$72:$R$232,COLUMNS(Lists!$C$69:F$69),0)*VLOOKUP(BF$3,Conversions!$B$12:$E$34,4,0)*HLOOKUP($E139,'Equipment Assumptions'!$C$30:$Q$31,2,0),$I139*VLOOKUP($F139,Lists!$C$72:$R$232,COLUMNS(Lists!$C$69:F$69),0)*VLOOKUP(BF$3,Conversions!$B$12:$E$34,4,0)))</f>
        <v>0</v>
      </c>
      <c r="AR139" s="333">
        <f>IF($F139="",0,IF($A139="Default",$I139*VLOOKUP($F139,Lists!$C$72:$R$232,COLUMNS(Lists!$C$69:G$69),0)*VLOOKUP(BG$3,Conversions!$B$12:$E$34,4,0)*HLOOKUP($E139,'Equipment Assumptions'!$C$30:$Q$31,2,0),$I139*VLOOKUP($F139,Lists!$C$72:$R$232,COLUMNS(Lists!$C$69:G$69),0)*VLOOKUP(BG$3,Conversions!$B$12:$E$34,4,0)))</f>
        <v>0</v>
      </c>
      <c r="AS139" s="333">
        <f>IF($F139="",0,IF($A139="Default",$I139*VLOOKUP($F139,Lists!$C$72:$R$232,COLUMNS(Lists!$C$69:H$69),0)*VLOOKUP(BH$3,Conversions!$B$12:$E$34,4,0)*HLOOKUP($E139,'Equipment Assumptions'!$C$30:$Q$31,2,0),$I139*VLOOKUP($F139,Lists!$C$72:$R$232,COLUMNS(Lists!$C$69:H$69),0)*VLOOKUP(BH$3,Conversions!$B$12:$E$34,4,0)))</f>
        <v>0</v>
      </c>
      <c r="AT139" s="333">
        <f>IF($F139="",0,IF($A139="Default",$I139*VLOOKUP($F139,Lists!$C$72:$R$232,COLUMNS(Lists!$C$69:I$69),0)*VLOOKUP(BI$3,Conversions!$B$12:$E$34,4,0)*HLOOKUP($E139,'Equipment Assumptions'!$C$30:$Q$31,2,0),$I139*VLOOKUP($F139,Lists!$C$72:$R$232,COLUMNS(Lists!$C$69:I$69),0)*VLOOKUP(BI$3,Conversions!$B$12:$E$34,4,0)))</f>
        <v>0</v>
      </c>
      <c r="AU139" s="333">
        <f>IF($F139="",0,IF($A139="Default",$I139*VLOOKUP($F139,Lists!$C$72:$R$232,COLUMNS(Lists!$C$69:J$69),0)*VLOOKUP(BJ$3,Conversions!$B$12:$E$34,4,0)*HLOOKUP($E139,'Equipment Assumptions'!$C$30:$Q$31,2,0),$I139*VLOOKUP($F139,Lists!$C$72:$R$232,COLUMNS(Lists!$C$69:J$69),0)*VLOOKUP(BJ$3,Conversions!$B$12:$E$34,4,0)))</f>
        <v>0</v>
      </c>
      <c r="AV139" s="333">
        <f>IF($F139="",0,IF($A139="Default",$I139*VLOOKUP($F139,Lists!$C$72:$R$232,COLUMNS(Lists!$C$69:K$69),0)*VLOOKUP(BK$3,Conversions!$B$12:$E$34,4,0)*HLOOKUP($E139,'Equipment Assumptions'!$C$30:$Q$31,2,0),$I139*VLOOKUP($F139,Lists!$C$72:$R$232,COLUMNS(Lists!$C$69:K$69),0)*VLOOKUP(BK$3,Conversions!$B$12:$E$34,4,0)))</f>
        <v>0</v>
      </c>
      <c r="AW139" s="333">
        <f>IF($F139="",0,IF($A139="Default",$I139*VLOOKUP($F139,Lists!$C$72:$R$232,COLUMNS(Lists!$C$69:L$69),0)*VLOOKUP(BL$3,Conversions!$B$12:$E$34,4,0)*HLOOKUP($E139,'Equipment Assumptions'!$C$30:$Q$31,2,0),$I139*VLOOKUP($F139,Lists!$C$72:$R$232,COLUMNS(Lists!$C$69:L$69),0)*VLOOKUP(BL$3,Conversions!$B$12:$E$34,4,0)))</f>
        <v>0</v>
      </c>
      <c r="AX139" s="333">
        <f>IF($F139="",0,IF($A139="Default",$I139*VLOOKUP($F139,Lists!$C$72:$R$232,COLUMNS(Lists!$C$69:M$69),0)*VLOOKUP(BM$3,Conversions!$B$12:$E$34,4,0)*HLOOKUP($E139,'Equipment Assumptions'!$C$30:$Q$31,2,0),$I139*VLOOKUP($F139,Lists!$C$72:$R$232,COLUMNS(Lists!$C$69:M$69),0)*VLOOKUP(BM$3,Conversions!$B$12:$E$34,4,0)))</f>
        <v>0</v>
      </c>
      <c r="AY139" s="333">
        <f>IF($F139="",0,IF($A139="Default",$I139*VLOOKUP($F139,Lists!$C$72:$R$232,COLUMNS(Lists!$C$69:N$69),0)*VLOOKUP(BN$3,Conversions!$B$12:$E$34,4,0)*HLOOKUP($E139,'Equipment Assumptions'!$C$30:$Q$31,2,0),$I139*VLOOKUP($F139,Lists!$C$72:$R$232,COLUMNS(Lists!$C$69:N$69),0)*VLOOKUP(BN$3,Conversions!$B$12:$E$34,4,0)))</f>
        <v>0</v>
      </c>
      <c r="AZ139" s="333">
        <f>IF($F139="",0,IF($A139="Default",$I139*VLOOKUP($F139,Lists!$C$72:$R$232,COLUMNS(Lists!$C$69:O$69),0)*VLOOKUP(BO$3,Conversions!$B$12:$E$34,4,0)*HLOOKUP($E139,'Equipment Assumptions'!$C$30:$Q$31,2,0),$I139*VLOOKUP($F139,Lists!$C$72:$R$232,COLUMNS(Lists!$C$69:O$69),0)*VLOOKUP(BO$3,Conversions!$B$12:$E$34,4,0)))</f>
        <v>0</v>
      </c>
      <c r="BA139" s="333">
        <f>IF($F139="",0,IF($A139="Default",$I139*VLOOKUP($F139,Lists!$C$72:$R$232,COLUMNS(Lists!$C$69:P$69),0)*VLOOKUP(BP$3,Conversions!$B$12:$E$34,4,0)*HLOOKUP($E139,'Equipment Assumptions'!$C$30:$Q$31,2,0),$I139*VLOOKUP($F139,Lists!$C$72:$R$232,COLUMNS(Lists!$C$69:P$69),0)*VLOOKUP(BP$3,Conversions!$B$12:$E$34,4,0)))</f>
        <v>0</v>
      </c>
      <c r="BB139" s="333">
        <f>IF($F139="",0,IF($A139="Default",$I139*VLOOKUP($F139,Lists!$C$72:$R$232,COLUMNS(Lists!$C$69:Q$69),0)*VLOOKUP(BQ$3,Conversions!$B$12:$E$34,4,0)*HLOOKUP($E139,'Equipment Assumptions'!$C$30:$Q$31,2,0),$I139*VLOOKUP($F139,Lists!$C$72:$R$232,COLUMNS(Lists!$C$69:Q$69),0)*VLOOKUP(BQ$3,Conversions!$B$12:$E$34,4,0)))</f>
        <v>0</v>
      </c>
      <c r="BC139" s="333">
        <f>IF($F139="",0,IF($A139="Default",$I139*VLOOKUP($F139,Lists!$C$72:$R$232,COLUMNS(Lists!$C$69:R$69),0)*VLOOKUP(BR$3,Conversions!$B$12:$E$34,4,0)*HLOOKUP($E139,'Equipment Assumptions'!$C$30:$Q$31,2,0),$I139*VLOOKUP($F139,Lists!$C$72:$R$232,COLUMNS(Lists!$C$69:R$69),0)*VLOOKUP(BR$3,Conversions!$B$12:$E$34,4,0)))</f>
        <v>0</v>
      </c>
      <c r="BD139" s="333">
        <f t="shared" si="163"/>
        <v>0</v>
      </c>
      <c r="BE139" s="330">
        <f t="shared" si="164"/>
        <v>0</v>
      </c>
      <c r="BF139" s="330">
        <f t="shared" si="165"/>
        <v>0</v>
      </c>
      <c r="BG139" s="330">
        <f t="shared" si="166"/>
        <v>0</v>
      </c>
      <c r="BH139" s="330">
        <f t="shared" si="167"/>
        <v>0</v>
      </c>
      <c r="BI139" s="330">
        <f t="shared" si="168"/>
        <v>0</v>
      </c>
      <c r="BJ139" s="330">
        <f t="shared" si="169"/>
        <v>0</v>
      </c>
      <c r="BK139" s="330">
        <f t="shared" si="170"/>
        <v>0</v>
      </c>
      <c r="BL139" s="330">
        <f t="shared" si="171"/>
        <v>0</v>
      </c>
      <c r="BM139" s="330">
        <f t="shared" si="172"/>
        <v>0</v>
      </c>
      <c r="BN139" s="330">
        <f t="shared" si="173"/>
        <v>0</v>
      </c>
      <c r="BO139" s="330">
        <f t="shared" si="174"/>
        <v>0</v>
      </c>
      <c r="BP139" s="330">
        <f t="shared" si="175"/>
        <v>0</v>
      </c>
      <c r="BQ139" s="330">
        <f t="shared" si="176"/>
        <v>0</v>
      </c>
      <c r="BR139" s="330">
        <f t="shared" si="177"/>
        <v>0</v>
      </c>
      <c r="BS139" s="330">
        <f t="shared" si="178"/>
        <v>0</v>
      </c>
      <c r="BT139" s="329">
        <f t="shared" si="191"/>
        <v>0</v>
      </c>
      <c r="BU139" s="329">
        <f t="shared" si="191"/>
        <v>0</v>
      </c>
      <c r="BV139" s="329">
        <f t="shared" si="191"/>
        <v>0</v>
      </c>
      <c r="BW139" s="329">
        <f t="shared" si="191"/>
        <v>0</v>
      </c>
      <c r="BX139" s="329">
        <f t="shared" si="191"/>
        <v>0</v>
      </c>
      <c r="BY139" s="329">
        <f t="shared" si="191"/>
        <v>0</v>
      </c>
      <c r="BZ139" s="329">
        <f t="shared" si="191"/>
        <v>0</v>
      </c>
      <c r="CA139" s="329">
        <f t="shared" si="191"/>
        <v>0</v>
      </c>
      <c r="CB139" s="329">
        <f t="shared" si="191"/>
        <v>0</v>
      </c>
      <c r="CC139" s="329">
        <f t="shared" si="191"/>
        <v>0</v>
      </c>
      <c r="CD139" s="329">
        <f t="shared" si="191"/>
        <v>0</v>
      </c>
      <c r="CE139" s="329">
        <f t="shared" si="191"/>
        <v>0</v>
      </c>
      <c r="CF139" s="329">
        <f t="shared" si="191"/>
        <v>0</v>
      </c>
      <c r="CG139" s="329">
        <f t="shared" si="191"/>
        <v>0</v>
      </c>
      <c r="CH139" s="329">
        <f t="shared" si="191"/>
        <v>0</v>
      </c>
      <c r="CI139" s="329">
        <f t="shared" si="191"/>
        <v>0</v>
      </c>
      <c r="CJ139" s="331">
        <f t="shared" si="179"/>
        <v>0</v>
      </c>
      <c r="CK139" s="330">
        <f t="shared" si="180"/>
        <v>0</v>
      </c>
      <c r="CL139" s="330">
        <f t="shared" si="181"/>
        <v>0</v>
      </c>
      <c r="CM139" s="330">
        <f t="shared" si="182"/>
        <v>0</v>
      </c>
      <c r="CN139" s="330">
        <f t="shared" si="183"/>
        <v>0</v>
      </c>
      <c r="CO139" s="330">
        <f t="shared" si="184"/>
        <v>0</v>
      </c>
      <c r="CP139" s="330">
        <f t="shared" si="185"/>
        <v>0</v>
      </c>
      <c r="CQ139" s="330">
        <f t="shared" si="186"/>
        <v>0</v>
      </c>
      <c r="CR139" s="330">
        <f t="shared" si="187"/>
        <v>0</v>
      </c>
      <c r="CS139" s="330">
        <f t="shared" si="188"/>
        <v>0</v>
      </c>
      <c r="CT139" s="330">
        <f t="shared" si="189"/>
        <v>0</v>
      </c>
      <c r="CU139" s="330">
        <f t="shared" si="192"/>
        <v>0</v>
      </c>
      <c r="CV139" s="330">
        <f t="shared" si="192"/>
        <v>0</v>
      </c>
      <c r="CW139" s="330">
        <f t="shared" si="192"/>
        <v>0</v>
      </c>
      <c r="CX139" s="330">
        <f t="shared" si="192"/>
        <v>0</v>
      </c>
      <c r="CY139" s="330">
        <f t="shared" si="192"/>
        <v>0</v>
      </c>
      <c r="CZ139" s="330">
        <f t="shared" si="192"/>
        <v>0</v>
      </c>
      <c r="DA139" s="330">
        <f t="shared" si="192"/>
        <v>0</v>
      </c>
      <c r="DB139" s="330">
        <f t="shared" si="192"/>
        <v>0</v>
      </c>
      <c r="DC139" s="330">
        <f t="shared" si="192"/>
        <v>0</v>
      </c>
      <c r="DD139" s="330">
        <f t="shared" si="192"/>
        <v>0</v>
      </c>
      <c r="DE139" s="330">
        <f t="shared" si="193"/>
        <v>0</v>
      </c>
      <c r="DF139" s="330">
        <f t="shared" si="193"/>
        <v>0</v>
      </c>
      <c r="DG139" s="330">
        <f t="shared" si="193"/>
        <v>0</v>
      </c>
      <c r="DH139" s="330">
        <f t="shared" si="193"/>
        <v>0</v>
      </c>
      <c r="DI139" s="330">
        <f t="shared" si="193"/>
        <v>0</v>
      </c>
      <c r="DJ139" s="330">
        <f t="shared" si="193"/>
        <v>0</v>
      </c>
      <c r="DK139" s="330">
        <f t="shared" si="193"/>
        <v>0</v>
      </c>
      <c r="DL139" s="330">
        <f t="shared" si="193"/>
        <v>0</v>
      </c>
      <c r="DM139" s="330">
        <f t="shared" si="193"/>
        <v>0</v>
      </c>
      <c r="DN139" s="330">
        <f t="shared" si="193"/>
        <v>0</v>
      </c>
      <c r="DO139" s="330">
        <f t="shared" si="193"/>
        <v>0</v>
      </c>
      <c r="DP139" s="330">
        <f t="shared" si="190"/>
        <v>0</v>
      </c>
      <c r="DQ139" s="217"/>
      <c r="DR139" s="217"/>
      <c r="DS139" s="217"/>
      <c r="DT139" s="217"/>
    </row>
    <row r="140" spans="1:124" x14ac:dyDescent="0.3">
      <c r="A140" s="332" t="str">
        <f>IF(AND(F140&lt;&gt;"",OR('Simplified Screening 1'!G31=0,'Simplified Screening 1'!G31="I Don't Know")),"Default","")</f>
        <v/>
      </c>
      <c r="B140" s="221" t="s">
        <v>306</v>
      </c>
      <c r="C140" s="221" t="str">
        <f>IF('Simplified Screening 1'!C31=0,"",'Simplified Screening 1'!C31)</f>
        <v/>
      </c>
      <c r="D140" s="221" t="str">
        <f>IF('Simplified Screening 1'!D31=0,"",'Simplified Screening 1'!D31)</f>
        <v/>
      </c>
      <c r="E140" s="221" t="str">
        <f>IF('Simplified Screening 1'!E31=0,"",'Simplified Screening 1'!E31)</f>
        <v/>
      </c>
      <c r="F140" s="221" t="str">
        <f>'Simplified Screening 1'!R31</f>
        <v/>
      </c>
      <c r="G140" s="272">
        <f>'Simplified Screening 1'!H31*'Simplified Screening 1'!L31*Conversions!$C$4</f>
        <v>0</v>
      </c>
      <c r="H140" s="272">
        <f>'Simplified Screening 1'!I31*'Simplified Screening 1'!M31*'Simplified Screening 1'!J31*Conversions!$C$4</f>
        <v>0</v>
      </c>
      <c r="I140" s="272">
        <f>'Simplified Screening 1'!K31*'Simplified Screening 1'!N31*(1-'Simplified Screening 1'!O31)*Conversions!$C$4</f>
        <v>0</v>
      </c>
      <c r="J140" s="325">
        <f>IF('Simplified Screening 1'!P31=0,0,'Simplified Screening 1'!P31)</f>
        <v>0</v>
      </c>
      <c r="K140" s="325">
        <f>IF(AND(OR('Simplified Screening 1'!G31=0,'Simplified Screening 1'!G31="I Don't Know"),F140&lt;&gt;""),J140*HLOOKUP(E140,'Equipment Assumptions'!$C$30:$Q$31,2,0),IF(F140="Non-HFC",0,J140))</f>
        <v>0</v>
      </c>
      <c r="L140" s="333">
        <f>IF($F140="",0,IF($A140="Default",$G140*VLOOKUP($F140,Lists!$C$72:$R$232,COLUMNS(Lists!$C$69:E$69),0)*VLOOKUP(BE$3,Conversions!$B$12:$E$34,4,0)*HLOOKUP($E140,'Equipment Assumptions'!$C$30:$Q$31,2,0),$G140*VLOOKUP($F140,Lists!$C$72:$R$232,COLUMNS(Lists!$C$69:E$69),0)*VLOOKUP(BE$3,Conversions!$B$12:$E$34,4,0)))</f>
        <v>0</v>
      </c>
      <c r="M140" s="333">
        <f>IF($F140="",0,IF($A140="Default",$G140*VLOOKUP($F140,Lists!$C$72:$R$232,COLUMNS(Lists!$C$69:F$69),0)*VLOOKUP(BF$3,Conversions!$B$12:$E$34,4,0)*HLOOKUP($E140,'Equipment Assumptions'!$C$30:$Q$31,2,0),$G140*VLOOKUP($F140,Lists!$C$72:$R$232,COLUMNS(Lists!$C$69:F$69),0)*VLOOKUP(BF$3,Conversions!$B$12:$E$34,4,0)))</f>
        <v>0</v>
      </c>
      <c r="N140" s="333">
        <f>IF($F140="",0,IF($A140="Default",$G140*VLOOKUP($F140,Lists!$C$72:$R$232,COLUMNS(Lists!$C$69:G$69),0)*VLOOKUP(BG$3,Conversions!$B$12:$E$34,4,0)*HLOOKUP($E140,'Equipment Assumptions'!$C$30:$Q$31,2,0),$G140*VLOOKUP($F140,Lists!$C$72:$R$232,COLUMNS(Lists!$C$69:G$69),0)*VLOOKUP(BG$3,Conversions!$B$12:$E$34,4,0)))</f>
        <v>0</v>
      </c>
      <c r="O140" s="333">
        <f>IF($F140="",0,IF($A140="Default",$G140*VLOOKUP($F140,Lists!$C$72:$R$232,COLUMNS(Lists!$C$69:H$69),0)*VLOOKUP(BH$3,Conversions!$B$12:$E$34,4,0)*HLOOKUP($E140,'Equipment Assumptions'!$C$30:$Q$31,2,0),$G140*VLOOKUP($F140,Lists!$C$72:$R$232,COLUMNS(Lists!$C$69:H$69),0)*VLOOKUP(BH$3,Conversions!$B$12:$E$34,4,0)))</f>
        <v>0</v>
      </c>
      <c r="P140" s="333">
        <f>IF($F140="",0,IF($A140="Default",$G140*VLOOKUP($F140,Lists!$C$72:$R$232,COLUMNS(Lists!$C$69:I$69),0)*VLOOKUP(BI$3,Conversions!$B$12:$E$34,4,0)*HLOOKUP($E140,'Equipment Assumptions'!$C$30:$Q$31,2,0),$G140*VLOOKUP($F140,Lists!$C$72:$R$232,COLUMNS(Lists!$C$69:I$69),0)*VLOOKUP(BI$3,Conversions!$B$12:$E$34,4,0)))</f>
        <v>0</v>
      </c>
      <c r="Q140" s="333">
        <f>IF($F140="",0,IF($A140="Default",$G140*VLOOKUP($F140,Lists!$C$72:$R$232,COLUMNS(Lists!$C$69:J$69),0)*VLOOKUP(BJ$3,Conversions!$B$12:$E$34,4,0)*HLOOKUP($E140,'Equipment Assumptions'!$C$30:$Q$31,2,0),$G140*VLOOKUP($F140,Lists!$C$72:$R$232,COLUMNS(Lists!$C$69:J$69),0)*VLOOKUP(BJ$3,Conversions!$B$12:$E$34,4,0)))</f>
        <v>0</v>
      </c>
      <c r="R140" s="333">
        <f>IF($F140="",0,IF($A140="Default",$G140*VLOOKUP($F140,Lists!$C$72:$R$232,COLUMNS(Lists!$C$69:K$69),0)*VLOOKUP(BK$3,Conversions!$B$12:$E$34,4,0)*HLOOKUP($E140,'Equipment Assumptions'!$C$30:$Q$31,2,0),$G140*VLOOKUP($F140,Lists!$C$72:$R$232,COLUMNS(Lists!$C$69:K$69),0)*VLOOKUP(BK$3,Conversions!$B$12:$E$34,4,0)))</f>
        <v>0</v>
      </c>
      <c r="S140" s="333">
        <f>IF($F140="",0,IF($A140="Default",$G140*VLOOKUP($F140,Lists!$C$72:$R$232,COLUMNS(Lists!$C$69:L$69),0)*VLOOKUP(BL$3,Conversions!$B$12:$E$34,4,0)*HLOOKUP($E140,'Equipment Assumptions'!$C$30:$Q$31,2,0),$G140*VLOOKUP($F140,Lists!$C$72:$R$232,COLUMNS(Lists!$C$69:L$69),0)*VLOOKUP(BL$3,Conversions!$B$12:$E$34,4,0)))</f>
        <v>0</v>
      </c>
      <c r="T140" s="333">
        <f>IF($F140="",0,IF($A140="Default",$G140*VLOOKUP($F140,Lists!$C$72:$R$232,COLUMNS(Lists!$C$69:M$69),0)*VLOOKUP(BM$3,Conversions!$B$12:$E$34,4,0)*HLOOKUP($E140,'Equipment Assumptions'!$C$30:$Q$31,2,0),$G140*VLOOKUP($F140,Lists!$C$72:$R$232,COLUMNS(Lists!$C$69:M$69),0)*VLOOKUP(BM$3,Conversions!$B$12:$E$34,4,0)))</f>
        <v>0</v>
      </c>
      <c r="U140" s="333">
        <f>IF($F140="",0,IF($A140="Default",$G140*VLOOKUP($F140,Lists!$C$72:$R$232,COLUMNS(Lists!$C$69:N$69),0)*VLOOKUP(BN$3,Conversions!$B$12:$E$34,4,0)*HLOOKUP($E140,'Equipment Assumptions'!$C$30:$Q$31,2,0),$G140*VLOOKUP($F140,Lists!$C$72:$R$232,COLUMNS(Lists!$C$69:N$69),0)*VLOOKUP(BN$3,Conversions!$B$12:$E$34,4,0)))</f>
        <v>0</v>
      </c>
      <c r="V140" s="333">
        <f>IF($F140="",0,IF($A140="Default",$G140*VLOOKUP($F140,Lists!$C$72:$R$232,COLUMNS(Lists!$C$69:O$69),0)*VLOOKUP(BO$3,Conversions!$B$12:$E$34,4,0)*HLOOKUP($E140,'Equipment Assumptions'!$C$30:$Q$31,2,0),$G140*VLOOKUP($F140,Lists!$C$72:$R$232,COLUMNS(Lists!$C$69:O$69),0)*VLOOKUP(BO$3,Conversions!$B$12:$E$34,4,0)))</f>
        <v>0</v>
      </c>
      <c r="W140" s="333">
        <f>IF($F140="",0,IF($A140="Default",$G140*VLOOKUP($F140,Lists!$C$72:$R$232,COLUMNS(Lists!$C$69:P$69),0)*VLOOKUP(BP$3,Conversions!$B$12:$E$34,4,0)*HLOOKUP($E140,'Equipment Assumptions'!$C$30:$Q$31,2,0),$G140*VLOOKUP($F140,Lists!$C$72:$R$232,COLUMNS(Lists!$C$69:P$69),0)*VLOOKUP(BP$3,Conversions!$B$12:$E$34,4,0)))</f>
        <v>0</v>
      </c>
      <c r="X140" s="333">
        <f>IF($F140="",0,IF($A140="Default",$G140*VLOOKUP($F140,Lists!$C$72:$R$232,COLUMNS(Lists!$C$69:Q$69),0)*VLOOKUP(BQ$3,Conversions!$B$12:$E$34,4,0)*HLOOKUP($E140,'Equipment Assumptions'!$C$30:$Q$31,2,0),$G140*VLOOKUP($F140,Lists!$C$72:$R$232,COLUMNS(Lists!$C$69:Q$69),0)*VLOOKUP(BQ$3,Conversions!$B$12:$E$34,4,0)))</f>
        <v>0</v>
      </c>
      <c r="Y140" s="333">
        <f>IF($F140="",0,IF($A140="Default",$G140*VLOOKUP($F140,Lists!$C$72:$R$232,COLUMNS(Lists!$C$69:R$69),0)*VLOOKUP(BR$3,Conversions!$B$12:$E$34,4,0)*HLOOKUP($E140,'Equipment Assumptions'!$C$30:$Q$31,2,0),$G140*VLOOKUP($F140,Lists!$C$72:$R$232,COLUMNS(Lists!$C$69:R$69),0)*VLOOKUP(BR$3,Conversions!$B$12:$E$34,4,0)))</f>
        <v>0</v>
      </c>
      <c r="Z140" s="325">
        <f t="shared" si="161"/>
        <v>0</v>
      </c>
      <c r="AA140" s="334">
        <f>IF($F140="",0,IF($A140="Default",$H140*VLOOKUP($F140,Lists!$C$72:$R$232,COLUMNS(Lists!$C$69:E$69),0)*VLOOKUP(BE$3,Conversions!$B$12:$E$34,4,0)*HLOOKUP($E140,'Equipment Assumptions'!$C$30:$Q$31,2,0),$H140*VLOOKUP($F140,Lists!$C$72:$R$232,COLUMNS(Lists!$C$69:E$69),0)*VLOOKUP(BE$3,Conversions!$B$12:$E$34,4,0)))</f>
        <v>0</v>
      </c>
      <c r="AB140" s="334">
        <f>IF($F140="",0,IF($A140="Default",$H140*VLOOKUP($F140,Lists!$C$72:$R$232,COLUMNS(Lists!$C$69:F$69),0)*VLOOKUP(BF$3,Conversions!$B$12:$E$34,4,0)*HLOOKUP($E140,'Equipment Assumptions'!$C$30:$Q$31,2,0),$H140*VLOOKUP($F140,Lists!$C$72:$R$232,COLUMNS(Lists!$C$69:F$69),0)*VLOOKUP(BF$3,Conversions!$B$12:$E$34,4,0)))</f>
        <v>0</v>
      </c>
      <c r="AC140" s="334">
        <f>IF($F140="",0,IF($A140="Default",$H140*VLOOKUP($F140,Lists!$C$72:$R$232,COLUMNS(Lists!$C$69:G$69),0)*VLOOKUP(BG$3,Conversions!$B$12:$E$34,4,0)*HLOOKUP($E140,'Equipment Assumptions'!$C$30:$Q$31,2,0),$H140*VLOOKUP($F140,Lists!$C$72:$R$232,COLUMNS(Lists!$C$69:G$69),0)*VLOOKUP(BG$3,Conversions!$B$12:$E$34,4,0)))</f>
        <v>0</v>
      </c>
      <c r="AD140" s="334">
        <f>IF($F140="",0,IF($A140="Default",$H140*VLOOKUP($F140,Lists!$C$72:$R$232,COLUMNS(Lists!$C$69:H$69),0)*VLOOKUP(BH$3,Conversions!$B$12:$E$34,4,0)*HLOOKUP($E140,'Equipment Assumptions'!$C$30:$Q$31,2,0),$H140*VLOOKUP($F140,Lists!$C$72:$R$232,COLUMNS(Lists!$C$69:H$69),0)*VLOOKUP(BH$3,Conversions!$B$12:$E$34,4,0)))</f>
        <v>0</v>
      </c>
      <c r="AE140" s="334">
        <f>IF($F140="",0,IF($A140="Default",$H140*VLOOKUP($F140,Lists!$C$72:$R$232,COLUMNS(Lists!$C$69:I$69),0)*VLOOKUP(BI$3,Conversions!$B$12:$E$34,4,0)*HLOOKUP($E140,'Equipment Assumptions'!$C$30:$Q$31,2,0),$H140*VLOOKUP($F140,Lists!$C$72:$R$232,COLUMNS(Lists!$C$69:I$69),0)*VLOOKUP(BI$3,Conversions!$B$12:$E$34,4,0)))</f>
        <v>0</v>
      </c>
      <c r="AF140" s="334">
        <f>IF($F140="",0,IF($A140="Default",$H140*VLOOKUP($F140,Lists!$C$72:$R$232,COLUMNS(Lists!$C$69:J$69),0)*VLOOKUP(BJ$3,Conversions!$B$12:$E$34,4,0)*HLOOKUP($E140,'Equipment Assumptions'!$C$30:$Q$31,2,0),$H140*VLOOKUP($F140,Lists!$C$72:$R$232,COLUMNS(Lists!$C$69:J$69),0)*VLOOKUP(BJ$3,Conversions!$B$12:$E$34,4,0)))</f>
        <v>0</v>
      </c>
      <c r="AG140" s="334">
        <f>IF($F140="",0,IF($A140="Default",$H140*VLOOKUP($F140,Lists!$C$72:$R$232,COLUMNS(Lists!$C$69:K$69),0)*VLOOKUP(BK$3,Conversions!$B$12:$E$34,4,0)*HLOOKUP($E140,'Equipment Assumptions'!$C$30:$Q$31,2,0),$H140*VLOOKUP($F140,Lists!$C$72:$R$232,COLUMNS(Lists!$C$69:K$69),0)*VLOOKUP(BK$3,Conversions!$B$12:$E$34,4,0)))</f>
        <v>0</v>
      </c>
      <c r="AH140" s="334">
        <f>IF($F140="",0,IF($A140="Default",$H140*VLOOKUP($F140,Lists!$C$72:$R$232,COLUMNS(Lists!$C$69:L$69),0)*VLOOKUP(BL$3,Conversions!$B$12:$E$34,4,0)*HLOOKUP($E140,'Equipment Assumptions'!$C$30:$Q$31,2,0),$H140*VLOOKUP($F140,Lists!$C$72:$R$232,COLUMNS(Lists!$C$69:L$69),0)*VLOOKUP(BL$3,Conversions!$B$12:$E$34,4,0)))</f>
        <v>0</v>
      </c>
      <c r="AI140" s="334">
        <f>IF($F140="",0,IF($A140="Default",$H140*VLOOKUP($F140,Lists!$C$72:$R$232,COLUMNS(Lists!$C$69:M$69),0)*VLOOKUP(BM$3,Conversions!$B$12:$E$34,4,0)*HLOOKUP($E140,'Equipment Assumptions'!$C$30:$Q$31,2,0),$H140*VLOOKUP($F140,Lists!$C$72:$R$232,COLUMNS(Lists!$C$69:M$69),0)*VLOOKUP(BM$3,Conversions!$B$12:$E$34,4,0)))</f>
        <v>0</v>
      </c>
      <c r="AJ140" s="334">
        <f>IF($F140="",0,IF($A140="Default",$H140*VLOOKUP($F140,Lists!$C$72:$R$232,COLUMNS(Lists!$C$69:N$69),0)*VLOOKUP(BN$3,Conversions!$B$12:$E$34,4,0)*HLOOKUP($E140,'Equipment Assumptions'!$C$30:$Q$31,2,0),$H140*VLOOKUP($F140,Lists!$C$72:$R$232,COLUMNS(Lists!$C$69:N$69),0)*VLOOKUP(BN$3,Conversions!$B$12:$E$34,4,0)))</f>
        <v>0</v>
      </c>
      <c r="AK140" s="334">
        <f>IF($F140="",0,IF($A140="Default",$H140*VLOOKUP($F140,Lists!$C$72:$R$232,COLUMNS(Lists!$C$69:O$69),0)*VLOOKUP(BO$3,Conversions!$B$12:$E$34,4,0)*HLOOKUP($E140,'Equipment Assumptions'!$C$30:$Q$31,2,0),$H140*VLOOKUP($F140,Lists!$C$72:$R$232,COLUMNS(Lists!$C$69:O$69),0)*VLOOKUP(BO$3,Conversions!$B$12:$E$34,4,0)))</f>
        <v>0</v>
      </c>
      <c r="AL140" s="334">
        <f>IF($F140="",0,IF($A140="Default",$H140*VLOOKUP($F140,Lists!$C$72:$R$232,COLUMNS(Lists!$C$69:P$69),0)*VLOOKUP(BP$3,Conversions!$B$12:$E$34,4,0)*HLOOKUP($E140,'Equipment Assumptions'!$C$30:$Q$31,2,0),$H140*VLOOKUP($F140,Lists!$C$72:$R$232,COLUMNS(Lists!$C$69:P$69),0)*VLOOKUP(BP$3,Conversions!$B$12:$E$34,4,0)))</f>
        <v>0</v>
      </c>
      <c r="AM140" s="334">
        <f>IF($F140="",0,IF($A140="Default",$H140*VLOOKUP($F140,Lists!$C$72:$R$232,COLUMNS(Lists!$C$69:Q$69),0)*VLOOKUP(BQ$3,Conversions!$B$12:$E$34,4,0)*HLOOKUP($E140,'Equipment Assumptions'!$C$30:$Q$31,2,0),$H140*VLOOKUP($F140,Lists!$C$72:$R$232,COLUMNS(Lists!$C$69:Q$69),0)*VLOOKUP(BQ$3,Conversions!$B$12:$E$34,4,0)))</f>
        <v>0</v>
      </c>
      <c r="AN140" s="334">
        <f>IF($F140="",0,IF($A140="Default",$H140*VLOOKUP($F140,Lists!$C$72:$R$232,COLUMNS(Lists!$C$69:R$69),0)*VLOOKUP(BR$3,Conversions!$B$12:$E$34,4,0)*HLOOKUP($E140,'Equipment Assumptions'!$C$30:$Q$31,2,0),$H140*VLOOKUP($F140,Lists!$C$72:$R$232,COLUMNS(Lists!$C$69:R$69),0)*VLOOKUP(BR$3,Conversions!$B$12:$E$34,4,0)))</f>
        <v>0</v>
      </c>
      <c r="AO140" s="330">
        <f t="shared" si="162"/>
        <v>0</v>
      </c>
      <c r="AP140" s="333">
        <f>IF($F140="",0,IF($A140="Default",$I140*VLOOKUP($F140,Lists!$C$72:$R$232,COLUMNS(Lists!$C$69:E$69),0)*VLOOKUP(BE$3,Conversions!$B$12:$E$34,4,0)*HLOOKUP($E140,'Equipment Assumptions'!$C$30:$Q$31,2,0),$I140*VLOOKUP($F140,Lists!$C$72:$R$232,COLUMNS(Lists!$C$69:E$69),0)*VLOOKUP(BE$3,Conversions!$B$12:$E$34,4,0)))</f>
        <v>0</v>
      </c>
      <c r="AQ140" s="333">
        <f>IF($F140="",0,IF($A140="Default",$I140*VLOOKUP($F140,Lists!$C$72:$R$232,COLUMNS(Lists!$C$69:F$69),0)*VLOOKUP(BF$3,Conversions!$B$12:$E$34,4,0)*HLOOKUP($E140,'Equipment Assumptions'!$C$30:$Q$31,2,0),$I140*VLOOKUP($F140,Lists!$C$72:$R$232,COLUMNS(Lists!$C$69:F$69),0)*VLOOKUP(BF$3,Conversions!$B$12:$E$34,4,0)))</f>
        <v>0</v>
      </c>
      <c r="AR140" s="333">
        <f>IF($F140="",0,IF($A140="Default",$I140*VLOOKUP($F140,Lists!$C$72:$R$232,COLUMNS(Lists!$C$69:G$69),0)*VLOOKUP(BG$3,Conversions!$B$12:$E$34,4,0)*HLOOKUP($E140,'Equipment Assumptions'!$C$30:$Q$31,2,0),$I140*VLOOKUP($F140,Lists!$C$72:$R$232,COLUMNS(Lists!$C$69:G$69),0)*VLOOKUP(BG$3,Conversions!$B$12:$E$34,4,0)))</f>
        <v>0</v>
      </c>
      <c r="AS140" s="333">
        <f>IF($F140="",0,IF($A140="Default",$I140*VLOOKUP($F140,Lists!$C$72:$R$232,COLUMNS(Lists!$C$69:H$69),0)*VLOOKUP(BH$3,Conversions!$B$12:$E$34,4,0)*HLOOKUP($E140,'Equipment Assumptions'!$C$30:$Q$31,2,0),$I140*VLOOKUP($F140,Lists!$C$72:$R$232,COLUMNS(Lists!$C$69:H$69),0)*VLOOKUP(BH$3,Conversions!$B$12:$E$34,4,0)))</f>
        <v>0</v>
      </c>
      <c r="AT140" s="333">
        <f>IF($F140="",0,IF($A140="Default",$I140*VLOOKUP($F140,Lists!$C$72:$R$232,COLUMNS(Lists!$C$69:I$69),0)*VLOOKUP(BI$3,Conversions!$B$12:$E$34,4,0)*HLOOKUP($E140,'Equipment Assumptions'!$C$30:$Q$31,2,0),$I140*VLOOKUP($F140,Lists!$C$72:$R$232,COLUMNS(Lists!$C$69:I$69),0)*VLOOKUP(BI$3,Conversions!$B$12:$E$34,4,0)))</f>
        <v>0</v>
      </c>
      <c r="AU140" s="333">
        <f>IF($F140="",0,IF($A140="Default",$I140*VLOOKUP($F140,Lists!$C$72:$R$232,COLUMNS(Lists!$C$69:J$69),0)*VLOOKUP(BJ$3,Conversions!$B$12:$E$34,4,0)*HLOOKUP($E140,'Equipment Assumptions'!$C$30:$Q$31,2,0),$I140*VLOOKUP($F140,Lists!$C$72:$R$232,COLUMNS(Lists!$C$69:J$69),0)*VLOOKUP(BJ$3,Conversions!$B$12:$E$34,4,0)))</f>
        <v>0</v>
      </c>
      <c r="AV140" s="333">
        <f>IF($F140="",0,IF($A140="Default",$I140*VLOOKUP($F140,Lists!$C$72:$R$232,COLUMNS(Lists!$C$69:K$69),0)*VLOOKUP(BK$3,Conversions!$B$12:$E$34,4,0)*HLOOKUP($E140,'Equipment Assumptions'!$C$30:$Q$31,2,0),$I140*VLOOKUP($F140,Lists!$C$72:$R$232,COLUMNS(Lists!$C$69:K$69),0)*VLOOKUP(BK$3,Conversions!$B$12:$E$34,4,0)))</f>
        <v>0</v>
      </c>
      <c r="AW140" s="333">
        <f>IF($F140="",0,IF($A140="Default",$I140*VLOOKUP($F140,Lists!$C$72:$R$232,COLUMNS(Lists!$C$69:L$69),0)*VLOOKUP(BL$3,Conversions!$B$12:$E$34,4,0)*HLOOKUP($E140,'Equipment Assumptions'!$C$30:$Q$31,2,0),$I140*VLOOKUP($F140,Lists!$C$72:$R$232,COLUMNS(Lists!$C$69:L$69),0)*VLOOKUP(BL$3,Conversions!$B$12:$E$34,4,0)))</f>
        <v>0</v>
      </c>
      <c r="AX140" s="333">
        <f>IF($F140="",0,IF($A140="Default",$I140*VLOOKUP($F140,Lists!$C$72:$R$232,COLUMNS(Lists!$C$69:M$69),0)*VLOOKUP(BM$3,Conversions!$B$12:$E$34,4,0)*HLOOKUP($E140,'Equipment Assumptions'!$C$30:$Q$31,2,0),$I140*VLOOKUP($F140,Lists!$C$72:$R$232,COLUMNS(Lists!$C$69:M$69),0)*VLOOKUP(BM$3,Conversions!$B$12:$E$34,4,0)))</f>
        <v>0</v>
      </c>
      <c r="AY140" s="333">
        <f>IF($F140="",0,IF($A140="Default",$I140*VLOOKUP($F140,Lists!$C$72:$R$232,COLUMNS(Lists!$C$69:N$69),0)*VLOOKUP(BN$3,Conversions!$B$12:$E$34,4,0)*HLOOKUP($E140,'Equipment Assumptions'!$C$30:$Q$31,2,0),$I140*VLOOKUP($F140,Lists!$C$72:$R$232,COLUMNS(Lists!$C$69:N$69),0)*VLOOKUP(BN$3,Conversions!$B$12:$E$34,4,0)))</f>
        <v>0</v>
      </c>
      <c r="AZ140" s="333">
        <f>IF($F140="",0,IF($A140="Default",$I140*VLOOKUP($F140,Lists!$C$72:$R$232,COLUMNS(Lists!$C$69:O$69),0)*VLOOKUP(BO$3,Conversions!$B$12:$E$34,4,0)*HLOOKUP($E140,'Equipment Assumptions'!$C$30:$Q$31,2,0),$I140*VLOOKUP($F140,Lists!$C$72:$R$232,COLUMNS(Lists!$C$69:O$69),0)*VLOOKUP(BO$3,Conversions!$B$12:$E$34,4,0)))</f>
        <v>0</v>
      </c>
      <c r="BA140" s="333">
        <f>IF($F140="",0,IF($A140="Default",$I140*VLOOKUP($F140,Lists!$C$72:$R$232,COLUMNS(Lists!$C$69:P$69),0)*VLOOKUP(BP$3,Conversions!$B$12:$E$34,4,0)*HLOOKUP($E140,'Equipment Assumptions'!$C$30:$Q$31,2,0),$I140*VLOOKUP($F140,Lists!$C$72:$R$232,COLUMNS(Lists!$C$69:P$69),0)*VLOOKUP(BP$3,Conversions!$B$12:$E$34,4,0)))</f>
        <v>0</v>
      </c>
      <c r="BB140" s="333">
        <f>IF($F140="",0,IF($A140="Default",$I140*VLOOKUP($F140,Lists!$C$72:$R$232,COLUMNS(Lists!$C$69:Q$69),0)*VLOOKUP(BQ$3,Conversions!$B$12:$E$34,4,0)*HLOOKUP($E140,'Equipment Assumptions'!$C$30:$Q$31,2,0),$I140*VLOOKUP($F140,Lists!$C$72:$R$232,COLUMNS(Lists!$C$69:Q$69),0)*VLOOKUP(BQ$3,Conversions!$B$12:$E$34,4,0)))</f>
        <v>0</v>
      </c>
      <c r="BC140" s="333">
        <f>IF($F140="",0,IF($A140="Default",$I140*VLOOKUP($F140,Lists!$C$72:$R$232,COLUMNS(Lists!$C$69:R$69),0)*VLOOKUP(BR$3,Conversions!$B$12:$E$34,4,0)*HLOOKUP($E140,'Equipment Assumptions'!$C$30:$Q$31,2,0),$I140*VLOOKUP($F140,Lists!$C$72:$R$232,COLUMNS(Lists!$C$69:R$69),0)*VLOOKUP(BR$3,Conversions!$B$12:$E$34,4,0)))</f>
        <v>0</v>
      </c>
      <c r="BD140" s="333">
        <f t="shared" si="163"/>
        <v>0</v>
      </c>
      <c r="BE140" s="330">
        <f t="shared" si="164"/>
        <v>0</v>
      </c>
      <c r="BF140" s="330">
        <f t="shared" si="165"/>
        <v>0</v>
      </c>
      <c r="BG140" s="330">
        <f t="shared" si="166"/>
        <v>0</v>
      </c>
      <c r="BH140" s="330">
        <f t="shared" si="167"/>
        <v>0</v>
      </c>
      <c r="BI140" s="330">
        <f t="shared" si="168"/>
        <v>0</v>
      </c>
      <c r="BJ140" s="330">
        <f t="shared" si="169"/>
        <v>0</v>
      </c>
      <c r="BK140" s="330">
        <f t="shared" si="170"/>
        <v>0</v>
      </c>
      <c r="BL140" s="330">
        <f t="shared" si="171"/>
        <v>0</v>
      </c>
      <c r="BM140" s="330">
        <f t="shared" si="172"/>
        <v>0</v>
      </c>
      <c r="BN140" s="330">
        <f t="shared" si="173"/>
        <v>0</v>
      </c>
      <c r="BO140" s="330">
        <f t="shared" si="174"/>
        <v>0</v>
      </c>
      <c r="BP140" s="330">
        <f t="shared" si="175"/>
        <v>0</v>
      </c>
      <c r="BQ140" s="330">
        <f t="shared" si="176"/>
        <v>0</v>
      </c>
      <c r="BR140" s="330">
        <f t="shared" si="177"/>
        <v>0</v>
      </c>
      <c r="BS140" s="330">
        <f t="shared" si="178"/>
        <v>0</v>
      </c>
      <c r="BT140" s="329">
        <f t="shared" si="191"/>
        <v>0</v>
      </c>
      <c r="BU140" s="329">
        <f t="shared" si="191"/>
        <v>0</v>
      </c>
      <c r="BV140" s="329">
        <f t="shared" si="191"/>
        <v>0</v>
      </c>
      <c r="BW140" s="329">
        <f t="shared" si="191"/>
        <v>0</v>
      </c>
      <c r="BX140" s="329">
        <f t="shared" si="191"/>
        <v>0</v>
      </c>
      <c r="BY140" s="329">
        <f t="shared" si="191"/>
        <v>0</v>
      </c>
      <c r="BZ140" s="329">
        <f t="shared" si="191"/>
        <v>0</v>
      </c>
      <c r="CA140" s="329">
        <f t="shared" si="191"/>
        <v>0</v>
      </c>
      <c r="CB140" s="329">
        <f t="shared" si="191"/>
        <v>0</v>
      </c>
      <c r="CC140" s="329">
        <f t="shared" si="191"/>
        <v>0</v>
      </c>
      <c r="CD140" s="329">
        <f t="shared" si="191"/>
        <v>0</v>
      </c>
      <c r="CE140" s="329">
        <f t="shared" si="191"/>
        <v>0</v>
      </c>
      <c r="CF140" s="329">
        <f t="shared" si="191"/>
        <v>0</v>
      </c>
      <c r="CG140" s="329">
        <f t="shared" si="191"/>
        <v>0</v>
      </c>
      <c r="CH140" s="329">
        <f t="shared" si="191"/>
        <v>0</v>
      </c>
      <c r="CI140" s="329">
        <f t="shared" si="191"/>
        <v>0</v>
      </c>
      <c r="CJ140" s="331">
        <f t="shared" si="179"/>
        <v>0</v>
      </c>
      <c r="CK140" s="330">
        <f t="shared" si="180"/>
        <v>0</v>
      </c>
      <c r="CL140" s="330">
        <f t="shared" si="181"/>
        <v>0</v>
      </c>
      <c r="CM140" s="330">
        <f t="shared" si="182"/>
        <v>0</v>
      </c>
      <c r="CN140" s="330">
        <f t="shared" si="183"/>
        <v>0</v>
      </c>
      <c r="CO140" s="330">
        <f t="shared" si="184"/>
        <v>0</v>
      </c>
      <c r="CP140" s="330">
        <f t="shared" si="185"/>
        <v>0</v>
      </c>
      <c r="CQ140" s="330">
        <f t="shared" si="186"/>
        <v>0</v>
      </c>
      <c r="CR140" s="330">
        <f t="shared" si="187"/>
        <v>0</v>
      </c>
      <c r="CS140" s="330">
        <f t="shared" si="188"/>
        <v>0</v>
      </c>
      <c r="CT140" s="330">
        <f t="shared" si="189"/>
        <v>0</v>
      </c>
      <c r="CU140" s="330">
        <f t="shared" si="192"/>
        <v>0</v>
      </c>
      <c r="CV140" s="330">
        <f t="shared" si="192"/>
        <v>0</v>
      </c>
      <c r="CW140" s="330">
        <f t="shared" si="192"/>
        <v>0</v>
      </c>
      <c r="CX140" s="330">
        <f t="shared" si="192"/>
        <v>0</v>
      </c>
      <c r="CY140" s="330">
        <f t="shared" si="192"/>
        <v>0</v>
      </c>
      <c r="CZ140" s="330">
        <f t="shared" si="192"/>
        <v>0</v>
      </c>
      <c r="DA140" s="330">
        <f t="shared" si="192"/>
        <v>0</v>
      </c>
      <c r="DB140" s="330">
        <f t="shared" si="192"/>
        <v>0</v>
      </c>
      <c r="DC140" s="330">
        <f t="shared" si="192"/>
        <v>0</v>
      </c>
      <c r="DD140" s="330">
        <f t="shared" si="192"/>
        <v>0</v>
      </c>
      <c r="DE140" s="330">
        <f t="shared" si="193"/>
        <v>0</v>
      </c>
      <c r="DF140" s="330">
        <f t="shared" si="193"/>
        <v>0</v>
      </c>
      <c r="DG140" s="330">
        <f t="shared" si="193"/>
        <v>0</v>
      </c>
      <c r="DH140" s="330">
        <f t="shared" si="193"/>
        <v>0</v>
      </c>
      <c r="DI140" s="330">
        <f t="shared" si="193"/>
        <v>0</v>
      </c>
      <c r="DJ140" s="330">
        <f t="shared" si="193"/>
        <v>0</v>
      </c>
      <c r="DK140" s="330">
        <f t="shared" si="193"/>
        <v>0</v>
      </c>
      <c r="DL140" s="330">
        <f t="shared" si="193"/>
        <v>0</v>
      </c>
      <c r="DM140" s="330">
        <f t="shared" si="193"/>
        <v>0</v>
      </c>
      <c r="DN140" s="330">
        <f t="shared" si="193"/>
        <v>0</v>
      </c>
      <c r="DO140" s="330">
        <f t="shared" si="193"/>
        <v>0</v>
      </c>
      <c r="DP140" s="330">
        <f t="shared" si="190"/>
        <v>0</v>
      </c>
      <c r="DQ140" s="217"/>
      <c r="DR140" s="217"/>
      <c r="DS140" s="217"/>
      <c r="DT140" s="217"/>
    </row>
    <row r="141" spans="1:124" x14ac:dyDescent="0.3">
      <c r="A141" s="332" t="str">
        <f>IF(AND(F141&lt;&gt;"",OR('Simplified Screening 1'!G32=0,'Simplified Screening 1'!G32="I Don't Know")),"Default","")</f>
        <v/>
      </c>
      <c r="B141" s="221" t="s">
        <v>306</v>
      </c>
      <c r="C141" s="221" t="str">
        <f>IF('Simplified Screening 1'!C32=0,"",'Simplified Screening 1'!C32)</f>
        <v/>
      </c>
      <c r="D141" s="221" t="str">
        <f>IF('Simplified Screening 1'!D32=0,"",'Simplified Screening 1'!D32)</f>
        <v/>
      </c>
      <c r="E141" s="221" t="str">
        <f>IF('Simplified Screening 1'!E32=0,"",'Simplified Screening 1'!E32)</f>
        <v/>
      </c>
      <c r="F141" s="221" t="str">
        <f>'Simplified Screening 1'!R32</f>
        <v/>
      </c>
      <c r="G141" s="272">
        <f>'Simplified Screening 1'!H32*'Simplified Screening 1'!L32*Conversions!$C$4</f>
        <v>0</v>
      </c>
      <c r="H141" s="272">
        <f>'Simplified Screening 1'!I32*'Simplified Screening 1'!M32*'Simplified Screening 1'!J32*Conversions!$C$4</f>
        <v>0</v>
      </c>
      <c r="I141" s="272">
        <f>'Simplified Screening 1'!K32*'Simplified Screening 1'!N32*(1-'Simplified Screening 1'!O32)*Conversions!$C$4</f>
        <v>0</v>
      </c>
      <c r="J141" s="325">
        <f>IF('Simplified Screening 1'!P32=0,0,'Simplified Screening 1'!P32)</f>
        <v>0</v>
      </c>
      <c r="K141" s="325">
        <f>IF(AND(OR('Simplified Screening 1'!G32=0,'Simplified Screening 1'!G32="I Don't Know"),F141&lt;&gt;""),J141*HLOOKUP(E141,'Equipment Assumptions'!$C$30:$Q$31,2,0),IF(F141="Non-HFC",0,J141))</f>
        <v>0</v>
      </c>
      <c r="L141" s="333">
        <f>IF($F141="",0,IF($A141="Default",$G141*VLOOKUP($F141,Lists!$C$72:$R$232,COLUMNS(Lists!$C$69:E$69),0)*VLOOKUP(BE$3,Conversions!$B$12:$E$34,4,0)*HLOOKUP($E141,'Equipment Assumptions'!$C$30:$Q$31,2,0),$G141*VLOOKUP($F141,Lists!$C$72:$R$232,COLUMNS(Lists!$C$69:E$69),0)*VLOOKUP(BE$3,Conversions!$B$12:$E$34,4,0)))</f>
        <v>0</v>
      </c>
      <c r="M141" s="333">
        <f>IF($F141="",0,IF($A141="Default",$G141*VLOOKUP($F141,Lists!$C$72:$R$232,COLUMNS(Lists!$C$69:F$69),0)*VLOOKUP(BF$3,Conversions!$B$12:$E$34,4,0)*HLOOKUP($E141,'Equipment Assumptions'!$C$30:$Q$31,2,0),$G141*VLOOKUP($F141,Lists!$C$72:$R$232,COLUMNS(Lists!$C$69:F$69),0)*VLOOKUP(BF$3,Conversions!$B$12:$E$34,4,0)))</f>
        <v>0</v>
      </c>
      <c r="N141" s="333">
        <f>IF($F141="",0,IF($A141="Default",$G141*VLOOKUP($F141,Lists!$C$72:$R$232,COLUMNS(Lists!$C$69:G$69),0)*VLOOKUP(BG$3,Conversions!$B$12:$E$34,4,0)*HLOOKUP($E141,'Equipment Assumptions'!$C$30:$Q$31,2,0),$G141*VLOOKUP($F141,Lists!$C$72:$R$232,COLUMNS(Lists!$C$69:G$69),0)*VLOOKUP(BG$3,Conversions!$B$12:$E$34,4,0)))</f>
        <v>0</v>
      </c>
      <c r="O141" s="333">
        <f>IF($F141="",0,IF($A141="Default",$G141*VLOOKUP($F141,Lists!$C$72:$R$232,COLUMNS(Lists!$C$69:H$69),0)*VLOOKUP(BH$3,Conversions!$B$12:$E$34,4,0)*HLOOKUP($E141,'Equipment Assumptions'!$C$30:$Q$31,2,0),$G141*VLOOKUP($F141,Lists!$C$72:$R$232,COLUMNS(Lists!$C$69:H$69),0)*VLOOKUP(BH$3,Conversions!$B$12:$E$34,4,0)))</f>
        <v>0</v>
      </c>
      <c r="P141" s="333">
        <f>IF($F141="",0,IF($A141="Default",$G141*VLOOKUP($F141,Lists!$C$72:$R$232,COLUMNS(Lists!$C$69:I$69),0)*VLOOKUP(BI$3,Conversions!$B$12:$E$34,4,0)*HLOOKUP($E141,'Equipment Assumptions'!$C$30:$Q$31,2,0),$G141*VLOOKUP($F141,Lists!$C$72:$R$232,COLUMNS(Lists!$C$69:I$69),0)*VLOOKUP(BI$3,Conversions!$B$12:$E$34,4,0)))</f>
        <v>0</v>
      </c>
      <c r="Q141" s="333">
        <f>IF($F141="",0,IF($A141="Default",$G141*VLOOKUP($F141,Lists!$C$72:$R$232,COLUMNS(Lists!$C$69:J$69),0)*VLOOKUP(BJ$3,Conversions!$B$12:$E$34,4,0)*HLOOKUP($E141,'Equipment Assumptions'!$C$30:$Q$31,2,0),$G141*VLOOKUP($F141,Lists!$C$72:$R$232,COLUMNS(Lists!$C$69:J$69),0)*VLOOKUP(BJ$3,Conversions!$B$12:$E$34,4,0)))</f>
        <v>0</v>
      </c>
      <c r="R141" s="333">
        <f>IF($F141="",0,IF($A141="Default",$G141*VLOOKUP($F141,Lists!$C$72:$R$232,COLUMNS(Lists!$C$69:K$69),0)*VLOOKUP(BK$3,Conversions!$B$12:$E$34,4,0)*HLOOKUP($E141,'Equipment Assumptions'!$C$30:$Q$31,2,0),$G141*VLOOKUP($F141,Lists!$C$72:$R$232,COLUMNS(Lists!$C$69:K$69),0)*VLOOKUP(BK$3,Conversions!$B$12:$E$34,4,0)))</f>
        <v>0</v>
      </c>
      <c r="S141" s="333">
        <f>IF($F141="",0,IF($A141="Default",$G141*VLOOKUP($F141,Lists!$C$72:$R$232,COLUMNS(Lists!$C$69:L$69),0)*VLOOKUP(BL$3,Conversions!$B$12:$E$34,4,0)*HLOOKUP($E141,'Equipment Assumptions'!$C$30:$Q$31,2,0),$G141*VLOOKUP($F141,Lists!$C$72:$R$232,COLUMNS(Lists!$C$69:L$69),0)*VLOOKUP(BL$3,Conversions!$B$12:$E$34,4,0)))</f>
        <v>0</v>
      </c>
      <c r="T141" s="333">
        <f>IF($F141="",0,IF($A141="Default",$G141*VLOOKUP($F141,Lists!$C$72:$R$232,COLUMNS(Lists!$C$69:M$69),0)*VLOOKUP(BM$3,Conversions!$B$12:$E$34,4,0)*HLOOKUP($E141,'Equipment Assumptions'!$C$30:$Q$31,2,0),$G141*VLOOKUP($F141,Lists!$C$72:$R$232,COLUMNS(Lists!$C$69:M$69),0)*VLOOKUP(BM$3,Conversions!$B$12:$E$34,4,0)))</f>
        <v>0</v>
      </c>
      <c r="U141" s="333">
        <f>IF($F141="",0,IF($A141="Default",$G141*VLOOKUP($F141,Lists!$C$72:$R$232,COLUMNS(Lists!$C$69:N$69),0)*VLOOKUP(BN$3,Conversions!$B$12:$E$34,4,0)*HLOOKUP($E141,'Equipment Assumptions'!$C$30:$Q$31,2,0),$G141*VLOOKUP($F141,Lists!$C$72:$R$232,COLUMNS(Lists!$C$69:N$69),0)*VLOOKUP(BN$3,Conversions!$B$12:$E$34,4,0)))</f>
        <v>0</v>
      </c>
      <c r="V141" s="333">
        <f>IF($F141="",0,IF($A141="Default",$G141*VLOOKUP($F141,Lists!$C$72:$R$232,COLUMNS(Lists!$C$69:O$69),0)*VLOOKUP(BO$3,Conversions!$B$12:$E$34,4,0)*HLOOKUP($E141,'Equipment Assumptions'!$C$30:$Q$31,2,0),$G141*VLOOKUP($F141,Lists!$C$72:$R$232,COLUMNS(Lists!$C$69:O$69),0)*VLOOKUP(BO$3,Conversions!$B$12:$E$34,4,0)))</f>
        <v>0</v>
      </c>
      <c r="W141" s="333">
        <f>IF($F141="",0,IF($A141="Default",$G141*VLOOKUP($F141,Lists!$C$72:$R$232,COLUMNS(Lists!$C$69:P$69),0)*VLOOKUP(BP$3,Conversions!$B$12:$E$34,4,0)*HLOOKUP($E141,'Equipment Assumptions'!$C$30:$Q$31,2,0),$G141*VLOOKUP($F141,Lists!$C$72:$R$232,COLUMNS(Lists!$C$69:P$69),0)*VLOOKUP(BP$3,Conversions!$B$12:$E$34,4,0)))</f>
        <v>0</v>
      </c>
      <c r="X141" s="333">
        <f>IF($F141="",0,IF($A141="Default",$G141*VLOOKUP($F141,Lists!$C$72:$R$232,COLUMNS(Lists!$C$69:Q$69),0)*VLOOKUP(BQ$3,Conversions!$B$12:$E$34,4,0)*HLOOKUP($E141,'Equipment Assumptions'!$C$30:$Q$31,2,0),$G141*VLOOKUP($F141,Lists!$C$72:$R$232,COLUMNS(Lists!$C$69:Q$69),0)*VLOOKUP(BQ$3,Conversions!$B$12:$E$34,4,0)))</f>
        <v>0</v>
      </c>
      <c r="Y141" s="333">
        <f>IF($F141="",0,IF($A141="Default",$G141*VLOOKUP($F141,Lists!$C$72:$R$232,COLUMNS(Lists!$C$69:R$69),0)*VLOOKUP(BR$3,Conversions!$B$12:$E$34,4,0)*HLOOKUP($E141,'Equipment Assumptions'!$C$30:$Q$31,2,0),$G141*VLOOKUP($F141,Lists!$C$72:$R$232,COLUMNS(Lists!$C$69:R$69),0)*VLOOKUP(BR$3,Conversions!$B$12:$E$34,4,0)))</f>
        <v>0</v>
      </c>
      <c r="Z141" s="325">
        <f t="shared" si="161"/>
        <v>0</v>
      </c>
      <c r="AA141" s="334">
        <f>IF($F141="",0,IF($A141="Default",$H141*VLOOKUP($F141,Lists!$C$72:$R$232,COLUMNS(Lists!$C$69:E$69),0)*VLOOKUP(BE$3,Conversions!$B$12:$E$34,4,0)*HLOOKUP($E141,'Equipment Assumptions'!$C$30:$Q$31,2,0),$H141*VLOOKUP($F141,Lists!$C$72:$R$232,COLUMNS(Lists!$C$69:E$69),0)*VLOOKUP(BE$3,Conversions!$B$12:$E$34,4,0)))</f>
        <v>0</v>
      </c>
      <c r="AB141" s="334">
        <f>IF($F141="",0,IF($A141="Default",$H141*VLOOKUP($F141,Lists!$C$72:$R$232,COLUMNS(Lists!$C$69:F$69),0)*VLOOKUP(BF$3,Conversions!$B$12:$E$34,4,0)*HLOOKUP($E141,'Equipment Assumptions'!$C$30:$Q$31,2,0),$H141*VLOOKUP($F141,Lists!$C$72:$R$232,COLUMNS(Lists!$C$69:F$69),0)*VLOOKUP(BF$3,Conversions!$B$12:$E$34,4,0)))</f>
        <v>0</v>
      </c>
      <c r="AC141" s="334">
        <f>IF($F141="",0,IF($A141="Default",$H141*VLOOKUP($F141,Lists!$C$72:$R$232,COLUMNS(Lists!$C$69:G$69),0)*VLOOKUP(BG$3,Conversions!$B$12:$E$34,4,0)*HLOOKUP($E141,'Equipment Assumptions'!$C$30:$Q$31,2,0),$H141*VLOOKUP($F141,Lists!$C$72:$R$232,COLUMNS(Lists!$C$69:G$69),0)*VLOOKUP(BG$3,Conversions!$B$12:$E$34,4,0)))</f>
        <v>0</v>
      </c>
      <c r="AD141" s="334">
        <f>IF($F141="",0,IF($A141="Default",$H141*VLOOKUP($F141,Lists!$C$72:$R$232,COLUMNS(Lists!$C$69:H$69),0)*VLOOKUP(BH$3,Conversions!$B$12:$E$34,4,0)*HLOOKUP($E141,'Equipment Assumptions'!$C$30:$Q$31,2,0),$H141*VLOOKUP($F141,Lists!$C$72:$R$232,COLUMNS(Lists!$C$69:H$69),0)*VLOOKUP(BH$3,Conversions!$B$12:$E$34,4,0)))</f>
        <v>0</v>
      </c>
      <c r="AE141" s="334">
        <f>IF($F141="",0,IF($A141="Default",$H141*VLOOKUP($F141,Lists!$C$72:$R$232,COLUMNS(Lists!$C$69:I$69),0)*VLOOKUP(BI$3,Conversions!$B$12:$E$34,4,0)*HLOOKUP($E141,'Equipment Assumptions'!$C$30:$Q$31,2,0),$H141*VLOOKUP($F141,Lists!$C$72:$R$232,COLUMNS(Lists!$C$69:I$69),0)*VLOOKUP(BI$3,Conversions!$B$12:$E$34,4,0)))</f>
        <v>0</v>
      </c>
      <c r="AF141" s="334">
        <f>IF($F141="",0,IF($A141="Default",$H141*VLOOKUP($F141,Lists!$C$72:$R$232,COLUMNS(Lists!$C$69:J$69),0)*VLOOKUP(BJ$3,Conversions!$B$12:$E$34,4,0)*HLOOKUP($E141,'Equipment Assumptions'!$C$30:$Q$31,2,0),$H141*VLOOKUP($F141,Lists!$C$72:$R$232,COLUMNS(Lists!$C$69:J$69),0)*VLOOKUP(BJ$3,Conversions!$B$12:$E$34,4,0)))</f>
        <v>0</v>
      </c>
      <c r="AG141" s="334">
        <f>IF($F141="",0,IF($A141="Default",$H141*VLOOKUP($F141,Lists!$C$72:$R$232,COLUMNS(Lists!$C$69:K$69),0)*VLOOKUP(BK$3,Conversions!$B$12:$E$34,4,0)*HLOOKUP($E141,'Equipment Assumptions'!$C$30:$Q$31,2,0),$H141*VLOOKUP($F141,Lists!$C$72:$R$232,COLUMNS(Lists!$C$69:K$69),0)*VLOOKUP(BK$3,Conversions!$B$12:$E$34,4,0)))</f>
        <v>0</v>
      </c>
      <c r="AH141" s="334">
        <f>IF($F141="",0,IF($A141="Default",$H141*VLOOKUP($F141,Lists!$C$72:$R$232,COLUMNS(Lists!$C$69:L$69),0)*VLOOKUP(BL$3,Conversions!$B$12:$E$34,4,0)*HLOOKUP($E141,'Equipment Assumptions'!$C$30:$Q$31,2,0),$H141*VLOOKUP($F141,Lists!$C$72:$R$232,COLUMNS(Lists!$C$69:L$69),0)*VLOOKUP(BL$3,Conversions!$B$12:$E$34,4,0)))</f>
        <v>0</v>
      </c>
      <c r="AI141" s="334">
        <f>IF($F141="",0,IF($A141="Default",$H141*VLOOKUP($F141,Lists!$C$72:$R$232,COLUMNS(Lists!$C$69:M$69),0)*VLOOKUP(BM$3,Conversions!$B$12:$E$34,4,0)*HLOOKUP($E141,'Equipment Assumptions'!$C$30:$Q$31,2,0),$H141*VLOOKUP($F141,Lists!$C$72:$R$232,COLUMNS(Lists!$C$69:M$69),0)*VLOOKUP(BM$3,Conversions!$B$12:$E$34,4,0)))</f>
        <v>0</v>
      </c>
      <c r="AJ141" s="334">
        <f>IF($F141="",0,IF($A141="Default",$H141*VLOOKUP($F141,Lists!$C$72:$R$232,COLUMNS(Lists!$C$69:N$69),0)*VLOOKUP(BN$3,Conversions!$B$12:$E$34,4,0)*HLOOKUP($E141,'Equipment Assumptions'!$C$30:$Q$31,2,0),$H141*VLOOKUP($F141,Lists!$C$72:$R$232,COLUMNS(Lists!$C$69:N$69),0)*VLOOKUP(BN$3,Conversions!$B$12:$E$34,4,0)))</f>
        <v>0</v>
      </c>
      <c r="AK141" s="334">
        <f>IF($F141="",0,IF($A141="Default",$H141*VLOOKUP($F141,Lists!$C$72:$R$232,COLUMNS(Lists!$C$69:O$69),0)*VLOOKUP(BO$3,Conversions!$B$12:$E$34,4,0)*HLOOKUP($E141,'Equipment Assumptions'!$C$30:$Q$31,2,0),$H141*VLOOKUP($F141,Lists!$C$72:$R$232,COLUMNS(Lists!$C$69:O$69),0)*VLOOKUP(BO$3,Conversions!$B$12:$E$34,4,0)))</f>
        <v>0</v>
      </c>
      <c r="AL141" s="334">
        <f>IF($F141="",0,IF($A141="Default",$H141*VLOOKUP($F141,Lists!$C$72:$R$232,COLUMNS(Lists!$C$69:P$69),0)*VLOOKUP(BP$3,Conversions!$B$12:$E$34,4,0)*HLOOKUP($E141,'Equipment Assumptions'!$C$30:$Q$31,2,0),$H141*VLOOKUP($F141,Lists!$C$72:$R$232,COLUMNS(Lists!$C$69:P$69),0)*VLOOKUP(BP$3,Conversions!$B$12:$E$34,4,0)))</f>
        <v>0</v>
      </c>
      <c r="AM141" s="334">
        <f>IF($F141="",0,IF($A141="Default",$H141*VLOOKUP($F141,Lists!$C$72:$R$232,COLUMNS(Lists!$C$69:Q$69),0)*VLOOKUP(BQ$3,Conversions!$B$12:$E$34,4,0)*HLOOKUP($E141,'Equipment Assumptions'!$C$30:$Q$31,2,0),$H141*VLOOKUP($F141,Lists!$C$72:$R$232,COLUMNS(Lists!$C$69:Q$69),0)*VLOOKUP(BQ$3,Conversions!$B$12:$E$34,4,0)))</f>
        <v>0</v>
      </c>
      <c r="AN141" s="334">
        <f>IF($F141="",0,IF($A141="Default",$H141*VLOOKUP($F141,Lists!$C$72:$R$232,COLUMNS(Lists!$C$69:R$69),0)*VLOOKUP(BR$3,Conversions!$B$12:$E$34,4,0)*HLOOKUP($E141,'Equipment Assumptions'!$C$30:$Q$31,2,0),$H141*VLOOKUP($F141,Lists!$C$72:$R$232,COLUMNS(Lists!$C$69:R$69),0)*VLOOKUP(BR$3,Conversions!$B$12:$E$34,4,0)))</f>
        <v>0</v>
      </c>
      <c r="AO141" s="330">
        <f t="shared" si="162"/>
        <v>0</v>
      </c>
      <c r="AP141" s="333">
        <f>IF($F141="",0,IF($A141="Default",$I141*VLOOKUP($F141,Lists!$C$72:$R$232,COLUMNS(Lists!$C$69:E$69),0)*VLOOKUP(BE$3,Conversions!$B$12:$E$34,4,0)*HLOOKUP($E141,'Equipment Assumptions'!$C$30:$Q$31,2,0),$I141*VLOOKUP($F141,Lists!$C$72:$R$232,COLUMNS(Lists!$C$69:E$69),0)*VLOOKUP(BE$3,Conversions!$B$12:$E$34,4,0)))</f>
        <v>0</v>
      </c>
      <c r="AQ141" s="333">
        <f>IF($F141="",0,IF($A141="Default",$I141*VLOOKUP($F141,Lists!$C$72:$R$232,COLUMNS(Lists!$C$69:F$69),0)*VLOOKUP(BF$3,Conversions!$B$12:$E$34,4,0)*HLOOKUP($E141,'Equipment Assumptions'!$C$30:$Q$31,2,0),$I141*VLOOKUP($F141,Lists!$C$72:$R$232,COLUMNS(Lists!$C$69:F$69),0)*VLOOKUP(BF$3,Conversions!$B$12:$E$34,4,0)))</f>
        <v>0</v>
      </c>
      <c r="AR141" s="333">
        <f>IF($F141="",0,IF($A141="Default",$I141*VLOOKUP($F141,Lists!$C$72:$R$232,COLUMNS(Lists!$C$69:G$69),0)*VLOOKUP(BG$3,Conversions!$B$12:$E$34,4,0)*HLOOKUP($E141,'Equipment Assumptions'!$C$30:$Q$31,2,0),$I141*VLOOKUP($F141,Lists!$C$72:$R$232,COLUMNS(Lists!$C$69:G$69),0)*VLOOKUP(BG$3,Conversions!$B$12:$E$34,4,0)))</f>
        <v>0</v>
      </c>
      <c r="AS141" s="333">
        <f>IF($F141="",0,IF($A141="Default",$I141*VLOOKUP($F141,Lists!$C$72:$R$232,COLUMNS(Lists!$C$69:H$69),0)*VLOOKUP(BH$3,Conversions!$B$12:$E$34,4,0)*HLOOKUP($E141,'Equipment Assumptions'!$C$30:$Q$31,2,0),$I141*VLOOKUP($F141,Lists!$C$72:$R$232,COLUMNS(Lists!$C$69:H$69),0)*VLOOKUP(BH$3,Conversions!$B$12:$E$34,4,0)))</f>
        <v>0</v>
      </c>
      <c r="AT141" s="333">
        <f>IF($F141="",0,IF($A141="Default",$I141*VLOOKUP($F141,Lists!$C$72:$R$232,COLUMNS(Lists!$C$69:I$69),0)*VLOOKUP(BI$3,Conversions!$B$12:$E$34,4,0)*HLOOKUP($E141,'Equipment Assumptions'!$C$30:$Q$31,2,0),$I141*VLOOKUP($F141,Lists!$C$72:$R$232,COLUMNS(Lists!$C$69:I$69),0)*VLOOKUP(BI$3,Conversions!$B$12:$E$34,4,0)))</f>
        <v>0</v>
      </c>
      <c r="AU141" s="333">
        <f>IF($F141="",0,IF($A141="Default",$I141*VLOOKUP($F141,Lists!$C$72:$R$232,COLUMNS(Lists!$C$69:J$69),0)*VLOOKUP(BJ$3,Conversions!$B$12:$E$34,4,0)*HLOOKUP($E141,'Equipment Assumptions'!$C$30:$Q$31,2,0),$I141*VLOOKUP($F141,Lists!$C$72:$R$232,COLUMNS(Lists!$C$69:J$69),0)*VLOOKUP(BJ$3,Conversions!$B$12:$E$34,4,0)))</f>
        <v>0</v>
      </c>
      <c r="AV141" s="333">
        <f>IF($F141="",0,IF($A141="Default",$I141*VLOOKUP($F141,Lists!$C$72:$R$232,COLUMNS(Lists!$C$69:K$69),0)*VLOOKUP(BK$3,Conversions!$B$12:$E$34,4,0)*HLOOKUP($E141,'Equipment Assumptions'!$C$30:$Q$31,2,0),$I141*VLOOKUP($F141,Lists!$C$72:$R$232,COLUMNS(Lists!$C$69:K$69),0)*VLOOKUP(BK$3,Conversions!$B$12:$E$34,4,0)))</f>
        <v>0</v>
      </c>
      <c r="AW141" s="333">
        <f>IF($F141="",0,IF($A141="Default",$I141*VLOOKUP($F141,Lists!$C$72:$R$232,COLUMNS(Lists!$C$69:L$69),0)*VLOOKUP(BL$3,Conversions!$B$12:$E$34,4,0)*HLOOKUP($E141,'Equipment Assumptions'!$C$30:$Q$31,2,0),$I141*VLOOKUP($F141,Lists!$C$72:$R$232,COLUMNS(Lists!$C$69:L$69),0)*VLOOKUP(BL$3,Conversions!$B$12:$E$34,4,0)))</f>
        <v>0</v>
      </c>
      <c r="AX141" s="333">
        <f>IF($F141="",0,IF($A141="Default",$I141*VLOOKUP($F141,Lists!$C$72:$R$232,COLUMNS(Lists!$C$69:M$69),0)*VLOOKUP(BM$3,Conversions!$B$12:$E$34,4,0)*HLOOKUP($E141,'Equipment Assumptions'!$C$30:$Q$31,2,0),$I141*VLOOKUP($F141,Lists!$C$72:$R$232,COLUMNS(Lists!$C$69:M$69),0)*VLOOKUP(BM$3,Conversions!$B$12:$E$34,4,0)))</f>
        <v>0</v>
      </c>
      <c r="AY141" s="333">
        <f>IF($F141="",0,IF($A141="Default",$I141*VLOOKUP($F141,Lists!$C$72:$R$232,COLUMNS(Lists!$C$69:N$69),0)*VLOOKUP(BN$3,Conversions!$B$12:$E$34,4,0)*HLOOKUP($E141,'Equipment Assumptions'!$C$30:$Q$31,2,0),$I141*VLOOKUP($F141,Lists!$C$72:$R$232,COLUMNS(Lists!$C$69:N$69),0)*VLOOKUP(BN$3,Conversions!$B$12:$E$34,4,0)))</f>
        <v>0</v>
      </c>
      <c r="AZ141" s="333">
        <f>IF($F141="",0,IF($A141="Default",$I141*VLOOKUP($F141,Lists!$C$72:$R$232,COLUMNS(Lists!$C$69:O$69),0)*VLOOKUP(BO$3,Conversions!$B$12:$E$34,4,0)*HLOOKUP($E141,'Equipment Assumptions'!$C$30:$Q$31,2,0),$I141*VLOOKUP($F141,Lists!$C$72:$R$232,COLUMNS(Lists!$C$69:O$69),0)*VLOOKUP(BO$3,Conversions!$B$12:$E$34,4,0)))</f>
        <v>0</v>
      </c>
      <c r="BA141" s="333">
        <f>IF($F141="",0,IF($A141="Default",$I141*VLOOKUP($F141,Lists!$C$72:$R$232,COLUMNS(Lists!$C$69:P$69),0)*VLOOKUP(BP$3,Conversions!$B$12:$E$34,4,0)*HLOOKUP($E141,'Equipment Assumptions'!$C$30:$Q$31,2,0),$I141*VLOOKUP($F141,Lists!$C$72:$R$232,COLUMNS(Lists!$C$69:P$69),0)*VLOOKUP(BP$3,Conversions!$B$12:$E$34,4,0)))</f>
        <v>0</v>
      </c>
      <c r="BB141" s="333">
        <f>IF($F141="",0,IF($A141="Default",$I141*VLOOKUP($F141,Lists!$C$72:$R$232,COLUMNS(Lists!$C$69:Q$69),0)*VLOOKUP(BQ$3,Conversions!$B$12:$E$34,4,0)*HLOOKUP($E141,'Equipment Assumptions'!$C$30:$Q$31,2,0),$I141*VLOOKUP($F141,Lists!$C$72:$R$232,COLUMNS(Lists!$C$69:Q$69),0)*VLOOKUP(BQ$3,Conversions!$B$12:$E$34,4,0)))</f>
        <v>0</v>
      </c>
      <c r="BC141" s="333">
        <f>IF($F141="",0,IF($A141="Default",$I141*VLOOKUP($F141,Lists!$C$72:$R$232,COLUMNS(Lists!$C$69:R$69),0)*VLOOKUP(BR$3,Conversions!$B$12:$E$34,4,0)*HLOOKUP($E141,'Equipment Assumptions'!$C$30:$Q$31,2,0),$I141*VLOOKUP($F141,Lists!$C$72:$R$232,COLUMNS(Lists!$C$69:R$69),0)*VLOOKUP(BR$3,Conversions!$B$12:$E$34,4,0)))</f>
        <v>0</v>
      </c>
      <c r="BD141" s="333">
        <f t="shared" si="163"/>
        <v>0</v>
      </c>
      <c r="BE141" s="330">
        <f t="shared" si="164"/>
        <v>0</v>
      </c>
      <c r="BF141" s="330">
        <f t="shared" si="165"/>
        <v>0</v>
      </c>
      <c r="BG141" s="330">
        <f t="shared" si="166"/>
        <v>0</v>
      </c>
      <c r="BH141" s="330">
        <f t="shared" si="167"/>
        <v>0</v>
      </c>
      <c r="BI141" s="330">
        <f t="shared" si="168"/>
        <v>0</v>
      </c>
      <c r="BJ141" s="330">
        <f t="shared" si="169"/>
        <v>0</v>
      </c>
      <c r="BK141" s="330">
        <f t="shared" si="170"/>
        <v>0</v>
      </c>
      <c r="BL141" s="330">
        <f t="shared" si="171"/>
        <v>0</v>
      </c>
      <c r="BM141" s="330">
        <f t="shared" si="172"/>
        <v>0</v>
      </c>
      <c r="BN141" s="330">
        <f t="shared" si="173"/>
        <v>0</v>
      </c>
      <c r="BO141" s="330">
        <f t="shared" si="174"/>
        <v>0</v>
      </c>
      <c r="BP141" s="330">
        <f t="shared" si="175"/>
        <v>0</v>
      </c>
      <c r="BQ141" s="330">
        <f t="shared" si="176"/>
        <v>0</v>
      </c>
      <c r="BR141" s="330">
        <f t="shared" si="177"/>
        <v>0</v>
      </c>
      <c r="BS141" s="330">
        <f t="shared" si="178"/>
        <v>0</v>
      </c>
      <c r="BT141" s="329">
        <f t="shared" si="191"/>
        <v>0</v>
      </c>
      <c r="BU141" s="329">
        <f t="shared" si="191"/>
        <v>0</v>
      </c>
      <c r="BV141" s="329">
        <f t="shared" si="191"/>
        <v>0</v>
      </c>
      <c r="BW141" s="329">
        <f t="shared" si="191"/>
        <v>0</v>
      </c>
      <c r="BX141" s="329">
        <f t="shared" si="191"/>
        <v>0</v>
      </c>
      <c r="BY141" s="329">
        <f t="shared" si="191"/>
        <v>0</v>
      </c>
      <c r="BZ141" s="329">
        <f t="shared" si="191"/>
        <v>0</v>
      </c>
      <c r="CA141" s="329">
        <f t="shared" si="191"/>
        <v>0</v>
      </c>
      <c r="CB141" s="329">
        <f t="shared" si="191"/>
        <v>0</v>
      </c>
      <c r="CC141" s="329">
        <f t="shared" si="191"/>
        <v>0</v>
      </c>
      <c r="CD141" s="329">
        <f t="shared" si="191"/>
        <v>0</v>
      </c>
      <c r="CE141" s="329">
        <f t="shared" si="191"/>
        <v>0</v>
      </c>
      <c r="CF141" s="329">
        <f t="shared" si="191"/>
        <v>0</v>
      </c>
      <c r="CG141" s="329">
        <f t="shared" si="191"/>
        <v>0</v>
      </c>
      <c r="CH141" s="329">
        <f t="shared" si="191"/>
        <v>0</v>
      </c>
      <c r="CI141" s="329">
        <f t="shared" si="191"/>
        <v>0</v>
      </c>
      <c r="CJ141" s="331">
        <f t="shared" si="179"/>
        <v>0</v>
      </c>
      <c r="CK141" s="330">
        <f t="shared" si="180"/>
        <v>0</v>
      </c>
      <c r="CL141" s="330">
        <f t="shared" si="181"/>
        <v>0</v>
      </c>
      <c r="CM141" s="330">
        <f t="shared" si="182"/>
        <v>0</v>
      </c>
      <c r="CN141" s="330">
        <f t="shared" si="183"/>
        <v>0</v>
      </c>
      <c r="CO141" s="330">
        <f t="shared" si="184"/>
        <v>0</v>
      </c>
      <c r="CP141" s="330">
        <f t="shared" si="185"/>
        <v>0</v>
      </c>
      <c r="CQ141" s="330">
        <f t="shared" si="186"/>
        <v>0</v>
      </c>
      <c r="CR141" s="330">
        <f t="shared" si="187"/>
        <v>0</v>
      </c>
      <c r="CS141" s="330">
        <f t="shared" si="188"/>
        <v>0</v>
      </c>
      <c r="CT141" s="330">
        <f t="shared" si="189"/>
        <v>0</v>
      </c>
      <c r="CU141" s="330">
        <f t="shared" si="192"/>
        <v>0</v>
      </c>
      <c r="CV141" s="330">
        <f t="shared" si="192"/>
        <v>0</v>
      </c>
      <c r="CW141" s="330">
        <f t="shared" si="192"/>
        <v>0</v>
      </c>
      <c r="CX141" s="330">
        <f t="shared" si="192"/>
        <v>0</v>
      </c>
      <c r="CY141" s="330">
        <f t="shared" si="192"/>
        <v>0</v>
      </c>
      <c r="CZ141" s="330">
        <f t="shared" si="192"/>
        <v>0</v>
      </c>
      <c r="DA141" s="330">
        <f t="shared" si="192"/>
        <v>0</v>
      </c>
      <c r="DB141" s="330">
        <f t="shared" si="192"/>
        <v>0</v>
      </c>
      <c r="DC141" s="330">
        <f t="shared" si="192"/>
        <v>0</v>
      </c>
      <c r="DD141" s="330">
        <f t="shared" si="192"/>
        <v>0</v>
      </c>
      <c r="DE141" s="330">
        <f t="shared" si="193"/>
        <v>0</v>
      </c>
      <c r="DF141" s="330">
        <f t="shared" si="193"/>
        <v>0</v>
      </c>
      <c r="DG141" s="330">
        <f t="shared" si="193"/>
        <v>0</v>
      </c>
      <c r="DH141" s="330">
        <f t="shared" si="193"/>
        <v>0</v>
      </c>
      <c r="DI141" s="330">
        <f t="shared" si="193"/>
        <v>0</v>
      </c>
      <c r="DJ141" s="330">
        <f t="shared" si="193"/>
        <v>0</v>
      </c>
      <c r="DK141" s="330">
        <f t="shared" si="193"/>
        <v>0</v>
      </c>
      <c r="DL141" s="330">
        <f t="shared" si="193"/>
        <v>0</v>
      </c>
      <c r="DM141" s="330">
        <f t="shared" si="193"/>
        <v>0</v>
      </c>
      <c r="DN141" s="330">
        <f t="shared" si="193"/>
        <v>0</v>
      </c>
      <c r="DO141" s="330">
        <f t="shared" si="193"/>
        <v>0</v>
      </c>
      <c r="DP141" s="330">
        <f t="shared" si="190"/>
        <v>0</v>
      </c>
      <c r="DQ141" s="217"/>
      <c r="DR141" s="217"/>
      <c r="DS141" s="217"/>
      <c r="DT141" s="217"/>
    </row>
    <row r="142" spans="1:124" x14ac:dyDescent="0.3">
      <c r="A142" s="332" t="str">
        <f>IF(AND(F142&lt;&gt;"",OR('Simplified Screening 1'!G33=0,'Simplified Screening 1'!G33="I Don't Know")),"Default","")</f>
        <v/>
      </c>
      <c r="B142" s="221" t="s">
        <v>306</v>
      </c>
      <c r="C142" s="221" t="str">
        <f>IF('Simplified Screening 1'!C33=0,"",'Simplified Screening 1'!C33)</f>
        <v/>
      </c>
      <c r="D142" s="221" t="str">
        <f>IF('Simplified Screening 1'!D33=0,"",'Simplified Screening 1'!D33)</f>
        <v/>
      </c>
      <c r="E142" s="221" t="str">
        <f>IF('Simplified Screening 1'!E33=0,"",'Simplified Screening 1'!E33)</f>
        <v/>
      </c>
      <c r="F142" s="221" t="str">
        <f>'Simplified Screening 1'!R33</f>
        <v/>
      </c>
      <c r="G142" s="272">
        <f>'Simplified Screening 1'!H33*'Simplified Screening 1'!L33*Conversions!$C$4</f>
        <v>0</v>
      </c>
      <c r="H142" s="272">
        <f>'Simplified Screening 1'!I33*'Simplified Screening 1'!M33*'Simplified Screening 1'!J33*Conversions!$C$4</f>
        <v>0</v>
      </c>
      <c r="I142" s="272">
        <f>'Simplified Screening 1'!K33*'Simplified Screening 1'!N33*(1-'Simplified Screening 1'!O33)*Conversions!$C$4</f>
        <v>0</v>
      </c>
      <c r="J142" s="325">
        <f>IF('Simplified Screening 1'!P33=0,0,'Simplified Screening 1'!P33)</f>
        <v>0</v>
      </c>
      <c r="K142" s="325">
        <f>IF(AND(OR('Simplified Screening 1'!G33=0,'Simplified Screening 1'!G33="I Don't Know"),F142&lt;&gt;""),J142*HLOOKUP(E142,'Equipment Assumptions'!$C$30:$Q$31,2,0),IF(F142="Non-HFC",0,J142))</f>
        <v>0</v>
      </c>
      <c r="L142" s="333">
        <f>IF($F142="",0,IF($A142="Default",$G142*VLOOKUP($F142,Lists!$C$72:$R$232,COLUMNS(Lists!$C$69:E$69),0)*VLOOKUP(BE$3,Conversions!$B$12:$E$34,4,0)*HLOOKUP($E142,'Equipment Assumptions'!$C$30:$Q$31,2,0),$G142*VLOOKUP($F142,Lists!$C$72:$R$232,COLUMNS(Lists!$C$69:E$69),0)*VLOOKUP(BE$3,Conversions!$B$12:$E$34,4,0)))</f>
        <v>0</v>
      </c>
      <c r="M142" s="333">
        <f>IF($F142="",0,IF($A142="Default",$G142*VLOOKUP($F142,Lists!$C$72:$R$232,COLUMNS(Lists!$C$69:F$69),0)*VLOOKUP(BF$3,Conversions!$B$12:$E$34,4,0)*HLOOKUP($E142,'Equipment Assumptions'!$C$30:$Q$31,2,0),$G142*VLOOKUP($F142,Lists!$C$72:$R$232,COLUMNS(Lists!$C$69:F$69),0)*VLOOKUP(BF$3,Conversions!$B$12:$E$34,4,0)))</f>
        <v>0</v>
      </c>
      <c r="N142" s="333">
        <f>IF($F142="",0,IF($A142="Default",$G142*VLOOKUP($F142,Lists!$C$72:$R$232,COLUMNS(Lists!$C$69:G$69),0)*VLOOKUP(BG$3,Conversions!$B$12:$E$34,4,0)*HLOOKUP($E142,'Equipment Assumptions'!$C$30:$Q$31,2,0),$G142*VLOOKUP($F142,Lists!$C$72:$R$232,COLUMNS(Lists!$C$69:G$69),0)*VLOOKUP(BG$3,Conversions!$B$12:$E$34,4,0)))</f>
        <v>0</v>
      </c>
      <c r="O142" s="333">
        <f>IF($F142="",0,IF($A142="Default",$G142*VLOOKUP($F142,Lists!$C$72:$R$232,COLUMNS(Lists!$C$69:H$69),0)*VLOOKUP(BH$3,Conversions!$B$12:$E$34,4,0)*HLOOKUP($E142,'Equipment Assumptions'!$C$30:$Q$31,2,0),$G142*VLOOKUP($F142,Lists!$C$72:$R$232,COLUMNS(Lists!$C$69:H$69),0)*VLOOKUP(BH$3,Conversions!$B$12:$E$34,4,0)))</f>
        <v>0</v>
      </c>
      <c r="P142" s="333">
        <f>IF($F142="",0,IF($A142="Default",$G142*VLOOKUP($F142,Lists!$C$72:$R$232,COLUMNS(Lists!$C$69:I$69),0)*VLOOKUP(BI$3,Conversions!$B$12:$E$34,4,0)*HLOOKUP($E142,'Equipment Assumptions'!$C$30:$Q$31,2,0),$G142*VLOOKUP($F142,Lists!$C$72:$R$232,COLUMNS(Lists!$C$69:I$69),0)*VLOOKUP(BI$3,Conversions!$B$12:$E$34,4,0)))</f>
        <v>0</v>
      </c>
      <c r="Q142" s="333">
        <f>IF($F142="",0,IF($A142="Default",$G142*VLOOKUP($F142,Lists!$C$72:$R$232,COLUMNS(Lists!$C$69:J$69),0)*VLOOKUP(BJ$3,Conversions!$B$12:$E$34,4,0)*HLOOKUP($E142,'Equipment Assumptions'!$C$30:$Q$31,2,0),$G142*VLOOKUP($F142,Lists!$C$72:$R$232,COLUMNS(Lists!$C$69:J$69),0)*VLOOKUP(BJ$3,Conversions!$B$12:$E$34,4,0)))</f>
        <v>0</v>
      </c>
      <c r="R142" s="333">
        <f>IF($F142="",0,IF($A142="Default",$G142*VLOOKUP($F142,Lists!$C$72:$R$232,COLUMNS(Lists!$C$69:K$69),0)*VLOOKUP(BK$3,Conversions!$B$12:$E$34,4,0)*HLOOKUP($E142,'Equipment Assumptions'!$C$30:$Q$31,2,0),$G142*VLOOKUP($F142,Lists!$C$72:$R$232,COLUMNS(Lists!$C$69:K$69),0)*VLOOKUP(BK$3,Conversions!$B$12:$E$34,4,0)))</f>
        <v>0</v>
      </c>
      <c r="S142" s="333">
        <f>IF($F142="",0,IF($A142="Default",$G142*VLOOKUP($F142,Lists!$C$72:$R$232,COLUMNS(Lists!$C$69:L$69),0)*VLOOKUP(BL$3,Conversions!$B$12:$E$34,4,0)*HLOOKUP($E142,'Equipment Assumptions'!$C$30:$Q$31,2,0),$G142*VLOOKUP($F142,Lists!$C$72:$R$232,COLUMNS(Lists!$C$69:L$69),0)*VLOOKUP(BL$3,Conversions!$B$12:$E$34,4,0)))</f>
        <v>0</v>
      </c>
      <c r="T142" s="333">
        <f>IF($F142="",0,IF($A142="Default",$G142*VLOOKUP($F142,Lists!$C$72:$R$232,COLUMNS(Lists!$C$69:M$69),0)*VLOOKUP(BM$3,Conversions!$B$12:$E$34,4,0)*HLOOKUP($E142,'Equipment Assumptions'!$C$30:$Q$31,2,0),$G142*VLOOKUP($F142,Lists!$C$72:$R$232,COLUMNS(Lists!$C$69:M$69),0)*VLOOKUP(BM$3,Conversions!$B$12:$E$34,4,0)))</f>
        <v>0</v>
      </c>
      <c r="U142" s="333">
        <f>IF($F142="",0,IF($A142="Default",$G142*VLOOKUP($F142,Lists!$C$72:$R$232,COLUMNS(Lists!$C$69:N$69),0)*VLOOKUP(BN$3,Conversions!$B$12:$E$34,4,0)*HLOOKUP($E142,'Equipment Assumptions'!$C$30:$Q$31,2,0),$G142*VLOOKUP($F142,Lists!$C$72:$R$232,COLUMNS(Lists!$C$69:N$69),0)*VLOOKUP(BN$3,Conversions!$B$12:$E$34,4,0)))</f>
        <v>0</v>
      </c>
      <c r="V142" s="333">
        <f>IF($F142="",0,IF($A142="Default",$G142*VLOOKUP($F142,Lists!$C$72:$R$232,COLUMNS(Lists!$C$69:O$69),0)*VLOOKUP(BO$3,Conversions!$B$12:$E$34,4,0)*HLOOKUP($E142,'Equipment Assumptions'!$C$30:$Q$31,2,0),$G142*VLOOKUP($F142,Lists!$C$72:$R$232,COLUMNS(Lists!$C$69:O$69),0)*VLOOKUP(BO$3,Conversions!$B$12:$E$34,4,0)))</f>
        <v>0</v>
      </c>
      <c r="W142" s="333">
        <f>IF($F142="",0,IF($A142="Default",$G142*VLOOKUP($F142,Lists!$C$72:$R$232,COLUMNS(Lists!$C$69:P$69),0)*VLOOKUP(BP$3,Conversions!$B$12:$E$34,4,0)*HLOOKUP($E142,'Equipment Assumptions'!$C$30:$Q$31,2,0),$G142*VLOOKUP($F142,Lists!$C$72:$R$232,COLUMNS(Lists!$C$69:P$69),0)*VLOOKUP(BP$3,Conversions!$B$12:$E$34,4,0)))</f>
        <v>0</v>
      </c>
      <c r="X142" s="333">
        <f>IF($F142="",0,IF($A142="Default",$G142*VLOOKUP($F142,Lists!$C$72:$R$232,COLUMNS(Lists!$C$69:Q$69),0)*VLOOKUP(BQ$3,Conversions!$B$12:$E$34,4,0)*HLOOKUP($E142,'Equipment Assumptions'!$C$30:$Q$31,2,0),$G142*VLOOKUP($F142,Lists!$C$72:$R$232,COLUMNS(Lists!$C$69:Q$69),0)*VLOOKUP(BQ$3,Conversions!$B$12:$E$34,4,0)))</f>
        <v>0</v>
      </c>
      <c r="Y142" s="333">
        <f>IF($F142="",0,IF($A142="Default",$G142*VLOOKUP($F142,Lists!$C$72:$R$232,COLUMNS(Lists!$C$69:R$69),0)*VLOOKUP(BR$3,Conversions!$B$12:$E$34,4,0)*HLOOKUP($E142,'Equipment Assumptions'!$C$30:$Q$31,2,0),$G142*VLOOKUP($F142,Lists!$C$72:$R$232,COLUMNS(Lists!$C$69:R$69),0)*VLOOKUP(BR$3,Conversions!$B$12:$E$34,4,0)))</f>
        <v>0</v>
      </c>
      <c r="Z142" s="325">
        <f t="shared" si="161"/>
        <v>0</v>
      </c>
      <c r="AA142" s="334">
        <f>IF($F142="",0,IF($A142="Default",$H142*VLOOKUP($F142,Lists!$C$72:$R$232,COLUMNS(Lists!$C$69:E$69),0)*VLOOKUP(BE$3,Conversions!$B$12:$E$34,4,0)*HLOOKUP($E142,'Equipment Assumptions'!$C$30:$Q$31,2,0),$H142*VLOOKUP($F142,Lists!$C$72:$R$232,COLUMNS(Lists!$C$69:E$69),0)*VLOOKUP(BE$3,Conversions!$B$12:$E$34,4,0)))</f>
        <v>0</v>
      </c>
      <c r="AB142" s="334">
        <f>IF($F142="",0,IF($A142="Default",$H142*VLOOKUP($F142,Lists!$C$72:$R$232,COLUMNS(Lists!$C$69:F$69),0)*VLOOKUP(BF$3,Conversions!$B$12:$E$34,4,0)*HLOOKUP($E142,'Equipment Assumptions'!$C$30:$Q$31,2,0),$H142*VLOOKUP($F142,Lists!$C$72:$R$232,COLUMNS(Lists!$C$69:F$69),0)*VLOOKUP(BF$3,Conversions!$B$12:$E$34,4,0)))</f>
        <v>0</v>
      </c>
      <c r="AC142" s="334">
        <f>IF($F142="",0,IF($A142="Default",$H142*VLOOKUP($F142,Lists!$C$72:$R$232,COLUMNS(Lists!$C$69:G$69),0)*VLOOKUP(BG$3,Conversions!$B$12:$E$34,4,0)*HLOOKUP($E142,'Equipment Assumptions'!$C$30:$Q$31,2,0),$H142*VLOOKUP($F142,Lists!$C$72:$R$232,COLUMNS(Lists!$C$69:G$69),0)*VLOOKUP(BG$3,Conversions!$B$12:$E$34,4,0)))</f>
        <v>0</v>
      </c>
      <c r="AD142" s="334">
        <f>IF($F142="",0,IF($A142="Default",$H142*VLOOKUP($F142,Lists!$C$72:$R$232,COLUMNS(Lists!$C$69:H$69),0)*VLOOKUP(BH$3,Conversions!$B$12:$E$34,4,0)*HLOOKUP($E142,'Equipment Assumptions'!$C$30:$Q$31,2,0),$H142*VLOOKUP($F142,Lists!$C$72:$R$232,COLUMNS(Lists!$C$69:H$69),0)*VLOOKUP(BH$3,Conversions!$B$12:$E$34,4,0)))</f>
        <v>0</v>
      </c>
      <c r="AE142" s="334">
        <f>IF($F142="",0,IF($A142="Default",$H142*VLOOKUP($F142,Lists!$C$72:$R$232,COLUMNS(Lists!$C$69:I$69),0)*VLOOKUP(BI$3,Conversions!$B$12:$E$34,4,0)*HLOOKUP($E142,'Equipment Assumptions'!$C$30:$Q$31,2,0),$H142*VLOOKUP($F142,Lists!$C$72:$R$232,COLUMNS(Lists!$C$69:I$69),0)*VLOOKUP(BI$3,Conversions!$B$12:$E$34,4,0)))</f>
        <v>0</v>
      </c>
      <c r="AF142" s="334">
        <f>IF($F142="",0,IF($A142="Default",$H142*VLOOKUP($F142,Lists!$C$72:$R$232,COLUMNS(Lists!$C$69:J$69),0)*VLOOKUP(BJ$3,Conversions!$B$12:$E$34,4,0)*HLOOKUP($E142,'Equipment Assumptions'!$C$30:$Q$31,2,0),$H142*VLOOKUP($F142,Lists!$C$72:$R$232,COLUMNS(Lists!$C$69:J$69),0)*VLOOKUP(BJ$3,Conversions!$B$12:$E$34,4,0)))</f>
        <v>0</v>
      </c>
      <c r="AG142" s="334">
        <f>IF($F142="",0,IF($A142="Default",$H142*VLOOKUP($F142,Lists!$C$72:$R$232,COLUMNS(Lists!$C$69:K$69),0)*VLOOKUP(BK$3,Conversions!$B$12:$E$34,4,0)*HLOOKUP($E142,'Equipment Assumptions'!$C$30:$Q$31,2,0),$H142*VLOOKUP($F142,Lists!$C$72:$R$232,COLUMNS(Lists!$C$69:K$69),0)*VLOOKUP(BK$3,Conversions!$B$12:$E$34,4,0)))</f>
        <v>0</v>
      </c>
      <c r="AH142" s="334">
        <f>IF($F142="",0,IF($A142="Default",$H142*VLOOKUP($F142,Lists!$C$72:$R$232,COLUMNS(Lists!$C$69:L$69),0)*VLOOKUP(BL$3,Conversions!$B$12:$E$34,4,0)*HLOOKUP($E142,'Equipment Assumptions'!$C$30:$Q$31,2,0),$H142*VLOOKUP($F142,Lists!$C$72:$R$232,COLUMNS(Lists!$C$69:L$69),0)*VLOOKUP(BL$3,Conversions!$B$12:$E$34,4,0)))</f>
        <v>0</v>
      </c>
      <c r="AI142" s="334">
        <f>IF($F142="",0,IF($A142="Default",$H142*VLOOKUP($F142,Lists!$C$72:$R$232,COLUMNS(Lists!$C$69:M$69),0)*VLOOKUP(BM$3,Conversions!$B$12:$E$34,4,0)*HLOOKUP($E142,'Equipment Assumptions'!$C$30:$Q$31,2,0),$H142*VLOOKUP($F142,Lists!$C$72:$R$232,COLUMNS(Lists!$C$69:M$69),0)*VLOOKUP(BM$3,Conversions!$B$12:$E$34,4,0)))</f>
        <v>0</v>
      </c>
      <c r="AJ142" s="334">
        <f>IF($F142="",0,IF($A142="Default",$H142*VLOOKUP($F142,Lists!$C$72:$R$232,COLUMNS(Lists!$C$69:N$69),0)*VLOOKUP(BN$3,Conversions!$B$12:$E$34,4,0)*HLOOKUP($E142,'Equipment Assumptions'!$C$30:$Q$31,2,0),$H142*VLOOKUP($F142,Lists!$C$72:$R$232,COLUMNS(Lists!$C$69:N$69),0)*VLOOKUP(BN$3,Conversions!$B$12:$E$34,4,0)))</f>
        <v>0</v>
      </c>
      <c r="AK142" s="334">
        <f>IF($F142="",0,IF($A142="Default",$H142*VLOOKUP($F142,Lists!$C$72:$R$232,COLUMNS(Lists!$C$69:O$69),0)*VLOOKUP(BO$3,Conversions!$B$12:$E$34,4,0)*HLOOKUP($E142,'Equipment Assumptions'!$C$30:$Q$31,2,0),$H142*VLOOKUP($F142,Lists!$C$72:$R$232,COLUMNS(Lists!$C$69:O$69),0)*VLOOKUP(BO$3,Conversions!$B$12:$E$34,4,0)))</f>
        <v>0</v>
      </c>
      <c r="AL142" s="334">
        <f>IF($F142="",0,IF($A142="Default",$H142*VLOOKUP($F142,Lists!$C$72:$R$232,COLUMNS(Lists!$C$69:P$69),0)*VLOOKUP(BP$3,Conversions!$B$12:$E$34,4,0)*HLOOKUP($E142,'Equipment Assumptions'!$C$30:$Q$31,2,0),$H142*VLOOKUP($F142,Lists!$C$72:$R$232,COLUMNS(Lists!$C$69:P$69),0)*VLOOKUP(BP$3,Conversions!$B$12:$E$34,4,0)))</f>
        <v>0</v>
      </c>
      <c r="AM142" s="334">
        <f>IF($F142="",0,IF($A142="Default",$H142*VLOOKUP($F142,Lists!$C$72:$R$232,COLUMNS(Lists!$C$69:Q$69),0)*VLOOKUP(BQ$3,Conversions!$B$12:$E$34,4,0)*HLOOKUP($E142,'Equipment Assumptions'!$C$30:$Q$31,2,0),$H142*VLOOKUP($F142,Lists!$C$72:$R$232,COLUMNS(Lists!$C$69:Q$69),0)*VLOOKUP(BQ$3,Conversions!$B$12:$E$34,4,0)))</f>
        <v>0</v>
      </c>
      <c r="AN142" s="334">
        <f>IF($F142="",0,IF($A142="Default",$H142*VLOOKUP($F142,Lists!$C$72:$R$232,COLUMNS(Lists!$C$69:R$69),0)*VLOOKUP(BR$3,Conversions!$B$12:$E$34,4,0)*HLOOKUP($E142,'Equipment Assumptions'!$C$30:$Q$31,2,0),$H142*VLOOKUP($F142,Lists!$C$72:$R$232,COLUMNS(Lists!$C$69:R$69),0)*VLOOKUP(BR$3,Conversions!$B$12:$E$34,4,0)))</f>
        <v>0</v>
      </c>
      <c r="AO142" s="330">
        <f t="shared" si="162"/>
        <v>0</v>
      </c>
      <c r="AP142" s="333">
        <f>IF($F142="",0,IF($A142="Default",$I142*VLOOKUP($F142,Lists!$C$72:$R$232,COLUMNS(Lists!$C$69:E$69),0)*VLOOKUP(BE$3,Conversions!$B$12:$E$34,4,0)*HLOOKUP($E142,'Equipment Assumptions'!$C$30:$Q$31,2,0),$I142*VLOOKUP($F142,Lists!$C$72:$R$232,COLUMNS(Lists!$C$69:E$69),0)*VLOOKUP(BE$3,Conversions!$B$12:$E$34,4,0)))</f>
        <v>0</v>
      </c>
      <c r="AQ142" s="333">
        <f>IF($F142="",0,IF($A142="Default",$I142*VLOOKUP($F142,Lists!$C$72:$R$232,COLUMNS(Lists!$C$69:F$69),0)*VLOOKUP(BF$3,Conversions!$B$12:$E$34,4,0)*HLOOKUP($E142,'Equipment Assumptions'!$C$30:$Q$31,2,0),$I142*VLOOKUP($F142,Lists!$C$72:$R$232,COLUMNS(Lists!$C$69:F$69),0)*VLOOKUP(BF$3,Conversions!$B$12:$E$34,4,0)))</f>
        <v>0</v>
      </c>
      <c r="AR142" s="333">
        <f>IF($F142="",0,IF($A142="Default",$I142*VLOOKUP($F142,Lists!$C$72:$R$232,COLUMNS(Lists!$C$69:G$69),0)*VLOOKUP(BG$3,Conversions!$B$12:$E$34,4,0)*HLOOKUP($E142,'Equipment Assumptions'!$C$30:$Q$31,2,0),$I142*VLOOKUP($F142,Lists!$C$72:$R$232,COLUMNS(Lists!$C$69:G$69),0)*VLOOKUP(BG$3,Conversions!$B$12:$E$34,4,0)))</f>
        <v>0</v>
      </c>
      <c r="AS142" s="333">
        <f>IF($F142="",0,IF($A142="Default",$I142*VLOOKUP($F142,Lists!$C$72:$R$232,COLUMNS(Lists!$C$69:H$69),0)*VLOOKUP(BH$3,Conversions!$B$12:$E$34,4,0)*HLOOKUP($E142,'Equipment Assumptions'!$C$30:$Q$31,2,0),$I142*VLOOKUP($F142,Lists!$C$72:$R$232,COLUMNS(Lists!$C$69:H$69),0)*VLOOKUP(BH$3,Conversions!$B$12:$E$34,4,0)))</f>
        <v>0</v>
      </c>
      <c r="AT142" s="333">
        <f>IF($F142="",0,IF($A142="Default",$I142*VLOOKUP($F142,Lists!$C$72:$R$232,COLUMNS(Lists!$C$69:I$69),0)*VLOOKUP(BI$3,Conversions!$B$12:$E$34,4,0)*HLOOKUP($E142,'Equipment Assumptions'!$C$30:$Q$31,2,0),$I142*VLOOKUP($F142,Lists!$C$72:$R$232,COLUMNS(Lists!$C$69:I$69),0)*VLOOKUP(BI$3,Conversions!$B$12:$E$34,4,0)))</f>
        <v>0</v>
      </c>
      <c r="AU142" s="333">
        <f>IF($F142="",0,IF($A142="Default",$I142*VLOOKUP($F142,Lists!$C$72:$R$232,COLUMNS(Lists!$C$69:J$69),0)*VLOOKUP(BJ$3,Conversions!$B$12:$E$34,4,0)*HLOOKUP($E142,'Equipment Assumptions'!$C$30:$Q$31,2,0),$I142*VLOOKUP($F142,Lists!$C$72:$R$232,COLUMNS(Lists!$C$69:J$69),0)*VLOOKUP(BJ$3,Conversions!$B$12:$E$34,4,0)))</f>
        <v>0</v>
      </c>
      <c r="AV142" s="333">
        <f>IF($F142="",0,IF($A142="Default",$I142*VLOOKUP($F142,Lists!$C$72:$R$232,COLUMNS(Lists!$C$69:K$69),0)*VLOOKUP(BK$3,Conversions!$B$12:$E$34,4,0)*HLOOKUP($E142,'Equipment Assumptions'!$C$30:$Q$31,2,0),$I142*VLOOKUP($F142,Lists!$C$72:$R$232,COLUMNS(Lists!$C$69:K$69),0)*VLOOKUP(BK$3,Conversions!$B$12:$E$34,4,0)))</f>
        <v>0</v>
      </c>
      <c r="AW142" s="333">
        <f>IF($F142="",0,IF($A142="Default",$I142*VLOOKUP($F142,Lists!$C$72:$R$232,COLUMNS(Lists!$C$69:L$69),0)*VLOOKUP(BL$3,Conversions!$B$12:$E$34,4,0)*HLOOKUP($E142,'Equipment Assumptions'!$C$30:$Q$31,2,0),$I142*VLOOKUP($F142,Lists!$C$72:$R$232,COLUMNS(Lists!$C$69:L$69),0)*VLOOKUP(BL$3,Conversions!$B$12:$E$34,4,0)))</f>
        <v>0</v>
      </c>
      <c r="AX142" s="333">
        <f>IF($F142="",0,IF($A142="Default",$I142*VLOOKUP($F142,Lists!$C$72:$R$232,COLUMNS(Lists!$C$69:M$69),0)*VLOOKUP(BM$3,Conversions!$B$12:$E$34,4,0)*HLOOKUP($E142,'Equipment Assumptions'!$C$30:$Q$31,2,0),$I142*VLOOKUP($F142,Lists!$C$72:$R$232,COLUMNS(Lists!$C$69:M$69),0)*VLOOKUP(BM$3,Conversions!$B$12:$E$34,4,0)))</f>
        <v>0</v>
      </c>
      <c r="AY142" s="333">
        <f>IF($F142="",0,IF($A142="Default",$I142*VLOOKUP($F142,Lists!$C$72:$R$232,COLUMNS(Lists!$C$69:N$69),0)*VLOOKUP(BN$3,Conversions!$B$12:$E$34,4,0)*HLOOKUP($E142,'Equipment Assumptions'!$C$30:$Q$31,2,0),$I142*VLOOKUP($F142,Lists!$C$72:$R$232,COLUMNS(Lists!$C$69:N$69),0)*VLOOKUP(BN$3,Conversions!$B$12:$E$34,4,0)))</f>
        <v>0</v>
      </c>
      <c r="AZ142" s="333">
        <f>IF($F142="",0,IF($A142="Default",$I142*VLOOKUP($F142,Lists!$C$72:$R$232,COLUMNS(Lists!$C$69:O$69),0)*VLOOKUP(BO$3,Conversions!$B$12:$E$34,4,0)*HLOOKUP($E142,'Equipment Assumptions'!$C$30:$Q$31,2,0),$I142*VLOOKUP($F142,Lists!$C$72:$R$232,COLUMNS(Lists!$C$69:O$69),0)*VLOOKUP(BO$3,Conversions!$B$12:$E$34,4,0)))</f>
        <v>0</v>
      </c>
      <c r="BA142" s="333">
        <f>IF($F142="",0,IF($A142="Default",$I142*VLOOKUP($F142,Lists!$C$72:$R$232,COLUMNS(Lists!$C$69:P$69),0)*VLOOKUP(BP$3,Conversions!$B$12:$E$34,4,0)*HLOOKUP($E142,'Equipment Assumptions'!$C$30:$Q$31,2,0),$I142*VLOOKUP($F142,Lists!$C$72:$R$232,COLUMNS(Lists!$C$69:P$69),0)*VLOOKUP(BP$3,Conversions!$B$12:$E$34,4,0)))</f>
        <v>0</v>
      </c>
      <c r="BB142" s="333">
        <f>IF($F142="",0,IF($A142="Default",$I142*VLOOKUP($F142,Lists!$C$72:$R$232,COLUMNS(Lists!$C$69:Q$69),0)*VLOOKUP(BQ$3,Conversions!$B$12:$E$34,4,0)*HLOOKUP($E142,'Equipment Assumptions'!$C$30:$Q$31,2,0),$I142*VLOOKUP($F142,Lists!$C$72:$R$232,COLUMNS(Lists!$C$69:Q$69),0)*VLOOKUP(BQ$3,Conversions!$B$12:$E$34,4,0)))</f>
        <v>0</v>
      </c>
      <c r="BC142" s="333">
        <f>IF($F142="",0,IF($A142="Default",$I142*VLOOKUP($F142,Lists!$C$72:$R$232,COLUMNS(Lists!$C$69:R$69),0)*VLOOKUP(BR$3,Conversions!$B$12:$E$34,4,0)*HLOOKUP($E142,'Equipment Assumptions'!$C$30:$Q$31,2,0),$I142*VLOOKUP($F142,Lists!$C$72:$R$232,COLUMNS(Lists!$C$69:R$69),0)*VLOOKUP(BR$3,Conversions!$B$12:$E$34,4,0)))</f>
        <v>0</v>
      </c>
      <c r="BD142" s="333">
        <f t="shared" si="163"/>
        <v>0</v>
      </c>
      <c r="BE142" s="330">
        <f t="shared" si="164"/>
        <v>0</v>
      </c>
      <c r="BF142" s="330">
        <f t="shared" si="165"/>
        <v>0</v>
      </c>
      <c r="BG142" s="330">
        <f t="shared" si="166"/>
        <v>0</v>
      </c>
      <c r="BH142" s="330">
        <f t="shared" si="167"/>
        <v>0</v>
      </c>
      <c r="BI142" s="330">
        <f t="shared" si="168"/>
        <v>0</v>
      </c>
      <c r="BJ142" s="330">
        <f t="shared" si="169"/>
        <v>0</v>
      </c>
      <c r="BK142" s="330">
        <f t="shared" si="170"/>
        <v>0</v>
      </c>
      <c r="BL142" s="330">
        <f t="shared" si="171"/>
        <v>0</v>
      </c>
      <c r="BM142" s="330">
        <f t="shared" si="172"/>
        <v>0</v>
      </c>
      <c r="BN142" s="330">
        <f t="shared" si="173"/>
        <v>0</v>
      </c>
      <c r="BO142" s="330">
        <f t="shared" si="174"/>
        <v>0</v>
      </c>
      <c r="BP142" s="330">
        <f t="shared" si="175"/>
        <v>0</v>
      </c>
      <c r="BQ142" s="330">
        <f t="shared" si="176"/>
        <v>0</v>
      </c>
      <c r="BR142" s="330">
        <f t="shared" si="177"/>
        <v>0</v>
      </c>
      <c r="BS142" s="330">
        <f t="shared" si="178"/>
        <v>0</v>
      </c>
      <c r="BT142" s="329">
        <f t="shared" si="191"/>
        <v>0</v>
      </c>
      <c r="BU142" s="329">
        <f t="shared" si="191"/>
        <v>0</v>
      </c>
      <c r="BV142" s="329">
        <f t="shared" si="191"/>
        <v>0</v>
      </c>
      <c r="BW142" s="329">
        <f t="shared" si="191"/>
        <v>0</v>
      </c>
      <c r="BX142" s="329">
        <f t="shared" si="191"/>
        <v>0</v>
      </c>
      <c r="BY142" s="329">
        <f t="shared" si="191"/>
        <v>0</v>
      </c>
      <c r="BZ142" s="329">
        <f t="shared" si="191"/>
        <v>0</v>
      </c>
      <c r="CA142" s="329">
        <f t="shared" si="191"/>
        <v>0</v>
      </c>
      <c r="CB142" s="329">
        <f t="shared" si="191"/>
        <v>0</v>
      </c>
      <c r="CC142" s="329">
        <f t="shared" si="191"/>
        <v>0</v>
      </c>
      <c r="CD142" s="329">
        <f t="shared" si="191"/>
        <v>0</v>
      </c>
      <c r="CE142" s="329">
        <f t="shared" si="191"/>
        <v>0</v>
      </c>
      <c r="CF142" s="329">
        <f t="shared" si="191"/>
        <v>0</v>
      </c>
      <c r="CG142" s="329">
        <f t="shared" si="191"/>
        <v>0</v>
      </c>
      <c r="CH142" s="329">
        <f t="shared" si="191"/>
        <v>0</v>
      </c>
      <c r="CI142" s="329">
        <f t="shared" si="191"/>
        <v>0</v>
      </c>
      <c r="CJ142" s="331">
        <f t="shared" si="179"/>
        <v>0</v>
      </c>
      <c r="CK142" s="330">
        <f t="shared" si="180"/>
        <v>0</v>
      </c>
      <c r="CL142" s="330">
        <f t="shared" si="181"/>
        <v>0</v>
      </c>
      <c r="CM142" s="330">
        <f t="shared" si="182"/>
        <v>0</v>
      </c>
      <c r="CN142" s="330">
        <f t="shared" si="183"/>
        <v>0</v>
      </c>
      <c r="CO142" s="330">
        <f t="shared" si="184"/>
        <v>0</v>
      </c>
      <c r="CP142" s="330">
        <f t="shared" si="185"/>
        <v>0</v>
      </c>
      <c r="CQ142" s="330">
        <f t="shared" si="186"/>
        <v>0</v>
      </c>
      <c r="CR142" s="330">
        <f t="shared" si="187"/>
        <v>0</v>
      </c>
      <c r="CS142" s="330">
        <f t="shared" si="188"/>
        <v>0</v>
      </c>
      <c r="CT142" s="330">
        <f t="shared" si="189"/>
        <v>0</v>
      </c>
      <c r="CU142" s="330">
        <f t="shared" si="192"/>
        <v>0</v>
      </c>
      <c r="CV142" s="330">
        <f t="shared" si="192"/>
        <v>0</v>
      </c>
      <c r="CW142" s="330">
        <f t="shared" si="192"/>
        <v>0</v>
      </c>
      <c r="CX142" s="330">
        <f t="shared" si="192"/>
        <v>0</v>
      </c>
      <c r="CY142" s="330">
        <f t="shared" si="192"/>
        <v>0</v>
      </c>
      <c r="CZ142" s="330">
        <f t="shared" si="192"/>
        <v>0</v>
      </c>
      <c r="DA142" s="330">
        <f t="shared" si="192"/>
        <v>0</v>
      </c>
      <c r="DB142" s="330">
        <f t="shared" si="192"/>
        <v>0</v>
      </c>
      <c r="DC142" s="330">
        <f t="shared" si="192"/>
        <v>0</v>
      </c>
      <c r="DD142" s="330">
        <f t="shared" si="192"/>
        <v>0</v>
      </c>
      <c r="DE142" s="330">
        <f t="shared" si="193"/>
        <v>0</v>
      </c>
      <c r="DF142" s="330">
        <f t="shared" si="193"/>
        <v>0</v>
      </c>
      <c r="DG142" s="330">
        <f t="shared" si="193"/>
        <v>0</v>
      </c>
      <c r="DH142" s="330">
        <f t="shared" si="193"/>
        <v>0</v>
      </c>
      <c r="DI142" s="330">
        <f t="shared" si="193"/>
        <v>0</v>
      </c>
      <c r="DJ142" s="330">
        <f t="shared" si="193"/>
        <v>0</v>
      </c>
      <c r="DK142" s="330">
        <f t="shared" si="193"/>
        <v>0</v>
      </c>
      <c r="DL142" s="330">
        <f t="shared" si="193"/>
        <v>0</v>
      </c>
      <c r="DM142" s="330">
        <f t="shared" si="193"/>
        <v>0</v>
      </c>
      <c r="DN142" s="330">
        <f t="shared" si="193"/>
        <v>0</v>
      </c>
      <c r="DO142" s="330">
        <f t="shared" si="193"/>
        <v>0</v>
      </c>
      <c r="DP142" s="330">
        <f t="shared" si="190"/>
        <v>0</v>
      </c>
      <c r="DQ142" s="217"/>
      <c r="DR142" s="217"/>
      <c r="DS142" s="217"/>
      <c r="DT142" s="217"/>
    </row>
    <row r="143" spans="1:124" x14ac:dyDescent="0.3">
      <c r="A143" s="332" t="str">
        <f>IF(AND(F143&lt;&gt;"",OR('Simplified Screening 1'!G34=0,'Simplified Screening 1'!G34="I Don't Know")),"Default","")</f>
        <v/>
      </c>
      <c r="B143" s="221" t="s">
        <v>306</v>
      </c>
      <c r="C143" s="221" t="str">
        <f>IF('Simplified Screening 1'!C34=0,"",'Simplified Screening 1'!C34)</f>
        <v/>
      </c>
      <c r="D143" s="221" t="str">
        <f>IF('Simplified Screening 1'!D34=0,"",'Simplified Screening 1'!D34)</f>
        <v/>
      </c>
      <c r="E143" s="221" t="str">
        <f>IF('Simplified Screening 1'!E34=0,"",'Simplified Screening 1'!E34)</f>
        <v/>
      </c>
      <c r="F143" s="221" t="str">
        <f>'Simplified Screening 1'!R34</f>
        <v/>
      </c>
      <c r="G143" s="272">
        <f>'Simplified Screening 1'!H34*'Simplified Screening 1'!L34*Conversions!$C$4</f>
        <v>0</v>
      </c>
      <c r="H143" s="272">
        <f>'Simplified Screening 1'!I34*'Simplified Screening 1'!M34*'Simplified Screening 1'!J34*Conversions!$C$4</f>
        <v>0</v>
      </c>
      <c r="I143" s="272">
        <f>'Simplified Screening 1'!K34*'Simplified Screening 1'!N34*(1-'Simplified Screening 1'!O34)*Conversions!$C$4</f>
        <v>0</v>
      </c>
      <c r="J143" s="325">
        <f>IF('Simplified Screening 1'!P34=0,0,'Simplified Screening 1'!P34)</f>
        <v>0</v>
      </c>
      <c r="K143" s="325">
        <f>IF(AND(OR('Simplified Screening 1'!G34=0,'Simplified Screening 1'!G34="I Don't Know"),F143&lt;&gt;""),J143*HLOOKUP(E143,'Equipment Assumptions'!$C$30:$Q$31,2,0),IF(F143="Non-HFC",0,J143))</f>
        <v>0</v>
      </c>
      <c r="L143" s="333">
        <f>IF($F143="",0,IF($A143="Default",$G143*VLOOKUP($F143,Lists!$C$72:$R$232,COLUMNS(Lists!$C$69:E$69),0)*VLOOKUP(BE$3,Conversions!$B$12:$E$34,4,0)*HLOOKUP($E143,'Equipment Assumptions'!$C$30:$Q$31,2,0),$G143*VLOOKUP($F143,Lists!$C$72:$R$232,COLUMNS(Lists!$C$69:E$69),0)*VLOOKUP(BE$3,Conversions!$B$12:$E$34,4,0)))</f>
        <v>0</v>
      </c>
      <c r="M143" s="333">
        <f>IF($F143="",0,IF($A143="Default",$G143*VLOOKUP($F143,Lists!$C$72:$R$232,COLUMNS(Lists!$C$69:F$69),0)*VLOOKUP(BF$3,Conversions!$B$12:$E$34,4,0)*HLOOKUP($E143,'Equipment Assumptions'!$C$30:$Q$31,2,0),$G143*VLOOKUP($F143,Lists!$C$72:$R$232,COLUMNS(Lists!$C$69:F$69),0)*VLOOKUP(BF$3,Conversions!$B$12:$E$34,4,0)))</f>
        <v>0</v>
      </c>
      <c r="N143" s="333">
        <f>IF($F143="",0,IF($A143="Default",$G143*VLOOKUP($F143,Lists!$C$72:$R$232,COLUMNS(Lists!$C$69:G$69),0)*VLOOKUP(BG$3,Conversions!$B$12:$E$34,4,0)*HLOOKUP($E143,'Equipment Assumptions'!$C$30:$Q$31,2,0),$G143*VLOOKUP($F143,Lists!$C$72:$R$232,COLUMNS(Lists!$C$69:G$69),0)*VLOOKUP(BG$3,Conversions!$B$12:$E$34,4,0)))</f>
        <v>0</v>
      </c>
      <c r="O143" s="333">
        <f>IF($F143="",0,IF($A143="Default",$G143*VLOOKUP($F143,Lists!$C$72:$R$232,COLUMNS(Lists!$C$69:H$69),0)*VLOOKUP(BH$3,Conversions!$B$12:$E$34,4,0)*HLOOKUP($E143,'Equipment Assumptions'!$C$30:$Q$31,2,0),$G143*VLOOKUP($F143,Lists!$C$72:$R$232,COLUMNS(Lists!$C$69:H$69),0)*VLOOKUP(BH$3,Conversions!$B$12:$E$34,4,0)))</f>
        <v>0</v>
      </c>
      <c r="P143" s="333">
        <f>IF($F143="",0,IF($A143="Default",$G143*VLOOKUP($F143,Lists!$C$72:$R$232,COLUMNS(Lists!$C$69:I$69),0)*VLOOKUP(BI$3,Conversions!$B$12:$E$34,4,0)*HLOOKUP($E143,'Equipment Assumptions'!$C$30:$Q$31,2,0),$G143*VLOOKUP($F143,Lists!$C$72:$R$232,COLUMNS(Lists!$C$69:I$69),0)*VLOOKUP(BI$3,Conversions!$B$12:$E$34,4,0)))</f>
        <v>0</v>
      </c>
      <c r="Q143" s="333">
        <f>IF($F143="",0,IF($A143="Default",$G143*VLOOKUP($F143,Lists!$C$72:$R$232,COLUMNS(Lists!$C$69:J$69),0)*VLOOKUP(BJ$3,Conversions!$B$12:$E$34,4,0)*HLOOKUP($E143,'Equipment Assumptions'!$C$30:$Q$31,2,0),$G143*VLOOKUP($F143,Lists!$C$72:$R$232,COLUMNS(Lists!$C$69:J$69),0)*VLOOKUP(BJ$3,Conversions!$B$12:$E$34,4,0)))</f>
        <v>0</v>
      </c>
      <c r="R143" s="333">
        <f>IF($F143="",0,IF($A143="Default",$G143*VLOOKUP($F143,Lists!$C$72:$R$232,COLUMNS(Lists!$C$69:K$69),0)*VLOOKUP(BK$3,Conversions!$B$12:$E$34,4,0)*HLOOKUP($E143,'Equipment Assumptions'!$C$30:$Q$31,2,0),$G143*VLOOKUP($F143,Lists!$C$72:$R$232,COLUMNS(Lists!$C$69:K$69),0)*VLOOKUP(BK$3,Conversions!$B$12:$E$34,4,0)))</f>
        <v>0</v>
      </c>
      <c r="S143" s="333">
        <f>IF($F143="",0,IF($A143="Default",$G143*VLOOKUP($F143,Lists!$C$72:$R$232,COLUMNS(Lists!$C$69:L$69),0)*VLOOKUP(BL$3,Conversions!$B$12:$E$34,4,0)*HLOOKUP($E143,'Equipment Assumptions'!$C$30:$Q$31,2,0),$G143*VLOOKUP($F143,Lists!$C$72:$R$232,COLUMNS(Lists!$C$69:L$69),0)*VLOOKUP(BL$3,Conversions!$B$12:$E$34,4,0)))</f>
        <v>0</v>
      </c>
      <c r="T143" s="333">
        <f>IF($F143="",0,IF($A143="Default",$G143*VLOOKUP($F143,Lists!$C$72:$R$232,COLUMNS(Lists!$C$69:M$69),0)*VLOOKUP(BM$3,Conversions!$B$12:$E$34,4,0)*HLOOKUP($E143,'Equipment Assumptions'!$C$30:$Q$31,2,0),$G143*VLOOKUP($F143,Lists!$C$72:$R$232,COLUMNS(Lists!$C$69:M$69),0)*VLOOKUP(BM$3,Conversions!$B$12:$E$34,4,0)))</f>
        <v>0</v>
      </c>
      <c r="U143" s="333">
        <f>IF($F143="",0,IF($A143="Default",$G143*VLOOKUP($F143,Lists!$C$72:$R$232,COLUMNS(Lists!$C$69:N$69),0)*VLOOKUP(BN$3,Conversions!$B$12:$E$34,4,0)*HLOOKUP($E143,'Equipment Assumptions'!$C$30:$Q$31,2,0),$G143*VLOOKUP($F143,Lists!$C$72:$R$232,COLUMNS(Lists!$C$69:N$69),0)*VLOOKUP(BN$3,Conversions!$B$12:$E$34,4,0)))</f>
        <v>0</v>
      </c>
      <c r="V143" s="333">
        <f>IF($F143="",0,IF($A143="Default",$G143*VLOOKUP($F143,Lists!$C$72:$R$232,COLUMNS(Lists!$C$69:O$69),0)*VLOOKUP(BO$3,Conversions!$B$12:$E$34,4,0)*HLOOKUP($E143,'Equipment Assumptions'!$C$30:$Q$31,2,0),$G143*VLOOKUP($F143,Lists!$C$72:$R$232,COLUMNS(Lists!$C$69:O$69),0)*VLOOKUP(BO$3,Conversions!$B$12:$E$34,4,0)))</f>
        <v>0</v>
      </c>
      <c r="W143" s="333">
        <f>IF($F143="",0,IF($A143="Default",$G143*VLOOKUP($F143,Lists!$C$72:$R$232,COLUMNS(Lists!$C$69:P$69),0)*VLOOKUP(BP$3,Conversions!$B$12:$E$34,4,0)*HLOOKUP($E143,'Equipment Assumptions'!$C$30:$Q$31,2,0),$G143*VLOOKUP($F143,Lists!$C$72:$R$232,COLUMNS(Lists!$C$69:P$69),0)*VLOOKUP(BP$3,Conversions!$B$12:$E$34,4,0)))</f>
        <v>0</v>
      </c>
      <c r="X143" s="333">
        <f>IF($F143="",0,IF($A143="Default",$G143*VLOOKUP($F143,Lists!$C$72:$R$232,COLUMNS(Lists!$C$69:Q$69),0)*VLOOKUP(BQ$3,Conversions!$B$12:$E$34,4,0)*HLOOKUP($E143,'Equipment Assumptions'!$C$30:$Q$31,2,0),$G143*VLOOKUP($F143,Lists!$C$72:$R$232,COLUMNS(Lists!$C$69:Q$69),0)*VLOOKUP(BQ$3,Conversions!$B$12:$E$34,4,0)))</f>
        <v>0</v>
      </c>
      <c r="Y143" s="333">
        <f>IF($F143="",0,IF($A143="Default",$G143*VLOOKUP($F143,Lists!$C$72:$R$232,COLUMNS(Lists!$C$69:R$69),0)*VLOOKUP(BR$3,Conversions!$B$12:$E$34,4,0)*HLOOKUP($E143,'Equipment Assumptions'!$C$30:$Q$31,2,0),$G143*VLOOKUP($F143,Lists!$C$72:$R$232,COLUMNS(Lists!$C$69:R$69),0)*VLOOKUP(BR$3,Conversions!$B$12:$E$34,4,0)))</f>
        <v>0</v>
      </c>
      <c r="Z143" s="325">
        <f t="shared" si="161"/>
        <v>0</v>
      </c>
      <c r="AA143" s="334">
        <f>IF($F143="",0,IF($A143="Default",$H143*VLOOKUP($F143,Lists!$C$72:$R$232,COLUMNS(Lists!$C$69:E$69),0)*VLOOKUP(BE$3,Conversions!$B$12:$E$34,4,0)*HLOOKUP($E143,'Equipment Assumptions'!$C$30:$Q$31,2,0),$H143*VLOOKUP($F143,Lists!$C$72:$R$232,COLUMNS(Lists!$C$69:E$69),0)*VLOOKUP(BE$3,Conversions!$B$12:$E$34,4,0)))</f>
        <v>0</v>
      </c>
      <c r="AB143" s="334">
        <f>IF($F143="",0,IF($A143="Default",$H143*VLOOKUP($F143,Lists!$C$72:$R$232,COLUMNS(Lists!$C$69:F$69),0)*VLOOKUP(BF$3,Conversions!$B$12:$E$34,4,0)*HLOOKUP($E143,'Equipment Assumptions'!$C$30:$Q$31,2,0),$H143*VLOOKUP($F143,Lists!$C$72:$R$232,COLUMNS(Lists!$C$69:F$69),0)*VLOOKUP(BF$3,Conversions!$B$12:$E$34,4,0)))</f>
        <v>0</v>
      </c>
      <c r="AC143" s="334">
        <f>IF($F143="",0,IF($A143="Default",$H143*VLOOKUP($F143,Lists!$C$72:$R$232,COLUMNS(Lists!$C$69:G$69),0)*VLOOKUP(BG$3,Conversions!$B$12:$E$34,4,0)*HLOOKUP($E143,'Equipment Assumptions'!$C$30:$Q$31,2,0),$H143*VLOOKUP($F143,Lists!$C$72:$R$232,COLUMNS(Lists!$C$69:G$69),0)*VLOOKUP(BG$3,Conversions!$B$12:$E$34,4,0)))</f>
        <v>0</v>
      </c>
      <c r="AD143" s="334">
        <f>IF($F143="",0,IF($A143="Default",$H143*VLOOKUP($F143,Lists!$C$72:$R$232,COLUMNS(Lists!$C$69:H$69),0)*VLOOKUP(BH$3,Conversions!$B$12:$E$34,4,0)*HLOOKUP($E143,'Equipment Assumptions'!$C$30:$Q$31,2,0),$H143*VLOOKUP($F143,Lists!$C$72:$R$232,COLUMNS(Lists!$C$69:H$69),0)*VLOOKUP(BH$3,Conversions!$B$12:$E$34,4,0)))</f>
        <v>0</v>
      </c>
      <c r="AE143" s="334">
        <f>IF($F143="",0,IF($A143="Default",$H143*VLOOKUP($F143,Lists!$C$72:$R$232,COLUMNS(Lists!$C$69:I$69),0)*VLOOKUP(BI$3,Conversions!$B$12:$E$34,4,0)*HLOOKUP($E143,'Equipment Assumptions'!$C$30:$Q$31,2,0),$H143*VLOOKUP($F143,Lists!$C$72:$R$232,COLUMNS(Lists!$C$69:I$69),0)*VLOOKUP(BI$3,Conversions!$B$12:$E$34,4,0)))</f>
        <v>0</v>
      </c>
      <c r="AF143" s="334">
        <f>IF($F143="",0,IF($A143="Default",$H143*VLOOKUP($F143,Lists!$C$72:$R$232,COLUMNS(Lists!$C$69:J$69),0)*VLOOKUP(BJ$3,Conversions!$B$12:$E$34,4,0)*HLOOKUP($E143,'Equipment Assumptions'!$C$30:$Q$31,2,0),$H143*VLOOKUP($F143,Lists!$C$72:$R$232,COLUMNS(Lists!$C$69:J$69),0)*VLOOKUP(BJ$3,Conversions!$B$12:$E$34,4,0)))</f>
        <v>0</v>
      </c>
      <c r="AG143" s="334">
        <f>IF($F143="",0,IF($A143="Default",$H143*VLOOKUP($F143,Lists!$C$72:$R$232,COLUMNS(Lists!$C$69:K$69),0)*VLOOKUP(BK$3,Conversions!$B$12:$E$34,4,0)*HLOOKUP($E143,'Equipment Assumptions'!$C$30:$Q$31,2,0),$H143*VLOOKUP($F143,Lists!$C$72:$R$232,COLUMNS(Lists!$C$69:K$69),0)*VLOOKUP(BK$3,Conversions!$B$12:$E$34,4,0)))</f>
        <v>0</v>
      </c>
      <c r="AH143" s="334">
        <f>IF($F143="",0,IF($A143="Default",$H143*VLOOKUP($F143,Lists!$C$72:$R$232,COLUMNS(Lists!$C$69:L$69),0)*VLOOKUP(BL$3,Conversions!$B$12:$E$34,4,0)*HLOOKUP($E143,'Equipment Assumptions'!$C$30:$Q$31,2,0),$H143*VLOOKUP($F143,Lists!$C$72:$R$232,COLUMNS(Lists!$C$69:L$69),0)*VLOOKUP(BL$3,Conversions!$B$12:$E$34,4,0)))</f>
        <v>0</v>
      </c>
      <c r="AI143" s="334">
        <f>IF($F143="",0,IF($A143="Default",$H143*VLOOKUP($F143,Lists!$C$72:$R$232,COLUMNS(Lists!$C$69:M$69),0)*VLOOKUP(BM$3,Conversions!$B$12:$E$34,4,0)*HLOOKUP($E143,'Equipment Assumptions'!$C$30:$Q$31,2,0),$H143*VLOOKUP($F143,Lists!$C$72:$R$232,COLUMNS(Lists!$C$69:M$69),0)*VLOOKUP(BM$3,Conversions!$B$12:$E$34,4,0)))</f>
        <v>0</v>
      </c>
      <c r="AJ143" s="334">
        <f>IF($F143="",0,IF($A143="Default",$H143*VLOOKUP($F143,Lists!$C$72:$R$232,COLUMNS(Lists!$C$69:N$69),0)*VLOOKUP(BN$3,Conversions!$B$12:$E$34,4,0)*HLOOKUP($E143,'Equipment Assumptions'!$C$30:$Q$31,2,0),$H143*VLOOKUP($F143,Lists!$C$72:$R$232,COLUMNS(Lists!$C$69:N$69),0)*VLOOKUP(BN$3,Conversions!$B$12:$E$34,4,0)))</f>
        <v>0</v>
      </c>
      <c r="AK143" s="334">
        <f>IF($F143="",0,IF($A143="Default",$H143*VLOOKUP($F143,Lists!$C$72:$R$232,COLUMNS(Lists!$C$69:O$69),0)*VLOOKUP(BO$3,Conversions!$B$12:$E$34,4,0)*HLOOKUP($E143,'Equipment Assumptions'!$C$30:$Q$31,2,0),$H143*VLOOKUP($F143,Lists!$C$72:$R$232,COLUMNS(Lists!$C$69:O$69),0)*VLOOKUP(BO$3,Conversions!$B$12:$E$34,4,0)))</f>
        <v>0</v>
      </c>
      <c r="AL143" s="334">
        <f>IF($F143="",0,IF($A143="Default",$H143*VLOOKUP($F143,Lists!$C$72:$R$232,COLUMNS(Lists!$C$69:P$69),0)*VLOOKUP(BP$3,Conversions!$B$12:$E$34,4,0)*HLOOKUP($E143,'Equipment Assumptions'!$C$30:$Q$31,2,0),$H143*VLOOKUP($F143,Lists!$C$72:$R$232,COLUMNS(Lists!$C$69:P$69),0)*VLOOKUP(BP$3,Conversions!$B$12:$E$34,4,0)))</f>
        <v>0</v>
      </c>
      <c r="AM143" s="334">
        <f>IF($F143="",0,IF($A143="Default",$H143*VLOOKUP($F143,Lists!$C$72:$R$232,COLUMNS(Lists!$C$69:Q$69),0)*VLOOKUP(BQ$3,Conversions!$B$12:$E$34,4,0)*HLOOKUP($E143,'Equipment Assumptions'!$C$30:$Q$31,2,0),$H143*VLOOKUP($F143,Lists!$C$72:$R$232,COLUMNS(Lists!$C$69:Q$69),0)*VLOOKUP(BQ$3,Conversions!$B$12:$E$34,4,0)))</f>
        <v>0</v>
      </c>
      <c r="AN143" s="334">
        <f>IF($F143="",0,IF($A143="Default",$H143*VLOOKUP($F143,Lists!$C$72:$R$232,COLUMNS(Lists!$C$69:R$69),0)*VLOOKUP(BR$3,Conversions!$B$12:$E$34,4,0)*HLOOKUP($E143,'Equipment Assumptions'!$C$30:$Q$31,2,0),$H143*VLOOKUP($F143,Lists!$C$72:$R$232,COLUMNS(Lists!$C$69:R$69),0)*VLOOKUP(BR$3,Conversions!$B$12:$E$34,4,0)))</f>
        <v>0</v>
      </c>
      <c r="AO143" s="330">
        <f t="shared" si="162"/>
        <v>0</v>
      </c>
      <c r="AP143" s="333">
        <f>IF($F143="",0,IF($A143="Default",$I143*VLOOKUP($F143,Lists!$C$72:$R$232,COLUMNS(Lists!$C$69:E$69),0)*VLOOKUP(BE$3,Conversions!$B$12:$E$34,4,0)*HLOOKUP($E143,'Equipment Assumptions'!$C$30:$Q$31,2,0),$I143*VLOOKUP($F143,Lists!$C$72:$R$232,COLUMNS(Lists!$C$69:E$69),0)*VLOOKUP(BE$3,Conversions!$B$12:$E$34,4,0)))</f>
        <v>0</v>
      </c>
      <c r="AQ143" s="333">
        <f>IF($F143="",0,IF($A143="Default",$I143*VLOOKUP($F143,Lists!$C$72:$R$232,COLUMNS(Lists!$C$69:F$69),0)*VLOOKUP(BF$3,Conversions!$B$12:$E$34,4,0)*HLOOKUP($E143,'Equipment Assumptions'!$C$30:$Q$31,2,0),$I143*VLOOKUP($F143,Lists!$C$72:$R$232,COLUMNS(Lists!$C$69:F$69),0)*VLOOKUP(BF$3,Conversions!$B$12:$E$34,4,0)))</f>
        <v>0</v>
      </c>
      <c r="AR143" s="333">
        <f>IF($F143="",0,IF($A143="Default",$I143*VLOOKUP($F143,Lists!$C$72:$R$232,COLUMNS(Lists!$C$69:G$69),0)*VLOOKUP(BG$3,Conversions!$B$12:$E$34,4,0)*HLOOKUP($E143,'Equipment Assumptions'!$C$30:$Q$31,2,0),$I143*VLOOKUP($F143,Lists!$C$72:$R$232,COLUMNS(Lists!$C$69:G$69),0)*VLOOKUP(BG$3,Conversions!$B$12:$E$34,4,0)))</f>
        <v>0</v>
      </c>
      <c r="AS143" s="333">
        <f>IF($F143="",0,IF($A143="Default",$I143*VLOOKUP($F143,Lists!$C$72:$R$232,COLUMNS(Lists!$C$69:H$69),0)*VLOOKUP(BH$3,Conversions!$B$12:$E$34,4,0)*HLOOKUP($E143,'Equipment Assumptions'!$C$30:$Q$31,2,0),$I143*VLOOKUP($F143,Lists!$C$72:$R$232,COLUMNS(Lists!$C$69:H$69),0)*VLOOKUP(BH$3,Conversions!$B$12:$E$34,4,0)))</f>
        <v>0</v>
      </c>
      <c r="AT143" s="333">
        <f>IF($F143="",0,IF($A143="Default",$I143*VLOOKUP($F143,Lists!$C$72:$R$232,COLUMNS(Lists!$C$69:I$69),0)*VLOOKUP(BI$3,Conversions!$B$12:$E$34,4,0)*HLOOKUP($E143,'Equipment Assumptions'!$C$30:$Q$31,2,0),$I143*VLOOKUP($F143,Lists!$C$72:$R$232,COLUMNS(Lists!$C$69:I$69),0)*VLOOKUP(BI$3,Conversions!$B$12:$E$34,4,0)))</f>
        <v>0</v>
      </c>
      <c r="AU143" s="333">
        <f>IF($F143="",0,IF($A143="Default",$I143*VLOOKUP($F143,Lists!$C$72:$R$232,COLUMNS(Lists!$C$69:J$69),0)*VLOOKUP(BJ$3,Conversions!$B$12:$E$34,4,0)*HLOOKUP($E143,'Equipment Assumptions'!$C$30:$Q$31,2,0),$I143*VLOOKUP($F143,Lists!$C$72:$R$232,COLUMNS(Lists!$C$69:J$69),0)*VLOOKUP(BJ$3,Conversions!$B$12:$E$34,4,0)))</f>
        <v>0</v>
      </c>
      <c r="AV143" s="333">
        <f>IF($F143="",0,IF($A143="Default",$I143*VLOOKUP($F143,Lists!$C$72:$R$232,COLUMNS(Lists!$C$69:K$69),0)*VLOOKUP(BK$3,Conversions!$B$12:$E$34,4,0)*HLOOKUP($E143,'Equipment Assumptions'!$C$30:$Q$31,2,0),$I143*VLOOKUP($F143,Lists!$C$72:$R$232,COLUMNS(Lists!$C$69:K$69),0)*VLOOKUP(BK$3,Conversions!$B$12:$E$34,4,0)))</f>
        <v>0</v>
      </c>
      <c r="AW143" s="333">
        <f>IF($F143="",0,IF($A143="Default",$I143*VLOOKUP($F143,Lists!$C$72:$R$232,COLUMNS(Lists!$C$69:L$69),0)*VLOOKUP(BL$3,Conversions!$B$12:$E$34,4,0)*HLOOKUP($E143,'Equipment Assumptions'!$C$30:$Q$31,2,0),$I143*VLOOKUP($F143,Lists!$C$72:$R$232,COLUMNS(Lists!$C$69:L$69),0)*VLOOKUP(BL$3,Conversions!$B$12:$E$34,4,0)))</f>
        <v>0</v>
      </c>
      <c r="AX143" s="333">
        <f>IF($F143="",0,IF($A143="Default",$I143*VLOOKUP($F143,Lists!$C$72:$R$232,COLUMNS(Lists!$C$69:M$69),0)*VLOOKUP(BM$3,Conversions!$B$12:$E$34,4,0)*HLOOKUP($E143,'Equipment Assumptions'!$C$30:$Q$31,2,0),$I143*VLOOKUP($F143,Lists!$C$72:$R$232,COLUMNS(Lists!$C$69:M$69),0)*VLOOKUP(BM$3,Conversions!$B$12:$E$34,4,0)))</f>
        <v>0</v>
      </c>
      <c r="AY143" s="333">
        <f>IF($F143="",0,IF($A143="Default",$I143*VLOOKUP($F143,Lists!$C$72:$R$232,COLUMNS(Lists!$C$69:N$69),0)*VLOOKUP(BN$3,Conversions!$B$12:$E$34,4,0)*HLOOKUP($E143,'Equipment Assumptions'!$C$30:$Q$31,2,0),$I143*VLOOKUP($F143,Lists!$C$72:$R$232,COLUMNS(Lists!$C$69:N$69),0)*VLOOKUP(BN$3,Conversions!$B$12:$E$34,4,0)))</f>
        <v>0</v>
      </c>
      <c r="AZ143" s="333">
        <f>IF($F143="",0,IF($A143="Default",$I143*VLOOKUP($F143,Lists!$C$72:$R$232,COLUMNS(Lists!$C$69:O$69),0)*VLOOKUP(BO$3,Conversions!$B$12:$E$34,4,0)*HLOOKUP($E143,'Equipment Assumptions'!$C$30:$Q$31,2,0),$I143*VLOOKUP($F143,Lists!$C$72:$R$232,COLUMNS(Lists!$C$69:O$69),0)*VLOOKUP(BO$3,Conversions!$B$12:$E$34,4,0)))</f>
        <v>0</v>
      </c>
      <c r="BA143" s="333">
        <f>IF($F143="",0,IF($A143="Default",$I143*VLOOKUP($F143,Lists!$C$72:$R$232,COLUMNS(Lists!$C$69:P$69),0)*VLOOKUP(BP$3,Conversions!$B$12:$E$34,4,0)*HLOOKUP($E143,'Equipment Assumptions'!$C$30:$Q$31,2,0),$I143*VLOOKUP($F143,Lists!$C$72:$R$232,COLUMNS(Lists!$C$69:P$69),0)*VLOOKUP(BP$3,Conversions!$B$12:$E$34,4,0)))</f>
        <v>0</v>
      </c>
      <c r="BB143" s="333">
        <f>IF($F143="",0,IF($A143="Default",$I143*VLOOKUP($F143,Lists!$C$72:$R$232,COLUMNS(Lists!$C$69:Q$69),0)*VLOOKUP(BQ$3,Conversions!$B$12:$E$34,4,0)*HLOOKUP($E143,'Equipment Assumptions'!$C$30:$Q$31,2,0),$I143*VLOOKUP($F143,Lists!$C$72:$R$232,COLUMNS(Lists!$C$69:Q$69),0)*VLOOKUP(BQ$3,Conversions!$B$12:$E$34,4,0)))</f>
        <v>0</v>
      </c>
      <c r="BC143" s="333">
        <f>IF($F143="",0,IF($A143="Default",$I143*VLOOKUP($F143,Lists!$C$72:$R$232,COLUMNS(Lists!$C$69:R$69),0)*VLOOKUP(BR$3,Conversions!$B$12:$E$34,4,0)*HLOOKUP($E143,'Equipment Assumptions'!$C$30:$Q$31,2,0),$I143*VLOOKUP($F143,Lists!$C$72:$R$232,COLUMNS(Lists!$C$69:R$69),0)*VLOOKUP(BR$3,Conversions!$B$12:$E$34,4,0)))</f>
        <v>0</v>
      </c>
      <c r="BD143" s="333">
        <f t="shared" si="163"/>
        <v>0</v>
      </c>
      <c r="BE143" s="330">
        <f t="shared" si="164"/>
        <v>0</v>
      </c>
      <c r="BF143" s="330">
        <f t="shared" si="165"/>
        <v>0</v>
      </c>
      <c r="BG143" s="330">
        <f t="shared" si="166"/>
        <v>0</v>
      </c>
      <c r="BH143" s="330">
        <f t="shared" si="167"/>
        <v>0</v>
      </c>
      <c r="BI143" s="330">
        <f t="shared" si="168"/>
        <v>0</v>
      </c>
      <c r="BJ143" s="330">
        <f t="shared" si="169"/>
        <v>0</v>
      </c>
      <c r="BK143" s="330">
        <f t="shared" si="170"/>
        <v>0</v>
      </c>
      <c r="BL143" s="330">
        <f t="shared" si="171"/>
        <v>0</v>
      </c>
      <c r="BM143" s="330">
        <f t="shared" si="172"/>
        <v>0</v>
      </c>
      <c r="BN143" s="330">
        <f t="shared" si="173"/>
        <v>0</v>
      </c>
      <c r="BO143" s="330">
        <f t="shared" si="174"/>
        <v>0</v>
      </c>
      <c r="BP143" s="330">
        <f t="shared" si="175"/>
        <v>0</v>
      </c>
      <c r="BQ143" s="330">
        <f t="shared" si="176"/>
        <v>0</v>
      </c>
      <c r="BR143" s="330">
        <f t="shared" si="177"/>
        <v>0</v>
      </c>
      <c r="BS143" s="330">
        <f t="shared" si="178"/>
        <v>0</v>
      </c>
      <c r="BT143" s="329">
        <f t="shared" si="191"/>
        <v>0</v>
      </c>
      <c r="BU143" s="329">
        <f t="shared" si="191"/>
        <v>0</v>
      </c>
      <c r="BV143" s="329">
        <f t="shared" si="191"/>
        <v>0</v>
      </c>
      <c r="BW143" s="329">
        <f t="shared" si="191"/>
        <v>0</v>
      </c>
      <c r="BX143" s="329">
        <f t="shared" si="191"/>
        <v>0</v>
      </c>
      <c r="BY143" s="329">
        <f t="shared" si="191"/>
        <v>0</v>
      </c>
      <c r="BZ143" s="329">
        <f t="shared" si="191"/>
        <v>0</v>
      </c>
      <c r="CA143" s="329">
        <f t="shared" si="191"/>
        <v>0</v>
      </c>
      <c r="CB143" s="329">
        <f t="shared" si="191"/>
        <v>0</v>
      </c>
      <c r="CC143" s="329">
        <f t="shared" si="191"/>
        <v>0</v>
      </c>
      <c r="CD143" s="329">
        <f t="shared" si="191"/>
        <v>0</v>
      </c>
      <c r="CE143" s="329">
        <f t="shared" si="191"/>
        <v>0</v>
      </c>
      <c r="CF143" s="329">
        <f t="shared" si="191"/>
        <v>0</v>
      </c>
      <c r="CG143" s="329">
        <f t="shared" si="191"/>
        <v>0</v>
      </c>
      <c r="CH143" s="329">
        <f t="shared" si="191"/>
        <v>0</v>
      </c>
      <c r="CI143" s="329">
        <f t="shared" si="191"/>
        <v>0</v>
      </c>
      <c r="CJ143" s="331">
        <f t="shared" si="179"/>
        <v>0</v>
      </c>
      <c r="CK143" s="330">
        <f t="shared" si="180"/>
        <v>0</v>
      </c>
      <c r="CL143" s="330">
        <f t="shared" si="181"/>
        <v>0</v>
      </c>
      <c r="CM143" s="330">
        <f t="shared" si="182"/>
        <v>0</v>
      </c>
      <c r="CN143" s="330">
        <f t="shared" si="183"/>
        <v>0</v>
      </c>
      <c r="CO143" s="330">
        <f t="shared" si="184"/>
        <v>0</v>
      </c>
      <c r="CP143" s="330">
        <f t="shared" si="185"/>
        <v>0</v>
      </c>
      <c r="CQ143" s="330">
        <f t="shared" si="186"/>
        <v>0</v>
      </c>
      <c r="CR143" s="330">
        <f t="shared" si="187"/>
        <v>0</v>
      </c>
      <c r="CS143" s="330">
        <f t="shared" si="188"/>
        <v>0</v>
      </c>
      <c r="CT143" s="330">
        <f t="shared" si="189"/>
        <v>0</v>
      </c>
      <c r="CU143" s="330">
        <f t="shared" si="192"/>
        <v>0</v>
      </c>
      <c r="CV143" s="330">
        <f t="shared" si="192"/>
        <v>0</v>
      </c>
      <c r="CW143" s="330">
        <f t="shared" si="192"/>
        <v>0</v>
      </c>
      <c r="CX143" s="330">
        <f t="shared" si="192"/>
        <v>0</v>
      </c>
      <c r="CY143" s="330">
        <f t="shared" si="192"/>
        <v>0</v>
      </c>
      <c r="CZ143" s="330">
        <f t="shared" si="192"/>
        <v>0</v>
      </c>
      <c r="DA143" s="330">
        <f t="shared" si="192"/>
        <v>0</v>
      </c>
      <c r="DB143" s="330">
        <f t="shared" si="192"/>
        <v>0</v>
      </c>
      <c r="DC143" s="330">
        <f t="shared" si="192"/>
        <v>0</v>
      </c>
      <c r="DD143" s="330">
        <f t="shared" si="192"/>
        <v>0</v>
      </c>
      <c r="DE143" s="330">
        <f t="shared" si="193"/>
        <v>0</v>
      </c>
      <c r="DF143" s="330">
        <f t="shared" si="193"/>
        <v>0</v>
      </c>
      <c r="DG143" s="330">
        <f t="shared" si="193"/>
        <v>0</v>
      </c>
      <c r="DH143" s="330">
        <f t="shared" si="193"/>
        <v>0</v>
      </c>
      <c r="DI143" s="330">
        <f t="shared" si="193"/>
        <v>0</v>
      </c>
      <c r="DJ143" s="330">
        <f t="shared" si="193"/>
        <v>0</v>
      </c>
      <c r="DK143" s="330">
        <f t="shared" si="193"/>
        <v>0</v>
      </c>
      <c r="DL143" s="330">
        <f t="shared" si="193"/>
        <v>0</v>
      </c>
      <c r="DM143" s="330">
        <f t="shared" si="193"/>
        <v>0</v>
      </c>
      <c r="DN143" s="330">
        <f t="shared" si="193"/>
        <v>0</v>
      </c>
      <c r="DO143" s="330">
        <f t="shared" si="193"/>
        <v>0</v>
      </c>
      <c r="DP143" s="330">
        <f t="shared" si="190"/>
        <v>0</v>
      </c>
      <c r="DQ143" s="217"/>
      <c r="DR143" s="217"/>
      <c r="DS143" s="217"/>
      <c r="DT143" s="217"/>
    </row>
    <row r="144" spans="1:124" x14ac:dyDescent="0.3">
      <c r="A144" s="332" t="str">
        <f>IF(AND(F144&lt;&gt;"",OR('Simplified Screening 1'!G35=0,'Simplified Screening 1'!G35="I Don't Know")),"Default","")</f>
        <v/>
      </c>
      <c r="B144" s="221" t="s">
        <v>306</v>
      </c>
      <c r="C144" s="221" t="str">
        <f>IF('Simplified Screening 1'!C35=0,"",'Simplified Screening 1'!C35)</f>
        <v/>
      </c>
      <c r="D144" s="221" t="str">
        <f>IF('Simplified Screening 1'!D35=0,"",'Simplified Screening 1'!D35)</f>
        <v/>
      </c>
      <c r="E144" s="221" t="str">
        <f>IF('Simplified Screening 1'!E35=0,"",'Simplified Screening 1'!E35)</f>
        <v/>
      </c>
      <c r="F144" s="221" t="str">
        <f>'Simplified Screening 1'!R35</f>
        <v/>
      </c>
      <c r="G144" s="272">
        <f>'Simplified Screening 1'!H35*'Simplified Screening 1'!L35*Conversions!$C$4</f>
        <v>0</v>
      </c>
      <c r="H144" s="272">
        <f>'Simplified Screening 1'!I35*'Simplified Screening 1'!M35*'Simplified Screening 1'!J35*Conversions!$C$4</f>
        <v>0</v>
      </c>
      <c r="I144" s="272">
        <f>'Simplified Screening 1'!K35*'Simplified Screening 1'!N35*(1-'Simplified Screening 1'!O35)*Conversions!$C$4</f>
        <v>0</v>
      </c>
      <c r="J144" s="325">
        <f>IF('Simplified Screening 1'!P35=0,0,'Simplified Screening 1'!P35)</f>
        <v>0</v>
      </c>
      <c r="K144" s="325">
        <f>IF(AND(OR('Simplified Screening 1'!G35=0,'Simplified Screening 1'!G35="I Don't Know"),F144&lt;&gt;""),J144*HLOOKUP(E144,'Equipment Assumptions'!$C$30:$Q$31,2,0),IF(F144="Non-HFC",0,J144))</f>
        <v>0</v>
      </c>
      <c r="L144" s="333">
        <f>IF($F144="",0,IF($A144="Default",$G144*VLOOKUP($F144,Lists!$C$72:$R$232,COLUMNS(Lists!$C$69:E$69),0)*VLOOKUP(BE$3,Conversions!$B$12:$E$34,4,0)*HLOOKUP($E144,'Equipment Assumptions'!$C$30:$Q$31,2,0),$G144*VLOOKUP($F144,Lists!$C$72:$R$232,COLUMNS(Lists!$C$69:E$69),0)*VLOOKUP(BE$3,Conversions!$B$12:$E$34,4,0)))</f>
        <v>0</v>
      </c>
      <c r="M144" s="333">
        <f>IF($F144="",0,IF($A144="Default",$G144*VLOOKUP($F144,Lists!$C$72:$R$232,COLUMNS(Lists!$C$69:F$69),0)*VLOOKUP(BF$3,Conversions!$B$12:$E$34,4,0)*HLOOKUP($E144,'Equipment Assumptions'!$C$30:$Q$31,2,0),$G144*VLOOKUP($F144,Lists!$C$72:$R$232,COLUMNS(Lists!$C$69:F$69),0)*VLOOKUP(BF$3,Conversions!$B$12:$E$34,4,0)))</f>
        <v>0</v>
      </c>
      <c r="N144" s="333">
        <f>IF($F144="",0,IF($A144="Default",$G144*VLOOKUP($F144,Lists!$C$72:$R$232,COLUMNS(Lists!$C$69:G$69),0)*VLOOKUP(BG$3,Conversions!$B$12:$E$34,4,0)*HLOOKUP($E144,'Equipment Assumptions'!$C$30:$Q$31,2,0),$G144*VLOOKUP($F144,Lists!$C$72:$R$232,COLUMNS(Lists!$C$69:G$69),0)*VLOOKUP(BG$3,Conversions!$B$12:$E$34,4,0)))</f>
        <v>0</v>
      </c>
      <c r="O144" s="333">
        <f>IF($F144="",0,IF($A144="Default",$G144*VLOOKUP($F144,Lists!$C$72:$R$232,COLUMNS(Lists!$C$69:H$69),0)*VLOOKUP(BH$3,Conversions!$B$12:$E$34,4,0)*HLOOKUP($E144,'Equipment Assumptions'!$C$30:$Q$31,2,0),$G144*VLOOKUP($F144,Lists!$C$72:$R$232,COLUMNS(Lists!$C$69:H$69),0)*VLOOKUP(BH$3,Conversions!$B$12:$E$34,4,0)))</f>
        <v>0</v>
      </c>
      <c r="P144" s="333">
        <f>IF($F144="",0,IF($A144="Default",$G144*VLOOKUP($F144,Lists!$C$72:$R$232,COLUMNS(Lists!$C$69:I$69),0)*VLOOKUP(BI$3,Conversions!$B$12:$E$34,4,0)*HLOOKUP($E144,'Equipment Assumptions'!$C$30:$Q$31,2,0),$G144*VLOOKUP($F144,Lists!$C$72:$R$232,COLUMNS(Lists!$C$69:I$69),0)*VLOOKUP(BI$3,Conversions!$B$12:$E$34,4,0)))</f>
        <v>0</v>
      </c>
      <c r="Q144" s="333">
        <f>IF($F144="",0,IF($A144="Default",$G144*VLOOKUP($F144,Lists!$C$72:$R$232,COLUMNS(Lists!$C$69:J$69),0)*VLOOKUP(BJ$3,Conversions!$B$12:$E$34,4,0)*HLOOKUP($E144,'Equipment Assumptions'!$C$30:$Q$31,2,0),$G144*VLOOKUP($F144,Lists!$C$72:$R$232,COLUMNS(Lists!$C$69:J$69),0)*VLOOKUP(BJ$3,Conversions!$B$12:$E$34,4,0)))</f>
        <v>0</v>
      </c>
      <c r="R144" s="333">
        <f>IF($F144="",0,IF($A144="Default",$G144*VLOOKUP($F144,Lists!$C$72:$R$232,COLUMNS(Lists!$C$69:K$69),0)*VLOOKUP(BK$3,Conversions!$B$12:$E$34,4,0)*HLOOKUP($E144,'Equipment Assumptions'!$C$30:$Q$31,2,0),$G144*VLOOKUP($F144,Lists!$C$72:$R$232,COLUMNS(Lists!$C$69:K$69),0)*VLOOKUP(BK$3,Conversions!$B$12:$E$34,4,0)))</f>
        <v>0</v>
      </c>
      <c r="S144" s="333">
        <f>IF($F144="",0,IF($A144="Default",$G144*VLOOKUP($F144,Lists!$C$72:$R$232,COLUMNS(Lists!$C$69:L$69),0)*VLOOKUP(BL$3,Conversions!$B$12:$E$34,4,0)*HLOOKUP($E144,'Equipment Assumptions'!$C$30:$Q$31,2,0),$G144*VLOOKUP($F144,Lists!$C$72:$R$232,COLUMNS(Lists!$C$69:L$69),0)*VLOOKUP(BL$3,Conversions!$B$12:$E$34,4,0)))</f>
        <v>0</v>
      </c>
      <c r="T144" s="333">
        <f>IF($F144="",0,IF($A144="Default",$G144*VLOOKUP($F144,Lists!$C$72:$R$232,COLUMNS(Lists!$C$69:M$69),0)*VLOOKUP(BM$3,Conversions!$B$12:$E$34,4,0)*HLOOKUP($E144,'Equipment Assumptions'!$C$30:$Q$31,2,0),$G144*VLOOKUP($F144,Lists!$C$72:$R$232,COLUMNS(Lists!$C$69:M$69),0)*VLOOKUP(BM$3,Conversions!$B$12:$E$34,4,0)))</f>
        <v>0</v>
      </c>
      <c r="U144" s="333">
        <f>IF($F144="",0,IF($A144="Default",$G144*VLOOKUP($F144,Lists!$C$72:$R$232,COLUMNS(Lists!$C$69:N$69),0)*VLOOKUP(BN$3,Conversions!$B$12:$E$34,4,0)*HLOOKUP($E144,'Equipment Assumptions'!$C$30:$Q$31,2,0),$G144*VLOOKUP($F144,Lists!$C$72:$R$232,COLUMNS(Lists!$C$69:N$69),0)*VLOOKUP(BN$3,Conversions!$B$12:$E$34,4,0)))</f>
        <v>0</v>
      </c>
      <c r="V144" s="333">
        <f>IF($F144="",0,IF($A144="Default",$G144*VLOOKUP($F144,Lists!$C$72:$R$232,COLUMNS(Lists!$C$69:O$69),0)*VLOOKUP(BO$3,Conversions!$B$12:$E$34,4,0)*HLOOKUP($E144,'Equipment Assumptions'!$C$30:$Q$31,2,0),$G144*VLOOKUP($F144,Lists!$C$72:$R$232,COLUMNS(Lists!$C$69:O$69),0)*VLOOKUP(BO$3,Conversions!$B$12:$E$34,4,0)))</f>
        <v>0</v>
      </c>
      <c r="W144" s="333">
        <f>IF($F144="",0,IF($A144="Default",$G144*VLOOKUP($F144,Lists!$C$72:$R$232,COLUMNS(Lists!$C$69:P$69),0)*VLOOKUP(BP$3,Conversions!$B$12:$E$34,4,0)*HLOOKUP($E144,'Equipment Assumptions'!$C$30:$Q$31,2,0),$G144*VLOOKUP($F144,Lists!$C$72:$R$232,COLUMNS(Lists!$C$69:P$69),0)*VLOOKUP(BP$3,Conversions!$B$12:$E$34,4,0)))</f>
        <v>0</v>
      </c>
      <c r="X144" s="333">
        <f>IF($F144="",0,IF($A144="Default",$G144*VLOOKUP($F144,Lists!$C$72:$R$232,COLUMNS(Lists!$C$69:Q$69),0)*VLOOKUP(BQ$3,Conversions!$B$12:$E$34,4,0)*HLOOKUP($E144,'Equipment Assumptions'!$C$30:$Q$31,2,0),$G144*VLOOKUP($F144,Lists!$C$72:$R$232,COLUMNS(Lists!$C$69:Q$69),0)*VLOOKUP(BQ$3,Conversions!$B$12:$E$34,4,0)))</f>
        <v>0</v>
      </c>
      <c r="Y144" s="333">
        <f>IF($F144="",0,IF($A144="Default",$G144*VLOOKUP($F144,Lists!$C$72:$R$232,COLUMNS(Lists!$C$69:R$69),0)*VLOOKUP(BR$3,Conversions!$B$12:$E$34,4,0)*HLOOKUP($E144,'Equipment Assumptions'!$C$30:$Q$31,2,0),$G144*VLOOKUP($F144,Lists!$C$72:$R$232,COLUMNS(Lists!$C$69:R$69),0)*VLOOKUP(BR$3,Conversions!$B$12:$E$34,4,0)))</f>
        <v>0</v>
      </c>
      <c r="Z144" s="325">
        <f t="shared" si="161"/>
        <v>0</v>
      </c>
      <c r="AA144" s="334">
        <f>IF($F144="",0,IF($A144="Default",$H144*VLOOKUP($F144,Lists!$C$72:$R$232,COLUMNS(Lists!$C$69:E$69),0)*VLOOKUP(BE$3,Conversions!$B$12:$E$34,4,0)*HLOOKUP($E144,'Equipment Assumptions'!$C$30:$Q$31,2,0),$H144*VLOOKUP($F144,Lists!$C$72:$R$232,COLUMNS(Lists!$C$69:E$69),0)*VLOOKUP(BE$3,Conversions!$B$12:$E$34,4,0)))</f>
        <v>0</v>
      </c>
      <c r="AB144" s="334">
        <f>IF($F144="",0,IF($A144="Default",$H144*VLOOKUP($F144,Lists!$C$72:$R$232,COLUMNS(Lists!$C$69:F$69),0)*VLOOKUP(BF$3,Conversions!$B$12:$E$34,4,0)*HLOOKUP($E144,'Equipment Assumptions'!$C$30:$Q$31,2,0),$H144*VLOOKUP($F144,Lists!$C$72:$R$232,COLUMNS(Lists!$C$69:F$69),0)*VLOOKUP(BF$3,Conversions!$B$12:$E$34,4,0)))</f>
        <v>0</v>
      </c>
      <c r="AC144" s="334">
        <f>IF($F144="",0,IF($A144="Default",$H144*VLOOKUP($F144,Lists!$C$72:$R$232,COLUMNS(Lists!$C$69:G$69),0)*VLOOKUP(BG$3,Conversions!$B$12:$E$34,4,0)*HLOOKUP($E144,'Equipment Assumptions'!$C$30:$Q$31,2,0),$H144*VLOOKUP($F144,Lists!$C$72:$R$232,COLUMNS(Lists!$C$69:G$69),0)*VLOOKUP(BG$3,Conversions!$B$12:$E$34,4,0)))</f>
        <v>0</v>
      </c>
      <c r="AD144" s="334">
        <f>IF($F144="",0,IF($A144="Default",$H144*VLOOKUP($F144,Lists!$C$72:$R$232,COLUMNS(Lists!$C$69:H$69),0)*VLOOKUP(BH$3,Conversions!$B$12:$E$34,4,0)*HLOOKUP($E144,'Equipment Assumptions'!$C$30:$Q$31,2,0),$H144*VLOOKUP($F144,Lists!$C$72:$R$232,COLUMNS(Lists!$C$69:H$69),0)*VLOOKUP(BH$3,Conversions!$B$12:$E$34,4,0)))</f>
        <v>0</v>
      </c>
      <c r="AE144" s="334">
        <f>IF($F144="",0,IF($A144="Default",$H144*VLOOKUP($F144,Lists!$C$72:$R$232,COLUMNS(Lists!$C$69:I$69),0)*VLOOKUP(BI$3,Conversions!$B$12:$E$34,4,0)*HLOOKUP($E144,'Equipment Assumptions'!$C$30:$Q$31,2,0),$H144*VLOOKUP($F144,Lists!$C$72:$R$232,COLUMNS(Lists!$C$69:I$69),0)*VLOOKUP(BI$3,Conversions!$B$12:$E$34,4,0)))</f>
        <v>0</v>
      </c>
      <c r="AF144" s="334">
        <f>IF($F144="",0,IF($A144="Default",$H144*VLOOKUP($F144,Lists!$C$72:$R$232,COLUMNS(Lists!$C$69:J$69),0)*VLOOKUP(BJ$3,Conversions!$B$12:$E$34,4,0)*HLOOKUP($E144,'Equipment Assumptions'!$C$30:$Q$31,2,0),$H144*VLOOKUP($F144,Lists!$C$72:$R$232,COLUMNS(Lists!$C$69:J$69),0)*VLOOKUP(BJ$3,Conversions!$B$12:$E$34,4,0)))</f>
        <v>0</v>
      </c>
      <c r="AG144" s="334">
        <f>IF($F144="",0,IF($A144="Default",$H144*VLOOKUP($F144,Lists!$C$72:$R$232,COLUMNS(Lists!$C$69:K$69),0)*VLOOKUP(BK$3,Conversions!$B$12:$E$34,4,0)*HLOOKUP($E144,'Equipment Assumptions'!$C$30:$Q$31,2,0),$H144*VLOOKUP($F144,Lists!$C$72:$R$232,COLUMNS(Lists!$C$69:K$69),0)*VLOOKUP(BK$3,Conversions!$B$12:$E$34,4,0)))</f>
        <v>0</v>
      </c>
      <c r="AH144" s="334">
        <f>IF($F144="",0,IF($A144="Default",$H144*VLOOKUP($F144,Lists!$C$72:$R$232,COLUMNS(Lists!$C$69:L$69),0)*VLOOKUP(BL$3,Conversions!$B$12:$E$34,4,0)*HLOOKUP($E144,'Equipment Assumptions'!$C$30:$Q$31,2,0),$H144*VLOOKUP($F144,Lists!$C$72:$R$232,COLUMNS(Lists!$C$69:L$69),0)*VLOOKUP(BL$3,Conversions!$B$12:$E$34,4,0)))</f>
        <v>0</v>
      </c>
      <c r="AI144" s="334">
        <f>IF($F144="",0,IF($A144="Default",$H144*VLOOKUP($F144,Lists!$C$72:$R$232,COLUMNS(Lists!$C$69:M$69),0)*VLOOKUP(BM$3,Conversions!$B$12:$E$34,4,0)*HLOOKUP($E144,'Equipment Assumptions'!$C$30:$Q$31,2,0),$H144*VLOOKUP($F144,Lists!$C$72:$R$232,COLUMNS(Lists!$C$69:M$69),0)*VLOOKUP(BM$3,Conversions!$B$12:$E$34,4,0)))</f>
        <v>0</v>
      </c>
      <c r="AJ144" s="334">
        <f>IF($F144="",0,IF($A144="Default",$H144*VLOOKUP($F144,Lists!$C$72:$R$232,COLUMNS(Lists!$C$69:N$69),0)*VLOOKUP(BN$3,Conversions!$B$12:$E$34,4,0)*HLOOKUP($E144,'Equipment Assumptions'!$C$30:$Q$31,2,0),$H144*VLOOKUP($F144,Lists!$C$72:$R$232,COLUMNS(Lists!$C$69:N$69),0)*VLOOKUP(BN$3,Conversions!$B$12:$E$34,4,0)))</f>
        <v>0</v>
      </c>
      <c r="AK144" s="334">
        <f>IF($F144="",0,IF($A144="Default",$H144*VLOOKUP($F144,Lists!$C$72:$R$232,COLUMNS(Lists!$C$69:O$69),0)*VLOOKUP(BO$3,Conversions!$B$12:$E$34,4,0)*HLOOKUP($E144,'Equipment Assumptions'!$C$30:$Q$31,2,0),$H144*VLOOKUP($F144,Lists!$C$72:$R$232,COLUMNS(Lists!$C$69:O$69),0)*VLOOKUP(BO$3,Conversions!$B$12:$E$34,4,0)))</f>
        <v>0</v>
      </c>
      <c r="AL144" s="334">
        <f>IF($F144="",0,IF($A144="Default",$H144*VLOOKUP($F144,Lists!$C$72:$R$232,COLUMNS(Lists!$C$69:P$69),0)*VLOOKUP(BP$3,Conversions!$B$12:$E$34,4,0)*HLOOKUP($E144,'Equipment Assumptions'!$C$30:$Q$31,2,0),$H144*VLOOKUP($F144,Lists!$C$72:$R$232,COLUMNS(Lists!$C$69:P$69),0)*VLOOKUP(BP$3,Conversions!$B$12:$E$34,4,0)))</f>
        <v>0</v>
      </c>
      <c r="AM144" s="334">
        <f>IF($F144="",0,IF($A144="Default",$H144*VLOOKUP($F144,Lists!$C$72:$R$232,COLUMNS(Lists!$C$69:Q$69),0)*VLOOKUP(BQ$3,Conversions!$B$12:$E$34,4,0)*HLOOKUP($E144,'Equipment Assumptions'!$C$30:$Q$31,2,0),$H144*VLOOKUP($F144,Lists!$C$72:$R$232,COLUMNS(Lists!$C$69:Q$69),0)*VLOOKUP(BQ$3,Conversions!$B$12:$E$34,4,0)))</f>
        <v>0</v>
      </c>
      <c r="AN144" s="334">
        <f>IF($F144="",0,IF($A144="Default",$H144*VLOOKUP($F144,Lists!$C$72:$R$232,COLUMNS(Lists!$C$69:R$69),0)*VLOOKUP(BR$3,Conversions!$B$12:$E$34,4,0)*HLOOKUP($E144,'Equipment Assumptions'!$C$30:$Q$31,2,0),$H144*VLOOKUP($F144,Lists!$C$72:$R$232,COLUMNS(Lists!$C$69:R$69),0)*VLOOKUP(BR$3,Conversions!$B$12:$E$34,4,0)))</f>
        <v>0</v>
      </c>
      <c r="AO144" s="330">
        <f t="shared" si="162"/>
        <v>0</v>
      </c>
      <c r="AP144" s="333">
        <f>IF($F144="",0,IF($A144="Default",$I144*VLOOKUP($F144,Lists!$C$72:$R$232,COLUMNS(Lists!$C$69:E$69),0)*VLOOKUP(BE$3,Conversions!$B$12:$E$34,4,0)*HLOOKUP($E144,'Equipment Assumptions'!$C$30:$Q$31,2,0),$I144*VLOOKUP($F144,Lists!$C$72:$R$232,COLUMNS(Lists!$C$69:E$69),0)*VLOOKUP(BE$3,Conversions!$B$12:$E$34,4,0)))</f>
        <v>0</v>
      </c>
      <c r="AQ144" s="333">
        <f>IF($F144="",0,IF($A144="Default",$I144*VLOOKUP($F144,Lists!$C$72:$R$232,COLUMNS(Lists!$C$69:F$69),0)*VLOOKUP(BF$3,Conversions!$B$12:$E$34,4,0)*HLOOKUP($E144,'Equipment Assumptions'!$C$30:$Q$31,2,0),$I144*VLOOKUP($F144,Lists!$C$72:$R$232,COLUMNS(Lists!$C$69:F$69),0)*VLOOKUP(BF$3,Conversions!$B$12:$E$34,4,0)))</f>
        <v>0</v>
      </c>
      <c r="AR144" s="333">
        <f>IF($F144="",0,IF($A144="Default",$I144*VLOOKUP($F144,Lists!$C$72:$R$232,COLUMNS(Lists!$C$69:G$69),0)*VLOOKUP(BG$3,Conversions!$B$12:$E$34,4,0)*HLOOKUP($E144,'Equipment Assumptions'!$C$30:$Q$31,2,0),$I144*VLOOKUP($F144,Lists!$C$72:$R$232,COLUMNS(Lists!$C$69:G$69),0)*VLOOKUP(BG$3,Conversions!$B$12:$E$34,4,0)))</f>
        <v>0</v>
      </c>
      <c r="AS144" s="333">
        <f>IF($F144="",0,IF($A144="Default",$I144*VLOOKUP($F144,Lists!$C$72:$R$232,COLUMNS(Lists!$C$69:H$69),0)*VLOOKUP(BH$3,Conversions!$B$12:$E$34,4,0)*HLOOKUP($E144,'Equipment Assumptions'!$C$30:$Q$31,2,0),$I144*VLOOKUP($F144,Lists!$C$72:$R$232,COLUMNS(Lists!$C$69:H$69),0)*VLOOKUP(BH$3,Conversions!$B$12:$E$34,4,0)))</f>
        <v>0</v>
      </c>
      <c r="AT144" s="333">
        <f>IF($F144="",0,IF($A144="Default",$I144*VLOOKUP($F144,Lists!$C$72:$R$232,COLUMNS(Lists!$C$69:I$69),0)*VLOOKUP(BI$3,Conversions!$B$12:$E$34,4,0)*HLOOKUP($E144,'Equipment Assumptions'!$C$30:$Q$31,2,0),$I144*VLOOKUP($F144,Lists!$C$72:$R$232,COLUMNS(Lists!$C$69:I$69),0)*VLOOKUP(BI$3,Conversions!$B$12:$E$34,4,0)))</f>
        <v>0</v>
      </c>
      <c r="AU144" s="333">
        <f>IF($F144="",0,IF($A144="Default",$I144*VLOOKUP($F144,Lists!$C$72:$R$232,COLUMNS(Lists!$C$69:J$69),0)*VLOOKUP(BJ$3,Conversions!$B$12:$E$34,4,0)*HLOOKUP($E144,'Equipment Assumptions'!$C$30:$Q$31,2,0),$I144*VLOOKUP($F144,Lists!$C$72:$R$232,COLUMNS(Lists!$C$69:J$69),0)*VLOOKUP(BJ$3,Conversions!$B$12:$E$34,4,0)))</f>
        <v>0</v>
      </c>
      <c r="AV144" s="333">
        <f>IF($F144="",0,IF($A144="Default",$I144*VLOOKUP($F144,Lists!$C$72:$R$232,COLUMNS(Lists!$C$69:K$69),0)*VLOOKUP(BK$3,Conversions!$B$12:$E$34,4,0)*HLOOKUP($E144,'Equipment Assumptions'!$C$30:$Q$31,2,0),$I144*VLOOKUP($F144,Lists!$C$72:$R$232,COLUMNS(Lists!$C$69:K$69),0)*VLOOKUP(BK$3,Conversions!$B$12:$E$34,4,0)))</f>
        <v>0</v>
      </c>
      <c r="AW144" s="333">
        <f>IF($F144="",0,IF($A144="Default",$I144*VLOOKUP($F144,Lists!$C$72:$R$232,COLUMNS(Lists!$C$69:L$69),0)*VLOOKUP(BL$3,Conversions!$B$12:$E$34,4,0)*HLOOKUP($E144,'Equipment Assumptions'!$C$30:$Q$31,2,0),$I144*VLOOKUP($F144,Lists!$C$72:$R$232,COLUMNS(Lists!$C$69:L$69),0)*VLOOKUP(BL$3,Conversions!$B$12:$E$34,4,0)))</f>
        <v>0</v>
      </c>
      <c r="AX144" s="333">
        <f>IF($F144="",0,IF($A144="Default",$I144*VLOOKUP($F144,Lists!$C$72:$R$232,COLUMNS(Lists!$C$69:M$69),0)*VLOOKUP(BM$3,Conversions!$B$12:$E$34,4,0)*HLOOKUP($E144,'Equipment Assumptions'!$C$30:$Q$31,2,0),$I144*VLOOKUP($F144,Lists!$C$72:$R$232,COLUMNS(Lists!$C$69:M$69),0)*VLOOKUP(BM$3,Conversions!$B$12:$E$34,4,0)))</f>
        <v>0</v>
      </c>
      <c r="AY144" s="333">
        <f>IF($F144="",0,IF($A144="Default",$I144*VLOOKUP($F144,Lists!$C$72:$R$232,COLUMNS(Lists!$C$69:N$69),0)*VLOOKUP(BN$3,Conversions!$B$12:$E$34,4,0)*HLOOKUP($E144,'Equipment Assumptions'!$C$30:$Q$31,2,0),$I144*VLOOKUP($F144,Lists!$C$72:$R$232,COLUMNS(Lists!$C$69:N$69),0)*VLOOKUP(BN$3,Conversions!$B$12:$E$34,4,0)))</f>
        <v>0</v>
      </c>
      <c r="AZ144" s="333">
        <f>IF($F144="",0,IF($A144="Default",$I144*VLOOKUP($F144,Lists!$C$72:$R$232,COLUMNS(Lists!$C$69:O$69),0)*VLOOKUP(BO$3,Conversions!$B$12:$E$34,4,0)*HLOOKUP($E144,'Equipment Assumptions'!$C$30:$Q$31,2,0),$I144*VLOOKUP($F144,Lists!$C$72:$R$232,COLUMNS(Lists!$C$69:O$69),0)*VLOOKUP(BO$3,Conversions!$B$12:$E$34,4,0)))</f>
        <v>0</v>
      </c>
      <c r="BA144" s="333">
        <f>IF($F144="",0,IF($A144="Default",$I144*VLOOKUP($F144,Lists!$C$72:$R$232,COLUMNS(Lists!$C$69:P$69),0)*VLOOKUP(BP$3,Conversions!$B$12:$E$34,4,0)*HLOOKUP($E144,'Equipment Assumptions'!$C$30:$Q$31,2,0),$I144*VLOOKUP($F144,Lists!$C$72:$R$232,COLUMNS(Lists!$C$69:P$69),0)*VLOOKUP(BP$3,Conversions!$B$12:$E$34,4,0)))</f>
        <v>0</v>
      </c>
      <c r="BB144" s="333">
        <f>IF($F144="",0,IF($A144="Default",$I144*VLOOKUP($F144,Lists!$C$72:$R$232,COLUMNS(Lists!$C$69:Q$69),0)*VLOOKUP(BQ$3,Conversions!$B$12:$E$34,4,0)*HLOOKUP($E144,'Equipment Assumptions'!$C$30:$Q$31,2,0),$I144*VLOOKUP($F144,Lists!$C$72:$R$232,COLUMNS(Lists!$C$69:Q$69),0)*VLOOKUP(BQ$3,Conversions!$B$12:$E$34,4,0)))</f>
        <v>0</v>
      </c>
      <c r="BC144" s="333">
        <f>IF($F144="",0,IF($A144="Default",$I144*VLOOKUP($F144,Lists!$C$72:$R$232,COLUMNS(Lists!$C$69:R$69),0)*VLOOKUP(BR$3,Conversions!$B$12:$E$34,4,0)*HLOOKUP($E144,'Equipment Assumptions'!$C$30:$Q$31,2,0),$I144*VLOOKUP($F144,Lists!$C$72:$R$232,COLUMNS(Lists!$C$69:R$69),0)*VLOOKUP(BR$3,Conversions!$B$12:$E$34,4,0)))</f>
        <v>0</v>
      </c>
      <c r="BD144" s="333">
        <f t="shared" si="163"/>
        <v>0</v>
      </c>
      <c r="BE144" s="330">
        <f t="shared" si="164"/>
        <v>0</v>
      </c>
      <c r="BF144" s="330">
        <f t="shared" si="165"/>
        <v>0</v>
      </c>
      <c r="BG144" s="330">
        <f t="shared" si="166"/>
        <v>0</v>
      </c>
      <c r="BH144" s="330">
        <f t="shared" si="167"/>
        <v>0</v>
      </c>
      <c r="BI144" s="330">
        <f t="shared" si="168"/>
        <v>0</v>
      </c>
      <c r="BJ144" s="330">
        <f t="shared" si="169"/>
        <v>0</v>
      </c>
      <c r="BK144" s="330">
        <f t="shared" si="170"/>
        <v>0</v>
      </c>
      <c r="BL144" s="330">
        <f t="shared" si="171"/>
        <v>0</v>
      </c>
      <c r="BM144" s="330">
        <f t="shared" si="172"/>
        <v>0</v>
      </c>
      <c r="BN144" s="330">
        <f t="shared" si="173"/>
        <v>0</v>
      </c>
      <c r="BO144" s="330">
        <f t="shared" si="174"/>
        <v>0</v>
      </c>
      <c r="BP144" s="330">
        <f t="shared" si="175"/>
        <v>0</v>
      </c>
      <c r="BQ144" s="330">
        <f t="shared" si="176"/>
        <v>0</v>
      </c>
      <c r="BR144" s="330">
        <f t="shared" si="177"/>
        <v>0</v>
      </c>
      <c r="BS144" s="330">
        <f t="shared" si="178"/>
        <v>0</v>
      </c>
      <c r="BT144" s="329">
        <f t="shared" ref="BT144:CI153" si="194">IF($E144="",0,IF($E144=BT$3,$BS144,0))</f>
        <v>0</v>
      </c>
      <c r="BU144" s="329">
        <f t="shared" si="194"/>
        <v>0</v>
      </c>
      <c r="BV144" s="329">
        <f t="shared" si="194"/>
        <v>0</v>
      </c>
      <c r="BW144" s="329">
        <f t="shared" si="194"/>
        <v>0</v>
      </c>
      <c r="BX144" s="329">
        <f t="shared" si="194"/>
        <v>0</v>
      </c>
      <c r="BY144" s="329">
        <f t="shared" si="194"/>
        <v>0</v>
      </c>
      <c r="BZ144" s="329">
        <f t="shared" si="194"/>
        <v>0</v>
      </c>
      <c r="CA144" s="329">
        <f t="shared" si="194"/>
        <v>0</v>
      </c>
      <c r="CB144" s="329">
        <f t="shared" si="194"/>
        <v>0</v>
      </c>
      <c r="CC144" s="329">
        <f t="shared" si="194"/>
        <v>0</v>
      </c>
      <c r="CD144" s="329">
        <f t="shared" si="194"/>
        <v>0</v>
      </c>
      <c r="CE144" s="329">
        <f t="shared" si="194"/>
        <v>0</v>
      </c>
      <c r="CF144" s="329">
        <f t="shared" si="194"/>
        <v>0</v>
      </c>
      <c r="CG144" s="329">
        <f t="shared" si="194"/>
        <v>0</v>
      </c>
      <c r="CH144" s="329">
        <f t="shared" si="194"/>
        <v>0</v>
      </c>
      <c r="CI144" s="329">
        <f t="shared" si="194"/>
        <v>0</v>
      </c>
      <c r="CJ144" s="331">
        <f t="shared" si="179"/>
        <v>0</v>
      </c>
      <c r="CK144" s="330">
        <f t="shared" si="180"/>
        <v>0</v>
      </c>
      <c r="CL144" s="330">
        <f t="shared" si="181"/>
        <v>0</v>
      </c>
      <c r="CM144" s="330">
        <f t="shared" si="182"/>
        <v>0</v>
      </c>
      <c r="CN144" s="330">
        <f t="shared" si="183"/>
        <v>0</v>
      </c>
      <c r="CO144" s="330">
        <f t="shared" si="184"/>
        <v>0</v>
      </c>
      <c r="CP144" s="330">
        <f t="shared" si="185"/>
        <v>0</v>
      </c>
      <c r="CQ144" s="330">
        <f t="shared" si="186"/>
        <v>0</v>
      </c>
      <c r="CR144" s="330">
        <f t="shared" si="187"/>
        <v>0</v>
      </c>
      <c r="CS144" s="330">
        <f t="shared" si="188"/>
        <v>0</v>
      </c>
      <c r="CT144" s="330">
        <f t="shared" si="189"/>
        <v>0</v>
      </c>
      <c r="CU144" s="330">
        <f t="shared" ref="CU144:DD153" si="195">IF($C144=CU$3,$BS144,0)</f>
        <v>0</v>
      </c>
      <c r="CV144" s="330">
        <f t="shared" si="195"/>
        <v>0</v>
      </c>
      <c r="CW144" s="330">
        <f t="shared" si="195"/>
        <v>0</v>
      </c>
      <c r="CX144" s="330">
        <f t="shared" si="195"/>
        <v>0</v>
      </c>
      <c r="CY144" s="330">
        <f t="shared" si="195"/>
        <v>0</v>
      </c>
      <c r="CZ144" s="330">
        <f t="shared" si="195"/>
        <v>0</v>
      </c>
      <c r="DA144" s="330">
        <f t="shared" si="195"/>
        <v>0</v>
      </c>
      <c r="DB144" s="330">
        <f t="shared" si="195"/>
        <v>0</v>
      </c>
      <c r="DC144" s="330">
        <f t="shared" si="195"/>
        <v>0</v>
      </c>
      <c r="DD144" s="330">
        <f t="shared" si="195"/>
        <v>0</v>
      </c>
      <c r="DE144" s="330">
        <f t="shared" ref="DE144:DO153" si="196">IF($C144=DE$3,$BS144,0)</f>
        <v>0</v>
      </c>
      <c r="DF144" s="330">
        <f t="shared" si="196"/>
        <v>0</v>
      </c>
      <c r="DG144" s="330">
        <f t="shared" si="196"/>
        <v>0</v>
      </c>
      <c r="DH144" s="330">
        <f t="shared" si="196"/>
        <v>0</v>
      </c>
      <c r="DI144" s="330">
        <f t="shared" si="196"/>
        <v>0</v>
      </c>
      <c r="DJ144" s="330">
        <f t="shared" si="196"/>
        <v>0</v>
      </c>
      <c r="DK144" s="330">
        <f t="shared" si="196"/>
        <v>0</v>
      </c>
      <c r="DL144" s="330">
        <f t="shared" si="196"/>
        <v>0</v>
      </c>
      <c r="DM144" s="330">
        <f t="shared" si="196"/>
        <v>0</v>
      </c>
      <c r="DN144" s="330">
        <f t="shared" si="196"/>
        <v>0</v>
      </c>
      <c r="DO144" s="330">
        <f t="shared" si="196"/>
        <v>0</v>
      </c>
      <c r="DP144" s="330">
        <f t="shared" si="190"/>
        <v>0</v>
      </c>
      <c r="DQ144" s="217"/>
      <c r="DR144" s="217"/>
      <c r="DS144" s="217"/>
      <c r="DT144" s="217"/>
    </row>
    <row r="145" spans="1:124" x14ac:dyDescent="0.3">
      <c r="A145" s="332" t="str">
        <f>IF(AND(F145&lt;&gt;"",OR('Simplified Screening 1'!G36=0,'Simplified Screening 1'!G36="I Don't Know")),"Default","")</f>
        <v/>
      </c>
      <c r="B145" s="221" t="s">
        <v>306</v>
      </c>
      <c r="C145" s="221" t="str">
        <f>IF('Simplified Screening 1'!C36=0,"",'Simplified Screening 1'!C36)</f>
        <v/>
      </c>
      <c r="D145" s="221" t="str">
        <f>IF('Simplified Screening 1'!D36=0,"",'Simplified Screening 1'!D36)</f>
        <v/>
      </c>
      <c r="E145" s="221" t="str">
        <f>IF('Simplified Screening 1'!E36=0,"",'Simplified Screening 1'!E36)</f>
        <v/>
      </c>
      <c r="F145" s="221" t="str">
        <f>'Simplified Screening 1'!R36</f>
        <v/>
      </c>
      <c r="G145" s="272">
        <f>'Simplified Screening 1'!H36*'Simplified Screening 1'!L36*Conversions!$C$4</f>
        <v>0</v>
      </c>
      <c r="H145" s="272">
        <f>'Simplified Screening 1'!I36*'Simplified Screening 1'!M36*'Simplified Screening 1'!J36*Conversions!$C$4</f>
        <v>0</v>
      </c>
      <c r="I145" s="272">
        <f>'Simplified Screening 1'!K36*'Simplified Screening 1'!N36*(1-'Simplified Screening 1'!O36)*Conversions!$C$4</f>
        <v>0</v>
      </c>
      <c r="J145" s="325">
        <f>IF('Simplified Screening 1'!P36=0,0,'Simplified Screening 1'!P36)</f>
        <v>0</v>
      </c>
      <c r="K145" s="325">
        <f>IF(AND(OR('Simplified Screening 1'!G36=0,'Simplified Screening 1'!G36="I Don't Know"),F145&lt;&gt;""),J145*HLOOKUP(E145,'Equipment Assumptions'!$C$30:$Q$31,2,0),IF(F145="Non-HFC",0,J145))</f>
        <v>0</v>
      </c>
      <c r="L145" s="333">
        <f>IF($F145="",0,IF($A145="Default",$G145*VLOOKUP($F145,Lists!$C$72:$R$232,COLUMNS(Lists!$C$69:E$69),0)*VLOOKUP(BE$3,Conversions!$B$12:$E$34,4,0)*HLOOKUP($E145,'Equipment Assumptions'!$C$30:$Q$31,2,0),$G145*VLOOKUP($F145,Lists!$C$72:$R$232,COLUMNS(Lists!$C$69:E$69),0)*VLOOKUP(BE$3,Conversions!$B$12:$E$34,4,0)))</f>
        <v>0</v>
      </c>
      <c r="M145" s="333">
        <f>IF($F145="",0,IF($A145="Default",$G145*VLOOKUP($F145,Lists!$C$72:$R$232,COLUMNS(Lists!$C$69:F$69),0)*VLOOKUP(BF$3,Conversions!$B$12:$E$34,4,0)*HLOOKUP($E145,'Equipment Assumptions'!$C$30:$Q$31,2,0),$G145*VLOOKUP($F145,Lists!$C$72:$R$232,COLUMNS(Lists!$C$69:F$69),0)*VLOOKUP(BF$3,Conversions!$B$12:$E$34,4,0)))</f>
        <v>0</v>
      </c>
      <c r="N145" s="333">
        <f>IF($F145="",0,IF($A145="Default",$G145*VLOOKUP($F145,Lists!$C$72:$R$232,COLUMNS(Lists!$C$69:G$69),0)*VLOOKUP(BG$3,Conversions!$B$12:$E$34,4,0)*HLOOKUP($E145,'Equipment Assumptions'!$C$30:$Q$31,2,0),$G145*VLOOKUP($F145,Lists!$C$72:$R$232,COLUMNS(Lists!$C$69:G$69),0)*VLOOKUP(BG$3,Conversions!$B$12:$E$34,4,0)))</f>
        <v>0</v>
      </c>
      <c r="O145" s="333">
        <f>IF($F145="",0,IF($A145="Default",$G145*VLOOKUP($F145,Lists!$C$72:$R$232,COLUMNS(Lists!$C$69:H$69),0)*VLOOKUP(BH$3,Conversions!$B$12:$E$34,4,0)*HLOOKUP($E145,'Equipment Assumptions'!$C$30:$Q$31,2,0),$G145*VLOOKUP($F145,Lists!$C$72:$R$232,COLUMNS(Lists!$C$69:H$69),0)*VLOOKUP(BH$3,Conversions!$B$12:$E$34,4,0)))</f>
        <v>0</v>
      </c>
      <c r="P145" s="333">
        <f>IF($F145="",0,IF($A145="Default",$G145*VLOOKUP($F145,Lists!$C$72:$R$232,COLUMNS(Lists!$C$69:I$69),0)*VLOOKUP(BI$3,Conversions!$B$12:$E$34,4,0)*HLOOKUP($E145,'Equipment Assumptions'!$C$30:$Q$31,2,0),$G145*VLOOKUP($F145,Lists!$C$72:$R$232,COLUMNS(Lists!$C$69:I$69),0)*VLOOKUP(BI$3,Conversions!$B$12:$E$34,4,0)))</f>
        <v>0</v>
      </c>
      <c r="Q145" s="333">
        <f>IF($F145="",0,IF($A145="Default",$G145*VLOOKUP($F145,Lists!$C$72:$R$232,COLUMNS(Lists!$C$69:J$69),0)*VLOOKUP(BJ$3,Conversions!$B$12:$E$34,4,0)*HLOOKUP($E145,'Equipment Assumptions'!$C$30:$Q$31,2,0),$G145*VLOOKUP($F145,Lists!$C$72:$R$232,COLUMNS(Lists!$C$69:J$69),0)*VLOOKUP(BJ$3,Conversions!$B$12:$E$34,4,0)))</f>
        <v>0</v>
      </c>
      <c r="R145" s="333">
        <f>IF($F145="",0,IF($A145="Default",$G145*VLOOKUP($F145,Lists!$C$72:$R$232,COLUMNS(Lists!$C$69:K$69),0)*VLOOKUP(BK$3,Conversions!$B$12:$E$34,4,0)*HLOOKUP($E145,'Equipment Assumptions'!$C$30:$Q$31,2,0),$G145*VLOOKUP($F145,Lists!$C$72:$R$232,COLUMNS(Lists!$C$69:K$69),0)*VLOOKUP(BK$3,Conversions!$B$12:$E$34,4,0)))</f>
        <v>0</v>
      </c>
      <c r="S145" s="333">
        <f>IF($F145="",0,IF($A145="Default",$G145*VLOOKUP($F145,Lists!$C$72:$R$232,COLUMNS(Lists!$C$69:L$69),0)*VLOOKUP(BL$3,Conversions!$B$12:$E$34,4,0)*HLOOKUP($E145,'Equipment Assumptions'!$C$30:$Q$31,2,0),$G145*VLOOKUP($F145,Lists!$C$72:$R$232,COLUMNS(Lists!$C$69:L$69),0)*VLOOKUP(BL$3,Conversions!$B$12:$E$34,4,0)))</f>
        <v>0</v>
      </c>
      <c r="T145" s="333">
        <f>IF($F145="",0,IF($A145="Default",$G145*VLOOKUP($F145,Lists!$C$72:$R$232,COLUMNS(Lists!$C$69:M$69),0)*VLOOKUP(BM$3,Conversions!$B$12:$E$34,4,0)*HLOOKUP($E145,'Equipment Assumptions'!$C$30:$Q$31,2,0),$G145*VLOOKUP($F145,Lists!$C$72:$R$232,COLUMNS(Lists!$C$69:M$69),0)*VLOOKUP(BM$3,Conversions!$B$12:$E$34,4,0)))</f>
        <v>0</v>
      </c>
      <c r="U145" s="333">
        <f>IF($F145="",0,IF($A145="Default",$G145*VLOOKUP($F145,Lists!$C$72:$R$232,COLUMNS(Lists!$C$69:N$69),0)*VLOOKUP(BN$3,Conversions!$B$12:$E$34,4,0)*HLOOKUP($E145,'Equipment Assumptions'!$C$30:$Q$31,2,0),$G145*VLOOKUP($F145,Lists!$C$72:$R$232,COLUMNS(Lists!$C$69:N$69),0)*VLOOKUP(BN$3,Conversions!$B$12:$E$34,4,0)))</f>
        <v>0</v>
      </c>
      <c r="V145" s="333">
        <f>IF($F145="",0,IF($A145="Default",$G145*VLOOKUP($F145,Lists!$C$72:$R$232,COLUMNS(Lists!$C$69:O$69),0)*VLOOKUP(BO$3,Conversions!$B$12:$E$34,4,0)*HLOOKUP($E145,'Equipment Assumptions'!$C$30:$Q$31,2,0),$G145*VLOOKUP($F145,Lists!$C$72:$R$232,COLUMNS(Lists!$C$69:O$69),0)*VLOOKUP(BO$3,Conversions!$B$12:$E$34,4,0)))</f>
        <v>0</v>
      </c>
      <c r="W145" s="333">
        <f>IF($F145="",0,IF($A145="Default",$G145*VLOOKUP($F145,Lists!$C$72:$R$232,COLUMNS(Lists!$C$69:P$69),0)*VLOOKUP(BP$3,Conversions!$B$12:$E$34,4,0)*HLOOKUP($E145,'Equipment Assumptions'!$C$30:$Q$31,2,0),$G145*VLOOKUP($F145,Lists!$C$72:$R$232,COLUMNS(Lists!$C$69:P$69),0)*VLOOKUP(BP$3,Conversions!$B$12:$E$34,4,0)))</f>
        <v>0</v>
      </c>
      <c r="X145" s="333">
        <f>IF($F145="",0,IF($A145="Default",$G145*VLOOKUP($F145,Lists!$C$72:$R$232,COLUMNS(Lists!$C$69:Q$69),0)*VLOOKUP(BQ$3,Conversions!$B$12:$E$34,4,0)*HLOOKUP($E145,'Equipment Assumptions'!$C$30:$Q$31,2,0),$G145*VLOOKUP($F145,Lists!$C$72:$R$232,COLUMNS(Lists!$C$69:Q$69),0)*VLOOKUP(BQ$3,Conversions!$B$12:$E$34,4,0)))</f>
        <v>0</v>
      </c>
      <c r="Y145" s="333">
        <f>IF($F145="",0,IF($A145="Default",$G145*VLOOKUP($F145,Lists!$C$72:$R$232,COLUMNS(Lists!$C$69:R$69),0)*VLOOKUP(BR$3,Conversions!$B$12:$E$34,4,0)*HLOOKUP($E145,'Equipment Assumptions'!$C$30:$Q$31,2,0),$G145*VLOOKUP($F145,Lists!$C$72:$R$232,COLUMNS(Lists!$C$69:R$69),0)*VLOOKUP(BR$3,Conversions!$B$12:$E$34,4,0)))</f>
        <v>0</v>
      </c>
      <c r="Z145" s="325">
        <f t="shared" si="161"/>
        <v>0</v>
      </c>
      <c r="AA145" s="334">
        <f>IF($F145="",0,IF($A145="Default",$H145*VLOOKUP($F145,Lists!$C$72:$R$232,COLUMNS(Lists!$C$69:E$69),0)*VLOOKUP(BE$3,Conversions!$B$12:$E$34,4,0)*HLOOKUP($E145,'Equipment Assumptions'!$C$30:$Q$31,2,0),$H145*VLOOKUP($F145,Lists!$C$72:$R$232,COLUMNS(Lists!$C$69:E$69),0)*VLOOKUP(BE$3,Conversions!$B$12:$E$34,4,0)))</f>
        <v>0</v>
      </c>
      <c r="AB145" s="334">
        <f>IF($F145="",0,IF($A145="Default",$H145*VLOOKUP($F145,Lists!$C$72:$R$232,COLUMNS(Lists!$C$69:F$69),0)*VLOOKUP(BF$3,Conversions!$B$12:$E$34,4,0)*HLOOKUP($E145,'Equipment Assumptions'!$C$30:$Q$31,2,0),$H145*VLOOKUP($F145,Lists!$C$72:$R$232,COLUMNS(Lists!$C$69:F$69),0)*VLOOKUP(BF$3,Conversions!$B$12:$E$34,4,0)))</f>
        <v>0</v>
      </c>
      <c r="AC145" s="334">
        <f>IF($F145="",0,IF($A145="Default",$H145*VLOOKUP($F145,Lists!$C$72:$R$232,COLUMNS(Lists!$C$69:G$69),0)*VLOOKUP(BG$3,Conversions!$B$12:$E$34,4,0)*HLOOKUP($E145,'Equipment Assumptions'!$C$30:$Q$31,2,0),$H145*VLOOKUP($F145,Lists!$C$72:$R$232,COLUMNS(Lists!$C$69:G$69),0)*VLOOKUP(BG$3,Conversions!$B$12:$E$34,4,0)))</f>
        <v>0</v>
      </c>
      <c r="AD145" s="334">
        <f>IF($F145="",0,IF($A145="Default",$H145*VLOOKUP($F145,Lists!$C$72:$R$232,COLUMNS(Lists!$C$69:H$69),0)*VLOOKUP(BH$3,Conversions!$B$12:$E$34,4,0)*HLOOKUP($E145,'Equipment Assumptions'!$C$30:$Q$31,2,0),$H145*VLOOKUP($F145,Lists!$C$72:$R$232,COLUMNS(Lists!$C$69:H$69),0)*VLOOKUP(BH$3,Conversions!$B$12:$E$34,4,0)))</f>
        <v>0</v>
      </c>
      <c r="AE145" s="334">
        <f>IF($F145="",0,IF($A145="Default",$H145*VLOOKUP($F145,Lists!$C$72:$R$232,COLUMNS(Lists!$C$69:I$69),0)*VLOOKUP(BI$3,Conversions!$B$12:$E$34,4,0)*HLOOKUP($E145,'Equipment Assumptions'!$C$30:$Q$31,2,0),$H145*VLOOKUP($F145,Lists!$C$72:$R$232,COLUMNS(Lists!$C$69:I$69),0)*VLOOKUP(BI$3,Conversions!$B$12:$E$34,4,0)))</f>
        <v>0</v>
      </c>
      <c r="AF145" s="334">
        <f>IF($F145="",0,IF($A145="Default",$H145*VLOOKUP($F145,Lists!$C$72:$R$232,COLUMNS(Lists!$C$69:J$69),0)*VLOOKUP(BJ$3,Conversions!$B$12:$E$34,4,0)*HLOOKUP($E145,'Equipment Assumptions'!$C$30:$Q$31,2,0),$H145*VLOOKUP($F145,Lists!$C$72:$R$232,COLUMNS(Lists!$C$69:J$69),0)*VLOOKUP(BJ$3,Conversions!$B$12:$E$34,4,0)))</f>
        <v>0</v>
      </c>
      <c r="AG145" s="334">
        <f>IF($F145="",0,IF($A145="Default",$H145*VLOOKUP($F145,Lists!$C$72:$R$232,COLUMNS(Lists!$C$69:K$69),0)*VLOOKUP(BK$3,Conversions!$B$12:$E$34,4,0)*HLOOKUP($E145,'Equipment Assumptions'!$C$30:$Q$31,2,0),$H145*VLOOKUP($F145,Lists!$C$72:$R$232,COLUMNS(Lists!$C$69:K$69),0)*VLOOKUP(BK$3,Conversions!$B$12:$E$34,4,0)))</f>
        <v>0</v>
      </c>
      <c r="AH145" s="334">
        <f>IF($F145="",0,IF($A145="Default",$H145*VLOOKUP($F145,Lists!$C$72:$R$232,COLUMNS(Lists!$C$69:L$69),0)*VLOOKUP(BL$3,Conversions!$B$12:$E$34,4,0)*HLOOKUP($E145,'Equipment Assumptions'!$C$30:$Q$31,2,0),$H145*VLOOKUP($F145,Lists!$C$72:$R$232,COLUMNS(Lists!$C$69:L$69),0)*VLOOKUP(BL$3,Conversions!$B$12:$E$34,4,0)))</f>
        <v>0</v>
      </c>
      <c r="AI145" s="334">
        <f>IF($F145="",0,IF($A145="Default",$H145*VLOOKUP($F145,Lists!$C$72:$R$232,COLUMNS(Lists!$C$69:M$69),0)*VLOOKUP(BM$3,Conversions!$B$12:$E$34,4,0)*HLOOKUP($E145,'Equipment Assumptions'!$C$30:$Q$31,2,0),$H145*VLOOKUP($F145,Lists!$C$72:$R$232,COLUMNS(Lists!$C$69:M$69),0)*VLOOKUP(BM$3,Conversions!$B$12:$E$34,4,0)))</f>
        <v>0</v>
      </c>
      <c r="AJ145" s="334">
        <f>IF($F145="",0,IF($A145="Default",$H145*VLOOKUP($F145,Lists!$C$72:$R$232,COLUMNS(Lists!$C$69:N$69),0)*VLOOKUP(BN$3,Conversions!$B$12:$E$34,4,0)*HLOOKUP($E145,'Equipment Assumptions'!$C$30:$Q$31,2,0),$H145*VLOOKUP($F145,Lists!$C$72:$R$232,COLUMNS(Lists!$C$69:N$69),0)*VLOOKUP(BN$3,Conversions!$B$12:$E$34,4,0)))</f>
        <v>0</v>
      </c>
      <c r="AK145" s="334">
        <f>IF($F145="",0,IF($A145="Default",$H145*VLOOKUP($F145,Lists!$C$72:$R$232,COLUMNS(Lists!$C$69:O$69),0)*VLOOKUP(BO$3,Conversions!$B$12:$E$34,4,0)*HLOOKUP($E145,'Equipment Assumptions'!$C$30:$Q$31,2,0),$H145*VLOOKUP($F145,Lists!$C$72:$R$232,COLUMNS(Lists!$C$69:O$69),0)*VLOOKUP(BO$3,Conversions!$B$12:$E$34,4,0)))</f>
        <v>0</v>
      </c>
      <c r="AL145" s="334">
        <f>IF($F145="",0,IF($A145="Default",$H145*VLOOKUP($F145,Lists!$C$72:$R$232,COLUMNS(Lists!$C$69:P$69),0)*VLOOKUP(BP$3,Conversions!$B$12:$E$34,4,0)*HLOOKUP($E145,'Equipment Assumptions'!$C$30:$Q$31,2,0),$H145*VLOOKUP($F145,Lists!$C$72:$R$232,COLUMNS(Lists!$C$69:P$69),0)*VLOOKUP(BP$3,Conversions!$B$12:$E$34,4,0)))</f>
        <v>0</v>
      </c>
      <c r="AM145" s="334">
        <f>IF($F145="",0,IF($A145="Default",$H145*VLOOKUP($F145,Lists!$C$72:$R$232,COLUMNS(Lists!$C$69:Q$69),0)*VLOOKUP(BQ$3,Conversions!$B$12:$E$34,4,0)*HLOOKUP($E145,'Equipment Assumptions'!$C$30:$Q$31,2,0),$H145*VLOOKUP($F145,Lists!$C$72:$R$232,COLUMNS(Lists!$C$69:Q$69),0)*VLOOKUP(BQ$3,Conversions!$B$12:$E$34,4,0)))</f>
        <v>0</v>
      </c>
      <c r="AN145" s="334">
        <f>IF($F145="",0,IF($A145="Default",$H145*VLOOKUP($F145,Lists!$C$72:$R$232,COLUMNS(Lists!$C$69:R$69),0)*VLOOKUP(BR$3,Conversions!$B$12:$E$34,4,0)*HLOOKUP($E145,'Equipment Assumptions'!$C$30:$Q$31,2,0),$H145*VLOOKUP($F145,Lists!$C$72:$R$232,COLUMNS(Lists!$C$69:R$69),0)*VLOOKUP(BR$3,Conversions!$B$12:$E$34,4,0)))</f>
        <v>0</v>
      </c>
      <c r="AO145" s="330">
        <f t="shared" si="162"/>
        <v>0</v>
      </c>
      <c r="AP145" s="333">
        <f>IF($F145="",0,IF($A145="Default",$I145*VLOOKUP($F145,Lists!$C$72:$R$232,COLUMNS(Lists!$C$69:E$69),0)*VLOOKUP(BE$3,Conversions!$B$12:$E$34,4,0)*HLOOKUP($E145,'Equipment Assumptions'!$C$30:$Q$31,2,0),$I145*VLOOKUP($F145,Lists!$C$72:$R$232,COLUMNS(Lists!$C$69:E$69),0)*VLOOKUP(BE$3,Conversions!$B$12:$E$34,4,0)))</f>
        <v>0</v>
      </c>
      <c r="AQ145" s="333">
        <f>IF($F145="",0,IF($A145="Default",$I145*VLOOKUP($F145,Lists!$C$72:$R$232,COLUMNS(Lists!$C$69:F$69),0)*VLOOKUP(BF$3,Conversions!$B$12:$E$34,4,0)*HLOOKUP($E145,'Equipment Assumptions'!$C$30:$Q$31,2,0),$I145*VLOOKUP($F145,Lists!$C$72:$R$232,COLUMNS(Lists!$C$69:F$69),0)*VLOOKUP(BF$3,Conversions!$B$12:$E$34,4,0)))</f>
        <v>0</v>
      </c>
      <c r="AR145" s="333">
        <f>IF($F145="",0,IF($A145="Default",$I145*VLOOKUP($F145,Lists!$C$72:$R$232,COLUMNS(Lists!$C$69:G$69),0)*VLOOKUP(BG$3,Conversions!$B$12:$E$34,4,0)*HLOOKUP($E145,'Equipment Assumptions'!$C$30:$Q$31,2,0),$I145*VLOOKUP($F145,Lists!$C$72:$R$232,COLUMNS(Lists!$C$69:G$69),0)*VLOOKUP(BG$3,Conversions!$B$12:$E$34,4,0)))</f>
        <v>0</v>
      </c>
      <c r="AS145" s="333">
        <f>IF($F145="",0,IF($A145="Default",$I145*VLOOKUP($F145,Lists!$C$72:$R$232,COLUMNS(Lists!$C$69:H$69),0)*VLOOKUP(BH$3,Conversions!$B$12:$E$34,4,0)*HLOOKUP($E145,'Equipment Assumptions'!$C$30:$Q$31,2,0),$I145*VLOOKUP($F145,Lists!$C$72:$R$232,COLUMNS(Lists!$C$69:H$69),0)*VLOOKUP(BH$3,Conversions!$B$12:$E$34,4,0)))</f>
        <v>0</v>
      </c>
      <c r="AT145" s="333">
        <f>IF($F145="",0,IF($A145="Default",$I145*VLOOKUP($F145,Lists!$C$72:$R$232,COLUMNS(Lists!$C$69:I$69),0)*VLOOKUP(BI$3,Conversions!$B$12:$E$34,4,0)*HLOOKUP($E145,'Equipment Assumptions'!$C$30:$Q$31,2,0),$I145*VLOOKUP($F145,Lists!$C$72:$R$232,COLUMNS(Lists!$C$69:I$69),0)*VLOOKUP(BI$3,Conversions!$B$12:$E$34,4,0)))</f>
        <v>0</v>
      </c>
      <c r="AU145" s="333">
        <f>IF($F145="",0,IF($A145="Default",$I145*VLOOKUP($F145,Lists!$C$72:$R$232,COLUMNS(Lists!$C$69:J$69),0)*VLOOKUP(BJ$3,Conversions!$B$12:$E$34,4,0)*HLOOKUP($E145,'Equipment Assumptions'!$C$30:$Q$31,2,0),$I145*VLOOKUP($F145,Lists!$C$72:$R$232,COLUMNS(Lists!$C$69:J$69),0)*VLOOKUP(BJ$3,Conversions!$B$12:$E$34,4,0)))</f>
        <v>0</v>
      </c>
      <c r="AV145" s="333">
        <f>IF($F145="",0,IF($A145="Default",$I145*VLOOKUP($F145,Lists!$C$72:$R$232,COLUMNS(Lists!$C$69:K$69),0)*VLOOKUP(BK$3,Conversions!$B$12:$E$34,4,0)*HLOOKUP($E145,'Equipment Assumptions'!$C$30:$Q$31,2,0),$I145*VLOOKUP($F145,Lists!$C$72:$R$232,COLUMNS(Lists!$C$69:K$69),0)*VLOOKUP(BK$3,Conversions!$B$12:$E$34,4,0)))</f>
        <v>0</v>
      </c>
      <c r="AW145" s="333">
        <f>IF($F145="",0,IF($A145="Default",$I145*VLOOKUP($F145,Lists!$C$72:$R$232,COLUMNS(Lists!$C$69:L$69),0)*VLOOKUP(BL$3,Conversions!$B$12:$E$34,4,0)*HLOOKUP($E145,'Equipment Assumptions'!$C$30:$Q$31,2,0),$I145*VLOOKUP($F145,Lists!$C$72:$R$232,COLUMNS(Lists!$C$69:L$69),0)*VLOOKUP(BL$3,Conversions!$B$12:$E$34,4,0)))</f>
        <v>0</v>
      </c>
      <c r="AX145" s="333">
        <f>IF($F145="",0,IF($A145="Default",$I145*VLOOKUP($F145,Lists!$C$72:$R$232,COLUMNS(Lists!$C$69:M$69),0)*VLOOKUP(BM$3,Conversions!$B$12:$E$34,4,0)*HLOOKUP($E145,'Equipment Assumptions'!$C$30:$Q$31,2,0),$I145*VLOOKUP($F145,Lists!$C$72:$R$232,COLUMNS(Lists!$C$69:M$69),0)*VLOOKUP(BM$3,Conversions!$B$12:$E$34,4,0)))</f>
        <v>0</v>
      </c>
      <c r="AY145" s="333">
        <f>IF($F145="",0,IF($A145="Default",$I145*VLOOKUP($F145,Lists!$C$72:$R$232,COLUMNS(Lists!$C$69:N$69),0)*VLOOKUP(BN$3,Conversions!$B$12:$E$34,4,0)*HLOOKUP($E145,'Equipment Assumptions'!$C$30:$Q$31,2,0),$I145*VLOOKUP($F145,Lists!$C$72:$R$232,COLUMNS(Lists!$C$69:N$69),0)*VLOOKUP(BN$3,Conversions!$B$12:$E$34,4,0)))</f>
        <v>0</v>
      </c>
      <c r="AZ145" s="333">
        <f>IF($F145="",0,IF($A145="Default",$I145*VLOOKUP($F145,Lists!$C$72:$R$232,COLUMNS(Lists!$C$69:O$69),0)*VLOOKUP(BO$3,Conversions!$B$12:$E$34,4,0)*HLOOKUP($E145,'Equipment Assumptions'!$C$30:$Q$31,2,0),$I145*VLOOKUP($F145,Lists!$C$72:$R$232,COLUMNS(Lists!$C$69:O$69),0)*VLOOKUP(BO$3,Conversions!$B$12:$E$34,4,0)))</f>
        <v>0</v>
      </c>
      <c r="BA145" s="333">
        <f>IF($F145="",0,IF($A145="Default",$I145*VLOOKUP($F145,Lists!$C$72:$R$232,COLUMNS(Lists!$C$69:P$69),0)*VLOOKUP(BP$3,Conversions!$B$12:$E$34,4,0)*HLOOKUP($E145,'Equipment Assumptions'!$C$30:$Q$31,2,0),$I145*VLOOKUP($F145,Lists!$C$72:$R$232,COLUMNS(Lists!$C$69:P$69),0)*VLOOKUP(BP$3,Conversions!$B$12:$E$34,4,0)))</f>
        <v>0</v>
      </c>
      <c r="BB145" s="333">
        <f>IF($F145="",0,IF($A145="Default",$I145*VLOOKUP($F145,Lists!$C$72:$R$232,COLUMNS(Lists!$C$69:Q$69),0)*VLOOKUP(BQ$3,Conversions!$B$12:$E$34,4,0)*HLOOKUP($E145,'Equipment Assumptions'!$C$30:$Q$31,2,0),$I145*VLOOKUP($F145,Lists!$C$72:$R$232,COLUMNS(Lists!$C$69:Q$69),0)*VLOOKUP(BQ$3,Conversions!$B$12:$E$34,4,0)))</f>
        <v>0</v>
      </c>
      <c r="BC145" s="333">
        <f>IF($F145="",0,IF($A145="Default",$I145*VLOOKUP($F145,Lists!$C$72:$R$232,COLUMNS(Lists!$C$69:R$69),0)*VLOOKUP(BR$3,Conversions!$B$12:$E$34,4,0)*HLOOKUP($E145,'Equipment Assumptions'!$C$30:$Q$31,2,0),$I145*VLOOKUP($F145,Lists!$C$72:$R$232,COLUMNS(Lists!$C$69:R$69),0)*VLOOKUP(BR$3,Conversions!$B$12:$E$34,4,0)))</f>
        <v>0</v>
      </c>
      <c r="BD145" s="333">
        <f t="shared" si="163"/>
        <v>0</v>
      </c>
      <c r="BE145" s="330">
        <f t="shared" si="164"/>
        <v>0</v>
      </c>
      <c r="BF145" s="330">
        <f t="shared" si="165"/>
        <v>0</v>
      </c>
      <c r="BG145" s="330">
        <f t="shared" si="166"/>
        <v>0</v>
      </c>
      <c r="BH145" s="330">
        <f t="shared" si="167"/>
        <v>0</v>
      </c>
      <c r="BI145" s="330">
        <f t="shared" si="168"/>
        <v>0</v>
      </c>
      <c r="BJ145" s="330">
        <f t="shared" si="169"/>
        <v>0</v>
      </c>
      <c r="BK145" s="330">
        <f t="shared" si="170"/>
        <v>0</v>
      </c>
      <c r="BL145" s="330">
        <f t="shared" si="171"/>
        <v>0</v>
      </c>
      <c r="BM145" s="330">
        <f t="shared" si="172"/>
        <v>0</v>
      </c>
      <c r="BN145" s="330">
        <f t="shared" si="173"/>
        <v>0</v>
      </c>
      <c r="BO145" s="330">
        <f t="shared" si="174"/>
        <v>0</v>
      </c>
      <c r="BP145" s="330">
        <f t="shared" si="175"/>
        <v>0</v>
      </c>
      <c r="BQ145" s="330">
        <f t="shared" si="176"/>
        <v>0</v>
      </c>
      <c r="BR145" s="330">
        <f t="shared" si="177"/>
        <v>0</v>
      </c>
      <c r="BS145" s="330">
        <f t="shared" si="178"/>
        <v>0</v>
      </c>
      <c r="BT145" s="329">
        <f t="shared" si="194"/>
        <v>0</v>
      </c>
      <c r="BU145" s="329">
        <f t="shared" si="194"/>
        <v>0</v>
      </c>
      <c r="BV145" s="329">
        <f t="shared" si="194"/>
        <v>0</v>
      </c>
      <c r="BW145" s="329">
        <f t="shared" si="194"/>
        <v>0</v>
      </c>
      <c r="BX145" s="329">
        <f t="shared" si="194"/>
        <v>0</v>
      </c>
      <c r="BY145" s="329">
        <f t="shared" si="194"/>
        <v>0</v>
      </c>
      <c r="BZ145" s="329">
        <f t="shared" si="194"/>
        <v>0</v>
      </c>
      <c r="CA145" s="329">
        <f t="shared" si="194"/>
        <v>0</v>
      </c>
      <c r="CB145" s="329">
        <f t="shared" si="194"/>
        <v>0</v>
      </c>
      <c r="CC145" s="329">
        <f t="shared" si="194"/>
        <v>0</v>
      </c>
      <c r="CD145" s="329">
        <f t="shared" si="194"/>
        <v>0</v>
      </c>
      <c r="CE145" s="329">
        <f t="shared" si="194"/>
        <v>0</v>
      </c>
      <c r="CF145" s="329">
        <f t="shared" si="194"/>
        <v>0</v>
      </c>
      <c r="CG145" s="329">
        <f t="shared" si="194"/>
        <v>0</v>
      </c>
      <c r="CH145" s="329">
        <f t="shared" si="194"/>
        <v>0</v>
      </c>
      <c r="CI145" s="329">
        <f t="shared" si="194"/>
        <v>0</v>
      </c>
      <c r="CJ145" s="331">
        <f t="shared" si="179"/>
        <v>0</v>
      </c>
      <c r="CK145" s="330">
        <f t="shared" si="180"/>
        <v>0</v>
      </c>
      <c r="CL145" s="330">
        <f t="shared" si="181"/>
        <v>0</v>
      </c>
      <c r="CM145" s="330">
        <f t="shared" si="182"/>
        <v>0</v>
      </c>
      <c r="CN145" s="330">
        <f t="shared" si="183"/>
        <v>0</v>
      </c>
      <c r="CO145" s="330">
        <f t="shared" si="184"/>
        <v>0</v>
      </c>
      <c r="CP145" s="330">
        <f t="shared" si="185"/>
        <v>0</v>
      </c>
      <c r="CQ145" s="330">
        <f t="shared" si="186"/>
        <v>0</v>
      </c>
      <c r="CR145" s="330">
        <f t="shared" si="187"/>
        <v>0</v>
      </c>
      <c r="CS145" s="330">
        <f t="shared" si="188"/>
        <v>0</v>
      </c>
      <c r="CT145" s="330">
        <f t="shared" si="189"/>
        <v>0</v>
      </c>
      <c r="CU145" s="330">
        <f t="shared" si="195"/>
        <v>0</v>
      </c>
      <c r="CV145" s="330">
        <f t="shared" si="195"/>
        <v>0</v>
      </c>
      <c r="CW145" s="330">
        <f t="shared" si="195"/>
        <v>0</v>
      </c>
      <c r="CX145" s="330">
        <f t="shared" si="195"/>
        <v>0</v>
      </c>
      <c r="CY145" s="330">
        <f t="shared" si="195"/>
        <v>0</v>
      </c>
      <c r="CZ145" s="330">
        <f t="shared" si="195"/>
        <v>0</v>
      </c>
      <c r="DA145" s="330">
        <f t="shared" si="195"/>
        <v>0</v>
      </c>
      <c r="DB145" s="330">
        <f t="shared" si="195"/>
        <v>0</v>
      </c>
      <c r="DC145" s="330">
        <f t="shared" si="195"/>
        <v>0</v>
      </c>
      <c r="DD145" s="330">
        <f t="shared" si="195"/>
        <v>0</v>
      </c>
      <c r="DE145" s="330">
        <f t="shared" si="196"/>
        <v>0</v>
      </c>
      <c r="DF145" s="330">
        <f t="shared" si="196"/>
        <v>0</v>
      </c>
      <c r="DG145" s="330">
        <f t="shared" si="196"/>
        <v>0</v>
      </c>
      <c r="DH145" s="330">
        <f t="shared" si="196"/>
        <v>0</v>
      </c>
      <c r="DI145" s="330">
        <f t="shared" si="196"/>
        <v>0</v>
      </c>
      <c r="DJ145" s="330">
        <f t="shared" si="196"/>
        <v>0</v>
      </c>
      <c r="DK145" s="330">
        <f t="shared" si="196"/>
        <v>0</v>
      </c>
      <c r="DL145" s="330">
        <f t="shared" si="196"/>
        <v>0</v>
      </c>
      <c r="DM145" s="330">
        <f t="shared" si="196"/>
        <v>0</v>
      </c>
      <c r="DN145" s="330">
        <f t="shared" si="196"/>
        <v>0</v>
      </c>
      <c r="DO145" s="330">
        <f t="shared" si="196"/>
        <v>0</v>
      </c>
      <c r="DP145" s="330">
        <f t="shared" si="190"/>
        <v>0</v>
      </c>
      <c r="DQ145" s="217"/>
      <c r="DR145" s="217"/>
      <c r="DS145" s="217"/>
      <c r="DT145" s="217"/>
    </row>
    <row r="146" spans="1:124" x14ac:dyDescent="0.3">
      <c r="A146" s="332" t="str">
        <f>IF(AND(F146&lt;&gt;"",OR('Simplified Screening 1'!G37=0,'Simplified Screening 1'!G37="I Don't Know")),"Default","")</f>
        <v/>
      </c>
      <c r="B146" s="221" t="s">
        <v>306</v>
      </c>
      <c r="C146" s="221" t="str">
        <f>IF('Simplified Screening 1'!C37=0,"",'Simplified Screening 1'!C37)</f>
        <v/>
      </c>
      <c r="D146" s="221" t="str">
        <f>IF('Simplified Screening 1'!D37=0,"",'Simplified Screening 1'!D37)</f>
        <v/>
      </c>
      <c r="E146" s="221" t="str">
        <f>IF('Simplified Screening 1'!E37=0,"",'Simplified Screening 1'!E37)</f>
        <v/>
      </c>
      <c r="F146" s="221" t="str">
        <f>'Simplified Screening 1'!R37</f>
        <v/>
      </c>
      <c r="G146" s="272">
        <f>'Simplified Screening 1'!H37*'Simplified Screening 1'!L37*Conversions!$C$4</f>
        <v>0</v>
      </c>
      <c r="H146" s="272">
        <f>'Simplified Screening 1'!I37*'Simplified Screening 1'!M37*'Simplified Screening 1'!J37*Conversions!$C$4</f>
        <v>0</v>
      </c>
      <c r="I146" s="272">
        <f>'Simplified Screening 1'!K37*'Simplified Screening 1'!N37*(1-'Simplified Screening 1'!O37)*Conversions!$C$4</f>
        <v>0</v>
      </c>
      <c r="J146" s="325">
        <f>IF('Simplified Screening 1'!P37=0,0,'Simplified Screening 1'!P37)</f>
        <v>0</v>
      </c>
      <c r="K146" s="325">
        <f>IF(AND(OR('Simplified Screening 1'!G37=0,'Simplified Screening 1'!G37="I Don't Know"),F146&lt;&gt;""),J146*HLOOKUP(E146,'Equipment Assumptions'!$C$30:$Q$31,2,0),IF(F146="Non-HFC",0,J146))</f>
        <v>0</v>
      </c>
      <c r="L146" s="333">
        <f>IF($F146="",0,IF($A146="Default",$G146*VLOOKUP($F146,Lists!$C$72:$R$232,COLUMNS(Lists!$C$69:E$69),0)*VLOOKUP(BE$3,Conversions!$B$12:$E$34,4,0)*HLOOKUP($E146,'Equipment Assumptions'!$C$30:$Q$31,2,0),$G146*VLOOKUP($F146,Lists!$C$72:$R$232,COLUMNS(Lists!$C$69:E$69),0)*VLOOKUP(BE$3,Conversions!$B$12:$E$34,4,0)))</f>
        <v>0</v>
      </c>
      <c r="M146" s="333">
        <f>IF($F146="",0,IF($A146="Default",$G146*VLOOKUP($F146,Lists!$C$72:$R$232,COLUMNS(Lists!$C$69:F$69),0)*VLOOKUP(BF$3,Conversions!$B$12:$E$34,4,0)*HLOOKUP($E146,'Equipment Assumptions'!$C$30:$Q$31,2,0),$G146*VLOOKUP($F146,Lists!$C$72:$R$232,COLUMNS(Lists!$C$69:F$69),0)*VLOOKUP(BF$3,Conversions!$B$12:$E$34,4,0)))</f>
        <v>0</v>
      </c>
      <c r="N146" s="333">
        <f>IF($F146="",0,IF($A146="Default",$G146*VLOOKUP($F146,Lists!$C$72:$R$232,COLUMNS(Lists!$C$69:G$69),0)*VLOOKUP(BG$3,Conversions!$B$12:$E$34,4,0)*HLOOKUP($E146,'Equipment Assumptions'!$C$30:$Q$31,2,0),$G146*VLOOKUP($F146,Lists!$C$72:$R$232,COLUMNS(Lists!$C$69:G$69),0)*VLOOKUP(BG$3,Conversions!$B$12:$E$34,4,0)))</f>
        <v>0</v>
      </c>
      <c r="O146" s="333">
        <f>IF($F146="",0,IF($A146="Default",$G146*VLOOKUP($F146,Lists!$C$72:$R$232,COLUMNS(Lists!$C$69:H$69),0)*VLOOKUP(BH$3,Conversions!$B$12:$E$34,4,0)*HLOOKUP($E146,'Equipment Assumptions'!$C$30:$Q$31,2,0),$G146*VLOOKUP($F146,Lists!$C$72:$R$232,COLUMNS(Lists!$C$69:H$69),0)*VLOOKUP(BH$3,Conversions!$B$12:$E$34,4,0)))</f>
        <v>0</v>
      </c>
      <c r="P146" s="333">
        <f>IF($F146="",0,IF($A146="Default",$G146*VLOOKUP($F146,Lists!$C$72:$R$232,COLUMNS(Lists!$C$69:I$69),0)*VLOOKUP(BI$3,Conversions!$B$12:$E$34,4,0)*HLOOKUP($E146,'Equipment Assumptions'!$C$30:$Q$31,2,0),$G146*VLOOKUP($F146,Lists!$C$72:$R$232,COLUMNS(Lists!$C$69:I$69),0)*VLOOKUP(BI$3,Conversions!$B$12:$E$34,4,0)))</f>
        <v>0</v>
      </c>
      <c r="Q146" s="333">
        <f>IF($F146="",0,IF($A146="Default",$G146*VLOOKUP($F146,Lists!$C$72:$R$232,COLUMNS(Lists!$C$69:J$69),0)*VLOOKUP(BJ$3,Conversions!$B$12:$E$34,4,0)*HLOOKUP($E146,'Equipment Assumptions'!$C$30:$Q$31,2,0),$G146*VLOOKUP($F146,Lists!$C$72:$R$232,COLUMNS(Lists!$C$69:J$69),0)*VLOOKUP(BJ$3,Conversions!$B$12:$E$34,4,0)))</f>
        <v>0</v>
      </c>
      <c r="R146" s="333">
        <f>IF($F146="",0,IF($A146="Default",$G146*VLOOKUP($F146,Lists!$C$72:$R$232,COLUMNS(Lists!$C$69:K$69),0)*VLOOKUP(BK$3,Conversions!$B$12:$E$34,4,0)*HLOOKUP($E146,'Equipment Assumptions'!$C$30:$Q$31,2,0),$G146*VLOOKUP($F146,Lists!$C$72:$R$232,COLUMNS(Lists!$C$69:K$69),0)*VLOOKUP(BK$3,Conversions!$B$12:$E$34,4,0)))</f>
        <v>0</v>
      </c>
      <c r="S146" s="333">
        <f>IF($F146="",0,IF($A146="Default",$G146*VLOOKUP($F146,Lists!$C$72:$R$232,COLUMNS(Lists!$C$69:L$69),0)*VLOOKUP(BL$3,Conversions!$B$12:$E$34,4,0)*HLOOKUP($E146,'Equipment Assumptions'!$C$30:$Q$31,2,0),$G146*VLOOKUP($F146,Lists!$C$72:$R$232,COLUMNS(Lists!$C$69:L$69),0)*VLOOKUP(BL$3,Conversions!$B$12:$E$34,4,0)))</f>
        <v>0</v>
      </c>
      <c r="T146" s="333">
        <f>IF($F146="",0,IF($A146="Default",$G146*VLOOKUP($F146,Lists!$C$72:$R$232,COLUMNS(Lists!$C$69:M$69),0)*VLOOKUP(BM$3,Conversions!$B$12:$E$34,4,0)*HLOOKUP($E146,'Equipment Assumptions'!$C$30:$Q$31,2,0),$G146*VLOOKUP($F146,Lists!$C$72:$R$232,COLUMNS(Lists!$C$69:M$69),0)*VLOOKUP(BM$3,Conversions!$B$12:$E$34,4,0)))</f>
        <v>0</v>
      </c>
      <c r="U146" s="333">
        <f>IF($F146="",0,IF($A146="Default",$G146*VLOOKUP($F146,Lists!$C$72:$R$232,COLUMNS(Lists!$C$69:N$69),0)*VLOOKUP(BN$3,Conversions!$B$12:$E$34,4,0)*HLOOKUP($E146,'Equipment Assumptions'!$C$30:$Q$31,2,0),$G146*VLOOKUP($F146,Lists!$C$72:$R$232,COLUMNS(Lists!$C$69:N$69),0)*VLOOKUP(BN$3,Conversions!$B$12:$E$34,4,0)))</f>
        <v>0</v>
      </c>
      <c r="V146" s="333">
        <f>IF($F146="",0,IF($A146="Default",$G146*VLOOKUP($F146,Lists!$C$72:$R$232,COLUMNS(Lists!$C$69:O$69),0)*VLOOKUP(BO$3,Conversions!$B$12:$E$34,4,0)*HLOOKUP($E146,'Equipment Assumptions'!$C$30:$Q$31,2,0),$G146*VLOOKUP($F146,Lists!$C$72:$R$232,COLUMNS(Lists!$C$69:O$69),0)*VLOOKUP(BO$3,Conversions!$B$12:$E$34,4,0)))</f>
        <v>0</v>
      </c>
      <c r="W146" s="333">
        <f>IF($F146="",0,IF($A146="Default",$G146*VLOOKUP($F146,Lists!$C$72:$R$232,COLUMNS(Lists!$C$69:P$69),0)*VLOOKUP(BP$3,Conversions!$B$12:$E$34,4,0)*HLOOKUP($E146,'Equipment Assumptions'!$C$30:$Q$31,2,0),$G146*VLOOKUP($F146,Lists!$C$72:$R$232,COLUMNS(Lists!$C$69:P$69),0)*VLOOKUP(BP$3,Conversions!$B$12:$E$34,4,0)))</f>
        <v>0</v>
      </c>
      <c r="X146" s="333">
        <f>IF($F146="",0,IF($A146="Default",$G146*VLOOKUP($F146,Lists!$C$72:$R$232,COLUMNS(Lists!$C$69:Q$69),0)*VLOOKUP(BQ$3,Conversions!$B$12:$E$34,4,0)*HLOOKUP($E146,'Equipment Assumptions'!$C$30:$Q$31,2,0),$G146*VLOOKUP($F146,Lists!$C$72:$R$232,COLUMNS(Lists!$C$69:Q$69),0)*VLOOKUP(BQ$3,Conversions!$B$12:$E$34,4,0)))</f>
        <v>0</v>
      </c>
      <c r="Y146" s="333">
        <f>IF($F146="",0,IF($A146="Default",$G146*VLOOKUP($F146,Lists!$C$72:$R$232,COLUMNS(Lists!$C$69:R$69),0)*VLOOKUP(BR$3,Conversions!$B$12:$E$34,4,0)*HLOOKUP($E146,'Equipment Assumptions'!$C$30:$Q$31,2,0),$G146*VLOOKUP($F146,Lists!$C$72:$R$232,COLUMNS(Lists!$C$69:R$69),0)*VLOOKUP(BR$3,Conversions!$B$12:$E$34,4,0)))</f>
        <v>0</v>
      </c>
      <c r="Z146" s="325">
        <f t="shared" si="161"/>
        <v>0</v>
      </c>
      <c r="AA146" s="334">
        <f>IF($F146="",0,IF($A146="Default",$H146*VLOOKUP($F146,Lists!$C$72:$R$232,COLUMNS(Lists!$C$69:E$69),0)*VLOOKUP(BE$3,Conversions!$B$12:$E$34,4,0)*HLOOKUP($E146,'Equipment Assumptions'!$C$30:$Q$31,2,0),$H146*VLOOKUP($F146,Lists!$C$72:$R$232,COLUMNS(Lists!$C$69:E$69),0)*VLOOKUP(BE$3,Conversions!$B$12:$E$34,4,0)))</f>
        <v>0</v>
      </c>
      <c r="AB146" s="334">
        <f>IF($F146="",0,IF($A146="Default",$H146*VLOOKUP($F146,Lists!$C$72:$R$232,COLUMNS(Lists!$C$69:F$69),0)*VLOOKUP(BF$3,Conversions!$B$12:$E$34,4,0)*HLOOKUP($E146,'Equipment Assumptions'!$C$30:$Q$31,2,0),$H146*VLOOKUP($F146,Lists!$C$72:$R$232,COLUMNS(Lists!$C$69:F$69),0)*VLOOKUP(BF$3,Conversions!$B$12:$E$34,4,0)))</f>
        <v>0</v>
      </c>
      <c r="AC146" s="334">
        <f>IF($F146="",0,IF($A146="Default",$H146*VLOOKUP($F146,Lists!$C$72:$R$232,COLUMNS(Lists!$C$69:G$69),0)*VLOOKUP(BG$3,Conversions!$B$12:$E$34,4,0)*HLOOKUP($E146,'Equipment Assumptions'!$C$30:$Q$31,2,0),$H146*VLOOKUP($F146,Lists!$C$72:$R$232,COLUMNS(Lists!$C$69:G$69),0)*VLOOKUP(BG$3,Conversions!$B$12:$E$34,4,0)))</f>
        <v>0</v>
      </c>
      <c r="AD146" s="334">
        <f>IF($F146="",0,IF($A146="Default",$H146*VLOOKUP($F146,Lists!$C$72:$R$232,COLUMNS(Lists!$C$69:H$69),0)*VLOOKUP(BH$3,Conversions!$B$12:$E$34,4,0)*HLOOKUP($E146,'Equipment Assumptions'!$C$30:$Q$31,2,0),$H146*VLOOKUP($F146,Lists!$C$72:$R$232,COLUMNS(Lists!$C$69:H$69),0)*VLOOKUP(BH$3,Conversions!$B$12:$E$34,4,0)))</f>
        <v>0</v>
      </c>
      <c r="AE146" s="334">
        <f>IF($F146="",0,IF($A146="Default",$H146*VLOOKUP($F146,Lists!$C$72:$R$232,COLUMNS(Lists!$C$69:I$69),0)*VLOOKUP(BI$3,Conversions!$B$12:$E$34,4,0)*HLOOKUP($E146,'Equipment Assumptions'!$C$30:$Q$31,2,0),$H146*VLOOKUP($F146,Lists!$C$72:$R$232,COLUMNS(Lists!$C$69:I$69),0)*VLOOKUP(BI$3,Conversions!$B$12:$E$34,4,0)))</f>
        <v>0</v>
      </c>
      <c r="AF146" s="334">
        <f>IF($F146="",0,IF($A146="Default",$H146*VLOOKUP($F146,Lists!$C$72:$R$232,COLUMNS(Lists!$C$69:J$69),0)*VLOOKUP(BJ$3,Conversions!$B$12:$E$34,4,0)*HLOOKUP($E146,'Equipment Assumptions'!$C$30:$Q$31,2,0),$H146*VLOOKUP($F146,Lists!$C$72:$R$232,COLUMNS(Lists!$C$69:J$69),0)*VLOOKUP(BJ$3,Conversions!$B$12:$E$34,4,0)))</f>
        <v>0</v>
      </c>
      <c r="AG146" s="334">
        <f>IF($F146="",0,IF($A146="Default",$H146*VLOOKUP($F146,Lists!$C$72:$R$232,COLUMNS(Lists!$C$69:K$69),0)*VLOOKUP(BK$3,Conversions!$B$12:$E$34,4,0)*HLOOKUP($E146,'Equipment Assumptions'!$C$30:$Q$31,2,0),$H146*VLOOKUP($F146,Lists!$C$72:$R$232,COLUMNS(Lists!$C$69:K$69),0)*VLOOKUP(BK$3,Conversions!$B$12:$E$34,4,0)))</f>
        <v>0</v>
      </c>
      <c r="AH146" s="334">
        <f>IF($F146="",0,IF($A146="Default",$H146*VLOOKUP($F146,Lists!$C$72:$R$232,COLUMNS(Lists!$C$69:L$69),0)*VLOOKUP(BL$3,Conversions!$B$12:$E$34,4,0)*HLOOKUP($E146,'Equipment Assumptions'!$C$30:$Q$31,2,0),$H146*VLOOKUP($F146,Lists!$C$72:$R$232,COLUMNS(Lists!$C$69:L$69),0)*VLOOKUP(BL$3,Conversions!$B$12:$E$34,4,0)))</f>
        <v>0</v>
      </c>
      <c r="AI146" s="334">
        <f>IF($F146="",0,IF($A146="Default",$H146*VLOOKUP($F146,Lists!$C$72:$R$232,COLUMNS(Lists!$C$69:M$69),0)*VLOOKUP(BM$3,Conversions!$B$12:$E$34,4,0)*HLOOKUP($E146,'Equipment Assumptions'!$C$30:$Q$31,2,0),$H146*VLOOKUP($F146,Lists!$C$72:$R$232,COLUMNS(Lists!$C$69:M$69),0)*VLOOKUP(BM$3,Conversions!$B$12:$E$34,4,0)))</f>
        <v>0</v>
      </c>
      <c r="AJ146" s="334">
        <f>IF($F146="",0,IF($A146="Default",$H146*VLOOKUP($F146,Lists!$C$72:$R$232,COLUMNS(Lists!$C$69:N$69),0)*VLOOKUP(BN$3,Conversions!$B$12:$E$34,4,0)*HLOOKUP($E146,'Equipment Assumptions'!$C$30:$Q$31,2,0),$H146*VLOOKUP($F146,Lists!$C$72:$R$232,COLUMNS(Lists!$C$69:N$69),0)*VLOOKUP(BN$3,Conversions!$B$12:$E$34,4,0)))</f>
        <v>0</v>
      </c>
      <c r="AK146" s="334">
        <f>IF($F146="",0,IF($A146="Default",$H146*VLOOKUP($F146,Lists!$C$72:$R$232,COLUMNS(Lists!$C$69:O$69),0)*VLOOKUP(BO$3,Conversions!$B$12:$E$34,4,0)*HLOOKUP($E146,'Equipment Assumptions'!$C$30:$Q$31,2,0),$H146*VLOOKUP($F146,Lists!$C$72:$R$232,COLUMNS(Lists!$C$69:O$69),0)*VLOOKUP(BO$3,Conversions!$B$12:$E$34,4,0)))</f>
        <v>0</v>
      </c>
      <c r="AL146" s="334">
        <f>IF($F146="",0,IF($A146="Default",$H146*VLOOKUP($F146,Lists!$C$72:$R$232,COLUMNS(Lists!$C$69:P$69),0)*VLOOKUP(BP$3,Conversions!$B$12:$E$34,4,0)*HLOOKUP($E146,'Equipment Assumptions'!$C$30:$Q$31,2,0),$H146*VLOOKUP($F146,Lists!$C$72:$R$232,COLUMNS(Lists!$C$69:P$69),0)*VLOOKUP(BP$3,Conversions!$B$12:$E$34,4,0)))</f>
        <v>0</v>
      </c>
      <c r="AM146" s="334">
        <f>IF($F146="",0,IF($A146="Default",$H146*VLOOKUP($F146,Lists!$C$72:$R$232,COLUMNS(Lists!$C$69:Q$69),0)*VLOOKUP(BQ$3,Conversions!$B$12:$E$34,4,0)*HLOOKUP($E146,'Equipment Assumptions'!$C$30:$Q$31,2,0),$H146*VLOOKUP($F146,Lists!$C$72:$R$232,COLUMNS(Lists!$C$69:Q$69),0)*VLOOKUP(BQ$3,Conversions!$B$12:$E$34,4,0)))</f>
        <v>0</v>
      </c>
      <c r="AN146" s="334">
        <f>IF($F146="",0,IF($A146="Default",$H146*VLOOKUP($F146,Lists!$C$72:$R$232,COLUMNS(Lists!$C$69:R$69),0)*VLOOKUP(BR$3,Conversions!$B$12:$E$34,4,0)*HLOOKUP($E146,'Equipment Assumptions'!$C$30:$Q$31,2,0),$H146*VLOOKUP($F146,Lists!$C$72:$R$232,COLUMNS(Lists!$C$69:R$69),0)*VLOOKUP(BR$3,Conversions!$B$12:$E$34,4,0)))</f>
        <v>0</v>
      </c>
      <c r="AO146" s="330">
        <f t="shared" si="162"/>
        <v>0</v>
      </c>
      <c r="AP146" s="333">
        <f>IF($F146="",0,IF($A146="Default",$I146*VLOOKUP($F146,Lists!$C$72:$R$232,COLUMNS(Lists!$C$69:E$69),0)*VLOOKUP(BE$3,Conversions!$B$12:$E$34,4,0)*HLOOKUP($E146,'Equipment Assumptions'!$C$30:$Q$31,2,0),$I146*VLOOKUP($F146,Lists!$C$72:$R$232,COLUMNS(Lists!$C$69:E$69),0)*VLOOKUP(BE$3,Conversions!$B$12:$E$34,4,0)))</f>
        <v>0</v>
      </c>
      <c r="AQ146" s="333">
        <f>IF($F146="",0,IF($A146="Default",$I146*VLOOKUP($F146,Lists!$C$72:$R$232,COLUMNS(Lists!$C$69:F$69),0)*VLOOKUP(BF$3,Conversions!$B$12:$E$34,4,0)*HLOOKUP($E146,'Equipment Assumptions'!$C$30:$Q$31,2,0),$I146*VLOOKUP($F146,Lists!$C$72:$R$232,COLUMNS(Lists!$C$69:F$69),0)*VLOOKUP(BF$3,Conversions!$B$12:$E$34,4,0)))</f>
        <v>0</v>
      </c>
      <c r="AR146" s="333">
        <f>IF($F146="",0,IF($A146="Default",$I146*VLOOKUP($F146,Lists!$C$72:$R$232,COLUMNS(Lists!$C$69:G$69),0)*VLOOKUP(BG$3,Conversions!$B$12:$E$34,4,0)*HLOOKUP($E146,'Equipment Assumptions'!$C$30:$Q$31,2,0),$I146*VLOOKUP($F146,Lists!$C$72:$R$232,COLUMNS(Lists!$C$69:G$69),0)*VLOOKUP(BG$3,Conversions!$B$12:$E$34,4,0)))</f>
        <v>0</v>
      </c>
      <c r="AS146" s="333">
        <f>IF($F146="",0,IF($A146="Default",$I146*VLOOKUP($F146,Lists!$C$72:$R$232,COLUMNS(Lists!$C$69:H$69),0)*VLOOKUP(BH$3,Conversions!$B$12:$E$34,4,0)*HLOOKUP($E146,'Equipment Assumptions'!$C$30:$Q$31,2,0),$I146*VLOOKUP($F146,Lists!$C$72:$R$232,COLUMNS(Lists!$C$69:H$69),0)*VLOOKUP(BH$3,Conversions!$B$12:$E$34,4,0)))</f>
        <v>0</v>
      </c>
      <c r="AT146" s="333">
        <f>IF($F146="",0,IF($A146="Default",$I146*VLOOKUP($F146,Lists!$C$72:$R$232,COLUMNS(Lists!$C$69:I$69),0)*VLOOKUP(BI$3,Conversions!$B$12:$E$34,4,0)*HLOOKUP($E146,'Equipment Assumptions'!$C$30:$Q$31,2,0),$I146*VLOOKUP($F146,Lists!$C$72:$R$232,COLUMNS(Lists!$C$69:I$69),0)*VLOOKUP(BI$3,Conversions!$B$12:$E$34,4,0)))</f>
        <v>0</v>
      </c>
      <c r="AU146" s="333">
        <f>IF($F146="",0,IF($A146="Default",$I146*VLOOKUP($F146,Lists!$C$72:$R$232,COLUMNS(Lists!$C$69:J$69),0)*VLOOKUP(BJ$3,Conversions!$B$12:$E$34,4,0)*HLOOKUP($E146,'Equipment Assumptions'!$C$30:$Q$31,2,0),$I146*VLOOKUP($F146,Lists!$C$72:$R$232,COLUMNS(Lists!$C$69:J$69),0)*VLOOKUP(BJ$3,Conversions!$B$12:$E$34,4,0)))</f>
        <v>0</v>
      </c>
      <c r="AV146" s="333">
        <f>IF($F146="",0,IF($A146="Default",$I146*VLOOKUP($F146,Lists!$C$72:$R$232,COLUMNS(Lists!$C$69:K$69),0)*VLOOKUP(BK$3,Conversions!$B$12:$E$34,4,0)*HLOOKUP($E146,'Equipment Assumptions'!$C$30:$Q$31,2,0),$I146*VLOOKUP($F146,Lists!$C$72:$R$232,COLUMNS(Lists!$C$69:K$69),0)*VLOOKUP(BK$3,Conversions!$B$12:$E$34,4,0)))</f>
        <v>0</v>
      </c>
      <c r="AW146" s="333">
        <f>IF($F146="",0,IF($A146="Default",$I146*VLOOKUP($F146,Lists!$C$72:$R$232,COLUMNS(Lists!$C$69:L$69),0)*VLOOKUP(BL$3,Conversions!$B$12:$E$34,4,0)*HLOOKUP($E146,'Equipment Assumptions'!$C$30:$Q$31,2,0),$I146*VLOOKUP($F146,Lists!$C$72:$R$232,COLUMNS(Lists!$C$69:L$69),0)*VLOOKUP(BL$3,Conversions!$B$12:$E$34,4,0)))</f>
        <v>0</v>
      </c>
      <c r="AX146" s="333">
        <f>IF($F146="",0,IF($A146="Default",$I146*VLOOKUP($F146,Lists!$C$72:$R$232,COLUMNS(Lists!$C$69:M$69),0)*VLOOKUP(BM$3,Conversions!$B$12:$E$34,4,0)*HLOOKUP($E146,'Equipment Assumptions'!$C$30:$Q$31,2,0),$I146*VLOOKUP($F146,Lists!$C$72:$R$232,COLUMNS(Lists!$C$69:M$69),0)*VLOOKUP(BM$3,Conversions!$B$12:$E$34,4,0)))</f>
        <v>0</v>
      </c>
      <c r="AY146" s="333">
        <f>IF($F146="",0,IF($A146="Default",$I146*VLOOKUP($F146,Lists!$C$72:$R$232,COLUMNS(Lists!$C$69:N$69),0)*VLOOKUP(BN$3,Conversions!$B$12:$E$34,4,0)*HLOOKUP($E146,'Equipment Assumptions'!$C$30:$Q$31,2,0),$I146*VLOOKUP($F146,Lists!$C$72:$R$232,COLUMNS(Lists!$C$69:N$69),0)*VLOOKUP(BN$3,Conversions!$B$12:$E$34,4,0)))</f>
        <v>0</v>
      </c>
      <c r="AZ146" s="333">
        <f>IF($F146="",0,IF($A146="Default",$I146*VLOOKUP($F146,Lists!$C$72:$R$232,COLUMNS(Lists!$C$69:O$69),0)*VLOOKUP(BO$3,Conversions!$B$12:$E$34,4,0)*HLOOKUP($E146,'Equipment Assumptions'!$C$30:$Q$31,2,0),$I146*VLOOKUP($F146,Lists!$C$72:$R$232,COLUMNS(Lists!$C$69:O$69),0)*VLOOKUP(BO$3,Conversions!$B$12:$E$34,4,0)))</f>
        <v>0</v>
      </c>
      <c r="BA146" s="333">
        <f>IF($F146="",0,IF($A146="Default",$I146*VLOOKUP($F146,Lists!$C$72:$R$232,COLUMNS(Lists!$C$69:P$69),0)*VLOOKUP(BP$3,Conversions!$B$12:$E$34,4,0)*HLOOKUP($E146,'Equipment Assumptions'!$C$30:$Q$31,2,0),$I146*VLOOKUP($F146,Lists!$C$72:$R$232,COLUMNS(Lists!$C$69:P$69),0)*VLOOKUP(BP$3,Conversions!$B$12:$E$34,4,0)))</f>
        <v>0</v>
      </c>
      <c r="BB146" s="333">
        <f>IF($F146="",0,IF($A146="Default",$I146*VLOOKUP($F146,Lists!$C$72:$R$232,COLUMNS(Lists!$C$69:Q$69),0)*VLOOKUP(BQ$3,Conversions!$B$12:$E$34,4,0)*HLOOKUP($E146,'Equipment Assumptions'!$C$30:$Q$31,2,0),$I146*VLOOKUP($F146,Lists!$C$72:$R$232,COLUMNS(Lists!$C$69:Q$69),0)*VLOOKUP(BQ$3,Conversions!$B$12:$E$34,4,0)))</f>
        <v>0</v>
      </c>
      <c r="BC146" s="333">
        <f>IF($F146="",0,IF($A146="Default",$I146*VLOOKUP($F146,Lists!$C$72:$R$232,COLUMNS(Lists!$C$69:R$69),0)*VLOOKUP(BR$3,Conversions!$B$12:$E$34,4,0)*HLOOKUP($E146,'Equipment Assumptions'!$C$30:$Q$31,2,0),$I146*VLOOKUP($F146,Lists!$C$72:$R$232,COLUMNS(Lists!$C$69:R$69),0)*VLOOKUP(BR$3,Conversions!$B$12:$E$34,4,0)))</f>
        <v>0</v>
      </c>
      <c r="BD146" s="333">
        <f t="shared" si="163"/>
        <v>0</v>
      </c>
      <c r="BE146" s="330">
        <f t="shared" si="164"/>
        <v>0</v>
      </c>
      <c r="BF146" s="330">
        <f t="shared" si="165"/>
        <v>0</v>
      </c>
      <c r="BG146" s="330">
        <f t="shared" si="166"/>
        <v>0</v>
      </c>
      <c r="BH146" s="330">
        <f t="shared" si="167"/>
        <v>0</v>
      </c>
      <c r="BI146" s="330">
        <f t="shared" si="168"/>
        <v>0</v>
      </c>
      <c r="BJ146" s="330">
        <f t="shared" si="169"/>
        <v>0</v>
      </c>
      <c r="BK146" s="330">
        <f t="shared" si="170"/>
        <v>0</v>
      </c>
      <c r="BL146" s="330">
        <f t="shared" si="171"/>
        <v>0</v>
      </c>
      <c r="BM146" s="330">
        <f t="shared" si="172"/>
        <v>0</v>
      </c>
      <c r="BN146" s="330">
        <f t="shared" si="173"/>
        <v>0</v>
      </c>
      <c r="BO146" s="330">
        <f t="shared" si="174"/>
        <v>0</v>
      </c>
      <c r="BP146" s="330">
        <f t="shared" si="175"/>
        <v>0</v>
      </c>
      <c r="BQ146" s="330">
        <f t="shared" si="176"/>
        <v>0</v>
      </c>
      <c r="BR146" s="330">
        <f t="shared" si="177"/>
        <v>0</v>
      </c>
      <c r="BS146" s="330">
        <f t="shared" si="178"/>
        <v>0</v>
      </c>
      <c r="BT146" s="329">
        <f t="shared" si="194"/>
        <v>0</v>
      </c>
      <c r="BU146" s="329">
        <f t="shared" si="194"/>
        <v>0</v>
      </c>
      <c r="BV146" s="329">
        <f t="shared" si="194"/>
        <v>0</v>
      </c>
      <c r="BW146" s="329">
        <f t="shared" si="194"/>
        <v>0</v>
      </c>
      <c r="BX146" s="329">
        <f t="shared" si="194"/>
        <v>0</v>
      </c>
      <c r="BY146" s="329">
        <f t="shared" si="194"/>
        <v>0</v>
      </c>
      <c r="BZ146" s="329">
        <f t="shared" si="194"/>
        <v>0</v>
      </c>
      <c r="CA146" s="329">
        <f t="shared" si="194"/>
        <v>0</v>
      </c>
      <c r="CB146" s="329">
        <f t="shared" si="194"/>
        <v>0</v>
      </c>
      <c r="CC146" s="329">
        <f t="shared" si="194"/>
        <v>0</v>
      </c>
      <c r="CD146" s="329">
        <f t="shared" si="194"/>
        <v>0</v>
      </c>
      <c r="CE146" s="329">
        <f t="shared" si="194"/>
        <v>0</v>
      </c>
      <c r="CF146" s="329">
        <f t="shared" si="194"/>
        <v>0</v>
      </c>
      <c r="CG146" s="329">
        <f t="shared" si="194"/>
        <v>0</v>
      </c>
      <c r="CH146" s="329">
        <f t="shared" si="194"/>
        <v>0</v>
      </c>
      <c r="CI146" s="329">
        <f t="shared" si="194"/>
        <v>0</v>
      </c>
      <c r="CJ146" s="331">
        <f t="shared" si="179"/>
        <v>0</v>
      </c>
      <c r="CK146" s="330">
        <f t="shared" si="180"/>
        <v>0</v>
      </c>
      <c r="CL146" s="330">
        <f t="shared" si="181"/>
        <v>0</v>
      </c>
      <c r="CM146" s="330">
        <f t="shared" si="182"/>
        <v>0</v>
      </c>
      <c r="CN146" s="330">
        <f t="shared" si="183"/>
        <v>0</v>
      </c>
      <c r="CO146" s="330">
        <f t="shared" si="184"/>
        <v>0</v>
      </c>
      <c r="CP146" s="330">
        <f t="shared" si="185"/>
        <v>0</v>
      </c>
      <c r="CQ146" s="330">
        <f t="shared" si="186"/>
        <v>0</v>
      </c>
      <c r="CR146" s="330">
        <f t="shared" si="187"/>
        <v>0</v>
      </c>
      <c r="CS146" s="330">
        <f t="shared" si="188"/>
        <v>0</v>
      </c>
      <c r="CT146" s="330">
        <f t="shared" si="189"/>
        <v>0</v>
      </c>
      <c r="CU146" s="330">
        <f t="shared" si="195"/>
        <v>0</v>
      </c>
      <c r="CV146" s="330">
        <f t="shared" si="195"/>
        <v>0</v>
      </c>
      <c r="CW146" s="330">
        <f t="shared" si="195"/>
        <v>0</v>
      </c>
      <c r="CX146" s="330">
        <f t="shared" si="195"/>
        <v>0</v>
      </c>
      <c r="CY146" s="330">
        <f t="shared" si="195"/>
        <v>0</v>
      </c>
      <c r="CZ146" s="330">
        <f t="shared" si="195"/>
        <v>0</v>
      </c>
      <c r="DA146" s="330">
        <f t="shared" si="195"/>
        <v>0</v>
      </c>
      <c r="DB146" s="330">
        <f t="shared" si="195"/>
        <v>0</v>
      </c>
      <c r="DC146" s="330">
        <f t="shared" si="195"/>
        <v>0</v>
      </c>
      <c r="DD146" s="330">
        <f t="shared" si="195"/>
        <v>0</v>
      </c>
      <c r="DE146" s="330">
        <f t="shared" si="196"/>
        <v>0</v>
      </c>
      <c r="DF146" s="330">
        <f t="shared" si="196"/>
        <v>0</v>
      </c>
      <c r="DG146" s="330">
        <f t="shared" si="196"/>
        <v>0</v>
      </c>
      <c r="DH146" s="330">
        <f t="shared" si="196"/>
        <v>0</v>
      </c>
      <c r="DI146" s="330">
        <f t="shared" si="196"/>
        <v>0</v>
      </c>
      <c r="DJ146" s="330">
        <f t="shared" si="196"/>
        <v>0</v>
      </c>
      <c r="DK146" s="330">
        <f t="shared" si="196"/>
        <v>0</v>
      </c>
      <c r="DL146" s="330">
        <f t="shared" si="196"/>
        <v>0</v>
      </c>
      <c r="DM146" s="330">
        <f t="shared" si="196"/>
        <v>0</v>
      </c>
      <c r="DN146" s="330">
        <f t="shared" si="196"/>
        <v>0</v>
      </c>
      <c r="DO146" s="330">
        <f t="shared" si="196"/>
        <v>0</v>
      </c>
      <c r="DP146" s="330">
        <f t="shared" si="190"/>
        <v>0</v>
      </c>
      <c r="DQ146" s="217"/>
      <c r="DR146" s="217"/>
      <c r="DS146" s="217"/>
      <c r="DT146" s="217"/>
    </row>
    <row r="147" spans="1:124" x14ac:dyDescent="0.3">
      <c r="A147" s="332" t="str">
        <f>IF(AND(F147&lt;&gt;"",OR('Simplified Screening 1'!G38=0,'Simplified Screening 1'!G38="I Don't Know")),"Default","")</f>
        <v/>
      </c>
      <c r="B147" s="221" t="s">
        <v>306</v>
      </c>
      <c r="C147" s="221" t="str">
        <f>IF('Simplified Screening 1'!C38=0,"",'Simplified Screening 1'!C38)</f>
        <v/>
      </c>
      <c r="D147" s="221" t="str">
        <f>IF('Simplified Screening 1'!D38=0,"",'Simplified Screening 1'!D38)</f>
        <v/>
      </c>
      <c r="E147" s="221" t="str">
        <f>IF('Simplified Screening 1'!E38=0,"",'Simplified Screening 1'!E38)</f>
        <v/>
      </c>
      <c r="F147" s="221" t="str">
        <f>'Simplified Screening 1'!R38</f>
        <v/>
      </c>
      <c r="G147" s="272">
        <f>'Simplified Screening 1'!H38*'Simplified Screening 1'!L38*Conversions!$C$4</f>
        <v>0</v>
      </c>
      <c r="H147" s="272">
        <f>'Simplified Screening 1'!I38*'Simplified Screening 1'!M38*'Simplified Screening 1'!J38*Conversions!$C$4</f>
        <v>0</v>
      </c>
      <c r="I147" s="272">
        <f>'Simplified Screening 1'!K38*'Simplified Screening 1'!N38*(1-'Simplified Screening 1'!O38)*Conversions!$C$4</f>
        <v>0</v>
      </c>
      <c r="J147" s="325">
        <f>IF('Simplified Screening 1'!P38=0,0,'Simplified Screening 1'!P38)</f>
        <v>0</v>
      </c>
      <c r="K147" s="325">
        <f>IF(AND(OR('Simplified Screening 1'!G38=0,'Simplified Screening 1'!G38="I Don't Know"),F147&lt;&gt;""),J147*HLOOKUP(E147,'Equipment Assumptions'!$C$30:$Q$31,2,0),IF(F147="Non-HFC",0,J147))</f>
        <v>0</v>
      </c>
      <c r="L147" s="333">
        <f>IF($F147="",0,IF($A147="Default",$G147*VLOOKUP($F147,Lists!$C$72:$R$232,COLUMNS(Lists!$C$69:E$69),0)*VLOOKUP(BE$3,Conversions!$B$12:$E$34,4,0)*HLOOKUP($E147,'Equipment Assumptions'!$C$30:$Q$31,2,0),$G147*VLOOKUP($F147,Lists!$C$72:$R$232,COLUMNS(Lists!$C$69:E$69),0)*VLOOKUP(BE$3,Conversions!$B$12:$E$34,4,0)))</f>
        <v>0</v>
      </c>
      <c r="M147" s="333">
        <f>IF($F147="",0,IF($A147="Default",$G147*VLOOKUP($F147,Lists!$C$72:$R$232,COLUMNS(Lists!$C$69:F$69),0)*VLOOKUP(BF$3,Conversions!$B$12:$E$34,4,0)*HLOOKUP($E147,'Equipment Assumptions'!$C$30:$Q$31,2,0),$G147*VLOOKUP($F147,Lists!$C$72:$R$232,COLUMNS(Lists!$C$69:F$69),0)*VLOOKUP(BF$3,Conversions!$B$12:$E$34,4,0)))</f>
        <v>0</v>
      </c>
      <c r="N147" s="333">
        <f>IF($F147="",0,IF($A147="Default",$G147*VLOOKUP($F147,Lists!$C$72:$R$232,COLUMNS(Lists!$C$69:G$69),0)*VLOOKUP(BG$3,Conversions!$B$12:$E$34,4,0)*HLOOKUP($E147,'Equipment Assumptions'!$C$30:$Q$31,2,0),$G147*VLOOKUP($F147,Lists!$C$72:$R$232,COLUMNS(Lists!$C$69:G$69),0)*VLOOKUP(BG$3,Conversions!$B$12:$E$34,4,0)))</f>
        <v>0</v>
      </c>
      <c r="O147" s="333">
        <f>IF($F147="",0,IF($A147="Default",$G147*VLOOKUP($F147,Lists!$C$72:$R$232,COLUMNS(Lists!$C$69:H$69),0)*VLOOKUP(BH$3,Conversions!$B$12:$E$34,4,0)*HLOOKUP($E147,'Equipment Assumptions'!$C$30:$Q$31,2,0),$G147*VLOOKUP($F147,Lists!$C$72:$R$232,COLUMNS(Lists!$C$69:H$69),0)*VLOOKUP(BH$3,Conversions!$B$12:$E$34,4,0)))</f>
        <v>0</v>
      </c>
      <c r="P147" s="333">
        <f>IF($F147="",0,IF($A147="Default",$G147*VLOOKUP($F147,Lists!$C$72:$R$232,COLUMNS(Lists!$C$69:I$69),0)*VLOOKUP(BI$3,Conversions!$B$12:$E$34,4,0)*HLOOKUP($E147,'Equipment Assumptions'!$C$30:$Q$31,2,0),$G147*VLOOKUP($F147,Lists!$C$72:$R$232,COLUMNS(Lists!$C$69:I$69),0)*VLOOKUP(BI$3,Conversions!$B$12:$E$34,4,0)))</f>
        <v>0</v>
      </c>
      <c r="Q147" s="333">
        <f>IF($F147="",0,IF($A147="Default",$G147*VLOOKUP($F147,Lists!$C$72:$R$232,COLUMNS(Lists!$C$69:J$69),0)*VLOOKUP(BJ$3,Conversions!$B$12:$E$34,4,0)*HLOOKUP($E147,'Equipment Assumptions'!$C$30:$Q$31,2,0),$G147*VLOOKUP($F147,Lists!$C$72:$R$232,COLUMNS(Lists!$C$69:J$69),0)*VLOOKUP(BJ$3,Conversions!$B$12:$E$34,4,0)))</f>
        <v>0</v>
      </c>
      <c r="R147" s="333">
        <f>IF($F147="",0,IF($A147="Default",$G147*VLOOKUP($F147,Lists!$C$72:$R$232,COLUMNS(Lists!$C$69:K$69),0)*VLOOKUP(BK$3,Conversions!$B$12:$E$34,4,0)*HLOOKUP($E147,'Equipment Assumptions'!$C$30:$Q$31,2,0),$G147*VLOOKUP($F147,Lists!$C$72:$R$232,COLUMNS(Lists!$C$69:K$69),0)*VLOOKUP(BK$3,Conversions!$B$12:$E$34,4,0)))</f>
        <v>0</v>
      </c>
      <c r="S147" s="333">
        <f>IF($F147="",0,IF($A147="Default",$G147*VLOOKUP($F147,Lists!$C$72:$R$232,COLUMNS(Lists!$C$69:L$69),0)*VLOOKUP(BL$3,Conversions!$B$12:$E$34,4,0)*HLOOKUP($E147,'Equipment Assumptions'!$C$30:$Q$31,2,0),$G147*VLOOKUP($F147,Lists!$C$72:$R$232,COLUMNS(Lists!$C$69:L$69),0)*VLOOKUP(BL$3,Conversions!$B$12:$E$34,4,0)))</f>
        <v>0</v>
      </c>
      <c r="T147" s="333">
        <f>IF($F147="",0,IF($A147="Default",$G147*VLOOKUP($F147,Lists!$C$72:$R$232,COLUMNS(Lists!$C$69:M$69),0)*VLOOKUP(BM$3,Conversions!$B$12:$E$34,4,0)*HLOOKUP($E147,'Equipment Assumptions'!$C$30:$Q$31,2,0),$G147*VLOOKUP($F147,Lists!$C$72:$R$232,COLUMNS(Lists!$C$69:M$69),0)*VLOOKUP(BM$3,Conversions!$B$12:$E$34,4,0)))</f>
        <v>0</v>
      </c>
      <c r="U147" s="333">
        <f>IF($F147="",0,IF($A147="Default",$G147*VLOOKUP($F147,Lists!$C$72:$R$232,COLUMNS(Lists!$C$69:N$69),0)*VLOOKUP(BN$3,Conversions!$B$12:$E$34,4,0)*HLOOKUP($E147,'Equipment Assumptions'!$C$30:$Q$31,2,0),$G147*VLOOKUP($F147,Lists!$C$72:$R$232,COLUMNS(Lists!$C$69:N$69),0)*VLOOKUP(BN$3,Conversions!$B$12:$E$34,4,0)))</f>
        <v>0</v>
      </c>
      <c r="V147" s="333">
        <f>IF($F147="",0,IF($A147="Default",$G147*VLOOKUP($F147,Lists!$C$72:$R$232,COLUMNS(Lists!$C$69:O$69),0)*VLOOKUP(BO$3,Conversions!$B$12:$E$34,4,0)*HLOOKUP($E147,'Equipment Assumptions'!$C$30:$Q$31,2,0),$G147*VLOOKUP($F147,Lists!$C$72:$R$232,COLUMNS(Lists!$C$69:O$69),0)*VLOOKUP(BO$3,Conversions!$B$12:$E$34,4,0)))</f>
        <v>0</v>
      </c>
      <c r="W147" s="333">
        <f>IF($F147="",0,IF($A147="Default",$G147*VLOOKUP($F147,Lists!$C$72:$R$232,COLUMNS(Lists!$C$69:P$69),0)*VLOOKUP(BP$3,Conversions!$B$12:$E$34,4,0)*HLOOKUP($E147,'Equipment Assumptions'!$C$30:$Q$31,2,0),$G147*VLOOKUP($F147,Lists!$C$72:$R$232,COLUMNS(Lists!$C$69:P$69),0)*VLOOKUP(BP$3,Conversions!$B$12:$E$34,4,0)))</f>
        <v>0</v>
      </c>
      <c r="X147" s="333">
        <f>IF($F147="",0,IF($A147="Default",$G147*VLOOKUP($F147,Lists!$C$72:$R$232,COLUMNS(Lists!$C$69:Q$69),0)*VLOOKUP(BQ$3,Conversions!$B$12:$E$34,4,0)*HLOOKUP($E147,'Equipment Assumptions'!$C$30:$Q$31,2,0),$G147*VLOOKUP($F147,Lists!$C$72:$R$232,COLUMNS(Lists!$C$69:Q$69),0)*VLOOKUP(BQ$3,Conversions!$B$12:$E$34,4,0)))</f>
        <v>0</v>
      </c>
      <c r="Y147" s="333">
        <f>IF($F147="",0,IF($A147="Default",$G147*VLOOKUP($F147,Lists!$C$72:$R$232,COLUMNS(Lists!$C$69:R$69),0)*VLOOKUP(BR$3,Conversions!$B$12:$E$34,4,0)*HLOOKUP($E147,'Equipment Assumptions'!$C$30:$Q$31,2,0),$G147*VLOOKUP($F147,Lists!$C$72:$R$232,COLUMNS(Lists!$C$69:R$69),0)*VLOOKUP(BR$3,Conversions!$B$12:$E$34,4,0)))</f>
        <v>0</v>
      </c>
      <c r="Z147" s="325">
        <f t="shared" si="161"/>
        <v>0</v>
      </c>
      <c r="AA147" s="334">
        <f>IF($F147="",0,IF($A147="Default",$H147*VLOOKUP($F147,Lists!$C$72:$R$232,COLUMNS(Lists!$C$69:E$69),0)*VLOOKUP(BE$3,Conversions!$B$12:$E$34,4,0)*HLOOKUP($E147,'Equipment Assumptions'!$C$30:$Q$31,2,0),$H147*VLOOKUP($F147,Lists!$C$72:$R$232,COLUMNS(Lists!$C$69:E$69),0)*VLOOKUP(BE$3,Conversions!$B$12:$E$34,4,0)))</f>
        <v>0</v>
      </c>
      <c r="AB147" s="334">
        <f>IF($F147="",0,IF($A147="Default",$H147*VLOOKUP($F147,Lists!$C$72:$R$232,COLUMNS(Lists!$C$69:F$69),0)*VLOOKUP(BF$3,Conversions!$B$12:$E$34,4,0)*HLOOKUP($E147,'Equipment Assumptions'!$C$30:$Q$31,2,0),$H147*VLOOKUP($F147,Lists!$C$72:$R$232,COLUMNS(Lists!$C$69:F$69),0)*VLOOKUP(BF$3,Conversions!$B$12:$E$34,4,0)))</f>
        <v>0</v>
      </c>
      <c r="AC147" s="334">
        <f>IF($F147="",0,IF($A147="Default",$H147*VLOOKUP($F147,Lists!$C$72:$R$232,COLUMNS(Lists!$C$69:G$69),0)*VLOOKUP(BG$3,Conversions!$B$12:$E$34,4,0)*HLOOKUP($E147,'Equipment Assumptions'!$C$30:$Q$31,2,0),$H147*VLOOKUP($F147,Lists!$C$72:$R$232,COLUMNS(Lists!$C$69:G$69),0)*VLOOKUP(BG$3,Conversions!$B$12:$E$34,4,0)))</f>
        <v>0</v>
      </c>
      <c r="AD147" s="334">
        <f>IF($F147="",0,IF($A147="Default",$H147*VLOOKUP($F147,Lists!$C$72:$R$232,COLUMNS(Lists!$C$69:H$69),0)*VLOOKUP(BH$3,Conversions!$B$12:$E$34,4,0)*HLOOKUP($E147,'Equipment Assumptions'!$C$30:$Q$31,2,0),$H147*VLOOKUP($F147,Lists!$C$72:$R$232,COLUMNS(Lists!$C$69:H$69),0)*VLOOKUP(BH$3,Conversions!$B$12:$E$34,4,0)))</f>
        <v>0</v>
      </c>
      <c r="AE147" s="334">
        <f>IF($F147="",0,IF($A147="Default",$H147*VLOOKUP($F147,Lists!$C$72:$R$232,COLUMNS(Lists!$C$69:I$69),0)*VLOOKUP(BI$3,Conversions!$B$12:$E$34,4,0)*HLOOKUP($E147,'Equipment Assumptions'!$C$30:$Q$31,2,0),$H147*VLOOKUP($F147,Lists!$C$72:$R$232,COLUMNS(Lists!$C$69:I$69),0)*VLOOKUP(BI$3,Conversions!$B$12:$E$34,4,0)))</f>
        <v>0</v>
      </c>
      <c r="AF147" s="334">
        <f>IF($F147="",0,IF($A147="Default",$H147*VLOOKUP($F147,Lists!$C$72:$R$232,COLUMNS(Lists!$C$69:J$69),0)*VLOOKUP(BJ$3,Conversions!$B$12:$E$34,4,0)*HLOOKUP($E147,'Equipment Assumptions'!$C$30:$Q$31,2,0),$H147*VLOOKUP($F147,Lists!$C$72:$R$232,COLUMNS(Lists!$C$69:J$69),0)*VLOOKUP(BJ$3,Conversions!$B$12:$E$34,4,0)))</f>
        <v>0</v>
      </c>
      <c r="AG147" s="334">
        <f>IF($F147="",0,IF($A147="Default",$H147*VLOOKUP($F147,Lists!$C$72:$R$232,COLUMNS(Lists!$C$69:K$69),0)*VLOOKUP(BK$3,Conversions!$B$12:$E$34,4,0)*HLOOKUP($E147,'Equipment Assumptions'!$C$30:$Q$31,2,0),$H147*VLOOKUP($F147,Lists!$C$72:$R$232,COLUMNS(Lists!$C$69:K$69),0)*VLOOKUP(BK$3,Conversions!$B$12:$E$34,4,0)))</f>
        <v>0</v>
      </c>
      <c r="AH147" s="334">
        <f>IF($F147="",0,IF($A147="Default",$H147*VLOOKUP($F147,Lists!$C$72:$R$232,COLUMNS(Lists!$C$69:L$69),0)*VLOOKUP(BL$3,Conversions!$B$12:$E$34,4,0)*HLOOKUP($E147,'Equipment Assumptions'!$C$30:$Q$31,2,0),$H147*VLOOKUP($F147,Lists!$C$72:$R$232,COLUMNS(Lists!$C$69:L$69),0)*VLOOKUP(BL$3,Conversions!$B$12:$E$34,4,0)))</f>
        <v>0</v>
      </c>
      <c r="AI147" s="334">
        <f>IF($F147="",0,IF($A147="Default",$H147*VLOOKUP($F147,Lists!$C$72:$R$232,COLUMNS(Lists!$C$69:M$69),0)*VLOOKUP(BM$3,Conversions!$B$12:$E$34,4,0)*HLOOKUP($E147,'Equipment Assumptions'!$C$30:$Q$31,2,0),$H147*VLOOKUP($F147,Lists!$C$72:$R$232,COLUMNS(Lists!$C$69:M$69),0)*VLOOKUP(BM$3,Conversions!$B$12:$E$34,4,0)))</f>
        <v>0</v>
      </c>
      <c r="AJ147" s="334">
        <f>IF($F147="",0,IF($A147="Default",$H147*VLOOKUP($F147,Lists!$C$72:$R$232,COLUMNS(Lists!$C$69:N$69),0)*VLOOKUP(BN$3,Conversions!$B$12:$E$34,4,0)*HLOOKUP($E147,'Equipment Assumptions'!$C$30:$Q$31,2,0),$H147*VLOOKUP($F147,Lists!$C$72:$R$232,COLUMNS(Lists!$C$69:N$69),0)*VLOOKUP(BN$3,Conversions!$B$12:$E$34,4,0)))</f>
        <v>0</v>
      </c>
      <c r="AK147" s="334">
        <f>IF($F147="",0,IF($A147="Default",$H147*VLOOKUP($F147,Lists!$C$72:$R$232,COLUMNS(Lists!$C$69:O$69),0)*VLOOKUP(BO$3,Conversions!$B$12:$E$34,4,0)*HLOOKUP($E147,'Equipment Assumptions'!$C$30:$Q$31,2,0),$H147*VLOOKUP($F147,Lists!$C$72:$R$232,COLUMNS(Lists!$C$69:O$69),0)*VLOOKUP(BO$3,Conversions!$B$12:$E$34,4,0)))</f>
        <v>0</v>
      </c>
      <c r="AL147" s="334">
        <f>IF($F147="",0,IF($A147="Default",$H147*VLOOKUP($F147,Lists!$C$72:$R$232,COLUMNS(Lists!$C$69:P$69),0)*VLOOKUP(BP$3,Conversions!$B$12:$E$34,4,0)*HLOOKUP($E147,'Equipment Assumptions'!$C$30:$Q$31,2,0),$H147*VLOOKUP($F147,Lists!$C$72:$R$232,COLUMNS(Lists!$C$69:P$69),0)*VLOOKUP(BP$3,Conversions!$B$12:$E$34,4,0)))</f>
        <v>0</v>
      </c>
      <c r="AM147" s="334">
        <f>IF($F147="",0,IF($A147="Default",$H147*VLOOKUP($F147,Lists!$C$72:$R$232,COLUMNS(Lists!$C$69:Q$69),0)*VLOOKUP(BQ$3,Conversions!$B$12:$E$34,4,0)*HLOOKUP($E147,'Equipment Assumptions'!$C$30:$Q$31,2,0),$H147*VLOOKUP($F147,Lists!$C$72:$R$232,COLUMNS(Lists!$C$69:Q$69),0)*VLOOKUP(BQ$3,Conversions!$B$12:$E$34,4,0)))</f>
        <v>0</v>
      </c>
      <c r="AN147" s="334">
        <f>IF($F147="",0,IF($A147="Default",$H147*VLOOKUP($F147,Lists!$C$72:$R$232,COLUMNS(Lists!$C$69:R$69),0)*VLOOKUP(BR$3,Conversions!$B$12:$E$34,4,0)*HLOOKUP($E147,'Equipment Assumptions'!$C$30:$Q$31,2,0),$H147*VLOOKUP($F147,Lists!$C$72:$R$232,COLUMNS(Lists!$C$69:R$69),0)*VLOOKUP(BR$3,Conversions!$B$12:$E$34,4,0)))</f>
        <v>0</v>
      </c>
      <c r="AO147" s="330">
        <f t="shared" si="162"/>
        <v>0</v>
      </c>
      <c r="AP147" s="333">
        <f>IF($F147="",0,IF($A147="Default",$I147*VLOOKUP($F147,Lists!$C$72:$R$232,COLUMNS(Lists!$C$69:E$69),0)*VLOOKUP(BE$3,Conversions!$B$12:$E$34,4,0)*HLOOKUP($E147,'Equipment Assumptions'!$C$30:$Q$31,2,0),$I147*VLOOKUP($F147,Lists!$C$72:$R$232,COLUMNS(Lists!$C$69:E$69),0)*VLOOKUP(BE$3,Conversions!$B$12:$E$34,4,0)))</f>
        <v>0</v>
      </c>
      <c r="AQ147" s="333">
        <f>IF($F147="",0,IF($A147="Default",$I147*VLOOKUP($F147,Lists!$C$72:$R$232,COLUMNS(Lists!$C$69:F$69),0)*VLOOKUP(BF$3,Conversions!$B$12:$E$34,4,0)*HLOOKUP($E147,'Equipment Assumptions'!$C$30:$Q$31,2,0),$I147*VLOOKUP($F147,Lists!$C$72:$R$232,COLUMNS(Lists!$C$69:F$69),0)*VLOOKUP(BF$3,Conversions!$B$12:$E$34,4,0)))</f>
        <v>0</v>
      </c>
      <c r="AR147" s="333">
        <f>IF($F147="",0,IF($A147="Default",$I147*VLOOKUP($F147,Lists!$C$72:$R$232,COLUMNS(Lists!$C$69:G$69),0)*VLOOKUP(BG$3,Conversions!$B$12:$E$34,4,0)*HLOOKUP($E147,'Equipment Assumptions'!$C$30:$Q$31,2,0),$I147*VLOOKUP($F147,Lists!$C$72:$R$232,COLUMNS(Lists!$C$69:G$69),0)*VLOOKUP(BG$3,Conversions!$B$12:$E$34,4,0)))</f>
        <v>0</v>
      </c>
      <c r="AS147" s="333">
        <f>IF($F147="",0,IF($A147="Default",$I147*VLOOKUP($F147,Lists!$C$72:$R$232,COLUMNS(Lists!$C$69:H$69),0)*VLOOKUP(BH$3,Conversions!$B$12:$E$34,4,0)*HLOOKUP($E147,'Equipment Assumptions'!$C$30:$Q$31,2,0),$I147*VLOOKUP($F147,Lists!$C$72:$R$232,COLUMNS(Lists!$C$69:H$69),0)*VLOOKUP(BH$3,Conversions!$B$12:$E$34,4,0)))</f>
        <v>0</v>
      </c>
      <c r="AT147" s="333">
        <f>IF($F147="",0,IF($A147="Default",$I147*VLOOKUP($F147,Lists!$C$72:$R$232,COLUMNS(Lists!$C$69:I$69),0)*VLOOKUP(BI$3,Conversions!$B$12:$E$34,4,0)*HLOOKUP($E147,'Equipment Assumptions'!$C$30:$Q$31,2,0),$I147*VLOOKUP($F147,Lists!$C$72:$R$232,COLUMNS(Lists!$C$69:I$69),0)*VLOOKUP(BI$3,Conversions!$B$12:$E$34,4,0)))</f>
        <v>0</v>
      </c>
      <c r="AU147" s="333">
        <f>IF($F147="",0,IF($A147="Default",$I147*VLOOKUP($F147,Lists!$C$72:$R$232,COLUMNS(Lists!$C$69:J$69),0)*VLOOKUP(BJ$3,Conversions!$B$12:$E$34,4,0)*HLOOKUP($E147,'Equipment Assumptions'!$C$30:$Q$31,2,0),$I147*VLOOKUP($F147,Lists!$C$72:$R$232,COLUMNS(Lists!$C$69:J$69),0)*VLOOKUP(BJ$3,Conversions!$B$12:$E$34,4,0)))</f>
        <v>0</v>
      </c>
      <c r="AV147" s="333">
        <f>IF($F147="",0,IF($A147="Default",$I147*VLOOKUP($F147,Lists!$C$72:$R$232,COLUMNS(Lists!$C$69:K$69),0)*VLOOKUP(BK$3,Conversions!$B$12:$E$34,4,0)*HLOOKUP($E147,'Equipment Assumptions'!$C$30:$Q$31,2,0),$I147*VLOOKUP($F147,Lists!$C$72:$R$232,COLUMNS(Lists!$C$69:K$69),0)*VLOOKUP(BK$3,Conversions!$B$12:$E$34,4,0)))</f>
        <v>0</v>
      </c>
      <c r="AW147" s="333">
        <f>IF($F147="",0,IF($A147="Default",$I147*VLOOKUP($F147,Lists!$C$72:$R$232,COLUMNS(Lists!$C$69:L$69),0)*VLOOKUP(BL$3,Conversions!$B$12:$E$34,4,0)*HLOOKUP($E147,'Equipment Assumptions'!$C$30:$Q$31,2,0),$I147*VLOOKUP($F147,Lists!$C$72:$R$232,COLUMNS(Lists!$C$69:L$69),0)*VLOOKUP(BL$3,Conversions!$B$12:$E$34,4,0)))</f>
        <v>0</v>
      </c>
      <c r="AX147" s="333">
        <f>IF($F147="",0,IF($A147="Default",$I147*VLOOKUP($F147,Lists!$C$72:$R$232,COLUMNS(Lists!$C$69:M$69),0)*VLOOKUP(BM$3,Conversions!$B$12:$E$34,4,0)*HLOOKUP($E147,'Equipment Assumptions'!$C$30:$Q$31,2,0),$I147*VLOOKUP($F147,Lists!$C$72:$R$232,COLUMNS(Lists!$C$69:M$69),0)*VLOOKUP(BM$3,Conversions!$B$12:$E$34,4,0)))</f>
        <v>0</v>
      </c>
      <c r="AY147" s="333">
        <f>IF($F147="",0,IF($A147="Default",$I147*VLOOKUP($F147,Lists!$C$72:$R$232,COLUMNS(Lists!$C$69:N$69),0)*VLOOKUP(BN$3,Conversions!$B$12:$E$34,4,0)*HLOOKUP($E147,'Equipment Assumptions'!$C$30:$Q$31,2,0),$I147*VLOOKUP($F147,Lists!$C$72:$R$232,COLUMNS(Lists!$C$69:N$69),0)*VLOOKUP(BN$3,Conversions!$B$12:$E$34,4,0)))</f>
        <v>0</v>
      </c>
      <c r="AZ147" s="333">
        <f>IF($F147="",0,IF($A147="Default",$I147*VLOOKUP($F147,Lists!$C$72:$R$232,COLUMNS(Lists!$C$69:O$69),0)*VLOOKUP(BO$3,Conversions!$B$12:$E$34,4,0)*HLOOKUP($E147,'Equipment Assumptions'!$C$30:$Q$31,2,0),$I147*VLOOKUP($F147,Lists!$C$72:$R$232,COLUMNS(Lists!$C$69:O$69),0)*VLOOKUP(BO$3,Conversions!$B$12:$E$34,4,0)))</f>
        <v>0</v>
      </c>
      <c r="BA147" s="333">
        <f>IF($F147="",0,IF($A147="Default",$I147*VLOOKUP($F147,Lists!$C$72:$R$232,COLUMNS(Lists!$C$69:P$69),0)*VLOOKUP(BP$3,Conversions!$B$12:$E$34,4,0)*HLOOKUP($E147,'Equipment Assumptions'!$C$30:$Q$31,2,0),$I147*VLOOKUP($F147,Lists!$C$72:$R$232,COLUMNS(Lists!$C$69:P$69),0)*VLOOKUP(BP$3,Conversions!$B$12:$E$34,4,0)))</f>
        <v>0</v>
      </c>
      <c r="BB147" s="333">
        <f>IF($F147="",0,IF($A147="Default",$I147*VLOOKUP($F147,Lists!$C$72:$R$232,COLUMNS(Lists!$C$69:Q$69),0)*VLOOKUP(BQ$3,Conversions!$B$12:$E$34,4,0)*HLOOKUP($E147,'Equipment Assumptions'!$C$30:$Q$31,2,0),$I147*VLOOKUP($F147,Lists!$C$72:$R$232,COLUMNS(Lists!$C$69:Q$69),0)*VLOOKUP(BQ$3,Conversions!$B$12:$E$34,4,0)))</f>
        <v>0</v>
      </c>
      <c r="BC147" s="333">
        <f>IF($F147="",0,IF($A147="Default",$I147*VLOOKUP($F147,Lists!$C$72:$R$232,COLUMNS(Lists!$C$69:R$69),0)*VLOOKUP(BR$3,Conversions!$B$12:$E$34,4,0)*HLOOKUP($E147,'Equipment Assumptions'!$C$30:$Q$31,2,0),$I147*VLOOKUP($F147,Lists!$C$72:$R$232,COLUMNS(Lists!$C$69:R$69),0)*VLOOKUP(BR$3,Conversions!$B$12:$E$34,4,0)))</f>
        <v>0</v>
      </c>
      <c r="BD147" s="333">
        <f t="shared" si="163"/>
        <v>0</v>
      </c>
      <c r="BE147" s="330">
        <f t="shared" si="164"/>
        <v>0</v>
      </c>
      <c r="BF147" s="330">
        <f t="shared" si="165"/>
        <v>0</v>
      </c>
      <c r="BG147" s="330">
        <f t="shared" si="166"/>
        <v>0</v>
      </c>
      <c r="BH147" s="330">
        <f t="shared" si="167"/>
        <v>0</v>
      </c>
      <c r="BI147" s="330">
        <f t="shared" si="168"/>
        <v>0</v>
      </c>
      <c r="BJ147" s="330">
        <f t="shared" si="169"/>
        <v>0</v>
      </c>
      <c r="BK147" s="330">
        <f t="shared" si="170"/>
        <v>0</v>
      </c>
      <c r="BL147" s="330">
        <f t="shared" si="171"/>
        <v>0</v>
      </c>
      <c r="BM147" s="330">
        <f t="shared" si="172"/>
        <v>0</v>
      </c>
      <c r="BN147" s="330">
        <f t="shared" si="173"/>
        <v>0</v>
      </c>
      <c r="BO147" s="330">
        <f t="shared" si="174"/>
        <v>0</v>
      </c>
      <c r="BP147" s="330">
        <f t="shared" si="175"/>
        <v>0</v>
      </c>
      <c r="BQ147" s="330">
        <f t="shared" si="176"/>
        <v>0</v>
      </c>
      <c r="BR147" s="330">
        <f t="shared" si="177"/>
        <v>0</v>
      </c>
      <c r="BS147" s="330">
        <f t="shared" si="178"/>
        <v>0</v>
      </c>
      <c r="BT147" s="329">
        <f t="shared" si="194"/>
        <v>0</v>
      </c>
      <c r="BU147" s="329">
        <f t="shared" si="194"/>
        <v>0</v>
      </c>
      <c r="BV147" s="329">
        <f t="shared" si="194"/>
        <v>0</v>
      </c>
      <c r="BW147" s="329">
        <f t="shared" si="194"/>
        <v>0</v>
      </c>
      <c r="BX147" s="329">
        <f t="shared" si="194"/>
        <v>0</v>
      </c>
      <c r="BY147" s="329">
        <f t="shared" si="194"/>
        <v>0</v>
      </c>
      <c r="BZ147" s="329">
        <f t="shared" si="194"/>
        <v>0</v>
      </c>
      <c r="CA147" s="329">
        <f t="shared" si="194"/>
        <v>0</v>
      </c>
      <c r="CB147" s="329">
        <f t="shared" si="194"/>
        <v>0</v>
      </c>
      <c r="CC147" s="329">
        <f t="shared" si="194"/>
        <v>0</v>
      </c>
      <c r="CD147" s="329">
        <f t="shared" si="194"/>
        <v>0</v>
      </c>
      <c r="CE147" s="329">
        <f t="shared" si="194"/>
        <v>0</v>
      </c>
      <c r="CF147" s="329">
        <f t="shared" si="194"/>
        <v>0</v>
      </c>
      <c r="CG147" s="329">
        <f t="shared" si="194"/>
        <v>0</v>
      </c>
      <c r="CH147" s="329">
        <f t="shared" si="194"/>
        <v>0</v>
      </c>
      <c r="CI147" s="329">
        <f t="shared" si="194"/>
        <v>0</v>
      </c>
      <c r="CJ147" s="331">
        <f t="shared" si="179"/>
        <v>0</v>
      </c>
      <c r="CK147" s="330">
        <f t="shared" si="180"/>
        <v>0</v>
      </c>
      <c r="CL147" s="330">
        <f t="shared" si="181"/>
        <v>0</v>
      </c>
      <c r="CM147" s="330">
        <f t="shared" si="182"/>
        <v>0</v>
      </c>
      <c r="CN147" s="330">
        <f t="shared" si="183"/>
        <v>0</v>
      </c>
      <c r="CO147" s="330">
        <f t="shared" si="184"/>
        <v>0</v>
      </c>
      <c r="CP147" s="330">
        <f t="shared" si="185"/>
        <v>0</v>
      </c>
      <c r="CQ147" s="330">
        <f t="shared" si="186"/>
        <v>0</v>
      </c>
      <c r="CR147" s="330">
        <f t="shared" si="187"/>
        <v>0</v>
      </c>
      <c r="CS147" s="330">
        <f t="shared" si="188"/>
        <v>0</v>
      </c>
      <c r="CT147" s="330">
        <f t="shared" si="189"/>
        <v>0</v>
      </c>
      <c r="CU147" s="330">
        <f t="shared" si="195"/>
        <v>0</v>
      </c>
      <c r="CV147" s="330">
        <f t="shared" si="195"/>
        <v>0</v>
      </c>
      <c r="CW147" s="330">
        <f t="shared" si="195"/>
        <v>0</v>
      </c>
      <c r="CX147" s="330">
        <f t="shared" si="195"/>
        <v>0</v>
      </c>
      <c r="CY147" s="330">
        <f t="shared" si="195"/>
        <v>0</v>
      </c>
      <c r="CZ147" s="330">
        <f t="shared" si="195"/>
        <v>0</v>
      </c>
      <c r="DA147" s="330">
        <f t="shared" si="195"/>
        <v>0</v>
      </c>
      <c r="DB147" s="330">
        <f t="shared" si="195"/>
        <v>0</v>
      </c>
      <c r="DC147" s="330">
        <f t="shared" si="195"/>
        <v>0</v>
      </c>
      <c r="DD147" s="330">
        <f t="shared" si="195"/>
        <v>0</v>
      </c>
      <c r="DE147" s="330">
        <f t="shared" si="196"/>
        <v>0</v>
      </c>
      <c r="DF147" s="330">
        <f t="shared" si="196"/>
        <v>0</v>
      </c>
      <c r="DG147" s="330">
        <f t="shared" si="196"/>
        <v>0</v>
      </c>
      <c r="DH147" s="330">
        <f t="shared" si="196"/>
        <v>0</v>
      </c>
      <c r="DI147" s="330">
        <f t="shared" si="196"/>
        <v>0</v>
      </c>
      <c r="DJ147" s="330">
        <f t="shared" si="196"/>
        <v>0</v>
      </c>
      <c r="DK147" s="330">
        <f t="shared" si="196"/>
        <v>0</v>
      </c>
      <c r="DL147" s="330">
        <f t="shared" si="196"/>
        <v>0</v>
      </c>
      <c r="DM147" s="330">
        <f t="shared" si="196"/>
        <v>0</v>
      </c>
      <c r="DN147" s="330">
        <f t="shared" si="196"/>
        <v>0</v>
      </c>
      <c r="DO147" s="330">
        <f t="shared" si="196"/>
        <v>0</v>
      </c>
      <c r="DP147" s="330">
        <f t="shared" si="190"/>
        <v>0</v>
      </c>
      <c r="DQ147" s="217"/>
      <c r="DR147" s="217"/>
      <c r="DS147" s="217"/>
      <c r="DT147" s="217"/>
    </row>
    <row r="148" spans="1:124" x14ac:dyDescent="0.3">
      <c r="A148" s="332" t="str">
        <f>IF(AND(F148&lt;&gt;"",OR('Simplified Screening 1'!G39=0,'Simplified Screening 1'!G39="I Don't Know")),"Default","")</f>
        <v/>
      </c>
      <c r="B148" s="221" t="s">
        <v>306</v>
      </c>
      <c r="C148" s="221" t="str">
        <f>IF('Simplified Screening 1'!C39=0,"",'Simplified Screening 1'!C39)</f>
        <v/>
      </c>
      <c r="D148" s="221" t="str">
        <f>IF('Simplified Screening 1'!D39=0,"",'Simplified Screening 1'!D39)</f>
        <v/>
      </c>
      <c r="E148" s="221" t="str">
        <f>IF('Simplified Screening 1'!E39=0,"",'Simplified Screening 1'!E39)</f>
        <v/>
      </c>
      <c r="F148" s="221" t="str">
        <f>'Simplified Screening 1'!R39</f>
        <v/>
      </c>
      <c r="G148" s="272">
        <f>'Simplified Screening 1'!H39*'Simplified Screening 1'!L39*Conversions!$C$4</f>
        <v>0</v>
      </c>
      <c r="H148" s="272">
        <f>'Simplified Screening 1'!I39*'Simplified Screening 1'!M39*'Simplified Screening 1'!J39*Conversions!$C$4</f>
        <v>0</v>
      </c>
      <c r="I148" s="272">
        <f>'Simplified Screening 1'!K39*'Simplified Screening 1'!N39*(1-'Simplified Screening 1'!O39)*Conversions!$C$4</f>
        <v>0</v>
      </c>
      <c r="J148" s="325">
        <f>IF('Simplified Screening 1'!P39=0,0,'Simplified Screening 1'!P39)</f>
        <v>0</v>
      </c>
      <c r="K148" s="325">
        <f>IF(AND(OR('Simplified Screening 1'!G39=0,'Simplified Screening 1'!G39="I Don't Know"),F148&lt;&gt;""),J148*HLOOKUP(E148,'Equipment Assumptions'!$C$30:$Q$31,2,0),IF(F148="Non-HFC",0,J148))</f>
        <v>0</v>
      </c>
      <c r="L148" s="333">
        <f>IF($F148="",0,IF($A148="Default",$G148*VLOOKUP($F148,Lists!$C$72:$R$232,COLUMNS(Lists!$C$69:E$69),0)*VLOOKUP(BE$3,Conversions!$B$12:$E$34,4,0)*HLOOKUP($E148,'Equipment Assumptions'!$C$30:$Q$31,2,0),$G148*VLOOKUP($F148,Lists!$C$72:$R$232,COLUMNS(Lists!$C$69:E$69),0)*VLOOKUP(BE$3,Conversions!$B$12:$E$34,4,0)))</f>
        <v>0</v>
      </c>
      <c r="M148" s="333">
        <f>IF($F148="",0,IF($A148="Default",$G148*VLOOKUP($F148,Lists!$C$72:$R$232,COLUMNS(Lists!$C$69:F$69),0)*VLOOKUP(BF$3,Conversions!$B$12:$E$34,4,0)*HLOOKUP($E148,'Equipment Assumptions'!$C$30:$Q$31,2,0),$G148*VLOOKUP($F148,Lists!$C$72:$R$232,COLUMNS(Lists!$C$69:F$69),0)*VLOOKUP(BF$3,Conversions!$B$12:$E$34,4,0)))</f>
        <v>0</v>
      </c>
      <c r="N148" s="333">
        <f>IF($F148="",0,IF($A148="Default",$G148*VLOOKUP($F148,Lists!$C$72:$R$232,COLUMNS(Lists!$C$69:G$69),0)*VLOOKUP(BG$3,Conversions!$B$12:$E$34,4,0)*HLOOKUP($E148,'Equipment Assumptions'!$C$30:$Q$31,2,0),$G148*VLOOKUP($F148,Lists!$C$72:$R$232,COLUMNS(Lists!$C$69:G$69),0)*VLOOKUP(BG$3,Conversions!$B$12:$E$34,4,0)))</f>
        <v>0</v>
      </c>
      <c r="O148" s="333">
        <f>IF($F148="",0,IF($A148="Default",$G148*VLOOKUP($F148,Lists!$C$72:$R$232,COLUMNS(Lists!$C$69:H$69),0)*VLOOKUP(BH$3,Conversions!$B$12:$E$34,4,0)*HLOOKUP($E148,'Equipment Assumptions'!$C$30:$Q$31,2,0),$G148*VLOOKUP($F148,Lists!$C$72:$R$232,COLUMNS(Lists!$C$69:H$69),0)*VLOOKUP(BH$3,Conversions!$B$12:$E$34,4,0)))</f>
        <v>0</v>
      </c>
      <c r="P148" s="333">
        <f>IF($F148="",0,IF($A148="Default",$G148*VLOOKUP($F148,Lists!$C$72:$R$232,COLUMNS(Lists!$C$69:I$69),0)*VLOOKUP(BI$3,Conversions!$B$12:$E$34,4,0)*HLOOKUP($E148,'Equipment Assumptions'!$C$30:$Q$31,2,0),$G148*VLOOKUP($F148,Lists!$C$72:$R$232,COLUMNS(Lists!$C$69:I$69),0)*VLOOKUP(BI$3,Conversions!$B$12:$E$34,4,0)))</f>
        <v>0</v>
      </c>
      <c r="Q148" s="333">
        <f>IF($F148="",0,IF($A148="Default",$G148*VLOOKUP($F148,Lists!$C$72:$R$232,COLUMNS(Lists!$C$69:J$69),0)*VLOOKUP(BJ$3,Conversions!$B$12:$E$34,4,0)*HLOOKUP($E148,'Equipment Assumptions'!$C$30:$Q$31,2,0),$G148*VLOOKUP($F148,Lists!$C$72:$R$232,COLUMNS(Lists!$C$69:J$69),0)*VLOOKUP(BJ$3,Conversions!$B$12:$E$34,4,0)))</f>
        <v>0</v>
      </c>
      <c r="R148" s="333">
        <f>IF($F148="",0,IF($A148="Default",$G148*VLOOKUP($F148,Lists!$C$72:$R$232,COLUMNS(Lists!$C$69:K$69),0)*VLOOKUP(BK$3,Conversions!$B$12:$E$34,4,0)*HLOOKUP($E148,'Equipment Assumptions'!$C$30:$Q$31,2,0),$G148*VLOOKUP($F148,Lists!$C$72:$R$232,COLUMNS(Lists!$C$69:K$69),0)*VLOOKUP(BK$3,Conversions!$B$12:$E$34,4,0)))</f>
        <v>0</v>
      </c>
      <c r="S148" s="333">
        <f>IF($F148="",0,IF($A148="Default",$G148*VLOOKUP($F148,Lists!$C$72:$R$232,COLUMNS(Lists!$C$69:L$69),0)*VLOOKUP(BL$3,Conversions!$B$12:$E$34,4,0)*HLOOKUP($E148,'Equipment Assumptions'!$C$30:$Q$31,2,0),$G148*VLOOKUP($F148,Lists!$C$72:$R$232,COLUMNS(Lists!$C$69:L$69),0)*VLOOKUP(BL$3,Conversions!$B$12:$E$34,4,0)))</f>
        <v>0</v>
      </c>
      <c r="T148" s="333">
        <f>IF($F148="",0,IF($A148="Default",$G148*VLOOKUP($F148,Lists!$C$72:$R$232,COLUMNS(Lists!$C$69:M$69),0)*VLOOKUP(BM$3,Conversions!$B$12:$E$34,4,0)*HLOOKUP($E148,'Equipment Assumptions'!$C$30:$Q$31,2,0),$G148*VLOOKUP($F148,Lists!$C$72:$R$232,COLUMNS(Lists!$C$69:M$69),0)*VLOOKUP(BM$3,Conversions!$B$12:$E$34,4,0)))</f>
        <v>0</v>
      </c>
      <c r="U148" s="333">
        <f>IF($F148="",0,IF($A148="Default",$G148*VLOOKUP($F148,Lists!$C$72:$R$232,COLUMNS(Lists!$C$69:N$69),0)*VLOOKUP(BN$3,Conversions!$B$12:$E$34,4,0)*HLOOKUP($E148,'Equipment Assumptions'!$C$30:$Q$31,2,0),$G148*VLOOKUP($F148,Lists!$C$72:$R$232,COLUMNS(Lists!$C$69:N$69),0)*VLOOKUP(BN$3,Conversions!$B$12:$E$34,4,0)))</f>
        <v>0</v>
      </c>
      <c r="V148" s="333">
        <f>IF($F148="",0,IF($A148="Default",$G148*VLOOKUP($F148,Lists!$C$72:$R$232,COLUMNS(Lists!$C$69:O$69),0)*VLOOKUP(BO$3,Conversions!$B$12:$E$34,4,0)*HLOOKUP($E148,'Equipment Assumptions'!$C$30:$Q$31,2,0),$G148*VLOOKUP($F148,Lists!$C$72:$R$232,COLUMNS(Lists!$C$69:O$69),0)*VLOOKUP(BO$3,Conversions!$B$12:$E$34,4,0)))</f>
        <v>0</v>
      </c>
      <c r="W148" s="333">
        <f>IF($F148="",0,IF($A148="Default",$G148*VLOOKUP($F148,Lists!$C$72:$R$232,COLUMNS(Lists!$C$69:P$69),0)*VLOOKUP(BP$3,Conversions!$B$12:$E$34,4,0)*HLOOKUP($E148,'Equipment Assumptions'!$C$30:$Q$31,2,0),$G148*VLOOKUP($F148,Lists!$C$72:$R$232,COLUMNS(Lists!$C$69:P$69),0)*VLOOKUP(BP$3,Conversions!$B$12:$E$34,4,0)))</f>
        <v>0</v>
      </c>
      <c r="X148" s="333">
        <f>IF($F148="",0,IF($A148="Default",$G148*VLOOKUP($F148,Lists!$C$72:$R$232,COLUMNS(Lists!$C$69:Q$69),0)*VLOOKUP(BQ$3,Conversions!$B$12:$E$34,4,0)*HLOOKUP($E148,'Equipment Assumptions'!$C$30:$Q$31,2,0),$G148*VLOOKUP($F148,Lists!$C$72:$R$232,COLUMNS(Lists!$C$69:Q$69),0)*VLOOKUP(BQ$3,Conversions!$B$12:$E$34,4,0)))</f>
        <v>0</v>
      </c>
      <c r="Y148" s="333">
        <f>IF($F148="",0,IF($A148="Default",$G148*VLOOKUP($F148,Lists!$C$72:$R$232,COLUMNS(Lists!$C$69:R$69),0)*VLOOKUP(BR$3,Conversions!$B$12:$E$34,4,0)*HLOOKUP($E148,'Equipment Assumptions'!$C$30:$Q$31,2,0),$G148*VLOOKUP($F148,Lists!$C$72:$R$232,COLUMNS(Lists!$C$69:R$69),0)*VLOOKUP(BR$3,Conversions!$B$12:$E$34,4,0)))</f>
        <v>0</v>
      </c>
      <c r="Z148" s="325">
        <f t="shared" si="161"/>
        <v>0</v>
      </c>
      <c r="AA148" s="334">
        <f>IF($F148="",0,IF($A148="Default",$H148*VLOOKUP($F148,Lists!$C$72:$R$232,COLUMNS(Lists!$C$69:E$69),0)*VLOOKUP(BE$3,Conversions!$B$12:$E$34,4,0)*HLOOKUP($E148,'Equipment Assumptions'!$C$30:$Q$31,2,0),$H148*VLOOKUP($F148,Lists!$C$72:$R$232,COLUMNS(Lists!$C$69:E$69),0)*VLOOKUP(BE$3,Conversions!$B$12:$E$34,4,0)))</f>
        <v>0</v>
      </c>
      <c r="AB148" s="334">
        <f>IF($F148="",0,IF($A148="Default",$H148*VLOOKUP($F148,Lists!$C$72:$R$232,COLUMNS(Lists!$C$69:F$69),0)*VLOOKUP(BF$3,Conversions!$B$12:$E$34,4,0)*HLOOKUP($E148,'Equipment Assumptions'!$C$30:$Q$31,2,0),$H148*VLOOKUP($F148,Lists!$C$72:$R$232,COLUMNS(Lists!$C$69:F$69),0)*VLOOKUP(BF$3,Conversions!$B$12:$E$34,4,0)))</f>
        <v>0</v>
      </c>
      <c r="AC148" s="334">
        <f>IF($F148="",0,IF($A148="Default",$H148*VLOOKUP($F148,Lists!$C$72:$R$232,COLUMNS(Lists!$C$69:G$69),0)*VLOOKUP(BG$3,Conversions!$B$12:$E$34,4,0)*HLOOKUP($E148,'Equipment Assumptions'!$C$30:$Q$31,2,0),$H148*VLOOKUP($F148,Lists!$C$72:$R$232,COLUMNS(Lists!$C$69:G$69),0)*VLOOKUP(BG$3,Conversions!$B$12:$E$34,4,0)))</f>
        <v>0</v>
      </c>
      <c r="AD148" s="334">
        <f>IF($F148="",0,IF($A148="Default",$H148*VLOOKUP($F148,Lists!$C$72:$R$232,COLUMNS(Lists!$C$69:H$69),0)*VLOOKUP(BH$3,Conversions!$B$12:$E$34,4,0)*HLOOKUP($E148,'Equipment Assumptions'!$C$30:$Q$31,2,0),$H148*VLOOKUP($F148,Lists!$C$72:$R$232,COLUMNS(Lists!$C$69:H$69),0)*VLOOKUP(BH$3,Conversions!$B$12:$E$34,4,0)))</f>
        <v>0</v>
      </c>
      <c r="AE148" s="334">
        <f>IF($F148="",0,IF($A148="Default",$H148*VLOOKUP($F148,Lists!$C$72:$R$232,COLUMNS(Lists!$C$69:I$69),0)*VLOOKUP(BI$3,Conversions!$B$12:$E$34,4,0)*HLOOKUP($E148,'Equipment Assumptions'!$C$30:$Q$31,2,0),$H148*VLOOKUP($F148,Lists!$C$72:$R$232,COLUMNS(Lists!$C$69:I$69),0)*VLOOKUP(BI$3,Conversions!$B$12:$E$34,4,0)))</f>
        <v>0</v>
      </c>
      <c r="AF148" s="334">
        <f>IF($F148="",0,IF($A148="Default",$H148*VLOOKUP($F148,Lists!$C$72:$R$232,COLUMNS(Lists!$C$69:J$69),0)*VLOOKUP(BJ$3,Conversions!$B$12:$E$34,4,0)*HLOOKUP($E148,'Equipment Assumptions'!$C$30:$Q$31,2,0),$H148*VLOOKUP($F148,Lists!$C$72:$R$232,COLUMNS(Lists!$C$69:J$69),0)*VLOOKUP(BJ$3,Conversions!$B$12:$E$34,4,0)))</f>
        <v>0</v>
      </c>
      <c r="AG148" s="334">
        <f>IF($F148="",0,IF($A148="Default",$H148*VLOOKUP($F148,Lists!$C$72:$R$232,COLUMNS(Lists!$C$69:K$69),0)*VLOOKUP(BK$3,Conversions!$B$12:$E$34,4,0)*HLOOKUP($E148,'Equipment Assumptions'!$C$30:$Q$31,2,0),$H148*VLOOKUP($F148,Lists!$C$72:$R$232,COLUMNS(Lists!$C$69:K$69),0)*VLOOKUP(BK$3,Conversions!$B$12:$E$34,4,0)))</f>
        <v>0</v>
      </c>
      <c r="AH148" s="334">
        <f>IF($F148="",0,IF($A148="Default",$H148*VLOOKUP($F148,Lists!$C$72:$R$232,COLUMNS(Lists!$C$69:L$69),0)*VLOOKUP(BL$3,Conversions!$B$12:$E$34,4,0)*HLOOKUP($E148,'Equipment Assumptions'!$C$30:$Q$31,2,0),$H148*VLOOKUP($F148,Lists!$C$72:$R$232,COLUMNS(Lists!$C$69:L$69),0)*VLOOKUP(BL$3,Conversions!$B$12:$E$34,4,0)))</f>
        <v>0</v>
      </c>
      <c r="AI148" s="334">
        <f>IF($F148="",0,IF($A148="Default",$H148*VLOOKUP($F148,Lists!$C$72:$R$232,COLUMNS(Lists!$C$69:M$69),0)*VLOOKUP(BM$3,Conversions!$B$12:$E$34,4,0)*HLOOKUP($E148,'Equipment Assumptions'!$C$30:$Q$31,2,0),$H148*VLOOKUP($F148,Lists!$C$72:$R$232,COLUMNS(Lists!$C$69:M$69),0)*VLOOKUP(BM$3,Conversions!$B$12:$E$34,4,0)))</f>
        <v>0</v>
      </c>
      <c r="AJ148" s="334">
        <f>IF($F148="",0,IF($A148="Default",$H148*VLOOKUP($F148,Lists!$C$72:$R$232,COLUMNS(Lists!$C$69:N$69),0)*VLOOKUP(BN$3,Conversions!$B$12:$E$34,4,0)*HLOOKUP($E148,'Equipment Assumptions'!$C$30:$Q$31,2,0),$H148*VLOOKUP($F148,Lists!$C$72:$R$232,COLUMNS(Lists!$C$69:N$69),0)*VLOOKUP(BN$3,Conversions!$B$12:$E$34,4,0)))</f>
        <v>0</v>
      </c>
      <c r="AK148" s="334">
        <f>IF($F148="",0,IF($A148="Default",$H148*VLOOKUP($F148,Lists!$C$72:$R$232,COLUMNS(Lists!$C$69:O$69),0)*VLOOKUP(BO$3,Conversions!$B$12:$E$34,4,0)*HLOOKUP($E148,'Equipment Assumptions'!$C$30:$Q$31,2,0),$H148*VLOOKUP($F148,Lists!$C$72:$R$232,COLUMNS(Lists!$C$69:O$69),0)*VLOOKUP(BO$3,Conversions!$B$12:$E$34,4,0)))</f>
        <v>0</v>
      </c>
      <c r="AL148" s="334">
        <f>IF($F148="",0,IF($A148="Default",$H148*VLOOKUP($F148,Lists!$C$72:$R$232,COLUMNS(Lists!$C$69:P$69),0)*VLOOKUP(BP$3,Conversions!$B$12:$E$34,4,0)*HLOOKUP($E148,'Equipment Assumptions'!$C$30:$Q$31,2,0),$H148*VLOOKUP($F148,Lists!$C$72:$R$232,COLUMNS(Lists!$C$69:P$69),0)*VLOOKUP(BP$3,Conversions!$B$12:$E$34,4,0)))</f>
        <v>0</v>
      </c>
      <c r="AM148" s="334">
        <f>IF($F148="",0,IF($A148="Default",$H148*VLOOKUP($F148,Lists!$C$72:$R$232,COLUMNS(Lists!$C$69:Q$69),0)*VLOOKUP(BQ$3,Conversions!$B$12:$E$34,4,0)*HLOOKUP($E148,'Equipment Assumptions'!$C$30:$Q$31,2,0),$H148*VLOOKUP($F148,Lists!$C$72:$R$232,COLUMNS(Lists!$C$69:Q$69),0)*VLOOKUP(BQ$3,Conversions!$B$12:$E$34,4,0)))</f>
        <v>0</v>
      </c>
      <c r="AN148" s="334">
        <f>IF($F148="",0,IF($A148="Default",$H148*VLOOKUP($F148,Lists!$C$72:$R$232,COLUMNS(Lists!$C$69:R$69),0)*VLOOKUP(BR$3,Conversions!$B$12:$E$34,4,0)*HLOOKUP($E148,'Equipment Assumptions'!$C$30:$Q$31,2,0),$H148*VLOOKUP($F148,Lists!$C$72:$R$232,COLUMNS(Lists!$C$69:R$69),0)*VLOOKUP(BR$3,Conversions!$B$12:$E$34,4,0)))</f>
        <v>0</v>
      </c>
      <c r="AO148" s="330">
        <f t="shared" si="162"/>
        <v>0</v>
      </c>
      <c r="AP148" s="333">
        <f>IF($F148="",0,IF($A148="Default",$I148*VLOOKUP($F148,Lists!$C$72:$R$232,COLUMNS(Lists!$C$69:E$69),0)*VLOOKUP(BE$3,Conversions!$B$12:$E$34,4,0)*HLOOKUP($E148,'Equipment Assumptions'!$C$30:$Q$31,2,0),$I148*VLOOKUP($F148,Lists!$C$72:$R$232,COLUMNS(Lists!$C$69:E$69),0)*VLOOKUP(BE$3,Conversions!$B$12:$E$34,4,0)))</f>
        <v>0</v>
      </c>
      <c r="AQ148" s="333">
        <f>IF($F148="",0,IF($A148="Default",$I148*VLOOKUP($F148,Lists!$C$72:$R$232,COLUMNS(Lists!$C$69:F$69),0)*VLOOKUP(BF$3,Conversions!$B$12:$E$34,4,0)*HLOOKUP($E148,'Equipment Assumptions'!$C$30:$Q$31,2,0),$I148*VLOOKUP($F148,Lists!$C$72:$R$232,COLUMNS(Lists!$C$69:F$69),0)*VLOOKUP(BF$3,Conversions!$B$12:$E$34,4,0)))</f>
        <v>0</v>
      </c>
      <c r="AR148" s="333">
        <f>IF($F148="",0,IF($A148="Default",$I148*VLOOKUP($F148,Lists!$C$72:$R$232,COLUMNS(Lists!$C$69:G$69),0)*VLOOKUP(BG$3,Conversions!$B$12:$E$34,4,0)*HLOOKUP($E148,'Equipment Assumptions'!$C$30:$Q$31,2,0),$I148*VLOOKUP($F148,Lists!$C$72:$R$232,COLUMNS(Lists!$C$69:G$69),0)*VLOOKUP(BG$3,Conversions!$B$12:$E$34,4,0)))</f>
        <v>0</v>
      </c>
      <c r="AS148" s="333">
        <f>IF($F148="",0,IF($A148="Default",$I148*VLOOKUP($F148,Lists!$C$72:$R$232,COLUMNS(Lists!$C$69:H$69),0)*VLOOKUP(BH$3,Conversions!$B$12:$E$34,4,0)*HLOOKUP($E148,'Equipment Assumptions'!$C$30:$Q$31,2,0),$I148*VLOOKUP($F148,Lists!$C$72:$R$232,COLUMNS(Lists!$C$69:H$69),0)*VLOOKUP(BH$3,Conversions!$B$12:$E$34,4,0)))</f>
        <v>0</v>
      </c>
      <c r="AT148" s="333">
        <f>IF($F148="",0,IF($A148="Default",$I148*VLOOKUP($F148,Lists!$C$72:$R$232,COLUMNS(Lists!$C$69:I$69),0)*VLOOKUP(BI$3,Conversions!$B$12:$E$34,4,0)*HLOOKUP($E148,'Equipment Assumptions'!$C$30:$Q$31,2,0),$I148*VLOOKUP($F148,Lists!$C$72:$R$232,COLUMNS(Lists!$C$69:I$69),0)*VLOOKUP(BI$3,Conversions!$B$12:$E$34,4,0)))</f>
        <v>0</v>
      </c>
      <c r="AU148" s="333">
        <f>IF($F148="",0,IF($A148="Default",$I148*VLOOKUP($F148,Lists!$C$72:$R$232,COLUMNS(Lists!$C$69:J$69),0)*VLOOKUP(BJ$3,Conversions!$B$12:$E$34,4,0)*HLOOKUP($E148,'Equipment Assumptions'!$C$30:$Q$31,2,0),$I148*VLOOKUP($F148,Lists!$C$72:$R$232,COLUMNS(Lists!$C$69:J$69),0)*VLOOKUP(BJ$3,Conversions!$B$12:$E$34,4,0)))</f>
        <v>0</v>
      </c>
      <c r="AV148" s="333">
        <f>IF($F148="",0,IF($A148="Default",$I148*VLOOKUP($F148,Lists!$C$72:$R$232,COLUMNS(Lists!$C$69:K$69),0)*VLOOKUP(BK$3,Conversions!$B$12:$E$34,4,0)*HLOOKUP($E148,'Equipment Assumptions'!$C$30:$Q$31,2,0),$I148*VLOOKUP($F148,Lists!$C$72:$R$232,COLUMNS(Lists!$C$69:K$69),0)*VLOOKUP(BK$3,Conversions!$B$12:$E$34,4,0)))</f>
        <v>0</v>
      </c>
      <c r="AW148" s="333">
        <f>IF($F148="",0,IF($A148="Default",$I148*VLOOKUP($F148,Lists!$C$72:$R$232,COLUMNS(Lists!$C$69:L$69),0)*VLOOKUP(BL$3,Conversions!$B$12:$E$34,4,0)*HLOOKUP($E148,'Equipment Assumptions'!$C$30:$Q$31,2,0),$I148*VLOOKUP($F148,Lists!$C$72:$R$232,COLUMNS(Lists!$C$69:L$69),0)*VLOOKUP(BL$3,Conversions!$B$12:$E$34,4,0)))</f>
        <v>0</v>
      </c>
      <c r="AX148" s="333">
        <f>IF($F148="",0,IF($A148="Default",$I148*VLOOKUP($F148,Lists!$C$72:$R$232,COLUMNS(Lists!$C$69:M$69),0)*VLOOKUP(BM$3,Conversions!$B$12:$E$34,4,0)*HLOOKUP($E148,'Equipment Assumptions'!$C$30:$Q$31,2,0),$I148*VLOOKUP($F148,Lists!$C$72:$R$232,COLUMNS(Lists!$C$69:M$69),0)*VLOOKUP(BM$3,Conversions!$B$12:$E$34,4,0)))</f>
        <v>0</v>
      </c>
      <c r="AY148" s="333">
        <f>IF($F148="",0,IF($A148="Default",$I148*VLOOKUP($F148,Lists!$C$72:$R$232,COLUMNS(Lists!$C$69:N$69),0)*VLOOKUP(BN$3,Conversions!$B$12:$E$34,4,0)*HLOOKUP($E148,'Equipment Assumptions'!$C$30:$Q$31,2,0),$I148*VLOOKUP($F148,Lists!$C$72:$R$232,COLUMNS(Lists!$C$69:N$69),0)*VLOOKUP(BN$3,Conversions!$B$12:$E$34,4,0)))</f>
        <v>0</v>
      </c>
      <c r="AZ148" s="333">
        <f>IF($F148="",0,IF($A148="Default",$I148*VLOOKUP($F148,Lists!$C$72:$R$232,COLUMNS(Lists!$C$69:O$69),0)*VLOOKUP(BO$3,Conversions!$B$12:$E$34,4,0)*HLOOKUP($E148,'Equipment Assumptions'!$C$30:$Q$31,2,0),$I148*VLOOKUP($F148,Lists!$C$72:$R$232,COLUMNS(Lists!$C$69:O$69),0)*VLOOKUP(BO$3,Conversions!$B$12:$E$34,4,0)))</f>
        <v>0</v>
      </c>
      <c r="BA148" s="333">
        <f>IF($F148="",0,IF($A148="Default",$I148*VLOOKUP($F148,Lists!$C$72:$R$232,COLUMNS(Lists!$C$69:P$69),0)*VLOOKUP(BP$3,Conversions!$B$12:$E$34,4,0)*HLOOKUP($E148,'Equipment Assumptions'!$C$30:$Q$31,2,0),$I148*VLOOKUP($F148,Lists!$C$72:$R$232,COLUMNS(Lists!$C$69:P$69),0)*VLOOKUP(BP$3,Conversions!$B$12:$E$34,4,0)))</f>
        <v>0</v>
      </c>
      <c r="BB148" s="333">
        <f>IF($F148="",0,IF($A148="Default",$I148*VLOOKUP($F148,Lists!$C$72:$R$232,COLUMNS(Lists!$C$69:Q$69),0)*VLOOKUP(BQ$3,Conversions!$B$12:$E$34,4,0)*HLOOKUP($E148,'Equipment Assumptions'!$C$30:$Q$31,2,0),$I148*VLOOKUP($F148,Lists!$C$72:$R$232,COLUMNS(Lists!$C$69:Q$69),0)*VLOOKUP(BQ$3,Conversions!$B$12:$E$34,4,0)))</f>
        <v>0</v>
      </c>
      <c r="BC148" s="333">
        <f>IF($F148="",0,IF($A148="Default",$I148*VLOOKUP($F148,Lists!$C$72:$R$232,COLUMNS(Lists!$C$69:R$69),0)*VLOOKUP(BR$3,Conversions!$B$12:$E$34,4,0)*HLOOKUP($E148,'Equipment Assumptions'!$C$30:$Q$31,2,0),$I148*VLOOKUP($F148,Lists!$C$72:$R$232,COLUMNS(Lists!$C$69:R$69),0)*VLOOKUP(BR$3,Conversions!$B$12:$E$34,4,0)))</f>
        <v>0</v>
      </c>
      <c r="BD148" s="333">
        <f t="shared" si="163"/>
        <v>0</v>
      </c>
      <c r="BE148" s="330">
        <f t="shared" si="164"/>
        <v>0</v>
      </c>
      <c r="BF148" s="330">
        <f t="shared" si="165"/>
        <v>0</v>
      </c>
      <c r="BG148" s="330">
        <f t="shared" si="166"/>
        <v>0</v>
      </c>
      <c r="BH148" s="330">
        <f t="shared" si="167"/>
        <v>0</v>
      </c>
      <c r="BI148" s="330">
        <f t="shared" si="168"/>
        <v>0</v>
      </c>
      <c r="BJ148" s="330">
        <f t="shared" si="169"/>
        <v>0</v>
      </c>
      <c r="BK148" s="330">
        <f t="shared" si="170"/>
        <v>0</v>
      </c>
      <c r="BL148" s="330">
        <f t="shared" si="171"/>
        <v>0</v>
      </c>
      <c r="BM148" s="330">
        <f t="shared" si="172"/>
        <v>0</v>
      </c>
      <c r="BN148" s="330">
        <f t="shared" si="173"/>
        <v>0</v>
      </c>
      <c r="BO148" s="330">
        <f t="shared" si="174"/>
        <v>0</v>
      </c>
      <c r="BP148" s="330">
        <f t="shared" si="175"/>
        <v>0</v>
      </c>
      <c r="BQ148" s="330">
        <f t="shared" si="176"/>
        <v>0</v>
      </c>
      <c r="BR148" s="330">
        <f t="shared" si="177"/>
        <v>0</v>
      </c>
      <c r="BS148" s="330">
        <f t="shared" si="178"/>
        <v>0</v>
      </c>
      <c r="BT148" s="329">
        <f t="shared" si="194"/>
        <v>0</v>
      </c>
      <c r="BU148" s="329">
        <f t="shared" si="194"/>
        <v>0</v>
      </c>
      <c r="BV148" s="329">
        <f t="shared" si="194"/>
        <v>0</v>
      </c>
      <c r="BW148" s="329">
        <f t="shared" si="194"/>
        <v>0</v>
      </c>
      <c r="BX148" s="329">
        <f t="shared" si="194"/>
        <v>0</v>
      </c>
      <c r="BY148" s="329">
        <f t="shared" si="194"/>
        <v>0</v>
      </c>
      <c r="BZ148" s="329">
        <f t="shared" si="194"/>
        <v>0</v>
      </c>
      <c r="CA148" s="329">
        <f t="shared" si="194"/>
        <v>0</v>
      </c>
      <c r="CB148" s="329">
        <f t="shared" si="194"/>
        <v>0</v>
      </c>
      <c r="CC148" s="329">
        <f t="shared" si="194"/>
        <v>0</v>
      </c>
      <c r="CD148" s="329">
        <f t="shared" si="194"/>
        <v>0</v>
      </c>
      <c r="CE148" s="329">
        <f t="shared" si="194"/>
        <v>0</v>
      </c>
      <c r="CF148" s="329">
        <f t="shared" si="194"/>
        <v>0</v>
      </c>
      <c r="CG148" s="329">
        <f t="shared" si="194"/>
        <v>0</v>
      </c>
      <c r="CH148" s="329">
        <f t="shared" si="194"/>
        <v>0</v>
      </c>
      <c r="CI148" s="329">
        <f t="shared" si="194"/>
        <v>0</v>
      </c>
      <c r="CJ148" s="331">
        <f t="shared" si="179"/>
        <v>0</v>
      </c>
      <c r="CK148" s="330">
        <f t="shared" si="180"/>
        <v>0</v>
      </c>
      <c r="CL148" s="330">
        <f t="shared" si="181"/>
        <v>0</v>
      </c>
      <c r="CM148" s="330">
        <f t="shared" si="182"/>
        <v>0</v>
      </c>
      <c r="CN148" s="330">
        <f t="shared" si="183"/>
        <v>0</v>
      </c>
      <c r="CO148" s="330">
        <f t="shared" si="184"/>
        <v>0</v>
      </c>
      <c r="CP148" s="330">
        <f t="shared" si="185"/>
        <v>0</v>
      </c>
      <c r="CQ148" s="330">
        <f t="shared" si="186"/>
        <v>0</v>
      </c>
      <c r="CR148" s="330">
        <f t="shared" si="187"/>
        <v>0</v>
      </c>
      <c r="CS148" s="330">
        <f t="shared" si="188"/>
        <v>0</v>
      </c>
      <c r="CT148" s="330">
        <f t="shared" si="189"/>
        <v>0</v>
      </c>
      <c r="CU148" s="330">
        <f t="shared" si="195"/>
        <v>0</v>
      </c>
      <c r="CV148" s="330">
        <f t="shared" si="195"/>
        <v>0</v>
      </c>
      <c r="CW148" s="330">
        <f t="shared" si="195"/>
        <v>0</v>
      </c>
      <c r="CX148" s="330">
        <f t="shared" si="195"/>
        <v>0</v>
      </c>
      <c r="CY148" s="330">
        <f t="shared" si="195"/>
        <v>0</v>
      </c>
      <c r="CZ148" s="330">
        <f t="shared" si="195"/>
        <v>0</v>
      </c>
      <c r="DA148" s="330">
        <f t="shared" si="195"/>
        <v>0</v>
      </c>
      <c r="DB148" s="330">
        <f t="shared" si="195"/>
        <v>0</v>
      </c>
      <c r="DC148" s="330">
        <f t="shared" si="195"/>
        <v>0</v>
      </c>
      <c r="DD148" s="330">
        <f t="shared" si="195"/>
        <v>0</v>
      </c>
      <c r="DE148" s="330">
        <f t="shared" si="196"/>
        <v>0</v>
      </c>
      <c r="DF148" s="330">
        <f t="shared" si="196"/>
        <v>0</v>
      </c>
      <c r="DG148" s="330">
        <f t="shared" si="196"/>
        <v>0</v>
      </c>
      <c r="DH148" s="330">
        <f t="shared" si="196"/>
        <v>0</v>
      </c>
      <c r="DI148" s="330">
        <f t="shared" si="196"/>
        <v>0</v>
      </c>
      <c r="DJ148" s="330">
        <f t="shared" si="196"/>
        <v>0</v>
      </c>
      <c r="DK148" s="330">
        <f t="shared" si="196"/>
        <v>0</v>
      </c>
      <c r="DL148" s="330">
        <f t="shared" si="196"/>
        <v>0</v>
      </c>
      <c r="DM148" s="330">
        <f t="shared" si="196"/>
        <v>0</v>
      </c>
      <c r="DN148" s="330">
        <f t="shared" si="196"/>
        <v>0</v>
      </c>
      <c r="DO148" s="330">
        <f t="shared" si="196"/>
        <v>0</v>
      </c>
      <c r="DP148" s="330">
        <f t="shared" si="190"/>
        <v>0</v>
      </c>
      <c r="DQ148" s="217"/>
      <c r="DR148" s="217"/>
      <c r="DS148" s="217"/>
      <c r="DT148" s="217"/>
    </row>
    <row r="149" spans="1:124" x14ac:dyDescent="0.3">
      <c r="A149" s="332" t="str">
        <f>IF(AND(F149&lt;&gt;"",OR('Simplified Screening 1'!G40=0,'Simplified Screening 1'!G40="I Don't Know")),"Default","")</f>
        <v/>
      </c>
      <c r="B149" s="221" t="s">
        <v>306</v>
      </c>
      <c r="C149" s="221" t="str">
        <f>IF('Simplified Screening 1'!C40=0,"",'Simplified Screening 1'!C40)</f>
        <v/>
      </c>
      <c r="D149" s="221" t="str">
        <f>IF('Simplified Screening 1'!D40=0,"",'Simplified Screening 1'!D40)</f>
        <v/>
      </c>
      <c r="E149" s="221" t="str">
        <f>IF('Simplified Screening 1'!E40=0,"",'Simplified Screening 1'!E40)</f>
        <v/>
      </c>
      <c r="F149" s="221" t="str">
        <f>'Simplified Screening 1'!R40</f>
        <v/>
      </c>
      <c r="G149" s="272">
        <f>'Simplified Screening 1'!H40*'Simplified Screening 1'!L40*Conversions!$C$4</f>
        <v>0</v>
      </c>
      <c r="H149" s="272">
        <f>'Simplified Screening 1'!I40*'Simplified Screening 1'!M40*'Simplified Screening 1'!J40*Conversions!$C$4</f>
        <v>0</v>
      </c>
      <c r="I149" s="272">
        <f>'Simplified Screening 1'!K40*'Simplified Screening 1'!N40*(1-'Simplified Screening 1'!O40)*Conversions!$C$4</f>
        <v>0</v>
      </c>
      <c r="J149" s="325">
        <f>IF('Simplified Screening 1'!P40=0,0,'Simplified Screening 1'!P40)</f>
        <v>0</v>
      </c>
      <c r="K149" s="325">
        <f>IF(AND(OR('Simplified Screening 1'!G40=0,'Simplified Screening 1'!G40="I Don't Know"),F149&lt;&gt;""),J149*HLOOKUP(E149,'Equipment Assumptions'!$C$30:$Q$31,2,0),IF(F149="Non-HFC",0,J149))</f>
        <v>0</v>
      </c>
      <c r="L149" s="333">
        <f>IF($F149="",0,IF($A149="Default",$G149*VLOOKUP($F149,Lists!$C$72:$R$232,COLUMNS(Lists!$C$69:E$69),0)*VLOOKUP(BE$3,Conversions!$B$12:$E$34,4,0)*HLOOKUP($E149,'Equipment Assumptions'!$C$30:$Q$31,2,0),$G149*VLOOKUP($F149,Lists!$C$72:$R$232,COLUMNS(Lists!$C$69:E$69),0)*VLOOKUP(BE$3,Conversions!$B$12:$E$34,4,0)))</f>
        <v>0</v>
      </c>
      <c r="M149" s="333">
        <f>IF($F149="",0,IF($A149="Default",$G149*VLOOKUP($F149,Lists!$C$72:$R$232,COLUMNS(Lists!$C$69:F$69),0)*VLOOKUP(BF$3,Conversions!$B$12:$E$34,4,0)*HLOOKUP($E149,'Equipment Assumptions'!$C$30:$Q$31,2,0),$G149*VLOOKUP($F149,Lists!$C$72:$R$232,COLUMNS(Lists!$C$69:F$69),0)*VLOOKUP(BF$3,Conversions!$B$12:$E$34,4,0)))</f>
        <v>0</v>
      </c>
      <c r="N149" s="333">
        <f>IF($F149="",0,IF($A149="Default",$G149*VLOOKUP($F149,Lists!$C$72:$R$232,COLUMNS(Lists!$C$69:G$69),0)*VLOOKUP(BG$3,Conversions!$B$12:$E$34,4,0)*HLOOKUP($E149,'Equipment Assumptions'!$C$30:$Q$31,2,0),$G149*VLOOKUP($F149,Lists!$C$72:$R$232,COLUMNS(Lists!$C$69:G$69),0)*VLOOKUP(BG$3,Conversions!$B$12:$E$34,4,0)))</f>
        <v>0</v>
      </c>
      <c r="O149" s="333">
        <f>IF($F149="",0,IF($A149="Default",$G149*VLOOKUP($F149,Lists!$C$72:$R$232,COLUMNS(Lists!$C$69:H$69),0)*VLOOKUP(BH$3,Conversions!$B$12:$E$34,4,0)*HLOOKUP($E149,'Equipment Assumptions'!$C$30:$Q$31,2,0),$G149*VLOOKUP($F149,Lists!$C$72:$R$232,COLUMNS(Lists!$C$69:H$69),0)*VLOOKUP(BH$3,Conversions!$B$12:$E$34,4,0)))</f>
        <v>0</v>
      </c>
      <c r="P149" s="333">
        <f>IF($F149="",0,IF($A149="Default",$G149*VLOOKUP($F149,Lists!$C$72:$R$232,COLUMNS(Lists!$C$69:I$69),0)*VLOOKUP(BI$3,Conversions!$B$12:$E$34,4,0)*HLOOKUP($E149,'Equipment Assumptions'!$C$30:$Q$31,2,0),$G149*VLOOKUP($F149,Lists!$C$72:$R$232,COLUMNS(Lists!$C$69:I$69),0)*VLOOKUP(BI$3,Conversions!$B$12:$E$34,4,0)))</f>
        <v>0</v>
      </c>
      <c r="Q149" s="333">
        <f>IF($F149="",0,IF($A149="Default",$G149*VLOOKUP($F149,Lists!$C$72:$R$232,COLUMNS(Lists!$C$69:J$69),0)*VLOOKUP(BJ$3,Conversions!$B$12:$E$34,4,0)*HLOOKUP($E149,'Equipment Assumptions'!$C$30:$Q$31,2,0),$G149*VLOOKUP($F149,Lists!$C$72:$R$232,COLUMNS(Lists!$C$69:J$69),0)*VLOOKUP(BJ$3,Conversions!$B$12:$E$34,4,0)))</f>
        <v>0</v>
      </c>
      <c r="R149" s="333">
        <f>IF($F149="",0,IF($A149="Default",$G149*VLOOKUP($F149,Lists!$C$72:$R$232,COLUMNS(Lists!$C$69:K$69),0)*VLOOKUP(BK$3,Conversions!$B$12:$E$34,4,0)*HLOOKUP($E149,'Equipment Assumptions'!$C$30:$Q$31,2,0),$G149*VLOOKUP($F149,Lists!$C$72:$R$232,COLUMNS(Lists!$C$69:K$69),0)*VLOOKUP(BK$3,Conversions!$B$12:$E$34,4,0)))</f>
        <v>0</v>
      </c>
      <c r="S149" s="333">
        <f>IF($F149="",0,IF($A149="Default",$G149*VLOOKUP($F149,Lists!$C$72:$R$232,COLUMNS(Lists!$C$69:L$69),0)*VLOOKUP(BL$3,Conversions!$B$12:$E$34,4,0)*HLOOKUP($E149,'Equipment Assumptions'!$C$30:$Q$31,2,0),$G149*VLOOKUP($F149,Lists!$C$72:$R$232,COLUMNS(Lists!$C$69:L$69),0)*VLOOKUP(BL$3,Conversions!$B$12:$E$34,4,0)))</f>
        <v>0</v>
      </c>
      <c r="T149" s="333">
        <f>IF($F149="",0,IF($A149="Default",$G149*VLOOKUP($F149,Lists!$C$72:$R$232,COLUMNS(Lists!$C$69:M$69),0)*VLOOKUP(BM$3,Conversions!$B$12:$E$34,4,0)*HLOOKUP($E149,'Equipment Assumptions'!$C$30:$Q$31,2,0),$G149*VLOOKUP($F149,Lists!$C$72:$R$232,COLUMNS(Lists!$C$69:M$69),0)*VLOOKUP(BM$3,Conversions!$B$12:$E$34,4,0)))</f>
        <v>0</v>
      </c>
      <c r="U149" s="333">
        <f>IF($F149="",0,IF($A149="Default",$G149*VLOOKUP($F149,Lists!$C$72:$R$232,COLUMNS(Lists!$C$69:N$69),0)*VLOOKUP(BN$3,Conversions!$B$12:$E$34,4,0)*HLOOKUP($E149,'Equipment Assumptions'!$C$30:$Q$31,2,0),$G149*VLOOKUP($F149,Lists!$C$72:$R$232,COLUMNS(Lists!$C$69:N$69),0)*VLOOKUP(BN$3,Conversions!$B$12:$E$34,4,0)))</f>
        <v>0</v>
      </c>
      <c r="V149" s="333">
        <f>IF($F149="",0,IF($A149="Default",$G149*VLOOKUP($F149,Lists!$C$72:$R$232,COLUMNS(Lists!$C$69:O$69),0)*VLOOKUP(BO$3,Conversions!$B$12:$E$34,4,0)*HLOOKUP($E149,'Equipment Assumptions'!$C$30:$Q$31,2,0),$G149*VLOOKUP($F149,Lists!$C$72:$R$232,COLUMNS(Lists!$C$69:O$69),0)*VLOOKUP(BO$3,Conversions!$B$12:$E$34,4,0)))</f>
        <v>0</v>
      </c>
      <c r="W149" s="333">
        <f>IF($F149="",0,IF($A149="Default",$G149*VLOOKUP($F149,Lists!$C$72:$R$232,COLUMNS(Lists!$C$69:P$69),0)*VLOOKUP(BP$3,Conversions!$B$12:$E$34,4,0)*HLOOKUP($E149,'Equipment Assumptions'!$C$30:$Q$31,2,0),$G149*VLOOKUP($F149,Lists!$C$72:$R$232,COLUMNS(Lists!$C$69:P$69),0)*VLOOKUP(BP$3,Conversions!$B$12:$E$34,4,0)))</f>
        <v>0</v>
      </c>
      <c r="X149" s="333">
        <f>IF($F149="",0,IF($A149="Default",$G149*VLOOKUP($F149,Lists!$C$72:$R$232,COLUMNS(Lists!$C$69:Q$69),0)*VLOOKUP(BQ$3,Conversions!$B$12:$E$34,4,0)*HLOOKUP($E149,'Equipment Assumptions'!$C$30:$Q$31,2,0),$G149*VLOOKUP($F149,Lists!$C$72:$R$232,COLUMNS(Lists!$C$69:Q$69),0)*VLOOKUP(BQ$3,Conversions!$B$12:$E$34,4,0)))</f>
        <v>0</v>
      </c>
      <c r="Y149" s="333">
        <f>IF($F149="",0,IF($A149="Default",$G149*VLOOKUP($F149,Lists!$C$72:$R$232,COLUMNS(Lists!$C$69:R$69),0)*VLOOKUP(BR$3,Conversions!$B$12:$E$34,4,0)*HLOOKUP($E149,'Equipment Assumptions'!$C$30:$Q$31,2,0),$G149*VLOOKUP($F149,Lists!$C$72:$R$232,COLUMNS(Lists!$C$69:R$69),0)*VLOOKUP(BR$3,Conversions!$B$12:$E$34,4,0)))</f>
        <v>0</v>
      </c>
      <c r="Z149" s="325">
        <f t="shared" si="161"/>
        <v>0</v>
      </c>
      <c r="AA149" s="334">
        <f>IF($F149="",0,IF($A149="Default",$H149*VLOOKUP($F149,Lists!$C$72:$R$232,COLUMNS(Lists!$C$69:E$69),0)*VLOOKUP(BE$3,Conversions!$B$12:$E$34,4,0)*HLOOKUP($E149,'Equipment Assumptions'!$C$30:$Q$31,2,0),$H149*VLOOKUP($F149,Lists!$C$72:$R$232,COLUMNS(Lists!$C$69:E$69),0)*VLOOKUP(BE$3,Conversions!$B$12:$E$34,4,0)))</f>
        <v>0</v>
      </c>
      <c r="AB149" s="334">
        <f>IF($F149="",0,IF($A149="Default",$H149*VLOOKUP($F149,Lists!$C$72:$R$232,COLUMNS(Lists!$C$69:F$69),0)*VLOOKUP(BF$3,Conversions!$B$12:$E$34,4,0)*HLOOKUP($E149,'Equipment Assumptions'!$C$30:$Q$31,2,0),$H149*VLOOKUP($F149,Lists!$C$72:$R$232,COLUMNS(Lists!$C$69:F$69),0)*VLOOKUP(BF$3,Conversions!$B$12:$E$34,4,0)))</f>
        <v>0</v>
      </c>
      <c r="AC149" s="334">
        <f>IF($F149="",0,IF($A149="Default",$H149*VLOOKUP($F149,Lists!$C$72:$R$232,COLUMNS(Lists!$C$69:G$69),0)*VLOOKUP(BG$3,Conversions!$B$12:$E$34,4,0)*HLOOKUP($E149,'Equipment Assumptions'!$C$30:$Q$31,2,0),$H149*VLOOKUP($F149,Lists!$C$72:$R$232,COLUMNS(Lists!$C$69:G$69),0)*VLOOKUP(BG$3,Conversions!$B$12:$E$34,4,0)))</f>
        <v>0</v>
      </c>
      <c r="AD149" s="334">
        <f>IF($F149="",0,IF($A149="Default",$H149*VLOOKUP($F149,Lists!$C$72:$R$232,COLUMNS(Lists!$C$69:H$69),0)*VLOOKUP(BH$3,Conversions!$B$12:$E$34,4,0)*HLOOKUP($E149,'Equipment Assumptions'!$C$30:$Q$31,2,0),$H149*VLOOKUP($F149,Lists!$C$72:$R$232,COLUMNS(Lists!$C$69:H$69),0)*VLOOKUP(BH$3,Conversions!$B$12:$E$34,4,0)))</f>
        <v>0</v>
      </c>
      <c r="AE149" s="334">
        <f>IF($F149="",0,IF($A149="Default",$H149*VLOOKUP($F149,Lists!$C$72:$R$232,COLUMNS(Lists!$C$69:I$69),0)*VLOOKUP(BI$3,Conversions!$B$12:$E$34,4,0)*HLOOKUP($E149,'Equipment Assumptions'!$C$30:$Q$31,2,0),$H149*VLOOKUP($F149,Lists!$C$72:$R$232,COLUMNS(Lists!$C$69:I$69),0)*VLOOKUP(BI$3,Conversions!$B$12:$E$34,4,0)))</f>
        <v>0</v>
      </c>
      <c r="AF149" s="334">
        <f>IF($F149="",0,IF($A149="Default",$H149*VLOOKUP($F149,Lists!$C$72:$R$232,COLUMNS(Lists!$C$69:J$69),0)*VLOOKUP(BJ$3,Conversions!$B$12:$E$34,4,0)*HLOOKUP($E149,'Equipment Assumptions'!$C$30:$Q$31,2,0),$H149*VLOOKUP($F149,Lists!$C$72:$R$232,COLUMNS(Lists!$C$69:J$69),0)*VLOOKUP(BJ$3,Conversions!$B$12:$E$34,4,0)))</f>
        <v>0</v>
      </c>
      <c r="AG149" s="334">
        <f>IF($F149="",0,IF($A149="Default",$H149*VLOOKUP($F149,Lists!$C$72:$R$232,COLUMNS(Lists!$C$69:K$69),0)*VLOOKUP(BK$3,Conversions!$B$12:$E$34,4,0)*HLOOKUP($E149,'Equipment Assumptions'!$C$30:$Q$31,2,0),$H149*VLOOKUP($F149,Lists!$C$72:$R$232,COLUMNS(Lists!$C$69:K$69),0)*VLOOKUP(BK$3,Conversions!$B$12:$E$34,4,0)))</f>
        <v>0</v>
      </c>
      <c r="AH149" s="334">
        <f>IF($F149="",0,IF($A149="Default",$H149*VLOOKUP($F149,Lists!$C$72:$R$232,COLUMNS(Lists!$C$69:L$69),0)*VLOOKUP(BL$3,Conversions!$B$12:$E$34,4,0)*HLOOKUP($E149,'Equipment Assumptions'!$C$30:$Q$31,2,0),$H149*VLOOKUP($F149,Lists!$C$72:$R$232,COLUMNS(Lists!$C$69:L$69),0)*VLOOKUP(BL$3,Conversions!$B$12:$E$34,4,0)))</f>
        <v>0</v>
      </c>
      <c r="AI149" s="334">
        <f>IF($F149="",0,IF($A149="Default",$H149*VLOOKUP($F149,Lists!$C$72:$R$232,COLUMNS(Lists!$C$69:M$69),0)*VLOOKUP(BM$3,Conversions!$B$12:$E$34,4,0)*HLOOKUP($E149,'Equipment Assumptions'!$C$30:$Q$31,2,0),$H149*VLOOKUP($F149,Lists!$C$72:$R$232,COLUMNS(Lists!$C$69:M$69),0)*VLOOKUP(BM$3,Conversions!$B$12:$E$34,4,0)))</f>
        <v>0</v>
      </c>
      <c r="AJ149" s="334">
        <f>IF($F149="",0,IF($A149="Default",$H149*VLOOKUP($F149,Lists!$C$72:$R$232,COLUMNS(Lists!$C$69:N$69),0)*VLOOKUP(BN$3,Conversions!$B$12:$E$34,4,0)*HLOOKUP($E149,'Equipment Assumptions'!$C$30:$Q$31,2,0),$H149*VLOOKUP($F149,Lists!$C$72:$R$232,COLUMNS(Lists!$C$69:N$69),0)*VLOOKUP(BN$3,Conversions!$B$12:$E$34,4,0)))</f>
        <v>0</v>
      </c>
      <c r="AK149" s="334">
        <f>IF($F149="",0,IF($A149="Default",$H149*VLOOKUP($F149,Lists!$C$72:$R$232,COLUMNS(Lists!$C$69:O$69),0)*VLOOKUP(BO$3,Conversions!$B$12:$E$34,4,0)*HLOOKUP($E149,'Equipment Assumptions'!$C$30:$Q$31,2,0),$H149*VLOOKUP($F149,Lists!$C$72:$R$232,COLUMNS(Lists!$C$69:O$69),0)*VLOOKUP(BO$3,Conversions!$B$12:$E$34,4,0)))</f>
        <v>0</v>
      </c>
      <c r="AL149" s="334">
        <f>IF($F149="",0,IF($A149="Default",$H149*VLOOKUP($F149,Lists!$C$72:$R$232,COLUMNS(Lists!$C$69:P$69),0)*VLOOKUP(BP$3,Conversions!$B$12:$E$34,4,0)*HLOOKUP($E149,'Equipment Assumptions'!$C$30:$Q$31,2,0),$H149*VLOOKUP($F149,Lists!$C$72:$R$232,COLUMNS(Lists!$C$69:P$69),0)*VLOOKUP(BP$3,Conversions!$B$12:$E$34,4,0)))</f>
        <v>0</v>
      </c>
      <c r="AM149" s="334">
        <f>IF($F149="",0,IF($A149="Default",$H149*VLOOKUP($F149,Lists!$C$72:$R$232,COLUMNS(Lists!$C$69:Q$69),0)*VLOOKUP(BQ$3,Conversions!$B$12:$E$34,4,0)*HLOOKUP($E149,'Equipment Assumptions'!$C$30:$Q$31,2,0),$H149*VLOOKUP($F149,Lists!$C$72:$R$232,COLUMNS(Lists!$C$69:Q$69),0)*VLOOKUP(BQ$3,Conversions!$B$12:$E$34,4,0)))</f>
        <v>0</v>
      </c>
      <c r="AN149" s="334">
        <f>IF($F149="",0,IF($A149="Default",$H149*VLOOKUP($F149,Lists!$C$72:$R$232,COLUMNS(Lists!$C$69:R$69),0)*VLOOKUP(BR$3,Conversions!$B$12:$E$34,4,0)*HLOOKUP($E149,'Equipment Assumptions'!$C$30:$Q$31,2,0),$H149*VLOOKUP($F149,Lists!$C$72:$R$232,COLUMNS(Lists!$C$69:R$69),0)*VLOOKUP(BR$3,Conversions!$B$12:$E$34,4,0)))</f>
        <v>0</v>
      </c>
      <c r="AO149" s="330">
        <f t="shared" si="162"/>
        <v>0</v>
      </c>
      <c r="AP149" s="333">
        <f>IF($F149="",0,IF($A149="Default",$I149*VLOOKUP($F149,Lists!$C$72:$R$232,COLUMNS(Lists!$C$69:E$69),0)*VLOOKUP(BE$3,Conversions!$B$12:$E$34,4,0)*HLOOKUP($E149,'Equipment Assumptions'!$C$30:$Q$31,2,0),$I149*VLOOKUP($F149,Lists!$C$72:$R$232,COLUMNS(Lists!$C$69:E$69),0)*VLOOKUP(BE$3,Conversions!$B$12:$E$34,4,0)))</f>
        <v>0</v>
      </c>
      <c r="AQ149" s="333">
        <f>IF($F149="",0,IF($A149="Default",$I149*VLOOKUP($F149,Lists!$C$72:$R$232,COLUMNS(Lists!$C$69:F$69),0)*VLOOKUP(BF$3,Conversions!$B$12:$E$34,4,0)*HLOOKUP($E149,'Equipment Assumptions'!$C$30:$Q$31,2,0),$I149*VLOOKUP($F149,Lists!$C$72:$R$232,COLUMNS(Lists!$C$69:F$69),0)*VLOOKUP(BF$3,Conversions!$B$12:$E$34,4,0)))</f>
        <v>0</v>
      </c>
      <c r="AR149" s="333">
        <f>IF($F149="",0,IF($A149="Default",$I149*VLOOKUP($F149,Lists!$C$72:$R$232,COLUMNS(Lists!$C$69:G$69),0)*VLOOKUP(BG$3,Conversions!$B$12:$E$34,4,0)*HLOOKUP($E149,'Equipment Assumptions'!$C$30:$Q$31,2,0),$I149*VLOOKUP($F149,Lists!$C$72:$R$232,COLUMNS(Lists!$C$69:G$69),0)*VLOOKUP(BG$3,Conversions!$B$12:$E$34,4,0)))</f>
        <v>0</v>
      </c>
      <c r="AS149" s="333">
        <f>IF($F149="",0,IF($A149="Default",$I149*VLOOKUP($F149,Lists!$C$72:$R$232,COLUMNS(Lists!$C$69:H$69),0)*VLOOKUP(BH$3,Conversions!$B$12:$E$34,4,0)*HLOOKUP($E149,'Equipment Assumptions'!$C$30:$Q$31,2,0),$I149*VLOOKUP($F149,Lists!$C$72:$R$232,COLUMNS(Lists!$C$69:H$69),0)*VLOOKUP(BH$3,Conversions!$B$12:$E$34,4,0)))</f>
        <v>0</v>
      </c>
      <c r="AT149" s="333">
        <f>IF($F149="",0,IF($A149="Default",$I149*VLOOKUP($F149,Lists!$C$72:$R$232,COLUMNS(Lists!$C$69:I$69),0)*VLOOKUP(BI$3,Conversions!$B$12:$E$34,4,0)*HLOOKUP($E149,'Equipment Assumptions'!$C$30:$Q$31,2,0),$I149*VLOOKUP($F149,Lists!$C$72:$R$232,COLUMNS(Lists!$C$69:I$69),0)*VLOOKUP(BI$3,Conversions!$B$12:$E$34,4,0)))</f>
        <v>0</v>
      </c>
      <c r="AU149" s="333">
        <f>IF($F149="",0,IF($A149="Default",$I149*VLOOKUP($F149,Lists!$C$72:$R$232,COLUMNS(Lists!$C$69:J$69),0)*VLOOKUP(BJ$3,Conversions!$B$12:$E$34,4,0)*HLOOKUP($E149,'Equipment Assumptions'!$C$30:$Q$31,2,0),$I149*VLOOKUP($F149,Lists!$C$72:$R$232,COLUMNS(Lists!$C$69:J$69),0)*VLOOKUP(BJ$3,Conversions!$B$12:$E$34,4,0)))</f>
        <v>0</v>
      </c>
      <c r="AV149" s="333">
        <f>IF($F149="",0,IF($A149="Default",$I149*VLOOKUP($F149,Lists!$C$72:$R$232,COLUMNS(Lists!$C$69:K$69),0)*VLOOKUP(BK$3,Conversions!$B$12:$E$34,4,0)*HLOOKUP($E149,'Equipment Assumptions'!$C$30:$Q$31,2,0),$I149*VLOOKUP($F149,Lists!$C$72:$R$232,COLUMNS(Lists!$C$69:K$69),0)*VLOOKUP(BK$3,Conversions!$B$12:$E$34,4,0)))</f>
        <v>0</v>
      </c>
      <c r="AW149" s="333">
        <f>IF($F149="",0,IF($A149="Default",$I149*VLOOKUP($F149,Lists!$C$72:$R$232,COLUMNS(Lists!$C$69:L$69),0)*VLOOKUP(BL$3,Conversions!$B$12:$E$34,4,0)*HLOOKUP($E149,'Equipment Assumptions'!$C$30:$Q$31,2,0),$I149*VLOOKUP($F149,Lists!$C$72:$R$232,COLUMNS(Lists!$C$69:L$69),0)*VLOOKUP(BL$3,Conversions!$B$12:$E$34,4,0)))</f>
        <v>0</v>
      </c>
      <c r="AX149" s="333">
        <f>IF($F149="",0,IF($A149="Default",$I149*VLOOKUP($F149,Lists!$C$72:$R$232,COLUMNS(Lists!$C$69:M$69),0)*VLOOKUP(BM$3,Conversions!$B$12:$E$34,4,0)*HLOOKUP($E149,'Equipment Assumptions'!$C$30:$Q$31,2,0),$I149*VLOOKUP($F149,Lists!$C$72:$R$232,COLUMNS(Lists!$C$69:M$69),0)*VLOOKUP(BM$3,Conversions!$B$12:$E$34,4,0)))</f>
        <v>0</v>
      </c>
      <c r="AY149" s="333">
        <f>IF($F149="",0,IF($A149="Default",$I149*VLOOKUP($F149,Lists!$C$72:$R$232,COLUMNS(Lists!$C$69:N$69),0)*VLOOKUP(BN$3,Conversions!$B$12:$E$34,4,0)*HLOOKUP($E149,'Equipment Assumptions'!$C$30:$Q$31,2,0),$I149*VLOOKUP($F149,Lists!$C$72:$R$232,COLUMNS(Lists!$C$69:N$69),0)*VLOOKUP(BN$3,Conversions!$B$12:$E$34,4,0)))</f>
        <v>0</v>
      </c>
      <c r="AZ149" s="333">
        <f>IF($F149="",0,IF($A149="Default",$I149*VLOOKUP($F149,Lists!$C$72:$R$232,COLUMNS(Lists!$C$69:O$69),0)*VLOOKUP(BO$3,Conversions!$B$12:$E$34,4,0)*HLOOKUP($E149,'Equipment Assumptions'!$C$30:$Q$31,2,0),$I149*VLOOKUP($F149,Lists!$C$72:$R$232,COLUMNS(Lists!$C$69:O$69),0)*VLOOKUP(BO$3,Conversions!$B$12:$E$34,4,0)))</f>
        <v>0</v>
      </c>
      <c r="BA149" s="333">
        <f>IF($F149="",0,IF($A149="Default",$I149*VLOOKUP($F149,Lists!$C$72:$R$232,COLUMNS(Lists!$C$69:P$69),0)*VLOOKUP(BP$3,Conversions!$B$12:$E$34,4,0)*HLOOKUP($E149,'Equipment Assumptions'!$C$30:$Q$31,2,0),$I149*VLOOKUP($F149,Lists!$C$72:$R$232,COLUMNS(Lists!$C$69:P$69),0)*VLOOKUP(BP$3,Conversions!$B$12:$E$34,4,0)))</f>
        <v>0</v>
      </c>
      <c r="BB149" s="333">
        <f>IF($F149="",0,IF($A149="Default",$I149*VLOOKUP($F149,Lists!$C$72:$R$232,COLUMNS(Lists!$C$69:Q$69),0)*VLOOKUP(BQ$3,Conversions!$B$12:$E$34,4,0)*HLOOKUP($E149,'Equipment Assumptions'!$C$30:$Q$31,2,0),$I149*VLOOKUP($F149,Lists!$C$72:$R$232,COLUMNS(Lists!$C$69:Q$69),0)*VLOOKUP(BQ$3,Conversions!$B$12:$E$34,4,0)))</f>
        <v>0</v>
      </c>
      <c r="BC149" s="333">
        <f>IF($F149="",0,IF($A149="Default",$I149*VLOOKUP($F149,Lists!$C$72:$R$232,COLUMNS(Lists!$C$69:R$69),0)*VLOOKUP(BR$3,Conversions!$B$12:$E$34,4,0)*HLOOKUP($E149,'Equipment Assumptions'!$C$30:$Q$31,2,0),$I149*VLOOKUP($F149,Lists!$C$72:$R$232,COLUMNS(Lists!$C$69:R$69),0)*VLOOKUP(BR$3,Conversions!$B$12:$E$34,4,0)))</f>
        <v>0</v>
      </c>
      <c r="BD149" s="333">
        <f t="shared" si="163"/>
        <v>0</v>
      </c>
      <c r="BE149" s="330">
        <f t="shared" si="164"/>
        <v>0</v>
      </c>
      <c r="BF149" s="330">
        <f t="shared" si="165"/>
        <v>0</v>
      </c>
      <c r="BG149" s="330">
        <f t="shared" si="166"/>
        <v>0</v>
      </c>
      <c r="BH149" s="330">
        <f t="shared" si="167"/>
        <v>0</v>
      </c>
      <c r="BI149" s="330">
        <f t="shared" si="168"/>
        <v>0</v>
      </c>
      <c r="BJ149" s="330">
        <f t="shared" si="169"/>
        <v>0</v>
      </c>
      <c r="BK149" s="330">
        <f t="shared" si="170"/>
        <v>0</v>
      </c>
      <c r="BL149" s="330">
        <f t="shared" si="171"/>
        <v>0</v>
      </c>
      <c r="BM149" s="330">
        <f t="shared" si="172"/>
        <v>0</v>
      </c>
      <c r="BN149" s="330">
        <f t="shared" si="173"/>
        <v>0</v>
      </c>
      <c r="BO149" s="330">
        <f t="shared" si="174"/>
        <v>0</v>
      </c>
      <c r="BP149" s="330">
        <f t="shared" si="175"/>
        <v>0</v>
      </c>
      <c r="BQ149" s="330">
        <f t="shared" si="176"/>
        <v>0</v>
      </c>
      <c r="BR149" s="330">
        <f t="shared" si="177"/>
        <v>0</v>
      </c>
      <c r="BS149" s="330">
        <f t="shared" si="178"/>
        <v>0</v>
      </c>
      <c r="BT149" s="329">
        <f t="shared" si="194"/>
        <v>0</v>
      </c>
      <c r="BU149" s="329">
        <f t="shared" si="194"/>
        <v>0</v>
      </c>
      <c r="BV149" s="329">
        <f t="shared" si="194"/>
        <v>0</v>
      </c>
      <c r="BW149" s="329">
        <f t="shared" si="194"/>
        <v>0</v>
      </c>
      <c r="BX149" s="329">
        <f t="shared" si="194"/>
        <v>0</v>
      </c>
      <c r="BY149" s="329">
        <f t="shared" si="194"/>
        <v>0</v>
      </c>
      <c r="BZ149" s="329">
        <f t="shared" si="194"/>
        <v>0</v>
      </c>
      <c r="CA149" s="329">
        <f t="shared" si="194"/>
        <v>0</v>
      </c>
      <c r="CB149" s="329">
        <f t="shared" si="194"/>
        <v>0</v>
      </c>
      <c r="CC149" s="329">
        <f t="shared" si="194"/>
        <v>0</v>
      </c>
      <c r="CD149" s="329">
        <f t="shared" si="194"/>
        <v>0</v>
      </c>
      <c r="CE149" s="329">
        <f t="shared" si="194"/>
        <v>0</v>
      </c>
      <c r="CF149" s="329">
        <f t="shared" si="194"/>
        <v>0</v>
      </c>
      <c r="CG149" s="329">
        <f t="shared" si="194"/>
        <v>0</v>
      </c>
      <c r="CH149" s="329">
        <f t="shared" si="194"/>
        <v>0</v>
      </c>
      <c r="CI149" s="329">
        <f t="shared" si="194"/>
        <v>0</v>
      </c>
      <c r="CJ149" s="331">
        <f t="shared" si="179"/>
        <v>0</v>
      </c>
      <c r="CK149" s="330">
        <f t="shared" si="180"/>
        <v>0</v>
      </c>
      <c r="CL149" s="330">
        <f t="shared" si="181"/>
        <v>0</v>
      </c>
      <c r="CM149" s="330">
        <f t="shared" si="182"/>
        <v>0</v>
      </c>
      <c r="CN149" s="330">
        <f t="shared" si="183"/>
        <v>0</v>
      </c>
      <c r="CO149" s="330">
        <f t="shared" si="184"/>
        <v>0</v>
      </c>
      <c r="CP149" s="330">
        <f t="shared" si="185"/>
        <v>0</v>
      </c>
      <c r="CQ149" s="330">
        <f t="shared" si="186"/>
        <v>0</v>
      </c>
      <c r="CR149" s="330">
        <f t="shared" si="187"/>
        <v>0</v>
      </c>
      <c r="CS149" s="330">
        <f t="shared" si="188"/>
        <v>0</v>
      </c>
      <c r="CT149" s="330">
        <f t="shared" si="189"/>
        <v>0</v>
      </c>
      <c r="CU149" s="330">
        <f t="shared" si="195"/>
        <v>0</v>
      </c>
      <c r="CV149" s="330">
        <f t="shared" si="195"/>
        <v>0</v>
      </c>
      <c r="CW149" s="330">
        <f t="shared" si="195"/>
        <v>0</v>
      </c>
      <c r="CX149" s="330">
        <f t="shared" si="195"/>
        <v>0</v>
      </c>
      <c r="CY149" s="330">
        <f t="shared" si="195"/>
        <v>0</v>
      </c>
      <c r="CZ149" s="330">
        <f t="shared" si="195"/>
        <v>0</v>
      </c>
      <c r="DA149" s="330">
        <f t="shared" si="195"/>
        <v>0</v>
      </c>
      <c r="DB149" s="330">
        <f t="shared" si="195"/>
        <v>0</v>
      </c>
      <c r="DC149" s="330">
        <f t="shared" si="195"/>
        <v>0</v>
      </c>
      <c r="DD149" s="330">
        <f t="shared" si="195"/>
        <v>0</v>
      </c>
      <c r="DE149" s="330">
        <f t="shared" si="196"/>
        <v>0</v>
      </c>
      <c r="DF149" s="330">
        <f t="shared" si="196"/>
        <v>0</v>
      </c>
      <c r="DG149" s="330">
        <f t="shared" si="196"/>
        <v>0</v>
      </c>
      <c r="DH149" s="330">
        <f t="shared" si="196"/>
        <v>0</v>
      </c>
      <c r="DI149" s="330">
        <f t="shared" si="196"/>
        <v>0</v>
      </c>
      <c r="DJ149" s="330">
        <f t="shared" si="196"/>
        <v>0</v>
      </c>
      <c r="DK149" s="330">
        <f t="shared" si="196"/>
        <v>0</v>
      </c>
      <c r="DL149" s="330">
        <f t="shared" si="196"/>
        <v>0</v>
      </c>
      <c r="DM149" s="330">
        <f t="shared" si="196"/>
        <v>0</v>
      </c>
      <c r="DN149" s="330">
        <f t="shared" si="196"/>
        <v>0</v>
      </c>
      <c r="DO149" s="330">
        <f t="shared" si="196"/>
        <v>0</v>
      </c>
      <c r="DP149" s="330">
        <f t="shared" si="190"/>
        <v>0</v>
      </c>
      <c r="DQ149" s="217"/>
      <c r="DR149" s="217"/>
      <c r="DS149" s="217"/>
      <c r="DT149" s="217"/>
    </row>
    <row r="150" spans="1:124" x14ac:dyDescent="0.3">
      <c r="A150" s="332" t="str">
        <f>IF(AND(F150&lt;&gt;"",OR('Simplified Screening 1'!G41=0,'Simplified Screening 1'!G41="I Don't Know")),"Default","")</f>
        <v/>
      </c>
      <c r="B150" s="221" t="s">
        <v>306</v>
      </c>
      <c r="C150" s="221" t="str">
        <f>IF('Simplified Screening 1'!C41=0,"",'Simplified Screening 1'!C41)</f>
        <v/>
      </c>
      <c r="D150" s="221" t="str">
        <f>IF('Simplified Screening 1'!D41=0,"",'Simplified Screening 1'!D41)</f>
        <v/>
      </c>
      <c r="E150" s="221" t="str">
        <f>IF('Simplified Screening 1'!E41=0,"",'Simplified Screening 1'!E41)</f>
        <v/>
      </c>
      <c r="F150" s="221" t="str">
        <f>'Simplified Screening 1'!R41</f>
        <v/>
      </c>
      <c r="G150" s="272">
        <f>'Simplified Screening 1'!H41*'Simplified Screening 1'!L41*Conversions!$C$4</f>
        <v>0</v>
      </c>
      <c r="H150" s="272">
        <f>'Simplified Screening 1'!I41*'Simplified Screening 1'!M41*'Simplified Screening 1'!J41*Conversions!$C$4</f>
        <v>0</v>
      </c>
      <c r="I150" s="272">
        <f>'Simplified Screening 1'!K41*'Simplified Screening 1'!N41*(1-'Simplified Screening 1'!O41)*Conversions!$C$4</f>
        <v>0</v>
      </c>
      <c r="J150" s="325">
        <f>IF('Simplified Screening 1'!P41=0,0,'Simplified Screening 1'!P41)</f>
        <v>0</v>
      </c>
      <c r="K150" s="325">
        <f>IF(AND(OR('Simplified Screening 1'!G41=0,'Simplified Screening 1'!G41="I Don't Know"),F150&lt;&gt;""),J150*HLOOKUP(E150,'Equipment Assumptions'!$C$30:$Q$31,2,0),IF(F150="Non-HFC",0,J150))</f>
        <v>0</v>
      </c>
      <c r="L150" s="333">
        <f>IF($F150="",0,IF($A150="Default",$G150*VLOOKUP($F150,Lists!$C$72:$R$232,COLUMNS(Lists!$C$69:E$69),0)*VLOOKUP(BE$3,Conversions!$B$12:$E$34,4,0)*HLOOKUP($E150,'Equipment Assumptions'!$C$30:$Q$31,2,0),$G150*VLOOKUP($F150,Lists!$C$72:$R$232,COLUMNS(Lists!$C$69:E$69),0)*VLOOKUP(BE$3,Conversions!$B$12:$E$34,4,0)))</f>
        <v>0</v>
      </c>
      <c r="M150" s="333">
        <f>IF($F150="",0,IF($A150="Default",$G150*VLOOKUP($F150,Lists!$C$72:$R$232,COLUMNS(Lists!$C$69:F$69),0)*VLOOKUP(BF$3,Conversions!$B$12:$E$34,4,0)*HLOOKUP($E150,'Equipment Assumptions'!$C$30:$Q$31,2,0),$G150*VLOOKUP($F150,Lists!$C$72:$R$232,COLUMNS(Lists!$C$69:F$69),0)*VLOOKUP(BF$3,Conversions!$B$12:$E$34,4,0)))</f>
        <v>0</v>
      </c>
      <c r="N150" s="333">
        <f>IF($F150="",0,IF($A150="Default",$G150*VLOOKUP($F150,Lists!$C$72:$R$232,COLUMNS(Lists!$C$69:G$69),0)*VLOOKUP(BG$3,Conversions!$B$12:$E$34,4,0)*HLOOKUP($E150,'Equipment Assumptions'!$C$30:$Q$31,2,0),$G150*VLOOKUP($F150,Lists!$C$72:$R$232,COLUMNS(Lists!$C$69:G$69),0)*VLOOKUP(BG$3,Conversions!$B$12:$E$34,4,0)))</f>
        <v>0</v>
      </c>
      <c r="O150" s="333">
        <f>IF($F150="",0,IF($A150="Default",$G150*VLOOKUP($F150,Lists!$C$72:$R$232,COLUMNS(Lists!$C$69:H$69),0)*VLOOKUP(BH$3,Conversions!$B$12:$E$34,4,0)*HLOOKUP($E150,'Equipment Assumptions'!$C$30:$Q$31,2,0),$G150*VLOOKUP($F150,Lists!$C$72:$R$232,COLUMNS(Lists!$C$69:H$69),0)*VLOOKUP(BH$3,Conversions!$B$12:$E$34,4,0)))</f>
        <v>0</v>
      </c>
      <c r="P150" s="333">
        <f>IF($F150="",0,IF($A150="Default",$G150*VLOOKUP($F150,Lists!$C$72:$R$232,COLUMNS(Lists!$C$69:I$69),0)*VLOOKUP(BI$3,Conversions!$B$12:$E$34,4,0)*HLOOKUP($E150,'Equipment Assumptions'!$C$30:$Q$31,2,0),$G150*VLOOKUP($F150,Lists!$C$72:$R$232,COLUMNS(Lists!$C$69:I$69),0)*VLOOKUP(BI$3,Conversions!$B$12:$E$34,4,0)))</f>
        <v>0</v>
      </c>
      <c r="Q150" s="333">
        <f>IF($F150="",0,IF($A150="Default",$G150*VLOOKUP($F150,Lists!$C$72:$R$232,COLUMNS(Lists!$C$69:J$69),0)*VLOOKUP(BJ$3,Conversions!$B$12:$E$34,4,0)*HLOOKUP($E150,'Equipment Assumptions'!$C$30:$Q$31,2,0),$G150*VLOOKUP($F150,Lists!$C$72:$R$232,COLUMNS(Lists!$C$69:J$69),0)*VLOOKUP(BJ$3,Conversions!$B$12:$E$34,4,0)))</f>
        <v>0</v>
      </c>
      <c r="R150" s="333">
        <f>IF($F150="",0,IF($A150="Default",$G150*VLOOKUP($F150,Lists!$C$72:$R$232,COLUMNS(Lists!$C$69:K$69),0)*VLOOKUP(BK$3,Conversions!$B$12:$E$34,4,0)*HLOOKUP($E150,'Equipment Assumptions'!$C$30:$Q$31,2,0),$G150*VLOOKUP($F150,Lists!$C$72:$R$232,COLUMNS(Lists!$C$69:K$69),0)*VLOOKUP(BK$3,Conversions!$B$12:$E$34,4,0)))</f>
        <v>0</v>
      </c>
      <c r="S150" s="333">
        <f>IF($F150="",0,IF($A150="Default",$G150*VLOOKUP($F150,Lists!$C$72:$R$232,COLUMNS(Lists!$C$69:L$69),0)*VLOOKUP(BL$3,Conversions!$B$12:$E$34,4,0)*HLOOKUP($E150,'Equipment Assumptions'!$C$30:$Q$31,2,0),$G150*VLOOKUP($F150,Lists!$C$72:$R$232,COLUMNS(Lists!$C$69:L$69),0)*VLOOKUP(BL$3,Conversions!$B$12:$E$34,4,0)))</f>
        <v>0</v>
      </c>
      <c r="T150" s="333">
        <f>IF($F150="",0,IF($A150="Default",$G150*VLOOKUP($F150,Lists!$C$72:$R$232,COLUMNS(Lists!$C$69:M$69),0)*VLOOKUP(BM$3,Conversions!$B$12:$E$34,4,0)*HLOOKUP($E150,'Equipment Assumptions'!$C$30:$Q$31,2,0),$G150*VLOOKUP($F150,Lists!$C$72:$R$232,COLUMNS(Lists!$C$69:M$69),0)*VLOOKUP(BM$3,Conversions!$B$12:$E$34,4,0)))</f>
        <v>0</v>
      </c>
      <c r="U150" s="333">
        <f>IF($F150="",0,IF($A150="Default",$G150*VLOOKUP($F150,Lists!$C$72:$R$232,COLUMNS(Lists!$C$69:N$69),0)*VLOOKUP(BN$3,Conversions!$B$12:$E$34,4,0)*HLOOKUP($E150,'Equipment Assumptions'!$C$30:$Q$31,2,0),$G150*VLOOKUP($F150,Lists!$C$72:$R$232,COLUMNS(Lists!$C$69:N$69),0)*VLOOKUP(BN$3,Conversions!$B$12:$E$34,4,0)))</f>
        <v>0</v>
      </c>
      <c r="V150" s="333">
        <f>IF($F150="",0,IF($A150="Default",$G150*VLOOKUP($F150,Lists!$C$72:$R$232,COLUMNS(Lists!$C$69:O$69),0)*VLOOKUP(BO$3,Conversions!$B$12:$E$34,4,0)*HLOOKUP($E150,'Equipment Assumptions'!$C$30:$Q$31,2,0),$G150*VLOOKUP($F150,Lists!$C$72:$R$232,COLUMNS(Lists!$C$69:O$69),0)*VLOOKUP(BO$3,Conversions!$B$12:$E$34,4,0)))</f>
        <v>0</v>
      </c>
      <c r="W150" s="333">
        <f>IF($F150="",0,IF($A150="Default",$G150*VLOOKUP($F150,Lists!$C$72:$R$232,COLUMNS(Lists!$C$69:P$69),0)*VLOOKUP(BP$3,Conversions!$B$12:$E$34,4,0)*HLOOKUP($E150,'Equipment Assumptions'!$C$30:$Q$31,2,0),$G150*VLOOKUP($F150,Lists!$C$72:$R$232,COLUMNS(Lists!$C$69:P$69),0)*VLOOKUP(BP$3,Conversions!$B$12:$E$34,4,0)))</f>
        <v>0</v>
      </c>
      <c r="X150" s="333">
        <f>IF($F150="",0,IF($A150="Default",$G150*VLOOKUP($F150,Lists!$C$72:$R$232,COLUMNS(Lists!$C$69:Q$69),0)*VLOOKUP(BQ$3,Conversions!$B$12:$E$34,4,0)*HLOOKUP($E150,'Equipment Assumptions'!$C$30:$Q$31,2,0),$G150*VLOOKUP($F150,Lists!$C$72:$R$232,COLUMNS(Lists!$C$69:Q$69),0)*VLOOKUP(BQ$3,Conversions!$B$12:$E$34,4,0)))</f>
        <v>0</v>
      </c>
      <c r="Y150" s="333">
        <f>IF($F150="",0,IF($A150="Default",$G150*VLOOKUP($F150,Lists!$C$72:$R$232,COLUMNS(Lists!$C$69:R$69),0)*VLOOKUP(BR$3,Conversions!$B$12:$E$34,4,0)*HLOOKUP($E150,'Equipment Assumptions'!$C$30:$Q$31,2,0),$G150*VLOOKUP($F150,Lists!$C$72:$R$232,COLUMNS(Lists!$C$69:R$69),0)*VLOOKUP(BR$3,Conversions!$B$12:$E$34,4,0)))</f>
        <v>0</v>
      </c>
      <c r="Z150" s="325">
        <f t="shared" si="161"/>
        <v>0</v>
      </c>
      <c r="AA150" s="334">
        <f>IF($F150="",0,IF($A150="Default",$H150*VLOOKUP($F150,Lists!$C$72:$R$232,COLUMNS(Lists!$C$69:E$69),0)*VLOOKUP(BE$3,Conversions!$B$12:$E$34,4,0)*HLOOKUP($E150,'Equipment Assumptions'!$C$30:$Q$31,2,0),$H150*VLOOKUP($F150,Lists!$C$72:$R$232,COLUMNS(Lists!$C$69:E$69),0)*VLOOKUP(BE$3,Conversions!$B$12:$E$34,4,0)))</f>
        <v>0</v>
      </c>
      <c r="AB150" s="334">
        <f>IF($F150="",0,IF($A150="Default",$H150*VLOOKUP($F150,Lists!$C$72:$R$232,COLUMNS(Lists!$C$69:F$69),0)*VLOOKUP(BF$3,Conversions!$B$12:$E$34,4,0)*HLOOKUP($E150,'Equipment Assumptions'!$C$30:$Q$31,2,0),$H150*VLOOKUP($F150,Lists!$C$72:$R$232,COLUMNS(Lists!$C$69:F$69),0)*VLOOKUP(BF$3,Conversions!$B$12:$E$34,4,0)))</f>
        <v>0</v>
      </c>
      <c r="AC150" s="334">
        <f>IF($F150="",0,IF($A150="Default",$H150*VLOOKUP($F150,Lists!$C$72:$R$232,COLUMNS(Lists!$C$69:G$69),0)*VLOOKUP(BG$3,Conversions!$B$12:$E$34,4,0)*HLOOKUP($E150,'Equipment Assumptions'!$C$30:$Q$31,2,0),$H150*VLOOKUP($F150,Lists!$C$72:$R$232,COLUMNS(Lists!$C$69:G$69),0)*VLOOKUP(BG$3,Conversions!$B$12:$E$34,4,0)))</f>
        <v>0</v>
      </c>
      <c r="AD150" s="334">
        <f>IF($F150="",0,IF($A150="Default",$H150*VLOOKUP($F150,Lists!$C$72:$R$232,COLUMNS(Lists!$C$69:H$69),0)*VLOOKUP(BH$3,Conversions!$B$12:$E$34,4,0)*HLOOKUP($E150,'Equipment Assumptions'!$C$30:$Q$31,2,0),$H150*VLOOKUP($F150,Lists!$C$72:$R$232,COLUMNS(Lists!$C$69:H$69),0)*VLOOKUP(BH$3,Conversions!$B$12:$E$34,4,0)))</f>
        <v>0</v>
      </c>
      <c r="AE150" s="334">
        <f>IF($F150="",0,IF($A150="Default",$H150*VLOOKUP($F150,Lists!$C$72:$R$232,COLUMNS(Lists!$C$69:I$69),0)*VLOOKUP(BI$3,Conversions!$B$12:$E$34,4,0)*HLOOKUP($E150,'Equipment Assumptions'!$C$30:$Q$31,2,0),$H150*VLOOKUP($F150,Lists!$C$72:$R$232,COLUMNS(Lists!$C$69:I$69),0)*VLOOKUP(BI$3,Conversions!$B$12:$E$34,4,0)))</f>
        <v>0</v>
      </c>
      <c r="AF150" s="334">
        <f>IF($F150="",0,IF($A150="Default",$H150*VLOOKUP($F150,Lists!$C$72:$R$232,COLUMNS(Lists!$C$69:J$69),0)*VLOOKUP(BJ$3,Conversions!$B$12:$E$34,4,0)*HLOOKUP($E150,'Equipment Assumptions'!$C$30:$Q$31,2,0),$H150*VLOOKUP($F150,Lists!$C$72:$R$232,COLUMNS(Lists!$C$69:J$69),0)*VLOOKUP(BJ$3,Conversions!$B$12:$E$34,4,0)))</f>
        <v>0</v>
      </c>
      <c r="AG150" s="334">
        <f>IF($F150="",0,IF($A150="Default",$H150*VLOOKUP($F150,Lists!$C$72:$R$232,COLUMNS(Lists!$C$69:K$69),0)*VLOOKUP(BK$3,Conversions!$B$12:$E$34,4,0)*HLOOKUP($E150,'Equipment Assumptions'!$C$30:$Q$31,2,0),$H150*VLOOKUP($F150,Lists!$C$72:$R$232,COLUMNS(Lists!$C$69:K$69),0)*VLOOKUP(BK$3,Conversions!$B$12:$E$34,4,0)))</f>
        <v>0</v>
      </c>
      <c r="AH150" s="334">
        <f>IF($F150="",0,IF($A150="Default",$H150*VLOOKUP($F150,Lists!$C$72:$R$232,COLUMNS(Lists!$C$69:L$69),0)*VLOOKUP(BL$3,Conversions!$B$12:$E$34,4,0)*HLOOKUP($E150,'Equipment Assumptions'!$C$30:$Q$31,2,0),$H150*VLOOKUP($F150,Lists!$C$72:$R$232,COLUMNS(Lists!$C$69:L$69),0)*VLOOKUP(BL$3,Conversions!$B$12:$E$34,4,0)))</f>
        <v>0</v>
      </c>
      <c r="AI150" s="334">
        <f>IF($F150="",0,IF($A150="Default",$H150*VLOOKUP($F150,Lists!$C$72:$R$232,COLUMNS(Lists!$C$69:M$69),0)*VLOOKUP(BM$3,Conversions!$B$12:$E$34,4,0)*HLOOKUP($E150,'Equipment Assumptions'!$C$30:$Q$31,2,0),$H150*VLOOKUP($F150,Lists!$C$72:$R$232,COLUMNS(Lists!$C$69:M$69),0)*VLOOKUP(BM$3,Conversions!$B$12:$E$34,4,0)))</f>
        <v>0</v>
      </c>
      <c r="AJ150" s="334">
        <f>IF($F150="",0,IF($A150="Default",$H150*VLOOKUP($F150,Lists!$C$72:$R$232,COLUMNS(Lists!$C$69:N$69),0)*VLOOKUP(BN$3,Conversions!$B$12:$E$34,4,0)*HLOOKUP($E150,'Equipment Assumptions'!$C$30:$Q$31,2,0),$H150*VLOOKUP($F150,Lists!$C$72:$R$232,COLUMNS(Lists!$C$69:N$69),0)*VLOOKUP(BN$3,Conversions!$B$12:$E$34,4,0)))</f>
        <v>0</v>
      </c>
      <c r="AK150" s="334">
        <f>IF($F150="",0,IF($A150="Default",$H150*VLOOKUP($F150,Lists!$C$72:$R$232,COLUMNS(Lists!$C$69:O$69),0)*VLOOKUP(BO$3,Conversions!$B$12:$E$34,4,0)*HLOOKUP($E150,'Equipment Assumptions'!$C$30:$Q$31,2,0),$H150*VLOOKUP($F150,Lists!$C$72:$R$232,COLUMNS(Lists!$C$69:O$69),0)*VLOOKUP(BO$3,Conversions!$B$12:$E$34,4,0)))</f>
        <v>0</v>
      </c>
      <c r="AL150" s="334">
        <f>IF($F150="",0,IF($A150="Default",$H150*VLOOKUP($F150,Lists!$C$72:$R$232,COLUMNS(Lists!$C$69:P$69),0)*VLOOKUP(BP$3,Conversions!$B$12:$E$34,4,0)*HLOOKUP($E150,'Equipment Assumptions'!$C$30:$Q$31,2,0),$H150*VLOOKUP($F150,Lists!$C$72:$R$232,COLUMNS(Lists!$C$69:P$69),0)*VLOOKUP(BP$3,Conversions!$B$12:$E$34,4,0)))</f>
        <v>0</v>
      </c>
      <c r="AM150" s="334">
        <f>IF($F150="",0,IF($A150="Default",$H150*VLOOKUP($F150,Lists!$C$72:$R$232,COLUMNS(Lists!$C$69:Q$69),0)*VLOOKUP(BQ$3,Conversions!$B$12:$E$34,4,0)*HLOOKUP($E150,'Equipment Assumptions'!$C$30:$Q$31,2,0),$H150*VLOOKUP($F150,Lists!$C$72:$R$232,COLUMNS(Lists!$C$69:Q$69),0)*VLOOKUP(BQ$3,Conversions!$B$12:$E$34,4,0)))</f>
        <v>0</v>
      </c>
      <c r="AN150" s="334">
        <f>IF($F150="",0,IF($A150="Default",$H150*VLOOKUP($F150,Lists!$C$72:$R$232,COLUMNS(Lists!$C$69:R$69),0)*VLOOKUP(BR$3,Conversions!$B$12:$E$34,4,0)*HLOOKUP($E150,'Equipment Assumptions'!$C$30:$Q$31,2,0),$H150*VLOOKUP($F150,Lists!$C$72:$R$232,COLUMNS(Lists!$C$69:R$69),0)*VLOOKUP(BR$3,Conversions!$B$12:$E$34,4,0)))</f>
        <v>0</v>
      </c>
      <c r="AO150" s="330">
        <f t="shared" si="162"/>
        <v>0</v>
      </c>
      <c r="AP150" s="333">
        <f>IF($F150="",0,IF($A150="Default",$I150*VLOOKUP($F150,Lists!$C$72:$R$232,COLUMNS(Lists!$C$69:E$69),0)*VLOOKUP(BE$3,Conversions!$B$12:$E$34,4,0)*HLOOKUP($E150,'Equipment Assumptions'!$C$30:$Q$31,2,0),$I150*VLOOKUP($F150,Lists!$C$72:$R$232,COLUMNS(Lists!$C$69:E$69),0)*VLOOKUP(BE$3,Conversions!$B$12:$E$34,4,0)))</f>
        <v>0</v>
      </c>
      <c r="AQ150" s="333">
        <f>IF($F150="",0,IF($A150="Default",$I150*VLOOKUP($F150,Lists!$C$72:$R$232,COLUMNS(Lists!$C$69:F$69),0)*VLOOKUP(BF$3,Conversions!$B$12:$E$34,4,0)*HLOOKUP($E150,'Equipment Assumptions'!$C$30:$Q$31,2,0),$I150*VLOOKUP($F150,Lists!$C$72:$R$232,COLUMNS(Lists!$C$69:F$69),0)*VLOOKUP(BF$3,Conversions!$B$12:$E$34,4,0)))</f>
        <v>0</v>
      </c>
      <c r="AR150" s="333">
        <f>IF($F150="",0,IF($A150="Default",$I150*VLOOKUP($F150,Lists!$C$72:$R$232,COLUMNS(Lists!$C$69:G$69),0)*VLOOKUP(BG$3,Conversions!$B$12:$E$34,4,0)*HLOOKUP($E150,'Equipment Assumptions'!$C$30:$Q$31,2,0),$I150*VLOOKUP($F150,Lists!$C$72:$R$232,COLUMNS(Lists!$C$69:G$69),0)*VLOOKUP(BG$3,Conversions!$B$12:$E$34,4,0)))</f>
        <v>0</v>
      </c>
      <c r="AS150" s="333">
        <f>IF($F150="",0,IF($A150="Default",$I150*VLOOKUP($F150,Lists!$C$72:$R$232,COLUMNS(Lists!$C$69:H$69),0)*VLOOKUP(BH$3,Conversions!$B$12:$E$34,4,0)*HLOOKUP($E150,'Equipment Assumptions'!$C$30:$Q$31,2,0),$I150*VLOOKUP($F150,Lists!$C$72:$R$232,COLUMNS(Lists!$C$69:H$69),0)*VLOOKUP(BH$3,Conversions!$B$12:$E$34,4,0)))</f>
        <v>0</v>
      </c>
      <c r="AT150" s="333">
        <f>IF($F150="",0,IF($A150="Default",$I150*VLOOKUP($F150,Lists!$C$72:$R$232,COLUMNS(Lists!$C$69:I$69),0)*VLOOKUP(BI$3,Conversions!$B$12:$E$34,4,0)*HLOOKUP($E150,'Equipment Assumptions'!$C$30:$Q$31,2,0),$I150*VLOOKUP($F150,Lists!$C$72:$R$232,COLUMNS(Lists!$C$69:I$69),0)*VLOOKUP(BI$3,Conversions!$B$12:$E$34,4,0)))</f>
        <v>0</v>
      </c>
      <c r="AU150" s="333">
        <f>IF($F150="",0,IF($A150="Default",$I150*VLOOKUP($F150,Lists!$C$72:$R$232,COLUMNS(Lists!$C$69:J$69),0)*VLOOKUP(BJ$3,Conversions!$B$12:$E$34,4,0)*HLOOKUP($E150,'Equipment Assumptions'!$C$30:$Q$31,2,0),$I150*VLOOKUP($F150,Lists!$C$72:$R$232,COLUMNS(Lists!$C$69:J$69),0)*VLOOKUP(BJ$3,Conversions!$B$12:$E$34,4,0)))</f>
        <v>0</v>
      </c>
      <c r="AV150" s="333">
        <f>IF($F150="",0,IF($A150="Default",$I150*VLOOKUP($F150,Lists!$C$72:$R$232,COLUMNS(Lists!$C$69:K$69),0)*VLOOKUP(BK$3,Conversions!$B$12:$E$34,4,0)*HLOOKUP($E150,'Equipment Assumptions'!$C$30:$Q$31,2,0),$I150*VLOOKUP($F150,Lists!$C$72:$R$232,COLUMNS(Lists!$C$69:K$69),0)*VLOOKUP(BK$3,Conversions!$B$12:$E$34,4,0)))</f>
        <v>0</v>
      </c>
      <c r="AW150" s="333">
        <f>IF($F150="",0,IF($A150="Default",$I150*VLOOKUP($F150,Lists!$C$72:$R$232,COLUMNS(Lists!$C$69:L$69),0)*VLOOKUP(BL$3,Conversions!$B$12:$E$34,4,0)*HLOOKUP($E150,'Equipment Assumptions'!$C$30:$Q$31,2,0),$I150*VLOOKUP($F150,Lists!$C$72:$R$232,COLUMNS(Lists!$C$69:L$69),0)*VLOOKUP(BL$3,Conversions!$B$12:$E$34,4,0)))</f>
        <v>0</v>
      </c>
      <c r="AX150" s="333">
        <f>IF($F150="",0,IF($A150="Default",$I150*VLOOKUP($F150,Lists!$C$72:$R$232,COLUMNS(Lists!$C$69:M$69),0)*VLOOKUP(BM$3,Conversions!$B$12:$E$34,4,0)*HLOOKUP($E150,'Equipment Assumptions'!$C$30:$Q$31,2,0),$I150*VLOOKUP($F150,Lists!$C$72:$R$232,COLUMNS(Lists!$C$69:M$69),0)*VLOOKUP(BM$3,Conversions!$B$12:$E$34,4,0)))</f>
        <v>0</v>
      </c>
      <c r="AY150" s="333">
        <f>IF($F150="",0,IF($A150="Default",$I150*VLOOKUP($F150,Lists!$C$72:$R$232,COLUMNS(Lists!$C$69:N$69),0)*VLOOKUP(BN$3,Conversions!$B$12:$E$34,4,0)*HLOOKUP($E150,'Equipment Assumptions'!$C$30:$Q$31,2,0),$I150*VLOOKUP($F150,Lists!$C$72:$R$232,COLUMNS(Lists!$C$69:N$69),0)*VLOOKUP(BN$3,Conversions!$B$12:$E$34,4,0)))</f>
        <v>0</v>
      </c>
      <c r="AZ150" s="333">
        <f>IF($F150="",0,IF($A150="Default",$I150*VLOOKUP($F150,Lists!$C$72:$R$232,COLUMNS(Lists!$C$69:O$69),0)*VLOOKUP(BO$3,Conversions!$B$12:$E$34,4,0)*HLOOKUP($E150,'Equipment Assumptions'!$C$30:$Q$31,2,0),$I150*VLOOKUP($F150,Lists!$C$72:$R$232,COLUMNS(Lists!$C$69:O$69),0)*VLOOKUP(BO$3,Conversions!$B$12:$E$34,4,0)))</f>
        <v>0</v>
      </c>
      <c r="BA150" s="333">
        <f>IF($F150="",0,IF($A150="Default",$I150*VLOOKUP($F150,Lists!$C$72:$R$232,COLUMNS(Lists!$C$69:P$69),0)*VLOOKUP(BP$3,Conversions!$B$12:$E$34,4,0)*HLOOKUP($E150,'Equipment Assumptions'!$C$30:$Q$31,2,0),$I150*VLOOKUP($F150,Lists!$C$72:$R$232,COLUMNS(Lists!$C$69:P$69),0)*VLOOKUP(BP$3,Conversions!$B$12:$E$34,4,0)))</f>
        <v>0</v>
      </c>
      <c r="BB150" s="333">
        <f>IF($F150="",0,IF($A150="Default",$I150*VLOOKUP($F150,Lists!$C$72:$R$232,COLUMNS(Lists!$C$69:Q$69),0)*VLOOKUP(BQ$3,Conversions!$B$12:$E$34,4,0)*HLOOKUP($E150,'Equipment Assumptions'!$C$30:$Q$31,2,0),$I150*VLOOKUP($F150,Lists!$C$72:$R$232,COLUMNS(Lists!$C$69:Q$69),0)*VLOOKUP(BQ$3,Conversions!$B$12:$E$34,4,0)))</f>
        <v>0</v>
      </c>
      <c r="BC150" s="333">
        <f>IF($F150="",0,IF($A150="Default",$I150*VLOOKUP($F150,Lists!$C$72:$R$232,COLUMNS(Lists!$C$69:R$69),0)*VLOOKUP(BR$3,Conversions!$B$12:$E$34,4,0)*HLOOKUP($E150,'Equipment Assumptions'!$C$30:$Q$31,2,0),$I150*VLOOKUP($F150,Lists!$C$72:$R$232,COLUMNS(Lists!$C$69:R$69),0)*VLOOKUP(BR$3,Conversions!$B$12:$E$34,4,0)))</f>
        <v>0</v>
      </c>
      <c r="BD150" s="333">
        <f t="shared" si="163"/>
        <v>0</v>
      </c>
      <c r="BE150" s="330">
        <f t="shared" si="164"/>
        <v>0</v>
      </c>
      <c r="BF150" s="330">
        <f t="shared" si="165"/>
        <v>0</v>
      </c>
      <c r="BG150" s="330">
        <f t="shared" si="166"/>
        <v>0</v>
      </c>
      <c r="BH150" s="330">
        <f t="shared" si="167"/>
        <v>0</v>
      </c>
      <c r="BI150" s="330">
        <f t="shared" si="168"/>
        <v>0</v>
      </c>
      <c r="BJ150" s="330">
        <f t="shared" si="169"/>
        <v>0</v>
      </c>
      <c r="BK150" s="330">
        <f t="shared" si="170"/>
        <v>0</v>
      </c>
      <c r="BL150" s="330">
        <f t="shared" si="171"/>
        <v>0</v>
      </c>
      <c r="BM150" s="330">
        <f t="shared" si="172"/>
        <v>0</v>
      </c>
      <c r="BN150" s="330">
        <f t="shared" si="173"/>
        <v>0</v>
      </c>
      <c r="BO150" s="330">
        <f t="shared" si="174"/>
        <v>0</v>
      </c>
      <c r="BP150" s="330">
        <f t="shared" si="175"/>
        <v>0</v>
      </c>
      <c r="BQ150" s="330">
        <f t="shared" si="176"/>
        <v>0</v>
      </c>
      <c r="BR150" s="330">
        <f t="shared" si="177"/>
        <v>0</v>
      </c>
      <c r="BS150" s="330">
        <f t="shared" si="178"/>
        <v>0</v>
      </c>
      <c r="BT150" s="329">
        <f t="shared" si="194"/>
        <v>0</v>
      </c>
      <c r="BU150" s="329">
        <f t="shared" si="194"/>
        <v>0</v>
      </c>
      <c r="BV150" s="329">
        <f t="shared" si="194"/>
        <v>0</v>
      </c>
      <c r="BW150" s="329">
        <f t="shared" si="194"/>
        <v>0</v>
      </c>
      <c r="BX150" s="329">
        <f t="shared" si="194"/>
        <v>0</v>
      </c>
      <c r="BY150" s="329">
        <f t="shared" si="194"/>
        <v>0</v>
      </c>
      <c r="BZ150" s="329">
        <f t="shared" si="194"/>
        <v>0</v>
      </c>
      <c r="CA150" s="329">
        <f t="shared" si="194"/>
        <v>0</v>
      </c>
      <c r="CB150" s="329">
        <f t="shared" si="194"/>
        <v>0</v>
      </c>
      <c r="CC150" s="329">
        <f t="shared" si="194"/>
        <v>0</v>
      </c>
      <c r="CD150" s="329">
        <f t="shared" si="194"/>
        <v>0</v>
      </c>
      <c r="CE150" s="329">
        <f t="shared" si="194"/>
        <v>0</v>
      </c>
      <c r="CF150" s="329">
        <f t="shared" si="194"/>
        <v>0</v>
      </c>
      <c r="CG150" s="329">
        <f t="shared" si="194"/>
        <v>0</v>
      </c>
      <c r="CH150" s="329">
        <f t="shared" si="194"/>
        <v>0</v>
      </c>
      <c r="CI150" s="329">
        <f t="shared" si="194"/>
        <v>0</v>
      </c>
      <c r="CJ150" s="331">
        <f t="shared" si="179"/>
        <v>0</v>
      </c>
      <c r="CK150" s="330">
        <f t="shared" si="180"/>
        <v>0</v>
      </c>
      <c r="CL150" s="330">
        <f t="shared" si="181"/>
        <v>0</v>
      </c>
      <c r="CM150" s="330">
        <f t="shared" si="182"/>
        <v>0</v>
      </c>
      <c r="CN150" s="330">
        <f t="shared" si="183"/>
        <v>0</v>
      </c>
      <c r="CO150" s="330">
        <f t="shared" si="184"/>
        <v>0</v>
      </c>
      <c r="CP150" s="330">
        <f t="shared" si="185"/>
        <v>0</v>
      </c>
      <c r="CQ150" s="330">
        <f t="shared" si="186"/>
        <v>0</v>
      </c>
      <c r="CR150" s="330">
        <f t="shared" si="187"/>
        <v>0</v>
      </c>
      <c r="CS150" s="330">
        <f t="shared" si="188"/>
        <v>0</v>
      </c>
      <c r="CT150" s="330">
        <f t="shared" si="189"/>
        <v>0</v>
      </c>
      <c r="CU150" s="330">
        <f t="shared" si="195"/>
        <v>0</v>
      </c>
      <c r="CV150" s="330">
        <f t="shared" si="195"/>
        <v>0</v>
      </c>
      <c r="CW150" s="330">
        <f t="shared" si="195"/>
        <v>0</v>
      </c>
      <c r="CX150" s="330">
        <f t="shared" si="195"/>
        <v>0</v>
      </c>
      <c r="CY150" s="330">
        <f t="shared" si="195"/>
        <v>0</v>
      </c>
      <c r="CZ150" s="330">
        <f t="shared" si="195"/>
        <v>0</v>
      </c>
      <c r="DA150" s="330">
        <f t="shared" si="195"/>
        <v>0</v>
      </c>
      <c r="DB150" s="330">
        <f t="shared" si="195"/>
        <v>0</v>
      </c>
      <c r="DC150" s="330">
        <f t="shared" si="195"/>
        <v>0</v>
      </c>
      <c r="DD150" s="330">
        <f t="shared" si="195"/>
        <v>0</v>
      </c>
      <c r="DE150" s="330">
        <f t="shared" si="196"/>
        <v>0</v>
      </c>
      <c r="DF150" s="330">
        <f t="shared" si="196"/>
        <v>0</v>
      </c>
      <c r="DG150" s="330">
        <f t="shared" si="196"/>
        <v>0</v>
      </c>
      <c r="DH150" s="330">
        <f t="shared" si="196"/>
        <v>0</v>
      </c>
      <c r="DI150" s="330">
        <f t="shared" si="196"/>
        <v>0</v>
      </c>
      <c r="DJ150" s="330">
        <f t="shared" si="196"/>
        <v>0</v>
      </c>
      <c r="DK150" s="330">
        <f t="shared" si="196"/>
        <v>0</v>
      </c>
      <c r="DL150" s="330">
        <f t="shared" si="196"/>
        <v>0</v>
      </c>
      <c r="DM150" s="330">
        <f t="shared" si="196"/>
        <v>0</v>
      </c>
      <c r="DN150" s="330">
        <f t="shared" si="196"/>
        <v>0</v>
      </c>
      <c r="DO150" s="330">
        <f t="shared" si="196"/>
        <v>0</v>
      </c>
      <c r="DP150" s="330">
        <f t="shared" si="190"/>
        <v>0</v>
      </c>
      <c r="DQ150" s="217"/>
      <c r="DR150" s="217"/>
      <c r="DS150" s="217"/>
      <c r="DT150" s="217"/>
    </row>
    <row r="151" spans="1:124" x14ac:dyDescent="0.3">
      <c r="A151" s="332" t="str">
        <f>IF(AND(F151&lt;&gt;"",OR('Simplified Screening 1'!G42=0,'Simplified Screening 1'!G42="I Don't Know")),"Default","")</f>
        <v/>
      </c>
      <c r="B151" s="221" t="s">
        <v>306</v>
      </c>
      <c r="C151" s="221" t="str">
        <f>IF('Simplified Screening 1'!C42=0,"",'Simplified Screening 1'!C42)</f>
        <v/>
      </c>
      <c r="D151" s="221" t="str">
        <f>IF('Simplified Screening 1'!D42=0,"",'Simplified Screening 1'!D42)</f>
        <v/>
      </c>
      <c r="E151" s="221" t="str">
        <f>IF('Simplified Screening 1'!E42=0,"",'Simplified Screening 1'!E42)</f>
        <v/>
      </c>
      <c r="F151" s="221" t="str">
        <f>'Simplified Screening 1'!R42</f>
        <v/>
      </c>
      <c r="G151" s="272">
        <f>'Simplified Screening 1'!H42*'Simplified Screening 1'!L42*Conversions!$C$4</f>
        <v>0</v>
      </c>
      <c r="H151" s="272">
        <f>'Simplified Screening 1'!I42*'Simplified Screening 1'!M42*'Simplified Screening 1'!J42*Conversions!$C$4</f>
        <v>0</v>
      </c>
      <c r="I151" s="272">
        <f>'Simplified Screening 1'!K42*'Simplified Screening 1'!N42*(1-'Simplified Screening 1'!O42)*Conversions!$C$4</f>
        <v>0</v>
      </c>
      <c r="J151" s="325">
        <f>IF('Simplified Screening 1'!P42=0,0,'Simplified Screening 1'!P42)</f>
        <v>0</v>
      </c>
      <c r="K151" s="325">
        <f>IF(AND(OR('Simplified Screening 1'!G42=0,'Simplified Screening 1'!G42="I Don't Know"),F151&lt;&gt;""),J151*HLOOKUP(E151,'Equipment Assumptions'!$C$30:$Q$31,2,0),IF(F151="Non-HFC",0,J151))</f>
        <v>0</v>
      </c>
      <c r="L151" s="333">
        <f>IF($F151="",0,IF($A151="Default",$G151*VLOOKUP($F151,Lists!$C$72:$R$232,COLUMNS(Lists!$C$69:E$69),0)*VLOOKUP(BE$3,Conversions!$B$12:$E$34,4,0)*HLOOKUP($E151,'Equipment Assumptions'!$C$30:$Q$31,2,0),$G151*VLOOKUP($F151,Lists!$C$72:$R$232,COLUMNS(Lists!$C$69:E$69),0)*VLOOKUP(BE$3,Conversions!$B$12:$E$34,4,0)))</f>
        <v>0</v>
      </c>
      <c r="M151" s="333">
        <f>IF($F151="",0,IF($A151="Default",$G151*VLOOKUP($F151,Lists!$C$72:$R$232,COLUMNS(Lists!$C$69:F$69),0)*VLOOKUP(BF$3,Conversions!$B$12:$E$34,4,0)*HLOOKUP($E151,'Equipment Assumptions'!$C$30:$Q$31,2,0),$G151*VLOOKUP($F151,Lists!$C$72:$R$232,COLUMNS(Lists!$C$69:F$69),0)*VLOOKUP(BF$3,Conversions!$B$12:$E$34,4,0)))</f>
        <v>0</v>
      </c>
      <c r="N151" s="333">
        <f>IF($F151="",0,IF($A151="Default",$G151*VLOOKUP($F151,Lists!$C$72:$R$232,COLUMNS(Lists!$C$69:G$69),0)*VLOOKUP(BG$3,Conversions!$B$12:$E$34,4,0)*HLOOKUP($E151,'Equipment Assumptions'!$C$30:$Q$31,2,0),$G151*VLOOKUP($F151,Lists!$C$72:$R$232,COLUMNS(Lists!$C$69:G$69),0)*VLOOKUP(BG$3,Conversions!$B$12:$E$34,4,0)))</f>
        <v>0</v>
      </c>
      <c r="O151" s="333">
        <f>IF($F151="",0,IF($A151="Default",$G151*VLOOKUP($F151,Lists!$C$72:$R$232,COLUMNS(Lists!$C$69:H$69),0)*VLOOKUP(BH$3,Conversions!$B$12:$E$34,4,0)*HLOOKUP($E151,'Equipment Assumptions'!$C$30:$Q$31,2,0),$G151*VLOOKUP($F151,Lists!$C$72:$R$232,COLUMNS(Lists!$C$69:H$69),0)*VLOOKUP(BH$3,Conversions!$B$12:$E$34,4,0)))</f>
        <v>0</v>
      </c>
      <c r="P151" s="333">
        <f>IF($F151="",0,IF($A151="Default",$G151*VLOOKUP($F151,Lists!$C$72:$R$232,COLUMNS(Lists!$C$69:I$69),0)*VLOOKUP(BI$3,Conversions!$B$12:$E$34,4,0)*HLOOKUP($E151,'Equipment Assumptions'!$C$30:$Q$31,2,0),$G151*VLOOKUP($F151,Lists!$C$72:$R$232,COLUMNS(Lists!$C$69:I$69),0)*VLOOKUP(BI$3,Conversions!$B$12:$E$34,4,0)))</f>
        <v>0</v>
      </c>
      <c r="Q151" s="333">
        <f>IF($F151="",0,IF($A151="Default",$G151*VLOOKUP($F151,Lists!$C$72:$R$232,COLUMNS(Lists!$C$69:J$69),0)*VLOOKUP(BJ$3,Conversions!$B$12:$E$34,4,0)*HLOOKUP($E151,'Equipment Assumptions'!$C$30:$Q$31,2,0),$G151*VLOOKUP($F151,Lists!$C$72:$R$232,COLUMNS(Lists!$C$69:J$69),0)*VLOOKUP(BJ$3,Conversions!$B$12:$E$34,4,0)))</f>
        <v>0</v>
      </c>
      <c r="R151" s="333">
        <f>IF($F151="",0,IF($A151="Default",$G151*VLOOKUP($F151,Lists!$C$72:$R$232,COLUMNS(Lists!$C$69:K$69),0)*VLOOKUP(BK$3,Conversions!$B$12:$E$34,4,0)*HLOOKUP($E151,'Equipment Assumptions'!$C$30:$Q$31,2,0),$G151*VLOOKUP($F151,Lists!$C$72:$R$232,COLUMNS(Lists!$C$69:K$69),0)*VLOOKUP(BK$3,Conversions!$B$12:$E$34,4,0)))</f>
        <v>0</v>
      </c>
      <c r="S151" s="333">
        <f>IF($F151="",0,IF($A151="Default",$G151*VLOOKUP($F151,Lists!$C$72:$R$232,COLUMNS(Lists!$C$69:L$69),0)*VLOOKUP(BL$3,Conversions!$B$12:$E$34,4,0)*HLOOKUP($E151,'Equipment Assumptions'!$C$30:$Q$31,2,0),$G151*VLOOKUP($F151,Lists!$C$72:$R$232,COLUMNS(Lists!$C$69:L$69),0)*VLOOKUP(BL$3,Conversions!$B$12:$E$34,4,0)))</f>
        <v>0</v>
      </c>
      <c r="T151" s="333">
        <f>IF($F151="",0,IF($A151="Default",$G151*VLOOKUP($F151,Lists!$C$72:$R$232,COLUMNS(Lists!$C$69:M$69),0)*VLOOKUP(BM$3,Conversions!$B$12:$E$34,4,0)*HLOOKUP($E151,'Equipment Assumptions'!$C$30:$Q$31,2,0),$G151*VLOOKUP($F151,Lists!$C$72:$R$232,COLUMNS(Lists!$C$69:M$69),0)*VLOOKUP(BM$3,Conversions!$B$12:$E$34,4,0)))</f>
        <v>0</v>
      </c>
      <c r="U151" s="333">
        <f>IF($F151="",0,IF($A151="Default",$G151*VLOOKUP($F151,Lists!$C$72:$R$232,COLUMNS(Lists!$C$69:N$69),0)*VLOOKUP(BN$3,Conversions!$B$12:$E$34,4,0)*HLOOKUP($E151,'Equipment Assumptions'!$C$30:$Q$31,2,0),$G151*VLOOKUP($F151,Lists!$C$72:$R$232,COLUMNS(Lists!$C$69:N$69),0)*VLOOKUP(BN$3,Conversions!$B$12:$E$34,4,0)))</f>
        <v>0</v>
      </c>
      <c r="V151" s="333">
        <f>IF($F151="",0,IF($A151="Default",$G151*VLOOKUP($F151,Lists!$C$72:$R$232,COLUMNS(Lists!$C$69:O$69),0)*VLOOKUP(BO$3,Conversions!$B$12:$E$34,4,0)*HLOOKUP($E151,'Equipment Assumptions'!$C$30:$Q$31,2,0),$G151*VLOOKUP($F151,Lists!$C$72:$R$232,COLUMNS(Lists!$C$69:O$69),0)*VLOOKUP(BO$3,Conversions!$B$12:$E$34,4,0)))</f>
        <v>0</v>
      </c>
      <c r="W151" s="333">
        <f>IF($F151="",0,IF($A151="Default",$G151*VLOOKUP($F151,Lists!$C$72:$R$232,COLUMNS(Lists!$C$69:P$69),0)*VLOOKUP(BP$3,Conversions!$B$12:$E$34,4,0)*HLOOKUP($E151,'Equipment Assumptions'!$C$30:$Q$31,2,0),$G151*VLOOKUP($F151,Lists!$C$72:$R$232,COLUMNS(Lists!$C$69:P$69),0)*VLOOKUP(BP$3,Conversions!$B$12:$E$34,4,0)))</f>
        <v>0</v>
      </c>
      <c r="X151" s="333">
        <f>IF($F151="",0,IF($A151="Default",$G151*VLOOKUP($F151,Lists!$C$72:$R$232,COLUMNS(Lists!$C$69:Q$69),0)*VLOOKUP(BQ$3,Conversions!$B$12:$E$34,4,0)*HLOOKUP($E151,'Equipment Assumptions'!$C$30:$Q$31,2,0),$G151*VLOOKUP($F151,Lists!$C$72:$R$232,COLUMNS(Lists!$C$69:Q$69),0)*VLOOKUP(BQ$3,Conversions!$B$12:$E$34,4,0)))</f>
        <v>0</v>
      </c>
      <c r="Y151" s="333">
        <f>IF($F151="",0,IF($A151="Default",$G151*VLOOKUP($F151,Lists!$C$72:$R$232,COLUMNS(Lists!$C$69:R$69),0)*VLOOKUP(BR$3,Conversions!$B$12:$E$34,4,0)*HLOOKUP($E151,'Equipment Assumptions'!$C$30:$Q$31,2,0),$G151*VLOOKUP($F151,Lists!$C$72:$R$232,COLUMNS(Lists!$C$69:R$69),0)*VLOOKUP(BR$3,Conversions!$B$12:$E$34,4,0)))</f>
        <v>0</v>
      </c>
      <c r="Z151" s="325">
        <f t="shared" si="161"/>
        <v>0</v>
      </c>
      <c r="AA151" s="334">
        <f>IF($F151="",0,IF($A151="Default",$H151*VLOOKUP($F151,Lists!$C$72:$R$232,COLUMNS(Lists!$C$69:E$69),0)*VLOOKUP(BE$3,Conversions!$B$12:$E$34,4,0)*HLOOKUP($E151,'Equipment Assumptions'!$C$30:$Q$31,2,0),$H151*VLOOKUP($F151,Lists!$C$72:$R$232,COLUMNS(Lists!$C$69:E$69),0)*VLOOKUP(BE$3,Conversions!$B$12:$E$34,4,0)))</f>
        <v>0</v>
      </c>
      <c r="AB151" s="334">
        <f>IF($F151="",0,IF($A151="Default",$H151*VLOOKUP($F151,Lists!$C$72:$R$232,COLUMNS(Lists!$C$69:F$69),0)*VLOOKUP(BF$3,Conversions!$B$12:$E$34,4,0)*HLOOKUP($E151,'Equipment Assumptions'!$C$30:$Q$31,2,0),$H151*VLOOKUP($F151,Lists!$C$72:$R$232,COLUMNS(Lists!$C$69:F$69),0)*VLOOKUP(BF$3,Conversions!$B$12:$E$34,4,0)))</f>
        <v>0</v>
      </c>
      <c r="AC151" s="334">
        <f>IF($F151="",0,IF($A151="Default",$H151*VLOOKUP($F151,Lists!$C$72:$R$232,COLUMNS(Lists!$C$69:G$69),0)*VLOOKUP(BG$3,Conversions!$B$12:$E$34,4,0)*HLOOKUP($E151,'Equipment Assumptions'!$C$30:$Q$31,2,0),$H151*VLOOKUP($F151,Lists!$C$72:$R$232,COLUMNS(Lists!$C$69:G$69),0)*VLOOKUP(BG$3,Conversions!$B$12:$E$34,4,0)))</f>
        <v>0</v>
      </c>
      <c r="AD151" s="334">
        <f>IF($F151="",0,IF($A151="Default",$H151*VLOOKUP($F151,Lists!$C$72:$R$232,COLUMNS(Lists!$C$69:H$69),0)*VLOOKUP(BH$3,Conversions!$B$12:$E$34,4,0)*HLOOKUP($E151,'Equipment Assumptions'!$C$30:$Q$31,2,0),$H151*VLOOKUP($F151,Lists!$C$72:$R$232,COLUMNS(Lists!$C$69:H$69),0)*VLOOKUP(BH$3,Conversions!$B$12:$E$34,4,0)))</f>
        <v>0</v>
      </c>
      <c r="AE151" s="334">
        <f>IF($F151="",0,IF($A151="Default",$H151*VLOOKUP($F151,Lists!$C$72:$R$232,COLUMNS(Lists!$C$69:I$69),0)*VLOOKUP(BI$3,Conversions!$B$12:$E$34,4,0)*HLOOKUP($E151,'Equipment Assumptions'!$C$30:$Q$31,2,0),$H151*VLOOKUP($F151,Lists!$C$72:$R$232,COLUMNS(Lists!$C$69:I$69),0)*VLOOKUP(BI$3,Conversions!$B$12:$E$34,4,0)))</f>
        <v>0</v>
      </c>
      <c r="AF151" s="334">
        <f>IF($F151="",0,IF($A151="Default",$H151*VLOOKUP($F151,Lists!$C$72:$R$232,COLUMNS(Lists!$C$69:J$69),0)*VLOOKUP(BJ$3,Conversions!$B$12:$E$34,4,0)*HLOOKUP($E151,'Equipment Assumptions'!$C$30:$Q$31,2,0),$H151*VLOOKUP($F151,Lists!$C$72:$R$232,COLUMNS(Lists!$C$69:J$69),0)*VLOOKUP(BJ$3,Conversions!$B$12:$E$34,4,0)))</f>
        <v>0</v>
      </c>
      <c r="AG151" s="334">
        <f>IF($F151="",0,IF($A151="Default",$H151*VLOOKUP($F151,Lists!$C$72:$R$232,COLUMNS(Lists!$C$69:K$69),0)*VLOOKUP(BK$3,Conversions!$B$12:$E$34,4,0)*HLOOKUP($E151,'Equipment Assumptions'!$C$30:$Q$31,2,0),$H151*VLOOKUP($F151,Lists!$C$72:$R$232,COLUMNS(Lists!$C$69:K$69),0)*VLOOKUP(BK$3,Conversions!$B$12:$E$34,4,0)))</f>
        <v>0</v>
      </c>
      <c r="AH151" s="334">
        <f>IF($F151="",0,IF($A151="Default",$H151*VLOOKUP($F151,Lists!$C$72:$R$232,COLUMNS(Lists!$C$69:L$69),0)*VLOOKUP(BL$3,Conversions!$B$12:$E$34,4,0)*HLOOKUP($E151,'Equipment Assumptions'!$C$30:$Q$31,2,0),$H151*VLOOKUP($F151,Lists!$C$72:$R$232,COLUMNS(Lists!$C$69:L$69),0)*VLOOKUP(BL$3,Conversions!$B$12:$E$34,4,0)))</f>
        <v>0</v>
      </c>
      <c r="AI151" s="334">
        <f>IF($F151="",0,IF($A151="Default",$H151*VLOOKUP($F151,Lists!$C$72:$R$232,COLUMNS(Lists!$C$69:M$69),0)*VLOOKUP(BM$3,Conversions!$B$12:$E$34,4,0)*HLOOKUP($E151,'Equipment Assumptions'!$C$30:$Q$31,2,0),$H151*VLOOKUP($F151,Lists!$C$72:$R$232,COLUMNS(Lists!$C$69:M$69),0)*VLOOKUP(BM$3,Conversions!$B$12:$E$34,4,0)))</f>
        <v>0</v>
      </c>
      <c r="AJ151" s="334">
        <f>IF($F151="",0,IF($A151="Default",$H151*VLOOKUP($F151,Lists!$C$72:$R$232,COLUMNS(Lists!$C$69:N$69),0)*VLOOKUP(BN$3,Conversions!$B$12:$E$34,4,0)*HLOOKUP($E151,'Equipment Assumptions'!$C$30:$Q$31,2,0),$H151*VLOOKUP($F151,Lists!$C$72:$R$232,COLUMNS(Lists!$C$69:N$69),0)*VLOOKUP(BN$3,Conversions!$B$12:$E$34,4,0)))</f>
        <v>0</v>
      </c>
      <c r="AK151" s="334">
        <f>IF($F151="",0,IF($A151="Default",$H151*VLOOKUP($F151,Lists!$C$72:$R$232,COLUMNS(Lists!$C$69:O$69),0)*VLOOKUP(BO$3,Conversions!$B$12:$E$34,4,0)*HLOOKUP($E151,'Equipment Assumptions'!$C$30:$Q$31,2,0),$H151*VLOOKUP($F151,Lists!$C$72:$R$232,COLUMNS(Lists!$C$69:O$69),0)*VLOOKUP(BO$3,Conversions!$B$12:$E$34,4,0)))</f>
        <v>0</v>
      </c>
      <c r="AL151" s="334">
        <f>IF($F151="",0,IF($A151="Default",$H151*VLOOKUP($F151,Lists!$C$72:$R$232,COLUMNS(Lists!$C$69:P$69),0)*VLOOKUP(BP$3,Conversions!$B$12:$E$34,4,0)*HLOOKUP($E151,'Equipment Assumptions'!$C$30:$Q$31,2,0),$H151*VLOOKUP($F151,Lists!$C$72:$R$232,COLUMNS(Lists!$C$69:P$69),0)*VLOOKUP(BP$3,Conversions!$B$12:$E$34,4,0)))</f>
        <v>0</v>
      </c>
      <c r="AM151" s="334">
        <f>IF($F151="",0,IF($A151="Default",$H151*VLOOKUP($F151,Lists!$C$72:$R$232,COLUMNS(Lists!$C$69:Q$69),0)*VLOOKUP(BQ$3,Conversions!$B$12:$E$34,4,0)*HLOOKUP($E151,'Equipment Assumptions'!$C$30:$Q$31,2,0),$H151*VLOOKUP($F151,Lists!$C$72:$R$232,COLUMNS(Lists!$C$69:Q$69),0)*VLOOKUP(BQ$3,Conversions!$B$12:$E$34,4,0)))</f>
        <v>0</v>
      </c>
      <c r="AN151" s="334">
        <f>IF($F151="",0,IF($A151="Default",$H151*VLOOKUP($F151,Lists!$C$72:$R$232,COLUMNS(Lists!$C$69:R$69),0)*VLOOKUP(BR$3,Conversions!$B$12:$E$34,4,0)*HLOOKUP($E151,'Equipment Assumptions'!$C$30:$Q$31,2,0),$H151*VLOOKUP($F151,Lists!$C$72:$R$232,COLUMNS(Lists!$C$69:R$69),0)*VLOOKUP(BR$3,Conversions!$B$12:$E$34,4,0)))</f>
        <v>0</v>
      </c>
      <c r="AO151" s="330">
        <f t="shared" si="162"/>
        <v>0</v>
      </c>
      <c r="AP151" s="333">
        <f>IF($F151="",0,IF($A151="Default",$I151*VLOOKUP($F151,Lists!$C$72:$R$232,COLUMNS(Lists!$C$69:E$69),0)*VLOOKUP(BE$3,Conversions!$B$12:$E$34,4,0)*HLOOKUP($E151,'Equipment Assumptions'!$C$30:$Q$31,2,0),$I151*VLOOKUP($F151,Lists!$C$72:$R$232,COLUMNS(Lists!$C$69:E$69),0)*VLOOKUP(BE$3,Conversions!$B$12:$E$34,4,0)))</f>
        <v>0</v>
      </c>
      <c r="AQ151" s="333">
        <f>IF($F151="",0,IF($A151="Default",$I151*VLOOKUP($F151,Lists!$C$72:$R$232,COLUMNS(Lists!$C$69:F$69),0)*VLOOKUP(BF$3,Conversions!$B$12:$E$34,4,0)*HLOOKUP($E151,'Equipment Assumptions'!$C$30:$Q$31,2,0),$I151*VLOOKUP($F151,Lists!$C$72:$R$232,COLUMNS(Lists!$C$69:F$69),0)*VLOOKUP(BF$3,Conversions!$B$12:$E$34,4,0)))</f>
        <v>0</v>
      </c>
      <c r="AR151" s="333">
        <f>IF($F151="",0,IF($A151="Default",$I151*VLOOKUP($F151,Lists!$C$72:$R$232,COLUMNS(Lists!$C$69:G$69),0)*VLOOKUP(BG$3,Conversions!$B$12:$E$34,4,0)*HLOOKUP($E151,'Equipment Assumptions'!$C$30:$Q$31,2,0),$I151*VLOOKUP($F151,Lists!$C$72:$R$232,COLUMNS(Lists!$C$69:G$69),0)*VLOOKUP(BG$3,Conversions!$B$12:$E$34,4,0)))</f>
        <v>0</v>
      </c>
      <c r="AS151" s="333">
        <f>IF($F151="",0,IF($A151="Default",$I151*VLOOKUP($F151,Lists!$C$72:$R$232,COLUMNS(Lists!$C$69:H$69),0)*VLOOKUP(BH$3,Conversions!$B$12:$E$34,4,0)*HLOOKUP($E151,'Equipment Assumptions'!$C$30:$Q$31,2,0),$I151*VLOOKUP($F151,Lists!$C$72:$R$232,COLUMNS(Lists!$C$69:H$69),0)*VLOOKUP(BH$3,Conversions!$B$12:$E$34,4,0)))</f>
        <v>0</v>
      </c>
      <c r="AT151" s="333">
        <f>IF($F151="",0,IF($A151="Default",$I151*VLOOKUP($F151,Lists!$C$72:$R$232,COLUMNS(Lists!$C$69:I$69),0)*VLOOKUP(BI$3,Conversions!$B$12:$E$34,4,0)*HLOOKUP($E151,'Equipment Assumptions'!$C$30:$Q$31,2,0),$I151*VLOOKUP($F151,Lists!$C$72:$R$232,COLUMNS(Lists!$C$69:I$69),0)*VLOOKUP(BI$3,Conversions!$B$12:$E$34,4,0)))</f>
        <v>0</v>
      </c>
      <c r="AU151" s="333">
        <f>IF($F151="",0,IF($A151="Default",$I151*VLOOKUP($F151,Lists!$C$72:$R$232,COLUMNS(Lists!$C$69:J$69),0)*VLOOKUP(BJ$3,Conversions!$B$12:$E$34,4,0)*HLOOKUP($E151,'Equipment Assumptions'!$C$30:$Q$31,2,0),$I151*VLOOKUP($F151,Lists!$C$72:$R$232,COLUMNS(Lists!$C$69:J$69),0)*VLOOKUP(BJ$3,Conversions!$B$12:$E$34,4,0)))</f>
        <v>0</v>
      </c>
      <c r="AV151" s="333">
        <f>IF($F151="",0,IF($A151="Default",$I151*VLOOKUP($F151,Lists!$C$72:$R$232,COLUMNS(Lists!$C$69:K$69),0)*VLOOKUP(BK$3,Conversions!$B$12:$E$34,4,0)*HLOOKUP($E151,'Equipment Assumptions'!$C$30:$Q$31,2,0),$I151*VLOOKUP($F151,Lists!$C$72:$R$232,COLUMNS(Lists!$C$69:K$69),0)*VLOOKUP(BK$3,Conversions!$B$12:$E$34,4,0)))</f>
        <v>0</v>
      </c>
      <c r="AW151" s="333">
        <f>IF($F151="",0,IF($A151="Default",$I151*VLOOKUP($F151,Lists!$C$72:$R$232,COLUMNS(Lists!$C$69:L$69),0)*VLOOKUP(BL$3,Conversions!$B$12:$E$34,4,0)*HLOOKUP($E151,'Equipment Assumptions'!$C$30:$Q$31,2,0),$I151*VLOOKUP($F151,Lists!$C$72:$R$232,COLUMNS(Lists!$C$69:L$69),0)*VLOOKUP(BL$3,Conversions!$B$12:$E$34,4,0)))</f>
        <v>0</v>
      </c>
      <c r="AX151" s="333">
        <f>IF($F151="",0,IF($A151="Default",$I151*VLOOKUP($F151,Lists!$C$72:$R$232,COLUMNS(Lists!$C$69:M$69),0)*VLOOKUP(BM$3,Conversions!$B$12:$E$34,4,0)*HLOOKUP($E151,'Equipment Assumptions'!$C$30:$Q$31,2,0),$I151*VLOOKUP($F151,Lists!$C$72:$R$232,COLUMNS(Lists!$C$69:M$69),0)*VLOOKUP(BM$3,Conversions!$B$12:$E$34,4,0)))</f>
        <v>0</v>
      </c>
      <c r="AY151" s="333">
        <f>IF($F151="",0,IF($A151="Default",$I151*VLOOKUP($F151,Lists!$C$72:$R$232,COLUMNS(Lists!$C$69:N$69),0)*VLOOKUP(BN$3,Conversions!$B$12:$E$34,4,0)*HLOOKUP($E151,'Equipment Assumptions'!$C$30:$Q$31,2,0),$I151*VLOOKUP($F151,Lists!$C$72:$R$232,COLUMNS(Lists!$C$69:N$69),0)*VLOOKUP(BN$3,Conversions!$B$12:$E$34,4,0)))</f>
        <v>0</v>
      </c>
      <c r="AZ151" s="333">
        <f>IF($F151="",0,IF($A151="Default",$I151*VLOOKUP($F151,Lists!$C$72:$R$232,COLUMNS(Lists!$C$69:O$69),0)*VLOOKUP(BO$3,Conversions!$B$12:$E$34,4,0)*HLOOKUP($E151,'Equipment Assumptions'!$C$30:$Q$31,2,0),$I151*VLOOKUP($F151,Lists!$C$72:$R$232,COLUMNS(Lists!$C$69:O$69),0)*VLOOKUP(BO$3,Conversions!$B$12:$E$34,4,0)))</f>
        <v>0</v>
      </c>
      <c r="BA151" s="333">
        <f>IF($F151="",0,IF($A151="Default",$I151*VLOOKUP($F151,Lists!$C$72:$R$232,COLUMNS(Lists!$C$69:P$69),0)*VLOOKUP(BP$3,Conversions!$B$12:$E$34,4,0)*HLOOKUP($E151,'Equipment Assumptions'!$C$30:$Q$31,2,0),$I151*VLOOKUP($F151,Lists!$C$72:$R$232,COLUMNS(Lists!$C$69:P$69),0)*VLOOKUP(BP$3,Conversions!$B$12:$E$34,4,0)))</f>
        <v>0</v>
      </c>
      <c r="BB151" s="333">
        <f>IF($F151="",0,IF($A151="Default",$I151*VLOOKUP($F151,Lists!$C$72:$R$232,COLUMNS(Lists!$C$69:Q$69),0)*VLOOKUP(BQ$3,Conversions!$B$12:$E$34,4,0)*HLOOKUP($E151,'Equipment Assumptions'!$C$30:$Q$31,2,0),$I151*VLOOKUP($F151,Lists!$C$72:$R$232,COLUMNS(Lists!$C$69:Q$69),0)*VLOOKUP(BQ$3,Conversions!$B$12:$E$34,4,0)))</f>
        <v>0</v>
      </c>
      <c r="BC151" s="333">
        <f>IF($F151="",0,IF($A151="Default",$I151*VLOOKUP($F151,Lists!$C$72:$R$232,COLUMNS(Lists!$C$69:R$69),0)*VLOOKUP(BR$3,Conversions!$B$12:$E$34,4,0)*HLOOKUP($E151,'Equipment Assumptions'!$C$30:$Q$31,2,0),$I151*VLOOKUP($F151,Lists!$C$72:$R$232,COLUMNS(Lists!$C$69:R$69),0)*VLOOKUP(BR$3,Conversions!$B$12:$E$34,4,0)))</f>
        <v>0</v>
      </c>
      <c r="BD151" s="333">
        <f t="shared" si="163"/>
        <v>0</v>
      </c>
      <c r="BE151" s="330">
        <f t="shared" si="164"/>
        <v>0</v>
      </c>
      <c r="BF151" s="330">
        <f t="shared" si="165"/>
        <v>0</v>
      </c>
      <c r="BG151" s="330">
        <f t="shared" si="166"/>
        <v>0</v>
      </c>
      <c r="BH151" s="330">
        <f t="shared" si="167"/>
        <v>0</v>
      </c>
      <c r="BI151" s="330">
        <f t="shared" si="168"/>
        <v>0</v>
      </c>
      <c r="BJ151" s="330">
        <f t="shared" si="169"/>
        <v>0</v>
      </c>
      <c r="BK151" s="330">
        <f t="shared" si="170"/>
        <v>0</v>
      </c>
      <c r="BL151" s="330">
        <f t="shared" si="171"/>
        <v>0</v>
      </c>
      <c r="BM151" s="330">
        <f t="shared" si="172"/>
        <v>0</v>
      </c>
      <c r="BN151" s="330">
        <f t="shared" si="173"/>
        <v>0</v>
      </c>
      <c r="BO151" s="330">
        <f t="shared" si="174"/>
        <v>0</v>
      </c>
      <c r="BP151" s="330">
        <f t="shared" si="175"/>
        <v>0</v>
      </c>
      <c r="BQ151" s="330">
        <f t="shared" si="176"/>
        <v>0</v>
      </c>
      <c r="BR151" s="330">
        <f t="shared" si="177"/>
        <v>0</v>
      </c>
      <c r="BS151" s="330">
        <f t="shared" si="178"/>
        <v>0</v>
      </c>
      <c r="BT151" s="329">
        <f t="shared" si="194"/>
        <v>0</v>
      </c>
      <c r="BU151" s="329">
        <f t="shared" si="194"/>
        <v>0</v>
      </c>
      <c r="BV151" s="329">
        <f t="shared" si="194"/>
        <v>0</v>
      </c>
      <c r="BW151" s="329">
        <f t="shared" si="194"/>
        <v>0</v>
      </c>
      <c r="BX151" s="329">
        <f t="shared" si="194"/>
        <v>0</v>
      </c>
      <c r="BY151" s="329">
        <f t="shared" si="194"/>
        <v>0</v>
      </c>
      <c r="BZ151" s="329">
        <f t="shared" si="194"/>
        <v>0</v>
      </c>
      <c r="CA151" s="329">
        <f t="shared" si="194"/>
        <v>0</v>
      </c>
      <c r="CB151" s="329">
        <f t="shared" si="194"/>
        <v>0</v>
      </c>
      <c r="CC151" s="329">
        <f t="shared" si="194"/>
        <v>0</v>
      </c>
      <c r="CD151" s="329">
        <f t="shared" si="194"/>
        <v>0</v>
      </c>
      <c r="CE151" s="329">
        <f t="shared" si="194"/>
        <v>0</v>
      </c>
      <c r="CF151" s="329">
        <f t="shared" si="194"/>
        <v>0</v>
      </c>
      <c r="CG151" s="329">
        <f t="shared" si="194"/>
        <v>0</v>
      </c>
      <c r="CH151" s="329">
        <f t="shared" si="194"/>
        <v>0</v>
      </c>
      <c r="CI151" s="329">
        <f t="shared" si="194"/>
        <v>0</v>
      </c>
      <c r="CJ151" s="331">
        <f t="shared" si="179"/>
        <v>0</v>
      </c>
      <c r="CK151" s="330">
        <f t="shared" si="180"/>
        <v>0</v>
      </c>
      <c r="CL151" s="330">
        <f t="shared" si="181"/>
        <v>0</v>
      </c>
      <c r="CM151" s="330">
        <f t="shared" si="182"/>
        <v>0</v>
      </c>
      <c r="CN151" s="330">
        <f t="shared" si="183"/>
        <v>0</v>
      </c>
      <c r="CO151" s="330">
        <f t="shared" si="184"/>
        <v>0</v>
      </c>
      <c r="CP151" s="330">
        <f t="shared" si="185"/>
        <v>0</v>
      </c>
      <c r="CQ151" s="330">
        <f t="shared" si="186"/>
        <v>0</v>
      </c>
      <c r="CR151" s="330">
        <f t="shared" si="187"/>
        <v>0</v>
      </c>
      <c r="CS151" s="330">
        <f t="shared" si="188"/>
        <v>0</v>
      </c>
      <c r="CT151" s="330">
        <f t="shared" si="189"/>
        <v>0</v>
      </c>
      <c r="CU151" s="330">
        <f t="shared" si="195"/>
        <v>0</v>
      </c>
      <c r="CV151" s="330">
        <f t="shared" si="195"/>
        <v>0</v>
      </c>
      <c r="CW151" s="330">
        <f t="shared" si="195"/>
        <v>0</v>
      </c>
      <c r="CX151" s="330">
        <f t="shared" si="195"/>
        <v>0</v>
      </c>
      <c r="CY151" s="330">
        <f t="shared" si="195"/>
        <v>0</v>
      </c>
      <c r="CZ151" s="330">
        <f t="shared" si="195"/>
        <v>0</v>
      </c>
      <c r="DA151" s="330">
        <f t="shared" si="195"/>
        <v>0</v>
      </c>
      <c r="DB151" s="330">
        <f t="shared" si="195"/>
        <v>0</v>
      </c>
      <c r="DC151" s="330">
        <f t="shared" si="195"/>
        <v>0</v>
      </c>
      <c r="DD151" s="330">
        <f t="shared" si="195"/>
        <v>0</v>
      </c>
      <c r="DE151" s="330">
        <f t="shared" si="196"/>
        <v>0</v>
      </c>
      <c r="DF151" s="330">
        <f t="shared" si="196"/>
        <v>0</v>
      </c>
      <c r="DG151" s="330">
        <f t="shared" si="196"/>
        <v>0</v>
      </c>
      <c r="DH151" s="330">
        <f t="shared" si="196"/>
        <v>0</v>
      </c>
      <c r="DI151" s="330">
        <f t="shared" si="196"/>
        <v>0</v>
      </c>
      <c r="DJ151" s="330">
        <f t="shared" si="196"/>
        <v>0</v>
      </c>
      <c r="DK151" s="330">
        <f t="shared" si="196"/>
        <v>0</v>
      </c>
      <c r="DL151" s="330">
        <f t="shared" si="196"/>
        <v>0</v>
      </c>
      <c r="DM151" s="330">
        <f t="shared" si="196"/>
        <v>0</v>
      </c>
      <c r="DN151" s="330">
        <f t="shared" si="196"/>
        <v>0</v>
      </c>
      <c r="DO151" s="330">
        <f t="shared" si="196"/>
        <v>0</v>
      </c>
      <c r="DP151" s="330">
        <f t="shared" si="190"/>
        <v>0</v>
      </c>
      <c r="DQ151" s="217"/>
      <c r="DR151" s="217"/>
      <c r="DS151" s="217"/>
      <c r="DT151" s="217"/>
    </row>
    <row r="152" spans="1:124" x14ac:dyDescent="0.3">
      <c r="A152" s="332" t="str">
        <f>IF(AND(F152&lt;&gt;"",OR('Simplified Screening 1'!G43=0,'Simplified Screening 1'!G43="I Don't Know")),"Default","")</f>
        <v/>
      </c>
      <c r="B152" s="221" t="s">
        <v>306</v>
      </c>
      <c r="C152" s="221" t="str">
        <f>IF('Simplified Screening 1'!C43=0,"",'Simplified Screening 1'!C43)</f>
        <v/>
      </c>
      <c r="D152" s="221" t="str">
        <f>IF('Simplified Screening 1'!D43=0,"",'Simplified Screening 1'!D43)</f>
        <v/>
      </c>
      <c r="E152" s="221" t="str">
        <f>IF('Simplified Screening 1'!E43=0,"",'Simplified Screening 1'!E43)</f>
        <v/>
      </c>
      <c r="F152" s="221" t="str">
        <f>'Simplified Screening 1'!R43</f>
        <v/>
      </c>
      <c r="G152" s="272">
        <f>'Simplified Screening 1'!H43*'Simplified Screening 1'!L43*Conversions!$C$4</f>
        <v>0</v>
      </c>
      <c r="H152" s="272">
        <f>'Simplified Screening 1'!I43*'Simplified Screening 1'!M43*'Simplified Screening 1'!J43*Conversions!$C$4</f>
        <v>0</v>
      </c>
      <c r="I152" s="272">
        <f>'Simplified Screening 1'!K43*'Simplified Screening 1'!N43*(1-'Simplified Screening 1'!O43)*Conversions!$C$4</f>
        <v>0</v>
      </c>
      <c r="J152" s="325">
        <f>IF('Simplified Screening 1'!P43=0,0,'Simplified Screening 1'!P43)</f>
        <v>0</v>
      </c>
      <c r="K152" s="325">
        <f>IF(AND(OR('Simplified Screening 1'!G43=0,'Simplified Screening 1'!G43="I Don't Know"),F152&lt;&gt;""),J152*HLOOKUP(E152,'Equipment Assumptions'!$C$30:$Q$31,2,0),IF(F152="Non-HFC",0,J152))</f>
        <v>0</v>
      </c>
      <c r="L152" s="333">
        <f>IF($F152="",0,IF($A152="Default",$G152*VLOOKUP($F152,Lists!$C$72:$R$232,COLUMNS(Lists!$C$69:E$69),0)*VLOOKUP(BE$3,Conversions!$B$12:$E$34,4,0)*HLOOKUP($E152,'Equipment Assumptions'!$C$30:$Q$31,2,0),$G152*VLOOKUP($F152,Lists!$C$72:$R$232,COLUMNS(Lists!$C$69:E$69),0)*VLOOKUP(BE$3,Conversions!$B$12:$E$34,4,0)))</f>
        <v>0</v>
      </c>
      <c r="M152" s="333">
        <f>IF($F152="",0,IF($A152="Default",$G152*VLOOKUP($F152,Lists!$C$72:$R$232,COLUMNS(Lists!$C$69:F$69),0)*VLOOKUP(BF$3,Conversions!$B$12:$E$34,4,0)*HLOOKUP($E152,'Equipment Assumptions'!$C$30:$Q$31,2,0),$G152*VLOOKUP($F152,Lists!$C$72:$R$232,COLUMNS(Lists!$C$69:F$69),0)*VLOOKUP(BF$3,Conversions!$B$12:$E$34,4,0)))</f>
        <v>0</v>
      </c>
      <c r="N152" s="333">
        <f>IF($F152="",0,IF($A152="Default",$G152*VLOOKUP($F152,Lists!$C$72:$R$232,COLUMNS(Lists!$C$69:G$69),0)*VLOOKUP(BG$3,Conversions!$B$12:$E$34,4,0)*HLOOKUP($E152,'Equipment Assumptions'!$C$30:$Q$31,2,0),$G152*VLOOKUP($F152,Lists!$C$72:$R$232,COLUMNS(Lists!$C$69:G$69),0)*VLOOKUP(BG$3,Conversions!$B$12:$E$34,4,0)))</f>
        <v>0</v>
      </c>
      <c r="O152" s="333">
        <f>IF($F152="",0,IF($A152="Default",$G152*VLOOKUP($F152,Lists!$C$72:$R$232,COLUMNS(Lists!$C$69:H$69),0)*VLOOKUP(BH$3,Conversions!$B$12:$E$34,4,0)*HLOOKUP($E152,'Equipment Assumptions'!$C$30:$Q$31,2,0),$G152*VLOOKUP($F152,Lists!$C$72:$R$232,COLUMNS(Lists!$C$69:H$69),0)*VLOOKUP(BH$3,Conversions!$B$12:$E$34,4,0)))</f>
        <v>0</v>
      </c>
      <c r="P152" s="333">
        <f>IF($F152="",0,IF($A152="Default",$G152*VLOOKUP($F152,Lists!$C$72:$R$232,COLUMNS(Lists!$C$69:I$69),0)*VLOOKUP(BI$3,Conversions!$B$12:$E$34,4,0)*HLOOKUP($E152,'Equipment Assumptions'!$C$30:$Q$31,2,0),$G152*VLOOKUP($F152,Lists!$C$72:$R$232,COLUMNS(Lists!$C$69:I$69),0)*VLOOKUP(BI$3,Conversions!$B$12:$E$34,4,0)))</f>
        <v>0</v>
      </c>
      <c r="Q152" s="333">
        <f>IF($F152="",0,IF($A152="Default",$G152*VLOOKUP($F152,Lists!$C$72:$R$232,COLUMNS(Lists!$C$69:J$69),0)*VLOOKUP(BJ$3,Conversions!$B$12:$E$34,4,0)*HLOOKUP($E152,'Equipment Assumptions'!$C$30:$Q$31,2,0),$G152*VLOOKUP($F152,Lists!$C$72:$R$232,COLUMNS(Lists!$C$69:J$69),0)*VLOOKUP(BJ$3,Conversions!$B$12:$E$34,4,0)))</f>
        <v>0</v>
      </c>
      <c r="R152" s="333">
        <f>IF($F152="",0,IF($A152="Default",$G152*VLOOKUP($F152,Lists!$C$72:$R$232,COLUMNS(Lists!$C$69:K$69),0)*VLOOKUP(BK$3,Conversions!$B$12:$E$34,4,0)*HLOOKUP($E152,'Equipment Assumptions'!$C$30:$Q$31,2,0),$G152*VLOOKUP($F152,Lists!$C$72:$R$232,COLUMNS(Lists!$C$69:K$69),0)*VLOOKUP(BK$3,Conversions!$B$12:$E$34,4,0)))</f>
        <v>0</v>
      </c>
      <c r="S152" s="333">
        <f>IF($F152="",0,IF($A152="Default",$G152*VLOOKUP($F152,Lists!$C$72:$R$232,COLUMNS(Lists!$C$69:L$69),0)*VLOOKUP(BL$3,Conversions!$B$12:$E$34,4,0)*HLOOKUP($E152,'Equipment Assumptions'!$C$30:$Q$31,2,0),$G152*VLOOKUP($F152,Lists!$C$72:$R$232,COLUMNS(Lists!$C$69:L$69),0)*VLOOKUP(BL$3,Conversions!$B$12:$E$34,4,0)))</f>
        <v>0</v>
      </c>
      <c r="T152" s="333">
        <f>IF($F152="",0,IF($A152="Default",$G152*VLOOKUP($F152,Lists!$C$72:$R$232,COLUMNS(Lists!$C$69:M$69),0)*VLOOKUP(BM$3,Conversions!$B$12:$E$34,4,0)*HLOOKUP($E152,'Equipment Assumptions'!$C$30:$Q$31,2,0),$G152*VLOOKUP($F152,Lists!$C$72:$R$232,COLUMNS(Lists!$C$69:M$69),0)*VLOOKUP(BM$3,Conversions!$B$12:$E$34,4,0)))</f>
        <v>0</v>
      </c>
      <c r="U152" s="333">
        <f>IF($F152="",0,IF($A152="Default",$G152*VLOOKUP($F152,Lists!$C$72:$R$232,COLUMNS(Lists!$C$69:N$69),0)*VLOOKUP(BN$3,Conversions!$B$12:$E$34,4,0)*HLOOKUP($E152,'Equipment Assumptions'!$C$30:$Q$31,2,0),$G152*VLOOKUP($F152,Lists!$C$72:$R$232,COLUMNS(Lists!$C$69:N$69),0)*VLOOKUP(BN$3,Conversions!$B$12:$E$34,4,0)))</f>
        <v>0</v>
      </c>
      <c r="V152" s="333">
        <f>IF($F152="",0,IF($A152="Default",$G152*VLOOKUP($F152,Lists!$C$72:$R$232,COLUMNS(Lists!$C$69:O$69),0)*VLOOKUP(BO$3,Conversions!$B$12:$E$34,4,0)*HLOOKUP($E152,'Equipment Assumptions'!$C$30:$Q$31,2,0),$G152*VLOOKUP($F152,Lists!$C$72:$R$232,COLUMNS(Lists!$C$69:O$69),0)*VLOOKUP(BO$3,Conversions!$B$12:$E$34,4,0)))</f>
        <v>0</v>
      </c>
      <c r="W152" s="333">
        <f>IF($F152="",0,IF($A152="Default",$G152*VLOOKUP($F152,Lists!$C$72:$R$232,COLUMNS(Lists!$C$69:P$69),0)*VLOOKUP(BP$3,Conversions!$B$12:$E$34,4,0)*HLOOKUP($E152,'Equipment Assumptions'!$C$30:$Q$31,2,0),$G152*VLOOKUP($F152,Lists!$C$72:$R$232,COLUMNS(Lists!$C$69:P$69),0)*VLOOKUP(BP$3,Conversions!$B$12:$E$34,4,0)))</f>
        <v>0</v>
      </c>
      <c r="X152" s="333">
        <f>IF($F152="",0,IF($A152="Default",$G152*VLOOKUP($F152,Lists!$C$72:$R$232,COLUMNS(Lists!$C$69:Q$69),0)*VLOOKUP(BQ$3,Conversions!$B$12:$E$34,4,0)*HLOOKUP($E152,'Equipment Assumptions'!$C$30:$Q$31,2,0),$G152*VLOOKUP($F152,Lists!$C$72:$R$232,COLUMNS(Lists!$C$69:Q$69),0)*VLOOKUP(BQ$3,Conversions!$B$12:$E$34,4,0)))</f>
        <v>0</v>
      </c>
      <c r="Y152" s="333">
        <f>IF($F152="",0,IF($A152="Default",$G152*VLOOKUP($F152,Lists!$C$72:$R$232,COLUMNS(Lists!$C$69:R$69),0)*VLOOKUP(BR$3,Conversions!$B$12:$E$34,4,0)*HLOOKUP($E152,'Equipment Assumptions'!$C$30:$Q$31,2,0),$G152*VLOOKUP($F152,Lists!$C$72:$R$232,COLUMNS(Lists!$C$69:R$69),0)*VLOOKUP(BR$3,Conversions!$B$12:$E$34,4,0)))</f>
        <v>0</v>
      </c>
      <c r="Z152" s="325">
        <f t="shared" si="161"/>
        <v>0</v>
      </c>
      <c r="AA152" s="334">
        <f>IF($F152="",0,IF($A152="Default",$H152*VLOOKUP($F152,Lists!$C$72:$R$232,COLUMNS(Lists!$C$69:E$69),0)*VLOOKUP(BE$3,Conversions!$B$12:$E$34,4,0)*HLOOKUP($E152,'Equipment Assumptions'!$C$30:$Q$31,2,0),$H152*VLOOKUP($F152,Lists!$C$72:$R$232,COLUMNS(Lists!$C$69:E$69),0)*VLOOKUP(BE$3,Conversions!$B$12:$E$34,4,0)))</f>
        <v>0</v>
      </c>
      <c r="AB152" s="334">
        <f>IF($F152="",0,IF($A152="Default",$H152*VLOOKUP($F152,Lists!$C$72:$R$232,COLUMNS(Lists!$C$69:F$69),0)*VLOOKUP(BF$3,Conversions!$B$12:$E$34,4,0)*HLOOKUP($E152,'Equipment Assumptions'!$C$30:$Q$31,2,0),$H152*VLOOKUP($F152,Lists!$C$72:$R$232,COLUMNS(Lists!$C$69:F$69),0)*VLOOKUP(BF$3,Conversions!$B$12:$E$34,4,0)))</f>
        <v>0</v>
      </c>
      <c r="AC152" s="334">
        <f>IF($F152="",0,IF($A152="Default",$H152*VLOOKUP($F152,Lists!$C$72:$R$232,COLUMNS(Lists!$C$69:G$69),0)*VLOOKUP(BG$3,Conversions!$B$12:$E$34,4,0)*HLOOKUP($E152,'Equipment Assumptions'!$C$30:$Q$31,2,0),$H152*VLOOKUP($F152,Lists!$C$72:$R$232,COLUMNS(Lists!$C$69:G$69),0)*VLOOKUP(BG$3,Conversions!$B$12:$E$34,4,0)))</f>
        <v>0</v>
      </c>
      <c r="AD152" s="334">
        <f>IF($F152="",0,IF($A152="Default",$H152*VLOOKUP($F152,Lists!$C$72:$R$232,COLUMNS(Lists!$C$69:H$69),0)*VLOOKUP(BH$3,Conversions!$B$12:$E$34,4,0)*HLOOKUP($E152,'Equipment Assumptions'!$C$30:$Q$31,2,0),$H152*VLOOKUP($F152,Lists!$C$72:$R$232,COLUMNS(Lists!$C$69:H$69),0)*VLOOKUP(BH$3,Conversions!$B$12:$E$34,4,0)))</f>
        <v>0</v>
      </c>
      <c r="AE152" s="334">
        <f>IF($F152="",0,IF($A152="Default",$H152*VLOOKUP($F152,Lists!$C$72:$R$232,COLUMNS(Lists!$C$69:I$69),0)*VLOOKUP(BI$3,Conversions!$B$12:$E$34,4,0)*HLOOKUP($E152,'Equipment Assumptions'!$C$30:$Q$31,2,0),$H152*VLOOKUP($F152,Lists!$C$72:$R$232,COLUMNS(Lists!$C$69:I$69),0)*VLOOKUP(BI$3,Conversions!$B$12:$E$34,4,0)))</f>
        <v>0</v>
      </c>
      <c r="AF152" s="334">
        <f>IF($F152="",0,IF($A152="Default",$H152*VLOOKUP($F152,Lists!$C$72:$R$232,COLUMNS(Lists!$C$69:J$69),0)*VLOOKUP(BJ$3,Conversions!$B$12:$E$34,4,0)*HLOOKUP($E152,'Equipment Assumptions'!$C$30:$Q$31,2,0),$H152*VLOOKUP($F152,Lists!$C$72:$R$232,COLUMNS(Lists!$C$69:J$69),0)*VLOOKUP(BJ$3,Conversions!$B$12:$E$34,4,0)))</f>
        <v>0</v>
      </c>
      <c r="AG152" s="334">
        <f>IF($F152="",0,IF($A152="Default",$H152*VLOOKUP($F152,Lists!$C$72:$R$232,COLUMNS(Lists!$C$69:K$69),0)*VLOOKUP(BK$3,Conversions!$B$12:$E$34,4,0)*HLOOKUP($E152,'Equipment Assumptions'!$C$30:$Q$31,2,0),$H152*VLOOKUP($F152,Lists!$C$72:$R$232,COLUMNS(Lists!$C$69:K$69),0)*VLOOKUP(BK$3,Conversions!$B$12:$E$34,4,0)))</f>
        <v>0</v>
      </c>
      <c r="AH152" s="334">
        <f>IF($F152="",0,IF($A152="Default",$H152*VLOOKUP($F152,Lists!$C$72:$R$232,COLUMNS(Lists!$C$69:L$69),0)*VLOOKUP(BL$3,Conversions!$B$12:$E$34,4,0)*HLOOKUP($E152,'Equipment Assumptions'!$C$30:$Q$31,2,0),$H152*VLOOKUP($F152,Lists!$C$72:$R$232,COLUMNS(Lists!$C$69:L$69),0)*VLOOKUP(BL$3,Conversions!$B$12:$E$34,4,0)))</f>
        <v>0</v>
      </c>
      <c r="AI152" s="334">
        <f>IF($F152="",0,IF($A152="Default",$H152*VLOOKUP($F152,Lists!$C$72:$R$232,COLUMNS(Lists!$C$69:M$69),0)*VLOOKUP(BM$3,Conversions!$B$12:$E$34,4,0)*HLOOKUP($E152,'Equipment Assumptions'!$C$30:$Q$31,2,0),$H152*VLOOKUP($F152,Lists!$C$72:$R$232,COLUMNS(Lists!$C$69:M$69),0)*VLOOKUP(BM$3,Conversions!$B$12:$E$34,4,0)))</f>
        <v>0</v>
      </c>
      <c r="AJ152" s="334">
        <f>IF($F152="",0,IF($A152="Default",$H152*VLOOKUP($F152,Lists!$C$72:$R$232,COLUMNS(Lists!$C$69:N$69),0)*VLOOKUP(BN$3,Conversions!$B$12:$E$34,4,0)*HLOOKUP($E152,'Equipment Assumptions'!$C$30:$Q$31,2,0),$H152*VLOOKUP($F152,Lists!$C$72:$R$232,COLUMNS(Lists!$C$69:N$69),0)*VLOOKUP(BN$3,Conversions!$B$12:$E$34,4,0)))</f>
        <v>0</v>
      </c>
      <c r="AK152" s="334">
        <f>IF($F152="",0,IF($A152="Default",$H152*VLOOKUP($F152,Lists!$C$72:$R$232,COLUMNS(Lists!$C$69:O$69),0)*VLOOKUP(BO$3,Conversions!$B$12:$E$34,4,0)*HLOOKUP($E152,'Equipment Assumptions'!$C$30:$Q$31,2,0),$H152*VLOOKUP($F152,Lists!$C$72:$R$232,COLUMNS(Lists!$C$69:O$69),0)*VLOOKUP(BO$3,Conversions!$B$12:$E$34,4,0)))</f>
        <v>0</v>
      </c>
      <c r="AL152" s="334">
        <f>IF($F152="",0,IF($A152="Default",$H152*VLOOKUP($F152,Lists!$C$72:$R$232,COLUMNS(Lists!$C$69:P$69),0)*VLOOKUP(BP$3,Conversions!$B$12:$E$34,4,0)*HLOOKUP($E152,'Equipment Assumptions'!$C$30:$Q$31,2,0),$H152*VLOOKUP($F152,Lists!$C$72:$R$232,COLUMNS(Lists!$C$69:P$69),0)*VLOOKUP(BP$3,Conversions!$B$12:$E$34,4,0)))</f>
        <v>0</v>
      </c>
      <c r="AM152" s="334">
        <f>IF($F152="",0,IF($A152="Default",$H152*VLOOKUP($F152,Lists!$C$72:$R$232,COLUMNS(Lists!$C$69:Q$69),0)*VLOOKUP(BQ$3,Conversions!$B$12:$E$34,4,0)*HLOOKUP($E152,'Equipment Assumptions'!$C$30:$Q$31,2,0),$H152*VLOOKUP($F152,Lists!$C$72:$R$232,COLUMNS(Lists!$C$69:Q$69),0)*VLOOKUP(BQ$3,Conversions!$B$12:$E$34,4,0)))</f>
        <v>0</v>
      </c>
      <c r="AN152" s="334">
        <f>IF($F152="",0,IF($A152="Default",$H152*VLOOKUP($F152,Lists!$C$72:$R$232,COLUMNS(Lists!$C$69:R$69),0)*VLOOKUP(BR$3,Conversions!$B$12:$E$34,4,0)*HLOOKUP($E152,'Equipment Assumptions'!$C$30:$Q$31,2,0),$H152*VLOOKUP($F152,Lists!$C$72:$R$232,COLUMNS(Lists!$C$69:R$69),0)*VLOOKUP(BR$3,Conversions!$B$12:$E$34,4,0)))</f>
        <v>0</v>
      </c>
      <c r="AO152" s="330">
        <f t="shared" si="162"/>
        <v>0</v>
      </c>
      <c r="AP152" s="333">
        <f>IF($F152="",0,IF($A152="Default",$I152*VLOOKUP($F152,Lists!$C$72:$R$232,COLUMNS(Lists!$C$69:E$69),0)*VLOOKUP(BE$3,Conversions!$B$12:$E$34,4,0)*HLOOKUP($E152,'Equipment Assumptions'!$C$30:$Q$31,2,0),$I152*VLOOKUP($F152,Lists!$C$72:$R$232,COLUMNS(Lists!$C$69:E$69),0)*VLOOKUP(BE$3,Conversions!$B$12:$E$34,4,0)))</f>
        <v>0</v>
      </c>
      <c r="AQ152" s="333">
        <f>IF($F152="",0,IF($A152="Default",$I152*VLOOKUP($F152,Lists!$C$72:$R$232,COLUMNS(Lists!$C$69:F$69),0)*VLOOKUP(BF$3,Conversions!$B$12:$E$34,4,0)*HLOOKUP($E152,'Equipment Assumptions'!$C$30:$Q$31,2,0),$I152*VLOOKUP($F152,Lists!$C$72:$R$232,COLUMNS(Lists!$C$69:F$69),0)*VLOOKUP(BF$3,Conversions!$B$12:$E$34,4,0)))</f>
        <v>0</v>
      </c>
      <c r="AR152" s="333">
        <f>IF($F152="",0,IF($A152="Default",$I152*VLOOKUP($F152,Lists!$C$72:$R$232,COLUMNS(Lists!$C$69:G$69),0)*VLOOKUP(BG$3,Conversions!$B$12:$E$34,4,0)*HLOOKUP($E152,'Equipment Assumptions'!$C$30:$Q$31,2,0),$I152*VLOOKUP($F152,Lists!$C$72:$R$232,COLUMNS(Lists!$C$69:G$69),0)*VLOOKUP(BG$3,Conversions!$B$12:$E$34,4,0)))</f>
        <v>0</v>
      </c>
      <c r="AS152" s="333">
        <f>IF($F152="",0,IF($A152="Default",$I152*VLOOKUP($F152,Lists!$C$72:$R$232,COLUMNS(Lists!$C$69:H$69),0)*VLOOKUP(BH$3,Conversions!$B$12:$E$34,4,0)*HLOOKUP($E152,'Equipment Assumptions'!$C$30:$Q$31,2,0),$I152*VLOOKUP($F152,Lists!$C$72:$R$232,COLUMNS(Lists!$C$69:H$69),0)*VLOOKUP(BH$3,Conversions!$B$12:$E$34,4,0)))</f>
        <v>0</v>
      </c>
      <c r="AT152" s="333">
        <f>IF($F152="",0,IF($A152="Default",$I152*VLOOKUP($F152,Lists!$C$72:$R$232,COLUMNS(Lists!$C$69:I$69),0)*VLOOKUP(BI$3,Conversions!$B$12:$E$34,4,0)*HLOOKUP($E152,'Equipment Assumptions'!$C$30:$Q$31,2,0),$I152*VLOOKUP($F152,Lists!$C$72:$R$232,COLUMNS(Lists!$C$69:I$69),0)*VLOOKUP(BI$3,Conversions!$B$12:$E$34,4,0)))</f>
        <v>0</v>
      </c>
      <c r="AU152" s="333">
        <f>IF($F152="",0,IF($A152="Default",$I152*VLOOKUP($F152,Lists!$C$72:$R$232,COLUMNS(Lists!$C$69:J$69),0)*VLOOKUP(BJ$3,Conversions!$B$12:$E$34,4,0)*HLOOKUP($E152,'Equipment Assumptions'!$C$30:$Q$31,2,0),$I152*VLOOKUP($F152,Lists!$C$72:$R$232,COLUMNS(Lists!$C$69:J$69),0)*VLOOKUP(BJ$3,Conversions!$B$12:$E$34,4,0)))</f>
        <v>0</v>
      </c>
      <c r="AV152" s="333">
        <f>IF($F152="",0,IF($A152="Default",$I152*VLOOKUP($F152,Lists!$C$72:$R$232,COLUMNS(Lists!$C$69:K$69),0)*VLOOKUP(BK$3,Conversions!$B$12:$E$34,4,0)*HLOOKUP($E152,'Equipment Assumptions'!$C$30:$Q$31,2,0),$I152*VLOOKUP($F152,Lists!$C$72:$R$232,COLUMNS(Lists!$C$69:K$69),0)*VLOOKUP(BK$3,Conversions!$B$12:$E$34,4,0)))</f>
        <v>0</v>
      </c>
      <c r="AW152" s="333">
        <f>IF($F152="",0,IF($A152="Default",$I152*VLOOKUP($F152,Lists!$C$72:$R$232,COLUMNS(Lists!$C$69:L$69),0)*VLOOKUP(BL$3,Conversions!$B$12:$E$34,4,0)*HLOOKUP($E152,'Equipment Assumptions'!$C$30:$Q$31,2,0),$I152*VLOOKUP($F152,Lists!$C$72:$R$232,COLUMNS(Lists!$C$69:L$69),0)*VLOOKUP(BL$3,Conversions!$B$12:$E$34,4,0)))</f>
        <v>0</v>
      </c>
      <c r="AX152" s="333">
        <f>IF($F152="",0,IF($A152="Default",$I152*VLOOKUP($F152,Lists!$C$72:$R$232,COLUMNS(Lists!$C$69:M$69),0)*VLOOKUP(BM$3,Conversions!$B$12:$E$34,4,0)*HLOOKUP($E152,'Equipment Assumptions'!$C$30:$Q$31,2,0),$I152*VLOOKUP($F152,Lists!$C$72:$R$232,COLUMNS(Lists!$C$69:M$69),0)*VLOOKUP(BM$3,Conversions!$B$12:$E$34,4,0)))</f>
        <v>0</v>
      </c>
      <c r="AY152" s="333">
        <f>IF($F152="",0,IF($A152="Default",$I152*VLOOKUP($F152,Lists!$C$72:$R$232,COLUMNS(Lists!$C$69:N$69),0)*VLOOKUP(BN$3,Conversions!$B$12:$E$34,4,0)*HLOOKUP($E152,'Equipment Assumptions'!$C$30:$Q$31,2,0),$I152*VLOOKUP($F152,Lists!$C$72:$R$232,COLUMNS(Lists!$C$69:N$69),0)*VLOOKUP(BN$3,Conversions!$B$12:$E$34,4,0)))</f>
        <v>0</v>
      </c>
      <c r="AZ152" s="333">
        <f>IF($F152="",0,IF($A152="Default",$I152*VLOOKUP($F152,Lists!$C$72:$R$232,COLUMNS(Lists!$C$69:O$69),0)*VLOOKUP(BO$3,Conversions!$B$12:$E$34,4,0)*HLOOKUP($E152,'Equipment Assumptions'!$C$30:$Q$31,2,0),$I152*VLOOKUP($F152,Lists!$C$72:$R$232,COLUMNS(Lists!$C$69:O$69),0)*VLOOKUP(BO$3,Conversions!$B$12:$E$34,4,0)))</f>
        <v>0</v>
      </c>
      <c r="BA152" s="333">
        <f>IF($F152="",0,IF($A152="Default",$I152*VLOOKUP($F152,Lists!$C$72:$R$232,COLUMNS(Lists!$C$69:P$69),0)*VLOOKUP(BP$3,Conversions!$B$12:$E$34,4,0)*HLOOKUP($E152,'Equipment Assumptions'!$C$30:$Q$31,2,0),$I152*VLOOKUP($F152,Lists!$C$72:$R$232,COLUMNS(Lists!$C$69:P$69),0)*VLOOKUP(BP$3,Conversions!$B$12:$E$34,4,0)))</f>
        <v>0</v>
      </c>
      <c r="BB152" s="333">
        <f>IF($F152="",0,IF($A152="Default",$I152*VLOOKUP($F152,Lists!$C$72:$R$232,COLUMNS(Lists!$C$69:Q$69),0)*VLOOKUP(BQ$3,Conversions!$B$12:$E$34,4,0)*HLOOKUP($E152,'Equipment Assumptions'!$C$30:$Q$31,2,0),$I152*VLOOKUP($F152,Lists!$C$72:$R$232,COLUMNS(Lists!$C$69:Q$69),0)*VLOOKUP(BQ$3,Conversions!$B$12:$E$34,4,0)))</f>
        <v>0</v>
      </c>
      <c r="BC152" s="333">
        <f>IF($F152="",0,IF($A152="Default",$I152*VLOOKUP($F152,Lists!$C$72:$R$232,COLUMNS(Lists!$C$69:R$69),0)*VLOOKUP(BR$3,Conversions!$B$12:$E$34,4,0)*HLOOKUP($E152,'Equipment Assumptions'!$C$30:$Q$31,2,0),$I152*VLOOKUP($F152,Lists!$C$72:$R$232,COLUMNS(Lists!$C$69:R$69),0)*VLOOKUP(BR$3,Conversions!$B$12:$E$34,4,0)))</f>
        <v>0</v>
      </c>
      <c r="BD152" s="333">
        <f t="shared" si="163"/>
        <v>0</v>
      </c>
      <c r="BE152" s="330">
        <f t="shared" si="164"/>
        <v>0</v>
      </c>
      <c r="BF152" s="330">
        <f t="shared" si="165"/>
        <v>0</v>
      </c>
      <c r="BG152" s="330">
        <f t="shared" si="166"/>
        <v>0</v>
      </c>
      <c r="BH152" s="330">
        <f t="shared" si="167"/>
        <v>0</v>
      </c>
      <c r="BI152" s="330">
        <f t="shared" si="168"/>
        <v>0</v>
      </c>
      <c r="BJ152" s="330">
        <f t="shared" si="169"/>
        <v>0</v>
      </c>
      <c r="BK152" s="330">
        <f t="shared" si="170"/>
        <v>0</v>
      </c>
      <c r="BL152" s="330">
        <f t="shared" si="171"/>
        <v>0</v>
      </c>
      <c r="BM152" s="330">
        <f t="shared" si="172"/>
        <v>0</v>
      </c>
      <c r="BN152" s="330">
        <f t="shared" si="173"/>
        <v>0</v>
      </c>
      <c r="BO152" s="330">
        <f t="shared" si="174"/>
        <v>0</v>
      </c>
      <c r="BP152" s="330">
        <f t="shared" si="175"/>
        <v>0</v>
      </c>
      <c r="BQ152" s="330">
        <f t="shared" si="176"/>
        <v>0</v>
      </c>
      <c r="BR152" s="330">
        <f t="shared" si="177"/>
        <v>0</v>
      </c>
      <c r="BS152" s="330">
        <f t="shared" si="178"/>
        <v>0</v>
      </c>
      <c r="BT152" s="329">
        <f t="shared" si="194"/>
        <v>0</v>
      </c>
      <c r="BU152" s="329">
        <f t="shared" si="194"/>
        <v>0</v>
      </c>
      <c r="BV152" s="329">
        <f t="shared" si="194"/>
        <v>0</v>
      </c>
      <c r="BW152" s="329">
        <f t="shared" si="194"/>
        <v>0</v>
      </c>
      <c r="BX152" s="329">
        <f t="shared" si="194"/>
        <v>0</v>
      </c>
      <c r="BY152" s="329">
        <f t="shared" si="194"/>
        <v>0</v>
      </c>
      <c r="BZ152" s="329">
        <f t="shared" si="194"/>
        <v>0</v>
      </c>
      <c r="CA152" s="329">
        <f t="shared" si="194"/>
        <v>0</v>
      </c>
      <c r="CB152" s="329">
        <f t="shared" si="194"/>
        <v>0</v>
      </c>
      <c r="CC152" s="329">
        <f t="shared" si="194"/>
        <v>0</v>
      </c>
      <c r="CD152" s="329">
        <f t="shared" si="194"/>
        <v>0</v>
      </c>
      <c r="CE152" s="329">
        <f t="shared" si="194"/>
        <v>0</v>
      </c>
      <c r="CF152" s="329">
        <f t="shared" si="194"/>
        <v>0</v>
      </c>
      <c r="CG152" s="329">
        <f t="shared" si="194"/>
        <v>0</v>
      </c>
      <c r="CH152" s="329">
        <f t="shared" si="194"/>
        <v>0</v>
      </c>
      <c r="CI152" s="329">
        <f t="shared" si="194"/>
        <v>0</v>
      </c>
      <c r="CJ152" s="331">
        <f t="shared" si="179"/>
        <v>0</v>
      </c>
      <c r="CK152" s="330">
        <f t="shared" si="180"/>
        <v>0</v>
      </c>
      <c r="CL152" s="330">
        <f t="shared" si="181"/>
        <v>0</v>
      </c>
      <c r="CM152" s="330">
        <f t="shared" si="182"/>
        <v>0</v>
      </c>
      <c r="CN152" s="330">
        <f t="shared" si="183"/>
        <v>0</v>
      </c>
      <c r="CO152" s="330">
        <f t="shared" si="184"/>
        <v>0</v>
      </c>
      <c r="CP152" s="330">
        <f t="shared" si="185"/>
        <v>0</v>
      </c>
      <c r="CQ152" s="330">
        <f t="shared" si="186"/>
        <v>0</v>
      </c>
      <c r="CR152" s="330">
        <f t="shared" si="187"/>
        <v>0</v>
      </c>
      <c r="CS152" s="330">
        <f t="shared" si="188"/>
        <v>0</v>
      </c>
      <c r="CT152" s="330">
        <f t="shared" si="189"/>
        <v>0</v>
      </c>
      <c r="CU152" s="330">
        <f t="shared" si="195"/>
        <v>0</v>
      </c>
      <c r="CV152" s="330">
        <f t="shared" si="195"/>
        <v>0</v>
      </c>
      <c r="CW152" s="330">
        <f t="shared" si="195"/>
        <v>0</v>
      </c>
      <c r="CX152" s="330">
        <f t="shared" si="195"/>
        <v>0</v>
      </c>
      <c r="CY152" s="330">
        <f t="shared" si="195"/>
        <v>0</v>
      </c>
      <c r="CZ152" s="330">
        <f t="shared" si="195"/>
        <v>0</v>
      </c>
      <c r="DA152" s="330">
        <f t="shared" si="195"/>
        <v>0</v>
      </c>
      <c r="DB152" s="330">
        <f t="shared" si="195"/>
        <v>0</v>
      </c>
      <c r="DC152" s="330">
        <f t="shared" si="195"/>
        <v>0</v>
      </c>
      <c r="DD152" s="330">
        <f t="shared" si="195"/>
        <v>0</v>
      </c>
      <c r="DE152" s="330">
        <f t="shared" si="196"/>
        <v>0</v>
      </c>
      <c r="DF152" s="330">
        <f t="shared" si="196"/>
        <v>0</v>
      </c>
      <c r="DG152" s="330">
        <f t="shared" si="196"/>
        <v>0</v>
      </c>
      <c r="DH152" s="330">
        <f t="shared" si="196"/>
        <v>0</v>
      </c>
      <c r="DI152" s="330">
        <f t="shared" si="196"/>
        <v>0</v>
      </c>
      <c r="DJ152" s="330">
        <f t="shared" si="196"/>
        <v>0</v>
      </c>
      <c r="DK152" s="330">
        <f t="shared" si="196"/>
        <v>0</v>
      </c>
      <c r="DL152" s="330">
        <f t="shared" si="196"/>
        <v>0</v>
      </c>
      <c r="DM152" s="330">
        <f t="shared" si="196"/>
        <v>0</v>
      </c>
      <c r="DN152" s="330">
        <f t="shared" si="196"/>
        <v>0</v>
      </c>
      <c r="DO152" s="330">
        <f t="shared" si="196"/>
        <v>0</v>
      </c>
      <c r="DP152" s="330">
        <f t="shared" si="190"/>
        <v>0</v>
      </c>
      <c r="DQ152" s="217"/>
      <c r="DR152" s="217"/>
      <c r="DS152" s="217"/>
      <c r="DT152" s="217"/>
    </row>
    <row r="153" spans="1:124" x14ac:dyDescent="0.3">
      <c r="A153" s="332" t="str">
        <f>IF(AND(F153&lt;&gt;"",OR('Simplified Screening 1'!G44=0,'Simplified Screening 1'!G44="I Don't Know")),"Default","")</f>
        <v/>
      </c>
      <c r="B153" s="221" t="s">
        <v>306</v>
      </c>
      <c r="C153" s="221" t="str">
        <f>IF('Simplified Screening 1'!C44=0,"",'Simplified Screening 1'!C44)</f>
        <v/>
      </c>
      <c r="D153" s="221" t="str">
        <f>IF('Simplified Screening 1'!D44=0,"",'Simplified Screening 1'!D44)</f>
        <v/>
      </c>
      <c r="E153" s="221" t="str">
        <f>IF('Simplified Screening 1'!E44=0,"",'Simplified Screening 1'!E44)</f>
        <v/>
      </c>
      <c r="F153" s="221" t="str">
        <f>'Simplified Screening 1'!R44</f>
        <v/>
      </c>
      <c r="G153" s="272">
        <f>'Simplified Screening 1'!H44*'Simplified Screening 1'!L44*Conversions!$C$4</f>
        <v>0</v>
      </c>
      <c r="H153" s="272">
        <f>'Simplified Screening 1'!I44*'Simplified Screening 1'!M44*'Simplified Screening 1'!J44*Conversions!$C$4</f>
        <v>0</v>
      </c>
      <c r="I153" s="272">
        <f>'Simplified Screening 1'!K44*'Simplified Screening 1'!N44*(1-'Simplified Screening 1'!O44)*Conversions!$C$4</f>
        <v>0</v>
      </c>
      <c r="J153" s="325">
        <f>IF('Simplified Screening 1'!P44=0,0,'Simplified Screening 1'!P44)</f>
        <v>0</v>
      </c>
      <c r="K153" s="325">
        <f>IF(AND(OR('Simplified Screening 1'!G44=0,'Simplified Screening 1'!G44="I Don't Know"),F153&lt;&gt;""),J153*HLOOKUP(E153,'Equipment Assumptions'!$C$30:$Q$31,2,0),IF(F153="Non-HFC",0,J153))</f>
        <v>0</v>
      </c>
      <c r="L153" s="333">
        <f>IF($F153="",0,IF($A153="Default",$G153*VLOOKUP($F153,Lists!$C$72:$R$232,COLUMNS(Lists!$C$69:E$69),0)*VLOOKUP(BE$3,Conversions!$B$12:$E$34,4,0)*HLOOKUP($E153,'Equipment Assumptions'!$C$30:$Q$31,2,0),$G153*VLOOKUP($F153,Lists!$C$72:$R$232,COLUMNS(Lists!$C$69:E$69),0)*VLOOKUP(BE$3,Conversions!$B$12:$E$34,4,0)))</f>
        <v>0</v>
      </c>
      <c r="M153" s="333">
        <f>IF($F153="",0,IF($A153="Default",$G153*VLOOKUP($F153,Lists!$C$72:$R$232,COLUMNS(Lists!$C$69:F$69),0)*VLOOKUP(BF$3,Conversions!$B$12:$E$34,4,0)*HLOOKUP($E153,'Equipment Assumptions'!$C$30:$Q$31,2,0),$G153*VLOOKUP($F153,Lists!$C$72:$R$232,COLUMNS(Lists!$C$69:F$69),0)*VLOOKUP(BF$3,Conversions!$B$12:$E$34,4,0)))</f>
        <v>0</v>
      </c>
      <c r="N153" s="333">
        <f>IF($F153="",0,IF($A153="Default",$G153*VLOOKUP($F153,Lists!$C$72:$R$232,COLUMNS(Lists!$C$69:G$69),0)*VLOOKUP(BG$3,Conversions!$B$12:$E$34,4,0)*HLOOKUP($E153,'Equipment Assumptions'!$C$30:$Q$31,2,0),$G153*VLOOKUP($F153,Lists!$C$72:$R$232,COLUMNS(Lists!$C$69:G$69),0)*VLOOKUP(BG$3,Conversions!$B$12:$E$34,4,0)))</f>
        <v>0</v>
      </c>
      <c r="O153" s="333">
        <f>IF($F153="",0,IF($A153="Default",$G153*VLOOKUP($F153,Lists!$C$72:$R$232,COLUMNS(Lists!$C$69:H$69),0)*VLOOKUP(BH$3,Conversions!$B$12:$E$34,4,0)*HLOOKUP($E153,'Equipment Assumptions'!$C$30:$Q$31,2,0),$G153*VLOOKUP($F153,Lists!$C$72:$R$232,COLUMNS(Lists!$C$69:H$69),0)*VLOOKUP(BH$3,Conversions!$B$12:$E$34,4,0)))</f>
        <v>0</v>
      </c>
      <c r="P153" s="333">
        <f>IF($F153="",0,IF($A153="Default",$G153*VLOOKUP($F153,Lists!$C$72:$R$232,COLUMNS(Lists!$C$69:I$69),0)*VLOOKUP(BI$3,Conversions!$B$12:$E$34,4,0)*HLOOKUP($E153,'Equipment Assumptions'!$C$30:$Q$31,2,0),$G153*VLOOKUP($F153,Lists!$C$72:$R$232,COLUMNS(Lists!$C$69:I$69),0)*VLOOKUP(BI$3,Conversions!$B$12:$E$34,4,0)))</f>
        <v>0</v>
      </c>
      <c r="Q153" s="333">
        <f>IF($F153="",0,IF($A153="Default",$G153*VLOOKUP($F153,Lists!$C$72:$R$232,COLUMNS(Lists!$C$69:J$69),0)*VLOOKUP(BJ$3,Conversions!$B$12:$E$34,4,0)*HLOOKUP($E153,'Equipment Assumptions'!$C$30:$Q$31,2,0),$G153*VLOOKUP($F153,Lists!$C$72:$R$232,COLUMNS(Lists!$C$69:J$69),0)*VLOOKUP(BJ$3,Conversions!$B$12:$E$34,4,0)))</f>
        <v>0</v>
      </c>
      <c r="R153" s="333">
        <f>IF($F153="",0,IF($A153="Default",$G153*VLOOKUP($F153,Lists!$C$72:$R$232,COLUMNS(Lists!$C$69:K$69),0)*VLOOKUP(BK$3,Conversions!$B$12:$E$34,4,0)*HLOOKUP($E153,'Equipment Assumptions'!$C$30:$Q$31,2,0),$G153*VLOOKUP($F153,Lists!$C$72:$R$232,COLUMNS(Lists!$C$69:K$69),0)*VLOOKUP(BK$3,Conversions!$B$12:$E$34,4,0)))</f>
        <v>0</v>
      </c>
      <c r="S153" s="333">
        <f>IF($F153="",0,IF($A153="Default",$G153*VLOOKUP($F153,Lists!$C$72:$R$232,COLUMNS(Lists!$C$69:L$69),0)*VLOOKUP(BL$3,Conversions!$B$12:$E$34,4,0)*HLOOKUP($E153,'Equipment Assumptions'!$C$30:$Q$31,2,0),$G153*VLOOKUP($F153,Lists!$C$72:$R$232,COLUMNS(Lists!$C$69:L$69),0)*VLOOKUP(BL$3,Conversions!$B$12:$E$34,4,0)))</f>
        <v>0</v>
      </c>
      <c r="T153" s="333">
        <f>IF($F153="",0,IF($A153="Default",$G153*VLOOKUP($F153,Lists!$C$72:$R$232,COLUMNS(Lists!$C$69:M$69),0)*VLOOKUP(BM$3,Conversions!$B$12:$E$34,4,0)*HLOOKUP($E153,'Equipment Assumptions'!$C$30:$Q$31,2,0),$G153*VLOOKUP($F153,Lists!$C$72:$R$232,COLUMNS(Lists!$C$69:M$69),0)*VLOOKUP(BM$3,Conversions!$B$12:$E$34,4,0)))</f>
        <v>0</v>
      </c>
      <c r="U153" s="333">
        <f>IF($F153="",0,IF($A153="Default",$G153*VLOOKUP($F153,Lists!$C$72:$R$232,COLUMNS(Lists!$C$69:N$69),0)*VLOOKUP(BN$3,Conversions!$B$12:$E$34,4,0)*HLOOKUP($E153,'Equipment Assumptions'!$C$30:$Q$31,2,0),$G153*VLOOKUP($F153,Lists!$C$72:$R$232,COLUMNS(Lists!$C$69:N$69),0)*VLOOKUP(BN$3,Conversions!$B$12:$E$34,4,0)))</f>
        <v>0</v>
      </c>
      <c r="V153" s="333">
        <f>IF($F153="",0,IF($A153="Default",$G153*VLOOKUP($F153,Lists!$C$72:$R$232,COLUMNS(Lists!$C$69:O$69),0)*VLOOKUP(BO$3,Conversions!$B$12:$E$34,4,0)*HLOOKUP($E153,'Equipment Assumptions'!$C$30:$Q$31,2,0),$G153*VLOOKUP($F153,Lists!$C$72:$R$232,COLUMNS(Lists!$C$69:O$69),0)*VLOOKUP(BO$3,Conversions!$B$12:$E$34,4,0)))</f>
        <v>0</v>
      </c>
      <c r="W153" s="333">
        <f>IF($F153="",0,IF($A153="Default",$G153*VLOOKUP($F153,Lists!$C$72:$R$232,COLUMNS(Lists!$C$69:P$69),0)*VLOOKUP(BP$3,Conversions!$B$12:$E$34,4,0)*HLOOKUP($E153,'Equipment Assumptions'!$C$30:$Q$31,2,0),$G153*VLOOKUP($F153,Lists!$C$72:$R$232,COLUMNS(Lists!$C$69:P$69),0)*VLOOKUP(BP$3,Conversions!$B$12:$E$34,4,0)))</f>
        <v>0</v>
      </c>
      <c r="X153" s="333">
        <f>IF($F153="",0,IF($A153="Default",$G153*VLOOKUP($F153,Lists!$C$72:$R$232,COLUMNS(Lists!$C$69:Q$69),0)*VLOOKUP(BQ$3,Conversions!$B$12:$E$34,4,0)*HLOOKUP($E153,'Equipment Assumptions'!$C$30:$Q$31,2,0),$G153*VLOOKUP($F153,Lists!$C$72:$R$232,COLUMNS(Lists!$C$69:Q$69),0)*VLOOKUP(BQ$3,Conversions!$B$12:$E$34,4,0)))</f>
        <v>0</v>
      </c>
      <c r="Y153" s="333">
        <f>IF($F153="",0,IF($A153="Default",$G153*VLOOKUP($F153,Lists!$C$72:$R$232,COLUMNS(Lists!$C$69:R$69),0)*VLOOKUP(BR$3,Conversions!$B$12:$E$34,4,0)*HLOOKUP($E153,'Equipment Assumptions'!$C$30:$Q$31,2,0),$G153*VLOOKUP($F153,Lists!$C$72:$R$232,COLUMNS(Lists!$C$69:R$69),0)*VLOOKUP(BR$3,Conversions!$B$12:$E$34,4,0)))</f>
        <v>0</v>
      </c>
      <c r="Z153" s="325">
        <f t="shared" ref="Z153:Z164" si="197">SUM(L153:Y153)</f>
        <v>0</v>
      </c>
      <c r="AA153" s="334">
        <f>IF($F153="",0,IF($A153="Default",$H153*VLOOKUP($F153,Lists!$C$72:$R$232,COLUMNS(Lists!$C$69:E$69),0)*VLOOKUP(BE$3,Conversions!$B$12:$E$34,4,0)*HLOOKUP($E153,'Equipment Assumptions'!$C$30:$Q$31,2,0),$H153*VLOOKUP($F153,Lists!$C$72:$R$232,COLUMNS(Lists!$C$69:E$69),0)*VLOOKUP(BE$3,Conversions!$B$12:$E$34,4,0)))</f>
        <v>0</v>
      </c>
      <c r="AB153" s="334">
        <f>IF($F153="",0,IF($A153="Default",$H153*VLOOKUP($F153,Lists!$C$72:$R$232,COLUMNS(Lists!$C$69:F$69),0)*VLOOKUP(BF$3,Conversions!$B$12:$E$34,4,0)*HLOOKUP($E153,'Equipment Assumptions'!$C$30:$Q$31,2,0),$H153*VLOOKUP($F153,Lists!$C$72:$R$232,COLUMNS(Lists!$C$69:F$69),0)*VLOOKUP(BF$3,Conversions!$B$12:$E$34,4,0)))</f>
        <v>0</v>
      </c>
      <c r="AC153" s="334">
        <f>IF($F153="",0,IF($A153="Default",$H153*VLOOKUP($F153,Lists!$C$72:$R$232,COLUMNS(Lists!$C$69:G$69),0)*VLOOKUP(BG$3,Conversions!$B$12:$E$34,4,0)*HLOOKUP($E153,'Equipment Assumptions'!$C$30:$Q$31,2,0),$H153*VLOOKUP($F153,Lists!$C$72:$R$232,COLUMNS(Lists!$C$69:G$69),0)*VLOOKUP(BG$3,Conversions!$B$12:$E$34,4,0)))</f>
        <v>0</v>
      </c>
      <c r="AD153" s="334">
        <f>IF($F153="",0,IF($A153="Default",$H153*VLOOKUP($F153,Lists!$C$72:$R$232,COLUMNS(Lists!$C$69:H$69),0)*VLOOKUP(BH$3,Conversions!$B$12:$E$34,4,0)*HLOOKUP($E153,'Equipment Assumptions'!$C$30:$Q$31,2,0),$H153*VLOOKUP($F153,Lists!$C$72:$R$232,COLUMNS(Lists!$C$69:H$69),0)*VLOOKUP(BH$3,Conversions!$B$12:$E$34,4,0)))</f>
        <v>0</v>
      </c>
      <c r="AE153" s="334">
        <f>IF($F153="",0,IF($A153="Default",$H153*VLOOKUP($F153,Lists!$C$72:$R$232,COLUMNS(Lists!$C$69:I$69),0)*VLOOKUP(BI$3,Conversions!$B$12:$E$34,4,0)*HLOOKUP($E153,'Equipment Assumptions'!$C$30:$Q$31,2,0),$H153*VLOOKUP($F153,Lists!$C$72:$R$232,COLUMNS(Lists!$C$69:I$69),0)*VLOOKUP(BI$3,Conversions!$B$12:$E$34,4,0)))</f>
        <v>0</v>
      </c>
      <c r="AF153" s="334">
        <f>IF($F153="",0,IF($A153="Default",$H153*VLOOKUP($F153,Lists!$C$72:$R$232,COLUMNS(Lists!$C$69:J$69),0)*VLOOKUP(BJ$3,Conversions!$B$12:$E$34,4,0)*HLOOKUP($E153,'Equipment Assumptions'!$C$30:$Q$31,2,0),$H153*VLOOKUP($F153,Lists!$C$72:$R$232,COLUMNS(Lists!$C$69:J$69),0)*VLOOKUP(BJ$3,Conversions!$B$12:$E$34,4,0)))</f>
        <v>0</v>
      </c>
      <c r="AG153" s="334">
        <f>IF($F153="",0,IF($A153="Default",$H153*VLOOKUP($F153,Lists!$C$72:$R$232,COLUMNS(Lists!$C$69:K$69),0)*VLOOKUP(BK$3,Conversions!$B$12:$E$34,4,0)*HLOOKUP($E153,'Equipment Assumptions'!$C$30:$Q$31,2,0),$H153*VLOOKUP($F153,Lists!$C$72:$R$232,COLUMNS(Lists!$C$69:K$69),0)*VLOOKUP(BK$3,Conversions!$B$12:$E$34,4,0)))</f>
        <v>0</v>
      </c>
      <c r="AH153" s="334">
        <f>IF($F153="",0,IF($A153="Default",$H153*VLOOKUP($F153,Lists!$C$72:$R$232,COLUMNS(Lists!$C$69:L$69),0)*VLOOKUP(BL$3,Conversions!$B$12:$E$34,4,0)*HLOOKUP($E153,'Equipment Assumptions'!$C$30:$Q$31,2,0),$H153*VLOOKUP($F153,Lists!$C$72:$R$232,COLUMNS(Lists!$C$69:L$69),0)*VLOOKUP(BL$3,Conversions!$B$12:$E$34,4,0)))</f>
        <v>0</v>
      </c>
      <c r="AI153" s="334">
        <f>IF($F153="",0,IF($A153="Default",$H153*VLOOKUP($F153,Lists!$C$72:$R$232,COLUMNS(Lists!$C$69:M$69),0)*VLOOKUP(BM$3,Conversions!$B$12:$E$34,4,0)*HLOOKUP($E153,'Equipment Assumptions'!$C$30:$Q$31,2,0),$H153*VLOOKUP($F153,Lists!$C$72:$R$232,COLUMNS(Lists!$C$69:M$69),0)*VLOOKUP(BM$3,Conversions!$B$12:$E$34,4,0)))</f>
        <v>0</v>
      </c>
      <c r="AJ153" s="334">
        <f>IF($F153="",0,IF($A153="Default",$H153*VLOOKUP($F153,Lists!$C$72:$R$232,COLUMNS(Lists!$C$69:N$69),0)*VLOOKUP(BN$3,Conversions!$B$12:$E$34,4,0)*HLOOKUP($E153,'Equipment Assumptions'!$C$30:$Q$31,2,0),$H153*VLOOKUP($F153,Lists!$C$72:$R$232,COLUMNS(Lists!$C$69:N$69),0)*VLOOKUP(BN$3,Conversions!$B$12:$E$34,4,0)))</f>
        <v>0</v>
      </c>
      <c r="AK153" s="334">
        <f>IF($F153="",0,IF($A153="Default",$H153*VLOOKUP($F153,Lists!$C$72:$R$232,COLUMNS(Lists!$C$69:O$69),0)*VLOOKUP(BO$3,Conversions!$B$12:$E$34,4,0)*HLOOKUP($E153,'Equipment Assumptions'!$C$30:$Q$31,2,0),$H153*VLOOKUP($F153,Lists!$C$72:$R$232,COLUMNS(Lists!$C$69:O$69),0)*VLOOKUP(BO$3,Conversions!$B$12:$E$34,4,0)))</f>
        <v>0</v>
      </c>
      <c r="AL153" s="334">
        <f>IF($F153="",0,IF($A153="Default",$H153*VLOOKUP($F153,Lists!$C$72:$R$232,COLUMNS(Lists!$C$69:P$69),0)*VLOOKUP(BP$3,Conversions!$B$12:$E$34,4,0)*HLOOKUP($E153,'Equipment Assumptions'!$C$30:$Q$31,2,0),$H153*VLOOKUP($F153,Lists!$C$72:$R$232,COLUMNS(Lists!$C$69:P$69),0)*VLOOKUP(BP$3,Conversions!$B$12:$E$34,4,0)))</f>
        <v>0</v>
      </c>
      <c r="AM153" s="334">
        <f>IF($F153="",0,IF($A153="Default",$H153*VLOOKUP($F153,Lists!$C$72:$R$232,COLUMNS(Lists!$C$69:Q$69),0)*VLOOKUP(BQ$3,Conversions!$B$12:$E$34,4,0)*HLOOKUP($E153,'Equipment Assumptions'!$C$30:$Q$31,2,0),$H153*VLOOKUP($F153,Lists!$C$72:$R$232,COLUMNS(Lists!$C$69:Q$69),0)*VLOOKUP(BQ$3,Conversions!$B$12:$E$34,4,0)))</f>
        <v>0</v>
      </c>
      <c r="AN153" s="334">
        <f>IF($F153="",0,IF($A153="Default",$H153*VLOOKUP($F153,Lists!$C$72:$R$232,COLUMNS(Lists!$C$69:R$69),0)*VLOOKUP(BR$3,Conversions!$B$12:$E$34,4,0)*HLOOKUP($E153,'Equipment Assumptions'!$C$30:$Q$31,2,0),$H153*VLOOKUP($F153,Lists!$C$72:$R$232,COLUMNS(Lists!$C$69:R$69),0)*VLOOKUP(BR$3,Conversions!$B$12:$E$34,4,0)))</f>
        <v>0</v>
      </c>
      <c r="AO153" s="330">
        <f t="shared" ref="AO153:AO164" si="198">SUM(AA153:AN153)</f>
        <v>0</v>
      </c>
      <c r="AP153" s="333">
        <f>IF($F153="",0,IF($A153="Default",$I153*VLOOKUP($F153,Lists!$C$72:$R$232,COLUMNS(Lists!$C$69:E$69),0)*VLOOKUP(BE$3,Conversions!$B$12:$E$34,4,0)*HLOOKUP($E153,'Equipment Assumptions'!$C$30:$Q$31,2,0),$I153*VLOOKUP($F153,Lists!$C$72:$R$232,COLUMNS(Lists!$C$69:E$69),0)*VLOOKUP(BE$3,Conversions!$B$12:$E$34,4,0)))</f>
        <v>0</v>
      </c>
      <c r="AQ153" s="333">
        <f>IF($F153="",0,IF($A153="Default",$I153*VLOOKUP($F153,Lists!$C$72:$R$232,COLUMNS(Lists!$C$69:F$69),0)*VLOOKUP(BF$3,Conversions!$B$12:$E$34,4,0)*HLOOKUP($E153,'Equipment Assumptions'!$C$30:$Q$31,2,0),$I153*VLOOKUP($F153,Lists!$C$72:$R$232,COLUMNS(Lists!$C$69:F$69),0)*VLOOKUP(BF$3,Conversions!$B$12:$E$34,4,0)))</f>
        <v>0</v>
      </c>
      <c r="AR153" s="333">
        <f>IF($F153="",0,IF($A153="Default",$I153*VLOOKUP($F153,Lists!$C$72:$R$232,COLUMNS(Lists!$C$69:G$69),0)*VLOOKUP(BG$3,Conversions!$B$12:$E$34,4,0)*HLOOKUP($E153,'Equipment Assumptions'!$C$30:$Q$31,2,0),$I153*VLOOKUP($F153,Lists!$C$72:$R$232,COLUMNS(Lists!$C$69:G$69),0)*VLOOKUP(BG$3,Conversions!$B$12:$E$34,4,0)))</f>
        <v>0</v>
      </c>
      <c r="AS153" s="333">
        <f>IF($F153="",0,IF($A153="Default",$I153*VLOOKUP($F153,Lists!$C$72:$R$232,COLUMNS(Lists!$C$69:H$69),0)*VLOOKUP(BH$3,Conversions!$B$12:$E$34,4,0)*HLOOKUP($E153,'Equipment Assumptions'!$C$30:$Q$31,2,0),$I153*VLOOKUP($F153,Lists!$C$72:$R$232,COLUMNS(Lists!$C$69:H$69),0)*VLOOKUP(BH$3,Conversions!$B$12:$E$34,4,0)))</f>
        <v>0</v>
      </c>
      <c r="AT153" s="333">
        <f>IF($F153="",0,IF($A153="Default",$I153*VLOOKUP($F153,Lists!$C$72:$R$232,COLUMNS(Lists!$C$69:I$69),0)*VLOOKUP(BI$3,Conversions!$B$12:$E$34,4,0)*HLOOKUP($E153,'Equipment Assumptions'!$C$30:$Q$31,2,0),$I153*VLOOKUP($F153,Lists!$C$72:$R$232,COLUMNS(Lists!$C$69:I$69),0)*VLOOKUP(BI$3,Conversions!$B$12:$E$34,4,0)))</f>
        <v>0</v>
      </c>
      <c r="AU153" s="333">
        <f>IF($F153="",0,IF($A153="Default",$I153*VLOOKUP($F153,Lists!$C$72:$R$232,COLUMNS(Lists!$C$69:J$69),0)*VLOOKUP(BJ$3,Conversions!$B$12:$E$34,4,0)*HLOOKUP($E153,'Equipment Assumptions'!$C$30:$Q$31,2,0),$I153*VLOOKUP($F153,Lists!$C$72:$R$232,COLUMNS(Lists!$C$69:J$69),0)*VLOOKUP(BJ$3,Conversions!$B$12:$E$34,4,0)))</f>
        <v>0</v>
      </c>
      <c r="AV153" s="333">
        <f>IF($F153="",0,IF($A153="Default",$I153*VLOOKUP($F153,Lists!$C$72:$R$232,COLUMNS(Lists!$C$69:K$69),0)*VLOOKUP(BK$3,Conversions!$B$12:$E$34,4,0)*HLOOKUP($E153,'Equipment Assumptions'!$C$30:$Q$31,2,0),$I153*VLOOKUP($F153,Lists!$C$72:$R$232,COLUMNS(Lists!$C$69:K$69),0)*VLOOKUP(BK$3,Conversions!$B$12:$E$34,4,0)))</f>
        <v>0</v>
      </c>
      <c r="AW153" s="333">
        <f>IF($F153="",0,IF($A153="Default",$I153*VLOOKUP($F153,Lists!$C$72:$R$232,COLUMNS(Lists!$C$69:L$69),0)*VLOOKUP(BL$3,Conversions!$B$12:$E$34,4,0)*HLOOKUP($E153,'Equipment Assumptions'!$C$30:$Q$31,2,0),$I153*VLOOKUP($F153,Lists!$C$72:$R$232,COLUMNS(Lists!$C$69:L$69),0)*VLOOKUP(BL$3,Conversions!$B$12:$E$34,4,0)))</f>
        <v>0</v>
      </c>
      <c r="AX153" s="333">
        <f>IF($F153="",0,IF($A153="Default",$I153*VLOOKUP($F153,Lists!$C$72:$R$232,COLUMNS(Lists!$C$69:M$69),0)*VLOOKUP(BM$3,Conversions!$B$12:$E$34,4,0)*HLOOKUP($E153,'Equipment Assumptions'!$C$30:$Q$31,2,0),$I153*VLOOKUP($F153,Lists!$C$72:$R$232,COLUMNS(Lists!$C$69:M$69),0)*VLOOKUP(BM$3,Conversions!$B$12:$E$34,4,0)))</f>
        <v>0</v>
      </c>
      <c r="AY153" s="333">
        <f>IF($F153="",0,IF($A153="Default",$I153*VLOOKUP($F153,Lists!$C$72:$R$232,COLUMNS(Lists!$C$69:N$69),0)*VLOOKUP(BN$3,Conversions!$B$12:$E$34,4,0)*HLOOKUP($E153,'Equipment Assumptions'!$C$30:$Q$31,2,0),$I153*VLOOKUP($F153,Lists!$C$72:$R$232,COLUMNS(Lists!$C$69:N$69),0)*VLOOKUP(BN$3,Conversions!$B$12:$E$34,4,0)))</f>
        <v>0</v>
      </c>
      <c r="AZ153" s="333">
        <f>IF($F153="",0,IF($A153="Default",$I153*VLOOKUP($F153,Lists!$C$72:$R$232,COLUMNS(Lists!$C$69:O$69),0)*VLOOKUP(BO$3,Conversions!$B$12:$E$34,4,0)*HLOOKUP($E153,'Equipment Assumptions'!$C$30:$Q$31,2,0),$I153*VLOOKUP($F153,Lists!$C$72:$R$232,COLUMNS(Lists!$C$69:O$69),0)*VLOOKUP(BO$3,Conversions!$B$12:$E$34,4,0)))</f>
        <v>0</v>
      </c>
      <c r="BA153" s="333">
        <f>IF($F153="",0,IF($A153="Default",$I153*VLOOKUP($F153,Lists!$C$72:$R$232,COLUMNS(Lists!$C$69:P$69),0)*VLOOKUP(BP$3,Conversions!$B$12:$E$34,4,0)*HLOOKUP($E153,'Equipment Assumptions'!$C$30:$Q$31,2,0),$I153*VLOOKUP($F153,Lists!$C$72:$R$232,COLUMNS(Lists!$C$69:P$69),0)*VLOOKUP(BP$3,Conversions!$B$12:$E$34,4,0)))</f>
        <v>0</v>
      </c>
      <c r="BB153" s="333">
        <f>IF($F153="",0,IF($A153="Default",$I153*VLOOKUP($F153,Lists!$C$72:$R$232,COLUMNS(Lists!$C$69:Q$69),0)*VLOOKUP(BQ$3,Conversions!$B$12:$E$34,4,0)*HLOOKUP($E153,'Equipment Assumptions'!$C$30:$Q$31,2,0),$I153*VLOOKUP($F153,Lists!$C$72:$R$232,COLUMNS(Lists!$C$69:Q$69),0)*VLOOKUP(BQ$3,Conversions!$B$12:$E$34,4,0)))</f>
        <v>0</v>
      </c>
      <c r="BC153" s="333">
        <f>IF($F153="",0,IF($A153="Default",$I153*VLOOKUP($F153,Lists!$C$72:$R$232,COLUMNS(Lists!$C$69:R$69),0)*VLOOKUP(BR$3,Conversions!$B$12:$E$34,4,0)*HLOOKUP($E153,'Equipment Assumptions'!$C$30:$Q$31,2,0),$I153*VLOOKUP($F153,Lists!$C$72:$R$232,COLUMNS(Lists!$C$69:R$69),0)*VLOOKUP(BR$3,Conversions!$B$12:$E$34,4,0)))</f>
        <v>0</v>
      </c>
      <c r="BD153" s="333">
        <f t="shared" ref="BD153:BD164" si="199">SUM(AP153:BC153)</f>
        <v>0</v>
      </c>
      <c r="BE153" s="330">
        <f t="shared" si="145"/>
        <v>0</v>
      </c>
      <c r="BF153" s="330">
        <f t="shared" si="146"/>
        <v>0</v>
      </c>
      <c r="BG153" s="330">
        <f t="shared" si="147"/>
        <v>0</v>
      </c>
      <c r="BH153" s="330">
        <f t="shared" si="148"/>
        <v>0</v>
      </c>
      <c r="BI153" s="330">
        <f t="shared" si="149"/>
        <v>0</v>
      </c>
      <c r="BJ153" s="330">
        <f t="shared" si="150"/>
        <v>0</v>
      </c>
      <c r="BK153" s="330">
        <f t="shared" si="151"/>
        <v>0</v>
      </c>
      <c r="BL153" s="330">
        <f t="shared" si="152"/>
        <v>0</v>
      </c>
      <c r="BM153" s="330">
        <f t="shared" si="153"/>
        <v>0</v>
      </c>
      <c r="BN153" s="330">
        <f t="shared" si="154"/>
        <v>0</v>
      </c>
      <c r="BO153" s="330">
        <f t="shared" si="155"/>
        <v>0</v>
      </c>
      <c r="BP153" s="330">
        <f t="shared" si="156"/>
        <v>0</v>
      </c>
      <c r="BQ153" s="330">
        <f t="shared" si="157"/>
        <v>0</v>
      </c>
      <c r="BR153" s="330">
        <f t="shared" si="158"/>
        <v>0</v>
      </c>
      <c r="BS153" s="330">
        <f t="shared" si="159"/>
        <v>0</v>
      </c>
      <c r="BT153" s="329">
        <f t="shared" si="194"/>
        <v>0</v>
      </c>
      <c r="BU153" s="329">
        <f t="shared" si="194"/>
        <v>0</v>
      </c>
      <c r="BV153" s="329">
        <f t="shared" si="194"/>
        <v>0</v>
      </c>
      <c r="BW153" s="329">
        <f t="shared" si="194"/>
        <v>0</v>
      </c>
      <c r="BX153" s="329">
        <f t="shared" si="194"/>
        <v>0</v>
      </c>
      <c r="BY153" s="329">
        <f t="shared" si="194"/>
        <v>0</v>
      </c>
      <c r="BZ153" s="329">
        <f t="shared" si="194"/>
        <v>0</v>
      </c>
      <c r="CA153" s="329">
        <f t="shared" si="194"/>
        <v>0</v>
      </c>
      <c r="CB153" s="329">
        <f t="shared" si="194"/>
        <v>0</v>
      </c>
      <c r="CC153" s="329">
        <f t="shared" si="194"/>
        <v>0</v>
      </c>
      <c r="CD153" s="329">
        <f t="shared" si="194"/>
        <v>0</v>
      </c>
      <c r="CE153" s="329">
        <f t="shared" si="194"/>
        <v>0</v>
      </c>
      <c r="CF153" s="329">
        <f t="shared" si="194"/>
        <v>0</v>
      </c>
      <c r="CG153" s="329">
        <f t="shared" si="194"/>
        <v>0</v>
      </c>
      <c r="CH153" s="329">
        <f t="shared" si="194"/>
        <v>0</v>
      </c>
      <c r="CI153" s="329">
        <f t="shared" si="194"/>
        <v>0</v>
      </c>
      <c r="CJ153" s="331">
        <f t="shared" ref="CJ153:CJ173" si="200">SUM(BT153:CI153)</f>
        <v>0</v>
      </c>
      <c r="CK153" s="330">
        <f t="shared" ref="CK153:CK173" si="201">BT153</f>
        <v>0</v>
      </c>
      <c r="CL153" s="330">
        <f t="shared" ref="CL153:CL173" si="202">BU153+BV153+BW153</f>
        <v>0</v>
      </c>
      <c r="CM153" s="330">
        <f t="shared" ref="CM153:CM173" si="203">BX153</f>
        <v>0</v>
      </c>
      <c r="CN153" s="330">
        <f t="shared" ref="CN153:CN173" si="204">BY153+BZ153</f>
        <v>0</v>
      </c>
      <c r="CO153" s="330">
        <f t="shared" ref="CO153:CO173" si="205">CA153</f>
        <v>0</v>
      </c>
      <c r="CP153" s="330">
        <f t="shared" ref="CP153:CP173" si="206">CB153</f>
        <v>0</v>
      </c>
      <c r="CQ153" s="330">
        <f t="shared" si="186"/>
        <v>0</v>
      </c>
      <c r="CR153" s="330">
        <f t="shared" ref="CR153:CR173" si="207">CE153+CF153</f>
        <v>0</v>
      </c>
      <c r="CS153" s="330">
        <f t="shared" ref="CS153:CS173" si="208">CG153+CH153+CI153</f>
        <v>0</v>
      </c>
      <c r="CT153" s="330">
        <f t="shared" ref="CT153:CT173" si="209">SUM(CK153:CS153)</f>
        <v>0</v>
      </c>
      <c r="CU153" s="330">
        <f t="shared" si="195"/>
        <v>0</v>
      </c>
      <c r="CV153" s="330">
        <f t="shared" si="195"/>
        <v>0</v>
      </c>
      <c r="CW153" s="330">
        <f t="shared" si="195"/>
        <v>0</v>
      </c>
      <c r="CX153" s="330">
        <f t="shared" si="195"/>
        <v>0</v>
      </c>
      <c r="CY153" s="330">
        <f t="shared" si="195"/>
        <v>0</v>
      </c>
      <c r="CZ153" s="330">
        <f t="shared" si="195"/>
        <v>0</v>
      </c>
      <c r="DA153" s="330">
        <f t="shared" si="195"/>
        <v>0</v>
      </c>
      <c r="DB153" s="330">
        <f t="shared" si="195"/>
        <v>0</v>
      </c>
      <c r="DC153" s="330">
        <f t="shared" si="195"/>
        <v>0</v>
      </c>
      <c r="DD153" s="330">
        <f t="shared" si="195"/>
        <v>0</v>
      </c>
      <c r="DE153" s="330">
        <f t="shared" si="196"/>
        <v>0</v>
      </c>
      <c r="DF153" s="330">
        <f t="shared" si="196"/>
        <v>0</v>
      </c>
      <c r="DG153" s="330">
        <f t="shared" si="196"/>
        <v>0</v>
      </c>
      <c r="DH153" s="330">
        <f t="shared" si="196"/>
        <v>0</v>
      </c>
      <c r="DI153" s="330">
        <f t="shared" si="196"/>
        <v>0</v>
      </c>
      <c r="DJ153" s="330">
        <f t="shared" si="196"/>
        <v>0</v>
      </c>
      <c r="DK153" s="330">
        <f t="shared" si="196"/>
        <v>0</v>
      </c>
      <c r="DL153" s="330">
        <f t="shared" si="196"/>
        <v>0</v>
      </c>
      <c r="DM153" s="330">
        <f t="shared" si="196"/>
        <v>0</v>
      </c>
      <c r="DN153" s="330">
        <f t="shared" si="196"/>
        <v>0</v>
      </c>
      <c r="DO153" s="330">
        <f t="shared" si="196"/>
        <v>0</v>
      </c>
      <c r="DP153" s="330">
        <f>BS153</f>
        <v>0</v>
      </c>
      <c r="DQ153" s="217"/>
      <c r="DR153" s="217"/>
      <c r="DS153" s="217"/>
      <c r="DT153" s="217"/>
    </row>
    <row r="154" spans="1:124" x14ac:dyDescent="0.3">
      <c r="A154" s="332" t="str">
        <f>IF(AND(F154&lt;&gt;"",OR('Simplified Screening 1'!G45=0,'Simplified Screening 1'!G45="I Don't Know")),"Default","")</f>
        <v/>
      </c>
      <c r="B154" s="221" t="s">
        <v>306</v>
      </c>
      <c r="C154" s="221" t="str">
        <f>IF('Simplified Screening 1'!C45=0,"",'Simplified Screening 1'!C45)</f>
        <v/>
      </c>
      <c r="D154" s="221" t="str">
        <f>IF('Simplified Screening 1'!D45=0,"",'Simplified Screening 1'!D45)</f>
        <v/>
      </c>
      <c r="E154" s="221" t="str">
        <f>IF('Simplified Screening 1'!E45=0,"",'Simplified Screening 1'!E45)</f>
        <v/>
      </c>
      <c r="F154" s="221" t="str">
        <f>'Simplified Screening 1'!R45</f>
        <v/>
      </c>
      <c r="G154" s="272">
        <f>'Simplified Screening 1'!H45*'Simplified Screening 1'!L45*Conversions!$C$4</f>
        <v>0</v>
      </c>
      <c r="H154" s="272">
        <f>'Simplified Screening 1'!I45*'Simplified Screening 1'!M45*'Simplified Screening 1'!J45*Conversions!$C$4</f>
        <v>0</v>
      </c>
      <c r="I154" s="272">
        <f>'Simplified Screening 1'!K45*'Simplified Screening 1'!N45*(1-'Simplified Screening 1'!O45)*Conversions!$C$4</f>
        <v>0</v>
      </c>
      <c r="J154" s="325">
        <f>IF('Simplified Screening 1'!P45=0,0,'Simplified Screening 1'!P45)</f>
        <v>0</v>
      </c>
      <c r="K154" s="325">
        <f>IF(AND(OR('Simplified Screening 1'!G45=0,'Simplified Screening 1'!G45="I Don't Know"),F154&lt;&gt;""),J154*HLOOKUP(E154,'Equipment Assumptions'!$C$30:$Q$31,2,0),IF(F154="Non-HFC",0,J154))</f>
        <v>0</v>
      </c>
      <c r="L154" s="333">
        <f>IF($F154="",0,IF($A154="Default",$G154*VLOOKUP($F154,Lists!$C$72:$R$232,COLUMNS(Lists!$C$69:E$69),0)*VLOOKUP(BE$3,Conversions!$B$12:$E$34,4,0)*HLOOKUP($E154,'Equipment Assumptions'!$C$30:$Q$31,2,0),$G154*VLOOKUP($F154,Lists!$C$72:$R$232,COLUMNS(Lists!$C$69:E$69),0)*VLOOKUP(BE$3,Conversions!$B$12:$E$34,4,0)))</f>
        <v>0</v>
      </c>
      <c r="M154" s="333">
        <f>IF($F154="",0,IF($A154="Default",$G154*VLOOKUP($F154,Lists!$C$72:$R$232,COLUMNS(Lists!$C$69:F$69),0)*VLOOKUP(BF$3,Conversions!$B$12:$E$34,4,0)*HLOOKUP($E154,'Equipment Assumptions'!$C$30:$Q$31,2,0),$G154*VLOOKUP($F154,Lists!$C$72:$R$232,COLUMNS(Lists!$C$69:F$69),0)*VLOOKUP(BF$3,Conversions!$B$12:$E$34,4,0)))</f>
        <v>0</v>
      </c>
      <c r="N154" s="333">
        <f>IF($F154="",0,IF($A154="Default",$G154*VLOOKUP($F154,Lists!$C$72:$R$232,COLUMNS(Lists!$C$69:G$69),0)*VLOOKUP(BG$3,Conversions!$B$12:$E$34,4,0)*HLOOKUP($E154,'Equipment Assumptions'!$C$30:$Q$31,2,0),$G154*VLOOKUP($F154,Lists!$C$72:$R$232,COLUMNS(Lists!$C$69:G$69),0)*VLOOKUP(BG$3,Conversions!$B$12:$E$34,4,0)))</f>
        <v>0</v>
      </c>
      <c r="O154" s="333">
        <f>IF($F154="",0,IF($A154="Default",$G154*VLOOKUP($F154,Lists!$C$72:$R$232,COLUMNS(Lists!$C$69:H$69),0)*VLOOKUP(BH$3,Conversions!$B$12:$E$34,4,0)*HLOOKUP($E154,'Equipment Assumptions'!$C$30:$Q$31,2,0),$G154*VLOOKUP($F154,Lists!$C$72:$R$232,COLUMNS(Lists!$C$69:H$69),0)*VLOOKUP(BH$3,Conversions!$B$12:$E$34,4,0)))</f>
        <v>0</v>
      </c>
      <c r="P154" s="333">
        <f>IF($F154="",0,IF($A154="Default",$G154*VLOOKUP($F154,Lists!$C$72:$R$232,COLUMNS(Lists!$C$69:I$69),0)*VLOOKUP(BI$3,Conversions!$B$12:$E$34,4,0)*HLOOKUP($E154,'Equipment Assumptions'!$C$30:$Q$31,2,0),$G154*VLOOKUP($F154,Lists!$C$72:$R$232,COLUMNS(Lists!$C$69:I$69),0)*VLOOKUP(BI$3,Conversions!$B$12:$E$34,4,0)))</f>
        <v>0</v>
      </c>
      <c r="Q154" s="333">
        <f>IF($F154="",0,IF($A154="Default",$G154*VLOOKUP($F154,Lists!$C$72:$R$232,COLUMNS(Lists!$C$69:J$69),0)*VLOOKUP(BJ$3,Conversions!$B$12:$E$34,4,0)*HLOOKUP($E154,'Equipment Assumptions'!$C$30:$Q$31,2,0),$G154*VLOOKUP($F154,Lists!$C$72:$R$232,COLUMNS(Lists!$C$69:J$69),0)*VLOOKUP(BJ$3,Conversions!$B$12:$E$34,4,0)))</f>
        <v>0</v>
      </c>
      <c r="R154" s="333">
        <f>IF($F154="",0,IF($A154="Default",$G154*VLOOKUP($F154,Lists!$C$72:$R$232,COLUMNS(Lists!$C$69:K$69),0)*VLOOKUP(BK$3,Conversions!$B$12:$E$34,4,0)*HLOOKUP($E154,'Equipment Assumptions'!$C$30:$Q$31,2,0),$G154*VLOOKUP($F154,Lists!$C$72:$R$232,COLUMNS(Lists!$C$69:K$69),0)*VLOOKUP(BK$3,Conversions!$B$12:$E$34,4,0)))</f>
        <v>0</v>
      </c>
      <c r="S154" s="333">
        <f>IF($F154="",0,IF($A154="Default",$G154*VLOOKUP($F154,Lists!$C$72:$R$232,COLUMNS(Lists!$C$69:L$69),0)*VLOOKUP(BL$3,Conversions!$B$12:$E$34,4,0)*HLOOKUP($E154,'Equipment Assumptions'!$C$30:$Q$31,2,0),$G154*VLOOKUP($F154,Lists!$C$72:$R$232,COLUMNS(Lists!$C$69:L$69),0)*VLOOKUP(BL$3,Conversions!$B$12:$E$34,4,0)))</f>
        <v>0</v>
      </c>
      <c r="T154" s="333">
        <f>IF($F154="",0,IF($A154="Default",$G154*VLOOKUP($F154,Lists!$C$72:$R$232,COLUMNS(Lists!$C$69:M$69),0)*VLOOKUP(BM$3,Conversions!$B$12:$E$34,4,0)*HLOOKUP($E154,'Equipment Assumptions'!$C$30:$Q$31,2,0),$G154*VLOOKUP($F154,Lists!$C$72:$R$232,COLUMNS(Lists!$C$69:M$69),0)*VLOOKUP(BM$3,Conversions!$B$12:$E$34,4,0)))</f>
        <v>0</v>
      </c>
      <c r="U154" s="333">
        <f>IF($F154="",0,IF($A154="Default",$G154*VLOOKUP($F154,Lists!$C$72:$R$232,COLUMNS(Lists!$C$69:N$69),0)*VLOOKUP(BN$3,Conversions!$B$12:$E$34,4,0)*HLOOKUP($E154,'Equipment Assumptions'!$C$30:$Q$31,2,0),$G154*VLOOKUP($F154,Lists!$C$72:$R$232,COLUMNS(Lists!$C$69:N$69),0)*VLOOKUP(BN$3,Conversions!$B$12:$E$34,4,0)))</f>
        <v>0</v>
      </c>
      <c r="V154" s="333">
        <f>IF($F154="",0,IF($A154="Default",$G154*VLOOKUP($F154,Lists!$C$72:$R$232,COLUMNS(Lists!$C$69:O$69),0)*VLOOKUP(BO$3,Conversions!$B$12:$E$34,4,0)*HLOOKUP($E154,'Equipment Assumptions'!$C$30:$Q$31,2,0),$G154*VLOOKUP($F154,Lists!$C$72:$R$232,COLUMNS(Lists!$C$69:O$69),0)*VLOOKUP(BO$3,Conversions!$B$12:$E$34,4,0)))</f>
        <v>0</v>
      </c>
      <c r="W154" s="333">
        <f>IF($F154="",0,IF($A154="Default",$G154*VLOOKUP($F154,Lists!$C$72:$R$232,COLUMNS(Lists!$C$69:P$69),0)*VLOOKUP(BP$3,Conversions!$B$12:$E$34,4,0)*HLOOKUP($E154,'Equipment Assumptions'!$C$30:$Q$31,2,0),$G154*VLOOKUP($F154,Lists!$C$72:$R$232,COLUMNS(Lists!$C$69:P$69),0)*VLOOKUP(BP$3,Conversions!$B$12:$E$34,4,0)))</f>
        <v>0</v>
      </c>
      <c r="X154" s="333">
        <f>IF($F154="",0,IF($A154="Default",$G154*VLOOKUP($F154,Lists!$C$72:$R$232,COLUMNS(Lists!$C$69:Q$69),0)*VLOOKUP(BQ$3,Conversions!$B$12:$E$34,4,0)*HLOOKUP($E154,'Equipment Assumptions'!$C$30:$Q$31,2,0),$G154*VLOOKUP($F154,Lists!$C$72:$R$232,COLUMNS(Lists!$C$69:Q$69),0)*VLOOKUP(BQ$3,Conversions!$B$12:$E$34,4,0)))</f>
        <v>0</v>
      </c>
      <c r="Y154" s="333">
        <f>IF($F154="",0,IF($A154="Default",$G154*VLOOKUP($F154,Lists!$C$72:$R$232,COLUMNS(Lists!$C$69:R$69),0)*VLOOKUP(BR$3,Conversions!$B$12:$E$34,4,0)*HLOOKUP($E154,'Equipment Assumptions'!$C$30:$Q$31,2,0),$G154*VLOOKUP($F154,Lists!$C$72:$R$232,COLUMNS(Lists!$C$69:R$69),0)*VLOOKUP(BR$3,Conversions!$B$12:$E$34,4,0)))</f>
        <v>0</v>
      </c>
      <c r="Z154" s="325">
        <f t="shared" si="197"/>
        <v>0</v>
      </c>
      <c r="AA154" s="334">
        <f>IF($F154="",0,IF($A154="Default",$H154*VLOOKUP($F154,Lists!$C$72:$R$232,COLUMNS(Lists!$C$69:E$69),0)*VLOOKUP(BE$3,Conversions!$B$12:$E$34,4,0)*HLOOKUP($E154,'Equipment Assumptions'!$C$30:$Q$31,2,0),$H154*VLOOKUP($F154,Lists!$C$72:$R$232,COLUMNS(Lists!$C$69:E$69),0)*VLOOKUP(BE$3,Conversions!$B$12:$E$34,4,0)))</f>
        <v>0</v>
      </c>
      <c r="AB154" s="334">
        <f>IF($F154="",0,IF($A154="Default",$H154*VLOOKUP($F154,Lists!$C$72:$R$232,COLUMNS(Lists!$C$69:F$69),0)*VLOOKUP(BF$3,Conversions!$B$12:$E$34,4,0)*HLOOKUP($E154,'Equipment Assumptions'!$C$30:$Q$31,2,0),$H154*VLOOKUP($F154,Lists!$C$72:$R$232,COLUMNS(Lists!$C$69:F$69),0)*VLOOKUP(BF$3,Conversions!$B$12:$E$34,4,0)))</f>
        <v>0</v>
      </c>
      <c r="AC154" s="334">
        <f>IF($F154="",0,IF($A154="Default",$H154*VLOOKUP($F154,Lists!$C$72:$R$232,COLUMNS(Lists!$C$69:G$69),0)*VLOOKUP(BG$3,Conversions!$B$12:$E$34,4,0)*HLOOKUP($E154,'Equipment Assumptions'!$C$30:$Q$31,2,0),$H154*VLOOKUP($F154,Lists!$C$72:$R$232,COLUMNS(Lists!$C$69:G$69),0)*VLOOKUP(BG$3,Conversions!$B$12:$E$34,4,0)))</f>
        <v>0</v>
      </c>
      <c r="AD154" s="334">
        <f>IF($F154="",0,IF($A154="Default",$H154*VLOOKUP($F154,Lists!$C$72:$R$232,COLUMNS(Lists!$C$69:H$69),0)*VLOOKUP(BH$3,Conversions!$B$12:$E$34,4,0)*HLOOKUP($E154,'Equipment Assumptions'!$C$30:$Q$31,2,0),$H154*VLOOKUP($F154,Lists!$C$72:$R$232,COLUMNS(Lists!$C$69:H$69),0)*VLOOKUP(BH$3,Conversions!$B$12:$E$34,4,0)))</f>
        <v>0</v>
      </c>
      <c r="AE154" s="334">
        <f>IF($F154="",0,IF($A154="Default",$H154*VLOOKUP($F154,Lists!$C$72:$R$232,COLUMNS(Lists!$C$69:I$69),0)*VLOOKUP(BI$3,Conversions!$B$12:$E$34,4,0)*HLOOKUP($E154,'Equipment Assumptions'!$C$30:$Q$31,2,0),$H154*VLOOKUP($F154,Lists!$C$72:$R$232,COLUMNS(Lists!$C$69:I$69),0)*VLOOKUP(BI$3,Conversions!$B$12:$E$34,4,0)))</f>
        <v>0</v>
      </c>
      <c r="AF154" s="334">
        <f>IF($F154="",0,IF($A154="Default",$H154*VLOOKUP($F154,Lists!$C$72:$R$232,COLUMNS(Lists!$C$69:J$69),0)*VLOOKUP(BJ$3,Conversions!$B$12:$E$34,4,0)*HLOOKUP($E154,'Equipment Assumptions'!$C$30:$Q$31,2,0),$H154*VLOOKUP($F154,Lists!$C$72:$R$232,COLUMNS(Lists!$C$69:J$69),0)*VLOOKUP(BJ$3,Conversions!$B$12:$E$34,4,0)))</f>
        <v>0</v>
      </c>
      <c r="AG154" s="334">
        <f>IF($F154="",0,IF($A154="Default",$H154*VLOOKUP($F154,Lists!$C$72:$R$232,COLUMNS(Lists!$C$69:K$69),0)*VLOOKUP(BK$3,Conversions!$B$12:$E$34,4,0)*HLOOKUP($E154,'Equipment Assumptions'!$C$30:$Q$31,2,0),$H154*VLOOKUP($F154,Lists!$C$72:$R$232,COLUMNS(Lists!$C$69:K$69),0)*VLOOKUP(BK$3,Conversions!$B$12:$E$34,4,0)))</f>
        <v>0</v>
      </c>
      <c r="AH154" s="334">
        <f>IF($F154="",0,IF($A154="Default",$H154*VLOOKUP($F154,Lists!$C$72:$R$232,COLUMNS(Lists!$C$69:L$69),0)*VLOOKUP(BL$3,Conversions!$B$12:$E$34,4,0)*HLOOKUP($E154,'Equipment Assumptions'!$C$30:$Q$31,2,0),$H154*VLOOKUP($F154,Lists!$C$72:$R$232,COLUMNS(Lists!$C$69:L$69),0)*VLOOKUP(BL$3,Conversions!$B$12:$E$34,4,0)))</f>
        <v>0</v>
      </c>
      <c r="AI154" s="334">
        <f>IF($F154="",0,IF($A154="Default",$H154*VLOOKUP($F154,Lists!$C$72:$R$232,COLUMNS(Lists!$C$69:M$69),0)*VLOOKUP(BM$3,Conversions!$B$12:$E$34,4,0)*HLOOKUP($E154,'Equipment Assumptions'!$C$30:$Q$31,2,0),$H154*VLOOKUP($F154,Lists!$C$72:$R$232,COLUMNS(Lists!$C$69:M$69),0)*VLOOKUP(BM$3,Conversions!$B$12:$E$34,4,0)))</f>
        <v>0</v>
      </c>
      <c r="AJ154" s="334">
        <f>IF($F154="",0,IF($A154="Default",$H154*VLOOKUP($F154,Lists!$C$72:$R$232,COLUMNS(Lists!$C$69:N$69),0)*VLOOKUP(BN$3,Conversions!$B$12:$E$34,4,0)*HLOOKUP($E154,'Equipment Assumptions'!$C$30:$Q$31,2,0),$H154*VLOOKUP($F154,Lists!$C$72:$R$232,COLUMNS(Lists!$C$69:N$69),0)*VLOOKUP(BN$3,Conversions!$B$12:$E$34,4,0)))</f>
        <v>0</v>
      </c>
      <c r="AK154" s="334">
        <f>IF($F154="",0,IF($A154="Default",$H154*VLOOKUP($F154,Lists!$C$72:$R$232,COLUMNS(Lists!$C$69:O$69),0)*VLOOKUP(BO$3,Conversions!$B$12:$E$34,4,0)*HLOOKUP($E154,'Equipment Assumptions'!$C$30:$Q$31,2,0),$H154*VLOOKUP($F154,Lists!$C$72:$R$232,COLUMNS(Lists!$C$69:O$69),0)*VLOOKUP(BO$3,Conversions!$B$12:$E$34,4,0)))</f>
        <v>0</v>
      </c>
      <c r="AL154" s="334">
        <f>IF($F154="",0,IF($A154="Default",$H154*VLOOKUP($F154,Lists!$C$72:$R$232,COLUMNS(Lists!$C$69:P$69),0)*VLOOKUP(BP$3,Conversions!$B$12:$E$34,4,0)*HLOOKUP($E154,'Equipment Assumptions'!$C$30:$Q$31,2,0),$H154*VLOOKUP($F154,Lists!$C$72:$R$232,COLUMNS(Lists!$C$69:P$69),0)*VLOOKUP(BP$3,Conversions!$B$12:$E$34,4,0)))</f>
        <v>0</v>
      </c>
      <c r="AM154" s="334">
        <f>IF($F154="",0,IF($A154="Default",$H154*VLOOKUP($F154,Lists!$C$72:$R$232,COLUMNS(Lists!$C$69:Q$69),0)*VLOOKUP(BQ$3,Conversions!$B$12:$E$34,4,0)*HLOOKUP($E154,'Equipment Assumptions'!$C$30:$Q$31,2,0),$H154*VLOOKUP($F154,Lists!$C$72:$R$232,COLUMNS(Lists!$C$69:Q$69),0)*VLOOKUP(BQ$3,Conversions!$B$12:$E$34,4,0)))</f>
        <v>0</v>
      </c>
      <c r="AN154" s="334">
        <f>IF($F154="",0,IF($A154="Default",$H154*VLOOKUP($F154,Lists!$C$72:$R$232,COLUMNS(Lists!$C$69:R$69),0)*VLOOKUP(BR$3,Conversions!$B$12:$E$34,4,0)*HLOOKUP($E154,'Equipment Assumptions'!$C$30:$Q$31,2,0),$H154*VLOOKUP($F154,Lists!$C$72:$R$232,COLUMNS(Lists!$C$69:R$69),0)*VLOOKUP(BR$3,Conversions!$B$12:$E$34,4,0)))</f>
        <v>0</v>
      </c>
      <c r="AO154" s="330">
        <f t="shared" si="198"/>
        <v>0</v>
      </c>
      <c r="AP154" s="333">
        <f>IF($F154="",0,IF($A154="Default",$I154*VLOOKUP($F154,Lists!$C$72:$R$232,COLUMNS(Lists!$C$69:E$69),0)*VLOOKUP(BE$3,Conversions!$B$12:$E$34,4,0)*HLOOKUP($E154,'Equipment Assumptions'!$C$30:$Q$31,2,0),$I154*VLOOKUP($F154,Lists!$C$72:$R$232,COLUMNS(Lists!$C$69:E$69),0)*VLOOKUP(BE$3,Conversions!$B$12:$E$34,4,0)))</f>
        <v>0</v>
      </c>
      <c r="AQ154" s="333">
        <f>IF($F154="",0,IF($A154="Default",$I154*VLOOKUP($F154,Lists!$C$72:$R$232,COLUMNS(Lists!$C$69:F$69),0)*VLOOKUP(BF$3,Conversions!$B$12:$E$34,4,0)*HLOOKUP($E154,'Equipment Assumptions'!$C$30:$Q$31,2,0),$I154*VLOOKUP($F154,Lists!$C$72:$R$232,COLUMNS(Lists!$C$69:F$69),0)*VLOOKUP(BF$3,Conversions!$B$12:$E$34,4,0)))</f>
        <v>0</v>
      </c>
      <c r="AR154" s="333">
        <f>IF($F154="",0,IF($A154="Default",$I154*VLOOKUP($F154,Lists!$C$72:$R$232,COLUMNS(Lists!$C$69:G$69),0)*VLOOKUP(BG$3,Conversions!$B$12:$E$34,4,0)*HLOOKUP($E154,'Equipment Assumptions'!$C$30:$Q$31,2,0),$I154*VLOOKUP($F154,Lists!$C$72:$R$232,COLUMNS(Lists!$C$69:G$69),0)*VLOOKUP(BG$3,Conversions!$B$12:$E$34,4,0)))</f>
        <v>0</v>
      </c>
      <c r="AS154" s="333">
        <f>IF($F154="",0,IF($A154="Default",$I154*VLOOKUP($F154,Lists!$C$72:$R$232,COLUMNS(Lists!$C$69:H$69),0)*VLOOKUP(BH$3,Conversions!$B$12:$E$34,4,0)*HLOOKUP($E154,'Equipment Assumptions'!$C$30:$Q$31,2,0),$I154*VLOOKUP($F154,Lists!$C$72:$R$232,COLUMNS(Lists!$C$69:H$69),0)*VLOOKUP(BH$3,Conversions!$B$12:$E$34,4,0)))</f>
        <v>0</v>
      </c>
      <c r="AT154" s="333">
        <f>IF($F154="",0,IF($A154="Default",$I154*VLOOKUP($F154,Lists!$C$72:$R$232,COLUMNS(Lists!$C$69:I$69),0)*VLOOKUP(BI$3,Conversions!$B$12:$E$34,4,0)*HLOOKUP($E154,'Equipment Assumptions'!$C$30:$Q$31,2,0),$I154*VLOOKUP($F154,Lists!$C$72:$R$232,COLUMNS(Lists!$C$69:I$69),0)*VLOOKUP(BI$3,Conversions!$B$12:$E$34,4,0)))</f>
        <v>0</v>
      </c>
      <c r="AU154" s="333">
        <f>IF($F154="",0,IF($A154="Default",$I154*VLOOKUP($F154,Lists!$C$72:$R$232,COLUMNS(Lists!$C$69:J$69),0)*VLOOKUP(BJ$3,Conversions!$B$12:$E$34,4,0)*HLOOKUP($E154,'Equipment Assumptions'!$C$30:$Q$31,2,0),$I154*VLOOKUP($F154,Lists!$C$72:$R$232,COLUMNS(Lists!$C$69:J$69),0)*VLOOKUP(BJ$3,Conversions!$B$12:$E$34,4,0)))</f>
        <v>0</v>
      </c>
      <c r="AV154" s="333">
        <f>IF($F154="",0,IF($A154="Default",$I154*VLOOKUP($F154,Lists!$C$72:$R$232,COLUMNS(Lists!$C$69:K$69),0)*VLOOKUP(BK$3,Conversions!$B$12:$E$34,4,0)*HLOOKUP($E154,'Equipment Assumptions'!$C$30:$Q$31,2,0),$I154*VLOOKUP($F154,Lists!$C$72:$R$232,COLUMNS(Lists!$C$69:K$69),0)*VLOOKUP(BK$3,Conversions!$B$12:$E$34,4,0)))</f>
        <v>0</v>
      </c>
      <c r="AW154" s="333">
        <f>IF($F154="",0,IF($A154="Default",$I154*VLOOKUP($F154,Lists!$C$72:$R$232,COLUMNS(Lists!$C$69:L$69),0)*VLOOKUP(BL$3,Conversions!$B$12:$E$34,4,0)*HLOOKUP($E154,'Equipment Assumptions'!$C$30:$Q$31,2,0),$I154*VLOOKUP($F154,Lists!$C$72:$R$232,COLUMNS(Lists!$C$69:L$69),0)*VLOOKUP(BL$3,Conversions!$B$12:$E$34,4,0)))</f>
        <v>0</v>
      </c>
      <c r="AX154" s="333">
        <f>IF($F154="",0,IF($A154="Default",$I154*VLOOKUP($F154,Lists!$C$72:$R$232,COLUMNS(Lists!$C$69:M$69),0)*VLOOKUP(BM$3,Conversions!$B$12:$E$34,4,0)*HLOOKUP($E154,'Equipment Assumptions'!$C$30:$Q$31,2,0),$I154*VLOOKUP($F154,Lists!$C$72:$R$232,COLUMNS(Lists!$C$69:M$69),0)*VLOOKUP(BM$3,Conversions!$B$12:$E$34,4,0)))</f>
        <v>0</v>
      </c>
      <c r="AY154" s="333">
        <f>IF($F154="",0,IF($A154="Default",$I154*VLOOKUP($F154,Lists!$C$72:$R$232,COLUMNS(Lists!$C$69:N$69),0)*VLOOKUP(BN$3,Conversions!$B$12:$E$34,4,0)*HLOOKUP($E154,'Equipment Assumptions'!$C$30:$Q$31,2,0),$I154*VLOOKUP($F154,Lists!$C$72:$R$232,COLUMNS(Lists!$C$69:N$69),0)*VLOOKUP(BN$3,Conversions!$B$12:$E$34,4,0)))</f>
        <v>0</v>
      </c>
      <c r="AZ154" s="333">
        <f>IF($F154="",0,IF($A154="Default",$I154*VLOOKUP($F154,Lists!$C$72:$R$232,COLUMNS(Lists!$C$69:O$69),0)*VLOOKUP(BO$3,Conversions!$B$12:$E$34,4,0)*HLOOKUP($E154,'Equipment Assumptions'!$C$30:$Q$31,2,0),$I154*VLOOKUP($F154,Lists!$C$72:$R$232,COLUMNS(Lists!$C$69:O$69),0)*VLOOKUP(BO$3,Conversions!$B$12:$E$34,4,0)))</f>
        <v>0</v>
      </c>
      <c r="BA154" s="333">
        <f>IF($F154="",0,IF($A154="Default",$I154*VLOOKUP($F154,Lists!$C$72:$R$232,COLUMNS(Lists!$C$69:P$69),0)*VLOOKUP(BP$3,Conversions!$B$12:$E$34,4,0)*HLOOKUP($E154,'Equipment Assumptions'!$C$30:$Q$31,2,0),$I154*VLOOKUP($F154,Lists!$C$72:$R$232,COLUMNS(Lists!$C$69:P$69),0)*VLOOKUP(BP$3,Conversions!$B$12:$E$34,4,0)))</f>
        <v>0</v>
      </c>
      <c r="BB154" s="333">
        <f>IF($F154="",0,IF($A154="Default",$I154*VLOOKUP($F154,Lists!$C$72:$R$232,COLUMNS(Lists!$C$69:Q$69),0)*VLOOKUP(BQ$3,Conversions!$B$12:$E$34,4,0)*HLOOKUP($E154,'Equipment Assumptions'!$C$30:$Q$31,2,0),$I154*VLOOKUP($F154,Lists!$C$72:$R$232,COLUMNS(Lists!$C$69:Q$69),0)*VLOOKUP(BQ$3,Conversions!$B$12:$E$34,4,0)))</f>
        <v>0</v>
      </c>
      <c r="BC154" s="333">
        <f>IF($F154="",0,IF($A154="Default",$I154*VLOOKUP($F154,Lists!$C$72:$R$232,COLUMNS(Lists!$C$69:R$69),0)*VLOOKUP(BR$3,Conversions!$B$12:$E$34,4,0)*HLOOKUP($E154,'Equipment Assumptions'!$C$30:$Q$31,2,0),$I154*VLOOKUP($F154,Lists!$C$72:$R$232,COLUMNS(Lists!$C$69:R$69),0)*VLOOKUP(BR$3,Conversions!$B$12:$E$34,4,0)))</f>
        <v>0</v>
      </c>
      <c r="BD154" s="333">
        <f t="shared" si="199"/>
        <v>0</v>
      </c>
      <c r="BE154" s="330">
        <f t="shared" si="145"/>
        <v>0</v>
      </c>
      <c r="BF154" s="330">
        <f t="shared" si="146"/>
        <v>0</v>
      </c>
      <c r="BG154" s="330">
        <f t="shared" si="147"/>
        <v>0</v>
      </c>
      <c r="BH154" s="330">
        <f t="shared" si="148"/>
        <v>0</v>
      </c>
      <c r="BI154" s="330">
        <f t="shared" si="149"/>
        <v>0</v>
      </c>
      <c r="BJ154" s="330">
        <f t="shared" si="150"/>
        <v>0</v>
      </c>
      <c r="BK154" s="330">
        <f t="shared" si="151"/>
        <v>0</v>
      </c>
      <c r="BL154" s="330">
        <f t="shared" si="152"/>
        <v>0</v>
      </c>
      <c r="BM154" s="330">
        <f t="shared" si="153"/>
        <v>0</v>
      </c>
      <c r="BN154" s="330">
        <f t="shared" si="154"/>
        <v>0</v>
      </c>
      <c r="BO154" s="330">
        <f t="shared" si="155"/>
        <v>0</v>
      </c>
      <c r="BP154" s="330">
        <f t="shared" si="156"/>
        <v>0</v>
      </c>
      <c r="BQ154" s="330">
        <f t="shared" si="157"/>
        <v>0</v>
      </c>
      <c r="BR154" s="330">
        <f t="shared" si="158"/>
        <v>0</v>
      </c>
      <c r="BS154" s="330">
        <f t="shared" si="159"/>
        <v>0</v>
      </c>
      <c r="BT154" s="329">
        <f t="shared" ref="BT154:CI163" si="210">IF($E154="",0,IF($E154=BT$3,$BS154,0))</f>
        <v>0</v>
      </c>
      <c r="BU154" s="329">
        <f t="shared" si="210"/>
        <v>0</v>
      </c>
      <c r="BV154" s="329">
        <f t="shared" si="210"/>
        <v>0</v>
      </c>
      <c r="BW154" s="329">
        <f t="shared" si="210"/>
        <v>0</v>
      </c>
      <c r="BX154" s="329">
        <f t="shared" si="210"/>
        <v>0</v>
      </c>
      <c r="BY154" s="329">
        <f t="shared" si="210"/>
        <v>0</v>
      </c>
      <c r="BZ154" s="329">
        <f t="shared" si="210"/>
        <v>0</v>
      </c>
      <c r="CA154" s="329">
        <f t="shared" si="210"/>
        <v>0</v>
      </c>
      <c r="CB154" s="329">
        <f t="shared" si="210"/>
        <v>0</v>
      </c>
      <c r="CC154" s="329">
        <f t="shared" si="210"/>
        <v>0</v>
      </c>
      <c r="CD154" s="329">
        <f t="shared" si="210"/>
        <v>0</v>
      </c>
      <c r="CE154" s="329">
        <f t="shared" si="210"/>
        <v>0</v>
      </c>
      <c r="CF154" s="329">
        <f t="shared" si="210"/>
        <v>0</v>
      </c>
      <c r="CG154" s="329">
        <f t="shared" si="210"/>
        <v>0</v>
      </c>
      <c r="CH154" s="329">
        <f t="shared" si="210"/>
        <v>0</v>
      </c>
      <c r="CI154" s="329">
        <f t="shared" si="210"/>
        <v>0</v>
      </c>
      <c r="CJ154" s="331">
        <f t="shared" si="200"/>
        <v>0</v>
      </c>
      <c r="CK154" s="330">
        <f t="shared" si="201"/>
        <v>0</v>
      </c>
      <c r="CL154" s="330">
        <f t="shared" si="202"/>
        <v>0</v>
      </c>
      <c r="CM154" s="330">
        <f t="shared" si="203"/>
        <v>0</v>
      </c>
      <c r="CN154" s="330">
        <f t="shared" si="204"/>
        <v>0</v>
      </c>
      <c r="CO154" s="330">
        <f t="shared" si="205"/>
        <v>0</v>
      </c>
      <c r="CP154" s="330">
        <f t="shared" si="206"/>
        <v>0</v>
      </c>
      <c r="CQ154" s="330">
        <f t="shared" si="186"/>
        <v>0</v>
      </c>
      <c r="CR154" s="330">
        <f t="shared" si="207"/>
        <v>0</v>
      </c>
      <c r="CS154" s="330">
        <f t="shared" si="208"/>
        <v>0</v>
      </c>
      <c r="CT154" s="330">
        <f t="shared" si="209"/>
        <v>0</v>
      </c>
      <c r="CU154" s="330">
        <f t="shared" ref="CU154:DD163" si="211">IF($C154=CU$3,$BS154,0)</f>
        <v>0</v>
      </c>
      <c r="CV154" s="330">
        <f t="shared" si="211"/>
        <v>0</v>
      </c>
      <c r="CW154" s="330">
        <f t="shared" si="211"/>
        <v>0</v>
      </c>
      <c r="CX154" s="330">
        <f t="shared" si="211"/>
        <v>0</v>
      </c>
      <c r="CY154" s="330">
        <f t="shared" si="211"/>
        <v>0</v>
      </c>
      <c r="CZ154" s="330">
        <f t="shared" si="211"/>
        <v>0</v>
      </c>
      <c r="DA154" s="330">
        <f t="shared" si="211"/>
        <v>0</v>
      </c>
      <c r="DB154" s="330">
        <f t="shared" si="211"/>
        <v>0</v>
      </c>
      <c r="DC154" s="330">
        <f t="shared" si="211"/>
        <v>0</v>
      </c>
      <c r="DD154" s="330">
        <f t="shared" si="211"/>
        <v>0</v>
      </c>
      <c r="DE154" s="330">
        <f t="shared" ref="DE154:DO163" si="212">IF($C154=DE$3,$BS154,0)</f>
        <v>0</v>
      </c>
      <c r="DF154" s="330">
        <f t="shared" si="212"/>
        <v>0</v>
      </c>
      <c r="DG154" s="330">
        <f t="shared" si="212"/>
        <v>0</v>
      </c>
      <c r="DH154" s="330">
        <f t="shared" si="212"/>
        <v>0</v>
      </c>
      <c r="DI154" s="330">
        <f t="shared" si="212"/>
        <v>0</v>
      </c>
      <c r="DJ154" s="330">
        <f t="shared" si="212"/>
        <v>0</v>
      </c>
      <c r="DK154" s="330">
        <f t="shared" si="212"/>
        <v>0</v>
      </c>
      <c r="DL154" s="330">
        <f t="shared" si="212"/>
        <v>0</v>
      </c>
      <c r="DM154" s="330">
        <f t="shared" si="212"/>
        <v>0</v>
      </c>
      <c r="DN154" s="330">
        <f t="shared" si="212"/>
        <v>0</v>
      </c>
      <c r="DO154" s="330">
        <f t="shared" si="212"/>
        <v>0</v>
      </c>
      <c r="DP154" s="330">
        <f>BS154</f>
        <v>0</v>
      </c>
      <c r="DQ154" s="217"/>
      <c r="DR154" s="217"/>
      <c r="DS154" s="217"/>
      <c r="DT154" s="217"/>
    </row>
    <row r="155" spans="1:124" x14ac:dyDescent="0.3">
      <c r="A155" s="332" t="str">
        <f>IF(AND(F155&lt;&gt;"",OR('Simplified Screening 1'!G46=0,'Simplified Screening 1'!G46="I Don't Know")),"Default","")</f>
        <v/>
      </c>
      <c r="B155" s="221" t="s">
        <v>306</v>
      </c>
      <c r="C155" s="221" t="str">
        <f>IF('Simplified Screening 1'!C46=0,"",'Simplified Screening 1'!C46)</f>
        <v/>
      </c>
      <c r="D155" s="221" t="str">
        <f>IF('Simplified Screening 1'!D46=0,"",'Simplified Screening 1'!D46)</f>
        <v/>
      </c>
      <c r="E155" s="221" t="str">
        <f>IF('Simplified Screening 1'!E46=0,"",'Simplified Screening 1'!E46)</f>
        <v/>
      </c>
      <c r="F155" s="221" t="str">
        <f>'Simplified Screening 1'!R46</f>
        <v/>
      </c>
      <c r="G155" s="272">
        <f>'Simplified Screening 1'!H46*'Simplified Screening 1'!L46*Conversions!$C$4</f>
        <v>0</v>
      </c>
      <c r="H155" s="272">
        <f>'Simplified Screening 1'!I46*'Simplified Screening 1'!M46*'Simplified Screening 1'!J46*Conversions!$C$4</f>
        <v>0</v>
      </c>
      <c r="I155" s="272">
        <f>'Simplified Screening 1'!K46*'Simplified Screening 1'!N46*(1-'Simplified Screening 1'!O46)*Conversions!$C$4</f>
        <v>0</v>
      </c>
      <c r="J155" s="325">
        <f>IF('Simplified Screening 1'!P46=0,0,'Simplified Screening 1'!P46)</f>
        <v>0</v>
      </c>
      <c r="K155" s="325">
        <f>IF(AND(OR('Simplified Screening 1'!G46=0,'Simplified Screening 1'!G46="I Don't Know"),F155&lt;&gt;""),J155*HLOOKUP(E155,'Equipment Assumptions'!$C$30:$Q$31,2,0),IF(F155="Non-HFC",0,J155))</f>
        <v>0</v>
      </c>
      <c r="L155" s="333">
        <f>IF($F155="",0,IF($A155="Default",$G155*VLOOKUP($F155,Lists!$C$72:$R$232,COLUMNS(Lists!$C$69:E$69),0)*VLOOKUP(BE$3,Conversions!$B$12:$E$34,4,0)*HLOOKUP($E155,'Equipment Assumptions'!$C$30:$Q$31,2,0),$G155*VLOOKUP($F155,Lists!$C$72:$R$232,COLUMNS(Lists!$C$69:E$69),0)*VLOOKUP(BE$3,Conversions!$B$12:$E$34,4,0)))</f>
        <v>0</v>
      </c>
      <c r="M155" s="333">
        <f>IF($F155="",0,IF($A155="Default",$G155*VLOOKUP($F155,Lists!$C$72:$R$232,COLUMNS(Lists!$C$69:F$69),0)*VLOOKUP(BF$3,Conversions!$B$12:$E$34,4,0)*HLOOKUP($E155,'Equipment Assumptions'!$C$30:$Q$31,2,0),$G155*VLOOKUP($F155,Lists!$C$72:$R$232,COLUMNS(Lists!$C$69:F$69),0)*VLOOKUP(BF$3,Conversions!$B$12:$E$34,4,0)))</f>
        <v>0</v>
      </c>
      <c r="N155" s="333">
        <f>IF($F155="",0,IF($A155="Default",$G155*VLOOKUP($F155,Lists!$C$72:$R$232,COLUMNS(Lists!$C$69:G$69),0)*VLOOKUP(BG$3,Conversions!$B$12:$E$34,4,0)*HLOOKUP($E155,'Equipment Assumptions'!$C$30:$Q$31,2,0),$G155*VLOOKUP($F155,Lists!$C$72:$R$232,COLUMNS(Lists!$C$69:G$69),0)*VLOOKUP(BG$3,Conversions!$B$12:$E$34,4,0)))</f>
        <v>0</v>
      </c>
      <c r="O155" s="333">
        <f>IF($F155="",0,IF($A155="Default",$G155*VLOOKUP($F155,Lists!$C$72:$R$232,COLUMNS(Lists!$C$69:H$69),0)*VLOOKUP(BH$3,Conversions!$B$12:$E$34,4,0)*HLOOKUP($E155,'Equipment Assumptions'!$C$30:$Q$31,2,0),$G155*VLOOKUP($F155,Lists!$C$72:$R$232,COLUMNS(Lists!$C$69:H$69),0)*VLOOKUP(BH$3,Conversions!$B$12:$E$34,4,0)))</f>
        <v>0</v>
      </c>
      <c r="P155" s="333">
        <f>IF($F155="",0,IF($A155="Default",$G155*VLOOKUP($F155,Lists!$C$72:$R$232,COLUMNS(Lists!$C$69:I$69),0)*VLOOKUP(BI$3,Conversions!$B$12:$E$34,4,0)*HLOOKUP($E155,'Equipment Assumptions'!$C$30:$Q$31,2,0),$G155*VLOOKUP($F155,Lists!$C$72:$R$232,COLUMNS(Lists!$C$69:I$69),0)*VLOOKUP(BI$3,Conversions!$B$12:$E$34,4,0)))</f>
        <v>0</v>
      </c>
      <c r="Q155" s="333">
        <f>IF($F155="",0,IF($A155="Default",$G155*VLOOKUP($F155,Lists!$C$72:$R$232,COLUMNS(Lists!$C$69:J$69),0)*VLOOKUP(BJ$3,Conversions!$B$12:$E$34,4,0)*HLOOKUP($E155,'Equipment Assumptions'!$C$30:$Q$31,2,0),$G155*VLOOKUP($F155,Lists!$C$72:$R$232,COLUMNS(Lists!$C$69:J$69),0)*VLOOKUP(BJ$3,Conversions!$B$12:$E$34,4,0)))</f>
        <v>0</v>
      </c>
      <c r="R155" s="333">
        <f>IF($F155="",0,IF($A155="Default",$G155*VLOOKUP($F155,Lists!$C$72:$R$232,COLUMNS(Lists!$C$69:K$69),0)*VLOOKUP(BK$3,Conversions!$B$12:$E$34,4,0)*HLOOKUP($E155,'Equipment Assumptions'!$C$30:$Q$31,2,0),$G155*VLOOKUP($F155,Lists!$C$72:$R$232,COLUMNS(Lists!$C$69:K$69),0)*VLOOKUP(BK$3,Conversions!$B$12:$E$34,4,0)))</f>
        <v>0</v>
      </c>
      <c r="S155" s="333">
        <f>IF($F155="",0,IF($A155="Default",$G155*VLOOKUP($F155,Lists!$C$72:$R$232,COLUMNS(Lists!$C$69:L$69),0)*VLOOKUP(BL$3,Conversions!$B$12:$E$34,4,0)*HLOOKUP($E155,'Equipment Assumptions'!$C$30:$Q$31,2,0),$G155*VLOOKUP($F155,Lists!$C$72:$R$232,COLUMNS(Lists!$C$69:L$69),0)*VLOOKUP(BL$3,Conversions!$B$12:$E$34,4,0)))</f>
        <v>0</v>
      </c>
      <c r="T155" s="333">
        <f>IF($F155="",0,IF($A155="Default",$G155*VLOOKUP($F155,Lists!$C$72:$R$232,COLUMNS(Lists!$C$69:M$69),0)*VLOOKUP(BM$3,Conversions!$B$12:$E$34,4,0)*HLOOKUP($E155,'Equipment Assumptions'!$C$30:$Q$31,2,0),$G155*VLOOKUP($F155,Lists!$C$72:$R$232,COLUMNS(Lists!$C$69:M$69),0)*VLOOKUP(BM$3,Conversions!$B$12:$E$34,4,0)))</f>
        <v>0</v>
      </c>
      <c r="U155" s="333">
        <f>IF($F155="",0,IF($A155="Default",$G155*VLOOKUP($F155,Lists!$C$72:$R$232,COLUMNS(Lists!$C$69:N$69),0)*VLOOKUP(BN$3,Conversions!$B$12:$E$34,4,0)*HLOOKUP($E155,'Equipment Assumptions'!$C$30:$Q$31,2,0),$G155*VLOOKUP($F155,Lists!$C$72:$R$232,COLUMNS(Lists!$C$69:N$69),0)*VLOOKUP(BN$3,Conversions!$B$12:$E$34,4,0)))</f>
        <v>0</v>
      </c>
      <c r="V155" s="333">
        <f>IF($F155="",0,IF($A155="Default",$G155*VLOOKUP($F155,Lists!$C$72:$R$232,COLUMNS(Lists!$C$69:O$69),0)*VLOOKUP(BO$3,Conversions!$B$12:$E$34,4,0)*HLOOKUP($E155,'Equipment Assumptions'!$C$30:$Q$31,2,0),$G155*VLOOKUP($F155,Lists!$C$72:$R$232,COLUMNS(Lists!$C$69:O$69),0)*VLOOKUP(BO$3,Conversions!$B$12:$E$34,4,0)))</f>
        <v>0</v>
      </c>
      <c r="W155" s="333">
        <f>IF($F155="",0,IF($A155="Default",$G155*VLOOKUP($F155,Lists!$C$72:$R$232,COLUMNS(Lists!$C$69:P$69),0)*VLOOKUP(BP$3,Conversions!$B$12:$E$34,4,0)*HLOOKUP($E155,'Equipment Assumptions'!$C$30:$Q$31,2,0),$G155*VLOOKUP($F155,Lists!$C$72:$R$232,COLUMNS(Lists!$C$69:P$69),0)*VLOOKUP(BP$3,Conversions!$B$12:$E$34,4,0)))</f>
        <v>0</v>
      </c>
      <c r="X155" s="333">
        <f>IF($F155="",0,IF($A155="Default",$G155*VLOOKUP($F155,Lists!$C$72:$R$232,COLUMNS(Lists!$C$69:Q$69),0)*VLOOKUP(BQ$3,Conversions!$B$12:$E$34,4,0)*HLOOKUP($E155,'Equipment Assumptions'!$C$30:$Q$31,2,0),$G155*VLOOKUP($F155,Lists!$C$72:$R$232,COLUMNS(Lists!$C$69:Q$69),0)*VLOOKUP(BQ$3,Conversions!$B$12:$E$34,4,0)))</f>
        <v>0</v>
      </c>
      <c r="Y155" s="333">
        <f>IF($F155="",0,IF($A155="Default",$G155*VLOOKUP($F155,Lists!$C$72:$R$232,COLUMNS(Lists!$C$69:R$69),0)*VLOOKUP(BR$3,Conversions!$B$12:$E$34,4,0)*HLOOKUP($E155,'Equipment Assumptions'!$C$30:$Q$31,2,0),$G155*VLOOKUP($F155,Lists!$C$72:$R$232,COLUMNS(Lists!$C$69:R$69),0)*VLOOKUP(BR$3,Conversions!$B$12:$E$34,4,0)))</f>
        <v>0</v>
      </c>
      <c r="Z155" s="325">
        <f t="shared" si="197"/>
        <v>0</v>
      </c>
      <c r="AA155" s="334">
        <f>IF($F155="",0,IF($A155="Default",$H155*VLOOKUP($F155,Lists!$C$72:$R$232,COLUMNS(Lists!$C$69:E$69),0)*VLOOKUP(BE$3,Conversions!$B$12:$E$34,4,0)*HLOOKUP($E155,'Equipment Assumptions'!$C$30:$Q$31,2,0),$H155*VLOOKUP($F155,Lists!$C$72:$R$232,COLUMNS(Lists!$C$69:E$69),0)*VLOOKUP(BE$3,Conversions!$B$12:$E$34,4,0)))</f>
        <v>0</v>
      </c>
      <c r="AB155" s="334">
        <f>IF($F155="",0,IF($A155="Default",$H155*VLOOKUP($F155,Lists!$C$72:$R$232,COLUMNS(Lists!$C$69:F$69),0)*VLOOKUP(BF$3,Conversions!$B$12:$E$34,4,0)*HLOOKUP($E155,'Equipment Assumptions'!$C$30:$Q$31,2,0),$H155*VLOOKUP($F155,Lists!$C$72:$R$232,COLUMNS(Lists!$C$69:F$69),0)*VLOOKUP(BF$3,Conversions!$B$12:$E$34,4,0)))</f>
        <v>0</v>
      </c>
      <c r="AC155" s="334">
        <f>IF($F155="",0,IF($A155="Default",$H155*VLOOKUP($F155,Lists!$C$72:$R$232,COLUMNS(Lists!$C$69:G$69),0)*VLOOKUP(BG$3,Conversions!$B$12:$E$34,4,0)*HLOOKUP($E155,'Equipment Assumptions'!$C$30:$Q$31,2,0),$H155*VLOOKUP($F155,Lists!$C$72:$R$232,COLUMNS(Lists!$C$69:G$69),0)*VLOOKUP(BG$3,Conversions!$B$12:$E$34,4,0)))</f>
        <v>0</v>
      </c>
      <c r="AD155" s="334">
        <f>IF($F155="",0,IF($A155="Default",$H155*VLOOKUP($F155,Lists!$C$72:$R$232,COLUMNS(Lists!$C$69:H$69),0)*VLOOKUP(BH$3,Conversions!$B$12:$E$34,4,0)*HLOOKUP($E155,'Equipment Assumptions'!$C$30:$Q$31,2,0),$H155*VLOOKUP($F155,Lists!$C$72:$R$232,COLUMNS(Lists!$C$69:H$69),0)*VLOOKUP(BH$3,Conversions!$B$12:$E$34,4,0)))</f>
        <v>0</v>
      </c>
      <c r="AE155" s="334">
        <f>IF($F155="",0,IF($A155="Default",$H155*VLOOKUP($F155,Lists!$C$72:$R$232,COLUMNS(Lists!$C$69:I$69),0)*VLOOKUP(BI$3,Conversions!$B$12:$E$34,4,0)*HLOOKUP($E155,'Equipment Assumptions'!$C$30:$Q$31,2,0),$H155*VLOOKUP($F155,Lists!$C$72:$R$232,COLUMNS(Lists!$C$69:I$69),0)*VLOOKUP(BI$3,Conversions!$B$12:$E$34,4,0)))</f>
        <v>0</v>
      </c>
      <c r="AF155" s="334">
        <f>IF($F155="",0,IF($A155="Default",$H155*VLOOKUP($F155,Lists!$C$72:$R$232,COLUMNS(Lists!$C$69:J$69),0)*VLOOKUP(BJ$3,Conversions!$B$12:$E$34,4,0)*HLOOKUP($E155,'Equipment Assumptions'!$C$30:$Q$31,2,0),$H155*VLOOKUP($F155,Lists!$C$72:$R$232,COLUMNS(Lists!$C$69:J$69),0)*VLOOKUP(BJ$3,Conversions!$B$12:$E$34,4,0)))</f>
        <v>0</v>
      </c>
      <c r="AG155" s="334">
        <f>IF($F155="",0,IF($A155="Default",$H155*VLOOKUP($F155,Lists!$C$72:$R$232,COLUMNS(Lists!$C$69:K$69),0)*VLOOKUP(BK$3,Conversions!$B$12:$E$34,4,0)*HLOOKUP($E155,'Equipment Assumptions'!$C$30:$Q$31,2,0),$H155*VLOOKUP($F155,Lists!$C$72:$R$232,COLUMNS(Lists!$C$69:K$69),0)*VLOOKUP(BK$3,Conversions!$B$12:$E$34,4,0)))</f>
        <v>0</v>
      </c>
      <c r="AH155" s="334">
        <f>IF($F155="",0,IF($A155="Default",$H155*VLOOKUP($F155,Lists!$C$72:$R$232,COLUMNS(Lists!$C$69:L$69),0)*VLOOKUP(BL$3,Conversions!$B$12:$E$34,4,0)*HLOOKUP($E155,'Equipment Assumptions'!$C$30:$Q$31,2,0),$H155*VLOOKUP($F155,Lists!$C$72:$R$232,COLUMNS(Lists!$C$69:L$69),0)*VLOOKUP(BL$3,Conversions!$B$12:$E$34,4,0)))</f>
        <v>0</v>
      </c>
      <c r="AI155" s="334">
        <f>IF($F155="",0,IF($A155="Default",$H155*VLOOKUP($F155,Lists!$C$72:$R$232,COLUMNS(Lists!$C$69:M$69),0)*VLOOKUP(BM$3,Conversions!$B$12:$E$34,4,0)*HLOOKUP($E155,'Equipment Assumptions'!$C$30:$Q$31,2,0),$H155*VLOOKUP($F155,Lists!$C$72:$R$232,COLUMNS(Lists!$C$69:M$69),0)*VLOOKUP(BM$3,Conversions!$B$12:$E$34,4,0)))</f>
        <v>0</v>
      </c>
      <c r="AJ155" s="334">
        <f>IF($F155="",0,IF($A155="Default",$H155*VLOOKUP($F155,Lists!$C$72:$R$232,COLUMNS(Lists!$C$69:N$69),0)*VLOOKUP(BN$3,Conversions!$B$12:$E$34,4,0)*HLOOKUP($E155,'Equipment Assumptions'!$C$30:$Q$31,2,0),$H155*VLOOKUP($F155,Lists!$C$72:$R$232,COLUMNS(Lists!$C$69:N$69),0)*VLOOKUP(BN$3,Conversions!$B$12:$E$34,4,0)))</f>
        <v>0</v>
      </c>
      <c r="AK155" s="334">
        <f>IF($F155="",0,IF($A155="Default",$H155*VLOOKUP($F155,Lists!$C$72:$R$232,COLUMNS(Lists!$C$69:O$69),0)*VLOOKUP(BO$3,Conversions!$B$12:$E$34,4,0)*HLOOKUP($E155,'Equipment Assumptions'!$C$30:$Q$31,2,0),$H155*VLOOKUP($F155,Lists!$C$72:$R$232,COLUMNS(Lists!$C$69:O$69),0)*VLOOKUP(BO$3,Conversions!$B$12:$E$34,4,0)))</f>
        <v>0</v>
      </c>
      <c r="AL155" s="334">
        <f>IF($F155="",0,IF($A155="Default",$H155*VLOOKUP($F155,Lists!$C$72:$R$232,COLUMNS(Lists!$C$69:P$69),0)*VLOOKUP(BP$3,Conversions!$B$12:$E$34,4,0)*HLOOKUP($E155,'Equipment Assumptions'!$C$30:$Q$31,2,0),$H155*VLOOKUP($F155,Lists!$C$72:$R$232,COLUMNS(Lists!$C$69:P$69),0)*VLOOKUP(BP$3,Conversions!$B$12:$E$34,4,0)))</f>
        <v>0</v>
      </c>
      <c r="AM155" s="334">
        <f>IF($F155="",0,IF($A155="Default",$H155*VLOOKUP($F155,Lists!$C$72:$R$232,COLUMNS(Lists!$C$69:Q$69),0)*VLOOKUP(BQ$3,Conversions!$B$12:$E$34,4,0)*HLOOKUP($E155,'Equipment Assumptions'!$C$30:$Q$31,2,0),$H155*VLOOKUP($F155,Lists!$C$72:$R$232,COLUMNS(Lists!$C$69:Q$69),0)*VLOOKUP(BQ$3,Conversions!$B$12:$E$34,4,0)))</f>
        <v>0</v>
      </c>
      <c r="AN155" s="334">
        <f>IF($F155="",0,IF($A155="Default",$H155*VLOOKUP($F155,Lists!$C$72:$R$232,COLUMNS(Lists!$C$69:R$69),0)*VLOOKUP(BR$3,Conversions!$B$12:$E$34,4,0)*HLOOKUP($E155,'Equipment Assumptions'!$C$30:$Q$31,2,0),$H155*VLOOKUP($F155,Lists!$C$72:$R$232,COLUMNS(Lists!$C$69:R$69),0)*VLOOKUP(BR$3,Conversions!$B$12:$E$34,4,0)))</f>
        <v>0</v>
      </c>
      <c r="AO155" s="330">
        <f t="shared" si="198"/>
        <v>0</v>
      </c>
      <c r="AP155" s="333">
        <f>IF($F155="",0,IF($A155="Default",$I155*VLOOKUP($F155,Lists!$C$72:$R$232,COLUMNS(Lists!$C$69:E$69),0)*VLOOKUP(BE$3,Conversions!$B$12:$E$34,4,0)*HLOOKUP($E155,'Equipment Assumptions'!$C$30:$Q$31,2,0),$I155*VLOOKUP($F155,Lists!$C$72:$R$232,COLUMNS(Lists!$C$69:E$69),0)*VLOOKUP(BE$3,Conversions!$B$12:$E$34,4,0)))</f>
        <v>0</v>
      </c>
      <c r="AQ155" s="333">
        <f>IF($F155="",0,IF($A155="Default",$I155*VLOOKUP($F155,Lists!$C$72:$R$232,COLUMNS(Lists!$C$69:F$69),0)*VLOOKUP(BF$3,Conversions!$B$12:$E$34,4,0)*HLOOKUP($E155,'Equipment Assumptions'!$C$30:$Q$31,2,0),$I155*VLOOKUP($F155,Lists!$C$72:$R$232,COLUMNS(Lists!$C$69:F$69),0)*VLOOKUP(BF$3,Conversions!$B$12:$E$34,4,0)))</f>
        <v>0</v>
      </c>
      <c r="AR155" s="333">
        <f>IF($F155="",0,IF($A155="Default",$I155*VLOOKUP($F155,Lists!$C$72:$R$232,COLUMNS(Lists!$C$69:G$69),0)*VLOOKUP(BG$3,Conversions!$B$12:$E$34,4,0)*HLOOKUP($E155,'Equipment Assumptions'!$C$30:$Q$31,2,0),$I155*VLOOKUP($F155,Lists!$C$72:$R$232,COLUMNS(Lists!$C$69:G$69),0)*VLOOKUP(BG$3,Conversions!$B$12:$E$34,4,0)))</f>
        <v>0</v>
      </c>
      <c r="AS155" s="333">
        <f>IF($F155="",0,IF($A155="Default",$I155*VLOOKUP($F155,Lists!$C$72:$R$232,COLUMNS(Lists!$C$69:H$69),0)*VLOOKUP(BH$3,Conversions!$B$12:$E$34,4,0)*HLOOKUP($E155,'Equipment Assumptions'!$C$30:$Q$31,2,0),$I155*VLOOKUP($F155,Lists!$C$72:$R$232,COLUMNS(Lists!$C$69:H$69),0)*VLOOKUP(BH$3,Conversions!$B$12:$E$34,4,0)))</f>
        <v>0</v>
      </c>
      <c r="AT155" s="333">
        <f>IF($F155="",0,IF($A155="Default",$I155*VLOOKUP($F155,Lists!$C$72:$R$232,COLUMNS(Lists!$C$69:I$69),0)*VLOOKUP(BI$3,Conversions!$B$12:$E$34,4,0)*HLOOKUP($E155,'Equipment Assumptions'!$C$30:$Q$31,2,0),$I155*VLOOKUP($F155,Lists!$C$72:$R$232,COLUMNS(Lists!$C$69:I$69),0)*VLOOKUP(BI$3,Conversions!$B$12:$E$34,4,0)))</f>
        <v>0</v>
      </c>
      <c r="AU155" s="333">
        <f>IF($F155="",0,IF($A155="Default",$I155*VLOOKUP($F155,Lists!$C$72:$R$232,COLUMNS(Lists!$C$69:J$69),0)*VLOOKUP(BJ$3,Conversions!$B$12:$E$34,4,0)*HLOOKUP($E155,'Equipment Assumptions'!$C$30:$Q$31,2,0),$I155*VLOOKUP($F155,Lists!$C$72:$R$232,COLUMNS(Lists!$C$69:J$69),0)*VLOOKUP(BJ$3,Conversions!$B$12:$E$34,4,0)))</f>
        <v>0</v>
      </c>
      <c r="AV155" s="333">
        <f>IF($F155="",0,IF($A155="Default",$I155*VLOOKUP($F155,Lists!$C$72:$R$232,COLUMNS(Lists!$C$69:K$69),0)*VLOOKUP(BK$3,Conversions!$B$12:$E$34,4,0)*HLOOKUP($E155,'Equipment Assumptions'!$C$30:$Q$31,2,0),$I155*VLOOKUP($F155,Lists!$C$72:$R$232,COLUMNS(Lists!$C$69:K$69),0)*VLOOKUP(BK$3,Conversions!$B$12:$E$34,4,0)))</f>
        <v>0</v>
      </c>
      <c r="AW155" s="333">
        <f>IF($F155="",0,IF($A155="Default",$I155*VLOOKUP($F155,Lists!$C$72:$R$232,COLUMNS(Lists!$C$69:L$69),0)*VLOOKUP(BL$3,Conversions!$B$12:$E$34,4,0)*HLOOKUP($E155,'Equipment Assumptions'!$C$30:$Q$31,2,0),$I155*VLOOKUP($F155,Lists!$C$72:$R$232,COLUMNS(Lists!$C$69:L$69),0)*VLOOKUP(BL$3,Conversions!$B$12:$E$34,4,0)))</f>
        <v>0</v>
      </c>
      <c r="AX155" s="333">
        <f>IF($F155="",0,IF($A155="Default",$I155*VLOOKUP($F155,Lists!$C$72:$R$232,COLUMNS(Lists!$C$69:M$69),0)*VLOOKUP(BM$3,Conversions!$B$12:$E$34,4,0)*HLOOKUP($E155,'Equipment Assumptions'!$C$30:$Q$31,2,0),$I155*VLOOKUP($F155,Lists!$C$72:$R$232,COLUMNS(Lists!$C$69:M$69),0)*VLOOKUP(BM$3,Conversions!$B$12:$E$34,4,0)))</f>
        <v>0</v>
      </c>
      <c r="AY155" s="333">
        <f>IF($F155="",0,IF($A155="Default",$I155*VLOOKUP($F155,Lists!$C$72:$R$232,COLUMNS(Lists!$C$69:N$69),0)*VLOOKUP(BN$3,Conversions!$B$12:$E$34,4,0)*HLOOKUP($E155,'Equipment Assumptions'!$C$30:$Q$31,2,0),$I155*VLOOKUP($F155,Lists!$C$72:$R$232,COLUMNS(Lists!$C$69:N$69),0)*VLOOKUP(BN$3,Conversions!$B$12:$E$34,4,0)))</f>
        <v>0</v>
      </c>
      <c r="AZ155" s="333">
        <f>IF($F155="",0,IF($A155="Default",$I155*VLOOKUP($F155,Lists!$C$72:$R$232,COLUMNS(Lists!$C$69:O$69),0)*VLOOKUP(BO$3,Conversions!$B$12:$E$34,4,0)*HLOOKUP($E155,'Equipment Assumptions'!$C$30:$Q$31,2,0),$I155*VLOOKUP($F155,Lists!$C$72:$R$232,COLUMNS(Lists!$C$69:O$69),0)*VLOOKUP(BO$3,Conversions!$B$12:$E$34,4,0)))</f>
        <v>0</v>
      </c>
      <c r="BA155" s="333">
        <f>IF($F155="",0,IF($A155="Default",$I155*VLOOKUP($F155,Lists!$C$72:$R$232,COLUMNS(Lists!$C$69:P$69),0)*VLOOKUP(BP$3,Conversions!$B$12:$E$34,4,0)*HLOOKUP($E155,'Equipment Assumptions'!$C$30:$Q$31,2,0),$I155*VLOOKUP($F155,Lists!$C$72:$R$232,COLUMNS(Lists!$C$69:P$69),0)*VLOOKUP(BP$3,Conversions!$B$12:$E$34,4,0)))</f>
        <v>0</v>
      </c>
      <c r="BB155" s="333">
        <f>IF($F155="",0,IF($A155="Default",$I155*VLOOKUP($F155,Lists!$C$72:$R$232,COLUMNS(Lists!$C$69:Q$69),0)*VLOOKUP(BQ$3,Conversions!$B$12:$E$34,4,0)*HLOOKUP($E155,'Equipment Assumptions'!$C$30:$Q$31,2,0),$I155*VLOOKUP($F155,Lists!$C$72:$R$232,COLUMNS(Lists!$C$69:Q$69),0)*VLOOKUP(BQ$3,Conversions!$B$12:$E$34,4,0)))</f>
        <v>0</v>
      </c>
      <c r="BC155" s="333">
        <f>IF($F155="",0,IF($A155="Default",$I155*VLOOKUP($F155,Lists!$C$72:$R$232,COLUMNS(Lists!$C$69:R$69),0)*VLOOKUP(BR$3,Conversions!$B$12:$E$34,4,0)*HLOOKUP($E155,'Equipment Assumptions'!$C$30:$Q$31,2,0),$I155*VLOOKUP($F155,Lists!$C$72:$R$232,COLUMNS(Lists!$C$69:R$69),0)*VLOOKUP(BR$3,Conversions!$B$12:$E$34,4,0)))</f>
        <v>0</v>
      </c>
      <c r="BD155" s="333">
        <f t="shared" si="199"/>
        <v>0</v>
      </c>
      <c r="BE155" s="330">
        <f t="shared" si="145"/>
        <v>0</v>
      </c>
      <c r="BF155" s="330">
        <f t="shared" si="146"/>
        <v>0</v>
      </c>
      <c r="BG155" s="330">
        <f t="shared" si="147"/>
        <v>0</v>
      </c>
      <c r="BH155" s="330">
        <f t="shared" si="148"/>
        <v>0</v>
      </c>
      <c r="BI155" s="330">
        <f t="shared" si="149"/>
        <v>0</v>
      </c>
      <c r="BJ155" s="330">
        <f t="shared" si="150"/>
        <v>0</v>
      </c>
      <c r="BK155" s="330">
        <f t="shared" si="151"/>
        <v>0</v>
      </c>
      <c r="BL155" s="330">
        <f t="shared" si="152"/>
        <v>0</v>
      </c>
      <c r="BM155" s="330">
        <f t="shared" si="153"/>
        <v>0</v>
      </c>
      <c r="BN155" s="330">
        <f t="shared" si="154"/>
        <v>0</v>
      </c>
      <c r="BO155" s="330">
        <f t="shared" si="155"/>
        <v>0</v>
      </c>
      <c r="BP155" s="330">
        <f t="shared" si="156"/>
        <v>0</v>
      </c>
      <c r="BQ155" s="330">
        <f t="shared" si="157"/>
        <v>0</v>
      </c>
      <c r="BR155" s="330">
        <f t="shared" si="158"/>
        <v>0</v>
      </c>
      <c r="BS155" s="330">
        <f t="shared" si="159"/>
        <v>0</v>
      </c>
      <c r="BT155" s="329">
        <f t="shared" si="210"/>
        <v>0</v>
      </c>
      <c r="BU155" s="329">
        <f t="shared" si="210"/>
        <v>0</v>
      </c>
      <c r="BV155" s="329">
        <f t="shared" si="210"/>
        <v>0</v>
      </c>
      <c r="BW155" s="329">
        <f t="shared" si="210"/>
        <v>0</v>
      </c>
      <c r="BX155" s="329">
        <f t="shared" si="210"/>
        <v>0</v>
      </c>
      <c r="BY155" s="329">
        <f t="shared" si="210"/>
        <v>0</v>
      </c>
      <c r="BZ155" s="329">
        <f t="shared" si="210"/>
        <v>0</v>
      </c>
      <c r="CA155" s="329">
        <f t="shared" si="210"/>
        <v>0</v>
      </c>
      <c r="CB155" s="329">
        <f t="shared" si="210"/>
        <v>0</v>
      </c>
      <c r="CC155" s="329">
        <f t="shared" si="210"/>
        <v>0</v>
      </c>
      <c r="CD155" s="329">
        <f t="shared" si="210"/>
        <v>0</v>
      </c>
      <c r="CE155" s="329">
        <f t="shared" si="210"/>
        <v>0</v>
      </c>
      <c r="CF155" s="329">
        <f t="shared" si="210"/>
        <v>0</v>
      </c>
      <c r="CG155" s="329">
        <f t="shared" si="210"/>
        <v>0</v>
      </c>
      <c r="CH155" s="329">
        <f t="shared" si="210"/>
        <v>0</v>
      </c>
      <c r="CI155" s="329">
        <f t="shared" si="210"/>
        <v>0</v>
      </c>
      <c r="CJ155" s="331">
        <f t="shared" si="200"/>
        <v>0</v>
      </c>
      <c r="CK155" s="330">
        <f t="shared" si="201"/>
        <v>0</v>
      </c>
      <c r="CL155" s="330">
        <f t="shared" si="202"/>
        <v>0</v>
      </c>
      <c r="CM155" s="330">
        <f t="shared" si="203"/>
        <v>0</v>
      </c>
      <c r="CN155" s="330">
        <f t="shared" si="204"/>
        <v>0</v>
      </c>
      <c r="CO155" s="330">
        <f t="shared" si="205"/>
        <v>0</v>
      </c>
      <c r="CP155" s="330">
        <f t="shared" si="206"/>
        <v>0</v>
      </c>
      <c r="CQ155" s="330">
        <f t="shared" si="186"/>
        <v>0</v>
      </c>
      <c r="CR155" s="330">
        <f t="shared" si="207"/>
        <v>0</v>
      </c>
      <c r="CS155" s="330">
        <f t="shared" si="208"/>
        <v>0</v>
      </c>
      <c r="CT155" s="330">
        <f t="shared" si="209"/>
        <v>0</v>
      </c>
      <c r="CU155" s="330">
        <f t="shared" si="211"/>
        <v>0</v>
      </c>
      <c r="CV155" s="330">
        <f t="shared" si="211"/>
        <v>0</v>
      </c>
      <c r="CW155" s="330">
        <f t="shared" si="211"/>
        <v>0</v>
      </c>
      <c r="CX155" s="330">
        <f t="shared" si="211"/>
        <v>0</v>
      </c>
      <c r="CY155" s="330">
        <f t="shared" si="211"/>
        <v>0</v>
      </c>
      <c r="CZ155" s="330">
        <f t="shared" si="211"/>
        <v>0</v>
      </c>
      <c r="DA155" s="330">
        <f t="shared" si="211"/>
        <v>0</v>
      </c>
      <c r="DB155" s="330">
        <f t="shared" si="211"/>
        <v>0</v>
      </c>
      <c r="DC155" s="330">
        <f t="shared" si="211"/>
        <v>0</v>
      </c>
      <c r="DD155" s="330">
        <f t="shared" si="211"/>
        <v>0</v>
      </c>
      <c r="DE155" s="330">
        <f t="shared" si="212"/>
        <v>0</v>
      </c>
      <c r="DF155" s="330">
        <f t="shared" si="212"/>
        <v>0</v>
      </c>
      <c r="DG155" s="330">
        <f t="shared" si="212"/>
        <v>0</v>
      </c>
      <c r="DH155" s="330">
        <f t="shared" si="212"/>
        <v>0</v>
      </c>
      <c r="DI155" s="330">
        <f t="shared" si="212"/>
        <v>0</v>
      </c>
      <c r="DJ155" s="330">
        <f t="shared" si="212"/>
        <v>0</v>
      </c>
      <c r="DK155" s="330">
        <f t="shared" si="212"/>
        <v>0</v>
      </c>
      <c r="DL155" s="330">
        <f t="shared" si="212"/>
        <v>0</v>
      </c>
      <c r="DM155" s="330">
        <f t="shared" si="212"/>
        <v>0</v>
      </c>
      <c r="DN155" s="330">
        <f t="shared" si="212"/>
        <v>0</v>
      </c>
      <c r="DO155" s="330">
        <f t="shared" si="212"/>
        <v>0</v>
      </c>
      <c r="DP155" s="330">
        <f>BS155</f>
        <v>0</v>
      </c>
      <c r="DQ155" s="217"/>
      <c r="DR155" s="217"/>
      <c r="DS155" s="217"/>
      <c r="DT155" s="217"/>
    </row>
    <row r="156" spans="1:124" x14ac:dyDescent="0.3">
      <c r="A156" s="332" t="str">
        <f>IF(AND(F156&lt;&gt;"",OR('Simplified Screening 1'!G47=0,'Simplified Screening 1'!G47="I Don't Know")),"Default","")</f>
        <v/>
      </c>
      <c r="B156" s="221" t="s">
        <v>306</v>
      </c>
      <c r="C156" s="221" t="str">
        <f>IF('Simplified Screening 1'!C47=0,"",'Simplified Screening 1'!C47)</f>
        <v/>
      </c>
      <c r="D156" s="221" t="str">
        <f>IF('Simplified Screening 1'!D47=0,"",'Simplified Screening 1'!D47)</f>
        <v/>
      </c>
      <c r="E156" s="221" t="str">
        <f>IF('Simplified Screening 1'!E47=0,"",'Simplified Screening 1'!E47)</f>
        <v/>
      </c>
      <c r="F156" s="221" t="str">
        <f>'Simplified Screening 1'!R47</f>
        <v/>
      </c>
      <c r="G156" s="272">
        <f>'Simplified Screening 1'!H47*'Simplified Screening 1'!L47*Conversions!$C$4</f>
        <v>0</v>
      </c>
      <c r="H156" s="272">
        <f>'Simplified Screening 1'!I47*'Simplified Screening 1'!M47*'Simplified Screening 1'!J47*Conversions!$C$4</f>
        <v>0</v>
      </c>
      <c r="I156" s="272">
        <f>'Simplified Screening 1'!K47*'Simplified Screening 1'!N47*(1-'Simplified Screening 1'!O47)*Conversions!$C$4</f>
        <v>0</v>
      </c>
      <c r="J156" s="325">
        <f>IF('Simplified Screening 1'!P47=0,0,'Simplified Screening 1'!P47)</f>
        <v>0</v>
      </c>
      <c r="K156" s="325">
        <f>IF(AND(OR('Simplified Screening 1'!G47=0,'Simplified Screening 1'!G47="I Don't Know"),F156&lt;&gt;""),J156*HLOOKUP(E156,'Equipment Assumptions'!$C$30:$Q$31,2,0),IF(F156="Non-HFC",0,J156))</f>
        <v>0</v>
      </c>
      <c r="L156" s="333">
        <f>IF($F156="",0,IF($A156="Default",$G156*VLOOKUP($F156,Lists!$C$72:$R$232,COLUMNS(Lists!$C$69:E$69),0)*VLOOKUP(BE$3,Conversions!$B$12:$E$34,4,0)*HLOOKUP($E156,'Equipment Assumptions'!$C$30:$Q$31,2,0),$G156*VLOOKUP($F156,Lists!$C$72:$R$232,COLUMNS(Lists!$C$69:E$69),0)*VLOOKUP(BE$3,Conversions!$B$12:$E$34,4,0)))</f>
        <v>0</v>
      </c>
      <c r="M156" s="333">
        <f>IF($F156="",0,IF($A156="Default",$G156*VLOOKUP($F156,Lists!$C$72:$R$232,COLUMNS(Lists!$C$69:F$69),0)*VLOOKUP(BF$3,Conversions!$B$12:$E$34,4,0)*HLOOKUP($E156,'Equipment Assumptions'!$C$30:$Q$31,2,0),$G156*VLOOKUP($F156,Lists!$C$72:$R$232,COLUMNS(Lists!$C$69:F$69),0)*VLOOKUP(BF$3,Conversions!$B$12:$E$34,4,0)))</f>
        <v>0</v>
      </c>
      <c r="N156" s="333">
        <f>IF($F156="",0,IF($A156="Default",$G156*VLOOKUP($F156,Lists!$C$72:$R$232,COLUMNS(Lists!$C$69:G$69),0)*VLOOKUP(BG$3,Conversions!$B$12:$E$34,4,0)*HLOOKUP($E156,'Equipment Assumptions'!$C$30:$Q$31,2,0),$G156*VLOOKUP($F156,Lists!$C$72:$R$232,COLUMNS(Lists!$C$69:G$69),0)*VLOOKUP(BG$3,Conversions!$B$12:$E$34,4,0)))</f>
        <v>0</v>
      </c>
      <c r="O156" s="333">
        <f>IF($F156="",0,IF($A156="Default",$G156*VLOOKUP($F156,Lists!$C$72:$R$232,COLUMNS(Lists!$C$69:H$69),0)*VLOOKUP(BH$3,Conversions!$B$12:$E$34,4,0)*HLOOKUP($E156,'Equipment Assumptions'!$C$30:$Q$31,2,0),$G156*VLOOKUP($F156,Lists!$C$72:$R$232,COLUMNS(Lists!$C$69:H$69),0)*VLOOKUP(BH$3,Conversions!$B$12:$E$34,4,0)))</f>
        <v>0</v>
      </c>
      <c r="P156" s="333">
        <f>IF($F156="",0,IF($A156="Default",$G156*VLOOKUP($F156,Lists!$C$72:$R$232,COLUMNS(Lists!$C$69:I$69),0)*VLOOKUP(BI$3,Conversions!$B$12:$E$34,4,0)*HLOOKUP($E156,'Equipment Assumptions'!$C$30:$Q$31,2,0),$G156*VLOOKUP($F156,Lists!$C$72:$R$232,COLUMNS(Lists!$C$69:I$69),0)*VLOOKUP(BI$3,Conversions!$B$12:$E$34,4,0)))</f>
        <v>0</v>
      </c>
      <c r="Q156" s="333">
        <f>IF($F156="",0,IF($A156="Default",$G156*VLOOKUP($F156,Lists!$C$72:$R$232,COLUMNS(Lists!$C$69:J$69),0)*VLOOKUP(BJ$3,Conversions!$B$12:$E$34,4,0)*HLOOKUP($E156,'Equipment Assumptions'!$C$30:$Q$31,2,0),$G156*VLOOKUP($F156,Lists!$C$72:$R$232,COLUMNS(Lists!$C$69:J$69),0)*VLOOKUP(BJ$3,Conversions!$B$12:$E$34,4,0)))</f>
        <v>0</v>
      </c>
      <c r="R156" s="333">
        <f>IF($F156="",0,IF($A156="Default",$G156*VLOOKUP($F156,Lists!$C$72:$R$232,COLUMNS(Lists!$C$69:K$69),0)*VLOOKUP(BK$3,Conversions!$B$12:$E$34,4,0)*HLOOKUP($E156,'Equipment Assumptions'!$C$30:$Q$31,2,0),$G156*VLOOKUP($F156,Lists!$C$72:$R$232,COLUMNS(Lists!$C$69:K$69),0)*VLOOKUP(BK$3,Conversions!$B$12:$E$34,4,0)))</f>
        <v>0</v>
      </c>
      <c r="S156" s="333">
        <f>IF($F156="",0,IF($A156="Default",$G156*VLOOKUP($F156,Lists!$C$72:$R$232,COLUMNS(Lists!$C$69:L$69),0)*VLOOKUP(BL$3,Conversions!$B$12:$E$34,4,0)*HLOOKUP($E156,'Equipment Assumptions'!$C$30:$Q$31,2,0),$G156*VLOOKUP($F156,Lists!$C$72:$R$232,COLUMNS(Lists!$C$69:L$69),0)*VLOOKUP(BL$3,Conversions!$B$12:$E$34,4,0)))</f>
        <v>0</v>
      </c>
      <c r="T156" s="333">
        <f>IF($F156="",0,IF($A156="Default",$G156*VLOOKUP($F156,Lists!$C$72:$R$232,COLUMNS(Lists!$C$69:M$69),0)*VLOOKUP(BM$3,Conversions!$B$12:$E$34,4,0)*HLOOKUP($E156,'Equipment Assumptions'!$C$30:$Q$31,2,0),$G156*VLOOKUP($F156,Lists!$C$72:$R$232,COLUMNS(Lists!$C$69:M$69),0)*VLOOKUP(BM$3,Conversions!$B$12:$E$34,4,0)))</f>
        <v>0</v>
      </c>
      <c r="U156" s="333">
        <f>IF($F156="",0,IF($A156="Default",$G156*VLOOKUP($F156,Lists!$C$72:$R$232,COLUMNS(Lists!$C$69:N$69),0)*VLOOKUP(BN$3,Conversions!$B$12:$E$34,4,0)*HLOOKUP($E156,'Equipment Assumptions'!$C$30:$Q$31,2,0),$G156*VLOOKUP($F156,Lists!$C$72:$R$232,COLUMNS(Lists!$C$69:N$69),0)*VLOOKUP(BN$3,Conversions!$B$12:$E$34,4,0)))</f>
        <v>0</v>
      </c>
      <c r="V156" s="333">
        <f>IF($F156="",0,IF($A156="Default",$G156*VLOOKUP($F156,Lists!$C$72:$R$232,COLUMNS(Lists!$C$69:O$69),0)*VLOOKUP(BO$3,Conversions!$B$12:$E$34,4,0)*HLOOKUP($E156,'Equipment Assumptions'!$C$30:$Q$31,2,0),$G156*VLOOKUP($F156,Lists!$C$72:$R$232,COLUMNS(Lists!$C$69:O$69),0)*VLOOKUP(BO$3,Conversions!$B$12:$E$34,4,0)))</f>
        <v>0</v>
      </c>
      <c r="W156" s="333">
        <f>IF($F156="",0,IF($A156="Default",$G156*VLOOKUP($F156,Lists!$C$72:$R$232,COLUMNS(Lists!$C$69:P$69),0)*VLOOKUP(BP$3,Conversions!$B$12:$E$34,4,0)*HLOOKUP($E156,'Equipment Assumptions'!$C$30:$Q$31,2,0),$G156*VLOOKUP($F156,Lists!$C$72:$R$232,COLUMNS(Lists!$C$69:P$69),0)*VLOOKUP(BP$3,Conversions!$B$12:$E$34,4,0)))</f>
        <v>0</v>
      </c>
      <c r="X156" s="333">
        <f>IF($F156="",0,IF($A156="Default",$G156*VLOOKUP($F156,Lists!$C$72:$R$232,COLUMNS(Lists!$C$69:Q$69),0)*VLOOKUP(BQ$3,Conversions!$B$12:$E$34,4,0)*HLOOKUP($E156,'Equipment Assumptions'!$C$30:$Q$31,2,0),$G156*VLOOKUP($F156,Lists!$C$72:$R$232,COLUMNS(Lists!$C$69:Q$69),0)*VLOOKUP(BQ$3,Conversions!$B$12:$E$34,4,0)))</f>
        <v>0</v>
      </c>
      <c r="Y156" s="333">
        <f>IF($F156="",0,IF($A156="Default",$G156*VLOOKUP($F156,Lists!$C$72:$R$232,COLUMNS(Lists!$C$69:R$69),0)*VLOOKUP(BR$3,Conversions!$B$12:$E$34,4,0)*HLOOKUP($E156,'Equipment Assumptions'!$C$30:$Q$31,2,0),$G156*VLOOKUP($F156,Lists!$C$72:$R$232,COLUMNS(Lists!$C$69:R$69),0)*VLOOKUP(BR$3,Conversions!$B$12:$E$34,4,0)))</f>
        <v>0</v>
      </c>
      <c r="Z156" s="325">
        <f t="shared" si="197"/>
        <v>0</v>
      </c>
      <c r="AA156" s="334">
        <f>IF($F156="",0,IF($A156="Default",$H156*VLOOKUP($F156,Lists!$C$72:$R$232,COLUMNS(Lists!$C$69:E$69),0)*VLOOKUP(BE$3,Conversions!$B$12:$E$34,4,0)*HLOOKUP($E156,'Equipment Assumptions'!$C$30:$Q$31,2,0),$H156*VLOOKUP($F156,Lists!$C$72:$R$232,COLUMNS(Lists!$C$69:E$69),0)*VLOOKUP(BE$3,Conversions!$B$12:$E$34,4,0)))</f>
        <v>0</v>
      </c>
      <c r="AB156" s="334">
        <f>IF($F156="",0,IF($A156="Default",$H156*VLOOKUP($F156,Lists!$C$72:$R$232,COLUMNS(Lists!$C$69:F$69),0)*VLOOKUP(BF$3,Conversions!$B$12:$E$34,4,0)*HLOOKUP($E156,'Equipment Assumptions'!$C$30:$Q$31,2,0),$H156*VLOOKUP($F156,Lists!$C$72:$R$232,COLUMNS(Lists!$C$69:F$69),0)*VLOOKUP(BF$3,Conversions!$B$12:$E$34,4,0)))</f>
        <v>0</v>
      </c>
      <c r="AC156" s="334">
        <f>IF($F156="",0,IF($A156="Default",$H156*VLOOKUP($F156,Lists!$C$72:$R$232,COLUMNS(Lists!$C$69:G$69),0)*VLOOKUP(BG$3,Conversions!$B$12:$E$34,4,0)*HLOOKUP($E156,'Equipment Assumptions'!$C$30:$Q$31,2,0),$H156*VLOOKUP($F156,Lists!$C$72:$R$232,COLUMNS(Lists!$C$69:G$69),0)*VLOOKUP(BG$3,Conversions!$B$12:$E$34,4,0)))</f>
        <v>0</v>
      </c>
      <c r="AD156" s="334">
        <f>IF($F156="",0,IF($A156="Default",$H156*VLOOKUP($F156,Lists!$C$72:$R$232,COLUMNS(Lists!$C$69:H$69),0)*VLOOKUP(BH$3,Conversions!$B$12:$E$34,4,0)*HLOOKUP($E156,'Equipment Assumptions'!$C$30:$Q$31,2,0),$H156*VLOOKUP($F156,Lists!$C$72:$R$232,COLUMNS(Lists!$C$69:H$69),0)*VLOOKUP(BH$3,Conversions!$B$12:$E$34,4,0)))</f>
        <v>0</v>
      </c>
      <c r="AE156" s="334">
        <f>IF($F156="",0,IF($A156="Default",$H156*VLOOKUP($F156,Lists!$C$72:$R$232,COLUMNS(Lists!$C$69:I$69),0)*VLOOKUP(BI$3,Conversions!$B$12:$E$34,4,0)*HLOOKUP($E156,'Equipment Assumptions'!$C$30:$Q$31,2,0),$H156*VLOOKUP($F156,Lists!$C$72:$R$232,COLUMNS(Lists!$C$69:I$69),0)*VLOOKUP(BI$3,Conversions!$B$12:$E$34,4,0)))</f>
        <v>0</v>
      </c>
      <c r="AF156" s="334">
        <f>IF($F156="",0,IF($A156="Default",$H156*VLOOKUP($F156,Lists!$C$72:$R$232,COLUMNS(Lists!$C$69:J$69),0)*VLOOKUP(BJ$3,Conversions!$B$12:$E$34,4,0)*HLOOKUP($E156,'Equipment Assumptions'!$C$30:$Q$31,2,0),$H156*VLOOKUP($F156,Lists!$C$72:$R$232,COLUMNS(Lists!$C$69:J$69),0)*VLOOKUP(BJ$3,Conversions!$B$12:$E$34,4,0)))</f>
        <v>0</v>
      </c>
      <c r="AG156" s="334">
        <f>IF($F156="",0,IF($A156="Default",$H156*VLOOKUP($F156,Lists!$C$72:$R$232,COLUMNS(Lists!$C$69:K$69),0)*VLOOKUP(BK$3,Conversions!$B$12:$E$34,4,0)*HLOOKUP($E156,'Equipment Assumptions'!$C$30:$Q$31,2,0),$H156*VLOOKUP($F156,Lists!$C$72:$R$232,COLUMNS(Lists!$C$69:K$69),0)*VLOOKUP(BK$3,Conversions!$B$12:$E$34,4,0)))</f>
        <v>0</v>
      </c>
      <c r="AH156" s="334">
        <f>IF($F156="",0,IF($A156="Default",$H156*VLOOKUP($F156,Lists!$C$72:$R$232,COLUMNS(Lists!$C$69:L$69),0)*VLOOKUP(BL$3,Conversions!$B$12:$E$34,4,0)*HLOOKUP($E156,'Equipment Assumptions'!$C$30:$Q$31,2,0),$H156*VLOOKUP($F156,Lists!$C$72:$R$232,COLUMNS(Lists!$C$69:L$69),0)*VLOOKUP(BL$3,Conversions!$B$12:$E$34,4,0)))</f>
        <v>0</v>
      </c>
      <c r="AI156" s="334">
        <f>IF($F156="",0,IF($A156="Default",$H156*VLOOKUP($F156,Lists!$C$72:$R$232,COLUMNS(Lists!$C$69:M$69),0)*VLOOKUP(BM$3,Conversions!$B$12:$E$34,4,0)*HLOOKUP($E156,'Equipment Assumptions'!$C$30:$Q$31,2,0),$H156*VLOOKUP($F156,Lists!$C$72:$R$232,COLUMNS(Lists!$C$69:M$69),0)*VLOOKUP(BM$3,Conversions!$B$12:$E$34,4,0)))</f>
        <v>0</v>
      </c>
      <c r="AJ156" s="334">
        <f>IF($F156="",0,IF($A156="Default",$H156*VLOOKUP($F156,Lists!$C$72:$R$232,COLUMNS(Lists!$C$69:N$69),0)*VLOOKUP(BN$3,Conversions!$B$12:$E$34,4,0)*HLOOKUP($E156,'Equipment Assumptions'!$C$30:$Q$31,2,0),$H156*VLOOKUP($F156,Lists!$C$72:$R$232,COLUMNS(Lists!$C$69:N$69),0)*VLOOKUP(BN$3,Conversions!$B$12:$E$34,4,0)))</f>
        <v>0</v>
      </c>
      <c r="AK156" s="334">
        <f>IF($F156="",0,IF($A156="Default",$H156*VLOOKUP($F156,Lists!$C$72:$R$232,COLUMNS(Lists!$C$69:O$69),0)*VLOOKUP(BO$3,Conversions!$B$12:$E$34,4,0)*HLOOKUP($E156,'Equipment Assumptions'!$C$30:$Q$31,2,0),$H156*VLOOKUP($F156,Lists!$C$72:$R$232,COLUMNS(Lists!$C$69:O$69),0)*VLOOKUP(BO$3,Conversions!$B$12:$E$34,4,0)))</f>
        <v>0</v>
      </c>
      <c r="AL156" s="334">
        <f>IF($F156="",0,IF($A156="Default",$H156*VLOOKUP($F156,Lists!$C$72:$R$232,COLUMNS(Lists!$C$69:P$69),0)*VLOOKUP(BP$3,Conversions!$B$12:$E$34,4,0)*HLOOKUP($E156,'Equipment Assumptions'!$C$30:$Q$31,2,0),$H156*VLOOKUP($F156,Lists!$C$72:$R$232,COLUMNS(Lists!$C$69:P$69),0)*VLOOKUP(BP$3,Conversions!$B$12:$E$34,4,0)))</f>
        <v>0</v>
      </c>
      <c r="AM156" s="334">
        <f>IF($F156="",0,IF($A156="Default",$H156*VLOOKUP($F156,Lists!$C$72:$R$232,COLUMNS(Lists!$C$69:Q$69),0)*VLOOKUP(BQ$3,Conversions!$B$12:$E$34,4,0)*HLOOKUP($E156,'Equipment Assumptions'!$C$30:$Q$31,2,0),$H156*VLOOKUP($F156,Lists!$C$72:$R$232,COLUMNS(Lists!$C$69:Q$69),0)*VLOOKUP(BQ$3,Conversions!$B$12:$E$34,4,0)))</f>
        <v>0</v>
      </c>
      <c r="AN156" s="334">
        <f>IF($F156="",0,IF($A156="Default",$H156*VLOOKUP($F156,Lists!$C$72:$R$232,COLUMNS(Lists!$C$69:R$69),0)*VLOOKUP(BR$3,Conversions!$B$12:$E$34,4,0)*HLOOKUP($E156,'Equipment Assumptions'!$C$30:$Q$31,2,0),$H156*VLOOKUP($F156,Lists!$C$72:$R$232,COLUMNS(Lists!$C$69:R$69),0)*VLOOKUP(BR$3,Conversions!$B$12:$E$34,4,0)))</f>
        <v>0</v>
      </c>
      <c r="AO156" s="330">
        <f t="shared" si="198"/>
        <v>0</v>
      </c>
      <c r="AP156" s="333">
        <f>IF($F156="",0,IF($A156="Default",$I156*VLOOKUP($F156,Lists!$C$72:$R$232,COLUMNS(Lists!$C$69:E$69),0)*VLOOKUP(BE$3,Conversions!$B$12:$E$34,4,0)*HLOOKUP($E156,'Equipment Assumptions'!$C$30:$Q$31,2,0),$I156*VLOOKUP($F156,Lists!$C$72:$R$232,COLUMNS(Lists!$C$69:E$69),0)*VLOOKUP(BE$3,Conversions!$B$12:$E$34,4,0)))</f>
        <v>0</v>
      </c>
      <c r="AQ156" s="333">
        <f>IF($F156="",0,IF($A156="Default",$I156*VLOOKUP($F156,Lists!$C$72:$R$232,COLUMNS(Lists!$C$69:F$69),0)*VLOOKUP(BF$3,Conversions!$B$12:$E$34,4,0)*HLOOKUP($E156,'Equipment Assumptions'!$C$30:$Q$31,2,0),$I156*VLOOKUP($F156,Lists!$C$72:$R$232,COLUMNS(Lists!$C$69:F$69),0)*VLOOKUP(BF$3,Conversions!$B$12:$E$34,4,0)))</f>
        <v>0</v>
      </c>
      <c r="AR156" s="333">
        <f>IF($F156="",0,IF($A156="Default",$I156*VLOOKUP($F156,Lists!$C$72:$R$232,COLUMNS(Lists!$C$69:G$69),0)*VLOOKUP(BG$3,Conversions!$B$12:$E$34,4,0)*HLOOKUP($E156,'Equipment Assumptions'!$C$30:$Q$31,2,0),$I156*VLOOKUP($F156,Lists!$C$72:$R$232,COLUMNS(Lists!$C$69:G$69),0)*VLOOKUP(BG$3,Conversions!$B$12:$E$34,4,0)))</f>
        <v>0</v>
      </c>
      <c r="AS156" s="333">
        <f>IF($F156="",0,IF($A156="Default",$I156*VLOOKUP($F156,Lists!$C$72:$R$232,COLUMNS(Lists!$C$69:H$69),0)*VLOOKUP(BH$3,Conversions!$B$12:$E$34,4,0)*HLOOKUP($E156,'Equipment Assumptions'!$C$30:$Q$31,2,0),$I156*VLOOKUP($F156,Lists!$C$72:$R$232,COLUMNS(Lists!$C$69:H$69),0)*VLOOKUP(BH$3,Conversions!$B$12:$E$34,4,0)))</f>
        <v>0</v>
      </c>
      <c r="AT156" s="333">
        <f>IF($F156="",0,IF($A156="Default",$I156*VLOOKUP($F156,Lists!$C$72:$R$232,COLUMNS(Lists!$C$69:I$69),0)*VLOOKUP(BI$3,Conversions!$B$12:$E$34,4,0)*HLOOKUP($E156,'Equipment Assumptions'!$C$30:$Q$31,2,0),$I156*VLOOKUP($F156,Lists!$C$72:$R$232,COLUMNS(Lists!$C$69:I$69),0)*VLOOKUP(BI$3,Conversions!$B$12:$E$34,4,0)))</f>
        <v>0</v>
      </c>
      <c r="AU156" s="333">
        <f>IF($F156="",0,IF($A156="Default",$I156*VLOOKUP($F156,Lists!$C$72:$R$232,COLUMNS(Lists!$C$69:J$69),0)*VLOOKUP(BJ$3,Conversions!$B$12:$E$34,4,0)*HLOOKUP($E156,'Equipment Assumptions'!$C$30:$Q$31,2,0),$I156*VLOOKUP($F156,Lists!$C$72:$R$232,COLUMNS(Lists!$C$69:J$69),0)*VLOOKUP(BJ$3,Conversions!$B$12:$E$34,4,0)))</f>
        <v>0</v>
      </c>
      <c r="AV156" s="333">
        <f>IF($F156="",0,IF($A156="Default",$I156*VLOOKUP($F156,Lists!$C$72:$R$232,COLUMNS(Lists!$C$69:K$69),0)*VLOOKUP(BK$3,Conversions!$B$12:$E$34,4,0)*HLOOKUP($E156,'Equipment Assumptions'!$C$30:$Q$31,2,0),$I156*VLOOKUP($F156,Lists!$C$72:$R$232,COLUMNS(Lists!$C$69:K$69),0)*VLOOKUP(BK$3,Conversions!$B$12:$E$34,4,0)))</f>
        <v>0</v>
      </c>
      <c r="AW156" s="333">
        <f>IF($F156="",0,IF($A156="Default",$I156*VLOOKUP($F156,Lists!$C$72:$R$232,COLUMNS(Lists!$C$69:L$69),0)*VLOOKUP(BL$3,Conversions!$B$12:$E$34,4,0)*HLOOKUP($E156,'Equipment Assumptions'!$C$30:$Q$31,2,0),$I156*VLOOKUP($F156,Lists!$C$72:$R$232,COLUMNS(Lists!$C$69:L$69),0)*VLOOKUP(BL$3,Conversions!$B$12:$E$34,4,0)))</f>
        <v>0</v>
      </c>
      <c r="AX156" s="333">
        <f>IF($F156="",0,IF($A156="Default",$I156*VLOOKUP($F156,Lists!$C$72:$R$232,COLUMNS(Lists!$C$69:M$69),0)*VLOOKUP(BM$3,Conversions!$B$12:$E$34,4,0)*HLOOKUP($E156,'Equipment Assumptions'!$C$30:$Q$31,2,0),$I156*VLOOKUP($F156,Lists!$C$72:$R$232,COLUMNS(Lists!$C$69:M$69),0)*VLOOKUP(BM$3,Conversions!$B$12:$E$34,4,0)))</f>
        <v>0</v>
      </c>
      <c r="AY156" s="333">
        <f>IF($F156="",0,IF($A156="Default",$I156*VLOOKUP($F156,Lists!$C$72:$R$232,COLUMNS(Lists!$C$69:N$69),0)*VLOOKUP(BN$3,Conversions!$B$12:$E$34,4,0)*HLOOKUP($E156,'Equipment Assumptions'!$C$30:$Q$31,2,0),$I156*VLOOKUP($F156,Lists!$C$72:$R$232,COLUMNS(Lists!$C$69:N$69),0)*VLOOKUP(BN$3,Conversions!$B$12:$E$34,4,0)))</f>
        <v>0</v>
      </c>
      <c r="AZ156" s="333">
        <f>IF($F156="",0,IF($A156="Default",$I156*VLOOKUP($F156,Lists!$C$72:$R$232,COLUMNS(Lists!$C$69:O$69),0)*VLOOKUP(BO$3,Conversions!$B$12:$E$34,4,0)*HLOOKUP($E156,'Equipment Assumptions'!$C$30:$Q$31,2,0),$I156*VLOOKUP($F156,Lists!$C$72:$R$232,COLUMNS(Lists!$C$69:O$69),0)*VLOOKUP(BO$3,Conversions!$B$12:$E$34,4,0)))</f>
        <v>0</v>
      </c>
      <c r="BA156" s="333">
        <f>IF($F156="",0,IF($A156="Default",$I156*VLOOKUP($F156,Lists!$C$72:$R$232,COLUMNS(Lists!$C$69:P$69),0)*VLOOKUP(BP$3,Conversions!$B$12:$E$34,4,0)*HLOOKUP($E156,'Equipment Assumptions'!$C$30:$Q$31,2,0),$I156*VLOOKUP($F156,Lists!$C$72:$R$232,COLUMNS(Lists!$C$69:P$69),0)*VLOOKUP(BP$3,Conversions!$B$12:$E$34,4,0)))</f>
        <v>0</v>
      </c>
      <c r="BB156" s="333">
        <f>IF($F156="",0,IF($A156="Default",$I156*VLOOKUP($F156,Lists!$C$72:$R$232,COLUMNS(Lists!$C$69:Q$69),0)*VLOOKUP(BQ$3,Conversions!$B$12:$E$34,4,0)*HLOOKUP($E156,'Equipment Assumptions'!$C$30:$Q$31,2,0),$I156*VLOOKUP($F156,Lists!$C$72:$R$232,COLUMNS(Lists!$C$69:Q$69),0)*VLOOKUP(BQ$3,Conversions!$B$12:$E$34,4,0)))</f>
        <v>0</v>
      </c>
      <c r="BC156" s="333">
        <f>IF($F156="",0,IF($A156="Default",$I156*VLOOKUP($F156,Lists!$C$72:$R$232,COLUMNS(Lists!$C$69:R$69),0)*VLOOKUP(BR$3,Conversions!$B$12:$E$34,4,0)*HLOOKUP($E156,'Equipment Assumptions'!$C$30:$Q$31,2,0),$I156*VLOOKUP($F156,Lists!$C$72:$R$232,COLUMNS(Lists!$C$69:R$69),0)*VLOOKUP(BR$3,Conversions!$B$12:$E$34,4,0)))</f>
        <v>0</v>
      </c>
      <c r="BD156" s="333">
        <f t="shared" si="199"/>
        <v>0</v>
      </c>
      <c r="BE156" s="330">
        <f t="shared" si="145"/>
        <v>0</v>
      </c>
      <c r="BF156" s="330">
        <f t="shared" si="146"/>
        <v>0</v>
      </c>
      <c r="BG156" s="330">
        <f t="shared" si="147"/>
        <v>0</v>
      </c>
      <c r="BH156" s="330">
        <f t="shared" si="148"/>
        <v>0</v>
      </c>
      <c r="BI156" s="330">
        <f t="shared" si="149"/>
        <v>0</v>
      </c>
      <c r="BJ156" s="330">
        <f t="shared" si="150"/>
        <v>0</v>
      </c>
      <c r="BK156" s="330">
        <f t="shared" si="151"/>
        <v>0</v>
      </c>
      <c r="BL156" s="330">
        <f t="shared" si="152"/>
        <v>0</v>
      </c>
      <c r="BM156" s="330">
        <f t="shared" si="153"/>
        <v>0</v>
      </c>
      <c r="BN156" s="330">
        <f t="shared" si="154"/>
        <v>0</v>
      </c>
      <c r="BO156" s="330">
        <f t="shared" si="155"/>
        <v>0</v>
      </c>
      <c r="BP156" s="330">
        <f t="shared" si="156"/>
        <v>0</v>
      </c>
      <c r="BQ156" s="330">
        <f t="shared" si="157"/>
        <v>0</v>
      </c>
      <c r="BR156" s="330">
        <f t="shared" si="158"/>
        <v>0</v>
      </c>
      <c r="BS156" s="330">
        <f t="shared" si="159"/>
        <v>0</v>
      </c>
      <c r="BT156" s="329">
        <f t="shared" si="210"/>
        <v>0</v>
      </c>
      <c r="BU156" s="329">
        <f t="shared" si="210"/>
        <v>0</v>
      </c>
      <c r="BV156" s="329">
        <f t="shared" si="210"/>
        <v>0</v>
      </c>
      <c r="BW156" s="329">
        <f t="shared" si="210"/>
        <v>0</v>
      </c>
      <c r="BX156" s="329">
        <f t="shared" si="210"/>
        <v>0</v>
      </c>
      <c r="BY156" s="329">
        <f t="shared" si="210"/>
        <v>0</v>
      </c>
      <c r="BZ156" s="329">
        <f t="shared" si="210"/>
        <v>0</v>
      </c>
      <c r="CA156" s="329">
        <f t="shared" si="210"/>
        <v>0</v>
      </c>
      <c r="CB156" s="329">
        <f t="shared" si="210"/>
        <v>0</v>
      </c>
      <c r="CC156" s="329">
        <f t="shared" si="210"/>
        <v>0</v>
      </c>
      <c r="CD156" s="329">
        <f t="shared" si="210"/>
        <v>0</v>
      </c>
      <c r="CE156" s="329">
        <f t="shared" si="210"/>
        <v>0</v>
      </c>
      <c r="CF156" s="329">
        <f t="shared" si="210"/>
        <v>0</v>
      </c>
      <c r="CG156" s="329">
        <f t="shared" si="210"/>
        <v>0</v>
      </c>
      <c r="CH156" s="329">
        <f t="shared" si="210"/>
        <v>0</v>
      </c>
      <c r="CI156" s="329">
        <f t="shared" si="210"/>
        <v>0</v>
      </c>
      <c r="CJ156" s="331">
        <f t="shared" si="200"/>
        <v>0</v>
      </c>
      <c r="CK156" s="330">
        <f t="shared" si="201"/>
        <v>0</v>
      </c>
      <c r="CL156" s="330">
        <f t="shared" si="202"/>
        <v>0</v>
      </c>
      <c r="CM156" s="330">
        <f t="shared" si="203"/>
        <v>0</v>
      </c>
      <c r="CN156" s="330">
        <f t="shared" si="204"/>
        <v>0</v>
      </c>
      <c r="CO156" s="330">
        <f t="shared" si="205"/>
        <v>0</v>
      </c>
      <c r="CP156" s="330">
        <f t="shared" si="206"/>
        <v>0</v>
      </c>
      <c r="CQ156" s="330">
        <f t="shared" si="186"/>
        <v>0</v>
      </c>
      <c r="CR156" s="330">
        <f t="shared" si="207"/>
        <v>0</v>
      </c>
      <c r="CS156" s="330">
        <f t="shared" si="208"/>
        <v>0</v>
      </c>
      <c r="CT156" s="330">
        <f t="shared" si="209"/>
        <v>0</v>
      </c>
      <c r="CU156" s="330">
        <f t="shared" si="211"/>
        <v>0</v>
      </c>
      <c r="CV156" s="330">
        <f t="shared" si="211"/>
        <v>0</v>
      </c>
      <c r="CW156" s="330">
        <f t="shared" si="211"/>
        <v>0</v>
      </c>
      <c r="CX156" s="330">
        <f t="shared" si="211"/>
        <v>0</v>
      </c>
      <c r="CY156" s="330">
        <f t="shared" si="211"/>
        <v>0</v>
      </c>
      <c r="CZ156" s="330">
        <f t="shared" si="211"/>
        <v>0</v>
      </c>
      <c r="DA156" s="330">
        <f t="shared" si="211"/>
        <v>0</v>
      </c>
      <c r="DB156" s="330">
        <f t="shared" si="211"/>
        <v>0</v>
      </c>
      <c r="DC156" s="330">
        <f t="shared" si="211"/>
        <v>0</v>
      </c>
      <c r="DD156" s="330">
        <f t="shared" si="211"/>
        <v>0</v>
      </c>
      <c r="DE156" s="330">
        <f t="shared" si="212"/>
        <v>0</v>
      </c>
      <c r="DF156" s="330">
        <f t="shared" si="212"/>
        <v>0</v>
      </c>
      <c r="DG156" s="330">
        <f t="shared" si="212"/>
        <v>0</v>
      </c>
      <c r="DH156" s="330">
        <f t="shared" si="212"/>
        <v>0</v>
      </c>
      <c r="DI156" s="330">
        <f t="shared" si="212"/>
        <v>0</v>
      </c>
      <c r="DJ156" s="330">
        <f t="shared" si="212"/>
        <v>0</v>
      </c>
      <c r="DK156" s="330">
        <f t="shared" si="212"/>
        <v>0</v>
      </c>
      <c r="DL156" s="330">
        <f t="shared" si="212"/>
        <v>0</v>
      </c>
      <c r="DM156" s="330">
        <f t="shared" si="212"/>
        <v>0</v>
      </c>
      <c r="DN156" s="330">
        <f t="shared" si="212"/>
        <v>0</v>
      </c>
      <c r="DO156" s="330">
        <f t="shared" si="212"/>
        <v>0</v>
      </c>
      <c r="DP156" s="330">
        <f>BS156</f>
        <v>0</v>
      </c>
      <c r="DQ156" s="217"/>
      <c r="DR156" s="217"/>
      <c r="DS156" s="217"/>
      <c r="DT156" s="217"/>
    </row>
    <row r="157" spans="1:124" x14ac:dyDescent="0.3">
      <c r="A157" s="332" t="str">
        <f>IF(AND(F157&lt;&gt;"",OR('Simplified Screening 1'!G48=0,'Simplified Screening 1'!G48="I Don't Know")),"Default","")</f>
        <v/>
      </c>
      <c r="B157" s="221" t="s">
        <v>306</v>
      </c>
      <c r="C157" s="221" t="str">
        <f>IF('Simplified Screening 1'!C48=0,"",'Simplified Screening 1'!C48)</f>
        <v/>
      </c>
      <c r="D157" s="221" t="str">
        <f>IF('Simplified Screening 1'!D48=0,"",'Simplified Screening 1'!D48)</f>
        <v/>
      </c>
      <c r="E157" s="221" t="str">
        <f>IF('Simplified Screening 1'!E48=0,"",'Simplified Screening 1'!E48)</f>
        <v/>
      </c>
      <c r="F157" s="221" t="str">
        <f>'Simplified Screening 1'!R48</f>
        <v/>
      </c>
      <c r="G157" s="272">
        <f>'Simplified Screening 1'!H48*'Simplified Screening 1'!L48*Conversions!$C$4</f>
        <v>0</v>
      </c>
      <c r="H157" s="272">
        <f>'Simplified Screening 1'!I48*'Simplified Screening 1'!M48*'Simplified Screening 1'!J48*Conversions!$C$4</f>
        <v>0</v>
      </c>
      <c r="I157" s="272">
        <f>'Simplified Screening 1'!K48*'Simplified Screening 1'!N48*(1-'Simplified Screening 1'!O48)*Conversions!$C$4</f>
        <v>0</v>
      </c>
      <c r="J157" s="325">
        <f>IF('Simplified Screening 1'!P48=0,0,'Simplified Screening 1'!P48)</f>
        <v>0</v>
      </c>
      <c r="K157" s="325">
        <f>IF(AND(OR('Simplified Screening 1'!G48=0,'Simplified Screening 1'!G48="I Don't Know"),F157&lt;&gt;""),J157*HLOOKUP(E157,'Equipment Assumptions'!$C$30:$Q$31,2,0),IF(F157="Non-HFC",0,J157))</f>
        <v>0</v>
      </c>
      <c r="L157" s="333">
        <f>IF($F157="",0,IF($A157="Default",$G157*VLOOKUP($F157,Lists!$C$72:$R$232,COLUMNS(Lists!$C$69:E$69),0)*VLOOKUP(BE$3,Conversions!$B$12:$E$34,4,0)*HLOOKUP($E157,'Equipment Assumptions'!$C$30:$Q$31,2,0),$G157*VLOOKUP($F157,Lists!$C$72:$R$232,COLUMNS(Lists!$C$69:E$69),0)*VLOOKUP(BE$3,Conversions!$B$12:$E$34,4,0)))</f>
        <v>0</v>
      </c>
      <c r="M157" s="333">
        <f>IF($F157="",0,IF($A157="Default",$G157*VLOOKUP($F157,Lists!$C$72:$R$232,COLUMNS(Lists!$C$69:F$69),0)*VLOOKUP(BF$3,Conversions!$B$12:$E$34,4,0)*HLOOKUP($E157,'Equipment Assumptions'!$C$30:$Q$31,2,0),$G157*VLOOKUP($F157,Lists!$C$72:$R$232,COLUMNS(Lists!$C$69:F$69),0)*VLOOKUP(BF$3,Conversions!$B$12:$E$34,4,0)))</f>
        <v>0</v>
      </c>
      <c r="N157" s="333">
        <f>IF($F157="",0,IF($A157="Default",$G157*VLOOKUP($F157,Lists!$C$72:$R$232,COLUMNS(Lists!$C$69:G$69),0)*VLOOKUP(BG$3,Conversions!$B$12:$E$34,4,0)*HLOOKUP($E157,'Equipment Assumptions'!$C$30:$Q$31,2,0),$G157*VLOOKUP($F157,Lists!$C$72:$R$232,COLUMNS(Lists!$C$69:G$69),0)*VLOOKUP(BG$3,Conversions!$B$12:$E$34,4,0)))</f>
        <v>0</v>
      </c>
      <c r="O157" s="333">
        <f>IF($F157="",0,IF($A157="Default",$G157*VLOOKUP($F157,Lists!$C$72:$R$232,COLUMNS(Lists!$C$69:H$69),0)*VLOOKUP(BH$3,Conversions!$B$12:$E$34,4,0)*HLOOKUP($E157,'Equipment Assumptions'!$C$30:$Q$31,2,0),$G157*VLOOKUP($F157,Lists!$C$72:$R$232,COLUMNS(Lists!$C$69:H$69),0)*VLOOKUP(BH$3,Conversions!$B$12:$E$34,4,0)))</f>
        <v>0</v>
      </c>
      <c r="P157" s="333">
        <f>IF($F157="",0,IF($A157="Default",$G157*VLOOKUP($F157,Lists!$C$72:$R$232,COLUMNS(Lists!$C$69:I$69),0)*VLOOKUP(BI$3,Conversions!$B$12:$E$34,4,0)*HLOOKUP($E157,'Equipment Assumptions'!$C$30:$Q$31,2,0),$G157*VLOOKUP($F157,Lists!$C$72:$R$232,COLUMNS(Lists!$C$69:I$69),0)*VLOOKUP(BI$3,Conversions!$B$12:$E$34,4,0)))</f>
        <v>0</v>
      </c>
      <c r="Q157" s="333">
        <f>IF($F157="",0,IF($A157="Default",$G157*VLOOKUP($F157,Lists!$C$72:$R$232,COLUMNS(Lists!$C$69:J$69),0)*VLOOKUP(BJ$3,Conversions!$B$12:$E$34,4,0)*HLOOKUP($E157,'Equipment Assumptions'!$C$30:$Q$31,2,0),$G157*VLOOKUP($F157,Lists!$C$72:$R$232,COLUMNS(Lists!$C$69:J$69),0)*VLOOKUP(BJ$3,Conversions!$B$12:$E$34,4,0)))</f>
        <v>0</v>
      </c>
      <c r="R157" s="333">
        <f>IF($F157="",0,IF($A157="Default",$G157*VLOOKUP($F157,Lists!$C$72:$R$232,COLUMNS(Lists!$C$69:K$69),0)*VLOOKUP(BK$3,Conversions!$B$12:$E$34,4,0)*HLOOKUP($E157,'Equipment Assumptions'!$C$30:$Q$31,2,0),$G157*VLOOKUP($F157,Lists!$C$72:$R$232,COLUMNS(Lists!$C$69:K$69),0)*VLOOKUP(BK$3,Conversions!$B$12:$E$34,4,0)))</f>
        <v>0</v>
      </c>
      <c r="S157" s="333">
        <f>IF($F157="",0,IF($A157="Default",$G157*VLOOKUP($F157,Lists!$C$72:$R$232,COLUMNS(Lists!$C$69:L$69),0)*VLOOKUP(BL$3,Conversions!$B$12:$E$34,4,0)*HLOOKUP($E157,'Equipment Assumptions'!$C$30:$Q$31,2,0),$G157*VLOOKUP($F157,Lists!$C$72:$R$232,COLUMNS(Lists!$C$69:L$69),0)*VLOOKUP(BL$3,Conversions!$B$12:$E$34,4,0)))</f>
        <v>0</v>
      </c>
      <c r="T157" s="333">
        <f>IF($F157="",0,IF($A157="Default",$G157*VLOOKUP($F157,Lists!$C$72:$R$232,COLUMNS(Lists!$C$69:M$69),0)*VLOOKUP(BM$3,Conversions!$B$12:$E$34,4,0)*HLOOKUP($E157,'Equipment Assumptions'!$C$30:$Q$31,2,0),$G157*VLOOKUP($F157,Lists!$C$72:$R$232,COLUMNS(Lists!$C$69:M$69),0)*VLOOKUP(BM$3,Conversions!$B$12:$E$34,4,0)))</f>
        <v>0</v>
      </c>
      <c r="U157" s="333">
        <f>IF($F157="",0,IF($A157="Default",$G157*VLOOKUP($F157,Lists!$C$72:$R$232,COLUMNS(Lists!$C$69:N$69),0)*VLOOKUP(BN$3,Conversions!$B$12:$E$34,4,0)*HLOOKUP($E157,'Equipment Assumptions'!$C$30:$Q$31,2,0),$G157*VLOOKUP($F157,Lists!$C$72:$R$232,COLUMNS(Lists!$C$69:N$69),0)*VLOOKUP(BN$3,Conversions!$B$12:$E$34,4,0)))</f>
        <v>0</v>
      </c>
      <c r="V157" s="333">
        <f>IF($F157="",0,IF($A157="Default",$G157*VLOOKUP($F157,Lists!$C$72:$R$232,COLUMNS(Lists!$C$69:O$69),0)*VLOOKUP(BO$3,Conversions!$B$12:$E$34,4,0)*HLOOKUP($E157,'Equipment Assumptions'!$C$30:$Q$31,2,0),$G157*VLOOKUP($F157,Lists!$C$72:$R$232,COLUMNS(Lists!$C$69:O$69),0)*VLOOKUP(BO$3,Conversions!$B$12:$E$34,4,0)))</f>
        <v>0</v>
      </c>
      <c r="W157" s="333">
        <f>IF($F157="",0,IF($A157="Default",$G157*VLOOKUP($F157,Lists!$C$72:$R$232,COLUMNS(Lists!$C$69:P$69),0)*VLOOKUP(BP$3,Conversions!$B$12:$E$34,4,0)*HLOOKUP($E157,'Equipment Assumptions'!$C$30:$Q$31,2,0),$G157*VLOOKUP($F157,Lists!$C$72:$R$232,COLUMNS(Lists!$C$69:P$69),0)*VLOOKUP(BP$3,Conversions!$B$12:$E$34,4,0)))</f>
        <v>0</v>
      </c>
      <c r="X157" s="333">
        <f>IF($F157="",0,IF($A157="Default",$G157*VLOOKUP($F157,Lists!$C$72:$R$232,COLUMNS(Lists!$C$69:Q$69),0)*VLOOKUP(BQ$3,Conversions!$B$12:$E$34,4,0)*HLOOKUP($E157,'Equipment Assumptions'!$C$30:$Q$31,2,0),$G157*VLOOKUP($F157,Lists!$C$72:$R$232,COLUMNS(Lists!$C$69:Q$69),0)*VLOOKUP(BQ$3,Conversions!$B$12:$E$34,4,0)))</f>
        <v>0</v>
      </c>
      <c r="Y157" s="333">
        <f>IF($F157="",0,IF($A157="Default",$G157*VLOOKUP($F157,Lists!$C$72:$R$232,COLUMNS(Lists!$C$69:R$69),0)*VLOOKUP(BR$3,Conversions!$B$12:$E$34,4,0)*HLOOKUP($E157,'Equipment Assumptions'!$C$30:$Q$31,2,0),$G157*VLOOKUP($F157,Lists!$C$72:$R$232,COLUMNS(Lists!$C$69:R$69),0)*VLOOKUP(BR$3,Conversions!$B$12:$E$34,4,0)))</f>
        <v>0</v>
      </c>
      <c r="Z157" s="325">
        <f t="shared" si="197"/>
        <v>0</v>
      </c>
      <c r="AA157" s="334">
        <f>IF($F157="",0,IF($A157="Default",$H157*VLOOKUP($F157,Lists!$C$72:$R$232,COLUMNS(Lists!$C$69:E$69),0)*VLOOKUP(BE$3,Conversions!$B$12:$E$34,4,0)*HLOOKUP($E157,'Equipment Assumptions'!$C$30:$Q$31,2,0),$H157*VLOOKUP($F157,Lists!$C$72:$R$232,COLUMNS(Lists!$C$69:E$69),0)*VLOOKUP(BE$3,Conversions!$B$12:$E$34,4,0)))</f>
        <v>0</v>
      </c>
      <c r="AB157" s="334">
        <f>IF($F157="",0,IF($A157="Default",$H157*VLOOKUP($F157,Lists!$C$72:$R$232,COLUMNS(Lists!$C$69:F$69),0)*VLOOKUP(BF$3,Conversions!$B$12:$E$34,4,0)*HLOOKUP($E157,'Equipment Assumptions'!$C$30:$Q$31,2,0),$H157*VLOOKUP($F157,Lists!$C$72:$R$232,COLUMNS(Lists!$C$69:F$69),0)*VLOOKUP(BF$3,Conversions!$B$12:$E$34,4,0)))</f>
        <v>0</v>
      </c>
      <c r="AC157" s="334">
        <f>IF($F157="",0,IF($A157="Default",$H157*VLOOKUP($F157,Lists!$C$72:$R$232,COLUMNS(Lists!$C$69:G$69),0)*VLOOKUP(BG$3,Conversions!$B$12:$E$34,4,0)*HLOOKUP($E157,'Equipment Assumptions'!$C$30:$Q$31,2,0),$H157*VLOOKUP($F157,Lists!$C$72:$R$232,COLUMNS(Lists!$C$69:G$69),0)*VLOOKUP(BG$3,Conversions!$B$12:$E$34,4,0)))</f>
        <v>0</v>
      </c>
      <c r="AD157" s="334">
        <f>IF($F157="",0,IF($A157="Default",$H157*VLOOKUP($F157,Lists!$C$72:$R$232,COLUMNS(Lists!$C$69:H$69),0)*VLOOKUP(BH$3,Conversions!$B$12:$E$34,4,0)*HLOOKUP($E157,'Equipment Assumptions'!$C$30:$Q$31,2,0),$H157*VLOOKUP($F157,Lists!$C$72:$R$232,COLUMNS(Lists!$C$69:H$69),0)*VLOOKUP(BH$3,Conversions!$B$12:$E$34,4,0)))</f>
        <v>0</v>
      </c>
      <c r="AE157" s="334">
        <f>IF($F157="",0,IF($A157="Default",$H157*VLOOKUP($F157,Lists!$C$72:$R$232,COLUMNS(Lists!$C$69:I$69),0)*VLOOKUP(BI$3,Conversions!$B$12:$E$34,4,0)*HLOOKUP($E157,'Equipment Assumptions'!$C$30:$Q$31,2,0),$H157*VLOOKUP($F157,Lists!$C$72:$R$232,COLUMNS(Lists!$C$69:I$69),0)*VLOOKUP(BI$3,Conversions!$B$12:$E$34,4,0)))</f>
        <v>0</v>
      </c>
      <c r="AF157" s="334">
        <f>IF($F157="",0,IF($A157="Default",$H157*VLOOKUP($F157,Lists!$C$72:$R$232,COLUMNS(Lists!$C$69:J$69),0)*VLOOKUP(BJ$3,Conversions!$B$12:$E$34,4,0)*HLOOKUP($E157,'Equipment Assumptions'!$C$30:$Q$31,2,0),$H157*VLOOKUP($F157,Lists!$C$72:$R$232,COLUMNS(Lists!$C$69:J$69),0)*VLOOKUP(BJ$3,Conversions!$B$12:$E$34,4,0)))</f>
        <v>0</v>
      </c>
      <c r="AG157" s="334">
        <f>IF($F157="",0,IF($A157="Default",$H157*VLOOKUP($F157,Lists!$C$72:$R$232,COLUMNS(Lists!$C$69:K$69),0)*VLOOKUP(BK$3,Conversions!$B$12:$E$34,4,0)*HLOOKUP($E157,'Equipment Assumptions'!$C$30:$Q$31,2,0),$H157*VLOOKUP($F157,Lists!$C$72:$R$232,COLUMNS(Lists!$C$69:K$69),0)*VLOOKUP(BK$3,Conversions!$B$12:$E$34,4,0)))</f>
        <v>0</v>
      </c>
      <c r="AH157" s="334">
        <f>IF($F157="",0,IF($A157="Default",$H157*VLOOKUP($F157,Lists!$C$72:$R$232,COLUMNS(Lists!$C$69:L$69),0)*VLOOKUP(BL$3,Conversions!$B$12:$E$34,4,0)*HLOOKUP($E157,'Equipment Assumptions'!$C$30:$Q$31,2,0),$H157*VLOOKUP($F157,Lists!$C$72:$R$232,COLUMNS(Lists!$C$69:L$69),0)*VLOOKUP(BL$3,Conversions!$B$12:$E$34,4,0)))</f>
        <v>0</v>
      </c>
      <c r="AI157" s="334">
        <f>IF($F157="",0,IF($A157="Default",$H157*VLOOKUP($F157,Lists!$C$72:$R$232,COLUMNS(Lists!$C$69:M$69),0)*VLOOKUP(BM$3,Conversions!$B$12:$E$34,4,0)*HLOOKUP($E157,'Equipment Assumptions'!$C$30:$Q$31,2,0),$H157*VLOOKUP($F157,Lists!$C$72:$R$232,COLUMNS(Lists!$C$69:M$69),0)*VLOOKUP(BM$3,Conversions!$B$12:$E$34,4,0)))</f>
        <v>0</v>
      </c>
      <c r="AJ157" s="334">
        <f>IF($F157="",0,IF($A157="Default",$H157*VLOOKUP($F157,Lists!$C$72:$R$232,COLUMNS(Lists!$C$69:N$69),0)*VLOOKUP(BN$3,Conversions!$B$12:$E$34,4,0)*HLOOKUP($E157,'Equipment Assumptions'!$C$30:$Q$31,2,0),$H157*VLOOKUP($F157,Lists!$C$72:$R$232,COLUMNS(Lists!$C$69:N$69),0)*VLOOKUP(BN$3,Conversions!$B$12:$E$34,4,0)))</f>
        <v>0</v>
      </c>
      <c r="AK157" s="334">
        <f>IF($F157="",0,IF($A157="Default",$H157*VLOOKUP($F157,Lists!$C$72:$R$232,COLUMNS(Lists!$C$69:O$69),0)*VLOOKUP(BO$3,Conversions!$B$12:$E$34,4,0)*HLOOKUP($E157,'Equipment Assumptions'!$C$30:$Q$31,2,0),$H157*VLOOKUP($F157,Lists!$C$72:$R$232,COLUMNS(Lists!$C$69:O$69),0)*VLOOKUP(BO$3,Conversions!$B$12:$E$34,4,0)))</f>
        <v>0</v>
      </c>
      <c r="AL157" s="334">
        <f>IF($F157="",0,IF($A157="Default",$H157*VLOOKUP($F157,Lists!$C$72:$R$232,COLUMNS(Lists!$C$69:P$69),0)*VLOOKUP(BP$3,Conversions!$B$12:$E$34,4,0)*HLOOKUP($E157,'Equipment Assumptions'!$C$30:$Q$31,2,0),$H157*VLOOKUP($F157,Lists!$C$72:$R$232,COLUMNS(Lists!$C$69:P$69),0)*VLOOKUP(BP$3,Conversions!$B$12:$E$34,4,0)))</f>
        <v>0</v>
      </c>
      <c r="AM157" s="334">
        <f>IF($F157="",0,IF($A157="Default",$H157*VLOOKUP($F157,Lists!$C$72:$R$232,COLUMNS(Lists!$C$69:Q$69),0)*VLOOKUP(BQ$3,Conversions!$B$12:$E$34,4,0)*HLOOKUP($E157,'Equipment Assumptions'!$C$30:$Q$31,2,0),$H157*VLOOKUP($F157,Lists!$C$72:$R$232,COLUMNS(Lists!$C$69:Q$69),0)*VLOOKUP(BQ$3,Conversions!$B$12:$E$34,4,0)))</f>
        <v>0</v>
      </c>
      <c r="AN157" s="334">
        <f>IF($F157="",0,IF($A157="Default",$H157*VLOOKUP($F157,Lists!$C$72:$R$232,COLUMNS(Lists!$C$69:R$69),0)*VLOOKUP(BR$3,Conversions!$B$12:$E$34,4,0)*HLOOKUP($E157,'Equipment Assumptions'!$C$30:$Q$31,2,0),$H157*VLOOKUP($F157,Lists!$C$72:$R$232,COLUMNS(Lists!$C$69:R$69),0)*VLOOKUP(BR$3,Conversions!$B$12:$E$34,4,0)))</f>
        <v>0</v>
      </c>
      <c r="AO157" s="330">
        <f t="shared" si="198"/>
        <v>0</v>
      </c>
      <c r="AP157" s="333">
        <f>IF($F157="",0,IF($A157="Default",$I157*VLOOKUP($F157,Lists!$C$72:$R$232,COLUMNS(Lists!$C$69:E$69),0)*VLOOKUP(BE$3,Conversions!$B$12:$E$34,4,0)*HLOOKUP($E157,'Equipment Assumptions'!$C$30:$Q$31,2,0),$I157*VLOOKUP($F157,Lists!$C$72:$R$232,COLUMNS(Lists!$C$69:E$69),0)*VLOOKUP(BE$3,Conversions!$B$12:$E$34,4,0)))</f>
        <v>0</v>
      </c>
      <c r="AQ157" s="333">
        <f>IF($F157="",0,IF($A157="Default",$I157*VLOOKUP($F157,Lists!$C$72:$R$232,COLUMNS(Lists!$C$69:F$69),0)*VLOOKUP(BF$3,Conversions!$B$12:$E$34,4,0)*HLOOKUP($E157,'Equipment Assumptions'!$C$30:$Q$31,2,0),$I157*VLOOKUP($F157,Lists!$C$72:$R$232,COLUMNS(Lists!$C$69:F$69),0)*VLOOKUP(BF$3,Conversions!$B$12:$E$34,4,0)))</f>
        <v>0</v>
      </c>
      <c r="AR157" s="333">
        <f>IF($F157="",0,IF($A157="Default",$I157*VLOOKUP($F157,Lists!$C$72:$R$232,COLUMNS(Lists!$C$69:G$69),0)*VLOOKUP(BG$3,Conversions!$B$12:$E$34,4,0)*HLOOKUP($E157,'Equipment Assumptions'!$C$30:$Q$31,2,0),$I157*VLOOKUP($F157,Lists!$C$72:$R$232,COLUMNS(Lists!$C$69:G$69),0)*VLOOKUP(BG$3,Conversions!$B$12:$E$34,4,0)))</f>
        <v>0</v>
      </c>
      <c r="AS157" s="333">
        <f>IF($F157="",0,IF($A157="Default",$I157*VLOOKUP($F157,Lists!$C$72:$R$232,COLUMNS(Lists!$C$69:H$69),0)*VLOOKUP(BH$3,Conversions!$B$12:$E$34,4,0)*HLOOKUP($E157,'Equipment Assumptions'!$C$30:$Q$31,2,0),$I157*VLOOKUP($F157,Lists!$C$72:$R$232,COLUMNS(Lists!$C$69:H$69),0)*VLOOKUP(BH$3,Conversions!$B$12:$E$34,4,0)))</f>
        <v>0</v>
      </c>
      <c r="AT157" s="333">
        <f>IF($F157="",0,IF($A157="Default",$I157*VLOOKUP($F157,Lists!$C$72:$R$232,COLUMNS(Lists!$C$69:I$69),0)*VLOOKUP(BI$3,Conversions!$B$12:$E$34,4,0)*HLOOKUP($E157,'Equipment Assumptions'!$C$30:$Q$31,2,0),$I157*VLOOKUP($F157,Lists!$C$72:$R$232,COLUMNS(Lists!$C$69:I$69),0)*VLOOKUP(BI$3,Conversions!$B$12:$E$34,4,0)))</f>
        <v>0</v>
      </c>
      <c r="AU157" s="333">
        <f>IF($F157="",0,IF($A157="Default",$I157*VLOOKUP($F157,Lists!$C$72:$R$232,COLUMNS(Lists!$C$69:J$69),0)*VLOOKUP(BJ$3,Conversions!$B$12:$E$34,4,0)*HLOOKUP($E157,'Equipment Assumptions'!$C$30:$Q$31,2,0),$I157*VLOOKUP($F157,Lists!$C$72:$R$232,COLUMNS(Lists!$C$69:J$69),0)*VLOOKUP(BJ$3,Conversions!$B$12:$E$34,4,0)))</f>
        <v>0</v>
      </c>
      <c r="AV157" s="333">
        <f>IF($F157="",0,IF($A157="Default",$I157*VLOOKUP($F157,Lists!$C$72:$R$232,COLUMNS(Lists!$C$69:K$69),0)*VLOOKUP(BK$3,Conversions!$B$12:$E$34,4,0)*HLOOKUP($E157,'Equipment Assumptions'!$C$30:$Q$31,2,0),$I157*VLOOKUP($F157,Lists!$C$72:$R$232,COLUMNS(Lists!$C$69:K$69),0)*VLOOKUP(BK$3,Conversions!$B$12:$E$34,4,0)))</f>
        <v>0</v>
      </c>
      <c r="AW157" s="333">
        <f>IF($F157="",0,IF($A157="Default",$I157*VLOOKUP($F157,Lists!$C$72:$R$232,COLUMNS(Lists!$C$69:L$69),0)*VLOOKUP(BL$3,Conversions!$B$12:$E$34,4,0)*HLOOKUP($E157,'Equipment Assumptions'!$C$30:$Q$31,2,0),$I157*VLOOKUP($F157,Lists!$C$72:$R$232,COLUMNS(Lists!$C$69:L$69),0)*VLOOKUP(BL$3,Conversions!$B$12:$E$34,4,0)))</f>
        <v>0</v>
      </c>
      <c r="AX157" s="333">
        <f>IF($F157="",0,IF($A157="Default",$I157*VLOOKUP($F157,Lists!$C$72:$R$232,COLUMNS(Lists!$C$69:M$69),0)*VLOOKUP(BM$3,Conversions!$B$12:$E$34,4,0)*HLOOKUP($E157,'Equipment Assumptions'!$C$30:$Q$31,2,0),$I157*VLOOKUP($F157,Lists!$C$72:$R$232,COLUMNS(Lists!$C$69:M$69),0)*VLOOKUP(BM$3,Conversions!$B$12:$E$34,4,0)))</f>
        <v>0</v>
      </c>
      <c r="AY157" s="333">
        <f>IF($F157="",0,IF($A157="Default",$I157*VLOOKUP($F157,Lists!$C$72:$R$232,COLUMNS(Lists!$C$69:N$69),0)*VLOOKUP(BN$3,Conversions!$B$12:$E$34,4,0)*HLOOKUP($E157,'Equipment Assumptions'!$C$30:$Q$31,2,0),$I157*VLOOKUP($F157,Lists!$C$72:$R$232,COLUMNS(Lists!$C$69:N$69),0)*VLOOKUP(BN$3,Conversions!$B$12:$E$34,4,0)))</f>
        <v>0</v>
      </c>
      <c r="AZ157" s="333">
        <f>IF($F157="",0,IF($A157="Default",$I157*VLOOKUP($F157,Lists!$C$72:$R$232,COLUMNS(Lists!$C$69:O$69),0)*VLOOKUP(BO$3,Conversions!$B$12:$E$34,4,0)*HLOOKUP($E157,'Equipment Assumptions'!$C$30:$Q$31,2,0),$I157*VLOOKUP($F157,Lists!$C$72:$R$232,COLUMNS(Lists!$C$69:O$69),0)*VLOOKUP(BO$3,Conversions!$B$12:$E$34,4,0)))</f>
        <v>0</v>
      </c>
      <c r="BA157" s="333">
        <f>IF($F157="",0,IF($A157="Default",$I157*VLOOKUP($F157,Lists!$C$72:$R$232,COLUMNS(Lists!$C$69:P$69),0)*VLOOKUP(BP$3,Conversions!$B$12:$E$34,4,0)*HLOOKUP($E157,'Equipment Assumptions'!$C$30:$Q$31,2,0),$I157*VLOOKUP($F157,Lists!$C$72:$R$232,COLUMNS(Lists!$C$69:P$69),0)*VLOOKUP(BP$3,Conversions!$B$12:$E$34,4,0)))</f>
        <v>0</v>
      </c>
      <c r="BB157" s="333">
        <f>IF($F157="",0,IF($A157="Default",$I157*VLOOKUP($F157,Lists!$C$72:$R$232,COLUMNS(Lists!$C$69:Q$69),0)*VLOOKUP(BQ$3,Conversions!$B$12:$E$34,4,0)*HLOOKUP($E157,'Equipment Assumptions'!$C$30:$Q$31,2,0),$I157*VLOOKUP($F157,Lists!$C$72:$R$232,COLUMNS(Lists!$C$69:Q$69),0)*VLOOKUP(BQ$3,Conversions!$B$12:$E$34,4,0)))</f>
        <v>0</v>
      </c>
      <c r="BC157" s="333">
        <f>IF($F157="",0,IF($A157="Default",$I157*VLOOKUP($F157,Lists!$C$72:$R$232,COLUMNS(Lists!$C$69:R$69),0)*VLOOKUP(BR$3,Conversions!$B$12:$E$34,4,0)*HLOOKUP($E157,'Equipment Assumptions'!$C$30:$Q$31,2,0),$I157*VLOOKUP($F157,Lists!$C$72:$R$232,COLUMNS(Lists!$C$69:R$69),0)*VLOOKUP(BR$3,Conversions!$B$12:$E$34,4,0)))</f>
        <v>0</v>
      </c>
      <c r="BD157" s="333">
        <f t="shared" si="199"/>
        <v>0</v>
      </c>
      <c r="BE157" s="330">
        <f t="shared" si="145"/>
        <v>0</v>
      </c>
      <c r="BF157" s="330">
        <f t="shared" si="146"/>
        <v>0</v>
      </c>
      <c r="BG157" s="330">
        <f t="shared" si="147"/>
        <v>0</v>
      </c>
      <c r="BH157" s="330">
        <f t="shared" si="148"/>
        <v>0</v>
      </c>
      <c r="BI157" s="330">
        <f t="shared" si="149"/>
        <v>0</v>
      </c>
      <c r="BJ157" s="330">
        <f t="shared" si="150"/>
        <v>0</v>
      </c>
      <c r="BK157" s="330">
        <f t="shared" si="151"/>
        <v>0</v>
      </c>
      <c r="BL157" s="330">
        <f t="shared" si="152"/>
        <v>0</v>
      </c>
      <c r="BM157" s="330">
        <f t="shared" si="153"/>
        <v>0</v>
      </c>
      <c r="BN157" s="330">
        <f t="shared" si="154"/>
        <v>0</v>
      </c>
      <c r="BO157" s="330">
        <f t="shared" si="155"/>
        <v>0</v>
      </c>
      <c r="BP157" s="330">
        <f t="shared" si="156"/>
        <v>0</v>
      </c>
      <c r="BQ157" s="330">
        <f t="shared" si="157"/>
        <v>0</v>
      </c>
      <c r="BR157" s="330">
        <f t="shared" si="158"/>
        <v>0</v>
      </c>
      <c r="BS157" s="330">
        <f t="shared" si="159"/>
        <v>0</v>
      </c>
      <c r="BT157" s="329">
        <f t="shared" si="210"/>
        <v>0</v>
      </c>
      <c r="BU157" s="329">
        <f t="shared" si="210"/>
        <v>0</v>
      </c>
      <c r="BV157" s="329">
        <f t="shared" si="210"/>
        <v>0</v>
      </c>
      <c r="BW157" s="329">
        <f t="shared" si="210"/>
        <v>0</v>
      </c>
      <c r="BX157" s="329">
        <f t="shared" si="210"/>
        <v>0</v>
      </c>
      <c r="BY157" s="329">
        <f t="shared" si="210"/>
        <v>0</v>
      </c>
      <c r="BZ157" s="329">
        <f t="shared" si="210"/>
        <v>0</v>
      </c>
      <c r="CA157" s="329">
        <f t="shared" si="210"/>
        <v>0</v>
      </c>
      <c r="CB157" s="329">
        <f t="shared" si="210"/>
        <v>0</v>
      </c>
      <c r="CC157" s="329">
        <f t="shared" si="210"/>
        <v>0</v>
      </c>
      <c r="CD157" s="329">
        <f t="shared" si="210"/>
        <v>0</v>
      </c>
      <c r="CE157" s="329">
        <f t="shared" si="210"/>
        <v>0</v>
      </c>
      <c r="CF157" s="329">
        <f t="shared" si="210"/>
        <v>0</v>
      </c>
      <c r="CG157" s="329">
        <f t="shared" si="210"/>
        <v>0</v>
      </c>
      <c r="CH157" s="329">
        <f t="shared" si="210"/>
        <v>0</v>
      </c>
      <c r="CI157" s="329">
        <f t="shared" si="210"/>
        <v>0</v>
      </c>
      <c r="CJ157" s="331">
        <f t="shared" si="200"/>
        <v>0</v>
      </c>
      <c r="CK157" s="330">
        <f t="shared" si="201"/>
        <v>0</v>
      </c>
      <c r="CL157" s="330">
        <f t="shared" si="202"/>
        <v>0</v>
      </c>
      <c r="CM157" s="330">
        <f t="shared" si="203"/>
        <v>0</v>
      </c>
      <c r="CN157" s="330">
        <f t="shared" si="204"/>
        <v>0</v>
      </c>
      <c r="CO157" s="330">
        <f t="shared" si="205"/>
        <v>0</v>
      </c>
      <c r="CP157" s="330">
        <f t="shared" si="206"/>
        <v>0</v>
      </c>
      <c r="CQ157" s="330">
        <f t="shared" si="186"/>
        <v>0</v>
      </c>
      <c r="CR157" s="330">
        <f t="shared" si="207"/>
        <v>0</v>
      </c>
      <c r="CS157" s="330">
        <f t="shared" si="208"/>
        <v>0</v>
      </c>
      <c r="CT157" s="330">
        <f t="shared" si="209"/>
        <v>0</v>
      </c>
      <c r="CU157" s="330">
        <f t="shared" si="211"/>
        <v>0</v>
      </c>
      <c r="CV157" s="330">
        <f t="shared" si="211"/>
        <v>0</v>
      </c>
      <c r="CW157" s="330">
        <f t="shared" si="211"/>
        <v>0</v>
      </c>
      <c r="CX157" s="330">
        <f t="shared" si="211"/>
        <v>0</v>
      </c>
      <c r="CY157" s="330">
        <f t="shared" si="211"/>
        <v>0</v>
      </c>
      <c r="CZ157" s="330">
        <f t="shared" si="211"/>
        <v>0</v>
      </c>
      <c r="DA157" s="330">
        <f t="shared" si="211"/>
        <v>0</v>
      </c>
      <c r="DB157" s="330">
        <f t="shared" si="211"/>
        <v>0</v>
      </c>
      <c r="DC157" s="330">
        <f t="shared" si="211"/>
        <v>0</v>
      </c>
      <c r="DD157" s="330">
        <f t="shared" si="211"/>
        <v>0</v>
      </c>
      <c r="DE157" s="330">
        <f t="shared" si="212"/>
        <v>0</v>
      </c>
      <c r="DF157" s="330">
        <f t="shared" si="212"/>
        <v>0</v>
      </c>
      <c r="DG157" s="330">
        <f t="shared" si="212"/>
        <v>0</v>
      </c>
      <c r="DH157" s="330">
        <f t="shared" si="212"/>
        <v>0</v>
      </c>
      <c r="DI157" s="330">
        <f t="shared" si="212"/>
        <v>0</v>
      </c>
      <c r="DJ157" s="330">
        <f t="shared" si="212"/>
        <v>0</v>
      </c>
      <c r="DK157" s="330">
        <f t="shared" si="212"/>
        <v>0</v>
      </c>
      <c r="DL157" s="330">
        <f t="shared" si="212"/>
        <v>0</v>
      </c>
      <c r="DM157" s="330">
        <f t="shared" si="212"/>
        <v>0</v>
      </c>
      <c r="DN157" s="330">
        <f t="shared" si="212"/>
        <v>0</v>
      </c>
      <c r="DO157" s="330">
        <f t="shared" si="212"/>
        <v>0</v>
      </c>
      <c r="DP157" s="330">
        <f t="shared" ref="DP157:DP203" si="213">BS157</f>
        <v>0</v>
      </c>
      <c r="DQ157" s="217"/>
      <c r="DR157" s="217"/>
      <c r="DS157" s="217"/>
      <c r="DT157" s="217"/>
    </row>
    <row r="158" spans="1:124" x14ac:dyDescent="0.3">
      <c r="A158" s="332" t="str">
        <f>IF(AND(F158&lt;&gt;"",OR('Simplified Screening 1'!G49=0,'Simplified Screening 1'!G49="I Don't Know")),"Default","")</f>
        <v/>
      </c>
      <c r="B158" s="221" t="s">
        <v>306</v>
      </c>
      <c r="C158" s="221" t="str">
        <f>IF('Simplified Screening 1'!C49=0,"",'Simplified Screening 1'!C49)</f>
        <v/>
      </c>
      <c r="D158" s="221" t="str">
        <f>IF('Simplified Screening 1'!D49=0,"",'Simplified Screening 1'!D49)</f>
        <v/>
      </c>
      <c r="E158" s="221" t="str">
        <f>IF('Simplified Screening 1'!E49=0,"",'Simplified Screening 1'!E49)</f>
        <v/>
      </c>
      <c r="F158" s="221" t="str">
        <f>'Simplified Screening 1'!R49</f>
        <v/>
      </c>
      <c r="G158" s="272">
        <f>'Simplified Screening 1'!H49*'Simplified Screening 1'!L49*Conversions!$C$4</f>
        <v>0</v>
      </c>
      <c r="H158" s="272">
        <f>'Simplified Screening 1'!I49*'Simplified Screening 1'!M49*'Simplified Screening 1'!J49*Conversions!$C$4</f>
        <v>0</v>
      </c>
      <c r="I158" s="272">
        <f>'Simplified Screening 1'!K49*'Simplified Screening 1'!N49*(1-'Simplified Screening 1'!O49)*Conversions!$C$4</f>
        <v>0</v>
      </c>
      <c r="J158" s="325">
        <f>IF('Simplified Screening 1'!P49=0,0,'Simplified Screening 1'!P49)</f>
        <v>0</v>
      </c>
      <c r="K158" s="325">
        <f>IF(AND(OR('Simplified Screening 1'!G49=0,'Simplified Screening 1'!G49="I Don't Know"),F158&lt;&gt;""),J158*HLOOKUP(E158,'Equipment Assumptions'!$C$30:$Q$31,2,0),IF(F158="Non-HFC",0,J158))</f>
        <v>0</v>
      </c>
      <c r="L158" s="333">
        <f>IF($F158="",0,IF($A158="Default",$G158*VLOOKUP($F158,Lists!$C$72:$R$232,COLUMNS(Lists!$C$69:E$69),0)*VLOOKUP(BE$3,Conversions!$B$12:$E$34,4,0)*HLOOKUP($E158,'Equipment Assumptions'!$C$30:$Q$31,2,0),$G158*VLOOKUP($F158,Lists!$C$72:$R$232,COLUMNS(Lists!$C$69:E$69),0)*VLOOKUP(BE$3,Conversions!$B$12:$E$34,4,0)))</f>
        <v>0</v>
      </c>
      <c r="M158" s="333">
        <f>IF($F158="",0,IF($A158="Default",$G158*VLOOKUP($F158,Lists!$C$72:$R$232,COLUMNS(Lists!$C$69:F$69),0)*VLOOKUP(BF$3,Conversions!$B$12:$E$34,4,0)*HLOOKUP($E158,'Equipment Assumptions'!$C$30:$Q$31,2,0),$G158*VLOOKUP($F158,Lists!$C$72:$R$232,COLUMNS(Lists!$C$69:F$69),0)*VLOOKUP(BF$3,Conversions!$B$12:$E$34,4,0)))</f>
        <v>0</v>
      </c>
      <c r="N158" s="333">
        <f>IF($F158="",0,IF($A158="Default",$G158*VLOOKUP($F158,Lists!$C$72:$R$232,COLUMNS(Lists!$C$69:G$69),0)*VLOOKUP(BG$3,Conversions!$B$12:$E$34,4,0)*HLOOKUP($E158,'Equipment Assumptions'!$C$30:$Q$31,2,0),$G158*VLOOKUP($F158,Lists!$C$72:$R$232,COLUMNS(Lists!$C$69:G$69),0)*VLOOKUP(BG$3,Conversions!$B$12:$E$34,4,0)))</f>
        <v>0</v>
      </c>
      <c r="O158" s="333">
        <f>IF($F158="",0,IF($A158="Default",$G158*VLOOKUP($F158,Lists!$C$72:$R$232,COLUMNS(Lists!$C$69:H$69),0)*VLOOKUP(BH$3,Conversions!$B$12:$E$34,4,0)*HLOOKUP($E158,'Equipment Assumptions'!$C$30:$Q$31,2,0),$G158*VLOOKUP($F158,Lists!$C$72:$R$232,COLUMNS(Lists!$C$69:H$69),0)*VLOOKUP(BH$3,Conversions!$B$12:$E$34,4,0)))</f>
        <v>0</v>
      </c>
      <c r="P158" s="333">
        <f>IF($F158="",0,IF($A158="Default",$G158*VLOOKUP($F158,Lists!$C$72:$R$232,COLUMNS(Lists!$C$69:I$69),0)*VLOOKUP(BI$3,Conversions!$B$12:$E$34,4,0)*HLOOKUP($E158,'Equipment Assumptions'!$C$30:$Q$31,2,0),$G158*VLOOKUP($F158,Lists!$C$72:$R$232,COLUMNS(Lists!$C$69:I$69),0)*VLOOKUP(BI$3,Conversions!$B$12:$E$34,4,0)))</f>
        <v>0</v>
      </c>
      <c r="Q158" s="333">
        <f>IF($F158="",0,IF($A158="Default",$G158*VLOOKUP($F158,Lists!$C$72:$R$232,COLUMNS(Lists!$C$69:J$69),0)*VLOOKUP(BJ$3,Conversions!$B$12:$E$34,4,0)*HLOOKUP($E158,'Equipment Assumptions'!$C$30:$Q$31,2,0),$G158*VLOOKUP($F158,Lists!$C$72:$R$232,COLUMNS(Lists!$C$69:J$69),0)*VLOOKUP(BJ$3,Conversions!$B$12:$E$34,4,0)))</f>
        <v>0</v>
      </c>
      <c r="R158" s="333">
        <f>IF($F158="",0,IF($A158="Default",$G158*VLOOKUP($F158,Lists!$C$72:$R$232,COLUMNS(Lists!$C$69:K$69),0)*VLOOKUP(BK$3,Conversions!$B$12:$E$34,4,0)*HLOOKUP($E158,'Equipment Assumptions'!$C$30:$Q$31,2,0),$G158*VLOOKUP($F158,Lists!$C$72:$R$232,COLUMNS(Lists!$C$69:K$69),0)*VLOOKUP(BK$3,Conversions!$B$12:$E$34,4,0)))</f>
        <v>0</v>
      </c>
      <c r="S158" s="333">
        <f>IF($F158="",0,IF($A158="Default",$G158*VLOOKUP($F158,Lists!$C$72:$R$232,COLUMNS(Lists!$C$69:L$69),0)*VLOOKUP(BL$3,Conversions!$B$12:$E$34,4,0)*HLOOKUP($E158,'Equipment Assumptions'!$C$30:$Q$31,2,0),$G158*VLOOKUP($F158,Lists!$C$72:$R$232,COLUMNS(Lists!$C$69:L$69),0)*VLOOKUP(BL$3,Conversions!$B$12:$E$34,4,0)))</f>
        <v>0</v>
      </c>
      <c r="T158" s="333">
        <f>IF($F158="",0,IF($A158="Default",$G158*VLOOKUP($F158,Lists!$C$72:$R$232,COLUMNS(Lists!$C$69:M$69),0)*VLOOKUP(BM$3,Conversions!$B$12:$E$34,4,0)*HLOOKUP($E158,'Equipment Assumptions'!$C$30:$Q$31,2,0),$G158*VLOOKUP($F158,Lists!$C$72:$R$232,COLUMNS(Lists!$C$69:M$69),0)*VLOOKUP(BM$3,Conversions!$B$12:$E$34,4,0)))</f>
        <v>0</v>
      </c>
      <c r="U158" s="333">
        <f>IF($F158="",0,IF($A158="Default",$G158*VLOOKUP($F158,Lists!$C$72:$R$232,COLUMNS(Lists!$C$69:N$69),0)*VLOOKUP(BN$3,Conversions!$B$12:$E$34,4,0)*HLOOKUP($E158,'Equipment Assumptions'!$C$30:$Q$31,2,0),$G158*VLOOKUP($F158,Lists!$C$72:$R$232,COLUMNS(Lists!$C$69:N$69),0)*VLOOKUP(BN$3,Conversions!$B$12:$E$34,4,0)))</f>
        <v>0</v>
      </c>
      <c r="V158" s="333">
        <f>IF($F158="",0,IF($A158="Default",$G158*VLOOKUP($F158,Lists!$C$72:$R$232,COLUMNS(Lists!$C$69:O$69),0)*VLOOKUP(BO$3,Conversions!$B$12:$E$34,4,0)*HLOOKUP($E158,'Equipment Assumptions'!$C$30:$Q$31,2,0),$G158*VLOOKUP($F158,Lists!$C$72:$R$232,COLUMNS(Lists!$C$69:O$69),0)*VLOOKUP(BO$3,Conversions!$B$12:$E$34,4,0)))</f>
        <v>0</v>
      </c>
      <c r="W158" s="333">
        <f>IF($F158="",0,IF($A158="Default",$G158*VLOOKUP($F158,Lists!$C$72:$R$232,COLUMNS(Lists!$C$69:P$69),0)*VLOOKUP(BP$3,Conversions!$B$12:$E$34,4,0)*HLOOKUP($E158,'Equipment Assumptions'!$C$30:$Q$31,2,0),$G158*VLOOKUP($F158,Lists!$C$72:$R$232,COLUMNS(Lists!$C$69:P$69),0)*VLOOKUP(BP$3,Conversions!$B$12:$E$34,4,0)))</f>
        <v>0</v>
      </c>
      <c r="X158" s="333">
        <f>IF($F158="",0,IF($A158="Default",$G158*VLOOKUP($F158,Lists!$C$72:$R$232,COLUMNS(Lists!$C$69:Q$69),0)*VLOOKUP(BQ$3,Conversions!$B$12:$E$34,4,0)*HLOOKUP($E158,'Equipment Assumptions'!$C$30:$Q$31,2,0),$G158*VLOOKUP($F158,Lists!$C$72:$R$232,COLUMNS(Lists!$C$69:Q$69),0)*VLOOKUP(BQ$3,Conversions!$B$12:$E$34,4,0)))</f>
        <v>0</v>
      </c>
      <c r="Y158" s="333">
        <f>IF($F158="",0,IF($A158="Default",$G158*VLOOKUP($F158,Lists!$C$72:$R$232,COLUMNS(Lists!$C$69:R$69),0)*VLOOKUP(BR$3,Conversions!$B$12:$E$34,4,0)*HLOOKUP($E158,'Equipment Assumptions'!$C$30:$Q$31,2,0),$G158*VLOOKUP($F158,Lists!$C$72:$R$232,COLUMNS(Lists!$C$69:R$69),0)*VLOOKUP(BR$3,Conversions!$B$12:$E$34,4,0)))</f>
        <v>0</v>
      </c>
      <c r="Z158" s="325">
        <f t="shared" si="197"/>
        <v>0</v>
      </c>
      <c r="AA158" s="334">
        <f>IF($F158="",0,IF($A158="Default",$H158*VLOOKUP($F158,Lists!$C$72:$R$232,COLUMNS(Lists!$C$69:E$69),0)*VLOOKUP(BE$3,Conversions!$B$12:$E$34,4,0)*HLOOKUP($E158,'Equipment Assumptions'!$C$30:$Q$31,2,0),$H158*VLOOKUP($F158,Lists!$C$72:$R$232,COLUMNS(Lists!$C$69:E$69),0)*VLOOKUP(BE$3,Conversions!$B$12:$E$34,4,0)))</f>
        <v>0</v>
      </c>
      <c r="AB158" s="334">
        <f>IF($F158="",0,IF($A158="Default",$H158*VLOOKUP($F158,Lists!$C$72:$R$232,COLUMNS(Lists!$C$69:F$69),0)*VLOOKUP(BF$3,Conversions!$B$12:$E$34,4,0)*HLOOKUP($E158,'Equipment Assumptions'!$C$30:$Q$31,2,0),$H158*VLOOKUP($F158,Lists!$C$72:$R$232,COLUMNS(Lists!$C$69:F$69),0)*VLOOKUP(BF$3,Conversions!$B$12:$E$34,4,0)))</f>
        <v>0</v>
      </c>
      <c r="AC158" s="334">
        <f>IF($F158="",0,IF($A158="Default",$H158*VLOOKUP($F158,Lists!$C$72:$R$232,COLUMNS(Lists!$C$69:G$69),0)*VLOOKUP(BG$3,Conversions!$B$12:$E$34,4,0)*HLOOKUP($E158,'Equipment Assumptions'!$C$30:$Q$31,2,0),$H158*VLOOKUP($F158,Lists!$C$72:$R$232,COLUMNS(Lists!$C$69:G$69),0)*VLOOKUP(BG$3,Conversions!$B$12:$E$34,4,0)))</f>
        <v>0</v>
      </c>
      <c r="AD158" s="334">
        <f>IF($F158="",0,IF($A158="Default",$H158*VLOOKUP($F158,Lists!$C$72:$R$232,COLUMNS(Lists!$C$69:H$69),0)*VLOOKUP(BH$3,Conversions!$B$12:$E$34,4,0)*HLOOKUP($E158,'Equipment Assumptions'!$C$30:$Q$31,2,0),$H158*VLOOKUP($F158,Lists!$C$72:$R$232,COLUMNS(Lists!$C$69:H$69),0)*VLOOKUP(BH$3,Conversions!$B$12:$E$34,4,0)))</f>
        <v>0</v>
      </c>
      <c r="AE158" s="334">
        <f>IF($F158="",0,IF($A158="Default",$H158*VLOOKUP($F158,Lists!$C$72:$R$232,COLUMNS(Lists!$C$69:I$69),0)*VLOOKUP(BI$3,Conversions!$B$12:$E$34,4,0)*HLOOKUP($E158,'Equipment Assumptions'!$C$30:$Q$31,2,0),$H158*VLOOKUP($F158,Lists!$C$72:$R$232,COLUMNS(Lists!$C$69:I$69),0)*VLOOKUP(BI$3,Conversions!$B$12:$E$34,4,0)))</f>
        <v>0</v>
      </c>
      <c r="AF158" s="334">
        <f>IF($F158="",0,IF($A158="Default",$H158*VLOOKUP($F158,Lists!$C$72:$R$232,COLUMNS(Lists!$C$69:J$69),0)*VLOOKUP(BJ$3,Conversions!$B$12:$E$34,4,0)*HLOOKUP($E158,'Equipment Assumptions'!$C$30:$Q$31,2,0),$H158*VLOOKUP($F158,Lists!$C$72:$R$232,COLUMNS(Lists!$C$69:J$69),0)*VLOOKUP(BJ$3,Conversions!$B$12:$E$34,4,0)))</f>
        <v>0</v>
      </c>
      <c r="AG158" s="334">
        <f>IF($F158="",0,IF($A158="Default",$H158*VLOOKUP($F158,Lists!$C$72:$R$232,COLUMNS(Lists!$C$69:K$69),0)*VLOOKUP(BK$3,Conversions!$B$12:$E$34,4,0)*HLOOKUP($E158,'Equipment Assumptions'!$C$30:$Q$31,2,0),$H158*VLOOKUP($F158,Lists!$C$72:$R$232,COLUMNS(Lists!$C$69:K$69),0)*VLOOKUP(BK$3,Conversions!$B$12:$E$34,4,0)))</f>
        <v>0</v>
      </c>
      <c r="AH158" s="334">
        <f>IF($F158="",0,IF($A158="Default",$H158*VLOOKUP($F158,Lists!$C$72:$R$232,COLUMNS(Lists!$C$69:L$69),0)*VLOOKUP(BL$3,Conversions!$B$12:$E$34,4,0)*HLOOKUP($E158,'Equipment Assumptions'!$C$30:$Q$31,2,0),$H158*VLOOKUP($F158,Lists!$C$72:$R$232,COLUMNS(Lists!$C$69:L$69),0)*VLOOKUP(BL$3,Conversions!$B$12:$E$34,4,0)))</f>
        <v>0</v>
      </c>
      <c r="AI158" s="334">
        <f>IF($F158="",0,IF($A158="Default",$H158*VLOOKUP($F158,Lists!$C$72:$R$232,COLUMNS(Lists!$C$69:M$69),0)*VLOOKUP(BM$3,Conversions!$B$12:$E$34,4,0)*HLOOKUP($E158,'Equipment Assumptions'!$C$30:$Q$31,2,0),$H158*VLOOKUP($F158,Lists!$C$72:$R$232,COLUMNS(Lists!$C$69:M$69),0)*VLOOKUP(BM$3,Conversions!$B$12:$E$34,4,0)))</f>
        <v>0</v>
      </c>
      <c r="AJ158" s="334">
        <f>IF($F158="",0,IF($A158="Default",$H158*VLOOKUP($F158,Lists!$C$72:$R$232,COLUMNS(Lists!$C$69:N$69),0)*VLOOKUP(BN$3,Conversions!$B$12:$E$34,4,0)*HLOOKUP($E158,'Equipment Assumptions'!$C$30:$Q$31,2,0),$H158*VLOOKUP($F158,Lists!$C$72:$R$232,COLUMNS(Lists!$C$69:N$69),0)*VLOOKUP(BN$3,Conversions!$B$12:$E$34,4,0)))</f>
        <v>0</v>
      </c>
      <c r="AK158" s="334">
        <f>IF($F158="",0,IF($A158="Default",$H158*VLOOKUP($F158,Lists!$C$72:$R$232,COLUMNS(Lists!$C$69:O$69),0)*VLOOKUP(BO$3,Conversions!$B$12:$E$34,4,0)*HLOOKUP($E158,'Equipment Assumptions'!$C$30:$Q$31,2,0),$H158*VLOOKUP($F158,Lists!$C$72:$R$232,COLUMNS(Lists!$C$69:O$69),0)*VLOOKUP(BO$3,Conversions!$B$12:$E$34,4,0)))</f>
        <v>0</v>
      </c>
      <c r="AL158" s="334">
        <f>IF($F158="",0,IF($A158="Default",$H158*VLOOKUP($F158,Lists!$C$72:$R$232,COLUMNS(Lists!$C$69:P$69),0)*VLOOKUP(BP$3,Conversions!$B$12:$E$34,4,0)*HLOOKUP($E158,'Equipment Assumptions'!$C$30:$Q$31,2,0),$H158*VLOOKUP($F158,Lists!$C$72:$R$232,COLUMNS(Lists!$C$69:P$69),0)*VLOOKUP(BP$3,Conversions!$B$12:$E$34,4,0)))</f>
        <v>0</v>
      </c>
      <c r="AM158" s="334">
        <f>IF($F158="",0,IF($A158="Default",$H158*VLOOKUP($F158,Lists!$C$72:$R$232,COLUMNS(Lists!$C$69:Q$69),0)*VLOOKUP(BQ$3,Conversions!$B$12:$E$34,4,0)*HLOOKUP($E158,'Equipment Assumptions'!$C$30:$Q$31,2,0),$H158*VLOOKUP($F158,Lists!$C$72:$R$232,COLUMNS(Lists!$C$69:Q$69),0)*VLOOKUP(BQ$3,Conversions!$B$12:$E$34,4,0)))</f>
        <v>0</v>
      </c>
      <c r="AN158" s="334">
        <f>IF($F158="",0,IF($A158="Default",$H158*VLOOKUP($F158,Lists!$C$72:$R$232,COLUMNS(Lists!$C$69:R$69),0)*VLOOKUP(BR$3,Conversions!$B$12:$E$34,4,0)*HLOOKUP($E158,'Equipment Assumptions'!$C$30:$Q$31,2,0),$H158*VLOOKUP($F158,Lists!$C$72:$R$232,COLUMNS(Lists!$C$69:R$69),0)*VLOOKUP(BR$3,Conversions!$B$12:$E$34,4,0)))</f>
        <v>0</v>
      </c>
      <c r="AO158" s="330">
        <f t="shared" si="198"/>
        <v>0</v>
      </c>
      <c r="AP158" s="333">
        <f>IF($F158="",0,IF($A158="Default",$I158*VLOOKUP($F158,Lists!$C$72:$R$232,COLUMNS(Lists!$C$69:E$69),0)*VLOOKUP(BE$3,Conversions!$B$12:$E$34,4,0)*HLOOKUP($E158,'Equipment Assumptions'!$C$30:$Q$31,2,0),$I158*VLOOKUP($F158,Lists!$C$72:$R$232,COLUMNS(Lists!$C$69:E$69),0)*VLOOKUP(BE$3,Conversions!$B$12:$E$34,4,0)))</f>
        <v>0</v>
      </c>
      <c r="AQ158" s="333">
        <f>IF($F158="",0,IF($A158="Default",$I158*VLOOKUP($F158,Lists!$C$72:$R$232,COLUMNS(Lists!$C$69:F$69),0)*VLOOKUP(BF$3,Conversions!$B$12:$E$34,4,0)*HLOOKUP($E158,'Equipment Assumptions'!$C$30:$Q$31,2,0),$I158*VLOOKUP($F158,Lists!$C$72:$R$232,COLUMNS(Lists!$C$69:F$69),0)*VLOOKUP(BF$3,Conversions!$B$12:$E$34,4,0)))</f>
        <v>0</v>
      </c>
      <c r="AR158" s="333">
        <f>IF($F158="",0,IF($A158="Default",$I158*VLOOKUP($F158,Lists!$C$72:$R$232,COLUMNS(Lists!$C$69:G$69),0)*VLOOKUP(BG$3,Conversions!$B$12:$E$34,4,0)*HLOOKUP($E158,'Equipment Assumptions'!$C$30:$Q$31,2,0),$I158*VLOOKUP($F158,Lists!$C$72:$R$232,COLUMNS(Lists!$C$69:G$69),0)*VLOOKUP(BG$3,Conversions!$B$12:$E$34,4,0)))</f>
        <v>0</v>
      </c>
      <c r="AS158" s="333">
        <f>IF($F158="",0,IF($A158="Default",$I158*VLOOKUP($F158,Lists!$C$72:$R$232,COLUMNS(Lists!$C$69:H$69),0)*VLOOKUP(BH$3,Conversions!$B$12:$E$34,4,0)*HLOOKUP($E158,'Equipment Assumptions'!$C$30:$Q$31,2,0),$I158*VLOOKUP($F158,Lists!$C$72:$R$232,COLUMNS(Lists!$C$69:H$69),0)*VLOOKUP(BH$3,Conversions!$B$12:$E$34,4,0)))</f>
        <v>0</v>
      </c>
      <c r="AT158" s="333">
        <f>IF($F158="",0,IF($A158="Default",$I158*VLOOKUP($F158,Lists!$C$72:$R$232,COLUMNS(Lists!$C$69:I$69),0)*VLOOKUP(BI$3,Conversions!$B$12:$E$34,4,0)*HLOOKUP($E158,'Equipment Assumptions'!$C$30:$Q$31,2,0),$I158*VLOOKUP($F158,Lists!$C$72:$R$232,COLUMNS(Lists!$C$69:I$69),0)*VLOOKUP(BI$3,Conversions!$B$12:$E$34,4,0)))</f>
        <v>0</v>
      </c>
      <c r="AU158" s="333">
        <f>IF($F158="",0,IF($A158="Default",$I158*VLOOKUP($F158,Lists!$C$72:$R$232,COLUMNS(Lists!$C$69:J$69),0)*VLOOKUP(BJ$3,Conversions!$B$12:$E$34,4,0)*HLOOKUP($E158,'Equipment Assumptions'!$C$30:$Q$31,2,0),$I158*VLOOKUP($F158,Lists!$C$72:$R$232,COLUMNS(Lists!$C$69:J$69),0)*VLOOKUP(BJ$3,Conversions!$B$12:$E$34,4,0)))</f>
        <v>0</v>
      </c>
      <c r="AV158" s="333">
        <f>IF($F158="",0,IF($A158="Default",$I158*VLOOKUP($F158,Lists!$C$72:$R$232,COLUMNS(Lists!$C$69:K$69),0)*VLOOKUP(BK$3,Conversions!$B$12:$E$34,4,0)*HLOOKUP($E158,'Equipment Assumptions'!$C$30:$Q$31,2,0),$I158*VLOOKUP($F158,Lists!$C$72:$R$232,COLUMNS(Lists!$C$69:K$69),0)*VLOOKUP(BK$3,Conversions!$B$12:$E$34,4,0)))</f>
        <v>0</v>
      </c>
      <c r="AW158" s="333">
        <f>IF($F158="",0,IF($A158="Default",$I158*VLOOKUP($F158,Lists!$C$72:$R$232,COLUMNS(Lists!$C$69:L$69),0)*VLOOKUP(BL$3,Conversions!$B$12:$E$34,4,0)*HLOOKUP($E158,'Equipment Assumptions'!$C$30:$Q$31,2,0),$I158*VLOOKUP($F158,Lists!$C$72:$R$232,COLUMNS(Lists!$C$69:L$69),0)*VLOOKUP(BL$3,Conversions!$B$12:$E$34,4,0)))</f>
        <v>0</v>
      </c>
      <c r="AX158" s="333">
        <f>IF($F158="",0,IF($A158="Default",$I158*VLOOKUP($F158,Lists!$C$72:$R$232,COLUMNS(Lists!$C$69:M$69),0)*VLOOKUP(BM$3,Conversions!$B$12:$E$34,4,0)*HLOOKUP($E158,'Equipment Assumptions'!$C$30:$Q$31,2,0),$I158*VLOOKUP($F158,Lists!$C$72:$R$232,COLUMNS(Lists!$C$69:M$69),0)*VLOOKUP(BM$3,Conversions!$B$12:$E$34,4,0)))</f>
        <v>0</v>
      </c>
      <c r="AY158" s="333">
        <f>IF($F158="",0,IF($A158="Default",$I158*VLOOKUP($F158,Lists!$C$72:$R$232,COLUMNS(Lists!$C$69:N$69),0)*VLOOKUP(BN$3,Conversions!$B$12:$E$34,4,0)*HLOOKUP($E158,'Equipment Assumptions'!$C$30:$Q$31,2,0),$I158*VLOOKUP($F158,Lists!$C$72:$R$232,COLUMNS(Lists!$C$69:N$69),0)*VLOOKUP(BN$3,Conversions!$B$12:$E$34,4,0)))</f>
        <v>0</v>
      </c>
      <c r="AZ158" s="333">
        <f>IF($F158="",0,IF($A158="Default",$I158*VLOOKUP($F158,Lists!$C$72:$R$232,COLUMNS(Lists!$C$69:O$69),0)*VLOOKUP(BO$3,Conversions!$B$12:$E$34,4,0)*HLOOKUP($E158,'Equipment Assumptions'!$C$30:$Q$31,2,0),$I158*VLOOKUP($F158,Lists!$C$72:$R$232,COLUMNS(Lists!$C$69:O$69),0)*VLOOKUP(BO$3,Conversions!$B$12:$E$34,4,0)))</f>
        <v>0</v>
      </c>
      <c r="BA158" s="333">
        <f>IF($F158="",0,IF($A158="Default",$I158*VLOOKUP($F158,Lists!$C$72:$R$232,COLUMNS(Lists!$C$69:P$69),0)*VLOOKUP(BP$3,Conversions!$B$12:$E$34,4,0)*HLOOKUP($E158,'Equipment Assumptions'!$C$30:$Q$31,2,0),$I158*VLOOKUP($F158,Lists!$C$72:$R$232,COLUMNS(Lists!$C$69:P$69),0)*VLOOKUP(BP$3,Conversions!$B$12:$E$34,4,0)))</f>
        <v>0</v>
      </c>
      <c r="BB158" s="333">
        <f>IF($F158="",0,IF($A158="Default",$I158*VLOOKUP($F158,Lists!$C$72:$R$232,COLUMNS(Lists!$C$69:Q$69),0)*VLOOKUP(BQ$3,Conversions!$B$12:$E$34,4,0)*HLOOKUP($E158,'Equipment Assumptions'!$C$30:$Q$31,2,0),$I158*VLOOKUP($F158,Lists!$C$72:$R$232,COLUMNS(Lists!$C$69:Q$69),0)*VLOOKUP(BQ$3,Conversions!$B$12:$E$34,4,0)))</f>
        <v>0</v>
      </c>
      <c r="BC158" s="333">
        <f>IF($F158="",0,IF($A158="Default",$I158*VLOOKUP($F158,Lists!$C$72:$R$232,COLUMNS(Lists!$C$69:R$69),0)*VLOOKUP(BR$3,Conversions!$B$12:$E$34,4,0)*HLOOKUP($E158,'Equipment Assumptions'!$C$30:$Q$31,2,0),$I158*VLOOKUP($F158,Lists!$C$72:$R$232,COLUMNS(Lists!$C$69:R$69),0)*VLOOKUP(BR$3,Conversions!$B$12:$E$34,4,0)))</f>
        <v>0</v>
      </c>
      <c r="BD158" s="333">
        <f t="shared" si="199"/>
        <v>0</v>
      </c>
      <c r="BE158" s="330">
        <f t="shared" si="145"/>
        <v>0</v>
      </c>
      <c r="BF158" s="330">
        <f t="shared" si="146"/>
        <v>0</v>
      </c>
      <c r="BG158" s="330">
        <f t="shared" si="147"/>
        <v>0</v>
      </c>
      <c r="BH158" s="330">
        <f t="shared" si="148"/>
        <v>0</v>
      </c>
      <c r="BI158" s="330">
        <f t="shared" si="149"/>
        <v>0</v>
      </c>
      <c r="BJ158" s="330">
        <f t="shared" si="150"/>
        <v>0</v>
      </c>
      <c r="BK158" s="330">
        <f t="shared" si="151"/>
        <v>0</v>
      </c>
      <c r="BL158" s="330">
        <f t="shared" si="152"/>
        <v>0</v>
      </c>
      <c r="BM158" s="330">
        <f t="shared" si="153"/>
        <v>0</v>
      </c>
      <c r="BN158" s="330">
        <f t="shared" si="154"/>
        <v>0</v>
      </c>
      <c r="BO158" s="330">
        <f t="shared" si="155"/>
        <v>0</v>
      </c>
      <c r="BP158" s="330">
        <f t="shared" si="156"/>
        <v>0</v>
      </c>
      <c r="BQ158" s="330">
        <f t="shared" si="157"/>
        <v>0</v>
      </c>
      <c r="BR158" s="330">
        <f t="shared" si="158"/>
        <v>0</v>
      </c>
      <c r="BS158" s="330">
        <f t="shared" si="159"/>
        <v>0</v>
      </c>
      <c r="BT158" s="329">
        <f t="shared" si="210"/>
        <v>0</v>
      </c>
      <c r="BU158" s="329">
        <f t="shared" si="210"/>
        <v>0</v>
      </c>
      <c r="BV158" s="329">
        <f t="shared" si="210"/>
        <v>0</v>
      </c>
      <c r="BW158" s="329">
        <f t="shared" si="210"/>
        <v>0</v>
      </c>
      <c r="BX158" s="329">
        <f t="shared" si="210"/>
        <v>0</v>
      </c>
      <c r="BY158" s="329">
        <f t="shared" si="210"/>
        <v>0</v>
      </c>
      <c r="BZ158" s="329">
        <f t="shared" si="210"/>
        <v>0</v>
      </c>
      <c r="CA158" s="329">
        <f t="shared" si="210"/>
        <v>0</v>
      </c>
      <c r="CB158" s="329">
        <f t="shared" si="210"/>
        <v>0</v>
      </c>
      <c r="CC158" s="329">
        <f t="shared" si="210"/>
        <v>0</v>
      </c>
      <c r="CD158" s="329">
        <f t="shared" si="210"/>
        <v>0</v>
      </c>
      <c r="CE158" s="329">
        <f t="shared" si="210"/>
        <v>0</v>
      </c>
      <c r="CF158" s="329">
        <f t="shared" si="210"/>
        <v>0</v>
      </c>
      <c r="CG158" s="329">
        <f t="shared" si="210"/>
        <v>0</v>
      </c>
      <c r="CH158" s="329">
        <f t="shared" si="210"/>
        <v>0</v>
      </c>
      <c r="CI158" s="329">
        <f t="shared" si="210"/>
        <v>0</v>
      </c>
      <c r="CJ158" s="331">
        <f t="shared" si="200"/>
        <v>0</v>
      </c>
      <c r="CK158" s="330">
        <f t="shared" si="201"/>
        <v>0</v>
      </c>
      <c r="CL158" s="330">
        <f t="shared" si="202"/>
        <v>0</v>
      </c>
      <c r="CM158" s="330">
        <f t="shared" si="203"/>
        <v>0</v>
      </c>
      <c r="CN158" s="330">
        <f t="shared" si="204"/>
        <v>0</v>
      </c>
      <c r="CO158" s="330">
        <f t="shared" si="205"/>
        <v>0</v>
      </c>
      <c r="CP158" s="330">
        <f t="shared" si="206"/>
        <v>0</v>
      </c>
      <c r="CQ158" s="330">
        <f t="shared" si="186"/>
        <v>0</v>
      </c>
      <c r="CR158" s="330">
        <f t="shared" si="207"/>
        <v>0</v>
      </c>
      <c r="CS158" s="330">
        <f t="shared" si="208"/>
        <v>0</v>
      </c>
      <c r="CT158" s="330">
        <f t="shared" si="209"/>
        <v>0</v>
      </c>
      <c r="CU158" s="330">
        <f t="shared" si="211"/>
        <v>0</v>
      </c>
      <c r="CV158" s="330">
        <f t="shared" si="211"/>
        <v>0</v>
      </c>
      <c r="CW158" s="330">
        <f t="shared" si="211"/>
        <v>0</v>
      </c>
      <c r="CX158" s="330">
        <f t="shared" si="211"/>
        <v>0</v>
      </c>
      <c r="CY158" s="330">
        <f t="shared" si="211"/>
        <v>0</v>
      </c>
      <c r="CZ158" s="330">
        <f t="shared" si="211"/>
        <v>0</v>
      </c>
      <c r="DA158" s="330">
        <f t="shared" si="211"/>
        <v>0</v>
      </c>
      <c r="DB158" s="330">
        <f t="shared" si="211"/>
        <v>0</v>
      </c>
      <c r="DC158" s="330">
        <f t="shared" si="211"/>
        <v>0</v>
      </c>
      <c r="DD158" s="330">
        <f t="shared" si="211"/>
        <v>0</v>
      </c>
      <c r="DE158" s="330">
        <f t="shared" si="212"/>
        <v>0</v>
      </c>
      <c r="DF158" s="330">
        <f t="shared" si="212"/>
        <v>0</v>
      </c>
      <c r="DG158" s="330">
        <f t="shared" si="212"/>
        <v>0</v>
      </c>
      <c r="DH158" s="330">
        <f t="shared" si="212"/>
        <v>0</v>
      </c>
      <c r="DI158" s="330">
        <f t="shared" si="212"/>
        <v>0</v>
      </c>
      <c r="DJ158" s="330">
        <f t="shared" si="212"/>
        <v>0</v>
      </c>
      <c r="DK158" s="330">
        <f t="shared" si="212"/>
        <v>0</v>
      </c>
      <c r="DL158" s="330">
        <f t="shared" si="212"/>
        <v>0</v>
      </c>
      <c r="DM158" s="330">
        <f t="shared" si="212"/>
        <v>0</v>
      </c>
      <c r="DN158" s="330">
        <f t="shared" si="212"/>
        <v>0</v>
      </c>
      <c r="DO158" s="330">
        <f t="shared" si="212"/>
        <v>0</v>
      </c>
      <c r="DP158" s="330">
        <f t="shared" si="213"/>
        <v>0</v>
      </c>
      <c r="DQ158" s="217"/>
      <c r="DR158" s="217"/>
      <c r="DS158" s="217"/>
      <c r="DT158" s="217"/>
    </row>
    <row r="159" spans="1:124" x14ac:dyDescent="0.3">
      <c r="A159" s="332" t="str">
        <f>IF(AND(F159&lt;&gt;"",OR('Simplified Screening 1'!G50=0,'Simplified Screening 1'!G50="I Don't Know")),"Default","")</f>
        <v/>
      </c>
      <c r="B159" s="221" t="s">
        <v>306</v>
      </c>
      <c r="C159" s="221" t="str">
        <f>IF('Simplified Screening 1'!C50=0,"",'Simplified Screening 1'!C50)</f>
        <v/>
      </c>
      <c r="D159" s="221" t="str">
        <f>IF('Simplified Screening 1'!D50=0,"",'Simplified Screening 1'!D50)</f>
        <v/>
      </c>
      <c r="E159" s="221" t="str">
        <f>IF('Simplified Screening 1'!E50=0,"",'Simplified Screening 1'!E50)</f>
        <v/>
      </c>
      <c r="F159" s="221" t="str">
        <f>'Simplified Screening 1'!R50</f>
        <v/>
      </c>
      <c r="G159" s="272">
        <f>'Simplified Screening 1'!H50*'Simplified Screening 1'!L50*Conversions!$C$4</f>
        <v>0</v>
      </c>
      <c r="H159" s="272">
        <f>'Simplified Screening 1'!I50*'Simplified Screening 1'!M50*'Simplified Screening 1'!J50*Conversions!$C$4</f>
        <v>0</v>
      </c>
      <c r="I159" s="272">
        <f>'Simplified Screening 1'!K50*'Simplified Screening 1'!N50*(1-'Simplified Screening 1'!O50)*Conversions!$C$4</f>
        <v>0</v>
      </c>
      <c r="J159" s="325">
        <f>IF('Simplified Screening 1'!P50=0,0,'Simplified Screening 1'!P50)</f>
        <v>0</v>
      </c>
      <c r="K159" s="325">
        <f>IF(AND(OR('Simplified Screening 1'!G50=0,'Simplified Screening 1'!G50="I Don't Know"),F159&lt;&gt;""),J159*HLOOKUP(E159,'Equipment Assumptions'!$C$30:$Q$31,2,0),IF(F159="Non-HFC",0,J159))</f>
        <v>0</v>
      </c>
      <c r="L159" s="333">
        <f>IF($F159="",0,IF($A159="Default",$G159*VLOOKUP($F159,Lists!$C$72:$R$232,COLUMNS(Lists!$C$69:E$69),0)*VLOOKUP(BE$3,Conversions!$B$12:$E$34,4,0)*HLOOKUP($E159,'Equipment Assumptions'!$C$30:$Q$31,2,0),$G159*VLOOKUP($F159,Lists!$C$72:$R$232,COLUMNS(Lists!$C$69:E$69),0)*VLOOKUP(BE$3,Conversions!$B$12:$E$34,4,0)))</f>
        <v>0</v>
      </c>
      <c r="M159" s="333">
        <f>IF($F159="",0,IF($A159="Default",$G159*VLOOKUP($F159,Lists!$C$72:$R$232,COLUMNS(Lists!$C$69:F$69),0)*VLOOKUP(BF$3,Conversions!$B$12:$E$34,4,0)*HLOOKUP($E159,'Equipment Assumptions'!$C$30:$Q$31,2,0),$G159*VLOOKUP($F159,Lists!$C$72:$R$232,COLUMNS(Lists!$C$69:F$69),0)*VLOOKUP(BF$3,Conversions!$B$12:$E$34,4,0)))</f>
        <v>0</v>
      </c>
      <c r="N159" s="333">
        <f>IF($F159="",0,IF($A159="Default",$G159*VLOOKUP($F159,Lists!$C$72:$R$232,COLUMNS(Lists!$C$69:G$69),0)*VLOOKUP(BG$3,Conversions!$B$12:$E$34,4,0)*HLOOKUP($E159,'Equipment Assumptions'!$C$30:$Q$31,2,0),$G159*VLOOKUP($F159,Lists!$C$72:$R$232,COLUMNS(Lists!$C$69:G$69),0)*VLOOKUP(BG$3,Conversions!$B$12:$E$34,4,0)))</f>
        <v>0</v>
      </c>
      <c r="O159" s="333">
        <f>IF($F159="",0,IF($A159="Default",$G159*VLOOKUP($F159,Lists!$C$72:$R$232,COLUMNS(Lists!$C$69:H$69),0)*VLOOKUP(BH$3,Conversions!$B$12:$E$34,4,0)*HLOOKUP($E159,'Equipment Assumptions'!$C$30:$Q$31,2,0),$G159*VLOOKUP($F159,Lists!$C$72:$R$232,COLUMNS(Lists!$C$69:H$69),0)*VLOOKUP(BH$3,Conversions!$B$12:$E$34,4,0)))</f>
        <v>0</v>
      </c>
      <c r="P159" s="333">
        <f>IF($F159="",0,IF($A159="Default",$G159*VLOOKUP($F159,Lists!$C$72:$R$232,COLUMNS(Lists!$C$69:I$69),0)*VLOOKUP(BI$3,Conversions!$B$12:$E$34,4,0)*HLOOKUP($E159,'Equipment Assumptions'!$C$30:$Q$31,2,0),$G159*VLOOKUP($F159,Lists!$C$72:$R$232,COLUMNS(Lists!$C$69:I$69),0)*VLOOKUP(BI$3,Conversions!$B$12:$E$34,4,0)))</f>
        <v>0</v>
      </c>
      <c r="Q159" s="333">
        <f>IF($F159="",0,IF($A159="Default",$G159*VLOOKUP($F159,Lists!$C$72:$R$232,COLUMNS(Lists!$C$69:J$69),0)*VLOOKUP(BJ$3,Conversions!$B$12:$E$34,4,0)*HLOOKUP($E159,'Equipment Assumptions'!$C$30:$Q$31,2,0),$G159*VLOOKUP($F159,Lists!$C$72:$R$232,COLUMNS(Lists!$C$69:J$69),0)*VLOOKUP(BJ$3,Conversions!$B$12:$E$34,4,0)))</f>
        <v>0</v>
      </c>
      <c r="R159" s="333">
        <f>IF($F159="",0,IF($A159="Default",$G159*VLOOKUP($F159,Lists!$C$72:$R$232,COLUMNS(Lists!$C$69:K$69),0)*VLOOKUP(BK$3,Conversions!$B$12:$E$34,4,0)*HLOOKUP($E159,'Equipment Assumptions'!$C$30:$Q$31,2,0),$G159*VLOOKUP($F159,Lists!$C$72:$R$232,COLUMNS(Lists!$C$69:K$69),0)*VLOOKUP(BK$3,Conversions!$B$12:$E$34,4,0)))</f>
        <v>0</v>
      </c>
      <c r="S159" s="333">
        <f>IF($F159="",0,IF($A159="Default",$G159*VLOOKUP($F159,Lists!$C$72:$R$232,COLUMNS(Lists!$C$69:L$69),0)*VLOOKUP(BL$3,Conversions!$B$12:$E$34,4,0)*HLOOKUP($E159,'Equipment Assumptions'!$C$30:$Q$31,2,0),$G159*VLOOKUP($F159,Lists!$C$72:$R$232,COLUMNS(Lists!$C$69:L$69),0)*VLOOKUP(BL$3,Conversions!$B$12:$E$34,4,0)))</f>
        <v>0</v>
      </c>
      <c r="T159" s="333">
        <f>IF($F159="",0,IF($A159="Default",$G159*VLOOKUP($F159,Lists!$C$72:$R$232,COLUMNS(Lists!$C$69:M$69),0)*VLOOKUP(BM$3,Conversions!$B$12:$E$34,4,0)*HLOOKUP($E159,'Equipment Assumptions'!$C$30:$Q$31,2,0),$G159*VLOOKUP($F159,Lists!$C$72:$R$232,COLUMNS(Lists!$C$69:M$69),0)*VLOOKUP(BM$3,Conversions!$B$12:$E$34,4,0)))</f>
        <v>0</v>
      </c>
      <c r="U159" s="333">
        <f>IF($F159="",0,IF($A159="Default",$G159*VLOOKUP($F159,Lists!$C$72:$R$232,COLUMNS(Lists!$C$69:N$69),0)*VLOOKUP(BN$3,Conversions!$B$12:$E$34,4,0)*HLOOKUP($E159,'Equipment Assumptions'!$C$30:$Q$31,2,0),$G159*VLOOKUP($F159,Lists!$C$72:$R$232,COLUMNS(Lists!$C$69:N$69),0)*VLOOKUP(BN$3,Conversions!$B$12:$E$34,4,0)))</f>
        <v>0</v>
      </c>
      <c r="V159" s="333">
        <f>IF($F159="",0,IF($A159="Default",$G159*VLOOKUP($F159,Lists!$C$72:$R$232,COLUMNS(Lists!$C$69:O$69),0)*VLOOKUP(BO$3,Conversions!$B$12:$E$34,4,0)*HLOOKUP($E159,'Equipment Assumptions'!$C$30:$Q$31,2,0),$G159*VLOOKUP($F159,Lists!$C$72:$R$232,COLUMNS(Lists!$C$69:O$69),0)*VLOOKUP(BO$3,Conversions!$B$12:$E$34,4,0)))</f>
        <v>0</v>
      </c>
      <c r="W159" s="333">
        <f>IF($F159="",0,IF($A159="Default",$G159*VLOOKUP($F159,Lists!$C$72:$R$232,COLUMNS(Lists!$C$69:P$69),0)*VLOOKUP(BP$3,Conversions!$B$12:$E$34,4,0)*HLOOKUP($E159,'Equipment Assumptions'!$C$30:$Q$31,2,0),$G159*VLOOKUP($F159,Lists!$C$72:$R$232,COLUMNS(Lists!$C$69:P$69),0)*VLOOKUP(BP$3,Conversions!$B$12:$E$34,4,0)))</f>
        <v>0</v>
      </c>
      <c r="X159" s="333">
        <f>IF($F159="",0,IF($A159="Default",$G159*VLOOKUP($F159,Lists!$C$72:$R$232,COLUMNS(Lists!$C$69:Q$69),0)*VLOOKUP(BQ$3,Conversions!$B$12:$E$34,4,0)*HLOOKUP($E159,'Equipment Assumptions'!$C$30:$Q$31,2,0),$G159*VLOOKUP($F159,Lists!$C$72:$R$232,COLUMNS(Lists!$C$69:Q$69),0)*VLOOKUP(BQ$3,Conversions!$B$12:$E$34,4,0)))</f>
        <v>0</v>
      </c>
      <c r="Y159" s="333">
        <f>IF($F159="",0,IF($A159="Default",$G159*VLOOKUP($F159,Lists!$C$72:$R$232,COLUMNS(Lists!$C$69:R$69),0)*VLOOKUP(BR$3,Conversions!$B$12:$E$34,4,0)*HLOOKUP($E159,'Equipment Assumptions'!$C$30:$Q$31,2,0),$G159*VLOOKUP($F159,Lists!$C$72:$R$232,COLUMNS(Lists!$C$69:R$69),0)*VLOOKUP(BR$3,Conversions!$B$12:$E$34,4,0)))</f>
        <v>0</v>
      </c>
      <c r="Z159" s="325">
        <f t="shared" si="197"/>
        <v>0</v>
      </c>
      <c r="AA159" s="334">
        <f>IF($F159="",0,IF($A159="Default",$H159*VLOOKUP($F159,Lists!$C$72:$R$232,COLUMNS(Lists!$C$69:E$69),0)*VLOOKUP(BE$3,Conversions!$B$12:$E$34,4,0)*HLOOKUP($E159,'Equipment Assumptions'!$C$30:$Q$31,2,0),$H159*VLOOKUP($F159,Lists!$C$72:$R$232,COLUMNS(Lists!$C$69:E$69),0)*VLOOKUP(BE$3,Conversions!$B$12:$E$34,4,0)))</f>
        <v>0</v>
      </c>
      <c r="AB159" s="334">
        <f>IF($F159="",0,IF($A159="Default",$H159*VLOOKUP($F159,Lists!$C$72:$R$232,COLUMNS(Lists!$C$69:F$69),0)*VLOOKUP(BF$3,Conversions!$B$12:$E$34,4,0)*HLOOKUP($E159,'Equipment Assumptions'!$C$30:$Q$31,2,0),$H159*VLOOKUP($F159,Lists!$C$72:$R$232,COLUMNS(Lists!$C$69:F$69),0)*VLOOKUP(BF$3,Conversions!$B$12:$E$34,4,0)))</f>
        <v>0</v>
      </c>
      <c r="AC159" s="334">
        <f>IF($F159="",0,IF($A159="Default",$H159*VLOOKUP($F159,Lists!$C$72:$R$232,COLUMNS(Lists!$C$69:G$69),0)*VLOOKUP(BG$3,Conversions!$B$12:$E$34,4,0)*HLOOKUP($E159,'Equipment Assumptions'!$C$30:$Q$31,2,0),$H159*VLOOKUP($F159,Lists!$C$72:$R$232,COLUMNS(Lists!$C$69:G$69),0)*VLOOKUP(BG$3,Conversions!$B$12:$E$34,4,0)))</f>
        <v>0</v>
      </c>
      <c r="AD159" s="334">
        <f>IF($F159="",0,IF($A159="Default",$H159*VLOOKUP($F159,Lists!$C$72:$R$232,COLUMNS(Lists!$C$69:H$69),0)*VLOOKUP(BH$3,Conversions!$B$12:$E$34,4,0)*HLOOKUP($E159,'Equipment Assumptions'!$C$30:$Q$31,2,0),$H159*VLOOKUP($F159,Lists!$C$72:$R$232,COLUMNS(Lists!$C$69:H$69),0)*VLOOKUP(BH$3,Conversions!$B$12:$E$34,4,0)))</f>
        <v>0</v>
      </c>
      <c r="AE159" s="334">
        <f>IF($F159="",0,IF($A159="Default",$H159*VLOOKUP($F159,Lists!$C$72:$R$232,COLUMNS(Lists!$C$69:I$69),0)*VLOOKUP(BI$3,Conversions!$B$12:$E$34,4,0)*HLOOKUP($E159,'Equipment Assumptions'!$C$30:$Q$31,2,0),$H159*VLOOKUP($F159,Lists!$C$72:$R$232,COLUMNS(Lists!$C$69:I$69),0)*VLOOKUP(BI$3,Conversions!$B$12:$E$34,4,0)))</f>
        <v>0</v>
      </c>
      <c r="AF159" s="334">
        <f>IF($F159="",0,IF($A159="Default",$H159*VLOOKUP($F159,Lists!$C$72:$R$232,COLUMNS(Lists!$C$69:J$69),0)*VLOOKUP(BJ$3,Conversions!$B$12:$E$34,4,0)*HLOOKUP($E159,'Equipment Assumptions'!$C$30:$Q$31,2,0),$H159*VLOOKUP($F159,Lists!$C$72:$R$232,COLUMNS(Lists!$C$69:J$69),0)*VLOOKUP(BJ$3,Conversions!$B$12:$E$34,4,0)))</f>
        <v>0</v>
      </c>
      <c r="AG159" s="334">
        <f>IF($F159="",0,IF($A159="Default",$H159*VLOOKUP($F159,Lists!$C$72:$R$232,COLUMNS(Lists!$C$69:K$69),0)*VLOOKUP(BK$3,Conversions!$B$12:$E$34,4,0)*HLOOKUP($E159,'Equipment Assumptions'!$C$30:$Q$31,2,0),$H159*VLOOKUP($F159,Lists!$C$72:$R$232,COLUMNS(Lists!$C$69:K$69),0)*VLOOKUP(BK$3,Conversions!$B$12:$E$34,4,0)))</f>
        <v>0</v>
      </c>
      <c r="AH159" s="334">
        <f>IF($F159="",0,IF($A159="Default",$H159*VLOOKUP($F159,Lists!$C$72:$R$232,COLUMNS(Lists!$C$69:L$69),0)*VLOOKUP(BL$3,Conversions!$B$12:$E$34,4,0)*HLOOKUP($E159,'Equipment Assumptions'!$C$30:$Q$31,2,0),$H159*VLOOKUP($F159,Lists!$C$72:$R$232,COLUMNS(Lists!$C$69:L$69),0)*VLOOKUP(BL$3,Conversions!$B$12:$E$34,4,0)))</f>
        <v>0</v>
      </c>
      <c r="AI159" s="334">
        <f>IF($F159="",0,IF($A159="Default",$H159*VLOOKUP($F159,Lists!$C$72:$R$232,COLUMNS(Lists!$C$69:M$69),0)*VLOOKUP(BM$3,Conversions!$B$12:$E$34,4,0)*HLOOKUP($E159,'Equipment Assumptions'!$C$30:$Q$31,2,0),$H159*VLOOKUP($F159,Lists!$C$72:$R$232,COLUMNS(Lists!$C$69:M$69),0)*VLOOKUP(BM$3,Conversions!$B$12:$E$34,4,0)))</f>
        <v>0</v>
      </c>
      <c r="AJ159" s="334">
        <f>IF($F159="",0,IF($A159="Default",$H159*VLOOKUP($F159,Lists!$C$72:$R$232,COLUMNS(Lists!$C$69:N$69),0)*VLOOKUP(BN$3,Conversions!$B$12:$E$34,4,0)*HLOOKUP($E159,'Equipment Assumptions'!$C$30:$Q$31,2,0),$H159*VLOOKUP($F159,Lists!$C$72:$R$232,COLUMNS(Lists!$C$69:N$69),0)*VLOOKUP(BN$3,Conversions!$B$12:$E$34,4,0)))</f>
        <v>0</v>
      </c>
      <c r="AK159" s="334">
        <f>IF($F159="",0,IF($A159="Default",$H159*VLOOKUP($F159,Lists!$C$72:$R$232,COLUMNS(Lists!$C$69:O$69),0)*VLOOKUP(BO$3,Conversions!$B$12:$E$34,4,0)*HLOOKUP($E159,'Equipment Assumptions'!$C$30:$Q$31,2,0),$H159*VLOOKUP($F159,Lists!$C$72:$R$232,COLUMNS(Lists!$C$69:O$69),0)*VLOOKUP(BO$3,Conversions!$B$12:$E$34,4,0)))</f>
        <v>0</v>
      </c>
      <c r="AL159" s="334">
        <f>IF($F159="",0,IF($A159="Default",$H159*VLOOKUP($F159,Lists!$C$72:$R$232,COLUMNS(Lists!$C$69:P$69),0)*VLOOKUP(BP$3,Conversions!$B$12:$E$34,4,0)*HLOOKUP($E159,'Equipment Assumptions'!$C$30:$Q$31,2,0),$H159*VLOOKUP($F159,Lists!$C$72:$R$232,COLUMNS(Lists!$C$69:P$69),0)*VLOOKUP(BP$3,Conversions!$B$12:$E$34,4,0)))</f>
        <v>0</v>
      </c>
      <c r="AM159" s="334">
        <f>IF($F159="",0,IF($A159="Default",$H159*VLOOKUP($F159,Lists!$C$72:$R$232,COLUMNS(Lists!$C$69:Q$69),0)*VLOOKUP(BQ$3,Conversions!$B$12:$E$34,4,0)*HLOOKUP($E159,'Equipment Assumptions'!$C$30:$Q$31,2,0),$H159*VLOOKUP($F159,Lists!$C$72:$R$232,COLUMNS(Lists!$C$69:Q$69),0)*VLOOKUP(BQ$3,Conversions!$B$12:$E$34,4,0)))</f>
        <v>0</v>
      </c>
      <c r="AN159" s="334">
        <f>IF($F159="",0,IF($A159="Default",$H159*VLOOKUP($F159,Lists!$C$72:$R$232,COLUMNS(Lists!$C$69:R$69),0)*VLOOKUP(BR$3,Conversions!$B$12:$E$34,4,0)*HLOOKUP($E159,'Equipment Assumptions'!$C$30:$Q$31,2,0),$H159*VLOOKUP($F159,Lists!$C$72:$R$232,COLUMNS(Lists!$C$69:R$69),0)*VLOOKUP(BR$3,Conversions!$B$12:$E$34,4,0)))</f>
        <v>0</v>
      </c>
      <c r="AO159" s="330">
        <f t="shared" si="198"/>
        <v>0</v>
      </c>
      <c r="AP159" s="333">
        <f>IF($F159="",0,IF($A159="Default",$I159*VLOOKUP($F159,Lists!$C$72:$R$232,COLUMNS(Lists!$C$69:E$69),0)*VLOOKUP(BE$3,Conversions!$B$12:$E$34,4,0)*HLOOKUP($E159,'Equipment Assumptions'!$C$30:$Q$31,2,0),$I159*VLOOKUP($F159,Lists!$C$72:$R$232,COLUMNS(Lists!$C$69:E$69),0)*VLOOKUP(BE$3,Conversions!$B$12:$E$34,4,0)))</f>
        <v>0</v>
      </c>
      <c r="AQ159" s="333">
        <f>IF($F159="",0,IF($A159="Default",$I159*VLOOKUP($F159,Lists!$C$72:$R$232,COLUMNS(Lists!$C$69:F$69),0)*VLOOKUP(BF$3,Conversions!$B$12:$E$34,4,0)*HLOOKUP($E159,'Equipment Assumptions'!$C$30:$Q$31,2,0),$I159*VLOOKUP($F159,Lists!$C$72:$R$232,COLUMNS(Lists!$C$69:F$69),0)*VLOOKUP(BF$3,Conversions!$B$12:$E$34,4,0)))</f>
        <v>0</v>
      </c>
      <c r="AR159" s="333">
        <f>IF($F159="",0,IF($A159="Default",$I159*VLOOKUP($F159,Lists!$C$72:$R$232,COLUMNS(Lists!$C$69:G$69),0)*VLOOKUP(BG$3,Conversions!$B$12:$E$34,4,0)*HLOOKUP($E159,'Equipment Assumptions'!$C$30:$Q$31,2,0),$I159*VLOOKUP($F159,Lists!$C$72:$R$232,COLUMNS(Lists!$C$69:G$69),0)*VLOOKUP(BG$3,Conversions!$B$12:$E$34,4,0)))</f>
        <v>0</v>
      </c>
      <c r="AS159" s="333">
        <f>IF($F159="",0,IF($A159="Default",$I159*VLOOKUP($F159,Lists!$C$72:$R$232,COLUMNS(Lists!$C$69:H$69),0)*VLOOKUP(BH$3,Conversions!$B$12:$E$34,4,0)*HLOOKUP($E159,'Equipment Assumptions'!$C$30:$Q$31,2,0),$I159*VLOOKUP($F159,Lists!$C$72:$R$232,COLUMNS(Lists!$C$69:H$69),0)*VLOOKUP(BH$3,Conversions!$B$12:$E$34,4,0)))</f>
        <v>0</v>
      </c>
      <c r="AT159" s="333">
        <f>IF($F159="",0,IF($A159="Default",$I159*VLOOKUP($F159,Lists!$C$72:$R$232,COLUMNS(Lists!$C$69:I$69),0)*VLOOKUP(BI$3,Conversions!$B$12:$E$34,4,0)*HLOOKUP($E159,'Equipment Assumptions'!$C$30:$Q$31,2,0),$I159*VLOOKUP($F159,Lists!$C$72:$R$232,COLUMNS(Lists!$C$69:I$69),0)*VLOOKUP(BI$3,Conversions!$B$12:$E$34,4,0)))</f>
        <v>0</v>
      </c>
      <c r="AU159" s="333">
        <f>IF($F159="",0,IF($A159="Default",$I159*VLOOKUP($F159,Lists!$C$72:$R$232,COLUMNS(Lists!$C$69:J$69),0)*VLOOKUP(BJ$3,Conversions!$B$12:$E$34,4,0)*HLOOKUP($E159,'Equipment Assumptions'!$C$30:$Q$31,2,0),$I159*VLOOKUP($F159,Lists!$C$72:$R$232,COLUMNS(Lists!$C$69:J$69),0)*VLOOKUP(BJ$3,Conversions!$B$12:$E$34,4,0)))</f>
        <v>0</v>
      </c>
      <c r="AV159" s="333">
        <f>IF($F159="",0,IF($A159="Default",$I159*VLOOKUP($F159,Lists!$C$72:$R$232,COLUMNS(Lists!$C$69:K$69),0)*VLOOKUP(BK$3,Conversions!$B$12:$E$34,4,0)*HLOOKUP($E159,'Equipment Assumptions'!$C$30:$Q$31,2,0),$I159*VLOOKUP($F159,Lists!$C$72:$R$232,COLUMNS(Lists!$C$69:K$69),0)*VLOOKUP(BK$3,Conversions!$B$12:$E$34,4,0)))</f>
        <v>0</v>
      </c>
      <c r="AW159" s="333">
        <f>IF($F159="",0,IF($A159="Default",$I159*VLOOKUP($F159,Lists!$C$72:$R$232,COLUMNS(Lists!$C$69:L$69),0)*VLOOKUP(BL$3,Conversions!$B$12:$E$34,4,0)*HLOOKUP($E159,'Equipment Assumptions'!$C$30:$Q$31,2,0),$I159*VLOOKUP($F159,Lists!$C$72:$R$232,COLUMNS(Lists!$C$69:L$69),0)*VLOOKUP(BL$3,Conversions!$B$12:$E$34,4,0)))</f>
        <v>0</v>
      </c>
      <c r="AX159" s="333">
        <f>IF($F159="",0,IF($A159="Default",$I159*VLOOKUP($F159,Lists!$C$72:$R$232,COLUMNS(Lists!$C$69:M$69),0)*VLOOKUP(BM$3,Conversions!$B$12:$E$34,4,0)*HLOOKUP($E159,'Equipment Assumptions'!$C$30:$Q$31,2,0),$I159*VLOOKUP($F159,Lists!$C$72:$R$232,COLUMNS(Lists!$C$69:M$69),0)*VLOOKUP(BM$3,Conversions!$B$12:$E$34,4,0)))</f>
        <v>0</v>
      </c>
      <c r="AY159" s="333">
        <f>IF($F159="",0,IF($A159="Default",$I159*VLOOKUP($F159,Lists!$C$72:$R$232,COLUMNS(Lists!$C$69:N$69),0)*VLOOKUP(BN$3,Conversions!$B$12:$E$34,4,0)*HLOOKUP($E159,'Equipment Assumptions'!$C$30:$Q$31,2,0),$I159*VLOOKUP($F159,Lists!$C$72:$R$232,COLUMNS(Lists!$C$69:N$69),0)*VLOOKUP(BN$3,Conversions!$B$12:$E$34,4,0)))</f>
        <v>0</v>
      </c>
      <c r="AZ159" s="333">
        <f>IF($F159="",0,IF($A159="Default",$I159*VLOOKUP($F159,Lists!$C$72:$R$232,COLUMNS(Lists!$C$69:O$69),0)*VLOOKUP(BO$3,Conversions!$B$12:$E$34,4,0)*HLOOKUP($E159,'Equipment Assumptions'!$C$30:$Q$31,2,0),$I159*VLOOKUP($F159,Lists!$C$72:$R$232,COLUMNS(Lists!$C$69:O$69),0)*VLOOKUP(BO$3,Conversions!$B$12:$E$34,4,0)))</f>
        <v>0</v>
      </c>
      <c r="BA159" s="333">
        <f>IF($F159="",0,IF($A159="Default",$I159*VLOOKUP($F159,Lists!$C$72:$R$232,COLUMNS(Lists!$C$69:P$69),0)*VLOOKUP(BP$3,Conversions!$B$12:$E$34,4,0)*HLOOKUP($E159,'Equipment Assumptions'!$C$30:$Q$31,2,0),$I159*VLOOKUP($F159,Lists!$C$72:$R$232,COLUMNS(Lists!$C$69:P$69),0)*VLOOKUP(BP$3,Conversions!$B$12:$E$34,4,0)))</f>
        <v>0</v>
      </c>
      <c r="BB159" s="333">
        <f>IF($F159="",0,IF($A159="Default",$I159*VLOOKUP($F159,Lists!$C$72:$R$232,COLUMNS(Lists!$C$69:Q$69),0)*VLOOKUP(BQ$3,Conversions!$B$12:$E$34,4,0)*HLOOKUP($E159,'Equipment Assumptions'!$C$30:$Q$31,2,0),$I159*VLOOKUP($F159,Lists!$C$72:$R$232,COLUMNS(Lists!$C$69:Q$69),0)*VLOOKUP(BQ$3,Conversions!$B$12:$E$34,4,0)))</f>
        <v>0</v>
      </c>
      <c r="BC159" s="333">
        <f>IF($F159="",0,IF($A159="Default",$I159*VLOOKUP($F159,Lists!$C$72:$R$232,COLUMNS(Lists!$C$69:R$69),0)*VLOOKUP(BR$3,Conversions!$B$12:$E$34,4,0)*HLOOKUP($E159,'Equipment Assumptions'!$C$30:$Q$31,2,0),$I159*VLOOKUP($F159,Lists!$C$72:$R$232,COLUMNS(Lists!$C$69:R$69),0)*VLOOKUP(BR$3,Conversions!$B$12:$E$34,4,0)))</f>
        <v>0</v>
      </c>
      <c r="BD159" s="333">
        <f t="shared" si="199"/>
        <v>0</v>
      </c>
      <c r="BE159" s="330">
        <f t="shared" si="145"/>
        <v>0</v>
      </c>
      <c r="BF159" s="330">
        <f t="shared" si="146"/>
        <v>0</v>
      </c>
      <c r="BG159" s="330">
        <f t="shared" si="147"/>
        <v>0</v>
      </c>
      <c r="BH159" s="330">
        <f t="shared" si="148"/>
        <v>0</v>
      </c>
      <c r="BI159" s="330">
        <f t="shared" si="149"/>
        <v>0</v>
      </c>
      <c r="BJ159" s="330">
        <f t="shared" si="150"/>
        <v>0</v>
      </c>
      <c r="BK159" s="330">
        <f t="shared" si="151"/>
        <v>0</v>
      </c>
      <c r="BL159" s="330">
        <f t="shared" si="152"/>
        <v>0</v>
      </c>
      <c r="BM159" s="330">
        <f t="shared" si="153"/>
        <v>0</v>
      </c>
      <c r="BN159" s="330">
        <f t="shared" si="154"/>
        <v>0</v>
      </c>
      <c r="BO159" s="330">
        <f t="shared" si="155"/>
        <v>0</v>
      </c>
      <c r="BP159" s="330">
        <f t="shared" si="156"/>
        <v>0</v>
      </c>
      <c r="BQ159" s="330">
        <f t="shared" si="157"/>
        <v>0</v>
      </c>
      <c r="BR159" s="330">
        <f t="shared" si="158"/>
        <v>0</v>
      </c>
      <c r="BS159" s="330">
        <f t="shared" si="159"/>
        <v>0</v>
      </c>
      <c r="BT159" s="329">
        <f t="shared" si="210"/>
        <v>0</v>
      </c>
      <c r="BU159" s="329">
        <f t="shared" si="210"/>
        <v>0</v>
      </c>
      <c r="BV159" s="329">
        <f t="shared" si="210"/>
        <v>0</v>
      </c>
      <c r="BW159" s="329">
        <f t="shared" si="210"/>
        <v>0</v>
      </c>
      <c r="BX159" s="329">
        <f t="shared" si="210"/>
        <v>0</v>
      </c>
      <c r="BY159" s="329">
        <f t="shared" si="210"/>
        <v>0</v>
      </c>
      <c r="BZ159" s="329">
        <f t="shared" si="210"/>
        <v>0</v>
      </c>
      <c r="CA159" s="329">
        <f t="shared" si="210"/>
        <v>0</v>
      </c>
      <c r="CB159" s="329">
        <f t="shared" si="210"/>
        <v>0</v>
      </c>
      <c r="CC159" s="329">
        <f t="shared" si="210"/>
        <v>0</v>
      </c>
      <c r="CD159" s="329">
        <f t="shared" si="210"/>
        <v>0</v>
      </c>
      <c r="CE159" s="329">
        <f t="shared" si="210"/>
        <v>0</v>
      </c>
      <c r="CF159" s="329">
        <f t="shared" si="210"/>
        <v>0</v>
      </c>
      <c r="CG159" s="329">
        <f t="shared" si="210"/>
        <v>0</v>
      </c>
      <c r="CH159" s="329">
        <f t="shared" si="210"/>
        <v>0</v>
      </c>
      <c r="CI159" s="329">
        <f t="shared" si="210"/>
        <v>0</v>
      </c>
      <c r="CJ159" s="331">
        <f t="shared" si="200"/>
        <v>0</v>
      </c>
      <c r="CK159" s="330">
        <f t="shared" si="201"/>
        <v>0</v>
      </c>
      <c r="CL159" s="330">
        <f t="shared" si="202"/>
        <v>0</v>
      </c>
      <c r="CM159" s="330">
        <f t="shared" si="203"/>
        <v>0</v>
      </c>
      <c r="CN159" s="330">
        <f t="shared" si="204"/>
        <v>0</v>
      </c>
      <c r="CO159" s="330">
        <f t="shared" si="205"/>
        <v>0</v>
      </c>
      <c r="CP159" s="330">
        <f t="shared" si="206"/>
        <v>0</v>
      </c>
      <c r="CQ159" s="330">
        <f t="shared" si="186"/>
        <v>0</v>
      </c>
      <c r="CR159" s="330">
        <f t="shared" si="207"/>
        <v>0</v>
      </c>
      <c r="CS159" s="330">
        <f t="shared" si="208"/>
        <v>0</v>
      </c>
      <c r="CT159" s="330">
        <f t="shared" si="209"/>
        <v>0</v>
      </c>
      <c r="CU159" s="330">
        <f t="shared" si="211"/>
        <v>0</v>
      </c>
      <c r="CV159" s="330">
        <f t="shared" si="211"/>
        <v>0</v>
      </c>
      <c r="CW159" s="330">
        <f t="shared" si="211"/>
        <v>0</v>
      </c>
      <c r="CX159" s="330">
        <f t="shared" si="211"/>
        <v>0</v>
      </c>
      <c r="CY159" s="330">
        <f t="shared" si="211"/>
        <v>0</v>
      </c>
      <c r="CZ159" s="330">
        <f t="shared" si="211"/>
        <v>0</v>
      </c>
      <c r="DA159" s="330">
        <f t="shared" si="211"/>
        <v>0</v>
      </c>
      <c r="DB159" s="330">
        <f t="shared" si="211"/>
        <v>0</v>
      </c>
      <c r="DC159" s="330">
        <f t="shared" si="211"/>
        <v>0</v>
      </c>
      <c r="DD159" s="330">
        <f t="shared" si="211"/>
        <v>0</v>
      </c>
      <c r="DE159" s="330">
        <f t="shared" si="212"/>
        <v>0</v>
      </c>
      <c r="DF159" s="330">
        <f t="shared" si="212"/>
        <v>0</v>
      </c>
      <c r="DG159" s="330">
        <f t="shared" si="212"/>
        <v>0</v>
      </c>
      <c r="DH159" s="330">
        <f t="shared" si="212"/>
        <v>0</v>
      </c>
      <c r="DI159" s="330">
        <f t="shared" si="212"/>
        <v>0</v>
      </c>
      <c r="DJ159" s="330">
        <f t="shared" si="212"/>
        <v>0</v>
      </c>
      <c r="DK159" s="330">
        <f t="shared" si="212"/>
        <v>0</v>
      </c>
      <c r="DL159" s="330">
        <f t="shared" si="212"/>
        <v>0</v>
      </c>
      <c r="DM159" s="330">
        <f t="shared" si="212"/>
        <v>0</v>
      </c>
      <c r="DN159" s="330">
        <f t="shared" si="212"/>
        <v>0</v>
      </c>
      <c r="DO159" s="330">
        <f t="shared" si="212"/>
        <v>0</v>
      </c>
      <c r="DP159" s="330">
        <f t="shared" si="213"/>
        <v>0</v>
      </c>
      <c r="DQ159" s="217"/>
      <c r="DR159" s="217"/>
      <c r="DS159" s="217"/>
      <c r="DT159" s="217"/>
    </row>
    <row r="160" spans="1:124" x14ac:dyDescent="0.3">
      <c r="A160" s="332" t="str">
        <f>IF(AND(F160&lt;&gt;"",OR('Simplified Screening 1'!G51=0,'Simplified Screening 1'!G51="I Don't Know")),"Default","")</f>
        <v/>
      </c>
      <c r="B160" s="221" t="s">
        <v>306</v>
      </c>
      <c r="C160" s="221" t="str">
        <f>IF('Simplified Screening 1'!C51=0,"",'Simplified Screening 1'!C51)</f>
        <v/>
      </c>
      <c r="D160" s="221" t="str">
        <f>IF('Simplified Screening 1'!D51=0,"",'Simplified Screening 1'!D51)</f>
        <v/>
      </c>
      <c r="E160" s="221" t="str">
        <f>IF('Simplified Screening 1'!E51=0,"",'Simplified Screening 1'!E51)</f>
        <v/>
      </c>
      <c r="F160" s="221" t="str">
        <f>'Simplified Screening 1'!R51</f>
        <v/>
      </c>
      <c r="G160" s="272">
        <f>'Simplified Screening 1'!H51*'Simplified Screening 1'!L51*Conversions!$C$4</f>
        <v>0</v>
      </c>
      <c r="H160" s="272">
        <f>'Simplified Screening 1'!I51*'Simplified Screening 1'!M51*'Simplified Screening 1'!J51*Conversions!$C$4</f>
        <v>0</v>
      </c>
      <c r="I160" s="272">
        <f>'Simplified Screening 1'!K51*'Simplified Screening 1'!N51*(1-'Simplified Screening 1'!O51)*Conversions!$C$4</f>
        <v>0</v>
      </c>
      <c r="J160" s="325">
        <f>IF('Simplified Screening 1'!P51=0,0,'Simplified Screening 1'!P51)</f>
        <v>0</v>
      </c>
      <c r="K160" s="325">
        <f>IF(AND(OR('Simplified Screening 1'!G51=0,'Simplified Screening 1'!G51="I Don't Know"),F160&lt;&gt;""),J160*HLOOKUP(E160,'Equipment Assumptions'!$C$30:$Q$31,2,0),IF(F160="Non-HFC",0,J160))</f>
        <v>0</v>
      </c>
      <c r="L160" s="333">
        <f>IF($F160="",0,IF($A160="Default",$G160*VLOOKUP($F160,Lists!$C$72:$R$232,COLUMNS(Lists!$C$69:E$69),0)*VLOOKUP(BE$3,Conversions!$B$12:$E$34,4,0)*HLOOKUP($E160,'Equipment Assumptions'!$C$30:$Q$31,2,0),$G160*VLOOKUP($F160,Lists!$C$72:$R$232,COLUMNS(Lists!$C$69:E$69),0)*VLOOKUP(BE$3,Conversions!$B$12:$E$34,4,0)))</f>
        <v>0</v>
      </c>
      <c r="M160" s="333">
        <f>IF($F160="",0,IF($A160="Default",$G160*VLOOKUP($F160,Lists!$C$72:$R$232,COLUMNS(Lists!$C$69:F$69),0)*VLOOKUP(BF$3,Conversions!$B$12:$E$34,4,0)*HLOOKUP($E160,'Equipment Assumptions'!$C$30:$Q$31,2,0),$G160*VLOOKUP($F160,Lists!$C$72:$R$232,COLUMNS(Lists!$C$69:F$69),0)*VLOOKUP(BF$3,Conversions!$B$12:$E$34,4,0)))</f>
        <v>0</v>
      </c>
      <c r="N160" s="333">
        <f>IF($F160="",0,IF($A160="Default",$G160*VLOOKUP($F160,Lists!$C$72:$R$232,COLUMNS(Lists!$C$69:G$69),0)*VLOOKUP(BG$3,Conversions!$B$12:$E$34,4,0)*HLOOKUP($E160,'Equipment Assumptions'!$C$30:$Q$31,2,0),$G160*VLOOKUP($F160,Lists!$C$72:$R$232,COLUMNS(Lists!$C$69:G$69),0)*VLOOKUP(BG$3,Conversions!$B$12:$E$34,4,0)))</f>
        <v>0</v>
      </c>
      <c r="O160" s="333">
        <f>IF($F160="",0,IF($A160="Default",$G160*VLOOKUP($F160,Lists!$C$72:$R$232,COLUMNS(Lists!$C$69:H$69),0)*VLOOKUP(BH$3,Conversions!$B$12:$E$34,4,0)*HLOOKUP($E160,'Equipment Assumptions'!$C$30:$Q$31,2,0),$G160*VLOOKUP($F160,Lists!$C$72:$R$232,COLUMNS(Lists!$C$69:H$69),0)*VLOOKUP(BH$3,Conversions!$B$12:$E$34,4,0)))</f>
        <v>0</v>
      </c>
      <c r="P160" s="333">
        <f>IF($F160="",0,IF($A160="Default",$G160*VLOOKUP($F160,Lists!$C$72:$R$232,COLUMNS(Lists!$C$69:I$69),0)*VLOOKUP(BI$3,Conversions!$B$12:$E$34,4,0)*HLOOKUP($E160,'Equipment Assumptions'!$C$30:$Q$31,2,0),$G160*VLOOKUP($F160,Lists!$C$72:$R$232,COLUMNS(Lists!$C$69:I$69),0)*VLOOKUP(BI$3,Conversions!$B$12:$E$34,4,0)))</f>
        <v>0</v>
      </c>
      <c r="Q160" s="333">
        <f>IF($F160="",0,IF($A160="Default",$G160*VLOOKUP($F160,Lists!$C$72:$R$232,COLUMNS(Lists!$C$69:J$69),0)*VLOOKUP(BJ$3,Conversions!$B$12:$E$34,4,0)*HLOOKUP($E160,'Equipment Assumptions'!$C$30:$Q$31,2,0),$G160*VLOOKUP($F160,Lists!$C$72:$R$232,COLUMNS(Lists!$C$69:J$69),0)*VLOOKUP(BJ$3,Conversions!$B$12:$E$34,4,0)))</f>
        <v>0</v>
      </c>
      <c r="R160" s="333">
        <f>IF($F160="",0,IF($A160="Default",$G160*VLOOKUP($F160,Lists!$C$72:$R$232,COLUMNS(Lists!$C$69:K$69),0)*VLOOKUP(BK$3,Conversions!$B$12:$E$34,4,0)*HLOOKUP($E160,'Equipment Assumptions'!$C$30:$Q$31,2,0),$G160*VLOOKUP($F160,Lists!$C$72:$R$232,COLUMNS(Lists!$C$69:K$69),0)*VLOOKUP(BK$3,Conversions!$B$12:$E$34,4,0)))</f>
        <v>0</v>
      </c>
      <c r="S160" s="333">
        <f>IF($F160="",0,IF($A160="Default",$G160*VLOOKUP($F160,Lists!$C$72:$R$232,COLUMNS(Lists!$C$69:L$69),0)*VLOOKUP(BL$3,Conversions!$B$12:$E$34,4,0)*HLOOKUP($E160,'Equipment Assumptions'!$C$30:$Q$31,2,0),$G160*VLOOKUP($F160,Lists!$C$72:$R$232,COLUMNS(Lists!$C$69:L$69),0)*VLOOKUP(BL$3,Conversions!$B$12:$E$34,4,0)))</f>
        <v>0</v>
      </c>
      <c r="T160" s="333">
        <f>IF($F160="",0,IF($A160="Default",$G160*VLOOKUP($F160,Lists!$C$72:$R$232,COLUMNS(Lists!$C$69:M$69),0)*VLOOKUP(BM$3,Conversions!$B$12:$E$34,4,0)*HLOOKUP($E160,'Equipment Assumptions'!$C$30:$Q$31,2,0),$G160*VLOOKUP($F160,Lists!$C$72:$R$232,COLUMNS(Lists!$C$69:M$69),0)*VLOOKUP(BM$3,Conversions!$B$12:$E$34,4,0)))</f>
        <v>0</v>
      </c>
      <c r="U160" s="333">
        <f>IF($F160="",0,IF($A160="Default",$G160*VLOOKUP($F160,Lists!$C$72:$R$232,COLUMNS(Lists!$C$69:N$69),0)*VLOOKUP(BN$3,Conversions!$B$12:$E$34,4,0)*HLOOKUP($E160,'Equipment Assumptions'!$C$30:$Q$31,2,0),$G160*VLOOKUP($F160,Lists!$C$72:$R$232,COLUMNS(Lists!$C$69:N$69),0)*VLOOKUP(BN$3,Conversions!$B$12:$E$34,4,0)))</f>
        <v>0</v>
      </c>
      <c r="V160" s="333">
        <f>IF($F160="",0,IF($A160="Default",$G160*VLOOKUP($F160,Lists!$C$72:$R$232,COLUMNS(Lists!$C$69:O$69),0)*VLOOKUP(BO$3,Conversions!$B$12:$E$34,4,0)*HLOOKUP($E160,'Equipment Assumptions'!$C$30:$Q$31,2,0),$G160*VLOOKUP($F160,Lists!$C$72:$R$232,COLUMNS(Lists!$C$69:O$69),0)*VLOOKUP(BO$3,Conversions!$B$12:$E$34,4,0)))</f>
        <v>0</v>
      </c>
      <c r="W160" s="333">
        <f>IF($F160="",0,IF($A160="Default",$G160*VLOOKUP($F160,Lists!$C$72:$R$232,COLUMNS(Lists!$C$69:P$69),0)*VLOOKUP(BP$3,Conversions!$B$12:$E$34,4,0)*HLOOKUP($E160,'Equipment Assumptions'!$C$30:$Q$31,2,0),$G160*VLOOKUP($F160,Lists!$C$72:$R$232,COLUMNS(Lists!$C$69:P$69),0)*VLOOKUP(BP$3,Conversions!$B$12:$E$34,4,0)))</f>
        <v>0</v>
      </c>
      <c r="X160" s="333">
        <f>IF($F160="",0,IF($A160="Default",$G160*VLOOKUP($F160,Lists!$C$72:$R$232,COLUMNS(Lists!$C$69:Q$69),0)*VLOOKUP(BQ$3,Conversions!$B$12:$E$34,4,0)*HLOOKUP($E160,'Equipment Assumptions'!$C$30:$Q$31,2,0),$G160*VLOOKUP($F160,Lists!$C$72:$R$232,COLUMNS(Lists!$C$69:Q$69),0)*VLOOKUP(BQ$3,Conversions!$B$12:$E$34,4,0)))</f>
        <v>0</v>
      </c>
      <c r="Y160" s="333">
        <f>IF($F160="",0,IF($A160="Default",$G160*VLOOKUP($F160,Lists!$C$72:$R$232,COLUMNS(Lists!$C$69:R$69),0)*VLOOKUP(BR$3,Conversions!$B$12:$E$34,4,0)*HLOOKUP($E160,'Equipment Assumptions'!$C$30:$Q$31,2,0),$G160*VLOOKUP($F160,Lists!$C$72:$R$232,COLUMNS(Lists!$C$69:R$69),0)*VLOOKUP(BR$3,Conversions!$B$12:$E$34,4,0)))</f>
        <v>0</v>
      </c>
      <c r="Z160" s="325">
        <f t="shared" si="197"/>
        <v>0</v>
      </c>
      <c r="AA160" s="334">
        <f>IF($F160="",0,IF($A160="Default",$H160*VLOOKUP($F160,Lists!$C$72:$R$232,COLUMNS(Lists!$C$69:E$69),0)*VLOOKUP(BE$3,Conversions!$B$12:$E$34,4,0)*HLOOKUP($E160,'Equipment Assumptions'!$C$30:$Q$31,2,0),$H160*VLOOKUP($F160,Lists!$C$72:$R$232,COLUMNS(Lists!$C$69:E$69),0)*VLOOKUP(BE$3,Conversions!$B$12:$E$34,4,0)))</f>
        <v>0</v>
      </c>
      <c r="AB160" s="334">
        <f>IF($F160="",0,IF($A160="Default",$H160*VLOOKUP($F160,Lists!$C$72:$R$232,COLUMNS(Lists!$C$69:F$69),0)*VLOOKUP(BF$3,Conversions!$B$12:$E$34,4,0)*HLOOKUP($E160,'Equipment Assumptions'!$C$30:$Q$31,2,0),$H160*VLOOKUP($F160,Lists!$C$72:$R$232,COLUMNS(Lists!$C$69:F$69),0)*VLOOKUP(BF$3,Conversions!$B$12:$E$34,4,0)))</f>
        <v>0</v>
      </c>
      <c r="AC160" s="334">
        <f>IF($F160="",0,IF($A160="Default",$H160*VLOOKUP($F160,Lists!$C$72:$R$232,COLUMNS(Lists!$C$69:G$69),0)*VLOOKUP(BG$3,Conversions!$B$12:$E$34,4,0)*HLOOKUP($E160,'Equipment Assumptions'!$C$30:$Q$31,2,0),$H160*VLOOKUP($F160,Lists!$C$72:$R$232,COLUMNS(Lists!$C$69:G$69),0)*VLOOKUP(BG$3,Conversions!$B$12:$E$34,4,0)))</f>
        <v>0</v>
      </c>
      <c r="AD160" s="334">
        <f>IF($F160="",0,IF($A160="Default",$H160*VLOOKUP($F160,Lists!$C$72:$R$232,COLUMNS(Lists!$C$69:H$69),0)*VLOOKUP(BH$3,Conversions!$B$12:$E$34,4,0)*HLOOKUP($E160,'Equipment Assumptions'!$C$30:$Q$31,2,0),$H160*VLOOKUP($F160,Lists!$C$72:$R$232,COLUMNS(Lists!$C$69:H$69),0)*VLOOKUP(BH$3,Conversions!$B$12:$E$34,4,0)))</f>
        <v>0</v>
      </c>
      <c r="AE160" s="334">
        <f>IF($F160="",0,IF($A160="Default",$H160*VLOOKUP($F160,Lists!$C$72:$R$232,COLUMNS(Lists!$C$69:I$69),0)*VLOOKUP(BI$3,Conversions!$B$12:$E$34,4,0)*HLOOKUP($E160,'Equipment Assumptions'!$C$30:$Q$31,2,0),$H160*VLOOKUP($F160,Lists!$C$72:$R$232,COLUMNS(Lists!$C$69:I$69),0)*VLOOKUP(BI$3,Conversions!$B$12:$E$34,4,0)))</f>
        <v>0</v>
      </c>
      <c r="AF160" s="334">
        <f>IF($F160="",0,IF($A160="Default",$H160*VLOOKUP($F160,Lists!$C$72:$R$232,COLUMNS(Lists!$C$69:J$69),0)*VLOOKUP(BJ$3,Conversions!$B$12:$E$34,4,0)*HLOOKUP($E160,'Equipment Assumptions'!$C$30:$Q$31,2,0),$H160*VLOOKUP($F160,Lists!$C$72:$R$232,COLUMNS(Lists!$C$69:J$69),0)*VLOOKUP(BJ$3,Conversions!$B$12:$E$34,4,0)))</f>
        <v>0</v>
      </c>
      <c r="AG160" s="334">
        <f>IF($F160="",0,IF($A160="Default",$H160*VLOOKUP($F160,Lists!$C$72:$R$232,COLUMNS(Lists!$C$69:K$69),0)*VLOOKUP(BK$3,Conversions!$B$12:$E$34,4,0)*HLOOKUP($E160,'Equipment Assumptions'!$C$30:$Q$31,2,0),$H160*VLOOKUP($F160,Lists!$C$72:$R$232,COLUMNS(Lists!$C$69:K$69),0)*VLOOKUP(BK$3,Conversions!$B$12:$E$34,4,0)))</f>
        <v>0</v>
      </c>
      <c r="AH160" s="334">
        <f>IF($F160="",0,IF($A160="Default",$H160*VLOOKUP($F160,Lists!$C$72:$R$232,COLUMNS(Lists!$C$69:L$69),0)*VLOOKUP(BL$3,Conversions!$B$12:$E$34,4,0)*HLOOKUP($E160,'Equipment Assumptions'!$C$30:$Q$31,2,0),$H160*VLOOKUP($F160,Lists!$C$72:$R$232,COLUMNS(Lists!$C$69:L$69),0)*VLOOKUP(BL$3,Conversions!$B$12:$E$34,4,0)))</f>
        <v>0</v>
      </c>
      <c r="AI160" s="334">
        <f>IF($F160="",0,IF($A160="Default",$H160*VLOOKUP($F160,Lists!$C$72:$R$232,COLUMNS(Lists!$C$69:M$69),0)*VLOOKUP(BM$3,Conversions!$B$12:$E$34,4,0)*HLOOKUP($E160,'Equipment Assumptions'!$C$30:$Q$31,2,0),$H160*VLOOKUP($F160,Lists!$C$72:$R$232,COLUMNS(Lists!$C$69:M$69),0)*VLOOKUP(BM$3,Conversions!$B$12:$E$34,4,0)))</f>
        <v>0</v>
      </c>
      <c r="AJ160" s="334">
        <f>IF($F160="",0,IF($A160="Default",$H160*VLOOKUP($F160,Lists!$C$72:$R$232,COLUMNS(Lists!$C$69:N$69),0)*VLOOKUP(BN$3,Conversions!$B$12:$E$34,4,0)*HLOOKUP($E160,'Equipment Assumptions'!$C$30:$Q$31,2,0),$H160*VLOOKUP($F160,Lists!$C$72:$R$232,COLUMNS(Lists!$C$69:N$69),0)*VLOOKUP(BN$3,Conversions!$B$12:$E$34,4,0)))</f>
        <v>0</v>
      </c>
      <c r="AK160" s="334">
        <f>IF($F160="",0,IF($A160="Default",$H160*VLOOKUP($F160,Lists!$C$72:$R$232,COLUMNS(Lists!$C$69:O$69),0)*VLOOKUP(BO$3,Conversions!$B$12:$E$34,4,0)*HLOOKUP($E160,'Equipment Assumptions'!$C$30:$Q$31,2,0),$H160*VLOOKUP($F160,Lists!$C$72:$R$232,COLUMNS(Lists!$C$69:O$69),0)*VLOOKUP(BO$3,Conversions!$B$12:$E$34,4,0)))</f>
        <v>0</v>
      </c>
      <c r="AL160" s="334">
        <f>IF($F160="",0,IF($A160="Default",$H160*VLOOKUP($F160,Lists!$C$72:$R$232,COLUMNS(Lists!$C$69:P$69),0)*VLOOKUP(BP$3,Conversions!$B$12:$E$34,4,0)*HLOOKUP($E160,'Equipment Assumptions'!$C$30:$Q$31,2,0),$H160*VLOOKUP($F160,Lists!$C$72:$R$232,COLUMNS(Lists!$C$69:P$69),0)*VLOOKUP(BP$3,Conversions!$B$12:$E$34,4,0)))</f>
        <v>0</v>
      </c>
      <c r="AM160" s="334">
        <f>IF($F160="",0,IF($A160="Default",$H160*VLOOKUP($F160,Lists!$C$72:$R$232,COLUMNS(Lists!$C$69:Q$69),0)*VLOOKUP(BQ$3,Conversions!$B$12:$E$34,4,0)*HLOOKUP($E160,'Equipment Assumptions'!$C$30:$Q$31,2,0),$H160*VLOOKUP($F160,Lists!$C$72:$R$232,COLUMNS(Lists!$C$69:Q$69),0)*VLOOKUP(BQ$3,Conversions!$B$12:$E$34,4,0)))</f>
        <v>0</v>
      </c>
      <c r="AN160" s="334">
        <f>IF($F160="",0,IF($A160="Default",$H160*VLOOKUP($F160,Lists!$C$72:$R$232,COLUMNS(Lists!$C$69:R$69),0)*VLOOKUP(BR$3,Conversions!$B$12:$E$34,4,0)*HLOOKUP($E160,'Equipment Assumptions'!$C$30:$Q$31,2,0),$H160*VLOOKUP($F160,Lists!$C$72:$R$232,COLUMNS(Lists!$C$69:R$69),0)*VLOOKUP(BR$3,Conversions!$B$12:$E$34,4,0)))</f>
        <v>0</v>
      </c>
      <c r="AO160" s="330">
        <f t="shared" si="198"/>
        <v>0</v>
      </c>
      <c r="AP160" s="333">
        <f>IF($F160="",0,IF($A160="Default",$I160*VLOOKUP($F160,Lists!$C$72:$R$232,COLUMNS(Lists!$C$69:E$69),0)*VLOOKUP(BE$3,Conversions!$B$12:$E$34,4,0)*HLOOKUP($E160,'Equipment Assumptions'!$C$30:$Q$31,2,0),$I160*VLOOKUP($F160,Lists!$C$72:$R$232,COLUMNS(Lists!$C$69:E$69),0)*VLOOKUP(BE$3,Conversions!$B$12:$E$34,4,0)))</f>
        <v>0</v>
      </c>
      <c r="AQ160" s="333">
        <f>IF($F160="",0,IF($A160="Default",$I160*VLOOKUP($F160,Lists!$C$72:$R$232,COLUMNS(Lists!$C$69:F$69),0)*VLOOKUP(BF$3,Conversions!$B$12:$E$34,4,0)*HLOOKUP($E160,'Equipment Assumptions'!$C$30:$Q$31,2,0),$I160*VLOOKUP($F160,Lists!$C$72:$R$232,COLUMNS(Lists!$C$69:F$69),0)*VLOOKUP(BF$3,Conversions!$B$12:$E$34,4,0)))</f>
        <v>0</v>
      </c>
      <c r="AR160" s="333">
        <f>IF($F160="",0,IF($A160="Default",$I160*VLOOKUP($F160,Lists!$C$72:$R$232,COLUMNS(Lists!$C$69:G$69),0)*VLOOKUP(BG$3,Conversions!$B$12:$E$34,4,0)*HLOOKUP($E160,'Equipment Assumptions'!$C$30:$Q$31,2,0),$I160*VLOOKUP($F160,Lists!$C$72:$R$232,COLUMNS(Lists!$C$69:G$69),0)*VLOOKUP(BG$3,Conversions!$B$12:$E$34,4,0)))</f>
        <v>0</v>
      </c>
      <c r="AS160" s="333">
        <f>IF($F160="",0,IF($A160="Default",$I160*VLOOKUP($F160,Lists!$C$72:$R$232,COLUMNS(Lists!$C$69:H$69),0)*VLOOKUP(BH$3,Conversions!$B$12:$E$34,4,0)*HLOOKUP($E160,'Equipment Assumptions'!$C$30:$Q$31,2,0),$I160*VLOOKUP($F160,Lists!$C$72:$R$232,COLUMNS(Lists!$C$69:H$69),0)*VLOOKUP(BH$3,Conversions!$B$12:$E$34,4,0)))</f>
        <v>0</v>
      </c>
      <c r="AT160" s="333">
        <f>IF($F160="",0,IF($A160="Default",$I160*VLOOKUP($F160,Lists!$C$72:$R$232,COLUMNS(Lists!$C$69:I$69),0)*VLOOKUP(BI$3,Conversions!$B$12:$E$34,4,0)*HLOOKUP($E160,'Equipment Assumptions'!$C$30:$Q$31,2,0),$I160*VLOOKUP($F160,Lists!$C$72:$R$232,COLUMNS(Lists!$C$69:I$69),0)*VLOOKUP(BI$3,Conversions!$B$12:$E$34,4,0)))</f>
        <v>0</v>
      </c>
      <c r="AU160" s="333">
        <f>IF($F160="",0,IF($A160="Default",$I160*VLOOKUP($F160,Lists!$C$72:$R$232,COLUMNS(Lists!$C$69:J$69),0)*VLOOKUP(BJ$3,Conversions!$B$12:$E$34,4,0)*HLOOKUP($E160,'Equipment Assumptions'!$C$30:$Q$31,2,0),$I160*VLOOKUP($F160,Lists!$C$72:$R$232,COLUMNS(Lists!$C$69:J$69),0)*VLOOKUP(BJ$3,Conversions!$B$12:$E$34,4,0)))</f>
        <v>0</v>
      </c>
      <c r="AV160" s="333">
        <f>IF($F160="",0,IF($A160="Default",$I160*VLOOKUP($F160,Lists!$C$72:$R$232,COLUMNS(Lists!$C$69:K$69),0)*VLOOKUP(BK$3,Conversions!$B$12:$E$34,4,0)*HLOOKUP($E160,'Equipment Assumptions'!$C$30:$Q$31,2,0),$I160*VLOOKUP($F160,Lists!$C$72:$R$232,COLUMNS(Lists!$C$69:K$69),0)*VLOOKUP(BK$3,Conversions!$B$12:$E$34,4,0)))</f>
        <v>0</v>
      </c>
      <c r="AW160" s="333">
        <f>IF($F160="",0,IF($A160="Default",$I160*VLOOKUP($F160,Lists!$C$72:$R$232,COLUMNS(Lists!$C$69:L$69),0)*VLOOKUP(BL$3,Conversions!$B$12:$E$34,4,0)*HLOOKUP($E160,'Equipment Assumptions'!$C$30:$Q$31,2,0),$I160*VLOOKUP($F160,Lists!$C$72:$R$232,COLUMNS(Lists!$C$69:L$69),0)*VLOOKUP(BL$3,Conversions!$B$12:$E$34,4,0)))</f>
        <v>0</v>
      </c>
      <c r="AX160" s="333">
        <f>IF($F160="",0,IF($A160="Default",$I160*VLOOKUP($F160,Lists!$C$72:$R$232,COLUMNS(Lists!$C$69:M$69),0)*VLOOKUP(BM$3,Conversions!$B$12:$E$34,4,0)*HLOOKUP($E160,'Equipment Assumptions'!$C$30:$Q$31,2,0),$I160*VLOOKUP($F160,Lists!$C$72:$R$232,COLUMNS(Lists!$C$69:M$69),0)*VLOOKUP(BM$3,Conversions!$B$12:$E$34,4,0)))</f>
        <v>0</v>
      </c>
      <c r="AY160" s="333">
        <f>IF($F160="",0,IF($A160="Default",$I160*VLOOKUP($F160,Lists!$C$72:$R$232,COLUMNS(Lists!$C$69:N$69),0)*VLOOKUP(BN$3,Conversions!$B$12:$E$34,4,0)*HLOOKUP($E160,'Equipment Assumptions'!$C$30:$Q$31,2,0),$I160*VLOOKUP($F160,Lists!$C$72:$R$232,COLUMNS(Lists!$C$69:N$69),0)*VLOOKUP(BN$3,Conversions!$B$12:$E$34,4,0)))</f>
        <v>0</v>
      </c>
      <c r="AZ160" s="333">
        <f>IF($F160="",0,IF($A160="Default",$I160*VLOOKUP($F160,Lists!$C$72:$R$232,COLUMNS(Lists!$C$69:O$69),0)*VLOOKUP(BO$3,Conversions!$B$12:$E$34,4,0)*HLOOKUP($E160,'Equipment Assumptions'!$C$30:$Q$31,2,0),$I160*VLOOKUP($F160,Lists!$C$72:$R$232,COLUMNS(Lists!$C$69:O$69),0)*VLOOKUP(BO$3,Conversions!$B$12:$E$34,4,0)))</f>
        <v>0</v>
      </c>
      <c r="BA160" s="333">
        <f>IF($F160="",0,IF($A160="Default",$I160*VLOOKUP($F160,Lists!$C$72:$R$232,COLUMNS(Lists!$C$69:P$69),0)*VLOOKUP(BP$3,Conversions!$B$12:$E$34,4,0)*HLOOKUP($E160,'Equipment Assumptions'!$C$30:$Q$31,2,0),$I160*VLOOKUP($F160,Lists!$C$72:$R$232,COLUMNS(Lists!$C$69:P$69),0)*VLOOKUP(BP$3,Conversions!$B$12:$E$34,4,0)))</f>
        <v>0</v>
      </c>
      <c r="BB160" s="333">
        <f>IF($F160="",0,IF($A160="Default",$I160*VLOOKUP($F160,Lists!$C$72:$R$232,COLUMNS(Lists!$C$69:Q$69),0)*VLOOKUP(BQ$3,Conversions!$B$12:$E$34,4,0)*HLOOKUP($E160,'Equipment Assumptions'!$C$30:$Q$31,2,0),$I160*VLOOKUP($F160,Lists!$C$72:$R$232,COLUMNS(Lists!$C$69:Q$69),0)*VLOOKUP(BQ$3,Conversions!$B$12:$E$34,4,0)))</f>
        <v>0</v>
      </c>
      <c r="BC160" s="333">
        <f>IF($F160="",0,IF($A160="Default",$I160*VLOOKUP($F160,Lists!$C$72:$R$232,COLUMNS(Lists!$C$69:R$69),0)*VLOOKUP(BR$3,Conversions!$B$12:$E$34,4,0)*HLOOKUP($E160,'Equipment Assumptions'!$C$30:$Q$31,2,0),$I160*VLOOKUP($F160,Lists!$C$72:$R$232,COLUMNS(Lists!$C$69:R$69),0)*VLOOKUP(BR$3,Conversions!$B$12:$E$34,4,0)))</f>
        <v>0</v>
      </c>
      <c r="BD160" s="333">
        <f t="shared" si="199"/>
        <v>0</v>
      </c>
      <c r="BE160" s="330">
        <f t="shared" si="145"/>
        <v>0</v>
      </c>
      <c r="BF160" s="330">
        <f t="shared" si="146"/>
        <v>0</v>
      </c>
      <c r="BG160" s="330">
        <f t="shared" si="147"/>
        <v>0</v>
      </c>
      <c r="BH160" s="330">
        <f t="shared" si="148"/>
        <v>0</v>
      </c>
      <c r="BI160" s="330">
        <f t="shared" si="149"/>
        <v>0</v>
      </c>
      <c r="BJ160" s="330">
        <f t="shared" si="150"/>
        <v>0</v>
      </c>
      <c r="BK160" s="330">
        <f t="shared" si="151"/>
        <v>0</v>
      </c>
      <c r="BL160" s="330">
        <f t="shared" si="152"/>
        <v>0</v>
      </c>
      <c r="BM160" s="330">
        <f t="shared" si="153"/>
        <v>0</v>
      </c>
      <c r="BN160" s="330">
        <f t="shared" si="154"/>
        <v>0</v>
      </c>
      <c r="BO160" s="330">
        <f t="shared" si="155"/>
        <v>0</v>
      </c>
      <c r="BP160" s="330">
        <f t="shared" si="156"/>
        <v>0</v>
      </c>
      <c r="BQ160" s="330">
        <f t="shared" si="157"/>
        <v>0</v>
      </c>
      <c r="BR160" s="330">
        <f t="shared" si="158"/>
        <v>0</v>
      </c>
      <c r="BS160" s="330">
        <f t="shared" si="159"/>
        <v>0</v>
      </c>
      <c r="BT160" s="329">
        <f t="shared" si="210"/>
        <v>0</v>
      </c>
      <c r="BU160" s="329">
        <f t="shared" si="210"/>
        <v>0</v>
      </c>
      <c r="BV160" s="329">
        <f t="shared" si="210"/>
        <v>0</v>
      </c>
      <c r="BW160" s="329">
        <f t="shared" si="210"/>
        <v>0</v>
      </c>
      <c r="BX160" s="329">
        <f t="shared" si="210"/>
        <v>0</v>
      </c>
      <c r="BY160" s="329">
        <f t="shared" si="210"/>
        <v>0</v>
      </c>
      <c r="BZ160" s="329">
        <f t="shared" si="210"/>
        <v>0</v>
      </c>
      <c r="CA160" s="329">
        <f t="shared" si="210"/>
        <v>0</v>
      </c>
      <c r="CB160" s="329">
        <f t="shared" si="210"/>
        <v>0</v>
      </c>
      <c r="CC160" s="329">
        <f t="shared" si="210"/>
        <v>0</v>
      </c>
      <c r="CD160" s="329">
        <f t="shared" si="210"/>
        <v>0</v>
      </c>
      <c r="CE160" s="329">
        <f t="shared" si="210"/>
        <v>0</v>
      </c>
      <c r="CF160" s="329">
        <f t="shared" si="210"/>
        <v>0</v>
      </c>
      <c r="CG160" s="329">
        <f t="shared" si="210"/>
        <v>0</v>
      </c>
      <c r="CH160" s="329">
        <f t="shared" si="210"/>
        <v>0</v>
      </c>
      <c r="CI160" s="329">
        <f t="shared" si="210"/>
        <v>0</v>
      </c>
      <c r="CJ160" s="331">
        <f t="shared" si="200"/>
        <v>0</v>
      </c>
      <c r="CK160" s="330">
        <f t="shared" si="201"/>
        <v>0</v>
      </c>
      <c r="CL160" s="330">
        <f t="shared" si="202"/>
        <v>0</v>
      </c>
      <c r="CM160" s="330">
        <f t="shared" si="203"/>
        <v>0</v>
      </c>
      <c r="CN160" s="330">
        <f t="shared" si="204"/>
        <v>0</v>
      </c>
      <c r="CO160" s="330">
        <f t="shared" si="205"/>
        <v>0</v>
      </c>
      <c r="CP160" s="330">
        <f t="shared" si="206"/>
        <v>0</v>
      </c>
      <c r="CQ160" s="330">
        <f t="shared" si="186"/>
        <v>0</v>
      </c>
      <c r="CR160" s="330">
        <f t="shared" si="207"/>
        <v>0</v>
      </c>
      <c r="CS160" s="330">
        <f t="shared" si="208"/>
        <v>0</v>
      </c>
      <c r="CT160" s="330">
        <f t="shared" si="209"/>
        <v>0</v>
      </c>
      <c r="CU160" s="330">
        <f t="shared" si="211"/>
        <v>0</v>
      </c>
      <c r="CV160" s="330">
        <f t="shared" si="211"/>
        <v>0</v>
      </c>
      <c r="CW160" s="330">
        <f t="shared" si="211"/>
        <v>0</v>
      </c>
      <c r="CX160" s="330">
        <f t="shared" si="211"/>
        <v>0</v>
      </c>
      <c r="CY160" s="330">
        <f t="shared" si="211"/>
        <v>0</v>
      </c>
      <c r="CZ160" s="330">
        <f t="shared" si="211"/>
        <v>0</v>
      </c>
      <c r="DA160" s="330">
        <f t="shared" si="211"/>
        <v>0</v>
      </c>
      <c r="DB160" s="330">
        <f t="shared" si="211"/>
        <v>0</v>
      </c>
      <c r="DC160" s="330">
        <f t="shared" si="211"/>
        <v>0</v>
      </c>
      <c r="DD160" s="330">
        <f t="shared" si="211"/>
        <v>0</v>
      </c>
      <c r="DE160" s="330">
        <f t="shared" si="212"/>
        <v>0</v>
      </c>
      <c r="DF160" s="330">
        <f t="shared" si="212"/>
        <v>0</v>
      </c>
      <c r="DG160" s="330">
        <f t="shared" si="212"/>
        <v>0</v>
      </c>
      <c r="DH160" s="330">
        <f t="shared" si="212"/>
        <v>0</v>
      </c>
      <c r="DI160" s="330">
        <f t="shared" si="212"/>
        <v>0</v>
      </c>
      <c r="DJ160" s="330">
        <f t="shared" si="212"/>
        <v>0</v>
      </c>
      <c r="DK160" s="330">
        <f t="shared" si="212"/>
        <v>0</v>
      </c>
      <c r="DL160" s="330">
        <f t="shared" si="212"/>
        <v>0</v>
      </c>
      <c r="DM160" s="330">
        <f t="shared" si="212"/>
        <v>0</v>
      </c>
      <c r="DN160" s="330">
        <f t="shared" si="212"/>
        <v>0</v>
      </c>
      <c r="DO160" s="330">
        <f t="shared" si="212"/>
        <v>0</v>
      </c>
      <c r="DP160" s="330">
        <f t="shared" si="213"/>
        <v>0</v>
      </c>
      <c r="DQ160" s="217"/>
      <c r="DR160" s="217"/>
      <c r="DS160" s="217"/>
      <c r="DT160" s="217"/>
    </row>
    <row r="161" spans="1:124" x14ac:dyDescent="0.3">
      <c r="A161" s="332" t="str">
        <f>IF(AND(F161&lt;&gt;"",OR('Simplified Screening 1'!G52=0,'Simplified Screening 1'!G52="I Don't Know")),"Default","")</f>
        <v/>
      </c>
      <c r="B161" s="221" t="s">
        <v>306</v>
      </c>
      <c r="C161" s="221" t="str">
        <f>IF('Simplified Screening 1'!C52=0,"",'Simplified Screening 1'!C52)</f>
        <v/>
      </c>
      <c r="D161" s="221" t="str">
        <f>IF('Simplified Screening 1'!D52=0,"",'Simplified Screening 1'!D52)</f>
        <v/>
      </c>
      <c r="E161" s="221" t="str">
        <f>IF('Simplified Screening 1'!E52=0,"",'Simplified Screening 1'!E52)</f>
        <v/>
      </c>
      <c r="F161" s="221" t="str">
        <f>'Simplified Screening 1'!R52</f>
        <v/>
      </c>
      <c r="G161" s="272">
        <f>'Simplified Screening 1'!H52*'Simplified Screening 1'!L52*Conversions!$C$4</f>
        <v>0</v>
      </c>
      <c r="H161" s="272">
        <f>'Simplified Screening 1'!I52*'Simplified Screening 1'!M52*'Simplified Screening 1'!J52*Conversions!$C$4</f>
        <v>0</v>
      </c>
      <c r="I161" s="272">
        <f>'Simplified Screening 1'!K52*'Simplified Screening 1'!N52*(1-'Simplified Screening 1'!O52)*Conversions!$C$4</f>
        <v>0</v>
      </c>
      <c r="J161" s="325">
        <f>IF('Simplified Screening 1'!P52=0,0,'Simplified Screening 1'!P52)</f>
        <v>0</v>
      </c>
      <c r="K161" s="325">
        <f>IF(AND(OR('Simplified Screening 1'!G52=0,'Simplified Screening 1'!G52="I Don't Know"),F161&lt;&gt;""),J161*HLOOKUP(E161,'Equipment Assumptions'!$C$30:$Q$31,2,0),IF(F161="Non-HFC",0,J161))</f>
        <v>0</v>
      </c>
      <c r="L161" s="333">
        <f>IF($F161="",0,IF($A161="Default",$G161*VLOOKUP($F161,Lists!$C$72:$R$232,COLUMNS(Lists!$C$69:E$69),0)*VLOOKUP(BE$3,Conversions!$B$12:$E$34,4,0)*HLOOKUP($E161,'Equipment Assumptions'!$C$30:$Q$31,2,0),$G161*VLOOKUP($F161,Lists!$C$72:$R$232,COLUMNS(Lists!$C$69:E$69),0)*VLOOKUP(BE$3,Conversions!$B$12:$E$34,4,0)))</f>
        <v>0</v>
      </c>
      <c r="M161" s="333">
        <f>IF($F161="",0,IF($A161="Default",$G161*VLOOKUP($F161,Lists!$C$72:$R$232,COLUMNS(Lists!$C$69:F$69),0)*VLOOKUP(BF$3,Conversions!$B$12:$E$34,4,0)*HLOOKUP($E161,'Equipment Assumptions'!$C$30:$Q$31,2,0),$G161*VLOOKUP($F161,Lists!$C$72:$R$232,COLUMNS(Lists!$C$69:F$69),0)*VLOOKUP(BF$3,Conversions!$B$12:$E$34,4,0)))</f>
        <v>0</v>
      </c>
      <c r="N161" s="333">
        <f>IF($F161="",0,IF($A161="Default",$G161*VLOOKUP($F161,Lists!$C$72:$R$232,COLUMNS(Lists!$C$69:G$69),0)*VLOOKUP(BG$3,Conversions!$B$12:$E$34,4,0)*HLOOKUP($E161,'Equipment Assumptions'!$C$30:$Q$31,2,0),$G161*VLOOKUP($F161,Lists!$C$72:$R$232,COLUMNS(Lists!$C$69:G$69),0)*VLOOKUP(BG$3,Conversions!$B$12:$E$34,4,0)))</f>
        <v>0</v>
      </c>
      <c r="O161" s="333">
        <f>IF($F161="",0,IF($A161="Default",$G161*VLOOKUP($F161,Lists!$C$72:$R$232,COLUMNS(Lists!$C$69:H$69),0)*VLOOKUP(BH$3,Conversions!$B$12:$E$34,4,0)*HLOOKUP($E161,'Equipment Assumptions'!$C$30:$Q$31,2,0),$G161*VLOOKUP($F161,Lists!$C$72:$R$232,COLUMNS(Lists!$C$69:H$69),0)*VLOOKUP(BH$3,Conversions!$B$12:$E$34,4,0)))</f>
        <v>0</v>
      </c>
      <c r="P161" s="333">
        <f>IF($F161="",0,IF($A161="Default",$G161*VLOOKUP($F161,Lists!$C$72:$R$232,COLUMNS(Lists!$C$69:I$69),0)*VLOOKUP(BI$3,Conversions!$B$12:$E$34,4,0)*HLOOKUP($E161,'Equipment Assumptions'!$C$30:$Q$31,2,0),$G161*VLOOKUP($F161,Lists!$C$72:$R$232,COLUMNS(Lists!$C$69:I$69),0)*VLOOKUP(BI$3,Conversions!$B$12:$E$34,4,0)))</f>
        <v>0</v>
      </c>
      <c r="Q161" s="333">
        <f>IF($F161="",0,IF($A161="Default",$G161*VLOOKUP($F161,Lists!$C$72:$R$232,COLUMNS(Lists!$C$69:J$69),0)*VLOOKUP(BJ$3,Conversions!$B$12:$E$34,4,0)*HLOOKUP($E161,'Equipment Assumptions'!$C$30:$Q$31,2,0),$G161*VLOOKUP($F161,Lists!$C$72:$R$232,COLUMNS(Lists!$C$69:J$69),0)*VLOOKUP(BJ$3,Conversions!$B$12:$E$34,4,0)))</f>
        <v>0</v>
      </c>
      <c r="R161" s="333">
        <f>IF($F161="",0,IF($A161="Default",$G161*VLOOKUP($F161,Lists!$C$72:$R$232,COLUMNS(Lists!$C$69:K$69),0)*VLOOKUP(BK$3,Conversions!$B$12:$E$34,4,0)*HLOOKUP($E161,'Equipment Assumptions'!$C$30:$Q$31,2,0),$G161*VLOOKUP($F161,Lists!$C$72:$R$232,COLUMNS(Lists!$C$69:K$69),0)*VLOOKUP(BK$3,Conversions!$B$12:$E$34,4,0)))</f>
        <v>0</v>
      </c>
      <c r="S161" s="333">
        <f>IF($F161="",0,IF($A161="Default",$G161*VLOOKUP($F161,Lists!$C$72:$R$232,COLUMNS(Lists!$C$69:L$69),0)*VLOOKUP(BL$3,Conversions!$B$12:$E$34,4,0)*HLOOKUP($E161,'Equipment Assumptions'!$C$30:$Q$31,2,0),$G161*VLOOKUP($F161,Lists!$C$72:$R$232,COLUMNS(Lists!$C$69:L$69),0)*VLOOKUP(BL$3,Conversions!$B$12:$E$34,4,0)))</f>
        <v>0</v>
      </c>
      <c r="T161" s="333">
        <f>IF($F161="",0,IF($A161="Default",$G161*VLOOKUP($F161,Lists!$C$72:$R$232,COLUMNS(Lists!$C$69:M$69),0)*VLOOKUP(BM$3,Conversions!$B$12:$E$34,4,0)*HLOOKUP($E161,'Equipment Assumptions'!$C$30:$Q$31,2,0),$G161*VLOOKUP($F161,Lists!$C$72:$R$232,COLUMNS(Lists!$C$69:M$69),0)*VLOOKUP(BM$3,Conversions!$B$12:$E$34,4,0)))</f>
        <v>0</v>
      </c>
      <c r="U161" s="333">
        <f>IF($F161="",0,IF($A161="Default",$G161*VLOOKUP($F161,Lists!$C$72:$R$232,COLUMNS(Lists!$C$69:N$69),0)*VLOOKUP(BN$3,Conversions!$B$12:$E$34,4,0)*HLOOKUP($E161,'Equipment Assumptions'!$C$30:$Q$31,2,0),$G161*VLOOKUP($F161,Lists!$C$72:$R$232,COLUMNS(Lists!$C$69:N$69),0)*VLOOKUP(BN$3,Conversions!$B$12:$E$34,4,0)))</f>
        <v>0</v>
      </c>
      <c r="V161" s="333">
        <f>IF($F161="",0,IF($A161="Default",$G161*VLOOKUP($F161,Lists!$C$72:$R$232,COLUMNS(Lists!$C$69:O$69),0)*VLOOKUP(BO$3,Conversions!$B$12:$E$34,4,0)*HLOOKUP($E161,'Equipment Assumptions'!$C$30:$Q$31,2,0),$G161*VLOOKUP($F161,Lists!$C$72:$R$232,COLUMNS(Lists!$C$69:O$69),0)*VLOOKUP(BO$3,Conversions!$B$12:$E$34,4,0)))</f>
        <v>0</v>
      </c>
      <c r="W161" s="333">
        <f>IF($F161="",0,IF($A161="Default",$G161*VLOOKUP($F161,Lists!$C$72:$R$232,COLUMNS(Lists!$C$69:P$69),0)*VLOOKUP(BP$3,Conversions!$B$12:$E$34,4,0)*HLOOKUP($E161,'Equipment Assumptions'!$C$30:$Q$31,2,0),$G161*VLOOKUP($F161,Lists!$C$72:$R$232,COLUMNS(Lists!$C$69:P$69),0)*VLOOKUP(BP$3,Conversions!$B$12:$E$34,4,0)))</f>
        <v>0</v>
      </c>
      <c r="X161" s="333">
        <f>IF($F161="",0,IF($A161="Default",$G161*VLOOKUP($F161,Lists!$C$72:$R$232,COLUMNS(Lists!$C$69:Q$69),0)*VLOOKUP(BQ$3,Conversions!$B$12:$E$34,4,0)*HLOOKUP($E161,'Equipment Assumptions'!$C$30:$Q$31,2,0),$G161*VLOOKUP($F161,Lists!$C$72:$R$232,COLUMNS(Lists!$C$69:Q$69),0)*VLOOKUP(BQ$3,Conversions!$B$12:$E$34,4,0)))</f>
        <v>0</v>
      </c>
      <c r="Y161" s="333">
        <f>IF($F161="",0,IF($A161="Default",$G161*VLOOKUP($F161,Lists!$C$72:$R$232,COLUMNS(Lists!$C$69:R$69),0)*VLOOKUP(BR$3,Conversions!$B$12:$E$34,4,0)*HLOOKUP($E161,'Equipment Assumptions'!$C$30:$Q$31,2,0),$G161*VLOOKUP($F161,Lists!$C$72:$R$232,COLUMNS(Lists!$C$69:R$69),0)*VLOOKUP(BR$3,Conversions!$B$12:$E$34,4,0)))</f>
        <v>0</v>
      </c>
      <c r="Z161" s="325">
        <f t="shared" si="197"/>
        <v>0</v>
      </c>
      <c r="AA161" s="334">
        <f>IF($F161="",0,IF($A161="Default",$H161*VLOOKUP($F161,Lists!$C$72:$R$232,COLUMNS(Lists!$C$69:E$69),0)*VLOOKUP(BE$3,Conversions!$B$12:$E$34,4,0)*HLOOKUP($E161,'Equipment Assumptions'!$C$30:$Q$31,2,0),$H161*VLOOKUP($F161,Lists!$C$72:$R$232,COLUMNS(Lists!$C$69:E$69),0)*VLOOKUP(BE$3,Conversions!$B$12:$E$34,4,0)))</f>
        <v>0</v>
      </c>
      <c r="AB161" s="334">
        <f>IF($F161="",0,IF($A161="Default",$H161*VLOOKUP($F161,Lists!$C$72:$R$232,COLUMNS(Lists!$C$69:F$69),0)*VLOOKUP(BF$3,Conversions!$B$12:$E$34,4,0)*HLOOKUP($E161,'Equipment Assumptions'!$C$30:$Q$31,2,0),$H161*VLOOKUP($F161,Lists!$C$72:$R$232,COLUMNS(Lists!$C$69:F$69),0)*VLOOKUP(BF$3,Conversions!$B$12:$E$34,4,0)))</f>
        <v>0</v>
      </c>
      <c r="AC161" s="334">
        <f>IF($F161="",0,IF($A161="Default",$H161*VLOOKUP($F161,Lists!$C$72:$R$232,COLUMNS(Lists!$C$69:G$69),0)*VLOOKUP(BG$3,Conversions!$B$12:$E$34,4,0)*HLOOKUP($E161,'Equipment Assumptions'!$C$30:$Q$31,2,0),$H161*VLOOKUP($F161,Lists!$C$72:$R$232,COLUMNS(Lists!$C$69:G$69),0)*VLOOKUP(BG$3,Conversions!$B$12:$E$34,4,0)))</f>
        <v>0</v>
      </c>
      <c r="AD161" s="334">
        <f>IF($F161="",0,IF($A161="Default",$H161*VLOOKUP($F161,Lists!$C$72:$R$232,COLUMNS(Lists!$C$69:H$69),0)*VLOOKUP(BH$3,Conversions!$B$12:$E$34,4,0)*HLOOKUP($E161,'Equipment Assumptions'!$C$30:$Q$31,2,0),$H161*VLOOKUP($F161,Lists!$C$72:$R$232,COLUMNS(Lists!$C$69:H$69),0)*VLOOKUP(BH$3,Conversions!$B$12:$E$34,4,0)))</f>
        <v>0</v>
      </c>
      <c r="AE161" s="334">
        <f>IF($F161="",0,IF($A161="Default",$H161*VLOOKUP($F161,Lists!$C$72:$R$232,COLUMNS(Lists!$C$69:I$69),0)*VLOOKUP(BI$3,Conversions!$B$12:$E$34,4,0)*HLOOKUP($E161,'Equipment Assumptions'!$C$30:$Q$31,2,0),$H161*VLOOKUP($F161,Lists!$C$72:$R$232,COLUMNS(Lists!$C$69:I$69),0)*VLOOKUP(BI$3,Conversions!$B$12:$E$34,4,0)))</f>
        <v>0</v>
      </c>
      <c r="AF161" s="334">
        <f>IF($F161="",0,IF($A161="Default",$H161*VLOOKUP($F161,Lists!$C$72:$R$232,COLUMNS(Lists!$C$69:J$69),0)*VLOOKUP(BJ$3,Conversions!$B$12:$E$34,4,0)*HLOOKUP($E161,'Equipment Assumptions'!$C$30:$Q$31,2,0),$H161*VLOOKUP($F161,Lists!$C$72:$R$232,COLUMNS(Lists!$C$69:J$69),0)*VLOOKUP(BJ$3,Conversions!$B$12:$E$34,4,0)))</f>
        <v>0</v>
      </c>
      <c r="AG161" s="334">
        <f>IF($F161="",0,IF($A161="Default",$H161*VLOOKUP($F161,Lists!$C$72:$R$232,COLUMNS(Lists!$C$69:K$69),0)*VLOOKUP(BK$3,Conversions!$B$12:$E$34,4,0)*HLOOKUP($E161,'Equipment Assumptions'!$C$30:$Q$31,2,0),$H161*VLOOKUP($F161,Lists!$C$72:$R$232,COLUMNS(Lists!$C$69:K$69),0)*VLOOKUP(BK$3,Conversions!$B$12:$E$34,4,0)))</f>
        <v>0</v>
      </c>
      <c r="AH161" s="334">
        <f>IF($F161="",0,IF($A161="Default",$H161*VLOOKUP($F161,Lists!$C$72:$R$232,COLUMNS(Lists!$C$69:L$69),0)*VLOOKUP(BL$3,Conversions!$B$12:$E$34,4,0)*HLOOKUP($E161,'Equipment Assumptions'!$C$30:$Q$31,2,0),$H161*VLOOKUP($F161,Lists!$C$72:$R$232,COLUMNS(Lists!$C$69:L$69),0)*VLOOKUP(BL$3,Conversions!$B$12:$E$34,4,0)))</f>
        <v>0</v>
      </c>
      <c r="AI161" s="334">
        <f>IF($F161="",0,IF($A161="Default",$H161*VLOOKUP($F161,Lists!$C$72:$R$232,COLUMNS(Lists!$C$69:M$69),0)*VLOOKUP(BM$3,Conversions!$B$12:$E$34,4,0)*HLOOKUP($E161,'Equipment Assumptions'!$C$30:$Q$31,2,0),$H161*VLOOKUP($F161,Lists!$C$72:$R$232,COLUMNS(Lists!$C$69:M$69),0)*VLOOKUP(BM$3,Conversions!$B$12:$E$34,4,0)))</f>
        <v>0</v>
      </c>
      <c r="AJ161" s="334">
        <f>IF($F161="",0,IF($A161="Default",$H161*VLOOKUP($F161,Lists!$C$72:$R$232,COLUMNS(Lists!$C$69:N$69),0)*VLOOKUP(BN$3,Conversions!$B$12:$E$34,4,0)*HLOOKUP($E161,'Equipment Assumptions'!$C$30:$Q$31,2,0),$H161*VLOOKUP($F161,Lists!$C$72:$R$232,COLUMNS(Lists!$C$69:N$69),0)*VLOOKUP(BN$3,Conversions!$B$12:$E$34,4,0)))</f>
        <v>0</v>
      </c>
      <c r="AK161" s="334">
        <f>IF($F161="",0,IF($A161="Default",$H161*VLOOKUP($F161,Lists!$C$72:$R$232,COLUMNS(Lists!$C$69:O$69),0)*VLOOKUP(BO$3,Conversions!$B$12:$E$34,4,0)*HLOOKUP($E161,'Equipment Assumptions'!$C$30:$Q$31,2,0),$H161*VLOOKUP($F161,Lists!$C$72:$R$232,COLUMNS(Lists!$C$69:O$69),0)*VLOOKUP(BO$3,Conversions!$B$12:$E$34,4,0)))</f>
        <v>0</v>
      </c>
      <c r="AL161" s="334">
        <f>IF($F161="",0,IF($A161="Default",$H161*VLOOKUP($F161,Lists!$C$72:$R$232,COLUMNS(Lists!$C$69:P$69),0)*VLOOKUP(BP$3,Conversions!$B$12:$E$34,4,0)*HLOOKUP($E161,'Equipment Assumptions'!$C$30:$Q$31,2,0),$H161*VLOOKUP($F161,Lists!$C$72:$R$232,COLUMNS(Lists!$C$69:P$69),0)*VLOOKUP(BP$3,Conversions!$B$12:$E$34,4,0)))</f>
        <v>0</v>
      </c>
      <c r="AM161" s="334">
        <f>IF($F161="",0,IF($A161="Default",$H161*VLOOKUP($F161,Lists!$C$72:$R$232,COLUMNS(Lists!$C$69:Q$69),0)*VLOOKUP(BQ$3,Conversions!$B$12:$E$34,4,0)*HLOOKUP($E161,'Equipment Assumptions'!$C$30:$Q$31,2,0),$H161*VLOOKUP($F161,Lists!$C$72:$R$232,COLUMNS(Lists!$C$69:Q$69),0)*VLOOKUP(BQ$3,Conversions!$B$12:$E$34,4,0)))</f>
        <v>0</v>
      </c>
      <c r="AN161" s="334">
        <f>IF($F161="",0,IF($A161="Default",$H161*VLOOKUP($F161,Lists!$C$72:$R$232,COLUMNS(Lists!$C$69:R$69),0)*VLOOKUP(BR$3,Conversions!$B$12:$E$34,4,0)*HLOOKUP($E161,'Equipment Assumptions'!$C$30:$Q$31,2,0),$H161*VLOOKUP($F161,Lists!$C$72:$R$232,COLUMNS(Lists!$C$69:R$69),0)*VLOOKUP(BR$3,Conversions!$B$12:$E$34,4,0)))</f>
        <v>0</v>
      </c>
      <c r="AO161" s="330">
        <f t="shared" si="198"/>
        <v>0</v>
      </c>
      <c r="AP161" s="333">
        <f>IF($F161="",0,IF($A161="Default",$I161*VLOOKUP($F161,Lists!$C$72:$R$232,COLUMNS(Lists!$C$69:E$69),0)*VLOOKUP(BE$3,Conversions!$B$12:$E$34,4,0)*HLOOKUP($E161,'Equipment Assumptions'!$C$30:$Q$31,2,0),$I161*VLOOKUP($F161,Lists!$C$72:$R$232,COLUMNS(Lists!$C$69:E$69),0)*VLOOKUP(BE$3,Conversions!$B$12:$E$34,4,0)))</f>
        <v>0</v>
      </c>
      <c r="AQ161" s="333">
        <f>IF($F161="",0,IF($A161="Default",$I161*VLOOKUP($F161,Lists!$C$72:$R$232,COLUMNS(Lists!$C$69:F$69),0)*VLOOKUP(BF$3,Conversions!$B$12:$E$34,4,0)*HLOOKUP($E161,'Equipment Assumptions'!$C$30:$Q$31,2,0),$I161*VLOOKUP($F161,Lists!$C$72:$R$232,COLUMNS(Lists!$C$69:F$69),0)*VLOOKUP(BF$3,Conversions!$B$12:$E$34,4,0)))</f>
        <v>0</v>
      </c>
      <c r="AR161" s="333">
        <f>IF($F161="",0,IF($A161="Default",$I161*VLOOKUP($F161,Lists!$C$72:$R$232,COLUMNS(Lists!$C$69:G$69),0)*VLOOKUP(BG$3,Conversions!$B$12:$E$34,4,0)*HLOOKUP($E161,'Equipment Assumptions'!$C$30:$Q$31,2,0),$I161*VLOOKUP($F161,Lists!$C$72:$R$232,COLUMNS(Lists!$C$69:G$69),0)*VLOOKUP(BG$3,Conversions!$B$12:$E$34,4,0)))</f>
        <v>0</v>
      </c>
      <c r="AS161" s="333">
        <f>IF($F161="",0,IF($A161="Default",$I161*VLOOKUP($F161,Lists!$C$72:$R$232,COLUMNS(Lists!$C$69:H$69),0)*VLOOKUP(BH$3,Conversions!$B$12:$E$34,4,0)*HLOOKUP($E161,'Equipment Assumptions'!$C$30:$Q$31,2,0),$I161*VLOOKUP($F161,Lists!$C$72:$R$232,COLUMNS(Lists!$C$69:H$69),0)*VLOOKUP(BH$3,Conversions!$B$12:$E$34,4,0)))</f>
        <v>0</v>
      </c>
      <c r="AT161" s="333">
        <f>IF($F161="",0,IF($A161="Default",$I161*VLOOKUP($F161,Lists!$C$72:$R$232,COLUMNS(Lists!$C$69:I$69),0)*VLOOKUP(BI$3,Conversions!$B$12:$E$34,4,0)*HLOOKUP($E161,'Equipment Assumptions'!$C$30:$Q$31,2,0),$I161*VLOOKUP($F161,Lists!$C$72:$R$232,COLUMNS(Lists!$C$69:I$69),0)*VLOOKUP(BI$3,Conversions!$B$12:$E$34,4,0)))</f>
        <v>0</v>
      </c>
      <c r="AU161" s="333">
        <f>IF($F161="",0,IF($A161="Default",$I161*VLOOKUP($F161,Lists!$C$72:$R$232,COLUMNS(Lists!$C$69:J$69),0)*VLOOKUP(BJ$3,Conversions!$B$12:$E$34,4,0)*HLOOKUP($E161,'Equipment Assumptions'!$C$30:$Q$31,2,0),$I161*VLOOKUP($F161,Lists!$C$72:$R$232,COLUMNS(Lists!$C$69:J$69),0)*VLOOKUP(BJ$3,Conversions!$B$12:$E$34,4,0)))</f>
        <v>0</v>
      </c>
      <c r="AV161" s="333">
        <f>IF($F161="",0,IF($A161="Default",$I161*VLOOKUP($F161,Lists!$C$72:$R$232,COLUMNS(Lists!$C$69:K$69),0)*VLOOKUP(BK$3,Conversions!$B$12:$E$34,4,0)*HLOOKUP($E161,'Equipment Assumptions'!$C$30:$Q$31,2,0),$I161*VLOOKUP($F161,Lists!$C$72:$R$232,COLUMNS(Lists!$C$69:K$69),0)*VLOOKUP(BK$3,Conversions!$B$12:$E$34,4,0)))</f>
        <v>0</v>
      </c>
      <c r="AW161" s="333">
        <f>IF($F161="",0,IF($A161="Default",$I161*VLOOKUP($F161,Lists!$C$72:$R$232,COLUMNS(Lists!$C$69:L$69),0)*VLOOKUP(BL$3,Conversions!$B$12:$E$34,4,0)*HLOOKUP($E161,'Equipment Assumptions'!$C$30:$Q$31,2,0),$I161*VLOOKUP($F161,Lists!$C$72:$R$232,COLUMNS(Lists!$C$69:L$69),0)*VLOOKUP(BL$3,Conversions!$B$12:$E$34,4,0)))</f>
        <v>0</v>
      </c>
      <c r="AX161" s="333">
        <f>IF($F161="",0,IF($A161="Default",$I161*VLOOKUP($F161,Lists!$C$72:$R$232,COLUMNS(Lists!$C$69:M$69),0)*VLOOKUP(BM$3,Conversions!$B$12:$E$34,4,0)*HLOOKUP($E161,'Equipment Assumptions'!$C$30:$Q$31,2,0),$I161*VLOOKUP($F161,Lists!$C$72:$R$232,COLUMNS(Lists!$C$69:M$69),0)*VLOOKUP(BM$3,Conversions!$B$12:$E$34,4,0)))</f>
        <v>0</v>
      </c>
      <c r="AY161" s="333">
        <f>IF($F161="",0,IF($A161="Default",$I161*VLOOKUP($F161,Lists!$C$72:$R$232,COLUMNS(Lists!$C$69:N$69),0)*VLOOKUP(BN$3,Conversions!$B$12:$E$34,4,0)*HLOOKUP($E161,'Equipment Assumptions'!$C$30:$Q$31,2,0),$I161*VLOOKUP($F161,Lists!$C$72:$R$232,COLUMNS(Lists!$C$69:N$69),0)*VLOOKUP(BN$3,Conversions!$B$12:$E$34,4,0)))</f>
        <v>0</v>
      </c>
      <c r="AZ161" s="333">
        <f>IF($F161="",0,IF($A161="Default",$I161*VLOOKUP($F161,Lists!$C$72:$R$232,COLUMNS(Lists!$C$69:O$69),0)*VLOOKUP(BO$3,Conversions!$B$12:$E$34,4,0)*HLOOKUP($E161,'Equipment Assumptions'!$C$30:$Q$31,2,0),$I161*VLOOKUP($F161,Lists!$C$72:$R$232,COLUMNS(Lists!$C$69:O$69),0)*VLOOKUP(BO$3,Conversions!$B$12:$E$34,4,0)))</f>
        <v>0</v>
      </c>
      <c r="BA161" s="333">
        <f>IF($F161="",0,IF($A161="Default",$I161*VLOOKUP($F161,Lists!$C$72:$R$232,COLUMNS(Lists!$C$69:P$69),0)*VLOOKUP(BP$3,Conversions!$B$12:$E$34,4,0)*HLOOKUP($E161,'Equipment Assumptions'!$C$30:$Q$31,2,0),$I161*VLOOKUP($F161,Lists!$C$72:$R$232,COLUMNS(Lists!$C$69:P$69),0)*VLOOKUP(BP$3,Conversions!$B$12:$E$34,4,0)))</f>
        <v>0</v>
      </c>
      <c r="BB161" s="333">
        <f>IF($F161="",0,IF($A161="Default",$I161*VLOOKUP($F161,Lists!$C$72:$R$232,COLUMNS(Lists!$C$69:Q$69),0)*VLOOKUP(BQ$3,Conversions!$B$12:$E$34,4,0)*HLOOKUP($E161,'Equipment Assumptions'!$C$30:$Q$31,2,0),$I161*VLOOKUP($F161,Lists!$C$72:$R$232,COLUMNS(Lists!$C$69:Q$69),0)*VLOOKUP(BQ$3,Conversions!$B$12:$E$34,4,0)))</f>
        <v>0</v>
      </c>
      <c r="BC161" s="333">
        <f>IF($F161="",0,IF($A161="Default",$I161*VLOOKUP($F161,Lists!$C$72:$R$232,COLUMNS(Lists!$C$69:R$69),0)*VLOOKUP(BR$3,Conversions!$B$12:$E$34,4,0)*HLOOKUP($E161,'Equipment Assumptions'!$C$30:$Q$31,2,0),$I161*VLOOKUP($F161,Lists!$C$72:$R$232,COLUMNS(Lists!$C$69:R$69),0)*VLOOKUP(BR$3,Conversions!$B$12:$E$34,4,0)))</f>
        <v>0</v>
      </c>
      <c r="BD161" s="333">
        <f t="shared" si="199"/>
        <v>0</v>
      </c>
      <c r="BE161" s="330">
        <f t="shared" si="145"/>
        <v>0</v>
      </c>
      <c r="BF161" s="330">
        <f t="shared" si="146"/>
        <v>0</v>
      </c>
      <c r="BG161" s="330">
        <f t="shared" si="147"/>
        <v>0</v>
      </c>
      <c r="BH161" s="330">
        <f t="shared" si="148"/>
        <v>0</v>
      </c>
      <c r="BI161" s="330">
        <f t="shared" si="149"/>
        <v>0</v>
      </c>
      <c r="BJ161" s="330">
        <f t="shared" si="150"/>
        <v>0</v>
      </c>
      <c r="BK161" s="330">
        <f t="shared" si="151"/>
        <v>0</v>
      </c>
      <c r="BL161" s="330">
        <f t="shared" si="152"/>
        <v>0</v>
      </c>
      <c r="BM161" s="330">
        <f t="shared" si="153"/>
        <v>0</v>
      </c>
      <c r="BN161" s="330">
        <f t="shared" si="154"/>
        <v>0</v>
      </c>
      <c r="BO161" s="330">
        <f t="shared" si="155"/>
        <v>0</v>
      </c>
      <c r="BP161" s="330">
        <f t="shared" si="156"/>
        <v>0</v>
      </c>
      <c r="BQ161" s="330">
        <f t="shared" si="157"/>
        <v>0</v>
      </c>
      <c r="BR161" s="330">
        <f t="shared" si="158"/>
        <v>0</v>
      </c>
      <c r="BS161" s="330">
        <f t="shared" si="159"/>
        <v>0</v>
      </c>
      <c r="BT161" s="329">
        <f t="shared" si="210"/>
        <v>0</v>
      </c>
      <c r="BU161" s="329">
        <f t="shared" si="210"/>
        <v>0</v>
      </c>
      <c r="BV161" s="329">
        <f t="shared" si="210"/>
        <v>0</v>
      </c>
      <c r="BW161" s="329">
        <f t="shared" si="210"/>
        <v>0</v>
      </c>
      <c r="BX161" s="329">
        <f t="shared" si="210"/>
        <v>0</v>
      </c>
      <c r="BY161" s="329">
        <f t="shared" si="210"/>
        <v>0</v>
      </c>
      <c r="BZ161" s="329">
        <f t="shared" si="210"/>
        <v>0</v>
      </c>
      <c r="CA161" s="329">
        <f t="shared" si="210"/>
        <v>0</v>
      </c>
      <c r="CB161" s="329">
        <f t="shared" si="210"/>
        <v>0</v>
      </c>
      <c r="CC161" s="329">
        <f t="shared" si="210"/>
        <v>0</v>
      </c>
      <c r="CD161" s="329">
        <f t="shared" si="210"/>
        <v>0</v>
      </c>
      <c r="CE161" s="329">
        <f t="shared" si="210"/>
        <v>0</v>
      </c>
      <c r="CF161" s="329">
        <f t="shared" si="210"/>
        <v>0</v>
      </c>
      <c r="CG161" s="329">
        <f t="shared" si="210"/>
        <v>0</v>
      </c>
      <c r="CH161" s="329">
        <f t="shared" si="210"/>
        <v>0</v>
      </c>
      <c r="CI161" s="329">
        <f t="shared" si="210"/>
        <v>0</v>
      </c>
      <c r="CJ161" s="331">
        <f t="shared" si="200"/>
        <v>0</v>
      </c>
      <c r="CK161" s="330">
        <f t="shared" si="201"/>
        <v>0</v>
      </c>
      <c r="CL161" s="330">
        <f t="shared" si="202"/>
        <v>0</v>
      </c>
      <c r="CM161" s="330">
        <f t="shared" si="203"/>
        <v>0</v>
      </c>
      <c r="CN161" s="330">
        <f t="shared" si="204"/>
        <v>0</v>
      </c>
      <c r="CO161" s="330">
        <f t="shared" si="205"/>
        <v>0</v>
      </c>
      <c r="CP161" s="330">
        <f t="shared" si="206"/>
        <v>0</v>
      </c>
      <c r="CQ161" s="330">
        <f t="shared" si="186"/>
        <v>0</v>
      </c>
      <c r="CR161" s="330">
        <f t="shared" si="207"/>
        <v>0</v>
      </c>
      <c r="CS161" s="330">
        <f t="shared" si="208"/>
        <v>0</v>
      </c>
      <c r="CT161" s="330">
        <f t="shared" si="209"/>
        <v>0</v>
      </c>
      <c r="CU161" s="330">
        <f t="shared" si="211"/>
        <v>0</v>
      </c>
      <c r="CV161" s="330">
        <f t="shared" si="211"/>
        <v>0</v>
      </c>
      <c r="CW161" s="330">
        <f t="shared" si="211"/>
        <v>0</v>
      </c>
      <c r="CX161" s="330">
        <f t="shared" si="211"/>
        <v>0</v>
      </c>
      <c r="CY161" s="330">
        <f t="shared" si="211"/>
        <v>0</v>
      </c>
      <c r="CZ161" s="330">
        <f t="shared" si="211"/>
        <v>0</v>
      </c>
      <c r="DA161" s="330">
        <f t="shared" si="211"/>
        <v>0</v>
      </c>
      <c r="DB161" s="330">
        <f t="shared" si="211"/>
        <v>0</v>
      </c>
      <c r="DC161" s="330">
        <f t="shared" si="211"/>
        <v>0</v>
      </c>
      <c r="DD161" s="330">
        <f t="shared" si="211"/>
        <v>0</v>
      </c>
      <c r="DE161" s="330">
        <f t="shared" si="212"/>
        <v>0</v>
      </c>
      <c r="DF161" s="330">
        <f t="shared" si="212"/>
        <v>0</v>
      </c>
      <c r="DG161" s="330">
        <f t="shared" si="212"/>
        <v>0</v>
      </c>
      <c r="DH161" s="330">
        <f t="shared" si="212"/>
        <v>0</v>
      </c>
      <c r="DI161" s="330">
        <f t="shared" si="212"/>
        <v>0</v>
      </c>
      <c r="DJ161" s="330">
        <f t="shared" si="212"/>
        <v>0</v>
      </c>
      <c r="DK161" s="330">
        <f t="shared" si="212"/>
        <v>0</v>
      </c>
      <c r="DL161" s="330">
        <f t="shared" si="212"/>
        <v>0</v>
      </c>
      <c r="DM161" s="330">
        <f t="shared" si="212"/>
        <v>0</v>
      </c>
      <c r="DN161" s="330">
        <f t="shared" si="212"/>
        <v>0</v>
      </c>
      <c r="DO161" s="330">
        <f t="shared" si="212"/>
        <v>0</v>
      </c>
      <c r="DP161" s="330">
        <f t="shared" si="213"/>
        <v>0</v>
      </c>
      <c r="DQ161" s="217"/>
      <c r="DR161" s="217"/>
      <c r="DS161" s="217"/>
      <c r="DT161" s="217"/>
    </row>
    <row r="162" spans="1:124" x14ac:dyDescent="0.3">
      <c r="A162" s="332" t="str">
        <f>IF(AND(F162&lt;&gt;"",OR('Simplified Screening 1'!G53=0,'Simplified Screening 1'!G53="I Don't Know")),"Default","")</f>
        <v/>
      </c>
      <c r="B162" s="221" t="s">
        <v>306</v>
      </c>
      <c r="C162" s="221" t="str">
        <f>IF('Simplified Screening 1'!C53=0,"",'Simplified Screening 1'!C53)</f>
        <v/>
      </c>
      <c r="D162" s="221" t="str">
        <f>IF('Simplified Screening 1'!D53=0,"",'Simplified Screening 1'!D53)</f>
        <v/>
      </c>
      <c r="E162" s="221" t="str">
        <f>IF('Simplified Screening 1'!E53=0,"",'Simplified Screening 1'!E53)</f>
        <v/>
      </c>
      <c r="F162" s="221" t="str">
        <f>'Simplified Screening 1'!R53</f>
        <v/>
      </c>
      <c r="G162" s="272">
        <f>'Simplified Screening 1'!H53*'Simplified Screening 1'!L53*Conversions!$C$4</f>
        <v>0</v>
      </c>
      <c r="H162" s="272">
        <f>'Simplified Screening 1'!I53*'Simplified Screening 1'!M53*'Simplified Screening 1'!J53*Conversions!$C$4</f>
        <v>0</v>
      </c>
      <c r="I162" s="272">
        <f>'Simplified Screening 1'!K53*'Simplified Screening 1'!N53*(1-'Simplified Screening 1'!O53)*Conversions!$C$4</f>
        <v>0</v>
      </c>
      <c r="J162" s="325">
        <f>IF('Simplified Screening 1'!P53=0,0,'Simplified Screening 1'!P53)</f>
        <v>0</v>
      </c>
      <c r="K162" s="325">
        <f>IF(AND(OR('Simplified Screening 1'!G53=0,'Simplified Screening 1'!G53="I Don't Know"),F162&lt;&gt;""),J162*HLOOKUP(E162,'Equipment Assumptions'!$C$30:$Q$31,2,0),IF(F162="Non-HFC",0,J162))</f>
        <v>0</v>
      </c>
      <c r="L162" s="333">
        <f>IF($F162="",0,IF($A162="Default",$G162*VLOOKUP($F162,Lists!$C$72:$R$232,COLUMNS(Lists!$C$69:E$69),0)*VLOOKUP(BE$3,Conversions!$B$12:$E$34,4,0)*HLOOKUP($E162,'Equipment Assumptions'!$C$30:$Q$31,2,0),$G162*VLOOKUP($F162,Lists!$C$72:$R$232,COLUMNS(Lists!$C$69:E$69),0)*VLOOKUP(BE$3,Conversions!$B$12:$E$34,4,0)))</f>
        <v>0</v>
      </c>
      <c r="M162" s="333">
        <f>IF($F162="",0,IF($A162="Default",$G162*VLOOKUP($F162,Lists!$C$72:$R$232,COLUMNS(Lists!$C$69:F$69),0)*VLOOKUP(BF$3,Conversions!$B$12:$E$34,4,0)*HLOOKUP($E162,'Equipment Assumptions'!$C$30:$Q$31,2,0),$G162*VLOOKUP($F162,Lists!$C$72:$R$232,COLUMNS(Lists!$C$69:F$69),0)*VLOOKUP(BF$3,Conversions!$B$12:$E$34,4,0)))</f>
        <v>0</v>
      </c>
      <c r="N162" s="333">
        <f>IF($F162="",0,IF($A162="Default",$G162*VLOOKUP($F162,Lists!$C$72:$R$232,COLUMNS(Lists!$C$69:G$69),0)*VLOOKUP(BG$3,Conversions!$B$12:$E$34,4,0)*HLOOKUP($E162,'Equipment Assumptions'!$C$30:$Q$31,2,0),$G162*VLOOKUP($F162,Lists!$C$72:$R$232,COLUMNS(Lists!$C$69:G$69),0)*VLOOKUP(BG$3,Conversions!$B$12:$E$34,4,0)))</f>
        <v>0</v>
      </c>
      <c r="O162" s="333">
        <f>IF($F162="",0,IF($A162="Default",$G162*VLOOKUP($F162,Lists!$C$72:$R$232,COLUMNS(Lists!$C$69:H$69),0)*VLOOKUP(BH$3,Conversions!$B$12:$E$34,4,0)*HLOOKUP($E162,'Equipment Assumptions'!$C$30:$Q$31,2,0),$G162*VLOOKUP($F162,Lists!$C$72:$R$232,COLUMNS(Lists!$C$69:H$69),0)*VLOOKUP(BH$3,Conversions!$B$12:$E$34,4,0)))</f>
        <v>0</v>
      </c>
      <c r="P162" s="333">
        <f>IF($F162="",0,IF($A162="Default",$G162*VLOOKUP($F162,Lists!$C$72:$R$232,COLUMNS(Lists!$C$69:I$69),0)*VLOOKUP(BI$3,Conversions!$B$12:$E$34,4,0)*HLOOKUP($E162,'Equipment Assumptions'!$C$30:$Q$31,2,0),$G162*VLOOKUP($F162,Lists!$C$72:$R$232,COLUMNS(Lists!$C$69:I$69),0)*VLOOKUP(BI$3,Conversions!$B$12:$E$34,4,0)))</f>
        <v>0</v>
      </c>
      <c r="Q162" s="333">
        <f>IF($F162="",0,IF($A162="Default",$G162*VLOOKUP($F162,Lists!$C$72:$R$232,COLUMNS(Lists!$C$69:J$69),0)*VLOOKUP(BJ$3,Conversions!$B$12:$E$34,4,0)*HLOOKUP($E162,'Equipment Assumptions'!$C$30:$Q$31,2,0),$G162*VLOOKUP($F162,Lists!$C$72:$R$232,COLUMNS(Lists!$C$69:J$69),0)*VLOOKUP(BJ$3,Conversions!$B$12:$E$34,4,0)))</f>
        <v>0</v>
      </c>
      <c r="R162" s="333">
        <f>IF($F162="",0,IF($A162="Default",$G162*VLOOKUP($F162,Lists!$C$72:$R$232,COLUMNS(Lists!$C$69:K$69),0)*VLOOKUP(BK$3,Conversions!$B$12:$E$34,4,0)*HLOOKUP($E162,'Equipment Assumptions'!$C$30:$Q$31,2,0),$G162*VLOOKUP($F162,Lists!$C$72:$R$232,COLUMNS(Lists!$C$69:K$69),0)*VLOOKUP(BK$3,Conversions!$B$12:$E$34,4,0)))</f>
        <v>0</v>
      </c>
      <c r="S162" s="333">
        <f>IF($F162="",0,IF($A162="Default",$G162*VLOOKUP($F162,Lists!$C$72:$R$232,COLUMNS(Lists!$C$69:L$69),0)*VLOOKUP(BL$3,Conversions!$B$12:$E$34,4,0)*HLOOKUP($E162,'Equipment Assumptions'!$C$30:$Q$31,2,0),$G162*VLOOKUP($F162,Lists!$C$72:$R$232,COLUMNS(Lists!$C$69:L$69),0)*VLOOKUP(BL$3,Conversions!$B$12:$E$34,4,0)))</f>
        <v>0</v>
      </c>
      <c r="T162" s="333">
        <f>IF($F162="",0,IF($A162="Default",$G162*VLOOKUP($F162,Lists!$C$72:$R$232,COLUMNS(Lists!$C$69:M$69),0)*VLOOKUP(BM$3,Conversions!$B$12:$E$34,4,0)*HLOOKUP($E162,'Equipment Assumptions'!$C$30:$Q$31,2,0),$G162*VLOOKUP($F162,Lists!$C$72:$R$232,COLUMNS(Lists!$C$69:M$69),0)*VLOOKUP(BM$3,Conversions!$B$12:$E$34,4,0)))</f>
        <v>0</v>
      </c>
      <c r="U162" s="333">
        <f>IF($F162="",0,IF($A162="Default",$G162*VLOOKUP($F162,Lists!$C$72:$R$232,COLUMNS(Lists!$C$69:N$69),0)*VLOOKUP(BN$3,Conversions!$B$12:$E$34,4,0)*HLOOKUP($E162,'Equipment Assumptions'!$C$30:$Q$31,2,0),$G162*VLOOKUP($F162,Lists!$C$72:$R$232,COLUMNS(Lists!$C$69:N$69),0)*VLOOKUP(BN$3,Conversions!$B$12:$E$34,4,0)))</f>
        <v>0</v>
      </c>
      <c r="V162" s="333">
        <f>IF($F162="",0,IF($A162="Default",$G162*VLOOKUP($F162,Lists!$C$72:$R$232,COLUMNS(Lists!$C$69:O$69),0)*VLOOKUP(BO$3,Conversions!$B$12:$E$34,4,0)*HLOOKUP($E162,'Equipment Assumptions'!$C$30:$Q$31,2,0),$G162*VLOOKUP($F162,Lists!$C$72:$R$232,COLUMNS(Lists!$C$69:O$69),0)*VLOOKUP(BO$3,Conversions!$B$12:$E$34,4,0)))</f>
        <v>0</v>
      </c>
      <c r="W162" s="333">
        <f>IF($F162="",0,IF($A162="Default",$G162*VLOOKUP($F162,Lists!$C$72:$R$232,COLUMNS(Lists!$C$69:P$69),0)*VLOOKUP(BP$3,Conversions!$B$12:$E$34,4,0)*HLOOKUP($E162,'Equipment Assumptions'!$C$30:$Q$31,2,0),$G162*VLOOKUP($F162,Lists!$C$72:$R$232,COLUMNS(Lists!$C$69:P$69),0)*VLOOKUP(BP$3,Conversions!$B$12:$E$34,4,0)))</f>
        <v>0</v>
      </c>
      <c r="X162" s="333">
        <f>IF($F162="",0,IF($A162="Default",$G162*VLOOKUP($F162,Lists!$C$72:$R$232,COLUMNS(Lists!$C$69:Q$69),0)*VLOOKUP(BQ$3,Conversions!$B$12:$E$34,4,0)*HLOOKUP($E162,'Equipment Assumptions'!$C$30:$Q$31,2,0),$G162*VLOOKUP($F162,Lists!$C$72:$R$232,COLUMNS(Lists!$C$69:Q$69),0)*VLOOKUP(BQ$3,Conversions!$B$12:$E$34,4,0)))</f>
        <v>0</v>
      </c>
      <c r="Y162" s="333">
        <f>IF($F162="",0,IF($A162="Default",$G162*VLOOKUP($F162,Lists!$C$72:$R$232,COLUMNS(Lists!$C$69:R$69),0)*VLOOKUP(BR$3,Conversions!$B$12:$E$34,4,0)*HLOOKUP($E162,'Equipment Assumptions'!$C$30:$Q$31,2,0),$G162*VLOOKUP($F162,Lists!$C$72:$R$232,COLUMNS(Lists!$C$69:R$69),0)*VLOOKUP(BR$3,Conversions!$B$12:$E$34,4,0)))</f>
        <v>0</v>
      </c>
      <c r="Z162" s="325">
        <f t="shared" si="197"/>
        <v>0</v>
      </c>
      <c r="AA162" s="334">
        <f>IF($F162="",0,IF($A162="Default",$H162*VLOOKUP($F162,Lists!$C$72:$R$232,COLUMNS(Lists!$C$69:E$69),0)*VLOOKUP(BE$3,Conversions!$B$12:$E$34,4,0)*HLOOKUP($E162,'Equipment Assumptions'!$C$30:$Q$31,2,0),$H162*VLOOKUP($F162,Lists!$C$72:$R$232,COLUMNS(Lists!$C$69:E$69),0)*VLOOKUP(BE$3,Conversions!$B$12:$E$34,4,0)))</f>
        <v>0</v>
      </c>
      <c r="AB162" s="334">
        <f>IF($F162="",0,IF($A162="Default",$H162*VLOOKUP($F162,Lists!$C$72:$R$232,COLUMNS(Lists!$C$69:F$69),0)*VLOOKUP(BF$3,Conversions!$B$12:$E$34,4,0)*HLOOKUP($E162,'Equipment Assumptions'!$C$30:$Q$31,2,0),$H162*VLOOKUP($F162,Lists!$C$72:$R$232,COLUMNS(Lists!$C$69:F$69),0)*VLOOKUP(BF$3,Conversions!$B$12:$E$34,4,0)))</f>
        <v>0</v>
      </c>
      <c r="AC162" s="334">
        <f>IF($F162="",0,IF($A162="Default",$H162*VLOOKUP($F162,Lists!$C$72:$R$232,COLUMNS(Lists!$C$69:G$69),0)*VLOOKUP(BG$3,Conversions!$B$12:$E$34,4,0)*HLOOKUP($E162,'Equipment Assumptions'!$C$30:$Q$31,2,0),$H162*VLOOKUP($F162,Lists!$C$72:$R$232,COLUMNS(Lists!$C$69:G$69),0)*VLOOKUP(BG$3,Conversions!$B$12:$E$34,4,0)))</f>
        <v>0</v>
      </c>
      <c r="AD162" s="334">
        <f>IF($F162="",0,IF($A162="Default",$H162*VLOOKUP($F162,Lists!$C$72:$R$232,COLUMNS(Lists!$C$69:H$69),0)*VLOOKUP(BH$3,Conversions!$B$12:$E$34,4,0)*HLOOKUP($E162,'Equipment Assumptions'!$C$30:$Q$31,2,0),$H162*VLOOKUP($F162,Lists!$C$72:$R$232,COLUMNS(Lists!$C$69:H$69),0)*VLOOKUP(BH$3,Conversions!$B$12:$E$34,4,0)))</f>
        <v>0</v>
      </c>
      <c r="AE162" s="334">
        <f>IF($F162="",0,IF($A162="Default",$H162*VLOOKUP($F162,Lists!$C$72:$R$232,COLUMNS(Lists!$C$69:I$69),0)*VLOOKUP(BI$3,Conversions!$B$12:$E$34,4,0)*HLOOKUP($E162,'Equipment Assumptions'!$C$30:$Q$31,2,0),$H162*VLOOKUP($F162,Lists!$C$72:$R$232,COLUMNS(Lists!$C$69:I$69),0)*VLOOKUP(BI$3,Conversions!$B$12:$E$34,4,0)))</f>
        <v>0</v>
      </c>
      <c r="AF162" s="334">
        <f>IF($F162="",0,IF($A162="Default",$H162*VLOOKUP($F162,Lists!$C$72:$R$232,COLUMNS(Lists!$C$69:J$69),0)*VLOOKUP(BJ$3,Conversions!$B$12:$E$34,4,0)*HLOOKUP($E162,'Equipment Assumptions'!$C$30:$Q$31,2,0),$H162*VLOOKUP($F162,Lists!$C$72:$R$232,COLUMNS(Lists!$C$69:J$69),0)*VLOOKUP(BJ$3,Conversions!$B$12:$E$34,4,0)))</f>
        <v>0</v>
      </c>
      <c r="AG162" s="334">
        <f>IF($F162="",0,IF($A162="Default",$H162*VLOOKUP($F162,Lists!$C$72:$R$232,COLUMNS(Lists!$C$69:K$69),0)*VLOOKUP(BK$3,Conversions!$B$12:$E$34,4,0)*HLOOKUP($E162,'Equipment Assumptions'!$C$30:$Q$31,2,0),$H162*VLOOKUP($F162,Lists!$C$72:$R$232,COLUMNS(Lists!$C$69:K$69),0)*VLOOKUP(BK$3,Conversions!$B$12:$E$34,4,0)))</f>
        <v>0</v>
      </c>
      <c r="AH162" s="334">
        <f>IF($F162="",0,IF($A162="Default",$H162*VLOOKUP($F162,Lists!$C$72:$R$232,COLUMNS(Lists!$C$69:L$69),0)*VLOOKUP(BL$3,Conversions!$B$12:$E$34,4,0)*HLOOKUP($E162,'Equipment Assumptions'!$C$30:$Q$31,2,0),$H162*VLOOKUP($F162,Lists!$C$72:$R$232,COLUMNS(Lists!$C$69:L$69),0)*VLOOKUP(BL$3,Conversions!$B$12:$E$34,4,0)))</f>
        <v>0</v>
      </c>
      <c r="AI162" s="334">
        <f>IF($F162="",0,IF($A162="Default",$H162*VLOOKUP($F162,Lists!$C$72:$R$232,COLUMNS(Lists!$C$69:M$69),0)*VLOOKUP(BM$3,Conversions!$B$12:$E$34,4,0)*HLOOKUP($E162,'Equipment Assumptions'!$C$30:$Q$31,2,0),$H162*VLOOKUP($F162,Lists!$C$72:$R$232,COLUMNS(Lists!$C$69:M$69),0)*VLOOKUP(BM$3,Conversions!$B$12:$E$34,4,0)))</f>
        <v>0</v>
      </c>
      <c r="AJ162" s="334">
        <f>IF($F162="",0,IF($A162="Default",$H162*VLOOKUP($F162,Lists!$C$72:$R$232,COLUMNS(Lists!$C$69:N$69),0)*VLOOKUP(BN$3,Conversions!$B$12:$E$34,4,0)*HLOOKUP($E162,'Equipment Assumptions'!$C$30:$Q$31,2,0),$H162*VLOOKUP($F162,Lists!$C$72:$R$232,COLUMNS(Lists!$C$69:N$69),0)*VLOOKUP(BN$3,Conversions!$B$12:$E$34,4,0)))</f>
        <v>0</v>
      </c>
      <c r="AK162" s="334">
        <f>IF($F162="",0,IF($A162="Default",$H162*VLOOKUP($F162,Lists!$C$72:$R$232,COLUMNS(Lists!$C$69:O$69),0)*VLOOKUP(BO$3,Conversions!$B$12:$E$34,4,0)*HLOOKUP($E162,'Equipment Assumptions'!$C$30:$Q$31,2,0),$H162*VLOOKUP($F162,Lists!$C$72:$R$232,COLUMNS(Lists!$C$69:O$69),0)*VLOOKUP(BO$3,Conversions!$B$12:$E$34,4,0)))</f>
        <v>0</v>
      </c>
      <c r="AL162" s="334">
        <f>IF($F162="",0,IF($A162="Default",$H162*VLOOKUP($F162,Lists!$C$72:$R$232,COLUMNS(Lists!$C$69:P$69),0)*VLOOKUP(BP$3,Conversions!$B$12:$E$34,4,0)*HLOOKUP($E162,'Equipment Assumptions'!$C$30:$Q$31,2,0),$H162*VLOOKUP($F162,Lists!$C$72:$R$232,COLUMNS(Lists!$C$69:P$69),0)*VLOOKUP(BP$3,Conversions!$B$12:$E$34,4,0)))</f>
        <v>0</v>
      </c>
      <c r="AM162" s="334">
        <f>IF($F162="",0,IF($A162="Default",$H162*VLOOKUP($F162,Lists!$C$72:$R$232,COLUMNS(Lists!$C$69:Q$69),0)*VLOOKUP(BQ$3,Conversions!$B$12:$E$34,4,0)*HLOOKUP($E162,'Equipment Assumptions'!$C$30:$Q$31,2,0),$H162*VLOOKUP($F162,Lists!$C$72:$R$232,COLUMNS(Lists!$C$69:Q$69),0)*VLOOKUP(BQ$3,Conversions!$B$12:$E$34,4,0)))</f>
        <v>0</v>
      </c>
      <c r="AN162" s="334">
        <f>IF($F162="",0,IF($A162="Default",$H162*VLOOKUP($F162,Lists!$C$72:$R$232,COLUMNS(Lists!$C$69:R$69),0)*VLOOKUP(BR$3,Conversions!$B$12:$E$34,4,0)*HLOOKUP($E162,'Equipment Assumptions'!$C$30:$Q$31,2,0),$H162*VLOOKUP($F162,Lists!$C$72:$R$232,COLUMNS(Lists!$C$69:R$69),0)*VLOOKUP(BR$3,Conversions!$B$12:$E$34,4,0)))</f>
        <v>0</v>
      </c>
      <c r="AO162" s="330">
        <f t="shared" si="198"/>
        <v>0</v>
      </c>
      <c r="AP162" s="333">
        <f>IF($F162="",0,IF($A162="Default",$I162*VLOOKUP($F162,Lists!$C$72:$R$232,COLUMNS(Lists!$C$69:E$69),0)*VLOOKUP(BE$3,Conversions!$B$12:$E$34,4,0)*HLOOKUP($E162,'Equipment Assumptions'!$C$30:$Q$31,2,0),$I162*VLOOKUP($F162,Lists!$C$72:$R$232,COLUMNS(Lists!$C$69:E$69),0)*VLOOKUP(BE$3,Conversions!$B$12:$E$34,4,0)))</f>
        <v>0</v>
      </c>
      <c r="AQ162" s="333">
        <f>IF($F162="",0,IF($A162="Default",$I162*VLOOKUP($F162,Lists!$C$72:$R$232,COLUMNS(Lists!$C$69:F$69),0)*VLOOKUP(BF$3,Conversions!$B$12:$E$34,4,0)*HLOOKUP($E162,'Equipment Assumptions'!$C$30:$Q$31,2,0),$I162*VLOOKUP($F162,Lists!$C$72:$R$232,COLUMNS(Lists!$C$69:F$69),0)*VLOOKUP(BF$3,Conversions!$B$12:$E$34,4,0)))</f>
        <v>0</v>
      </c>
      <c r="AR162" s="333">
        <f>IF($F162="",0,IF($A162="Default",$I162*VLOOKUP($F162,Lists!$C$72:$R$232,COLUMNS(Lists!$C$69:G$69),0)*VLOOKUP(BG$3,Conversions!$B$12:$E$34,4,0)*HLOOKUP($E162,'Equipment Assumptions'!$C$30:$Q$31,2,0),$I162*VLOOKUP($F162,Lists!$C$72:$R$232,COLUMNS(Lists!$C$69:G$69),0)*VLOOKUP(BG$3,Conversions!$B$12:$E$34,4,0)))</f>
        <v>0</v>
      </c>
      <c r="AS162" s="333">
        <f>IF($F162="",0,IF($A162="Default",$I162*VLOOKUP($F162,Lists!$C$72:$R$232,COLUMNS(Lists!$C$69:H$69),0)*VLOOKUP(BH$3,Conversions!$B$12:$E$34,4,0)*HLOOKUP($E162,'Equipment Assumptions'!$C$30:$Q$31,2,0),$I162*VLOOKUP($F162,Lists!$C$72:$R$232,COLUMNS(Lists!$C$69:H$69),0)*VLOOKUP(BH$3,Conversions!$B$12:$E$34,4,0)))</f>
        <v>0</v>
      </c>
      <c r="AT162" s="333">
        <f>IF($F162="",0,IF($A162="Default",$I162*VLOOKUP($F162,Lists!$C$72:$R$232,COLUMNS(Lists!$C$69:I$69),0)*VLOOKUP(BI$3,Conversions!$B$12:$E$34,4,0)*HLOOKUP($E162,'Equipment Assumptions'!$C$30:$Q$31,2,0),$I162*VLOOKUP($F162,Lists!$C$72:$R$232,COLUMNS(Lists!$C$69:I$69),0)*VLOOKUP(BI$3,Conversions!$B$12:$E$34,4,0)))</f>
        <v>0</v>
      </c>
      <c r="AU162" s="333">
        <f>IF($F162="",0,IF($A162="Default",$I162*VLOOKUP($F162,Lists!$C$72:$R$232,COLUMNS(Lists!$C$69:J$69),0)*VLOOKUP(BJ$3,Conversions!$B$12:$E$34,4,0)*HLOOKUP($E162,'Equipment Assumptions'!$C$30:$Q$31,2,0),$I162*VLOOKUP($F162,Lists!$C$72:$R$232,COLUMNS(Lists!$C$69:J$69),0)*VLOOKUP(BJ$3,Conversions!$B$12:$E$34,4,0)))</f>
        <v>0</v>
      </c>
      <c r="AV162" s="333">
        <f>IF($F162="",0,IF($A162="Default",$I162*VLOOKUP($F162,Lists!$C$72:$R$232,COLUMNS(Lists!$C$69:K$69),0)*VLOOKUP(BK$3,Conversions!$B$12:$E$34,4,0)*HLOOKUP($E162,'Equipment Assumptions'!$C$30:$Q$31,2,0),$I162*VLOOKUP($F162,Lists!$C$72:$R$232,COLUMNS(Lists!$C$69:K$69),0)*VLOOKUP(BK$3,Conversions!$B$12:$E$34,4,0)))</f>
        <v>0</v>
      </c>
      <c r="AW162" s="333">
        <f>IF($F162="",0,IF($A162="Default",$I162*VLOOKUP($F162,Lists!$C$72:$R$232,COLUMNS(Lists!$C$69:L$69),0)*VLOOKUP(BL$3,Conversions!$B$12:$E$34,4,0)*HLOOKUP($E162,'Equipment Assumptions'!$C$30:$Q$31,2,0),$I162*VLOOKUP($F162,Lists!$C$72:$R$232,COLUMNS(Lists!$C$69:L$69),0)*VLOOKUP(BL$3,Conversions!$B$12:$E$34,4,0)))</f>
        <v>0</v>
      </c>
      <c r="AX162" s="333">
        <f>IF($F162="",0,IF($A162="Default",$I162*VLOOKUP($F162,Lists!$C$72:$R$232,COLUMNS(Lists!$C$69:M$69),0)*VLOOKUP(BM$3,Conversions!$B$12:$E$34,4,0)*HLOOKUP($E162,'Equipment Assumptions'!$C$30:$Q$31,2,0),$I162*VLOOKUP($F162,Lists!$C$72:$R$232,COLUMNS(Lists!$C$69:M$69),0)*VLOOKUP(BM$3,Conversions!$B$12:$E$34,4,0)))</f>
        <v>0</v>
      </c>
      <c r="AY162" s="333">
        <f>IF($F162="",0,IF($A162="Default",$I162*VLOOKUP($F162,Lists!$C$72:$R$232,COLUMNS(Lists!$C$69:N$69),0)*VLOOKUP(BN$3,Conversions!$B$12:$E$34,4,0)*HLOOKUP($E162,'Equipment Assumptions'!$C$30:$Q$31,2,0),$I162*VLOOKUP($F162,Lists!$C$72:$R$232,COLUMNS(Lists!$C$69:N$69),0)*VLOOKUP(BN$3,Conversions!$B$12:$E$34,4,0)))</f>
        <v>0</v>
      </c>
      <c r="AZ162" s="333">
        <f>IF($F162="",0,IF($A162="Default",$I162*VLOOKUP($F162,Lists!$C$72:$R$232,COLUMNS(Lists!$C$69:O$69),0)*VLOOKUP(BO$3,Conversions!$B$12:$E$34,4,0)*HLOOKUP($E162,'Equipment Assumptions'!$C$30:$Q$31,2,0),$I162*VLOOKUP($F162,Lists!$C$72:$R$232,COLUMNS(Lists!$C$69:O$69),0)*VLOOKUP(BO$3,Conversions!$B$12:$E$34,4,0)))</f>
        <v>0</v>
      </c>
      <c r="BA162" s="333">
        <f>IF($F162="",0,IF($A162="Default",$I162*VLOOKUP($F162,Lists!$C$72:$R$232,COLUMNS(Lists!$C$69:P$69),0)*VLOOKUP(BP$3,Conversions!$B$12:$E$34,4,0)*HLOOKUP($E162,'Equipment Assumptions'!$C$30:$Q$31,2,0),$I162*VLOOKUP($F162,Lists!$C$72:$R$232,COLUMNS(Lists!$C$69:P$69),0)*VLOOKUP(BP$3,Conversions!$B$12:$E$34,4,0)))</f>
        <v>0</v>
      </c>
      <c r="BB162" s="333">
        <f>IF($F162="",0,IF($A162="Default",$I162*VLOOKUP($F162,Lists!$C$72:$R$232,COLUMNS(Lists!$C$69:Q$69),0)*VLOOKUP(BQ$3,Conversions!$B$12:$E$34,4,0)*HLOOKUP($E162,'Equipment Assumptions'!$C$30:$Q$31,2,0),$I162*VLOOKUP($F162,Lists!$C$72:$R$232,COLUMNS(Lists!$C$69:Q$69),0)*VLOOKUP(BQ$3,Conversions!$B$12:$E$34,4,0)))</f>
        <v>0</v>
      </c>
      <c r="BC162" s="333">
        <f>IF($F162="",0,IF($A162="Default",$I162*VLOOKUP($F162,Lists!$C$72:$R$232,COLUMNS(Lists!$C$69:R$69),0)*VLOOKUP(BR$3,Conversions!$B$12:$E$34,4,0)*HLOOKUP($E162,'Equipment Assumptions'!$C$30:$Q$31,2,0),$I162*VLOOKUP($F162,Lists!$C$72:$R$232,COLUMNS(Lists!$C$69:R$69),0)*VLOOKUP(BR$3,Conversions!$B$12:$E$34,4,0)))</f>
        <v>0</v>
      </c>
      <c r="BD162" s="333">
        <f t="shared" si="199"/>
        <v>0</v>
      </c>
      <c r="BE162" s="330">
        <f t="shared" si="145"/>
        <v>0</v>
      </c>
      <c r="BF162" s="330">
        <f t="shared" si="146"/>
        <v>0</v>
      </c>
      <c r="BG162" s="330">
        <f t="shared" si="147"/>
        <v>0</v>
      </c>
      <c r="BH162" s="330">
        <f t="shared" si="148"/>
        <v>0</v>
      </c>
      <c r="BI162" s="330">
        <f t="shared" si="149"/>
        <v>0</v>
      </c>
      <c r="BJ162" s="330">
        <f t="shared" si="150"/>
        <v>0</v>
      </c>
      <c r="BK162" s="330">
        <f t="shared" si="151"/>
        <v>0</v>
      </c>
      <c r="BL162" s="330">
        <f t="shared" si="152"/>
        <v>0</v>
      </c>
      <c r="BM162" s="330">
        <f t="shared" si="153"/>
        <v>0</v>
      </c>
      <c r="BN162" s="330">
        <f t="shared" si="154"/>
        <v>0</v>
      </c>
      <c r="BO162" s="330">
        <f t="shared" si="155"/>
        <v>0</v>
      </c>
      <c r="BP162" s="330">
        <f t="shared" si="156"/>
        <v>0</v>
      </c>
      <c r="BQ162" s="330">
        <f t="shared" si="157"/>
        <v>0</v>
      </c>
      <c r="BR162" s="330">
        <f t="shared" si="158"/>
        <v>0</v>
      </c>
      <c r="BS162" s="330">
        <f t="shared" si="159"/>
        <v>0</v>
      </c>
      <c r="BT162" s="329">
        <f t="shared" si="210"/>
        <v>0</v>
      </c>
      <c r="BU162" s="329">
        <f t="shared" si="210"/>
        <v>0</v>
      </c>
      <c r="BV162" s="329">
        <f t="shared" si="210"/>
        <v>0</v>
      </c>
      <c r="BW162" s="329">
        <f t="shared" si="210"/>
        <v>0</v>
      </c>
      <c r="BX162" s="329">
        <f t="shared" si="210"/>
        <v>0</v>
      </c>
      <c r="BY162" s="329">
        <f t="shared" si="210"/>
        <v>0</v>
      </c>
      <c r="BZ162" s="329">
        <f t="shared" si="210"/>
        <v>0</v>
      </c>
      <c r="CA162" s="329">
        <f t="shared" si="210"/>
        <v>0</v>
      </c>
      <c r="CB162" s="329">
        <f t="shared" si="210"/>
        <v>0</v>
      </c>
      <c r="CC162" s="329">
        <f t="shared" si="210"/>
        <v>0</v>
      </c>
      <c r="CD162" s="329">
        <f t="shared" si="210"/>
        <v>0</v>
      </c>
      <c r="CE162" s="329">
        <f t="shared" si="210"/>
        <v>0</v>
      </c>
      <c r="CF162" s="329">
        <f t="shared" si="210"/>
        <v>0</v>
      </c>
      <c r="CG162" s="329">
        <f t="shared" si="210"/>
        <v>0</v>
      </c>
      <c r="CH162" s="329">
        <f t="shared" si="210"/>
        <v>0</v>
      </c>
      <c r="CI162" s="329">
        <f t="shared" si="210"/>
        <v>0</v>
      </c>
      <c r="CJ162" s="331">
        <f t="shared" si="200"/>
        <v>0</v>
      </c>
      <c r="CK162" s="330">
        <f t="shared" si="201"/>
        <v>0</v>
      </c>
      <c r="CL162" s="330">
        <f t="shared" si="202"/>
        <v>0</v>
      </c>
      <c r="CM162" s="330">
        <f t="shared" si="203"/>
        <v>0</v>
      </c>
      <c r="CN162" s="330">
        <f t="shared" si="204"/>
        <v>0</v>
      </c>
      <c r="CO162" s="330">
        <f t="shared" si="205"/>
        <v>0</v>
      </c>
      <c r="CP162" s="330">
        <f t="shared" si="206"/>
        <v>0</v>
      </c>
      <c r="CQ162" s="330">
        <f t="shared" si="186"/>
        <v>0</v>
      </c>
      <c r="CR162" s="330">
        <f t="shared" si="207"/>
        <v>0</v>
      </c>
      <c r="CS162" s="330">
        <f t="shared" si="208"/>
        <v>0</v>
      </c>
      <c r="CT162" s="330">
        <f t="shared" si="209"/>
        <v>0</v>
      </c>
      <c r="CU162" s="330">
        <f t="shared" si="211"/>
        <v>0</v>
      </c>
      <c r="CV162" s="330">
        <f t="shared" si="211"/>
        <v>0</v>
      </c>
      <c r="CW162" s="330">
        <f t="shared" si="211"/>
        <v>0</v>
      </c>
      <c r="CX162" s="330">
        <f t="shared" si="211"/>
        <v>0</v>
      </c>
      <c r="CY162" s="330">
        <f t="shared" si="211"/>
        <v>0</v>
      </c>
      <c r="CZ162" s="330">
        <f t="shared" si="211"/>
        <v>0</v>
      </c>
      <c r="DA162" s="330">
        <f t="shared" si="211"/>
        <v>0</v>
      </c>
      <c r="DB162" s="330">
        <f t="shared" si="211"/>
        <v>0</v>
      </c>
      <c r="DC162" s="330">
        <f t="shared" si="211"/>
        <v>0</v>
      </c>
      <c r="DD162" s="330">
        <f t="shared" si="211"/>
        <v>0</v>
      </c>
      <c r="DE162" s="330">
        <f t="shared" si="212"/>
        <v>0</v>
      </c>
      <c r="DF162" s="330">
        <f t="shared" si="212"/>
        <v>0</v>
      </c>
      <c r="DG162" s="330">
        <f t="shared" si="212"/>
        <v>0</v>
      </c>
      <c r="DH162" s="330">
        <f t="shared" si="212"/>
        <v>0</v>
      </c>
      <c r="DI162" s="330">
        <f t="shared" si="212"/>
        <v>0</v>
      </c>
      <c r="DJ162" s="330">
        <f t="shared" si="212"/>
        <v>0</v>
      </c>
      <c r="DK162" s="330">
        <f t="shared" si="212"/>
        <v>0</v>
      </c>
      <c r="DL162" s="330">
        <f t="shared" si="212"/>
        <v>0</v>
      </c>
      <c r="DM162" s="330">
        <f t="shared" si="212"/>
        <v>0</v>
      </c>
      <c r="DN162" s="330">
        <f t="shared" si="212"/>
        <v>0</v>
      </c>
      <c r="DO162" s="330">
        <f t="shared" si="212"/>
        <v>0</v>
      </c>
      <c r="DP162" s="330">
        <f t="shared" si="213"/>
        <v>0</v>
      </c>
      <c r="DQ162" s="217"/>
      <c r="DR162" s="217"/>
      <c r="DS162" s="217"/>
      <c r="DT162" s="217"/>
    </row>
    <row r="163" spans="1:124" x14ac:dyDescent="0.3">
      <c r="A163" s="332" t="str">
        <f>IF(AND(F163&lt;&gt;"",OR('Simplified Screening 1'!G54=0,'Simplified Screening 1'!G54="I Don't Know")),"Default","")</f>
        <v/>
      </c>
      <c r="B163" s="221" t="s">
        <v>306</v>
      </c>
      <c r="C163" s="221" t="str">
        <f>IF('Simplified Screening 1'!C54=0,"",'Simplified Screening 1'!C54)</f>
        <v/>
      </c>
      <c r="D163" s="221" t="str">
        <f>IF('Simplified Screening 1'!D54=0,"",'Simplified Screening 1'!D54)</f>
        <v/>
      </c>
      <c r="E163" s="221" t="str">
        <f>IF('Simplified Screening 1'!E54=0,"",'Simplified Screening 1'!E54)</f>
        <v/>
      </c>
      <c r="F163" s="221" t="str">
        <f>'Simplified Screening 1'!R54</f>
        <v/>
      </c>
      <c r="G163" s="272">
        <f>'Simplified Screening 1'!H54*'Simplified Screening 1'!L54*Conversions!$C$4</f>
        <v>0</v>
      </c>
      <c r="H163" s="272">
        <f>'Simplified Screening 1'!I54*'Simplified Screening 1'!M54*'Simplified Screening 1'!J54*Conversions!$C$4</f>
        <v>0</v>
      </c>
      <c r="I163" s="272">
        <f>'Simplified Screening 1'!K54*'Simplified Screening 1'!N54*(1-'Simplified Screening 1'!O54)*Conversions!$C$4</f>
        <v>0</v>
      </c>
      <c r="J163" s="325">
        <f>IF('Simplified Screening 1'!P54=0,0,'Simplified Screening 1'!P54)</f>
        <v>0</v>
      </c>
      <c r="K163" s="325">
        <f>IF(AND(OR('Simplified Screening 1'!G54=0,'Simplified Screening 1'!G54="I Don't Know"),F163&lt;&gt;""),J163*HLOOKUP(E163,'Equipment Assumptions'!$C$30:$Q$31,2,0),IF(F163="Non-HFC",0,J163))</f>
        <v>0</v>
      </c>
      <c r="L163" s="333">
        <f>IF($F163="",0,IF($A163="Default",$G163*VLOOKUP($F163,Lists!$C$72:$R$232,COLUMNS(Lists!$C$69:E$69),0)*VLOOKUP(BE$3,Conversions!$B$12:$E$34,4,0)*HLOOKUP($E163,'Equipment Assumptions'!$C$30:$Q$31,2,0),$G163*VLOOKUP($F163,Lists!$C$72:$R$232,COLUMNS(Lists!$C$69:E$69),0)*VLOOKUP(BE$3,Conversions!$B$12:$E$34,4,0)))</f>
        <v>0</v>
      </c>
      <c r="M163" s="333">
        <f>IF($F163="",0,IF($A163="Default",$G163*VLOOKUP($F163,Lists!$C$72:$R$232,COLUMNS(Lists!$C$69:F$69),0)*VLOOKUP(BF$3,Conversions!$B$12:$E$34,4,0)*HLOOKUP($E163,'Equipment Assumptions'!$C$30:$Q$31,2,0),$G163*VLOOKUP($F163,Lists!$C$72:$R$232,COLUMNS(Lists!$C$69:F$69),0)*VLOOKUP(BF$3,Conversions!$B$12:$E$34,4,0)))</f>
        <v>0</v>
      </c>
      <c r="N163" s="333">
        <f>IF($F163="",0,IF($A163="Default",$G163*VLOOKUP($F163,Lists!$C$72:$R$232,COLUMNS(Lists!$C$69:G$69),0)*VLOOKUP(BG$3,Conversions!$B$12:$E$34,4,0)*HLOOKUP($E163,'Equipment Assumptions'!$C$30:$Q$31,2,0),$G163*VLOOKUP($F163,Lists!$C$72:$R$232,COLUMNS(Lists!$C$69:G$69),0)*VLOOKUP(BG$3,Conversions!$B$12:$E$34,4,0)))</f>
        <v>0</v>
      </c>
      <c r="O163" s="333">
        <f>IF($F163="",0,IF($A163="Default",$G163*VLOOKUP($F163,Lists!$C$72:$R$232,COLUMNS(Lists!$C$69:H$69),0)*VLOOKUP(BH$3,Conversions!$B$12:$E$34,4,0)*HLOOKUP($E163,'Equipment Assumptions'!$C$30:$Q$31,2,0),$G163*VLOOKUP($F163,Lists!$C$72:$R$232,COLUMNS(Lists!$C$69:H$69),0)*VLOOKUP(BH$3,Conversions!$B$12:$E$34,4,0)))</f>
        <v>0</v>
      </c>
      <c r="P163" s="333">
        <f>IF($F163="",0,IF($A163="Default",$G163*VLOOKUP($F163,Lists!$C$72:$R$232,COLUMNS(Lists!$C$69:I$69),0)*VLOOKUP(BI$3,Conversions!$B$12:$E$34,4,0)*HLOOKUP($E163,'Equipment Assumptions'!$C$30:$Q$31,2,0),$G163*VLOOKUP($F163,Lists!$C$72:$R$232,COLUMNS(Lists!$C$69:I$69),0)*VLOOKUP(BI$3,Conversions!$B$12:$E$34,4,0)))</f>
        <v>0</v>
      </c>
      <c r="Q163" s="333">
        <f>IF($F163="",0,IF($A163="Default",$G163*VLOOKUP($F163,Lists!$C$72:$R$232,COLUMNS(Lists!$C$69:J$69),0)*VLOOKUP(BJ$3,Conversions!$B$12:$E$34,4,0)*HLOOKUP($E163,'Equipment Assumptions'!$C$30:$Q$31,2,0),$G163*VLOOKUP($F163,Lists!$C$72:$R$232,COLUMNS(Lists!$C$69:J$69),0)*VLOOKUP(BJ$3,Conversions!$B$12:$E$34,4,0)))</f>
        <v>0</v>
      </c>
      <c r="R163" s="333">
        <f>IF($F163="",0,IF($A163="Default",$G163*VLOOKUP($F163,Lists!$C$72:$R$232,COLUMNS(Lists!$C$69:K$69),0)*VLOOKUP(BK$3,Conversions!$B$12:$E$34,4,0)*HLOOKUP($E163,'Equipment Assumptions'!$C$30:$Q$31,2,0),$G163*VLOOKUP($F163,Lists!$C$72:$R$232,COLUMNS(Lists!$C$69:K$69),0)*VLOOKUP(BK$3,Conversions!$B$12:$E$34,4,0)))</f>
        <v>0</v>
      </c>
      <c r="S163" s="333">
        <f>IF($F163="",0,IF($A163="Default",$G163*VLOOKUP($F163,Lists!$C$72:$R$232,COLUMNS(Lists!$C$69:L$69),0)*VLOOKUP(BL$3,Conversions!$B$12:$E$34,4,0)*HLOOKUP($E163,'Equipment Assumptions'!$C$30:$Q$31,2,0),$G163*VLOOKUP($F163,Lists!$C$72:$R$232,COLUMNS(Lists!$C$69:L$69),0)*VLOOKUP(BL$3,Conversions!$B$12:$E$34,4,0)))</f>
        <v>0</v>
      </c>
      <c r="T163" s="333">
        <f>IF($F163="",0,IF($A163="Default",$G163*VLOOKUP($F163,Lists!$C$72:$R$232,COLUMNS(Lists!$C$69:M$69),0)*VLOOKUP(BM$3,Conversions!$B$12:$E$34,4,0)*HLOOKUP($E163,'Equipment Assumptions'!$C$30:$Q$31,2,0),$G163*VLOOKUP($F163,Lists!$C$72:$R$232,COLUMNS(Lists!$C$69:M$69),0)*VLOOKUP(BM$3,Conversions!$B$12:$E$34,4,0)))</f>
        <v>0</v>
      </c>
      <c r="U163" s="333">
        <f>IF($F163="",0,IF($A163="Default",$G163*VLOOKUP($F163,Lists!$C$72:$R$232,COLUMNS(Lists!$C$69:N$69),0)*VLOOKUP(BN$3,Conversions!$B$12:$E$34,4,0)*HLOOKUP($E163,'Equipment Assumptions'!$C$30:$Q$31,2,0),$G163*VLOOKUP($F163,Lists!$C$72:$R$232,COLUMNS(Lists!$C$69:N$69),0)*VLOOKUP(BN$3,Conversions!$B$12:$E$34,4,0)))</f>
        <v>0</v>
      </c>
      <c r="V163" s="333">
        <f>IF($F163="",0,IF($A163="Default",$G163*VLOOKUP($F163,Lists!$C$72:$R$232,COLUMNS(Lists!$C$69:O$69),0)*VLOOKUP(BO$3,Conversions!$B$12:$E$34,4,0)*HLOOKUP($E163,'Equipment Assumptions'!$C$30:$Q$31,2,0),$G163*VLOOKUP($F163,Lists!$C$72:$R$232,COLUMNS(Lists!$C$69:O$69),0)*VLOOKUP(BO$3,Conversions!$B$12:$E$34,4,0)))</f>
        <v>0</v>
      </c>
      <c r="W163" s="333">
        <f>IF($F163="",0,IF($A163="Default",$G163*VLOOKUP($F163,Lists!$C$72:$R$232,COLUMNS(Lists!$C$69:P$69),0)*VLOOKUP(BP$3,Conversions!$B$12:$E$34,4,0)*HLOOKUP($E163,'Equipment Assumptions'!$C$30:$Q$31,2,0),$G163*VLOOKUP($F163,Lists!$C$72:$R$232,COLUMNS(Lists!$C$69:P$69),0)*VLOOKUP(BP$3,Conversions!$B$12:$E$34,4,0)))</f>
        <v>0</v>
      </c>
      <c r="X163" s="333">
        <f>IF($F163="",0,IF($A163="Default",$G163*VLOOKUP($F163,Lists!$C$72:$R$232,COLUMNS(Lists!$C$69:Q$69),0)*VLOOKUP(BQ$3,Conversions!$B$12:$E$34,4,0)*HLOOKUP($E163,'Equipment Assumptions'!$C$30:$Q$31,2,0),$G163*VLOOKUP($F163,Lists!$C$72:$R$232,COLUMNS(Lists!$C$69:Q$69),0)*VLOOKUP(BQ$3,Conversions!$B$12:$E$34,4,0)))</f>
        <v>0</v>
      </c>
      <c r="Y163" s="333">
        <f>IF($F163="",0,IF($A163="Default",$G163*VLOOKUP($F163,Lists!$C$72:$R$232,COLUMNS(Lists!$C$69:R$69),0)*VLOOKUP(BR$3,Conversions!$B$12:$E$34,4,0)*HLOOKUP($E163,'Equipment Assumptions'!$C$30:$Q$31,2,0),$G163*VLOOKUP($F163,Lists!$C$72:$R$232,COLUMNS(Lists!$C$69:R$69),0)*VLOOKUP(BR$3,Conversions!$B$12:$E$34,4,0)))</f>
        <v>0</v>
      </c>
      <c r="Z163" s="325">
        <f t="shared" si="197"/>
        <v>0</v>
      </c>
      <c r="AA163" s="334">
        <f>IF($F163="",0,IF($A163="Default",$H163*VLOOKUP($F163,Lists!$C$72:$R$232,COLUMNS(Lists!$C$69:E$69),0)*VLOOKUP(BE$3,Conversions!$B$12:$E$34,4,0)*HLOOKUP($E163,'Equipment Assumptions'!$C$30:$Q$31,2,0),$H163*VLOOKUP($F163,Lists!$C$72:$R$232,COLUMNS(Lists!$C$69:E$69),0)*VLOOKUP(BE$3,Conversions!$B$12:$E$34,4,0)))</f>
        <v>0</v>
      </c>
      <c r="AB163" s="334">
        <f>IF($F163="",0,IF($A163="Default",$H163*VLOOKUP($F163,Lists!$C$72:$R$232,COLUMNS(Lists!$C$69:F$69),0)*VLOOKUP(BF$3,Conversions!$B$12:$E$34,4,0)*HLOOKUP($E163,'Equipment Assumptions'!$C$30:$Q$31,2,0),$H163*VLOOKUP($F163,Lists!$C$72:$R$232,COLUMNS(Lists!$C$69:F$69),0)*VLOOKUP(BF$3,Conversions!$B$12:$E$34,4,0)))</f>
        <v>0</v>
      </c>
      <c r="AC163" s="334">
        <f>IF($F163="",0,IF($A163="Default",$H163*VLOOKUP($F163,Lists!$C$72:$R$232,COLUMNS(Lists!$C$69:G$69),0)*VLOOKUP(BG$3,Conversions!$B$12:$E$34,4,0)*HLOOKUP($E163,'Equipment Assumptions'!$C$30:$Q$31,2,0),$H163*VLOOKUP($F163,Lists!$C$72:$R$232,COLUMNS(Lists!$C$69:G$69),0)*VLOOKUP(BG$3,Conversions!$B$12:$E$34,4,0)))</f>
        <v>0</v>
      </c>
      <c r="AD163" s="334">
        <f>IF($F163="",0,IF($A163="Default",$H163*VLOOKUP($F163,Lists!$C$72:$R$232,COLUMNS(Lists!$C$69:H$69),0)*VLOOKUP(BH$3,Conversions!$B$12:$E$34,4,0)*HLOOKUP($E163,'Equipment Assumptions'!$C$30:$Q$31,2,0),$H163*VLOOKUP($F163,Lists!$C$72:$R$232,COLUMNS(Lists!$C$69:H$69),0)*VLOOKUP(BH$3,Conversions!$B$12:$E$34,4,0)))</f>
        <v>0</v>
      </c>
      <c r="AE163" s="334">
        <f>IF($F163="",0,IF($A163="Default",$H163*VLOOKUP($F163,Lists!$C$72:$R$232,COLUMNS(Lists!$C$69:I$69),0)*VLOOKUP(BI$3,Conversions!$B$12:$E$34,4,0)*HLOOKUP($E163,'Equipment Assumptions'!$C$30:$Q$31,2,0),$H163*VLOOKUP($F163,Lists!$C$72:$R$232,COLUMNS(Lists!$C$69:I$69),0)*VLOOKUP(BI$3,Conversions!$B$12:$E$34,4,0)))</f>
        <v>0</v>
      </c>
      <c r="AF163" s="334">
        <f>IF($F163="",0,IF($A163="Default",$H163*VLOOKUP($F163,Lists!$C$72:$R$232,COLUMNS(Lists!$C$69:J$69),0)*VLOOKUP(BJ$3,Conversions!$B$12:$E$34,4,0)*HLOOKUP($E163,'Equipment Assumptions'!$C$30:$Q$31,2,0),$H163*VLOOKUP($F163,Lists!$C$72:$R$232,COLUMNS(Lists!$C$69:J$69),0)*VLOOKUP(BJ$3,Conversions!$B$12:$E$34,4,0)))</f>
        <v>0</v>
      </c>
      <c r="AG163" s="334">
        <f>IF($F163="",0,IF($A163="Default",$H163*VLOOKUP($F163,Lists!$C$72:$R$232,COLUMNS(Lists!$C$69:K$69),0)*VLOOKUP(BK$3,Conversions!$B$12:$E$34,4,0)*HLOOKUP($E163,'Equipment Assumptions'!$C$30:$Q$31,2,0),$H163*VLOOKUP($F163,Lists!$C$72:$R$232,COLUMNS(Lists!$C$69:K$69),0)*VLOOKUP(BK$3,Conversions!$B$12:$E$34,4,0)))</f>
        <v>0</v>
      </c>
      <c r="AH163" s="334">
        <f>IF($F163="",0,IF($A163="Default",$H163*VLOOKUP($F163,Lists!$C$72:$R$232,COLUMNS(Lists!$C$69:L$69),0)*VLOOKUP(BL$3,Conversions!$B$12:$E$34,4,0)*HLOOKUP($E163,'Equipment Assumptions'!$C$30:$Q$31,2,0),$H163*VLOOKUP($F163,Lists!$C$72:$R$232,COLUMNS(Lists!$C$69:L$69),0)*VLOOKUP(BL$3,Conversions!$B$12:$E$34,4,0)))</f>
        <v>0</v>
      </c>
      <c r="AI163" s="334">
        <f>IF($F163="",0,IF($A163="Default",$H163*VLOOKUP($F163,Lists!$C$72:$R$232,COLUMNS(Lists!$C$69:M$69),0)*VLOOKUP(BM$3,Conversions!$B$12:$E$34,4,0)*HLOOKUP($E163,'Equipment Assumptions'!$C$30:$Q$31,2,0),$H163*VLOOKUP($F163,Lists!$C$72:$R$232,COLUMNS(Lists!$C$69:M$69),0)*VLOOKUP(BM$3,Conversions!$B$12:$E$34,4,0)))</f>
        <v>0</v>
      </c>
      <c r="AJ163" s="334">
        <f>IF($F163="",0,IF($A163="Default",$H163*VLOOKUP($F163,Lists!$C$72:$R$232,COLUMNS(Lists!$C$69:N$69),0)*VLOOKUP(BN$3,Conversions!$B$12:$E$34,4,0)*HLOOKUP($E163,'Equipment Assumptions'!$C$30:$Q$31,2,0),$H163*VLOOKUP($F163,Lists!$C$72:$R$232,COLUMNS(Lists!$C$69:N$69),0)*VLOOKUP(BN$3,Conversions!$B$12:$E$34,4,0)))</f>
        <v>0</v>
      </c>
      <c r="AK163" s="334">
        <f>IF($F163="",0,IF($A163="Default",$H163*VLOOKUP($F163,Lists!$C$72:$R$232,COLUMNS(Lists!$C$69:O$69),0)*VLOOKUP(BO$3,Conversions!$B$12:$E$34,4,0)*HLOOKUP($E163,'Equipment Assumptions'!$C$30:$Q$31,2,0),$H163*VLOOKUP($F163,Lists!$C$72:$R$232,COLUMNS(Lists!$C$69:O$69),0)*VLOOKUP(BO$3,Conversions!$B$12:$E$34,4,0)))</f>
        <v>0</v>
      </c>
      <c r="AL163" s="334">
        <f>IF($F163="",0,IF($A163="Default",$H163*VLOOKUP($F163,Lists!$C$72:$R$232,COLUMNS(Lists!$C$69:P$69),0)*VLOOKUP(BP$3,Conversions!$B$12:$E$34,4,0)*HLOOKUP($E163,'Equipment Assumptions'!$C$30:$Q$31,2,0),$H163*VLOOKUP($F163,Lists!$C$72:$R$232,COLUMNS(Lists!$C$69:P$69),0)*VLOOKUP(BP$3,Conversions!$B$12:$E$34,4,0)))</f>
        <v>0</v>
      </c>
      <c r="AM163" s="334">
        <f>IF($F163="",0,IF($A163="Default",$H163*VLOOKUP($F163,Lists!$C$72:$R$232,COLUMNS(Lists!$C$69:Q$69),0)*VLOOKUP(BQ$3,Conversions!$B$12:$E$34,4,0)*HLOOKUP($E163,'Equipment Assumptions'!$C$30:$Q$31,2,0),$H163*VLOOKUP($F163,Lists!$C$72:$R$232,COLUMNS(Lists!$C$69:Q$69),0)*VLOOKUP(BQ$3,Conversions!$B$12:$E$34,4,0)))</f>
        <v>0</v>
      </c>
      <c r="AN163" s="334">
        <f>IF($F163="",0,IF($A163="Default",$H163*VLOOKUP($F163,Lists!$C$72:$R$232,COLUMNS(Lists!$C$69:R$69),0)*VLOOKUP(BR$3,Conversions!$B$12:$E$34,4,0)*HLOOKUP($E163,'Equipment Assumptions'!$C$30:$Q$31,2,0),$H163*VLOOKUP($F163,Lists!$C$72:$R$232,COLUMNS(Lists!$C$69:R$69),0)*VLOOKUP(BR$3,Conversions!$B$12:$E$34,4,0)))</f>
        <v>0</v>
      </c>
      <c r="AO163" s="330">
        <f t="shared" si="198"/>
        <v>0</v>
      </c>
      <c r="AP163" s="333">
        <f>IF($F163="",0,IF($A163="Default",$I163*VLOOKUP($F163,Lists!$C$72:$R$232,COLUMNS(Lists!$C$69:E$69),0)*VLOOKUP(BE$3,Conversions!$B$12:$E$34,4,0)*HLOOKUP($E163,'Equipment Assumptions'!$C$30:$Q$31,2,0),$I163*VLOOKUP($F163,Lists!$C$72:$R$232,COLUMNS(Lists!$C$69:E$69),0)*VLOOKUP(BE$3,Conversions!$B$12:$E$34,4,0)))</f>
        <v>0</v>
      </c>
      <c r="AQ163" s="333">
        <f>IF($F163="",0,IF($A163="Default",$I163*VLOOKUP($F163,Lists!$C$72:$R$232,COLUMNS(Lists!$C$69:F$69),0)*VLOOKUP(BF$3,Conversions!$B$12:$E$34,4,0)*HLOOKUP($E163,'Equipment Assumptions'!$C$30:$Q$31,2,0),$I163*VLOOKUP($F163,Lists!$C$72:$R$232,COLUMNS(Lists!$C$69:F$69),0)*VLOOKUP(BF$3,Conversions!$B$12:$E$34,4,0)))</f>
        <v>0</v>
      </c>
      <c r="AR163" s="333">
        <f>IF($F163="",0,IF($A163="Default",$I163*VLOOKUP($F163,Lists!$C$72:$R$232,COLUMNS(Lists!$C$69:G$69),0)*VLOOKUP(BG$3,Conversions!$B$12:$E$34,4,0)*HLOOKUP($E163,'Equipment Assumptions'!$C$30:$Q$31,2,0),$I163*VLOOKUP($F163,Lists!$C$72:$R$232,COLUMNS(Lists!$C$69:G$69),0)*VLOOKUP(BG$3,Conversions!$B$12:$E$34,4,0)))</f>
        <v>0</v>
      </c>
      <c r="AS163" s="333">
        <f>IF($F163="",0,IF($A163="Default",$I163*VLOOKUP($F163,Lists!$C$72:$R$232,COLUMNS(Lists!$C$69:H$69),0)*VLOOKUP(BH$3,Conversions!$B$12:$E$34,4,0)*HLOOKUP($E163,'Equipment Assumptions'!$C$30:$Q$31,2,0),$I163*VLOOKUP($F163,Lists!$C$72:$R$232,COLUMNS(Lists!$C$69:H$69),0)*VLOOKUP(BH$3,Conversions!$B$12:$E$34,4,0)))</f>
        <v>0</v>
      </c>
      <c r="AT163" s="333">
        <f>IF($F163="",0,IF($A163="Default",$I163*VLOOKUP($F163,Lists!$C$72:$R$232,COLUMNS(Lists!$C$69:I$69),0)*VLOOKUP(BI$3,Conversions!$B$12:$E$34,4,0)*HLOOKUP($E163,'Equipment Assumptions'!$C$30:$Q$31,2,0),$I163*VLOOKUP($F163,Lists!$C$72:$R$232,COLUMNS(Lists!$C$69:I$69),0)*VLOOKUP(BI$3,Conversions!$B$12:$E$34,4,0)))</f>
        <v>0</v>
      </c>
      <c r="AU163" s="333">
        <f>IF($F163="",0,IF($A163="Default",$I163*VLOOKUP($F163,Lists!$C$72:$R$232,COLUMNS(Lists!$C$69:J$69),0)*VLOOKUP(BJ$3,Conversions!$B$12:$E$34,4,0)*HLOOKUP($E163,'Equipment Assumptions'!$C$30:$Q$31,2,0),$I163*VLOOKUP($F163,Lists!$C$72:$R$232,COLUMNS(Lists!$C$69:J$69),0)*VLOOKUP(BJ$3,Conversions!$B$12:$E$34,4,0)))</f>
        <v>0</v>
      </c>
      <c r="AV163" s="333">
        <f>IF($F163="",0,IF($A163="Default",$I163*VLOOKUP($F163,Lists!$C$72:$R$232,COLUMNS(Lists!$C$69:K$69),0)*VLOOKUP(BK$3,Conversions!$B$12:$E$34,4,0)*HLOOKUP($E163,'Equipment Assumptions'!$C$30:$Q$31,2,0),$I163*VLOOKUP($F163,Lists!$C$72:$R$232,COLUMNS(Lists!$C$69:K$69),0)*VLOOKUP(BK$3,Conversions!$B$12:$E$34,4,0)))</f>
        <v>0</v>
      </c>
      <c r="AW163" s="333">
        <f>IF($F163="",0,IF($A163="Default",$I163*VLOOKUP($F163,Lists!$C$72:$R$232,COLUMNS(Lists!$C$69:L$69),0)*VLOOKUP(BL$3,Conversions!$B$12:$E$34,4,0)*HLOOKUP($E163,'Equipment Assumptions'!$C$30:$Q$31,2,0),$I163*VLOOKUP($F163,Lists!$C$72:$R$232,COLUMNS(Lists!$C$69:L$69),0)*VLOOKUP(BL$3,Conversions!$B$12:$E$34,4,0)))</f>
        <v>0</v>
      </c>
      <c r="AX163" s="333">
        <f>IF($F163="",0,IF($A163="Default",$I163*VLOOKUP($F163,Lists!$C$72:$R$232,COLUMNS(Lists!$C$69:M$69),0)*VLOOKUP(BM$3,Conversions!$B$12:$E$34,4,0)*HLOOKUP($E163,'Equipment Assumptions'!$C$30:$Q$31,2,0),$I163*VLOOKUP($F163,Lists!$C$72:$R$232,COLUMNS(Lists!$C$69:M$69),0)*VLOOKUP(BM$3,Conversions!$B$12:$E$34,4,0)))</f>
        <v>0</v>
      </c>
      <c r="AY163" s="333">
        <f>IF($F163="",0,IF($A163="Default",$I163*VLOOKUP($F163,Lists!$C$72:$R$232,COLUMNS(Lists!$C$69:N$69),0)*VLOOKUP(BN$3,Conversions!$B$12:$E$34,4,0)*HLOOKUP($E163,'Equipment Assumptions'!$C$30:$Q$31,2,0),$I163*VLOOKUP($F163,Lists!$C$72:$R$232,COLUMNS(Lists!$C$69:N$69),0)*VLOOKUP(BN$3,Conversions!$B$12:$E$34,4,0)))</f>
        <v>0</v>
      </c>
      <c r="AZ163" s="333">
        <f>IF($F163="",0,IF($A163="Default",$I163*VLOOKUP($F163,Lists!$C$72:$R$232,COLUMNS(Lists!$C$69:O$69),0)*VLOOKUP(BO$3,Conversions!$B$12:$E$34,4,0)*HLOOKUP($E163,'Equipment Assumptions'!$C$30:$Q$31,2,0),$I163*VLOOKUP($F163,Lists!$C$72:$R$232,COLUMNS(Lists!$C$69:O$69),0)*VLOOKUP(BO$3,Conversions!$B$12:$E$34,4,0)))</f>
        <v>0</v>
      </c>
      <c r="BA163" s="333">
        <f>IF($F163="",0,IF($A163="Default",$I163*VLOOKUP($F163,Lists!$C$72:$R$232,COLUMNS(Lists!$C$69:P$69),0)*VLOOKUP(BP$3,Conversions!$B$12:$E$34,4,0)*HLOOKUP($E163,'Equipment Assumptions'!$C$30:$Q$31,2,0),$I163*VLOOKUP($F163,Lists!$C$72:$R$232,COLUMNS(Lists!$C$69:P$69),0)*VLOOKUP(BP$3,Conversions!$B$12:$E$34,4,0)))</f>
        <v>0</v>
      </c>
      <c r="BB163" s="333">
        <f>IF($F163="",0,IF($A163="Default",$I163*VLOOKUP($F163,Lists!$C$72:$R$232,COLUMNS(Lists!$C$69:Q$69),0)*VLOOKUP(BQ$3,Conversions!$B$12:$E$34,4,0)*HLOOKUP($E163,'Equipment Assumptions'!$C$30:$Q$31,2,0),$I163*VLOOKUP($F163,Lists!$C$72:$R$232,COLUMNS(Lists!$C$69:Q$69),0)*VLOOKUP(BQ$3,Conversions!$B$12:$E$34,4,0)))</f>
        <v>0</v>
      </c>
      <c r="BC163" s="333">
        <f>IF($F163="",0,IF($A163="Default",$I163*VLOOKUP($F163,Lists!$C$72:$R$232,COLUMNS(Lists!$C$69:R$69),0)*VLOOKUP(BR$3,Conversions!$B$12:$E$34,4,0)*HLOOKUP($E163,'Equipment Assumptions'!$C$30:$Q$31,2,0),$I163*VLOOKUP($F163,Lists!$C$72:$R$232,COLUMNS(Lists!$C$69:R$69),0)*VLOOKUP(BR$3,Conversions!$B$12:$E$34,4,0)))</f>
        <v>0</v>
      </c>
      <c r="BD163" s="333">
        <f t="shared" si="199"/>
        <v>0</v>
      </c>
      <c r="BE163" s="330">
        <f t="shared" si="145"/>
        <v>0</v>
      </c>
      <c r="BF163" s="330">
        <f t="shared" si="146"/>
        <v>0</v>
      </c>
      <c r="BG163" s="330">
        <f t="shared" si="147"/>
        <v>0</v>
      </c>
      <c r="BH163" s="330">
        <f t="shared" si="148"/>
        <v>0</v>
      </c>
      <c r="BI163" s="330">
        <f t="shared" si="149"/>
        <v>0</v>
      </c>
      <c r="BJ163" s="330">
        <f t="shared" si="150"/>
        <v>0</v>
      </c>
      <c r="BK163" s="330">
        <f t="shared" si="151"/>
        <v>0</v>
      </c>
      <c r="BL163" s="330">
        <f t="shared" si="152"/>
        <v>0</v>
      </c>
      <c r="BM163" s="330">
        <f t="shared" si="153"/>
        <v>0</v>
      </c>
      <c r="BN163" s="330">
        <f t="shared" si="154"/>
        <v>0</v>
      </c>
      <c r="BO163" s="330">
        <f t="shared" si="155"/>
        <v>0</v>
      </c>
      <c r="BP163" s="330">
        <f t="shared" si="156"/>
        <v>0</v>
      </c>
      <c r="BQ163" s="330">
        <f t="shared" si="157"/>
        <v>0</v>
      </c>
      <c r="BR163" s="330">
        <f t="shared" si="158"/>
        <v>0</v>
      </c>
      <c r="BS163" s="330">
        <f t="shared" si="159"/>
        <v>0</v>
      </c>
      <c r="BT163" s="329">
        <f t="shared" si="210"/>
        <v>0</v>
      </c>
      <c r="BU163" s="329">
        <f t="shared" si="210"/>
        <v>0</v>
      </c>
      <c r="BV163" s="329">
        <f t="shared" si="210"/>
        <v>0</v>
      </c>
      <c r="BW163" s="329">
        <f t="shared" si="210"/>
        <v>0</v>
      </c>
      <c r="BX163" s="329">
        <f t="shared" si="210"/>
        <v>0</v>
      </c>
      <c r="BY163" s="329">
        <f t="shared" si="210"/>
        <v>0</v>
      </c>
      <c r="BZ163" s="329">
        <f t="shared" si="210"/>
        <v>0</v>
      </c>
      <c r="CA163" s="329">
        <f t="shared" si="210"/>
        <v>0</v>
      </c>
      <c r="CB163" s="329">
        <f t="shared" si="210"/>
        <v>0</v>
      </c>
      <c r="CC163" s="329">
        <f t="shared" si="210"/>
        <v>0</v>
      </c>
      <c r="CD163" s="329">
        <f t="shared" si="210"/>
        <v>0</v>
      </c>
      <c r="CE163" s="329">
        <f t="shared" si="210"/>
        <v>0</v>
      </c>
      <c r="CF163" s="329">
        <f t="shared" si="210"/>
        <v>0</v>
      </c>
      <c r="CG163" s="329">
        <f t="shared" si="210"/>
        <v>0</v>
      </c>
      <c r="CH163" s="329">
        <f t="shared" si="210"/>
        <v>0</v>
      </c>
      <c r="CI163" s="329">
        <f t="shared" si="210"/>
        <v>0</v>
      </c>
      <c r="CJ163" s="331">
        <f t="shared" si="200"/>
        <v>0</v>
      </c>
      <c r="CK163" s="330">
        <f t="shared" si="201"/>
        <v>0</v>
      </c>
      <c r="CL163" s="330">
        <f t="shared" si="202"/>
        <v>0</v>
      </c>
      <c r="CM163" s="330">
        <f t="shared" si="203"/>
        <v>0</v>
      </c>
      <c r="CN163" s="330">
        <f t="shared" si="204"/>
        <v>0</v>
      </c>
      <c r="CO163" s="330">
        <f t="shared" si="205"/>
        <v>0</v>
      </c>
      <c r="CP163" s="330">
        <f t="shared" si="206"/>
        <v>0</v>
      </c>
      <c r="CQ163" s="330">
        <f t="shared" si="186"/>
        <v>0</v>
      </c>
      <c r="CR163" s="330">
        <f t="shared" si="207"/>
        <v>0</v>
      </c>
      <c r="CS163" s="330">
        <f t="shared" si="208"/>
        <v>0</v>
      </c>
      <c r="CT163" s="330">
        <f t="shared" si="209"/>
        <v>0</v>
      </c>
      <c r="CU163" s="330">
        <f t="shared" si="211"/>
        <v>0</v>
      </c>
      <c r="CV163" s="330">
        <f t="shared" si="211"/>
        <v>0</v>
      </c>
      <c r="CW163" s="330">
        <f t="shared" si="211"/>
        <v>0</v>
      </c>
      <c r="CX163" s="330">
        <f t="shared" si="211"/>
        <v>0</v>
      </c>
      <c r="CY163" s="330">
        <f t="shared" si="211"/>
        <v>0</v>
      </c>
      <c r="CZ163" s="330">
        <f t="shared" si="211"/>
        <v>0</v>
      </c>
      <c r="DA163" s="330">
        <f t="shared" si="211"/>
        <v>0</v>
      </c>
      <c r="DB163" s="330">
        <f t="shared" si="211"/>
        <v>0</v>
      </c>
      <c r="DC163" s="330">
        <f t="shared" si="211"/>
        <v>0</v>
      </c>
      <c r="DD163" s="330">
        <f t="shared" si="211"/>
        <v>0</v>
      </c>
      <c r="DE163" s="330">
        <f t="shared" si="212"/>
        <v>0</v>
      </c>
      <c r="DF163" s="330">
        <f t="shared" si="212"/>
        <v>0</v>
      </c>
      <c r="DG163" s="330">
        <f t="shared" si="212"/>
        <v>0</v>
      </c>
      <c r="DH163" s="330">
        <f t="shared" si="212"/>
        <v>0</v>
      </c>
      <c r="DI163" s="330">
        <f t="shared" si="212"/>
        <v>0</v>
      </c>
      <c r="DJ163" s="330">
        <f t="shared" si="212"/>
        <v>0</v>
      </c>
      <c r="DK163" s="330">
        <f t="shared" si="212"/>
        <v>0</v>
      </c>
      <c r="DL163" s="330">
        <f t="shared" si="212"/>
        <v>0</v>
      </c>
      <c r="DM163" s="330">
        <f t="shared" si="212"/>
        <v>0</v>
      </c>
      <c r="DN163" s="330">
        <f t="shared" si="212"/>
        <v>0</v>
      </c>
      <c r="DO163" s="330">
        <f t="shared" si="212"/>
        <v>0</v>
      </c>
      <c r="DP163" s="330">
        <f t="shared" si="213"/>
        <v>0</v>
      </c>
      <c r="DQ163" s="217"/>
      <c r="DR163" s="217"/>
      <c r="DS163" s="217"/>
      <c r="DT163" s="217"/>
    </row>
    <row r="164" spans="1:124" x14ac:dyDescent="0.3">
      <c r="A164" s="324"/>
      <c r="B164" s="221" t="s">
        <v>307</v>
      </c>
      <c r="C164" s="221" t="str">
        <f>IF('Simplified Screening 2'!C15=0,"",'Simplified Screening 2'!C15)</f>
        <v/>
      </c>
      <c r="D164" s="221" t="str">
        <f>IF('Simplified Screening 2'!D15=0,"",'Simplified Screening 2'!D15)</f>
        <v/>
      </c>
      <c r="E164" s="221"/>
      <c r="F164" s="221" t="str">
        <f>'Simplified Screening 2'!J15</f>
        <v/>
      </c>
      <c r="G164" s="335" t="str">
        <f>IF(D164="","",'Simplified Screening 2'!G15/1000*VLOOKUP(D164,'Default Values'!$B$78:$F$97,COLUMNS('Default Values'!$B$77:$D$77),0)/1000)</f>
        <v/>
      </c>
      <c r="H164" s="335" t="str">
        <f>IF(D164="","",'Simplified Screening 2'!G15/1000*VLOOKUP(D164,'Default Values'!$B$78:$F$97,COLUMNS('Default Values'!$B$77:$E$77),0)/1000)</f>
        <v/>
      </c>
      <c r="I164" s="335" t="str">
        <f>IF(D164="","",'Simplified Screening 2'!G15/1000*VLOOKUP(D164,'Default Values'!$B$78:$F$97,COLUMNS('Default Values'!$B$77:$F$77),0)/1000)</f>
        <v/>
      </c>
      <c r="J164" s="325">
        <f>IF('Simplified Screening 2'!H15=0,0,'Simplified Screening 2'!H15)</f>
        <v>0</v>
      </c>
      <c r="K164" s="465"/>
      <c r="L164" s="461">
        <f>IF($F164="",0,IF($F164="Weighted Average",$G164*VLOOKUP($D164&amp;" (Install)",Lists!$C$72:$R$232,COLUMNS(Lists!$C$69:E$69),0)*VLOOKUP(BE$3,Conversions!$B$12:$E$34,4,0),$G164*VLOOKUP($F164,Lists!$C$72:$R$232,COLUMNS(Lists!$C$69:E$69),0)*VLOOKUP(BE$3,Conversions!$B$12:$E$34,4,0)))</f>
        <v>0</v>
      </c>
      <c r="M164" s="461">
        <f>IF($F164="",0,IF($F164="Weighted Average",$G164*VLOOKUP($D164&amp;" (Install)",Lists!$C$72:$R$232,COLUMNS(Lists!$C$69:F$69),0)*VLOOKUP(BF$3,Conversions!$B$12:$E$34,4,0),$G164*VLOOKUP($F164,Lists!$C$72:$R$232,COLUMNS(Lists!$C$69:F$69),0)*VLOOKUP(BF$3,Conversions!$B$12:$E$34,4,0)))</f>
        <v>0</v>
      </c>
      <c r="N164" s="461">
        <f>IF($F164="",0,IF($F164="Weighted Average",$G164*VLOOKUP($D164&amp;" (Install)",Lists!$C$72:$R$232,COLUMNS(Lists!$C$69:G$69),0)*VLOOKUP(BG$3,Conversions!$B$12:$E$34,4,0),$G164*VLOOKUP($F164,Lists!$C$72:$R$232,COLUMNS(Lists!$C$69:G$69),0)*VLOOKUP(BG$3,Conversions!$B$12:$E$34,4,0)))</f>
        <v>0</v>
      </c>
      <c r="O164" s="461">
        <f>IF($F164="",0,IF($F164="Weighted Average",$G164*VLOOKUP($D164&amp;" (Install)",Lists!$C$72:$R$232,COLUMNS(Lists!$C$69:H$69),0)*VLOOKUP(BH$3,Conversions!$B$12:$E$34,4,0),$G164*VLOOKUP($F164,Lists!$C$72:$R$232,COLUMNS(Lists!$C$69:H$69),0)*VLOOKUP(BH$3,Conversions!$B$12:$E$34,4,0)))</f>
        <v>0</v>
      </c>
      <c r="P164" s="461">
        <f>IF($F164="",0,IF($F164="Weighted Average",$G164*VLOOKUP($D164&amp;" (Install)",Lists!$C$72:$R$232,COLUMNS(Lists!$C$69:I$69),0)*VLOOKUP(BI$3,Conversions!$B$12:$E$34,4,0),$G164*VLOOKUP($F164,Lists!$C$72:$R$232,COLUMNS(Lists!$C$69:I$69),0)*VLOOKUP(BI$3,Conversions!$B$12:$E$34,4,0)))</f>
        <v>0</v>
      </c>
      <c r="Q164" s="461">
        <f>IF($F164="",0,IF($F164="Weighted Average",$G164*VLOOKUP($D164&amp;" (Install)",Lists!$C$72:$R$232,COLUMNS(Lists!$C$69:J$69),0)*VLOOKUP(BJ$3,Conversions!$B$12:$E$34,4,0),$G164*VLOOKUP($F164,Lists!$C$72:$R$232,COLUMNS(Lists!$C$69:J$69),0)*VLOOKUP(BJ$3,Conversions!$B$12:$E$34,4,0)))</f>
        <v>0</v>
      </c>
      <c r="R164" s="461">
        <f>IF($F164="",0,IF($F164="Weighted Average",$G164*VLOOKUP($D164&amp;" (Install)",Lists!$C$72:$R$232,COLUMNS(Lists!$C$69:K$69),0)*VLOOKUP(BK$3,Conversions!$B$12:$E$34,4,0),$G164*VLOOKUP($F164,Lists!$C$72:$R$232,COLUMNS(Lists!$C$69:K$69),0)*VLOOKUP(BK$3,Conversions!$B$12:$E$34,4,0)))</f>
        <v>0</v>
      </c>
      <c r="S164" s="461">
        <f>IF($F164="",0,IF($F164="Weighted Average",$G164*VLOOKUP($D164&amp;" (Install)",Lists!$C$72:$R$232,COLUMNS(Lists!$C$69:L$69),0)*VLOOKUP(BL$3,Conversions!$B$12:$E$34,4,0),$G164*VLOOKUP($F164,Lists!$C$72:$R$232,COLUMNS(Lists!$C$69:L$69),0)*VLOOKUP(BL$3,Conversions!$B$12:$E$34,4,0)))</f>
        <v>0</v>
      </c>
      <c r="T164" s="461">
        <f>IF($F164="",0,IF($F164="Weighted Average",$G164*VLOOKUP($D164&amp;" (Install)",Lists!$C$72:$R$232,COLUMNS(Lists!$C$69:M$69),0)*VLOOKUP(BM$3,Conversions!$B$12:$E$34,4,0),$G164*VLOOKUP($F164,Lists!$C$72:$R$232,COLUMNS(Lists!$C$69:M$69),0)*VLOOKUP(BM$3,Conversions!$B$12:$E$34,4,0)))</f>
        <v>0</v>
      </c>
      <c r="U164" s="461">
        <f>IF($F164="",0,IF($F164="Weighted Average",$G164*VLOOKUP($D164&amp;" (Install)",Lists!$C$72:$R$232,COLUMNS(Lists!$C$69:N$69),0)*VLOOKUP(BN$3,Conversions!$B$12:$E$34,4,0),$G164*VLOOKUP($F164,Lists!$C$72:$R$232,COLUMNS(Lists!$C$69:N$69),0)*VLOOKUP(BN$3,Conversions!$B$12:$E$34,4,0)))</f>
        <v>0</v>
      </c>
      <c r="V164" s="461">
        <f>IF($F164="",0,IF($F164="Weighted Average",$G164*VLOOKUP($D164&amp;" (Install)",Lists!$C$72:$R$232,COLUMNS(Lists!$C$69:O$69),0)*VLOOKUP(BO$3,Conversions!$B$12:$E$34,4,0),$G164*VLOOKUP($F164,Lists!$C$72:$R$232,COLUMNS(Lists!$C$69:O$69),0)*VLOOKUP(BO$3,Conversions!$B$12:$E$34,4,0)))</f>
        <v>0</v>
      </c>
      <c r="W164" s="461">
        <f>IF($F164="",0,IF($F164="Weighted Average",$G164*VLOOKUP($D164&amp;" (Install)",Lists!$C$72:$R$232,COLUMNS(Lists!$C$69:P$69),0)*VLOOKUP(BP$3,Conversions!$B$12:$E$34,4,0),$G164*VLOOKUP($F164,Lists!$C$72:$R$232,COLUMNS(Lists!$C$69:P$69),0)*VLOOKUP(BP$3,Conversions!$B$12:$E$34,4,0)))</f>
        <v>0</v>
      </c>
      <c r="X164" s="461">
        <f>IF($F164="",0,IF($F164="Weighted Average",$G164*VLOOKUP($D164&amp;" (Install)",Lists!$C$72:$R$232,COLUMNS(Lists!$C$69:Q$69),0)*VLOOKUP(BQ$3,Conversions!$B$12:$E$34,4,0),$G164*VLOOKUP($F164,Lists!$C$72:$R$232,COLUMNS(Lists!$C$69:Q$69),0)*VLOOKUP(BQ$3,Conversions!$B$12:$E$34,4,0)))</f>
        <v>0</v>
      </c>
      <c r="Y164" s="461">
        <f>IF($F164="",0,IF($F164="Weighted Average",$G164*VLOOKUP($D164&amp;" (Install)",Lists!$C$72:$R$232,COLUMNS(Lists!$C$69:R$69),0)*VLOOKUP(BR$3,Conversions!$B$12:$E$34,4,0),$G164*VLOOKUP($F164,Lists!$C$72:$R$232,COLUMNS(Lists!$C$69:R$69),0)*VLOOKUP(BR$3,Conversions!$B$12:$E$34,4,0)))</f>
        <v>0</v>
      </c>
      <c r="Z164" s="462">
        <f t="shared" si="197"/>
        <v>0</v>
      </c>
      <c r="AA164" s="463">
        <f>IF($F164="",0,IF($F164="Weighted Average",$H164*VLOOKUP($D164&amp;" (Operation)",Lists!$C$72:$R$232,COLUMNS(Lists!$C$69:E$69),0)*VLOOKUP(BE$3,Conversions!$B$12:$E$34,4,0),$H164*VLOOKUP($F164,Lists!$C$72:$R$232,COLUMNS(Lists!$C$69:E$69),0)*VLOOKUP(BE$3,Conversions!$B$12:$E$34,4,0)))</f>
        <v>0</v>
      </c>
      <c r="AB164" s="463">
        <f>IF($F164="",0,IF($F164="Weighted Average",$H164*VLOOKUP($D164&amp;" (Operation)",Lists!$C$72:$R$232,COLUMNS(Lists!$C$69:F$69),0)*VLOOKUP(BF$3,Conversions!$B$12:$E$34,4,0),$H164*VLOOKUP($F164,Lists!$C$72:$R$232,COLUMNS(Lists!$C$69:F$69),0)*VLOOKUP(BF$3,Conversions!$B$12:$E$34,4,0)))</f>
        <v>0</v>
      </c>
      <c r="AC164" s="463">
        <f>IF($F164="",0,IF($F164="Weighted Average",$H164*VLOOKUP($D164&amp;" (Operation)",Lists!$C$72:$R$232,COLUMNS(Lists!$C$69:G$69),0)*VLOOKUP(BG$3,Conversions!$B$12:$E$34,4,0),$H164*VLOOKUP($F164,Lists!$C$72:$R$232,COLUMNS(Lists!$C$69:G$69),0)*VLOOKUP(BG$3,Conversions!$B$12:$E$34,4,0)))</f>
        <v>0</v>
      </c>
      <c r="AD164" s="463">
        <f>IF($F164="",0,IF($F164="Weighted Average",$H164*VLOOKUP($D164&amp;" (Operation)",Lists!$C$72:$R$232,COLUMNS(Lists!$C$69:H$69),0)*VLOOKUP(BH$3,Conversions!$B$12:$E$34,4,0),$H164*VLOOKUP($F164,Lists!$C$72:$R$232,COLUMNS(Lists!$C$69:H$69),0)*VLOOKUP(BH$3,Conversions!$B$12:$E$34,4,0)))</f>
        <v>0</v>
      </c>
      <c r="AE164" s="463">
        <f>IF($F164="",0,IF($F164="Weighted Average",$H164*VLOOKUP($D164&amp;" (Operation)",Lists!$C$72:$R$232,COLUMNS(Lists!$C$69:I$69),0)*VLOOKUP(BI$3,Conversions!$B$12:$E$34,4,0),$H164*VLOOKUP($F164,Lists!$C$72:$R$232,COLUMNS(Lists!$C$69:I$69),0)*VLOOKUP(BI$3,Conversions!$B$12:$E$34,4,0)))</f>
        <v>0</v>
      </c>
      <c r="AF164" s="463">
        <f>IF($F164="",0,IF($F164="Weighted Average",$H164*VLOOKUP($D164&amp;" (Operation)",Lists!$C$72:$R$232,COLUMNS(Lists!$C$69:J$69),0)*VLOOKUP(BJ$3,Conversions!$B$12:$E$34,4,0),$H164*VLOOKUP($F164,Lists!$C$72:$R$232,COLUMNS(Lists!$C$69:J$69),0)*VLOOKUP(BJ$3,Conversions!$B$12:$E$34,4,0)))</f>
        <v>0</v>
      </c>
      <c r="AG164" s="463">
        <f>IF($F164="",0,IF($F164="Weighted Average",$H164*VLOOKUP($D164&amp;" (Operation)",Lists!$C$72:$R$232,COLUMNS(Lists!$C$69:K$69),0)*VLOOKUP(BK$3,Conversions!$B$12:$E$34,4,0),$H164*VLOOKUP($F164,Lists!$C$72:$R$232,COLUMNS(Lists!$C$69:K$69),0)*VLOOKUP(BK$3,Conversions!$B$12:$E$34,4,0)))</f>
        <v>0</v>
      </c>
      <c r="AH164" s="463">
        <f>IF($F164="",0,IF($F164="Weighted Average",$H164*VLOOKUP($D164&amp;" (Operation)",Lists!$C$72:$R$232,COLUMNS(Lists!$C$69:L$69),0)*VLOOKUP(BL$3,Conversions!$B$12:$E$34,4,0),$H164*VLOOKUP($F164,Lists!$C$72:$R$232,COLUMNS(Lists!$C$69:L$69),0)*VLOOKUP(BL$3,Conversions!$B$12:$E$34,4,0)))</f>
        <v>0</v>
      </c>
      <c r="AI164" s="463">
        <f>IF($F164="",0,IF($F164="Weighted Average",$H164*VLOOKUP($D164&amp;" (Operation)",Lists!$C$72:$R$232,COLUMNS(Lists!$C$69:M$69),0)*VLOOKUP(BM$3,Conversions!$B$12:$E$34,4,0),$H164*VLOOKUP($F164,Lists!$C$72:$R$232,COLUMNS(Lists!$C$69:M$69),0)*VLOOKUP(BM$3,Conversions!$B$12:$E$34,4,0)))</f>
        <v>0</v>
      </c>
      <c r="AJ164" s="463">
        <f>IF($F164="",0,IF($F164="Weighted Average",$H164*VLOOKUP($D164&amp;" (Operation)",Lists!$C$72:$R$232,COLUMNS(Lists!$C$69:N$69),0)*VLOOKUP(BN$3,Conversions!$B$12:$E$34,4,0),$H164*VLOOKUP($F164,Lists!$C$72:$R$232,COLUMNS(Lists!$C$69:N$69),0)*VLOOKUP(BN$3,Conversions!$B$12:$E$34,4,0)))</f>
        <v>0</v>
      </c>
      <c r="AK164" s="463">
        <f>IF($F164="",0,IF($F164="Weighted Average",$H164*VLOOKUP($D164&amp;" (Operation)",Lists!$C$72:$R$232,COLUMNS(Lists!$C$69:O$69),0)*VLOOKUP(BO$3,Conversions!$B$12:$E$34,4,0),$H164*VLOOKUP($F164,Lists!$C$72:$R$232,COLUMNS(Lists!$C$69:O$69),0)*VLOOKUP(BO$3,Conversions!$B$12:$E$34,4,0)))</f>
        <v>0</v>
      </c>
      <c r="AL164" s="463">
        <f>IF($F164="",0,IF($F164="Weighted Average",$H164*VLOOKUP($D164&amp;" (Operation)",Lists!$C$72:$R$232,COLUMNS(Lists!$C$69:P$69),0)*VLOOKUP(BP$3,Conversions!$B$12:$E$34,4,0),$H164*VLOOKUP($F164,Lists!$C$72:$R$232,COLUMNS(Lists!$C$69:P$69),0)*VLOOKUP(BP$3,Conversions!$B$12:$E$34,4,0)))</f>
        <v>0</v>
      </c>
      <c r="AM164" s="463">
        <f>IF($F164="",0,IF($F164="Weighted Average",$H164*VLOOKUP($D164&amp;" (Operation)",Lists!$C$72:$R$232,COLUMNS(Lists!$C$69:Q$69),0)*VLOOKUP(BQ$3,Conversions!$B$12:$E$34,4,0),$H164*VLOOKUP($F164,Lists!$C$72:$R$232,COLUMNS(Lists!$C$69:Q$69),0)*VLOOKUP(BQ$3,Conversions!$B$12:$E$34,4,0)))</f>
        <v>0</v>
      </c>
      <c r="AN164" s="463">
        <f>IF($F164="",0,IF($F164="Weighted Average",$H164*VLOOKUP($D164&amp;" (Operation)",Lists!$C$72:$R$232,COLUMNS(Lists!$C$69:R$69),0)*VLOOKUP(BR$3,Conversions!$B$12:$E$34,4,0),$H164*VLOOKUP($F164,Lists!$C$72:$R$232,COLUMNS(Lists!$C$69:R$69),0)*VLOOKUP(BR$3,Conversions!$B$12:$E$34,4,0)))</f>
        <v>0</v>
      </c>
      <c r="AO164" s="464">
        <f t="shared" si="198"/>
        <v>0</v>
      </c>
      <c r="AP164" s="461">
        <f>IF($F164="",0,IF($F164="Weighted Average",$I164*VLOOKUP($D164&amp;" (Disposal)",Lists!$C$72:$R$232,COLUMNS(Lists!$C$69:E$69),0)*VLOOKUP(BE$3,Conversions!$B$12:$E$34,4,0),$I164*VLOOKUP($F164,Lists!$C$72:$R$232,COLUMNS(Lists!$C$69:E$69),0)*VLOOKUP(BE$3,Conversions!$B$12:$E$34,4,0)))</f>
        <v>0</v>
      </c>
      <c r="AQ164" s="461">
        <f>IF($F164="",0,IF($F164="Weighted Average",$I164*VLOOKUP($D164&amp;" (Disposal)",Lists!$C$72:$R$232,COLUMNS(Lists!$C$69:F$69),0)*VLOOKUP(BF$3,Conversions!$B$12:$E$34,4,0),$I164*VLOOKUP($F164,Lists!$C$72:$R$232,COLUMNS(Lists!$C$69:F$69),0)*VLOOKUP(BF$3,Conversions!$B$12:$E$34,4,0)))</f>
        <v>0</v>
      </c>
      <c r="AR164" s="461">
        <f>IF($F164="",0,IF($F164="Weighted Average",$I164*VLOOKUP($D164&amp;" (Disposal)",Lists!$C$72:$R$232,COLUMNS(Lists!$C$69:G$69),0)*VLOOKUP(BG$3,Conversions!$B$12:$E$34,4,0),$I164*VLOOKUP($F164,Lists!$C$72:$R$232,COLUMNS(Lists!$C$69:G$69),0)*VLOOKUP(BG$3,Conversions!$B$12:$E$34,4,0)))</f>
        <v>0</v>
      </c>
      <c r="AS164" s="461">
        <f>IF($F164="",0,IF($F164="Weighted Average",$I164*VLOOKUP($D164&amp;" (Disposal)",Lists!$C$72:$R$232,COLUMNS(Lists!$C$69:H$69),0)*VLOOKUP(BH$3,Conversions!$B$12:$E$34,4,0),$I164*VLOOKUP($F164,Lists!$C$72:$R$232,COLUMNS(Lists!$C$69:H$69),0)*VLOOKUP(BH$3,Conversions!$B$12:$E$34,4,0)))</f>
        <v>0</v>
      </c>
      <c r="AT164" s="461">
        <f>IF($F164="",0,IF($F164="Weighted Average",$I164*VLOOKUP($D164&amp;" (Disposal)",Lists!$C$72:$R$232,COLUMNS(Lists!$C$69:I$69),0)*VLOOKUP(BI$3,Conversions!$B$12:$E$34,4,0),$I164*VLOOKUP($F164,Lists!$C$72:$R$232,COLUMNS(Lists!$C$69:I$69),0)*VLOOKUP(BI$3,Conversions!$B$12:$E$34,4,0)))</f>
        <v>0</v>
      </c>
      <c r="AU164" s="461">
        <f>IF($F164="",0,IF($F164="Weighted Average",$I164*VLOOKUP($D164&amp;" (Disposal)",Lists!$C$72:$R$232,COLUMNS(Lists!$C$69:J$69),0)*VLOOKUP(BJ$3,Conversions!$B$12:$E$34,4,0),$I164*VLOOKUP($F164,Lists!$C$72:$R$232,COLUMNS(Lists!$C$69:J$69),0)*VLOOKUP(BJ$3,Conversions!$B$12:$E$34,4,0)))</f>
        <v>0</v>
      </c>
      <c r="AV164" s="461">
        <f>IF($F164="",0,IF($F164="Weighted Average",$I164*VLOOKUP($D164&amp;" (Disposal)",Lists!$C$72:$R$232,COLUMNS(Lists!$C$69:K$69),0)*VLOOKUP(BK$3,Conversions!$B$12:$E$34,4,0),$I164*VLOOKUP($F164,Lists!$C$72:$R$232,COLUMNS(Lists!$C$69:K$69),0)*VLOOKUP(BK$3,Conversions!$B$12:$E$34,4,0)))</f>
        <v>0</v>
      </c>
      <c r="AW164" s="461">
        <f>IF($F164="",0,IF($F164="Weighted Average",$I164*VLOOKUP($D164&amp;" (Disposal)",Lists!$C$72:$R$232,COLUMNS(Lists!$C$69:L$69),0)*VLOOKUP(BL$3,Conversions!$B$12:$E$34,4,0),$I164*VLOOKUP($F164,Lists!$C$72:$R$232,COLUMNS(Lists!$C$69:L$69),0)*VLOOKUP(BL$3,Conversions!$B$12:$E$34,4,0)))</f>
        <v>0</v>
      </c>
      <c r="AX164" s="461">
        <f>IF($F164="",0,IF($F164="Weighted Average",$I164*VLOOKUP($D164&amp;" (Disposal)",Lists!$C$72:$R$232,COLUMNS(Lists!$C$69:M$69),0)*VLOOKUP(BM$3,Conversions!$B$12:$E$34,4,0),$I164*VLOOKUP($F164,Lists!$C$72:$R$232,COLUMNS(Lists!$C$69:M$69),0)*VLOOKUP(BM$3,Conversions!$B$12:$E$34,4,0)))</f>
        <v>0</v>
      </c>
      <c r="AY164" s="461">
        <f>IF($F164="",0,IF($F164="Weighted Average",$I164*VLOOKUP($D164&amp;" (Disposal)",Lists!$C$72:$R$232,COLUMNS(Lists!$C$69:N$69),0)*VLOOKUP(BN$3,Conversions!$B$12:$E$34,4,0),$I164*VLOOKUP($F164,Lists!$C$72:$R$232,COLUMNS(Lists!$C$69:N$69),0)*VLOOKUP(BN$3,Conversions!$B$12:$E$34,4,0)))</f>
        <v>0</v>
      </c>
      <c r="AZ164" s="461">
        <f>IF($F164="",0,IF($F164="Weighted Average",$I164*VLOOKUP($D164&amp;" (Disposal)",Lists!$C$72:$R$232,COLUMNS(Lists!$C$69:O$69),0)*VLOOKUP(BO$3,Conversions!$B$12:$E$34,4,0),$I164*VLOOKUP($F164,Lists!$C$72:$R$232,COLUMNS(Lists!$C$69:O$69),0)*VLOOKUP(BO$3,Conversions!$B$12:$E$34,4,0)))</f>
        <v>0</v>
      </c>
      <c r="BA164" s="461">
        <f>IF($F164="",0,IF($F164="Weighted Average",$I164*VLOOKUP($D164&amp;" (Disposal)",Lists!$C$72:$R$232,COLUMNS(Lists!$C$69:P$69),0)*VLOOKUP(BP$3,Conversions!$B$12:$E$34,4,0),$I164*VLOOKUP($F164,Lists!$C$72:$R$232,COLUMNS(Lists!$C$69:P$69),0)*VLOOKUP(BP$3,Conversions!$B$12:$E$34,4,0)))</f>
        <v>0</v>
      </c>
      <c r="BB164" s="461">
        <f>IF($F164="",0,IF($F164="Weighted Average",$I164*VLOOKUP($D164&amp;" (Disposal)",Lists!$C$72:$R$232,COLUMNS(Lists!$C$69:Q$69),0)*VLOOKUP(BQ$3,Conversions!$B$12:$E$34,4,0),$I164*VLOOKUP($F164,Lists!$C$72:$R$232,COLUMNS(Lists!$C$69:Q$69),0)*VLOOKUP(BQ$3,Conversions!$B$12:$E$34,4,0)))</f>
        <v>0</v>
      </c>
      <c r="BC164" s="461">
        <f>IF($F164="",0,IF($F164="Weighted Average",$I164*VLOOKUP($D164&amp;" (Disposal)",Lists!$C$72:$R$232,COLUMNS(Lists!$C$69:R$69),0)*VLOOKUP(BR$3,Conversions!$B$12:$E$34,4,0),$I164*VLOOKUP($F164,Lists!$C$72:$R$232,COLUMNS(Lists!$C$69:R$69),0)*VLOOKUP(BR$3,Conversions!$B$12:$E$34,4,0)))</f>
        <v>0</v>
      </c>
      <c r="BD164" s="461">
        <f t="shared" si="199"/>
        <v>0</v>
      </c>
      <c r="BE164" s="330">
        <f>L164+AA164+AP164</f>
        <v>0</v>
      </c>
      <c r="BF164" s="330">
        <f t="shared" ref="BF164:BF203" si="214">M164+AB164+AQ164</f>
        <v>0</v>
      </c>
      <c r="BG164" s="330">
        <f t="shared" ref="BG164:BG203" si="215">N164+AC164+AR164</f>
        <v>0</v>
      </c>
      <c r="BH164" s="330">
        <f t="shared" ref="BH164:BH203" si="216">O164+AD164+AS164</f>
        <v>0</v>
      </c>
      <c r="BI164" s="330">
        <f t="shared" ref="BI164:BI203" si="217">P164+AE164+AT164</f>
        <v>0</v>
      </c>
      <c r="BJ164" s="330">
        <f t="shared" ref="BJ164:BJ203" si="218">Q164+AF164+AU164</f>
        <v>0</v>
      </c>
      <c r="BK164" s="330">
        <f t="shared" ref="BK164:BK203" si="219">R164+AG164+AV164</f>
        <v>0</v>
      </c>
      <c r="BL164" s="330">
        <f t="shared" ref="BL164:BL203" si="220">S164+AH164+AW164</f>
        <v>0</v>
      </c>
      <c r="BM164" s="330">
        <f t="shared" ref="BM164:BM203" si="221">T164+AI164+AX164</f>
        <v>0</v>
      </c>
      <c r="BN164" s="330">
        <f t="shared" ref="BN164:BN203" si="222">U164+AJ164+AY164</f>
        <v>0</v>
      </c>
      <c r="BO164" s="330">
        <f t="shared" ref="BO164:BO203" si="223">V164+AK164+AZ164</f>
        <v>0</v>
      </c>
      <c r="BP164" s="330">
        <f t="shared" ref="BP164:BP203" si="224">W164+AL164+BA164</f>
        <v>0</v>
      </c>
      <c r="BQ164" s="330">
        <f t="shared" ref="BQ164:BQ203" si="225">X164+AM164+BB164</f>
        <v>0</v>
      </c>
      <c r="BR164" s="330">
        <f t="shared" ref="BR164:BR203" si="226">Y164+AN164+BC164</f>
        <v>0</v>
      </c>
      <c r="BS164" s="330">
        <f t="shared" ref="BS164:BS203" si="227">Z164+AO164+BD164</f>
        <v>0</v>
      </c>
      <c r="BT164" s="336">
        <f>IF($F164="",0,IF($F164="Weighted Average",$BS164*VLOOKUP($D164,'Default Values'!$B$78:$V$97,COLUMNS('Default Values'!$B$77:G$77),0),0))</f>
        <v>0</v>
      </c>
      <c r="BU164" s="336">
        <f>IF($F164="",0,IF($F164="Weighted Average",$BS164*VLOOKUP($D164,'Default Values'!$B$78:$V$97,COLUMNS('Default Values'!$B$77:H$77),0),0))</f>
        <v>0</v>
      </c>
      <c r="BV164" s="336">
        <f>IF($F164="",0,IF($F164="Weighted Average",$BS164*VLOOKUP($D164,'Default Values'!$B$78:$V$97,COLUMNS('Default Values'!$B$77:I$77),0),0))</f>
        <v>0</v>
      </c>
      <c r="BW164" s="336">
        <f>IF($F164="",0,IF($F164="Weighted Average",$BS164*VLOOKUP($D164,'Default Values'!$B$78:$V$97,COLUMNS('Default Values'!$B$77:J$77),0),0))</f>
        <v>0</v>
      </c>
      <c r="BX164" s="336">
        <f>IF($F164="",0,IF($F164="Weighted Average",$BS164*VLOOKUP($D164,'Default Values'!$B$78:$V$97,COLUMNS('Default Values'!$B$77:K$77),0),0))</f>
        <v>0</v>
      </c>
      <c r="BY164" s="336">
        <f>IF($F164="",0,IF($F164="Weighted Average",$BS164*VLOOKUP($D164,'Default Values'!$B$78:$V$97,COLUMNS('Default Values'!$B$77:L$77),0),0))</f>
        <v>0</v>
      </c>
      <c r="BZ164" s="336">
        <f>IF($F164="",0,IF($F164="Weighted Average",$BS164*VLOOKUP($D164,'Default Values'!$B$78:$V$97,COLUMNS('Default Values'!$B$77:M$77),0),0))</f>
        <v>0</v>
      </c>
      <c r="CA164" s="336">
        <f>IF($F164="",0,IF($F164="Weighted Average",$BS164*VLOOKUP($D164,'Default Values'!$B$78:$V$97,COLUMNS('Default Values'!$B$77:N$77),0),0))</f>
        <v>0</v>
      </c>
      <c r="CB164" s="336">
        <f>IF($F164="",0,IF($F164="Weighted Average",$BS164*VLOOKUP($D164,'Default Values'!$B$78:$V$97,COLUMNS('Default Values'!$B$77:O$77),0),0))</f>
        <v>0</v>
      </c>
      <c r="CC164" s="336">
        <f>IF($F164="",0,IF($F164="Weighted Average",$BS164*VLOOKUP($D164,'Default Values'!$B$78:$V$97,COLUMNS('Default Values'!$B$77:P$77),0),0))</f>
        <v>0</v>
      </c>
      <c r="CD164" s="336">
        <f>IF($F164="",0,IF($F164="Weighted Average",$BS164*VLOOKUP($D164,'Default Values'!$B$78:$V$97,COLUMNS('Default Values'!$B$77:Q$77),0),0))</f>
        <v>0</v>
      </c>
      <c r="CE164" s="336">
        <f>IF($F164="",0,IF($F164="Weighted Average",$BS164*VLOOKUP($D164,'Default Values'!$B$78:$V$97,COLUMNS('Default Values'!$B$77:R$77),0),0))</f>
        <v>0</v>
      </c>
      <c r="CF164" s="336">
        <f>IF($F164="",0,IF($F164="Weighted Average",$BS164*VLOOKUP($D164,'Default Values'!$B$78:$V$97,COLUMNS('Default Values'!$B$77:S$77),0),0))</f>
        <v>0</v>
      </c>
      <c r="CG164" s="336">
        <f>IF($F164="",0,IF($F164="Weighted Average",$BS164*VLOOKUP($D164,'Default Values'!$B$78:$V$97,COLUMNS('Default Values'!$B$77:T$77),0),0))</f>
        <v>0</v>
      </c>
      <c r="CH164" s="336">
        <f>IF($F164="",0,IF($F164="Weighted Average",$BS164*VLOOKUP($D164,'Default Values'!$B$78:$V$97,COLUMNS('Default Values'!$B$77:U$77),0),0))</f>
        <v>0</v>
      </c>
      <c r="CI164" s="336">
        <f>IF($F164="",0,IF($F164="Weighted Average",$BS164*VLOOKUP($D164,'Default Values'!$B$78:$V$97,COLUMNS('Default Values'!$B$77:V$77),0),0))</f>
        <v>0</v>
      </c>
      <c r="CJ164" s="331">
        <f t="shared" si="200"/>
        <v>0</v>
      </c>
      <c r="CK164" s="330">
        <f t="shared" si="201"/>
        <v>0</v>
      </c>
      <c r="CL164" s="330">
        <f t="shared" si="202"/>
        <v>0</v>
      </c>
      <c r="CM164" s="330">
        <f t="shared" si="203"/>
        <v>0</v>
      </c>
      <c r="CN164" s="330">
        <f t="shared" si="204"/>
        <v>0</v>
      </c>
      <c r="CO164" s="330">
        <f t="shared" si="205"/>
        <v>0</v>
      </c>
      <c r="CP164" s="330">
        <f t="shared" si="206"/>
        <v>0</v>
      </c>
      <c r="CQ164" s="330">
        <f t="shared" si="186"/>
        <v>0</v>
      </c>
      <c r="CR164" s="330">
        <f t="shared" si="207"/>
        <v>0</v>
      </c>
      <c r="CS164" s="330">
        <f t="shared" si="208"/>
        <v>0</v>
      </c>
      <c r="CT164" s="330">
        <f t="shared" si="209"/>
        <v>0</v>
      </c>
      <c r="CU164" s="330">
        <f t="shared" ref="CU164:DD173" si="228">IF($C164=CU$3,$BS164,0)</f>
        <v>0</v>
      </c>
      <c r="CV164" s="330">
        <f t="shared" si="228"/>
        <v>0</v>
      </c>
      <c r="CW164" s="330">
        <f t="shared" si="228"/>
        <v>0</v>
      </c>
      <c r="CX164" s="330">
        <f t="shared" si="228"/>
        <v>0</v>
      </c>
      <c r="CY164" s="330">
        <f t="shared" si="228"/>
        <v>0</v>
      </c>
      <c r="CZ164" s="330">
        <f t="shared" si="228"/>
        <v>0</v>
      </c>
      <c r="DA164" s="330">
        <f t="shared" si="228"/>
        <v>0</v>
      </c>
      <c r="DB164" s="330">
        <f t="shared" si="228"/>
        <v>0</v>
      </c>
      <c r="DC164" s="330">
        <f t="shared" si="228"/>
        <v>0</v>
      </c>
      <c r="DD164" s="330">
        <f t="shared" si="228"/>
        <v>0</v>
      </c>
      <c r="DE164" s="330">
        <f t="shared" ref="DE164:DO173" si="229">IF($C164=DE$3,$BS164,0)</f>
        <v>0</v>
      </c>
      <c r="DF164" s="330">
        <f t="shared" si="229"/>
        <v>0</v>
      </c>
      <c r="DG164" s="330">
        <f t="shared" si="229"/>
        <v>0</v>
      </c>
      <c r="DH164" s="330">
        <f t="shared" si="229"/>
        <v>0</v>
      </c>
      <c r="DI164" s="330">
        <f t="shared" si="229"/>
        <v>0</v>
      </c>
      <c r="DJ164" s="330">
        <f t="shared" si="229"/>
        <v>0</v>
      </c>
      <c r="DK164" s="330">
        <f t="shared" si="229"/>
        <v>0</v>
      </c>
      <c r="DL164" s="330">
        <f t="shared" si="229"/>
        <v>0</v>
      </c>
      <c r="DM164" s="330">
        <f t="shared" si="229"/>
        <v>0</v>
      </c>
      <c r="DN164" s="330">
        <f t="shared" si="229"/>
        <v>0</v>
      </c>
      <c r="DO164" s="330">
        <f t="shared" si="229"/>
        <v>0</v>
      </c>
      <c r="DP164" s="330">
        <f t="shared" si="213"/>
        <v>0</v>
      </c>
      <c r="DQ164" s="217"/>
      <c r="DR164" s="217"/>
      <c r="DS164" s="217"/>
      <c r="DT164" s="217"/>
    </row>
    <row r="165" spans="1:124" x14ac:dyDescent="0.3">
      <c r="A165" s="324"/>
      <c r="B165" s="221" t="s">
        <v>307</v>
      </c>
      <c r="C165" s="221" t="str">
        <f>IF('Simplified Screening 2'!C16=0,"",'Simplified Screening 2'!C16)</f>
        <v/>
      </c>
      <c r="D165" s="221" t="str">
        <f>IF('Simplified Screening 2'!D16=0,"",'Simplified Screening 2'!D16)</f>
        <v/>
      </c>
      <c r="E165" s="221"/>
      <c r="F165" s="221" t="str">
        <f>'Simplified Screening 2'!J16</f>
        <v/>
      </c>
      <c r="G165" s="335" t="str">
        <f>IF(D165="","",'Simplified Screening 2'!G16/1000*VLOOKUP(D165,'Default Values'!$B$78:$F$97,COLUMNS('Default Values'!$B$77:$D$77),0)/1000)</f>
        <v/>
      </c>
      <c r="H165" s="335" t="str">
        <f>IF(D165="","",'Simplified Screening 2'!G16/1000*VLOOKUP(D165,'Default Values'!$B$78:$F$97,COLUMNS('Default Values'!$B$77:$E$77),0)/1000)</f>
        <v/>
      </c>
      <c r="I165" s="335" t="str">
        <f>IF(D165="","",'Simplified Screening 2'!G16/1000*VLOOKUP(D165,'Default Values'!$B$78:$F$97,COLUMNS('Default Values'!$B$77:$F$77),0)/1000)</f>
        <v/>
      </c>
      <c r="J165" s="325">
        <f>IF('Simplified Screening 2'!H16=0,0,'Simplified Screening 2'!H16)</f>
        <v>0</v>
      </c>
      <c r="K165" s="465"/>
      <c r="L165" s="333">
        <f>IF($F165="",0,IF($F165="Weighted Average",$G165*VLOOKUP($D165&amp;" (Install)",Lists!$C$72:$R$232,COLUMNS(Lists!$C$69:E$69),0)*VLOOKUP(BE$3,Conversions!$B$12:$E$34,4,0),$G165*VLOOKUP($F165,Lists!$C$72:$R$232,COLUMNS(Lists!$C$69:E$69),0)*VLOOKUP(BE$3,Conversions!$B$12:$E$34,4,0)))</f>
        <v>0</v>
      </c>
      <c r="M165" s="333">
        <f>IF($F165="",0,IF($F165="Weighted Average",$G165*VLOOKUP($D165&amp;" (Install)",Lists!$C$72:$R$232,COLUMNS(Lists!$C$69:F$69),0)*VLOOKUP(BF$3,Conversions!$B$12:$E$34,4,0),$G165*VLOOKUP($F165,Lists!$C$72:$R$232,COLUMNS(Lists!$C$69:F$69),0)*VLOOKUP(BF$3,Conversions!$B$12:$E$34,4,0)))</f>
        <v>0</v>
      </c>
      <c r="N165" s="333">
        <f>IF($F165="",0,IF($F165="Weighted Average",$G165*VLOOKUP($D165&amp;" (Install)",Lists!$C$72:$R$232,COLUMNS(Lists!$C$69:G$69),0)*VLOOKUP(BG$3,Conversions!$B$12:$E$34,4,0),$G165*VLOOKUP($F165,Lists!$C$72:$R$232,COLUMNS(Lists!$C$69:G$69),0)*VLOOKUP(BG$3,Conversions!$B$12:$E$34,4,0)))</f>
        <v>0</v>
      </c>
      <c r="O165" s="333">
        <f>IF($F165="",0,IF($F165="Weighted Average",$G165*VLOOKUP($D165&amp;" (Install)",Lists!$C$72:$R$232,COLUMNS(Lists!$C$69:H$69),0)*VLOOKUP(BH$3,Conversions!$B$12:$E$34,4,0),$G165*VLOOKUP($F165,Lists!$C$72:$R$232,COLUMNS(Lists!$C$69:H$69),0)*VLOOKUP(BH$3,Conversions!$B$12:$E$34,4,0)))</f>
        <v>0</v>
      </c>
      <c r="P165" s="333">
        <f>IF($F165="",0,IF($F165="Weighted Average",$G165*VLOOKUP($D165&amp;" (Install)",Lists!$C$72:$R$232,COLUMNS(Lists!$C$69:I$69),0)*VLOOKUP(BI$3,Conversions!$B$12:$E$34,4,0),$G165*VLOOKUP($F165,Lists!$C$72:$R$232,COLUMNS(Lists!$C$69:I$69),0)*VLOOKUP(BI$3,Conversions!$B$12:$E$34,4,0)))</f>
        <v>0</v>
      </c>
      <c r="Q165" s="333">
        <f>IF($F165="",0,IF($F165="Weighted Average",$G165*VLOOKUP($D165&amp;" (Install)",Lists!$C$72:$R$232,COLUMNS(Lists!$C$69:J$69),0)*VLOOKUP(BJ$3,Conversions!$B$12:$E$34,4,0),$G165*VLOOKUP($F165,Lists!$C$72:$R$232,COLUMNS(Lists!$C$69:J$69),0)*VLOOKUP(BJ$3,Conversions!$B$12:$E$34,4,0)))</f>
        <v>0</v>
      </c>
      <c r="R165" s="333">
        <f>IF($F165="",0,IF($F165="Weighted Average",$G165*VLOOKUP($D165&amp;" (Install)",Lists!$C$72:$R$232,COLUMNS(Lists!$C$69:K$69),0)*VLOOKUP(BK$3,Conversions!$B$12:$E$34,4,0),$G165*VLOOKUP($F165,Lists!$C$72:$R$232,COLUMNS(Lists!$C$69:K$69),0)*VLOOKUP(BK$3,Conversions!$B$12:$E$34,4,0)))</f>
        <v>0</v>
      </c>
      <c r="S165" s="333">
        <f>IF($F165="",0,IF($F165="Weighted Average",$G165*VLOOKUP($D165&amp;" (Install)",Lists!$C$72:$R$232,COLUMNS(Lists!$C$69:L$69),0)*VLOOKUP(BL$3,Conversions!$B$12:$E$34,4,0),$G165*VLOOKUP($F165,Lists!$C$72:$R$232,COLUMNS(Lists!$C$69:L$69),0)*VLOOKUP(BL$3,Conversions!$B$12:$E$34,4,0)))</f>
        <v>0</v>
      </c>
      <c r="T165" s="333">
        <f>IF($F165="",0,IF($F165="Weighted Average",$G165*VLOOKUP($D165&amp;" (Install)",Lists!$C$72:$R$232,COLUMNS(Lists!$C$69:M$69),0)*VLOOKUP(BM$3,Conversions!$B$12:$E$34,4,0),$G165*VLOOKUP($F165,Lists!$C$72:$R$232,COLUMNS(Lists!$C$69:M$69),0)*VLOOKUP(BM$3,Conversions!$B$12:$E$34,4,0)))</f>
        <v>0</v>
      </c>
      <c r="U165" s="333">
        <f>IF($F165="",0,IF($F165="Weighted Average",$G165*VLOOKUP($D165&amp;" (Install)",Lists!$C$72:$R$232,COLUMNS(Lists!$C$69:N$69),0)*VLOOKUP(BN$3,Conversions!$B$12:$E$34,4,0),$G165*VLOOKUP($F165,Lists!$C$72:$R$232,COLUMNS(Lists!$C$69:N$69),0)*VLOOKUP(BN$3,Conversions!$B$12:$E$34,4,0)))</f>
        <v>0</v>
      </c>
      <c r="V165" s="333">
        <f>IF($F165="",0,IF($F165="Weighted Average",$G165*VLOOKUP($D165&amp;" (Install)",Lists!$C$72:$R$232,COLUMNS(Lists!$C$69:O$69),0)*VLOOKUP(BO$3,Conversions!$B$12:$E$34,4,0),$G165*VLOOKUP($F165,Lists!$C$72:$R$232,COLUMNS(Lists!$C$69:O$69),0)*VLOOKUP(BO$3,Conversions!$B$12:$E$34,4,0)))</f>
        <v>0</v>
      </c>
      <c r="W165" s="333">
        <f>IF($F165="",0,IF($F165="Weighted Average",$G165*VLOOKUP($D165&amp;" (Install)",Lists!$C$72:$R$232,COLUMNS(Lists!$C$69:P$69),0)*VLOOKUP(BP$3,Conversions!$B$12:$E$34,4,0),$G165*VLOOKUP($F165,Lists!$C$72:$R$232,COLUMNS(Lists!$C$69:P$69),0)*VLOOKUP(BP$3,Conversions!$B$12:$E$34,4,0)))</f>
        <v>0</v>
      </c>
      <c r="X165" s="333">
        <f>IF($F165="",0,IF($F165="Weighted Average",$G165*VLOOKUP($D165&amp;" (Install)",Lists!$C$72:$R$232,COLUMNS(Lists!$C$69:Q$69),0)*VLOOKUP(BQ$3,Conversions!$B$12:$E$34,4,0),$G165*VLOOKUP($F165,Lists!$C$72:$R$232,COLUMNS(Lists!$C$69:Q$69),0)*VLOOKUP(BQ$3,Conversions!$B$12:$E$34,4,0)))</f>
        <v>0</v>
      </c>
      <c r="Y165" s="333">
        <f>IF($F165="",0,IF($F165="Weighted Average",$G165*VLOOKUP($D165&amp;" (Install)",Lists!$C$72:$R$232,COLUMNS(Lists!$C$69:R$69),0)*VLOOKUP(BR$3,Conversions!$B$12:$E$34,4,0),$G165*VLOOKUP($F165,Lists!$C$72:$R$232,COLUMNS(Lists!$C$69:R$69),0)*VLOOKUP(BR$3,Conversions!$B$12:$E$34,4,0)))</f>
        <v>0</v>
      </c>
      <c r="Z165" s="325">
        <f t="shared" ref="Z165:Z203" si="230">SUM(L165:Y165)</f>
        <v>0</v>
      </c>
      <c r="AA165" s="334">
        <f>IF($F165="",0,IF($F165="Weighted Average",$H165*VLOOKUP($D165&amp;" (Operation)",Lists!$C$72:$R$232,COLUMNS(Lists!$C$69:E$69),0)*VLOOKUP(BE$3,Conversions!$B$12:$E$34,4,0),$H165*VLOOKUP($F165,Lists!$C$72:$R$232,COLUMNS(Lists!$C$69:E$69),0)*VLOOKUP(BE$3,Conversions!$B$12:$E$34,4,0)))</f>
        <v>0</v>
      </c>
      <c r="AB165" s="334">
        <f>IF($F165="",0,IF($F165="Weighted Average",$H165*VLOOKUP($D165&amp;" (Operation)",Lists!$C$72:$R$232,COLUMNS(Lists!$C$69:F$69),0)*VLOOKUP(BF$3,Conversions!$B$12:$E$34,4,0),$H165*VLOOKUP($F165,Lists!$C$72:$R$232,COLUMNS(Lists!$C$69:F$69),0)*VLOOKUP(BF$3,Conversions!$B$12:$E$34,4,0)))</f>
        <v>0</v>
      </c>
      <c r="AC165" s="334">
        <f>IF($F165="",0,IF($F165="Weighted Average",$H165*VLOOKUP($D165&amp;" (Operation)",Lists!$C$72:$R$232,COLUMNS(Lists!$C$69:G$69),0)*VLOOKUP(BG$3,Conversions!$B$12:$E$34,4,0),$H165*VLOOKUP($F165,Lists!$C$72:$R$232,COLUMNS(Lists!$C$69:G$69),0)*VLOOKUP(BG$3,Conversions!$B$12:$E$34,4,0)))</f>
        <v>0</v>
      </c>
      <c r="AD165" s="334">
        <f>IF($F165="",0,IF($F165="Weighted Average",$H165*VLOOKUP($D165&amp;" (Operation)",Lists!$C$72:$R$232,COLUMNS(Lists!$C$69:H$69),0)*VLOOKUP(BH$3,Conversions!$B$12:$E$34,4,0),$H165*VLOOKUP($F165,Lists!$C$72:$R$232,COLUMNS(Lists!$C$69:H$69),0)*VLOOKUP(BH$3,Conversions!$B$12:$E$34,4,0)))</f>
        <v>0</v>
      </c>
      <c r="AE165" s="334">
        <f>IF($F165="",0,IF($F165="Weighted Average",$H165*VLOOKUP($D165&amp;" (Operation)",Lists!$C$72:$R$232,COLUMNS(Lists!$C$69:I$69),0)*VLOOKUP(BI$3,Conversions!$B$12:$E$34,4,0),$H165*VLOOKUP($F165,Lists!$C$72:$R$232,COLUMNS(Lists!$C$69:I$69),0)*VLOOKUP(BI$3,Conversions!$B$12:$E$34,4,0)))</f>
        <v>0</v>
      </c>
      <c r="AF165" s="334">
        <f>IF($F165="",0,IF($F165="Weighted Average",$H165*VLOOKUP($D165&amp;" (Operation)",Lists!$C$72:$R$232,COLUMNS(Lists!$C$69:J$69),0)*VLOOKUP(BJ$3,Conversions!$B$12:$E$34,4,0),$H165*VLOOKUP($F165,Lists!$C$72:$R$232,COLUMNS(Lists!$C$69:J$69),0)*VLOOKUP(BJ$3,Conversions!$B$12:$E$34,4,0)))</f>
        <v>0</v>
      </c>
      <c r="AG165" s="334">
        <f>IF($F165="",0,IF($F165="Weighted Average",$H165*VLOOKUP($D165&amp;" (Operation)",Lists!$C$72:$R$232,COLUMNS(Lists!$C$69:K$69),0)*VLOOKUP(BK$3,Conversions!$B$12:$E$34,4,0),$H165*VLOOKUP($F165,Lists!$C$72:$R$232,COLUMNS(Lists!$C$69:K$69),0)*VLOOKUP(BK$3,Conversions!$B$12:$E$34,4,0)))</f>
        <v>0</v>
      </c>
      <c r="AH165" s="334">
        <f>IF($F165="",0,IF($F165="Weighted Average",$H165*VLOOKUP($D165&amp;" (Operation)",Lists!$C$72:$R$232,COLUMNS(Lists!$C$69:L$69),0)*VLOOKUP(BL$3,Conversions!$B$12:$E$34,4,0),$H165*VLOOKUP($F165,Lists!$C$72:$R$232,COLUMNS(Lists!$C$69:L$69),0)*VLOOKUP(BL$3,Conversions!$B$12:$E$34,4,0)))</f>
        <v>0</v>
      </c>
      <c r="AI165" s="334">
        <f>IF($F165="",0,IF($F165="Weighted Average",$H165*VLOOKUP($D165&amp;" (Operation)",Lists!$C$72:$R$232,COLUMNS(Lists!$C$69:M$69),0)*VLOOKUP(BM$3,Conversions!$B$12:$E$34,4,0),$H165*VLOOKUP($F165,Lists!$C$72:$R$232,COLUMNS(Lists!$C$69:M$69),0)*VLOOKUP(BM$3,Conversions!$B$12:$E$34,4,0)))</f>
        <v>0</v>
      </c>
      <c r="AJ165" s="334">
        <f>IF($F165="",0,IF($F165="Weighted Average",$H165*VLOOKUP($D165&amp;" (Operation)",Lists!$C$72:$R$232,COLUMNS(Lists!$C$69:N$69),0)*VLOOKUP(BN$3,Conversions!$B$12:$E$34,4,0),$H165*VLOOKUP($F165,Lists!$C$72:$R$232,COLUMNS(Lists!$C$69:N$69),0)*VLOOKUP(BN$3,Conversions!$B$12:$E$34,4,0)))</f>
        <v>0</v>
      </c>
      <c r="AK165" s="334">
        <f>IF($F165="",0,IF($F165="Weighted Average",$H165*VLOOKUP($D165&amp;" (Operation)",Lists!$C$72:$R$232,COLUMNS(Lists!$C$69:O$69),0)*VLOOKUP(BO$3,Conversions!$B$12:$E$34,4,0),$H165*VLOOKUP($F165,Lists!$C$72:$R$232,COLUMNS(Lists!$C$69:O$69),0)*VLOOKUP(BO$3,Conversions!$B$12:$E$34,4,0)))</f>
        <v>0</v>
      </c>
      <c r="AL165" s="334">
        <f>IF($F165="",0,IF($F165="Weighted Average",$H165*VLOOKUP($D165&amp;" (Operation)",Lists!$C$72:$R$232,COLUMNS(Lists!$C$69:P$69),0)*VLOOKUP(BP$3,Conversions!$B$12:$E$34,4,0),$H165*VLOOKUP($F165,Lists!$C$72:$R$232,COLUMNS(Lists!$C$69:P$69),0)*VLOOKUP(BP$3,Conversions!$B$12:$E$34,4,0)))</f>
        <v>0</v>
      </c>
      <c r="AM165" s="334">
        <f>IF($F165="",0,IF($F165="Weighted Average",$H165*VLOOKUP($D165&amp;" (Operation)",Lists!$C$72:$R$232,COLUMNS(Lists!$C$69:Q$69),0)*VLOOKUP(BQ$3,Conversions!$B$12:$E$34,4,0),$H165*VLOOKUP($F165,Lists!$C$72:$R$232,COLUMNS(Lists!$C$69:Q$69),0)*VLOOKUP(BQ$3,Conversions!$B$12:$E$34,4,0)))</f>
        <v>0</v>
      </c>
      <c r="AN165" s="334">
        <f>IF($F165="",0,IF($F165="Weighted Average",$H165*VLOOKUP($D165&amp;" (Operation)",Lists!$C$72:$R$232,COLUMNS(Lists!$C$69:R$69),0)*VLOOKUP(BR$3,Conversions!$B$12:$E$34,4,0),$H165*VLOOKUP($F165,Lists!$C$72:$R$232,COLUMNS(Lists!$C$69:R$69),0)*VLOOKUP(BR$3,Conversions!$B$12:$E$34,4,0)))</f>
        <v>0</v>
      </c>
      <c r="AO165" s="330">
        <f t="shared" ref="AO165:AO203" si="231">SUM(AA165:AN165)</f>
        <v>0</v>
      </c>
      <c r="AP165" s="333">
        <f>IF($F165="",0,IF($F165="Weighted Average",$I165*VLOOKUP($D165&amp;" (Disposal)",Lists!$C$72:$R$232,COLUMNS(Lists!$C$69:E$69),0)*VLOOKUP(BE$3,Conversions!$B$12:$E$34,4,0),$I165*VLOOKUP($F165,Lists!$C$72:$R$232,COLUMNS(Lists!$C$69:E$69),0)*VLOOKUP(BE$3,Conversions!$B$12:$E$34,4,0)))</f>
        <v>0</v>
      </c>
      <c r="AQ165" s="333">
        <f>IF($F165="",0,IF($F165="Weighted Average",$I165*VLOOKUP($D165&amp;" (Disposal)",Lists!$C$72:$R$232,COLUMNS(Lists!$C$69:F$69),0)*VLOOKUP(BF$3,Conversions!$B$12:$E$34,4,0),$I165*VLOOKUP($F165,Lists!$C$72:$R$232,COLUMNS(Lists!$C$69:F$69),0)*VLOOKUP(BF$3,Conversions!$B$12:$E$34,4,0)))</f>
        <v>0</v>
      </c>
      <c r="AR165" s="333">
        <f>IF($F165="",0,IF($F165="Weighted Average",$I165*VLOOKUP($D165&amp;" (Disposal)",Lists!$C$72:$R$232,COLUMNS(Lists!$C$69:G$69),0)*VLOOKUP(BG$3,Conversions!$B$12:$E$34,4,0),$I165*VLOOKUP($F165,Lists!$C$72:$R$232,COLUMNS(Lists!$C$69:G$69),0)*VLOOKUP(BG$3,Conversions!$B$12:$E$34,4,0)))</f>
        <v>0</v>
      </c>
      <c r="AS165" s="333">
        <f>IF($F165="",0,IF($F165="Weighted Average",$I165*VLOOKUP($D165&amp;" (Disposal)",Lists!$C$72:$R$232,COLUMNS(Lists!$C$69:H$69),0)*VLOOKUP(BH$3,Conversions!$B$12:$E$34,4,0),$I165*VLOOKUP($F165,Lists!$C$72:$R$232,COLUMNS(Lists!$C$69:H$69),0)*VLOOKUP(BH$3,Conversions!$B$12:$E$34,4,0)))</f>
        <v>0</v>
      </c>
      <c r="AT165" s="333">
        <f>IF($F165="",0,IF($F165="Weighted Average",$I165*VLOOKUP($D165&amp;" (Disposal)",Lists!$C$72:$R$232,COLUMNS(Lists!$C$69:I$69),0)*VLOOKUP(BI$3,Conversions!$B$12:$E$34,4,0),$I165*VLOOKUP($F165,Lists!$C$72:$R$232,COLUMNS(Lists!$C$69:I$69),0)*VLOOKUP(BI$3,Conversions!$B$12:$E$34,4,0)))</f>
        <v>0</v>
      </c>
      <c r="AU165" s="333">
        <f>IF($F165="",0,IF($F165="Weighted Average",$I165*VLOOKUP($D165&amp;" (Disposal)",Lists!$C$72:$R$232,COLUMNS(Lists!$C$69:J$69),0)*VLOOKUP(BJ$3,Conversions!$B$12:$E$34,4,0),$I165*VLOOKUP($F165,Lists!$C$72:$R$232,COLUMNS(Lists!$C$69:J$69),0)*VLOOKUP(BJ$3,Conversions!$B$12:$E$34,4,0)))</f>
        <v>0</v>
      </c>
      <c r="AV165" s="333">
        <f>IF($F165="",0,IF($F165="Weighted Average",$I165*VLOOKUP($D165&amp;" (Disposal)",Lists!$C$72:$R$232,COLUMNS(Lists!$C$69:K$69),0)*VLOOKUP(BK$3,Conversions!$B$12:$E$34,4,0),$I165*VLOOKUP($F165,Lists!$C$72:$R$232,COLUMNS(Lists!$C$69:K$69),0)*VLOOKUP(BK$3,Conversions!$B$12:$E$34,4,0)))</f>
        <v>0</v>
      </c>
      <c r="AW165" s="333">
        <f>IF($F165="",0,IF($F165="Weighted Average",$I165*VLOOKUP($D165&amp;" (Disposal)",Lists!$C$72:$R$232,COLUMNS(Lists!$C$69:L$69),0)*VLOOKUP(BL$3,Conversions!$B$12:$E$34,4,0),$I165*VLOOKUP($F165,Lists!$C$72:$R$232,COLUMNS(Lists!$C$69:L$69),0)*VLOOKUP(BL$3,Conversions!$B$12:$E$34,4,0)))</f>
        <v>0</v>
      </c>
      <c r="AX165" s="333">
        <f>IF($F165="",0,IF($F165="Weighted Average",$I165*VLOOKUP($D165&amp;" (Disposal)",Lists!$C$72:$R$232,COLUMNS(Lists!$C$69:M$69),0)*VLOOKUP(BM$3,Conversions!$B$12:$E$34,4,0),$I165*VLOOKUP($F165,Lists!$C$72:$R$232,COLUMNS(Lists!$C$69:M$69),0)*VLOOKUP(BM$3,Conversions!$B$12:$E$34,4,0)))</f>
        <v>0</v>
      </c>
      <c r="AY165" s="333">
        <f>IF($F165="",0,IF($F165="Weighted Average",$I165*VLOOKUP($D165&amp;" (Disposal)",Lists!$C$72:$R$232,COLUMNS(Lists!$C$69:N$69),0)*VLOOKUP(BN$3,Conversions!$B$12:$E$34,4,0),$I165*VLOOKUP($F165,Lists!$C$72:$R$232,COLUMNS(Lists!$C$69:N$69),0)*VLOOKUP(BN$3,Conversions!$B$12:$E$34,4,0)))</f>
        <v>0</v>
      </c>
      <c r="AZ165" s="333">
        <f>IF($F165="",0,IF($F165="Weighted Average",$I165*VLOOKUP($D165&amp;" (Disposal)",Lists!$C$72:$R$232,COLUMNS(Lists!$C$69:O$69),0)*VLOOKUP(BO$3,Conversions!$B$12:$E$34,4,0),$I165*VLOOKUP($F165,Lists!$C$72:$R$232,COLUMNS(Lists!$C$69:O$69),0)*VLOOKUP(BO$3,Conversions!$B$12:$E$34,4,0)))</f>
        <v>0</v>
      </c>
      <c r="BA165" s="333">
        <f>IF($F165="",0,IF($F165="Weighted Average",$I165*VLOOKUP($D165&amp;" (Disposal)",Lists!$C$72:$R$232,COLUMNS(Lists!$C$69:P$69),0)*VLOOKUP(BP$3,Conversions!$B$12:$E$34,4,0),$I165*VLOOKUP($F165,Lists!$C$72:$R$232,COLUMNS(Lists!$C$69:P$69),0)*VLOOKUP(BP$3,Conversions!$B$12:$E$34,4,0)))</f>
        <v>0</v>
      </c>
      <c r="BB165" s="333">
        <f>IF($F165="",0,IF($F165="Weighted Average",$I165*VLOOKUP($D165&amp;" (Disposal)",Lists!$C$72:$R$232,COLUMNS(Lists!$C$69:Q$69),0)*VLOOKUP(BQ$3,Conversions!$B$12:$E$34,4,0),$I165*VLOOKUP($F165,Lists!$C$72:$R$232,COLUMNS(Lists!$C$69:Q$69),0)*VLOOKUP(BQ$3,Conversions!$B$12:$E$34,4,0)))</f>
        <v>0</v>
      </c>
      <c r="BC165" s="333">
        <f>IF($F165="",0,IF($F165="Weighted Average",$I165*VLOOKUP($D165&amp;" (Disposal)",Lists!$C$72:$R$232,COLUMNS(Lists!$C$69:R$69),0)*VLOOKUP(BR$3,Conversions!$B$12:$E$34,4,0),$I165*VLOOKUP($F165,Lists!$C$72:$R$232,COLUMNS(Lists!$C$69:R$69),0)*VLOOKUP(BR$3,Conversions!$B$12:$E$34,4,0)))</f>
        <v>0</v>
      </c>
      <c r="BD165" s="333">
        <f t="shared" ref="BD165:BD203" si="232">SUM(AP165:BC165)</f>
        <v>0</v>
      </c>
      <c r="BE165" s="330">
        <f t="shared" ref="BE165:BE203" si="233">L165+AA165+AP165</f>
        <v>0</v>
      </c>
      <c r="BF165" s="330">
        <f t="shared" si="214"/>
        <v>0</v>
      </c>
      <c r="BG165" s="330">
        <f t="shared" si="215"/>
        <v>0</v>
      </c>
      <c r="BH165" s="330">
        <f t="shared" si="216"/>
        <v>0</v>
      </c>
      <c r="BI165" s="330">
        <f t="shared" si="217"/>
        <v>0</v>
      </c>
      <c r="BJ165" s="330">
        <f t="shared" si="218"/>
        <v>0</v>
      </c>
      <c r="BK165" s="330">
        <f t="shared" si="219"/>
        <v>0</v>
      </c>
      <c r="BL165" s="330">
        <f t="shared" si="220"/>
        <v>0</v>
      </c>
      <c r="BM165" s="330">
        <f t="shared" si="221"/>
        <v>0</v>
      </c>
      <c r="BN165" s="330">
        <f t="shared" si="222"/>
        <v>0</v>
      </c>
      <c r="BO165" s="330">
        <f t="shared" si="223"/>
        <v>0</v>
      </c>
      <c r="BP165" s="330">
        <f t="shared" si="224"/>
        <v>0</v>
      </c>
      <c r="BQ165" s="330">
        <f t="shared" si="225"/>
        <v>0</v>
      </c>
      <c r="BR165" s="330">
        <f t="shared" si="226"/>
        <v>0</v>
      </c>
      <c r="BS165" s="330">
        <f t="shared" si="227"/>
        <v>0</v>
      </c>
      <c r="BT165" s="329">
        <f>IF($F165="",0,IF($F165="Weighted Average",$BS165*VLOOKUP($D165,'Default Values'!$B$78:$V$97,COLUMNS('Default Values'!$B$77:G$77),0),0))</f>
        <v>0</v>
      </c>
      <c r="BU165" s="329">
        <f>IF($F165="",0,IF($F165="Weighted Average",$BS165*VLOOKUP($D165,'Default Values'!$B$78:$V$97,COLUMNS('Default Values'!$B$77:H$77),0),0))</f>
        <v>0</v>
      </c>
      <c r="BV165" s="329">
        <f>IF($F165="",0,IF($F165="Weighted Average",$BS165*VLOOKUP($D165,'Default Values'!$B$78:$V$97,COLUMNS('Default Values'!$B$77:I$77),0),0))</f>
        <v>0</v>
      </c>
      <c r="BW165" s="329">
        <f>IF($F165="",0,IF($F165="Weighted Average",$BS165*VLOOKUP($D165,'Default Values'!$B$78:$V$97,COLUMNS('Default Values'!$B$77:J$77),0),0))</f>
        <v>0</v>
      </c>
      <c r="BX165" s="329">
        <f>IF($F165="",0,IF($F165="Weighted Average",$BS165*VLOOKUP($D165,'Default Values'!$B$78:$V$97,COLUMNS('Default Values'!$B$77:K$77),0),0))</f>
        <v>0</v>
      </c>
      <c r="BY165" s="329">
        <f>IF($F165="",0,IF($F165="Weighted Average",$BS165*VLOOKUP($D165,'Default Values'!$B$78:$V$97,COLUMNS('Default Values'!$B$77:L$77),0),0))</f>
        <v>0</v>
      </c>
      <c r="BZ165" s="329">
        <f>IF($F165="",0,IF($F165="Weighted Average",$BS165*VLOOKUP($D165,'Default Values'!$B$78:$V$97,COLUMNS('Default Values'!$B$77:M$77),0),0))</f>
        <v>0</v>
      </c>
      <c r="CA165" s="329">
        <f>IF($F165="",0,IF($F165="Weighted Average",$BS165*VLOOKUP($D165,'Default Values'!$B$78:$V$97,COLUMNS('Default Values'!$B$77:N$77),0),0))</f>
        <v>0</v>
      </c>
      <c r="CB165" s="329">
        <f>IF($F165="",0,IF($F165="Weighted Average",$BS165*VLOOKUP($D165,'Default Values'!$B$78:$V$97,COLUMNS('Default Values'!$B$77:O$77),0),0))</f>
        <v>0</v>
      </c>
      <c r="CC165" s="329">
        <f>IF($F165="",0,IF($F165="Weighted Average",$BS165*VLOOKUP($D165,'Default Values'!$B$78:$V$97,COLUMNS('Default Values'!$B$77:P$77),0),0))</f>
        <v>0</v>
      </c>
      <c r="CD165" s="329">
        <f>IF($F165="",0,IF($F165="Weighted Average",$BS165*VLOOKUP($D165,'Default Values'!$B$78:$V$97,COLUMNS('Default Values'!$B$77:Q$77),0),0))</f>
        <v>0</v>
      </c>
      <c r="CE165" s="329">
        <f>IF($F165="",0,IF($F165="Weighted Average",$BS165*VLOOKUP($D165,'Default Values'!$B$78:$V$97,COLUMNS('Default Values'!$B$77:R$77),0),0))</f>
        <v>0</v>
      </c>
      <c r="CF165" s="329">
        <f>IF($F165="",0,IF($F165="Weighted Average",$BS165*VLOOKUP($D165,'Default Values'!$B$78:$V$97,COLUMNS('Default Values'!$B$77:S$77),0),0))</f>
        <v>0</v>
      </c>
      <c r="CG165" s="329">
        <f>IF($F165="",0,IF($F165="Weighted Average",$BS165*VLOOKUP($D165,'Default Values'!$B$78:$V$97,COLUMNS('Default Values'!$B$77:T$77),0),0))</f>
        <v>0</v>
      </c>
      <c r="CH165" s="329">
        <f>IF($F165="",0,IF($F165="Weighted Average",$BS165*VLOOKUP($D165,'Default Values'!$B$78:$V$97,COLUMNS('Default Values'!$B$77:U$77),0),0))</f>
        <v>0</v>
      </c>
      <c r="CI165" s="329">
        <f>IF($F165="",0,IF($F165="Weighted Average",$BS165*VLOOKUP($D165,'Default Values'!$B$78:$V$97,COLUMNS('Default Values'!$B$77:V$77),0),0))</f>
        <v>0</v>
      </c>
      <c r="CJ165" s="331">
        <f t="shared" si="200"/>
        <v>0</v>
      </c>
      <c r="CK165" s="330">
        <f t="shared" si="201"/>
        <v>0</v>
      </c>
      <c r="CL165" s="330">
        <f t="shared" si="202"/>
        <v>0</v>
      </c>
      <c r="CM165" s="330">
        <f t="shared" si="203"/>
        <v>0</v>
      </c>
      <c r="CN165" s="330">
        <f t="shared" si="204"/>
        <v>0</v>
      </c>
      <c r="CO165" s="330">
        <f t="shared" si="205"/>
        <v>0</v>
      </c>
      <c r="CP165" s="330">
        <f t="shared" si="206"/>
        <v>0</v>
      </c>
      <c r="CQ165" s="330">
        <f t="shared" si="186"/>
        <v>0</v>
      </c>
      <c r="CR165" s="330">
        <f t="shared" si="207"/>
        <v>0</v>
      </c>
      <c r="CS165" s="330">
        <f t="shared" si="208"/>
        <v>0</v>
      </c>
      <c r="CT165" s="330">
        <f t="shared" si="209"/>
        <v>0</v>
      </c>
      <c r="CU165" s="330">
        <f t="shared" si="228"/>
        <v>0</v>
      </c>
      <c r="CV165" s="330">
        <f t="shared" si="228"/>
        <v>0</v>
      </c>
      <c r="CW165" s="330">
        <f t="shared" si="228"/>
        <v>0</v>
      </c>
      <c r="CX165" s="330">
        <f t="shared" si="228"/>
        <v>0</v>
      </c>
      <c r="CY165" s="330">
        <f t="shared" si="228"/>
        <v>0</v>
      </c>
      <c r="CZ165" s="330">
        <f t="shared" si="228"/>
        <v>0</v>
      </c>
      <c r="DA165" s="330">
        <f t="shared" si="228"/>
        <v>0</v>
      </c>
      <c r="DB165" s="330">
        <f t="shared" si="228"/>
        <v>0</v>
      </c>
      <c r="DC165" s="330">
        <f t="shared" si="228"/>
        <v>0</v>
      </c>
      <c r="DD165" s="330">
        <f t="shared" si="228"/>
        <v>0</v>
      </c>
      <c r="DE165" s="330">
        <f t="shared" si="229"/>
        <v>0</v>
      </c>
      <c r="DF165" s="330">
        <f t="shared" si="229"/>
        <v>0</v>
      </c>
      <c r="DG165" s="330">
        <f t="shared" si="229"/>
        <v>0</v>
      </c>
      <c r="DH165" s="330">
        <f t="shared" si="229"/>
        <v>0</v>
      </c>
      <c r="DI165" s="330">
        <f t="shared" si="229"/>
        <v>0</v>
      </c>
      <c r="DJ165" s="330">
        <f t="shared" si="229"/>
        <v>0</v>
      </c>
      <c r="DK165" s="330">
        <f t="shared" si="229"/>
        <v>0</v>
      </c>
      <c r="DL165" s="330">
        <f t="shared" si="229"/>
        <v>0</v>
      </c>
      <c r="DM165" s="330">
        <f t="shared" si="229"/>
        <v>0</v>
      </c>
      <c r="DN165" s="330">
        <f t="shared" si="229"/>
        <v>0</v>
      </c>
      <c r="DO165" s="330">
        <f t="shared" si="229"/>
        <v>0</v>
      </c>
      <c r="DP165" s="330">
        <f t="shared" si="213"/>
        <v>0</v>
      </c>
      <c r="DQ165" s="217"/>
      <c r="DR165" s="217"/>
      <c r="DS165" s="217"/>
      <c r="DT165" s="217"/>
    </row>
    <row r="166" spans="1:124" x14ac:dyDescent="0.3">
      <c r="A166" s="324"/>
      <c r="B166" s="221" t="s">
        <v>307</v>
      </c>
      <c r="C166" s="221" t="str">
        <f>IF('Simplified Screening 2'!C17=0,"",'Simplified Screening 2'!C17)</f>
        <v/>
      </c>
      <c r="D166" s="221" t="str">
        <f>IF('Simplified Screening 2'!D17=0,"",'Simplified Screening 2'!D17)</f>
        <v/>
      </c>
      <c r="E166" s="221"/>
      <c r="F166" s="221" t="str">
        <f>'Simplified Screening 2'!J17</f>
        <v/>
      </c>
      <c r="G166" s="335" t="str">
        <f>IF(D166="","",'Simplified Screening 2'!G17/1000*VLOOKUP(D166,'Default Values'!$B$78:$F$97,COLUMNS('Default Values'!$B$77:$D$77),0)/1000)</f>
        <v/>
      </c>
      <c r="H166" s="335" t="str">
        <f>IF(D166="","",'Simplified Screening 2'!G17/1000*VLOOKUP(D166,'Default Values'!$B$78:$F$97,COLUMNS('Default Values'!$B$77:$E$77),0)/1000)</f>
        <v/>
      </c>
      <c r="I166" s="335" t="str">
        <f>IF(D166="","",'Simplified Screening 2'!G17/1000*VLOOKUP(D166,'Default Values'!$B$78:$F$97,COLUMNS('Default Values'!$B$77:$F$77),0)/1000)</f>
        <v/>
      </c>
      <c r="J166" s="325">
        <f>IF('Simplified Screening 2'!H17=0,0,'Simplified Screening 2'!H17)</f>
        <v>0</v>
      </c>
      <c r="K166" s="465"/>
      <c r="L166" s="333">
        <f>IF($F166="",0,IF($F166="Weighted Average",$G166*VLOOKUP($D166&amp;" (Install)",Lists!$C$72:$R$232,COLUMNS(Lists!$C$69:E$69),0)*VLOOKUP(BE$3,Conversions!$B$12:$E$34,4,0),$G166*VLOOKUP($F166,Lists!$C$72:$R$232,COLUMNS(Lists!$C$69:E$69),0)*VLOOKUP(BE$3,Conversions!$B$12:$E$34,4,0)))</f>
        <v>0</v>
      </c>
      <c r="M166" s="333">
        <f>IF($F166="",0,IF($F166="Weighted Average",$G166*VLOOKUP($D166&amp;" (Install)",Lists!$C$72:$R$232,COLUMNS(Lists!$C$69:F$69),0)*VLOOKUP(BF$3,Conversions!$B$12:$E$34,4,0),$G166*VLOOKUP($F166,Lists!$C$72:$R$232,COLUMNS(Lists!$C$69:F$69),0)*VLOOKUP(BF$3,Conversions!$B$12:$E$34,4,0)))</f>
        <v>0</v>
      </c>
      <c r="N166" s="333">
        <f>IF($F166="",0,IF($F166="Weighted Average",$G166*VLOOKUP($D166&amp;" (Install)",Lists!$C$72:$R$232,COLUMNS(Lists!$C$69:G$69),0)*VLOOKUP(BG$3,Conversions!$B$12:$E$34,4,0),$G166*VLOOKUP($F166,Lists!$C$72:$R$232,COLUMNS(Lists!$C$69:G$69),0)*VLOOKUP(BG$3,Conversions!$B$12:$E$34,4,0)))</f>
        <v>0</v>
      </c>
      <c r="O166" s="333">
        <f>IF($F166="",0,IF($F166="Weighted Average",$G166*VLOOKUP($D166&amp;" (Install)",Lists!$C$72:$R$232,COLUMNS(Lists!$C$69:H$69),0)*VLOOKUP(BH$3,Conversions!$B$12:$E$34,4,0),$G166*VLOOKUP($F166,Lists!$C$72:$R$232,COLUMNS(Lists!$C$69:H$69),0)*VLOOKUP(BH$3,Conversions!$B$12:$E$34,4,0)))</f>
        <v>0</v>
      </c>
      <c r="P166" s="333">
        <f>IF($F166="",0,IF($F166="Weighted Average",$G166*VLOOKUP($D166&amp;" (Install)",Lists!$C$72:$R$232,COLUMNS(Lists!$C$69:I$69),0)*VLOOKUP(BI$3,Conversions!$B$12:$E$34,4,0),$G166*VLOOKUP($F166,Lists!$C$72:$R$232,COLUMNS(Lists!$C$69:I$69),0)*VLOOKUP(BI$3,Conversions!$B$12:$E$34,4,0)))</f>
        <v>0</v>
      </c>
      <c r="Q166" s="333">
        <f>IF($F166="",0,IF($F166="Weighted Average",$G166*VLOOKUP($D166&amp;" (Install)",Lists!$C$72:$R$232,COLUMNS(Lists!$C$69:J$69),0)*VLOOKUP(BJ$3,Conversions!$B$12:$E$34,4,0),$G166*VLOOKUP($F166,Lists!$C$72:$R$232,COLUMNS(Lists!$C$69:J$69),0)*VLOOKUP(BJ$3,Conversions!$B$12:$E$34,4,0)))</f>
        <v>0</v>
      </c>
      <c r="R166" s="333">
        <f>IF($F166="",0,IF($F166="Weighted Average",$G166*VLOOKUP($D166&amp;" (Install)",Lists!$C$72:$R$232,COLUMNS(Lists!$C$69:K$69),0)*VLOOKUP(BK$3,Conversions!$B$12:$E$34,4,0),$G166*VLOOKUP($F166,Lists!$C$72:$R$232,COLUMNS(Lists!$C$69:K$69),0)*VLOOKUP(BK$3,Conversions!$B$12:$E$34,4,0)))</f>
        <v>0</v>
      </c>
      <c r="S166" s="333">
        <f>IF($F166="",0,IF($F166="Weighted Average",$G166*VLOOKUP($D166&amp;" (Install)",Lists!$C$72:$R$232,COLUMNS(Lists!$C$69:L$69),0)*VLOOKUP(BL$3,Conversions!$B$12:$E$34,4,0),$G166*VLOOKUP($F166,Lists!$C$72:$R$232,COLUMNS(Lists!$C$69:L$69),0)*VLOOKUP(BL$3,Conversions!$B$12:$E$34,4,0)))</f>
        <v>0</v>
      </c>
      <c r="T166" s="333">
        <f>IF($F166="",0,IF($F166="Weighted Average",$G166*VLOOKUP($D166&amp;" (Install)",Lists!$C$72:$R$232,COLUMNS(Lists!$C$69:M$69),0)*VLOOKUP(BM$3,Conversions!$B$12:$E$34,4,0),$G166*VLOOKUP($F166,Lists!$C$72:$R$232,COLUMNS(Lists!$C$69:M$69),0)*VLOOKUP(BM$3,Conversions!$B$12:$E$34,4,0)))</f>
        <v>0</v>
      </c>
      <c r="U166" s="333">
        <f>IF($F166="",0,IF($F166="Weighted Average",$G166*VLOOKUP($D166&amp;" (Install)",Lists!$C$72:$R$232,COLUMNS(Lists!$C$69:N$69),0)*VLOOKUP(BN$3,Conversions!$B$12:$E$34,4,0),$G166*VLOOKUP($F166,Lists!$C$72:$R$232,COLUMNS(Lists!$C$69:N$69),0)*VLOOKUP(BN$3,Conversions!$B$12:$E$34,4,0)))</f>
        <v>0</v>
      </c>
      <c r="V166" s="333">
        <f>IF($F166="",0,IF($F166="Weighted Average",$G166*VLOOKUP($D166&amp;" (Install)",Lists!$C$72:$R$232,COLUMNS(Lists!$C$69:O$69),0)*VLOOKUP(BO$3,Conversions!$B$12:$E$34,4,0),$G166*VLOOKUP($F166,Lists!$C$72:$R$232,COLUMNS(Lists!$C$69:O$69),0)*VLOOKUP(BO$3,Conversions!$B$12:$E$34,4,0)))</f>
        <v>0</v>
      </c>
      <c r="W166" s="333">
        <f>IF($F166="",0,IF($F166="Weighted Average",$G166*VLOOKUP($D166&amp;" (Install)",Lists!$C$72:$R$232,COLUMNS(Lists!$C$69:P$69),0)*VLOOKUP(BP$3,Conversions!$B$12:$E$34,4,0),$G166*VLOOKUP($F166,Lists!$C$72:$R$232,COLUMNS(Lists!$C$69:P$69),0)*VLOOKUP(BP$3,Conversions!$B$12:$E$34,4,0)))</f>
        <v>0</v>
      </c>
      <c r="X166" s="333">
        <f>IF($F166="",0,IF($F166="Weighted Average",$G166*VLOOKUP($D166&amp;" (Install)",Lists!$C$72:$R$232,COLUMNS(Lists!$C$69:Q$69),0)*VLOOKUP(BQ$3,Conversions!$B$12:$E$34,4,0),$G166*VLOOKUP($F166,Lists!$C$72:$R$232,COLUMNS(Lists!$C$69:Q$69),0)*VLOOKUP(BQ$3,Conversions!$B$12:$E$34,4,0)))</f>
        <v>0</v>
      </c>
      <c r="Y166" s="333">
        <f>IF($F166="",0,IF($F166="Weighted Average",$G166*VLOOKUP($D166&amp;" (Install)",Lists!$C$72:$R$232,COLUMNS(Lists!$C$69:R$69),0)*VLOOKUP(BR$3,Conversions!$B$12:$E$34,4,0),$G166*VLOOKUP($F166,Lists!$C$72:$R$232,COLUMNS(Lists!$C$69:R$69),0)*VLOOKUP(BR$3,Conversions!$B$12:$E$34,4,0)))</f>
        <v>0</v>
      </c>
      <c r="Z166" s="325">
        <f t="shared" si="230"/>
        <v>0</v>
      </c>
      <c r="AA166" s="334">
        <f>IF($F166="",0,IF($F166="Weighted Average",$H166*VLOOKUP($D166&amp;" (Operation)",Lists!$C$72:$R$232,COLUMNS(Lists!$C$69:E$69),0)*VLOOKUP(BE$3,Conversions!$B$12:$E$34,4,0),$H166*VLOOKUP($F166,Lists!$C$72:$R$232,COLUMNS(Lists!$C$69:E$69),0)*VLOOKUP(BE$3,Conversions!$B$12:$E$34,4,0)))</f>
        <v>0</v>
      </c>
      <c r="AB166" s="334">
        <f>IF($F166="",0,IF($F166="Weighted Average",$H166*VLOOKUP($D166&amp;" (Operation)",Lists!$C$72:$R$232,COLUMNS(Lists!$C$69:F$69),0)*VLOOKUP(BF$3,Conversions!$B$12:$E$34,4,0),$H166*VLOOKUP($F166,Lists!$C$72:$R$232,COLUMNS(Lists!$C$69:F$69),0)*VLOOKUP(BF$3,Conversions!$B$12:$E$34,4,0)))</f>
        <v>0</v>
      </c>
      <c r="AC166" s="334">
        <f>IF($F166="",0,IF($F166="Weighted Average",$H166*VLOOKUP($D166&amp;" (Operation)",Lists!$C$72:$R$232,COLUMNS(Lists!$C$69:G$69),0)*VLOOKUP(BG$3,Conversions!$B$12:$E$34,4,0),$H166*VLOOKUP($F166,Lists!$C$72:$R$232,COLUMNS(Lists!$C$69:G$69),0)*VLOOKUP(BG$3,Conversions!$B$12:$E$34,4,0)))</f>
        <v>0</v>
      </c>
      <c r="AD166" s="334">
        <f>IF($F166="",0,IF($F166="Weighted Average",$H166*VLOOKUP($D166&amp;" (Operation)",Lists!$C$72:$R$232,COLUMNS(Lists!$C$69:H$69),0)*VLOOKUP(BH$3,Conversions!$B$12:$E$34,4,0),$H166*VLOOKUP($F166,Lists!$C$72:$R$232,COLUMNS(Lists!$C$69:H$69),0)*VLOOKUP(BH$3,Conversions!$B$12:$E$34,4,0)))</f>
        <v>0</v>
      </c>
      <c r="AE166" s="334">
        <f>IF($F166="",0,IF($F166="Weighted Average",$H166*VLOOKUP($D166&amp;" (Operation)",Lists!$C$72:$R$232,COLUMNS(Lists!$C$69:I$69),0)*VLOOKUP(BI$3,Conversions!$B$12:$E$34,4,0),$H166*VLOOKUP($F166,Lists!$C$72:$R$232,COLUMNS(Lists!$C$69:I$69),0)*VLOOKUP(BI$3,Conversions!$B$12:$E$34,4,0)))</f>
        <v>0</v>
      </c>
      <c r="AF166" s="334">
        <f>IF($F166="",0,IF($F166="Weighted Average",$H166*VLOOKUP($D166&amp;" (Operation)",Lists!$C$72:$R$232,COLUMNS(Lists!$C$69:J$69),0)*VLOOKUP(BJ$3,Conversions!$B$12:$E$34,4,0),$H166*VLOOKUP($F166,Lists!$C$72:$R$232,COLUMNS(Lists!$C$69:J$69),0)*VLOOKUP(BJ$3,Conversions!$B$12:$E$34,4,0)))</f>
        <v>0</v>
      </c>
      <c r="AG166" s="334">
        <f>IF($F166="",0,IF($F166="Weighted Average",$H166*VLOOKUP($D166&amp;" (Operation)",Lists!$C$72:$R$232,COLUMNS(Lists!$C$69:K$69),0)*VLOOKUP(BK$3,Conversions!$B$12:$E$34,4,0),$H166*VLOOKUP($F166,Lists!$C$72:$R$232,COLUMNS(Lists!$C$69:K$69),0)*VLOOKUP(BK$3,Conversions!$B$12:$E$34,4,0)))</f>
        <v>0</v>
      </c>
      <c r="AH166" s="334">
        <f>IF($F166="",0,IF($F166="Weighted Average",$H166*VLOOKUP($D166&amp;" (Operation)",Lists!$C$72:$R$232,COLUMNS(Lists!$C$69:L$69),0)*VLOOKUP(BL$3,Conversions!$B$12:$E$34,4,0),$H166*VLOOKUP($F166,Lists!$C$72:$R$232,COLUMNS(Lists!$C$69:L$69),0)*VLOOKUP(BL$3,Conversions!$B$12:$E$34,4,0)))</f>
        <v>0</v>
      </c>
      <c r="AI166" s="334">
        <f>IF($F166="",0,IF($F166="Weighted Average",$H166*VLOOKUP($D166&amp;" (Operation)",Lists!$C$72:$R$232,COLUMNS(Lists!$C$69:M$69),0)*VLOOKUP(BM$3,Conversions!$B$12:$E$34,4,0),$H166*VLOOKUP($F166,Lists!$C$72:$R$232,COLUMNS(Lists!$C$69:M$69),0)*VLOOKUP(BM$3,Conversions!$B$12:$E$34,4,0)))</f>
        <v>0</v>
      </c>
      <c r="AJ166" s="334">
        <f>IF($F166="",0,IF($F166="Weighted Average",$H166*VLOOKUP($D166&amp;" (Operation)",Lists!$C$72:$R$232,COLUMNS(Lists!$C$69:N$69),0)*VLOOKUP(BN$3,Conversions!$B$12:$E$34,4,0),$H166*VLOOKUP($F166,Lists!$C$72:$R$232,COLUMNS(Lists!$C$69:N$69),0)*VLOOKUP(BN$3,Conversions!$B$12:$E$34,4,0)))</f>
        <v>0</v>
      </c>
      <c r="AK166" s="334">
        <f>IF($F166="",0,IF($F166="Weighted Average",$H166*VLOOKUP($D166&amp;" (Operation)",Lists!$C$72:$R$232,COLUMNS(Lists!$C$69:O$69),0)*VLOOKUP(BO$3,Conversions!$B$12:$E$34,4,0),$H166*VLOOKUP($F166,Lists!$C$72:$R$232,COLUMNS(Lists!$C$69:O$69),0)*VLOOKUP(BO$3,Conversions!$B$12:$E$34,4,0)))</f>
        <v>0</v>
      </c>
      <c r="AL166" s="334">
        <f>IF($F166="",0,IF($F166="Weighted Average",$H166*VLOOKUP($D166&amp;" (Operation)",Lists!$C$72:$R$232,COLUMNS(Lists!$C$69:P$69),0)*VLOOKUP(BP$3,Conversions!$B$12:$E$34,4,0),$H166*VLOOKUP($F166,Lists!$C$72:$R$232,COLUMNS(Lists!$C$69:P$69),0)*VLOOKUP(BP$3,Conversions!$B$12:$E$34,4,0)))</f>
        <v>0</v>
      </c>
      <c r="AM166" s="334">
        <f>IF($F166="",0,IF($F166="Weighted Average",$H166*VLOOKUP($D166&amp;" (Operation)",Lists!$C$72:$R$232,COLUMNS(Lists!$C$69:Q$69),0)*VLOOKUP(BQ$3,Conversions!$B$12:$E$34,4,0),$H166*VLOOKUP($F166,Lists!$C$72:$R$232,COLUMNS(Lists!$C$69:Q$69),0)*VLOOKUP(BQ$3,Conversions!$B$12:$E$34,4,0)))</f>
        <v>0</v>
      </c>
      <c r="AN166" s="334">
        <f>IF($F166="",0,IF($F166="Weighted Average",$H166*VLOOKUP($D166&amp;" (Operation)",Lists!$C$72:$R$232,COLUMNS(Lists!$C$69:R$69),0)*VLOOKUP(BR$3,Conversions!$B$12:$E$34,4,0),$H166*VLOOKUP($F166,Lists!$C$72:$R$232,COLUMNS(Lists!$C$69:R$69),0)*VLOOKUP(BR$3,Conversions!$B$12:$E$34,4,0)))</f>
        <v>0</v>
      </c>
      <c r="AO166" s="330">
        <f t="shared" si="231"/>
        <v>0</v>
      </c>
      <c r="AP166" s="333">
        <f>IF($F166="",0,IF($F166="Weighted Average",$I166*VLOOKUP($D166&amp;" (Disposal)",Lists!$C$72:$R$232,COLUMNS(Lists!$C$69:E$69),0)*VLOOKUP(BE$3,Conversions!$B$12:$E$34,4,0),$I166*VLOOKUP($F166,Lists!$C$72:$R$232,COLUMNS(Lists!$C$69:E$69),0)*VLOOKUP(BE$3,Conversions!$B$12:$E$34,4,0)))</f>
        <v>0</v>
      </c>
      <c r="AQ166" s="333">
        <f>IF($F166="",0,IF($F166="Weighted Average",$I166*VLOOKUP($D166&amp;" (Disposal)",Lists!$C$72:$R$232,COLUMNS(Lists!$C$69:F$69),0)*VLOOKUP(BF$3,Conversions!$B$12:$E$34,4,0),$I166*VLOOKUP($F166,Lists!$C$72:$R$232,COLUMNS(Lists!$C$69:F$69),0)*VLOOKUP(BF$3,Conversions!$B$12:$E$34,4,0)))</f>
        <v>0</v>
      </c>
      <c r="AR166" s="333">
        <f>IF($F166="",0,IF($F166="Weighted Average",$I166*VLOOKUP($D166&amp;" (Disposal)",Lists!$C$72:$R$232,COLUMNS(Lists!$C$69:G$69),0)*VLOOKUP(BG$3,Conversions!$B$12:$E$34,4,0),$I166*VLOOKUP($F166,Lists!$C$72:$R$232,COLUMNS(Lists!$C$69:G$69),0)*VLOOKUP(BG$3,Conversions!$B$12:$E$34,4,0)))</f>
        <v>0</v>
      </c>
      <c r="AS166" s="333">
        <f>IF($F166="",0,IF($F166="Weighted Average",$I166*VLOOKUP($D166&amp;" (Disposal)",Lists!$C$72:$R$232,COLUMNS(Lists!$C$69:H$69),0)*VLOOKUP(BH$3,Conversions!$B$12:$E$34,4,0),$I166*VLOOKUP($F166,Lists!$C$72:$R$232,COLUMNS(Lists!$C$69:H$69),0)*VLOOKUP(BH$3,Conversions!$B$12:$E$34,4,0)))</f>
        <v>0</v>
      </c>
      <c r="AT166" s="333">
        <f>IF($F166="",0,IF($F166="Weighted Average",$I166*VLOOKUP($D166&amp;" (Disposal)",Lists!$C$72:$R$232,COLUMNS(Lists!$C$69:I$69),0)*VLOOKUP(BI$3,Conversions!$B$12:$E$34,4,0),$I166*VLOOKUP($F166,Lists!$C$72:$R$232,COLUMNS(Lists!$C$69:I$69),0)*VLOOKUP(BI$3,Conversions!$B$12:$E$34,4,0)))</f>
        <v>0</v>
      </c>
      <c r="AU166" s="333">
        <f>IF($F166="",0,IF($F166="Weighted Average",$I166*VLOOKUP($D166&amp;" (Disposal)",Lists!$C$72:$R$232,COLUMNS(Lists!$C$69:J$69),0)*VLOOKUP(BJ$3,Conversions!$B$12:$E$34,4,0),$I166*VLOOKUP($F166,Lists!$C$72:$R$232,COLUMNS(Lists!$C$69:J$69),0)*VLOOKUP(BJ$3,Conversions!$B$12:$E$34,4,0)))</f>
        <v>0</v>
      </c>
      <c r="AV166" s="333">
        <f>IF($F166="",0,IF($F166="Weighted Average",$I166*VLOOKUP($D166&amp;" (Disposal)",Lists!$C$72:$R$232,COLUMNS(Lists!$C$69:K$69),0)*VLOOKUP(BK$3,Conversions!$B$12:$E$34,4,0),$I166*VLOOKUP($F166,Lists!$C$72:$R$232,COLUMNS(Lists!$C$69:K$69),0)*VLOOKUP(BK$3,Conversions!$B$12:$E$34,4,0)))</f>
        <v>0</v>
      </c>
      <c r="AW166" s="333">
        <f>IF($F166="",0,IF($F166="Weighted Average",$I166*VLOOKUP($D166&amp;" (Disposal)",Lists!$C$72:$R$232,COLUMNS(Lists!$C$69:L$69),0)*VLOOKUP(BL$3,Conversions!$B$12:$E$34,4,0),$I166*VLOOKUP($F166,Lists!$C$72:$R$232,COLUMNS(Lists!$C$69:L$69),0)*VLOOKUP(BL$3,Conversions!$B$12:$E$34,4,0)))</f>
        <v>0</v>
      </c>
      <c r="AX166" s="333">
        <f>IF($F166="",0,IF($F166="Weighted Average",$I166*VLOOKUP($D166&amp;" (Disposal)",Lists!$C$72:$R$232,COLUMNS(Lists!$C$69:M$69),0)*VLOOKUP(BM$3,Conversions!$B$12:$E$34,4,0),$I166*VLOOKUP($F166,Lists!$C$72:$R$232,COLUMNS(Lists!$C$69:M$69),0)*VLOOKUP(BM$3,Conversions!$B$12:$E$34,4,0)))</f>
        <v>0</v>
      </c>
      <c r="AY166" s="333">
        <f>IF($F166="",0,IF($F166="Weighted Average",$I166*VLOOKUP($D166&amp;" (Disposal)",Lists!$C$72:$R$232,COLUMNS(Lists!$C$69:N$69),0)*VLOOKUP(BN$3,Conversions!$B$12:$E$34,4,0),$I166*VLOOKUP($F166,Lists!$C$72:$R$232,COLUMNS(Lists!$C$69:N$69),0)*VLOOKUP(BN$3,Conversions!$B$12:$E$34,4,0)))</f>
        <v>0</v>
      </c>
      <c r="AZ166" s="333">
        <f>IF($F166="",0,IF($F166="Weighted Average",$I166*VLOOKUP($D166&amp;" (Disposal)",Lists!$C$72:$R$232,COLUMNS(Lists!$C$69:O$69),0)*VLOOKUP(BO$3,Conversions!$B$12:$E$34,4,0),$I166*VLOOKUP($F166,Lists!$C$72:$R$232,COLUMNS(Lists!$C$69:O$69),0)*VLOOKUP(BO$3,Conversions!$B$12:$E$34,4,0)))</f>
        <v>0</v>
      </c>
      <c r="BA166" s="333">
        <f>IF($F166="",0,IF($F166="Weighted Average",$I166*VLOOKUP($D166&amp;" (Disposal)",Lists!$C$72:$R$232,COLUMNS(Lists!$C$69:P$69),0)*VLOOKUP(BP$3,Conversions!$B$12:$E$34,4,0),$I166*VLOOKUP($F166,Lists!$C$72:$R$232,COLUMNS(Lists!$C$69:P$69),0)*VLOOKUP(BP$3,Conversions!$B$12:$E$34,4,0)))</f>
        <v>0</v>
      </c>
      <c r="BB166" s="333">
        <f>IF($F166="",0,IF($F166="Weighted Average",$I166*VLOOKUP($D166&amp;" (Disposal)",Lists!$C$72:$R$232,COLUMNS(Lists!$C$69:Q$69),0)*VLOOKUP(BQ$3,Conversions!$B$12:$E$34,4,0),$I166*VLOOKUP($F166,Lists!$C$72:$R$232,COLUMNS(Lists!$C$69:Q$69),0)*VLOOKUP(BQ$3,Conversions!$B$12:$E$34,4,0)))</f>
        <v>0</v>
      </c>
      <c r="BC166" s="333">
        <f>IF($F166="",0,IF($F166="Weighted Average",$I166*VLOOKUP($D166&amp;" (Disposal)",Lists!$C$72:$R$232,COLUMNS(Lists!$C$69:R$69),0)*VLOOKUP(BR$3,Conversions!$B$12:$E$34,4,0),$I166*VLOOKUP($F166,Lists!$C$72:$R$232,COLUMNS(Lists!$C$69:R$69),0)*VLOOKUP(BR$3,Conversions!$B$12:$E$34,4,0)))</f>
        <v>0</v>
      </c>
      <c r="BD166" s="333">
        <f t="shared" si="232"/>
        <v>0</v>
      </c>
      <c r="BE166" s="330">
        <f t="shared" si="233"/>
        <v>0</v>
      </c>
      <c r="BF166" s="330">
        <f t="shared" si="214"/>
        <v>0</v>
      </c>
      <c r="BG166" s="330">
        <f t="shared" si="215"/>
        <v>0</v>
      </c>
      <c r="BH166" s="330">
        <f t="shared" si="216"/>
        <v>0</v>
      </c>
      <c r="BI166" s="330">
        <f t="shared" si="217"/>
        <v>0</v>
      </c>
      <c r="BJ166" s="330">
        <f t="shared" si="218"/>
        <v>0</v>
      </c>
      <c r="BK166" s="330">
        <f t="shared" si="219"/>
        <v>0</v>
      </c>
      <c r="BL166" s="330">
        <f t="shared" si="220"/>
        <v>0</v>
      </c>
      <c r="BM166" s="330">
        <f t="shared" si="221"/>
        <v>0</v>
      </c>
      <c r="BN166" s="330">
        <f t="shared" si="222"/>
        <v>0</v>
      </c>
      <c r="BO166" s="330">
        <f t="shared" si="223"/>
        <v>0</v>
      </c>
      <c r="BP166" s="330">
        <f t="shared" si="224"/>
        <v>0</v>
      </c>
      <c r="BQ166" s="330">
        <f t="shared" si="225"/>
        <v>0</v>
      </c>
      <c r="BR166" s="330">
        <f t="shared" si="226"/>
        <v>0</v>
      </c>
      <c r="BS166" s="330">
        <f t="shared" si="227"/>
        <v>0</v>
      </c>
      <c r="BT166" s="329">
        <f>IF($F166="",0,IF($F166="Weighted Average",$BS166*VLOOKUP($D166,'Default Values'!$B$78:$V$97,COLUMNS('Default Values'!$B$77:G$77),0),0))</f>
        <v>0</v>
      </c>
      <c r="BU166" s="329">
        <f>IF($F166="",0,IF($F166="Weighted Average",$BS166*VLOOKUP($D166,'Default Values'!$B$78:$V$97,COLUMNS('Default Values'!$B$77:H$77),0),0))</f>
        <v>0</v>
      </c>
      <c r="BV166" s="329">
        <f>IF($F166="",0,IF($F166="Weighted Average",$BS166*VLOOKUP($D166,'Default Values'!$B$78:$V$97,COLUMNS('Default Values'!$B$77:I$77),0),0))</f>
        <v>0</v>
      </c>
      <c r="BW166" s="329">
        <f>IF($F166="",0,IF($F166="Weighted Average",$BS166*VLOOKUP($D166,'Default Values'!$B$78:$V$97,COLUMNS('Default Values'!$B$77:J$77),0),0))</f>
        <v>0</v>
      </c>
      <c r="BX166" s="329">
        <f>IF($F166="",0,IF($F166="Weighted Average",$BS166*VLOOKUP($D166,'Default Values'!$B$78:$V$97,COLUMNS('Default Values'!$B$77:K$77),0),0))</f>
        <v>0</v>
      </c>
      <c r="BY166" s="329">
        <f>IF($F166="",0,IF($F166="Weighted Average",$BS166*VLOOKUP($D166,'Default Values'!$B$78:$V$97,COLUMNS('Default Values'!$B$77:L$77),0),0))</f>
        <v>0</v>
      </c>
      <c r="BZ166" s="329">
        <f>IF($F166="",0,IF($F166="Weighted Average",$BS166*VLOOKUP($D166,'Default Values'!$B$78:$V$97,COLUMNS('Default Values'!$B$77:M$77),0),0))</f>
        <v>0</v>
      </c>
      <c r="CA166" s="329">
        <f>IF($F166="",0,IF($F166="Weighted Average",$BS166*VLOOKUP($D166,'Default Values'!$B$78:$V$97,COLUMNS('Default Values'!$B$77:N$77),0),0))</f>
        <v>0</v>
      </c>
      <c r="CB166" s="329">
        <f>IF($F166="",0,IF($F166="Weighted Average",$BS166*VLOOKUP($D166,'Default Values'!$B$78:$V$97,COLUMNS('Default Values'!$B$77:O$77),0),0))</f>
        <v>0</v>
      </c>
      <c r="CC166" s="329">
        <f>IF($F166="",0,IF($F166="Weighted Average",$BS166*VLOOKUP($D166,'Default Values'!$B$78:$V$97,COLUMNS('Default Values'!$B$77:P$77),0),0))</f>
        <v>0</v>
      </c>
      <c r="CD166" s="329">
        <f>IF($F166="",0,IF($F166="Weighted Average",$BS166*VLOOKUP($D166,'Default Values'!$B$78:$V$97,COLUMNS('Default Values'!$B$77:Q$77),0),0))</f>
        <v>0</v>
      </c>
      <c r="CE166" s="329">
        <f>IF($F166="",0,IF($F166="Weighted Average",$BS166*VLOOKUP($D166,'Default Values'!$B$78:$V$97,COLUMNS('Default Values'!$B$77:R$77),0),0))</f>
        <v>0</v>
      </c>
      <c r="CF166" s="329">
        <f>IF($F166="",0,IF($F166="Weighted Average",$BS166*VLOOKUP($D166,'Default Values'!$B$78:$V$97,COLUMNS('Default Values'!$B$77:S$77),0),0))</f>
        <v>0</v>
      </c>
      <c r="CG166" s="329">
        <f>IF($F166="",0,IF($F166="Weighted Average",$BS166*VLOOKUP($D166,'Default Values'!$B$78:$V$97,COLUMNS('Default Values'!$B$77:T$77),0),0))</f>
        <v>0</v>
      </c>
      <c r="CH166" s="329">
        <f>IF($F166="",0,IF($F166="Weighted Average",$BS166*VLOOKUP($D166,'Default Values'!$B$78:$V$97,COLUMNS('Default Values'!$B$77:U$77),0),0))</f>
        <v>0</v>
      </c>
      <c r="CI166" s="329">
        <f>IF($F166="",0,IF($F166="Weighted Average",$BS166*VLOOKUP($D166,'Default Values'!$B$78:$V$97,COLUMNS('Default Values'!$B$77:V$77),0),0))</f>
        <v>0</v>
      </c>
      <c r="CJ166" s="331">
        <f t="shared" si="200"/>
        <v>0</v>
      </c>
      <c r="CK166" s="330">
        <f t="shared" si="201"/>
        <v>0</v>
      </c>
      <c r="CL166" s="330">
        <f t="shared" si="202"/>
        <v>0</v>
      </c>
      <c r="CM166" s="330">
        <f t="shared" si="203"/>
        <v>0</v>
      </c>
      <c r="CN166" s="330">
        <f t="shared" si="204"/>
        <v>0</v>
      </c>
      <c r="CO166" s="330">
        <f t="shared" si="205"/>
        <v>0</v>
      </c>
      <c r="CP166" s="330">
        <f t="shared" si="206"/>
        <v>0</v>
      </c>
      <c r="CQ166" s="330">
        <f t="shared" si="186"/>
        <v>0</v>
      </c>
      <c r="CR166" s="330">
        <f t="shared" si="207"/>
        <v>0</v>
      </c>
      <c r="CS166" s="330">
        <f t="shared" si="208"/>
        <v>0</v>
      </c>
      <c r="CT166" s="330">
        <f t="shared" si="209"/>
        <v>0</v>
      </c>
      <c r="CU166" s="330">
        <f t="shared" si="228"/>
        <v>0</v>
      </c>
      <c r="CV166" s="330">
        <f t="shared" si="228"/>
        <v>0</v>
      </c>
      <c r="CW166" s="330">
        <f t="shared" si="228"/>
        <v>0</v>
      </c>
      <c r="CX166" s="330">
        <f t="shared" si="228"/>
        <v>0</v>
      </c>
      <c r="CY166" s="330">
        <f t="shared" si="228"/>
        <v>0</v>
      </c>
      <c r="CZ166" s="330">
        <f t="shared" si="228"/>
        <v>0</v>
      </c>
      <c r="DA166" s="330">
        <f t="shared" si="228"/>
        <v>0</v>
      </c>
      <c r="DB166" s="330">
        <f t="shared" si="228"/>
        <v>0</v>
      </c>
      <c r="DC166" s="330">
        <f t="shared" si="228"/>
        <v>0</v>
      </c>
      <c r="DD166" s="330">
        <f t="shared" si="228"/>
        <v>0</v>
      </c>
      <c r="DE166" s="330">
        <f t="shared" si="229"/>
        <v>0</v>
      </c>
      <c r="DF166" s="330">
        <f t="shared" si="229"/>
        <v>0</v>
      </c>
      <c r="DG166" s="330">
        <f t="shared" si="229"/>
        <v>0</v>
      </c>
      <c r="DH166" s="330">
        <f t="shared" si="229"/>
        <v>0</v>
      </c>
      <c r="DI166" s="330">
        <f t="shared" si="229"/>
        <v>0</v>
      </c>
      <c r="DJ166" s="330">
        <f t="shared" si="229"/>
        <v>0</v>
      </c>
      <c r="DK166" s="330">
        <f t="shared" si="229"/>
        <v>0</v>
      </c>
      <c r="DL166" s="330">
        <f t="shared" si="229"/>
        <v>0</v>
      </c>
      <c r="DM166" s="330">
        <f t="shared" si="229"/>
        <v>0</v>
      </c>
      <c r="DN166" s="330">
        <f t="shared" si="229"/>
        <v>0</v>
      </c>
      <c r="DO166" s="330">
        <f t="shared" si="229"/>
        <v>0</v>
      </c>
      <c r="DP166" s="330">
        <f t="shared" si="213"/>
        <v>0</v>
      </c>
      <c r="DQ166" s="217"/>
      <c r="DR166" s="217"/>
      <c r="DS166" s="217"/>
      <c r="DT166" s="217"/>
    </row>
    <row r="167" spans="1:124" x14ac:dyDescent="0.3">
      <c r="A167" s="324"/>
      <c r="B167" s="221" t="s">
        <v>307</v>
      </c>
      <c r="C167" s="221" t="str">
        <f>IF('Simplified Screening 2'!C18=0,"",'Simplified Screening 2'!C18)</f>
        <v/>
      </c>
      <c r="D167" s="221" t="str">
        <f>IF('Simplified Screening 2'!D18=0,"",'Simplified Screening 2'!D18)</f>
        <v/>
      </c>
      <c r="E167" s="221"/>
      <c r="F167" s="221" t="str">
        <f>'Simplified Screening 2'!J18</f>
        <v/>
      </c>
      <c r="G167" s="335" t="str">
        <f>IF(D167="","",'Simplified Screening 2'!G18/1000*VLOOKUP(D167,'Default Values'!$B$78:$F$97,COLUMNS('Default Values'!$B$77:$D$77),0)/1000)</f>
        <v/>
      </c>
      <c r="H167" s="335" t="str">
        <f>IF(D167="","",'Simplified Screening 2'!G18/1000*VLOOKUP(D167,'Default Values'!$B$78:$F$97,COLUMNS('Default Values'!$B$77:$E$77),0)/1000)</f>
        <v/>
      </c>
      <c r="I167" s="335" t="str">
        <f>IF(D167="","",'Simplified Screening 2'!G18/1000*VLOOKUP(D167,'Default Values'!$B$78:$F$97,COLUMNS('Default Values'!$B$77:$F$77),0)/1000)</f>
        <v/>
      </c>
      <c r="J167" s="325">
        <f>IF('Simplified Screening 2'!H18=0,0,'Simplified Screening 2'!H18)</f>
        <v>0</v>
      </c>
      <c r="K167" s="465"/>
      <c r="L167" s="333">
        <f>IF($F167="",0,IF($F167="Weighted Average",$G167*VLOOKUP($D167&amp;" (Install)",Lists!$C$72:$R$232,COLUMNS(Lists!$C$69:E$69),0)*VLOOKUP(BE$3,Conversions!$B$12:$E$34,4,0),$G167*VLOOKUP($F167,Lists!$C$72:$R$232,COLUMNS(Lists!$C$69:E$69),0)*VLOOKUP(BE$3,Conversions!$B$12:$E$34,4,0)))</f>
        <v>0</v>
      </c>
      <c r="M167" s="333">
        <f>IF($F167="",0,IF($F167="Weighted Average",$G167*VLOOKUP($D167&amp;" (Install)",Lists!$C$72:$R$232,COLUMNS(Lists!$C$69:F$69),0)*VLOOKUP(BF$3,Conversions!$B$12:$E$34,4,0),$G167*VLOOKUP($F167,Lists!$C$72:$R$232,COLUMNS(Lists!$C$69:F$69),0)*VLOOKUP(BF$3,Conversions!$B$12:$E$34,4,0)))</f>
        <v>0</v>
      </c>
      <c r="N167" s="333">
        <f>IF($F167="",0,IF($F167="Weighted Average",$G167*VLOOKUP($D167&amp;" (Install)",Lists!$C$72:$R$232,COLUMNS(Lists!$C$69:G$69),0)*VLOOKUP(BG$3,Conversions!$B$12:$E$34,4,0),$G167*VLOOKUP($F167,Lists!$C$72:$R$232,COLUMNS(Lists!$C$69:G$69),0)*VLOOKUP(BG$3,Conversions!$B$12:$E$34,4,0)))</f>
        <v>0</v>
      </c>
      <c r="O167" s="333">
        <f>IF($F167="",0,IF($F167="Weighted Average",$G167*VLOOKUP($D167&amp;" (Install)",Lists!$C$72:$R$232,COLUMNS(Lists!$C$69:H$69),0)*VLOOKUP(BH$3,Conversions!$B$12:$E$34,4,0),$G167*VLOOKUP($F167,Lists!$C$72:$R$232,COLUMNS(Lists!$C$69:H$69),0)*VLOOKUP(BH$3,Conversions!$B$12:$E$34,4,0)))</f>
        <v>0</v>
      </c>
      <c r="P167" s="333">
        <f>IF($F167="",0,IF($F167="Weighted Average",$G167*VLOOKUP($D167&amp;" (Install)",Lists!$C$72:$R$232,COLUMNS(Lists!$C$69:I$69),0)*VLOOKUP(BI$3,Conversions!$B$12:$E$34,4,0),$G167*VLOOKUP($F167,Lists!$C$72:$R$232,COLUMNS(Lists!$C$69:I$69),0)*VLOOKUP(BI$3,Conversions!$B$12:$E$34,4,0)))</f>
        <v>0</v>
      </c>
      <c r="Q167" s="333">
        <f>IF($F167="",0,IF($F167="Weighted Average",$G167*VLOOKUP($D167&amp;" (Install)",Lists!$C$72:$R$232,COLUMNS(Lists!$C$69:J$69),0)*VLOOKUP(BJ$3,Conversions!$B$12:$E$34,4,0),$G167*VLOOKUP($F167,Lists!$C$72:$R$232,COLUMNS(Lists!$C$69:J$69),0)*VLOOKUP(BJ$3,Conversions!$B$12:$E$34,4,0)))</f>
        <v>0</v>
      </c>
      <c r="R167" s="333">
        <f>IF($F167="",0,IF($F167="Weighted Average",$G167*VLOOKUP($D167&amp;" (Install)",Lists!$C$72:$R$232,COLUMNS(Lists!$C$69:K$69),0)*VLOOKUP(BK$3,Conversions!$B$12:$E$34,4,0),$G167*VLOOKUP($F167,Lists!$C$72:$R$232,COLUMNS(Lists!$C$69:K$69),0)*VLOOKUP(BK$3,Conversions!$B$12:$E$34,4,0)))</f>
        <v>0</v>
      </c>
      <c r="S167" s="333">
        <f>IF($F167="",0,IF($F167="Weighted Average",$G167*VLOOKUP($D167&amp;" (Install)",Lists!$C$72:$R$232,COLUMNS(Lists!$C$69:L$69),0)*VLOOKUP(BL$3,Conversions!$B$12:$E$34,4,0),$G167*VLOOKUP($F167,Lists!$C$72:$R$232,COLUMNS(Lists!$C$69:L$69),0)*VLOOKUP(BL$3,Conversions!$B$12:$E$34,4,0)))</f>
        <v>0</v>
      </c>
      <c r="T167" s="333">
        <f>IF($F167="",0,IF($F167="Weighted Average",$G167*VLOOKUP($D167&amp;" (Install)",Lists!$C$72:$R$232,COLUMNS(Lists!$C$69:M$69),0)*VLOOKUP(BM$3,Conversions!$B$12:$E$34,4,0),$G167*VLOOKUP($F167,Lists!$C$72:$R$232,COLUMNS(Lists!$C$69:M$69),0)*VLOOKUP(BM$3,Conversions!$B$12:$E$34,4,0)))</f>
        <v>0</v>
      </c>
      <c r="U167" s="333">
        <f>IF($F167="",0,IF($F167="Weighted Average",$G167*VLOOKUP($D167&amp;" (Install)",Lists!$C$72:$R$232,COLUMNS(Lists!$C$69:N$69),0)*VLOOKUP(BN$3,Conversions!$B$12:$E$34,4,0),$G167*VLOOKUP($F167,Lists!$C$72:$R$232,COLUMNS(Lists!$C$69:N$69),0)*VLOOKUP(BN$3,Conversions!$B$12:$E$34,4,0)))</f>
        <v>0</v>
      </c>
      <c r="V167" s="333">
        <f>IF($F167="",0,IF($F167="Weighted Average",$G167*VLOOKUP($D167&amp;" (Install)",Lists!$C$72:$R$232,COLUMNS(Lists!$C$69:O$69),0)*VLOOKUP(BO$3,Conversions!$B$12:$E$34,4,0),$G167*VLOOKUP($F167,Lists!$C$72:$R$232,COLUMNS(Lists!$C$69:O$69),0)*VLOOKUP(BO$3,Conversions!$B$12:$E$34,4,0)))</f>
        <v>0</v>
      </c>
      <c r="W167" s="333">
        <f>IF($F167="",0,IF($F167="Weighted Average",$G167*VLOOKUP($D167&amp;" (Install)",Lists!$C$72:$R$232,COLUMNS(Lists!$C$69:P$69),0)*VLOOKUP(BP$3,Conversions!$B$12:$E$34,4,0),$G167*VLOOKUP($F167,Lists!$C$72:$R$232,COLUMNS(Lists!$C$69:P$69),0)*VLOOKUP(BP$3,Conversions!$B$12:$E$34,4,0)))</f>
        <v>0</v>
      </c>
      <c r="X167" s="333">
        <f>IF($F167="",0,IF($F167="Weighted Average",$G167*VLOOKUP($D167&amp;" (Install)",Lists!$C$72:$R$232,COLUMNS(Lists!$C$69:Q$69),0)*VLOOKUP(BQ$3,Conversions!$B$12:$E$34,4,0),$G167*VLOOKUP($F167,Lists!$C$72:$R$232,COLUMNS(Lists!$C$69:Q$69),0)*VLOOKUP(BQ$3,Conversions!$B$12:$E$34,4,0)))</f>
        <v>0</v>
      </c>
      <c r="Y167" s="333">
        <f>IF($F167="",0,IF($F167="Weighted Average",$G167*VLOOKUP($D167&amp;" (Install)",Lists!$C$72:$R$232,COLUMNS(Lists!$C$69:R$69),0)*VLOOKUP(BR$3,Conversions!$B$12:$E$34,4,0),$G167*VLOOKUP($F167,Lists!$C$72:$R$232,COLUMNS(Lists!$C$69:R$69),0)*VLOOKUP(BR$3,Conversions!$B$12:$E$34,4,0)))</f>
        <v>0</v>
      </c>
      <c r="Z167" s="325">
        <f t="shared" si="230"/>
        <v>0</v>
      </c>
      <c r="AA167" s="334">
        <f>IF($F167="",0,IF($F167="Weighted Average",$H167*VLOOKUP($D167&amp;" (Operation)",Lists!$C$72:$R$232,COLUMNS(Lists!$C$69:E$69),0)*VLOOKUP(BE$3,Conversions!$B$12:$E$34,4,0),$H167*VLOOKUP($F167,Lists!$C$72:$R$232,COLUMNS(Lists!$C$69:E$69),0)*VLOOKUP(BE$3,Conversions!$B$12:$E$34,4,0)))</f>
        <v>0</v>
      </c>
      <c r="AB167" s="334">
        <f>IF($F167="",0,IF($F167="Weighted Average",$H167*VLOOKUP($D167&amp;" (Operation)",Lists!$C$72:$R$232,COLUMNS(Lists!$C$69:F$69),0)*VLOOKUP(BF$3,Conversions!$B$12:$E$34,4,0),$H167*VLOOKUP($F167,Lists!$C$72:$R$232,COLUMNS(Lists!$C$69:F$69),0)*VLOOKUP(BF$3,Conversions!$B$12:$E$34,4,0)))</f>
        <v>0</v>
      </c>
      <c r="AC167" s="334">
        <f>IF($F167="",0,IF($F167="Weighted Average",$H167*VLOOKUP($D167&amp;" (Operation)",Lists!$C$72:$R$232,COLUMNS(Lists!$C$69:G$69),0)*VLOOKUP(BG$3,Conversions!$B$12:$E$34,4,0),$H167*VLOOKUP($F167,Lists!$C$72:$R$232,COLUMNS(Lists!$C$69:G$69),0)*VLOOKUP(BG$3,Conversions!$B$12:$E$34,4,0)))</f>
        <v>0</v>
      </c>
      <c r="AD167" s="334">
        <f>IF($F167="",0,IF($F167="Weighted Average",$H167*VLOOKUP($D167&amp;" (Operation)",Lists!$C$72:$R$232,COLUMNS(Lists!$C$69:H$69),0)*VLOOKUP(BH$3,Conversions!$B$12:$E$34,4,0),$H167*VLOOKUP($F167,Lists!$C$72:$R$232,COLUMNS(Lists!$C$69:H$69),0)*VLOOKUP(BH$3,Conversions!$B$12:$E$34,4,0)))</f>
        <v>0</v>
      </c>
      <c r="AE167" s="334">
        <f>IF($F167="",0,IF($F167="Weighted Average",$H167*VLOOKUP($D167&amp;" (Operation)",Lists!$C$72:$R$232,COLUMNS(Lists!$C$69:I$69),0)*VLOOKUP(BI$3,Conversions!$B$12:$E$34,4,0),$H167*VLOOKUP($F167,Lists!$C$72:$R$232,COLUMNS(Lists!$C$69:I$69),0)*VLOOKUP(BI$3,Conversions!$B$12:$E$34,4,0)))</f>
        <v>0</v>
      </c>
      <c r="AF167" s="334">
        <f>IF($F167="",0,IF($F167="Weighted Average",$H167*VLOOKUP($D167&amp;" (Operation)",Lists!$C$72:$R$232,COLUMNS(Lists!$C$69:J$69),0)*VLOOKUP(BJ$3,Conversions!$B$12:$E$34,4,0),$H167*VLOOKUP($F167,Lists!$C$72:$R$232,COLUMNS(Lists!$C$69:J$69),0)*VLOOKUP(BJ$3,Conversions!$B$12:$E$34,4,0)))</f>
        <v>0</v>
      </c>
      <c r="AG167" s="334">
        <f>IF($F167="",0,IF($F167="Weighted Average",$H167*VLOOKUP($D167&amp;" (Operation)",Lists!$C$72:$R$232,COLUMNS(Lists!$C$69:K$69),0)*VLOOKUP(BK$3,Conversions!$B$12:$E$34,4,0),$H167*VLOOKUP($F167,Lists!$C$72:$R$232,COLUMNS(Lists!$C$69:K$69),0)*VLOOKUP(BK$3,Conversions!$B$12:$E$34,4,0)))</f>
        <v>0</v>
      </c>
      <c r="AH167" s="334">
        <f>IF($F167="",0,IF($F167="Weighted Average",$H167*VLOOKUP($D167&amp;" (Operation)",Lists!$C$72:$R$232,COLUMNS(Lists!$C$69:L$69),0)*VLOOKUP(BL$3,Conversions!$B$12:$E$34,4,0),$H167*VLOOKUP($F167,Lists!$C$72:$R$232,COLUMNS(Lists!$C$69:L$69),0)*VLOOKUP(BL$3,Conversions!$B$12:$E$34,4,0)))</f>
        <v>0</v>
      </c>
      <c r="AI167" s="334">
        <f>IF($F167="",0,IF($F167="Weighted Average",$H167*VLOOKUP($D167&amp;" (Operation)",Lists!$C$72:$R$232,COLUMNS(Lists!$C$69:M$69),0)*VLOOKUP(BM$3,Conversions!$B$12:$E$34,4,0),$H167*VLOOKUP($F167,Lists!$C$72:$R$232,COLUMNS(Lists!$C$69:M$69),0)*VLOOKUP(BM$3,Conversions!$B$12:$E$34,4,0)))</f>
        <v>0</v>
      </c>
      <c r="AJ167" s="334">
        <f>IF($F167="",0,IF($F167="Weighted Average",$H167*VLOOKUP($D167&amp;" (Operation)",Lists!$C$72:$R$232,COLUMNS(Lists!$C$69:N$69),0)*VLOOKUP(BN$3,Conversions!$B$12:$E$34,4,0),$H167*VLOOKUP($F167,Lists!$C$72:$R$232,COLUMNS(Lists!$C$69:N$69),0)*VLOOKUP(BN$3,Conversions!$B$12:$E$34,4,0)))</f>
        <v>0</v>
      </c>
      <c r="AK167" s="334">
        <f>IF($F167="",0,IF($F167="Weighted Average",$H167*VLOOKUP($D167&amp;" (Operation)",Lists!$C$72:$R$232,COLUMNS(Lists!$C$69:O$69),0)*VLOOKUP(BO$3,Conversions!$B$12:$E$34,4,0),$H167*VLOOKUP($F167,Lists!$C$72:$R$232,COLUMNS(Lists!$C$69:O$69),0)*VLOOKUP(BO$3,Conversions!$B$12:$E$34,4,0)))</f>
        <v>0</v>
      </c>
      <c r="AL167" s="334">
        <f>IF($F167="",0,IF($F167="Weighted Average",$H167*VLOOKUP($D167&amp;" (Operation)",Lists!$C$72:$R$232,COLUMNS(Lists!$C$69:P$69),0)*VLOOKUP(BP$3,Conversions!$B$12:$E$34,4,0),$H167*VLOOKUP($F167,Lists!$C$72:$R$232,COLUMNS(Lists!$C$69:P$69),0)*VLOOKUP(BP$3,Conversions!$B$12:$E$34,4,0)))</f>
        <v>0</v>
      </c>
      <c r="AM167" s="334">
        <f>IF($F167="",0,IF($F167="Weighted Average",$H167*VLOOKUP($D167&amp;" (Operation)",Lists!$C$72:$R$232,COLUMNS(Lists!$C$69:Q$69),0)*VLOOKUP(BQ$3,Conversions!$B$12:$E$34,4,0),$H167*VLOOKUP($F167,Lists!$C$72:$R$232,COLUMNS(Lists!$C$69:Q$69),0)*VLOOKUP(BQ$3,Conversions!$B$12:$E$34,4,0)))</f>
        <v>0</v>
      </c>
      <c r="AN167" s="334">
        <f>IF($F167="",0,IF($F167="Weighted Average",$H167*VLOOKUP($D167&amp;" (Operation)",Lists!$C$72:$R$232,COLUMNS(Lists!$C$69:R$69),0)*VLOOKUP(BR$3,Conversions!$B$12:$E$34,4,0),$H167*VLOOKUP($F167,Lists!$C$72:$R$232,COLUMNS(Lists!$C$69:R$69),0)*VLOOKUP(BR$3,Conversions!$B$12:$E$34,4,0)))</f>
        <v>0</v>
      </c>
      <c r="AO167" s="330">
        <f t="shared" si="231"/>
        <v>0</v>
      </c>
      <c r="AP167" s="333">
        <f>IF($F167="",0,IF($F167="Weighted Average",$I167*VLOOKUP($D167&amp;" (Disposal)",Lists!$C$72:$R$232,COLUMNS(Lists!$C$69:E$69),0)*VLOOKUP(BE$3,Conversions!$B$12:$E$34,4,0),$I167*VLOOKUP($F167,Lists!$C$72:$R$232,COLUMNS(Lists!$C$69:E$69),0)*VLOOKUP(BE$3,Conversions!$B$12:$E$34,4,0)))</f>
        <v>0</v>
      </c>
      <c r="AQ167" s="333">
        <f>IF($F167="",0,IF($F167="Weighted Average",$I167*VLOOKUP($D167&amp;" (Disposal)",Lists!$C$72:$R$232,COLUMNS(Lists!$C$69:F$69),0)*VLOOKUP(BF$3,Conversions!$B$12:$E$34,4,0),$I167*VLOOKUP($F167,Lists!$C$72:$R$232,COLUMNS(Lists!$C$69:F$69),0)*VLOOKUP(BF$3,Conversions!$B$12:$E$34,4,0)))</f>
        <v>0</v>
      </c>
      <c r="AR167" s="333">
        <f>IF($F167="",0,IF($F167="Weighted Average",$I167*VLOOKUP($D167&amp;" (Disposal)",Lists!$C$72:$R$232,COLUMNS(Lists!$C$69:G$69),0)*VLOOKUP(BG$3,Conversions!$B$12:$E$34,4,0),$I167*VLOOKUP($F167,Lists!$C$72:$R$232,COLUMNS(Lists!$C$69:G$69),0)*VLOOKUP(BG$3,Conversions!$B$12:$E$34,4,0)))</f>
        <v>0</v>
      </c>
      <c r="AS167" s="333">
        <f>IF($F167="",0,IF($F167="Weighted Average",$I167*VLOOKUP($D167&amp;" (Disposal)",Lists!$C$72:$R$232,COLUMNS(Lists!$C$69:H$69),0)*VLOOKUP(BH$3,Conversions!$B$12:$E$34,4,0),$I167*VLOOKUP($F167,Lists!$C$72:$R$232,COLUMNS(Lists!$C$69:H$69),0)*VLOOKUP(BH$3,Conversions!$B$12:$E$34,4,0)))</f>
        <v>0</v>
      </c>
      <c r="AT167" s="333">
        <f>IF($F167="",0,IF($F167="Weighted Average",$I167*VLOOKUP($D167&amp;" (Disposal)",Lists!$C$72:$R$232,COLUMNS(Lists!$C$69:I$69),0)*VLOOKUP(BI$3,Conversions!$B$12:$E$34,4,0),$I167*VLOOKUP($F167,Lists!$C$72:$R$232,COLUMNS(Lists!$C$69:I$69),0)*VLOOKUP(BI$3,Conversions!$B$12:$E$34,4,0)))</f>
        <v>0</v>
      </c>
      <c r="AU167" s="333">
        <f>IF($F167="",0,IF($F167="Weighted Average",$I167*VLOOKUP($D167&amp;" (Disposal)",Lists!$C$72:$R$232,COLUMNS(Lists!$C$69:J$69),0)*VLOOKUP(BJ$3,Conversions!$B$12:$E$34,4,0),$I167*VLOOKUP($F167,Lists!$C$72:$R$232,COLUMNS(Lists!$C$69:J$69),0)*VLOOKUP(BJ$3,Conversions!$B$12:$E$34,4,0)))</f>
        <v>0</v>
      </c>
      <c r="AV167" s="333">
        <f>IF($F167="",0,IF($F167="Weighted Average",$I167*VLOOKUP($D167&amp;" (Disposal)",Lists!$C$72:$R$232,COLUMNS(Lists!$C$69:K$69),0)*VLOOKUP(BK$3,Conversions!$B$12:$E$34,4,0),$I167*VLOOKUP($F167,Lists!$C$72:$R$232,COLUMNS(Lists!$C$69:K$69),0)*VLOOKUP(BK$3,Conversions!$B$12:$E$34,4,0)))</f>
        <v>0</v>
      </c>
      <c r="AW167" s="333">
        <f>IF($F167="",0,IF($F167="Weighted Average",$I167*VLOOKUP($D167&amp;" (Disposal)",Lists!$C$72:$R$232,COLUMNS(Lists!$C$69:L$69),0)*VLOOKUP(BL$3,Conversions!$B$12:$E$34,4,0),$I167*VLOOKUP($F167,Lists!$C$72:$R$232,COLUMNS(Lists!$C$69:L$69),0)*VLOOKUP(BL$3,Conversions!$B$12:$E$34,4,0)))</f>
        <v>0</v>
      </c>
      <c r="AX167" s="333">
        <f>IF($F167="",0,IF($F167="Weighted Average",$I167*VLOOKUP($D167&amp;" (Disposal)",Lists!$C$72:$R$232,COLUMNS(Lists!$C$69:M$69),0)*VLOOKUP(BM$3,Conversions!$B$12:$E$34,4,0),$I167*VLOOKUP($F167,Lists!$C$72:$R$232,COLUMNS(Lists!$C$69:M$69),0)*VLOOKUP(BM$3,Conversions!$B$12:$E$34,4,0)))</f>
        <v>0</v>
      </c>
      <c r="AY167" s="333">
        <f>IF($F167="",0,IF($F167="Weighted Average",$I167*VLOOKUP($D167&amp;" (Disposal)",Lists!$C$72:$R$232,COLUMNS(Lists!$C$69:N$69),0)*VLOOKUP(BN$3,Conversions!$B$12:$E$34,4,0),$I167*VLOOKUP($F167,Lists!$C$72:$R$232,COLUMNS(Lists!$C$69:N$69),0)*VLOOKUP(BN$3,Conversions!$B$12:$E$34,4,0)))</f>
        <v>0</v>
      </c>
      <c r="AZ167" s="333">
        <f>IF($F167="",0,IF($F167="Weighted Average",$I167*VLOOKUP($D167&amp;" (Disposal)",Lists!$C$72:$R$232,COLUMNS(Lists!$C$69:O$69),0)*VLOOKUP(BO$3,Conversions!$B$12:$E$34,4,0),$I167*VLOOKUP($F167,Lists!$C$72:$R$232,COLUMNS(Lists!$C$69:O$69),0)*VLOOKUP(BO$3,Conversions!$B$12:$E$34,4,0)))</f>
        <v>0</v>
      </c>
      <c r="BA167" s="333">
        <f>IF($F167="",0,IF($F167="Weighted Average",$I167*VLOOKUP($D167&amp;" (Disposal)",Lists!$C$72:$R$232,COLUMNS(Lists!$C$69:P$69),0)*VLOOKUP(BP$3,Conversions!$B$12:$E$34,4,0),$I167*VLOOKUP($F167,Lists!$C$72:$R$232,COLUMNS(Lists!$C$69:P$69),0)*VLOOKUP(BP$3,Conversions!$B$12:$E$34,4,0)))</f>
        <v>0</v>
      </c>
      <c r="BB167" s="333">
        <f>IF($F167="",0,IF($F167="Weighted Average",$I167*VLOOKUP($D167&amp;" (Disposal)",Lists!$C$72:$R$232,COLUMNS(Lists!$C$69:Q$69),0)*VLOOKUP(BQ$3,Conversions!$B$12:$E$34,4,0),$I167*VLOOKUP($F167,Lists!$C$72:$R$232,COLUMNS(Lists!$C$69:Q$69),0)*VLOOKUP(BQ$3,Conversions!$B$12:$E$34,4,0)))</f>
        <v>0</v>
      </c>
      <c r="BC167" s="333">
        <f>IF($F167="",0,IF($F167="Weighted Average",$I167*VLOOKUP($D167&amp;" (Disposal)",Lists!$C$72:$R$232,COLUMNS(Lists!$C$69:R$69),0)*VLOOKUP(BR$3,Conversions!$B$12:$E$34,4,0),$I167*VLOOKUP($F167,Lists!$C$72:$R$232,COLUMNS(Lists!$C$69:R$69),0)*VLOOKUP(BR$3,Conversions!$B$12:$E$34,4,0)))</f>
        <v>0</v>
      </c>
      <c r="BD167" s="333">
        <f t="shared" si="232"/>
        <v>0</v>
      </c>
      <c r="BE167" s="330">
        <f t="shared" si="233"/>
        <v>0</v>
      </c>
      <c r="BF167" s="330">
        <f t="shared" si="214"/>
        <v>0</v>
      </c>
      <c r="BG167" s="330">
        <f t="shared" si="215"/>
        <v>0</v>
      </c>
      <c r="BH167" s="330">
        <f t="shared" si="216"/>
        <v>0</v>
      </c>
      <c r="BI167" s="330">
        <f t="shared" si="217"/>
        <v>0</v>
      </c>
      <c r="BJ167" s="330">
        <f t="shared" si="218"/>
        <v>0</v>
      </c>
      <c r="BK167" s="330">
        <f t="shared" si="219"/>
        <v>0</v>
      </c>
      <c r="BL167" s="330">
        <f t="shared" si="220"/>
        <v>0</v>
      </c>
      <c r="BM167" s="330">
        <f t="shared" si="221"/>
        <v>0</v>
      </c>
      <c r="BN167" s="330">
        <f t="shared" si="222"/>
        <v>0</v>
      </c>
      <c r="BO167" s="330">
        <f t="shared" si="223"/>
        <v>0</v>
      </c>
      <c r="BP167" s="330">
        <f t="shared" si="224"/>
        <v>0</v>
      </c>
      <c r="BQ167" s="330">
        <f t="shared" si="225"/>
        <v>0</v>
      </c>
      <c r="BR167" s="330">
        <f t="shared" si="226"/>
        <v>0</v>
      </c>
      <c r="BS167" s="330">
        <f t="shared" si="227"/>
        <v>0</v>
      </c>
      <c r="BT167" s="329">
        <f>IF($F167="",0,IF($F167="Weighted Average",$BS167*VLOOKUP($D167,'Default Values'!$B$78:$V$97,COLUMNS('Default Values'!$B$77:G$77),0),0))</f>
        <v>0</v>
      </c>
      <c r="BU167" s="329">
        <f>IF($F167="",0,IF($F167="Weighted Average",$BS167*VLOOKUP($D167,'Default Values'!$B$78:$V$97,COLUMNS('Default Values'!$B$77:H$77),0),0))</f>
        <v>0</v>
      </c>
      <c r="BV167" s="329">
        <f>IF($F167="",0,IF($F167="Weighted Average",$BS167*VLOOKUP($D167,'Default Values'!$B$78:$V$97,COLUMNS('Default Values'!$B$77:I$77),0),0))</f>
        <v>0</v>
      </c>
      <c r="BW167" s="329">
        <f>IF($F167="",0,IF($F167="Weighted Average",$BS167*VLOOKUP($D167,'Default Values'!$B$78:$V$97,COLUMNS('Default Values'!$B$77:J$77),0),0))</f>
        <v>0</v>
      </c>
      <c r="BX167" s="329">
        <f>IF($F167="",0,IF($F167="Weighted Average",$BS167*VLOOKUP($D167,'Default Values'!$B$78:$V$97,COLUMNS('Default Values'!$B$77:K$77),0),0))</f>
        <v>0</v>
      </c>
      <c r="BY167" s="329">
        <f>IF($F167="",0,IF($F167="Weighted Average",$BS167*VLOOKUP($D167,'Default Values'!$B$78:$V$97,COLUMNS('Default Values'!$B$77:L$77),0),0))</f>
        <v>0</v>
      </c>
      <c r="BZ167" s="329">
        <f>IF($F167="",0,IF($F167="Weighted Average",$BS167*VLOOKUP($D167,'Default Values'!$B$78:$V$97,COLUMNS('Default Values'!$B$77:M$77),0),0))</f>
        <v>0</v>
      </c>
      <c r="CA167" s="329">
        <f>IF($F167="",0,IF($F167="Weighted Average",$BS167*VLOOKUP($D167,'Default Values'!$B$78:$V$97,COLUMNS('Default Values'!$B$77:N$77),0),0))</f>
        <v>0</v>
      </c>
      <c r="CB167" s="329">
        <f>IF($F167="",0,IF($F167="Weighted Average",$BS167*VLOOKUP($D167,'Default Values'!$B$78:$V$97,COLUMNS('Default Values'!$B$77:O$77),0),0))</f>
        <v>0</v>
      </c>
      <c r="CC167" s="329">
        <f>IF($F167="",0,IF($F167="Weighted Average",$BS167*VLOOKUP($D167,'Default Values'!$B$78:$V$97,COLUMNS('Default Values'!$B$77:P$77),0),0))</f>
        <v>0</v>
      </c>
      <c r="CD167" s="329">
        <f>IF($F167="",0,IF($F167="Weighted Average",$BS167*VLOOKUP($D167,'Default Values'!$B$78:$V$97,COLUMNS('Default Values'!$B$77:Q$77),0),0))</f>
        <v>0</v>
      </c>
      <c r="CE167" s="329">
        <f>IF($F167="",0,IF($F167="Weighted Average",$BS167*VLOOKUP($D167,'Default Values'!$B$78:$V$97,COLUMNS('Default Values'!$B$77:R$77),0),0))</f>
        <v>0</v>
      </c>
      <c r="CF167" s="329">
        <f>IF($F167="",0,IF($F167="Weighted Average",$BS167*VLOOKUP($D167,'Default Values'!$B$78:$V$97,COLUMNS('Default Values'!$B$77:S$77),0),0))</f>
        <v>0</v>
      </c>
      <c r="CG167" s="329">
        <f>IF($F167="",0,IF($F167="Weighted Average",$BS167*VLOOKUP($D167,'Default Values'!$B$78:$V$97,COLUMNS('Default Values'!$B$77:T$77),0),0))</f>
        <v>0</v>
      </c>
      <c r="CH167" s="329">
        <f>IF($F167="",0,IF($F167="Weighted Average",$BS167*VLOOKUP($D167,'Default Values'!$B$78:$V$97,COLUMNS('Default Values'!$B$77:U$77),0),0))</f>
        <v>0</v>
      </c>
      <c r="CI167" s="329">
        <f>IF($F167="",0,IF($F167="Weighted Average",$BS167*VLOOKUP($D167,'Default Values'!$B$78:$V$97,COLUMNS('Default Values'!$B$77:V$77),0),0))</f>
        <v>0</v>
      </c>
      <c r="CJ167" s="331">
        <f t="shared" si="200"/>
        <v>0</v>
      </c>
      <c r="CK167" s="330">
        <f t="shared" si="201"/>
        <v>0</v>
      </c>
      <c r="CL167" s="330">
        <f t="shared" si="202"/>
        <v>0</v>
      </c>
      <c r="CM167" s="330">
        <f t="shared" si="203"/>
        <v>0</v>
      </c>
      <c r="CN167" s="330">
        <f t="shared" si="204"/>
        <v>0</v>
      </c>
      <c r="CO167" s="330">
        <f t="shared" si="205"/>
        <v>0</v>
      </c>
      <c r="CP167" s="330">
        <f t="shared" si="206"/>
        <v>0</v>
      </c>
      <c r="CQ167" s="330">
        <f t="shared" si="186"/>
        <v>0</v>
      </c>
      <c r="CR167" s="330">
        <f t="shared" si="207"/>
        <v>0</v>
      </c>
      <c r="CS167" s="330">
        <f t="shared" si="208"/>
        <v>0</v>
      </c>
      <c r="CT167" s="330">
        <f t="shared" si="209"/>
        <v>0</v>
      </c>
      <c r="CU167" s="330">
        <f t="shared" si="228"/>
        <v>0</v>
      </c>
      <c r="CV167" s="330">
        <f t="shared" si="228"/>
        <v>0</v>
      </c>
      <c r="CW167" s="330">
        <f t="shared" si="228"/>
        <v>0</v>
      </c>
      <c r="CX167" s="330">
        <f t="shared" si="228"/>
        <v>0</v>
      </c>
      <c r="CY167" s="330">
        <f t="shared" si="228"/>
        <v>0</v>
      </c>
      <c r="CZ167" s="330">
        <f t="shared" si="228"/>
        <v>0</v>
      </c>
      <c r="DA167" s="330">
        <f t="shared" si="228"/>
        <v>0</v>
      </c>
      <c r="DB167" s="330">
        <f t="shared" si="228"/>
        <v>0</v>
      </c>
      <c r="DC167" s="330">
        <f t="shared" si="228"/>
        <v>0</v>
      </c>
      <c r="DD167" s="330">
        <f t="shared" si="228"/>
        <v>0</v>
      </c>
      <c r="DE167" s="330">
        <f t="shared" si="229"/>
        <v>0</v>
      </c>
      <c r="DF167" s="330">
        <f t="shared" si="229"/>
        <v>0</v>
      </c>
      <c r="DG167" s="330">
        <f t="shared" si="229"/>
        <v>0</v>
      </c>
      <c r="DH167" s="330">
        <f t="shared" si="229"/>
        <v>0</v>
      </c>
      <c r="DI167" s="330">
        <f t="shared" si="229"/>
        <v>0</v>
      </c>
      <c r="DJ167" s="330">
        <f t="shared" si="229"/>
        <v>0</v>
      </c>
      <c r="DK167" s="330">
        <f t="shared" si="229"/>
        <v>0</v>
      </c>
      <c r="DL167" s="330">
        <f t="shared" si="229"/>
        <v>0</v>
      </c>
      <c r="DM167" s="330">
        <f t="shared" si="229"/>
        <v>0</v>
      </c>
      <c r="DN167" s="330">
        <f t="shared" si="229"/>
        <v>0</v>
      </c>
      <c r="DO167" s="330">
        <f t="shared" si="229"/>
        <v>0</v>
      </c>
      <c r="DP167" s="330">
        <f t="shared" si="213"/>
        <v>0</v>
      </c>
      <c r="DQ167" s="217"/>
      <c r="DR167" s="217"/>
      <c r="DS167" s="217"/>
      <c r="DT167" s="217"/>
    </row>
    <row r="168" spans="1:124" x14ac:dyDescent="0.3">
      <c r="A168" s="324"/>
      <c r="B168" s="221" t="s">
        <v>307</v>
      </c>
      <c r="C168" s="221" t="str">
        <f>IF('Simplified Screening 2'!C19=0,"",'Simplified Screening 2'!C19)</f>
        <v/>
      </c>
      <c r="D168" s="221" t="str">
        <f>IF('Simplified Screening 2'!D19=0,"",'Simplified Screening 2'!D19)</f>
        <v/>
      </c>
      <c r="E168" s="221"/>
      <c r="F168" s="221" t="str">
        <f>'Simplified Screening 2'!J19</f>
        <v/>
      </c>
      <c r="G168" s="335" t="str">
        <f>IF(D168="","",'Simplified Screening 2'!G19/1000*VLOOKUP(D168,'Default Values'!$B$78:$F$97,COLUMNS('Default Values'!$B$77:$D$77),0)/1000)</f>
        <v/>
      </c>
      <c r="H168" s="335" t="str">
        <f>IF(D168="","",'Simplified Screening 2'!G19/1000*VLOOKUP(D168,'Default Values'!$B$78:$F$97,COLUMNS('Default Values'!$B$77:$E$77),0)/1000)</f>
        <v/>
      </c>
      <c r="I168" s="335" t="str">
        <f>IF(D168="","",'Simplified Screening 2'!G19/1000*VLOOKUP(D168,'Default Values'!$B$78:$F$97,COLUMNS('Default Values'!$B$77:$F$77),0)/1000)</f>
        <v/>
      </c>
      <c r="J168" s="325">
        <f>IF('Simplified Screening 2'!H19=0,0,'Simplified Screening 2'!H19)</f>
        <v>0</v>
      </c>
      <c r="K168" s="465"/>
      <c r="L168" s="333">
        <f>IF($F168="",0,IF($F168="Weighted Average",$G168*VLOOKUP($D168&amp;" (Install)",Lists!$C$72:$R$232,COLUMNS(Lists!$C$69:E$69),0)*VLOOKUP(BE$3,Conversions!$B$12:$E$34,4,0),$G168*VLOOKUP($F168,Lists!$C$72:$R$232,COLUMNS(Lists!$C$69:E$69),0)*VLOOKUP(BE$3,Conversions!$B$12:$E$34,4,0)))</f>
        <v>0</v>
      </c>
      <c r="M168" s="333">
        <f>IF($F168="",0,IF($F168="Weighted Average",$G168*VLOOKUP($D168&amp;" (Install)",Lists!$C$72:$R$232,COLUMNS(Lists!$C$69:F$69),0)*VLOOKUP(BF$3,Conversions!$B$12:$E$34,4,0),$G168*VLOOKUP($F168,Lists!$C$72:$R$232,COLUMNS(Lists!$C$69:F$69),0)*VLOOKUP(BF$3,Conversions!$B$12:$E$34,4,0)))</f>
        <v>0</v>
      </c>
      <c r="N168" s="333">
        <f>IF($F168="",0,IF($F168="Weighted Average",$G168*VLOOKUP($D168&amp;" (Install)",Lists!$C$72:$R$232,COLUMNS(Lists!$C$69:G$69),0)*VLOOKUP(BG$3,Conversions!$B$12:$E$34,4,0),$G168*VLOOKUP($F168,Lists!$C$72:$R$232,COLUMNS(Lists!$C$69:G$69),0)*VLOOKUP(BG$3,Conversions!$B$12:$E$34,4,0)))</f>
        <v>0</v>
      </c>
      <c r="O168" s="333">
        <f>IF($F168="",0,IF($F168="Weighted Average",$G168*VLOOKUP($D168&amp;" (Install)",Lists!$C$72:$R$232,COLUMNS(Lists!$C$69:H$69),0)*VLOOKUP(BH$3,Conversions!$B$12:$E$34,4,0),$G168*VLOOKUP($F168,Lists!$C$72:$R$232,COLUMNS(Lists!$C$69:H$69),0)*VLOOKUP(BH$3,Conversions!$B$12:$E$34,4,0)))</f>
        <v>0</v>
      </c>
      <c r="P168" s="333">
        <f>IF($F168="",0,IF($F168="Weighted Average",$G168*VLOOKUP($D168&amp;" (Install)",Lists!$C$72:$R$232,COLUMNS(Lists!$C$69:I$69),0)*VLOOKUP(BI$3,Conversions!$B$12:$E$34,4,0),$G168*VLOOKUP($F168,Lists!$C$72:$R$232,COLUMNS(Lists!$C$69:I$69),0)*VLOOKUP(BI$3,Conversions!$B$12:$E$34,4,0)))</f>
        <v>0</v>
      </c>
      <c r="Q168" s="333">
        <f>IF($F168="",0,IF($F168="Weighted Average",$G168*VLOOKUP($D168&amp;" (Install)",Lists!$C$72:$R$232,COLUMNS(Lists!$C$69:J$69),0)*VLOOKUP(BJ$3,Conversions!$B$12:$E$34,4,0),$G168*VLOOKUP($F168,Lists!$C$72:$R$232,COLUMNS(Lists!$C$69:J$69),0)*VLOOKUP(BJ$3,Conversions!$B$12:$E$34,4,0)))</f>
        <v>0</v>
      </c>
      <c r="R168" s="333">
        <f>IF($F168="",0,IF($F168="Weighted Average",$G168*VLOOKUP($D168&amp;" (Install)",Lists!$C$72:$R$232,COLUMNS(Lists!$C$69:K$69),0)*VLOOKUP(BK$3,Conversions!$B$12:$E$34,4,0),$G168*VLOOKUP($F168,Lists!$C$72:$R$232,COLUMNS(Lists!$C$69:K$69),0)*VLOOKUP(BK$3,Conversions!$B$12:$E$34,4,0)))</f>
        <v>0</v>
      </c>
      <c r="S168" s="333">
        <f>IF($F168="",0,IF($F168="Weighted Average",$G168*VLOOKUP($D168&amp;" (Install)",Lists!$C$72:$R$232,COLUMNS(Lists!$C$69:L$69),0)*VLOOKUP(BL$3,Conversions!$B$12:$E$34,4,0),$G168*VLOOKUP($F168,Lists!$C$72:$R$232,COLUMNS(Lists!$C$69:L$69),0)*VLOOKUP(BL$3,Conversions!$B$12:$E$34,4,0)))</f>
        <v>0</v>
      </c>
      <c r="T168" s="333">
        <f>IF($F168="",0,IF($F168="Weighted Average",$G168*VLOOKUP($D168&amp;" (Install)",Lists!$C$72:$R$232,COLUMNS(Lists!$C$69:M$69),0)*VLOOKUP(BM$3,Conversions!$B$12:$E$34,4,0),$G168*VLOOKUP($F168,Lists!$C$72:$R$232,COLUMNS(Lists!$C$69:M$69),0)*VLOOKUP(BM$3,Conversions!$B$12:$E$34,4,0)))</f>
        <v>0</v>
      </c>
      <c r="U168" s="333">
        <f>IF($F168="",0,IF($F168="Weighted Average",$G168*VLOOKUP($D168&amp;" (Install)",Lists!$C$72:$R$232,COLUMNS(Lists!$C$69:N$69),0)*VLOOKUP(BN$3,Conversions!$B$12:$E$34,4,0),$G168*VLOOKUP($F168,Lists!$C$72:$R$232,COLUMNS(Lists!$C$69:N$69),0)*VLOOKUP(BN$3,Conversions!$B$12:$E$34,4,0)))</f>
        <v>0</v>
      </c>
      <c r="V168" s="333">
        <f>IF($F168="",0,IF($F168="Weighted Average",$G168*VLOOKUP($D168&amp;" (Install)",Lists!$C$72:$R$232,COLUMNS(Lists!$C$69:O$69),0)*VLOOKUP(BO$3,Conversions!$B$12:$E$34,4,0),$G168*VLOOKUP($F168,Lists!$C$72:$R$232,COLUMNS(Lists!$C$69:O$69),0)*VLOOKUP(BO$3,Conversions!$B$12:$E$34,4,0)))</f>
        <v>0</v>
      </c>
      <c r="W168" s="333">
        <f>IF($F168="",0,IF($F168="Weighted Average",$G168*VLOOKUP($D168&amp;" (Install)",Lists!$C$72:$R$232,COLUMNS(Lists!$C$69:P$69),0)*VLOOKUP(BP$3,Conversions!$B$12:$E$34,4,0),$G168*VLOOKUP($F168,Lists!$C$72:$R$232,COLUMNS(Lists!$C$69:P$69),0)*VLOOKUP(BP$3,Conversions!$B$12:$E$34,4,0)))</f>
        <v>0</v>
      </c>
      <c r="X168" s="333">
        <f>IF($F168="",0,IF($F168="Weighted Average",$G168*VLOOKUP($D168&amp;" (Install)",Lists!$C$72:$R$232,COLUMNS(Lists!$C$69:Q$69),0)*VLOOKUP(BQ$3,Conversions!$B$12:$E$34,4,0),$G168*VLOOKUP($F168,Lists!$C$72:$R$232,COLUMNS(Lists!$C$69:Q$69),0)*VLOOKUP(BQ$3,Conversions!$B$12:$E$34,4,0)))</f>
        <v>0</v>
      </c>
      <c r="Y168" s="333">
        <f>IF($F168="",0,IF($F168="Weighted Average",$G168*VLOOKUP($D168&amp;" (Install)",Lists!$C$72:$R$232,COLUMNS(Lists!$C$69:R$69),0)*VLOOKUP(BR$3,Conversions!$B$12:$E$34,4,0),$G168*VLOOKUP($F168,Lists!$C$72:$R$232,COLUMNS(Lists!$C$69:R$69),0)*VLOOKUP(BR$3,Conversions!$B$12:$E$34,4,0)))</f>
        <v>0</v>
      </c>
      <c r="Z168" s="325">
        <f t="shared" si="230"/>
        <v>0</v>
      </c>
      <c r="AA168" s="334">
        <f>IF($F168="",0,IF($F168="Weighted Average",$H168*VLOOKUP($D168&amp;" (Operation)",Lists!$C$72:$R$232,COLUMNS(Lists!$C$69:E$69),0)*VLOOKUP(BE$3,Conversions!$B$12:$E$34,4,0),$H168*VLOOKUP($F168,Lists!$C$72:$R$232,COLUMNS(Lists!$C$69:E$69),0)*VLOOKUP(BE$3,Conversions!$B$12:$E$34,4,0)))</f>
        <v>0</v>
      </c>
      <c r="AB168" s="334">
        <f>IF($F168="",0,IF($F168="Weighted Average",$H168*VLOOKUP($D168&amp;" (Operation)",Lists!$C$72:$R$232,COLUMNS(Lists!$C$69:F$69),0)*VLOOKUP(BF$3,Conversions!$B$12:$E$34,4,0),$H168*VLOOKUP($F168,Lists!$C$72:$R$232,COLUMNS(Lists!$C$69:F$69),0)*VLOOKUP(BF$3,Conversions!$B$12:$E$34,4,0)))</f>
        <v>0</v>
      </c>
      <c r="AC168" s="334">
        <f>IF($F168="",0,IF($F168="Weighted Average",$H168*VLOOKUP($D168&amp;" (Operation)",Lists!$C$72:$R$232,COLUMNS(Lists!$C$69:G$69),0)*VLOOKUP(BG$3,Conversions!$B$12:$E$34,4,0),$H168*VLOOKUP($F168,Lists!$C$72:$R$232,COLUMNS(Lists!$C$69:G$69),0)*VLOOKUP(BG$3,Conversions!$B$12:$E$34,4,0)))</f>
        <v>0</v>
      </c>
      <c r="AD168" s="334">
        <f>IF($F168="",0,IF($F168="Weighted Average",$H168*VLOOKUP($D168&amp;" (Operation)",Lists!$C$72:$R$232,COLUMNS(Lists!$C$69:H$69),0)*VLOOKUP(BH$3,Conversions!$B$12:$E$34,4,0),$H168*VLOOKUP($F168,Lists!$C$72:$R$232,COLUMNS(Lists!$C$69:H$69),0)*VLOOKUP(BH$3,Conversions!$B$12:$E$34,4,0)))</f>
        <v>0</v>
      </c>
      <c r="AE168" s="334">
        <f>IF($F168="",0,IF($F168="Weighted Average",$H168*VLOOKUP($D168&amp;" (Operation)",Lists!$C$72:$R$232,COLUMNS(Lists!$C$69:I$69),0)*VLOOKUP(BI$3,Conversions!$B$12:$E$34,4,0),$H168*VLOOKUP($F168,Lists!$C$72:$R$232,COLUMNS(Lists!$C$69:I$69),0)*VLOOKUP(BI$3,Conversions!$B$12:$E$34,4,0)))</f>
        <v>0</v>
      </c>
      <c r="AF168" s="334">
        <f>IF($F168="",0,IF($F168="Weighted Average",$H168*VLOOKUP($D168&amp;" (Operation)",Lists!$C$72:$R$232,COLUMNS(Lists!$C$69:J$69),0)*VLOOKUP(BJ$3,Conversions!$B$12:$E$34,4,0),$H168*VLOOKUP($F168,Lists!$C$72:$R$232,COLUMNS(Lists!$C$69:J$69),0)*VLOOKUP(BJ$3,Conversions!$B$12:$E$34,4,0)))</f>
        <v>0</v>
      </c>
      <c r="AG168" s="334">
        <f>IF($F168="",0,IF($F168="Weighted Average",$H168*VLOOKUP($D168&amp;" (Operation)",Lists!$C$72:$R$232,COLUMNS(Lists!$C$69:K$69),0)*VLOOKUP(BK$3,Conversions!$B$12:$E$34,4,0),$H168*VLOOKUP($F168,Lists!$C$72:$R$232,COLUMNS(Lists!$C$69:K$69),0)*VLOOKUP(BK$3,Conversions!$B$12:$E$34,4,0)))</f>
        <v>0</v>
      </c>
      <c r="AH168" s="334">
        <f>IF($F168="",0,IF($F168="Weighted Average",$H168*VLOOKUP($D168&amp;" (Operation)",Lists!$C$72:$R$232,COLUMNS(Lists!$C$69:L$69),0)*VLOOKUP(BL$3,Conversions!$B$12:$E$34,4,0),$H168*VLOOKUP($F168,Lists!$C$72:$R$232,COLUMNS(Lists!$C$69:L$69),0)*VLOOKUP(BL$3,Conversions!$B$12:$E$34,4,0)))</f>
        <v>0</v>
      </c>
      <c r="AI168" s="334">
        <f>IF($F168="",0,IF($F168="Weighted Average",$H168*VLOOKUP($D168&amp;" (Operation)",Lists!$C$72:$R$232,COLUMNS(Lists!$C$69:M$69),0)*VLOOKUP(BM$3,Conversions!$B$12:$E$34,4,0),$H168*VLOOKUP($F168,Lists!$C$72:$R$232,COLUMNS(Lists!$C$69:M$69),0)*VLOOKUP(BM$3,Conversions!$B$12:$E$34,4,0)))</f>
        <v>0</v>
      </c>
      <c r="AJ168" s="334">
        <f>IF($F168="",0,IF($F168="Weighted Average",$H168*VLOOKUP($D168&amp;" (Operation)",Lists!$C$72:$R$232,COLUMNS(Lists!$C$69:N$69),0)*VLOOKUP(BN$3,Conversions!$B$12:$E$34,4,0),$H168*VLOOKUP($F168,Lists!$C$72:$R$232,COLUMNS(Lists!$C$69:N$69),0)*VLOOKUP(BN$3,Conversions!$B$12:$E$34,4,0)))</f>
        <v>0</v>
      </c>
      <c r="AK168" s="334">
        <f>IF($F168="",0,IF($F168="Weighted Average",$H168*VLOOKUP($D168&amp;" (Operation)",Lists!$C$72:$R$232,COLUMNS(Lists!$C$69:O$69),0)*VLOOKUP(BO$3,Conversions!$B$12:$E$34,4,0),$H168*VLOOKUP($F168,Lists!$C$72:$R$232,COLUMNS(Lists!$C$69:O$69),0)*VLOOKUP(BO$3,Conversions!$B$12:$E$34,4,0)))</f>
        <v>0</v>
      </c>
      <c r="AL168" s="334">
        <f>IF($F168="",0,IF($F168="Weighted Average",$H168*VLOOKUP($D168&amp;" (Operation)",Lists!$C$72:$R$232,COLUMNS(Lists!$C$69:P$69),0)*VLOOKUP(BP$3,Conversions!$B$12:$E$34,4,0),$H168*VLOOKUP($F168,Lists!$C$72:$R$232,COLUMNS(Lists!$C$69:P$69),0)*VLOOKUP(BP$3,Conversions!$B$12:$E$34,4,0)))</f>
        <v>0</v>
      </c>
      <c r="AM168" s="334">
        <f>IF($F168="",0,IF($F168="Weighted Average",$H168*VLOOKUP($D168&amp;" (Operation)",Lists!$C$72:$R$232,COLUMNS(Lists!$C$69:Q$69),0)*VLOOKUP(BQ$3,Conversions!$B$12:$E$34,4,0),$H168*VLOOKUP($F168,Lists!$C$72:$R$232,COLUMNS(Lists!$C$69:Q$69),0)*VLOOKUP(BQ$3,Conversions!$B$12:$E$34,4,0)))</f>
        <v>0</v>
      </c>
      <c r="AN168" s="334">
        <f>IF($F168="",0,IF($F168="Weighted Average",$H168*VLOOKUP($D168&amp;" (Operation)",Lists!$C$72:$R$232,COLUMNS(Lists!$C$69:R$69),0)*VLOOKUP(BR$3,Conversions!$B$12:$E$34,4,0),$H168*VLOOKUP($F168,Lists!$C$72:$R$232,COLUMNS(Lists!$C$69:R$69),0)*VLOOKUP(BR$3,Conversions!$B$12:$E$34,4,0)))</f>
        <v>0</v>
      </c>
      <c r="AO168" s="330">
        <f t="shared" si="231"/>
        <v>0</v>
      </c>
      <c r="AP168" s="333">
        <f>IF($F168="",0,IF($F168="Weighted Average",$I168*VLOOKUP($D168&amp;" (Disposal)",Lists!$C$72:$R$232,COLUMNS(Lists!$C$69:E$69),0)*VLOOKUP(BE$3,Conversions!$B$12:$E$34,4,0),$I168*VLOOKUP($F168,Lists!$C$72:$R$232,COLUMNS(Lists!$C$69:E$69),0)*VLOOKUP(BE$3,Conversions!$B$12:$E$34,4,0)))</f>
        <v>0</v>
      </c>
      <c r="AQ168" s="333">
        <f>IF($F168="",0,IF($F168="Weighted Average",$I168*VLOOKUP($D168&amp;" (Disposal)",Lists!$C$72:$R$232,COLUMNS(Lists!$C$69:F$69),0)*VLOOKUP(BF$3,Conversions!$B$12:$E$34,4,0),$I168*VLOOKUP($F168,Lists!$C$72:$R$232,COLUMNS(Lists!$C$69:F$69),0)*VLOOKUP(BF$3,Conversions!$B$12:$E$34,4,0)))</f>
        <v>0</v>
      </c>
      <c r="AR168" s="333">
        <f>IF($F168="",0,IF($F168="Weighted Average",$I168*VLOOKUP($D168&amp;" (Disposal)",Lists!$C$72:$R$232,COLUMNS(Lists!$C$69:G$69),0)*VLOOKUP(BG$3,Conversions!$B$12:$E$34,4,0),$I168*VLOOKUP($F168,Lists!$C$72:$R$232,COLUMNS(Lists!$C$69:G$69),0)*VLOOKUP(BG$3,Conversions!$B$12:$E$34,4,0)))</f>
        <v>0</v>
      </c>
      <c r="AS168" s="333">
        <f>IF($F168="",0,IF($F168="Weighted Average",$I168*VLOOKUP($D168&amp;" (Disposal)",Lists!$C$72:$R$232,COLUMNS(Lists!$C$69:H$69),0)*VLOOKUP(BH$3,Conversions!$B$12:$E$34,4,0),$I168*VLOOKUP($F168,Lists!$C$72:$R$232,COLUMNS(Lists!$C$69:H$69),0)*VLOOKUP(BH$3,Conversions!$B$12:$E$34,4,0)))</f>
        <v>0</v>
      </c>
      <c r="AT168" s="333">
        <f>IF($F168="",0,IF($F168="Weighted Average",$I168*VLOOKUP($D168&amp;" (Disposal)",Lists!$C$72:$R$232,COLUMNS(Lists!$C$69:I$69),0)*VLOOKUP(BI$3,Conversions!$B$12:$E$34,4,0),$I168*VLOOKUP($F168,Lists!$C$72:$R$232,COLUMNS(Lists!$C$69:I$69),0)*VLOOKUP(BI$3,Conversions!$B$12:$E$34,4,0)))</f>
        <v>0</v>
      </c>
      <c r="AU168" s="333">
        <f>IF($F168="",0,IF($F168="Weighted Average",$I168*VLOOKUP($D168&amp;" (Disposal)",Lists!$C$72:$R$232,COLUMNS(Lists!$C$69:J$69),0)*VLOOKUP(BJ$3,Conversions!$B$12:$E$34,4,0),$I168*VLOOKUP($F168,Lists!$C$72:$R$232,COLUMNS(Lists!$C$69:J$69),0)*VLOOKUP(BJ$3,Conversions!$B$12:$E$34,4,0)))</f>
        <v>0</v>
      </c>
      <c r="AV168" s="333">
        <f>IF($F168="",0,IF($F168="Weighted Average",$I168*VLOOKUP($D168&amp;" (Disposal)",Lists!$C$72:$R$232,COLUMNS(Lists!$C$69:K$69),0)*VLOOKUP(BK$3,Conversions!$B$12:$E$34,4,0),$I168*VLOOKUP($F168,Lists!$C$72:$R$232,COLUMNS(Lists!$C$69:K$69),0)*VLOOKUP(BK$3,Conversions!$B$12:$E$34,4,0)))</f>
        <v>0</v>
      </c>
      <c r="AW168" s="333">
        <f>IF($F168="",0,IF($F168="Weighted Average",$I168*VLOOKUP($D168&amp;" (Disposal)",Lists!$C$72:$R$232,COLUMNS(Lists!$C$69:L$69),0)*VLOOKUP(BL$3,Conversions!$B$12:$E$34,4,0),$I168*VLOOKUP($F168,Lists!$C$72:$R$232,COLUMNS(Lists!$C$69:L$69),0)*VLOOKUP(BL$3,Conversions!$B$12:$E$34,4,0)))</f>
        <v>0</v>
      </c>
      <c r="AX168" s="333">
        <f>IF($F168="",0,IF($F168="Weighted Average",$I168*VLOOKUP($D168&amp;" (Disposal)",Lists!$C$72:$R$232,COLUMNS(Lists!$C$69:M$69),0)*VLOOKUP(BM$3,Conversions!$B$12:$E$34,4,0),$I168*VLOOKUP($F168,Lists!$C$72:$R$232,COLUMNS(Lists!$C$69:M$69),0)*VLOOKUP(BM$3,Conversions!$B$12:$E$34,4,0)))</f>
        <v>0</v>
      </c>
      <c r="AY168" s="333">
        <f>IF($F168="",0,IF($F168="Weighted Average",$I168*VLOOKUP($D168&amp;" (Disposal)",Lists!$C$72:$R$232,COLUMNS(Lists!$C$69:N$69),0)*VLOOKUP(BN$3,Conversions!$B$12:$E$34,4,0),$I168*VLOOKUP($F168,Lists!$C$72:$R$232,COLUMNS(Lists!$C$69:N$69),0)*VLOOKUP(BN$3,Conversions!$B$12:$E$34,4,0)))</f>
        <v>0</v>
      </c>
      <c r="AZ168" s="333">
        <f>IF($F168="",0,IF($F168="Weighted Average",$I168*VLOOKUP($D168&amp;" (Disposal)",Lists!$C$72:$R$232,COLUMNS(Lists!$C$69:O$69),0)*VLOOKUP(BO$3,Conversions!$B$12:$E$34,4,0),$I168*VLOOKUP($F168,Lists!$C$72:$R$232,COLUMNS(Lists!$C$69:O$69),0)*VLOOKUP(BO$3,Conversions!$B$12:$E$34,4,0)))</f>
        <v>0</v>
      </c>
      <c r="BA168" s="333">
        <f>IF($F168="",0,IF($F168="Weighted Average",$I168*VLOOKUP($D168&amp;" (Disposal)",Lists!$C$72:$R$232,COLUMNS(Lists!$C$69:P$69),0)*VLOOKUP(BP$3,Conversions!$B$12:$E$34,4,0),$I168*VLOOKUP($F168,Lists!$C$72:$R$232,COLUMNS(Lists!$C$69:P$69),0)*VLOOKUP(BP$3,Conversions!$B$12:$E$34,4,0)))</f>
        <v>0</v>
      </c>
      <c r="BB168" s="333">
        <f>IF($F168="",0,IF($F168="Weighted Average",$I168*VLOOKUP($D168&amp;" (Disposal)",Lists!$C$72:$R$232,COLUMNS(Lists!$C$69:Q$69),0)*VLOOKUP(BQ$3,Conversions!$B$12:$E$34,4,0),$I168*VLOOKUP($F168,Lists!$C$72:$R$232,COLUMNS(Lists!$C$69:Q$69),0)*VLOOKUP(BQ$3,Conversions!$B$12:$E$34,4,0)))</f>
        <v>0</v>
      </c>
      <c r="BC168" s="333">
        <f>IF($F168="",0,IF($F168="Weighted Average",$I168*VLOOKUP($D168&amp;" (Disposal)",Lists!$C$72:$R$232,COLUMNS(Lists!$C$69:R$69),0)*VLOOKUP(BR$3,Conversions!$B$12:$E$34,4,0),$I168*VLOOKUP($F168,Lists!$C$72:$R$232,COLUMNS(Lists!$C$69:R$69),0)*VLOOKUP(BR$3,Conversions!$B$12:$E$34,4,0)))</f>
        <v>0</v>
      </c>
      <c r="BD168" s="333">
        <f t="shared" si="232"/>
        <v>0</v>
      </c>
      <c r="BE168" s="330">
        <f t="shared" si="233"/>
        <v>0</v>
      </c>
      <c r="BF168" s="330">
        <f t="shared" si="214"/>
        <v>0</v>
      </c>
      <c r="BG168" s="330">
        <f t="shared" si="215"/>
        <v>0</v>
      </c>
      <c r="BH168" s="330">
        <f t="shared" si="216"/>
        <v>0</v>
      </c>
      <c r="BI168" s="330">
        <f t="shared" si="217"/>
        <v>0</v>
      </c>
      <c r="BJ168" s="330">
        <f t="shared" si="218"/>
        <v>0</v>
      </c>
      <c r="BK168" s="330">
        <f t="shared" si="219"/>
        <v>0</v>
      </c>
      <c r="BL168" s="330">
        <f t="shared" si="220"/>
        <v>0</v>
      </c>
      <c r="BM168" s="330">
        <f t="shared" si="221"/>
        <v>0</v>
      </c>
      <c r="BN168" s="330">
        <f t="shared" si="222"/>
        <v>0</v>
      </c>
      <c r="BO168" s="330">
        <f t="shared" si="223"/>
        <v>0</v>
      </c>
      <c r="BP168" s="330">
        <f t="shared" si="224"/>
        <v>0</v>
      </c>
      <c r="BQ168" s="330">
        <f t="shared" si="225"/>
        <v>0</v>
      </c>
      <c r="BR168" s="330">
        <f t="shared" si="226"/>
        <v>0</v>
      </c>
      <c r="BS168" s="330">
        <f t="shared" si="227"/>
        <v>0</v>
      </c>
      <c r="BT168" s="329">
        <f>IF($F168="",0,IF($F168="Weighted Average",$BS168*VLOOKUP($D168,'Default Values'!$B$78:$V$97,COLUMNS('Default Values'!$B$77:G$77),0),0))</f>
        <v>0</v>
      </c>
      <c r="BU168" s="329">
        <f>IF($F168="",0,IF($F168="Weighted Average",$BS168*VLOOKUP($D168,'Default Values'!$B$78:$V$97,COLUMNS('Default Values'!$B$77:H$77),0),0))</f>
        <v>0</v>
      </c>
      <c r="BV168" s="329">
        <f>IF($F168="",0,IF($F168="Weighted Average",$BS168*VLOOKUP($D168,'Default Values'!$B$78:$V$97,COLUMNS('Default Values'!$B$77:I$77),0),0))</f>
        <v>0</v>
      </c>
      <c r="BW168" s="329">
        <f>IF($F168="",0,IF($F168="Weighted Average",$BS168*VLOOKUP($D168,'Default Values'!$B$78:$V$97,COLUMNS('Default Values'!$B$77:J$77),0),0))</f>
        <v>0</v>
      </c>
      <c r="BX168" s="329">
        <f>IF($F168="",0,IF($F168="Weighted Average",$BS168*VLOOKUP($D168,'Default Values'!$B$78:$V$97,COLUMNS('Default Values'!$B$77:K$77),0),0))</f>
        <v>0</v>
      </c>
      <c r="BY168" s="329">
        <f>IF($F168="",0,IF($F168="Weighted Average",$BS168*VLOOKUP($D168,'Default Values'!$B$78:$V$97,COLUMNS('Default Values'!$B$77:L$77),0),0))</f>
        <v>0</v>
      </c>
      <c r="BZ168" s="329">
        <f>IF($F168="",0,IF($F168="Weighted Average",$BS168*VLOOKUP($D168,'Default Values'!$B$78:$V$97,COLUMNS('Default Values'!$B$77:M$77),0),0))</f>
        <v>0</v>
      </c>
      <c r="CA168" s="329">
        <f>IF($F168="",0,IF($F168="Weighted Average",$BS168*VLOOKUP($D168,'Default Values'!$B$78:$V$97,COLUMNS('Default Values'!$B$77:N$77),0),0))</f>
        <v>0</v>
      </c>
      <c r="CB168" s="329">
        <f>IF($F168="",0,IF($F168="Weighted Average",$BS168*VLOOKUP($D168,'Default Values'!$B$78:$V$97,COLUMNS('Default Values'!$B$77:O$77),0),0))</f>
        <v>0</v>
      </c>
      <c r="CC168" s="329">
        <f>IF($F168="",0,IF($F168="Weighted Average",$BS168*VLOOKUP($D168,'Default Values'!$B$78:$V$97,COLUMNS('Default Values'!$B$77:P$77),0),0))</f>
        <v>0</v>
      </c>
      <c r="CD168" s="329">
        <f>IF($F168="",0,IF($F168="Weighted Average",$BS168*VLOOKUP($D168,'Default Values'!$B$78:$V$97,COLUMNS('Default Values'!$B$77:Q$77),0),0))</f>
        <v>0</v>
      </c>
      <c r="CE168" s="329">
        <f>IF($F168="",0,IF($F168="Weighted Average",$BS168*VLOOKUP($D168,'Default Values'!$B$78:$V$97,COLUMNS('Default Values'!$B$77:R$77),0),0))</f>
        <v>0</v>
      </c>
      <c r="CF168" s="329">
        <f>IF($F168="",0,IF($F168="Weighted Average",$BS168*VLOOKUP($D168,'Default Values'!$B$78:$V$97,COLUMNS('Default Values'!$B$77:S$77),0),0))</f>
        <v>0</v>
      </c>
      <c r="CG168" s="329">
        <f>IF($F168="",0,IF($F168="Weighted Average",$BS168*VLOOKUP($D168,'Default Values'!$B$78:$V$97,COLUMNS('Default Values'!$B$77:T$77),0),0))</f>
        <v>0</v>
      </c>
      <c r="CH168" s="329">
        <f>IF($F168="",0,IF($F168="Weighted Average",$BS168*VLOOKUP($D168,'Default Values'!$B$78:$V$97,COLUMNS('Default Values'!$B$77:U$77),0),0))</f>
        <v>0</v>
      </c>
      <c r="CI168" s="329">
        <f>IF($F168="",0,IF($F168="Weighted Average",$BS168*VLOOKUP($D168,'Default Values'!$B$78:$V$97,COLUMNS('Default Values'!$B$77:V$77),0),0))</f>
        <v>0</v>
      </c>
      <c r="CJ168" s="331">
        <f t="shared" si="200"/>
        <v>0</v>
      </c>
      <c r="CK168" s="330">
        <f t="shared" si="201"/>
        <v>0</v>
      </c>
      <c r="CL168" s="330">
        <f t="shared" si="202"/>
        <v>0</v>
      </c>
      <c r="CM168" s="330">
        <f t="shared" si="203"/>
        <v>0</v>
      </c>
      <c r="CN168" s="330">
        <f t="shared" si="204"/>
        <v>0</v>
      </c>
      <c r="CO168" s="330">
        <f t="shared" si="205"/>
        <v>0</v>
      </c>
      <c r="CP168" s="330">
        <f t="shared" si="206"/>
        <v>0</v>
      </c>
      <c r="CQ168" s="330">
        <f t="shared" si="186"/>
        <v>0</v>
      </c>
      <c r="CR168" s="330">
        <f t="shared" si="207"/>
        <v>0</v>
      </c>
      <c r="CS168" s="330">
        <f t="shared" si="208"/>
        <v>0</v>
      </c>
      <c r="CT168" s="330">
        <f t="shared" si="209"/>
        <v>0</v>
      </c>
      <c r="CU168" s="330">
        <f t="shared" si="228"/>
        <v>0</v>
      </c>
      <c r="CV168" s="330">
        <f t="shared" si="228"/>
        <v>0</v>
      </c>
      <c r="CW168" s="330">
        <f t="shared" si="228"/>
        <v>0</v>
      </c>
      <c r="CX168" s="330">
        <f t="shared" si="228"/>
        <v>0</v>
      </c>
      <c r="CY168" s="330">
        <f t="shared" si="228"/>
        <v>0</v>
      </c>
      <c r="CZ168" s="330">
        <f t="shared" si="228"/>
        <v>0</v>
      </c>
      <c r="DA168" s="330">
        <f t="shared" si="228"/>
        <v>0</v>
      </c>
      <c r="DB168" s="330">
        <f t="shared" si="228"/>
        <v>0</v>
      </c>
      <c r="DC168" s="330">
        <f t="shared" si="228"/>
        <v>0</v>
      </c>
      <c r="DD168" s="330">
        <f t="shared" si="228"/>
        <v>0</v>
      </c>
      <c r="DE168" s="330">
        <f t="shared" si="229"/>
        <v>0</v>
      </c>
      <c r="DF168" s="330">
        <f t="shared" si="229"/>
        <v>0</v>
      </c>
      <c r="DG168" s="330">
        <f t="shared" si="229"/>
        <v>0</v>
      </c>
      <c r="DH168" s="330">
        <f t="shared" si="229"/>
        <v>0</v>
      </c>
      <c r="DI168" s="330">
        <f t="shared" si="229"/>
        <v>0</v>
      </c>
      <c r="DJ168" s="330">
        <f t="shared" si="229"/>
        <v>0</v>
      </c>
      <c r="DK168" s="330">
        <f t="shared" si="229"/>
        <v>0</v>
      </c>
      <c r="DL168" s="330">
        <f t="shared" si="229"/>
        <v>0</v>
      </c>
      <c r="DM168" s="330">
        <f t="shared" si="229"/>
        <v>0</v>
      </c>
      <c r="DN168" s="330">
        <f t="shared" si="229"/>
        <v>0</v>
      </c>
      <c r="DO168" s="330">
        <f t="shared" si="229"/>
        <v>0</v>
      </c>
      <c r="DP168" s="330">
        <f t="shared" si="213"/>
        <v>0</v>
      </c>
      <c r="DQ168" s="217"/>
      <c r="DR168" s="217"/>
      <c r="DS168" s="217"/>
      <c r="DT168" s="217"/>
    </row>
    <row r="169" spans="1:124" x14ac:dyDescent="0.3">
      <c r="A169" s="324"/>
      <c r="B169" s="221" t="s">
        <v>307</v>
      </c>
      <c r="C169" s="221" t="str">
        <f>IF('Simplified Screening 2'!C20=0,"",'Simplified Screening 2'!C20)</f>
        <v/>
      </c>
      <c r="D169" s="221" t="str">
        <f>IF('Simplified Screening 2'!D20=0,"",'Simplified Screening 2'!D20)</f>
        <v/>
      </c>
      <c r="E169" s="221"/>
      <c r="F169" s="221" t="str">
        <f>'Simplified Screening 2'!J20</f>
        <v/>
      </c>
      <c r="G169" s="335" t="str">
        <f>IF(D169="","",'Simplified Screening 2'!G20/1000*VLOOKUP(D169,'Default Values'!$B$78:$F$97,COLUMNS('Default Values'!$B$77:$D$77),0)/1000)</f>
        <v/>
      </c>
      <c r="H169" s="335" t="str">
        <f>IF(D169="","",'Simplified Screening 2'!G20/1000*VLOOKUP(D169,'Default Values'!$B$78:$F$97,COLUMNS('Default Values'!$B$77:$E$77),0)/1000)</f>
        <v/>
      </c>
      <c r="I169" s="335" t="str">
        <f>IF(D169="","",'Simplified Screening 2'!G20/1000*VLOOKUP(D169,'Default Values'!$B$78:$F$97,COLUMNS('Default Values'!$B$77:$F$77),0)/1000)</f>
        <v/>
      </c>
      <c r="J169" s="325">
        <f>IF('Simplified Screening 2'!H20=0,0,'Simplified Screening 2'!H20)</f>
        <v>0</v>
      </c>
      <c r="K169" s="465"/>
      <c r="L169" s="333">
        <f>IF($F169="",0,IF($F169="Weighted Average",$G169*VLOOKUP($D169&amp;" (Install)",Lists!$C$72:$R$232,COLUMNS(Lists!$C$69:E$69),0)*VLOOKUP(BE$3,Conversions!$B$12:$E$34,4,0),$G169*VLOOKUP($F169,Lists!$C$72:$R$232,COLUMNS(Lists!$C$69:E$69),0)*VLOOKUP(BE$3,Conversions!$B$12:$E$34,4,0)))</f>
        <v>0</v>
      </c>
      <c r="M169" s="333">
        <f>IF($F169="",0,IF($F169="Weighted Average",$G169*VLOOKUP($D169&amp;" (Install)",Lists!$C$72:$R$232,COLUMNS(Lists!$C$69:F$69),0)*VLOOKUP(BF$3,Conversions!$B$12:$E$34,4,0),$G169*VLOOKUP($F169,Lists!$C$72:$R$232,COLUMNS(Lists!$C$69:F$69),0)*VLOOKUP(BF$3,Conversions!$B$12:$E$34,4,0)))</f>
        <v>0</v>
      </c>
      <c r="N169" s="333">
        <f>IF($F169="",0,IF($F169="Weighted Average",$G169*VLOOKUP($D169&amp;" (Install)",Lists!$C$72:$R$232,COLUMNS(Lists!$C$69:G$69),0)*VLOOKUP(BG$3,Conversions!$B$12:$E$34,4,0),$G169*VLOOKUP($F169,Lists!$C$72:$R$232,COLUMNS(Lists!$C$69:G$69),0)*VLOOKUP(BG$3,Conversions!$B$12:$E$34,4,0)))</f>
        <v>0</v>
      </c>
      <c r="O169" s="333">
        <f>IF($F169="",0,IF($F169="Weighted Average",$G169*VLOOKUP($D169&amp;" (Install)",Lists!$C$72:$R$232,COLUMNS(Lists!$C$69:H$69),0)*VLOOKUP(BH$3,Conversions!$B$12:$E$34,4,0),$G169*VLOOKUP($F169,Lists!$C$72:$R$232,COLUMNS(Lists!$C$69:H$69),0)*VLOOKUP(BH$3,Conversions!$B$12:$E$34,4,0)))</f>
        <v>0</v>
      </c>
      <c r="P169" s="333">
        <f>IF($F169="",0,IF($F169="Weighted Average",$G169*VLOOKUP($D169&amp;" (Install)",Lists!$C$72:$R$232,COLUMNS(Lists!$C$69:I$69),0)*VLOOKUP(BI$3,Conversions!$B$12:$E$34,4,0),$G169*VLOOKUP($F169,Lists!$C$72:$R$232,COLUMNS(Lists!$C$69:I$69),0)*VLOOKUP(BI$3,Conversions!$B$12:$E$34,4,0)))</f>
        <v>0</v>
      </c>
      <c r="Q169" s="333">
        <f>IF($F169="",0,IF($F169="Weighted Average",$G169*VLOOKUP($D169&amp;" (Install)",Lists!$C$72:$R$232,COLUMNS(Lists!$C$69:J$69),0)*VLOOKUP(BJ$3,Conversions!$B$12:$E$34,4,0),$G169*VLOOKUP($F169,Lists!$C$72:$R$232,COLUMNS(Lists!$C$69:J$69),0)*VLOOKUP(BJ$3,Conversions!$B$12:$E$34,4,0)))</f>
        <v>0</v>
      </c>
      <c r="R169" s="333">
        <f>IF($F169="",0,IF($F169="Weighted Average",$G169*VLOOKUP($D169&amp;" (Install)",Lists!$C$72:$R$232,COLUMNS(Lists!$C$69:K$69),0)*VLOOKUP(BK$3,Conversions!$B$12:$E$34,4,0),$G169*VLOOKUP($F169,Lists!$C$72:$R$232,COLUMNS(Lists!$C$69:K$69),0)*VLOOKUP(BK$3,Conversions!$B$12:$E$34,4,0)))</f>
        <v>0</v>
      </c>
      <c r="S169" s="333">
        <f>IF($F169="",0,IF($F169="Weighted Average",$G169*VLOOKUP($D169&amp;" (Install)",Lists!$C$72:$R$232,COLUMNS(Lists!$C$69:L$69),0)*VLOOKUP(BL$3,Conversions!$B$12:$E$34,4,0),$G169*VLOOKUP($F169,Lists!$C$72:$R$232,COLUMNS(Lists!$C$69:L$69),0)*VLOOKUP(BL$3,Conversions!$B$12:$E$34,4,0)))</f>
        <v>0</v>
      </c>
      <c r="T169" s="333">
        <f>IF($F169="",0,IF($F169="Weighted Average",$G169*VLOOKUP($D169&amp;" (Install)",Lists!$C$72:$R$232,COLUMNS(Lists!$C$69:M$69),0)*VLOOKUP(BM$3,Conversions!$B$12:$E$34,4,0),$G169*VLOOKUP($F169,Lists!$C$72:$R$232,COLUMNS(Lists!$C$69:M$69),0)*VLOOKUP(BM$3,Conversions!$B$12:$E$34,4,0)))</f>
        <v>0</v>
      </c>
      <c r="U169" s="333">
        <f>IF($F169="",0,IF($F169="Weighted Average",$G169*VLOOKUP($D169&amp;" (Install)",Lists!$C$72:$R$232,COLUMNS(Lists!$C$69:N$69),0)*VLOOKUP(BN$3,Conversions!$B$12:$E$34,4,0),$G169*VLOOKUP($F169,Lists!$C$72:$R$232,COLUMNS(Lists!$C$69:N$69),0)*VLOOKUP(BN$3,Conversions!$B$12:$E$34,4,0)))</f>
        <v>0</v>
      </c>
      <c r="V169" s="333">
        <f>IF($F169="",0,IF($F169="Weighted Average",$G169*VLOOKUP($D169&amp;" (Install)",Lists!$C$72:$R$232,COLUMNS(Lists!$C$69:O$69),0)*VLOOKUP(BO$3,Conversions!$B$12:$E$34,4,0),$G169*VLOOKUP($F169,Lists!$C$72:$R$232,COLUMNS(Lists!$C$69:O$69),0)*VLOOKUP(BO$3,Conversions!$B$12:$E$34,4,0)))</f>
        <v>0</v>
      </c>
      <c r="W169" s="333">
        <f>IF($F169="",0,IF($F169="Weighted Average",$G169*VLOOKUP($D169&amp;" (Install)",Lists!$C$72:$R$232,COLUMNS(Lists!$C$69:P$69),0)*VLOOKUP(BP$3,Conversions!$B$12:$E$34,4,0),$G169*VLOOKUP($F169,Lists!$C$72:$R$232,COLUMNS(Lists!$C$69:P$69),0)*VLOOKUP(BP$3,Conversions!$B$12:$E$34,4,0)))</f>
        <v>0</v>
      </c>
      <c r="X169" s="333">
        <f>IF($F169="",0,IF($F169="Weighted Average",$G169*VLOOKUP($D169&amp;" (Install)",Lists!$C$72:$R$232,COLUMNS(Lists!$C$69:Q$69),0)*VLOOKUP(BQ$3,Conversions!$B$12:$E$34,4,0),$G169*VLOOKUP($F169,Lists!$C$72:$R$232,COLUMNS(Lists!$C$69:Q$69),0)*VLOOKUP(BQ$3,Conversions!$B$12:$E$34,4,0)))</f>
        <v>0</v>
      </c>
      <c r="Y169" s="333">
        <f>IF($F169="",0,IF($F169="Weighted Average",$G169*VLOOKUP($D169&amp;" (Install)",Lists!$C$72:$R$232,COLUMNS(Lists!$C$69:R$69),0)*VLOOKUP(BR$3,Conversions!$B$12:$E$34,4,0),$G169*VLOOKUP($F169,Lists!$C$72:$R$232,COLUMNS(Lists!$C$69:R$69),0)*VLOOKUP(BR$3,Conversions!$B$12:$E$34,4,0)))</f>
        <v>0</v>
      </c>
      <c r="Z169" s="325">
        <f t="shared" si="230"/>
        <v>0</v>
      </c>
      <c r="AA169" s="334">
        <f>IF($F169="",0,IF($F169="Weighted Average",$H169*VLOOKUP($D169&amp;" (Operation)",Lists!$C$72:$R$232,COLUMNS(Lists!$C$69:E$69),0)*VLOOKUP(BE$3,Conversions!$B$12:$E$34,4,0),$H169*VLOOKUP($F169,Lists!$C$72:$R$232,COLUMNS(Lists!$C$69:E$69),0)*VLOOKUP(BE$3,Conversions!$B$12:$E$34,4,0)))</f>
        <v>0</v>
      </c>
      <c r="AB169" s="334">
        <f>IF($F169="",0,IF($F169="Weighted Average",$H169*VLOOKUP($D169&amp;" (Operation)",Lists!$C$72:$R$232,COLUMNS(Lists!$C$69:F$69),0)*VLOOKUP(BF$3,Conversions!$B$12:$E$34,4,0),$H169*VLOOKUP($F169,Lists!$C$72:$R$232,COLUMNS(Lists!$C$69:F$69),0)*VLOOKUP(BF$3,Conversions!$B$12:$E$34,4,0)))</f>
        <v>0</v>
      </c>
      <c r="AC169" s="334">
        <f>IF($F169="",0,IF($F169="Weighted Average",$H169*VLOOKUP($D169&amp;" (Operation)",Lists!$C$72:$R$232,COLUMNS(Lists!$C$69:G$69),0)*VLOOKUP(BG$3,Conversions!$B$12:$E$34,4,0),$H169*VLOOKUP($F169,Lists!$C$72:$R$232,COLUMNS(Lists!$C$69:G$69),0)*VLOOKUP(BG$3,Conversions!$B$12:$E$34,4,0)))</f>
        <v>0</v>
      </c>
      <c r="AD169" s="334">
        <f>IF($F169="",0,IF($F169="Weighted Average",$H169*VLOOKUP($D169&amp;" (Operation)",Lists!$C$72:$R$232,COLUMNS(Lists!$C$69:H$69),0)*VLOOKUP(BH$3,Conversions!$B$12:$E$34,4,0),$H169*VLOOKUP($F169,Lists!$C$72:$R$232,COLUMNS(Lists!$C$69:H$69),0)*VLOOKUP(BH$3,Conversions!$B$12:$E$34,4,0)))</f>
        <v>0</v>
      </c>
      <c r="AE169" s="334">
        <f>IF($F169="",0,IF($F169="Weighted Average",$H169*VLOOKUP($D169&amp;" (Operation)",Lists!$C$72:$R$232,COLUMNS(Lists!$C$69:I$69),0)*VLOOKUP(BI$3,Conversions!$B$12:$E$34,4,0),$H169*VLOOKUP($F169,Lists!$C$72:$R$232,COLUMNS(Lists!$C$69:I$69),0)*VLOOKUP(BI$3,Conversions!$B$12:$E$34,4,0)))</f>
        <v>0</v>
      </c>
      <c r="AF169" s="334">
        <f>IF($F169="",0,IF($F169="Weighted Average",$H169*VLOOKUP($D169&amp;" (Operation)",Lists!$C$72:$R$232,COLUMNS(Lists!$C$69:J$69),0)*VLOOKUP(BJ$3,Conversions!$B$12:$E$34,4,0),$H169*VLOOKUP($F169,Lists!$C$72:$R$232,COLUMNS(Lists!$C$69:J$69),0)*VLOOKUP(BJ$3,Conversions!$B$12:$E$34,4,0)))</f>
        <v>0</v>
      </c>
      <c r="AG169" s="334">
        <f>IF($F169="",0,IF($F169="Weighted Average",$H169*VLOOKUP($D169&amp;" (Operation)",Lists!$C$72:$R$232,COLUMNS(Lists!$C$69:K$69),0)*VLOOKUP(BK$3,Conversions!$B$12:$E$34,4,0),$H169*VLOOKUP($F169,Lists!$C$72:$R$232,COLUMNS(Lists!$C$69:K$69),0)*VLOOKUP(BK$3,Conversions!$B$12:$E$34,4,0)))</f>
        <v>0</v>
      </c>
      <c r="AH169" s="334">
        <f>IF($F169="",0,IF($F169="Weighted Average",$H169*VLOOKUP($D169&amp;" (Operation)",Lists!$C$72:$R$232,COLUMNS(Lists!$C$69:L$69),0)*VLOOKUP(BL$3,Conversions!$B$12:$E$34,4,0),$H169*VLOOKUP($F169,Lists!$C$72:$R$232,COLUMNS(Lists!$C$69:L$69),0)*VLOOKUP(BL$3,Conversions!$B$12:$E$34,4,0)))</f>
        <v>0</v>
      </c>
      <c r="AI169" s="334">
        <f>IF($F169="",0,IF($F169="Weighted Average",$H169*VLOOKUP($D169&amp;" (Operation)",Lists!$C$72:$R$232,COLUMNS(Lists!$C$69:M$69),0)*VLOOKUP(BM$3,Conversions!$B$12:$E$34,4,0),$H169*VLOOKUP($F169,Lists!$C$72:$R$232,COLUMNS(Lists!$C$69:M$69),0)*VLOOKUP(BM$3,Conversions!$B$12:$E$34,4,0)))</f>
        <v>0</v>
      </c>
      <c r="AJ169" s="334">
        <f>IF($F169="",0,IF($F169="Weighted Average",$H169*VLOOKUP($D169&amp;" (Operation)",Lists!$C$72:$R$232,COLUMNS(Lists!$C$69:N$69),0)*VLOOKUP(BN$3,Conversions!$B$12:$E$34,4,0),$H169*VLOOKUP($F169,Lists!$C$72:$R$232,COLUMNS(Lists!$C$69:N$69),0)*VLOOKUP(BN$3,Conversions!$B$12:$E$34,4,0)))</f>
        <v>0</v>
      </c>
      <c r="AK169" s="334">
        <f>IF($F169="",0,IF($F169="Weighted Average",$H169*VLOOKUP($D169&amp;" (Operation)",Lists!$C$72:$R$232,COLUMNS(Lists!$C$69:O$69),0)*VLOOKUP(BO$3,Conversions!$B$12:$E$34,4,0),$H169*VLOOKUP($F169,Lists!$C$72:$R$232,COLUMNS(Lists!$C$69:O$69),0)*VLOOKUP(BO$3,Conversions!$B$12:$E$34,4,0)))</f>
        <v>0</v>
      </c>
      <c r="AL169" s="334">
        <f>IF($F169="",0,IF($F169="Weighted Average",$H169*VLOOKUP($D169&amp;" (Operation)",Lists!$C$72:$R$232,COLUMNS(Lists!$C$69:P$69),0)*VLOOKUP(BP$3,Conversions!$B$12:$E$34,4,0),$H169*VLOOKUP($F169,Lists!$C$72:$R$232,COLUMNS(Lists!$C$69:P$69),0)*VLOOKUP(BP$3,Conversions!$B$12:$E$34,4,0)))</f>
        <v>0</v>
      </c>
      <c r="AM169" s="334">
        <f>IF($F169="",0,IF($F169="Weighted Average",$H169*VLOOKUP($D169&amp;" (Operation)",Lists!$C$72:$R$232,COLUMNS(Lists!$C$69:Q$69),0)*VLOOKUP(BQ$3,Conversions!$B$12:$E$34,4,0),$H169*VLOOKUP($F169,Lists!$C$72:$R$232,COLUMNS(Lists!$C$69:Q$69),0)*VLOOKUP(BQ$3,Conversions!$B$12:$E$34,4,0)))</f>
        <v>0</v>
      </c>
      <c r="AN169" s="334">
        <f>IF($F169="",0,IF($F169="Weighted Average",$H169*VLOOKUP($D169&amp;" (Operation)",Lists!$C$72:$R$232,COLUMNS(Lists!$C$69:R$69),0)*VLOOKUP(BR$3,Conversions!$B$12:$E$34,4,0),$H169*VLOOKUP($F169,Lists!$C$72:$R$232,COLUMNS(Lists!$C$69:R$69),0)*VLOOKUP(BR$3,Conversions!$B$12:$E$34,4,0)))</f>
        <v>0</v>
      </c>
      <c r="AO169" s="330">
        <f t="shared" si="231"/>
        <v>0</v>
      </c>
      <c r="AP169" s="333">
        <f>IF($F169="",0,IF($F169="Weighted Average",$I169*VLOOKUP($D169&amp;" (Disposal)",Lists!$C$72:$R$232,COLUMNS(Lists!$C$69:E$69),0)*VLOOKUP(BE$3,Conversions!$B$12:$E$34,4,0),$I169*VLOOKUP($F169,Lists!$C$72:$R$232,COLUMNS(Lists!$C$69:E$69),0)*VLOOKUP(BE$3,Conversions!$B$12:$E$34,4,0)))</f>
        <v>0</v>
      </c>
      <c r="AQ169" s="333">
        <f>IF($F169="",0,IF($F169="Weighted Average",$I169*VLOOKUP($D169&amp;" (Disposal)",Lists!$C$72:$R$232,COLUMNS(Lists!$C$69:F$69),0)*VLOOKUP(BF$3,Conversions!$B$12:$E$34,4,0),$I169*VLOOKUP($F169,Lists!$C$72:$R$232,COLUMNS(Lists!$C$69:F$69),0)*VLOOKUP(BF$3,Conversions!$B$12:$E$34,4,0)))</f>
        <v>0</v>
      </c>
      <c r="AR169" s="333">
        <f>IF($F169="",0,IF($F169="Weighted Average",$I169*VLOOKUP($D169&amp;" (Disposal)",Lists!$C$72:$R$232,COLUMNS(Lists!$C$69:G$69),0)*VLOOKUP(BG$3,Conversions!$B$12:$E$34,4,0),$I169*VLOOKUP($F169,Lists!$C$72:$R$232,COLUMNS(Lists!$C$69:G$69),0)*VLOOKUP(BG$3,Conversions!$B$12:$E$34,4,0)))</f>
        <v>0</v>
      </c>
      <c r="AS169" s="333">
        <f>IF($F169="",0,IF($F169="Weighted Average",$I169*VLOOKUP($D169&amp;" (Disposal)",Lists!$C$72:$R$232,COLUMNS(Lists!$C$69:H$69),0)*VLOOKUP(BH$3,Conversions!$B$12:$E$34,4,0),$I169*VLOOKUP($F169,Lists!$C$72:$R$232,COLUMNS(Lists!$C$69:H$69),0)*VLOOKUP(BH$3,Conversions!$B$12:$E$34,4,0)))</f>
        <v>0</v>
      </c>
      <c r="AT169" s="333">
        <f>IF($F169="",0,IF($F169="Weighted Average",$I169*VLOOKUP($D169&amp;" (Disposal)",Lists!$C$72:$R$232,COLUMNS(Lists!$C$69:I$69),0)*VLOOKUP(BI$3,Conversions!$B$12:$E$34,4,0),$I169*VLOOKUP($F169,Lists!$C$72:$R$232,COLUMNS(Lists!$C$69:I$69),0)*VLOOKUP(BI$3,Conversions!$B$12:$E$34,4,0)))</f>
        <v>0</v>
      </c>
      <c r="AU169" s="333">
        <f>IF($F169="",0,IF($F169="Weighted Average",$I169*VLOOKUP($D169&amp;" (Disposal)",Lists!$C$72:$R$232,COLUMNS(Lists!$C$69:J$69),0)*VLOOKUP(BJ$3,Conversions!$B$12:$E$34,4,0),$I169*VLOOKUP($F169,Lists!$C$72:$R$232,COLUMNS(Lists!$C$69:J$69),0)*VLOOKUP(BJ$3,Conversions!$B$12:$E$34,4,0)))</f>
        <v>0</v>
      </c>
      <c r="AV169" s="333">
        <f>IF($F169="",0,IF($F169="Weighted Average",$I169*VLOOKUP($D169&amp;" (Disposal)",Lists!$C$72:$R$232,COLUMNS(Lists!$C$69:K$69),0)*VLOOKUP(BK$3,Conversions!$B$12:$E$34,4,0),$I169*VLOOKUP($F169,Lists!$C$72:$R$232,COLUMNS(Lists!$C$69:K$69),0)*VLOOKUP(BK$3,Conversions!$B$12:$E$34,4,0)))</f>
        <v>0</v>
      </c>
      <c r="AW169" s="333">
        <f>IF($F169="",0,IF($F169="Weighted Average",$I169*VLOOKUP($D169&amp;" (Disposal)",Lists!$C$72:$R$232,COLUMNS(Lists!$C$69:L$69),0)*VLOOKUP(BL$3,Conversions!$B$12:$E$34,4,0),$I169*VLOOKUP($F169,Lists!$C$72:$R$232,COLUMNS(Lists!$C$69:L$69),0)*VLOOKUP(BL$3,Conversions!$B$12:$E$34,4,0)))</f>
        <v>0</v>
      </c>
      <c r="AX169" s="333">
        <f>IF($F169="",0,IF($F169="Weighted Average",$I169*VLOOKUP($D169&amp;" (Disposal)",Lists!$C$72:$R$232,COLUMNS(Lists!$C$69:M$69),0)*VLOOKUP(BM$3,Conversions!$B$12:$E$34,4,0),$I169*VLOOKUP($F169,Lists!$C$72:$R$232,COLUMNS(Lists!$C$69:M$69),0)*VLOOKUP(BM$3,Conversions!$B$12:$E$34,4,0)))</f>
        <v>0</v>
      </c>
      <c r="AY169" s="333">
        <f>IF($F169="",0,IF($F169="Weighted Average",$I169*VLOOKUP($D169&amp;" (Disposal)",Lists!$C$72:$R$232,COLUMNS(Lists!$C$69:N$69),0)*VLOOKUP(BN$3,Conversions!$B$12:$E$34,4,0),$I169*VLOOKUP($F169,Lists!$C$72:$R$232,COLUMNS(Lists!$C$69:N$69),0)*VLOOKUP(BN$3,Conversions!$B$12:$E$34,4,0)))</f>
        <v>0</v>
      </c>
      <c r="AZ169" s="333">
        <f>IF($F169="",0,IF($F169="Weighted Average",$I169*VLOOKUP($D169&amp;" (Disposal)",Lists!$C$72:$R$232,COLUMNS(Lists!$C$69:O$69),0)*VLOOKUP(BO$3,Conversions!$B$12:$E$34,4,0),$I169*VLOOKUP($F169,Lists!$C$72:$R$232,COLUMNS(Lists!$C$69:O$69),0)*VLOOKUP(BO$3,Conversions!$B$12:$E$34,4,0)))</f>
        <v>0</v>
      </c>
      <c r="BA169" s="333">
        <f>IF($F169="",0,IF($F169="Weighted Average",$I169*VLOOKUP($D169&amp;" (Disposal)",Lists!$C$72:$R$232,COLUMNS(Lists!$C$69:P$69),0)*VLOOKUP(BP$3,Conversions!$B$12:$E$34,4,0),$I169*VLOOKUP($F169,Lists!$C$72:$R$232,COLUMNS(Lists!$C$69:P$69),0)*VLOOKUP(BP$3,Conversions!$B$12:$E$34,4,0)))</f>
        <v>0</v>
      </c>
      <c r="BB169" s="333">
        <f>IF($F169="",0,IF($F169="Weighted Average",$I169*VLOOKUP($D169&amp;" (Disposal)",Lists!$C$72:$R$232,COLUMNS(Lists!$C$69:Q$69),0)*VLOOKUP(BQ$3,Conversions!$B$12:$E$34,4,0),$I169*VLOOKUP($F169,Lists!$C$72:$R$232,COLUMNS(Lists!$C$69:Q$69),0)*VLOOKUP(BQ$3,Conversions!$B$12:$E$34,4,0)))</f>
        <v>0</v>
      </c>
      <c r="BC169" s="333">
        <f>IF($F169="",0,IF($F169="Weighted Average",$I169*VLOOKUP($D169&amp;" (Disposal)",Lists!$C$72:$R$232,COLUMNS(Lists!$C$69:R$69),0)*VLOOKUP(BR$3,Conversions!$B$12:$E$34,4,0),$I169*VLOOKUP($F169,Lists!$C$72:$R$232,COLUMNS(Lists!$C$69:R$69),0)*VLOOKUP(BR$3,Conversions!$B$12:$E$34,4,0)))</f>
        <v>0</v>
      </c>
      <c r="BD169" s="333">
        <f t="shared" si="232"/>
        <v>0</v>
      </c>
      <c r="BE169" s="330">
        <f t="shared" si="233"/>
        <v>0</v>
      </c>
      <c r="BF169" s="330">
        <f t="shared" si="214"/>
        <v>0</v>
      </c>
      <c r="BG169" s="330">
        <f t="shared" si="215"/>
        <v>0</v>
      </c>
      <c r="BH169" s="330">
        <f t="shared" si="216"/>
        <v>0</v>
      </c>
      <c r="BI169" s="330">
        <f t="shared" si="217"/>
        <v>0</v>
      </c>
      <c r="BJ169" s="330">
        <f t="shared" si="218"/>
        <v>0</v>
      </c>
      <c r="BK169" s="330">
        <f t="shared" si="219"/>
        <v>0</v>
      </c>
      <c r="BL169" s="330">
        <f t="shared" si="220"/>
        <v>0</v>
      </c>
      <c r="BM169" s="330">
        <f t="shared" si="221"/>
        <v>0</v>
      </c>
      <c r="BN169" s="330">
        <f t="shared" si="222"/>
        <v>0</v>
      </c>
      <c r="BO169" s="330">
        <f t="shared" si="223"/>
        <v>0</v>
      </c>
      <c r="BP169" s="330">
        <f t="shared" si="224"/>
        <v>0</v>
      </c>
      <c r="BQ169" s="330">
        <f t="shared" si="225"/>
        <v>0</v>
      </c>
      <c r="BR169" s="330">
        <f t="shared" si="226"/>
        <v>0</v>
      </c>
      <c r="BS169" s="330">
        <f t="shared" si="227"/>
        <v>0</v>
      </c>
      <c r="BT169" s="329">
        <f>IF($F169="",0,IF($F169="Weighted Average",$BS169*VLOOKUP($D169,'Default Values'!$B$78:$V$97,COLUMNS('Default Values'!$B$77:G$77),0),0))</f>
        <v>0</v>
      </c>
      <c r="BU169" s="329">
        <f>IF($F169="",0,IF($F169="Weighted Average",$BS169*VLOOKUP($D169,'Default Values'!$B$78:$V$97,COLUMNS('Default Values'!$B$77:H$77),0),0))</f>
        <v>0</v>
      </c>
      <c r="BV169" s="329">
        <f>IF($F169="",0,IF($F169="Weighted Average",$BS169*VLOOKUP($D169,'Default Values'!$B$78:$V$97,COLUMNS('Default Values'!$B$77:I$77),0),0))</f>
        <v>0</v>
      </c>
      <c r="BW169" s="329">
        <f>IF($F169="",0,IF($F169="Weighted Average",$BS169*VLOOKUP($D169,'Default Values'!$B$78:$V$97,COLUMNS('Default Values'!$B$77:J$77),0),0))</f>
        <v>0</v>
      </c>
      <c r="BX169" s="329">
        <f>IF($F169="",0,IF($F169="Weighted Average",$BS169*VLOOKUP($D169,'Default Values'!$B$78:$V$97,COLUMNS('Default Values'!$B$77:K$77),0),0))</f>
        <v>0</v>
      </c>
      <c r="BY169" s="329">
        <f>IF($F169="",0,IF($F169="Weighted Average",$BS169*VLOOKUP($D169,'Default Values'!$B$78:$V$97,COLUMNS('Default Values'!$B$77:L$77),0),0))</f>
        <v>0</v>
      </c>
      <c r="BZ169" s="329">
        <f>IF($F169="",0,IF($F169="Weighted Average",$BS169*VLOOKUP($D169,'Default Values'!$B$78:$V$97,COLUMNS('Default Values'!$B$77:M$77),0),0))</f>
        <v>0</v>
      </c>
      <c r="CA169" s="329">
        <f>IF($F169="",0,IF($F169="Weighted Average",$BS169*VLOOKUP($D169,'Default Values'!$B$78:$V$97,COLUMNS('Default Values'!$B$77:N$77),0),0))</f>
        <v>0</v>
      </c>
      <c r="CB169" s="329">
        <f>IF($F169="",0,IF($F169="Weighted Average",$BS169*VLOOKUP($D169,'Default Values'!$B$78:$V$97,COLUMNS('Default Values'!$B$77:O$77),0),0))</f>
        <v>0</v>
      </c>
      <c r="CC169" s="329">
        <f>IF($F169="",0,IF($F169="Weighted Average",$BS169*VLOOKUP($D169,'Default Values'!$B$78:$V$97,COLUMNS('Default Values'!$B$77:P$77),0),0))</f>
        <v>0</v>
      </c>
      <c r="CD169" s="329">
        <f>IF($F169="",0,IF($F169="Weighted Average",$BS169*VLOOKUP($D169,'Default Values'!$B$78:$V$97,COLUMNS('Default Values'!$B$77:Q$77),0),0))</f>
        <v>0</v>
      </c>
      <c r="CE169" s="329">
        <f>IF($F169="",0,IF($F169="Weighted Average",$BS169*VLOOKUP($D169,'Default Values'!$B$78:$V$97,COLUMNS('Default Values'!$B$77:R$77),0),0))</f>
        <v>0</v>
      </c>
      <c r="CF169" s="329">
        <f>IF($F169="",0,IF($F169="Weighted Average",$BS169*VLOOKUP($D169,'Default Values'!$B$78:$V$97,COLUMNS('Default Values'!$B$77:S$77),0),0))</f>
        <v>0</v>
      </c>
      <c r="CG169" s="329">
        <f>IF($F169="",0,IF($F169="Weighted Average",$BS169*VLOOKUP($D169,'Default Values'!$B$78:$V$97,COLUMNS('Default Values'!$B$77:T$77),0),0))</f>
        <v>0</v>
      </c>
      <c r="CH169" s="329">
        <f>IF($F169="",0,IF($F169="Weighted Average",$BS169*VLOOKUP($D169,'Default Values'!$B$78:$V$97,COLUMNS('Default Values'!$B$77:U$77),0),0))</f>
        <v>0</v>
      </c>
      <c r="CI169" s="329">
        <f>IF($F169="",0,IF($F169="Weighted Average",$BS169*VLOOKUP($D169,'Default Values'!$B$78:$V$97,COLUMNS('Default Values'!$B$77:V$77),0),0))</f>
        <v>0</v>
      </c>
      <c r="CJ169" s="331">
        <f t="shared" si="200"/>
        <v>0</v>
      </c>
      <c r="CK169" s="330">
        <f t="shared" si="201"/>
        <v>0</v>
      </c>
      <c r="CL169" s="330">
        <f t="shared" si="202"/>
        <v>0</v>
      </c>
      <c r="CM169" s="330">
        <f t="shared" si="203"/>
        <v>0</v>
      </c>
      <c r="CN169" s="330">
        <f t="shared" si="204"/>
        <v>0</v>
      </c>
      <c r="CO169" s="330">
        <f t="shared" si="205"/>
        <v>0</v>
      </c>
      <c r="CP169" s="330">
        <f t="shared" si="206"/>
        <v>0</v>
      </c>
      <c r="CQ169" s="330">
        <f t="shared" si="186"/>
        <v>0</v>
      </c>
      <c r="CR169" s="330">
        <f t="shared" si="207"/>
        <v>0</v>
      </c>
      <c r="CS169" s="330">
        <f t="shared" si="208"/>
        <v>0</v>
      </c>
      <c r="CT169" s="330">
        <f t="shared" si="209"/>
        <v>0</v>
      </c>
      <c r="CU169" s="330">
        <f t="shared" si="228"/>
        <v>0</v>
      </c>
      <c r="CV169" s="330">
        <f t="shared" si="228"/>
        <v>0</v>
      </c>
      <c r="CW169" s="330">
        <f t="shared" si="228"/>
        <v>0</v>
      </c>
      <c r="CX169" s="330">
        <f t="shared" si="228"/>
        <v>0</v>
      </c>
      <c r="CY169" s="330">
        <f t="shared" si="228"/>
        <v>0</v>
      </c>
      <c r="CZ169" s="330">
        <f t="shared" si="228"/>
        <v>0</v>
      </c>
      <c r="DA169" s="330">
        <f t="shared" si="228"/>
        <v>0</v>
      </c>
      <c r="DB169" s="330">
        <f t="shared" si="228"/>
        <v>0</v>
      </c>
      <c r="DC169" s="330">
        <f t="shared" si="228"/>
        <v>0</v>
      </c>
      <c r="DD169" s="330">
        <f t="shared" si="228"/>
        <v>0</v>
      </c>
      <c r="DE169" s="330">
        <f t="shared" si="229"/>
        <v>0</v>
      </c>
      <c r="DF169" s="330">
        <f t="shared" si="229"/>
        <v>0</v>
      </c>
      <c r="DG169" s="330">
        <f t="shared" si="229"/>
        <v>0</v>
      </c>
      <c r="DH169" s="330">
        <f t="shared" si="229"/>
        <v>0</v>
      </c>
      <c r="DI169" s="330">
        <f t="shared" si="229"/>
        <v>0</v>
      </c>
      <c r="DJ169" s="330">
        <f t="shared" si="229"/>
        <v>0</v>
      </c>
      <c r="DK169" s="330">
        <f t="shared" si="229"/>
        <v>0</v>
      </c>
      <c r="DL169" s="330">
        <f t="shared" si="229"/>
        <v>0</v>
      </c>
      <c r="DM169" s="330">
        <f t="shared" si="229"/>
        <v>0</v>
      </c>
      <c r="DN169" s="330">
        <f t="shared" si="229"/>
        <v>0</v>
      </c>
      <c r="DO169" s="330">
        <f t="shared" si="229"/>
        <v>0</v>
      </c>
      <c r="DP169" s="330">
        <f t="shared" si="213"/>
        <v>0</v>
      </c>
      <c r="DQ169" s="217"/>
      <c r="DR169" s="217"/>
      <c r="DS169" s="217"/>
      <c r="DT169" s="217"/>
    </row>
    <row r="170" spans="1:124" x14ac:dyDescent="0.3">
      <c r="A170" s="324"/>
      <c r="B170" s="221" t="s">
        <v>307</v>
      </c>
      <c r="C170" s="221" t="str">
        <f>IF('Simplified Screening 2'!C21=0,"",'Simplified Screening 2'!C21)</f>
        <v/>
      </c>
      <c r="D170" s="221" t="str">
        <f>IF('Simplified Screening 2'!D21=0,"",'Simplified Screening 2'!D21)</f>
        <v/>
      </c>
      <c r="E170" s="221"/>
      <c r="F170" s="221" t="str">
        <f>'Simplified Screening 2'!J21</f>
        <v/>
      </c>
      <c r="G170" s="335" t="str">
        <f>IF(D170="","",'Simplified Screening 2'!G21/1000*VLOOKUP(D170,'Default Values'!$B$78:$F$97,COLUMNS('Default Values'!$B$77:$D$77),0)/1000)</f>
        <v/>
      </c>
      <c r="H170" s="335" t="str">
        <f>IF(D170="","",'Simplified Screening 2'!G21/1000*VLOOKUP(D170,'Default Values'!$B$78:$F$97,COLUMNS('Default Values'!$B$77:$E$77),0)/1000)</f>
        <v/>
      </c>
      <c r="I170" s="335" t="str">
        <f>IF(D170="","",'Simplified Screening 2'!G21/1000*VLOOKUP(D170,'Default Values'!$B$78:$F$97,COLUMNS('Default Values'!$B$77:$F$77),0)/1000)</f>
        <v/>
      </c>
      <c r="J170" s="325">
        <f>IF('Simplified Screening 2'!H21=0,0,'Simplified Screening 2'!H21)</f>
        <v>0</v>
      </c>
      <c r="K170" s="465"/>
      <c r="L170" s="333">
        <f>IF($F170="",0,IF($F170="Weighted Average",$G170*VLOOKUP($D170&amp;" (Install)",Lists!$C$72:$R$232,COLUMNS(Lists!$C$69:E$69),0)*VLOOKUP(BE$3,Conversions!$B$12:$E$34,4,0),$G170*VLOOKUP($F170,Lists!$C$72:$R$232,COLUMNS(Lists!$C$69:E$69),0)*VLOOKUP(BE$3,Conversions!$B$12:$E$34,4,0)))</f>
        <v>0</v>
      </c>
      <c r="M170" s="333">
        <f>IF($F170="",0,IF($F170="Weighted Average",$G170*VLOOKUP($D170&amp;" (Install)",Lists!$C$72:$R$232,COLUMNS(Lists!$C$69:F$69),0)*VLOOKUP(BF$3,Conversions!$B$12:$E$34,4,0),$G170*VLOOKUP($F170,Lists!$C$72:$R$232,COLUMNS(Lists!$C$69:F$69),0)*VLOOKUP(BF$3,Conversions!$B$12:$E$34,4,0)))</f>
        <v>0</v>
      </c>
      <c r="N170" s="333">
        <f>IF($F170="",0,IF($F170="Weighted Average",$G170*VLOOKUP($D170&amp;" (Install)",Lists!$C$72:$R$232,COLUMNS(Lists!$C$69:G$69),0)*VLOOKUP(BG$3,Conversions!$B$12:$E$34,4,0),$G170*VLOOKUP($F170,Lists!$C$72:$R$232,COLUMNS(Lists!$C$69:G$69),0)*VLOOKUP(BG$3,Conversions!$B$12:$E$34,4,0)))</f>
        <v>0</v>
      </c>
      <c r="O170" s="333">
        <f>IF($F170="",0,IF($F170="Weighted Average",$G170*VLOOKUP($D170&amp;" (Install)",Lists!$C$72:$R$232,COLUMNS(Lists!$C$69:H$69),0)*VLOOKUP(BH$3,Conversions!$B$12:$E$34,4,0),$G170*VLOOKUP($F170,Lists!$C$72:$R$232,COLUMNS(Lists!$C$69:H$69),0)*VLOOKUP(BH$3,Conversions!$B$12:$E$34,4,0)))</f>
        <v>0</v>
      </c>
      <c r="P170" s="333">
        <f>IF($F170="",0,IF($F170="Weighted Average",$G170*VLOOKUP($D170&amp;" (Install)",Lists!$C$72:$R$232,COLUMNS(Lists!$C$69:I$69),0)*VLOOKUP(BI$3,Conversions!$B$12:$E$34,4,0),$G170*VLOOKUP($F170,Lists!$C$72:$R$232,COLUMNS(Lists!$C$69:I$69),0)*VLOOKUP(BI$3,Conversions!$B$12:$E$34,4,0)))</f>
        <v>0</v>
      </c>
      <c r="Q170" s="333">
        <f>IF($F170="",0,IF($F170="Weighted Average",$G170*VLOOKUP($D170&amp;" (Install)",Lists!$C$72:$R$232,COLUMNS(Lists!$C$69:J$69),0)*VLOOKUP(BJ$3,Conversions!$B$12:$E$34,4,0),$G170*VLOOKUP($F170,Lists!$C$72:$R$232,COLUMNS(Lists!$C$69:J$69),0)*VLOOKUP(BJ$3,Conversions!$B$12:$E$34,4,0)))</f>
        <v>0</v>
      </c>
      <c r="R170" s="333">
        <f>IF($F170="",0,IF($F170="Weighted Average",$G170*VLOOKUP($D170&amp;" (Install)",Lists!$C$72:$R$232,COLUMNS(Lists!$C$69:K$69),0)*VLOOKUP(BK$3,Conversions!$B$12:$E$34,4,0),$G170*VLOOKUP($F170,Lists!$C$72:$R$232,COLUMNS(Lists!$C$69:K$69),0)*VLOOKUP(BK$3,Conversions!$B$12:$E$34,4,0)))</f>
        <v>0</v>
      </c>
      <c r="S170" s="333">
        <f>IF($F170="",0,IF($F170="Weighted Average",$G170*VLOOKUP($D170&amp;" (Install)",Lists!$C$72:$R$232,COLUMNS(Lists!$C$69:L$69),0)*VLOOKUP(BL$3,Conversions!$B$12:$E$34,4,0),$G170*VLOOKUP($F170,Lists!$C$72:$R$232,COLUMNS(Lists!$C$69:L$69),0)*VLOOKUP(BL$3,Conversions!$B$12:$E$34,4,0)))</f>
        <v>0</v>
      </c>
      <c r="T170" s="333">
        <f>IF($F170="",0,IF($F170="Weighted Average",$G170*VLOOKUP($D170&amp;" (Install)",Lists!$C$72:$R$232,COLUMNS(Lists!$C$69:M$69),0)*VLOOKUP(BM$3,Conversions!$B$12:$E$34,4,0),$G170*VLOOKUP($F170,Lists!$C$72:$R$232,COLUMNS(Lists!$C$69:M$69),0)*VLOOKUP(BM$3,Conversions!$B$12:$E$34,4,0)))</f>
        <v>0</v>
      </c>
      <c r="U170" s="333">
        <f>IF($F170="",0,IF($F170="Weighted Average",$G170*VLOOKUP($D170&amp;" (Install)",Lists!$C$72:$R$232,COLUMNS(Lists!$C$69:N$69),0)*VLOOKUP(BN$3,Conversions!$B$12:$E$34,4,0),$G170*VLOOKUP($F170,Lists!$C$72:$R$232,COLUMNS(Lists!$C$69:N$69),0)*VLOOKUP(BN$3,Conversions!$B$12:$E$34,4,0)))</f>
        <v>0</v>
      </c>
      <c r="V170" s="333">
        <f>IF($F170="",0,IF($F170="Weighted Average",$G170*VLOOKUP($D170&amp;" (Install)",Lists!$C$72:$R$232,COLUMNS(Lists!$C$69:O$69),0)*VLOOKUP(BO$3,Conversions!$B$12:$E$34,4,0),$G170*VLOOKUP($F170,Lists!$C$72:$R$232,COLUMNS(Lists!$C$69:O$69),0)*VLOOKUP(BO$3,Conversions!$B$12:$E$34,4,0)))</f>
        <v>0</v>
      </c>
      <c r="W170" s="333">
        <f>IF($F170="",0,IF($F170="Weighted Average",$G170*VLOOKUP($D170&amp;" (Install)",Lists!$C$72:$R$232,COLUMNS(Lists!$C$69:P$69),0)*VLOOKUP(BP$3,Conversions!$B$12:$E$34,4,0),$G170*VLOOKUP($F170,Lists!$C$72:$R$232,COLUMNS(Lists!$C$69:P$69),0)*VLOOKUP(BP$3,Conversions!$B$12:$E$34,4,0)))</f>
        <v>0</v>
      </c>
      <c r="X170" s="333">
        <f>IF($F170="",0,IF($F170="Weighted Average",$G170*VLOOKUP($D170&amp;" (Install)",Lists!$C$72:$R$232,COLUMNS(Lists!$C$69:Q$69),0)*VLOOKUP(BQ$3,Conversions!$B$12:$E$34,4,0),$G170*VLOOKUP($F170,Lists!$C$72:$R$232,COLUMNS(Lists!$C$69:Q$69),0)*VLOOKUP(BQ$3,Conversions!$B$12:$E$34,4,0)))</f>
        <v>0</v>
      </c>
      <c r="Y170" s="333">
        <f>IF($F170="",0,IF($F170="Weighted Average",$G170*VLOOKUP($D170&amp;" (Install)",Lists!$C$72:$R$232,COLUMNS(Lists!$C$69:R$69),0)*VLOOKUP(BR$3,Conversions!$B$12:$E$34,4,0),$G170*VLOOKUP($F170,Lists!$C$72:$R$232,COLUMNS(Lists!$C$69:R$69),0)*VLOOKUP(BR$3,Conversions!$B$12:$E$34,4,0)))</f>
        <v>0</v>
      </c>
      <c r="Z170" s="325">
        <f t="shared" si="230"/>
        <v>0</v>
      </c>
      <c r="AA170" s="334">
        <f>IF($F170="",0,IF($F170="Weighted Average",$H170*VLOOKUP($D170&amp;" (Operation)",Lists!$C$72:$R$232,COLUMNS(Lists!$C$69:E$69),0)*VLOOKUP(BE$3,Conversions!$B$12:$E$34,4,0),$H170*VLOOKUP($F170,Lists!$C$72:$R$232,COLUMNS(Lists!$C$69:E$69),0)*VLOOKUP(BE$3,Conversions!$B$12:$E$34,4,0)))</f>
        <v>0</v>
      </c>
      <c r="AB170" s="334">
        <f>IF($F170="",0,IF($F170="Weighted Average",$H170*VLOOKUP($D170&amp;" (Operation)",Lists!$C$72:$R$232,COLUMNS(Lists!$C$69:F$69),0)*VLOOKUP(BF$3,Conversions!$B$12:$E$34,4,0),$H170*VLOOKUP($F170,Lists!$C$72:$R$232,COLUMNS(Lists!$C$69:F$69),0)*VLOOKUP(BF$3,Conversions!$B$12:$E$34,4,0)))</f>
        <v>0</v>
      </c>
      <c r="AC170" s="334">
        <f>IF($F170="",0,IF($F170="Weighted Average",$H170*VLOOKUP($D170&amp;" (Operation)",Lists!$C$72:$R$232,COLUMNS(Lists!$C$69:G$69),0)*VLOOKUP(BG$3,Conversions!$B$12:$E$34,4,0),$H170*VLOOKUP($F170,Lists!$C$72:$R$232,COLUMNS(Lists!$C$69:G$69),0)*VLOOKUP(BG$3,Conversions!$B$12:$E$34,4,0)))</f>
        <v>0</v>
      </c>
      <c r="AD170" s="334">
        <f>IF($F170="",0,IF($F170="Weighted Average",$H170*VLOOKUP($D170&amp;" (Operation)",Lists!$C$72:$R$232,COLUMNS(Lists!$C$69:H$69),0)*VLOOKUP(BH$3,Conversions!$B$12:$E$34,4,0),$H170*VLOOKUP($F170,Lists!$C$72:$R$232,COLUMNS(Lists!$C$69:H$69),0)*VLOOKUP(BH$3,Conversions!$B$12:$E$34,4,0)))</f>
        <v>0</v>
      </c>
      <c r="AE170" s="334">
        <f>IF($F170="",0,IF($F170="Weighted Average",$H170*VLOOKUP($D170&amp;" (Operation)",Lists!$C$72:$R$232,COLUMNS(Lists!$C$69:I$69),0)*VLOOKUP(BI$3,Conversions!$B$12:$E$34,4,0),$H170*VLOOKUP($F170,Lists!$C$72:$R$232,COLUMNS(Lists!$C$69:I$69),0)*VLOOKUP(BI$3,Conversions!$B$12:$E$34,4,0)))</f>
        <v>0</v>
      </c>
      <c r="AF170" s="334">
        <f>IF($F170="",0,IF($F170="Weighted Average",$H170*VLOOKUP($D170&amp;" (Operation)",Lists!$C$72:$R$232,COLUMNS(Lists!$C$69:J$69),0)*VLOOKUP(BJ$3,Conversions!$B$12:$E$34,4,0),$H170*VLOOKUP($F170,Lists!$C$72:$R$232,COLUMNS(Lists!$C$69:J$69),0)*VLOOKUP(BJ$3,Conversions!$B$12:$E$34,4,0)))</f>
        <v>0</v>
      </c>
      <c r="AG170" s="334">
        <f>IF($F170="",0,IF($F170="Weighted Average",$H170*VLOOKUP($D170&amp;" (Operation)",Lists!$C$72:$R$232,COLUMNS(Lists!$C$69:K$69),0)*VLOOKUP(BK$3,Conversions!$B$12:$E$34,4,0),$H170*VLOOKUP($F170,Lists!$C$72:$R$232,COLUMNS(Lists!$C$69:K$69),0)*VLOOKUP(BK$3,Conversions!$B$12:$E$34,4,0)))</f>
        <v>0</v>
      </c>
      <c r="AH170" s="334">
        <f>IF($F170="",0,IF($F170="Weighted Average",$H170*VLOOKUP($D170&amp;" (Operation)",Lists!$C$72:$R$232,COLUMNS(Lists!$C$69:L$69),0)*VLOOKUP(BL$3,Conversions!$B$12:$E$34,4,0),$H170*VLOOKUP($F170,Lists!$C$72:$R$232,COLUMNS(Lists!$C$69:L$69),0)*VLOOKUP(BL$3,Conversions!$B$12:$E$34,4,0)))</f>
        <v>0</v>
      </c>
      <c r="AI170" s="334">
        <f>IF($F170="",0,IF($F170="Weighted Average",$H170*VLOOKUP($D170&amp;" (Operation)",Lists!$C$72:$R$232,COLUMNS(Lists!$C$69:M$69),0)*VLOOKUP(BM$3,Conversions!$B$12:$E$34,4,0),$H170*VLOOKUP($F170,Lists!$C$72:$R$232,COLUMNS(Lists!$C$69:M$69),0)*VLOOKUP(BM$3,Conversions!$B$12:$E$34,4,0)))</f>
        <v>0</v>
      </c>
      <c r="AJ170" s="334">
        <f>IF($F170="",0,IF($F170="Weighted Average",$H170*VLOOKUP($D170&amp;" (Operation)",Lists!$C$72:$R$232,COLUMNS(Lists!$C$69:N$69),0)*VLOOKUP(BN$3,Conversions!$B$12:$E$34,4,0),$H170*VLOOKUP($F170,Lists!$C$72:$R$232,COLUMNS(Lists!$C$69:N$69),0)*VLOOKUP(BN$3,Conversions!$B$12:$E$34,4,0)))</f>
        <v>0</v>
      </c>
      <c r="AK170" s="334">
        <f>IF($F170="",0,IF($F170="Weighted Average",$H170*VLOOKUP($D170&amp;" (Operation)",Lists!$C$72:$R$232,COLUMNS(Lists!$C$69:O$69),0)*VLOOKUP(BO$3,Conversions!$B$12:$E$34,4,0),$H170*VLOOKUP($F170,Lists!$C$72:$R$232,COLUMNS(Lists!$C$69:O$69),0)*VLOOKUP(BO$3,Conversions!$B$12:$E$34,4,0)))</f>
        <v>0</v>
      </c>
      <c r="AL170" s="334">
        <f>IF($F170="",0,IF($F170="Weighted Average",$H170*VLOOKUP($D170&amp;" (Operation)",Lists!$C$72:$R$232,COLUMNS(Lists!$C$69:P$69),0)*VLOOKUP(BP$3,Conversions!$B$12:$E$34,4,0),$H170*VLOOKUP($F170,Lists!$C$72:$R$232,COLUMNS(Lists!$C$69:P$69),0)*VLOOKUP(BP$3,Conversions!$B$12:$E$34,4,0)))</f>
        <v>0</v>
      </c>
      <c r="AM170" s="334">
        <f>IF($F170="",0,IF($F170="Weighted Average",$H170*VLOOKUP($D170&amp;" (Operation)",Lists!$C$72:$R$232,COLUMNS(Lists!$C$69:Q$69),0)*VLOOKUP(BQ$3,Conversions!$B$12:$E$34,4,0),$H170*VLOOKUP($F170,Lists!$C$72:$R$232,COLUMNS(Lists!$C$69:Q$69),0)*VLOOKUP(BQ$3,Conversions!$B$12:$E$34,4,0)))</f>
        <v>0</v>
      </c>
      <c r="AN170" s="334">
        <f>IF($F170="",0,IF($F170="Weighted Average",$H170*VLOOKUP($D170&amp;" (Operation)",Lists!$C$72:$R$232,COLUMNS(Lists!$C$69:R$69),0)*VLOOKUP(BR$3,Conversions!$B$12:$E$34,4,0),$H170*VLOOKUP($F170,Lists!$C$72:$R$232,COLUMNS(Lists!$C$69:R$69),0)*VLOOKUP(BR$3,Conversions!$B$12:$E$34,4,0)))</f>
        <v>0</v>
      </c>
      <c r="AO170" s="330">
        <f t="shared" si="231"/>
        <v>0</v>
      </c>
      <c r="AP170" s="333">
        <f>IF($F170="",0,IF($F170="Weighted Average",$I170*VLOOKUP($D170&amp;" (Disposal)",Lists!$C$72:$R$232,COLUMNS(Lists!$C$69:E$69),0)*VLOOKUP(BE$3,Conversions!$B$12:$E$34,4,0),$I170*VLOOKUP($F170,Lists!$C$72:$R$232,COLUMNS(Lists!$C$69:E$69),0)*VLOOKUP(BE$3,Conversions!$B$12:$E$34,4,0)))</f>
        <v>0</v>
      </c>
      <c r="AQ170" s="333">
        <f>IF($F170="",0,IF($F170="Weighted Average",$I170*VLOOKUP($D170&amp;" (Disposal)",Lists!$C$72:$R$232,COLUMNS(Lists!$C$69:F$69),0)*VLOOKUP(BF$3,Conversions!$B$12:$E$34,4,0),$I170*VLOOKUP($F170,Lists!$C$72:$R$232,COLUMNS(Lists!$C$69:F$69),0)*VLOOKUP(BF$3,Conversions!$B$12:$E$34,4,0)))</f>
        <v>0</v>
      </c>
      <c r="AR170" s="333">
        <f>IF($F170="",0,IF($F170="Weighted Average",$I170*VLOOKUP($D170&amp;" (Disposal)",Lists!$C$72:$R$232,COLUMNS(Lists!$C$69:G$69),0)*VLOOKUP(BG$3,Conversions!$B$12:$E$34,4,0),$I170*VLOOKUP($F170,Lists!$C$72:$R$232,COLUMNS(Lists!$C$69:G$69),0)*VLOOKUP(BG$3,Conversions!$B$12:$E$34,4,0)))</f>
        <v>0</v>
      </c>
      <c r="AS170" s="333">
        <f>IF($F170="",0,IF($F170="Weighted Average",$I170*VLOOKUP($D170&amp;" (Disposal)",Lists!$C$72:$R$232,COLUMNS(Lists!$C$69:H$69),0)*VLOOKUP(BH$3,Conversions!$B$12:$E$34,4,0),$I170*VLOOKUP($F170,Lists!$C$72:$R$232,COLUMNS(Lists!$C$69:H$69),0)*VLOOKUP(BH$3,Conversions!$B$12:$E$34,4,0)))</f>
        <v>0</v>
      </c>
      <c r="AT170" s="333">
        <f>IF($F170="",0,IF($F170="Weighted Average",$I170*VLOOKUP($D170&amp;" (Disposal)",Lists!$C$72:$R$232,COLUMNS(Lists!$C$69:I$69),0)*VLOOKUP(BI$3,Conversions!$B$12:$E$34,4,0),$I170*VLOOKUP($F170,Lists!$C$72:$R$232,COLUMNS(Lists!$C$69:I$69),0)*VLOOKUP(BI$3,Conversions!$B$12:$E$34,4,0)))</f>
        <v>0</v>
      </c>
      <c r="AU170" s="333">
        <f>IF($F170="",0,IF($F170="Weighted Average",$I170*VLOOKUP($D170&amp;" (Disposal)",Lists!$C$72:$R$232,COLUMNS(Lists!$C$69:J$69),0)*VLOOKUP(BJ$3,Conversions!$B$12:$E$34,4,0),$I170*VLOOKUP($F170,Lists!$C$72:$R$232,COLUMNS(Lists!$C$69:J$69),0)*VLOOKUP(BJ$3,Conversions!$B$12:$E$34,4,0)))</f>
        <v>0</v>
      </c>
      <c r="AV170" s="333">
        <f>IF($F170="",0,IF($F170="Weighted Average",$I170*VLOOKUP($D170&amp;" (Disposal)",Lists!$C$72:$R$232,COLUMNS(Lists!$C$69:K$69),0)*VLOOKUP(BK$3,Conversions!$B$12:$E$34,4,0),$I170*VLOOKUP($F170,Lists!$C$72:$R$232,COLUMNS(Lists!$C$69:K$69),0)*VLOOKUP(BK$3,Conversions!$B$12:$E$34,4,0)))</f>
        <v>0</v>
      </c>
      <c r="AW170" s="333">
        <f>IF($F170="",0,IF($F170="Weighted Average",$I170*VLOOKUP($D170&amp;" (Disposal)",Lists!$C$72:$R$232,COLUMNS(Lists!$C$69:L$69),0)*VLOOKUP(BL$3,Conversions!$B$12:$E$34,4,0),$I170*VLOOKUP($F170,Lists!$C$72:$R$232,COLUMNS(Lists!$C$69:L$69),0)*VLOOKUP(BL$3,Conversions!$B$12:$E$34,4,0)))</f>
        <v>0</v>
      </c>
      <c r="AX170" s="333">
        <f>IF($F170="",0,IF($F170="Weighted Average",$I170*VLOOKUP($D170&amp;" (Disposal)",Lists!$C$72:$R$232,COLUMNS(Lists!$C$69:M$69),0)*VLOOKUP(BM$3,Conversions!$B$12:$E$34,4,0),$I170*VLOOKUP($F170,Lists!$C$72:$R$232,COLUMNS(Lists!$C$69:M$69),0)*VLOOKUP(BM$3,Conversions!$B$12:$E$34,4,0)))</f>
        <v>0</v>
      </c>
      <c r="AY170" s="333">
        <f>IF($F170="",0,IF($F170="Weighted Average",$I170*VLOOKUP($D170&amp;" (Disposal)",Lists!$C$72:$R$232,COLUMNS(Lists!$C$69:N$69),0)*VLOOKUP(BN$3,Conversions!$B$12:$E$34,4,0),$I170*VLOOKUP($F170,Lists!$C$72:$R$232,COLUMNS(Lists!$C$69:N$69),0)*VLOOKUP(BN$3,Conversions!$B$12:$E$34,4,0)))</f>
        <v>0</v>
      </c>
      <c r="AZ170" s="333">
        <f>IF($F170="",0,IF($F170="Weighted Average",$I170*VLOOKUP($D170&amp;" (Disposal)",Lists!$C$72:$R$232,COLUMNS(Lists!$C$69:O$69),0)*VLOOKUP(BO$3,Conversions!$B$12:$E$34,4,0),$I170*VLOOKUP($F170,Lists!$C$72:$R$232,COLUMNS(Lists!$C$69:O$69),0)*VLOOKUP(BO$3,Conversions!$B$12:$E$34,4,0)))</f>
        <v>0</v>
      </c>
      <c r="BA170" s="333">
        <f>IF($F170="",0,IF($F170="Weighted Average",$I170*VLOOKUP($D170&amp;" (Disposal)",Lists!$C$72:$R$232,COLUMNS(Lists!$C$69:P$69),0)*VLOOKUP(BP$3,Conversions!$B$12:$E$34,4,0),$I170*VLOOKUP($F170,Lists!$C$72:$R$232,COLUMNS(Lists!$C$69:P$69),0)*VLOOKUP(BP$3,Conversions!$B$12:$E$34,4,0)))</f>
        <v>0</v>
      </c>
      <c r="BB170" s="333">
        <f>IF($F170="",0,IF($F170="Weighted Average",$I170*VLOOKUP($D170&amp;" (Disposal)",Lists!$C$72:$R$232,COLUMNS(Lists!$C$69:Q$69),0)*VLOOKUP(BQ$3,Conversions!$B$12:$E$34,4,0),$I170*VLOOKUP($F170,Lists!$C$72:$R$232,COLUMNS(Lists!$C$69:Q$69),0)*VLOOKUP(BQ$3,Conversions!$B$12:$E$34,4,0)))</f>
        <v>0</v>
      </c>
      <c r="BC170" s="333">
        <f>IF($F170="",0,IF($F170="Weighted Average",$I170*VLOOKUP($D170&amp;" (Disposal)",Lists!$C$72:$R$232,COLUMNS(Lists!$C$69:R$69),0)*VLOOKUP(BR$3,Conversions!$B$12:$E$34,4,0),$I170*VLOOKUP($F170,Lists!$C$72:$R$232,COLUMNS(Lists!$C$69:R$69),0)*VLOOKUP(BR$3,Conversions!$B$12:$E$34,4,0)))</f>
        <v>0</v>
      </c>
      <c r="BD170" s="333">
        <f t="shared" si="232"/>
        <v>0</v>
      </c>
      <c r="BE170" s="330">
        <f t="shared" si="233"/>
        <v>0</v>
      </c>
      <c r="BF170" s="330">
        <f t="shared" si="214"/>
        <v>0</v>
      </c>
      <c r="BG170" s="330">
        <f t="shared" si="215"/>
        <v>0</v>
      </c>
      <c r="BH170" s="330">
        <f t="shared" si="216"/>
        <v>0</v>
      </c>
      <c r="BI170" s="330">
        <f t="shared" si="217"/>
        <v>0</v>
      </c>
      <c r="BJ170" s="330">
        <f t="shared" si="218"/>
        <v>0</v>
      </c>
      <c r="BK170" s="330">
        <f t="shared" si="219"/>
        <v>0</v>
      </c>
      <c r="BL170" s="330">
        <f t="shared" si="220"/>
        <v>0</v>
      </c>
      <c r="BM170" s="330">
        <f t="shared" si="221"/>
        <v>0</v>
      </c>
      <c r="BN170" s="330">
        <f t="shared" si="222"/>
        <v>0</v>
      </c>
      <c r="BO170" s="330">
        <f t="shared" si="223"/>
        <v>0</v>
      </c>
      <c r="BP170" s="330">
        <f t="shared" si="224"/>
        <v>0</v>
      </c>
      <c r="BQ170" s="330">
        <f t="shared" si="225"/>
        <v>0</v>
      </c>
      <c r="BR170" s="330">
        <f t="shared" si="226"/>
        <v>0</v>
      </c>
      <c r="BS170" s="330">
        <f t="shared" si="227"/>
        <v>0</v>
      </c>
      <c r="BT170" s="329">
        <f>IF($F170="",0,IF($F170="Weighted Average",$BS170*VLOOKUP($D170,'Default Values'!$B$78:$V$97,COLUMNS('Default Values'!$B$77:G$77),0),0))</f>
        <v>0</v>
      </c>
      <c r="BU170" s="329">
        <f>IF($F170="",0,IF($F170="Weighted Average",$BS170*VLOOKUP($D170,'Default Values'!$B$78:$V$97,COLUMNS('Default Values'!$B$77:H$77),0),0))</f>
        <v>0</v>
      </c>
      <c r="BV170" s="329">
        <f>IF($F170="",0,IF($F170="Weighted Average",$BS170*VLOOKUP($D170,'Default Values'!$B$78:$V$97,COLUMNS('Default Values'!$B$77:I$77),0),0))</f>
        <v>0</v>
      </c>
      <c r="BW170" s="329">
        <f>IF($F170="",0,IF($F170="Weighted Average",$BS170*VLOOKUP($D170,'Default Values'!$B$78:$V$97,COLUMNS('Default Values'!$B$77:J$77),0),0))</f>
        <v>0</v>
      </c>
      <c r="BX170" s="329">
        <f>IF($F170="",0,IF($F170="Weighted Average",$BS170*VLOOKUP($D170,'Default Values'!$B$78:$V$97,COLUMNS('Default Values'!$B$77:K$77),0),0))</f>
        <v>0</v>
      </c>
      <c r="BY170" s="329">
        <f>IF($F170="",0,IF($F170="Weighted Average",$BS170*VLOOKUP($D170,'Default Values'!$B$78:$V$97,COLUMNS('Default Values'!$B$77:L$77),0),0))</f>
        <v>0</v>
      </c>
      <c r="BZ170" s="329">
        <f>IF($F170="",0,IF($F170="Weighted Average",$BS170*VLOOKUP($D170,'Default Values'!$B$78:$V$97,COLUMNS('Default Values'!$B$77:M$77),0),0))</f>
        <v>0</v>
      </c>
      <c r="CA170" s="329">
        <f>IF($F170="",0,IF($F170="Weighted Average",$BS170*VLOOKUP($D170,'Default Values'!$B$78:$V$97,COLUMNS('Default Values'!$B$77:N$77),0),0))</f>
        <v>0</v>
      </c>
      <c r="CB170" s="329">
        <f>IF($F170="",0,IF($F170="Weighted Average",$BS170*VLOOKUP($D170,'Default Values'!$B$78:$V$97,COLUMNS('Default Values'!$B$77:O$77),0),0))</f>
        <v>0</v>
      </c>
      <c r="CC170" s="329">
        <f>IF($F170="",0,IF($F170="Weighted Average",$BS170*VLOOKUP($D170,'Default Values'!$B$78:$V$97,COLUMNS('Default Values'!$B$77:P$77),0),0))</f>
        <v>0</v>
      </c>
      <c r="CD170" s="329">
        <f>IF($F170="",0,IF($F170="Weighted Average",$BS170*VLOOKUP($D170,'Default Values'!$B$78:$V$97,COLUMNS('Default Values'!$B$77:Q$77),0),0))</f>
        <v>0</v>
      </c>
      <c r="CE170" s="329">
        <f>IF($F170="",0,IF($F170="Weighted Average",$BS170*VLOOKUP($D170,'Default Values'!$B$78:$V$97,COLUMNS('Default Values'!$B$77:R$77),0),0))</f>
        <v>0</v>
      </c>
      <c r="CF170" s="329">
        <f>IF($F170="",0,IF($F170="Weighted Average",$BS170*VLOOKUP($D170,'Default Values'!$B$78:$V$97,COLUMNS('Default Values'!$B$77:S$77),0),0))</f>
        <v>0</v>
      </c>
      <c r="CG170" s="329">
        <f>IF($F170="",0,IF($F170="Weighted Average",$BS170*VLOOKUP($D170,'Default Values'!$B$78:$V$97,COLUMNS('Default Values'!$B$77:T$77),0),0))</f>
        <v>0</v>
      </c>
      <c r="CH170" s="329">
        <f>IF($F170="",0,IF($F170="Weighted Average",$BS170*VLOOKUP($D170,'Default Values'!$B$78:$V$97,COLUMNS('Default Values'!$B$77:U$77),0),0))</f>
        <v>0</v>
      </c>
      <c r="CI170" s="329">
        <f>IF($F170="",0,IF($F170="Weighted Average",$BS170*VLOOKUP($D170,'Default Values'!$B$78:$V$97,COLUMNS('Default Values'!$B$77:V$77),0),0))</f>
        <v>0</v>
      </c>
      <c r="CJ170" s="331">
        <f t="shared" si="200"/>
        <v>0</v>
      </c>
      <c r="CK170" s="330">
        <f t="shared" si="201"/>
        <v>0</v>
      </c>
      <c r="CL170" s="330">
        <f t="shared" si="202"/>
        <v>0</v>
      </c>
      <c r="CM170" s="330">
        <f t="shared" si="203"/>
        <v>0</v>
      </c>
      <c r="CN170" s="330">
        <f t="shared" si="204"/>
        <v>0</v>
      </c>
      <c r="CO170" s="330">
        <f t="shared" si="205"/>
        <v>0</v>
      </c>
      <c r="CP170" s="330">
        <f t="shared" si="206"/>
        <v>0</v>
      </c>
      <c r="CQ170" s="330">
        <f t="shared" si="186"/>
        <v>0</v>
      </c>
      <c r="CR170" s="330">
        <f t="shared" si="207"/>
        <v>0</v>
      </c>
      <c r="CS170" s="330">
        <f t="shared" si="208"/>
        <v>0</v>
      </c>
      <c r="CT170" s="330">
        <f t="shared" si="209"/>
        <v>0</v>
      </c>
      <c r="CU170" s="330">
        <f t="shared" si="228"/>
        <v>0</v>
      </c>
      <c r="CV170" s="330">
        <f t="shared" si="228"/>
        <v>0</v>
      </c>
      <c r="CW170" s="330">
        <f t="shared" si="228"/>
        <v>0</v>
      </c>
      <c r="CX170" s="330">
        <f t="shared" si="228"/>
        <v>0</v>
      </c>
      <c r="CY170" s="330">
        <f t="shared" si="228"/>
        <v>0</v>
      </c>
      <c r="CZ170" s="330">
        <f t="shared" si="228"/>
        <v>0</v>
      </c>
      <c r="DA170" s="330">
        <f t="shared" si="228"/>
        <v>0</v>
      </c>
      <c r="DB170" s="330">
        <f t="shared" si="228"/>
        <v>0</v>
      </c>
      <c r="DC170" s="330">
        <f t="shared" si="228"/>
        <v>0</v>
      </c>
      <c r="DD170" s="330">
        <f t="shared" si="228"/>
        <v>0</v>
      </c>
      <c r="DE170" s="330">
        <f t="shared" si="229"/>
        <v>0</v>
      </c>
      <c r="DF170" s="330">
        <f t="shared" si="229"/>
        <v>0</v>
      </c>
      <c r="DG170" s="330">
        <f t="shared" si="229"/>
        <v>0</v>
      </c>
      <c r="DH170" s="330">
        <f t="shared" si="229"/>
        <v>0</v>
      </c>
      <c r="DI170" s="330">
        <f t="shared" si="229"/>
        <v>0</v>
      </c>
      <c r="DJ170" s="330">
        <f t="shared" si="229"/>
        <v>0</v>
      </c>
      <c r="DK170" s="330">
        <f t="shared" si="229"/>
        <v>0</v>
      </c>
      <c r="DL170" s="330">
        <f t="shared" si="229"/>
        <v>0</v>
      </c>
      <c r="DM170" s="330">
        <f t="shared" si="229"/>
        <v>0</v>
      </c>
      <c r="DN170" s="330">
        <f t="shared" si="229"/>
        <v>0</v>
      </c>
      <c r="DO170" s="330">
        <f t="shared" si="229"/>
        <v>0</v>
      </c>
      <c r="DP170" s="330">
        <f t="shared" si="213"/>
        <v>0</v>
      </c>
      <c r="DQ170" s="217"/>
      <c r="DR170" s="217"/>
      <c r="DS170" s="217"/>
      <c r="DT170" s="217"/>
    </row>
    <row r="171" spans="1:124" x14ac:dyDescent="0.3">
      <c r="A171" s="324"/>
      <c r="B171" s="221" t="s">
        <v>307</v>
      </c>
      <c r="C171" s="221" t="str">
        <f>IF('Simplified Screening 2'!C22=0,"",'Simplified Screening 2'!C22)</f>
        <v/>
      </c>
      <c r="D171" s="221" t="str">
        <f>IF('Simplified Screening 2'!D22=0,"",'Simplified Screening 2'!D22)</f>
        <v/>
      </c>
      <c r="E171" s="221"/>
      <c r="F171" s="221" t="str">
        <f>'Simplified Screening 2'!J22</f>
        <v/>
      </c>
      <c r="G171" s="335" t="str">
        <f>IF(D171="","",'Simplified Screening 2'!G22/1000*VLOOKUP(D171,'Default Values'!$B$78:$F$97,COLUMNS('Default Values'!$B$77:$D$77),0)/1000)</f>
        <v/>
      </c>
      <c r="H171" s="335" t="str">
        <f>IF(D171="","",'Simplified Screening 2'!G22/1000*VLOOKUP(D171,'Default Values'!$B$78:$F$97,COLUMNS('Default Values'!$B$77:$E$77),0)/1000)</f>
        <v/>
      </c>
      <c r="I171" s="335" t="str">
        <f>IF(D171="","",'Simplified Screening 2'!G22/1000*VLOOKUP(D171,'Default Values'!$B$78:$F$97,COLUMNS('Default Values'!$B$77:$F$77),0)/1000)</f>
        <v/>
      </c>
      <c r="J171" s="325">
        <f>IF('Simplified Screening 2'!H22=0,0,'Simplified Screening 2'!H22)</f>
        <v>0</v>
      </c>
      <c r="K171" s="465"/>
      <c r="L171" s="333">
        <f>IF($F171="",0,IF($F171="Weighted Average",$G171*VLOOKUP($D171&amp;" (Install)",Lists!$C$72:$R$232,COLUMNS(Lists!$C$69:E$69),0)*VLOOKUP(BE$3,Conversions!$B$12:$E$34,4,0),$G171*VLOOKUP($F171,Lists!$C$72:$R$232,COLUMNS(Lists!$C$69:E$69),0)*VLOOKUP(BE$3,Conversions!$B$12:$E$34,4,0)))</f>
        <v>0</v>
      </c>
      <c r="M171" s="333">
        <f>IF($F171="",0,IF($F171="Weighted Average",$G171*VLOOKUP($D171&amp;" (Install)",Lists!$C$72:$R$232,COLUMNS(Lists!$C$69:F$69),0)*VLOOKUP(BF$3,Conversions!$B$12:$E$34,4,0),$G171*VLOOKUP($F171,Lists!$C$72:$R$232,COLUMNS(Lists!$C$69:F$69),0)*VLOOKUP(BF$3,Conversions!$B$12:$E$34,4,0)))</f>
        <v>0</v>
      </c>
      <c r="N171" s="333">
        <f>IF($F171="",0,IF($F171="Weighted Average",$G171*VLOOKUP($D171&amp;" (Install)",Lists!$C$72:$R$232,COLUMNS(Lists!$C$69:G$69),0)*VLOOKUP(BG$3,Conversions!$B$12:$E$34,4,0),$G171*VLOOKUP($F171,Lists!$C$72:$R$232,COLUMNS(Lists!$C$69:G$69),0)*VLOOKUP(BG$3,Conversions!$B$12:$E$34,4,0)))</f>
        <v>0</v>
      </c>
      <c r="O171" s="333">
        <f>IF($F171="",0,IF($F171="Weighted Average",$G171*VLOOKUP($D171&amp;" (Install)",Lists!$C$72:$R$232,COLUMNS(Lists!$C$69:H$69),0)*VLOOKUP(BH$3,Conversions!$B$12:$E$34,4,0),$G171*VLOOKUP($F171,Lists!$C$72:$R$232,COLUMNS(Lists!$C$69:H$69),0)*VLOOKUP(BH$3,Conversions!$B$12:$E$34,4,0)))</f>
        <v>0</v>
      </c>
      <c r="P171" s="333">
        <f>IF($F171="",0,IF($F171="Weighted Average",$G171*VLOOKUP($D171&amp;" (Install)",Lists!$C$72:$R$232,COLUMNS(Lists!$C$69:I$69),0)*VLOOKUP(BI$3,Conversions!$B$12:$E$34,4,0),$G171*VLOOKUP($F171,Lists!$C$72:$R$232,COLUMNS(Lists!$C$69:I$69),0)*VLOOKUP(BI$3,Conversions!$B$12:$E$34,4,0)))</f>
        <v>0</v>
      </c>
      <c r="Q171" s="333">
        <f>IF($F171="",0,IF($F171="Weighted Average",$G171*VLOOKUP($D171&amp;" (Install)",Lists!$C$72:$R$232,COLUMNS(Lists!$C$69:J$69),0)*VLOOKUP(BJ$3,Conversions!$B$12:$E$34,4,0),$G171*VLOOKUP($F171,Lists!$C$72:$R$232,COLUMNS(Lists!$C$69:J$69),0)*VLOOKUP(BJ$3,Conversions!$B$12:$E$34,4,0)))</f>
        <v>0</v>
      </c>
      <c r="R171" s="333">
        <f>IF($F171="",0,IF($F171="Weighted Average",$G171*VLOOKUP($D171&amp;" (Install)",Lists!$C$72:$R$232,COLUMNS(Lists!$C$69:K$69),0)*VLOOKUP(BK$3,Conversions!$B$12:$E$34,4,0),$G171*VLOOKUP($F171,Lists!$C$72:$R$232,COLUMNS(Lists!$C$69:K$69),0)*VLOOKUP(BK$3,Conversions!$B$12:$E$34,4,0)))</f>
        <v>0</v>
      </c>
      <c r="S171" s="333">
        <f>IF($F171="",0,IF($F171="Weighted Average",$G171*VLOOKUP($D171&amp;" (Install)",Lists!$C$72:$R$232,COLUMNS(Lists!$C$69:L$69),0)*VLOOKUP(BL$3,Conversions!$B$12:$E$34,4,0),$G171*VLOOKUP($F171,Lists!$C$72:$R$232,COLUMNS(Lists!$C$69:L$69),0)*VLOOKUP(BL$3,Conversions!$B$12:$E$34,4,0)))</f>
        <v>0</v>
      </c>
      <c r="T171" s="333">
        <f>IF($F171="",0,IF($F171="Weighted Average",$G171*VLOOKUP($D171&amp;" (Install)",Lists!$C$72:$R$232,COLUMNS(Lists!$C$69:M$69),0)*VLOOKUP(BM$3,Conversions!$B$12:$E$34,4,0),$G171*VLOOKUP($F171,Lists!$C$72:$R$232,COLUMNS(Lists!$C$69:M$69),0)*VLOOKUP(BM$3,Conversions!$B$12:$E$34,4,0)))</f>
        <v>0</v>
      </c>
      <c r="U171" s="333">
        <f>IF($F171="",0,IF($F171="Weighted Average",$G171*VLOOKUP($D171&amp;" (Install)",Lists!$C$72:$R$232,COLUMNS(Lists!$C$69:N$69),0)*VLOOKUP(BN$3,Conversions!$B$12:$E$34,4,0),$G171*VLOOKUP($F171,Lists!$C$72:$R$232,COLUMNS(Lists!$C$69:N$69),0)*VLOOKUP(BN$3,Conversions!$B$12:$E$34,4,0)))</f>
        <v>0</v>
      </c>
      <c r="V171" s="333">
        <f>IF($F171="",0,IF($F171="Weighted Average",$G171*VLOOKUP($D171&amp;" (Install)",Lists!$C$72:$R$232,COLUMNS(Lists!$C$69:O$69),0)*VLOOKUP(BO$3,Conversions!$B$12:$E$34,4,0),$G171*VLOOKUP($F171,Lists!$C$72:$R$232,COLUMNS(Lists!$C$69:O$69),0)*VLOOKUP(BO$3,Conversions!$B$12:$E$34,4,0)))</f>
        <v>0</v>
      </c>
      <c r="W171" s="333">
        <f>IF($F171="",0,IF($F171="Weighted Average",$G171*VLOOKUP($D171&amp;" (Install)",Lists!$C$72:$R$232,COLUMNS(Lists!$C$69:P$69),0)*VLOOKUP(BP$3,Conversions!$B$12:$E$34,4,0),$G171*VLOOKUP($F171,Lists!$C$72:$R$232,COLUMNS(Lists!$C$69:P$69),0)*VLOOKUP(BP$3,Conversions!$B$12:$E$34,4,0)))</f>
        <v>0</v>
      </c>
      <c r="X171" s="333">
        <f>IF($F171="",0,IF($F171="Weighted Average",$G171*VLOOKUP($D171&amp;" (Install)",Lists!$C$72:$R$232,COLUMNS(Lists!$C$69:Q$69),0)*VLOOKUP(BQ$3,Conversions!$B$12:$E$34,4,0),$G171*VLOOKUP($F171,Lists!$C$72:$R$232,COLUMNS(Lists!$C$69:Q$69),0)*VLOOKUP(BQ$3,Conversions!$B$12:$E$34,4,0)))</f>
        <v>0</v>
      </c>
      <c r="Y171" s="333">
        <f>IF($F171="",0,IF($F171="Weighted Average",$G171*VLOOKUP($D171&amp;" (Install)",Lists!$C$72:$R$232,COLUMNS(Lists!$C$69:R$69),0)*VLOOKUP(BR$3,Conversions!$B$12:$E$34,4,0),$G171*VLOOKUP($F171,Lists!$C$72:$R$232,COLUMNS(Lists!$C$69:R$69),0)*VLOOKUP(BR$3,Conversions!$B$12:$E$34,4,0)))</f>
        <v>0</v>
      </c>
      <c r="Z171" s="325">
        <f t="shared" si="230"/>
        <v>0</v>
      </c>
      <c r="AA171" s="334">
        <f>IF($F171="",0,IF($F171="Weighted Average",$H171*VLOOKUP($D171&amp;" (Operation)",Lists!$C$72:$R$232,COLUMNS(Lists!$C$69:E$69),0)*VLOOKUP(BE$3,Conversions!$B$12:$E$34,4,0),$H171*VLOOKUP($F171,Lists!$C$72:$R$232,COLUMNS(Lists!$C$69:E$69),0)*VLOOKUP(BE$3,Conversions!$B$12:$E$34,4,0)))</f>
        <v>0</v>
      </c>
      <c r="AB171" s="334">
        <f>IF($F171="",0,IF($F171="Weighted Average",$H171*VLOOKUP($D171&amp;" (Operation)",Lists!$C$72:$R$232,COLUMNS(Lists!$C$69:F$69),0)*VLOOKUP(BF$3,Conversions!$B$12:$E$34,4,0),$H171*VLOOKUP($F171,Lists!$C$72:$R$232,COLUMNS(Lists!$C$69:F$69),0)*VLOOKUP(BF$3,Conversions!$B$12:$E$34,4,0)))</f>
        <v>0</v>
      </c>
      <c r="AC171" s="334">
        <f>IF($F171="",0,IF($F171="Weighted Average",$H171*VLOOKUP($D171&amp;" (Operation)",Lists!$C$72:$R$232,COLUMNS(Lists!$C$69:G$69),0)*VLOOKUP(BG$3,Conversions!$B$12:$E$34,4,0),$H171*VLOOKUP($F171,Lists!$C$72:$R$232,COLUMNS(Lists!$C$69:G$69),0)*VLOOKUP(BG$3,Conversions!$B$12:$E$34,4,0)))</f>
        <v>0</v>
      </c>
      <c r="AD171" s="334">
        <f>IF($F171="",0,IF($F171="Weighted Average",$H171*VLOOKUP($D171&amp;" (Operation)",Lists!$C$72:$R$232,COLUMNS(Lists!$C$69:H$69),0)*VLOOKUP(BH$3,Conversions!$B$12:$E$34,4,0),$H171*VLOOKUP($F171,Lists!$C$72:$R$232,COLUMNS(Lists!$C$69:H$69),0)*VLOOKUP(BH$3,Conversions!$B$12:$E$34,4,0)))</f>
        <v>0</v>
      </c>
      <c r="AE171" s="334">
        <f>IF($F171="",0,IF($F171="Weighted Average",$H171*VLOOKUP($D171&amp;" (Operation)",Lists!$C$72:$R$232,COLUMNS(Lists!$C$69:I$69),0)*VLOOKUP(BI$3,Conversions!$B$12:$E$34,4,0),$H171*VLOOKUP($F171,Lists!$C$72:$R$232,COLUMNS(Lists!$C$69:I$69),0)*VLOOKUP(BI$3,Conversions!$B$12:$E$34,4,0)))</f>
        <v>0</v>
      </c>
      <c r="AF171" s="334">
        <f>IF($F171="",0,IF($F171="Weighted Average",$H171*VLOOKUP($D171&amp;" (Operation)",Lists!$C$72:$R$232,COLUMNS(Lists!$C$69:J$69),0)*VLOOKUP(BJ$3,Conversions!$B$12:$E$34,4,0),$H171*VLOOKUP($F171,Lists!$C$72:$R$232,COLUMNS(Lists!$C$69:J$69),0)*VLOOKUP(BJ$3,Conversions!$B$12:$E$34,4,0)))</f>
        <v>0</v>
      </c>
      <c r="AG171" s="334">
        <f>IF($F171="",0,IF($F171="Weighted Average",$H171*VLOOKUP($D171&amp;" (Operation)",Lists!$C$72:$R$232,COLUMNS(Lists!$C$69:K$69),0)*VLOOKUP(BK$3,Conversions!$B$12:$E$34,4,0),$H171*VLOOKUP($F171,Lists!$C$72:$R$232,COLUMNS(Lists!$C$69:K$69),0)*VLOOKUP(BK$3,Conversions!$B$12:$E$34,4,0)))</f>
        <v>0</v>
      </c>
      <c r="AH171" s="334">
        <f>IF($F171="",0,IF($F171="Weighted Average",$H171*VLOOKUP($D171&amp;" (Operation)",Lists!$C$72:$R$232,COLUMNS(Lists!$C$69:L$69),0)*VLOOKUP(BL$3,Conversions!$B$12:$E$34,4,0),$H171*VLOOKUP($F171,Lists!$C$72:$R$232,COLUMNS(Lists!$C$69:L$69),0)*VLOOKUP(BL$3,Conversions!$B$12:$E$34,4,0)))</f>
        <v>0</v>
      </c>
      <c r="AI171" s="334">
        <f>IF($F171="",0,IF($F171="Weighted Average",$H171*VLOOKUP($D171&amp;" (Operation)",Lists!$C$72:$R$232,COLUMNS(Lists!$C$69:M$69),0)*VLOOKUP(BM$3,Conversions!$B$12:$E$34,4,0),$H171*VLOOKUP($F171,Lists!$C$72:$R$232,COLUMNS(Lists!$C$69:M$69),0)*VLOOKUP(BM$3,Conversions!$B$12:$E$34,4,0)))</f>
        <v>0</v>
      </c>
      <c r="AJ171" s="334">
        <f>IF($F171="",0,IF($F171="Weighted Average",$H171*VLOOKUP($D171&amp;" (Operation)",Lists!$C$72:$R$232,COLUMNS(Lists!$C$69:N$69),0)*VLOOKUP(BN$3,Conversions!$B$12:$E$34,4,0),$H171*VLOOKUP($F171,Lists!$C$72:$R$232,COLUMNS(Lists!$C$69:N$69),0)*VLOOKUP(BN$3,Conversions!$B$12:$E$34,4,0)))</f>
        <v>0</v>
      </c>
      <c r="AK171" s="334">
        <f>IF($F171="",0,IF($F171="Weighted Average",$H171*VLOOKUP($D171&amp;" (Operation)",Lists!$C$72:$R$232,COLUMNS(Lists!$C$69:O$69),0)*VLOOKUP(BO$3,Conversions!$B$12:$E$34,4,0),$H171*VLOOKUP($F171,Lists!$C$72:$R$232,COLUMNS(Lists!$C$69:O$69),0)*VLOOKUP(BO$3,Conversions!$B$12:$E$34,4,0)))</f>
        <v>0</v>
      </c>
      <c r="AL171" s="334">
        <f>IF($F171="",0,IF($F171="Weighted Average",$H171*VLOOKUP($D171&amp;" (Operation)",Lists!$C$72:$R$232,COLUMNS(Lists!$C$69:P$69),0)*VLOOKUP(BP$3,Conversions!$B$12:$E$34,4,0),$H171*VLOOKUP($F171,Lists!$C$72:$R$232,COLUMNS(Lists!$C$69:P$69),0)*VLOOKUP(BP$3,Conversions!$B$12:$E$34,4,0)))</f>
        <v>0</v>
      </c>
      <c r="AM171" s="334">
        <f>IF($F171="",0,IF($F171="Weighted Average",$H171*VLOOKUP($D171&amp;" (Operation)",Lists!$C$72:$R$232,COLUMNS(Lists!$C$69:Q$69),0)*VLOOKUP(BQ$3,Conversions!$B$12:$E$34,4,0),$H171*VLOOKUP($F171,Lists!$C$72:$R$232,COLUMNS(Lists!$C$69:Q$69),0)*VLOOKUP(BQ$3,Conversions!$B$12:$E$34,4,0)))</f>
        <v>0</v>
      </c>
      <c r="AN171" s="334">
        <f>IF($F171="",0,IF($F171="Weighted Average",$H171*VLOOKUP($D171&amp;" (Operation)",Lists!$C$72:$R$232,COLUMNS(Lists!$C$69:R$69),0)*VLOOKUP(BR$3,Conversions!$B$12:$E$34,4,0),$H171*VLOOKUP($F171,Lists!$C$72:$R$232,COLUMNS(Lists!$C$69:R$69),0)*VLOOKUP(BR$3,Conversions!$B$12:$E$34,4,0)))</f>
        <v>0</v>
      </c>
      <c r="AO171" s="330">
        <f t="shared" si="231"/>
        <v>0</v>
      </c>
      <c r="AP171" s="333">
        <f>IF($F171="",0,IF($F171="Weighted Average",$I171*VLOOKUP($D171&amp;" (Disposal)",Lists!$C$72:$R$232,COLUMNS(Lists!$C$69:E$69),0)*VLOOKUP(BE$3,Conversions!$B$12:$E$34,4,0),$I171*VLOOKUP($F171,Lists!$C$72:$R$232,COLUMNS(Lists!$C$69:E$69),0)*VLOOKUP(BE$3,Conversions!$B$12:$E$34,4,0)))</f>
        <v>0</v>
      </c>
      <c r="AQ171" s="333">
        <f>IF($F171="",0,IF($F171="Weighted Average",$I171*VLOOKUP($D171&amp;" (Disposal)",Lists!$C$72:$R$232,COLUMNS(Lists!$C$69:F$69),0)*VLOOKUP(BF$3,Conversions!$B$12:$E$34,4,0),$I171*VLOOKUP($F171,Lists!$C$72:$R$232,COLUMNS(Lists!$C$69:F$69),0)*VLOOKUP(BF$3,Conversions!$B$12:$E$34,4,0)))</f>
        <v>0</v>
      </c>
      <c r="AR171" s="333">
        <f>IF($F171="",0,IF($F171="Weighted Average",$I171*VLOOKUP($D171&amp;" (Disposal)",Lists!$C$72:$R$232,COLUMNS(Lists!$C$69:G$69),0)*VLOOKUP(BG$3,Conversions!$B$12:$E$34,4,0),$I171*VLOOKUP($F171,Lists!$C$72:$R$232,COLUMNS(Lists!$C$69:G$69),0)*VLOOKUP(BG$3,Conversions!$B$12:$E$34,4,0)))</f>
        <v>0</v>
      </c>
      <c r="AS171" s="333">
        <f>IF($F171="",0,IF($F171="Weighted Average",$I171*VLOOKUP($D171&amp;" (Disposal)",Lists!$C$72:$R$232,COLUMNS(Lists!$C$69:H$69),0)*VLOOKUP(BH$3,Conversions!$B$12:$E$34,4,0),$I171*VLOOKUP($F171,Lists!$C$72:$R$232,COLUMNS(Lists!$C$69:H$69),0)*VLOOKUP(BH$3,Conversions!$B$12:$E$34,4,0)))</f>
        <v>0</v>
      </c>
      <c r="AT171" s="333">
        <f>IF($F171="",0,IF($F171="Weighted Average",$I171*VLOOKUP($D171&amp;" (Disposal)",Lists!$C$72:$R$232,COLUMNS(Lists!$C$69:I$69),0)*VLOOKUP(BI$3,Conversions!$B$12:$E$34,4,0),$I171*VLOOKUP($F171,Lists!$C$72:$R$232,COLUMNS(Lists!$C$69:I$69),0)*VLOOKUP(BI$3,Conversions!$B$12:$E$34,4,0)))</f>
        <v>0</v>
      </c>
      <c r="AU171" s="333">
        <f>IF($F171="",0,IF($F171="Weighted Average",$I171*VLOOKUP($D171&amp;" (Disposal)",Lists!$C$72:$R$232,COLUMNS(Lists!$C$69:J$69),0)*VLOOKUP(BJ$3,Conversions!$B$12:$E$34,4,0),$I171*VLOOKUP($F171,Lists!$C$72:$R$232,COLUMNS(Lists!$C$69:J$69),0)*VLOOKUP(BJ$3,Conversions!$B$12:$E$34,4,0)))</f>
        <v>0</v>
      </c>
      <c r="AV171" s="333">
        <f>IF($F171="",0,IF($F171="Weighted Average",$I171*VLOOKUP($D171&amp;" (Disposal)",Lists!$C$72:$R$232,COLUMNS(Lists!$C$69:K$69),0)*VLOOKUP(BK$3,Conversions!$B$12:$E$34,4,0),$I171*VLOOKUP($F171,Lists!$C$72:$R$232,COLUMNS(Lists!$C$69:K$69),0)*VLOOKUP(BK$3,Conversions!$B$12:$E$34,4,0)))</f>
        <v>0</v>
      </c>
      <c r="AW171" s="333">
        <f>IF($F171="",0,IF($F171="Weighted Average",$I171*VLOOKUP($D171&amp;" (Disposal)",Lists!$C$72:$R$232,COLUMNS(Lists!$C$69:L$69),0)*VLOOKUP(BL$3,Conversions!$B$12:$E$34,4,0),$I171*VLOOKUP($F171,Lists!$C$72:$R$232,COLUMNS(Lists!$C$69:L$69),0)*VLOOKUP(BL$3,Conversions!$B$12:$E$34,4,0)))</f>
        <v>0</v>
      </c>
      <c r="AX171" s="333">
        <f>IF($F171="",0,IF($F171="Weighted Average",$I171*VLOOKUP($D171&amp;" (Disposal)",Lists!$C$72:$R$232,COLUMNS(Lists!$C$69:M$69),0)*VLOOKUP(BM$3,Conversions!$B$12:$E$34,4,0),$I171*VLOOKUP($F171,Lists!$C$72:$R$232,COLUMNS(Lists!$C$69:M$69),0)*VLOOKUP(BM$3,Conversions!$B$12:$E$34,4,0)))</f>
        <v>0</v>
      </c>
      <c r="AY171" s="333">
        <f>IF($F171="",0,IF($F171="Weighted Average",$I171*VLOOKUP($D171&amp;" (Disposal)",Lists!$C$72:$R$232,COLUMNS(Lists!$C$69:N$69),0)*VLOOKUP(BN$3,Conversions!$B$12:$E$34,4,0),$I171*VLOOKUP($F171,Lists!$C$72:$R$232,COLUMNS(Lists!$C$69:N$69),0)*VLOOKUP(BN$3,Conversions!$B$12:$E$34,4,0)))</f>
        <v>0</v>
      </c>
      <c r="AZ171" s="333">
        <f>IF($F171="",0,IF($F171="Weighted Average",$I171*VLOOKUP($D171&amp;" (Disposal)",Lists!$C$72:$R$232,COLUMNS(Lists!$C$69:O$69),0)*VLOOKUP(BO$3,Conversions!$B$12:$E$34,4,0),$I171*VLOOKUP($F171,Lists!$C$72:$R$232,COLUMNS(Lists!$C$69:O$69),0)*VLOOKUP(BO$3,Conversions!$B$12:$E$34,4,0)))</f>
        <v>0</v>
      </c>
      <c r="BA171" s="333">
        <f>IF($F171="",0,IF($F171="Weighted Average",$I171*VLOOKUP($D171&amp;" (Disposal)",Lists!$C$72:$R$232,COLUMNS(Lists!$C$69:P$69),0)*VLOOKUP(BP$3,Conversions!$B$12:$E$34,4,0),$I171*VLOOKUP($F171,Lists!$C$72:$R$232,COLUMNS(Lists!$C$69:P$69),0)*VLOOKUP(BP$3,Conversions!$B$12:$E$34,4,0)))</f>
        <v>0</v>
      </c>
      <c r="BB171" s="333">
        <f>IF($F171="",0,IF($F171="Weighted Average",$I171*VLOOKUP($D171&amp;" (Disposal)",Lists!$C$72:$R$232,COLUMNS(Lists!$C$69:Q$69),0)*VLOOKUP(BQ$3,Conversions!$B$12:$E$34,4,0),$I171*VLOOKUP($F171,Lists!$C$72:$R$232,COLUMNS(Lists!$C$69:Q$69),0)*VLOOKUP(BQ$3,Conversions!$B$12:$E$34,4,0)))</f>
        <v>0</v>
      </c>
      <c r="BC171" s="333">
        <f>IF($F171="",0,IF($F171="Weighted Average",$I171*VLOOKUP($D171&amp;" (Disposal)",Lists!$C$72:$R$232,COLUMNS(Lists!$C$69:R$69),0)*VLOOKUP(BR$3,Conversions!$B$12:$E$34,4,0),$I171*VLOOKUP($F171,Lists!$C$72:$R$232,COLUMNS(Lists!$C$69:R$69),0)*VLOOKUP(BR$3,Conversions!$B$12:$E$34,4,0)))</f>
        <v>0</v>
      </c>
      <c r="BD171" s="333">
        <f t="shared" si="232"/>
        <v>0</v>
      </c>
      <c r="BE171" s="330">
        <f t="shared" si="233"/>
        <v>0</v>
      </c>
      <c r="BF171" s="330">
        <f t="shared" si="214"/>
        <v>0</v>
      </c>
      <c r="BG171" s="330">
        <f t="shared" si="215"/>
        <v>0</v>
      </c>
      <c r="BH171" s="330">
        <f t="shared" si="216"/>
        <v>0</v>
      </c>
      <c r="BI171" s="330">
        <f t="shared" si="217"/>
        <v>0</v>
      </c>
      <c r="BJ171" s="330">
        <f t="shared" si="218"/>
        <v>0</v>
      </c>
      <c r="BK171" s="330">
        <f t="shared" si="219"/>
        <v>0</v>
      </c>
      <c r="BL171" s="330">
        <f t="shared" si="220"/>
        <v>0</v>
      </c>
      <c r="BM171" s="330">
        <f t="shared" si="221"/>
        <v>0</v>
      </c>
      <c r="BN171" s="330">
        <f t="shared" si="222"/>
        <v>0</v>
      </c>
      <c r="BO171" s="330">
        <f t="shared" si="223"/>
        <v>0</v>
      </c>
      <c r="BP171" s="330">
        <f t="shared" si="224"/>
        <v>0</v>
      </c>
      <c r="BQ171" s="330">
        <f t="shared" si="225"/>
        <v>0</v>
      </c>
      <c r="BR171" s="330">
        <f t="shared" si="226"/>
        <v>0</v>
      </c>
      <c r="BS171" s="330">
        <f t="shared" si="227"/>
        <v>0</v>
      </c>
      <c r="BT171" s="329">
        <f>IF($F171="",0,IF($F171="Weighted Average",$BS171*VLOOKUP($D171,'Default Values'!$B$78:$V$97,COLUMNS('Default Values'!$B$77:G$77),0),0))</f>
        <v>0</v>
      </c>
      <c r="BU171" s="329">
        <f>IF($F171="",0,IF($F171="Weighted Average",$BS171*VLOOKUP($D171,'Default Values'!$B$78:$V$97,COLUMNS('Default Values'!$B$77:H$77),0),0))</f>
        <v>0</v>
      </c>
      <c r="BV171" s="329">
        <f>IF($F171="",0,IF($F171="Weighted Average",$BS171*VLOOKUP($D171,'Default Values'!$B$78:$V$97,COLUMNS('Default Values'!$B$77:I$77),0),0))</f>
        <v>0</v>
      </c>
      <c r="BW171" s="329">
        <f>IF($F171="",0,IF($F171="Weighted Average",$BS171*VLOOKUP($D171,'Default Values'!$B$78:$V$97,COLUMNS('Default Values'!$B$77:J$77),0),0))</f>
        <v>0</v>
      </c>
      <c r="BX171" s="329">
        <f>IF($F171="",0,IF($F171="Weighted Average",$BS171*VLOOKUP($D171,'Default Values'!$B$78:$V$97,COLUMNS('Default Values'!$B$77:K$77),0),0))</f>
        <v>0</v>
      </c>
      <c r="BY171" s="329">
        <f>IF($F171="",0,IF($F171="Weighted Average",$BS171*VLOOKUP($D171,'Default Values'!$B$78:$V$97,COLUMNS('Default Values'!$B$77:L$77),0),0))</f>
        <v>0</v>
      </c>
      <c r="BZ171" s="329">
        <f>IF($F171="",0,IF($F171="Weighted Average",$BS171*VLOOKUP($D171,'Default Values'!$B$78:$V$97,COLUMNS('Default Values'!$B$77:M$77),0),0))</f>
        <v>0</v>
      </c>
      <c r="CA171" s="329">
        <f>IF($F171="",0,IF($F171="Weighted Average",$BS171*VLOOKUP($D171,'Default Values'!$B$78:$V$97,COLUMNS('Default Values'!$B$77:N$77),0),0))</f>
        <v>0</v>
      </c>
      <c r="CB171" s="329">
        <f>IF($F171="",0,IF($F171="Weighted Average",$BS171*VLOOKUP($D171,'Default Values'!$B$78:$V$97,COLUMNS('Default Values'!$B$77:O$77),0),0))</f>
        <v>0</v>
      </c>
      <c r="CC171" s="329">
        <f>IF($F171="",0,IF($F171="Weighted Average",$BS171*VLOOKUP($D171,'Default Values'!$B$78:$V$97,COLUMNS('Default Values'!$B$77:P$77),0),0))</f>
        <v>0</v>
      </c>
      <c r="CD171" s="329">
        <f>IF($F171="",0,IF($F171="Weighted Average",$BS171*VLOOKUP($D171,'Default Values'!$B$78:$V$97,COLUMNS('Default Values'!$B$77:Q$77),0),0))</f>
        <v>0</v>
      </c>
      <c r="CE171" s="329">
        <f>IF($F171="",0,IF($F171="Weighted Average",$BS171*VLOOKUP($D171,'Default Values'!$B$78:$V$97,COLUMNS('Default Values'!$B$77:R$77),0),0))</f>
        <v>0</v>
      </c>
      <c r="CF171" s="329">
        <f>IF($F171="",0,IF($F171="Weighted Average",$BS171*VLOOKUP($D171,'Default Values'!$B$78:$V$97,COLUMNS('Default Values'!$B$77:S$77),0),0))</f>
        <v>0</v>
      </c>
      <c r="CG171" s="329">
        <f>IF($F171="",0,IF($F171="Weighted Average",$BS171*VLOOKUP($D171,'Default Values'!$B$78:$V$97,COLUMNS('Default Values'!$B$77:T$77),0),0))</f>
        <v>0</v>
      </c>
      <c r="CH171" s="329">
        <f>IF($F171="",0,IF($F171="Weighted Average",$BS171*VLOOKUP($D171,'Default Values'!$B$78:$V$97,COLUMNS('Default Values'!$B$77:U$77),0),0))</f>
        <v>0</v>
      </c>
      <c r="CI171" s="329">
        <f>IF($F171="",0,IF($F171="Weighted Average",$BS171*VLOOKUP($D171,'Default Values'!$B$78:$V$97,COLUMNS('Default Values'!$B$77:V$77),0),0))</f>
        <v>0</v>
      </c>
      <c r="CJ171" s="331">
        <f t="shared" si="200"/>
        <v>0</v>
      </c>
      <c r="CK171" s="330">
        <f t="shared" si="201"/>
        <v>0</v>
      </c>
      <c r="CL171" s="330">
        <f t="shared" si="202"/>
        <v>0</v>
      </c>
      <c r="CM171" s="330">
        <f t="shared" si="203"/>
        <v>0</v>
      </c>
      <c r="CN171" s="330">
        <f t="shared" si="204"/>
        <v>0</v>
      </c>
      <c r="CO171" s="330">
        <f t="shared" si="205"/>
        <v>0</v>
      </c>
      <c r="CP171" s="330">
        <f t="shared" si="206"/>
        <v>0</v>
      </c>
      <c r="CQ171" s="330">
        <f t="shared" si="186"/>
        <v>0</v>
      </c>
      <c r="CR171" s="330">
        <f t="shared" si="207"/>
        <v>0</v>
      </c>
      <c r="CS171" s="330">
        <f t="shared" si="208"/>
        <v>0</v>
      </c>
      <c r="CT171" s="330">
        <f t="shared" si="209"/>
        <v>0</v>
      </c>
      <c r="CU171" s="330">
        <f t="shared" si="228"/>
        <v>0</v>
      </c>
      <c r="CV171" s="330">
        <f t="shared" si="228"/>
        <v>0</v>
      </c>
      <c r="CW171" s="330">
        <f t="shared" si="228"/>
        <v>0</v>
      </c>
      <c r="CX171" s="330">
        <f t="shared" si="228"/>
        <v>0</v>
      </c>
      <c r="CY171" s="330">
        <f t="shared" si="228"/>
        <v>0</v>
      </c>
      <c r="CZ171" s="330">
        <f t="shared" si="228"/>
        <v>0</v>
      </c>
      <c r="DA171" s="330">
        <f t="shared" si="228"/>
        <v>0</v>
      </c>
      <c r="DB171" s="330">
        <f t="shared" si="228"/>
        <v>0</v>
      </c>
      <c r="DC171" s="330">
        <f t="shared" si="228"/>
        <v>0</v>
      </c>
      <c r="DD171" s="330">
        <f t="shared" si="228"/>
        <v>0</v>
      </c>
      <c r="DE171" s="330">
        <f t="shared" si="229"/>
        <v>0</v>
      </c>
      <c r="DF171" s="330">
        <f t="shared" si="229"/>
        <v>0</v>
      </c>
      <c r="DG171" s="330">
        <f t="shared" si="229"/>
        <v>0</v>
      </c>
      <c r="DH171" s="330">
        <f t="shared" si="229"/>
        <v>0</v>
      </c>
      <c r="DI171" s="330">
        <f t="shared" si="229"/>
        <v>0</v>
      </c>
      <c r="DJ171" s="330">
        <f t="shared" si="229"/>
        <v>0</v>
      </c>
      <c r="DK171" s="330">
        <f t="shared" si="229"/>
        <v>0</v>
      </c>
      <c r="DL171" s="330">
        <f t="shared" si="229"/>
        <v>0</v>
      </c>
      <c r="DM171" s="330">
        <f t="shared" si="229"/>
        <v>0</v>
      </c>
      <c r="DN171" s="330">
        <f t="shared" si="229"/>
        <v>0</v>
      </c>
      <c r="DO171" s="330">
        <f t="shared" si="229"/>
        <v>0</v>
      </c>
      <c r="DP171" s="330">
        <f t="shared" si="213"/>
        <v>0</v>
      </c>
      <c r="DQ171" s="217"/>
      <c r="DR171" s="217"/>
      <c r="DS171" s="217"/>
      <c r="DT171" s="217"/>
    </row>
    <row r="172" spans="1:124" x14ac:dyDescent="0.3">
      <c r="A172" s="324"/>
      <c r="B172" s="221" t="s">
        <v>307</v>
      </c>
      <c r="C172" s="221" t="str">
        <f>IF('Simplified Screening 2'!C23=0,"",'Simplified Screening 2'!C23)</f>
        <v/>
      </c>
      <c r="D172" s="221" t="str">
        <f>IF('Simplified Screening 2'!D23=0,"",'Simplified Screening 2'!D23)</f>
        <v/>
      </c>
      <c r="E172" s="221"/>
      <c r="F172" s="221" t="str">
        <f>'Simplified Screening 2'!J23</f>
        <v/>
      </c>
      <c r="G172" s="335" t="str">
        <f>IF(D172="","",'Simplified Screening 2'!G23/1000*VLOOKUP(D172,'Default Values'!$B$78:$F$97,COLUMNS('Default Values'!$B$77:$D$77),0)/1000)</f>
        <v/>
      </c>
      <c r="H172" s="335" t="str">
        <f>IF(D172="","",'Simplified Screening 2'!G23/1000*VLOOKUP(D172,'Default Values'!$B$78:$F$97,COLUMNS('Default Values'!$B$77:$E$77),0)/1000)</f>
        <v/>
      </c>
      <c r="I172" s="335" t="str">
        <f>IF(D172="","",'Simplified Screening 2'!G23/1000*VLOOKUP(D172,'Default Values'!$B$78:$F$97,COLUMNS('Default Values'!$B$77:$F$77),0)/1000)</f>
        <v/>
      </c>
      <c r="J172" s="325">
        <f>IF('Simplified Screening 2'!H23=0,0,'Simplified Screening 2'!H23)</f>
        <v>0</v>
      </c>
      <c r="K172" s="465"/>
      <c r="L172" s="333">
        <f>IF($F172="",0,IF($F172="Weighted Average",$G172*VLOOKUP($D172&amp;" (Install)",Lists!$C$72:$R$232,COLUMNS(Lists!$C$69:E$69),0)*VLOOKUP(BE$3,Conversions!$B$12:$E$34,4,0),$G172*VLOOKUP($F172,Lists!$C$72:$R$232,COLUMNS(Lists!$C$69:E$69),0)*VLOOKUP(BE$3,Conversions!$B$12:$E$34,4,0)))</f>
        <v>0</v>
      </c>
      <c r="M172" s="333">
        <f>IF($F172="",0,IF($F172="Weighted Average",$G172*VLOOKUP($D172&amp;" (Install)",Lists!$C$72:$R$232,COLUMNS(Lists!$C$69:F$69),0)*VLOOKUP(BF$3,Conversions!$B$12:$E$34,4,0),$G172*VLOOKUP($F172,Lists!$C$72:$R$232,COLUMNS(Lists!$C$69:F$69),0)*VLOOKUP(BF$3,Conversions!$B$12:$E$34,4,0)))</f>
        <v>0</v>
      </c>
      <c r="N172" s="333">
        <f>IF($F172="",0,IF($F172="Weighted Average",$G172*VLOOKUP($D172&amp;" (Install)",Lists!$C$72:$R$232,COLUMNS(Lists!$C$69:G$69),0)*VLOOKUP(BG$3,Conversions!$B$12:$E$34,4,0),$G172*VLOOKUP($F172,Lists!$C$72:$R$232,COLUMNS(Lists!$C$69:G$69),0)*VLOOKUP(BG$3,Conversions!$B$12:$E$34,4,0)))</f>
        <v>0</v>
      </c>
      <c r="O172" s="333">
        <f>IF($F172="",0,IF($F172="Weighted Average",$G172*VLOOKUP($D172&amp;" (Install)",Lists!$C$72:$R$232,COLUMNS(Lists!$C$69:H$69),0)*VLOOKUP(BH$3,Conversions!$B$12:$E$34,4,0),$G172*VLOOKUP($F172,Lists!$C$72:$R$232,COLUMNS(Lists!$C$69:H$69),0)*VLOOKUP(BH$3,Conversions!$B$12:$E$34,4,0)))</f>
        <v>0</v>
      </c>
      <c r="P172" s="333">
        <f>IF($F172="",0,IF($F172="Weighted Average",$G172*VLOOKUP($D172&amp;" (Install)",Lists!$C$72:$R$232,COLUMNS(Lists!$C$69:I$69),0)*VLOOKUP(BI$3,Conversions!$B$12:$E$34,4,0),$G172*VLOOKUP($F172,Lists!$C$72:$R$232,COLUMNS(Lists!$C$69:I$69),0)*VLOOKUP(BI$3,Conversions!$B$12:$E$34,4,0)))</f>
        <v>0</v>
      </c>
      <c r="Q172" s="333">
        <f>IF($F172="",0,IF($F172="Weighted Average",$G172*VLOOKUP($D172&amp;" (Install)",Lists!$C$72:$R$232,COLUMNS(Lists!$C$69:J$69),0)*VLOOKUP(BJ$3,Conversions!$B$12:$E$34,4,0),$G172*VLOOKUP($F172,Lists!$C$72:$R$232,COLUMNS(Lists!$C$69:J$69),0)*VLOOKUP(BJ$3,Conversions!$B$12:$E$34,4,0)))</f>
        <v>0</v>
      </c>
      <c r="R172" s="333">
        <f>IF($F172="",0,IF($F172="Weighted Average",$G172*VLOOKUP($D172&amp;" (Install)",Lists!$C$72:$R$232,COLUMNS(Lists!$C$69:K$69),0)*VLOOKUP(BK$3,Conversions!$B$12:$E$34,4,0),$G172*VLOOKUP($F172,Lists!$C$72:$R$232,COLUMNS(Lists!$C$69:K$69),0)*VLOOKUP(BK$3,Conversions!$B$12:$E$34,4,0)))</f>
        <v>0</v>
      </c>
      <c r="S172" s="333">
        <f>IF($F172="",0,IF($F172="Weighted Average",$G172*VLOOKUP($D172&amp;" (Install)",Lists!$C$72:$R$232,COLUMNS(Lists!$C$69:L$69),0)*VLOOKUP(BL$3,Conversions!$B$12:$E$34,4,0),$G172*VLOOKUP($F172,Lists!$C$72:$R$232,COLUMNS(Lists!$C$69:L$69),0)*VLOOKUP(BL$3,Conversions!$B$12:$E$34,4,0)))</f>
        <v>0</v>
      </c>
      <c r="T172" s="333">
        <f>IF($F172="",0,IF($F172="Weighted Average",$G172*VLOOKUP($D172&amp;" (Install)",Lists!$C$72:$R$232,COLUMNS(Lists!$C$69:M$69),0)*VLOOKUP(BM$3,Conversions!$B$12:$E$34,4,0),$G172*VLOOKUP($F172,Lists!$C$72:$R$232,COLUMNS(Lists!$C$69:M$69),0)*VLOOKUP(BM$3,Conversions!$B$12:$E$34,4,0)))</f>
        <v>0</v>
      </c>
      <c r="U172" s="333">
        <f>IF($F172="",0,IF($F172="Weighted Average",$G172*VLOOKUP($D172&amp;" (Install)",Lists!$C$72:$R$232,COLUMNS(Lists!$C$69:N$69),0)*VLOOKUP(BN$3,Conversions!$B$12:$E$34,4,0),$G172*VLOOKUP($F172,Lists!$C$72:$R$232,COLUMNS(Lists!$C$69:N$69),0)*VLOOKUP(BN$3,Conversions!$B$12:$E$34,4,0)))</f>
        <v>0</v>
      </c>
      <c r="V172" s="333">
        <f>IF($F172="",0,IF($F172="Weighted Average",$G172*VLOOKUP($D172&amp;" (Install)",Lists!$C$72:$R$232,COLUMNS(Lists!$C$69:O$69),0)*VLOOKUP(BO$3,Conversions!$B$12:$E$34,4,0),$G172*VLOOKUP($F172,Lists!$C$72:$R$232,COLUMNS(Lists!$C$69:O$69),0)*VLOOKUP(BO$3,Conversions!$B$12:$E$34,4,0)))</f>
        <v>0</v>
      </c>
      <c r="W172" s="333">
        <f>IF($F172="",0,IF($F172="Weighted Average",$G172*VLOOKUP($D172&amp;" (Install)",Lists!$C$72:$R$232,COLUMNS(Lists!$C$69:P$69),0)*VLOOKUP(BP$3,Conversions!$B$12:$E$34,4,0),$G172*VLOOKUP($F172,Lists!$C$72:$R$232,COLUMNS(Lists!$C$69:P$69),0)*VLOOKUP(BP$3,Conversions!$B$12:$E$34,4,0)))</f>
        <v>0</v>
      </c>
      <c r="X172" s="333">
        <f>IF($F172="",0,IF($F172="Weighted Average",$G172*VLOOKUP($D172&amp;" (Install)",Lists!$C$72:$R$232,COLUMNS(Lists!$C$69:Q$69),0)*VLOOKUP(BQ$3,Conversions!$B$12:$E$34,4,0),$G172*VLOOKUP($F172,Lists!$C$72:$R$232,COLUMNS(Lists!$C$69:Q$69),0)*VLOOKUP(BQ$3,Conversions!$B$12:$E$34,4,0)))</f>
        <v>0</v>
      </c>
      <c r="Y172" s="333">
        <f>IF($F172="",0,IF($F172="Weighted Average",$G172*VLOOKUP($D172&amp;" (Install)",Lists!$C$72:$R$232,COLUMNS(Lists!$C$69:R$69),0)*VLOOKUP(BR$3,Conversions!$B$12:$E$34,4,0),$G172*VLOOKUP($F172,Lists!$C$72:$R$232,COLUMNS(Lists!$C$69:R$69),0)*VLOOKUP(BR$3,Conversions!$B$12:$E$34,4,0)))</f>
        <v>0</v>
      </c>
      <c r="Z172" s="325">
        <f t="shared" si="230"/>
        <v>0</v>
      </c>
      <c r="AA172" s="334">
        <f>IF($F172="",0,IF($F172="Weighted Average",$H172*VLOOKUP($D172&amp;" (Operation)",Lists!$C$72:$R$232,COLUMNS(Lists!$C$69:E$69),0)*VLOOKUP(BE$3,Conversions!$B$12:$E$34,4,0),$H172*VLOOKUP($F172,Lists!$C$72:$R$232,COLUMNS(Lists!$C$69:E$69),0)*VLOOKUP(BE$3,Conversions!$B$12:$E$34,4,0)))</f>
        <v>0</v>
      </c>
      <c r="AB172" s="334">
        <f>IF($F172="",0,IF($F172="Weighted Average",$H172*VLOOKUP($D172&amp;" (Operation)",Lists!$C$72:$R$232,COLUMNS(Lists!$C$69:F$69),0)*VLOOKUP(BF$3,Conversions!$B$12:$E$34,4,0),$H172*VLOOKUP($F172,Lists!$C$72:$R$232,COLUMNS(Lists!$C$69:F$69),0)*VLOOKUP(BF$3,Conversions!$B$12:$E$34,4,0)))</f>
        <v>0</v>
      </c>
      <c r="AC172" s="334">
        <f>IF($F172="",0,IF($F172="Weighted Average",$H172*VLOOKUP($D172&amp;" (Operation)",Lists!$C$72:$R$232,COLUMNS(Lists!$C$69:G$69),0)*VLOOKUP(BG$3,Conversions!$B$12:$E$34,4,0),$H172*VLOOKUP($F172,Lists!$C$72:$R$232,COLUMNS(Lists!$C$69:G$69),0)*VLOOKUP(BG$3,Conversions!$B$12:$E$34,4,0)))</f>
        <v>0</v>
      </c>
      <c r="AD172" s="334">
        <f>IF($F172="",0,IF($F172="Weighted Average",$H172*VLOOKUP($D172&amp;" (Operation)",Lists!$C$72:$R$232,COLUMNS(Lists!$C$69:H$69),0)*VLOOKUP(BH$3,Conversions!$B$12:$E$34,4,0),$H172*VLOOKUP($F172,Lists!$C$72:$R$232,COLUMNS(Lists!$C$69:H$69),0)*VLOOKUP(BH$3,Conversions!$B$12:$E$34,4,0)))</f>
        <v>0</v>
      </c>
      <c r="AE172" s="334">
        <f>IF($F172="",0,IF($F172="Weighted Average",$H172*VLOOKUP($D172&amp;" (Operation)",Lists!$C$72:$R$232,COLUMNS(Lists!$C$69:I$69),0)*VLOOKUP(BI$3,Conversions!$B$12:$E$34,4,0),$H172*VLOOKUP($F172,Lists!$C$72:$R$232,COLUMNS(Lists!$C$69:I$69),0)*VLOOKUP(BI$3,Conversions!$B$12:$E$34,4,0)))</f>
        <v>0</v>
      </c>
      <c r="AF172" s="334">
        <f>IF($F172="",0,IF($F172="Weighted Average",$H172*VLOOKUP($D172&amp;" (Operation)",Lists!$C$72:$R$232,COLUMNS(Lists!$C$69:J$69),0)*VLOOKUP(BJ$3,Conversions!$B$12:$E$34,4,0),$H172*VLOOKUP($F172,Lists!$C$72:$R$232,COLUMNS(Lists!$C$69:J$69),0)*VLOOKUP(BJ$3,Conversions!$B$12:$E$34,4,0)))</f>
        <v>0</v>
      </c>
      <c r="AG172" s="334">
        <f>IF($F172="",0,IF($F172="Weighted Average",$H172*VLOOKUP($D172&amp;" (Operation)",Lists!$C$72:$R$232,COLUMNS(Lists!$C$69:K$69),0)*VLOOKUP(BK$3,Conversions!$B$12:$E$34,4,0),$H172*VLOOKUP($F172,Lists!$C$72:$R$232,COLUMNS(Lists!$C$69:K$69),0)*VLOOKUP(BK$3,Conversions!$B$12:$E$34,4,0)))</f>
        <v>0</v>
      </c>
      <c r="AH172" s="334">
        <f>IF($F172="",0,IF($F172="Weighted Average",$H172*VLOOKUP($D172&amp;" (Operation)",Lists!$C$72:$R$232,COLUMNS(Lists!$C$69:L$69),0)*VLOOKUP(BL$3,Conversions!$B$12:$E$34,4,0),$H172*VLOOKUP($F172,Lists!$C$72:$R$232,COLUMNS(Lists!$C$69:L$69),0)*VLOOKUP(BL$3,Conversions!$B$12:$E$34,4,0)))</f>
        <v>0</v>
      </c>
      <c r="AI172" s="334">
        <f>IF($F172="",0,IF($F172="Weighted Average",$H172*VLOOKUP($D172&amp;" (Operation)",Lists!$C$72:$R$232,COLUMNS(Lists!$C$69:M$69),0)*VLOOKUP(BM$3,Conversions!$B$12:$E$34,4,0),$H172*VLOOKUP($F172,Lists!$C$72:$R$232,COLUMNS(Lists!$C$69:M$69),0)*VLOOKUP(BM$3,Conversions!$B$12:$E$34,4,0)))</f>
        <v>0</v>
      </c>
      <c r="AJ172" s="334">
        <f>IF($F172="",0,IF($F172="Weighted Average",$H172*VLOOKUP($D172&amp;" (Operation)",Lists!$C$72:$R$232,COLUMNS(Lists!$C$69:N$69),0)*VLOOKUP(BN$3,Conversions!$B$12:$E$34,4,0),$H172*VLOOKUP($F172,Lists!$C$72:$R$232,COLUMNS(Lists!$C$69:N$69),0)*VLOOKUP(BN$3,Conversions!$B$12:$E$34,4,0)))</f>
        <v>0</v>
      </c>
      <c r="AK172" s="334">
        <f>IF($F172="",0,IF($F172="Weighted Average",$H172*VLOOKUP($D172&amp;" (Operation)",Lists!$C$72:$R$232,COLUMNS(Lists!$C$69:O$69),0)*VLOOKUP(BO$3,Conversions!$B$12:$E$34,4,0),$H172*VLOOKUP($F172,Lists!$C$72:$R$232,COLUMNS(Lists!$C$69:O$69),0)*VLOOKUP(BO$3,Conversions!$B$12:$E$34,4,0)))</f>
        <v>0</v>
      </c>
      <c r="AL172" s="334">
        <f>IF($F172="",0,IF($F172="Weighted Average",$H172*VLOOKUP($D172&amp;" (Operation)",Lists!$C$72:$R$232,COLUMNS(Lists!$C$69:P$69),0)*VLOOKUP(BP$3,Conversions!$B$12:$E$34,4,0),$H172*VLOOKUP($F172,Lists!$C$72:$R$232,COLUMNS(Lists!$C$69:P$69),0)*VLOOKUP(BP$3,Conversions!$B$12:$E$34,4,0)))</f>
        <v>0</v>
      </c>
      <c r="AM172" s="334">
        <f>IF($F172="",0,IF($F172="Weighted Average",$H172*VLOOKUP($D172&amp;" (Operation)",Lists!$C$72:$R$232,COLUMNS(Lists!$C$69:Q$69),0)*VLOOKUP(BQ$3,Conversions!$B$12:$E$34,4,0),$H172*VLOOKUP($F172,Lists!$C$72:$R$232,COLUMNS(Lists!$C$69:Q$69),0)*VLOOKUP(BQ$3,Conversions!$B$12:$E$34,4,0)))</f>
        <v>0</v>
      </c>
      <c r="AN172" s="334">
        <f>IF($F172="",0,IF($F172="Weighted Average",$H172*VLOOKUP($D172&amp;" (Operation)",Lists!$C$72:$R$232,COLUMNS(Lists!$C$69:R$69),0)*VLOOKUP(BR$3,Conversions!$B$12:$E$34,4,0),$H172*VLOOKUP($F172,Lists!$C$72:$R$232,COLUMNS(Lists!$C$69:R$69),0)*VLOOKUP(BR$3,Conversions!$B$12:$E$34,4,0)))</f>
        <v>0</v>
      </c>
      <c r="AO172" s="330">
        <f t="shared" si="231"/>
        <v>0</v>
      </c>
      <c r="AP172" s="333">
        <f>IF($F172="",0,IF($F172="Weighted Average",$I172*VLOOKUP($D172&amp;" (Disposal)",Lists!$C$72:$R$232,COLUMNS(Lists!$C$69:E$69),0)*VLOOKUP(BE$3,Conversions!$B$12:$E$34,4,0),$I172*VLOOKUP($F172,Lists!$C$72:$R$232,COLUMNS(Lists!$C$69:E$69),0)*VLOOKUP(BE$3,Conversions!$B$12:$E$34,4,0)))</f>
        <v>0</v>
      </c>
      <c r="AQ172" s="333">
        <f>IF($F172="",0,IF($F172="Weighted Average",$I172*VLOOKUP($D172&amp;" (Disposal)",Lists!$C$72:$R$232,COLUMNS(Lists!$C$69:F$69),0)*VLOOKUP(BF$3,Conversions!$B$12:$E$34,4,0),$I172*VLOOKUP($F172,Lists!$C$72:$R$232,COLUMNS(Lists!$C$69:F$69),0)*VLOOKUP(BF$3,Conversions!$B$12:$E$34,4,0)))</f>
        <v>0</v>
      </c>
      <c r="AR172" s="333">
        <f>IF($F172="",0,IF($F172="Weighted Average",$I172*VLOOKUP($D172&amp;" (Disposal)",Lists!$C$72:$R$232,COLUMNS(Lists!$C$69:G$69),0)*VLOOKUP(BG$3,Conversions!$B$12:$E$34,4,0),$I172*VLOOKUP($F172,Lists!$C$72:$R$232,COLUMNS(Lists!$C$69:G$69),0)*VLOOKUP(BG$3,Conversions!$B$12:$E$34,4,0)))</f>
        <v>0</v>
      </c>
      <c r="AS172" s="333">
        <f>IF($F172="",0,IF($F172="Weighted Average",$I172*VLOOKUP($D172&amp;" (Disposal)",Lists!$C$72:$R$232,COLUMNS(Lists!$C$69:H$69),0)*VLOOKUP(BH$3,Conversions!$B$12:$E$34,4,0),$I172*VLOOKUP($F172,Lists!$C$72:$R$232,COLUMNS(Lists!$C$69:H$69),0)*VLOOKUP(BH$3,Conversions!$B$12:$E$34,4,0)))</f>
        <v>0</v>
      </c>
      <c r="AT172" s="333">
        <f>IF($F172="",0,IF($F172="Weighted Average",$I172*VLOOKUP($D172&amp;" (Disposal)",Lists!$C$72:$R$232,COLUMNS(Lists!$C$69:I$69),0)*VLOOKUP(BI$3,Conversions!$B$12:$E$34,4,0),$I172*VLOOKUP($F172,Lists!$C$72:$R$232,COLUMNS(Lists!$C$69:I$69),0)*VLOOKUP(BI$3,Conversions!$B$12:$E$34,4,0)))</f>
        <v>0</v>
      </c>
      <c r="AU172" s="333">
        <f>IF($F172="",0,IF($F172="Weighted Average",$I172*VLOOKUP($D172&amp;" (Disposal)",Lists!$C$72:$R$232,COLUMNS(Lists!$C$69:J$69),0)*VLOOKUP(BJ$3,Conversions!$B$12:$E$34,4,0),$I172*VLOOKUP($F172,Lists!$C$72:$R$232,COLUMNS(Lists!$C$69:J$69),0)*VLOOKUP(BJ$3,Conversions!$B$12:$E$34,4,0)))</f>
        <v>0</v>
      </c>
      <c r="AV172" s="333">
        <f>IF($F172="",0,IF($F172="Weighted Average",$I172*VLOOKUP($D172&amp;" (Disposal)",Lists!$C$72:$R$232,COLUMNS(Lists!$C$69:K$69),0)*VLOOKUP(BK$3,Conversions!$B$12:$E$34,4,0),$I172*VLOOKUP($F172,Lists!$C$72:$R$232,COLUMNS(Lists!$C$69:K$69),0)*VLOOKUP(BK$3,Conversions!$B$12:$E$34,4,0)))</f>
        <v>0</v>
      </c>
      <c r="AW172" s="333">
        <f>IF($F172="",0,IF($F172="Weighted Average",$I172*VLOOKUP($D172&amp;" (Disposal)",Lists!$C$72:$R$232,COLUMNS(Lists!$C$69:L$69),0)*VLOOKUP(BL$3,Conversions!$B$12:$E$34,4,0),$I172*VLOOKUP($F172,Lists!$C$72:$R$232,COLUMNS(Lists!$C$69:L$69),0)*VLOOKUP(BL$3,Conversions!$B$12:$E$34,4,0)))</f>
        <v>0</v>
      </c>
      <c r="AX172" s="333">
        <f>IF($F172="",0,IF($F172="Weighted Average",$I172*VLOOKUP($D172&amp;" (Disposal)",Lists!$C$72:$R$232,COLUMNS(Lists!$C$69:M$69),0)*VLOOKUP(BM$3,Conversions!$B$12:$E$34,4,0),$I172*VLOOKUP($F172,Lists!$C$72:$R$232,COLUMNS(Lists!$C$69:M$69),0)*VLOOKUP(BM$3,Conversions!$B$12:$E$34,4,0)))</f>
        <v>0</v>
      </c>
      <c r="AY172" s="333">
        <f>IF($F172="",0,IF($F172="Weighted Average",$I172*VLOOKUP($D172&amp;" (Disposal)",Lists!$C$72:$R$232,COLUMNS(Lists!$C$69:N$69),0)*VLOOKUP(BN$3,Conversions!$B$12:$E$34,4,0),$I172*VLOOKUP($F172,Lists!$C$72:$R$232,COLUMNS(Lists!$C$69:N$69),0)*VLOOKUP(BN$3,Conversions!$B$12:$E$34,4,0)))</f>
        <v>0</v>
      </c>
      <c r="AZ172" s="333">
        <f>IF($F172="",0,IF($F172="Weighted Average",$I172*VLOOKUP($D172&amp;" (Disposal)",Lists!$C$72:$R$232,COLUMNS(Lists!$C$69:O$69),0)*VLOOKUP(BO$3,Conversions!$B$12:$E$34,4,0),$I172*VLOOKUP($F172,Lists!$C$72:$R$232,COLUMNS(Lists!$C$69:O$69),0)*VLOOKUP(BO$3,Conversions!$B$12:$E$34,4,0)))</f>
        <v>0</v>
      </c>
      <c r="BA172" s="333">
        <f>IF($F172="",0,IF($F172="Weighted Average",$I172*VLOOKUP($D172&amp;" (Disposal)",Lists!$C$72:$R$232,COLUMNS(Lists!$C$69:P$69),0)*VLOOKUP(BP$3,Conversions!$B$12:$E$34,4,0),$I172*VLOOKUP($F172,Lists!$C$72:$R$232,COLUMNS(Lists!$C$69:P$69),0)*VLOOKUP(BP$3,Conversions!$B$12:$E$34,4,0)))</f>
        <v>0</v>
      </c>
      <c r="BB172" s="333">
        <f>IF($F172="",0,IF($F172="Weighted Average",$I172*VLOOKUP($D172&amp;" (Disposal)",Lists!$C$72:$R$232,COLUMNS(Lists!$C$69:Q$69),0)*VLOOKUP(BQ$3,Conversions!$B$12:$E$34,4,0),$I172*VLOOKUP($F172,Lists!$C$72:$R$232,COLUMNS(Lists!$C$69:Q$69),0)*VLOOKUP(BQ$3,Conversions!$B$12:$E$34,4,0)))</f>
        <v>0</v>
      </c>
      <c r="BC172" s="333">
        <f>IF($F172="",0,IF($F172="Weighted Average",$I172*VLOOKUP($D172&amp;" (Disposal)",Lists!$C$72:$R$232,COLUMNS(Lists!$C$69:R$69),0)*VLOOKUP(BR$3,Conversions!$B$12:$E$34,4,0),$I172*VLOOKUP($F172,Lists!$C$72:$R$232,COLUMNS(Lists!$C$69:R$69),0)*VLOOKUP(BR$3,Conversions!$B$12:$E$34,4,0)))</f>
        <v>0</v>
      </c>
      <c r="BD172" s="333">
        <f t="shared" si="232"/>
        <v>0</v>
      </c>
      <c r="BE172" s="330">
        <f t="shared" si="233"/>
        <v>0</v>
      </c>
      <c r="BF172" s="330">
        <f t="shared" si="214"/>
        <v>0</v>
      </c>
      <c r="BG172" s="330">
        <f t="shared" si="215"/>
        <v>0</v>
      </c>
      <c r="BH172" s="330">
        <f t="shared" si="216"/>
        <v>0</v>
      </c>
      <c r="BI172" s="330">
        <f t="shared" si="217"/>
        <v>0</v>
      </c>
      <c r="BJ172" s="330">
        <f t="shared" si="218"/>
        <v>0</v>
      </c>
      <c r="BK172" s="330">
        <f t="shared" si="219"/>
        <v>0</v>
      </c>
      <c r="BL172" s="330">
        <f t="shared" si="220"/>
        <v>0</v>
      </c>
      <c r="BM172" s="330">
        <f t="shared" si="221"/>
        <v>0</v>
      </c>
      <c r="BN172" s="330">
        <f t="shared" si="222"/>
        <v>0</v>
      </c>
      <c r="BO172" s="330">
        <f t="shared" si="223"/>
        <v>0</v>
      </c>
      <c r="BP172" s="330">
        <f t="shared" si="224"/>
        <v>0</v>
      </c>
      <c r="BQ172" s="330">
        <f t="shared" si="225"/>
        <v>0</v>
      </c>
      <c r="BR172" s="330">
        <f t="shared" si="226"/>
        <v>0</v>
      </c>
      <c r="BS172" s="330">
        <f t="shared" si="227"/>
        <v>0</v>
      </c>
      <c r="BT172" s="329">
        <f>IF($F172="",0,IF($F172="Weighted Average",$BS172*VLOOKUP($D172,'Default Values'!$B$78:$V$97,COLUMNS('Default Values'!$B$77:G$77),0),0))</f>
        <v>0</v>
      </c>
      <c r="BU172" s="329">
        <f>IF($F172="",0,IF($F172="Weighted Average",$BS172*VLOOKUP($D172,'Default Values'!$B$78:$V$97,COLUMNS('Default Values'!$B$77:H$77),0),0))</f>
        <v>0</v>
      </c>
      <c r="BV172" s="329">
        <f>IF($F172="",0,IF($F172="Weighted Average",$BS172*VLOOKUP($D172,'Default Values'!$B$78:$V$97,COLUMNS('Default Values'!$B$77:I$77),0),0))</f>
        <v>0</v>
      </c>
      <c r="BW172" s="329">
        <f>IF($F172="",0,IF($F172="Weighted Average",$BS172*VLOOKUP($D172,'Default Values'!$B$78:$V$97,COLUMNS('Default Values'!$B$77:J$77),0),0))</f>
        <v>0</v>
      </c>
      <c r="BX172" s="329">
        <f>IF($F172="",0,IF($F172="Weighted Average",$BS172*VLOOKUP($D172,'Default Values'!$B$78:$V$97,COLUMNS('Default Values'!$B$77:K$77),0),0))</f>
        <v>0</v>
      </c>
      <c r="BY172" s="329">
        <f>IF($F172="",0,IF($F172="Weighted Average",$BS172*VLOOKUP($D172,'Default Values'!$B$78:$V$97,COLUMNS('Default Values'!$B$77:L$77),0),0))</f>
        <v>0</v>
      </c>
      <c r="BZ172" s="329">
        <f>IF($F172="",0,IF($F172="Weighted Average",$BS172*VLOOKUP($D172,'Default Values'!$B$78:$V$97,COLUMNS('Default Values'!$B$77:M$77),0),0))</f>
        <v>0</v>
      </c>
      <c r="CA172" s="329">
        <f>IF($F172="",0,IF($F172="Weighted Average",$BS172*VLOOKUP($D172,'Default Values'!$B$78:$V$97,COLUMNS('Default Values'!$B$77:N$77),0),0))</f>
        <v>0</v>
      </c>
      <c r="CB172" s="329">
        <f>IF($F172="",0,IF($F172="Weighted Average",$BS172*VLOOKUP($D172,'Default Values'!$B$78:$V$97,COLUMNS('Default Values'!$B$77:O$77),0),0))</f>
        <v>0</v>
      </c>
      <c r="CC172" s="329">
        <f>IF($F172="",0,IF($F172="Weighted Average",$BS172*VLOOKUP($D172,'Default Values'!$B$78:$V$97,COLUMNS('Default Values'!$B$77:P$77),0),0))</f>
        <v>0</v>
      </c>
      <c r="CD172" s="329">
        <f>IF($F172="",0,IF($F172="Weighted Average",$BS172*VLOOKUP($D172,'Default Values'!$B$78:$V$97,COLUMNS('Default Values'!$B$77:Q$77),0),0))</f>
        <v>0</v>
      </c>
      <c r="CE172" s="329">
        <f>IF($F172="",0,IF($F172="Weighted Average",$BS172*VLOOKUP($D172,'Default Values'!$B$78:$V$97,COLUMNS('Default Values'!$B$77:R$77),0),0))</f>
        <v>0</v>
      </c>
      <c r="CF172" s="329">
        <f>IF($F172="",0,IF($F172="Weighted Average",$BS172*VLOOKUP($D172,'Default Values'!$B$78:$V$97,COLUMNS('Default Values'!$B$77:S$77),0),0))</f>
        <v>0</v>
      </c>
      <c r="CG172" s="329">
        <f>IF($F172="",0,IF($F172="Weighted Average",$BS172*VLOOKUP($D172,'Default Values'!$B$78:$V$97,COLUMNS('Default Values'!$B$77:T$77),0),0))</f>
        <v>0</v>
      </c>
      <c r="CH172" s="329">
        <f>IF($F172="",0,IF($F172="Weighted Average",$BS172*VLOOKUP($D172,'Default Values'!$B$78:$V$97,COLUMNS('Default Values'!$B$77:U$77),0),0))</f>
        <v>0</v>
      </c>
      <c r="CI172" s="329">
        <f>IF($F172="",0,IF($F172="Weighted Average",$BS172*VLOOKUP($D172,'Default Values'!$B$78:$V$97,COLUMNS('Default Values'!$B$77:V$77),0),0))</f>
        <v>0</v>
      </c>
      <c r="CJ172" s="331">
        <f t="shared" si="200"/>
        <v>0</v>
      </c>
      <c r="CK172" s="330">
        <f t="shared" si="201"/>
        <v>0</v>
      </c>
      <c r="CL172" s="330">
        <f t="shared" si="202"/>
        <v>0</v>
      </c>
      <c r="CM172" s="330">
        <f t="shared" si="203"/>
        <v>0</v>
      </c>
      <c r="CN172" s="330">
        <f t="shared" si="204"/>
        <v>0</v>
      </c>
      <c r="CO172" s="330">
        <f t="shared" si="205"/>
        <v>0</v>
      </c>
      <c r="CP172" s="330">
        <f t="shared" si="206"/>
        <v>0</v>
      </c>
      <c r="CQ172" s="330">
        <f t="shared" si="186"/>
        <v>0</v>
      </c>
      <c r="CR172" s="330">
        <f t="shared" si="207"/>
        <v>0</v>
      </c>
      <c r="CS172" s="330">
        <f t="shared" si="208"/>
        <v>0</v>
      </c>
      <c r="CT172" s="330">
        <f t="shared" si="209"/>
        <v>0</v>
      </c>
      <c r="CU172" s="330">
        <f t="shared" si="228"/>
        <v>0</v>
      </c>
      <c r="CV172" s="330">
        <f t="shared" si="228"/>
        <v>0</v>
      </c>
      <c r="CW172" s="330">
        <f t="shared" si="228"/>
        <v>0</v>
      </c>
      <c r="CX172" s="330">
        <f t="shared" si="228"/>
        <v>0</v>
      </c>
      <c r="CY172" s="330">
        <f t="shared" si="228"/>
        <v>0</v>
      </c>
      <c r="CZ172" s="330">
        <f t="shared" si="228"/>
        <v>0</v>
      </c>
      <c r="DA172" s="330">
        <f t="shared" si="228"/>
        <v>0</v>
      </c>
      <c r="DB172" s="330">
        <f t="shared" si="228"/>
        <v>0</v>
      </c>
      <c r="DC172" s="330">
        <f t="shared" si="228"/>
        <v>0</v>
      </c>
      <c r="DD172" s="330">
        <f t="shared" si="228"/>
        <v>0</v>
      </c>
      <c r="DE172" s="330">
        <f t="shared" si="229"/>
        <v>0</v>
      </c>
      <c r="DF172" s="330">
        <f t="shared" si="229"/>
        <v>0</v>
      </c>
      <c r="DG172" s="330">
        <f t="shared" si="229"/>
        <v>0</v>
      </c>
      <c r="DH172" s="330">
        <f t="shared" si="229"/>
        <v>0</v>
      </c>
      <c r="DI172" s="330">
        <f t="shared" si="229"/>
        <v>0</v>
      </c>
      <c r="DJ172" s="330">
        <f t="shared" si="229"/>
        <v>0</v>
      </c>
      <c r="DK172" s="330">
        <f t="shared" si="229"/>
        <v>0</v>
      </c>
      <c r="DL172" s="330">
        <f t="shared" si="229"/>
        <v>0</v>
      </c>
      <c r="DM172" s="330">
        <f t="shared" si="229"/>
        <v>0</v>
      </c>
      <c r="DN172" s="330">
        <f t="shared" si="229"/>
        <v>0</v>
      </c>
      <c r="DO172" s="330">
        <f t="shared" si="229"/>
        <v>0</v>
      </c>
      <c r="DP172" s="330">
        <f t="shared" si="213"/>
        <v>0</v>
      </c>
      <c r="DQ172" s="217"/>
      <c r="DR172" s="217"/>
      <c r="DS172" s="217"/>
      <c r="DT172" s="217"/>
    </row>
    <row r="173" spans="1:124" x14ac:dyDescent="0.3">
      <c r="A173" s="324"/>
      <c r="B173" s="221" t="s">
        <v>307</v>
      </c>
      <c r="C173" s="221" t="str">
        <f>IF('Simplified Screening 2'!C24=0,"",'Simplified Screening 2'!C24)</f>
        <v/>
      </c>
      <c r="D173" s="221" t="str">
        <f>IF('Simplified Screening 2'!D24=0,"",'Simplified Screening 2'!D24)</f>
        <v/>
      </c>
      <c r="E173" s="221"/>
      <c r="F173" s="221" t="str">
        <f>'Simplified Screening 2'!J24</f>
        <v/>
      </c>
      <c r="G173" s="335" t="str">
        <f>IF(D173="","",'Simplified Screening 2'!G24/1000*VLOOKUP(D173,'Default Values'!$B$78:$F$97,COLUMNS('Default Values'!$B$77:$D$77),0)/1000)</f>
        <v/>
      </c>
      <c r="H173" s="335" t="str">
        <f>IF(D173="","",'Simplified Screening 2'!G24/1000*VLOOKUP(D173,'Default Values'!$B$78:$F$97,COLUMNS('Default Values'!$B$77:$E$77),0)/1000)</f>
        <v/>
      </c>
      <c r="I173" s="335" t="str">
        <f>IF(D173="","",'Simplified Screening 2'!G24/1000*VLOOKUP(D173,'Default Values'!$B$78:$F$97,COLUMNS('Default Values'!$B$77:$F$77),0)/1000)</f>
        <v/>
      </c>
      <c r="J173" s="325">
        <f>IF('Simplified Screening 2'!H24=0,0,'Simplified Screening 2'!H24)</f>
        <v>0</v>
      </c>
      <c r="K173" s="465"/>
      <c r="L173" s="333">
        <f>IF($F173="",0,IF($F173="Weighted Average",$G173*VLOOKUP($D173&amp;" (Install)",Lists!$C$72:$R$232,COLUMNS(Lists!$C$69:E$69),0)*VLOOKUP(BE$3,Conversions!$B$12:$E$34,4,0),$G173*VLOOKUP($F173,Lists!$C$72:$R$232,COLUMNS(Lists!$C$69:E$69),0)*VLOOKUP(BE$3,Conversions!$B$12:$E$34,4,0)))</f>
        <v>0</v>
      </c>
      <c r="M173" s="333">
        <f>IF($F173="",0,IF($F173="Weighted Average",$G173*VLOOKUP($D173&amp;" (Install)",Lists!$C$72:$R$232,COLUMNS(Lists!$C$69:F$69),0)*VLOOKUP(BF$3,Conversions!$B$12:$E$34,4,0),$G173*VLOOKUP($F173,Lists!$C$72:$R$232,COLUMNS(Lists!$C$69:F$69),0)*VLOOKUP(BF$3,Conversions!$B$12:$E$34,4,0)))</f>
        <v>0</v>
      </c>
      <c r="N173" s="333">
        <f>IF($F173="",0,IF($F173="Weighted Average",$G173*VLOOKUP($D173&amp;" (Install)",Lists!$C$72:$R$232,COLUMNS(Lists!$C$69:G$69),0)*VLOOKUP(BG$3,Conversions!$B$12:$E$34,4,0),$G173*VLOOKUP($F173,Lists!$C$72:$R$232,COLUMNS(Lists!$C$69:G$69),0)*VLOOKUP(BG$3,Conversions!$B$12:$E$34,4,0)))</f>
        <v>0</v>
      </c>
      <c r="O173" s="333">
        <f>IF($F173="",0,IF($F173="Weighted Average",$G173*VLOOKUP($D173&amp;" (Install)",Lists!$C$72:$R$232,COLUMNS(Lists!$C$69:H$69),0)*VLOOKUP(BH$3,Conversions!$B$12:$E$34,4,0),$G173*VLOOKUP($F173,Lists!$C$72:$R$232,COLUMNS(Lists!$C$69:H$69),0)*VLOOKUP(BH$3,Conversions!$B$12:$E$34,4,0)))</f>
        <v>0</v>
      </c>
      <c r="P173" s="333">
        <f>IF($F173="",0,IF($F173="Weighted Average",$G173*VLOOKUP($D173&amp;" (Install)",Lists!$C$72:$R$232,COLUMNS(Lists!$C$69:I$69),0)*VLOOKUP(BI$3,Conversions!$B$12:$E$34,4,0),$G173*VLOOKUP($F173,Lists!$C$72:$R$232,COLUMNS(Lists!$C$69:I$69),0)*VLOOKUP(BI$3,Conversions!$B$12:$E$34,4,0)))</f>
        <v>0</v>
      </c>
      <c r="Q173" s="333">
        <f>IF($F173="",0,IF($F173="Weighted Average",$G173*VLOOKUP($D173&amp;" (Install)",Lists!$C$72:$R$232,COLUMNS(Lists!$C$69:J$69),0)*VLOOKUP(BJ$3,Conversions!$B$12:$E$34,4,0),$G173*VLOOKUP($F173,Lists!$C$72:$R$232,COLUMNS(Lists!$C$69:J$69),0)*VLOOKUP(BJ$3,Conversions!$B$12:$E$34,4,0)))</f>
        <v>0</v>
      </c>
      <c r="R173" s="333">
        <f>IF($F173="",0,IF($F173="Weighted Average",$G173*VLOOKUP($D173&amp;" (Install)",Lists!$C$72:$R$232,COLUMNS(Lists!$C$69:K$69),0)*VLOOKUP(BK$3,Conversions!$B$12:$E$34,4,0),$G173*VLOOKUP($F173,Lists!$C$72:$R$232,COLUMNS(Lists!$C$69:K$69),0)*VLOOKUP(BK$3,Conversions!$B$12:$E$34,4,0)))</f>
        <v>0</v>
      </c>
      <c r="S173" s="333">
        <f>IF($F173="",0,IF($F173="Weighted Average",$G173*VLOOKUP($D173&amp;" (Install)",Lists!$C$72:$R$232,COLUMNS(Lists!$C$69:L$69),0)*VLOOKUP(BL$3,Conversions!$B$12:$E$34,4,0),$G173*VLOOKUP($F173,Lists!$C$72:$R$232,COLUMNS(Lists!$C$69:L$69),0)*VLOOKUP(BL$3,Conversions!$B$12:$E$34,4,0)))</f>
        <v>0</v>
      </c>
      <c r="T173" s="333">
        <f>IF($F173="",0,IF($F173="Weighted Average",$G173*VLOOKUP($D173&amp;" (Install)",Lists!$C$72:$R$232,COLUMNS(Lists!$C$69:M$69),0)*VLOOKUP(BM$3,Conversions!$B$12:$E$34,4,0),$G173*VLOOKUP($F173,Lists!$C$72:$R$232,COLUMNS(Lists!$C$69:M$69),0)*VLOOKUP(BM$3,Conversions!$B$12:$E$34,4,0)))</f>
        <v>0</v>
      </c>
      <c r="U173" s="333">
        <f>IF($F173="",0,IF($F173="Weighted Average",$G173*VLOOKUP($D173&amp;" (Install)",Lists!$C$72:$R$232,COLUMNS(Lists!$C$69:N$69),0)*VLOOKUP(BN$3,Conversions!$B$12:$E$34,4,0),$G173*VLOOKUP($F173,Lists!$C$72:$R$232,COLUMNS(Lists!$C$69:N$69),0)*VLOOKUP(BN$3,Conversions!$B$12:$E$34,4,0)))</f>
        <v>0</v>
      </c>
      <c r="V173" s="333">
        <f>IF($F173="",0,IF($F173="Weighted Average",$G173*VLOOKUP($D173&amp;" (Install)",Lists!$C$72:$R$232,COLUMNS(Lists!$C$69:O$69),0)*VLOOKUP(BO$3,Conversions!$B$12:$E$34,4,0),$G173*VLOOKUP($F173,Lists!$C$72:$R$232,COLUMNS(Lists!$C$69:O$69),0)*VLOOKUP(BO$3,Conversions!$B$12:$E$34,4,0)))</f>
        <v>0</v>
      </c>
      <c r="W173" s="333">
        <f>IF($F173="",0,IF($F173="Weighted Average",$G173*VLOOKUP($D173&amp;" (Install)",Lists!$C$72:$R$232,COLUMNS(Lists!$C$69:P$69),0)*VLOOKUP(BP$3,Conversions!$B$12:$E$34,4,0),$G173*VLOOKUP($F173,Lists!$C$72:$R$232,COLUMNS(Lists!$C$69:P$69),0)*VLOOKUP(BP$3,Conversions!$B$12:$E$34,4,0)))</f>
        <v>0</v>
      </c>
      <c r="X173" s="333">
        <f>IF($F173="",0,IF($F173="Weighted Average",$G173*VLOOKUP($D173&amp;" (Install)",Lists!$C$72:$R$232,COLUMNS(Lists!$C$69:Q$69),0)*VLOOKUP(BQ$3,Conversions!$B$12:$E$34,4,0),$G173*VLOOKUP($F173,Lists!$C$72:$R$232,COLUMNS(Lists!$C$69:Q$69),0)*VLOOKUP(BQ$3,Conversions!$B$12:$E$34,4,0)))</f>
        <v>0</v>
      </c>
      <c r="Y173" s="333">
        <f>IF($F173="",0,IF($F173="Weighted Average",$G173*VLOOKUP($D173&amp;" (Install)",Lists!$C$72:$R$232,COLUMNS(Lists!$C$69:R$69),0)*VLOOKUP(BR$3,Conversions!$B$12:$E$34,4,0),$G173*VLOOKUP($F173,Lists!$C$72:$R$232,COLUMNS(Lists!$C$69:R$69),0)*VLOOKUP(BR$3,Conversions!$B$12:$E$34,4,0)))</f>
        <v>0</v>
      </c>
      <c r="Z173" s="325">
        <f t="shared" si="230"/>
        <v>0</v>
      </c>
      <c r="AA173" s="334">
        <f>IF($F173="",0,IF($F173="Weighted Average",$H173*VLOOKUP($D173&amp;" (Operation)",Lists!$C$72:$R$232,COLUMNS(Lists!$C$69:E$69),0)*VLOOKUP(BE$3,Conversions!$B$12:$E$34,4,0),$H173*VLOOKUP($F173,Lists!$C$72:$R$232,COLUMNS(Lists!$C$69:E$69),0)*VLOOKUP(BE$3,Conversions!$B$12:$E$34,4,0)))</f>
        <v>0</v>
      </c>
      <c r="AB173" s="334">
        <f>IF($F173="",0,IF($F173="Weighted Average",$H173*VLOOKUP($D173&amp;" (Operation)",Lists!$C$72:$R$232,COLUMNS(Lists!$C$69:F$69),0)*VLOOKUP(BF$3,Conversions!$B$12:$E$34,4,0),$H173*VLOOKUP($F173,Lists!$C$72:$R$232,COLUMNS(Lists!$C$69:F$69),0)*VLOOKUP(BF$3,Conversions!$B$12:$E$34,4,0)))</f>
        <v>0</v>
      </c>
      <c r="AC173" s="334">
        <f>IF($F173="",0,IF($F173="Weighted Average",$H173*VLOOKUP($D173&amp;" (Operation)",Lists!$C$72:$R$232,COLUMNS(Lists!$C$69:G$69),0)*VLOOKUP(BG$3,Conversions!$B$12:$E$34,4,0),$H173*VLOOKUP($F173,Lists!$C$72:$R$232,COLUMNS(Lists!$C$69:G$69),0)*VLOOKUP(BG$3,Conversions!$B$12:$E$34,4,0)))</f>
        <v>0</v>
      </c>
      <c r="AD173" s="334">
        <f>IF($F173="",0,IF($F173="Weighted Average",$H173*VLOOKUP($D173&amp;" (Operation)",Lists!$C$72:$R$232,COLUMNS(Lists!$C$69:H$69),0)*VLOOKUP(BH$3,Conversions!$B$12:$E$34,4,0),$H173*VLOOKUP($F173,Lists!$C$72:$R$232,COLUMNS(Lists!$C$69:H$69),0)*VLOOKUP(BH$3,Conversions!$B$12:$E$34,4,0)))</f>
        <v>0</v>
      </c>
      <c r="AE173" s="334">
        <f>IF($F173="",0,IF($F173="Weighted Average",$H173*VLOOKUP($D173&amp;" (Operation)",Lists!$C$72:$R$232,COLUMNS(Lists!$C$69:I$69),0)*VLOOKUP(BI$3,Conversions!$B$12:$E$34,4,0),$H173*VLOOKUP($F173,Lists!$C$72:$R$232,COLUMNS(Lists!$C$69:I$69),0)*VLOOKUP(BI$3,Conversions!$B$12:$E$34,4,0)))</f>
        <v>0</v>
      </c>
      <c r="AF173" s="334">
        <f>IF($F173="",0,IF($F173="Weighted Average",$H173*VLOOKUP($D173&amp;" (Operation)",Lists!$C$72:$R$232,COLUMNS(Lists!$C$69:J$69),0)*VLOOKUP(BJ$3,Conversions!$B$12:$E$34,4,0),$H173*VLOOKUP($F173,Lists!$C$72:$R$232,COLUMNS(Lists!$C$69:J$69),0)*VLOOKUP(BJ$3,Conversions!$B$12:$E$34,4,0)))</f>
        <v>0</v>
      </c>
      <c r="AG173" s="334">
        <f>IF($F173="",0,IF($F173="Weighted Average",$H173*VLOOKUP($D173&amp;" (Operation)",Lists!$C$72:$R$232,COLUMNS(Lists!$C$69:K$69),0)*VLOOKUP(BK$3,Conversions!$B$12:$E$34,4,0),$H173*VLOOKUP($F173,Lists!$C$72:$R$232,COLUMNS(Lists!$C$69:K$69),0)*VLOOKUP(BK$3,Conversions!$B$12:$E$34,4,0)))</f>
        <v>0</v>
      </c>
      <c r="AH173" s="334">
        <f>IF($F173="",0,IF($F173="Weighted Average",$H173*VLOOKUP($D173&amp;" (Operation)",Lists!$C$72:$R$232,COLUMNS(Lists!$C$69:L$69),0)*VLOOKUP(BL$3,Conversions!$B$12:$E$34,4,0),$H173*VLOOKUP($F173,Lists!$C$72:$R$232,COLUMNS(Lists!$C$69:L$69),0)*VLOOKUP(BL$3,Conversions!$B$12:$E$34,4,0)))</f>
        <v>0</v>
      </c>
      <c r="AI173" s="334">
        <f>IF($F173="",0,IF($F173="Weighted Average",$H173*VLOOKUP($D173&amp;" (Operation)",Lists!$C$72:$R$232,COLUMNS(Lists!$C$69:M$69),0)*VLOOKUP(BM$3,Conversions!$B$12:$E$34,4,0),$H173*VLOOKUP($F173,Lists!$C$72:$R$232,COLUMNS(Lists!$C$69:M$69),0)*VLOOKUP(BM$3,Conversions!$B$12:$E$34,4,0)))</f>
        <v>0</v>
      </c>
      <c r="AJ173" s="334">
        <f>IF($F173="",0,IF($F173="Weighted Average",$H173*VLOOKUP($D173&amp;" (Operation)",Lists!$C$72:$R$232,COLUMNS(Lists!$C$69:N$69),0)*VLOOKUP(BN$3,Conversions!$B$12:$E$34,4,0),$H173*VLOOKUP($F173,Lists!$C$72:$R$232,COLUMNS(Lists!$C$69:N$69),0)*VLOOKUP(BN$3,Conversions!$B$12:$E$34,4,0)))</f>
        <v>0</v>
      </c>
      <c r="AK173" s="334">
        <f>IF($F173="",0,IF($F173="Weighted Average",$H173*VLOOKUP($D173&amp;" (Operation)",Lists!$C$72:$R$232,COLUMNS(Lists!$C$69:O$69),0)*VLOOKUP(BO$3,Conversions!$B$12:$E$34,4,0),$H173*VLOOKUP($F173,Lists!$C$72:$R$232,COLUMNS(Lists!$C$69:O$69),0)*VLOOKUP(BO$3,Conversions!$B$12:$E$34,4,0)))</f>
        <v>0</v>
      </c>
      <c r="AL173" s="334">
        <f>IF($F173="",0,IF($F173="Weighted Average",$H173*VLOOKUP($D173&amp;" (Operation)",Lists!$C$72:$R$232,COLUMNS(Lists!$C$69:P$69),0)*VLOOKUP(BP$3,Conversions!$B$12:$E$34,4,0),$H173*VLOOKUP($F173,Lists!$C$72:$R$232,COLUMNS(Lists!$C$69:P$69),0)*VLOOKUP(BP$3,Conversions!$B$12:$E$34,4,0)))</f>
        <v>0</v>
      </c>
      <c r="AM173" s="334">
        <f>IF($F173="",0,IF($F173="Weighted Average",$H173*VLOOKUP($D173&amp;" (Operation)",Lists!$C$72:$R$232,COLUMNS(Lists!$C$69:Q$69),0)*VLOOKUP(BQ$3,Conversions!$B$12:$E$34,4,0),$H173*VLOOKUP($F173,Lists!$C$72:$R$232,COLUMNS(Lists!$C$69:Q$69),0)*VLOOKUP(BQ$3,Conversions!$B$12:$E$34,4,0)))</f>
        <v>0</v>
      </c>
      <c r="AN173" s="334">
        <f>IF($F173="",0,IF($F173="Weighted Average",$H173*VLOOKUP($D173&amp;" (Operation)",Lists!$C$72:$R$232,COLUMNS(Lists!$C$69:R$69),0)*VLOOKUP(BR$3,Conversions!$B$12:$E$34,4,0),$H173*VLOOKUP($F173,Lists!$C$72:$R$232,COLUMNS(Lists!$C$69:R$69),0)*VLOOKUP(BR$3,Conversions!$B$12:$E$34,4,0)))</f>
        <v>0</v>
      </c>
      <c r="AO173" s="330">
        <f t="shared" si="231"/>
        <v>0</v>
      </c>
      <c r="AP173" s="333">
        <f>IF($F173="",0,IF($F173="Weighted Average",$I173*VLOOKUP($D173&amp;" (Disposal)",Lists!$C$72:$R$232,COLUMNS(Lists!$C$69:E$69),0)*VLOOKUP(BE$3,Conversions!$B$12:$E$34,4,0),$I173*VLOOKUP($F173,Lists!$C$72:$R$232,COLUMNS(Lists!$C$69:E$69),0)*VLOOKUP(BE$3,Conversions!$B$12:$E$34,4,0)))</f>
        <v>0</v>
      </c>
      <c r="AQ173" s="333">
        <f>IF($F173="",0,IF($F173="Weighted Average",$I173*VLOOKUP($D173&amp;" (Disposal)",Lists!$C$72:$R$232,COLUMNS(Lists!$C$69:F$69),0)*VLOOKUP(BF$3,Conversions!$B$12:$E$34,4,0),$I173*VLOOKUP($F173,Lists!$C$72:$R$232,COLUMNS(Lists!$C$69:F$69),0)*VLOOKUP(BF$3,Conversions!$B$12:$E$34,4,0)))</f>
        <v>0</v>
      </c>
      <c r="AR173" s="333">
        <f>IF($F173="",0,IF($F173="Weighted Average",$I173*VLOOKUP($D173&amp;" (Disposal)",Lists!$C$72:$R$232,COLUMNS(Lists!$C$69:G$69),0)*VLOOKUP(BG$3,Conversions!$B$12:$E$34,4,0),$I173*VLOOKUP($F173,Lists!$C$72:$R$232,COLUMNS(Lists!$C$69:G$69),0)*VLOOKUP(BG$3,Conversions!$B$12:$E$34,4,0)))</f>
        <v>0</v>
      </c>
      <c r="AS173" s="333">
        <f>IF($F173="",0,IF($F173="Weighted Average",$I173*VLOOKUP($D173&amp;" (Disposal)",Lists!$C$72:$R$232,COLUMNS(Lists!$C$69:H$69),0)*VLOOKUP(BH$3,Conversions!$B$12:$E$34,4,0),$I173*VLOOKUP($F173,Lists!$C$72:$R$232,COLUMNS(Lists!$C$69:H$69),0)*VLOOKUP(BH$3,Conversions!$B$12:$E$34,4,0)))</f>
        <v>0</v>
      </c>
      <c r="AT173" s="333">
        <f>IF($F173="",0,IF($F173="Weighted Average",$I173*VLOOKUP($D173&amp;" (Disposal)",Lists!$C$72:$R$232,COLUMNS(Lists!$C$69:I$69),0)*VLOOKUP(BI$3,Conversions!$B$12:$E$34,4,0),$I173*VLOOKUP($F173,Lists!$C$72:$R$232,COLUMNS(Lists!$C$69:I$69),0)*VLOOKUP(BI$3,Conversions!$B$12:$E$34,4,0)))</f>
        <v>0</v>
      </c>
      <c r="AU173" s="333">
        <f>IF($F173="",0,IF($F173="Weighted Average",$I173*VLOOKUP($D173&amp;" (Disposal)",Lists!$C$72:$R$232,COLUMNS(Lists!$C$69:J$69),0)*VLOOKUP(BJ$3,Conversions!$B$12:$E$34,4,0),$I173*VLOOKUP($F173,Lists!$C$72:$R$232,COLUMNS(Lists!$C$69:J$69),0)*VLOOKUP(BJ$3,Conversions!$B$12:$E$34,4,0)))</f>
        <v>0</v>
      </c>
      <c r="AV173" s="333">
        <f>IF($F173="",0,IF($F173="Weighted Average",$I173*VLOOKUP($D173&amp;" (Disposal)",Lists!$C$72:$R$232,COLUMNS(Lists!$C$69:K$69),0)*VLOOKUP(BK$3,Conversions!$B$12:$E$34,4,0),$I173*VLOOKUP($F173,Lists!$C$72:$R$232,COLUMNS(Lists!$C$69:K$69),0)*VLOOKUP(BK$3,Conversions!$B$12:$E$34,4,0)))</f>
        <v>0</v>
      </c>
      <c r="AW173" s="333">
        <f>IF($F173="",0,IF($F173="Weighted Average",$I173*VLOOKUP($D173&amp;" (Disposal)",Lists!$C$72:$R$232,COLUMNS(Lists!$C$69:L$69),0)*VLOOKUP(BL$3,Conversions!$B$12:$E$34,4,0),$I173*VLOOKUP($F173,Lists!$C$72:$R$232,COLUMNS(Lists!$C$69:L$69),0)*VLOOKUP(BL$3,Conversions!$B$12:$E$34,4,0)))</f>
        <v>0</v>
      </c>
      <c r="AX173" s="333">
        <f>IF($F173="",0,IF($F173="Weighted Average",$I173*VLOOKUP($D173&amp;" (Disposal)",Lists!$C$72:$R$232,COLUMNS(Lists!$C$69:M$69),0)*VLOOKUP(BM$3,Conversions!$B$12:$E$34,4,0),$I173*VLOOKUP($F173,Lists!$C$72:$R$232,COLUMNS(Lists!$C$69:M$69),0)*VLOOKUP(BM$3,Conversions!$B$12:$E$34,4,0)))</f>
        <v>0</v>
      </c>
      <c r="AY173" s="333">
        <f>IF($F173="",0,IF($F173="Weighted Average",$I173*VLOOKUP($D173&amp;" (Disposal)",Lists!$C$72:$R$232,COLUMNS(Lists!$C$69:N$69),0)*VLOOKUP(BN$3,Conversions!$B$12:$E$34,4,0),$I173*VLOOKUP($F173,Lists!$C$72:$R$232,COLUMNS(Lists!$C$69:N$69),0)*VLOOKUP(BN$3,Conversions!$B$12:$E$34,4,0)))</f>
        <v>0</v>
      </c>
      <c r="AZ173" s="333">
        <f>IF($F173="",0,IF($F173="Weighted Average",$I173*VLOOKUP($D173&amp;" (Disposal)",Lists!$C$72:$R$232,COLUMNS(Lists!$C$69:O$69),0)*VLOOKUP(BO$3,Conversions!$B$12:$E$34,4,0),$I173*VLOOKUP($F173,Lists!$C$72:$R$232,COLUMNS(Lists!$C$69:O$69),0)*VLOOKUP(BO$3,Conversions!$B$12:$E$34,4,0)))</f>
        <v>0</v>
      </c>
      <c r="BA173" s="333">
        <f>IF($F173="",0,IF($F173="Weighted Average",$I173*VLOOKUP($D173&amp;" (Disposal)",Lists!$C$72:$R$232,COLUMNS(Lists!$C$69:P$69),0)*VLOOKUP(BP$3,Conversions!$B$12:$E$34,4,0),$I173*VLOOKUP($F173,Lists!$C$72:$R$232,COLUMNS(Lists!$C$69:P$69),0)*VLOOKUP(BP$3,Conversions!$B$12:$E$34,4,0)))</f>
        <v>0</v>
      </c>
      <c r="BB173" s="333">
        <f>IF($F173="",0,IF($F173="Weighted Average",$I173*VLOOKUP($D173&amp;" (Disposal)",Lists!$C$72:$R$232,COLUMNS(Lists!$C$69:Q$69),0)*VLOOKUP(BQ$3,Conversions!$B$12:$E$34,4,0),$I173*VLOOKUP($F173,Lists!$C$72:$R$232,COLUMNS(Lists!$C$69:Q$69),0)*VLOOKUP(BQ$3,Conversions!$B$12:$E$34,4,0)))</f>
        <v>0</v>
      </c>
      <c r="BC173" s="333">
        <f>IF($F173="",0,IF($F173="Weighted Average",$I173*VLOOKUP($D173&amp;" (Disposal)",Lists!$C$72:$R$232,COLUMNS(Lists!$C$69:R$69),0)*VLOOKUP(BR$3,Conversions!$B$12:$E$34,4,0),$I173*VLOOKUP($F173,Lists!$C$72:$R$232,COLUMNS(Lists!$C$69:R$69),0)*VLOOKUP(BR$3,Conversions!$B$12:$E$34,4,0)))</f>
        <v>0</v>
      </c>
      <c r="BD173" s="333">
        <f t="shared" si="232"/>
        <v>0</v>
      </c>
      <c r="BE173" s="330">
        <f t="shared" si="233"/>
        <v>0</v>
      </c>
      <c r="BF173" s="330">
        <f t="shared" si="214"/>
        <v>0</v>
      </c>
      <c r="BG173" s="330">
        <f t="shared" si="215"/>
        <v>0</v>
      </c>
      <c r="BH173" s="330">
        <f t="shared" si="216"/>
        <v>0</v>
      </c>
      <c r="BI173" s="330">
        <f t="shared" si="217"/>
        <v>0</v>
      </c>
      <c r="BJ173" s="330">
        <f t="shared" si="218"/>
        <v>0</v>
      </c>
      <c r="BK173" s="330">
        <f t="shared" si="219"/>
        <v>0</v>
      </c>
      <c r="BL173" s="330">
        <f t="shared" si="220"/>
        <v>0</v>
      </c>
      <c r="BM173" s="330">
        <f t="shared" si="221"/>
        <v>0</v>
      </c>
      <c r="BN173" s="330">
        <f t="shared" si="222"/>
        <v>0</v>
      </c>
      <c r="BO173" s="330">
        <f t="shared" si="223"/>
        <v>0</v>
      </c>
      <c r="BP173" s="330">
        <f t="shared" si="224"/>
        <v>0</v>
      </c>
      <c r="BQ173" s="330">
        <f t="shared" si="225"/>
        <v>0</v>
      </c>
      <c r="BR173" s="330">
        <f t="shared" si="226"/>
        <v>0</v>
      </c>
      <c r="BS173" s="330">
        <f t="shared" si="227"/>
        <v>0</v>
      </c>
      <c r="BT173" s="329">
        <f>IF($F173="",0,IF($F173="Weighted Average",$BS173*VLOOKUP($D173,'Default Values'!$B$78:$V$97,COLUMNS('Default Values'!$B$77:G$77),0),0))</f>
        <v>0</v>
      </c>
      <c r="BU173" s="329">
        <f>IF($F173="",0,IF($F173="Weighted Average",$BS173*VLOOKUP($D173,'Default Values'!$B$78:$V$97,COLUMNS('Default Values'!$B$77:H$77),0),0))</f>
        <v>0</v>
      </c>
      <c r="BV173" s="329">
        <f>IF($F173="",0,IF($F173="Weighted Average",$BS173*VLOOKUP($D173,'Default Values'!$B$78:$V$97,COLUMNS('Default Values'!$B$77:I$77),0),0))</f>
        <v>0</v>
      </c>
      <c r="BW173" s="329">
        <f>IF($F173="",0,IF($F173="Weighted Average",$BS173*VLOOKUP($D173,'Default Values'!$B$78:$V$97,COLUMNS('Default Values'!$B$77:J$77),0),0))</f>
        <v>0</v>
      </c>
      <c r="BX173" s="329">
        <f>IF($F173="",0,IF($F173="Weighted Average",$BS173*VLOOKUP($D173,'Default Values'!$B$78:$V$97,COLUMNS('Default Values'!$B$77:K$77),0),0))</f>
        <v>0</v>
      </c>
      <c r="BY173" s="329">
        <f>IF($F173="",0,IF($F173="Weighted Average",$BS173*VLOOKUP($D173,'Default Values'!$B$78:$V$97,COLUMNS('Default Values'!$B$77:L$77),0),0))</f>
        <v>0</v>
      </c>
      <c r="BZ173" s="329">
        <f>IF($F173="",0,IF($F173="Weighted Average",$BS173*VLOOKUP($D173,'Default Values'!$B$78:$V$97,COLUMNS('Default Values'!$B$77:M$77),0),0))</f>
        <v>0</v>
      </c>
      <c r="CA173" s="329">
        <f>IF($F173="",0,IF($F173="Weighted Average",$BS173*VLOOKUP($D173,'Default Values'!$B$78:$V$97,COLUMNS('Default Values'!$B$77:N$77),0),0))</f>
        <v>0</v>
      </c>
      <c r="CB173" s="329">
        <f>IF($F173="",0,IF($F173="Weighted Average",$BS173*VLOOKUP($D173,'Default Values'!$B$78:$V$97,COLUMNS('Default Values'!$B$77:O$77),0),0))</f>
        <v>0</v>
      </c>
      <c r="CC173" s="329">
        <f>IF($F173="",0,IF($F173="Weighted Average",$BS173*VLOOKUP($D173,'Default Values'!$B$78:$V$97,COLUMNS('Default Values'!$B$77:P$77),0),0))</f>
        <v>0</v>
      </c>
      <c r="CD173" s="329">
        <f>IF($F173="",0,IF($F173="Weighted Average",$BS173*VLOOKUP($D173,'Default Values'!$B$78:$V$97,COLUMNS('Default Values'!$B$77:Q$77),0),0))</f>
        <v>0</v>
      </c>
      <c r="CE173" s="329">
        <f>IF($F173="",0,IF($F173="Weighted Average",$BS173*VLOOKUP($D173,'Default Values'!$B$78:$V$97,COLUMNS('Default Values'!$B$77:R$77),0),0))</f>
        <v>0</v>
      </c>
      <c r="CF173" s="329">
        <f>IF($F173="",0,IF($F173="Weighted Average",$BS173*VLOOKUP($D173,'Default Values'!$B$78:$V$97,COLUMNS('Default Values'!$B$77:S$77),0),0))</f>
        <v>0</v>
      </c>
      <c r="CG173" s="329">
        <f>IF($F173="",0,IF($F173="Weighted Average",$BS173*VLOOKUP($D173,'Default Values'!$B$78:$V$97,COLUMNS('Default Values'!$B$77:T$77),0),0))</f>
        <v>0</v>
      </c>
      <c r="CH173" s="329">
        <f>IF($F173="",0,IF($F173="Weighted Average",$BS173*VLOOKUP($D173,'Default Values'!$B$78:$V$97,COLUMNS('Default Values'!$B$77:U$77),0),0))</f>
        <v>0</v>
      </c>
      <c r="CI173" s="329">
        <f>IF($F173="",0,IF($F173="Weighted Average",$BS173*VLOOKUP($D173,'Default Values'!$B$78:$V$97,COLUMNS('Default Values'!$B$77:V$77),0),0))</f>
        <v>0</v>
      </c>
      <c r="CJ173" s="331">
        <f t="shared" si="200"/>
        <v>0</v>
      </c>
      <c r="CK173" s="330">
        <f t="shared" si="201"/>
        <v>0</v>
      </c>
      <c r="CL173" s="330">
        <f t="shared" si="202"/>
        <v>0</v>
      </c>
      <c r="CM173" s="330">
        <f t="shared" si="203"/>
        <v>0</v>
      </c>
      <c r="CN173" s="330">
        <f t="shared" si="204"/>
        <v>0</v>
      </c>
      <c r="CO173" s="330">
        <f t="shared" si="205"/>
        <v>0</v>
      </c>
      <c r="CP173" s="330">
        <f t="shared" si="206"/>
        <v>0</v>
      </c>
      <c r="CQ173" s="330">
        <f t="shared" si="186"/>
        <v>0</v>
      </c>
      <c r="CR173" s="330">
        <f t="shared" si="207"/>
        <v>0</v>
      </c>
      <c r="CS173" s="330">
        <f t="shared" si="208"/>
        <v>0</v>
      </c>
      <c r="CT173" s="330">
        <f t="shared" si="209"/>
        <v>0</v>
      </c>
      <c r="CU173" s="330">
        <f t="shared" si="228"/>
        <v>0</v>
      </c>
      <c r="CV173" s="330">
        <f t="shared" si="228"/>
        <v>0</v>
      </c>
      <c r="CW173" s="330">
        <f t="shared" si="228"/>
        <v>0</v>
      </c>
      <c r="CX173" s="330">
        <f t="shared" si="228"/>
        <v>0</v>
      </c>
      <c r="CY173" s="330">
        <f t="shared" si="228"/>
        <v>0</v>
      </c>
      <c r="CZ173" s="330">
        <f t="shared" si="228"/>
        <v>0</v>
      </c>
      <c r="DA173" s="330">
        <f t="shared" si="228"/>
        <v>0</v>
      </c>
      <c r="DB173" s="330">
        <f t="shared" si="228"/>
        <v>0</v>
      </c>
      <c r="DC173" s="330">
        <f t="shared" si="228"/>
        <v>0</v>
      </c>
      <c r="DD173" s="330">
        <f t="shared" si="228"/>
        <v>0</v>
      </c>
      <c r="DE173" s="330">
        <f t="shared" si="229"/>
        <v>0</v>
      </c>
      <c r="DF173" s="330">
        <f t="shared" si="229"/>
        <v>0</v>
      </c>
      <c r="DG173" s="330">
        <f t="shared" si="229"/>
        <v>0</v>
      </c>
      <c r="DH173" s="330">
        <f t="shared" si="229"/>
        <v>0</v>
      </c>
      <c r="DI173" s="330">
        <f t="shared" si="229"/>
        <v>0</v>
      </c>
      <c r="DJ173" s="330">
        <f t="shared" si="229"/>
        <v>0</v>
      </c>
      <c r="DK173" s="330">
        <f t="shared" si="229"/>
        <v>0</v>
      </c>
      <c r="DL173" s="330">
        <f t="shared" si="229"/>
        <v>0</v>
      </c>
      <c r="DM173" s="330">
        <f t="shared" si="229"/>
        <v>0</v>
      </c>
      <c r="DN173" s="330">
        <f t="shared" si="229"/>
        <v>0</v>
      </c>
      <c r="DO173" s="330">
        <f t="shared" si="229"/>
        <v>0</v>
      </c>
      <c r="DP173" s="330">
        <f t="shared" si="213"/>
        <v>0</v>
      </c>
      <c r="DQ173" s="217"/>
      <c r="DR173" s="217"/>
      <c r="DS173" s="217"/>
      <c r="DT173" s="217"/>
    </row>
    <row r="174" spans="1:124" x14ac:dyDescent="0.3">
      <c r="A174" s="324"/>
      <c r="B174" s="221" t="s">
        <v>307</v>
      </c>
      <c r="C174" s="221" t="str">
        <f>IF('Simplified Screening 2'!C25=0,"",'Simplified Screening 2'!C25)</f>
        <v/>
      </c>
      <c r="D174" s="221" t="str">
        <f>IF('Simplified Screening 2'!D25=0,"",'Simplified Screening 2'!D25)</f>
        <v/>
      </c>
      <c r="E174" s="221"/>
      <c r="F174" s="221" t="str">
        <f>'Simplified Screening 2'!J25</f>
        <v/>
      </c>
      <c r="G174" s="335" t="str">
        <f>IF(D174="","",'Simplified Screening 2'!G25/1000*VLOOKUP(D174,'Default Values'!$B$78:$F$97,COLUMNS('Default Values'!$B$77:$D$77),0)/1000)</f>
        <v/>
      </c>
      <c r="H174" s="335" t="str">
        <f>IF(D174="","",'Simplified Screening 2'!G25/1000*VLOOKUP(D174,'Default Values'!$B$78:$F$97,COLUMNS('Default Values'!$B$77:$E$77),0)/1000)</f>
        <v/>
      </c>
      <c r="I174" s="335" t="str">
        <f>IF(D174="","",'Simplified Screening 2'!G25/1000*VLOOKUP(D174,'Default Values'!$B$78:$F$97,COLUMNS('Default Values'!$B$77:$F$77),0)/1000)</f>
        <v/>
      </c>
      <c r="J174" s="325">
        <f>IF('Simplified Screening 2'!H25=0,0,'Simplified Screening 2'!H25)</f>
        <v>0</v>
      </c>
      <c r="K174" s="465"/>
      <c r="L174" s="333">
        <f>IF($F174="",0,IF($F174="Weighted Average",$G174*VLOOKUP($D174&amp;" (Install)",Lists!$C$72:$R$232,COLUMNS(Lists!$C$69:E$69),0)*VLOOKUP(BE$3,Conversions!$B$12:$E$34,4,0),$G174*VLOOKUP($F174,Lists!$C$72:$R$232,COLUMNS(Lists!$C$69:E$69),0)*VLOOKUP(BE$3,Conversions!$B$12:$E$34,4,0)))</f>
        <v>0</v>
      </c>
      <c r="M174" s="333">
        <f>IF($F174="",0,IF($F174="Weighted Average",$G174*VLOOKUP($D174&amp;" (Install)",Lists!$C$72:$R$232,COLUMNS(Lists!$C$69:F$69),0)*VLOOKUP(BF$3,Conversions!$B$12:$E$34,4,0),$G174*VLOOKUP($F174,Lists!$C$72:$R$232,COLUMNS(Lists!$C$69:F$69),0)*VLOOKUP(BF$3,Conversions!$B$12:$E$34,4,0)))</f>
        <v>0</v>
      </c>
      <c r="N174" s="333">
        <f>IF($F174="",0,IF($F174="Weighted Average",$G174*VLOOKUP($D174&amp;" (Install)",Lists!$C$72:$R$232,COLUMNS(Lists!$C$69:G$69),0)*VLOOKUP(BG$3,Conversions!$B$12:$E$34,4,0),$G174*VLOOKUP($F174,Lists!$C$72:$R$232,COLUMNS(Lists!$C$69:G$69),0)*VLOOKUP(BG$3,Conversions!$B$12:$E$34,4,0)))</f>
        <v>0</v>
      </c>
      <c r="O174" s="333">
        <f>IF($F174="",0,IF($F174="Weighted Average",$G174*VLOOKUP($D174&amp;" (Install)",Lists!$C$72:$R$232,COLUMNS(Lists!$C$69:H$69),0)*VLOOKUP(BH$3,Conversions!$B$12:$E$34,4,0),$G174*VLOOKUP($F174,Lists!$C$72:$R$232,COLUMNS(Lists!$C$69:H$69),0)*VLOOKUP(BH$3,Conversions!$B$12:$E$34,4,0)))</f>
        <v>0</v>
      </c>
      <c r="P174" s="333">
        <f>IF($F174="",0,IF($F174="Weighted Average",$G174*VLOOKUP($D174&amp;" (Install)",Lists!$C$72:$R$232,COLUMNS(Lists!$C$69:I$69),0)*VLOOKUP(BI$3,Conversions!$B$12:$E$34,4,0),$G174*VLOOKUP($F174,Lists!$C$72:$R$232,COLUMNS(Lists!$C$69:I$69),0)*VLOOKUP(BI$3,Conversions!$B$12:$E$34,4,0)))</f>
        <v>0</v>
      </c>
      <c r="Q174" s="333">
        <f>IF($F174="",0,IF($F174="Weighted Average",$G174*VLOOKUP($D174&amp;" (Install)",Lists!$C$72:$R$232,COLUMNS(Lists!$C$69:J$69),0)*VLOOKUP(BJ$3,Conversions!$B$12:$E$34,4,0),$G174*VLOOKUP($F174,Lists!$C$72:$R$232,COLUMNS(Lists!$C$69:J$69),0)*VLOOKUP(BJ$3,Conversions!$B$12:$E$34,4,0)))</f>
        <v>0</v>
      </c>
      <c r="R174" s="333">
        <f>IF($F174="",0,IF($F174="Weighted Average",$G174*VLOOKUP($D174&amp;" (Install)",Lists!$C$72:$R$232,COLUMNS(Lists!$C$69:K$69),0)*VLOOKUP(BK$3,Conversions!$B$12:$E$34,4,0),$G174*VLOOKUP($F174,Lists!$C$72:$R$232,COLUMNS(Lists!$C$69:K$69),0)*VLOOKUP(BK$3,Conversions!$B$12:$E$34,4,0)))</f>
        <v>0</v>
      </c>
      <c r="S174" s="333">
        <f>IF($F174="",0,IF($F174="Weighted Average",$G174*VLOOKUP($D174&amp;" (Install)",Lists!$C$72:$R$232,COLUMNS(Lists!$C$69:L$69),0)*VLOOKUP(BL$3,Conversions!$B$12:$E$34,4,0),$G174*VLOOKUP($F174,Lists!$C$72:$R$232,COLUMNS(Lists!$C$69:L$69),0)*VLOOKUP(BL$3,Conversions!$B$12:$E$34,4,0)))</f>
        <v>0</v>
      </c>
      <c r="T174" s="333">
        <f>IF($F174="",0,IF($F174="Weighted Average",$G174*VLOOKUP($D174&amp;" (Install)",Lists!$C$72:$R$232,COLUMNS(Lists!$C$69:M$69),0)*VLOOKUP(BM$3,Conversions!$B$12:$E$34,4,0),$G174*VLOOKUP($F174,Lists!$C$72:$R$232,COLUMNS(Lists!$C$69:M$69),0)*VLOOKUP(BM$3,Conversions!$B$12:$E$34,4,0)))</f>
        <v>0</v>
      </c>
      <c r="U174" s="333">
        <f>IF($F174="",0,IF($F174="Weighted Average",$G174*VLOOKUP($D174&amp;" (Install)",Lists!$C$72:$R$232,COLUMNS(Lists!$C$69:N$69),0)*VLOOKUP(BN$3,Conversions!$B$12:$E$34,4,0),$G174*VLOOKUP($F174,Lists!$C$72:$R$232,COLUMNS(Lists!$C$69:N$69),0)*VLOOKUP(BN$3,Conversions!$B$12:$E$34,4,0)))</f>
        <v>0</v>
      </c>
      <c r="V174" s="333">
        <f>IF($F174="",0,IF($F174="Weighted Average",$G174*VLOOKUP($D174&amp;" (Install)",Lists!$C$72:$R$232,COLUMNS(Lists!$C$69:O$69),0)*VLOOKUP(BO$3,Conversions!$B$12:$E$34,4,0),$G174*VLOOKUP($F174,Lists!$C$72:$R$232,COLUMNS(Lists!$C$69:O$69),0)*VLOOKUP(BO$3,Conversions!$B$12:$E$34,4,0)))</f>
        <v>0</v>
      </c>
      <c r="W174" s="333">
        <f>IF($F174="",0,IF($F174="Weighted Average",$G174*VLOOKUP($D174&amp;" (Install)",Lists!$C$72:$R$232,COLUMNS(Lists!$C$69:P$69),0)*VLOOKUP(BP$3,Conversions!$B$12:$E$34,4,0),$G174*VLOOKUP($F174,Lists!$C$72:$R$232,COLUMNS(Lists!$C$69:P$69),0)*VLOOKUP(BP$3,Conversions!$B$12:$E$34,4,0)))</f>
        <v>0</v>
      </c>
      <c r="X174" s="333">
        <f>IF($F174="",0,IF($F174="Weighted Average",$G174*VLOOKUP($D174&amp;" (Install)",Lists!$C$72:$R$232,COLUMNS(Lists!$C$69:Q$69),0)*VLOOKUP(BQ$3,Conversions!$B$12:$E$34,4,0),$G174*VLOOKUP($F174,Lists!$C$72:$R$232,COLUMNS(Lists!$C$69:Q$69),0)*VLOOKUP(BQ$3,Conversions!$B$12:$E$34,4,0)))</f>
        <v>0</v>
      </c>
      <c r="Y174" s="333">
        <f>IF($F174="",0,IF($F174="Weighted Average",$G174*VLOOKUP($D174&amp;" (Install)",Lists!$C$72:$R$232,COLUMNS(Lists!$C$69:R$69),0)*VLOOKUP(BR$3,Conversions!$B$12:$E$34,4,0),$G174*VLOOKUP($F174,Lists!$C$72:$R$232,COLUMNS(Lists!$C$69:R$69),0)*VLOOKUP(BR$3,Conversions!$B$12:$E$34,4,0)))</f>
        <v>0</v>
      </c>
      <c r="Z174" s="325">
        <f t="shared" ref="Z174:Z193" si="234">SUM(L174:Y174)</f>
        <v>0</v>
      </c>
      <c r="AA174" s="334">
        <f>IF($F174="",0,IF($F174="Weighted Average",$H174*VLOOKUP($D174&amp;" (Operation)",Lists!$C$72:$R$232,COLUMNS(Lists!$C$69:E$69),0)*VLOOKUP(BE$3,Conversions!$B$12:$E$34,4,0),$H174*VLOOKUP($F174,Lists!$C$72:$R$232,COLUMNS(Lists!$C$69:E$69),0)*VLOOKUP(BE$3,Conversions!$B$12:$E$34,4,0)))</f>
        <v>0</v>
      </c>
      <c r="AB174" s="334">
        <f>IF($F174="",0,IF($F174="Weighted Average",$H174*VLOOKUP($D174&amp;" (Operation)",Lists!$C$72:$R$232,COLUMNS(Lists!$C$69:F$69),0)*VLOOKUP(BF$3,Conversions!$B$12:$E$34,4,0),$H174*VLOOKUP($F174,Lists!$C$72:$R$232,COLUMNS(Lists!$C$69:F$69),0)*VLOOKUP(BF$3,Conversions!$B$12:$E$34,4,0)))</f>
        <v>0</v>
      </c>
      <c r="AC174" s="334">
        <f>IF($F174="",0,IF($F174="Weighted Average",$H174*VLOOKUP($D174&amp;" (Operation)",Lists!$C$72:$R$232,COLUMNS(Lists!$C$69:G$69),0)*VLOOKUP(BG$3,Conversions!$B$12:$E$34,4,0),$H174*VLOOKUP($F174,Lists!$C$72:$R$232,COLUMNS(Lists!$C$69:G$69),0)*VLOOKUP(BG$3,Conversions!$B$12:$E$34,4,0)))</f>
        <v>0</v>
      </c>
      <c r="AD174" s="334">
        <f>IF($F174="",0,IF($F174="Weighted Average",$H174*VLOOKUP($D174&amp;" (Operation)",Lists!$C$72:$R$232,COLUMNS(Lists!$C$69:H$69),0)*VLOOKUP(BH$3,Conversions!$B$12:$E$34,4,0),$H174*VLOOKUP($F174,Lists!$C$72:$R$232,COLUMNS(Lists!$C$69:H$69),0)*VLOOKUP(BH$3,Conversions!$B$12:$E$34,4,0)))</f>
        <v>0</v>
      </c>
      <c r="AE174" s="334">
        <f>IF($F174="",0,IF($F174="Weighted Average",$H174*VLOOKUP($D174&amp;" (Operation)",Lists!$C$72:$R$232,COLUMNS(Lists!$C$69:I$69),0)*VLOOKUP(BI$3,Conversions!$B$12:$E$34,4,0),$H174*VLOOKUP($F174,Lists!$C$72:$R$232,COLUMNS(Lists!$C$69:I$69),0)*VLOOKUP(BI$3,Conversions!$B$12:$E$34,4,0)))</f>
        <v>0</v>
      </c>
      <c r="AF174" s="334">
        <f>IF($F174="",0,IF($F174="Weighted Average",$H174*VLOOKUP($D174&amp;" (Operation)",Lists!$C$72:$R$232,COLUMNS(Lists!$C$69:J$69),0)*VLOOKUP(BJ$3,Conversions!$B$12:$E$34,4,0),$H174*VLOOKUP($F174,Lists!$C$72:$R$232,COLUMNS(Lists!$C$69:J$69),0)*VLOOKUP(BJ$3,Conversions!$B$12:$E$34,4,0)))</f>
        <v>0</v>
      </c>
      <c r="AG174" s="334">
        <f>IF($F174="",0,IF($F174="Weighted Average",$H174*VLOOKUP($D174&amp;" (Operation)",Lists!$C$72:$R$232,COLUMNS(Lists!$C$69:K$69),0)*VLOOKUP(BK$3,Conversions!$B$12:$E$34,4,0),$H174*VLOOKUP($F174,Lists!$C$72:$R$232,COLUMNS(Lists!$C$69:K$69),0)*VLOOKUP(BK$3,Conversions!$B$12:$E$34,4,0)))</f>
        <v>0</v>
      </c>
      <c r="AH174" s="334">
        <f>IF($F174="",0,IF($F174="Weighted Average",$H174*VLOOKUP($D174&amp;" (Operation)",Lists!$C$72:$R$232,COLUMNS(Lists!$C$69:L$69),0)*VLOOKUP(BL$3,Conversions!$B$12:$E$34,4,0),$H174*VLOOKUP($F174,Lists!$C$72:$R$232,COLUMNS(Lists!$C$69:L$69),0)*VLOOKUP(BL$3,Conversions!$B$12:$E$34,4,0)))</f>
        <v>0</v>
      </c>
      <c r="AI174" s="334">
        <f>IF($F174="",0,IF($F174="Weighted Average",$H174*VLOOKUP($D174&amp;" (Operation)",Lists!$C$72:$R$232,COLUMNS(Lists!$C$69:M$69),0)*VLOOKUP(BM$3,Conversions!$B$12:$E$34,4,0),$H174*VLOOKUP($F174,Lists!$C$72:$R$232,COLUMNS(Lists!$C$69:M$69),0)*VLOOKUP(BM$3,Conversions!$B$12:$E$34,4,0)))</f>
        <v>0</v>
      </c>
      <c r="AJ174" s="334">
        <f>IF($F174="",0,IF($F174="Weighted Average",$H174*VLOOKUP($D174&amp;" (Operation)",Lists!$C$72:$R$232,COLUMNS(Lists!$C$69:N$69),0)*VLOOKUP(BN$3,Conversions!$B$12:$E$34,4,0),$H174*VLOOKUP($F174,Lists!$C$72:$R$232,COLUMNS(Lists!$C$69:N$69),0)*VLOOKUP(BN$3,Conversions!$B$12:$E$34,4,0)))</f>
        <v>0</v>
      </c>
      <c r="AK174" s="334">
        <f>IF($F174="",0,IF($F174="Weighted Average",$H174*VLOOKUP($D174&amp;" (Operation)",Lists!$C$72:$R$232,COLUMNS(Lists!$C$69:O$69),0)*VLOOKUP(BO$3,Conversions!$B$12:$E$34,4,0),$H174*VLOOKUP($F174,Lists!$C$72:$R$232,COLUMNS(Lists!$C$69:O$69),0)*VLOOKUP(BO$3,Conversions!$B$12:$E$34,4,0)))</f>
        <v>0</v>
      </c>
      <c r="AL174" s="334">
        <f>IF($F174="",0,IF($F174="Weighted Average",$H174*VLOOKUP($D174&amp;" (Operation)",Lists!$C$72:$R$232,COLUMNS(Lists!$C$69:P$69),0)*VLOOKUP(BP$3,Conversions!$B$12:$E$34,4,0),$H174*VLOOKUP($F174,Lists!$C$72:$R$232,COLUMNS(Lists!$C$69:P$69),0)*VLOOKUP(BP$3,Conversions!$B$12:$E$34,4,0)))</f>
        <v>0</v>
      </c>
      <c r="AM174" s="334">
        <f>IF($F174="",0,IF($F174="Weighted Average",$H174*VLOOKUP($D174&amp;" (Operation)",Lists!$C$72:$R$232,COLUMNS(Lists!$C$69:Q$69),0)*VLOOKUP(BQ$3,Conversions!$B$12:$E$34,4,0),$H174*VLOOKUP($F174,Lists!$C$72:$R$232,COLUMNS(Lists!$C$69:Q$69),0)*VLOOKUP(BQ$3,Conversions!$B$12:$E$34,4,0)))</f>
        <v>0</v>
      </c>
      <c r="AN174" s="334">
        <f>IF($F174="",0,IF($F174="Weighted Average",$H174*VLOOKUP($D174&amp;" (Operation)",Lists!$C$72:$R$232,COLUMNS(Lists!$C$69:R$69),0)*VLOOKUP(BR$3,Conversions!$B$12:$E$34,4,0),$H174*VLOOKUP($F174,Lists!$C$72:$R$232,COLUMNS(Lists!$C$69:R$69),0)*VLOOKUP(BR$3,Conversions!$B$12:$E$34,4,0)))</f>
        <v>0</v>
      </c>
      <c r="AO174" s="330">
        <f t="shared" ref="AO174:AO193" si="235">SUM(AA174:AN174)</f>
        <v>0</v>
      </c>
      <c r="AP174" s="333">
        <f>IF($F174="",0,IF($F174="Weighted Average",$I174*VLOOKUP($D174&amp;" (Disposal)",Lists!$C$72:$R$232,COLUMNS(Lists!$C$69:E$69),0)*VLOOKUP(BE$3,Conversions!$B$12:$E$34,4,0),$I174*VLOOKUP($F174,Lists!$C$72:$R$232,COLUMNS(Lists!$C$69:E$69),0)*VLOOKUP(BE$3,Conversions!$B$12:$E$34,4,0)))</f>
        <v>0</v>
      </c>
      <c r="AQ174" s="333">
        <f>IF($F174="",0,IF($F174="Weighted Average",$I174*VLOOKUP($D174&amp;" (Disposal)",Lists!$C$72:$R$232,COLUMNS(Lists!$C$69:F$69),0)*VLOOKUP(BF$3,Conversions!$B$12:$E$34,4,0),$I174*VLOOKUP($F174,Lists!$C$72:$R$232,COLUMNS(Lists!$C$69:F$69),0)*VLOOKUP(BF$3,Conversions!$B$12:$E$34,4,0)))</f>
        <v>0</v>
      </c>
      <c r="AR174" s="333">
        <f>IF($F174="",0,IF($F174="Weighted Average",$I174*VLOOKUP($D174&amp;" (Disposal)",Lists!$C$72:$R$232,COLUMNS(Lists!$C$69:G$69),0)*VLOOKUP(BG$3,Conversions!$B$12:$E$34,4,0),$I174*VLOOKUP($F174,Lists!$C$72:$R$232,COLUMNS(Lists!$C$69:G$69),0)*VLOOKUP(BG$3,Conversions!$B$12:$E$34,4,0)))</f>
        <v>0</v>
      </c>
      <c r="AS174" s="333">
        <f>IF($F174="",0,IF($F174="Weighted Average",$I174*VLOOKUP($D174&amp;" (Disposal)",Lists!$C$72:$R$232,COLUMNS(Lists!$C$69:H$69),0)*VLOOKUP(BH$3,Conversions!$B$12:$E$34,4,0),$I174*VLOOKUP($F174,Lists!$C$72:$R$232,COLUMNS(Lists!$C$69:H$69),0)*VLOOKUP(BH$3,Conversions!$B$12:$E$34,4,0)))</f>
        <v>0</v>
      </c>
      <c r="AT174" s="333">
        <f>IF($F174="",0,IF($F174="Weighted Average",$I174*VLOOKUP($D174&amp;" (Disposal)",Lists!$C$72:$R$232,COLUMNS(Lists!$C$69:I$69),0)*VLOOKUP(BI$3,Conversions!$B$12:$E$34,4,0),$I174*VLOOKUP($F174,Lists!$C$72:$R$232,COLUMNS(Lists!$C$69:I$69),0)*VLOOKUP(BI$3,Conversions!$B$12:$E$34,4,0)))</f>
        <v>0</v>
      </c>
      <c r="AU174" s="333">
        <f>IF($F174="",0,IF($F174="Weighted Average",$I174*VLOOKUP($D174&amp;" (Disposal)",Lists!$C$72:$R$232,COLUMNS(Lists!$C$69:J$69),0)*VLOOKUP(BJ$3,Conversions!$B$12:$E$34,4,0),$I174*VLOOKUP($F174,Lists!$C$72:$R$232,COLUMNS(Lists!$C$69:J$69),0)*VLOOKUP(BJ$3,Conversions!$B$12:$E$34,4,0)))</f>
        <v>0</v>
      </c>
      <c r="AV174" s="333">
        <f>IF($F174="",0,IF($F174="Weighted Average",$I174*VLOOKUP($D174&amp;" (Disposal)",Lists!$C$72:$R$232,COLUMNS(Lists!$C$69:K$69),0)*VLOOKUP(BK$3,Conversions!$B$12:$E$34,4,0),$I174*VLOOKUP($F174,Lists!$C$72:$R$232,COLUMNS(Lists!$C$69:K$69),0)*VLOOKUP(BK$3,Conversions!$B$12:$E$34,4,0)))</f>
        <v>0</v>
      </c>
      <c r="AW174" s="333">
        <f>IF($F174="",0,IF($F174="Weighted Average",$I174*VLOOKUP($D174&amp;" (Disposal)",Lists!$C$72:$R$232,COLUMNS(Lists!$C$69:L$69),0)*VLOOKUP(BL$3,Conversions!$B$12:$E$34,4,0),$I174*VLOOKUP($F174,Lists!$C$72:$R$232,COLUMNS(Lists!$C$69:L$69),0)*VLOOKUP(BL$3,Conversions!$B$12:$E$34,4,0)))</f>
        <v>0</v>
      </c>
      <c r="AX174" s="333">
        <f>IF($F174="",0,IF($F174="Weighted Average",$I174*VLOOKUP($D174&amp;" (Disposal)",Lists!$C$72:$R$232,COLUMNS(Lists!$C$69:M$69),0)*VLOOKUP(BM$3,Conversions!$B$12:$E$34,4,0),$I174*VLOOKUP($F174,Lists!$C$72:$R$232,COLUMNS(Lists!$C$69:M$69),0)*VLOOKUP(BM$3,Conversions!$B$12:$E$34,4,0)))</f>
        <v>0</v>
      </c>
      <c r="AY174" s="333">
        <f>IF($F174="",0,IF($F174="Weighted Average",$I174*VLOOKUP($D174&amp;" (Disposal)",Lists!$C$72:$R$232,COLUMNS(Lists!$C$69:N$69),0)*VLOOKUP(BN$3,Conversions!$B$12:$E$34,4,0),$I174*VLOOKUP($F174,Lists!$C$72:$R$232,COLUMNS(Lists!$C$69:N$69),0)*VLOOKUP(BN$3,Conversions!$B$12:$E$34,4,0)))</f>
        <v>0</v>
      </c>
      <c r="AZ174" s="333">
        <f>IF($F174="",0,IF($F174="Weighted Average",$I174*VLOOKUP($D174&amp;" (Disposal)",Lists!$C$72:$R$232,COLUMNS(Lists!$C$69:O$69),0)*VLOOKUP(BO$3,Conversions!$B$12:$E$34,4,0),$I174*VLOOKUP($F174,Lists!$C$72:$R$232,COLUMNS(Lists!$C$69:O$69),0)*VLOOKUP(BO$3,Conversions!$B$12:$E$34,4,0)))</f>
        <v>0</v>
      </c>
      <c r="BA174" s="333">
        <f>IF($F174="",0,IF($F174="Weighted Average",$I174*VLOOKUP($D174&amp;" (Disposal)",Lists!$C$72:$R$232,COLUMNS(Lists!$C$69:P$69),0)*VLOOKUP(BP$3,Conversions!$B$12:$E$34,4,0),$I174*VLOOKUP($F174,Lists!$C$72:$R$232,COLUMNS(Lists!$C$69:P$69),0)*VLOOKUP(BP$3,Conversions!$B$12:$E$34,4,0)))</f>
        <v>0</v>
      </c>
      <c r="BB174" s="333">
        <f>IF($F174="",0,IF($F174="Weighted Average",$I174*VLOOKUP($D174&amp;" (Disposal)",Lists!$C$72:$R$232,COLUMNS(Lists!$C$69:Q$69),0)*VLOOKUP(BQ$3,Conversions!$B$12:$E$34,4,0),$I174*VLOOKUP($F174,Lists!$C$72:$R$232,COLUMNS(Lists!$C$69:Q$69),0)*VLOOKUP(BQ$3,Conversions!$B$12:$E$34,4,0)))</f>
        <v>0</v>
      </c>
      <c r="BC174" s="333">
        <f>IF($F174="",0,IF($F174="Weighted Average",$I174*VLOOKUP($D174&amp;" (Disposal)",Lists!$C$72:$R$232,COLUMNS(Lists!$C$69:R$69),0)*VLOOKUP(BR$3,Conversions!$B$12:$E$34,4,0),$I174*VLOOKUP($F174,Lists!$C$72:$R$232,COLUMNS(Lists!$C$69:R$69),0)*VLOOKUP(BR$3,Conversions!$B$12:$E$34,4,0)))</f>
        <v>0</v>
      </c>
      <c r="BD174" s="333">
        <f t="shared" ref="BD174:BD193" si="236">SUM(AP174:BC174)</f>
        <v>0</v>
      </c>
      <c r="BE174" s="330">
        <f t="shared" ref="BE174:BE193" si="237">L174+AA174+AP174</f>
        <v>0</v>
      </c>
      <c r="BF174" s="330">
        <f t="shared" ref="BF174:BF193" si="238">M174+AB174+AQ174</f>
        <v>0</v>
      </c>
      <c r="BG174" s="330">
        <f t="shared" ref="BG174:BG193" si="239">N174+AC174+AR174</f>
        <v>0</v>
      </c>
      <c r="BH174" s="330">
        <f t="shared" ref="BH174:BH193" si="240">O174+AD174+AS174</f>
        <v>0</v>
      </c>
      <c r="BI174" s="330">
        <f t="shared" ref="BI174:BI193" si="241">P174+AE174+AT174</f>
        <v>0</v>
      </c>
      <c r="BJ174" s="330">
        <f t="shared" ref="BJ174:BJ193" si="242">Q174+AF174+AU174</f>
        <v>0</v>
      </c>
      <c r="BK174" s="330">
        <f t="shared" ref="BK174:BK193" si="243">R174+AG174+AV174</f>
        <v>0</v>
      </c>
      <c r="BL174" s="330">
        <f t="shared" ref="BL174:BL193" si="244">S174+AH174+AW174</f>
        <v>0</v>
      </c>
      <c r="BM174" s="330">
        <f t="shared" ref="BM174:BM193" si="245">T174+AI174+AX174</f>
        <v>0</v>
      </c>
      <c r="BN174" s="330">
        <f t="shared" ref="BN174:BN193" si="246">U174+AJ174+AY174</f>
        <v>0</v>
      </c>
      <c r="BO174" s="330">
        <f t="shared" ref="BO174:BO193" si="247">V174+AK174+AZ174</f>
        <v>0</v>
      </c>
      <c r="BP174" s="330">
        <f t="shared" ref="BP174:BP193" si="248">W174+AL174+BA174</f>
        <v>0</v>
      </c>
      <c r="BQ174" s="330">
        <f t="shared" ref="BQ174:BQ193" si="249">X174+AM174+BB174</f>
        <v>0</v>
      </c>
      <c r="BR174" s="330">
        <f t="shared" ref="BR174:BR193" si="250">Y174+AN174+BC174</f>
        <v>0</v>
      </c>
      <c r="BS174" s="330">
        <f t="shared" ref="BS174:BS193" si="251">Z174+AO174+BD174</f>
        <v>0</v>
      </c>
      <c r="BT174" s="329">
        <f>IF($F174="",0,IF($F174="Weighted Average",$BS174*VLOOKUP($D174,'Default Values'!$B$78:$V$97,COLUMNS('Default Values'!$B$77:G$77),0),0))</f>
        <v>0</v>
      </c>
      <c r="BU174" s="329">
        <f>IF($F174="",0,IF($F174="Weighted Average",$BS174*VLOOKUP($D174,'Default Values'!$B$78:$V$97,COLUMNS('Default Values'!$B$77:H$77),0),0))</f>
        <v>0</v>
      </c>
      <c r="BV174" s="329">
        <f>IF($F174="",0,IF($F174="Weighted Average",$BS174*VLOOKUP($D174,'Default Values'!$B$78:$V$97,COLUMNS('Default Values'!$B$77:I$77),0),0))</f>
        <v>0</v>
      </c>
      <c r="BW174" s="329">
        <f>IF($F174="",0,IF($F174="Weighted Average",$BS174*VLOOKUP($D174,'Default Values'!$B$78:$V$97,COLUMNS('Default Values'!$B$77:J$77),0),0))</f>
        <v>0</v>
      </c>
      <c r="BX174" s="329">
        <f>IF($F174="",0,IF($F174="Weighted Average",$BS174*VLOOKUP($D174,'Default Values'!$B$78:$V$97,COLUMNS('Default Values'!$B$77:K$77),0),0))</f>
        <v>0</v>
      </c>
      <c r="BY174" s="329">
        <f>IF($F174="",0,IF($F174="Weighted Average",$BS174*VLOOKUP($D174,'Default Values'!$B$78:$V$97,COLUMNS('Default Values'!$B$77:L$77),0),0))</f>
        <v>0</v>
      </c>
      <c r="BZ174" s="329">
        <f>IF($F174="",0,IF($F174="Weighted Average",$BS174*VLOOKUP($D174,'Default Values'!$B$78:$V$97,COLUMNS('Default Values'!$B$77:M$77),0),0))</f>
        <v>0</v>
      </c>
      <c r="CA174" s="329">
        <f>IF($F174="",0,IF($F174="Weighted Average",$BS174*VLOOKUP($D174,'Default Values'!$B$78:$V$97,COLUMNS('Default Values'!$B$77:N$77),0),0))</f>
        <v>0</v>
      </c>
      <c r="CB174" s="329">
        <f>IF($F174="",0,IF($F174="Weighted Average",$BS174*VLOOKUP($D174,'Default Values'!$B$78:$V$97,COLUMNS('Default Values'!$B$77:O$77),0),0))</f>
        <v>0</v>
      </c>
      <c r="CC174" s="329">
        <f>IF($F174="",0,IF($F174="Weighted Average",$BS174*VLOOKUP($D174,'Default Values'!$B$78:$V$97,COLUMNS('Default Values'!$B$77:P$77),0),0))</f>
        <v>0</v>
      </c>
      <c r="CD174" s="329">
        <f>IF($F174="",0,IF($F174="Weighted Average",$BS174*VLOOKUP($D174,'Default Values'!$B$78:$V$97,COLUMNS('Default Values'!$B$77:Q$77),0),0))</f>
        <v>0</v>
      </c>
      <c r="CE174" s="329">
        <f>IF($F174="",0,IF($F174="Weighted Average",$BS174*VLOOKUP($D174,'Default Values'!$B$78:$V$97,COLUMNS('Default Values'!$B$77:R$77),0),0))</f>
        <v>0</v>
      </c>
      <c r="CF174" s="329">
        <f>IF($F174="",0,IF($F174="Weighted Average",$BS174*VLOOKUP($D174,'Default Values'!$B$78:$V$97,COLUMNS('Default Values'!$B$77:S$77),0),0))</f>
        <v>0</v>
      </c>
      <c r="CG174" s="329">
        <f>IF($F174="",0,IF($F174="Weighted Average",$BS174*VLOOKUP($D174,'Default Values'!$B$78:$V$97,COLUMNS('Default Values'!$B$77:T$77),0),0))</f>
        <v>0</v>
      </c>
      <c r="CH174" s="329">
        <f>IF($F174="",0,IF($F174="Weighted Average",$BS174*VLOOKUP($D174,'Default Values'!$B$78:$V$97,COLUMNS('Default Values'!$B$77:U$77),0),0))</f>
        <v>0</v>
      </c>
      <c r="CI174" s="329">
        <f>IF($F174="",0,IF($F174="Weighted Average",$BS174*VLOOKUP($D174,'Default Values'!$B$78:$V$97,COLUMNS('Default Values'!$B$77:V$77),0),0))</f>
        <v>0</v>
      </c>
      <c r="CJ174" s="331">
        <f t="shared" ref="CJ174:CJ193" si="252">SUM(BT174:CI174)</f>
        <v>0</v>
      </c>
      <c r="CK174" s="330">
        <f t="shared" ref="CK174:CK193" si="253">BT174</f>
        <v>0</v>
      </c>
      <c r="CL174" s="330">
        <f t="shared" ref="CL174:CL193" si="254">BU174+BV174+BW174</f>
        <v>0</v>
      </c>
      <c r="CM174" s="330">
        <f t="shared" ref="CM174:CM193" si="255">BX174</f>
        <v>0</v>
      </c>
      <c r="CN174" s="330">
        <f t="shared" ref="CN174:CN193" si="256">BY174+BZ174</f>
        <v>0</v>
      </c>
      <c r="CO174" s="330">
        <f t="shared" ref="CO174:CO193" si="257">CA174</f>
        <v>0</v>
      </c>
      <c r="CP174" s="330">
        <f t="shared" ref="CP174:CP193" si="258">CB174</f>
        <v>0</v>
      </c>
      <c r="CQ174" s="330">
        <f t="shared" si="186"/>
        <v>0</v>
      </c>
      <c r="CR174" s="330">
        <f t="shared" ref="CR174:CR193" si="259">CE174+CF174</f>
        <v>0</v>
      </c>
      <c r="CS174" s="330">
        <f t="shared" ref="CS174:CS193" si="260">CG174+CH174+CI174</f>
        <v>0</v>
      </c>
      <c r="CT174" s="330">
        <f t="shared" ref="CT174:CT193" si="261">SUM(CK174:CS174)</f>
        <v>0</v>
      </c>
      <c r="CU174" s="330">
        <f t="shared" ref="CU174:DD183" si="262">IF($C174=CU$3,$BS174,0)</f>
        <v>0</v>
      </c>
      <c r="CV174" s="330">
        <f t="shared" si="262"/>
        <v>0</v>
      </c>
      <c r="CW174" s="330">
        <f t="shared" si="262"/>
        <v>0</v>
      </c>
      <c r="CX174" s="330">
        <f t="shared" si="262"/>
        <v>0</v>
      </c>
      <c r="CY174" s="330">
        <f t="shared" si="262"/>
        <v>0</v>
      </c>
      <c r="CZ174" s="330">
        <f t="shared" si="262"/>
        <v>0</v>
      </c>
      <c r="DA174" s="330">
        <f t="shared" si="262"/>
        <v>0</v>
      </c>
      <c r="DB174" s="330">
        <f t="shared" si="262"/>
        <v>0</v>
      </c>
      <c r="DC174" s="330">
        <f t="shared" si="262"/>
        <v>0</v>
      </c>
      <c r="DD174" s="330">
        <f t="shared" si="262"/>
        <v>0</v>
      </c>
      <c r="DE174" s="330">
        <f t="shared" ref="DE174:DO183" si="263">IF($C174=DE$3,$BS174,0)</f>
        <v>0</v>
      </c>
      <c r="DF174" s="330">
        <f t="shared" si="263"/>
        <v>0</v>
      </c>
      <c r="DG174" s="330">
        <f t="shared" si="263"/>
        <v>0</v>
      </c>
      <c r="DH174" s="330">
        <f t="shared" si="263"/>
        <v>0</v>
      </c>
      <c r="DI174" s="330">
        <f t="shared" si="263"/>
        <v>0</v>
      </c>
      <c r="DJ174" s="330">
        <f t="shared" si="263"/>
        <v>0</v>
      </c>
      <c r="DK174" s="330">
        <f t="shared" si="263"/>
        <v>0</v>
      </c>
      <c r="DL174" s="330">
        <f t="shared" si="263"/>
        <v>0</v>
      </c>
      <c r="DM174" s="330">
        <f t="shared" si="263"/>
        <v>0</v>
      </c>
      <c r="DN174" s="330">
        <f t="shared" si="263"/>
        <v>0</v>
      </c>
      <c r="DO174" s="330">
        <f t="shared" si="263"/>
        <v>0</v>
      </c>
      <c r="DP174" s="330">
        <f t="shared" ref="DP174:DP193" si="264">BS174</f>
        <v>0</v>
      </c>
      <c r="DQ174" s="217"/>
      <c r="DR174" s="217"/>
      <c r="DS174" s="217"/>
      <c r="DT174" s="217"/>
    </row>
    <row r="175" spans="1:124" x14ac:dyDescent="0.3">
      <c r="A175" s="324"/>
      <c r="B175" s="221" t="s">
        <v>307</v>
      </c>
      <c r="C175" s="221" t="str">
        <f>IF('Simplified Screening 2'!C26=0,"",'Simplified Screening 2'!C26)</f>
        <v/>
      </c>
      <c r="D175" s="221" t="str">
        <f>IF('Simplified Screening 2'!D26=0,"",'Simplified Screening 2'!D26)</f>
        <v/>
      </c>
      <c r="E175" s="221"/>
      <c r="F175" s="221" t="str">
        <f>'Simplified Screening 2'!J26</f>
        <v/>
      </c>
      <c r="G175" s="335" t="str">
        <f>IF(D175="","",'Simplified Screening 2'!G26/1000*VLOOKUP(D175,'Default Values'!$B$78:$F$97,COLUMNS('Default Values'!$B$77:$D$77),0)/1000)</f>
        <v/>
      </c>
      <c r="H175" s="335" t="str">
        <f>IF(D175="","",'Simplified Screening 2'!G26/1000*VLOOKUP(D175,'Default Values'!$B$78:$F$97,COLUMNS('Default Values'!$B$77:$E$77),0)/1000)</f>
        <v/>
      </c>
      <c r="I175" s="335" t="str">
        <f>IF(D175="","",'Simplified Screening 2'!G26/1000*VLOOKUP(D175,'Default Values'!$B$78:$F$97,COLUMNS('Default Values'!$B$77:$F$77),0)/1000)</f>
        <v/>
      </c>
      <c r="J175" s="325">
        <f>IF('Simplified Screening 2'!H26=0,0,'Simplified Screening 2'!H26)</f>
        <v>0</v>
      </c>
      <c r="K175" s="465"/>
      <c r="L175" s="333">
        <f>IF($F175="",0,IF($F175="Weighted Average",$G175*VLOOKUP($D175&amp;" (Install)",Lists!$C$72:$R$232,COLUMNS(Lists!$C$69:E$69),0)*VLOOKUP(BE$3,Conversions!$B$12:$E$34,4,0),$G175*VLOOKUP($F175,Lists!$C$72:$R$232,COLUMNS(Lists!$C$69:E$69),0)*VLOOKUP(BE$3,Conversions!$B$12:$E$34,4,0)))</f>
        <v>0</v>
      </c>
      <c r="M175" s="333">
        <f>IF($F175="",0,IF($F175="Weighted Average",$G175*VLOOKUP($D175&amp;" (Install)",Lists!$C$72:$R$232,COLUMNS(Lists!$C$69:F$69),0)*VLOOKUP(BF$3,Conversions!$B$12:$E$34,4,0),$G175*VLOOKUP($F175,Lists!$C$72:$R$232,COLUMNS(Lists!$C$69:F$69),0)*VLOOKUP(BF$3,Conversions!$B$12:$E$34,4,0)))</f>
        <v>0</v>
      </c>
      <c r="N175" s="333">
        <f>IF($F175="",0,IF($F175="Weighted Average",$G175*VLOOKUP($D175&amp;" (Install)",Lists!$C$72:$R$232,COLUMNS(Lists!$C$69:G$69),0)*VLOOKUP(BG$3,Conversions!$B$12:$E$34,4,0),$G175*VLOOKUP($F175,Lists!$C$72:$R$232,COLUMNS(Lists!$C$69:G$69),0)*VLOOKUP(BG$3,Conversions!$B$12:$E$34,4,0)))</f>
        <v>0</v>
      </c>
      <c r="O175" s="333">
        <f>IF($F175="",0,IF($F175="Weighted Average",$G175*VLOOKUP($D175&amp;" (Install)",Lists!$C$72:$R$232,COLUMNS(Lists!$C$69:H$69),0)*VLOOKUP(BH$3,Conversions!$B$12:$E$34,4,0),$G175*VLOOKUP($F175,Lists!$C$72:$R$232,COLUMNS(Lists!$C$69:H$69),0)*VLOOKUP(BH$3,Conversions!$B$12:$E$34,4,0)))</f>
        <v>0</v>
      </c>
      <c r="P175" s="333">
        <f>IF($F175="",0,IF($F175="Weighted Average",$G175*VLOOKUP($D175&amp;" (Install)",Lists!$C$72:$R$232,COLUMNS(Lists!$C$69:I$69),0)*VLOOKUP(BI$3,Conversions!$B$12:$E$34,4,0),$G175*VLOOKUP($F175,Lists!$C$72:$R$232,COLUMNS(Lists!$C$69:I$69),0)*VLOOKUP(BI$3,Conversions!$B$12:$E$34,4,0)))</f>
        <v>0</v>
      </c>
      <c r="Q175" s="333">
        <f>IF($F175="",0,IF($F175="Weighted Average",$G175*VLOOKUP($D175&amp;" (Install)",Lists!$C$72:$R$232,COLUMNS(Lists!$C$69:J$69),0)*VLOOKUP(BJ$3,Conversions!$B$12:$E$34,4,0),$G175*VLOOKUP($F175,Lists!$C$72:$R$232,COLUMNS(Lists!$C$69:J$69),0)*VLOOKUP(BJ$3,Conversions!$B$12:$E$34,4,0)))</f>
        <v>0</v>
      </c>
      <c r="R175" s="333">
        <f>IF($F175="",0,IF($F175="Weighted Average",$G175*VLOOKUP($D175&amp;" (Install)",Lists!$C$72:$R$232,COLUMNS(Lists!$C$69:K$69),0)*VLOOKUP(BK$3,Conversions!$B$12:$E$34,4,0),$G175*VLOOKUP($F175,Lists!$C$72:$R$232,COLUMNS(Lists!$C$69:K$69),0)*VLOOKUP(BK$3,Conversions!$B$12:$E$34,4,0)))</f>
        <v>0</v>
      </c>
      <c r="S175" s="333">
        <f>IF($F175="",0,IF($F175="Weighted Average",$G175*VLOOKUP($D175&amp;" (Install)",Lists!$C$72:$R$232,COLUMNS(Lists!$C$69:L$69),0)*VLOOKUP(BL$3,Conversions!$B$12:$E$34,4,0),$G175*VLOOKUP($F175,Lists!$C$72:$R$232,COLUMNS(Lists!$C$69:L$69),0)*VLOOKUP(BL$3,Conversions!$B$12:$E$34,4,0)))</f>
        <v>0</v>
      </c>
      <c r="T175" s="333">
        <f>IF($F175="",0,IF($F175="Weighted Average",$G175*VLOOKUP($D175&amp;" (Install)",Lists!$C$72:$R$232,COLUMNS(Lists!$C$69:M$69),0)*VLOOKUP(BM$3,Conversions!$B$12:$E$34,4,0),$G175*VLOOKUP($F175,Lists!$C$72:$R$232,COLUMNS(Lists!$C$69:M$69),0)*VLOOKUP(BM$3,Conversions!$B$12:$E$34,4,0)))</f>
        <v>0</v>
      </c>
      <c r="U175" s="333">
        <f>IF($F175="",0,IF($F175="Weighted Average",$G175*VLOOKUP($D175&amp;" (Install)",Lists!$C$72:$R$232,COLUMNS(Lists!$C$69:N$69),0)*VLOOKUP(BN$3,Conversions!$B$12:$E$34,4,0),$G175*VLOOKUP($F175,Lists!$C$72:$R$232,COLUMNS(Lists!$C$69:N$69),0)*VLOOKUP(BN$3,Conversions!$B$12:$E$34,4,0)))</f>
        <v>0</v>
      </c>
      <c r="V175" s="333">
        <f>IF($F175="",0,IF($F175="Weighted Average",$G175*VLOOKUP($D175&amp;" (Install)",Lists!$C$72:$R$232,COLUMNS(Lists!$C$69:O$69),0)*VLOOKUP(BO$3,Conversions!$B$12:$E$34,4,0),$G175*VLOOKUP($F175,Lists!$C$72:$R$232,COLUMNS(Lists!$C$69:O$69),0)*VLOOKUP(BO$3,Conversions!$B$12:$E$34,4,0)))</f>
        <v>0</v>
      </c>
      <c r="W175" s="333">
        <f>IF($F175="",0,IF($F175="Weighted Average",$G175*VLOOKUP($D175&amp;" (Install)",Lists!$C$72:$R$232,COLUMNS(Lists!$C$69:P$69),0)*VLOOKUP(BP$3,Conversions!$B$12:$E$34,4,0),$G175*VLOOKUP($F175,Lists!$C$72:$R$232,COLUMNS(Lists!$C$69:P$69),0)*VLOOKUP(BP$3,Conversions!$B$12:$E$34,4,0)))</f>
        <v>0</v>
      </c>
      <c r="X175" s="333">
        <f>IF($F175="",0,IF($F175="Weighted Average",$G175*VLOOKUP($D175&amp;" (Install)",Lists!$C$72:$R$232,COLUMNS(Lists!$C$69:Q$69),0)*VLOOKUP(BQ$3,Conversions!$B$12:$E$34,4,0),$G175*VLOOKUP($F175,Lists!$C$72:$R$232,COLUMNS(Lists!$C$69:Q$69),0)*VLOOKUP(BQ$3,Conversions!$B$12:$E$34,4,0)))</f>
        <v>0</v>
      </c>
      <c r="Y175" s="333">
        <f>IF($F175="",0,IF($F175="Weighted Average",$G175*VLOOKUP($D175&amp;" (Install)",Lists!$C$72:$R$232,COLUMNS(Lists!$C$69:R$69),0)*VLOOKUP(BR$3,Conversions!$B$12:$E$34,4,0),$G175*VLOOKUP($F175,Lists!$C$72:$R$232,COLUMNS(Lists!$C$69:R$69),0)*VLOOKUP(BR$3,Conversions!$B$12:$E$34,4,0)))</f>
        <v>0</v>
      </c>
      <c r="Z175" s="325">
        <f t="shared" si="234"/>
        <v>0</v>
      </c>
      <c r="AA175" s="334">
        <f>IF($F175="",0,IF($F175="Weighted Average",$H175*VLOOKUP($D175&amp;" (Operation)",Lists!$C$72:$R$232,COLUMNS(Lists!$C$69:E$69),0)*VLOOKUP(BE$3,Conversions!$B$12:$E$34,4,0),$H175*VLOOKUP($F175,Lists!$C$72:$R$232,COLUMNS(Lists!$C$69:E$69),0)*VLOOKUP(BE$3,Conversions!$B$12:$E$34,4,0)))</f>
        <v>0</v>
      </c>
      <c r="AB175" s="334">
        <f>IF($F175="",0,IF($F175="Weighted Average",$H175*VLOOKUP($D175&amp;" (Operation)",Lists!$C$72:$R$232,COLUMNS(Lists!$C$69:F$69),0)*VLOOKUP(BF$3,Conversions!$B$12:$E$34,4,0),$H175*VLOOKUP($F175,Lists!$C$72:$R$232,COLUMNS(Lists!$C$69:F$69),0)*VLOOKUP(BF$3,Conversions!$B$12:$E$34,4,0)))</f>
        <v>0</v>
      </c>
      <c r="AC175" s="334">
        <f>IF($F175="",0,IF($F175="Weighted Average",$H175*VLOOKUP($D175&amp;" (Operation)",Lists!$C$72:$R$232,COLUMNS(Lists!$C$69:G$69),0)*VLOOKUP(BG$3,Conversions!$B$12:$E$34,4,0),$H175*VLOOKUP($F175,Lists!$C$72:$R$232,COLUMNS(Lists!$C$69:G$69),0)*VLOOKUP(BG$3,Conversions!$B$12:$E$34,4,0)))</f>
        <v>0</v>
      </c>
      <c r="AD175" s="334">
        <f>IF($F175="",0,IF($F175="Weighted Average",$H175*VLOOKUP($D175&amp;" (Operation)",Lists!$C$72:$R$232,COLUMNS(Lists!$C$69:H$69),0)*VLOOKUP(BH$3,Conversions!$B$12:$E$34,4,0),$H175*VLOOKUP($F175,Lists!$C$72:$R$232,COLUMNS(Lists!$C$69:H$69),0)*VLOOKUP(BH$3,Conversions!$B$12:$E$34,4,0)))</f>
        <v>0</v>
      </c>
      <c r="AE175" s="334">
        <f>IF($F175="",0,IF($F175="Weighted Average",$H175*VLOOKUP($D175&amp;" (Operation)",Lists!$C$72:$R$232,COLUMNS(Lists!$C$69:I$69),0)*VLOOKUP(BI$3,Conversions!$B$12:$E$34,4,0),$H175*VLOOKUP($F175,Lists!$C$72:$R$232,COLUMNS(Lists!$C$69:I$69),0)*VLOOKUP(BI$3,Conversions!$B$12:$E$34,4,0)))</f>
        <v>0</v>
      </c>
      <c r="AF175" s="334">
        <f>IF($F175="",0,IF($F175="Weighted Average",$H175*VLOOKUP($D175&amp;" (Operation)",Lists!$C$72:$R$232,COLUMNS(Lists!$C$69:J$69),0)*VLOOKUP(BJ$3,Conversions!$B$12:$E$34,4,0),$H175*VLOOKUP($F175,Lists!$C$72:$R$232,COLUMNS(Lists!$C$69:J$69),0)*VLOOKUP(BJ$3,Conversions!$B$12:$E$34,4,0)))</f>
        <v>0</v>
      </c>
      <c r="AG175" s="334">
        <f>IF($F175="",0,IF($F175="Weighted Average",$H175*VLOOKUP($D175&amp;" (Operation)",Lists!$C$72:$R$232,COLUMNS(Lists!$C$69:K$69),0)*VLOOKUP(BK$3,Conversions!$B$12:$E$34,4,0),$H175*VLOOKUP($F175,Lists!$C$72:$R$232,COLUMNS(Lists!$C$69:K$69),0)*VLOOKUP(BK$3,Conversions!$B$12:$E$34,4,0)))</f>
        <v>0</v>
      </c>
      <c r="AH175" s="334">
        <f>IF($F175="",0,IF($F175="Weighted Average",$H175*VLOOKUP($D175&amp;" (Operation)",Lists!$C$72:$R$232,COLUMNS(Lists!$C$69:L$69),0)*VLOOKUP(BL$3,Conversions!$B$12:$E$34,4,0),$H175*VLOOKUP($F175,Lists!$C$72:$R$232,COLUMNS(Lists!$C$69:L$69),0)*VLOOKUP(BL$3,Conversions!$B$12:$E$34,4,0)))</f>
        <v>0</v>
      </c>
      <c r="AI175" s="334">
        <f>IF($F175="",0,IF($F175="Weighted Average",$H175*VLOOKUP($D175&amp;" (Operation)",Lists!$C$72:$R$232,COLUMNS(Lists!$C$69:M$69),0)*VLOOKUP(BM$3,Conversions!$B$12:$E$34,4,0),$H175*VLOOKUP($F175,Lists!$C$72:$R$232,COLUMNS(Lists!$C$69:M$69),0)*VLOOKUP(BM$3,Conversions!$B$12:$E$34,4,0)))</f>
        <v>0</v>
      </c>
      <c r="AJ175" s="334">
        <f>IF($F175="",0,IF($F175="Weighted Average",$H175*VLOOKUP($D175&amp;" (Operation)",Lists!$C$72:$R$232,COLUMNS(Lists!$C$69:N$69),0)*VLOOKUP(BN$3,Conversions!$B$12:$E$34,4,0),$H175*VLOOKUP($F175,Lists!$C$72:$R$232,COLUMNS(Lists!$C$69:N$69),0)*VLOOKUP(BN$3,Conversions!$B$12:$E$34,4,0)))</f>
        <v>0</v>
      </c>
      <c r="AK175" s="334">
        <f>IF($F175="",0,IF($F175="Weighted Average",$H175*VLOOKUP($D175&amp;" (Operation)",Lists!$C$72:$R$232,COLUMNS(Lists!$C$69:O$69),0)*VLOOKUP(BO$3,Conversions!$B$12:$E$34,4,0),$H175*VLOOKUP($F175,Lists!$C$72:$R$232,COLUMNS(Lists!$C$69:O$69),0)*VLOOKUP(BO$3,Conversions!$B$12:$E$34,4,0)))</f>
        <v>0</v>
      </c>
      <c r="AL175" s="334">
        <f>IF($F175="",0,IF($F175="Weighted Average",$H175*VLOOKUP($D175&amp;" (Operation)",Lists!$C$72:$R$232,COLUMNS(Lists!$C$69:P$69),0)*VLOOKUP(BP$3,Conversions!$B$12:$E$34,4,0),$H175*VLOOKUP($F175,Lists!$C$72:$R$232,COLUMNS(Lists!$C$69:P$69),0)*VLOOKUP(BP$3,Conversions!$B$12:$E$34,4,0)))</f>
        <v>0</v>
      </c>
      <c r="AM175" s="334">
        <f>IF($F175="",0,IF($F175="Weighted Average",$H175*VLOOKUP($D175&amp;" (Operation)",Lists!$C$72:$R$232,COLUMNS(Lists!$C$69:Q$69),0)*VLOOKUP(BQ$3,Conversions!$B$12:$E$34,4,0),$H175*VLOOKUP($F175,Lists!$C$72:$R$232,COLUMNS(Lists!$C$69:Q$69),0)*VLOOKUP(BQ$3,Conversions!$B$12:$E$34,4,0)))</f>
        <v>0</v>
      </c>
      <c r="AN175" s="334">
        <f>IF($F175="",0,IF($F175="Weighted Average",$H175*VLOOKUP($D175&amp;" (Operation)",Lists!$C$72:$R$232,COLUMNS(Lists!$C$69:R$69),0)*VLOOKUP(BR$3,Conversions!$B$12:$E$34,4,0),$H175*VLOOKUP($F175,Lists!$C$72:$R$232,COLUMNS(Lists!$C$69:R$69),0)*VLOOKUP(BR$3,Conversions!$B$12:$E$34,4,0)))</f>
        <v>0</v>
      </c>
      <c r="AO175" s="330">
        <f t="shared" si="235"/>
        <v>0</v>
      </c>
      <c r="AP175" s="333">
        <f>IF($F175="",0,IF($F175="Weighted Average",$I175*VLOOKUP($D175&amp;" (Disposal)",Lists!$C$72:$R$232,COLUMNS(Lists!$C$69:E$69),0)*VLOOKUP(BE$3,Conversions!$B$12:$E$34,4,0),$I175*VLOOKUP($F175,Lists!$C$72:$R$232,COLUMNS(Lists!$C$69:E$69),0)*VLOOKUP(BE$3,Conversions!$B$12:$E$34,4,0)))</f>
        <v>0</v>
      </c>
      <c r="AQ175" s="333">
        <f>IF($F175="",0,IF($F175="Weighted Average",$I175*VLOOKUP($D175&amp;" (Disposal)",Lists!$C$72:$R$232,COLUMNS(Lists!$C$69:F$69),0)*VLOOKUP(BF$3,Conversions!$B$12:$E$34,4,0),$I175*VLOOKUP($F175,Lists!$C$72:$R$232,COLUMNS(Lists!$C$69:F$69),0)*VLOOKUP(BF$3,Conversions!$B$12:$E$34,4,0)))</f>
        <v>0</v>
      </c>
      <c r="AR175" s="333">
        <f>IF($F175="",0,IF($F175="Weighted Average",$I175*VLOOKUP($D175&amp;" (Disposal)",Lists!$C$72:$R$232,COLUMNS(Lists!$C$69:G$69),0)*VLOOKUP(BG$3,Conversions!$B$12:$E$34,4,0),$I175*VLOOKUP($F175,Lists!$C$72:$R$232,COLUMNS(Lists!$C$69:G$69),0)*VLOOKUP(BG$3,Conversions!$B$12:$E$34,4,0)))</f>
        <v>0</v>
      </c>
      <c r="AS175" s="333">
        <f>IF($F175="",0,IF($F175="Weighted Average",$I175*VLOOKUP($D175&amp;" (Disposal)",Lists!$C$72:$R$232,COLUMNS(Lists!$C$69:H$69),0)*VLOOKUP(BH$3,Conversions!$B$12:$E$34,4,0),$I175*VLOOKUP($F175,Lists!$C$72:$R$232,COLUMNS(Lists!$C$69:H$69),0)*VLOOKUP(BH$3,Conversions!$B$12:$E$34,4,0)))</f>
        <v>0</v>
      </c>
      <c r="AT175" s="333">
        <f>IF($F175="",0,IF($F175="Weighted Average",$I175*VLOOKUP($D175&amp;" (Disposal)",Lists!$C$72:$R$232,COLUMNS(Lists!$C$69:I$69),0)*VLOOKUP(BI$3,Conversions!$B$12:$E$34,4,0),$I175*VLOOKUP($F175,Lists!$C$72:$R$232,COLUMNS(Lists!$C$69:I$69),0)*VLOOKUP(BI$3,Conversions!$B$12:$E$34,4,0)))</f>
        <v>0</v>
      </c>
      <c r="AU175" s="333">
        <f>IF($F175="",0,IF($F175="Weighted Average",$I175*VLOOKUP($D175&amp;" (Disposal)",Lists!$C$72:$R$232,COLUMNS(Lists!$C$69:J$69),0)*VLOOKUP(BJ$3,Conversions!$B$12:$E$34,4,0),$I175*VLOOKUP($F175,Lists!$C$72:$R$232,COLUMNS(Lists!$C$69:J$69),0)*VLOOKUP(BJ$3,Conversions!$B$12:$E$34,4,0)))</f>
        <v>0</v>
      </c>
      <c r="AV175" s="333">
        <f>IF($F175="",0,IF($F175="Weighted Average",$I175*VLOOKUP($D175&amp;" (Disposal)",Lists!$C$72:$R$232,COLUMNS(Lists!$C$69:K$69),0)*VLOOKUP(BK$3,Conversions!$B$12:$E$34,4,0),$I175*VLOOKUP($F175,Lists!$C$72:$R$232,COLUMNS(Lists!$C$69:K$69),0)*VLOOKUP(BK$3,Conversions!$B$12:$E$34,4,0)))</f>
        <v>0</v>
      </c>
      <c r="AW175" s="333">
        <f>IF($F175="",0,IF($F175="Weighted Average",$I175*VLOOKUP($D175&amp;" (Disposal)",Lists!$C$72:$R$232,COLUMNS(Lists!$C$69:L$69),0)*VLOOKUP(BL$3,Conversions!$B$12:$E$34,4,0),$I175*VLOOKUP($F175,Lists!$C$72:$R$232,COLUMNS(Lists!$C$69:L$69),0)*VLOOKUP(BL$3,Conversions!$B$12:$E$34,4,0)))</f>
        <v>0</v>
      </c>
      <c r="AX175" s="333">
        <f>IF($F175="",0,IF($F175="Weighted Average",$I175*VLOOKUP($D175&amp;" (Disposal)",Lists!$C$72:$R$232,COLUMNS(Lists!$C$69:M$69),0)*VLOOKUP(BM$3,Conversions!$B$12:$E$34,4,0),$I175*VLOOKUP($F175,Lists!$C$72:$R$232,COLUMNS(Lists!$C$69:M$69),0)*VLOOKUP(BM$3,Conversions!$B$12:$E$34,4,0)))</f>
        <v>0</v>
      </c>
      <c r="AY175" s="333">
        <f>IF($F175="",0,IF($F175="Weighted Average",$I175*VLOOKUP($D175&amp;" (Disposal)",Lists!$C$72:$R$232,COLUMNS(Lists!$C$69:N$69),0)*VLOOKUP(BN$3,Conversions!$B$12:$E$34,4,0),$I175*VLOOKUP($F175,Lists!$C$72:$R$232,COLUMNS(Lists!$C$69:N$69),0)*VLOOKUP(BN$3,Conversions!$B$12:$E$34,4,0)))</f>
        <v>0</v>
      </c>
      <c r="AZ175" s="333">
        <f>IF($F175="",0,IF($F175="Weighted Average",$I175*VLOOKUP($D175&amp;" (Disposal)",Lists!$C$72:$R$232,COLUMNS(Lists!$C$69:O$69),0)*VLOOKUP(BO$3,Conversions!$B$12:$E$34,4,0),$I175*VLOOKUP($F175,Lists!$C$72:$R$232,COLUMNS(Lists!$C$69:O$69),0)*VLOOKUP(BO$3,Conversions!$B$12:$E$34,4,0)))</f>
        <v>0</v>
      </c>
      <c r="BA175" s="333">
        <f>IF($F175="",0,IF($F175="Weighted Average",$I175*VLOOKUP($D175&amp;" (Disposal)",Lists!$C$72:$R$232,COLUMNS(Lists!$C$69:P$69),0)*VLOOKUP(BP$3,Conversions!$B$12:$E$34,4,0),$I175*VLOOKUP($F175,Lists!$C$72:$R$232,COLUMNS(Lists!$C$69:P$69),0)*VLOOKUP(BP$3,Conversions!$B$12:$E$34,4,0)))</f>
        <v>0</v>
      </c>
      <c r="BB175" s="333">
        <f>IF($F175="",0,IF($F175="Weighted Average",$I175*VLOOKUP($D175&amp;" (Disposal)",Lists!$C$72:$R$232,COLUMNS(Lists!$C$69:Q$69),0)*VLOOKUP(BQ$3,Conversions!$B$12:$E$34,4,0),$I175*VLOOKUP($F175,Lists!$C$72:$R$232,COLUMNS(Lists!$C$69:Q$69),0)*VLOOKUP(BQ$3,Conversions!$B$12:$E$34,4,0)))</f>
        <v>0</v>
      </c>
      <c r="BC175" s="333">
        <f>IF($F175="",0,IF($F175="Weighted Average",$I175*VLOOKUP($D175&amp;" (Disposal)",Lists!$C$72:$R$232,COLUMNS(Lists!$C$69:R$69),0)*VLOOKUP(BR$3,Conversions!$B$12:$E$34,4,0),$I175*VLOOKUP($F175,Lists!$C$72:$R$232,COLUMNS(Lists!$C$69:R$69),0)*VLOOKUP(BR$3,Conversions!$B$12:$E$34,4,0)))</f>
        <v>0</v>
      </c>
      <c r="BD175" s="333">
        <f t="shared" si="236"/>
        <v>0</v>
      </c>
      <c r="BE175" s="330">
        <f t="shared" si="237"/>
        <v>0</v>
      </c>
      <c r="BF175" s="330">
        <f t="shared" si="238"/>
        <v>0</v>
      </c>
      <c r="BG175" s="330">
        <f t="shared" si="239"/>
        <v>0</v>
      </c>
      <c r="BH175" s="330">
        <f t="shared" si="240"/>
        <v>0</v>
      </c>
      <c r="BI175" s="330">
        <f t="shared" si="241"/>
        <v>0</v>
      </c>
      <c r="BJ175" s="330">
        <f t="shared" si="242"/>
        <v>0</v>
      </c>
      <c r="BK175" s="330">
        <f t="shared" si="243"/>
        <v>0</v>
      </c>
      <c r="BL175" s="330">
        <f t="shared" si="244"/>
        <v>0</v>
      </c>
      <c r="BM175" s="330">
        <f t="shared" si="245"/>
        <v>0</v>
      </c>
      <c r="BN175" s="330">
        <f t="shared" si="246"/>
        <v>0</v>
      </c>
      <c r="BO175" s="330">
        <f t="shared" si="247"/>
        <v>0</v>
      </c>
      <c r="BP175" s="330">
        <f t="shared" si="248"/>
        <v>0</v>
      </c>
      <c r="BQ175" s="330">
        <f t="shared" si="249"/>
        <v>0</v>
      </c>
      <c r="BR175" s="330">
        <f t="shared" si="250"/>
        <v>0</v>
      </c>
      <c r="BS175" s="330">
        <f t="shared" si="251"/>
        <v>0</v>
      </c>
      <c r="BT175" s="329">
        <f>IF($F175="",0,IF($F175="Weighted Average",$BS175*VLOOKUP($D175,'Default Values'!$B$78:$V$97,COLUMNS('Default Values'!$B$77:G$77),0),0))</f>
        <v>0</v>
      </c>
      <c r="BU175" s="329">
        <f>IF($F175="",0,IF($F175="Weighted Average",$BS175*VLOOKUP($D175,'Default Values'!$B$78:$V$97,COLUMNS('Default Values'!$B$77:H$77),0),0))</f>
        <v>0</v>
      </c>
      <c r="BV175" s="329">
        <f>IF($F175="",0,IF($F175="Weighted Average",$BS175*VLOOKUP($D175,'Default Values'!$B$78:$V$97,COLUMNS('Default Values'!$B$77:I$77),0),0))</f>
        <v>0</v>
      </c>
      <c r="BW175" s="329">
        <f>IF($F175="",0,IF($F175="Weighted Average",$BS175*VLOOKUP($D175,'Default Values'!$B$78:$V$97,COLUMNS('Default Values'!$B$77:J$77),0),0))</f>
        <v>0</v>
      </c>
      <c r="BX175" s="329">
        <f>IF($F175="",0,IF($F175="Weighted Average",$BS175*VLOOKUP($D175,'Default Values'!$B$78:$V$97,COLUMNS('Default Values'!$B$77:K$77),0),0))</f>
        <v>0</v>
      </c>
      <c r="BY175" s="329">
        <f>IF($F175="",0,IF($F175="Weighted Average",$BS175*VLOOKUP($D175,'Default Values'!$B$78:$V$97,COLUMNS('Default Values'!$B$77:L$77),0),0))</f>
        <v>0</v>
      </c>
      <c r="BZ175" s="329">
        <f>IF($F175="",0,IF($F175="Weighted Average",$BS175*VLOOKUP($D175,'Default Values'!$B$78:$V$97,COLUMNS('Default Values'!$B$77:M$77),0),0))</f>
        <v>0</v>
      </c>
      <c r="CA175" s="329">
        <f>IF($F175="",0,IF($F175="Weighted Average",$BS175*VLOOKUP($D175,'Default Values'!$B$78:$V$97,COLUMNS('Default Values'!$B$77:N$77),0),0))</f>
        <v>0</v>
      </c>
      <c r="CB175" s="329">
        <f>IF($F175="",0,IF($F175="Weighted Average",$BS175*VLOOKUP($D175,'Default Values'!$B$78:$V$97,COLUMNS('Default Values'!$B$77:O$77),0),0))</f>
        <v>0</v>
      </c>
      <c r="CC175" s="329">
        <f>IF($F175="",0,IF($F175="Weighted Average",$BS175*VLOOKUP($D175,'Default Values'!$B$78:$V$97,COLUMNS('Default Values'!$B$77:P$77),0),0))</f>
        <v>0</v>
      </c>
      <c r="CD175" s="329">
        <f>IF($F175="",0,IF($F175="Weighted Average",$BS175*VLOOKUP($D175,'Default Values'!$B$78:$V$97,COLUMNS('Default Values'!$B$77:Q$77),0),0))</f>
        <v>0</v>
      </c>
      <c r="CE175" s="329">
        <f>IF($F175="",0,IF($F175="Weighted Average",$BS175*VLOOKUP($D175,'Default Values'!$B$78:$V$97,COLUMNS('Default Values'!$B$77:R$77),0),0))</f>
        <v>0</v>
      </c>
      <c r="CF175" s="329">
        <f>IF($F175="",0,IF($F175="Weighted Average",$BS175*VLOOKUP($D175,'Default Values'!$B$78:$V$97,COLUMNS('Default Values'!$B$77:S$77),0),0))</f>
        <v>0</v>
      </c>
      <c r="CG175" s="329">
        <f>IF($F175="",0,IF($F175="Weighted Average",$BS175*VLOOKUP($D175,'Default Values'!$B$78:$V$97,COLUMNS('Default Values'!$B$77:T$77),0),0))</f>
        <v>0</v>
      </c>
      <c r="CH175" s="329">
        <f>IF($F175="",0,IF($F175="Weighted Average",$BS175*VLOOKUP($D175,'Default Values'!$B$78:$V$97,COLUMNS('Default Values'!$B$77:U$77),0),0))</f>
        <v>0</v>
      </c>
      <c r="CI175" s="329">
        <f>IF($F175="",0,IF($F175="Weighted Average",$BS175*VLOOKUP($D175,'Default Values'!$B$78:$V$97,COLUMNS('Default Values'!$B$77:V$77),0),0))</f>
        <v>0</v>
      </c>
      <c r="CJ175" s="331">
        <f t="shared" si="252"/>
        <v>0</v>
      </c>
      <c r="CK175" s="330">
        <f t="shared" si="253"/>
        <v>0</v>
      </c>
      <c r="CL175" s="330">
        <f t="shared" si="254"/>
        <v>0</v>
      </c>
      <c r="CM175" s="330">
        <f t="shared" si="255"/>
        <v>0</v>
      </c>
      <c r="CN175" s="330">
        <f t="shared" si="256"/>
        <v>0</v>
      </c>
      <c r="CO175" s="330">
        <f t="shared" si="257"/>
        <v>0</v>
      </c>
      <c r="CP175" s="330">
        <f t="shared" si="258"/>
        <v>0</v>
      </c>
      <c r="CQ175" s="330">
        <f t="shared" si="186"/>
        <v>0</v>
      </c>
      <c r="CR175" s="330">
        <f t="shared" si="259"/>
        <v>0</v>
      </c>
      <c r="CS175" s="330">
        <f t="shared" si="260"/>
        <v>0</v>
      </c>
      <c r="CT175" s="330">
        <f t="shared" si="261"/>
        <v>0</v>
      </c>
      <c r="CU175" s="330">
        <f t="shared" si="262"/>
        <v>0</v>
      </c>
      <c r="CV175" s="330">
        <f t="shared" si="262"/>
        <v>0</v>
      </c>
      <c r="CW175" s="330">
        <f t="shared" si="262"/>
        <v>0</v>
      </c>
      <c r="CX175" s="330">
        <f t="shared" si="262"/>
        <v>0</v>
      </c>
      <c r="CY175" s="330">
        <f t="shared" si="262"/>
        <v>0</v>
      </c>
      <c r="CZ175" s="330">
        <f t="shared" si="262"/>
        <v>0</v>
      </c>
      <c r="DA175" s="330">
        <f t="shared" si="262"/>
        <v>0</v>
      </c>
      <c r="DB175" s="330">
        <f t="shared" si="262"/>
        <v>0</v>
      </c>
      <c r="DC175" s="330">
        <f t="shared" si="262"/>
        <v>0</v>
      </c>
      <c r="DD175" s="330">
        <f t="shared" si="262"/>
        <v>0</v>
      </c>
      <c r="DE175" s="330">
        <f t="shared" si="263"/>
        <v>0</v>
      </c>
      <c r="DF175" s="330">
        <f t="shared" si="263"/>
        <v>0</v>
      </c>
      <c r="DG175" s="330">
        <f t="shared" si="263"/>
        <v>0</v>
      </c>
      <c r="DH175" s="330">
        <f t="shared" si="263"/>
        <v>0</v>
      </c>
      <c r="DI175" s="330">
        <f t="shared" si="263"/>
        <v>0</v>
      </c>
      <c r="DJ175" s="330">
        <f t="shared" si="263"/>
        <v>0</v>
      </c>
      <c r="DK175" s="330">
        <f t="shared" si="263"/>
        <v>0</v>
      </c>
      <c r="DL175" s="330">
        <f t="shared" si="263"/>
        <v>0</v>
      </c>
      <c r="DM175" s="330">
        <f t="shared" si="263"/>
        <v>0</v>
      </c>
      <c r="DN175" s="330">
        <f t="shared" si="263"/>
        <v>0</v>
      </c>
      <c r="DO175" s="330">
        <f t="shared" si="263"/>
        <v>0</v>
      </c>
      <c r="DP175" s="330">
        <f t="shared" si="264"/>
        <v>0</v>
      </c>
      <c r="DQ175" s="217"/>
      <c r="DR175" s="217"/>
      <c r="DS175" s="217"/>
      <c r="DT175" s="217"/>
    </row>
    <row r="176" spans="1:124" x14ac:dyDescent="0.3">
      <c r="A176" s="324"/>
      <c r="B176" s="221" t="s">
        <v>307</v>
      </c>
      <c r="C176" s="221" t="str">
        <f>IF('Simplified Screening 2'!C27=0,"",'Simplified Screening 2'!C27)</f>
        <v/>
      </c>
      <c r="D176" s="221" t="str">
        <f>IF('Simplified Screening 2'!D27=0,"",'Simplified Screening 2'!D27)</f>
        <v/>
      </c>
      <c r="E176" s="221"/>
      <c r="F176" s="221" t="str">
        <f>'Simplified Screening 2'!J27</f>
        <v/>
      </c>
      <c r="G176" s="335" t="str">
        <f>IF(D176="","",'Simplified Screening 2'!G27/1000*VLOOKUP(D176,'Default Values'!$B$78:$F$97,COLUMNS('Default Values'!$B$77:$D$77),0)/1000)</f>
        <v/>
      </c>
      <c r="H176" s="335" t="str">
        <f>IF(D176="","",'Simplified Screening 2'!G27/1000*VLOOKUP(D176,'Default Values'!$B$78:$F$97,COLUMNS('Default Values'!$B$77:$E$77),0)/1000)</f>
        <v/>
      </c>
      <c r="I176" s="335" t="str">
        <f>IF(D176="","",'Simplified Screening 2'!G27/1000*VLOOKUP(D176,'Default Values'!$B$78:$F$97,COLUMNS('Default Values'!$B$77:$F$77),0)/1000)</f>
        <v/>
      </c>
      <c r="J176" s="325">
        <f>IF('Simplified Screening 2'!H27=0,0,'Simplified Screening 2'!H27)</f>
        <v>0</v>
      </c>
      <c r="K176" s="465"/>
      <c r="L176" s="333">
        <f>IF($F176="",0,IF($F176="Weighted Average",$G176*VLOOKUP($D176&amp;" (Install)",Lists!$C$72:$R$232,COLUMNS(Lists!$C$69:E$69),0)*VLOOKUP(BE$3,Conversions!$B$12:$E$34,4,0),$G176*VLOOKUP($F176,Lists!$C$72:$R$232,COLUMNS(Lists!$C$69:E$69),0)*VLOOKUP(BE$3,Conversions!$B$12:$E$34,4,0)))</f>
        <v>0</v>
      </c>
      <c r="M176" s="333">
        <f>IF($F176="",0,IF($F176="Weighted Average",$G176*VLOOKUP($D176&amp;" (Install)",Lists!$C$72:$R$232,COLUMNS(Lists!$C$69:F$69),0)*VLOOKUP(BF$3,Conversions!$B$12:$E$34,4,0),$G176*VLOOKUP($F176,Lists!$C$72:$R$232,COLUMNS(Lists!$C$69:F$69),0)*VLOOKUP(BF$3,Conversions!$B$12:$E$34,4,0)))</f>
        <v>0</v>
      </c>
      <c r="N176" s="333">
        <f>IF($F176="",0,IF($F176="Weighted Average",$G176*VLOOKUP($D176&amp;" (Install)",Lists!$C$72:$R$232,COLUMNS(Lists!$C$69:G$69),0)*VLOOKUP(BG$3,Conversions!$B$12:$E$34,4,0),$G176*VLOOKUP($F176,Lists!$C$72:$R$232,COLUMNS(Lists!$C$69:G$69),0)*VLOOKUP(BG$3,Conversions!$B$12:$E$34,4,0)))</f>
        <v>0</v>
      </c>
      <c r="O176" s="333">
        <f>IF($F176="",0,IF($F176="Weighted Average",$G176*VLOOKUP($D176&amp;" (Install)",Lists!$C$72:$R$232,COLUMNS(Lists!$C$69:H$69),0)*VLOOKUP(BH$3,Conversions!$B$12:$E$34,4,0),$G176*VLOOKUP($F176,Lists!$C$72:$R$232,COLUMNS(Lists!$C$69:H$69),0)*VLOOKUP(BH$3,Conversions!$B$12:$E$34,4,0)))</f>
        <v>0</v>
      </c>
      <c r="P176" s="333">
        <f>IF($F176="",0,IF($F176="Weighted Average",$G176*VLOOKUP($D176&amp;" (Install)",Lists!$C$72:$R$232,COLUMNS(Lists!$C$69:I$69),0)*VLOOKUP(BI$3,Conversions!$B$12:$E$34,4,0),$G176*VLOOKUP($F176,Lists!$C$72:$R$232,COLUMNS(Lists!$C$69:I$69),0)*VLOOKUP(BI$3,Conversions!$B$12:$E$34,4,0)))</f>
        <v>0</v>
      </c>
      <c r="Q176" s="333">
        <f>IF($F176="",0,IF($F176="Weighted Average",$G176*VLOOKUP($D176&amp;" (Install)",Lists!$C$72:$R$232,COLUMNS(Lists!$C$69:J$69),0)*VLOOKUP(BJ$3,Conversions!$B$12:$E$34,4,0),$G176*VLOOKUP($F176,Lists!$C$72:$R$232,COLUMNS(Lists!$C$69:J$69),0)*VLOOKUP(BJ$3,Conversions!$B$12:$E$34,4,0)))</f>
        <v>0</v>
      </c>
      <c r="R176" s="333">
        <f>IF($F176="",0,IF($F176="Weighted Average",$G176*VLOOKUP($D176&amp;" (Install)",Lists!$C$72:$R$232,COLUMNS(Lists!$C$69:K$69),0)*VLOOKUP(BK$3,Conversions!$B$12:$E$34,4,0),$G176*VLOOKUP($F176,Lists!$C$72:$R$232,COLUMNS(Lists!$C$69:K$69),0)*VLOOKUP(BK$3,Conversions!$B$12:$E$34,4,0)))</f>
        <v>0</v>
      </c>
      <c r="S176" s="333">
        <f>IF($F176="",0,IF($F176="Weighted Average",$G176*VLOOKUP($D176&amp;" (Install)",Lists!$C$72:$R$232,COLUMNS(Lists!$C$69:L$69),0)*VLOOKUP(BL$3,Conversions!$B$12:$E$34,4,0),$G176*VLOOKUP($F176,Lists!$C$72:$R$232,COLUMNS(Lists!$C$69:L$69),0)*VLOOKUP(BL$3,Conversions!$B$12:$E$34,4,0)))</f>
        <v>0</v>
      </c>
      <c r="T176" s="333">
        <f>IF($F176="",0,IF($F176="Weighted Average",$G176*VLOOKUP($D176&amp;" (Install)",Lists!$C$72:$R$232,COLUMNS(Lists!$C$69:M$69),0)*VLOOKUP(BM$3,Conversions!$B$12:$E$34,4,0),$G176*VLOOKUP($F176,Lists!$C$72:$R$232,COLUMNS(Lists!$C$69:M$69),0)*VLOOKUP(BM$3,Conversions!$B$12:$E$34,4,0)))</f>
        <v>0</v>
      </c>
      <c r="U176" s="333">
        <f>IF($F176="",0,IF($F176="Weighted Average",$G176*VLOOKUP($D176&amp;" (Install)",Lists!$C$72:$R$232,COLUMNS(Lists!$C$69:N$69),0)*VLOOKUP(BN$3,Conversions!$B$12:$E$34,4,0),$G176*VLOOKUP($F176,Lists!$C$72:$R$232,COLUMNS(Lists!$C$69:N$69),0)*VLOOKUP(BN$3,Conversions!$B$12:$E$34,4,0)))</f>
        <v>0</v>
      </c>
      <c r="V176" s="333">
        <f>IF($F176="",0,IF($F176="Weighted Average",$G176*VLOOKUP($D176&amp;" (Install)",Lists!$C$72:$R$232,COLUMNS(Lists!$C$69:O$69),0)*VLOOKUP(BO$3,Conversions!$B$12:$E$34,4,0),$G176*VLOOKUP($F176,Lists!$C$72:$R$232,COLUMNS(Lists!$C$69:O$69),0)*VLOOKUP(BO$3,Conversions!$B$12:$E$34,4,0)))</f>
        <v>0</v>
      </c>
      <c r="W176" s="333">
        <f>IF($F176="",0,IF($F176="Weighted Average",$G176*VLOOKUP($D176&amp;" (Install)",Lists!$C$72:$R$232,COLUMNS(Lists!$C$69:P$69),0)*VLOOKUP(BP$3,Conversions!$B$12:$E$34,4,0),$G176*VLOOKUP($F176,Lists!$C$72:$R$232,COLUMNS(Lists!$C$69:P$69),0)*VLOOKUP(BP$3,Conversions!$B$12:$E$34,4,0)))</f>
        <v>0</v>
      </c>
      <c r="X176" s="333">
        <f>IF($F176="",0,IF($F176="Weighted Average",$G176*VLOOKUP($D176&amp;" (Install)",Lists!$C$72:$R$232,COLUMNS(Lists!$C$69:Q$69),0)*VLOOKUP(BQ$3,Conversions!$B$12:$E$34,4,0),$G176*VLOOKUP($F176,Lists!$C$72:$R$232,COLUMNS(Lists!$C$69:Q$69),0)*VLOOKUP(BQ$3,Conversions!$B$12:$E$34,4,0)))</f>
        <v>0</v>
      </c>
      <c r="Y176" s="333">
        <f>IF($F176="",0,IF($F176="Weighted Average",$G176*VLOOKUP($D176&amp;" (Install)",Lists!$C$72:$R$232,COLUMNS(Lists!$C$69:R$69),0)*VLOOKUP(BR$3,Conversions!$B$12:$E$34,4,0),$G176*VLOOKUP($F176,Lists!$C$72:$R$232,COLUMNS(Lists!$C$69:R$69),0)*VLOOKUP(BR$3,Conversions!$B$12:$E$34,4,0)))</f>
        <v>0</v>
      </c>
      <c r="Z176" s="325">
        <f t="shared" si="234"/>
        <v>0</v>
      </c>
      <c r="AA176" s="334">
        <f>IF($F176="",0,IF($F176="Weighted Average",$H176*VLOOKUP($D176&amp;" (Operation)",Lists!$C$72:$R$232,COLUMNS(Lists!$C$69:E$69),0)*VLOOKUP(BE$3,Conversions!$B$12:$E$34,4,0),$H176*VLOOKUP($F176,Lists!$C$72:$R$232,COLUMNS(Lists!$C$69:E$69),0)*VLOOKUP(BE$3,Conversions!$B$12:$E$34,4,0)))</f>
        <v>0</v>
      </c>
      <c r="AB176" s="334">
        <f>IF($F176="",0,IF($F176="Weighted Average",$H176*VLOOKUP($D176&amp;" (Operation)",Lists!$C$72:$R$232,COLUMNS(Lists!$C$69:F$69),0)*VLOOKUP(BF$3,Conversions!$B$12:$E$34,4,0),$H176*VLOOKUP($F176,Lists!$C$72:$R$232,COLUMNS(Lists!$C$69:F$69),0)*VLOOKUP(BF$3,Conversions!$B$12:$E$34,4,0)))</f>
        <v>0</v>
      </c>
      <c r="AC176" s="334">
        <f>IF($F176="",0,IF($F176="Weighted Average",$H176*VLOOKUP($D176&amp;" (Operation)",Lists!$C$72:$R$232,COLUMNS(Lists!$C$69:G$69),0)*VLOOKUP(BG$3,Conversions!$B$12:$E$34,4,0),$H176*VLOOKUP($F176,Lists!$C$72:$R$232,COLUMNS(Lists!$C$69:G$69),0)*VLOOKUP(BG$3,Conversions!$B$12:$E$34,4,0)))</f>
        <v>0</v>
      </c>
      <c r="AD176" s="334">
        <f>IF($F176="",0,IF($F176="Weighted Average",$H176*VLOOKUP($D176&amp;" (Operation)",Lists!$C$72:$R$232,COLUMNS(Lists!$C$69:H$69),0)*VLOOKUP(BH$3,Conversions!$B$12:$E$34,4,0),$H176*VLOOKUP($F176,Lists!$C$72:$R$232,COLUMNS(Lists!$C$69:H$69),0)*VLOOKUP(BH$3,Conversions!$B$12:$E$34,4,0)))</f>
        <v>0</v>
      </c>
      <c r="AE176" s="334">
        <f>IF($F176="",0,IF($F176="Weighted Average",$H176*VLOOKUP($D176&amp;" (Operation)",Lists!$C$72:$R$232,COLUMNS(Lists!$C$69:I$69),0)*VLOOKUP(BI$3,Conversions!$B$12:$E$34,4,0),$H176*VLOOKUP($F176,Lists!$C$72:$R$232,COLUMNS(Lists!$C$69:I$69),0)*VLOOKUP(BI$3,Conversions!$B$12:$E$34,4,0)))</f>
        <v>0</v>
      </c>
      <c r="AF176" s="334">
        <f>IF($F176="",0,IF($F176="Weighted Average",$H176*VLOOKUP($D176&amp;" (Operation)",Lists!$C$72:$R$232,COLUMNS(Lists!$C$69:J$69),0)*VLOOKUP(BJ$3,Conversions!$B$12:$E$34,4,0),$H176*VLOOKUP($F176,Lists!$C$72:$R$232,COLUMNS(Lists!$C$69:J$69),0)*VLOOKUP(BJ$3,Conversions!$B$12:$E$34,4,0)))</f>
        <v>0</v>
      </c>
      <c r="AG176" s="334">
        <f>IF($F176="",0,IF($F176="Weighted Average",$H176*VLOOKUP($D176&amp;" (Operation)",Lists!$C$72:$R$232,COLUMNS(Lists!$C$69:K$69),0)*VLOOKUP(BK$3,Conversions!$B$12:$E$34,4,0),$H176*VLOOKUP($F176,Lists!$C$72:$R$232,COLUMNS(Lists!$C$69:K$69),0)*VLOOKUP(BK$3,Conversions!$B$12:$E$34,4,0)))</f>
        <v>0</v>
      </c>
      <c r="AH176" s="334">
        <f>IF($F176="",0,IF($F176="Weighted Average",$H176*VLOOKUP($D176&amp;" (Operation)",Lists!$C$72:$R$232,COLUMNS(Lists!$C$69:L$69),0)*VLOOKUP(BL$3,Conversions!$B$12:$E$34,4,0),$H176*VLOOKUP($F176,Lists!$C$72:$R$232,COLUMNS(Lists!$C$69:L$69),0)*VLOOKUP(BL$3,Conversions!$B$12:$E$34,4,0)))</f>
        <v>0</v>
      </c>
      <c r="AI176" s="334">
        <f>IF($F176="",0,IF($F176="Weighted Average",$H176*VLOOKUP($D176&amp;" (Operation)",Lists!$C$72:$R$232,COLUMNS(Lists!$C$69:M$69),0)*VLOOKUP(BM$3,Conversions!$B$12:$E$34,4,0),$H176*VLOOKUP($F176,Lists!$C$72:$R$232,COLUMNS(Lists!$C$69:M$69),0)*VLOOKUP(BM$3,Conversions!$B$12:$E$34,4,0)))</f>
        <v>0</v>
      </c>
      <c r="AJ176" s="334">
        <f>IF($F176="",0,IF($F176="Weighted Average",$H176*VLOOKUP($D176&amp;" (Operation)",Lists!$C$72:$R$232,COLUMNS(Lists!$C$69:N$69),0)*VLOOKUP(BN$3,Conversions!$B$12:$E$34,4,0),$H176*VLOOKUP($F176,Lists!$C$72:$R$232,COLUMNS(Lists!$C$69:N$69),0)*VLOOKUP(BN$3,Conversions!$B$12:$E$34,4,0)))</f>
        <v>0</v>
      </c>
      <c r="AK176" s="334">
        <f>IF($F176="",0,IF($F176="Weighted Average",$H176*VLOOKUP($D176&amp;" (Operation)",Lists!$C$72:$R$232,COLUMNS(Lists!$C$69:O$69),0)*VLOOKUP(BO$3,Conversions!$B$12:$E$34,4,0),$H176*VLOOKUP($F176,Lists!$C$72:$R$232,COLUMNS(Lists!$C$69:O$69),0)*VLOOKUP(BO$3,Conversions!$B$12:$E$34,4,0)))</f>
        <v>0</v>
      </c>
      <c r="AL176" s="334">
        <f>IF($F176="",0,IF($F176="Weighted Average",$H176*VLOOKUP($D176&amp;" (Operation)",Lists!$C$72:$R$232,COLUMNS(Lists!$C$69:P$69),0)*VLOOKUP(BP$3,Conversions!$B$12:$E$34,4,0),$H176*VLOOKUP($F176,Lists!$C$72:$R$232,COLUMNS(Lists!$C$69:P$69),0)*VLOOKUP(BP$3,Conversions!$B$12:$E$34,4,0)))</f>
        <v>0</v>
      </c>
      <c r="AM176" s="334">
        <f>IF($F176="",0,IF($F176="Weighted Average",$H176*VLOOKUP($D176&amp;" (Operation)",Lists!$C$72:$R$232,COLUMNS(Lists!$C$69:Q$69),0)*VLOOKUP(BQ$3,Conversions!$B$12:$E$34,4,0),$H176*VLOOKUP($F176,Lists!$C$72:$R$232,COLUMNS(Lists!$C$69:Q$69),0)*VLOOKUP(BQ$3,Conversions!$B$12:$E$34,4,0)))</f>
        <v>0</v>
      </c>
      <c r="AN176" s="334">
        <f>IF($F176="",0,IF($F176="Weighted Average",$H176*VLOOKUP($D176&amp;" (Operation)",Lists!$C$72:$R$232,COLUMNS(Lists!$C$69:R$69),0)*VLOOKUP(BR$3,Conversions!$B$12:$E$34,4,0),$H176*VLOOKUP($F176,Lists!$C$72:$R$232,COLUMNS(Lists!$C$69:R$69),0)*VLOOKUP(BR$3,Conversions!$B$12:$E$34,4,0)))</f>
        <v>0</v>
      </c>
      <c r="AO176" s="330">
        <f t="shared" si="235"/>
        <v>0</v>
      </c>
      <c r="AP176" s="333">
        <f>IF($F176="",0,IF($F176="Weighted Average",$I176*VLOOKUP($D176&amp;" (Disposal)",Lists!$C$72:$R$232,COLUMNS(Lists!$C$69:E$69),0)*VLOOKUP(BE$3,Conversions!$B$12:$E$34,4,0),$I176*VLOOKUP($F176,Lists!$C$72:$R$232,COLUMNS(Lists!$C$69:E$69),0)*VLOOKUP(BE$3,Conversions!$B$12:$E$34,4,0)))</f>
        <v>0</v>
      </c>
      <c r="AQ176" s="333">
        <f>IF($F176="",0,IF($F176="Weighted Average",$I176*VLOOKUP($D176&amp;" (Disposal)",Lists!$C$72:$R$232,COLUMNS(Lists!$C$69:F$69),0)*VLOOKUP(BF$3,Conversions!$B$12:$E$34,4,0),$I176*VLOOKUP($F176,Lists!$C$72:$R$232,COLUMNS(Lists!$C$69:F$69),0)*VLOOKUP(BF$3,Conversions!$B$12:$E$34,4,0)))</f>
        <v>0</v>
      </c>
      <c r="AR176" s="333">
        <f>IF($F176="",0,IF($F176="Weighted Average",$I176*VLOOKUP($D176&amp;" (Disposal)",Lists!$C$72:$R$232,COLUMNS(Lists!$C$69:G$69),0)*VLOOKUP(BG$3,Conversions!$B$12:$E$34,4,0),$I176*VLOOKUP($F176,Lists!$C$72:$R$232,COLUMNS(Lists!$C$69:G$69),0)*VLOOKUP(BG$3,Conversions!$B$12:$E$34,4,0)))</f>
        <v>0</v>
      </c>
      <c r="AS176" s="333">
        <f>IF($F176="",0,IF($F176="Weighted Average",$I176*VLOOKUP($D176&amp;" (Disposal)",Lists!$C$72:$R$232,COLUMNS(Lists!$C$69:H$69),0)*VLOOKUP(BH$3,Conversions!$B$12:$E$34,4,0),$I176*VLOOKUP($F176,Lists!$C$72:$R$232,COLUMNS(Lists!$C$69:H$69),0)*VLOOKUP(BH$3,Conversions!$B$12:$E$34,4,0)))</f>
        <v>0</v>
      </c>
      <c r="AT176" s="333">
        <f>IF($F176="",0,IF($F176="Weighted Average",$I176*VLOOKUP($D176&amp;" (Disposal)",Lists!$C$72:$R$232,COLUMNS(Lists!$C$69:I$69),0)*VLOOKUP(BI$3,Conversions!$B$12:$E$34,4,0),$I176*VLOOKUP($F176,Lists!$C$72:$R$232,COLUMNS(Lists!$C$69:I$69),0)*VLOOKUP(BI$3,Conversions!$B$12:$E$34,4,0)))</f>
        <v>0</v>
      </c>
      <c r="AU176" s="333">
        <f>IF($F176="",0,IF($F176="Weighted Average",$I176*VLOOKUP($D176&amp;" (Disposal)",Lists!$C$72:$R$232,COLUMNS(Lists!$C$69:J$69),0)*VLOOKUP(BJ$3,Conversions!$B$12:$E$34,4,0),$I176*VLOOKUP($F176,Lists!$C$72:$R$232,COLUMNS(Lists!$C$69:J$69),0)*VLOOKUP(BJ$3,Conversions!$B$12:$E$34,4,0)))</f>
        <v>0</v>
      </c>
      <c r="AV176" s="333">
        <f>IF($F176="",0,IF($F176="Weighted Average",$I176*VLOOKUP($D176&amp;" (Disposal)",Lists!$C$72:$R$232,COLUMNS(Lists!$C$69:K$69),0)*VLOOKUP(BK$3,Conversions!$B$12:$E$34,4,0),$I176*VLOOKUP($F176,Lists!$C$72:$R$232,COLUMNS(Lists!$C$69:K$69),0)*VLOOKUP(BK$3,Conversions!$B$12:$E$34,4,0)))</f>
        <v>0</v>
      </c>
      <c r="AW176" s="333">
        <f>IF($F176="",0,IF($F176="Weighted Average",$I176*VLOOKUP($D176&amp;" (Disposal)",Lists!$C$72:$R$232,COLUMNS(Lists!$C$69:L$69),0)*VLOOKUP(BL$3,Conversions!$B$12:$E$34,4,0),$I176*VLOOKUP($F176,Lists!$C$72:$R$232,COLUMNS(Lists!$C$69:L$69),0)*VLOOKUP(BL$3,Conversions!$B$12:$E$34,4,0)))</f>
        <v>0</v>
      </c>
      <c r="AX176" s="333">
        <f>IF($F176="",0,IF($F176="Weighted Average",$I176*VLOOKUP($D176&amp;" (Disposal)",Lists!$C$72:$R$232,COLUMNS(Lists!$C$69:M$69),0)*VLOOKUP(BM$3,Conversions!$B$12:$E$34,4,0),$I176*VLOOKUP($F176,Lists!$C$72:$R$232,COLUMNS(Lists!$C$69:M$69),0)*VLOOKUP(BM$3,Conversions!$B$12:$E$34,4,0)))</f>
        <v>0</v>
      </c>
      <c r="AY176" s="333">
        <f>IF($F176="",0,IF($F176="Weighted Average",$I176*VLOOKUP($D176&amp;" (Disposal)",Lists!$C$72:$R$232,COLUMNS(Lists!$C$69:N$69),0)*VLOOKUP(BN$3,Conversions!$B$12:$E$34,4,0),$I176*VLOOKUP($F176,Lists!$C$72:$R$232,COLUMNS(Lists!$C$69:N$69),0)*VLOOKUP(BN$3,Conversions!$B$12:$E$34,4,0)))</f>
        <v>0</v>
      </c>
      <c r="AZ176" s="333">
        <f>IF($F176="",0,IF($F176="Weighted Average",$I176*VLOOKUP($D176&amp;" (Disposal)",Lists!$C$72:$R$232,COLUMNS(Lists!$C$69:O$69),0)*VLOOKUP(BO$3,Conversions!$B$12:$E$34,4,0),$I176*VLOOKUP($F176,Lists!$C$72:$R$232,COLUMNS(Lists!$C$69:O$69),0)*VLOOKUP(BO$3,Conversions!$B$12:$E$34,4,0)))</f>
        <v>0</v>
      </c>
      <c r="BA176" s="333">
        <f>IF($F176="",0,IF($F176="Weighted Average",$I176*VLOOKUP($D176&amp;" (Disposal)",Lists!$C$72:$R$232,COLUMNS(Lists!$C$69:P$69),0)*VLOOKUP(BP$3,Conversions!$B$12:$E$34,4,0),$I176*VLOOKUP($F176,Lists!$C$72:$R$232,COLUMNS(Lists!$C$69:P$69),0)*VLOOKUP(BP$3,Conversions!$B$12:$E$34,4,0)))</f>
        <v>0</v>
      </c>
      <c r="BB176" s="333">
        <f>IF($F176="",0,IF($F176="Weighted Average",$I176*VLOOKUP($D176&amp;" (Disposal)",Lists!$C$72:$R$232,COLUMNS(Lists!$C$69:Q$69),0)*VLOOKUP(BQ$3,Conversions!$B$12:$E$34,4,0),$I176*VLOOKUP($F176,Lists!$C$72:$R$232,COLUMNS(Lists!$C$69:Q$69),0)*VLOOKUP(BQ$3,Conversions!$B$12:$E$34,4,0)))</f>
        <v>0</v>
      </c>
      <c r="BC176" s="333">
        <f>IF($F176="",0,IF($F176="Weighted Average",$I176*VLOOKUP($D176&amp;" (Disposal)",Lists!$C$72:$R$232,COLUMNS(Lists!$C$69:R$69),0)*VLOOKUP(BR$3,Conversions!$B$12:$E$34,4,0),$I176*VLOOKUP($F176,Lists!$C$72:$R$232,COLUMNS(Lists!$C$69:R$69),0)*VLOOKUP(BR$3,Conversions!$B$12:$E$34,4,0)))</f>
        <v>0</v>
      </c>
      <c r="BD176" s="333">
        <f t="shared" si="236"/>
        <v>0</v>
      </c>
      <c r="BE176" s="330">
        <f t="shared" si="237"/>
        <v>0</v>
      </c>
      <c r="BF176" s="330">
        <f t="shared" si="238"/>
        <v>0</v>
      </c>
      <c r="BG176" s="330">
        <f t="shared" si="239"/>
        <v>0</v>
      </c>
      <c r="BH176" s="330">
        <f t="shared" si="240"/>
        <v>0</v>
      </c>
      <c r="BI176" s="330">
        <f t="shared" si="241"/>
        <v>0</v>
      </c>
      <c r="BJ176" s="330">
        <f t="shared" si="242"/>
        <v>0</v>
      </c>
      <c r="BK176" s="330">
        <f t="shared" si="243"/>
        <v>0</v>
      </c>
      <c r="BL176" s="330">
        <f t="shared" si="244"/>
        <v>0</v>
      </c>
      <c r="BM176" s="330">
        <f t="shared" si="245"/>
        <v>0</v>
      </c>
      <c r="BN176" s="330">
        <f t="shared" si="246"/>
        <v>0</v>
      </c>
      <c r="BO176" s="330">
        <f t="shared" si="247"/>
        <v>0</v>
      </c>
      <c r="BP176" s="330">
        <f t="shared" si="248"/>
        <v>0</v>
      </c>
      <c r="BQ176" s="330">
        <f t="shared" si="249"/>
        <v>0</v>
      </c>
      <c r="BR176" s="330">
        <f t="shared" si="250"/>
        <v>0</v>
      </c>
      <c r="BS176" s="330">
        <f t="shared" si="251"/>
        <v>0</v>
      </c>
      <c r="BT176" s="329">
        <f>IF($F176="",0,IF($F176="Weighted Average",$BS176*VLOOKUP($D176,'Default Values'!$B$78:$V$97,COLUMNS('Default Values'!$B$77:G$77),0),0))</f>
        <v>0</v>
      </c>
      <c r="BU176" s="329">
        <f>IF($F176="",0,IF($F176="Weighted Average",$BS176*VLOOKUP($D176,'Default Values'!$B$78:$V$97,COLUMNS('Default Values'!$B$77:H$77),0),0))</f>
        <v>0</v>
      </c>
      <c r="BV176" s="329">
        <f>IF($F176="",0,IF($F176="Weighted Average",$BS176*VLOOKUP($D176,'Default Values'!$B$78:$V$97,COLUMNS('Default Values'!$B$77:I$77),0),0))</f>
        <v>0</v>
      </c>
      <c r="BW176" s="329">
        <f>IF($F176="",0,IF($F176="Weighted Average",$BS176*VLOOKUP($D176,'Default Values'!$B$78:$V$97,COLUMNS('Default Values'!$B$77:J$77),0),0))</f>
        <v>0</v>
      </c>
      <c r="BX176" s="329">
        <f>IF($F176="",0,IF($F176="Weighted Average",$BS176*VLOOKUP($D176,'Default Values'!$B$78:$V$97,COLUMNS('Default Values'!$B$77:K$77),0),0))</f>
        <v>0</v>
      </c>
      <c r="BY176" s="329">
        <f>IF($F176="",0,IF($F176="Weighted Average",$BS176*VLOOKUP($D176,'Default Values'!$B$78:$V$97,COLUMNS('Default Values'!$B$77:L$77),0),0))</f>
        <v>0</v>
      </c>
      <c r="BZ176" s="329">
        <f>IF($F176="",0,IF($F176="Weighted Average",$BS176*VLOOKUP($D176,'Default Values'!$B$78:$V$97,COLUMNS('Default Values'!$B$77:M$77),0),0))</f>
        <v>0</v>
      </c>
      <c r="CA176" s="329">
        <f>IF($F176="",0,IF($F176="Weighted Average",$BS176*VLOOKUP($D176,'Default Values'!$B$78:$V$97,COLUMNS('Default Values'!$B$77:N$77),0),0))</f>
        <v>0</v>
      </c>
      <c r="CB176" s="329">
        <f>IF($F176="",0,IF($F176="Weighted Average",$BS176*VLOOKUP($D176,'Default Values'!$B$78:$V$97,COLUMNS('Default Values'!$B$77:O$77),0),0))</f>
        <v>0</v>
      </c>
      <c r="CC176" s="329">
        <f>IF($F176="",0,IF($F176="Weighted Average",$BS176*VLOOKUP($D176,'Default Values'!$B$78:$V$97,COLUMNS('Default Values'!$B$77:P$77),0),0))</f>
        <v>0</v>
      </c>
      <c r="CD176" s="329">
        <f>IF($F176="",0,IF($F176="Weighted Average",$BS176*VLOOKUP($D176,'Default Values'!$B$78:$V$97,COLUMNS('Default Values'!$B$77:Q$77),0),0))</f>
        <v>0</v>
      </c>
      <c r="CE176" s="329">
        <f>IF($F176="",0,IF($F176="Weighted Average",$BS176*VLOOKUP($D176,'Default Values'!$B$78:$V$97,COLUMNS('Default Values'!$B$77:R$77),0),0))</f>
        <v>0</v>
      </c>
      <c r="CF176" s="329">
        <f>IF($F176="",0,IF($F176="Weighted Average",$BS176*VLOOKUP($D176,'Default Values'!$B$78:$V$97,COLUMNS('Default Values'!$B$77:S$77),0),0))</f>
        <v>0</v>
      </c>
      <c r="CG176" s="329">
        <f>IF($F176="",0,IF($F176="Weighted Average",$BS176*VLOOKUP($D176,'Default Values'!$B$78:$V$97,COLUMNS('Default Values'!$B$77:T$77),0),0))</f>
        <v>0</v>
      </c>
      <c r="CH176" s="329">
        <f>IF($F176="",0,IF($F176="Weighted Average",$BS176*VLOOKUP($D176,'Default Values'!$B$78:$V$97,COLUMNS('Default Values'!$B$77:U$77),0),0))</f>
        <v>0</v>
      </c>
      <c r="CI176" s="329">
        <f>IF($F176="",0,IF($F176="Weighted Average",$BS176*VLOOKUP($D176,'Default Values'!$B$78:$V$97,COLUMNS('Default Values'!$B$77:V$77),0),0))</f>
        <v>0</v>
      </c>
      <c r="CJ176" s="331">
        <f t="shared" si="252"/>
        <v>0</v>
      </c>
      <c r="CK176" s="330">
        <f t="shared" si="253"/>
        <v>0</v>
      </c>
      <c r="CL176" s="330">
        <f t="shared" si="254"/>
        <v>0</v>
      </c>
      <c r="CM176" s="330">
        <f t="shared" si="255"/>
        <v>0</v>
      </c>
      <c r="CN176" s="330">
        <f t="shared" si="256"/>
        <v>0</v>
      </c>
      <c r="CO176" s="330">
        <f t="shared" si="257"/>
        <v>0</v>
      </c>
      <c r="CP176" s="330">
        <f t="shared" si="258"/>
        <v>0</v>
      </c>
      <c r="CQ176" s="330">
        <f t="shared" si="186"/>
        <v>0</v>
      </c>
      <c r="CR176" s="330">
        <f t="shared" si="259"/>
        <v>0</v>
      </c>
      <c r="CS176" s="330">
        <f t="shared" si="260"/>
        <v>0</v>
      </c>
      <c r="CT176" s="330">
        <f t="shared" si="261"/>
        <v>0</v>
      </c>
      <c r="CU176" s="330">
        <f t="shared" si="262"/>
        <v>0</v>
      </c>
      <c r="CV176" s="330">
        <f t="shared" si="262"/>
        <v>0</v>
      </c>
      <c r="CW176" s="330">
        <f t="shared" si="262"/>
        <v>0</v>
      </c>
      <c r="CX176" s="330">
        <f t="shared" si="262"/>
        <v>0</v>
      </c>
      <c r="CY176" s="330">
        <f t="shared" si="262"/>
        <v>0</v>
      </c>
      <c r="CZ176" s="330">
        <f t="shared" si="262"/>
        <v>0</v>
      </c>
      <c r="DA176" s="330">
        <f t="shared" si="262"/>
        <v>0</v>
      </c>
      <c r="DB176" s="330">
        <f t="shared" si="262"/>
        <v>0</v>
      </c>
      <c r="DC176" s="330">
        <f t="shared" si="262"/>
        <v>0</v>
      </c>
      <c r="DD176" s="330">
        <f t="shared" si="262"/>
        <v>0</v>
      </c>
      <c r="DE176" s="330">
        <f t="shared" si="263"/>
        <v>0</v>
      </c>
      <c r="DF176" s="330">
        <f t="shared" si="263"/>
        <v>0</v>
      </c>
      <c r="DG176" s="330">
        <f t="shared" si="263"/>
        <v>0</v>
      </c>
      <c r="DH176" s="330">
        <f t="shared" si="263"/>
        <v>0</v>
      </c>
      <c r="DI176" s="330">
        <f t="shared" si="263"/>
        <v>0</v>
      </c>
      <c r="DJ176" s="330">
        <f t="shared" si="263"/>
        <v>0</v>
      </c>
      <c r="DK176" s="330">
        <f t="shared" si="263"/>
        <v>0</v>
      </c>
      <c r="DL176" s="330">
        <f t="shared" si="263"/>
        <v>0</v>
      </c>
      <c r="DM176" s="330">
        <f t="shared" si="263"/>
        <v>0</v>
      </c>
      <c r="DN176" s="330">
        <f t="shared" si="263"/>
        <v>0</v>
      </c>
      <c r="DO176" s="330">
        <f t="shared" si="263"/>
        <v>0</v>
      </c>
      <c r="DP176" s="330">
        <f t="shared" si="264"/>
        <v>0</v>
      </c>
      <c r="DQ176" s="217"/>
      <c r="DR176" s="217"/>
      <c r="DS176" s="217"/>
      <c r="DT176" s="217"/>
    </row>
    <row r="177" spans="1:124" x14ac:dyDescent="0.3">
      <c r="A177" s="324"/>
      <c r="B177" s="221" t="s">
        <v>307</v>
      </c>
      <c r="C177" s="221" t="str">
        <f>IF('Simplified Screening 2'!C28=0,"",'Simplified Screening 2'!C28)</f>
        <v/>
      </c>
      <c r="D177" s="221" t="str">
        <f>IF('Simplified Screening 2'!D28=0,"",'Simplified Screening 2'!D28)</f>
        <v/>
      </c>
      <c r="E177" s="221"/>
      <c r="F177" s="221" t="str">
        <f>'Simplified Screening 2'!J28</f>
        <v/>
      </c>
      <c r="G177" s="335" t="str">
        <f>IF(D177="","",'Simplified Screening 2'!G28/1000*VLOOKUP(D177,'Default Values'!$B$78:$F$97,COLUMNS('Default Values'!$B$77:$D$77),0)/1000)</f>
        <v/>
      </c>
      <c r="H177" s="335" t="str">
        <f>IF(D177="","",'Simplified Screening 2'!G28/1000*VLOOKUP(D177,'Default Values'!$B$78:$F$97,COLUMNS('Default Values'!$B$77:$E$77),0)/1000)</f>
        <v/>
      </c>
      <c r="I177" s="335" t="str">
        <f>IF(D177="","",'Simplified Screening 2'!G28/1000*VLOOKUP(D177,'Default Values'!$B$78:$F$97,COLUMNS('Default Values'!$B$77:$F$77),0)/1000)</f>
        <v/>
      </c>
      <c r="J177" s="325">
        <f>IF('Simplified Screening 2'!H28=0,0,'Simplified Screening 2'!H28)</f>
        <v>0</v>
      </c>
      <c r="K177" s="465"/>
      <c r="L177" s="333">
        <f>IF($F177="",0,IF($F177="Weighted Average",$G177*VLOOKUP($D177&amp;" (Install)",Lists!$C$72:$R$232,COLUMNS(Lists!$C$69:E$69),0)*VLOOKUP(BE$3,Conversions!$B$12:$E$34,4,0),$G177*VLOOKUP($F177,Lists!$C$72:$R$232,COLUMNS(Lists!$C$69:E$69),0)*VLOOKUP(BE$3,Conversions!$B$12:$E$34,4,0)))</f>
        <v>0</v>
      </c>
      <c r="M177" s="333">
        <f>IF($F177="",0,IF($F177="Weighted Average",$G177*VLOOKUP($D177&amp;" (Install)",Lists!$C$72:$R$232,COLUMNS(Lists!$C$69:F$69),0)*VLOOKUP(BF$3,Conversions!$B$12:$E$34,4,0),$G177*VLOOKUP($F177,Lists!$C$72:$R$232,COLUMNS(Lists!$C$69:F$69),0)*VLOOKUP(BF$3,Conversions!$B$12:$E$34,4,0)))</f>
        <v>0</v>
      </c>
      <c r="N177" s="333">
        <f>IF($F177="",0,IF($F177="Weighted Average",$G177*VLOOKUP($D177&amp;" (Install)",Lists!$C$72:$R$232,COLUMNS(Lists!$C$69:G$69),0)*VLOOKUP(BG$3,Conversions!$B$12:$E$34,4,0),$G177*VLOOKUP($F177,Lists!$C$72:$R$232,COLUMNS(Lists!$C$69:G$69),0)*VLOOKUP(BG$3,Conversions!$B$12:$E$34,4,0)))</f>
        <v>0</v>
      </c>
      <c r="O177" s="333">
        <f>IF($F177="",0,IF($F177="Weighted Average",$G177*VLOOKUP($D177&amp;" (Install)",Lists!$C$72:$R$232,COLUMNS(Lists!$C$69:H$69),0)*VLOOKUP(BH$3,Conversions!$B$12:$E$34,4,0),$G177*VLOOKUP($F177,Lists!$C$72:$R$232,COLUMNS(Lists!$C$69:H$69),0)*VLOOKUP(BH$3,Conversions!$B$12:$E$34,4,0)))</f>
        <v>0</v>
      </c>
      <c r="P177" s="333">
        <f>IF($F177="",0,IF($F177="Weighted Average",$G177*VLOOKUP($D177&amp;" (Install)",Lists!$C$72:$R$232,COLUMNS(Lists!$C$69:I$69),0)*VLOOKUP(BI$3,Conversions!$B$12:$E$34,4,0),$G177*VLOOKUP($F177,Lists!$C$72:$R$232,COLUMNS(Lists!$C$69:I$69),0)*VLOOKUP(BI$3,Conversions!$B$12:$E$34,4,0)))</f>
        <v>0</v>
      </c>
      <c r="Q177" s="333">
        <f>IF($F177="",0,IF($F177="Weighted Average",$G177*VLOOKUP($D177&amp;" (Install)",Lists!$C$72:$R$232,COLUMNS(Lists!$C$69:J$69),0)*VLOOKUP(BJ$3,Conversions!$B$12:$E$34,4,0),$G177*VLOOKUP($F177,Lists!$C$72:$R$232,COLUMNS(Lists!$C$69:J$69),0)*VLOOKUP(BJ$3,Conversions!$B$12:$E$34,4,0)))</f>
        <v>0</v>
      </c>
      <c r="R177" s="333">
        <f>IF($F177="",0,IF($F177="Weighted Average",$G177*VLOOKUP($D177&amp;" (Install)",Lists!$C$72:$R$232,COLUMNS(Lists!$C$69:K$69),0)*VLOOKUP(BK$3,Conversions!$B$12:$E$34,4,0),$G177*VLOOKUP($F177,Lists!$C$72:$R$232,COLUMNS(Lists!$C$69:K$69),0)*VLOOKUP(BK$3,Conversions!$B$12:$E$34,4,0)))</f>
        <v>0</v>
      </c>
      <c r="S177" s="333">
        <f>IF($F177="",0,IF($F177="Weighted Average",$G177*VLOOKUP($D177&amp;" (Install)",Lists!$C$72:$R$232,COLUMNS(Lists!$C$69:L$69),0)*VLOOKUP(BL$3,Conversions!$B$12:$E$34,4,0),$G177*VLOOKUP($F177,Lists!$C$72:$R$232,COLUMNS(Lists!$C$69:L$69),0)*VLOOKUP(BL$3,Conversions!$B$12:$E$34,4,0)))</f>
        <v>0</v>
      </c>
      <c r="T177" s="333">
        <f>IF($F177="",0,IF($F177="Weighted Average",$G177*VLOOKUP($D177&amp;" (Install)",Lists!$C$72:$R$232,COLUMNS(Lists!$C$69:M$69),0)*VLOOKUP(BM$3,Conversions!$B$12:$E$34,4,0),$G177*VLOOKUP($F177,Lists!$C$72:$R$232,COLUMNS(Lists!$C$69:M$69),0)*VLOOKUP(BM$3,Conversions!$B$12:$E$34,4,0)))</f>
        <v>0</v>
      </c>
      <c r="U177" s="333">
        <f>IF($F177="",0,IF($F177="Weighted Average",$G177*VLOOKUP($D177&amp;" (Install)",Lists!$C$72:$R$232,COLUMNS(Lists!$C$69:N$69),0)*VLOOKUP(BN$3,Conversions!$B$12:$E$34,4,0),$G177*VLOOKUP($F177,Lists!$C$72:$R$232,COLUMNS(Lists!$C$69:N$69),0)*VLOOKUP(BN$3,Conversions!$B$12:$E$34,4,0)))</f>
        <v>0</v>
      </c>
      <c r="V177" s="333">
        <f>IF($F177="",0,IF($F177="Weighted Average",$G177*VLOOKUP($D177&amp;" (Install)",Lists!$C$72:$R$232,COLUMNS(Lists!$C$69:O$69),0)*VLOOKUP(BO$3,Conversions!$B$12:$E$34,4,0),$G177*VLOOKUP($F177,Lists!$C$72:$R$232,COLUMNS(Lists!$C$69:O$69),0)*VLOOKUP(BO$3,Conversions!$B$12:$E$34,4,0)))</f>
        <v>0</v>
      </c>
      <c r="W177" s="333">
        <f>IF($F177="",0,IF($F177="Weighted Average",$G177*VLOOKUP($D177&amp;" (Install)",Lists!$C$72:$R$232,COLUMNS(Lists!$C$69:P$69),0)*VLOOKUP(BP$3,Conversions!$B$12:$E$34,4,0),$G177*VLOOKUP($F177,Lists!$C$72:$R$232,COLUMNS(Lists!$C$69:P$69),0)*VLOOKUP(BP$3,Conversions!$B$12:$E$34,4,0)))</f>
        <v>0</v>
      </c>
      <c r="X177" s="333">
        <f>IF($F177="",0,IF($F177="Weighted Average",$G177*VLOOKUP($D177&amp;" (Install)",Lists!$C$72:$R$232,COLUMNS(Lists!$C$69:Q$69),0)*VLOOKUP(BQ$3,Conversions!$B$12:$E$34,4,0),$G177*VLOOKUP($F177,Lists!$C$72:$R$232,COLUMNS(Lists!$C$69:Q$69),0)*VLOOKUP(BQ$3,Conversions!$B$12:$E$34,4,0)))</f>
        <v>0</v>
      </c>
      <c r="Y177" s="333">
        <f>IF($F177="",0,IF($F177="Weighted Average",$G177*VLOOKUP($D177&amp;" (Install)",Lists!$C$72:$R$232,COLUMNS(Lists!$C$69:R$69),0)*VLOOKUP(BR$3,Conversions!$B$12:$E$34,4,0),$G177*VLOOKUP($F177,Lists!$C$72:$R$232,COLUMNS(Lists!$C$69:R$69),0)*VLOOKUP(BR$3,Conversions!$B$12:$E$34,4,0)))</f>
        <v>0</v>
      </c>
      <c r="Z177" s="325">
        <f t="shared" si="234"/>
        <v>0</v>
      </c>
      <c r="AA177" s="334">
        <f>IF($F177="",0,IF($F177="Weighted Average",$H177*VLOOKUP($D177&amp;" (Operation)",Lists!$C$72:$R$232,COLUMNS(Lists!$C$69:E$69),0)*VLOOKUP(BE$3,Conversions!$B$12:$E$34,4,0),$H177*VLOOKUP($F177,Lists!$C$72:$R$232,COLUMNS(Lists!$C$69:E$69),0)*VLOOKUP(BE$3,Conversions!$B$12:$E$34,4,0)))</f>
        <v>0</v>
      </c>
      <c r="AB177" s="334">
        <f>IF($F177="",0,IF($F177="Weighted Average",$H177*VLOOKUP($D177&amp;" (Operation)",Lists!$C$72:$R$232,COLUMNS(Lists!$C$69:F$69),0)*VLOOKUP(BF$3,Conversions!$B$12:$E$34,4,0),$H177*VLOOKUP($F177,Lists!$C$72:$R$232,COLUMNS(Lists!$C$69:F$69),0)*VLOOKUP(BF$3,Conversions!$B$12:$E$34,4,0)))</f>
        <v>0</v>
      </c>
      <c r="AC177" s="334">
        <f>IF($F177="",0,IF($F177="Weighted Average",$H177*VLOOKUP($D177&amp;" (Operation)",Lists!$C$72:$R$232,COLUMNS(Lists!$C$69:G$69),0)*VLOOKUP(BG$3,Conversions!$B$12:$E$34,4,0),$H177*VLOOKUP($F177,Lists!$C$72:$R$232,COLUMNS(Lists!$C$69:G$69),0)*VLOOKUP(BG$3,Conversions!$B$12:$E$34,4,0)))</f>
        <v>0</v>
      </c>
      <c r="AD177" s="334">
        <f>IF($F177="",0,IF($F177="Weighted Average",$H177*VLOOKUP($D177&amp;" (Operation)",Lists!$C$72:$R$232,COLUMNS(Lists!$C$69:H$69),0)*VLOOKUP(BH$3,Conversions!$B$12:$E$34,4,0),$H177*VLOOKUP($F177,Lists!$C$72:$R$232,COLUMNS(Lists!$C$69:H$69),0)*VLOOKUP(BH$3,Conversions!$B$12:$E$34,4,0)))</f>
        <v>0</v>
      </c>
      <c r="AE177" s="334">
        <f>IF($F177="",0,IF($F177="Weighted Average",$H177*VLOOKUP($D177&amp;" (Operation)",Lists!$C$72:$R$232,COLUMNS(Lists!$C$69:I$69),0)*VLOOKUP(BI$3,Conversions!$B$12:$E$34,4,0),$H177*VLOOKUP($F177,Lists!$C$72:$R$232,COLUMNS(Lists!$C$69:I$69),0)*VLOOKUP(BI$3,Conversions!$B$12:$E$34,4,0)))</f>
        <v>0</v>
      </c>
      <c r="AF177" s="334">
        <f>IF($F177="",0,IF($F177="Weighted Average",$H177*VLOOKUP($D177&amp;" (Operation)",Lists!$C$72:$R$232,COLUMNS(Lists!$C$69:J$69),0)*VLOOKUP(BJ$3,Conversions!$B$12:$E$34,4,0),$H177*VLOOKUP($F177,Lists!$C$72:$R$232,COLUMNS(Lists!$C$69:J$69),0)*VLOOKUP(BJ$3,Conversions!$B$12:$E$34,4,0)))</f>
        <v>0</v>
      </c>
      <c r="AG177" s="334">
        <f>IF($F177="",0,IF($F177="Weighted Average",$H177*VLOOKUP($D177&amp;" (Operation)",Lists!$C$72:$R$232,COLUMNS(Lists!$C$69:K$69),0)*VLOOKUP(BK$3,Conversions!$B$12:$E$34,4,0),$H177*VLOOKUP($F177,Lists!$C$72:$R$232,COLUMNS(Lists!$C$69:K$69),0)*VLOOKUP(BK$3,Conversions!$B$12:$E$34,4,0)))</f>
        <v>0</v>
      </c>
      <c r="AH177" s="334">
        <f>IF($F177="",0,IF($F177="Weighted Average",$H177*VLOOKUP($D177&amp;" (Operation)",Lists!$C$72:$R$232,COLUMNS(Lists!$C$69:L$69),0)*VLOOKUP(BL$3,Conversions!$B$12:$E$34,4,0),$H177*VLOOKUP($F177,Lists!$C$72:$R$232,COLUMNS(Lists!$C$69:L$69),0)*VLOOKUP(BL$3,Conversions!$B$12:$E$34,4,0)))</f>
        <v>0</v>
      </c>
      <c r="AI177" s="334">
        <f>IF($F177="",0,IF($F177="Weighted Average",$H177*VLOOKUP($D177&amp;" (Operation)",Lists!$C$72:$R$232,COLUMNS(Lists!$C$69:M$69),0)*VLOOKUP(BM$3,Conversions!$B$12:$E$34,4,0),$H177*VLOOKUP($F177,Lists!$C$72:$R$232,COLUMNS(Lists!$C$69:M$69),0)*VLOOKUP(BM$3,Conversions!$B$12:$E$34,4,0)))</f>
        <v>0</v>
      </c>
      <c r="AJ177" s="334">
        <f>IF($F177="",0,IF($F177="Weighted Average",$H177*VLOOKUP($D177&amp;" (Operation)",Lists!$C$72:$R$232,COLUMNS(Lists!$C$69:N$69),0)*VLOOKUP(BN$3,Conversions!$B$12:$E$34,4,0),$H177*VLOOKUP($F177,Lists!$C$72:$R$232,COLUMNS(Lists!$C$69:N$69),0)*VLOOKUP(BN$3,Conversions!$B$12:$E$34,4,0)))</f>
        <v>0</v>
      </c>
      <c r="AK177" s="334">
        <f>IF($F177="",0,IF($F177="Weighted Average",$H177*VLOOKUP($D177&amp;" (Operation)",Lists!$C$72:$R$232,COLUMNS(Lists!$C$69:O$69),0)*VLOOKUP(BO$3,Conversions!$B$12:$E$34,4,0),$H177*VLOOKUP($F177,Lists!$C$72:$R$232,COLUMNS(Lists!$C$69:O$69),0)*VLOOKUP(BO$3,Conversions!$B$12:$E$34,4,0)))</f>
        <v>0</v>
      </c>
      <c r="AL177" s="334">
        <f>IF($F177="",0,IF($F177="Weighted Average",$H177*VLOOKUP($D177&amp;" (Operation)",Lists!$C$72:$R$232,COLUMNS(Lists!$C$69:P$69),0)*VLOOKUP(BP$3,Conversions!$B$12:$E$34,4,0),$H177*VLOOKUP($F177,Lists!$C$72:$R$232,COLUMNS(Lists!$C$69:P$69),0)*VLOOKUP(BP$3,Conversions!$B$12:$E$34,4,0)))</f>
        <v>0</v>
      </c>
      <c r="AM177" s="334">
        <f>IF($F177="",0,IF($F177="Weighted Average",$H177*VLOOKUP($D177&amp;" (Operation)",Lists!$C$72:$R$232,COLUMNS(Lists!$C$69:Q$69),0)*VLOOKUP(BQ$3,Conversions!$B$12:$E$34,4,0),$H177*VLOOKUP($F177,Lists!$C$72:$R$232,COLUMNS(Lists!$C$69:Q$69),0)*VLOOKUP(BQ$3,Conversions!$B$12:$E$34,4,0)))</f>
        <v>0</v>
      </c>
      <c r="AN177" s="334">
        <f>IF($F177="",0,IF($F177="Weighted Average",$H177*VLOOKUP($D177&amp;" (Operation)",Lists!$C$72:$R$232,COLUMNS(Lists!$C$69:R$69),0)*VLOOKUP(BR$3,Conversions!$B$12:$E$34,4,0),$H177*VLOOKUP($F177,Lists!$C$72:$R$232,COLUMNS(Lists!$C$69:R$69),0)*VLOOKUP(BR$3,Conversions!$B$12:$E$34,4,0)))</f>
        <v>0</v>
      </c>
      <c r="AO177" s="330">
        <f t="shared" si="235"/>
        <v>0</v>
      </c>
      <c r="AP177" s="333">
        <f>IF($F177="",0,IF($F177="Weighted Average",$I177*VLOOKUP($D177&amp;" (Disposal)",Lists!$C$72:$R$232,COLUMNS(Lists!$C$69:E$69),0)*VLOOKUP(BE$3,Conversions!$B$12:$E$34,4,0),$I177*VLOOKUP($F177,Lists!$C$72:$R$232,COLUMNS(Lists!$C$69:E$69),0)*VLOOKUP(BE$3,Conversions!$B$12:$E$34,4,0)))</f>
        <v>0</v>
      </c>
      <c r="AQ177" s="333">
        <f>IF($F177="",0,IF($F177="Weighted Average",$I177*VLOOKUP($D177&amp;" (Disposal)",Lists!$C$72:$R$232,COLUMNS(Lists!$C$69:F$69),0)*VLOOKUP(BF$3,Conversions!$B$12:$E$34,4,0),$I177*VLOOKUP($F177,Lists!$C$72:$R$232,COLUMNS(Lists!$C$69:F$69),0)*VLOOKUP(BF$3,Conversions!$B$12:$E$34,4,0)))</f>
        <v>0</v>
      </c>
      <c r="AR177" s="333">
        <f>IF($F177="",0,IF($F177="Weighted Average",$I177*VLOOKUP($D177&amp;" (Disposal)",Lists!$C$72:$R$232,COLUMNS(Lists!$C$69:G$69),0)*VLOOKUP(BG$3,Conversions!$B$12:$E$34,4,0),$I177*VLOOKUP($F177,Lists!$C$72:$R$232,COLUMNS(Lists!$C$69:G$69),0)*VLOOKUP(BG$3,Conversions!$B$12:$E$34,4,0)))</f>
        <v>0</v>
      </c>
      <c r="AS177" s="333">
        <f>IF($F177="",0,IF($F177="Weighted Average",$I177*VLOOKUP($D177&amp;" (Disposal)",Lists!$C$72:$R$232,COLUMNS(Lists!$C$69:H$69),0)*VLOOKUP(BH$3,Conversions!$B$12:$E$34,4,0),$I177*VLOOKUP($F177,Lists!$C$72:$R$232,COLUMNS(Lists!$C$69:H$69),0)*VLOOKUP(BH$3,Conversions!$B$12:$E$34,4,0)))</f>
        <v>0</v>
      </c>
      <c r="AT177" s="333">
        <f>IF($F177="",0,IF($F177="Weighted Average",$I177*VLOOKUP($D177&amp;" (Disposal)",Lists!$C$72:$R$232,COLUMNS(Lists!$C$69:I$69),0)*VLOOKUP(BI$3,Conversions!$B$12:$E$34,4,0),$I177*VLOOKUP($F177,Lists!$C$72:$R$232,COLUMNS(Lists!$C$69:I$69),0)*VLOOKUP(BI$3,Conversions!$B$12:$E$34,4,0)))</f>
        <v>0</v>
      </c>
      <c r="AU177" s="333">
        <f>IF($F177="",0,IF($F177="Weighted Average",$I177*VLOOKUP($D177&amp;" (Disposal)",Lists!$C$72:$R$232,COLUMNS(Lists!$C$69:J$69),0)*VLOOKUP(BJ$3,Conversions!$B$12:$E$34,4,0),$I177*VLOOKUP($F177,Lists!$C$72:$R$232,COLUMNS(Lists!$C$69:J$69),0)*VLOOKUP(BJ$3,Conversions!$B$12:$E$34,4,0)))</f>
        <v>0</v>
      </c>
      <c r="AV177" s="333">
        <f>IF($F177="",0,IF($F177="Weighted Average",$I177*VLOOKUP($D177&amp;" (Disposal)",Lists!$C$72:$R$232,COLUMNS(Lists!$C$69:K$69),0)*VLOOKUP(BK$3,Conversions!$B$12:$E$34,4,0),$I177*VLOOKUP($F177,Lists!$C$72:$R$232,COLUMNS(Lists!$C$69:K$69),0)*VLOOKUP(BK$3,Conversions!$B$12:$E$34,4,0)))</f>
        <v>0</v>
      </c>
      <c r="AW177" s="333">
        <f>IF($F177="",0,IF($F177="Weighted Average",$I177*VLOOKUP($D177&amp;" (Disposal)",Lists!$C$72:$R$232,COLUMNS(Lists!$C$69:L$69),0)*VLOOKUP(BL$3,Conversions!$B$12:$E$34,4,0),$I177*VLOOKUP($F177,Lists!$C$72:$R$232,COLUMNS(Lists!$C$69:L$69),0)*VLOOKUP(BL$3,Conversions!$B$12:$E$34,4,0)))</f>
        <v>0</v>
      </c>
      <c r="AX177" s="333">
        <f>IF($F177="",0,IF($F177="Weighted Average",$I177*VLOOKUP($D177&amp;" (Disposal)",Lists!$C$72:$R$232,COLUMNS(Lists!$C$69:M$69),0)*VLOOKUP(BM$3,Conversions!$B$12:$E$34,4,0),$I177*VLOOKUP($F177,Lists!$C$72:$R$232,COLUMNS(Lists!$C$69:M$69),0)*VLOOKUP(BM$3,Conversions!$B$12:$E$34,4,0)))</f>
        <v>0</v>
      </c>
      <c r="AY177" s="333">
        <f>IF($F177="",0,IF($F177="Weighted Average",$I177*VLOOKUP($D177&amp;" (Disposal)",Lists!$C$72:$R$232,COLUMNS(Lists!$C$69:N$69),0)*VLOOKUP(BN$3,Conversions!$B$12:$E$34,4,0),$I177*VLOOKUP($F177,Lists!$C$72:$R$232,COLUMNS(Lists!$C$69:N$69),0)*VLOOKUP(BN$3,Conversions!$B$12:$E$34,4,0)))</f>
        <v>0</v>
      </c>
      <c r="AZ177" s="333">
        <f>IF($F177="",0,IF($F177="Weighted Average",$I177*VLOOKUP($D177&amp;" (Disposal)",Lists!$C$72:$R$232,COLUMNS(Lists!$C$69:O$69),0)*VLOOKUP(BO$3,Conversions!$B$12:$E$34,4,0),$I177*VLOOKUP($F177,Lists!$C$72:$R$232,COLUMNS(Lists!$C$69:O$69),0)*VLOOKUP(BO$3,Conversions!$B$12:$E$34,4,0)))</f>
        <v>0</v>
      </c>
      <c r="BA177" s="333">
        <f>IF($F177="",0,IF($F177="Weighted Average",$I177*VLOOKUP($D177&amp;" (Disposal)",Lists!$C$72:$R$232,COLUMNS(Lists!$C$69:P$69),0)*VLOOKUP(BP$3,Conversions!$B$12:$E$34,4,0),$I177*VLOOKUP($F177,Lists!$C$72:$R$232,COLUMNS(Lists!$C$69:P$69),0)*VLOOKUP(BP$3,Conversions!$B$12:$E$34,4,0)))</f>
        <v>0</v>
      </c>
      <c r="BB177" s="333">
        <f>IF($F177="",0,IF($F177="Weighted Average",$I177*VLOOKUP($D177&amp;" (Disposal)",Lists!$C$72:$R$232,COLUMNS(Lists!$C$69:Q$69),0)*VLOOKUP(BQ$3,Conversions!$B$12:$E$34,4,0),$I177*VLOOKUP($F177,Lists!$C$72:$R$232,COLUMNS(Lists!$C$69:Q$69),0)*VLOOKUP(BQ$3,Conversions!$B$12:$E$34,4,0)))</f>
        <v>0</v>
      </c>
      <c r="BC177" s="333">
        <f>IF($F177="",0,IF($F177="Weighted Average",$I177*VLOOKUP($D177&amp;" (Disposal)",Lists!$C$72:$R$232,COLUMNS(Lists!$C$69:R$69),0)*VLOOKUP(BR$3,Conversions!$B$12:$E$34,4,0),$I177*VLOOKUP($F177,Lists!$C$72:$R$232,COLUMNS(Lists!$C$69:R$69),0)*VLOOKUP(BR$3,Conversions!$B$12:$E$34,4,0)))</f>
        <v>0</v>
      </c>
      <c r="BD177" s="333">
        <f t="shared" si="236"/>
        <v>0</v>
      </c>
      <c r="BE177" s="330">
        <f t="shared" si="237"/>
        <v>0</v>
      </c>
      <c r="BF177" s="330">
        <f t="shared" si="238"/>
        <v>0</v>
      </c>
      <c r="BG177" s="330">
        <f t="shared" si="239"/>
        <v>0</v>
      </c>
      <c r="BH177" s="330">
        <f t="shared" si="240"/>
        <v>0</v>
      </c>
      <c r="BI177" s="330">
        <f t="shared" si="241"/>
        <v>0</v>
      </c>
      <c r="BJ177" s="330">
        <f t="shared" si="242"/>
        <v>0</v>
      </c>
      <c r="BK177" s="330">
        <f t="shared" si="243"/>
        <v>0</v>
      </c>
      <c r="BL177" s="330">
        <f t="shared" si="244"/>
        <v>0</v>
      </c>
      <c r="BM177" s="330">
        <f t="shared" si="245"/>
        <v>0</v>
      </c>
      <c r="BN177" s="330">
        <f t="shared" si="246"/>
        <v>0</v>
      </c>
      <c r="BO177" s="330">
        <f t="shared" si="247"/>
        <v>0</v>
      </c>
      <c r="BP177" s="330">
        <f t="shared" si="248"/>
        <v>0</v>
      </c>
      <c r="BQ177" s="330">
        <f t="shared" si="249"/>
        <v>0</v>
      </c>
      <c r="BR177" s="330">
        <f t="shared" si="250"/>
        <v>0</v>
      </c>
      <c r="BS177" s="330">
        <f t="shared" si="251"/>
        <v>0</v>
      </c>
      <c r="BT177" s="329">
        <f>IF($F177="",0,IF($F177="Weighted Average",$BS177*VLOOKUP($D177,'Default Values'!$B$78:$V$97,COLUMNS('Default Values'!$B$77:G$77),0),0))</f>
        <v>0</v>
      </c>
      <c r="BU177" s="329">
        <f>IF($F177="",0,IF($F177="Weighted Average",$BS177*VLOOKUP($D177,'Default Values'!$B$78:$V$97,COLUMNS('Default Values'!$B$77:H$77),0),0))</f>
        <v>0</v>
      </c>
      <c r="BV177" s="329">
        <f>IF($F177="",0,IF($F177="Weighted Average",$BS177*VLOOKUP($D177,'Default Values'!$B$78:$V$97,COLUMNS('Default Values'!$B$77:I$77),0),0))</f>
        <v>0</v>
      </c>
      <c r="BW177" s="329">
        <f>IF($F177="",0,IF($F177="Weighted Average",$BS177*VLOOKUP($D177,'Default Values'!$B$78:$V$97,COLUMNS('Default Values'!$B$77:J$77),0),0))</f>
        <v>0</v>
      </c>
      <c r="BX177" s="329">
        <f>IF($F177="",0,IF($F177="Weighted Average",$BS177*VLOOKUP($D177,'Default Values'!$B$78:$V$97,COLUMNS('Default Values'!$B$77:K$77),0),0))</f>
        <v>0</v>
      </c>
      <c r="BY177" s="329">
        <f>IF($F177="",0,IF($F177="Weighted Average",$BS177*VLOOKUP($D177,'Default Values'!$B$78:$V$97,COLUMNS('Default Values'!$B$77:L$77),0),0))</f>
        <v>0</v>
      </c>
      <c r="BZ177" s="329">
        <f>IF($F177="",0,IF($F177="Weighted Average",$BS177*VLOOKUP($D177,'Default Values'!$B$78:$V$97,COLUMNS('Default Values'!$B$77:M$77),0),0))</f>
        <v>0</v>
      </c>
      <c r="CA177" s="329">
        <f>IF($F177="",0,IF($F177="Weighted Average",$BS177*VLOOKUP($D177,'Default Values'!$B$78:$V$97,COLUMNS('Default Values'!$B$77:N$77),0),0))</f>
        <v>0</v>
      </c>
      <c r="CB177" s="329">
        <f>IF($F177="",0,IF($F177="Weighted Average",$BS177*VLOOKUP($D177,'Default Values'!$B$78:$V$97,COLUMNS('Default Values'!$B$77:O$77),0),0))</f>
        <v>0</v>
      </c>
      <c r="CC177" s="329">
        <f>IF($F177="",0,IF($F177="Weighted Average",$BS177*VLOOKUP($D177,'Default Values'!$B$78:$V$97,COLUMNS('Default Values'!$B$77:P$77),0),0))</f>
        <v>0</v>
      </c>
      <c r="CD177" s="329">
        <f>IF($F177="",0,IF($F177="Weighted Average",$BS177*VLOOKUP($D177,'Default Values'!$B$78:$V$97,COLUMNS('Default Values'!$B$77:Q$77),0),0))</f>
        <v>0</v>
      </c>
      <c r="CE177" s="329">
        <f>IF($F177="",0,IF($F177="Weighted Average",$BS177*VLOOKUP($D177,'Default Values'!$B$78:$V$97,COLUMNS('Default Values'!$B$77:R$77),0),0))</f>
        <v>0</v>
      </c>
      <c r="CF177" s="329">
        <f>IF($F177="",0,IF($F177="Weighted Average",$BS177*VLOOKUP($D177,'Default Values'!$B$78:$V$97,COLUMNS('Default Values'!$B$77:S$77),0),0))</f>
        <v>0</v>
      </c>
      <c r="CG177" s="329">
        <f>IF($F177="",0,IF($F177="Weighted Average",$BS177*VLOOKUP($D177,'Default Values'!$B$78:$V$97,COLUMNS('Default Values'!$B$77:T$77),0),0))</f>
        <v>0</v>
      </c>
      <c r="CH177" s="329">
        <f>IF($F177="",0,IF($F177="Weighted Average",$BS177*VLOOKUP($D177,'Default Values'!$B$78:$V$97,COLUMNS('Default Values'!$B$77:U$77),0),0))</f>
        <v>0</v>
      </c>
      <c r="CI177" s="329">
        <f>IF($F177="",0,IF($F177="Weighted Average",$BS177*VLOOKUP($D177,'Default Values'!$B$78:$V$97,COLUMNS('Default Values'!$B$77:V$77),0),0))</f>
        <v>0</v>
      </c>
      <c r="CJ177" s="331">
        <f t="shared" si="252"/>
        <v>0</v>
      </c>
      <c r="CK177" s="330">
        <f t="shared" si="253"/>
        <v>0</v>
      </c>
      <c r="CL177" s="330">
        <f t="shared" si="254"/>
        <v>0</v>
      </c>
      <c r="CM177" s="330">
        <f t="shared" si="255"/>
        <v>0</v>
      </c>
      <c r="CN177" s="330">
        <f t="shared" si="256"/>
        <v>0</v>
      </c>
      <c r="CO177" s="330">
        <f t="shared" si="257"/>
        <v>0</v>
      </c>
      <c r="CP177" s="330">
        <f t="shared" si="258"/>
        <v>0</v>
      </c>
      <c r="CQ177" s="330">
        <f t="shared" si="186"/>
        <v>0</v>
      </c>
      <c r="CR177" s="330">
        <f t="shared" si="259"/>
        <v>0</v>
      </c>
      <c r="CS177" s="330">
        <f t="shared" si="260"/>
        <v>0</v>
      </c>
      <c r="CT177" s="330">
        <f t="shared" si="261"/>
        <v>0</v>
      </c>
      <c r="CU177" s="330">
        <f t="shared" si="262"/>
        <v>0</v>
      </c>
      <c r="CV177" s="330">
        <f t="shared" si="262"/>
        <v>0</v>
      </c>
      <c r="CW177" s="330">
        <f t="shared" si="262"/>
        <v>0</v>
      </c>
      <c r="CX177" s="330">
        <f t="shared" si="262"/>
        <v>0</v>
      </c>
      <c r="CY177" s="330">
        <f t="shared" si="262"/>
        <v>0</v>
      </c>
      <c r="CZ177" s="330">
        <f t="shared" si="262"/>
        <v>0</v>
      </c>
      <c r="DA177" s="330">
        <f t="shared" si="262"/>
        <v>0</v>
      </c>
      <c r="DB177" s="330">
        <f t="shared" si="262"/>
        <v>0</v>
      </c>
      <c r="DC177" s="330">
        <f t="shared" si="262"/>
        <v>0</v>
      </c>
      <c r="DD177" s="330">
        <f t="shared" si="262"/>
        <v>0</v>
      </c>
      <c r="DE177" s="330">
        <f t="shared" si="263"/>
        <v>0</v>
      </c>
      <c r="DF177" s="330">
        <f t="shared" si="263"/>
        <v>0</v>
      </c>
      <c r="DG177" s="330">
        <f t="shared" si="263"/>
        <v>0</v>
      </c>
      <c r="DH177" s="330">
        <f t="shared" si="263"/>
        <v>0</v>
      </c>
      <c r="DI177" s="330">
        <f t="shared" si="263"/>
        <v>0</v>
      </c>
      <c r="DJ177" s="330">
        <f t="shared" si="263"/>
        <v>0</v>
      </c>
      <c r="DK177" s="330">
        <f t="shared" si="263"/>
        <v>0</v>
      </c>
      <c r="DL177" s="330">
        <f t="shared" si="263"/>
        <v>0</v>
      </c>
      <c r="DM177" s="330">
        <f t="shared" si="263"/>
        <v>0</v>
      </c>
      <c r="DN177" s="330">
        <f t="shared" si="263"/>
        <v>0</v>
      </c>
      <c r="DO177" s="330">
        <f t="shared" si="263"/>
        <v>0</v>
      </c>
      <c r="DP177" s="330">
        <f t="shared" si="264"/>
        <v>0</v>
      </c>
      <c r="DQ177" s="217"/>
      <c r="DR177" s="217"/>
      <c r="DS177" s="217"/>
      <c r="DT177" s="217"/>
    </row>
    <row r="178" spans="1:124" x14ac:dyDescent="0.3">
      <c r="A178" s="324"/>
      <c r="B178" s="221" t="s">
        <v>307</v>
      </c>
      <c r="C178" s="221" t="str">
        <f>IF('Simplified Screening 2'!C29=0,"",'Simplified Screening 2'!C29)</f>
        <v/>
      </c>
      <c r="D178" s="221" t="str">
        <f>IF('Simplified Screening 2'!D29=0,"",'Simplified Screening 2'!D29)</f>
        <v/>
      </c>
      <c r="E178" s="221"/>
      <c r="F178" s="221" t="str">
        <f>'Simplified Screening 2'!J29</f>
        <v/>
      </c>
      <c r="G178" s="335" t="str">
        <f>IF(D178="","",'Simplified Screening 2'!G29/1000*VLOOKUP(D178,'Default Values'!$B$78:$F$97,COLUMNS('Default Values'!$B$77:$D$77),0)/1000)</f>
        <v/>
      </c>
      <c r="H178" s="335" t="str">
        <f>IF(D178="","",'Simplified Screening 2'!G29/1000*VLOOKUP(D178,'Default Values'!$B$78:$F$97,COLUMNS('Default Values'!$B$77:$E$77),0)/1000)</f>
        <v/>
      </c>
      <c r="I178" s="335" t="str">
        <f>IF(D178="","",'Simplified Screening 2'!G29/1000*VLOOKUP(D178,'Default Values'!$B$78:$F$97,COLUMNS('Default Values'!$B$77:$F$77),0)/1000)</f>
        <v/>
      </c>
      <c r="J178" s="325">
        <f>IF('Simplified Screening 2'!H29=0,0,'Simplified Screening 2'!H29)</f>
        <v>0</v>
      </c>
      <c r="K178" s="465"/>
      <c r="L178" s="333">
        <f>IF($F178="",0,IF($F178="Weighted Average",$G178*VLOOKUP($D178&amp;" (Install)",Lists!$C$72:$R$232,COLUMNS(Lists!$C$69:E$69),0)*VLOOKUP(BE$3,Conversions!$B$12:$E$34,4,0),$G178*VLOOKUP($F178,Lists!$C$72:$R$232,COLUMNS(Lists!$C$69:E$69),0)*VLOOKUP(BE$3,Conversions!$B$12:$E$34,4,0)))</f>
        <v>0</v>
      </c>
      <c r="M178" s="333">
        <f>IF($F178="",0,IF($F178="Weighted Average",$G178*VLOOKUP($D178&amp;" (Install)",Lists!$C$72:$R$232,COLUMNS(Lists!$C$69:F$69),0)*VLOOKUP(BF$3,Conversions!$B$12:$E$34,4,0),$G178*VLOOKUP($F178,Lists!$C$72:$R$232,COLUMNS(Lists!$C$69:F$69),0)*VLOOKUP(BF$3,Conversions!$B$12:$E$34,4,0)))</f>
        <v>0</v>
      </c>
      <c r="N178" s="333">
        <f>IF($F178="",0,IF($F178="Weighted Average",$G178*VLOOKUP($D178&amp;" (Install)",Lists!$C$72:$R$232,COLUMNS(Lists!$C$69:G$69),0)*VLOOKUP(BG$3,Conversions!$B$12:$E$34,4,0),$G178*VLOOKUP($F178,Lists!$C$72:$R$232,COLUMNS(Lists!$C$69:G$69),0)*VLOOKUP(BG$3,Conversions!$B$12:$E$34,4,0)))</f>
        <v>0</v>
      </c>
      <c r="O178" s="333">
        <f>IF($F178="",0,IF($F178="Weighted Average",$G178*VLOOKUP($D178&amp;" (Install)",Lists!$C$72:$R$232,COLUMNS(Lists!$C$69:H$69),0)*VLOOKUP(BH$3,Conversions!$B$12:$E$34,4,0),$G178*VLOOKUP($F178,Lists!$C$72:$R$232,COLUMNS(Lists!$C$69:H$69),0)*VLOOKUP(BH$3,Conversions!$B$12:$E$34,4,0)))</f>
        <v>0</v>
      </c>
      <c r="P178" s="333">
        <f>IF($F178="",0,IF($F178="Weighted Average",$G178*VLOOKUP($D178&amp;" (Install)",Lists!$C$72:$R$232,COLUMNS(Lists!$C$69:I$69),0)*VLOOKUP(BI$3,Conversions!$B$12:$E$34,4,0),$G178*VLOOKUP($F178,Lists!$C$72:$R$232,COLUMNS(Lists!$C$69:I$69),0)*VLOOKUP(BI$3,Conversions!$B$12:$E$34,4,0)))</f>
        <v>0</v>
      </c>
      <c r="Q178" s="333">
        <f>IF($F178="",0,IF($F178="Weighted Average",$G178*VLOOKUP($D178&amp;" (Install)",Lists!$C$72:$R$232,COLUMNS(Lists!$C$69:J$69),0)*VLOOKUP(BJ$3,Conversions!$B$12:$E$34,4,0),$G178*VLOOKUP($F178,Lists!$C$72:$R$232,COLUMNS(Lists!$C$69:J$69),0)*VLOOKUP(BJ$3,Conversions!$B$12:$E$34,4,0)))</f>
        <v>0</v>
      </c>
      <c r="R178" s="333">
        <f>IF($F178="",0,IF($F178="Weighted Average",$G178*VLOOKUP($D178&amp;" (Install)",Lists!$C$72:$R$232,COLUMNS(Lists!$C$69:K$69),0)*VLOOKUP(BK$3,Conversions!$B$12:$E$34,4,0),$G178*VLOOKUP($F178,Lists!$C$72:$R$232,COLUMNS(Lists!$C$69:K$69),0)*VLOOKUP(BK$3,Conversions!$B$12:$E$34,4,0)))</f>
        <v>0</v>
      </c>
      <c r="S178" s="333">
        <f>IF($F178="",0,IF($F178="Weighted Average",$G178*VLOOKUP($D178&amp;" (Install)",Lists!$C$72:$R$232,COLUMNS(Lists!$C$69:L$69),0)*VLOOKUP(BL$3,Conversions!$B$12:$E$34,4,0),$G178*VLOOKUP($F178,Lists!$C$72:$R$232,COLUMNS(Lists!$C$69:L$69),0)*VLOOKUP(BL$3,Conversions!$B$12:$E$34,4,0)))</f>
        <v>0</v>
      </c>
      <c r="T178" s="333">
        <f>IF($F178="",0,IF($F178="Weighted Average",$G178*VLOOKUP($D178&amp;" (Install)",Lists!$C$72:$R$232,COLUMNS(Lists!$C$69:M$69),0)*VLOOKUP(BM$3,Conversions!$B$12:$E$34,4,0),$G178*VLOOKUP($F178,Lists!$C$72:$R$232,COLUMNS(Lists!$C$69:M$69),0)*VLOOKUP(BM$3,Conversions!$B$12:$E$34,4,0)))</f>
        <v>0</v>
      </c>
      <c r="U178" s="333">
        <f>IF($F178="",0,IF($F178="Weighted Average",$G178*VLOOKUP($D178&amp;" (Install)",Lists!$C$72:$R$232,COLUMNS(Lists!$C$69:N$69),0)*VLOOKUP(BN$3,Conversions!$B$12:$E$34,4,0),$G178*VLOOKUP($F178,Lists!$C$72:$R$232,COLUMNS(Lists!$C$69:N$69),0)*VLOOKUP(BN$3,Conversions!$B$12:$E$34,4,0)))</f>
        <v>0</v>
      </c>
      <c r="V178" s="333">
        <f>IF($F178="",0,IF($F178="Weighted Average",$G178*VLOOKUP($D178&amp;" (Install)",Lists!$C$72:$R$232,COLUMNS(Lists!$C$69:O$69),0)*VLOOKUP(BO$3,Conversions!$B$12:$E$34,4,0),$G178*VLOOKUP($F178,Lists!$C$72:$R$232,COLUMNS(Lists!$C$69:O$69),0)*VLOOKUP(BO$3,Conversions!$B$12:$E$34,4,0)))</f>
        <v>0</v>
      </c>
      <c r="W178" s="333">
        <f>IF($F178="",0,IF($F178="Weighted Average",$G178*VLOOKUP($D178&amp;" (Install)",Lists!$C$72:$R$232,COLUMNS(Lists!$C$69:P$69),0)*VLOOKUP(BP$3,Conversions!$B$12:$E$34,4,0),$G178*VLOOKUP($F178,Lists!$C$72:$R$232,COLUMNS(Lists!$C$69:P$69),0)*VLOOKUP(BP$3,Conversions!$B$12:$E$34,4,0)))</f>
        <v>0</v>
      </c>
      <c r="X178" s="333">
        <f>IF($F178="",0,IF($F178="Weighted Average",$G178*VLOOKUP($D178&amp;" (Install)",Lists!$C$72:$R$232,COLUMNS(Lists!$C$69:Q$69),0)*VLOOKUP(BQ$3,Conversions!$B$12:$E$34,4,0),$G178*VLOOKUP($F178,Lists!$C$72:$R$232,COLUMNS(Lists!$C$69:Q$69),0)*VLOOKUP(BQ$3,Conversions!$B$12:$E$34,4,0)))</f>
        <v>0</v>
      </c>
      <c r="Y178" s="333">
        <f>IF($F178="",0,IF($F178="Weighted Average",$G178*VLOOKUP($D178&amp;" (Install)",Lists!$C$72:$R$232,COLUMNS(Lists!$C$69:R$69),0)*VLOOKUP(BR$3,Conversions!$B$12:$E$34,4,0),$G178*VLOOKUP($F178,Lists!$C$72:$R$232,COLUMNS(Lists!$C$69:R$69),0)*VLOOKUP(BR$3,Conversions!$B$12:$E$34,4,0)))</f>
        <v>0</v>
      </c>
      <c r="Z178" s="325">
        <f t="shared" si="234"/>
        <v>0</v>
      </c>
      <c r="AA178" s="334">
        <f>IF($F178="",0,IF($F178="Weighted Average",$H178*VLOOKUP($D178&amp;" (Operation)",Lists!$C$72:$R$232,COLUMNS(Lists!$C$69:E$69),0)*VLOOKUP(BE$3,Conversions!$B$12:$E$34,4,0),$H178*VLOOKUP($F178,Lists!$C$72:$R$232,COLUMNS(Lists!$C$69:E$69),0)*VLOOKUP(BE$3,Conversions!$B$12:$E$34,4,0)))</f>
        <v>0</v>
      </c>
      <c r="AB178" s="334">
        <f>IF($F178="",0,IF($F178="Weighted Average",$H178*VLOOKUP($D178&amp;" (Operation)",Lists!$C$72:$R$232,COLUMNS(Lists!$C$69:F$69),0)*VLOOKUP(BF$3,Conversions!$B$12:$E$34,4,0),$H178*VLOOKUP($F178,Lists!$C$72:$R$232,COLUMNS(Lists!$C$69:F$69),0)*VLOOKUP(BF$3,Conversions!$B$12:$E$34,4,0)))</f>
        <v>0</v>
      </c>
      <c r="AC178" s="334">
        <f>IF($F178="",0,IF($F178="Weighted Average",$H178*VLOOKUP($D178&amp;" (Operation)",Lists!$C$72:$R$232,COLUMNS(Lists!$C$69:G$69),0)*VLOOKUP(BG$3,Conversions!$B$12:$E$34,4,0),$H178*VLOOKUP($F178,Lists!$C$72:$R$232,COLUMNS(Lists!$C$69:G$69),0)*VLOOKUP(BG$3,Conversions!$B$12:$E$34,4,0)))</f>
        <v>0</v>
      </c>
      <c r="AD178" s="334">
        <f>IF($F178="",0,IF($F178="Weighted Average",$H178*VLOOKUP($D178&amp;" (Operation)",Lists!$C$72:$R$232,COLUMNS(Lists!$C$69:H$69),0)*VLOOKUP(BH$3,Conversions!$B$12:$E$34,4,0),$H178*VLOOKUP($F178,Lists!$C$72:$R$232,COLUMNS(Lists!$C$69:H$69),0)*VLOOKUP(BH$3,Conversions!$B$12:$E$34,4,0)))</f>
        <v>0</v>
      </c>
      <c r="AE178" s="334">
        <f>IF($F178="",0,IF($F178="Weighted Average",$H178*VLOOKUP($D178&amp;" (Operation)",Lists!$C$72:$R$232,COLUMNS(Lists!$C$69:I$69),0)*VLOOKUP(BI$3,Conversions!$B$12:$E$34,4,0),$H178*VLOOKUP($F178,Lists!$C$72:$R$232,COLUMNS(Lists!$C$69:I$69),0)*VLOOKUP(BI$3,Conversions!$B$12:$E$34,4,0)))</f>
        <v>0</v>
      </c>
      <c r="AF178" s="334">
        <f>IF($F178="",0,IF($F178="Weighted Average",$H178*VLOOKUP($D178&amp;" (Operation)",Lists!$C$72:$R$232,COLUMNS(Lists!$C$69:J$69),0)*VLOOKUP(BJ$3,Conversions!$B$12:$E$34,4,0),$H178*VLOOKUP($F178,Lists!$C$72:$R$232,COLUMNS(Lists!$C$69:J$69),0)*VLOOKUP(BJ$3,Conversions!$B$12:$E$34,4,0)))</f>
        <v>0</v>
      </c>
      <c r="AG178" s="334">
        <f>IF($F178="",0,IF($F178="Weighted Average",$H178*VLOOKUP($D178&amp;" (Operation)",Lists!$C$72:$R$232,COLUMNS(Lists!$C$69:K$69),0)*VLOOKUP(BK$3,Conversions!$B$12:$E$34,4,0),$H178*VLOOKUP($F178,Lists!$C$72:$R$232,COLUMNS(Lists!$C$69:K$69),0)*VLOOKUP(BK$3,Conversions!$B$12:$E$34,4,0)))</f>
        <v>0</v>
      </c>
      <c r="AH178" s="334">
        <f>IF($F178="",0,IF($F178="Weighted Average",$H178*VLOOKUP($D178&amp;" (Operation)",Lists!$C$72:$R$232,COLUMNS(Lists!$C$69:L$69),0)*VLOOKUP(BL$3,Conversions!$B$12:$E$34,4,0),$H178*VLOOKUP($F178,Lists!$C$72:$R$232,COLUMNS(Lists!$C$69:L$69),0)*VLOOKUP(BL$3,Conversions!$B$12:$E$34,4,0)))</f>
        <v>0</v>
      </c>
      <c r="AI178" s="334">
        <f>IF($F178="",0,IF($F178="Weighted Average",$H178*VLOOKUP($D178&amp;" (Operation)",Lists!$C$72:$R$232,COLUMNS(Lists!$C$69:M$69),0)*VLOOKUP(BM$3,Conversions!$B$12:$E$34,4,0),$H178*VLOOKUP($F178,Lists!$C$72:$R$232,COLUMNS(Lists!$C$69:M$69),0)*VLOOKUP(BM$3,Conversions!$B$12:$E$34,4,0)))</f>
        <v>0</v>
      </c>
      <c r="AJ178" s="334">
        <f>IF($F178="",0,IF($F178="Weighted Average",$H178*VLOOKUP($D178&amp;" (Operation)",Lists!$C$72:$R$232,COLUMNS(Lists!$C$69:N$69),0)*VLOOKUP(BN$3,Conversions!$B$12:$E$34,4,0),$H178*VLOOKUP($F178,Lists!$C$72:$R$232,COLUMNS(Lists!$C$69:N$69),0)*VLOOKUP(BN$3,Conversions!$B$12:$E$34,4,0)))</f>
        <v>0</v>
      </c>
      <c r="AK178" s="334">
        <f>IF($F178="",0,IF($F178="Weighted Average",$H178*VLOOKUP($D178&amp;" (Operation)",Lists!$C$72:$R$232,COLUMNS(Lists!$C$69:O$69),0)*VLOOKUP(BO$3,Conversions!$B$12:$E$34,4,0),$H178*VLOOKUP($F178,Lists!$C$72:$R$232,COLUMNS(Lists!$C$69:O$69),0)*VLOOKUP(BO$3,Conversions!$B$12:$E$34,4,0)))</f>
        <v>0</v>
      </c>
      <c r="AL178" s="334">
        <f>IF($F178="",0,IF($F178="Weighted Average",$H178*VLOOKUP($D178&amp;" (Operation)",Lists!$C$72:$R$232,COLUMNS(Lists!$C$69:P$69),0)*VLOOKUP(BP$3,Conversions!$B$12:$E$34,4,0),$H178*VLOOKUP($F178,Lists!$C$72:$R$232,COLUMNS(Lists!$C$69:P$69),0)*VLOOKUP(BP$3,Conversions!$B$12:$E$34,4,0)))</f>
        <v>0</v>
      </c>
      <c r="AM178" s="334">
        <f>IF($F178="",0,IF($F178="Weighted Average",$H178*VLOOKUP($D178&amp;" (Operation)",Lists!$C$72:$R$232,COLUMNS(Lists!$C$69:Q$69),0)*VLOOKUP(BQ$3,Conversions!$B$12:$E$34,4,0),$H178*VLOOKUP($F178,Lists!$C$72:$R$232,COLUMNS(Lists!$C$69:Q$69),0)*VLOOKUP(BQ$3,Conversions!$B$12:$E$34,4,0)))</f>
        <v>0</v>
      </c>
      <c r="AN178" s="334">
        <f>IF($F178="",0,IF($F178="Weighted Average",$H178*VLOOKUP($D178&amp;" (Operation)",Lists!$C$72:$R$232,COLUMNS(Lists!$C$69:R$69),0)*VLOOKUP(BR$3,Conversions!$B$12:$E$34,4,0),$H178*VLOOKUP($F178,Lists!$C$72:$R$232,COLUMNS(Lists!$C$69:R$69),0)*VLOOKUP(BR$3,Conversions!$B$12:$E$34,4,0)))</f>
        <v>0</v>
      </c>
      <c r="AO178" s="330">
        <f t="shared" si="235"/>
        <v>0</v>
      </c>
      <c r="AP178" s="333">
        <f>IF($F178="",0,IF($F178="Weighted Average",$I178*VLOOKUP($D178&amp;" (Disposal)",Lists!$C$72:$R$232,COLUMNS(Lists!$C$69:E$69),0)*VLOOKUP(BE$3,Conversions!$B$12:$E$34,4,0),$I178*VLOOKUP($F178,Lists!$C$72:$R$232,COLUMNS(Lists!$C$69:E$69),0)*VLOOKUP(BE$3,Conversions!$B$12:$E$34,4,0)))</f>
        <v>0</v>
      </c>
      <c r="AQ178" s="333">
        <f>IF($F178="",0,IF($F178="Weighted Average",$I178*VLOOKUP($D178&amp;" (Disposal)",Lists!$C$72:$R$232,COLUMNS(Lists!$C$69:F$69),0)*VLOOKUP(BF$3,Conversions!$B$12:$E$34,4,0),$I178*VLOOKUP($F178,Lists!$C$72:$R$232,COLUMNS(Lists!$C$69:F$69),0)*VLOOKUP(BF$3,Conversions!$B$12:$E$34,4,0)))</f>
        <v>0</v>
      </c>
      <c r="AR178" s="333">
        <f>IF($F178="",0,IF($F178="Weighted Average",$I178*VLOOKUP($D178&amp;" (Disposal)",Lists!$C$72:$R$232,COLUMNS(Lists!$C$69:G$69),0)*VLOOKUP(BG$3,Conversions!$B$12:$E$34,4,0),$I178*VLOOKUP($F178,Lists!$C$72:$R$232,COLUMNS(Lists!$C$69:G$69),0)*VLOOKUP(BG$3,Conversions!$B$12:$E$34,4,0)))</f>
        <v>0</v>
      </c>
      <c r="AS178" s="333">
        <f>IF($F178="",0,IF($F178="Weighted Average",$I178*VLOOKUP($D178&amp;" (Disposal)",Lists!$C$72:$R$232,COLUMNS(Lists!$C$69:H$69),0)*VLOOKUP(BH$3,Conversions!$B$12:$E$34,4,0),$I178*VLOOKUP($F178,Lists!$C$72:$R$232,COLUMNS(Lists!$C$69:H$69),0)*VLOOKUP(BH$3,Conversions!$B$12:$E$34,4,0)))</f>
        <v>0</v>
      </c>
      <c r="AT178" s="333">
        <f>IF($F178="",0,IF($F178="Weighted Average",$I178*VLOOKUP($D178&amp;" (Disposal)",Lists!$C$72:$R$232,COLUMNS(Lists!$C$69:I$69),0)*VLOOKUP(BI$3,Conversions!$B$12:$E$34,4,0),$I178*VLOOKUP($F178,Lists!$C$72:$R$232,COLUMNS(Lists!$C$69:I$69),0)*VLOOKUP(BI$3,Conversions!$B$12:$E$34,4,0)))</f>
        <v>0</v>
      </c>
      <c r="AU178" s="333">
        <f>IF($F178="",0,IF($F178="Weighted Average",$I178*VLOOKUP($D178&amp;" (Disposal)",Lists!$C$72:$R$232,COLUMNS(Lists!$C$69:J$69),0)*VLOOKUP(BJ$3,Conversions!$B$12:$E$34,4,0),$I178*VLOOKUP($F178,Lists!$C$72:$R$232,COLUMNS(Lists!$C$69:J$69),0)*VLOOKUP(BJ$3,Conversions!$B$12:$E$34,4,0)))</f>
        <v>0</v>
      </c>
      <c r="AV178" s="333">
        <f>IF($F178="",0,IF($F178="Weighted Average",$I178*VLOOKUP($D178&amp;" (Disposal)",Lists!$C$72:$R$232,COLUMNS(Lists!$C$69:K$69),0)*VLOOKUP(BK$3,Conversions!$B$12:$E$34,4,0),$I178*VLOOKUP($F178,Lists!$C$72:$R$232,COLUMNS(Lists!$C$69:K$69),0)*VLOOKUP(BK$3,Conversions!$B$12:$E$34,4,0)))</f>
        <v>0</v>
      </c>
      <c r="AW178" s="333">
        <f>IF($F178="",0,IF($F178="Weighted Average",$I178*VLOOKUP($D178&amp;" (Disposal)",Lists!$C$72:$R$232,COLUMNS(Lists!$C$69:L$69),0)*VLOOKUP(BL$3,Conversions!$B$12:$E$34,4,0),$I178*VLOOKUP($F178,Lists!$C$72:$R$232,COLUMNS(Lists!$C$69:L$69),0)*VLOOKUP(BL$3,Conversions!$B$12:$E$34,4,0)))</f>
        <v>0</v>
      </c>
      <c r="AX178" s="333">
        <f>IF($F178="",0,IF($F178="Weighted Average",$I178*VLOOKUP($D178&amp;" (Disposal)",Lists!$C$72:$R$232,COLUMNS(Lists!$C$69:M$69),0)*VLOOKUP(BM$3,Conversions!$B$12:$E$34,4,0),$I178*VLOOKUP($F178,Lists!$C$72:$R$232,COLUMNS(Lists!$C$69:M$69),0)*VLOOKUP(BM$3,Conversions!$B$12:$E$34,4,0)))</f>
        <v>0</v>
      </c>
      <c r="AY178" s="333">
        <f>IF($F178="",0,IF($F178="Weighted Average",$I178*VLOOKUP($D178&amp;" (Disposal)",Lists!$C$72:$R$232,COLUMNS(Lists!$C$69:N$69),0)*VLOOKUP(BN$3,Conversions!$B$12:$E$34,4,0),$I178*VLOOKUP($F178,Lists!$C$72:$R$232,COLUMNS(Lists!$C$69:N$69),0)*VLOOKUP(BN$3,Conversions!$B$12:$E$34,4,0)))</f>
        <v>0</v>
      </c>
      <c r="AZ178" s="333">
        <f>IF($F178="",0,IF($F178="Weighted Average",$I178*VLOOKUP($D178&amp;" (Disposal)",Lists!$C$72:$R$232,COLUMNS(Lists!$C$69:O$69),0)*VLOOKUP(BO$3,Conversions!$B$12:$E$34,4,0),$I178*VLOOKUP($F178,Lists!$C$72:$R$232,COLUMNS(Lists!$C$69:O$69),0)*VLOOKUP(BO$3,Conversions!$B$12:$E$34,4,0)))</f>
        <v>0</v>
      </c>
      <c r="BA178" s="333">
        <f>IF($F178="",0,IF($F178="Weighted Average",$I178*VLOOKUP($D178&amp;" (Disposal)",Lists!$C$72:$R$232,COLUMNS(Lists!$C$69:P$69),0)*VLOOKUP(BP$3,Conversions!$B$12:$E$34,4,0),$I178*VLOOKUP($F178,Lists!$C$72:$R$232,COLUMNS(Lists!$C$69:P$69),0)*VLOOKUP(BP$3,Conversions!$B$12:$E$34,4,0)))</f>
        <v>0</v>
      </c>
      <c r="BB178" s="333">
        <f>IF($F178="",0,IF($F178="Weighted Average",$I178*VLOOKUP($D178&amp;" (Disposal)",Lists!$C$72:$R$232,COLUMNS(Lists!$C$69:Q$69),0)*VLOOKUP(BQ$3,Conversions!$B$12:$E$34,4,0),$I178*VLOOKUP($F178,Lists!$C$72:$R$232,COLUMNS(Lists!$C$69:Q$69),0)*VLOOKUP(BQ$3,Conversions!$B$12:$E$34,4,0)))</f>
        <v>0</v>
      </c>
      <c r="BC178" s="333">
        <f>IF($F178="",0,IF($F178="Weighted Average",$I178*VLOOKUP($D178&amp;" (Disposal)",Lists!$C$72:$R$232,COLUMNS(Lists!$C$69:R$69),0)*VLOOKUP(BR$3,Conversions!$B$12:$E$34,4,0),$I178*VLOOKUP($F178,Lists!$C$72:$R$232,COLUMNS(Lists!$C$69:R$69),0)*VLOOKUP(BR$3,Conversions!$B$12:$E$34,4,0)))</f>
        <v>0</v>
      </c>
      <c r="BD178" s="333">
        <f t="shared" si="236"/>
        <v>0</v>
      </c>
      <c r="BE178" s="330">
        <f t="shared" si="237"/>
        <v>0</v>
      </c>
      <c r="BF178" s="330">
        <f t="shared" si="238"/>
        <v>0</v>
      </c>
      <c r="BG178" s="330">
        <f t="shared" si="239"/>
        <v>0</v>
      </c>
      <c r="BH178" s="330">
        <f t="shared" si="240"/>
        <v>0</v>
      </c>
      <c r="BI178" s="330">
        <f t="shared" si="241"/>
        <v>0</v>
      </c>
      <c r="BJ178" s="330">
        <f t="shared" si="242"/>
        <v>0</v>
      </c>
      <c r="BK178" s="330">
        <f t="shared" si="243"/>
        <v>0</v>
      </c>
      <c r="BL178" s="330">
        <f t="shared" si="244"/>
        <v>0</v>
      </c>
      <c r="BM178" s="330">
        <f t="shared" si="245"/>
        <v>0</v>
      </c>
      <c r="BN178" s="330">
        <f t="shared" si="246"/>
        <v>0</v>
      </c>
      <c r="BO178" s="330">
        <f t="shared" si="247"/>
        <v>0</v>
      </c>
      <c r="BP178" s="330">
        <f t="shared" si="248"/>
        <v>0</v>
      </c>
      <c r="BQ178" s="330">
        <f t="shared" si="249"/>
        <v>0</v>
      </c>
      <c r="BR178" s="330">
        <f t="shared" si="250"/>
        <v>0</v>
      </c>
      <c r="BS178" s="330">
        <f t="shared" si="251"/>
        <v>0</v>
      </c>
      <c r="BT178" s="329">
        <f>IF($F178="",0,IF($F178="Weighted Average",$BS178*VLOOKUP($D178,'Default Values'!$B$78:$V$97,COLUMNS('Default Values'!$B$77:G$77),0),0))</f>
        <v>0</v>
      </c>
      <c r="BU178" s="329">
        <f>IF($F178="",0,IF($F178="Weighted Average",$BS178*VLOOKUP($D178,'Default Values'!$B$78:$V$97,COLUMNS('Default Values'!$B$77:H$77),0),0))</f>
        <v>0</v>
      </c>
      <c r="BV178" s="329">
        <f>IF($F178="",0,IF($F178="Weighted Average",$BS178*VLOOKUP($D178,'Default Values'!$B$78:$V$97,COLUMNS('Default Values'!$B$77:I$77),0),0))</f>
        <v>0</v>
      </c>
      <c r="BW178" s="329">
        <f>IF($F178="",0,IF($F178="Weighted Average",$BS178*VLOOKUP($D178,'Default Values'!$B$78:$V$97,COLUMNS('Default Values'!$B$77:J$77),0),0))</f>
        <v>0</v>
      </c>
      <c r="BX178" s="329">
        <f>IF($F178="",0,IF($F178="Weighted Average",$BS178*VLOOKUP($D178,'Default Values'!$B$78:$V$97,COLUMNS('Default Values'!$B$77:K$77),0),0))</f>
        <v>0</v>
      </c>
      <c r="BY178" s="329">
        <f>IF($F178="",0,IF($F178="Weighted Average",$BS178*VLOOKUP($D178,'Default Values'!$B$78:$V$97,COLUMNS('Default Values'!$B$77:L$77),0),0))</f>
        <v>0</v>
      </c>
      <c r="BZ178" s="329">
        <f>IF($F178="",0,IF($F178="Weighted Average",$BS178*VLOOKUP($D178,'Default Values'!$B$78:$V$97,COLUMNS('Default Values'!$B$77:M$77),0),0))</f>
        <v>0</v>
      </c>
      <c r="CA178" s="329">
        <f>IF($F178="",0,IF($F178="Weighted Average",$BS178*VLOOKUP($D178,'Default Values'!$B$78:$V$97,COLUMNS('Default Values'!$B$77:N$77),0),0))</f>
        <v>0</v>
      </c>
      <c r="CB178" s="329">
        <f>IF($F178="",0,IF($F178="Weighted Average",$BS178*VLOOKUP($D178,'Default Values'!$B$78:$V$97,COLUMNS('Default Values'!$B$77:O$77),0),0))</f>
        <v>0</v>
      </c>
      <c r="CC178" s="329">
        <f>IF($F178="",0,IF($F178="Weighted Average",$BS178*VLOOKUP($D178,'Default Values'!$B$78:$V$97,COLUMNS('Default Values'!$B$77:P$77),0),0))</f>
        <v>0</v>
      </c>
      <c r="CD178" s="329">
        <f>IF($F178="",0,IF($F178="Weighted Average",$BS178*VLOOKUP($D178,'Default Values'!$B$78:$V$97,COLUMNS('Default Values'!$B$77:Q$77),0),0))</f>
        <v>0</v>
      </c>
      <c r="CE178" s="329">
        <f>IF($F178="",0,IF($F178="Weighted Average",$BS178*VLOOKUP($D178,'Default Values'!$B$78:$V$97,COLUMNS('Default Values'!$B$77:R$77),0),0))</f>
        <v>0</v>
      </c>
      <c r="CF178" s="329">
        <f>IF($F178="",0,IF($F178="Weighted Average",$BS178*VLOOKUP($D178,'Default Values'!$B$78:$V$97,COLUMNS('Default Values'!$B$77:S$77),0),0))</f>
        <v>0</v>
      </c>
      <c r="CG178" s="329">
        <f>IF($F178="",0,IF($F178="Weighted Average",$BS178*VLOOKUP($D178,'Default Values'!$B$78:$V$97,COLUMNS('Default Values'!$B$77:T$77),0),0))</f>
        <v>0</v>
      </c>
      <c r="CH178" s="329">
        <f>IF($F178="",0,IF($F178="Weighted Average",$BS178*VLOOKUP($D178,'Default Values'!$B$78:$V$97,COLUMNS('Default Values'!$B$77:U$77),0),0))</f>
        <v>0</v>
      </c>
      <c r="CI178" s="329">
        <f>IF($F178="",0,IF($F178="Weighted Average",$BS178*VLOOKUP($D178,'Default Values'!$B$78:$V$97,COLUMNS('Default Values'!$B$77:V$77),0),0))</f>
        <v>0</v>
      </c>
      <c r="CJ178" s="331">
        <f t="shared" si="252"/>
        <v>0</v>
      </c>
      <c r="CK178" s="330">
        <f t="shared" si="253"/>
        <v>0</v>
      </c>
      <c r="CL178" s="330">
        <f t="shared" si="254"/>
        <v>0</v>
      </c>
      <c r="CM178" s="330">
        <f t="shared" si="255"/>
        <v>0</v>
      </c>
      <c r="CN178" s="330">
        <f t="shared" si="256"/>
        <v>0</v>
      </c>
      <c r="CO178" s="330">
        <f t="shared" si="257"/>
        <v>0</v>
      </c>
      <c r="CP178" s="330">
        <f t="shared" si="258"/>
        <v>0</v>
      </c>
      <c r="CQ178" s="330">
        <f t="shared" si="186"/>
        <v>0</v>
      </c>
      <c r="CR178" s="330">
        <f t="shared" si="259"/>
        <v>0</v>
      </c>
      <c r="CS178" s="330">
        <f t="shared" si="260"/>
        <v>0</v>
      </c>
      <c r="CT178" s="330">
        <f t="shared" si="261"/>
        <v>0</v>
      </c>
      <c r="CU178" s="330">
        <f t="shared" si="262"/>
        <v>0</v>
      </c>
      <c r="CV178" s="330">
        <f t="shared" si="262"/>
        <v>0</v>
      </c>
      <c r="CW178" s="330">
        <f t="shared" si="262"/>
        <v>0</v>
      </c>
      <c r="CX178" s="330">
        <f t="shared" si="262"/>
        <v>0</v>
      </c>
      <c r="CY178" s="330">
        <f t="shared" si="262"/>
        <v>0</v>
      </c>
      <c r="CZ178" s="330">
        <f t="shared" si="262"/>
        <v>0</v>
      </c>
      <c r="DA178" s="330">
        <f t="shared" si="262"/>
        <v>0</v>
      </c>
      <c r="DB178" s="330">
        <f t="shared" si="262"/>
        <v>0</v>
      </c>
      <c r="DC178" s="330">
        <f t="shared" si="262"/>
        <v>0</v>
      </c>
      <c r="DD178" s="330">
        <f t="shared" si="262"/>
        <v>0</v>
      </c>
      <c r="DE178" s="330">
        <f t="shared" si="263"/>
        <v>0</v>
      </c>
      <c r="DF178" s="330">
        <f t="shared" si="263"/>
        <v>0</v>
      </c>
      <c r="DG178" s="330">
        <f t="shared" si="263"/>
        <v>0</v>
      </c>
      <c r="DH178" s="330">
        <f t="shared" si="263"/>
        <v>0</v>
      </c>
      <c r="DI178" s="330">
        <f t="shared" si="263"/>
        <v>0</v>
      </c>
      <c r="DJ178" s="330">
        <f t="shared" si="263"/>
        <v>0</v>
      </c>
      <c r="DK178" s="330">
        <f t="shared" si="263"/>
        <v>0</v>
      </c>
      <c r="DL178" s="330">
        <f t="shared" si="263"/>
        <v>0</v>
      </c>
      <c r="DM178" s="330">
        <f t="shared" si="263"/>
        <v>0</v>
      </c>
      <c r="DN178" s="330">
        <f t="shared" si="263"/>
        <v>0</v>
      </c>
      <c r="DO178" s="330">
        <f t="shared" si="263"/>
        <v>0</v>
      </c>
      <c r="DP178" s="330">
        <f t="shared" si="264"/>
        <v>0</v>
      </c>
      <c r="DQ178" s="217"/>
      <c r="DR178" s="217"/>
      <c r="DS178" s="217"/>
      <c r="DT178" s="217"/>
    </row>
    <row r="179" spans="1:124" x14ac:dyDescent="0.3">
      <c r="A179" s="324"/>
      <c r="B179" s="221" t="s">
        <v>307</v>
      </c>
      <c r="C179" s="221" t="str">
        <f>IF('Simplified Screening 2'!C30=0,"",'Simplified Screening 2'!C30)</f>
        <v/>
      </c>
      <c r="D179" s="221" t="str">
        <f>IF('Simplified Screening 2'!D30=0,"",'Simplified Screening 2'!D30)</f>
        <v/>
      </c>
      <c r="E179" s="221"/>
      <c r="F179" s="221" t="str">
        <f>'Simplified Screening 2'!J30</f>
        <v/>
      </c>
      <c r="G179" s="335" t="str">
        <f>IF(D179="","",'Simplified Screening 2'!G30/1000*VLOOKUP(D179,'Default Values'!$B$78:$F$97,COLUMNS('Default Values'!$B$77:$D$77),0)/1000)</f>
        <v/>
      </c>
      <c r="H179" s="335" t="str">
        <f>IF(D179="","",'Simplified Screening 2'!G30/1000*VLOOKUP(D179,'Default Values'!$B$78:$F$97,COLUMNS('Default Values'!$B$77:$E$77),0)/1000)</f>
        <v/>
      </c>
      <c r="I179" s="335" t="str">
        <f>IF(D179="","",'Simplified Screening 2'!G30/1000*VLOOKUP(D179,'Default Values'!$B$78:$F$97,COLUMNS('Default Values'!$B$77:$F$77),0)/1000)</f>
        <v/>
      </c>
      <c r="J179" s="325">
        <f>IF('Simplified Screening 2'!H30=0,0,'Simplified Screening 2'!H30)</f>
        <v>0</v>
      </c>
      <c r="K179" s="465"/>
      <c r="L179" s="333">
        <f>IF($F179="",0,IF($F179="Weighted Average",$G179*VLOOKUP($D179&amp;" (Install)",Lists!$C$72:$R$232,COLUMNS(Lists!$C$69:E$69),0)*VLOOKUP(BE$3,Conversions!$B$12:$E$34,4,0),$G179*VLOOKUP($F179,Lists!$C$72:$R$232,COLUMNS(Lists!$C$69:E$69),0)*VLOOKUP(BE$3,Conversions!$B$12:$E$34,4,0)))</f>
        <v>0</v>
      </c>
      <c r="M179" s="333">
        <f>IF($F179="",0,IF($F179="Weighted Average",$G179*VLOOKUP($D179&amp;" (Install)",Lists!$C$72:$R$232,COLUMNS(Lists!$C$69:F$69),0)*VLOOKUP(BF$3,Conversions!$B$12:$E$34,4,0),$G179*VLOOKUP($F179,Lists!$C$72:$R$232,COLUMNS(Lists!$C$69:F$69),0)*VLOOKUP(BF$3,Conversions!$B$12:$E$34,4,0)))</f>
        <v>0</v>
      </c>
      <c r="N179" s="333">
        <f>IF($F179="",0,IF($F179="Weighted Average",$G179*VLOOKUP($D179&amp;" (Install)",Lists!$C$72:$R$232,COLUMNS(Lists!$C$69:G$69),0)*VLOOKUP(BG$3,Conversions!$B$12:$E$34,4,0),$G179*VLOOKUP($F179,Lists!$C$72:$R$232,COLUMNS(Lists!$C$69:G$69),0)*VLOOKUP(BG$3,Conversions!$B$12:$E$34,4,0)))</f>
        <v>0</v>
      </c>
      <c r="O179" s="333">
        <f>IF($F179="",0,IF($F179="Weighted Average",$G179*VLOOKUP($D179&amp;" (Install)",Lists!$C$72:$R$232,COLUMNS(Lists!$C$69:H$69),0)*VLOOKUP(BH$3,Conversions!$B$12:$E$34,4,0),$G179*VLOOKUP($F179,Lists!$C$72:$R$232,COLUMNS(Lists!$C$69:H$69),0)*VLOOKUP(BH$3,Conversions!$B$12:$E$34,4,0)))</f>
        <v>0</v>
      </c>
      <c r="P179" s="333">
        <f>IF($F179="",0,IF($F179="Weighted Average",$G179*VLOOKUP($D179&amp;" (Install)",Lists!$C$72:$R$232,COLUMNS(Lists!$C$69:I$69),0)*VLOOKUP(BI$3,Conversions!$B$12:$E$34,4,0),$G179*VLOOKUP($F179,Lists!$C$72:$R$232,COLUMNS(Lists!$C$69:I$69),0)*VLOOKUP(BI$3,Conversions!$B$12:$E$34,4,0)))</f>
        <v>0</v>
      </c>
      <c r="Q179" s="333">
        <f>IF($F179="",0,IF($F179="Weighted Average",$G179*VLOOKUP($D179&amp;" (Install)",Lists!$C$72:$R$232,COLUMNS(Lists!$C$69:J$69),0)*VLOOKUP(BJ$3,Conversions!$B$12:$E$34,4,0),$G179*VLOOKUP($F179,Lists!$C$72:$R$232,COLUMNS(Lists!$C$69:J$69),0)*VLOOKUP(BJ$3,Conversions!$B$12:$E$34,4,0)))</f>
        <v>0</v>
      </c>
      <c r="R179" s="333">
        <f>IF($F179="",0,IF($F179="Weighted Average",$G179*VLOOKUP($D179&amp;" (Install)",Lists!$C$72:$R$232,COLUMNS(Lists!$C$69:K$69),0)*VLOOKUP(BK$3,Conversions!$B$12:$E$34,4,0),$G179*VLOOKUP($F179,Lists!$C$72:$R$232,COLUMNS(Lists!$C$69:K$69),0)*VLOOKUP(BK$3,Conversions!$B$12:$E$34,4,0)))</f>
        <v>0</v>
      </c>
      <c r="S179" s="333">
        <f>IF($F179="",0,IF($F179="Weighted Average",$G179*VLOOKUP($D179&amp;" (Install)",Lists!$C$72:$R$232,COLUMNS(Lists!$C$69:L$69),0)*VLOOKUP(BL$3,Conversions!$B$12:$E$34,4,0),$G179*VLOOKUP($F179,Lists!$C$72:$R$232,COLUMNS(Lists!$C$69:L$69),0)*VLOOKUP(BL$3,Conversions!$B$12:$E$34,4,0)))</f>
        <v>0</v>
      </c>
      <c r="T179" s="333">
        <f>IF($F179="",0,IF($F179="Weighted Average",$G179*VLOOKUP($D179&amp;" (Install)",Lists!$C$72:$R$232,COLUMNS(Lists!$C$69:M$69),0)*VLOOKUP(BM$3,Conversions!$B$12:$E$34,4,0),$G179*VLOOKUP($F179,Lists!$C$72:$R$232,COLUMNS(Lists!$C$69:M$69),0)*VLOOKUP(BM$3,Conversions!$B$12:$E$34,4,0)))</f>
        <v>0</v>
      </c>
      <c r="U179" s="333">
        <f>IF($F179="",0,IF($F179="Weighted Average",$G179*VLOOKUP($D179&amp;" (Install)",Lists!$C$72:$R$232,COLUMNS(Lists!$C$69:N$69),0)*VLOOKUP(BN$3,Conversions!$B$12:$E$34,4,0),$G179*VLOOKUP($F179,Lists!$C$72:$R$232,COLUMNS(Lists!$C$69:N$69),0)*VLOOKUP(BN$3,Conversions!$B$12:$E$34,4,0)))</f>
        <v>0</v>
      </c>
      <c r="V179" s="333">
        <f>IF($F179="",0,IF($F179="Weighted Average",$G179*VLOOKUP($D179&amp;" (Install)",Lists!$C$72:$R$232,COLUMNS(Lists!$C$69:O$69),0)*VLOOKUP(BO$3,Conversions!$B$12:$E$34,4,0),$G179*VLOOKUP($F179,Lists!$C$72:$R$232,COLUMNS(Lists!$C$69:O$69),0)*VLOOKUP(BO$3,Conversions!$B$12:$E$34,4,0)))</f>
        <v>0</v>
      </c>
      <c r="W179" s="333">
        <f>IF($F179="",0,IF($F179="Weighted Average",$G179*VLOOKUP($D179&amp;" (Install)",Lists!$C$72:$R$232,COLUMNS(Lists!$C$69:P$69),0)*VLOOKUP(BP$3,Conversions!$B$12:$E$34,4,0),$G179*VLOOKUP($F179,Lists!$C$72:$R$232,COLUMNS(Lists!$C$69:P$69),0)*VLOOKUP(BP$3,Conversions!$B$12:$E$34,4,0)))</f>
        <v>0</v>
      </c>
      <c r="X179" s="333">
        <f>IF($F179="",0,IF($F179="Weighted Average",$G179*VLOOKUP($D179&amp;" (Install)",Lists!$C$72:$R$232,COLUMNS(Lists!$C$69:Q$69),0)*VLOOKUP(BQ$3,Conversions!$B$12:$E$34,4,0),$G179*VLOOKUP($F179,Lists!$C$72:$R$232,COLUMNS(Lists!$C$69:Q$69),0)*VLOOKUP(BQ$3,Conversions!$B$12:$E$34,4,0)))</f>
        <v>0</v>
      </c>
      <c r="Y179" s="333">
        <f>IF($F179="",0,IF($F179="Weighted Average",$G179*VLOOKUP($D179&amp;" (Install)",Lists!$C$72:$R$232,COLUMNS(Lists!$C$69:R$69),0)*VLOOKUP(BR$3,Conversions!$B$12:$E$34,4,0),$G179*VLOOKUP($F179,Lists!$C$72:$R$232,COLUMNS(Lists!$C$69:R$69),0)*VLOOKUP(BR$3,Conversions!$B$12:$E$34,4,0)))</f>
        <v>0</v>
      </c>
      <c r="Z179" s="325">
        <f t="shared" si="234"/>
        <v>0</v>
      </c>
      <c r="AA179" s="334">
        <f>IF($F179="",0,IF($F179="Weighted Average",$H179*VLOOKUP($D179&amp;" (Operation)",Lists!$C$72:$R$232,COLUMNS(Lists!$C$69:E$69),0)*VLOOKUP(BE$3,Conversions!$B$12:$E$34,4,0),$H179*VLOOKUP($F179,Lists!$C$72:$R$232,COLUMNS(Lists!$C$69:E$69),0)*VLOOKUP(BE$3,Conversions!$B$12:$E$34,4,0)))</f>
        <v>0</v>
      </c>
      <c r="AB179" s="334">
        <f>IF($F179="",0,IF($F179="Weighted Average",$H179*VLOOKUP($D179&amp;" (Operation)",Lists!$C$72:$R$232,COLUMNS(Lists!$C$69:F$69),0)*VLOOKUP(BF$3,Conversions!$B$12:$E$34,4,0),$H179*VLOOKUP($F179,Lists!$C$72:$R$232,COLUMNS(Lists!$C$69:F$69),0)*VLOOKUP(BF$3,Conversions!$B$12:$E$34,4,0)))</f>
        <v>0</v>
      </c>
      <c r="AC179" s="334">
        <f>IF($F179="",0,IF($F179="Weighted Average",$H179*VLOOKUP($D179&amp;" (Operation)",Lists!$C$72:$R$232,COLUMNS(Lists!$C$69:G$69),0)*VLOOKUP(BG$3,Conversions!$B$12:$E$34,4,0),$H179*VLOOKUP($F179,Lists!$C$72:$R$232,COLUMNS(Lists!$C$69:G$69),0)*VLOOKUP(BG$3,Conversions!$B$12:$E$34,4,0)))</f>
        <v>0</v>
      </c>
      <c r="AD179" s="334">
        <f>IF($F179="",0,IF($F179="Weighted Average",$H179*VLOOKUP($D179&amp;" (Operation)",Lists!$C$72:$R$232,COLUMNS(Lists!$C$69:H$69),0)*VLOOKUP(BH$3,Conversions!$B$12:$E$34,4,0),$H179*VLOOKUP($F179,Lists!$C$72:$R$232,COLUMNS(Lists!$C$69:H$69),0)*VLOOKUP(BH$3,Conversions!$B$12:$E$34,4,0)))</f>
        <v>0</v>
      </c>
      <c r="AE179" s="334">
        <f>IF($F179="",0,IF($F179="Weighted Average",$H179*VLOOKUP($D179&amp;" (Operation)",Lists!$C$72:$R$232,COLUMNS(Lists!$C$69:I$69),0)*VLOOKUP(BI$3,Conversions!$B$12:$E$34,4,0),$H179*VLOOKUP($F179,Lists!$C$72:$R$232,COLUMNS(Lists!$C$69:I$69),0)*VLOOKUP(BI$3,Conversions!$B$12:$E$34,4,0)))</f>
        <v>0</v>
      </c>
      <c r="AF179" s="334">
        <f>IF($F179="",0,IF($F179="Weighted Average",$H179*VLOOKUP($D179&amp;" (Operation)",Lists!$C$72:$R$232,COLUMNS(Lists!$C$69:J$69),0)*VLOOKUP(BJ$3,Conversions!$B$12:$E$34,4,0),$H179*VLOOKUP($F179,Lists!$C$72:$R$232,COLUMNS(Lists!$C$69:J$69),0)*VLOOKUP(BJ$3,Conversions!$B$12:$E$34,4,0)))</f>
        <v>0</v>
      </c>
      <c r="AG179" s="334">
        <f>IF($F179="",0,IF($F179="Weighted Average",$H179*VLOOKUP($D179&amp;" (Operation)",Lists!$C$72:$R$232,COLUMNS(Lists!$C$69:K$69),0)*VLOOKUP(BK$3,Conversions!$B$12:$E$34,4,0),$H179*VLOOKUP($F179,Lists!$C$72:$R$232,COLUMNS(Lists!$C$69:K$69),0)*VLOOKUP(BK$3,Conversions!$B$12:$E$34,4,0)))</f>
        <v>0</v>
      </c>
      <c r="AH179" s="334">
        <f>IF($F179="",0,IF($F179="Weighted Average",$H179*VLOOKUP($D179&amp;" (Operation)",Lists!$C$72:$R$232,COLUMNS(Lists!$C$69:L$69),0)*VLOOKUP(BL$3,Conversions!$B$12:$E$34,4,0),$H179*VLOOKUP($F179,Lists!$C$72:$R$232,COLUMNS(Lists!$C$69:L$69),0)*VLOOKUP(BL$3,Conversions!$B$12:$E$34,4,0)))</f>
        <v>0</v>
      </c>
      <c r="AI179" s="334">
        <f>IF($F179="",0,IF($F179="Weighted Average",$H179*VLOOKUP($D179&amp;" (Operation)",Lists!$C$72:$R$232,COLUMNS(Lists!$C$69:M$69),0)*VLOOKUP(BM$3,Conversions!$B$12:$E$34,4,0),$H179*VLOOKUP($F179,Lists!$C$72:$R$232,COLUMNS(Lists!$C$69:M$69),0)*VLOOKUP(BM$3,Conversions!$B$12:$E$34,4,0)))</f>
        <v>0</v>
      </c>
      <c r="AJ179" s="334">
        <f>IF($F179="",0,IF($F179="Weighted Average",$H179*VLOOKUP($D179&amp;" (Operation)",Lists!$C$72:$R$232,COLUMNS(Lists!$C$69:N$69),0)*VLOOKUP(BN$3,Conversions!$B$12:$E$34,4,0),$H179*VLOOKUP($F179,Lists!$C$72:$R$232,COLUMNS(Lists!$C$69:N$69),0)*VLOOKUP(BN$3,Conversions!$B$12:$E$34,4,0)))</f>
        <v>0</v>
      </c>
      <c r="AK179" s="334">
        <f>IF($F179="",0,IF($F179="Weighted Average",$H179*VLOOKUP($D179&amp;" (Operation)",Lists!$C$72:$R$232,COLUMNS(Lists!$C$69:O$69),0)*VLOOKUP(BO$3,Conversions!$B$12:$E$34,4,0),$H179*VLOOKUP($F179,Lists!$C$72:$R$232,COLUMNS(Lists!$C$69:O$69),0)*VLOOKUP(BO$3,Conversions!$B$12:$E$34,4,0)))</f>
        <v>0</v>
      </c>
      <c r="AL179" s="334">
        <f>IF($F179="",0,IF($F179="Weighted Average",$H179*VLOOKUP($D179&amp;" (Operation)",Lists!$C$72:$R$232,COLUMNS(Lists!$C$69:P$69),0)*VLOOKUP(BP$3,Conversions!$B$12:$E$34,4,0),$H179*VLOOKUP($F179,Lists!$C$72:$R$232,COLUMNS(Lists!$C$69:P$69),0)*VLOOKUP(BP$3,Conversions!$B$12:$E$34,4,0)))</f>
        <v>0</v>
      </c>
      <c r="AM179" s="334">
        <f>IF($F179="",0,IF($F179="Weighted Average",$H179*VLOOKUP($D179&amp;" (Operation)",Lists!$C$72:$R$232,COLUMNS(Lists!$C$69:Q$69),0)*VLOOKUP(BQ$3,Conversions!$B$12:$E$34,4,0),$H179*VLOOKUP($F179,Lists!$C$72:$R$232,COLUMNS(Lists!$C$69:Q$69),0)*VLOOKUP(BQ$3,Conversions!$B$12:$E$34,4,0)))</f>
        <v>0</v>
      </c>
      <c r="AN179" s="334">
        <f>IF($F179="",0,IF($F179="Weighted Average",$H179*VLOOKUP($D179&amp;" (Operation)",Lists!$C$72:$R$232,COLUMNS(Lists!$C$69:R$69),0)*VLOOKUP(BR$3,Conversions!$B$12:$E$34,4,0),$H179*VLOOKUP($F179,Lists!$C$72:$R$232,COLUMNS(Lists!$C$69:R$69),0)*VLOOKUP(BR$3,Conversions!$B$12:$E$34,4,0)))</f>
        <v>0</v>
      </c>
      <c r="AO179" s="330">
        <f t="shared" si="235"/>
        <v>0</v>
      </c>
      <c r="AP179" s="333">
        <f>IF($F179="",0,IF($F179="Weighted Average",$I179*VLOOKUP($D179&amp;" (Disposal)",Lists!$C$72:$R$232,COLUMNS(Lists!$C$69:E$69),0)*VLOOKUP(BE$3,Conversions!$B$12:$E$34,4,0),$I179*VLOOKUP($F179,Lists!$C$72:$R$232,COLUMNS(Lists!$C$69:E$69),0)*VLOOKUP(BE$3,Conversions!$B$12:$E$34,4,0)))</f>
        <v>0</v>
      </c>
      <c r="AQ179" s="333">
        <f>IF($F179="",0,IF($F179="Weighted Average",$I179*VLOOKUP($D179&amp;" (Disposal)",Lists!$C$72:$R$232,COLUMNS(Lists!$C$69:F$69),0)*VLOOKUP(BF$3,Conversions!$B$12:$E$34,4,0),$I179*VLOOKUP($F179,Lists!$C$72:$R$232,COLUMNS(Lists!$C$69:F$69),0)*VLOOKUP(BF$3,Conversions!$B$12:$E$34,4,0)))</f>
        <v>0</v>
      </c>
      <c r="AR179" s="333">
        <f>IF($F179="",0,IF($F179="Weighted Average",$I179*VLOOKUP($D179&amp;" (Disposal)",Lists!$C$72:$R$232,COLUMNS(Lists!$C$69:G$69),0)*VLOOKUP(BG$3,Conversions!$B$12:$E$34,4,0),$I179*VLOOKUP($F179,Lists!$C$72:$R$232,COLUMNS(Lists!$C$69:G$69),0)*VLOOKUP(BG$3,Conversions!$B$12:$E$34,4,0)))</f>
        <v>0</v>
      </c>
      <c r="AS179" s="333">
        <f>IF($F179="",0,IF($F179="Weighted Average",$I179*VLOOKUP($D179&amp;" (Disposal)",Lists!$C$72:$R$232,COLUMNS(Lists!$C$69:H$69),0)*VLOOKUP(BH$3,Conversions!$B$12:$E$34,4,0),$I179*VLOOKUP($F179,Lists!$C$72:$R$232,COLUMNS(Lists!$C$69:H$69),0)*VLOOKUP(BH$3,Conversions!$B$12:$E$34,4,0)))</f>
        <v>0</v>
      </c>
      <c r="AT179" s="333">
        <f>IF($F179="",0,IF($F179="Weighted Average",$I179*VLOOKUP($D179&amp;" (Disposal)",Lists!$C$72:$R$232,COLUMNS(Lists!$C$69:I$69),0)*VLOOKUP(BI$3,Conversions!$B$12:$E$34,4,0),$I179*VLOOKUP($F179,Lists!$C$72:$R$232,COLUMNS(Lists!$C$69:I$69),0)*VLOOKUP(BI$3,Conversions!$B$12:$E$34,4,0)))</f>
        <v>0</v>
      </c>
      <c r="AU179" s="333">
        <f>IF($F179="",0,IF($F179="Weighted Average",$I179*VLOOKUP($D179&amp;" (Disposal)",Lists!$C$72:$R$232,COLUMNS(Lists!$C$69:J$69),0)*VLOOKUP(BJ$3,Conversions!$B$12:$E$34,4,0),$I179*VLOOKUP($F179,Lists!$C$72:$R$232,COLUMNS(Lists!$C$69:J$69),0)*VLOOKUP(BJ$3,Conversions!$B$12:$E$34,4,0)))</f>
        <v>0</v>
      </c>
      <c r="AV179" s="333">
        <f>IF($F179="",0,IF($F179="Weighted Average",$I179*VLOOKUP($D179&amp;" (Disposal)",Lists!$C$72:$R$232,COLUMNS(Lists!$C$69:K$69),0)*VLOOKUP(BK$3,Conversions!$B$12:$E$34,4,0),$I179*VLOOKUP($F179,Lists!$C$72:$R$232,COLUMNS(Lists!$C$69:K$69),0)*VLOOKUP(BK$3,Conversions!$B$12:$E$34,4,0)))</f>
        <v>0</v>
      </c>
      <c r="AW179" s="333">
        <f>IF($F179="",0,IF($F179="Weighted Average",$I179*VLOOKUP($D179&amp;" (Disposal)",Lists!$C$72:$R$232,COLUMNS(Lists!$C$69:L$69),0)*VLOOKUP(BL$3,Conversions!$B$12:$E$34,4,0),$I179*VLOOKUP($F179,Lists!$C$72:$R$232,COLUMNS(Lists!$C$69:L$69),0)*VLOOKUP(BL$3,Conversions!$B$12:$E$34,4,0)))</f>
        <v>0</v>
      </c>
      <c r="AX179" s="333">
        <f>IF($F179="",0,IF($F179="Weighted Average",$I179*VLOOKUP($D179&amp;" (Disposal)",Lists!$C$72:$R$232,COLUMNS(Lists!$C$69:M$69),0)*VLOOKUP(BM$3,Conversions!$B$12:$E$34,4,0),$I179*VLOOKUP($F179,Lists!$C$72:$R$232,COLUMNS(Lists!$C$69:M$69),0)*VLOOKUP(BM$3,Conversions!$B$12:$E$34,4,0)))</f>
        <v>0</v>
      </c>
      <c r="AY179" s="333">
        <f>IF($F179="",0,IF($F179="Weighted Average",$I179*VLOOKUP($D179&amp;" (Disposal)",Lists!$C$72:$R$232,COLUMNS(Lists!$C$69:N$69),0)*VLOOKUP(BN$3,Conversions!$B$12:$E$34,4,0),$I179*VLOOKUP($F179,Lists!$C$72:$R$232,COLUMNS(Lists!$C$69:N$69),0)*VLOOKUP(BN$3,Conversions!$B$12:$E$34,4,0)))</f>
        <v>0</v>
      </c>
      <c r="AZ179" s="333">
        <f>IF($F179="",0,IF($F179="Weighted Average",$I179*VLOOKUP($D179&amp;" (Disposal)",Lists!$C$72:$R$232,COLUMNS(Lists!$C$69:O$69),0)*VLOOKUP(BO$3,Conversions!$B$12:$E$34,4,0),$I179*VLOOKUP($F179,Lists!$C$72:$R$232,COLUMNS(Lists!$C$69:O$69),0)*VLOOKUP(BO$3,Conversions!$B$12:$E$34,4,0)))</f>
        <v>0</v>
      </c>
      <c r="BA179" s="333">
        <f>IF($F179="",0,IF($F179="Weighted Average",$I179*VLOOKUP($D179&amp;" (Disposal)",Lists!$C$72:$R$232,COLUMNS(Lists!$C$69:P$69),0)*VLOOKUP(BP$3,Conversions!$B$12:$E$34,4,0),$I179*VLOOKUP($F179,Lists!$C$72:$R$232,COLUMNS(Lists!$C$69:P$69),0)*VLOOKUP(BP$3,Conversions!$B$12:$E$34,4,0)))</f>
        <v>0</v>
      </c>
      <c r="BB179" s="333">
        <f>IF($F179="",0,IF($F179="Weighted Average",$I179*VLOOKUP($D179&amp;" (Disposal)",Lists!$C$72:$R$232,COLUMNS(Lists!$C$69:Q$69),0)*VLOOKUP(BQ$3,Conversions!$B$12:$E$34,4,0),$I179*VLOOKUP($F179,Lists!$C$72:$R$232,COLUMNS(Lists!$C$69:Q$69),0)*VLOOKUP(BQ$3,Conversions!$B$12:$E$34,4,0)))</f>
        <v>0</v>
      </c>
      <c r="BC179" s="333">
        <f>IF($F179="",0,IF($F179="Weighted Average",$I179*VLOOKUP($D179&amp;" (Disposal)",Lists!$C$72:$R$232,COLUMNS(Lists!$C$69:R$69),0)*VLOOKUP(BR$3,Conversions!$B$12:$E$34,4,0),$I179*VLOOKUP($F179,Lists!$C$72:$R$232,COLUMNS(Lists!$C$69:R$69),0)*VLOOKUP(BR$3,Conversions!$B$12:$E$34,4,0)))</f>
        <v>0</v>
      </c>
      <c r="BD179" s="333">
        <f t="shared" si="236"/>
        <v>0</v>
      </c>
      <c r="BE179" s="330">
        <f t="shared" si="237"/>
        <v>0</v>
      </c>
      <c r="BF179" s="330">
        <f t="shared" si="238"/>
        <v>0</v>
      </c>
      <c r="BG179" s="330">
        <f t="shared" si="239"/>
        <v>0</v>
      </c>
      <c r="BH179" s="330">
        <f t="shared" si="240"/>
        <v>0</v>
      </c>
      <c r="BI179" s="330">
        <f t="shared" si="241"/>
        <v>0</v>
      </c>
      <c r="BJ179" s="330">
        <f t="shared" si="242"/>
        <v>0</v>
      </c>
      <c r="BK179" s="330">
        <f t="shared" si="243"/>
        <v>0</v>
      </c>
      <c r="BL179" s="330">
        <f t="shared" si="244"/>
        <v>0</v>
      </c>
      <c r="BM179" s="330">
        <f t="shared" si="245"/>
        <v>0</v>
      </c>
      <c r="BN179" s="330">
        <f t="shared" si="246"/>
        <v>0</v>
      </c>
      <c r="BO179" s="330">
        <f t="shared" si="247"/>
        <v>0</v>
      </c>
      <c r="BP179" s="330">
        <f t="shared" si="248"/>
        <v>0</v>
      </c>
      <c r="BQ179" s="330">
        <f t="shared" si="249"/>
        <v>0</v>
      </c>
      <c r="BR179" s="330">
        <f t="shared" si="250"/>
        <v>0</v>
      </c>
      <c r="BS179" s="330">
        <f t="shared" si="251"/>
        <v>0</v>
      </c>
      <c r="BT179" s="329">
        <f>IF($F179="",0,IF($F179="Weighted Average",$BS179*VLOOKUP($D179,'Default Values'!$B$78:$V$97,COLUMNS('Default Values'!$B$77:G$77),0),0))</f>
        <v>0</v>
      </c>
      <c r="BU179" s="329">
        <f>IF($F179="",0,IF($F179="Weighted Average",$BS179*VLOOKUP($D179,'Default Values'!$B$78:$V$97,COLUMNS('Default Values'!$B$77:H$77),0),0))</f>
        <v>0</v>
      </c>
      <c r="BV179" s="329">
        <f>IF($F179="",0,IF($F179="Weighted Average",$BS179*VLOOKUP($D179,'Default Values'!$B$78:$V$97,COLUMNS('Default Values'!$B$77:I$77),0),0))</f>
        <v>0</v>
      </c>
      <c r="BW179" s="329">
        <f>IF($F179="",0,IF($F179="Weighted Average",$BS179*VLOOKUP($D179,'Default Values'!$B$78:$V$97,COLUMNS('Default Values'!$B$77:J$77),0),0))</f>
        <v>0</v>
      </c>
      <c r="BX179" s="329">
        <f>IF($F179="",0,IF($F179="Weighted Average",$BS179*VLOOKUP($D179,'Default Values'!$B$78:$V$97,COLUMNS('Default Values'!$B$77:K$77),0),0))</f>
        <v>0</v>
      </c>
      <c r="BY179" s="329">
        <f>IF($F179="",0,IF($F179="Weighted Average",$BS179*VLOOKUP($D179,'Default Values'!$B$78:$V$97,COLUMNS('Default Values'!$B$77:L$77),0),0))</f>
        <v>0</v>
      </c>
      <c r="BZ179" s="329">
        <f>IF($F179="",0,IF($F179="Weighted Average",$BS179*VLOOKUP($D179,'Default Values'!$B$78:$V$97,COLUMNS('Default Values'!$B$77:M$77),0),0))</f>
        <v>0</v>
      </c>
      <c r="CA179" s="329">
        <f>IF($F179="",0,IF($F179="Weighted Average",$BS179*VLOOKUP($D179,'Default Values'!$B$78:$V$97,COLUMNS('Default Values'!$B$77:N$77),0),0))</f>
        <v>0</v>
      </c>
      <c r="CB179" s="329">
        <f>IF($F179="",0,IF($F179="Weighted Average",$BS179*VLOOKUP($D179,'Default Values'!$B$78:$V$97,COLUMNS('Default Values'!$B$77:O$77),0),0))</f>
        <v>0</v>
      </c>
      <c r="CC179" s="329">
        <f>IF($F179="",0,IF($F179="Weighted Average",$BS179*VLOOKUP($D179,'Default Values'!$B$78:$V$97,COLUMNS('Default Values'!$B$77:P$77),0),0))</f>
        <v>0</v>
      </c>
      <c r="CD179" s="329">
        <f>IF($F179="",0,IF($F179="Weighted Average",$BS179*VLOOKUP($D179,'Default Values'!$B$78:$V$97,COLUMNS('Default Values'!$B$77:Q$77),0),0))</f>
        <v>0</v>
      </c>
      <c r="CE179" s="329">
        <f>IF($F179="",0,IF($F179="Weighted Average",$BS179*VLOOKUP($D179,'Default Values'!$B$78:$V$97,COLUMNS('Default Values'!$B$77:R$77),0),0))</f>
        <v>0</v>
      </c>
      <c r="CF179" s="329">
        <f>IF($F179="",0,IF($F179="Weighted Average",$BS179*VLOOKUP($D179,'Default Values'!$B$78:$V$97,COLUMNS('Default Values'!$B$77:S$77),0),0))</f>
        <v>0</v>
      </c>
      <c r="CG179" s="329">
        <f>IF($F179="",0,IF($F179="Weighted Average",$BS179*VLOOKUP($D179,'Default Values'!$B$78:$V$97,COLUMNS('Default Values'!$B$77:T$77),0),0))</f>
        <v>0</v>
      </c>
      <c r="CH179" s="329">
        <f>IF($F179="",0,IF($F179="Weighted Average",$BS179*VLOOKUP($D179,'Default Values'!$B$78:$V$97,COLUMNS('Default Values'!$B$77:U$77),0),0))</f>
        <v>0</v>
      </c>
      <c r="CI179" s="329">
        <f>IF($F179="",0,IF($F179="Weighted Average",$BS179*VLOOKUP($D179,'Default Values'!$B$78:$V$97,COLUMNS('Default Values'!$B$77:V$77),0),0))</f>
        <v>0</v>
      </c>
      <c r="CJ179" s="331">
        <f t="shared" si="252"/>
        <v>0</v>
      </c>
      <c r="CK179" s="330">
        <f t="shared" si="253"/>
        <v>0</v>
      </c>
      <c r="CL179" s="330">
        <f t="shared" si="254"/>
        <v>0</v>
      </c>
      <c r="CM179" s="330">
        <f t="shared" si="255"/>
        <v>0</v>
      </c>
      <c r="CN179" s="330">
        <f t="shared" si="256"/>
        <v>0</v>
      </c>
      <c r="CO179" s="330">
        <f t="shared" si="257"/>
        <v>0</v>
      </c>
      <c r="CP179" s="330">
        <f t="shared" si="258"/>
        <v>0</v>
      </c>
      <c r="CQ179" s="330">
        <f t="shared" si="186"/>
        <v>0</v>
      </c>
      <c r="CR179" s="330">
        <f t="shared" si="259"/>
        <v>0</v>
      </c>
      <c r="CS179" s="330">
        <f t="shared" si="260"/>
        <v>0</v>
      </c>
      <c r="CT179" s="330">
        <f t="shared" si="261"/>
        <v>0</v>
      </c>
      <c r="CU179" s="330">
        <f t="shared" si="262"/>
        <v>0</v>
      </c>
      <c r="CV179" s="330">
        <f t="shared" si="262"/>
        <v>0</v>
      </c>
      <c r="CW179" s="330">
        <f t="shared" si="262"/>
        <v>0</v>
      </c>
      <c r="CX179" s="330">
        <f t="shared" si="262"/>
        <v>0</v>
      </c>
      <c r="CY179" s="330">
        <f t="shared" si="262"/>
        <v>0</v>
      </c>
      <c r="CZ179" s="330">
        <f t="shared" si="262"/>
        <v>0</v>
      </c>
      <c r="DA179" s="330">
        <f t="shared" si="262"/>
        <v>0</v>
      </c>
      <c r="DB179" s="330">
        <f t="shared" si="262"/>
        <v>0</v>
      </c>
      <c r="DC179" s="330">
        <f t="shared" si="262"/>
        <v>0</v>
      </c>
      <c r="DD179" s="330">
        <f t="shared" si="262"/>
        <v>0</v>
      </c>
      <c r="DE179" s="330">
        <f t="shared" si="263"/>
        <v>0</v>
      </c>
      <c r="DF179" s="330">
        <f t="shared" si="263"/>
        <v>0</v>
      </c>
      <c r="DG179" s="330">
        <f t="shared" si="263"/>
        <v>0</v>
      </c>
      <c r="DH179" s="330">
        <f t="shared" si="263"/>
        <v>0</v>
      </c>
      <c r="DI179" s="330">
        <f t="shared" si="263"/>
        <v>0</v>
      </c>
      <c r="DJ179" s="330">
        <f t="shared" si="263"/>
        <v>0</v>
      </c>
      <c r="DK179" s="330">
        <f t="shared" si="263"/>
        <v>0</v>
      </c>
      <c r="DL179" s="330">
        <f t="shared" si="263"/>
        <v>0</v>
      </c>
      <c r="DM179" s="330">
        <f t="shared" si="263"/>
        <v>0</v>
      </c>
      <c r="DN179" s="330">
        <f t="shared" si="263"/>
        <v>0</v>
      </c>
      <c r="DO179" s="330">
        <f t="shared" si="263"/>
        <v>0</v>
      </c>
      <c r="DP179" s="330">
        <f t="shared" si="264"/>
        <v>0</v>
      </c>
      <c r="DQ179" s="217"/>
      <c r="DR179" s="217"/>
      <c r="DS179" s="217"/>
      <c r="DT179" s="217"/>
    </row>
    <row r="180" spans="1:124" x14ac:dyDescent="0.3">
      <c r="A180" s="324"/>
      <c r="B180" s="221" t="s">
        <v>307</v>
      </c>
      <c r="C180" s="221" t="str">
        <f>IF('Simplified Screening 2'!C31=0,"",'Simplified Screening 2'!C31)</f>
        <v/>
      </c>
      <c r="D180" s="221" t="str">
        <f>IF('Simplified Screening 2'!D31=0,"",'Simplified Screening 2'!D31)</f>
        <v/>
      </c>
      <c r="E180" s="221"/>
      <c r="F180" s="221" t="str">
        <f>'Simplified Screening 2'!J31</f>
        <v/>
      </c>
      <c r="G180" s="335" t="str">
        <f>IF(D180="","",'Simplified Screening 2'!G31/1000*VLOOKUP(D180,'Default Values'!$B$78:$F$97,COLUMNS('Default Values'!$B$77:$D$77),0)/1000)</f>
        <v/>
      </c>
      <c r="H180" s="335" t="str">
        <f>IF(D180="","",'Simplified Screening 2'!G31/1000*VLOOKUP(D180,'Default Values'!$B$78:$F$97,COLUMNS('Default Values'!$B$77:$E$77),0)/1000)</f>
        <v/>
      </c>
      <c r="I180" s="335" t="str">
        <f>IF(D180="","",'Simplified Screening 2'!G31/1000*VLOOKUP(D180,'Default Values'!$B$78:$F$97,COLUMNS('Default Values'!$B$77:$F$77),0)/1000)</f>
        <v/>
      </c>
      <c r="J180" s="325">
        <f>IF('Simplified Screening 2'!H31=0,0,'Simplified Screening 2'!H31)</f>
        <v>0</v>
      </c>
      <c r="K180" s="465"/>
      <c r="L180" s="333">
        <f>IF($F180="",0,IF($F180="Weighted Average",$G180*VLOOKUP($D180&amp;" (Install)",Lists!$C$72:$R$232,COLUMNS(Lists!$C$69:E$69),0)*VLOOKUP(BE$3,Conversions!$B$12:$E$34,4,0),$G180*VLOOKUP($F180,Lists!$C$72:$R$232,COLUMNS(Lists!$C$69:E$69),0)*VLOOKUP(BE$3,Conversions!$B$12:$E$34,4,0)))</f>
        <v>0</v>
      </c>
      <c r="M180" s="333">
        <f>IF($F180="",0,IF($F180="Weighted Average",$G180*VLOOKUP($D180&amp;" (Install)",Lists!$C$72:$R$232,COLUMNS(Lists!$C$69:F$69),0)*VLOOKUP(BF$3,Conversions!$B$12:$E$34,4,0),$G180*VLOOKUP($F180,Lists!$C$72:$R$232,COLUMNS(Lists!$C$69:F$69),0)*VLOOKUP(BF$3,Conversions!$B$12:$E$34,4,0)))</f>
        <v>0</v>
      </c>
      <c r="N180" s="333">
        <f>IF($F180="",0,IF($F180="Weighted Average",$G180*VLOOKUP($D180&amp;" (Install)",Lists!$C$72:$R$232,COLUMNS(Lists!$C$69:G$69),0)*VLOOKUP(BG$3,Conversions!$B$12:$E$34,4,0),$G180*VLOOKUP($F180,Lists!$C$72:$R$232,COLUMNS(Lists!$C$69:G$69),0)*VLOOKUP(BG$3,Conversions!$B$12:$E$34,4,0)))</f>
        <v>0</v>
      </c>
      <c r="O180" s="333">
        <f>IF($F180="",0,IF($F180="Weighted Average",$G180*VLOOKUP($D180&amp;" (Install)",Lists!$C$72:$R$232,COLUMNS(Lists!$C$69:H$69),0)*VLOOKUP(BH$3,Conversions!$B$12:$E$34,4,0),$G180*VLOOKUP($F180,Lists!$C$72:$R$232,COLUMNS(Lists!$C$69:H$69),0)*VLOOKUP(BH$3,Conversions!$B$12:$E$34,4,0)))</f>
        <v>0</v>
      </c>
      <c r="P180" s="333">
        <f>IF($F180="",0,IF($F180="Weighted Average",$G180*VLOOKUP($D180&amp;" (Install)",Lists!$C$72:$R$232,COLUMNS(Lists!$C$69:I$69),0)*VLOOKUP(BI$3,Conversions!$B$12:$E$34,4,0),$G180*VLOOKUP($F180,Lists!$C$72:$R$232,COLUMNS(Lists!$C$69:I$69),0)*VLOOKUP(BI$3,Conversions!$B$12:$E$34,4,0)))</f>
        <v>0</v>
      </c>
      <c r="Q180" s="333">
        <f>IF($F180="",0,IF($F180="Weighted Average",$G180*VLOOKUP($D180&amp;" (Install)",Lists!$C$72:$R$232,COLUMNS(Lists!$C$69:J$69),0)*VLOOKUP(BJ$3,Conversions!$B$12:$E$34,4,0),$G180*VLOOKUP($F180,Lists!$C$72:$R$232,COLUMNS(Lists!$C$69:J$69),0)*VLOOKUP(BJ$3,Conversions!$B$12:$E$34,4,0)))</f>
        <v>0</v>
      </c>
      <c r="R180" s="333">
        <f>IF($F180="",0,IF($F180="Weighted Average",$G180*VLOOKUP($D180&amp;" (Install)",Lists!$C$72:$R$232,COLUMNS(Lists!$C$69:K$69),0)*VLOOKUP(BK$3,Conversions!$B$12:$E$34,4,0),$G180*VLOOKUP($F180,Lists!$C$72:$R$232,COLUMNS(Lists!$C$69:K$69),0)*VLOOKUP(BK$3,Conversions!$B$12:$E$34,4,0)))</f>
        <v>0</v>
      </c>
      <c r="S180" s="333">
        <f>IF($F180="",0,IF($F180="Weighted Average",$G180*VLOOKUP($D180&amp;" (Install)",Lists!$C$72:$R$232,COLUMNS(Lists!$C$69:L$69),0)*VLOOKUP(BL$3,Conversions!$B$12:$E$34,4,0),$G180*VLOOKUP($F180,Lists!$C$72:$R$232,COLUMNS(Lists!$C$69:L$69),0)*VLOOKUP(BL$3,Conversions!$B$12:$E$34,4,0)))</f>
        <v>0</v>
      </c>
      <c r="T180" s="333">
        <f>IF($F180="",0,IF($F180="Weighted Average",$G180*VLOOKUP($D180&amp;" (Install)",Lists!$C$72:$R$232,COLUMNS(Lists!$C$69:M$69),0)*VLOOKUP(BM$3,Conversions!$B$12:$E$34,4,0),$G180*VLOOKUP($F180,Lists!$C$72:$R$232,COLUMNS(Lists!$C$69:M$69),0)*VLOOKUP(BM$3,Conversions!$B$12:$E$34,4,0)))</f>
        <v>0</v>
      </c>
      <c r="U180" s="333">
        <f>IF($F180="",0,IF($F180="Weighted Average",$G180*VLOOKUP($D180&amp;" (Install)",Lists!$C$72:$R$232,COLUMNS(Lists!$C$69:N$69),0)*VLOOKUP(BN$3,Conversions!$B$12:$E$34,4,0),$G180*VLOOKUP($F180,Lists!$C$72:$R$232,COLUMNS(Lists!$C$69:N$69),0)*VLOOKUP(BN$3,Conversions!$B$12:$E$34,4,0)))</f>
        <v>0</v>
      </c>
      <c r="V180" s="333">
        <f>IF($F180="",0,IF($F180="Weighted Average",$G180*VLOOKUP($D180&amp;" (Install)",Lists!$C$72:$R$232,COLUMNS(Lists!$C$69:O$69),0)*VLOOKUP(BO$3,Conversions!$B$12:$E$34,4,0),$G180*VLOOKUP($F180,Lists!$C$72:$R$232,COLUMNS(Lists!$C$69:O$69),0)*VLOOKUP(BO$3,Conversions!$B$12:$E$34,4,0)))</f>
        <v>0</v>
      </c>
      <c r="W180" s="333">
        <f>IF($F180="",0,IF($F180="Weighted Average",$G180*VLOOKUP($D180&amp;" (Install)",Lists!$C$72:$R$232,COLUMNS(Lists!$C$69:P$69),0)*VLOOKUP(BP$3,Conversions!$B$12:$E$34,4,0),$G180*VLOOKUP($F180,Lists!$C$72:$R$232,COLUMNS(Lists!$C$69:P$69),0)*VLOOKUP(BP$3,Conversions!$B$12:$E$34,4,0)))</f>
        <v>0</v>
      </c>
      <c r="X180" s="333">
        <f>IF($F180="",0,IF($F180="Weighted Average",$G180*VLOOKUP($D180&amp;" (Install)",Lists!$C$72:$R$232,COLUMNS(Lists!$C$69:Q$69),0)*VLOOKUP(BQ$3,Conversions!$B$12:$E$34,4,0),$G180*VLOOKUP($F180,Lists!$C$72:$R$232,COLUMNS(Lists!$C$69:Q$69),0)*VLOOKUP(BQ$3,Conversions!$B$12:$E$34,4,0)))</f>
        <v>0</v>
      </c>
      <c r="Y180" s="333">
        <f>IF($F180="",0,IF($F180="Weighted Average",$G180*VLOOKUP($D180&amp;" (Install)",Lists!$C$72:$R$232,COLUMNS(Lists!$C$69:R$69),0)*VLOOKUP(BR$3,Conversions!$B$12:$E$34,4,0),$G180*VLOOKUP($F180,Lists!$C$72:$R$232,COLUMNS(Lists!$C$69:R$69),0)*VLOOKUP(BR$3,Conversions!$B$12:$E$34,4,0)))</f>
        <v>0</v>
      </c>
      <c r="Z180" s="325">
        <f t="shared" si="234"/>
        <v>0</v>
      </c>
      <c r="AA180" s="334">
        <f>IF($F180="",0,IF($F180="Weighted Average",$H180*VLOOKUP($D180&amp;" (Operation)",Lists!$C$72:$R$232,COLUMNS(Lists!$C$69:E$69),0)*VLOOKUP(BE$3,Conversions!$B$12:$E$34,4,0),$H180*VLOOKUP($F180,Lists!$C$72:$R$232,COLUMNS(Lists!$C$69:E$69),0)*VLOOKUP(BE$3,Conversions!$B$12:$E$34,4,0)))</f>
        <v>0</v>
      </c>
      <c r="AB180" s="334">
        <f>IF($F180="",0,IF($F180="Weighted Average",$H180*VLOOKUP($D180&amp;" (Operation)",Lists!$C$72:$R$232,COLUMNS(Lists!$C$69:F$69),0)*VLOOKUP(BF$3,Conversions!$B$12:$E$34,4,0),$H180*VLOOKUP($F180,Lists!$C$72:$R$232,COLUMNS(Lists!$C$69:F$69),0)*VLOOKUP(BF$3,Conversions!$B$12:$E$34,4,0)))</f>
        <v>0</v>
      </c>
      <c r="AC180" s="334">
        <f>IF($F180="",0,IF($F180="Weighted Average",$H180*VLOOKUP($D180&amp;" (Operation)",Lists!$C$72:$R$232,COLUMNS(Lists!$C$69:G$69),0)*VLOOKUP(BG$3,Conversions!$B$12:$E$34,4,0),$H180*VLOOKUP($F180,Lists!$C$72:$R$232,COLUMNS(Lists!$C$69:G$69),0)*VLOOKUP(BG$3,Conversions!$B$12:$E$34,4,0)))</f>
        <v>0</v>
      </c>
      <c r="AD180" s="334">
        <f>IF($F180="",0,IF($F180="Weighted Average",$H180*VLOOKUP($D180&amp;" (Operation)",Lists!$C$72:$R$232,COLUMNS(Lists!$C$69:H$69),0)*VLOOKUP(BH$3,Conversions!$B$12:$E$34,4,0),$H180*VLOOKUP($F180,Lists!$C$72:$R$232,COLUMNS(Lists!$C$69:H$69),0)*VLOOKUP(BH$3,Conversions!$B$12:$E$34,4,0)))</f>
        <v>0</v>
      </c>
      <c r="AE180" s="334">
        <f>IF($F180="",0,IF($F180="Weighted Average",$H180*VLOOKUP($D180&amp;" (Operation)",Lists!$C$72:$R$232,COLUMNS(Lists!$C$69:I$69),0)*VLOOKUP(BI$3,Conversions!$B$12:$E$34,4,0),$H180*VLOOKUP($F180,Lists!$C$72:$R$232,COLUMNS(Lists!$C$69:I$69),0)*VLOOKUP(BI$3,Conversions!$B$12:$E$34,4,0)))</f>
        <v>0</v>
      </c>
      <c r="AF180" s="334">
        <f>IF($F180="",0,IF($F180="Weighted Average",$H180*VLOOKUP($D180&amp;" (Operation)",Lists!$C$72:$R$232,COLUMNS(Lists!$C$69:J$69),0)*VLOOKUP(BJ$3,Conversions!$B$12:$E$34,4,0),$H180*VLOOKUP($F180,Lists!$C$72:$R$232,COLUMNS(Lists!$C$69:J$69),0)*VLOOKUP(BJ$3,Conversions!$B$12:$E$34,4,0)))</f>
        <v>0</v>
      </c>
      <c r="AG180" s="334">
        <f>IF($F180="",0,IF($F180="Weighted Average",$H180*VLOOKUP($D180&amp;" (Operation)",Lists!$C$72:$R$232,COLUMNS(Lists!$C$69:K$69),0)*VLOOKUP(BK$3,Conversions!$B$12:$E$34,4,0),$H180*VLOOKUP($F180,Lists!$C$72:$R$232,COLUMNS(Lists!$C$69:K$69),0)*VLOOKUP(BK$3,Conversions!$B$12:$E$34,4,0)))</f>
        <v>0</v>
      </c>
      <c r="AH180" s="334">
        <f>IF($F180="",0,IF($F180="Weighted Average",$H180*VLOOKUP($D180&amp;" (Operation)",Lists!$C$72:$R$232,COLUMNS(Lists!$C$69:L$69),0)*VLOOKUP(BL$3,Conversions!$B$12:$E$34,4,0),$H180*VLOOKUP($F180,Lists!$C$72:$R$232,COLUMNS(Lists!$C$69:L$69),0)*VLOOKUP(BL$3,Conversions!$B$12:$E$34,4,0)))</f>
        <v>0</v>
      </c>
      <c r="AI180" s="334">
        <f>IF($F180="",0,IF($F180="Weighted Average",$H180*VLOOKUP($D180&amp;" (Operation)",Lists!$C$72:$R$232,COLUMNS(Lists!$C$69:M$69),0)*VLOOKUP(BM$3,Conversions!$B$12:$E$34,4,0),$H180*VLOOKUP($F180,Lists!$C$72:$R$232,COLUMNS(Lists!$C$69:M$69),0)*VLOOKUP(BM$3,Conversions!$B$12:$E$34,4,0)))</f>
        <v>0</v>
      </c>
      <c r="AJ180" s="334">
        <f>IF($F180="",0,IF($F180="Weighted Average",$H180*VLOOKUP($D180&amp;" (Operation)",Lists!$C$72:$R$232,COLUMNS(Lists!$C$69:N$69),0)*VLOOKUP(BN$3,Conversions!$B$12:$E$34,4,0),$H180*VLOOKUP($F180,Lists!$C$72:$R$232,COLUMNS(Lists!$C$69:N$69),0)*VLOOKUP(BN$3,Conversions!$B$12:$E$34,4,0)))</f>
        <v>0</v>
      </c>
      <c r="AK180" s="334">
        <f>IF($F180="",0,IF($F180="Weighted Average",$H180*VLOOKUP($D180&amp;" (Operation)",Lists!$C$72:$R$232,COLUMNS(Lists!$C$69:O$69),0)*VLOOKUP(BO$3,Conversions!$B$12:$E$34,4,0),$H180*VLOOKUP($F180,Lists!$C$72:$R$232,COLUMNS(Lists!$C$69:O$69),0)*VLOOKUP(BO$3,Conversions!$B$12:$E$34,4,0)))</f>
        <v>0</v>
      </c>
      <c r="AL180" s="334">
        <f>IF($F180="",0,IF($F180="Weighted Average",$H180*VLOOKUP($D180&amp;" (Operation)",Lists!$C$72:$R$232,COLUMNS(Lists!$C$69:P$69),0)*VLOOKUP(BP$3,Conversions!$B$12:$E$34,4,0),$H180*VLOOKUP($F180,Lists!$C$72:$R$232,COLUMNS(Lists!$C$69:P$69),0)*VLOOKUP(BP$3,Conversions!$B$12:$E$34,4,0)))</f>
        <v>0</v>
      </c>
      <c r="AM180" s="334">
        <f>IF($F180="",0,IF($F180="Weighted Average",$H180*VLOOKUP($D180&amp;" (Operation)",Lists!$C$72:$R$232,COLUMNS(Lists!$C$69:Q$69),0)*VLOOKUP(BQ$3,Conversions!$B$12:$E$34,4,0),$H180*VLOOKUP($F180,Lists!$C$72:$R$232,COLUMNS(Lists!$C$69:Q$69),0)*VLOOKUP(BQ$3,Conversions!$B$12:$E$34,4,0)))</f>
        <v>0</v>
      </c>
      <c r="AN180" s="334">
        <f>IF($F180="",0,IF($F180="Weighted Average",$H180*VLOOKUP($D180&amp;" (Operation)",Lists!$C$72:$R$232,COLUMNS(Lists!$C$69:R$69),0)*VLOOKUP(BR$3,Conversions!$B$12:$E$34,4,0),$H180*VLOOKUP($F180,Lists!$C$72:$R$232,COLUMNS(Lists!$C$69:R$69),0)*VLOOKUP(BR$3,Conversions!$B$12:$E$34,4,0)))</f>
        <v>0</v>
      </c>
      <c r="AO180" s="330">
        <f t="shared" si="235"/>
        <v>0</v>
      </c>
      <c r="AP180" s="333">
        <f>IF($F180="",0,IF($F180="Weighted Average",$I180*VLOOKUP($D180&amp;" (Disposal)",Lists!$C$72:$R$232,COLUMNS(Lists!$C$69:E$69),0)*VLOOKUP(BE$3,Conversions!$B$12:$E$34,4,0),$I180*VLOOKUP($F180,Lists!$C$72:$R$232,COLUMNS(Lists!$C$69:E$69),0)*VLOOKUP(BE$3,Conversions!$B$12:$E$34,4,0)))</f>
        <v>0</v>
      </c>
      <c r="AQ180" s="333">
        <f>IF($F180="",0,IF($F180="Weighted Average",$I180*VLOOKUP($D180&amp;" (Disposal)",Lists!$C$72:$R$232,COLUMNS(Lists!$C$69:F$69),0)*VLOOKUP(BF$3,Conversions!$B$12:$E$34,4,0),$I180*VLOOKUP($F180,Lists!$C$72:$R$232,COLUMNS(Lists!$C$69:F$69),0)*VLOOKUP(BF$3,Conversions!$B$12:$E$34,4,0)))</f>
        <v>0</v>
      </c>
      <c r="AR180" s="333">
        <f>IF($F180="",0,IF($F180="Weighted Average",$I180*VLOOKUP($D180&amp;" (Disposal)",Lists!$C$72:$R$232,COLUMNS(Lists!$C$69:G$69),0)*VLOOKUP(BG$3,Conversions!$B$12:$E$34,4,0),$I180*VLOOKUP($F180,Lists!$C$72:$R$232,COLUMNS(Lists!$C$69:G$69),0)*VLOOKUP(BG$3,Conversions!$B$12:$E$34,4,0)))</f>
        <v>0</v>
      </c>
      <c r="AS180" s="333">
        <f>IF($F180="",0,IF($F180="Weighted Average",$I180*VLOOKUP($D180&amp;" (Disposal)",Lists!$C$72:$R$232,COLUMNS(Lists!$C$69:H$69),0)*VLOOKUP(BH$3,Conversions!$B$12:$E$34,4,0),$I180*VLOOKUP($F180,Lists!$C$72:$R$232,COLUMNS(Lists!$C$69:H$69),0)*VLOOKUP(BH$3,Conversions!$B$12:$E$34,4,0)))</f>
        <v>0</v>
      </c>
      <c r="AT180" s="333">
        <f>IF($F180="",0,IF($F180="Weighted Average",$I180*VLOOKUP($D180&amp;" (Disposal)",Lists!$C$72:$R$232,COLUMNS(Lists!$C$69:I$69),0)*VLOOKUP(BI$3,Conversions!$B$12:$E$34,4,0),$I180*VLOOKUP($F180,Lists!$C$72:$R$232,COLUMNS(Lists!$C$69:I$69),0)*VLOOKUP(BI$3,Conversions!$B$12:$E$34,4,0)))</f>
        <v>0</v>
      </c>
      <c r="AU180" s="333">
        <f>IF($F180="",0,IF($F180="Weighted Average",$I180*VLOOKUP($D180&amp;" (Disposal)",Lists!$C$72:$R$232,COLUMNS(Lists!$C$69:J$69),0)*VLOOKUP(BJ$3,Conversions!$B$12:$E$34,4,0),$I180*VLOOKUP($F180,Lists!$C$72:$R$232,COLUMNS(Lists!$C$69:J$69),0)*VLOOKUP(BJ$3,Conversions!$B$12:$E$34,4,0)))</f>
        <v>0</v>
      </c>
      <c r="AV180" s="333">
        <f>IF($F180="",0,IF($F180="Weighted Average",$I180*VLOOKUP($D180&amp;" (Disposal)",Lists!$C$72:$R$232,COLUMNS(Lists!$C$69:K$69),0)*VLOOKUP(BK$3,Conversions!$B$12:$E$34,4,0),$I180*VLOOKUP($F180,Lists!$C$72:$R$232,COLUMNS(Lists!$C$69:K$69),0)*VLOOKUP(BK$3,Conversions!$B$12:$E$34,4,0)))</f>
        <v>0</v>
      </c>
      <c r="AW180" s="333">
        <f>IF($F180="",0,IF($F180="Weighted Average",$I180*VLOOKUP($D180&amp;" (Disposal)",Lists!$C$72:$R$232,COLUMNS(Lists!$C$69:L$69),0)*VLOOKUP(BL$3,Conversions!$B$12:$E$34,4,0),$I180*VLOOKUP($F180,Lists!$C$72:$R$232,COLUMNS(Lists!$C$69:L$69),0)*VLOOKUP(BL$3,Conversions!$B$12:$E$34,4,0)))</f>
        <v>0</v>
      </c>
      <c r="AX180" s="333">
        <f>IF($F180="",0,IF($F180="Weighted Average",$I180*VLOOKUP($D180&amp;" (Disposal)",Lists!$C$72:$R$232,COLUMNS(Lists!$C$69:M$69),0)*VLOOKUP(BM$3,Conversions!$B$12:$E$34,4,0),$I180*VLOOKUP($F180,Lists!$C$72:$R$232,COLUMNS(Lists!$C$69:M$69),0)*VLOOKUP(BM$3,Conversions!$B$12:$E$34,4,0)))</f>
        <v>0</v>
      </c>
      <c r="AY180" s="333">
        <f>IF($F180="",0,IF($F180="Weighted Average",$I180*VLOOKUP($D180&amp;" (Disposal)",Lists!$C$72:$R$232,COLUMNS(Lists!$C$69:N$69),0)*VLOOKUP(BN$3,Conversions!$B$12:$E$34,4,0),$I180*VLOOKUP($F180,Lists!$C$72:$R$232,COLUMNS(Lists!$C$69:N$69),0)*VLOOKUP(BN$3,Conversions!$B$12:$E$34,4,0)))</f>
        <v>0</v>
      </c>
      <c r="AZ180" s="333">
        <f>IF($F180="",0,IF($F180="Weighted Average",$I180*VLOOKUP($D180&amp;" (Disposal)",Lists!$C$72:$R$232,COLUMNS(Lists!$C$69:O$69),0)*VLOOKUP(BO$3,Conversions!$B$12:$E$34,4,0),$I180*VLOOKUP($F180,Lists!$C$72:$R$232,COLUMNS(Lists!$C$69:O$69),0)*VLOOKUP(BO$3,Conversions!$B$12:$E$34,4,0)))</f>
        <v>0</v>
      </c>
      <c r="BA180" s="333">
        <f>IF($F180="",0,IF($F180="Weighted Average",$I180*VLOOKUP($D180&amp;" (Disposal)",Lists!$C$72:$R$232,COLUMNS(Lists!$C$69:P$69),0)*VLOOKUP(BP$3,Conversions!$B$12:$E$34,4,0),$I180*VLOOKUP($F180,Lists!$C$72:$R$232,COLUMNS(Lists!$C$69:P$69),0)*VLOOKUP(BP$3,Conversions!$B$12:$E$34,4,0)))</f>
        <v>0</v>
      </c>
      <c r="BB180" s="333">
        <f>IF($F180="",0,IF($F180="Weighted Average",$I180*VLOOKUP($D180&amp;" (Disposal)",Lists!$C$72:$R$232,COLUMNS(Lists!$C$69:Q$69),0)*VLOOKUP(BQ$3,Conversions!$B$12:$E$34,4,0),$I180*VLOOKUP($F180,Lists!$C$72:$R$232,COLUMNS(Lists!$C$69:Q$69),0)*VLOOKUP(BQ$3,Conversions!$B$12:$E$34,4,0)))</f>
        <v>0</v>
      </c>
      <c r="BC180" s="333">
        <f>IF($F180="",0,IF($F180="Weighted Average",$I180*VLOOKUP($D180&amp;" (Disposal)",Lists!$C$72:$R$232,COLUMNS(Lists!$C$69:R$69),0)*VLOOKUP(BR$3,Conversions!$B$12:$E$34,4,0),$I180*VLOOKUP($F180,Lists!$C$72:$R$232,COLUMNS(Lists!$C$69:R$69),0)*VLOOKUP(BR$3,Conversions!$B$12:$E$34,4,0)))</f>
        <v>0</v>
      </c>
      <c r="BD180" s="333">
        <f t="shared" si="236"/>
        <v>0</v>
      </c>
      <c r="BE180" s="330">
        <f t="shared" si="237"/>
        <v>0</v>
      </c>
      <c r="BF180" s="330">
        <f t="shared" si="238"/>
        <v>0</v>
      </c>
      <c r="BG180" s="330">
        <f t="shared" si="239"/>
        <v>0</v>
      </c>
      <c r="BH180" s="330">
        <f t="shared" si="240"/>
        <v>0</v>
      </c>
      <c r="BI180" s="330">
        <f t="shared" si="241"/>
        <v>0</v>
      </c>
      <c r="BJ180" s="330">
        <f t="shared" si="242"/>
        <v>0</v>
      </c>
      <c r="BK180" s="330">
        <f t="shared" si="243"/>
        <v>0</v>
      </c>
      <c r="BL180" s="330">
        <f t="shared" si="244"/>
        <v>0</v>
      </c>
      <c r="BM180" s="330">
        <f t="shared" si="245"/>
        <v>0</v>
      </c>
      <c r="BN180" s="330">
        <f t="shared" si="246"/>
        <v>0</v>
      </c>
      <c r="BO180" s="330">
        <f t="shared" si="247"/>
        <v>0</v>
      </c>
      <c r="BP180" s="330">
        <f t="shared" si="248"/>
        <v>0</v>
      </c>
      <c r="BQ180" s="330">
        <f t="shared" si="249"/>
        <v>0</v>
      </c>
      <c r="BR180" s="330">
        <f t="shared" si="250"/>
        <v>0</v>
      </c>
      <c r="BS180" s="330">
        <f t="shared" si="251"/>
        <v>0</v>
      </c>
      <c r="BT180" s="329">
        <f>IF($F180="",0,IF($F180="Weighted Average",$BS180*VLOOKUP($D180,'Default Values'!$B$78:$V$97,COLUMNS('Default Values'!$B$77:G$77),0),0))</f>
        <v>0</v>
      </c>
      <c r="BU180" s="329">
        <f>IF($F180="",0,IF($F180="Weighted Average",$BS180*VLOOKUP($D180,'Default Values'!$B$78:$V$97,COLUMNS('Default Values'!$B$77:H$77),0),0))</f>
        <v>0</v>
      </c>
      <c r="BV180" s="329">
        <f>IF($F180="",0,IF($F180="Weighted Average",$BS180*VLOOKUP($D180,'Default Values'!$B$78:$V$97,COLUMNS('Default Values'!$B$77:I$77),0),0))</f>
        <v>0</v>
      </c>
      <c r="BW180" s="329">
        <f>IF($F180="",0,IF($F180="Weighted Average",$BS180*VLOOKUP($D180,'Default Values'!$B$78:$V$97,COLUMNS('Default Values'!$B$77:J$77),0),0))</f>
        <v>0</v>
      </c>
      <c r="BX180" s="329">
        <f>IF($F180="",0,IF($F180="Weighted Average",$BS180*VLOOKUP($D180,'Default Values'!$B$78:$V$97,COLUMNS('Default Values'!$B$77:K$77),0),0))</f>
        <v>0</v>
      </c>
      <c r="BY180" s="329">
        <f>IF($F180="",0,IF($F180="Weighted Average",$BS180*VLOOKUP($D180,'Default Values'!$B$78:$V$97,COLUMNS('Default Values'!$B$77:L$77),0),0))</f>
        <v>0</v>
      </c>
      <c r="BZ180" s="329">
        <f>IF($F180="",0,IF($F180="Weighted Average",$BS180*VLOOKUP($D180,'Default Values'!$B$78:$V$97,COLUMNS('Default Values'!$B$77:M$77),0),0))</f>
        <v>0</v>
      </c>
      <c r="CA180" s="329">
        <f>IF($F180="",0,IF($F180="Weighted Average",$BS180*VLOOKUP($D180,'Default Values'!$B$78:$V$97,COLUMNS('Default Values'!$B$77:N$77),0),0))</f>
        <v>0</v>
      </c>
      <c r="CB180" s="329">
        <f>IF($F180="",0,IF($F180="Weighted Average",$BS180*VLOOKUP($D180,'Default Values'!$B$78:$V$97,COLUMNS('Default Values'!$B$77:O$77),0),0))</f>
        <v>0</v>
      </c>
      <c r="CC180" s="329">
        <f>IF($F180="",0,IF($F180="Weighted Average",$BS180*VLOOKUP($D180,'Default Values'!$B$78:$V$97,COLUMNS('Default Values'!$B$77:P$77),0),0))</f>
        <v>0</v>
      </c>
      <c r="CD180" s="329">
        <f>IF($F180="",0,IF($F180="Weighted Average",$BS180*VLOOKUP($D180,'Default Values'!$B$78:$V$97,COLUMNS('Default Values'!$B$77:Q$77),0),0))</f>
        <v>0</v>
      </c>
      <c r="CE180" s="329">
        <f>IF($F180="",0,IF($F180="Weighted Average",$BS180*VLOOKUP($D180,'Default Values'!$B$78:$V$97,COLUMNS('Default Values'!$B$77:R$77),0),0))</f>
        <v>0</v>
      </c>
      <c r="CF180" s="329">
        <f>IF($F180="",0,IF($F180="Weighted Average",$BS180*VLOOKUP($D180,'Default Values'!$B$78:$V$97,COLUMNS('Default Values'!$B$77:S$77),0),0))</f>
        <v>0</v>
      </c>
      <c r="CG180" s="329">
        <f>IF($F180="",0,IF($F180="Weighted Average",$BS180*VLOOKUP($D180,'Default Values'!$B$78:$V$97,COLUMNS('Default Values'!$B$77:T$77),0),0))</f>
        <v>0</v>
      </c>
      <c r="CH180" s="329">
        <f>IF($F180="",0,IF($F180="Weighted Average",$BS180*VLOOKUP($D180,'Default Values'!$B$78:$V$97,COLUMNS('Default Values'!$B$77:U$77),0),0))</f>
        <v>0</v>
      </c>
      <c r="CI180" s="329">
        <f>IF($F180="",0,IF($F180="Weighted Average",$BS180*VLOOKUP($D180,'Default Values'!$B$78:$V$97,COLUMNS('Default Values'!$B$77:V$77),0),0))</f>
        <v>0</v>
      </c>
      <c r="CJ180" s="331">
        <f t="shared" si="252"/>
        <v>0</v>
      </c>
      <c r="CK180" s="330">
        <f t="shared" si="253"/>
        <v>0</v>
      </c>
      <c r="CL180" s="330">
        <f t="shared" si="254"/>
        <v>0</v>
      </c>
      <c r="CM180" s="330">
        <f t="shared" si="255"/>
        <v>0</v>
      </c>
      <c r="CN180" s="330">
        <f t="shared" si="256"/>
        <v>0</v>
      </c>
      <c r="CO180" s="330">
        <f t="shared" si="257"/>
        <v>0</v>
      </c>
      <c r="CP180" s="330">
        <f t="shared" si="258"/>
        <v>0</v>
      </c>
      <c r="CQ180" s="330">
        <f t="shared" si="186"/>
        <v>0</v>
      </c>
      <c r="CR180" s="330">
        <f t="shared" si="259"/>
        <v>0</v>
      </c>
      <c r="CS180" s="330">
        <f t="shared" si="260"/>
        <v>0</v>
      </c>
      <c r="CT180" s="330">
        <f t="shared" si="261"/>
        <v>0</v>
      </c>
      <c r="CU180" s="330">
        <f t="shared" si="262"/>
        <v>0</v>
      </c>
      <c r="CV180" s="330">
        <f t="shared" si="262"/>
        <v>0</v>
      </c>
      <c r="CW180" s="330">
        <f t="shared" si="262"/>
        <v>0</v>
      </c>
      <c r="CX180" s="330">
        <f t="shared" si="262"/>
        <v>0</v>
      </c>
      <c r="CY180" s="330">
        <f t="shared" si="262"/>
        <v>0</v>
      </c>
      <c r="CZ180" s="330">
        <f t="shared" si="262"/>
        <v>0</v>
      </c>
      <c r="DA180" s="330">
        <f t="shared" si="262"/>
        <v>0</v>
      </c>
      <c r="DB180" s="330">
        <f t="shared" si="262"/>
        <v>0</v>
      </c>
      <c r="DC180" s="330">
        <f t="shared" si="262"/>
        <v>0</v>
      </c>
      <c r="DD180" s="330">
        <f t="shared" si="262"/>
        <v>0</v>
      </c>
      <c r="DE180" s="330">
        <f t="shared" si="263"/>
        <v>0</v>
      </c>
      <c r="DF180" s="330">
        <f t="shared" si="263"/>
        <v>0</v>
      </c>
      <c r="DG180" s="330">
        <f t="shared" si="263"/>
        <v>0</v>
      </c>
      <c r="DH180" s="330">
        <f t="shared" si="263"/>
        <v>0</v>
      </c>
      <c r="DI180" s="330">
        <f t="shared" si="263"/>
        <v>0</v>
      </c>
      <c r="DJ180" s="330">
        <f t="shared" si="263"/>
        <v>0</v>
      </c>
      <c r="DK180" s="330">
        <f t="shared" si="263"/>
        <v>0</v>
      </c>
      <c r="DL180" s="330">
        <f t="shared" si="263"/>
        <v>0</v>
      </c>
      <c r="DM180" s="330">
        <f t="shared" si="263"/>
        <v>0</v>
      </c>
      <c r="DN180" s="330">
        <f t="shared" si="263"/>
        <v>0</v>
      </c>
      <c r="DO180" s="330">
        <f t="shared" si="263"/>
        <v>0</v>
      </c>
      <c r="DP180" s="330">
        <f t="shared" si="264"/>
        <v>0</v>
      </c>
      <c r="DQ180" s="217"/>
      <c r="DR180" s="217"/>
      <c r="DS180" s="217"/>
      <c r="DT180" s="217"/>
    </row>
    <row r="181" spans="1:124" x14ac:dyDescent="0.3">
      <c r="A181" s="324"/>
      <c r="B181" s="221" t="s">
        <v>307</v>
      </c>
      <c r="C181" s="221" t="str">
        <f>IF('Simplified Screening 2'!C32=0,"",'Simplified Screening 2'!C32)</f>
        <v/>
      </c>
      <c r="D181" s="221" t="str">
        <f>IF('Simplified Screening 2'!D32=0,"",'Simplified Screening 2'!D32)</f>
        <v/>
      </c>
      <c r="E181" s="221"/>
      <c r="F181" s="221" t="str">
        <f>'Simplified Screening 2'!J32</f>
        <v/>
      </c>
      <c r="G181" s="335" t="str">
        <f>IF(D181="","",'Simplified Screening 2'!G32/1000*VLOOKUP(D181,'Default Values'!$B$78:$F$97,COLUMNS('Default Values'!$B$77:$D$77),0)/1000)</f>
        <v/>
      </c>
      <c r="H181" s="335" t="str">
        <f>IF(D181="","",'Simplified Screening 2'!G32/1000*VLOOKUP(D181,'Default Values'!$B$78:$F$97,COLUMNS('Default Values'!$B$77:$E$77),0)/1000)</f>
        <v/>
      </c>
      <c r="I181" s="335" t="str">
        <f>IF(D181="","",'Simplified Screening 2'!G32/1000*VLOOKUP(D181,'Default Values'!$B$78:$F$97,COLUMNS('Default Values'!$B$77:$F$77),0)/1000)</f>
        <v/>
      </c>
      <c r="J181" s="325">
        <f>IF('Simplified Screening 2'!H32=0,0,'Simplified Screening 2'!H32)</f>
        <v>0</v>
      </c>
      <c r="K181" s="465"/>
      <c r="L181" s="333">
        <f>IF($F181="",0,IF($F181="Weighted Average",$G181*VLOOKUP($D181&amp;" (Install)",Lists!$C$72:$R$232,COLUMNS(Lists!$C$69:E$69),0)*VLOOKUP(BE$3,Conversions!$B$12:$E$34,4,0),$G181*VLOOKUP($F181,Lists!$C$72:$R$232,COLUMNS(Lists!$C$69:E$69),0)*VLOOKUP(BE$3,Conversions!$B$12:$E$34,4,0)))</f>
        <v>0</v>
      </c>
      <c r="M181" s="333">
        <f>IF($F181="",0,IF($F181="Weighted Average",$G181*VLOOKUP($D181&amp;" (Install)",Lists!$C$72:$R$232,COLUMNS(Lists!$C$69:F$69),0)*VLOOKUP(BF$3,Conversions!$B$12:$E$34,4,0),$G181*VLOOKUP($F181,Lists!$C$72:$R$232,COLUMNS(Lists!$C$69:F$69),0)*VLOOKUP(BF$3,Conversions!$B$12:$E$34,4,0)))</f>
        <v>0</v>
      </c>
      <c r="N181" s="333">
        <f>IF($F181="",0,IF($F181="Weighted Average",$G181*VLOOKUP($D181&amp;" (Install)",Lists!$C$72:$R$232,COLUMNS(Lists!$C$69:G$69),0)*VLOOKUP(BG$3,Conversions!$B$12:$E$34,4,0),$G181*VLOOKUP($F181,Lists!$C$72:$R$232,COLUMNS(Lists!$C$69:G$69),0)*VLOOKUP(BG$3,Conversions!$B$12:$E$34,4,0)))</f>
        <v>0</v>
      </c>
      <c r="O181" s="333">
        <f>IF($F181="",0,IF($F181="Weighted Average",$G181*VLOOKUP($D181&amp;" (Install)",Lists!$C$72:$R$232,COLUMNS(Lists!$C$69:H$69),0)*VLOOKUP(BH$3,Conversions!$B$12:$E$34,4,0),$G181*VLOOKUP($F181,Lists!$C$72:$R$232,COLUMNS(Lists!$C$69:H$69),0)*VLOOKUP(BH$3,Conversions!$B$12:$E$34,4,0)))</f>
        <v>0</v>
      </c>
      <c r="P181" s="333">
        <f>IF($F181="",0,IF($F181="Weighted Average",$G181*VLOOKUP($D181&amp;" (Install)",Lists!$C$72:$R$232,COLUMNS(Lists!$C$69:I$69),0)*VLOOKUP(BI$3,Conversions!$B$12:$E$34,4,0),$G181*VLOOKUP($F181,Lists!$C$72:$R$232,COLUMNS(Lists!$C$69:I$69),0)*VLOOKUP(BI$3,Conversions!$B$12:$E$34,4,0)))</f>
        <v>0</v>
      </c>
      <c r="Q181" s="333">
        <f>IF($F181="",0,IF($F181="Weighted Average",$G181*VLOOKUP($D181&amp;" (Install)",Lists!$C$72:$R$232,COLUMNS(Lists!$C$69:J$69),0)*VLOOKUP(BJ$3,Conversions!$B$12:$E$34,4,0),$G181*VLOOKUP($F181,Lists!$C$72:$R$232,COLUMNS(Lists!$C$69:J$69),0)*VLOOKUP(BJ$3,Conversions!$B$12:$E$34,4,0)))</f>
        <v>0</v>
      </c>
      <c r="R181" s="333">
        <f>IF($F181="",0,IF($F181="Weighted Average",$G181*VLOOKUP($D181&amp;" (Install)",Lists!$C$72:$R$232,COLUMNS(Lists!$C$69:K$69),0)*VLOOKUP(BK$3,Conversions!$B$12:$E$34,4,0),$G181*VLOOKUP($F181,Lists!$C$72:$R$232,COLUMNS(Lists!$C$69:K$69),0)*VLOOKUP(BK$3,Conversions!$B$12:$E$34,4,0)))</f>
        <v>0</v>
      </c>
      <c r="S181" s="333">
        <f>IF($F181="",0,IF($F181="Weighted Average",$G181*VLOOKUP($D181&amp;" (Install)",Lists!$C$72:$R$232,COLUMNS(Lists!$C$69:L$69),0)*VLOOKUP(BL$3,Conversions!$B$12:$E$34,4,0),$G181*VLOOKUP($F181,Lists!$C$72:$R$232,COLUMNS(Lists!$C$69:L$69),0)*VLOOKUP(BL$3,Conversions!$B$12:$E$34,4,0)))</f>
        <v>0</v>
      </c>
      <c r="T181" s="333">
        <f>IF($F181="",0,IF($F181="Weighted Average",$G181*VLOOKUP($D181&amp;" (Install)",Lists!$C$72:$R$232,COLUMNS(Lists!$C$69:M$69),0)*VLOOKUP(BM$3,Conversions!$B$12:$E$34,4,0),$G181*VLOOKUP($F181,Lists!$C$72:$R$232,COLUMNS(Lists!$C$69:M$69),0)*VLOOKUP(BM$3,Conversions!$B$12:$E$34,4,0)))</f>
        <v>0</v>
      </c>
      <c r="U181" s="333">
        <f>IF($F181="",0,IF($F181="Weighted Average",$G181*VLOOKUP($D181&amp;" (Install)",Lists!$C$72:$R$232,COLUMNS(Lists!$C$69:N$69),0)*VLOOKUP(BN$3,Conversions!$B$12:$E$34,4,0),$G181*VLOOKUP($F181,Lists!$C$72:$R$232,COLUMNS(Lists!$C$69:N$69),0)*VLOOKUP(BN$3,Conversions!$B$12:$E$34,4,0)))</f>
        <v>0</v>
      </c>
      <c r="V181" s="333">
        <f>IF($F181="",0,IF($F181="Weighted Average",$G181*VLOOKUP($D181&amp;" (Install)",Lists!$C$72:$R$232,COLUMNS(Lists!$C$69:O$69),0)*VLOOKUP(BO$3,Conversions!$B$12:$E$34,4,0),$G181*VLOOKUP($F181,Lists!$C$72:$R$232,COLUMNS(Lists!$C$69:O$69),0)*VLOOKUP(BO$3,Conversions!$B$12:$E$34,4,0)))</f>
        <v>0</v>
      </c>
      <c r="W181" s="333">
        <f>IF($F181="",0,IF($F181="Weighted Average",$G181*VLOOKUP($D181&amp;" (Install)",Lists!$C$72:$R$232,COLUMNS(Lists!$C$69:P$69),0)*VLOOKUP(BP$3,Conversions!$B$12:$E$34,4,0),$G181*VLOOKUP($F181,Lists!$C$72:$R$232,COLUMNS(Lists!$C$69:P$69),0)*VLOOKUP(BP$3,Conversions!$B$12:$E$34,4,0)))</f>
        <v>0</v>
      </c>
      <c r="X181" s="333">
        <f>IF($F181="",0,IF($F181="Weighted Average",$G181*VLOOKUP($D181&amp;" (Install)",Lists!$C$72:$R$232,COLUMNS(Lists!$C$69:Q$69),0)*VLOOKUP(BQ$3,Conversions!$B$12:$E$34,4,0),$G181*VLOOKUP($F181,Lists!$C$72:$R$232,COLUMNS(Lists!$C$69:Q$69),0)*VLOOKUP(BQ$3,Conversions!$B$12:$E$34,4,0)))</f>
        <v>0</v>
      </c>
      <c r="Y181" s="333">
        <f>IF($F181="",0,IF($F181="Weighted Average",$G181*VLOOKUP($D181&amp;" (Install)",Lists!$C$72:$R$232,COLUMNS(Lists!$C$69:R$69),0)*VLOOKUP(BR$3,Conversions!$B$12:$E$34,4,0),$G181*VLOOKUP($F181,Lists!$C$72:$R$232,COLUMNS(Lists!$C$69:R$69),0)*VLOOKUP(BR$3,Conversions!$B$12:$E$34,4,0)))</f>
        <v>0</v>
      </c>
      <c r="Z181" s="325">
        <f t="shared" si="234"/>
        <v>0</v>
      </c>
      <c r="AA181" s="334">
        <f>IF($F181="",0,IF($F181="Weighted Average",$H181*VLOOKUP($D181&amp;" (Operation)",Lists!$C$72:$R$232,COLUMNS(Lists!$C$69:E$69),0)*VLOOKUP(BE$3,Conversions!$B$12:$E$34,4,0),$H181*VLOOKUP($F181,Lists!$C$72:$R$232,COLUMNS(Lists!$C$69:E$69),0)*VLOOKUP(BE$3,Conversions!$B$12:$E$34,4,0)))</f>
        <v>0</v>
      </c>
      <c r="AB181" s="334">
        <f>IF($F181="",0,IF($F181="Weighted Average",$H181*VLOOKUP($D181&amp;" (Operation)",Lists!$C$72:$R$232,COLUMNS(Lists!$C$69:F$69),0)*VLOOKUP(BF$3,Conversions!$B$12:$E$34,4,0),$H181*VLOOKUP($F181,Lists!$C$72:$R$232,COLUMNS(Lists!$C$69:F$69),0)*VLOOKUP(BF$3,Conversions!$B$12:$E$34,4,0)))</f>
        <v>0</v>
      </c>
      <c r="AC181" s="334">
        <f>IF($F181="",0,IF($F181="Weighted Average",$H181*VLOOKUP($D181&amp;" (Operation)",Lists!$C$72:$R$232,COLUMNS(Lists!$C$69:G$69),0)*VLOOKUP(BG$3,Conversions!$B$12:$E$34,4,0),$H181*VLOOKUP($F181,Lists!$C$72:$R$232,COLUMNS(Lists!$C$69:G$69),0)*VLOOKUP(BG$3,Conversions!$B$12:$E$34,4,0)))</f>
        <v>0</v>
      </c>
      <c r="AD181" s="334">
        <f>IF($F181="",0,IF($F181="Weighted Average",$H181*VLOOKUP($D181&amp;" (Operation)",Lists!$C$72:$R$232,COLUMNS(Lists!$C$69:H$69),0)*VLOOKUP(BH$3,Conversions!$B$12:$E$34,4,0),$H181*VLOOKUP($F181,Lists!$C$72:$R$232,COLUMNS(Lists!$C$69:H$69),0)*VLOOKUP(BH$3,Conversions!$B$12:$E$34,4,0)))</f>
        <v>0</v>
      </c>
      <c r="AE181" s="334">
        <f>IF($F181="",0,IF($F181="Weighted Average",$H181*VLOOKUP($D181&amp;" (Operation)",Lists!$C$72:$R$232,COLUMNS(Lists!$C$69:I$69),0)*VLOOKUP(BI$3,Conversions!$B$12:$E$34,4,0),$H181*VLOOKUP($F181,Lists!$C$72:$R$232,COLUMNS(Lists!$C$69:I$69),0)*VLOOKUP(BI$3,Conversions!$B$12:$E$34,4,0)))</f>
        <v>0</v>
      </c>
      <c r="AF181" s="334">
        <f>IF($F181="",0,IF($F181="Weighted Average",$H181*VLOOKUP($D181&amp;" (Operation)",Lists!$C$72:$R$232,COLUMNS(Lists!$C$69:J$69),0)*VLOOKUP(BJ$3,Conversions!$B$12:$E$34,4,0),$H181*VLOOKUP($F181,Lists!$C$72:$R$232,COLUMNS(Lists!$C$69:J$69),0)*VLOOKUP(BJ$3,Conversions!$B$12:$E$34,4,0)))</f>
        <v>0</v>
      </c>
      <c r="AG181" s="334">
        <f>IF($F181="",0,IF($F181="Weighted Average",$H181*VLOOKUP($D181&amp;" (Operation)",Lists!$C$72:$R$232,COLUMNS(Lists!$C$69:K$69),0)*VLOOKUP(BK$3,Conversions!$B$12:$E$34,4,0),$H181*VLOOKUP($F181,Lists!$C$72:$R$232,COLUMNS(Lists!$C$69:K$69),0)*VLOOKUP(BK$3,Conversions!$B$12:$E$34,4,0)))</f>
        <v>0</v>
      </c>
      <c r="AH181" s="334">
        <f>IF($F181="",0,IF($F181="Weighted Average",$H181*VLOOKUP($D181&amp;" (Operation)",Lists!$C$72:$R$232,COLUMNS(Lists!$C$69:L$69),0)*VLOOKUP(BL$3,Conversions!$B$12:$E$34,4,0),$H181*VLOOKUP($F181,Lists!$C$72:$R$232,COLUMNS(Lists!$C$69:L$69),0)*VLOOKUP(BL$3,Conversions!$B$12:$E$34,4,0)))</f>
        <v>0</v>
      </c>
      <c r="AI181" s="334">
        <f>IF($F181="",0,IF($F181="Weighted Average",$H181*VLOOKUP($D181&amp;" (Operation)",Lists!$C$72:$R$232,COLUMNS(Lists!$C$69:M$69),0)*VLOOKUP(BM$3,Conversions!$B$12:$E$34,4,0),$H181*VLOOKUP($F181,Lists!$C$72:$R$232,COLUMNS(Lists!$C$69:M$69),0)*VLOOKUP(BM$3,Conversions!$B$12:$E$34,4,0)))</f>
        <v>0</v>
      </c>
      <c r="AJ181" s="334">
        <f>IF($F181="",0,IF($F181="Weighted Average",$H181*VLOOKUP($D181&amp;" (Operation)",Lists!$C$72:$R$232,COLUMNS(Lists!$C$69:N$69),0)*VLOOKUP(BN$3,Conversions!$B$12:$E$34,4,0),$H181*VLOOKUP($F181,Lists!$C$72:$R$232,COLUMNS(Lists!$C$69:N$69),0)*VLOOKUP(BN$3,Conversions!$B$12:$E$34,4,0)))</f>
        <v>0</v>
      </c>
      <c r="AK181" s="334">
        <f>IF($F181="",0,IF($F181="Weighted Average",$H181*VLOOKUP($D181&amp;" (Operation)",Lists!$C$72:$R$232,COLUMNS(Lists!$C$69:O$69),0)*VLOOKUP(BO$3,Conversions!$B$12:$E$34,4,0),$H181*VLOOKUP($F181,Lists!$C$72:$R$232,COLUMNS(Lists!$C$69:O$69),0)*VLOOKUP(BO$3,Conversions!$B$12:$E$34,4,0)))</f>
        <v>0</v>
      </c>
      <c r="AL181" s="334">
        <f>IF($F181="",0,IF($F181="Weighted Average",$H181*VLOOKUP($D181&amp;" (Operation)",Lists!$C$72:$R$232,COLUMNS(Lists!$C$69:P$69),0)*VLOOKUP(BP$3,Conversions!$B$12:$E$34,4,0),$H181*VLOOKUP($F181,Lists!$C$72:$R$232,COLUMNS(Lists!$C$69:P$69),0)*VLOOKUP(BP$3,Conversions!$B$12:$E$34,4,0)))</f>
        <v>0</v>
      </c>
      <c r="AM181" s="334">
        <f>IF($F181="",0,IF($F181="Weighted Average",$H181*VLOOKUP($D181&amp;" (Operation)",Lists!$C$72:$R$232,COLUMNS(Lists!$C$69:Q$69),0)*VLOOKUP(BQ$3,Conversions!$B$12:$E$34,4,0),$H181*VLOOKUP($F181,Lists!$C$72:$R$232,COLUMNS(Lists!$C$69:Q$69),0)*VLOOKUP(BQ$3,Conversions!$B$12:$E$34,4,0)))</f>
        <v>0</v>
      </c>
      <c r="AN181" s="334">
        <f>IF($F181="",0,IF($F181="Weighted Average",$H181*VLOOKUP($D181&amp;" (Operation)",Lists!$C$72:$R$232,COLUMNS(Lists!$C$69:R$69),0)*VLOOKUP(BR$3,Conversions!$B$12:$E$34,4,0),$H181*VLOOKUP($F181,Lists!$C$72:$R$232,COLUMNS(Lists!$C$69:R$69),0)*VLOOKUP(BR$3,Conversions!$B$12:$E$34,4,0)))</f>
        <v>0</v>
      </c>
      <c r="AO181" s="330">
        <f t="shared" si="235"/>
        <v>0</v>
      </c>
      <c r="AP181" s="333">
        <f>IF($F181="",0,IF($F181="Weighted Average",$I181*VLOOKUP($D181&amp;" (Disposal)",Lists!$C$72:$R$232,COLUMNS(Lists!$C$69:E$69),0)*VLOOKUP(BE$3,Conversions!$B$12:$E$34,4,0),$I181*VLOOKUP($F181,Lists!$C$72:$R$232,COLUMNS(Lists!$C$69:E$69),0)*VLOOKUP(BE$3,Conversions!$B$12:$E$34,4,0)))</f>
        <v>0</v>
      </c>
      <c r="AQ181" s="333">
        <f>IF($F181="",0,IF($F181="Weighted Average",$I181*VLOOKUP($D181&amp;" (Disposal)",Lists!$C$72:$R$232,COLUMNS(Lists!$C$69:F$69),0)*VLOOKUP(BF$3,Conversions!$B$12:$E$34,4,0),$I181*VLOOKUP($F181,Lists!$C$72:$R$232,COLUMNS(Lists!$C$69:F$69),0)*VLOOKUP(BF$3,Conversions!$B$12:$E$34,4,0)))</f>
        <v>0</v>
      </c>
      <c r="AR181" s="333">
        <f>IF($F181="",0,IF($F181="Weighted Average",$I181*VLOOKUP($D181&amp;" (Disposal)",Lists!$C$72:$R$232,COLUMNS(Lists!$C$69:G$69),0)*VLOOKUP(BG$3,Conversions!$B$12:$E$34,4,0),$I181*VLOOKUP($F181,Lists!$C$72:$R$232,COLUMNS(Lists!$C$69:G$69),0)*VLOOKUP(BG$3,Conversions!$B$12:$E$34,4,0)))</f>
        <v>0</v>
      </c>
      <c r="AS181" s="333">
        <f>IF($F181="",0,IF($F181="Weighted Average",$I181*VLOOKUP($D181&amp;" (Disposal)",Lists!$C$72:$R$232,COLUMNS(Lists!$C$69:H$69),0)*VLOOKUP(BH$3,Conversions!$B$12:$E$34,4,0),$I181*VLOOKUP($F181,Lists!$C$72:$R$232,COLUMNS(Lists!$C$69:H$69),0)*VLOOKUP(BH$3,Conversions!$B$12:$E$34,4,0)))</f>
        <v>0</v>
      </c>
      <c r="AT181" s="333">
        <f>IF($F181="",0,IF($F181="Weighted Average",$I181*VLOOKUP($D181&amp;" (Disposal)",Lists!$C$72:$R$232,COLUMNS(Lists!$C$69:I$69),0)*VLOOKUP(BI$3,Conversions!$B$12:$E$34,4,0),$I181*VLOOKUP($F181,Lists!$C$72:$R$232,COLUMNS(Lists!$C$69:I$69),0)*VLOOKUP(BI$3,Conversions!$B$12:$E$34,4,0)))</f>
        <v>0</v>
      </c>
      <c r="AU181" s="333">
        <f>IF($F181="",0,IF($F181="Weighted Average",$I181*VLOOKUP($D181&amp;" (Disposal)",Lists!$C$72:$R$232,COLUMNS(Lists!$C$69:J$69),0)*VLOOKUP(BJ$3,Conversions!$B$12:$E$34,4,0),$I181*VLOOKUP($F181,Lists!$C$72:$R$232,COLUMNS(Lists!$C$69:J$69),0)*VLOOKUP(BJ$3,Conversions!$B$12:$E$34,4,0)))</f>
        <v>0</v>
      </c>
      <c r="AV181" s="333">
        <f>IF($F181="",0,IF($F181="Weighted Average",$I181*VLOOKUP($D181&amp;" (Disposal)",Lists!$C$72:$R$232,COLUMNS(Lists!$C$69:K$69),0)*VLOOKUP(BK$3,Conversions!$B$12:$E$34,4,0),$I181*VLOOKUP($F181,Lists!$C$72:$R$232,COLUMNS(Lists!$C$69:K$69),0)*VLOOKUP(BK$3,Conversions!$B$12:$E$34,4,0)))</f>
        <v>0</v>
      </c>
      <c r="AW181" s="333">
        <f>IF($F181="",0,IF($F181="Weighted Average",$I181*VLOOKUP($D181&amp;" (Disposal)",Lists!$C$72:$R$232,COLUMNS(Lists!$C$69:L$69),0)*VLOOKUP(BL$3,Conversions!$B$12:$E$34,4,0),$I181*VLOOKUP($F181,Lists!$C$72:$R$232,COLUMNS(Lists!$C$69:L$69),0)*VLOOKUP(BL$3,Conversions!$B$12:$E$34,4,0)))</f>
        <v>0</v>
      </c>
      <c r="AX181" s="333">
        <f>IF($F181="",0,IF($F181="Weighted Average",$I181*VLOOKUP($D181&amp;" (Disposal)",Lists!$C$72:$R$232,COLUMNS(Lists!$C$69:M$69),0)*VLOOKUP(BM$3,Conversions!$B$12:$E$34,4,0),$I181*VLOOKUP($F181,Lists!$C$72:$R$232,COLUMNS(Lists!$C$69:M$69),0)*VLOOKUP(BM$3,Conversions!$B$12:$E$34,4,0)))</f>
        <v>0</v>
      </c>
      <c r="AY181" s="333">
        <f>IF($F181="",0,IF($F181="Weighted Average",$I181*VLOOKUP($D181&amp;" (Disposal)",Lists!$C$72:$R$232,COLUMNS(Lists!$C$69:N$69),0)*VLOOKUP(BN$3,Conversions!$B$12:$E$34,4,0),$I181*VLOOKUP($F181,Lists!$C$72:$R$232,COLUMNS(Lists!$C$69:N$69),0)*VLOOKUP(BN$3,Conversions!$B$12:$E$34,4,0)))</f>
        <v>0</v>
      </c>
      <c r="AZ181" s="333">
        <f>IF($F181="",0,IF($F181="Weighted Average",$I181*VLOOKUP($D181&amp;" (Disposal)",Lists!$C$72:$R$232,COLUMNS(Lists!$C$69:O$69),0)*VLOOKUP(BO$3,Conversions!$B$12:$E$34,4,0),$I181*VLOOKUP($F181,Lists!$C$72:$R$232,COLUMNS(Lists!$C$69:O$69),0)*VLOOKUP(BO$3,Conversions!$B$12:$E$34,4,0)))</f>
        <v>0</v>
      </c>
      <c r="BA181" s="333">
        <f>IF($F181="",0,IF($F181="Weighted Average",$I181*VLOOKUP($D181&amp;" (Disposal)",Lists!$C$72:$R$232,COLUMNS(Lists!$C$69:P$69),0)*VLOOKUP(BP$3,Conversions!$B$12:$E$34,4,0),$I181*VLOOKUP($F181,Lists!$C$72:$R$232,COLUMNS(Lists!$C$69:P$69),0)*VLOOKUP(BP$3,Conversions!$B$12:$E$34,4,0)))</f>
        <v>0</v>
      </c>
      <c r="BB181" s="333">
        <f>IF($F181="",0,IF($F181="Weighted Average",$I181*VLOOKUP($D181&amp;" (Disposal)",Lists!$C$72:$R$232,COLUMNS(Lists!$C$69:Q$69),0)*VLOOKUP(BQ$3,Conversions!$B$12:$E$34,4,0),$I181*VLOOKUP($F181,Lists!$C$72:$R$232,COLUMNS(Lists!$C$69:Q$69),0)*VLOOKUP(BQ$3,Conversions!$B$12:$E$34,4,0)))</f>
        <v>0</v>
      </c>
      <c r="BC181" s="333">
        <f>IF($F181="",0,IF($F181="Weighted Average",$I181*VLOOKUP($D181&amp;" (Disposal)",Lists!$C$72:$R$232,COLUMNS(Lists!$C$69:R$69),0)*VLOOKUP(BR$3,Conversions!$B$12:$E$34,4,0),$I181*VLOOKUP($F181,Lists!$C$72:$R$232,COLUMNS(Lists!$C$69:R$69),0)*VLOOKUP(BR$3,Conversions!$B$12:$E$34,4,0)))</f>
        <v>0</v>
      </c>
      <c r="BD181" s="333">
        <f t="shared" si="236"/>
        <v>0</v>
      </c>
      <c r="BE181" s="330">
        <f t="shared" si="237"/>
        <v>0</v>
      </c>
      <c r="BF181" s="330">
        <f t="shared" si="238"/>
        <v>0</v>
      </c>
      <c r="BG181" s="330">
        <f t="shared" si="239"/>
        <v>0</v>
      </c>
      <c r="BH181" s="330">
        <f t="shared" si="240"/>
        <v>0</v>
      </c>
      <c r="BI181" s="330">
        <f t="shared" si="241"/>
        <v>0</v>
      </c>
      <c r="BJ181" s="330">
        <f t="shared" si="242"/>
        <v>0</v>
      </c>
      <c r="BK181" s="330">
        <f t="shared" si="243"/>
        <v>0</v>
      </c>
      <c r="BL181" s="330">
        <f t="shared" si="244"/>
        <v>0</v>
      </c>
      <c r="BM181" s="330">
        <f t="shared" si="245"/>
        <v>0</v>
      </c>
      <c r="BN181" s="330">
        <f t="shared" si="246"/>
        <v>0</v>
      </c>
      <c r="BO181" s="330">
        <f t="shared" si="247"/>
        <v>0</v>
      </c>
      <c r="BP181" s="330">
        <f t="shared" si="248"/>
        <v>0</v>
      </c>
      <c r="BQ181" s="330">
        <f t="shared" si="249"/>
        <v>0</v>
      </c>
      <c r="BR181" s="330">
        <f t="shared" si="250"/>
        <v>0</v>
      </c>
      <c r="BS181" s="330">
        <f t="shared" si="251"/>
        <v>0</v>
      </c>
      <c r="BT181" s="329">
        <f>IF($F181="",0,IF($F181="Weighted Average",$BS181*VLOOKUP($D181,'Default Values'!$B$78:$V$97,COLUMNS('Default Values'!$B$77:G$77),0),0))</f>
        <v>0</v>
      </c>
      <c r="BU181" s="329">
        <f>IF($F181="",0,IF($F181="Weighted Average",$BS181*VLOOKUP($D181,'Default Values'!$B$78:$V$97,COLUMNS('Default Values'!$B$77:H$77),0),0))</f>
        <v>0</v>
      </c>
      <c r="BV181" s="329">
        <f>IF($F181="",0,IF($F181="Weighted Average",$BS181*VLOOKUP($D181,'Default Values'!$B$78:$V$97,COLUMNS('Default Values'!$B$77:I$77),0),0))</f>
        <v>0</v>
      </c>
      <c r="BW181" s="329">
        <f>IF($F181="",0,IF($F181="Weighted Average",$BS181*VLOOKUP($D181,'Default Values'!$B$78:$V$97,COLUMNS('Default Values'!$B$77:J$77),0),0))</f>
        <v>0</v>
      </c>
      <c r="BX181" s="329">
        <f>IF($F181="",0,IF($F181="Weighted Average",$BS181*VLOOKUP($D181,'Default Values'!$B$78:$V$97,COLUMNS('Default Values'!$B$77:K$77),0),0))</f>
        <v>0</v>
      </c>
      <c r="BY181" s="329">
        <f>IF($F181="",0,IF($F181="Weighted Average",$BS181*VLOOKUP($D181,'Default Values'!$B$78:$V$97,COLUMNS('Default Values'!$B$77:L$77),0),0))</f>
        <v>0</v>
      </c>
      <c r="BZ181" s="329">
        <f>IF($F181="",0,IF($F181="Weighted Average",$BS181*VLOOKUP($D181,'Default Values'!$B$78:$V$97,COLUMNS('Default Values'!$B$77:M$77),0),0))</f>
        <v>0</v>
      </c>
      <c r="CA181" s="329">
        <f>IF($F181="",0,IF($F181="Weighted Average",$BS181*VLOOKUP($D181,'Default Values'!$B$78:$V$97,COLUMNS('Default Values'!$B$77:N$77),0),0))</f>
        <v>0</v>
      </c>
      <c r="CB181" s="329">
        <f>IF($F181="",0,IF($F181="Weighted Average",$BS181*VLOOKUP($D181,'Default Values'!$B$78:$V$97,COLUMNS('Default Values'!$B$77:O$77),0),0))</f>
        <v>0</v>
      </c>
      <c r="CC181" s="329">
        <f>IF($F181="",0,IF($F181="Weighted Average",$BS181*VLOOKUP($D181,'Default Values'!$B$78:$V$97,COLUMNS('Default Values'!$B$77:P$77),0),0))</f>
        <v>0</v>
      </c>
      <c r="CD181" s="329">
        <f>IF($F181="",0,IF($F181="Weighted Average",$BS181*VLOOKUP($D181,'Default Values'!$B$78:$V$97,COLUMNS('Default Values'!$B$77:Q$77),0),0))</f>
        <v>0</v>
      </c>
      <c r="CE181" s="329">
        <f>IF($F181="",0,IF($F181="Weighted Average",$BS181*VLOOKUP($D181,'Default Values'!$B$78:$V$97,COLUMNS('Default Values'!$B$77:R$77),0),0))</f>
        <v>0</v>
      </c>
      <c r="CF181" s="329">
        <f>IF($F181="",0,IF($F181="Weighted Average",$BS181*VLOOKUP($D181,'Default Values'!$B$78:$V$97,COLUMNS('Default Values'!$B$77:S$77),0),0))</f>
        <v>0</v>
      </c>
      <c r="CG181" s="329">
        <f>IF($F181="",0,IF($F181="Weighted Average",$BS181*VLOOKUP($D181,'Default Values'!$B$78:$V$97,COLUMNS('Default Values'!$B$77:T$77),0),0))</f>
        <v>0</v>
      </c>
      <c r="CH181" s="329">
        <f>IF($F181="",0,IF($F181="Weighted Average",$BS181*VLOOKUP($D181,'Default Values'!$B$78:$V$97,COLUMNS('Default Values'!$B$77:U$77),0),0))</f>
        <v>0</v>
      </c>
      <c r="CI181" s="329">
        <f>IF($F181="",0,IF($F181="Weighted Average",$BS181*VLOOKUP($D181,'Default Values'!$B$78:$V$97,COLUMNS('Default Values'!$B$77:V$77),0),0))</f>
        <v>0</v>
      </c>
      <c r="CJ181" s="331">
        <f t="shared" si="252"/>
        <v>0</v>
      </c>
      <c r="CK181" s="330">
        <f t="shared" si="253"/>
        <v>0</v>
      </c>
      <c r="CL181" s="330">
        <f t="shared" si="254"/>
        <v>0</v>
      </c>
      <c r="CM181" s="330">
        <f t="shared" si="255"/>
        <v>0</v>
      </c>
      <c r="CN181" s="330">
        <f t="shared" si="256"/>
        <v>0</v>
      </c>
      <c r="CO181" s="330">
        <f t="shared" si="257"/>
        <v>0</v>
      </c>
      <c r="CP181" s="330">
        <f t="shared" si="258"/>
        <v>0</v>
      </c>
      <c r="CQ181" s="330">
        <f t="shared" si="186"/>
        <v>0</v>
      </c>
      <c r="CR181" s="330">
        <f t="shared" si="259"/>
        <v>0</v>
      </c>
      <c r="CS181" s="330">
        <f t="shared" si="260"/>
        <v>0</v>
      </c>
      <c r="CT181" s="330">
        <f t="shared" si="261"/>
        <v>0</v>
      </c>
      <c r="CU181" s="330">
        <f t="shared" si="262"/>
        <v>0</v>
      </c>
      <c r="CV181" s="330">
        <f t="shared" si="262"/>
        <v>0</v>
      </c>
      <c r="CW181" s="330">
        <f t="shared" si="262"/>
        <v>0</v>
      </c>
      <c r="CX181" s="330">
        <f t="shared" si="262"/>
        <v>0</v>
      </c>
      <c r="CY181" s="330">
        <f t="shared" si="262"/>
        <v>0</v>
      </c>
      <c r="CZ181" s="330">
        <f t="shared" si="262"/>
        <v>0</v>
      </c>
      <c r="DA181" s="330">
        <f t="shared" si="262"/>
        <v>0</v>
      </c>
      <c r="DB181" s="330">
        <f t="shared" si="262"/>
        <v>0</v>
      </c>
      <c r="DC181" s="330">
        <f t="shared" si="262"/>
        <v>0</v>
      </c>
      <c r="DD181" s="330">
        <f t="shared" si="262"/>
        <v>0</v>
      </c>
      <c r="DE181" s="330">
        <f t="shared" si="263"/>
        <v>0</v>
      </c>
      <c r="DF181" s="330">
        <f t="shared" si="263"/>
        <v>0</v>
      </c>
      <c r="DG181" s="330">
        <f t="shared" si="263"/>
        <v>0</v>
      </c>
      <c r="DH181" s="330">
        <f t="shared" si="263"/>
        <v>0</v>
      </c>
      <c r="DI181" s="330">
        <f t="shared" si="263"/>
        <v>0</v>
      </c>
      <c r="DJ181" s="330">
        <f t="shared" si="263"/>
        <v>0</v>
      </c>
      <c r="DK181" s="330">
        <f t="shared" si="263"/>
        <v>0</v>
      </c>
      <c r="DL181" s="330">
        <f t="shared" si="263"/>
        <v>0</v>
      </c>
      <c r="DM181" s="330">
        <f t="shared" si="263"/>
        <v>0</v>
      </c>
      <c r="DN181" s="330">
        <f t="shared" si="263"/>
        <v>0</v>
      </c>
      <c r="DO181" s="330">
        <f t="shared" si="263"/>
        <v>0</v>
      </c>
      <c r="DP181" s="330">
        <f t="shared" si="264"/>
        <v>0</v>
      </c>
      <c r="DQ181" s="217"/>
      <c r="DR181" s="217"/>
      <c r="DS181" s="217"/>
      <c r="DT181" s="217"/>
    </row>
    <row r="182" spans="1:124" x14ac:dyDescent="0.3">
      <c r="A182" s="324"/>
      <c r="B182" s="221" t="s">
        <v>307</v>
      </c>
      <c r="C182" s="221" t="str">
        <f>IF('Simplified Screening 2'!C33=0,"",'Simplified Screening 2'!C33)</f>
        <v/>
      </c>
      <c r="D182" s="221" t="str">
        <f>IF('Simplified Screening 2'!D33=0,"",'Simplified Screening 2'!D33)</f>
        <v/>
      </c>
      <c r="E182" s="221"/>
      <c r="F182" s="221" t="str">
        <f>'Simplified Screening 2'!J33</f>
        <v/>
      </c>
      <c r="G182" s="335" t="str">
        <f>IF(D182="","",'Simplified Screening 2'!G33/1000*VLOOKUP(D182,'Default Values'!$B$78:$F$97,COLUMNS('Default Values'!$B$77:$D$77),0)/1000)</f>
        <v/>
      </c>
      <c r="H182" s="335" t="str">
        <f>IF(D182="","",'Simplified Screening 2'!G33/1000*VLOOKUP(D182,'Default Values'!$B$78:$F$97,COLUMNS('Default Values'!$B$77:$E$77),0)/1000)</f>
        <v/>
      </c>
      <c r="I182" s="335" t="str">
        <f>IF(D182="","",'Simplified Screening 2'!G33/1000*VLOOKUP(D182,'Default Values'!$B$78:$F$97,COLUMNS('Default Values'!$B$77:$F$77),0)/1000)</f>
        <v/>
      </c>
      <c r="J182" s="325">
        <f>IF('Simplified Screening 2'!H33=0,0,'Simplified Screening 2'!H33)</f>
        <v>0</v>
      </c>
      <c r="K182" s="465"/>
      <c r="L182" s="333">
        <f>IF($F182="",0,IF($F182="Weighted Average",$G182*VLOOKUP($D182&amp;" (Install)",Lists!$C$72:$R$232,COLUMNS(Lists!$C$69:E$69),0)*VLOOKUP(BE$3,Conversions!$B$12:$E$34,4,0),$G182*VLOOKUP($F182,Lists!$C$72:$R$232,COLUMNS(Lists!$C$69:E$69),0)*VLOOKUP(BE$3,Conversions!$B$12:$E$34,4,0)))</f>
        <v>0</v>
      </c>
      <c r="M182" s="333">
        <f>IF($F182="",0,IF($F182="Weighted Average",$G182*VLOOKUP($D182&amp;" (Install)",Lists!$C$72:$R$232,COLUMNS(Lists!$C$69:F$69),0)*VLOOKUP(BF$3,Conversions!$B$12:$E$34,4,0),$G182*VLOOKUP($F182,Lists!$C$72:$R$232,COLUMNS(Lists!$C$69:F$69),0)*VLOOKUP(BF$3,Conversions!$B$12:$E$34,4,0)))</f>
        <v>0</v>
      </c>
      <c r="N182" s="333">
        <f>IF($F182="",0,IF($F182="Weighted Average",$G182*VLOOKUP($D182&amp;" (Install)",Lists!$C$72:$R$232,COLUMNS(Lists!$C$69:G$69),0)*VLOOKUP(BG$3,Conversions!$B$12:$E$34,4,0),$G182*VLOOKUP($F182,Lists!$C$72:$R$232,COLUMNS(Lists!$C$69:G$69),0)*VLOOKUP(BG$3,Conversions!$B$12:$E$34,4,0)))</f>
        <v>0</v>
      </c>
      <c r="O182" s="333">
        <f>IF($F182="",0,IF($F182="Weighted Average",$G182*VLOOKUP($D182&amp;" (Install)",Lists!$C$72:$R$232,COLUMNS(Lists!$C$69:H$69),0)*VLOOKUP(BH$3,Conversions!$B$12:$E$34,4,0),$G182*VLOOKUP($F182,Lists!$C$72:$R$232,COLUMNS(Lists!$C$69:H$69),0)*VLOOKUP(BH$3,Conversions!$B$12:$E$34,4,0)))</f>
        <v>0</v>
      </c>
      <c r="P182" s="333">
        <f>IF($F182="",0,IF($F182="Weighted Average",$G182*VLOOKUP($D182&amp;" (Install)",Lists!$C$72:$R$232,COLUMNS(Lists!$C$69:I$69),0)*VLOOKUP(BI$3,Conversions!$B$12:$E$34,4,0),$G182*VLOOKUP($F182,Lists!$C$72:$R$232,COLUMNS(Lists!$C$69:I$69),0)*VLOOKUP(BI$3,Conversions!$B$12:$E$34,4,0)))</f>
        <v>0</v>
      </c>
      <c r="Q182" s="333">
        <f>IF($F182="",0,IF($F182="Weighted Average",$G182*VLOOKUP($D182&amp;" (Install)",Lists!$C$72:$R$232,COLUMNS(Lists!$C$69:J$69),0)*VLOOKUP(BJ$3,Conversions!$B$12:$E$34,4,0),$G182*VLOOKUP($F182,Lists!$C$72:$R$232,COLUMNS(Lists!$C$69:J$69),0)*VLOOKUP(BJ$3,Conversions!$B$12:$E$34,4,0)))</f>
        <v>0</v>
      </c>
      <c r="R182" s="333">
        <f>IF($F182="",0,IF($F182="Weighted Average",$G182*VLOOKUP($D182&amp;" (Install)",Lists!$C$72:$R$232,COLUMNS(Lists!$C$69:K$69),0)*VLOOKUP(BK$3,Conversions!$B$12:$E$34,4,0),$G182*VLOOKUP($F182,Lists!$C$72:$R$232,COLUMNS(Lists!$C$69:K$69),0)*VLOOKUP(BK$3,Conversions!$B$12:$E$34,4,0)))</f>
        <v>0</v>
      </c>
      <c r="S182" s="333">
        <f>IF($F182="",0,IF($F182="Weighted Average",$G182*VLOOKUP($D182&amp;" (Install)",Lists!$C$72:$R$232,COLUMNS(Lists!$C$69:L$69),0)*VLOOKUP(BL$3,Conversions!$B$12:$E$34,4,0),$G182*VLOOKUP($F182,Lists!$C$72:$R$232,COLUMNS(Lists!$C$69:L$69),0)*VLOOKUP(BL$3,Conversions!$B$12:$E$34,4,0)))</f>
        <v>0</v>
      </c>
      <c r="T182" s="333">
        <f>IF($F182="",0,IF($F182="Weighted Average",$G182*VLOOKUP($D182&amp;" (Install)",Lists!$C$72:$R$232,COLUMNS(Lists!$C$69:M$69),0)*VLOOKUP(BM$3,Conversions!$B$12:$E$34,4,0),$G182*VLOOKUP($F182,Lists!$C$72:$R$232,COLUMNS(Lists!$C$69:M$69),0)*VLOOKUP(BM$3,Conversions!$B$12:$E$34,4,0)))</f>
        <v>0</v>
      </c>
      <c r="U182" s="333">
        <f>IF($F182="",0,IF($F182="Weighted Average",$G182*VLOOKUP($D182&amp;" (Install)",Lists!$C$72:$R$232,COLUMNS(Lists!$C$69:N$69),0)*VLOOKUP(BN$3,Conversions!$B$12:$E$34,4,0),$G182*VLOOKUP($F182,Lists!$C$72:$R$232,COLUMNS(Lists!$C$69:N$69),0)*VLOOKUP(BN$3,Conversions!$B$12:$E$34,4,0)))</f>
        <v>0</v>
      </c>
      <c r="V182" s="333">
        <f>IF($F182="",0,IF($F182="Weighted Average",$G182*VLOOKUP($D182&amp;" (Install)",Lists!$C$72:$R$232,COLUMNS(Lists!$C$69:O$69),0)*VLOOKUP(BO$3,Conversions!$B$12:$E$34,4,0),$G182*VLOOKUP($F182,Lists!$C$72:$R$232,COLUMNS(Lists!$C$69:O$69),0)*VLOOKUP(BO$3,Conversions!$B$12:$E$34,4,0)))</f>
        <v>0</v>
      </c>
      <c r="W182" s="333">
        <f>IF($F182="",0,IF($F182="Weighted Average",$G182*VLOOKUP($D182&amp;" (Install)",Lists!$C$72:$R$232,COLUMNS(Lists!$C$69:P$69),0)*VLOOKUP(BP$3,Conversions!$B$12:$E$34,4,0),$G182*VLOOKUP($F182,Lists!$C$72:$R$232,COLUMNS(Lists!$C$69:P$69),0)*VLOOKUP(BP$3,Conversions!$B$12:$E$34,4,0)))</f>
        <v>0</v>
      </c>
      <c r="X182" s="333">
        <f>IF($F182="",0,IF($F182="Weighted Average",$G182*VLOOKUP($D182&amp;" (Install)",Lists!$C$72:$R$232,COLUMNS(Lists!$C$69:Q$69),0)*VLOOKUP(BQ$3,Conversions!$B$12:$E$34,4,0),$G182*VLOOKUP($F182,Lists!$C$72:$R$232,COLUMNS(Lists!$C$69:Q$69),0)*VLOOKUP(BQ$3,Conversions!$B$12:$E$34,4,0)))</f>
        <v>0</v>
      </c>
      <c r="Y182" s="333">
        <f>IF($F182="",0,IF($F182="Weighted Average",$G182*VLOOKUP($D182&amp;" (Install)",Lists!$C$72:$R$232,COLUMNS(Lists!$C$69:R$69),0)*VLOOKUP(BR$3,Conversions!$B$12:$E$34,4,0),$G182*VLOOKUP($F182,Lists!$C$72:$R$232,COLUMNS(Lists!$C$69:R$69),0)*VLOOKUP(BR$3,Conversions!$B$12:$E$34,4,0)))</f>
        <v>0</v>
      </c>
      <c r="Z182" s="325">
        <f t="shared" si="234"/>
        <v>0</v>
      </c>
      <c r="AA182" s="334">
        <f>IF($F182="",0,IF($F182="Weighted Average",$H182*VLOOKUP($D182&amp;" (Operation)",Lists!$C$72:$R$232,COLUMNS(Lists!$C$69:E$69),0)*VLOOKUP(BE$3,Conversions!$B$12:$E$34,4,0),$H182*VLOOKUP($F182,Lists!$C$72:$R$232,COLUMNS(Lists!$C$69:E$69),0)*VLOOKUP(BE$3,Conversions!$B$12:$E$34,4,0)))</f>
        <v>0</v>
      </c>
      <c r="AB182" s="334">
        <f>IF($F182="",0,IF($F182="Weighted Average",$H182*VLOOKUP($D182&amp;" (Operation)",Lists!$C$72:$R$232,COLUMNS(Lists!$C$69:F$69),0)*VLOOKUP(BF$3,Conversions!$B$12:$E$34,4,0),$H182*VLOOKUP($F182,Lists!$C$72:$R$232,COLUMNS(Lists!$C$69:F$69),0)*VLOOKUP(BF$3,Conversions!$B$12:$E$34,4,0)))</f>
        <v>0</v>
      </c>
      <c r="AC182" s="334">
        <f>IF($F182="",0,IF($F182="Weighted Average",$H182*VLOOKUP($D182&amp;" (Operation)",Lists!$C$72:$R$232,COLUMNS(Lists!$C$69:G$69),0)*VLOOKUP(BG$3,Conversions!$B$12:$E$34,4,0),$H182*VLOOKUP($F182,Lists!$C$72:$R$232,COLUMNS(Lists!$C$69:G$69),0)*VLOOKUP(BG$3,Conversions!$B$12:$E$34,4,0)))</f>
        <v>0</v>
      </c>
      <c r="AD182" s="334">
        <f>IF($F182="",0,IF($F182="Weighted Average",$H182*VLOOKUP($D182&amp;" (Operation)",Lists!$C$72:$R$232,COLUMNS(Lists!$C$69:H$69),0)*VLOOKUP(BH$3,Conversions!$B$12:$E$34,4,0),$H182*VLOOKUP($F182,Lists!$C$72:$R$232,COLUMNS(Lists!$C$69:H$69),0)*VLOOKUP(BH$3,Conversions!$B$12:$E$34,4,0)))</f>
        <v>0</v>
      </c>
      <c r="AE182" s="334">
        <f>IF($F182="",0,IF($F182="Weighted Average",$H182*VLOOKUP($D182&amp;" (Operation)",Lists!$C$72:$R$232,COLUMNS(Lists!$C$69:I$69),0)*VLOOKUP(BI$3,Conversions!$B$12:$E$34,4,0),$H182*VLOOKUP($F182,Lists!$C$72:$R$232,COLUMNS(Lists!$C$69:I$69),0)*VLOOKUP(BI$3,Conversions!$B$12:$E$34,4,0)))</f>
        <v>0</v>
      </c>
      <c r="AF182" s="334">
        <f>IF($F182="",0,IF($F182="Weighted Average",$H182*VLOOKUP($D182&amp;" (Operation)",Lists!$C$72:$R$232,COLUMNS(Lists!$C$69:J$69),0)*VLOOKUP(BJ$3,Conversions!$B$12:$E$34,4,0),$H182*VLOOKUP($F182,Lists!$C$72:$R$232,COLUMNS(Lists!$C$69:J$69),0)*VLOOKUP(BJ$3,Conversions!$B$12:$E$34,4,0)))</f>
        <v>0</v>
      </c>
      <c r="AG182" s="334">
        <f>IF($F182="",0,IF($F182="Weighted Average",$H182*VLOOKUP($D182&amp;" (Operation)",Lists!$C$72:$R$232,COLUMNS(Lists!$C$69:K$69),0)*VLOOKUP(BK$3,Conversions!$B$12:$E$34,4,0),$H182*VLOOKUP($F182,Lists!$C$72:$R$232,COLUMNS(Lists!$C$69:K$69),0)*VLOOKUP(BK$3,Conversions!$B$12:$E$34,4,0)))</f>
        <v>0</v>
      </c>
      <c r="AH182" s="334">
        <f>IF($F182="",0,IF($F182="Weighted Average",$H182*VLOOKUP($D182&amp;" (Operation)",Lists!$C$72:$R$232,COLUMNS(Lists!$C$69:L$69),0)*VLOOKUP(BL$3,Conversions!$B$12:$E$34,4,0),$H182*VLOOKUP($F182,Lists!$C$72:$R$232,COLUMNS(Lists!$C$69:L$69),0)*VLOOKUP(BL$3,Conversions!$B$12:$E$34,4,0)))</f>
        <v>0</v>
      </c>
      <c r="AI182" s="334">
        <f>IF($F182="",0,IF($F182="Weighted Average",$H182*VLOOKUP($D182&amp;" (Operation)",Lists!$C$72:$R$232,COLUMNS(Lists!$C$69:M$69),0)*VLOOKUP(BM$3,Conversions!$B$12:$E$34,4,0),$H182*VLOOKUP($F182,Lists!$C$72:$R$232,COLUMNS(Lists!$C$69:M$69),0)*VLOOKUP(BM$3,Conversions!$B$12:$E$34,4,0)))</f>
        <v>0</v>
      </c>
      <c r="AJ182" s="334">
        <f>IF($F182="",0,IF($F182="Weighted Average",$H182*VLOOKUP($D182&amp;" (Operation)",Lists!$C$72:$R$232,COLUMNS(Lists!$C$69:N$69),0)*VLOOKUP(BN$3,Conversions!$B$12:$E$34,4,0),$H182*VLOOKUP($F182,Lists!$C$72:$R$232,COLUMNS(Lists!$C$69:N$69),0)*VLOOKUP(BN$3,Conversions!$B$12:$E$34,4,0)))</f>
        <v>0</v>
      </c>
      <c r="AK182" s="334">
        <f>IF($F182="",0,IF($F182="Weighted Average",$H182*VLOOKUP($D182&amp;" (Operation)",Lists!$C$72:$R$232,COLUMNS(Lists!$C$69:O$69),0)*VLOOKUP(BO$3,Conversions!$B$12:$E$34,4,0),$H182*VLOOKUP($F182,Lists!$C$72:$R$232,COLUMNS(Lists!$C$69:O$69),0)*VLOOKUP(BO$3,Conversions!$B$12:$E$34,4,0)))</f>
        <v>0</v>
      </c>
      <c r="AL182" s="334">
        <f>IF($F182="",0,IF($F182="Weighted Average",$H182*VLOOKUP($D182&amp;" (Operation)",Lists!$C$72:$R$232,COLUMNS(Lists!$C$69:P$69),0)*VLOOKUP(BP$3,Conversions!$B$12:$E$34,4,0),$H182*VLOOKUP($F182,Lists!$C$72:$R$232,COLUMNS(Lists!$C$69:P$69),0)*VLOOKUP(BP$3,Conversions!$B$12:$E$34,4,0)))</f>
        <v>0</v>
      </c>
      <c r="AM182" s="334">
        <f>IF($F182="",0,IF($F182="Weighted Average",$H182*VLOOKUP($D182&amp;" (Operation)",Lists!$C$72:$R$232,COLUMNS(Lists!$C$69:Q$69),0)*VLOOKUP(BQ$3,Conversions!$B$12:$E$34,4,0),$H182*VLOOKUP($F182,Lists!$C$72:$R$232,COLUMNS(Lists!$C$69:Q$69),0)*VLOOKUP(BQ$3,Conversions!$B$12:$E$34,4,0)))</f>
        <v>0</v>
      </c>
      <c r="AN182" s="334">
        <f>IF($F182="",0,IF($F182="Weighted Average",$H182*VLOOKUP($D182&amp;" (Operation)",Lists!$C$72:$R$232,COLUMNS(Lists!$C$69:R$69),0)*VLOOKUP(BR$3,Conversions!$B$12:$E$34,4,0),$H182*VLOOKUP($F182,Lists!$C$72:$R$232,COLUMNS(Lists!$C$69:R$69),0)*VLOOKUP(BR$3,Conversions!$B$12:$E$34,4,0)))</f>
        <v>0</v>
      </c>
      <c r="AO182" s="330">
        <f t="shared" si="235"/>
        <v>0</v>
      </c>
      <c r="AP182" s="333">
        <f>IF($F182="",0,IF($F182="Weighted Average",$I182*VLOOKUP($D182&amp;" (Disposal)",Lists!$C$72:$R$232,COLUMNS(Lists!$C$69:E$69),0)*VLOOKUP(BE$3,Conversions!$B$12:$E$34,4,0),$I182*VLOOKUP($F182,Lists!$C$72:$R$232,COLUMNS(Lists!$C$69:E$69),0)*VLOOKUP(BE$3,Conversions!$B$12:$E$34,4,0)))</f>
        <v>0</v>
      </c>
      <c r="AQ182" s="333">
        <f>IF($F182="",0,IF($F182="Weighted Average",$I182*VLOOKUP($D182&amp;" (Disposal)",Lists!$C$72:$R$232,COLUMNS(Lists!$C$69:F$69),0)*VLOOKUP(BF$3,Conversions!$B$12:$E$34,4,0),$I182*VLOOKUP($F182,Lists!$C$72:$R$232,COLUMNS(Lists!$C$69:F$69),0)*VLOOKUP(BF$3,Conversions!$B$12:$E$34,4,0)))</f>
        <v>0</v>
      </c>
      <c r="AR182" s="333">
        <f>IF($F182="",0,IF($F182="Weighted Average",$I182*VLOOKUP($D182&amp;" (Disposal)",Lists!$C$72:$R$232,COLUMNS(Lists!$C$69:G$69),0)*VLOOKUP(BG$3,Conversions!$B$12:$E$34,4,0),$I182*VLOOKUP($F182,Lists!$C$72:$R$232,COLUMNS(Lists!$C$69:G$69),0)*VLOOKUP(BG$3,Conversions!$B$12:$E$34,4,0)))</f>
        <v>0</v>
      </c>
      <c r="AS182" s="333">
        <f>IF($F182="",0,IF($F182="Weighted Average",$I182*VLOOKUP($D182&amp;" (Disposal)",Lists!$C$72:$R$232,COLUMNS(Lists!$C$69:H$69),0)*VLOOKUP(BH$3,Conversions!$B$12:$E$34,4,0),$I182*VLOOKUP($F182,Lists!$C$72:$R$232,COLUMNS(Lists!$C$69:H$69),0)*VLOOKUP(BH$3,Conversions!$B$12:$E$34,4,0)))</f>
        <v>0</v>
      </c>
      <c r="AT182" s="333">
        <f>IF($F182="",0,IF($F182="Weighted Average",$I182*VLOOKUP($D182&amp;" (Disposal)",Lists!$C$72:$R$232,COLUMNS(Lists!$C$69:I$69),0)*VLOOKUP(BI$3,Conversions!$B$12:$E$34,4,0),$I182*VLOOKUP($F182,Lists!$C$72:$R$232,COLUMNS(Lists!$C$69:I$69),0)*VLOOKUP(BI$3,Conversions!$B$12:$E$34,4,0)))</f>
        <v>0</v>
      </c>
      <c r="AU182" s="333">
        <f>IF($F182="",0,IF($F182="Weighted Average",$I182*VLOOKUP($D182&amp;" (Disposal)",Lists!$C$72:$R$232,COLUMNS(Lists!$C$69:J$69),0)*VLOOKUP(BJ$3,Conversions!$B$12:$E$34,4,0),$I182*VLOOKUP($F182,Lists!$C$72:$R$232,COLUMNS(Lists!$C$69:J$69),0)*VLOOKUP(BJ$3,Conversions!$B$12:$E$34,4,0)))</f>
        <v>0</v>
      </c>
      <c r="AV182" s="333">
        <f>IF($F182="",0,IF($F182="Weighted Average",$I182*VLOOKUP($D182&amp;" (Disposal)",Lists!$C$72:$R$232,COLUMNS(Lists!$C$69:K$69),0)*VLOOKUP(BK$3,Conversions!$B$12:$E$34,4,0),$I182*VLOOKUP($F182,Lists!$C$72:$R$232,COLUMNS(Lists!$C$69:K$69),0)*VLOOKUP(BK$3,Conversions!$B$12:$E$34,4,0)))</f>
        <v>0</v>
      </c>
      <c r="AW182" s="333">
        <f>IF($F182="",0,IF($F182="Weighted Average",$I182*VLOOKUP($D182&amp;" (Disposal)",Lists!$C$72:$R$232,COLUMNS(Lists!$C$69:L$69),0)*VLOOKUP(BL$3,Conversions!$B$12:$E$34,4,0),$I182*VLOOKUP($F182,Lists!$C$72:$R$232,COLUMNS(Lists!$C$69:L$69),0)*VLOOKUP(BL$3,Conversions!$B$12:$E$34,4,0)))</f>
        <v>0</v>
      </c>
      <c r="AX182" s="333">
        <f>IF($F182="",0,IF($F182="Weighted Average",$I182*VLOOKUP($D182&amp;" (Disposal)",Lists!$C$72:$R$232,COLUMNS(Lists!$C$69:M$69),0)*VLOOKUP(BM$3,Conversions!$B$12:$E$34,4,0),$I182*VLOOKUP($F182,Lists!$C$72:$R$232,COLUMNS(Lists!$C$69:M$69),0)*VLOOKUP(BM$3,Conversions!$B$12:$E$34,4,0)))</f>
        <v>0</v>
      </c>
      <c r="AY182" s="333">
        <f>IF($F182="",0,IF($F182="Weighted Average",$I182*VLOOKUP($D182&amp;" (Disposal)",Lists!$C$72:$R$232,COLUMNS(Lists!$C$69:N$69),0)*VLOOKUP(BN$3,Conversions!$B$12:$E$34,4,0),$I182*VLOOKUP($F182,Lists!$C$72:$R$232,COLUMNS(Lists!$C$69:N$69),0)*VLOOKUP(BN$3,Conversions!$B$12:$E$34,4,0)))</f>
        <v>0</v>
      </c>
      <c r="AZ182" s="333">
        <f>IF($F182="",0,IF($F182="Weighted Average",$I182*VLOOKUP($D182&amp;" (Disposal)",Lists!$C$72:$R$232,COLUMNS(Lists!$C$69:O$69),0)*VLOOKUP(BO$3,Conversions!$B$12:$E$34,4,0),$I182*VLOOKUP($F182,Lists!$C$72:$R$232,COLUMNS(Lists!$C$69:O$69),0)*VLOOKUP(BO$3,Conversions!$B$12:$E$34,4,0)))</f>
        <v>0</v>
      </c>
      <c r="BA182" s="333">
        <f>IF($F182="",0,IF($F182="Weighted Average",$I182*VLOOKUP($D182&amp;" (Disposal)",Lists!$C$72:$R$232,COLUMNS(Lists!$C$69:P$69),0)*VLOOKUP(BP$3,Conversions!$B$12:$E$34,4,0),$I182*VLOOKUP($F182,Lists!$C$72:$R$232,COLUMNS(Lists!$C$69:P$69),0)*VLOOKUP(BP$3,Conversions!$B$12:$E$34,4,0)))</f>
        <v>0</v>
      </c>
      <c r="BB182" s="333">
        <f>IF($F182="",0,IF($F182="Weighted Average",$I182*VLOOKUP($D182&amp;" (Disposal)",Lists!$C$72:$R$232,COLUMNS(Lists!$C$69:Q$69),0)*VLOOKUP(BQ$3,Conversions!$B$12:$E$34,4,0),$I182*VLOOKUP($F182,Lists!$C$72:$R$232,COLUMNS(Lists!$C$69:Q$69),0)*VLOOKUP(BQ$3,Conversions!$B$12:$E$34,4,0)))</f>
        <v>0</v>
      </c>
      <c r="BC182" s="333">
        <f>IF($F182="",0,IF($F182="Weighted Average",$I182*VLOOKUP($D182&amp;" (Disposal)",Lists!$C$72:$R$232,COLUMNS(Lists!$C$69:R$69),0)*VLOOKUP(BR$3,Conversions!$B$12:$E$34,4,0),$I182*VLOOKUP($F182,Lists!$C$72:$R$232,COLUMNS(Lists!$C$69:R$69),0)*VLOOKUP(BR$3,Conversions!$B$12:$E$34,4,0)))</f>
        <v>0</v>
      </c>
      <c r="BD182" s="333">
        <f t="shared" si="236"/>
        <v>0</v>
      </c>
      <c r="BE182" s="330">
        <f t="shared" si="237"/>
        <v>0</v>
      </c>
      <c r="BF182" s="330">
        <f t="shared" si="238"/>
        <v>0</v>
      </c>
      <c r="BG182" s="330">
        <f t="shared" si="239"/>
        <v>0</v>
      </c>
      <c r="BH182" s="330">
        <f t="shared" si="240"/>
        <v>0</v>
      </c>
      <c r="BI182" s="330">
        <f t="shared" si="241"/>
        <v>0</v>
      </c>
      <c r="BJ182" s="330">
        <f t="shared" si="242"/>
        <v>0</v>
      </c>
      <c r="BK182" s="330">
        <f t="shared" si="243"/>
        <v>0</v>
      </c>
      <c r="BL182" s="330">
        <f t="shared" si="244"/>
        <v>0</v>
      </c>
      <c r="BM182" s="330">
        <f t="shared" si="245"/>
        <v>0</v>
      </c>
      <c r="BN182" s="330">
        <f t="shared" si="246"/>
        <v>0</v>
      </c>
      <c r="BO182" s="330">
        <f t="shared" si="247"/>
        <v>0</v>
      </c>
      <c r="BP182" s="330">
        <f t="shared" si="248"/>
        <v>0</v>
      </c>
      <c r="BQ182" s="330">
        <f t="shared" si="249"/>
        <v>0</v>
      </c>
      <c r="BR182" s="330">
        <f t="shared" si="250"/>
        <v>0</v>
      </c>
      <c r="BS182" s="330">
        <f t="shared" si="251"/>
        <v>0</v>
      </c>
      <c r="BT182" s="329">
        <f>IF($F182="",0,IF($F182="Weighted Average",$BS182*VLOOKUP($D182,'Default Values'!$B$78:$V$97,COLUMNS('Default Values'!$B$77:G$77),0),0))</f>
        <v>0</v>
      </c>
      <c r="BU182" s="329">
        <f>IF($F182="",0,IF($F182="Weighted Average",$BS182*VLOOKUP($D182,'Default Values'!$B$78:$V$97,COLUMNS('Default Values'!$B$77:H$77),0),0))</f>
        <v>0</v>
      </c>
      <c r="BV182" s="329">
        <f>IF($F182="",0,IF($F182="Weighted Average",$BS182*VLOOKUP($D182,'Default Values'!$B$78:$V$97,COLUMNS('Default Values'!$B$77:I$77),0),0))</f>
        <v>0</v>
      </c>
      <c r="BW182" s="329">
        <f>IF($F182="",0,IF($F182="Weighted Average",$BS182*VLOOKUP($D182,'Default Values'!$B$78:$V$97,COLUMNS('Default Values'!$B$77:J$77),0),0))</f>
        <v>0</v>
      </c>
      <c r="BX182" s="329">
        <f>IF($F182="",0,IF($F182="Weighted Average",$BS182*VLOOKUP($D182,'Default Values'!$B$78:$V$97,COLUMNS('Default Values'!$B$77:K$77),0),0))</f>
        <v>0</v>
      </c>
      <c r="BY182" s="329">
        <f>IF($F182="",0,IF($F182="Weighted Average",$BS182*VLOOKUP($D182,'Default Values'!$B$78:$V$97,COLUMNS('Default Values'!$B$77:L$77),0),0))</f>
        <v>0</v>
      </c>
      <c r="BZ182" s="329">
        <f>IF($F182="",0,IF($F182="Weighted Average",$BS182*VLOOKUP($D182,'Default Values'!$B$78:$V$97,COLUMNS('Default Values'!$B$77:M$77),0),0))</f>
        <v>0</v>
      </c>
      <c r="CA182" s="329">
        <f>IF($F182="",0,IF($F182="Weighted Average",$BS182*VLOOKUP($D182,'Default Values'!$B$78:$V$97,COLUMNS('Default Values'!$B$77:N$77),0),0))</f>
        <v>0</v>
      </c>
      <c r="CB182" s="329">
        <f>IF($F182="",0,IF($F182="Weighted Average",$BS182*VLOOKUP($D182,'Default Values'!$B$78:$V$97,COLUMNS('Default Values'!$B$77:O$77),0),0))</f>
        <v>0</v>
      </c>
      <c r="CC182" s="329">
        <f>IF($F182="",0,IF($F182="Weighted Average",$BS182*VLOOKUP($D182,'Default Values'!$B$78:$V$97,COLUMNS('Default Values'!$B$77:P$77),0),0))</f>
        <v>0</v>
      </c>
      <c r="CD182" s="329">
        <f>IF($F182="",0,IF($F182="Weighted Average",$BS182*VLOOKUP($D182,'Default Values'!$B$78:$V$97,COLUMNS('Default Values'!$B$77:Q$77),0),0))</f>
        <v>0</v>
      </c>
      <c r="CE182" s="329">
        <f>IF($F182="",0,IF($F182="Weighted Average",$BS182*VLOOKUP($D182,'Default Values'!$B$78:$V$97,COLUMNS('Default Values'!$B$77:R$77),0),0))</f>
        <v>0</v>
      </c>
      <c r="CF182" s="329">
        <f>IF($F182="",0,IF($F182="Weighted Average",$BS182*VLOOKUP($D182,'Default Values'!$B$78:$V$97,COLUMNS('Default Values'!$B$77:S$77),0),0))</f>
        <v>0</v>
      </c>
      <c r="CG182" s="329">
        <f>IF($F182="",0,IF($F182="Weighted Average",$BS182*VLOOKUP($D182,'Default Values'!$B$78:$V$97,COLUMNS('Default Values'!$B$77:T$77),0),0))</f>
        <v>0</v>
      </c>
      <c r="CH182" s="329">
        <f>IF($F182="",0,IF($F182="Weighted Average",$BS182*VLOOKUP($D182,'Default Values'!$B$78:$V$97,COLUMNS('Default Values'!$B$77:U$77),0),0))</f>
        <v>0</v>
      </c>
      <c r="CI182" s="329">
        <f>IF($F182="",0,IF($F182="Weighted Average",$BS182*VLOOKUP($D182,'Default Values'!$B$78:$V$97,COLUMNS('Default Values'!$B$77:V$77),0),0))</f>
        <v>0</v>
      </c>
      <c r="CJ182" s="331">
        <f t="shared" si="252"/>
        <v>0</v>
      </c>
      <c r="CK182" s="330">
        <f t="shared" si="253"/>
        <v>0</v>
      </c>
      <c r="CL182" s="330">
        <f t="shared" si="254"/>
        <v>0</v>
      </c>
      <c r="CM182" s="330">
        <f t="shared" si="255"/>
        <v>0</v>
      </c>
      <c r="CN182" s="330">
        <f t="shared" si="256"/>
        <v>0</v>
      </c>
      <c r="CO182" s="330">
        <f t="shared" si="257"/>
        <v>0</v>
      </c>
      <c r="CP182" s="330">
        <f t="shared" si="258"/>
        <v>0</v>
      </c>
      <c r="CQ182" s="330">
        <f t="shared" si="186"/>
        <v>0</v>
      </c>
      <c r="CR182" s="330">
        <f t="shared" si="259"/>
        <v>0</v>
      </c>
      <c r="CS182" s="330">
        <f t="shared" si="260"/>
        <v>0</v>
      </c>
      <c r="CT182" s="330">
        <f t="shared" si="261"/>
        <v>0</v>
      </c>
      <c r="CU182" s="330">
        <f t="shared" si="262"/>
        <v>0</v>
      </c>
      <c r="CV182" s="330">
        <f t="shared" si="262"/>
        <v>0</v>
      </c>
      <c r="CW182" s="330">
        <f t="shared" si="262"/>
        <v>0</v>
      </c>
      <c r="CX182" s="330">
        <f t="shared" si="262"/>
        <v>0</v>
      </c>
      <c r="CY182" s="330">
        <f t="shared" si="262"/>
        <v>0</v>
      </c>
      <c r="CZ182" s="330">
        <f t="shared" si="262"/>
        <v>0</v>
      </c>
      <c r="DA182" s="330">
        <f t="shared" si="262"/>
        <v>0</v>
      </c>
      <c r="DB182" s="330">
        <f t="shared" si="262"/>
        <v>0</v>
      </c>
      <c r="DC182" s="330">
        <f t="shared" si="262"/>
        <v>0</v>
      </c>
      <c r="DD182" s="330">
        <f t="shared" si="262"/>
        <v>0</v>
      </c>
      <c r="DE182" s="330">
        <f t="shared" si="263"/>
        <v>0</v>
      </c>
      <c r="DF182" s="330">
        <f t="shared" si="263"/>
        <v>0</v>
      </c>
      <c r="DG182" s="330">
        <f t="shared" si="263"/>
        <v>0</v>
      </c>
      <c r="DH182" s="330">
        <f t="shared" si="263"/>
        <v>0</v>
      </c>
      <c r="DI182" s="330">
        <f t="shared" si="263"/>
        <v>0</v>
      </c>
      <c r="DJ182" s="330">
        <f t="shared" si="263"/>
        <v>0</v>
      </c>
      <c r="DK182" s="330">
        <f t="shared" si="263"/>
        <v>0</v>
      </c>
      <c r="DL182" s="330">
        <f t="shared" si="263"/>
        <v>0</v>
      </c>
      <c r="DM182" s="330">
        <f t="shared" si="263"/>
        <v>0</v>
      </c>
      <c r="DN182" s="330">
        <f t="shared" si="263"/>
        <v>0</v>
      </c>
      <c r="DO182" s="330">
        <f t="shared" si="263"/>
        <v>0</v>
      </c>
      <c r="DP182" s="330">
        <f t="shared" si="264"/>
        <v>0</v>
      </c>
      <c r="DQ182" s="217"/>
      <c r="DR182" s="217"/>
      <c r="DS182" s="217"/>
      <c r="DT182" s="217"/>
    </row>
    <row r="183" spans="1:124" x14ac:dyDescent="0.3">
      <c r="A183" s="324"/>
      <c r="B183" s="221" t="s">
        <v>307</v>
      </c>
      <c r="C183" s="221" t="str">
        <f>IF('Simplified Screening 2'!C34=0,"",'Simplified Screening 2'!C34)</f>
        <v/>
      </c>
      <c r="D183" s="221" t="str">
        <f>IF('Simplified Screening 2'!D34=0,"",'Simplified Screening 2'!D34)</f>
        <v/>
      </c>
      <c r="E183" s="221"/>
      <c r="F183" s="221" t="str">
        <f>'Simplified Screening 2'!J34</f>
        <v/>
      </c>
      <c r="G183" s="335" t="str">
        <f>IF(D183="","",'Simplified Screening 2'!G34/1000*VLOOKUP(D183,'Default Values'!$B$78:$F$97,COLUMNS('Default Values'!$B$77:$D$77),0)/1000)</f>
        <v/>
      </c>
      <c r="H183" s="335" t="str">
        <f>IF(D183="","",'Simplified Screening 2'!G34/1000*VLOOKUP(D183,'Default Values'!$B$78:$F$97,COLUMNS('Default Values'!$B$77:$E$77),0)/1000)</f>
        <v/>
      </c>
      <c r="I183" s="335" t="str">
        <f>IF(D183="","",'Simplified Screening 2'!G34/1000*VLOOKUP(D183,'Default Values'!$B$78:$F$97,COLUMNS('Default Values'!$B$77:$F$77),0)/1000)</f>
        <v/>
      </c>
      <c r="J183" s="325">
        <f>IF('Simplified Screening 2'!H34=0,0,'Simplified Screening 2'!H34)</f>
        <v>0</v>
      </c>
      <c r="K183" s="465"/>
      <c r="L183" s="333">
        <f>IF($F183="",0,IF($F183="Weighted Average",$G183*VLOOKUP($D183&amp;" (Install)",Lists!$C$72:$R$232,COLUMNS(Lists!$C$69:E$69),0)*VLOOKUP(BE$3,Conversions!$B$12:$E$34,4,0),$G183*VLOOKUP($F183,Lists!$C$72:$R$232,COLUMNS(Lists!$C$69:E$69),0)*VLOOKUP(BE$3,Conversions!$B$12:$E$34,4,0)))</f>
        <v>0</v>
      </c>
      <c r="M183" s="333">
        <f>IF($F183="",0,IF($F183="Weighted Average",$G183*VLOOKUP($D183&amp;" (Install)",Lists!$C$72:$R$232,COLUMNS(Lists!$C$69:F$69),0)*VLOOKUP(BF$3,Conversions!$B$12:$E$34,4,0),$G183*VLOOKUP($F183,Lists!$C$72:$R$232,COLUMNS(Lists!$C$69:F$69),0)*VLOOKUP(BF$3,Conversions!$B$12:$E$34,4,0)))</f>
        <v>0</v>
      </c>
      <c r="N183" s="333">
        <f>IF($F183="",0,IF($F183="Weighted Average",$G183*VLOOKUP($D183&amp;" (Install)",Lists!$C$72:$R$232,COLUMNS(Lists!$C$69:G$69),0)*VLOOKUP(BG$3,Conversions!$B$12:$E$34,4,0),$G183*VLOOKUP($F183,Lists!$C$72:$R$232,COLUMNS(Lists!$C$69:G$69),0)*VLOOKUP(BG$3,Conversions!$B$12:$E$34,4,0)))</f>
        <v>0</v>
      </c>
      <c r="O183" s="333">
        <f>IF($F183="",0,IF($F183="Weighted Average",$G183*VLOOKUP($D183&amp;" (Install)",Lists!$C$72:$R$232,COLUMNS(Lists!$C$69:H$69),0)*VLOOKUP(BH$3,Conversions!$B$12:$E$34,4,0),$G183*VLOOKUP($F183,Lists!$C$72:$R$232,COLUMNS(Lists!$C$69:H$69),0)*VLOOKUP(BH$3,Conversions!$B$12:$E$34,4,0)))</f>
        <v>0</v>
      </c>
      <c r="P183" s="333">
        <f>IF($F183="",0,IF($F183="Weighted Average",$G183*VLOOKUP($D183&amp;" (Install)",Lists!$C$72:$R$232,COLUMNS(Lists!$C$69:I$69),0)*VLOOKUP(BI$3,Conversions!$B$12:$E$34,4,0),$G183*VLOOKUP($F183,Lists!$C$72:$R$232,COLUMNS(Lists!$C$69:I$69),0)*VLOOKUP(BI$3,Conversions!$B$12:$E$34,4,0)))</f>
        <v>0</v>
      </c>
      <c r="Q183" s="333">
        <f>IF($F183="",0,IF($F183="Weighted Average",$G183*VLOOKUP($D183&amp;" (Install)",Lists!$C$72:$R$232,COLUMNS(Lists!$C$69:J$69),0)*VLOOKUP(BJ$3,Conversions!$B$12:$E$34,4,0),$G183*VLOOKUP($F183,Lists!$C$72:$R$232,COLUMNS(Lists!$C$69:J$69),0)*VLOOKUP(BJ$3,Conversions!$B$12:$E$34,4,0)))</f>
        <v>0</v>
      </c>
      <c r="R183" s="333">
        <f>IF($F183="",0,IF($F183="Weighted Average",$G183*VLOOKUP($D183&amp;" (Install)",Lists!$C$72:$R$232,COLUMNS(Lists!$C$69:K$69),0)*VLOOKUP(BK$3,Conversions!$B$12:$E$34,4,0),$G183*VLOOKUP($F183,Lists!$C$72:$R$232,COLUMNS(Lists!$C$69:K$69),0)*VLOOKUP(BK$3,Conversions!$B$12:$E$34,4,0)))</f>
        <v>0</v>
      </c>
      <c r="S183" s="333">
        <f>IF($F183="",0,IF($F183="Weighted Average",$G183*VLOOKUP($D183&amp;" (Install)",Lists!$C$72:$R$232,COLUMNS(Lists!$C$69:L$69),0)*VLOOKUP(BL$3,Conversions!$B$12:$E$34,4,0),$G183*VLOOKUP($F183,Lists!$C$72:$R$232,COLUMNS(Lists!$C$69:L$69),0)*VLOOKUP(BL$3,Conversions!$B$12:$E$34,4,0)))</f>
        <v>0</v>
      </c>
      <c r="T183" s="333">
        <f>IF($F183="",0,IF($F183="Weighted Average",$G183*VLOOKUP($D183&amp;" (Install)",Lists!$C$72:$R$232,COLUMNS(Lists!$C$69:M$69),0)*VLOOKUP(BM$3,Conversions!$B$12:$E$34,4,0),$G183*VLOOKUP($F183,Lists!$C$72:$R$232,COLUMNS(Lists!$C$69:M$69),0)*VLOOKUP(BM$3,Conversions!$B$12:$E$34,4,0)))</f>
        <v>0</v>
      </c>
      <c r="U183" s="333">
        <f>IF($F183="",0,IF($F183="Weighted Average",$G183*VLOOKUP($D183&amp;" (Install)",Lists!$C$72:$R$232,COLUMNS(Lists!$C$69:N$69),0)*VLOOKUP(BN$3,Conversions!$B$12:$E$34,4,0),$G183*VLOOKUP($F183,Lists!$C$72:$R$232,COLUMNS(Lists!$C$69:N$69),0)*VLOOKUP(BN$3,Conversions!$B$12:$E$34,4,0)))</f>
        <v>0</v>
      </c>
      <c r="V183" s="333">
        <f>IF($F183="",0,IF($F183="Weighted Average",$G183*VLOOKUP($D183&amp;" (Install)",Lists!$C$72:$R$232,COLUMNS(Lists!$C$69:O$69),0)*VLOOKUP(BO$3,Conversions!$B$12:$E$34,4,0),$G183*VLOOKUP($F183,Lists!$C$72:$R$232,COLUMNS(Lists!$C$69:O$69),0)*VLOOKUP(BO$3,Conversions!$B$12:$E$34,4,0)))</f>
        <v>0</v>
      </c>
      <c r="W183" s="333">
        <f>IF($F183="",0,IF($F183="Weighted Average",$G183*VLOOKUP($D183&amp;" (Install)",Lists!$C$72:$R$232,COLUMNS(Lists!$C$69:P$69),0)*VLOOKUP(BP$3,Conversions!$B$12:$E$34,4,0),$G183*VLOOKUP($F183,Lists!$C$72:$R$232,COLUMNS(Lists!$C$69:P$69),0)*VLOOKUP(BP$3,Conversions!$B$12:$E$34,4,0)))</f>
        <v>0</v>
      </c>
      <c r="X183" s="333">
        <f>IF($F183="",0,IF($F183="Weighted Average",$G183*VLOOKUP($D183&amp;" (Install)",Lists!$C$72:$R$232,COLUMNS(Lists!$C$69:Q$69),0)*VLOOKUP(BQ$3,Conversions!$B$12:$E$34,4,0),$G183*VLOOKUP($F183,Lists!$C$72:$R$232,COLUMNS(Lists!$C$69:Q$69),0)*VLOOKUP(BQ$3,Conversions!$B$12:$E$34,4,0)))</f>
        <v>0</v>
      </c>
      <c r="Y183" s="333">
        <f>IF($F183="",0,IF($F183="Weighted Average",$G183*VLOOKUP($D183&amp;" (Install)",Lists!$C$72:$R$232,COLUMNS(Lists!$C$69:R$69),0)*VLOOKUP(BR$3,Conversions!$B$12:$E$34,4,0),$G183*VLOOKUP($F183,Lists!$C$72:$R$232,COLUMNS(Lists!$C$69:R$69),0)*VLOOKUP(BR$3,Conversions!$B$12:$E$34,4,0)))</f>
        <v>0</v>
      </c>
      <c r="Z183" s="325">
        <f t="shared" si="234"/>
        <v>0</v>
      </c>
      <c r="AA183" s="334">
        <f>IF($F183="",0,IF($F183="Weighted Average",$H183*VLOOKUP($D183&amp;" (Operation)",Lists!$C$72:$R$232,COLUMNS(Lists!$C$69:E$69),0)*VLOOKUP(BE$3,Conversions!$B$12:$E$34,4,0),$H183*VLOOKUP($F183,Lists!$C$72:$R$232,COLUMNS(Lists!$C$69:E$69),0)*VLOOKUP(BE$3,Conversions!$B$12:$E$34,4,0)))</f>
        <v>0</v>
      </c>
      <c r="AB183" s="334">
        <f>IF($F183="",0,IF($F183="Weighted Average",$H183*VLOOKUP($D183&amp;" (Operation)",Lists!$C$72:$R$232,COLUMNS(Lists!$C$69:F$69),0)*VLOOKUP(BF$3,Conversions!$B$12:$E$34,4,0),$H183*VLOOKUP($F183,Lists!$C$72:$R$232,COLUMNS(Lists!$C$69:F$69),0)*VLOOKUP(BF$3,Conversions!$B$12:$E$34,4,0)))</f>
        <v>0</v>
      </c>
      <c r="AC183" s="334">
        <f>IF($F183="",0,IF($F183="Weighted Average",$H183*VLOOKUP($D183&amp;" (Operation)",Lists!$C$72:$R$232,COLUMNS(Lists!$C$69:G$69),0)*VLOOKUP(BG$3,Conversions!$B$12:$E$34,4,0),$H183*VLOOKUP($F183,Lists!$C$72:$R$232,COLUMNS(Lists!$C$69:G$69),0)*VLOOKUP(BG$3,Conversions!$B$12:$E$34,4,0)))</f>
        <v>0</v>
      </c>
      <c r="AD183" s="334">
        <f>IF($F183="",0,IF($F183="Weighted Average",$H183*VLOOKUP($D183&amp;" (Operation)",Lists!$C$72:$R$232,COLUMNS(Lists!$C$69:H$69),0)*VLOOKUP(BH$3,Conversions!$B$12:$E$34,4,0),$H183*VLOOKUP($F183,Lists!$C$72:$R$232,COLUMNS(Lists!$C$69:H$69),0)*VLOOKUP(BH$3,Conversions!$B$12:$E$34,4,0)))</f>
        <v>0</v>
      </c>
      <c r="AE183" s="334">
        <f>IF($F183="",0,IF($F183="Weighted Average",$H183*VLOOKUP($D183&amp;" (Operation)",Lists!$C$72:$R$232,COLUMNS(Lists!$C$69:I$69),0)*VLOOKUP(BI$3,Conversions!$B$12:$E$34,4,0),$H183*VLOOKUP($F183,Lists!$C$72:$R$232,COLUMNS(Lists!$C$69:I$69),0)*VLOOKUP(BI$3,Conversions!$B$12:$E$34,4,0)))</f>
        <v>0</v>
      </c>
      <c r="AF183" s="334">
        <f>IF($F183="",0,IF($F183="Weighted Average",$H183*VLOOKUP($D183&amp;" (Operation)",Lists!$C$72:$R$232,COLUMNS(Lists!$C$69:J$69),0)*VLOOKUP(BJ$3,Conversions!$B$12:$E$34,4,0),$H183*VLOOKUP($F183,Lists!$C$72:$R$232,COLUMNS(Lists!$C$69:J$69),0)*VLOOKUP(BJ$3,Conversions!$B$12:$E$34,4,0)))</f>
        <v>0</v>
      </c>
      <c r="AG183" s="334">
        <f>IF($F183="",0,IF($F183="Weighted Average",$H183*VLOOKUP($D183&amp;" (Operation)",Lists!$C$72:$R$232,COLUMNS(Lists!$C$69:K$69),0)*VLOOKUP(BK$3,Conversions!$B$12:$E$34,4,0),$H183*VLOOKUP($F183,Lists!$C$72:$R$232,COLUMNS(Lists!$C$69:K$69),0)*VLOOKUP(BK$3,Conversions!$B$12:$E$34,4,0)))</f>
        <v>0</v>
      </c>
      <c r="AH183" s="334">
        <f>IF($F183="",0,IF($F183="Weighted Average",$H183*VLOOKUP($D183&amp;" (Operation)",Lists!$C$72:$R$232,COLUMNS(Lists!$C$69:L$69),0)*VLOOKUP(BL$3,Conversions!$B$12:$E$34,4,0),$H183*VLOOKUP($F183,Lists!$C$72:$R$232,COLUMNS(Lists!$C$69:L$69),0)*VLOOKUP(BL$3,Conversions!$B$12:$E$34,4,0)))</f>
        <v>0</v>
      </c>
      <c r="AI183" s="334">
        <f>IF($F183="",0,IF($F183="Weighted Average",$H183*VLOOKUP($D183&amp;" (Operation)",Lists!$C$72:$R$232,COLUMNS(Lists!$C$69:M$69),0)*VLOOKUP(BM$3,Conversions!$B$12:$E$34,4,0),$H183*VLOOKUP($F183,Lists!$C$72:$R$232,COLUMNS(Lists!$C$69:M$69),0)*VLOOKUP(BM$3,Conversions!$B$12:$E$34,4,0)))</f>
        <v>0</v>
      </c>
      <c r="AJ183" s="334">
        <f>IF($F183="",0,IF($F183="Weighted Average",$H183*VLOOKUP($D183&amp;" (Operation)",Lists!$C$72:$R$232,COLUMNS(Lists!$C$69:N$69),0)*VLOOKUP(BN$3,Conversions!$B$12:$E$34,4,0),$H183*VLOOKUP($F183,Lists!$C$72:$R$232,COLUMNS(Lists!$C$69:N$69),0)*VLOOKUP(BN$3,Conversions!$B$12:$E$34,4,0)))</f>
        <v>0</v>
      </c>
      <c r="AK183" s="334">
        <f>IF($F183="",0,IF($F183="Weighted Average",$H183*VLOOKUP($D183&amp;" (Operation)",Lists!$C$72:$R$232,COLUMNS(Lists!$C$69:O$69),0)*VLOOKUP(BO$3,Conversions!$B$12:$E$34,4,0),$H183*VLOOKUP($F183,Lists!$C$72:$R$232,COLUMNS(Lists!$C$69:O$69),0)*VLOOKUP(BO$3,Conversions!$B$12:$E$34,4,0)))</f>
        <v>0</v>
      </c>
      <c r="AL183" s="334">
        <f>IF($F183="",0,IF($F183="Weighted Average",$H183*VLOOKUP($D183&amp;" (Operation)",Lists!$C$72:$R$232,COLUMNS(Lists!$C$69:P$69),0)*VLOOKUP(BP$3,Conversions!$B$12:$E$34,4,0),$H183*VLOOKUP($F183,Lists!$C$72:$R$232,COLUMNS(Lists!$C$69:P$69),0)*VLOOKUP(BP$3,Conversions!$B$12:$E$34,4,0)))</f>
        <v>0</v>
      </c>
      <c r="AM183" s="334">
        <f>IF($F183="",0,IF($F183="Weighted Average",$H183*VLOOKUP($D183&amp;" (Operation)",Lists!$C$72:$R$232,COLUMNS(Lists!$C$69:Q$69),0)*VLOOKUP(BQ$3,Conversions!$B$12:$E$34,4,0),$H183*VLOOKUP($F183,Lists!$C$72:$R$232,COLUMNS(Lists!$C$69:Q$69),0)*VLOOKUP(BQ$3,Conversions!$B$12:$E$34,4,0)))</f>
        <v>0</v>
      </c>
      <c r="AN183" s="334">
        <f>IF($F183="",0,IF($F183="Weighted Average",$H183*VLOOKUP($D183&amp;" (Operation)",Lists!$C$72:$R$232,COLUMNS(Lists!$C$69:R$69),0)*VLOOKUP(BR$3,Conversions!$B$12:$E$34,4,0),$H183*VLOOKUP($F183,Lists!$C$72:$R$232,COLUMNS(Lists!$C$69:R$69),0)*VLOOKUP(BR$3,Conversions!$B$12:$E$34,4,0)))</f>
        <v>0</v>
      </c>
      <c r="AO183" s="330">
        <f t="shared" si="235"/>
        <v>0</v>
      </c>
      <c r="AP183" s="333">
        <f>IF($F183="",0,IF($F183="Weighted Average",$I183*VLOOKUP($D183&amp;" (Disposal)",Lists!$C$72:$R$232,COLUMNS(Lists!$C$69:E$69),0)*VLOOKUP(BE$3,Conversions!$B$12:$E$34,4,0),$I183*VLOOKUP($F183,Lists!$C$72:$R$232,COLUMNS(Lists!$C$69:E$69),0)*VLOOKUP(BE$3,Conversions!$B$12:$E$34,4,0)))</f>
        <v>0</v>
      </c>
      <c r="AQ183" s="333">
        <f>IF($F183="",0,IF($F183="Weighted Average",$I183*VLOOKUP($D183&amp;" (Disposal)",Lists!$C$72:$R$232,COLUMNS(Lists!$C$69:F$69),0)*VLOOKUP(BF$3,Conversions!$B$12:$E$34,4,0),$I183*VLOOKUP($F183,Lists!$C$72:$R$232,COLUMNS(Lists!$C$69:F$69),0)*VLOOKUP(BF$3,Conversions!$B$12:$E$34,4,0)))</f>
        <v>0</v>
      </c>
      <c r="AR183" s="333">
        <f>IF($F183="",0,IF($F183="Weighted Average",$I183*VLOOKUP($D183&amp;" (Disposal)",Lists!$C$72:$R$232,COLUMNS(Lists!$C$69:G$69),0)*VLOOKUP(BG$3,Conversions!$B$12:$E$34,4,0),$I183*VLOOKUP($F183,Lists!$C$72:$R$232,COLUMNS(Lists!$C$69:G$69),0)*VLOOKUP(BG$3,Conversions!$B$12:$E$34,4,0)))</f>
        <v>0</v>
      </c>
      <c r="AS183" s="333">
        <f>IF($F183="",0,IF($F183="Weighted Average",$I183*VLOOKUP($D183&amp;" (Disposal)",Lists!$C$72:$R$232,COLUMNS(Lists!$C$69:H$69),0)*VLOOKUP(BH$3,Conversions!$B$12:$E$34,4,0),$I183*VLOOKUP($F183,Lists!$C$72:$R$232,COLUMNS(Lists!$C$69:H$69),0)*VLOOKUP(BH$3,Conversions!$B$12:$E$34,4,0)))</f>
        <v>0</v>
      </c>
      <c r="AT183" s="333">
        <f>IF($F183="",0,IF($F183="Weighted Average",$I183*VLOOKUP($D183&amp;" (Disposal)",Lists!$C$72:$R$232,COLUMNS(Lists!$C$69:I$69),0)*VLOOKUP(BI$3,Conversions!$B$12:$E$34,4,0),$I183*VLOOKUP($F183,Lists!$C$72:$R$232,COLUMNS(Lists!$C$69:I$69),0)*VLOOKUP(BI$3,Conversions!$B$12:$E$34,4,0)))</f>
        <v>0</v>
      </c>
      <c r="AU183" s="333">
        <f>IF($F183="",0,IF($F183="Weighted Average",$I183*VLOOKUP($D183&amp;" (Disposal)",Lists!$C$72:$R$232,COLUMNS(Lists!$C$69:J$69),0)*VLOOKUP(BJ$3,Conversions!$B$12:$E$34,4,0),$I183*VLOOKUP($F183,Lists!$C$72:$R$232,COLUMNS(Lists!$C$69:J$69),0)*VLOOKUP(BJ$3,Conversions!$B$12:$E$34,4,0)))</f>
        <v>0</v>
      </c>
      <c r="AV183" s="333">
        <f>IF($F183="",0,IF($F183="Weighted Average",$I183*VLOOKUP($D183&amp;" (Disposal)",Lists!$C$72:$R$232,COLUMNS(Lists!$C$69:K$69),0)*VLOOKUP(BK$3,Conversions!$B$12:$E$34,4,0),$I183*VLOOKUP($F183,Lists!$C$72:$R$232,COLUMNS(Lists!$C$69:K$69),0)*VLOOKUP(BK$3,Conversions!$B$12:$E$34,4,0)))</f>
        <v>0</v>
      </c>
      <c r="AW183" s="333">
        <f>IF($F183="",0,IF($F183="Weighted Average",$I183*VLOOKUP($D183&amp;" (Disposal)",Lists!$C$72:$R$232,COLUMNS(Lists!$C$69:L$69),0)*VLOOKUP(BL$3,Conversions!$B$12:$E$34,4,0),$I183*VLOOKUP($F183,Lists!$C$72:$R$232,COLUMNS(Lists!$C$69:L$69),0)*VLOOKUP(BL$3,Conversions!$B$12:$E$34,4,0)))</f>
        <v>0</v>
      </c>
      <c r="AX183" s="333">
        <f>IF($F183="",0,IF($F183="Weighted Average",$I183*VLOOKUP($D183&amp;" (Disposal)",Lists!$C$72:$R$232,COLUMNS(Lists!$C$69:M$69),0)*VLOOKUP(BM$3,Conversions!$B$12:$E$34,4,0),$I183*VLOOKUP($F183,Lists!$C$72:$R$232,COLUMNS(Lists!$C$69:M$69),0)*VLOOKUP(BM$3,Conversions!$B$12:$E$34,4,0)))</f>
        <v>0</v>
      </c>
      <c r="AY183" s="333">
        <f>IF($F183="",0,IF($F183="Weighted Average",$I183*VLOOKUP($D183&amp;" (Disposal)",Lists!$C$72:$R$232,COLUMNS(Lists!$C$69:N$69),0)*VLOOKUP(BN$3,Conversions!$B$12:$E$34,4,0),$I183*VLOOKUP($F183,Lists!$C$72:$R$232,COLUMNS(Lists!$C$69:N$69),0)*VLOOKUP(BN$3,Conversions!$B$12:$E$34,4,0)))</f>
        <v>0</v>
      </c>
      <c r="AZ183" s="333">
        <f>IF($F183="",0,IF($F183="Weighted Average",$I183*VLOOKUP($D183&amp;" (Disposal)",Lists!$C$72:$R$232,COLUMNS(Lists!$C$69:O$69),0)*VLOOKUP(BO$3,Conversions!$B$12:$E$34,4,0),$I183*VLOOKUP($F183,Lists!$C$72:$R$232,COLUMNS(Lists!$C$69:O$69),0)*VLOOKUP(BO$3,Conversions!$B$12:$E$34,4,0)))</f>
        <v>0</v>
      </c>
      <c r="BA183" s="333">
        <f>IF($F183="",0,IF($F183="Weighted Average",$I183*VLOOKUP($D183&amp;" (Disposal)",Lists!$C$72:$R$232,COLUMNS(Lists!$C$69:P$69),0)*VLOOKUP(BP$3,Conversions!$B$12:$E$34,4,0),$I183*VLOOKUP($F183,Lists!$C$72:$R$232,COLUMNS(Lists!$C$69:P$69),0)*VLOOKUP(BP$3,Conversions!$B$12:$E$34,4,0)))</f>
        <v>0</v>
      </c>
      <c r="BB183" s="333">
        <f>IF($F183="",0,IF($F183="Weighted Average",$I183*VLOOKUP($D183&amp;" (Disposal)",Lists!$C$72:$R$232,COLUMNS(Lists!$C$69:Q$69),0)*VLOOKUP(BQ$3,Conversions!$B$12:$E$34,4,0),$I183*VLOOKUP($F183,Lists!$C$72:$R$232,COLUMNS(Lists!$C$69:Q$69),0)*VLOOKUP(BQ$3,Conversions!$B$12:$E$34,4,0)))</f>
        <v>0</v>
      </c>
      <c r="BC183" s="333">
        <f>IF($F183="",0,IF($F183="Weighted Average",$I183*VLOOKUP($D183&amp;" (Disposal)",Lists!$C$72:$R$232,COLUMNS(Lists!$C$69:R$69),0)*VLOOKUP(BR$3,Conversions!$B$12:$E$34,4,0),$I183*VLOOKUP($F183,Lists!$C$72:$R$232,COLUMNS(Lists!$C$69:R$69),0)*VLOOKUP(BR$3,Conversions!$B$12:$E$34,4,0)))</f>
        <v>0</v>
      </c>
      <c r="BD183" s="333">
        <f t="shared" si="236"/>
        <v>0</v>
      </c>
      <c r="BE183" s="330">
        <f t="shared" si="237"/>
        <v>0</v>
      </c>
      <c r="BF183" s="330">
        <f t="shared" si="238"/>
        <v>0</v>
      </c>
      <c r="BG183" s="330">
        <f t="shared" si="239"/>
        <v>0</v>
      </c>
      <c r="BH183" s="330">
        <f t="shared" si="240"/>
        <v>0</v>
      </c>
      <c r="BI183" s="330">
        <f t="shared" si="241"/>
        <v>0</v>
      </c>
      <c r="BJ183" s="330">
        <f t="shared" si="242"/>
        <v>0</v>
      </c>
      <c r="BK183" s="330">
        <f t="shared" si="243"/>
        <v>0</v>
      </c>
      <c r="BL183" s="330">
        <f t="shared" si="244"/>
        <v>0</v>
      </c>
      <c r="BM183" s="330">
        <f t="shared" si="245"/>
        <v>0</v>
      </c>
      <c r="BN183" s="330">
        <f t="shared" si="246"/>
        <v>0</v>
      </c>
      <c r="BO183" s="330">
        <f t="shared" si="247"/>
        <v>0</v>
      </c>
      <c r="BP183" s="330">
        <f t="shared" si="248"/>
        <v>0</v>
      </c>
      <c r="BQ183" s="330">
        <f t="shared" si="249"/>
        <v>0</v>
      </c>
      <c r="BR183" s="330">
        <f t="shared" si="250"/>
        <v>0</v>
      </c>
      <c r="BS183" s="330">
        <f t="shared" si="251"/>
        <v>0</v>
      </c>
      <c r="BT183" s="329">
        <f>IF($F183="",0,IF($F183="Weighted Average",$BS183*VLOOKUP($D183,'Default Values'!$B$78:$V$97,COLUMNS('Default Values'!$B$77:G$77),0),0))</f>
        <v>0</v>
      </c>
      <c r="BU183" s="329">
        <f>IF($F183="",0,IF($F183="Weighted Average",$BS183*VLOOKUP($D183,'Default Values'!$B$78:$V$97,COLUMNS('Default Values'!$B$77:H$77),0),0))</f>
        <v>0</v>
      </c>
      <c r="BV183" s="329">
        <f>IF($F183="",0,IF($F183="Weighted Average",$BS183*VLOOKUP($D183,'Default Values'!$B$78:$V$97,COLUMNS('Default Values'!$B$77:I$77),0),0))</f>
        <v>0</v>
      </c>
      <c r="BW183" s="329">
        <f>IF($F183="",0,IF($F183="Weighted Average",$BS183*VLOOKUP($D183,'Default Values'!$B$78:$V$97,COLUMNS('Default Values'!$B$77:J$77),0),0))</f>
        <v>0</v>
      </c>
      <c r="BX183" s="329">
        <f>IF($F183="",0,IF($F183="Weighted Average",$BS183*VLOOKUP($D183,'Default Values'!$B$78:$V$97,COLUMNS('Default Values'!$B$77:K$77),0),0))</f>
        <v>0</v>
      </c>
      <c r="BY183" s="329">
        <f>IF($F183="",0,IF($F183="Weighted Average",$BS183*VLOOKUP($D183,'Default Values'!$B$78:$V$97,COLUMNS('Default Values'!$B$77:L$77),0),0))</f>
        <v>0</v>
      </c>
      <c r="BZ183" s="329">
        <f>IF($F183="",0,IF($F183="Weighted Average",$BS183*VLOOKUP($D183,'Default Values'!$B$78:$V$97,COLUMNS('Default Values'!$B$77:M$77),0),0))</f>
        <v>0</v>
      </c>
      <c r="CA183" s="329">
        <f>IF($F183="",0,IF($F183="Weighted Average",$BS183*VLOOKUP($D183,'Default Values'!$B$78:$V$97,COLUMNS('Default Values'!$B$77:N$77),0),0))</f>
        <v>0</v>
      </c>
      <c r="CB183" s="329">
        <f>IF($F183="",0,IF($F183="Weighted Average",$BS183*VLOOKUP($D183,'Default Values'!$B$78:$V$97,COLUMNS('Default Values'!$B$77:O$77),0),0))</f>
        <v>0</v>
      </c>
      <c r="CC183" s="329">
        <f>IF($F183="",0,IF($F183="Weighted Average",$BS183*VLOOKUP($D183,'Default Values'!$B$78:$V$97,COLUMNS('Default Values'!$B$77:P$77),0),0))</f>
        <v>0</v>
      </c>
      <c r="CD183" s="329">
        <f>IF($F183="",0,IF($F183="Weighted Average",$BS183*VLOOKUP($D183,'Default Values'!$B$78:$V$97,COLUMNS('Default Values'!$B$77:Q$77),0),0))</f>
        <v>0</v>
      </c>
      <c r="CE183" s="329">
        <f>IF($F183="",0,IF($F183="Weighted Average",$BS183*VLOOKUP($D183,'Default Values'!$B$78:$V$97,COLUMNS('Default Values'!$B$77:R$77),0),0))</f>
        <v>0</v>
      </c>
      <c r="CF183" s="329">
        <f>IF($F183="",0,IF($F183="Weighted Average",$BS183*VLOOKUP($D183,'Default Values'!$B$78:$V$97,COLUMNS('Default Values'!$B$77:S$77),0),0))</f>
        <v>0</v>
      </c>
      <c r="CG183" s="329">
        <f>IF($F183="",0,IF($F183="Weighted Average",$BS183*VLOOKUP($D183,'Default Values'!$B$78:$V$97,COLUMNS('Default Values'!$B$77:T$77),0),0))</f>
        <v>0</v>
      </c>
      <c r="CH183" s="329">
        <f>IF($F183="",0,IF($F183="Weighted Average",$BS183*VLOOKUP($D183,'Default Values'!$B$78:$V$97,COLUMNS('Default Values'!$B$77:U$77),0),0))</f>
        <v>0</v>
      </c>
      <c r="CI183" s="329">
        <f>IF($F183="",0,IF($F183="Weighted Average",$BS183*VLOOKUP($D183,'Default Values'!$B$78:$V$97,COLUMNS('Default Values'!$B$77:V$77),0),0))</f>
        <v>0</v>
      </c>
      <c r="CJ183" s="331">
        <f t="shared" si="252"/>
        <v>0</v>
      </c>
      <c r="CK183" s="330">
        <f t="shared" si="253"/>
        <v>0</v>
      </c>
      <c r="CL183" s="330">
        <f t="shared" si="254"/>
        <v>0</v>
      </c>
      <c r="CM183" s="330">
        <f t="shared" si="255"/>
        <v>0</v>
      </c>
      <c r="CN183" s="330">
        <f t="shared" si="256"/>
        <v>0</v>
      </c>
      <c r="CO183" s="330">
        <f t="shared" si="257"/>
        <v>0</v>
      </c>
      <c r="CP183" s="330">
        <f t="shared" si="258"/>
        <v>0</v>
      </c>
      <c r="CQ183" s="330">
        <f t="shared" si="186"/>
        <v>0</v>
      </c>
      <c r="CR183" s="330">
        <f t="shared" si="259"/>
        <v>0</v>
      </c>
      <c r="CS183" s="330">
        <f t="shared" si="260"/>
        <v>0</v>
      </c>
      <c r="CT183" s="330">
        <f t="shared" si="261"/>
        <v>0</v>
      </c>
      <c r="CU183" s="330">
        <f t="shared" si="262"/>
        <v>0</v>
      </c>
      <c r="CV183" s="330">
        <f t="shared" si="262"/>
        <v>0</v>
      </c>
      <c r="CW183" s="330">
        <f t="shared" si="262"/>
        <v>0</v>
      </c>
      <c r="CX183" s="330">
        <f t="shared" si="262"/>
        <v>0</v>
      </c>
      <c r="CY183" s="330">
        <f t="shared" si="262"/>
        <v>0</v>
      </c>
      <c r="CZ183" s="330">
        <f t="shared" si="262"/>
        <v>0</v>
      </c>
      <c r="DA183" s="330">
        <f t="shared" si="262"/>
        <v>0</v>
      </c>
      <c r="DB183" s="330">
        <f t="shared" si="262"/>
        <v>0</v>
      </c>
      <c r="DC183" s="330">
        <f t="shared" si="262"/>
        <v>0</v>
      </c>
      <c r="DD183" s="330">
        <f t="shared" si="262"/>
        <v>0</v>
      </c>
      <c r="DE183" s="330">
        <f t="shared" si="263"/>
        <v>0</v>
      </c>
      <c r="DF183" s="330">
        <f t="shared" si="263"/>
        <v>0</v>
      </c>
      <c r="DG183" s="330">
        <f t="shared" si="263"/>
        <v>0</v>
      </c>
      <c r="DH183" s="330">
        <f t="shared" si="263"/>
        <v>0</v>
      </c>
      <c r="DI183" s="330">
        <f t="shared" si="263"/>
        <v>0</v>
      </c>
      <c r="DJ183" s="330">
        <f t="shared" si="263"/>
        <v>0</v>
      </c>
      <c r="DK183" s="330">
        <f t="shared" si="263"/>
        <v>0</v>
      </c>
      <c r="DL183" s="330">
        <f t="shared" si="263"/>
        <v>0</v>
      </c>
      <c r="DM183" s="330">
        <f t="shared" si="263"/>
        <v>0</v>
      </c>
      <c r="DN183" s="330">
        <f t="shared" si="263"/>
        <v>0</v>
      </c>
      <c r="DO183" s="330">
        <f t="shared" si="263"/>
        <v>0</v>
      </c>
      <c r="DP183" s="330">
        <f t="shared" si="264"/>
        <v>0</v>
      </c>
      <c r="DQ183" s="217"/>
      <c r="DR183" s="217"/>
      <c r="DS183" s="217"/>
      <c r="DT183" s="217"/>
    </row>
    <row r="184" spans="1:124" x14ac:dyDescent="0.3">
      <c r="A184" s="324"/>
      <c r="B184" s="221" t="s">
        <v>307</v>
      </c>
      <c r="C184" s="221" t="str">
        <f>IF('Simplified Screening 2'!C35=0,"",'Simplified Screening 2'!C35)</f>
        <v/>
      </c>
      <c r="D184" s="221" t="str">
        <f>IF('Simplified Screening 2'!D35=0,"",'Simplified Screening 2'!D35)</f>
        <v/>
      </c>
      <c r="E184" s="221"/>
      <c r="F184" s="221" t="str">
        <f>'Simplified Screening 2'!J35</f>
        <v/>
      </c>
      <c r="G184" s="335" t="str">
        <f>IF(D184="","",'Simplified Screening 2'!G35/1000*VLOOKUP(D184,'Default Values'!$B$78:$F$97,COLUMNS('Default Values'!$B$77:$D$77),0)/1000)</f>
        <v/>
      </c>
      <c r="H184" s="335" t="str">
        <f>IF(D184="","",'Simplified Screening 2'!G35/1000*VLOOKUP(D184,'Default Values'!$B$78:$F$97,COLUMNS('Default Values'!$B$77:$E$77),0)/1000)</f>
        <v/>
      </c>
      <c r="I184" s="335" t="str">
        <f>IF(D184="","",'Simplified Screening 2'!G35/1000*VLOOKUP(D184,'Default Values'!$B$78:$F$97,COLUMNS('Default Values'!$B$77:$F$77),0)/1000)</f>
        <v/>
      </c>
      <c r="J184" s="325">
        <f>IF('Simplified Screening 2'!H35=0,0,'Simplified Screening 2'!H35)</f>
        <v>0</v>
      </c>
      <c r="K184" s="465"/>
      <c r="L184" s="333">
        <f>IF($F184="",0,IF($F184="Weighted Average",$G184*VLOOKUP($D184&amp;" (Install)",Lists!$C$72:$R$232,COLUMNS(Lists!$C$69:E$69),0)*VLOOKUP(BE$3,Conversions!$B$12:$E$34,4,0),$G184*VLOOKUP($F184,Lists!$C$72:$R$232,COLUMNS(Lists!$C$69:E$69),0)*VLOOKUP(BE$3,Conversions!$B$12:$E$34,4,0)))</f>
        <v>0</v>
      </c>
      <c r="M184" s="333">
        <f>IF($F184="",0,IF($F184="Weighted Average",$G184*VLOOKUP($D184&amp;" (Install)",Lists!$C$72:$R$232,COLUMNS(Lists!$C$69:F$69),0)*VLOOKUP(BF$3,Conversions!$B$12:$E$34,4,0),$G184*VLOOKUP($F184,Lists!$C$72:$R$232,COLUMNS(Lists!$C$69:F$69),0)*VLOOKUP(BF$3,Conversions!$B$12:$E$34,4,0)))</f>
        <v>0</v>
      </c>
      <c r="N184" s="333">
        <f>IF($F184="",0,IF($F184="Weighted Average",$G184*VLOOKUP($D184&amp;" (Install)",Lists!$C$72:$R$232,COLUMNS(Lists!$C$69:G$69),0)*VLOOKUP(BG$3,Conversions!$B$12:$E$34,4,0),$G184*VLOOKUP($F184,Lists!$C$72:$R$232,COLUMNS(Lists!$C$69:G$69),0)*VLOOKUP(BG$3,Conversions!$B$12:$E$34,4,0)))</f>
        <v>0</v>
      </c>
      <c r="O184" s="333">
        <f>IF($F184="",0,IF($F184="Weighted Average",$G184*VLOOKUP($D184&amp;" (Install)",Lists!$C$72:$R$232,COLUMNS(Lists!$C$69:H$69),0)*VLOOKUP(BH$3,Conversions!$B$12:$E$34,4,0),$G184*VLOOKUP($F184,Lists!$C$72:$R$232,COLUMNS(Lists!$C$69:H$69),0)*VLOOKUP(BH$3,Conversions!$B$12:$E$34,4,0)))</f>
        <v>0</v>
      </c>
      <c r="P184" s="333">
        <f>IF($F184="",0,IF($F184="Weighted Average",$G184*VLOOKUP($D184&amp;" (Install)",Lists!$C$72:$R$232,COLUMNS(Lists!$C$69:I$69),0)*VLOOKUP(BI$3,Conversions!$B$12:$E$34,4,0),$G184*VLOOKUP($F184,Lists!$C$72:$R$232,COLUMNS(Lists!$C$69:I$69),0)*VLOOKUP(BI$3,Conversions!$B$12:$E$34,4,0)))</f>
        <v>0</v>
      </c>
      <c r="Q184" s="333">
        <f>IF($F184="",0,IF($F184="Weighted Average",$G184*VLOOKUP($D184&amp;" (Install)",Lists!$C$72:$R$232,COLUMNS(Lists!$C$69:J$69),0)*VLOOKUP(BJ$3,Conversions!$B$12:$E$34,4,0),$G184*VLOOKUP($F184,Lists!$C$72:$R$232,COLUMNS(Lists!$C$69:J$69),0)*VLOOKUP(BJ$3,Conversions!$B$12:$E$34,4,0)))</f>
        <v>0</v>
      </c>
      <c r="R184" s="333">
        <f>IF($F184="",0,IF($F184="Weighted Average",$G184*VLOOKUP($D184&amp;" (Install)",Lists!$C$72:$R$232,COLUMNS(Lists!$C$69:K$69),0)*VLOOKUP(BK$3,Conversions!$B$12:$E$34,4,0),$G184*VLOOKUP($F184,Lists!$C$72:$R$232,COLUMNS(Lists!$C$69:K$69),0)*VLOOKUP(BK$3,Conversions!$B$12:$E$34,4,0)))</f>
        <v>0</v>
      </c>
      <c r="S184" s="333">
        <f>IF($F184="",0,IF($F184="Weighted Average",$G184*VLOOKUP($D184&amp;" (Install)",Lists!$C$72:$R$232,COLUMNS(Lists!$C$69:L$69),0)*VLOOKUP(BL$3,Conversions!$B$12:$E$34,4,0),$G184*VLOOKUP($F184,Lists!$C$72:$R$232,COLUMNS(Lists!$C$69:L$69),0)*VLOOKUP(BL$3,Conversions!$B$12:$E$34,4,0)))</f>
        <v>0</v>
      </c>
      <c r="T184" s="333">
        <f>IF($F184="",0,IF($F184="Weighted Average",$G184*VLOOKUP($D184&amp;" (Install)",Lists!$C$72:$R$232,COLUMNS(Lists!$C$69:M$69),0)*VLOOKUP(BM$3,Conversions!$B$12:$E$34,4,0),$G184*VLOOKUP($F184,Lists!$C$72:$R$232,COLUMNS(Lists!$C$69:M$69),0)*VLOOKUP(BM$3,Conversions!$B$12:$E$34,4,0)))</f>
        <v>0</v>
      </c>
      <c r="U184" s="333">
        <f>IF($F184="",0,IF($F184="Weighted Average",$G184*VLOOKUP($D184&amp;" (Install)",Lists!$C$72:$R$232,COLUMNS(Lists!$C$69:N$69),0)*VLOOKUP(BN$3,Conversions!$B$12:$E$34,4,0),$G184*VLOOKUP($F184,Lists!$C$72:$R$232,COLUMNS(Lists!$C$69:N$69),0)*VLOOKUP(BN$3,Conversions!$B$12:$E$34,4,0)))</f>
        <v>0</v>
      </c>
      <c r="V184" s="333">
        <f>IF($F184="",0,IF($F184="Weighted Average",$G184*VLOOKUP($D184&amp;" (Install)",Lists!$C$72:$R$232,COLUMNS(Lists!$C$69:O$69),0)*VLOOKUP(BO$3,Conversions!$B$12:$E$34,4,0),$G184*VLOOKUP($F184,Lists!$C$72:$R$232,COLUMNS(Lists!$C$69:O$69),0)*VLOOKUP(BO$3,Conversions!$B$12:$E$34,4,0)))</f>
        <v>0</v>
      </c>
      <c r="W184" s="333">
        <f>IF($F184="",0,IF($F184="Weighted Average",$G184*VLOOKUP($D184&amp;" (Install)",Lists!$C$72:$R$232,COLUMNS(Lists!$C$69:P$69),0)*VLOOKUP(BP$3,Conversions!$B$12:$E$34,4,0),$G184*VLOOKUP($F184,Lists!$C$72:$R$232,COLUMNS(Lists!$C$69:P$69),0)*VLOOKUP(BP$3,Conversions!$B$12:$E$34,4,0)))</f>
        <v>0</v>
      </c>
      <c r="X184" s="333">
        <f>IF($F184="",0,IF($F184="Weighted Average",$G184*VLOOKUP($D184&amp;" (Install)",Lists!$C$72:$R$232,COLUMNS(Lists!$C$69:Q$69),0)*VLOOKUP(BQ$3,Conversions!$B$12:$E$34,4,0),$G184*VLOOKUP($F184,Lists!$C$72:$R$232,COLUMNS(Lists!$C$69:Q$69),0)*VLOOKUP(BQ$3,Conversions!$B$12:$E$34,4,0)))</f>
        <v>0</v>
      </c>
      <c r="Y184" s="333">
        <f>IF($F184="",0,IF($F184="Weighted Average",$G184*VLOOKUP($D184&amp;" (Install)",Lists!$C$72:$R$232,COLUMNS(Lists!$C$69:R$69),0)*VLOOKUP(BR$3,Conversions!$B$12:$E$34,4,0),$G184*VLOOKUP($F184,Lists!$C$72:$R$232,COLUMNS(Lists!$C$69:R$69),0)*VLOOKUP(BR$3,Conversions!$B$12:$E$34,4,0)))</f>
        <v>0</v>
      </c>
      <c r="Z184" s="325">
        <f t="shared" si="234"/>
        <v>0</v>
      </c>
      <c r="AA184" s="334">
        <f>IF($F184="",0,IF($F184="Weighted Average",$H184*VLOOKUP($D184&amp;" (Operation)",Lists!$C$72:$R$232,COLUMNS(Lists!$C$69:E$69),0)*VLOOKUP(BE$3,Conversions!$B$12:$E$34,4,0),$H184*VLOOKUP($F184,Lists!$C$72:$R$232,COLUMNS(Lists!$C$69:E$69),0)*VLOOKUP(BE$3,Conversions!$B$12:$E$34,4,0)))</f>
        <v>0</v>
      </c>
      <c r="AB184" s="334">
        <f>IF($F184="",0,IF($F184="Weighted Average",$H184*VLOOKUP($D184&amp;" (Operation)",Lists!$C$72:$R$232,COLUMNS(Lists!$C$69:F$69),0)*VLOOKUP(BF$3,Conversions!$B$12:$E$34,4,0),$H184*VLOOKUP($F184,Lists!$C$72:$R$232,COLUMNS(Lists!$C$69:F$69),0)*VLOOKUP(BF$3,Conversions!$B$12:$E$34,4,0)))</f>
        <v>0</v>
      </c>
      <c r="AC184" s="334">
        <f>IF($F184="",0,IF($F184="Weighted Average",$H184*VLOOKUP($D184&amp;" (Operation)",Lists!$C$72:$R$232,COLUMNS(Lists!$C$69:G$69),0)*VLOOKUP(BG$3,Conversions!$B$12:$E$34,4,0),$H184*VLOOKUP($F184,Lists!$C$72:$R$232,COLUMNS(Lists!$C$69:G$69),0)*VLOOKUP(BG$3,Conversions!$B$12:$E$34,4,0)))</f>
        <v>0</v>
      </c>
      <c r="AD184" s="334">
        <f>IF($F184="",0,IF($F184="Weighted Average",$H184*VLOOKUP($D184&amp;" (Operation)",Lists!$C$72:$R$232,COLUMNS(Lists!$C$69:H$69),0)*VLOOKUP(BH$3,Conversions!$B$12:$E$34,4,0),$H184*VLOOKUP($F184,Lists!$C$72:$R$232,COLUMNS(Lists!$C$69:H$69),0)*VLOOKUP(BH$3,Conversions!$B$12:$E$34,4,0)))</f>
        <v>0</v>
      </c>
      <c r="AE184" s="334">
        <f>IF($F184="",0,IF($F184="Weighted Average",$H184*VLOOKUP($D184&amp;" (Operation)",Lists!$C$72:$R$232,COLUMNS(Lists!$C$69:I$69),0)*VLOOKUP(BI$3,Conversions!$B$12:$E$34,4,0),$H184*VLOOKUP($F184,Lists!$C$72:$R$232,COLUMNS(Lists!$C$69:I$69),0)*VLOOKUP(BI$3,Conversions!$B$12:$E$34,4,0)))</f>
        <v>0</v>
      </c>
      <c r="AF184" s="334">
        <f>IF($F184="",0,IF($F184="Weighted Average",$H184*VLOOKUP($D184&amp;" (Operation)",Lists!$C$72:$R$232,COLUMNS(Lists!$C$69:J$69),0)*VLOOKUP(BJ$3,Conversions!$B$12:$E$34,4,0),$H184*VLOOKUP($F184,Lists!$C$72:$R$232,COLUMNS(Lists!$C$69:J$69),0)*VLOOKUP(BJ$3,Conversions!$B$12:$E$34,4,0)))</f>
        <v>0</v>
      </c>
      <c r="AG184" s="334">
        <f>IF($F184="",0,IF($F184="Weighted Average",$H184*VLOOKUP($D184&amp;" (Operation)",Lists!$C$72:$R$232,COLUMNS(Lists!$C$69:K$69),0)*VLOOKUP(BK$3,Conversions!$B$12:$E$34,4,0),$H184*VLOOKUP($F184,Lists!$C$72:$R$232,COLUMNS(Lists!$C$69:K$69),0)*VLOOKUP(BK$3,Conversions!$B$12:$E$34,4,0)))</f>
        <v>0</v>
      </c>
      <c r="AH184" s="334">
        <f>IF($F184="",0,IF($F184="Weighted Average",$H184*VLOOKUP($D184&amp;" (Operation)",Lists!$C$72:$R$232,COLUMNS(Lists!$C$69:L$69),0)*VLOOKUP(BL$3,Conversions!$B$12:$E$34,4,0),$H184*VLOOKUP($F184,Lists!$C$72:$R$232,COLUMNS(Lists!$C$69:L$69),0)*VLOOKUP(BL$3,Conversions!$B$12:$E$34,4,0)))</f>
        <v>0</v>
      </c>
      <c r="AI184" s="334">
        <f>IF($F184="",0,IF($F184="Weighted Average",$H184*VLOOKUP($D184&amp;" (Operation)",Lists!$C$72:$R$232,COLUMNS(Lists!$C$69:M$69),0)*VLOOKUP(BM$3,Conversions!$B$12:$E$34,4,0),$H184*VLOOKUP($F184,Lists!$C$72:$R$232,COLUMNS(Lists!$C$69:M$69),0)*VLOOKUP(BM$3,Conversions!$B$12:$E$34,4,0)))</f>
        <v>0</v>
      </c>
      <c r="AJ184" s="334">
        <f>IF($F184="",0,IF($F184="Weighted Average",$H184*VLOOKUP($D184&amp;" (Operation)",Lists!$C$72:$R$232,COLUMNS(Lists!$C$69:N$69),0)*VLOOKUP(BN$3,Conversions!$B$12:$E$34,4,0),$H184*VLOOKUP($F184,Lists!$C$72:$R$232,COLUMNS(Lists!$C$69:N$69),0)*VLOOKUP(BN$3,Conversions!$B$12:$E$34,4,0)))</f>
        <v>0</v>
      </c>
      <c r="AK184" s="334">
        <f>IF($F184="",0,IF($F184="Weighted Average",$H184*VLOOKUP($D184&amp;" (Operation)",Lists!$C$72:$R$232,COLUMNS(Lists!$C$69:O$69),0)*VLOOKUP(BO$3,Conversions!$B$12:$E$34,4,0),$H184*VLOOKUP($F184,Lists!$C$72:$R$232,COLUMNS(Lists!$C$69:O$69),0)*VLOOKUP(BO$3,Conversions!$B$12:$E$34,4,0)))</f>
        <v>0</v>
      </c>
      <c r="AL184" s="334">
        <f>IF($F184="",0,IF($F184="Weighted Average",$H184*VLOOKUP($D184&amp;" (Operation)",Lists!$C$72:$R$232,COLUMNS(Lists!$C$69:P$69),0)*VLOOKUP(BP$3,Conversions!$B$12:$E$34,4,0),$H184*VLOOKUP($F184,Lists!$C$72:$R$232,COLUMNS(Lists!$C$69:P$69),0)*VLOOKUP(BP$3,Conversions!$B$12:$E$34,4,0)))</f>
        <v>0</v>
      </c>
      <c r="AM184" s="334">
        <f>IF($F184="",0,IF($F184="Weighted Average",$H184*VLOOKUP($D184&amp;" (Operation)",Lists!$C$72:$R$232,COLUMNS(Lists!$C$69:Q$69),0)*VLOOKUP(BQ$3,Conversions!$B$12:$E$34,4,0),$H184*VLOOKUP($F184,Lists!$C$72:$R$232,COLUMNS(Lists!$C$69:Q$69),0)*VLOOKUP(BQ$3,Conversions!$B$12:$E$34,4,0)))</f>
        <v>0</v>
      </c>
      <c r="AN184" s="334">
        <f>IF($F184="",0,IF($F184="Weighted Average",$H184*VLOOKUP($D184&amp;" (Operation)",Lists!$C$72:$R$232,COLUMNS(Lists!$C$69:R$69),0)*VLOOKUP(BR$3,Conversions!$B$12:$E$34,4,0),$H184*VLOOKUP($F184,Lists!$C$72:$R$232,COLUMNS(Lists!$C$69:R$69),0)*VLOOKUP(BR$3,Conversions!$B$12:$E$34,4,0)))</f>
        <v>0</v>
      </c>
      <c r="AO184" s="330">
        <f t="shared" si="235"/>
        <v>0</v>
      </c>
      <c r="AP184" s="333">
        <f>IF($F184="",0,IF($F184="Weighted Average",$I184*VLOOKUP($D184&amp;" (Disposal)",Lists!$C$72:$R$232,COLUMNS(Lists!$C$69:E$69),0)*VLOOKUP(BE$3,Conversions!$B$12:$E$34,4,0),$I184*VLOOKUP($F184,Lists!$C$72:$R$232,COLUMNS(Lists!$C$69:E$69),0)*VLOOKUP(BE$3,Conversions!$B$12:$E$34,4,0)))</f>
        <v>0</v>
      </c>
      <c r="AQ184" s="333">
        <f>IF($F184="",0,IF($F184="Weighted Average",$I184*VLOOKUP($D184&amp;" (Disposal)",Lists!$C$72:$R$232,COLUMNS(Lists!$C$69:F$69),0)*VLOOKUP(BF$3,Conversions!$B$12:$E$34,4,0),$I184*VLOOKUP($F184,Lists!$C$72:$R$232,COLUMNS(Lists!$C$69:F$69),0)*VLOOKUP(BF$3,Conversions!$B$12:$E$34,4,0)))</f>
        <v>0</v>
      </c>
      <c r="AR184" s="333">
        <f>IF($F184="",0,IF($F184="Weighted Average",$I184*VLOOKUP($D184&amp;" (Disposal)",Lists!$C$72:$R$232,COLUMNS(Lists!$C$69:G$69),0)*VLOOKUP(BG$3,Conversions!$B$12:$E$34,4,0),$I184*VLOOKUP($F184,Lists!$C$72:$R$232,COLUMNS(Lists!$C$69:G$69),0)*VLOOKUP(BG$3,Conversions!$B$12:$E$34,4,0)))</f>
        <v>0</v>
      </c>
      <c r="AS184" s="333">
        <f>IF($F184="",0,IF($F184="Weighted Average",$I184*VLOOKUP($D184&amp;" (Disposal)",Lists!$C$72:$R$232,COLUMNS(Lists!$C$69:H$69),0)*VLOOKUP(BH$3,Conversions!$B$12:$E$34,4,0),$I184*VLOOKUP($F184,Lists!$C$72:$R$232,COLUMNS(Lists!$C$69:H$69),0)*VLOOKUP(BH$3,Conversions!$B$12:$E$34,4,0)))</f>
        <v>0</v>
      </c>
      <c r="AT184" s="333">
        <f>IF($F184="",0,IF($F184="Weighted Average",$I184*VLOOKUP($D184&amp;" (Disposal)",Lists!$C$72:$R$232,COLUMNS(Lists!$C$69:I$69),0)*VLOOKUP(BI$3,Conversions!$B$12:$E$34,4,0),$I184*VLOOKUP($F184,Lists!$C$72:$R$232,COLUMNS(Lists!$C$69:I$69),0)*VLOOKUP(BI$3,Conversions!$B$12:$E$34,4,0)))</f>
        <v>0</v>
      </c>
      <c r="AU184" s="333">
        <f>IF($F184="",0,IF($F184="Weighted Average",$I184*VLOOKUP($D184&amp;" (Disposal)",Lists!$C$72:$R$232,COLUMNS(Lists!$C$69:J$69),0)*VLOOKUP(BJ$3,Conversions!$B$12:$E$34,4,0),$I184*VLOOKUP($F184,Lists!$C$72:$R$232,COLUMNS(Lists!$C$69:J$69),0)*VLOOKUP(BJ$3,Conversions!$B$12:$E$34,4,0)))</f>
        <v>0</v>
      </c>
      <c r="AV184" s="333">
        <f>IF($F184="",0,IF($F184="Weighted Average",$I184*VLOOKUP($D184&amp;" (Disposal)",Lists!$C$72:$R$232,COLUMNS(Lists!$C$69:K$69),0)*VLOOKUP(BK$3,Conversions!$B$12:$E$34,4,0),$I184*VLOOKUP($F184,Lists!$C$72:$R$232,COLUMNS(Lists!$C$69:K$69),0)*VLOOKUP(BK$3,Conversions!$B$12:$E$34,4,0)))</f>
        <v>0</v>
      </c>
      <c r="AW184" s="333">
        <f>IF($F184="",0,IF($F184="Weighted Average",$I184*VLOOKUP($D184&amp;" (Disposal)",Lists!$C$72:$R$232,COLUMNS(Lists!$C$69:L$69),0)*VLOOKUP(BL$3,Conversions!$B$12:$E$34,4,0),$I184*VLOOKUP($F184,Lists!$C$72:$R$232,COLUMNS(Lists!$C$69:L$69),0)*VLOOKUP(BL$3,Conversions!$B$12:$E$34,4,0)))</f>
        <v>0</v>
      </c>
      <c r="AX184" s="333">
        <f>IF($F184="",0,IF($F184="Weighted Average",$I184*VLOOKUP($D184&amp;" (Disposal)",Lists!$C$72:$R$232,COLUMNS(Lists!$C$69:M$69),0)*VLOOKUP(BM$3,Conversions!$B$12:$E$34,4,0),$I184*VLOOKUP($F184,Lists!$C$72:$R$232,COLUMNS(Lists!$C$69:M$69),0)*VLOOKUP(BM$3,Conversions!$B$12:$E$34,4,0)))</f>
        <v>0</v>
      </c>
      <c r="AY184" s="333">
        <f>IF($F184="",0,IF($F184="Weighted Average",$I184*VLOOKUP($D184&amp;" (Disposal)",Lists!$C$72:$R$232,COLUMNS(Lists!$C$69:N$69),0)*VLOOKUP(BN$3,Conversions!$B$12:$E$34,4,0),$I184*VLOOKUP($F184,Lists!$C$72:$R$232,COLUMNS(Lists!$C$69:N$69),0)*VLOOKUP(BN$3,Conversions!$B$12:$E$34,4,0)))</f>
        <v>0</v>
      </c>
      <c r="AZ184" s="333">
        <f>IF($F184="",0,IF($F184="Weighted Average",$I184*VLOOKUP($D184&amp;" (Disposal)",Lists!$C$72:$R$232,COLUMNS(Lists!$C$69:O$69),0)*VLOOKUP(BO$3,Conversions!$B$12:$E$34,4,0),$I184*VLOOKUP($F184,Lists!$C$72:$R$232,COLUMNS(Lists!$C$69:O$69),0)*VLOOKUP(BO$3,Conversions!$B$12:$E$34,4,0)))</f>
        <v>0</v>
      </c>
      <c r="BA184" s="333">
        <f>IF($F184="",0,IF($F184="Weighted Average",$I184*VLOOKUP($D184&amp;" (Disposal)",Lists!$C$72:$R$232,COLUMNS(Lists!$C$69:P$69),0)*VLOOKUP(BP$3,Conversions!$B$12:$E$34,4,0),$I184*VLOOKUP($F184,Lists!$C$72:$R$232,COLUMNS(Lists!$C$69:P$69),0)*VLOOKUP(BP$3,Conversions!$B$12:$E$34,4,0)))</f>
        <v>0</v>
      </c>
      <c r="BB184" s="333">
        <f>IF($F184="",0,IF($F184="Weighted Average",$I184*VLOOKUP($D184&amp;" (Disposal)",Lists!$C$72:$R$232,COLUMNS(Lists!$C$69:Q$69),0)*VLOOKUP(BQ$3,Conversions!$B$12:$E$34,4,0),$I184*VLOOKUP($F184,Lists!$C$72:$R$232,COLUMNS(Lists!$C$69:Q$69),0)*VLOOKUP(BQ$3,Conversions!$B$12:$E$34,4,0)))</f>
        <v>0</v>
      </c>
      <c r="BC184" s="333">
        <f>IF($F184="",0,IF($F184="Weighted Average",$I184*VLOOKUP($D184&amp;" (Disposal)",Lists!$C$72:$R$232,COLUMNS(Lists!$C$69:R$69),0)*VLOOKUP(BR$3,Conversions!$B$12:$E$34,4,0),$I184*VLOOKUP($F184,Lists!$C$72:$R$232,COLUMNS(Lists!$C$69:R$69),0)*VLOOKUP(BR$3,Conversions!$B$12:$E$34,4,0)))</f>
        <v>0</v>
      </c>
      <c r="BD184" s="333">
        <f t="shared" si="236"/>
        <v>0</v>
      </c>
      <c r="BE184" s="330">
        <f t="shared" si="237"/>
        <v>0</v>
      </c>
      <c r="BF184" s="330">
        <f t="shared" si="238"/>
        <v>0</v>
      </c>
      <c r="BG184" s="330">
        <f t="shared" si="239"/>
        <v>0</v>
      </c>
      <c r="BH184" s="330">
        <f t="shared" si="240"/>
        <v>0</v>
      </c>
      <c r="BI184" s="330">
        <f t="shared" si="241"/>
        <v>0</v>
      </c>
      <c r="BJ184" s="330">
        <f t="shared" si="242"/>
        <v>0</v>
      </c>
      <c r="BK184" s="330">
        <f t="shared" si="243"/>
        <v>0</v>
      </c>
      <c r="BL184" s="330">
        <f t="shared" si="244"/>
        <v>0</v>
      </c>
      <c r="BM184" s="330">
        <f t="shared" si="245"/>
        <v>0</v>
      </c>
      <c r="BN184" s="330">
        <f t="shared" si="246"/>
        <v>0</v>
      </c>
      <c r="BO184" s="330">
        <f t="shared" si="247"/>
        <v>0</v>
      </c>
      <c r="BP184" s="330">
        <f t="shared" si="248"/>
        <v>0</v>
      </c>
      <c r="BQ184" s="330">
        <f t="shared" si="249"/>
        <v>0</v>
      </c>
      <c r="BR184" s="330">
        <f t="shared" si="250"/>
        <v>0</v>
      </c>
      <c r="BS184" s="330">
        <f t="shared" si="251"/>
        <v>0</v>
      </c>
      <c r="BT184" s="329">
        <f>IF($F184="",0,IF($F184="Weighted Average",$BS184*VLOOKUP($D184,'Default Values'!$B$78:$V$97,COLUMNS('Default Values'!$B$77:G$77),0),0))</f>
        <v>0</v>
      </c>
      <c r="BU184" s="329">
        <f>IF($F184="",0,IF($F184="Weighted Average",$BS184*VLOOKUP($D184,'Default Values'!$B$78:$V$97,COLUMNS('Default Values'!$B$77:H$77),0),0))</f>
        <v>0</v>
      </c>
      <c r="BV184" s="329">
        <f>IF($F184="",0,IF($F184="Weighted Average",$BS184*VLOOKUP($D184,'Default Values'!$B$78:$V$97,COLUMNS('Default Values'!$B$77:I$77),0),0))</f>
        <v>0</v>
      </c>
      <c r="BW184" s="329">
        <f>IF($F184="",0,IF($F184="Weighted Average",$BS184*VLOOKUP($D184,'Default Values'!$B$78:$V$97,COLUMNS('Default Values'!$B$77:J$77),0),0))</f>
        <v>0</v>
      </c>
      <c r="BX184" s="329">
        <f>IF($F184="",0,IF($F184="Weighted Average",$BS184*VLOOKUP($D184,'Default Values'!$B$78:$V$97,COLUMNS('Default Values'!$B$77:K$77),0),0))</f>
        <v>0</v>
      </c>
      <c r="BY184" s="329">
        <f>IF($F184="",0,IF($F184="Weighted Average",$BS184*VLOOKUP($D184,'Default Values'!$B$78:$V$97,COLUMNS('Default Values'!$B$77:L$77),0),0))</f>
        <v>0</v>
      </c>
      <c r="BZ184" s="329">
        <f>IF($F184="",0,IF($F184="Weighted Average",$BS184*VLOOKUP($D184,'Default Values'!$B$78:$V$97,COLUMNS('Default Values'!$B$77:M$77),0),0))</f>
        <v>0</v>
      </c>
      <c r="CA184" s="329">
        <f>IF($F184="",0,IF($F184="Weighted Average",$BS184*VLOOKUP($D184,'Default Values'!$B$78:$V$97,COLUMNS('Default Values'!$B$77:N$77),0),0))</f>
        <v>0</v>
      </c>
      <c r="CB184" s="329">
        <f>IF($F184="",0,IF($F184="Weighted Average",$BS184*VLOOKUP($D184,'Default Values'!$B$78:$V$97,COLUMNS('Default Values'!$B$77:O$77),0),0))</f>
        <v>0</v>
      </c>
      <c r="CC184" s="329">
        <f>IF($F184="",0,IF($F184="Weighted Average",$BS184*VLOOKUP($D184,'Default Values'!$B$78:$V$97,COLUMNS('Default Values'!$B$77:P$77),0),0))</f>
        <v>0</v>
      </c>
      <c r="CD184" s="329">
        <f>IF($F184="",0,IF($F184="Weighted Average",$BS184*VLOOKUP($D184,'Default Values'!$B$78:$V$97,COLUMNS('Default Values'!$B$77:Q$77),0),0))</f>
        <v>0</v>
      </c>
      <c r="CE184" s="329">
        <f>IF($F184="",0,IF($F184="Weighted Average",$BS184*VLOOKUP($D184,'Default Values'!$B$78:$V$97,COLUMNS('Default Values'!$B$77:R$77),0),0))</f>
        <v>0</v>
      </c>
      <c r="CF184" s="329">
        <f>IF($F184="",0,IF($F184="Weighted Average",$BS184*VLOOKUP($D184,'Default Values'!$B$78:$V$97,COLUMNS('Default Values'!$B$77:S$77),0),0))</f>
        <v>0</v>
      </c>
      <c r="CG184" s="329">
        <f>IF($F184="",0,IF($F184="Weighted Average",$BS184*VLOOKUP($D184,'Default Values'!$B$78:$V$97,COLUMNS('Default Values'!$B$77:T$77),0),0))</f>
        <v>0</v>
      </c>
      <c r="CH184" s="329">
        <f>IF($F184="",0,IF($F184="Weighted Average",$BS184*VLOOKUP($D184,'Default Values'!$B$78:$V$97,COLUMNS('Default Values'!$B$77:U$77),0),0))</f>
        <v>0</v>
      </c>
      <c r="CI184" s="329">
        <f>IF($F184="",0,IF($F184="Weighted Average",$BS184*VLOOKUP($D184,'Default Values'!$B$78:$V$97,COLUMNS('Default Values'!$B$77:V$77),0),0))</f>
        <v>0</v>
      </c>
      <c r="CJ184" s="331">
        <f t="shared" si="252"/>
        <v>0</v>
      </c>
      <c r="CK184" s="330">
        <f t="shared" si="253"/>
        <v>0</v>
      </c>
      <c r="CL184" s="330">
        <f t="shared" si="254"/>
        <v>0</v>
      </c>
      <c r="CM184" s="330">
        <f t="shared" si="255"/>
        <v>0</v>
      </c>
      <c r="CN184" s="330">
        <f t="shared" si="256"/>
        <v>0</v>
      </c>
      <c r="CO184" s="330">
        <f t="shared" si="257"/>
        <v>0</v>
      </c>
      <c r="CP184" s="330">
        <f t="shared" si="258"/>
        <v>0</v>
      </c>
      <c r="CQ184" s="330">
        <f t="shared" si="186"/>
        <v>0</v>
      </c>
      <c r="CR184" s="330">
        <f t="shared" si="259"/>
        <v>0</v>
      </c>
      <c r="CS184" s="330">
        <f t="shared" si="260"/>
        <v>0</v>
      </c>
      <c r="CT184" s="330">
        <f t="shared" si="261"/>
        <v>0</v>
      </c>
      <c r="CU184" s="330">
        <f t="shared" ref="CU184:DD193" si="265">IF($C184=CU$3,$BS184,0)</f>
        <v>0</v>
      </c>
      <c r="CV184" s="330">
        <f t="shared" si="265"/>
        <v>0</v>
      </c>
      <c r="CW184" s="330">
        <f t="shared" si="265"/>
        <v>0</v>
      </c>
      <c r="CX184" s="330">
        <f t="shared" si="265"/>
        <v>0</v>
      </c>
      <c r="CY184" s="330">
        <f t="shared" si="265"/>
        <v>0</v>
      </c>
      <c r="CZ184" s="330">
        <f t="shared" si="265"/>
        <v>0</v>
      </c>
      <c r="DA184" s="330">
        <f t="shared" si="265"/>
        <v>0</v>
      </c>
      <c r="DB184" s="330">
        <f t="shared" si="265"/>
        <v>0</v>
      </c>
      <c r="DC184" s="330">
        <f t="shared" si="265"/>
        <v>0</v>
      </c>
      <c r="DD184" s="330">
        <f t="shared" si="265"/>
        <v>0</v>
      </c>
      <c r="DE184" s="330">
        <f t="shared" ref="DE184:DO193" si="266">IF($C184=DE$3,$BS184,0)</f>
        <v>0</v>
      </c>
      <c r="DF184" s="330">
        <f t="shared" si="266"/>
        <v>0</v>
      </c>
      <c r="DG184" s="330">
        <f t="shared" si="266"/>
        <v>0</v>
      </c>
      <c r="DH184" s="330">
        <f t="shared" si="266"/>
        <v>0</v>
      </c>
      <c r="DI184" s="330">
        <f t="shared" si="266"/>
        <v>0</v>
      </c>
      <c r="DJ184" s="330">
        <f t="shared" si="266"/>
        <v>0</v>
      </c>
      <c r="DK184" s="330">
        <f t="shared" si="266"/>
        <v>0</v>
      </c>
      <c r="DL184" s="330">
        <f t="shared" si="266"/>
        <v>0</v>
      </c>
      <c r="DM184" s="330">
        <f t="shared" si="266"/>
        <v>0</v>
      </c>
      <c r="DN184" s="330">
        <f t="shared" si="266"/>
        <v>0</v>
      </c>
      <c r="DO184" s="330">
        <f t="shared" si="266"/>
        <v>0</v>
      </c>
      <c r="DP184" s="330">
        <f t="shared" si="264"/>
        <v>0</v>
      </c>
      <c r="DQ184" s="217"/>
      <c r="DR184" s="217"/>
      <c r="DS184" s="217"/>
      <c r="DT184" s="217"/>
    </row>
    <row r="185" spans="1:124" x14ac:dyDescent="0.3">
      <c r="A185" s="324"/>
      <c r="B185" s="221" t="s">
        <v>307</v>
      </c>
      <c r="C185" s="221" t="str">
        <f>IF('Simplified Screening 2'!C36=0,"",'Simplified Screening 2'!C36)</f>
        <v/>
      </c>
      <c r="D185" s="221" t="str">
        <f>IF('Simplified Screening 2'!D36=0,"",'Simplified Screening 2'!D36)</f>
        <v/>
      </c>
      <c r="E185" s="221"/>
      <c r="F185" s="221" t="str">
        <f>'Simplified Screening 2'!J36</f>
        <v/>
      </c>
      <c r="G185" s="335" t="str">
        <f>IF(D185="","",'Simplified Screening 2'!G36/1000*VLOOKUP(D185,'Default Values'!$B$78:$F$97,COLUMNS('Default Values'!$B$77:$D$77),0)/1000)</f>
        <v/>
      </c>
      <c r="H185" s="335" t="str">
        <f>IF(D185="","",'Simplified Screening 2'!G36/1000*VLOOKUP(D185,'Default Values'!$B$78:$F$97,COLUMNS('Default Values'!$B$77:$E$77),0)/1000)</f>
        <v/>
      </c>
      <c r="I185" s="335" t="str">
        <f>IF(D185="","",'Simplified Screening 2'!G36/1000*VLOOKUP(D185,'Default Values'!$B$78:$F$97,COLUMNS('Default Values'!$B$77:$F$77),0)/1000)</f>
        <v/>
      </c>
      <c r="J185" s="325">
        <f>IF('Simplified Screening 2'!H36=0,0,'Simplified Screening 2'!H36)</f>
        <v>0</v>
      </c>
      <c r="K185" s="465"/>
      <c r="L185" s="333">
        <f>IF($F185="",0,IF($F185="Weighted Average",$G185*VLOOKUP($D185&amp;" (Install)",Lists!$C$72:$R$232,COLUMNS(Lists!$C$69:E$69),0)*VLOOKUP(BE$3,Conversions!$B$12:$E$34,4,0),$G185*VLOOKUP($F185,Lists!$C$72:$R$232,COLUMNS(Lists!$C$69:E$69),0)*VLOOKUP(BE$3,Conversions!$B$12:$E$34,4,0)))</f>
        <v>0</v>
      </c>
      <c r="M185" s="333">
        <f>IF($F185="",0,IF($F185="Weighted Average",$G185*VLOOKUP($D185&amp;" (Install)",Lists!$C$72:$R$232,COLUMNS(Lists!$C$69:F$69),0)*VLOOKUP(BF$3,Conversions!$B$12:$E$34,4,0),$G185*VLOOKUP($F185,Lists!$C$72:$R$232,COLUMNS(Lists!$C$69:F$69),0)*VLOOKUP(BF$3,Conversions!$B$12:$E$34,4,0)))</f>
        <v>0</v>
      </c>
      <c r="N185" s="333">
        <f>IF($F185="",0,IF($F185="Weighted Average",$G185*VLOOKUP($D185&amp;" (Install)",Lists!$C$72:$R$232,COLUMNS(Lists!$C$69:G$69),0)*VLOOKUP(BG$3,Conversions!$B$12:$E$34,4,0),$G185*VLOOKUP($F185,Lists!$C$72:$R$232,COLUMNS(Lists!$C$69:G$69),0)*VLOOKUP(BG$3,Conversions!$B$12:$E$34,4,0)))</f>
        <v>0</v>
      </c>
      <c r="O185" s="333">
        <f>IF($F185="",0,IF($F185="Weighted Average",$G185*VLOOKUP($D185&amp;" (Install)",Lists!$C$72:$R$232,COLUMNS(Lists!$C$69:H$69),0)*VLOOKUP(BH$3,Conversions!$B$12:$E$34,4,0),$G185*VLOOKUP($F185,Lists!$C$72:$R$232,COLUMNS(Lists!$C$69:H$69),0)*VLOOKUP(BH$3,Conversions!$B$12:$E$34,4,0)))</f>
        <v>0</v>
      </c>
      <c r="P185" s="333">
        <f>IF($F185="",0,IF($F185="Weighted Average",$G185*VLOOKUP($D185&amp;" (Install)",Lists!$C$72:$R$232,COLUMNS(Lists!$C$69:I$69),0)*VLOOKUP(BI$3,Conversions!$B$12:$E$34,4,0),$G185*VLOOKUP($F185,Lists!$C$72:$R$232,COLUMNS(Lists!$C$69:I$69),0)*VLOOKUP(BI$3,Conversions!$B$12:$E$34,4,0)))</f>
        <v>0</v>
      </c>
      <c r="Q185" s="333">
        <f>IF($F185="",0,IF($F185="Weighted Average",$G185*VLOOKUP($D185&amp;" (Install)",Lists!$C$72:$R$232,COLUMNS(Lists!$C$69:J$69),0)*VLOOKUP(BJ$3,Conversions!$B$12:$E$34,4,0),$G185*VLOOKUP($F185,Lists!$C$72:$R$232,COLUMNS(Lists!$C$69:J$69),0)*VLOOKUP(BJ$3,Conversions!$B$12:$E$34,4,0)))</f>
        <v>0</v>
      </c>
      <c r="R185" s="333">
        <f>IF($F185="",0,IF($F185="Weighted Average",$G185*VLOOKUP($D185&amp;" (Install)",Lists!$C$72:$R$232,COLUMNS(Lists!$C$69:K$69),0)*VLOOKUP(BK$3,Conversions!$B$12:$E$34,4,0),$G185*VLOOKUP($F185,Lists!$C$72:$R$232,COLUMNS(Lists!$C$69:K$69),0)*VLOOKUP(BK$3,Conversions!$B$12:$E$34,4,0)))</f>
        <v>0</v>
      </c>
      <c r="S185" s="333">
        <f>IF($F185="",0,IF($F185="Weighted Average",$G185*VLOOKUP($D185&amp;" (Install)",Lists!$C$72:$R$232,COLUMNS(Lists!$C$69:L$69),0)*VLOOKUP(BL$3,Conversions!$B$12:$E$34,4,0),$G185*VLOOKUP($F185,Lists!$C$72:$R$232,COLUMNS(Lists!$C$69:L$69),0)*VLOOKUP(BL$3,Conversions!$B$12:$E$34,4,0)))</f>
        <v>0</v>
      </c>
      <c r="T185" s="333">
        <f>IF($F185="",0,IF($F185="Weighted Average",$G185*VLOOKUP($D185&amp;" (Install)",Lists!$C$72:$R$232,COLUMNS(Lists!$C$69:M$69),0)*VLOOKUP(BM$3,Conversions!$B$12:$E$34,4,0),$G185*VLOOKUP($F185,Lists!$C$72:$R$232,COLUMNS(Lists!$C$69:M$69),0)*VLOOKUP(BM$3,Conversions!$B$12:$E$34,4,0)))</f>
        <v>0</v>
      </c>
      <c r="U185" s="333">
        <f>IF($F185="",0,IF($F185="Weighted Average",$G185*VLOOKUP($D185&amp;" (Install)",Lists!$C$72:$R$232,COLUMNS(Lists!$C$69:N$69),0)*VLOOKUP(BN$3,Conversions!$B$12:$E$34,4,0),$G185*VLOOKUP($F185,Lists!$C$72:$R$232,COLUMNS(Lists!$C$69:N$69),0)*VLOOKUP(BN$3,Conversions!$B$12:$E$34,4,0)))</f>
        <v>0</v>
      </c>
      <c r="V185" s="333">
        <f>IF($F185="",0,IF($F185="Weighted Average",$G185*VLOOKUP($D185&amp;" (Install)",Lists!$C$72:$R$232,COLUMNS(Lists!$C$69:O$69),0)*VLOOKUP(BO$3,Conversions!$B$12:$E$34,4,0),$G185*VLOOKUP($F185,Lists!$C$72:$R$232,COLUMNS(Lists!$C$69:O$69),0)*VLOOKUP(BO$3,Conversions!$B$12:$E$34,4,0)))</f>
        <v>0</v>
      </c>
      <c r="W185" s="333">
        <f>IF($F185="",0,IF($F185="Weighted Average",$G185*VLOOKUP($D185&amp;" (Install)",Lists!$C$72:$R$232,COLUMNS(Lists!$C$69:P$69),0)*VLOOKUP(BP$3,Conversions!$B$12:$E$34,4,0),$G185*VLOOKUP($F185,Lists!$C$72:$R$232,COLUMNS(Lists!$C$69:P$69),0)*VLOOKUP(BP$3,Conversions!$B$12:$E$34,4,0)))</f>
        <v>0</v>
      </c>
      <c r="X185" s="333">
        <f>IF($F185="",0,IF($F185="Weighted Average",$G185*VLOOKUP($D185&amp;" (Install)",Lists!$C$72:$R$232,COLUMNS(Lists!$C$69:Q$69),0)*VLOOKUP(BQ$3,Conversions!$B$12:$E$34,4,0),$G185*VLOOKUP($F185,Lists!$C$72:$R$232,COLUMNS(Lists!$C$69:Q$69),0)*VLOOKUP(BQ$3,Conversions!$B$12:$E$34,4,0)))</f>
        <v>0</v>
      </c>
      <c r="Y185" s="333">
        <f>IF($F185="",0,IF($F185="Weighted Average",$G185*VLOOKUP($D185&amp;" (Install)",Lists!$C$72:$R$232,COLUMNS(Lists!$C$69:R$69),0)*VLOOKUP(BR$3,Conversions!$B$12:$E$34,4,0),$G185*VLOOKUP($F185,Lists!$C$72:$R$232,COLUMNS(Lists!$C$69:R$69),0)*VLOOKUP(BR$3,Conversions!$B$12:$E$34,4,0)))</f>
        <v>0</v>
      </c>
      <c r="Z185" s="325">
        <f t="shared" si="234"/>
        <v>0</v>
      </c>
      <c r="AA185" s="334">
        <f>IF($F185="",0,IF($F185="Weighted Average",$H185*VLOOKUP($D185&amp;" (Operation)",Lists!$C$72:$R$232,COLUMNS(Lists!$C$69:E$69),0)*VLOOKUP(BE$3,Conversions!$B$12:$E$34,4,0),$H185*VLOOKUP($F185,Lists!$C$72:$R$232,COLUMNS(Lists!$C$69:E$69),0)*VLOOKUP(BE$3,Conversions!$B$12:$E$34,4,0)))</f>
        <v>0</v>
      </c>
      <c r="AB185" s="334">
        <f>IF($F185="",0,IF($F185="Weighted Average",$H185*VLOOKUP($D185&amp;" (Operation)",Lists!$C$72:$R$232,COLUMNS(Lists!$C$69:F$69),0)*VLOOKUP(BF$3,Conversions!$B$12:$E$34,4,0),$H185*VLOOKUP($F185,Lists!$C$72:$R$232,COLUMNS(Lists!$C$69:F$69),0)*VLOOKUP(BF$3,Conversions!$B$12:$E$34,4,0)))</f>
        <v>0</v>
      </c>
      <c r="AC185" s="334">
        <f>IF($F185="",0,IF($F185="Weighted Average",$H185*VLOOKUP($D185&amp;" (Operation)",Lists!$C$72:$R$232,COLUMNS(Lists!$C$69:G$69),0)*VLOOKUP(BG$3,Conversions!$B$12:$E$34,4,0),$H185*VLOOKUP($F185,Lists!$C$72:$R$232,COLUMNS(Lists!$C$69:G$69),0)*VLOOKUP(BG$3,Conversions!$B$12:$E$34,4,0)))</f>
        <v>0</v>
      </c>
      <c r="AD185" s="334">
        <f>IF($F185="",0,IF($F185="Weighted Average",$H185*VLOOKUP($D185&amp;" (Operation)",Lists!$C$72:$R$232,COLUMNS(Lists!$C$69:H$69),0)*VLOOKUP(BH$3,Conversions!$B$12:$E$34,4,0),$H185*VLOOKUP($F185,Lists!$C$72:$R$232,COLUMNS(Lists!$C$69:H$69),0)*VLOOKUP(BH$3,Conversions!$B$12:$E$34,4,0)))</f>
        <v>0</v>
      </c>
      <c r="AE185" s="334">
        <f>IF($F185="",0,IF($F185="Weighted Average",$H185*VLOOKUP($D185&amp;" (Operation)",Lists!$C$72:$R$232,COLUMNS(Lists!$C$69:I$69),0)*VLOOKUP(BI$3,Conversions!$B$12:$E$34,4,0),$H185*VLOOKUP($F185,Lists!$C$72:$R$232,COLUMNS(Lists!$C$69:I$69),0)*VLOOKUP(BI$3,Conversions!$B$12:$E$34,4,0)))</f>
        <v>0</v>
      </c>
      <c r="AF185" s="334">
        <f>IF($F185="",0,IF($F185="Weighted Average",$H185*VLOOKUP($D185&amp;" (Operation)",Lists!$C$72:$R$232,COLUMNS(Lists!$C$69:J$69),0)*VLOOKUP(BJ$3,Conversions!$B$12:$E$34,4,0),$H185*VLOOKUP($F185,Lists!$C$72:$R$232,COLUMNS(Lists!$C$69:J$69),0)*VLOOKUP(BJ$3,Conversions!$B$12:$E$34,4,0)))</f>
        <v>0</v>
      </c>
      <c r="AG185" s="334">
        <f>IF($F185="",0,IF($F185="Weighted Average",$H185*VLOOKUP($D185&amp;" (Operation)",Lists!$C$72:$R$232,COLUMNS(Lists!$C$69:K$69),0)*VLOOKUP(BK$3,Conversions!$B$12:$E$34,4,0),$H185*VLOOKUP($F185,Lists!$C$72:$R$232,COLUMNS(Lists!$C$69:K$69),0)*VLOOKUP(BK$3,Conversions!$B$12:$E$34,4,0)))</f>
        <v>0</v>
      </c>
      <c r="AH185" s="334">
        <f>IF($F185="",0,IF($F185="Weighted Average",$H185*VLOOKUP($D185&amp;" (Operation)",Lists!$C$72:$R$232,COLUMNS(Lists!$C$69:L$69),0)*VLOOKUP(BL$3,Conversions!$B$12:$E$34,4,0),$H185*VLOOKUP($F185,Lists!$C$72:$R$232,COLUMNS(Lists!$C$69:L$69),0)*VLOOKUP(BL$3,Conversions!$B$12:$E$34,4,0)))</f>
        <v>0</v>
      </c>
      <c r="AI185" s="334">
        <f>IF($F185="",0,IF($F185="Weighted Average",$H185*VLOOKUP($D185&amp;" (Operation)",Lists!$C$72:$R$232,COLUMNS(Lists!$C$69:M$69),0)*VLOOKUP(BM$3,Conversions!$B$12:$E$34,4,0),$H185*VLOOKUP($F185,Lists!$C$72:$R$232,COLUMNS(Lists!$C$69:M$69),0)*VLOOKUP(BM$3,Conversions!$B$12:$E$34,4,0)))</f>
        <v>0</v>
      </c>
      <c r="AJ185" s="334">
        <f>IF($F185="",0,IF($F185="Weighted Average",$H185*VLOOKUP($D185&amp;" (Operation)",Lists!$C$72:$R$232,COLUMNS(Lists!$C$69:N$69),0)*VLOOKUP(BN$3,Conversions!$B$12:$E$34,4,0),$H185*VLOOKUP($F185,Lists!$C$72:$R$232,COLUMNS(Lists!$C$69:N$69),0)*VLOOKUP(BN$3,Conversions!$B$12:$E$34,4,0)))</f>
        <v>0</v>
      </c>
      <c r="AK185" s="334">
        <f>IF($F185="",0,IF($F185="Weighted Average",$H185*VLOOKUP($D185&amp;" (Operation)",Lists!$C$72:$R$232,COLUMNS(Lists!$C$69:O$69),0)*VLOOKUP(BO$3,Conversions!$B$12:$E$34,4,0),$H185*VLOOKUP($F185,Lists!$C$72:$R$232,COLUMNS(Lists!$C$69:O$69),0)*VLOOKUP(BO$3,Conversions!$B$12:$E$34,4,0)))</f>
        <v>0</v>
      </c>
      <c r="AL185" s="334">
        <f>IF($F185="",0,IF($F185="Weighted Average",$H185*VLOOKUP($D185&amp;" (Operation)",Lists!$C$72:$R$232,COLUMNS(Lists!$C$69:P$69),0)*VLOOKUP(BP$3,Conversions!$B$12:$E$34,4,0),$H185*VLOOKUP($F185,Lists!$C$72:$R$232,COLUMNS(Lists!$C$69:P$69),0)*VLOOKUP(BP$3,Conversions!$B$12:$E$34,4,0)))</f>
        <v>0</v>
      </c>
      <c r="AM185" s="334">
        <f>IF($F185="",0,IF($F185="Weighted Average",$H185*VLOOKUP($D185&amp;" (Operation)",Lists!$C$72:$R$232,COLUMNS(Lists!$C$69:Q$69),0)*VLOOKUP(BQ$3,Conversions!$B$12:$E$34,4,0),$H185*VLOOKUP($F185,Lists!$C$72:$R$232,COLUMNS(Lists!$C$69:Q$69),0)*VLOOKUP(BQ$3,Conversions!$B$12:$E$34,4,0)))</f>
        <v>0</v>
      </c>
      <c r="AN185" s="334">
        <f>IF($F185="",0,IF($F185="Weighted Average",$H185*VLOOKUP($D185&amp;" (Operation)",Lists!$C$72:$R$232,COLUMNS(Lists!$C$69:R$69),0)*VLOOKUP(BR$3,Conversions!$B$12:$E$34,4,0),$H185*VLOOKUP($F185,Lists!$C$72:$R$232,COLUMNS(Lists!$C$69:R$69),0)*VLOOKUP(BR$3,Conversions!$B$12:$E$34,4,0)))</f>
        <v>0</v>
      </c>
      <c r="AO185" s="330">
        <f t="shared" si="235"/>
        <v>0</v>
      </c>
      <c r="AP185" s="333">
        <f>IF($F185="",0,IF($F185="Weighted Average",$I185*VLOOKUP($D185&amp;" (Disposal)",Lists!$C$72:$R$232,COLUMNS(Lists!$C$69:E$69),0)*VLOOKUP(BE$3,Conversions!$B$12:$E$34,4,0),$I185*VLOOKUP($F185,Lists!$C$72:$R$232,COLUMNS(Lists!$C$69:E$69),0)*VLOOKUP(BE$3,Conversions!$B$12:$E$34,4,0)))</f>
        <v>0</v>
      </c>
      <c r="AQ185" s="333">
        <f>IF($F185="",0,IF($F185="Weighted Average",$I185*VLOOKUP($D185&amp;" (Disposal)",Lists!$C$72:$R$232,COLUMNS(Lists!$C$69:F$69),0)*VLOOKUP(BF$3,Conversions!$B$12:$E$34,4,0),$I185*VLOOKUP($F185,Lists!$C$72:$R$232,COLUMNS(Lists!$C$69:F$69),0)*VLOOKUP(BF$3,Conversions!$B$12:$E$34,4,0)))</f>
        <v>0</v>
      </c>
      <c r="AR185" s="333">
        <f>IF($F185="",0,IF($F185="Weighted Average",$I185*VLOOKUP($D185&amp;" (Disposal)",Lists!$C$72:$R$232,COLUMNS(Lists!$C$69:G$69),0)*VLOOKUP(BG$3,Conversions!$B$12:$E$34,4,0),$I185*VLOOKUP($F185,Lists!$C$72:$R$232,COLUMNS(Lists!$C$69:G$69),0)*VLOOKUP(BG$3,Conversions!$B$12:$E$34,4,0)))</f>
        <v>0</v>
      </c>
      <c r="AS185" s="333">
        <f>IF($F185="",0,IF($F185="Weighted Average",$I185*VLOOKUP($D185&amp;" (Disposal)",Lists!$C$72:$R$232,COLUMNS(Lists!$C$69:H$69),0)*VLOOKUP(BH$3,Conversions!$B$12:$E$34,4,0),$I185*VLOOKUP($F185,Lists!$C$72:$R$232,COLUMNS(Lists!$C$69:H$69),0)*VLOOKUP(BH$3,Conversions!$B$12:$E$34,4,0)))</f>
        <v>0</v>
      </c>
      <c r="AT185" s="333">
        <f>IF($F185="",0,IF($F185="Weighted Average",$I185*VLOOKUP($D185&amp;" (Disposal)",Lists!$C$72:$R$232,COLUMNS(Lists!$C$69:I$69),0)*VLOOKUP(BI$3,Conversions!$B$12:$E$34,4,0),$I185*VLOOKUP($F185,Lists!$C$72:$R$232,COLUMNS(Lists!$C$69:I$69),0)*VLOOKUP(BI$3,Conversions!$B$12:$E$34,4,0)))</f>
        <v>0</v>
      </c>
      <c r="AU185" s="333">
        <f>IF($F185="",0,IF($F185="Weighted Average",$I185*VLOOKUP($D185&amp;" (Disposal)",Lists!$C$72:$R$232,COLUMNS(Lists!$C$69:J$69),0)*VLOOKUP(BJ$3,Conversions!$B$12:$E$34,4,0),$I185*VLOOKUP($F185,Lists!$C$72:$R$232,COLUMNS(Lists!$C$69:J$69),0)*VLOOKUP(BJ$3,Conversions!$B$12:$E$34,4,0)))</f>
        <v>0</v>
      </c>
      <c r="AV185" s="333">
        <f>IF($F185="",0,IF($F185="Weighted Average",$I185*VLOOKUP($D185&amp;" (Disposal)",Lists!$C$72:$R$232,COLUMNS(Lists!$C$69:K$69),0)*VLOOKUP(BK$3,Conversions!$B$12:$E$34,4,0),$I185*VLOOKUP($F185,Lists!$C$72:$R$232,COLUMNS(Lists!$C$69:K$69),0)*VLOOKUP(BK$3,Conversions!$B$12:$E$34,4,0)))</f>
        <v>0</v>
      </c>
      <c r="AW185" s="333">
        <f>IF($F185="",0,IF($F185="Weighted Average",$I185*VLOOKUP($D185&amp;" (Disposal)",Lists!$C$72:$R$232,COLUMNS(Lists!$C$69:L$69),0)*VLOOKUP(BL$3,Conversions!$B$12:$E$34,4,0),$I185*VLOOKUP($F185,Lists!$C$72:$R$232,COLUMNS(Lists!$C$69:L$69),0)*VLOOKUP(BL$3,Conversions!$B$12:$E$34,4,0)))</f>
        <v>0</v>
      </c>
      <c r="AX185" s="333">
        <f>IF($F185="",0,IF($F185="Weighted Average",$I185*VLOOKUP($D185&amp;" (Disposal)",Lists!$C$72:$R$232,COLUMNS(Lists!$C$69:M$69),0)*VLOOKUP(BM$3,Conversions!$B$12:$E$34,4,0),$I185*VLOOKUP($F185,Lists!$C$72:$R$232,COLUMNS(Lists!$C$69:M$69),0)*VLOOKUP(BM$3,Conversions!$B$12:$E$34,4,0)))</f>
        <v>0</v>
      </c>
      <c r="AY185" s="333">
        <f>IF($F185="",0,IF($F185="Weighted Average",$I185*VLOOKUP($D185&amp;" (Disposal)",Lists!$C$72:$R$232,COLUMNS(Lists!$C$69:N$69),0)*VLOOKUP(BN$3,Conversions!$B$12:$E$34,4,0),$I185*VLOOKUP($F185,Lists!$C$72:$R$232,COLUMNS(Lists!$C$69:N$69),0)*VLOOKUP(BN$3,Conversions!$B$12:$E$34,4,0)))</f>
        <v>0</v>
      </c>
      <c r="AZ185" s="333">
        <f>IF($F185="",0,IF($F185="Weighted Average",$I185*VLOOKUP($D185&amp;" (Disposal)",Lists!$C$72:$R$232,COLUMNS(Lists!$C$69:O$69),0)*VLOOKUP(BO$3,Conversions!$B$12:$E$34,4,0),$I185*VLOOKUP($F185,Lists!$C$72:$R$232,COLUMNS(Lists!$C$69:O$69),0)*VLOOKUP(BO$3,Conversions!$B$12:$E$34,4,0)))</f>
        <v>0</v>
      </c>
      <c r="BA185" s="333">
        <f>IF($F185="",0,IF($F185="Weighted Average",$I185*VLOOKUP($D185&amp;" (Disposal)",Lists!$C$72:$R$232,COLUMNS(Lists!$C$69:P$69),0)*VLOOKUP(BP$3,Conversions!$B$12:$E$34,4,0),$I185*VLOOKUP($F185,Lists!$C$72:$R$232,COLUMNS(Lists!$C$69:P$69),0)*VLOOKUP(BP$3,Conversions!$B$12:$E$34,4,0)))</f>
        <v>0</v>
      </c>
      <c r="BB185" s="333">
        <f>IF($F185="",0,IF($F185="Weighted Average",$I185*VLOOKUP($D185&amp;" (Disposal)",Lists!$C$72:$R$232,COLUMNS(Lists!$C$69:Q$69),0)*VLOOKUP(BQ$3,Conversions!$B$12:$E$34,4,0),$I185*VLOOKUP($F185,Lists!$C$72:$R$232,COLUMNS(Lists!$C$69:Q$69),0)*VLOOKUP(BQ$3,Conversions!$B$12:$E$34,4,0)))</f>
        <v>0</v>
      </c>
      <c r="BC185" s="333">
        <f>IF($F185="",0,IF($F185="Weighted Average",$I185*VLOOKUP($D185&amp;" (Disposal)",Lists!$C$72:$R$232,COLUMNS(Lists!$C$69:R$69),0)*VLOOKUP(BR$3,Conversions!$B$12:$E$34,4,0),$I185*VLOOKUP($F185,Lists!$C$72:$R$232,COLUMNS(Lists!$C$69:R$69),0)*VLOOKUP(BR$3,Conversions!$B$12:$E$34,4,0)))</f>
        <v>0</v>
      </c>
      <c r="BD185" s="333">
        <f t="shared" si="236"/>
        <v>0</v>
      </c>
      <c r="BE185" s="330">
        <f t="shared" si="237"/>
        <v>0</v>
      </c>
      <c r="BF185" s="330">
        <f t="shared" si="238"/>
        <v>0</v>
      </c>
      <c r="BG185" s="330">
        <f t="shared" si="239"/>
        <v>0</v>
      </c>
      <c r="BH185" s="330">
        <f t="shared" si="240"/>
        <v>0</v>
      </c>
      <c r="BI185" s="330">
        <f t="shared" si="241"/>
        <v>0</v>
      </c>
      <c r="BJ185" s="330">
        <f t="shared" si="242"/>
        <v>0</v>
      </c>
      <c r="BK185" s="330">
        <f t="shared" si="243"/>
        <v>0</v>
      </c>
      <c r="BL185" s="330">
        <f t="shared" si="244"/>
        <v>0</v>
      </c>
      <c r="BM185" s="330">
        <f t="shared" si="245"/>
        <v>0</v>
      </c>
      <c r="BN185" s="330">
        <f t="shared" si="246"/>
        <v>0</v>
      </c>
      <c r="BO185" s="330">
        <f t="shared" si="247"/>
        <v>0</v>
      </c>
      <c r="BP185" s="330">
        <f t="shared" si="248"/>
        <v>0</v>
      </c>
      <c r="BQ185" s="330">
        <f t="shared" si="249"/>
        <v>0</v>
      </c>
      <c r="BR185" s="330">
        <f t="shared" si="250"/>
        <v>0</v>
      </c>
      <c r="BS185" s="330">
        <f t="shared" si="251"/>
        <v>0</v>
      </c>
      <c r="BT185" s="329">
        <f>IF($F185="",0,IF($F185="Weighted Average",$BS185*VLOOKUP($D185,'Default Values'!$B$78:$V$97,COLUMNS('Default Values'!$B$77:G$77),0),0))</f>
        <v>0</v>
      </c>
      <c r="BU185" s="329">
        <f>IF($F185="",0,IF($F185="Weighted Average",$BS185*VLOOKUP($D185,'Default Values'!$B$78:$V$97,COLUMNS('Default Values'!$B$77:H$77),0),0))</f>
        <v>0</v>
      </c>
      <c r="BV185" s="329">
        <f>IF($F185="",0,IF($F185="Weighted Average",$BS185*VLOOKUP($D185,'Default Values'!$B$78:$V$97,COLUMNS('Default Values'!$B$77:I$77),0),0))</f>
        <v>0</v>
      </c>
      <c r="BW185" s="329">
        <f>IF($F185="",0,IF($F185="Weighted Average",$BS185*VLOOKUP($D185,'Default Values'!$B$78:$V$97,COLUMNS('Default Values'!$B$77:J$77),0),0))</f>
        <v>0</v>
      </c>
      <c r="BX185" s="329">
        <f>IF($F185="",0,IF($F185="Weighted Average",$BS185*VLOOKUP($D185,'Default Values'!$B$78:$V$97,COLUMNS('Default Values'!$B$77:K$77),0),0))</f>
        <v>0</v>
      </c>
      <c r="BY185" s="329">
        <f>IF($F185="",0,IF($F185="Weighted Average",$BS185*VLOOKUP($D185,'Default Values'!$B$78:$V$97,COLUMNS('Default Values'!$B$77:L$77),0),0))</f>
        <v>0</v>
      </c>
      <c r="BZ185" s="329">
        <f>IF($F185="",0,IF($F185="Weighted Average",$BS185*VLOOKUP($D185,'Default Values'!$B$78:$V$97,COLUMNS('Default Values'!$B$77:M$77),0),0))</f>
        <v>0</v>
      </c>
      <c r="CA185" s="329">
        <f>IF($F185="",0,IF($F185="Weighted Average",$BS185*VLOOKUP($D185,'Default Values'!$B$78:$V$97,COLUMNS('Default Values'!$B$77:N$77),0),0))</f>
        <v>0</v>
      </c>
      <c r="CB185" s="329">
        <f>IF($F185="",0,IF($F185="Weighted Average",$BS185*VLOOKUP($D185,'Default Values'!$B$78:$V$97,COLUMNS('Default Values'!$B$77:O$77),0),0))</f>
        <v>0</v>
      </c>
      <c r="CC185" s="329">
        <f>IF($F185="",0,IF($F185="Weighted Average",$BS185*VLOOKUP($D185,'Default Values'!$B$78:$V$97,COLUMNS('Default Values'!$B$77:P$77),0),0))</f>
        <v>0</v>
      </c>
      <c r="CD185" s="329">
        <f>IF($F185="",0,IF($F185="Weighted Average",$BS185*VLOOKUP($D185,'Default Values'!$B$78:$V$97,COLUMNS('Default Values'!$B$77:Q$77),0),0))</f>
        <v>0</v>
      </c>
      <c r="CE185" s="329">
        <f>IF($F185="",0,IF($F185="Weighted Average",$BS185*VLOOKUP($D185,'Default Values'!$B$78:$V$97,COLUMNS('Default Values'!$B$77:R$77),0),0))</f>
        <v>0</v>
      </c>
      <c r="CF185" s="329">
        <f>IF($F185="",0,IF($F185="Weighted Average",$BS185*VLOOKUP($D185,'Default Values'!$B$78:$V$97,COLUMNS('Default Values'!$B$77:S$77),0),0))</f>
        <v>0</v>
      </c>
      <c r="CG185" s="329">
        <f>IF($F185="",0,IF($F185="Weighted Average",$BS185*VLOOKUP($D185,'Default Values'!$B$78:$V$97,COLUMNS('Default Values'!$B$77:T$77),0),0))</f>
        <v>0</v>
      </c>
      <c r="CH185" s="329">
        <f>IF($F185="",0,IF($F185="Weighted Average",$BS185*VLOOKUP($D185,'Default Values'!$B$78:$V$97,COLUMNS('Default Values'!$B$77:U$77),0),0))</f>
        <v>0</v>
      </c>
      <c r="CI185" s="329">
        <f>IF($F185="",0,IF($F185="Weighted Average",$BS185*VLOOKUP($D185,'Default Values'!$B$78:$V$97,COLUMNS('Default Values'!$B$77:V$77),0),0))</f>
        <v>0</v>
      </c>
      <c r="CJ185" s="331">
        <f t="shared" si="252"/>
        <v>0</v>
      </c>
      <c r="CK185" s="330">
        <f t="shared" si="253"/>
        <v>0</v>
      </c>
      <c r="CL185" s="330">
        <f t="shared" si="254"/>
        <v>0</v>
      </c>
      <c r="CM185" s="330">
        <f t="shared" si="255"/>
        <v>0</v>
      </c>
      <c r="CN185" s="330">
        <f t="shared" si="256"/>
        <v>0</v>
      </c>
      <c r="CO185" s="330">
        <f t="shared" si="257"/>
        <v>0</v>
      </c>
      <c r="CP185" s="330">
        <f t="shared" si="258"/>
        <v>0</v>
      </c>
      <c r="CQ185" s="330">
        <f t="shared" si="186"/>
        <v>0</v>
      </c>
      <c r="CR185" s="330">
        <f t="shared" si="259"/>
        <v>0</v>
      </c>
      <c r="CS185" s="330">
        <f t="shared" si="260"/>
        <v>0</v>
      </c>
      <c r="CT185" s="330">
        <f t="shared" si="261"/>
        <v>0</v>
      </c>
      <c r="CU185" s="330">
        <f t="shared" si="265"/>
        <v>0</v>
      </c>
      <c r="CV185" s="330">
        <f t="shared" si="265"/>
        <v>0</v>
      </c>
      <c r="CW185" s="330">
        <f t="shared" si="265"/>
        <v>0</v>
      </c>
      <c r="CX185" s="330">
        <f t="shared" si="265"/>
        <v>0</v>
      </c>
      <c r="CY185" s="330">
        <f t="shared" si="265"/>
        <v>0</v>
      </c>
      <c r="CZ185" s="330">
        <f t="shared" si="265"/>
        <v>0</v>
      </c>
      <c r="DA185" s="330">
        <f t="shared" si="265"/>
        <v>0</v>
      </c>
      <c r="DB185" s="330">
        <f t="shared" si="265"/>
        <v>0</v>
      </c>
      <c r="DC185" s="330">
        <f t="shared" si="265"/>
        <v>0</v>
      </c>
      <c r="DD185" s="330">
        <f t="shared" si="265"/>
        <v>0</v>
      </c>
      <c r="DE185" s="330">
        <f t="shared" si="266"/>
        <v>0</v>
      </c>
      <c r="DF185" s="330">
        <f t="shared" si="266"/>
        <v>0</v>
      </c>
      <c r="DG185" s="330">
        <f t="shared" si="266"/>
        <v>0</v>
      </c>
      <c r="DH185" s="330">
        <f t="shared" si="266"/>
        <v>0</v>
      </c>
      <c r="DI185" s="330">
        <f t="shared" si="266"/>
        <v>0</v>
      </c>
      <c r="DJ185" s="330">
        <f t="shared" si="266"/>
        <v>0</v>
      </c>
      <c r="DK185" s="330">
        <f t="shared" si="266"/>
        <v>0</v>
      </c>
      <c r="DL185" s="330">
        <f t="shared" si="266"/>
        <v>0</v>
      </c>
      <c r="DM185" s="330">
        <f t="shared" si="266"/>
        <v>0</v>
      </c>
      <c r="DN185" s="330">
        <f t="shared" si="266"/>
        <v>0</v>
      </c>
      <c r="DO185" s="330">
        <f t="shared" si="266"/>
        <v>0</v>
      </c>
      <c r="DP185" s="330">
        <f t="shared" si="264"/>
        <v>0</v>
      </c>
      <c r="DQ185" s="217"/>
      <c r="DR185" s="217"/>
      <c r="DS185" s="217"/>
      <c r="DT185" s="217"/>
    </row>
    <row r="186" spans="1:124" x14ac:dyDescent="0.3">
      <c r="A186" s="324"/>
      <c r="B186" s="221" t="s">
        <v>307</v>
      </c>
      <c r="C186" s="221" t="str">
        <f>IF('Simplified Screening 2'!C37=0,"",'Simplified Screening 2'!C37)</f>
        <v/>
      </c>
      <c r="D186" s="221" t="str">
        <f>IF('Simplified Screening 2'!D37=0,"",'Simplified Screening 2'!D37)</f>
        <v/>
      </c>
      <c r="E186" s="221"/>
      <c r="F186" s="221" t="str">
        <f>'Simplified Screening 2'!J37</f>
        <v/>
      </c>
      <c r="G186" s="335" t="str">
        <f>IF(D186="","",'Simplified Screening 2'!G37/1000*VLOOKUP(D186,'Default Values'!$B$78:$F$97,COLUMNS('Default Values'!$B$77:$D$77),0)/1000)</f>
        <v/>
      </c>
      <c r="H186" s="335" t="str">
        <f>IF(D186="","",'Simplified Screening 2'!G37/1000*VLOOKUP(D186,'Default Values'!$B$78:$F$97,COLUMNS('Default Values'!$B$77:$E$77),0)/1000)</f>
        <v/>
      </c>
      <c r="I186" s="335" t="str">
        <f>IF(D186="","",'Simplified Screening 2'!G37/1000*VLOOKUP(D186,'Default Values'!$B$78:$F$97,COLUMNS('Default Values'!$B$77:$F$77),0)/1000)</f>
        <v/>
      </c>
      <c r="J186" s="325">
        <f>IF('Simplified Screening 2'!H37=0,0,'Simplified Screening 2'!H37)</f>
        <v>0</v>
      </c>
      <c r="K186" s="465"/>
      <c r="L186" s="333">
        <f>IF($F186="",0,IF($F186="Weighted Average",$G186*VLOOKUP($D186&amp;" (Install)",Lists!$C$72:$R$232,COLUMNS(Lists!$C$69:E$69),0)*VLOOKUP(BE$3,Conversions!$B$12:$E$34,4,0),$G186*VLOOKUP($F186,Lists!$C$72:$R$232,COLUMNS(Lists!$C$69:E$69),0)*VLOOKUP(BE$3,Conversions!$B$12:$E$34,4,0)))</f>
        <v>0</v>
      </c>
      <c r="M186" s="333">
        <f>IF($F186="",0,IF($F186="Weighted Average",$G186*VLOOKUP($D186&amp;" (Install)",Lists!$C$72:$R$232,COLUMNS(Lists!$C$69:F$69),0)*VLOOKUP(BF$3,Conversions!$B$12:$E$34,4,0),$G186*VLOOKUP($F186,Lists!$C$72:$R$232,COLUMNS(Lists!$C$69:F$69),0)*VLOOKUP(BF$3,Conversions!$B$12:$E$34,4,0)))</f>
        <v>0</v>
      </c>
      <c r="N186" s="333">
        <f>IF($F186="",0,IF($F186="Weighted Average",$G186*VLOOKUP($D186&amp;" (Install)",Lists!$C$72:$R$232,COLUMNS(Lists!$C$69:G$69),0)*VLOOKUP(BG$3,Conversions!$B$12:$E$34,4,0),$G186*VLOOKUP($F186,Lists!$C$72:$R$232,COLUMNS(Lists!$C$69:G$69),0)*VLOOKUP(BG$3,Conversions!$B$12:$E$34,4,0)))</f>
        <v>0</v>
      </c>
      <c r="O186" s="333">
        <f>IF($F186="",0,IF($F186="Weighted Average",$G186*VLOOKUP($D186&amp;" (Install)",Lists!$C$72:$R$232,COLUMNS(Lists!$C$69:H$69),0)*VLOOKUP(BH$3,Conversions!$B$12:$E$34,4,0),$G186*VLOOKUP($F186,Lists!$C$72:$R$232,COLUMNS(Lists!$C$69:H$69),0)*VLOOKUP(BH$3,Conversions!$B$12:$E$34,4,0)))</f>
        <v>0</v>
      </c>
      <c r="P186" s="333">
        <f>IF($F186="",0,IF($F186="Weighted Average",$G186*VLOOKUP($D186&amp;" (Install)",Lists!$C$72:$R$232,COLUMNS(Lists!$C$69:I$69),0)*VLOOKUP(BI$3,Conversions!$B$12:$E$34,4,0),$G186*VLOOKUP($F186,Lists!$C$72:$R$232,COLUMNS(Lists!$C$69:I$69),0)*VLOOKUP(BI$3,Conversions!$B$12:$E$34,4,0)))</f>
        <v>0</v>
      </c>
      <c r="Q186" s="333">
        <f>IF($F186="",0,IF($F186="Weighted Average",$G186*VLOOKUP($D186&amp;" (Install)",Lists!$C$72:$R$232,COLUMNS(Lists!$C$69:J$69),0)*VLOOKUP(BJ$3,Conversions!$B$12:$E$34,4,0),$G186*VLOOKUP($F186,Lists!$C$72:$R$232,COLUMNS(Lists!$C$69:J$69),0)*VLOOKUP(BJ$3,Conversions!$B$12:$E$34,4,0)))</f>
        <v>0</v>
      </c>
      <c r="R186" s="333">
        <f>IF($F186="",0,IF($F186="Weighted Average",$G186*VLOOKUP($D186&amp;" (Install)",Lists!$C$72:$R$232,COLUMNS(Lists!$C$69:K$69),0)*VLOOKUP(BK$3,Conversions!$B$12:$E$34,4,0),$G186*VLOOKUP($F186,Lists!$C$72:$R$232,COLUMNS(Lists!$C$69:K$69),0)*VLOOKUP(BK$3,Conversions!$B$12:$E$34,4,0)))</f>
        <v>0</v>
      </c>
      <c r="S186" s="333">
        <f>IF($F186="",0,IF($F186="Weighted Average",$G186*VLOOKUP($D186&amp;" (Install)",Lists!$C$72:$R$232,COLUMNS(Lists!$C$69:L$69),0)*VLOOKUP(BL$3,Conversions!$B$12:$E$34,4,0),$G186*VLOOKUP($F186,Lists!$C$72:$R$232,COLUMNS(Lists!$C$69:L$69),0)*VLOOKUP(BL$3,Conversions!$B$12:$E$34,4,0)))</f>
        <v>0</v>
      </c>
      <c r="T186" s="333">
        <f>IF($F186="",0,IF($F186="Weighted Average",$G186*VLOOKUP($D186&amp;" (Install)",Lists!$C$72:$R$232,COLUMNS(Lists!$C$69:M$69),0)*VLOOKUP(BM$3,Conversions!$B$12:$E$34,4,0),$G186*VLOOKUP($F186,Lists!$C$72:$R$232,COLUMNS(Lists!$C$69:M$69),0)*VLOOKUP(BM$3,Conversions!$B$12:$E$34,4,0)))</f>
        <v>0</v>
      </c>
      <c r="U186" s="333">
        <f>IF($F186="",0,IF($F186="Weighted Average",$G186*VLOOKUP($D186&amp;" (Install)",Lists!$C$72:$R$232,COLUMNS(Lists!$C$69:N$69),0)*VLOOKUP(BN$3,Conversions!$B$12:$E$34,4,0),$G186*VLOOKUP($F186,Lists!$C$72:$R$232,COLUMNS(Lists!$C$69:N$69),0)*VLOOKUP(BN$3,Conversions!$B$12:$E$34,4,0)))</f>
        <v>0</v>
      </c>
      <c r="V186" s="333">
        <f>IF($F186="",0,IF($F186="Weighted Average",$G186*VLOOKUP($D186&amp;" (Install)",Lists!$C$72:$R$232,COLUMNS(Lists!$C$69:O$69),0)*VLOOKUP(BO$3,Conversions!$B$12:$E$34,4,0),$G186*VLOOKUP($F186,Lists!$C$72:$R$232,COLUMNS(Lists!$C$69:O$69),0)*VLOOKUP(BO$3,Conversions!$B$12:$E$34,4,0)))</f>
        <v>0</v>
      </c>
      <c r="W186" s="333">
        <f>IF($F186="",0,IF($F186="Weighted Average",$G186*VLOOKUP($D186&amp;" (Install)",Lists!$C$72:$R$232,COLUMNS(Lists!$C$69:P$69),0)*VLOOKUP(BP$3,Conversions!$B$12:$E$34,4,0),$G186*VLOOKUP($F186,Lists!$C$72:$R$232,COLUMNS(Lists!$C$69:P$69),0)*VLOOKUP(BP$3,Conversions!$B$12:$E$34,4,0)))</f>
        <v>0</v>
      </c>
      <c r="X186" s="333">
        <f>IF($F186="",0,IF($F186="Weighted Average",$G186*VLOOKUP($D186&amp;" (Install)",Lists!$C$72:$R$232,COLUMNS(Lists!$C$69:Q$69),0)*VLOOKUP(BQ$3,Conversions!$B$12:$E$34,4,0),$G186*VLOOKUP($F186,Lists!$C$72:$R$232,COLUMNS(Lists!$C$69:Q$69),0)*VLOOKUP(BQ$3,Conversions!$B$12:$E$34,4,0)))</f>
        <v>0</v>
      </c>
      <c r="Y186" s="333">
        <f>IF($F186="",0,IF($F186="Weighted Average",$G186*VLOOKUP($D186&amp;" (Install)",Lists!$C$72:$R$232,COLUMNS(Lists!$C$69:R$69),0)*VLOOKUP(BR$3,Conversions!$B$12:$E$34,4,0),$G186*VLOOKUP($F186,Lists!$C$72:$R$232,COLUMNS(Lists!$C$69:R$69),0)*VLOOKUP(BR$3,Conversions!$B$12:$E$34,4,0)))</f>
        <v>0</v>
      </c>
      <c r="Z186" s="325">
        <f t="shared" si="234"/>
        <v>0</v>
      </c>
      <c r="AA186" s="334">
        <f>IF($F186="",0,IF($F186="Weighted Average",$H186*VLOOKUP($D186&amp;" (Operation)",Lists!$C$72:$R$232,COLUMNS(Lists!$C$69:E$69),0)*VLOOKUP(BE$3,Conversions!$B$12:$E$34,4,0),$H186*VLOOKUP($F186,Lists!$C$72:$R$232,COLUMNS(Lists!$C$69:E$69),0)*VLOOKUP(BE$3,Conversions!$B$12:$E$34,4,0)))</f>
        <v>0</v>
      </c>
      <c r="AB186" s="334">
        <f>IF($F186="",0,IF($F186="Weighted Average",$H186*VLOOKUP($D186&amp;" (Operation)",Lists!$C$72:$R$232,COLUMNS(Lists!$C$69:F$69),0)*VLOOKUP(BF$3,Conversions!$B$12:$E$34,4,0),$H186*VLOOKUP($F186,Lists!$C$72:$R$232,COLUMNS(Lists!$C$69:F$69),0)*VLOOKUP(BF$3,Conversions!$B$12:$E$34,4,0)))</f>
        <v>0</v>
      </c>
      <c r="AC186" s="334">
        <f>IF($F186="",0,IF($F186="Weighted Average",$H186*VLOOKUP($D186&amp;" (Operation)",Lists!$C$72:$R$232,COLUMNS(Lists!$C$69:G$69),0)*VLOOKUP(BG$3,Conversions!$B$12:$E$34,4,0),$H186*VLOOKUP($F186,Lists!$C$72:$R$232,COLUMNS(Lists!$C$69:G$69),0)*VLOOKUP(BG$3,Conversions!$B$12:$E$34,4,0)))</f>
        <v>0</v>
      </c>
      <c r="AD186" s="334">
        <f>IF($F186="",0,IF($F186="Weighted Average",$H186*VLOOKUP($D186&amp;" (Operation)",Lists!$C$72:$R$232,COLUMNS(Lists!$C$69:H$69),0)*VLOOKUP(BH$3,Conversions!$B$12:$E$34,4,0),$H186*VLOOKUP($F186,Lists!$C$72:$R$232,COLUMNS(Lists!$C$69:H$69),0)*VLOOKUP(BH$3,Conversions!$B$12:$E$34,4,0)))</f>
        <v>0</v>
      </c>
      <c r="AE186" s="334">
        <f>IF($F186="",0,IF($F186="Weighted Average",$H186*VLOOKUP($D186&amp;" (Operation)",Lists!$C$72:$R$232,COLUMNS(Lists!$C$69:I$69),0)*VLOOKUP(BI$3,Conversions!$B$12:$E$34,4,0),$H186*VLOOKUP($F186,Lists!$C$72:$R$232,COLUMNS(Lists!$C$69:I$69),0)*VLOOKUP(BI$3,Conversions!$B$12:$E$34,4,0)))</f>
        <v>0</v>
      </c>
      <c r="AF186" s="334">
        <f>IF($F186="",0,IF($F186="Weighted Average",$H186*VLOOKUP($D186&amp;" (Operation)",Lists!$C$72:$R$232,COLUMNS(Lists!$C$69:J$69),0)*VLOOKUP(BJ$3,Conversions!$B$12:$E$34,4,0),$H186*VLOOKUP($F186,Lists!$C$72:$R$232,COLUMNS(Lists!$C$69:J$69),0)*VLOOKUP(BJ$3,Conversions!$B$12:$E$34,4,0)))</f>
        <v>0</v>
      </c>
      <c r="AG186" s="334">
        <f>IF($F186="",0,IF($F186="Weighted Average",$H186*VLOOKUP($D186&amp;" (Operation)",Lists!$C$72:$R$232,COLUMNS(Lists!$C$69:K$69),0)*VLOOKUP(BK$3,Conversions!$B$12:$E$34,4,0),$H186*VLOOKUP($F186,Lists!$C$72:$R$232,COLUMNS(Lists!$C$69:K$69),0)*VLOOKUP(BK$3,Conversions!$B$12:$E$34,4,0)))</f>
        <v>0</v>
      </c>
      <c r="AH186" s="334">
        <f>IF($F186="",0,IF($F186="Weighted Average",$H186*VLOOKUP($D186&amp;" (Operation)",Lists!$C$72:$R$232,COLUMNS(Lists!$C$69:L$69),0)*VLOOKUP(BL$3,Conversions!$B$12:$E$34,4,0),$H186*VLOOKUP($F186,Lists!$C$72:$R$232,COLUMNS(Lists!$C$69:L$69),0)*VLOOKUP(BL$3,Conversions!$B$12:$E$34,4,0)))</f>
        <v>0</v>
      </c>
      <c r="AI186" s="334">
        <f>IF($F186="",0,IF($F186="Weighted Average",$H186*VLOOKUP($D186&amp;" (Operation)",Lists!$C$72:$R$232,COLUMNS(Lists!$C$69:M$69),0)*VLOOKUP(BM$3,Conversions!$B$12:$E$34,4,0),$H186*VLOOKUP($F186,Lists!$C$72:$R$232,COLUMNS(Lists!$C$69:M$69),0)*VLOOKUP(BM$3,Conversions!$B$12:$E$34,4,0)))</f>
        <v>0</v>
      </c>
      <c r="AJ186" s="334">
        <f>IF($F186="",0,IF($F186="Weighted Average",$H186*VLOOKUP($D186&amp;" (Operation)",Lists!$C$72:$R$232,COLUMNS(Lists!$C$69:N$69),0)*VLOOKUP(BN$3,Conversions!$B$12:$E$34,4,0),$H186*VLOOKUP($F186,Lists!$C$72:$R$232,COLUMNS(Lists!$C$69:N$69),0)*VLOOKUP(BN$3,Conversions!$B$12:$E$34,4,0)))</f>
        <v>0</v>
      </c>
      <c r="AK186" s="334">
        <f>IF($F186="",0,IF($F186="Weighted Average",$H186*VLOOKUP($D186&amp;" (Operation)",Lists!$C$72:$R$232,COLUMNS(Lists!$C$69:O$69),0)*VLOOKUP(BO$3,Conversions!$B$12:$E$34,4,0),$H186*VLOOKUP($F186,Lists!$C$72:$R$232,COLUMNS(Lists!$C$69:O$69),0)*VLOOKUP(BO$3,Conversions!$B$12:$E$34,4,0)))</f>
        <v>0</v>
      </c>
      <c r="AL186" s="334">
        <f>IF($F186="",0,IF($F186="Weighted Average",$H186*VLOOKUP($D186&amp;" (Operation)",Lists!$C$72:$R$232,COLUMNS(Lists!$C$69:P$69),0)*VLOOKUP(BP$3,Conversions!$B$12:$E$34,4,0),$H186*VLOOKUP($F186,Lists!$C$72:$R$232,COLUMNS(Lists!$C$69:P$69),0)*VLOOKUP(BP$3,Conversions!$B$12:$E$34,4,0)))</f>
        <v>0</v>
      </c>
      <c r="AM186" s="334">
        <f>IF($F186="",0,IF($F186="Weighted Average",$H186*VLOOKUP($D186&amp;" (Operation)",Lists!$C$72:$R$232,COLUMNS(Lists!$C$69:Q$69),0)*VLOOKUP(BQ$3,Conversions!$B$12:$E$34,4,0),$H186*VLOOKUP($F186,Lists!$C$72:$R$232,COLUMNS(Lists!$C$69:Q$69),0)*VLOOKUP(BQ$3,Conversions!$B$12:$E$34,4,0)))</f>
        <v>0</v>
      </c>
      <c r="AN186" s="334">
        <f>IF($F186="",0,IF($F186="Weighted Average",$H186*VLOOKUP($D186&amp;" (Operation)",Lists!$C$72:$R$232,COLUMNS(Lists!$C$69:R$69),0)*VLOOKUP(BR$3,Conversions!$B$12:$E$34,4,0),$H186*VLOOKUP($F186,Lists!$C$72:$R$232,COLUMNS(Lists!$C$69:R$69),0)*VLOOKUP(BR$3,Conversions!$B$12:$E$34,4,0)))</f>
        <v>0</v>
      </c>
      <c r="AO186" s="330">
        <f t="shared" si="235"/>
        <v>0</v>
      </c>
      <c r="AP186" s="333">
        <f>IF($F186="",0,IF($F186="Weighted Average",$I186*VLOOKUP($D186&amp;" (Disposal)",Lists!$C$72:$R$232,COLUMNS(Lists!$C$69:E$69),0)*VLOOKUP(BE$3,Conversions!$B$12:$E$34,4,0),$I186*VLOOKUP($F186,Lists!$C$72:$R$232,COLUMNS(Lists!$C$69:E$69),0)*VLOOKUP(BE$3,Conversions!$B$12:$E$34,4,0)))</f>
        <v>0</v>
      </c>
      <c r="AQ186" s="333">
        <f>IF($F186="",0,IF($F186="Weighted Average",$I186*VLOOKUP($D186&amp;" (Disposal)",Lists!$C$72:$R$232,COLUMNS(Lists!$C$69:F$69),0)*VLOOKUP(BF$3,Conversions!$B$12:$E$34,4,0),$I186*VLOOKUP($F186,Lists!$C$72:$R$232,COLUMNS(Lists!$C$69:F$69),0)*VLOOKUP(BF$3,Conversions!$B$12:$E$34,4,0)))</f>
        <v>0</v>
      </c>
      <c r="AR186" s="333">
        <f>IF($F186="",0,IF($F186="Weighted Average",$I186*VLOOKUP($D186&amp;" (Disposal)",Lists!$C$72:$R$232,COLUMNS(Lists!$C$69:G$69),0)*VLOOKUP(BG$3,Conversions!$B$12:$E$34,4,0),$I186*VLOOKUP($F186,Lists!$C$72:$R$232,COLUMNS(Lists!$C$69:G$69),0)*VLOOKUP(BG$3,Conversions!$B$12:$E$34,4,0)))</f>
        <v>0</v>
      </c>
      <c r="AS186" s="333">
        <f>IF($F186="",0,IF($F186="Weighted Average",$I186*VLOOKUP($D186&amp;" (Disposal)",Lists!$C$72:$R$232,COLUMNS(Lists!$C$69:H$69),0)*VLOOKUP(BH$3,Conversions!$B$12:$E$34,4,0),$I186*VLOOKUP($F186,Lists!$C$72:$R$232,COLUMNS(Lists!$C$69:H$69),0)*VLOOKUP(BH$3,Conversions!$B$12:$E$34,4,0)))</f>
        <v>0</v>
      </c>
      <c r="AT186" s="333">
        <f>IF($F186="",0,IF($F186="Weighted Average",$I186*VLOOKUP($D186&amp;" (Disposal)",Lists!$C$72:$R$232,COLUMNS(Lists!$C$69:I$69),0)*VLOOKUP(BI$3,Conversions!$B$12:$E$34,4,0),$I186*VLOOKUP($F186,Lists!$C$72:$R$232,COLUMNS(Lists!$C$69:I$69),0)*VLOOKUP(BI$3,Conversions!$B$12:$E$34,4,0)))</f>
        <v>0</v>
      </c>
      <c r="AU186" s="333">
        <f>IF($F186="",0,IF($F186="Weighted Average",$I186*VLOOKUP($D186&amp;" (Disposal)",Lists!$C$72:$R$232,COLUMNS(Lists!$C$69:J$69),0)*VLOOKUP(BJ$3,Conversions!$B$12:$E$34,4,0),$I186*VLOOKUP($F186,Lists!$C$72:$R$232,COLUMNS(Lists!$C$69:J$69),0)*VLOOKUP(BJ$3,Conversions!$B$12:$E$34,4,0)))</f>
        <v>0</v>
      </c>
      <c r="AV186" s="333">
        <f>IF($F186="",0,IF($F186="Weighted Average",$I186*VLOOKUP($D186&amp;" (Disposal)",Lists!$C$72:$R$232,COLUMNS(Lists!$C$69:K$69),0)*VLOOKUP(BK$3,Conversions!$B$12:$E$34,4,0),$I186*VLOOKUP($F186,Lists!$C$72:$R$232,COLUMNS(Lists!$C$69:K$69),0)*VLOOKUP(BK$3,Conversions!$B$12:$E$34,4,0)))</f>
        <v>0</v>
      </c>
      <c r="AW186" s="333">
        <f>IF($F186="",0,IF($F186="Weighted Average",$I186*VLOOKUP($D186&amp;" (Disposal)",Lists!$C$72:$R$232,COLUMNS(Lists!$C$69:L$69),0)*VLOOKUP(BL$3,Conversions!$B$12:$E$34,4,0),$I186*VLOOKUP($F186,Lists!$C$72:$R$232,COLUMNS(Lists!$C$69:L$69),0)*VLOOKUP(BL$3,Conversions!$B$12:$E$34,4,0)))</f>
        <v>0</v>
      </c>
      <c r="AX186" s="333">
        <f>IF($F186="",0,IF($F186="Weighted Average",$I186*VLOOKUP($D186&amp;" (Disposal)",Lists!$C$72:$R$232,COLUMNS(Lists!$C$69:M$69),0)*VLOOKUP(BM$3,Conversions!$B$12:$E$34,4,0),$I186*VLOOKUP($F186,Lists!$C$72:$R$232,COLUMNS(Lists!$C$69:M$69),0)*VLOOKUP(BM$3,Conversions!$B$12:$E$34,4,0)))</f>
        <v>0</v>
      </c>
      <c r="AY186" s="333">
        <f>IF($F186="",0,IF($F186="Weighted Average",$I186*VLOOKUP($D186&amp;" (Disposal)",Lists!$C$72:$R$232,COLUMNS(Lists!$C$69:N$69),0)*VLOOKUP(BN$3,Conversions!$B$12:$E$34,4,0),$I186*VLOOKUP($F186,Lists!$C$72:$R$232,COLUMNS(Lists!$C$69:N$69),0)*VLOOKUP(BN$3,Conversions!$B$12:$E$34,4,0)))</f>
        <v>0</v>
      </c>
      <c r="AZ186" s="333">
        <f>IF($F186="",0,IF($F186="Weighted Average",$I186*VLOOKUP($D186&amp;" (Disposal)",Lists!$C$72:$R$232,COLUMNS(Lists!$C$69:O$69),0)*VLOOKUP(BO$3,Conversions!$B$12:$E$34,4,0),$I186*VLOOKUP($F186,Lists!$C$72:$R$232,COLUMNS(Lists!$C$69:O$69),0)*VLOOKUP(BO$3,Conversions!$B$12:$E$34,4,0)))</f>
        <v>0</v>
      </c>
      <c r="BA186" s="333">
        <f>IF($F186="",0,IF($F186="Weighted Average",$I186*VLOOKUP($D186&amp;" (Disposal)",Lists!$C$72:$R$232,COLUMNS(Lists!$C$69:P$69),0)*VLOOKUP(BP$3,Conversions!$B$12:$E$34,4,0),$I186*VLOOKUP($F186,Lists!$C$72:$R$232,COLUMNS(Lists!$C$69:P$69),0)*VLOOKUP(BP$3,Conversions!$B$12:$E$34,4,0)))</f>
        <v>0</v>
      </c>
      <c r="BB186" s="333">
        <f>IF($F186="",0,IF($F186="Weighted Average",$I186*VLOOKUP($D186&amp;" (Disposal)",Lists!$C$72:$R$232,COLUMNS(Lists!$C$69:Q$69),0)*VLOOKUP(BQ$3,Conversions!$B$12:$E$34,4,0),$I186*VLOOKUP($F186,Lists!$C$72:$R$232,COLUMNS(Lists!$C$69:Q$69),0)*VLOOKUP(BQ$3,Conversions!$B$12:$E$34,4,0)))</f>
        <v>0</v>
      </c>
      <c r="BC186" s="333">
        <f>IF($F186="",0,IF($F186="Weighted Average",$I186*VLOOKUP($D186&amp;" (Disposal)",Lists!$C$72:$R$232,COLUMNS(Lists!$C$69:R$69),0)*VLOOKUP(BR$3,Conversions!$B$12:$E$34,4,0),$I186*VLOOKUP($F186,Lists!$C$72:$R$232,COLUMNS(Lists!$C$69:R$69),0)*VLOOKUP(BR$3,Conversions!$B$12:$E$34,4,0)))</f>
        <v>0</v>
      </c>
      <c r="BD186" s="333">
        <f t="shared" si="236"/>
        <v>0</v>
      </c>
      <c r="BE186" s="330">
        <f t="shared" si="237"/>
        <v>0</v>
      </c>
      <c r="BF186" s="330">
        <f t="shared" si="238"/>
        <v>0</v>
      </c>
      <c r="BG186" s="330">
        <f t="shared" si="239"/>
        <v>0</v>
      </c>
      <c r="BH186" s="330">
        <f t="shared" si="240"/>
        <v>0</v>
      </c>
      <c r="BI186" s="330">
        <f t="shared" si="241"/>
        <v>0</v>
      </c>
      <c r="BJ186" s="330">
        <f t="shared" si="242"/>
        <v>0</v>
      </c>
      <c r="BK186" s="330">
        <f t="shared" si="243"/>
        <v>0</v>
      </c>
      <c r="BL186" s="330">
        <f t="shared" si="244"/>
        <v>0</v>
      </c>
      <c r="BM186" s="330">
        <f t="shared" si="245"/>
        <v>0</v>
      </c>
      <c r="BN186" s="330">
        <f t="shared" si="246"/>
        <v>0</v>
      </c>
      <c r="BO186" s="330">
        <f t="shared" si="247"/>
        <v>0</v>
      </c>
      <c r="BP186" s="330">
        <f t="shared" si="248"/>
        <v>0</v>
      </c>
      <c r="BQ186" s="330">
        <f t="shared" si="249"/>
        <v>0</v>
      </c>
      <c r="BR186" s="330">
        <f t="shared" si="250"/>
        <v>0</v>
      </c>
      <c r="BS186" s="330">
        <f t="shared" si="251"/>
        <v>0</v>
      </c>
      <c r="BT186" s="329">
        <f>IF($F186="",0,IF($F186="Weighted Average",$BS186*VLOOKUP($D186,'Default Values'!$B$78:$V$97,COLUMNS('Default Values'!$B$77:G$77),0),0))</f>
        <v>0</v>
      </c>
      <c r="BU186" s="329">
        <f>IF($F186="",0,IF($F186="Weighted Average",$BS186*VLOOKUP($D186,'Default Values'!$B$78:$V$97,COLUMNS('Default Values'!$B$77:H$77),0),0))</f>
        <v>0</v>
      </c>
      <c r="BV186" s="329">
        <f>IF($F186="",0,IF($F186="Weighted Average",$BS186*VLOOKUP($D186,'Default Values'!$B$78:$V$97,COLUMNS('Default Values'!$B$77:I$77),0),0))</f>
        <v>0</v>
      </c>
      <c r="BW186" s="329">
        <f>IF($F186="",0,IF($F186="Weighted Average",$BS186*VLOOKUP($D186,'Default Values'!$B$78:$V$97,COLUMNS('Default Values'!$B$77:J$77),0),0))</f>
        <v>0</v>
      </c>
      <c r="BX186" s="329">
        <f>IF($F186="",0,IF($F186="Weighted Average",$BS186*VLOOKUP($D186,'Default Values'!$B$78:$V$97,COLUMNS('Default Values'!$B$77:K$77),0),0))</f>
        <v>0</v>
      </c>
      <c r="BY186" s="329">
        <f>IF($F186="",0,IF($F186="Weighted Average",$BS186*VLOOKUP($D186,'Default Values'!$B$78:$V$97,COLUMNS('Default Values'!$B$77:L$77),0),0))</f>
        <v>0</v>
      </c>
      <c r="BZ186" s="329">
        <f>IF($F186="",0,IF($F186="Weighted Average",$BS186*VLOOKUP($D186,'Default Values'!$B$78:$V$97,COLUMNS('Default Values'!$B$77:M$77),0),0))</f>
        <v>0</v>
      </c>
      <c r="CA186" s="329">
        <f>IF($F186="",0,IF($F186="Weighted Average",$BS186*VLOOKUP($D186,'Default Values'!$B$78:$V$97,COLUMNS('Default Values'!$B$77:N$77),0),0))</f>
        <v>0</v>
      </c>
      <c r="CB186" s="329">
        <f>IF($F186="",0,IF($F186="Weighted Average",$BS186*VLOOKUP($D186,'Default Values'!$B$78:$V$97,COLUMNS('Default Values'!$B$77:O$77),0),0))</f>
        <v>0</v>
      </c>
      <c r="CC186" s="329">
        <f>IF($F186="",0,IF($F186="Weighted Average",$BS186*VLOOKUP($D186,'Default Values'!$B$78:$V$97,COLUMNS('Default Values'!$B$77:P$77),0),0))</f>
        <v>0</v>
      </c>
      <c r="CD186" s="329">
        <f>IF($F186="",0,IF($F186="Weighted Average",$BS186*VLOOKUP($D186,'Default Values'!$B$78:$V$97,COLUMNS('Default Values'!$B$77:Q$77),0),0))</f>
        <v>0</v>
      </c>
      <c r="CE186" s="329">
        <f>IF($F186="",0,IF($F186="Weighted Average",$BS186*VLOOKUP($D186,'Default Values'!$B$78:$V$97,COLUMNS('Default Values'!$B$77:R$77),0),0))</f>
        <v>0</v>
      </c>
      <c r="CF186" s="329">
        <f>IF($F186="",0,IF($F186="Weighted Average",$BS186*VLOOKUP($D186,'Default Values'!$B$78:$V$97,COLUMNS('Default Values'!$B$77:S$77),0),0))</f>
        <v>0</v>
      </c>
      <c r="CG186" s="329">
        <f>IF($F186="",0,IF($F186="Weighted Average",$BS186*VLOOKUP($D186,'Default Values'!$B$78:$V$97,COLUMNS('Default Values'!$B$77:T$77),0),0))</f>
        <v>0</v>
      </c>
      <c r="CH186" s="329">
        <f>IF($F186="",0,IF($F186="Weighted Average",$BS186*VLOOKUP($D186,'Default Values'!$B$78:$V$97,COLUMNS('Default Values'!$B$77:U$77),0),0))</f>
        <v>0</v>
      </c>
      <c r="CI186" s="329">
        <f>IF($F186="",0,IF($F186="Weighted Average",$BS186*VLOOKUP($D186,'Default Values'!$B$78:$V$97,COLUMNS('Default Values'!$B$77:V$77),0),0))</f>
        <v>0</v>
      </c>
      <c r="CJ186" s="331">
        <f t="shared" si="252"/>
        <v>0</v>
      </c>
      <c r="CK186" s="330">
        <f t="shared" si="253"/>
        <v>0</v>
      </c>
      <c r="CL186" s="330">
        <f t="shared" si="254"/>
        <v>0</v>
      </c>
      <c r="CM186" s="330">
        <f t="shared" si="255"/>
        <v>0</v>
      </c>
      <c r="CN186" s="330">
        <f t="shared" si="256"/>
        <v>0</v>
      </c>
      <c r="CO186" s="330">
        <f t="shared" si="257"/>
        <v>0</v>
      </c>
      <c r="CP186" s="330">
        <f t="shared" si="258"/>
        <v>0</v>
      </c>
      <c r="CQ186" s="330">
        <f t="shared" si="186"/>
        <v>0</v>
      </c>
      <c r="CR186" s="330">
        <f t="shared" si="259"/>
        <v>0</v>
      </c>
      <c r="CS186" s="330">
        <f t="shared" si="260"/>
        <v>0</v>
      </c>
      <c r="CT186" s="330">
        <f t="shared" si="261"/>
        <v>0</v>
      </c>
      <c r="CU186" s="330">
        <f t="shared" si="265"/>
        <v>0</v>
      </c>
      <c r="CV186" s="330">
        <f t="shared" si="265"/>
        <v>0</v>
      </c>
      <c r="CW186" s="330">
        <f t="shared" si="265"/>
        <v>0</v>
      </c>
      <c r="CX186" s="330">
        <f t="shared" si="265"/>
        <v>0</v>
      </c>
      <c r="CY186" s="330">
        <f t="shared" si="265"/>
        <v>0</v>
      </c>
      <c r="CZ186" s="330">
        <f t="shared" si="265"/>
        <v>0</v>
      </c>
      <c r="DA186" s="330">
        <f t="shared" si="265"/>
        <v>0</v>
      </c>
      <c r="DB186" s="330">
        <f t="shared" si="265"/>
        <v>0</v>
      </c>
      <c r="DC186" s="330">
        <f t="shared" si="265"/>
        <v>0</v>
      </c>
      <c r="DD186" s="330">
        <f t="shared" si="265"/>
        <v>0</v>
      </c>
      <c r="DE186" s="330">
        <f t="shared" si="266"/>
        <v>0</v>
      </c>
      <c r="DF186" s="330">
        <f t="shared" si="266"/>
        <v>0</v>
      </c>
      <c r="DG186" s="330">
        <f t="shared" si="266"/>
        <v>0</v>
      </c>
      <c r="DH186" s="330">
        <f t="shared" si="266"/>
        <v>0</v>
      </c>
      <c r="DI186" s="330">
        <f t="shared" si="266"/>
        <v>0</v>
      </c>
      <c r="DJ186" s="330">
        <f t="shared" si="266"/>
        <v>0</v>
      </c>
      <c r="DK186" s="330">
        <f t="shared" si="266"/>
        <v>0</v>
      </c>
      <c r="DL186" s="330">
        <f t="shared" si="266"/>
        <v>0</v>
      </c>
      <c r="DM186" s="330">
        <f t="shared" si="266"/>
        <v>0</v>
      </c>
      <c r="DN186" s="330">
        <f t="shared" si="266"/>
        <v>0</v>
      </c>
      <c r="DO186" s="330">
        <f t="shared" si="266"/>
        <v>0</v>
      </c>
      <c r="DP186" s="330">
        <f t="shared" si="264"/>
        <v>0</v>
      </c>
      <c r="DQ186" s="217"/>
      <c r="DR186" s="217"/>
      <c r="DS186" s="217"/>
      <c r="DT186" s="217"/>
    </row>
    <row r="187" spans="1:124" x14ac:dyDescent="0.3">
      <c r="A187" s="324"/>
      <c r="B187" s="221" t="s">
        <v>307</v>
      </c>
      <c r="C187" s="221" t="str">
        <f>IF('Simplified Screening 2'!C38=0,"",'Simplified Screening 2'!C38)</f>
        <v/>
      </c>
      <c r="D187" s="221" t="str">
        <f>IF('Simplified Screening 2'!D38=0,"",'Simplified Screening 2'!D38)</f>
        <v/>
      </c>
      <c r="E187" s="221"/>
      <c r="F187" s="221" t="str">
        <f>'Simplified Screening 2'!J38</f>
        <v/>
      </c>
      <c r="G187" s="335" t="str">
        <f>IF(D187="","",'Simplified Screening 2'!G38/1000*VLOOKUP(D187,'Default Values'!$B$78:$F$97,COLUMNS('Default Values'!$B$77:$D$77),0)/1000)</f>
        <v/>
      </c>
      <c r="H187" s="335" t="str">
        <f>IF(D187="","",'Simplified Screening 2'!G38/1000*VLOOKUP(D187,'Default Values'!$B$78:$F$97,COLUMNS('Default Values'!$B$77:$E$77),0)/1000)</f>
        <v/>
      </c>
      <c r="I187" s="335" t="str">
        <f>IF(D187="","",'Simplified Screening 2'!G38/1000*VLOOKUP(D187,'Default Values'!$B$78:$F$97,COLUMNS('Default Values'!$B$77:$F$77),0)/1000)</f>
        <v/>
      </c>
      <c r="J187" s="325">
        <f>IF('Simplified Screening 2'!H38=0,0,'Simplified Screening 2'!H38)</f>
        <v>0</v>
      </c>
      <c r="K187" s="465"/>
      <c r="L187" s="333">
        <f>IF($F187="",0,IF($F187="Weighted Average",$G187*VLOOKUP($D187&amp;" (Install)",Lists!$C$72:$R$232,COLUMNS(Lists!$C$69:E$69),0)*VLOOKUP(BE$3,Conversions!$B$12:$E$34,4,0),$G187*VLOOKUP($F187,Lists!$C$72:$R$232,COLUMNS(Lists!$C$69:E$69),0)*VLOOKUP(BE$3,Conversions!$B$12:$E$34,4,0)))</f>
        <v>0</v>
      </c>
      <c r="M187" s="333">
        <f>IF($F187="",0,IF($F187="Weighted Average",$G187*VLOOKUP($D187&amp;" (Install)",Lists!$C$72:$R$232,COLUMNS(Lists!$C$69:F$69),0)*VLOOKUP(BF$3,Conversions!$B$12:$E$34,4,0),$G187*VLOOKUP($F187,Lists!$C$72:$R$232,COLUMNS(Lists!$C$69:F$69),0)*VLOOKUP(BF$3,Conversions!$B$12:$E$34,4,0)))</f>
        <v>0</v>
      </c>
      <c r="N187" s="333">
        <f>IF($F187="",0,IF($F187="Weighted Average",$G187*VLOOKUP($D187&amp;" (Install)",Lists!$C$72:$R$232,COLUMNS(Lists!$C$69:G$69),0)*VLOOKUP(BG$3,Conversions!$B$12:$E$34,4,0),$G187*VLOOKUP($F187,Lists!$C$72:$R$232,COLUMNS(Lists!$C$69:G$69),0)*VLOOKUP(BG$3,Conversions!$B$12:$E$34,4,0)))</f>
        <v>0</v>
      </c>
      <c r="O187" s="333">
        <f>IF($F187="",0,IF($F187="Weighted Average",$G187*VLOOKUP($D187&amp;" (Install)",Lists!$C$72:$R$232,COLUMNS(Lists!$C$69:H$69),0)*VLOOKUP(BH$3,Conversions!$B$12:$E$34,4,0),$G187*VLOOKUP($F187,Lists!$C$72:$R$232,COLUMNS(Lists!$C$69:H$69),0)*VLOOKUP(BH$3,Conversions!$B$12:$E$34,4,0)))</f>
        <v>0</v>
      </c>
      <c r="P187" s="333">
        <f>IF($F187="",0,IF($F187="Weighted Average",$G187*VLOOKUP($D187&amp;" (Install)",Lists!$C$72:$R$232,COLUMNS(Lists!$C$69:I$69),0)*VLOOKUP(BI$3,Conversions!$B$12:$E$34,4,0),$G187*VLOOKUP($F187,Lists!$C$72:$R$232,COLUMNS(Lists!$C$69:I$69),0)*VLOOKUP(BI$3,Conversions!$B$12:$E$34,4,0)))</f>
        <v>0</v>
      </c>
      <c r="Q187" s="333">
        <f>IF($F187="",0,IF($F187="Weighted Average",$G187*VLOOKUP($D187&amp;" (Install)",Lists!$C$72:$R$232,COLUMNS(Lists!$C$69:J$69),0)*VLOOKUP(BJ$3,Conversions!$B$12:$E$34,4,0),$G187*VLOOKUP($F187,Lists!$C$72:$R$232,COLUMNS(Lists!$C$69:J$69),0)*VLOOKUP(BJ$3,Conversions!$B$12:$E$34,4,0)))</f>
        <v>0</v>
      </c>
      <c r="R187" s="333">
        <f>IF($F187="",0,IF($F187="Weighted Average",$G187*VLOOKUP($D187&amp;" (Install)",Lists!$C$72:$R$232,COLUMNS(Lists!$C$69:K$69),0)*VLOOKUP(BK$3,Conversions!$B$12:$E$34,4,0),$G187*VLOOKUP($F187,Lists!$C$72:$R$232,COLUMNS(Lists!$C$69:K$69),0)*VLOOKUP(BK$3,Conversions!$B$12:$E$34,4,0)))</f>
        <v>0</v>
      </c>
      <c r="S187" s="333">
        <f>IF($F187="",0,IF($F187="Weighted Average",$G187*VLOOKUP($D187&amp;" (Install)",Lists!$C$72:$R$232,COLUMNS(Lists!$C$69:L$69),0)*VLOOKUP(BL$3,Conversions!$B$12:$E$34,4,0),$G187*VLOOKUP($F187,Lists!$C$72:$R$232,COLUMNS(Lists!$C$69:L$69),0)*VLOOKUP(BL$3,Conversions!$B$12:$E$34,4,0)))</f>
        <v>0</v>
      </c>
      <c r="T187" s="333">
        <f>IF($F187="",0,IF($F187="Weighted Average",$G187*VLOOKUP($D187&amp;" (Install)",Lists!$C$72:$R$232,COLUMNS(Lists!$C$69:M$69),0)*VLOOKUP(BM$3,Conversions!$B$12:$E$34,4,0),$G187*VLOOKUP($F187,Lists!$C$72:$R$232,COLUMNS(Lists!$C$69:M$69),0)*VLOOKUP(BM$3,Conversions!$B$12:$E$34,4,0)))</f>
        <v>0</v>
      </c>
      <c r="U187" s="333">
        <f>IF($F187="",0,IF($F187="Weighted Average",$G187*VLOOKUP($D187&amp;" (Install)",Lists!$C$72:$R$232,COLUMNS(Lists!$C$69:N$69),0)*VLOOKUP(BN$3,Conversions!$B$12:$E$34,4,0),$G187*VLOOKUP($F187,Lists!$C$72:$R$232,COLUMNS(Lists!$C$69:N$69),0)*VLOOKUP(BN$3,Conversions!$B$12:$E$34,4,0)))</f>
        <v>0</v>
      </c>
      <c r="V187" s="333">
        <f>IF($F187="",0,IF($F187="Weighted Average",$G187*VLOOKUP($D187&amp;" (Install)",Lists!$C$72:$R$232,COLUMNS(Lists!$C$69:O$69),0)*VLOOKUP(BO$3,Conversions!$B$12:$E$34,4,0),$G187*VLOOKUP($F187,Lists!$C$72:$R$232,COLUMNS(Lists!$C$69:O$69),0)*VLOOKUP(BO$3,Conversions!$B$12:$E$34,4,0)))</f>
        <v>0</v>
      </c>
      <c r="W187" s="333">
        <f>IF($F187="",0,IF($F187="Weighted Average",$G187*VLOOKUP($D187&amp;" (Install)",Lists!$C$72:$R$232,COLUMNS(Lists!$C$69:P$69),0)*VLOOKUP(BP$3,Conversions!$B$12:$E$34,4,0),$G187*VLOOKUP($F187,Lists!$C$72:$R$232,COLUMNS(Lists!$C$69:P$69),0)*VLOOKUP(BP$3,Conversions!$B$12:$E$34,4,0)))</f>
        <v>0</v>
      </c>
      <c r="X187" s="333">
        <f>IF($F187="",0,IF($F187="Weighted Average",$G187*VLOOKUP($D187&amp;" (Install)",Lists!$C$72:$R$232,COLUMNS(Lists!$C$69:Q$69),0)*VLOOKUP(BQ$3,Conversions!$B$12:$E$34,4,0),$G187*VLOOKUP($F187,Lists!$C$72:$R$232,COLUMNS(Lists!$C$69:Q$69),0)*VLOOKUP(BQ$3,Conversions!$B$12:$E$34,4,0)))</f>
        <v>0</v>
      </c>
      <c r="Y187" s="333">
        <f>IF($F187="",0,IF($F187="Weighted Average",$G187*VLOOKUP($D187&amp;" (Install)",Lists!$C$72:$R$232,COLUMNS(Lists!$C$69:R$69),0)*VLOOKUP(BR$3,Conversions!$B$12:$E$34,4,0),$G187*VLOOKUP($F187,Lists!$C$72:$R$232,COLUMNS(Lists!$C$69:R$69),0)*VLOOKUP(BR$3,Conversions!$B$12:$E$34,4,0)))</f>
        <v>0</v>
      </c>
      <c r="Z187" s="325">
        <f t="shared" si="234"/>
        <v>0</v>
      </c>
      <c r="AA187" s="334">
        <f>IF($F187="",0,IF($F187="Weighted Average",$H187*VLOOKUP($D187&amp;" (Operation)",Lists!$C$72:$R$232,COLUMNS(Lists!$C$69:E$69),0)*VLOOKUP(BE$3,Conversions!$B$12:$E$34,4,0),$H187*VLOOKUP($F187,Lists!$C$72:$R$232,COLUMNS(Lists!$C$69:E$69),0)*VLOOKUP(BE$3,Conversions!$B$12:$E$34,4,0)))</f>
        <v>0</v>
      </c>
      <c r="AB187" s="334">
        <f>IF($F187="",0,IF($F187="Weighted Average",$H187*VLOOKUP($D187&amp;" (Operation)",Lists!$C$72:$R$232,COLUMNS(Lists!$C$69:F$69),0)*VLOOKUP(BF$3,Conversions!$B$12:$E$34,4,0),$H187*VLOOKUP($F187,Lists!$C$72:$R$232,COLUMNS(Lists!$C$69:F$69),0)*VLOOKUP(BF$3,Conversions!$B$12:$E$34,4,0)))</f>
        <v>0</v>
      </c>
      <c r="AC187" s="334">
        <f>IF($F187="",0,IF($F187="Weighted Average",$H187*VLOOKUP($D187&amp;" (Operation)",Lists!$C$72:$R$232,COLUMNS(Lists!$C$69:G$69),0)*VLOOKUP(BG$3,Conversions!$B$12:$E$34,4,0),$H187*VLOOKUP($F187,Lists!$C$72:$R$232,COLUMNS(Lists!$C$69:G$69),0)*VLOOKUP(BG$3,Conversions!$B$12:$E$34,4,0)))</f>
        <v>0</v>
      </c>
      <c r="AD187" s="334">
        <f>IF($F187="",0,IF($F187="Weighted Average",$H187*VLOOKUP($D187&amp;" (Operation)",Lists!$C$72:$R$232,COLUMNS(Lists!$C$69:H$69),0)*VLOOKUP(BH$3,Conversions!$B$12:$E$34,4,0),$H187*VLOOKUP($F187,Lists!$C$72:$R$232,COLUMNS(Lists!$C$69:H$69),0)*VLOOKUP(BH$3,Conversions!$B$12:$E$34,4,0)))</f>
        <v>0</v>
      </c>
      <c r="AE187" s="334">
        <f>IF($F187="",0,IF($F187="Weighted Average",$H187*VLOOKUP($D187&amp;" (Operation)",Lists!$C$72:$R$232,COLUMNS(Lists!$C$69:I$69),0)*VLOOKUP(BI$3,Conversions!$B$12:$E$34,4,0),$H187*VLOOKUP($F187,Lists!$C$72:$R$232,COLUMNS(Lists!$C$69:I$69),0)*VLOOKUP(BI$3,Conversions!$B$12:$E$34,4,0)))</f>
        <v>0</v>
      </c>
      <c r="AF187" s="334">
        <f>IF($F187="",0,IF($F187="Weighted Average",$H187*VLOOKUP($D187&amp;" (Operation)",Lists!$C$72:$R$232,COLUMNS(Lists!$C$69:J$69),0)*VLOOKUP(BJ$3,Conversions!$B$12:$E$34,4,0),$H187*VLOOKUP($F187,Lists!$C$72:$R$232,COLUMNS(Lists!$C$69:J$69),0)*VLOOKUP(BJ$3,Conversions!$B$12:$E$34,4,0)))</f>
        <v>0</v>
      </c>
      <c r="AG187" s="334">
        <f>IF($F187="",0,IF($F187="Weighted Average",$H187*VLOOKUP($D187&amp;" (Operation)",Lists!$C$72:$R$232,COLUMNS(Lists!$C$69:K$69),0)*VLOOKUP(BK$3,Conversions!$B$12:$E$34,4,0),$H187*VLOOKUP($F187,Lists!$C$72:$R$232,COLUMNS(Lists!$C$69:K$69),0)*VLOOKUP(BK$3,Conversions!$B$12:$E$34,4,0)))</f>
        <v>0</v>
      </c>
      <c r="AH187" s="334">
        <f>IF($F187="",0,IF($F187="Weighted Average",$H187*VLOOKUP($D187&amp;" (Operation)",Lists!$C$72:$R$232,COLUMNS(Lists!$C$69:L$69),0)*VLOOKUP(BL$3,Conversions!$B$12:$E$34,4,0),$H187*VLOOKUP($F187,Lists!$C$72:$R$232,COLUMNS(Lists!$C$69:L$69),0)*VLOOKUP(BL$3,Conversions!$B$12:$E$34,4,0)))</f>
        <v>0</v>
      </c>
      <c r="AI187" s="334">
        <f>IF($F187="",0,IF($F187="Weighted Average",$H187*VLOOKUP($D187&amp;" (Operation)",Lists!$C$72:$R$232,COLUMNS(Lists!$C$69:M$69),0)*VLOOKUP(BM$3,Conversions!$B$12:$E$34,4,0),$H187*VLOOKUP($F187,Lists!$C$72:$R$232,COLUMNS(Lists!$C$69:M$69),0)*VLOOKUP(BM$3,Conversions!$B$12:$E$34,4,0)))</f>
        <v>0</v>
      </c>
      <c r="AJ187" s="334">
        <f>IF($F187="",0,IF($F187="Weighted Average",$H187*VLOOKUP($D187&amp;" (Operation)",Lists!$C$72:$R$232,COLUMNS(Lists!$C$69:N$69),0)*VLOOKUP(BN$3,Conversions!$B$12:$E$34,4,0),$H187*VLOOKUP($F187,Lists!$C$72:$R$232,COLUMNS(Lists!$C$69:N$69),0)*VLOOKUP(BN$3,Conversions!$B$12:$E$34,4,0)))</f>
        <v>0</v>
      </c>
      <c r="AK187" s="334">
        <f>IF($F187="",0,IF($F187="Weighted Average",$H187*VLOOKUP($D187&amp;" (Operation)",Lists!$C$72:$R$232,COLUMNS(Lists!$C$69:O$69),0)*VLOOKUP(BO$3,Conversions!$B$12:$E$34,4,0),$H187*VLOOKUP($F187,Lists!$C$72:$R$232,COLUMNS(Lists!$C$69:O$69),0)*VLOOKUP(BO$3,Conversions!$B$12:$E$34,4,0)))</f>
        <v>0</v>
      </c>
      <c r="AL187" s="334">
        <f>IF($F187="",0,IF($F187="Weighted Average",$H187*VLOOKUP($D187&amp;" (Operation)",Lists!$C$72:$R$232,COLUMNS(Lists!$C$69:P$69),0)*VLOOKUP(BP$3,Conversions!$B$12:$E$34,4,0),$H187*VLOOKUP($F187,Lists!$C$72:$R$232,COLUMNS(Lists!$C$69:P$69),0)*VLOOKUP(BP$3,Conversions!$B$12:$E$34,4,0)))</f>
        <v>0</v>
      </c>
      <c r="AM187" s="334">
        <f>IF($F187="",0,IF($F187="Weighted Average",$H187*VLOOKUP($D187&amp;" (Operation)",Lists!$C$72:$R$232,COLUMNS(Lists!$C$69:Q$69),0)*VLOOKUP(BQ$3,Conversions!$B$12:$E$34,4,0),$H187*VLOOKUP($F187,Lists!$C$72:$R$232,COLUMNS(Lists!$C$69:Q$69),0)*VLOOKUP(BQ$3,Conversions!$B$12:$E$34,4,0)))</f>
        <v>0</v>
      </c>
      <c r="AN187" s="334">
        <f>IF($F187="",0,IF($F187="Weighted Average",$H187*VLOOKUP($D187&amp;" (Operation)",Lists!$C$72:$R$232,COLUMNS(Lists!$C$69:R$69),0)*VLOOKUP(BR$3,Conversions!$B$12:$E$34,4,0),$H187*VLOOKUP($F187,Lists!$C$72:$R$232,COLUMNS(Lists!$C$69:R$69),0)*VLOOKUP(BR$3,Conversions!$B$12:$E$34,4,0)))</f>
        <v>0</v>
      </c>
      <c r="AO187" s="330">
        <f t="shared" si="235"/>
        <v>0</v>
      </c>
      <c r="AP187" s="333">
        <f>IF($F187="",0,IF($F187="Weighted Average",$I187*VLOOKUP($D187&amp;" (Disposal)",Lists!$C$72:$R$232,COLUMNS(Lists!$C$69:E$69),0)*VLOOKUP(BE$3,Conversions!$B$12:$E$34,4,0),$I187*VLOOKUP($F187,Lists!$C$72:$R$232,COLUMNS(Lists!$C$69:E$69),0)*VLOOKUP(BE$3,Conversions!$B$12:$E$34,4,0)))</f>
        <v>0</v>
      </c>
      <c r="AQ187" s="333">
        <f>IF($F187="",0,IF($F187="Weighted Average",$I187*VLOOKUP($D187&amp;" (Disposal)",Lists!$C$72:$R$232,COLUMNS(Lists!$C$69:F$69),0)*VLOOKUP(BF$3,Conversions!$B$12:$E$34,4,0),$I187*VLOOKUP($F187,Lists!$C$72:$R$232,COLUMNS(Lists!$C$69:F$69),0)*VLOOKUP(BF$3,Conversions!$B$12:$E$34,4,0)))</f>
        <v>0</v>
      </c>
      <c r="AR187" s="333">
        <f>IF($F187="",0,IF($F187="Weighted Average",$I187*VLOOKUP($D187&amp;" (Disposal)",Lists!$C$72:$R$232,COLUMNS(Lists!$C$69:G$69),0)*VLOOKUP(BG$3,Conversions!$B$12:$E$34,4,0),$I187*VLOOKUP($F187,Lists!$C$72:$R$232,COLUMNS(Lists!$C$69:G$69),0)*VLOOKUP(BG$3,Conversions!$B$12:$E$34,4,0)))</f>
        <v>0</v>
      </c>
      <c r="AS187" s="333">
        <f>IF($F187="",0,IF($F187="Weighted Average",$I187*VLOOKUP($D187&amp;" (Disposal)",Lists!$C$72:$R$232,COLUMNS(Lists!$C$69:H$69),0)*VLOOKUP(BH$3,Conversions!$B$12:$E$34,4,0),$I187*VLOOKUP($F187,Lists!$C$72:$R$232,COLUMNS(Lists!$C$69:H$69),0)*VLOOKUP(BH$3,Conversions!$B$12:$E$34,4,0)))</f>
        <v>0</v>
      </c>
      <c r="AT187" s="333">
        <f>IF($F187="",0,IF($F187="Weighted Average",$I187*VLOOKUP($D187&amp;" (Disposal)",Lists!$C$72:$R$232,COLUMNS(Lists!$C$69:I$69),0)*VLOOKUP(BI$3,Conversions!$B$12:$E$34,4,0),$I187*VLOOKUP($F187,Lists!$C$72:$R$232,COLUMNS(Lists!$C$69:I$69),0)*VLOOKUP(BI$3,Conversions!$B$12:$E$34,4,0)))</f>
        <v>0</v>
      </c>
      <c r="AU187" s="333">
        <f>IF($F187="",0,IF($F187="Weighted Average",$I187*VLOOKUP($D187&amp;" (Disposal)",Lists!$C$72:$R$232,COLUMNS(Lists!$C$69:J$69),0)*VLOOKUP(BJ$3,Conversions!$B$12:$E$34,4,0),$I187*VLOOKUP($F187,Lists!$C$72:$R$232,COLUMNS(Lists!$C$69:J$69),0)*VLOOKUP(BJ$3,Conversions!$B$12:$E$34,4,0)))</f>
        <v>0</v>
      </c>
      <c r="AV187" s="333">
        <f>IF($F187="",0,IF($F187="Weighted Average",$I187*VLOOKUP($D187&amp;" (Disposal)",Lists!$C$72:$R$232,COLUMNS(Lists!$C$69:K$69),0)*VLOOKUP(BK$3,Conversions!$B$12:$E$34,4,0),$I187*VLOOKUP($F187,Lists!$C$72:$R$232,COLUMNS(Lists!$C$69:K$69),0)*VLOOKUP(BK$3,Conversions!$B$12:$E$34,4,0)))</f>
        <v>0</v>
      </c>
      <c r="AW187" s="333">
        <f>IF($F187="",0,IF($F187="Weighted Average",$I187*VLOOKUP($D187&amp;" (Disposal)",Lists!$C$72:$R$232,COLUMNS(Lists!$C$69:L$69),0)*VLOOKUP(BL$3,Conversions!$B$12:$E$34,4,0),$I187*VLOOKUP($F187,Lists!$C$72:$R$232,COLUMNS(Lists!$C$69:L$69),0)*VLOOKUP(BL$3,Conversions!$B$12:$E$34,4,0)))</f>
        <v>0</v>
      </c>
      <c r="AX187" s="333">
        <f>IF($F187="",0,IF($F187="Weighted Average",$I187*VLOOKUP($D187&amp;" (Disposal)",Lists!$C$72:$R$232,COLUMNS(Lists!$C$69:M$69),0)*VLOOKUP(BM$3,Conversions!$B$12:$E$34,4,0),$I187*VLOOKUP($F187,Lists!$C$72:$R$232,COLUMNS(Lists!$C$69:M$69),0)*VLOOKUP(BM$3,Conversions!$B$12:$E$34,4,0)))</f>
        <v>0</v>
      </c>
      <c r="AY187" s="333">
        <f>IF($F187="",0,IF($F187="Weighted Average",$I187*VLOOKUP($D187&amp;" (Disposal)",Lists!$C$72:$R$232,COLUMNS(Lists!$C$69:N$69),0)*VLOOKUP(BN$3,Conversions!$B$12:$E$34,4,0),$I187*VLOOKUP($F187,Lists!$C$72:$R$232,COLUMNS(Lists!$C$69:N$69),0)*VLOOKUP(BN$3,Conversions!$B$12:$E$34,4,0)))</f>
        <v>0</v>
      </c>
      <c r="AZ187" s="333">
        <f>IF($F187="",0,IF($F187="Weighted Average",$I187*VLOOKUP($D187&amp;" (Disposal)",Lists!$C$72:$R$232,COLUMNS(Lists!$C$69:O$69),0)*VLOOKUP(BO$3,Conversions!$B$12:$E$34,4,0),$I187*VLOOKUP($F187,Lists!$C$72:$R$232,COLUMNS(Lists!$C$69:O$69),0)*VLOOKUP(BO$3,Conversions!$B$12:$E$34,4,0)))</f>
        <v>0</v>
      </c>
      <c r="BA187" s="333">
        <f>IF($F187="",0,IF($F187="Weighted Average",$I187*VLOOKUP($D187&amp;" (Disposal)",Lists!$C$72:$R$232,COLUMNS(Lists!$C$69:P$69),0)*VLOOKUP(BP$3,Conversions!$B$12:$E$34,4,0),$I187*VLOOKUP($F187,Lists!$C$72:$R$232,COLUMNS(Lists!$C$69:P$69),0)*VLOOKUP(BP$3,Conversions!$B$12:$E$34,4,0)))</f>
        <v>0</v>
      </c>
      <c r="BB187" s="333">
        <f>IF($F187="",0,IF($F187="Weighted Average",$I187*VLOOKUP($D187&amp;" (Disposal)",Lists!$C$72:$R$232,COLUMNS(Lists!$C$69:Q$69),0)*VLOOKUP(BQ$3,Conversions!$B$12:$E$34,4,0),$I187*VLOOKUP($F187,Lists!$C$72:$R$232,COLUMNS(Lists!$C$69:Q$69),0)*VLOOKUP(BQ$3,Conversions!$B$12:$E$34,4,0)))</f>
        <v>0</v>
      </c>
      <c r="BC187" s="333">
        <f>IF($F187="",0,IF($F187="Weighted Average",$I187*VLOOKUP($D187&amp;" (Disposal)",Lists!$C$72:$R$232,COLUMNS(Lists!$C$69:R$69),0)*VLOOKUP(BR$3,Conversions!$B$12:$E$34,4,0),$I187*VLOOKUP($F187,Lists!$C$72:$R$232,COLUMNS(Lists!$C$69:R$69),0)*VLOOKUP(BR$3,Conversions!$B$12:$E$34,4,0)))</f>
        <v>0</v>
      </c>
      <c r="BD187" s="333">
        <f t="shared" si="236"/>
        <v>0</v>
      </c>
      <c r="BE187" s="330">
        <f t="shared" si="237"/>
        <v>0</v>
      </c>
      <c r="BF187" s="330">
        <f t="shared" si="238"/>
        <v>0</v>
      </c>
      <c r="BG187" s="330">
        <f t="shared" si="239"/>
        <v>0</v>
      </c>
      <c r="BH187" s="330">
        <f t="shared" si="240"/>
        <v>0</v>
      </c>
      <c r="BI187" s="330">
        <f t="shared" si="241"/>
        <v>0</v>
      </c>
      <c r="BJ187" s="330">
        <f t="shared" si="242"/>
        <v>0</v>
      </c>
      <c r="BK187" s="330">
        <f t="shared" si="243"/>
        <v>0</v>
      </c>
      <c r="BL187" s="330">
        <f t="shared" si="244"/>
        <v>0</v>
      </c>
      <c r="BM187" s="330">
        <f t="shared" si="245"/>
        <v>0</v>
      </c>
      <c r="BN187" s="330">
        <f t="shared" si="246"/>
        <v>0</v>
      </c>
      <c r="BO187" s="330">
        <f t="shared" si="247"/>
        <v>0</v>
      </c>
      <c r="BP187" s="330">
        <f t="shared" si="248"/>
        <v>0</v>
      </c>
      <c r="BQ187" s="330">
        <f t="shared" si="249"/>
        <v>0</v>
      </c>
      <c r="BR187" s="330">
        <f t="shared" si="250"/>
        <v>0</v>
      </c>
      <c r="BS187" s="330">
        <f t="shared" si="251"/>
        <v>0</v>
      </c>
      <c r="BT187" s="329">
        <f>IF($F187="",0,IF($F187="Weighted Average",$BS187*VLOOKUP($D187,'Default Values'!$B$78:$V$97,COLUMNS('Default Values'!$B$77:G$77),0),0))</f>
        <v>0</v>
      </c>
      <c r="BU187" s="329">
        <f>IF($F187="",0,IF($F187="Weighted Average",$BS187*VLOOKUP($D187,'Default Values'!$B$78:$V$97,COLUMNS('Default Values'!$B$77:H$77),0),0))</f>
        <v>0</v>
      </c>
      <c r="BV187" s="329">
        <f>IF($F187="",0,IF($F187="Weighted Average",$BS187*VLOOKUP($D187,'Default Values'!$B$78:$V$97,COLUMNS('Default Values'!$B$77:I$77),0),0))</f>
        <v>0</v>
      </c>
      <c r="BW187" s="329">
        <f>IF($F187="",0,IF($F187="Weighted Average",$BS187*VLOOKUP($D187,'Default Values'!$B$78:$V$97,COLUMNS('Default Values'!$B$77:J$77),0),0))</f>
        <v>0</v>
      </c>
      <c r="BX187" s="329">
        <f>IF($F187="",0,IF($F187="Weighted Average",$BS187*VLOOKUP($D187,'Default Values'!$B$78:$V$97,COLUMNS('Default Values'!$B$77:K$77),0),0))</f>
        <v>0</v>
      </c>
      <c r="BY187" s="329">
        <f>IF($F187="",0,IF($F187="Weighted Average",$BS187*VLOOKUP($D187,'Default Values'!$B$78:$V$97,COLUMNS('Default Values'!$B$77:L$77),0),0))</f>
        <v>0</v>
      </c>
      <c r="BZ187" s="329">
        <f>IF($F187="",0,IF($F187="Weighted Average",$BS187*VLOOKUP($D187,'Default Values'!$B$78:$V$97,COLUMNS('Default Values'!$B$77:M$77),0),0))</f>
        <v>0</v>
      </c>
      <c r="CA187" s="329">
        <f>IF($F187="",0,IF($F187="Weighted Average",$BS187*VLOOKUP($D187,'Default Values'!$B$78:$V$97,COLUMNS('Default Values'!$B$77:N$77),0),0))</f>
        <v>0</v>
      </c>
      <c r="CB187" s="329">
        <f>IF($F187="",0,IF($F187="Weighted Average",$BS187*VLOOKUP($D187,'Default Values'!$B$78:$V$97,COLUMNS('Default Values'!$B$77:O$77),0),0))</f>
        <v>0</v>
      </c>
      <c r="CC187" s="329">
        <f>IF($F187="",0,IF($F187="Weighted Average",$BS187*VLOOKUP($D187,'Default Values'!$B$78:$V$97,COLUMNS('Default Values'!$B$77:P$77),0),0))</f>
        <v>0</v>
      </c>
      <c r="CD187" s="329">
        <f>IF($F187="",0,IF($F187="Weighted Average",$BS187*VLOOKUP($D187,'Default Values'!$B$78:$V$97,COLUMNS('Default Values'!$B$77:Q$77),0),0))</f>
        <v>0</v>
      </c>
      <c r="CE187" s="329">
        <f>IF($F187="",0,IF($F187="Weighted Average",$BS187*VLOOKUP($D187,'Default Values'!$B$78:$V$97,COLUMNS('Default Values'!$B$77:R$77),0),0))</f>
        <v>0</v>
      </c>
      <c r="CF187" s="329">
        <f>IF($F187="",0,IF($F187="Weighted Average",$BS187*VLOOKUP($D187,'Default Values'!$B$78:$V$97,COLUMNS('Default Values'!$B$77:S$77),0),0))</f>
        <v>0</v>
      </c>
      <c r="CG187" s="329">
        <f>IF($F187="",0,IF($F187="Weighted Average",$BS187*VLOOKUP($D187,'Default Values'!$B$78:$V$97,COLUMNS('Default Values'!$B$77:T$77),0),0))</f>
        <v>0</v>
      </c>
      <c r="CH187" s="329">
        <f>IF($F187="",0,IF($F187="Weighted Average",$BS187*VLOOKUP($D187,'Default Values'!$B$78:$V$97,COLUMNS('Default Values'!$B$77:U$77),0),0))</f>
        <v>0</v>
      </c>
      <c r="CI187" s="329">
        <f>IF($F187="",0,IF($F187="Weighted Average",$BS187*VLOOKUP($D187,'Default Values'!$B$78:$V$97,COLUMNS('Default Values'!$B$77:V$77),0),0))</f>
        <v>0</v>
      </c>
      <c r="CJ187" s="331">
        <f t="shared" si="252"/>
        <v>0</v>
      </c>
      <c r="CK187" s="330">
        <f t="shared" si="253"/>
        <v>0</v>
      </c>
      <c r="CL187" s="330">
        <f t="shared" si="254"/>
        <v>0</v>
      </c>
      <c r="CM187" s="330">
        <f t="shared" si="255"/>
        <v>0</v>
      </c>
      <c r="CN187" s="330">
        <f t="shared" si="256"/>
        <v>0</v>
      </c>
      <c r="CO187" s="330">
        <f t="shared" si="257"/>
        <v>0</v>
      </c>
      <c r="CP187" s="330">
        <f t="shared" si="258"/>
        <v>0</v>
      </c>
      <c r="CQ187" s="330">
        <f t="shared" si="186"/>
        <v>0</v>
      </c>
      <c r="CR187" s="330">
        <f t="shared" si="259"/>
        <v>0</v>
      </c>
      <c r="CS187" s="330">
        <f t="shared" si="260"/>
        <v>0</v>
      </c>
      <c r="CT187" s="330">
        <f t="shared" si="261"/>
        <v>0</v>
      </c>
      <c r="CU187" s="330">
        <f t="shared" si="265"/>
        <v>0</v>
      </c>
      <c r="CV187" s="330">
        <f t="shared" si="265"/>
        <v>0</v>
      </c>
      <c r="CW187" s="330">
        <f t="shared" si="265"/>
        <v>0</v>
      </c>
      <c r="CX187" s="330">
        <f t="shared" si="265"/>
        <v>0</v>
      </c>
      <c r="CY187" s="330">
        <f t="shared" si="265"/>
        <v>0</v>
      </c>
      <c r="CZ187" s="330">
        <f t="shared" si="265"/>
        <v>0</v>
      </c>
      <c r="DA187" s="330">
        <f t="shared" si="265"/>
        <v>0</v>
      </c>
      <c r="DB187" s="330">
        <f t="shared" si="265"/>
        <v>0</v>
      </c>
      <c r="DC187" s="330">
        <f t="shared" si="265"/>
        <v>0</v>
      </c>
      <c r="DD187" s="330">
        <f t="shared" si="265"/>
        <v>0</v>
      </c>
      <c r="DE187" s="330">
        <f t="shared" si="266"/>
        <v>0</v>
      </c>
      <c r="DF187" s="330">
        <f t="shared" si="266"/>
        <v>0</v>
      </c>
      <c r="DG187" s="330">
        <f t="shared" si="266"/>
        <v>0</v>
      </c>
      <c r="DH187" s="330">
        <f t="shared" si="266"/>
        <v>0</v>
      </c>
      <c r="DI187" s="330">
        <f t="shared" si="266"/>
        <v>0</v>
      </c>
      <c r="DJ187" s="330">
        <f t="shared" si="266"/>
        <v>0</v>
      </c>
      <c r="DK187" s="330">
        <f t="shared" si="266"/>
        <v>0</v>
      </c>
      <c r="DL187" s="330">
        <f t="shared" si="266"/>
        <v>0</v>
      </c>
      <c r="DM187" s="330">
        <f t="shared" si="266"/>
        <v>0</v>
      </c>
      <c r="DN187" s="330">
        <f t="shared" si="266"/>
        <v>0</v>
      </c>
      <c r="DO187" s="330">
        <f t="shared" si="266"/>
        <v>0</v>
      </c>
      <c r="DP187" s="330">
        <f t="shared" si="264"/>
        <v>0</v>
      </c>
      <c r="DQ187" s="217"/>
      <c r="DR187" s="217"/>
      <c r="DS187" s="217"/>
      <c r="DT187" s="217"/>
    </row>
    <row r="188" spans="1:124" x14ac:dyDescent="0.3">
      <c r="A188" s="324"/>
      <c r="B188" s="221" t="s">
        <v>307</v>
      </c>
      <c r="C188" s="221" t="str">
        <f>IF('Simplified Screening 2'!C39=0,"",'Simplified Screening 2'!C39)</f>
        <v/>
      </c>
      <c r="D188" s="221" t="str">
        <f>IF('Simplified Screening 2'!D39=0,"",'Simplified Screening 2'!D39)</f>
        <v/>
      </c>
      <c r="E188" s="221"/>
      <c r="F188" s="221" t="str">
        <f>'Simplified Screening 2'!J39</f>
        <v/>
      </c>
      <c r="G188" s="335" t="str">
        <f>IF(D188="","",'Simplified Screening 2'!G39/1000*VLOOKUP(D188,'Default Values'!$B$78:$F$97,COLUMNS('Default Values'!$B$77:$D$77),0)/1000)</f>
        <v/>
      </c>
      <c r="H188" s="335" t="str">
        <f>IF(D188="","",'Simplified Screening 2'!G39/1000*VLOOKUP(D188,'Default Values'!$B$78:$F$97,COLUMNS('Default Values'!$B$77:$E$77),0)/1000)</f>
        <v/>
      </c>
      <c r="I188" s="335" t="str">
        <f>IF(D188="","",'Simplified Screening 2'!G39/1000*VLOOKUP(D188,'Default Values'!$B$78:$F$97,COLUMNS('Default Values'!$B$77:$F$77),0)/1000)</f>
        <v/>
      </c>
      <c r="J188" s="325">
        <f>IF('Simplified Screening 2'!H39=0,0,'Simplified Screening 2'!H39)</f>
        <v>0</v>
      </c>
      <c r="K188" s="465"/>
      <c r="L188" s="333">
        <f>IF($F188="",0,IF($F188="Weighted Average",$G188*VLOOKUP($D188&amp;" (Install)",Lists!$C$72:$R$232,COLUMNS(Lists!$C$69:E$69),0)*VLOOKUP(BE$3,Conversions!$B$12:$E$34,4,0),$G188*VLOOKUP($F188,Lists!$C$72:$R$232,COLUMNS(Lists!$C$69:E$69),0)*VLOOKUP(BE$3,Conversions!$B$12:$E$34,4,0)))</f>
        <v>0</v>
      </c>
      <c r="M188" s="333">
        <f>IF($F188="",0,IF($F188="Weighted Average",$G188*VLOOKUP($D188&amp;" (Install)",Lists!$C$72:$R$232,COLUMNS(Lists!$C$69:F$69),0)*VLOOKUP(BF$3,Conversions!$B$12:$E$34,4,0),$G188*VLOOKUP($F188,Lists!$C$72:$R$232,COLUMNS(Lists!$C$69:F$69),0)*VLOOKUP(BF$3,Conversions!$B$12:$E$34,4,0)))</f>
        <v>0</v>
      </c>
      <c r="N188" s="333">
        <f>IF($F188="",0,IF($F188="Weighted Average",$G188*VLOOKUP($D188&amp;" (Install)",Lists!$C$72:$R$232,COLUMNS(Lists!$C$69:G$69),0)*VLOOKUP(BG$3,Conversions!$B$12:$E$34,4,0),$G188*VLOOKUP($F188,Lists!$C$72:$R$232,COLUMNS(Lists!$C$69:G$69),0)*VLOOKUP(BG$3,Conversions!$B$12:$E$34,4,0)))</f>
        <v>0</v>
      </c>
      <c r="O188" s="333">
        <f>IF($F188="",0,IF($F188="Weighted Average",$G188*VLOOKUP($D188&amp;" (Install)",Lists!$C$72:$R$232,COLUMNS(Lists!$C$69:H$69),0)*VLOOKUP(BH$3,Conversions!$B$12:$E$34,4,0),$G188*VLOOKUP($F188,Lists!$C$72:$R$232,COLUMNS(Lists!$C$69:H$69),0)*VLOOKUP(BH$3,Conversions!$B$12:$E$34,4,0)))</f>
        <v>0</v>
      </c>
      <c r="P188" s="333">
        <f>IF($F188="",0,IF($F188="Weighted Average",$G188*VLOOKUP($D188&amp;" (Install)",Lists!$C$72:$R$232,COLUMNS(Lists!$C$69:I$69),0)*VLOOKUP(BI$3,Conversions!$B$12:$E$34,4,0),$G188*VLOOKUP($F188,Lists!$C$72:$R$232,COLUMNS(Lists!$C$69:I$69),0)*VLOOKUP(BI$3,Conversions!$B$12:$E$34,4,0)))</f>
        <v>0</v>
      </c>
      <c r="Q188" s="333">
        <f>IF($F188="",0,IF($F188="Weighted Average",$G188*VLOOKUP($D188&amp;" (Install)",Lists!$C$72:$R$232,COLUMNS(Lists!$C$69:J$69),0)*VLOOKUP(BJ$3,Conversions!$B$12:$E$34,4,0),$G188*VLOOKUP($F188,Lists!$C$72:$R$232,COLUMNS(Lists!$C$69:J$69),0)*VLOOKUP(BJ$3,Conversions!$B$12:$E$34,4,0)))</f>
        <v>0</v>
      </c>
      <c r="R188" s="333">
        <f>IF($F188="",0,IF($F188="Weighted Average",$G188*VLOOKUP($D188&amp;" (Install)",Lists!$C$72:$R$232,COLUMNS(Lists!$C$69:K$69),0)*VLOOKUP(BK$3,Conversions!$B$12:$E$34,4,0),$G188*VLOOKUP($F188,Lists!$C$72:$R$232,COLUMNS(Lists!$C$69:K$69),0)*VLOOKUP(BK$3,Conversions!$B$12:$E$34,4,0)))</f>
        <v>0</v>
      </c>
      <c r="S188" s="333">
        <f>IF($F188="",0,IF($F188="Weighted Average",$G188*VLOOKUP($D188&amp;" (Install)",Lists!$C$72:$R$232,COLUMNS(Lists!$C$69:L$69),0)*VLOOKUP(BL$3,Conversions!$B$12:$E$34,4,0),$G188*VLOOKUP($F188,Lists!$C$72:$R$232,COLUMNS(Lists!$C$69:L$69),0)*VLOOKUP(BL$3,Conversions!$B$12:$E$34,4,0)))</f>
        <v>0</v>
      </c>
      <c r="T188" s="333">
        <f>IF($F188="",0,IF($F188="Weighted Average",$G188*VLOOKUP($D188&amp;" (Install)",Lists!$C$72:$R$232,COLUMNS(Lists!$C$69:M$69),0)*VLOOKUP(BM$3,Conversions!$B$12:$E$34,4,0),$G188*VLOOKUP($F188,Lists!$C$72:$R$232,COLUMNS(Lists!$C$69:M$69),0)*VLOOKUP(BM$3,Conversions!$B$12:$E$34,4,0)))</f>
        <v>0</v>
      </c>
      <c r="U188" s="333">
        <f>IF($F188="",0,IF($F188="Weighted Average",$G188*VLOOKUP($D188&amp;" (Install)",Lists!$C$72:$R$232,COLUMNS(Lists!$C$69:N$69),0)*VLOOKUP(BN$3,Conversions!$B$12:$E$34,4,0),$G188*VLOOKUP($F188,Lists!$C$72:$R$232,COLUMNS(Lists!$C$69:N$69),0)*VLOOKUP(BN$3,Conversions!$B$12:$E$34,4,0)))</f>
        <v>0</v>
      </c>
      <c r="V188" s="333">
        <f>IF($F188="",0,IF($F188="Weighted Average",$G188*VLOOKUP($D188&amp;" (Install)",Lists!$C$72:$R$232,COLUMNS(Lists!$C$69:O$69),0)*VLOOKUP(BO$3,Conversions!$B$12:$E$34,4,0),$G188*VLOOKUP($F188,Lists!$C$72:$R$232,COLUMNS(Lists!$C$69:O$69),0)*VLOOKUP(BO$3,Conversions!$B$12:$E$34,4,0)))</f>
        <v>0</v>
      </c>
      <c r="W188" s="333">
        <f>IF($F188="",0,IF($F188="Weighted Average",$G188*VLOOKUP($D188&amp;" (Install)",Lists!$C$72:$R$232,COLUMNS(Lists!$C$69:P$69),0)*VLOOKUP(BP$3,Conversions!$B$12:$E$34,4,0),$G188*VLOOKUP($F188,Lists!$C$72:$R$232,COLUMNS(Lists!$C$69:P$69),0)*VLOOKUP(BP$3,Conversions!$B$12:$E$34,4,0)))</f>
        <v>0</v>
      </c>
      <c r="X188" s="333">
        <f>IF($F188="",0,IF($F188="Weighted Average",$G188*VLOOKUP($D188&amp;" (Install)",Lists!$C$72:$R$232,COLUMNS(Lists!$C$69:Q$69),0)*VLOOKUP(BQ$3,Conversions!$B$12:$E$34,4,0),$G188*VLOOKUP($F188,Lists!$C$72:$R$232,COLUMNS(Lists!$C$69:Q$69),0)*VLOOKUP(BQ$3,Conversions!$B$12:$E$34,4,0)))</f>
        <v>0</v>
      </c>
      <c r="Y188" s="333">
        <f>IF($F188="",0,IF($F188="Weighted Average",$G188*VLOOKUP($D188&amp;" (Install)",Lists!$C$72:$R$232,COLUMNS(Lists!$C$69:R$69),0)*VLOOKUP(BR$3,Conversions!$B$12:$E$34,4,0),$G188*VLOOKUP($F188,Lists!$C$72:$R$232,COLUMNS(Lists!$C$69:R$69),0)*VLOOKUP(BR$3,Conversions!$B$12:$E$34,4,0)))</f>
        <v>0</v>
      </c>
      <c r="Z188" s="325">
        <f t="shared" si="234"/>
        <v>0</v>
      </c>
      <c r="AA188" s="334">
        <f>IF($F188="",0,IF($F188="Weighted Average",$H188*VLOOKUP($D188&amp;" (Operation)",Lists!$C$72:$R$232,COLUMNS(Lists!$C$69:E$69),0)*VLOOKUP(BE$3,Conversions!$B$12:$E$34,4,0),$H188*VLOOKUP($F188,Lists!$C$72:$R$232,COLUMNS(Lists!$C$69:E$69),0)*VLOOKUP(BE$3,Conversions!$B$12:$E$34,4,0)))</f>
        <v>0</v>
      </c>
      <c r="AB188" s="334">
        <f>IF($F188="",0,IF($F188="Weighted Average",$H188*VLOOKUP($D188&amp;" (Operation)",Lists!$C$72:$R$232,COLUMNS(Lists!$C$69:F$69),0)*VLOOKUP(BF$3,Conversions!$B$12:$E$34,4,0),$H188*VLOOKUP($F188,Lists!$C$72:$R$232,COLUMNS(Lists!$C$69:F$69),0)*VLOOKUP(BF$3,Conversions!$B$12:$E$34,4,0)))</f>
        <v>0</v>
      </c>
      <c r="AC188" s="334">
        <f>IF($F188="",0,IF($F188="Weighted Average",$H188*VLOOKUP($D188&amp;" (Operation)",Lists!$C$72:$R$232,COLUMNS(Lists!$C$69:G$69),0)*VLOOKUP(BG$3,Conversions!$B$12:$E$34,4,0),$H188*VLOOKUP($F188,Lists!$C$72:$R$232,COLUMNS(Lists!$C$69:G$69),0)*VLOOKUP(BG$3,Conversions!$B$12:$E$34,4,0)))</f>
        <v>0</v>
      </c>
      <c r="AD188" s="334">
        <f>IF($F188="",0,IF($F188="Weighted Average",$H188*VLOOKUP($D188&amp;" (Operation)",Lists!$C$72:$R$232,COLUMNS(Lists!$C$69:H$69),0)*VLOOKUP(BH$3,Conversions!$B$12:$E$34,4,0),$H188*VLOOKUP($F188,Lists!$C$72:$R$232,COLUMNS(Lists!$C$69:H$69),0)*VLOOKUP(BH$3,Conversions!$B$12:$E$34,4,0)))</f>
        <v>0</v>
      </c>
      <c r="AE188" s="334">
        <f>IF($F188="",0,IF($F188="Weighted Average",$H188*VLOOKUP($D188&amp;" (Operation)",Lists!$C$72:$R$232,COLUMNS(Lists!$C$69:I$69),0)*VLOOKUP(BI$3,Conversions!$B$12:$E$34,4,0),$H188*VLOOKUP($F188,Lists!$C$72:$R$232,COLUMNS(Lists!$C$69:I$69),0)*VLOOKUP(BI$3,Conversions!$B$12:$E$34,4,0)))</f>
        <v>0</v>
      </c>
      <c r="AF188" s="334">
        <f>IF($F188="",0,IF($F188="Weighted Average",$H188*VLOOKUP($D188&amp;" (Operation)",Lists!$C$72:$R$232,COLUMNS(Lists!$C$69:J$69),0)*VLOOKUP(BJ$3,Conversions!$B$12:$E$34,4,0),$H188*VLOOKUP($F188,Lists!$C$72:$R$232,COLUMNS(Lists!$C$69:J$69),0)*VLOOKUP(BJ$3,Conversions!$B$12:$E$34,4,0)))</f>
        <v>0</v>
      </c>
      <c r="AG188" s="334">
        <f>IF($F188="",0,IF($F188="Weighted Average",$H188*VLOOKUP($D188&amp;" (Operation)",Lists!$C$72:$R$232,COLUMNS(Lists!$C$69:K$69),0)*VLOOKUP(BK$3,Conversions!$B$12:$E$34,4,0),$H188*VLOOKUP($F188,Lists!$C$72:$R$232,COLUMNS(Lists!$C$69:K$69),0)*VLOOKUP(BK$3,Conversions!$B$12:$E$34,4,0)))</f>
        <v>0</v>
      </c>
      <c r="AH188" s="334">
        <f>IF($F188="",0,IF($F188="Weighted Average",$H188*VLOOKUP($D188&amp;" (Operation)",Lists!$C$72:$R$232,COLUMNS(Lists!$C$69:L$69),0)*VLOOKUP(BL$3,Conversions!$B$12:$E$34,4,0),$H188*VLOOKUP($F188,Lists!$C$72:$R$232,COLUMNS(Lists!$C$69:L$69),0)*VLOOKUP(BL$3,Conversions!$B$12:$E$34,4,0)))</f>
        <v>0</v>
      </c>
      <c r="AI188" s="334">
        <f>IF($F188="",0,IF($F188="Weighted Average",$H188*VLOOKUP($D188&amp;" (Operation)",Lists!$C$72:$R$232,COLUMNS(Lists!$C$69:M$69),0)*VLOOKUP(BM$3,Conversions!$B$12:$E$34,4,0),$H188*VLOOKUP($F188,Lists!$C$72:$R$232,COLUMNS(Lists!$C$69:M$69),0)*VLOOKUP(BM$3,Conversions!$B$12:$E$34,4,0)))</f>
        <v>0</v>
      </c>
      <c r="AJ188" s="334">
        <f>IF($F188="",0,IF($F188="Weighted Average",$H188*VLOOKUP($D188&amp;" (Operation)",Lists!$C$72:$R$232,COLUMNS(Lists!$C$69:N$69),0)*VLOOKUP(BN$3,Conversions!$B$12:$E$34,4,0),$H188*VLOOKUP($F188,Lists!$C$72:$R$232,COLUMNS(Lists!$C$69:N$69),0)*VLOOKUP(BN$3,Conversions!$B$12:$E$34,4,0)))</f>
        <v>0</v>
      </c>
      <c r="AK188" s="334">
        <f>IF($F188="",0,IF($F188="Weighted Average",$H188*VLOOKUP($D188&amp;" (Operation)",Lists!$C$72:$R$232,COLUMNS(Lists!$C$69:O$69),0)*VLOOKUP(BO$3,Conversions!$B$12:$E$34,4,0),$H188*VLOOKUP($F188,Lists!$C$72:$R$232,COLUMNS(Lists!$C$69:O$69),0)*VLOOKUP(BO$3,Conversions!$B$12:$E$34,4,0)))</f>
        <v>0</v>
      </c>
      <c r="AL188" s="334">
        <f>IF($F188="",0,IF($F188="Weighted Average",$H188*VLOOKUP($D188&amp;" (Operation)",Lists!$C$72:$R$232,COLUMNS(Lists!$C$69:P$69),0)*VLOOKUP(BP$3,Conversions!$B$12:$E$34,4,0),$H188*VLOOKUP($F188,Lists!$C$72:$R$232,COLUMNS(Lists!$C$69:P$69),0)*VLOOKUP(BP$3,Conversions!$B$12:$E$34,4,0)))</f>
        <v>0</v>
      </c>
      <c r="AM188" s="334">
        <f>IF($F188="",0,IF($F188="Weighted Average",$H188*VLOOKUP($D188&amp;" (Operation)",Lists!$C$72:$R$232,COLUMNS(Lists!$C$69:Q$69),0)*VLOOKUP(BQ$3,Conversions!$B$12:$E$34,4,0),$H188*VLOOKUP($F188,Lists!$C$72:$R$232,COLUMNS(Lists!$C$69:Q$69),0)*VLOOKUP(BQ$3,Conversions!$B$12:$E$34,4,0)))</f>
        <v>0</v>
      </c>
      <c r="AN188" s="334">
        <f>IF($F188="",0,IF($F188="Weighted Average",$H188*VLOOKUP($D188&amp;" (Operation)",Lists!$C$72:$R$232,COLUMNS(Lists!$C$69:R$69),0)*VLOOKUP(BR$3,Conversions!$B$12:$E$34,4,0),$H188*VLOOKUP($F188,Lists!$C$72:$R$232,COLUMNS(Lists!$C$69:R$69),0)*VLOOKUP(BR$3,Conversions!$B$12:$E$34,4,0)))</f>
        <v>0</v>
      </c>
      <c r="AO188" s="330">
        <f t="shared" si="235"/>
        <v>0</v>
      </c>
      <c r="AP188" s="333">
        <f>IF($F188="",0,IF($F188="Weighted Average",$I188*VLOOKUP($D188&amp;" (Disposal)",Lists!$C$72:$R$232,COLUMNS(Lists!$C$69:E$69),0)*VLOOKUP(BE$3,Conversions!$B$12:$E$34,4,0),$I188*VLOOKUP($F188,Lists!$C$72:$R$232,COLUMNS(Lists!$C$69:E$69),0)*VLOOKUP(BE$3,Conversions!$B$12:$E$34,4,0)))</f>
        <v>0</v>
      </c>
      <c r="AQ188" s="333">
        <f>IF($F188="",0,IF($F188="Weighted Average",$I188*VLOOKUP($D188&amp;" (Disposal)",Lists!$C$72:$R$232,COLUMNS(Lists!$C$69:F$69),0)*VLOOKUP(BF$3,Conversions!$B$12:$E$34,4,0),$I188*VLOOKUP($F188,Lists!$C$72:$R$232,COLUMNS(Lists!$C$69:F$69),0)*VLOOKUP(BF$3,Conversions!$B$12:$E$34,4,0)))</f>
        <v>0</v>
      </c>
      <c r="AR188" s="333">
        <f>IF($F188="",0,IF($F188="Weighted Average",$I188*VLOOKUP($D188&amp;" (Disposal)",Lists!$C$72:$R$232,COLUMNS(Lists!$C$69:G$69),0)*VLOOKUP(BG$3,Conversions!$B$12:$E$34,4,0),$I188*VLOOKUP($F188,Lists!$C$72:$R$232,COLUMNS(Lists!$C$69:G$69),0)*VLOOKUP(BG$3,Conversions!$B$12:$E$34,4,0)))</f>
        <v>0</v>
      </c>
      <c r="AS188" s="333">
        <f>IF($F188="",0,IF($F188="Weighted Average",$I188*VLOOKUP($D188&amp;" (Disposal)",Lists!$C$72:$R$232,COLUMNS(Lists!$C$69:H$69),0)*VLOOKUP(BH$3,Conversions!$B$12:$E$34,4,0),$I188*VLOOKUP($F188,Lists!$C$72:$R$232,COLUMNS(Lists!$C$69:H$69),0)*VLOOKUP(BH$3,Conversions!$B$12:$E$34,4,0)))</f>
        <v>0</v>
      </c>
      <c r="AT188" s="333">
        <f>IF($F188="",0,IF($F188="Weighted Average",$I188*VLOOKUP($D188&amp;" (Disposal)",Lists!$C$72:$R$232,COLUMNS(Lists!$C$69:I$69),0)*VLOOKUP(BI$3,Conversions!$B$12:$E$34,4,0),$I188*VLOOKUP($F188,Lists!$C$72:$R$232,COLUMNS(Lists!$C$69:I$69),0)*VLOOKUP(BI$3,Conversions!$B$12:$E$34,4,0)))</f>
        <v>0</v>
      </c>
      <c r="AU188" s="333">
        <f>IF($F188="",0,IF($F188="Weighted Average",$I188*VLOOKUP($D188&amp;" (Disposal)",Lists!$C$72:$R$232,COLUMNS(Lists!$C$69:J$69),0)*VLOOKUP(BJ$3,Conversions!$B$12:$E$34,4,0),$I188*VLOOKUP($F188,Lists!$C$72:$R$232,COLUMNS(Lists!$C$69:J$69),0)*VLOOKUP(BJ$3,Conversions!$B$12:$E$34,4,0)))</f>
        <v>0</v>
      </c>
      <c r="AV188" s="333">
        <f>IF($F188="",0,IF($F188="Weighted Average",$I188*VLOOKUP($D188&amp;" (Disposal)",Lists!$C$72:$R$232,COLUMNS(Lists!$C$69:K$69),0)*VLOOKUP(BK$3,Conversions!$B$12:$E$34,4,0),$I188*VLOOKUP($F188,Lists!$C$72:$R$232,COLUMNS(Lists!$C$69:K$69),0)*VLOOKUP(BK$3,Conversions!$B$12:$E$34,4,0)))</f>
        <v>0</v>
      </c>
      <c r="AW188" s="333">
        <f>IF($F188="",0,IF($F188="Weighted Average",$I188*VLOOKUP($D188&amp;" (Disposal)",Lists!$C$72:$R$232,COLUMNS(Lists!$C$69:L$69),0)*VLOOKUP(BL$3,Conversions!$B$12:$E$34,4,0),$I188*VLOOKUP($F188,Lists!$C$72:$R$232,COLUMNS(Lists!$C$69:L$69),0)*VLOOKUP(BL$3,Conversions!$B$12:$E$34,4,0)))</f>
        <v>0</v>
      </c>
      <c r="AX188" s="333">
        <f>IF($F188="",0,IF($F188="Weighted Average",$I188*VLOOKUP($D188&amp;" (Disposal)",Lists!$C$72:$R$232,COLUMNS(Lists!$C$69:M$69),0)*VLOOKUP(BM$3,Conversions!$B$12:$E$34,4,0),$I188*VLOOKUP($F188,Lists!$C$72:$R$232,COLUMNS(Lists!$C$69:M$69),0)*VLOOKUP(BM$3,Conversions!$B$12:$E$34,4,0)))</f>
        <v>0</v>
      </c>
      <c r="AY188" s="333">
        <f>IF($F188="",0,IF($F188="Weighted Average",$I188*VLOOKUP($D188&amp;" (Disposal)",Lists!$C$72:$R$232,COLUMNS(Lists!$C$69:N$69),0)*VLOOKUP(BN$3,Conversions!$B$12:$E$34,4,0),$I188*VLOOKUP($F188,Lists!$C$72:$R$232,COLUMNS(Lists!$C$69:N$69),0)*VLOOKUP(BN$3,Conversions!$B$12:$E$34,4,0)))</f>
        <v>0</v>
      </c>
      <c r="AZ188" s="333">
        <f>IF($F188="",0,IF($F188="Weighted Average",$I188*VLOOKUP($D188&amp;" (Disposal)",Lists!$C$72:$R$232,COLUMNS(Lists!$C$69:O$69),0)*VLOOKUP(BO$3,Conversions!$B$12:$E$34,4,0),$I188*VLOOKUP($F188,Lists!$C$72:$R$232,COLUMNS(Lists!$C$69:O$69),0)*VLOOKUP(BO$3,Conversions!$B$12:$E$34,4,0)))</f>
        <v>0</v>
      </c>
      <c r="BA188" s="333">
        <f>IF($F188="",0,IF($F188="Weighted Average",$I188*VLOOKUP($D188&amp;" (Disposal)",Lists!$C$72:$R$232,COLUMNS(Lists!$C$69:P$69),0)*VLOOKUP(BP$3,Conversions!$B$12:$E$34,4,0),$I188*VLOOKUP($F188,Lists!$C$72:$R$232,COLUMNS(Lists!$C$69:P$69),0)*VLOOKUP(BP$3,Conversions!$B$12:$E$34,4,0)))</f>
        <v>0</v>
      </c>
      <c r="BB188" s="333">
        <f>IF($F188="",0,IF($F188="Weighted Average",$I188*VLOOKUP($D188&amp;" (Disposal)",Lists!$C$72:$R$232,COLUMNS(Lists!$C$69:Q$69),0)*VLOOKUP(BQ$3,Conversions!$B$12:$E$34,4,0),$I188*VLOOKUP($F188,Lists!$C$72:$R$232,COLUMNS(Lists!$C$69:Q$69),0)*VLOOKUP(BQ$3,Conversions!$B$12:$E$34,4,0)))</f>
        <v>0</v>
      </c>
      <c r="BC188" s="333">
        <f>IF($F188="",0,IF($F188="Weighted Average",$I188*VLOOKUP($D188&amp;" (Disposal)",Lists!$C$72:$R$232,COLUMNS(Lists!$C$69:R$69),0)*VLOOKUP(BR$3,Conversions!$B$12:$E$34,4,0),$I188*VLOOKUP($F188,Lists!$C$72:$R$232,COLUMNS(Lists!$C$69:R$69),0)*VLOOKUP(BR$3,Conversions!$B$12:$E$34,4,0)))</f>
        <v>0</v>
      </c>
      <c r="BD188" s="333">
        <f t="shared" si="236"/>
        <v>0</v>
      </c>
      <c r="BE188" s="330">
        <f t="shared" si="237"/>
        <v>0</v>
      </c>
      <c r="BF188" s="330">
        <f t="shared" si="238"/>
        <v>0</v>
      </c>
      <c r="BG188" s="330">
        <f t="shared" si="239"/>
        <v>0</v>
      </c>
      <c r="BH188" s="330">
        <f t="shared" si="240"/>
        <v>0</v>
      </c>
      <c r="BI188" s="330">
        <f t="shared" si="241"/>
        <v>0</v>
      </c>
      <c r="BJ188" s="330">
        <f t="shared" si="242"/>
        <v>0</v>
      </c>
      <c r="BK188" s="330">
        <f t="shared" si="243"/>
        <v>0</v>
      </c>
      <c r="BL188" s="330">
        <f t="shared" si="244"/>
        <v>0</v>
      </c>
      <c r="BM188" s="330">
        <f t="shared" si="245"/>
        <v>0</v>
      </c>
      <c r="BN188" s="330">
        <f t="shared" si="246"/>
        <v>0</v>
      </c>
      <c r="BO188" s="330">
        <f t="shared" si="247"/>
        <v>0</v>
      </c>
      <c r="BP188" s="330">
        <f t="shared" si="248"/>
        <v>0</v>
      </c>
      <c r="BQ188" s="330">
        <f t="shared" si="249"/>
        <v>0</v>
      </c>
      <c r="BR188" s="330">
        <f t="shared" si="250"/>
        <v>0</v>
      </c>
      <c r="BS188" s="330">
        <f t="shared" si="251"/>
        <v>0</v>
      </c>
      <c r="BT188" s="329">
        <f>IF($F188="",0,IF($F188="Weighted Average",$BS188*VLOOKUP($D188,'Default Values'!$B$78:$V$97,COLUMNS('Default Values'!$B$77:G$77),0),0))</f>
        <v>0</v>
      </c>
      <c r="BU188" s="329">
        <f>IF($F188="",0,IF($F188="Weighted Average",$BS188*VLOOKUP($D188,'Default Values'!$B$78:$V$97,COLUMNS('Default Values'!$B$77:H$77),0),0))</f>
        <v>0</v>
      </c>
      <c r="BV188" s="329">
        <f>IF($F188="",0,IF($F188="Weighted Average",$BS188*VLOOKUP($D188,'Default Values'!$B$78:$V$97,COLUMNS('Default Values'!$B$77:I$77),0),0))</f>
        <v>0</v>
      </c>
      <c r="BW188" s="329">
        <f>IF($F188="",0,IF($F188="Weighted Average",$BS188*VLOOKUP($D188,'Default Values'!$B$78:$V$97,COLUMNS('Default Values'!$B$77:J$77),0),0))</f>
        <v>0</v>
      </c>
      <c r="BX188" s="329">
        <f>IF($F188="",0,IF($F188="Weighted Average",$BS188*VLOOKUP($D188,'Default Values'!$B$78:$V$97,COLUMNS('Default Values'!$B$77:K$77),0),0))</f>
        <v>0</v>
      </c>
      <c r="BY188" s="329">
        <f>IF($F188="",0,IF($F188="Weighted Average",$BS188*VLOOKUP($D188,'Default Values'!$B$78:$V$97,COLUMNS('Default Values'!$B$77:L$77),0),0))</f>
        <v>0</v>
      </c>
      <c r="BZ188" s="329">
        <f>IF($F188="",0,IF($F188="Weighted Average",$BS188*VLOOKUP($D188,'Default Values'!$B$78:$V$97,COLUMNS('Default Values'!$B$77:M$77),0),0))</f>
        <v>0</v>
      </c>
      <c r="CA188" s="329">
        <f>IF($F188="",0,IF($F188="Weighted Average",$BS188*VLOOKUP($D188,'Default Values'!$B$78:$V$97,COLUMNS('Default Values'!$B$77:N$77),0),0))</f>
        <v>0</v>
      </c>
      <c r="CB188" s="329">
        <f>IF($F188="",0,IF($F188="Weighted Average",$BS188*VLOOKUP($D188,'Default Values'!$B$78:$V$97,COLUMNS('Default Values'!$B$77:O$77),0),0))</f>
        <v>0</v>
      </c>
      <c r="CC188" s="329">
        <f>IF($F188="",0,IF($F188="Weighted Average",$BS188*VLOOKUP($D188,'Default Values'!$B$78:$V$97,COLUMNS('Default Values'!$B$77:P$77),0),0))</f>
        <v>0</v>
      </c>
      <c r="CD188" s="329">
        <f>IF($F188="",0,IF($F188="Weighted Average",$BS188*VLOOKUP($D188,'Default Values'!$B$78:$V$97,COLUMNS('Default Values'!$B$77:Q$77),0),0))</f>
        <v>0</v>
      </c>
      <c r="CE188" s="329">
        <f>IF($F188="",0,IF($F188="Weighted Average",$BS188*VLOOKUP($D188,'Default Values'!$B$78:$V$97,COLUMNS('Default Values'!$B$77:R$77),0),0))</f>
        <v>0</v>
      </c>
      <c r="CF188" s="329">
        <f>IF($F188="",0,IF($F188="Weighted Average",$BS188*VLOOKUP($D188,'Default Values'!$B$78:$V$97,COLUMNS('Default Values'!$B$77:S$77),0),0))</f>
        <v>0</v>
      </c>
      <c r="CG188" s="329">
        <f>IF($F188="",0,IF($F188="Weighted Average",$BS188*VLOOKUP($D188,'Default Values'!$B$78:$V$97,COLUMNS('Default Values'!$B$77:T$77),0),0))</f>
        <v>0</v>
      </c>
      <c r="CH188" s="329">
        <f>IF($F188="",0,IF($F188="Weighted Average",$BS188*VLOOKUP($D188,'Default Values'!$B$78:$V$97,COLUMNS('Default Values'!$B$77:U$77),0),0))</f>
        <v>0</v>
      </c>
      <c r="CI188" s="329">
        <f>IF($F188="",0,IF($F188="Weighted Average",$BS188*VLOOKUP($D188,'Default Values'!$B$78:$V$97,COLUMNS('Default Values'!$B$77:V$77),0),0))</f>
        <v>0</v>
      </c>
      <c r="CJ188" s="331">
        <f t="shared" si="252"/>
        <v>0</v>
      </c>
      <c r="CK188" s="330">
        <f t="shared" si="253"/>
        <v>0</v>
      </c>
      <c r="CL188" s="330">
        <f t="shared" si="254"/>
        <v>0</v>
      </c>
      <c r="CM188" s="330">
        <f t="shared" si="255"/>
        <v>0</v>
      </c>
      <c r="CN188" s="330">
        <f t="shared" si="256"/>
        <v>0</v>
      </c>
      <c r="CO188" s="330">
        <f t="shared" si="257"/>
        <v>0</v>
      </c>
      <c r="CP188" s="330">
        <f t="shared" si="258"/>
        <v>0</v>
      </c>
      <c r="CQ188" s="330">
        <f t="shared" si="186"/>
        <v>0</v>
      </c>
      <c r="CR188" s="330">
        <f t="shared" si="259"/>
        <v>0</v>
      </c>
      <c r="CS188" s="330">
        <f t="shared" si="260"/>
        <v>0</v>
      </c>
      <c r="CT188" s="330">
        <f t="shared" si="261"/>
        <v>0</v>
      </c>
      <c r="CU188" s="330">
        <f t="shared" si="265"/>
        <v>0</v>
      </c>
      <c r="CV188" s="330">
        <f t="shared" si="265"/>
        <v>0</v>
      </c>
      <c r="CW188" s="330">
        <f t="shared" si="265"/>
        <v>0</v>
      </c>
      <c r="CX188" s="330">
        <f t="shared" si="265"/>
        <v>0</v>
      </c>
      <c r="CY188" s="330">
        <f t="shared" si="265"/>
        <v>0</v>
      </c>
      <c r="CZ188" s="330">
        <f t="shared" si="265"/>
        <v>0</v>
      </c>
      <c r="DA188" s="330">
        <f t="shared" si="265"/>
        <v>0</v>
      </c>
      <c r="DB188" s="330">
        <f t="shared" si="265"/>
        <v>0</v>
      </c>
      <c r="DC188" s="330">
        <f t="shared" si="265"/>
        <v>0</v>
      </c>
      <c r="DD188" s="330">
        <f t="shared" si="265"/>
        <v>0</v>
      </c>
      <c r="DE188" s="330">
        <f t="shared" si="266"/>
        <v>0</v>
      </c>
      <c r="DF188" s="330">
        <f t="shared" si="266"/>
        <v>0</v>
      </c>
      <c r="DG188" s="330">
        <f t="shared" si="266"/>
        <v>0</v>
      </c>
      <c r="DH188" s="330">
        <f t="shared" si="266"/>
        <v>0</v>
      </c>
      <c r="DI188" s="330">
        <f t="shared" si="266"/>
        <v>0</v>
      </c>
      <c r="DJ188" s="330">
        <f t="shared" si="266"/>
        <v>0</v>
      </c>
      <c r="DK188" s="330">
        <f t="shared" si="266"/>
        <v>0</v>
      </c>
      <c r="DL188" s="330">
        <f t="shared" si="266"/>
        <v>0</v>
      </c>
      <c r="DM188" s="330">
        <f t="shared" si="266"/>
        <v>0</v>
      </c>
      <c r="DN188" s="330">
        <f t="shared" si="266"/>
        <v>0</v>
      </c>
      <c r="DO188" s="330">
        <f t="shared" si="266"/>
        <v>0</v>
      </c>
      <c r="DP188" s="330">
        <f t="shared" si="264"/>
        <v>0</v>
      </c>
      <c r="DQ188" s="217"/>
      <c r="DR188" s="217"/>
      <c r="DS188" s="217"/>
      <c r="DT188" s="217"/>
    </row>
    <row r="189" spans="1:124" x14ac:dyDescent="0.3">
      <c r="A189" s="324"/>
      <c r="B189" s="221" t="s">
        <v>307</v>
      </c>
      <c r="C189" s="221" t="str">
        <f>IF('Simplified Screening 2'!C40=0,"",'Simplified Screening 2'!C40)</f>
        <v/>
      </c>
      <c r="D189" s="221" t="str">
        <f>IF('Simplified Screening 2'!D40=0,"",'Simplified Screening 2'!D40)</f>
        <v/>
      </c>
      <c r="E189" s="221"/>
      <c r="F189" s="221" t="str">
        <f>'Simplified Screening 2'!J40</f>
        <v/>
      </c>
      <c r="G189" s="335" t="str">
        <f>IF(D189="","",'Simplified Screening 2'!G40/1000*VLOOKUP(D189,'Default Values'!$B$78:$F$97,COLUMNS('Default Values'!$B$77:$D$77),0)/1000)</f>
        <v/>
      </c>
      <c r="H189" s="335" t="str">
        <f>IF(D189="","",'Simplified Screening 2'!G40/1000*VLOOKUP(D189,'Default Values'!$B$78:$F$97,COLUMNS('Default Values'!$B$77:$E$77),0)/1000)</f>
        <v/>
      </c>
      <c r="I189" s="335" t="str">
        <f>IF(D189="","",'Simplified Screening 2'!G40/1000*VLOOKUP(D189,'Default Values'!$B$78:$F$97,COLUMNS('Default Values'!$B$77:$F$77),0)/1000)</f>
        <v/>
      </c>
      <c r="J189" s="325">
        <f>IF('Simplified Screening 2'!H40=0,0,'Simplified Screening 2'!H40)</f>
        <v>0</v>
      </c>
      <c r="K189" s="465"/>
      <c r="L189" s="333">
        <f>IF($F189="",0,IF($F189="Weighted Average",$G189*VLOOKUP($D189&amp;" (Install)",Lists!$C$72:$R$232,COLUMNS(Lists!$C$69:E$69),0)*VLOOKUP(BE$3,Conversions!$B$12:$E$34,4,0),$G189*VLOOKUP($F189,Lists!$C$72:$R$232,COLUMNS(Lists!$C$69:E$69),0)*VLOOKUP(BE$3,Conversions!$B$12:$E$34,4,0)))</f>
        <v>0</v>
      </c>
      <c r="M189" s="333">
        <f>IF($F189="",0,IF($F189="Weighted Average",$G189*VLOOKUP($D189&amp;" (Install)",Lists!$C$72:$R$232,COLUMNS(Lists!$C$69:F$69),0)*VLOOKUP(BF$3,Conversions!$B$12:$E$34,4,0),$G189*VLOOKUP($F189,Lists!$C$72:$R$232,COLUMNS(Lists!$C$69:F$69),0)*VLOOKUP(BF$3,Conversions!$B$12:$E$34,4,0)))</f>
        <v>0</v>
      </c>
      <c r="N189" s="333">
        <f>IF($F189="",0,IF($F189="Weighted Average",$G189*VLOOKUP($D189&amp;" (Install)",Lists!$C$72:$R$232,COLUMNS(Lists!$C$69:G$69),0)*VLOOKUP(BG$3,Conversions!$B$12:$E$34,4,0),$G189*VLOOKUP($F189,Lists!$C$72:$R$232,COLUMNS(Lists!$C$69:G$69),0)*VLOOKUP(BG$3,Conversions!$B$12:$E$34,4,0)))</f>
        <v>0</v>
      </c>
      <c r="O189" s="333">
        <f>IF($F189="",0,IF($F189="Weighted Average",$G189*VLOOKUP($D189&amp;" (Install)",Lists!$C$72:$R$232,COLUMNS(Lists!$C$69:H$69),0)*VLOOKUP(BH$3,Conversions!$B$12:$E$34,4,0),$G189*VLOOKUP($F189,Lists!$C$72:$R$232,COLUMNS(Lists!$C$69:H$69),0)*VLOOKUP(BH$3,Conversions!$B$12:$E$34,4,0)))</f>
        <v>0</v>
      </c>
      <c r="P189" s="333">
        <f>IF($F189="",0,IF($F189="Weighted Average",$G189*VLOOKUP($D189&amp;" (Install)",Lists!$C$72:$R$232,COLUMNS(Lists!$C$69:I$69),0)*VLOOKUP(BI$3,Conversions!$B$12:$E$34,4,0),$G189*VLOOKUP($F189,Lists!$C$72:$R$232,COLUMNS(Lists!$C$69:I$69),0)*VLOOKUP(BI$3,Conversions!$B$12:$E$34,4,0)))</f>
        <v>0</v>
      </c>
      <c r="Q189" s="333">
        <f>IF($F189="",0,IF($F189="Weighted Average",$G189*VLOOKUP($D189&amp;" (Install)",Lists!$C$72:$R$232,COLUMNS(Lists!$C$69:J$69),0)*VLOOKUP(BJ$3,Conversions!$B$12:$E$34,4,0),$G189*VLOOKUP($F189,Lists!$C$72:$R$232,COLUMNS(Lists!$C$69:J$69),0)*VLOOKUP(BJ$3,Conversions!$B$12:$E$34,4,0)))</f>
        <v>0</v>
      </c>
      <c r="R189" s="333">
        <f>IF($F189="",0,IF($F189="Weighted Average",$G189*VLOOKUP($D189&amp;" (Install)",Lists!$C$72:$R$232,COLUMNS(Lists!$C$69:K$69),0)*VLOOKUP(BK$3,Conversions!$B$12:$E$34,4,0),$G189*VLOOKUP($F189,Lists!$C$72:$R$232,COLUMNS(Lists!$C$69:K$69),0)*VLOOKUP(BK$3,Conversions!$B$12:$E$34,4,0)))</f>
        <v>0</v>
      </c>
      <c r="S189" s="333">
        <f>IF($F189="",0,IF($F189="Weighted Average",$G189*VLOOKUP($D189&amp;" (Install)",Lists!$C$72:$R$232,COLUMNS(Lists!$C$69:L$69),0)*VLOOKUP(BL$3,Conversions!$B$12:$E$34,4,0),$G189*VLOOKUP($F189,Lists!$C$72:$R$232,COLUMNS(Lists!$C$69:L$69),0)*VLOOKUP(BL$3,Conversions!$B$12:$E$34,4,0)))</f>
        <v>0</v>
      </c>
      <c r="T189" s="333">
        <f>IF($F189="",0,IF($F189="Weighted Average",$G189*VLOOKUP($D189&amp;" (Install)",Lists!$C$72:$R$232,COLUMNS(Lists!$C$69:M$69),0)*VLOOKUP(BM$3,Conversions!$B$12:$E$34,4,0),$G189*VLOOKUP($F189,Lists!$C$72:$R$232,COLUMNS(Lists!$C$69:M$69),0)*VLOOKUP(BM$3,Conversions!$B$12:$E$34,4,0)))</f>
        <v>0</v>
      </c>
      <c r="U189" s="333">
        <f>IF($F189="",0,IF($F189="Weighted Average",$G189*VLOOKUP($D189&amp;" (Install)",Lists!$C$72:$R$232,COLUMNS(Lists!$C$69:N$69),0)*VLOOKUP(BN$3,Conversions!$B$12:$E$34,4,0),$G189*VLOOKUP($F189,Lists!$C$72:$R$232,COLUMNS(Lists!$C$69:N$69),0)*VLOOKUP(BN$3,Conversions!$B$12:$E$34,4,0)))</f>
        <v>0</v>
      </c>
      <c r="V189" s="333">
        <f>IF($F189="",0,IF($F189="Weighted Average",$G189*VLOOKUP($D189&amp;" (Install)",Lists!$C$72:$R$232,COLUMNS(Lists!$C$69:O$69),0)*VLOOKUP(BO$3,Conversions!$B$12:$E$34,4,0),$G189*VLOOKUP($F189,Lists!$C$72:$R$232,COLUMNS(Lists!$C$69:O$69),0)*VLOOKUP(BO$3,Conversions!$B$12:$E$34,4,0)))</f>
        <v>0</v>
      </c>
      <c r="W189" s="333">
        <f>IF($F189="",0,IF($F189="Weighted Average",$G189*VLOOKUP($D189&amp;" (Install)",Lists!$C$72:$R$232,COLUMNS(Lists!$C$69:P$69),0)*VLOOKUP(BP$3,Conversions!$B$12:$E$34,4,0),$G189*VLOOKUP($F189,Lists!$C$72:$R$232,COLUMNS(Lists!$C$69:P$69),0)*VLOOKUP(BP$3,Conversions!$B$12:$E$34,4,0)))</f>
        <v>0</v>
      </c>
      <c r="X189" s="333">
        <f>IF($F189="",0,IF($F189="Weighted Average",$G189*VLOOKUP($D189&amp;" (Install)",Lists!$C$72:$R$232,COLUMNS(Lists!$C$69:Q$69),0)*VLOOKUP(BQ$3,Conversions!$B$12:$E$34,4,0),$G189*VLOOKUP($F189,Lists!$C$72:$R$232,COLUMNS(Lists!$C$69:Q$69),0)*VLOOKUP(BQ$3,Conversions!$B$12:$E$34,4,0)))</f>
        <v>0</v>
      </c>
      <c r="Y189" s="333">
        <f>IF($F189="",0,IF($F189="Weighted Average",$G189*VLOOKUP($D189&amp;" (Install)",Lists!$C$72:$R$232,COLUMNS(Lists!$C$69:R$69),0)*VLOOKUP(BR$3,Conversions!$B$12:$E$34,4,0),$G189*VLOOKUP($F189,Lists!$C$72:$R$232,COLUMNS(Lists!$C$69:R$69),0)*VLOOKUP(BR$3,Conversions!$B$12:$E$34,4,0)))</f>
        <v>0</v>
      </c>
      <c r="Z189" s="325">
        <f t="shared" si="234"/>
        <v>0</v>
      </c>
      <c r="AA189" s="334">
        <f>IF($F189="",0,IF($F189="Weighted Average",$H189*VLOOKUP($D189&amp;" (Operation)",Lists!$C$72:$R$232,COLUMNS(Lists!$C$69:E$69),0)*VLOOKUP(BE$3,Conversions!$B$12:$E$34,4,0),$H189*VLOOKUP($F189,Lists!$C$72:$R$232,COLUMNS(Lists!$C$69:E$69),0)*VLOOKUP(BE$3,Conversions!$B$12:$E$34,4,0)))</f>
        <v>0</v>
      </c>
      <c r="AB189" s="334">
        <f>IF($F189="",0,IF($F189="Weighted Average",$H189*VLOOKUP($D189&amp;" (Operation)",Lists!$C$72:$R$232,COLUMNS(Lists!$C$69:F$69),0)*VLOOKUP(BF$3,Conversions!$B$12:$E$34,4,0),$H189*VLOOKUP($F189,Lists!$C$72:$R$232,COLUMNS(Lists!$C$69:F$69),0)*VLOOKUP(BF$3,Conversions!$B$12:$E$34,4,0)))</f>
        <v>0</v>
      </c>
      <c r="AC189" s="334">
        <f>IF($F189="",0,IF($F189="Weighted Average",$H189*VLOOKUP($D189&amp;" (Operation)",Lists!$C$72:$R$232,COLUMNS(Lists!$C$69:G$69),0)*VLOOKUP(BG$3,Conversions!$B$12:$E$34,4,0),$H189*VLOOKUP($F189,Lists!$C$72:$R$232,COLUMNS(Lists!$C$69:G$69),0)*VLOOKUP(BG$3,Conversions!$B$12:$E$34,4,0)))</f>
        <v>0</v>
      </c>
      <c r="AD189" s="334">
        <f>IF($F189="",0,IF($F189="Weighted Average",$H189*VLOOKUP($D189&amp;" (Operation)",Lists!$C$72:$R$232,COLUMNS(Lists!$C$69:H$69),0)*VLOOKUP(BH$3,Conversions!$B$12:$E$34,4,0),$H189*VLOOKUP($F189,Lists!$C$72:$R$232,COLUMNS(Lists!$C$69:H$69),0)*VLOOKUP(BH$3,Conversions!$B$12:$E$34,4,0)))</f>
        <v>0</v>
      </c>
      <c r="AE189" s="334">
        <f>IF($F189="",0,IF($F189="Weighted Average",$H189*VLOOKUP($D189&amp;" (Operation)",Lists!$C$72:$R$232,COLUMNS(Lists!$C$69:I$69),0)*VLOOKUP(BI$3,Conversions!$B$12:$E$34,4,0),$H189*VLOOKUP($F189,Lists!$C$72:$R$232,COLUMNS(Lists!$C$69:I$69),0)*VLOOKUP(BI$3,Conversions!$B$12:$E$34,4,0)))</f>
        <v>0</v>
      </c>
      <c r="AF189" s="334">
        <f>IF($F189="",0,IF($F189="Weighted Average",$H189*VLOOKUP($D189&amp;" (Operation)",Lists!$C$72:$R$232,COLUMNS(Lists!$C$69:J$69),0)*VLOOKUP(BJ$3,Conversions!$B$12:$E$34,4,0),$H189*VLOOKUP($F189,Lists!$C$72:$R$232,COLUMNS(Lists!$C$69:J$69),0)*VLOOKUP(BJ$3,Conversions!$B$12:$E$34,4,0)))</f>
        <v>0</v>
      </c>
      <c r="AG189" s="334">
        <f>IF($F189="",0,IF($F189="Weighted Average",$H189*VLOOKUP($D189&amp;" (Operation)",Lists!$C$72:$R$232,COLUMNS(Lists!$C$69:K$69),0)*VLOOKUP(BK$3,Conversions!$B$12:$E$34,4,0),$H189*VLOOKUP($F189,Lists!$C$72:$R$232,COLUMNS(Lists!$C$69:K$69),0)*VLOOKUP(BK$3,Conversions!$B$12:$E$34,4,0)))</f>
        <v>0</v>
      </c>
      <c r="AH189" s="334">
        <f>IF($F189="",0,IF($F189="Weighted Average",$H189*VLOOKUP($D189&amp;" (Operation)",Lists!$C$72:$R$232,COLUMNS(Lists!$C$69:L$69),0)*VLOOKUP(BL$3,Conversions!$B$12:$E$34,4,0),$H189*VLOOKUP($F189,Lists!$C$72:$R$232,COLUMNS(Lists!$C$69:L$69),0)*VLOOKUP(BL$3,Conversions!$B$12:$E$34,4,0)))</f>
        <v>0</v>
      </c>
      <c r="AI189" s="334">
        <f>IF($F189="",0,IF($F189="Weighted Average",$H189*VLOOKUP($D189&amp;" (Operation)",Lists!$C$72:$R$232,COLUMNS(Lists!$C$69:M$69),0)*VLOOKUP(BM$3,Conversions!$B$12:$E$34,4,0),$H189*VLOOKUP($F189,Lists!$C$72:$R$232,COLUMNS(Lists!$C$69:M$69),0)*VLOOKUP(BM$3,Conversions!$B$12:$E$34,4,0)))</f>
        <v>0</v>
      </c>
      <c r="AJ189" s="334">
        <f>IF($F189="",0,IF($F189="Weighted Average",$H189*VLOOKUP($D189&amp;" (Operation)",Lists!$C$72:$R$232,COLUMNS(Lists!$C$69:N$69),0)*VLOOKUP(BN$3,Conversions!$B$12:$E$34,4,0),$H189*VLOOKUP($F189,Lists!$C$72:$R$232,COLUMNS(Lists!$C$69:N$69),0)*VLOOKUP(BN$3,Conversions!$B$12:$E$34,4,0)))</f>
        <v>0</v>
      </c>
      <c r="AK189" s="334">
        <f>IF($F189="",0,IF($F189="Weighted Average",$H189*VLOOKUP($D189&amp;" (Operation)",Lists!$C$72:$R$232,COLUMNS(Lists!$C$69:O$69),0)*VLOOKUP(BO$3,Conversions!$B$12:$E$34,4,0),$H189*VLOOKUP($F189,Lists!$C$72:$R$232,COLUMNS(Lists!$C$69:O$69),0)*VLOOKUP(BO$3,Conversions!$B$12:$E$34,4,0)))</f>
        <v>0</v>
      </c>
      <c r="AL189" s="334">
        <f>IF($F189="",0,IF($F189="Weighted Average",$H189*VLOOKUP($D189&amp;" (Operation)",Lists!$C$72:$R$232,COLUMNS(Lists!$C$69:P$69),0)*VLOOKUP(BP$3,Conversions!$B$12:$E$34,4,0),$H189*VLOOKUP($F189,Lists!$C$72:$R$232,COLUMNS(Lists!$C$69:P$69),0)*VLOOKUP(BP$3,Conversions!$B$12:$E$34,4,0)))</f>
        <v>0</v>
      </c>
      <c r="AM189" s="334">
        <f>IF($F189="",0,IF($F189="Weighted Average",$H189*VLOOKUP($D189&amp;" (Operation)",Lists!$C$72:$R$232,COLUMNS(Lists!$C$69:Q$69),0)*VLOOKUP(BQ$3,Conversions!$B$12:$E$34,4,0),$H189*VLOOKUP($F189,Lists!$C$72:$R$232,COLUMNS(Lists!$C$69:Q$69),0)*VLOOKUP(BQ$3,Conversions!$B$12:$E$34,4,0)))</f>
        <v>0</v>
      </c>
      <c r="AN189" s="334">
        <f>IF($F189="",0,IF($F189="Weighted Average",$H189*VLOOKUP($D189&amp;" (Operation)",Lists!$C$72:$R$232,COLUMNS(Lists!$C$69:R$69),0)*VLOOKUP(BR$3,Conversions!$B$12:$E$34,4,0),$H189*VLOOKUP($F189,Lists!$C$72:$R$232,COLUMNS(Lists!$C$69:R$69),0)*VLOOKUP(BR$3,Conversions!$B$12:$E$34,4,0)))</f>
        <v>0</v>
      </c>
      <c r="AO189" s="330">
        <f t="shared" si="235"/>
        <v>0</v>
      </c>
      <c r="AP189" s="333">
        <f>IF($F189="",0,IF($F189="Weighted Average",$I189*VLOOKUP($D189&amp;" (Disposal)",Lists!$C$72:$R$232,COLUMNS(Lists!$C$69:E$69),0)*VLOOKUP(BE$3,Conversions!$B$12:$E$34,4,0),$I189*VLOOKUP($F189,Lists!$C$72:$R$232,COLUMNS(Lists!$C$69:E$69),0)*VLOOKUP(BE$3,Conversions!$B$12:$E$34,4,0)))</f>
        <v>0</v>
      </c>
      <c r="AQ189" s="333">
        <f>IF($F189="",0,IF($F189="Weighted Average",$I189*VLOOKUP($D189&amp;" (Disposal)",Lists!$C$72:$R$232,COLUMNS(Lists!$C$69:F$69),0)*VLOOKUP(BF$3,Conversions!$B$12:$E$34,4,0),$I189*VLOOKUP($F189,Lists!$C$72:$R$232,COLUMNS(Lists!$C$69:F$69),0)*VLOOKUP(BF$3,Conversions!$B$12:$E$34,4,0)))</f>
        <v>0</v>
      </c>
      <c r="AR189" s="333">
        <f>IF($F189="",0,IF($F189="Weighted Average",$I189*VLOOKUP($D189&amp;" (Disposal)",Lists!$C$72:$R$232,COLUMNS(Lists!$C$69:G$69),0)*VLOOKUP(BG$3,Conversions!$B$12:$E$34,4,0),$I189*VLOOKUP($F189,Lists!$C$72:$R$232,COLUMNS(Lists!$C$69:G$69),0)*VLOOKUP(BG$3,Conversions!$B$12:$E$34,4,0)))</f>
        <v>0</v>
      </c>
      <c r="AS189" s="333">
        <f>IF($F189="",0,IF($F189="Weighted Average",$I189*VLOOKUP($D189&amp;" (Disposal)",Lists!$C$72:$R$232,COLUMNS(Lists!$C$69:H$69),0)*VLOOKUP(BH$3,Conversions!$B$12:$E$34,4,0),$I189*VLOOKUP($F189,Lists!$C$72:$R$232,COLUMNS(Lists!$C$69:H$69),0)*VLOOKUP(BH$3,Conversions!$B$12:$E$34,4,0)))</f>
        <v>0</v>
      </c>
      <c r="AT189" s="333">
        <f>IF($F189="",0,IF($F189="Weighted Average",$I189*VLOOKUP($D189&amp;" (Disposal)",Lists!$C$72:$R$232,COLUMNS(Lists!$C$69:I$69),0)*VLOOKUP(BI$3,Conversions!$B$12:$E$34,4,0),$I189*VLOOKUP($F189,Lists!$C$72:$R$232,COLUMNS(Lists!$C$69:I$69),0)*VLOOKUP(BI$3,Conversions!$B$12:$E$34,4,0)))</f>
        <v>0</v>
      </c>
      <c r="AU189" s="333">
        <f>IF($F189="",0,IF($F189="Weighted Average",$I189*VLOOKUP($D189&amp;" (Disposal)",Lists!$C$72:$R$232,COLUMNS(Lists!$C$69:J$69),0)*VLOOKUP(BJ$3,Conversions!$B$12:$E$34,4,0),$I189*VLOOKUP($F189,Lists!$C$72:$R$232,COLUMNS(Lists!$C$69:J$69),0)*VLOOKUP(BJ$3,Conversions!$B$12:$E$34,4,0)))</f>
        <v>0</v>
      </c>
      <c r="AV189" s="333">
        <f>IF($F189="",0,IF($F189="Weighted Average",$I189*VLOOKUP($D189&amp;" (Disposal)",Lists!$C$72:$R$232,COLUMNS(Lists!$C$69:K$69),0)*VLOOKUP(BK$3,Conversions!$B$12:$E$34,4,0),$I189*VLOOKUP($F189,Lists!$C$72:$R$232,COLUMNS(Lists!$C$69:K$69),0)*VLOOKUP(BK$3,Conversions!$B$12:$E$34,4,0)))</f>
        <v>0</v>
      </c>
      <c r="AW189" s="333">
        <f>IF($F189="",0,IF($F189="Weighted Average",$I189*VLOOKUP($D189&amp;" (Disposal)",Lists!$C$72:$R$232,COLUMNS(Lists!$C$69:L$69),0)*VLOOKUP(BL$3,Conversions!$B$12:$E$34,4,0),$I189*VLOOKUP($F189,Lists!$C$72:$R$232,COLUMNS(Lists!$C$69:L$69),0)*VLOOKUP(BL$3,Conversions!$B$12:$E$34,4,0)))</f>
        <v>0</v>
      </c>
      <c r="AX189" s="333">
        <f>IF($F189="",0,IF($F189="Weighted Average",$I189*VLOOKUP($D189&amp;" (Disposal)",Lists!$C$72:$R$232,COLUMNS(Lists!$C$69:M$69),0)*VLOOKUP(BM$3,Conversions!$B$12:$E$34,4,0),$I189*VLOOKUP($F189,Lists!$C$72:$R$232,COLUMNS(Lists!$C$69:M$69),0)*VLOOKUP(BM$3,Conversions!$B$12:$E$34,4,0)))</f>
        <v>0</v>
      </c>
      <c r="AY189" s="333">
        <f>IF($F189="",0,IF($F189="Weighted Average",$I189*VLOOKUP($D189&amp;" (Disposal)",Lists!$C$72:$R$232,COLUMNS(Lists!$C$69:N$69),0)*VLOOKUP(BN$3,Conversions!$B$12:$E$34,4,0),$I189*VLOOKUP($F189,Lists!$C$72:$R$232,COLUMNS(Lists!$C$69:N$69),0)*VLOOKUP(BN$3,Conversions!$B$12:$E$34,4,0)))</f>
        <v>0</v>
      </c>
      <c r="AZ189" s="333">
        <f>IF($F189="",0,IF($F189="Weighted Average",$I189*VLOOKUP($D189&amp;" (Disposal)",Lists!$C$72:$R$232,COLUMNS(Lists!$C$69:O$69),0)*VLOOKUP(BO$3,Conversions!$B$12:$E$34,4,0),$I189*VLOOKUP($F189,Lists!$C$72:$R$232,COLUMNS(Lists!$C$69:O$69),0)*VLOOKUP(BO$3,Conversions!$B$12:$E$34,4,0)))</f>
        <v>0</v>
      </c>
      <c r="BA189" s="333">
        <f>IF($F189="",0,IF($F189="Weighted Average",$I189*VLOOKUP($D189&amp;" (Disposal)",Lists!$C$72:$R$232,COLUMNS(Lists!$C$69:P$69),0)*VLOOKUP(BP$3,Conversions!$B$12:$E$34,4,0),$I189*VLOOKUP($F189,Lists!$C$72:$R$232,COLUMNS(Lists!$C$69:P$69),0)*VLOOKUP(BP$3,Conversions!$B$12:$E$34,4,0)))</f>
        <v>0</v>
      </c>
      <c r="BB189" s="333">
        <f>IF($F189="",0,IF($F189="Weighted Average",$I189*VLOOKUP($D189&amp;" (Disposal)",Lists!$C$72:$R$232,COLUMNS(Lists!$C$69:Q$69),0)*VLOOKUP(BQ$3,Conversions!$B$12:$E$34,4,0),$I189*VLOOKUP($F189,Lists!$C$72:$R$232,COLUMNS(Lists!$C$69:Q$69),0)*VLOOKUP(BQ$3,Conversions!$B$12:$E$34,4,0)))</f>
        <v>0</v>
      </c>
      <c r="BC189" s="333">
        <f>IF($F189="",0,IF($F189="Weighted Average",$I189*VLOOKUP($D189&amp;" (Disposal)",Lists!$C$72:$R$232,COLUMNS(Lists!$C$69:R$69),0)*VLOOKUP(BR$3,Conversions!$B$12:$E$34,4,0),$I189*VLOOKUP($F189,Lists!$C$72:$R$232,COLUMNS(Lists!$C$69:R$69),0)*VLOOKUP(BR$3,Conversions!$B$12:$E$34,4,0)))</f>
        <v>0</v>
      </c>
      <c r="BD189" s="333">
        <f t="shared" si="236"/>
        <v>0</v>
      </c>
      <c r="BE189" s="330">
        <f t="shared" si="237"/>
        <v>0</v>
      </c>
      <c r="BF189" s="330">
        <f t="shared" si="238"/>
        <v>0</v>
      </c>
      <c r="BG189" s="330">
        <f t="shared" si="239"/>
        <v>0</v>
      </c>
      <c r="BH189" s="330">
        <f t="shared" si="240"/>
        <v>0</v>
      </c>
      <c r="BI189" s="330">
        <f t="shared" si="241"/>
        <v>0</v>
      </c>
      <c r="BJ189" s="330">
        <f t="shared" si="242"/>
        <v>0</v>
      </c>
      <c r="BK189" s="330">
        <f t="shared" si="243"/>
        <v>0</v>
      </c>
      <c r="BL189" s="330">
        <f t="shared" si="244"/>
        <v>0</v>
      </c>
      <c r="BM189" s="330">
        <f t="shared" si="245"/>
        <v>0</v>
      </c>
      <c r="BN189" s="330">
        <f t="shared" si="246"/>
        <v>0</v>
      </c>
      <c r="BO189" s="330">
        <f t="shared" si="247"/>
        <v>0</v>
      </c>
      <c r="BP189" s="330">
        <f t="shared" si="248"/>
        <v>0</v>
      </c>
      <c r="BQ189" s="330">
        <f t="shared" si="249"/>
        <v>0</v>
      </c>
      <c r="BR189" s="330">
        <f t="shared" si="250"/>
        <v>0</v>
      </c>
      <c r="BS189" s="330">
        <f t="shared" si="251"/>
        <v>0</v>
      </c>
      <c r="BT189" s="329">
        <f>IF($F189="",0,IF($F189="Weighted Average",$BS189*VLOOKUP($D189,'Default Values'!$B$78:$V$97,COLUMNS('Default Values'!$B$77:G$77),0),0))</f>
        <v>0</v>
      </c>
      <c r="BU189" s="329">
        <f>IF($F189="",0,IF($F189="Weighted Average",$BS189*VLOOKUP($D189,'Default Values'!$B$78:$V$97,COLUMNS('Default Values'!$B$77:H$77),0),0))</f>
        <v>0</v>
      </c>
      <c r="BV189" s="329">
        <f>IF($F189="",0,IF($F189="Weighted Average",$BS189*VLOOKUP($D189,'Default Values'!$B$78:$V$97,COLUMNS('Default Values'!$B$77:I$77),0),0))</f>
        <v>0</v>
      </c>
      <c r="BW189" s="329">
        <f>IF($F189="",0,IF($F189="Weighted Average",$BS189*VLOOKUP($D189,'Default Values'!$B$78:$V$97,COLUMNS('Default Values'!$B$77:J$77),0),0))</f>
        <v>0</v>
      </c>
      <c r="BX189" s="329">
        <f>IF($F189="",0,IF($F189="Weighted Average",$BS189*VLOOKUP($D189,'Default Values'!$B$78:$V$97,COLUMNS('Default Values'!$B$77:K$77),0),0))</f>
        <v>0</v>
      </c>
      <c r="BY189" s="329">
        <f>IF($F189="",0,IF($F189="Weighted Average",$BS189*VLOOKUP($D189,'Default Values'!$B$78:$V$97,COLUMNS('Default Values'!$B$77:L$77),0),0))</f>
        <v>0</v>
      </c>
      <c r="BZ189" s="329">
        <f>IF($F189="",0,IF($F189="Weighted Average",$BS189*VLOOKUP($D189,'Default Values'!$B$78:$V$97,COLUMNS('Default Values'!$B$77:M$77),0),0))</f>
        <v>0</v>
      </c>
      <c r="CA189" s="329">
        <f>IF($F189="",0,IF($F189="Weighted Average",$BS189*VLOOKUP($D189,'Default Values'!$B$78:$V$97,COLUMNS('Default Values'!$B$77:N$77),0),0))</f>
        <v>0</v>
      </c>
      <c r="CB189" s="329">
        <f>IF($F189="",0,IF($F189="Weighted Average",$BS189*VLOOKUP($D189,'Default Values'!$B$78:$V$97,COLUMNS('Default Values'!$B$77:O$77),0),0))</f>
        <v>0</v>
      </c>
      <c r="CC189" s="329">
        <f>IF($F189="",0,IF($F189="Weighted Average",$BS189*VLOOKUP($D189,'Default Values'!$B$78:$V$97,COLUMNS('Default Values'!$B$77:P$77),0),0))</f>
        <v>0</v>
      </c>
      <c r="CD189" s="329">
        <f>IF($F189="",0,IF($F189="Weighted Average",$BS189*VLOOKUP($D189,'Default Values'!$B$78:$V$97,COLUMNS('Default Values'!$B$77:Q$77),0),0))</f>
        <v>0</v>
      </c>
      <c r="CE189" s="329">
        <f>IF($F189="",0,IF($F189="Weighted Average",$BS189*VLOOKUP($D189,'Default Values'!$B$78:$V$97,COLUMNS('Default Values'!$B$77:R$77),0),0))</f>
        <v>0</v>
      </c>
      <c r="CF189" s="329">
        <f>IF($F189="",0,IF($F189="Weighted Average",$BS189*VLOOKUP($D189,'Default Values'!$B$78:$V$97,COLUMNS('Default Values'!$B$77:S$77),0),0))</f>
        <v>0</v>
      </c>
      <c r="CG189" s="329">
        <f>IF($F189="",0,IF($F189="Weighted Average",$BS189*VLOOKUP($D189,'Default Values'!$B$78:$V$97,COLUMNS('Default Values'!$B$77:T$77),0),0))</f>
        <v>0</v>
      </c>
      <c r="CH189" s="329">
        <f>IF($F189="",0,IF($F189="Weighted Average",$BS189*VLOOKUP($D189,'Default Values'!$B$78:$V$97,COLUMNS('Default Values'!$B$77:U$77),0),0))</f>
        <v>0</v>
      </c>
      <c r="CI189" s="329">
        <f>IF($F189="",0,IF($F189="Weighted Average",$BS189*VLOOKUP($D189,'Default Values'!$B$78:$V$97,COLUMNS('Default Values'!$B$77:V$77),0),0))</f>
        <v>0</v>
      </c>
      <c r="CJ189" s="331">
        <f t="shared" si="252"/>
        <v>0</v>
      </c>
      <c r="CK189" s="330">
        <f t="shared" si="253"/>
        <v>0</v>
      </c>
      <c r="CL189" s="330">
        <f t="shared" si="254"/>
        <v>0</v>
      </c>
      <c r="CM189" s="330">
        <f t="shared" si="255"/>
        <v>0</v>
      </c>
      <c r="CN189" s="330">
        <f t="shared" si="256"/>
        <v>0</v>
      </c>
      <c r="CO189" s="330">
        <f t="shared" si="257"/>
        <v>0</v>
      </c>
      <c r="CP189" s="330">
        <f t="shared" si="258"/>
        <v>0</v>
      </c>
      <c r="CQ189" s="330">
        <f t="shared" si="186"/>
        <v>0</v>
      </c>
      <c r="CR189" s="330">
        <f t="shared" si="259"/>
        <v>0</v>
      </c>
      <c r="CS189" s="330">
        <f t="shared" si="260"/>
        <v>0</v>
      </c>
      <c r="CT189" s="330">
        <f t="shared" si="261"/>
        <v>0</v>
      </c>
      <c r="CU189" s="330">
        <f t="shared" si="265"/>
        <v>0</v>
      </c>
      <c r="CV189" s="330">
        <f t="shared" si="265"/>
        <v>0</v>
      </c>
      <c r="CW189" s="330">
        <f t="shared" si="265"/>
        <v>0</v>
      </c>
      <c r="CX189" s="330">
        <f t="shared" si="265"/>
        <v>0</v>
      </c>
      <c r="CY189" s="330">
        <f t="shared" si="265"/>
        <v>0</v>
      </c>
      <c r="CZ189" s="330">
        <f t="shared" si="265"/>
        <v>0</v>
      </c>
      <c r="DA189" s="330">
        <f t="shared" si="265"/>
        <v>0</v>
      </c>
      <c r="DB189" s="330">
        <f t="shared" si="265"/>
        <v>0</v>
      </c>
      <c r="DC189" s="330">
        <f t="shared" si="265"/>
        <v>0</v>
      </c>
      <c r="DD189" s="330">
        <f t="shared" si="265"/>
        <v>0</v>
      </c>
      <c r="DE189" s="330">
        <f t="shared" si="266"/>
        <v>0</v>
      </c>
      <c r="DF189" s="330">
        <f t="shared" si="266"/>
        <v>0</v>
      </c>
      <c r="DG189" s="330">
        <f t="shared" si="266"/>
        <v>0</v>
      </c>
      <c r="DH189" s="330">
        <f t="shared" si="266"/>
        <v>0</v>
      </c>
      <c r="DI189" s="330">
        <f t="shared" si="266"/>
        <v>0</v>
      </c>
      <c r="DJ189" s="330">
        <f t="shared" si="266"/>
        <v>0</v>
      </c>
      <c r="DK189" s="330">
        <f t="shared" si="266"/>
        <v>0</v>
      </c>
      <c r="DL189" s="330">
        <f t="shared" si="266"/>
        <v>0</v>
      </c>
      <c r="DM189" s="330">
        <f t="shared" si="266"/>
        <v>0</v>
      </c>
      <c r="DN189" s="330">
        <f t="shared" si="266"/>
        <v>0</v>
      </c>
      <c r="DO189" s="330">
        <f t="shared" si="266"/>
        <v>0</v>
      </c>
      <c r="DP189" s="330">
        <f t="shared" si="264"/>
        <v>0</v>
      </c>
      <c r="DQ189" s="217"/>
      <c r="DR189" s="217"/>
      <c r="DS189" s="217"/>
      <c r="DT189" s="217"/>
    </row>
    <row r="190" spans="1:124" x14ac:dyDescent="0.3">
      <c r="A190" s="324"/>
      <c r="B190" s="221" t="s">
        <v>307</v>
      </c>
      <c r="C190" s="221" t="str">
        <f>IF('Simplified Screening 2'!C41=0,"",'Simplified Screening 2'!C41)</f>
        <v/>
      </c>
      <c r="D190" s="221" t="str">
        <f>IF('Simplified Screening 2'!D41=0,"",'Simplified Screening 2'!D41)</f>
        <v/>
      </c>
      <c r="E190" s="221"/>
      <c r="F190" s="221" t="str">
        <f>'Simplified Screening 2'!J41</f>
        <v/>
      </c>
      <c r="G190" s="335" t="str">
        <f>IF(D190="","",'Simplified Screening 2'!G41/1000*VLOOKUP(D190,'Default Values'!$B$78:$F$97,COLUMNS('Default Values'!$B$77:$D$77),0)/1000)</f>
        <v/>
      </c>
      <c r="H190" s="335" t="str">
        <f>IF(D190="","",'Simplified Screening 2'!G41/1000*VLOOKUP(D190,'Default Values'!$B$78:$F$97,COLUMNS('Default Values'!$B$77:$E$77),0)/1000)</f>
        <v/>
      </c>
      <c r="I190" s="335" t="str">
        <f>IF(D190="","",'Simplified Screening 2'!G41/1000*VLOOKUP(D190,'Default Values'!$B$78:$F$97,COLUMNS('Default Values'!$B$77:$F$77),0)/1000)</f>
        <v/>
      </c>
      <c r="J190" s="325">
        <f>IF('Simplified Screening 2'!H41=0,0,'Simplified Screening 2'!H41)</f>
        <v>0</v>
      </c>
      <c r="K190" s="465"/>
      <c r="L190" s="333">
        <f>IF($F190="",0,IF($F190="Weighted Average",$G190*VLOOKUP($D190&amp;" (Install)",Lists!$C$72:$R$232,COLUMNS(Lists!$C$69:E$69),0)*VLOOKUP(BE$3,Conversions!$B$12:$E$34,4,0),$G190*VLOOKUP($F190,Lists!$C$72:$R$232,COLUMNS(Lists!$C$69:E$69),0)*VLOOKUP(BE$3,Conversions!$B$12:$E$34,4,0)))</f>
        <v>0</v>
      </c>
      <c r="M190" s="333">
        <f>IF($F190="",0,IF($F190="Weighted Average",$G190*VLOOKUP($D190&amp;" (Install)",Lists!$C$72:$R$232,COLUMNS(Lists!$C$69:F$69),0)*VLOOKUP(BF$3,Conversions!$B$12:$E$34,4,0),$G190*VLOOKUP($F190,Lists!$C$72:$R$232,COLUMNS(Lists!$C$69:F$69),0)*VLOOKUP(BF$3,Conversions!$B$12:$E$34,4,0)))</f>
        <v>0</v>
      </c>
      <c r="N190" s="333">
        <f>IF($F190="",0,IF($F190="Weighted Average",$G190*VLOOKUP($D190&amp;" (Install)",Lists!$C$72:$R$232,COLUMNS(Lists!$C$69:G$69),0)*VLOOKUP(BG$3,Conversions!$B$12:$E$34,4,0),$G190*VLOOKUP($F190,Lists!$C$72:$R$232,COLUMNS(Lists!$C$69:G$69),0)*VLOOKUP(BG$3,Conversions!$B$12:$E$34,4,0)))</f>
        <v>0</v>
      </c>
      <c r="O190" s="333">
        <f>IF($F190="",0,IF($F190="Weighted Average",$G190*VLOOKUP($D190&amp;" (Install)",Lists!$C$72:$R$232,COLUMNS(Lists!$C$69:H$69),0)*VLOOKUP(BH$3,Conversions!$B$12:$E$34,4,0),$G190*VLOOKUP($F190,Lists!$C$72:$R$232,COLUMNS(Lists!$C$69:H$69),0)*VLOOKUP(BH$3,Conversions!$B$12:$E$34,4,0)))</f>
        <v>0</v>
      </c>
      <c r="P190" s="333">
        <f>IF($F190="",0,IF($F190="Weighted Average",$G190*VLOOKUP($D190&amp;" (Install)",Lists!$C$72:$R$232,COLUMNS(Lists!$C$69:I$69),0)*VLOOKUP(BI$3,Conversions!$B$12:$E$34,4,0),$G190*VLOOKUP($F190,Lists!$C$72:$R$232,COLUMNS(Lists!$C$69:I$69),0)*VLOOKUP(BI$3,Conversions!$B$12:$E$34,4,0)))</f>
        <v>0</v>
      </c>
      <c r="Q190" s="333">
        <f>IF($F190="",0,IF($F190="Weighted Average",$G190*VLOOKUP($D190&amp;" (Install)",Lists!$C$72:$R$232,COLUMNS(Lists!$C$69:J$69),0)*VLOOKUP(BJ$3,Conversions!$B$12:$E$34,4,0),$G190*VLOOKUP($F190,Lists!$C$72:$R$232,COLUMNS(Lists!$C$69:J$69),0)*VLOOKUP(BJ$3,Conversions!$B$12:$E$34,4,0)))</f>
        <v>0</v>
      </c>
      <c r="R190" s="333">
        <f>IF($F190="",0,IF($F190="Weighted Average",$G190*VLOOKUP($D190&amp;" (Install)",Lists!$C$72:$R$232,COLUMNS(Lists!$C$69:K$69),0)*VLOOKUP(BK$3,Conversions!$B$12:$E$34,4,0),$G190*VLOOKUP($F190,Lists!$C$72:$R$232,COLUMNS(Lists!$C$69:K$69),0)*VLOOKUP(BK$3,Conversions!$B$12:$E$34,4,0)))</f>
        <v>0</v>
      </c>
      <c r="S190" s="333">
        <f>IF($F190="",0,IF($F190="Weighted Average",$G190*VLOOKUP($D190&amp;" (Install)",Lists!$C$72:$R$232,COLUMNS(Lists!$C$69:L$69),0)*VLOOKUP(BL$3,Conversions!$B$12:$E$34,4,0),$G190*VLOOKUP($F190,Lists!$C$72:$R$232,COLUMNS(Lists!$C$69:L$69),0)*VLOOKUP(BL$3,Conversions!$B$12:$E$34,4,0)))</f>
        <v>0</v>
      </c>
      <c r="T190" s="333">
        <f>IF($F190="",0,IF($F190="Weighted Average",$G190*VLOOKUP($D190&amp;" (Install)",Lists!$C$72:$R$232,COLUMNS(Lists!$C$69:M$69),0)*VLOOKUP(BM$3,Conversions!$B$12:$E$34,4,0),$G190*VLOOKUP($F190,Lists!$C$72:$R$232,COLUMNS(Lists!$C$69:M$69),0)*VLOOKUP(BM$3,Conversions!$B$12:$E$34,4,0)))</f>
        <v>0</v>
      </c>
      <c r="U190" s="333">
        <f>IF($F190="",0,IF($F190="Weighted Average",$G190*VLOOKUP($D190&amp;" (Install)",Lists!$C$72:$R$232,COLUMNS(Lists!$C$69:N$69),0)*VLOOKUP(BN$3,Conversions!$B$12:$E$34,4,0),$G190*VLOOKUP($F190,Lists!$C$72:$R$232,COLUMNS(Lists!$C$69:N$69),0)*VLOOKUP(BN$3,Conversions!$B$12:$E$34,4,0)))</f>
        <v>0</v>
      </c>
      <c r="V190" s="333">
        <f>IF($F190="",0,IF($F190="Weighted Average",$G190*VLOOKUP($D190&amp;" (Install)",Lists!$C$72:$R$232,COLUMNS(Lists!$C$69:O$69),0)*VLOOKUP(BO$3,Conversions!$B$12:$E$34,4,0),$G190*VLOOKUP($F190,Lists!$C$72:$R$232,COLUMNS(Lists!$C$69:O$69),0)*VLOOKUP(BO$3,Conversions!$B$12:$E$34,4,0)))</f>
        <v>0</v>
      </c>
      <c r="W190" s="333">
        <f>IF($F190="",0,IF($F190="Weighted Average",$G190*VLOOKUP($D190&amp;" (Install)",Lists!$C$72:$R$232,COLUMNS(Lists!$C$69:P$69),0)*VLOOKUP(BP$3,Conversions!$B$12:$E$34,4,0),$G190*VLOOKUP($F190,Lists!$C$72:$R$232,COLUMNS(Lists!$C$69:P$69),0)*VLOOKUP(BP$3,Conversions!$B$12:$E$34,4,0)))</f>
        <v>0</v>
      </c>
      <c r="X190" s="333">
        <f>IF($F190="",0,IF($F190="Weighted Average",$G190*VLOOKUP($D190&amp;" (Install)",Lists!$C$72:$R$232,COLUMNS(Lists!$C$69:Q$69),0)*VLOOKUP(BQ$3,Conversions!$B$12:$E$34,4,0),$G190*VLOOKUP($F190,Lists!$C$72:$R$232,COLUMNS(Lists!$C$69:Q$69),0)*VLOOKUP(BQ$3,Conversions!$B$12:$E$34,4,0)))</f>
        <v>0</v>
      </c>
      <c r="Y190" s="333">
        <f>IF($F190="",0,IF($F190="Weighted Average",$G190*VLOOKUP($D190&amp;" (Install)",Lists!$C$72:$R$232,COLUMNS(Lists!$C$69:R$69),0)*VLOOKUP(BR$3,Conversions!$B$12:$E$34,4,0),$G190*VLOOKUP($F190,Lists!$C$72:$R$232,COLUMNS(Lists!$C$69:R$69),0)*VLOOKUP(BR$3,Conversions!$B$12:$E$34,4,0)))</f>
        <v>0</v>
      </c>
      <c r="Z190" s="325">
        <f t="shared" si="234"/>
        <v>0</v>
      </c>
      <c r="AA190" s="334">
        <f>IF($F190="",0,IF($F190="Weighted Average",$H190*VLOOKUP($D190&amp;" (Operation)",Lists!$C$72:$R$232,COLUMNS(Lists!$C$69:E$69),0)*VLOOKUP(BE$3,Conversions!$B$12:$E$34,4,0),$H190*VLOOKUP($F190,Lists!$C$72:$R$232,COLUMNS(Lists!$C$69:E$69),0)*VLOOKUP(BE$3,Conversions!$B$12:$E$34,4,0)))</f>
        <v>0</v>
      </c>
      <c r="AB190" s="334">
        <f>IF($F190="",0,IF($F190="Weighted Average",$H190*VLOOKUP($D190&amp;" (Operation)",Lists!$C$72:$R$232,COLUMNS(Lists!$C$69:F$69),0)*VLOOKUP(BF$3,Conversions!$B$12:$E$34,4,0),$H190*VLOOKUP($F190,Lists!$C$72:$R$232,COLUMNS(Lists!$C$69:F$69),0)*VLOOKUP(BF$3,Conversions!$B$12:$E$34,4,0)))</f>
        <v>0</v>
      </c>
      <c r="AC190" s="334">
        <f>IF($F190="",0,IF($F190="Weighted Average",$H190*VLOOKUP($D190&amp;" (Operation)",Lists!$C$72:$R$232,COLUMNS(Lists!$C$69:G$69),0)*VLOOKUP(BG$3,Conversions!$B$12:$E$34,4,0),$H190*VLOOKUP($F190,Lists!$C$72:$R$232,COLUMNS(Lists!$C$69:G$69),0)*VLOOKUP(BG$3,Conversions!$B$12:$E$34,4,0)))</f>
        <v>0</v>
      </c>
      <c r="AD190" s="334">
        <f>IF($F190="",0,IF($F190="Weighted Average",$H190*VLOOKUP($D190&amp;" (Operation)",Lists!$C$72:$R$232,COLUMNS(Lists!$C$69:H$69),0)*VLOOKUP(BH$3,Conversions!$B$12:$E$34,4,0),$H190*VLOOKUP($F190,Lists!$C$72:$R$232,COLUMNS(Lists!$C$69:H$69),0)*VLOOKUP(BH$3,Conversions!$B$12:$E$34,4,0)))</f>
        <v>0</v>
      </c>
      <c r="AE190" s="334">
        <f>IF($F190="",0,IF($F190="Weighted Average",$H190*VLOOKUP($D190&amp;" (Operation)",Lists!$C$72:$R$232,COLUMNS(Lists!$C$69:I$69),0)*VLOOKUP(BI$3,Conversions!$B$12:$E$34,4,0),$H190*VLOOKUP($F190,Lists!$C$72:$R$232,COLUMNS(Lists!$C$69:I$69),0)*VLOOKUP(BI$3,Conversions!$B$12:$E$34,4,0)))</f>
        <v>0</v>
      </c>
      <c r="AF190" s="334">
        <f>IF($F190="",0,IF($F190="Weighted Average",$H190*VLOOKUP($D190&amp;" (Operation)",Lists!$C$72:$R$232,COLUMNS(Lists!$C$69:J$69),0)*VLOOKUP(BJ$3,Conversions!$B$12:$E$34,4,0),$H190*VLOOKUP($F190,Lists!$C$72:$R$232,COLUMNS(Lists!$C$69:J$69),0)*VLOOKUP(BJ$3,Conversions!$B$12:$E$34,4,0)))</f>
        <v>0</v>
      </c>
      <c r="AG190" s="334">
        <f>IF($F190="",0,IF($F190="Weighted Average",$H190*VLOOKUP($D190&amp;" (Operation)",Lists!$C$72:$R$232,COLUMNS(Lists!$C$69:K$69),0)*VLOOKUP(BK$3,Conversions!$B$12:$E$34,4,0),$H190*VLOOKUP($F190,Lists!$C$72:$R$232,COLUMNS(Lists!$C$69:K$69),0)*VLOOKUP(BK$3,Conversions!$B$12:$E$34,4,0)))</f>
        <v>0</v>
      </c>
      <c r="AH190" s="334">
        <f>IF($F190="",0,IF($F190="Weighted Average",$H190*VLOOKUP($D190&amp;" (Operation)",Lists!$C$72:$R$232,COLUMNS(Lists!$C$69:L$69),0)*VLOOKUP(BL$3,Conversions!$B$12:$E$34,4,0),$H190*VLOOKUP($F190,Lists!$C$72:$R$232,COLUMNS(Lists!$C$69:L$69),0)*VLOOKUP(BL$3,Conversions!$B$12:$E$34,4,0)))</f>
        <v>0</v>
      </c>
      <c r="AI190" s="334">
        <f>IF($F190="",0,IF($F190="Weighted Average",$H190*VLOOKUP($D190&amp;" (Operation)",Lists!$C$72:$R$232,COLUMNS(Lists!$C$69:M$69),0)*VLOOKUP(BM$3,Conversions!$B$12:$E$34,4,0),$H190*VLOOKUP($F190,Lists!$C$72:$R$232,COLUMNS(Lists!$C$69:M$69),0)*VLOOKUP(BM$3,Conversions!$B$12:$E$34,4,0)))</f>
        <v>0</v>
      </c>
      <c r="AJ190" s="334">
        <f>IF($F190="",0,IF($F190="Weighted Average",$H190*VLOOKUP($D190&amp;" (Operation)",Lists!$C$72:$R$232,COLUMNS(Lists!$C$69:N$69),0)*VLOOKUP(BN$3,Conversions!$B$12:$E$34,4,0),$H190*VLOOKUP($F190,Lists!$C$72:$R$232,COLUMNS(Lists!$C$69:N$69),0)*VLOOKUP(BN$3,Conversions!$B$12:$E$34,4,0)))</f>
        <v>0</v>
      </c>
      <c r="AK190" s="334">
        <f>IF($F190="",0,IF($F190="Weighted Average",$H190*VLOOKUP($D190&amp;" (Operation)",Lists!$C$72:$R$232,COLUMNS(Lists!$C$69:O$69),0)*VLOOKUP(BO$3,Conversions!$B$12:$E$34,4,0),$H190*VLOOKUP($F190,Lists!$C$72:$R$232,COLUMNS(Lists!$C$69:O$69),0)*VLOOKUP(BO$3,Conversions!$B$12:$E$34,4,0)))</f>
        <v>0</v>
      </c>
      <c r="AL190" s="334">
        <f>IF($F190="",0,IF($F190="Weighted Average",$H190*VLOOKUP($D190&amp;" (Operation)",Lists!$C$72:$R$232,COLUMNS(Lists!$C$69:P$69),0)*VLOOKUP(BP$3,Conversions!$B$12:$E$34,4,0),$H190*VLOOKUP($F190,Lists!$C$72:$R$232,COLUMNS(Lists!$C$69:P$69),0)*VLOOKUP(BP$3,Conversions!$B$12:$E$34,4,0)))</f>
        <v>0</v>
      </c>
      <c r="AM190" s="334">
        <f>IF($F190="",0,IF($F190="Weighted Average",$H190*VLOOKUP($D190&amp;" (Operation)",Lists!$C$72:$R$232,COLUMNS(Lists!$C$69:Q$69),0)*VLOOKUP(BQ$3,Conversions!$B$12:$E$34,4,0),$H190*VLOOKUP($F190,Lists!$C$72:$R$232,COLUMNS(Lists!$C$69:Q$69),0)*VLOOKUP(BQ$3,Conversions!$B$12:$E$34,4,0)))</f>
        <v>0</v>
      </c>
      <c r="AN190" s="334">
        <f>IF($F190="",0,IF($F190="Weighted Average",$H190*VLOOKUP($D190&amp;" (Operation)",Lists!$C$72:$R$232,COLUMNS(Lists!$C$69:R$69),0)*VLOOKUP(BR$3,Conversions!$B$12:$E$34,4,0),$H190*VLOOKUP($F190,Lists!$C$72:$R$232,COLUMNS(Lists!$C$69:R$69),0)*VLOOKUP(BR$3,Conversions!$B$12:$E$34,4,0)))</f>
        <v>0</v>
      </c>
      <c r="AO190" s="330">
        <f t="shared" si="235"/>
        <v>0</v>
      </c>
      <c r="AP190" s="333">
        <f>IF($F190="",0,IF($F190="Weighted Average",$I190*VLOOKUP($D190&amp;" (Disposal)",Lists!$C$72:$R$232,COLUMNS(Lists!$C$69:E$69),0)*VLOOKUP(BE$3,Conversions!$B$12:$E$34,4,0),$I190*VLOOKUP($F190,Lists!$C$72:$R$232,COLUMNS(Lists!$C$69:E$69),0)*VLOOKUP(BE$3,Conversions!$B$12:$E$34,4,0)))</f>
        <v>0</v>
      </c>
      <c r="AQ190" s="333">
        <f>IF($F190="",0,IF($F190="Weighted Average",$I190*VLOOKUP($D190&amp;" (Disposal)",Lists!$C$72:$R$232,COLUMNS(Lists!$C$69:F$69),0)*VLOOKUP(BF$3,Conversions!$B$12:$E$34,4,0),$I190*VLOOKUP($F190,Lists!$C$72:$R$232,COLUMNS(Lists!$C$69:F$69),0)*VLOOKUP(BF$3,Conversions!$B$12:$E$34,4,0)))</f>
        <v>0</v>
      </c>
      <c r="AR190" s="333">
        <f>IF($F190="",0,IF($F190="Weighted Average",$I190*VLOOKUP($D190&amp;" (Disposal)",Lists!$C$72:$R$232,COLUMNS(Lists!$C$69:G$69),0)*VLOOKUP(BG$3,Conversions!$B$12:$E$34,4,0),$I190*VLOOKUP($F190,Lists!$C$72:$R$232,COLUMNS(Lists!$C$69:G$69),0)*VLOOKUP(BG$3,Conversions!$B$12:$E$34,4,0)))</f>
        <v>0</v>
      </c>
      <c r="AS190" s="333">
        <f>IF($F190="",0,IF($F190="Weighted Average",$I190*VLOOKUP($D190&amp;" (Disposal)",Lists!$C$72:$R$232,COLUMNS(Lists!$C$69:H$69),0)*VLOOKUP(BH$3,Conversions!$B$12:$E$34,4,0),$I190*VLOOKUP($F190,Lists!$C$72:$R$232,COLUMNS(Lists!$C$69:H$69),0)*VLOOKUP(BH$3,Conversions!$B$12:$E$34,4,0)))</f>
        <v>0</v>
      </c>
      <c r="AT190" s="333">
        <f>IF($F190="",0,IF($F190="Weighted Average",$I190*VLOOKUP($D190&amp;" (Disposal)",Lists!$C$72:$R$232,COLUMNS(Lists!$C$69:I$69),0)*VLOOKUP(BI$3,Conversions!$B$12:$E$34,4,0),$I190*VLOOKUP($F190,Lists!$C$72:$R$232,COLUMNS(Lists!$C$69:I$69),0)*VLOOKUP(BI$3,Conversions!$B$12:$E$34,4,0)))</f>
        <v>0</v>
      </c>
      <c r="AU190" s="333">
        <f>IF($F190="",0,IF($F190="Weighted Average",$I190*VLOOKUP($D190&amp;" (Disposal)",Lists!$C$72:$R$232,COLUMNS(Lists!$C$69:J$69),0)*VLOOKUP(BJ$3,Conversions!$B$12:$E$34,4,0),$I190*VLOOKUP($F190,Lists!$C$72:$R$232,COLUMNS(Lists!$C$69:J$69),0)*VLOOKUP(BJ$3,Conversions!$B$12:$E$34,4,0)))</f>
        <v>0</v>
      </c>
      <c r="AV190" s="333">
        <f>IF($F190="",0,IF($F190="Weighted Average",$I190*VLOOKUP($D190&amp;" (Disposal)",Lists!$C$72:$R$232,COLUMNS(Lists!$C$69:K$69),0)*VLOOKUP(BK$3,Conversions!$B$12:$E$34,4,0),$I190*VLOOKUP($F190,Lists!$C$72:$R$232,COLUMNS(Lists!$C$69:K$69),0)*VLOOKUP(BK$3,Conversions!$B$12:$E$34,4,0)))</f>
        <v>0</v>
      </c>
      <c r="AW190" s="333">
        <f>IF($F190="",0,IF($F190="Weighted Average",$I190*VLOOKUP($D190&amp;" (Disposal)",Lists!$C$72:$R$232,COLUMNS(Lists!$C$69:L$69),0)*VLOOKUP(BL$3,Conversions!$B$12:$E$34,4,0),$I190*VLOOKUP($F190,Lists!$C$72:$R$232,COLUMNS(Lists!$C$69:L$69),0)*VLOOKUP(BL$3,Conversions!$B$12:$E$34,4,0)))</f>
        <v>0</v>
      </c>
      <c r="AX190" s="333">
        <f>IF($F190="",0,IF($F190="Weighted Average",$I190*VLOOKUP($D190&amp;" (Disposal)",Lists!$C$72:$R$232,COLUMNS(Lists!$C$69:M$69),0)*VLOOKUP(BM$3,Conversions!$B$12:$E$34,4,0),$I190*VLOOKUP($F190,Lists!$C$72:$R$232,COLUMNS(Lists!$C$69:M$69),0)*VLOOKUP(BM$3,Conversions!$B$12:$E$34,4,0)))</f>
        <v>0</v>
      </c>
      <c r="AY190" s="333">
        <f>IF($F190="",0,IF($F190="Weighted Average",$I190*VLOOKUP($D190&amp;" (Disposal)",Lists!$C$72:$R$232,COLUMNS(Lists!$C$69:N$69),0)*VLOOKUP(BN$3,Conversions!$B$12:$E$34,4,0),$I190*VLOOKUP($F190,Lists!$C$72:$R$232,COLUMNS(Lists!$C$69:N$69),0)*VLOOKUP(BN$3,Conversions!$B$12:$E$34,4,0)))</f>
        <v>0</v>
      </c>
      <c r="AZ190" s="333">
        <f>IF($F190="",0,IF($F190="Weighted Average",$I190*VLOOKUP($D190&amp;" (Disposal)",Lists!$C$72:$R$232,COLUMNS(Lists!$C$69:O$69),0)*VLOOKUP(BO$3,Conversions!$B$12:$E$34,4,0),$I190*VLOOKUP($F190,Lists!$C$72:$R$232,COLUMNS(Lists!$C$69:O$69),0)*VLOOKUP(BO$3,Conversions!$B$12:$E$34,4,0)))</f>
        <v>0</v>
      </c>
      <c r="BA190" s="333">
        <f>IF($F190="",0,IF($F190="Weighted Average",$I190*VLOOKUP($D190&amp;" (Disposal)",Lists!$C$72:$R$232,COLUMNS(Lists!$C$69:P$69),0)*VLOOKUP(BP$3,Conversions!$B$12:$E$34,4,0),$I190*VLOOKUP($F190,Lists!$C$72:$R$232,COLUMNS(Lists!$C$69:P$69),0)*VLOOKUP(BP$3,Conversions!$B$12:$E$34,4,0)))</f>
        <v>0</v>
      </c>
      <c r="BB190" s="333">
        <f>IF($F190="",0,IF($F190="Weighted Average",$I190*VLOOKUP($D190&amp;" (Disposal)",Lists!$C$72:$R$232,COLUMNS(Lists!$C$69:Q$69),0)*VLOOKUP(BQ$3,Conversions!$B$12:$E$34,4,0),$I190*VLOOKUP($F190,Lists!$C$72:$R$232,COLUMNS(Lists!$C$69:Q$69),0)*VLOOKUP(BQ$3,Conversions!$B$12:$E$34,4,0)))</f>
        <v>0</v>
      </c>
      <c r="BC190" s="333">
        <f>IF($F190="",0,IF($F190="Weighted Average",$I190*VLOOKUP($D190&amp;" (Disposal)",Lists!$C$72:$R$232,COLUMNS(Lists!$C$69:R$69),0)*VLOOKUP(BR$3,Conversions!$B$12:$E$34,4,0),$I190*VLOOKUP($F190,Lists!$C$72:$R$232,COLUMNS(Lists!$C$69:R$69),0)*VLOOKUP(BR$3,Conversions!$B$12:$E$34,4,0)))</f>
        <v>0</v>
      </c>
      <c r="BD190" s="333">
        <f t="shared" si="236"/>
        <v>0</v>
      </c>
      <c r="BE190" s="330">
        <f t="shared" si="237"/>
        <v>0</v>
      </c>
      <c r="BF190" s="330">
        <f t="shared" si="238"/>
        <v>0</v>
      </c>
      <c r="BG190" s="330">
        <f t="shared" si="239"/>
        <v>0</v>
      </c>
      <c r="BH190" s="330">
        <f t="shared" si="240"/>
        <v>0</v>
      </c>
      <c r="BI190" s="330">
        <f t="shared" si="241"/>
        <v>0</v>
      </c>
      <c r="BJ190" s="330">
        <f t="shared" si="242"/>
        <v>0</v>
      </c>
      <c r="BK190" s="330">
        <f t="shared" si="243"/>
        <v>0</v>
      </c>
      <c r="BL190" s="330">
        <f t="shared" si="244"/>
        <v>0</v>
      </c>
      <c r="BM190" s="330">
        <f t="shared" si="245"/>
        <v>0</v>
      </c>
      <c r="BN190" s="330">
        <f t="shared" si="246"/>
        <v>0</v>
      </c>
      <c r="BO190" s="330">
        <f t="shared" si="247"/>
        <v>0</v>
      </c>
      <c r="BP190" s="330">
        <f t="shared" si="248"/>
        <v>0</v>
      </c>
      <c r="BQ190" s="330">
        <f t="shared" si="249"/>
        <v>0</v>
      </c>
      <c r="BR190" s="330">
        <f t="shared" si="250"/>
        <v>0</v>
      </c>
      <c r="BS190" s="330">
        <f t="shared" si="251"/>
        <v>0</v>
      </c>
      <c r="BT190" s="329">
        <f>IF($F190="",0,IF($F190="Weighted Average",$BS190*VLOOKUP($D190,'Default Values'!$B$78:$V$97,COLUMNS('Default Values'!$B$77:G$77),0),0))</f>
        <v>0</v>
      </c>
      <c r="BU190" s="329">
        <f>IF($F190="",0,IF($F190="Weighted Average",$BS190*VLOOKUP($D190,'Default Values'!$B$78:$V$97,COLUMNS('Default Values'!$B$77:H$77),0),0))</f>
        <v>0</v>
      </c>
      <c r="BV190" s="329">
        <f>IF($F190="",0,IF($F190="Weighted Average",$BS190*VLOOKUP($D190,'Default Values'!$B$78:$V$97,COLUMNS('Default Values'!$B$77:I$77),0),0))</f>
        <v>0</v>
      </c>
      <c r="BW190" s="329">
        <f>IF($F190="",0,IF($F190="Weighted Average",$BS190*VLOOKUP($D190,'Default Values'!$B$78:$V$97,COLUMNS('Default Values'!$B$77:J$77),0),0))</f>
        <v>0</v>
      </c>
      <c r="BX190" s="329">
        <f>IF($F190="",0,IF($F190="Weighted Average",$BS190*VLOOKUP($D190,'Default Values'!$B$78:$V$97,COLUMNS('Default Values'!$B$77:K$77),0),0))</f>
        <v>0</v>
      </c>
      <c r="BY190" s="329">
        <f>IF($F190="",0,IF($F190="Weighted Average",$BS190*VLOOKUP($D190,'Default Values'!$B$78:$V$97,COLUMNS('Default Values'!$B$77:L$77),0),0))</f>
        <v>0</v>
      </c>
      <c r="BZ190" s="329">
        <f>IF($F190="",0,IF($F190="Weighted Average",$BS190*VLOOKUP($D190,'Default Values'!$B$78:$V$97,COLUMNS('Default Values'!$B$77:M$77),0),0))</f>
        <v>0</v>
      </c>
      <c r="CA190" s="329">
        <f>IF($F190="",0,IF($F190="Weighted Average",$BS190*VLOOKUP($D190,'Default Values'!$B$78:$V$97,COLUMNS('Default Values'!$B$77:N$77),0),0))</f>
        <v>0</v>
      </c>
      <c r="CB190" s="329">
        <f>IF($F190="",0,IF($F190="Weighted Average",$BS190*VLOOKUP($D190,'Default Values'!$B$78:$V$97,COLUMNS('Default Values'!$B$77:O$77),0),0))</f>
        <v>0</v>
      </c>
      <c r="CC190" s="329">
        <f>IF($F190="",0,IF($F190="Weighted Average",$BS190*VLOOKUP($D190,'Default Values'!$B$78:$V$97,COLUMNS('Default Values'!$B$77:P$77),0),0))</f>
        <v>0</v>
      </c>
      <c r="CD190" s="329">
        <f>IF($F190="",0,IF($F190="Weighted Average",$BS190*VLOOKUP($D190,'Default Values'!$B$78:$V$97,COLUMNS('Default Values'!$B$77:Q$77),0),0))</f>
        <v>0</v>
      </c>
      <c r="CE190" s="329">
        <f>IF($F190="",0,IF($F190="Weighted Average",$BS190*VLOOKUP($D190,'Default Values'!$B$78:$V$97,COLUMNS('Default Values'!$B$77:R$77),0),0))</f>
        <v>0</v>
      </c>
      <c r="CF190" s="329">
        <f>IF($F190="",0,IF($F190="Weighted Average",$BS190*VLOOKUP($D190,'Default Values'!$B$78:$V$97,COLUMNS('Default Values'!$B$77:S$77),0),0))</f>
        <v>0</v>
      </c>
      <c r="CG190" s="329">
        <f>IF($F190="",0,IF($F190="Weighted Average",$BS190*VLOOKUP($D190,'Default Values'!$B$78:$V$97,COLUMNS('Default Values'!$B$77:T$77),0),0))</f>
        <v>0</v>
      </c>
      <c r="CH190" s="329">
        <f>IF($F190="",0,IF($F190="Weighted Average",$BS190*VLOOKUP($D190,'Default Values'!$B$78:$V$97,COLUMNS('Default Values'!$B$77:U$77),0),0))</f>
        <v>0</v>
      </c>
      <c r="CI190" s="329">
        <f>IF($F190="",0,IF($F190="Weighted Average",$BS190*VLOOKUP($D190,'Default Values'!$B$78:$V$97,COLUMNS('Default Values'!$B$77:V$77),0),0))</f>
        <v>0</v>
      </c>
      <c r="CJ190" s="331">
        <f t="shared" si="252"/>
        <v>0</v>
      </c>
      <c r="CK190" s="330">
        <f t="shared" si="253"/>
        <v>0</v>
      </c>
      <c r="CL190" s="330">
        <f t="shared" si="254"/>
        <v>0</v>
      </c>
      <c r="CM190" s="330">
        <f t="shared" si="255"/>
        <v>0</v>
      </c>
      <c r="CN190" s="330">
        <f t="shared" si="256"/>
        <v>0</v>
      </c>
      <c r="CO190" s="330">
        <f t="shared" si="257"/>
        <v>0</v>
      </c>
      <c r="CP190" s="330">
        <f t="shared" si="258"/>
        <v>0</v>
      </c>
      <c r="CQ190" s="330">
        <f t="shared" si="186"/>
        <v>0</v>
      </c>
      <c r="CR190" s="330">
        <f t="shared" si="259"/>
        <v>0</v>
      </c>
      <c r="CS190" s="330">
        <f t="shared" si="260"/>
        <v>0</v>
      </c>
      <c r="CT190" s="330">
        <f t="shared" si="261"/>
        <v>0</v>
      </c>
      <c r="CU190" s="330">
        <f t="shared" si="265"/>
        <v>0</v>
      </c>
      <c r="CV190" s="330">
        <f t="shared" si="265"/>
        <v>0</v>
      </c>
      <c r="CW190" s="330">
        <f t="shared" si="265"/>
        <v>0</v>
      </c>
      <c r="CX190" s="330">
        <f t="shared" si="265"/>
        <v>0</v>
      </c>
      <c r="CY190" s="330">
        <f t="shared" si="265"/>
        <v>0</v>
      </c>
      <c r="CZ190" s="330">
        <f t="shared" si="265"/>
        <v>0</v>
      </c>
      <c r="DA190" s="330">
        <f t="shared" si="265"/>
        <v>0</v>
      </c>
      <c r="DB190" s="330">
        <f t="shared" si="265"/>
        <v>0</v>
      </c>
      <c r="DC190" s="330">
        <f t="shared" si="265"/>
        <v>0</v>
      </c>
      <c r="DD190" s="330">
        <f t="shared" si="265"/>
        <v>0</v>
      </c>
      <c r="DE190" s="330">
        <f t="shared" si="266"/>
        <v>0</v>
      </c>
      <c r="DF190" s="330">
        <f t="shared" si="266"/>
        <v>0</v>
      </c>
      <c r="DG190" s="330">
        <f t="shared" si="266"/>
        <v>0</v>
      </c>
      <c r="DH190" s="330">
        <f t="shared" si="266"/>
        <v>0</v>
      </c>
      <c r="DI190" s="330">
        <f t="shared" si="266"/>
        <v>0</v>
      </c>
      <c r="DJ190" s="330">
        <f t="shared" si="266"/>
        <v>0</v>
      </c>
      <c r="DK190" s="330">
        <f t="shared" si="266"/>
        <v>0</v>
      </c>
      <c r="DL190" s="330">
        <f t="shared" si="266"/>
        <v>0</v>
      </c>
      <c r="DM190" s="330">
        <f t="shared" si="266"/>
        <v>0</v>
      </c>
      <c r="DN190" s="330">
        <f t="shared" si="266"/>
        <v>0</v>
      </c>
      <c r="DO190" s="330">
        <f t="shared" si="266"/>
        <v>0</v>
      </c>
      <c r="DP190" s="330">
        <f t="shared" si="264"/>
        <v>0</v>
      </c>
      <c r="DQ190" s="217"/>
      <c r="DR190" s="217"/>
      <c r="DS190" s="217"/>
      <c r="DT190" s="217"/>
    </row>
    <row r="191" spans="1:124" x14ac:dyDescent="0.3">
      <c r="A191" s="324"/>
      <c r="B191" s="221" t="s">
        <v>307</v>
      </c>
      <c r="C191" s="221" t="str">
        <f>IF('Simplified Screening 2'!C42=0,"",'Simplified Screening 2'!C42)</f>
        <v/>
      </c>
      <c r="D191" s="221" t="str">
        <f>IF('Simplified Screening 2'!D42=0,"",'Simplified Screening 2'!D42)</f>
        <v/>
      </c>
      <c r="E191" s="221"/>
      <c r="F191" s="221" t="str">
        <f>'Simplified Screening 2'!J42</f>
        <v/>
      </c>
      <c r="G191" s="335" t="str">
        <f>IF(D191="","",'Simplified Screening 2'!G42/1000*VLOOKUP(D191,'Default Values'!$B$78:$F$97,COLUMNS('Default Values'!$B$77:$D$77),0)/1000)</f>
        <v/>
      </c>
      <c r="H191" s="335" t="str">
        <f>IF(D191="","",'Simplified Screening 2'!G42/1000*VLOOKUP(D191,'Default Values'!$B$78:$F$97,COLUMNS('Default Values'!$B$77:$E$77),0)/1000)</f>
        <v/>
      </c>
      <c r="I191" s="335" t="str">
        <f>IF(D191="","",'Simplified Screening 2'!G42/1000*VLOOKUP(D191,'Default Values'!$B$78:$F$97,COLUMNS('Default Values'!$B$77:$F$77),0)/1000)</f>
        <v/>
      </c>
      <c r="J191" s="325">
        <f>IF('Simplified Screening 2'!H42=0,0,'Simplified Screening 2'!H42)</f>
        <v>0</v>
      </c>
      <c r="K191" s="465"/>
      <c r="L191" s="333">
        <f>IF($F191="",0,IF($F191="Weighted Average",$G191*VLOOKUP($D191&amp;" (Install)",Lists!$C$72:$R$232,COLUMNS(Lists!$C$69:E$69),0)*VLOOKUP(BE$3,Conversions!$B$12:$E$34,4,0),$G191*VLOOKUP($F191,Lists!$C$72:$R$232,COLUMNS(Lists!$C$69:E$69),0)*VLOOKUP(BE$3,Conversions!$B$12:$E$34,4,0)))</f>
        <v>0</v>
      </c>
      <c r="M191" s="333">
        <f>IF($F191="",0,IF($F191="Weighted Average",$G191*VLOOKUP($D191&amp;" (Install)",Lists!$C$72:$R$232,COLUMNS(Lists!$C$69:F$69),0)*VLOOKUP(BF$3,Conversions!$B$12:$E$34,4,0),$G191*VLOOKUP($F191,Lists!$C$72:$R$232,COLUMNS(Lists!$C$69:F$69),0)*VLOOKUP(BF$3,Conversions!$B$12:$E$34,4,0)))</f>
        <v>0</v>
      </c>
      <c r="N191" s="333">
        <f>IF($F191="",0,IF($F191="Weighted Average",$G191*VLOOKUP($D191&amp;" (Install)",Lists!$C$72:$R$232,COLUMNS(Lists!$C$69:G$69),0)*VLOOKUP(BG$3,Conversions!$B$12:$E$34,4,0),$G191*VLOOKUP($F191,Lists!$C$72:$R$232,COLUMNS(Lists!$C$69:G$69),0)*VLOOKUP(BG$3,Conversions!$B$12:$E$34,4,0)))</f>
        <v>0</v>
      </c>
      <c r="O191" s="333">
        <f>IF($F191="",0,IF($F191="Weighted Average",$G191*VLOOKUP($D191&amp;" (Install)",Lists!$C$72:$R$232,COLUMNS(Lists!$C$69:H$69),0)*VLOOKUP(BH$3,Conversions!$B$12:$E$34,4,0),$G191*VLOOKUP($F191,Lists!$C$72:$R$232,COLUMNS(Lists!$C$69:H$69),0)*VLOOKUP(BH$3,Conversions!$B$12:$E$34,4,0)))</f>
        <v>0</v>
      </c>
      <c r="P191" s="333">
        <f>IF($F191="",0,IF($F191="Weighted Average",$G191*VLOOKUP($D191&amp;" (Install)",Lists!$C$72:$R$232,COLUMNS(Lists!$C$69:I$69),0)*VLOOKUP(BI$3,Conversions!$B$12:$E$34,4,0),$G191*VLOOKUP($F191,Lists!$C$72:$R$232,COLUMNS(Lists!$C$69:I$69),0)*VLOOKUP(BI$3,Conversions!$B$12:$E$34,4,0)))</f>
        <v>0</v>
      </c>
      <c r="Q191" s="333">
        <f>IF($F191="",0,IF($F191="Weighted Average",$G191*VLOOKUP($D191&amp;" (Install)",Lists!$C$72:$R$232,COLUMNS(Lists!$C$69:J$69),0)*VLOOKUP(BJ$3,Conversions!$B$12:$E$34,4,0),$G191*VLOOKUP($F191,Lists!$C$72:$R$232,COLUMNS(Lists!$C$69:J$69),0)*VLOOKUP(BJ$3,Conversions!$B$12:$E$34,4,0)))</f>
        <v>0</v>
      </c>
      <c r="R191" s="333">
        <f>IF($F191="",0,IF($F191="Weighted Average",$G191*VLOOKUP($D191&amp;" (Install)",Lists!$C$72:$R$232,COLUMNS(Lists!$C$69:K$69),0)*VLOOKUP(BK$3,Conversions!$B$12:$E$34,4,0),$G191*VLOOKUP($F191,Lists!$C$72:$R$232,COLUMNS(Lists!$C$69:K$69),0)*VLOOKUP(BK$3,Conversions!$B$12:$E$34,4,0)))</f>
        <v>0</v>
      </c>
      <c r="S191" s="333">
        <f>IF($F191="",0,IF($F191="Weighted Average",$G191*VLOOKUP($D191&amp;" (Install)",Lists!$C$72:$R$232,COLUMNS(Lists!$C$69:L$69),0)*VLOOKUP(BL$3,Conversions!$B$12:$E$34,4,0),$G191*VLOOKUP($F191,Lists!$C$72:$R$232,COLUMNS(Lists!$C$69:L$69),0)*VLOOKUP(BL$3,Conversions!$B$12:$E$34,4,0)))</f>
        <v>0</v>
      </c>
      <c r="T191" s="333">
        <f>IF($F191="",0,IF($F191="Weighted Average",$G191*VLOOKUP($D191&amp;" (Install)",Lists!$C$72:$R$232,COLUMNS(Lists!$C$69:M$69),0)*VLOOKUP(BM$3,Conversions!$B$12:$E$34,4,0),$G191*VLOOKUP($F191,Lists!$C$72:$R$232,COLUMNS(Lists!$C$69:M$69),0)*VLOOKUP(BM$3,Conversions!$B$12:$E$34,4,0)))</f>
        <v>0</v>
      </c>
      <c r="U191" s="333">
        <f>IF($F191="",0,IF($F191="Weighted Average",$G191*VLOOKUP($D191&amp;" (Install)",Lists!$C$72:$R$232,COLUMNS(Lists!$C$69:N$69),0)*VLOOKUP(BN$3,Conversions!$B$12:$E$34,4,0),$G191*VLOOKUP($F191,Lists!$C$72:$R$232,COLUMNS(Lists!$C$69:N$69),0)*VLOOKUP(BN$3,Conversions!$B$12:$E$34,4,0)))</f>
        <v>0</v>
      </c>
      <c r="V191" s="333">
        <f>IF($F191="",0,IF($F191="Weighted Average",$G191*VLOOKUP($D191&amp;" (Install)",Lists!$C$72:$R$232,COLUMNS(Lists!$C$69:O$69),0)*VLOOKUP(BO$3,Conversions!$B$12:$E$34,4,0),$G191*VLOOKUP($F191,Lists!$C$72:$R$232,COLUMNS(Lists!$C$69:O$69),0)*VLOOKUP(BO$3,Conversions!$B$12:$E$34,4,0)))</f>
        <v>0</v>
      </c>
      <c r="W191" s="333">
        <f>IF($F191="",0,IF($F191="Weighted Average",$G191*VLOOKUP($D191&amp;" (Install)",Lists!$C$72:$R$232,COLUMNS(Lists!$C$69:P$69),0)*VLOOKUP(BP$3,Conversions!$B$12:$E$34,4,0),$G191*VLOOKUP($F191,Lists!$C$72:$R$232,COLUMNS(Lists!$C$69:P$69),0)*VLOOKUP(BP$3,Conversions!$B$12:$E$34,4,0)))</f>
        <v>0</v>
      </c>
      <c r="X191" s="333">
        <f>IF($F191="",0,IF($F191="Weighted Average",$G191*VLOOKUP($D191&amp;" (Install)",Lists!$C$72:$R$232,COLUMNS(Lists!$C$69:Q$69),0)*VLOOKUP(BQ$3,Conversions!$B$12:$E$34,4,0),$G191*VLOOKUP($F191,Lists!$C$72:$R$232,COLUMNS(Lists!$C$69:Q$69),0)*VLOOKUP(BQ$3,Conversions!$B$12:$E$34,4,0)))</f>
        <v>0</v>
      </c>
      <c r="Y191" s="333">
        <f>IF($F191="",0,IF($F191="Weighted Average",$G191*VLOOKUP($D191&amp;" (Install)",Lists!$C$72:$R$232,COLUMNS(Lists!$C$69:R$69),0)*VLOOKUP(BR$3,Conversions!$B$12:$E$34,4,0),$G191*VLOOKUP($F191,Lists!$C$72:$R$232,COLUMNS(Lists!$C$69:R$69),0)*VLOOKUP(BR$3,Conversions!$B$12:$E$34,4,0)))</f>
        <v>0</v>
      </c>
      <c r="Z191" s="325">
        <f t="shared" si="234"/>
        <v>0</v>
      </c>
      <c r="AA191" s="334">
        <f>IF($F191="",0,IF($F191="Weighted Average",$H191*VLOOKUP($D191&amp;" (Operation)",Lists!$C$72:$R$232,COLUMNS(Lists!$C$69:E$69),0)*VLOOKUP(BE$3,Conversions!$B$12:$E$34,4,0),$H191*VLOOKUP($F191,Lists!$C$72:$R$232,COLUMNS(Lists!$C$69:E$69),0)*VLOOKUP(BE$3,Conversions!$B$12:$E$34,4,0)))</f>
        <v>0</v>
      </c>
      <c r="AB191" s="334">
        <f>IF($F191="",0,IF($F191="Weighted Average",$H191*VLOOKUP($D191&amp;" (Operation)",Lists!$C$72:$R$232,COLUMNS(Lists!$C$69:F$69),0)*VLOOKUP(BF$3,Conversions!$B$12:$E$34,4,0),$H191*VLOOKUP($F191,Lists!$C$72:$R$232,COLUMNS(Lists!$C$69:F$69),0)*VLOOKUP(BF$3,Conversions!$B$12:$E$34,4,0)))</f>
        <v>0</v>
      </c>
      <c r="AC191" s="334">
        <f>IF($F191="",0,IF($F191="Weighted Average",$H191*VLOOKUP($D191&amp;" (Operation)",Lists!$C$72:$R$232,COLUMNS(Lists!$C$69:G$69),0)*VLOOKUP(BG$3,Conversions!$B$12:$E$34,4,0),$H191*VLOOKUP($F191,Lists!$C$72:$R$232,COLUMNS(Lists!$C$69:G$69),0)*VLOOKUP(BG$3,Conversions!$B$12:$E$34,4,0)))</f>
        <v>0</v>
      </c>
      <c r="AD191" s="334">
        <f>IF($F191="",0,IF($F191="Weighted Average",$H191*VLOOKUP($D191&amp;" (Operation)",Lists!$C$72:$R$232,COLUMNS(Lists!$C$69:H$69),0)*VLOOKUP(BH$3,Conversions!$B$12:$E$34,4,0),$H191*VLOOKUP($F191,Lists!$C$72:$R$232,COLUMNS(Lists!$C$69:H$69),0)*VLOOKUP(BH$3,Conversions!$B$12:$E$34,4,0)))</f>
        <v>0</v>
      </c>
      <c r="AE191" s="334">
        <f>IF($F191="",0,IF($F191="Weighted Average",$H191*VLOOKUP($D191&amp;" (Operation)",Lists!$C$72:$R$232,COLUMNS(Lists!$C$69:I$69),0)*VLOOKUP(BI$3,Conversions!$B$12:$E$34,4,0),$H191*VLOOKUP($F191,Lists!$C$72:$R$232,COLUMNS(Lists!$C$69:I$69),0)*VLOOKUP(BI$3,Conversions!$B$12:$E$34,4,0)))</f>
        <v>0</v>
      </c>
      <c r="AF191" s="334">
        <f>IF($F191="",0,IF($F191="Weighted Average",$H191*VLOOKUP($D191&amp;" (Operation)",Lists!$C$72:$R$232,COLUMNS(Lists!$C$69:J$69),0)*VLOOKUP(BJ$3,Conversions!$B$12:$E$34,4,0),$H191*VLOOKUP($F191,Lists!$C$72:$R$232,COLUMNS(Lists!$C$69:J$69),0)*VLOOKUP(BJ$3,Conversions!$B$12:$E$34,4,0)))</f>
        <v>0</v>
      </c>
      <c r="AG191" s="334">
        <f>IF($F191="",0,IF($F191="Weighted Average",$H191*VLOOKUP($D191&amp;" (Operation)",Lists!$C$72:$R$232,COLUMNS(Lists!$C$69:K$69),0)*VLOOKUP(BK$3,Conversions!$B$12:$E$34,4,0),$H191*VLOOKUP($F191,Lists!$C$72:$R$232,COLUMNS(Lists!$C$69:K$69),0)*VLOOKUP(BK$3,Conversions!$B$12:$E$34,4,0)))</f>
        <v>0</v>
      </c>
      <c r="AH191" s="334">
        <f>IF($F191="",0,IF($F191="Weighted Average",$H191*VLOOKUP($D191&amp;" (Operation)",Lists!$C$72:$R$232,COLUMNS(Lists!$C$69:L$69),0)*VLOOKUP(BL$3,Conversions!$B$12:$E$34,4,0),$H191*VLOOKUP($F191,Lists!$C$72:$R$232,COLUMNS(Lists!$C$69:L$69),0)*VLOOKUP(BL$3,Conversions!$B$12:$E$34,4,0)))</f>
        <v>0</v>
      </c>
      <c r="AI191" s="334">
        <f>IF($F191="",0,IF($F191="Weighted Average",$H191*VLOOKUP($D191&amp;" (Operation)",Lists!$C$72:$R$232,COLUMNS(Lists!$C$69:M$69),0)*VLOOKUP(BM$3,Conversions!$B$12:$E$34,4,0),$H191*VLOOKUP($F191,Lists!$C$72:$R$232,COLUMNS(Lists!$C$69:M$69),0)*VLOOKUP(BM$3,Conversions!$B$12:$E$34,4,0)))</f>
        <v>0</v>
      </c>
      <c r="AJ191" s="334">
        <f>IF($F191="",0,IF($F191="Weighted Average",$H191*VLOOKUP($D191&amp;" (Operation)",Lists!$C$72:$R$232,COLUMNS(Lists!$C$69:N$69),0)*VLOOKUP(BN$3,Conversions!$B$12:$E$34,4,0),$H191*VLOOKUP($F191,Lists!$C$72:$R$232,COLUMNS(Lists!$C$69:N$69),0)*VLOOKUP(BN$3,Conversions!$B$12:$E$34,4,0)))</f>
        <v>0</v>
      </c>
      <c r="AK191" s="334">
        <f>IF($F191="",0,IF($F191="Weighted Average",$H191*VLOOKUP($D191&amp;" (Operation)",Lists!$C$72:$R$232,COLUMNS(Lists!$C$69:O$69),0)*VLOOKUP(BO$3,Conversions!$B$12:$E$34,4,0),$H191*VLOOKUP($F191,Lists!$C$72:$R$232,COLUMNS(Lists!$C$69:O$69),0)*VLOOKUP(BO$3,Conversions!$B$12:$E$34,4,0)))</f>
        <v>0</v>
      </c>
      <c r="AL191" s="334">
        <f>IF($F191="",0,IF($F191="Weighted Average",$H191*VLOOKUP($D191&amp;" (Operation)",Lists!$C$72:$R$232,COLUMNS(Lists!$C$69:P$69),0)*VLOOKUP(BP$3,Conversions!$B$12:$E$34,4,0),$H191*VLOOKUP($F191,Lists!$C$72:$R$232,COLUMNS(Lists!$C$69:P$69),0)*VLOOKUP(BP$3,Conversions!$B$12:$E$34,4,0)))</f>
        <v>0</v>
      </c>
      <c r="AM191" s="334">
        <f>IF($F191="",0,IF($F191="Weighted Average",$H191*VLOOKUP($D191&amp;" (Operation)",Lists!$C$72:$R$232,COLUMNS(Lists!$C$69:Q$69),0)*VLOOKUP(BQ$3,Conversions!$B$12:$E$34,4,0),$H191*VLOOKUP($F191,Lists!$C$72:$R$232,COLUMNS(Lists!$C$69:Q$69),0)*VLOOKUP(BQ$3,Conversions!$B$12:$E$34,4,0)))</f>
        <v>0</v>
      </c>
      <c r="AN191" s="334">
        <f>IF($F191="",0,IF($F191="Weighted Average",$H191*VLOOKUP($D191&amp;" (Operation)",Lists!$C$72:$R$232,COLUMNS(Lists!$C$69:R$69),0)*VLOOKUP(BR$3,Conversions!$B$12:$E$34,4,0),$H191*VLOOKUP($F191,Lists!$C$72:$R$232,COLUMNS(Lists!$C$69:R$69),0)*VLOOKUP(BR$3,Conversions!$B$12:$E$34,4,0)))</f>
        <v>0</v>
      </c>
      <c r="AO191" s="330">
        <f t="shared" si="235"/>
        <v>0</v>
      </c>
      <c r="AP191" s="333">
        <f>IF($F191="",0,IF($F191="Weighted Average",$I191*VLOOKUP($D191&amp;" (Disposal)",Lists!$C$72:$R$232,COLUMNS(Lists!$C$69:E$69),0)*VLOOKUP(BE$3,Conversions!$B$12:$E$34,4,0),$I191*VLOOKUP($F191,Lists!$C$72:$R$232,COLUMNS(Lists!$C$69:E$69),0)*VLOOKUP(BE$3,Conversions!$B$12:$E$34,4,0)))</f>
        <v>0</v>
      </c>
      <c r="AQ191" s="333">
        <f>IF($F191="",0,IF($F191="Weighted Average",$I191*VLOOKUP($D191&amp;" (Disposal)",Lists!$C$72:$R$232,COLUMNS(Lists!$C$69:F$69),0)*VLOOKUP(BF$3,Conversions!$B$12:$E$34,4,0),$I191*VLOOKUP($F191,Lists!$C$72:$R$232,COLUMNS(Lists!$C$69:F$69),0)*VLOOKUP(BF$3,Conversions!$B$12:$E$34,4,0)))</f>
        <v>0</v>
      </c>
      <c r="AR191" s="333">
        <f>IF($F191="",0,IF($F191="Weighted Average",$I191*VLOOKUP($D191&amp;" (Disposal)",Lists!$C$72:$R$232,COLUMNS(Lists!$C$69:G$69),0)*VLOOKUP(BG$3,Conversions!$B$12:$E$34,4,0),$I191*VLOOKUP($F191,Lists!$C$72:$R$232,COLUMNS(Lists!$C$69:G$69),0)*VLOOKUP(BG$3,Conversions!$B$12:$E$34,4,0)))</f>
        <v>0</v>
      </c>
      <c r="AS191" s="333">
        <f>IF($F191="",0,IF($F191="Weighted Average",$I191*VLOOKUP($D191&amp;" (Disposal)",Lists!$C$72:$R$232,COLUMNS(Lists!$C$69:H$69),0)*VLOOKUP(BH$3,Conversions!$B$12:$E$34,4,0),$I191*VLOOKUP($F191,Lists!$C$72:$R$232,COLUMNS(Lists!$C$69:H$69),0)*VLOOKUP(BH$3,Conversions!$B$12:$E$34,4,0)))</f>
        <v>0</v>
      </c>
      <c r="AT191" s="333">
        <f>IF($F191="",0,IF($F191="Weighted Average",$I191*VLOOKUP($D191&amp;" (Disposal)",Lists!$C$72:$R$232,COLUMNS(Lists!$C$69:I$69),0)*VLOOKUP(BI$3,Conversions!$B$12:$E$34,4,0),$I191*VLOOKUP($F191,Lists!$C$72:$R$232,COLUMNS(Lists!$C$69:I$69),0)*VLOOKUP(BI$3,Conversions!$B$12:$E$34,4,0)))</f>
        <v>0</v>
      </c>
      <c r="AU191" s="333">
        <f>IF($F191="",0,IF($F191="Weighted Average",$I191*VLOOKUP($D191&amp;" (Disposal)",Lists!$C$72:$R$232,COLUMNS(Lists!$C$69:J$69),0)*VLOOKUP(BJ$3,Conversions!$B$12:$E$34,4,0),$I191*VLOOKUP($F191,Lists!$C$72:$R$232,COLUMNS(Lists!$C$69:J$69),0)*VLOOKUP(BJ$3,Conversions!$B$12:$E$34,4,0)))</f>
        <v>0</v>
      </c>
      <c r="AV191" s="333">
        <f>IF($F191="",0,IF($F191="Weighted Average",$I191*VLOOKUP($D191&amp;" (Disposal)",Lists!$C$72:$R$232,COLUMNS(Lists!$C$69:K$69),0)*VLOOKUP(BK$3,Conversions!$B$12:$E$34,4,0),$I191*VLOOKUP($F191,Lists!$C$72:$R$232,COLUMNS(Lists!$C$69:K$69),0)*VLOOKUP(BK$3,Conversions!$B$12:$E$34,4,0)))</f>
        <v>0</v>
      </c>
      <c r="AW191" s="333">
        <f>IF($F191="",0,IF($F191="Weighted Average",$I191*VLOOKUP($D191&amp;" (Disposal)",Lists!$C$72:$R$232,COLUMNS(Lists!$C$69:L$69),0)*VLOOKUP(BL$3,Conversions!$B$12:$E$34,4,0),$I191*VLOOKUP($F191,Lists!$C$72:$R$232,COLUMNS(Lists!$C$69:L$69),0)*VLOOKUP(BL$3,Conversions!$B$12:$E$34,4,0)))</f>
        <v>0</v>
      </c>
      <c r="AX191" s="333">
        <f>IF($F191="",0,IF($F191="Weighted Average",$I191*VLOOKUP($D191&amp;" (Disposal)",Lists!$C$72:$R$232,COLUMNS(Lists!$C$69:M$69),0)*VLOOKUP(BM$3,Conversions!$B$12:$E$34,4,0),$I191*VLOOKUP($F191,Lists!$C$72:$R$232,COLUMNS(Lists!$C$69:M$69),0)*VLOOKUP(BM$3,Conversions!$B$12:$E$34,4,0)))</f>
        <v>0</v>
      </c>
      <c r="AY191" s="333">
        <f>IF($F191="",0,IF($F191="Weighted Average",$I191*VLOOKUP($D191&amp;" (Disposal)",Lists!$C$72:$R$232,COLUMNS(Lists!$C$69:N$69),0)*VLOOKUP(BN$3,Conversions!$B$12:$E$34,4,0),$I191*VLOOKUP($F191,Lists!$C$72:$R$232,COLUMNS(Lists!$C$69:N$69),0)*VLOOKUP(BN$3,Conversions!$B$12:$E$34,4,0)))</f>
        <v>0</v>
      </c>
      <c r="AZ191" s="333">
        <f>IF($F191="",0,IF($F191="Weighted Average",$I191*VLOOKUP($D191&amp;" (Disposal)",Lists!$C$72:$R$232,COLUMNS(Lists!$C$69:O$69),0)*VLOOKUP(BO$3,Conversions!$B$12:$E$34,4,0),$I191*VLOOKUP($F191,Lists!$C$72:$R$232,COLUMNS(Lists!$C$69:O$69),0)*VLOOKUP(BO$3,Conversions!$B$12:$E$34,4,0)))</f>
        <v>0</v>
      </c>
      <c r="BA191" s="333">
        <f>IF($F191="",0,IF($F191="Weighted Average",$I191*VLOOKUP($D191&amp;" (Disposal)",Lists!$C$72:$R$232,COLUMNS(Lists!$C$69:P$69),0)*VLOOKUP(BP$3,Conversions!$B$12:$E$34,4,0),$I191*VLOOKUP($F191,Lists!$C$72:$R$232,COLUMNS(Lists!$C$69:P$69),0)*VLOOKUP(BP$3,Conversions!$B$12:$E$34,4,0)))</f>
        <v>0</v>
      </c>
      <c r="BB191" s="333">
        <f>IF($F191="",0,IF($F191="Weighted Average",$I191*VLOOKUP($D191&amp;" (Disposal)",Lists!$C$72:$R$232,COLUMNS(Lists!$C$69:Q$69),0)*VLOOKUP(BQ$3,Conversions!$B$12:$E$34,4,0),$I191*VLOOKUP($F191,Lists!$C$72:$R$232,COLUMNS(Lists!$C$69:Q$69),0)*VLOOKUP(BQ$3,Conversions!$B$12:$E$34,4,0)))</f>
        <v>0</v>
      </c>
      <c r="BC191" s="333">
        <f>IF($F191="",0,IF($F191="Weighted Average",$I191*VLOOKUP($D191&amp;" (Disposal)",Lists!$C$72:$R$232,COLUMNS(Lists!$C$69:R$69),0)*VLOOKUP(BR$3,Conversions!$B$12:$E$34,4,0),$I191*VLOOKUP($F191,Lists!$C$72:$R$232,COLUMNS(Lists!$C$69:R$69),0)*VLOOKUP(BR$3,Conversions!$B$12:$E$34,4,0)))</f>
        <v>0</v>
      </c>
      <c r="BD191" s="333">
        <f t="shared" si="236"/>
        <v>0</v>
      </c>
      <c r="BE191" s="330">
        <f t="shared" si="237"/>
        <v>0</v>
      </c>
      <c r="BF191" s="330">
        <f t="shared" si="238"/>
        <v>0</v>
      </c>
      <c r="BG191" s="330">
        <f t="shared" si="239"/>
        <v>0</v>
      </c>
      <c r="BH191" s="330">
        <f t="shared" si="240"/>
        <v>0</v>
      </c>
      <c r="BI191" s="330">
        <f t="shared" si="241"/>
        <v>0</v>
      </c>
      <c r="BJ191" s="330">
        <f t="shared" si="242"/>
        <v>0</v>
      </c>
      <c r="BK191" s="330">
        <f t="shared" si="243"/>
        <v>0</v>
      </c>
      <c r="BL191" s="330">
        <f t="shared" si="244"/>
        <v>0</v>
      </c>
      <c r="BM191" s="330">
        <f t="shared" si="245"/>
        <v>0</v>
      </c>
      <c r="BN191" s="330">
        <f t="shared" si="246"/>
        <v>0</v>
      </c>
      <c r="BO191" s="330">
        <f t="shared" si="247"/>
        <v>0</v>
      </c>
      <c r="BP191" s="330">
        <f t="shared" si="248"/>
        <v>0</v>
      </c>
      <c r="BQ191" s="330">
        <f t="shared" si="249"/>
        <v>0</v>
      </c>
      <c r="BR191" s="330">
        <f t="shared" si="250"/>
        <v>0</v>
      </c>
      <c r="BS191" s="330">
        <f t="shared" si="251"/>
        <v>0</v>
      </c>
      <c r="BT191" s="329">
        <f>IF($F191="",0,IF($F191="Weighted Average",$BS191*VLOOKUP($D191,'Default Values'!$B$78:$V$97,COLUMNS('Default Values'!$B$77:G$77),0),0))</f>
        <v>0</v>
      </c>
      <c r="BU191" s="329">
        <f>IF($F191="",0,IF($F191="Weighted Average",$BS191*VLOOKUP($D191,'Default Values'!$B$78:$V$97,COLUMNS('Default Values'!$B$77:H$77),0),0))</f>
        <v>0</v>
      </c>
      <c r="BV191" s="329">
        <f>IF($F191="",0,IF($F191="Weighted Average",$BS191*VLOOKUP($D191,'Default Values'!$B$78:$V$97,COLUMNS('Default Values'!$B$77:I$77),0),0))</f>
        <v>0</v>
      </c>
      <c r="BW191" s="329">
        <f>IF($F191="",0,IF($F191="Weighted Average",$BS191*VLOOKUP($D191,'Default Values'!$B$78:$V$97,COLUMNS('Default Values'!$B$77:J$77),0),0))</f>
        <v>0</v>
      </c>
      <c r="BX191" s="329">
        <f>IF($F191="",0,IF($F191="Weighted Average",$BS191*VLOOKUP($D191,'Default Values'!$B$78:$V$97,COLUMNS('Default Values'!$B$77:K$77),0),0))</f>
        <v>0</v>
      </c>
      <c r="BY191" s="329">
        <f>IF($F191="",0,IF($F191="Weighted Average",$BS191*VLOOKUP($D191,'Default Values'!$B$78:$V$97,COLUMNS('Default Values'!$B$77:L$77),0),0))</f>
        <v>0</v>
      </c>
      <c r="BZ191" s="329">
        <f>IF($F191="",0,IF($F191="Weighted Average",$BS191*VLOOKUP($D191,'Default Values'!$B$78:$V$97,COLUMNS('Default Values'!$B$77:M$77),0),0))</f>
        <v>0</v>
      </c>
      <c r="CA191" s="329">
        <f>IF($F191="",0,IF($F191="Weighted Average",$BS191*VLOOKUP($D191,'Default Values'!$B$78:$V$97,COLUMNS('Default Values'!$B$77:N$77),0),0))</f>
        <v>0</v>
      </c>
      <c r="CB191" s="329">
        <f>IF($F191="",0,IF($F191="Weighted Average",$BS191*VLOOKUP($D191,'Default Values'!$B$78:$V$97,COLUMNS('Default Values'!$B$77:O$77),0),0))</f>
        <v>0</v>
      </c>
      <c r="CC191" s="329">
        <f>IF($F191="",0,IF($F191="Weighted Average",$BS191*VLOOKUP($D191,'Default Values'!$B$78:$V$97,COLUMNS('Default Values'!$B$77:P$77),0),0))</f>
        <v>0</v>
      </c>
      <c r="CD191" s="329">
        <f>IF($F191="",0,IF($F191="Weighted Average",$BS191*VLOOKUP($D191,'Default Values'!$B$78:$V$97,COLUMNS('Default Values'!$B$77:Q$77),0),0))</f>
        <v>0</v>
      </c>
      <c r="CE191" s="329">
        <f>IF($F191="",0,IF($F191="Weighted Average",$BS191*VLOOKUP($D191,'Default Values'!$B$78:$V$97,COLUMNS('Default Values'!$B$77:R$77),0),0))</f>
        <v>0</v>
      </c>
      <c r="CF191" s="329">
        <f>IF($F191="",0,IF($F191="Weighted Average",$BS191*VLOOKUP($D191,'Default Values'!$B$78:$V$97,COLUMNS('Default Values'!$B$77:S$77),0),0))</f>
        <v>0</v>
      </c>
      <c r="CG191" s="329">
        <f>IF($F191="",0,IF($F191="Weighted Average",$BS191*VLOOKUP($D191,'Default Values'!$B$78:$V$97,COLUMNS('Default Values'!$B$77:T$77),0),0))</f>
        <v>0</v>
      </c>
      <c r="CH191" s="329">
        <f>IF($F191="",0,IF($F191="Weighted Average",$BS191*VLOOKUP($D191,'Default Values'!$B$78:$V$97,COLUMNS('Default Values'!$B$77:U$77),0),0))</f>
        <v>0</v>
      </c>
      <c r="CI191" s="329">
        <f>IF($F191="",0,IF($F191="Weighted Average",$BS191*VLOOKUP($D191,'Default Values'!$B$78:$V$97,COLUMNS('Default Values'!$B$77:V$77),0),0))</f>
        <v>0</v>
      </c>
      <c r="CJ191" s="331">
        <f t="shared" si="252"/>
        <v>0</v>
      </c>
      <c r="CK191" s="330">
        <f t="shared" si="253"/>
        <v>0</v>
      </c>
      <c r="CL191" s="330">
        <f t="shared" si="254"/>
        <v>0</v>
      </c>
      <c r="CM191" s="330">
        <f t="shared" si="255"/>
        <v>0</v>
      </c>
      <c r="CN191" s="330">
        <f t="shared" si="256"/>
        <v>0</v>
      </c>
      <c r="CO191" s="330">
        <f t="shared" si="257"/>
        <v>0</v>
      </c>
      <c r="CP191" s="330">
        <f t="shared" si="258"/>
        <v>0</v>
      </c>
      <c r="CQ191" s="330">
        <f t="shared" si="186"/>
        <v>0</v>
      </c>
      <c r="CR191" s="330">
        <f t="shared" si="259"/>
        <v>0</v>
      </c>
      <c r="CS191" s="330">
        <f t="shared" si="260"/>
        <v>0</v>
      </c>
      <c r="CT191" s="330">
        <f t="shared" si="261"/>
        <v>0</v>
      </c>
      <c r="CU191" s="330">
        <f t="shared" si="265"/>
        <v>0</v>
      </c>
      <c r="CV191" s="330">
        <f t="shared" si="265"/>
        <v>0</v>
      </c>
      <c r="CW191" s="330">
        <f t="shared" si="265"/>
        <v>0</v>
      </c>
      <c r="CX191" s="330">
        <f t="shared" si="265"/>
        <v>0</v>
      </c>
      <c r="CY191" s="330">
        <f t="shared" si="265"/>
        <v>0</v>
      </c>
      <c r="CZ191" s="330">
        <f t="shared" si="265"/>
        <v>0</v>
      </c>
      <c r="DA191" s="330">
        <f t="shared" si="265"/>
        <v>0</v>
      </c>
      <c r="DB191" s="330">
        <f t="shared" si="265"/>
        <v>0</v>
      </c>
      <c r="DC191" s="330">
        <f t="shared" si="265"/>
        <v>0</v>
      </c>
      <c r="DD191" s="330">
        <f t="shared" si="265"/>
        <v>0</v>
      </c>
      <c r="DE191" s="330">
        <f t="shared" si="266"/>
        <v>0</v>
      </c>
      <c r="DF191" s="330">
        <f t="shared" si="266"/>
        <v>0</v>
      </c>
      <c r="DG191" s="330">
        <f t="shared" si="266"/>
        <v>0</v>
      </c>
      <c r="DH191" s="330">
        <f t="shared" si="266"/>
        <v>0</v>
      </c>
      <c r="DI191" s="330">
        <f t="shared" si="266"/>
        <v>0</v>
      </c>
      <c r="DJ191" s="330">
        <f t="shared" si="266"/>
        <v>0</v>
      </c>
      <c r="DK191" s="330">
        <f t="shared" si="266"/>
        <v>0</v>
      </c>
      <c r="DL191" s="330">
        <f t="shared" si="266"/>
        <v>0</v>
      </c>
      <c r="DM191" s="330">
        <f t="shared" si="266"/>
        <v>0</v>
      </c>
      <c r="DN191" s="330">
        <f t="shared" si="266"/>
        <v>0</v>
      </c>
      <c r="DO191" s="330">
        <f t="shared" si="266"/>
        <v>0</v>
      </c>
      <c r="DP191" s="330">
        <f t="shared" si="264"/>
        <v>0</v>
      </c>
      <c r="DQ191" s="217"/>
      <c r="DR191" s="217"/>
      <c r="DS191" s="217"/>
      <c r="DT191" s="217"/>
    </row>
    <row r="192" spans="1:124" x14ac:dyDescent="0.3">
      <c r="A192" s="324"/>
      <c r="B192" s="221" t="s">
        <v>307</v>
      </c>
      <c r="C192" s="221" t="str">
        <f>IF('Simplified Screening 2'!C43=0,"",'Simplified Screening 2'!C43)</f>
        <v/>
      </c>
      <c r="D192" s="221" t="str">
        <f>IF('Simplified Screening 2'!D43=0,"",'Simplified Screening 2'!D43)</f>
        <v/>
      </c>
      <c r="E192" s="221"/>
      <c r="F192" s="221" t="str">
        <f>'Simplified Screening 2'!J43</f>
        <v/>
      </c>
      <c r="G192" s="335" t="str">
        <f>IF(D192="","",'Simplified Screening 2'!G43/1000*VLOOKUP(D192,'Default Values'!$B$78:$F$97,COLUMNS('Default Values'!$B$77:$D$77),0)/1000)</f>
        <v/>
      </c>
      <c r="H192" s="335" t="str">
        <f>IF(D192="","",'Simplified Screening 2'!G43/1000*VLOOKUP(D192,'Default Values'!$B$78:$F$97,COLUMNS('Default Values'!$B$77:$E$77),0)/1000)</f>
        <v/>
      </c>
      <c r="I192" s="335" t="str">
        <f>IF(D192="","",'Simplified Screening 2'!G43/1000*VLOOKUP(D192,'Default Values'!$B$78:$F$97,COLUMNS('Default Values'!$B$77:$F$77),0)/1000)</f>
        <v/>
      </c>
      <c r="J192" s="325">
        <f>IF('Simplified Screening 2'!H43=0,0,'Simplified Screening 2'!H43)</f>
        <v>0</v>
      </c>
      <c r="K192" s="465"/>
      <c r="L192" s="333">
        <f>IF($F192="",0,IF($F192="Weighted Average",$G192*VLOOKUP($D192&amp;" (Install)",Lists!$C$72:$R$232,COLUMNS(Lists!$C$69:E$69),0)*VLOOKUP(BE$3,Conversions!$B$12:$E$34,4,0),$G192*VLOOKUP($F192,Lists!$C$72:$R$232,COLUMNS(Lists!$C$69:E$69),0)*VLOOKUP(BE$3,Conversions!$B$12:$E$34,4,0)))</f>
        <v>0</v>
      </c>
      <c r="M192" s="333">
        <f>IF($F192="",0,IF($F192="Weighted Average",$G192*VLOOKUP($D192&amp;" (Install)",Lists!$C$72:$R$232,COLUMNS(Lists!$C$69:F$69),0)*VLOOKUP(BF$3,Conversions!$B$12:$E$34,4,0),$G192*VLOOKUP($F192,Lists!$C$72:$R$232,COLUMNS(Lists!$C$69:F$69),0)*VLOOKUP(BF$3,Conversions!$B$12:$E$34,4,0)))</f>
        <v>0</v>
      </c>
      <c r="N192" s="333">
        <f>IF($F192="",0,IF($F192="Weighted Average",$G192*VLOOKUP($D192&amp;" (Install)",Lists!$C$72:$R$232,COLUMNS(Lists!$C$69:G$69),0)*VLOOKUP(BG$3,Conversions!$B$12:$E$34,4,0),$G192*VLOOKUP($F192,Lists!$C$72:$R$232,COLUMNS(Lists!$C$69:G$69),0)*VLOOKUP(BG$3,Conversions!$B$12:$E$34,4,0)))</f>
        <v>0</v>
      </c>
      <c r="O192" s="333">
        <f>IF($F192="",0,IF($F192="Weighted Average",$G192*VLOOKUP($D192&amp;" (Install)",Lists!$C$72:$R$232,COLUMNS(Lists!$C$69:H$69),0)*VLOOKUP(BH$3,Conversions!$B$12:$E$34,4,0),$G192*VLOOKUP($F192,Lists!$C$72:$R$232,COLUMNS(Lists!$C$69:H$69),0)*VLOOKUP(BH$3,Conversions!$B$12:$E$34,4,0)))</f>
        <v>0</v>
      </c>
      <c r="P192" s="333">
        <f>IF($F192="",0,IF($F192="Weighted Average",$G192*VLOOKUP($D192&amp;" (Install)",Lists!$C$72:$R$232,COLUMNS(Lists!$C$69:I$69),0)*VLOOKUP(BI$3,Conversions!$B$12:$E$34,4,0),$G192*VLOOKUP($F192,Lists!$C$72:$R$232,COLUMNS(Lists!$C$69:I$69),0)*VLOOKUP(BI$3,Conversions!$B$12:$E$34,4,0)))</f>
        <v>0</v>
      </c>
      <c r="Q192" s="333">
        <f>IF($F192="",0,IF($F192="Weighted Average",$G192*VLOOKUP($D192&amp;" (Install)",Lists!$C$72:$R$232,COLUMNS(Lists!$C$69:J$69),0)*VLOOKUP(BJ$3,Conversions!$B$12:$E$34,4,0),$G192*VLOOKUP($F192,Lists!$C$72:$R$232,COLUMNS(Lists!$C$69:J$69),0)*VLOOKUP(BJ$3,Conversions!$B$12:$E$34,4,0)))</f>
        <v>0</v>
      </c>
      <c r="R192" s="333">
        <f>IF($F192="",0,IF($F192="Weighted Average",$G192*VLOOKUP($D192&amp;" (Install)",Lists!$C$72:$R$232,COLUMNS(Lists!$C$69:K$69),0)*VLOOKUP(BK$3,Conversions!$B$12:$E$34,4,0),$G192*VLOOKUP($F192,Lists!$C$72:$R$232,COLUMNS(Lists!$C$69:K$69),0)*VLOOKUP(BK$3,Conversions!$B$12:$E$34,4,0)))</f>
        <v>0</v>
      </c>
      <c r="S192" s="333">
        <f>IF($F192="",0,IF($F192="Weighted Average",$G192*VLOOKUP($D192&amp;" (Install)",Lists!$C$72:$R$232,COLUMNS(Lists!$C$69:L$69),0)*VLOOKUP(BL$3,Conversions!$B$12:$E$34,4,0),$G192*VLOOKUP($F192,Lists!$C$72:$R$232,COLUMNS(Lists!$C$69:L$69),0)*VLOOKUP(BL$3,Conversions!$B$12:$E$34,4,0)))</f>
        <v>0</v>
      </c>
      <c r="T192" s="333">
        <f>IF($F192="",0,IF($F192="Weighted Average",$G192*VLOOKUP($D192&amp;" (Install)",Lists!$C$72:$R$232,COLUMNS(Lists!$C$69:M$69),0)*VLOOKUP(BM$3,Conversions!$B$12:$E$34,4,0),$G192*VLOOKUP($F192,Lists!$C$72:$R$232,COLUMNS(Lists!$C$69:M$69),0)*VLOOKUP(BM$3,Conversions!$B$12:$E$34,4,0)))</f>
        <v>0</v>
      </c>
      <c r="U192" s="333">
        <f>IF($F192="",0,IF($F192="Weighted Average",$G192*VLOOKUP($D192&amp;" (Install)",Lists!$C$72:$R$232,COLUMNS(Lists!$C$69:N$69),0)*VLOOKUP(BN$3,Conversions!$B$12:$E$34,4,0),$G192*VLOOKUP($F192,Lists!$C$72:$R$232,COLUMNS(Lists!$C$69:N$69),0)*VLOOKUP(BN$3,Conversions!$B$12:$E$34,4,0)))</f>
        <v>0</v>
      </c>
      <c r="V192" s="333">
        <f>IF($F192="",0,IF($F192="Weighted Average",$G192*VLOOKUP($D192&amp;" (Install)",Lists!$C$72:$R$232,COLUMNS(Lists!$C$69:O$69),0)*VLOOKUP(BO$3,Conversions!$B$12:$E$34,4,0),$G192*VLOOKUP($F192,Lists!$C$72:$R$232,COLUMNS(Lists!$C$69:O$69),0)*VLOOKUP(BO$3,Conversions!$B$12:$E$34,4,0)))</f>
        <v>0</v>
      </c>
      <c r="W192" s="333">
        <f>IF($F192="",0,IF($F192="Weighted Average",$G192*VLOOKUP($D192&amp;" (Install)",Lists!$C$72:$R$232,COLUMNS(Lists!$C$69:P$69),0)*VLOOKUP(BP$3,Conversions!$B$12:$E$34,4,0),$G192*VLOOKUP($F192,Lists!$C$72:$R$232,COLUMNS(Lists!$C$69:P$69),0)*VLOOKUP(BP$3,Conversions!$B$12:$E$34,4,0)))</f>
        <v>0</v>
      </c>
      <c r="X192" s="333">
        <f>IF($F192="",0,IF($F192="Weighted Average",$G192*VLOOKUP($D192&amp;" (Install)",Lists!$C$72:$R$232,COLUMNS(Lists!$C$69:Q$69),0)*VLOOKUP(BQ$3,Conversions!$B$12:$E$34,4,0),$G192*VLOOKUP($F192,Lists!$C$72:$R$232,COLUMNS(Lists!$C$69:Q$69),0)*VLOOKUP(BQ$3,Conversions!$B$12:$E$34,4,0)))</f>
        <v>0</v>
      </c>
      <c r="Y192" s="333">
        <f>IF($F192="",0,IF($F192="Weighted Average",$G192*VLOOKUP($D192&amp;" (Install)",Lists!$C$72:$R$232,COLUMNS(Lists!$C$69:R$69),0)*VLOOKUP(BR$3,Conversions!$B$12:$E$34,4,0),$G192*VLOOKUP($F192,Lists!$C$72:$R$232,COLUMNS(Lists!$C$69:R$69),0)*VLOOKUP(BR$3,Conversions!$B$12:$E$34,4,0)))</f>
        <v>0</v>
      </c>
      <c r="Z192" s="325">
        <f t="shared" si="234"/>
        <v>0</v>
      </c>
      <c r="AA192" s="334">
        <f>IF($F192="",0,IF($F192="Weighted Average",$H192*VLOOKUP($D192&amp;" (Operation)",Lists!$C$72:$R$232,COLUMNS(Lists!$C$69:E$69),0)*VLOOKUP(BE$3,Conversions!$B$12:$E$34,4,0),$H192*VLOOKUP($F192,Lists!$C$72:$R$232,COLUMNS(Lists!$C$69:E$69),0)*VLOOKUP(BE$3,Conversions!$B$12:$E$34,4,0)))</f>
        <v>0</v>
      </c>
      <c r="AB192" s="334">
        <f>IF($F192="",0,IF($F192="Weighted Average",$H192*VLOOKUP($D192&amp;" (Operation)",Lists!$C$72:$R$232,COLUMNS(Lists!$C$69:F$69),0)*VLOOKUP(BF$3,Conversions!$B$12:$E$34,4,0),$H192*VLOOKUP($F192,Lists!$C$72:$R$232,COLUMNS(Lists!$C$69:F$69),0)*VLOOKUP(BF$3,Conversions!$B$12:$E$34,4,0)))</f>
        <v>0</v>
      </c>
      <c r="AC192" s="334">
        <f>IF($F192="",0,IF($F192="Weighted Average",$H192*VLOOKUP($D192&amp;" (Operation)",Lists!$C$72:$R$232,COLUMNS(Lists!$C$69:G$69),0)*VLOOKUP(BG$3,Conversions!$B$12:$E$34,4,0),$H192*VLOOKUP($F192,Lists!$C$72:$R$232,COLUMNS(Lists!$C$69:G$69),0)*VLOOKUP(BG$3,Conversions!$B$12:$E$34,4,0)))</f>
        <v>0</v>
      </c>
      <c r="AD192" s="334">
        <f>IF($F192="",0,IF($F192="Weighted Average",$H192*VLOOKUP($D192&amp;" (Operation)",Lists!$C$72:$R$232,COLUMNS(Lists!$C$69:H$69),0)*VLOOKUP(BH$3,Conversions!$B$12:$E$34,4,0),$H192*VLOOKUP($F192,Lists!$C$72:$R$232,COLUMNS(Lists!$C$69:H$69),0)*VLOOKUP(BH$3,Conversions!$B$12:$E$34,4,0)))</f>
        <v>0</v>
      </c>
      <c r="AE192" s="334">
        <f>IF($F192="",0,IF($F192="Weighted Average",$H192*VLOOKUP($D192&amp;" (Operation)",Lists!$C$72:$R$232,COLUMNS(Lists!$C$69:I$69),0)*VLOOKUP(BI$3,Conversions!$B$12:$E$34,4,0),$H192*VLOOKUP($F192,Lists!$C$72:$R$232,COLUMNS(Lists!$C$69:I$69),0)*VLOOKUP(BI$3,Conversions!$B$12:$E$34,4,0)))</f>
        <v>0</v>
      </c>
      <c r="AF192" s="334">
        <f>IF($F192="",0,IF($F192="Weighted Average",$H192*VLOOKUP($D192&amp;" (Operation)",Lists!$C$72:$R$232,COLUMNS(Lists!$C$69:J$69),0)*VLOOKUP(BJ$3,Conversions!$B$12:$E$34,4,0),$H192*VLOOKUP($F192,Lists!$C$72:$R$232,COLUMNS(Lists!$C$69:J$69),0)*VLOOKUP(BJ$3,Conversions!$B$12:$E$34,4,0)))</f>
        <v>0</v>
      </c>
      <c r="AG192" s="334">
        <f>IF($F192="",0,IF($F192="Weighted Average",$H192*VLOOKUP($D192&amp;" (Operation)",Lists!$C$72:$R$232,COLUMNS(Lists!$C$69:K$69),0)*VLOOKUP(BK$3,Conversions!$B$12:$E$34,4,0),$H192*VLOOKUP($F192,Lists!$C$72:$R$232,COLUMNS(Lists!$C$69:K$69),0)*VLOOKUP(BK$3,Conversions!$B$12:$E$34,4,0)))</f>
        <v>0</v>
      </c>
      <c r="AH192" s="334">
        <f>IF($F192="",0,IF($F192="Weighted Average",$H192*VLOOKUP($D192&amp;" (Operation)",Lists!$C$72:$R$232,COLUMNS(Lists!$C$69:L$69),0)*VLOOKUP(BL$3,Conversions!$B$12:$E$34,4,0),$H192*VLOOKUP($F192,Lists!$C$72:$R$232,COLUMNS(Lists!$C$69:L$69),0)*VLOOKUP(BL$3,Conversions!$B$12:$E$34,4,0)))</f>
        <v>0</v>
      </c>
      <c r="AI192" s="334">
        <f>IF($F192="",0,IF($F192="Weighted Average",$H192*VLOOKUP($D192&amp;" (Operation)",Lists!$C$72:$R$232,COLUMNS(Lists!$C$69:M$69),0)*VLOOKUP(BM$3,Conversions!$B$12:$E$34,4,0),$H192*VLOOKUP($F192,Lists!$C$72:$R$232,COLUMNS(Lists!$C$69:M$69),0)*VLOOKUP(BM$3,Conversions!$B$12:$E$34,4,0)))</f>
        <v>0</v>
      </c>
      <c r="AJ192" s="334">
        <f>IF($F192="",0,IF($F192="Weighted Average",$H192*VLOOKUP($D192&amp;" (Operation)",Lists!$C$72:$R$232,COLUMNS(Lists!$C$69:N$69),0)*VLOOKUP(BN$3,Conversions!$B$12:$E$34,4,0),$H192*VLOOKUP($F192,Lists!$C$72:$R$232,COLUMNS(Lists!$C$69:N$69),0)*VLOOKUP(BN$3,Conversions!$B$12:$E$34,4,0)))</f>
        <v>0</v>
      </c>
      <c r="AK192" s="334">
        <f>IF($F192="",0,IF($F192="Weighted Average",$H192*VLOOKUP($D192&amp;" (Operation)",Lists!$C$72:$R$232,COLUMNS(Lists!$C$69:O$69),0)*VLOOKUP(BO$3,Conversions!$B$12:$E$34,4,0),$H192*VLOOKUP($F192,Lists!$C$72:$R$232,COLUMNS(Lists!$C$69:O$69),0)*VLOOKUP(BO$3,Conversions!$B$12:$E$34,4,0)))</f>
        <v>0</v>
      </c>
      <c r="AL192" s="334">
        <f>IF($F192="",0,IF($F192="Weighted Average",$H192*VLOOKUP($D192&amp;" (Operation)",Lists!$C$72:$R$232,COLUMNS(Lists!$C$69:P$69),0)*VLOOKUP(BP$3,Conversions!$B$12:$E$34,4,0),$H192*VLOOKUP($F192,Lists!$C$72:$R$232,COLUMNS(Lists!$C$69:P$69),0)*VLOOKUP(BP$3,Conversions!$B$12:$E$34,4,0)))</f>
        <v>0</v>
      </c>
      <c r="AM192" s="334">
        <f>IF($F192="",0,IF($F192="Weighted Average",$H192*VLOOKUP($D192&amp;" (Operation)",Lists!$C$72:$R$232,COLUMNS(Lists!$C$69:Q$69),0)*VLOOKUP(BQ$3,Conversions!$B$12:$E$34,4,0),$H192*VLOOKUP($F192,Lists!$C$72:$R$232,COLUMNS(Lists!$C$69:Q$69),0)*VLOOKUP(BQ$3,Conversions!$B$12:$E$34,4,0)))</f>
        <v>0</v>
      </c>
      <c r="AN192" s="334">
        <f>IF($F192="",0,IF($F192="Weighted Average",$H192*VLOOKUP($D192&amp;" (Operation)",Lists!$C$72:$R$232,COLUMNS(Lists!$C$69:R$69),0)*VLOOKUP(BR$3,Conversions!$B$12:$E$34,4,0),$H192*VLOOKUP($F192,Lists!$C$72:$R$232,COLUMNS(Lists!$C$69:R$69),0)*VLOOKUP(BR$3,Conversions!$B$12:$E$34,4,0)))</f>
        <v>0</v>
      </c>
      <c r="AO192" s="330">
        <f t="shared" si="235"/>
        <v>0</v>
      </c>
      <c r="AP192" s="333">
        <f>IF($F192="",0,IF($F192="Weighted Average",$I192*VLOOKUP($D192&amp;" (Disposal)",Lists!$C$72:$R$232,COLUMNS(Lists!$C$69:E$69),0)*VLOOKUP(BE$3,Conversions!$B$12:$E$34,4,0),$I192*VLOOKUP($F192,Lists!$C$72:$R$232,COLUMNS(Lists!$C$69:E$69),0)*VLOOKUP(BE$3,Conversions!$B$12:$E$34,4,0)))</f>
        <v>0</v>
      </c>
      <c r="AQ192" s="333">
        <f>IF($F192="",0,IF($F192="Weighted Average",$I192*VLOOKUP($D192&amp;" (Disposal)",Lists!$C$72:$R$232,COLUMNS(Lists!$C$69:F$69),0)*VLOOKUP(BF$3,Conversions!$B$12:$E$34,4,0),$I192*VLOOKUP($F192,Lists!$C$72:$R$232,COLUMNS(Lists!$C$69:F$69),0)*VLOOKUP(BF$3,Conversions!$B$12:$E$34,4,0)))</f>
        <v>0</v>
      </c>
      <c r="AR192" s="333">
        <f>IF($F192="",0,IF($F192="Weighted Average",$I192*VLOOKUP($D192&amp;" (Disposal)",Lists!$C$72:$R$232,COLUMNS(Lists!$C$69:G$69),0)*VLOOKUP(BG$3,Conversions!$B$12:$E$34,4,0),$I192*VLOOKUP($F192,Lists!$C$72:$R$232,COLUMNS(Lists!$C$69:G$69),0)*VLOOKUP(BG$3,Conversions!$B$12:$E$34,4,0)))</f>
        <v>0</v>
      </c>
      <c r="AS192" s="333">
        <f>IF($F192="",0,IF($F192="Weighted Average",$I192*VLOOKUP($D192&amp;" (Disposal)",Lists!$C$72:$R$232,COLUMNS(Lists!$C$69:H$69),0)*VLOOKUP(BH$3,Conversions!$B$12:$E$34,4,0),$I192*VLOOKUP($F192,Lists!$C$72:$R$232,COLUMNS(Lists!$C$69:H$69),0)*VLOOKUP(BH$3,Conversions!$B$12:$E$34,4,0)))</f>
        <v>0</v>
      </c>
      <c r="AT192" s="333">
        <f>IF($F192="",0,IF($F192="Weighted Average",$I192*VLOOKUP($D192&amp;" (Disposal)",Lists!$C$72:$R$232,COLUMNS(Lists!$C$69:I$69),0)*VLOOKUP(BI$3,Conversions!$B$12:$E$34,4,0),$I192*VLOOKUP($F192,Lists!$C$72:$R$232,COLUMNS(Lists!$C$69:I$69),0)*VLOOKUP(BI$3,Conversions!$B$12:$E$34,4,0)))</f>
        <v>0</v>
      </c>
      <c r="AU192" s="333">
        <f>IF($F192="",0,IF($F192="Weighted Average",$I192*VLOOKUP($D192&amp;" (Disposal)",Lists!$C$72:$R$232,COLUMNS(Lists!$C$69:J$69),0)*VLOOKUP(BJ$3,Conversions!$B$12:$E$34,4,0),$I192*VLOOKUP($F192,Lists!$C$72:$R$232,COLUMNS(Lists!$C$69:J$69),0)*VLOOKUP(BJ$3,Conversions!$B$12:$E$34,4,0)))</f>
        <v>0</v>
      </c>
      <c r="AV192" s="333">
        <f>IF($F192="",0,IF($F192="Weighted Average",$I192*VLOOKUP($D192&amp;" (Disposal)",Lists!$C$72:$R$232,COLUMNS(Lists!$C$69:K$69),0)*VLOOKUP(BK$3,Conversions!$B$12:$E$34,4,0),$I192*VLOOKUP($F192,Lists!$C$72:$R$232,COLUMNS(Lists!$C$69:K$69),0)*VLOOKUP(BK$3,Conversions!$B$12:$E$34,4,0)))</f>
        <v>0</v>
      </c>
      <c r="AW192" s="333">
        <f>IF($F192="",0,IF($F192="Weighted Average",$I192*VLOOKUP($D192&amp;" (Disposal)",Lists!$C$72:$R$232,COLUMNS(Lists!$C$69:L$69),0)*VLOOKUP(BL$3,Conversions!$B$12:$E$34,4,0),$I192*VLOOKUP($F192,Lists!$C$72:$R$232,COLUMNS(Lists!$C$69:L$69),0)*VLOOKUP(BL$3,Conversions!$B$12:$E$34,4,0)))</f>
        <v>0</v>
      </c>
      <c r="AX192" s="333">
        <f>IF($F192="",0,IF($F192="Weighted Average",$I192*VLOOKUP($D192&amp;" (Disposal)",Lists!$C$72:$R$232,COLUMNS(Lists!$C$69:M$69),0)*VLOOKUP(BM$3,Conversions!$B$12:$E$34,4,0),$I192*VLOOKUP($F192,Lists!$C$72:$R$232,COLUMNS(Lists!$C$69:M$69),0)*VLOOKUP(BM$3,Conversions!$B$12:$E$34,4,0)))</f>
        <v>0</v>
      </c>
      <c r="AY192" s="333">
        <f>IF($F192="",0,IF($F192="Weighted Average",$I192*VLOOKUP($D192&amp;" (Disposal)",Lists!$C$72:$R$232,COLUMNS(Lists!$C$69:N$69),0)*VLOOKUP(BN$3,Conversions!$B$12:$E$34,4,0),$I192*VLOOKUP($F192,Lists!$C$72:$R$232,COLUMNS(Lists!$C$69:N$69),0)*VLOOKUP(BN$3,Conversions!$B$12:$E$34,4,0)))</f>
        <v>0</v>
      </c>
      <c r="AZ192" s="333">
        <f>IF($F192="",0,IF($F192="Weighted Average",$I192*VLOOKUP($D192&amp;" (Disposal)",Lists!$C$72:$R$232,COLUMNS(Lists!$C$69:O$69),0)*VLOOKUP(BO$3,Conversions!$B$12:$E$34,4,0),$I192*VLOOKUP($F192,Lists!$C$72:$R$232,COLUMNS(Lists!$C$69:O$69),0)*VLOOKUP(BO$3,Conversions!$B$12:$E$34,4,0)))</f>
        <v>0</v>
      </c>
      <c r="BA192" s="333">
        <f>IF($F192="",0,IF($F192="Weighted Average",$I192*VLOOKUP($D192&amp;" (Disposal)",Lists!$C$72:$R$232,COLUMNS(Lists!$C$69:P$69),0)*VLOOKUP(BP$3,Conversions!$B$12:$E$34,4,0),$I192*VLOOKUP($F192,Lists!$C$72:$R$232,COLUMNS(Lists!$C$69:P$69),0)*VLOOKUP(BP$3,Conversions!$B$12:$E$34,4,0)))</f>
        <v>0</v>
      </c>
      <c r="BB192" s="333">
        <f>IF($F192="",0,IF($F192="Weighted Average",$I192*VLOOKUP($D192&amp;" (Disposal)",Lists!$C$72:$R$232,COLUMNS(Lists!$C$69:Q$69),0)*VLOOKUP(BQ$3,Conversions!$B$12:$E$34,4,0),$I192*VLOOKUP($F192,Lists!$C$72:$R$232,COLUMNS(Lists!$C$69:Q$69),0)*VLOOKUP(BQ$3,Conversions!$B$12:$E$34,4,0)))</f>
        <v>0</v>
      </c>
      <c r="BC192" s="333">
        <f>IF($F192="",0,IF($F192="Weighted Average",$I192*VLOOKUP($D192&amp;" (Disposal)",Lists!$C$72:$R$232,COLUMNS(Lists!$C$69:R$69),0)*VLOOKUP(BR$3,Conversions!$B$12:$E$34,4,0),$I192*VLOOKUP($F192,Lists!$C$72:$R$232,COLUMNS(Lists!$C$69:R$69),0)*VLOOKUP(BR$3,Conversions!$B$12:$E$34,4,0)))</f>
        <v>0</v>
      </c>
      <c r="BD192" s="333">
        <f t="shared" si="236"/>
        <v>0</v>
      </c>
      <c r="BE192" s="330">
        <f t="shared" si="237"/>
        <v>0</v>
      </c>
      <c r="BF192" s="330">
        <f t="shared" si="238"/>
        <v>0</v>
      </c>
      <c r="BG192" s="330">
        <f t="shared" si="239"/>
        <v>0</v>
      </c>
      <c r="BH192" s="330">
        <f t="shared" si="240"/>
        <v>0</v>
      </c>
      <c r="BI192" s="330">
        <f t="shared" si="241"/>
        <v>0</v>
      </c>
      <c r="BJ192" s="330">
        <f t="shared" si="242"/>
        <v>0</v>
      </c>
      <c r="BK192" s="330">
        <f t="shared" si="243"/>
        <v>0</v>
      </c>
      <c r="BL192" s="330">
        <f t="shared" si="244"/>
        <v>0</v>
      </c>
      <c r="BM192" s="330">
        <f t="shared" si="245"/>
        <v>0</v>
      </c>
      <c r="BN192" s="330">
        <f t="shared" si="246"/>
        <v>0</v>
      </c>
      <c r="BO192" s="330">
        <f t="shared" si="247"/>
        <v>0</v>
      </c>
      <c r="BP192" s="330">
        <f t="shared" si="248"/>
        <v>0</v>
      </c>
      <c r="BQ192" s="330">
        <f t="shared" si="249"/>
        <v>0</v>
      </c>
      <c r="BR192" s="330">
        <f t="shared" si="250"/>
        <v>0</v>
      </c>
      <c r="BS192" s="330">
        <f t="shared" si="251"/>
        <v>0</v>
      </c>
      <c r="BT192" s="329">
        <f>IF($F192="",0,IF($F192="Weighted Average",$BS192*VLOOKUP($D192,'Default Values'!$B$78:$V$97,COLUMNS('Default Values'!$B$77:G$77),0),0))</f>
        <v>0</v>
      </c>
      <c r="BU192" s="329">
        <f>IF($F192="",0,IF($F192="Weighted Average",$BS192*VLOOKUP($D192,'Default Values'!$B$78:$V$97,COLUMNS('Default Values'!$B$77:H$77),0),0))</f>
        <v>0</v>
      </c>
      <c r="BV192" s="329">
        <f>IF($F192="",0,IF($F192="Weighted Average",$BS192*VLOOKUP($D192,'Default Values'!$B$78:$V$97,COLUMNS('Default Values'!$B$77:I$77),0),0))</f>
        <v>0</v>
      </c>
      <c r="BW192" s="329">
        <f>IF($F192="",0,IF($F192="Weighted Average",$BS192*VLOOKUP($D192,'Default Values'!$B$78:$V$97,COLUMNS('Default Values'!$B$77:J$77),0),0))</f>
        <v>0</v>
      </c>
      <c r="BX192" s="329">
        <f>IF($F192="",0,IF($F192="Weighted Average",$BS192*VLOOKUP($D192,'Default Values'!$B$78:$V$97,COLUMNS('Default Values'!$B$77:K$77),0),0))</f>
        <v>0</v>
      </c>
      <c r="BY192" s="329">
        <f>IF($F192="",0,IF($F192="Weighted Average",$BS192*VLOOKUP($D192,'Default Values'!$B$78:$V$97,COLUMNS('Default Values'!$B$77:L$77),0),0))</f>
        <v>0</v>
      </c>
      <c r="BZ192" s="329">
        <f>IF($F192="",0,IF($F192="Weighted Average",$BS192*VLOOKUP($D192,'Default Values'!$B$78:$V$97,COLUMNS('Default Values'!$B$77:M$77),0),0))</f>
        <v>0</v>
      </c>
      <c r="CA192" s="329">
        <f>IF($F192="",0,IF($F192="Weighted Average",$BS192*VLOOKUP($D192,'Default Values'!$B$78:$V$97,COLUMNS('Default Values'!$B$77:N$77),0),0))</f>
        <v>0</v>
      </c>
      <c r="CB192" s="329">
        <f>IF($F192="",0,IF($F192="Weighted Average",$BS192*VLOOKUP($D192,'Default Values'!$B$78:$V$97,COLUMNS('Default Values'!$B$77:O$77),0),0))</f>
        <v>0</v>
      </c>
      <c r="CC192" s="329">
        <f>IF($F192="",0,IF($F192="Weighted Average",$BS192*VLOOKUP($D192,'Default Values'!$B$78:$V$97,COLUMNS('Default Values'!$B$77:P$77),0),0))</f>
        <v>0</v>
      </c>
      <c r="CD192" s="329">
        <f>IF($F192="",0,IF($F192="Weighted Average",$BS192*VLOOKUP($D192,'Default Values'!$B$78:$V$97,COLUMNS('Default Values'!$B$77:Q$77),0),0))</f>
        <v>0</v>
      </c>
      <c r="CE192" s="329">
        <f>IF($F192="",0,IF($F192="Weighted Average",$BS192*VLOOKUP($D192,'Default Values'!$B$78:$V$97,COLUMNS('Default Values'!$B$77:R$77),0),0))</f>
        <v>0</v>
      </c>
      <c r="CF192" s="329">
        <f>IF($F192="",0,IF($F192="Weighted Average",$BS192*VLOOKUP($D192,'Default Values'!$B$78:$V$97,COLUMNS('Default Values'!$B$77:S$77),0),0))</f>
        <v>0</v>
      </c>
      <c r="CG192" s="329">
        <f>IF($F192="",0,IF($F192="Weighted Average",$BS192*VLOOKUP($D192,'Default Values'!$B$78:$V$97,COLUMNS('Default Values'!$B$77:T$77),0),0))</f>
        <v>0</v>
      </c>
      <c r="CH192" s="329">
        <f>IF($F192="",0,IF($F192="Weighted Average",$BS192*VLOOKUP($D192,'Default Values'!$B$78:$V$97,COLUMNS('Default Values'!$B$77:U$77),0),0))</f>
        <v>0</v>
      </c>
      <c r="CI192" s="329">
        <f>IF($F192="",0,IF($F192="Weighted Average",$BS192*VLOOKUP($D192,'Default Values'!$B$78:$V$97,COLUMNS('Default Values'!$B$77:V$77),0),0))</f>
        <v>0</v>
      </c>
      <c r="CJ192" s="331">
        <f t="shared" si="252"/>
        <v>0</v>
      </c>
      <c r="CK192" s="330">
        <f t="shared" si="253"/>
        <v>0</v>
      </c>
      <c r="CL192" s="330">
        <f t="shared" si="254"/>
        <v>0</v>
      </c>
      <c r="CM192" s="330">
        <f t="shared" si="255"/>
        <v>0</v>
      </c>
      <c r="CN192" s="330">
        <f t="shared" si="256"/>
        <v>0</v>
      </c>
      <c r="CO192" s="330">
        <f t="shared" si="257"/>
        <v>0</v>
      </c>
      <c r="CP192" s="330">
        <f t="shared" si="258"/>
        <v>0</v>
      </c>
      <c r="CQ192" s="330">
        <f t="shared" si="186"/>
        <v>0</v>
      </c>
      <c r="CR192" s="330">
        <f t="shared" si="259"/>
        <v>0</v>
      </c>
      <c r="CS192" s="330">
        <f t="shared" si="260"/>
        <v>0</v>
      </c>
      <c r="CT192" s="330">
        <f t="shared" si="261"/>
        <v>0</v>
      </c>
      <c r="CU192" s="330">
        <f t="shared" si="265"/>
        <v>0</v>
      </c>
      <c r="CV192" s="330">
        <f t="shared" si="265"/>
        <v>0</v>
      </c>
      <c r="CW192" s="330">
        <f t="shared" si="265"/>
        <v>0</v>
      </c>
      <c r="CX192" s="330">
        <f t="shared" si="265"/>
        <v>0</v>
      </c>
      <c r="CY192" s="330">
        <f t="shared" si="265"/>
        <v>0</v>
      </c>
      <c r="CZ192" s="330">
        <f t="shared" si="265"/>
        <v>0</v>
      </c>
      <c r="DA192" s="330">
        <f t="shared" si="265"/>
        <v>0</v>
      </c>
      <c r="DB192" s="330">
        <f t="shared" si="265"/>
        <v>0</v>
      </c>
      <c r="DC192" s="330">
        <f t="shared" si="265"/>
        <v>0</v>
      </c>
      <c r="DD192" s="330">
        <f t="shared" si="265"/>
        <v>0</v>
      </c>
      <c r="DE192" s="330">
        <f t="shared" si="266"/>
        <v>0</v>
      </c>
      <c r="DF192" s="330">
        <f t="shared" si="266"/>
        <v>0</v>
      </c>
      <c r="DG192" s="330">
        <f t="shared" si="266"/>
        <v>0</v>
      </c>
      <c r="DH192" s="330">
        <f t="shared" si="266"/>
        <v>0</v>
      </c>
      <c r="DI192" s="330">
        <f t="shared" si="266"/>
        <v>0</v>
      </c>
      <c r="DJ192" s="330">
        <f t="shared" si="266"/>
        <v>0</v>
      </c>
      <c r="DK192" s="330">
        <f t="shared" si="266"/>
        <v>0</v>
      </c>
      <c r="DL192" s="330">
        <f t="shared" si="266"/>
        <v>0</v>
      </c>
      <c r="DM192" s="330">
        <f t="shared" si="266"/>
        <v>0</v>
      </c>
      <c r="DN192" s="330">
        <f t="shared" si="266"/>
        <v>0</v>
      </c>
      <c r="DO192" s="330">
        <f t="shared" si="266"/>
        <v>0</v>
      </c>
      <c r="DP192" s="330">
        <f t="shared" si="264"/>
        <v>0</v>
      </c>
      <c r="DQ192" s="217"/>
      <c r="DR192" s="217"/>
      <c r="DS192" s="217"/>
      <c r="DT192" s="217"/>
    </row>
    <row r="193" spans="1:124" x14ac:dyDescent="0.3">
      <c r="A193" s="324"/>
      <c r="B193" s="221" t="s">
        <v>307</v>
      </c>
      <c r="C193" s="221" t="str">
        <f>IF('Simplified Screening 2'!C44=0,"",'Simplified Screening 2'!C44)</f>
        <v/>
      </c>
      <c r="D193" s="221" t="str">
        <f>IF('Simplified Screening 2'!D44=0,"",'Simplified Screening 2'!D44)</f>
        <v/>
      </c>
      <c r="E193" s="221"/>
      <c r="F193" s="221" t="str">
        <f>'Simplified Screening 2'!J44</f>
        <v/>
      </c>
      <c r="G193" s="335" t="str">
        <f>IF(D193="","",'Simplified Screening 2'!G44/1000*VLOOKUP(D193,'Default Values'!$B$78:$F$97,COLUMNS('Default Values'!$B$77:$D$77),0)/1000)</f>
        <v/>
      </c>
      <c r="H193" s="335" t="str">
        <f>IF(D193="","",'Simplified Screening 2'!G44/1000*VLOOKUP(D193,'Default Values'!$B$78:$F$97,COLUMNS('Default Values'!$B$77:$E$77),0)/1000)</f>
        <v/>
      </c>
      <c r="I193" s="335" t="str">
        <f>IF(D193="","",'Simplified Screening 2'!G44/1000*VLOOKUP(D193,'Default Values'!$B$78:$F$97,COLUMNS('Default Values'!$B$77:$F$77),0)/1000)</f>
        <v/>
      </c>
      <c r="J193" s="325">
        <f>IF('Simplified Screening 2'!H44=0,0,'Simplified Screening 2'!H44)</f>
        <v>0</v>
      </c>
      <c r="K193" s="465"/>
      <c r="L193" s="333">
        <f>IF($F193="",0,IF($F193="Weighted Average",$G193*VLOOKUP($D193&amp;" (Install)",Lists!$C$72:$R$232,COLUMNS(Lists!$C$69:E$69),0)*VLOOKUP(BE$3,Conversions!$B$12:$E$34,4,0),$G193*VLOOKUP($F193,Lists!$C$72:$R$232,COLUMNS(Lists!$C$69:E$69),0)*VLOOKUP(BE$3,Conversions!$B$12:$E$34,4,0)))</f>
        <v>0</v>
      </c>
      <c r="M193" s="333">
        <f>IF($F193="",0,IF($F193="Weighted Average",$G193*VLOOKUP($D193&amp;" (Install)",Lists!$C$72:$R$232,COLUMNS(Lists!$C$69:F$69),0)*VLOOKUP(BF$3,Conversions!$B$12:$E$34,4,0),$G193*VLOOKUP($F193,Lists!$C$72:$R$232,COLUMNS(Lists!$C$69:F$69),0)*VLOOKUP(BF$3,Conversions!$B$12:$E$34,4,0)))</f>
        <v>0</v>
      </c>
      <c r="N193" s="333">
        <f>IF($F193="",0,IF($F193="Weighted Average",$G193*VLOOKUP($D193&amp;" (Install)",Lists!$C$72:$R$232,COLUMNS(Lists!$C$69:G$69),0)*VLOOKUP(BG$3,Conversions!$B$12:$E$34,4,0),$G193*VLOOKUP($F193,Lists!$C$72:$R$232,COLUMNS(Lists!$C$69:G$69),0)*VLOOKUP(BG$3,Conversions!$B$12:$E$34,4,0)))</f>
        <v>0</v>
      </c>
      <c r="O193" s="333">
        <f>IF($F193="",0,IF($F193="Weighted Average",$G193*VLOOKUP($D193&amp;" (Install)",Lists!$C$72:$R$232,COLUMNS(Lists!$C$69:H$69),0)*VLOOKUP(BH$3,Conversions!$B$12:$E$34,4,0),$G193*VLOOKUP($F193,Lists!$C$72:$R$232,COLUMNS(Lists!$C$69:H$69),0)*VLOOKUP(BH$3,Conversions!$B$12:$E$34,4,0)))</f>
        <v>0</v>
      </c>
      <c r="P193" s="333">
        <f>IF($F193="",0,IF($F193="Weighted Average",$G193*VLOOKUP($D193&amp;" (Install)",Lists!$C$72:$R$232,COLUMNS(Lists!$C$69:I$69),0)*VLOOKUP(BI$3,Conversions!$B$12:$E$34,4,0),$G193*VLOOKUP($F193,Lists!$C$72:$R$232,COLUMNS(Lists!$C$69:I$69),0)*VLOOKUP(BI$3,Conversions!$B$12:$E$34,4,0)))</f>
        <v>0</v>
      </c>
      <c r="Q193" s="333">
        <f>IF($F193="",0,IF($F193="Weighted Average",$G193*VLOOKUP($D193&amp;" (Install)",Lists!$C$72:$R$232,COLUMNS(Lists!$C$69:J$69),0)*VLOOKUP(BJ$3,Conversions!$B$12:$E$34,4,0),$G193*VLOOKUP($F193,Lists!$C$72:$R$232,COLUMNS(Lists!$C$69:J$69),0)*VLOOKUP(BJ$3,Conversions!$B$12:$E$34,4,0)))</f>
        <v>0</v>
      </c>
      <c r="R193" s="333">
        <f>IF($F193="",0,IF($F193="Weighted Average",$G193*VLOOKUP($D193&amp;" (Install)",Lists!$C$72:$R$232,COLUMNS(Lists!$C$69:K$69),0)*VLOOKUP(BK$3,Conversions!$B$12:$E$34,4,0),$G193*VLOOKUP($F193,Lists!$C$72:$R$232,COLUMNS(Lists!$C$69:K$69),0)*VLOOKUP(BK$3,Conversions!$B$12:$E$34,4,0)))</f>
        <v>0</v>
      </c>
      <c r="S193" s="333">
        <f>IF($F193="",0,IF($F193="Weighted Average",$G193*VLOOKUP($D193&amp;" (Install)",Lists!$C$72:$R$232,COLUMNS(Lists!$C$69:L$69),0)*VLOOKUP(BL$3,Conversions!$B$12:$E$34,4,0),$G193*VLOOKUP($F193,Lists!$C$72:$R$232,COLUMNS(Lists!$C$69:L$69),0)*VLOOKUP(BL$3,Conversions!$B$12:$E$34,4,0)))</f>
        <v>0</v>
      </c>
      <c r="T193" s="333">
        <f>IF($F193="",0,IF($F193="Weighted Average",$G193*VLOOKUP($D193&amp;" (Install)",Lists!$C$72:$R$232,COLUMNS(Lists!$C$69:M$69),0)*VLOOKUP(BM$3,Conversions!$B$12:$E$34,4,0),$G193*VLOOKUP($F193,Lists!$C$72:$R$232,COLUMNS(Lists!$C$69:M$69),0)*VLOOKUP(BM$3,Conversions!$B$12:$E$34,4,0)))</f>
        <v>0</v>
      </c>
      <c r="U193" s="333">
        <f>IF($F193="",0,IF($F193="Weighted Average",$G193*VLOOKUP($D193&amp;" (Install)",Lists!$C$72:$R$232,COLUMNS(Lists!$C$69:N$69),0)*VLOOKUP(BN$3,Conversions!$B$12:$E$34,4,0),$G193*VLOOKUP($F193,Lists!$C$72:$R$232,COLUMNS(Lists!$C$69:N$69),0)*VLOOKUP(BN$3,Conversions!$B$12:$E$34,4,0)))</f>
        <v>0</v>
      </c>
      <c r="V193" s="333">
        <f>IF($F193="",0,IF($F193="Weighted Average",$G193*VLOOKUP($D193&amp;" (Install)",Lists!$C$72:$R$232,COLUMNS(Lists!$C$69:O$69),0)*VLOOKUP(BO$3,Conversions!$B$12:$E$34,4,0),$G193*VLOOKUP($F193,Lists!$C$72:$R$232,COLUMNS(Lists!$C$69:O$69),0)*VLOOKUP(BO$3,Conversions!$B$12:$E$34,4,0)))</f>
        <v>0</v>
      </c>
      <c r="W193" s="333">
        <f>IF($F193="",0,IF($F193="Weighted Average",$G193*VLOOKUP($D193&amp;" (Install)",Lists!$C$72:$R$232,COLUMNS(Lists!$C$69:P$69),0)*VLOOKUP(BP$3,Conversions!$B$12:$E$34,4,0),$G193*VLOOKUP($F193,Lists!$C$72:$R$232,COLUMNS(Lists!$C$69:P$69),0)*VLOOKUP(BP$3,Conversions!$B$12:$E$34,4,0)))</f>
        <v>0</v>
      </c>
      <c r="X193" s="333">
        <f>IF($F193="",0,IF($F193="Weighted Average",$G193*VLOOKUP($D193&amp;" (Install)",Lists!$C$72:$R$232,COLUMNS(Lists!$C$69:Q$69),0)*VLOOKUP(BQ$3,Conversions!$B$12:$E$34,4,0),$G193*VLOOKUP($F193,Lists!$C$72:$R$232,COLUMNS(Lists!$C$69:Q$69),0)*VLOOKUP(BQ$3,Conversions!$B$12:$E$34,4,0)))</f>
        <v>0</v>
      </c>
      <c r="Y193" s="333">
        <f>IF($F193="",0,IF($F193="Weighted Average",$G193*VLOOKUP($D193&amp;" (Install)",Lists!$C$72:$R$232,COLUMNS(Lists!$C$69:R$69),0)*VLOOKUP(BR$3,Conversions!$B$12:$E$34,4,0),$G193*VLOOKUP($F193,Lists!$C$72:$R$232,COLUMNS(Lists!$C$69:R$69),0)*VLOOKUP(BR$3,Conversions!$B$12:$E$34,4,0)))</f>
        <v>0</v>
      </c>
      <c r="Z193" s="325">
        <f t="shared" si="234"/>
        <v>0</v>
      </c>
      <c r="AA193" s="334">
        <f>IF($F193="",0,IF($F193="Weighted Average",$H193*VLOOKUP($D193&amp;" (Operation)",Lists!$C$72:$R$232,COLUMNS(Lists!$C$69:E$69),0)*VLOOKUP(BE$3,Conversions!$B$12:$E$34,4,0),$H193*VLOOKUP($F193,Lists!$C$72:$R$232,COLUMNS(Lists!$C$69:E$69),0)*VLOOKUP(BE$3,Conversions!$B$12:$E$34,4,0)))</f>
        <v>0</v>
      </c>
      <c r="AB193" s="334">
        <f>IF($F193="",0,IF($F193="Weighted Average",$H193*VLOOKUP($D193&amp;" (Operation)",Lists!$C$72:$R$232,COLUMNS(Lists!$C$69:F$69),0)*VLOOKUP(BF$3,Conversions!$B$12:$E$34,4,0),$H193*VLOOKUP($F193,Lists!$C$72:$R$232,COLUMNS(Lists!$C$69:F$69),0)*VLOOKUP(BF$3,Conversions!$B$12:$E$34,4,0)))</f>
        <v>0</v>
      </c>
      <c r="AC193" s="334">
        <f>IF($F193="",0,IF($F193="Weighted Average",$H193*VLOOKUP($D193&amp;" (Operation)",Lists!$C$72:$R$232,COLUMNS(Lists!$C$69:G$69),0)*VLOOKUP(BG$3,Conversions!$B$12:$E$34,4,0),$H193*VLOOKUP($F193,Lists!$C$72:$R$232,COLUMNS(Lists!$C$69:G$69),0)*VLOOKUP(BG$3,Conversions!$B$12:$E$34,4,0)))</f>
        <v>0</v>
      </c>
      <c r="AD193" s="334">
        <f>IF($F193="",0,IF($F193="Weighted Average",$H193*VLOOKUP($D193&amp;" (Operation)",Lists!$C$72:$R$232,COLUMNS(Lists!$C$69:H$69),0)*VLOOKUP(BH$3,Conversions!$B$12:$E$34,4,0),$H193*VLOOKUP($F193,Lists!$C$72:$R$232,COLUMNS(Lists!$C$69:H$69),0)*VLOOKUP(BH$3,Conversions!$B$12:$E$34,4,0)))</f>
        <v>0</v>
      </c>
      <c r="AE193" s="334">
        <f>IF($F193="",0,IF($F193="Weighted Average",$H193*VLOOKUP($D193&amp;" (Operation)",Lists!$C$72:$R$232,COLUMNS(Lists!$C$69:I$69),0)*VLOOKUP(BI$3,Conversions!$B$12:$E$34,4,0),$H193*VLOOKUP($F193,Lists!$C$72:$R$232,COLUMNS(Lists!$C$69:I$69),0)*VLOOKUP(BI$3,Conversions!$B$12:$E$34,4,0)))</f>
        <v>0</v>
      </c>
      <c r="AF193" s="334">
        <f>IF($F193="",0,IF($F193="Weighted Average",$H193*VLOOKUP($D193&amp;" (Operation)",Lists!$C$72:$R$232,COLUMNS(Lists!$C$69:J$69),0)*VLOOKUP(BJ$3,Conversions!$B$12:$E$34,4,0),$H193*VLOOKUP($F193,Lists!$C$72:$R$232,COLUMNS(Lists!$C$69:J$69),0)*VLOOKUP(BJ$3,Conversions!$B$12:$E$34,4,0)))</f>
        <v>0</v>
      </c>
      <c r="AG193" s="334">
        <f>IF($F193="",0,IF($F193="Weighted Average",$H193*VLOOKUP($D193&amp;" (Operation)",Lists!$C$72:$R$232,COLUMNS(Lists!$C$69:K$69),0)*VLOOKUP(BK$3,Conversions!$B$12:$E$34,4,0),$H193*VLOOKUP($F193,Lists!$C$72:$R$232,COLUMNS(Lists!$C$69:K$69),0)*VLOOKUP(BK$3,Conversions!$B$12:$E$34,4,0)))</f>
        <v>0</v>
      </c>
      <c r="AH193" s="334">
        <f>IF($F193="",0,IF($F193="Weighted Average",$H193*VLOOKUP($D193&amp;" (Operation)",Lists!$C$72:$R$232,COLUMNS(Lists!$C$69:L$69),0)*VLOOKUP(BL$3,Conversions!$B$12:$E$34,4,0),$H193*VLOOKUP($F193,Lists!$C$72:$R$232,COLUMNS(Lists!$C$69:L$69),0)*VLOOKUP(BL$3,Conversions!$B$12:$E$34,4,0)))</f>
        <v>0</v>
      </c>
      <c r="AI193" s="334">
        <f>IF($F193="",0,IF($F193="Weighted Average",$H193*VLOOKUP($D193&amp;" (Operation)",Lists!$C$72:$R$232,COLUMNS(Lists!$C$69:M$69),0)*VLOOKUP(BM$3,Conversions!$B$12:$E$34,4,0),$H193*VLOOKUP($F193,Lists!$C$72:$R$232,COLUMNS(Lists!$C$69:M$69),0)*VLOOKUP(BM$3,Conversions!$B$12:$E$34,4,0)))</f>
        <v>0</v>
      </c>
      <c r="AJ193" s="334">
        <f>IF($F193="",0,IF($F193="Weighted Average",$H193*VLOOKUP($D193&amp;" (Operation)",Lists!$C$72:$R$232,COLUMNS(Lists!$C$69:N$69),0)*VLOOKUP(BN$3,Conversions!$B$12:$E$34,4,0),$H193*VLOOKUP($F193,Lists!$C$72:$R$232,COLUMNS(Lists!$C$69:N$69),0)*VLOOKUP(BN$3,Conversions!$B$12:$E$34,4,0)))</f>
        <v>0</v>
      </c>
      <c r="AK193" s="334">
        <f>IF($F193="",0,IF($F193="Weighted Average",$H193*VLOOKUP($D193&amp;" (Operation)",Lists!$C$72:$R$232,COLUMNS(Lists!$C$69:O$69),0)*VLOOKUP(BO$3,Conversions!$B$12:$E$34,4,0),$H193*VLOOKUP($F193,Lists!$C$72:$R$232,COLUMNS(Lists!$C$69:O$69),0)*VLOOKUP(BO$3,Conversions!$B$12:$E$34,4,0)))</f>
        <v>0</v>
      </c>
      <c r="AL193" s="334">
        <f>IF($F193="",0,IF($F193="Weighted Average",$H193*VLOOKUP($D193&amp;" (Operation)",Lists!$C$72:$R$232,COLUMNS(Lists!$C$69:P$69),0)*VLOOKUP(BP$3,Conversions!$B$12:$E$34,4,0),$H193*VLOOKUP($F193,Lists!$C$72:$R$232,COLUMNS(Lists!$C$69:P$69),0)*VLOOKUP(BP$3,Conversions!$B$12:$E$34,4,0)))</f>
        <v>0</v>
      </c>
      <c r="AM193" s="334">
        <f>IF($F193="",0,IF($F193="Weighted Average",$H193*VLOOKUP($D193&amp;" (Operation)",Lists!$C$72:$R$232,COLUMNS(Lists!$C$69:Q$69),0)*VLOOKUP(BQ$3,Conversions!$B$12:$E$34,4,0),$H193*VLOOKUP($F193,Lists!$C$72:$R$232,COLUMNS(Lists!$C$69:Q$69),0)*VLOOKUP(BQ$3,Conversions!$B$12:$E$34,4,0)))</f>
        <v>0</v>
      </c>
      <c r="AN193" s="334">
        <f>IF($F193="",0,IF($F193="Weighted Average",$H193*VLOOKUP($D193&amp;" (Operation)",Lists!$C$72:$R$232,COLUMNS(Lists!$C$69:R$69),0)*VLOOKUP(BR$3,Conversions!$B$12:$E$34,4,0),$H193*VLOOKUP($F193,Lists!$C$72:$R$232,COLUMNS(Lists!$C$69:R$69),0)*VLOOKUP(BR$3,Conversions!$B$12:$E$34,4,0)))</f>
        <v>0</v>
      </c>
      <c r="AO193" s="330">
        <f t="shared" si="235"/>
        <v>0</v>
      </c>
      <c r="AP193" s="333">
        <f>IF($F193="",0,IF($F193="Weighted Average",$I193*VLOOKUP($D193&amp;" (Disposal)",Lists!$C$72:$R$232,COLUMNS(Lists!$C$69:E$69),0)*VLOOKUP(BE$3,Conversions!$B$12:$E$34,4,0),$I193*VLOOKUP($F193,Lists!$C$72:$R$232,COLUMNS(Lists!$C$69:E$69),0)*VLOOKUP(BE$3,Conversions!$B$12:$E$34,4,0)))</f>
        <v>0</v>
      </c>
      <c r="AQ193" s="333">
        <f>IF($F193="",0,IF($F193="Weighted Average",$I193*VLOOKUP($D193&amp;" (Disposal)",Lists!$C$72:$R$232,COLUMNS(Lists!$C$69:F$69),0)*VLOOKUP(BF$3,Conversions!$B$12:$E$34,4,0),$I193*VLOOKUP($F193,Lists!$C$72:$R$232,COLUMNS(Lists!$C$69:F$69),0)*VLOOKUP(BF$3,Conversions!$B$12:$E$34,4,0)))</f>
        <v>0</v>
      </c>
      <c r="AR193" s="333">
        <f>IF($F193="",0,IF($F193="Weighted Average",$I193*VLOOKUP($D193&amp;" (Disposal)",Lists!$C$72:$R$232,COLUMNS(Lists!$C$69:G$69),0)*VLOOKUP(BG$3,Conversions!$B$12:$E$34,4,0),$I193*VLOOKUP($F193,Lists!$C$72:$R$232,COLUMNS(Lists!$C$69:G$69),0)*VLOOKUP(BG$3,Conversions!$B$12:$E$34,4,0)))</f>
        <v>0</v>
      </c>
      <c r="AS193" s="333">
        <f>IF($F193="",0,IF($F193="Weighted Average",$I193*VLOOKUP($D193&amp;" (Disposal)",Lists!$C$72:$R$232,COLUMNS(Lists!$C$69:H$69),0)*VLOOKUP(BH$3,Conversions!$B$12:$E$34,4,0),$I193*VLOOKUP($F193,Lists!$C$72:$R$232,COLUMNS(Lists!$C$69:H$69),0)*VLOOKUP(BH$3,Conversions!$B$12:$E$34,4,0)))</f>
        <v>0</v>
      </c>
      <c r="AT193" s="333">
        <f>IF($F193="",0,IF($F193="Weighted Average",$I193*VLOOKUP($D193&amp;" (Disposal)",Lists!$C$72:$R$232,COLUMNS(Lists!$C$69:I$69),0)*VLOOKUP(BI$3,Conversions!$B$12:$E$34,4,0),$I193*VLOOKUP($F193,Lists!$C$72:$R$232,COLUMNS(Lists!$C$69:I$69),0)*VLOOKUP(BI$3,Conversions!$B$12:$E$34,4,0)))</f>
        <v>0</v>
      </c>
      <c r="AU193" s="333">
        <f>IF($F193="",0,IF($F193="Weighted Average",$I193*VLOOKUP($D193&amp;" (Disposal)",Lists!$C$72:$R$232,COLUMNS(Lists!$C$69:J$69),0)*VLOOKUP(BJ$3,Conversions!$B$12:$E$34,4,0),$I193*VLOOKUP($F193,Lists!$C$72:$R$232,COLUMNS(Lists!$C$69:J$69),0)*VLOOKUP(BJ$3,Conversions!$B$12:$E$34,4,0)))</f>
        <v>0</v>
      </c>
      <c r="AV193" s="333">
        <f>IF($F193="",0,IF($F193="Weighted Average",$I193*VLOOKUP($D193&amp;" (Disposal)",Lists!$C$72:$R$232,COLUMNS(Lists!$C$69:K$69),0)*VLOOKUP(BK$3,Conversions!$B$12:$E$34,4,0),$I193*VLOOKUP($F193,Lists!$C$72:$R$232,COLUMNS(Lists!$C$69:K$69),0)*VLOOKUP(BK$3,Conversions!$B$12:$E$34,4,0)))</f>
        <v>0</v>
      </c>
      <c r="AW193" s="333">
        <f>IF($F193="",0,IF($F193="Weighted Average",$I193*VLOOKUP($D193&amp;" (Disposal)",Lists!$C$72:$R$232,COLUMNS(Lists!$C$69:L$69),0)*VLOOKUP(BL$3,Conversions!$B$12:$E$34,4,0),$I193*VLOOKUP($F193,Lists!$C$72:$R$232,COLUMNS(Lists!$C$69:L$69),0)*VLOOKUP(BL$3,Conversions!$B$12:$E$34,4,0)))</f>
        <v>0</v>
      </c>
      <c r="AX193" s="333">
        <f>IF($F193="",0,IF($F193="Weighted Average",$I193*VLOOKUP($D193&amp;" (Disposal)",Lists!$C$72:$R$232,COLUMNS(Lists!$C$69:M$69),0)*VLOOKUP(BM$3,Conversions!$B$12:$E$34,4,0),$I193*VLOOKUP($F193,Lists!$C$72:$R$232,COLUMNS(Lists!$C$69:M$69),0)*VLOOKUP(BM$3,Conversions!$B$12:$E$34,4,0)))</f>
        <v>0</v>
      </c>
      <c r="AY193" s="333">
        <f>IF($F193="",0,IF($F193="Weighted Average",$I193*VLOOKUP($D193&amp;" (Disposal)",Lists!$C$72:$R$232,COLUMNS(Lists!$C$69:N$69),0)*VLOOKUP(BN$3,Conversions!$B$12:$E$34,4,0),$I193*VLOOKUP($F193,Lists!$C$72:$R$232,COLUMNS(Lists!$C$69:N$69),0)*VLOOKUP(BN$3,Conversions!$B$12:$E$34,4,0)))</f>
        <v>0</v>
      </c>
      <c r="AZ193" s="333">
        <f>IF($F193="",0,IF($F193="Weighted Average",$I193*VLOOKUP($D193&amp;" (Disposal)",Lists!$C$72:$R$232,COLUMNS(Lists!$C$69:O$69),0)*VLOOKUP(BO$3,Conversions!$B$12:$E$34,4,0),$I193*VLOOKUP($F193,Lists!$C$72:$R$232,COLUMNS(Lists!$C$69:O$69),0)*VLOOKUP(BO$3,Conversions!$B$12:$E$34,4,0)))</f>
        <v>0</v>
      </c>
      <c r="BA193" s="333">
        <f>IF($F193="",0,IF($F193="Weighted Average",$I193*VLOOKUP($D193&amp;" (Disposal)",Lists!$C$72:$R$232,COLUMNS(Lists!$C$69:P$69),0)*VLOOKUP(BP$3,Conversions!$B$12:$E$34,4,0),$I193*VLOOKUP($F193,Lists!$C$72:$R$232,COLUMNS(Lists!$C$69:P$69),0)*VLOOKUP(BP$3,Conversions!$B$12:$E$34,4,0)))</f>
        <v>0</v>
      </c>
      <c r="BB193" s="333">
        <f>IF($F193="",0,IF($F193="Weighted Average",$I193*VLOOKUP($D193&amp;" (Disposal)",Lists!$C$72:$R$232,COLUMNS(Lists!$C$69:Q$69),0)*VLOOKUP(BQ$3,Conversions!$B$12:$E$34,4,0),$I193*VLOOKUP($F193,Lists!$C$72:$R$232,COLUMNS(Lists!$C$69:Q$69),0)*VLOOKUP(BQ$3,Conversions!$B$12:$E$34,4,0)))</f>
        <v>0</v>
      </c>
      <c r="BC193" s="333">
        <f>IF($F193="",0,IF($F193="Weighted Average",$I193*VLOOKUP($D193&amp;" (Disposal)",Lists!$C$72:$R$232,COLUMNS(Lists!$C$69:R$69),0)*VLOOKUP(BR$3,Conversions!$B$12:$E$34,4,0),$I193*VLOOKUP($F193,Lists!$C$72:$R$232,COLUMNS(Lists!$C$69:R$69),0)*VLOOKUP(BR$3,Conversions!$B$12:$E$34,4,0)))</f>
        <v>0</v>
      </c>
      <c r="BD193" s="333">
        <f t="shared" si="236"/>
        <v>0</v>
      </c>
      <c r="BE193" s="330">
        <f t="shared" si="237"/>
        <v>0</v>
      </c>
      <c r="BF193" s="330">
        <f t="shared" si="238"/>
        <v>0</v>
      </c>
      <c r="BG193" s="330">
        <f t="shared" si="239"/>
        <v>0</v>
      </c>
      <c r="BH193" s="330">
        <f t="shared" si="240"/>
        <v>0</v>
      </c>
      <c r="BI193" s="330">
        <f t="shared" si="241"/>
        <v>0</v>
      </c>
      <c r="BJ193" s="330">
        <f t="shared" si="242"/>
        <v>0</v>
      </c>
      <c r="BK193" s="330">
        <f t="shared" si="243"/>
        <v>0</v>
      </c>
      <c r="BL193" s="330">
        <f t="shared" si="244"/>
        <v>0</v>
      </c>
      <c r="BM193" s="330">
        <f t="shared" si="245"/>
        <v>0</v>
      </c>
      <c r="BN193" s="330">
        <f t="shared" si="246"/>
        <v>0</v>
      </c>
      <c r="BO193" s="330">
        <f t="shared" si="247"/>
        <v>0</v>
      </c>
      <c r="BP193" s="330">
        <f t="shared" si="248"/>
        <v>0</v>
      </c>
      <c r="BQ193" s="330">
        <f t="shared" si="249"/>
        <v>0</v>
      </c>
      <c r="BR193" s="330">
        <f t="shared" si="250"/>
        <v>0</v>
      </c>
      <c r="BS193" s="330">
        <f t="shared" si="251"/>
        <v>0</v>
      </c>
      <c r="BT193" s="329">
        <f>IF($F193="",0,IF($F193="Weighted Average",$BS193*VLOOKUP($D193,'Default Values'!$B$78:$V$97,COLUMNS('Default Values'!$B$77:G$77),0),0))</f>
        <v>0</v>
      </c>
      <c r="BU193" s="329">
        <f>IF($F193="",0,IF($F193="Weighted Average",$BS193*VLOOKUP($D193,'Default Values'!$B$78:$V$97,COLUMNS('Default Values'!$B$77:H$77),0),0))</f>
        <v>0</v>
      </c>
      <c r="BV193" s="329">
        <f>IF($F193="",0,IF($F193="Weighted Average",$BS193*VLOOKUP($D193,'Default Values'!$B$78:$V$97,COLUMNS('Default Values'!$B$77:I$77),0),0))</f>
        <v>0</v>
      </c>
      <c r="BW193" s="329">
        <f>IF($F193="",0,IF($F193="Weighted Average",$BS193*VLOOKUP($D193,'Default Values'!$B$78:$V$97,COLUMNS('Default Values'!$B$77:J$77),0),0))</f>
        <v>0</v>
      </c>
      <c r="BX193" s="329">
        <f>IF($F193="",0,IF($F193="Weighted Average",$BS193*VLOOKUP($D193,'Default Values'!$B$78:$V$97,COLUMNS('Default Values'!$B$77:K$77),0),0))</f>
        <v>0</v>
      </c>
      <c r="BY193" s="329">
        <f>IF($F193="",0,IF($F193="Weighted Average",$BS193*VLOOKUP($D193,'Default Values'!$B$78:$V$97,COLUMNS('Default Values'!$B$77:L$77),0),0))</f>
        <v>0</v>
      </c>
      <c r="BZ193" s="329">
        <f>IF($F193="",0,IF($F193="Weighted Average",$BS193*VLOOKUP($D193,'Default Values'!$B$78:$V$97,COLUMNS('Default Values'!$B$77:M$77),0),0))</f>
        <v>0</v>
      </c>
      <c r="CA193" s="329">
        <f>IF($F193="",0,IF($F193="Weighted Average",$BS193*VLOOKUP($D193,'Default Values'!$B$78:$V$97,COLUMNS('Default Values'!$B$77:N$77),0),0))</f>
        <v>0</v>
      </c>
      <c r="CB193" s="329">
        <f>IF($F193="",0,IF($F193="Weighted Average",$BS193*VLOOKUP($D193,'Default Values'!$B$78:$V$97,COLUMNS('Default Values'!$B$77:O$77),0),0))</f>
        <v>0</v>
      </c>
      <c r="CC193" s="329">
        <f>IF($F193="",0,IF($F193="Weighted Average",$BS193*VLOOKUP($D193,'Default Values'!$B$78:$V$97,COLUMNS('Default Values'!$B$77:P$77),0),0))</f>
        <v>0</v>
      </c>
      <c r="CD193" s="329">
        <f>IF($F193="",0,IF($F193="Weighted Average",$BS193*VLOOKUP($D193,'Default Values'!$B$78:$V$97,COLUMNS('Default Values'!$B$77:Q$77),0),0))</f>
        <v>0</v>
      </c>
      <c r="CE193" s="329">
        <f>IF($F193="",0,IF($F193="Weighted Average",$BS193*VLOOKUP($D193,'Default Values'!$B$78:$V$97,COLUMNS('Default Values'!$B$77:R$77),0),0))</f>
        <v>0</v>
      </c>
      <c r="CF193" s="329">
        <f>IF($F193="",0,IF($F193="Weighted Average",$BS193*VLOOKUP($D193,'Default Values'!$B$78:$V$97,COLUMNS('Default Values'!$B$77:S$77),0),0))</f>
        <v>0</v>
      </c>
      <c r="CG193" s="329">
        <f>IF($F193="",0,IF($F193="Weighted Average",$BS193*VLOOKUP($D193,'Default Values'!$B$78:$V$97,COLUMNS('Default Values'!$B$77:T$77),0),0))</f>
        <v>0</v>
      </c>
      <c r="CH193" s="329">
        <f>IF($F193="",0,IF($F193="Weighted Average",$BS193*VLOOKUP($D193,'Default Values'!$B$78:$V$97,COLUMNS('Default Values'!$B$77:U$77),0),0))</f>
        <v>0</v>
      </c>
      <c r="CI193" s="329">
        <f>IF($F193="",0,IF($F193="Weighted Average",$BS193*VLOOKUP($D193,'Default Values'!$B$78:$V$97,COLUMNS('Default Values'!$B$77:V$77),0),0))</f>
        <v>0</v>
      </c>
      <c r="CJ193" s="331">
        <f t="shared" si="252"/>
        <v>0</v>
      </c>
      <c r="CK193" s="330">
        <f t="shared" si="253"/>
        <v>0</v>
      </c>
      <c r="CL193" s="330">
        <f t="shared" si="254"/>
        <v>0</v>
      </c>
      <c r="CM193" s="330">
        <f t="shared" si="255"/>
        <v>0</v>
      </c>
      <c r="CN193" s="330">
        <f t="shared" si="256"/>
        <v>0</v>
      </c>
      <c r="CO193" s="330">
        <f t="shared" si="257"/>
        <v>0</v>
      </c>
      <c r="CP193" s="330">
        <f t="shared" si="258"/>
        <v>0</v>
      </c>
      <c r="CQ193" s="330">
        <f t="shared" si="186"/>
        <v>0</v>
      </c>
      <c r="CR193" s="330">
        <f t="shared" si="259"/>
        <v>0</v>
      </c>
      <c r="CS193" s="330">
        <f t="shared" si="260"/>
        <v>0</v>
      </c>
      <c r="CT193" s="330">
        <f t="shared" si="261"/>
        <v>0</v>
      </c>
      <c r="CU193" s="330">
        <f t="shared" si="265"/>
        <v>0</v>
      </c>
      <c r="CV193" s="330">
        <f t="shared" si="265"/>
        <v>0</v>
      </c>
      <c r="CW193" s="330">
        <f t="shared" si="265"/>
        <v>0</v>
      </c>
      <c r="CX193" s="330">
        <f t="shared" si="265"/>
        <v>0</v>
      </c>
      <c r="CY193" s="330">
        <f t="shared" si="265"/>
        <v>0</v>
      </c>
      <c r="CZ193" s="330">
        <f t="shared" si="265"/>
        <v>0</v>
      </c>
      <c r="DA193" s="330">
        <f t="shared" si="265"/>
        <v>0</v>
      </c>
      <c r="DB193" s="330">
        <f t="shared" si="265"/>
        <v>0</v>
      </c>
      <c r="DC193" s="330">
        <f t="shared" si="265"/>
        <v>0</v>
      </c>
      <c r="DD193" s="330">
        <f t="shared" si="265"/>
        <v>0</v>
      </c>
      <c r="DE193" s="330">
        <f t="shared" si="266"/>
        <v>0</v>
      </c>
      <c r="DF193" s="330">
        <f t="shared" si="266"/>
        <v>0</v>
      </c>
      <c r="DG193" s="330">
        <f t="shared" si="266"/>
        <v>0</v>
      </c>
      <c r="DH193" s="330">
        <f t="shared" si="266"/>
        <v>0</v>
      </c>
      <c r="DI193" s="330">
        <f t="shared" si="266"/>
        <v>0</v>
      </c>
      <c r="DJ193" s="330">
        <f t="shared" si="266"/>
        <v>0</v>
      </c>
      <c r="DK193" s="330">
        <f t="shared" si="266"/>
        <v>0</v>
      </c>
      <c r="DL193" s="330">
        <f t="shared" si="266"/>
        <v>0</v>
      </c>
      <c r="DM193" s="330">
        <f t="shared" si="266"/>
        <v>0</v>
      </c>
      <c r="DN193" s="330">
        <f t="shared" si="266"/>
        <v>0</v>
      </c>
      <c r="DO193" s="330">
        <f t="shared" si="266"/>
        <v>0</v>
      </c>
      <c r="DP193" s="330">
        <f t="shared" si="264"/>
        <v>0</v>
      </c>
      <c r="DQ193" s="217"/>
      <c r="DR193" s="217"/>
      <c r="DS193" s="217"/>
      <c r="DT193" s="217"/>
    </row>
    <row r="194" spans="1:124" x14ac:dyDescent="0.3">
      <c r="A194" s="324"/>
      <c r="B194" s="221" t="s">
        <v>307</v>
      </c>
      <c r="C194" s="221" t="str">
        <f>IF('Simplified Screening 2'!C45=0,"",'Simplified Screening 2'!C45)</f>
        <v/>
      </c>
      <c r="D194" s="221" t="str">
        <f>IF('Simplified Screening 2'!D45=0,"",'Simplified Screening 2'!D45)</f>
        <v/>
      </c>
      <c r="E194" s="221"/>
      <c r="F194" s="221" t="str">
        <f>'Simplified Screening 2'!J45</f>
        <v/>
      </c>
      <c r="G194" s="335" t="str">
        <f>IF(D194="","",'Simplified Screening 2'!G45/1000*VLOOKUP(D194,'Default Values'!$B$78:$F$97,COLUMNS('Default Values'!$B$77:$D$77),0)/1000)</f>
        <v/>
      </c>
      <c r="H194" s="335" t="str">
        <f>IF(D194="","",'Simplified Screening 2'!G45/1000*VLOOKUP(D194,'Default Values'!$B$78:$F$97,COLUMNS('Default Values'!$B$77:$E$77),0)/1000)</f>
        <v/>
      </c>
      <c r="I194" s="335" t="str">
        <f>IF(D194="","",'Simplified Screening 2'!G45/1000*VLOOKUP(D194,'Default Values'!$B$78:$F$97,COLUMNS('Default Values'!$B$77:$F$77),0)/1000)</f>
        <v/>
      </c>
      <c r="J194" s="325">
        <f>IF('Simplified Screening 2'!H45=0,0,'Simplified Screening 2'!H45)</f>
        <v>0</v>
      </c>
      <c r="K194" s="465"/>
      <c r="L194" s="333">
        <f>IF($F194="",0,IF($F194="Weighted Average",$G194*VLOOKUP($D194&amp;" (Install)",Lists!$C$72:$R$232,COLUMNS(Lists!$C$69:E$69),0)*VLOOKUP(BE$3,Conversions!$B$12:$E$34,4,0),$G194*VLOOKUP($F194,Lists!$C$72:$R$232,COLUMNS(Lists!$C$69:E$69),0)*VLOOKUP(BE$3,Conversions!$B$12:$E$34,4,0)))</f>
        <v>0</v>
      </c>
      <c r="M194" s="333">
        <f>IF($F194="",0,IF($F194="Weighted Average",$G194*VLOOKUP($D194&amp;" (Install)",Lists!$C$72:$R$232,COLUMNS(Lists!$C$69:F$69),0)*VLOOKUP(BF$3,Conversions!$B$12:$E$34,4,0),$G194*VLOOKUP($F194,Lists!$C$72:$R$232,COLUMNS(Lists!$C$69:F$69),0)*VLOOKUP(BF$3,Conversions!$B$12:$E$34,4,0)))</f>
        <v>0</v>
      </c>
      <c r="N194" s="333">
        <f>IF($F194="",0,IF($F194="Weighted Average",$G194*VLOOKUP($D194&amp;" (Install)",Lists!$C$72:$R$232,COLUMNS(Lists!$C$69:G$69),0)*VLOOKUP(BG$3,Conversions!$B$12:$E$34,4,0),$G194*VLOOKUP($F194,Lists!$C$72:$R$232,COLUMNS(Lists!$C$69:G$69),0)*VLOOKUP(BG$3,Conversions!$B$12:$E$34,4,0)))</f>
        <v>0</v>
      </c>
      <c r="O194" s="333">
        <f>IF($F194="",0,IF($F194="Weighted Average",$G194*VLOOKUP($D194&amp;" (Install)",Lists!$C$72:$R$232,COLUMNS(Lists!$C$69:H$69),0)*VLOOKUP(BH$3,Conversions!$B$12:$E$34,4,0),$G194*VLOOKUP($F194,Lists!$C$72:$R$232,COLUMNS(Lists!$C$69:H$69),0)*VLOOKUP(BH$3,Conversions!$B$12:$E$34,4,0)))</f>
        <v>0</v>
      </c>
      <c r="P194" s="333">
        <f>IF($F194="",0,IF($F194="Weighted Average",$G194*VLOOKUP($D194&amp;" (Install)",Lists!$C$72:$R$232,COLUMNS(Lists!$C$69:I$69),0)*VLOOKUP(BI$3,Conversions!$B$12:$E$34,4,0),$G194*VLOOKUP($F194,Lists!$C$72:$R$232,COLUMNS(Lists!$C$69:I$69),0)*VLOOKUP(BI$3,Conversions!$B$12:$E$34,4,0)))</f>
        <v>0</v>
      </c>
      <c r="Q194" s="333">
        <f>IF($F194="",0,IF($F194="Weighted Average",$G194*VLOOKUP($D194&amp;" (Install)",Lists!$C$72:$R$232,COLUMNS(Lists!$C$69:J$69),0)*VLOOKUP(BJ$3,Conversions!$B$12:$E$34,4,0),$G194*VLOOKUP($F194,Lists!$C$72:$R$232,COLUMNS(Lists!$C$69:J$69),0)*VLOOKUP(BJ$3,Conversions!$B$12:$E$34,4,0)))</f>
        <v>0</v>
      </c>
      <c r="R194" s="333">
        <f>IF($F194="",0,IF($F194="Weighted Average",$G194*VLOOKUP($D194&amp;" (Install)",Lists!$C$72:$R$232,COLUMNS(Lists!$C$69:K$69),0)*VLOOKUP(BK$3,Conversions!$B$12:$E$34,4,0),$G194*VLOOKUP($F194,Lists!$C$72:$R$232,COLUMNS(Lists!$C$69:K$69),0)*VLOOKUP(BK$3,Conversions!$B$12:$E$34,4,0)))</f>
        <v>0</v>
      </c>
      <c r="S194" s="333">
        <f>IF($F194="",0,IF($F194="Weighted Average",$G194*VLOOKUP($D194&amp;" (Install)",Lists!$C$72:$R$232,COLUMNS(Lists!$C$69:L$69),0)*VLOOKUP(BL$3,Conversions!$B$12:$E$34,4,0),$G194*VLOOKUP($F194,Lists!$C$72:$R$232,COLUMNS(Lists!$C$69:L$69),0)*VLOOKUP(BL$3,Conversions!$B$12:$E$34,4,0)))</f>
        <v>0</v>
      </c>
      <c r="T194" s="333">
        <f>IF($F194="",0,IF($F194="Weighted Average",$G194*VLOOKUP($D194&amp;" (Install)",Lists!$C$72:$R$232,COLUMNS(Lists!$C$69:M$69),0)*VLOOKUP(BM$3,Conversions!$B$12:$E$34,4,0),$G194*VLOOKUP($F194,Lists!$C$72:$R$232,COLUMNS(Lists!$C$69:M$69),0)*VLOOKUP(BM$3,Conversions!$B$12:$E$34,4,0)))</f>
        <v>0</v>
      </c>
      <c r="U194" s="333">
        <f>IF($F194="",0,IF($F194="Weighted Average",$G194*VLOOKUP($D194&amp;" (Install)",Lists!$C$72:$R$232,COLUMNS(Lists!$C$69:N$69),0)*VLOOKUP(BN$3,Conversions!$B$12:$E$34,4,0),$G194*VLOOKUP($F194,Lists!$C$72:$R$232,COLUMNS(Lists!$C$69:N$69),0)*VLOOKUP(BN$3,Conversions!$B$12:$E$34,4,0)))</f>
        <v>0</v>
      </c>
      <c r="V194" s="333">
        <f>IF($F194="",0,IF($F194="Weighted Average",$G194*VLOOKUP($D194&amp;" (Install)",Lists!$C$72:$R$232,COLUMNS(Lists!$C$69:O$69),0)*VLOOKUP(BO$3,Conversions!$B$12:$E$34,4,0),$G194*VLOOKUP($F194,Lists!$C$72:$R$232,COLUMNS(Lists!$C$69:O$69),0)*VLOOKUP(BO$3,Conversions!$B$12:$E$34,4,0)))</f>
        <v>0</v>
      </c>
      <c r="W194" s="333">
        <f>IF($F194="",0,IF($F194="Weighted Average",$G194*VLOOKUP($D194&amp;" (Install)",Lists!$C$72:$R$232,COLUMNS(Lists!$C$69:P$69),0)*VLOOKUP(BP$3,Conversions!$B$12:$E$34,4,0),$G194*VLOOKUP($F194,Lists!$C$72:$R$232,COLUMNS(Lists!$C$69:P$69),0)*VLOOKUP(BP$3,Conversions!$B$12:$E$34,4,0)))</f>
        <v>0</v>
      </c>
      <c r="X194" s="333">
        <f>IF($F194="",0,IF($F194="Weighted Average",$G194*VLOOKUP($D194&amp;" (Install)",Lists!$C$72:$R$232,COLUMNS(Lists!$C$69:Q$69),0)*VLOOKUP(BQ$3,Conversions!$B$12:$E$34,4,0),$G194*VLOOKUP($F194,Lists!$C$72:$R$232,COLUMNS(Lists!$C$69:Q$69),0)*VLOOKUP(BQ$3,Conversions!$B$12:$E$34,4,0)))</f>
        <v>0</v>
      </c>
      <c r="Y194" s="333">
        <f>IF($F194="",0,IF($F194="Weighted Average",$G194*VLOOKUP($D194&amp;" (Install)",Lists!$C$72:$R$232,COLUMNS(Lists!$C$69:R$69),0)*VLOOKUP(BR$3,Conversions!$B$12:$E$34,4,0),$G194*VLOOKUP($F194,Lists!$C$72:$R$232,COLUMNS(Lists!$C$69:R$69),0)*VLOOKUP(BR$3,Conversions!$B$12:$E$34,4,0)))</f>
        <v>0</v>
      </c>
      <c r="Z194" s="325">
        <f t="shared" si="230"/>
        <v>0</v>
      </c>
      <c r="AA194" s="334">
        <f>IF($F194="",0,IF($F194="Weighted Average",$H194*VLOOKUP($D194&amp;" (Operation)",Lists!$C$72:$R$232,COLUMNS(Lists!$C$69:E$69),0)*VLOOKUP(BE$3,Conversions!$B$12:$E$34,4,0),$H194*VLOOKUP($F194,Lists!$C$72:$R$232,COLUMNS(Lists!$C$69:E$69),0)*VLOOKUP(BE$3,Conversions!$B$12:$E$34,4,0)))</f>
        <v>0</v>
      </c>
      <c r="AB194" s="334">
        <f>IF($F194="",0,IF($F194="Weighted Average",$H194*VLOOKUP($D194&amp;" (Operation)",Lists!$C$72:$R$232,COLUMNS(Lists!$C$69:F$69),0)*VLOOKUP(BF$3,Conversions!$B$12:$E$34,4,0),$H194*VLOOKUP($F194,Lists!$C$72:$R$232,COLUMNS(Lists!$C$69:F$69),0)*VLOOKUP(BF$3,Conversions!$B$12:$E$34,4,0)))</f>
        <v>0</v>
      </c>
      <c r="AC194" s="334">
        <f>IF($F194="",0,IF($F194="Weighted Average",$H194*VLOOKUP($D194&amp;" (Operation)",Lists!$C$72:$R$232,COLUMNS(Lists!$C$69:G$69),0)*VLOOKUP(BG$3,Conversions!$B$12:$E$34,4,0),$H194*VLOOKUP($F194,Lists!$C$72:$R$232,COLUMNS(Lists!$C$69:G$69),0)*VLOOKUP(BG$3,Conversions!$B$12:$E$34,4,0)))</f>
        <v>0</v>
      </c>
      <c r="AD194" s="334">
        <f>IF($F194="",0,IF($F194="Weighted Average",$H194*VLOOKUP($D194&amp;" (Operation)",Lists!$C$72:$R$232,COLUMNS(Lists!$C$69:H$69),0)*VLOOKUP(BH$3,Conversions!$B$12:$E$34,4,0),$H194*VLOOKUP($F194,Lists!$C$72:$R$232,COLUMNS(Lists!$C$69:H$69),0)*VLOOKUP(BH$3,Conversions!$B$12:$E$34,4,0)))</f>
        <v>0</v>
      </c>
      <c r="AE194" s="334">
        <f>IF($F194="",0,IF($F194="Weighted Average",$H194*VLOOKUP($D194&amp;" (Operation)",Lists!$C$72:$R$232,COLUMNS(Lists!$C$69:I$69),0)*VLOOKUP(BI$3,Conversions!$B$12:$E$34,4,0),$H194*VLOOKUP($F194,Lists!$C$72:$R$232,COLUMNS(Lists!$C$69:I$69),0)*VLOOKUP(BI$3,Conversions!$B$12:$E$34,4,0)))</f>
        <v>0</v>
      </c>
      <c r="AF194" s="334">
        <f>IF($F194="",0,IF($F194="Weighted Average",$H194*VLOOKUP($D194&amp;" (Operation)",Lists!$C$72:$R$232,COLUMNS(Lists!$C$69:J$69),0)*VLOOKUP(BJ$3,Conversions!$B$12:$E$34,4,0),$H194*VLOOKUP($F194,Lists!$C$72:$R$232,COLUMNS(Lists!$C$69:J$69),0)*VLOOKUP(BJ$3,Conversions!$B$12:$E$34,4,0)))</f>
        <v>0</v>
      </c>
      <c r="AG194" s="334">
        <f>IF($F194="",0,IF($F194="Weighted Average",$H194*VLOOKUP($D194&amp;" (Operation)",Lists!$C$72:$R$232,COLUMNS(Lists!$C$69:K$69),0)*VLOOKUP(BK$3,Conversions!$B$12:$E$34,4,0),$H194*VLOOKUP($F194,Lists!$C$72:$R$232,COLUMNS(Lists!$C$69:K$69),0)*VLOOKUP(BK$3,Conversions!$B$12:$E$34,4,0)))</f>
        <v>0</v>
      </c>
      <c r="AH194" s="334">
        <f>IF($F194="",0,IF($F194="Weighted Average",$H194*VLOOKUP($D194&amp;" (Operation)",Lists!$C$72:$R$232,COLUMNS(Lists!$C$69:L$69),0)*VLOOKUP(BL$3,Conversions!$B$12:$E$34,4,0),$H194*VLOOKUP($F194,Lists!$C$72:$R$232,COLUMNS(Lists!$C$69:L$69),0)*VLOOKUP(BL$3,Conversions!$B$12:$E$34,4,0)))</f>
        <v>0</v>
      </c>
      <c r="AI194" s="334">
        <f>IF($F194="",0,IF($F194="Weighted Average",$H194*VLOOKUP($D194&amp;" (Operation)",Lists!$C$72:$R$232,COLUMNS(Lists!$C$69:M$69),0)*VLOOKUP(BM$3,Conversions!$B$12:$E$34,4,0),$H194*VLOOKUP($F194,Lists!$C$72:$R$232,COLUMNS(Lists!$C$69:M$69),0)*VLOOKUP(BM$3,Conversions!$B$12:$E$34,4,0)))</f>
        <v>0</v>
      </c>
      <c r="AJ194" s="334">
        <f>IF($F194="",0,IF($F194="Weighted Average",$H194*VLOOKUP($D194&amp;" (Operation)",Lists!$C$72:$R$232,COLUMNS(Lists!$C$69:N$69),0)*VLOOKUP(BN$3,Conversions!$B$12:$E$34,4,0),$H194*VLOOKUP($F194,Lists!$C$72:$R$232,COLUMNS(Lists!$C$69:N$69),0)*VLOOKUP(BN$3,Conversions!$B$12:$E$34,4,0)))</f>
        <v>0</v>
      </c>
      <c r="AK194" s="334">
        <f>IF($F194="",0,IF($F194="Weighted Average",$H194*VLOOKUP($D194&amp;" (Operation)",Lists!$C$72:$R$232,COLUMNS(Lists!$C$69:O$69),0)*VLOOKUP(BO$3,Conversions!$B$12:$E$34,4,0),$H194*VLOOKUP($F194,Lists!$C$72:$R$232,COLUMNS(Lists!$C$69:O$69),0)*VLOOKUP(BO$3,Conversions!$B$12:$E$34,4,0)))</f>
        <v>0</v>
      </c>
      <c r="AL194" s="334">
        <f>IF($F194="",0,IF($F194="Weighted Average",$H194*VLOOKUP($D194&amp;" (Operation)",Lists!$C$72:$R$232,COLUMNS(Lists!$C$69:P$69),0)*VLOOKUP(BP$3,Conversions!$B$12:$E$34,4,0),$H194*VLOOKUP($F194,Lists!$C$72:$R$232,COLUMNS(Lists!$C$69:P$69),0)*VLOOKUP(BP$3,Conversions!$B$12:$E$34,4,0)))</f>
        <v>0</v>
      </c>
      <c r="AM194" s="334">
        <f>IF($F194="",0,IF($F194="Weighted Average",$H194*VLOOKUP($D194&amp;" (Operation)",Lists!$C$72:$R$232,COLUMNS(Lists!$C$69:Q$69),0)*VLOOKUP(BQ$3,Conversions!$B$12:$E$34,4,0),$H194*VLOOKUP($F194,Lists!$C$72:$R$232,COLUMNS(Lists!$C$69:Q$69),0)*VLOOKUP(BQ$3,Conversions!$B$12:$E$34,4,0)))</f>
        <v>0</v>
      </c>
      <c r="AN194" s="334">
        <f>IF($F194="",0,IF($F194="Weighted Average",$H194*VLOOKUP($D194&amp;" (Operation)",Lists!$C$72:$R$232,COLUMNS(Lists!$C$69:R$69),0)*VLOOKUP(BR$3,Conversions!$B$12:$E$34,4,0),$H194*VLOOKUP($F194,Lists!$C$72:$R$232,COLUMNS(Lists!$C$69:R$69),0)*VLOOKUP(BR$3,Conversions!$B$12:$E$34,4,0)))</f>
        <v>0</v>
      </c>
      <c r="AO194" s="330">
        <f t="shared" si="231"/>
        <v>0</v>
      </c>
      <c r="AP194" s="333">
        <f>IF($F194="",0,IF($F194="Weighted Average",$I194*VLOOKUP($D194&amp;" (Disposal)",Lists!$C$72:$R$232,COLUMNS(Lists!$C$69:E$69),0)*VLOOKUP(BE$3,Conversions!$B$12:$E$34,4,0),$I194*VLOOKUP($F194,Lists!$C$72:$R$232,COLUMNS(Lists!$C$69:E$69),0)*VLOOKUP(BE$3,Conversions!$B$12:$E$34,4,0)))</f>
        <v>0</v>
      </c>
      <c r="AQ194" s="333">
        <f>IF($F194="",0,IF($F194="Weighted Average",$I194*VLOOKUP($D194&amp;" (Disposal)",Lists!$C$72:$R$232,COLUMNS(Lists!$C$69:F$69),0)*VLOOKUP(BF$3,Conversions!$B$12:$E$34,4,0),$I194*VLOOKUP($F194,Lists!$C$72:$R$232,COLUMNS(Lists!$C$69:F$69),0)*VLOOKUP(BF$3,Conversions!$B$12:$E$34,4,0)))</f>
        <v>0</v>
      </c>
      <c r="AR194" s="333">
        <f>IF($F194="",0,IF($F194="Weighted Average",$I194*VLOOKUP($D194&amp;" (Disposal)",Lists!$C$72:$R$232,COLUMNS(Lists!$C$69:G$69),0)*VLOOKUP(BG$3,Conversions!$B$12:$E$34,4,0),$I194*VLOOKUP($F194,Lists!$C$72:$R$232,COLUMNS(Lists!$C$69:G$69),0)*VLOOKUP(BG$3,Conversions!$B$12:$E$34,4,0)))</f>
        <v>0</v>
      </c>
      <c r="AS194" s="333">
        <f>IF($F194="",0,IF($F194="Weighted Average",$I194*VLOOKUP($D194&amp;" (Disposal)",Lists!$C$72:$R$232,COLUMNS(Lists!$C$69:H$69),0)*VLOOKUP(BH$3,Conversions!$B$12:$E$34,4,0),$I194*VLOOKUP($F194,Lists!$C$72:$R$232,COLUMNS(Lists!$C$69:H$69),0)*VLOOKUP(BH$3,Conversions!$B$12:$E$34,4,0)))</f>
        <v>0</v>
      </c>
      <c r="AT194" s="333">
        <f>IF($F194="",0,IF($F194="Weighted Average",$I194*VLOOKUP($D194&amp;" (Disposal)",Lists!$C$72:$R$232,COLUMNS(Lists!$C$69:I$69),0)*VLOOKUP(BI$3,Conversions!$B$12:$E$34,4,0),$I194*VLOOKUP($F194,Lists!$C$72:$R$232,COLUMNS(Lists!$C$69:I$69),0)*VLOOKUP(BI$3,Conversions!$B$12:$E$34,4,0)))</f>
        <v>0</v>
      </c>
      <c r="AU194" s="333">
        <f>IF($F194="",0,IF($F194="Weighted Average",$I194*VLOOKUP($D194&amp;" (Disposal)",Lists!$C$72:$R$232,COLUMNS(Lists!$C$69:J$69),0)*VLOOKUP(BJ$3,Conversions!$B$12:$E$34,4,0),$I194*VLOOKUP($F194,Lists!$C$72:$R$232,COLUMNS(Lists!$C$69:J$69),0)*VLOOKUP(BJ$3,Conversions!$B$12:$E$34,4,0)))</f>
        <v>0</v>
      </c>
      <c r="AV194" s="333">
        <f>IF($F194="",0,IF($F194="Weighted Average",$I194*VLOOKUP($D194&amp;" (Disposal)",Lists!$C$72:$R$232,COLUMNS(Lists!$C$69:K$69),0)*VLOOKUP(BK$3,Conversions!$B$12:$E$34,4,0),$I194*VLOOKUP($F194,Lists!$C$72:$R$232,COLUMNS(Lists!$C$69:K$69),0)*VLOOKUP(BK$3,Conversions!$B$12:$E$34,4,0)))</f>
        <v>0</v>
      </c>
      <c r="AW194" s="333">
        <f>IF($F194="",0,IF($F194="Weighted Average",$I194*VLOOKUP($D194&amp;" (Disposal)",Lists!$C$72:$R$232,COLUMNS(Lists!$C$69:L$69),0)*VLOOKUP(BL$3,Conversions!$B$12:$E$34,4,0),$I194*VLOOKUP($F194,Lists!$C$72:$R$232,COLUMNS(Lists!$C$69:L$69),0)*VLOOKUP(BL$3,Conversions!$B$12:$E$34,4,0)))</f>
        <v>0</v>
      </c>
      <c r="AX194" s="333">
        <f>IF($F194="",0,IF($F194="Weighted Average",$I194*VLOOKUP($D194&amp;" (Disposal)",Lists!$C$72:$R$232,COLUMNS(Lists!$C$69:M$69),0)*VLOOKUP(BM$3,Conversions!$B$12:$E$34,4,0),$I194*VLOOKUP($F194,Lists!$C$72:$R$232,COLUMNS(Lists!$C$69:M$69),0)*VLOOKUP(BM$3,Conversions!$B$12:$E$34,4,0)))</f>
        <v>0</v>
      </c>
      <c r="AY194" s="333">
        <f>IF($F194="",0,IF($F194="Weighted Average",$I194*VLOOKUP($D194&amp;" (Disposal)",Lists!$C$72:$R$232,COLUMNS(Lists!$C$69:N$69),0)*VLOOKUP(BN$3,Conversions!$B$12:$E$34,4,0),$I194*VLOOKUP($F194,Lists!$C$72:$R$232,COLUMNS(Lists!$C$69:N$69),0)*VLOOKUP(BN$3,Conversions!$B$12:$E$34,4,0)))</f>
        <v>0</v>
      </c>
      <c r="AZ194" s="333">
        <f>IF($F194="",0,IF($F194="Weighted Average",$I194*VLOOKUP($D194&amp;" (Disposal)",Lists!$C$72:$R$232,COLUMNS(Lists!$C$69:O$69),0)*VLOOKUP(BO$3,Conversions!$B$12:$E$34,4,0),$I194*VLOOKUP($F194,Lists!$C$72:$R$232,COLUMNS(Lists!$C$69:O$69),0)*VLOOKUP(BO$3,Conversions!$B$12:$E$34,4,0)))</f>
        <v>0</v>
      </c>
      <c r="BA194" s="333">
        <f>IF($F194="",0,IF($F194="Weighted Average",$I194*VLOOKUP($D194&amp;" (Disposal)",Lists!$C$72:$R$232,COLUMNS(Lists!$C$69:P$69),0)*VLOOKUP(BP$3,Conversions!$B$12:$E$34,4,0),$I194*VLOOKUP($F194,Lists!$C$72:$R$232,COLUMNS(Lists!$C$69:P$69),0)*VLOOKUP(BP$3,Conversions!$B$12:$E$34,4,0)))</f>
        <v>0</v>
      </c>
      <c r="BB194" s="333">
        <f>IF($F194="",0,IF($F194="Weighted Average",$I194*VLOOKUP($D194&amp;" (Disposal)",Lists!$C$72:$R$232,COLUMNS(Lists!$C$69:Q$69),0)*VLOOKUP(BQ$3,Conversions!$B$12:$E$34,4,0),$I194*VLOOKUP($F194,Lists!$C$72:$R$232,COLUMNS(Lists!$C$69:Q$69),0)*VLOOKUP(BQ$3,Conversions!$B$12:$E$34,4,0)))</f>
        <v>0</v>
      </c>
      <c r="BC194" s="333">
        <f>IF($F194="",0,IF($F194="Weighted Average",$I194*VLOOKUP($D194&amp;" (Disposal)",Lists!$C$72:$R$232,COLUMNS(Lists!$C$69:R$69),0)*VLOOKUP(BR$3,Conversions!$B$12:$E$34,4,0),$I194*VLOOKUP($F194,Lists!$C$72:$R$232,COLUMNS(Lists!$C$69:R$69),0)*VLOOKUP(BR$3,Conversions!$B$12:$E$34,4,0)))</f>
        <v>0</v>
      </c>
      <c r="BD194" s="333">
        <f t="shared" si="232"/>
        <v>0</v>
      </c>
      <c r="BE194" s="330">
        <f t="shared" si="233"/>
        <v>0</v>
      </c>
      <c r="BF194" s="330">
        <f t="shared" si="214"/>
        <v>0</v>
      </c>
      <c r="BG194" s="330">
        <f t="shared" si="215"/>
        <v>0</v>
      </c>
      <c r="BH194" s="330">
        <f t="shared" si="216"/>
        <v>0</v>
      </c>
      <c r="BI194" s="330">
        <f t="shared" si="217"/>
        <v>0</v>
      </c>
      <c r="BJ194" s="330">
        <f t="shared" si="218"/>
        <v>0</v>
      </c>
      <c r="BK194" s="330">
        <f t="shared" si="219"/>
        <v>0</v>
      </c>
      <c r="BL194" s="330">
        <f t="shared" si="220"/>
        <v>0</v>
      </c>
      <c r="BM194" s="330">
        <f t="shared" si="221"/>
        <v>0</v>
      </c>
      <c r="BN194" s="330">
        <f t="shared" si="222"/>
        <v>0</v>
      </c>
      <c r="BO194" s="330">
        <f t="shared" si="223"/>
        <v>0</v>
      </c>
      <c r="BP194" s="330">
        <f t="shared" si="224"/>
        <v>0</v>
      </c>
      <c r="BQ194" s="330">
        <f t="shared" si="225"/>
        <v>0</v>
      </c>
      <c r="BR194" s="330">
        <f t="shared" si="226"/>
        <v>0</v>
      </c>
      <c r="BS194" s="330">
        <f t="shared" si="227"/>
        <v>0</v>
      </c>
      <c r="BT194" s="329">
        <f>IF($F194="",0,IF($F194="Weighted Average",$BS194*VLOOKUP($D194,'Default Values'!$B$78:$V$97,COLUMNS('Default Values'!$B$77:G$77),0),0))</f>
        <v>0</v>
      </c>
      <c r="BU194" s="329">
        <f>IF($F194="",0,IF($F194="Weighted Average",$BS194*VLOOKUP($D194,'Default Values'!$B$78:$V$97,COLUMNS('Default Values'!$B$77:H$77),0),0))</f>
        <v>0</v>
      </c>
      <c r="BV194" s="329">
        <f>IF($F194="",0,IF($F194="Weighted Average",$BS194*VLOOKUP($D194,'Default Values'!$B$78:$V$97,COLUMNS('Default Values'!$B$77:I$77),0),0))</f>
        <v>0</v>
      </c>
      <c r="BW194" s="329">
        <f>IF($F194="",0,IF($F194="Weighted Average",$BS194*VLOOKUP($D194,'Default Values'!$B$78:$V$97,COLUMNS('Default Values'!$B$77:J$77),0),0))</f>
        <v>0</v>
      </c>
      <c r="BX194" s="329">
        <f>IF($F194="",0,IF($F194="Weighted Average",$BS194*VLOOKUP($D194,'Default Values'!$B$78:$V$97,COLUMNS('Default Values'!$B$77:K$77),0),0))</f>
        <v>0</v>
      </c>
      <c r="BY194" s="329">
        <f>IF($F194="",0,IF($F194="Weighted Average",$BS194*VLOOKUP($D194,'Default Values'!$B$78:$V$97,COLUMNS('Default Values'!$B$77:L$77),0),0))</f>
        <v>0</v>
      </c>
      <c r="BZ194" s="329">
        <f>IF($F194="",0,IF($F194="Weighted Average",$BS194*VLOOKUP($D194,'Default Values'!$B$78:$V$97,COLUMNS('Default Values'!$B$77:M$77),0),0))</f>
        <v>0</v>
      </c>
      <c r="CA194" s="329">
        <f>IF($F194="",0,IF($F194="Weighted Average",$BS194*VLOOKUP($D194,'Default Values'!$B$78:$V$97,COLUMNS('Default Values'!$B$77:N$77),0),0))</f>
        <v>0</v>
      </c>
      <c r="CB194" s="329">
        <f>IF($F194="",0,IF($F194="Weighted Average",$BS194*VLOOKUP($D194,'Default Values'!$B$78:$V$97,COLUMNS('Default Values'!$B$77:O$77),0),0))</f>
        <v>0</v>
      </c>
      <c r="CC194" s="329">
        <f>IF($F194="",0,IF($F194="Weighted Average",$BS194*VLOOKUP($D194,'Default Values'!$B$78:$V$97,COLUMNS('Default Values'!$B$77:P$77),0),0))</f>
        <v>0</v>
      </c>
      <c r="CD194" s="329">
        <f>IF($F194="",0,IF($F194="Weighted Average",$BS194*VLOOKUP($D194,'Default Values'!$B$78:$V$97,COLUMNS('Default Values'!$B$77:Q$77),0),0))</f>
        <v>0</v>
      </c>
      <c r="CE194" s="329">
        <f>IF($F194="",0,IF($F194="Weighted Average",$BS194*VLOOKUP($D194,'Default Values'!$B$78:$V$97,COLUMNS('Default Values'!$B$77:R$77),0),0))</f>
        <v>0</v>
      </c>
      <c r="CF194" s="329">
        <f>IF($F194="",0,IF($F194="Weighted Average",$BS194*VLOOKUP($D194,'Default Values'!$B$78:$V$97,COLUMNS('Default Values'!$B$77:S$77),0),0))</f>
        <v>0</v>
      </c>
      <c r="CG194" s="329">
        <f>IF($F194="",0,IF($F194="Weighted Average",$BS194*VLOOKUP($D194,'Default Values'!$B$78:$V$97,COLUMNS('Default Values'!$B$77:T$77),0),0))</f>
        <v>0</v>
      </c>
      <c r="CH194" s="329">
        <f>IF($F194="",0,IF($F194="Weighted Average",$BS194*VLOOKUP($D194,'Default Values'!$B$78:$V$97,COLUMNS('Default Values'!$B$77:U$77),0),0))</f>
        <v>0</v>
      </c>
      <c r="CI194" s="329">
        <f>IF($F194="",0,IF($F194="Weighted Average",$BS194*VLOOKUP($D194,'Default Values'!$B$78:$V$97,COLUMNS('Default Values'!$B$77:V$77),0),0))</f>
        <v>0</v>
      </c>
      <c r="CJ194" s="331">
        <f t="shared" ref="CJ194:CJ203" si="267">SUM(BT194:CI194)</f>
        <v>0</v>
      </c>
      <c r="CK194" s="330">
        <f t="shared" ref="CK194:CK203" si="268">BT194</f>
        <v>0</v>
      </c>
      <c r="CL194" s="330">
        <f t="shared" ref="CL194:CL203" si="269">BU194+BV194+BW194</f>
        <v>0</v>
      </c>
      <c r="CM194" s="330">
        <f t="shared" ref="CM194:CM203" si="270">BX194</f>
        <v>0</v>
      </c>
      <c r="CN194" s="330">
        <f t="shared" ref="CN194:CN203" si="271">BY194+BZ194</f>
        <v>0</v>
      </c>
      <c r="CO194" s="330">
        <f t="shared" ref="CO194:CO203" si="272">CA194</f>
        <v>0</v>
      </c>
      <c r="CP194" s="330">
        <f t="shared" ref="CP194:CP203" si="273">CB194</f>
        <v>0</v>
      </c>
      <c r="CQ194" s="330">
        <f t="shared" si="186"/>
        <v>0</v>
      </c>
      <c r="CR194" s="330">
        <f t="shared" ref="CR194:CR203" si="274">CE194+CF194</f>
        <v>0</v>
      </c>
      <c r="CS194" s="330">
        <f t="shared" ref="CS194:CS203" si="275">CG194+CH194+CI194</f>
        <v>0</v>
      </c>
      <c r="CT194" s="330">
        <f t="shared" ref="CT194:CT203" si="276">SUM(CK194:CS194)</f>
        <v>0</v>
      </c>
      <c r="CU194" s="330">
        <f t="shared" ref="CU194:DD203" si="277">IF($C194=CU$3,$BS194,0)</f>
        <v>0</v>
      </c>
      <c r="CV194" s="330">
        <f t="shared" si="277"/>
        <v>0</v>
      </c>
      <c r="CW194" s="330">
        <f t="shared" si="277"/>
        <v>0</v>
      </c>
      <c r="CX194" s="330">
        <f t="shared" si="277"/>
        <v>0</v>
      </c>
      <c r="CY194" s="330">
        <f t="shared" si="277"/>
        <v>0</v>
      </c>
      <c r="CZ194" s="330">
        <f t="shared" si="277"/>
        <v>0</v>
      </c>
      <c r="DA194" s="330">
        <f t="shared" si="277"/>
        <v>0</v>
      </c>
      <c r="DB194" s="330">
        <f t="shared" si="277"/>
        <v>0</v>
      </c>
      <c r="DC194" s="330">
        <f t="shared" si="277"/>
        <v>0</v>
      </c>
      <c r="DD194" s="330">
        <f t="shared" si="277"/>
        <v>0</v>
      </c>
      <c r="DE194" s="330">
        <f t="shared" ref="DE194:DO203" si="278">IF($C194=DE$3,$BS194,0)</f>
        <v>0</v>
      </c>
      <c r="DF194" s="330">
        <f t="shared" si="278"/>
        <v>0</v>
      </c>
      <c r="DG194" s="330">
        <f t="shared" si="278"/>
        <v>0</v>
      </c>
      <c r="DH194" s="330">
        <f t="shared" si="278"/>
        <v>0</v>
      </c>
      <c r="DI194" s="330">
        <f t="shared" si="278"/>
        <v>0</v>
      </c>
      <c r="DJ194" s="330">
        <f t="shared" si="278"/>
        <v>0</v>
      </c>
      <c r="DK194" s="330">
        <f t="shared" si="278"/>
        <v>0</v>
      </c>
      <c r="DL194" s="330">
        <f t="shared" si="278"/>
        <v>0</v>
      </c>
      <c r="DM194" s="330">
        <f t="shared" si="278"/>
        <v>0</v>
      </c>
      <c r="DN194" s="330">
        <f t="shared" si="278"/>
        <v>0</v>
      </c>
      <c r="DO194" s="330">
        <f t="shared" si="278"/>
        <v>0</v>
      </c>
      <c r="DP194" s="330">
        <f t="shared" si="213"/>
        <v>0</v>
      </c>
      <c r="DQ194" s="217"/>
      <c r="DR194" s="217"/>
      <c r="DS194" s="217"/>
      <c r="DT194" s="217"/>
    </row>
    <row r="195" spans="1:124" x14ac:dyDescent="0.3">
      <c r="A195" s="324"/>
      <c r="B195" s="221" t="s">
        <v>307</v>
      </c>
      <c r="C195" s="221" t="str">
        <f>IF('Simplified Screening 2'!C46=0,"",'Simplified Screening 2'!C46)</f>
        <v/>
      </c>
      <c r="D195" s="221" t="str">
        <f>IF('Simplified Screening 2'!D46=0,"",'Simplified Screening 2'!D46)</f>
        <v/>
      </c>
      <c r="E195" s="221"/>
      <c r="F195" s="221" t="str">
        <f>'Simplified Screening 2'!J46</f>
        <v/>
      </c>
      <c r="G195" s="335" t="str">
        <f>IF(D195="","",'Simplified Screening 2'!G46/1000*VLOOKUP(D195,'Default Values'!$B$78:$F$97,COLUMNS('Default Values'!$B$77:$D$77),0)/1000)</f>
        <v/>
      </c>
      <c r="H195" s="335" t="str">
        <f>IF(D195="","",'Simplified Screening 2'!G46/1000*VLOOKUP(D195,'Default Values'!$B$78:$F$97,COLUMNS('Default Values'!$B$77:$E$77),0)/1000)</f>
        <v/>
      </c>
      <c r="I195" s="335" t="str">
        <f>IF(D195="","",'Simplified Screening 2'!G46/1000*VLOOKUP(D195,'Default Values'!$B$78:$F$97,COLUMNS('Default Values'!$B$77:$F$77),0)/1000)</f>
        <v/>
      </c>
      <c r="J195" s="325">
        <f>IF('Simplified Screening 2'!H46=0,0,'Simplified Screening 2'!H46)</f>
        <v>0</v>
      </c>
      <c r="K195" s="465"/>
      <c r="L195" s="333">
        <f>IF($F195="",0,IF($F195="Weighted Average",$G195*VLOOKUP($D195&amp;" (Install)",Lists!$C$72:$R$232,COLUMNS(Lists!$C$69:E$69),0)*VLOOKUP(BE$3,Conversions!$B$12:$E$34,4,0),$G195*VLOOKUP($F195,Lists!$C$72:$R$232,COLUMNS(Lists!$C$69:E$69),0)*VLOOKUP(BE$3,Conversions!$B$12:$E$34,4,0)))</f>
        <v>0</v>
      </c>
      <c r="M195" s="333">
        <f>IF($F195="",0,IF($F195="Weighted Average",$G195*VLOOKUP($D195&amp;" (Install)",Lists!$C$72:$R$232,COLUMNS(Lists!$C$69:F$69),0)*VLOOKUP(BF$3,Conversions!$B$12:$E$34,4,0),$G195*VLOOKUP($F195,Lists!$C$72:$R$232,COLUMNS(Lists!$C$69:F$69),0)*VLOOKUP(BF$3,Conversions!$B$12:$E$34,4,0)))</f>
        <v>0</v>
      </c>
      <c r="N195" s="333">
        <f>IF($F195="",0,IF($F195="Weighted Average",$G195*VLOOKUP($D195&amp;" (Install)",Lists!$C$72:$R$232,COLUMNS(Lists!$C$69:G$69),0)*VLOOKUP(BG$3,Conversions!$B$12:$E$34,4,0),$G195*VLOOKUP($F195,Lists!$C$72:$R$232,COLUMNS(Lists!$C$69:G$69),0)*VLOOKUP(BG$3,Conversions!$B$12:$E$34,4,0)))</f>
        <v>0</v>
      </c>
      <c r="O195" s="333">
        <f>IF($F195="",0,IF($F195="Weighted Average",$G195*VLOOKUP($D195&amp;" (Install)",Lists!$C$72:$R$232,COLUMNS(Lists!$C$69:H$69),0)*VLOOKUP(BH$3,Conversions!$B$12:$E$34,4,0),$G195*VLOOKUP($F195,Lists!$C$72:$R$232,COLUMNS(Lists!$C$69:H$69),0)*VLOOKUP(BH$3,Conversions!$B$12:$E$34,4,0)))</f>
        <v>0</v>
      </c>
      <c r="P195" s="333">
        <f>IF($F195="",0,IF($F195="Weighted Average",$G195*VLOOKUP($D195&amp;" (Install)",Lists!$C$72:$R$232,COLUMNS(Lists!$C$69:I$69),0)*VLOOKUP(BI$3,Conversions!$B$12:$E$34,4,0),$G195*VLOOKUP($F195,Lists!$C$72:$R$232,COLUMNS(Lists!$C$69:I$69),0)*VLOOKUP(BI$3,Conversions!$B$12:$E$34,4,0)))</f>
        <v>0</v>
      </c>
      <c r="Q195" s="333">
        <f>IF($F195="",0,IF($F195="Weighted Average",$G195*VLOOKUP($D195&amp;" (Install)",Lists!$C$72:$R$232,COLUMNS(Lists!$C$69:J$69),0)*VLOOKUP(BJ$3,Conversions!$B$12:$E$34,4,0),$G195*VLOOKUP($F195,Lists!$C$72:$R$232,COLUMNS(Lists!$C$69:J$69),0)*VLOOKUP(BJ$3,Conversions!$B$12:$E$34,4,0)))</f>
        <v>0</v>
      </c>
      <c r="R195" s="333">
        <f>IF($F195="",0,IF($F195="Weighted Average",$G195*VLOOKUP($D195&amp;" (Install)",Lists!$C$72:$R$232,COLUMNS(Lists!$C$69:K$69),0)*VLOOKUP(BK$3,Conversions!$B$12:$E$34,4,0),$G195*VLOOKUP($F195,Lists!$C$72:$R$232,COLUMNS(Lists!$C$69:K$69),0)*VLOOKUP(BK$3,Conversions!$B$12:$E$34,4,0)))</f>
        <v>0</v>
      </c>
      <c r="S195" s="333">
        <f>IF($F195="",0,IF($F195="Weighted Average",$G195*VLOOKUP($D195&amp;" (Install)",Lists!$C$72:$R$232,COLUMNS(Lists!$C$69:L$69),0)*VLOOKUP(BL$3,Conversions!$B$12:$E$34,4,0),$G195*VLOOKUP($F195,Lists!$C$72:$R$232,COLUMNS(Lists!$C$69:L$69),0)*VLOOKUP(BL$3,Conversions!$B$12:$E$34,4,0)))</f>
        <v>0</v>
      </c>
      <c r="T195" s="333">
        <f>IF($F195="",0,IF($F195="Weighted Average",$G195*VLOOKUP($D195&amp;" (Install)",Lists!$C$72:$R$232,COLUMNS(Lists!$C$69:M$69),0)*VLOOKUP(BM$3,Conversions!$B$12:$E$34,4,0),$G195*VLOOKUP($F195,Lists!$C$72:$R$232,COLUMNS(Lists!$C$69:M$69),0)*VLOOKUP(BM$3,Conversions!$B$12:$E$34,4,0)))</f>
        <v>0</v>
      </c>
      <c r="U195" s="333">
        <f>IF($F195="",0,IF($F195="Weighted Average",$G195*VLOOKUP($D195&amp;" (Install)",Lists!$C$72:$R$232,COLUMNS(Lists!$C$69:N$69),0)*VLOOKUP(BN$3,Conversions!$B$12:$E$34,4,0),$G195*VLOOKUP($F195,Lists!$C$72:$R$232,COLUMNS(Lists!$C$69:N$69),0)*VLOOKUP(BN$3,Conversions!$B$12:$E$34,4,0)))</f>
        <v>0</v>
      </c>
      <c r="V195" s="333">
        <f>IF($F195="",0,IF($F195="Weighted Average",$G195*VLOOKUP($D195&amp;" (Install)",Lists!$C$72:$R$232,COLUMNS(Lists!$C$69:O$69),0)*VLOOKUP(BO$3,Conversions!$B$12:$E$34,4,0),$G195*VLOOKUP($F195,Lists!$C$72:$R$232,COLUMNS(Lists!$C$69:O$69),0)*VLOOKUP(BO$3,Conversions!$B$12:$E$34,4,0)))</f>
        <v>0</v>
      </c>
      <c r="W195" s="333">
        <f>IF($F195="",0,IF($F195="Weighted Average",$G195*VLOOKUP($D195&amp;" (Install)",Lists!$C$72:$R$232,COLUMNS(Lists!$C$69:P$69),0)*VLOOKUP(BP$3,Conversions!$B$12:$E$34,4,0),$G195*VLOOKUP($F195,Lists!$C$72:$R$232,COLUMNS(Lists!$C$69:P$69),0)*VLOOKUP(BP$3,Conversions!$B$12:$E$34,4,0)))</f>
        <v>0</v>
      </c>
      <c r="X195" s="333">
        <f>IF($F195="",0,IF($F195="Weighted Average",$G195*VLOOKUP($D195&amp;" (Install)",Lists!$C$72:$R$232,COLUMNS(Lists!$C$69:Q$69),0)*VLOOKUP(BQ$3,Conversions!$B$12:$E$34,4,0),$G195*VLOOKUP($F195,Lists!$C$72:$R$232,COLUMNS(Lists!$C$69:Q$69),0)*VLOOKUP(BQ$3,Conversions!$B$12:$E$34,4,0)))</f>
        <v>0</v>
      </c>
      <c r="Y195" s="333">
        <f>IF($F195="",0,IF($F195="Weighted Average",$G195*VLOOKUP($D195&amp;" (Install)",Lists!$C$72:$R$232,COLUMNS(Lists!$C$69:R$69),0)*VLOOKUP(BR$3,Conversions!$B$12:$E$34,4,0),$G195*VLOOKUP($F195,Lists!$C$72:$R$232,COLUMNS(Lists!$C$69:R$69),0)*VLOOKUP(BR$3,Conversions!$B$12:$E$34,4,0)))</f>
        <v>0</v>
      </c>
      <c r="Z195" s="325">
        <f t="shared" si="230"/>
        <v>0</v>
      </c>
      <c r="AA195" s="334">
        <f>IF($F195="",0,IF($F195="Weighted Average",$H195*VLOOKUP($D195&amp;" (Operation)",Lists!$C$72:$R$232,COLUMNS(Lists!$C$69:E$69),0)*VLOOKUP(BE$3,Conversions!$B$12:$E$34,4,0),$H195*VLOOKUP($F195,Lists!$C$72:$R$232,COLUMNS(Lists!$C$69:E$69),0)*VLOOKUP(BE$3,Conversions!$B$12:$E$34,4,0)))</f>
        <v>0</v>
      </c>
      <c r="AB195" s="334">
        <f>IF($F195="",0,IF($F195="Weighted Average",$H195*VLOOKUP($D195&amp;" (Operation)",Lists!$C$72:$R$232,COLUMNS(Lists!$C$69:F$69),0)*VLOOKUP(BF$3,Conversions!$B$12:$E$34,4,0),$H195*VLOOKUP($F195,Lists!$C$72:$R$232,COLUMNS(Lists!$C$69:F$69),0)*VLOOKUP(BF$3,Conversions!$B$12:$E$34,4,0)))</f>
        <v>0</v>
      </c>
      <c r="AC195" s="334">
        <f>IF($F195="",0,IF($F195="Weighted Average",$H195*VLOOKUP($D195&amp;" (Operation)",Lists!$C$72:$R$232,COLUMNS(Lists!$C$69:G$69),0)*VLOOKUP(BG$3,Conversions!$B$12:$E$34,4,0),$H195*VLOOKUP($F195,Lists!$C$72:$R$232,COLUMNS(Lists!$C$69:G$69),0)*VLOOKUP(BG$3,Conversions!$B$12:$E$34,4,0)))</f>
        <v>0</v>
      </c>
      <c r="AD195" s="334">
        <f>IF($F195="",0,IF($F195="Weighted Average",$H195*VLOOKUP($D195&amp;" (Operation)",Lists!$C$72:$R$232,COLUMNS(Lists!$C$69:H$69),0)*VLOOKUP(BH$3,Conversions!$B$12:$E$34,4,0),$H195*VLOOKUP($F195,Lists!$C$72:$R$232,COLUMNS(Lists!$C$69:H$69),0)*VLOOKUP(BH$3,Conversions!$B$12:$E$34,4,0)))</f>
        <v>0</v>
      </c>
      <c r="AE195" s="334">
        <f>IF($F195="",0,IF($F195="Weighted Average",$H195*VLOOKUP($D195&amp;" (Operation)",Lists!$C$72:$R$232,COLUMNS(Lists!$C$69:I$69),0)*VLOOKUP(BI$3,Conversions!$B$12:$E$34,4,0),$H195*VLOOKUP($F195,Lists!$C$72:$R$232,COLUMNS(Lists!$C$69:I$69),0)*VLOOKUP(BI$3,Conversions!$B$12:$E$34,4,0)))</f>
        <v>0</v>
      </c>
      <c r="AF195" s="334">
        <f>IF($F195="",0,IF($F195="Weighted Average",$H195*VLOOKUP($D195&amp;" (Operation)",Lists!$C$72:$R$232,COLUMNS(Lists!$C$69:J$69),0)*VLOOKUP(BJ$3,Conversions!$B$12:$E$34,4,0),$H195*VLOOKUP($F195,Lists!$C$72:$R$232,COLUMNS(Lists!$C$69:J$69),0)*VLOOKUP(BJ$3,Conversions!$B$12:$E$34,4,0)))</f>
        <v>0</v>
      </c>
      <c r="AG195" s="334">
        <f>IF($F195="",0,IF($F195="Weighted Average",$H195*VLOOKUP($D195&amp;" (Operation)",Lists!$C$72:$R$232,COLUMNS(Lists!$C$69:K$69),0)*VLOOKUP(BK$3,Conversions!$B$12:$E$34,4,0),$H195*VLOOKUP($F195,Lists!$C$72:$R$232,COLUMNS(Lists!$C$69:K$69),0)*VLOOKUP(BK$3,Conversions!$B$12:$E$34,4,0)))</f>
        <v>0</v>
      </c>
      <c r="AH195" s="334">
        <f>IF($F195="",0,IF($F195="Weighted Average",$H195*VLOOKUP($D195&amp;" (Operation)",Lists!$C$72:$R$232,COLUMNS(Lists!$C$69:L$69),0)*VLOOKUP(BL$3,Conversions!$B$12:$E$34,4,0),$H195*VLOOKUP($F195,Lists!$C$72:$R$232,COLUMNS(Lists!$C$69:L$69),0)*VLOOKUP(BL$3,Conversions!$B$12:$E$34,4,0)))</f>
        <v>0</v>
      </c>
      <c r="AI195" s="334">
        <f>IF($F195="",0,IF($F195="Weighted Average",$H195*VLOOKUP($D195&amp;" (Operation)",Lists!$C$72:$R$232,COLUMNS(Lists!$C$69:M$69),0)*VLOOKUP(BM$3,Conversions!$B$12:$E$34,4,0),$H195*VLOOKUP($F195,Lists!$C$72:$R$232,COLUMNS(Lists!$C$69:M$69),0)*VLOOKUP(BM$3,Conversions!$B$12:$E$34,4,0)))</f>
        <v>0</v>
      </c>
      <c r="AJ195" s="334">
        <f>IF($F195="",0,IF($F195="Weighted Average",$H195*VLOOKUP($D195&amp;" (Operation)",Lists!$C$72:$R$232,COLUMNS(Lists!$C$69:N$69),0)*VLOOKUP(BN$3,Conversions!$B$12:$E$34,4,0),$H195*VLOOKUP($F195,Lists!$C$72:$R$232,COLUMNS(Lists!$C$69:N$69),0)*VLOOKUP(BN$3,Conversions!$B$12:$E$34,4,0)))</f>
        <v>0</v>
      </c>
      <c r="AK195" s="334">
        <f>IF($F195="",0,IF($F195="Weighted Average",$H195*VLOOKUP($D195&amp;" (Operation)",Lists!$C$72:$R$232,COLUMNS(Lists!$C$69:O$69),0)*VLOOKUP(BO$3,Conversions!$B$12:$E$34,4,0),$H195*VLOOKUP($F195,Lists!$C$72:$R$232,COLUMNS(Lists!$C$69:O$69),0)*VLOOKUP(BO$3,Conversions!$B$12:$E$34,4,0)))</f>
        <v>0</v>
      </c>
      <c r="AL195" s="334">
        <f>IF($F195="",0,IF($F195="Weighted Average",$H195*VLOOKUP($D195&amp;" (Operation)",Lists!$C$72:$R$232,COLUMNS(Lists!$C$69:P$69),0)*VLOOKUP(BP$3,Conversions!$B$12:$E$34,4,0),$H195*VLOOKUP($F195,Lists!$C$72:$R$232,COLUMNS(Lists!$C$69:P$69),0)*VLOOKUP(BP$3,Conversions!$B$12:$E$34,4,0)))</f>
        <v>0</v>
      </c>
      <c r="AM195" s="334">
        <f>IF($F195="",0,IF($F195="Weighted Average",$H195*VLOOKUP($D195&amp;" (Operation)",Lists!$C$72:$R$232,COLUMNS(Lists!$C$69:Q$69),0)*VLOOKUP(BQ$3,Conversions!$B$12:$E$34,4,0),$H195*VLOOKUP($F195,Lists!$C$72:$R$232,COLUMNS(Lists!$C$69:Q$69),0)*VLOOKUP(BQ$3,Conversions!$B$12:$E$34,4,0)))</f>
        <v>0</v>
      </c>
      <c r="AN195" s="334">
        <f>IF($F195="",0,IF($F195="Weighted Average",$H195*VLOOKUP($D195&amp;" (Operation)",Lists!$C$72:$R$232,COLUMNS(Lists!$C$69:R$69),0)*VLOOKUP(BR$3,Conversions!$B$12:$E$34,4,0),$H195*VLOOKUP($F195,Lists!$C$72:$R$232,COLUMNS(Lists!$C$69:R$69),0)*VLOOKUP(BR$3,Conversions!$B$12:$E$34,4,0)))</f>
        <v>0</v>
      </c>
      <c r="AO195" s="330">
        <f t="shared" si="231"/>
        <v>0</v>
      </c>
      <c r="AP195" s="333">
        <f>IF($F195="",0,IF($F195="Weighted Average",$I195*VLOOKUP($D195&amp;" (Disposal)",Lists!$C$72:$R$232,COLUMNS(Lists!$C$69:E$69),0)*VLOOKUP(BE$3,Conversions!$B$12:$E$34,4,0),$I195*VLOOKUP($F195,Lists!$C$72:$R$232,COLUMNS(Lists!$C$69:E$69),0)*VLOOKUP(BE$3,Conversions!$B$12:$E$34,4,0)))</f>
        <v>0</v>
      </c>
      <c r="AQ195" s="333">
        <f>IF($F195="",0,IF($F195="Weighted Average",$I195*VLOOKUP($D195&amp;" (Disposal)",Lists!$C$72:$R$232,COLUMNS(Lists!$C$69:F$69),0)*VLOOKUP(BF$3,Conversions!$B$12:$E$34,4,0),$I195*VLOOKUP($F195,Lists!$C$72:$R$232,COLUMNS(Lists!$C$69:F$69),0)*VLOOKUP(BF$3,Conversions!$B$12:$E$34,4,0)))</f>
        <v>0</v>
      </c>
      <c r="AR195" s="333">
        <f>IF($F195="",0,IF($F195="Weighted Average",$I195*VLOOKUP($D195&amp;" (Disposal)",Lists!$C$72:$R$232,COLUMNS(Lists!$C$69:G$69),0)*VLOOKUP(BG$3,Conversions!$B$12:$E$34,4,0),$I195*VLOOKUP($F195,Lists!$C$72:$R$232,COLUMNS(Lists!$C$69:G$69),0)*VLOOKUP(BG$3,Conversions!$B$12:$E$34,4,0)))</f>
        <v>0</v>
      </c>
      <c r="AS195" s="333">
        <f>IF($F195="",0,IF($F195="Weighted Average",$I195*VLOOKUP($D195&amp;" (Disposal)",Lists!$C$72:$R$232,COLUMNS(Lists!$C$69:H$69),0)*VLOOKUP(BH$3,Conversions!$B$12:$E$34,4,0),$I195*VLOOKUP($F195,Lists!$C$72:$R$232,COLUMNS(Lists!$C$69:H$69),0)*VLOOKUP(BH$3,Conversions!$B$12:$E$34,4,0)))</f>
        <v>0</v>
      </c>
      <c r="AT195" s="333">
        <f>IF($F195="",0,IF($F195="Weighted Average",$I195*VLOOKUP($D195&amp;" (Disposal)",Lists!$C$72:$R$232,COLUMNS(Lists!$C$69:I$69),0)*VLOOKUP(BI$3,Conversions!$B$12:$E$34,4,0),$I195*VLOOKUP($F195,Lists!$C$72:$R$232,COLUMNS(Lists!$C$69:I$69),0)*VLOOKUP(BI$3,Conversions!$B$12:$E$34,4,0)))</f>
        <v>0</v>
      </c>
      <c r="AU195" s="333">
        <f>IF($F195="",0,IF($F195="Weighted Average",$I195*VLOOKUP($D195&amp;" (Disposal)",Lists!$C$72:$R$232,COLUMNS(Lists!$C$69:J$69),0)*VLOOKUP(BJ$3,Conversions!$B$12:$E$34,4,0),$I195*VLOOKUP($F195,Lists!$C$72:$R$232,COLUMNS(Lists!$C$69:J$69),0)*VLOOKUP(BJ$3,Conversions!$B$12:$E$34,4,0)))</f>
        <v>0</v>
      </c>
      <c r="AV195" s="333">
        <f>IF($F195="",0,IF($F195="Weighted Average",$I195*VLOOKUP($D195&amp;" (Disposal)",Lists!$C$72:$R$232,COLUMNS(Lists!$C$69:K$69),0)*VLOOKUP(BK$3,Conversions!$B$12:$E$34,4,0),$I195*VLOOKUP($F195,Lists!$C$72:$R$232,COLUMNS(Lists!$C$69:K$69),0)*VLOOKUP(BK$3,Conversions!$B$12:$E$34,4,0)))</f>
        <v>0</v>
      </c>
      <c r="AW195" s="333">
        <f>IF($F195="",0,IF($F195="Weighted Average",$I195*VLOOKUP($D195&amp;" (Disposal)",Lists!$C$72:$R$232,COLUMNS(Lists!$C$69:L$69),0)*VLOOKUP(BL$3,Conversions!$B$12:$E$34,4,0),$I195*VLOOKUP($F195,Lists!$C$72:$R$232,COLUMNS(Lists!$C$69:L$69),0)*VLOOKUP(BL$3,Conversions!$B$12:$E$34,4,0)))</f>
        <v>0</v>
      </c>
      <c r="AX195" s="333">
        <f>IF($F195="",0,IF($F195="Weighted Average",$I195*VLOOKUP($D195&amp;" (Disposal)",Lists!$C$72:$R$232,COLUMNS(Lists!$C$69:M$69),0)*VLOOKUP(BM$3,Conversions!$B$12:$E$34,4,0),$I195*VLOOKUP($F195,Lists!$C$72:$R$232,COLUMNS(Lists!$C$69:M$69),0)*VLOOKUP(BM$3,Conversions!$B$12:$E$34,4,0)))</f>
        <v>0</v>
      </c>
      <c r="AY195" s="333">
        <f>IF($F195="",0,IF($F195="Weighted Average",$I195*VLOOKUP($D195&amp;" (Disposal)",Lists!$C$72:$R$232,COLUMNS(Lists!$C$69:N$69),0)*VLOOKUP(BN$3,Conversions!$B$12:$E$34,4,0),$I195*VLOOKUP($F195,Lists!$C$72:$R$232,COLUMNS(Lists!$C$69:N$69),0)*VLOOKUP(BN$3,Conversions!$B$12:$E$34,4,0)))</f>
        <v>0</v>
      </c>
      <c r="AZ195" s="333">
        <f>IF($F195="",0,IF($F195="Weighted Average",$I195*VLOOKUP($D195&amp;" (Disposal)",Lists!$C$72:$R$232,COLUMNS(Lists!$C$69:O$69),0)*VLOOKUP(BO$3,Conversions!$B$12:$E$34,4,0),$I195*VLOOKUP($F195,Lists!$C$72:$R$232,COLUMNS(Lists!$C$69:O$69),0)*VLOOKUP(BO$3,Conversions!$B$12:$E$34,4,0)))</f>
        <v>0</v>
      </c>
      <c r="BA195" s="333">
        <f>IF($F195="",0,IF($F195="Weighted Average",$I195*VLOOKUP($D195&amp;" (Disposal)",Lists!$C$72:$R$232,COLUMNS(Lists!$C$69:P$69),0)*VLOOKUP(BP$3,Conversions!$B$12:$E$34,4,0),$I195*VLOOKUP($F195,Lists!$C$72:$R$232,COLUMNS(Lists!$C$69:P$69),0)*VLOOKUP(BP$3,Conversions!$B$12:$E$34,4,0)))</f>
        <v>0</v>
      </c>
      <c r="BB195" s="333">
        <f>IF($F195="",0,IF($F195="Weighted Average",$I195*VLOOKUP($D195&amp;" (Disposal)",Lists!$C$72:$R$232,COLUMNS(Lists!$C$69:Q$69),0)*VLOOKUP(BQ$3,Conversions!$B$12:$E$34,4,0),$I195*VLOOKUP($F195,Lists!$C$72:$R$232,COLUMNS(Lists!$C$69:Q$69),0)*VLOOKUP(BQ$3,Conversions!$B$12:$E$34,4,0)))</f>
        <v>0</v>
      </c>
      <c r="BC195" s="333">
        <f>IF($F195="",0,IF($F195="Weighted Average",$I195*VLOOKUP($D195&amp;" (Disposal)",Lists!$C$72:$R$232,COLUMNS(Lists!$C$69:R$69),0)*VLOOKUP(BR$3,Conversions!$B$12:$E$34,4,0),$I195*VLOOKUP($F195,Lists!$C$72:$R$232,COLUMNS(Lists!$C$69:R$69),0)*VLOOKUP(BR$3,Conversions!$B$12:$E$34,4,0)))</f>
        <v>0</v>
      </c>
      <c r="BD195" s="333">
        <f t="shared" si="232"/>
        <v>0</v>
      </c>
      <c r="BE195" s="330">
        <f t="shared" si="233"/>
        <v>0</v>
      </c>
      <c r="BF195" s="330">
        <f t="shared" si="214"/>
        <v>0</v>
      </c>
      <c r="BG195" s="330">
        <f t="shared" si="215"/>
        <v>0</v>
      </c>
      <c r="BH195" s="330">
        <f t="shared" si="216"/>
        <v>0</v>
      </c>
      <c r="BI195" s="330">
        <f t="shared" si="217"/>
        <v>0</v>
      </c>
      <c r="BJ195" s="330">
        <f t="shared" si="218"/>
        <v>0</v>
      </c>
      <c r="BK195" s="330">
        <f t="shared" si="219"/>
        <v>0</v>
      </c>
      <c r="BL195" s="330">
        <f t="shared" si="220"/>
        <v>0</v>
      </c>
      <c r="BM195" s="330">
        <f t="shared" si="221"/>
        <v>0</v>
      </c>
      <c r="BN195" s="330">
        <f t="shared" si="222"/>
        <v>0</v>
      </c>
      <c r="BO195" s="330">
        <f t="shared" si="223"/>
        <v>0</v>
      </c>
      <c r="BP195" s="330">
        <f t="shared" si="224"/>
        <v>0</v>
      </c>
      <c r="BQ195" s="330">
        <f t="shared" si="225"/>
        <v>0</v>
      </c>
      <c r="BR195" s="330">
        <f t="shared" si="226"/>
        <v>0</v>
      </c>
      <c r="BS195" s="330">
        <f t="shared" si="227"/>
        <v>0</v>
      </c>
      <c r="BT195" s="329">
        <f>IF($F195="",0,IF($F195="Weighted Average",$BS195*VLOOKUP($D195,'Default Values'!$B$78:$V$97,COLUMNS('Default Values'!$B$77:G$77),0),0))</f>
        <v>0</v>
      </c>
      <c r="BU195" s="329">
        <f>IF($F195="",0,IF($F195="Weighted Average",$BS195*VLOOKUP($D195,'Default Values'!$B$78:$V$97,COLUMNS('Default Values'!$B$77:H$77),0),0))</f>
        <v>0</v>
      </c>
      <c r="BV195" s="329">
        <f>IF($F195="",0,IF($F195="Weighted Average",$BS195*VLOOKUP($D195,'Default Values'!$B$78:$V$97,COLUMNS('Default Values'!$B$77:I$77),0),0))</f>
        <v>0</v>
      </c>
      <c r="BW195" s="329">
        <f>IF($F195="",0,IF($F195="Weighted Average",$BS195*VLOOKUP($D195,'Default Values'!$B$78:$V$97,COLUMNS('Default Values'!$B$77:J$77),0),0))</f>
        <v>0</v>
      </c>
      <c r="BX195" s="329">
        <f>IF($F195="",0,IF($F195="Weighted Average",$BS195*VLOOKUP($D195,'Default Values'!$B$78:$V$97,COLUMNS('Default Values'!$B$77:K$77),0),0))</f>
        <v>0</v>
      </c>
      <c r="BY195" s="329">
        <f>IF($F195="",0,IF($F195="Weighted Average",$BS195*VLOOKUP($D195,'Default Values'!$B$78:$V$97,COLUMNS('Default Values'!$B$77:L$77),0),0))</f>
        <v>0</v>
      </c>
      <c r="BZ195" s="329">
        <f>IF($F195="",0,IF($F195="Weighted Average",$BS195*VLOOKUP($D195,'Default Values'!$B$78:$V$97,COLUMNS('Default Values'!$B$77:M$77),0),0))</f>
        <v>0</v>
      </c>
      <c r="CA195" s="329">
        <f>IF($F195="",0,IF($F195="Weighted Average",$BS195*VLOOKUP($D195,'Default Values'!$B$78:$V$97,COLUMNS('Default Values'!$B$77:N$77),0),0))</f>
        <v>0</v>
      </c>
      <c r="CB195" s="329">
        <f>IF($F195="",0,IF($F195="Weighted Average",$BS195*VLOOKUP($D195,'Default Values'!$B$78:$V$97,COLUMNS('Default Values'!$B$77:O$77),0),0))</f>
        <v>0</v>
      </c>
      <c r="CC195" s="329">
        <f>IF($F195="",0,IF($F195="Weighted Average",$BS195*VLOOKUP($D195,'Default Values'!$B$78:$V$97,COLUMNS('Default Values'!$B$77:P$77),0),0))</f>
        <v>0</v>
      </c>
      <c r="CD195" s="329">
        <f>IF($F195="",0,IF($F195="Weighted Average",$BS195*VLOOKUP($D195,'Default Values'!$B$78:$V$97,COLUMNS('Default Values'!$B$77:Q$77),0),0))</f>
        <v>0</v>
      </c>
      <c r="CE195" s="329">
        <f>IF($F195="",0,IF($F195="Weighted Average",$BS195*VLOOKUP($D195,'Default Values'!$B$78:$V$97,COLUMNS('Default Values'!$B$77:R$77),0),0))</f>
        <v>0</v>
      </c>
      <c r="CF195" s="329">
        <f>IF($F195="",0,IF($F195="Weighted Average",$BS195*VLOOKUP($D195,'Default Values'!$B$78:$V$97,COLUMNS('Default Values'!$B$77:S$77),0),0))</f>
        <v>0</v>
      </c>
      <c r="CG195" s="329">
        <f>IF($F195="",0,IF($F195="Weighted Average",$BS195*VLOOKUP($D195,'Default Values'!$B$78:$V$97,COLUMNS('Default Values'!$B$77:T$77),0),0))</f>
        <v>0</v>
      </c>
      <c r="CH195" s="329">
        <f>IF($F195="",0,IF($F195="Weighted Average",$BS195*VLOOKUP($D195,'Default Values'!$B$78:$V$97,COLUMNS('Default Values'!$B$77:U$77),0),0))</f>
        <v>0</v>
      </c>
      <c r="CI195" s="329">
        <f>IF($F195="",0,IF($F195="Weighted Average",$BS195*VLOOKUP($D195,'Default Values'!$B$78:$V$97,COLUMNS('Default Values'!$B$77:V$77),0),0))</f>
        <v>0</v>
      </c>
      <c r="CJ195" s="331">
        <f t="shared" si="267"/>
        <v>0</v>
      </c>
      <c r="CK195" s="330">
        <f t="shared" si="268"/>
        <v>0</v>
      </c>
      <c r="CL195" s="330">
        <f t="shared" si="269"/>
        <v>0</v>
      </c>
      <c r="CM195" s="330">
        <f t="shared" si="270"/>
        <v>0</v>
      </c>
      <c r="CN195" s="330">
        <f t="shared" si="271"/>
        <v>0</v>
      </c>
      <c r="CO195" s="330">
        <f t="shared" si="272"/>
        <v>0</v>
      </c>
      <c r="CP195" s="330">
        <f t="shared" si="273"/>
        <v>0</v>
      </c>
      <c r="CQ195" s="330">
        <f t="shared" si="186"/>
        <v>0</v>
      </c>
      <c r="CR195" s="330">
        <f t="shared" si="274"/>
        <v>0</v>
      </c>
      <c r="CS195" s="330">
        <f t="shared" si="275"/>
        <v>0</v>
      </c>
      <c r="CT195" s="330">
        <f t="shared" si="276"/>
        <v>0</v>
      </c>
      <c r="CU195" s="330">
        <f t="shared" si="277"/>
        <v>0</v>
      </c>
      <c r="CV195" s="330">
        <f t="shared" si="277"/>
        <v>0</v>
      </c>
      <c r="CW195" s="330">
        <f t="shared" si="277"/>
        <v>0</v>
      </c>
      <c r="CX195" s="330">
        <f t="shared" si="277"/>
        <v>0</v>
      </c>
      <c r="CY195" s="330">
        <f t="shared" si="277"/>
        <v>0</v>
      </c>
      <c r="CZ195" s="330">
        <f t="shared" si="277"/>
        <v>0</v>
      </c>
      <c r="DA195" s="330">
        <f t="shared" si="277"/>
        <v>0</v>
      </c>
      <c r="DB195" s="330">
        <f t="shared" si="277"/>
        <v>0</v>
      </c>
      <c r="DC195" s="330">
        <f t="shared" si="277"/>
        <v>0</v>
      </c>
      <c r="DD195" s="330">
        <f t="shared" si="277"/>
        <v>0</v>
      </c>
      <c r="DE195" s="330">
        <f t="shared" si="278"/>
        <v>0</v>
      </c>
      <c r="DF195" s="330">
        <f t="shared" si="278"/>
        <v>0</v>
      </c>
      <c r="DG195" s="330">
        <f t="shared" si="278"/>
        <v>0</v>
      </c>
      <c r="DH195" s="330">
        <f t="shared" si="278"/>
        <v>0</v>
      </c>
      <c r="DI195" s="330">
        <f t="shared" si="278"/>
        <v>0</v>
      </c>
      <c r="DJ195" s="330">
        <f t="shared" si="278"/>
        <v>0</v>
      </c>
      <c r="DK195" s="330">
        <f t="shared" si="278"/>
        <v>0</v>
      </c>
      <c r="DL195" s="330">
        <f t="shared" si="278"/>
        <v>0</v>
      </c>
      <c r="DM195" s="330">
        <f t="shared" si="278"/>
        <v>0</v>
      </c>
      <c r="DN195" s="330">
        <f t="shared" si="278"/>
        <v>0</v>
      </c>
      <c r="DO195" s="330">
        <f t="shared" si="278"/>
        <v>0</v>
      </c>
      <c r="DP195" s="330">
        <f t="shared" si="213"/>
        <v>0</v>
      </c>
      <c r="DQ195" s="217"/>
      <c r="DR195" s="217"/>
      <c r="DS195" s="217"/>
      <c r="DT195" s="217"/>
    </row>
    <row r="196" spans="1:124" x14ac:dyDescent="0.3">
      <c r="A196" s="324"/>
      <c r="B196" s="221" t="s">
        <v>307</v>
      </c>
      <c r="C196" s="221" t="str">
        <f>IF('Simplified Screening 2'!C47=0,"",'Simplified Screening 2'!C47)</f>
        <v/>
      </c>
      <c r="D196" s="221" t="str">
        <f>IF('Simplified Screening 2'!D47=0,"",'Simplified Screening 2'!D47)</f>
        <v/>
      </c>
      <c r="E196" s="221"/>
      <c r="F196" s="221" t="str">
        <f>'Simplified Screening 2'!J47</f>
        <v/>
      </c>
      <c r="G196" s="335" t="str">
        <f>IF(D196="","",'Simplified Screening 2'!G47/1000*VLOOKUP(D196,'Default Values'!$B$78:$F$97,COLUMNS('Default Values'!$B$77:$D$77),0)/1000)</f>
        <v/>
      </c>
      <c r="H196" s="335" t="str">
        <f>IF(D196="","",'Simplified Screening 2'!G47/1000*VLOOKUP(D196,'Default Values'!$B$78:$F$97,COLUMNS('Default Values'!$B$77:$E$77),0)/1000)</f>
        <v/>
      </c>
      <c r="I196" s="335" t="str">
        <f>IF(D196="","",'Simplified Screening 2'!G47/1000*VLOOKUP(D196,'Default Values'!$B$78:$F$97,COLUMNS('Default Values'!$B$77:$F$77),0)/1000)</f>
        <v/>
      </c>
      <c r="J196" s="325">
        <f>IF('Simplified Screening 2'!H47=0,0,'Simplified Screening 2'!H47)</f>
        <v>0</v>
      </c>
      <c r="K196" s="465"/>
      <c r="L196" s="333">
        <f>IF($F196="",0,IF($F196="Weighted Average",$G196*VLOOKUP($D196&amp;" (Install)",Lists!$C$72:$R$232,COLUMNS(Lists!$C$69:E$69),0)*VLOOKUP(BE$3,Conversions!$B$12:$E$34,4,0),$G196*VLOOKUP($F196,Lists!$C$72:$R$232,COLUMNS(Lists!$C$69:E$69),0)*VLOOKUP(BE$3,Conversions!$B$12:$E$34,4,0)))</f>
        <v>0</v>
      </c>
      <c r="M196" s="333">
        <f>IF($F196="",0,IF($F196="Weighted Average",$G196*VLOOKUP($D196&amp;" (Install)",Lists!$C$72:$R$232,COLUMNS(Lists!$C$69:F$69),0)*VLOOKUP(BF$3,Conversions!$B$12:$E$34,4,0),$G196*VLOOKUP($F196,Lists!$C$72:$R$232,COLUMNS(Lists!$C$69:F$69),0)*VLOOKUP(BF$3,Conversions!$B$12:$E$34,4,0)))</f>
        <v>0</v>
      </c>
      <c r="N196" s="333">
        <f>IF($F196="",0,IF($F196="Weighted Average",$G196*VLOOKUP($D196&amp;" (Install)",Lists!$C$72:$R$232,COLUMNS(Lists!$C$69:G$69),0)*VLOOKUP(BG$3,Conversions!$B$12:$E$34,4,0),$G196*VLOOKUP($F196,Lists!$C$72:$R$232,COLUMNS(Lists!$C$69:G$69),0)*VLOOKUP(BG$3,Conversions!$B$12:$E$34,4,0)))</f>
        <v>0</v>
      </c>
      <c r="O196" s="333">
        <f>IF($F196="",0,IF($F196="Weighted Average",$G196*VLOOKUP($D196&amp;" (Install)",Lists!$C$72:$R$232,COLUMNS(Lists!$C$69:H$69),0)*VLOOKUP(BH$3,Conversions!$B$12:$E$34,4,0),$G196*VLOOKUP($F196,Lists!$C$72:$R$232,COLUMNS(Lists!$C$69:H$69),0)*VLOOKUP(BH$3,Conversions!$B$12:$E$34,4,0)))</f>
        <v>0</v>
      </c>
      <c r="P196" s="333">
        <f>IF($F196="",0,IF($F196="Weighted Average",$G196*VLOOKUP($D196&amp;" (Install)",Lists!$C$72:$R$232,COLUMNS(Lists!$C$69:I$69),0)*VLOOKUP(BI$3,Conversions!$B$12:$E$34,4,0),$G196*VLOOKUP($F196,Lists!$C$72:$R$232,COLUMNS(Lists!$C$69:I$69),0)*VLOOKUP(BI$3,Conversions!$B$12:$E$34,4,0)))</f>
        <v>0</v>
      </c>
      <c r="Q196" s="333">
        <f>IF($F196="",0,IF($F196="Weighted Average",$G196*VLOOKUP($D196&amp;" (Install)",Lists!$C$72:$R$232,COLUMNS(Lists!$C$69:J$69),0)*VLOOKUP(BJ$3,Conversions!$B$12:$E$34,4,0),$G196*VLOOKUP($F196,Lists!$C$72:$R$232,COLUMNS(Lists!$C$69:J$69),0)*VLOOKUP(BJ$3,Conversions!$B$12:$E$34,4,0)))</f>
        <v>0</v>
      </c>
      <c r="R196" s="333">
        <f>IF($F196="",0,IF($F196="Weighted Average",$G196*VLOOKUP($D196&amp;" (Install)",Lists!$C$72:$R$232,COLUMNS(Lists!$C$69:K$69),0)*VLOOKUP(BK$3,Conversions!$B$12:$E$34,4,0),$G196*VLOOKUP($F196,Lists!$C$72:$R$232,COLUMNS(Lists!$C$69:K$69),0)*VLOOKUP(BK$3,Conversions!$B$12:$E$34,4,0)))</f>
        <v>0</v>
      </c>
      <c r="S196" s="333">
        <f>IF($F196="",0,IF($F196="Weighted Average",$G196*VLOOKUP($D196&amp;" (Install)",Lists!$C$72:$R$232,COLUMNS(Lists!$C$69:L$69),0)*VLOOKUP(BL$3,Conversions!$B$12:$E$34,4,0),$G196*VLOOKUP($F196,Lists!$C$72:$R$232,COLUMNS(Lists!$C$69:L$69),0)*VLOOKUP(BL$3,Conversions!$B$12:$E$34,4,0)))</f>
        <v>0</v>
      </c>
      <c r="T196" s="333">
        <f>IF($F196="",0,IF($F196="Weighted Average",$G196*VLOOKUP($D196&amp;" (Install)",Lists!$C$72:$R$232,COLUMNS(Lists!$C$69:M$69),0)*VLOOKUP(BM$3,Conversions!$B$12:$E$34,4,0),$G196*VLOOKUP($F196,Lists!$C$72:$R$232,COLUMNS(Lists!$C$69:M$69),0)*VLOOKUP(BM$3,Conversions!$B$12:$E$34,4,0)))</f>
        <v>0</v>
      </c>
      <c r="U196" s="333">
        <f>IF($F196="",0,IF($F196="Weighted Average",$G196*VLOOKUP($D196&amp;" (Install)",Lists!$C$72:$R$232,COLUMNS(Lists!$C$69:N$69),0)*VLOOKUP(BN$3,Conversions!$B$12:$E$34,4,0),$G196*VLOOKUP($F196,Lists!$C$72:$R$232,COLUMNS(Lists!$C$69:N$69),0)*VLOOKUP(BN$3,Conversions!$B$12:$E$34,4,0)))</f>
        <v>0</v>
      </c>
      <c r="V196" s="333">
        <f>IF($F196="",0,IF($F196="Weighted Average",$G196*VLOOKUP($D196&amp;" (Install)",Lists!$C$72:$R$232,COLUMNS(Lists!$C$69:O$69),0)*VLOOKUP(BO$3,Conversions!$B$12:$E$34,4,0),$G196*VLOOKUP($F196,Lists!$C$72:$R$232,COLUMNS(Lists!$C$69:O$69),0)*VLOOKUP(BO$3,Conversions!$B$12:$E$34,4,0)))</f>
        <v>0</v>
      </c>
      <c r="W196" s="333">
        <f>IF($F196="",0,IF($F196="Weighted Average",$G196*VLOOKUP($D196&amp;" (Install)",Lists!$C$72:$R$232,COLUMNS(Lists!$C$69:P$69),0)*VLOOKUP(BP$3,Conversions!$B$12:$E$34,4,0),$G196*VLOOKUP($F196,Lists!$C$72:$R$232,COLUMNS(Lists!$C$69:P$69),0)*VLOOKUP(BP$3,Conversions!$B$12:$E$34,4,0)))</f>
        <v>0</v>
      </c>
      <c r="X196" s="333">
        <f>IF($F196="",0,IF($F196="Weighted Average",$G196*VLOOKUP($D196&amp;" (Install)",Lists!$C$72:$R$232,COLUMNS(Lists!$C$69:Q$69),0)*VLOOKUP(BQ$3,Conversions!$B$12:$E$34,4,0),$G196*VLOOKUP($F196,Lists!$C$72:$R$232,COLUMNS(Lists!$C$69:Q$69),0)*VLOOKUP(BQ$3,Conversions!$B$12:$E$34,4,0)))</f>
        <v>0</v>
      </c>
      <c r="Y196" s="333">
        <f>IF($F196="",0,IF($F196="Weighted Average",$G196*VLOOKUP($D196&amp;" (Install)",Lists!$C$72:$R$232,COLUMNS(Lists!$C$69:R$69),0)*VLOOKUP(BR$3,Conversions!$B$12:$E$34,4,0),$G196*VLOOKUP($F196,Lists!$C$72:$R$232,COLUMNS(Lists!$C$69:R$69),0)*VLOOKUP(BR$3,Conversions!$B$12:$E$34,4,0)))</f>
        <v>0</v>
      </c>
      <c r="Z196" s="325">
        <f t="shared" si="230"/>
        <v>0</v>
      </c>
      <c r="AA196" s="334">
        <f>IF($F196="",0,IF($F196="Weighted Average",$H196*VLOOKUP($D196&amp;" (Operation)",Lists!$C$72:$R$232,COLUMNS(Lists!$C$69:E$69),0)*VLOOKUP(BE$3,Conversions!$B$12:$E$34,4,0),$H196*VLOOKUP($F196,Lists!$C$72:$R$232,COLUMNS(Lists!$C$69:E$69),0)*VLOOKUP(BE$3,Conversions!$B$12:$E$34,4,0)))</f>
        <v>0</v>
      </c>
      <c r="AB196" s="334">
        <f>IF($F196="",0,IF($F196="Weighted Average",$H196*VLOOKUP($D196&amp;" (Operation)",Lists!$C$72:$R$232,COLUMNS(Lists!$C$69:F$69),0)*VLOOKUP(BF$3,Conversions!$B$12:$E$34,4,0),$H196*VLOOKUP($F196,Lists!$C$72:$R$232,COLUMNS(Lists!$C$69:F$69),0)*VLOOKUP(BF$3,Conversions!$B$12:$E$34,4,0)))</f>
        <v>0</v>
      </c>
      <c r="AC196" s="334">
        <f>IF($F196="",0,IF($F196="Weighted Average",$H196*VLOOKUP($D196&amp;" (Operation)",Lists!$C$72:$R$232,COLUMNS(Lists!$C$69:G$69),0)*VLOOKUP(BG$3,Conversions!$B$12:$E$34,4,0),$H196*VLOOKUP($F196,Lists!$C$72:$R$232,COLUMNS(Lists!$C$69:G$69),0)*VLOOKUP(BG$3,Conversions!$B$12:$E$34,4,0)))</f>
        <v>0</v>
      </c>
      <c r="AD196" s="334">
        <f>IF($F196="",0,IF($F196="Weighted Average",$H196*VLOOKUP($D196&amp;" (Operation)",Lists!$C$72:$R$232,COLUMNS(Lists!$C$69:H$69),0)*VLOOKUP(BH$3,Conversions!$B$12:$E$34,4,0),$H196*VLOOKUP($F196,Lists!$C$72:$R$232,COLUMNS(Lists!$C$69:H$69),0)*VLOOKUP(BH$3,Conversions!$B$12:$E$34,4,0)))</f>
        <v>0</v>
      </c>
      <c r="AE196" s="334">
        <f>IF($F196="",0,IF($F196="Weighted Average",$H196*VLOOKUP($D196&amp;" (Operation)",Lists!$C$72:$R$232,COLUMNS(Lists!$C$69:I$69),0)*VLOOKUP(BI$3,Conversions!$B$12:$E$34,4,0),$H196*VLOOKUP($F196,Lists!$C$72:$R$232,COLUMNS(Lists!$C$69:I$69),0)*VLOOKUP(BI$3,Conversions!$B$12:$E$34,4,0)))</f>
        <v>0</v>
      </c>
      <c r="AF196" s="334">
        <f>IF($F196="",0,IF($F196="Weighted Average",$H196*VLOOKUP($D196&amp;" (Operation)",Lists!$C$72:$R$232,COLUMNS(Lists!$C$69:J$69),0)*VLOOKUP(BJ$3,Conversions!$B$12:$E$34,4,0),$H196*VLOOKUP($F196,Lists!$C$72:$R$232,COLUMNS(Lists!$C$69:J$69),0)*VLOOKUP(BJ$3,Conversions!$B$12:$E$34,4,0)))</f>
        <v>0</v>
      </c>
      <c r="AG196" s="334">
        <f>IF($F196="",0,IF($F196="Weighted Average",$H196*VLOOKUP($D196&amp;" (Operation)",Lists!$C$72:$R$232,COLUMNS(Lists!$C$69:K$69),0)*VLOOKUP(BK$3,Conversions!$B$12:$E$34,4,0),$H196*VLOOKUP($F196,Lists!$C$72:$R$232,COLUMNS(Lists!$C$69:K$69),0)*VLOOKUP(BK$3,Conversions!$B$12:$E$34,4,0)))</f>
        <v>0</v>
      </c>
      <c r="AH196" s="334">
        <f>IF($F196="",0,IF($F196="Weighted Average",$H196*VLOOKUP($D196&amp;" (Operation)",Lists!$C$72:$R$232,COLUMNS(Lists!$C$69:L$69),0)*VLOOKUP(BL$3,Conversions!$B$12:$E$34,4,0),$H196*VLOOKUP($F196,Lists!$C$72:$R$232,COLUMNS(Lists!$C$69:L$69),0)*VLOOKUP(BL$3,Conversions!$B$12:$E$34,4,0)))</f>
        <v>0</v>
      </c>
      <c r="AI196" s="334">
        <f>IF($F196="",0,IF($F196="Weighted Average",$H196*VLOOKUP($D196&amp;" (Operation)",Lists!$C$72:$R$232,COLUMNS(Lists!$C$69:M$69),0)*VLOOKUP(BM$3,Conversions!$B$12:$E$34,4,0),$H196*VLOOKUP($F196,Lists!$C$72:$R$232,COLUMNS(Lists!$C$69:M$69),0)*VLOOKUP(BM$3,Conversions!$B$12:$E$34,4,0)))</f>
        <v>0</v>
      </c>
      <c r="AJ196" s="334">
        <f>IF($F196="",0,IF($F196="Weighted Average",$H196*VLOOKUP($D196&amp;" (Operation)",Lists!$C$72:$R$232,COLUMNS(Lists!$C$69:N$69),0)*VLOOKUP(BN$3,Conversions!$B$12:$E$34,4,0),$H196*VLOOKUP($F196,Lists!$C$72:$R$232,COLUMNS(Lists!$C$69:N$69),0)*VLOOKUP(BN$3,Conversions!$B$12:$E$34,4,0)))</f>
        <v>0</v>
      </c>
      <c r="AK196" s="334">
        <f>IF($F196="",0,IF($F196="Weighted Average",$H196*VLOOKUP($D196&amp;" (Operation)",Lists!$C$72:$R$232,COLUMNS(Lists!$C$69:O$69),0)*VLOOKUP(BO$3,Conversions!$B$12:$E$34,4,0),$H196*VLOOKUP($F196,Lists!$C$72:$R$232,COLUMNS(Lists!$C$69:O$69),0)*VLOOKUP(BO$3,Conversions!$B$12:$E$34,4,0)))</f>
        <v>0</v>
      </c>
      <c r="AL196" s="334">
        <f>IF($F196="",0,IF($F196="Weighted Average",$H196*VLOOKUP($D196&amp;" (Operation)",Lists!$C$72:$R$232,COLUMNS(Lists!$C$69:P$69),0)*VLOOKUP(BP$3,Conversions!$B$12:$E$34,4,0),$H196*VLOOKUP($F196,Lists!$C$72:$R$232,COLUMNS(Lists!$C$69:P$69),0)*VLOOKUP(BP$3,Conversions!$B$12:$E$34,4,0)))</f>
        <v>0</v>
      </c>
      <c r="AM196" s="334">
        <f>IF($F196="",0,IF($F196="Weighted Average",$H196*VLOOKUP($D196&amp;" (Operation)",Lists!$C$72:$R$232,COLUMNS(Lists!$C$69:Q$69),0)*VLOOKUP(BQ$3,Conversions!$B$12:$E$34,4,0),$H196*VLOOKUP($F196,Lists!$C$72:$R$232,COLUMNS(Lists!$C$69:Q$69),0)*VLOOKUP(BQ$3,Conversions!$B$12:$E$34,4,0)))</f>
        <v>0</v>
      </c>
      <c r="AN196" s="334">
        <f>IF($F196="",0,IF($F196="Weighted Average",$H196*VLOOKUP($D196&amp;" (Operation)",Lists!$C$72:$R$232,COLUMNS(Lists!$C$69:R$69),0)*VLOOKUP(BR$3,Conversions!$B$12:$E$34,4,0),$H196*VLOOKUP($F196,Lists!$C$72:$R$232,COLUMNS(Lists!$C$69:R$69),0)*VLOOKUP(BR$3,Conversions!$B$12:$E$34,4,0)))</f>
        <v>0</v>
      </c>
      <c r="AO196" s="330">
        <f t="shared" si="231"/>
        <v>0</v>
      </c>
      <c r="AP196" s="333">
        <f>IF($F196="",0,IF($F196="Weighted Average",$I196*VLOOKUP($D196&amp;" (Disposal)",Lists!$C$72:$R$232,COLUMNS(Lists!$C$69:E$69),0)*VLOOKUP(BE$3,Conversions!$B$12:$E$34,4,0),$I196*VLOOKUP($F196,Lists!$C$72:$R$232,COLUMNS(Lists!$C$69:E$69),0)*VLOOKUP(BE$3,Conversions!$B$12:$E$34,4,0)))</f>
        <v>0</v>
      </c>
      <c r="AQ196" s="333">
        <f>IF($F196="",0,IF($F196="Weighted Average",$I196*VLOOKUP($D196&amp;" (Disposal)",Lists!$C$72:$R$232,COLUMNS(Lists!$C$69:F$69),0)*VLOOKUP(BF$3,Conversions!$B$12:$E$34,4,0),$I196*VLOOKUP($F196,Lists!$C$72:$R$232,COLUMNS(Lists!$C$69:F$69),0)*VLOOKUP(BF$3,Conversions!$B$12:$E$34,4,0)))</f>
        <v>0</v>
      </c>
      <c r="AR196" s="333">
        <f>IF($F196="",0,IF($F196="Weighted Average",$I196*VLOOKUP($D196&amp;" (Disposal)",Lists!$C$72:$R$232,COLUMNS(Lists!$C$69:G$69),0)*VLOOKUP(BG$3,Conversions!$B$12:$E$34,4,0),$I196*VLOOKUP($F196,Lists!$C$72:$R$232,COLUMNS(Lists!$C$69:G$69),0)*VLOOKUP(BG$3,Conversions!$B$12:$E$34,4,0)))</f>
        <v>0</v>
      </c>
      <c r="AS196" s="333">
        <f>IF($F196="",0,IF($F196="Weighted Average",$I196*VLOOKUP($D196&amp;" (Disposal)",Lists!$C$72:$R$232,COLUMNS(Lists!$C$69:H$69),0)*VLOOKUP(BH$3,Conversions!$B$12:$E$34,4,0),$I196*VLOOKUP($F196,Lists!$C$72:$R$232,COLUMNS(Lists!$C$69:H$69),0)*VLOOKUP(BH$3,Conversions!$B$12:$E$34,4,0)))</f>
        <v>0</v>
      </c>
      <c r="AT196" s="333">
        <f>IF($F196="",0,IF($F196="Weighted Average",$I196*VLOOKUP($D196&amp;" (Disposal)",Lists!$C$72:$R$232,COLUMNS(Lists!$C$69:I$69),0)*VLOOKUP(BI$3,Conversions!$B$12:$E$34,4,0),$I196*VLOOKUP($F196,Lists!$C$72:$R$232,COLUMNS(Lists!$C$69:I$69),0)*VLOOKUP(BI$3,Conversions!$B$12:$E$34,4,0)))</f>
        <v>0</v>
      </c>
      <c r="AU196" s="333">
        <f>IF($F196="",0,IF($F196="Weighted Average",$I196*VLOOKUP($D196&amp;" (Disposal)",Lists!$C$72:$R$232,COLUMNS(Lists!$C$69:J$69),0)*VLOOKUP(BJ$3,Conversions!$B$12:$E$34,4,0),$I196*VLOOKUP($F196,Lists!$C$72:$R$232,COLUMNS(Lists!$C$69:J$69),0)*VLOOKUP(BJ$3,Conversions!$B$12:$E$34,4,0)))</f>
        <v>0</v>
      </c>
      <c r="AV196" s="333">
        <f>IF($F196="",0,IF($F196="Weighted Average",$I196*VLOOKUP($D196&amp;" (Disposal)",Lists!$C$72:$R$232,COLUMNS(Lists!$C$69:K$69),0)*VLOOKUP(BK$3,Conversions!$B$12:$E$34,4,0),$I196*VLOOKUP($F196,Lists!$C$72:$R$232,COLUMNS(Lists!$C$69:K$69),0)*VLOOKUP(BK$3,Conversions!$B$12:$E$34,4,0)))</f>
        <v>0</v>
      </c>
      <c r="AW196" s="333">
        <f>IF($F196="",0,IF($F196="Weighted Average",$I196*VLOOKUP($D196&amp;" (Disposal)",Lists!$C$72:$R$232,COLUMNS(Lists!$C$69:L$69),0)*VLOOKUP(BL$3,Conversions!$B$12:$E$34,4,0),$I196*VLOOKUP($F196,Lists!$C$72:$R$232,COLUMNS(Lists!$C$69:L$69),0)*VLOOKUP(BL$3,Conversions!$B$12:$E$34,4,0)))</f>
        <v>0</v>
      </c>
      <c r="AX196" s="333">
        <f>IF($F196="",0,IF($F196="Weighted Average",$I196*VLOOKUP($D196&amp;" (Disposal)",Lists!$C$72:$R$232,COLUMNS(Lists!$C$69:M$69),0)*VLOOKUP(BM$3,Conversions!$B$12:$E$34,4,0),$I196*VLOOKUP($F196,Lists!$C$72:$R$232,COLUMNS(Lists!$C$69:M$69),0)*VLOOKUP(BM$3,Conversions!$B$12:$E$34,4,0)))</f>
        <v>0</v>
      </c>
      <c r="AY196" s="333">
        <f>IF($F196="",0,IF($F196="Weighted Average",$I196*VLOOKUP($D196&amp;" (Disposal)",Lists!$C$72:$R$232,COLUMNS(Lists!$C$69:N$69),0)*VLOOKUP(BN$3,Conversions!$B$12:$E$34,4,0),$I196*VLOOKUP($F196,Lists!$C$72:$R$232,COLUMNS(Lists!$C$69:N$69),0)*VLOOKUP(BN$3,Conversions!$B$12:$E$34,4,0)))</f>
        <v>0</v>
      </c>
      <c r="AZ196" s="333">
        <f>IF($F196="",0,IF($F196="Weighted Average",$I196*VLOOKUP($D196&amp;" (Disposal)",Lists!$C$72:$R$232,COLUMNS(Lists!$C$69:O$69),0)*VLOOKUP(BO$3,Conversions!$B$12:$E$34,4,0),$I196*VLOOKUP($F196,Lists!$C$72:$R$232,COLUMNS(Lists!$C$69:O$69),0)*VLOOKUP(BO$3,Conversions!$B$12:$E$34,4,0)))</f>
        <v>0</v>
      </c>
      <c r="BA196" s="333">
        <f>IF($F196="",0,IF($F196="Weighted Average",$I196*VLOOKUP($D196&amp;" (Disposal)",Lists!$C$72:$R$232,COLUMNS(Lists!$C$69:P$69),0)*VLOOKUP(BP$3,Conversions!$B$12:$E$34,4,0),$I196*VLOOKUP($F196,Lists!$C$72:$R$232,COLUMNS(Lists!$C$69:P$69),0)*VLOOKUP(BP$3,Conversions!$B$12:$E$34,4,0)))</f>
        <v>0</v>
      </c>
      <c r="BB196" s="333">
        <f>IF($F196="",0,IF($F196="Weighted Average",$I196*VLOOKUP($D196&amp;" (Disposal)",Lists!$C$72:$R$232,COLUMNS(Lists!$C$69:Q$69),0)*VLOOKUP(BQ$3,Conversions!$B$12:$E$34,4,0),$I196*VLOOKUP($F196,Lists!$C$72:$R$232,COLUMNS(Lists!$C$69:Q$69),0)*VLOOKUP(BQ$3,Conversions!$B$12:$E$34,4,0)))</f>
        <v>0</v>
      </c>
      <c r="BC196" s="333">
        <f>IF($F196="",0,IF($F196="Weighted Average",$I196*VLOOKUP($D196&amp;" (Disposal)",Lists!$C$72:$R$232,COLUMNS(Lists!$C$69:R$69),0)*VLOOKUP(BR$3,Conversions!$B$12:$E$34,4,0),$I196*VLOOKUP($F196,Lists!$C$72:$R$232,COLUMNS(Lists!$C$69:R$69),0)*VLOOKUP(BR$3,Conversions!$B$12:$E$34,4,0)))</f>
        <v>0</v>
      </c>
      <c r="BD196" s="333">
        <f t="shared" si="232"/>
        <v>0</v>
      </c>
      <c r="BE196" s="330">
        <f t="shared" si="233"/>
        <v>0</v>
      </c>
      <c r="BF196" s="330">
        <f t="shared" si="214"/>
        <v>0</v>
      </c>
      <c r="BG196" s="330">
        <f t="shared" si="215"/>
        <v>0</v>
      </c>
      <c r="BH196" s="330">
        <f t="shared" si="216"/>
        <v>0</v>
      </c>
      <c r="BI196" s="330">
        <f t="shared" si="217"/>
        <v>0</v>
      </c>
      <c r="BJ196" s="330">
        <f t="shared" si="218"/>
        <v>0</v>
      </c>
      <c r="BK196" s="330">
        <f t="shared" si="219"/>
        <v>0</v>
      </c>
      <c r="BL196" s="330">
        <f t="shared" si="220"/>
        <v>0</v>
      </c>
      <c r="BM196" s="330">
        <f t="shared" si="221"/>
        <v>0</v>
      </c>
      <c r="BN196" s="330">
        <f t="shared" si="222"/>
        <v>0</v>
      </c>
      <c r="BO196" s="330">
        <f t="shared" si="223"/>
        <v>0</v>
      </c>
      <c r="BP196" s="330">
        <f t="shared" si="224"/>
        <v>0</v>
      </c>
      <c r="BQ196" s="330">
        <f t="shared" si="225"/>
        <v>0</v>
      </c>
      <c r="BR196" s="330">
        <f t="shared" si="226"/>
        <v>0</v>
      </c>
      <c r="BS196" s="330">
        <f t="shared" si="227"/>
        <v>0</v>
      </c>
      <c r="BT196" s="329">
        <f>IF($F196="",0,IF($F196="Weighted Average",$BS196*VLOOKUP($D196,'Default Values'!$B$78:$V$97,COLUMNS('Default Values'!$B$77:G$77),0),0))</f>
        <v>0</v>
      </c>
      <c r="BU196" s="329">
        <f>IF($F196="",0,IF($F196="Weighted Average",$BS196*VLOOKUP($D196,'Default Values'!$B$78:$V$97,COLUMNS('Default Values'!$B$77:H$77),0),0))</f>
        <v>0</v>
      </c>
      <c r="BV196" s="329">
        <f>IF($F196="",0,IF($F196="Weighted Average",$BS196*VLOOKUP($D196,'Default Values'!$B$78:$V$97,COLUMNS('Default Values'!$B$77:I$77),0),0))</f>
        <v>0</v>
      </c>
      <c r="BW196" s="329">
        <f>IF($F196="",0,IF($F196="Weighted Average",$BS196*VLOOKUP($D196,'Default Values'!$B$78:$V$97,COLUMNS('Default Values'!$B$77:J$77),0),0))</f>
        <v>0</v>
      </c>
      <c r="BX196" s="329">
        <f>IF($F196="",0,IF($F196="Weighted Average",$BS196*VLOOKUP($D196,'Default Values'!$B$78:$V$97,COLUMNS('Default Values'!$B$77:K$77),0),0))</f>
        <v>0</v>
      </c>
      <c r="BY196" s="329">
        <f>IF($F196="",0,IF($F196="Weighted Average",$BS196*VLOOKUP($D196,'Default Values'!$B$78:$V$97,COLUMNS('Default Values'!$B$77:L$77),0),0))</f>
        <v>0</v>
      </c>
      <c r="BZ196" s="329">
        <f>IF($F196="",0,IF($F196="Weighted Average",$BS196*VLOOKUP($D196,'Default Values'!$B$78:$V$97,COLUMNS('Default Values'!$B$77:M$77),0),0))</f>
        <v>0</v>
      </c>
      <c r="CA196" s="329">
        <f>IF($F196="",0,IF($F196="Weighted Average",$BS196*VLOOKUP($D196,'Default Values'!$B$78:$V$97,COLUMNS('Default Values'!$B$77:N$77),0),0))</f>
        <v>0</v>
      </c>
      <c r="CB196" s="329">
        <f>IF($F196="",0,IF($F196="Weighted Average",$BS196*VLOOKUP($D196,'Default Values'!$B$78:$V$97,COLUMNS('Default Values'!$B$77:O$77),0),0))</f>
        <v>0</v>
      </c>
      <c r="CC196" s="329">
        <f>IF($F196="",0,IF($F196="Weighted Average",$BS196*VLOOKUP($D196,'Default Values'!$B$78:$V$97,COLUMNS('Default Values'!$B$77:P$77),0),0))</f>
        <v>0</v>
      </c>
      <c r="CD196" s="329">
        <f>IF($F196="",0,IF($F196="Weighted Average",$BS196*VLOOKUP($D196,'Default Values'!$B$78:$V$97,COLUMNS('Default Values'!$B$77:Q$77),0),0))</f>
        <v>0</v>
      </c>
      <c r="CE196" s="329">
        <f>IF($F196="",0,IF($F196="Weighted Average",$BS196*VLOOKUP($D196,'Default Values'!$B$78:$V$97,COLUMNS('Default Values'!$B$77:R$77),0),0))</f>
        <v>0</v>
      </c>
      <c r="CF196" s="329">
        <f>IF($F196="",0,IF($F196="Weighted Average",$BS196*VLOOKUP($D196,'Default Values'!$B$78:$V$97,COLUMNS('Default Values'!$B$77:S$77),0),0))</f>
        <v>0</v>
      </c>
      <c r="CG196" s="329">
        <f>IF($F196="",0,IF($F196="Weighted Average",$BS196*VLOOKUP($D196,'Default Values'!$B$78:$V$97,COLUMNS('Default Values'!$B$77:T$77),0),0))</f>
        <v>0</v>
      </c>
      <c r="CH196" s="329">
        <f>IF($F196="",0,IF($F196="Weighted Average",$BS196*VLOOKUP($D196,'Default Values'!$B$78:$V$97,COLUMNS('Default Values'!$B$77:U$77),0),0))</f>
        <v>0</v>
      </c>
      <c r="CI196" s="329">
        <f>IF($F196="",0,IF($F196="Weighted Average",$BS196*VLOOKUP($D196,'Default Values'!$B$78:$V$97,COLUMNS('Default Values'!$B$77:V$77),0),0))</f>
        <v>0</v>
      </c>
      <c r="CJ196" s="331">
        <f t="shared" si="267"/>
        <v>0</v>
      </c>
      <c r="CK196" s="330">
        <f t="shared" si="268"/>
        <v>0</v>
      </c>
      <c r="CL196" s="330">
        <f t="shared" si="269"/>
        <v>0</v>
      </c>
      <c r="CM196" s="330">
        <f t="shared" si="270"/>
        <v>0</v>
      </c>
      <c r="CN196" s="330">
        <f t="shared" si="271"/>
        <v>0</v>
      </c>
      <c r="CO196" s="330">
        <f t="shared" si="272"/>
        <v>0</v>
      </c>
      <c r="CP196" s="330">
        <f t="shared" si="273"/>
        <v>0</v>
      </c>
      <c r="CQ196" s="330">
        <f t="shared" si="186"/>
        <v>0</v>
      </c>
      <c r="CR196" s="330">
        <f t="shared" si="274"/>
        <v>0</v>
      </c>
      <c r="CS196" s="330">
        <f t="shared" si="275"/>
        <v>0</v>
      </c>
      <c r="CT196" s="330">
        <f t="shared" si="276"/>
        <v>0</v>
      </c>
      <c r="CU196" s="330">
        <f t="shared" si="277"/>
        <v>0</v>
      </c>
      <c r="CV196" s="330">
        <f t="shared" si="277"/>
        <v>0</v>
      </c>
      <c r="CW196" s="330">
        <f t="shared" si="277"/>
        <v>0</v>
      </c>
      <c r="CX196" s="330">
        <f t="shared" si="277"/>
        <v>0</v>
      </c>
      <c r="CY196" s="330">
        <f t="shared" si="277"/>
        <v>0</v>
      </c>
      <c r="CZ196" s="330">
        <f t="shared" si="277"/>
        <v>0</v>
      </c>
      <c r="DA196" s="330">
        <f t="shared" si="277"/>
        <v>0</v>
      </c>
      <c r="DB196" s="330">
        <f t="shared" si="277"/>
        <v>0</v>
      </c>
      <c r="DC196" s="330">
        <f t="shared" si="277"/>
        <v>0</v>
      </c>
      <c r="DD196" s="330">
        <f t="shared" si="277"/>
        <v>0</v>
      </c>
      <c r="DE196" s="330">
        <f t="shared" si="278"/>
        <v>0</v>
      </c>
      <c r="DF196" s="330">
        <f t="shared" si="278"/>
        <v>0</v>
      </c>
      <c r="DG196" s="330">
        <f t="shared" si="278"/>
        <v>0</v>
      </c>
      <c r="DH196" s="330">
        <f t="shared" si="278"/>
        <v>0</v>
      </c>
      <c r="DI196" s="330">
        <f t="shared" si="278"/>
        <v>0</v>
      </c>
      <c r="DJ196" s="330">
        <f t="shared" si="278"/>
        <v>0</v>
      </c>
      <c r="DK196" s="330">
        <f t="shared" si="278"/>
        <v>0</v>
      </c>
      <c r="DL196" s="330">
        <f t="shared" si="278"/>
        <v>0</v>
      </c>
      <c r="DM196" s="330">
        <f t="shared" si="278"/>
        <v>0</v>
      </c>
      <c r="DN196" s="330">
        <f t="shared" si="278"/>
        <v>0</v>
      </c>
      <c r="DO196" s="330">
        <f t="shared" si="278"/>
        <v>0</v>
      </c>
      <c r="DP196" s="330">
        <f t="shared" si="213"/>
        <v>0</v>
      </c>
      <c r="DQ196" s="217"/>
      <c r="DR196" s="217"/>
      <c r="DS196" s="217"/>
      <c r="DT196" s="217"/>
    </row>
    <row r="197" spans="1:124" x14ac:dyDescent="0.3">
      <c r="A197" s="324"/>
      <c r="B197" s="221" t="s">
        <v>307</v>
      </c>
      <c r="C197" s="221" t="str">
        <f>IF('Simplified Screening 2'!C48=0,"",'Simplified Screening 2'!C48)</f>
        <v/>
      </c>
      <c r="D197" s="221" t="str">
        <f>IF('Simplified Screening 2'!D48=0,"",'Simplified Screening 2'!D48)</f>
        <v/>
      </c>
      <c r="E197" s="221"/>
      <c r="F197" s="221" t="str">
        <f>'Simplified Screening 2'!J48</f>
        <v/>
      </c>
      <c r="G197" s="335" t="str">
        <f>IF(D197="","",'Simplified Screening 2'!G48/1000*VLOOKUP(D197,'Default Values'!$B$78:$F$97,COLUMNS('Default Values'!$B$77:$D$77),0)/1000)</f>
        <v/>
      </c>
      <c r="H197" s="335" t="str">
        <f>IF(D197="","",'Simplified Screening 2'!G48/1000*VLOOKUP(D197,'Default Values'!$B$78:$F$97,COLUMNS('Default Values'!$B$77:$E$77),0)/1000)</f>
        <v/>
      </c>
      <c r="I197" s="335" t="str">
        <f>IF(D197="","",'Simplified Screening 2'!G48/1000*VLOOKUP(D197,'Default Values'!$B$78:$F$97,COLUMNS('Default Values'!$B$77:$F$77),0)/1000)</f>
        <v/>
      </c>
      <c r="J197" s="325">
        <f>IF('Simplified Screening 2'!H48=0,0,'Simplified Screening 2'!H48)</f>
        <v>0</v>
      </c>
      <c r="K197" s="465"/>
      <c r="L197" s="333">
        <f>IF($F197="",0,IF($F197="Weighted Average",$G197*VLOOKUP($D197&amp;" (Install)",Lists!$C$72:$R$232,COLUMNS(Lists!$C$69:E$69),0)*VLOOKUP(BE$3,Conversions!$B$12:$E$34,4,0),$G197*VLOOKUP($F197,Lists!$C$72:$R$232,COLUMNS(Lists!$C$69:E$69),0)*VLOOKUP(BE$3,Conversions!$B$12:$E$34,4,0)))</f>
        <v>0</v>
      </c>
      <c r="M197" s="333">
        <f>IF($F197="",0,IF($F197="Weighted Average",$G197*VLOOKUP($D197&amp;" (Install)",Lists!$C$72:$R$232,COLUMNS(Lists!$C$69:F$69),0)*VLOOKUP(BF$3,Conversions!$B$12:$E$34,4,0),$G197*VLOOKUP($F197,Lists!$C$72:$R$232,COLUMNS(Lists!$C$69:F$69),0)*VLOOKUP(BF$3,Conversions!$B$12:$E$34,4,0)))</f>
        <v>0</v>
      </c>
      <c r="N197" s="333">
        <f>IF($F197="",0,IF($F197="Weighted Average",$G197*VLOOKUP($D197&amp;" (Install)",Lists!$C$72:$R$232,COLUMNS(Lists!$C$69:G$69),0)*VLOOKUP(BG$3,Conversions!$B$12:$E$34,4,0),$G197*VLOOKUP($F197,Lists!$C$72:$R$232,COLUMNS(Lists!$C$69:G$69),0)*VLOOKUP(BG$3,Conversions!$B$12:$E$34,4,0)))</f>
        <v>0</v>
      </c>
      <c r="O197" s="333">
        <f>IF($F197="",0,IF($F197="Weighted Average",$G197*VLOOKUP($D197&amp;" (Install)",Lists!$C$72:$R$232,COLUMNS(Lists!$C$69:H$69),0)*VLOOKUP(BH$3,Conversions!$B$12:$E$34,4,0),$G197*VLOOKUP($F197,Lists!$C$72:$R$232,COLUMNS(Lists!$C$69:H$69),0)*VLOOKUP(BH$3,Conversions!$B$12:$E$34,4,0)))</f>
        <v>0</v>
      </c>
      <c r="P197" s="333">
        <f>IF($F197="",0,IF($F197="Weighted Average",$G197*VLOOKUP($D197&amp;" (Install)",Lists!$C$72:$R$232,COLUMNS(Lists!$C$69:I$69),0)*VLOOKUP(BI$3,Conversions!$B$12:$E$34,4,0),$G197*VLOOKUP($F197,Lists!$C$72:$R$232,COLUMNS(Lists!$C$69:I$69),0)*VLOOKUP(BI$3,Conversions!$B$12:$E$34,4,0)))</f>
        <v>0</v>
      </c>
      <c r="Q197" s="333">
        <f>IF($F197="",0,IF($F197="Weighted Average",$G197*VLOOKUP($D197&amp;" (Install)",Lists!$C$72:$R$232,COLUMNS(Lists!$C$69:J$69),0)*VLOOKUP(BJ$3,Conversions!$B$12:$E$34,4,0),$G197*VLOOKUP($F197,Lists!$C$72:$R$232,COLUMNS(Lists!$C$69:J$69),0)*VLOOKUP(BJ$3,Conversions!$B$12:$E$34,4,0)))</f>
        <v>0</v>
      </c>
      <c r="R197" s="333">
        <f>IF($F197="",0,IF($F197="Weighted Average",$G197*VLOOKUP($D197&amp;" (Install)",Lists!$C$72:$R$232,COLUMNS(Lists!$C$69:K$69),0)*VLOOKUP(BK$3,Conversions!$B$12:$E$34,4,0),$G197*VLOOKUP($F197,Lists!$C$72:$R$232,COLUMNS(Lists!$C$69:K$69),0)*VLOOKUP(BK$3,Conversions!$B$12:$E$34,4,0)))</f>
        <v>0</v>
      </c>
      <c r="S197" s="333">
        <f>IF($F197="",0,IF($F197="Weighted Average",$G197*VLOOKUP($D197&amp;" (Install)",Lists!$C$72:$R$232,COLUMNS(Lists!$C$69:L$69),0)*VLOOKUP(BL$3,Conversions!$B$12:$E$34,4,0),$G197*VLOOKUP($F197,Lists!$C$72:$R$232,COLUMNS(Lists!$C$69:L$69),0)*VLOOKUP(BL$3,Conversions!$B$12:$E$34,4,0)))</f>
        <v>0</v>
      </c>
      <c r="T197" s="333">
        <f>IF($F197="",0,IF($F197="Weighted Average",$G197*VLOOKUP($D197&amp;" (Install)",Lists!$C$72:$R$232,COLUMNS(Lists!$C$69:M$69),0)*VLOOKUP(BM$3,Conversions!$B$12:$E$34,4,0),$G197*VLOOKUP($F197,Lists!$C$72:$R$232,COLUMNS(Lists!$C$69:M$69),0)*VLOOKUP(BM$3,Conversions!$B$12:$E$34,4,0)))</f>
        <v>0</v>
      </c>
      <c r="U197" s="333">
        <f>IF($F197="",0,IF($F197="Weighted Average",$G197*VLOOKUP($D197&amp;" (Install)",Lists!$C$72:$R$232,COLUMNS(Lists!$C$69:N$69),0)*VLOOKUP(BN$3,Conversions!$B$12:$E$34,4,0),$G197*VLOOKUP($F197,Lists!$C$72:$R$232,COLUMNS(Lists!$C$69:N$69),0)*VLOOKUP(BN$3,Conversions!$B$12:$E$34,4,0)))</f>
        <v>0</v>
      </c>
      <c r="V197" s="333">
        <f>IF($F197="",0,IF($F197="Weighted Average",$G197*VLOOKUP($D197&amp;" (Install)",Lists!$C$72:$R$232,COLUMNS(Lists!$C$69:O$69),0)*VLOOKUP(BO$3,Conversions!$B$12:$E$34,4,0),$G197*VLOOKUP($F197,Lists!$C$72:$R$232,COLUMNS(Lists!$C$69:O$69),0)*VLOOKUP(BO$3,Conversions!$B$12:$E$34,4,0)))</f>
        <v>0</v>
      </c>
      <c r="W197" s="333">
        <f>IF($F197="",0,IF($F197="Weighted Average",$G197*VLOOKUP($D197&amp;" (Install)",Lists!$C$72:$R$232,COLUMNS(Lists!$C$69:P$69),0)*VLOOKUP(BP$3,Conversions!$B$12:$E$34,4,0),$G197*VLOOKUP($F197,Lists!$C$72:$R$232,COLUMNS(Lists!$C$69:P$69),0)*VLOOKUP(BP$3,Conversions!$B$12:$E$34,4,0)))</f>
        <v>0</v>
      </c>
      <c r="X197" s="333">
        <f>IF($F197="",0,IF($F197="Weighted Average",$G197*VLOOKUP($D197&amp;" (Install)",Lists!$C$72:$R$232,COLUMNS(Lists!$C$69:Q$69),0)*VLOOKUP(BQ$3,Conversions!$B$12:$E$34,4,0),$G197*VLOOKUP($F197,Lists!$C$72:$R$232,COLUMNS(Lists!$C$69:Q$69),0)*VLOOKUP(BQ$3,Conversions!$B$12:$E$34,4,0)))</f>
        <v>0</v>
      </c>
      <c r="Y197" s="333">
        <f>IF($F197="",0,IF($F197="Weighted Average",$G197*VLOOKUP($D197&amp;" (Install)",Lists!$C$72:$R$232,COLUMNS(Lists!$C$69:R$69),0)*VLOOKUP(BR$3,Conversions!$B$12:$E$34,4,0),$G197*VLOOKUP($F197,Lists!$C$72:$R$232,COLUMNS(Lists!$C$69:R$69),0)*VLOOKUP(BR$3,Conversions!$B$12:$E$34,4,0)))</f>
        <v>0</v>
      </c>
      <c r="Z197" s="325">
        <f t="shared" si="230"/>
        <v>0</v>
      </c>
      <c r="AA197" s="334">
        <f>IF($F197="",0,IF($F197="Weighted Average",$H197*VLOOKUP($D197&amp;" (Operation)",Lists!$C$72:$R$232,COLUMNS(Lists!$C$69:E$69),0)*VLOOKUP(BE$3,Conversions!$B$12:$E$34,4,0),$H197*VLOOKUP($F197,Lists!$C$72:$R$232,COLUMNS(Lists!$C$69:E$69),0)*VLOOKUP(BE$3,Conversions!$B$12:$E$34,4,0)))</f>
        <v>0</v>
      </c>
      <c r="AB197" s="334">
        <f>IF($F197="",0,IF($F197="Weighted Average",$H197*VLOOKUP($D197&amp;" (Operation)",Lists!$C$72:$R$232,COLUMNS(Lists!$C$69:F$69),0)*VLOOKUP(BF$3,Conversions!$B$12:$E$34,4,0),$H197*VLOOKUP($F197,Lists!$C$72:$R$232,COLUMNS(Lists!$C$69:F$69),0)*VLOOKUP(BF$3,Conversions!$B$12:$E$34,4,0)))</f>
        <v>0</v>
      </c>
      <c r="AC197" s="334">
        <f>IF($F197="",0,IF($F197="Weighted Average",$H197*VLOOKUP($D197&amp;" (Operation)",Lists!$C$72:$R$232,COLUMNS(Lists!$C$69:G$69),0)*VLOOKUP(BG$3,Conversions!$B$12:$E$34,4,0),$H197*VLOOKUP($F197,Lists!$C$72:$R$232,COLUMNS(Lists!$C$69:G$69),0)*VLOOKUP(BG$3,Conversions!$B$12:$E$34,4,0)))</f>
        <v>0</v>
      </c>
      <c r="AD197" s="334">
        <f>IF($F197="",0,IF($F197="Weighted Average",$H197*VLOOKUP($D197&amp;" (Operation)",Lists!$C$72:$R$232,COLUMNS(Lists!$C$69:H$69),0)*VLOOKUP(BH$3,Conversions!$B$12:$E$34,4,0),$H197*VLOOKUP($F197,Lists!$C$72:$R$232,COLUMNS(Lists!$C$69:H$69),0)*VLOOKUP(BH$3,Conversions!$B$12:$E$34,4,0)))</f>
        <v>0</v>
      </c>
      <c r="AE197" s="334">
        <f>IF($F197="",0,IF($F197="Weighted Average",$H197*VLOOKUP($D197&amp;" (Operation)",Lists!$C$72:$R$232,COLUMNS(Lists!$C$69:I$69),0)*VLOOKUP(BI$3,Conversions!$B$12:$E$34,4,0),$H197*VLOOKUP($F197,Lists!$C$72:$R$232,COLUMNS(Lists!$C$69:I$69),0)*VLOOKUP(BI$3,Conversions!$B$12:$E$34,4,0)))</f>
        <v>0</v>
      </c>
      <c r="AF197" s="334">
        <f>IF($F197="",0,IF($F197="Weighted Average",$H197*VLOOKUP($D197&amp;" (Operation)",Lists!$C$72:$R$232,COLUMNS(Lists!$C$69:J$69),0)*VLOOKUP(BJ$3,Conversions!$B$12:$E$34,4,0),$H197*VLOOKUP($F197,Lists!$C$72:$R$232,COLUMNS(Lists!$C$69:J$69),0)*VLOOKUP(BJ$3,Conversions!$B$12:$E$34,4,0)))</f>
        <v>0</v>
      </c>
      <c r="AG197" s="334">
        <f>IF($F197="",0,IF($F197="Weighted Average",$H197*VLOOKUP($D197&amp;" (Operation)",Lists!$C$72:$R$232,COLUMNS(Lists!$C$69:K$69),0)*VLOOKUP(BK$3,Conversions!$B$12:$E$34,4,0),$H197*VLOOKUP($F197,Lists!$C$72:$R$232,COLUMNS(Lists!$C$69:K$69),0)*VLOOKUP(BK$3,Conversions!$B$12:$E$34,4,0)))</f>
        <v>0</v>
      </c>
      <c r="AH197" s="334">
        <f>IF($F197="",0,IF($F197="Weighted Average",$H197*VLOOKUP($D197&amp;" (Operation)",Lists!$C$72:$R$232,COLUMNS(Lists!$C$69:L$69),0)*VLOOKUP(BL$3,Conversions!$B$12:$E$34,4,0),$H197*VLOOKUP($F197,Lists!$C$72:$R$232,COLUMNS(Lists!$C$69:L$69),0)*VLOOKUP(BL$3,Conversions!$B$12:$E$34,4,0)))</f>
        <v>0</v>
      </c>
      <c r="AI197" s="334">
        <f>IF($F197="",0,IF($F197="Weighted Average",$H197*VLOOKUP($D197&amp;" (Operation)",Lists!$C$72:$R$232,COLUMNS(Lists!$C$69:M$69),0)*VLOOKUP(BM$3,Conversions!$B$12:$E$34,4,0),$H197*VLOOKUP($F197,Lists!$C$72:$R$232,COLUMNS(Lists!$C$69:M$69),0)*VLOOKUP(BM$3,Conversions!$B$12:$E$34,4,0)))</f>
        <v>0</v>
      </c>
      <c r="AJ197" s="334">
        <f>IF($F197="",0,IF($F197="Weighted Average",$H197*VLOOKUP($D197&amp;" (Operation)",Lists!$C$72:$R$232,COLUMNS(Lists!$C$69:N$69),0)*VLOOKUP(BN$3,Conversions!$B$12:$E$34,4,0),$H197*VLOOKUP($F197,Lists!$C$72:$R$232,COLUMNS(Lists!$C$69:N$69),0)*VLOOKUP(BN$3,Conversions!$B$12:$E$34,4,0)))</f>
        <v>0</v>
      </c>
      <c r="AK197" s="334">
        <f>IF($F197="",0,IF($F197="Weighted Average",$H197*VLOOKUP($D197&amp;" (Operation)",Lists!$C$72:$R$232,COLUMNS(Lists!$C$69:O$69),0)*VLOOKUP(BO$3,Conversions!$B$12:$E$34,4,0),$H197*VLOOKUP($F197,Lists!$C$72:$R$232,COLUMNS(Lists!$C$69:O$69),0)*VLOOKUP(BO$3,Conversions!$B$12:$E$34,4,0)))</f>
        <v>0</v>
      </c>
      <c r="AL197" s="334">
        <f>IF($F197="",0,IF($F197="Weighted Average",$H197*VLOOKUP($D197&amp;" (Operation)",Lists!$C$72:$R$232,COLUMNS(Lists!$C$69:P$69),0)*VLOOKUP(BP$3,Conversions!$B$12:$E$34,4,0),$H197*VLOOKUP($F197,Lists!$C$72:$R$232,COLUMNS(Lists!$C$69:P$69),0)*VLOOKUP(BP$3,Conversions!$B$12:$E$34,4,0)))</f>
        <v>0</v>
      </c>
      <c r="AM197" s="334">
        <f>IF($F197="",0,IF($F197="Weighted Average",$H197*VLOOKUP($D197&amp;" (Operation)",Lists!$C$72:$R$232,COLUMNS(Lists!$C$69:Q$69),0)*VLOOKUP(BQ$3,Conversions!$B$12:$E$34,4,0),$H197*VLOOKUP($F197,Lists!$C$72:$R$232,COLUMNS(Lists!$C$69:Q$69),0)*VLOOKUP(BQ$3,Conversions!$B$12:$E$34,4,0)))</f>
        <v>0</v>
      </c>
      <c r="AN197" s="334">
        <f>IF($F197="",0,IF($F197="Weighted Average",$H197*VLOOKUP($D197&amp;" (Operation)",Lists!$C$72:$R$232,COLUMNS(Lists!$C$69:R$69),0)*VLOOKUP(BR$3,Conversions!$B$12:$E$34,4,0),$H197*VLOOKUP($F197,Lists!$C$72:$R$232,COLUMNS(Lists!$C$69:R$69),0)*VLOOKUP(BR$3,Conversions!$B$12:$E$34,4,0)))</f>
        <v>0</v>
      </c>
      <c r="AO197" s="330">
        <f t="shared" si="231"/>
        <v>0</v>
      </c>
      <c r="AP197" s="333">
        <f>IF($F197="",0,IF($F197="Weighted Average",$I197*VLOOKUP($D197&amp;" (Disposal)",Lists!$C$72:$R$232,COLUMNS(Lists!$C$69:E$69),0)*VLOOKUP(BE$3,Conversions!$B$12:$E$34,4,0),$I197*VLOOKUP($F197,Lists!$C$72:$R$232,COLUMNS(Lists!$C$69:E$69),0)*VLOOKUP(BE$3,Conversions!$B$12:$E$34,4,0)))</f>
        <v>0</v>
      </c>
      <c r="AQ197" s="333">
        <f>IF($F197="",0,IF($F197="Weighted Average",$I197*VLOOKUP($D197&amp;" (Disposal)",Lists!$C$72:$R$232,COLUMNS(Lists!$C$69:F$69),0)*VLOOKUP(BF$3,Conversions!$B$12:$E$34,4,0),$I197*VLOOKUP($F197,Lists!$C$72:$R$232,COLUMNS(Lists!$C$69:F$69),0)*VLOOKUP(BF$3,Conversions!$B$12:$E$34,4,0)))</f>
        <v>0</v>
      </c>
      <c r="AR197" s="333">
        <f>IF($F197="",0,IF($F197="Weighted Average",$I197*VLOOKUP($D197&amp;" (Disposal)",Lists!$C$72:$R$232,COLUMNS(Lists!$C$69:G$69),0)*VLOOKUP(BG$3,Conversions!$B$12:$E$34,4,0),$I197*VLOOKUP($F197,Lists!$C$72:$R$232,COLUMNS(Lists!$C$69:G$69),0)*VLOOKUP(BG$3,Conversions!$B$12:$E$34,4,0)))</f>
        <v>0</v>
      </c>
      <c r="AS197" s="333">
        <f>IF($F197="",0,IF($F197="Weighted Average",$I197*VLOOKUP($D197&amp;" (Disposal)",Lists!$C$72:$R$232,COLUMNS(Lists!$C$69:H$69),0)*VLOOKUP(BH$3,Conversions!$B$12:$E$34,4,0),$I197*VLOOKUP($F197,Lists!$C$72:$R$232,COLUMNS(Lists!$C$69:H$69),0)*VLOOKUP(BH$3,Conversions!$B$12:$E$34,4,0)))</f>
        <v>0</v>
      </c>
      <c r="AT197" s="333">
        <f>IF($F197="",0,IF($F197="Weighted Average",$I197*VLOOKUP($D197&amp;" (Disposal)",Lists!$C$72:$R$232,COLUMNS(Lists!$C$69:I$69),0)*VLOOKUP(BI$3,Conversions!$B$12:$E$34,4,0),$I197*VLOOKUP($F197,Lists!$C$72:$R$232,COLUMNS(Lists!$C$69:I$69),0)*VLOOKUP(BI$3,Conversions!$B$12:$E$34,4,0)))</f>
        <v>0</v>
      </c>
      <c r="AU197" s="333">
        <f>IF($F197="",0,IF($F197="Weighted Average",$I197*VLOOKUP($D197&amp;" (Disposal)",Lists!$C$72:$R$232,COLUMNS(Lists!$C$69:J$69),0)*VLOOKUP(BJ$3,Conversions!$B$12:$E$34,4,0),$I197*VLOOKUP($F197,Lists!$C$72:$R$232,COLUMNS(Lists!$C$69:J$69),0)*VLOOKUP(BJ$3,Conversions!$B$12:$E$34,4,0)))</f>
        <v>0</v>
      </c>
      <c r="AV197" s="333">
        <f>IF($F197="",0,IF($F197="Weighted Average",$I197*VLOOKUP($D197&amp;" (Disposal)",Lists!$C$72:$R$232,COLUMNS(Lists!$C$69:K$69),0)*VLOOKUP(BK$3,Conversions!$B$12:$E$34,4,0),$I197*VLOOKUP($F197,Lists!$C$72:$R$232,COLUMNS(Lists!$C$69:K$69),0)*VLOOKUP(BK$3,Conversions!$B$12:$E$34,4,0)))</f>
        <v>0</v>
      </c>
      <c r="AW197" s="333">
        <f>IF($F197="",0,IF($F197="Weighted Average",$I197*VLOOKUP($D197&amp;" (Disposal)",Lists!$C$72:$R$232,COLUMNS(Lists!$C$69:L$69),0)*VLOOKUP(BL$3,Conversions!$B$12:$E$34,4,0),$I197*VLOOKUP($F197,Lists!$C$72:$R$232,COLUMNS(Lists!$C$69:L$69),0)*VLOOKUP(BL$3,Conversions!$B$12:$E$34,4,0)))</f>
        <v>0</v>
      </c>
      <c r="AX197" s="333">
        <f>IF($F197="",0,IF($F197="Weighted Average",$I197*VLOOKUP($D197&amp;" (Disposal)",Lists!$C$72:$R$232,COLUMNS(Lists!$C$69:M$69),0)*VLOOKUP(BM$3,Conversions!$B$12:$E$34,4,0),$I197*VLOOKUP($F197,Lists!$C$72:$R$232,COLUMNS(Lists!$C$69:M$69),0)*VLOOKUP(BM$3,Conversions!$B$12:$E$34,4,0)))</f>
        <v>0</v>
      </c>
      <c r="AY197" s="333">
        <f>IF($F197="",0,IF($F197="Weighted Average",$I197*VLOOKUP($D197&amp;" (Disposal)",Lists!$C$72:$R$232,COLUMNS(Lists!$C$69:N$69),0)*VLOOKUP(BN$3,Conversions!$B$12:$E$34,4,0),$I197*VLOOKUP($F197,Lists!$C$72:$R$232,COLUMNS(Lists!$C$69:N$69),0)*VLOOKUP(BN$3,Conversions!$B$12:$E$34,4,0)))</f>
        <v>0</v>
      </c>
      <c r="AZ197" s="333">
        <f>IF($F197="",0,IF($F197="Weighted Average",$I197*VLOOKUP($D197&amp;" (Disposal)",Lists!$C$72:$R$232,COLUMNS(Lists!$C$69:O$69),0)*VLOOKUP(BO$3,Conversions!$B$12:$E$34,4,0),$I197*VLOOKUP($F197,Lists!$C$72:$R$232,COLUMNS(Lists!$C$69:O$69),0)*VLOOKUP(BO$3,Conversions!$B$12:$E$34,4,0)))</f>
        <v>0</v>
      </c>
      <c r="BA197" s="333">
        <f>IF($F197="",0,IF($F197="Weighted Average",$I197*VLOOKUP($D197&amp;" (Disposal)",Lists!$C$72:$R$232,COLUMNS(Lists!$C$69:P$69),0)*VLOOKUP(BP$3,Conversions!$B$12:$E$34,4,0),$I197*VLOOKUP($F197,Lists!$C$72:$R$232,COLUMNS(Lists!$C$69:P$69),0)*VLOOKUP(BP$3,Conversions!$B$12:$E$34,4,0)))</f>
        <v>0</v>
      </c>
      <c r="BB197" s="333">
        <f>IF($F197="",0,IF($F197="Weighted Average",$I197*VLOOKUP($D197&amp;" (Disposal)",Lists!$C$72:$R$232,COLUMNS(Lists!$C$69:Q$69),0)*VLOOKUP(BQ$3,Conversions!$B$12:$E$34,4,0),$I197*VLOOKUP($F197,Lists!$C$72:$R$232,COLUMNS(Lists!$C$69:Q$69),0)*VLOOKUP(BQ$3,Conversions!$B$12:$E$34,4,0)))</f>
        <v>0</v>
      </c>
      <c r="BC197" s="333">
        <f>IF($F197="",0,IF($F197="Weighted Average",$I197*VLOOKUP($D197&amp;" (Disposal)",Lists!$C$72:$R$232,COLUMNS(Lists!$C$69:R$69),0)*VLOOKUP(BR$3,Conversions!$B$12:$E$34,4,0),$I197*VLOOKUP($F197,Lists!$C$72:$R$232,COLUMNS(Lists!$C$69:R$69),0)*VLOOKUP(BR$3,Conversions!$B$12:$E$34,4,0)))</f>
        <v>0</v>
      </c>
      <c r="BD197" s="333">
        <f t="shared" si="232"/>
        <v>0</v>
      </c>
      <c r="BE197" s="330">
        <f t="shared" si="233"/>
        <v>0</v>
      </c>
      <c r="BF197" s="330">
        <f t="shared" si="214"/>
        <v>0</v>
      </c>
      <c r="BG197" s="330">
        <f t="shared" si="215"/>
        <v>0</v>
      </c>
      <c r="BH197" s="330">
        <f t="shared" si="216"/>
        <v>0</v>
      </c>
      <c r="BI197" s="330">
        <f t="shared" si="217"/>
        <v>0</v>
      </c>
      <c r="BJ197" s="330">
        <f t="shared" si="218"/>
        <v>0</v>
      </c>
      <c r="BK197" s="330">
        <f t="shared" si="219"/>
        <v>0</v>
      </c>
      <c r="BL197" s="330">
        <f t="shared" si="220"/>
        <v>0</v>
      </c>
      <c r="BM197" s="330">
        <f t="shared" si="221"/>
        <v>0</v>
      </c>
      <c r="BN197" s="330">
        <f t="shared" si="222"/>
        <v>0</v>
      </c>
      <c r="BO197" s="330">
        <f t="shared" si="223"/>
        <v>0</v>
      </c>
      <c r="BP197" s="330">
        <f t="shared" si="224"/>
        <v>0</v>
      </c>
      <c r="BQ197" s="330">
        <f t="shared" si="225"/>
        <v>0</v>
      </c>
      <c r="BR197" s="330">
        <f t="shared" si="226"/>
        <v>0</v>
      </c>
      <c r="BS197" s="330">
        <f t="shared" si="227"/>
        <v>0</v>
      </c>
      <c r="BT197" s="329">
        <f>IF($F197="",0,IF($F197="Weighted Average",$BS197*VLOOKUP($D197,'Default Values'!$B$78:$V$97,COLUMNS('Default Values'!$B$77:G$77),0),0))</f>
        <v>0</v>
      </c>
      <c r="BU197" s="329">
        <f>IF($F197="",0,IF($F197="Weighted Average",$BS197*VLOOKUP($D197,'Default Values'!$B$78:$V$97,COLUMNS('Default Values'!$B$77:H$77),0),0))</f>
        <v>0</v>
      </c>
      <c r="BV197" s="329">
        <f>IF($F197="",0,IF($F197="Weighted Average",$BS197*VLOOKUP($D197,'Default Values'!$B$78:$V$97,COLUMNS('Default Values'!$B$77:I$77),0),0))</f>
        <v>0</v>
      </c>
      <c r="BW197" s="329">
        <f>IF($F197="",0,IF($F197="Weighted Average",$BS197*VLOOKUP($D197,'Default Values'!$B$78:$V$97,COLUMNS('Default Values'!$B$77:J$77),0),0))</f>
        <v>0</v>
      </c>
      <c r="BX197" s="329">
        <f>IF($F197="",0,IF($F197="Weighted Average",$BS197*VLOOKUP($D197,'Default Values'!$B$78:$V$97,COLUMNS('Default Values'!$B$77:K$77),0),0))</f>
        <v>0</v>
      </c>
      <c r="BY197" s="329">
        <f>IF($F197="",0,IF($F197="Weighted Average",$BS197*VLOOKUP($D197,'Default Values'!$B$78:$V$97,COLUMNS('Default Values'!$B$77:L$77),0),0))</f>
        <v>0</v>
      </c>
      <c r="BZ197" s="329">
        <f>IF($F197="",0,IF($F197="Weighted Average",$BS197*VLOOKUP($D197,'Default Values'!$B$78:$V$97,COLUMNS('Default Values'!$B$77:M$77),0),0))</f>
        <v>0</v>
      </c>
      <c r="CA197" s="329">
        <f>IF($F197="",0,IF($F197="Weighted Average",$BS197*VLOOKUP($D197,'Default Values'!$B$78:$V$97,COLUMNS('Default Values'!$B$77:N$77),0),0))</f>
        <v>0</v>
      </c>
      <c r="CB197" s="329">
        <f>IF($F197="",0,IF($F197="Weighted Average",$BS197*VLOOKUP($D197,'Default Values'!$B$78:$V$97,COLUMNS('Default Values'!$B$77:O$77),0),0))</f>
        <v>0</v>
      </c>
      <c r="CC197" s="329">
        <f>IF($F197="",0,IF($F197="Weighted Average",$BS197*VLOOKUP($D197,'Default Values'!$B$78:$V$97,COLUMNS('Default Values'!$B$77:P$77),0),0))</f>
        <v>0</v>
      </c>
      <c r="CD197" s="329">
        <f>IF($F197="",0,IF($F197="Weighted Average",$BS197*VLOOKUP($D197,'Default Values'!$B$78:$V$97,COLUMNS('Default Values'!$B$77:Q$77),0),0))</f>
        <v>0</v>
      </c>
      <c r="CE197" s="329">
        <f>IF($F197="",0,IF($F197="Weighted Average",$BS197*VLOOKUP($D197,'Default Values'!$B$78:$V$97,COLUMNS('Default Values'!$B$77:R$77),0),0))</f>
        <v>0</v>
      </c>
      <c r="CF197" s="329">
        <f>IF($F197="",0,IF($F197="Weighted Average",$BS197*VLOOKUP($D197,'Default Values'!$B$78:$V$97,COLUMNS('Default Values'!$B$77:S$77),0),0))</f>
        <v>0</v>
      </c>
      <c r="CG197" s="329">
        <f>IF($F197="",0,IF($F197="Weighted Average",$BS197*VLOOKUP($D197,'Default Values'!$B$78:$V$97,COLUMNS('Default Values'!$B$77:T$77),0),0))</f>
        <v>0</v>
      </c>
      <c r="CH197" s="329">
        <f>IF($F197="",0,IF($F197="Weighted Average",$BS197*VLOOKUP($D197,'Default Values'!$B$78:$V$97,COLUMNS('Default Values'!$B$77:U$77),0),0))</f>
        <v>0</v>
      </c>
      <c r="CI197" s="329">
        <f>IF($F197="",0,IF($F197="Weighted Average",$BS197*VLOOKUP($D197,'Default Values'!$B$78:$V$97,COLUMNS('Default Values'!$B$77:V$77),0),0))</f>
        <v>0</v>
      </c>
      <c r="CJ197" s="331">
        <f t="shared" si="267"/>
        <v>0</v>
      </c>
      <c r="CK197" s="330">
        <f t="shared" si="268"/>
        <v>0</v>
      </c>
      <c r="CL197" s="330">
        <f t="shared" si="269"/>
        <v>0</v>
      </c>
      <c r="CM197" s="330">
        <f t="shared" si="270"/>
        <v>0</v>
      </c>
      <c r="CN197" s="330">
        <f t="shared" si="271"/>
        <v>0</v>
      </c>
      <c r="CO197" s="330">
        <f t="shared" si="272"/>
        <v>0</v>
      </c>
      <c r="CP197" s="330">
        <f t="shared" si="273"/>
        <v>0</v>
      </c>
      <c r="CQ197" s="330">
        <f t="shared" ref="CQ197:CQ203" si="279">CC197+CD197</f>
        <v>0</v>
      </c>
      <c r="CR197" s="330">
        <f t="shared" si="274"/>
        <v>0</v>
      </c>
      <c r="CS197" s="330">
        <f t="shared" si="275"/>
        <v>0</v>
      </c>
      <c r="CT197" s="330">
        <f t="shared" si="276"/>
        <v>0</v>
      </c>
      <c r="CU197" s="330">
        <f t="shared" si="277"/>
        <v>0</v>
      </c>
      <c r="CV197" s="330">
        <f t="shared" si="277"/>
        <v>0</v>
      </c>
      <c r="CW197" s="330">
        <f t="shared" si="277"/>
        <v>0</v>
      </c>
      <c r="CX197" s="330">
        <f t="shared" si="277"/>
        <v>0</v>
      </c>
      <c r="CY197" s="330">
        <f t="shared" si="277"/>
        <v>0</v>
      </c>
      <c r="CZ197" s="330">
        <f t="shared" si="277"/>
        <v>0</v>
      </c>
      <c r="DA197" s="330">
        <f t="shared" si="277"/>
        <v>0</v>
      </c>
      <c r="DB197" s="330">
        <f t="shared" si="277"/>
        <v>0</v>
      </c>
      <c r="DC197" s="330">
        <f t="shared" si="277"/>
        <v>0</v>
      </c>
      <c r="DD197" s="330">
        <f t="shared" si="277"/>
        <v>0</v>
      </c>
      <c r="DE197" s="330">
        <f t="shared" si="278"/>
        <v>0</v>
      </c>
      <c r="DF197" s="330">
        <f t="shared" si="278"/>
        <v>0</v>
      </c>
      <c r="DG197" s="330">
        <f t="shared" si="278"/>
        <v>0</v>
      </c>
      <c r="DH197" s="330">
        <f t="shared" si="278"/>
        <v>0</v>
      </c>
      <c r="DI197" s="330">
        <f t="shared" si="278"/>
        <v>0</v>
      </c>
      <c r="DJ197" s="330">
        <f t="shared" si="278"/>
        <v>0</v>
      </c>
      <c r="DK197" s="330">
        <f t="shared" si="278"/>
        <v>0</v>
      </c>
      <c r="DL197" s="330">
        <f t="shared" si="278"/>
        <v>0</v>
      </c>
      <c r="DM197" s="330">
        <f t="shared" si="278"/>
        <v>0</v>
      </c>
      <c r="DN197" s="330">
        <f t="shared" si="278"/>
        <v>0</v>
      </c>
      <c r="DO197" s="330">
        <f t="shared" si="278"/>
        <v>0</v>
      </c>
      <c r="DP197" s="330">
        <f t="shared" si="213"/>
        <v>0</v>
      </c>
      <c r="DQ197" s="217"/>
      <c r="DR197" s="217"/>
      <c r="DS197" s="217"/>
      <c r="DT197" s="217"/>
    </row>
    <row r="198" spans="1:124" x14ac:dyDescent="0.3">
      <c r="A198" s="324"/>
      <c r="B198" s="221" t="s">
        <v>307</v>
      </c>
      <c r="C198" s="221" t="str">
        <f>IF('Simplified Screening 2'!C49=0,"",'Simplified Screening 2'!C49)</f>
        <v/>
      </c>
      <c r="D198" s="221" t="str">
        <f>IF('Simplified Screening 2'!D49=0,"",'Simplified Screening 2'!D49)</f>
        <v/>
      </c>
      <c r="E198" s="221"/>
      <c r="F198" s="221" t="str">
        <f>'Simplified Screening 2'!J49</f>
        <v/>
      </c>
      <c r="G198" s="335" t="str">
        <f>IF(D198="","",'Simplified Screening 2'!G49/1000*VLOOKUP(D198,'Default Values'!$B$78:$F$97,COLUMNS('Default Values'!$B$77:$D$77),0)/1000)</f>
        <v/>
      </c>
      <c r="H198" s="335" t="str">
        <f>IF(D198="","",'Simplified Screening 2'!G49/1000*VLOOKUP(D198,'Default Values'!$B$78:$F$97,COLUMNS('Default Values'!$B$77:$E$77),0)/1000)</f>
        <v/>
      </c>
      <c r="I198" s="335" t="str">
        <f>IF(D198="","",'Simplified Screening 2'!G49/1000*VLOOKUP(D198,'Default Values'!$B$78:$F$97,COLUMNS('Default Values'!$B$77:$F$77),0)/1000)</f>
        <v/>
      </c>
      <c r="J198" s="325">
        <f>IF('Simplified Screening 2'!H49=0,0,'Simplified Screening 2'!H49)</f>
        <v>0</v>
      </c>
      <c r="K198" s="465"/>
      <c r="L198" s="333">
        <f>IF($F198="",0,IF($F198="Weighted Average",$G198*VLOOKUP($D198&amp;" (Install)",Lists!$C$72:$R$232,COLUMNS(Lists!$C$69:E$69),0)*VLOOKUP(BE$3,Conversions!$B$12:$E$34,4,0),$G198*VLOOKUP($F198,Lists!$C$72:$R$232,COLUMNS(Lists!$C$69:E$69),0)*VLOOKUP(BE$3,Conversions!$B$12:$E$34,4,0)))</f>
        <v>0</v>
      </c>
      <c r="M198" s="333">
        <f>IF($F198="",0,IF($F198="Weighted Average",$G198*VLOOKUP($D198&amp;" (Install)",Lists!$C$72:$R$232,COLUMNS(Lists!$C$69:F$69),0)*VLOOKUP(BF$3,Conversions!$B$12:$E$34,4,0),$G198*VLOOKUP($F198,Lists!$C$72:$R$232,COLUMNS(Lists!$C$69:F$69),0)*VLOOKUP(BF$3,Conversions!$B$12:$E$34,4,0)))</f>
        <v>0</v>
      </c>
      <c r="N198" s="333">
        <f>IF($F198="",0,IF($F198="Weighted Average",$G198*VLOOKUP($D198&amp;" (Install)",Lists!$C$72:$R$232,COLUMNS(Lists!$C$69:G$69),0)*VLOOKUP(BG$3,Conversions!$B$12:$E$34,4,0),$G198*VLOOKUP($F198,Lists!$C$72:$R$232,COLUMNS(Lists!$C$69:G$69),0)*VLOOKUP(BG$3,Conversions!$B$12:$E$34,4,0)))</f>
        <v>0</v>
      </c>
      <c r="O198" s="333">
        <f>IF($F198="",0,IF($F198="Weighted Average",$G198*VLOOKUP($D198&amp;" (Install)",Lists!$C$72:$R$232,COLUMNS(Lists!$C$69:H$69),0)*VLOOKUP(BH$3,Conversions!$B$12:$E$34,4,0),$G198*VLOOKUP($F198,Lists!$C$72:$R$232,COLUMNS(Lists!$C$69:H$69),0)*VLOOKUP(BH$3,Conversions!$B$12:$E$34,4,0)))</f>
        <v>0</v>
      </c>
      <c r="P198" s="333">
        <f>IF($F198="",0,IF($F198="Weighted Average",$G198*VLOOKUP($D198&amp;" (Install)",Lists!$C$72:$R$232,COLUMNS(Lists!$C$69:I$69),0)*VLOOKUP(BI$3,Conversions!$B$12:$E$34,4,0),$G198*VLOOKUP($F198,Lists!$C$72:$R$232,COLUMNS(Lists!$C$69:I$69),0)*VLOOKUP(BI$3,Conversions!$B$12:$E$34,4,0)))</f>
        <v>0</v>
      </c>
      <c r="Q198" s="333">
        <f>IF($F198="",0,IF($F198="Weighted Average",$G198*VLOOKUP($D198&amp;" (Install)",Lists!$C$72:$R$232,COLUMNS(Lists!$C$69:J$69),0)*VLOOKUP(BJ$3,Conversions!$B$12:$E$34,4,0),$G198*VLOOKUP($F198,Lists!$C$72:$R$232,COLUMNS(Lists!$C$69:J$69),0)*VLOOKUP(BJ$3,Conversions!$B$12:$E$34,4,0)))</f>
        <v>0</v>
      </c>
      <c r="R198" s="333">
        <f>IF($F198="",0,IF($F198="Weighted Average",$G198*VLOOKUP($D198&amp;" (Install)",Lists!$C$72:$R$232,COLUMNS(Lists!$C$69:K$69),0)*VLOOKUP(BK$3,Conversions!$B$12:$E$34,4,0),$G198*VLOOKUP($F198,Lists!$C$72:$R$232,COLUMNS(Lists!$C$69:K$69),0)*VLOOKUP(BK$3,Conversions!$B$12:$E$34,4,0)))</f>
        <v>0</v>
      </c>
      <c r="S198" s="333">
        <f>IF($F198="",0,IF($F198="Weighted Average",$G198*VLOOKUP($D198&amp;" (Install)",Lists!$C$72:$R$232,COLUMNS(Lists!$C$69:L$69),0)*VLOOKUP(BL$3,Conversions!$B$12:$E$34,4,0),$G198*VLOOKUP($F198,Lists!$C$72:$R$232,COLUMNS(Lists!$C$69:L$69),0)*VLOOKUP(BL$3,Conversions!$B$12:$E$34,4,0)))</f>
        <v>0</v>
      </c>
      <c r="T198" s="333">
        <f>IF($F198="",0,IF($F198="Weighted Average",$G198*VLOOKUP($D198&amp;" (Install)",Lists!$C$72:$R$232,COLUMNS(Lists!$C$69:M$69),0)*VLOOKUP(BM$3,Conversions!$B$12:$E$34,4,0),$G198*VLOOKUP($F198,Lists!$C$72:$R$232,COLUMNS(Lists!$C$69:M$69),0)*VLOOKUP(BM$3,Conversions!$B$12:$E$34,4,0)))</f>
        <v>0</v>
      </c>
      <c r="U198" s="333">
        <f>IF($F198="",0,IF($F198="Weighted Average",$G198*VLOOKUP($D198&amp;" (Install)",Lists!$C$72:$R$232,COLUMNS(Lists!$C$69:N$69),0)*VLOOKUP(BN$3,Conversions!$B$12:$E$34,4,0),$G198*VLOOKUP($F198,Lists!$C$72:$R$232,COLUMNS(Lists!$C$69:N$69),0)*VLOOKUP(BN$3,Conversions!$B$12:$E$34,4,0)))</f>
        <v>0</v>
      </c>
      <c r="V198" s="333">
        <f>IF($F198="",0,IF($F198="Weighted Average",$G198*VLOOKUP($D198&amp;" (Install)",Lists!$C$72:$R$232,COLUMNS(Lists!$C$69:O$69),0)*VLOOKUP(BO$3,Conversions!$B$12:$E$34,4,0),$G198*VLOOKUP($F198,Lists!$C$72:$R$232,COLUMNS(Lists!$C$69:O$69),0)*VLOOKUP(BO$3,Conversions!$B$12:$E$34,4,0)))</f>
        <v>0</v>
      </c>
      <c r="W198" s="333">
        <f>IF($F198="",0,IF($F198="Weighted Average",$G198*VLOOKUP($D198&amp;" (Install)",Lists!$C$72:$R$232,COLUMNS(Lists!$C$69:P$69),0)*VLOOKUP(BP$3,Conversions!$B$12:$E$34,4,0),$G198*VLOOKUP($F198,Lists!$C$72:$R$232,COLUMNS(Lists!$C$69:P$69),0)*VLOOKUP(BP$3,Conversions!$B$12:$E$34,4,0)))</f>
        <v>0</v>
      </c>
      <c r="X198" s="333">
        <f>IF($F198="",0,IF($F198="Weighted Average",$G198*VLOOKUP($D198&amp;" (Install)",Lists!$C$72:$R$232,COLUMNS(Lists!$C$69:Q$69),0)*VLOOKUP(BQ$3,Conversions!$B$12:$E$34,4,0),$G198*VLOOKUP($F198,Lists!$C$72:$R$232,COLUMNS(Lists!$C$69:Q$69),0)*VLOOKUP(BQ$3,Conversions!$B$12:$E$34,4,0)))</f>
        <v>0</v>
      </c>
      <c r="Y198" s="333">
        <f>IF($F198="",0,IF($F198="Weighted Average",$G198*VLOOKUP($D198&amp;" (Install)",Lists!$C$72:$R$232,COLUMNS(Lists!$C$69:R$69),0)*VLOOKUP(BR$3,Conversions!$B$12:$E$34,4,0),$G198*VLOOKUP($F198,Lists!$C$72:$R$232,COLUMNS(Lists!$C$69:R$69),0)*VLOOKUP(BR$3,Conversions!$B$12:$E$34,4,0)))</f>
        <v>0</v>
      </c>
      <c r="Z198" s="325">
        <f t="shared" si="230"/>
        <v>0</v>
      </c>
      <c r="AA198" s="334">
        <f>IF($F198="",0,IF($F198="Weighted Average",$H198*VLOOKUP($D198&amp;" (Operation)",Lists!$C$72:$R$232,COLUMNS(Lists!$C$69:E$69),0)*VLOOKUP(BE$3,Conversions!$B$12:$E$34,4,0),$H198*VLOOKUP($F198,Lists!$C$72:$R$232,COLUMNS(Lists!$C$69:E$69),0)*VLOOKUP(BE$3,Conversions!$B$12:$E$34,4,0)))</f>
        <v>0</v>
      </c>
      <c r="AB198" s="334">
        <f>IF($F198="",0,IF($F198="Weighted Average",$H198*VLOOKUP($D198&amp;" (Operation)",Lists!$C$72:$R$232,COLUMNS(Lists!$C$69:F$69),0)*VLOOKUP(BF$3,Conversions!$B$12:$E$34,4,0),$H198*VLOOKUP($F198,Lists!$C$72:$R$232,COLUMNS(Lists!$C$69:F$69),0)*VLOOKUP(BF$3,Conversions!$B$12:$E$34,4,0)))</f>
        <v>0</v>
      </c>
      <c r="AC198" s="334">
        <f>IF($F198="",0,IF($F198="Weighted Average",$H198*VLOOKUP($D198&amp;" (Operation)",Lists!$C$72:$R$232,COLUMNS(Lists!$C$69:G$69),0)*VLOOKUP(BG$3,Conversions!$B$12:$E$34,4,0),$H198*VLOOKUP($F198,Lists!$C$72:$R$232,COLUMNS(Lists!$C$69:G$69),0)*VLOOKUP(BG$3,Conversions!$B$12:$E$34,4,0)))</f>
        <v>0</v>
      </c>
      <c r="AD198" s="334">
        <f>IF($F198="",0,IF($F198="Weighted Average",$H198*VLOOKUP($D198&amp;" (Operation)",Lists!$C$72:$R$232,COLUMNS(Lists!$C$69:H$69),0)*VLOOKUP(BH$3,Conversions!$B$12:$E$34,4,0),$H198*VLOOKUP($F198,Lists!$C$72:$R$232,COLUMNS(Lists!$C$69:H$69),0)*VLOOKUP(BH$3,Conversions!$B$12:$E$34,4,0)))</f>
        <v>0</v>
      </c>
      <c r="AE198" s="334">
        <f>IF($F198="",0,IF($F198="Weighted Average",$H198*VLOOKUP($D198&amp;" (Operation)",Lists!$C$72:$R$232,COLUMNS(Lists!$C$69:I$69),0)*VLOOKUP(BI$3,Conversions!$B$12:$E$34,4,0),$H198*VLOOKUP($F198,Lists!$C$72:$R$232,COLUMNS(Lists!$C$69:I$69),0)*VLOOKUP(BI$3,Conversions!$B$12:$E$34,4,0)))</f>
        <v>0</v>
      </c>
      <c r="AF198" s="334">
        <f>IF($F198="",0,IF($F198="Weighted Average",$H198*VLOOKUP($D198&amp;" (Operation)",Lists!$C$72:$R$232,COLUMNS(Lists!$C$69:J$69),0)*VLOOKUP(BJ$3,Conversions!$B$12:$E$34,4,0),$H198*VLOOKUP($F198,Lists!$C$72:$R$232,COLUMNS(Lists!$C$69:J$69),0)*VLOOKUP(BJ$3,Conversions!$B$12:$E$34,4,0)))</f>
        <v>0</v>
      </c>
      <c r="AG198" s="334">
        <f>IF($F198="",0,IF($F198="Weighted Average",$H198*VLOOKUP($D198&amp;" (Operation)",Lists!$C$72:$R$232,COLUMNS(Lists!$C$69:K$69),0)*VLOOKUP(BK$3,Conversions!$B$12:$E$34,4,0),$H198*VLOOKUP($F198,Lists!$C$72:$R$232,COLUMNS(Lists!$C$69:K$69),0)*VLOOKUP(BK$3,Conversions!$B$12:$E$34,4,0)))</f>
        <v>0</v>
      </c>
      <c r="AH198" s="334">
        <f>IF($F198="",0,IF($F198="Weighted Average",$H198*VLOOKUP($D198&amp;" (Operation)",Lists!$C$72:$R$232,COLUMNS(Lists!$C$69:L$69),0)*VLOOKUP(BL$3,Conversions!$B$12:$E$34,4,0),$H198*VLOOKUP($F198,Lists!$C$72:$R$232,COLUMNS(Lists!$C$69:L$69),0)*VLOOKUP(BL$3,Conversions!$B$12:$E$34,4,0)))</f>
        <v>0</v>
      </c>
      <c r="AI198" s="334">
        <f>IF($F198="",0,IF($F198="Weighted Average",$H198*VLOOKUP($D198&amp;" (Operation)",Lists!$C$72:$R$232,COLUMNS(Lists!$C$69:M$69),0)*VLOOKUP(BM$3,Conversions!$B$12:$E$34,4,0),$H198*VLOOKUP($F198,Lists!$C$72:$R$232,COLUMNS(Lists!$C$69:M$69),0)*VLOOKUP(BM$3,Conversions!$B$12:$E$34,4,0)))</f>
        <v>0</v>
      </c>
      <c r="AJ198" s="334">
        <f>IF($F198="",0,IF($F198="Weighted Average",$H198*VLOOKUP($D198&amp;" (Operation)",Lists!$C$72:$R$232,COLUMNS(Lists!$C$69:N$69),0)*VLOOKUP(BN$3,Conversions!$B$12:$E$34,4,0),$H198*VLOOKUP($F198,Lists!$C$72:$R$232,COLUMNS(Lists!$C$69:N$69),0)*VLOOKUP(BN$3,Conversions!$B$12:$E$34,4,0)))</f>
        <v>0</v>
      </c>
      <c r="AK198" s="334">
        <f>IF($F198="",0,IF($F198="Weighted Average",$H198*VLOOKUP($D198&amp;" (Operation)",Lists!$C$72:$R$232,COLUMNS(Lists!$C$69:O$69),0)*VLOOKUP(BO$3,Conversions!$B$12:$E$34,4,0),$H198*VLOOKUP($F198,Lists!$C$72:$R$232,COLUMNS(Lists!$C$69:O$69),0)*VLOOKUP(BO$3,Conversions!$B$12:$E$34,4,0)))</f>
        <v>0</v>
      </c>
      <c r="AL198" s="334">
        <f>IF($F198="",0,IF($F198="Weighted Average",$H198*VLOOKUP($D198&amp;" (Operation)",Lists!$C$72:$R$232,COLUMNS(Lists!$C$69:P$69),0)*VLOOKUP(BP$3,Conversions!$B$12:$E$34,4,0),$H198*VLOOKUP($F198,Lists!$C$72:$R$232,COLUMNS(Lists!$C$69:P$69),0)*VLOOKUP(BP$3,Conversions!$B$12:$E$34,4,0)))</f>
        <v>0</v>
      </c>
      <c r="AM198" s="334">
        <f>IF($F198="",0,IF($F198="Weighted Average",$H198*VLOOKUP($D198&amp;" (Operation)",Lists!$C$72:$R$232,COLUMNS(Lists!$C$69:Q$69),0)*VLOOKUP(BQ$3,Conversions!$B$12:$E$34,4,0),$H198*VLOOKUP($F198,Lists!$C$72:$R$232,COLUMNS(Lists!$C$69:Q$69),0)*VLOOKUP(BQ$3,Conversions!$B$12:$E$34,4,0)))</f>
        <v>0</v>
      </c>
      <c r="AN198" s="334">
        <f>IF($F198="",0,IF($F198="Weighted Average",$H198*VLOOKUP($D198&amp;" (Operation)",Lists!$C$72:$R$232,COLUMNS(Lists!$C$69:R$69),0)*VLOOKUP(BR$3,Conversions!$B$12:$E$34,4,0),$H198*VLOOKUP($F198,Lists!$C$72:$R$232,COLUMNS(Lists!$C$69:R$69),0)*VLOOKUP(BR$3,Conversions!$B$12:$E$34,4,0)))</f>
        <v>0</v>
      </c>
      <c r="AO198" s="330">
        <f t="shared" si="231"/>
        <v>0</v>
      </c>
      <c r="AP198" s="333">
        <f>IF($F198="",0,IF($F198="Weighted Average",$I198*VLOOKUP($D198&amp;" (Disposal)",Lists!$C$72:$R$232,COLUMNS(Lists!$C$69:E$69),0)*VLOOKUP(BE$3,Conversions!$B$12:$E$34,4,0),$I198*VLOOKUP($F198,Lists!$C$72:$R$232,COLUMNS(Lists!$C$69:E$69),0)*VLOOKUP(BE$3,Conversions!$B$12:$E$34,4,0)))</f>
        <v>0</v>
      </c>
      <c r="AQ198" s="333">
        <f>IF($F198="",0,IF($F198="Weighted Average",$I198*VLOOKUP($D198&amp;" (Disposal)",Lists!$C$72:$R$232,COLUMNS(Lists!$C$69:F$69),0)*VLOOKUP(BF$3,Conversions!$B$12:$E$34,4,0),$I198*VLOOKUP($F198,Lists!$C$72:$R$232,COLUMNS(Lists!$C$69:F$69),0)*VLOOKUP(BF$3,Conversions!$B$12:$E$34,4,0)))</f>
        <v>0</v>
      </c>
      <c r="AR198" s="333">
        <f>IF($F198="",0,IF($F198="Weighted Average",$I198*VLOOKUP($D198&amp;" (Disposal)",Lists!$C$72:$R$232,COLUMNS(Lists!$C$69:G$69),0)*VLOOKUP(BG$3,Conversions!$B$12:$E$34,4,0),$I198*VLOOKUP($F198,Lists!$C$72:$R$232,COLUMNS(Lists!$C$69:G$69),0)*VLOOKUP(BG$3,Conversions!$B$12:$E$34,4,0)))</f>
        <v>0</v>
      </c>
      <c r="AS198" s="333">
        <f>IF($F198="",0,IF($F198="Weighted Average",$I198*VLOOKUP($D198&amp;" (Disposal)",Lists!$C$72:$R$232,COLUMNS(Lists!$C$69:H$69),0)*VLOOKUP(BH$3,Conversions!$B$12:$E$34,4,0),$I198*VLOOKUP($F198,Lists!$C$72:$R$232,COLUMNS(Lists!$C$69:H$69),0)*VLOOKUP(BH$3,Conversions!$B$12:$E$34,4,0)))</f>
        <v>0</v>
      </c>
      <c r="AT198" s="333">
        <f>IF($F198="",0,IF($F198="Weighted Average",$I198*VLOOKUP($D198&amp;" (Disposal)",Lists!$C$72:$R$232,COLUMNS(Lists!$C$69:I$69),0)*VLOOKUP(BI$3,Conversions!$B$12:$E$34,4,0),$I198*VLOOKUP($F198,Lists!$C$72:$R$232,COLUMNS(Lists!$C$69:I$69),0)*VLOOKUP(BI$3,Conversions!$B$12:$E$34,4,0)))</f>
        <v>0</v>
      </c>
      <c r="AU198" s="333">
        <f>IF($F198="",0,IF($F198="Weighted Average",$I198*VLOOKUP($D198&amp;" (Disposal)",Lists!$C$72:$R$232,COLUMNS(Lists!$C$69:J$69),0)*VLOOKUP(BJ$3,Conversions!$B$12:$E$34,4,0),$I198*VLOOKUP($F198,Lists!$C$72:$R$232,COLUMNS(Lists!$C$69:J$69),0)*VLOOKUP(BJ$3,Conversions!$B$12:$E$34,4,0)))</f>
        <v>0</v>
      </c>
      <c r="AV198" s="333">
        <f>IF($F198="",0,IF($F198="Weighted Average",$I198*VLOOKUP($D198&amp;" (Disposal)",Lists!$C$72:$R$232,COLUMNS(Lists!$C$69:K$69),0)*VLOOKUP(BK$3,Conversions!$B$12:$E$34,4,0),$I198*VLOOKUP($F198,Lists!$C$72:$R$232,COLUMNS(Lists!$C$69:K$69),0)*VLOOKUP(BK$3,Conversions!$B$12:$E$34,4,0)))</f>
        <v>0</v>
      </c>
      <c r="AW198" s="333">
        <f>IF($F198="",0,IF($F198="Weighted Average",$I198*VLOOKUP($D198&amp;" (Disposal)",Lists!$C$72:$R$232,COLUMNS(Lists!$C$69:L$69),0)*VLOOKUP(BL$3,Conversions!$B$12:$E$34,4,0),$I198*VLOOKUP($F198,Lists!$C$72:$R$232,COLUMNS(Lists!$C$69:L$69),0)*VLOOKUP(BL$3,Conversions!$B$12:$E$34,4,0)))</f>
        <v>0</v>
      </c>
      <c r="AX198" s="333">
        <f>IF($F198="",0,IF($F198="Weighted Average",$I198*VLOOKUP($D198&amp;" (Disposal)",Lists!$C$72:$R$232,COLUMNS(Lists!$C$69:M$69),0)*VLOOKUP(BM$3,Conversions!$B$12:$E$34,4,0),$I198*VLOOKUP($F198,Lists!$C$72:$R$232,COLUMNS(Lists!$C$69:M$69),0)*VLOOKUP(BM$3,Conversions!$B$12:$E$34,4,0)))</f>
        <v>0</v>
      </c>
      <c r="AY198" s="333">
        <f>IF($F198="",0,IF($F198="Weighted Average",$I198*VLOOKUP($D198&amp;" (Disposal)",Lists!$C$72:$R$232,COLUMNS(Lists!$C$69:N$69),0)*VLOOKUP(BN$3,Conversions!$B$12:$E$34,4,0),$I198*VLOOKUP($F198,Lists!$C$72:$R$232,COLUMNS(Lists!$C$69:N$69),0)*VLOOKUP(BN$3,Conversions!$B$12:$E$34,4,0)))</f>
        <v>0</v>
      </c>
      <c r="AZ198" s="333">
        <f>IF($F198="",0,IF($F198="Weighted Average",$I198*VLOOKUP($D198&amp;" (Disposal)",Lists!$C$72:$R$232,COLUMNS(Lists!$C$69:O$69),0)*VLOOKUP(BO$3,Conversions!$B$12:$E$34,4,0),$I198*VLOOKUP($F198,Lists!$C$72:$R$232,COLUMNS(Lists!$C$69:O$69),0)*VLOOKUP(BO$3,Conversions!$B$12:$E$34,4,0)))</f>
        <v>0</v>
      </c>
      <c r="BA198" s="333">
        <f>IF($F198="",0,IF($F198="Weighted Average",$I198*VLOOKUP($D198&amp;" (Disposal)",Lists!$C$72:$R$232,COLUMNS(Lists!$C$69:P$69),0)*VLOOKUP(BP$3,Conversions!$B$12:$E$34,4,0),$I198*VLOOKUP($F198,Lists!$C$72:$R$232,COLUMNS(Lists!$C$69:P$69),0)*VLOOKUP(BP$3,Conversions!$B$12:$E$34,4,0)))</f>
        <v>0</v>
      </c>
      <c r="BB198" s="333">
        <f>IF($F198="",0,IF($F198="Weighted Average",$I198*VLOOKUP($D198&amp;" (Disposal)",Lists!$C$72:$R$232,COLUMNS(Lists!$C$69:Q$69),0)*VLOOKUP(BQ$3,Conversions!$B$12:$E$34,4,0),$I198*VLOOKUP($F198,Lists!$C$72:$R$232,COLUMNS(Lists!$C$69:Q$69),0)*VLOOKUP(BQ$3,Conversions!$B$12:$E$34,4,0)))</f>
        <v>0</v>
      </c>
      <c r="BC198" s="333">
        <f>IF($F198="",0,IF($F198="Weighted Average",$I198*VLOOKUP($D198&amp;" (Disposal)",Lists!$C$72:$R$232,COLUMNS(Lists!$C$69:R$69),0)*VLOOKUP(BR$3,Conversions!$B$12:$E$34,4,0),$I198*VLOOKUP($F198,Lists!$C$72:$R$232,COLUMNS(Lists!$C$69:R$69),0)*VLOOKUP(BR$3,Conversions!$B$12:$E$34,4,0)))</f>
        <v>0</v>
      </c>
      <c r="BD198" s="333">
        <f t="shared" si="232"/>
        <v>0</v>
      </c>
      <c r="BE198" s="330">
        <f t="shared" si="233"/>
        <v>0</v>
      </c>
      <c r="BF198" s="330">
        <f t="shared" si="214"/>
        <v>0</v>
      </c>
      <c r="BG198" s="330">
        <f t="shared" si="215"/>
        <v>0</v>
      </c>
      <c r="BH198" s="330">
        <f t="shared" si="216"/>
        <v>0</v>
      </c>
      <c r="BI198" s="330">
        <f t="shared" si="217"/>
        <v>0</v>
      </c>
      <c r="BJ198" s="330">
        <f t="shared" si="218"/>
        <v>0</v>
      </c>
      <c r="BK198" s="330">
        <f t="shared" si="219"/>
        <v>0</v>
      </c>
      <c r="BL198" s="330">
        <f t="shared" si="220"/>
        <v>0</v>
      </c>
      <c r="BM198" s="330">
        <f t="shared" si="221"/>
        <v>0</v>
      </c>
      <c r="BN198" s="330">
        <f t="shared" si="222"/>
        <v>0</v>
      </c>
      <c r="BO198" s="330">
        <f t="shared" si="223"/>
        <v>0</v>
      </c>
      <c r="BP198" s="330">
        <f t="shared" si="224"/>
        <v>0</v>
      </c>
      <c r="BQ198" s="330">
        <f t="shared" si="225"/>
        <v>0</v>
      </c>
      <c r="BR198" s="330">
        <f t="shared" si="226"/>
        <v>0</v>
      </c>
      <c r="BS198" s="330">
        <f t="shared" si="227"/>
        <v>0</v>
      </c>
      <c r="BT198" s="329">
        <f>IF($F198="",0,IF($F198="Weighted Average",$BS198*VLOOKUP($D198,'Default Values'!$B$78:$V$97,COLUMNS('Default Values'!$B$77:G$77),0),0))</f>
        <v>0</v>
      </c>
      <c r="BU198" s="329">
        <f>IF($F198="",0,IF($F198="Weighted Average",$BS198*VLOOKUP($D198,'Default Values'!$B$78:$V$97,COLUMNS('Default Values'!$B$77:H$77),0),0))</f>
        <v>0</v>
      </c>
      <c r="BV198" s="329">
        <f>IF($F198="",0,IF($F198="Weighted Average",$BS198*VLOOKUP($D198,'Default Values'!$B$78:$V$97,COLUMNS('Default Values'!$B$77:I$77),0),0))</f>
        <v>0</v>
      </c>
      <c r="BW198" s="329">
        <f>IF($F198="",0,IF($F198="Weighted Average",$BS198*VLOOKUP($D198,'Default Values'!$B$78:$V$97,COLUMNS('Default Values'!$B$77:J$77),0),0))</f>
        <v>0</v>
      </c>
      <c r="BX198" s="329">
        <f>IF($F198="",0,IF($F198="Weighted Average",$BS198*VLOOKUP($D198,'Default Values'!$B$78:$V$97,COLUMNS('Default Values'!$B$77:K$77),0),0))</f>
        <v>0</v>
      </c>
      <c r="BY198" s="329">
        <f>IF($F198="",0,IF($F198="Weighted Average",$BS198*VLOOKUP($D198,'Default Values'!$B$78:$V$97,COLUMNS('Default Values'!$B$77:L$77),0),0))</f>
        <v>0</v>
      </c>
      <c r="BZ198" s="329">
        <f>IF($F198="",0,IF($F198="Weighted Average",$BS198*VLOOKUP($D198,'Default Values'!$B$78:$V$97,COLUMNS('Default Values'!$B$77:M$77),0),0))</f>
        <v>0</v>
      </c>
      <c r="CA198" s="329">
        <f>IF($F198="",0,IF($F198="Weighted Average",$BS198*VLOOKUP($D198,'Default Values'!$B$78:$V$97,COLUMNS('Default Values'!$B$77:N$77),0),0))</f>
        <v>0</v>
      </c>
      <c r="CB198" s="329">
        <f>IF($F198="",0,IF($F198="Weighted Average",$BS198*VLOOKUP($D198,'Default Values'!$B$78:$V$97,COLUMNS('Default Values'!$B$77:O$77),0),0))</f>
        <v>0</v>
      </c>
      <c r="CC198" s="329">
        <f>IF($F198="",0,IF($F198="Weighted Average",$BS198*VLOOKUP($D198,'Default Values'!$B$78:$V$97,COLUMNS('Default Values'!$B$77:P$77),0),0))</f>
        <v>0</v>
      </c>
      <c r="CD198" s="329">
        <f>IF($F198="",0,IF($F198="Weighted Average",$BS198*VLOOKUP($D198,'Default Values'!$B$78:$V$97,COLUMNS('Default Values'!$B$77:Q$77),0),0))</f>
        <v>0</v>
      </c>
      <c r="CE198" s="329">
        <f>IF($F198="",0,IF($F198="Weighted Average",$BS198*VLOOKUP($D198,'Default Values'!$B$78:$V$97,COLUMNS('Default Values'!$B$77:R$77),0),0))</f>
        <v>0</v>
      </c>
      <c r="CF198" s="329">
        <f>IF($F198="",0,IF($F198="Weighted Average",$BS198*VLOOKUP($D198,'Default Values'!$B$78:$V$97,COLUMNS('Default Values'!$B$77:S$77),0),0))</f>
        <v>0</v>
      </c>
      <c r="CG198" s="329">
        <f>IF($F198="",0,IF($F198="Weighted Average",$BS198*VLOOKUP($D198,'Default Values'!$B$78:$V$97,COLUMNS('Default Values'!$B$77:T$77),0),0))</f>
        <v>0</v>
      </c>
      <c r="CH198" s="329">
        <f>IF($F198="",0,IF($F198="Weighted Average",$BS198*VLOOKUP($D198,'Default Values'!$B$78:$V$97,COLUMNS('Default Values'!$B$77:U$77),0),0))</f>
        <v>0</v>
      </c>
      <c r="CI198" s="329">
        <f>IF($F198="",0,IF($F198="Weighted Average",$BS198*VLOOKUP($D198,'Default Values'!$B$78:$V$97,COLUMNS('Default Values'!$B$77:V$77),0),0))</f>
        <v>0</v>
      </c>
      <c r="CJ198" s="331">
        <f t="shared" si="267"/>
        <v>0</v>
      </c>
      <c r="CK198" s="330">
        <f t="shared" si="268"/>
        <v>0</v>
      </c>
      <c r="CL198" s="330">
        <f t="shared" si="269"/>
        <v>0</v>
      </c>
      <c r="CM198" s="330">
        <f t="shared" si="270"/>
        <v>0</v>
      </c>
      <c r="CN198" s="330">
        <f t="shared" si="271"/>
        <v>0</v>
      </c>
      <c r="CO198" s="330">
        <f t="shared" si="272"/>
        <v>0</v>
      </c>
      <c r="CP198" s="330">
        <f t="shared" si="273"/>
        <v>0</v>
      </c>
      <c r="CQ198" s="330">
        <f t="shared" si="279"/>
        <v>0</v>
      </c>
      <c r="CR198" s="330">
        <f t="shared" si="274"/>
        <v>0</v>
      </c>
      <c r="CS198" s="330">
        <f t="shared" si="275"/>
        <v>0</v>
      </c>
      <c r="CT198" s="330">
        <f t="shared" si="276"/>
        <v>0</v>
      </c>
      <c r="CU198" s="330">
        <f t="shared" si="277"/>
        <v>0</v>
      </c>
      <c r="CV198" s="330">
        <f t="shared" si="277"/>
        <v>0</v>
      </c>
      <c r="CW198" s="330">
        <f t="shared" si="277"/>
        <v>0</v>
      </c>
      <c r="CX198" s="330">
        <f t="shared" si="277"/>
        <v>0</v>
      </c>
      <c r="CY198" s="330">
        <f t="shared" si="277"/>
        <v>0</v>
      </c>
      <c r="CZ198" s="330">
        <f t="shared" si="277"/>
        <v>0</v>
      </c>
      <c r="DA198" s="330">
        <f t="shared" si="277"/>
        <v>0</v>
      </c>
      <c r="DB198" s="330">
        <f t="shared" si="277"/>
        <v>0</v>
      </c>
      <c r="DC198" s="330">
        <f t="shared" si="277"/>
        <v>0</v>
      </c>
      <c r="DD198" s="330">
        <f t="shared" si="277"/>
        <v>0</v>
      </c>
      <c r="DE198" s="330">
        <f t="shared" si="278"/>
        <v>0</v>
      </c>
      <c r="DF198" s="330">
        <f t="shared" si="278"/>
        <v>0</v>
      </c>
      <c r="DG198" s="330">
        <f t="shared" si="278"/>
        <v>0</v>
      </c>
      <c r="DH198" s="330">
        <f t="shared" si="278"/>
        <v>0</v>
      </c>
      <c r="DI198" s="330">
        <f t="shared" si="278"/>
        <v>0</v>
      </c>
      <c r="DJ198" s="330">
        <f t="shared" si="278"/>
        <v>0</v>
      </c>
      <c r="DK198" s="330">
        <f t="shared" si="278"/>
        <v>0</v>
      </c>
      <c r="DL198" s="330">
        <f t="shared" si="278"/>
        <v>0</v>
      </c>
      <c r="DM198" s="330">
        <f t="shared" si="278"/>
        <v>0</v>
      </c>
      <c r="DN198" s="330">
        <f t="shared" si="278"/>
        <v>0</v>
      </c>
      <c r="DO198" s="330">
        <f t="shared" si="278"/>
        <v>0</v>
      </c>
      <c r="DP198" s="330">
        <f t="shared" si="213"/>
        <v>0</v>
      </c>
      <c r="DQ198" s="217"/>
      <c r="DR198" s="217"/>
      <c r="DS198" s="217"/>
      <c r="DT198" s="217"/>
    </row>
    <row r="199" spans="1:124" x14ac:dyDescent="0.3">
      <c r="A199" s="324"/>
      <c r="B199" s="221" t="s">
        <v>307</v>
      </c>
      <c r="C199" s="221" t="str">
        <f>IF('Simplified Screening 2'!C50=0,"",'Simplified Screening 2'!C50)</f>
        <v/>
      </c>
      <c r="D199" s="221" t="str">
        <f>IF('Simplified Screening 2'!D50=0,"",'Simplified Screening 2'!D50)</f>
        <v/>
      </c>
      <c r="E199" s="221"/>
      <c r="F199" s="221" t="str">
        <f>'Simplified Screening 2'!J50</f>
        <v/>
      </c>
      <c r="G199" s="335" t="str">
        <f>IF(D199="","",'Simplified Screening 2'!G50/1000*VLOOKUP(D199,'Default Values'!$B$78:$F$97,COLUMNS('Default Values'!$B$77:$D$77),0)/1000)</f>
        <v/>
      </c>
      <c r="H199" s="335" t="str">
        <f>IF(D199="","",'Simplified Screening 2'!G50/1000*VLOOKUP(D199,'Default Values'!$B$78:$F$97,COLUMNS('Default Values'!$B$77:$E$77),0)/1000)</f>
        <v/>
      </c>
      <c r="I199" s="335" t="str">
        <f>IF(D199="","",'Simplified Screening 2'!G50/1000*VLOOKUP(D199,'Default Values'!$B$78:$F$97,COLUMNS('Default Values'!$B$77:$F$77),0)/1000)</f>
        <v/>
      </c>
      <c r="J199" s="325">
        <f>IF('Simplified Screening 2'!H50=0,0,'Simplified Screening 2'!H50)</f>
        <v>0</v>
      </c>
      <c r="K199" s="465"/>
      <c r="L199" s="333">
        <f>IF($F199="",0,IF($F199="Weighted Average",$G199*VLOOKUP($D199&amp;" (Install)",Lists!$C$72:$R$232,COLUMNS(Lists!$C$69:E$69),0)*VLOOKUP(BE$3,Conversions!$B$12:$E$34,4,0),$G199*VLOOKUP($F199,Lists!$C$72:$R$232,COLUMNS(Lists!$C$69:E$69),0)*VLOOKUP(BE$3,Conversions!$B$12:$E$34,4,0)))</f>
        <v>0</v>
      </c>
      <c r="M199" s="333">
        <f>IF($F199="",0,IF($F199="Weighted Average",$G199*VLOOKUP($D199&amp;" (Install)",Lists!$C$72:$R$232,COLUMNS(Lists!$C$69:F$69),0)*VLOOKUP(BF$3,Conversions!$B$12:$E$34,4,0),$G199*VLOOKUP($F199,Lists!$C$72:$R$232,COLUMNS(Lists!$C$69:F$69),0)*VLOOKUP(BF$3,Conversions!$B$12:$E$34,4,0)))</f>
        <v>0</v>
      </c>
      <c r="N199" s="333">
        <f>IF($F199="",0,IF($F199="Weighted Average",$G199*VLOOKUP($D199&amp;" (Install)",Lists!$C$72:$R$232,COLUMNS(Lists!$C$69:G$69),0)*VLOOKUP(BG$3,Conversions!$B$12:$E$34,4,0),$G199*VLOOKUP($F199,Lists!$C$72:$R$232,COLUMNS(Lists!$C$69:G$69),0)*VLOOKUP(BG$3,Conversions!$B$12:$E$34,4,0)))</f>
        <v>0</v>
      </c>
      <c r="O199" s="333">
        <f>IF($F199="",0,IF($F199="Weighted Average",$G199*VLOOKUP($D199&amp;" (Install)",Lists!$C$72:$R$232,COLUMNS(Lists!$C$69:H$69),0)*VLOOKUP(BH$3,Conversions!$B$12:$E$34,4,0),$G199*VLOOKUP($F199,Lists!$C$72:$R$232,COLUMNS(Lists!$C$69:H$69),0)*VLOOKUP(BH$3,Conversions!$B$12:$E$34,4,0)))</f>
        <v>0</v>
      </c>
      <c r="P199" s="333">
        <f>IF($F199="",0,IF($F199="Weighted Average",$G199*VLOOKUP($D199&amp;" (Install)",Lists!$C$72:$R$232,COLUMNS(Lists!$C$69:I$69),0)*VLOOKUP(BI$3,Conversions!$B$12:$E$34,4,0),$G199*VLOOKUP($F199,Lists!$C$72:$R$232,COLUMNS(Lists!$C$69:I$69),0)*VLOOKUP(BI$3,Conversions!$B$12:$E$34,4,0)))</f>
        <v>0</v>
      </c>
      <c r="Q199" s="333">
        <f>IF($F199="",0,IF($F199="Weighted Average",$G199*VLOOKUP($D199&amp;" (Install)",Lists!$C$72:$R$232,COLUMNS(Lists!$C$69:J$69),0)*VLOOKUP(BJ$3,Conversions!$B$12:$E$34,4,0),$G199*VLOOKUP($F199,Lists!$C$72:$R$232,COLUMNS(Lists!$C$69:J$69),0)*VLOOKUP(BJ$3,Conversions!$B$12:$E$34,4,0)))</f>
        <v>0</v>
      </c>
      <c r="R199" s="333">
        <f>IF($F199="",0,IF($F199="Weighted Average",$G199*VLOOKUP($D199&amp;" (Install)",Lists!$C$72:$R$232,COLUMNS(Lists!$C$69:K$69),0)*VLOOKUP(BK$3,Conversions!$B$12:$E$34,4,0),$G199*VLOOKUP($F199,Lists!$C$72:$R$232,COLUMNS(Lists!$C$69:K$69),0)*VLOOKUP(BK$3,Conversions!$B$12:$E$34,4,0)))</f>
        <v>0</v>
      </c>
      <c r="S199" s="333">
        <f>IF($F199="",0,IF($F199="Weighted Average",$G199*VLOOKUP($D199&amp;" (Install)",Lists!$C$72:$R$232,COLUMNS(Lists!$C$69:L$69),0)*VLOOKUP(BL$3,Conversions!$B$12:$E$34,4,0),$G199*VLOOKUP($F199,Lists!$C$72:$R$232,COLUMNS(Lists!$C$69:L$69),0)*VLOOKUP(BL$3,Conversions!$B$12:$E$34,4,0)))</f>
        <v>0</v>
      </c>
      <c r="T199" s="333">
        <f>IF($F199="",0,IF($F199="Weighted Average",$G199*VLOOKUP($D199&amp;" (Install)",Lists!$C$72:$R$232,COLUMNS(Lists!$C$69:M$69),0)*VLOOKUP(BM$3,Conversions!$B$12:$E$34,4,0),$G199*VLOOKUP($F199,Lists!$C$72:$R$232,COLUMNS(Lists!$C$69:M$69),0)*VLOOKUP(BM$3,Conversions!$B$12:$E$34,4,0)))</f>
        <v>0</v>
      </c>
      <c r="U199" s="333">
        <f>IF($F199="",0,IF($F199="Weighted Average",$G199*VLOOKUP($D199&amp;" (Install)",Lists!$C$72:$R$232,COLUMNS(Lists!$C$69:N$69),0)*VLOOKUP(BN$3,Conversions!$B$12:$E$34,4,0),$G199*VLOOKUP($F199,Lists!$C$72:$R$232,COLUMNS(Lists!$C$69:N$69),0)*VLOOKUP(BN$3,Conversions!$B$12:$E$34,4,0)))</f>
        <v>0</v>
      </c>
      <c r="V199" s="333">
        <f>IF($F199="",0,IF($F199="Weighted Average",$G199*VLOOKUP($D199&amp;" (Install)",Lists!$C$72:$R$232,COLUMNS(Lists!$C$69:O$69),0)*VLOOKUP(BO$3,Conversions!$B$12:$E$34,4,0),$G199*VLOOKUP($F199,Lists!$C$72:$R$232,COLUMNS(Lists!$C$69:O$69),0)*VLOOKUP(BO$3,Conversions!$B$12:$E$34,4,0)))</f>
        <v>0</v>
      </c>
      <c r="W199" s="333">
        <f>IF($F199="",0,IF($F199="Weighted Average",$G199*VLOOKUP($D199&amp;" (Install)",Lists!$C$72:$R$232,COLUMNS(Lists!$C$69:P$69),0)*VLOOKUP(BP$3,Conversions!$B$12:$E$34,4,0),$G199*VLOOKUP($F199,Lists!$C$72:$R$232,COLUMNS(Lists!$C$69:P$69),0)*VLOOKUP(BP$3,Conversions!$B$12:$E$34,4,0)))</f>
        <v>0</v>
      </c>
      <c r="X199" s="333">
        <f>IF($F199="",0,IF($F199="Weighted Average",$G199*VLOOKUP($D199&amp;" (Install)",Lists!$C$72:$R$232,COLUMNS(Lists!$C$69:Q$69),0)*VLOOKUP(BQ$3,Conversions!$B$12:$E$34,4,0),$G199*VLOOKUP($F199,Lists!$C$72:$R$232,COLUMNS(Lists!$C$69:Q$69),0)*VLOOKUP(BQ$3,Conversions!$B$12:$E$34,4,0)))</f>
        <v>0</v>
      </c>
      <c r="Y199" s="333">
        <f>IF($F199="",0,IF($F199="Weighted Average",$G199*VLOOKUP($D199&amp;" (Install)",Lists!$C$72:$R$232,COLUMNS(Lists!$C$69:R$69),0)*VLOOKUP(BR$3,Conversions!$B$12:$E$34,4,0),$G199*VLOOKUP($F199,Lists!$C$72:$R$232,COLUMNS(Lists!$C$69:R$69),0)*VLOOKUP(BR$3,Conversions!$B$12:$E$34,4,0)))</f>
        <v>0</v>
      </c>
      <c r="Z199" s="325">
        <f t="shared" si="230"/>
        <v>0</v>
      </c>
      <c r="AA199" s="334">
        <f>IF($F199="",0,IF($F199="Weighted Average",$H199*VLOOKUP($D199&amp;" (Operation)",Lists!$C$72:$R$232,COLUMNS(Lists!$C$69:E$69),0)*VLOOKUP(BE$3,Conversions!$B$12:$E$34,4,0),$H199*VLOOKUP($F199,Lists!$C$72:$R$232,COLUMNS(Lists!$C$69:E$69),0)*VLOOKUP(BE$3,Conversions!$B$12:$E$34,4,0)))</f>
        <v>0</v>
      </c>
      <c r="AB199" s="334">
        <f>IF($F199="",0,IF($F199="Weighted Average",$H199*VLOOKUP($D199&amp;" (Operation)",Lists!$C$72:$R$232,COLUMNS(Lists!$C$69:F$69),0)*VLOOKUP(BF$3,Conversions!$B$12:$E$34,4,0),$H199*VLOOKUP($F199,Lists!$C$72:$R$232,COLUMNS(Lists!$C$69:F$69),0)*VLOOKUP(BF$3,Conversions!$B$12:$E$34,4,0)))</f>
        <v>0</v>
      </c>
      <c r="AC199" s="334">
        <f>IF($F199="",0,IF($F199="Weighted Average",$H199*VLOOKUP($D199&amp;" (Operation)",Lists!$C$72:$R$232,COLUMNS(Lists!$C$69:G$69),0)*VLOOKUP(BG$3,Conversions!$B$12:$E$34,4,0),$H199*VLOOKUP($F199,Lists!$C$72:$R$232,COLUMNS(Lists!$C$69:G$69),0)*VLOOKUP(BG$3,Conversions!$B$12:$E$34,4,0)))</f>
        <v>0</v>
      </c>
      <c r="AD199" s="334">
        <f>IF($F199="",0,IF($F199="Weighted Average",$H199*VLOOKUP($D199&amp;" (Operation)",Lists!$C$72:$R$232,COLUMNS(Lists!$C$69:H$69),0)*VLOOKUP(BH$3,Conversions!$B$12:$E$34,4,0),$H199*VLOOKUP($F199,Lists!$C$72:$R$232,COLUMNS(Lists!$C$69:H$69),0)*VLOOKUP(BH$3,Conversions!$B$12:$E$34,4,0)))</f>
        <v>0</v>
      </c>
      <c r="AE199" s="334">
        <f>IF($F199="",0,IF($F199="Weighted Average",$H199*VLOOKUP($D199&amp;" (Operation)",Lists!$C$72:$R$232,COLUMNS(Lists!$C$69:I$69),0)*VLOOKUP(BI$3,Conversions!$B$12:$E$34,4,0),$H199*VLOOKUP($F199,Lists!$C$72:$R$232,COLUMNS(Lists!$C$69:I$69),0)*VLOOKUP(BI$3,Conversions!$B$12:$E$34,4,0)))</f>
        <v>0</v>
      </c>
      <c r="AF199" s="334">
        <f>IF($F199="",0,IF($F199="Weighted Average",$H199*VLOOKUP($D199&amp;" (Operation)",Lists!$C$72:$R$232,COLUMNS(Lists!$C$69:J$69),0)*VLOOKUP(BJ$3,Conversions!$B$12:$E$34,4,0),$H199*VLOOKUP($F199,Lists!$C$72:$R$232,COLUMNS(Lists!$C$69:J$69),0)*VLOOKUP(BJ$3,Conversions!$B$12:$E$34,4,0)))</f>
        <v>0</v>
      </c>
      <c r="AG199" s="334">
        <f>IF($F199="",0,IF($F199="Weighted Average",$H199*VLOOKUP($D199&amp;" (Operation)",Lists!$C$72:$R$232,COLUMNS(Lists!$C$69:K$69),0)*VLOOKUP(BK$3,Conversions!$B$12:$E$34,4,0),$H199*VLOOKUP($F199,Lists!$C$72:$R$232,COLUMNS(Lists!$C$69:K$69),0)*VLOOKUP(BK$3,Conversions!$B$12:$E$34,4,0)))</f>
        <v>0</v>
      </c>
      <c r="AH199" s="334">
        <f>IF($F199="",0,IF($F199="Weighted Average",$H199*VLOOKUP($D199&amp;" (Operation)",Lists!$C$72:$R$232,COLUMNS(Lists!$C$69:L$69),0)*VLOOKUP(BL$3,Conversions!$B$12:$E$34,4,0),$H199*VLOOKUP($F199,Lists!$C$72:$R$232,COLUMNS(Lists!$C$69:L$69),0)*VLOOKUP(BL$3,Conversions!$B$12:$E$34,4,0)))</f>
        <v>0</v>
      </c>
      <c r="AI199" s="334">
        <f>IF($F199="",0,IF($F199="Weighted Average",$H199*VLOOKUP($D199&amp;" (Operation)",Lists!$C$72:$R$232,COLUMNS(Lists!$C$69:M$69),0)*VLOOKUP(BM$3,Conversions!$B$12:$E$34,4,0),$H199*VLOOKUP($F199,Lists!$C$72:$R$232,COLUMNS(Lists!$C$69:M$69),0)*VLOOKUP(BM$3,Conversions!$B$12:$E$34,4,0)))</f>
        <v>0</v>
      </c>
      <c r="AJ199" s="334">
        <f>IF($F199="",0,IF($F199="Weighted Average",$H199*VLOOKUP($D199&amp;" (Operation)",Lists!$C$72:$R$232,COLUMNS(Lists!$C$69:N$69),0)*VLOOKUP(BN$3,Conversions!$B$12:$E$34,4,0),$H199*VLOOKUP($F199,Lists!$C$72:$R$232,COLUMNS(Lists!$C$69:N$69),0)*VLOOKUP(BN$3,Conversions!$B$12:$E$34,4,0)))</f>
        <v>0</v>
      </c>
      <c r="AK199" s="334">
        <f>IF($F199="",0,IF($F199="Weighted Average",$H199*VLOOKUP($D199&amp;" (Operation)",Lists!$C$72:$R$232,COLUMNS(Lists!$C$69:O$69),0)*VLOOKUP(BO$3,Conversions!$B$12:$E$34,4,0),$H199*VLOOKUP($F199,Lists!$C$72:$R$232,COLUMNS(Lists!$C$69:O$69),0)*VLOOKUP(BO$3,Conversions!$B$12:$E$34,4,0)))</f>
        <v>0</v>
      </c>
      <c r="AL199" s="334">
        <f>IF($F199="",0,IF($F199="Weighted Average",$H199*VLOOKUP($D199&amp;" (Operation)",Lists!$C$72:$R$232,COLUMNS(Lists!$C$69:P$69),0)*VLOOKUP(BP$3,Conversions!$B$12:$E$34,4,0),$H199*VLOOKUP($F199,Lists!$C$72:$R$232,COLUMNS(Lists!$C$69:P$69),0)*VLOOKUP(BP$3,Conversions!$B$12:$E$34,4,0)))</f>
        <v>0</v>
      </c>
      <c r="AM199" s="334">
        <f>IF($F199="",0,IF($F199="Weighted Average",$H199*VLOOKUP($D199&amp;" (Operation)",Lists!$C$72:$R$232,COLUMNS(Lists!$C$69:Q$69),0)*VLOOKUP(BQ$3,Conversions!$B$12:$E$34,4,0),$H199*VLOOKUP($F199,Lists!$C$72:$R$232,COLUMNS(Lists!$C$69:Q$69),0)*VLOOKUP(BQ$3,Conversions!$B$12:$E$34,4,0)))</f>
        <v>0</v>
      </c>
      <c r="AN199" s="334">
        <f>IF($F199="",0,IF($F199="Weighted Average",$H199*VLOOKUP($D199&amp;" (Operation)",Lists!$C$72:$R$232,COLUMNS(Lists!$C$69:R$69),0)*VLOOKUP(BR$3,Conversions!$B$12:$E$34,4,0),$H199*VLOOKUP($F199,Lists!$C$72:$R$232,COLUMNS(Lists!$C$69:R$69),0)*VLOOKUP(BR$3,Conversions!$B$12:$E$34,4,0)))</f>
        <v>0</v>
      </c>
      <c r="AO199" s="330">
        <f t="shared" si="231"/>
        <v>0</v>
      </c>
      <c r="AP199" s="333">
        <f>IF($F199="",0,IF($F199="Weighted Average",$I199*VLOOKUP($D199&amp;" (Disposal)",Lists!$C$72:$R$232,COLUMNS(Lists!$C$69:E$69),0)*VLOOKUP(BE$3,Conversions!$B$12:$E$34,4,0),$I199*VLOOKUP($F199,Lists!$C$72:$R$232,COLUMNS(Lists!$C$69:E$69),0)*VLOOKUP(BE$3,Conversions!$B$12:$E$34,4,0)))</f>
        <v>0</v>
      </c>
      <c r="AQ199" s="333">
        <f>IF($F199="",0,IF($F199="Weighted Average",$I199*VLOOKUP($D199&amp;" (Disposal)",Lists!$C$72:$R$232,COLUMNS(Lists!$C$69:F$69),0)*VLOOKUP(BF$3,Conversions!$B$12:$E$34,4,0),$I199*VLOOKUP($F199,Lists!$C$72:$R$232,COLUMNS(Lists!$C$69:F$69),0)*VLOOKUP(BF$3,Conversions!$B$12:$E$34,4,0)))</f>
        <v>0</v>
      </c>
      <c r="AR199" s="333">
        <f>IF($F199="",0,IF($F199="Weighted Average",$I199*VLOOKUP($D199&amp;" (Disposal)",Lists!$C$72:$R$232,COLUMNS(Lists!$C$69:G$69),0)*VLOOKUP(BG$3,Conversions!$B$12:$E$34,4,0),$I199*VLOOKUP($F199,Lists!$C$72:$R$232,COLUMNS(Lists!$C$69:G$69),0)*VLOOKUP(BG$3,Conversions!$B$12:$E$34,4,0)))</f>
        <v>0</v>
      </c>
      <c r="AS199" s="333">
        <f>IF($F199="",0,IF($F199="Weighted Average",$I199*VLOOKUP($D199&amp;" (Disposal)",Lists!$C$72:$R$232,COLUMNS(Lists!$C$69:H$69),0)*VLOOKUP(BH$3,Conversions!$B$12:$E$34,4,0),$I199*VLOOKUP($F199,Lists!$C$72:$R$232,COLUMNS(Lists!$C$69:H$69),0)*VLOOKUP(BH$3,Conversions!$B$12:$E$34,4,0)))</f>
        <v>0</v>
      </c>
      <c r="AT199" s="333">
        <f>IF($F199="",0,IF($F199="Weighted Average",$I199*VLOOKUP($D199&amp;" (Disposal)",Lists!$C$72:$R$232,COLUMNS(Lists!$C$69:I$69),0)*VLOOKUP(BI$3,Conversions!$B$12:$E$34,4,0),$I199*VLOOKUP($F199,Lists!$C$72:$R$232,COLUMNS(Lists!$C$69:I$69),0)*VLOOKUP(BI$3,Conversions!$B$12:$E$34,4,0)))</f>
        <v>0</v>
      </c>
      <c r="AU199" s="333">
        <f>IF($F199="",0,IF($F199="Weighted Average",$I199*VLOOKUP($D199&amp;" (Disposal)",Lists!$C$72:$R$232,COLUMNS(Lists!$C$69:J$69),0)*VLOOKUP(BJ$3,Conversions!$B$12:$E$34,4,0),$I199*VLOOKUP($F199,Lists!$C$72:$R$232,COLUMNS(Lists!$C$69:J$69),0)*VLOOKUP(BJ$3,Conversions!$B$12:$E$34,4,0)))</f>
        <v>0</v>
      </c>
      <c r="AV199" s="333">
        <f>IF($F199="",0,IF($F199="Weighted Average",$I199*VLOOKUP($D199&amp;" (Disposal)",Lists!$C$72:$R$232,COLUMNS(Lists!$C$69:K$69),0)*VLOOKUP(BK$3,Conversions!$B$12:$E$34,4,0),$I199*VLOOKUP($F199,Lists!$C$72:$R$232,COLUMNS(Lists!$C$69:K$69),0)*VLOOKUP(BK$3,Conversions!$B$12:$E$34,4,0)))</f>
        <v>0</v>
      </c>
      <c r="AW199" s="333">
        <f>IF($F199="",0,IF($F199="Weighted Average",$I199*VLOOKUP($D199&amp;" (Disposal)",Lists!$C$72:$R$232,COLUMNS(Lists!$C$69:L$69),0)*VLOOKUP(BL$3,Conversions!$B$12:$E$34,4,0),$I199*VLOOKUP($F199,Lists!$C$72:$R$232,COLUMNS(Lists!$C$69:L$69),0)*VLOOKUP(BL$3,Conversions!$B$12:$E$34,4,0)))</f>
        <v>0</v>
      </c>
      <c r="AX199" s="333">
        <f>IF($F199="",0,IF($F199="Weighted Average",$I199*VLOOKUP($D199&amp;" (Disposal)",Lists!$C$72:$R$232,COLUMNS(Lists!$C$69:M$69),0)*VLOOKUP(BM$3,Conversions!$B$12:$E$34,4,0),$I199*VLOOKUP($F199,Lists!$C$72:$R$232,COLUMNS(Lists!$C$69:M$69),0)*VLOOKUP(BM$3,Conversions!$B$12:$E$34,4,0)))</f>
        <v>0</v>
      </c>
      <c r="AY199" s="333">
        <f>IF($F199="",0,IF($F199="Weighted Average",$I199*VLOOKUP($D199&amp;" (Disposal)",Lists!$C$72:$R$232,COLUMNS(Lists!$C$69:N$69),0)*VLOOKUP(BN$3,Conversions!$B$12:$E$34,4,0),$I199*VLOOKUP($F199,Lists!$C$72:$R$232,COLUMNS(Lists!$C$69:N$69),0)*VLOOKUP(BN$3,Conversions!$B$12:$E$34,4,0)))</f>
        <v>0</v>
      </c>
      <c r="AZ199" s="333">
        <f>IF($F199="",0,IF($F199="Weighted Average",$I199*VLOOKUP($D199&amp;" (Disposal)",Lists!$C$72:$R$232,COLUMNS(Lists!$C$69:O$69),0)*VLOOKUP(BO$3,Conversions!$B$12:$E$34,4,0),$I199*VLOOKUP($F199,Lists!$C$72:$R$232,COLUMNS(Lists!$C$69:O$69),0)*VLOOKUP(BO$3,Conversions!$B$12:$E$34,4,0)))</f>
        <v>0</v>
      </c>
      <c r="BA199" s="333">
        <f>IF($F199="",0,IF($F199="Weighted Average",$I199*VLOOKUP($D199&amp;" (Disposal)",Lists!$C$72:$R$232,COLUMNS(Lists!$C$69:P$69),0)*VLOOKUP(BP$3,Conversions!$B$12:$E$34,4,0),$I199*VLOOKUP($F199,Lists!$C$72:$R$232,COLUMNS(Lists!$C$69:P$69),0)*VLOOKUP(BP$3,Conversions!$B$12:$E$34,4,0)))</f>
        <v>0</v>
      </c>
      <c r="BB199" s="333">
        <f>IF($F199="",0,IF($F199="Weighted Average",$I199*VLOOKUP($D199&amp;" (Disposal)",Lists!$C$72:$R$232,COLUMNS(Lists!$C$69:Q$69),0)*VLOOKUP(BQ$3,Conversions!$B$12:$E$34,4,0),$I199*VLOOKUP($F199,Lists!$C$72:$R$232,COLUMNS(Lists!$C$69:Q$69),0)*VLOOKUP(BQ$3,Conversions!$B$12:$E$34,4,0)))</f>
        <v>0</v>
      </c>
      <c r="BC199" s="333">
        <f>IF($F199="",0,IF($F199="Weighted Average",$I199*VLOOKUP($D199&amp;" (Disposal)",Lists!$C$72:$R$232,COLUMNS(Lists!$C$69:R$69),0)*VLOOKUP(BR$3,Conversions!$B$12:$E$34,4,0),$I199*VLOOKUP($F199,Lists!$C$72:$R$232,COLUMNS(Lists!$C$69:R$69),0)*VLOOKUP(BR$3,Conversions!$B$12:$E$34,4,0)))</f>
        <v>0</v>
      </c>
      <c r="BD199" s="333">
        <f t="shared" si="232"/>
        <v>0</v>
      </c>
      <c r="BE199" s="330">
        <f t="shared" si="233"/>
        <v>0</v>
      </c>
      <c r="BF199" s="330">
        <f t="shared" si="214"/>
        <v>0</v>
      </c>
      <c r="BG199" s="330">
        <f t="shared" si="215"/>
        <v>0</v>
      </c>
      <c r="BH199" s="330">
        <f t="shared" si="216"/>
        <v>0</v>
      </c>
      <c r="BI199" s="330">
        <f t="shared" si="217"/>
        <v>0</v>
      </c>
      <c r="BJ199" s="330">
        <f t="shared" si="218"/>
        <v>0</v>
      </c>
      <c r="BK199" s="330">
        <f t="shared" si="219"/>
        <v>0</v>
      </c>
      <c r="BL199" s="330">
        <f t="shared" si="220"/>
        <v>0</v>
      </c>
      <c r="BM199" s="330">
        <f t="shared" si="221"/>
        <v>0</v>
      </c>
      <c r="BN199" s="330">
        <f t="shared" si="222"/>
        <v>0</v>
      </c>
      <c r="BO199" s="330">
        <f t="shared" si="223"/>
        <v>0</v>
      </c>
      <c r="BP199" s="330">
        <f t="shared" si="224"/>
        <v>0</v>
      </c>
      <c r="BQ199" s="330">
        <f t="shared" si="225"/>
        <v>0</v>
      </c>
      <c r="BR199" s="330">
        <f t="shared" si="226"/>
        <v>0</v>
      </c>
      <c r="BS199" s="330">
        <f t="shared" si="227"/>
        <v>0</v>
      </c>
      <c r="BT199" s="329">
        <f>IF($F199="",0,IF($F199="Weighted Average",$BS199*VLOOKUP($D199,'Default Values'!$B$78:$V$97,COLUMNS('Default Values'!$B$77:G$77),0),0))</f>
        <v>0</v>
      </c>
      <c r="BU199" s="329">
        <f>IF($F199="",0,IF($F199="Weighted Average",$BS199*VLOOKUP($D199,'Default Values'!$B$78:$V$97,COLUMNS('Default Values'!$B$77:H$77),0),0))</f>
        <v>0</v>
      </c>
      <c r="BV199" s="329">
        <f>IF($F199="",0,IF($F199="Weighted Average",$BS199*VLOOKUP($D199,'Default Values'!$B$78:$V$97,COLUMNS('Default Values'!$B$77:I$77),0),0))</f>
        <v>0</v>
      </c>
      <c r="BW199" s="329">
        <f>IF($F199="",0,IF($F199="Weighted Average",$BS199*VLOOKUP($D199,'Default Values'!$B$78:$V$97,COLUMNS('Default Values'!$B$77:J$77),0),0))</f>
        <v>0</v>
      </c>
      <c r="BX199" s="329">
        <f>IF($F199="",0,IF($F199="Weighted Average",$BS199*VLOOKUP($D199,'Default Values'!$B$78:$V$97,COLUMNS('Default Values'!$B$77:K$77),0),0))</f>
        <v>0</v>
      </c>
      <c r="BY199" s="329">
        <f>IF($F199="",0,IF($F199="Weighted Average",$BS199*VLOOKUP($D199,'Default Values'!$B$78:$V$97,COLUMNS('Default Values'!$B$77:L$77),0),0))</f>
        <v>0</v>
      </c>
      <c r="BZ199" s="329">
        <f>IF($F199="",0,IF($F199="Weighted Average",$BS199*VLOOKUP($D199,'Default Values'!$B$78:$V$97,COLUMNS('Default Values'!$B$77:M$77),0),0))</f>
        <v>0</v>
      </c>
      <c r="CA199" s="329">
        <f>IF($F199="",0,IF($F199="Weighted Average",$BS199*VLOOKUP($D199,'Default Values'!$B$78:$V$97,COLUMNS('Default Values'!$B$77:N$77),0),0))</f>
        <v>0</v>
      </c>
      <c r="CB199" s="329">
        <f>IF($F199="",0,IF($F199="Weighted Average",$BS199*VLOOKUP($D199,'Default Values'!$B$78:$V$97,COLUMNS('Default Values'!$B$77:O$77),0),0))</f>
        <v>0</v>
      </c>
      <c r="CC199" s="329">
        <f>IF($F199="",0,IF($F199="Weighted Average",$BS199*VLOOKUP($D199,'Default Values'!$B$78:$V$97,COLUMNS('Default Values'!$B$77:P$77),0),0))</f>
        <v>0</v>
      </c>
      <c r="CD199" s="329">
        <f>IF($F199="",0,IF($F199="Weighted Average",$BS199*VLOOKUP($D199,'Default Values'!$B$78:$V$97,COLUMNS('Default Values'!$B$77:Q$77),0),0))</f>
        <v>0</v>
      </c>
      <c r="CE199" s="329">
        <f>IF($F199="",0,IF($F199="Weighted Average",$BS199*VLOOKUP($D199,'Default Values'!$B$78:$V$97,COLUMNS('Default Values'!$B$77:R$77),0),0))</f>
        <v>0</v>
      </c>
      <c r="CF199" s="329">
        <f>IF($F199="",0,IF($F199="Weighted Average",$BS199*VLOOKUP($D199,'Default Values'!$B$78:$V$97,COLUMNS('Default Values'!$B$77:S$77),0),0))</f>
        <v>0</v>
      </c>
      <c r="CG199" s="329">
        <f>IF($F199="",0,IF($F199="Weighted Average",$BS199*VLOOKUP($D199,'Default Values'!$B$78:$V$97,COLUMNS('Default Values'!$B$77:T$77),0),0))</f>
        <v>0</v>
      </c>
      <c r="CH199" s="329">
        <f>IF($F199="",0,IF($F199="Weighted Average",$BS199*VLOOKUP($D199,'Default Values'!$B$78:$V$97,COLUMNS('Default Values'!$B$77:U$77),0),0))</f>
        <v>0</v>
      </c>
      <c r="CI199" s="329">
        <f>IF($F199="",0,IF($F199="Weighted Average",$BS199*VLOOKUP($D199,'Default Values'!$B$78:$V$97,COLUMNS('Default Values'!$B$77:V$77),0),0))</f>
        <v>0</v>
      </c>
      <c r="CJ199" s="331">
        <f t="shared" si="267"/>
        <v>0</v>
      </c>
      <c r="CK199" s="330">
        <f t="shared" si="268"/>
        <v>0</v>
      </c>
      <c r="CL199" s="330">
        <f t="shared" si="269"/>
        <v>0</v>
      </c>
      <c r="CM199" s="330">
        <f t="shared" si="270"/>
        <v>0</v>
      </c>
      <c r="CN199" s="330">
        <f t="shared" si="271"/>
        <v>0</v>
      </c>
      <c r="CO199" s="330">
        <f t="shared" si="272"/>
        <v>0</v>
      </c>
      <c r="CP199" s="330">
        <f t="shared" si="273"/>
        <v>0</v>
      </c>
      <c r="CQ199" s="330">
        <f t="shared" si="279"/>
        <v>0</v>
      </c>
      <c r="CR199" s="330">
        <f t="shared" si="274"/>
        <v>0</v>
      </c>
      <c r="CS199" s="330">
        <f t="shared" si="275"/>
        <v>0</v>
      </c>
      <c r="CT199" s="330">
        <f t="shared" si="276"/>
        <v>0</v>
      </c>
      <c r="CU199" s="330">
        <f t="shared" si="277"/>
        <v>0</v>
      </c>
      <c r="CV199" s="330">
        <f t="shared" si="277"/>
        <v>0</v>
      </c>
      <c r="CW199" s="330">
        <f t="shared" si="277"/>
        <v>0</v>
      </c>
      <c r="CX199" s="330">
        <f t="shared" si="277"/>
        <v>0</v>
      </c>
      <c r="CY199" s="330">
        <f t="shared" si="277"/>
        <v>0</v>
      </c>
      <c r="CZ199" s="330">
        <f t="shared" si="277"/>
        <v>0</v>
      </c>
      <c r="DA199" s="330">
        <f t="shared" si="277"/>
        <v>0</v>
      </c>
      <c r="DB199" s="330">
        <f t="shared" si="277"/>
        <v>0</v>
      </c>
      <c r="DC199" s="330">
        <f t="shared" si="277"/>
        <v>0</v>
      </c>
      <c r="DD199" s="330">
        <f t="shared" si="277"/>
        <v>0</v>
      </c>
      <c r="DE199" s="330">
        <f t="shared" si="278"/>
        <v>0</v>
      </c>
      <c r="DF199" s="330">
        <f t="shared" si="278"/>
        <v>0</v>
      </c>
      <c r="DG199" s="330">
        <f t="shared" si="278"/>
        <v>0</v>
      </c>
      <c r="DH199" s="330">
        <f t="shared" si="278"/>
        <v>0</v>
      </c>
      <c r="DI199" s="330">
        <f t="shared" si="278"/>
        <v>0</v>
      </c>
      <c r="DJ199" s="330">
        <f t="shared" si="278"/>
        <v>0</v>
      </c>
      <c r="DK199" s="330">
        <f t="shared" si="278"/>
        <v>0</v>
      </c>
      <c r="DL199" s="330">
        <f t="shared" si="278"/>
        <v>0</v>
      </c>
      <c r="DM199" s="330">
        <f t="shared" si="278"/>
        <v>0</v>
      </c>
      <c r="DN199" s="330">
        <f t="shared" si="278"/>
        <v>0</v>
      </c>
      <c r="DO199" s="330">
        <f t="shared" si="278"/>
        <v>0</v>
      </c>
      <c r="DP199" s="330">
        <f t="shared" si="213"/>
        <v>0</v>
      </c>
      <c r="DQ199" s="217"/>
      <c r="DR199" s="217"/>
      <c r="DS199" s="217"/>
      <c r="DT199" s="217"/>
    </row>
    <row r="200" spans="1:124" x14ac:dyDescent="0.3">
      <c r="A200" s="324"/>
      <c r="B200" s="221" t="s">
        <v>307</v>
      </c>
      <c r="C200" s="221" t="str">
        <f>IF('Simplified Screening 2'!C51=0,"",'Simplified Screening 2'!C51)</f>
        <v/>
      </c>
      <c r="D200" s="221" t="str">
        <f>IF('Simplified Screening 2'!D51=0,"",'Simplified Screening 2'!D51)</f>
        <v/>
      </c>
      <c r="E200" s="221"/>
      <c r="F200" s="221" t="str">
        <f>'Simplified Screening 2'!J51</f>
        <v/>
      </c>
      <c r="G200" s="335" t="str">
        <f>IF(D200="","",'Simplified Screening 2'!G51/1000*VLOOKUP(D200,'Default Values'!$B$78:$F$97,COLUMNS('Default Values'!$B$77:$D$77),0)/1000)</f>
        <v/>
      </c>
      <c r="H200" s="335" t="str">
        <f>IF(D200="","",'Simplified Screening 2'!G51/1000*VLOOKUP(D200,'Default Values'!$B$78:$F$97,COLUMNS('Default Values'!$B$77:$E$77),0)/1000)</f>
        <v/>
      </c>
      <c r="I200" s="335" t="str">
        <f>IF(D200="","",'Simplified Screening 2'!G51/1000*VLOOKUP(D200,'Default Values'!$B$78:$F$97,COLUMNS('Default Values'!$B$77:$F$77),0)/1000)</f>
        <v/>
      </c>
      <c r="J200" s="325">
        <f>IF('Simplified Screening 2'!H51=0,0,'Simplified Screening 2'!H51)</f>
        <v>0</v>
      </c>
      <c r="K200" s="465"/>
      <c r="L200" s="333">
        <f>IF($F200="",0,IF($F200="Weighted Average",$G200*VLOOKUP($D200&amp;" (Install)",Lists!$C$72:$R$232,COLUMNS(Lists!$C$69:E$69),0)*VLOOKUP(BE$3,Conversions!$B$12:$E$34,4,0),$G200*VLOOKUP($F200,Lists!$C$72:$R$232,COLUMNS(Lists!$C$69:E$69),0)*VLOOKUP(BE$3,Conversions!$B$12:$E$34,4,0)))</f>
        <v>0</v>
      </c>
      <c r="M200" s="333">
        <f>IF($F200="",0,IF($F200="Weighted Average",$G200*VLOOKUP($D200&amp;" (Install)",Lists!$C$72:$R$232,COLUMNS(Lists!$C$69:F$69),0)*VLOOKUP(BF$3,Conversions!$B$12:$E$34,4,0),$G200*VLOOKUP($F200,Lists!$C$72:$R$232,COLUMNS(Lists!$C$69:F$69),0)*VLOOKUP(BF$3,Conversions!$B$12:$E$34,4,0)))</f>
        <v>0</v>
      </c>
      <c r="N200" s="333">
        <f>IF($F200="",0,IF($F200="Weighted Average",$G200*VLOOKUP($D200&amp;" (Install)",Lists!$C$72:$R$232,COLUMNS(Lists!$C$69:G$69),0)*VLOOKUP(BG$3,Conversions!$B$12:$E$34,4,0),$G200*VLOOKUP($F200,Lists!$C$72:$R$232,COLUMNS(Lists!$C$69:G$69),0)*VLOOKUP(BG$3,Conversions!$B$12:$E$34,4,0)))</f>
        <v>0</v>
      </c>
      <c r="O200" s="333">
        <f>IF($F200="",0,IF($F200="Weighted Average",$G200*VLOOKUP($D200&amp;" (Install)",Lists!$C$72:$R$232,COLUMNS(Lists!$C$69:H$69),0)*VLOOKUP(BH$3,Conversions!$B$12:$E$34,4,0),$G200*VLOOKUP($F200,Lists!$C$72:$R$232,COLUMNS(Lists!$C$69:H$69),0)*VLOOKUP(BH$3,Conversions!$B$12:$E$34,4,0)))</f>
        <v>0</v>
      </c>
      <c r="P200" s="333">
        <f>IF($F200="",0,IF($F200="Weighted Average",$G200*VLOOKUP($D200&amp;" (Install)",Lists!$C$72:$R$232,COLUMNS(Lists!$C$69:I$69),0)*VLOOKUP(BI$3,Conversions!$B$12:$E$34,4,0),$G200*VLOOKUP($F200,Lists!$C$72:$R$232,COLUMNS(Lists!$C$69:I$69),0)*VLOOKUP(BI$3,Conversions!$B$12:$E$34,4,0)))</f>
        <v>0</v>
      </c>
      <c r="Q200" s="333">
        <f>IF($F200="",0,IF($F200="Weighted Average",$G200*VLOOKUP($D200&amp;" (Install)",Lists!$C$72:$R$232,COLUMNS(Lists!$C$69:J$69),0)*VLOOKUP(BJ$3,Conversions!$B$12:$E$34,4,0),$G200*VLOOKUP($F200,Lists!$C$72:$R$232,COLUMNS(Lists!$C$69:J$69),0)*VLOOKUP(BJ$3,Conversions!$B$12:$E$34,4,0)))</f>
        <v>0</v>
      </c>
      <c r="R200" s="333">
        <f>IF($F200="",0,IF($F200="Weighted Average",$G200*VLOOKUP($D200&amp;" (Install)",Lists!$C$72:$R$232,COLUMNS(Lists!$C$69:K$69),0)*VLOOKUP(BK$3,Conversions!$B$12:$E$34,4,0),$G200*VLOOKUP($F200,Lists!$C$72:$R$232,COLUMNS(Lists!$C$69:K$69),0)*VLOOKUP(BK$3,Conversions!$B$12:$E$34,4,0)))</f>
        <v>0</v>
      </c>
      <c r="S200" s="333">
        <f>IF($F200="",0,IF($F200="Weighted Average",$G200*VLOOKUP($D200&amp;" (Install)",Lists!$C$72:$R$232,COLUMNS(Lists!$C$69:L$69),0)*VLOOKUP(BL$3,Conversions!$B$12:$E$34,4,0),$G200*VLOOKUP($F200,Lists!$C$72:$R$232,COLUMNS(Lists!$C$69:L$69),0)*VLOOKUP(BL$3,Conversions!$B$12:$E$34,4,0)))</f>
        <v>0</v>
      </c>
      <c r="T200" s="333">
        <f>IF($F200="",0,IF($F200="Weighted Average",$G200*VLOOKUP($D200&amp;" (Install)",Lists!$C$72:$R$232,COLUMNS(Lists!$C$69:M$69),0)*VLOOKUP(BM$3,Conversions!$B$12:$E$34,4,0),$G200*VLOOKUP($F200,Lists!$C$72:$R$232,COLUMNS(Lists!$C$69:M$69),0)*VLOOKUP(BM$3,Conversions!$B$12:$E$34,4,0)))</f>
        <v>0</v>
      </c>
      <c r="U200" s="333">
        <f>IF($F200="",0,IF($F200="Weighted Average",$G200*VLOOKUP($D200&amp;" (Install)",Lists!$C$72:$R$232,COLUMNS(Lists!$C$69:N$69),0)*VLOOKUP(BN$3,Conversions!$B$12:$E$34,4,0),$G200*VLOOKUP($F200,Lists!$C$72:$R$232,COLUMNS(Lists!$C$69:N$69),0)*VLOOKUP(BN$3,Conversions!$B$12:$E$34,4,0)))</f>
        <v>0</v>
      </c>
      <c r="V200" s="333">
        <f>IF($F200="",0,IF($F200="Weighted Average",$G200*VLOOKUP($D200&amp;" (Install)",Lists!$C$72:$R$232,COLUMNS(Lists!$C$69:O$69),0)*VLOOKUP(BO$3,Conversions!$B$12:$E$34,4,0),$G200*VLOOKUP($F200,Lists!$C$72:$R$232,COLUMNS(Lists!$C$69:O$69),0)*VLOOKUP(BO$3,Conversions!$B$12:$E$34,4,0)))</f>
        <v>0</v>
      </c>
      <c r="W200" s="333">
        <f>IF($F200="",0,IF($F200="Weighted Average",$G200*VLOOKUP($D200&amp;" (Install)",Lists!$C$72:$R$232,COLUMNS(Lists!$C$69:P$69),0)*VLOOKUP(BP$3,Conversions!$B$12:$E$34,4,0),$G200*VLOOKUP($F200,Lists!$C$72:$R$232,COLUMNS(Lists!$C$69:P$69),0)*VLOOKUP(BP$3,Conversions!$B$12:$E$34,4,0)))</f>
        <v>0</v>
      </c>
      <c r="X200" s="333">
        <f>IF($F200="",0,IF($F200="Weighted Average",$G200*VLOOKUP($D200&amp;" (Install)",Lists!$C$72:$R$232,COLUMNS(Lists!$C$69:Q$69),0)*VLOOKUP(BQ$3,Conversions!$B$12:$E$34,4,0),$G200*VLOOKUP($F200,Lists!$C$72:$R$232,COLUMNS(Lists!$C$69:Q$69),0)*VLOOKUP(BQ$3,Conversions!$B$12:$E$34,4,0)))</f>
        <v>0</v>
      </c>
      <c r="Y200" s="333">
        <f>IF($F200="",0,IF($F200="Weighted Average",$G200*VLOOKUP($D200&amp;" (Install)",Lists!$C$72:$R$232,COLUMNS(Lists!$C$69:R$69),0)*VLOOKUP(BR$3,Conversions!$B$12:$E$34,4,0),$G200*VLOOKUP($F200,Lists!$C$72:$R$232,COLUMNS(Lists!$C$69:R$69),0)*VLOOKUP(BR$3,Conversions!$B$12:$E$34,4,0)))</f>
        <v>0</v>
      </c>
      <c r="Z200" s="325">
        <f t="shared" si="230"/>
        <v>0</v>
      </c>
      <c r="AA200" s="334">
        <f>IF($F200="",0,IF($F200="Weighted Average",$H200*VLOOKUP($D200&amp;" (Operation)",Lists!$C$72:$R$232,COLUMNS(Lists!$C$69:E$69),0)*VLOOKUP(BE$3,Conversions!$B$12:$E$34,4,0),$H200*VLOOKUP($F200,Lists!$C$72:$R$232,COLUMNS(Lists!$C$69:E$69),0)*VLOOKUP(BE$3,Conversions!$B$12:$E$34,4,0)))</f>
        <v>0</v>
      </c>
      <c r="AB200" s="334">
        <f>IF($F200="",0,IF($F200="Weighted Average",$H200*VLOOKUP($D200&amp;" (Operation)",Lists!$C$72:$R$232,COLUMNS(Lists!$C$69:F$69),0)*VLOOKUP(BF$3,Conversions!$B$12:$E$34,4,0),$H200*VLOOKUP($F200,Lists!$C$72:$R$232,COLUMNS(Lists!$C$69:F$69),0)*VLOOKUP(BF$3,Conversions!$B$12:$E$34,4,0)))</f>
        <v>0</v>
      </c>
      <c r="AC200" s="334">
        <f>IF($F200="",0,IF($F200="Weighted Average",$H200*VLOOKUP($D200&amp;" (Operation)",Lists!$C$72:$R$232,COLUMNS(Lists!$C$69:G$69),0)*VLOOKUP(BG$3,Conversions!$B$12:$E$34,4,0),$H200*VLOOKUP($F200,Lists!$C$72:$R$232,COLUMNS(Lists!$C$69:G$69),0)*VLOOKUP(BG$3,Conversions!$B$12:$E$34,4,0)))</f>
        <v>0</v>
      </c>
      <c r="AD200" s="334">
        <f>IF($F200="",0,IF($F200="Weighted Average",$H200*VLOOKUP($D200&amp;" (Operation)",Lists!$C$72:$R$232,COLUMNS(Lists!$C$69:H$69),0)*VLOOKUP(BH$3,Conversions!$B$12:$E$34,4,0),$H200*VLOOKUP($F200,Lists!$C$72:$R$232,COLUMNS(Lists!$C$69:H$69),0)*VLOOKUP(BH$3,Conversions!$B$12:$E$34,4,0)))</f>
        <v>0</v>
      </c>
      <c r="AE200" s="334">
        <f>IF($F200="",0,IF($F200="Weighted Average",$H200*VLOOKUP($D200&amp;" (Operation)",Lists!$C$72:$R$232,COLUMNS(Lists!$C$69:I$69),0)*VLOOKUP(BI$3,Conversions!$B$12:$E$34,4,0),$H200*VLOOKUP($F200,Lists!$C$72:$R$232,COLUMNS(Lists!$C$69:I$69),0)*VLOOKUP(BI$3,Conversions!$B$12:$E$34,4,0)))</f>
        <v>0</v>
      </c>
      <c r="AF200" s="334">
        <f>IF($F200="",0,IF($F200="Weighted Average",$H200*VLOOKUP($D200&amp;" (Operation)",Lists!$C$72:$R$232,COLUMNS(Lists!$C$69:J$69),0)*VLOOKUP(BJ$3,Conversions!$B$12:$E$34,4,0),$H200*VLOOKUP($F200,Lists!$C$72:$R$232,COLUMNS(Lists!$C$69:J$69),0)*VLOOKUP(BJ$3,Conversions!$B$12:$E$34,4,0)))</f>
        <v>0</v>
      </c>
      <c r="AG200" s="334">
        <f>IF($F200="",0,IF($F200="Weighted Average",$H200*VLOOKUP($D200&amp;" (Operation)",Lists!$C$72:$R$232,COLUMNS(Lists!$C$69:K$69),0)*VLOOKUP(BK$3,Conversions!$B$12:$E$34,4,0),$H200*VLOOKUP($F200,Lists!$C$72:$R$232,COLUMNS(Lists!$C$69:K$69),0)*VLOOKUP(BK$3,Conversions!$B$12:$E$34,4,0)))</f>
        <v>0</v>
      </c>
      <c r="AH200" s="334">
        <f>IF($F200="",0,IF($F200="Weighted Average",$H200*VLOOKUP($D200&amp;" (Operation)",Lists!$C$72:$R$232,COLUMNS(Lists!$C$69:L$69),0)*VLOOKUP(BL$3,Conversions!$B$12:$E$34,4,0),$H200*VLOOKUP($F200,Lists!$C$72:$R$232,COLUMNS(Lists!$C$69:L$69),0)*VLOOKUP(BL$3,Conversions!$B$12:$E$34,4,0)))</f>
        <v>0</v>
      </c>
      <c r="AI200" s="334">
        <f>IF($F200="",0,IF($F200="Weighted Average",$H200*VLOOKUP($D200&amp;" (Operation)",Lists!$C$72:$R$232,COLUMNS(Lists!$C$69:M$69),0)*VLOOKUP(BM$3,Conversions!$B$12:$E$34,4,0),$H200*VLOOKUP($F200,Lists!$C$72:$R$232,COLUMNS(Lists!$C$69:M$69),0)*VLOOKUP(BM$3,Conversions!$B$12:$E$34,4,0)))</f>
        <v>0</v>
      </c>
      <c r="AJ200" s="334">
        <f>IF($F200="",0,IF($F200="Weighted Average",$H200*VLOOKUP($D200&amp;" (Operation)",Lists!$C$72:$R$232,COLUMNS(Lists!$C$69:N$69),0)*VLOOKUP(BN$3,Conversions!$B$12:$E$34,4,0),$H200*VLOOKUP($F200,Lists!$C$72:$R$232,COLUMNS(Lists!$C$69:N$69),0)*VLOOKUP(BN$3,Conversions!$B$12:$E$34,4,0)))</f>
        <v>0</v>
      </c>
      <c r="AK200" s="334">
        <f>IF($F200="",0,IF($F200="Weighted Average",$H200*VLOOKUP($D200&amp;" (Operation)",Lists!$C$72:$R$232,COLUMNS(Lists!$C$69:O$69),0)*VLOOKUP(BO$3,Conversions!$B$12:$E$34,4,0),$H200*VLOOKUP($F200,Lists!$C$72:$R$232,COLUMNS(Lists!$C$69:O$69),0)*VLOOKUP(BO$3,Conversions!$B$12:$E$34,4,0)))</f>
        <v>0</v>
      </c>
      <c r="AL200" s="334">
        <f>IF($F200="",0,IF($F200="Weighted Average",$H200*VLOOKUP($D200&amp;" (Operation)",Lists!$C$72:$R$232,COLUMNS(Lists!$C$69:P$69),0)*VLOOKUP(BP$3,Conversions!$B$12:$E$34,4,0),$H200*VLOOKUP($F200,Lists!$C$72:$R$232,COLUMNS(Lists!$C$69:P$69),0)*VLOOKUP(BP$3,Conversions!$B$12:$E$34,4,0)))</f>
        <v>0</v>
      </c>
      <c r="AM200" s="334">
        <f>IF($F200="",0,IF($F200="Weighted Average",$H200*VLOOKUP($D200&amp;" (Operation)",Lists!$C$72:$R$232,COLUMNS(Lists!$C$69:Q$69),0)*VLOOKUP(BQ$3,Conversions!$B$12:$E$34,4,0),$H200*VLOOKUP($F200,Lists!$C$72:$R$232,COLUMNS(Lists!$C$69:Q$69),0)*VLOOKUP(BQ$3,Conversions!$B$12:$E$34,4,0)))</f>
        <v>0</v>
      </c>
      <c r="AN200" s="334">
        <f>IF($F200="",0,IF($F200="Weighted Average",$H200*VLOOKUP($D200&amp;" (Operation)",Lists!$C$72:$R$232,COLUMNS(Lists!$C$69:R$69),0)*VLOOKUP(BR$3,Conversions!$B$12:$E$34,4,0),$H200*VLOOKUP($F200,Lists!$C$72:$R$232,COLUMNS(Lists!$C$69:R$69),0)*VLOOKUP(BR$3,Conversions!$B$12:$E$34,4,0)))</f>
        <v>0</v>
      </c>
      <c r="AO200" s="330">
        <f t="shared" si="231"/>
        <v>0</v>
      </c>
      <c r="AP200" s="333">
        <f>IF($F200="",0,IF($F200="Weighted Average",$I200*VLOOKUP($D200&amp;" (Disposal)",Lists!$C$72:$R$232,COLUMNS(Lists!$C$69:E$69),0)*VLOOKUP(BE$3,Conversions!$B$12:$E$34,4,0),$I200*VLOOKUP($F200,Lists!$C$72:$R$232,COLUMNS(Lists!$C$69:E$69),0)*VLOOKUP(BE$3,Conversions!$B$12:$E$34,4,0)))</f>
        <v>0</v>
      </c>
      <c r="AQ200" s="333">
        <f>IF($F200="",0,IF($F200="Weighted Average",$I200*VLOOKUP($D200&amp;" (Disposal)",Lists!$C$72:$R$232,COLUMNS(Lists!$C$69:F$69),0)*VLOOKUP(BF$3,Conversions!$B$12:$E$34,4,0),$I200*VLOOKUP($F200,Lists!$C$72:$R$232,COLUMNS(Lists!$C$69:F$69),0)*VLOOKUP(BF$3,Conversions!$B$12:$E$34,4,0)))</f>
        <v>0</v>
      </c>
      <c r="AR200" s="333">
        <f>IF($F200="",0,IF($F200="Weighted Average",$I200*VLOOKUP($D200&amp;" (Disposal)",Lists!$C$72:$R$232,COLUMNS(Lists!$C$69:G$69),0)*VLOOKUP(BG$3,Conversions!$B$12:$E$34,4,0),$I200*VLOOKUP($F200,Lists!$C$72:$R$232,COLUMNS(Lists!$C$69:G$69),0)*VLOOKUP(BG$3,Conversions!$B$12:$E$34,4,0)))</f>
        <v>0</v>
      </c>
      <c r="AS200" s="333">
        <f>IF($F200="",0,IF($F200="Weighted Average",$I200*VLOOKUP($D200&amp;" (Disposal)",Lists!$C$72:$R$232,COLUMNS(Lists!$C$69:H$69),0)*VLOOKUP(BH$3,Conversions!$B$12:$E$34,4,0),$I200*VLOOKUP($F200,Lists!$C$72:$R$232,COLUMNS(Lists!$C$69:H$69),0)*VLOOKUP(BH$3,Conversions!$B$12:$E$34,4,0)))</f>
        <v>0</v>
      </c>
      <c r="AT200" s="333">
        <f>IF($F200="",0,IF($F200="Weighted Average",$I200*VLOOKUP($D200&amp;" (Disposal)",Lists!$C$72:$R$232,COLUMNS(Lists!$C$69:I$69),0)*VLOOKUP(BI$3,Conversions!$B$12:$E$34,4,0),$I200*VLOOKUP($F200,Lists!$C$72:$R$232,COLUMNS(Lists!$C$69:I$69),0)*VLOOKUP(BI$3,Conversions!$B$12:$E$34,4,0)))</f>
        <v>0</v>
      </c>
      <c r="AU200" s="333">
        <f>IF($F200="",0,IF($F200="Weighted Average",$I200*VLOOKUP($D200&amp;" (Disposal)",Lists!$C$72:$R$232,COLUMNS(Lists!$C$69:J$69),0)*VLOOKUP(BJ$3,Conversions!$B$12:$E$34,4,0),$I200*VLOOKUP($F200,Lists!$C$72:$R$232,COLUMNS(Lists!$C$69:J$69),0)*VLOOKUP(BJ$3,Conversions!$B$12:$E$34,4,0)))</f>
        <v>0</v>
      </c>
      <c r="AV200" s="333">
        <f>IF($F200="",0,IF($F200="Weighted Average",$I200*VLOOKUP($D200&amp;" (Disposal)",Lists!$C$72:$R$232,COLUMNS(Lists!$C$69:K$69),0)*VLOOKUP(BK$3,Conversions!$B$12:$E$34,4,0),$I200*VLOOKUP($F200,Lists!$C$72:$R$232,COLUMNS(Lists!$C$69:K$69),0)*VLOOKUP(BK$3,Conversions!$B$12:$E$34,4,0)))</f>
        <v>0</v>
      </c>
      <c r="AW200" s="333">
        <f>IF($F200="",0,IF($F200="Weighted Average",$I200*VLOOKUP($D200&amp;" (Disposal)",Lists!$C$72:$R$232,COLUMNS(Lists!$C$69:L$69),0)*VLOOKUP(BL$3,Conversions!$B$12:$E$34,4,0),$I200*VLOOKUP($F200,Lists!$C$72:$R$232,COLUMNS(Lists!$C$69:L$69),0)*VLOOKUP(BL$3,Conversions!$B$12:$E$34,4,0)))</f>
        <v>0</v>
      </c>
      <c r="AX200" s="333">
        <f>IF($F200="",0,IF($F200="Weighted Average",$I200*VLOOKUP($D200&amp;" (Disposal)",Lists!$C$72:$R$232,COLUMNS(Lists!$C$69:M$69),0)*VLOOKUP(BM$3,Conversions!$B$12:$E$34,4,0),$I200*VLOOKUP($F200,Lists!$C$72:$R$232,COLUMNS(Lists!$C$69:M$69),0)*VLOOKUP(BM$3,Conversions!$B$12:$E$34,4,0)))</f>
        <v>0</v>
      </c>
      <c r="AY200" s="333">
        <f>IF($F200="",0,IF($F200="Weighted Average",$I200*VLOOKUP($D200&amp;" (Disposal)",Lists!$C$72:$R$232,COLUMNS(Lists!$C$69:N$69),0)*VLOOKUP(BN$3,Conversions!$B$12:$E$34,4,0),$I200*VLOOKUP($F200,Lists!$C$72:$R$232,COLUMNS(Lists!$C$69:N$69),0)*VLOOKUP(BN$3,Conversions!$B$12:$E$34,4,0)))</f>
        <v>0</v>
      </c>
      <c r="AZ200" s="333">
        <f>IF($F200="",0,IF($F200="Weighted Average",$I200*VLOOKUP($D200&amp;" (Disposal)",Lists!$C$72:$R$232,COLUMNS(Lists!$C$69:O$69),0)*VLOOKUP(BO$3,Conversions!$B$12:$E$34,4,0),$I200*VLOOKUP($F200,Lists!$C$72:$R$232,COLUMNS(Lists!$C$69:O$69),0)*VLOOKUP(BO$3,Conversions!$B$12:$E$34,4,0)))</f>
        <v>0</v>
      </c>
      <c r="BA200" s="333">
        <f>IF($F200="",0,IF($F200="Weighted Average",$I200*VLOOKUP($D200&amp;" (Disposal)",Lists!$C$72:$R$232,COLUMNS(Lists!$C$69:P$69),0)*VLOOKUP(BP$3,Conversions!$B$12:$E$34,4,0),$I200*VLOOKUP($F200,Lists!$C$72:$R$232,COLUMNS(Lists!$C$69:P$69),0)*VLOOKUP(BP$3,Conversions!$B$12:$E$34,4,0)))</f>
        <v>0</v>
      </c>
      <c r="BB200" s="333">
        <f>IF($F200="",0,IF($F200="Weighted Average",$I200*VLOOKUP($D200&amp;" (Disposal)",Lists!$C$72:$R$232,COLUMNS(Lists!$C$69:Q$69),0)*VLOOKUP(BQ$3,Conversions!$B$12:$E$34,4,0),$I200*VLOOKUP($F200,Lists!$C$72:$R$232,COLUMNS(Lists!$C$69:Q$69),0)*VLOOKUP(BQ$3,Conversions!$B$12:$E$34,4,0)))</f>
        <v>0</v>
      </c>
      <c r="BC200" s="333">
        <f>IF($F200="",0,IF($F200="Weighted Average",$I200*VLOOKUP($D200&amp;" (Disposal)",Lists!$C$72:$R$232,COLUMNS(Lists!$C$69:R$69),0)*VLOOKUP(BR$3,Conversions!$B$12:$E$34,4,0),$I200*VLOOKUP($F200,Lists!$C$72:$R$232,COLUMNS(Lists!$C$69:R$69),0)*VLOOKUP(BR$3,Conversions!$B$12:$E$34,4,0)))</f>
        <v>0</v>
      </c>
      <c r="BD200" s="333">
        <f t="shared" si="232"/>
        <v>0</v>
      </c>
      <c r="BE200" s="330">
        <f t="shared" si="233"/>
        <v>0</v>
      </c>
      <c r="BF200" s="330">
        <f t="shared" si="214"/>
        <v>0</v>
      </c>
      <c r="BG200" s="330">
        <f t="shared" si="215"/>
        <v>0</v>
      </c>
      <c r="BH200" s="330">
        <f t="shared" si="216"/>
        <v>0</v>
      </c>
      <c r="BI200" s="330">
        <f t="shared" si="217"/>
        <v>0</v>
      </c>
      <c r="BJ200" s="330">
        <f t="shared" si="218"/>
        <v>0</v>
      </c>
      <c r="BK200" s="330">
        <f t="shared" si="219"/>
        <v>0</v>
      </c>
      <c r="BL200" s="330">
        <f t="shared" si="220"/>
        <v>0</v>
      </c>
      <c r="BM200" s="330">
        <f t="shared" si="221"/>
        <v>0</v>
      </c>
      <c r="BN200" s="330">
        <f t="shared" si="222"/>
        <v>0</v>
      </c>
      <c r="BO200" s="330">
        <f t="shared" si="223"/>
        <v>0</v>
      </c>
      <c r="BP200" s="330">
        <f t="shared" si="224"/>
        <v>0</v>
      </c>
      <c r="BQ200" s="330">
        <f t="shared" si="225"/>
        <v>0</v>
      </c>
      <c r="BR200" s="330">
        <f t="shared" si="226"/>
        <v>0</v>
      </c>
      <c r="BS200" s="330">
        <f t="shared" si="227"/>
        <v>0</v>
      </c>
      <c r="BT200" s="329">
        <f>IF($F200="",0,IF($F200="Weighted Average",$BS200*VLOOKUP($D200,'Default Values'!$B$78:$V$97,COLUMNS('Default Values'!$B$77:G$77),0),0))</f>
        <v>0</v>
      </c>
      <c r="BU200" s="329">
        <f>IF($F200="",0,IF($F200="Weighted Average",$BS200*VLOOKUP($D200,'Default Values'!$B$78:$V$97,COLUMNS('Default Values'!$B$77:H$77),0),0))</f>
        <v>0</v>
      </c>
      <c r="BV200" s="329">
        <f>IF($F200="",0,IF($F200="Weighted Average",$BS200*VLOOKUP($D200,'Default Values'!$B$78:$V$97,COLUMNS('Default Values'!$B$77:I$77),0),0))</f>
        <v>0</v>
      </c>
      <c r="BW200" s="329">
        <f>IF($F200="",0,IF($F200="Weighted Average",$BS200*VLOOKUP($D200,'Default Values'!$B$78:$V$97,COLUMNS('Default Values'!$B$77:J$77),0),0))</f>
        <v>0</v>
      </c>
      <c r="BX200" s="329">
        <f>IF($F200="",0,IF($F200="Weighted Average",$BS200*VLOOKUP($D200,'Default Values'!$B$78:$V$97,COLUMNS('Default Values'!$B$77:K$77),0),0))</f>
        <v>0</v>
      </c>
      <c r="BY200" s="329">
        <f>IF($F200="",0,IF($F200="Weighted Average",$BS200*VLOOKUP($D200,'Default Values'!$B$78:$V$97,COLUMNS('Default Values'!$B$77:L$77),0),0))</f>
        <v>0</v>
      </c>
      <c r="BZ200" s="329">
        <f>IF($F200="",0,IF($F200="Weighted Average",$BS200*VLOOKUP($D200,'Default Values'!$B$78:$V$97,COLUMNS('Default Values'!$B$77:M$77),0),0))</f>
        <v>0</v>
      </c>
      <c r="CA200" s="329">
        <f>IF($F200="",0,IF($F200="Weighted Average",$BS200*VLOOKUP($D200,'Default Values'!$B$78:$V$97,COLUMNS('Default Values'!$B$77:N$77),0),0))</f>
        <v>0</v>
      </c>
      <c r="CB200" s="329">
        <f>IF($F200="",0,IF($F200="Weighted Average",$BS200*VLOOKUP($D200,'Default Values'!$B$78:$V$97,COLUMNS('Default Values'!$B$77:O$77),0),0))</f>
        <v>0</v>
      </c>
      <c r="CC200" s="329">
        <f>IF($F200="",0,IF($F200="Weighted Average",$BS200*VLOOKUP($D200,'Default Values'!$B$78:$V$97,COLUMNS('Default Values'!$B$77:P$77),0),0))</f>
        <v>0</v>
      </c>
      <c r="CD200" s="329">
        <f>IF($F200="",0,IF($F200="Weighted Average",$BS200*VLOOKUP($D200,'Default Values'!$B$78:$V$97,COLUMNS('Default Values'!$B$77:Q$77),0),0))</f>
        <v>0</v>
      </c>
      <c r="CE200" s="329">
        <f>IF($F200="",0,IF($F200="Weighted Average",$BS200*VLOOKUP($D200,'Default Values'!$B$78:$V$97,COLUMNS('Default Values'!$B$77:R$77),0),0))</f>
        <v>0</v>
      </c>
      <c r="CF200" s="329">
        <f>IF($F200="",0,IF($F200="Weighted Average",$BS200*VLOOKUP($D200,'Default Values'!$B$78:$V$97,COLUMNS('Default Values'!$B$77:S$77),0),0))</f>
        <v>0</v>
      </c>
      <c r="CG200" s="329">
        <f>IF($F200="",0,IF($F200="Weighted Average",$BS200*VLOOKUP($D200,'Default Values'!$B$78:$V$97,COLUMNS('Default Values'!$B$77:T$77),0),0))</f>
        <v>0</v>
      </c>
      <c r="CH200" s="329">
        <f>IF($F200="",0,IF($F200="Weighted Average",$BS200*VLOOKUP($D200,'Default Values'!$B$78:$V$97,COLUMNS('Default Values'!$B$77:U$77),0),0))</f>
        <v>0</v>
      </c>
      <c r="CI200" s="329">
        <f>IF($F200="",0,IF($F200="Weighted Average",$BS200*VLOOKUP($D200,'Default Values'!$B$78:$V$97,COLUMNS('Default Values'!$B$77:V$77),0),0))</f>
        <v>0</v>
      </c>
      <c r="CJ200" s="331">
        <f t="shared" si="267"/>
        <v>0</v>
      </c>
      <c r="CK200" s="330">
        <f t="shared" si="268"/>
        <v>0</v>
      </c>
      <c r="CL200" s="330">
        <f t="shared" si="269"/>
        <v>0</v>
      </c>
      <c r="CM200" s="330">
        <f t="shared" si="270"/>
        <v>0</v>
      </c>
      <c r="CN200" s="330">
        <f t="shared" si="271"/>
        <v>0</v>
      </c>
      <c r="CO200" s="330">
        <f t="shared" si="272"/>
        <v>0</v>
      </c>
      <c r="CP200" s="330">
        <f t="shared" si="273"/>
        <v>0</v>
      </c>
      <c r="CQ200" s="330">
        <f t="shared" si="279"/>
        <v>0</v>
      </c>
      <c r="CR200" s="330">
        <f t="shared" si="274"/>
        <v>0</v>
      </c>
      <c r="CS200" s="330">
        <f t="shared" si="275"/>
        <v>0</v>
      </c>
      <c r="CT200" s="330">
        <f t="shared" si="276"/>
        <v>0</v>
      </c>
      <c r="CU200" s="330">
        <f t="shared" si="277"/>
        <v>0</v>
      </c>
      <c r="CV200" s="330">
        <f t="shared" si="277"/>
        <v>0</v>
      </c>
      <c r="CW200" s="330">
        <f t="shared" si="277"/>
        <v>0</v>
      </c>
      <c r="CX200" s="330">
        <f t="shared" si="277"/>
        <v>0</v>
      </c>
      <c r="CY200" s="330">
        <f t="shared" si="277"/>
        <v>0</v>
      </c>
      <c r="CZ200" s="330">
        <f t="shared" si="277"/>
        <v>0</v>
      </c>
      <c r="DA200" s="330">
        <f t="shared" si="277"/>
        <v>0</v>
      </c>
      <c r="DB200" s="330">
        <f t="shared" si="277"/>
        <v>0</v>
      </c>
      <c r="DC200" s="330">
        <f t="shared" si="277"/>
        <v>0</v>
      </c>
      <c r="DD200" s="330">
        <f t="shared" si="277"/>
        <v>0</v>
      </c>
      <c r="DE200" s="330">
        <f t="shared" si="278"/>
        <v>0</v>
      </c>
      <c r="DF200" s="330">
        <f t="shared" si="278"/>
        <v>0</v>
      </c>
      <c r="DG200" s="330">
        <f t="shared" si="278"/>
        <v>0</v>
      </c>
      <c r="DH200" s="330">
        <f t="shared" si="278"/>
        <v>0</v>
      </c>
      <c r="DI200" s="330">
        <f t="shared" si="278"/>
        <v>0</v>
      </c>
      <c r="DJ200" s="330">
        <f t="shared" si="278"/>
        <v>0</v>
      </c>
      <c r="DK200" s="330">
        <f t="shared" si="278"/>
        <v>0</v>
      </c>
      <c r="DL200" s="330">
        <f t="shared" si="278"/>
        <v>0</v>
      </c>
      <c r="DM200" s="330">
        <f t="shared" si="278"/>
        <v>0</v>
      </c>
      <c r="DN200" s="330">
        <f t="shared" si="278"/>
        <v>0</v>
      </c>
      <c r="DO200" s="330">
        <f t="shared" si="278"/>
        <v>0</v>
      </c>
      <c r="DP200" s="330">
        <f t="shared" si="213"/>
        <v>0</v>
      </c>
      <c r="DQ200" s="217"/>
      <c r="DR200" s="217"/>
      <c r="DS200" s="217"/>
      <c r="DT200" s="217"/>
    </row>
    <row r="201" spans="1:124" x14ac:dyDescent="0.3">
      <c r="A201" s="324"/>
      <c r="B201" s="221" t="s">
        <v>307</v>
      </c>
      <c r="C201" s="221" t="str">
        <f>IF('Simplified Screening 2'!C52=0,"",'Simplified Screening 2'!C52)</f>
        <v/>
      </c>
      <c r="D201" s="221" t="str">
        <f>IF('Simplified Screening 2'!D52=0,"",'Simplified Screening 2'!D52)</f>
        <v/>
      </c>
      <c r="E201" s="221"/>
      <c r="F201" s="221" t="str">
        <f>'Simplified Screening 2'!J52</f>
        <v/>
      </c>
      <c r="G201" s="335" t="str">
        <f>IF(D201="","",'Simplified Screening 2'!G52/1000*VLOOKUP(D201,'Default Values'!$B$78:$F$97,COLUMNS('Default Values'!$B$77:$D$77),0)/1000)</f>
        <v/>
      </c>
      <c r="H201" s="335" t="str">
        <f>IF(D201="","",'Simplified Screening 2'!G52/1000*VLOOKUP(D201,'Default Values'!$B$78:$F$97,COLUMNS('Default Values'!$B$77:$E$77),0)/1000)</f>
        <v/>
      </c>
      <c r="I201" s="335" t="str">
        <f>IF(D201="","",'Simplified Screening 2'!G52/1000*VLOOKUP(D201,'Default Values'!$B$78:$F$97,COLUMNS('Default Values'!$B$77:$F$77),0)/1000)</f>
        <v/>
      </c>
      <c r="J201" s="325">
        <f>IF('Simplified Screening 2'!H52=0,0,'Simplified Screening 2'!H52)</f>
        <v>0</v>
      </c>
      <c r="K201" s="465"/>
      <c r="L201" s="333">
        <f>IF($F201="",0,IF($F201="Weighted Average",$G201*VLOOKUP($D201&amp;" (Install)",Lists!$C$72:$R$232,COLUMNS(Lists!$C$69:E$69),0)*VLOOKUP(BE$3,Conversions!$B$12:$E$34,4,0),$G201*VLOOKUP($F201,Lists!$C$72:$R$232,COLUMNS(Lists!$C$69:E$69),0)*VLOOKUP(BE$3,Conversions!$B$12:$E$34,4,0)))</f>
        <v>0</v>
      </c>
      <c r="M201" s="333">
        <f>IF($F201="",0,IF($F201="Weighted Average",$G201*VLOOKUP($D201&amp;" (Install)",Lists!$C$72:$R$232,COLUMNS(Lists!$C$69:F$69),0)*VLOOKUP(BF$3,Conversions!$B$12:$E$34,4,0),$G201*VLOOKUP($F201,Lists!$C$72:$R$232,COLUMNS(Lists!$C$69:F$69),0)*VLOOKUP(BF$3,Conversions!$B$12:$E$34,4,0)))</f>
        <v>0</v>
      </c>
      <c r="N201" s="333">
        <f>IF($F201="",0,IF($F201="Weighted Average",$G201*VLOOKUP($D201&amp;" (Install)",Lists!$C$72:$R$232,COLUMNS(Lists!$C$69:G$69),0)*VLOOKUP(BG$3,Conversions!$B$12:$E$34,4,0),$G201*VLOOKUP($F201,Lists!$C$72:$R$232,COLUMNS(Lists!$C$69:G$69),0)*VLOOKUP(BG$3,Conversions!$B$12:$E$34,4,0)))</f>
        <v>0</v>
      </c>
      <c r="O201" s="333">
        <f>IF($F201="",0,IF($F201="Weighted Average",$G201*VLOOKUP($D201&amp;" (Install)",Lists!$C$72:$R$232,COLUMNS(Lists!$C$69:H$69),0)*VLOOKUP(BH$3,Conversions!$B$12:$E$34,4,0),$G201*VLOOKUP($F201,Lists!$C$72:$R$232,COLUMNS(Lists!$C$69:H$69),0)*VLOOKUP(BH$3,Conversions!$B$12:$E$34,4,0)))</f>
        <v>0</v>
      </c>
      <c r="P201" s="333">
        <f>IF($F201="",0,IF($F201="Weighted Average",$G201*VLOOKUP($D201&amp;" (Install)",Lists!$C$72:$R$232,COLUMNS(Lists!$C$69:I$69),0)*VLOOKUP(BI$3,Conversions!$B$12:$E$34,4,0),$G201*VLOOKUP($F201,Lists!$C$72:$R$232,COLUMNS(Lists!$C$69:I$69),0)*VLOOKUP(BI$3,Conversions!$B$12:$E$34,4,0)))</f>
        <v>0</v>
      </c>
      <c r="Q201" s="333">
        <f>IF($F201="",0,IF($F201="Weighted Average",$G201*VLOOKUP($D201&amp;" (Install)",Lists!$C$72:$R$232,COLUMNS(Lists!$C$69:J$69),0)*VLOOKUP(BJ$3,Conversions!$B$12:$E$34,4,0),$G201*VLOOKUP($F201,Lists!$C$72:$R$232,COLUMNS(Lists!$C$69:J$69),0)*VLOOKUP(BJ$3,Conversions!$B$12:$E$34,4,0)))</f>
        <v>0</v>
      </c>
      <c r="R201" s="333">
        <f>IF($F201="",0,IF($F201="Weighted Average",$G201*VLOOKUP($D201&amp;" (Install)",Lists!$C$72:$R$232,COLUMNS(Lists!$C$69:K$69),0)*VLOOKUP(BK$3,Conversions!$B$12:$E$34,4,0),$G201*VLOOKUP($F201,Lists!$C$72:$R$232,COLUMNS(Lists!$C$69:K$69),0)*VLOOKUP(BK$3,Conversions!$B$12:$E$34,4,0)))</f>
        <v>0</v>
      </c>
      <c r="S201" s="333">
        <f>IF($F201="",0,IF($F201="Weighted Average",$G201*VLOOKUP($D201&amp;" (Install)",Lists!$C$72:$R$232,COLUMNS(Lists!$C$69:L$69),0)*VLOOKUP(BL$3,Conversions!$B$12:$E$34,4,0),$G201*VLOOKUP($F201,Lists!$C$72:$R$232,COLUMNS(Lists!$C$69:L$69),0)*VLOOKUP(BL$3,Conversions!$B$12:$E$34,4,0)))</f>
        <v>0</v>
      </c>
      <c r="T201" s="333">
        <f>IF($F201="",0,IF($F201="Weighted Average",$G201*VLOOKUP($D201&amp;" (Install)",Lists!$C$72:$R$232,COLUMNS(Lists!$C$69:M$69),0)*VLOOKUP(BM$3,Conversions!$B$12:$E$34,4,0),$G201*VLOOKUP($F201,Lists!$C$72:$R$232,COLUMNS(Lists!$C$69:M$69),0)*VLOOKUP(BM$3,Conversions!$B$12:$E$34,4,0)))</f>
        <v>0</v>
      </c>
      <c r="U201" s="333">
        <f>IF($F201="",0,IF($F201="Weighted Average",$G201*VLOOKUP($D201&amp;" (Install)",Lists!$C$72:$R$232,COLUMNS(Lists!$C$69:N$69),0)*VLOOKUP(BN$3,Conversions!$B$12:$E$34,4,0),$G201*VLOOKUP($F201,Lists!$C$72:$R$232,COLUMNS(Lists!$C$69:N$69),0)*VLOOKUP(BN$3,Conversions!$B$12:$E$34,4,0)))</f>
        <v>0</v>
      </c>
      <c r="V201" s="333">
        <f>IF($F201="",0,IF($F201="Weighted Average",$G201*VLOOKUP($D201&amp;" (Install)",Lists!$C$72:$R$232,COLUMNS(Lists!$C$69:O$69),0)*VLOOKUP(BO$3,Conversions!$B$12:$E$34,4,0),$G201*VLOOKUP($F201,Lists!$C$72:$R$232,COLUMNS(Lists!$C$69:O$69),0)*VLOOKUP(BO$3,Conversions!$B$12:$E$34,4,0)))</f>
        <v>0</v>
      </c>
      <c r="W201" s="333">
        <f>IF($F201="",0,IF($F201="Weighted Average",$G201*VLOOKUP($D201&amp;" (Install)",Lists!$C$72:$R$232,COLUMNS(Lists!$C$69:P$69),0)*VLOOKUP(BP$3,Conversions!$B$12:$E$34,4,0),$G201*VLOOKUP($F201,Lists!$C$72:$R$232,COLUMNS(Lists!$C$69:P$69),0)*VLOOKUP(BP$3,Conversions!$B$12:$E$34,4,0)))</f>
        <v>0</v>
      </c>
      <c r="X201" s="333">
        <f>IF($F201="",0,IF($F201="Weighted Average",$G201*VLOOKUP($D201&amp;" (Install)",Lists!$C$72:$R$232,COLUMNS(Lists!$C$69:Q$69),0)*VLOOKUP(BQ$3,Conversions!$B$12:$E$34,4,0),$G201*VLOOKUP($F201,Lists!$C$72:$R$232,COLUMNS(Lists!$C$69:Q$69),0)*VLOOKUP(BQ$3,Conversions!$B$12:$E$34,4,0)))</f>
        <v>0</v>
      </c>
      <c r="Y201" s="333">
        <f>IF($F201="",0,IF($F201="Weighted Average",$G201*VLOOKUP($D201&amp;" (Install)",Lists!$C$72:$R$232,COLUMNS(Lists!$C$69:R$69),0)*VLOOKUP(BR$3,Conversions!$B$12:$E$34,4,0),$G201*VLOOKUP($F201,Lists!$C$72:$R$232,COLUMNS(Lists!$C$69:R$69),0)*VLOOKUP(BR$3,Conversions!$B$12:$E$34,4,0)))</f>
        <v>0</v>
      </c>
      <c r="Z201" s="325">
        <f t="shared" si="230"/>
        <v>0</v>
      </c>
      <c r="AA201" s="334">
        <f>IF($F201="",0,IF($F201="Weighted Average",$H201*VLOOKUP($D201&amp;" (Operation)",Lists!$C$72:$R$232,COLUMNS(Lists!$C$69:E$69),0)*VLOOKUP(BE$3,Conversions!$B$12:$E$34,4,0),$H201*VLOOKUP($F201,Lists!$C$72:$R$232,COLUMNS(Lists!$C$69:E$69),0)*VLOOKUP(BE$3,Conversions!$B$12:$E$34,4,0)))</f>
        <v>0</v>
      </c>
      <c r="AB201" s="334">
        <f>IF($F201="",0,IF($F201="Weighted Average",$H201*VLOOKUP($D201&amp;" (Operation)",Lists!$C$72:$R$232,COLUMNS(Lists!$C$69:F$69),0)*VLOOKUP(BF$3,Conversions!$B$12:$E$34,4,0),$H201*VLOOKUP($F201,Lists!$C$72:$R$232,COLUMNS(Lists!$C$69:F$69),0)*VLOOKUP(BF$3,Conversions!$B$12:$E$34,4,0)))</f>
        <v>0</v>
      </c>
      <c r="AC201" s="334">
        <f>IF($F201="",0,IF($F201="Weighted Average",$H201*VLOOKUP($D201&amp;" (Operation)",Lists!$C$72:$R$232,COLUMNS(Lists!$C$69:G$69),0)*VLOOKUP(BG$3,Conversions!$B$12:$E$34,4,0),$H201*VLOOKUP($F201,Lists!$C$72:$R$232,COLUMNS(Lists!$C$69:G$69),0)*VLOOKUP(BG$3,Conversions!$B$12:$E$34,4,0)))</f>
        <v>0</v>
      </c>
      <c r="AD201" s="334">
        <f>IF($F201="",0,IF($F201="Weighted Average",$H201*VLOOKUP($D201&amp;" (Operation)",Lists!$C$72:$R$232,COLUMNS(Lists!$C$69:H$69),0)*VLOOKUP(BH$3,Conversions!$B$12:$E$34,4,0),$H201*VLOOKUP($F201,Lists!$C$72:$R$232,COLUMNS(Lists!$C$69:H$69),0)*VLOOKUP(BH$3,Conversions!$B$12:$E$34,4,0)))</f>
        <v>0</v>
      </c>
      <c r="AE201" s="334">
        <f>IF($F201="",0,IF($F201="Weighted Average",$H201*VLOOKUP($D201&amp;" (Operation)",Lists!$C$72:$R$232,COLUMNS(Lists!$C$69:I$69),0)*VLOOKUP(BI$3,Conversions!$B$12:$E$34,4,0),$H201*VLOOKUP($F201,Lists!$C$72:$R$232,COLUMNS(Lists!$C$69:I$69),0)*VLOOKUP(BI$3,Conversions!$B$12:$E$34,4,0)))</f>
        <v>0</v>
      </c>
      <c r="AF201" s="334">
        <f>IF($F201="",0,IF($F201="Weighted Average",$H201*VLOOKUP($D201&amp;" (Operation)",Lists!$C$72:$R$232,COLUMNS(Lists!$C$69:J$69),0)*VLOOKUP(BJ$3,Conversions!$B$12:$E$34,4,0),$H201*VLOOKUP($F201,Lists!$C$72:$R$232,COLUMNS(Lists!$C$69:J$69),0)*VLOOKUP(BJ$3,Conversions!$B$12:$E$34,4,0)))</f>
        <v>0</v>
      </c>
      <c r="AG201" s="334">
        <f>IF($F201="",0,IF($F201="Weighted Average",$H201*VLOOKUP($D201&amp;" (Operation)",Lists!$C$72:$R$232,COLUMNS(Lists!$C$69:K$69),0)*VLOOKUP(BK$3,Conversions!$B$12:$E$34,4,0),$H201*VLOOKUP($F201,Lists!$C$72:$R$232,COLUMNS(Lists!$C$69:K$69),0)*VLOOKUP(BK$3,Conversions!$B$12:$E$34,4,0)))</f>
        <v>0</v>
      </c>
      <c r="AH201" s="334">
        <f>IF($F201="",0,IF($F201="Weighted Average",$H201*VLOOKUP($D201&amp;" (Operation)",Lists!$C$72:$R$232,COLUMNS(Lists!$C$69:L$69),0)*VLOOKUP(BL$3,Conversions!$B$12:$E$34,4,0),$H201*VLOOKUP($F201,Lists!$C$72:$R$232,COLUMNS(Lists!$C$69:L$69),0)*VLOOKUP(BL$3,Conversions!$B$12:$E$34,4,0)))</f>
        <v>0</v>
      </c>
      <c r="AI201" s="334">
        <f>IF($F201="",0,IF($F201="Weighted Average",$H201*VLOOKUP($D201&amp;" (Operation)",Lists!$C$72:$R$232,COLUMNS(Lists!$C$69:M$69),0)*VLOOKUP(BM$3,Conversions!$B$12:$E$34,4,0),$H201*VLOOKUP($F201,Lists!$C$72:$R$232,COLUMNS(Lists!$C$69:M$69),0)*VLOOKUP(BM$3,Conversions!$B$12:$E$34,4,0)))</f>
        <v>0</v>
      </c>
      <c r="AJ201" s="334">
        <f>IF($F201="",0,IF($F201="Weighted Average",$H201*VLOOKUP($D201&amp;" (Operation)",Lists!$C$72:$R$232,COLUMNS(Lists!$C$69:N$69),0)*VLOOKUP(BN$3,Conversions!$B$12:$E$34,4,0),$H201*VLOOKUP($F201,Lists!$C$72:$R$232,COLUMNS(Lists!$C$69:N$69),0)*VLOOKUP(BN$3,Conversions!$B$12:$E$34,4,0)))</f>
        <v>0</v>
      </c>
      <c r="AK201" s="334">
        <f>IF($F201="",0,IF($F201="Weighted Average",$H201*VLOOKUP($D201&amp;" (Operation)",Lists!$C$72:$R$232,COLUMNS(Lists!$C$69:O$69),0)*VLOOKUP(BO$3,Conversions!$B$12:$E$34,4,0),$H201*VLOOKUP($F201,Lists!$C$72:$R$232,COLUMNS(Lists!$C$69:O$69),0)*VLOOKUP(BO$3,Conversions!$B$12:$E$34,4,0)))</f>
        <v>0</v>
      </c>
      <c r="AL201" s="334">
        <f>IF($F201="",0,IF($F201="Weighted Average",$H201*VLOOKUP($D201&amp;" (Operation)",Lists!$C$72:$R$232,COLUMNS(Lists!$C$69:P$69),0)*VLOOKUP(BP$3,Conversions!$B$12:$E$34,4,0),$H201*VLOOKUP($F201,Lists!$C$72:$R$232,COLUMNS(Lists!$C$69:P$69),0)*VLOOKUP(BP$3,Conversions!$B$12:$E$34,4,0)))</f>
        <v>0</v>
      </c>
      <c r="AM201" s="334">
        <f>IF($F201="",0,IF($F201="Weighted Average",$H201*VLOOKUP($D201&amp;" (Operation)",Lists!$C$72:$R$232,COLUMNS(Lists!$C$69:Q$69),0)*VLOOKUP(BQ$3,Conversions!$B$12:$E$34,4,0),$H201*VLOOKUP($F201,Lists!$C$72:$R$232,COLUMNS(Lists!$C$69:Q$69),0)*VLOOKUP(BQ$3,Conversions!$B$12:$E$34,4,0)))</f>
        <v>0</v>
      </c>
      <c r="AN201" s="334">
        <f>IF($F201="",0,IF($F201="Weighted Average",$H201*VLOOKUP($D201&amp;" (Operation)",Lists!$C$72:$R$232,COLUMNS(Lists!$C$69:R$69),0)*VLOOKUP(BR$3,Conversions!$B$12:$E$34,4,0),$H201*VLOOKUP($F201,Lists!$C$72:$R$232,COLUMNS(Lists!$C$69:R$69),0)*VLOOKUP(BR$3,Conversions!$B$12:$E$34,4,0)))</f>
        <v>0</v>
      </c>
      <c r="AO201" s="330">
        <f t="shared" si="231"/>
        <v>0</v>
      </c>
      <c r="AP201" s="333">
        <f>IF($F201="",0,IF($F201="Weighted Average",$I201*VLOOKUP($D201&amp;" (Disposal)",Lists!$C$72:$R$232,COLUMNS(Lists!$C$69:E$69),0)*VLOOKUP(BE$3,Conversions!$B$12:$E$34,4,0),$I201*VLOOKUP($F201,Lists!$C$72:$R$232,COLUMNS(Lists!$C$69:E$69),0)*VLOOKUP(BE$3,Conversions!$B$12:$E$34,4,0)))</f>
        <v>0</v>
      </c>
      <c r="AQ201" s="333">
        <f>IF($F201="",0,IF($F201="Weighted Average",$I201*VLOOKUP($D201&amp;" (Disposal)",Lists!$C$72:$R$232,COLUMNS(Lists!$C$69:F$69),0)*VLOOKUP(BF$3,Conversions!$B$12:$E$34,4,0),$I201*VLOOKUP($F201,Lists!$C$72:$R$232,COLUMNS(Lists!$C$69:F$69),0)*VLOOKUP(BF$3,Conversions!$B$12:$E$34,4,0)))</f>
        <v>0</v>
      </c>
      <c r="AR201" s="333">
        <f>IF($F201="",0,IF($F201="Weighted Average",$I201*VLOOKUP($D201&amp;" (Disposal)",Lists!$C$72:$R$232,COLUMNS(Lists!$C$69:G$69),0)*VLOOKUP(BG$3,Conversions!$B$12:$E$34,4,0),$I201*VLOOKUP($F201,Lists!$C$72:$R$232,COLUMNS(Lists!$C$69:G$69),0)*VLOOKUP(BG$3,Conversions!$B$12:$E$34,4,0)))</f>
        <v>0</v>
      </c>
      <c r="AS201" s="333">
        <f>IF($F201="",0,IF($F201="Weighted Average",$I201*VLOOKUP($D201&amp;" (Disposal)",Lists!$C$72:$R$232,COLUMNS(Lists!$C$69:H$69),0)*VLOOKUP(BH$3,Conversions!$B$12:$E$34,4,0),$I201*VLOOKUP($F201,Lists!$C$72:$R$232,COLUMNS(Lists!$C$69:H$69),0)*VLOOKUP(BH$3,Conversions!$B$12:$E$34,4,0)))</f>
        <v>0</v>
      </c>
      <c r="AT201" s="333">
        <f>IF($F201="",0,IF($F201="Weighted Average",$I201*VLOOKUP($D201&amp;" (Disposal)",Lists!$C$72:$R$232,COLUMNS(Lists!$C$69:I$69),0)*VLOOKUP(BI$3,Conversions!$B$12:$E$34,4,0),$I201*VLOOKUP($F201,Lists!$C$72:$R$232,COLUMNS(Lists!$C$69:I$69),0)*VLOOKUP(BI$3,Conversions!$B$12:$E$34,4,0)))</f>
        <v>0</v>
      </c>
      <c r="AU201" s="333">
        <f>IF($F201="",0,IF($F201="Weighted Average",$I201*VLOOKUP($D201&amp;" (Disposal)",Lists!$C$72:$R$232,COLUMNS(Lists!$C$69:J$69),0)*VLOOKUP(BJ$3,Conversions!$B$12:$E$34,4,0),$I201*VLOOKUP($F201,Lists!$C$72:$R$232,COLUMNS(Lists!$C$69:J$69),0)*VLOOKUP(BJ$3,Conversions!$B$12:$E$34,4,0)))</f>
        <v>0</v>
      </c>
      <c r="AV201" s="333">
        <f>IF($F201="",0,IF($F201="Weighted Average",$I201*VLOOKUP($D201&amp;" (Disposal)",Lists!$C$72:$R$232,COLUMNS(Lists!$C$69:K$69),0)*VLOOKUP(BK$3,Conversions!$B$12:$E$34,4,0),$I201*VLOOKUP($F201,Lists!$C$72:$R$232,COLUMNS(Lists!$C$69:K$69),0)*VLOOKUP(BK$3,Conversions!$B$12:$E$34,4,0)))</f>
        <v>0</v>
      </c>
      <c r="AW201" s="333">
        <f>IF($F201="",0,IF($F201="Weighted Average",$I201*VLOOKUP($D201&amp;" (Disposal)",Lists!$C$72:$R$232,COLUMNS(Lists!$C$69:L$69),0)*VLOOKUP(BL$3,Conversions!$B$12:$E$34,4,0),$I201*VLOOKUP($F201,Lists!$C$72:$R$232,COLUMNS(Lists!$C$69:L$69),0)*VLOOKUP(BL$3,Conversions!$B$12:$E$34,4,0)))</f>
        <v>0</v>
      </c>
      <c r="AX201" s="333">
        <f>IF($F201="",0,IF($F201="Weighted Average",$I201*VLOOKUP($D201&amp;" (Disposal)",Lists!$C$72:$R$232,COLUMNS(Lists!$C$69:M$69),0)*VLOOKUP(BM$3,Conversions!$B$12:$E$34,4,0),$I201*VLOOKUP($F201,Lists!$C$72:$R$232,COLUMNS(Lists!$C$69:M$69),0)*VLOOKUP(BM$3,Conversions!$B$12:$E$34,4,0)))</f>
        <v>0</v>
      </c>
      <c r="AY201" s="333">
        <f>IF($F201="",0,IF($F201="Weighted Average",$I201*VLOOKUP($D201&amp;" (Disposal)",Lists!$C$72:$R$232,COLUMNS(Lists!$C$69:N$69),0)*VLOOKUP(BN$3,Conversions!$B$12:$E$34,4,0),$I201*VLOOKUP($F201,Lists!$C$72:$R$232,COLUMNS(Lists!$C$69:N$69),0)*VLOOKUP(BN$3,Conversions!$B$12:$E$34,4,0)))</f>
        <v>0</v>
      </c>
      <c r="AZ201" s="333">
        <f>IF($F201="",0,IF($F201="Weighted Average",$I201*VLOOKUP($D201&amp;" (Disposal)",Lists!$C$72:$R$232,COLUMNS(Lists!$C$69:O$69),0)*VLOOKUP(BO$3,Conversions!$B$12:$E$34,4,0),$I201*VLOOKUP($F201,Lists!$C$72:$R$232,COLUMNS(Lists!$C$69:O$69),0)*VLOOKUP(BO$3,Conversions!$B$12:$E$34,4,0)))</f>
        <v>0</v>
      </c>
      <c r="BA201" s="333">
        <f>IF($F201="",0,IF($F201="Weighted Average",$I201*VLOOKUP($D201&amp;" (Disposal)",Lists!$C$72:$R$232,COLUMNS(Lists!$C$69:P$69),0)*VLOOKUP(BP$3,Conversions!$B$12:$E$34,4,0),$I201*VLOOKUP($F201,Lists!$C$72:$R$232,COLUMNS(Lists!$C$69:P$69),0)*VLOOKUP(BP$3,Conversions!$B$12:$E$34,4,0)))</f>
        <v>0</v>
      </c>
      <c r="BB201" s="333">
        <f>IF($F201="",0,IF($F201="Weighted Average",$I201*VLOOKUP($D201&amp;" (Disposal)",Lists!$C$72:$R$232,COLUMNS(Lists!$C$69:Q$69),0)*VLOOKUP(BQ$3,Conversions!$B$12:$E$34,4,0),$I201*VLOOKUP($F201,Lists!$C$72:$R$232,COLUMNS(Lists!$C$69:Q$69),0)*VLOOKUP(BQ$3,Conversions!$B$12:$E$34,4,0)))</f>
        <v>0</v>
      </c>
      <c r="BC201" s="333">
        <f>IF($F201="",0,IF($F201="Weighted Average",$I201*VLOOKUP($D201&amp;" (Disposal)",Lists!$C$72:$R$232,COLUMNS(Lists!$C$69:R$69),0)*VLOOKUP(BR$3,Conversions!$B$12:$E$34,4,0),$I201*VLOOKUP($F201,Lists!$C$72:$R$232,COLUMNS(Lists!$C$69:R$69),0)*VLOOKUP(BR$3,Conversions!$B$12:$E$34,4,0)))</f>
        <v>0</v>
      </c>
      <c r="BD201" s="333">
        <f t="shared" si="232"/>
        <v>0</v>
      </c>
      <c r="BE201" s="330">
        <f t="shared" si="233"/>
        <v>0</v>
      </c>
      <c r="BF201" s="330">
        <f t="shared" si="214"/>
        <v>0</v>
      </c>
      <c r="BG201" s="330">
        <f t="shared" si="215"/>
        <v>0</v>
      </c>
      <c r="BH201" s="330">
        <f t="shared" si="216"/>
        <v>0</v>
      </c>
      <c r="BI201" s="330">
        <f t="shared" si="217"/>
        <v>0</v>
      </c>
      <c r="BJ201" s="330">
        <f t="shared" si="218"/>
        <v>0</v>
      </c>
      <c r="BK201" s="330">
        <f t="shared" si="219"/>
        <v>0</v>
      </c>
      <c r="BL201" s="330">
        <f t="shared" si="220"/>
        <v>0</v>
      </c>
      <c r="BM201" s="330">
        <f t="shared" si="221"/>
        <v>0</v>
      </c>
      <c r="BN201" s="330">
        <f t="shared" si="222"/>
        <v>0</v>
      </c>
      <c r="BO201" s="330">
        <f t="shared" si="223"/>
        <v>0</v>
      </c>
      <c r="BP201" s="330">
        <f t="shared" si="224"/>
        <v>0</v>
      </c>
      <c r="BQ201" s="330">
        <f t="shared" si="225"/>
        <v>0</v>
      </c>
      <c r="BR201" s="330">
        <f t="shared" si="226"/>
        <v>0</v>
      </c>
      <c r="BS201" s="330">
        <f t="shared" si="227"/>
        <v>0</v>
      </c>
      <c r="BT201" s="329">
        <f>IF($F201="",0,IF($F201="Weighted Average",$BS201*VLOOKUP($D201,'Default Values'!$B$78:$V$97,COLUMNS('Default Values'!$B$77:G$77),0),0))</f>
        <v>0</v>
      </c>
      <c r="BU201" s="329">
        <f>IF($F201="",0,IF($F201="Weighted Average",$BS201*VLOOKUP($D201,'Default Values'!$B$78:$V$97,COLUMNS('Default Values'!$B$77:H$77),0),0))</f>
        <v>0</v>
      </c>
      <c r="BV201" s="329">
        <f>IF($F201="",0,IF($F201="Weighted Average",$BS201*VLOOKUP($D201,'Default Values'!$B$78:$V$97,COLUMNS('Default Values'!$B$77:I$77),0),0))</f>
        <v>0</v>
      </c>
      <c r="BW201" s="329">
        <f>IF($F201="",0,IF($F201="Weighted Average",$BS201*VLOOKUP($D201,'Default Values'!$B$78:$V$97,COLUMNS('Default Values'!$B$77:J$77),0),0))</f>
        <v>0</v>
      </c>
      <c r="BX201" s="329">
        <f>IF($F201="",0,IF($F201="Weighted Average",$BS201*VLOOKUP($D201,'Default Values'!$B$78:$V$97,COLUMNS('Default Values'!$B$77:K$77),0),0))</f>
        <v>0</v>
      </c>
      <c r="BY201" s="329">
        <f>IF($F201="",0,IF($F201="Weighted Average",$BS201*VLOOKUP($D201,'Default Values'!$B$78:$V$97,COLUMNS('Default Values'!$B$77:L$77),0),0))</f>
        <v>0</v>
      </c>
      <c r="BZ201" s="329">
        <f>IF($F201="",0,IF($F201="Weighted Average",$BS201*VLOOKUP($D201,'Default Values'!$B$78:$V$97,COLUMNS('Default Values'!$B$77:M$77),0),0))</f>
        <v>0</v>
      </c>
      <c r="CA201" s="329">
        <f>IF($F201="",0,IF($F201="Weighted Average",$BS201*VLOOKUP($D201,'Default Values'!$B$78:$V$97,COLUMNS('Default Values'!$B$77:N$77),0),0))</f>
        <v>0</v>
      </c>
      <c r="CB201" s="329">
        <f>IF($F201="",0,IF($F201="Weighted Average",$BS201*VLOOKUP($D201,'Default Values'!$B$78:$V$97,COLUMNS('Default Values'!$B$77:O$77),0),0))</f>
        <v>0</v>
      </c>
      <c r="CC201" s="329">
        <f>IF($F201="",0,IF($F201="Weighted Average",$BS201*VLOOKUP($D201,'Default Values'!$B$78:$V$97,COLUMNS('Default Values'!$B$77:P$77),0),0))</f>
        <v>0</v>
      </c>
      <c r="CD201" s="329">
        <f>IF($F201="",0,IF($F201="Weighted Average",$BS201*VLOOKUP($D201,'Default Values'!$B$78:$V$97,COLUMNS('Default Values'!$B$77:Q$77),0),0))</f>
        <v>0</v>
      </c>
      <c r="CE201" s="329">
        <f>IF($F201="",0,IF($F201="Weighted Average",$BS201*VLOOKUP($D201,'Default Values'!$B$78:$V$97,COLUMNS('Default Values'!$B$77:R$77),0),0))</f>
        <v>0</v>
      </c>
      <c r="CF201" s="329">
        <f>IF($F201="",0,IF($F201="Weighted Average",$BS201*VLOOKUP($D201,'Default Values'!$B$78:$V$97,COLUMNS('Default Values'!$B$77:S$77),0),0))</f>
        <v>0</v>
      </c>
      <c r="CG201" s="329">
        <f>IF($F201="",0,IF($F201="Weighted Average",$BS201*VLOOKUP($D201,'Default Values'!$B$78:$V$97,COLUMNS('Default Values'!$B$77:T$77),0),0))</f>
        <v>0</v>
      </c>
      <c r="CH201" s="329">
        <f>IF($F201="",0,IF($F201="Weighted Average",$BS201*VLOOKUP($D201,'Default Values'!$B$78:$V$97,COLUMNS('Default Values'!$B$77:U$77),0),0))</f>
        <v>0</v>
      </c>
      <c r="CI201" s="329">
        <f>IF($F201="",0,IF($F201="Weighted Average",$BS201*VLOOKUP($D201,'Default Values'!$B$78:$V$97,COLUMNS('Default Values'!$B$77:V$77),0),0))</f>
        <v>0</v>
      </c>
      <c r="CJ201" s="331">
        <f t="shared" si="267"/>
        <v>0</v>
      </c>
      <c r="CK201" s="330">
        <f t="shared" si="268"/>
        <v>0</v>
      </c>
      <c r="CL201" s="330">
        <f t="shared" si="269"/>
        <v>0</v>
      </c>
      <c r="CM201" s="330">
        <f t="shared" si="270"/>
        <v>0</v>
      </c>
      <c r="CN201" s="330">
        <f t="shared" si="271"/>
        <v>0</v>
      </c>
      <c r="CO201" s="330">
        <f t="shared" si="272"/>
        <v>0</v>
      </c>
      <c r="CP201" s="330">
        <f t="shared" si="273"/>
        <v>0</v>
      </c>
      <c r="CQ201" s="330">
        <f t="shared" si="279"/>
        <v>0</v>
      </c>
      <c r="CR201" s="330">
        <f t="shared" si="274"/>
        <v>0</v>
      </c>
      <c r="CS201" s="330">
        <f t="shared" si="275"/>
        <v>0</v>
      </c>
      <c r="CT201" s="330">
        <f t="shared" si="276"/>
        <v>0</v>
      </c>
      <c r="CU201" s="330">
        <f t="shared" si="277"/>
        <v>0</v>
      </c>
      <c r="CV201" s="330">
        <f t="shared" si="277"/>
        <v>0</v>
      </c>
      <c r="CW201" s="330">
        <f t="shared" si="277"/>
        <v>0</v>
      </c>
      <c r="CX201" s="330">
        <f t="shared" si="277"/>
        <v>0</v>
      </c>
      <c r="CY201" s="330">
        <f t="shared" si="277"/>
        <v>0</v>
      </c>
      <c r="CZ201" s="330">
        <f t="shared" si="277"/>
        <v>0</v>
      </c>
      <c r="DA201" s="330">
        <f t="shared" si="277"/>
        <v>0</v>
      </c>
      <c r="DB201" s="330">
        <f t="shared" si="277"/>
        <v>0</v>
      </c>
      <c r="DC201" s="330">
        <f t="shared" si="277"/>
        <v>0</v>
      </c>
      <c r="DD201" s="330">
        <f t="shared" si="277"/>
        <v>0</v>
      </c>
      <c r="DE201" s="330">
        <f t="shared" si="278"/>
        <v>0</v>
      </c>
      <c r="DF201" s="330">
        <f t="shared" si="278"/>
        <v>0</v>
      </c>
      <c r="DG201" s="330">
        <f t="shared" si="278"/>
        <v>0</v>
      </c>
      <c r="DH201" s="330">
        <f t="shared" si="278"/>
        <v>0</v>
      </c>
      <c r="DI201" s="330">
        <f t="shared" si="278"/>
        <v>0</v>
      </c>
      <c r="DJ201" s="330">
        <f t="shared" si="278"/>
        <v>0</v>
      </c>
      <c r="DK201" s="330">
        <f t="shared" si="278"/>
        <v>0</v>
      </c>
      <c r="DL201" s="330">
        <f t="shared" si="278"/>
        <v>0</v>
      </c>
      <c r="DM201" s="330">
        <f t="shared" si="278"/>
        <v>0</v>
      </c>
      <c r="DN201" s="330">
        <f t="shared" si="278"/>
        <v>0</v>
      </c>
      <c r="DO201" s="330">
        <f t="shared" si="278"/>
        <v>0</v>
      </c>
      <c r="DP201" s="330">
        <f t="shared" si="213"/>
        <v>0</v>
      </c>
      <c r="DQ201" s="217"/>
      <c r="DR201" s="217"/>
      <c r="DS201" s="217"/>
      <c r="DT201" s="217"/>
    </row>
    <row r="202" spans="1:124" x14ac:dyDescent="0.3">
      <c r="A202" s="324"/>
      <c r="B202" s="221" t="s">
        <v>307</v>
      </c>
      <c r="C202" s="221" t="str">
        <f>IF('Simplified Screening 2'!C53=0,"",'Simplified Screening 2'!C53)</f>
        <v/>
      </c>
      <c r="D202" s="221" t="str">
        <f>IF('Simplified Screening 2'!D53=0,"",'Simplified Screening 2'!D53)</f>
        <v/>
      </c>
      <c r="E202" s="221"/>
      <c r="F202" s="221" t="str">
        <f>'Simplified Screening 2'!J53</f>
        <v/>
      </c>
      <c r="G202" s="335" t="str">
        <f>IF(D202="","",'Simplified Screening 2'!G53/1000*VLOOKUP(D202,'Default Values'!$B$78:$F$97,COLUMNS('Default Values'!$B$77:$D$77),0)/1000)</f>
        <v/>
      </c>
      <c r="H202" s="335" t="str">
        <f>IF(D202="","",'Simplified Screening 2'!G53/1000*VLOOKUP(D202,'Default Values'!$B$78:$F$97,COLUMNS('Default Values'!$B$77:$E$77),0)/1000)</f>
        <v/>
      </c>
      <c r="I202" s="335" t="str">
        <f>IF(D202="","",'Simplified Screening 2'!G53/1000*VLOOKUP(D202,'Default Values'!$B$78:$F$97,COLUMNS('Default Values'!$B$77:$F$77),0)/1000)</f>
        <v/>
      </c>
      <c r="J202" s="325">
        <f>IF('Simplified Screening 2'!H53=0,0,'Simplified Screening 2'!H53)</f>
        <v>0</v>
      </c>
      <c r="K202" s="465"/>
      <c r="L202" s="333">
        <f>IF($F202="",0,IF($F202="Weighted Average",$G202*VLOOKUP($D202&amp;" (Install)",Lists!$C$72:$R$232,COLUMNS(Lists!$C$69:E$69),0)*VLOOKUP(BE$3,Conversions!$B$12:$E$34,4,0),$G202*VLOOKUP($F202,Lists!$C$72:$R$232,COLUMNS(Lists!$C$69:E$69),0)*VLOOKUP(BE$3,Conversions!$B$12:$E$34,4,0)))</f>
        <v>0</v>
      </c>
      <c r="M202" s="333">
        <f>IF($F202="",0,IF($F202="Weighted Average",$G202*VLOOKUP($D202&amp;" (Install)",Lists!$C$72:$R$232,COLUMNS(Lists!$C$69:F$69),0)*VLOOKUP(BF$3,Conversions!$B$12:$E$34,4,0),$G202*VLOOKUP($F202,Lists!$C$72:$R$232,COLUMNS(Lists!$C$69:F$69),0)*VLOOKUP(BF$3,Conversions!$B$12:$E$34,4,0)))</f>
        <v>0</v>
      </c>
      <c r="N202" s="333">
        <f>IF($F202="",0,IF($F202="Weighted Average",$G202*VLOOKUP($D202&amp;" (Install)",Lists!$C$72:$R$232,COLUMNS(Lists!$C$69:G$69),0)*VLOOKUP(BG$3,Conversions!$B$12:$E$34,4,0),$G202*VLOOKUP($F202,Lists!$C$72:$R$232,COLUMNS(Lists!$C$69:G$69),0)*VLOOKUP(BG$3,Conversions!$B$12:$E$34,4,0)))</f>
        <v>0</v>
      </c>
      <c r="O202" s="333">
        <f>IF($F202="",0,IF($F202="Weighted Average",$G202*VLOOKUP($D202&amp;" (Install)",Lists!$C$72:$R$232,COLUMNS(Lists!$C$69:H$69),0)*VLOOKUP(BH$3,Conversions!$B$12:$E$34,4,0),$G202*VLOOKUP($F202,Lists!$C$72:$R$232,COLUMNS(Lists!$C$69:H$69),0)*VLOOKUP(BH$3,Conversions!$B$12:$E$34,4,0)))</f>
        <v>0</v>
      </c>
      <c r="P202" s="333">
        <f>IF($F202="",0,IF($F202="Weighted Average",$G202*VLOOKUP($D202&amp;" (Install)",Lists!$C$72:$R$232,COLUMNS(Lists!$C$69:I$69),0)*VLOOKUP(BI$3,Conversions!$B$12:$E$34,4,0),$G202*VLOOKUP($F202,Lists!$C$72:$R$232,COLUMNS(Lists!$C$69:I$69),0)*VLOOKUP(BI$3,Conversions!$B$12:$E$34,4,0)))</f>
        <v>0</v>
      </c>
      <c r="Q202" s="333">
        <f>IF($F202="",0,IF($F202="Weighted Average",$G202*VLOOKUP($D202&amp;" (Install)",Lists!$C$72:$R$232,COLUMNS(Lists!$C$69:J$69),0)*VLOOKUP(BJ$3,Conversions!$B$12:$E$34,4,0),$G202*VLOOKUP($F202,Lists!$C$72:$R$232,COLUMNS(Lists!$C$69:J$69),0)*VLOOKUP(BJ$3,Conversions!$B$12:$E$34,4,0)))</f>
        <v>0</v>
      </c>
      <c r="R202" s="333">
        <f>IF($F202="",0,IF($F202="Weighted Average",$G202*VLOOKUP($D202&amp;" (Install)",Lists!$C$72:$R$232,COLUMNS(Lists!$C$69:K$69),0)*VLOOKUP(BK$3,Conversions!$B$12:$E$34,4,0),$G202*VLOOKUP($F202,Lists!$C$72:$R$232,COLUMNS(Lists!$C$69:K$69),0)*VLOOKUP(BK$3,Conversions!$B$12:$E$34,4,0)))</f>
        <v>0</v>
      </c>
      <c r="S202" s="333">
        <f>IF($F202="",0,IF($F202="Weighted Average",$G202*VLOOKUP($D202&amp;" (Install)",Lists!$C$72:$R$232,COLUMNS(Lists!$C$69:L$69),0)*VLOOKUP(BL$3,Conversions!$B$12:$E$34,4,0),$G202*VLOOKUP($F202,Lists!$C$72:$R$232,COLUMNS(Lists!$C$69:L$69),0)*VLOOKUP(BL$3,Conversions!$B$12:$E$34,4,0)))</f>
        <v>0</v>
      </c>
      <c r="T202" s="333">
        <f>IF($F202="",0,IF($F202="Weighted Average",$G202*VLOOKUP($D202&amp;" (Install)",Lists!$C$72:$R$232,COLUMNS(Lists!$C$69:M$69),0)*VLOOKUP(BM$3,Conversions!$B$12:$E$34,4,0),$G202*VLOOKUP($F202,Lists!$C$72:$R$232,COLUMNS(Lists!$C$69:M$69),0)*VLOOKUP(BM$3,Conversions!$B$12:$E$34,4,0)))</f>
        <v>0</v>
      </c>
      <c r="U202" s="333">
        <f>IF($F202="",0,IF($F202="Weighted Average",$G202*VLOOKUP($D202&amp;" (Install)",Lists!$C$72:$R$232,COLUMNS(Lists!$C$69:N$69),0)*VLOOKUP(BN$3,Conversions!$B$12:$E$34,4,0),$G202*VLOOKUP($F202,Lists!$C$72:$R$232,COLUMNS(Lists!$C$69:N$69),0)*VLOOKUP(BN$3,Conversions!$B$12:$E$34,4,0)))</f>
        <v>0</v>
      </c>
      <c r="V202" s="333">
        <f>IF($F202="",0,IF($F202="Weighted Average",$G202*VLOOKUP($D202&amp;" (Install)",Lists!$C$72:$R$232,COLUMNS(Lists!$C$69:O$69),0)*VLOOKUP(BO$3,Conversions!$B$12:$E$34,4,0),$G202*VLOOKUP($F202,Lists!$C$72:$R$232,COLUMNS(Lists!$C$69:O$69),0)*VLOOKUP(BO$3,Conversions!$B$12:$E$34,4,0)))</f>
        <v>0</v>
      </c>
      <c r="W202" s="333">
        <f>IF($F202="",0,IF($F202="Weighted Average",$G202*VLOOKUP($D202&amp;" (Install)",Lists!$C$72:$R$232,COLUMNS(Lists!$C$69:P$69),0)*VLOOKUP(BP$3,Conversions!$B$12:$E$34,4,0),$G202*VLOOKUP($F202,Lists!$C$72:$R$232,COLUMNS(Lists!$C$69:P$69),0)*VLOOKUP(BP$3,Conversions!$B$12:$E$34,4,0)))</f>
        <v>0</v>
      </c>
      <c r="X202" s="333">
        <f>IF($F202="",0,IF($F202="Weighted Average",$G202*VLOOKUP($D202&amp;" (Install)",Lists!$C$72:$R$232,COLUMNS(Lists!$C$69:Q$69),0)*VLOOKUP(BQ$3,Conversions!$B$12:$E$34,4,0),$G202*VLOOKUP($F202,Lists!$C$72:$R$232,COLUMNS(Lists!$C$69:Q$69),0)*VLOOKUP(BQ$3,Conversions!$B$12:$E$34,4,0)))</f>
        <v>0</v>
      </c>
      <c r="Y202" s="333">
        <f>IF($F202="",0,IF($F202="Weighted Average",$G202*VLOOKUP($D202&amp;" (Install)",Lists!$C$72:$R$232,COLUMNS(Lists!$C$69:R$69),0)*VLOOKUP(BR$3,Conversions!$B$12:$E$34,4,0),$G202*VLOOKUP($F202,Lists!$C$72:$R$232,COLUMNS(Lists!$C$69:R$69),0)*VLOOKUP(BR$3,Conversions!$B$12:$E$34,4,0)))</f>
        <v>0</v>
      </c>
      <c r="Z202" s="325">
        <f t="shared" si="230"/>
        <v>0</v>
      </c>
      <c r="AA202" s="334">
        <f>IF($F202="",0,IF($F202="Weighted Average",$H202*VLOOKUP($D202&amp;" (Operation)",Lists!$C$72:$R$232,COLUMNS(Lists!$C$69:E$69),0)*VLOOKUP(BE$3,Conversions!$B$12:$E$34,4,0),$H202*VLOOKUP($F202,Lists!$C$72:$R$232,COLUMNS(Lists!$C$69:E$69),0)*VLOOKUP(BE$3,Conversions!$B$12:$E$34,4,0)))</f>
        <v>0</v>
      </c>
      <c r="AB202" s="334">
        <f>IF($F202="",0,IF($F202="Weighted Average",$H202*VLOOKUP($D202&amp;" (Operation)",Lists!$C$72:$R$232,COLUMNS(Lists!$C$69:F$69),0)*VLOOKUP(BF$3,Conversions!$B$12:$E$34,4,0),$H202*VLOOKUP($F202,Lists!$C$72:$R$232,COLUMNS(Lists!$C$69:F$69),0)*VLOOKUP(BF$3,Conversions!$B$12:$E$34,4,0)))</f>
        <v>0</v>
      </c>
      <c r="AC202" s="334">
        <f>IF($F202="",0,IF($F202="Weighted Average",$H202*VLOOKUP($D202&amp;" (Operation)",Lists!$C$72:$R$232,COLUMNS(Lists!$C$69:G$69),0)*VLOOKUP(BG$3,Conversions!$B$12:$E$34,4,0),$H202*VLOOKUP($F202,Lists!$C$72:$R$232,COLUMNS(Lists!$C$69:G$69),0)*VLOOKUP(BG$3,Conversions!$B$12:$E$34,4,0)))</f>
        <v>0</v>
      </c>
      <c r="AD202" s="334">
        <f>IF($F202="",0,IF($F202="Weighted Average",$H202*VLOOKUP($D202&amp;" (Operation)",Lists!$C$72:$R$232,COLUMNS(Lists!$C$69:H$69),0)*VLOOKUP(BH$3,Conversions!$B$12:$E$34,4,0),$H202*VLOOKUP($F202,Lists!$C$72:$R$232,COLUMNS(Lists!$C$69:H$69),0)*VLOOKUP(BH$3,Conversions!$B$12:$E$34,4,0)))</f>
        <v>0</v>
      </c>
      <c r="AE202" s="334">
        <f>IF($F202="",0,IF($F202="Weighted Average",$H202*VLOOKUP($D202&amp;" (Operation)",Lists!$C$72:$R$232,COLUMNS(Lists!$C$69:I$69),0)*VLOOKUP(BI$3,Conversions!$B$12:$E$34,4,0),$H202*VLOOKUP($F202,Lists!$C$72:$R$232,COLUMNS(Lists!$C$69:I$69),0)*VLOOKUP(BI$3,Conversions!$B$12:$E$34,4,0)))</f>
        <v>0</v>
      </c>
      <c r="AF202" s="334">
        <f>IF($F202="",0,IF($F202="Weighted Average",$H202*VLOOKUP($D202&amp;" (Operation)",Lists!$C$72:$R$232,COLUMNS(Lists!$C$69:J$69),0)*VLOOKUP(BJ$3,Conversions!$B$12:$E$34,4,0),$H202*VLOOKUP($F202,Lists!$C$72:$R$232,COLUMNS(Lists!$C$69:J$69),0)*VLOOKUP(BJ$3,Conversions!$B$12:$E$34,4,0)))</f>
        <v>0</v>
      </c>
      <c r="AG202" s="334">
        <f>IF($F202="",0,IF($F202="Weighted Average",$H202*VLOOKUP($D202&amp;" (Operation)",Lists!$C$72:$R$232,COLUMNS(Lists!$C$69:K$69),0)*VLOOKUP(BK$3,Conversions!$B$12:$E$34,4,0),$H202*VLOOKUP($F202,Lists!$C$72:$R$232,COLUMNS(Lists!$C$69:K$69),0)*VLOOKUP(BK$3,Conversions!$B$12:$E$34,4,0)))</f>
        <v>0</v>
      </c>
      <c r="AH202" s="334">
        <f>IF($F202="",0,IF($F202="Weighted Average",$H202*VLOOKUP($D202&amp;" (Operation)",Lists!$C$72:$R$232,COLUMNS(Lists!$C$69:L$69),0)*VLOOKUP(BL$3,Conversions!$B$12:$E$34,4,0),$H202*VLOOKUP($F202,Lists!$C$72:$R$232,COLUMNS(Lists!$C$69:L$69),0)*VLOOKUP(BL$3,Conversions!$B$12:$E$34,4,0)))</f>
        <v>0</v>
      </c>
      <c r="AI202" s="334">
        <f>IF($F202="",0,IF($F202="Weighted Average",$H202*VLOOKUP($D202&amp;" (Operation)",Lists!$C$72:$R$232,COLUMNS(Lists!$C$69:M$69),0)*VLOOKUP(BM$3,Conversions!$B$12:$E$34,4,0),$H202*VLOOKUP($F202,Lists!$C$72:$R$232,COLUMNS(Lists!$C$69:M$69),0)*VLOOKUP(BM$3,Conversions!$B$12:$E$34,4,0)))</f>
        <v>0</v>
      </c>
      <c r="AJ202" s="334">
        <f>IF($F202="",0,IF($F202="Weighted Average",$H202*VLOOKUP($D202&amp;" (Operation)",Lists!$C$72:$R$232,COLUMNS(Lists!$C$69:N$69),0)*VLOOKUP(BN$3,Conversions!$B$12:$E$34,4,0),$H202*VLOOKUP($F202,Lists!$C$72:$R$232,COLUMNS(Lists!$C$69:N$69),0)*VLOOKUP(BN$3,Conversions!$B$12:$E$34,4,0)))</f>
        <v>0</v>
      </c>
      <c r="AK202" s="334">
        <f>IF($F202="",0,IF($F202="Weighted Average",$H202*VLOOKUP($D202&amp;" (Operation)",Lists!$C$72:$R$232,COLUMNS(Lists!$C$69:O$69),0)*VLOOKUP(BO$3,Conversions!$B$12:$E$34,4,0),$H202*VLOOKUP($F202,Lists!$C$72:$R$232,COLUMNS(Lists!$C$69:O$69),0)*VLOOKUP(BO$3,Conversions!$B$12:$E$34,4,0)))</f>
        <v>0</v>
      </c>
      <c r="AL202" s="334">
        <f>IF($F202="",0,IF($F202="Weighted Average",$H202*VLOOKUP($D202&amp;" (Operation)",Lists!$C$72:$R$232,COLUMNS(Lists!$C$69:P$69),0)*VLOOKUP(BP$3,Conversions!$B$12:$E$34,4,0),$H202*VLOOKUP($F202,Lists!$C$72:$R$232,COLUMNS(Lists!$C$69:P$69),0)*VLOOKUP(BP$3,Conversions!$B$12:$E$34,4,0)))</f>
        <v>0</v>
      </c>
      <c r="AM202" s="334">
        <f>IF($F202="",0,IF($F202="Weighted Average",$H202*VLOOKUP($D202&amp;" (Operation)",Lists!$C$72:$R$232,COLUMNS(Lists!$C$69:Q$69),0)*VLOOKUP(BQ$3,Conversions!$B$12:$E$34,4,0),$H202*VLOOKUP($F202,Lists!$C$72:$R$232,COLUMNS(Lists!$C$69:Q$69),0)*VLOOKUP(BQ$3,Conversions!$B$12:$E$34,4,0)))</f>
        <v>0</v>
      </c>
      <c r="AN202" s="334">
        <f>IF($F202="",0,IF($F202="Weighted Average",$H202*VLOOKUP($D202&amp;" (Operation)",Lists!$C$72:$R$232,COLUMNS(Lists!$C$69:R$69),0)*VLOOKUP(BR$3,Conversions!$B$12:$E$34,4,0),$H202*VLOOKUP($F202,Lists!$C$72:$R$232,COLUMNS(Lists!$C$69:R$69),0)*VLOOKUP(BR$3,Conversions!$B$12:$E$34,4,0)))</f>
        <v>0</v>
      </c>
      <c r="AO202" s="330">
        <f t="shared" si="231"/>
        <v>0</v>
      </c>
      <c r="AP202" s="333">
        <f>IF($F202="",0,IF($F202="Weighted Average",$I202*VLOOKUP($D202&amp;" (Disposal)",Lists!$C$72:$R$232,COLUMNS(Lists!$C$69:E$69),0)*VLOOKUP(BE$3,Conversions!$B$12:$E$34,4,0),$I202*VLOOKUP($F202,Lists!$C$72:$R$232,COLUMNS(Lists!$C$69:E$69),0)*VLOOKUP(BE$3,Conversions!$B$12:$E$34,4,0)))</f>
        <v>0</v>
      </c>
      <c r="AQ202" s="333">
        <f>IF($F202="",0,IF($F202="Weighted Average",$I202*VLOOKUP($D202&amp;" (Disposal)",Lists!$C$72:$R$232,COLUMNS(Lists!$C$69:F$69),0)*VLOOKUP(BF$3,Conversions!$B$12:$E$34,4,0),$I202*VLOOKUP($F202,Lists!$C$72:$R$232,COLUMNS(Lists!$C$69:F$69),0)*VLOOKUP(BF$3,Conversions!$B$12:$E$34,4,0)))</f>
        <v>0</v>
      </c>
      <c r="AR202" s="333">
        <f>IF($F202="",0,IF($F202="Weighted Average",$I202*VLOOKUP($D202&amp;" (Disposal)",Lists!$C$72:$R$232,COLUMNS(Lists!$C$69:G$69),0)*VLOOKUP(BG$3,Conversions!$B$12:$E$34,4,0),$I202*VLOOKUP($F202,Lists!$C$72:$R$232,COLUMNS(Lists!$C$69:G$69),0)*VLOOKUP(BG$3,Conversions!$B$12:$E$34,4,0)))</f>
        <v>0</v>
      </c>
      <c r="AS202" s="333">
        <f>IF($F202="",0,IF($F202="Weighted Average",$I202*VLOOKUP($D202&amp;" (Disposal)",Lists!$C$72:$R$232,COLUMNS(Lists!$C$69:H$69),0)*VLOOKUP(BH$3,Conversions!$B$12:$E$34,4,0),$I202*VLOOKUP($F202,Lists!$C$72:$R$232,COLUMNS(Lists!$C$69:H$69),0)*VLOOKUP(BH$3,Conversions!$B$12:$E$34,4,0)))</f>
        <v>0</v>
      </c>
      <c r="AT202" s="333">
        <f>IF($F202="",0,IF($F202="Weighted Average",$I202*VLOOKUP($D202&amp;" (Disposal)",Lists!$C$72:$R$232,COLUMNS(Lists!$C$69:I$69),0)*VLOOKUP(BI$3,Conversions!$B$12:$E$34,4,0),$I202*VLOOKUP($F202,Lists!$C$72:$R$232,COLUMNS(Lists!$C$69:I$69),0)*VLOOKUP(BI$3,Conversions!$B$12:$E$34,4,0)))</f>
        <v>0</v>
      </c>
      <c r="AU202" s="333">
        <f>IF($F202="",0,IF($F202="Weighted Average",$I202*VLOOKUP($D202&amp;" (Disposal)",Lists!$C$72:$R$232,COLUMNS(Lists!$C$69:J$69),0)*VLOOKUP(BJ$3,Conversions!$B$12:$E$34,4,0),$I202*VLOOKUP($F202,Lists!$C$72:$R$232,COLUMNS(Lists!$C$69:J$69),0)*VLOOKUP(BJ$3,Conversions!$B$12:$E$34,4,0)))</f>
        <v>0</v>
      </c>
      <c r="AV202" s="333">
        <f>IF($F202="",0,IF($F202="Weighted Average",$I202*VLOOKUP($D202&amp;" (Disposal)",Lists!$C$72:$R$232,COLUMNS(Lists!$C$69:K$69),0)*VLOOKUP(BK$3,Conversions!$B$12:$E$34,4,0),$I202*VLOOKUP($F202,Lists!$C$72:$R$232,COLUMNS(Lists!$C$69:K$69),0)*VLOOKUP(BK$3,Conversions!$B$12:$E$34,4,0)))</f>
        <v>0</v>
      </c>
      <c r="AW202" s="333">
        <f>IF($F202="",0,IF($F202="Weighted Average",$I202*VLOOKUP($D202&amp;" (Disposal)",Lists!$C$72:$R$232,COLUMNS(Lists!$C$69:L$69),0)*VLOOKUP(BL$3,Conversions!$B$12:$E$34,4,0),$I202*VLOOKUP($F202,Lists!$C$72:$R$232,COLUMNS(Lists!$C$69:L$69),0)*VLOOKUP(BL$3,Conversions!$B$12:$E$34,4,0)))</f>
        <v>0</v>
      </c>
      <c r="AX202" s="333">
        <f>IF($F202="",0,IF($F202="Weighted Average",$I202*VLOOKUP($D202&amp;" (Disposal)",Lists!$C$72:$R$232,COLUMNS(Lists!$C$69:M$69),0)*VLOOKUP(BM$3,Conversions!$B$12:$E$34,4,0),$I202*VLOOKUP($F202,Lists!$C$72:$R$232,COLUMNS(Lists!$C$69:M$69),0)*VLOOKUP(BM$3,Conversions!$B$12:$E$34,4,0)))</f>
        <v>0</v>
      </c>
      <c r="AY202" s="333">
        <f>IF($F202="",0,IF($F202="Weighted Average",$I202*VLOOKUP($D202&amp;" (Disposal)",Lists!$C$72:$R$232,COLUMNS(Lists!$C$69:N$69),0)*VLOOKUP(BN$3,Conversions!$B$12:$E$34,4,0),$I202*VLOOKUP($F202,Lists!$C$72:$R$232,COLUMNS(Lists!$C$69:N$69),0)*VLOOKUP(BN$3,Conversions!$B$12:$E$34,4,0)))</f>
        <v>0</v>
      </c>
      <c r="AZ202" s="333">
        <f>IF($F202="",0,IF($F202="Weighted Average",$I202*VLOOKUP($D202&amp;" (Disposal)",Lists!$C$72:$R$232,COLUMNS(Lists!$C$69:O$69),0)*VLOOKUP(BO$3,Conversions!$B$12:$E$34,4,0),$I202*VLOOKUP($F202,Lists!$C$72:$R$232,COLUMNS(Lists!$C$69:O$69),0)*VLOOKUP(BO$3,Conversions!$B$12:$E$34,4,0)))</f>
        <v>0</v>
      </c>
      <c r="BA202" s="333">
        <f>IF($F202="",0,IF($F202="Weighted Average",$I202*VLOOKUP($D202&amp;" (Disposal)",Lists!$C$72:$R$232,COLUMNS(Lists!$C$69:P$69),0)*VLOOKUP(BP$3,Conversions!$B$12:$E$34,4,0),$I202*VLOOKUP($F202,Lists!$C$72:$R$232,COLUMNS(Lists!$C$69:P$69),0)*VLOOKUP(BP$3,Conversions!$B$12:$E$34,4,0)))</f>
        <v>0</v>
      </c>
      <c r="BB202" s="333">
        <f>IF($F202="",0,IF($F202="Weighted Average",$I202*VLOOKUP($D202&amp;" (Disposal)",Lists!$C$72:$R$232,COLUMNS(Lists!$C$69:Q$69),0)*VLOOKUP(BQ$3,Conversions!$B$12:$E$34,4,0),$I202*VLOOKUP($F202,Lists!$C$72:$R$232,COLUMNS(Lists!$C$69:Q$69),0)*VLOOKUP(BQ$3,Conversions!$B$12:$E$34,4,0)))</f>
        <v>0</v>
      </c>
      <c r="BC202" s="333">
        <f>IF($F202="",0,IF($F202="Weighted Average",$I202*VLOOKUP($D202&amp;" (Disposal)",Lists!$C$72:$R$232,COLUMNS(Lists!$C$69:R$69),0)*VLOOKUP(BR$3,Conversions!$B$12:$E$34,4,0),$I202*VLOOKUP($F202,Lists!$C$72:$R$232,COLUMNS(Lists!$C$69:R$69),0)*VLOOKUP(BR$3,Conversions!$B$12:$E$34,4,0)))</f>
        <v>0</v>
      </c>
      <c r="BD202" s="333">
        <f t="shared" si="232"/>
        <v>0</v>
      </c>
      <c r="BE202" s="330">
        <f t="shared" si="233"/>
        <v>0</v>
      </c>
      <c r="BF202" s="330">
        <f t="shared" si="214"/>
        <v>0</v>
      </c>
      <c r="BG202" s="330">
        <f t="shared" si="215"/>
        <v>0</v>
      </c>
      <c r="BH202" s="330">
        <f t="shared" si="216"/>
        <v>0</v>
      </c>
      <c r="BI202" s="330">
        <f t="shared" si="217"/>
        <v>0</v>
      </c>
      <c r="BJ202" s="330">
        <f t="shared" si="218"/>
        <v>0</v>
      </c>
      <c r="BK202" s="330">
        <f t="shared" si="219"/>
        <v>0</v>
      </c>
      <c r="BL202" s="330">
        <f t="shared" si="220"/>
        <v>0</v>
      </c>
      <c r="BM202" s="330">
        <f t="shared" si="221"/>
        <v>0</v>
      </c>
      <c r="BN202" s="330">
        <f t="shared" si="222"/>
        <v>0</v>
      </c>
      <c r="BO202" s="330">
        <f t="shared" si="223"/>
        <v>0</v>
      </c>
      <c r="BP202" s="330">
        <f t="shared" si="224"/>
        <v>0</v>
      </c>
      <c r="BQ202" s="330">
        <f t="shared" si="225"/>
        <v>0</v>
      </c>
      <c r="BR202" s="330">
        <f t="shared" si="226"/>
        <v>0</v>
      </c>
      <c r="BS202" s="330">
        <f t="shared" si="227"/>
        <v>0</v>
      </c>
      <c r="BT202" s="329">
        <f>IF($F202="",0,IF($F202="Weighted Average",$BS202*VLOOKUP($D202,'Default Values'!$B$78:$V$97,COLUMNS('Default Values'!$B$77:G$77),0),0))</f>
        <v>0</v>
      </c>
      <c r="BU202" s="329">
        <f>IF($F202="",0,IF($F202="Weighted Average",$BS202*VLOOKUP($D202,'Default Values'!$B$78:$V$97,COLUMNS('Default Values'!$B$77:H$77),0),0))</f>
        <v>0</v>
      </c>
      <c r="BV202" s="329">
        <f>IF($F202="",0,IF($F202="Weighted Average",$BS202*VLOOKUP($D202,'Default Values'!$B$78:$V$97,COLUMNS('Default Values'!$B$77:I$77),0),0))</f>
        <v>0</v>
      </c>
      <c r="BW202" s="329">
        <f>IF($F202="",0,IF($F202="Weighted Average",$BS202*VLOOKUP($D202,'Default Values'!$B$78:$V$97,COLUMNS('Default Values'!$B$77:J$77),0),0))</f>
        <v>0</v>
      </c>
      <c r="BX202" s="329">
        <f>IF($F202="",0,IF($F202="Weighted Average",$BS202*VLOOKUP($D202,'Default Values'!$B$78:$V$97,COLUMNS('Default Values'!$B$77:K$77),0),0))</f>
        <v>0</v>
      </c>
      <c r="BY202" s="329">
        <f>IF($F202="",0,IF($F202="Weighted Average",$BS202*VLOOKUP($D202,'Default Values'!$B$78:$V$97,COLUMNS('Default Values'!$B$77:L$77),0),0))</f>
        <v>0</v>
      </c>
      <c r="BZ202" s="329">
        <f>IF($F202="",0,IF($F202="Weighted Average",$BS202*VLOOKUP($D202,'Default Values'!$B$78:$V$97,COLUMNS('Default Values'!$B$77:M$77),0),0))</f>
        <v>0</v>
      </c>
      <c r="CA202" s="329">
        <f>IF($F202="",0,IF($F202="Weighted Average",$BS202*VLOOKUP($D202,'Default Values'!$B$78:$V$97,COLUMNS('Default Values'!$B$77:N$77),0),0))</f>
        <v>0</v>
      </c>
      <c r="CB202" s="329">
        <f>IF($F202="",0,IF($F202="Weighted Average",$BS202*VLOOKUP($D202,'Default Values'!$B$78:$V$97,COLUMNS('Default Values'!$B$77:O$77),0),0))</f>
        <v>0</v>
      </c>
      <c r="CC202" s="329">
        <f>IF($F202="",0,IF($F202="Weighted Average",$BS202*VLOOKUP($D202,'Default Values'!$B$78:$V$97,COLUMNS('Default Values'!$B$77:P$77),0),0))</f>
        <v>0</v>
      </c>
      <c r="CD202" s="329">
        <f>IF($F202="",0,IF($F202="Weighted Average",$BS202*VLOOKUP($D202,'Default Values'!$B$78:$V$97,COLUMNS('Default Values'!$B$77:Q$77),0),0))</f>
        <v>0</v>
      </c>
      <c r="CE202" s="329">
        <f>IF($F202="",0,IF($F202="Weighted Average",$BS202*VLOOKUP($D202,'Default Values'!$B$78:$V$97,COLUMNS('Default Values'!$B$77:R$77),0),0))</f>
        <v>0</v>
      </c>
      <c r="CF202" s="329">
        <f>IF($F202="",0,IF($F202="Weighted Average",$BS202*VLOOKUP($D202,'Default Values'!$B$78:$V$97,COLUMNS('Default Values'!$B$77:S$77),0),0))</f>
        <v>0</v>
      </c>
      <c r="CG202" s="329">
        <f>IF($F202="",0,IF($F202="Weighted Average",$BS202*VLOOKUP($D202,'Default Values'!$B$78:$V$97,COLUMNS('Default Values'!$B$77:T$77),0),0))</f>
        <v>0</v>
      </c>
      <c r="CH202" s="329">
        <f>IF($F202="",0,IF($F202="Weighted Average",$BS202*VLOOKUP($D202,'Default Values'!$B$78:$V$97,COLUMNS('Default Values'!$B$77:U$77),0),0))</f>
        <v>0</v>
      </c>
      <c r="CI202" s="329">
        <f>IF($F202="",0,IF($F202="Weighted Average",$BS202*VLOOKUP($D202,'Default Values'!$B$78:$V$97,COLUMNS('Default Values'!$B$77:V$77),0),0))</f>
        <v>0</v>
      </c>
      <c r="CJ202" s="331">
        <f t="shared" si="267"/>
        <v>0</v>
      </c>
      <c r="CK202" s="330">
        <f t="shared" si="268"/>
        <v>0</v>
      </c>
      <c r="CL202" s="330">
        <f t="shared" si="269"/>
        <v>0</v>
      </c>
      <c r="CM202" s="330">
        <f t="shared" si="270"/>
        <v>0</v>
      </c>
      <c r="CN202" s="330">
        <f t="shared" si="271"/>
        <v>0</v>
      </c>
      <c r="CO202" s="330">
        <f t="shared" si="272"/>
        <v>0</v>
      </c>
      <c r="CP202" s="330">
        <f t="shared" si="273"/>
        <v>0</v>
      </c>
      <c r="CQ202" s="330">
        <f t="shared" si="279"/>
        <v>0</v>
      </c>
      <c r="CR202" s="330">
        <f t="shared" si="274"/>
        <v>0</v>
      </c>
      <c r="CS202" s="330">
        <f t="shared" si="275"/>
        <v>0</v>
      </c>
      <c r="CT202" s="330">
        <f t="shared" si="276"/>
        <v>0</v>
      </c>
      <c r="CU202" s="330">
        <f t="shared" si="277"/>
        <v>0</v>
      </c>
      <c r="CV202" s="330">
        <f t="shared" si="277"/>
        <v>0</v>
      </c>
      <c r="CW202" s="330">
        <f t="shared" si="277"/>
        <v>0</v>
      </c>
      <c r="CX202" s="330">
        <f t="shared" si="277"/>
        <v>0</v>
      </c>
      <c r="CY202" s="330">
        <f t="shared" si="277"/>
        <v>0</v>
      </c>
      <c r="CZ202" s="330">
        <f t="shared" si="277"/>
        <v>0</v>
      </c>
      <c r="DA202" s="330">
        <f t="shared" si="277"/>
        <v>0</v>
      </c>
      <c r="DB202" s="330">
        <f t="shared" si="277"/>
        <v>0</v>
      </c>
      <c r="DC202" s="330">
        <f t="shared" si="277"/>
        <v>0</v>
      </c>
      <c r="DD202" s="330">
        <f t="shared" si="277"/>
        <v>0</v>
      </c>
      <c r="DE202" s="330">
        <f t="shared" si="278"/>
        <v>0</v>
      </c>
      <c r="DF202" s="330">
        <f t="shared" si="278"/>
        <v>0</v>
      </c>
      <c r="DG202" s="330">
        <f t="shared" si="278"/>
        <v>0</v>
      </c>
      <c r="DH202" s="330">
        <f t="shared" si="278"/>
        <v>0</v>
      </c>
      <c r="DI202" s="330">
        <f t="shared" si="278"/>
        <v>0</v>
      </c>
      <c r="DJ202" s="330">
        <f t="shared" si="278"/>
        <v>0</v>
      </c>
      <c r="DK202" s="330">
        <f t="shared" si="278"/>
        <v>0</v>
      </c>
      <c r="DL202" s="330">
        <f t="shared" si="278"/>
        <v>0</v>
      </c>
      <c r="DM202" s="330">
        <f t="shared" si="278"/>
        <v>0</v>
      </c>
      <c r="DN202" s="330">
        <f t="shared" si="278"/>
        <v>0</v>
      </c>
      <c r="DO202" s="330">
        <f t="shared" si="278"/>
        <v>0</v>
      </c>
      <c r="DP202" s="330">
        <f t="shared" si="213"/>
        <v>0</v>
      </c>
      <c r="DQ202" s="217"/>
      <c r="DR202" s="217"/>
      <c r="DS202" s="217"/>
      <c r="DT202" s="217"/>
    </row>
    <row r="203" spans="1:124" x14ac:dyDescent="0.3">
      <c r="A203" s="324"/>
      <c r="B203" s="221" t="s">
        <v>307</v>
      </c>
      <c r="C203" s="221" t="str">
        <f>IF('Simplified Screening 2'!C54=0,"",'Simplified Screening 2'!C54)</f>
        <v/>
      </c>
      <c r="D203" s="221" t="str">
        <f>IF('Simplified Screening 2'!D54=0,"",'Simplified Screening 2'!D54)</f>
        <v/>
      </c>
      <c r="E203" s="221"/>
      <c r="F203" s="221" t="str">
        <f>'Simplified Screening 2'!J54</f>
        <v/>
      </c>
      <c r="G203" s="335" t="str">
        <f>IF(D203="","",'Simplified Screening 2'!G54/1000*VLOOKUP(D203,'Default Values'!$B$78:$F$97,COLUMNS('Default Values'!$B$77:$D$77),0)/1000)</f>
        <v/>
      </c>
      <c r="H203" s="335" t="str">
        <f>IF(D203="","",'Simplified Screening 2'!G54/1000*VLOOKUP(D203,'Default Values'!$B$78:$F$97,COLUMNS('Default Values'!$B$77:$E$77),0)/1000)</f>
        <v/>
      </c>
      <c r="I203" s="335" t="str">
        <f>IF(D203="","",'Simplified Screening 2'!G54/1000*VLOOKUP(D203,'Default Values'!$B$78:$F$97,COLUMNS('Default Values'!$B$77:$F$77),0)/1000)</f>
        <v/>
      </c>
      <c r="J203" s="325">
        <f>IF('Simplified Screening 2'!H54=0,0,'Simplified Screening 2'!H54)</f>
        <v>0</v>
      </c>
      <c r="K203" s="465"/>
      <c r="L203" s="333">
        <f>IF($F203="",0,IF($F203="Weighted Average",$G203*VLOOKUP($D203&amp;" (Install)",Lists!$C$72:$R$232,COLUMNS(Lists!$C$69:E$69),0)*VLOOKUP(BE$3,Conversions!$B$12:$E$34,4,0),$G203*VLOOKUP($F203,Lists!$C$72:$R$232,COLUMNS(Lists!$C$69:E$69),0)*VLOOKUP(BE$3,Conversions!$B$12:$E$34,4,0)))</f>
        <v>0</v>
      </c>
      <c r="M203" s="333">
        <f>IF($F203="",0,IF($F203="Weighted Average",$G203*VLOOKUP($D203&amp;" (Install)",Lists!$C$72:$R$232,COLUMNS(Lists!$C$69:F$69),0)*VLOOKUP(BF$3,Conversions!$B$12:$E$34,4,0),$G203*VLOOKUP($F203,Lists!$C$72:$R$232,COLUMNS(Lists!$C$69:F$69),0)*VLOOKUP(BF$3,Conversions!$B$12:$E$34,4,0)))</f>
        <v>0</v>
      </c>
      <c r="N203" s="333">
        <f>IF($F203="",0,IF($F203="Weighted Average",$G203*VLOOKUP($D203&amp;" (Install)",Lists!$C$72:$R$232,COLUMNS(Lists!$C$69:G$69),0)*VLOOKUP(BG$3,Conversions!$B$12:$E$34,4,0),$G203*VLOOKUP($F203,Lists!$C$72:$R$232,COLUMNS(Lists!$C$69:G$69),0)*VLOOKUP(BG$3,Conversions!$B$12:$E$34,4,0)))</f>
        <v>0</v>
      </c>
      <c r="O203" s="333">
        <f>IF($F203="",0,IF($F203="Weighted Average",$G203*VLOOKUP($D203&amp;" (Install)",Lists!$C$72:$R$232,COLUMNS(Lists!$C$69:H$69),0)*VLOOKUP(BH$3,Conversions!$B$12:$E$34,4,0),$G203*VLOOKUP($F203,Lists!$C$72:$R$232,COLUMNS(Lists!$C$69:H$69),0)*VLOOKUP(BH$3,Conversions!$B$12:$E$34,4,0)))</f>
        <v>0</v>
      </c>
      <c r="P203" s="333">
        <f>IF($F203="",0,IF($F203="Weighted Average",$G203*VLOOKUP($D203&amp;" (Install)",Lists!$C$72:$R$232,COLUMNS(Lists!$C$69:I$69),0)*VLOOKUP(BI$3,Conversions!$B$12:$E$34,4,0),$G203*VLOOKUP($F203,Lists!$C$72:$R$232,COLUMNS(Lists!$C$69:I$69),0)*VLOOKUP(BI$3,Conversions!$B$12:$E$34,4,0)))</f>
        <v>0</v>
      </c>
      <c r="Q203" s="333">
        <f>IF($F203="",0,IF($F203="Weighted Average",$G203*VLOOKUP($D203&amp;" (Install)",Lists!$C$72:$R$232,COLUMNS(Lists!$C$69:J$69),0)*VLOOKUP(BJ$3,Conversions!$B$12:$E$34,4,0),$G203*VLOOKUP($F203,Lists!$C$72:$R$232,COLUMNS(Lists!$C$69:J$69),0)*VLOOKUP(BJ$3,Conversions!$B$12:$E$34,4,0)))</f>
        <v>0</v>
      </c>
      <c r="R203" s="333">
        <f>IF($F203="",0,IF($F203="Weighted Average",$G203*VLOOKUP($D203&amp;" (Install)",Lists!$C$72:$R$232,COLUMNS(Lists!$C$69:K$69),0)*VLOOKUP(BK$3,Conversions!$B$12:$E$34,4,0),$G203*VLOOKUP($F203,Lists!$C$72:$R$232,COLUMNS(Lists!$C$69:K$69),0)*VLOOKUP(BK$3,Conversions!$B$12:$E$34,4,0)))</f>
        <v>0</v>
      </c>
      <c r="S203" s="333">
        <f>IF($F203="",0,IF($F203="Weighted Average",$G203*VLOOKUP($D203&amp;" (Install)",Lists!$C$72:$R$232,COLUMNS(Lists!$C$69:L$69),0)*VLOOKUP(BL$3,Conversions!$B$12:$E$34,4,0),$G203*VLOOKUP($F203,Lists!$C$72:$R$232,COLUMNS(Lists!$C$69:L$69),0)*VLOOKUP(BL$3,Conversions!$B$12:$E$34,4,0)))</f>
        <v>0</v>
      </c>
      <c r="T203" s="333">
        <f>IF($F203="",0,IF($F203="Weighted Average",$G203*VLOOKUP($D203&amp;" (Install)",Lists!$C$72:$R$232,COLUMNS(Lists!$C$69:M$69),0)*VLOOKUP(BM$3,Conversions!$B$12:$E$34,4,0),$G203*VLOOKUP($F203,Lists!$C$72:$R$232,COLUMNS(Lists!$C$69:M$69),0)*VLOOKUP(BM$3,Conversions!$B$12:$E$34,4,0)))</f>
        <v>0</v>
      </c>
      <c r="U203" s="333">
        <f>IF($F203="",0,IF($F203="Weighted Average",$G203*VLOOKUP($D203&amp;" (Install)",Lists!$C$72:$R$232,COLUMNS(Lists!$C$69:N$69),0)*VLOOKUP(BN$3,Conversions!$B$12:$E$34,4,0),$G203*VLOOKUP($F203,Lists!$C$72:$R$232,COLUMNS(Lists!$C$69:N$69),0)*VLOOKUP(BN$3,Conversions!$B$12:$E$34,4,0)))</f>
        <v>0</v>
      </c>
      <c r="V203" s="333">
        <f>IF($F203="",0,IF($F203="Weighted Average",$G203*VLOOKUP($D203&amp;" (Install)",Lists!$C$72:$R$232,COLUMNS(Lists!$C$69:O$69),0)*VLOOKUP(BO$3,Conversions!$B$12:$E$34,4,0),$G203*VLOOKUP($F203,Lists!$C$72:$R$232,COLUMNS(Lists!$C$69:O$69),0)*VLOOKUP(BO$3,Conversions!$B$12:$E$34,4,0)))</f>
        <v>0</v>
      </c>
      <c r="W203" s="333">
        <f>IF($F203="",0,IF($F203="Weighted Average",$G203*VLOOKUP($D203&amp;" (Install)",Lists!$C$72:$R$232,COLUMNS(Lists!$C$69:P$69),0)*VLOOKUP(BP$3,Conversions!$B$12:$E$34,4,0),$G203*VLOOKUP($F203,Lists!$C$72:$R$232,COLUMNS(Lists!$C$69:P$69),0)*VLOOKUP(BP$3,Conversions!$B$12:$E$34,4,0)))</f>
        <v>0</v>
      </c>
      <c r="X203" s="333">
        <f>IF($F203="",0,IF($F203="Weighted Average",$G203*VLOOKUP($D203&amp;" (Install)",Lists!$C$72:$R$232,COLUMNS(Lists!$C$69:Q$69),0)*VLOOKUP(BQ$3,Conversions!$B$12:$E$34,4,0),$G203*VLOOKUP($F203,Lists!$C$72:$R$232,COLUMNS(Lists!$C$69:Q$69),0)*VLOOKUP(BQ$3,Conversions!$B$12:$E$34,4,0)))</f>
        <v>0</v>
      </c>
      <c r="Y203" s="333">
        <f>IF($F203="",0,IF($F203="Weighted Average",$G203*VLOOKUP($D203&amp;" (Install)",Lists!$C$72:$R$232,COLUMNS(Lists!$C$69:R$69),0)*VLOOKUP(BR$3,Conversions!$B$12:$E$34,4,0),$G203*VLOOKUP($F203,Lists!$C$72:$R$232,COLUMNS(Lists!$C$69:R$69),0)*VLOOKUP(BR$3,Conversions!$B$12:$E$34,4,0)))</f>
        <v>0</v>
      </c>
      <c r="Z203" s="325">
        <f t="shared" si="230"/>
        <v>0</v>
      </c>
      <c r="AA203" s="334">
        <f>IF($F203="",0,IF($F203="Weighted Average",$H203*VLOOKUP($D203&amp;" (Operation)",Lists!$C$72:$R$232,COLUMNS(Lists!$C$69:E$69),0)*VLOOKUP(BE$3,Conversions!$B$12:$E$34,4,0),$H203*VLOOKUP($F203,Lists!$C$72:$R$232,COLUMNS(Lists!$C$69:E$69),0)*VLOOKUP(BE$3,Conversions!$B$12:$E$34,4,0)))</f>
        <v>0</v>
      </c>
      <c r="AB203" s="334">
        <f>IF($F203="",0,IF($F203="Weighted Average",$H203*VLOOKUP($D203&amp;" (Operation)",Lists!$C$72:$R$232,COLUMNS(Lists!$C$69:F$69),0)*VLOOKUP(BF$3,Conversions!$B$12:$E$34,4,0),$H203*VLOOKUP($F203,Lists!$C$72:$R$232,COLUMNS(Lists!$C$69:F$69),0)*VLOOKUP(BF$3,Conversions!$B$12:$E$34,4,0)))</f>
        <v>0</v>
      </c>
      <c r="AC203" s="334">
        <f>IF($F203="",0,IF($F203="Weighted Average",$H203*VLOOKUP($D203&amp;" (Operation)",Lists!$C$72:$R$232,COLUMNS(Lists!$C$69:G$69),0)*VLOOKUP(BG$3,Conversions!$B$12:$E$34,4,0),$H203*VLOOKUP($F203,Lists!$C$72:$R$232,COLUMNS(Lists!$C$69:G$69),0)*VLOOKUP(BG$3,Conversions!$B$12:$E$34,4,0)))</f>
        <v>0</v>
      </c>
      <c r="AD203" s="334">
        <f>IF($F203="",0,IF($F203="Weighted Average",$H203*VLOOKUP($D203&amp;" (Operation)",Lists!$C$72:$R$232,COLUMNS(Lists!$C$69:H$69),0)*VLOOKUP(BH$3,Conversions!$B$12:$E$34,4,0),$H203*VLOOKUP($F203,Lists!$C$72:$R$232,COLUMNS(Lists!$C$69:H$69),0)*VLOOKUP(BH$3,Conversions!$B$12:$E$34,4,0)))</f>
        <v>0</v>
      </c>
      <c r="AE203" s="334">
        <f>IF($F203="",0,IF($F203="Weighted Average",$H203*VLOOKUP($D203&amp;" (Operation)",Lists!$C$72:$R$232,COLUMNS(Lists!$C$69:I$69),0)*VLOOKUP(BI$3,Conversions!$B$12:$E$34,4,0),$H203*VLOOKUP($F203,Lists!$C$72:$R$232,COLUMNS(Lists!$C$69:I$69),0)*VLOOKUP(BI$3,Conversions!$B$12:$E$34,4,0)))</f>
        <v>0</v>
      </c>
      <c r="AF203" s="334">
        <f>IF($F203="",0,IF($F203="Weighted Average",$H203*VLOOKUP($D203&amp;" (Operation)",Lists!$C$72:$R$232,COLUMNS(Lists!$C$69:J$69),0)*VLOOKUP(BJ$3,Conversions!$B$12:$E$34,4,0),$H203*VLOOKUP($F203,Lists!$C$72:$R$232,COLUMNS(Lists!$C$69:J$69),0)*VLOOKUP(BJ$3,Conversions!$B$12:$E$34,4,0)))</f>
        <v>0</v>
      </c>
      <c r="AG203" s="334">
        <f>IF($F203="",0,IF($F203="Weighted Average",$H203*VLOOKUP($D203&amp;" (Operation)",Lists!$C$72:$R$232,COLUMNS(Lists!$C$69:K$69),0)*VLOOKUP(BK$3,Conversions!$B$12:$E$34,4,0),$H203*VLOOKUP($F203,Lists!$C$72:$R$232,COLUMNS(Lists!$C$69:K$69),0)*VLOOKUP(BK$3,Conversions!$B$12:$E$34,4,0)))</f>
        <v>0</v>
      </c>
      <c r="AH203" s="334">
        <f>IF($F203="",0,IF($F203="Weighted Average",$H203*VLOOKUP($D203&amp;" (Operation)",Lists!$C$72:$R$232,COLUMNS(Lists!$C$69:L$69),0)*VLOOKUP(BL$3,Conversions!$B$12:$E$34,4,0),$H203*VLOOKUP($F203,Lists!$C$72:$R$232,COLUMNS(Lists!$C$69:L$69),0)*VLOOKUP(BL$3,Conversions!$B$12:$E$34,4,0)))</f>
        <v>0</v>
      </c>
      <c r="AI203" s="334">
        <f>IF($F203="",0,IF($F203="Weighted Average",$H203*VLOOKUP($D203&amp;" (Operation)",Lists!$C$72:$R$232,COLUMNS(Lists!$C$69:M$69),0)*VLOOKUP(BM$3,Conversions!$B$12:$E$34,4,0),$H203*VLOOKUP($F203,Lists!$C$72:$R$232,COLUMNS(Lists!$C$69:M$69),0)*VLOOKUP(BM$3,Conversions!$B$12:$E$34,4,0)))</f>
        <v>0</v>
      </c>
      <c r="AJ203" s="334">
        <f>IF($F203="",0,IF($F203="Weighted Average",$H203*VLOOKUP($D203&amp;" (Operation)",Lists!$C$72:$R$232,COLUMNS(Lists!$C$69:N$69),0)*VLOOKUP(BN$3,Conversions!$B$12:$E$34,4,0),$H203*VLOOKUP($F203,Lists!$C$72:$R$232,COLUMNS(Lists!$C$69:N$69),0)*VLOOKUP(BN$3,Conversions!$B$12:$E$34,4,0)))</f>
        <v>0</v>
      </c>
      <c r="AK203" s="334">
        <f>IF($F203="",0,IF($F203="Weighted Average",$H203*VLOOKUP($D203&amp;" (Operation)",Lists!$C$72:$R$232,COLUMNS(Lists!$C$69:O$69),0)*VLOOKUP(BO$3,Conversions!$B$12:$E$34,4,0),$H203*VLOOKUP($F203,Lists!$C$72:$R$232,COLUMNS(Lists!$C$69:O$69),0)*VLOOKUP(BO$3,Conversions!$B$12:$E$34,4,0)))</f>
        <v>0</v>
      </c>
      <c r="AL203" s="334">
        <f>IF($F203="",0,IF($F203="Weighted Average",$H203*VLOOKUP($D203&amp;" (Operation)",Lists!$C$72:$R$232,COLUMNS(Lists!$C$69:P$69),0)*VLOOKUP(BP$3,Conversions!$B$12:$E$34,4,0),$H203*VLOOKUP($F203,Lists!$C$72:$R$232,COLUMNS(Lists!$C$69:P$69),0)*VLOOKUP(BP$3,Conversions!$B$12:$E$34,4,0)))</f>
        <v>0</v>
      </c>
      <c r="AM203" s="334">
        <f>IF($F203="",0,IF($F203="Weighted Average",$H203*VLOOKUP($D203&amp;" (Operation)",Lists!$C$72:$R$232,COLUMNS(Lists!$C$69:Q$69),0)*VLOOKUP(BQ$3,Conversions!$B$12:$E$34,4,0),$H203*VLOOKUP($F203,Lists!$C$72:$R$232,COLUMNS(Lists!$C$69:Q$69),0)*VLOOKUP(BQ$3,Conversions!$B$12:$E$34,4,0)))</f>
        <v>0</v>
      </c>
      <c r="AN203" s="334">
        <f>IF($F203="",0,IF($F203="Weighted Average",$H203*VLOOKUP($D203&amp;" (Operation)",Lists!$C$72:$R$232,COLUMNS(Lists!$C$69:R$69),0)*VLOOKUP(BR$3,Conversions!$B$12:$E$34,4,0),$H203*VLOOKUP($F203,Lists!$C$72:$R$232,COLUMNS(Lists!$C$69:R$69),0)*VLOOKUP(BR$3,Conversions!$B$12:$E$34,4,0)))</f>
        <v>0</v>
      </c>
      <c r="AO203" s="330">
        <f t="shared" si="231"/>
        <v>0</v>
      </c>
      <c r="AP203" s="333">
        <f>IF($F203="",0,IF($F203="Weighted Average",$I203*VLOOKUP($D203&amp;" (Disposal)",Lists!$C$72:$R$232,COLUMNS(Lists!$C$69:E$69),0)*VLOOKUP(BE$3,Conversions!$B$12:$E$34,4,0),$I203*VLOOKUP($F203,Lists!$C$72:$R$232,COLUMNS(Lists!$C$69:E$69),0)*VLOOKUP(BE$3,Conversions!$B$12:$E$34,4,0)))</f>
        <v>0</v>
      </c>
      <c r="AQ203" s="333">
        <f>IF($F203="",0,IF($F203="Weighted Average",$I203*VLOOKUP($D203&amp;" (Disposal)",Lists!$C$72:$R$232,COLUMNS(Lists!$C$69:F$69),0)*VLOOKUP(BF$3,Conversions!$B$12:$E$34,4,0),$I203*VLOOKUP($F203,Lists!$C$72:$R$232,COLUMNS(Lists!$C$69:F$69),0)*VLOOKUP(BF$3,Conversions!$B$12:$E$34,4,0)))</f>
        <v>0</v>
      </c>
      <c r="AR203" s="333">
        <f>IF($F203="",0,IF($F203="Weighted Average",$I203*VLOOKUP($D203&amp;" (Disposal)",Lists!$C$72:$R$232,COLUMNS(Lists!$C$69:G$69),0)*VLOOKUP(BG$3,Conversions!$B$12:$E$34,4,0),$I203*VLOOKUP($F203,Lists!$C$72:$R$232,COLUMNS(Lists!$C$69:G$69),0)*VLOOKUP(BG$3,Conversions!$B$12:$E$34,4,0)))</f>
        <v>0</v>
      </c>
      <c r="AS203" s="333">
        <f>IF($F203="",0,IF($F203="Weighted Average",$I203*VLOOKUP($D203&amp;" (Disposal)",Lists!$C$72:$R$232,COLUMNS(Lists!$C$69:H$69),0)*VLOOKUP(BH$3,Conversions!$B$12:$E$34,4,0),$I203*VLOOKUP($F203,Lists!$C$72:$R$232,COLUMNS(Lists!$C$69:H$69),0)*VLOOKUP(BH$3,Conversions!$B$12:$E$34,4,0)))</f>
        <v>0</v>
      </c>
      <c r="AT203" s="333">
        <f>IF($F203="",0,IF($F203="Weighted Average",$I203*VLOOKUP($D203&amp;" (Disposal)",Lists!$C$72:$R$232,COLUMNS(Lists!$C$69:I$69),0)*VLOOKUP(BI$3,Conversions!$B$12:$E$34,4,0),$I203*VLOOKUP($F203,Lists!$C$72:$R$232,COLUMNS(Lists!$C$69:I$69),0)*VLOOKUP(BI$3,Conversions!$B$12:$E$34,4,0)))</f>
        <v>0</v>
      </c>
      <c r="AU203" s="333">
        <f>IF($F203="",0,IF($F203="Weighted Average",$I203*VLOOKUP($D203&amp;" (Disposal)",Lists!$C$72:$R$232,COLUMNS(Lists!$C$69:J$69),0)*VLOOKUP(BJ$3,Conversions!$B$12:$E$34,4,0),$I203*VLOOKUP($F203,Lists!$C$72:$R$232,COLUMNS(Lists!$C$69:J$69),0)*VLOOKUP(BJ$3,Conversions!$B$12:$E$34,4,0)))</f>
        <v>0</v>
      </c>
      <c r="AV203" s="333">
        <f>IF($F203="",0,IF($F203="Weighted Average",$I203*VLOOKUP($D203&amp;" (Disposal)",Lists!$C$72:$R$232,COLUMNS(Lists!$C$69:K$69),0)*VLOOKUP(BK$3,Conversions!$B$12:$E$34,4,0),$I203*VLOOKUP($F203,Lists!$C$72:$R$232,COLUMNS(Lists!$C$69:K$69),0)*VLOOKUP(BK$3,Conversions!$B$12:$E$34,4,0)))</f>
        <v>0</v>
      </c>
      <c r="AW203" s="333">
        <f>IF($F203="",0,IF($F203="Weighted Average",$I203*VLOOKUP($D203&amp;" (Disposal)",Lists!$C$72:$R$232,COLUMNS(Lists!$C$69:L$69),0)*VLOOKUP(BL$3,Conversions!$B$12:$E$34,4,0),$I203*VLOOKUP($F203,Lists!$C$72:$R$232,COLUMNS(Lists!$C$69:L$69),0)*VLOOKUP(BL$3,Conversions!$B$12:$E$34,4,0)))</f>
        <v>0</v>
      </c>
      <c r="AX203" s="333">
        <f>IF($F203="",0,IF($F203="Weighted Average",$I203*VLOOKUP($D203&amp;" (Disposal)",Lists!$C$72:$R$232,COLUMNS(Lists!$C$69:M$69),0)*VLOOKUP(BM$3,Conversions!$B$12:$E$34,4,0),$I203*VLOOKUP($F203,Lists!$C$72:$R$232,COLUMNS(Lists!$C$69:M$69),0)*VLOOKUP(BM$3,Conversions!$B$12:$E$34,4,0)))</f>
        <v>0</v>
      </c>
      <c r="AY203" s="333">
        <f>IF($F203="",0,IF($F203="Weighted Average",$I203*VLOOKUP($D203&amp;" (Disposal)",Lists!$C$72:$R$232,COLUMNS(Lists!$C$69:N$69),0)*VLOOKUP(BN$3,Conversions!$B$12:$E$34,4,0),$I203*VLOOKUP($F203,Lists!$C$72:$R$232,COLUMNS(Lists!$C$69:N$69),0)*VLOOKUP(BN$3,Conversions!$B$12:$E$34,4,0)))</f>
        <v>0</v>
      </c>
      <c r="AZ203" s="333">
        <f>IF($F203="",0,IF($F203="Weighted Average",$I203*VLOOKUP($D203&amp;" (Disposal)",Lists!$C$72:$R$232,COLUMNS(Lists!$C$69:O$69),0)*VLOOKUP(BO$3,Conversions!$B$12:$E$34,4,0),$I203*VLOOKUP($F203,Lists!$C$72:$R$232,COLUMNS(Lists!$C$69:O$69),0)*VLOOKUP(BO$3,Conversions!$B$12:$E$34,4,0)))</f>
        <v>0</v>
      </c>
      <c r="BA203" s="333">
        <f>IF($F203="",0,IF($F203="Weighted Average",$I203*VLOOKUP($D203&amp;" (Disposal)",Lists!$C$72:$R$232,COLUMNS(Lists!$C$69:P$69),0)*VLOOKUP(BP$3,Conversions!$B$12:$E$34,4,0),$I203*VLOOKUP($F203,Lists!$C$72:$R$232,COLUMNS(Lists!$C$69:P$69),0)*VLOOKUP(BP$3,Conversions!$B$12:$E$34,4,0)))</f>
        <v>0</v>
      </c>
      <c r="BB203" s="333">
        <f>IF($F203="",0,IF($F203="Weighted Average",$I203*VLOOKUP($D203&amp;" (Disposal)",Lists!$C$72:$R$232,COLUMNS(Lists!$C$69:Q$69),0)*VLOOKUP(BQ$3,Conversions!$B$12:$E$34,4,0),$I203*VLOOKUP($F203,Lists!$C$72:$R$232,COLUMNS(Lists!$C$69:Q$69),0)*VLOOKUP(BQ$3,Conversions!$B$12:$E$34,4,0)))</f>
        <v>0</v>
      </c>
      <c r="BC203" s="333">
        <f>IF($F203="",0,IF($F203="Weighted Average",$I203*VLOOKUP($D203&amp;" (Disposal)",Lists!$C$72:$R$232,COLUMNS(Lists!$C$69:R$69),0)*VLOOKUP(BR$3,Conversions!$B$12:$E$34,4,0),$I203*VLOOKUP($F203,Lists!$C$72:$R$232,COLUMNS(Lists!$C$69:R$69),0)*VLOOKUP(BR$3,Conversions!$B$12:$E$34,4,0)))</f>
        <v>0</v>
      </c>
      <c r="BD203" s="333">
        <f t="shared" si="232"/>
        <v>0</v>
      </c>
      <c r="BE203" s="330">
        <f t="shared" si="233"/>
        <v>0</v>
      </c>
      <c r="BF203" s="330">
        <f t="shared" si="214"/>
        <v>0</v>
      </c>
      <c r="BG203" s="330">
        <f t="shared" si="215"/>
        <v>0</v>
      </c>
      <c r="BH203" s="330">
        <f t="shared" si="216"/>
        <v>0</v>
      </c>
      <c r="BI203" s="330">
        <f t="shared" si="217"/>
        <v>0</v>
      </c>
      <c r="BJ203" s="330">
        <f t="shared" si="218"/>
        <v>0</v>
      </c>
      <c r="BK203" s="330">
        <f t="shared" si="219"/>
        <v>0</v>
      </c>
      <c r="BL203" s="330">
        <f t="shared" si="220"/>
        <v>0</v>
      </c>
      <c r="BM203" s="330">
        <f t="shared" si="221"/>
        <v>0</v>
      </c>
      <c r="BN203" s="330">
        <f t="shared" si="222"/>
        <v>0</v>
      </c>
      <c r="BO203" s="330">
        <f t="shared" si="223"/>
        <v>0</v>
      </c>
      <c r="BP203" s="330">
        <f t="shared" si="224"/>
        <v>0</v>
      </c>
      <c r="BQ203" s="330">
        <f t="shared" si="225"/>
        <v>0</v>
      </c>
      <c r="BR203" s="330">
        <f t="shared" si="226"/>
        <v>0</v>
      </c>
      <c r="BS203" s="330">
        <f t="shared" si="227"/>
        <v>0</v>
      </c>
      <c r="BT203" s="329">
        <f>IF($F203="",0,IF($F203="Weighted Average",$BS203*VLOOKUP($D203,'Default Values'!$B$78:$V$97,COLUMNS('Default Values'!$B$77:G$77),0),0))</f>
        <v>0</v>
      </c>
      <c r="BU203" s="329">
        <f>IF($F203="",0,IF($F203="Weighted Average",$BS203*VLOOKUP($D203,'Default Values'!$B$78:$V$97,COLUMNS('Default Values'!$B$77:H$77),0),0))</f>
        <v>0</v>
      </c>
      <c r="BV203" s="329">
        <f>IF($F203="",0,IF($F203="Weighted Average",$BS203*VLOOKUP($D203,'Default Values'!$B$78:$V$97,COLUMNS('Default Values'!$B$77:I$77),0),0))</f>
        <v>0</v>
      </c>
      <c r="BW203" s="329">
        <f>IF($F203="",0,IF($F203="Weighted Average",$BS203*VLOOKUP($D203,'Default Values'!$B$78:$V$97,COLUMNS('Default Values'!$B$77:J$77),0),0))</f>
        <v>0</v>
      </c>
      <c r="BX203" s="329">
        <f>IF($F203="",0,IF($F203="Weighted Average",$BS203*VLOOKUP($D203,'Default Values'!$B$78:$V$97,COLUMNS('Default Values'!$B$77:K$77),0),0))</f>
        <v>0</v>
      </c>
      <c r="BY203" s="329">
        <f>IF($F203="",0,IF($F203="Weighted Average",$BS203*VLOOKUP($D203,'Default Values'!$B$78:$V$97,COLUMNS('Default Values'!$B$77:L$77),0),0))</f>
        <v>0</v>
      </c>
      <c r="BZ203" s="329">
        <f>IF($F203="",0,IF($F203="Weighted Average",$BS203*VLOOKUP($D203,'Default Values'!$B$78:$V$97,COLUMNS('Default Values'!$B$77:M$77),0),0))</f>
        <v>0</v>
      </c>
      <c r="CA203" s="329">
        <f>IF($F203="",0,IF($F203="Weighted Average",$BS203*VLOOKUP($D203,'Default Values'!$B$78:$V$97,COLUMNS('Default Values'!$B$77:N$77),0),0))</f>
        <v>0</v>
      </c>
      <c r="CB203" s="329">
        <f>IF($F203="",0,IF($F203="Weighted Average",$BS203*VLOOKUP($D203,'Default Values'!$B$78:$V$97,COLUMNS('Default Values'!$B$77:O$77),0),0))</f>
        <v>0</v>
      </c>
      <c r="CC203" s="329">
        <f>IF($F203="",0,IF($F203="Weighted Average",$BS203*VLOOKUP($D203,'Default Values'!$B$78:$V$97,COLUMNS('Default Values'!$B$77:P$77),0),0))</f>
        <v>0</v>
      </c>
      <c r="CD203" s="329">
        <f>IF($F203="",0,IF($F203="Weighted Average",$BS203*VLOOKUP($D203,'Default Values'!$B$78:$V$97,COLUMNS('Default Values'!$B$77:Q$77),0),0))</f>
        <v>0</v>
      </c>
      <c r="CE203" s="329">
        <f>IF($F203="",0,IF($F203="Weighted Average",$BS203*VLOOKUP($D203,'Default Values'!$B$78:$V$97,COLUMNS('Default Values'!$B$77:R$77),0),0))</f>
        <v>0</v>
      </c>
      <c r="CF203" s="329">
        <f>IF($F203="",0,IF($F203="Weighted Average",$BS203*VLOOKUP($D203,'Default Values'!$B$78:$V$97,COLUMNS('Default Values'!$B$77:S$77),0),0))</f>
        <v>0</v>
      </c>
      <c r="CG203" s="329">
        <f>IF($F203="",0,IF($F203="Weighted Average",$BS203*VLOOKUP($D203,'Default Values'!$B$78:$V$97,COLUMNS('Default Values'!$B$77:T$77),0),0))</f>
        <v>0</v>
      </c>
      <c r="CH203" s="329">
        <f>IF($F203="",0,IF($F203="Weighted Average",$BS203*VLOOKUP($D203,'Default Values'!$B$78:$V$97,COLUMNS('Default Values'!$B$77:U$77),0),0))</f>
        <v>0</v>
      </c>
      <c r="CI203" s="329">
        <f>IF($F203="",0,IF($F203="Weighted Average",$BS203*VLOOKUP($D203,'Default Values'!$B$78:$V$97,COLUMNS('Default Values'!$B$77:V$77),0),0))</f>
        <v>0</v>
      </c>
      <c r="CJ203" s="331">
        <f t="shared" si="267"/>
        <v>0</v>
      </c>
      <c r="CK203" s="330">
        <f t="shared" si="268"/>
        <v>0</v>
      </c>
      <c r="CL203" s="330">
        <f t="shared" si="269"/>
        <v>0</v>
      </c>
      <c r="CM203" s="330">
        <f t="shared" si="270"/>
        <v>0</v>
      </c>
      <c r="CN203" s="330">
        <f t="shared" si="271"/>
        <v>0</v>
      </c>
      <c r="CO203" s="330">
        <f t="shared" si="272"/>
        <v>0</v>
      </c>
      <c r="CP203" s="330">
        <f t="shared" si="273"/>
        <v>0</v>
      </c>
      <c r="CQ203" s="330">
        <f t="shared" si="279"/>
        <v>0</v>
      </c>
      <c r="CR203" s="330">
        <f t="shared" si="274"/>
        <v>0</v>
      </c>
      <c r="CS203" s="330">
        <f t="shared" si="275"/>
        <v>0</v>
      </c>
      <c r="CT203" s="330">
        <f t="shared" si="276"/>
        <v>0</v>
      </c>
      <c r="CU203" s="330">
        <f t="shared" si="277"/>
        <v>0</v>
      </c>
      <c r="CV203" s="330">
        <f t="shared" si="277"/>
        <v>0</v>
      </c>
      <c r="CW203" s="330">
        <f t="shared" si="277"/>
        <v>0</v>
      </c>
      <c r="CX203" s="330">
        <f t="shared" si="277"/>
        <v>0</v>
      </c>
      <c r="CY203" s="330">
        <f t="shared" si="277"/>
        <v>0</v>
      </c>
      <c r="CZ203" s="330">
        <f t="shared" si="277"/>
        <v>0</v>
      </c>
      <c r="DA203" s="330">
        <f t="shared" si="277"/>
        <v>0</v>
      </c>
      <c r="DB203" s="330">
        <f t="shared" si="277"/>
        <v>0</v>
      </c>
      <c r="DC203" s="330">
        <f t="shared" si="277"/>
        <v>0</v>
      </c>
      <c r="DD203" s="330">
        <f t="shared" si="277"/>
        <v>0</v>
      </c>
      <c r="DE203" s="330">
        <f t="shared" si="278"/>
        <v>0</v>
      </c>
      <c r="DF203" s="330">
        <f t="shared" si="278"/>
        <v>0</v>
      </c>
      <c r="DG203" s="330">
        <f t="shared" si="278"/>
        <v>0</v>
      </c>
      <c r="DH203" s="330">
        <f t="shared" si="278"/>
        <v>0</v>
      </c>
      <c r="DI203" s="330">
        <f t="shared" si="278"/>
        <v>0</v>
      </c>
      <c r="DJ203" s="330">
        <f t="shared" si="278"/>
        <v>0</v>
      </c>
      <c r="DK203" s="330">
        <f t="shared" si="278"/>
        <v>0</v>
      </c>
      <c r="DL203" s="330">
        <f t="shared" si="278"/>
        <v>0</v>
      </c>
      <c r="DM203" s="330">
        <f t="shared" si="278"/>
        <v>0</v>
      </c>
      <c r="DN203" s="330">
        <f t="shared" si="278"/>
        <v>0</v>
      </c>
      <c r="DO203" s="330">
        <f t="shared" si="278"/>
        <v>0</v>
      </c>
      <c r="DP203" s="330">
        <f t="shared" si="213"/>
        <v>0</v>
      </c>
      <c r="DQ203" s="217"/>
      <c r="DR203" s="217"/>
      <c r="DS203" s="217"/>
      <c r="DT203" s="217"/>
    </row>
    <row r="204" spans="1:124" x14ac:dyDescent="0.3">
      <c r="A204" s="217"/>
      <c r="B204" s="221" t="s">
        <v>318</v>
      </c>
      <c r="C204" s="221"/>
      <c r="D204" s="221"/>
      <c r="E204" s="221"/>
      <c r="F204" s="221"/>
      <c r="G204" s="221"/>
      <c r="H204" s="221"/>
      <c r="I204" s="221"/>
      <c r="J204" s="330">
        <f>SUM(J4:J203)</f>
        <v>0</v>
      </c>
      <c r="K204" s="330"/>
      <c r="L204" s="330">
        <f t="shared" ref="L204:BC204" si="280">SUM(L4:L203)</f>
        <v>0</v>
      </c>
      <c r="M204" s="330">
        <f t="shared" si="280"/>
        <v>0</v>
      </c>
      <c r="N204" s="330">
        <f t="shared" si="280"/>
        <v>0</v>
      </c>
      <c r="O204" s="330">
        <f t="shared" si="280"/>
        <v>0</v>
      </c>
      <c r="P204" s="330">
        <f t="shared" si="280"/>
        <v>0</v>
      </c>
      <c r="Q204" s="330">
        <f t="shared" si="280"/>
        <v>0</v>
      </c>
      <c r="R204" s="330">
        <f t="shared" si="280"/>
        <v>0</v>
      </c>
      <c r="S204" s="330">
        <f t="shared" si="280"/>
        <v>0</v>
      </c>
      <c r="T204" s="330">
        <f t="shared" si="280"/>
        <v>0</v>
      </c>
      <c r="U204" s="330">
        <f t="shared" si="280"/>
        <v>0</v>
      </c>
      <c r="V204" s="330">
        <f t="shared" si="280"/>
        <v>0</v>
      </c>
      <c r="W204" s="330">
        <f t="shared" si="280"/>
        <v>0</v>
      </c>
      <c r="X204" s="330">
        <f t="shared" si="280"/>
        <v>0</v>
      </c>
      <c r="Y204" s="330">
        <f t="shared" si="280"/>
        <v>0</v>
      </c>
      <c r="Z204" s="330">
        <f t="shared" si="280"/>
        <v>0</v>
      </c>
      <c r="AA204" s="330">
        <f t="shared" si="280"/>
        <v>0</v>
      </c>
      <c r="AB204" s="330">
        <f t="shared" si="280"/>
        <v>0</v>
      </c>
      <c r="AC204" s="330">
        <f t="shared" si="280"/>
        <v>0</v>
      </c>
      <c r="AD204" s="330">
        <f t="shared" si="280"/>
        <v>0</v>
      </c>
      <c r="AE204" s="330">
        <f t="shared" si="280"/>
        <v>0</v>
      </c>
      <c r="AF204" s="330">
        <f t="shared" si="280"/>
        <v>0</v>
      </c>
      <c r="AG204" s="330">
        <f t="shared" si="280"/>
        <v>0</v>
      </c>
      <c r="AH204" s="330">
        <f t="shared" si="280"/>
        <v>0</v>
      </c>
      <c r="AI204" s="330">
        <f t="shared" si="280"/>
        <v>0</v>
      </c>
      <c r="AJ204" s="330">
        <f t="shared" si="280"/>
        <v>0</v>
      </c>
      <c r="AK204" s="330">
        <f t="shared" si="280"/>
        <v>0</v>
      </c>
      <c r="AL204" s="330">
        <f t="shared" si="280"/>
        <v>0</v>
      </c>
      <c r="AM204" s="330">
        <f t="shared" si="280"/>
        <v>0</v>
      </c>
      <c r="AN204" s="330">
        <f t="shared" si="280"/>
        <v>0</v>
      </c>
      <c r="AO204" s="330">
        <f t="shared" si="280"/>
        <v>0</v>
      </c>
      <c r="AP204" s="330">
        <f t="shared" si="280"/>
        <v>0</v>
      </c>
      <c r="AQ204" s="330">
        <f t="shared" si="280"/>
        <v>0</v>
      </c>
      <c r="AR204" s="330">
        <f t="shared" si="280"/>
        <v>0</v>
      </c>
      <c r="AS204" s="330">
        <f t="shared" si="280"/>
        <v>0</v>
      </c>
      <c r="AT204" s="330">
        <f t="shared" si="280"/>
        <v>0</v>
      </c>
      <c r="AU204" s="330">
        <f t="shared" si="280"/>
        <v>0</v>
      </c>
      <c r="AV204" s="330">
        <f t="shared" si="280"/>
        <v>0</v>
      </c>
      <c r="AW204" s="330">
        <f t="shared" si="280"/>
        <v>0</v>
      </c>
      <c r="AX204" s="330">
        <f t="shared" si="280"/>
        <v>0</v>
      </c>
      <c r="AY204" s="330">
        <f t="shared" si="280"/>
        <v>0</v>
      </c>
      <c r="AZ204" s="330">
        <f t="shared" si="280"/>
        <v>0</v>
      </c>
      <c r="BA204" s="330">
        <f t="shared" si="280"/>
        <v>0</v>
      </c>
      <c r="BB204" s="330">
        <f t="shared" si="280"/>
        <v>0</v>
      </c>
      <c r="BC204" s="330">
        <f t="shared" si="280"/>
        <v>0</v>
      </c>
      <c r="BD204" s="330">
        <f>SUM(BD4:BD203)</f>
        <v>0</v>
      </c>
      <c r="BE204" s="330">
        <f>SUM(BE4:BE203)</f>
        <v>0</v>
      </c>
      <c r="BF204" s="330">
        <f t="shared" ref="BF204:BR204" si="281">SUM(BF4:BF203)</f>
        <v>0</v>
      </c>
      <c r="BG204" s="330">
        <f t="shared" si="281"/>
        <v>0</v>
      </c>
      <c r="BH204" s="330">
        <f t="shared" si="281"/>
        <v>0</v>
      </c>
      <c r="BI204" s="330">
        <f t="shared" si="281"/>
        <v>0</v>
      </c>
      <c r="BJ204" s="330">
        <f t="shared" si="281"/>
        <v>0</v>
      </c>
      <c r="BK204" s="330">
        <f t="shared" si="281"/>
        <v>0</v>
      </c>
      <c r="BL204" s="330">
        <f t="shared" si="281"/>
        <v>0</v>
      </c>
      <c r="BM204" s="330">
        <f t="shared" si="281"/>
        <v>0</v>
      </c>
      <c r="BN204" s="330">
        <f t="shared" si="281"/>
        <v>0</v>
      </c>
      <c r="BO204" s="330">
        <f t="shared" si="281"/>
        <v>0</v>
      </c>
      <c r="BP204" s="330">
        <f t="shared" si="281"/>
        <v>0</v>
      </c>
      <c r="BQ204" s="330">
        <f t="shared" si="281"/>
        <v>0</v>
      </c>
      <c r="BR204" s="330">
        <f t="shared" si="281"/>
        <v>0</v>
      </c>
      <c r="BS204" s="330">
        <f>SUM(BS4:BS203)</f>
        <v>0</v>
      </c>
      <c r="BT204" s="330">
        <f t="shared" ref="BT204:DP204" si="282">SUM(BT4:BT203)</f>
        <v>0</v>
      </c>
      <c r="BU204" s="330">
        <f t="shared" si="282"/>
        <v>0</v>
      </c>
      <c r="BV204" s="330">
        <f t="shared" si="282"/>
        <v>0</v>
      </c>
      <c r="BW204" s="330">
        <f t="shared" si="282"/>
        <v>0</v>
      </c>
      <c r="BX204" s="330">
        <f t="shared" si="282"/>
        <v>0</v>
      </c>
      <c r="BY204" s="330">
        <f t="shared" si="282"/>
        <v>0</v>
      </c>
      <c r="BZ204" s="330">
        <f t="shared" si="282"/>
        <v>0</v>
      </c>
      <c r="CA204" s="330">
        <f t="shared" si="282"/>
        <v>0</v>
      </c>
      <c r="CB204" s="330">
        <f t="shared" si="282"/>
        <v>0</v>
      </c>
      <c r="CC204" s="330">
        <f t="shared" si="282"/>
        <v>0</v>
      </c>
      <c r="CD204" s="330">
        <f t="shared" ref="CD204" si="283">SUM(CD4:CD203)</f>
        <v>0</v>
      </c>
      <c r="CE204" s="330">
        <f t="shared" si="282"/>
        <v>0</v>
      </c>
      <c r="CF204" s="330">
        <f t="shared" si="282"/>
        <v>0</v>
      </c>
      <c r="CG204" s="330">
        <f t="shared" si="282"/>
        <v>0</v>
      </c>
      <c r="CH204" s="330">
        <f t="shared" si="282"/>
        <v>0</v>
      </c>
      <c r="CI204" s="330">
        <f t="shared" si="282"/>
        <v>0</v>
      </c>
      <c r="CJ204" s="330">
        <f t="shared" si="282"/>
        <v>0</v>
      </c>
      <c r="CK204" s="330">
        <f t="shared" si="282"/>
        <v>0</v>
      </c>
      <c r="CL204" s="330">
        <f t="shared" si="282"/>
        <v>0</v>
      </c>
      <c r="CM204" s="330">
        <f t="shared" si="282"/>
        <v>0</v>
      </c>
      <c r="CN204" s="330">
        <f t="shared" si="282"/>
        <v>0</v>
      </c>
      <c r="CO204" s="330">
        <f t="shared" si="282"/>
        <v>0</v>
      </c>
      <c r="CP204" s="330">
        <f t="shared" si="282"/>
        <v>0</v>
      </c>
      <c r="CQ204" s="330">
        <f t="shared" si="282"/>
        <v>0</v>
      </c>
      <c r="CR204" s="330">
        <f t="shared" si="282"/>
        <v>0</v>
      </c>
      <c r="CS204" s="330">
        <f t="shared" si="282"/>
        <v>0</v>
      </c>
      <c r="CT204" s="330">
        <f t="shared" si="282"/>
        <v>0</v>
      </c>
      <c r="CU204" s="330">
        <f t="shared" si="282"/>
        <v>0</v>
      </c>
      <c r="CV204" s="330">
        <f t="shared" si="282"/>
        <v>0</v>
      </c>
      <c r="CW204" s="330">
        <f t="shared" si="282"/>
        <v>0</v>
      </c>
      <c r="CX204" s="330">
        <f t="shared" si="282"/>
        <v>0</v>
      </c>
      <c r="CY204" s="330">
        <f t="shared" si="282"/>
        <v>0</v>
      </c>
      <c r="CZ204" s="330">
        <f t="shared" si="282"/>
        <v>0</v>
      </c>
      <c r="DA204" s="330">
        <f t="shared" si="282"/>
        <v>0</v>
      </c>
      <c r="DB204" s="330">
        <f t="shared" si="282"/>
        <v>0</v>
      </c>
      <c r="DC204" s="330">
        <f t="shared" si="282"/>
        <v>0</v>
      </c>
      <c r="DD204" s="330">
        <f t="shared" si="282"/>
        <v>0</v>
      </c>
      <c r="DE204" s="330">
        <f t="shared" si="282"/>
        <v>0</v>
      </c>
      <c r="DF204" s="330">
        <f t="shared" si="282"/>
        <v>0</v>
      </c>
      <c r="DG204" s="330">
        <f t="shared" si="282"/>
        <v>0</v>
      </c>
      <c r="DH204" s="330">
        <f t="shared" si="282"/>
        <v>0</v>
      </c>
      <c r="DI204" s="330">
        <f t="shared" si="282"/>
        <v>0</v>
      </c>
      <c r="DJ204" s="330">
        <f t="shared" si="282"/>
        <v>0</v>
      </c>
      <c r="DK204" s="330">
        <f t="shared" si="282"/>
        <v>0</v>
      </c>
      <c r="DL204" s="330">
        <f t="shared" si="282"/>
        <v>0</v>
      </c>
      <c r="DM204" s="330">
        <f t="shared" si="282"/>
        <v>0</v>
      </c>
      <c r="DN204" s="330">
        <f t="shared" si="282"/>
        <v>0</v>
      </c>
      <c r="DO204" s="330">
        <f t="shared" si="282"/>
        <v>0</v>
      </c>
      <c r="DP204" s="330">
        <f t="shared" si="282"/>
        <v>0</v>
      </c>
      <c r="DQ204" s="217"/>
      <c r="DR204" s="217"/>
      <c r="DS204" s="217"/>
      <c r="DT204" s="217"/>
    </row>
    <row r="205" spans="1:124" x14ac:dyDescent="0.3">
      <c r="A205" s="217"/>
      <c r="B205" s="221" t="s">
        <v>319</v>
      </c>
      <c r="C205" s="221"/>
      <c r="D205" s="221"/>
      <c r="E205" s="221"/>
      <c r="F205" s="221"/>
      <c r="G205" s="221"/>
      <c r="H205" s="221"/>
      <c r="I205" s="221"/>
      <c r="J205" s="221"/>
      <c r="K205" s="221"/>
      <c r="L205" s="221"/>
      <c r="M205" s="221"/>
      <c r="N205" s="221"/>
      <c r="O205" s="221"/>
      <c r="P205" s="221"/>
      <c r="Q205" s="221"/>
      <c r="R205" s="221"/>
      <c r="S205" s="221"/>
      <c r="T205" s="221"/>
      <c r="U205" s="221"/>
      <c r="V205" s="221"/>
      <c r="W205" s="221"/>
      <c r="X205" s="221"/>
      <c r="Y205" s="221"/>
      <c r="Z205" s="221"/>
      <c r="AA205" s="221"/>
      <c r="AB205" s="221"/>
      <c r="AC205" s="221"/>
      <c r="AD205" s="221"/>
      <c r="AE205" s="221"/>
      <c r="AF205" s="221"/>
      <c r="AG205" s="221"/>
      <c r="AH205" s="221"/>
      <c r="AI205" s="221"/>
      <c r="AJ205" s="221"/>
      <c r="AK205" s="221"/>
      <c r="AL205" s="221"/>
      <c r="AM205" s="221"/>
      <c r="AN205" s="221"/>
      <c r="AO205" s="221"/>
      <c r="AP205" s="221"/>
      <c r="AQ205" s="221"/>
      <c r="AR205" s="221"/>
      <c r="AS205" s="221"/>
      <c r="AT205" s="221"/>
      <c r="AU205" s="221"/>
      <c r="AV205" s="221"/>
      <c r="AW205" s="221"/>
      <c r="AX205" s="221"/>
      <c r="AY205" s="221"/>
      <c r="AZ205" s="221"/>
      <c r="BA205" s="221"/>
      <c r="BB205" s="221"/>
      <c r="BC205" s="221"/>
      <c r="BD205" s="221"/>
      <c r="BE205" s="337" t="str">
        <f>IF(BE204&gt;0,BE3,"")</f>
        <v/>
      </c>
      <c r="BF205" s="337" t="str">
        <f t="shared" ref="BF205:BR205" si="284">IF(BF204&gt;0,BF3,"")</f>
        <v/>
      </c>
      <c r="BG205" s="337" t="str">
        <f t="shared" si="284"/>
        <v/>
      </c>
      <c r="BH205" s="337" t="str">
        <f t="shared" si="284"/>
        <v/>
      </c>
      <c r="BI205" s="337" t="str">
        <f t="shared" si="284"/>
        <v/>
      </c>
      <c r="BJ205" s="337" t="str">
        <f t="shared" si="284"/>
        <v/>
      </c>
      <c r="BK205" s="337" t="str">
        <f t="shared" si="284"/>
        <v/>
      </c>
      <c r="BL205" s="337" t="str">
        <f t="shared" si="284"/>
        <v/>
      </c>
      <c r="BM205" s="337" t="str">
        <f t="shared" si="284"/>
        <v/>
      </c>
      <c r="BN205" s="337" t="str">
        <f t="shared" si="284"/>
        <v/>
      </c>
      <c r="BO205" s="337" t="str">
        <f t="shared" si="284"/>
        <v/>
      </c>
      <c r="BP205" s="337" t="str">
        <f t="shared" si="284"/>
        <v/>
      </c>
      <c r="BQ205" s="337" t="str">
        <f t="shared" si="284"/>
        <v/>
      </c>
      <c r="BR205" s="337" t="str">
        <f t="shared" si="284"/>
        <v/>
      </c>
      <c r="BS205" s="338"/>
      <c r="BT205" s="337" t="str">
        <f t="shared" ref="BT205:CI205" si="285">IF(BT204&gt;0,BT3,"")</f>
        <v/>
      </c>
      <c r="BU205" s="337" t="str">
        <f t="shared" si="285"/>
        <v/>
      </c>
      <c r="BV205" s="337" t="str">
        <f t="shared" si="285"/>
        <v/>
      </c>
      <c r="BW205" s="337" t="str">
        <f t="shared" si="285"/>
        <v/>
      </c>
      <c r="BX205" s="337" t="str">
        <f t="shared" si="285"/>
        <v/>
      </c>
      <c r="BY205" s="337" t="str">
        <f t="shared" si="285"/>
        <v/>
      </c>
      <c r="BZ205" s="337" t="str">
        <f t="shared" si="285"/>
        <v/>
      </c>
      <c r="CA205" s="337" t="str">
        <f t="shared" si="285"/>
        <v/>
      </c>
      <c r="CB205" s="337" t="str">
        <f t="shared" si="285"/>
        <v/>
      </c>
      <c r="CC205" s="337" t="str">
        <f t="shared" si="285"/>
        <v/>
      </c>
      <c r="CD205" s="337" t="str">
        <f t="shared" si="285"/>
        <v/>
      </c>
      <c r="CE205" s="337" t="str">
        <f t="shared" si="285"/>
        <v/>
      </c>
      <c r="CF205" s="337" t="str">
        <f t="shared" si="285"/>
        <v/>
      </c>
      <c r="CG205" s="337" t="str">
        <f t="shared" si="285"/>
        <v/>
      </c>
      <c r="CH205" s="337" t="str">
        <f t="shared" si="285"/>
        <v/>
      </c>
      <c r="CI205" s="337" t="str">
        <f t="shared" si="285"/>
        <v/>
      </c>
      <c r="CJ205" s="338"/>
      <c r="CK205" s="337" t="str">
        <f t="shared" ref="CK205:DO205" si="286">IF(CK204&gt;0,CK3,"")</f>
        <v/>
      </c>
      <c r="CL205" s="337" t="str">
        <f t="shared" si="286"/>
        <v/>
      </c>
      <c r="CM205" s="337" t="str">
        <f t="shared" si="286"/>
        <v/>
      </c>
      <c r="CN205" s="337" t="str">
        <f t="shared" si="286"/>
        <v/>
      </c>
      <c r="CO205" s="337" t="str">
        <f t="shared" si="286"/>
        <v/>
      </c>
      <c r="CP205" s="337" t="str">
        <f t="shared" si="286"/>
        <v/>
      </c>
      <c r="CQ205" s="337" t="str">
        <f t="shared" si="286"/>
        <v/>
      </c>
      <c r="CR205" s="337" t="str">
        <f t="shared" si="286"/>
        <v/>
      </c>
      <c r="CS205" s="337" t="str">
        <f t="shared" si="286"/>
        <v/>
      </c>
      <c r="CT205" s="217"/>
      <c r="CU205" s="337" t="str">
        <f t="shared" si="286"/>
        <v/>
      </c>
      <c r="CV205" s="337" t="str">
        <f t="shared" si="286"/>
        <v/>
      </c>
      <c r="CW205" s="337" t="str">
        <f t="shared" si="286"/>
        <v/>
      </c>
      <c r="CX205" s="337" t="str">
        <f t="shared" si="286"/>
        <v/>
      </c>
      <c r="CY205" s="337" t="str">
        <f t="shared" si="286"/>
        <v/>
      </c>
      <c r="CZ205" s="337" t="str">
        <f t="shared" si="286"/>
        <v/>
      </c>
      <c r="DA205" s="337" t="str">
        <f t="shared" si="286"/>
        <v/>
      </c>
      <c r="DB205" s="337" t="str">
        <f t="shared" si="286"/>
        <v/>
      </c>
      <c r="DC205" s="337" t="str">
        <f t="shared" si="286"/>
        <v/>
      </c>
      <c r="DD205" s="337" t="str">
        <f t="shared" si="286"/>
        <v/>
      </c>
      <c r="DE205" s="337" t="str">
        <f t="shared" si="286"/>
        <v/>
      </c>
      <c r="DF205" s="337" t="str">
        <f t="shared" si="286"/>
        <v/>
      </c>
      <c r="DG205" s="337" t="str">
        <f t="shared" si="286"/>
        <v/>
      </c>
      <c r="DH205" s="337" t="str">
        <f t="shared" si="286"/>
        <v/>
      </c>
      <c r="DI205" s="337" t="str">
        <f t="shared" si="286"/>
        <v/>
      </c>
      <c r="DJ205" s="337" t="str">
        <f t="shared" si="286"/>
        <v/>
      </c>
      <c r="DK205" s="337" t="str">
        <f t="shared" si="286"/>
        <v/>
      </c>
      <c r="DL205" s="337" t="str">
        <f t="shared" si="286"/>
        <v/>
      </c>
      <c r="DM205" s="337" t="str">
        <f t="shared" si="286"/>
        <v/>
      </c>
      <c r="DN205" s="337" t="str">
        <f t="shared" si="286"/>
        <v/>
      </c>
      <c r="DO205" s="337" t="str">
        <f t="shared" si="286"/>
        <v/>
      </c>
      <c r="DP205" s="217"/>
      <c r="DQ205" s="217"/>
      <c r="DR205" s="217"/>
      <c r="DS205" s="217"/>
      <c r="DT205" s="217"/>
    </row>
    <row r="206" spans="1:124" x14ac:dyDescent="0.3">
      <c r="A206" s="217">
        <f>IF(J206&gt;0,1,0)</f>
        <v>0</v>
      </c>
      <c r="B206" s="221" t="s">
        <v>481</v>
      </c>
      <c r="C206" s="221"/>
      <c r="D206" s="221"/>
      <c r="E206" s="221"/>
      <c r="F206" s="221"/>
      <c r="G206" s="221"/>
      <c r="H206" s="221"/>
      <c r="I206" s="221"/>
      <c r="J206" s="325">
        <f t="shared" ref="J206:J210" si="287">SUMIF($B$4:$B$203,$B206,J$4:J$203)</f>
        <v>0</v>
      </c>
      <c r="K206" s="325"/>
      <c r="L206" s="339">
        <f t="shared" ref="L206:U210" si="288">SUMIF($B$4:$B$203,$B206,L$4:L$203)</f>
        <v>0</v>
      </c>
      <c r="M206" s="339">
        <f t="shared" si="288"/>
        <v>0</v>
      </c>
      <c r="N206" s="339">
        <f t="shared" si="288"/>
        <v>0</v>
      </c>
      <c r="O206" s="339">
        <f t="shared" si="288"/>
        <v>0</v>
      </c>
      <c r="P206" s="339">
        <f t="shared" si="288"/>
        <v>0</v>
      </c>
      <c r="Q206" s="339">
        <f t="shared" si="288"/>
        <v>0</v>
      </c>
      <c r="R206" s="339">
        <f t="shared" si="288"/>
        <v>0</v>
      </c>
      <c r="S206" s="339">
        <f t="shared" si="288"/>
        <v>0</v>
      </c>
      <c r="T206" s="339">
        <f t="shared" si="288"/>
        <v>0</v>
      </c>
      <c r="U206" s="339">
        <f t="shared" si="288"/>
        <v>0</v>
      </c>
      <c r="V206" s="339">
        <f t="shared" ref="V206:AE210" si="289">SUMIF($B$4:$B$203,$B206,V$4:V$203)</f>
        <v>0</v>
      </c>
      <c r="W206" s="339">
        <f t="shared" si="289"/>
        <v>0</v>
      </c>
      <c r="X206" s="339">
        <f t="shared" si="289"/>
        <v>0</v>
      </c>
      <c r="Y206" s="339">
        <f t="shared" si="289"/>
        <v>0</v>
      </c>
      <c r="Z206" s="339">
        <f t="shared" si="289"/>
        <v>0</v>
      </c>
      <c r="AA206" s="340">
        <f t="shared" si="289"/>
        <v>0</v>
      </c>
      <c r="AB206" s="340">
        <f t="shared" si="289"/>
        <v>0</v>
      </c>
      <c r="AC206" s="340">
        <f t="shared" si="289"/>
        <v>0</v>
      </c>
      <c r="AD206" s="340">
        <f t="shared" si="289"/>
        <v>0</v>
      </c>
      <c r="AE206" s="340">
        <f t="shared" si="289"/>
        <v>0</v>
      </c>
      <c r="AF206" s="340">
        <f t="shared" ref="AF206:AO210" si="290">SUMIF($B$4:$B$203,$B206,AF$4:AF$203)</f>
        <v>0</v>
      </c>
      <c r="AG206" s="340">
        <f t="shared" si="290"/>
        <v>0</v>
      </c>
      <c r="AH206" s="340">
        <f t="shared" si="290"/>
        <v>0</v>
      </c>
      <c r="AI206" s="340">
        <f t="shared" si="290"/>
        <v>0</v>
      </c>
      <c r="AJ206" s="340">
        <f t="shared" si="290"/>
        <v>0</v>
      </c>
      <c r="AK206" s="340">
        <f t="shared" si="290"/>
        <v>0</v>
      </c>
      <c r="AL206" s="340">
        <f t="shared" si="290"/>
        <v>0</v>
      </c>
      <c r="AM206" s="340">
        <f t="shared" si="290"/>
        <v>0</v>
      </c>
      <c r="AN206" s="340">
        <f t="shared" si="290"/>
        <v>0</v>
      </c>
      <c r="AO206" s="340">
        <f t="shared" si="290"/>
        <v>0</v>
      </c>
      <c r="AP206" s="340">
        <f t="shared" ref="AP206:AY210" si="291">SUMIF($B$4:$B$203,$B206,AP$4:AP$203)</f>
        <v>0</v>
      </c>
      <c r="AQ206" s="340">
        <f t="shared" si="291"/>
        <v>0</v>
      </c>
      <c r="AR206" s="340">
        <f t="shared" si="291"/>
        <v>0</v>
      </c>
      <c r="AS206" s="340">
        <f t="shared" si="291"/>
        <v>0</v>
      </c>
      <c r="AT206" s="340">
        <f t="shared" si="291"/>
        <v>0</v>
      </c>
      <c r="AU206" s="340">
        <f t="shared" si="291"/>
        <v>0</v>
      </c>
      <c r="AV206" s="340">
        <f t="shared" si="291"/>
        <v>0</v>
      </c>
      <c r="AW206" s="340">
        <f t="shared" si="291"/>
        <v>0</v>
      </c>
      <c r="AX206" s="340">
        <f t="shared" si="291"/>
        <v>0</v>
      </c>
      <c r="AY206" s="340">
        <f t="shared" si="291"/>
        <v>0</v>
      </c>
      <c r="AZ206" s="340">
        <f t="shared" ref="AZ206:BI210" si="292">SUMIF($B$4:$B$203,$B206,AZ$4:AZ$203)</f>
        <v>0</v>
      </c>
      <c r="BA206" s="340">
        <f t="shared" si="292"/>
        <v>0</v>
      </c>
      <c r="BB206" s="340">
        <f t="shared" si="292"/>
        <v>0</v>
      </c>
      <c r="BC206" s="340">
        <f t="shared" si="292"/>
        <v>0</v>
      </c>
      <c r="BD206" s="340">
        <f t="shared" si="292"/>
        <v>0</v>
      </c>
      <c r="BE206" s="330">
        <f t="shared" si="292"/>
        <v>0</v>
      </c>
      <c r="BF206" s="330">
        <f t="shared" si="292"/>
        <v>0</v>
      </c>
      <c r="BG206" s="330">
        <f t="shared" si="292"/>
        <v>0</v>
      </c>
      <c r="BH206" s="330">
        <f t="shared" si="292"/>
        <v>0</v>
      </c>
      <c r="BI206" s="330">
        <f t="shared" si="292"/>
        <v>0</v>
      </c>
      <c r="BJ206" s="330">
        <f t="shared" ref="BJ206:BS210" si="293">SUMIF($B$4:$B$203,$B206,BJ$4:BJ$203)</f>
        <v>0</v>
      </c>
      <c r="BK206" s="330">
        <f t="shared" si="293"/>
        <v>0</v>
      </c>
      <c r="BL206" s="330">
        <f t="shared" si="293"/>
        <v>0</v>
      </c>
      <c r="BM206" s="330">
        <f t="shared" si="293"/>
        <v>0</v>
      </c>
      <c r="BN206" s="330">
        <f t="shared" si="293"/>
        <v>0</v>
      </c>
      <c r="BO206" s="330">
        <f t="shared" si="293"/>
        <v>0</v>
      </c>
      <c r="BP206" s="330">
        <f t="shared" si="293"/>
        <v>0</v>
      </c>
      <c r="BQ206" s="330">
        <f t="shared" si="293"/>
        <v>0</v>
      </c>
      <c r="BR206" s="330">
        <f t="shared" si="293"/>
        <v>0</v>
      </c>
      <c r="BS206" s="330">
        <f t="shared" si="293"/>
        <v>0</v>
      </c>
      <c r="BT206" s="330">
        <f t="shared" ref="BT206:CC210" si="294">SUMIF($B$4:$B$203,$B206,BT$4:BT$203)</f>
        <v>0</v>
      </c>
      <c r="BU206" s="330">
        <f t="shared" si="294"/>
        <v>0</v>
      </c>
      <c r="BV206" s="330">
        <f t="shared" si="294"/>
        <v>0</v>
      </c>
      <c r="BW206" s="330">
        <f t="shared" si="294"/>
        <v>0</v>
      </c>
      <c r="BX206" s="330">
        <f t="shared" si="294"/>
        <v>0</v>
      </c>
      <c r="BY206" s="330">
        <f t="shared" si="294"/>
        <v>0</v>
      </c>
      <c r="BZ206" s="330">
        <f t="shared" si="294"/>
        <v>0</v>
      </c>
      <c r="CA206" s="330">
        <f t="shared" si="294"/>
        <v>0</v>
      </c>
      <c r="CB206" s="330">
        <f t="shared" si="294"/>
        <v>0</v>
      </c>
      <c r="CC206" s="330">
        <f t="shared" si="294"/>
        <v>0</v>
      </c>
      <c r="CD206" s="330">
        <f t="shared" ref="CD206:CM210" si="295">SUMIF($B$4:$B$203,$B206,CD$4:CD$203)</f>
        <v>0</v>
      </c>
      <c r="CE206" s="330">
        <f t="shared" si="295"/>
        <v>0</v>
      </c>
      <c r="CF206" s="330">
        <f t="shared" si="295"/>
        <v>0</v>
      </c>
      <c r="CG206" s="330">
        <f t="shared" si="295"/>
        <v>0</v>
      </c>
      <c r="CH206" s="330">
        <f t="shared" si="295"/>
        <v>0</v>
      </c>
      <c r="CI206" s="330">
        <f t="shared" si="295"/>
        <v>0</v>
      </c>
      <c r="CJ206" s="330">
        <f t="shared" si="295"/>
        <v>0</v>
      </c>
      <c r="CK206" s="330">
        <f t="shared" si="295"/>
        <v>0</v>
      </c>
      <c r="CL206" s="330">
        <f t="shared" si="295"/>
        <v>0</v>
      </c>
      <c r="CM206" s="330">
        <f t="shared" si="295"/>
        <v>0</v>
      </c>
      <c r="CN206" s="330">
        <f t="shared" ref="CN206:CT210" si="296">SUMIF($B$4:$B$203,$B206,CN$4:CN$203)</f>
        <v>0</v>
      </c>
      <c r="CO206" s="330">
        <f t="shared" si="296"/>
        <v>0</v>
      </c>
      <c r="CP206" s="330">
        <f t="shared" si="296"/>
        <v>0</v>
      </c>
      <c r="CQ206" s="330">
        <f t="shared" si="296"/>
        <v>0</v>
      </c>
      <c r="CR206" s="330">
        <f t="shared" si="296"/>
        <v>0</v>
      </c>
      <c r="CS206" s="330">
        <f t="shared" si="296"/>
        <v>0</v>
      </c>
      <c r="CT206" s="330">
        <f t="shared" si="296"/>
        <v>0</v>
      </c>
      <c r="CU206" s="217"/>
      <c r="CV206" s="217"/>
      <c r="CW206" s="217"/>
      <c r="CX206" s="217"/>
      <c r="CY206" s="217"/>
      <c r="CZ206" s="217"/>
      <c r="DA206" s="217"/>
      <c r="DB206" s="217"/>
      <c r="DC206" s="217"/>
      <c r="DD206" s="217"/>
      <c r="DE206" s="217"/>
      <c r="DF206" s="217"/>
      <c r="DG206" s="217"/>
      <c r="DH206" s="217"/>
      <c r="DI206" s="217"/>
      <c r="DJ206" s="217"/>
      <c r="DK206" s="217"/>
      <c r="DL206" s="217"/>
      <c r="DM206" s="217"/>
      <c r="DN206" s="217"/>
      <c r="DO206" s="217"/>
      <c r="DP206" s="217"/>
      <c r="DQ206" s="217"/>
      <c r="DR206" s="217"/>
      <c r="DS206" s="217"/>
      <c r="DT206" s="217"/>
    </row>
    <row r="207" spans="1:124" x14ac:dyDescent="0.3">
      <c r="A207" s="217">
        <f>IF(J207&gt;0,MAX($A$206:A206)+1,0)</f>
        <v>0</v>
      </c>
      <c r="B207" s="221" t="s">
        <v>304</v>
      </c>
      <c r="C207" s="221"/>
      <c r="D207" s="221"/>
      <c r="E207" s="221"/>
      <c r="F207" s="221"/>
      <c r="G207" s="221"/>
      <c r="H207" s="221"/>
      <c r="I207" s="221"/>
      <c r="J207" s="325">
        <f t="shared" si="287"/>
        <v>0</v>
      </c>
      <c r="K207" s="325"/>
      <c r="L207" s="333">
        <f t="shared" si="288"/>
        <v>0</v>
      </c>
      <c r="M207" s="333">
        <f t="shared" si="288"/>
        <v>0</v>
      </c>
      <c r="N207" s="333">
        <f t="shared" si="288"/>
        <v>0</v>
      </c>
      <c r="O207" s="333">
        <f t="shared" si="288"/>
        <v>0</v>
      </c>
      <c r="P207" s="333">
        <f t="shared" si="288"/>
        <v>0</v>
      </c>
      <c r="Q207" s="333">
        <f t="shared" si="288"/>
        <v>0</v>
      </c>
      <c r="R207" s="333">
        <f t="shared" si="288"/>
        <v>0</v>
      </c>
      <c r="S207" s="333">
        <f t="shared" si="288"/>
        <v>0</v>
      </c>
      <c r="T207" s="333">
        <f t="shared" si="288"/>
        <v>0</v>
      </c>
      <c r="U207" s="333">
        <f t="shared" si="288"/>
        <v>0</v>
      </c>
      <c r="V207" s="333">
        <f t="shared" si="289"/>
        <v>0</v>
      </c>
      <c r="W207" s="333">
        <f t="shared" si="289"/>
        <v>0</v>
      </c>
      <c r="X207" s="333">
        <f t="shared" si="289"/>
        <v>0</v>
      </c>
      <c r="Y207" s="333">
        <f t="shared" si="289"/>
        <v>0</v>
      </c>
      <c r="Z207" s="333">
        <f t="shared" si="289"/>
        <v>0</v>
      </c>
      <c r="AA207" s="330">
        <f t="shared" si="289"/>
        <v>0</v>
      </c>
      <c r="AB207" s="330">
        <f t="shared" si="289"/>
        <v>0</v>
      </c>
      <c r="AC207" s="330">
        <f t="shared" si="289"/>
        <v>0</v>
      </c>
      <c r="AD207" s="330">
        <f t="shared" si="289"/>
        <v>0</v>
      </c>
      <c r="AE207" s="330">
        <f t="shared" si="289"/>
        <v>0</v>
      </c>
      <c r="AF207" s="330">
        <f t="shared" si="290"/>
        <v>0</v>
      </c>
      <c r="AG207" s="330">
        <f t="shared" si="290"/>
        <v>0</v>
      </c>
      <c r="AH207" s="330">
        <f t="shared" si="290"/>
        <v>0</v>
      </c>
      <c r="AI207" s="330">
        <f t="shared" si="290"/>
        <v>0</v>
      </c>
      <c r="AJ207" s="330">
        <f t="shared" si="290"/>
        <v>0</v>
      </c>
      <c r="AK207" s="330">
        <f t="shared" si="290"/>
        <v>0</v>
      </c>
      <c r="AL207" s="330">
        <f t="shared" si="290"/>
        <v>0</v>
      </c>
      <c r="AM207" s="330">
        <f t="shared" si="290"/>
        <v>0</v>
      </c>
      <c r="AN207" s="330">
        <f t="shared" si="290"/>
        <v>0</v>
      </c>
      <c r="AO207" s="330">
        <f t="shared" si="290"/>
        <v>0</v>
      </c>
      <c r="AP207" s="330">
        <f t="shared" si="291"/>
        <v>0</v>
      </c>
      <c r="AQ207" s="330">
        <f t="shared" si="291"/>
        <v>0</v>
      </c>
      <c r="AR207" s="330">
        <f t="shared" si="291"/>
        <v>0</v>
      </c>
      <c r="AS207" s="330">
        <f t="shared" si="291"/>
        <v>0</v>
      </c>
      <c r="AT207" s="330">
        <f t="shared" si="291"/>
        <v>0</v>
      </c>
      <c r="AU207" s="330">
        <f t="shared" si="291"/>
        <v>0</v>
      </c>
      <c r="AV207" s="330">
        <f t="shared" si="291"/>
        <v>0</v>
      </c>
      <c r="AW207" s="330">
        <f t="shared" si="291"/>
        <v>0</v>
      </c>
      <c r="AX207" s="330">
        <f t="shared" si="291"/>
        <v>0</v>
      </c>
      <c r="AY207" s="330">
        <f t="shared" si="291"/>
        <v>0</v>
      </c>
      <c r="AZ207" s="330">
        <f t="shared" si="292"/>
        <v>0</v>
      </c>
      <c r="BA207" s="330">
        <f t="shared" si="292"/>
        <v>0</v>
      </c>
      <c r="BB207" s="330">
        <f t="shared" si="292"/>
        <v>0</v>
      </c>
      <c r="BC207" s="330">
        <f t="shared" si="292"/>
        <v>0</v>
      </c>
      <c r="BD207" s="330">
        <f t="shared" si="292"/>
        <v>0</v>
      </c>
      <c r="BE207" s="330">
        <f t="shared" si="292"/>
        <v>0</v>
      </c>
      <c r="BF207" s="330">
        <f t="shared" si="292"/>
        <v>0</v>
      </c>
      <c r="BG207" s="330">
        <f t="shared" si="292"/>
        <v>0</v>
      </c>
      <c r="BH207" s="330">
        <f t="shared" si="292"/>
        <v>0</v>
      </c>
      <c r="BI207" s="330">
        <f t="shared" si="292"/>
        <v>0</v>
      </c>
      <c r="BJ207" s="330">
        <f t="shared" si="293"/>
        <v>0</v>
      </c>
      <c r="BK207" s="330">
        <f t="shared" si="293"/>
        <v>0</v>
      </c>
      <c r="BL207" s="330">
        <f t="shared" si="293"/>
        <v>0</v>
      </c>
      <c r="BM207" s="330">
        <f t="shared" si="293"/>
        <v>0</v>
      </c>
      <c r="BN207" s="330">
        <f t="shared" si="293"/>
        <v>0</v>
      </c>
      <c r="BO207" s="330">
        <f t="shared" si="293"/>
        <v>0</v>
      </c>
      <c r="BP207" s="330">
        <f t="shared" si="293"/>
        <v>0</v>
      </c>
      <c r="BQ207" s="330">
        <f t="shared" si="293"/>
        <v>0</v>
      </c>
      <c r="BR207" s="330">
        <f t="shared" si="293"/>
        <v>0</v>
      </c>
      <c r="BS207" s="330">
        <f t="shared" si="293"/>
        <v>0</v>
      </c>
      <c r="BT207" s="330">
        <f t="shared" si="294"/>
        <v>0</v>
      </c>
      <c r="BU207" s="330">
        <f t="shared" si="294"/>
        <v>0</v>
      </c>
      <c r="BV207" s="330">
        <f t="shared" si="294"/>
        <v>0</v>
      </c>
      <c r="BW207" s="330">
        <f t="shared" si="294"/>
        <v>0</v>
      </c>
      <c r="BX207" s="330">
        <f t="shared" si="294"/>
        <v>0</v>
      </c>
      <c r="BY207" s="330">
        <f t="shared" si="294"/>
        <v>0</v>
      </c>
      <c r="BZ207" s="330">
        <f t="shared" si="294"/>
        <v>0</v>
      </c>
      <c r="CA207" s="330">
        <f t="shared" si="294"/>
        <v>0</v>
      </c>
      <c r="CB207" s="330">
        <f t="shared" si="294"/>
        <v>0</v>
      </c>
      <c r="CC207" s="330">
        <f t="shared" si="294"/>
        <v>0</v>
      </c>
      <c r="CD207" s="330">
        <f t="shared" si="295"/>
        <v>0</v>
      </c>
      <c r="CE207" s="330">
        <f t="shared" si="295"/>
        <v>0</v>
      </c>
      <c r="CF207" s="330">
        <f t="shared" si="295"/>
        <v>0</v>
      </c>
      <c r="CG207" s="330">
        <f t="shared" si="295"/>
        <v>0</v>
      </c>
      <c r="CH207" s="330">
        <f t="shared" si="295"/>
        <v>0</v>
      </c>
      <c r="CI207" s="330">
        <f t="shared" si="295"/>
        <v>0</v>
      </c>
      <c r="CJ207" s="330">
        <f t="shared" si="295"/>
        <v>0</v>
      </c>
      <c r="CK207" s="330">
        <f t="shared" si="295"/>
        <v>0</v>
      </c>
      <c r="CL207" s="330">
        <f t="shared" si="295"/>
        <v>0</v>
      </c>
      <c r="CM207" s="330">
        <f t="shared" si="295"/>
        <v>0</v>
      </c>
      <c r="CN207" s="330">
        <f t="shared" si="296"/>
        <v>0</v>
      </c>
      <c r="CO207" s="330">
        <f t="shared" si="296"/>
        <v>0</v>
      </c>
      <c r="CP207" s="330">
        <f t="shared" si="296"/>
        <v>0</v>
      </c>
      <c r="CQ207" s="330">
        <f t="shared" si="296"/>
        <v>0</v>
      </c>
      <c r="CR207" s="330">
        <f t="shared" si="296"/>
        <v>0</v>
      </c>
      <c r="CS207" s="330">
        <f t="shared" si="296"/>
        <v>0</v>
      </c>
      <c r="CT207" s="330">
        <f t="shared" si="296"/>
        <v>0</v>
      </c>
      <c r="CU207" s="217"/>
      <c r="CV207" s="217"/>
      <c r="CW207" s="217"/>
      <c r="CX207" s="217"/>
      <c r="CY207" s="217"/>
      <c r="CZ207" s="217"/>
      <c r="DA207" s="217"/>
      <c r="DB207" s="217"/>
      <c r="DC207" s="217"/>
      <c r="DD207" s="217"/>
      <c r="DE207" s="217"/>
      <c r="DF207" s="217"/>
      <c r="DG207" s="217"/>
      <c r="DH207" s="217"/>
      <c r="DI207" s="217"/>
      <c r="DJ207" s="217"/>
      <c r="DK207" s="217"/>
      <c r="DL207" s="217"/>
      <c r="DM207" s="217"/>
      <c r="DN207" s="217"/>
      <c r="DO207" s="217"/>
      <c r="DP207" s="217"/>
      <c r="DQ207" s="217"/>
      <c r="DR207" s="217"/>
      <c r="DS207" s="217"/>
      <c r="DT207" s="217"/>
    </row>
    <row r="208" spans="1:124" x14ac:dyDescent="0.3">
      <c r="A208" s="217">
        <f>IF(J208&gt;0,MAX($A$206:A207)+1,0)</f>
        <v>0</v>
      </c>
      <c r="B208" s="221" t="s">
        <v>305</v>
      </c>
      <c r="C208" s="221"/>
      <c r="D208" s="221"/>
      <c r="E208" s="221"/>
      <c r="F208" s="221"/>
      <c r="G208" s="221"/>
      <c r="H208" s="221"/>
      <c r="I208" s="221"/>
      <c r="J208" s="325">
        <f t="shared" si="287"/>
        <v>0</v>
      </c>
      <c r="K208" s="325"/>
      <c r="L208" s="333">
        <f t="shared" si="288"/>
        <v>0</v>
      </c>
      <c r="M208" s="333">
        <f t="shared" si="288"/>
        <v>0</v>
      </c>
      <c r="N208" s="333">
        <f t="shared" si="288"/>
        <v>0</v>
      </c>
      <c r="O208" s="333">
        <f t="shared" si="288"/>
        <v>0</v>
      </c>
      <c r="P208" s="333">
        <f t="shared" si="288"/>
        <v>0</v>
      </c>
      <c r="Q208" s="333">
        <f t="shared" si="288"/>
        <v>0</v>
      </c>
      <c r="R208" s="333">
        <f t="shared" si="288"/>
        <v>0</v>
      </c>
      <c r="S208" s="333">
        <f t="shared" si="288"/>
        <v>0</v>
      </c>
      <c r="T208" s="333">
        <f t="shared" si="288"/>
        <v>0</v>
      </c>
      <c r="U208" s="333">
        <f t="shared" si="288"/>
        <v>0</v>
      </c>
      <c r="V208" s="333">
        <f t="shared" si="289"/>
        <v>0</v>
      </c>
      <c r="W208" s="333">
        <f t="shared" si="289"/>
        <v>0</v>
      </c>
      <c r="X208" s="333">
        <f t="shared" si="289"/>
        <v>0</v>
      </c>
      <c r="Y208" s="333">
        <f t="shared" si="289"/>
        <v>0</v>
      </c>
      <c r="Z208" s="333">
        <f t="shared" si="289"/>
        <v>0</v>
      </c>
      <c r="AA208" s="330">
        <f t="shared" si="289"/>
        <v>0</v>
      </c>
      <c r="AB208" s="330">
        <f t="shared" si="289"/>
        <v>0</v>
      </c>
      <c r="AC208" s="330">
        <f t="shared" si="289"/>
        <v>0</v>
      </c>
      <c r="AD208" s="330">
        <f t="shared" si="289"/>
        <v>0</v>
      </c>
      <c r="AE208" s="330">
        <f t="shared" si="289"/>
        <v>0</v>
      </c>
      <c r="AF208" s="330">
        <f t="shared" si="290"/>
        <v>0</v>
      </c>
      <c r="AG208" s="330">
        <f t="shared" si="290"/>
        <v>0</v>
      </c>
      <c r="AH208" s="330">
        <f t="shared" si="290"/>
        <v>0</v>
      </c>
      <c r="AI208" s="330">
        <f t="shared" si="290"/>
        <v>0</v>
      </c>
      <c r="AJ208" s="330">
        <f t="shared" si="290"/>
        <v>0</v>
      </c>
      <c r="AK208" s="330">
        <f t="shared" si="290"/>
        <v>0</v>
      </c>
      <c r="AL208" s="330">
        <f t="shared" si="290"/>
        <v>0</v>
      </c>
      <c r="AM208" s="330">
        <f t="shared" si="290"/>
        <v>0</v>
      </c>
      <c r="AN208" s="330">
        <f t="shared" si="290"/>
        <v>0</v>
      </c>
      <c r="AO208" s="330">
        <f t="shared" si="290"/>
        <v>0</v>
      </c>
      <c r="AP208" s="330">
        <f t="shared" si="291"/>
        <v>0</v>
      </c>
      <c r="AQ208" s="330">
        <f t="shared" si="291"/>
        <v>0</v>
      </c>
      <c r="AR208" s="330">
        <f t="shared" si="291"/>
        <v>0</v>
      </c>
      <c r="AS208" s="330">
        <f t="shared" si="291"/>
        <v>0</v>
      </c>
      <c r="AT208" s="330">
        <f t="shared" si="291"/>
        <v>0</v>
      </c>
      <c r="AU208" s="330">
        <f t="shared" si="291"/>
        <v>0</v>
      </c>
      <c r="AV208" s="330">
        <f t="shared" si="291"/>
        <v>0</v>
      </c>
      <c r="AW208" s="330">
        <f t="shared" si="291"/>
        <v>0</v>
      </c>
      <c r="AX208" s="330">
        <f t="shared" si="291"/>
        <v>0</v>
      </c>
      <c r="AY208" s="330">
        <f t="shared" si="291"/>
        <v>0</v>
      </c>
      <c r="AZ208" s="330">
        <f t="shared" si="292"/>
        <v>0</v>
      </c>
      <c r="BA208" s="330">
        <f t="shared" si="292"/>
        <v>0</v>
      </c>
      <c r="BB208" s="330">
        <f t="shared" si="292"/>
        <v>0</v>
      </c>
      <c r="BC208" s="330">
        <f t="shared" si="292"/>
        <v>0</v>
      </c>
      <c r="BD208" s="330">
        <f t="shared" si="292"/>
        <v>0</v>
      </c>
      <c r="BE208" s="330">
        <f t="shared" si="292"/>
        <v>0</v>
      </c>
      <c r="BF208" s="330">
        <f t="shared" si="292"/>
        <v>0</v>
      </c>
      <c r="BG208" s="330">
        <f t="shared" si="292"/>
        <v>0</v>
      </c>
      <c r="BH208" s="330">
        <f t="shared" si="292"/>
        <v>0</v>
      </c>
      <c r="BI208" s="330">
        <f t="shared" si="292"/>
        <v>0</v>
      </c>
      <c r="BJ208" s="330">
        <f t="shared" si="293"/>
        <v>0</v>
      </c>
      <c r="BK208" s="330">
        <f t="shared" si="293"/>
        <v>0</v>
      </c>
      <c r="BL208" s="330">
        <f t="shared" si="293"/>
        <v>0</v>
      </c>
      <c r="BM208" s="330">
        <f t="shared" si="293"/>
        <v>0</v>
      </c>
      <c r="BN208" s="330">
        <f t="shared" si="293"/>
        <v>0</v>
      </c>
      <c r="BO208" s="330">
        <f t="shared" si="293"/>
        <v>0</v>
      </c>
      <c r="BP208" s="330">
        <f t="shared" si="293"/>
        <v>0</v>
      </c>
      <c r="BQ208" s="330">
        <f t="shared" si="293"/>
        <v>0</v>
      </c>
      <c r="BR208" s="330">
        <f t="shared" si="293"/>
        <v>0</v>
      </c>
      <c r="BS208" s="330">
        <f t="shared" si="293"/>
        <v>0</v>
      </c>
      <c r="BT208" s="330">
        <f t="shared" si="294"/>
        <v>0</v>
      </c>
      <c r="BU208" s="330">
        <f t="shared" si="294"/>
        <v>0</v>
      </c>
      <c r="BV208" s="330">
        <f t="shared" si="294"/>
        <v>0</v>
      </c>
      <c r="BW208" s="330">
        <f t="shared" si="294"/>
        <v>0</v>
      </c>
      <c r="BX208" s="330">
        <f t="shared" si="294"/>
        <v>0</v>
      </c>
      <c r="BY208" s="330">
        <f t="shared" si="294"/>
        <v>0</v>
      </c>
      <c r="BZ208" s="330">
        <f t="shared" si="294"/>
        <v>0</v>
      </c>
      <c r="CA208" s="330">
        <f t="shared" si="294"/>
        <v>0</v>
      </c>
      <c r="CB208" s="330">
        <f t="shared" si="294"/>
        <v>0</v>
      </c>
      <c r="CC208" s="330">
        <f t="shared" si="294"/>
        <v>0</v>
      </c>
      <c r="CD208" s="330">
        <f t="shared" si="295"/>
        <v>0</v>
      </c>
      <c r="CE208" s="330">
        <f t="shared" si="295"/>
        <v>0</v>
      </c>
      <c r="CF208" s="330">
        <f t="shared" si="295"/>
        <v>0</v>
      </c>
      <c r="CG208" s="330">
        <f t="shared" si="295"/>
        <v>0</v>
      </c>
      <c r="CH208" s="330">
        <f t="shared" si="295"/>
        <v>0</v>
      </c>
      <c r="CI208" s="330">
        <f t="shared" si="295"/>
        <v>0</v>
      </c>
      <c r="CJ208" s="330">
        <f t="shared" si="295"/>
        <v>0</v>
      </c>
      <c r="CK208" s="330">
        <f t="shared" si="295"/>
        <v>0</v>
      </c>
      <c r="CL208" s="330">
        <f t="shared" si="295"/>
        <v>0</v>
      </c>
      <c r="CM208" s="330">
        <f t="shared" si="295"/>
        <v>0</v>
      </c>
      <c r="CN208" s="330">
        <f t="shared" si="296"/>
        <v>0</v>
      </c>
      <c r="CO208" s="330">
        <f t="shared" si="296"/>
        <v>0</v>
      </c>
      <c r="CP208" s="330">
        <f t="shared" si="296"/>
        <v>0</v>
      </c>
      <c r="CQ208" s="330">
        <f t="shared" si="296"/>
        <v>0</v>
      </c>
      <c r="CR208" s="330">
        <f t="shared" si="296"/>
        <v>0</v>
      </c>
      <c r="CS208" s="330">
        <f t="shared" si="296"/>
        <v>0</v>
      </c>
      <c r="CT208" s="330">
        <f t="shared" si="296"/>
        <v>0</v>
      </c>
      <c r="CU208" s="217"/>
      <c r="CV208" s="217"/>
      <c r="CW208" s="217"/>
      <c r="CX208" s="217"/>
      <c r="CY208" s="217"/>
      <c r="CZ208" s="217"/>
      <c r="DA208" s="217"/>
      <c r="DB208" s="217"/>
      <c r="DC208" s="217"/>
      <c r="DD208" s="217"/>
      <c r="DE208" s="217"/>
      <c r="DF208" s="217"/>
      <c r="DG208" s="217"/>
      <c r="DH208" s="217"/>
      <c r="DI208" s="217"/>
      <c r="DJ208" s="217"/>
      <c r="DK208" s="217"/>
      <c r="DL208" s="217"/>
      <c r="DM208" s="217"/>
      <c r="DN208" s="217"/>
      <c r="DO208" s="217"/>
      <c r="DP208" s="217"/>
      <c r="DQ208" s="217"/>
      <c r="DR208" s="217"/>
      <c r="DS208" s="217"/>
      <c r="DT208" s="217"/>
    </row>
    <row r="209" spans="1:124" x14ac:dyDescent="0.3">
      <c r="A209" s="217">
        <f>IF(J209&gt;0,MAX($A$206:A208)+1,0)</f>
        <v>0</v>
      </c>
      <c r="B209" s="221" t="s">
        <v>306</v>
      </c>
      <c r="C209" s="221"/>
      <c r="D209" s="221"/>
      <c r="E209" s="221"/>
      <c r="F209" s="221"/>
      <c r="G209" s="221"/>
      <c r="H209" s="221"/>
      <c r="I209" s="221"/>
      <c r="J209" s="325">
        <f t="shared" si="287"/>
        <v>0</v>
      </c>
      <c r="K209" s="325"/>
      <c r="L209" s="333">
        <f t="shared" si="288"/>
        <v>0</v>
      </c>
      <c r="M209" s="333">
        <f t="shared" si="288"/>
        <v>0</v>
      </c>
      <c r="N209" s="333">
        <f t="shared" si="288"/>
        <v>0</v>
      </c>
      <c r="O209" s="333">
        <f t="shared" si="288"/>
        <v>0</v>
      </c>
      <c r="P209" s="333">
        <f t="shared" si="288"/>
        <v>0</v>
      </c>
      <c r="Q209" s="333">
        <f t="shared" si="288"/>
        <v>0</v>
      </c>
      <c r="R209" s="333">
        <f t="shared" si="288"/>
        <v>0</v>
      </c>
      <c r="S209" s="333">
        <f t="shared" si="288"/>
        <v>0</v>
      </c>
      <c r="T209" s="333">
        <f t="shared" si="288"/>
        <v>0</v>
      </c>
      <c r="U209" s="333">
        <f t="shared" si="288"/>
        <v>0</v>
      </c>
      <c r="V209" s="333">
        <f t="shared" si="289"/>
        <v>0</v>
      </c>
      <c r="W209" s="333">
        <f t="shared" si="289"/>
        <v>0</v>
      </c>
      <c r="X209" s="333">
        <f t="shared" si="289"/>
        <v>0</v>
      </c>
      <c r="Y209" s="333">
        <f t="shared" si="289"/>
        <v>0</v>
      </c>
      <c r="Z209" s="333">
        <f t="shared" si="289"/>
        <v>0</v>
      </c>
      <c r="AA209" s="330">
        <f t="shared" si="289"/>
        <v>0</v>
      </c>
      <c r="AB209" s="330">
        <f t="shared" si="289"/>
        <v>0</v>
      </c>
      <c r="AC209" s="330">
        <f t="shared" si="289"/>
        <v>0</v>
      </c>
      <c r="AD209" s="330">
        <f t="shared" si="289"/>
        <v>0</v>
      </c>
      <c r="AE209" s="330">
        <f t="shared" si="289"/>
        <v>0</v>
      </c>
      <c r="AF209" s="330">
        <f t="shared" si="290"/>
        <v>0</v>
      </c>
      <c r="AG209" s="330">
        <f t="shared" si="290"/>
        <v>0</v>
      </c>
      <c r="AH209" s="330">
        <f t="shared" si="290"/>
        <v>0</v>
      </c>
      <c r="AI209" s="330">
        <f t="shared" si="290"/>
        <v>0</v>
      </c>
      <c r="AJ209" s="330">
        <f t="shared" si="290"/>
        <v>0</v>
      </c>
      <c r="AK209" s="330">
        <f t="shared" si="290"/>
        <v>0</v>
      </c>
      <c r="AL209" s="330">
        <f t="shared" si="290"/>
        <v>0</v>
      </c>
      <c r="AM209" s="330">
        <f t="shared" si="290"/>
        <v>0</v>
      </c>
      <c r="AN209" s="330">
        <f t="shared" si="290"/>
        <v>0</v>
      </c>
      <c r="AO209" s="330">
        <f t="shared" si="290"/>
        <v>0</v>
      </c>
      <c r="AP209" s="330">
        <f t="shared" si="291"/>
        <v>0</v>
      </c>
      <c r="AQ209" s="330">
        <f t="shared" si="291"/>
        <v>0</v>
      </c>
      <c r="AR209" s="330">
        <f t="shared" si="291"/>
        <v>0</v>
      </c>
      <c r="AS209" s="330">
        <f t="shared" si="291"/>
        <v>0</v>
      </c>
      <c r="AT209" s="330">
        <f t="shared" si="291"/>
        <v>0</v>
      </c>
      <c r="AU209" s="330">
        <f t="shared" si="291"/>
        <v>0</v>
      </c>
      <c r="AV209" s="330">
        <f t="shared" si="291"/>
        <v>0</v>
      </c>
      <c r="AW209" s="330">
        <f t="shared" si="291"/>
        <v>0</v>
      </c>
      <c r="AX209" s="330">
        <f t="shared" si="291"/>
        <v>0</v>
      </c>
      <c r="AY209" s="330">
        <f t="shared" si="291"/>
        <v>0</v>
      </c>
      <c r="AZ209" s="330">
        <f t="shared" si="292"/>
        <v>0</v>
      </c>
      <c r="BA209" s="330">
        <f t="shared" si="292"/>
        <v>0</v>
      </c>
      <c r="BB209" s="330">
        <f t="shared" si="292"/>
        <v>0</v>
      </c>
      <c r="BC209" s="330">
        <f t="shared" si="292"/>
        <v>0</v>
      </c>
      <c r="BD209" s="330">
        <f t="shared" si="292"/>
        <v>0</v>
      </c>
      <c r="BE209" s="330">
        <f t="shared" si="292"/>
        <v>0</v>
      </c>
      <c r="BF209" s="330">
        <f t="shared" si="292"/>
        <v>0</v>
      </c>
      <c r="BG209" s="330">
        <f t="shared" si="292"/>
        <v>0</v>
      </c>
      <c r="BH209" s="330">
        <f t="shared" si="292"/>
        <v>0</v>
      </c>
      <c r="BI209" s="330">
        <f t="shared" si="292"/>
        <v>0</v>
      </c>
      <c r="BJ209" s="330">
        <f t="shared" si="293"/>
        <v>0</v>
      </c>
      <c r="BK209" s="330">
        <f t="shared" si="293"/>
        <v>0</v>
      </c>
      <c r="BL209" s="330">
        <f t="shared" si="293"/>
        <v>0</v>
      </c>
      <c r="BM209" s="330">
        <f t="shared" si="293"/>
        <v>0</v>
      </c>
      <c r="BN209" s="330">
        <f t="shared" si="293"/>
        <v>0</v>
      </c>
      <c r="BO209" s="330">
        <f t="shared" si="293"/>
        <v>0</v>
      </c>
      <c r="BP209" s="330">
        <f t="shared" si="293"/>
        <v>0</v>
      </c>
      <c r="BQ209" s="330">
        <f t="shared" si="293"/>
        <v>0</v>
      </c>
      <c r="BR209" s="330">
        <f t="shared" si="293"/>
        <v>0</v>
      </c>
      <c r="BS209" s="330">
        <f t="shared" si="293"/>
        <v>0</v>
      </c>
      <c r="BT209" s="330">
        <f t="shared" si="294"/>
        <v>0</v>
      </c>
      <c r="BU209" s="330">
        <f t="shared" si="294"/>
        <v>0</v>
      </c>
      <c r="BV209" s="330">
        <f t="shared" si="294"/>
        <v>0</v>
      </c>
      <c r="BW209" s="330">
        <f t="shared" si="294"/>
        <v>0</v>
      </c>
      <c r="BX209" s="330">
        <f t="shared" si="294"/>
        <v>0</v>
      </c>
      <c r="BY209" s="330">
        <f t="shared" si="294"/>
        <v>0</v>
      </c>
      <c r="BZ209" s="330">
        <f t="shared" si="294"/>
        <v>0</v>
      </c>
      <c r="CA209" s="330">
        <f t="shared" si="294"/>
        <v>0</v>
      </c>
      <c r="CB209" s="330">
        <f t="shared" si="294"/>
        <v>0</v>
      </c>
      <c r="CC209" s="330">
        <f t="shared" si="294"/>
        <v>0</v>
      </c>
      <c r="CD209" s="330">
        <f t="shared" si="295"/>
        <v>0</v>
      </c>
      <c r="CE209" s="330">
        <f t="shared" si="295"/>
        <v>0</v>
      </c>
      <c r="CF209" s="330">
        <f t="shared" si="295"/>
        <v>0</v>
      </c>
      <c r="CG209" s="330">
        <f t="shared" si="295"/>
        <v>0</v>
      </c>
      <c r="CH209" s="330">
        <f t="shared" si="295"/>
        <v>0</v>
      </c>
      <c r="CI209" s="330">
        <f t="shared" si="295"/>
        <v>0</v>
      </c>
      <c r="CJ209" s="330">
        <f t="shared" si="295"/>
        <v>0</v>
      </c>
      <c r="CK209" s="330">
        <f t="shared" si="295"/>
        <v>0</v>
      </c>
      <c r="CL209" s="330">
        <f t="shared" si="295"/>
        <v>0</v>
      </c>
      <c r="CM209" s="330">
        <f t="shared" si="295"/>
        <v>0</v>
      </c>
      <c r="CN209" s="330">
        <f t="shared" si="296"/>
        <v>0</v>
      </c>
      <c r="CO209" s="330">
        <f t="shared" si="296"/>
        <v>0</v>
      </c>
      <c r="CP209" s="330">
        <f t="shared" si="296"/>
        <v>0</v>
      </c>
      <c r="CQ209" s="330">
        <f t="shared" si="296"/>
        <v>0</v>
      </c>
      <c r="CR209" s="330">
        <f t="shared" si="296"/>
        <v>0</v>
      </c>
      <c r="CS209" s="330">
        <f t="shared" si="296"/>
        <v>0</v>
      </c>
      <c r="CT209" s="330">
        <f t="shared" si="296"/>
        <v>0</v>
      </c>
      <c r="CU209" s="217"/>
      <c r="CV209" s="217"/>
      <c r="CW209" s="217"/>
      <c r="CX209" s="217"/>
      <c r="CY209" s="217"/>
      <c r="CZ209" s="217"/>
      <c r="DA209" s="217"/>
      <c r="DB209" s="217"/>
      <c r="DC209" s="217"/>
      <c r="DD209" s="217"/>
      <c r="DE209" s="217"/>
      <c r="DF209" s="217"/>
      <c r="DG209" s="217"/>
      <c r="DH209" s="217"/>
      <c r="DI209" s="217"/>
      <c r="DJ209" s="217"/>
      <c r="DK209" s="217"/>
      <c r="DL209" s="217"/>
      <c r="DM209" s="217"/>
      <c r="DN209" s="217"/>
      <c r="DO209" s="217"/>
      <c r="DP209" s="217"/>
      <c r="DQ209" s="217"/>
      <c r="DR209" s="217"/>
      <c r="DS209" s="217"/>
      <c r="DT209" s="217"/>
    </row>
    <row r="210" spans="1:124" x14ac:dyDescent="0.3">
      <c r="A210" s="217">
        <f>IF(J210&gt;0,MAX($A$206:A209)+1,0)</f>
        <v>0</v>
      </c>
      <c r="B210" s="221" t="s">
        <v>307</v>
      </c>
      <c r="C210" s="221"/>
      <c r="D210" s="221"/>
      <c r="E210" s="221"/>
      <c r="F210" s="221"/>
      <c r="G210" s="221"/>
      <c r="H210" s="221"/>
      <c r="I210" s="221"/>
      <c r="J210" s="325">
        <f t="shared" si="287"/>
        <v>0</v>
      </c>
      <c r="K210" s="325"/>
      <c r="L210" s="333">
        <f t="shared" si="288"/>
        <v>0</v>
      </c>
      <c r="M210" s="333">
        <f t="shared" si="288"/>
        <v>0</v>
      </c>
      <c r="N210" s="333">
        <f t="shared" si="288"/>
        <v>0</v>
      </c>
      <c r="O210" s="333">
        <f t="shared" si="288"/>
        <v>0</v>
      </c>
      <c r="P210" s="333">
        <f t="shared" si="288"/>
        <v>0</v>
      </c>
      <c r="Q210" s="333">
        <f t="shared" si="288"/>
        <v>0</v>
      </c>
      <c r="R210" s="333">
        <f t="shared" si="288"/>
        <v>0</v>
      </c>
      <c r="S210" s="333">
        <f t="shared" si="288"/>
        <v>0</v>
      </c>
      <c r="T210" s="333">
        <f t="shared" si="288"/>
        <v>0</v>
      </c>
      <c r="U210" s="333">
        <f t="shared" si="288"/>
        <v>0</v>
      </c>
      <c r="V210" s="333">
        <f t="shared" si="289"/>
        <v>0</v>
      </c>
      <c r="W210" s="333">
        <f t="shared" si="289"/>
        <v>0</v>
      </c>
      <c r="X210" s="333">
        <f t="shared" si="289"/>
        <v>0</v>
      </c>
      <c r="Y210" s="333">
        <f t="shared" si="289"/>
        <v>0</v>
      </c>
      <c r="Z210" s="333">
        <f t="shared" si="289"/>
        <v>0</v>
      </c>
      <c r="AA210" s="330">
        <f t="shared" si="289"/>
        <v>0</v>
      </c>
      <c r="AB210" s="330">
        <f t="shared" si="289"/>
        <v>0</v>
      </c>
      <c r="AC210" s="330">
        <f t="shared" si="289"/>
        <v>0</v>
      </c>
      <c r="AD210" s="330">
        <f t="shared" si="289"/>
        <v>0</v>
      </c>
      <c r="AE210" s="330">
        <f t="shared" si="289"/>
        <v>0</v>
      </c>
      <c r="AF210" s="330">
        <f t="shared" si="290"/>
        <v>0</v>
      </c>
      <c r="AG210" s="330">
        <f t="shared" si="290"/>
        <v>0</v>
      </c>
      <c r="AH210" s="330">
        <f t="shared" si="290"/>
        <v>0</v>
      </c>
      <c r="AI210" s="330">
        <f t="shared" si="290"/>
        <v>0</v>
      </c>
      <c r="AJ210" s="330">
        <f t="shared" si="290"/>
        <v>0</v>
      </c>
      <c r="AK210" s="330">
        <f t="shared" si="290"/>
        <v>0</v>
      </c>
      <c r="AL210" s="330">
        <f t="shared" si="290"/>
        <v>0</v>
      </c>
      <c r="AM210" s="330">
        <f t="shared" si="290"/>
        <v>0</v>
      </c>
      <c r="AN210" s="330">
        <f t="shared" si="290"/>
        <v>0</v>
      </c>
      <c r="AO210" s="330">
        <f t="shared" si="290"/>
        <v>0</v>
      </c>
      <c r="AP210" s="330">
        <f t="shared" si="291"/>
        <v>0</v>
      </c>
      <c r="AQ210" s="330">
        <f t="shared" si="291"/>
        <v>0</v>
      </c>
      <c r="AR210" s="330">
        <f t="shared" si="291"/>
        <v>0</v>
      </c>
      <c r="AS210" s="330">
        <f t="shared" si="291"/>
        <v>0</v>
      </c>
      <c r="AT210" s="330">
        <f t="shared" si="291"/>
        <v>0</v>
      </c>
      <c r="AU210" s="330">
        <f t="shared" si="291"/>
        <v>0</v>
      </c>
      <c r="AV210" s="330">
        <f t="shared" si="291"/>
        <v>0</v>
      </c>
      <c r="AW210" s="330">
        <f t="shared" si="291"/>
        <v>0</v>
      </c>
      <c r="AX210" s="330">
        <f t="shared" si="291"/>
        <v>0</v>
      </c>
      <c r="AY210" s="330">
        <f t="shared" si="291"/>
        <v>0</v>
      </c>
      <c r="AZ210" s="330">
        <f t="shared" si="292"/>
        <v>0</v>
      </c>
      <c r="BA210" s="330">
        <f t="shared" si="292"/>
        <v>0</v>
      </c>
      <c r="BB210" s="330">
        <f t="shared" si="292"/>
        <v>0</v>
      </c>
      <c r="BC210" s="330">
        <f t="shared" si="292"/>
        <v>0</v>
      </c>
      <c r="BD210" s="330">
        <f t="shared" si="292"/>
        <v>0</v>
      </c>
      <c r="BE210" s="330">
        <f t="shared" si="292"/>
        <v>0</v>
      </c>
      <c r="BF210" s="330">
        <f t="shared" si="292"/>
        <v>0</v>
      </c>
      <c r="BG210" s="330">
        <f t="shared" si="292"/>
        <v>0</v>
      </c>
      <c r="BH210" s="330">
        <f t="shared" si="292"/>
        <v>0</v>
      </c>
      <c r="BI210" s="330">
        <f t="shared" si="292"/>
        <v>0</v>
      </c>
      <c r="BJ210" s="330">
        <f t="shared" si="293"/>
        <v>0</v>
      </c>
      <c r="BK210" s="330">
        <f t="shared" si="293"/>
        <v>0</v>
      </c>
      <c r="BL210" s="330">
        <f t="shared" si="293"/>
        <v>0</v>
      </c>
      <c r="BM210" s="330">
        <f t="shared" si="293"/>
        <v>0</v>
      </c>
      <c r="BN210" s="330">
        <f t="shared" si="293"/>
        <v>0</v>
      </c>
      <c r="BO210" s="330">
        <f t="shared" si="293"/>
        <v>0</v>
      </c>
      <c r="BP210" s="330">
        <f t="shared" si="293"/>
        <v>0</v>
      </c>
      <c r="BQ210" s="330">
        <f t="shared" si="293"/>
        <v>0</v>
      </c>
      <c r="BR210" s="330">
        <f t="shared" si="293"/>
        <v>0</v>
      </c>
      <c r="BS210" s="330">
        <f t="shared" si="293"/>
        <v>0</v>
      </c>
      <c r="BT210" s="330">
        <f t="shared" si="294"/>
        <v>0</v>
      </c>
      <c r="BU210" s="330">
        <f t="shared" si="294"/>
        <v>0</v>
      </c>
      <c r="BV210" s="330">
        <f t="shared" si="294"/>
        <v>0</v>
      </c>
      <c r="BW210" s="330">
        <f t="shared" si="294"/>
        <v>0</v>
      </c>
      <c r="BX210" s="330">
        <f t="shared" si="294"/>
        <v>0</v>
      </c>
      <c r="BY210" s="330">
        <f t="shared" si="294"/>
        <v>0</v>
      </c>
      <c r="BZ210" s="330">
        <f t="shared" si="294"/>
        <v>0</v>
      </c>
      <c r="CA210" s="330">
        <f t="shared" si="294"/>
        <v>0</v>
      </c>
      <c r="CB210" s="330">
        <f t="shared" si="294"/>
        <v>0</v>
      </c>
      <c r="CC210" s="330">
        <f t="shared" si="294"/>
        <v>0</v>
      </c>
      <c r="CD210" s="330">
        <f t="shared" si="295"/>
        <v>0</v>
      </c>
      <c r="CE210" s="330">
        <f t="shared" si="295"/>
        <v>0</v>
      </c>
      <c r="CF210" s="330">
        <f t="shared" si="295"/>
        <v>0</v>
      </c>
      <c r="CG210" s="330">
        <f t="shared" si="295"/>
        <v>0</v>
      </c>
      <c r="CH210" s="330">
        <f t="shared" si="295"/>
        <v>0</v>
      </c>
      <c r="CI210" s="330">
        <f t="shared" si="295"/>
        <v>0</v>
      </c>
      <c r="CJ210" s="330">
        <f t="shared" si="295"/>
        <v>0</v>
      </c>
      <c r="CK210" s="330">
        <f t="shared" si="295"/>
        <v>0</v>
      </c>
      <c r="CL210" s="330">
        <f t="shared" si="295"/>
        <v>0</v>
      </c>
      <c r="CM210" s="330">
        <f t="shared" si="295"/>
        <v>0</v>
      </c>
      <c r="CN210" s="330">
        <f t="shared" si="296"/>
        <v>0</v>
      </c>
      <c r="CO210" s="330">
        <f t="shared" si="296"/>
        <v>0</v>
      </c>
      <c r="CP210" s="330">
        <f t="shared" si="296"/>
        <v>0</v>
      </c>
      <c r="CQ210" s="330">
        <f t="shared" si="296"/>
        <v>0</v>
      </c>
      <c r="CR210" s="330">
        <f t="shared" si="296"/>
        <v>0</v>
      </c>
      <c r="CS210" s="330">
        <f t="shared" si="296"/>
        <v>0</v>
      </c>
      <c r="CT210" s="330">
        <f t="shared" si="296"/>
        <v>0</v>
      </c>
      <c r="CU210" s="217"/>
      <c r="CV210" s="217"/>
      <c r="CW210" s="217"/>
      <c r="CX210" s="217"/>
      <c r="CY210" s="217"/>
      <c r="CZ210" s="217"/>
      <c r="DA210" s="217"/>
      <c r="DB210" s="217"/>
      <c r="DC210" s="217"/>
      <c r="DD210" s="217"/>
      <c r="DE210" s="217"/>
      <c r="DF210" s="217"/>
      <c r="DG210" s="217"/>
      <c r="DH210" s="217"/>
      <c r="DI210" s="217"/>
      <c r="DJ210" s="217"/>
      <c r="DK210" s="217"/>
      <c r="DL210" s="217"/>
      <c r="DM210" s="217"/>
      <c r="DN210" s="217"/>
      <c r="DO210" s="217"/>
      <c r="DP210" s="217"/>
      <c r="DQ210" s="217"/>
      <c r="DR210" s="217"/>
      <c r="DS210" s="217"/>
      <c r="DT210" s="217"/>
    </row>
    <row r="211" spans="1:124" x14ac:dyDescent="0.3">
      <c r="A211" s="217"/>
      <c r="B211" s="221" t="str">
        <f>Inputs!D15</f>
        <v>Agency (unspecified)</v>
      </c>
      <c r="C211" s="221"/>
      <c r="D211" s="221"/>
      <c r="E211" s="221"/>
      <c r="F211" s="221"/>
      <c r="G211" s="221"/>
      <c r="H211" s="221"/>
      <c r="I211" s="221"/>
      <c r="J211" s="326">
        <f t="shared" ref="J211:J220" si="297">SUMIF($C$4:$C$203,$B211,J$4:J$203)</f>
        <v>0</v>
      </c>
      <c r="K211" s="326"/>
      <c r="L211" s="326">
        <f t="shared" ref="L211:U220" si="298">SUMIF($C$4:$C$203,$B211,L$4:L$203)</f>
        <v>0</v>
      </c>
      <c r="M211" s="326">
        <f t="shared" si="298"/>
        <v>0</v>
      </c>
      <c r="N211" s="326">
        <f t="shared" si="298"/>
        <v>0</v>
      </c>
      <c r="O211" s="326">
        <f t="shared" si="298"/>
        <v>0</v>
      </c>
      <c r="P211" s="326">
        <f t="shared" si="298"/>
        <v>0</v>
      </c>
      <c r="Q211" s="326">
        <f t="shared" si="298"/>
        <v>0</v>
      </c>
      <c r="R211" s="326">
        <f t="shared" si="298"/>
        <v>0</v>
      </c>
      <c r="S211" s="326">
        <f t="shared" si="298"/>
        <v>0</v>
      </c>
      <c r="T211" s="326">
        <f t="shared" si="298"/>
        <v>0</v>
      </c>
      <c r="U211" s="326">
        <f t="shared" si="298"/>
        <v>0</v>
      </c>
      <c r="V211" s="326">
        <f t="shared" ref="V211:AE220" si="299">SUMIF($C$4:$C$203,$B211,V$4:V$203)</f>
        <v>0</v>
      </c>
      <c r="W211" s="326">
        <f t="shared" si="299"/>
        <v>0</v>
      </c>
      <c r="X211" s="326">
        <f t="shared" si="299"/>
        <v>0</v>
      </c>
      <c r="Y211" s="326">
        <f t="shared" si="299"/>
        <v>0</v>
      </c>
      <c r="Z211" s="326">
        <f t="shared" si="299"/>
        <v>0</v>
      </c>
      <c r="AA211" s="329">
        <f t="shared" si="299"/>
        <v>0</v>
      </c>
      <c r="AB211" s="329">
        <f t="shared" si="299"/>
        <v>0</v>
      </c>
      <c r="AC211" s="329">
        <f t="shared" si="299"/>
        <v>0</v>
      </c>
      <c r="AD211" s="329">
        <f t="shared" si="299"/>
        <v>0</v>
      </c>
      <c r="AE211" s="329">
        <f t="shared" si="299"/>
        <v>0</v>
      </c>
      <c r="AF211" s="329">
        <f t="shared" ref="AF211:AO220" si="300">SUMIF($C$4:$C$203,$B211,AF$4:AF$203)</f>
        <v>0</v>
      </c>
      <c r="AG211" s="329">
        <f t="shared" si="300"/>
        <v>0</v>
      </c>
      <c r="AH211" s="329">
        <f t="shared" si="300"/>
        <v>0</v>
      </c>
      <c r="AI211" s="329">
        <f t="shared" si="300"/>
        <v>0</v>
      </c>
      <c r="AJ211" s="329">
        <f t="shared" si="300"/>
        <v>0</v>
      </c>
      <c r="AK211" s="329">
        <f t="shared" si="300"/>
        <v>0</v>
      </c>
      <c r="AL211" s="329">
        <f t="shared" si="300"/>
        <v>0</v>
      </c>
      <c r="AM211" s="329">
        <f t="shared" si="300"/>
        <v>0</v>
      </c>
      <c r="AN211" s="329">
        <f t="shared" si="300"/>
        <v>0</v>
      </c>
      <c r="AO211" s="329">
        <f t="shared" si="300"/>
        <v>0</v>
      </c>
      <c r="AP211" s="329">
        <f t="shared" ref="AP211:AY220" si="301">SUMIF($C$4:$C$203,$B211,AP$4:AP$203)</f>
        <v>0</v>
      </c>
      <c r="AQ211" s="329">
        <f t="shared" si="301"/>
        <v>0</v>
      </c>
      <c r="AR211" s="329">
        <f t="shared" si="301"/>
        <v>0</v>
      </c>
      <c r="AS211" s="329">
        <f t="shared" si="301"/>
        <v>0</v>
      </c>
      <c r="AT211" s="329">
        <f t="shared" si="301"/>
        <v>0</v>
      </c>
      <c r="AU211" s="329">
        <f t="shared" si="301"/>
        <v>0</v>
      </c>
      <c r="AV211" s="329">
        <f t="shared" si="301"/>
        <v>0</v>
      </c>
      <c r="AW211" s="329">
        <f t="shared" si="301"/>
        <v>0</v>
      </c>
      <c r="AX211" s="329">
        <f t="shared" si="301"/>
        <v>0</v>
      </c>
      <c r="AY211" s="329">
        <f t="shared" si="301"/>
        <v>0</v>
      </c>
      <c r="AZ211" s="329">
        <f t="shared" ref="AZ211:BI220" si="302">SUMIF($C$4:$C$203,$B211,AZ$4:AZ$203)</f>
        <v>0</v>
      </c>
      <c r="BA211" s="329">
        <f t="shared" si="302"/>
        <v>0</v>
      </c>
      <c r="BB211" s="329">
        <f t="shared" si="302"/>
        <v>0</v>
      </c>
      <c r="BC211" s="329">
        <f t="shared" si="302"/>
        <v>0</v>
      </c>
      <c r="BD211" s="329">
        <f t="shared" si="302"/>
        <v>0</v>
      </c>
      <c r="BE211" s="329">
        <f t="shared" si="302"/>
        <v>0</v>
      </c>
      <c r="BF211" s="329">
        <f t="shared" si="302"/>
        <v>0</v>
      </c>
      <c r="BG211" s="329">
        <f t="shared" si="302"/>
        <v>0</v>
      </c>
      <c r="BH211" s="329">
        <f t="shared" si="302"/>
        <v>0</v>
      </c>
      <c r="BI211" s="329">
        <f t="shared" si="302"/>
        <v>0</v>
      </c>
      <c r="BJ211" s="329">
        <f t="shared" ref="BJ211:BS220" si="303">SUMIF($C$4:$C$203,$B211,BJ$4:BJ$203)</f>
        <v>0</v>
      </c>
      <c r="BK211" s="329">
        <f t="shared" si="303"/>
        <v>0</v>
      </c>
      <c r="BL211" s="329">
        <f t="shared" si="303"/>
        <v>0</v>
      </c>
      <c r="BM211" s="329">
        <f t="shared" si="303"/>
        <v>0</v>
      </c>
      <c r="BN211" s="329">
        <f t="shared" si="303"/>
        <v>0</v>
      </c>
      <c r="BO211" s="329">
        <f t="shared" si="303"/>
        <v>0</v>
      </c>
      <c r="BP211" s="329">
        <f t="shared" si="303"/>
        <v>0</v>
      </c>
      <c r="BQ211" s="329">
        <f t="shared" si="303"/>
        <v>0</v>
      </c>
      <c r="BR211" s="329">
        <f t="shared" si="303"/>
        <v>0</v>
      </c>
      <c r="BS211" s="329">
        <f t="shared" si="303"/>
        <v>0</v>
      </c>
      <c r="BT211" s="329">
        <f t="shared" ref="BT211:CC220" si="304">SUMIF($C$4:$C$203,$B211,BT$4:BT$203)</f>
        <v>0</v>
      </c>
      <c r="BU211" s="329">
        <f t="shared" si="304"/>
        <v>0</v>
      </c>
      <c r="BV211" s="329">
        <f t="shared" si="304"/>
        <v>0</v>
      </c>
      <c r="BW211" s="329">
        <f t="shared" si="304"/>
        <v>0</v>
      </c>
      <c r="BX211" s="329">
        <f t="shared" si="304"/>
        <v>0</v>
      </c>
      <c r="BY211" s="329">
        <f t="shared" si="304"/>
        <v>0</v>
      </c>
      <c r="BZ211" s="329">
        <f t="shared" si="304"/>
        <v>0</v>
      </c>
      <c r="CA211" s="329">
        <f t="shared" si="304"/>
        <v>0</v>
      </c>
      <c r="CB211" s="329">
        <f t="shared" si="304"/>
        <v>0</v>
      </c>
      <c r="CC211" s="329">
        <f t="shared" si="304"/>
        <v>0</v>
      </c>
      <c r="CD211" s="329">
        <f t="shared" ref="CD211:CM220" si="305">SUMIF($C$4:$C$203,$B211,CD$4:CD$203)</f>
        <v>0</v>
      </c>
      <c r="CE211" s="329">
        <f t="shared" si="305"/>
        <v>0</v>
      </c>
      <c r="CF211" s="329">
        <f t="shared" si="305"/>
        <v>0</v>
      </c>
      <c r="CG211" s="329">
        <f t="shared" si="305"/>
        <v>0</v>
      </c>
      <c r="CH211" s="329">
        <f t="shared" si="305"/>
        <v>0</v>
      </c>
      <c r="CI211" s="329">
        <f t="shared" si="305"/>
        <v>0</v>
      </c>
      <c r="CJ211" s="329">
        <f t="shared" si="305"/>
        <v>0</v>
      </c>
      <c r="CK211" s="329">
        <f t="shared" si="305"/>
        <v>0</v>
      </c>
      <c r="CL211" s="329">
        <f t="shared" si="305"/>
        <v>0</v>
      </c>
      <c r="CM211" s="329">
        <f t="shared" si="305"/>
        <v>0</v>
      </c>
      <c r="CN211" s="329">
        <f t="shared" ref="CN211:CT220" si="306">SUMIF($C$4:$C$203,$B211,CN$4:CN$203)</f>
        <v>0</v>
      </c>
      <c r="CO211" s="329">
        <f t="shared" si="306"/>
        <v>0</v>
      </c>
      <c r="CP211" s="329">
        <f t="shared" si="306"/>
        <v>0</v>
      </c>
      <c r="CQ211" s="329">
        <f t="shared" si="306"/>
        <v>0</v>
      </c>
      <c r="CR211" s="329">
        <f t="shared" si="306"/>
        <v>0</v>
      </c>
      <c r="CS211" s="329">
        <f t="shared" si="306"/>
        <v>0</v>
      </c>
      <c r="CT211" s="329">
        <f t="shared" si="306"/>
        <v>0</v>
      </c>
      <c r="CU211" s="217"/>
      <c r="CV211" s="217"/>
      <c r="CW211" s="217"/>
      <c r="CX211" s="217"/>
      <c r="CY211" s="217"/>
      <c r="CZ211" s="217"/>
      <c r="DA211" s="217"/>
      <c r="DB211" s="217"/>
      <c r="DC211" s="217"/>
      <c r="DD211" s="217"/>
      <c r="DE211" s="217"/>
      <c r="DF211" s="217"/>
      <c r="DG211" s="217"/>
      <c r="DH211" s="217"/>
      <c r="DI211" s="217"/>
      <c r="DJ211" s="217"/>
      <c r="DK211" s="217"/>
      <c r="DL211" s="217"/>
      <c r="DM211" s="217"/>
      <c r="DN211" s="217"/>
      <c r="DO211" s="217"/>
      <c r="DP211" s="217"/>
      <c r="DQ211" s="217"/>
      <c r="DR211" s="217"/>
      <c r="DS211" s="217"/>
      <c r="DT211" s="217"/>
    </row>
    <row r="212" spans="1:124" x14ac:dyDescent="0.3">
      <c r="A212" s="217"/>
      <c r="B212" s="221">
        <f>Inputs!D16</f>
        <v>0</v>
      </c>
      <c r="C212" s="221"/>
      <c r="D212" s="221"/>
      <c r="E212" s="221"/>
      <c r="F212" s="221"/>
      <c r="G212" s="221"/>
      <c r="H212" s="221"/>
      <c r="I212" s="221"/>
      <c r="J212" s="326">
        <f t="shared" si="297"/>
        <v>0</v>
      </c>
      <c r="K212" s="326"/>
      <c r="L212" s="326">
        <f t="shared" si="298"/>
        <v>0</v>
      </c>
      <c r="M212" s="326">
        <f t="shared" si="298"/>
        <v>0</v>
      </c>
      <c r="N212" s="326">
        <f t="shared" si="298"/>
        <v>0</v>
      </c>
      <c r="O212" s="326">
        <f t="shared" si="298"/>
        <v>0</v>
      </c>
      <c r="P212" s="326">
        <f t="shared" si="298"/>
        <v>0</v>
      </c>
      <c r="Q212" s="326">
        <f t="shared" si="298"/>
        <v>0</v>
      </c>
      <c r="R212" s="326">
        <f t="shared" si="298"/>
        <v>0</v>
      </c>
      <c r="S212" s="326">
        <f t="shared" si="298"/>
        <v>0</v>
      </c>
      <c r="T212" s="326">
        <f t="shared" si="298"/>
        <v>0</v>
      </c>
      <c r="U212" s="326">
        <f t="shared" si="298"/>
        <v>0</v>
      </c>
      <c r="V212" s="326">
        <f t="shared" si="299"/>
        <v>0</v>
      </c>
      <c r="W212" s="326">
        <f t="shared" si="299"/>
        <v>0</v>
      </c>
      <c r="X212" s="326">
        <f t="shared" si="299"/>
        <v>0</v>
      </c>
      <c r="Y212" s="326">
        <f t="shared" si="299"/>
        <v>0</v>
      </c>
      <c r="Z212" s="326">
        <f t="shared" si="299"/>
        <v>0</v>
      </c>
      <c r="AA212" s="329">
        <f t="shared" si="299"/>
        <v>0</v>
      </c>
      <c r="AB212" s="329">
        <f t="shared" si="299"/>
        <v>0</v>
      </c>
      <c r="AC212" s="329">
        <f t="shared" si="299"/>
        <v>0</v>
      </c>
      <c r="AD212" s="329">
        <f t="shared" si="299"/>
        <v>0</v>
      </c>
      <c r="AE212" s="329">
        <f t="shared" si="299"/>
        <v>0</v>
      </c>
      <c r="AF212" s="329">
        <f t="shared" si="300"/>
        <v>0</v>
      </c>
      <c r="AG212" s="329">
        <f t="shared" si="300"/>
        <v>0</v>
      </c>
      <c r="AH212" s="329">
        <f t="shared" si="300"/>
        <v>0</v>
      </c>
      <c r="AI212" s="329">
        <f t="shared" si="300"/>
        <v>0</v>
      </c>
      <c r="AJ212" s="329">
        <f t="shared" si="300"/>
        <v>0</v>
      </c>
      <c r="AK212" s="329">
        <f t="shared" si="300"/>
        <v>0</v>
      </c>
      <c r="AL212" s="329">
        <f t="shared" si="300"/>
        <v>0</v>
      </c>
      <c r="AM212" s="329">
        <f t="shared" si="300"/>
        <v>0</v>
      </c>
      <c r="AN212" s="329">
        <f t="shared" si="300"/>
        <v>0</v>
      </c>
      <c r="AO212" s="329">
        <f t="shared" si="300"/>
        <v>0</v>
      </c>
      <c r="AP212" s="329">
        <f t="shared" si="301"/>
        <v>0</v>
      </c>
      <c r="AQ212" s="329">
        <f t="shared" si="301"/>
        <v>0</v>
      </c>
      <c r="AR212" s="329">
        <f t="shared" si="301"/>
        <v>0</v>
      </c>
      <c r="AS212" s="329">
        <f t="shared" si="301"/>
        <v>0</v>
      </c>
      <c r="AT212" s="329">
        <f t="shared" si="301"/>
        <v>0</v>
      </c>
      <c r="AU212" s="329">
        <f t="shared" si="301"/>
        <v>0</v>
      </c>
      <c r="AV212" s="329">
        <f t="shared" si="301"/>
        <v>0</v>
      </c>
      <c r="AW212" s="329">
        <f t="shared" si="301"/>
        <v>0</v>
      </c>
      <c r="AX212" s="329">
        <f t="shared" si="301"/>
        <v>0</v>
      </c>
      <c r="AY212" s="329">
        <f t="shared" si="301"/>
        <v>0</v>
      </c>
      <c r="AZ212" s="329">
        <f t="shared" si="302"/>
        <v>0</v>
      </c>
      <c r="BA212" s="329">
        <f t="shared" si="302"/>
        <v>0</v>
      </c>
      <c r="BB212" s="329">
        <f t="shared" si="302"/>
        <v>0</v>
      </c>
      <c r="BC212" s="329">
        <f t="shared" si="302"/>
        <v>0</v>
      </c>
      <c r="BD212" s="329">
        <f t="shared" si="302"/>
        <v>0</v>
      </c>
      <c r="BE212" s="329">
        <f t="shared" si="302"/>
        <v>0</v>
      </c>
      <c r="BF212" s="329">
        <f t="shared" si="302"/>
        <v>0</v>
      </c>
      <c r="BG212" s="329">
        <f t="shared" si="302"/>
        <v>0</v>
      </c>
      <c r="BH212" s="329">
        <f t="shared" si="302"/>
        <v>0</v>
      </c>
      <c r="BI212" s="329">
        <f t="shared" si="302"/>
        <v>0</v>
      </c>
      <c r="BJ212" s="329">
        <f t="shared" si="303"/>
        <v>0</v>
      </c>
      <c r="BK212" s="329">
        <f t="shared" si="303"/>
        <v>0</v>
      </c>
      <c r="BL212" s="329">
        <f t="shared" si="303"/>
        <v>0</v>
      </c>
      <c r="BM212" s="329">
        <f t="shared" si="303"/>
        <v>0</v>
      </c>
      <c r="BN212" s="329">
        <f t="shared" si="303"/>
        <v>0</v>
      </c>
      <c r="BO212" s="329">
        <f t="shared" si="303"/>
        <v>0</v>
      </c>
      <c r="BP212" s="329">
        <f t="shared" si="303"/>
        <v>0</v>
      </c>
      <c r="BQ212" s="329">
        <f t="shared" si="303"/>
        <v>0</v>
      </c>
      <c r="BR212" s="329">
        <f t="shared" si="303"/>
        <v>0</v>
      </c>
      <c r="BS212" s="329">
        <f t="shared" si="303"/>
        <v>0</v>
      </c>
      <c r="BT212" s="329">
        <f t="shared" si="304"/>
        <v>0</v>
      </c>
      <c r="BU212" s="329">
        <f t="shared" si="304"/>
        <v>0</v>
      </c>
      <c r="BV212" s="329">
        <f t="shared" si="304"/>
        <v>0</v>
      </c>
      <c r="BW212" s="329">
        <f t="shared" si="304"/>
        <v>0</v>
      </c>
      <c r="BX212" s="329">
        <f t="shared" si="304"/>
        <v>0</v>
      </c>
      <c r="BY212" s="329">
        <f t="shared" si="304"/>
        <v>0</v>
      </c>
      <c r="BZ212" s="329">
        <f t="shared" si="304"/>
        <v>0</v>
      </c>
      <c r="CA212" s="329">
        <f t="shared" si="304"/>
        <v>0</v>
      </c>
      <c r="CB212" s="329">
        <f t="shared" si="304"/>
        <v>0</v>
      </c>
      <c r="CC212" s="329">
        <f t="shared" si="304"/>
        <v>0</v>
      </c>
      <c r="CD212" s="329">
        <f t="shared" si="305"/>
        <v>0</v>
      </c>
      <c r="CE212" s="329">
        <f t="shared" si="305"/>
        <v>0</v>
      </c>
      <c r="CF212" s="329">
        <f t="shared" si="305"/>
        <v>0</v>
      </c>
      <c r="CG212" s="329">
        <f t="shared" si="305"/>
        <v>0</v>
      </c>
      <c r="CH212" s="329">
        <f t="shared" si="305"/>
        <v>0</v>
      </c>
      <c r="CI212" s="329">
        <f t="shared" si="305"/>
        <v>0</v>
      </c>
      <c r="CJ212" s="329">
        <f t="shared" si="305"/>
        <v>0</v>
      </c>
      <c r="CK212" s="329">
        <f t="shared" si="305"/>
        <v>0</v>
      </c>
      <c r="CL212" s="329">
        <f t="shared" si="305"/>
        <v>0</v>
      </c>
      <c r="CM212" s="329">
        <f t="shared" si="305"/>
        <v>0</v>
      </c>
      <c r="CN212" s="329">
        <f t="shared" si="306"/>
        <v>0</v>
      </c>
      <c r="CO212" s="329">
        <f t="shared" si="306"/>
        <v>0</v>
      </c>
      <c r="CP212" s="329">
        <f t="shared" si="306"/>
        <v>0</v>
      </c>
      <c r="CQ212" s="329">
        <f t="shared" si="306"/>
        <v>0</v>
      </c>
      <c r="CR212" s="329">
        <f t="shared" si="306"/>
        <v>0</v>
      </c>
      <c r="CS212" s="329">
        <f t="shared" si="306"/>
        <v>0</v>
      </c>
      <c r="CT212" s="329">
        <f t="shared" si="306"/>
        <v>0</v>
      </c>
      <c r="CU212" s="217"/>
      <c r="CV212" s="217"/>
      <c r="CW212" s="217"/>
      <c r="CX212" s="217"/>
      <c r="CY212" s="217"/>
      <c r="CZ212" s="217"/>
      <c r="DA212" s="217"/>
      <c r="DB212" s="217"/>
      <c r="DC212" s="217"/>
      <c r="DD212" s="217"/>
      <c r="DE212" s="217"/>
      <c r="DF212" s="217"/>
      <c r="DG212" s="217"/>
      <c r="DH212" s="217"/>
      <c r="DI212" s="217"/>
      <c r="DJ212" s="217"/>
      <c r="DK212" s="217"/>
      <c r="DL212" s="217"/>
      <c r="DM212" s="217"/>
      <c r="DN212" s="217"/>
      <c r="DO212" s="217"/>
      <c r="DP212" s="217"/>
      <c r="DQ212" s="217"/>
      <c r="DR212" s="217"/>
      <c r="DS212" s="217"/>
      <c r="DT212" s="217"/>
    </row>
    <row r="213" spans="1:124" x14ac:dyDescent="0.3">
      <c r="A213" s="217"/>
      <c r="B213" s="221">
        <f>Inputs!D17</f>
        <v>0</v>
      </c>
      <c r="C213" s="221"/>
      <c r="D213" s="221"/>
      <c r="E213" s="221"/>
      <c r="F213" s="221"/>
      <c r="G213" s="221"/>
      <c r="H213" s="221"/>
      <c r="I213" s="221"/>
      <c r="J213" s="326">
        <f t="shared" si="297"/>
        <v>0</v>
      </c>
      <c r="K213" s="326"/>
      <c r="L213" s="326">
        <f t="shared" si="298"/>
        <v>0</v>
      </c>
      <c r="M213" s="326">
        <f t="shared" si="298"/>
        <v>0</v>
      </c>
      <c r="N213" s="326">
        <f t="shared" si="298"/>
        <v>0</v>
      </c>
      <c r="O213" s="326">
        <f t="shared" si="298"/>
        <v>0</v>
      </c>
      <c r="P213" s="326">
        <f t="shared" si="298"/>
        <v>0</v>
      </c>
      <c r="Q213" s="326">
        <f t="shared" si="298"/>
        <v>0</v>
      </c>
      <c r="R213" s="326">
        <f t="shared" si="298"/>
        <v>0</v>
      </c>
      <c r="S213" s="326">
        <f t="shared" si="298"/>
        <v>0</v>
      </c>
      <c r="T213" s="326">
        <f t="shared" si="298"/>
        <v>0</v>
      </c>
      <c r="U213" s="326">
        <f t="shared" si="298"/>
        <v>0</v>
      </c>
      <c r="V213" s="326">
        <f t="shared" si="299"/>
        <v>0</v>
      </c>
      <c r="W213" s="326">
        <f t="shared" si="299"/>
        <v>0</v>
      </c>
      <c r="X213" s="326">
        <f t="shared" si="299"/>
        <v>0</v>
      </c>
      <c r="Y213" s="326">
        <f t="shared" si="299"/>
        <v>0</v>
      </c>
      <c r="Z213" s="326">
        <f t="shared" si="299"/>
        <v>0</v>
      </c>
      <c r="AA213" s="329">
        <f t="shared" si="299"/>
        <v>0</v>
      </c>
      <c r="AB213" s="329">
        <f t="shared" si="299"/>
        <v>0</v>
      </c>
      <c r="AC213" s="329">
        <f t="shared" si="299"/>
        <v>0</v>
      </c>
      <c r="AD213" s="329">
        <f t="shared" si="299"/>
        <v>0</v>
      </c>
      <c r="AE213" s="329">
        <f t="shared" si="299"/>
        <v>0</v>
      </c>
      <c r="AF213" s="329">
        <f t="shared" si="300"/>
        <v>0</v>
      </c>
      <c r="AG213" s="329">
        <f t="shared" si="300"/>
        <v>0</v>
      </c>
      <c r="AH213" s="329">
        <f t="shared" si="300"/>
        <v>0</v>
      </c>
      <c r="AI213" s="329">
        <f t="shared" si="300"/>
        <v>0</v>
      </c>
      <c r="AJ213" s="329">
        <f t="shared" si="300"/>
        <v>0</v>
      </c>
      <c r="AK213" s="329">
        <f t="shared" si="300"/>
        <v>0</v>
      </c>
      <c r="AL213" s="329">
        <f t="shared" si="300"/>
        <v>0</v>
      </c>
      <c r="AM213" s="329">
        <f t="shared" si="300"/>
        <v>0</v>
      </c>
      <c r="AN213" s="329">
        <f t="shared" si="300"/>
        <v>0</v>
      </c>
      <c r="AO213" s="329">
        <f t="shared" si="300"/>
        <v>0</v>
      </c>
      <c r="AP213" s="329">
        <f t="shared" si="301"/>
        <v>0</v>
      </c>
      <c r="AQ213" s="329">
        <f t="shared" si="301"/>
        <v>0</v>
      </c>
      <c r="AR213" s="329">
        <f t="shared" si="301"/>
        <v>0</v>
      </c>
      <c r="AS213" s="329">
        <f t="shared" si="301"/>
        <v>0</v>
      </c>
      <c r="AT213" s="329">
        <f t="shared" si="301"/>
        <v>0</v>
      </c>
      <c r="AU213" s="329">
        <f t="shared" si="301"/>
        <v>0</v>
      </c>
      <c r="AV213" s="329">
        <f t="shared" si="301"/>
        <v>0</v>
      </c>
      <c r="AW213" s="329">
        <f t="shared" si="301"/>
        <v>0</v>
      </c>
      <c r="AX213" s="329">
        <f t="shared" si="301"/>
        <v>0</v>
      </c>
      <c r="AY213" s="329">
        <f t="shared" si="301"/>
        <v>0</v>
      </c>
      <c r="AZ213" s="329">
        <f t="shared" si="302"/>
        <v>0</v>
      </c>
      <c r="BA213" s="329">
        <f t="shared" si="302"/>
        <v>0</v>
      </c>
      <c r="BB213" s="329">
        <f t="shared" si="302"/>
        <v>0</v>
      </c>
      <c r="BC213" s="329">
        <f t="shared" si="302"/>
        <v>0</v>
      </c>
      <c r="BD213" s="329">
        <f t="shared" si="302"/>
        <v>0</v>
      </c>
      <c r="BE213" s="329">
        <f t="shared" si="302"/>
        <v>0</v>
      </c>
      <c r="BF213" s="329">
        <f t="shared" si="302"/>
        <v>0</v>
      </c>
      <c r="BG213" s="329">
        <f t="shared" si="302"/>
        <v>0</v>
      </c>
      <c r="BH213" s="329">
        <f t="shared" si="302"/>
        <v>0</v>
      </c>
      <c r="BI213" s="329">
        <f t="shared" si="302"/>
        <v>0</v>
      </c>
      <c r="BJ213" s="329">
        <f t="shared" si="303"/>
        <v>0</v>
      </c>
      <c r="BK213" s="329">
        <f t="shared" si="303"/>
        <v>0</v>
      </c>
      <c r="BL213" s="329">
        <f t="shared" si="303"/>
        <v>0</v>
      </c>
      <c r="BM213" s="329">
        <f t="shared" si="303"/>
        <v>0</v>
      </c>
      <c r="BN213" s="329">
        <f t="shared" si="303"/>
        <v>0</v>
      </c>
      <c r="BO213" s="329">
        <f t="shared" si="303"/>
        <v>0</v>
      </c>
      <c r="BP213" s="329">
        <f t="shared" si="303"/>
        <v>0</v>
      </c>
      <c r="BQ213" s="329">
        <f t="shared" si="303"/>
        <v>0</v>
      </c>
      <c r="BR213" s="329">
        <f t="shared" si="303"/>
        <v>0</v>
      </c>
      <c r="BS213" s="329">
        <f t="shared" si="303"/>
        <v>0</v>
      </c>
      <c r="BT213" s="329">
        <f t="shared" si="304"/>
        <v>0</v>
      </c>
      <c r="BU213" s="329">
        <f t="shared" si="304"/>
        <v>0</v>
      </c>
      <c r="BV213" s="329">
        <f t="shared" si="304"/>
        <v>0</v>
      </c>
      <c r="BW213" s="329">
        <f t="shared" si="304"/>
        <v>0</v>
      </c>
      <c r="BX213" s="329">
        <f t="shared" si="304"/>
        <v>0</v>
      </c>
      <c r="BY213" s="329">
        <f t="shared" si="304"/>
        <v>0</v>
      </c>
      <c r="BZ213" s="329">
        <f t="shared" si="304"/>
        <v>0</v>
      </c>
      <c r="CA213" s="329">
        <f t="shared" si="304"/>
        <v>0</v>
      </c>
      <c r="CB213" s="329">
        <f t="shared" si="304"/>
        <v>0</v>
      </c>
      <c r="CC213" s="329">
        <f t="shared" si="304"/>
        <v>0</v>
      </c>
      <c r="CD213" s="329">
        <f t="shared" si="305"/>
        <v>0</v>
      </c>
      <c r="CE213" s="329">
        <f t="shared" si="305"/>
        <v>0</v>
      </c>
      <c r="CF213" s="329">
        <f t="shared" si="305"/>
        <v>0</v>
      </c>
      <c r="CG213" s="329">
        <f t="shared" si="305"/>
        <v>0</v>
      </c>
      <c r="CH213" s="329">
        <f t="shared" si="305"/>
        <v>0</v>
      </c>
      <c r="CI213" s="329">
        <f t="shared" si="305"/>
        <v>0</v>
      </c>
      <c r="CJ213" s="329">
        <f t="shared" si="305"/>
        <v>0</v>
      </c>
      <c r="CK213" s="329">
        <f t="shared" si="305"/>
        <v>0</v>
      </c>
      <c r="CL213" s="329">
        <f t="shared" si="305"/>
        <v>0</v>
      </c>
      <c r="CM213" s="329">
        <f t="shared" si="305"/>
        <v>0</v>
      </c>
      <c r="CN213" s="329">
        <f t="shared" si="306"/>
        <v>0</v>
      </c>
      <c r="CO213" s="329">
        <f t="shared" si="306"/>
        <v>0</v>
      </c>
      <c r="CP213" s="329">
        <f t="shared" si="306"/>
        <v>0</v>
      </c>
      <c r="CQ213" s="329">
        <f t="shared" si="306"/>
        <v>0</v>
      </c>
      <c r="CR213" s="329">
        <f t="shared" si="306"/>
        <v>0</v>
      </c>
      <c r="CS213" s="329">
        <f t="shared" si="306"/>
        <v>0</v>
      </c>
      <c r="CT213" s="329">
        <f t="shared" si="306"/>
        <v>0</v>
      </c>
      <c r="CU213" s="217"/>
      <c r="CV213" s="217"/>
      <c r="CW213" s="217"/>
      <c r="CX213" s="217"/>
      <c r="CY213" s="217"/>
      <c r="CZ213" s="217"/>
      <c r="DA213" s="217"/>
      <c r="DB213" s="217"/>
      <c r="DC213" s="217"/>
      <c r="DD213" s="217"/>
      <c r="DE213" s="217"/>
      <c r="DF213" s="217"/>
      <c r="DG213" s="217"/>
      <c r="DH213" s="217"/>
      <c r="DI213" s="217"/>
      <c r="DJ213" s="217"/>
      <c r="DK213" s="217"/>
      <c r="DL213" s="217"/>
      <c r="DM213" s="217"/>
      <c r="DN213" s="217"/>
      <c r="DO213" s="217"/>
      <c r="DP213" s="217"/>
      <c r="DQ213" s="217"/>
      <c r="DR213" s="217"/>
      <c r="DS213" s="217"/>
      <c r="DT213" s="217"/>
    </row>
    <row r="214" spans="1:124" x14ac:dyDescent="0.3">
      <c r="A214" s="217"/>
      <c r="B214" s="221">
        <f>Inputs!D18</f>
        <v>0</v>
      </c>
      <c r="C214" s="221"/>
      <c r="D214" s="221"/>
      <c r="E214" s="221"/>
      <c r="F214" s="221"/>
      <c r="G214" s="221"/>
      <c r="H214" s="221"/>
      <c r="I214" s="221"/>
      <c r="J214" s="326">
        <f t="shared" si="297"/>
        <v>0</v>
      </c>
      <c r="K214" s="326"/>
      <c r="L214" s="326">
        <f t="shared" si="298"/>
        <v>0</v>
      </c>
      <c r="M214" s="326">
        <f t="shared" si="298"/>
        <v>0</v>
      </c>
      <c r="N214" s="326">
        <f t="shared" si="298"/>
        <v>0</v>
      </c>
      <c r="O214" s="326">
        <f t="shared" si="298"/>
        <v>0</v>
      </c>
      <c r="P214" s="326">
        <f t="shared" si="298"/>
        <v>0</v>
      </c>
      <c r="Q214" s="326">
        <f t="shared" si="298"/>
        <v>0</v>
      </c>
      <c r="R214" s="326">
        <f t="shared" si="298"/>
        <v>0</v>
      </c>
      <c r="S214" s="326">
        <f t="shared" si="298"/>
        <v>0</v>
      </c>
      <c r="T214" s="326">
        <f t="shared" si="298"/>
        <v>0</v>
      </c>
      <c r="U214" s="326">
        <f t="shared" si="298"/>
        <v>0</v>
      </c>
      <c r="V214" s="326">
        <f t="shared" si="299"/>
        <v>0</v>
      </c>
      <c r="W214" s="326">
        <f t="shared" si="299"/>
        <v>0</v>
      </c>
      <c r="X214" s="326">
        <f t="shared" si="299"/>
        <v>0</v>
      </c>
      <c r="Y214" s="326">
        <f t="shared" si="299"/>
        <v>0</v>
      </c>
      <c r="Z214" s="326">
        <f t="shared" si="299"/>
        <v>0</v>
      </c>
      <c r="AA214" s="329">
        <f t="shared" si="299"/>
        <v>0</v>
      </c>
      <c r="AB214" s="329">
        <f t="shared" si="299"/>
        <v>0</v>
      </c>
      <c r="AC214" s="329">
        <f t="shared" si="299"/>
        <v>0</v>
      </c>
      <c r="AD214" s="329">
        <f t="shared" si="299"/>
        <v>0</v>
      </c>
      <c r="AE214" s="329">
        <f t="shared" si="299"/>
        <v>0</v>
      </c>
      <c r="AF214" s="329">
        <f t="shared" si="300"/>
        <v>0</v>
      </c>
      <c r="AG214" s="329">
        <f t="shared" si="300"/>
        <v>0</v>
      </c>
      <c r="AH214" s="329">
        <f t="shared" si="300"/>
        <v>0</v>
      </c>
      <c r="AI214" s="329">
        <f t="shared" si="300"/>
        <v>0</v>
      </c>
      <c r="AJ214" s="329">
        <f t="shared" si="300"/>
        <v>0</v>
      </c>
      <c r="AK214" s="329">
        <f t="shared" si="300"/>
        <v>0</v>
      </c>
      <c r="AL214" s="329">
        <f t="shared" si="300"/>
        <v>0</v>
      </c>
      <c r="AM214" s="329">
        <f t="shared" si="300"/>
        <v>0</v>
      </c>
      <c r="AN214" s="329">
        <f t="shared" si="300"/>
        <v>0</v>
      </c>
      <c r="AO214" s="329">
        <f t="shared" si="300"/>
        <v>0</v>
      </c>
      <c r="AP214" s="329">
        <f t="shared" si="301"/>
        <v>0</v>
      </c>
      <c r="AQ214" s="329">
        <f t="shared" si="301"/>
        <v>0</v>
      </c>
      <c r="AR214" s="329">
        <f t="shared" si="301"/>
        <v>0</v>
      </c>
      <c r="AS214" s="329">
        <f t="shared" si="301"/>
        <v>0</v>
      </c>
      <c r="AT214" s="329">
        <f t="shared" si="301"/>
        <v>0</v>
      </c>
      <c r="AU214" s="329">
        <f t="shared" si="301"/>
        <v>0</v>
      </c>
      <c r="AV214" s="329">
        <f t="shared" si="301"/>
        <v>0</v>
      </c>
      <c r="AW214" s="329">
        <f t="shared" si="301"/>
        <v>0</v>
      </c>
      <c r="AX214" s="329">
        <f t="shared" si="301"/>
        <v>0</v>
      </c>
      <c r="AY214" s="329">
        <f t="shared" si="301"/>
        <v>0</v>
      </c>
      <c r="AZ214" s="329">
        <f t="shared" si="302"/>
        <v>0</v>
      </c>
      <c r="BA214" s="329">
        <f t="shared" si="302"/>
        <v>0</v>
      </c>
      <c r="BB214" s="329">
        <f t="shared" si="302"/>
        <v>0</v>
      </c>
      <c r="BC214" s="329">
        <f t="shared" si="302"/>
        <v>0</v>
      </c>
      <c r="BD214" s="329">
        <f t="shared" si="302"/>
        <v>0</v>
      </c>
      <c r="BE214" s="329">
        <f t="shared" si="302"/>
        <v>0</v>
      </c>
      <c r="BF214" s="329">
        <f t="shared" si="302"/>
        <v>0</v>
      </c>
      <c r="BG214" s="329">
        <f t="shared" si="302"/>
        <v>0</v>
      </c>
      <c r="BH214" s="329">
        <f t="shared" si="302"/>
        <v>0</v>
      </c>
      <c r="BI214" s="329">
        <f t="shared" si="302"/>
        <v>0</v>
      </c>
      <c r="BJ214" s="329">
        <f t="shared" si="303"/>
        <v>0</v>
      </c>
      <c r="BK214" s="329">
        <f t="shared" si="303"/>
        <v>0</v>
      </c>
      <c r="BL214" s="329">
        <f t="shared" si="303"/>
        <v>0</v>
      </c>
      <c r="BM214" s="329">
        <f t="shared" si="303"/>
        <v>0</v>
      </c>
      <c r="BN214" s="329">
        <f t="shared" si="303"/>
        <v>0</v>
      </c>
      <c r="BO214" s="329">
        <f t="shared" si="303"/>
        <v>0</v>
      </c>
      <c r="BP214" s="329">
        <f t="shared" si="303"/>
        <v>0</v>
      </c>
      <c r="BQ214" s="329">
        <f t="shared" si="303"/>
        <v>0</v>
      </c>
      <c r="BR214" s="329">
        <f t="shared" si="303"/>
        <v>0</v>
      </c>
      <c r="BS214" s="329">
        <f t="shared" si="303"/>
        <v>0</v>
      </c>
      <c r="BT214" s="329">
        <f t="shared" si="304"/>
        <v>0</v>
      </c>
      <c r="BU214" s="329">
        <f t="shared" si="304"/>
        <v>0</v>
      </c>
      <c r="BV214" s="329">
        <f t="shared" si="304"/>
        <v>0</v>
      </c>
      <c r="BW214" s="329">
        <f t="shared" si="304"/>
        <v>0</v>
      </c>
      <c r="BX214" s="329">
        <f t="shared" si="304"/>
        <v>0</v>
      </c>
      <c r="BY214" s="329">
        <f t="shared" si="304"/>
        <v>0</v>
      </c>
      <c r="BZ214" s="329">
        <f t="shared" si="304"/>
        <v>0</v>
      </c>
      <c r="CA214" s="329">
        <f t="shared" si="304"/>
        <v>0</v>
      </c>
      <c r="CB214" s="329">
        <f t="shared" si="304"/>
        <v>0</v>
      </c>
      <c r="CC214" s="329">
        <f t="shared" si="304"/>
        <v>0</v>
      </c>
      <c r="CD214" s="329">
        <f t="shared" si="305"/>
        <v>0</v>
      </c>
      <c r="CE214" s="329">
        <f t="shared" si="305"/>
        <v>0</v>
      </c>
      <c r="CF214" s="329">
        <f t="shared" si="305"/>
        <v>0</v>
      </c>
      <c r="CG214" s="329">
        <f t="shared" si="305"/>
        <v>0</v>
      </c>
      <c r="CH214" s="329">
        <f t="shared" si="305"/>
        <v>0</v>
      </c>
      <c r="CI214" s="329">
        <f t="shared" si="305"/>
        <v>0</v>
      </c>
      <c r="CJ214" s="329">
        <f t="shared" si="305"/>
        <v>0</v>
      </c>
      <c r="CK214" s="329">
        <f t="shared" si="305"/>
        <v>0</v>
      </c>
      <c r="CL214" s="329">
        <f t="shared" si="305"/>
        <v>0</v>
      </c>
      <c r="CM214" s="329">
        <f t="shared" si="305"/>
        <v>0</v>
      </c>
      <c r="CN214" s="329">
        <f t="shared" si="306"/>
        <v>0</v>
      </c>
      <c r="CO214" s="329">
        <f t="shared" si="306"/>
        <v>0</v>
      </c>
      <c r="CP214" s="329">
        <f t="shared" si="306"/>
        <v>0</v>
      </c>
      <c r="CQ214" s="329">
        <f t="shared" si="306"/>
        <v>0</v>
      </c>
      <c r="CR214" s="329">
        <f t="shared" si="306"/>
        <v>0</v>
      </c>
      <c r="CS214" s="329">
        <f t="shared" si="306"/>
        <v>0</v>
      </c>
      <c r="CT214" s="329">
        <f t="shared" si="306"/>
        <v>0</v>
      </c>
      <c r="CU214" s="217"/>
      <c r="CV214" s="217"/>
      <c r="CW214" s="217"/>
      <c r="CX214" s="217"/>
      <c r="CY214" s="217"/>
      <c r="CZ214" s="217"/>
      <c r="DA214" s="217"/>
      <c r="DB214" s="217"/>
      <c r="DC214" s="217"/>
      <c r="DD214" s="217"/>
      <c r="DE214" s="217"/>
      <c r="DF214" s="217"/>
      <c r="DG214" s="217"/>
      <c r="DH214" s="217"/>
      <c r="DI214" s="217"/>
      <c r="DJ214" s="217"/>
      <c r="DK214" s="217"/>
      <c r="DL214" s="217"/>
      <c r="DM214" s="217"/>
      <c r="DN214" s="217"/>
      <c r="DO214" s="217"/>
      <c r="DP214" s="217"/>
      <c r="DQ214" s="217"/>
      <c r="DR214" s="217"/>
      <c r="DS214" s="217"/>
      <c r="DT214" s="217"/>
    </row>
    <row r="215" spans="1:124" x14ac:dyDescent="0.3">
      <c r="A215" s="217"/>
      <c r="B215" s="221">
        <f>Inputs!D19</f>
        <v>0</v>
      </c>
      <c r="C215" s="221"/>
      <c r="D215" s="221"/>
      <c r="E215" s="221"/>
      <c r="F215" s="221"/>
      <c r="G215" s="221"/>
      <c r="H215" s="221"/>
      <c r="I215" s="221"/>
      <c r="J215" s="326">
        <f t="shared" si="297"/>
        <v>0</v>
      </c>
      <c r="K215" s="326"/>
      <c r="L215" s="326">
        <f t="shared" si="298"/>
        <v>0</v>
      </c>
      <c r="M215" s="326">
        <f t="shared" si="298"/>
        <v>0</v>
      </c>
      <c r="N215" s="326">
        <f t="shared" si="298"/>
        <v>0</v>
      </c>
      <c r="O215" s="326">
        <f t="shared" si="298"/>
        <v>0</v>
      </c>
      <c r="P215" s="326">
        <f t="shared" si="298"/>
        <v>0</v>
      </c>
      <c r="Q215" s="326">
        <f t="shared" si="298"/>
        <v>0</v>
      </c>
      <c r="R215" s="326">
        <f t="shared" si="298"/>
        <v>0</v>
      </c>
      <c r="S215" s="326">
        <f t="shared" si="298"/>
        <v>0</v>
      </c>
      <c r="T215" s="326">
        <f t="shared" si="298"/>
        <v>0</v>
      </c>
      <c r="U215" s="326">
        <f t="shared" si="298"/>
        <v>0</v>
      </c>
      <c r="V215" s="326">
        <f t="shared" si="299"/>
        <v>0</v>
      </c>
      <c r="W215" s="326">
        <f t="shared" si="299"/>
        <v>0</v>
      </c>
      <c r="X215" s="326">
        <f t="shared" si="299"/>
        <v>0</v>
      </c>
      <c r="Y215" s="326">
        <f t="shared" si="299"/>
        <v>0</v>
      </c>
      <c r="Z215" s="326">
        <f t="shared" si="299"/>
        <v>0</v>
      </c>
      <c r="AA215" s="329">
        <f t="shared" si="299"/>
        <v>0</v>
      </c>
      <c r="AB215" s="329">
        <f t="shared" si="299"/>
        <v>0</v>
      </c>
      <c r="AC215" s="329">
        <f t="shared" si="299"/>
        <v>0</v>
      </c>
      <c r="AD215" s="329">
        <f t="shared" si="299"/>
        <v>0</v>
      </c>
      <c r="AE215" s="329">
        <f t="shared" si="299"/>
        <v>0</v>
      </c>
      <c r="AF215" s="329">
        <f t="shared" si="300"/>
        <v>0</v>
      </c>
      <c r="AG215" s="329">
        <f t="shared" si="300"/>
        <v>0</v>
      </c>
      <c r="AH215" s="329">
        <f t="shared" si="300"/>
        <v>0</v>
      </c>
      <c r="AI215" s="329">
        <f t="shared" si="300"/>
        <v>0</v>
      </c>
      <c r="AJ215" s="329">
        <f t="shared" si="300"/>
        <v>0</v>
      </c>
      <c r="AK215" s="329">
        <f t="shared" si="300"/>
        <v>0</v>
      </c>
      <c r="AL215" s="329">
        <f t="shared" si="300"/>
        <v>0</v>
      </c>
      <c r="AM215" s="329">
        <f t="shared" si="300"/>
        <v>0</v>
      </c>
      <c r="AN215" s="329">
        <f t="shared" si="300"/>
        <v>0</v>
      </c>
      <c r="AO215" s="329">
        <f t="shared" si="300"/>
        <v>0</v>
      </c>
      <c r="AP215" s="329">
        <f t="shared" si="301"/>
        <v>0</v>
      </c>
      <c r="AQ215" s="329">
        <f t="shared" si="301"/>
        <v>0</v>
      </c>
      <c r="AR215" s="329">
        <f t="shared" si="301"/>
        <v>0</v>
      </c>
      <c r="AS215" s="329">
        <f t="shared" si="301"/>
        <v>0</v>
      </c>
      <c r="AT215" s="329">
        <f t="shared" si="301"/>
        <v>0</v>
      </c>
      <c r="AU215" s="329">
        <f t="shared" si="301"/>
        <v>0</v>
      </c>
      <c r="AV215" s="329">
        <f t="shared" si="301"/>
        <v>0</v>
      </c>
      <c r="AW215" s="329">
        <f t="shared" si="301"/>
        <v>0</v>
      </c>
      <c r="AX215" s="329">
        <f t="shared" si="301"/>
        <v>0</v>
      </c>
      <c r="AY215" s="329">
        <f t="shared" si="301"/>
        <v>0</v>
      </c>
      <c r="AZ215" s="329">
        <f t="shared" si="302"/>
        <v>0</v>
      </c>
      <c r="BA215" s="329">
        <f t="shared" si="302"/>
        <v>0</v>
      </c>
      <c r="BB215" s="329">
        <f t="shared" si="302"/>
        <v>0</v>
      </c>
      <c r="BC215" s="329">
        <f t="shared" si="302"/>
        <v>0</v>
      </c>
      <c r="BD215" s="329">
        <f t="shared" si="302"/>
        <v>0</v>
      </c>
      <c r="BE215" s="329">
        <f t="shared" si="302"/>
        <v>0</v>
      </c>
      <c r="BF215" s="329">
        <f t="shared" si="302"/>
        <v>0</v>
      </c>
      <c r="BG215" s="329">
        <f t="shared" si="302"/>
        <v>0</v>
      </c>
      <c r="BH215" s="329">
        <f t="shared" si="302"/>
        <v>0</v>
      </c>
      <c r="BI215" s="329">
        <f t="shared" si="302"/>
        <v>0</v>
      </c>
      <c r="BJ215" s="329">
        <f t="shared" si="303"/>
        <v>0</v>
      </c>
      <c r="BK215" s="329">
        <f t="shared" si="303"/>
        <v>0</v>
      </c>
      <c r="BL215" s="329">
        <f t="shared" si="303"/>
        <v>0</v>
      </c>
      <c r="BM215" s="329">
        <f t="shared" si="303"/>
        <v>0</v>
      </c>
      <c r="BN215" s="329">
        <f t="shared" si="303"/>
        <v>0</v>
      </c>
      <c r="BO215" s="329">
        <f t="shared" si="303"/>
        <v>0</v>
      </c>
      <c r="BP215" s="329">
        <f t="shared" si="303"/>
        <v>0</v>
      </c>
      <c r="BQ215" s="329">
        <f t="shared" si="303"/>
        <v>0</v>
      </c>
      <c r="BR215" s="329">
        <f t="shared" si="303"/>
        <v>0</v>
      </c>
      <c r="BS215" s="329">
        <f t="shared" si="303"/>
        <v>0</v>
      </c>
      <c r="BT215" s="329">
        <f t="shared" si="304"/>
        <v>0</v>
      </c>
      <c r="BU215" s="329">
        <f t="shared" si="304"/>
        <v>0</v>
      </c>
      <c r="BV215" s="329">
        <f t="shared" si="304"/>
        <v>0</v>
      </c>
      <c r="BW215" s="329">
        <f t="shared" si="304"/>
        <v>0</v>
      </c>
      <c r="BX215" s="329">
        <f t="shared" si="304"/>
        <v>0</v>
      </c>
      <c r="BY215" s="329">
        <f t="shared" si="304"/>
        <v>0</v>
      </c>
      <c r="BZ215" s="329">
        <f t="shared" si="304"/>
        <v>0</v>
      </c>
      <c r="CA215" s="329">
        <f t="shared" si="304"/>
        <v>0</v>
      </c>
      <c r="CB215" s="329">
        <f t="shared" si="304"/>
        <v>0</v>
      </c>
      <c r="CC215" s="329">
        <f t="shared" si="304"/>
        <v>0</v>
      </c>
      <c r="CD215" s="329">
        <f t="shared" si="305"/>
        <v>0</v>
      </c>
      <c r="CE215" s="329">
        <f t="shared" si="305"/>
        <v>0</v>
      </c>
      <c r="CF215" s="329">
        <f t="shared" si="305"/>
        <v>0</v>
      </c>
      <c r="CG215" s="329">
        <f t="shared" si="305"/>
        <v>0</v>
      </c>
      <c r="CH215" s="329">
        <f t="shared" si="305"/>
        <v>0</v>
      </c>
      <c r="CI215" s="329">
        <f t="shared" si="305"/>
        <v>0</v>
      </c>
      <c r="CJ215" s="329">
        <f t="shared" si="305"/>
        <v>0</v>
      </c>
      <c r="CK215" s="329">
        <f t="shared" si="305"/>
        <v>0</v>
      </c>
      <c r="CL215" s="329">
        <f t="shared" si="305"/>
        <v>0</v>
      </c>
      <c r="CM215" s="329">
        <f t="shared" si="305"/>
        <v>0</v>
      </c>
      <c r="CN215" s="329">
        <f t="shared" si="306"/>
        <v>0</v>
      </c>
      <c r="CO215" s="329">
        <f t="shared" si="306"/>
        <v>0</v>
      </c>
      <c r="CP215" s="329">
        <f t="shared" si="306"/>
        <v>0</v>
      </c>
      <c r="CQ215" s="329">
        <f t="shared" si="306"/>
        <v>0</v>
      </c>
      <c r="CR215" s="329">
        <f t="shared" si="306"/>
        <v>0</v>
      </c>
      <c r="CS215" s="329">
        <f t="shared" si="306"/>
        <v>0</v>
      </c>
      <c r="CT215" s="329">
        <f t="shared" si="306"/>
        <v>0</v>
      </c>
      <c r="CU215" s="217"/>
      <c r="CV215" s="217"/>
      <c r="CW215" s="217"/>
      <c r="CX215" s="217"/>
      <c r="CY215" s="217"/>
      <c r="CZ215" s="217"/>
      <c r="DA215" s="217"/>
      <c r="DB215" s="217"/>
      <c r="DC215" s="217"/>
      <c r="DD215" s="217"/>
      <c r="DE215" s="217"/>
      <c r="DF215" s="217"/>
      <c r="DG215" s="217"/>
      <c r="DH215" s="217"/>
      <c r="DI215" s="217"/>
      <c r="DJ215" s="217"/>
      <c r="DK215" s="217"/>
      <c r="DL215" s="217"/>
      <c r="DM215" s="217"/>
      <c r="DN215" s="217"/>
      <c r="DO215" s="217"/>
      <c r="DP215" s="217"/>
      <c r="DQ215" s="217"/>
      <c r="DR215" s="217"/>
      <c r="DS215" s="217"/>
      <c r="DT215" s="217"/>
    </row>
    <row r="216" spans="1:124" x14ac:dyDescent="0.3">
      <c r="A216" s="217"/>
      <c r="B216" s="221">
        <f>Inputs!D20</f>
        <v>0</v>
      </c>
      <c r="C216" s="221"/>
      <c r="D216" s="221"/>
      <c r="E216" s="221"/>
      <c r="F216" s="221"/>
      <c r="G216" s="221"/>
      <c r="H216" s="221"/>
      <c r="I216" s="221"/>
      <c r="J216" s="326">
        <f t="shared" si="297"/>
        <v>0</v>
      </c>
      <c r="K216" s="326"/>
      <c r="L216" s="326">
        <f t="shared" si="298"/>
        <v>0</v>
      </c>
      <c r="M216" s="326">
        <f t="shared" si="298"/>
        <v>0</v>
      </c>
      <c r="N216" s="326">
        <f t="shared" si="298"/>
        <v>0</v>
      </c>
      <c r="O216" s="326">
        <f t="shared" si="298"/>
        <v>0</v>
      </c>
      <c r="P216" s="326">
        <f t="shared" si="298"/>
        <v>0</v>
      </c>
      <c r="Q216" s="326">
        <f t="shared" si="298"/>
        <v>0</v>
      </c>
      <c r="R216" s="326">
        <f t="shared" si="298"/>
        <v>0</v>
      </c>
      <c r="S216" s="326">
        <f t="shared" si="298"/>
        <v>0</v>
      </c>
      <c r="T216" s="326">
        <f t="shared" si="298"/>
        <v>0</v>
      </c>
      <c r="U216" s="326">
        <f t="shared" si="298"/>
        <v>0</v>
      </c>
      <c r="V216" s="326">
        <f t="shared" si="299"/>
        <v>0</v>
      </c>
      <c r="W216" s="326">
        <f t="shared" si="299"/>
        <v>0</v>
      </c>
      <c r="X216" s="326">
        <f t="shared" si="299"/>
        <v>0</v>
      </c>
      <c r="Y216" s="326">
        <f t="shared" si="299"/>
        <v>0</v>
      </c>
      <c r="Z216" s="326">
        <f t="shared" si="299"/>
        <v>0</v>
      </c>
      <c r="AA216" s="329">
        <f t="shared" si="299"/>
        <v>0</v>
      </c>
      <c r="AB216" s="329">
        <f t="shared" si="299"/>
        <v>0</v>
      </c>
      <c r="AC216" s="329">
        <f t="shared" si="299"/>
        <v>0</v>
      </c>
      <c r="AD216" s="329">
        <f t="shared" si="299"/>
        <v>0</v>
      </c>
      <c r="AE216" s="329">
        <f t="shared" si="299"/>
        <v>0</v>
      </c>
      <c r="AF216" s="329">
        <f t="shared" si="300"/>
        <v>0</v>
      </c>
      <c r="AG216" s="329">
        <f t="shared" si="300"/>
        <v>0</v>
      </c>
      <c r="AH216" s="329">
        <f t="shared" si="300"/>
        <v>0</v>
      </c>
      <c r="AI216" s="329">
        <f t="shared" si="300"/>
        <v>0</v>
      </c>
      <c r="AJ216" s="329">
        <f t="shared" si="300"/>
        <v>0</v>
      </c>
      <c r="AK216" s="329">
        <f t="shared" si="300"/>
        <v>0</v>
      </c>
      <c r="AL216" s="329">
        <f t="shared" si="300"/>
        <v>0</v>
      </c>
      <c r="AM216" s="329">
        <f t="shared" si="300"/>
        <v>0</v>
      </c>
      <c r="AN216" s="329">
        <f t="shared" si="300"/>
        <v>0</v>
      </c>
      <c r="AO216" s="329">
        <f t="shared" si="300"/>
        <v>0</v>
      </c>
      <c r="AP216" s="329">
        <f t="shared" si="301"/>
        <v>0</v>
      </c>
      <c r="AQ216" s="329">
        <f t="shared" si="301"/>
        <v>0</v>
      </c>
      <c r="AR216" s="329">
        <f t="shared" si="301"/>
        <v>0</v>
      </c>
      <c r="AS216" s="329">
        <f t="shared" si="301"/>
        <v>0</v>
      </c>
      <c r="AT216" s="329">
        <f t="shared" si="301"/>
        <v>0</v>
      </c>
      <c r="AU216" s="329">
        <f t="shared" si="301"/>
        <v>0</v>
      </c>
      <c r="AV216" s="329">
        <f t="shared" si="301"/>
        <v>0</v>
      </c>
      <c r="AW216" s="329">
        <f t="shared" si="301"/>
        <v>0</v>
      </c>
      <c r="AX216" s="329">
        <f t="shared" si="301"/>
        <v>0</v>
      </c>
      <c r="AY216" s="329">
        <f t="shared" si="301"/>
        <v>0</v>
      </c>
      <c r="AZ216" s="329">
        <f t="shared" si="302"/>
        <v>0</v>
      </c>
      <c r="BA216" s="329">
        <f t="shared" si="302"/>
        <v>0</v>
      </c>
      <c r="BB216" s="329">
        <f t="shared" si="302"/>
        <v>0</v>
      </c>
      <c r="BC216" s="329">
        <f t="shared" si="302"/>
        <v>0</v>
      </c>
      <c r="BD216" s="329">
        <f t="shared" si="302"/>
        <v>0</v>
      </c>
      <c r="BE216" s="329">
        <f t="shared" si="302"/>
        <v>0</v>
      </c>
      <c r="BF216" s="329">
        <f t="shared" si="302"/>
        <v>0</v>
      </c>
      <c r="BG216" s="329">
        <f t="shared" si="302"/>
        <v>0</v>
      </c>
      <c r="BH216" s="329">
        <f t="shared" si="302"/>
        <v>0</v>
      </c>
      <c r="BI216" s="329">
        <f t="shared" si="302"/>
        <v>0</v>
      </c>
      <c r="BJ216" s="329">
        <f t="shared" si="303"/>
        <v>0</v>
      </c>
      <c r="BK216" s="329">
        <f t="shared" si="303"/>
        <v>0</v>
      </c>
      <c r="BL216" s="329">
        <f t="shared" si="303"/>
        <v>0</v>
      </c>
      <c r="BM216" s="329">
        <f t="shared" si="303"/>
        <v>0</v>
      </c>
      <c r="BN216" s="329">
        <f t="shared" si="303"/>
        <v>0</v>
      </c>
      <c r="BO216" s="329">
        <f t="shared" si="303"/>
        <v>0</v>
      </c>
      <c r="BP216" s="329">
        <f t="shared" si="303"/>
        <v>0</v>
      </c>
      <c r="BQ216" s="329">
        <f t="shared" si="303"/>
        <v>0</v>
      </c>
      <c r="BR216" s="329">
        <f t="shared" si="303"/>
        <v>0</v>
      </c>
      <c r="BS216" s="329">
        <f t="shared" si="303"/>
        <v>0</v>
      </c>
      <c r="BT216" s="329">
        <f t="shared" si="304"/>
        <v>0</v>
      </c>
      <c r="BU216" s="329">
        <f t="shared" si="304"/>
        <v>0</v>
      </c>
      <c r="BV216" s="329">
        <f t="shared" si="304"/>
        <v>0</v>
      </c>
      <c r="BW216" s="329">
        <f t="shared" si="304"/>
        <v>0</v>
      </c>
      <c r="BX216" s="329">
        <f t="shared" si="304"/>
        <v>0</v>
      </c>
      <c r="BY216" s="329">
        <f t="shared" si="304"/>
        <v>0</v>
      </c>
      <c r="BZ216" s="329">
        <f t="shared" si="304"/>
        <v>0</v>
      </c>
      <c r="CA216" s="329">
        <f t="shared" si="304"/>
        <v>0</v>
      </c>
      <c r="CB216" s="329">
        <f t="shared" si="304"/>
        <v>0</v>
      </c>
      <c r="CC216" s="329">
        <f t="shared" si="304"/>
        <v>0</v>
      </c>
      <c r="CD216" s="329">
        <f t="shared" si="305"/>
        <v>0</v>
      </c>
      <c r="CE216" s="329">
        <f t="shared" si="305"/>
        <v>0</v>
      </c>
      <c r="CF216" s="329">
        <f t="shared" si="305"/>
        <v>0</v>
      </c>
      <c r="CG216" s="329">
        <f t="shared" si="305"/>
        <v>0</v>
      </c>
      <c r="CH216" s="329">
        <f t="shared" si="305"/>
        <v>0</v>
      </c>
      <c r="CI216" s="329">
        <f t="shared" si="305"/>
        <v>0</v>
      </c>
      <c r="CJ216" s="329">
        <f t="shared" si="305"/>
        <v>0</v>
      </c>
      <c r="CK216" s="329">
        <f t="shared" si="305"/>
        <v>0</v>
      </c>
      <c r="CL216" s="329">
        <f t="shared" si="305"/>
        <v>0</v>
      </c>
      <c r="CM216" s="329">
        <f t="shared" si="305"/>
        <v>0</v>
      </c>
      <c r="CN216" s="329">
        <f t="shared" si="306"/>
        <v>0</v>
      </c>
      <c r="CO216" s="329">
        <f t="shared" si="306"/>
        <v>0</v>
      </c>
      <c r="CP216" s="329">
        <f t="shared" si="306"/>
        <v>0</v>
      </c>
      <c r="CQ216" s="329">
        <f t="shared" si="306"/>
        <v>0</v>
      </c>
      <c r="CR216" s="329">
        <f t="shared" si="306"/>
        <v>0</v>
      </c>
      <c r="CS216" s="329">
        <f t="shared" si="306"/>
        <v>0</v>
      </c>
      <c r="CT216" s="329">
        <f t="shared" si="306"/>
        <v>0</v>
      </c>
      <c r="CU216" s="217"/>
      <c r="CV216" s="217"/>
      <c r="CW216" s="217"/>
      <c r="CX216" s="217"/>
      <c r="CY216" s="217"/>
      <c r="CZ216" s="217"/>
      <c r="DA216" s="217"/>
      <c r="DB216" s="217"/>
      <c r="DC216" s="217"/>
      <c r="DD216" s="217"/>
      <c r="DE216" s="217"/>
      <c r="DF216" s="217"/>
      <c r="DG216" s="217"/>
      <c r="DH216" s="217"/>
      <c r="DI216" s="217"/>
      <c r="DJ216" s="217"/>
      <c r="DK216" s="217"/>
      <c r="DL216" s="217"/>
      <c r="DM216" s="217"/>
      <c r="DN216" s="217"/>
      <c r="DO216" s="217"/>
      <c r="DP216" s="217"/>
      <c r="DQ216" s="217"/>
      <c r="DR216" s="217"/>
      <c r="DS216" s="217"/>
      <c r="DT216" s="217"/>
    </row>
    <row r="217" spans="1:124" x14ac:dyDescent="0.3">
      <c r="A217" s="217"/>
      <c r="B217" s="221">
        <f>Inputs!D21</f>
        <v>0</v>
      </c>
      <c r="C217" s="221"/>
      <c r="D217" s="221"/>
      <c r="E217" s="221"/>
      <c r="F217" s="221"/>
      <c r="G217" s="221"/>
      <c r="H217" s="221"/>
      <c r="I217" s="221"/>
      <c r="J217" s="326">
        <f t="shared" si="297"/>
        <v>0</v>
      </c>
      <c r="K217" s="326"/>
      <c r="L217" s="326">
        <f t="shared" si="298"/>
        <v>0</v>
      </c>
      <c r="M217" s="326">
        <f t="shared" si="298"/>
        <v>0</v>
      </c>
      <c r="N217" s="326">
        <f t="shared" si="298"/>
        <v>0</v>
      </c>
      <c r="O217" s="326">
        <f t="shared" si="298"/>
        <v>0</v>
      </c>
      <c r="P217" s="326">
        <f t="shared" si="298"/>
        <v>0</v>
      </c>
      <c r="Q217" s="326">
        <f t="shared" si="298"/>
        <v>0</v>
      </c>
      <c r="R217" s="326">
        <f t="shared" si="298"/>
        <v>0</v>
      </c>
      <c r="S217" s="326">
        <f t="shared" si="298"/>
        <v>0</v>
      </c>
      <c r="T217" s="326">
        <f t="shared" si="298"/>
        <v>0</v>
      </c>
      <c r="U217" s="326">
        <f t="shared" si="298"/>
        <v>0</v>
      </c>
      <c r="V217" s="326">
        <f t="shared" si="299"/>
        <v>0</v>
      </c>
      <c r="W217" s="326">
        <f t="shared" si="299"/>
        <v>0</v>
      </c>
      <c r="X217" s="326">
        <f t="shared" si="299"/>
        <v>0</v>
      </c>
      <c r="Y217" s="326">
        <f t="shared" si="299"/>
        <v>0</v>
      </c>
      <c r="Z217" s="326">
        <f t="shared" si="299"/>
        <v>0</v>
      </c>
      <c r="AA217" s="329">
        <f t="shared" si="299"/>
        <v>0</v>
      </c>
      <c r="AB217" s="329">
        <f t="shared" si="299"/>
        <v>0</v>
      </c>
      <c r="AC217" s="329">
        <f t="shared" si="299"/>
        <v>0</v>
      </c>
      <c r="AD217" s="329">
        <f t="shared" si="299"/>
        <v>0</v>
      </c>
      <c r="AE217" s="329">
        <f t="shared" si="299"/>
        <v>0</v>
      </c>
      <c r="AF217" s="329">
        <f t="shared" si="300"/>
        <v>0</v>
      </c>
      <c r="AG217" s="329">
        <f t="shared" si="300"/>
        <v>0</v>
      </c>
      <c r="AH217" s="329">
        <f t="shared" si="300"/>
        <v>0</v>
      </c>
      <c r="AI217" s="329">
        <f t="shared" si="300"/>
        <v>0</v>
      </c>
      <c r="AJ217" s="329">
        <f t="shared" si="300"/>
        <v>0</v>
      </c>
      <c r="AK217" s="329">
        <f t="shared" si="300"/>
        <v>0</v>
      </c>
      <c r="AL217" s="329">
        <f t="shared" si="300"/>
        <v>0</v>
      </c>
      <c r="AM217" s="329">
        <f t="shared" si="300"/>
        <v>0</v>
      </c>
      <c r="AN217" s="329">
        <f t="shared" si="300"/>
        <v>0</v>
      </c>
      <c r="AO217" s="329">
        <f t="shared" si="300"/>
        <v>0</v>
      </c>
      <c r="AP217" s="329">
        <f t="shared" si="301"/>
        <v>0</v>
      </c>
      <c r="AQ217" s="329">
        <f t="shared" si="301"/>
        <v>0</v>
      </c>
      <c r="AR217" s="329">
        <f t="shared" si="301"/>
        <v>0</v>
      </c>
      <c r="AS217" s="329">
        <f t="shared" si="301"/>
        <v>0</v>
      </c>
      <c r="AT217" s="329">
        <f t="shared" si="301"/>
        <v>0</v>
      </c>
      <c r="AU217" s="329">
        <f t="shared" si="301"/>
        <v>0</v>
      </c>
      <c r="AV217" s="329">
        <f t="shared" si="301"/>
        <v>0</v>
      </c>
      <c r="AW217" s="329">
        <f t="shared" si="301"/>
        <v>0</v>
      </c>
      <c r="AX217" s="329">
        <f t="shared" si="301"/>
        <v>0</v>
      </c>
      <c r="AY217" s="329">
        <f t="shared" si="301"/>
        <v>0</v>
      </c>
      <c r="AZ217" s="329">
        <f t="shared" si="302"/>
        <v>0</v>
      </c>
      <c r="BA217" s="329">
        <f t="shared" si="302"/>
        <v>0</v>
      </c>
      <c r="BB217" s="329">
        <f t="shared" si="302"/>
        <v>0</v>
      </c>
      <c r="BC217" s="329">
        <f t="shared" si="302"/>
        <v>0</v>
      </c>
      <c r="BD217" s="329">
        <f t="shared" si="302"/>
        <v>0</v>
      </c>
      <c r="BE217" s="329">
        <f t="shared" si="302"/>
        <v>0</v>
      </c>
      <c r="BF217" s="329">
        <f t="shared" si="302"/>
        <v>0</v>
      </c>
      <c r="BG217" s="329">
        <f t="shared" si="302"/>
        <v>0</v>
      </c>
      <c r="BH217" s="329">
        <f t="shared" si="302"/>
        <v>0</v>
      </c>
      <c r="BI217" s="329">
        <f t="shared" si="302"/>
        <v>0</v>
      </c>
      <c r="BJ217" s="329">
        <f t="shared" si="303"/>
        <v>0</v>
      </c>
      <c r="BK217" s="329">
        <f t="shared" si="303"/>
        <v>0</v>
      </c>
      <c r="BL217" s="329">
        <f t="shared" si="303"/>
        <v>0</v>
      </c>
      <c r="BM217" s="329">
        <f t="shared" si="303"/>
        <v>0</v>
      </c>
      <c r="BN217" s="329">
        <f t="shared" si="303"/>
        <v>0</v>
      </c>
      <c r="BO217" s="329">
        <f t="shared" si="303"/>
        <v>0</v>
      </c>
      <c r="BP217" s="329">
        <f t="shared" si="303"/>
        <v>0</v>
      </c>
      <c r="BQ217" s="329">
        <f t="shared" si="303"/>
        <v>0</v>
      </c>
      <c r="BR217" s="329">
        <f t="shared" si="303"/>
        <v>0</v>
      </c>
      <c r="BS217" s="329">
        <f t="shared" si="303"/>
        <v>0</v>
      </c>
      <c r="BT217" s="329">
        <f t="shared" si="304"/>
        <v>0</v>
      </c>
      <c r="BU217" s="329">
        <f t="shared" si="304"/>
        <v>0</v>
      </c>
      <c r="BV217" s="329">
        <f t="shared" si="304"/>
        <v>0</v>
      </c>
      <c r="BW217" s="329">
        <f t="shared" si="304"/>
        <v>0</v>
      </c>
      <c r="BX217" s="329">
        <f t="shared" si="304"/>
        <v>0</v>
      </c>
      <c r="BY217" s="329">
        <f t="shared" si="304"/>
        <v>0</v>
      </c>
      <c r="BZ217" s="329">
        <f t="shared" si="304"/>
        <v>0</v>
      </c>
      <c r="CA217" s="329">
        <f t="shared" si="304"/>
        <v>0</v>
      </c>
      <c r="CB217" s="329">
        <f t="shared" si="304"/>
        <v>0</v>
      </c>
      <c r="CC217" s="329">
        <f t="shared" si="304"/>
        <v>0</v>
      </c>
      <c r="CD217" s="329">
        <f t="shared" si="305"/>
        <v>0</v>
      </c>
      <c r="CE217" s="329">
        <f t="shared" si="305"/>
        <v>0</v>
      </c>
      <c r="CF217" s="329">
        <f t="shared" si="305"/>
        <v>0</v>
      </c>
      <c r="CG217" s="329">
        <f t="shared" si="305"/>
        <v>0</v>
      </c>
      <c r="CH217" s="329">
        <f t="shared" si="305"/>
        <v>0</v>
      </c>
      <c r="CI217" s="329">
        <f t="shared" si="305"/>
        <v>0</v>
      </c>
      <c r="CJ217" s="329">
        <f t="shared" si="305"/>
        <v>0</v>
      </c>
      <c r="CK217" s="329">
        <f t="shared" si="305"/>
        <v>0</v>
      </c>
      <c r="CL217" s="329">
        <f t="shared" si="305"/>
        <v>0</v>
      </c>
      <c r="CM217" s="329">
        <f t="shared" si="305"/>
        <v>0</v>
      </c>
      <c r="CN217" s="329">
        <f t="shared" si="306"/>
        <v>0</v>
      </c>
      <c r="CO217" s="329">
        <f t="shared" si="306"/>
        <v>0</v>
      </c>
      <c r="CP217" s="329">
        <f t="shared" si="306"/>
        <v>0</v>
      </c>
      <c r="CQ217" s="329">
        <f t="shared" si="306"/>
        <v>0</v>
      </c>
      <c r="CR217" s="329">
        <f t="shared" si="306"/>
        <v>0</v>
      </c>
      <c r="CS217" s="329">
        <f t="shared" si="306"/>
        <v>0</v>
      </c>
      <c r="CT217" s="329">
        <f t="shared" si="306"/>
        <v>0</v>
      </c>
      <c r="CU217" s="217"/>
      <c r="CV217" s="217"/>
      <c r="CW217" s="217"/>
      <c r="CX217" s="217"/>
      <c r="CY217" s="217"/>
      <c r="CZ217" s="217"/>
      <c r="DA217" s="217"/>
      <c r="DB217" s="217"/>
      <c r="DC217" s="217"/>
      <c r="DD217" s="217"/>
      <c r="DE217" s="217"/>
      <c r="DF217" s="217"/>
      <c r="DG217" s="217"/>
      <c r="DH217" s="217"/>
      <c r="DI217" s="217"/>
      <c r="DJ217" s="217"/>
      <c r="DK217" s="217"/>
      <c r="DL217" s="217"/>
      <c r="DM217" s="217"/>
      <c r="DN217" s="217"/>
      <c r="DO217" s="217"/>
      <c r="DP217" s="217"/>
      <c r="DQ217" s="217"/>
      <c r="DR217" s="217"/>
      <c r="DS217" s="217"/>
      <c r="DT217" s="217"/>
    </row>
    <row r="218" spans="1:124" x14ac:dyDescent="0.3">
      <c r="A218" s="217"/>
      <c r="B218" s="221">
        <f>Inputs!D22</f>
        <v>0</v>
      </c>
      <c r="C218" s="221"/>
      <c r="D218" s="221"/>
      <c r="E218" s="221"/>
      <c r="F218" s="221"/>
      <c r="G218" s="221"/>
      <c r="H218" s="221"/>
      <c r="I218" s="221"/>
      <c r="J218" s="326">
        <f t="shared" si="297"/>
        <v>0</v>
      </c>
      <c r="K218" s="326"/>
      <c r="L218" s="326">
        <f t="shared" si="298"/>
        <v>0</v>
      </c>
      <c r="M218" s="326">
        <f t="shared" si="298"/>
        <v>0</v>
      </c>
      <c r="N218" s="326">
        <f t="shared" si="298"/>
        <v>0</v>
      </c>
      <c r="O218" s="326">
        <f t="shared" si="298"/>
        <v>0</v>
      </c>
      <c r="P218" s="326">
        <f t="shared" si="298"/>
        <v>0</v>
      </c>
      <c r="Q218" s="326">
        <f t="shared" si="298"/>
        <v>0</v>
      </c>
      <c r="R218" s="326">
        <f t="shared" si="298"/>
        <v>0</v>
      </c>
      <c r="S218" s="326">
        <f t="shared" si="298"/>
        <v>0</v>
      </c>
      <c r="T218" s="326">
        <f t="shared" si="298"/>
        <v>0</v>
      </c>
      <c r="U218" s="326">
        <f t="shared" si="298"/>
        <v>0</v>
      </c>
      <c r="V218" s="326">
        <f t="shared" si="299"/>
        <v>0</v>
      </c>
      <c r="W218" s="326">
        <f t="shared" si="299"/>
        <v>0</v>
      </c>
      <c r="X218" s="326">
        <f t="shared" si="299"/>
        <v>0</v>
      </c>
      <c r="Y218" s="326">
        <f t="shared" si="299"/>
        <v>0</v>
      </c>
      <c r="Z218" s="326">
        <f t="shared" si="299"/>
        <v>0</v>
      </c>
      <c r="AA218" s="329">
        <f t="shared" si="299"/>
        <v>0</v>
      </c>
      <c r="AB218" s="329">
        <f t="shared" si="299"/>
        <v>0</v>
      </c>
      <c r="AC218" s="329">
        <f t="shared" si="299"/>
        <v>0</v>
      </c>
      <c r="AD218" s="329">
        <f t="shared" si="299"/>
        <v>0</v>
      </c>
      <c r="AE218" s="329">
        <f t="shared" si="299"/>
        <v>0</v>
      </c>
      <c r="AF218" s="329">
        <f t="shared" si="300"/>
        <v>0</v>
      </c>
      <c r="AG218" s="329">
        <f t="shared" si="300"/>
        <v>0</v>
      </c>
      <c r="AH218" s="329">
        <f t="shared" si="300"/>
        <v>0</v>
      </c>
      <c r="AI218" s="329">
        <f t="shared" si="300"/>
        <v>0</v>
      </c>
      <c r="AJ218" s="329">
        <f t="shared" si="300"/>
        <v>0</v>
      </c>
      <c r="AK218" s="329">
        <f t="shared" si="300"/>
        <v>0</v>
      </c>
      <c r="AL218" s="329">
        <f t="shared" si="300"/>
        <v>0</v>
      </c>
      <c r="AM218" s="329">
        <f t="shared" si="300"/>
        <v>0</v>
      </c>
      <c r="AN218" s="329">
        <f t="shared" si="300"/>
        <v>0</v>
      </c>
      <c r="AO218" s="329">
        <f t="shared" si="300"/>
        <v>0</v>
      </c>
      <c r="AP218" s="329">
        <f t="shared" si="301"/>
        <v>0</v>
      </c>
      <c r="AQ218" s="329">
        <f t="shared" si="301"/>
        <v>0</v>
      </c>
      <c r="AR218" s="329">
        <f t="shared" si="301"/>
        <v>0</v>
      </c>
      <c r="AS218" s="329">
        <f t="shared" si="301"/>
        <v>0</v>
      </c>
      <c r="AT218" s="329">
        <f t="shared" si="301"/>
        <v>0</v>
      </c>
      <c r="AU218" s="329">
        <f t="shared" si="301"/>
        <v>0</v>
      </c>
      <c r="AV218" s="329">
        <f t="shared" si="301"/>
        <v>0</v>
      </c>
      <c r="AW218" s="329">
        <f t="shared" si="301"/>
        <v>0</v>
      </c>
      <c r="AX218" s="329">
        <f t="shared" si="301"/>
        <v>0</v>
      </c>
      <c r="AY218" s="329">
        <f t="shared" si="301"/>
        <v>0</v>
      </c>
      <c r="AZ218" s="329">
        <f t="shared" si="302"/>
        <v>0</v>
      </c>
      <c r="BA218" s="329">
        <f t="shared" si="302"/>
        <v>0</v>
      </c>
      <c r="BB218" s="329">
        <f t="shared" si="302"/>
        <v>0</v>
      </c>
      <c r="BC218" s="329">
        <f t="shared" si="302"/>
        <v>0</v>
      </c>
      <c r="BD218" s="329">
        <f t="shared" si="302"/>
        <v>0</v>
      </c>
      <c r="BE218" s="329">
        <f t="shared" si="302"/>
        <v>0</v>
      </c>
      <c r="BF218" s="329">
        <f t="shared" si="302"/>
        <v>0</v>
      </c>
      <c r="BG218" s="329">
        <f t="shared" si="302"/>
        <v>0</v>
      </c>
      <c r="BH218" s="329">
        <f t="shared" si="302"/>
        <v>0</v>
      </c>
      <c r="BI218" s="329">
        <f t="shared" si="302"/>
        <v>0</v>
      </c>
      <c r="BJ218" s="329">
        <f t="shared" si="303"/>
        <v>0</v>
      </c>
      <c r="BK218" s="329">
        <f t="shared" si="303"/>
        <v>0</v>
      </c>
      <c r="BL218" s="329">
        <f t="shared" si="303"/>
        <v>0</v>
      </c>
      <c r="BM218" s="329">
        <f t="shared" si="303"/>
        <v>0</v>
      </c>
      <c r="BN218" s="329">
        <f t="shared" si="303"/>
        <v>0</v>
      </c>
      <c r="BO218" s="329">
        <f t="shared" si="303"/>
        <v>0</v>
      </c>
      <c r="BP218" s="329">
        <f t="shared" si="303"/>
        <v>0</v>
      </c>
      <c r="BQ218" s="329">
        <f t="shared" si="303"/>
        <v>0</v>
      </c>
      <c r="BR218" s="329">
        <f t="shared" si="303"/>
        <v>0</v>
      </c>
      <c r="BS218" s="329">
        <f t="shared" si="303"/>
        <v>0</v>
      </c>
      <c r="BT218" s="329">
        <f t="shared" si="304"/>
        <v>0</v>
      </c>
      <c r="BU218" s="329">
        <f t="shared" si="304"/>
        <v>0</v>
      </c>
      <c r="BV218" s="329">
        <f t="shared" si="304"/>
        <v>0</v>
      </c>
      <c r="BW218" s="329">
        <f t="shared" si="304"/>
        <v>0</v>
      </c>
      <c r="BX218" s="329">
        <f t="shared" si="304"/>
        <v>0</v>
      </c>
      <c r="BY218" s="329">
        <f t="shared" si="304"/>
        <v>0</v>
      </c>
      <c r="BZ218" s="329">
        <f t="shared" si="304"/>
        <v>0</v>
      </c>
      <c r="CA218" s="329">
        <f t="shared" si="304"/>
        <v>0</v>
      </c>
      <c r="CB218" s="329">
        <f t="shared" si="304"/>
        <v>0</v>
      </c>
      <c r="CC218" s="329">
        <f t="shared" si="304"/>
        <v>0</v>
      </c>
      <c r="CD218" s="329">
        <f t="shared" si="305"/>
        <v>0</v>
      </c>
      <c r="CE218" s="329">
        <f t="shared" si="305"/>
        <v>0</v>
      </c>
      <c r="CF218" s="329">
        <f t="shared" si="305"/>
        <v>0</v>
      </c>
      <c r="CG218" s="329">
        <f t="shared" si="305"/>
        <v>0</v>
      </c>
      <c r="CH218" s="329">
        <f t="shared" si="305"/>
        <v>0</v>
      </c>
      <c r="CI218" s="329">
        <f t="shared" si="305"/>
        <v>0</v>
      </c>
      <c r="CJ218" s="329">
        <f t="shared" si="305"/>
        <v>0</v>
      </c>
      <c r="CK218" s="329">
        <f t="shared" si="305"/>
        <v>0</v>
      </c>
      <c r="CL218" s="329">
        <f t="shared" si="305"/>
        <v>0</v>
      </c>
      <c r="CM218" s="329">
        <f t="shared" si="305"/>
        <v>0</v>
      </c>
      <c r="CN218" s="329">
        <f t="shared" si="306"/>
        <v>0</v>
      </c>
      <c r="CO218" s="329">
        <f t="shared" si="306"/>
        <v>0</v>
      </c>
      <c r="CP218" s="329">
        <f t="shared" si="306"/>
        <v>0</v>
      </c>
      <c r="CQ218" s="329">
        <f t="shared" si="306"/>
        <v>0</v>
      </c>
      <c r="CR218" s="329">
        <f t="shared" si="306"/>
        <v>0</v>
      </c>
      <c r="CS218" s="329">
        <f t="shared" si="306"/>
        <v>0</v>
      </c>
      <c r="CT218" s="329">
        <f t="shared" si="306"/>
        <v>0</v>
      </c>
      <c r="CU218" s="217"/>
      <c r="CV218" s="217"/>
      <c r="CW218" s="217"/>
      <c r="CX218" s="217"/>
      <c r="CY218" s="217"/>
      <c r="CZ218" s="217"/>
      <c r="DA218" s="217"/>
      <c r="DB218" s="217"/>
      <c r="DC218" s="217"/>
      <c r="DD218" s="217"/>
      <c r="DE218" s="217"/>
      <c r="DF218" s="217"/>
      <c r="DG218" s="217"/>
      <c r="DH218" s="217"/>
      <c r="DI218" s="217"/>
      <c r="DJ218" s="217"/>
      <c r="DK218" s="217"/>
      <c r="DL218" s="217"/>
      <c r="DM218" s="217"/>
      <c r="DN218" s="217"/>
      <c r="DO218" s="217"/>
      <c r="DP218" s="217"/>
      <c r="DQ218" s="217"/>
      <c r="DR218" s="217"/>
      <c r="DS218" s="217"/>
      <c r="DT218" s="217"/>
    </row>
    <row r="219" spans="1:124" x14ac:dyDescent="0.3">
      <c r="A219" s="217"/>
      <c r="B219" s="221">
        <f>Inputs!D23</f>
        <v>0</v>
      </c>
      <c r="C219" s="221"/>
      <c r="D219" s="221"/>
      <c r="E219" s="221"/>
      <c r="F219" s="221"/>
      <c r="G219" s="221"/>
      <c r="H219" s="221"/>
      <c r="I219" s="221"/>
      <c r="J219" s="326">
        <f t="shared" si="297"/>
        <v>0</v>
      </c>
      <c r="K219" s="326"/>
      <c r="L219" s="326">
        <f t="shared" si="298"/>
        <v>0</v>
      </c>
      <c r="M219" s="326">
        <f t="shared" si="298"/>
        <v>0</v>
      </c>
      <c r="N219" s="326">
        <f t="shared" si="298"/>
        <v>0</v>
      </c>
      <c r="O219" s="326">
        <f t="shared" si="298"/>
        <v>0</v>
      </c>
      <c r="P219" s="326">
        <f t="shared" si="298"/>
        <v>0</v>
      </c>
      <c r="Q219" s="326">
        <f t="shared" si="298"/>
        <v>0</v>
      </c>
      <c r="R219" s="326">
        <f t="shared" si="298"/>
        <v>0</v>
      </c>
      <c r="S219" s="326">
        <f t="shared" si="298"/>
        <v>0</v>
      </c>
      <c r="T219" s="326">
        <f t="shared" si="298"/>
        <v>0</v>
      </c>
      <c r="U219" s="326">
        <f t="shared" si="298"/>
        <v>0</v>
      </c>
      <c r="V219" s="326">
        <f t="shared" si="299"/>
        <v>0</v>
      </c>
      <c r="W219" s="326">
        <f t="shared" si="299"/>
        <v>0</v>
      </c>
      <c r="X219" s="326">
        <f t="shared" si="299"/>
        <v>0</v>
      </c>
      <c r="Y219" s="326">
        <f t="shared" si="299"/>
        <v>0</v>
      </c>
      <c r="Z219" s="326">
        <f t="shared" si="299"/>
        <v>0</v>
      </c>
      <c r="AA219" s="329">
        <f t="shared" si="299"/>
        <v>0</v>
      </c>
      <c r="AB219" s="329">
        <f t="shared" si="299"/>
        <v>0</v>
      </c>
      <c r="AC219" s="329">
        <f t="shared" si="299"/>
        <v>0</v>
      </c>
      <c r="AD219" s="329">
        <f t="shared" si="299"/>
        <v>0</v>
      </c>
      <c r="AE219" s="329">
        <f t="shared" si="299"/>
        <v>0</v>
      </c>
      <c r="AF219" s="329">
        <f t="shared" si="300"/>
        <v>0</v>
      </c>
      <c r="AG219" s="329">
        <f t="shared" si="300"/>
        <v>0</v>
      </c>
      <c r="AH219" s="329">
        <f t="shared" si="300"/>
        <v>0</v>
      </c>
      <c r="AI219" s="329">
        <f t="shared" si="300"/>
        <v>0</v>
      </c>
      <c r="AJ219" s="329">
        <f t="shared" si="300"/>
        <v>0</v>
      </c>
      <c r="AK219" s="329">
        <f t="shared" si="300"/>
        <v>0</v>
      </c>
      <c r="AL219" s="329">
        <f t="shared" si="300"/>
        <v>0</v>
      </c>
      <c r="AM219" s="329">
        <f t="shared" si="300"/>
        <v>0</v>
      </c>
      <c r="AN219" s="329">
        <f t="shared" si="300"/>
        <v>0</v>
      </c>
      <c r="AO219" s="329">
        <f t="shared" si="300"/>
        <v>0</v>
      </c>
      <c r="AP219" s="329">
        <f t="shared" si="301"/>
        <v>0</v>
      </c>
      <c r="AQ219" s="329">
        <f t="shared" si="301"/>
        <v>0</v>
      </c>
      <c r="AR219" s="329">
        <f t="shared" si="301"/>
        <v>0</v>
      </c>
      <c r="AS219" s="329">
        <f t="shared" si="301"/>
        <v>0</v>
      </c>
      <c r="AT219" s="329">
        <f t="shared" si="301"/>
        <v>0</v>
      </c>
      <c r="AU219" s="329">
        <f t="shared" si="301"/>
        <v>0</v>
      </c>
      <c r="AV219" s="329">
        <f t="shared" si="301"/>
        <v>0</v>
      </c>
      <c r="AW219" s="329">
        <f t="shared" si="301"/>
        <v>0</v>
      </c>
      <c r="AX219" s="329">
        <f t="shared" si="301"/>
        <v>0</v>
      </c>
      <c r="AY219" s="329">
        <f t="shared" si="301"/>
        <v>0</v>
      </c>
      <c r="AZ219" s="329">
        <f t="shared" si="302"/>
        <v>0</v>
      </c>
      <c r="BA219" s="329">
        <f t="shared" si="302"/>
        <v>0</v>
      </c>
      <c r="BB219" s="329">
        <f t="shared" si="302"/>
        <v>0</v>
      </c>
      <c r="BC219" s="329">
        <f t="shared" si="302"/>
        <v>0</v>
      </c>
      <c r="BD219" s="329">
        <f t="shared" si="302"/>
        <v>0</v>
      </c>
      <c r="BE219" s="329">
        <f t="shared" si="302"/>
        <v>0</v>
      </c>
      <c r="BF219" s="329">
        <f t="shared" si="302"/>
        <v>0</v>
      </c>
      <c r="BG219" s="329">
        <f t="shared" si="302"/>
        <v>0</v>
      </c>
      <c r="BH219" s="329">
        <f t="shared" si="302"/>
        <v>0</v>
      </c>
      <c r="BI219" s="329">
        <f t="shared" si="302"/>
        <v>0</v>
      </c>
      <c r="BJ219" s="329">
        <f t="shared" si="303"/>
        <v>0</v>
      </c>
      <c r="BK219" s="329">
        <f t="shared" si="303"/>
        <v>0</v>
      </c>
      <c r="BL219" s="329">
        <f t="shared" si="303"/>
        <v>0</v>
      </c>
      <c r="BM219" s="329">
        <f t="shared" si="303"/>
        <v>0</v>
      </c>
      <c r="BN219" s="329">
        <f t="shared" si="303"/>
        <v>0</v>
      </c>
      <c r="BO219" s="329">
        <f t="shared" si="303"/>
        <v>0</v>
      </c>
      <c r="BP219" s="329">
        <f t="shared" si="303"/>
        <v>0</v>
      </c>
      <c r="BQ219" s="329">
        <f t="shared" si="303"/>
        <v>0</v>
      </c>
      <c r="BR219" s="329">
        <f t="shared" si="303"/>
        <v>0</v>
      </c>
      <c r="BS219" s="329">
        <f t="shared" si="303"/>
        <v>0</v>
      </c>
      <c r="BT219" s="329">
        <f t="shared" si="304"/>
        <v>0</v>
      </c>
      <c r="BU219" s="329">
        <f t="shared" si="304"/>
        <v>0</v>
      </c>
      <c r="BV219" s="329">
        <f t="shared" si="304"/>
        <v>0</v>
      </c>
      <c r="BW219" s="329">
        <f t="shared" si="304"/>
        <v>0</v>
      </c>
      <c r="BX219" s="329">
        <f t="shared" si="304"/>
        <v>0</v>
      </c>
      <c r="BY219" s="329">
        <f t="shared" si="304"/>
        <v>0</v>
      </c>
      <c r="BZ219" s="329">
        <f t="shared" si="304"/>
        <v>0</v>
      </c>
      <c r="CA219" s="329">
        <f t="shared" si="304"/>
        <v>0</v>
      </c>
      <c r="CB219" s="329">
        <f t="shared" si="304"/>
        <v>0</v>
      </c>
      <c r="CC219" s="329">
        <f t="shared" si="304"/>
        <v>0</v>
      </c>
      <c r="CD219" s="329">
        <f t="shared" si="305"/>
        <v>0</v>
      </c>
      <c r="CE219" s="329">
        <f t="shared" si="305"/>
        <v>0</v>
      </c>
      <c r="CF219" s="329">
        <f t="shared" si="305"/>
        <v>0</v>
      </c>
      <c r="CG219" s="329">
        <f t="shared" si="305"/>
        <v>0</v>
      </c>
      <c r="CH219" s="329">
        <f t="shared" si="305"/>
        <v>0</v>
      </c>
      <c r="CI219" s="329">
        <f t="shared" si="305"/>
        <v>0</v>
      </c>
      <c r="CJ219" s="329">
        <f t="shared" si="305"/>
        <v>0</v>
      </c>
      <c r="CK219" s="329">
        <f t="shared" si="305"/>
        <v>0</v>
      </c>
      <c r="CL219" s="329">
        <f t="shared" si="305"/>
        <v>0</v>
      </c>
      <c r="CM219" s="329">
        <f t="shared" si="305"/>
        <v>0</v>
      </c>
      <c r="CN219" s="329">
        <f t="shared" si="306"/>
        <v>0</v>
      </c>
      <c r="CO219" s="329">
        <f t="shared" si="306"/>
        <v>0</v>
      </c>
      <c r="CP219" s="329">
        <f t="shared" si="306"/>
        <v>0</v>
      </c>
      <c r="CQ219" s="329">
        <f t="shared" si="306"/>
        <v>0</v>
      </c>
      <c r="CR219" s="329">
        <f t="shared" si="306"/>
        <v>0</v>
      </c>
      <c r="CS219" s="329">
        <f t="shared" si="306"/>
        <v>0</v>
      </c>
      <c r="CT219" s="329">
        <f t="shared" si="306"/>
        <v>0</v>
      </c>
      <c r="CU219" s="217"/>
      <c r="CV219" s="217"/>
      <c r="CW219" s="217"/>
      <c r="CX219" s="217"/>
      <c r="CY219" s="217"/>
      <c r="CZ219" s="217"/>
      <c r="DA219" s="217"/>
      <c r="DB219" s="217"/>
      <c r="DC219" s="217"/>
      <c r="DD219" s="217"/>
      <c r="DE219" s="217"/>
      <c r="DF219" s="217"/>
      <c r="DG219" s="217"/>
      <c r="DH219" s="217"/>
      <c r="DI219" s="217"/>
      <c r="DJ219" s="217"/>
      <c r="DK219" s="217"/>
      <c r="DL219" s="217"/>
      <c r="DM219" s="217"/>
      <c r="DN219" s="217"/>
      <c r="DO219" s="217"/>
      <c r="DP219" s="217"/>
      <c r="DQ219" s="217"/>
      <c r="DR219" s="217"/>
      <c r="DS219" s="217"/>
      <c r="DT219" s="217"/>
    </row>
    <row r="220" spans="1:124" x14ac:dyDescent="0.3">
      <c r="A220" s="217"/>
      <c r="B220" s="221">
        <f>Inputs!D24</f>
        <v>0</v>
      </c>
      <c r="C220" s="221"/>
      <c r="D220" s="221"/>
      <c r="E220" s="221"/>
      <c r="F220" s="221"/>
      <c r="G220" s="221"/>
      <c r="H220" s="221"/>
      <c r="I220" s="221"/>
      <c r="J220" s="326">
        <f t="shared" si="297"/>
        <v>0</v>
      </c>
      <c r="K220" s="326"/>
      <c r="L220" s="326">
        <f t="shared" si="298"/>
        <v>0</v>
      </c>
      <c r="M220" s="326">
        <f t="shared" si="298"/>
        <v>0</v>
      </c>
      <c r="N220" s="326">
        <f t="shared" si="298"/>
        <v>0</v>
      </c>
      <c r="O220" s="326">
        <f t="shared" si="298"/>
        <v>0</v>
      </c>
      <c r="P220" s="326">
        <f t="shared" si="298"/>
        <v>0</v>
      </c>
      <c r="Q220" s="326">
        <f t="shared" si="298"/>
        <v>0</v>
      </c>
      <c r="R220" s="326">
        <f t="shared" si="298"/>
        <v>0</v>
      </c>
      <c r="S220" s="326">
        <f t="shared" si="298"/>
        <v>0</v>
      </c>
      <c r="T220" s="326">
        <f t="shared" si="298"/>
        <v>0</v>
      </c>
      <c r="U220" s="326">
        <f t="shared" si="298"/>
        <v>0</v>
      </c>
      <c r="V220" s="326">
        <f t="shared" si="299"/>
        <v>0</v>
      </c>
      <c r="W220" s="326">
        <f t="shared" si="299"/>
        <v>0</v>
      </c>
      <c r="X220" s="326">
        <f t="shared" si="299"/>
        <v>0</v>
      </c>
      <c r="Y220" s="326">
        <f t="shared" si="299"/>
        <v>0</v>
      </c>
      <c r="Z220" s="326">
        <f t="shared" si="299"/>
        <v>0</v>
      </c>
      <c r="AA220" s="329">
        <f t="shared" si="299"/>
        <v>0</v>
      </c>
      <c r="AB220" s="329">
        <f t="shared" si="299"/>
        <v>0</v>
      </c>
      <c r="AC220" s="329">
        <f t="shared" si="299"/>
        <v>0</v>
      </c>
      <c r="AD220" s="329">
        <f t="shared" si="299"/>
        <v>0</v>
      </c>
      <c r="AE220" s="329">
        <f t="shared" si="299"/>
        <v>0</v>
      </c>
      <c r="AF220" s="329">
        <f t="shared" si="300"/>
        <v>0</v>
      </c>
      <c r="AG220" s="329">
        <f t="shared" si="300"/>
        <v>0</v>
      </c>
      <c r="AH220" s="329">
        <f t="shared" si="300"/>
        <v>0</v>
      </c>
      <c r="AI220" s="329">
        <f t="shared" si="300"/>
        <v>0</v>
      </c>
      <c r="AJ220" s="329">
        <f t="shared" si="300"/>
        <v>0</v>
      </c>
      <c r="AK220" s="329">
        <f t="shared" si="300"/>
        <v>0</v>
      </c>
      <c r="AL220" s="329">
        <f t="shared" si="300"/>
        <v>0</v>
      </c>
      <c r="AM220" s="329">
        <f t="shared" si="300"/>
        <v>0</v>
      </c>
      <c r="AN220" s="329">
        <f t="shared" si="300"/>
        <v>0</v>
      </c>
      <c r="AO220" s="329">
        <f t="shared" si="300"/>
        <v>0</v>
      </c>
      <c r="AP220" s="329">
        <f t="shared" si="301"/>
        <v>0</v>
      </c>
      <c r="AQ220" s="329">
        <f t="shared" si="301"/>
        <v>0</v>
      </c>
      <c r="AR220" s="329">
        <f t="shared" si="301"/>
        <v>0</v>
      </c>
      <c r="AS220" s="329">
        <f t="shared" si="301"/>
        <v>0</v>
      </c>
      <c r="AT220" s="329">
        <f t="shared" si="301"/>
        <v>0</v>
      </c>
      <c r="AU220" s="329">
        <f t="shared" si="301"/>
        <v>0</v>
      </c>
      <c r="AV220" s="329">
        <f t="shared" si="301"/>
        <v>0</v>
      </c>
      <c r="AW220" s="329">
        <f t="shared" si="301"/>
        <v>0</v>
      </c>
      <c r="AX220" s="329">
        <f t="shared" si="301"/>
        <v>0</v>
      </c>
      <c r="AY220" s="329">
        <f t="shared" si="301"/>
        <v>0</v>
      </c>
      <c r="AZ220" s="329">
        <f t="shared" si="302"/>
        <v>0</v>
      </c>
      <c r="BA220" s="329">
        <f t="shared" si="302"/>
        <v>0</v>
      </c>
      <c r="BB220" s="329">
        <f t="shared" si="302"/>
        <v>0</v>
      </c>
      <c r="BC220" s="329">
        <f t="shared" si="302"/>
        <v>0</v>
      </c>
      <c r="BD220" s="329">
        <f t="shared" si="302"/>
        <v>0</v>
      </c>
      <c r="BE220" s="329">
        <f t="shared" si="302"/>
        <v>0</v>
      </c>
      <c r="BF220" s="329">
        <f t="shared" si="302"/>
        <v>0</v>
      </c>
      <c r="BG220" s="329">
        <f t="shared" si="302"/>
        <v>0</v>
      </c>
      <c r="BH220" s="329">
        <f t="shared" si="302"/>
        <v>0</v>
      </c>
      <c r="BI220" s="329">
        <f t="shared" si="302"/>
        <v>0</v>
      </c>
      <c r="BJ220" s="329">
        <f t="shared" si="303"/>
        <v>0</v>
      </c>
      <c r="BK220" s="329">
        <f t="shared" si="303"/>
        <v>0</v>
      </c>
      <c r="BL220" s="329">
        <f t="shared" si="303"/>
        <v>0</v>
      </c>
      <c r="BM220" s="329">
        <f t="shared" si="303"/>
        <v>0</v>
      </c>
      <c r="BN220" s="329">
        <f t="shared" si="303"/>
        <v>0</v>
      </c>
      <c r="BO220" s="329">
        <f t="shared" si="303"/>
        <v>0</v>
      </c>
      <c r="BP220" s="329">
        <f t="shared" si="303"/>
        <v>0</v>
      </c>
      <c r="BQ220" s="329">
        <f t="shared" si="303"/>
        <v>0</v>
      </c>
      <c r="BR220" s="329">
        <f t="shared" si="303"/>
        <v>0</v>
      </c>
      <c r="BS220" s="329">
        <f t="shared" si="303"/>
        <v>0</v>
      </c>
      <c r="BT220" s="329">
        <f t="shared" si="304"/>
        <v>0</v>
      </c>
      <c r="BU220" s="329">
        <f t="shared" si="304"/>
        <v>0</v>
      </c>
      <c r="BV220" s="329">
        <f t="shared" si="304"/>
        <v>0</v>
      </c>
      <c r="BW220" s="329">
        <f t="shared" si="304"/>
        <v>0</v>
      </c>
      <c r="BX220" s="329">
        <f t="shared" si="304"/>
        <v>0</v>
      </c>
      <c r="BY220" s="329">
        <f t="shared" si="304"/>
        <v>0</v>
      </c>
      <c r="BZ220" s="329">
        <f t="shared" si="304"/>
        <v>0</v>
      </c>
      <c r="CA220" s="329">
        <f t="shared" si="304"/>
        <v>0</v>
      </c>
      <c r="CB220" s="329">
        <f t="shared" si="304"/>
        <v>0</v>
      </c>
      <c r="CC220" s="329">
        <f t="shared" si="304"/>
        <v>0</v>
      </c>
      <c r="CD220" s="329">
        <f t="shared" si="305"/>
        <v>0</v>
      </c>
      <c r="CE220" s="329">
        <f t="shared" si="305"/>
        <v>0</v>
      </c>
      <c r="CF220" s="329">
        <f t="shared" si="305"/>
        <v>0</v>
      </c>
      <c r="CG220" s="329">
        <f t="shared" si="305"/>
        <v>0</v>
      </c>
      <c r="CH220" s="329">
        <f t="shared" si="305"/>
        <v>0</v>
      </c>
      <c r="CI220" s="329">
        <f t="shared" si="305"/>
        <v>0</v>
      </c>
      <c r="CJ220" s="329">
        <f t="shared" si="305"/>
        <v>0</v>
      </c>
      <c r="CK220" s="329">
        <f t="shared" si="305"/>
        <v>0</v>
      </c>
      <c r="CL220" s="329">
        <f t="shared" si="305"/>
        <v>0</v>
      </c>
      <c r="CM220" s="329">
        <f t="shared" si="305"/>
        <v>0</v>
      </c>
      <c r="CN220" s="329">
        <f t="shared" si="306"/>
        <v>0</v>
      </c>
      <c r="CO220" s="329">
        <f t="shared" si="306"/>
        <v>0</v>
      </c>
      <c r="CP220" s="329">
        <f t="shared" si="306"/>
        <v>0</v>
      </c>
      <c r="CQ220" s="329">
        <f t="shared" si="306"/>
        <v>0</v>
      </c>
      <c r="CR220" s="329">
        <f t="shared" si="306"/>
        <v>0</v>
      </c>
      <c r="CS220" s="329">
        <f t="shared" si="306"/>
        <v>0</v>
      </c>
      <c r="CT220" s="329">
        <f t="shared" si="306"/>
        <v>0</v>
      </c>
      <c r="CU220" s="217"/>
      <c r="CV220" s="217"/>
      <c r="CW220" s="217"/>
      <c r="CX220" s="217"/>
      <c r="CY220" s="217"/>
      <c r="CZ220" s="217"/>
      <c r="DA220" s="217"/>
      <c r="DB220" s="217"/>
      <c r="DC220" s="217"/>
      <c r="DD220" s="217"/>
      <c r="DE220" s="217"/>
      <c r="DF220" s="217"/>
      <c r="DG220" s="217"/>
      <c r="DH220" s="217"/>
      <c r="DI220" s="217"/>
      <c r="DJ220" s="217"/>
      <c r="DK220" s="217"/>
      <c r="DL220" s="217"/>
      <c r="DM220" s="217"/>
      <c r="DN220" s="217"/>
      <c r="DO220" s="217"/>
      <c r="DP220" s="217"/>
      <c r="DQ220" s="217"/>
      <c r="DR220" s="217"/>
      <c r="DS220" s="217"/>
      <c r="DT220" s="217"/>
    </row>
    <row r="221" spans="1:124" x14ac:dyDescent="0.3">
      <c r="A221" s="217"/>
      <c r="B221" s="221">
        <f>Inputs!D25</f>
        <v>0</v>
      </c>
      <c r="C221" s="221"/>
      <c r="D221" s="221"/>
      <c r="E221" s="221"/>
      <c r="F221" s="221"/>
      <c r="G221" s="221"/>
      <c r="H221" s="221"/>
      <c r="I221" s="221"/>
      <c r="J221" s="326">
        <f t="shared" ref="J221:J231" si="307">SUMIF($C$4:$C$203,$B221,J$4:J$203)</f>
        <v>0</v>
      </c>
      <c r="K221" s="326"/>
      <c r="L221" s="326">
        <f t="shared" ref="L221:U231" si="308">SUMIF($C$4:$C$203,$B221,L$4:L$203)</f>
        <v>0</v>
      </c>
      <c r="M221" s="326">
        <f t="shared" si="308"/>
        <v>0</v>
      </c>
      <c r="N221" s="326">
        <f t="shared" si="308"/>
        <v>0</v>
      </c>
      <c r="O221" s="326">
        <f t="shared" si="308"/>
        <v>0</v>
      </c>
      <c r="P221" s="326">
        <f t="shared" si="308"/>
        <v>0</v>
      </c>
      <c r="Q221" s="326">
        <f t="shared" si="308"/>
        <v>0</v>
      </c>
      <c r="R221" s="326">
        <f t="shared" si="308"/>
        <v>0</v>
      </c>
      <c r="S221" s="326">
        <f t="shared" si="308"/>
        <v>0</v>
      </c>
      <c r="T221" s="326">
        <f t="shared" si="308"/>
        <v>0</v>
      </c>
      <c r="U221" s="326">
        <f t="shared" si="308"/>
        <v>0</v>
      </c>
      <c r="V221" s="326">
        <f t="shared" ref="V221:AE231" si="309">SUMIF($C$4:$C$203,$B221,V$4:V$203)</f>
        <v>0</v>
      </c>
      <c r="W221" s="326">
        <f t="shared" si="309"/>
        <v>0</v>
      </c>
      <c r="X221" s="326">
        <f t="shared" si="309"/>
        <v>0</v>
      </c>
      <c r="Y221" s="326">
        <f t="shared" si="309"/>
        <v>0</v>
      </c>
      <c r="Z221" s="326">
        <f t="shared" si="309"/>
        <v>0</v>
      </c>
      <c r="AA221" s="329">
        <f t="shared" si="309"/>
        <v>0</v>
      </c>
      <c r="AB221" s="329">
        <f t="shared" si="309"/>
        <v>0</v>
      </c>
      <c r="AC221" s="329">
        <f t="shared" si="309"/>
        <v>0</v>
      </c>
      <c r="AD221" s="329">
        <f t="shared" si="309"/>
        <v>0</v>
      </c>
      <c r="AE221" s="329">
        <f t="shared" si="309"/>
        <v>0</v>
      </c>
      <c r="AF221" s="329">
        <f t="shared" ref="AF221:AO231" si="310">SUMIF($C$4:$C$203,$B221,AF$4:AF$203)</f>
        <v>0</v>
      </c>
      <c r="AG221" s="329">
        <f t="shared" si="310"/>
        <v>0</v>
      </c>
      <c r="AH221" s="329">
        <f t="shared" si="310"/>
        <v>0</v>
      </c>
      <c r="AI221" s="329">
        <f t="shared" si="310"/>
        <v>0</v>
      </c>
      <c r="AJ221" s="329">
        <f t="shared" si="310"/>
        <v>0</v>
      </c>
      <c r="AK221" s="329">
        <f t="shared" si="310"/>
        <v>0</v>
      </c>
      <c r="AL221" s="329">
        <f t="shared" si="310"/>
        <v>0</v>
      </c>
      <c r="AM221" s="329">
        <f t="shared" si="310"/>
        <v>0</v>
      </c>
      <c r="AN221" s="329">
        <f t="shared" si="310"/>
        <v>0</v>
      </c>
      <c r="AO221" s="329">
        <f t="shared" si="310"/>
        <v>0</v>
      </c>
      <c r="AP221" s="329">
        <f t="shared" ref="AP221:AY231" si="311">SUMIF($C$4:$C$203,$B221,AP$4:AP$203)</f>
        <v>0</v>
      </c>
      <c r="AQ221" s="329">
        <f t="shared" si="311"/>
        <v>0</v>
      </c>
      <c r="AR221" s="329">
        <f t="shared" si="311"/>
        <v>0</v>
      </c>
      <c r="AS221" s="329">
        <f t="shared" si="311"/>
        <v>0</v>
      </c>
      <c r="AT221" s="329">
        <f t="shared" si="311"/>
        <v>0</v>
      </c>
      <c r="AU221" s="329">
        <f t="shared" si="311"/>
        <v>0</v>
      </c>
      <c r="AV221" s="329">
        <f t="shared" si="311"/>
        <v>0</v>
      </c>
      <c r="AW221" s="329">
        <f t="shared" si="311"/>
        <v>0</v>
      </c>
      <c r="AX221" s="329">
        <f t="shared" si="311"/>
        <v>0</v>
      </c>
      <c r="AY221" s="329">
        <f t="shared" si="311"/>
        <v>0</v>
      </c>
      <c r="AZ221" s="329">
        <f t="shared" ref="AZ221:BI231" si="312">SUMIF($C$4:$C$203,$B221,AZ$4:AZ$203)</f>
        <v>0</v>
      </c>
      <c r="BA221" s="329">
        <f t="shared" si="312"/>
        <v>0</v>
      </c>
      <c r="BB221" s="329">
        <f t="shared" si="312"/>
        <v>0</v>
      </c>
      <c r="BC221" s="329">
        <f t="shared" si="312"/>
        <v>0</v>
      </c>
      <c r="BD221" s="329">
        <f t="shared" si="312"/>
        <v>0</v>
      </c>
      <c r="BE221" s="329">
        <f t="shared" si="312"/>
        <v>0</v>
      </c>
      <c r="BF221" s="329">
        <f t="shared" si="312"/>
        <v>0</v>
      </c>
      <c r="BG221" s="329">
        <f t="shared" si="312"/>
        <v>0</v>
      </c>
      <c r="BH221" s="329">
        <f t="shared" si="312"/>
        <v>0</v>
      </c>
      <c r="BI221" s="329">
        <f t="shared" si="312"/>
        <v>0</v>
      </c>
      <c r="BJ221" s="329">
        <f t="shared" ref="BJ221:BS231" si="313">SUMIF($C$4:$C$203,$B221,BJ$4:BJ$203)</f>
        <v>0</v>
      </c>
      <c r="BK221" s="329">
        <f t="shared" si="313"/>
        <v>0</v>
      </c>
      <c r="BL221" s="329">
        <f t="shared" si="313"/>
        <v>0</v>
      </c>
      <c r="BM221" s="329">
        <f t="shared" si="313"/>
        <v>0</v>
      </c>
      <c r="BN221" s="329">
        <f t="shared" si="313"/>
        <v>0</v>
      </c>
      <c r="BO221" s="329">
        <f t="shared" si="313"/>
        <v>0</v>
      </c>
      <c r="BP221" s="329">
        <f t="shared" si="313"/>
        <v>0</v>
      </c>
      <c r="BQ221" s="329">
        <f t="shared" si="313"/>
        <v>0</v>
      </c>
      <c r="BR221" s="329">
        <f t="shared" si="313"/>
        <v>0</v>
      </c>
      <c r="BS221" s="329">
        <f t="shared" si="313"/>
        <v>0</v>
      </c>
      <c r="BT221" s="329">
        <f t="shared" ref="BT221:CC231" si="314">SUMIF($C$4:$C$203,$B221,BT$4:BT$203)</f>
        <v>0</v>
      </c>
      <c r="BU221" s="329">
        <f t="shared" si="314"/>
        <v>0</v>
      </c>
      <c r="BV221" s="329">
        <f t="shared" si="314"/>
        <v>0</v>
      </c>
      <c r="BW221" s="329">
        <f t="shared" si="314"/>
        <v>0</v>
      </c>
      <c r="BX221" s="329">
        <f t="shared" si="314"/>
        <v>0</v>
      </c>
      <c r="BY221" s="329">
        <f t="shared" si="314"/>
        <v>0</v>
      </c>
      <c r="BZ221" s="329">
        <f t="shared" si="314"/>
        <v>0</v>
      </c>
      <c r="CA221" s="329">
        <f t="shared" si="314"/>
        <v>0</v>
      </c>
      <c r="CB221" s="329">
        <f t="shared" si="314"/>
        <v>0</v>
      </c>
      <c r="CC221" s="329">
        <f t="shared" si="314"/>
        <v>0</v>
      </c>
      <c r="CD221" s="329">
        <f t="shared" ref="CD221:CM231" si="315">SUMIF($C$4:$C$203,$B221,CD$4:CD$203)</f>
        <v>0</v>
      </c>
      <c r="CE221" s="329">
        <f t="shared" si="315"/>
        <v>0</v>
      </c>
      <c r="CF221" s="329">
        <f t="shared" si="315"/>
        <v>0</v>
      </c>
      <c r="CG221" s="329">
        <f t="shared" si="315"/>
        <v>0</v>
      </c>
      <c r="CH221" s="329">
        <f t="shared" si="315"/>
        <v>0</v>
      </c>
      <c r="CI221" s="329">
        <f t="shared" si="315"/>
        <v>0</v>
      </c>
      <c r="CJ221" s="329">
        <f t="shared" si="315"/>
        <v>0</v>
      </c>
      <c r="CK221" s="329">
        <f t="shared" si="315"/>
        <v>0</v>
      </c>
      <c r="CL221" s="329">
        <f t="shared" si="315"/>
        <v>0</v>
      </c>
      <c r="CM221" s="329">
        <f t="shared" si="315"/>
        <v>0</v>
      </c>
      <c r="CN221" s="329">
        <f t="shared" ref="CN221:CT231" si="316">SUMIF($C$4:$C$203,$B221,CN$4:CN$203)</f>
        <v>0</v>
      </c>
      <c r="CO221" s="329">
        <f t="shared" si="316"/>
        <v>0</v>
      </c>
      <c r="CP221" s="329">
        <f t="shared" si="316"/>
        <v>0</v>
      </c>
      <c r="CQ221" s="329">
        <f t="shared" si="316"/>
        <v>0</v>
      </c>
      <c r="CR221" s="329">
        <f t="shared" si="316"/>
        <v>0</v>
      </c>
      <c r="CS221" s="329">
        <f t="shared" si="316"/>
        <v>0</v>
      </c>
      <c r="CT221" s="329">
        <f t="shared" si="316"/>
        <v>0</v>
      </c>
      <c r="CU221" s="217"/>
      <c r="CV221" s="217"/>
      <c r="CW221" s="217"/>
      <c r="CX221" s="217"/>
      <c r="CY221" s="217"/>
      <c r="CZ221" s="217"/>
      <c r="DA221" s="217"/>
      <c r="DB221" s="217"/>
      <c r="DC221" s="217"/>
      <c r="DD221" s="217"/>
      <c r="DE221" s="217"/>
      <c r="DF221" s="217"/>
      <c r="DG221" s="217"/>
      <c r="DH221" s="217"/>
      <c r="DI221" s="217"/>
      <c r="DJ221" s="217"/>
      <c r="DK221" s="217"/>
      <c r="DL221" s="217"/>
      <c r="DM221" s="217"/>
      <c r="DN221" s="217"/>
      <c r="DO221" s="217"/>
      <c r="DP221" s="217"/>
      <c r="DQ221" s="217"/>
      <c r="DR221" s="217"/>
      <c r="DS221" s="217"/>
      <c r="DT221" s="217"/>
    </row>
    <row r="222" spans="1:124" x14ac:dyDescent="0.3">
      <c r="A222" s="217"/>
      <c r="B222" s="221">
        <f>Inputs!D26</f>
        <v>0</v>
      </c>
      <c r="C222" s="221"/>
      <c r="D222" s="221"/>
      <c r="E222" s="221"/>
      <c r="F222" s="221"/>
      <c r="G222" s="221"/>
      <c r="H222" s="221"/>
      <c r="I222" s="221"/>
      <c r="J222" s="326">
        <f t="shared" si="307"/>
        <v>0</v>
      </c>
      <c r="K222" s="326"/>
      <c r="L222" s="326">
        <f t="shared" si="308"/>
        <v>0</v>
      </c>
      <c r="M222" s="326">
        <f t="shared" si="308"/>
        <v>0</v>
      </c>
      <c r="N222" s="326">
        <f t="shared" si="308"/>
        <v>0</v>
      </c>
      <c r="O222" s="326">
        <f t="shared" si="308"/>
        <v>0</v>
      </c>
      <c r="P222" s="326">
        <f t="shared" si="308"/>
        <v>0</v>
      </c>
      <c r="Q222" s="326">
        <f t="shared" si="308"/>
        <v>0</v>
      </c>
      <c r="R222" s="326">
        <f t="shared" si="308"/>
        <v>0</v>
      </c>
      <c r="S222" s="326">
        <f t="shared" si="308"/>
        <v>0</v>
      </c>
      <c r="T222" s="326">
        <f t="shared" si="308"/>
        <v>0</v>
      </c>
      <c r="U222" s="326">
        <f t="shared" si="308"/>
        <v>0</v>
      </c>
      <c r="V222" s="326">
        <f t="shared" si="309"/>
        <v>0</v>
      </c>
      <c r="W222" s="326">
        <f t="shared" si="309"/>
        <v>0</v>
      </c>
      <c r="X222" s="326">
        <f t="shared" si="309"/>
        <v>0</v>
      </c>
      <c r="Y222" s="326">
        <f t="shared" si="309"/>
        <v>0</v>
      </c>
      <c r="Z222" s="326">
        <f t="shared" si="309"/>
        <v>0</v>
      </c>
      <c r="AA222" s="329">
        <f t="shared" si="309"/>
        <v>0</v>
      </c>
      <c r="AB222" s="329">
        <f t="shared" si="309"/>
        <v>0</v>
      </c>
      <c r="AC222" s="329">
        <f t="shared" si="309"/>
        <v>0</v>
      </c>
      <c r="AD222" s="329">
        <f t="shared" si="309"/>
        <v>0</v>
      </c>
      <c r="AE222" s="329">
        <f t="shared" si="309"/>
        <v>0</v>
      </c>
      <c r="AF222" s="329">
        <f t="shared" si="310"/>
        <v>0</v>
      </c>
      <c r="AG222" s="329">
        <f t="shared" si="310"/>
        <v>0</v>
      </c>
      <c r="AH222" s="329">
        <f t="shared" si="310"/>
        <v>0</v>
      </c>
      <c r="AI222" s="329">
        <f t="shared" si="310"/>
        <v>0</v>
      </c>
      <c r="AJ222" s="329">
        <f t="shared" si="310"/>
        <v>0</v>
      </c>
      <c r="AK222" s="329">
        <f t="shared" si="310"/>
        <v>0</v>
      </c>
      <c r="AL222" s="329">
        <f t="shared" si="310"/>
        <v>0</v>
      </c>
      <c r="AM222" s="329">
        <f t="shared" si="310"/>
        <v>0</v>
      </c>
      <c r="AN222" s="329">
        <f t="shared" si="310"/>
        <v>0</v>
      </c>
      <c r="AO222" s="329">
        <f t="shared" si="310"/>
        <v>0</v>
      </c>
      <c r="AP222" s="329">
        <f t="shared" si="311"/>
        <v>0</v>
      </c>
      <c r="AQ222" s="329">
        <f t="shared" si="311"/>
        <v>0</v>
      </c>
      <c r="AR222" s="329">
        <f t="shared" si="311"/>
        <v>0</v>
      </c>
      <c r="AS222" s="329">
        <f t="shared" si="311"/>
        <v>0</v>
      </c>
      <c r="AT222" s="329">
        <f t="shared" si="311"/>
        <v>0</v>
      </c>
      <c r="AU222" s="329">
        <f t="shared" si="311"/>
        <v>0</v>
      </c>
      <c r="AV222" s="329">
        <f t="shared" si="311"/>
        <v>0</v>
      </c>
      <c r="AW222" s="329">
        <f t="shared" si="311"/>
        <v>0</v>
      </c>
      <c r="AX222" s="329">
        <f t="shared" si="311"/>
        <v>0</v>
      </c>
      <c r="AY222" s="329">
        <f t="shared" si="311"/>
        <v>0</v>
      </c>
      <c r="AZ222" s="329">
        <f t="shared" si="312"/>
        <v>0</v>
      </c>
      <c r="BA222" s="329">
        <f t="shared" si="312"/>
        <v>0</v>
      </c>
      <c r="BB222" s="329">
        <f t="shared" si="312"/>
        <v>0</v>
      </c>
      <c r="BC222" s="329">
        <f t="shared" si="312"/>
        <v>0</v>
      </c>
      <c r="BD222" s="329">
        <f t="shared" si="312"/>
        <v>0</v>
      </c>
      <c r="BE222" s="329">
        <f t="shared" si="312"/>
        <v>0</v>
      </c>
      <c r="BF222" s="329">
        <f t="shared" si="312"/>
        <v>0</v>
      </c>
      <c r="BG222" s="329">
        <f t="shared" si="312"/>
        <v>0</v>
      </c>
      <c r="BH222" s="329">
        <f t="shared" si="312"/>
        <v>0</v>
      </c>
      <c r="BI222" s="329">
        <f t="shared" si="312"/>
        <v>0</v>
      </c>
      <c r="BJ222" s="329">
        <f t="shared" si="313"/>
        <v>0</v>
      </c>
      <c r="BK222" s="329">
        <f t="shared" si="313"/>
        <v>0</v>
      </c>
      <c r="BL222" s="329">
        <f t="shared" si="313"/>
        <v>0</v>
      </c>
      <c r="BM222" s="329">
        <f t="shared" si="313"/>
        <v>0</v>
      </c>
      <c r="BN222" s="329">
        <f t="shared" si="313"/>
        <v>0</v>
      </c>
      <c r="BO222" s="329">
        <f t="shared" si="313"/>
        <v>0</v>
      </c>
      <c r="BP222" s="329">
        <f t="shared" si="313"/>
        <v>0</v>
      </c>
      <c r="BQ222" s="329">
        <f t="shared" si="313"/>
        <v>0</v>
      </c>
      <c r="BR222" s="329">
        <f t="shared" si="313"/>
        <v>0</v>
      </c>
      <c r="BS222" s="329">
        <f t="shared" si="313"/>
        <v>0</v>
      </c>
      <c r="BT222" s="329">
        <f t="shared" si="314"/>
        <v>0</v>
      </c>
      <c r="BU222" s="329">
        <f t="shared" si="314"/>
        <v>0</v>
      </c>
      <c r="BV222" s="329">
        <f t="shared" si="314"/>
        <v>0</v>
      </c>
      <c r="BW222" s="329">
        <f t="shared" si="314"/>
        <v>0</v>
      </c>
      <c r="BX222" s="329">
        <f t="shared" si="314"/>
        <v>0</v>
      </c>
      <c r="BY222" s="329">
        <f t="shared" si="314"/>
        <v>0</v>
      </c>
      <c r="BZ222" s="329">
        <f t="shared" si="314"/>
        <v>0</v>
      </c>
      <c r="CA222" s="329">
        <f t="shared" si="314"/>
        <v>0</v>
      </c>
      <c r="CB222" s="329">
        <f t="shared" si="314"/>
        <v>0</v>
      </c>
      <c r="CC222" s="329">
        <f t="shared" si="314"/>
        <v>0</v>
      </c>
      <c r="CD222" s="329">
        <f t="shared" si="315"/>
        <v>0</v>
      </c>
      <c r="CE222" s="329">
        <f t="shared" si="315"/>
        <v>0</v>
      </c>
      <c r="CF222" s="329">
        <f t="shared" si="315"/>
        <v>0</v>
      </c>
      <c r="CG222" s="329">
        <f t="shared" si="315"/>
        <v>0</v>
      </c>
      <c r="CH222" s="329">
        <f t="shared" si="315"/>
        <v>0</v>
      </c>
      <c r="CI222" s="329">
        <f t="shared" si="315"/>
        <v>0</v>
      </c>
      <c r="CJ222" s="329">
        <f t="shared" si="315"/>
        <v>0</v>
      </c>
      <c r="CK222" s="329">
        <f t="shared" si="315"/>
        <v>0</v>
      </c>
      <c r="CL222" s="329">
        <f t="shared" si="315"/>
        <v>0</v>
      </c>
      <c r="CM222" s="329">
        <f t="shared" si="315"/>
        <v>0</v>
      </c>
      <c r="CN222" s="329">
        <f t="shared" si="316"/>
        <v>0</v>
      </c>
      <c r="CO222" s="329">
        <f t="shared" si="316"/>
        <v>0</v>
      </c>
      <c r="CP222" s="329">
        <f t="shared" si="316"/>
        <v>0</v>
      </c>
      <c r="CQ222" s="329">
        <f t="shared" si="316"/>
        <v>0</v>
      </c>
      <c r="CR222" s="329">
        <f t="shared" si="316"/>
        <v>0</v>
      </c>
      <c r="CS222" s="329">
        <f t="shared" si="316"/>
        <v>0</v>
      </c>
      <c r="CT222" s="329">
        <f t="shared" si="316"/>
        <v>0</v>
      </c>
      <c r="CU222" s="217"/>
      <c r="CV222" s="217"/>
      <c r="CW222" s="217"/>
      <c r="CX222" s="217"/>
      <c r="CY222" s="217"/>
      <c r="CZ222" s="217"/>
      <c r="DA222" s="217"/>
      <c r="DB222" s="217"/>
      <c r="DC222" s="217"/>
      <c r="DD222" s="217"/>
      <c r="DE222" s="217"/>
      <c r="DF222" s="217"/>
      <c r="DG222" s="217"/>
      <c r="DH222" s="217"/>
      <c r="DI222" s="217"/>
      <c r="DJ222" s="217"/>
      <c r="DK222" s="217"/>
      <c r="DL222" s="217"/>
      <c r="DM222" s="217"/>
      <c r="DN222" s="217"/>
      <c r="DO222" s="217"/>
      <c r="DP222" s="217"/>
      <c r="DQ222" s="217"/>
      <c r="DR222" s="217"/>
      <c r="DS222" s="217"/>
      <c r="DT222" s="217"/>
    </row>
    <row r="223" spans="1:124" x14ac:dyDescent="0.3">
      <c r="A223" s="217"/>
      <c r="B223" s="221">
        <f>Inputs!D27</f>
        <v>0</v>
      </c>
      <c r="C223" s="221"/>
      <c r="D223" s="221"/>
      <c r="E223" s="221"/>
      <c r="F223" s="221"/>
      <c r="G223" s="221"/>
      <c r="H223" s="221"/>
      <c r="I223" s="221"/>
      <c r="J223" s="326">
        <f t="shared" si="307"/>
        <v>0</v>
      </c>
      <c r="K223" s="326"/>
      <c r="L223" s="326">
        <f t="shared" si="308"/>
        <v>0</v>
      </c>
      <c r="M223" s="326">
        <f t="shared" si="308"/>
        <v>0</v>
      </c>
      <c r="N223" s="326">
        <f t="shared" si="308"/>
        <v>0</v>
      </c>
      <c r="O223" s="326">
        <f t="shared" si="308"/>
        <v>0</v>
      </c>
      <c r="P223" s="326">
        <f t="shared" si="308"/>
        <v>0</v>
      </c>
      <c r="Q223" s="326">
        <f t="shared" si="308"/>
        <v>0</v>
      </c>
      <c r="R223" s="326">
        <f t="shared" si="308"/>
        <v>0</v>
      </c>
      <c r="S223" s="326">
        <f t="shared" si="308"/>
        <v>0</v>
      </c>
      <c r="T223" s="326">
        <f t="shared" si="308"/>
        <v>0</v>
      </c>
      <c r="U223" s="326">
        <f t="shared" si="308"/>
        <v>0</v>
      </c>
      <c r="V223" s="326">
        <f t="shared" si="309"/>
        <v>0</v>
      </c>
      <c r="W223" s="326">
        <f t="shared" si="309"/>
        <v>0</v>
      </c>
      <c r="X223" s="326">
        <f t="shared" si="309"/>
        <v>0</v>
      </c>
      <c r="Y223" s="326">
        <f t="shared" si="309"/>
        <v>0</v>
      </c>
      <c r="Z223" s="326">
        <f t="shared" si="309"/>
        <v>0</v>
      </c>
      <c r="AA223" s="329">
        <f t="shared" si="309"/>
        <v>0</v>
      </c>
      <c r="AB223" s="329">
        <f t="shared" si="309"/>
        <v>0</v>
      </c>
      <c r="AC223" s="329">
        <f t="shared" si="309"/>
        <v>0</v>
      </c>
      <c r="AD223" s="329">
        <f t="shared" si="309"/>
        <v>0</v>
      </c>
      <c r="AE223" s="329">
        <f t="shared" si="309"/>
        <v>0</v>
      </c>
      <c r="AF223" s="329">
        <f t="shared" si="310"/>
        <v>0</v>
      </c>
      <c r="AG223" s="329">
        <f t="shared" si="310"/>
        <v>0</v>
      </c>
      <c r="AH223" s="329">
        <f t="shared" si="310"/>
        <v>0</v>
      </c>
      <c r="AI223" s="329">
        <f t="shared" si="310"/>
        <v>0</v>
      </c>
      <c r="AJ223" s="329">
        <f t="shared" si="310"/>
        <v>0</v>
      </c>
      <c r="AK223" s="329">
        <f t="shared" si="310"/>
        <v>0</v>
      </c>
      <c r="AL223" s="329">
        <f t="shared" si="310"/>
        <v>0</v>
      </c>
      <c r="AM223" s="329">
        <f t="shared" si="310"/>
        <v>0</v>
      </c>
      <c r="AN223" s="329">
        <f t="shared" si="310"/>
        <v>0</v>
      </c>
      <c r="AO223" s="329">
        <f t="shared" si="310"/>
        <v>0</v>
      </c>
      <c r="AP223" s="329">
        <f t="shared" si="311"/>
        <v>0</v>
      </c>
      <c r="AQ223" s="329">
        <f t="shared" si="311"/>
        <v>0</v>
      </c>
      <c r="AR223" s="329">
        <f t="shared" si="311"/>
        <v>0</v>
      </c>
      <c r="AS223" s="329">
        <f t="shared" si="311"/>
        <v>0</v>
      </c>
      <c r="AT223" s="329">
        <f t="shared" si="311"/>
        <v>0</v>
      </c>
      <c r="AU223" s="329">
        <f t="shared" si="311"/>
        <v>0</v>
      </c>
      <c r="AV223" s="329">
        <f t="shared" si="311"/>
        <v>0</v>
      </c>
      <c r="AW223" s="329">
        <f t="shared" si="311"/>
        <v>0</v>
      </c>
      <c r="AX223" s="329">
        <f t="shared" si="311"/>
        <v>0</v>
      </c>
      <c r="AY223" s="329">
        <f t="shared" si="311"/>
        <v>0</v>
      </c>
      <c r="AZ223" s="329">
        <f t="shared" si="312"/>
        <v>0</v>
      </c>
      <c r="BA223" s="329">
        <f t="shared" si="312"/>
        <v>0</v>
      </c>
      <c r="BB223" s="329">
        <f t="shared" si="312"/>
        <v>0</v>
      </c>
      <c r="BC223" s="329">
        <f t="shared" si="312"/>
        <v>0</v>
      </c>
      <c r="BD223" s="329">
        <f t="shared" si="312"/>
        <v>0</v>
      </c>
      <c r="BE223" s="329">
        <f t="shared" si="312"/>
        <v>0</v>
      </c>
      <c r="BF223" s="329">
        <f t="shared" si="312"/>
        <v>0</v>
      </c>
      <c r="BG223" s="329">
        <f t="shared" si="312"/>
        <v>0</v>
      </c>
      <c r="BH223" s="329">
        <f t="shared" si="312"/>
        <v>0</v>
      </c>
      <c r="BI223" s="329">
        <f t="shared" si="312"/>
        <v>0</v>
      </c>
      <c r="BJ223" s="329">
        <f t="shared" si="313"/>
        <v>0</v>
      </c>
      <c r="BK223" s="329">
        <f t="shared" si="313"/>
        <v>0</v>
      </c>
      <c r="BL223" s="329">
        <f t="shared" si="313"/>
        <v>0</v>
      </c>
      <c r="BM223" s="329">
        <f t="shared" si="313"/>
        <v>0</v>
      </c>
      <c r="BN223" s="329">
        <f t="shared" si="313"/>
        <v>0</v>
      </c>
      <c r="BO223" s="329">
        <f t="shared" si="313"/>
        <v>0</v>
      </c>
      <c r="BP223" s="329">
        <f t="shared" si="313"/>
        <v>0</v>
      </c>
      <c r="BQ223" s="329">
        <f t="shared" si="313"/>
        <v>0</v>
      </c>
      <c r="BR223" s="329">
        <f t="shared" si="313"/>
        <v>0</v>
      </c>
      <c r="BS223" s="329">
        <f t="shared" si="313"/>
        <v>0</v>
      </c>
      <c r="BT223" s="329">
        <f t="shared" si="314"/>
        <v>0</v>
      </c>
      <c r="BU223" s="329">
        <f t="shared" si="314"/>
        <v>0</v>
      </c>
      <c r="BV223" s="329">
        <f t="shared" si="314"/>
        <v>0</v>
      </c>
      <c r="BW223" s="329">
        <f t="shared" si="314"/>
        <v>0</v>
      </c>
      <c r="BX223" s="329">
        <f t="shared" si="314"/>
        <v>0</v>
      </c>
      <c r="BY223" s="329">
        <f t="shared" si="314"/>
        <v>0</v>
      </c>
      <c r="BZ223" s="329">
        <f t="shared" si="314"/>
        <v>0</v>
      </c>
      <c r="CA223" s="329">
        <f t="shared" si="314"/>
        <v>0</v>
      </c>
      <c r="CB223" s="329">
        <f t="shared" si="314"/>
        <v>0</v>
      </c>
      <c r="CC223" s="329">
        <f t="shared" si="314"/>
        <v>0</v>
      </c>
      <c r="CD223" s="329">
        <f t="shared" si="315"/>
        <v>0</v>
      </c>
      <c r="CE223" s="329">
        <f t="shared" si="315"/>
        <v>0</v>
      </c>
      <c r="CF223" s="329">
        <f t="shared" si="315"/>
        <v>0</v>
      </c>
      <c r="CG223" s="329">
        <f t="shared" si="315"/>
        <v>0</v>
      </c>
      <c r="CH223" s="329">
        <f t="shared" si="315"/>
        <v>0</v>
      </c>
      <c r="CI223" s="329">
        <f t="shared" si="315"/>
        <v>0</v>
      </c>
      <c r="CJ223" s="329">
        <f t="shared" si="315"/>
        <v>0</v>
      </c>
      <c r="CK223" s="329">
        <f t="shared" si="315"/>
        <v>0</v>
      </c>
      <c r="CL223" s="329">
        <f t="shared" si="315"/>
        <v>0</v>
      </c>
      <c r="CM223" s="329">
        <f t="shared" si="315"/>
        <v>0</v>
      </c>
      <c r="CN223" s="329">
        <f t="shared" si="316"/>
        <v>0</v>
      </c>
      <c r="CO223" s="329">
        <f t="shared" si="316"/>
        <v>0</v>
      </c>
      <c r="CP223" s="329">
        <f t="shared" si="316"/>
        <v>0</v>
      </c>
      <c r="CQ223" s="329">
        <f t="shared" si="316"/>
        <v>0</v>
      </c>
      <c r="CR223" s="329">
        <f t="shared" si="316"/>
        <v>0</v>
      </c>
      <c r="CS223" s="329">
        <f t="shared" si="316"/>
        <v>0</v>
      </c>
      <c r="CT223" s="329">
        <f t="shared" si="316"/>
        <v>0</v>
      </c>
      <c r="CU223" s="217"/>
      <c r="CV223" s="217"/>
      <c r="CW223" s="217"/>
      <c r="CX223" s="217"/>
      <c r="CY223" s="217"/>
      <c r="CZ223" s="217"/>
      <c r="DA223" s="217"/>
      <c r="DB223" s="217"/>
      <c r="DC223" s="217"/>
      <c r="DD223" s="217"/>
      <c r="DE223" s="217"/>
      <c r="DF223" s="217"/>
      <c r="DG223" s="217"/>
      <c r="DH223" s="217"/>
      <c r="DI223" s="217"/>
      <c r="DJ223" s="217"/>
      <c r="DK223" s="217"/>
      <c r="DL223" s="217"/>
      <c r="DM223" s="217"/>
      <c r="DN223" s="217"/>
      <c r="DO223" s="217"/>
      <c r="DP223" s="217"/>
      <c r="DQ223" s="217"/>
      <c r="DR223" s="217"/>
      <c r="DS223" s="217"/>
      <c r="DT223" s="217"/>
    </row>
    <row r="224" spans="1:124" x14ac:dyDescent="0.3">
      <c r="A224" s="217"/>
      <c r="B224" s="221">
        <f>Inputs!D28</f>
        <v>0</v>
      </c>
      <c r="C224" s="221"/>
      <c r="D224" s="221"/>
      <c r="E224" s="221"/>
      <c r="F224" s="221"/>
      <c r="G224" s="221"/>
      <c r="H224" s="221"/>
      <c r="I224" s="221"/>
      <c r="J224" s="326">
        <f t="shared" si="307"/>
        <v>0</v>
      </c>
      <c r="K224" s="326"/>
      <c r="L224" s="326">
        <f t="shared" si="308"/>
        <v>0</v>
      </c>
      <c r="M224" s="326">
        <f t="shared" si="308"/>
        <v>0</v>
      </c>
      <c r="N224" s="326">
        <f t="shared" si="308"/>
        <v>0</v>
      </c>
      <c r="O224" s="326">
        <f t="shared" si="308"/>
        <v>0</v>
      </c>
      <c r="P224" s="326">
        <f t="shared" si="308"/>
        <v>0</v>
      </c>
      <c r="Q224" s="326">
        <f t="shared" si="308"/>
        <v>0</v>
      </c>
      <c r="R224" s="326">
        <f t="shared" si="308"/>
        <v>0</v>
      </c>
      <c r="S224" s="326">
        <f t="shared" si="308"/>
        <v>0</v>
      </c>
      <c r="T224" s="326">
        <f t="shared" si="308"/>
        <v>0</v>
      </c>
      <c r="U224" s="326">
        <f t="shared" si="308"/>
        <v>0</v>
      </c>
      <c r="V224" s="326">
        <f t="shared" si="309"/>
        <v>0</v>
      </c>
      <c r="W224" s="326">
        <f t="shared" si="309"/>
        <v>0</v>
      </c>
      <c r="X224" s="326">
        <f t="shared" si="309"/>
        <v>0</v>
      </c>
      <c r="Y224" s="326">
        <f t="shared" si="309"/>
        <v>0</v>
      </c>
      <c r="Z224" s="326">
        <f t="shared" si="309"/>
        <v>0</v>
      </c>
      <c r="AA224" s="329">
        <f t="shared" si="309"/>
        <v>0</v>
      </c>
      <c r="AB224" s="329">
        <f t="shared" si="309"/>
        <v>0</v>
      </c>
      <c r="AC224" s="329">
        <f t="shared" si="309"/>
        <v>0</v>
      </c>
      <c r="AD224" s="329">
        <f t="shared" si="309"/>
        <v>0</v>
      </c>
      <c r="AE224" s="329">
        <f t="shared" si="309"/>
        <v>0</v>
      </c>
      <c r="AF224" s="329">
        <f t="shared" si="310"/>
        <v>0</v>
      </c>
      <c r="AG224" s="329">
        <f t="shared" si="310"/>
        <v>0</v>
      </c>
      <c r="AH224" s="329">
        <f t="shared" si="310"/>
        <v>0</v>
      </c>
      <c r="AI224" s="329">
        <f t="shared" si="310"/>
        <v>0</v>
      </c>
      <c r="AJ224" s="329">
        <f t="shared" si="310"/>
        <v>0</v>
      </c>
      <c r="AK224" s="329">
        <f t="shared" si="310"/>
        <v>0</v>
      </c>
      <c r="AL224" s="329">
        <f t="shared" si="310"/>
        <v>0</v>
      </c>
      <c r="AM224" s="329">
        <f t="shared" si="310"/>
        <v>0</v>
      </c>
      <c r="AN224" s="329">
        <f t="shared" si="310"/>
        <v>0</v>
      </c>
      <c r="AO224" s="329">
        <f t="shared" si="310"/>
        <v>0</v>
      </c>
      <c r="AP224" s="329">
        <f t="shared" si="311"/>
        <v>0</v>
      </c>
      <c r="AQ224" s="329">
        <f t="shared" si="311"/>
        <v>0</v>
      </c>
      <c r="AR224" s="329">
        <f t="shared" si="311"/>
        <v>0</v>
      </c>
      <c r="AS224" s="329">
        <f t="shared" si="311"/>
        <v>0</v>
      </c>
      <c r="AT224" s="329">
        <f t="shared" si="311"/>
        <v>0</v>
      </c>
      <c r="AU224" s="329">
        <f t="shared" si="311"/>
        <v>0</v>
      </c>
      <c r="AV224" s="329">
        <f t="shared" si="311"/>
        <v>0</v>
      </c>
      <c r="AW224" s="329">
        <f t="shared" si="311"/>
        <v>0</v>
      </c>
      <c r="AX224" s="329">
        <f t="shared" si="311"/>
        <v>0</v>
      </c>
      <c r="AY224" s="329">
        <f t="shared" si="311"/>
        <v>0</v>
      </c>
      <c r="AZ224" s="329">
        <f t="shared" si="312"/>
        <v>0</v>
      </c>
      <c r="BA224" s="329">
        <f t="shared" si="312"/>
        <v>0</v>
      </c>
      <c r="BB224" s="329">
        <f t="shared" si="312"/>
        <v>0</v>
      </c>
      <c r="BC224" s="329">
        <f t="shared" si="312"/>
        <v>0</v>
      </c>
      <c r="BD224" s="329">
        <f t="shared" si="312"/>
        <v>0</v>
      </c>
      <c r="BE224" s="329">
        <f t="shared" si="312"/>
        <v>0</v>
      </c>
      <c r="BF224" s="329">
        <f t="shared" si="312"/>
        <v>0</v>
      </c>
      <c r="BG224" s="329">
        <f t="shared" si="312"/>
        <v>0</v>
      </c>
      <c r="BH224" s="329">
        <f t="shared" si="312"/>
        <v>0</v>
      </c>
      <c r="BI224" s="329">
        <f t="shared" si="312"/>
        <v>0</v>
      </c>
      <c r="BJ224" s="329">
        <f t="shared" si="313"/>
        <v>0</v>
      </c>
      <c r="BK224" s="329">
        <f t="shared" si="313"/>
        <v>0</v>
      </c>
      <c r="BL224" s="329">
        <f t="shared" si="313"/>
        <v>0</v>
      </c>
      <c r="BM224" s="329">
        <f t="shared" si="313"/>
        <v>0</v>
      </c>
      <c r="BN224" s="329">
        <f t="shared" si="313"/>
        <v>0</v>
      </c>
      <c r="BO224" s="329">
        <f t="shared" si="313"/>
        <v>0</v>
      </c>
      <c r="BP224" s="329">
        <f t="shared" si="313"/>
        <v>0</v>
      </c>
      <c r="BQ224" s="329">
        <f t="shared" si="313"/>
        <v>0</v>
      </c>
      <c r="BR224" s="329">
        <f t="shared" si="313"/>
        <v>0</v>
      </c>
      <c r="BS224" s="329">
        <f t="shared" si="313"/>
        <v>0</v>
      </c>
      <c r="BT224" s="329">
        <f t="shared" si="314"/>
        <v>0</v>
      </c>
      <c r="BU224" s="329">
        <f t="shared" si="314"/>
        <v>0</v>
      </c>
      <c r="BV224" s="329">
        <f t="shared" si="314"/>
        <v>0</v>
      </c>
      <c r="BW224" s="329">
        <f t="shared" si="314"/>
        <v>0</v>
      </c>
      <c r="BX224" s="329">
        <f t="shared" si="314"/>
        <v>0</v>
      </c>
      <c r="BY224" s="329">
        <f t="shared" si="314"/>
        <v>0</v>
      </c>
      <c r="BZ224" s="329">
        <f t="shared" si="314"/>
        <v>0</v>
      </c>
      <c r="CA224" s="329">
        <f t="shared" si="314"/>
        <v>0</v>
      </c>
      <c r="CB224" s="329">
        <f t="shared" si="314"/>
        <v>0</v>
      </c>
      <c r="CC224" s="329">
        <f t="shared" si="314"/>
        <v>0</v>
      </c>
      <c r="CD224" s="329">
        <f t="shared" si="315"/>
        <v>0</v>
      </c>
      <c r="CE224" s="329">
        <f t="shared" si="315"/>
        <v>0</v>
      </c>
      <c r="CF224" s="329">
        <f t="shared" si="315"/>
        <v>0</v>
      </c>
      <c r="CG224" s="329">
        <f t="shared" si="315"/>
        <v>0</v>
      </c>
      <c r="CH224" s="329">
        <f t="shared" si="315"/>
        <v>0</v>
      </c>
      <c r="CI224" s="329">
        <f t="shared" si="315"/>
        <v>0</v>
      </c>
      <c r="CJ224" s="329">
        <f t="shared" si="315"/>
        <v>0</v>
      </c>
      <c r="CK224" s="329">
        <f t="shared" si="315"/>
        <v>0</v>
      </c>
      <c r="CL224" s="329">
        <f t="shared" si="315"/>
        <v>0</v>
      </c>
      <c r="CM224" s="329">
        <f t="shared" si="315"/>
        <v>0</v>
      </c>
      <c r="CN224" s="329">
        <f t="shared" si="316"/>
        <v>0</v>
      </c>
      <c r="CO224" s="329">
        <f t="shared" si="316"/>
        <v>0</v>
      </c>
      <c r="CP224" s="329">
        <f t="shared" si="316"/>
        <v>0</v>
      </c>
      <c r="CQ224" s="329">
        <f t="shared" si="316"/>
        <v>0</v>
      </c>
      <c r="CR224" s="329">
        <f t="shared" si="316"/>
        <v>0</v>
      </c>
      <c r="CS224" s="329">
        <f t="shared" si="316"/>
        <v>0</v>
      </c>
      <c r="CT224" s="329">
        <f t="shared" si="316"/>
        <v>0</v>
      </c>
      <c r="CU224" s="217"/>
      <c r="CV224" s="217"/>
      <c r="CW224" s="217"/>
      <c r="CX224" s="217"/>
      <c r="CY224" s="217"/>
      <c r="CZ224" s="217"/>
      <c r="DA224" s="217"/>
      <c r="DB224" s="217"/>
      <c r="DC224" s="217"/>
      <c r="DD224" s="217"/>
      <c r="DE224" s="217"/>
      <c r="DF224" s="217"/>
      <c r="DG224" s="217"/>
      <c r="DH224" s="217"/>
      <c r="DI224" s="217"/>
      <c r="DJ224" s="217"/>
      <c r="DK224" s="217"/>
      <c r="DL224" s="217"/>
      <c r="DM224" s="217"/>
      <c r="DN224" s="217"/>
      <c r="DO224" s="217"/>
      <c r="DP224" s="217"/>
      <c r="DQ224" s="217"/>
      <c r="DR224" s="217"/>
      <c r="DS224" s="217"/>
      <c r="DT224" s="217"/>
    </row>
    <row r="225" spans="1:124" x14ac:dyDescent="0.3">
      <c r="A225" s="217"/>
      <c r="B225" s="221">
        <f>Inputs!D29</f>
        <v>0</v>
      </c>
      <c r="C225" s="221"/>
      <c r="D225" s="221"/>
      <c r="E225" s="221"/>
      <c r="F225" s="221"/>
      <c r="G225" s="221"/>
      <c r="H225" s="221"/>
      <c r="I225" s="221"/>
      <c r="J225" s="326">
        <f t="shared" si="307"/>
        <v>0</v>
      </c>
      <c r="K225" s="326"/>
      <c r="L225" s="326">
        <f t="shared" si="308"/>
        <v>0</v>
      </c>
      <c r="M225" s="326">
        <f t="shared" si="308"/>
        <v>0</v>
      </c>
      <c r="N225" s="326">
        <f t="shared" si="308"/>
        <v>0</v>
      </c>
      <c r="O225" s="326">
        <f t="shared" si="308"/>
        <v>0</v>
      </c>
      <c r="P225" s="326">
        <f t="shared" si="308"/>
        <v>0</v>
      </c>
      <c r="Q225" s="326">
        <f t="shared" si="308"/>
        <v>0</v>
      </c>
      <c r="R225" s="326">
        <f t="shared" si="308"/>
        <v>0</v>
      </c>
      <c r="S225" s="326">
        <f t="shared" si="308"/>
        <v>0</v>
      </c>
      <c r="T225" s="326">
        <f t="shared" si="308"/>
        <v>0</v>
      </c>
      <c r="U225" s="326">
        <f t="shared" si="308"/>
        <v>0</v>
      </c>
      <c r="V225" s="326">
        <f t="shared" si="309"/>
        <v>0</v>
      </c>
      <c r="W225" s="326">
        <f t="shared" si="309"/>
        <v>0</v>
      </c>
      <c r="X225" s="326">
        <f t="shared" si="309"/>
        <v>0</v>
      </c>
      <c r="Y225" s="326">
        <f t="shared" si="309"/>
        <v>0</v>
      </c>
      <c r="Z225" s="326">
        <f t="shared" si="309"/>
        <v>0</v>
      </c>
      <c r="AA225" s="329">
        <f t="shared" si="309"/>
        <v>0</v>
      </c>
      <c r="AB225" s="329">
        <f t="shared" si="309"/>
        <v>0</v>
      </c>
      <c r="AC225" s="329">
        <f t="shared" si="309"/>
        <v>0</v>
      </c>
      <c r="AD225" s="329">
        <f t="shared" si="309"/>
        <v>0</v>
      </c>
      <c r="AE225" s="329">
        <f t="shared" si="309"/>
        <v>0</v>
      </c>
      <c r="AF225" s="329">
        <f t="shared" si="310"/>
        <v>0</v>
      </c>
      <c r="AG225" s="329">
        <f t="shared" si="310"/>
        <v>0</v>
      </c>
      <c r="AH225" s="329">
        <f t="shared" si="310"/>
        <v>0</v>
      </c>
      <c r="AI225" s="329">
        <f t="shared" si="310"/>
        <v>0</v>
      </c>
      <c r="AJ225" s="329">
        <f t="shared" si="310"/>
        <v>0</v>
      </c>
      <c r="AK225" s="329">
        <f t="shared" si="310"/>
        <v>0</v>
      </c>
      <c r="AL225" s="329">
        <f t="shared" si="310"/>
        <v>0</v>
      </c>
      <c r="AM225" s="329">
        <f t="shared" si="310"/>
        <v>0</v>
      </c>
      <c r="AN225" s="329">
        <f t="shared" si="310"/>
        <v>0</v>
      </c>
      <c r="AO225" s="329">
        <f t="shared" si="310"/>
        <v>0</v>
      </c>
      <c r="AP225" s="329">
        <f t="shared" si="311"/>
        <v>0</v>
      </c>
      <c r="AQ225" s="329">
        <f t="shared" si="311"/>
        <v>0</v>
      </c>
      <c r="AR225" s="329">
        <f t="shared" si="311"/>
        <v>0</v>
      </c>
      <c r="AS225" s="329">
        <f t="shared" si="311"/>
        <v>0</v>
      </c>
      <c r="AT225" s="329">
        <f t="shared" si="311"/>
        <v>0</v>
      </c>
      <c r="AU225" s="329">
        <f t="shared" si="311"/>
        <v>0</v>
      </c>
      <c r="AV225" s="329">
        <f t="shared" si="311"/>
        <v>0</v>
      </c>
      <c r="AW225" s="329">
        <f t="shared" si="311"/>
        <v>0</v>
      </c>
      <c r="AX225" s="329">
        <f t="shared" si="311"/>
        <v>0</v>
      </c>
      <c r="AY225" s="329">
        <f t="shared" si="311"/>
        <v>0</v>
      </c>
      <c r="AZ225" s="329">
        <f t="shared" si="312"/>
        <v>0</v>
      </c>
      <c r="BA225" s="329">
        <f t="shared" si="312"/>
        <v>0</v>
      </c>
      <c r="BB225" s="329">
        <f t="shared" si="312"/>
        <v>0</v>
      </c>
      <c r="BC225" s="329">
        <f t="shared" si="312"/>
        <v>0</v>
      </c>
      <c r="BD225" s="329">
        <f t="shared" si="312"/>
        <v>0</v>
      </c>
      <c r="BE225" s="329">
        <f t="shared" si="312"/>
        <v>0</v>
      </c>
      <c r="BF225" s="329">
        <f t="shared" si="312"/>
        <v>0</v>
      </c>
      <c r="BG225" s="329">
        <f t="shared" si="312"/>
        <v>0</v>
      </c>
      <c r="BH225" s="329">
        <f t="shared" si="312"/>
        <v>0</v>
      </c>
      <c r="BI225" s="329">
        <f t="shared" si="312"/>
        <v>0</v>
      </c>
      <c r="BJ225" s="329">
        <f t="shared" si="313"/>
        <v>0</v>
      </c>
      <c r="BK225" s="329">
        <f t="shared" si="313"/>
        <v>0</v>
      </c>
      <c r="BL225" s="329">
        <f t="shared" si="313"/>
        <v>0</v>
      </c>
      <c r="BM225" s="329">
        <f t="shared" si="313"/>
        <v>0</v>
      </c>
      <c r="BN225" s="329">
        <f t="shared" si="313"/>
        <v>0</v>
      </c>
      <c r="BO225" s="329">
        <f t="shared" si="313"/>
        <v>0</v>
      </c>
      <c r="BP225" s="329">
        <f t="shared" si="313"/>
        <v>0</v>
      </c>
      <c r="BQ225" s="329">
        <f t="shared" si="313"/>
        <v>0</v>
      </c>
      <c r="BR225" s="329">
        <f t="shared" si="313"/>
        <v>0</v>
      </c>
      <c r="BS225" s="329">
        <f t="shared" si="313"/>
        <v>0</v>
      </c>
      <c r="BT225" s="329">
        <f t="shared" si="314"/>
        <v>0</v>
      </c>
      <c r="BU225" s="329">
        <f t="shared" si="314"/>
        <v>0</v>
      </c>
      <c r="BV225" s="329">
        <f t="shared" si="314"/>
        <v>0</v>
      </c>
      <c r="BW225" s="329">
        <f t="shared" si="314"/>
        <v>0</v>
      </c>
      <c r="BX225" s="329">
        <f t="shared" si="314"/>
        <v>0</v>
      </c>
      <c r="BY225" s="329">
        <f t="shared" si="314"/>
        <v>0</v>
      </c>
      <c r="BZ225" s="329">
        <f t="shared" si="314"/>
        <v>0</v>
      </c>
      <c r="CA225" s="329">
        <f t="shared" si="314"/>
        <v>0</v>
      </c>
      <c r="CB225" s="329">
        <f t="shared" si="314"/>
        <v>0</v>
      </c>
      <c r="CC225" s="329">
        <f t="shared" si="314"/>
        <v>0</v>
      </c>
      <c r="CD225" s="329">
        <f t="shared" si="315"/>
        <v>0</v>
      </c>
      <c r="CE225" s="329">
        <f t="shared" si="315"/>
        <v>0</v>
      </c>
      <c r="CF225" s="329">
        <f t="shared" si="315"/>
        <v>0</v>
      </c>
      <c r="CG225" s="329">
        <f t="shared" si="315"/>
        <v>0</v>
      </c>
      <c r="CH225" s="329">
        <f t="shared" si="315"/>
        <v>0</v>
      </c>
      <c r="CI225" s="329">
        <f t="shared" si="315"/>
        <v>0</v>
      </c>
      <c r="CJ225" s="329">
        <f t="shared" si="315"/>
        <v>0</v>
      </c>
      <c r="CK225" s="329">
        <f t="shared" si="315"/>
        <v>0</v>
      </c>
      <c r="CL225" s="329">
        <f t="shared" si="315"/>
        <v>0</v>
      </c>
      <c r="CM225" s="329">
        <f t="shared" si="315"/>
        <v>0</v>
      </c>
      <c r="CN225" s="329">
        <f t="shared" si="316"/>
        <v>0</v>
      </c>
      <c r="CO225" s="329">
        <f t="shared" si="316"/>
        <v>0</v>
      </c>
      <c r="CP225" s="329">
        <f t="shared" si="316"/>
        <v>0</v>
      </c>
      <c r="CQ225" s="329">
        <f t="shared" si="316"/>
        <v>0</v>
      </c>
      <c r="CR225" s="329">
        <f t="shared" si="316"/>
        <v>0</v>
      </c>
      <c r="CS225" s="329">
        <f t="shared" si="316"/>
        <v>0</v>
      </c>
      <c r="CT225" s="329">
        <f t="shared" si="316"/>
        <v>0</v>
      </c>
      <c r="CU225" s="217"/>
      <c r="CV225" s="217"/>
      <c r="CW225" s="217"/>
      <c r="CX225" s="217"/>
      <c r="CY225" s="217"/>
      <c r="CZ225" s="217"/>
      <c r="DA225" s="217"/>
      <c r="DB225" s="217"/>
      <c r="DC225" s="217"/>
      <c r="DD225" s="217"/>
      <c r="DE225" s="217"/>
      <c r="DF225" s="217"/>
      <c r="DG225" s="217"/>
      <c r="DH225" s="217"/>
      <c r="DI225" s="217"/>
      <c r="DJ225" s="217"/>
      <c r="DK225" s="217"/>
      <c r="DL225" s="217"/>
      <c r="DM225" s="217"/>
      <c r="DN225" s="217"/>
      <c r="DO225" s="217"/>
      <c r="DP225" s="217"/>
      <c r="DQ225" s="217"/>
      <c r="DR225" s="217"/>
      <c r="DS225" s="217"/>
      <c r="DT225" s="217"/>
    </row>
    <row r="226" spans="1:124" x14ac:dyDescent="0.3">
      <c r="A226" s="217"/>
      <c r="B226" s="221">
        <f>Inputs!D30</f>
        <v>0</v>
      </c>
      <c r="C226" s="221"/>
      <c r="D226" s="221"/>
      <c r="E226" s="221"/>
      <c r="F226" s="221"/>
      <c r="G226" s="221"/>
      <c r="H226" s="221"/>
      <c r="I226" s="221"/>
      <c r="J226" s="326">
        <f t="shared" si="307"/>
        <v>0</v>
      </c>
      <c r="K226" s="326"/>
      <c r="L226" s="326">
        <f t="shared" si="308"/>
        <v>0</v>
      </c>
      <c r="M226" s="326">
        <f t="shared" si="308"/>
        <v>0</v>
      </c>
      <c r="N226" s="326">
        <f t="shared" si="308"/>
        <v>0</v>
      </c>
      <c r="O226" s="326">
        <f t="shared" si="308"/>
        <v>0</v>
      </c>
      <c r="P226" s="326">
        <f t="shared" si="308"/>
        <v>0</v>
      </c>
      <c r="Q226" s="326">
        <f t="shared" si="308"/>
        <v>0</v>
      </c>
      <c r="R226" s="326">
        <f t="shared" si="308"/>
        <v>0</v>
      </c>
      <c r="S226" s="326">
        <f t="shared" si="308"/>
        <v>0</v>
      </c>
      <c r="T226" s="326">
        <f t="shared" si="308"/>
        <v>0</v>
      </c>
      <c r="U226" s="326">
        <f t="shared" si="308"/>
        <v>0</v>
      </c>
      <c r="V226" s="326">
        <f t="shared" si="309"/>
        <v>0</v>
      </c>
      <c r="W226" s="326">
        <f t="shared" si="309"/>
        <v>0</v>
      </c>
      <c r="X226" s="326">
        <f t="shared" si="309"/>
        <v>0</v>
      </c>
      <c r="Y226" s="326">
        <f t="shared" si="309"/>
        <v>0</v>
      </c>
      <c r="Z226" s="326">
        <f t="shared" si="309"/>
        <v>0</v>
      </c>
      <c r="AA226" s="329">
        <f t="shared" si="309"/>
        <v>0</v>
      </c>
      <c r="AB226" s="329">
        <f t="shared" si="309"/>
        <v>0</v>
      </c>
      <c r="AC226" s="329">
        <f t="shared" si="309"/>
        <v>0</v>
      </c>
      <c r="AD226" s="329">
        <f t="shared" si="309"/>
        <v>0</v>
      </c>
      <c r="AE226" s="329">
        <f t="shared" si="309"/>
        <v>0</v>
      </c>
      <c r="AF226" s="329">
        <f t="shared" si="310"/>
        <v>0</v>
      </c>
      <c r="AG226" s="329">
        <f t="shared" si="310"/>
        <v>0</v>
      </c>
      <c r="AH226" s="329">
        <f t="shared" si="310"/>
        <v>0</v>
      </c>
      <c r="AI226" s="329">
        <f t="shared" si="310"/>
        <v>0</v>
      </c>
      <c r="AJ226" s="329">
        <f t="shared" si="310"/>
        <v>0</v>
      </c>
      <c r="AK226" s="329">
        <f t="shared" si="310"/>
        <v>0</v>
      </c>
      <c r="AL226" s="329">
        <f t="shared" si="310"/>
        <v>0</v>
      </c>
      <c r="AM226" s="329">
        <f t="shared" si="310"/>
        <v>0</v>
      </c>
      <c r="AN226" s="329">
        <f t="shared" si="310"/>
        <v>0</v>
      </c>
      <c r="AO226" s="329">
        <f t="shared" si="310"/>
        <v>0</v>
      </c>
      <c r="AP226" s="329">
        <f t="shared" si="311"/>
        <v>0</v>
      </c>
      <c r="AQ226" s="329">
        <f t="shared" si="311"/>
        <v>0</v>
      </c>
      <c r="AR226" s="329">
        <f t="shared" si="311"/>
        <v>0</v>
      </c>
      <c r="AS226" s="329">
        <f t="shared" si="311"/>
        <v>0</v>
      </c>
      <c r="AT226" s="329">
        <f t="shared" si="311"/>
        <v>0</v>
      </c>
      <c r="AU226" s="329">
        <f t="shared" si="311"/>
        <v>0</v>
      </c>
      <c r="AV226" s="329">
        <f t="shared" si="311"/>
        <v>0</v>
      </c>
      <c r="AW226" s="329">
        <f t="shared" si="311"/>
        <v>0</v>
      </c>
      <c r="AX226" s="329">
        <f t="shared" si="311"/>
        <v>0</v>
      </c>
      <c r="AY226" s="329">
        <f t="shared" si="311"/>
        <v>0</v>
      </c>
      <c r="AZ226" s="329">
        <f t="shared" si="312"/>
        <v>0</v>
      </c>
      <c r="BA226" s="329">
        <f t="shared" si="312"/>
        <v>0</v>
      </c>
      <c r="BB226" s="329">
        <f t="shared" si="312"/>
        <v>0</v>
      </c>
      <c r="BC226" s="329">
        <f t="shared" si="312"/>
        <v>0</v>
      </c>
      <c r="BD226" s="329">
        <f t="shared" si="312"/>
        <v>0</v>
      </c>
      <c r="BE226" s="329">
        <f t="shared" si="312"/>
        <v>0</v>
      </c>
      <c r="BF226" s="329">
        <f t="shared" si="312"/>
        <v>0</v>
      </c>
      <c r="BG226" s="329">
        <f t="shared" si="312"/>
        <v>0</v>
      </c>
      <c r="BH226" s="329">
        <f t="shared" si="312"/>
        <v>0</v>
      </c>
      <c r="BI226" s="329">
        <f t="shared" si="312"/>
        <v>0</v>
      </c>
      <c r="BJ226" s="329">
        <f t="shared" si="313"/>
        <v>0</v>
      </c>
      <c r="BK226" s="329">
        <f t="shared" si="313"/>
        <v>0</v>
      </c>
      <c r="BL226" s="329">
        <f t="shared" si="313"/>
        <v>0</v>
      </c>
      <c r="BM226" s="329">
        <f t="shared" si="313"/>
        <v>0</v>
      </c>
      <c r="BN226" s="329">
        <f t="shared" si="313"/>
        <v>0</v>
      </c>
      <c r="BO226" s="329">
        <f t="shared" si="313"/>
        <v>0</v>
      </c>
      <c r="BP226" s="329">
        <f t="shared" si="313"/>
        <v>0</v>
      </c>
      <c r="BQ226" s="329">
        <f t="shared" si="313"/>
        <v>0</v>
      </c>
      <c r="BR226" s="329">
        <f t="shared" si="313"/>
        <v>0</v>
      </c>
      <c r="BS226" s="329">
        <f t="shared" si="313"/>
        <v>0</v>
      </c>
      <c r="BT226" s="329">
        <f t="shared" si="314"/>
        <v>0</v>
      </c>
      <c r="BU226" s="329">
        <f t="shared" si="314"/>
        <v>0</v>
      </c>
      <c r="BV226" s="329">
        <f t="shared" si="314"/>
        <v>0</v>
      </c>
      <c r="BW226" s="329">
        <f t="shared" si="314"/>
        <v>0</v>
      </c>
      <c r="BX226" s="329">
        <f t="shared" si="314"/>
        <v>0</v>
      </c>
      <c r="BY226" s="329">
        <f t="shared" si="314"/>
        <v>0</v>
      </c>
      <c r="BZ226" s="329">
        <f t="shared" si="314"/>
        <v>0</v>
      </c>
      <c r="CA226" s="329">
        <f t="shared" si="314"/>
        <v>0</v>
      </c>
      <c r="CB226" s="329">
        <f t="shared" si="314"/>
        <v>0</v>
      </c>
      <c r="CC226" s="329">
        <f t="shared" si="314"/>
        <v>0</v>
      </c>
      <c r="CD226" s="329">
        <f t="shared" si="315"/>
        <v>0</v>
      </c>
      <c r="CE226" s="329">
        <f t="shared" si="315"/>
        <v>0</v>
      </c>
      <c r="CF226" s="329">
        <f t="shared" si="315"/>
        <v>0</v>
      </c>
      <c r="CG226" s="329">
        <f t="shared" si="315"/>
        <v>0</v>
      </c>
      <c r="CH226" s="329">
        <f t="shared" si="315"/>
        <v>0</v>
      </c>
      <c r="CI226" s="329">
        <f t="shared" si="315"/>
        <v>0</v>
      </c>
      <c r="CJ226" s="329">
        <f t="shared" si="315"/>
        <v>0</v>
      </c>
      <c r="CK226" s="329">
        <f t="shared" si="315"/>
        <v>0</v>
      </c>
      <c r="CL226" s="329">
        <f t="shared" si="315"/>
        <v>0</v>
      </c>
      <c r="CM226" s="329">
        <f t="shared" si="315"/>
        <v>0</v>
      </c>
      <c r="CN226" s="329">
        <f t="shared" si="316"/>
        <v>0</v>
      </c>
      <c r="CO226" s="329">
        <f t="shared" si="316"/>
        <v>0</v>
      </c>
      <c r="CP226" s="329">
        <f t="shared" si="316"/>
        <v>0</v>
      </c>
      <c r="CQ226" s="329">
        <f t="shared" si="316"/>
        <v>0</v>
      </c>
      <c r="CR226" s="329">
        <f t="shared" si="316"/>
        <v>0</v>
      </c>
      <c r="CS226" s="329">
        <f t="shared" si="316"/>
        <v>0</v>
      </c>
      <c r="CT226" s="329">
        <f t="shared" si="316"/>
        <v>0</v>
      </c>
      <c r="CU226" s="217"/>
      <c r="CV226" s="217"/>
      <c r="CW226" s="217"/>
      <c r="CX226" s="217"/>
      <c r="CY226" s="217"/>
      <c r="CZ226" s="217"/>
      <c r="DA226" s="217"/>
      <c r="DB226" s="217"/>
      <c r="DC226" s="217"/>
      <c r="DD226" s="217"/>
      <c r="DE226" s="217"/>
      <c r="DF226" s="217"/>
      <c r="DG226" s="217"/>
      <c r="DH226" s="217"/>
      <c r="DI226" s="217"/>
      <c r="DJ226" s="217"/>
      <c r="DK226" s="217"/>
      <c r="DL226" s="217"/>
      <c r="DM226" s="217"/>
      <c r="DN226" s="217"/>
      <c r="DO226" s="217"/>
      <c r="DP226" s="217"/>
      <c r="DQ226" s="217"/>
      <c r="DR226" s="217"/>
      <c r="DS226" s="217"/>
      <c r="DT226" s="217"/>
    </row>
    <row r="227" spans="1:124" x14ac:dyDescent="0.3">
      <c r="A227" s="217"/>
      <c r="B227" s="221">
        <f>Inputs!D31</f>
        <v>0</v>
      </c>
      <c r="C227" s="221"/>
      <c r="D227" s="221"/>
      <c r="E227" s="221"/>
      <c r="F227" s="221"/>
      <c r="G227" s="221"/>
      <c r="H227" s="221"/>
      <c r="I227" s="221"/>
      <c r="J227" s="326">
        <f t="shared" si="307"/>
        <v>0</v>
      </c>
      <c r="K227" s="326"/>
      <c r="L227" s="326">
        <f t="shared" si="308"/>
        <v>0</v>
      </c>
      <c r="M227" s="326">
        <f t="shared" si="308"/>
        <v>0</v>
      </c>
      <c r="N227" s="326">
        <f t="shared" si="308"/>
        <v>0</v>
      </c>
      <c r="O227" s="326">
        <f t="shared" si="308"/>
        <v>0</v>
      </c>
      <c r="P227" s="326">
        <f t="shared" si="308"/>
        <v>0</v>
      </c>
      <c r="Q227" s="326">
        <f t="shared" si="308"/>
        <v>0</v>
      </c>
      <c r="R227" s="326">
        <f t="shared" si="308"/>
        <v>0</v>
      </c>
      <c r="S227" s="326">
        <f t="shared" si="308"/>
        <v>0</v>
      </c>
      <c r="T227" s="326">
        <f t="shared" si="308"/>
        <v>0</v>
      </c>
      <c r="U227" s="326">
        <f t="shared" si="308"/>
        <v>0</v>
      </c>
      <c r="V227" s="326">
        <f t="shared" si="309"/>
        <v>0</v>
      </c>
      <c r="W227" s="326">
        <f t="shared" si="309"/>
        <v>0</v>
      </c>
      <c r="X227" s="326">
        <f t="shared" si="309"/>
        <v>0</v>
      </c>
      <c r="Y227" s="326">
        <f t="shared" si="309"/>
        <v>0</v>
      </c>
      <c r="Z227" s="326">
        <f t="shared" si="309"/>
        <v>0</v>
      </c>
      <c r="AA227" s="329">
        <f t="shared" si="309"/>
        <v>0</v>
      </c>
      <c r="AB227" s="329">
        <f t="shared" si="309"/>
        <v>0</v>
      </c>
      <c r="AC227" s="329">
        <f t="shared" si="309"/>
        <v>0</v>
      </c>
      <c r="AD227" s="329">
        <f t="shared" si="309"/>
        <v>0</v>
      </c>
      <c r="AE227" s="329">
        <f t="shared" si="309"/>
        <v>0</v>
      </c>
      <c r="AF227" s="329">
        <f t="shared" si="310"/>
        <v>0</v>
      </c>
      <c r="AG227" s="329">
        <f t="shared" si="310"/>
        <v>0</v>
      </c>
      <c r="AH227" s="329">
        <f t="shared" si="310"/>
        <v>0</v>
      </c>
      <c r="AI227" s="329">
        <f t="shared" si="310"/>
        <v>0</v>
      </c>
      <c r="AJ227" s="329">
        <f t="shared" si="310"/>
        <v>0</v>
      </c>
      <c r="AK227" s="329">
        <f t="shared" si="310"/>
        <v>0</v>
      </c>
      <c r="AL227" s="329">
        <f t="shared" si="310"/>
        <v>0</v>
      </c>
      <c r="AM227" s="329">
        <f t="shared" si="310"/>
        <v>0</v>
      </c>
      <c r="AN227" s="329">
        <f t="shared" si="310"/>
        <v>0</v>
      </c>
      <c r="AO227" s="329">
        <f t="shared" si="310"/>
        <v>0</v>
      </c>
      <c r="AP227" s="329">
        <f t="shared" si="311"/>
        <v>0</v>
      </c>
      <c r="AQ227" s="329">
        <f t="shared" si="311"/>
        <v>0</v>
      </c>
      <c r="AR227" s="329">
        <f t="shared" si="311"/>
        <v>0</v>
      </c>
      <c r="AS227" s="329">
        <f t="shared" si="311"/>
        <v>0</v>
      </c>
      <c r="AT227" s="329">
        <f t="shared" si="311"/>
        <v>0</v>
      </c>
      <c r="AU227" s="329">
        <f t="shared" si="311"/>
        <v>0</v>
      </c>
      <c r="AV227" s="329">
        <f t="shared" si="311"/>
        <v>0</v>
      </c>
      <c r="AW227" s="329">
        <f t="shared" si="311"/>
        <v>0</v>
      </c>
      <c r="AX227" s="329">
        <f t="shared" si="311"/>
        <v>0</v>
      </c>
      <c r="AY227" s="329">
        <f t="shared" si="311"/>
        <v>0</v>
      </c>
      <c r="AZ227" s="329">
        <f t="shared" si="312"/>
        <v>0</v>
      </c>
      <c r="BA227" s="329">
        <f t="shared" si="312"/>
        <v>0</v>
      </c>
      <c r="BB227" s="329">
        <f t="shared" si="312"/>
        <v>0</v>
      </c>
      <c r="BC227" s="329">
        <f t="shared" si="312"/>
        <v>0</v>
      </c>
      <c r="BD227" s="329">
        <f t="shared" si="312"/>
        <v>0</v>
      </c>
      <c r="BE227" s="329">
        <f t="shared" si="312"/>
        <v>0</v>
      </c>
      <c r="BF227" s="329">
        <f t="shared" si="312"/>
        <v>0</v>
      </c>
      <c r="BG227" s="329">
        <f t="shared" si="312"/>
        <v>0</v>
      </c>
      <c r="BH227" s="329">
        <f t="shared" si="312"/>
        <v>0</v>
      </c>
      <c r="BI227" s="329">
        <f t="shared" si="312"/>
        <v>0</v>
      </c>
      <c r="BJ227" s="329">
        <f t="shared" si="313"/>
        <v>0</v>
      </c>
      <c r="BK227" s="329">
        <f t="shared" si="313"/>
        <v>0</v>
      </c>
      <c r="BL227" s="329">
        <f t="shared" si="313"/>
        <v>0</v>
      </c>
      <c r="BM227" s="329">
        <f t="shared" si="313"/>
        <v>0</v>
      </c>
      <c r="BN227" s="329">
        <f t="shared" si="313"/>
        <v>0</v>
      </c>
      <c r="BO227" s="329">
        <f t="shared" si="313"/>
        <v>0</v>
      </c>
      <c r="BP227" s="329">
        <f t="shared" si="313"/>
        <v>0</v>
      </c>
      <c r="BQ227" s="329">
        <f t="shared" si="313"/>
        <v>0</v>
      </c>
      <c r="BR227" s="329">
        <f t="shared" si="313"/>
        <v>0</v>
      </c>
      <c r="BS227" s="329">
        <f t="shared" si="313"/>
        <v>0</v>
      </c>
      <c r="BT227" s="329">
        <f t="shared" si="314"/>
        <v>0</v>
      </c>
      <c r="BU227" s="329">
        <f t="shared" si="314"/>
        <v>0</v>
      </c>
      <c r="BV227" s="329">
        <f t="shared" si="314"/>
        <v>0</v>
      </c>
      <c r="BW227" s="329">
        <f t="shared" si="314"/>
        <v>0</v>
      </c>
      <c r="BX227" s="329">
        <f t="shared" si="314"/>
        <v>0</v>
      </c>
      <c r="BY227" s="329">
        <f t="shared" si="314"/>
        <v>0</v>
      </c>
      <c r="BZ227" s="329">
        <f t="shared" si="314"/>
        <v>0</v>
      </c>
      <c r="CA227" s="329">
        <f t="shared" si="314"/>
        <v>0</v>
      </c>
      <c r="CB227" s="329">
        <f t="shared" si="314"/>
        <v>0</v>
      </c>
      <c r="CC227" s="329">
        <f t="shared" si="314"/>
        <v>0</v>
      </c>
      <c r="CD227" s="329">
        <f t="shared" si="315"/>
        <v>0</v>
      </c>
      <c r="CE227" s="329">
        <f t="shared" si="315"/>
        <v>0</v>
      </c>
      <c r="CF227" s="329">
        <f t="shared" si="315"/>
        <v>0</v>
      </c>
      <c r="CG227" s="329">
        <f t="shared" si="315"/>
        <v>0</v>
      </c>
      <c r="CH227" s="329">
        <f t="shared" si="315"/>
        <v>0</v>
      </c>
      <c r="CI227" s="329">
        <f t="shared" si="315"/>
        <v>0</v>
      </c>
      <c r="CJ227" s="329">
        <f t="shared" si="315"/>
        <v>0</v>
      </c>
      <c r="CK227" s="329">
        <f t="shared" si="315"/>
        <v>0</v>
      </c>
      <c r="CL227" s="329">
        <f t="shared" si="315"/>
        <v>0</v>
      </c>
      <c r="CM227" s="329">
        <f t="shared" si="315"/>
        <v>0</v>
      </c>
      <c r="CN227" s="329">
        <f t="shared" si="316"/>
        <v>0</v>
      </c>
      <c r="CO227" s="329">
        <f t="shared" si="316"/>
        <v>0</v>
      </c>
      <c r="CP227" s="329">
        <f t="shared" si="316"/>
        <v>0</v>
      </c>
      <c r="CQ227" s="329">
        <f t="shared" si="316"/>
        <v>0</v>
      </c>
      <c r="CR227" s="329">
        <f t="shared" si="316"/>
        <v>0</v>
      </c>
      <c r="CS227" s="329">
        <f t="shared" si="316"/>
        <v>0</v>
      </c>
      <c r="CT227" s="329">
        <f t="shared" si="316"/>
        <v>0</v>
      </c>
      <c r="CU227" s="217"/>
      <c r="CV227" s="217"/>
      <c r="CW227" s="217"/>
      <c r="CX227" s="217"/>
      <c r="CY227" s="217"/>
      <c r="CZ227" s="217"/>
      <c r="DA227" s="217"/>
      <c r="DB227" s="217"/>
      <c r="DC227" s="217"/>
      <c r="DD227" s="217"/>
      <c r="DE227" s="217"/>
      <c r="DF227" s="217"/>
      <c r="DG227" s="217"/>
      <c r="DH227" s="217"/>
      <c r="DI227" s="217"/>
      <c r="DJ227" s="217"/>
      <c r="DK227" s="217"/>
      <c r="DL227" s="217"/>
      <c r="DM227" s="217"/>
      <c r="DN227" s="217"/>
      <c r="DO227" s="217"/>
      <c r="DP227" s="217"/>
      <c r="DQ227" s="217"/>
      <c r="DR227" s="217"/>
      <c r="DS227" s="217"/>
      <c r="DT227" s="217"/>
    </row>
    <row r="228" spans="1:124" x14ac:dyDescent="0.3">
      <c r="A228" s="217"/>
      <c r="B228" s="221">
        <f>Inputs!D32</f>
        <v>0</v>
      </c>
      <c r="C228" s="221"/>
      <c r="D228" s="221"/>
      <c r="E228" s="221"/>
      <c r="F228" s="221"/>
      <c r="G228" s="221"/>
      <c r="H228" s="221"/>
      <c r="I228" s="221"/>
      <c r="J228" s="326">
        <f t="shared" si="307"/>
        <v>0</v>
      </c>
      <c r="K228" s="326"/>
      <c r="L228" s="326">
        <f t="shared" si="308"/>
        <v>0</v>
      </c>
      <c r="M228" s="326">
        <f t="shared" si="308"/>
        <v>0</v>
      </c>
      <c r="N228" s="326">
        <f t="shared" si="308"/>
        <v>0</v>
      </c>
      <c r="O228" s="326">
        <f t="shared" si="308"/>
        <v>0</v>
      </c>
      <c r="P228" s="326">
        <f t="shared" si="308"/>
        <v>0</v>
      </c>
      <c r="Q228" s="326">
        <f t="shared" si="308"/>
        <v>0</v>
      </c>
      <c r="R228" s="326">
        <f t="shared" si="308"/>
        <v>0</v>
      </c>
      <c r="S228" s="326">
        <f t="shared" si="308"/>
        <v>0</v>
      </c>
      <c r="T228" s="326">
        <f t="shared" si="308"/>
        <v>0</v>
      </c>
      <c r="U228" s="326">
        <f t="shared" si="308"/>
        <v>0</v>
      </c>
      <c r="V228" s="326">
        <f t="shared" si="309"/>
        <v>0</v>
      </c>
      <c r="W228" s="326">
        <f t="shared" si="309"/>
        <v>0</v>
      </c>
      <c r="X228" s="326">
        <f t="shared" si="309"/>
        <v>0</v>
      </c>
      <c r="Y228" s="326">
        <f t="shared" si="309"/>
        <v>0</v>
      </c>
      <c r="Z228" s="326">
        <f t="shared" si="309"/>
        <v>0</v>
      </c>
      <c r="AA228" s="329">
        <f t="shared" si="309"/>
        <v>0</v>
      </c>
      <c r="AB228" s="329">
        <f t="shared" si="309"/>
        <v>0</v>
      </c>
      <c r="AC228" s="329">
        <f t="shared" si="309"/>
        <v>0</v>
      </c>
      <c r="AD228" s="329">
        <f t="shared" si="309"/>
        <v>0</v>
      </c>
      <c r="AE228" s="329">
        <f t="shared" si="309"/>
        <v>0</v>
      </c>
      <c r="AF228" s="329">
        <f t="shared" si="310"/>
        <v>0</v>
      </c>
      <c r="AG228" s="329">
        <f t="shared" si="310"/>
        <v>0</v>
      </c>
      <c r="AH228" s="329">
        <f t="shared" si="310"/>
        <v>0</v>
      </c>
      <c r="AI228" s="329">
        <f t="shared" si="310"/>
        <v>0</v>
      </c>
      <c r="AJ228" s="329">
        <f t="shared" si="310"/>
        <v>0</v>
      </c>
      <c r="AK228" s="329">
        <f t="shared" si="310"/>
        <v>0</v>
      </c>
      <c r="AL228" s="329">
        <f t="shared" si="310"/>
        <v>0</v>
      </c>
      <c r="AM228" s="329">
        <f t="shared" si="310"/>
        <v>0</v>
      </c>
      <c r="AN228" s="329">
        <f t="shared" si="310"/>
        <v>0</v>
      </c>
      <c r="AO228" s="329">
        <f t="shared" si="310"/>
        <v>0</v>
      </c>
      <c r="AP228" s="329">
        <f t="shared" si="311"/>
        <v>0</v>
      </c>
      <c r="AQ228" s="329">
        <f t="shared" si="311"/>
        <v>0</v>
      </c>
      <c r="AR228" s="329">
        <f t="shared" si="311"/>
        <v>0</v>
      </c>
      <c r="AS228" s="329">
        <f t="shared" si="311"/>
        <v>0</v>
      </c>
      <c r="AT228" s="329">
        <f t="shared" si="311"/>
        <v>0</v>
      </c>
      <c r="AU228" s="329">
        <f t="shared" si="311"/>
        <v>0</v>
      </c>
      <c r="AV228" s="329">
        <f t="shared" si="311"/>
        <v>0</v>
      </c>
      <c r="AW228" s="329">
        <f t="shared" si="311"/>
        <v>0</v>
      </c>
      <c r="AX228" s="329">
        <f t="shared" si="311"/>
        <v>0</v>
      </c>
      <c r="AY228" s="329">
        <f t="shared" si="311"/>
        <v>0</v>
      </c>
      <c r="AZ228" s="329">
        <f t="shared" si="312"/>
        <v>0</v>
      </c>
      <c r="BA228" s="329">
        <f t="shared" si="312"/>
        <v>0</v>
      </c>
      <c r="BB228" s="329">
        <f t="shared" si="312"/>
        <v>0</v>
      </c>
      <c r="BC228" s="329">
        <f t="shared" si="312"/>
        <v>0</v>
      </c>
      <c r="BD228" s="329">
        <f t="shared" si="312"/>
        <v>0</v>
      </c>
      <c r="BE228" s="329">
        <f t="shared" si="312"/>
        <v>0</v>
      </c>
      <c r="BF228" s="329">
        <f t="shared" si="312"/>
        <v>0</v>
      </c>
      <c r="BG228" s="329">
        <f t="shared" si="312"/>
        <v>0</v>
      </c>
      <c r="BH228" s="329">
        <f t="shared" si="312"/>
        <v>0</v>
      </c>
      <c r="BI228" s="329">
        <f t="shared" si="312"/>
        <v>0</v>
      </c>
      <c r="BJ228" s="329">
        <f t="shared" si="313"/>
        <v>0</v>
      </c>
      <c r="BK228" s="329">
        <f t="shared" si="313"/>
        <v>0</v>
      </c>
      <c r="BL228" s="329">
        <f t="shared" si="313"/>
        <v>0</v>
      </c>
      <c r="BM228" s="329">
        <f t="shared" si="313"/>
        <v>0</v>
      </c>
      <c r="BN228" s="329">
        <f t="shared" si="313"/>
        <v>0</v>
      </c>
      <c r="BO228" s="329">
        <f t="shared" si="313"/>
        <v>0</v>
      </c>
      <c r="BP228" s="329">
        <f t="shared" si="313"/>
        <v>0</v>
      </c>
      <c r="BQ228" s="329">
        <f t="shared" si="313"/>
        <v>0</v>
      </c>
      <c r="BR228" s="329">
        <f t="shared" si="313"/>
        <v>0</v>
      </c>
      <c r="BS228" s="329">
        <f t="shared" si="313"/>
        <v>0</v>
      </c>
      <c r="BT228" s="329">
        <f t="shared" si="314"/>
        <v>0</v>
      </c>
      <c r="BU228" s="329">
        <f t="shared" si="314"/>
        <v>0</v>
      </c>
      <c r="BV228" s="329">
        <f t="shared" si="314"/>
        <v>0</v>
      </c>
      <c r="BW228" s="329">
        <f t="shared" si="314"/>
        <v>0</v>
      </c>
      <c r="BX228" s="329">
        <f t="shared" si="314"/>
        <v>0</v>
      </c>
      <c r="BY228" s="329">
        <f t="shared" si="314"/>
        <v>0</v>
      </c>
      <c r="BZ228" s="329">
        <f t="shared" si="314"/>
        <v>0</v>
      </c>
      <c r="CA228" s="329">
        <f t="shared" si="314"/>
        <v>0</v>
      </c>
      <c r="CB228" s="329">
        <f t="shared" si="314"/>
        <v>0</v>
      </c>
      <c r="CC228" s="329">
        <f t="shared" si="314"/>
        <v>0</v>
      </c>
      <c r="CD228" s="329">
        <f t="shared" si="315"/>
        <v>0</v>
      </c>
      <c r="CE228" s="329">
        <f t="shared" si="315"/>
        <v>0</v>
      </c>
      <c r="CF228" s="329">
        <f t="shared" si="315"/>
        <v>0</v>
      </c>
      <c r="CG228" s="329">
        <f t="shared" si="315"/>
        <v>0</v>
      </c>
      <c r="CH228" s="329">
        <f t="shared" si="315"/>
        <v>0</v>
      </c>
      <c r="CI228" s="329">
        <f t="shared" si="315"/>
        <v>0</v>
      </c>
      <c r="CJ228" s="329">
        <f t="shared" si="315"/>
        <v>0</v>
      </c>
      <c r="CK228" s="329">
        <f t="shared" si="315"/>
        <v>0</v>
      </c>
      <c r="CL228" s="329">
        <f t="shared" si="315"/>
        <v>0</v>
      </c>
      <c r="CM228" s="329">
        <f t="shared" si="315"/>
        <v>0</v>
      </c>
      <c r="CN228" s="329">
        <f t="shared" si="316"/>
        <v>0</v>
      </c>
      <c r="CO228" s="329">
        <f t="shared" si="316"/>
        <v>0</v>
      </c>
      <c r="CP228" s="329">
        <f t="shared" si="316"/>
        <v>0</v>
      </c>
      <c r="CQ228" s="329">
        <f t="shared" si="316"/>
        <v>0</v>
      </c>
      <c r="CR228" s="329">
        <f t="shared" si="316"/>
        <v>0</v>
      </c>
      <c r="CS228" s="329">
        <f t="shared" si="316"/>
        <v>0</v>
      </c>
      <c r="CT228" s="329">
        <f t="shared" si="316"/>
        <v>0</v>
      </c>
      <c r="CU228" s="217"/>
      <c r="CV228" s="217"/>
      <c r="CW228" s="217"/>
      <c r="CX228" s="217"/>
      <c r="CY228" s="217"/>
      <c r="CZ228" s="217"/>
      <c r="DA228" s="217"/>
      <c r="DB228" s="217"/>
      <c r="DC228" s="217"/>
      <c r="DD228" s="217"/>
      <c r="DE228" s="217"/>
      <c r="DF228" s="217"/>
      <c r="DG228" s="217"/>
      <c r="DH228" s="217"/>
      <c r="DI228" s="217"/>
      <c r="DJ228" s="217"/>
      <c r="DK228" s="217"/>
      <c r="DL228" s="217"/>
      <c r="DM228" s="217"/>
      <c r="DN228" s="217"/>
      <c r="DO228" s="217"/>
      <c r="DP228" s="217"/>
      <c r="DQ228" s="217"/>
      <c r="DR228" s="217"/>
      <c r="DS228" s="217"/>
      <c r="DT228" s="217"/>
    </row>
    <row r="229" spans="1:124" x14ac:dyDescent="0.3">
      <c r="A229" s="217"/>
      <c r="B229" s="221">
        <f>Inputs!D33</f>
        <v>0</v>
      </c>
      <c r="C229" s="221"/>
      <c r="D229" s="221"/>
      <c r="E229" s="221"/>
      <c r="F229" s="221"/>
      <c r="G229" s="221"/>
      <c r="H229" s="221"/>
      <c r="I229" s="221"/>
      <c r="J229" s="326">
        <f t="shared" si="307"/>
        <v>0</v>
      </c>
      <c r="K229" s="326"/>
      <c r="L229" s="326">
        <f t="shared" si="308"/>
        <v>0</v>
      </c>
      <c r="M229" s="326">
        <f t="shared" si="308"/>
        <v>0</v>
      </c>
      <c r="N229" s="326">
        <f t="shared" si="308"/>
        <v>0</v>
      </c>
      <c r="O229" s="326">
        <f t="shared" si="308"/>
        <v>0</v>
      </c>
      <c r="P229" s="326">
        <f t="shared" si="308"/>
        <v>0</v>
      </c>
      <c r="Q229" s="326">
        <f t="shared" si="308"/>
        <v>0</v>
      </c>
      <c r="R229" s="326">
        <f t="shared" si="308"/>
        <v>0</v>
      </c>
      <c r="S229" s="326">
        <f t="shared" si="308"/>
        <v>0</v>
      </c>
      <c r="T229" s="326">
        <f t="shared" si="308"/>
        <v>0</v>
      </c>
      <c r="U229" s="326">
        <f t="shared" si="308"/>
        <v>0</v>
      </c>
      <c r="V229" s="326">
        <f t="shared" si="309"/>
        <v>0</v>
      </c>
      <c r="W229" s="326">
        <f t="shared" si="309"/>
        <v>0</v>
      </c>
      <c r="X229" s="326">
        <f t="shared" si="309"/>
        <v>0</v>
      </c>
      <c r="Y229" s="326">
        <f t="shared" si="309"/>
        <v>0</v>
      </c>
      <c r="Z229" s="326">
        <f t="shared" si="309"/>
        <v>0</v>
      </c>
      <c r="AA229" s="329">
        <f t="shared" si="309"/>
        <v>0</v>
      </c>
      <c r="AB229" s="329">
        <f t="shared" si="309"/>
        <v>0</v>
      </c>
      <c r="AC229" s="329">
        <f t="shared" si="309"/>
        <v>0</v>
      </c>
      <c r="AD229" s="329">
        <f t="shared" si="309"/>
        <v>0</v>
      </c>
      <c r="AE229" s="329">
        <f t="shared" si="309"/>
        <v>0</v>
      </c>
      <c r="AF229" s="329">
        <f t="shared" si="310"/>
        <v>0</v>
      </c>
      <c r="AG229" s="329">
        <f t="shared" si="310"/>
        <v>0</v>
      </c>
      <c r="AH229" s="329">
        <f t="shared" si="310"/>
        <v>0</v>
      </c>
      <c r="AI229" s="329">
        <f t="shared" si="310"/>
        <v>0</v>
      </c>
      <c r="AJ229" s="329">
        <f t="shared" si="310"/>
        <v>0</v>
      </c>
      <c r="AK229" s="329">
        <f t="shared" si="310"/>
        <v>0</v>
      </c>
      <c r="AL229" s="329">
        <f t="shared" si="310"/>
        <v>0</v>
      </c>
      <c r="AM229" s="329">
        <f t="shared" si="310"/>
        <v>0</v>
      </c>
      <c r="AN229" s="329">
        <f t="shared" si="310"/>
        <v>0</v>
      </c>
      <c r="AO229" s="329">
        <f t="shared" si="310"/>
        <v>0</v>
      </c>
      <c r="AP229" s="329">
        <f t="shared" si="311"/>
        <v>0</v>
      </c>
      <c r="AQ229" s="329">
        <f t="shared" si="311"/>
        <v>0</v>
      </c>
      <c r="AR229" s="329">
        <f t="shared" si="311"/>
        <v>0</v>
      </c>
      <c r="AS229" s="329">
        <f t="shared" si="311"/>
        <v>0</v>
      </c>
      <c r="AT229" s="329">
        <f t="shared" si="311"/>
        <v>0</v>
      </c>
      <c r="AU229" s="329">
        <f t="shared" si="311"/>
        <v>0</v>
      </c>
      <c r="AV229" s="329">
        <f t="shared" si="311"/>
        <v>0</v>
      </c>
      <c r="AW229" s="329">
        <f t="shared" si="311"/>
        <v>0</v>
      </c>
      <c r="AX229" s="329">
        <f t="shared" si="311"/>
        <v>0</v>
      </c>
      <c r="AY229" s="329">
        <f t="shared" si="311"/>
        <v>0</v>
      </c>
      <c r="AZ229" s="329">
        <f t="shared" si="312"/>
        <v>0</v>
      </c>
      <c r="BA229" s="329">
        <f t="shared" si="312"/>
        <v>0</v>
      </c>
      <c r="BB229" s="329">
        <f t="shared" si="312"/>
        <v>0</v>
      </c>
      <c r="BC229" s="329">
        <f t="shared" si="312"/>
        <v>0</v>
      </c>
      <c r="BD229" s="329">
        <f t="shared" si="312"/>
        <v>0</v>
      </c>
      <c r="BE229" s="329">
        <f t="shared" si="312"/>
        <v>0</v>
      </c>
      <c r="BF229" s="329">
        <f t="shared" si="312"/>
        <v>0</v>
      </c>
      <c r="BG229" s="329">
        <f t="shared" si="312"/>
        <v>0</v>
      </c>
      <c r="BH229" s="329">
        <f t="shared" si="312"/>
        <v>0</v>
      </c>
      <c r="BI229" s="329">
        <f t="shared" si="312"/>
        <v>0</v>
      </c>
      <c r="BJ229" s="329">
        <f t="shared" si="313"/>
        <v>0</v>
      </c>
      <c r="BK229" s="329">
        <f t="shared" si="313"/>
        <v>0</v>
      </c>
      <c r="BL229" s="329">
        <f t="shared" si="313"/>
        <v>0</v>
      </c>
      <c r="BM229" s="329">
        <f t="shared" si="313"/>
        <v>0</v>
      </c>
      <c r="BN229" s="329">
        <f t="shared" si="313"/>
        <v>0</v>
      </c>
      <c r="BO229" s="329">
        <f t="shared" si="313"/>
        <v>0</v>
      </c>
      <c r="BP229" s="329">
        <f t="shared" si="313"/>
        <v>0</v>
      </c>
      <c r="BQ229" s="329">
        <f t="shared" si="313"/>
        <v>0</v>
      </c>
      <c r="BR229" s="329">
        <f t="shared" si="313"/>
        <v>0</v>
      </c>
      <c r="BS229" s="329">
        <f t="shared" si="313"/>
        <v>0</v>
      </c>
      <c r="BT229" s="329">
        <f t="shared" si="314"/>
        <v>0</v>
      </c>
      <c r="BU229" s="329">
        <f t="shared" si="314"/>
        <v>0</v>
      </c>
      <c r="BV229" s="329">
        <f t="shared" si="314"/>
        <v>0</v>
      </c>
      <c r="BW229" s="329">
        <f t="shared" si="314"/>
        <v>0</v>
      </c>
      <c r="BX229" s="329">
        <f t="shared" si="314"/>
        <v>0</v>
      </c>
      <c r="BY229" s="329">
        <f t="shared" si="314"/>
        <v>0</v>
      </c>
      <c r="BZ229" s="329">
        <f t="shared" si="314"/>
        <v>0</v>
      </c>
      <c r="CA229" s="329">
        <f t="shared" si="314"/>
        <v>0</v>
      </c>
      <c r="CB229" s="329">
        <f t="shared" si="314"/>
        <v>0</v>
      </c>
      <c r="CC229" s="329">
        <f t="shared" si="314"/>
        <v>0</v>
      </c>
      <c r="CD229" s="329">
        <f t="shared" si="315"/>
        <v>0</v>
      </c>
      <c r="CE229" s="329">
        <f t="shared" si="315"/>
        <v>0</v>
      </c>
      <c r="CF229" s="329">
        <f t="shared" si="315"/>
        <v>0</v>
      </c>
      <c r="CG229" s="329">
        <f t="shared" si="315"/>
        <v>0</v>
      </c>
      <c r="CH229" s="329">
        <f t="shared" si="315"/>
        <v>0</v>
      </c>
      <c r="CI229" s="329">
        <f t="shared" si="315"/>
        <v>0</v>
      </c>
      <c r="CJ229" s="329">
        <f t="shared" si="315"/>
        <v>0</v>
      </c>
      <c r="CK229" s="329">
        <f t="shared" si="315"/>
        <v>0</v>
      </c>
      <c r="CL229" s="329">
        <f t="shared" si="315"/>
        <v>0</v>
      </c>
      <c r="CM229" s="329">
        <f t="shared" si="315"/>
        <v>0</v>
      </c>
      <c r="CN229" s="329">
        <f t="shared" si="316"/>
        <v>0</v>
      </c>
      <c r="CO229" s="329">
        <f t="shared" si="316"/>
        <v>0</v>
      </c>
      <c r="CP229" s="329">
        <f t="shared" si="316"/>
        <v>0</v>
      </c>
      <c r="CQ229" s="329">
        <f t="shared" si="316"/>
        <v>0</v>
      </c>
      <c r="CR229" s="329">
        <f t="shared" si="316"/>
        <v>0</v>
      </c>
      <c r="CS229" s="329">
        <f t="shared" si="316"/>
        <v>0</v>
      </c>
      <c r="CT229" s="329">
        <f t="shared" si="316"/>
        <v>0</v>
      </c>
      <c r="CU229" s="217"/>
      <c r="CV229" s="217"/>
      <c r="CW229" s="217"/>
      <c r="CX229" s="217"/>
      <c r="CY229" s="217"/>
      <c r="CZ229" s="217"/>
      <c r="DA229" s="217"/>
      <c r="DB229" s="217"/>
      <c r="DC229" s="217"/>
      <c r="DD229" s="217"/>
      <c r="DE229" s="217"/>
      <c r="DF229" s="217"/>
      <c r="DG229" s="217"/>
      <c r="DH229" s="217"/>
      <c r="DI229" s="217"/>
      <c r="DJ229" s="217"/>
      <c r="DK229" s="217"/>
      <c r="DL229" s="217"/>
      <c r="DM229" s="217"/>
      <c r="DN229" s="217"/>
      <c r="DO229" s="217"/>
      <c r="DP229" s="217"/>
      <c r="DQ229" s="217"/>
      <c r="DR229" s="217"/>
      <c r="DS229" s="217"/>
      <c r="DT229" s="217"/>
    </row>
    <row r="230" spans="1:124" x14ac:dyDescent="0.3">
      <c r="A230" s="217"/>
      <c r="B230" s="221">
        <f>Inputs!D34</f>
        <v>0</v>
      </c>
      <c r="C230" s="221"/>
      <c r="D230" s="221"/>
      <c r="E230" s="221"/>
      <c r="F230" s="221"/>
      <c r="G230" s="221"/>
      <c r="H230" s="221"/>
      <c r="I230" s="221"/>
      <c r="J230" s="326">
        <f t="shared" si="307"/>
        <v>0</v>
      </c>
      <c r="K230" s="326"/>
      <c r="L230" s="326">
        <f t="shared" si="308"/>
        <v>0</v>
      </c>
      <c r="M230" s="326">
        <f t="shared" si="308"/>
        <v>0</v>
      </c>
      <c r="N230" s="326">
        <f t="shared" si="308"/>
        <v>0</v>
      </c>
      <c r="O230" s="326">
        <f t="shared" si="308"/>
        <v>0</v>
      </c>
      <c r="P230" s="326">
        <f t="shared" si="308"/>
        <v>0</v>
      </c>
      <c r="Q230" s="326">
        <f t="shared" si="308"/>
        <v>0</v>
      </c>
      <c r="R230" s="326">
        <f t="shared" si="308"/>
        <v>0</v>
      </c>
      <c r="S230" s="326">
        <f t="shared" si="308"/>
        <v>0</v>
      </c>
      <c r="T230" s="326">
        <f t="shared" si="308"/>
        <v>0</v>
      </c>
      <c r="U230" s="326">
        <f t="shared" si="308"/>
        <v>0</v>
      </c>
      <c r="V230" s="326">
        <f t="shared" si="309"/>
        <v>0</v>
      </c>
      <c r="W230" s="326">
        <f t="shared" si="309"/>
        <v>0</v>
      </c>
      <c r="X230" s="326">
        <f t="shared" si="309"/>
        <v>0</v>
      </c>
      <c r="Y230" s="326">
        <f t="shared" si="309"/>
        <v>0</v>
      </c>
      <c r="Z230" s="326">
        <f t="shared" si="309"/>
        <v>0</v>
      </c>
      <c r="AA230" s="329">
        <f t="shared" si="309"/>
        <v>0</v>
      </c>
      <c r="AB230" s="329">
        <f t="shared" si="309"/>
        <v>0</v>
      </c>
      <c r="AC230" s="329">
        <f t="shared" si="309"/>
        <v>0</v>
      </c>
      <c r="AD230" s="329">
        <f t="shared" si="309"/>
        <v>0</v>
      </c>
      <c r="AE230" s="329">
        <f t="shared" si="309"/>
        <v>0</v>
      </c>
      <c r="AF230" s="329">
        <f t="shared" si="310"/>
        <v>0</v>
      </c>
      <c r="AG230" s="329">
        <f t="shared" si="310"/>
        <v>0</v>
      </c>
      <c r="AH230" s="329">
        <f t="shared" si="310"/>
        <v>0</v>
      </c>
      <c r="AI230" s="329">
        <f t="shared" si="310"/>
        <v>0</v>
      </c>
      <c r="AJ230" s="329">
        <f t="shared" si="310"/>
        <v>0</v>
      </c>
      <c r="AK230" s="329">
        <f t="shared" si="310"/>
        <v>0</v>
      </c>
      <c r="AL230" s="329">
        <f t="shared" si="310"/>
        <v>0</v>
      </c>
      <c r="AM230" s="329">
        <f t="shared" si="310"/>
        <v>0</v>
      </c>
      <c r="AN230" s="329">
        <f t="shared" si="310"/>
        <v>0</v>
      </c>
      <c r="AO230" s="329">
        <f t="shared" si="310"/>
        <v>0</v>
      </c>
      <c r="AP230" s="329">
        <f t="shared" si="311"/>
        <v>0</v>
      </c>
      <c r="AQ230" s="329">
        <f t="shared" si="311"/>
        <v>0</v>
      </c>
      <c r="AR230" s="329">
        <f t="shared" si="311"/>
        <v>0</v>
      </c>
      <c r="AS230" s="329">
        <f t="shared" si="311"/>
        <v>0</v>
      </c>
      <c r="AT230" s="329">
        <f t="shared" si="311"/>
        <v>0</v>
      </c>
      <c r="AU230" s="329">
        <f t="shared" si="311"/>
        <v>0</v>
      </c>
      <c r="AV230" s="329">
        <f t="shared" si="311"/>
        <v>0</v>
      </c>
      <c r="AW230" s="329">
        <f t="shared" si="311"/>
        <v>0</v>
      </c>
      <c r="AX230" s="329">
        <f t="shared" si="311"/>
        <v>0</v>
      </c>
      <c r="AY230" s="329">
        <f t="shared" si="311"/>
        <v>0</v>
      </c>
      <c r="AZ230" s="329">
        <f t="shared" si="312"/>
        <v>0</v>
      </c>
      <c r="BA230" s="329">
        <f t="shared" si="312"/>
        <v>0</v>
      </c>
      <c r="BB230" s="329">
        <f t="shared" si="312"/>
        <v>0</v>
      </c>
      <c r="BC230" s="329">
        <f t="shared" si="312"/>
        <v>0</v>
      </c>
      <c r="BD230" s="329">
        <f t="shared" si="312"/>
        <v>0</v>
      </c>
      <c r="BE230" s="329">
        <f t="shared" si="312"/>
        <v>0</v>
      </c>
      <c r="BF230" s="329">
        <f t="shared" si="312"/>
        <v>0</v>
      </c>
      <c r="BG230" s="329">
        <f t="shared" si="312"/>
        <v>0</v>
      </c>
      <c r="BH230" s="329">
        <f t="shared" si="312"/>
        <v>0</v>
      </c>
      <c r="BI230" s="329">
        <f t="shared" si="312"/>
        <v>0</v>
      </c>
      <c r="BJ230" s="329">
        <f t="shared" si="313"/>
        <v>0</v>
      </c>
      <c r="BK230" s="329">
        <f t="shared" si="313"/>
        <v>0</v>
      </c>
      <c r="BL230" s="329">
        <f t="shared" si="313"/>
        <v>0</v>
      </c>
      <c r="BM230" s="329">
        <f t="shared" si="313"/>
        <v>0</v>
      </c>
      <c r="BN230" s="329">
        <f t="shared" si="313"/>
        <v>0</v>
      </c>
      <c r="BO230" s="329">
        <f t="shared" si="313"/>
        <v>0</v>
      </c>
      <c r="BP230" s="329">
        <f t="shared" si="313"/>
        <v>0</v>
      </c>
      <c r="BQ230" s="329">
        <f t="shared" si="313"/>
        <v>0</v>
      </c>
      <c r="BR230" s="329">
        <f t="shared" si="313"/>
        <v>0</v>
      </c>
      <c r="BS230" s="329">
        <f t="shared" si="313"/>
        <v>0</v>
      </c>
      <c r="BT230" s="329">
        <f t="shared" si="314"/>
        <v>0</v>
      </c>
      <c r="BU230" s="329">
        <f t="shared" si="314"/>
        <v>0</v>
      </c>
      <c r="BV230" s="329">
        <f t="shared" si="314"/>
        <v>0</v>
      </c>
      <c r="BW230" s="329">
        <f t="shared" si="314"/>
        <v>0</v>
      </c>
      <c r="BX230" s="329">
        <f t="shared" si="314"/>
        <v>0</v>
      </c>
      <c r="BY230" s="329">
        <f t="shared" si="314"/>
        <v>0</v>
      </c>
      <c r="BZ230" s="329">
        <f t="shared" si="314"/>
        <v>0</v>
      </c>
      <c r="CA230" s="329">
        <f t="shared" si="314"/>
        <v>0</v>
      </c>
      <c r="CB230" s="329">
        <f t="shared" si="314"/>
        <v>0</v>
      </c>
      <c r="CC230" s="329">
        <f t="shared" si="314"/>
        <v>0</v>
      </c>
      <c r="CD230" s="329">
        <f t="shared" si="315"/>
        <v>0</v>
      </c>
      <c r="CE230" s="329">
        <f t="shared" si="315"/>
        <v>0</v>
      </c>
      <c r="CF230" s="329">
        <f t="shared" si="315"/>
        <v>0</v>
      </c>
      <c r="CG230" s="329">
        <f t="shared" si="315"/>
        <v>0</v>
      </c>
      <c r="CH230" s="329">
        <f t="shared" si="315"/>
        <v>0</v>
      </c>
      <c r="CI230" s="329">
        <f t="shared" si="315"/>
        <v>0</v>
      </c>
      <c r="CJ230" s="329">
        <f t="shared" si="315"/>
        <v>0</v>
      </c>
      <c r="CK230" s="329">
        <f t="shared" si="315"/>
        <v>0</v>
      </c>
      <c r="CL230" s="329">
        <f t="shared" si="315"/>
        <v>0</v>
      </c>
      <c r="CM230" s="329">
        <f t="shared" si="315"/>
        <v>0</v>
      </c>
      <c r="CN230" s="329">
        <f t="shared" si="316"/>
        <v>0</v>
      </c>
      <c r="CO230" s="329">
        <f t="shared" si="316"/>
        <v>0</v>
      </c>
      <c r="CP230" s="329">
        <f t="shared" si="316"/>
        <v>0</v>
      </c>
      <c r="CQ230" s="329">
        <f t="shared" si="316"/>
        <v>0</v>
      </c>
      <c r="CR230" s="329">
        <f t="shared" si="316"/>
        <v>0</v>
      </c>
      <c r="CS230" s="329">
        <f t="shared" si="316"/>
        <v>0</v>
      </c>
      <c r="CT230" s="329">
        <f t="shared" si="316"/>
        <v>0</v>
      </c>
      <c r="CU230" s="217"/>
      <c r="CV230" s="217"/>
      <c r="CW230" s="217"/>
      <c r="CX230" s="217"/>
      <c r="CY230" s="217"/>
      <c r="CZ230" s="217"/>
      <c r="DA230" s="217"/>
      <c r="DB230" s="217"/>
      <c r="DC230" s="217"/>
      <c r="DD230" s="217"/>
      <c r="DE230" s="217"/>
      <c r="DF230" s="217"/>
      <c r="DG230" s="217"/>
      <c r="DH230" s="217"/>
      <c r="DI230" s="217"/>
      <c r="DJ230" s="217"/>
      <c r="DK230" s="217"/>
      <c r="DL230" s="217"/>
      <c r="DM230" s="217"/>
      <c r="DN230" s="217"/>
      <c r="DO230" s="217"/>
      <c r="DP230" s="217"/>
      <c r="DQ230" s="217"/>
      <c r="DR230" s="217"/>
      <c r="DS230" s="217"/>
      <c r="DT230" s="217"/>
    </row>
    <row r="231" spans="1:124" x14ac:dyDescent="0.3">
      <c r="A231" s="217"/>
      <c r="B231" s="221">
        <f>Inputs!D35</f>
        <v>0</v>
      </c>
      <c r="C231" s="221"/>
      <c r="D231" s="221"/>
      <c r="E231" s="221"/>
      <c r="F231" s="221"/>
      <c r="G231" s="221"/>
      <c r="H231" s="221"/>
      <c r="I231" s="221"/>
      <c r="J231" s="326">
        <f t="shared" si="307"/>
        <v>0</v>
      </c>
      <c r="K231" s="326"/>
      <c r="L231" s="326">
        <f t="shared" si="308"/>
        <v>0</v>
      </c>
      <c r="M231" s="326">
        <f t="shared" si="308"/>
        <v>0</v>
      </c>
      <c r="N231" s="326">
        <f t="shared" si="308"/>
        <v>0</v>
      </c>
      <c r="O231" s="326">
        <f t="shared" si="308"/>
        <v>0</v>
      </c>
      <c r="P231" s="326">
        <f t="shared" si="308"/>
        <v>0</v>
      </c>
      <c r="Q231" s="326">
        <f t="shared" si="308"/>
        <v>0</v>
      </c>
      <c r="R231" s="326">
        <f t="shared" si="308"/>
        <v>0</v>
      </c>
      <c r="S231" s="326">
        <f t="shared" si="308"/>
        <v>0</v>
      </c>
      <c r="T231" s="326">
        <f t="shared" si="308"/>
        <v>0</v>
      </c>
      <c r="U231" s="326">
        <f t="shared" si="308"/>
        <v>0</v>
      </c>
      <c r="V231" s="326">
        <f t="shared" si="309"/>
        <v>0</v>
      </c>
      <c r="W231" s="326">
        <f t="shared" si="309"/>
        <v>0</v>
      </c>
      <c r="X231" s="326">
        <f t="shared" si="309"/>
        <v>0</v>
      </c>
      <c r="Y231" s="326">
        <f t="shared" si="309"/>
        <v>0</v>
      </c>
      <c r="Z231" s="326">
        <f t="shared" si="309"/>
        <v>0</v>
      </c>
      <c r="AA231" s="329">
        <f t="shared" si="309"/>
        <v>0</v>
      </c>
      <c r="AB231" s="329">
        <f t="shared" si="309"/>
        <v>0</v>
      </c>
      <c r="AC231" s="329">
        <f t="shared" si="309"/>
        <v>0</v>
      </c>
      <c r="AD231" s="329">
        <f t="shared" si="309"/>
        <v>0</v>
      </c>
      <c r="AE231" s="329">
        <f t="shared" si="309"/>
        <v>0</v>
      </c>
      <c r="AF231" s="329">
        <f t="shared" si="310"/>
        <v>0</v>
      </c>
      <c r="AG231" s="329">
        <f t="shared" si="310"/>
        <v>0</v>
      </c>
      <c r="AH231" s="329">
        <f t="shared" si="310"/>
        <v>0</v>
      </c>
      <c r="AI231" s="329">
        <f t="shared" si="310"/>
        <v>0</v>
      </c>
      <c r="AJ231" s="329">
        <f t="shared" si="310"/>
        <v>0</v>
      </c>
      <c r="AK231" s="329">
        <f t="shared" si="310"/>
        <v>0</v>
      </c>
      <c r="AL231" s="329">
        <f t="shared" si="310"/>
        <v>0</v>
      </c>
      <c r="AM231" s="329">
        <f t="shared" si="310"/>
        <v>0</v>
      </c>
      <c r="AN231" s="329">
        <f t="shared" si="310"/>
        <v>0</v>
      </c>
      <c r="AO231" s="329">
        <f t="shared" si="310"/>
        <v>0</v>
      </c>
      <c r="AP231" s="329">
        <f t="shared" si="311"/>
        <v>0</v>
      </c>
      <c r="AQ231" s="329">
        <f t="shared" si="311"/>
        <v>0</v>
      </c>
      <c r="AR231" s="329">
        <f t="shared" si="311"/>
        <v>0</v>
      </c>
      <c r="AS231" s="329">
        <f t="shared" si="311"/>
        <v>0</v>
      </c>
      <c r="AT231" s="329">
        <f t="shared" si="311"/>
        <v>0</v>
      </c>
      <c r="AU231" s="329">
        <f t="shared" si="311"/>
        <v>0</v>
      </c>
      <c r="AV231" s="329">
        <f t="shared" si="311"/>
        <v>0</v>
      </c>
      <c r="AW231" s="329">
        <f t="shared" si="311"/>
        <v>0</v>
      </c>
      <c r="AX231" s="329">
        <f t="shared" si="311"/>
        <v>0</v>
      </c>
      <c r="AY231" s="329">
        <f t="shared" si="311"/>
        <v>0</v>
      </c>
      <c r="AZ231" s="329">
        <f t="shared" si="312"/>
        <v>0</v>
      </c>
      <c r="BA231" s="329">
        <f t="shared" si="312"/>
        <v>0</v>
      </c>
      <c r="BB231" s="329">
        <f t="shared" si="312"/>
        <v>0</v>
      </c>
      <c r="BC231" s="329">
        <f t="shared" si="312"/>
        <v>0</v>
      </c>
      <c r="BD231" s="329">
        <f t="shared" si="312"/>
        <v>0</v>
      </c>
      <c r="BE231" s="329">
        <f t="shared" si="312"/>
        <v>0</v>
      </c>
      <c r="BF231" s="329">
        <f t="shared" si="312"/>
        <v>0</v>
      </c>
      <c r="BG231" s="329">
        <f t="shared" si="312"/>
        <v>0</v>
      </c>
      <c r="BH231" s="329">
        <f t="shared" si="312"/>
        <v>0</v>
      </c>
      <c r="BI231" s="329">
        <f t="shared" si="312"/>
        <v>0</v>
      </c>
      <c r="BJ231" s="329">
        <f t="shared" si="313"/>
        <v>0</v>
      </c>
      <c r="BK231" s="329">
        <f t="shared" si="313"/>
        <v>0</v>
      </c>
      <c r="BL231" s="329">
        <f t="shared" si="313"/>
        <v>0</v>
      </c>
      <c r="BM231" s="329">
        <f t="shared" si="313"/>
        <v>0</v>
      </c>
      <c r="BN231" s="329">
        <f t="shared" si="313"/>
        <v>0</v>
      </c>
      <c r="BO231" s="329">
        <f t="shared" si="313"/>
        <v>0</v>
      </c>
      <c r="BP231" s="329">
        <f t="shared" si="313"/>
        <v>0</v>
      </c>
      <c r="BQ231" s="329">
        <f t="shared" si="313"/>
        <v>0</v>
      </c>
      <c r="BR231" s="329">
        <f t="shared" si="313"/>
        <v>0</v>
      </c>
      <c r="BS231" s="329">
        <f t="shared" si="313"/>
        <v>0</v>
      </c>
      <c r="BT231" s="329">
        <f t="shared" si="314"/>
        <v>0</v>
      </c>
      <c r="BU231" s="329">
        <f t="shared" si="314"/>
        <v>0</v>
      </c>
      <c r="BV231" s="329">
        <f t="shared" si="314"/>
        <v>0</v>
      </c>
      <c r="BW231" s="329">
        <f t="shared" si="314"/>
        <v>0</v>
      </c>
      <c r="BX231" s="329">
        <f t="shared" si="314"/>
        <v>0</v>
      </c>
      <c r="BY231" s="329">
        <f t="shared" si="314"/>
        <v>0</v>
      </c>
      <c r="BZ231" s="329">
        <f t="shared" si="314"/>
        <v>0</v>
      </c>
      <c r="CA231" s="329">
        <f t="shared" si="314"/>
        <v>0</v>
      </c>
      <c r="CB231" s="329">
        <f t="shared" si="314"/>
        <v>0</v>
      </c>
      <c r="CC231" s="329">
        <f t="shared" si="314"/>
        <v>0</v>
      </c>
      <c r="CD231" s="329">
        <f t="shared" si="315"/>
        <v>0</v>
      </c>
      <c r="CE231" s="329">
        <f t="shared" si="315"/>
        <v>0</v>
      </c>
      <c r="CF231" s="329">
        <f t="shared" si="315"/>
        <v>0</v>
      </c>
      <c r="CG231" s="329">
        <f t="shared" si="315"/>
        <v>0</v>
      </c>
      <c r="CH231" s="329">
        <f t="shared" si="315"/>
        <v>0</v>
      </c>
      <c r="CI231" s="329">
        <f t="shared" si="315"/>
        <v>0</v>
      </c>
      <c r="CJ231" s="329">
        <f t="shared" si="315"/>
        <v>0</v>
      </c>
      <c r="CK231" s="329">
        <f t="shared" si="315"/>
        <v>0</v>
      </c>
      <c r="CL231" s="329">
        <f t="shared" si="315"/>
        <v>0</v>
      </c>
      <c r="CM231" s="329">
        <f t="shared" si="315"/>
        <v>0</v>
      </c>
      <c r="CN231" s="329">
        <f t="shared" si="316"/>
        <v>0</v>
      </c>
      <c r="CO231" s="329">
        <f t="shared" si="316"/>
        <v>0</v>
      </c>
      <c r="CP231" s="329">
        <f t="shared" si="316"/>
        <v>0</v>
      </c>
      <c r="CQ231" s="329">
        <f t="shared" si="316"/>
        <v>0</v>
      </c>
      <c r="CR231" s="329">
        <f t="shared" si="316"/>
        <v>0</v>
      </c>
      <c r="CS231" s="329">
        <f t="shared" si="316"/>
        <v>0</v>
      </c>
      <c r="CT231" s="329">
        <f t="shared" si="316"/>
        <v>0</v>
      </c>
      <c r="CU231" s="217"/>
      <c r="CV231" s="217"/>
      <c r="CW231" s="217"/>
      <c r="CX231" s="217"/>
      <c r="CY231" s="217"/>
      <c r="CZ231" s="217"/>
      <c r="DA231" s="217"/>
      <c r="DB231" s="217"/>
      <c r="DC231" s="217"/>
      <c r="DD231" s="217"/>
      <c r="DE231" s="217"/>
      <c r="DF231" s="217"/>
      <c r="DG231" s="217"/>
      <c r="DH231" s="217"/>
      <c r="DI231" s="217"/>
      <c r="DJ231" s="217"/>
      <c r="DK231" s="217"/>
      <c r="DL231" s="217"/>
      <c r="DM231" s="217"/>
      <c r="DN231" s="217"/>
      <c r="DO231" s="217"/>
      <c r="DP231" s="217"/>
      <c r="DQ231" s="217"/>
      <c r="DR231" s="217"/>
      <c r="DS231" s="217"/>
      <c r="DT231" s="217"/>
    </row>
    <row r="232" spans="1:124" x14ac:dyDescent="0.3">
      <c r="A232" s="217"/>
      <c r="B232" s="221" t="s">
        <v>104</v>
      </c>
      <c r="C232" s="217"/>
      <c r="D232" s="217"/>
      <c r="E232" s="217"/>
      <c r="F232" s="217"/>
      <c r="G232" s="217"/>
      <c r="H232" s="217"/>
      <c r="I232" s="217"/>
      <c r="J232" s="217"/>
      <c r="L232" s="326">
        <f t="shared" ref="L232:U241" si="317">SUMIF($D$4:$D$203,$B232,L$4:L$203)</f>
        <v>0</v>
      </c>
      <c r="M232" s="326">
        <f t="shared" si="317"/>
        <v>0</v>
      </c>
      <c r="N232" s="326">
        <f t="shared" si="317"/>
        <v>0</v>
      </c>
      <c r="O232" s="326">
        <f t="shared" si="317"/>
        <v>0</v>
      </c>
      <c r="P232" s="326">
        <f t="shared" si="317"/>
        <v>0</v>
      </c>
      <c r="Q232" s="326">
        <f t="shared" si="317"/>
        <v>0</v>
      </c>
      <c r="R232" s="326">
        <f t="shared" si="317"/>
        <v>0</v>
      </c>
      <c r="S232" s="326">
        <f t="shared" si="317"/>
        <v>0</v>
      </c>
      <c r="T232" s="326">
        <f t="shared" si="317"/>
        <v>0</v>
      </c>
      <c r="U232" s="326">
        <f t="shared" si="317"/>
        <v>0</v>
      </c>
      <c r="V232" s="326">
        <f t="shared" ref="V232:AE241" si="318">SUMIF($D$4:$D$203,$B232,V$4:V$203)</f>
        <v>0</v>
      </c>
      <c r="W232" s="326">
        <f t="shared" si="318"/>
        <v>0</v>
      </c>
      <c r="X232" s="326">
        <f t="shared" si="318"/>
        <v>0</v>
      </c>
      <c r="Y232" s="326">
        <f t="shared" si="318"/>
        <v>0</v>
      </c>
      <c r="Z232" s="326">
        <f t="shared" si="318"/>
        <v>0</v>
      </c>
      <c r="AA232" s="326">
        <f t="shared" si="318"/>
        <v>0</v>
      </c>
      <c r="AB232" s="326">
        <f t="shared" si="318"/>
        <v>0</v>
      </c>
      <c r="AC232" s="326">
        <f t="shared" si="318"/>
        <v>0</v>
      </c>
      <c r="AD232" s="326">
        <f t="shared" si="318"/>
        <v>0</v>
      </c>
      <c r="AE232" s="326">
        <f t="shared" si="318"/>
        <v>0</v>
      </c>
      <c r="AF232" s="326">
        <f t="shared" ref="AF232:AO241" si="319">SUMIF($D$4:$D$203,$B232,AF$4:AF$203)</f>
        <v>0</v>
      </c>
      <c r="AG232" s="326">
        <f t="shared" si="319"/>
        <v>0</v>
      </c>
      <c r="AH232" s="326">
        <f t="shared" si="319"/>
        <v>0</v>
      </c>
      <c r="AI232" s="326">
        <f t="shared" si="319"/>
        <v>0</v>
      </c>
      <c r="AJ232" s="326">
        <f t="shared" si="319"/>
        <v>0</v>
      </c>
      <c r="AK232" s="326">
        <f t="shared" si="319"/>
        <v>0</v>
      </c>
      <c r="AL232" s="326">
        <f t="shared" si="319"/>
        <v>0</v>
      </c>
      <c r="AM232" s="326">
        <f t="shared" si="319"/>
        <v>0</v>
      </c>
      <c r="AN232" s="326">
        <f t="shared" si="319"/>
        <v>0</v>
      </c>
      <c r="AO232" s="326">
        <f t="shared" si="319"/>
        <v>0</v>
      </c>
      <c r="AP232" s="326">
        <f t="shared" ref="AP232:AY241" si="320">SUMIF($D$4:$D$203,$B232,AP$4:AP$203)</f>
        <v>0</v>
      </c>
      <c r="AQ232" s="326">
        <f t="shared" si="320"/>
        <v>0</v>
      </c>
      <c r="AR232" s="326">
        <f t="shared" si="320"/>
        <v>0</v>
      </c>
      <c r="AS232" s="326">
        <f t="shared" si="320"/>
        <v>0</v>
      </c>
      <c r="AT232" s="326">
        <f t="shared" si="320"/>
        <v>0</v>
      </c>
      <c r="AU232" s="326">
        <f t="shared" si="320"/>
        <v>0</v>
      </c>
      <c r="AV232" s="326">
        <f t="shared" si="320"/>
        <v>0</v>
      </c>
      <c r="AW232" s="326">
        <f t="shared" si="320"/>
        <v>0</v>
      </c>
      <c r="AX232" s="326">
        <f t="shared" si="320"/>
        <v>0</v>
      </c>
      <c r="AY232" s="326">
        <f t="shared" si="320"/>
        <v>0</v>
      </c>
      <c r="AZ232" s="326">
        <f t="shared" ref="AZ232:BI241" si="321">SUMIF($D$4:$D$203,$B232,AZ$4:AZ$203)</f>
        <v>0</v>
      </c>
      <c r="BA232" s="326">
        <f t="shared" si="321"/>
        <v>0</v>
      </c>
      <c r="BB232" s="326">
        <f t="shared" si="321"/>
        <v>0</v>
      </c>
      <c r="BC232" s="326">
        <f t="shared" si="321"/>
        <v>0</v>
      </c>
      <c r="BD232" s="329">
        <f t="shared" si="321"/>
        <v>0</v>
      </c>
      <c r="BE232" s="329">
        <f t="shared" si="321"/>
        <v>0</v>
      </c>
      <c r="BF232" s="329">
        <f t="shared" si="321"/>
        <v>0</v>
      </c>
      <c r="BG232" s="329">
        <f t="shared" si="321"/>
        <v>0</v>
      </c>
      <c r="BH232" s="329">
        <f t="shared" si="321"/>
        <v>0</v>
      </c>
      <c r="BI232" s="329">
        <f t="shared" si="321"/>
        <v>0</v>
      </c>
      <c r="BJ232" s="329">
        <f t="shared" ref="BJ232:BS241" si="322">SUMIF($D$4:$D$203,$B232,BJ$4:BJ$203)</f>
        <v>0</v>
      </c>
      <c r="BK232" s="329">
        <f t="shared" si="322"/>
        <v>0</v>
      </c>
      <c r="BL232" s="329">
        <f t="shared" si="322"/>
        <v>0</v>
      </c>
      <c r="BM232" s="329">
        <f t="shared" si="322"/>
        <v>0</v>
      </c>
      <c r="BN232" s="329">
        <f t="shared" si="322"/>
        <v>0</v>
      </c>
      <c r="BO232" s="329">
        <f t="shared" si="322"/>
        <v>0</v>
      </c>
      <c r="BP232" s="329">
        <f t="shared" si="322"/>
        <v>0</v>
      </c>
      <c r="BQ232" s="329">
        <f t="shared" si="322"/>
        <v>0</v>
      </c>
      <c r="BR232" s="329">
        <f t="shared" si="322"/>
        <v>0</v>
      </c>
      <c r="BS232" s="329">
        <f t="shared" si="322"/>
        <v>0</v>
      </c>
      <c r="BT232" s="329">
        <f t="shared" ref="BT232:CC241" si="323">SUMIF($D$4:$D$203,$B232,BT$4:BT$203)</f>
        <v>0</v>
      </c>
      <c r="BU232" s="329">
        <f t="shared" si="323"/>
        <v>0</v>
      </c>
      <c r="BV232" s="329">
        <f t="shared" si="323"/>
        <v>0</v>
      </c>
      <c r="BW232" s="329">
        <f t="shared" si="323"/>
        <v>0</v>
      </c>
      <c r="BX232" s="329">
        <f t="shared" si="323"/>
        <v>0</v>
      </c>
      <c r="BY232" s="329">
        <f t="shared" si="323"/>
        <v>0</v>
      </c>
      <c r="BZ232" s="329">
        <f t="shared" si="323"/>
        <v>0</v>
      </c>
      <c r="CA232" s="329">
        <f t="shared" si="323"/>
        <v>0</v>
      </c>
      <c r="CB232" s="329">
        <f t="shared" si="323"/>
        <v>0</v>
      </c>
      <c r="CC232" s="329">
        <f t="shared" si="323"/>
        <v>0</v>
      </c>
      <c r="CD232" s="329">
        <f t="shared" ref="CD232:CM241" si="324">SUMIF($D$4:$D$203,$B232,CD$4:CD$203)</f>
        <v>0</v>
      </c>
      <c r="CE232" s="329">
        <f t="shared" si="324"/>
        <v>0</v>
      </c>
      <c r="CF232" s="329">
        <f t="shared" si="324"/>
        <v>0</v>
      </c>
      <c r="CG232" s="329">
        <f t="shared" si="324"/>
        <v>0</v>
      </c>
      <c r="CH232" s="329">
        <f t="shared" si="324"/>
        <v>0</v>
      </c>
      <c r="CI232" s="329">
        <f t="shared" si="324"/>
        <v>0</v>
      </c>
      <c r="CJ232" s="329">
        <f t="shared" si="324"/>
        <v>0</v>
      </c>
      <c r="CK232" s="329">
        <f t="shared" si="324"/>
        <v>0</v>
      </c>
      <c r="CL232" s="329">
        <f t="shared" si="324"/>
        <v>0</v>
      </c>
      <c r="CM232" s="329">
        <f t="shared" si="324"/>
        <v>0</v>
      </c>
      <c r="CN232" s="329">
        <f t="shared" ref="CN232:CW241" si="325">SUMIF($D$4:$D$203,$B232,CN$4:CN$203)</f>
        <v>0</v>
      </c>
      <c r="CO232" s="329">
        <f t="shared" si="325"/>
        <v>0</v>
      </c>
      <c r="CP232" s="329">
        <f t="shared" si="325"/>
        <v>0</v>
      </c>
      <c r="CQ232" s="329">
        <f t="shared" si="325"/>
        <v>0</v>
      </c>
      <c r="CR232" s="329">
        <f t="shared" si="325"/>
        <v>0</v>
      </c>
      <c r="CS232" s="329">
        <f t="shared" si="325"/>
        <v>0</v>
      </c>
      <c r="CT232" s="329">
        <f t="shared" si="325"/>
        <v>0</v>
      </c>
      <c r="CU232" s="329">
        <f t="shared" si="325"/>
        <v>0</v>
      </c>
      <c r="CV232" s="329">
        <f t="shared" si="325"/>
        <v>0</v>
      </c>
      <c r="CW232" s="329">
        <f t="shared" si="325"/>
        <v>0</v>
      </c>
      <c r="CX232" s="329">
        <f t="shared" ref="CX232:DG241" si="326">SUMIF($D$4:$D$203,$B232,CX$4:CX$203)</f>
        <v>0</v>
      </c>
      <c r="CY232" s="329">
        <f t="shared" si="326"/>
        <v>0</v>
      </c>
      <c r="CZ232" s="329">
        <f t="shared" si="326"/>
        <v>0</v>
      </c>
      <c r="DA232" s="329">
        <f t="shared" si="326"/>
        <v>0</v>
      </c>
      <c r="DB232" s="329">
        <f t="shared" si="326"/>
        <v>0</v>
      </c>
      <c r="DC232" s="329">
        <f t="shared" si="326"/>
        <v>0</v>
      </c>
      <c r="DD232" s="329">
        <f t="shared" si="326"/>
        <v>0</v>
      </c>
      <c r="DE232" s="329">
        <f t="shared" si="326"/>
        <v>0</v>
      </c>
      <c r="DF232" s="329">
        <f t="shared" si="326"/>
        <v>0</v>
      </c>
      <c r="DG232" s="329">
        <f t="shared" si="326"/>
        <v>0</v>
      </c>
      <c r="DH232" s="329">
        <f t="shared" ref="DH232:DP241" si="327">SUMIF($D$4:$D$203,$B232,DH$4:DH$203)</f>
        <v>0</v>
      </c>
      <c r="DI232" s="329">
        <f t="shared" si="327"/>
        <v>0</v>
      </c>
      <c r="DJ232" s="329">
        <f t="shared" si="327"/>
        <v>0</v>
      </c>
      <c r="DK232" s="329">
        <f t="shared" si="327"/>
        <v>0</v>
      </c>
      <c r="DL232" s="329">
        <f t="shared" si="327"/>
        <v>0</v>
      </c>
      <c r="DM232" s="329">
        <f t="shared" si="327"/>
        <v>0</v>
      </c>
      <c r="DN232" s="329">
        <f t="shared" si="327"/>
        <v>0</v>
      </c>
      <c r="DO232" s="329">
        <f t="shared" si="327"/>
        <v>0</v>
      </c>
      <c r="DP232" s="329">
        <f t="shared" si="327"/>
        <v>0</v>
      </c>
      <c r="DQ232" s="217"/>
      <c r="DR232" s="217"/>
      <c r="DS232" s="217"/>
      <c r="DT232" s="217"/>
    </row>
    <row r="233" spans="1:124" x14ac:dyDescent="0.3">
      <c r="A233" s="217"/>
      <c r="B233" s="221" t="s">
        <v>106</v>
      </c>
      <c r="C233" s="217"/>
      <c r="D233" s="217"/>
      <c r="E233" s="217"/>
      <c r="F233" s="217"/>
      <c r="G233" s="217"/>
      <c r="H233" s="217"/>
      <c r="I233" s="217"/>
      <c r="J233" s="217"/>
      <c r="L233" s="326">
        <f t="shared" si="317"/>
        <v>0</v>
      </c>
      <c r="M233" s="326">
        <f t="shared" si="317"/>
        <v>0</v>
      </c>
      <c r="N233" s="326">
        <f t="shared" si="317"/>
        <v>0</v>
      </c>
      <c r="O233" s="326">
        <f t="shared" si="317"/>
        <v>0</v>
      </c>
      <c r="P233" s="326">
        <f t="shared" si="317"/>
        <v>0</v>
      </c>
      <c r="Q233" s="326">
        <f t="shared" si="317"/>
        <v>0</v>
      </c>
      <c r="R233" s="326">
        <f t="shared" si="317"/>
        <v>0</v>
      </c>
      <c r="S233" s="326">
        <f t="shared" si="317"/>
        <v>0</v>
      </c>
      <c r="T233" s="326">
        <f t="shared" si="317"/>
        <v>0</v>
      </c>
      <c r="U233" s="326">
        <f t="shared" si="317"/>
        <v>0</v>
      </c>
      <c r="V233" s="326">
        <f t="shared" si="318"/>
        <v>0</v>
      </c>
      <c r="W233" s="326">
        <f t="shared" si="318"/>
        <v>0</v>
      </c>
      <c r="X233" s="326">
        <f t="shared" si="318"/>
        <v>0</v>
      </c>
      <c r="Y233" s="326">
        <f t="shared" si="318"/>
        <v>0</v>
      </c>
      <c r="Z233" s="326">
        <f t="shared" si="318"/>
        <v>0</v>
      </c>
      <c r="AA233" s="326">
        <f t="shared" si="318"/>
        <v>0</v>
      </c>
      <c r="AB233" s="326">
        <f t="shared" si="318"/>
        <v>0</v>
      </c>
      <c r="AC233" s="326">
        <f t="shared" si="318"/>
        <v>0</v>
      </c>
      <c r="AD233" s="326">
        <f t="shared" si="318"/>
        <v>0</v>
      </c>
      <c r="AE233" s="326">
        <f t="shared" si="318"/>
        <v>0</v>
      </c>
      <c r="AF233" s="326">
        <f t="shared" si="319"/>
        <v>0</v>
      </c>
      <c r="AG233" s="326">
        <f t="shared" si="319"/>
        <v>0</v>
      </c>
      <c r="AH233" s="326">
        <f t="shared" si="319"/>
        <v>0</v>
      </c>
      <c r="AI233" s="326">
        <f t="shared" si="319"/>
        <v>0</v>
      </c>
      <c r="AJ233" s="326">
        <f t="shared" si="319"/>
        <v>0</v>
      </c>
      <c r="AK233" s="326">
        <f t="shared" si="319"/>
        <v>0</v>
      </c>
      <c r="AL233" s="326">
        <f t="shared" si="319"/>
        <v>0</v>
      </c>
      <c r="AM233" s="326">
        <f t="shared" si="319"/>
        <v>0</v>
      </c>
      <c r="AN233" s="326">
        <f t="shared" si="319"/>
        <v>0</v>
      </c>
      <c r="AO233" s="326">
        <f t="shared" si="319"/>
        <v>0</v>
      </c>
      <c r="AP233" s="326">
        <f t="shared" si="320"/>
        <v>0</v>
      </c>
      <c r="AQ233" s="326">
        <f t="shared" si="320"/>
        <v>0</v>
      </c>
      <c r="AR233" s="326">
        <f t="shared" si="320"/>
        <v>0</v>
      </c>
      <c r="AS233" s="326">
        <f t="shared" si="320"/>
        <v>0</v>
      </c>
      <c r="AT233" s="326">
        <f t="shared" si="320"/>
        <v>0</v>
      </c>
      <c r="AU233" s="326">
        <f t="shared" si="320"/>
        <v>0</v>
      </c>
      <c r="AV233" s="326">
        <f t="shared" si="320"/>
        <v>0</v>
      </c>
      <c r="AW233" s="326">
        <f t="shared" si="320"/>
        <v>0</v>
      </c>
      <c r="AX233" s="326">
        <f t="shared" si="320"/>
        <v>0</v>
      </c>
      <c r="AY233" s="326">
        <f t="shared" si="320"/>
        <v>0</v>
      </c>
      <c r="AZ233" s="326">
        <f t="shared" si="321"/>
        <v>0</v>
      </c>
      <c r="BA233" s="326">
        <f t="shared" si="321"/>
        <v>0</v>
      </c>
      <c r="BB233" s="326">
        <f t="shared" si="321"/>
        <v>0</v>
      </c>
      <c r="BC233" s="326">
        <f t="shared" si="321"/>
        <v>0</v>
      </c>
      <c r="BD233" s="329">
        <f t="shared" si="321"/>
        <v>0</v>
      </c>
      <c r="BE233" s="329">
        <f t="shared" si="321"/>
        <v>0</v>
      </c>
      <c r="BF233" s="329">
        <f t="shared" si="321"/>
        <v>0</v>
      </c>
      <c r="BG233" s="329">
        <f t="shared" si="321"/>
        <v>0</v>
      </c>
      <c r="BH233" s="329">
        <f t="shared" si="321"/>
        <v>0</v>
      </c>
      <c r="BI233" s="329">
        <f t="shared" si="321"/>
        <v>0</v>
      </c>
      <c r="BJ233" s="329">
        <f t="shared" si="322"/>
        <v>0</v>
      </c>
      <c r="BK233" s="329">
        <f t="shared" si="322"/>
        <v>0</v>
      </c>
      <c r="BL233" s="329">
        <f t="shared" si="322"/>
        <v>0</v>
      </c>
      <c r="BM233" s="329">
        <f t="shared" si="322"/>
        <v>0</v>
      </c>
      <c r="BN233" s="329">
        <f t="shared" si="322"/>
        <v>0</v>
      </c>
      <c r="BO233" s="329">
        <f t="shared" si="322"/>
        <v>0</v>
      </c>
      <c r="BP233" s="329">
        <f t="shared" si="322"/>
        <v>0</v>
      </c>
      <c r="BQ233" s="329">
        <f t="shared" si="322"/>
        <v>0</v>
      </c>
      <c r="BR233" s="329">
        <f t="shared" si="322"/>
        <v>0</v>
      </c>
      <c r="BS233" s="329">
        <f t="shared" si="322"/>
        <v>0</v>
      </c>
      <c r="BT233" s="329">
        <f t="shared" si="323"/>
        <v>0</v>
      </c>
      <c r="BU233" s="329">
        <f t="shared" si="323"/>
        <v>0</v>
      </c>
      <c r="BV233" s="329">
        <f t="shared" si="323"/>
        <v>0</v>
      </c>
      <c r="BW233" s="329">
        <f t="shared" si="323"/>
        <v>0</v>
      </c>
      <c r="BX233" s="329">
        <f t="shared" si="323"/>
        <v>0</v>
      </c>
      <c r="BY233" s="329">
        <f t="shared" si="323"/>
        <v>0</v>
      </c>
      <c r="BZ233" s="329">
        <f t="shared" si="323"/>
        <v>0</v>
      </c>
      <c r="CA233" s="329">
        <f t="shared" si="323"/>
        <v>0</v>
      </c>
      <c r="CB233" s="329">
        <f t="shared" si="323"/>
        <v>0</v>
      </c>
      <c r="CC233" s="329">
        <f t="shared" si="323"/>
        <v>0</v>
      </c>
      <c r="CD233" s="329">
        <f t="shared" si="324"/>
        <v>0</v>
      </c>
      <c r="CE233" s="329">
        <f t="shared" si="324"/>
        <v>0</v>
      </c>
      <c r="CF233" s="329">
        <f t="shared" si="324"/>
        <v>0</v>
      </c>
      <c r="CG233" s="329">
        <f t="shared" si="324"/>
        <v>0</v>
      </c>
      <c r="CH233" s="329">
        <f t="shared" si="324"/>
        <v>0</v>
      </c>
      <c r="CI233" s="329">
        <f t="shared" si="324"/>
        <v>0</v>
      </c>
      <c r="CJ233" s="329">
        <f t="shared" si="324"/>
        <v>0</v>
      </c>
      <c r="CK233" s="329">
        <f t="shared" si="324"/>
        <v>0</v>
      </c>
      <c r="CL233" s="329">
        <f t="shared" si="324"/>
        <v>0</v>
      </c>
      <c r="CM233" s="329">
        <f t="shared" si="324"/>
        <v>0</v>
      </c>
      <c r="CN233" s="329">
        <f t="shared" si="325"/>
        <v>0</v>
      </c>
      <c r="CO233" s="329">
        <f t="shared" si="325"/>
        <v>0</v>
      </c>
      <c r="CP233" s="329">
        <f t="shared" si="325"/>
        <v>0</v>
      </c>
      <c r="CQ233" s="329">
        <f t="shared" si="325"/>
        <v>0</v>
      </c>
      <c r="CR233" s="329">
        <f t="shared" si="325"/>
        <v>0</v>
      </c>
      <c r="CS233" s="329">
        <f t="shared" si="325"/>
        <v>0</v>
      </c>
      <c r="CT233" s="329">
        <f t="shared" si="325"/>
        <v>0</v>
      </c>
      <c r="CU233" s="329">
        <f t="shared" si="325"/>
        <v>0</v>
      </c>
      <c r="CV233" s="329">
        <f t="shared" si="325"/>
        <v>0</v>
      </c>
      <c r="CW233" s="329">
        <f t="shared" si="325"/>
        <v>0</v>
      </c>
      <c r="CX233" s="329">
        <f t="shared" si="326"/>
        <v>0</v>
      </c>
      <c r="CY233" s="329">
        <f t="shared" si="326"/>
        <v>0</v>
      </c>
      <c r="CZ233" s="329">
        <f t="shared" si="326"/>
        <v>0</v>
      </c>
      <c r="DA233" s="329">
        <f t="shared" si="326"/>
        <v>0</v>
      </c>
      <c r="DB233" s="329">
        <f t="shared" si="326"/>
        <v>0</v>
      </c>
      <c r="DC233" s="329">
        <f t="shared" si="326"/>
        <v>0</v>
      </c>
      <c r="DD233" s="329">
        <f t="shared" si="326"/>
        <v>0</v>
      </c>
      <c r="DE233" s="329">
        <f t="shared" si="326"/>
        <v>0</v>
      </c>
      <c r="DF233" s="329">
        <f t="shared" si="326"/>
        <v>0</v>
      </c>
      <c r="DG233" s="329">
        <f t="shared" si="326"/>
        <v>0</v>
      </c>
      <c r="DH233" s="329">
        <f t="shared" si="327"/>
        <v>0</v>
      </c>
      <c r="DI233" s="329">
        <f t="shared" si="327"/>
        <v>0</v>
      </c>
      <c r="DJ233" s="329">
        <f t="shared" si="327"/>
        <v>0</v>
      </c>
      <c r="DK233" s="329">
        <f t="shared" si="327"/>
        <v>0</v>
      </c>
      <c r="DL233" s="329">
        <f t="shared" si="327"/>
        <v>0</v>
      </c>
      <c r="DM233" s="329">
        <f t="shared" si="327"/>
        <v>0</v>
      </c>
      <c r="DN233" s="329">
        <f t="shared" si="327"/>
        <v>0</v>
      </c>
      <c r="DO233" s="329">
        <f t="shared" si="327"/>
        <v>0</v>
      </c>
      <c r="DP233" s="329">
        <f t="shared" si="327"/>
        <v>0</v>
      </c>
      <c r="DQ233" s="217"/>
      <c r="DR233" s="217"/>
      <c r="DS233" s="217"/>
      <c r="DT233" s="217"/>
    </row>
    <row r="234" spans="1:124" x14ac:dyDescent="0.3">
      <c r="A234" s="217"/>
      <c r="B234" s="221" t="s">
        <v>496</v>
      </c>
      <c r="C234" s="217"/>
      <c r="D234" s="217"/>
      <c r="E234" s="217"/>
      <c r="F234" s="217"/>
      <c r="G234" s="217"/>
      <c r="H234" s="217"/>
      <c r="I234" s="217"/>
      <c r="J234" s="217"/>
      <c r="L234" s="326">
        <f t="shared" si="317"/>
        <v>0</v>
      </c>
      <c r="M234" s="326">
        <f t="shared" si="317"/>
        <v>0</v>
      </c>
      <c r="N234" s="326">
        <f t="shared" si="317"/>
        <v>0</v>
      </c>
      <c r="O234" s="326">
        <f t="shared" si="317"/>
        <v>0</v>
      </c>
      <c r="P234" s="326">
        <f t="shared" si="317"/>
        <v>0</v>
      </c>
      <c r="Q234" s="326">
        <f t="shared" si="317"/>
        <v>0</v>
      </c>
      <c r="R234" s="326">
        <f t="shared" si="317"/>
        <v>0</v>
      </c>
      <c r="S234" s="326">
        <f t="shared" si="317"/>
        <v>0</v>
      </c>
      <c r="T234" s="326">
        <f t="shared" si="317"/>
        <v>0</v>
      </c>
      <c r="U234" s="326">
        <f t="shared" si="317"/>
        <v>0</v>
      </c>
      <c r="V234" s="326">
        <f t="shared" si="318"/>
        <v>0</v>
      </c>
      <c r="W234" s="326">
        <f t="shared" si="318"/>
        <v>0</v>
      </c>
      <c r="X234" s="326">
        <f t="shared" si="318"/>
        <v>0</v>
      </c>
      <c r="Y234" s="326">
        <f t="shared" si="318"/>
        <v>0</v>
      </c>
      <c r="Z234" s="326">
        <f t="shared" si="318"/>
        <v>0</v>
      </c>
      <c r="AA234" s="326">
        <f t="shared" si="318"/>
        <v>0</v>
      </c>
      <c r="AB234" s="326">
        <f t="shared" si="318"/>
        <v>0</v>
      </c>
      <c r="AC234" s="326">
        <f t="shared" si="318"/>
        <v>0</v>
      </c>
      <c r="AD234" s="326">
        <f t="shared" si="318"/>
        <v>0</v>
      </c>
      <c r="AE234" s="326">
        <f t="shared" si="318"/>
        <v>0</v>
      </c>
      <c r="AF234" s="326">
        <f t="shared" si="319"/>
        <v>0</v>
      </c>
      <c r="AG234" s="326">
        <f t="shared" si="319"/>
        <v>0</v>
      </c>
      <c r="AH234" s="326">
        <f t="shared" si="319"/>
        <v>0</v>
      </c>
      <c r="AI234" s="326">
        <f t="shared" si="319"/>
        <v>0</v>
      </c>
      <c r="AJ234" s="326">
        <f t="shared" si="319"/>
        <v>0</v>
      </c>
      <c r="AK234" s="326">
        <f t="shared" si="319"/>
        <v>0</v>
      </c>
      <c r="AL234" s="326">
        <f t="shared" si="319"/>
        <v>0</v>
      </c>
      <c r="AM234" s="326">
        <f t="shared" si="319"/>
        <v>0</v>
      </c>
      <c r="AN234" s="326">
        <f t="shared" si="319"/>
        <v>0</v>
      </c>
      <c r="AO234" s="326">
        <f t="shared" si="319"/>
        <v>0</v>
      </c>
      <c r="AP234" s="326">
        <f t="shared" si="320"/>
        <v>0</v>
      </c>
      <c r="AQ234" s="326">
        <f t="shared" si="320"/>
        <v>0</v>
      </c>
      <c r="AR234" s="326">
        <f t="shared" si="320"/>
        <v>0</v>
      </c>
      <c r="AS234" s="326">
        <f t="shared" si="320"/>
        <v>0</v>
      </c>
      <c r="AT234" s="326">
        <f t="shared" si="320"/>
        <v>0</v>
      </c>
      <c r="AU234" s="326">
        <f t="shared" si="320"/>
        <v>0</v>
      </c>
      <c r="AV234" s="326">
        <f t="shared" si="320"/>
        <v>0</v>
      </c>
      <c r="AW234" s="326">
        <f t="shared" si="320"/>
        <v>0</v>
      </c>
      <c r="AX234" s="326">
        <f t="shared" si="320"/>
        <v>0</v>
      </c>
      <c r="AY234" s="326">
        <f t="shared" si="320"/>
        <v>0</v>
      </c>
      <c r="AZ234" s="326">
        <f t="shared" si="321"/>
        <v>0</v>
      </c>
      <c r="BA234" s="326">
        <f t="shared" si="321"/>
        <v>0</v>
      </c>
      <c r="BB234" s="326">
        <f t="shared" si="321"/>
        <v>0</v>
      </c>
      <c r="BC234" s="326">
        <f t="shared" si="321"/>
        <v>0</v>
      </c>
      <c r="BD234" s="329">
        <f t="shared" si="321"/>
        <v>0</v>
      </c>
      <c r="BE234" s="329">
        <f t="shared" si="321"/>
        <v>0</v>
      </c>
      <c r="BF234" s="329">
        <f t="shared" si="321"/>
        <v>0</v>
      </c>
      <c r="BG234" s="329">
        <f t="shared" si="321"/>
        <v>0</v>
      </c>
      <c r="BH234" s="329">
        <f t="shared" si="321"/>
        <v>0</v>
      </c>
      <c r="BI234" s="329">
        <f t="shared" si="321"/>
        <v>0</v>
      </c>
      <c r="BJ234" s="329">
        <f t="shared" si="322"/>
        <v>0</v>
      </c>
      <c r="BK234" s="329">
        <f t="shared" si="322"/>
        <v>0</v>
      </c>
      <c r="BL234" s="329">
        <f t="shared" si="322"/>
        <v>0</v>
      </c>
      <c r="BM234" s="329">
        <f t="shared" si="322"/>
        <v>0</v>
      </c>
      <c r="BN234" s="329">
        <f t="shared" si="322"/>
        <v>0</v>
      </c>
      <c r="BO234" s="329">
        <f t="shared" si="322"/>
        <v>0</v>
      </c>
      <c r="BP234" s="329">
        <f t="shared" si="322"/>
        <v>0</v>
      </c>
      <c r="BQ234" s="329">
        <f t="shared" si="322"/>
        <v>0</v>
      </c>
      <c r="BR234" s="329">
        <f t="shared" si="322"/>
        <v>0</v>
      </c>
      <c r="BS234" s="329">
        <f t="shared" si="322"/>
        <v>0</v>
      </c>
      <c r="BT234" s="329">
        <f t="shared" si="323"/>
        <v>0</v>
      </c>
      <c r="BU234" s="329">
        <f t="shared" si="323"/>
        <v>0</v>
      </c>
      <c r="BV234" s="329">
        <f t="shared" si="323"/>
        <v>0</v>
      </c>
      <c r="BW234" s="329">
        <f t="shared" si="323"/>
        <v>0</v>
      </c>
      <c r="BX234" s="329">
        <f t="shared" si="323"/>
        <v>0</v>
      </c>
      <c r="BY234" s="329">
        <f t="shared" si="323"/>
        <v>0</v>
      </c>
      <c r="BZ234" s="329">
        <f t="shared" si="323"/>
        <v>0</v>
      </c>
      <c r="CA234" s="329">
        <f t="shared" si="323"/>
        <v>0</v>
      </c>
      <c r="CB234" s="329">
        <f t="shared" si="323"/>
        <v>0</v>
      </c>
      <c r="CC234" s="329">
        <f t="shared" si="323"/>
        <v>0</v>
      </c>
      <c r="CD234" s="329">
        <f t="shared" si="324"/>
        <v>0</v>
      </c>
      <c r="CE234" s="329">
        <f t="shared" si="324"/>
        <v>0</v>
      </c>
      <c r="CF234" s="329">
        <f t="shared" si="324"/>
        <v>0</v>
      </c>
      <c r="CG234" s="329">
        <f t="shared" si="324"/>
        <v>0</v>
      </c>
      <c r="CH234" s="329">
        <f t="shared" si="324"/>
        <v>0</v>
      </c>
      <c r="CI234" s="329">
        <f t="shared" si="324"/>
        <v>0</v>
      </c>
      <c r="CJ234" s="329">
        <f t="shared" si="324"/>
        <v>0</v>
      </c>
      <c r="CK234" s="329">
        <f t="shared" si="324"/>
        <v>0</v>
      </c>
      <c r="CL234" s="329">
        <f t="shared" si="324"/>
        <v>0</v>
      </c>
      <c r="CM234" s="329">
        <f t="shared" si="324"/>
        <v>0</v>
      </c>
      <c r="CN234" s="329">
        <f t="shared" si="325"/>
        <v>0</v>
      </c>
      <c r="CO234" s="329">
        <f t="shared" si="325"/>
        <v>0</v>
      </c>
      <c r="CP234" s="329">
        <f t="shared" si="325"/>
        <v>0</v>
      </c>
      <c r="CQ234" s="329">
        <f t="shared" si="325"/>
        <v>0</v>
      </c>
      <c r="CR234" s="329">
        <f t="shared" si="325"/>
        <v>0</v>
      </c>
      <c r="CS234" s="329">
        <f t="shared" si="325"/>
        <v>0</v>
      </c>
      <c r="CT234" s="329">
        <f t="shared" si="325"/>
        <v>0</v>
      </c>
      <c r="CU234" s="329">
        <f t="shared" si="325"/>
        <v>0</v>
      </c>
      <c r="CV234" s="329">
        <f t="shared" si="325"/>
        <v>0</v>
      </c>
      <c r="CW234" s="329">
        <f t="shared" si="325"/>
        <v>0</v>
      </c>
      <c r="CX234" s="329">
        <f t="shared" si="326"/>
        <v>0</v>
      </c>
      <c r="CY234" s="329">
        <f t="shared" si="326"/>
        <v>0</v>
      </c>
      <c r="CZ234" s="329">
        <f t="shared" si="326"/>
        <v>0</v>
      </c>
      <c r="DA234" s="329">
        <f t="shared" si="326"/>
        <v>0</v>
      </c>
      <c r="DB234" s="329">
        <f t="shared" si="326"/>
        <v>0</v>
      </c>
      <c r="DC234" s="329">
        <f t="shared" si="326"/>
        <v>0</v>
      </c>
      <c r="DD234" s="329">
        <f t="shared" si="326"/>
        <v>0</v>
      </c>
      <c r="DE234" s="329">
        <f t="shared" si="326"/>
        <v>0</v>
      </c>
      <c r="DF234" s="329">
        <f t="shared" si="326"/>
        <v>0</v>
      </c>
      <c r="DG234" s="329">
        <f t="shared" si="326"/>
        <v>0</v>
      </c>
      <c r="DH234" s="329">
        <f t="shared" si="327"/>
        <v>0</v>
      </c>
      <c r="DI234" s="329">
        <f t="shared" si="327"/>
        <v>0</v>
      </c>
      <c r="DJ234" s="329">
        <f t="shared" si="327"/>
        <v>0</v>
      </c>
      <c r="DK234" s="329">
        <f t="shared" si="327"/>
        <v>0</v>
      </c>
      <c r="DL234" s="329">
        <f t="shared" si="327"/>
        <v>0</v>
      </c>
      <c r="DM234" s="329">
        <f t="shared" si="327"/>
        <v>0</v>
      </c>
      <c r="DN234" s="329">
        <f t="shared" si="327"/>
        <v>0</v>
      </c>
      <c r="DO234" s="329">
        <f t="shared" si="327"/>
        <v>0</v>
      </c>
      <c r="DP234" s="329">
        <f t="shared" si="327"/>
        <v>0</v>
      </c>
      <c r="DQ234" s="217"/>
      <c r="DR234" s="217"/>
      <c r="DS234" s="217"/>
      <c r="DT234" s="217"/>
    </row>
    <row r="235" spans="1:124" x14ac:dyDescent="0.3">
      <c r="A235" s="217"/>
      <c r="B235" s="260" t="s">
        <v>521</v>
      </c>
      <c r="C235" s="217"/>
      <c r="D235" s="217"/>
      <c r="E235" s="217"/>
      <c r="F235" s="217"/>
      <c r="G235" s="217"/>
      <c r="H235" s="217"/>
      <c r="I235" s="217"/>
      <c r="J235" s="217"/>
      <c r="L235" s="326">
        <f t="shared" si="317"/>
        <v>0</v>
      </c>
      <c r="M235" s="326">
        <f t="shared" si="317"/>
        <v>0</v>
      </c>
      <c r="N235" s="326">
        <f t="shared" si="317"/>
        <v>0</v>
      </c>
      <c r="O235" s="326">
        <f t="shared" si="317"/>
        <v>0</v>
      </c>
      <c r="P235" s="326">
        <f t="shared" si="317"/>
        <v>0</v>
      </c>
      <c r="Q235" s="326">
        <f t="shared" si="317"/>
        <v>0</v>
      </c>
      <c r="R235" s="326">
        <f t="shared" si="317"/>
        <v>0</v>
      </c>
      <c r="S235" s="326">
        <f t="shared" si="317"/>
        <v>0</v>
      </c>
      <c r="T235" s="326">
        <f t="shared" si="317"/>
        <v>0</v>
      </c>
      <c r="U235" s="326">
        <f t="shared" si="317"/>
        <v>0</v>
      </c>
      <c r="V235" s="326">
        <f t="shared" si="318"/>
        <v>0</v>
      </c>
      <c r="W235" s="326">
        <f t="shared" si="318"/>
        <v>0</v>
      </c>
      <c r="X235" s="326">
        <f t="shared" si="318"/>
        <v>0</v>
      </c>
      <c r="Y235" s="326">
        <f t="shared" si="318"/>
        <v>0</v>
      </c>
      <c r="Z235" s="326">
        <f t="shared" si="318"/>
        <v>0</v>
      </c>
      <c r="AA235" s="326">
        <f t="shared" si="318"/>
        <v>0</v>
      </c>
      <c r="AB235" s="326">
        <f t="shared" si="318"/>
        <v>0</v>
      </c>
      <c r="AC235" s="326">
        <f t="shared" si="318"/>
        <v>0</v>
      </c>
      <c r="AD235" s="326">
        <f t="shared" si="318"/>
        <v>0</v>
      </c>
      <c r="AE235" s="326">
        <f t="shared" si="318"/>
        <v>0</v>
      </c>
      <c r="AF235" s="326">
        <f t="shared" si="319"/>
        <v>0</v>
      </c>
      <c r="AG235" s="326">
        <f t="shared" si="319"/>
        <v>0</v>
      </c>
      <c r="AH235" s="326">
        <f t="shared" si="319"/>
        <v>0</v>
      </c>
      <c r="AI235" s="326">
        <f t="shared" si="319"/>
        <v>0</v>
      </c>
      <c r="AJ235" s="326">
        <f t="shared" si="319"/>
        <v>0</v>
      </c>
      <c r="AK235" s="326">
        <f t="shared" si="319"/>
        <v>0</v>
      </c>
      <c r="AL235" s="326">
        <f t="shared" si="319"/>
        <v>0</v>
      </c>
      <c r="AM235" s="326">
        <f t="shared" si="319"/>
        <v>0</v>
      </c>
      <c r="AN235" s="326">
        <f t="shared" si="319"/>
        <v>0</v>
      </c>
      <c r="AO235" s="326">
        <f t="shared" si="319"/>
        <v>0</v>
      </c>
      <c r="AP235" s="326">
        <f t="shared" si="320"/>
        <v>0</v>
      </c>
      <c r="AQ235" s="326">
        <f t="shared" si="320"/>
        <v>0</v>
      </c>
      <c r="AR235" s="326">
        <f t="shared" si="320"/>
        <v>0</v>
      </c>
      <c r="AS235" s="326">
        <f t="shared" si="320"/>
        <v>0</v>
      </c>
      <c r="AT235" s="326">
        <f t="shared" si="320"/>
        <v>0</v>
      </c>
      <c r="AU235" s="326">
        <f t="shared" si="320"/>
        <v>0</v>
      </c>
      <c r="AV235" s="326">
        <f t="shared" si="320"/>
        <v>0</v>
      </c>
      <c r="AW235" s="326">
        <f t="shared" si="320"/>
        <v>0</v>
      </c>
      <c r="AX235" s="326">
        <f t="shared" si="320"/>
        <v>0</v>
      </c>
      <c r="AY235" s="326">
        <f t="shared" si="320"/>
        <v>0</v>
      </c>
      <c r="AZ235" s="326">
        <f t="shared" si="321"/>
        <v>0</v>
      </c>
      <c r="BA235" s="326">
        <f t="shared" si="321"/>
        <v>0</v>
      </c>
      <c r="BB235" s="326">
        <f t="shared" si="321"/>
        <v>0</v>
      </c>
      <c r="BC235" s="326">
        <f t="shared" si="321"/>
        <v>0</v>
      </c>
      <c r="BD235" s="329">
        <f t="shared" si="321"/>
        <v>0</v>
      </c>
      <c r="BE235" s="329">
        <f t="shared" si="321"/>
        <v>0</v>
      </c>
      <c r="BF235" s="329">
        <f t="shared" si="321"/>
        <v>0</v>
      </c>
      <c r="BG235" s="329">
        <f t="shared" si="321"/>
        <v>0</v>
      </c>
      <c r="BH235" s="329">
        <f t="shared" si="321"/>
        <v>0</v>
      </c>
      <c r="BI235" s="329">
        <f t="shared" si="321"/>
        <v>0</v>
      </c>
      <c r="BJ235" s="329">
        <f t="shared" si="322"/>
        <v>0</v>
      </c>
      <c r="BK235" s="329">
        <f t="shared" si="322"/>
        <v>0</v>
      </c>
      <c r="BL235" s="329">
        <f t="shared" si="322"/>
        <v>0</v>
      </c>
      <c r="BM235" s="329">
        <f t="shared" si="322"/>
        <v>0</v>
      </c>
      <c r="BN235" s="329">
        <f t="shared" si="322"/>
        <v>0</v>
      </c>
      <c r="BO235" s="329">
        <f t="shared" si="322"/>
        <v>0</v>
      </c>
      <c r="BP235" s="329">
        <f t="shared" si="322"/>
        <v>0</v>
      </c>
      <c r="BQ235" s="329">
        <f t="shared" si="322"/>
        <v>0</v>
      </c>
      <c r="BR235" s="329">
        <f t="shared" si="322"/>
        <v>0</v>
      </c>
      <c r="BS235" s="329">
        <f t="shared" si="322"/>
        <v>0</v>
      </c>
      <c r="BT235" s="329">
        <f t="shared" si="323"/>
        <v>0</v>
      </c>
      <c r="BU235" s="329">
        <f t="shared" si="323"/>
        <v>0</v>
      </c>
      <c r="BV235" s="329">
        <f t="shared" si="323"/>
        <v>0</v>
      </c>
      <c r="BW235" s="329">
        <f t="shared" si="323"/>
        <v>0</v>
      </c>
      <c r="BX235" s="329">
        <f t="shared" si="323"/>
        <v>0</v>
      </c>
      <c r="BY235" s="329">
        <f t="shared" si="323"/>
        <v>0</v>
      </c>
      <c r="BZ235" s="329">
        <f t="shared" si="323"/>
        <v>0</v>
      </c>
      <c r="CA235" s="329">
        <f t="shared" si="323"/>
        <v>0</v>
      </c>
      <c r="CB235" s="329">
        <f t="shared" si="323"/>
        <v>0</v>
      </c>
      <c r="CC235" s="329">
        <f t="shared" si="323"/>
        <v>0</v>
      </c>
      <c r="CD235" s="329">
        <f t="shared" si="324"/>
        <v>0</v>
      </c>
      <c r="CE235" s="329">
        <f t="shared" si="324"/>
        <v>0</v>
      </c>
      <c r="CF235" s="329">
        <f t="shared" si="324"/>
        <v>0</v>
      </c>
      <c r="CG235" s="329">
        <f t="shared" si="324"/>
        <v>0</v>
      </c>
      <c r="CH235" s="329">
        <f t="shared" si="324"/>
        <v>0</v>
      </c>
      <c r="CI235" s="329">
        <f t="shared" si="324"/>
        <v>0</v>
      </c>
      <c r="CJ235" s="329">
        <f t="shared" si="324"/>
        <v>0</v>
      </c>
      <c r="CK235" s="329">
        <f t="shared" si="324"/>
        <v>0</v>
      </c>
      <c r="CL235" s="329">
        <f t="shared" si="324"/>
        <v>0</v>
      </c>
      <c r="CM235" s="329">
        <f t="shared" si="324"/>
        <v>0</v>
      </c>
      <c r="CN235" s="329">
        <f t="shared" si="325"/>
        <v>0</v>
      </c>
      <c r="CO235" s="329">
        <f t="shared" si="325"/>
        <v>0</v>
      </c>
      <c r="CP235" s="329">
        <f t="shared" si="325"/>
        <v>0</v>
      </c>
      <c r="CQ235" s="329">
        <f t="shared" si="325"/>
        <v>0</v>
      </c>
      <c r="CR235" s="329">
        <f t="shared" si="325"/>
        <v>0</v>
      </c>
      <c r="CS235" s="329">
        <f t="shared" si="325"/>
        <v>0</v>
      </c>
      <c r="CT235" s="329">
        <f t="shared" si="325"/>
        <v>0</v>
      </c>
      <c r="CU235" s="329">
        <f t="shared" si="325"/>
        <v>0</v>
      </c>
      <c r="CV235" s="329">
        <f t="shared" si="325"/>
        <v>0</v>
      </c>
      <c r="CW235" s="329">
        <f t="shared" si="325"/>
        <v>0</v>
      </c>
      <c r="CX235" s="329">
        <f t="shared" si="326"/>
        <v>0</v>
      </c>
      <c r="CY235" s="329">
        <f t="shared" si="326"/>
        <v>0</v>
      </c>
      <c r="CZ235" s="329">
        <f t="shared" si="326"/>
        <v>0</v>
      </c>
      <c r="DA235" s="329">
        <f t="shared" si="326"/>
        <v>0</v>
      </c>
      <c r="DB235" s="329">
        <f t="shared" si="326"/>
        <v>0</v>
      </c>
      <c r="DC235" s="329">
        <f t="shared" si="326"/>
        <v>0</v>
      </c>
      <c r="DD235" s="329">
        <f t="shared" si="326"/>
        <v>0</v>
      </c>
      <c r="DE235" s="329">
        <f t="shared" si="326"/>
        <v>0</v>
      </c>
      <c r="DF235" s="329">
        <f t="shared" si="326"/>
        <v>0</v>
      </c>
      <c r="DG235" s="329">
        <f t="shared" si="326"/>
        <v>0</v>
      </c>
      <c r="DH235" s="329">
        <f t="shared" si="327"/>
        <v>0</v>
      </c>
      <c r="DI235" s="329">
        <f t="shared" si="327"/>
        <v>0</v>
      </c>
      <c r="DJ235" s="329">
        <f t="shared" si="327"/>
        <v>0</v>
      </c>
      <c r="DK235" s="329">
        <f t="shared" si="327"/>
        <v>0</v>
      </c>
      <c r="DL235" s="329">
        <f t="shared" si="327"/>
        <v>0</v>
      </c>
      <c r="DM235" s="329">
        <f t="shared" si="327"/>
        <v>0</v>
      </c>
      <c r="DN235" s="329">
        <f t="shared" si="327"/>
        <v>0</v>
      </c>
      <c r="DO235" s="329">
        <f t="shared" si="327"/>
        <v>0</v>
      </c>
      <c r="DP235" s="329">
        <f t="shared" si="327"/>
        <v>0</v>
      </c>
      <c r="DQ235" s="217"/>
      <c r="DR235" s="217"/>
      <c r="DS235" s="217"/>
      <c r="DT235" s="217"/>
    </row>
    <row r="236" spans="1:124" x14ac:dyDescent="0.3">
      <c r="A236" s="217"/>
      <c r="B236" s="341" t="s">
        <v>522</v>
      </c>
      <c r="C236" s="217"/>
      <c r="D236" s="217"/>
      <c r="E236" s="217"/>
      <c r="F236" s="217"/>
      <c r="G236" s="217"/>
      <c r="H236" s="217"/>
      <c r="I236" s="217"/>
      <c r="J236" s="217"/>
      <c r="L236" s="326">
        <f t="shared" si="317"/>
        <v>0</v>
      </c>
      <c r="M236" s="326">
        <f t="shared" si="317"/>
        <v>0</v>
      </c>
      <c r="N236" s="326">
        <f t="shared" si="317"/>
        <v>0</v>
      </c>
      <c r="O236" s="326">
        <f t="shared" si="317"/>
        <v>0</v>
      </c>
      <c r="P236" s="326">
        <f t="shared" si="317"/>
        <v>0</v>
      </c>
      <c r="Q236" s="326">
        <f t="shared" si="317"/>
        <v>0</v>
      </c>
      <c r="R236" s="326">
        <f t="shared" si="317"/>
        <v>0</v>
      </c>
      <c r="S236" s="326">
        <f t="shared" si="317"/>
        <v>0</v>
      </c>
      <c r="T236" s="326">
        <f t="shared" si="317"/>
        <v>0</v>
      </c>
      <c r="U236" s="326">
        <f t="shared" si="317"/>
        <v>0</v>
      </c>
      <c r="V236" s="326">
        <f t="shared" si="318"/>
        <v>0</v>
      </c>
      <c r="W236" s="326">
        <f t="shared" si="318"/>
        <v>0</v>
      </c>
      <c r="X236" s="326">
        <f t="shared" si="318"/>
        <v>0</v>
      </c>
      <c r="Y236" s="326">
        <f t="shared" si="318"/>
        <v>0</v>
      </c>
      <c r="Z236" s="326">
        <f t="shared" si="318"/>
        <v>0</v>
      </c>
      <c r="AA236" s="326">
        <f t="shared" si="318"/>
        <v>0</v>
      </c>
      <c r="AB236" s="326">
        <f t="shared" si="318"/>
        <v>0</v>
      </c>
      <c r="AC236" s="326">
        <f t="shared" si="318"/>
        <v>0</v>
      </c>
      <c r="AD236" s="326">
        <f t="shared" si="318"/>
        <v>0</v>
      </c>
      <c r="AE236" s="326">
        <f t="shared" si="318"/>
        <v>0</v>
      </c>
      <c r="AF236" s="326">
        <f t="shared" si="319"/>
        <v>0</v>
      </c>
      <c r="AG236" s="326">
        <f t="shared" si="319"/>
        <v>0</v>
      </c>
      <c r="AH236" s="326">
        <f t="shared" si="319"/>
        <v>0</v>
      </c>
      <c r="AI236" s="326">
        <f t="shared" si="319"/>
        <v>0</v>
      </c>
      <c r="AJ236" s="326">
        <f t="shared" si="319"/>
        <v>0</v>
      </c>
      <c r="AK236" s="326">
        <f t="shared" si="319"/>
        <v>0</v>
      </c>
      <c r="AL236" s="326">
        <f t="shared" si="319"/>
        <v>0</v>
      </c>
      <c r="AM236" s="326">
        <f t="shared" si="319"/>
        <v>0</v>
      </c>
      <c r="AN236" s="326">
        <f t="shared" si="319"/>
        <v>0</v>
      </c>
      <c r="AO236" s="326">
        <f t="shared" si="319"/>
        <v>0</v>
      </c>
      <c r="AP236" s="326">
        <f t="shared" si="320"/>
        <v>0</v>
      </c>
      <c r="AQ236" s="326">
        <f t="shared" si="320"/>
        <v>0</v>
      </c>
      <c r="AR236" s="326">
        <f t="shared" si="320"/>
        <v>0</v>
      </c>
      <c r="AS236" s="326">
        <f t="shared" si="320"/>
        <v>0</v>
      </c>
      <c r="AT236" s="326">
        <f t="shared" si="320"/>
        <v>0</v>
      </c>
      <c r="AU236" s="326">
        <f t="shared" si="320"/>
        <v>0</v>
      </c>
      <c r="AV236" s="326">
        <f t="shared" si="320"/>
        <v>0</v>
      </c>
      <c r="AW236" s="326">
        <f t="shared" si="320"/>
        <v>0</v>
      </c>
      <c r="AX236" s="326">
        <f t="shared" si="320"/>
        <v>0</v>
      </c>
      <c r="AY236" s="326">
        <f t="shared" si="320"/>
        <v>0</v>
      </c>
      <c r="AZ236" s="326">
        <f t="shared" si="321"/>
        <v>0</v>
      </c>
      <c r="BA236" s="326">
        <f t="shared" si="321"/>
        <v>0</v>
      </c>
      <c r="BB236" s="326">
        <f t="shared" si="321"/>
        <v>0</v>
      </c>
      <c r="BC236" s="326">
        <f t="shared" si="321"/>
        <v>0</v>
      </c>
      <c r="BD236" s="329">
        <f t="shared" si="321"/>
        <v>0</v>
      </c>
      <c r="BE236" s="329">
        <f t="shared" si="321"/>
        <v>0</v>
      </c>
      <c r="BF236" s="329">
        <f t="shared" si="321"/>
        <v>0</v>
      </c>
      <c r="BG236" s="329">
        <f t="shared" si="321"/>
        <v>0</v>
      </c>
      <c r="BH236" s="329">
        <f t="shared" si="321"/>
        <v>0</v>
      </c>
      <c r="BI236" s="329">
        <f t="shared" si="321"/>
        <v>0</v>
      </c>
      <c r="BJ236" s="329">
        <f t="shared" si="322"/>
        <v>0</v>
      </c>
      <c r="BK236" s="329">
        <f t="shared" si="322"/>
        <v>0</v>
      </c>
      <c r="BL236" s="329">
        <f t="shared" si="322"/>
        <v>0</v>
      </c>
      <c r="BM236" s="329">
        <f t="shared" si="322"/>
        <v>0</v>
      </c>
      <c r="BN236" s="329">
        <f t="shared" si="322"/>
        <v>0</v>
      </c>
      <c r="BO236" s="329">
        <f t="shared" si="322"/>
        <v>0</v>
      </c>
      <c r="BP236" s="329">
        <f t="shared" si="322"/>
        <v>0</v>
      </c>
      <c r="BQ236" s="329">
        <f t="shared" si="322"/>
        <v>0</v>
      </c>
      <c r="BR236" s="329">
        <f t="shared" si="322"/>
        <v>0</v>
      </c>
      <c r="BS236" s="329">
        <f t="shared" si="322"/>
        <v>0</v>
      </c>
      <c r="BT236" s="329">
        <f t="shared" si="323"/>
        <v>0</v>
      </c>
      <c r="BU236" s="329">
        <f t="shared" si="323"/>
        <v>0</v>
      </c>
      <c r="BV236" s="329">
        <f t="shared" si="323"/>
        <v>0</v>
      </c>
      <c r="BW236" s="329">
        <f t="shared" si="323"/>
        <v>0</v>
      </c>
      <c r="BX236" s="329">
        <f t="shared" si="323"/>
        <v>0</v>
      </c>
      <c r="BY236" s="329">
        <f t="shared" si="323"/>
        <v>0</v>
      </c>
      <c r="BZ236" s="329">
        <f t="shared" si="323"/>
        <v>0</v>
      </c>
      <c r="CA236" s="329">
        <f t="shared" si="323"/>
        <v>0</v>
      </c>
      <c r="CB236" s="329">
        <f t="shared" si="323"/>
        <v>0</v>
      </c>
      <c r="CC236" s="329">
        <f t="shared" si="323"/>
        <v>0</v>
      </c>
      <c r="CD236" s="329">
        <f t="shared" si="324"/>
        <v>0</v>
      </c>
      <c r="CE236" s="329">
        <f t="shared" si="324"/>
        <v>0</v>
      </c>
      <c r="CF236" s="329">
        <f t="shared" si="324"/>
        <v>0</v>
      </c>
      <c r="CG236" s="329">
        <f t="shared" si="324"/>
        <v>0</v>
      </c>
      <c r="CH236" s="329">
        <f t="shared" si="324"/>
        <v>0</v>
      </c>
      <c r="CI236" s="329">
        <f t="shared" si="324"/>
        <v>0</v>
      </c>
      <c r="CJ236" s="329">
        <f t="shared" si="324"/>
        <v>0</v>
      </c>
      <c r="CK236" s="329">
        <f t="shared" si="324"/>
        <v>0</v>
      </c>
      <c r="CL236" s="329">
        <f t="shared" si="324"/>
        <v>0</v>
      </c>
      <c r="CM236" s="329">
        <f t="shared" si="324"/>
        <v>0</v>
      </c>
      <c r="CN236" s="329">
        <f t="shared" si="325"/>
        <v>0</v>
      </c>
      <c r="CO236" s="329">
        <f t="shared" si="325"/>
        <v>0</v>
      </c>
      <c r="CP236" s="329">
        <f t="shared" si="325"/>
        <v>0</v>
      </c>
      <c r="CQ236" s="329">
        <f t="shared" si="325"/>
        <v>0</v>
      </c>
      <c r="CR236" s="329">
        <f t="shared" si="325"/>
        <v>0</v>
      </c>
      <c r="CS236" s="329">
        <f t="shared" si="325"/>
        <v>0</v>
      </c>
      <c r="CT236" s="329">
        <f t="shared" si="325"/>
        <v>0</v>
      </c>
      <c r="CU236" s="329">
        <f t="shared" si="325"/>
        <v>0</v>
      </c>
      <c r="CV236" s="329">
        <f t="shared" si="325"/>
        <v>0</v>
      </c>
      <c r="CW236" s="329">
        <f t="shared" si="325"/>
        <v>0</v>
      </c>
      <c r="CX236" s="329">
        <f t="shared" si="326"/>
        <v>0</v>
      </c>
      <c r="CY236" s="329">
        <f t="shared" si="326"/>
        <v>0</v>
      </c>
      <c r="CZ236" s="329">
        <f t="shared" si="326"/>
        <v>0</v>
      </c>
      <c r="DA236" s="329">
        <f t="shared" si="326"/>
        <v>0</v>
      </c>
      <c r="DB236" s="329">
        <f t="shared" si="326"/>
        <v>0</v>
      </c>
      <c r="DC236" s="329">
        <f t="shared" si="326"/>
        <v>0</v>
      </c>
      <c r="DD236" s="329">
        <f t="shared" si="326"/>
        <v>0</v>
      </c>
      <c r="DE236" s="329">
        <f t="shared" si="326"/>
        <v>0</v>
      </c>
      <c r="DF236" s="329">
        <f t="shared" si="326"/>
        <v>0</v>
      </c>
      <c r="DG236" s="329">
        <f t="shared" si="326"/>
        <v>0</v>
      </c>
      <c r="DH236" s="329">
        <f t="shared" si="327"/>
        <v>0</v>
      </c>
      <c r="DI236" s="329">
        <f t="shared" si="327"/>
        <v>0</v>
      </c>
      <c r="DJ236" s="329">
        <f t="shared" si="327"/>
        <v>0</v>
      </c>
      <c r="DK236" s="329">
        <f t="shared" si="327"/>
        <v>0</v>
      </c>
      <c r="DL236" s="329">
        <f t="shared" si="327"/>
        <v>0</v>
      </c>
      <c r="DM236" s="329">
        <f t="shared" si="327"/>
        <v>0</v>
      </c>
      <c r="DN236" s="329">
        <f t="shared" si="327"/>
        <v>0</v>
      </c>
      <c r="DO236" s="329">
        <f t="shared" si="327"/>
        <v>0</v>
      </c>
      <c r="DP236" s="329">
        <f t="shared" si="327"/>
        <v>0</v>
      </c>
      <c r="DQ236" s="217"/>
      <c r="DR236" s="217"/>
      <c r="DS236" s="217"/>
      <c r="DT236" s="217"/>
    </row>
    <row r="237" spans="1:124" x14ac:dyDescent="0.3">
      <c r="A237" s="217"/>
      <c r="B237" s="260" t="s">
        <v>429</v>
      </c>
      <c r="C237" s="217"/>
      <c r="D237" s="217"/>
      <c r="E237" s="217"/>
      <c r="F237" s="217"/>
      <c r="G237" s="217"/>
      <c r="H237" s="217"/>
      <c r="I237" s="217"/>
      <c r="J237" s="217"/>
      <c r="L237" s="326">
        <f t="shared" si="317"/>
        <v>0</v>
      </c>
      <c r="M237" s="326">
        <f t="shared" si="317"/>
        <v>0</v>
      </c>
      <c r="N237" s="326">
        <f t="shared" si="317"/>
        <v>0</v>
      </c>
      <c r="O237" s="326">
        <f t="shared" si="317"/>
        <v>0</v>
      </c>
      <c r="P237" s="326">
        <f t="shared" si="317"/>
        <v>0</v>
      </c>
      <c r="Q237" s="326">
        <f t="shared" si="317"/>
        <v>0</v>
      </c>
      <c r="R237" s="326">
        <f t="shared" si="317"/>
        <v>0</v>
      </c>
      <c r="S237" s="326">
        <f t="shared" si="317"/>
        <v>0</v>
      </c>
      <c r="T237" s="326">
        <f t="shared" si="317"/>
        <v>0</v>
      </c>
      <c r="U237" s="326">
        <f t="shared" si="317"/>
        <v>0</v>
      </c>
      <c r="V237" s="326">
        <f t="shared" si="318"/>
        <v>0</v>
      </c>
      <c r="W237" s="326">
        <f t="shared" si="318"/>
        <v>0</v>
      </c>
      <c r="X237" s="326">
        <f t="shared" si="318"/>
        <v>0</v>
      </c>
      <c r="Y237" s="326">
        <f t="shared" si="318"/>
        <v>0</v>
      </c>
      <c r="Z237" s="326">
        <f t="shared" si="318"/>
        <v>0</v>
      </c>
      <c r="AA237" s="326">
        <f t="shared" si="318"/>
        <v>0</v>
      </c>
      <c r="AB237" s="326">
        <f t="shared" si="318"/>
        <v>0</v>
      </c>
      <c r="AC237" s="326">
        <f t="shared" si="318"/>
        <v>0</v>
      </c>
      <c r="AD237" s="326">
        <f t="shared" si="318"/>
        <v>0</v>
      </c>
      <c r="AE237" s="326">
        <f t="shared" si="318"/>
        <v>0</v>
      </c>
      <c r="AF237" s="326">
        <f t="shared" si="319"/>
        <v>0</v>
      </c>
      <c r="AG237" s="326">
        <f t="shared" si="319"/>
        <v>0</v>
      </c>
      <c r="AH237" s="326">
        <f t="shared" si="319"/>
        <v>0</v>
      </c>
      <c r="AI237" s="326">
        <f t="shared" si="319"/>
        <v>0</v>
      </c>
      <c r="AJ237" s="326">
        <f t="shared" si="319"/>
        <v>0</v>
      </c>
      <c r="AK237" s="326">
        <f t="shared" si="319"/>
        <v>0</v>
      </c>
      <c r="AL237" s="326">
        <f t="shared" si="319"/>
        <v>0</v>
      </c>
      <c r="AM237" s="326">
        <f t="shared" si="319"/>
        <v>0</v>
      </c>
      <c r="AN237" s="326">
        <f t="shared" si="319"/>
        <v>0</v>
      </c>
      <c r="AO237" s="326">
        <f t="shared" si="319"/>
        <v>0</v>
      </c>
      <c r="AP237" s="326">
        <f t="shared" si="320"/>
        <v>0</v>
      </c>
      <c r="AQ237" s="326">
        <f t="shared" si="320"/>
        <v>0</v>
      </c>
      <c r="AR237" s="326">
        <f t="shared" si="320"/>
        <v>0</v>
      </c>
      <c r="AS237" s="326">
        <f t="shared" si="320"/>
        <v>0</v>
      </c>
      <c r="AT237" s="326">
        <f t="shared" si="320"/>
        <v>0</v>
      </c>
      <c r="AU237" s="326">
        <f t="shared" si="320"/>
        <v>0</v>
      </c>
      <c r="AV237" s="326">
        <f t="shared" si="320"/>
        <v>0</v>
      </c>
      <c r="AW237" s="326">
        <f t="shared" si="320"/>
        <v>0</v>
      </c>
      <c r="AX237" s="326">
        <f t="shared" si="320"/>
        <v>0</v>
      </c>
      <c r="AY237" s="326">
        <f t="shared" si="320"/>
        <v>0</v>
      </c>
      <c r="AZ237" s="326">
        <f t="shared" si="321"/>
        <v>0</v>
      </c>
      <c r="BA237" s="326">
        <f t="shared" si="321"/>
        <v>0</v>
      </c>
      <c r="BB237" s="326">
        <f t="shared" si="321"/>
        <v>0</v>
      </c>
      <c r="BC237" s="326">
        <f t="shared" si="321"/>
        <v>0</v>
      </c>
      <c r="BD237" s="329">
        <f t="shared" si="321"/>
        <v>0</v>
      </c>
      <c r="BE237" s="329">
        <f t="shared" si="321"/>
        <v>0</v>
      </c>
      <c r="BF237" s="329">
        <f t="shared" si="321"/>
        <v>0</v>
      </c>
      <c r="BG237" s="329">
        <f t="shared" si="321"/>
        <v>0</v>
      </c>
      <c r="BH237" s="329">
        <f t="shared" si="321"/>
        <v>0</v>
      </c>
      <c r="BI237" s="329">
        <f t="shared" si="321"/>
        <v>0</v>
      </c>
      <c r="BJ237" s="329">
        <f t="shared" si="322"/>
        <v>0</v>
      </c>
      <c r="BK237" s="329">
        <f t="shared" si="322"/>
        <v>0</v>
      </c>
      <c r="BL237" s="329">
        <f t="shared" si="322"/>
        <v>0</v>
      </c>
      <c r="BM237" s="329">
        <f t="shared" si="322"/>
        <v>0</v>
      </c>
      <c r="BN237" s="329">
        <f t="shared" si="322"/>
        <v>0</v>
      </c>
      <c r="BO237" s="329">
        <f t="shared" si="322"/>
        <v>0</v>
      </c>
      <c r="BP237" s="329">
        <f t="shared" si="322"/>
        <v>0</v>
      </c>
      <c r="BQ237" s="329">
        <f t="shared" si="322"/>
        <v>0</v>
      </c>
      <c r="BR237" s="329">
        <f t="shared" si="322"/>
        <v>0</v>
      </c>
      <c r="BS237" s="329">
        <f t="shared" si="322"/>
        <v>0</v>
      </c>
      <c r="BT237" s="329">
        <f t="shared" si="323"/>
        <v>0</v>
      </c>
      <c r="BU237" s="329">
        <f t="shared" si="323"/>
        <v>0</v>
      </c>
      <c r="BV237" s="329">
        <f t="shared" si="323"/>
        <v>0</v>
      </c>
      <c r="BW237" s="329">
        <f t="shared" si="323"/>
        <v>0</v>
      </c>
      <c r="BX237" s="329">
        <f t="shared" si="323"/>
        <v>0</v>
      </c>
      <c r="BY237" s="329">
        <f t="shared" si="323"/>
        <v>0</v>
      </c>
      <c r="BZ237" s="329">
        <f t="shared" si="323"/>
        <v>0</v>
      </c>
      <c r="CA237" s="329">
        <f t="shared" si="323"/>
        <v>0</v>
      </c>
      <c r="CB237" s="329">
        <f t="shared" si="323"/>
        <v>0</v>
      </c>
      <c r="CC237" s="329">
        <f t="shared" si="323"/>
        <v>0</v>
      </c>
      <c r="CD237" s="329">
        <f t="shared" si="324"/>
        <v>0</v>
      </c>
      <c r="CE237" s="329">
        <f t="shared" si="324"/>
        <v>0</v>
      </c>
      <c r="CF237" s="329">
        <f t="shared" si="324"/>
        <v>0</v>
      </c>
      <c r="CG237" s="329">
        <f t="shared" si="324"/>
        <v>0</v>
      </c>
      <c r="CH237" s="329">
        <f t="shared" si="324"/>
        <v>0</v>
      </c>
      <c r="CI237" s="329">
        <f t="shared" si="324"/>
        <v>0</v>
      </c>
      <c r="CJ237" s="329">
        <f t="shared" si="324"/>
        <v>0</v>
      </c>
      <c r="CK237" s="329">
        <f t="shared" si="324"/>
        <v>0</v>
      </c>
      <c r="CL237" s="329">
        <f t="shared" si="324"/>
        <v>0</v>
      </c>
      <c r="CM237" s="329">
        <f t="shared" si="324"/>
        <v>0</v>
      </c>
      <c r="CN237" s="329">
        <f t="shared" si="325"/>
        <v>0</v>
      </c>
      <c r="CO237" s="329">
        <f t="shared" si="325"/>
        <v>0</v>
      </c>
      <c r="CP237" s="329">
        <f t="shared" si="325"/>
        <v>0</v>
      </c>
      <c r="CQ237" s="329">
        <f t="shared" si="325"/>
        <v>0</v>
      </c>
      <c r="CR237" s="329">
        <f t="shared" si="325"/>
        <v>0</v>
      </c>
      <c r="CS237" s="329">
        <f t="shared" si="325"/>
        <v>0</v>
      </c>
      <c r="CT237" s="329">
        <f t="shared" si="325"/>
        <v>0</v>
      </c>
      <c r="CU237" s="329">
        <f t="shared" si="325"/>
        <v>0</v>
      </c>
      <c r="CV237" s="329">
        <f t="shared" si="325"/>
        <v>0</v>
      </c>
      <c r="CW237" s="329">
        <f t="shared" si="325"/>
        <v>0</v>
      </c>
      <c r="CX237" s="329">
        <f t="shared" si="326"/>
        <v>0</v>
      </c>
      <c r="CY237" s="329">
        <f t="shared" si="326"/>
        <v>0</v>
      </c>
      <c r="CZ237" s="329">
        <f t="shared" si="326"/>
        <v>0</v>
      </c>
      <c r="DA237" s="329">
        <f t="shared" si="326"/>
        <v>0</v>
      </c>
      <c r="DB237" s="329">
        <f t="shared" si="326"/>
        <v>0</v>
      </c>
      <c r="DC237" s="329">
        <f t="shared" si="326"/>
        <v>0</v>
      </c>
      <c r="DD237" s="329">
        <f t="shared" si="326"/>
        <v>0</v>
      </c>
      <c r="DE237" s="329">
        <f t="shared" si="326"/>
        <v>0</v>
      </c>
      <c r="DF237" s="329">
        <f t="shared" si="326"/>
        <v>0</v>
      </c>
      <c r="DG237" s="329">
        <f t="shared" si="326"/>
        <v>0</v>
      </c>
      <c r="DH237" s="329">
        <f t="shared" si="327"/>
        <v>0</v>
      </c>
      <c r="DI237" s="329">
        <f t="shared" si="327"/>
        <v>0</v>
      </c>
      <c r="DJ237" s="329">
        <f t="shared" si="327"/>
        <v>0</v>
      </c>
      <c r="DK237" s="329">
        <f t="shared" si="327"/>
        <v>0</v>
      </c>
      <c r="DL237" s="329">
        <f t="shared" si="327"/>
        <v>0</v>
      </c>
      <c r="DM237" s="329">
        <f t="shared" si="327"/>
        <v>0</v>
      </c>
      <c r="DN237" s="329">
        <f t="shared" si="327"/>
        <v>0</v>
      </c>
      <c r="DO237" s="329">
        <f t="shared" si="327"/>
        <v>0</v>
      </c>
      <c r="DP237" s="329">
        <f t="shared" si="327"/>
        <v>0</v>
      </c>
      <c r="DQ237" s="217"/>
      <c r="DR237" s="217"/>
      <c r="DS237" s="217"/>
      <c r="DT237" s="217"/>
    </row>
    <row r="238" spans="1:124" x14ac:dyDescent="0.3">
      <c r="A238" s="217"/>
      <c r="B238" s="221" t="s">
        <v>523</v>
      </c>
      <c r="C238" s="217"/>
      <c r="D238" s="217"/>
      <c r="E238" s="217"/>
      <c r="F238" s="217"/>
      <c r="G238" s="217"/>
      <c r="H238" s="217"/>
      <c r="I238" s="217"/>
      <c r="J238" s="217"/>
      <c r="L238" s="326">
        <f t="shared" si="317"/>
        <v>0</v>
      </c>
      <c r="M238" s="326">
        <f t="shared" si="317"/>
        <v>0</v>
      </c>
      <c r="N238" s="326">
        <f t="shared" si="317"/>
        <v>0</v>
      </c>
      <c r="O238" s="326">
        <f t="shared" si="317"/>
        <v>0</v>
      </c>
      <c r="P238" s="326">
        <f t="shared" si="317"/>
        <v>0</v>
      </c>
      <c r="Q238" s="326">
        <f t="shared" si="317"/>
        <v>0</v>
      </c>
      <c r="R238" s="326">
        <f t="shared" si="317"/>
        <v>0</v>
      </c>
      <c r="S238" s="326">
        <f t="shared" si="317"/>
        <v>0</v>
      </c>
      <c r="T238" s="326">
        <f t="shared" si="317"/>
        <v>0</v>
      </c>
      <c r="U238" s="326">
        <f t="shared" si="317"/>
        <v>0</v>
      </c>
      <c r="V238" s="326">
        <f t="shared" si="318"/>
        <v>0</v>
      </c>
      <c r="W238" s="326">
        <f t="shared" si="318"/>
        <v>0</v>
      </c>
      <c r="X238" s="326">
        <f t="shared" si="318"/>
        <v>0</v>
      </c>
      <c r="Y238" s="326">
        <f t="shared" si="318"/>
        <v>0</v>
      </c>
      <c r="Z238" s="326">
        <f t="shared" si="318"/>
        <v>0</v>
      </c>
      <c r="AA238" s="326">
        <f t="shared" si="318"/>
        <v>0</v>
      </c>
      <c r="AB238" s="326">
        <f t="shared" si="318"/>
        <v>0</v>
      </c>
      <c r="AC238" s="326">
        <f t="shared" si="318"/>
        <v>0</v>
      </c>
      <c r="AD238" s="326">
        <f t="shared" si="318"/>
        <v>0</v>
      </c>
      <c r="AE238" s="326">
        <f t="shared" si="318"/>
        <v>0</v>
      </c>
      <c r="AF238" s="326">
        <f t="shared" si="319"/>
        <v>0</v>
      </c>
      <c r="AG238" s="326">
        <f t="shared" si="319"/>
        <v>0</v>
      </c>
      <c r="AH238" s="326">
        <f t="shared" si="319"/>
        <v>0</v>
      </c>
      <c r="AI238" s="326">
        <f t="shared" si="319"/>
        <v>0</v>
      </c>
      <c r="AJ238" s="326">
        <f t="shared" si="319"/>
        <v>0</v>
      </c>
      <c r="AK238" s="326">
        <f t="shared" si="319"/>
        <v>0</v>
      </c>
      <c r="AL238" s="326">
        <f t="shared" si="319"/>
        <v>0</v>
      </c>
      <c r="AM238" s="326">
        <f t="shared" si="319"/>
        <v>0</v>
      </c>
      <c r="AN238" s="326">
        <f t="shared" si="319"/>
        <v>0</v>
      </c>
      <c r="AO238" s="326">
        <f t="shared" si="319"/>
        <v>0</v>
      </c>
      <c r="AP238" s="326">
        <f t="shared" si="320"/>
        <v>0</v>
      </c>
      <c r="AQ238" s="326">
        <f t="shared" si="320"/>
        <v>0</v>
      </c>
      <c r="AR238" s="326">
        <f t="shared" si="320"/>
        <v>0</v>
      </c>
      <c r="AS238" s="326">
        <f t="shared" si="320"/>
        <v>0</v>
      </c>
      <c r="AT238" s="326">
        <f t="shared" si="320"/>
        <v>0</v>
      </c>
      <c r="AU238" s="326">
        <f t="shared" si="320"/>
        <v>0</v>
      </c>
      <c r="AV238" s="326">
        <f t="shared" si="320"/>
        <v>0</v>
      </c>
      <c r="AW238" s="326">
        <f t="shared" si="320"/>
        <v>0</v>
      </c>
      <c r="AX238" s="326">
        <f t="shared" si="320"/>
        <v>0</v>
      </c>
      <c r="AY238" s="326">
        <f t="shared" si="320"/>
        <v>0</v>
      </c>
      <c r="AZ238" s="326">
        <f t="shared" si="321"/>
        <v>0</v>
      </c>
      <c r="BA238" s="326">
        <f t="shared" si="321"/>
        <v>0</v>
      </c>
      <c r="BB238" s="326">
        <f t="shared" si="321"/>
        <v>0</v>
      </c>
      <c r="BC238" s="326">
        <f t="shared" si="321"/>
        <v>0</v>
      </c>
      <c r="BD238" s="329">
        <f t="shared" si="321"/>
        <v>0</v>
      </c>
      <c r="BE238" s="329">
        <f t="shared" si="321"/>
        <v>0</v>
      </c>
      <c r="BF238" s="329">
        <f t="shared" si="321"/>
        <v>0</v>
      </c>
      <c r="BG238" s="329">
        <f t="shared" si="321"/>
        <v>0</v>
      </c>
      <c r="BH238" s="329">
        <f t="shared" si="321"/>
        <v>0</v>
      </c>
      <c r="BI238" s="329">
        <f t="shared" si="321"/>
        <v>0</v>
      </c>
      <c r="BJ238" s="329">
        <f t="shared" si="322"/>
        <v>0</v>
      </c>
      <c r="BK238" s="329">
        <f t="shared" si="322"/>
        <v>0</v>
      </c>
      <c r="BL238" s="329">
        <f t="shared" si="322"/>
        <v>0</v>
      </c>
      <c r="BM238" s="329">
        <f t="shared" si="322"/>
        <v>0</v>
      </c>
      <c r="BN238" s="329">
        <f t="shared" si="322"/>
        <v>0</v>
      </c>
      <c r="BO238" s="329">
        <f t="shared" si="322"/>
        <v>0</v>
      </c>
      <c r="BP238" s="329">
        <f t="shared" si="322"/>
        <v>0</v>
      </c>
      <c r="BQ238" s="329">
        <f t="shared" si="322"/>
        <v>0</v>
      </c>
      <c r="BR238" s="329">
        <f t="shared" si="322"/>
        <v>0</v>
      </c>
      <c r="BS238" s="329">
        <f t="shared" si="322"/>
        <v>0</v>
      </c>
      <c r="BT238" s="329">
        <f t="shared" si="323"/>
        <v>0</v>
      </c>
      <c r="BU238" s="329">
        <f t="shared" si="323"/>
        <v>0</v>
      </c>
      <c r="BV238" s="329">
        <f t="shared" si="323"/>
        <v>0</v>
      </c>
      <c r="BW238" s="329">
        <f t="shared" si="323"/>
        <v>0</v>
      </c>
      <c r="BX238" s="329">
        <f t="shared" si="323"/>
        <v>0</v>
      </c>
      <c r="BY238" s="329">
        <f t="shared" si="323"/>
        <v>0</v>
      </c>
      <c r="BZ238" s="329">
        <f t="shared" si="323"/>
        <v>0</v>
      </c>
      <c r="CA238" s="329">
        <f t="shared" si="323"/>
        <v>0</v>
      </c>
      <c r="CB238" s="329">
        <f t="shared" si="323"/>
        <v>0</v>
      </c>
      <c r="CC238" s="329">
        <f t="shared" si="323"/>
        <v>0</v>
      </c>
      <c r="CD238" s="329">
        <f t="shared" si="324"/>
        <v>0</v>
      </c>
      <c r="CE238" s="329">
        <f t="shared" si="324"/>
        <v>0</v>
      </c>
      <c r="CF238" s="329">
        <f t="shared" si="324"/>
        <v>0</v>
      </c>
      <c r="CG238" s="329">
        <f t="shared" si="324"/>
        <v>0</v>
      </c>
      <c r="CH238" s="329">
        <f t="shared" si="324"/>
        <v>0</v>
      </c>
      <c r="CI238" s="329">
        <f t="shared" si="324"/>
        <v>0</v>
      </c>
      <c r="CJ238" s="329">
        <f t="shared" si="324"/>
        <v>0</v>
      </c>
      <c r="CK238" s="329">
        <f t="shared" si="324"/>
        <v>0</v>
      </c>
      <c r="CL238" s="329">
        <f t="shared" si="324"/>
        <v>0</v>
      </c>
      <c r="CM238" s="329">
        <f t="shared" si="324"/>
        <v>0</v>
      </c>
      <c r="CN238" s="329">
        <f t="shared" si="325"/>
        <v>0</v>
      </c>
      <c r="CO238" s="329">
        <f t="shared" si="325"/>
        <v>0</v>
      </c>
      <c r="CP238" s="329">
        <f t="shared" si="325"/>
        <v>0</v>
      </c>
      <c r="CQ238" s="329">
        <f t="shared" si="325"/>
        <v>0</v>
      </c>
      <c r="CR238" s="329">
        <f t="shared" si="325"/>
        <v>0</v>
      </c>
      <c r="CS238" s="329">
        <f t="shared" si="325"/>
        <v>0</v>
      </c>
      <c r="CT238" s="329">
        <f t="shared" si="325"/>
        <v>0</v>
      </c>
      <c r="CU238" s="329">
        <f t="shared" si="325"/>
        <v>0</v>
      </c>
      <c r="CV238" s="329">
        <f t="shared" si="325"/>
        <v>0</v>
      </c>
      <c r="CW238" s="329">
        <f t="shared" si="325"/>
        <v>0</v>
      </c>
      <c r="CX238" s="329">
        <f t="shared" si="326"/>
        <v>0</v>
      </c>
      <c r="CY238" s="329">
        <f t="shared" si="326"/>
        <v>0</v>
      </c>
      <c r="CZ238" s="329">
        <f t="shared" si="326"/>
        <v>0</v>
      </c>
      <c r="DA238" s="329">
        <f t="shared" si="326"/>
        <v>0</v>
      </c>
      <c r="DB238" s="329">
        <f t="shared" si="326"/>
        <v>0</v>
      </c>
      <c r="DC238" s="329">
        <f t="shared" si="326"/>
        <v>0</v>
      </c>
      <c r="DD238" s="329">
        <f t="shared" si="326"/>
        <v>0</v>
      </c>
      <c r="DE238" s="329">
        <f t="shared" si="326"/>
        <v>0</v>
      </c>
      <c r="DF238" s="329">
        <f t="shared" si="326"/>
        <v>0</v>
      </c>
      <c r="DG238" s="329">
        <f t="shared" si="326"/>
        <v>0</v>
      </c>
      <c r="DH238" s="329">
        <f t="shared" si="327"/>
        <v>0</v>
      </c>
      <c r="DI238" s="329">
        <f t="shared" si="327"/>
        <v>0</v>
      </c>
      <c r="DJ238" s="329">
        <f t="shared" si="327"/>
        <v>0</v>
      </c>
      <c r="DK238" s="329">
        <f t="shared" si="327"/>
        <v>0</v>
      </c>
      <c r="DL238" s="329">
        <f t="shared" si="327"/>
        <v>0</v>
      </c>
      <c r="DM238" s="329">
        <f t="shared" si="327"/>
        <v>0</v>
      </c>
      <c r="DN238" s="329">
        <f t="shared" si="327"/>
        <v>0</v>
      </c>
      <c r="DO238" s="329">
        <f t="shared" si="327"/>
        <v>0</v>
      </c>
      <c r="DP238" s="329">
        <f t="shared" si="327"/>
        <v>0</v>
      </c>
      <c r="DQ238" s="217"/>
      <c r="DR238" s="217"/>
      <c r="DS238" s="217"/>
      <c r="DT238" s="217"/>
    </row>
    <row r="239" spans="1:124" x14ac:dyDescent="0.3">
      <c r="A239" s="217"/>
      <c r="B239" s="221" t="s">
        <v>107</v>
      </c>
      <c r="C239" s="217"/>
      <c r="D239" s="217"/>
      <c r="E239" s="217"/>
      <c r="F239" s="217"/>
      <c r="G239" s="217"/>
      <c r="H239" s="217"/>
      <c r="I239" s="217"/>
      <c r="J239" s="217"/>
      <c r="L239" s="326">
        <f t="shared" si="317"/>
        <v>0</v>
      </c>
      <c r="M239" s="326">
        <f t="shared" si="317"/>
        <v>0</v>
      </c>
      <c r="N239" s="326">
        <f t="shared" si="317"/>
        <v>0</v>
      </c>
      <c r="O239" s="326">
        <f t="shared" si="317"/>
        <v>0</v>
      </c>
      <c r="P239" s="326">
        <f t="shared" si="317"/>
        <v>0</v>
      </c>
      <c r="Q239" s="326">
        <f t="shared" si="317"/>
        <v>0</v>
      </c>
      <c r="R239" s="326">
        <f t="shared" si="317"/>
        <v>0</v>
      </c>
      <c r="S239" s="326">
        <f t="shared" si="317"/>
        <v>0</v>
      </c>
      <c r="T239" s="326">
        <f t="shared" si="317"/>
        <v>0</v>
      </c>
      <c r="U239" s="326">
        <f t="shared" si="317"/>
        <v>0</v>
      </c>
      <c r="V239" s="326">
        <f t="shared" si="318"/>
        <v>0</v>
      </c>
      <c r="W239" s="326">
        <f t="shared" si="318"/>
        <v>0</v>
      </c>
      <c r="X239" s="326">
        <f t="shared" si="318"/>
        <v>0</v>
      </c>
      <c r="Y239" s="326">
        <f t="shared" si="318"/>
        <v>0</v>
      </c>
      <c r="Z239" s="326">
        <f t="shared" si="318"/>
        <v>0</v>
      </c>
      <c r="AA239" s="326">
        <f t="shared" si="318"/>
        <v>0</v>
      </c>
      <c r="AB239" s="326">
        <f t="shared" si="318"/>
        <v>0</v>
      </c>
      <c r="AC239" s="326">
        <f t="shared" si="318"/>
        <v>0</v>
      </c>
      <c r="AD239" s="326">
        <f t="shared" si="318"/>
        <v>0</v>
      </c>
      <c r="AE239" s="326">
        <f t="shared" si="318"/>
        <v>0</v>
      </c>
      <c r="AF239" s="326">
        <f t="shared" si="319"/>
        <v>0</v>
      </c>
      <c r="AG239" s="326">
        <f t="shared" si="319"/>
        <v>0</v>
      </c>
      <c r="AH239" s="326">
        <f t="shared" si="319"/>
        <v>0</v>
      </c>
      <c r="AI239" s="326">
        <f t="shared" si="319"/>
        <v>0</v>
      </c>
      <c r="AJ239" s="326">
        <f t="shared" si="319"/>
        <v>0</v>
      </c>
      <c r="AK239" s="326">
        <f t="shared" si="319"/>
        <v>0</v>
      </c>
      <c r="AL239" s="326">
        <f t="shared" si="319"/>
        <v>0</v>
      </c>
      <c r="AM239" s="326">
        <f t="shared" si="319"/>
        <v>0</v>
      </c>
      <c r="AN239" s="326">
        <f t="shared" si="319"/>
        <v>0</v>
      </c>
      <c r="AO239" s="326">
        <f t="shared" si="319"/>
        <v>0</v>
      </c>
      <c r="AP239" s="326">
        <f t="shared" si="320"/>
        <v>0</v>
      </c>
      <c r="AQ239" s="326">
        <f t="shared" si="320"/>
        <v>0</v>
      </c>
      <c r="AR239" s="326">
        <f t="shared" si="320"/>
        <v>0</v>
      </c>
      <c r="AS239" s="326">
        <f t="shared" si="320"/>
        <v>0</v>
      </c>
      <c r="AT239" s="326">
        <f t="shared" si="320"/>
        <v>0</v>
      </c>
      <c r="AU239" s="326">
        <f t="shared" si="320"/>
        <v>0</v>
      </c>
      <c r="AV239" s="326">
        <f t="shared" si="320"/>
        <v>0</v>
      </c>
      <c r="AW239" s="326">
        <f t="shared" si="320"/>
        <v>0</v>
      </c>
      <c r="AX239" s="326">
        <f t="shared" si="320"/>
        <v>0</v>
      </c>
      <c r="AY239" s="326">
        <f t="shared" si="320"/>
        <v>0</v>
      </c>
      <c r="AZ239" s="326">
        <f t="shared" si="321"/>
        <v>0</v>
      </c>
      <c r="BA239" s="326">
        <f t="shared" si="321"/>
        <v>0</v>
      </c>
      <c r="BB239" s="326">
        <f t="shared" si="321"/>
        <v>0</v>
      </c>
      <c r="BC239" s="326">
        <f t="shared" si="321"/>
        <v>0</v>
      </c>
      <c r="BD239" s="329">
        <f t="shared" si="321"/>
        <v>0</v>
      </c>
      <c r="BE239" s="329">
        <f t="shared" si="321"/>
        <v>0</v>
      </c>
      <c r="BF239" s="329">
        <f t="shared" si="321"/>
        <v>0</v>
      </c>
      <c r="BG239" s="329">
        <f t="shared" si="321"/>
        <v>0</v>
      </c>
      <c r="BH239" s="329">
        <f t="shared" si="321"/>
        <v>0</v>
      </c>
      <c r="BI239" s="329">
        <f t="shared" si="321"/>
        <v>0</v>
      </c>
      <c r="BJ239" s="329">
        <f t="shared" si="322"/>
        <v>0</v>
      </c>
      <c r="BK239" s="329">
        <f t="shared" si="322"/>
        <v>0</v>
      </c>
      <c r="BL239" s="329">
        <f t="shared" si="322"/>
        <v>0</v>
      </c>
      <c r="BM239" s="329">
        <f t="shared" si="322"/>
        <v>0</v>
      </c>
      <c r="BN239" s="329">
        <f t="shared" si="322"/>
        <v>0</v>
      </c>
      <c r="BO239" s="329">
        <f t="shared" si="322"/>
        <v>0</v>
      </c>
      <c r="BP239" s="329">
        <f t="shared" si="322"/>
        <v>0</v>
      </c>
      <c r="BQ239" s="329">
        <f t="shared" si="322"/>
        <v>0</v>
      </c>
      <c r="BR239" s="329">
        <f t="shared" si="322"/>
        <v>0</v>
      </c>
      <c r="BS239" s="329">
        <f t="shared" si="322"/>
        <v>0</v>
      </c>
      <c r="BT239" s="329">
        <f t="shared" si="323"/>
        <v>0</v>
      </c>
      <c r="BU239" s="329">
        <f t="shared" si="323"/>
        <v>0</v>
      </c>
      <c r="BV239" s="329">
        <f t="shared" si="323"/>
        <v>0</v>
      </c>
      <c r="BW239" s="329">
        <f t="shared" si="323"/>
        <v>0</v>
      </c>
      <c r="BX239" s="329">
        <f t="shared" si="323"/>
        <v>0</v>
      </c>
      <c r="BY239" s="329">
        <f t="shared" si="323"/>
        <v>0</v>
      </c>
      <c r="BZ239" s="329">
        <f t="shared" si="323"/>
        <v>0</v>
      </c>
      <c r="CA239" s="329">
        <f t="shared" si="323"/>
        <v>0</v>
      </c>
      <c r="CB239" s="329">
        <f t="shared" si="323"/>
        <v>0</v>
      </c>
      <c r="CC239" s="329">
        <f t="shared" si="323"/>
        <v>0</v>
      </c>
      <c r="CD239" s="329">
        <f t="shared" si="324"/>
        <v>0</v>
      </c>
      <c r="CE239" s="329">
        <f t="shared" si="324"/>
        <v>0</v>
      </c>
      <c r="CF239" s="329">
        <f t="shared" si="324"/>
        <v>0</v>
      </c>
      <c r="CG239" s="329">
        <f t="shared" si="324"/>
        <v>0</v>
      </c>
      <c r="CH239" s="329">
        <f t="shared" si="324"/>
        <v>0</v>
      </c>
      <c r="CI239" s="329">
        <f t="shared" si="324"/>
        <v>0</v>
      </c>
      <c r="CJ239" s="329">
        <f t="shared" si="324"/>
        <v>0</v>
      </c>
      <c r="CK239" s="329">
        <f t="shared" si="324"/>
        <v>0</v>
      </c>
      <c r="CL239" s="329">
        <f t="shared" si="324"/>
        <v>0</v>
      </c>
      <c r="CM239" s="329">
        <f t="shared" si="324"/>
        <v>0</v>
      </c>
      <c r="CN239" s="329">
        <f t="shared" si="325"/>
        <v>0</v>
      </c>
      <c r="CO239" s="329">
        <f t="shared" si="325"/>
        <v>0</v>
      </c>
      <c r="CP239" s="329">
        <f t="shared" si="325"/>
        <v>0</v>
      </c>
      <c r="CQ239" s="329">
        <f t="shared" si="325"/>
        <v>0</v>
      </c>
      <c r="CR239" s="329">
        <f t="shared" si="325"/>
        <v>0</v>
      </c>
      <c r="CS239" s="329">
        <f t="shared" si="325"/>
        <v>0</v>
      </c>
      <c r="CT239" s="329">
        <f t="shared" si="325"/>
        <v>0</v>
      </c>
      <c r="CU239" s="329">
        <f t="shared" si="325"/>
        <v>0</v>
      </c>
      <c r="CV239" s="329">
        <f t="shared" si="325"/>
        <v>0</v>
      </c>
      <c r="CW239" s="329">
        <f t="shared" si="325"/>
        <v>0</v>
      </c>
      <c r="CX239" s="329">
        <f t="shared" si="326"/>
        <v>0</v>
      </c>
      <c r="CY239" s="329">
        <f t="shared" si="326"/>
        <v>0</v>
      </c>
      <c r="CZ239" s="329">
        <f t="shared" si="326"/>
        <v>0</v>
      </c>
      <c r="DA239" s="329">
        <f t="shared" si="326"/>
        <v>0</v>
      </c>
      <c r="DB239" s="329">
        <f t="shared" si="326"/>
        <v>0</v>
      </c>
      <c r="DC239" s="329">
        <f t="shared" si="326"/>
        <v>0</v>
      </c>
      <c r="DD239" s="329">
        <f t="shared" si="326"/>
        <v>0</v>
      </c>
      <c r="DE239" s="329">
        <f t="shared" si="326"/>
        <v>0</v>
      </c>
      <c r="DF239" s="329">
        <f t="shared" si="326"/>
        <v>0</v>
      </c>
      <c r="DG239" s="329">
        <f t="shared" si="326"/>
        <v>0</v>
      </c>
      <c r="DH239" s="329">
        <f t="shared" si="327"/>
        <v>0</v>
      </c>
      <c r="DI239" s="329">
        <f t="shared" si="327"/>
        <v>0</v>
      </c>
      <c r="DJ239" s="329">
        <f t="shared" si="327"/>
        <v>0</v>
      </c>
      <c r="DK239" s="329">
        <f t="shared" si="327"/>
        <v>0</v>
      </c>
      <c r="DL239" s="329">
        <f t="shared" si="327"/>
        <v>0</v>
      </c>
      <c r="DM239" s="329">
        <f t="shared" si="327"/>
        <v>0</v>
      </c>
      <c r="DN239" s="329">
        <f t="shared" si="327"/>
        <v>0</v>
      </c>
      <c r="DO239" s="329">
        <f t="shared" si="327"/>
        <v>0</v>
      </c>
      <c r="DP239" s="329">
        <f t="shared" si="327"/>
        <v>0</v>
      </c>
      <c r="DQ239" s="217"/>
      <c r="DR239" s="217"/>
      <c r="DS239" s="217"/>
      <c r="DT239" s="217"/>
    </row>
    <row r="240" spans="1:124" x14ac:dyDescent="0.3">
      <c r="A240" s="217"/>
      <c r="B240" s="221" t="s">
        <v>565</v>
      </c>
      <c r="C240" s="217"/>
      <c r="D240" s="217"/>
      <c r="E240" s="217"/>
      <c r="F240" s="217"/>
      <c r="G240" s="217"/>
      <c r="H240" s="217"/>
      <c r="I240" s="217"/>
      <c r="J240" s="217"/>
      <c r="L240" s="326">
        <f t="shared" si="317"/>
        <v>0</v>
      </c>
      <c r="M240" s="326">
        <f t="shared" si="317"/>
        <v>0</v>
      </c>
      <c r="N240" s="326">
        <f t="shared" si="317"/>
        <v>0</v>
      </c>
      <c r="O240" s="326">
        <f t="shared" si="317"/>
        <v>0</v>
      </c>
      <c r="P240" s="326">
        <f t="shared" si="317"/>
        <v>0</v>
      </c>
      <c r="Q240" s="326">
        <f t="shared" si="317"/>
        <v>0</v>
      </c>
      <c r="R240" s="326">
        <f t="shared" si="317"/>
        <v>0</v>
      </c>
      <c r="S240" s="326">
        <f t="shared" si="317"/>
        <v>0</v>
      </c>
      <c r="T240" s="326">
        <f t="shared" si="317"/>
        <v>0</v>
      </c>
      <c r="U240" s="326">
        <f t="shared" si="317"/>
        <v>0</v>
      </c>
      <c r="V240" s="326">
        <f t="shared" si="318"/>
        <v>0</v>
      </c>
      <c r="W240" s="326">
        <f t="shared" si="318"/>
        <v>0</v>
      </c>
      <c r="X240" s="326">
        <f t="shared" si="318"/>
        <v>0</v>
      </c>
      <c r="Y240" s="326">
        <f t="shared" si="318"/>
        <v>0</v>
      </c>
      <c r="Z240" s="326">
        <f t="shared" si="318"/>
        <v>0</v>
      </c>
      <c r="AA240" s="326">
        <f t="shared" si="318"/>
        <v>0</v>
      </c>
      <c r="AB240" s="326">
        <f t="shared" si="318"/>
        <v>0</v>
      </c>
      <c r="AC240" s="326">
        <f t="shared" si="318"/>
        <v>0</v>
      </c>
      <c r="AD240" s="326">
        <f t="shared" si="318"/>
        <v>0</v>
      </c>
      <c r="AE240" s="326">
        <f t="shared" si="318"/>
        <v>0</v>
      </c>
      <c r="AF240" s="326">
        <f t="shared" si="319"/>
        <v>0</v>
      </c>
      <c r="AG240" s="326">
        <f t="shared" si="319"/>
        <v>0</v>
      </c>
      <c r="AH240" s="326">
        <f t="shared" si="319"/>
        <v>0</v>
      </c>
      <c r="AI240" s="326">
        <f t="shared" si="319"/>
        <v>0</v>
      </c>
      <c r="AJ240" s="326">
        <f t="shared" si="319"/>
        <v>0</v>
      </c>
      <c r="AK240" s="326">
        <f t="shared" si="319"/>
        <v>0</v>
      </c>
      <c r="AL240" s="326">
        <f t="shared" si="319"/>
        <v>0</v>
      </c>
      <c r="AM240" s="326">
        <f t="shared" si="319"/>
        <v>0</v>
      </c>
      <c r="AN240" s="326">
        <f t="shared" si="319"/>
        <v>0</v>
      </c>
      <c r="AO240" s="326">
        <f t="shared" si="319"/>
        <v>0</v>
      </c>
      <c r="AP240" s="326">
        <f t="shared" si="320"/>
        <v>0</v>
      </c>
      <c r="AQ240" s="326">
        <f t="shared" si="320"/>
        <v>0</v>
      </c>
      <c r="AR240" s="326">
        <f t="shared" si="320"/>
        <v>0</v>
      </c>
      <c r="AS240" s="326">
        <f t="shared" si="320"/>
        <v>0</v>
      </c>
      <c r="AT240" s="326">
        <f t="shared" si="320"/>
        <v>0</v>
      </c>
      <c r="AU240" s="326">
        <f t="shared" si="320"/>
        <v>0</v>
      </c>
      <c r="AV240" s="326">
        <f t="shared" si="320"/>
        <v>0</v>
      </c>
      <c r="AW240" s="326">
        <f t="shared" si="320"/>
        <v>0</v>
      </c>
      <c r="AX240" s="326">
        <f t="shared" si="320"/>
        <v>0</v>
      </c>
      <c r="AY240" s="326">
        <f t="shared" si="320"/>
        <v>0</v>
      </c>
      <c r="AZ240" s="326">
        <f t="shared" si="321"/>
        <v>0</v>
      </c>
      <c r="BA240" s="326">
        <f t="shared" si="321"/>
        <v>0</v>
      </c>
      <c r="BB240" s="326">
        <f t="shared" si="321"/>
        <v>0</v>
      </c>
      <c r="BC240" s="326">
        <f t="shared" si="321"/>
        <v>0</v>
      </c>
      <c r="BD240" s="329">
        <f t="shared" si="321"/>
        <v>0</v>
      </c>
      <c r="BE240" s="329">
        <f t="shared" si="321"/>
        <v>0</v>
      </c>
      <c r="BF240" s="329">
        <f t="shared" si="321"/>
        <v>0</v>
      </c>
      <c r="BG240" s="329">
        <f t="shared" si="321"/>
        <v>0</v>
      </c>
      <c r="BH240" s="329">
        <f t="shared" si="321"/>
        <v>0</v>
      </c>
      <c r="BI240" s="329">
        <f t="shared" si="321"/>
        <v>0</v>
      </c>
      <c r="BJ240" s="329">
        <f t="shared" si="322"/>
        <v>0</v>
      </c>
      <c r="BK240" s="329">
        <f t="shared" si="322"/>
        <v>0</v>
      </c>
      <c r="BL240" s="329">
        <f t="shared" si="322"/>
        <v>0</v>
      </c>
      <c r="BM240" s="329">
        <f t="shared" si="322"/>
        <v>0</v>
      </c>
      <c r="BN240" s="329">
        <f t="shared" si="322"/>
        <v>0</v>
      </c>
      <c r="BO240" s="329">
        <f t="shared" si="322"/>
        <v>0</v>
      </c>
      <c r="BP240" s="329">
        <f t="shared" si="322"/>
        <v>0</v>
      </c>
      <c r="BQ240" s="329">
        <f t="shared" si="322"/>
        <v>0</v>
      </c>
      <c r="BR240" s="329">
        <f t="shared" si="322"/>
        <v>0</v>
      </c>
      <c r="BS240" s="329">
        <f t="shared" si="322"/>
        <v>0</v>
      </c>
      <c r="BT240" s="329">
        <f t="shared" si="323"/>
        <v>0</v>
      </c>
      <c r="BU240" s="329">
        <f t="shared" si="323"/>
        <v>0</v>
      </c>
      <c r="BV240" s="329">
        <f t="shared" si="323"/>
        <v>0</v>
      </c>
      <c r="BW240" s="329">
        <f t="shared" si="323"/>
        <v>0</v>
      </c>
      <c r="BX240" s="329">
        <f t="shared" si="323"/>
        <v>0</v>
      </c>
      <c r="BY240" s="329">
        <f t="shared" si="323"/>
        <v>0</v>
      </c>
      <c r="BZ240" s="329">
        <f t="shared" si="323"/>
        <v>0</v>
      </c>
      <c r="CA240" s="329">
        <f t="shared" si="323"/>
        <v>0</v>
      </c>
      <c r="CB240" s="329">
        <f t="shared" si="323"/>
        <v>0</v>
      </c>
      <c r="CC240" s="329">
        <f t="shared" si="323"/>
        <v>0</v>
      </c>
      <c r="CD240" s="329">
        <f t="shared" si="324"/>
        <v>0</v>
      </c>
      <c r="CE240" s="329">
        <f t="shared" si="324"/>
        <v>0</v>
      </c>
      <c r="CF240" s="329">
        <f t="shared" si="324"/>
        <v>0</v>
      </c>
      <c r="CG240" s="329">
        <f t="shared" si="324"/>
        <v>0</v>
      </c>
      <c r="CH240" s="329">
        <f t="shared" si="324"/>
        <v>0</v>
      </c>
      <c r="CI240" s="329">
        <f t="shared" si="324"/>
        <v>0</v>
      </c>
      <c r="CJ240" s="329">
        <f t="shared" si="324"/>
        <v>0</v>
      </c>
      <c r="CK240" s="329">
        <f t="shared" si="324"/>
        <v>0</v>
      </c>
      <c r="CL240" s="329">
        <f t="shared" si="324"/>
        <v>0</v>
      </c>
      <c r="CM240" s="329">
        <f t="shared" si="324"/>
        <v>0</v>
      </c>
      <c r="CN240" s="329">
        <f t="shared" si="325"/>
        <v>0</v>
      </c>
      <c r="CO240" s="329">
        <f t="shared" si="325"/>
        <v>0</v>
      </c>
      <c r="CP240" s="329">
        <f t="shared" si="325"/>
        <v>0</v>
      </c>
      <c r="CQ240" s="329">
        <f t="shared" si="325"/>
        <v>0</v>
      </c>
      <c r="CR240" s="329">
        <f t="shared" si="325"/>
        <v>0</v>
      </c>
      <c r="CS240" s="329">
        <f t="shared" si="325"/>
        <v>0</v>
      </c>
      <c r="CT240" s="329">
        <f t="shared" si="325"/>
        <v>0</v>
      </c>
      <c r="CU240" s="329">
        <f t="shared" si="325"/>
        <v>0</v>
      </c>
      <c r="CV240" s="329">
        <f t="shared" si="325"/>
        <v>0</v>
      </c>
      <c r="CW240" s="329">
        <f t="shared" si="325"/>
        <v>0</v>
      </c>
      <c r="CX240" s="329">
        <f t="shared" si="326"/>
        <v>0</v>
      </c>
      <c r="CY240" s="329">
        <f t="shared" si="326"/>
        <v>0</v>
      </c>
      <c r="CZ240" s="329">
        <f t="shared" si="326"/>
        <v>0</v>
      </c>
      <c r="DA240" s="329">
        <f t="shared" si="326"/>
        <v>0</v>
      </c>
      <c r="DB240" s="329">
        <f t="shared" si="326"/>
        <v>0</v>
      </c>
      <c r="DC240" s="329">
        <f t="shared" si="326"/>
        <v>0</v>
      </c>
      <c r="DD240" s="329">
        <f t="shared" si="326"/>
        <v>0</v>
      </c>
      <c r="DE240" s="329">
        <f t="shared" si="326"/>
        <v>0</v>
      </c>
      <c r="DF240" s="329">
        <f t="shared" si="326"/>
        <v>0</v>
      </c>
      <c r="DG240" s="329">
        <f t="shared" si="326"/>
        <v>0</v>
      </c>
      <c r="DH240" s="329">
        <f t="shared" si="327"/>
        <v>0</v>
      </c>
      <c r="DI240" s="329">
        <f t="shared" si="327"/>
        <v>0</v>
      </c>
      <c r="DJ240" s="329">
        <f t="shared" si="327"/>
        <v>0</v>
      </c>
      <c r="DK240" s="329">
        <f t="shared" si="327"/>
        <v>0</v>
      </c>
      <c r="DL240" s="329">
        <f t="shared" si="327"/>
        <v>0</v>
      </c>
      <c r="DM240" s="329">
        <f t="shared" si="327"/>
        <v>0</v>
      </c>
      <c r="DN240" s="329">
        <f t="shared" si="327"/>
        <v>0</v>
      </c>
      <c r="DO240" s="329">
        <f t="shared" si="327"/>
        <v>0</v>
      </c>
      <c r="DP240" s="329">
        <f t="shared" si="327"/>
        <v>0</v>
      </c>
      <c r="DQ240" s="217"/>
      <c r="DR240" s="217"/>
      <c r="DS240" s="217"/>
      <c r="DT240" s="217"/>
    </row>
    <row r="241" spans="1:124" x14ac:dyDescent="0.3">
      <c r="A241" s="217"/>
      <c r="B241" s="221" t="s">
        <v>524</v>
      </c>
      <c r="C241" s="217"/>
      <c r="D241" s="217"/>
      <c r="E241" s="217"/>
      <c r="F241" s="217"/>
      <c r="G241" s="217"/>
      <c r="H241" s="217"/>
      <c r="I241" s="217"/>
      <c r="J241" s="217"/>
      <c r="L241" s="326">
        <f t="shared" si="317"/>
        <v>0</v>
      </c>
      <c r="M241" s="326">
        <f t="shared" si="317"/>
        <v>0</v>
      </c>
      <c r="N241" s="326">
        <f t="shared" si="317"/>
        <v>0</v>
      </c>
      <c r="O241" s="326">
        <f t="shared" si="317"/>
        <v>0</v>
      </c>
      <c r="P241" s="326">
        <f t="shared" si="317"/>
        <v>0</v>
      </c>
      <c r="Q241" s="326">
        <f t="shared" si="317"/>
        <v>0</v>
      </c>
      <c r="R241" s="326">
        <f t="shared" si="317"/>
        <v>0</v>
      </c>
      <c r="S241" s="326">
        <f t="shared" si="317"/>
        <v>0</v>
      </c>
      <c r="T241" s="326">
        <f t="shared" si="317"/>
        <v>0</v>
      </c>
      <c r="U241" s="326">
        <f t="shared" si="317"/>
        <v>0</v>
      </c>
      <c r="V241" s="326">
        <f t="shared" si="318"/>
        <v>0</v>
      </c>
      <c r="W241" s="326">
        <f t="shared" si="318"/>
        <v>0</v>
      </c>
      <c r="X241" s="326">
        <f t="shared" si="318"/>
        <v>0</v>
      </c>
      <c r="Y241" s="326">
        <f t="shared" si="318"/>
        <v>0</v>
      </c>
      <c r="Z241" s="326">
        <f t="shared" si="318"/>
        <v>0</v>
      </c>
      <c r="AA241" s="326">
        <f t="shared" si="318"/>
        <v>0</v>
      </c>
      <c r="AB241" s="326">
        <f t="shared" si="318"/>
        <v>0</v>
      </c>
      <c r="AC241" s="326">
        <f t="shared" si="318"/>
        <v>0</v>
      </c>
      <c r="AD241" s="326">
        <f t="shared" si="318"/>
        <v>0</v>
      </c>
      <c r="AE241" s="326">
        <f t="shared" si="318"/>
        <v>0</v>
      </c>
      <c r="AF241" s="326">
        <f t="shared" si="319"/>
        <v>0</v>
      </c>
      <c r="AG241" s="326">
        <f t="shared" si="319"/>
        <v>0</v>
      </c>
      <c r="AH241" s="326">
        <f t="shared" si="319"/>
        <v>0</v>
      </c>
      <c r="AI241" s="326">
        <f t="shared" si="319"/>
        <v>0</v>
      </c>
      <c r="AJ241" s="326">
        <f t="shared" si="319"/>
        <v>0</v>
      </c>
      <c r="AK241" s="326">
        <f t="shared" si="319"/>
        <v>0</v>
      </c>
      <c r="AL241" s="326">
        <f t="shared" si="319"/>
        <v>0</v>
      </c>
      <c r="AM241" s="326">
        <f t="shared" si="319"/>
        <v>0</v>
      </c>
      <c r="AN241" s="326">
        <f t="shared" si="319"/>
        <v>0</v>
      </c>
      <c r="AO241" s="326">
        <f t="shared" si="319"/>
        <v>0</v>
      </c>
      <c r="AP241" s="326">
        <f t="shared" si="320"/>
        <v>0</v>
      </c>
      <c r="AQ241" s="326">
        <f t="shared" si="320"/>
        <v>0</v>
      </c>
      <c r="AR241" s="326">
        <f t="shared" si="320"/>
        <v>0</v>
      </c>
      <c r="AS241" s="326">
        <f t="shared" si="320"/>
        <v>0</v>
      </c>
      <c r="AT241" s="326">
        <f t="shared" si="320"/>
        <v>0</v>
      </c>
      <c r="AU241" s="326">
        <f t="shared" si="320"/>
        <v>0</v>
      </c>
      <c r="AV241" s="326">
        <f t="shared" si="320"/>
        <v>0</v>
      </c>
      <c r="AW241" s="326">
        <f t="shared" si="320"/>
        <v>0</v>
      </c>
      <c r="AX241" s="326">
        <f t="shared" si="320"/>
        <v>0</v>
      </c>
      <c r="AY241" s="326">
        <f t="shared" si="320"/>
        <v>0</v>
      </c>
      <c r="AZ241" s="326">
        <f t="shared" si="321"/>
        <v>0</v>
      </c>
      <c r="BA241" s="326">
        <f t="shared" si="321"/>
        <v>0</v>
      </c>
      <c r="BB241" s="326">
        <f t="shared" si="321"/>
        <v>0</v>
      </c>
      <c r="BC241" s="326">
        <f t="shared" si="321"/>
        <v>0</v>
      </c>
      <c r="BD241" s="329">
        <f t="shared" si="321"/>
        <v>0</v>
      </c>
      <c r="BE241" s="329">
        <f t="shared" si="321"/>
        <v>0</v>
      </c>
      <c r="BF241" s="329">
        <f t="shared" si="321"/>
        <v>0</v>
      </c>
      <c r="BG241" s="329">
        <f t="shared" si="321"/>
        <v>0</v>
      </c>
      <c r="BH241" s="329">
        <f t="shared" si="321"/>
        <v>0</v>
      </c>
      <c r="BI241" s="329">
        <f t="shared" si="321"/>
        <v>0</v>
      </c>
      <c r="BJ241" s="329">
        <f t="shared" si="322"/>
        <v>0</v>
      </c>
      <c r="BK241" s="329">
        <f t="shared" si="322"/>
        <v>0</v>
      </c>
      <c r="BL241" s="329">
        <f t="shared" si="322"/>
        <v>0</v>
      </c>
      <c r="BM241" s="329">
        <f t="shared" si="322"/>
        <v>0</v>
      </c>
      <c r="BN241" s="329">
        <f t="shared" si="322"/>
        <v>0</v>
      </c>
      <c r="BO241" s="329">
        <f t="shared" si="322"/>
        <v>0</v>
      </c>
      <c r="BP241" s="329">
        <f t="shared" si="322"/>
        <v>0</v>
      </c>
      <c r="BQ241" s="329">
        <f t="shared" si="322"/>
        <v>0</v>
      </c>
      <c r="BR241" s="329">
        <f t="shared" si="322"/>
        <v>0</v>
      </c>
      <c r="BS241" s="329">
        <f t="shared" si="322"/>
        <v>0</v>
      </c>
      <c r="BT241" s="329">
        <f t="shared" si="323"/>
        <v>0</v>
      </c>
      <c r="BU241" s="329">
        <f t="shared" si="323"/>
        <v>0</v>
      </c>
      <c r="BV241" s="329">
        <f t="shared" si="323"/>
        <v>0</v>
      </c>
      <c r="BW241" s="329">
        <f t="shared" si="323"/>
        <v>0</v>
      </c>
      <c r="BX241" s="329">
        <f t="shared" si="323"/>
        <v>0</v>
      </c>
      <c r="BY241" s="329">
        <f t="shared" si="323"/>
        <v>0</v>
      </c>
      <c r="BZ241" s="329">
        <f t="shared" si="323"/>
        <v>0</v>
      </c>
      <c r="CA241" s="329">
        <f t="shared" si="323"/>
        <v>0</v>
      </c>
      <c r="CB241" s="329">
        <f t="shared" si="323"/>
        <v>0</v>
      </c>
      <c r="CC241" s="329">
        <f t="shared" si="323"/>
        <v>0</v>
      </c>
      <c r="CD241" s="329">
        <f t="shared" si="324"/>
        <v>0</v>
      </c>
      <c r="CE241" s="329">
        <f t="shared" si="324"/>
        <v>0</v>
      </c>
      <c r="CF241" s="329">
        <f t="shared" si="324"/>
        <v>0</v>
      </c>
      <c r="CG241" s="329">
        <f t="shared" si="324"/>
        <v>0</v>
      </c>
      <c r="CH241" s="329">
        <f t="shared" si="324"/>
        <v>0</v>
      </c>
      <c r="CI241" s="329">
        <f t="shared" si="324"/>
        <v>0</v>
      </c>
      <c r="CJ241" s="329">
        <f t="shared" si="324"/>
        <v>0</v>
      </c>
      <c r="CK241" s="329">
        <f t="shared" si="324"/>
        <v>0</v>
      </c>
      <c r="CL241" s="329">
        <f t="shared" si="324"/>
        <v>0</v>
      </c>
      <c r="CM241" s="329">
        <f t="shared" si="324"/>
        <v>0</v>
      </c>
      <c r="CN241" s="329">
        <f t="shared" si="325"/>
        <v>0</v>
      </c>
      <c r="CO241" s="329">
        <f t="shared" si="325"/>
        <v>0</v>
      </c>
      <c r="CP241" s="329">
        <f t="shared" si="325"/>
        <v>0</v>
      </c>
      <c r="CQ241" s="329">
        <f t="shared" si="325"/>
        <v>0</v>
      </c>
      <c r="CR241" s="329">
        <f t="shared" si="325"/>
        <v>0</v>
      </c>
      <c r="CS241" s="329">
        <f t="shared" si="325"/>
        <v>0</v>
      </c>
      <c r="CT241" s="329">
        <f t="shared" si="325"/>
        <v>0</v>
      </c>
      <c r="CU241" s="329">
        <f t="shared" si="325"/>
        <v>0</v>
      </c>
      <c r="CV241" s="329">
        <f t="shared" si="325"/>
        <v>0</v>
      </c>
      <c r="CW241" s="329">
        <f t="shared" si="325"/>
        <v>0</v>
      </c>
      <c r="CX241" s="329">
        <f t="shared" si="326"/>
        <v>0</v>
      </c>
      <c r="CY241" s="329">
        <f t="shared" si="326"/>
        <v>0</v>
      </c>
      <c r="CZ241" s="329">
        <f t="shared" si="326"/>
        <v>0</v>
      </c>
      <c r="DA241" s="329">
        <f t="shared" si="326"/>
        <v>0</v>
      </c>
      <c r="DB241" s="329">
        <f t="shared" si="326"/>
        <v>0</v>
      </c>
      <c r="DC241" s="329">
        <f t="shared" si="326"/>
        <v>0</v>
      </c>
      <c r="DD241" s="329">
        <f t="shared" si="326"/>
        <v>0</v>
      </c>
      <c r="DE241" s="329">
        <f t="shared" si="326"/>
        <v>0</v>
      </c>
      <c r="DF241" s="329">
        <f t="shared" si="326"/>
        <v>0</v>
      </c>
      <c r="DG241" s="329">
        <f t="shared" si="326"/>
        <v>0</v>
      </c>
      <c r="DH241" s="329">
        <f t="shared" si="327"/>
        <v>0</v>
      </c>
      <c r="DI241" s="329">
        <f t="shared" si="327"/>
        <v>0</v>
      </c>
      <c r="DJ241" s="329">
        <f t="shared" si="327"/>
        <v>0</v>
      </c>
      <c r="DK241" s="329">
        <f t="shared" si="327"/>
        <v>0</v>
      </c>
      <c r="DL241" s="329">
        <f t="shared" si="327"/>
        <v>0</v>
      </c>
      <c r="DM241" s="329">
        <f t="shared" si="327"/>
        <v>0</v>
      </c>
      <c r="DN241" s="329">
        <f t="shared" si="327"/>
        <v>0</v>
      </c>
      <c r="DO241" s="329">
        <f t="shared" si="327"/>
        <v>0</v>
      </c>
      <c r="DP241" s="329">
        <f t="shared" si="327"/>
        <v>0</v>
      </c>
      <c r="DQ241" s="217"/>
      <c r="DR241" s="217"/>
      <c r="DS241" s="217"/>
      <c r="DT241" s="217"/>
    </row>
    <row r="242" spans="1:124" x14ac:dyDescent="0.3">
      <c r="A242" s="217"/>
      <c r="B242" s="221" t="s">
        <v>525</v>
      </c>
      <c r="C242" s="217"/>
      <c r="D242" s="217"/>
      <c r="E242" s="217"/>
      <c r="F242" s="217"/>
      <c r="G242" s="217"/>
      <c r="H242" s="217"/>
      <c r="I242" s="217"/>
      <c r="J242" s="217"/>
      <c r="L242" s="326">
        <f t="shared" ref="L242:U251" si="328">SUMIF($D$4:$D$203,$B242,L$4:L$203)</f>
        <v>0</v>
      </c>
      <c r="M242" s="326">
        <f t="shared" si="328"/>
        <v>0</v>
      </c>
      <c r="N242" s="326">
        <f t="shared" si="328"/>
        <v>0</v>
      </c>
      <c r="O242" s="326">
        <f t="shared" si="328"/>
        <v>0</v>
      </c>
      <c r="P242" s="326">
        <f t="shared" si="328"/>
        <v>0</v>
      </c>
      <c r="Q242" s="326">
        <f t="shared" si="328"/>
        <v>0</v>
      </c>
      <c r="R242" s="326">
        <f t="shared" si="328"/>
        <v>0</v>
      </c>
      <c r="S242" s="326">
        <f t="shared" si="328"/>
        <v>0</v>
      </c>
      <c r="T242" s="326">
        <f t="shared" si="328"/>
        <v>0</v>
      </c>
      <c r="U242" s="326">
        <f t="shared" si="328"/>
        <v>0</v>
      </c>
      <c r="V242" s="326">
        <f t="shared" ref="V242:AE251" si="329">SUMIF($D$4:$D$203,$B242,V$4:V$203)</f>
        <v>0</v>
      </c>
      <c r="W242" s="326">
        <f t="shared" si="329"/>
        <v>0</v>
      </c>
      <c r="X242" s="326">
        <f t="shared" si="329"/>
        <v>0</v>
      </c>
      <c r="Y242" s="326">
        <f t="shared" si="329"/>
        <v>0</v>
      </c>
      <c r="Z242" s="326">
        <f t="shared" si="329"/>
        <v>0</v>
      </c>
      <c r="AA242" s="326">
        <f t="shared" si="329"/>
        <v>0</v>
      </c>
      <c r="AB242" s="326">
        <f t="shared" si="329"/>
        <v>0</v>
      </c>
      <c r="AC242" s="326">
        <f t="shared" si="329"/>
        <v>0</v>
      </c>
      <c r="AD242" s="326">
        <f t="shared" si="329"/>
        <v>0</v>
      </c>
      <c r="AE242" s="326">
        <f t="shared" si="329"/>
        <v>0</v>
      </c>
      <c r="AF242" s="326">
        <f t="shared" ref="AF242:AO251" si="330">SUMIF($D$4:$D$203,$B242,AF$4:AF$203)</f>
        <v>0</v>
      </c>
      <c r="AG242" s="326">
        <f t="shared" si="330"/>
        <v>0</v>
      </c>
      <c r="AH242" s="326">
        <f t="shared" si="330"/>
        <v>0</v>
      </c>
      <c r="AI242" s="326">
        <f t="shared" si="330"/>
        <v>0</v>
      </c>
      <c r="AJ242" s="326">
        <f t="shared" si="330"/>
        <v>0</v>
      </c>
      <c r="AK242" s="326">
        <f t="shared" si="330"/>
        <v>0</v>
      </c>
      <c r="AL242" s="326">
        <f t="shared" si="330"/>
        <v>0</v>
      </c>
      <c r="AM242" s="326">
        <f t="shared" si="330"/>
        <v>0</v>
      </c>
      <c r="AN242" s="326">
        <f t="shared" si="330"/>
        <v>0</v>
      </c>
      <c r="AO242" s="326">
        <f t="shared" si="330"/>
        <v>0</v>
      </c>
      <c r="AP242" s="326">
        <f t="shared" ref="AP242:AY251" si="331">SUMIF($D$4:$D$203,$B242,AP$4:AP$203)</f>
        <v>0</v>
      </c>
      <c r="AQ242" s="326">
        <f t="shared" si="331"/>
        <v>0</v>
      </c>
      <c r="AR242" s="326">
        <f t="shared" si="331"/>
        <v>0</v>
      </c>
      <c r="AS242" s="326">
        <f t="shared" si="331"/>
        <v>0</v>
      </c>
      <c r="AT242" s="326">
        <f t="shared" si="331"/>
        <v>0</v>
      </c>
      <c r="AU242" s="326">
        <f t="shared" si="331"/>
        <v>0</v>
      </c>
      <c r="AV242" s="326">
        <f t="shared" si="331"/>
        <v>0</v>
      </c>
      <c r="AW242" s="326">
        <f t="shared" si="331"/>
        <v>0</v>
      </c>
      <c r="AX242" s="326">
        <f t="shared" si="331"/>
        <v>0</v>
      </c>
      <c r="AY242" s="326">
        <f t="shared" si="331"/>
        <v>0</v>
      </c>
      <c r="AZ242" s="326">
        <f t="shared" ref="AZ242:BI251" si="332">SUMIF($D$4:$D$203,$B242,AZ$4:AZ$203)</f>
        <v>0</v>
      </c>
      <c r="BA242" s="326">
        <f t="shared" si="332"/>
        <v>0</v>
      </c>
      <c r="BB242" s="326">
        <f t="shared" si="332"/>
        <v>0</v>
      </c>
      <c r="BC242" s="326">
        <f t="shared" si="332"/>
        <v>0</v>
      </c>
      <c r="BD242" s="329">
        <f t="shared" si="332"/>
        <v>0</v>
      </c>
      <c r="BE242" s="329">
        <f t="shared" si="332"/>
        <v>0</v>
      </c>
      <c r="BF242" s="329">
        <f t="shared" si="332"/>
        <v>0</v>
      </c>
      <c r="BG242" s="329">
        <f t="shared" si="332"/>
        <v>0</v>
      </c>
      <c r="BH242" s="329">
        <f t="shared" si="332"/>
        <v>0</v>
      </c>
      <c r="BI242" s="329">
        <f t="shared" si="332"/>
        <v>0</v>
      </c>
      <c r="BJ242" s="329">
        <f t="shared" ref="BJ242:BS251" si="333">SUMIF($D$4:$D$203,$B242,BJ$4:BJ$203)</f>
        <v>0</v>
      </c>
      <c r="BK242" s="329">
        <f t="shared" si="333"/>
        <v>0</v>
      </c>
      <c r="BL242" s="329">
        <f t="shared" si="333"/>
        <v>0</v>
      </c>
      <c r="BM242" s="329">
        <f t="shared" si="333"/>
        <v>0</v>
      </c>
      <c r="BN242" s="329">
        <f t="shared" si="333"/>
        <v>0</v>
      </c>
      <c r="BO242" s="329">
        <f t="shared" si="333"/>
        <v>0</v>
      </c>
      <c r="BP242" s="329">
        <f t="shared" si="333"/>
        <v>0</v>
      </c>
      <c r="BQ242" s="329">
        <f t="shared" si="333"/>
        <v>0</v>
      </c>
      <c r="BR242" s="329">
        <f t="shared" si="333"/>
        <v>0</v>
      </c>
      <c r="BS242" s="329">
        <f t="shared" si="333"/>
        <v>0</v>
      </c>
      <c r="BT242" s="329">
        <f t="shared" ref="BT242:CC251" si="334">SUMIF($D$4:$D$203,$B242,BT$4:BT$203)</f>
        <v>0</v>
      </c>
      <c r="BU242" s="329">
        <f t="shared" si="334"/>
        <v>0</v>
      </c>
      <c r="BV242" s="329">
        <f t="shared" si="334"/>
        <v>0</v>
      </c>
      <c r="BW242" s="329">
        <f t="shared" si="334"/>
        <v>0</v>
      </c>
      <c r="BX242" s="329">
        <f t="shared" si="334"/>
        <v>0</v>
      </c>
      <c r="BY242" s="329">
        <f t="shared" si="334"/>
        <v>0</v>
      </c>
      <c r="BZ242" s="329">
        <f t="shared" si="334"/>
        <v>0</v>
      </c>
      <c r="CA242" s="329">
        <f t="shared" si="334"/>
        <v>0</v>
      </c>
      <c r="CB242" s="329">
        <f t="shared" si="334"/>
        <v>0</v>
      </c>
      <c r="CC242" s="329">
        <f t="shared" si="334"/>
        <v>0</v>
      </c>
      <c r="CD242" s="329">
        <f t="shared" ref="CD242:CM251" si="335">SUMIF($D$4:$D$203,$B242,CD$4:CD$203)</f>
        <v>0</v>
      </c>
      <c r="CE242" s="329">
        <f t="shared" si="335"/>
        <v>0</v>
      </c>
      <c r="CF242" s="329">
        <f t="shared" si="335"/>
        <v>0</v>
      </c>
      <c r="CG242" s="329">
        <f t="shared" si="335"/>
        <v>0</v>
      </c>
      <c r="CH242" s="329">
        <f t="shared" si="335"/>
        <v>0</v>
      </c>
      <c r="CI242" s="329">
        <f t="shared" si="335"/>
        <v>0</v>
      </c>
      <c r="CJ242" s="329">
        <f t="shared" si="335"/>
        <v>0</v>
      </c>
      <c r="CK242" s="329">
        <f t="shared" si="335"/>
        <v>0</v>
      </c>
      <c r="CL242" s="329">
        <f t="shared" si="335"/>
        <v>0</v>
      </c>
      <c r="CM242" s="329">
        <f t="shared" si="335"/>
        <v>0</v>
      </c>
      <c r="CN242" s="329">
        <f t="shared" ref="CN242:CW251" si="336">SUMIF($D$4:$D$203,$B242,CN$4:CN$203)</f>
        <v>0</v>
      </c>
      <c r="CO242" s="329">
        <f t="shared" si="336"/>
        <v>0</v>
      </c>
      <c r="CP242" s="329">
        <f t="shared" si="336"/>
        <v>0</v>
      </c>
      <c r="CQ242" s="329">
        <f t="shared" si="336"/>
        <v>0</v>
      </c>
      <c r="CR242" s="329">
        <f t="shared" si="336"/>
        <v>0</v>
      </c>
      <c r="CS242" s="329">
        <f t="shared" si="336"/>
        <v>0</v>
      </c>
      <c r="CT242" s="329">
        <f t="shared" si="336"/>
        <v>0</v>
      </c>
      <c r="CU242" s="329">
        <f t="shared" si="336"/>
        <v>0</v>
      </c>
      <c r="CV242" s="329">
        <f t="shared" si="336"/>
        <v>0</v>
      </c>
      <c r="CW242" s="329">
        <f t="shared" si="336"/>
        <v>0</v>
      </c>
      <c r="CX242" s="329">
        <f t="shared" ref="CX242:DG251" si="337">SUMIF($D$4:$D$203,$B242,CX$4:CX$203)</f>
        <v>0</v>
      </c>
      <c r="CY242" s="329">
        <f t="shared" si="337"/>
        <v>0</v>
      </c>
      <c r="CZ242" s="329">
        <f t="shared" si="337"/>
        <v>0</v>
      </c>
      <c r="DA242" s="329">
        <f t="shared" si="337"/>
        <v>0</v>
      </c>
      <c r="DB242" s="329">
        <f t="shared" si="337"/>
        <v>0</v>
      </c>
      <c r="DC242" s="329">
        <f t="shared" si="337"/>
        <v>0</v>
      </c>
      <c r="DD242" s="329">
        <f t="shared" si="337"/>
        <v>0</v>
      </c>
      <c r="DE242" s="329">
        <f t="shared" si="337"/>
        <v>0</v>
      </c>
      <c r="DF242" s="329">
        <f t="shared" si="337"/>
        <v>0</v>
      </c>
      <c r="DG242" s="329">
        <f t="shared" si="337"/>
        <v>0</v>
      </c>
      <c r="DH242" s="329">
        <f t="shared" ref="DH242:DP251" si="338">SUMIF($D$4:$D$203,$B242,DH$4:DH$203)</f>
        <v>0</v>
      </c>
      <c r="DI242" s="329">
        <f t="shared" si="338"/>
        <v>0</v>
      </c>
      <c r="DJ242" s="329">
        <f t="shared" si="338"/>
        <v>0</v>
      </c>
      <c r="DK242" s="329">
        <f t="shared" si="338"/>
        <v>0</v>
      </c>
      <c r="DL242" s="329">
        <f t="shared" si="338"/>
        <v>0</v>
      </c>
      <c r="DM242" s="329">
        <f t="shared" si="338"/>
        <v>0</v>
      </c>
      <c r="DN242" s="329">
        <f t="shared" si="338"/>
        <v>0</v>
      </c>
      <c r="DO242" s="329">
        <f t="shared" si="338"/>
        <v>0</v>
      </c>
      <c r="DP242" s="329">
        <f t="shared" si="338"/>
        <v>0</v>
      </c>
      <c r="DQ242" s="217"/>
      <c r="DR242" s="217"/>
      <c r="DS242" s="217"/>
      <c r="DT242" s="217"/>
    </row>
    <row r="243" spans="1:124" x14ac:dyDescent="0.3">
      <c r="A243" s="217"/>
      <c r="B243" s="260" t="s">
        <v>526</v>
      </c>
      <c r="C243" s="217"/>
      <c r="D243" s="217"/>
      <c r="E243" s="217"/>
      <c r="F243" s="217"/>
      <c r="G243" s="217"/>
      <c r="H243" s="217"/>
      <c r="I243" s="217"/>
      <c r="J243" s="217"/>
      <c r="L243" s="326">
        <f t="shared" si="328"/>
        <v>0</v>
      </c>
      <c r="M243" s="326">
        <f t="shared" si="328"/>
        <v>0</v>
      </c>
      <c r="N243" s="326">
        <f t="shared" si="328"/>
        <v>0</v>
      </c>
      <c r="O243" s="326">
        <f t="shared" si="328"/>
        <v>0</v>
      </c>
      <c r="P243" s="326">
        <f t="shared" si="328"/>
        <v>0</v>
      </c>
      <c r="Q243" s="326">
        <f t="shared" si="328"/>
        <v>0</v>
      </c>
      <c r="R243" s="326">
        <f t="shared" si="328"/>
        <v>0</v>
      </c>
      <c r="S243" s="326">
        <f t="shared" si="328"/>
        <v>0</v>
      </c>
      <c r="T243" s="326">
        <f t="shared" si="328"/>
        <v>0</v>
      </c>
      <c r="U243" s="326">
        <f t="shared" si="328"/>
        <v>0</v>
      </c>
      <c r="V243" s="326">
        <f t="shared" si="329"/>
        <v>0</v>
      </c>
      <c r="W243" s="326">
        <f t="shared" si="329"/>
        <v>0</v>
      </c>
      <c r="X243" s="326">
        <f t="shared" si="329"/>
        <v>0</v>
      </c>
      <c r="Y243" s="326">
        <f t="shared" si="329"/>
        <v>0</v>
      </c>
      <c r="Z243" s="326">
        <f t="shared" si="329"/>
        <v>0</v>
      </c>
      <c r="AA243" s="326">
        <f t="shared" si="329"/>
        <v>0</v>
      </c>
      <c r="AB243" s="326">
        <f t="shared" si="329"/>
        <v>0</v>
      </c>
      <c r="AC243" s="326">
        <f t="shared" si="329"/>
        <v>0</v>
      </c>
      <c r="AD243" s="326">
        <f t="shared" si="329"/>
        <v>0</v>
      </c>
      <c r="AE243" s="326">
        <f t="shared" si="329"/>
        <v>0</v>
      </c>
      <c r="AF243" s="326">
        <f t="shared" si="330"/>
        <v>0</v>
      </c>
      <c r="AG243" s="326">
        <f t="shared" si="330"/>
        <v>0</v>
      </c>
      <c r="AH243" s="326">
        <f t="shared" si="330"/>
        <v>0</v>
      </c>
      <c r="AI243" s="326">
        <f t="shared" si="330"/>
        <v>0</v>
      </c>
      <c r="AJ243" s="326">
        <f t="shared" si="330"/>
        <v>0</v>
      </c>
      <c r="AK243" s="326">
        <f t="shared" si="330"/>
        <v>0</v>
      </c>
      <c r="AL243" s="326">
        <f t="shared" si="330"/>
        <v>0</v>
      </c>
      <c r="AM243" s="326">
        <f t="shared" si="330"/>
        <v>0</v>
      </c>
      <c r="AN243" s="326">
        <f t="shared" si="330"/>
        <v>0</v>
      </c>
      <c r="AO243" s="326">
        <f t="shared" si="330"/>
        <v>0</v>
      </c>
      <c r="AP243" s="326">
        <f t="shared" si="331"/>
        <v>0</v>
      </c>
      <c r="AQ243" s="326">
        <f t="shared" si="331"/>
        <v>0</v>
      </c>
      <c r="AR243" s="326">
        <f t="shared" si="331"/>
        <v>0</v>
      </c>
      <c r="AS243" s="326">
        <f t="shared" si="331"/>
        <v>0</v>
      </c>
      <c r="AT243" s="326">
        <f t="shared" si="331"/>
        <v>0</v>
      </c>
      <c r="AU243" s="326">
        <f t="shared" si="331"/>
        <v>0</v>
      </c>
      <c r="AV243" s="326">
        <f t="shared" si="331"/>
        <v>0</v>
      </c>
      <c r="AW243" s="326">
        <f t="shared" si="331"/>
        <v>0</v>
      </c>
      <c r="AX243" s="326">
        <f t="shared" si="331"/>
        <v>0</v>
      </c>
      <c r="AY243" s="326">
        <f t="shared" si="331"/>
        <v>0</v>
      </c>
      <c r="AZ243" s="326">
        <f t="shared" si="332"/>
        <v>0</v>
      </c>
      <c r="BA243" s="326">
        <f t="shared" si="332"/>
        <v>0</v>
      </c>
      <c r="BB243" s="326">
        <f t="shared" si="332"/>
        <v>0</v>
      </c>
      <c r="BC243" s="326">
        <f t="shared" si="332"/>
        <v>0</v>
      </c>
      <c r="BD243" s="329">
        <f t="shared" si="332"/>
        <v>0</v>
      </c>
      <c r="BE243" s="329">
        <f t="shared" si="332"/>
        <v>0</v>
      </c>
      <c r="BF243" s="329">
        <f t="shared" si="332"/>
        <v>0</v>
      </c>
      <c r="BG243" s="329">
        <f t="shared" si="332"/>
        <v>0</v>
      </c>
      <c r="BH243" s="329">
        <f t="shared" si="332"/>
        <v>0</v>
      </c>
      <c r="BI243" s="329">
        <f t="shared" si="332"/>
        <v>0</v>
      </c>
      <c r="BJ243" s="329">
        <f t="shared" si="333"/>
        <v>0</v>
      </c>
      <c r="BK243" s="329">
        <f t="shared" si="333"/>
        <v>0</v>
      </c>
      <c r="BL243" s="329">
        <f t="shared" si="333"/>
        <v>0</v>
      </c>
      <c r="BM243" s="329">
        <f t="shared" si="333"/>
        <v>0</v>
      </c>
      <c r="BN243" s="329">
        <f t="shared" si="333"/>
        <v>0</v>
      </c>
      <c r="BO243" s="329">
        <f t="shared" si="333"/>
        <v>0</v>
      </c>
      <c r="BP243" s="329">
        <f t="shared" si="333"/>
        <v>0</v>
      </c>
      <c r="BQ243" s="329">
        <f t="shared" si="333"/>
        <v>0</v>
      </c>
      <c r="BR243" s="329">
        <f t="shared" si="333"/>
        <v>0</v>
      </c>
      <c r="BS243" s="329">
        <f t="shared" si="333"/>
        <v>0</v>
      </c>
      <c r="BT243" s="329">
        <f t="shared" si="334"/>
        <v>0</v>
      </c>
      <c r="BU243" s="329">
        <f t="shared" si="334"/>
        <v>0</v>
      </c>
      <c r="BV243" s="329">
        <f t="shared" si="334"/>
        <v>0</v>
      </c>
      <c r="BW243" s="329">
        <f t="shared" si="334"/>
        <v>0</v>
      </c>
      <c r="BX243" s="329">
        <f t="shared" si="334"/>
        <v>0</v>
      </c>
      <c r="BY243" s="329">
        <f t="shared" si="334"/>
        <v>0</v>
      </c>
      <c r="BZ243" s="329">
        <f t="shared" si="334"/>
        <v>0</v>
      </c>
      <c r="CA243" s="329">
        <f t="shared" si="334"/>
        <v>0</v>
      </c>
      <c r="CB243" s="329">
        <f t="shared" si="334"/>
        <v>0</v>
      </c>
      <c r="CC243" s="329">
        <f t="shared" si="334"/>
        <v>0</v>
      </c>
      <c r="CD243" s="329">
        <f t="shared" si="335"/>
        <v>0</v>
      </c>
      <c r="CE243" s="329">
        <f t="shared" si="335"/>
        <v>0</v>
      </c>
      <c r="CF243" s="329">
        <f t="shared" si="335"/>
        <v>0</v>
      </c>
      <c r="CG243" s="329">
        <f t="shared" si="335"/>
        <v>0</v>
      </c>
      <c r="CH243" s="329">
        <f t="shared" si="335"/>
        <v>0</v>
      </c>
      <c r="CI243" s="329">
        <f t="shared" si="335"/>
        <v>0</v>
      </c>
      <c r="CJ243" s="329">
        <f t="shared" si="335"/>
        <v>0</v>
      </c>
      <c r="CK243" s="329">
        <f t="shared" si="335"/>
        <v>0</v>
      </c>
      <c r="CL243" s="329">
        <f t="shared" si="335"/>
        <v>0</v>
      </c>
      <c r="CM243" s="329">
        <f t="shared" si="335"/>
        <v>0</v>
      </c>
      <c r="CN243" s="329">
        <f t="shared" si="336"/>
        <v>0</v>
      </c>
      <c r="CO243" s="329">
        <f t="shared" si="336"/>
        <v>0</v>
      </c>
      <c r="CP243" s="329">
        <f t="shared" si="336"/>
        <v>0</v>
      </c>
      <c r="CQ243" s="329">
        <f t="shared" si="336"/>
        <v>0</v>
      </c>
      <c r="CR243" s="329">
        <f t="shared" si="336"/>
        <v>0</v>
      </c>
      <c r="CS243" s="329">
        <f t="shared" si="336"/>
        <v>0</v>
      </c>
      <c r="CT243" s="329">
        <f t="shared" si="336"/>
        <v>0</v>
      </c>
      <c r="CU243" s="329">
        <f t="shared" si="336"/>
        <v>0</v>
      </c>
      <c r="CV243" s="329">
        <f t="shared" si="336"/>
        <v>0</v>
      </c>
      <c r="CW243" s="329">
        <f t="shared" si="336"/>
        <v>0</v>
      </c>
      <c r="CX243" s="329">
        <f t="shared" si="337"/>
        <v>0</v>
      </c>
      <c r="CY243" s="329">
        <f t="shared" si="337"/>
        <v>0</v>
      </c>
      <c r="CZ243" s="329">
        <f t="shared" si="337"/>
        <v>0</v>
      </c>
      <c r="DA243" s="329">
        <f t="shared" si="337"/>
        <v>0</v>
      </c>
      <c r="DB243" s="329">
        <f t="shared" si="337"/>
        <v>0</v>
      </c>
      <c r="DC243" s="329">
        <f t="shared" si="337"/>
        <v>0</v>
      </c>
      <c r="DD243" s="329">
        <f t="shared" si="337"/>
        <v>0</v>
      </c>
      <c r="DE243" s="329">
        <f t="shared" si="337"/>
        <v>0</v>
      </c>
      <c r="DF243" s="329">
        <f t="shared" si="337"/>
        <v>0</v>
      </c>
      <c r="DG243" s="329">
        <f t="shared" si="337"/>
        <v>0</v>
      </c>
      <c r="DH243" s="329">
        <f t="shared" si="338"/>
        <v>0</v>
      </c>
      <c r="DI243" s="329">
        <f t="shared" si="338"/>
        <v>0</v>
      </c>
      <c r="DJ243" s="329">
        <f t="shared" si="338"/>
        <v>0</v>
      </c>
      <c r="DK243" s="329">
        <f t="shared" si="338"/>
        <v>0</v>
      </c>
      <c r="DL243" s="329">
        <f t="shared" si="338"/>
        <v>0</v>
      </c>
      <c r="DM243" s="329">
        <f t="shared" si="338"/>
        <v>0</v>
      </c>
      <c r="DN243" s="329">
        <f t="shared" si="338"/>
        <v>0</v>
      </c>
      <c r="DO243" s="329">
        <f t="shared" si="338"/>
        <v>0</v>
      </c>
      <c r="DP243" s="329">
        <f t="shared" si="338"/>
        <v>0</v>
      </c>
      <c r="DQ243" s="217"/>
      <c r="DR243" s="217"/>
      <c r="DS243" s="217"/>
      <c r="DT243" s="217"/>
    </row>
    <row r="244" spans="1:124" x14ac:dyDescent="0.3">
      <c r="A244" s="217"/>
      <c r="B244" s="260" t="s">
        <v>527</v>
      </c>
      <c r="C244" s="217"/>
      <c r="D244" s="217"/>
      <c r="E244" s="217"/>
      <c r="F244" s="217"/>
      <c r="G244" s="217"/>
      <c r="H244" s="217"/>
      <c r="I244" s="217"/>
      <c r="J244" s="217"/>
      <c r="L244" s="326">
        <f t="shared" si="328"/>
        <v>0</v>
      </c>
      <c r="M244" s="326">
        <f t="shared" si="328"/>
        <v>0</v>
      </c>
      <c r="N244" s="326">
        <f t="shared" si="328"/>
        <v>0</v>
      </c>
      <c r="O244" s="326">
        <f t="shared" si="328"/>
        <v>0</v>
      </c>
      <c r="P244" s="326">
        <f t="shared" si="328"/>
        <v>0</v>
      </c>
      <c r="Q244" s="326">
        <f t="shared" si="328"/>
        <v>0</v>
      </c>
      <c r="R244" s="326">
        <f t="shared" si="328"/>
        <v>0</v>
      </c>
      <c r="S244" s="326">
        <f t="shared" si="328"/>
        <v>0</v>
      </c>
      <c r="T244" s="326">
        <f t="shared" si="328"/>
        <v>0</v>
      </c>
      <c r="U244" s="326">
        <f t="shared" si="328"/>
        <v>0</v>
      </c>
      <c r="V244" s="326">
        <f t="shared" si="329"/>
        <v>0</v>
      </c>
      <c r="W244" s="326">
        <f t="shared" si="329"/>
        <v>0</v>
      </c>
      <c r="X244" s="326">
        <f t="shared" si="329"/>
        <v>0</v>
      </c>
      <c r="Y244" s="326">
        <f t="shared" si="329"/>
        <v>0</v>
      </c>
      <c r="Z244" s="326">
        <f t="shared" si="329"/>
        <v>0</v>
      </c>
      <c r="AA244" s="326">
        <f t="shared" si="329"/>
        <v>0</v>
      </c>
      <c r="AB244" s="326">
        <f t="shared" si="329"/>
        <v>0</v>
      </c>
      <c r="AC244" s="326">
        <f t="shared" si="329"/>
        <v>0</v>
      </c>
      <c r="AD244" s="326">
        <f t="shared" si="329"/>
        <v>0</v>
      </c>
      <c r="AE244" s="326">
        <f t="shared" si="329"/>
        <v>0</v>
      </c>
      <c r="AF244" s="326">
        <f t="shared" si="330"/>
        <v>0</v>
      </c>
      <c r="AG244" s="326">
        <f t="shared" si="330"/>
        <v>0</v>
      </c>
      <c r="AH244" s="326">
        <f t="shared" si="330"/>
        <v>0</v>
      </c>
      <c r="AI244" s="326">
        <f t="shared" si="330"/>
        <v>0</v>
      </c>
      <c r="AJ244" s="326">
        <f t="shared" si="330"/>
        <v>0</v>
      </c>
      <c r="AK244" s="326">
        <f t="shared" si="330"/>
        <v>0</v>
      </c>
      <c r="AL244" s="326">
        <f t="shared" si="330"/>
        <v>0</v>
      </c>
      <c r="AM244" s="326">
        <f t="shared" si="330"/>
        <v>0</v>
      </c>
      <c r="AN244" s="326">
        <f t="shared" si="330"/>
        <v>0</v>
      </c>
      <c r="AO244" s="326">
        <f t="shared" si="330"/>
        <v>0</v>
      </c>
      <c r="AP244" s="326">
        <f t="shared" si="331"/>
        <v>0</v>
      </c>
      <c r="AQ244" s="326">
        <f t="shared" si="331"/>
        <v>0</v>
      </c>
      <c r="AR244" s="326">
        <f t="shared" si="331"/>
        <v>0</v>
      </c>
      <c r="AS244" s="326">
        <f t="shared" si="331"/>
        <v>0</v>
      </c>
      <c r="AT244" s="326">
        <f t="shared" si="331"/>
        <v>0</v>
      </c>
      <c r="AU244" s="326">
        <f t="shared" si="331"/>
        <v>0</v>
      </c>
      <c r="AV244" s="326">
        <f t="shared" si="331"/>
        <v>0</v>
      </c>
      <c r="AW244" s="326">
        <f t="shared" si="331"/>
        <v>0</v>
      </c>
      <c r="AX244" s="326">
        <f t="shared" si="331"/>
        <v>0</v>
      </c>
      <c r="AY244" s="326">
        <f t="shared" si="331"/>
        <v>0</v>
      </c>
      <c r="AZ244" s="326">
        <f t="shared" si="332"/>
        <v>0</v>
      </c>
      <c r="BA244" s="326">
        <f t="shared" si="332"/>
        <v>0</v>
      </c>
      <c r="BB244" s="326">
        <f t="shared" si="332"/>
        <v>0</v>
      </c>
      <c r="BC244" s="326">
        <f t="shared" si="332"/>
        <v>0</v>
      </c>
      <c r="BD244" s="329">
        <f t="shared" si="332"/>
        <v>0</v>
      </c>
      <c r="BE244" s="329">
        <f t="shared" si="332"/>
        <v>0</v>
      </c>
      <c r="BF244" s="329">
        <f t="shared" si="332"/>
        <v>0</v>
      </c>
      <c r="BG244" s="329">
        <f t="shared" si="332"/>
        <v>0</v>
      </c>
      <c r="BH244" s="329">
        <f t="shared" si="332"/>
        <v>0</v>
      </c>
      <c r="BI244" s="329">
        <f t="shared" si="332"/>
        <v>0</v>
      </c>
      <c r="BJ244" s="329">
        <f t="shared" si="333"/>
        <v>0</v>
      </c>
      <c r="BK244" s="329">
        <f t="shared" si="333"/>
        <v>0</v>
      </c>
      <c r="BL244" s="329">
        <f t="shared" si="333"/>
        <v>0</v>
      </c>
      <c r="BM244" s="329">
        <f t="shared" si="333"/>
        <v>0</v>
      </c>
      <c r="BN244" s="329">
        <f t="shared" si="333"/>
        <v>0</v>
      </c>
      <c r="BO244" s="329">
        <f t="shared" si="333"/>
        <v>0</v>
      </c>
      <c r="BP244" s="329">
        <f t="shared" si="333"/>
        <v>0</v>
      </c>
      <c r="BQ244" s="329">
        <f t="shared" si="333"/>
        <v>0</v>
      </c>
      <c r="BR244" s="329">
        <f t="shared" si="333"/>
        <v>0</v>
      </c>
      <c r="BS244" s="329">
        <f t="shared" si="333"/>
        <v>0</v>
      </c>
      <c r="BT244" s="329">
        <f t="shared" si="334"/>
        <v>0</v>
      </c>
      <c r="BU244" s="329">
        <f t="shared" si="334"/>
        <v>0</v>
      </c>
      <c r="BV244" s="329">
        <f t="shared" si="334"/>
        <v>0</v>
      </c>
      <c r="BW244" s="329">
        <f t="shared" si="334"/>
        <v>0</v>
      </c>
      <c r="BX244" s="329">
        <f t="shared" si="334"/>
        <v>0</v>
      </c>
      <c r="BY244" s="329">
        <f t="shared" si="334"/>
        <v>0</v>
      </c>
      <c r="BZ244" s="329">
        <f t="shared" si="334"/>
        <v>0</v>
      </c>
      <c r="CA244" s="329">
        <f t="shared" si="334"/>
        <v>0</v>
      </c>
      <c r="CB244" s="329">
        <f t="shared" si="334"/>
        <v>0</v>
      </c>
      <c r="CC244" s="329">
        <f t="shared" si="334"/>
        <v>0</v>
      </c>
      <c r="CD244" s="329">
        <f t="shared" si="335"/>
        <v>0</v>
      </c>
      <c r="CE244" s="329">
        <f t="shared" si="335"/>
        <v>0</v>
      </c>
      <c r="CF244" s="329">
        <f t="shared" si="335"/>
        <v>0</v>
      </c>
      <c r="CG244" s="329">
        <f t="shared" si="335"/>
        <v>0</v>
      </c>
      <c r="CH244" s="329">
        <f t="shared" si="335"/>
        <v>0</v>
      </c>
      <c r="CI244" s="329">
        <f t="shared" si="335"/>
        <v>0</v>
      </c>
      <c r="CJ244" s="329">
        <f t="shared" si="335"/>
        <v>0</v>
      </c>
      <c r="CK244" s="329">
        <f t="shared" si="335"/>
        <v>0</v>
      </c>
      <c r="CL244" s="329">
        <f t="shared" si="335"/>
        <v>0</v>
      </c>
      <c r="CM244" s="329">
        <f t="shared" si="335"/>
        <v>0</v>
      </c>
      <c r="CN244" s="329">
        <f t="shared" si="336"/>
        <v>0</v>
      </c>
      <c r="CO244" s="329">
        <f t="shared" si="336"/>
        <v>0</v>
      </c>
      <c r="CP244" s="329">
        <f t="shared" si="336"/>
        <v>0</v>
      </c>
      <c r="CQ244" s="329">
        <f t="shared" si="336"/>
        <v>0</v>
      </c>
      <c r="CR244" s="329">
        <f t="shared" si="336"/>
        <v>0</v>
      </c>
      <c r="CS244" s="329">
        <f t="shared" si="336"/>
        <v>0</v>
      </c>
      <c r="CT244" s="329">
        <f t="shared" si="336"/>
        <v>0</v>
      </c>
      <c r="CU244" s="329">
        <f t="shared" si="336"/>
        <v>0</v>
      </c>
      <c r="CV244" s="329">
        <f t="shared" si="336"/>
        <v>0</v>
      </c>
      <c r="CW244" s="329">
        <f t="shared" si="336"/>
        <v>0</v>
      </c>
      <c r="CX244" s="329">
        <f t="shared" si="337"/>
        <v>0</v>
      </c>
      <c r="CY244" s="329">
        <f t="shared" si="337"/>
        <v>0</v>
      </c>
      <c r="CZ244" s="329">
        <f t="shared" si="337"/>
        <v>0</v>
      </c>
      <c r="DA244" s="329">
        <f t="shared" si="337"/>
        <v>0</v>
      </c>
      <c r="DB244" s="329">
        <f t="shared" si="337"/>
        <v>0</v>
      </c>
      <c r="DC244" s="329">
        <f t="shared" si="337"/>
        <v>0</v>
      </c>
      <c r="DD244" s="329">
        <f t="shared" si="337"/>
        <v>0</v>
      </c>
      <c r="DE244" s="329">
        <f t="shared" si="337"/>
        <v>0</v>
      </c>
      <c r="DF244" s="329">
        <f t="shared" si="337"/>
        <v>0</v>
      </c>
      <c r="DG244" s="329">
        <f t="shared" si="337"/>
        <v>0</v>
      </c>
      <c r="DH244" s="329">
        <f t="shared" si="338"/>
        <v>0</v>
      </c>
      <c r="DI244" s="329">
        <f t="shared" si="338"/>
        <v>0</v>
      </c>
      <c r="DJ244" s="329">
        <f t="shared" si="338"/>
        <v>0</v>
      </c>
      <c r="DK244" s="329">
        <f t="shared" si="338"/>
        <v>0</v>
      </c>
      <c r="DL244" s="329">
        <f t="shared" si="338"/>
        <v>0</v>
      </c>
      <c r="DM244" s="329">
        <f t="shared" si="338"/>
        <v>0</v>
      </c>
      <c r="DN244" s="329">
        <f t="shared" si="338"/>
        <v>0</v>
      </c>
      <c r="DO244" s="329">
        <f t="shared" si="338"/>
        <v>0</v>
      </c>
      <c r="DP244" s="329">
        <f t="shared" si="338"/>
        <v>0</v>
      </c>
      <c r="DQ244" s="217"/>
      <c r="DR244" s="217"/>
      <c r="DS244" s="217"/>
      <c r="DT244" s="217"/>
    </row>
    <row r="245" spans="1:124" x14ac:dyDescent="0.3">
      <c r="A245" s="217"/>
      <c r="B245" s="260" t="s">
        <v>113</v>
      </c>
      <c r="C245" s="217"/>
      <c r="D245" s="217"/>
      <c r="E245" s="217"/>
      <c r="F245" s="217"/>
      <c r="G245" s="217"/>
      <c r="H245" s="217"/>
      <c r="I245" s="217"/>
      <c r="J245" s="217"/>
      <c r="L245" s="326">
        <f t="shared" si="328"/>
        <v>0</v>
      </c>
      <c r="M245" s="326">
        <f t="shared" si="328"/>
        <v>0</v>
      </c>
      <c r="N245" s="326">
        <f t="shared" si="328"/>
        <v>0</v>
      </c>
      <c r="O245" s="326">
        <f t="shared" si="328"/>
        <v>0</v>
      </c>
      <c r="P245" s="326">
        <f t="shared" si="328"/>
        <v>0</v>
      </c>
      <c r="Q245" s="326">
        <f t="shared" si="328"/>
        <v>0</v>
      </c>
      <c r="R245" s="326">
        <f t="shared" si="328"/>
        <v>0</v>
      </c>
      <c r="S245" s="326">
        <f t="shared" si="328"/>
        <v>0</v>
      </c>
      <c r="T245" s="326">
        <f t="shared" si="328"/>
        <v>0</v>
      </c>
      <c r="U245" s="326">
        <f t="shared" si="328"/>
        <v>0</v>
      </c>
      <c r="V245" s="326">
        <f t="shared" si="329"/>
        <v>0</v>
      </c>
      <c r="W245" s="326">
        <f t="shared" si="329"/>
        <v>0</v>
      </c>
      <c r="X245" s="326">
        <f t="shared" si="329"/>
        <v>0</v>
      </c>
      <c r="Y245" s="326">
        <f t="shared" si="329"/>
        <v>0</v>
      </c>
      <c r="Z245" s="326">
        <f t="shared" si="329"/>
        <v>0</v>
      </c>
      <c r="AA245" s="326">
        <f t="shared" si="329"/>
        <v>0</v>
      </c>
      <c r="AB245" s="326">
        <f t="shared" si="329"/>
        <v>0</v>
      </c>
      <c r="AC245" s="326">
        <f t="shared" si="329"/>
        <v>0</v>
      </c>
      <c r="AD245" s="326">
        <f t="shared" si="329"/>
        <v>0</v>
      </c>
      <c r="AE245" s="326">
        <f t="shared" si="329"/>
        <v>0</v>
      </c>
      <c r="AF245" s="326">
        <f t="shared" si="330"/>
        <v>0</v>
      </c>
      <c r="AG245" s="326">
        <f t="shared" si="330"/>
        <v>0</v>
      </c>
      <c r="AH245" s="326">
        <f t="shared" si="330"/>
        <v>0</v>
      </c>
      <c r="AI245" s="326">
        <f t="shared" si="330"/>
        <v>0</v>
      </c>
      <c r="AJ245" s="326">
        <f t="shared" si="330"/>
        <v>0</v>
      </c>
      <c r="AK245" s="326">
        <f t="shared" si="330"/>
        <v>0</v>
      </c>
      <c r="AL245" s="326">
        <f t="shared" si="330"/>
        <v>0</v>
      </c>
      <c r="AM245" s="326">
        <f t="shared" si="330"/>
        <v>0</v>
      </c>
      <c r="AN245" s="326">
        <f t="shared" si="330"/>
        <v>0</v>
      </c>
      <c r="AO245" s="326">
        <f t="shared" si="330"/>
        <v>0</v>
      </c>
      <c r="AP245" s="326">
        <f t="shared" si="331"/>
        <v>0</v>
      </c>
      <c r="AQ245" s="326">
        <f t="shared" si="331"/>
        <v>0</v>
      </c>
      <c r="AR245" s="326">
        <f t="shared" si="331"/>
        <v>0</v>
      </c>
      <c r="AS245" s="326">
        <f t="shared" si="331"/>
        <v>0</v>
      </c>
      <c r="AT245" s="326">
        <f t="shared" si="331"/>
        <v>0</v>
      </c>
      <c r="AU245" s="326">
        <f t="shared" si="331"/>
        <v>0</v>
      </c>
      <c r="AV245" s="326">
        <f t="shared" si="331"/>
        <v>0</v>
      </c>
      <c r="AW245" s="326">
        <f t="shared" si="331"/>
        <v>0</v>
      </c>
      <c r="AX245" s="326">
        <f t="shared" si="331"/>
        <v>0</v>
      </c>
      <c r="AY245" s="326">
        <f t="shared" si="331"/>
        <v>0</v>
      </c>
      <c r="AZ245" s="326">
        <f t="shared" si="332"/>
        <v>0</v>
      </c>
      <c r="BA245" s="326">
        <f t="shared" si="332"/>
        <v>0</v>
      </c>
      <c r="BB245" s="326">
        <f t="shared" si="332"/>
        <v>0</v>
      </c>
      <c r="BC245" s="326">
        <f t="shared" si="332"/>
        <v>0</v>
      </c>
      <c r="BD245" s="329">
        <f t="shared" si="332"/>
        <v>0</v>
      </c>
      <c r="BE245" s="329">
        <f t="shared" si="332"/>
        <v>0</v>
      </c>
      <c r="BF245" s="329">
        <f t="shared" si="332"/>
        <v>0</v>
      </c>
      <c r="BG245" s="329">
        <f t="shared" si="332"/>
        <v>0</v>
      </c>
      <c r="BH245" s="329">
        <f t="shared" si="332"/>
        <v>0</v>
      </c>
      <c r="BI245" s="329">
        <f t="shared" si="332"/>
        <v>0</v>
      </c>
      <c r="BJ245" s="329">
        <f t="shared" si="333"/>
        <v>0</v>
      </c>
      <c r="BK245" s="329">
        <f t="shared" si="333"/>
        <v>0</v>
      </c>
      <c r="BL245" s="329">
        <f t="shared" si="333"/>
        <v>0</v>
      </c>
      <c r="BM245" s="329">
        <f t="shared" si="333"/>
        <v>0</v>
      </c>
      <c r="BN245" s="329">
        <f t="shared" si="333"/>
        <v>0</v>
      </c>
      <c r="BO245" s="329">
        <f t="shared" si="333"/>
        <v>0</v>
      </c>
      <c r="BP245" s="329">
        <f t="shared" si="333"/>
        <v>0</v>
      </c>
      <c r="BQ245" s="329">
        <f t="shared" si="333"/>
        <v>0</v>
      </c>
      <c r="BR245" s="329">
        <f t="shared" si="333"/>
        <v>0</v>
      </c>
      <c r="BS245" s="329">
        <f t="shared" si="333"/>
        <v>0</v>
      </c>
      <c r="BT245" s="329">
        <f t="shared" si="334"/>
        <v>0</v>
      </c>
      <c r="BU245" s="329">
        <f t="shared" si="334"/>
        <v>0</v>
      </c>
      <c r="BV245" s="329">
        <f t="shared" si="334"/>
        <v>0</v>
      </c>
      <c r="BW245" s="329">
        <f t="shared" si="334"/>
        <v>0</v>
      </c>
      <c r="BX245" s="329">
        <f t="shared" si="334"/>
        <v>0</v>
      </c>
      <c r="BY245" s="329">
        <f t="shared" si="334"/>
        <v>0</v>
      </c>
      <c r="BZ245" s="329">
        <f t="shared" si="334"/>
        <v>0</v>
      </c>
      <c r="CA245" s="329">
        <f t="shared" si="334"/>
        <v>0</v>
      </c>
      <c r="CB245" s="329">
        <f t="shared" si="334"/>
        <v>0</v>
      </c>
      <c r="CC245" s="329">
        <f t="shared" si="334"/>
        <v>0</v>
      </c>
      <c r="CD245" s="329">
        <f t="shared" si="335"/>
        <v>0</v>
      </c>
      <c r="CE245" s="329">
        <f t="shared" si="335"/>
        <v>0</v>
      </c>
      <c r="CF245" s="329">
        <f t="shared" si="335"/>
        <v>0</v>
      </c>
      <c r="CG245" s="329">
        <f t="shared" si="335"/>
        <v>0</v>
      </c>
      <c r="CH245" s="329">
        <f t="shared" si="335"/>
        <v>0</v>
      </c>
      <c r="CI245" s="329">
        <f t="shared" si="335"/>
        <v>0</v>
      </c>
      <c r="CJ245" s="329">
        <f t="shared" si="335"/>
        <v>0</v>
      </c>
      <c r="CK245" s="329">
        <f t="shared" si="335"/>
        <v>0</v>
      </c>
      <c r="CL245" s="329">
        <f t="shared" si="335"/>
        <v>0</v>
      </c>
      <c r="CM245" s="329">
        <f t="shared" si="335"/>
        <v>0</v>
      </c>
      <c r="CN245" s="329">
        <f t="shared" si="336"/>
        <v>0</v>
      </c>
      <c r="CO245" s="329">
        <f t="shared" si="336"/>
        <v>0</v>
      </c>
      <c r="CP245" s="329">
        <f t="shared" si="336"/>
        <v>0</v>
      </c>
      <c r="CQ245" s="329">
        <f t="shared" si="336"/>
        <v>0</v>
      </c>
      <c r="CR245" s="329">
        <f t="shared" si="336"/>
        <v>0</v>
      </c>
      <c r="CS245" s="329">
        <f t="shared" si="336"/>
        <v>0</v>
      </c>
      <c r="CT245" s="329">
        <f t="shared" si="336"/>
        <v>0</v>
      </c>
      <c r="CU245" s="329">
        <f t="shared" si="336"/>
        <v>0</v>
      </c>
      <c r="CV245" s="329">
        <f t="shared" si="336"/>
        <v>0</v>
      </c>
      <c r="CW245" s="329">
        <f t="shared" si="336"/>
        <v>0</v>
      </c>
      <c r="CX245" s="329">
        <f t="shared" si="337"/>
        <v>0</v>
      </c>
      <c r="CY245" s="329">
        <f t="shared" si="337"/>
        <v>0</v>
      </c>
      <c r="CZ245" s="329">
        <f t="shared" si="337"/>
        <v>0</v>
      </c>
      <c r="DA245" s="329">
        <f t="shared" si="337"/>
        <v>0</v>
      </c>
      <c r="DB245" s="329">
        <f t="shared" si="337"/>
        <v>0</v>
      </c>
      <c r="DC245" s="329">
        <f t="shared" si="337"/>
        <v>0</v>
      </c>
      <c r="DD245" s="329">
        <f t="shared" si="337"/>
        <v>0</v>
      </c>
      <c r="DE245" s="329">
        <f t="shared" si="337"/>
        <v>0</v>
      </c>
      <c r="DF245" s="329">
        <f t="shared" si="337"/>
        <v>0</v>
      </c>
      <c r="DG245" s="329">
        <f t="shared" si="337"/>
        <v>0</v>
      </c>
      <c r="DH245" s="329">
        <f t="shared" si="338"/>
        <v>0</v>
      </c>
      <c r="DI245" s="329">
        <f t="shared" si="338"/>
        <v>0</v>
      </c>
      <c r="DJ245" s="329">
        <f t="shared" si="338"/>
        <v>0</v>
      </c>
      <c r="DK245" s="329">
        <f t="shared" si="338"/>
        <v>0</v>
      </c>
      <c r="DL245" s="329">
        <f t="shared" si="338"/>
        <v>0</v>
      </c>
      <c r="DM245" s="329">
        <f t="shared" si="338"/>
        <v>0</v>
      </c>
      <c r="DN245" s="329">
        <f t="shared" si="338"/>
        <v>0</v>
      </c>
      <c r="DO245" s="329">
        <f t="shared" si="338"/>
        <v>0</v>
      </c>
      <c r="DP245" s="329">
        <f t="shared" si="338"/>
        <v>0</v>
      </c>
      <c r="DQ245" s="217"/>
      <c r="DR245" s="217"/>
      <c r="DS245" s="217"/>
      <c r="DT245" s="217"/>
    </row>
    <row r="246" spans="1:124" x14ac:dyDescent="0.3">
      <c r="A246" s="217"/>
      <c r="B246" s="221" t="s">
        <v>117</v>
      </c>
      <c r="C246" s="217"/>
      <c r="D246" s="217"/>
      <c r="E246" s="217"/>
      <c r="F246" s="217"/>
      <c r="G246" s="217"/>
      <c r="H246" s="217"/>
      <c r="I246" s="217"/>
      <c r="J246" s="217"/>
      <c r="L246" s="326">
        <f t="shared" si="328"/>
        <v>0</v>
      </c>
      <c r="M246" s="326">
        <f t="shared" si="328"/>
        <v>0</v>
      </c>
      <c r="N246" s="326">
        <f t="shared" si="328"/>
        <v>0</v>
      </c>
      <c r="O246" s="326">
        <f t="shared" si="328"/>
        <v>0</v>
      </c>
      <c r="P246" s="326">
        <f t="shared" si="328"/>
        <v>0</v>
      </c>
      <c r="Q246" s="326">
        <f t="shared" si="328"/>
        <v>0</v>
      </c>
      <c r="R246" s="326">
        <f t="shared" si="328"/>
        <v>0</v>
      </c>
      <c r="S246" s="326">
        <f t="shared" si="328"/>
        <v>0</v>
      </c>
      <c r="T246" s="326">
        <f t="shared" si="328"/>
        <v>0</v>
      </c>
      <c r="U246" s="326">
        <f t="shared" si="328"/>
        <v>0</v>
      </c>
      <c r="V246" s="326">
        <f t="shared" si="329"/>
        <v>0</v>
      </c>
      <c r="W246" s="326">
        <f t="shared" si="329"/>
        <v>0</v>
      </c>
      <c r="X246" s="326">
        <f t="shared" si="329"/>
        <v>0</v>
      </c>
      <c r="Y246" s="326">
        <f t="shared" si="329"/>
        <v>0</v>
      </c>
      <c r="Z246" s="326">
        <f t="shared" si="329"/>
        <v>0</v>
      </c>
      <c r="AA246" s="326">
        <f t="shared" si="329"/>
        <v>0</v>
      </c>
      <c r="AB246" s="326">
        <f t="shared" si="329"/>
        <v>0</v>
      </c>
      <c r="AC246" s="326">
        <f t="shared" si="329"/>
        <v>0</v>
      </c>
      <c r="AD246" s="326">
        <f t="shared" si="329"/>
        <v>0</v>
      </c>
      <c r="AE246" s="326">
        <f t="shared" si="329"/>
        <v>0</v>
      </c>
      <c r="AF246" s="326">
        <f t="shared" si="330"/>
        <v>0</v>
      </c>
      <c r="AG246" s="326">
        <f t="shared" si="330"/>
        <v>0</v>
      </c>
      <c r="AH246" s="326">
        <f t="shared" si="330"/>
        <v>0</v>
      </c>
      <c r="AI246" s="326">
        <f t="shared" si="330"/>
        <v>0</v>
      </c>
      <c r="AJ246" s="326">
        <f t="shared" si="330"/>
        <v>0</v>
      </c>
      <c r="AK246" s="326">
        <f t="shared" si="330"/>
        <v>0</v>
      </c>
      <c r="AL246" s="326">
        <f t="shared" si="330"/>
        <v>0</v>
      </c>
      <c r="AM246" s="326">
        <f t="shared" si="330"/>
        <v>0</v>
      </c>
      <c r="AN246" s="326">
        <f t="shared" si="330"/>
        <v>0</v>
      </c>
      <c r="AO246" s="326">
        <f t="shared" si="330"/>
        <v>0</v>
      </c>
      <c r="AP246" s="326">
        <f t="shared" si="331"/>
        <v>0</v>
      </c>
      <c r="AQ246" s="326">
        <f t="shared" si="331"/>
        <v>0</v>
      </c>
      <c r="AR246" s="326">
        <f t="shared" si="331"/>
        <v>0</v>
      </c>
      <c r="AS246" s="326">
        <f t="shared" si="331"/>
        <v>0</v>
      </c>
      <c r="AT246" s="326">
        <f t="shared" si="331"/>
        <v>0</v>
      </c>
      <c r="AU246" s="326">
        <f t="shared" si="331"/>
        <v>0</v>
      </c>
      <c r="AV246" s="326">
        <f t="shared" si="331"/>
        <v>0</v>
      </c>
      <c r="AW246" s="326">
        <f t="shared" si="331"/>
        <v>0</v>
      </c>
      <c r="AX246" s="326">
        <f t="shared" si="331"/>
        <v>0</v>
      </c>
      <c r="AY246" s="326">
        <f t="shared" si="331"/>
        <v>0</v>
      </c>
      <c r="AZ246" s="326">
        <f t="shared" si="332"/>
        <v>0</v>
      </c>
      <c r="BA246" s="326">
        <f t="shared" si="332"/>
        <v>0</v>
      </c>
      <c r="BB246" s="326">
        <f t="shared" si="332"/>
        <v>0</v>
      </c>
      <c r="BC246" s="326">
        <f t="shared" si="332"/>
        <v>0</v>
      </c>
      <c r="BD246" s="329">
        <f t="shared" si="332"/>
        <v>0</v>
      </c>
      <c r="BE246" s="329">
        <f t="shared" si="332"/>
        <v>0</v>
      </c>
      <c r="BF246" s="329">
        <f t="shared" si="332"/>
        <v>0</v>
      </c>
      <c r="BG246" s="329">
        <f t="shared" si="332"/>
        <v>0</v>
      </c>
      <c r="BH246" s="329">
        <f t="shared" si="332"/>
        <v>0</v>
      </c>
      <c r="BI246" s="329">
        <f t="shared" si="332"/>
        <v>0</v>
      </c>
      <c r="BJ246" s="329">
        <f t="shared" si="333"/>
        <v>0</v>
      </c>
      <c r="BK246" s="329">
        <f t="shared" si="333"/>
        <v>0</v>
      </c>
      <c r="BL246" s="329">
        <f t="shared" si="333"/>
        <v>0</v>
      </c>
      <c r="BM246" s="329">
        <f t="shared" si="333"/>
        <v>0</v>
      </c>
      <c r="BN246" s="329">
        <f t="shared" si="333"/>
        <v>0</v>
      </c>
      <c r="BO246" s="329">
        <f t="shared" si="333"/>
        <v>0</v>
      </c>
      <c r="BP246" s="329">
        <f t="shared" si="333"/>
        <v>0</v>
      </c>
      <c r="BQ246" s="329">
        <f t="shared" si="333"/>
        <v>0</v>
      </c>
      <c r="BR246" s="329">
        <f t="shared" si="333"/>
        <v>0</v>
      </c>
      <c r="BS246" s="329">
        <f t="shared" si="333"/>
        <v>0</v>
      </c>
      <c r="BT246" s="329">
        <f t="shared" si="334"/>
        <v>0</v>
      </c>
      <c r="BU246" s="329">
        <f t="shared" si="334"/>
        <v>0</v>
      </c>
      <c r="BV246" s="329">
        <f t="shared" si="334"/>
        <v>0</v>
      </c>
      <c r="BW246" s="329">
        <f t="shared" si="334"/>
        <v>0</v>
      </c>
      <c r="BX246" s="329">
        <f t="shared" si="334"/>
        <v>0</v>
      </c>
      <c r="BY246" s="329">
        <f t="shared" si="334"/>
        <v>0</v>
      </c>
      <c r="BZ246" s="329">
        <f t="shared" si="334"/>
        <v>0</v>
      </c>
      <c r="CA246" s="329">
        <f t="shared" si="334"/>
        <v>0</v>
      </c>
      <c r="CB246" s="329">
        <f t="shared" si="334"/>
        <v>0</v>
      </c>
      <c r="CC246" s="329">
        <f t="shared" si="334"/>
        <v>0</v>
      </c>
      <c r="CD246" s="329">
        <f t="shared" si="335"/>
        <v>0</v>
      </c>
      <c r="CE246" s="329">
        <f t="shared" si="335"/>
        <v>0</v>
      </c>
      <c r="CF246" s="329">
        <f t="shared" si="335"/>
        <v>0</v>
      </c>
      <c r="CG246" s="329">
        <f t="shared" si="335"/>
        <v>0</v>
      </c>
      <c r="CH246" s="329">
        <f t="shared" si="335"/>
        <v>0</v>
      </c>
      <c r="CI246" s="329">
        <f t="shared" si="335"/>
        <v>0</v>
      </c>
      <c r="CJ246" s="329">
        <f t="shared" si="335"/>
        <v>0</v>
      </c>
      <c r="CK246" s="329">
        <f t="shared" si="335"/>
        <v>0</v>
      </c>
      <c r="CL246" s="329">
        <f t="shared" si="335"/>
        <v>0</v>
      </c>
      <c r="CM246" s="329">
        <f t="shared" si="335"/>
        <v>0</v>
      </c>
      <c r="CN246" s="329">
        <f t="shared" si="336"/>
        <v>0</v>
      </c>
      <c r="CO246" s="329">
        <f t="shared" si="336"/>
        <v>0</v>
      </c>
      <c r="CP246" s="329">
        <f t="shared" si="336"/>
        <v>0</v>
      </c>
      <c r="CQ246" s="329">
        <f t="shared" si="336"/>
        <v>0</v>
      </c>
      <c r="CR246" s="329">
        <f t="shared" si="336"/>
        <v>0</v>
      </c>
      <c r="CS246" s="329">
        <f t="shared" si="336"/>
        <v>0</v>
      </c>
      <c r="CT246" s="329">
        <f t="shared" si="336"/>
        <v>0</v>
      </c>
      <c r="CU246" s="329">
        <f t="shared" si="336"/>
        <v>0</v>
      </c>
      <c r="CV246" s="329">
        <f t="shared" si="336"/>
        <v>0</v>
      </c>
      <c r="CW246" s="329">
        <f t="shared" si="336"/>
        <v>0</v>
      </c>
      <c r="CX246" s="329">
        <f t="shared" si="337"/>
        <v>0</v>
      </c>
      <c r="CY246" s="329">
        <f t="shared" si="337"/>
        <v>0</v>
      </c>
      <c r="CZ246" s="329">
        <f t="shared" si="337"/>
        <v>0</v>
      </c>
      <c r="DA246" s="329">
        <f t="shared" si="337"/>
        <v>0</v>
      </c>
      <c r="DB246" s="329">
        <f t="shared" si="337"/>
        <v>0</v>
      </c>
      <c r="DC246" s="329">
        <f t="shared" si="337"/>
        <v>0</v>
      </c>
      <c r="DD246" s="329">
        <f t="shared" si="337"/>
        <v>0</v>
      </c>
      <c r="DE246" s="329">
        <f t="shared" si="337"/>
        <v>0</v>
      </c>
      <c r="DF246" s="329">
        <f t="shared" si="337"/>
        <v>0</v>
      </c>
      <c r="DG246" s="329">
        <f t="shared" si="337"/>
        <v>0</v>
      </c>
      <c r="DH246" s="329">
        <f t="shared" si="338"/>
        <v>0</v>
      </c>
      <c r="DI246" s="329">
        <f t="shared" si="338"/>
        <v>0</v>
      </c>
      <c r="DJ246" s="329">
        <f t="shared" si="338"/>
        <v>0</v>
      </c>
      <c r="DK246" s="329">
        <f t="shared" si="338"/>
        <v>0</v>
      </c>
      <c r="DL246" s="329">
        <f t="shared" si="338"/>
        <v>0</v>
      </c>
      <c r="DM246" s="329">
        <f t="shared" si="338"/>
        <v>0</v>
      </c>
      <c r="DN246" s="329">
        <f t="shared" si="338"/>
        <v>0</v>
      </c>
      <c r="DO246" s="329">
        <f t="shared" si="338"/>
        <v>0</v>
      </c>
      <c r="DP246" s="329">
        <f t="shared" si="338"/>
        <v>0</v>
      </c>
      <c r="DQ246" s="217"/>
      <c r="DR246" s="217"/>
      <c r="DS246" s="217"/>
      <c r="DT246" s="217"/>
    </row>
    <row r="247" spans="1:124" x14ac:dyDescent="0.3">
      <c r="A247" s="217"/>
      <c r="B247" s="221" t="s">
        <v>616</v>
      </c>
      <c r="C247" s="217"/>
      <c r="D247" s="217"/>
      <c r="E247" s="217"/>
      <c r="F247" s="217"/>
      <c r="G247" s="217"/>
      <c r="H247" s="217"/>
      <c r="I247" s="217"/>
      <c r="J247" s="217"/>
      <c r="L247" s="326">
        <f t="shared" si="328"/>
        <v>0</v>
      </c>
      <c r="M247" s="326">
        <f t="shared" si="328"/>
        <v>0</v>
      </c>
      <c r="N247" s="326">
        <f t="shared" si="328"/>
        <v>0</v>
      </c>
      <c r="O247" s="326">
        <f t="shared" si="328"/>
        <v>0</v>
      </c>
      <c r="P247" s="326">
        <f t="shared" si="328"/>
        <v>0</v>
      </c>
      <c r="Q247" s="326">
        <f t="shared" si="328"/>
        <v>0</v>
      </c>
      <c r="R247" s="326">
        <f t="shared" si="328"/>
        <v>0</v>
      </c>
      <c r="S247" s="326">
        <f t="shared" si="328"/>
        <v>0</v>
      </c>
      <c r="T247" s="326">
        <f t="shared" si="328"/>
        <v>0</v>
      </c>
      <c r="U247" s="326">
        <f t="shared" si="328"/>
        <v>0</v>
      </c>
      <c r="V247" s="326">
        <f t="shared" si="329"/>
        <v>0</v>
      </c>
      <c r="W247" s="326">
        <f t="shared" si="329"/>
        <v>0</v>
      </c>
      <c r="X247" s="326">
        <f t="shared" si="329"/>
        <v>0</v>
      </c>
      <c r="Y247" s="326">
        <f t="shared" si="329"/>
        <v>0</v>
      </c>
      <c r="Z247" s="326">
        <f t="shared" si="329"/>
        <v>0</v>
      </c>
      <c r="AA247" s="326">
        <f t="shared" si="329"/>
        <v>0</v>
      </c>
      <c r="AB247" s="326">
        <f t="shared" si="329"/>
        <v>0</v>
      </c>
      <c r="AC247" s="326">
        <f t="shared" si="329"/>
        <v>0</v>
      </c>
      <c r="AD247" s="326">
        <f t="shared" si="329"/>
        <v>0</v>
      </c>
      <c r="AE247" s="326">
        <f t="shared" si="329"/>
        <v>0</v>
      </c>
      <c r="AF247" s="326">
        <f t="shared" si="330"/>
        <v>0</v>
      </c>
      <c r="AG247" s="326">
        <f t="shared" si="330"/>
        <v>0</v>
      </c>
      <c r="AH247" s="326">
        <f t="shared" si="330"/>
        <v>0</v>
      </c>
      <c r="AI247" s="326">
        <f t="shared" si="330"/>
        <v>0</v>
      </c>
      <c r="AJ247" s="326">
        <f t="shared" si="330"/>
        <v>0</v>
      </c>
      <c r="AK247" s="326">
        <f t="shared" si="330"/>
        <v>0</v>
      </c>
      <c r="AL247" s="326">
        <f t="shared" si="330"/>
        <v>0</v>
      </c>
      <c r="AM247" s="326">
        <f t="shared" si="330"/>
        <v>0</v>
      </c>
      <c r="AN247" s="326">
        <f t="shared" si="330"/>
        <v>0</v>
      </c>
      <c r="AO247" s="326">
        <f t="shared" si="330"/>
        <v>0</v>
      </c>
      <c r="AP247" s="326">
        <f t="shared" si="331"/>
        <v>0</v>
      </c>
      <c r="AQ247" s="326">
        <f t="shared" si="331"/>
        <v>0</v>
      </c>
      <c r="AR247" s="326">
        <f t="shared" si="331"/>
        <v>0</v>
      </c>
      <c r="AS247" s="326">
        <f t="shared" si="331"/>
        <v>0</v>
      </c>
      <c r="AT247" s="326">
        <f t="shared" si="331"/>
        <v>0</v>
      </c>
      <c r="AU247" s="326">
        <f t="shared" si="331"/>
        <v>0</v>
      </c>
      <c r="AV247" s="326">
        <f t="shared" si="331"/>
        <v>0</v>
      </c>
      <c r="AW247" s="326">
        <f t="shared" si="331"/>
        <v>0</v>
      </c>
      <c r="AX247" s="326">
        <f t="shared" si="331"/>
        <v>0</v>
      </c>
      <c r="AY247" s="326">
        <f t="shared" si="331"/>
        <v>0</v>
      </c>
      <c r="AZ247" s="326">
        <f t="shared" si="332"/>
        <v>0</v>
      </c>
      <c r="BA247" s="326">
        <f t="shared" si="332"/>
        <v>0</v>
      </c>
      <c r="BB247" s="326">
        <f t="shared" si="332"/>
        <v>0</v>
      </c>
      <c r="BC247" s="326">
        <f t="shared" si="332"/>
        <v>0</v>
      </c>
      <c r="BD247" s="329">
        <f t="shared" si="332"/>
        <v>0</v>
      </c>
      <c r="BE247" s="329">
        <f t="shared" si="332"/>
        <v>0</v>
      </c>
      <c r="BF247" s="329">
        <f t="shared" si="332"/>
        <v>0</v>
      </c>
      <c r="BG247" s="329">
        <f t="shared" si="332"/>
        <v>0</v>
      </c>
      <c r="BH247" s="329">
        <f t="shared" si="332"/>
        <v>0</v>
      </c>
      <c r="BI247" s="329">
        <f t="shared" si="332"/>
        <v>0</v>
      </c>
      <c r="BJ247" s="329">
        <f t="shared" si="333"/>
        <v>0</v>
      </c>
      <c r="BK247" s="329">
        <f t="shared" si="333"/>
        <v>0</v>
      </c>
      <c r="BL247" s="329">
        <f t="shared" si="333"/>
        <v>0</v>
      </c>
      <c r="BM247" s="329">
        <f t="shared" si="333"/>
        <v>0</v>
      </c>
      <c r="BN247" s="329">
        <f t="shared" si="333"/>
        <v>0</v>
      </c>
      <c r="BO247" s="329">
        <f t="shared" si="333"/>
        <v>0</v>
      </c>
      <c r="BP247" s="329">
        <f t="shared" si="333"/>
        <v>0</v>
      </c>
      <c r="BQ247" s="329">
        <f t="shared" si="333"/>
        <v>0</v>
      </c>
      <c r="BR247" s="329">
        <f t="shared" si="333"/>
        <v>0</v>
      </c>
      <c r="BS247" s="329">
        <f t="shared" si="333"/>
        <v>0</v>
      </c>
      <c r="BT247" s="329">
        <f t="shared" si="334"/>
        <v>0</v>
      </c>
      <c r="BU247" s="329">
        <f t="shared" si="334"/>
        <v>0</v>
      </c>
      <c r="BV247" s="329">
        <f t="shared" si="334"/>
        <v>0</v>
      </c>
      <c r="BW247" s="329">
        <f t="shared" si="334"/>
        <v>0</v>
      </c>
      <c r="BX247" s="329">
        <f t="shared" si="334"/>
        <v>0</v>
      </c>
      <c r="BY247" s="329">
        <f t="shared" si="334"/>
        <v>0</v>
      </c>
      <c r="BZ247" s="329">
        <f t="shared" si="334"/>
        <v>0</v>
      </c>
      <c r="CA247" s="329">
        <f t="shared" si="334"/>
        <v>0</v>
      </c>
      <c r="CB247" s="329">
        <f t="shared" si="334"/>
        <v>0</v>
      </c>
      <c r="CC247" s="329">
        <f t="shared" si="334"/>
        <v>0</v>
      </c>
      <c r="CD247" s="329">
        <f t="shared" si="335"/>
        <v>0</v>
      </c>
      <c r="CE247" s="329">
        <f t="shared" si="335"/>
        <v>0</v>
      </c>
      <c r="CF247" s="329">
        <f t="shared" si="335"/>
        <v>0</v>
      </c>
      <c r="CG247" s="329">
        <f t="shared" si="335"/>
        <v>0</v>
      </c>
      <c r="CH247" s="329">
        <f t="shared" si="335"/>
        <v>0</v>
      </c>
      <c r="CI247" s="329">
        <f t="shared" si="335"/>
        <v>0</v>
      </c>
      <c r="CJ247" s="329">
        <f t="shared" si="335"/>
        <v>0</v>
      </c>
      <c r="CK247" s="329">
        <f t="shared" si="335"/>
        <v>0</v>
      </c>
      <c r="CL247" s="329">
        <f t="shared" si="335"/>
        <v>0</v>
      </c>
      <c r="CM247" s="329">
        <f t="shared" si="335"/>
        <v>0</v>
      </c>
      <c r="CN247" s="329">
        <f t="shared" si="336"/>
        <v>0</v>
      </c>
      <c r="CO247" s="329">
        <f t="shared" si="336"/>
        <v>0</v>
      </c>
      <c r="CP247" s="329">
        <f t="shared" si="336"/>
        <v>0</v>
      </c>
      <c r="CQ247" s="329">
        <f t="shared" si="336"/>
        <v>0</v>
      </c>
      <c r="CR247" s="329">
        <f t="shared" si="336"/>
        <v>0</v>
      </c>
      <c r="CS247" s="329">
        <f t="shared" si="336"/>
        <v>0</v>
      </c>
      <c r="CT247" s="329">
        <f t="shared" si="336"/>
        <v>0</v>
      </c>
      <c r="CU247" s="329">
        <f t="shared" si="336"/>
        <v>0</v>
      </c>
      <c r="CV247" s="329">
        <f t="shared" si="336"/>
        <v>0</v>
      </c>
      <c r="CW247" s="329">
        <f t="shared" si="336"/>
        <v>0</v>
      </c>
      <c r="CX247" s="329">
        <f t="shared" si="337"/>
        <v>0</v>
      </c>
      <c r="CY247" s="329">
        <f t="shared" si="337"/>
        <v>0</v>
      </c>
      <c r="CZ247" s="329">
        <f t="shared" si="337"/>
        <v>0</v>
      </c>
      <c r="DA247" s="329">
        <f t="shared" si="337"/>
        <v>0</v>
      </c>
      <c r="DB247" s="329">
        <f t="shared" si="337"/>
        <v>0</v>
      </c>
      <c r="DC247" s="329">
        <f t="shared" si="337"/>
        <v>0</v>
      </c>
      <c r="DD247" s="329">
        <f t="shared" si="337"/>
        <v>0</v>
      </c>
      <c r="DE247" s="329">
        <f t="shared" si="337"/>
        <v>0</v>
      </c>
      <c r="DF247" s="329">
        <f t="shared" si="337"/>
        <v>0</v>
      </c>
      <c r="DG247" s="329">
        <f t="shared" si="337"/>
        <v>0</v>
      </c>
      <c r="DH247" s="329">
        <f t="shared" si="338"/>
        <v>0</v>
      </c>
      <c r="DI247" s="329">
        <f t="shared" si="338"/>
        <v>0</v>
      </c>
      <c r="DJ247" s="329">
        <f t="shared" si="338"/>
        <v>0</v>
      </c>
      <c r="DK247" s="329">
        <f t="shared" si="338"/>
        <v>0</v>
      </c>
      <c r="DL247" s="329">
        <f t="shared" si="338"/>
        <v>0</v>
      </c>
      <c r="DM247" s="329">
        <f t="shared" si="338"/>
        <v>0</v>
      </c>
      <c r="DN247" s="329">
        <f t="shared" si="338"/>
        <v>0</v>
      </c>
      <c r="DO247" s="329">
        <f t="shared" si="338"/>
        <v>0</v>
      </c>
      <c r="DP247" s="329">
        <f t="shared" si="338"/>
        <v>0</v>
      </c>
      <c r="DQ247" s="217"/>
      <c r="DR247" s="217"/>
      <c r="DS247" s="217"/>
      <c r="DT247" s="217"/>
    </row>
    <row r="248" spans="1:124" s="506" customFormat="1" x14ac:dyDescent="0.3">
      <c r="A248" s="217"/>
      <c r="B248" s="221" t="s">
        <v>618</v>
      </c>
      <c r="C248" s="217"/>
      <c r="D248" s="217"/>
      <c r="E248" s="217"/>
      <c r="F248" s="217"/>
      <c r="G248" s="217"/>
      <c r="H248" s="217"/>
      <c r="I248" s="217"/>
      <c r="J248" s="217"/>
      <c r="L248" s="326">
        <f t="shared" si="328"/>
        <v>0</v>
      </c>
      <c r="M248" s="326">
        <f t="shared" si="328"/>
        <v>0</v>
      </c>
      <c r="N248" s="326">
        <f t="shared" si="328"/>
        <v>0</v>
      </c>
      <c r="O248" s="326">
        <f t="shared" si="328"/>
        <v>0</v>
      </c>
      <c r="P248" s="326">
        <f t="shared" si="328"/>
        <v>0</v>
      </c>
      <c r="Q248" s="326">
        <f t="shared" si="328"/>
        <v>0</v>
      </c>
      <c r="R248" s="326">
        <f t="shared" si="328"/>
        <v>0</v>
      </c>
      <c r="S248" s="326">
        <f t="shared" si="328"/>
        <v>0</v>
      </c>
      <c r="T248" s="326">
        <f t="shared" si="328"/>
        <v>0</v>
      </c>
      <c r="U248" s="326">
        <f t="shared" si="328"/>
        <v>0</v>
      </c>
      <c r="V248" s="326">
        <f t="shared" si="329"/>
        <v>0</v>
      </c>
      <c r="W248" s="326">
        <f t="shared" si="329"/>
        <v>0</v>
      </c>
      <c r="X248" s="326">
        <f t="shared" si="329"/>
        <v>0</v>
      </c>
      <c r="Y248" s="326">
        <f t="shared" si="329"/>
        <v>0</v>
      </c>
      <c r="Z248" s="326">
        <f t="shared" si="329"/>
        <v>0</v>
      </c>
      <c r="AA248" s="326">
        <f t="shared" si="329"/>
        <v>0</v>
      </c>
      <c r="AB248" s="326">
        <f t="shared" si="329"/>
        <v>0</v>
      </c>
      <c r="AC248" s="326">
        <f t="shared" si="329"/>
        <v>0</v>
      </c>
      <c r="AD248" s="326">
        <f t="shared" si="329"/>
        <v>0</v>
      </c>
      <c r="AE248" s="326">
        <f t="shared" si="329"/>
        <v>0</v>
      </c>
      <c r="AF248" s="326">
        <f t="shared" si="330"/>
        <v>0</v>
      </c>
      <c r="AG248" s="326">
        <f t="shared" si="330"/>
        <v>0</v>
      </c>
      <c r="AH248" s="326">
        <f t="shared" si="330"/>
        <v>0</v>
      </c>
      <c r="AI248" s="326">
        <f t="shared" si="330"/>
        <v>0</v>
      </c>
      <c r="AJ248" s="326">
        <f t="shared" si="330"/>
        <v>0</v>
      </c>
      <c r="AK248" s="326">
        <f t="shared" si="330"/>
        <v>0</v>
      </c>
      <c r="AL248" s="326">
        <f t="shared" si="330"/>
        <v>0</v>
      </c>
      <c r="AM248" s="326">
        <f t="shared" si="330"/>
        <v>0</v>
      </c>
      <c r="AN248" s="326">
        <f t="shared" si="330"/>
        <v>0</v>
      </c>
      <c r="AO248" s="326">
        <f t="shared" si="330"/>
        <v>0</v>
      </c>
      <c r="AP248" s="326">
        <f t="shared" si="331"/>
        <v>0</v>
      </c>
      <c r="AQ248" s="326">
        <f t="shared" si="331"/>
        <v>0</v>
      </c>
      <c r="AR248" s="326">
        <f t="shared" si="331"/>
        <v>0</v>
      </c>
      <c r="AS248" s="326">
        <f t="shared" si="331"/>
        <v>0</v>
      </c>
      <c r="AT248" s="326">
        <f t="shared" si="331"/>
        <v>0</v>
      </c>
      <c r="AU248" s="326">
        <f t="shared" si="331"/>
        <v>0</v>
      </c>
      <c r="AV248" s="326">
        <f t="shared" si="331"/>
        <v>0</v>
      </c>
      <c r="AW248" s="326">
        <f t="shared" si="331"/>
        <v>0</v>
      </c>
      <c r="AX248" s="326">
        <f t="shared" si="331"/>
        <v>0</v>
      </c>
      <c r="AY248" s="326">
        <f t="shared" si="331"/>
        <v>0</v>
      </c>
      <c r="AZ248" s="326">
        <f t="shared" si="332"/>
        <v>0</v>
      </c>
      <c r="BA248" s="326">
        <f t="shared" si="332"/>
        <v>0</v>
      </c>
      <c r="BB248" s="326">
        <f t="shared" si="332"/>
        <v>0</v>
      </c>
      <c r="BC248" s="326">
        <f t="shared" si="332"/>
        <v>0</v>
      </c>
      <c r="BD248" s="329">
        <f t="shared" si="332"/>
        <v>0</v>
      </c>
      <c r="BE248" s="329">
        <f t="shared" si="332"/>
        <v>0</v>
      </c>
      <c r="BF248" s="329">
        <f t="shared" si="332"/>
        <v>0</v>
      </c>
      <c r="BG248" s="329">
        <f t="shared" si="332"/>
        <v>0</v>
      </c>
      <c r="BH248" s="329">
        <f t="shared" si="332"/>
        <v>0</v>
      </c>
      <c r="BI248" s="329">
        <f t="shared" si="332"/>
        <v>0</v>
      </c>
      <c r="BJ248" s="329">
        <f t="shared" si="333"/>
        <v>0</v>
      </c>
      <c r="BK248" s="329">
        <f t="shared" si="333"/>
        <v>0</v>
      </c>
      <c r="BL248" s="329">
        <f t="shared" si="333"/>
        <v>0</v>
      </c>
      <c r="BM248" s="329">
        <f t="shared" si="333"/>
        <v>0</v>
      </c>
      <c r="BN248" s="329">
        <f t="shared" si="333"/>
        <v>0</v>
      </c>
      <c r="BO248" s="329">
        <f t="shared" si="333"/>
        <v>0</v>
      </c>
      <c r="BP248" s="329">
        <f t="shared" si="333"/>
        <v>0</v>
      </c>
      <c r="BQ248" s="329">
        <f t="shared" si="333"/>
        <v>0</v>
      </c>
      <c r="BR248" s="329">
        <f t="shared" si="333"/>
        <v>0</v>
      </c>
      <c r="BS248" s="329">
        <f t="shared" si="333"/>
        <v>0</v>
      </c>
      <c r="BT248" s="329">
        <f t="shared" si="334"/>
        <v>0</v>
      </c>
      <c r="BU248" s="329">
        <f t="shared" si="334"/>
        <v>0</v>
      </c>
      <c r="BV248" s="329">
        <f t="shared" si="334"/>
        <v>0</v>
      </c>
      <c r="BW248" s="329">
        <f t="shared" si="334"/>
        <v>0</v>
      </c>
      <c r="BX248" s="329">
        <f t="shared" si="334"/>
        <v>0</v>
      </c>
      <c r="BY248" s="329">
        <f t="shared" si="334"/>
        <v>0</v>
      </c>
      <c r="BZ248" s="329">
        <f t="shared" si="334"/>
        <v>0</v>
      </c>
      <c r="CA248" s="329">
        <f t="shared" si="334"/>
        <v>0</v>
      </c>
      <c r="CB248" s="329">
        <f t="shared" si="334"/>
        <v>0</v>
      </c>
      <c r="CC248" s="329">
        <f t="shared" si="334"/>
        <v>0</v>
      </c>
      <c r="CD248" s="329">
        <f t="shared" si="335"/>
        <v>0</v>
      </c>
      <c r="CE248" s="329">
        <f t="shared" si="335"/>
        <v>0</v>
      </c>
      <c r="CF248" s="329">
        <f t="shared" si="335"/>
        <v>0</v>
      </c>
      <c r="CG248" s="329">
        <f t="shared" si="335"/>
        <v>0</v>
      </c>
      <c r="CH248" s="329">
        <f t="shared" si="335"/>
        <v>0</v>
      </c>
      <c r="CI248" s="329">
        <f t="shared" si="335"/>
        <v>0</v>
      </c>
      <c r="CJ248" s="329">
        <f t="shared" si="335"/>
        <v>0</v>
      </c>
      <c r="CK248" s="329">
        <f t="shared" si="335"/>
        <v>0</v>
      </c>
      <c r="CL248" s="329">
        <f t="shared" si="335"/>
        <v>0</v>
      </c>
      <c r="CM248" s="329">
        <f t="shared" si="335"/>
        <v>0</v>
      </c>
      <c r="CN248" s="329">
        <f t="shared" si="336"/>
        <v>0</v>
      </c>
      <c r="CO248" s="329">
        <f t="shared" si="336"/>
        <v>0</v>
      </c>
      <c r="CP248" s="329">
        <f t="shared" si="336"/>
        <v>0</v>
      </c>
      <c r="CQ248" s="329">
        <f t="shared" si="336"/>
        <v>0</v>
      </c>
      <c r="CR248" s="329">
        <f t="shared" si="336"/>
        <v>0</v>
      </c>
      <c r="CS248" s="329">
        <f t="shared" si="336"/>
        <v>0</v>
      </c>
      <c r="CT248" s="329">
        <f t="shared" si="336"/>
        <v>0</v>
      </c>
      <c r="CU248" s="329">
        <f t="shared" si="336"/>
        <v>0</v>
      </c>
      <c r="CV248" s="329">
        <f t="shared" si="336"/>
        <v>0</v>
      </c>
      <c r="CW248" s="329">
        <f t="shared" si="336"/>
        <v>0</v>
      </c>
      <c r="CX248" s="329">
        <f t="shared" si="337"/>
        <v>0</v>
      </c>
      <c r="CY248" s="329">
        <f t="shared" si="337"/>
        <v>0</v>
      </c>
      <c r="CZ248" s="329">
        <f t="shared" si="337"/>
        <v>0</v>
      </c>
      <c r="DA248" s="329">
        <f t="shared" si="337"/>
        <v>0</v>
      </c>
      <c r="DB248" s="329">
        <f t="shared" si="337"/>
        <v>0</v>
      </c>
      <c r="DC248" s="329">
        <f t="shared" si="337"/>
        <v>0</v>
      </c>
      <c r="DD248" s="329">
        <f t="shared" si="337"/>
        <v>0</v>
      </c>
      <c r="DE248" s="329">
        <f t="shared" si="337"/>
        <v>0</v>
      </c>
      <c r="DF248" s="329">
        <f t="shared" si="337"/>
        <v>0</v>
      </c>
      <c r="DG248" s="329">
        <f t="shared" si="337"/>
        <v>0</v>
      </c>
      <c r="DH248" s="329">
        <f t="shared" si="338"/>
        <v>0</v>
      </c>
      <c r="DI248" s="329">
        <f t="shared" si="338"/>
        <v>0</v>
      </c>
      <c r="DJ248" s="329">
        <f t="shared" si="338"/>
        <v>0</v>
      </c>
      <c r="DK248" s="329">
        <f t="shared" si="338"/>
        <v>0</v>
      </c>
      <c r="DL248" s="329">
        <f t="shared" si="338"/>
        <v>0</v>
      </c>
      <c r="DM248" s="329">
        <f t="shared" si="338"/>
        <v>0</v>
      </c>
      <c r="DN248" s="329">
        <f t="shared" si="338"/>
        <v>0</v>
      </c>
      <c r="DO248" s="329">
        <f t="shared" si="338"/>
        <v>0</v>
      </c>
      <c r="DP248" s="329">
        <f t="shared" si="338"/>
        <v>0</v>
      </c>
      <c r="DQ248" s="217"/>
      <c r="DR248" s="217"/>
      <c r="DS248" s="217"/>
      <c r="DT248" s="217"/>
    </row>
    <row r="249" spans="1:124" s="506" customFormat="1" x14ac:dyDescent="0.3">
      <c r="A249" s="217"/>
      <c r="B249" s="221" t="s">
        <v>528</v>
      </c>
      <c r="C249" s="217"/>
      <c r="D249" s="217"/>
      <c r="E249" s="217"/>
      <c r="F249" s="217"/>
      <c r="G249" s="217"/>
      <c r="H249" s="217"/>
      <c r="I249" s="217"/>
      <c r="J249" s="217"/>
      <c r="L249" s="326">
        <f t="shared" si="328"/>
        <v>0</v>
      </c>
      <c r="M249" s="326">
        <f t="shared" si="328"/>
        <v>0</v>
      </c>
      <c r="N249" s="326">
        <f t="shared" si="328"/>
        <v>0</v>
      </c>
      <c r="O249" s="326">
        <f t="shared" si="328"/>
        <v>0</v>
      </c>
      <c r="P249" s="326">
        <f t="shared" si="328"/>
        <v>0</v>
      </c>
      <c r="Q249" s="326">
        <f t="shared" si="328"/>
        <v>0</v>
      </c>
      <c r="R249" s="326">
        <f t="shared" si="328"/>
        <v>0</v>
      </c>
      <c r="S249" s="326">
        <f t="shared" si="328"/>
        <v>0</v>
      </c>
      <c r="T249" s="326">
        <f t="shared" si="328"/>
        <v>0</v>
      </c>
      <c r="U249" s="326">
        <f t="shared" si="328"/>
        <v>0</v>
      </c>
      <c r="V249" s="326">
        <f t="shared" si="329"/>
        <v>0</v>
      </c>
      <c r="W249" s="326">
        <f t="shared" si="329"/>
        <v>0</v>
      </c>
      <c r="X249" s="326">
        <f t="shared" si="329"/>
        <v>0</v>
      </c>
      <c r="Y249" s="326">
        <f t="shared" si="329"/>
        <v>0</v>
      </c>
      <c r="Z249" s="326">
        <f t="shared" si="329"/>
        <v>0</v>
      </c>
      <c r="AA249" s="326">
        <f t="shared" si="329"/>
        <v>0</v>
      </c>
      <c r="AB249" s="326">
        <f t="shared" si="329"/>
        <v>0</v>
      </c>
      <c r="AC249" s="326">
        <f t="shared" si="329"/>
        <v>0</v>
      </c>
      <c r="AD249" s="326">
        <f t="shared" si="329"/>
        <v>0</v>
      </c>
      <c r="AE249" s="326">
        <f t="shared" si="329"/>
        <v>0</v>
      </c>
      <c r="AF249" s="326">
        <f t="shared" si="330"/>
        <v>0</v>
      </c>
      <c r="AG249" s="326">
        <f t="shared" si="330"/>
        <v>0</v>
      </c>
      <c r="AH249" s="326">
        <f t="shared" si="330"/>
        <v>0</v>
      </c>
      <c r="AI249" s="326">
        <f t="shared" si="330"/>
        <v>0</v>
      </c>
      <c r="AJ249" s="326">
        <f t="shared" si="330"/>
        <v>0</v>
      </c>
      <c r="AK249" s="326">
        <f t="shared" si="330"/>
        <v>0</v>
      </c>
      <c r="AL249" s="326">
        <f t="shared" si="330"/>
        <v>0</v>
      </c>
      <c r="AM249" s="326">
        <f t="shared" si="330"/>
        <v>0</v>
      </c>
      <c r="AN249" s="326">
        <f t="shared" si="330"/>
        <v>0</v>
      </c>
      <c r="AO249" s="326">
        <f t="shared" si="330"/>
        <v>0</v>
      </c>
      <c r="AP249" s="326">
        <f t="shared" si="331"/>
        <v>0</v>
      </c>
      <c r="AQ249" s="326">
        <f t="shared" si="331"/>
        <v>0</v>
      </c>
      <c r="AR249" s="326">
        <f t="shared" si="331"/>
        <v>0</v>
      </c>
      <c r="AS249" s="326">
        <f t="shared" si="331"/>
        <v>0</v>
      </c>
      <c r="AT249" s="326">
        <f t="shared" si="331"/>
        <v>0</v>
      </c>
      <c r="AU249" s="326">
        <f t="shared" si="331"/>
        <v>0</v>
      </c>
      <c r="AV249" s="326">
        <f t="shared" si="331"/>
        <v>0</v>
      </c>
      <c r="AW249" s="326">
        <f t="shared" si="331"/>
        <v>0</v>
      </c>
      <c r="AX249" s="326">
        <f t="shared" si="331"/>
        <v>0</v>
      </c>
      <c r="AY249" s="326">
        <f t="shared" si="331"/>
        <v>0</v>
      </c>
      <c r="AZ249" s="326">
        <f t="shared" si="332"/>
        <v>0</v>
      </c>
      <c r="BA249" s="326">
        <f t="shared" si="332"/>
        <v>0</v>
      </c>
      <c r="BB249" s="326">
        <f t="shared" si="332"/>
        <v>0</v>
      </c>
      <c r="BC249" s="326">
        <f t="shared" si="332"/>
        <v>0</v>
      </c>
      <c r="BD249" s="329">
        <f t="shared" si="332"/>
        <v>0</v>
      </c>
      <c r="BE249" s="329">
        <f t="shared" si="332"/>
        <v>0</v>
      </c>
      <c r="BF249" s="329">
        <f t="shared" si="332"/>
        <v>0</v>
      </c>
      <c r="BG249" s="329">
        <f t="shared" si="332"/>
        <v>0</v>
      </c>
      <c r="BH249" s="329">
        <f t="shared" si="332"/>
        <v>0</v>
      </c>
      <c r="BI249" s="329">
        <f t="shared" si="332"/>
        <v>0</v>
      </c>
      <c r="BJ249" s="329">
        <f t="shared" si="333"/>
        <v>0</v>
      </c>
      <c r="BK249" s="329">
        <f t="shared" si="333"/>
        <v>0</v>
      </c>
      <c r="BL249" s="329">
        <f t="shared" si="333"/>
        <v>0</v>
      </c>
      <c r="BM249" s="329">
        <f t="shared" si="333"/>
        <v>0</v>
      </c>
      <c r="BN249" s="329">
        <f t="shared" si="333"/>
        <v>0</v>
      </c>
      <c r="BO249" s="329">
        <f t="shared" si="333"/>
        <v>0</v>
      </c>
      <c r="BP249" s="329">
        <f t="shared" si="333"/>
        <v>0</v>
      </c>
      <c r="BQ249" s="329">
        <f t="shared" si="333"/>
        <v>0</v>
      </c>
      <c r="BR249" s="329">
        <f t="shared" si="333"/>
        <v>0</v>
      </c>
      <c r="BS249" s="329">
        <f t="shared" si="333"/>
        <v>0</v>
      </c>
      <c r="BT249" s="329">
        <f t="shared" si="334"/>
        <v>0</v>
      </c>
      <c r="BU249" s="329">
        <f t="shared" si="334"/>
        <v>0</v>
      </c>
      <c r="BV249" s="329">
        <f t="shared" si="334"/>
        <v>0</v>
      </c>
      <c r="BW249" s="329">
        <f t="shared" si="334"/>
        <v>0</v>
      </c>
      <c r="BX249" s="329">
        <f t="shared" si="334"/>
        <v>0</v>
      </c>
      <c r="BY249" s="329">
        <f t="shared" si="334"/>
        <v>0</v>
      </c>
      <c r="BZ249" s="329">
        <f t="shared" si="334"/>
        <v>0</v>
      </c>
      <c r="CA249" s="329">
        <f t="shared" si="334"/>
        <v>0</v>
      </c>
      <c r="CB249" s="329">
        <f t="shared" si="334"/>
        <v>0</v>
      </c>
      <c r="CC249" s="329">
        <f t="shared" si="334"/>
        <v>0</v>
      </c>
      <c r="CD249" s="329">
        <f t="shared" si="335"/>
        <v>0</v>
      </c>
      <c r="CE249" s="329">
        <f t="shared" si="335"/>
        <v>0</v>
      </c>
      <c r="CF249" s="329">
        <f t="shared" si="335"/>
        <v>0</v>
      </c>
      <c r="CG249" s="329">
        <f t="shared" si="335"/>
        <v>0</v>
      </c>
      <c r="CH249" s="329">
        <f t="shared" si="335"/>
        <v>0</v>
      </c>
      <c r="CI249" s="329">
        <f t="shared" si="335"/>
        <v>0</v>
      </c>
      <c r="CJ249" s="329">
        <f t="shared" si="335"/>
        <v>0</v>
      </c>
      <c r="CK249" s="329">
        <f t="shared" si="335"/>
        <v>0</v>
      </c>
      <c r="CL249" s="329">
        <f t="shared" si="335"/>
        <v>0</v>
      </c>
      <c r="CM249" s="329">
        <f t="shared" si="335"/>
        <v>0</v>
      </c>
      <c r="CN249" s="329">
        <f t="shared" si="336"/>
        <v>0</v>
      </c>
      <c r="CO249" s="329">
        <f t="shared" si="336"/>
        <v>0</v>
      </c>
      <c r="CP249" s="329">
        <f t="shared" si="336"/>
        <v>0</v>
      </c>
      <c r="CQ249" s="329">
        <f t="shared" si="336"/>
        <v>0</v>
      </c>
      <c r="CR249" s="329">
        <f t="shared" si="336"/>
        <v>0</v>
      </c>
      <c r="CS249" s="329">
        <f t="shared" si="336"/>
        <v>0</v>
      </c>
      <c r="CT249" s="329">
        <f t="shared" si="336"/>
        <v>0</v>
      </c>
      <c r="CU249" s="329">
        <f t="shared" si="336"/>
        <v>0</v>
      </c>
      <c r="CV249" s="329">
        <f t="shared" si="336"/>
        <v>0</v>
      </c>
      <c r="CW249" s="329">
        <f t="shared" si="336"/>
        <v>0</v>
      </c>
      <c r="CX249" s="329">
        <f t="shared" si="337"/>
        <v>0</v>
      </c>
      <c r="CY249" s="329">
        <f t="shared" si="337"/>
        <v>0</v>
      </c>
      <c r="CZ249" s="329">
        <f t="shared" si="337"/>
        <v>0</v>
      </c>
      <c r="DA249" s="329">
        <f t="shared" si="337"/>
        <v>0</v>
      </c>
      <c r="DB249" s="329">
        <f t="shared" si="337"/>
        <v>0</v>
      </c>
      <c r="DC249" s="329">
        <f t="shared" si="337"/>
        <v>0</v>
      </c>
      <c r="DD249" s="329">
        <f t="shared" si="337"/>
        <v>0</v>
      </c>
      <c r="DE249" s="329">
        <f t="shared" si="337"/>
        <v>0</v>
      </c>
      <c r="DF249" s="329">
        <f t="shared" si="337"/>
        <v>0</v>
      </c>
      <c r="DG249" s="329">
        <f t="shared" si="337"/>
        <v>0</v>
      </c>
      <c r="DH249" s="329">
        <f t="shared" si="338"/>
        <v>0</v>
      </c>
      <c r="DI249" s="329">
        <f t="shared" si="338"/>
        <v>0</v>
      </c>
      <c r="DJ249" s="329">
        <f t="shared" si="338"/>
        <v>0</v>
      </c>
      <c r="DK249" s="329">
        <f t="shared" si="338"/>
        <v>0</v>
      </c>
      <c r="DL249" s="329">
        <f t="shared" si="338"/>
        <v>0</v>
      </c>
      <c r="DM249" s="329">
        <f t="shared" si="338"/>
        <v>0</v>
      </c>
      <c r="DN249" s="329">
        <f t="shared" si="338"/>
        <v>0</v>
      </c>
      <c r="DO249" s="329">
        <f t="shared" si="338"/>
        <v>0</v>
      </c>
      <c r="DP249" s="329">
        <f t="shared" si="338"/>
        <v>0</v>
      </c>
      <c r="DQ249" s="217"/>
      <c r="DR249" s="217"/>
      <c r="DS249" s="217"/>
      <c r="DT249" s="217"/>
    </row>
    <row r="250" spans="1:124" s="506" customFormat="1" x14ac:dyDescent="0.3">
      <c r="A250" s="217"/>
      <c r="B250" s="221" t="s">
        <v>786</v>
      </c>
      <c r="C250" s="217"/>
      <c r="D250" s="217"/>
      <c r="E250" s="217"/>
      <c r="F250" s="217"/>
      <c r="G250" s="217"/>
      <c r="H250" s="217"/>
      <c r="I250" s="217"/>
      <c r="J250" s="217"/>
      <c r="L250" s="326">
        <f t="shared" si="328"/>
        <v>0</v>
      </c>
      <c r="M250" s="326">
        <f t="shared" si="328"/>
        <v>0</v>
      </c>
      <c r="N250" s="326">
        <f t="shared" si="328"/>
        <v>0</v>
      </c>
      <c r="O250" s="326">
        <f t="shared" si="328"/>
        <v>0</v>
      </c>
      <c r="P250" s="326">
        <f t="shared" si="328"/>
        <v>0</v>
      </c>
      <c r="Q250" s="326">
        <f t="shared" si="328"/>
        <v>0</v>
      </c>
      <c r="R250" s="326">
        <f t="shared" si="328"/>
        <v>0</v>
      </c>
      <c r="S250" s="326">
        <f t="shared" si="328"/>
        <v>0</v>
      </c>
      <c r="T250" s="326">
        <f t="shared" si="328"/>
        <v>0</v>
      </c>
      <c r="U250" s="326">
        <f t="shared" si="328"/>
        <v>0</v>
      </c>
      <c r="V250" s="326">
        <f t="shared" si="329"/>
        <v>0</v>
      </c>
      <c r="W250" s="326">
        <f t="shared" si="329"/>
        <v>0</v>
      </c>
      <c r="X250" s="326">
        <f t="shared" si="329"/>
        <v>0</v>
      </c>
      <c r="Y250" s="326">
        <f t="shared" si="329"/>
        <v>0</v>
      </c>
      <c r="Z250" s="326">
        <f t="shared" si="329"/>
        <v>0</v>
      </c>
      <c r="AA250" s="326">
        <f t="shared" si="329"/>
        <v>0</v>
      </c>
      <c r="AB250" s="326">
        <f t="shared" si="329"/>
        <v>0</v>
      </c>
      <c r="AC250" s="326">
        <f t="shared" si="329"/>
        <v>0</v>
      </c>
      <c r="AD250" s="326">
        <f t="shared" si="329"/>
        <v>0</v>
      </c>
      <c r="AE250" s="326">
        <f t="shared" si="329"/>
        <v>0</v>
      </c>
      <c r="AF250" s="326">
        <f t="shared" si="330"/>
        <v>0</v>
      </c>
      <c r="AG250" s="326">
        <f t="shared" si="330"/>
        <v>0</v>
      </c>
      <c r="AH250" s="326">
        <f t="shared" si="330"/>
        <v>0</v>
      </c>
      <c r="AI250" s="326">
        <f t="shared" si="330"/>
        <v>0</v>
      </c>
      <c r="AJ250" s="326">
        <f t="shared" si="330"/>
        <v>0</v>
      </c>
      <c r="AK250" s="326">
        <f t="shared" si="330"/>
        <v>0</v>
      </c>
      <c r="AL250" s="326">
        <f t="shared" si="330"/>
        <v>0</v>
      </c>
      <c r="AM250" s="326">
        <f t="shared" si="330"/>
        <v>0</v>
      </c>
      <c r="AN250" s="326">
        <f t="shared" si="330"/>
        <v>0</v>
      </c>
      <c r="AO250" s="326">
        <f t="shared" si="330"/>
        <v>0</v>
      </c>
      <c r="AP250" s="326">
        <f t="shared" si="331"/>
        <v>0</v>
      </c>
      <c r="AQ250" s="326">
        <f t="shared" si="331"/>
        <v>0</v>
      </c>
      <c r="AR250" s="326">
        <f t="shared" si="331"/>
        <v>0</v>
      </c>
      <c r="AS250" s="326">
        <f t="shared" si="331"/>
        <v>0</v>
      </c>
      <c r="AT250" s="326">
        <f t="shared" si="331"/>
        <v>0</v>
      </c>
      <c r="AU250" s="326">
        <f t="shared" si="331"/>
        <v>0</v>
      </c>
      <c r="AV250" s="326">
        <f t="shared" si="331"/>
        <v>0</v>
      </c>
      <c r="AW250" s="326">
        <f t="shared" si="331"/>
        <v>0</v>
      </c>
      <c r="AX250" s="326">
        <f t="shared" si="331"/>
        <v>0</v>
      </c>
      <c r="AY250" s="326">
        <f t="shared" si="331"/>
        <v>0</v>
      </c>
      <c r="AZ250" s="326">
        <f t="shared" si="332"/>
        <v>0</v>
      </c>
      <c r="BA250" s="326">
        <f t="shared" si="332"/>
        <v>0</v>
      </c>
      <c r="BB250" s="326">
        <f t="shared" si="332"/>
        <v>0</v>
      </c>
      <c r="BC250" s="326">
        <f t="shared" si="332"/>
        <v>0</v>
      </c>
      <c r="BD250" s="329">
        <f t="shared" si="332"/>
        <v>0</v>
      </c>
      <c r="BE250" s="329">
        <f t="shared" si="332"/>
        <v>0</v>
      </c>
      <c r="BF250" s="329">
        <f t="shared" si="332"/>
        <v>0</v>
      </c>
      <c r="BG250" s="329">
        <f t="shared" si="332"/>
        <v>0</v>
      </c>
      <c r="BH250" s="329">
        <f t="shared" si="332"/>
        <v>0</v>
      </c>
      <c r="BI250" s="329">
        <f t="shared" si="332"/>
        <v>0</v>
      </c>
      <c r="BJ250" s="329">
        <f t="shared" si="333"/>
        <v>0</v>
      </c>
      <c r="BK250" s="329">
        <f t="shared" si="333"/>
        <v>0</v>
      </c>
      <c r="BL250" s="329">
        <f t="shared" si="333"/>
        <v>0</v>
      </c>
      <c r="BM250" s="329">
        <f t="shared" si="333"/>
        <v>0</v>
      </c>
      <c r="BN250" s="329">
        <f t="shared" si="333"/>
        <v>0</v>
      </c>
      <c r="BO250" s="329">
        <f t="shared" si="333"/>
        <v>0</v>
      </c>
      <c r="BP250" s="329">
        <f t="shared" si="333"/>
        <v>0</v>
      </c>
      <c r="BQ250" s="329">
        <f t="shared" si="333"/>
        <v>0</v>
      </c>
      <c r="BR250" s="329">
        <f t="shared" si="333"/>
        <v>0</v>
      </c>
      <c r="BS250" s="329">
        <f t="shared" si="333"/>
        <v>0</v>
      </c>
      <c r="BT250" s="329">
        <f t="shared" si="334"/>
        <v>0</v>
      </c>
      <c r="BU250" s="329">
        <f t="shared" si="334"/>
        <v>0</v>
      </c>
      <c r="BV250" s="329">
        <f t="shared" si="334"/>
        <v>0</v>
      </c>
      <c r="BW250" s="329">
        <f t="shared" si="334"/>
        <v>0</v>
      </c>
      <c r="BX250" s="329">
        <f t="shared" si="334"/>
        <v>0</v>
      </c>
      <c r="BY250" s="329">
        <f t="shared" si="334"/>
        <v>0</v>
      </c>
      <c r="BZ250" s="329">
        <f t="shared" si="334"/>
        <v>0</v>
      </c>
      <c r="CA250" s="329">
        <f t="shared" si="334"/>
        <v>0</v>
      </c>
      <c r="CB250" s="329">
        <f t="shared" si="334"/>
        <v>0</v>
      </c>
      <c r="CC250" s="329">
        <f t="shared" si="334"/>
        <v>0</v>
      </c>
      <c r="CD250" s="329">
        <f t="shared" si="335"/>
        <v>0</v>
      </c>
      <c r="CE250" s="329">
        <f t="shared" si="335"/>
        <v>0</v>
      </c>
      <c r="CF250" s="329">
        <f t="shared" si="335"/>
        <v>0</v>
      </c>
      <c r="CG250" s="329">
        <f t="shared" si="335"/>
        <v>0</v>
      </c>
      <c r="CH250" s="329">
        <f t="shared" si="335"/>
        <v>0</v>
      </c>
      <c r="CI250" s="329">
        <f t="shared" si="335"/>
        <v>0</v>
      </c>
      <c r="CJ250" s="329">
        <f t="shared" si="335"/>
        <v>0</v>
      </c>
      <c r="CK250" s="329">
        <f t="shared" si="335"/>
        <v>0</v>
      </c>
      <c r="CL250" s="329">
        <f t="shared" si="335"/>
        <v>0</v>
      </c>
      <c r="CM250" s="329">
        <f t="shared" si="335"/>
        <v>0</v>
      </c>
      <c r="CN250" s="329">
        <f t="shared" si="336"/>
        <v>0</v>
      </c>
      <c r="CO250" s="329">
        <f t="shared" si="336"/>
        <v>0</v>
      </c>
      <c r="CP250" s="329">
        <f t="shared" si="336"/>
        <v>0</v>
      </c>
      <c r="CQ250" s="329">
        <f t="shared" si="336"/>
        <v>0</v>
      </c>
      <c r="CR250" s="329">
        <f t="shared" si="336"/>
        <v>0</v>
      </c>
      <c r="CS250" s="329">
        <f t="shared" si="336"/>
        <v>0</v>
      </c>
      <c r="CT250" s="329">
        <f t="shared" si="336"/>
        <v>0</v>
      </c>
      <c r="CU250" s="329">
        <f t="shared" si="336"/>
        <v>0</v>
      </c>
      <c r="CV250" s="329">
        <f t="shared" si="336"/>
        <v>0</v>
      </c>
      <c r="CW250" s="329">
        <f t="shared" si="336"/>
        <v>0</v>
      </c>
      <c r="CX250" s="329">
        <f t="shared" si="337"/>
        <v>0</v>
      </c>
      <c r="CY250" s="329">
        <f t="shared" si="337"/>
        <v>0</v>
      </c>
      <c r="CZ250" s="329">
        <f t="shared" si="337"/>
        <v>0</v>
      </c>
      <c r="DA250" s="329">
        <f t="shared" si="337"/>
        <v>0</v>
      </c>
      <c r="DB250" s="329">
        <f t="shared" si="337"/>
        <v>0</v>
      </c>
      <c r="DC250" s="329">
        <f t="shared" si="337"/>
        <v>0</v>
      </c>
      <c r="DD250" s="329">
        <f t="shared" si="337"/>
        <v>0</v>
      </c>
      <c r="DE250" s="329">
        <f t="shared" si="337"/>
        <v>0</v>
      </c>
      <c r="DF250" s="329">
        <f t="shared" si="337"/>
        <v>0</v>
      </c>
      <c r="DG250" s="329">
        <f t="shared" si="337"/>
        <v>0</v>
      </c>
      <c r="DH250" s="329">
        <f t="shared" si="338"/>
        <v>0</v>
      </c>
      <c r="DI250" s="329">
        <f t="shared" si="338"/>
        <v>0</v>
      </c>
      <c r="DJ250" s="329">
        <f t="shared" si="338"/>
        <v>0</v>
      </c>
      <c r="DK250" s="329">
        <f t="shared" si="338"/>
        <v>0</v>
      </c>
      <c r="DL250" s="329">
        <f t="shared" si="338"/>
        <v>0</v>
      </c>
      <c r="DM250" s="329">
        <f t="shared" si="338"/>
        <v>0</v>
      </c>
      <c r="DN250" s="329">
        <f t="shared" si="338"/>
        <v>0</v>
      </c>
      <c r="DO250" s="329">
        <f t="shared" si="338"/>
        <v>0</v>
      </c>
      <c r="DP250" s="329">
        <f t="shared" si="338"/>
        <v>0</v>
      </c>
      <c r="DQ250" s="217"/>
      <c r="DR250" s="217"/>
      <c r="DS250" s="217"/>
      <c r="DT250" s="217"/>
    </row>
    <row r="251" spans="1:124" x14ac:dyDescent="0.3">
      <c r="A251" s="217"/>
      <c r="B251" s="221" t="s">
        <v>785</v>
      </c>
      <c r="C251" s="217"/>
      <c r="D251" s="217"/>
      <c r="E251" s="217"/>
      <c r="F251" s="217"/>
      <c r="G251" s="217"/>
      <c r="H251" s="217"/>
      <c r="I251" s="217"/>
      <c r="J251" s="217"/>
      <c r="L251" s="326">
        <f t="shared" si="328"/>
        <v>0</v>
      </c>
      <c r="M251" s="326">
        <f t="shared" si="328"/>
        <v>0</v>
      </c>
      <c r="N251" s="326">
        <f t="shared" si="328"/>
        <v>0</v>
      </c>
      <c r="O251" s="326">
        <f t="shared" si="328"/>
        <v>0</v>
      </c>
      <c r="P251" s="326">
        <f t="shared" si="328"/>
        <v>0</v>
      </c>
      <c r="Q251" s="326">
        <f t="shared" si="328"/>
        <v>0</v>
      </c>
      <c r="R251" s="326">
        <f t="shared" si="328"/>
        <v>0</v>
      </c>
      <c r="S251" s="326">
        <f t="shared" si="328"/>
        <v>0</v>
      </c>
      <c r="T251" s="326">
        <f t="shared" si="328"/>
        <v>0</v>
      </c>
      <c r="U251" s="326">
        <f t="shared" si="328"/>
        <v>0</v>
      </c>
      <c r="V251" s="326">
        <f t="shared" si="329"/>
        <v>0</v>
      </c>
      <c r="W251" s="326">
        <f t="shared" si="329"/>
        <v>0</v>
      </c>
      <c r="X251" s="326">
        <f t="shared" si="329"/>
        <v>0</v>
      </c>
      <c r="Y251" s="326">
        <f t="shared" si="329"/>
        <v>0</v>
      </c>
      <c r="Z251" s="326">
        <f t="shared" si="329"/>
        <v>0</v>
      </c>
      <c r="AA251" s="326">
        <f t="shared" si="329"/>
        <v>0</v>
      </c>
      <c r="AB251" s="326">
        <f t="shared" si="329"/>
        <v>0</v>
      </c>
      <c r="AC251" s="326">
        <f t="shared" si="329"/>
        <v>0</v>
      </c>
      <c r="AD251" s="326">
        <f t="shared" si="329"/>
        <v>0</v>
      </c>
      <c r="AE251" s="326">
        <f t="shared" si="329"/>
        <v>0</v>
      </c>
      <c r="AF251" s="326">
        <f t="shared" si="330"/>
        <v>0</v>
      </c>
      <c r="AG251" s="326">
        <f t="shared" si="330"/>
        <v>0</v>
      </c>
      <c r="AH251" s="326">
        <f t="shared" si="330"/>
        <v>0</v>
      </c>
      <c r="AI251" s="326">
        <f t="shared" si="330"/>
        <v>0</v>
      </c>
      <c r="AJ251" s="326">
        <f t="shared" si="330"/>
        <v>0</v>
      </c>
      <c r="AK251" s="326">
        <f t="shared" si="330"/>
        <v>0</v>
      </c>
      <c r="AL251" s="326">
        <f t="shared" si="330"/>
        <v>0</v>
      </c>
      <c r="AM251" s="326">
        <f t="shared" si="330"/>
        <v>0</v>
      </c>
      <c r="AN251" s="326">
        <f t="shared" si="330"/>
        <v>0</v>
      </c>
      <c r="AO251" s="326">
        <f t="shared" si="330"/>
        <v>0</v>
      </c>
      <c r="AP251" s="326">
        <f t="shared" si="331"/>
        <v>0</v>
      </c>
      <c r="AQ251" s="326">
        <f t="shared" si="331"/>
        <v>0</v>
      </c>
      <c r="AR251" s="326">
        <f t="shared" si="331"/>
        <v>0</v>
      </c>
      <c r="AS251" s="326">
        <f t="shared" si="331"/>
        <v>0</v>
      </c>
      <c r="AT251" s="326">
        <f t="shared" si="331"/>
        <v>0</v>
      </c>
      <c r="AU251" s="326">
        <f t="shared" si="331"/>
        <v>0</v>
      </c>
      <c r="AV251" s="326">
        <f t="shared" si="331"/>
        <v>0</v>
      </c>
      <c r="AW251" s="326">
        <f t="shared" si="331"/>
        <v>0</v>
      </c>
      <c r="AX251" s="326">
        <f t="shared" si="331"/>
        <v>0</v>
      </c>
      <c r="AY251" s="326">
        <f t="shared" si="331"/>
        <v>0</v>
      </c>
      <c r="AZ251" s="326">
        <f t="shared" si="332"/>
        <v>0</v>
      </c>
      <c r="BA251" s="326">
        <f t="shared" si="332"/>
        <v>0</v>
      </c>
      <c r="BB251" s="326">
        <f t="shared" si="332"/>
        <v>0</v>
      </c>
      <c r="BC251" s="326">
        <f t="shared" si="332"/>
        <v>0</v>
      </c>
      <c r="BD251" s="329">
        <f t="shared" si="332"/>
        <v>0</v>
      </c>
      <c r="BE251" s="329">
        <f t="shared" si="332"/>
        <v>0</v>
      </c>
      <c r="BF251" s="329">
        <f t="shared" si="332"/>
        <v>0</v>
      </c>
      <c r="BG251" s="329">
        <f t="shared" si="332"/>
        <v>0</v>
      </c>
      <c r="BH251" s="329">
        <f t="shared" si="332"/>
        <v>0</v>
      </c>
      <c r="BI251" s="329">
        <f t="shared" si="332"/>
        <v>0</v>
      </c>
      <c r="BJ251" s="329">
        <f t="shared" si="333"/>
        <v>0</v>
      </c>
      <c r="BK251" s="329">
        <f t="shared" si="333"/>
        <v>0</v>
      </c>
      <c r="BL251" s="329">
        <f t="shared" si="333"/>
        <v>0</v>
      </c>
      <c r="BM251" s="329">
        <f t="shared" si="333"/>
        <v>0</v>
      </c>
      <c r="BN251" s="329">
        <f t="shared" si="333"/>
        <v>0</v>
      </c>
      <c r="BO251" s="329">
        <f t="shared" si="333"/>
        <v>0</v>
      </c>
      <c r="BP251" s="329">
        <f t="shared" si="333"/>
        <v>0</v>
      </c>
      <c r="BQ251" s="329">
        <f t="shared" si="333"/>
        <v>0</v>
      </c>
      <c r="BR251" s="329">
        <f t="shared" si="333"/>
        <v>0</v>
      </c>
      <c r="BS251" s="329">
        <f t="shared" si="333"/>
        <v>0</v>
      </c>
      <c r="BT251" s="329">
        <f t="shared" si="334"/>
        <v>0</v>
      </c>
      <c r="BU251" s="329">
        <f t="shared" si="334"/>
        <v>0</v>
      </c>
      <c r="BV251" s="329">
        <f t="shared" si="334"/>
        <v>0</v>
      </c>
      <c r="BW251" s="329">
        <f t="shared" si="334"/>
        <v>0</v>
      </c>
      <c r="BX251" s="329">
        <f t="shared" si="334"/>
        <v>0</v>
      </c>
      <c r="BY251" s="329">
        <f t="shared" si="334"/>
        <v>0</v>
      </c>
      <c r="BZ251" s="329">
        <f t="shared" si="334"/>
        <v>0</v>
      </c>
      <c r="CA251" s="329">
        <f t="shared" si="334"/>
        <v>0</v>
      </c>
      <c r="CB251" s="329">
        <f t="shared" si="334"/>
        <v>0</v>
      </c>
      <c r="CC251" s="329">
        <f t="shared" si="334"/>
        <v>0</v>
      </c>
      <c r="CD251" s="329">
        <f t="shared" si="335"/>
        <v>0</v>
      </c>
      <c r="CE251" s="329">
        <f t="shared" si="335"/>
        <v>0</v>
      </c>
      <c r="CF251" s="329">
        <f t="shared" si="335"/>
        <v>0</v>
      </c>
      <c r="CG251" s="329">
        <f t="shared" si="335"/>
        <v>0</v>
      </c>
      <c r="CH251" s="329">
        <f t="shared" si="335"/>
        <v>0</v>
      </c>
      <c r="CI251" s="329">
        <f t="shared" si="335"/>
        <v>0</v>
      </c>
      <c r="CJ251" s="329">
        <f t="shared" si="335"/>
        <v>0</v>
      </c>
      <c r="CK251" s="329">
        <f t="shared" si="335"/>
        <v>0</v>
      </c>
      <c r="CL251" s="329">
        <f t="shared" si="335"/>
        <v>0</v>
      </c>
      <c r="CM251" s="329">
        <f t="shared" si="335"/>
        <v>0</v>
      </c>
      <c r="CN251" s="329">
        <f t="shared" si="336"/>
        <v>0</v>
      </c>
      <c r="CO251" s="329">
        <f t="shared" si="336"/>
        <v>0</v>
      </c>
      <c r="CP251" s="329">
        <f t="shared" si="336"/>
        <v>0</v>
      </c>
      <c r="CQ251" s="329">
        <f t="shared" si="336"/>
        <v>0</v>
      </c>
      <c r="CR251" s="329">
        <f t="shared" si="336"/>
        <v>0</v>
      </c>
      <c r="CS251" s="329">
        <f t="shared" si="336"/>
        <v>0</v>
      </c>
      <c r="CT251" s="329">
        <f t="shared" si="336"/>
        <v>0</v>
      </c>
      <c r="CU251" s="329">
        <f t="shared" si="336"/>
        <v>0</v>
      </c>
      <c r="CV251" s="329">
        <f t="shared" si="336"/>
        <v>0</v>
      </c>
      <c r="CW251" s="329">
        <f t="shared" si="336"/>
        <v>0</v>
      </c>
      <c r="CX251" s="329">
        <f t="shared" si="337"/>
        <v>0</v>
      </c>
      <c r="CY251" s="329">
        <f t="shared" si="337"/>
        <v>0</v>
      </c>
      <c r="CZ251" s="329">
        <f t="shared" si="337"/>
        <v>0</v>
      </c>
      <c r="DA251" s="329">
        <f t="shared" si="337"/>
        <v>0</v>
      </c>
      <c r="DB251" s="329">
        <f t="shared" si="337"/>
        <v>0</v>
      </c>
      <c r="DC251" s="329">
        <f t="shared" si="337"/>
        <v>0</v>
      </c>
      <c r="DD251" s="329">
        <f t="shared" si="337"/>
        <v>0</v>
      </c>
      <c r="DE251" s="329">
        <f t="shared" si="337"/>
        <v>0</v>
      </c>
      <c r="DF251" s="329">
        <f t="shared" si="337"/>
        <v>0</v>
      </c>
      <c r="DG251" s="329">
        <f t="shared" si="337"/>
        <v>0</v>
      </c>
      <c r="DH251" s="329">
        <f t="shared" si="338"/>
        <v>0</v>
      </c>
      <c r="DI251" s="329">
        <f t="shared" si="338"/>
        <v>0</v>
      </c>
      <c r="DJ251" s="329">
        <f t="shared" si="338"/>
        <v>0</v>
      </c>
      <c r="DK251" s="329">
        <f t="shared" si="338"/>
        <v>0</v>
      </c>
      <c r="DL251" s="329">
        <f t="shared" si="338"/>
        <v>0</v>
      </c>
      <c r="DM251" s="329">
        <f t="shared" si="338"/>
        <v>0</v>
      </c>
      <c r="DN251" s="329">
        <f t="shared" si="338"/>
        <v>0</v>
      </c>
      <c r="DO251" s="329">
        <f t="shared" si="338"/>
        <v>0</v>
      </c>
      <c r="DP251" s="329">
        <f t="shared" si="338"/>
        <v>0</v>
      </c>
      <c r="DQ251" s="217"/>
      <c r="DR251" s="217"/>
      <c r="DS251" s="217"/>
      <c r="DT251" s="217"/>
    </row>
    <row r="252" spans="1:124" x14ac:dyDescent="0.3">
      <c r="A252" s="217"/>
      <c r="B252" s="217"/>
      <c r="C252" s="217"/>
      <c r="D252" s="217"/>
      <c r="E252" s="217"/>
      <c r="F252" s="217"/>
      <c r="G252" s="217"/>
      <c r="H252" s="217"/>
      <c r="I252" s="217"/>
      <c r="J252" s="217"/>
      <c r="K252" s="217"/>
      <c r="L252" s="217"/>
      <c r="M252" s="217"/>
      <c r="N252" s="217"/>
      <c r="O252" s="217"/>
      <c r="P252" s="217"/>
      <c r="Q252" s="217"/>
      <c r="R252" s="217"/>
      <c r="S252" s="217"/>
      <c r="T252" s="217"/>
      <c r="U252" s="217"/>
      <c r="V252" s="217"/>
      <c r="W252" s="217"/>
      <c r="X252" s="217"/>
      <c r="Y252" s="217"/>
      <c r="Z252" s="217"/>
      <c r="AA252" s="217"/>
      <c r="AB252" s="217"/>
      <c r="AC252" s="217"/>
      <c r="AD252" s="217"/>
      <c r="AE252" s="217"/>
      <c r="AF252" s="217"/>
      <c r="AG252" s="217"/>
      <c r="AH252" s="217"/>
      <c r="AI252" s="217"/>
      <c r="AJ252" s="217"/>
      <c r="AK252" s="217"/>
      <c r="AL252" s="217"/>
      <c r="AM252" s="217"/>
      <c r="AN252" s="217"/>
      <c r="AO252" s="217"/>
      <c r="AP252" s="217"/>
      <c r="AQ252" s="217"/>
      <c r="AR252" s="217"/>
      <c r="AS252" s="217"/>
      <c r="AT252" s="217"/>
      <c r="AU252" s="217"/>
      <c r="AV252" s="217"/>
      <c r="AW252" s="217"/>
      <c r="AX252" s="217"/>
      <c r="AY252" s="217"/>
      <c r="AZ252" s="217"/>
      <c r="BA252" s="217"/>
      <c r="BB252" s="217"/>
      <c r="BC252" s="217"/>
      <c r="BD252" s="217"/>
      <c r="BE252" s="217"/>
      <c r="BF252" s="217"/>
      <c r="BG252" s="217"/>
      <c r="BH252" s="217"/>
      <c r="BI252" s="217"/>
      <c r="BJ252" s="217"/>
      <c r="BK252" s="217"/>
      <c r="BL252" s="217"/>
      <c r="BM252" s="217"/>
      <c r="BN252" s="217"/>
      <c r="BO252" s="217"/>
      <c r="BP252" s="217"/>
      <c r="BQ252" s="217"/>
      <c r="BR252" s="217"/>
      <c r="BS252" s="217"/>
      <c r="BT252" s="217"/>
      <c r="BU252" s="217"/>
      <c r="BV252" s="217"/>
      <c r="BW252" s="217"/>
      <c r="BX252" s="217"/>
      <c r="BY252" s="217"/>
      <c r="BZ252" s="217"/>
      <c r="CA252" s="217"/>
      <c r="CB252" s="217"/>
      <c r="CC252" s="217"/>
      <c r="CD252" s="217"/>
      <c r="CE252" s="217"/>
      <c r="CF252" s="217"/>
      <c r="CG252" s="217"/>
      <c r="CH252" s="217"/>
      <c r="CI252" s="217"/>
      <c r="CJ252" s="217"/>
      <c r="CK252" s="217"/>
      <c r="CL252" s="217"/>
      <c r="CM252" s="217"/>
      <c r="CN252" s="217"/>
      <c r="CO252" s="217"/>
      <c r="CP252" s="217"/>
      <c r="CQ252" s="217"/>
      <c r="CR252" s="217"/>
      <c r="CS252" s="217"/>
      <c r="CT252" s="217"/>
      <c r="CU252" s="217"/>
      <c r="CV252" s="217"/>
      <c r="CW252" s="217"/>
      <c r="CX252" s="217"/>
      <c r="CY252" s="217"/>
      <c r="CZ252" s="217"/>
      <c r="DA252" s="217"/>
      <c r="DB252" s="217"/>
      <c r="DC252" s="217"/>
      <c r="DD252" s="217"/>
      <c r="DE252" s="217"/>
      <c r="DF252" s="217"/>
      <c r="DG252" s="217"/>
      <c r="DH252" s="217"/>
      <c r="DI252" s="217"/>
      <c r="DJ252" s="217"/>
      <c r="DK252" s="217"/>
      <c r="DL252" s="217"/>
      <c r="DM252" s="217"/>
      <c r="DN252" s="217"/>
      <c r="DO252" s="217"/>
      <c r="DP252" s="217"/>
      <c r="DQ252" s="217"/>
      <c r="DR252" s="217"/>
      <c r="DS252" s="217"/>
      <c r="DT252" s="217"/>
    </row>
    <row r="253" spans="1:124" x14ac:dyDescent="0.3">
      <c r="A253" s="217"/>
      <c r="B253" s="217"/>
      <c r="C253" s="217"/>
      <c r="D253" s="217"/>
      <c r="E253" s="217"/>
      <c r="F253" s="217"/>
      <c r="G253" s="217"/>
      <c r="H253" s="217"/>
      <c r="I253" s="217"/>
      <c r="J253" s="217"/>
      <c r="K253" s="217"/>
      <c r="L253" s="217"/>
      <c r="M253" s="217"/>
      <c r="N253" s="217"/>
      <c r="O253" s="217"/>
      <c r="P253" s="217"/>
      <c r="Q253" s="217"/>
      <c r="R253" s="217"/>
      <c r="S253" s="217"/>
      <c r="T253" s="217"/>
      <c r="U253" s="217"/>
      <c r="V253" s="217"/>
      <c r="W253" s="217"/>
      <c r="X253" s="217"/>
      <c r="Y253" s="217"/>
      <c r="Z253" s="217"/>
      <c r="AA253" s="217"/>
      <c r="AB253" s="217"/>
      <c r="AC253" s="217"/>
      <c r="AD253" s="217"/>
      <c r="AE253" s="217"/>
      <c r="AF253" s="217"/>
      <c r="AG253" s="217"/>
      <c r="AH253" s="217"/>
      <c r="AI253" s="217"/>
      <c r="AJ253" s="217"/>
      <c r="AK253" s="217"/>
      <c r="AL253" s="217"/>
      <c r="AM253" s="217"/>
      <c r="AN253" s="217"/>
      <c r="AO253" s="217"/>
      <c r="AP253" s="217"/>
      <c r="AQ253" s="217"/>
      <c r="AR253" s="217"/>
      <c r="AS253" s="217"/>
      <c r="AT253" s="217"/>
      <c r="AU253" s="217"/>
      <c r="AV253" s="217"/>
      <c r="AW253" s="217"/>
      <c r="AX253" s="217"/>
      <c r="AY253" s="217"/>
      <c r="AZ253" s="217"/>
      <c r="BA253" s="217"/>
      <c r="BB253" s="217"/>
      <c r="BC253" s="217"/>
      <c r="BD253" s="217"/>
      <c r="BE253" s="217"/>
      <c r="BF253" s="217"/>
      <c r="BG253" s="217"/>
      <c r="BH253" s="217"/>
      <c r="BI253" s="217"/>
      <c r="BJ253" s="217"/>
      <c r="BK253" s="217"/>
      <c r="BL253" s="217"/>
      <c r="BM253" s="217"/>
      <c r="BN253" s="217"/>
      <c r="BO253" s="217"/>
      <c r="BP253" s="217"/>
      <c r="BQ253" s="217"/>
      <c r="BR253" s="217"/>
      <c r="BS253" s="217"/>
      <c r="BT253" s="217"/>
      <c r="BU253" s="217"/>
      <c r="BV253" s="217"/>
      <c r="BW253" s="217"/>
      <c r="BX253" s="217"/>
      <c r="BY253" s="217"/>
      <c r="BZ253" s="217"/>
      <c r="CA253" s="217"/>
      <c r="CB253" s="217"/>
      <c r="CC253" s="217"/>
      <c r="CD253" s="217"/>
      <c r="CE253" s="217"/>
      <c r="CF253" s="217"/>
      <c r="CG253" s="217"/>
      <c r="CH253" s="217"/>
      <c r="CI253" s="217"/>
      <c r="CJ253" s="217"/>
      <c r="CK253" s="217"/>
      <c r="CL253" s="217"/>
      <c r="CM253" s="217"/>
      <c r="CN253" s="217"/>
      <c r="CO253" s="217"/>
      <c r="CP253" s="217"/>
      <c r="CQ253" s="217"/>
      <c r="CR253" s="217"/>
      <c r="CS253" s="217"/>
      <c r="CT253" s="217"/>
      <c r="CU253" s="217"/>
      <c r="CV253" s="217"/>
      <c r="CW253" s="217"/>
      <c r="CX253" s="217"/>
      <c r="CY253" s="217"/>
      <c r="CZ253" s="217"/>
      <c r="DA253" s="217"/>
      <c r="DB253" s="217"/>
      <c r="DC253" s="217"/>
      <c r="DD253" s="217"/>
      <c r="DE253" s="217"/>
      <c r="DF253" s="217"/>
      <c r="DG253" s="217"/>
      <c r="DH253" s="217"/>
      <c r="DI253" s="217"/>
      <c r="DJ253" s="217"/>
      <c r="DK253" s="217"/>
      <c r="DL253" s="217"/>
      <c r="DM253" s="217"/>
      <c r="DN253" s="217"/>
      <c r="DO253" s="217"/>
      <c r="DP253" s="217"/>
      <c r="DQ253" s="217"/>
      <c r="DR253" s="217"/>
      <c r="DS253" s="217"/>
      <c r="DT253" s="217"/>
    </row>
    <row r="254" spans="1:124" x14ac:dyDescent="0.3">
      <c r="A254" s="217"/>
      <c r="B254" s="217"/>
      <c r="C254" s="217"/>
      <c r="D254" s="217"/>
      <c r="E254" s="217"/>
      <c r="F254" s="217"/>
      <c r="G254" s="217"/>
      <c r="H254" s="217"/>
      <c r="I254" s="217"/>
      <c r="J254" s="217"/>
      <c r="K254" s="217"/>
      <c r="L254" s="217"/>
      <c r="M254" s="217"/>
      <c r="N254" s="217"/>
      <c r="O254" s="217"/>
      <c r="P254" s="217"/>
      <c r="Q254" s="217"/>
      <c r="R254" s="217"/>
      <c r="S254" s="217"/>
      <c r="T254" s="217"/>
      <c r="U254" s="217"/>
      <c r="V254" s="217"/>
      <c r="W254" s="217"/>
      <c r="X254" s="217"/>
      <c r="Y254" s="217"/>
      <c r="Z254" s="217"/>
      <c r="AA254" s="217"/>
      <c r="AB254" s="217"/>
      <c r="AC254" s="217"/>
      <c r="AD254" s="217"/>
      <c r="AE254" s="217"/>
      <c r="AF254" s="217"/>
      <c r="AG254" s="217"/>
      <c r="AH254" s="217"/>
      <c r="AI254" s="217"/>
      <c r="AJ254" s="217"/>
      <c r="AK254" s="217"/>
      <c r="AL254" s="217"/>
      <c r="AM254" s="217"/>
      <c r="AN254" s="217"/>
      <c r="AO254" s="217"/>
      <c r="AP254" s="217"/>
      <c r="AQ254" s="217"/>
      <c r="AR254" s="217"/>
      <c r="AS254" s="217"/>
      <c r="AT254" s="217"/>
      <c r="AU254" s="217"/>
      <c r="AV254" s="217"/>
      <c r="AW254" s="217"/>
      <c r="AX254" s="217"/>
      <c r="AY254" s="217"/>
      <c r="AZ254" s="217"/>
      <c r="BA254" s="217"/>
      <c r="BB254" s="217"/>
      <c r="BC254" s="217"/>
      <c r="BD254" s="217"/>
      <c r="BE254" s="217"/>
      <c r="BF254" s="217"/>
      <c r="BG254" s="217"/>
      <c r="BH254" s="217"/>
      <c r="BI254" s="217"/>
      <c r="BJ254" s="217"/>
      <c r="BK254" s="217"/>
      <c r="BL254" s="217"/>
      <c r="BM254" s="217"/>
      <c r="BN254" s="217"/>
      <c r="BO254" s="217"/>
      <c r="BP254" s="217"/>
      <c r="BQ254" s="217"/>
      <c r="BR254" s="217"/>
      <c r="BS254" s="217"/>
      <c r="BT254" s="217"/>
      <c r="BU254" s="217"/>
      <c r="BV254" s="217"/>
      <c r="BW254" s="217"/>
      <c r="BX254" s="217"/>
      <c r="BY254" s="217"/>
      <c r="BZ254" s="217"/>
      <c r="CA254" s="217"/>
      <c r="CB254" s="217"/>
      <c r="CC254" s="217"/>
      <c r="CD254" s="217"/>
      <c r="CE254" s="217"/>
      <c r="CF254" s="217"/>
      <c r="CG254" s="217"/>
      <c r="CH254" s="217"/>
      <c r="CI254" s="217"/>
      <c r="CJ254" s="217"/>
      <c r="CK254" s="217"/>
      <c r="CL254" s="217"/>
      <c r="CM254" s="217"/>
      <c r="CN254" s="217"/>
      <c r="CO254" s="217"/>
      <c r="CP254" s="217"/>
      <c r="CQ254" s="217"/>
      <c r="CR254" s="217"/>
      <c r="CS254" s="217"/>
      <c r="CT254" s="217"/>
      <c r="CU254" s="217"/>
      <c r="CV254" s="217"/>
      <c r="CW254" s="217"/>
      <c r="CX254" s="217"/>
      <c r="CY254" s="217"/>
      <c r="CZ254" s="217"/>
      <c r="DA254" s="217"/>
      <c r="DB254" s="217"/>
      <c r="DC254" s="217"/>
      <c r="DD254" s="217"/>
      <c r="DE254" s="217"/>
      <c r="DF254" s="217"/>
      <c r="DG254" s="217"/>
      <c r="DH254" s="217"/>
      <c r="DI254" s="217"/>
      <c r="DJ254" s="217"/>
      <c r="DK254" s="217"/>
      <c r="DL254" s="217"/>
      <c r="DM254" s="217"/>
      <c r="DN254" s="217"/>
      <c r="DO254" s="217"/>
      <c r="DP254" s="217"/>
      <c r="DQ254" s="217"/>
      <c r="DR254" s="217"/>
      <c r="DS254" s="217"/>
      <c r="DT254" s="217"/>
    </row>
    <row r="255" spans="1:124" x14ac:dyDescent="0.3">
      <c r="A255" s="217"/>
      <c r="B255" s="217"/>
      <c r="C255" s="217"/>
      <c r="D255" s="217"/>
      <c r="E255" s="217"/>
      <c r="F255" s="217"/>
      <c r="G255" s="217"/>
      <c r="H255" s="217"/>
      <c r="I255" s="217"/>
      <c r="J255" s="217"/>
      <c r="K255" s="217"/>
      <c r="L255" s="217"/>
      <c r="M255" s="217"/>
      <c r="N255" s="217"/>
      <c r="O255" s="217"/>
      <c r="P255" s="217"/>
      <c r="Q255" s="217"/>
      <c r="R255" s="217"/>
      <c r="S255" s="217"/>
      <c r="T255" s="217"/>
      <c r="U255" s="217"/>
      <c r="V255" s="217"/>
      <c r="W255" s="217"/>
      <c r="X255" s="217"/>
      <c r="Y255" s="217"/>
      <c r="Z255" s="217"/>
      <c r="AA255" s="217"/>
      <c r="AB255" s="217"/>
      <c r="AC255" s="217"/>
      <c r="AD255" s="217"/>
      <c r="AE255" s="217"/>
      <c r="AF255" s="217"/>
      <c r="AG255" s="217"/>
      <c r="AH255" s="217"/>
      <c r="AI255" s="217"/>
      <c r="AJ255" s="217"/>
      <c r="AK255" s="217"/>
      <c r="AL255" s="217"/>
      <c r="AM255" s="217"/>
      <c r="AN255" s="217"/>
      <c r="AO255" s="217"/>
      <c r="AP255" s="217"/>
      <c r="AQ255" s="217"/>
      <c r="AR255" s="217"/>
      <c r="AS255" s="217"/>
      <c r="AT255" s="217"/>
      <c r="AU255" s="217"/>
      <c r="AV255" s="217"/>
      <c r="AW255" s="217"/>
      <c r="AX255" s="217"/>
      <c r="AY255" s="217"/>
      <c r="AZ255" s="217"/>
      <c r="BA255" s="217"/>
      <c r="BB255" s="217"/>
      <c r="BC255" s="217"/>
      <c r="BD255" s="217"/>
      <c r="BE255" s="217"/>
      <c r="BF255" s="217"/>
      <c r="BG255" s="217"/>
      <c r="BH255" s="217"/>
      <c r="BI255" s="217"/>
      <c r="BJ255" s="217"/>
      <c r="BK255" s="217"/>
      <c r="BL255" s="217"/>
      <c r="BM255" s="217"/>
      <c r="BN255" s="217"/>
      <c r="BO255" s="217"/>
      <c r="BP255" s="217"/>
      <c r="BQ255" s="217"/>
      <c r="BR255" s="217"/>
      <c r="BS255" s="217"/>
      <c r="BT255" s="217"/>
      <c r="BU255" s="217"/>
      <c r="BV255" s="217"/>
      <c r="BW255" s="217"/>
      <c r="BX255" s="217"/>
      <c r="BY255" s="217"/>
      <c r="BZ255" s="217"/>
      <c r="CA255" s="217"/>
      <c r="CB255" s="217"/>
      <c r="CC255" s="217"/>
      <c r="CD255" s="217"/>
      <c r="CE255" s="217"/>
      <c r="CF255" s="217"/>
      <c r="CG255" s="217"/>
      <c r="CH255" s="217"/>
      <c r="CI255" s="217"/>
      <c r="CJ255" s="217"/>
      <c r="CK255" s="217"/>
      <c r="CL255" s="217"/>
      <c r="CM255" s="217"/>
      <c r="CN255" s="217"/>
      <c r="CO255" s="217"/>
      <c r="CP255" s="217"/>
      <c r="CQ255" s="217"/>
      <c r="CR255" s="217"/>
      <c r="CS255" s="217"/>
      <c r="CT255" s="217"/>
      <c r="CU255" s="217"/>
      <c r="CV255" s="217"/>
      <c r="CW255" s="217"/>
      <c r="CX255" s="217"/>
      <c r="CY255" s="217"/>
      <c r="CZ255" s="217"/>
      <c r="DA255" s="217"/>
      <c r="DB255" s="217"/>
      <c r="DC255" s="217"/>
      <c r="DD255" s="217"/>
      <c r="DE255" s="217"/>
      <c r="DF255" s="217"/>
      <c r="DG255" s="217"/>
      <c r="DH255" s="217"/>
      <c r="DI255" s="217"/>
      <c r="DJ255" s="217"/>
      <c r="DK255" s="217"/>
      <c r="DL255" s="217"/>
      <c r="DM255" s="217"/>
      <c r="DN255" s="217"/>
      <c r="DO255" s="217"/>
      <c r="DP255" s="217"/>
      <c r="DQ255" s="217"/>
      <c r="DR255" s="217"/>
      <c r="DS255" s="217"/>
      <c r="DT255" s="217"/>
    </row>
    <row r="256" spans="1:124" x14ac:dyDescent="0.3">
      <c r="A256" s="217"/>
      <c r="B256" s="217"/>
      <c r="C256" s="217"/>
      <c r="D256" s="217"/>
      <c r="E256" s="217"/>
      <c r="F256" s="217"/>
      <c r="G256" s="217"/>
      <c r="H256" s="217"/>
      <c r="I256" s="217"/>
      <c r="J256" s="217"/>
      <c r="K256" s="217"/>
      <c r="L256" s="217"/>
      <c r="M256" s="217"/>
      <c r="N256" s="217"/>
      <c r="O256" s="217"/>
      <c r="P256" s="217"/>
      <c r="Q256" s="217"/>
      <c r="R256" s="217"/>
      <c r="S256" s="217"/>
      <c r="T256" s="217"/>
      <c r="U256" s="217"/>
      <c r="V256" s="217"/>
      <c r="W256" s="217"/>
      <c r="X256" s="217"/>
      <c r="Y256" s="217"/>
      <c r="Z256" s="217"/>
      <c r="AA256" s="217"/>
      <c r="AB256" s="217"/>
      <c r="AC256" s="217"/>
      <c r="AD256" s="217"/>
      <c r="AE256" s="217"/>
      <c r="AF256" s="217"/>
      <c r="AG256" s="217"/>
      <c r="AH256" s="217"/>
      <c r="AI256" s="217"/>
      <c r="AJ256" s="217"/>
      <c r="AK256" s="217"/>
      <c r="AL256" s="217"/>
      <c r="AM256" s="217"/>
      <c r="AN256" s="217"/>
      <c r="AO256" s="217"/>
      <c r="AP256" s="217"/>
      <c r="AQ256" s="217"/>
      <c r="AR256" s="217"/>
      <c r="AS256" s="217"/>
      <c r="AT256" s="217"/>
      <c r="AU256" s="217"/>
      <c r="AV256" s="217"/>
      <c r="AW256" s="217"/>
      <c r="AX256" s="217"/>
      <c r="AY256" s="217"/>
      <c r="AZ256" s="217"/>
      <c r="BA256" s="217"/>
      <c r="BB256" s="217"/>
      <c r="BC256" s="217"/>
      <c r="BD256" s="217"/>
      <c r="BE256" s="217"/>
      <c r="BF256" s="217"/>
      <c r="BG256" s="217"/>
      <c r="BH256" s="217"/>
      <c r="BI256" s="217"/>
      <c r="BJ256" s="217"/>
      <c r="BK256" s="217"/>
      <c r="BL256" s="217"/>
      <c r="BM256" s="217"/>
      <c r="BN256" s="217"/>
      <c r="BO256" s="217"/>
      <c r="BP256" s="217"/>
      <c r="BQ256" s="217"/>
      <c r="BR256" s="217"/>
      <c r="BS256" s="217"/>
      <c r="BT256" s="217"/>
      <c r="BU256" s="217"/>
      <c r="BV256" s="217"/>
      <c r="BW256" s="217"/>
      <c r="BX256" s="217"/>
      <c r="BY256" s="217"/>
      <c r="BZ256" s="217"/>
      <c r="CA256" s="217"/>
      <c r="CB256" s="217"/>
      <c r="CC256" s="217"/>
      <c r="CD256" s="217"/>
      <c r="CE256" s="217"/>
      <c r="CF256" s="217"/>
      <c r="CG256" s="217"/>
      <c r="CH256" s="217"/>
      <c r="CI256" s="217"/>
      <c r="CJ256" s="217"/>
      <c r="CK256" s="217"/>
      <c r="CL256" s="217"/>
      <c r="CM256" s="217"/>
      <c r="CN256" s="217"/>
      <c r="CO256" s="217"/>
      <c r="CP256" s="217"/>
      <c r="CQ256" s="217"/>
      <c r="CR256" s="217"/>
      <c r="CS256" s="217"/>
      <c r="CT256" s="217"/>
      <c r="CU256" s="217"/>
      <c r="CV256" s="217"/>
      <c r="CW256" s="217"/>
      <c r="CX256" s="217"/>
      <c r="CY256" s="217"/>
      <c r="CZ256" s="217"/>
      <c r="DA256" s="217"/>
      <c r="DB256" s="217"/>
      <c r="DC256" s="217"/>
      <c r="DD256" s="217"/>
      <c r="DE256" s="217"/>
      <c r="DF256" s="217"/>
      <c r="DG256" s="217"/>
      <c r="DH256" s="217"/>
      <c r="DI256" s="217"/>
      <c r="DJ256" s="217"/>
      <c r="DK256" s="217"/>
      <c r="DL256" s="217"/>
      <c r="DM256" s="217"/>
      <c r="DN256" s="217"/>
      <c r="DO256" s="217"/>
      <c r="DP256" s="217"/>
      <c r="DQ256" s="217"/>
      <c r="DR256" s="217"/>
      <c r="DS256" s="217"/>
      <c r="DT256" s="217"/>
    </row>
    <row r="257" spans="1:124" x14ac:dyDescent="0.3">
      <c r="A257" s="217"/>
      <c r="B257" s="217"/>
      <c r="C257" s="217"/>
      <c r="D257" s="217"/>
      <c r="E257" s="217"/>
      <c r="F257" s="217"/>
      <c r="G257" s="217"/>
      <c r="H257" s="217"/>
      <c r="I257" s="217"/>
      <c r="J257" s="217"/>
      <c r="K257" s="217"/>
      <c r="L257" s="217"/>
      <c r="M257" s="217"/>
      <c r="N257" s="217"/>
      <c r="O257" s="217"/>
      <c r="P257" s="217"/>
      <c r="Q257" s="217"/>
      <c r="R257" s="217"/>
      <c r="S257" s="217"/>
      <c r="T257" s="217"/>
      <c r="U257" s="217"/>
      <c r="V257" s="217"/>
      <c r="W257" s="217"/>
      <c r="X257" s="217"/>
      <c r="Y257" s="217"/>
      <c r="Z257" s="217"/>
      <c r="AA257" s="217"/>
      <c r="AB257" s="217"/>
      <c r="AC257" s="217"/>
      <c r="AD257" s="217"/>
      <c r="AE257" s="217"/>
      <c r="AF257" s="217"/>
      <c r="AG257" s="217"/>
      <c r="AH257" s="217"/>
      <c r="AI257" s="217"/>
      <c r="AJ257" s="217"/>
      <c r="AK257" s="217"/>
      <c r="AL257" s="217"/>
      <c r="AM257" s="217"/>
      <c r="AN257" s="217"/>
      <c r="AO257" s="217"/>
      <c r="AP257" s="217"/>
      <c r="AQ257" s="217"/>
      <c r="AR257" s="217"/>
      <c r="AS257" s="217"/>
      <c r="AT257" s="217"/>
      <c r="AU257" s="217"/>
      <c r="AV257" s="217"/>
      <c r="AW257" s="217"/>
      <c r="AX257" s="217"/>
      <c r="AY257" s="217"/>
      <c r="AZ257" s="217"/>
      <c r="BA257" s="217"/>
      <c r="BB257" s="217"/>
      <c r="BC257" s="217"/>
      <c r="BD257" s="217"/>
      <c r="BE257" s="217"/>
      <c r="BF257" s="217"/>
      <c r="BG257" s="217"/>
      <c r="BH257" s="217"/>
      <c r="BI257" s="217"/>
      <c r="BJ257" s="217"/>
      <c r="BK257" s="217"/>
      <c r="BL257" s="217"/>
      <c r="BM257" s="217"/>
      <c r="BN257" s="217"/>
      <c r="BO257" s="217"/>
      <c r="BP257" s="217"/>
      <c r="BQ257" s="217"/>
      <c r="BR257" s="217"/>
      <c r="BS257" s="217"/>
      <c r="BT257" s="217"/>
      <c r="BU257" s="217"/>
      <c r="BV257" s="217"/>
      <c r="BW257" s="217"/>
      <c r="BX257" s="217"/>
      <c r="BY257" s="217"/>
      <c r="BZ257" s="217"/>
      <c r="CA257" s="217"/>
      <c r="CB257" s="217"/>
      <c r="CC257" s="217"/>
      <c r="CD257" s="217"/>
      <c r="CE257" s="217"/>
      <c r="CF257" s="217"/>
      <c r="CG257" s="217"/>
      <c r="CH257" s="217"/>
      <c r="CI257" s="217"/>
      <c r="CJ257" s="217"/>
      <c r="CK257" s="217"/>
      <c r="CL257" s="217"/>
      <c r="CM257" s="217"/>
      <c r="CN257" s="217"/>
      <c r="CO257" s="217"/>
      <c r="CP257" s="217"/>
      <c r="CQ257" s="217"/>
      <c r="CR257" s="217"/>
      <c r="CS257" s="217"/>
      <c r="CT257" s="217"/>
      <c r="CU257" s="217"/>
      <c r="CV257" s="217"/>
      <c r="CW257" s="217"/>
      <c r="CX257" s="217"/>
      <c r="CY257" s="217"/>
      <c r="CZ257" s="217"/>
      <c r="DA257" s="217"/>
      <c r="DB257" s="217"/>
      <c r="DC257" s="217"/>
      <c r="DD257" s="217"/>
      <c r="DE257" s="217"/>
      <c r="DF257" s="217"/>
      <c r="DG257" s="217"/>
      <c r="DH257" s="217"/>
      <c r="DI257" s="217"/>
      <c r="DJ257" s="217"/>
      <c r="DK257" s="217"/>
      <c r="DL257" s="217"/>
      <c r="DM257" s="217"/>
      <c r="DN257" s="217"/>
      <c r="DO257" s="217"/>
      <c r="DP257" s="217"/>
      <c r="DQ257" s="217"/>
      <c r="DR257" s="217"/>
      <c r="DS257" s="217"/>
      <c r="DT257" s="217"/>
    </row>
    <row r="258" spans="1:124" x14ac:dyDescent="0.3">
      <c r="A258" s="217"/>
      <c r="C258" s="399"/>
      <c r="D258" s="399"/>
      <c r="E258" s="399"/>
      <c r="F258" s="399"/>
      <c r="G258" s="399"/>
      <c r="H258" s="399"/>
      <c r="I258" s="399"/>
      <c r="J258" s="399"/>
      <c r="K258" s="399"/>
      <c r="L258" s="399"/>
      <c r="M258" s="399"/>
      <c r="N258" s="399"/>
      <c r="O258" s="399"/>
      <c r="P258" s="399"/>
      <c r="Q258" s="399"/>
      <c r="R258" s="399"/>
      <c r="S258" s="399"/>
      <c r="T258" s="399"/>
      <c r="U258" s="399"/>
      <c r="V258" s="399"/>
      <c r="W258" s="399"/>
      <c r="X258" s="217"/>
      <c r="Y258" s="217"/>
      <c r="Z258" s="217"/>
      <c r="AA258" s="217"/>
      <c r="AB258" s="217"/>
      <c r="AC258" s="217"/>
      <c r="AD258" s="217"/>
      <c r="AE258" s="217"/>
      <c r="AF258" s="217"/>
      <c r="AG258" s="217"/>
      <c r="AH258" s="217"/>
      <c r="AI258" s="217"/>
      <c r="AJ258" s="217"/>
      <c r="AK258" s="217"/>
      <c r="AL258" s="217"/>
      <c r="AM258" s="217"/>
      <c r="AN258" s="217"/>
      <c r="AO258" s="217"/>
      <c r="AP258" s="217"/>
      <c r="AQ258" s="217"/>
      <c r="AR258" s="217"/>
      <c r="AS258" s="217"/>
      <c r="AT258" s="217"/>
      <c r="AU258" s="217"/>
      <c r="AV258" s="217"/>
      <c r="AW258" s="217"/>
      <c r="AX258" s="217"/>
      <c r="AY258" s="217"/>
      <c r="AZ258" s="217"/>
      <c r="BA258" s="217"/>
      <c r="BB258" s="217"/>
      <c r="BC258" s="217"/>
      <c r="BD258" s="217"/>
      <c r="BE258" s="217"/>
      <c r="BF258" s="217"/>
      <c r="BG258" s="217"/>
      <c r="BH258" s="217"/>
      <c r="BI258" s="217"/>
      <c r="BJ258" s="217"/>
      <c r="BK258" s="217"/>
      <c r="BL258" s="217"/>
      <c r="BM258" s="217"/>
      <c r="BN258" s="217"/>
      <c r="BO258" s="217"/>
      <c r="BP258" s="217"/>
      <c r="BQ258" s="217"/>
      <c r="BR258" s="217"/>
      <c r="BS258" s="217"/>
      <c r="BT258" s="217"/>
      <c r="BU258" s="217"/>
      <c r="BV258" s="217"/>
      <c r="BW258" s="217"/>
      <c r="BX258" s="217"/>
      <c r="BY258" s="217"/>
      <c r="BZ258" s="217"/>
      <c r="CA258" s="217"/>
      <c r="CB258" s="217"/>
      <c r="CC258" s="217"/>
      <c r="CD258" s="217"/>
      <c r="CE258" s="217"/>
      <c r="CF258" s="217"/>
      <c r="CG258" s="217"/>
      <c r="CH258" s="217"/>
      <c r="CI258" s="217"/>
      <c r="CJ258" s="217"/>
      <c r="CK258" s="217"/>
      <c r="CL258" s="217"/>
      <c r="CM258" s="217"/>
      <c r="CN258" s="217"/>
      <c r="CO258" s="217"/>
      <c r="CP258" s="217"/>
      <c r="CQ258" s="217"/>
      <c r="CR258" s="217"/>
      <c r="CS258" s="217"/>
      <c r="CT258" s="217"/>
      <c r="CU258" s="217"/>
      <c r="CV258" s="217"/>
      <c r="CW258" s="217"/>
      <c r="CX258" s="217"/>
      <c r="CY258" s="217"/>
      <c r="CZ258" s="217"/>
      <c r="DA258" s="217"/>
      <c r="DB258" s="217"/>
      <c r="DC258" s="217"/>
      <c r="DD258" s="217"/>
      <c r="DE258" s="217"/>
      <c r="DF258" s="217"/>
      <c r="DG258" s="217"/>
      <c r="DH258" s="217"/>
      <c r="DI258" s="217"/>
      <c r="DJ258" s="217"/>
      <c r="DK258" s="217"/>
      <c r="DL258" s="217"/>
      <c r="DM258" s="217"/>
      <c r="DN258" s="217"/>
      <c r="DO258" s="217"/>
      <c r="DP258" s="217"/>
      <c r="DQ258" s="217"/>
      <c r="DR258" s="217"/>
      <c r="DS258" s="217"/>
      <c r="DT258" s="217"/>
    </row>
    <row r="259" spans="1:124" x14ac:dyDescent="0.3">
      <c r="A259" s="217"/>
      <c r="B259" s="223" t="s">
        <v>468</v>
      </c>
      <c r="C259" s="217"/>
      <c r="D259" s="217"/>
      <c r="E259" s="217"/>
      <c r="F259" s="217"/>
      <c r="G259" s="217"/>
      <c r="H259" s="217"/>
      <c r="I259" s="217"/>
      <c r="J259" s="217"/>
      <c r="K259" s="217"/>
      <c r="L259" s="217"/>
      <c r="M259" s="217"/>
      <c r="N259" s="217"/>
      <c r="O259" s="217"/>
      <c r="P259" s="217"/>
      <c r="Q259" s="217"/>
      <c r="R259" s="217"/>
      <c r="S259" s="217"/>
      <c r="T259" s="217"/>
      <c r="U259" s="217"/>
      <c r="V259" s="217"/>
      <c r="W259" s="217"/>
      <c r="X259" s="217"/>
      <c r="Y259" s="217"/>
      <c r="Z259" s="217"/>
      <c r="AA259" s="217"/>
      <c r="AB259" s="217"/>
      <c r="AC259" s="217"/>
      <c r="AD259" s="217"/>
      <c r="AE259" s="217"/>
      <c r="AF259" s="217"/>
      <c r="AG259" s="217"/>
      <c r="AH259" s="217"/>
      <c r="AI259" s="217"/>
      <c r="AJ259" s="217"/>
      <c r="AK259" s="217"/>
      <c r="AL259" s="217"/>
      <c r="AM259" s="217"/>
      <c r="AN259" s="217"/>
      <c r="AO259" s="217"/>
      <c r="AP259" s="217"/>
      <c r="AQ259" s="217"/>
      <c r="AS259" s="217"/>
      <c r="AT259" s="217"/>
      <c r="AU259" s="217"/>
      <c r="AV259" s="217"/>
      <c r="AW259" s="217"/>
      <c r="AX259" s="217"/>
      <c r="AY259" s="217"/>
      <c r="AZ259" s="217"/>
      <c r="BA259" s="217"/>
      <c r="BB259" s="217"/>
      <c r="BC259" s="217"/>
      <c r="BD259" s="217"/>
      <c r="BE259" s="217"/>
      <c r="BF259" s="217"/>
      <c r="BG259" s="217"/>
      <c r="BH259" s="217"/>
      <c r="BI259" s="217"/>
      <c r="BJ259" s="217"/>
      <c r="BK259" s="217"/>
      <c r="BL259" s="217"/>
      <c r="BM259" s="217"/>
      <c r="BN259" s="217"/>
      <c r="BO259" s="217"/>
      <c r="BP259" s="217"/>
      <c r="BQ259" s="217"/>
      <c r="BR259" s="217"/>
      <c r="BS259" s="217"/>
      <c r="BT259" s="217"/>
      <c r="BU259" s="217"/>
      <c r="BV259" s="217"/>
      <c r="BW259" s="217"/>
      <c r="BX259" s="217"/>
      <c r="BY259" s="217"/>
      <c r="BZ259" s="217"/>
      <c r="CA259" s="217"/>
      <c r="CB259" s="217"/>
      <c r="CC259" s="217"/>
      <c r="CD259" s="217"/>
      <c r="CE259" s="217"/>
      <c r="CF259" s="217"/>
      <c r="CG259" s="217"/>
      <c r="CH259" s="217"/>
      <c r="CI259" s="217"/>
      <c r="CJ259" s="217"/>
      <c r="CK259" s="217"/>
      <c r="CL259" s="217"/>
      <c r="CM259" s="217"/>
      <c r="CN259" s="217"/>
      <c r="CO259" s="217"/>
      <c r="CP259" s="217"/>
      <c r="CQ259" s="217"/>
      <c r="CR259" s="217"/>
      <c r="CS259" s="217"/>
      <c r="CT259" s="217"/>
      <c r="CU259" s="217"/>
      <c r="CV259" s="217"/>
      <c r="CW259" s="217"/>
      <c r="CX259" s="217"/>
      <c r="CY259" s="217"/>
      <c r="CZ259" s="217"/>
      <c r="DA259" s="217"/>
      <c r="DB259" s="217"/>
      <c r="DC259" s="217"/>
      <c r="DD259" s="217"/>
      <c r="DE259" s="217"/>
      <c r="DF259" s="217"/>
      <c r="DG259" s="217"/>
      <c r="DH259" s="217"/>
      <c r="DI259" s="217"/>
      <c r="DJ259" s="217"/>
      <c r="DK259" s="217"/>
      <c r="DL259" s="217"/>
      <c r="DM259" s="217"/>
      <c r="DN259" s="217"/>
      <c r="DO259" s="217"/>
      <c r="DP259" s="217"/>
      <c r="DQ259" s="217"/>
      <c r="DR259" s="217"/>
      <c r="DS259" s="217"/>
      <c r="DT259" s="217"/>
    </row>
    <row r="260" spans="1:124" x14ac:dyDescent="0.3">
      <c r="A260" s="217"/>
      <c r="B260" s="219" t="s">
        <v>143</v>
      </c>
      <c r="C260" s="219" t="s">
        <v>322</v>
      </c>
      <c r="D260" s="219" t="str">
        <f t="array" ref="D260:AQ260">TRANSPOSE(D164:D203)</f>
        <v/>
      </c>
      <c r="E260" s="219" t="str">
        <v/>
      </c>
      <c r="F260" s="219" t="str">
        <v/>
      </c>
      <c r="G260" s="219" t="str">
        <v/>
      </c>
      <c r="H260" s="219" t="str">
        <v/>
      </c>
      <c r="I260" s="219" t="str">
        <v/>
      </c>
      <c r="J260" s="219" t="str">
        <v/>
      </c>
      <c r="K260" s="219" t="str">
        <v/>
      </c>
      <c r="L260" s="219" t="str">
        <v/>
      </c>
      <c r="M260" s="219" t="str">
        <v/>
      </c>
      <c r="N260" s="219" t="str">
        <v/>
      </c>
      <c r="O260" s="219" t="str">
        <v/>
      </c>
      <c r="P260" s="219" t="str">
        <v/>
      </c>
      <c r="Q260" s="219" t="str">
        <v/>
      </c>
      <c r="R260" s="219" t="str">
        <v/>
      </c>
      <c r="S260" s="219" t="str">
        <v/>
      </c>
      <c r="T260" s="219" t="str">
        <v/>
      </c>
      <c r="U260" s="219" t="str">
        <v/>
      </c>
      <c r="V260" s="219" t="str">
        <v/>
      </c>
      <c r="W260" s="219" t="str">
        <v/>
      </c>
      <c r="X260" s="219" t="str">
        <v/>
      </c>
      <c r="Y260" s="219" t="str">
        <v/>
      </c>
      <c r="Z260" s="219" t="str">
        <v/>
      </c>
      <c r="AA260" s="219" t="str">
        <v/>
      </c>
      <c r="AB260" s="219" t="str">
        <v/>
      </c>
      <c r="AC260" s="219" t="str">
        <v/>
      </c>
      <c r="AD260" s="219" t="str">
        <v/>
      </c>
      <c r="AE260" s="219" t="str">
        <v/>
      </c>
      <c r="AF260" s="219" t="str">
        <v/>
      </c>
      <c r="AG260" s="219" t="str">
        <v/>
      </c>
      <c r="AH260" s="219" t="str">
        <v/>
      </c>
      <c r="AI260" s="219" t="str">
        <v/>
      </c>
      <c r="AJ260" s="219" t="str">
        <v/>
      </c>
      <c r="AK260" s="219" t="str">
        <v/>
      </c>
      <c r="AL260" s="219" t="str">
        <v/>
      </c>
      <c r="AM260" s="219" t="str">
        <v/>
      </c>
      <c r="AN260" s="219" t="str">
        <v/>
      </c>
      <c r="AO260" s="219" t="str">
        <v/>
      </c>
      <c r="AP260" s="219" t="str">
        <v/>
      </c>
      <c r="AQ260" s="219" t="str">
        <v/>
      </c>
      <c r="AR260" s="482" t="str">
        <f>'Simplified Screening 2'!D14</f>
        <v>School</v>
      </c>
      <c r="AS260" s="217"/>
      <c r="AT260" s="217"/>
      <c r="AU260" s="217"/>
      <c r="AV260" s="217"/>
      <c r="AW260" s="217"/>
      <c r="AX260" s="217"/>
      <c r="AY260" s="217"/>
      <c r="AZ260" s="217"/>
      <c r="BA260" s="217"/>
      <c r="BB260" s="217"/>
      <c r="BC260" s="217"/>
      <c r="BD260" s="217"/>
      <c r="BE260" s="217"/>
      <c r="BF260" s="217"/>
      <c r="BG260" s="217"/>
      <c r="BH260" s="217"/>
      <c r="BI260" s="217"/>
      <c r="BJ260" s="217"/>
      <c r="BK260" s="217"/>
      <c r="BL260" s="217"/>
      <c r="BM260" s="217"/>
      <c r="BN260" s="217"/>
      <c r="BO260" s="217"/>
      <c r="BP260" s="217"/>
      <c r="BQ260" s="217"/>
      <c r="BR260" s="217"/>
      <c r="BS260" s="217"/>
      <c r="BT260" s="217"/>
      <c r="BU260" s="217"/>
      <c r="BV260" s="217"/>
      <c r="BW260" s="217"/>
      <c r="BX260" s="217"/>
      <c r="BY260" s="217"/>
      <c r="BZ260" s="217"/>
      <c r="CA260" s="217"/>
      <c r="CB260" s="217"/>
      <c r="CC260" s="217"/>
      <c r="CD260" s="217"/>
      <c r="CE260" s="217"/>
      <c r="CF260" s="217"/>
      <c r="CG260" s="217"/>
      <c r="CH260" s="217"/>
      <c r="CI260" s="217"/>
      <c r="CJ260" s="217"/>
      <c r="CK260" s="217"/>
      <c r="CL260" s="217"/>
      <c r="CM260" s="217"/>
      <c r="CN260" s="217"/>
      <c r="CO260" s="217"/>
      <c r="CP260" s="217"/>
      <c r="CQ260" s="217"/>
      <c r="CR260" s="217"/>
      <c r="CS260" s="217"/>
      <c r="CT260" s="217"/>
      <c r="CU260" s="217"/>
      <c r="CV260" s="217"/>
      <c r="CW260" s="217"/>
      <c r="CX260" s="217"/>
      <c r="CY260" s="217"/>
      <c r="CZ260" s="217"/>
      <c r="DA260" s="217"/>
      <c r="DB260" s="217"/>
      <c r="DC260" s="217"/>
      <c r="DD260" s="217"/>
      <c r="DE260" s="217"/>
      <c r="DF260" s="217"/>
      <c r="DG260" s="217"/>
      <c r="DH260" s="217"/>
      <c r="DI260" s="217"/>
      <c r="DJ260" s="217"/>
      <c r="DK260" s="217"/>
      <c r="DL260" s="217"/>
      <c r="DM260" s="217"/>
      <c r="DN260" s="217"/>
      <c r="DO260" s="217"/>
      <c r="DP260" s="217"/>
      <c r="DQ260" s="217"/>
      <c r="DR260" s="217"/>
      <c r="DS260" s="217"/>
      <c r="DT260" s="217"/>
    </row>
    <row r="261" spans="1:124" x14ac:dyDescent="0.3">
      <c r="A261" s="217"/>
      <c r="B261" s="342" t="s">
        <v>772</v>
      </c>
      <c r="C261" s="343">
        <f>SUM(D261:AQ261)</f>
        <v>0</v>
      </c>
      <c r="D261" s="343">
        <f t="array" ref="D261:AQ261">TRANSPOSE(J164:J203)</f>
        <v>0</v>
      </c>
      <c r="E261" s="343">
        <v>0</v>
      </c>
      <c r="F261" s="343">
        <v>0</v>
      </c>
      <c r="G261" s="343">
        <v>0</v>
      </c>
      <c r="H261" s="343">
        <v>0</v>
      </c>
      <c r="I261" s="343">
        <v>0</v>
      </c>
      <c r="J261" s="343">
        <v>0</v>
      </c>
      <c r="K261" s="343">
        <v>0</v>
      </c>
      <c r="L261" s="343">
        <v>0</v>
      </c>
      <c r="M261" s="343">
        <v>0</v>
      </c>
      <c r="N261" s="343">
        <v>0</v>
      </c>
      <c r="O261" s="343">
        <v>0</v>
      </c>
      <c r="P261" s="343">
        <v>0</v>
      </c>
      <c r="Q261" s="343">
        <v>0</v>
      </c>
      <c r="R261" s="343">
        <v>0</v>
      </c>
      <c r="S261" s="343">
        <v>0</v>
      </c>
      <c r="T261" s="343">
        <v>0</v>
      </c>
      <c r="U261" s="343">
        <v>0</v>
      </c>
      <c r="V261" s="343">
        <v>0</v>
      </c>
      <c r="W261" s="343">
        <v>0</v>
      </c>
      <c r="X261" s="343">
        <v>0</v>
      </c>
      <c r="Y261" s="343">
        <v>0</v>
      </c>
      <c r="Z261" s="343">
        <v>0</v>
      </c>
      <c r="AA261" s="343">
        <v>0</v>
      </c>
      <c r="AB261" s="343">
        <v>0</v>
      </c>
      <c r="AC261" s="343">
        <v>0</v>
      </c>
      <c r="AD261" s="343">
        <v>0</v>
      </c>
      <c r="AE261" s="343">
        <v>0</v>
      </c>
      <c r="AF261" s="343">
        <v>0</v>
      </c>
      <c r="AG261" s="343">
        <v>0</v>
      </c>
      <c r="AH261" s="343">
        <v>0</v>
      </c>
      <c r="AI261" s="343">
        <v>0</v>
      </c>
      <c r="AJ261" s="343">
        <v>0</v>
      </c>
      <c r="AK261" s="343">
        <v>0</v>
      </c>
      <c r="AL261" s="343">
        <v>0</v>
      </c>
      <c r="AM261" s="343">
        <v>0</v>
      </c>
      <c r="AN261" s="343">
        <v>0</v>
      </c>
      <c r="AO261" s="343">
        <v>0</v>
      </c>
      <c r="AP261" s="343">
        <v>0</v>
      </c>
      <c r="AQ261" s="343">
        <v>0</v>
      </c>
      <c r="AR261" s="343">
        <f>'Simplified Screening 2'!H14</f>
        <v>1.8620151326107861E-3</v>
      </c>
      <c r="AS261" s="217"/>
      <c r="AT261" s="217"/>
      <c r="AU261" s="217"/>
      <c r="AV261" s="217"/>
      <c r="AW261" s="217"/>
      <c r="AX261" s="217"/>
      <c r="AY261" s="217"/>
      <c r="AZ261" s="217"/>
      <c r="BA261" s="217"/>
      <c r="BB261" s="217"/>
      <c r="BC261" s="217"/>
      <c r="BD261" s="217"/>
      <c r="BE261" s="217"/>
      <c r="BF261" s="217"/>
      <c r="BG261" s="217"/>
      <c r="BH261" s="217"/>
      <c r="BI261" s="217"/>
      <c r="BJ261" s="217"/>
      <c r="BK261" s="217"/>
      <c r="BL261" s="217"/>
      <c r="BM261" s="217"/>
      <c r="BN261" s="217"/>
      <c r="BO261" s="217"/>
      <c r="BP261" s="217"/>
      <c r="BQ261" s="217"/>
      <c r="BR261" s="217"/>
      <c r="BS261" s="217"/>
      <c r="BT261" s="217"/>
      <c r="BU261" s="217"/>
      <c r="BV261" s="217"/>
      <c r="BW261" s="217"/>
      <c r="BX261" s="217"/>
      <c r="BY261" s="217"/>
      <c r="BZ261" s="217"/>
      <c r="CA261" s="217"/>
      <c r="CB261" s="217"/>
      <c r="CC261" s="217"/>
      <c r="CD261" s="217"/>
      <c r="CE261" s="217"/>
      <c r="CF261" s="217"/>
      <c r="CG261" s="217"/>
      <c r="CH261" s="217"/>
      <c r="CI261" s="217"/>
      <c r="CJ261" s="217"/>
      <c r="CK261" s="217"/>
      <c r="CL261" s="217"/>
      <c r="CM261" s="217"/>
      <c r="CN261" s="217"/>
      <c r="CO261" s="217"/>
      <c r="CP261" s="217"/>
      <c r="CQ261" s="217"/>
      <c r="CR261" s="217"/>
      <c r="CS261" s="217"/>
      <c r="CT261" s="217"/>
      <c r="CU261" s="217"/>
      <c r="CV261" s="217"/>
      <c r="CW261" s="217"/>
      <c r="CX261" s="217"/>
      <c r="CY261" s="217"/>
      <c r="CZ261" s="217"/>
      <c r="DA261" s="217"/>
      <c r="DB261" s="217"/>
      <c r="DC261" s="217"/>
      <c r="DD261" s="217"/>
      <c r="DE261" s="217"/>
      <c r="DF261" s="217"/>
      <c r="DG261" s="217"/>
      <c r="DH261" s="217"/>
      <c r="DI261" s="217"/>
      <c r="DJ261" s="217"/>
      <c r="DK261" s="217"/>
      <c r="DL261" s="217"/>
      <c r="DM261" s="217"/>
      <c r="DN261" s="217"/>
      <c r="DO261" s="217"/>
      <c r="DP261" s="217"/>
      <c r="DQ261" s="217"/>
      <c r="DR261" s="217"/>
      <c r="DS261" s="217"/>
      <c r="DT261" s="217"/>
    </row>
    <row r="262" spans="1:124" x14ac:dyDescent="0.3">
      <c r="A262" s="217"/>
      <c r="B262" s="342" t="s">
        <v>773</v>
      </c>
      <c r="C262" s="344">
        <f>C261/Conversions!$C$4</f>
        <v>0</v>
      </c>
      <c r="D262" s="344">
        <f>D261/Conversions!$C$4</f>
        <v>0</v>
      </c>
      <c r="E262" s="344">
        <f>E261/Conversions!$C$4</f>
        <v>0</v>
      </c>
      <c r="F262" s="344">
        <f>F261/Conversions!$C$4</f>
        <v>0</v>
      </c>
      <c r="G262" s="344">
        <f>G261/Conversions!$C$4</f>
        <v>0</v>
      </c>
      <c r="H262" s="344">
        <f>H261/Conversions!$C$4</f>
        <v>0</v>
      </c>
      <c r="I262" s="344">
        <f>I261/Conversions!$C$4</f>
        <v>0</v>
      </c>
      <c r="J262" s="344">
        <f>J261/Conversions!$C$4</f>
        <v>0</v>
      </c>
      <c r="K262" s="344">
        <f>K261/Conversions!$C$4</f>
        <v>0</v>
      </c>
      <c r="L262" s="344">
        <f>L261/Conversions!$C$4</f>
        <v>0</v>
      </c>
      <c r="M262" s="344">
        <f>M261/Conversions!$C$4</f>
        <v>0</v>
      </c>
      <c r="N262" s="344">
        <f>N261/Conversions!$C$4</f>
        <v>0</v>
      </c>
      <c r="O262" s="344">
        <f>O261/Conversions!$C$4</f>
        <v>0</v>
      </c>
      <c r="P262" s="344">
        <f>P261/Conversions!$C$4</f>
        <v>0</v>
      </c>
      <c r="Q262" s="344">
        <f>Q261/Conversions!$C$4</f>
        <v>0</v>
      </c>
      <c r="R262" s="344">
        <f>R261/Conversions!$C$4</f>
        <v>0</v>
      </c>
      <c r="S262" s="344">
        <f>S261/Conversions!$C$4</f>
        <v>0</v>
      </c>
      <c r="T262" s="344">
        <f>T261/Conversions!$C$4</f>
        <v>0</v>
      </c>
      <c r="U262" s="344">
        <f>U261/Conversions!$C$4</f>
        <v>0</v>
      </c>
      <c r="V262" s="344">
        <f>V261/Conversions!$C$4</f>
        <v>0</v>
      </c>
      <c r="W262" s="344">
        <f>W261/Conversions!$C$4</f>
        <v>0</v>
      </c>
      <c r="X262" s="344">
        <f>X261/Conversions!$C$4</f>
        <v>0</v>
      </c>
      <c r="Y262" s="344">
        <f>Y261/Conversions!$C$4</f>
        <v>0</v>
      </c>
      <c r="Z262" s="344">
        <f>Z261/Conversions!$C$4</f>
        <v>0</v>
      </c>
      <c r="AA262" s="344">
        <f>AA261/Conversions!$C$4</f>
        <v>0</v>
      </c>
      <c r="AB262" s="344">
        <f>AB261/Conversions!$C$4</f>
        <v>0</v>
      </c>
      <c r="AC262" s="344">
        <f>AC261/Conversions!$C$4</f>
        <v>0</v>
      </c>
      <c r="AD262" s="344">
        <f>AD261/Conversions!$C$4</f>
        <v>0</v>
      </c>
      <c r="AE262" s="344">
        <f>AE261/Conversions!$C$4</f>
        <v>0</v>
      </c>
      <c r="AF262" s="344">
        <f>AF261/Conversions!$C$4</f>
        <v>0</v>
      </c>
      <c r="AG262" s="344">
        <f>AG261/Conversions!$C$4</f>
        <v>0</v>
      </c>
      <c r="AH262" s="344">
        <f>AH261/Conversions!$C$4</f>
        <v>0</v>
      </c>
      <c r="AI262" s="344">
        <f>AI261/Conversions!$C$4</f>
        <v>0</v>
      </c>
      <c r="AJ262" s="344">
        <f>AJ261/Conversions!$C$4</f>
        <v>0</v>
      </c>
      <c r="AK262" s="344">
        <f>AK261/Conversions!$C$4</f>
        <v>0</v>
      </c>
      <c r="AL262" s="344">
        <f>AL261/Conversions!$C$4</f>
        <v>0</v>
      </c>
      <c r="AM262" s="344">
        <f>AM261/Conversions!$C$4</f>
        <v>0</v>
      </c>
      <c r="AN262" s="344">
        <f>AN261/Conversions!$C$4</f>
        <v>0</v>
      </c>
      <c r="AO262" s="344">
        <f>AO261/Conversions!$C$4</f>
        <v>0</v>
      </c>
      <c r="AP262" s="344">
        <f>AP261/Conversions!$C$4</f>
        <v>0</v>
      </c>
      <c r="AQ262" s="344">
        <f>AQ261/Conversions!$C$4</f>
        <v>0</v>
      </c>
      <c r="AR262" s="344">
        <f>AR261/Conversions!$C$4</f>
        <v>4.1049716327398285</v>
      </c>
      <c r="AS262" s="217"/>
      <c r="AT262" s="217"/>
      <c r="AU262" s="217"/>
      <c r="AV262" s="217"/>
      <c r="AW262" s="217"/>
      <c r="AX262" s="217"/>
      <c r="AY262" s="217"/>
      <c r="AZ262" s="217"/>
      <c r="BA262" s="217"/>
      <c r="BB262" s="217"/>
      <c r="BC262" s="217"/>
      <c r="BD262" s="217"/>
      <c r="BE262" s="217"/>
      <c r="BF262" s="217"/>
      <c r="BG262" s="217"/>
      <c r="BH262" s="217"/>
      <c r="BI262" s="217"/>
      <c r="BJ262" s="217"/>
      <c r="BK262" s="217"/>
      <c r="BL262" s="217"/>
      <c r="BM262" s="217"/>
      <c r="BN262" s="217"/>
      <c r="BO262" s="217"/>
      <c r="BP262" s="217"/>
      <c r="BQ262" s="217"/>
      <c r="BR262" s="217"/>
      <c r="BS262" s="217"/>
      <c r="BT262" s="217"/>
      <c r="BU262" s="217"/>
      <c r="BV262" s="217"/>
      <c r="BW262" s="217"/>
      <c r="BX262" s="217"/>
      <c r="BY262" s="217"/>
      <c r="BZ262" s="217"/>
      <c r="CA262" s="217"/>
      <c r="CB262" s="217"/>
      <c r="CC262" s="217"/>
      <c r="CD262" s="217"/>
      <c r="CE262" s="217"/>
      <c r="CF262" s="217"/>
      <c r="CG262" s="217"/>
      <c r="CH262" s="217"/>
      <c r="CI262" s="217"/>
      <c r="CJ262" s="217"/>
      <c r="CK262" s="217"/>
      <c r="CL262" s="217"/>
      <c r="CM262" s="217"/>
      <c r="CN262" s="217"/>
      <c r="CO262" s="217"/>
      <c r="CP262" s="217"/>
      <c r="CQ262" s="217"/>
      <c r="CR262" s="217"/>
      <c r="CS262" s="217"/>
      <c r="CT262" s="217"/>
      <c r="CU262" s="217"/>
      <c r="CV262" s="217"/>
      <c r="CW262" s="217"/>
      <c r="CX262" s="217"/>
      <c r="CY262" s="217"/>
      <c r="CZ262" s="217"/>
      <c r="DA262" s="217"/>
      <c r="DB262" s="217"/>
      <c r="DC262" s="217"/>
      <c r="DD262" s="217"/>
      <c r="DE262" s="217"/>
      <c r="DF262" s="217"/>
      <c r="DG262" s="217"/>
      <c r="DH262" s="217"/>
      <c r="DI262" s="217"/>
      <c r="DJ262" s="217"/>
      <c r="DK262" s="217"/>
      <c r="DL262" s="217"/>
      <c r="DM262" s="217"/>
      <c r="DN262" s="217"/>
      <c r="DO262" s="217"/>
      <c r="DP262" s="217"/>
      <c r="DQ262" s="217"/>
      <c r="DR262" s="217"/>
      <c r="DS262" s="217"/>
      <c r="DT262" s="217"/>
    </row>
    <row r="263" spans="1:124" x14ac:dyDescent="0.3">
      <c r="A263" s="217"/>
      <c r="B263" s="342" t="s">
        <v>469</v>
      </c>
      <c r="C263" s="344">
        <f>SUM(C265:C344)</f>
        <v>0</v>
      </c>
      <c r="D263" s="344">
        <f t="shared" ref="D263:AR263" si="339">SUM(D265:D344)</f>
        <v>0</v>
      </c>
      <c r="E263" s="344">
        <f t="shared" si="339"/>
        <v>0</v>
      </c>
      <c r="F263" s="344">
        <f t="shared" si="339"/>
        <v>0</v>
      </c>
      <c r="G263" s="344">
        <f t="shared" si="339"/>
        <v>0</v>
      </c>
      <c r="H263" s="344">
        <f t="shared" si="339"/>
        <v>0</v>
      </c>
      <c r="I263" s="344">
        <f t="shared" si="339"/>
        <v>0</v>
      </c>
      <c r="J263" s="344">
        <f t="shared" si="339"/>
        <v>0</v>
      </c>
      <c r="K263" s="344">
        <f t="shared" si="339"/>
        <v>0</v>
      </c>
      <c r="L263" s="344">
        <f t="shared" si="339"/>
        <v>0</v>
      </c>
      <c r="M263" s="344">
        <f t="shared" si="339"/>
        <v>0</v>
      </c>
      <c r="N263" s="344">
        <f t="shared" si="339"/>
        <v>0</v>
      </c>
      <c r="O263" s="344">
        <f t="shared" si="339"/>
        <v>0</v>
      </c>
      <c r="P263" s="344">
        <f t="shared" si="339"/>
        <v>0</v>
      </c>
      <c r="Q263" s="344">
        <f t="shared" si="339"/>
        <v>0</v>
      </c>
      <c r="R263" s="344">
        <f t="shared" si="339"/>
        <v>0</v>
      </c>
      <c r="S263" s="344">
        <f t="shared" si="339"/>
        <v>0</v>
      </c>
      <c r="T263" s="344">
        <f t="shared" si="339"/>
        <v>0</v>
      </c>
      <c r="U263" s="344">
        <f t="shared" si="339"/>
        <v>0</v>
      </c>
      <c r="V263" s="344">
        <f t="shared" si="339"/>
        <v>0</v>
      </c>
      <c r="W263" s="344">
        <f t="shared" si="339"/>
        <v>0</v>
      </c>
      <c r="X263" s="344">
        <f t="shared" si="339"/>
        <v>0</v>
      </c>
      <c r="Y263" s="344">
        <f t="shared" si="339"/>
        <v>0</v>
      </c>
      <c r="Z263" s="344">
        <f t="shared" si="339"/>
        <v>0</v>
      </c>
      <c r="AA263" s="344">
        <f t="shared" si="339"/>
        <v>0</v>
      </c>
      <c r="AB263" s="344">
        <f t="shared" si="339"/>
        <v>0</v>
      </c>
      <c r="AC263" s="344">
        <f t="shared" si="339"/>
        <v>0</v>
      </c>
      <c r="AD263" s="344">
        <f t="shared" si="339"/>
        <v>0</v>
      </c>
      <c r="AE263" s="344">
        <f t="shared" si="339"/>
        <v>0</v>
      </c>
      <c r="AF263" s="344">
        <f t="shared" si="339"/>
        <v>0</v>
      </c>
      <c r="AG263" s="344">
        <f t="shared" si="339"/>
        <v>0</v>
      </c>
      <c r="AH263" s="344">
        <f t="shared" si="339"/>
        <v>0</v>
      </c>
      <c r="AI263" s="344">
        <f t="shared" si="339"/>
        <v>0</v>
      </c>
      <c r="AJ263" s="344">
        <f t="shared" si="339"/>
        <v>0</v>
      </c>
      <c r="AK263" s="344">
        <f t="shared" si="339"/>
        <v>0</v>
      </c>
      <c r="AL263" s="344">
        <f t="shared" si="339"/>
        <v>0</v>
      </c>
      <c r="AM263" s="344">
        <f t="shared" si="339"/>
        <v>0</v>
      </c>
      <c r="AN263" s="344">
        <f t="shared" si="339"/>
        <v>0</v>
      </c>
      <c r="AO263" s="344">
        <f t="shared" si="339"/>
        <v>0</v>
      </c>
      <c r="AP263" s="344">
        <f t="shared" si="339"/>
        <v>0</v>
      </c>
      <c r="AQ263" s="344">
        <f t="shared" si="339"/>
        <v>0</v>
      </c>
      <c r="AR263" s="344">
        <f t="shared" si="339"/>
        <v>2.1888209614954794</v>
      </c>
      <c r="AS263" s="217"/>
      <c r="AT263" s="217"/>
      <c r="AU263" s="217"/>
      <c r="AV263" s="217"/>
      <c r="AW263" s="217"/>
      <c r="AX263" s="217"/>
      <c r="AY263" s="217"/>
      <c r="AZ263" s="217"/>
      <c r="BA263" s="217"/>
      <c r="BB263" s="217"/>
      <c r="BC263" s="217"/>
      <c r="BD263" s="217"/>
      <c r="BE263" s="217"/>
      <c r="BF263" s="217"/>
      <c r="BG263" s="217"/>
      <c r="BH263" s="217"/>
      <c r="BI263" s="217"/>
      <c r="BJ263" s="217"/>
      <c r="BK263" s="217"/>
      <c r="BL263" s="217"/>
      <c r="BM263" s="217"/>
      <c r="BN263" s="217"/>
      <c r="BO263" s="217"/>
      <c r="BP263" s="217"/>
      <c r="BQ263" s="217"/>
      <c r="BR263" s="217"/>
      <c r="BS263" s="217"/>
      <c r="BT263" s="217"/>
      <c r="BU263" s="217"/>
      <c r="BV263" s="217"/>
      <c r="BW263" s="217"/>
      <c r="BX263" s="217"/>
      <c r="BY263" s="217"/>
      <c r="BZ263" s="217"/>
      <c r="CA263" s="217"/>
      <c r="CB263" s="217"/>
      <c r="CC263" s="217"/>
      <c r="CD263" s="217"/>
      <c r="CE263" s="217"/>
      <c r="CF263" s="217"/>
      <c r="CG263" s="217"/>
      <c r="CH263" s="217"/>
      <c r="CI263" s="217"/>
      <c r="CJ263" s="217"/>
      <c r="CK263" s="217"/>
      <c r="CL263" s="217"/>
      <c r="CM263" s="217"/>
      <c r="CN263" s="217"/>
      <c r="CO263" s="217"/>
      <c r="CP263" s="217"/>
      <c r="CQ263" s="217"/>
      <c r="CR263" s="217"/>
      <c r="CS263" s="217"/>
      <c r="CT263" s="217"/>
      <c r="CU263" s="217"/>
      <c r="CV263" s="217"/>
      <c r="CW263" s="217"/>
      <c r="CX263" s="217"/>
      <c r="CY263" s="217"/>
      <c r="CZ263" s="217"/>
      <c r="DA263" s="217"/>
      <c r="DB263" s="217"/>
      <c r="DC263" s="217"/>
      <c r="DD263" s="217"/>
      <c r="DE263" s="217"/>
      <c r="DF263" s="217"/>
      <c r="DG263" s="217"/>
      <c r="DH263" s="217"/>
      <c r="DI263" s="217"/>
      <c r="DJ263" s="217"/>
      <c r="DK263" s="217"/>
      <c r="DL263" s="217"/>
      <c r="DM263" s="217"/>
      <c r="DN263" s="217"/>
      <c r="DO263" s="217"/>
      <c r="DP263" s="217"/>
      <c r="DQ263" s="217"/>
      <c r="DR263" s="217"/>
      <c r="DS263" s="217"/>
      <c r="DT263" s="217"/>
    </row>
    <row r="264" spans="1:124" x14ac:dyDescent="0.3">
      <c r="A264" s="217"/>
      <c r="B264" s="342" t="s">
        <v>470</v>
      </c>
      <c r="C264" s="343">
        <f>C263*Conversions!$C$4</f>
        <v>0</v>
      </c>
      <c r="D264" s="343">
        <f>D263*Conversions!$C$4</f>
        <v>0</v>
      </c>
      <c r="E264" s="343">
        <f>E263*Conversions!$C$4</f>
        <v>0</v>
      </c>
      <c r="F264" s="343">
        <f>F263*Conversions!$C$4</f>
        <v>0</v>
      </c>
      <c r="G264" s="343">
        <f>G263*Conversions!$C$4</f>
        <v>0</v>
      </c>
      <c r="H264" s="343">
        <f>H263*Conversions!$C$4</f>
        <v>0</v>
      </c>
      <c r="I264" s="343">
        <f>I263*Conversions!$C$4</f>
        <v>0</v>
      </c>
      <c r="J264" s="343">
        <f>J263*Conversions!$C$4</f>
        <v>0</v>
      </c>
      <c r="K264" s="343">
        <f>K263*Conversions!$C$4</f>
        <v>0</v>
      </c>
      <c r="L264" s="343">
        <f>L263*Conversions!$C$4</f>
        <v>0</v>
      </c>
      <c r="M264" s="343">
        <f>M263*Conversions!$C$4</f>
        <v>0</v>
      </c>
      <c r="N264" s="343">
        <f>N263*Conversions!$C$4</f>
        <v>0</v>
      </c>
      <c r="O264" s="343">
        <f>O263*Conversions!$C$4</f>
        <v>0</v>
      </c>
      <c r="P264" s="343">
        <f>P263*Conversions!$C$4</f>
        <v>0</v>
      </c>
      <c r="Q264" s="343">
        <f>Q263*Conversions!$C$4</f>
        <v>0</v>
      </c>
      <c r="R264" s="343">
        <f>R263*Conversions!$C$4</f>
        <v>0</v>
      </c>
      <c r="S264" s="343">
        <f>S263*Conversions!$C$4</f>
        <v>0</v>
      </c>
      <c r="T264" s="343">
        <f>T263*Conversions!$C$4</f>
        <v>0</v>
      </c>
      <c r="U264" s="343">
        <f>U263*Conversions!$C$4</f>
        <v>0</v>
      </c>
      <c r="V264" s="343">
        <f>V263*Conversions!$C$4</f>
        <v>0</v>
      </c>
      <c r="W264" s="343">
        <f>W263*Conversions!$C$4</f>
        <v>0</v>
      </c>
      <c r="X264" s="343">
        <f>X263*Conversions!$C$4</f>
        <v>0</v>
      </c>
      <c r="Y264" s="343">
        <f>Y263*Conversions!$C$4</f>
        <v>0</v>
      </c>
      <c r="Z264" s="343">
        <f>Z263*Conversions!$C$4</f>
        <v>0</v>
      </c>
      <c r="AA264" s="343">
        <f>AA263*Conversions!$C$4</f>
        <v>0</v>
      </c>
      <c r="AB264" s="343">
        <f>AB263*Conversions!$C$4</f>
        <v>0</v>
      </c>
      <c r="AC264" s="343">
        <f>AC263*Conversions!$C$4</f>
        <v>0</v>
      </c>
      <c r="AD264" s="343">
        <f>AD263*Conversions!$C$4</f>
        <v>0</v>
      </c>
      <c r="AE264" s="343">
        <f>AE263*Conversions!$C$4</f>
        <v>0</v>
      </c>
      <c r="AF264" s="343">
        <f>AF263*Conversions!$C$4</f>
        <v>0</v>
      </c>
      <c r="AG264" s="343">
        <f>AG263*Conversions!$C$4</f>
        <v>0</v>
      </c>
      <c r="AH264" s="343">
        <f>AH263*Conversions!$C$4</f>
        <v>0</v>
      </c>
      <c r="AI264" s="343">
        <f>AI263*Conversions!$C$4</f>
        <v>0</v>
      </c>
      <c r="AJ264" s="343">
        <f>AJ263*Conversions!$C$4</f>
        <v>0</v>
      </c>
      <c r="AK264" s="343">
        <f>AK263*Conversions!$C$4</f>
        <v>0</v>
      </c>
      <c r="AL264" s="343">
        <f>AL263*Conversions!$C$4</f>
        <v>0</v>
      </c>
      <c r="AM264" s="343">
        <f>AM263*Conversions!$C$4</f>
        <v>0</v>
      </c>
      <c r="AN264" s="343">
        <f>AN263*Conversions!$C$4</f>
        <v>0</v>
      </c>
      <c r="AO264" s="343">
        <f>AO263*Conversions!$C$4</f>
        <v>0</v>
      </c>
      <c r="AP264" s="343">
        <f>AP263*Conversions!$C$4</f>
        <v>0</v>
      </c>
      <c r="AQ264" s="343">
        <f>AQ263*Conversions!$C$4</f>
        <v>0</v>
      </c>
      <c r="AR264" s="343">
        <f>AR263*Conversions!$C$4</f>
        <v>9.9284918813434954E-4</v>
      </c>
      <c r="AS264" s="217"/>
      <c r="AT264" s="217"/>
      <c r="AU264" s="217"/>
      <c r="AV264" s="217"/>
      <c r="AW264" s="217"/>
      <c r="AX264" s="217"/>
      <c r="AY264" s="217"/>
      <c r="AZ264" s="217"/>
      <c r="BA264" s="217"/>
      <c r="BB264" s="217"/>
      <c r="BC264" s="217"/>
      <c r="BD264" s="217"/>
      <c r="BE264" s="217"/>
      <c r="BF264" s="217"/>
      <c r="BG264" s="217"/>
      <c r="BH264" s="217"/>
      <c r="BI264" s="217"/>
      <c r="BJ264" s="217"/>
      <c r="BK264" s="217"/>
      <c r="BL264" s="217"/>
      <c r="BM264" s="217"/>
      <c r="BN264" s="217"/>
      <c r="BO264" s="217"/>
      <c r="BP264" s="217"/>
      <c r="BQ264" s="217"/>
      <c r="BR264" s="217"/>
      <c r="BS264" s="217"/>
      <c r="BT264" s="217"/>
      <c r="BU264" s="217"/>
      <c r="BV264" s="217"/>
      <c r="BW264" s="217"/>
      <c r="BX264" s="217"/>
      <c r="BY264" s="217"/>
      <c r="BZ264" s="217"/>
      <c r="CA264" s="217"/>
      <c r="CB264" s="217"/>
      <c r="CC264" s="217"/>
      <c r="CD264" s="217"/>
      <c r="CE264" s="217"/>
      <c r="CF264" s="217"/>
      <c r="CG264" s="217"/>
      <c r="CH264" s="217"/>
      <c r="CI264" s="217"/>
      <c r="CJ264" s="217"/>
      <c r="CK264" s="217"/>
      <c r="CL264" s="217"/>
      <c r="CM264" s="217"/>
      <c r="CN264" s="217"/>
      <c r="CO264" s="217"/>
      <c r="CP264" s="217"/>
      <c r="CQ264" s="217"/>
      <c r="CR264" s="217"/>
      <c r="CS264" s="217"/>
      <c r="CT264" s="217"/>
      <c r="CU264" s="217"/>
      <c r="CV264" s="217"/>
      <c r="CW264" s="217"/>
      <c r="CX264" s="217"/>
      <c r="CY264" s="217"/>
      <c r="CZ264" s="217"/>
      <c r="DA264" s="217"/>
      <c r="DB264" s="217"/>
      <c r="DC264" s="217"/>
      <c r="DD264" s="217"/>
      <c r="DE264" s="217"/>
      <c r="DF264" s="217"/>
      <c r="DG264" s="217"/>
      <c r="DH264" s="217"/>
      <c r="DI264" s="217"/>
      <c r="DJ264" s="217"/>
      <c r="DK264" s="217"/>
      <c r="DL264" s="217"/>
      <c r="DM264" s="217"/>
      <c r="DN264" s="217"/>
      <c r="DO264" s="217"/>
      <c r="DP264" s="217"/>
      <c r="DQ264" s="217"/>
      <c r="DR264" s="217"/>
      <c r="DS264" s="217"/>
      <c r="DT264" s="217"/>
    </row>
    <row r="265" spans="1:124" x14ac:dyDescent="0.3">
      <c r="A265" s="217"/>
      <c r="B265" s="342" t="s">
        <v>177</v>
      </c>
      <c r="C265" s="345">
        <f>SUM(D265:AQ265)</f>
        <v>0</v>
      </c>
      <c r="D265" s="346" t="str">
        <f>IF(D$260="","",D$262*VLOOKUP(D$260&amp;" (All)",'Default Values'!$B$162:$CD$181,MATCH($B265,'Default Values'!$B$101:$CD$101,0),0))</f>
        <v/>
      </c>
      <c r="E265" s="346" t="str">
        <f>IF(E$260="","",E$262*VLOOKUP(E$260&amp;" (All)",'Default Values'!$B$162:$CD$181,MATCH($B265,'Default Values'!$B$101:$CD$101,0),0))</f>
        <v/>
      </c>
      <c r="F265" s="346" t="str">
        <f>IF(F$260="","",F$262*VLOOKUP(F$260&amp;" (All)",'Default Values'!$B$162:$CD$181,MATCH($B265,'Default Values'!$B$101:$CD$101,0),0))</f>
        <v/>
      </c>
      <c r="G265" s="346" t="str">
        <f>IF(G$260="","",G$262*VLOOKUP(G$260&amp;" (All)",'Default Values'!$B$162:$CD$181,MATCH($B265,'Default Values'!$B$101:$CD$101,0),0))</f>
        <v/>
      </c>
      <c r="H265" s="346" t="str">
        <f>IF(H$260="","",H$262*VLOOKUP(H$260&amp;" (All)",'Default Values'!$B$162:$CD$181,MATCH($B265,'Default Values'!$B$101:$CD$101,0),0))</f>
        <v/>
      </c>
      <c r="I265" s="346" t="str">
        <f>IF(I$260="","",I$262*VLOOKUP(I$260&amp;" (All)",'Default Values'!$B$162:$CD$181,MATCH($B265,'Default Values'!$B$101:$CD$101,0),0))</f>
        <v/>
      </c>
      <c r="J265" s="346" t="str">
        <f>IF(J$260="","",J$262*VLOOKUP(J$260&amp;" (All)",'Default Values'!$B$162:$CD$181,MATCH($B265,'Default Values'!$B$101:$CD$101,0),0))</f>
        <v/>
      </c>
      <c r="K265" s="346" t="str">
        <f>IF(K$260="","",K$262*VLOOKUP(K$260&amp;" (All)",'Default Values'!$B$162:$CD$181,MATCH($B265,'Default Values'!$B$101:$CD$101,0),0))</f>
        <v/>
      </c>
      <c r="L265" s="346" t="str">
        <f>IF(L$260="","",L$262*VLOOKUP(L$260&amp;" (All)",'Default Values'!$B$162:$CD$181,MATCH($B265,'Default Values'!$B$101:$CD$101,0),0))</f>
        <v/>
      </c>
      <c r="M265" s="346" t="str">
        <f>IF(M$260="","",M$262*VLOOKUP(M$260&amp;" (All)",'Default Values'!$B$162:$CD$181,MATCH($B265,'Default Values'!$B$101:$CD$101,0),0))</f>
        <v/>
      </c>
      <c r="N265" s="346" t="str">
        <f>IF(N$260="","",N$262*VLOOKUP(N$260&amp;" (All)",'Default Values'!$B$162:$CD$181,MATCH($B265,'Default Values'!$B$101:$CD$101,0),0))</f>
        <v/>
      </c>
      <c r="O265" s="346" t="str">
        <f>IF(O$260="","",O$262*VLOOKUP(O$260&amp;" (All)",'Default Values'!$B$162:$CD$181,MATCH($B265,'Default Values'!$B$101:$CD$101,0),0))</f>
        <v/>
      </c>
      <c r="P265" s="346" t="str">
        <f>IF(P$260="","",P$262*VLOOKUP(P$260&amp;" (All)",'Default Values'!$B$162:$CD$181,MATCH($B265,'Default Values'!$B$101:$CD$101,0),0))</f>
        <v/>
      </c>
      <c r="Q265" s="346" t="str">
        <f>IF(Q$260="","",Q$262*VLOOKUP(Q$260&amp;" (All)",'Default Values'!$B$162:$CD$181,MATCH($B265,'Default Values'!$B$101:$CD$101,0),0))</f>
        <v/>
      </c>
      <c r="R265" s="346" t="str">
        <f>IF(R$260="","",R$262*VLOOKUP(R$260&amp;" (All)",'Default Values'!$B$162:$CD$181,MATCH($B265,'Default Values'!$B$101:$CD$101,0),0))</f>
        <v/>
      </c>
      <c r="S265" s="346" t="str">
        <f>IF(S$260="","",S$262*VLOOKUP(S$260&amp;" (All)",'Default Values'!$B$162:$CD$181,MATCH($B265,'Default Values'!$B$101:$CD$101,0),0))</f>
        <v/>
      </c>
      <c r="T265" s="346" t="str">
        <f>IF(T$260="","",T$262*VLOOKUP(T$260&amp;" (All)",'Default Values'!$B$162:$CD$181,MATCH($B265,'Default Values'!$B$101:$CD$101,0),0))</f>
        <v/>
      </c>
      <c r="U265" s="346" t="str">
        <f>IF(U$260="","",U$262*VLOOKUP(U$260&amp;" (All)",'Default Values'!$B$162:$CD$181,MATCH($B265,'Default Values'!$B$101:$CD$101,0),0))</f>
        <v/>
      </c>
      <c r="V265" s="346" t="str">
        <f>IF(V$260="","",V$262*VLOOKUP(V$260&amp;" (All)",'Default Values'!$B$162:$CD$181,MATCH($B265,'Default Values'!$B$101:$CD$101,0),0))</f>
        <v/>
      </c>
      <c r="W265" s="346" t="str">
        <f>IF(W$260="","",W$262*VLOOKUP(W$260&amp;" (All)",'Default Values'!$B$162:$CD$181,MATCH($B265,'Default Values'!$B$101:$CD$101,0),0))</f>
        <v/>
      </c>
      <c r="X265" s="346" t="str">
        <f>IF(X$260="","",X$262*VLOOKUP(X$260&amp;" (All)",'Default Values'!$B$162:$CD$181,MATCH($B265,'Default Values'!$B$101:$CD$101,0),0))</f>
        <v/>
      </c>
      <c r="Y265" s="346" t="str">
        <f>IF(Y$260="","",Y$262*VLOOKUP(Y$260&amp;" (All)",'Default Values'!$B$162:$CD$181,MATCH($B265,'Default Values'!$B$101:$CD$101,0),0))</f>
        <v/>
      </c>
      <c r="Z265" s="346" t="str">
        <f>IF(Z$260="","",Z$262*VLOOKUP(Z$260&amp;" (All)",'Default Values'!$B$162:$CD$181,MATCH($B265,'Default Values'!$B$101:$CD$101,0),0))</f>
        <v/>
      </c>
      <c r="AA265" s="346" t="str">
        <f>IF(AA$260="","",AA$262*VLOOKUP(AA$260&amp;" (All)",'Default Values'!$B$162:$CD$181,MATCH($B265,'Default Values'!$B$101:$CD$101,0),0))</f>
        <v/>
      </c>
      <c r="AB265" s="346" t="str">
        <f>IF(AB$260="","",AB$262*VLOOKUP(AB$260&amp;" (All)",'Default Values'!$B$162:$CD$181,MATCH($B265,'Default Values'!$B$101:$CD$101,0),0))</f>
        <v/>
      </c>
      <c r="AC265" s="346" t="str">
        <f>IF(AC$260="","",AC$262*VLOOKUP(AC$260&amp;" (All)",'Default Values'!$B$162:$CD$181,MATCH($B265,'Default Values'!$B$101:$CD$101,0),0))</f>
        <v/>
      </c>
      <c r="AD265" s="346" t="str">
        <f>IF(AD$260="","",AD$262*VLOOKUP(AD$260&amp;" (All)",'Default Values'!$B$162:$CD$181,MATCH($B265,'Default Values'!$B$101:$CD$101,0),0))</f>
        <v/>
      </c>
      <c r="AE265" s="346" t="str">
        <f>IF(AE$260="","",AE$262*VLOOKUP(AE$260&amp;" (All)",'Default Values'!$B$162:$CD$181,MATCH($B265,'Default Values'!$B$101:$CD$101,0),0))</f>
        <v/>
      </c>
      <c r="AF265" s="346" t="str">
        <f>IF(AF$260="","",AF$262*VLOOKUP(AF$260&amp;" (All)",'Default Values'!$B$162:$CD$181,MATCH($B265,'Default Values'!$B$101:$CD$101,0),0))</f>
        <v/>
      </c>
      <c r="AG265" s="346" t="str">
        <f>IF(AG$260="","",AG$262*VLOOKUP(AG$260&amp;" (All)",'Default Values'!$B$162:$CD$181,MATCH($B265,'Default Values'!$B$101:$CD$101,0),0))</f>
        <v/>
      </c>
      <c r="AH265" s="346" t="str">
        <f>IF(AH$260="","",AH$262*VLOOKUP(AH$260&amp;" (All)",'Default Values'!$B$162:$CD$181,MATCH($B265,'Default Values'!$B$101:$CD$101,0),0))</f>
        <v/>
      </c>
      <c r="AI265" s="346" t="str">
        <f>IF(AI$260="","",AI$262*VLOOKUP(AI$260&amp;" (All)",'Default Values'!$B$162:$CD$181,MATCH($B265,'Default Values'!$B$101:$CD$101,0),0))</f>
        <v/>
      </c>
      <c r="AJ265" s="346" t="str">
        <f>IF(AJ$260="","",AJ$262*VLOOKUP(AJ$260&amp;" (All)",'Default Values'!$B$162:$CD$181,MATCH($B265,'Default Values'!$B$101:$CD$101,0),0))</f>
        <v/>
      </c>
      <c r="AK265" s="346" t="str">
        <f>IF(AK$260="","",AK$262*VLOOKUP(AK$260&amp;" (All)",'Default Values'!$B$162:$CD$181,MATCH($B265,'Default Values'!$B$101:$CD$101,0),0))</f>
        <v/>
      </c>
      <c r="AL265" s="346" t="str">
        <f>IF(AL$260="","",AL$262*VLOOKUP(AL$260&amp;" (All)",'Default Values'!$B$162:$CD$181,MATCH($B265,'Default Values'!$B$101:$CD$101,0),0))</f>
        <v/>
      </c>
      <c r="AM265" s="346" t="str">
        <f>IF(AM$260="","",AM$262*VLOOKUP(AM$260&amp;" (All)",'Default Values'!$B$162:$CD$181,MATCH($B265,'Default Values'!$B$101:$CD$101,0),0))</f>
        <v/>
      </c>
      <c r="AN265" s="346" t="str">
        <f>IF(AN$260="","",AN$262*VLOOKUP(AN$260&amp;" (All)",'Default Values'!$B$162:$CD$181,MATCH($B265,'Default Values'!$B$101:$CD$101,0),0))</f>
        <v/>
      </c>
      <c r="AO265" s="346" t="str">
        <f>IF(AO$260="","",AO$262*VLOOKUP(AO$260&amp;" (All)",'Default Values'!$B$162:$CD$181,MATCH($B265,'Default Values'!$B$101:$CD$101,0),0))</f>
        <v/>
      </c>
      <c r="AP265" s="346" t="str">
        <f>IF(AP$260="","",AP$262*VLOOKUP(AP$260&amp;" (All)",'Default Values'!$B$162:$CD$181,MATCH($B265,'Default Values'!$B$101:$CD$101,0),0))</f>
        <v/>
      </c>
      <c r="AQ265" s="346" t="str">
        <f>IF(AQ$260="","",AQ$262*VLOOKUP(AQ$260&amp;" (All)",'Default Values'!$B$162:$CD$181,MATCH($B265,'Default Values'!$B$101:$CD$101,0),0))</f>
        <v/>
      </c>
      <c r="AR265" s="346">
        <f>IF(AR$260="","",AR$262*VLOOKUP(AR$260&amp;" (All)",'Default Values'!$B$162:$CD$181,MATCH($B265,'Default Values'!$B$101:$CD$101,0),0))</f>
        <v>0</v>
      </c>
      <c r="AS265" s="217"/>
      <c r="AT265" s="217"/>
      <c r="AU265" s="217"/>
      <c r="AV265" s="217"/>
      <c r="AW265" s="217"/>
      <c r="AX265" s="217"/>
      <c r="AY265" s="217"/>
      <c r="AZ265" s="217"/>
      <c r="BA265" s="217"/>
      <c r="BB265" s="217"/>
      <c r="BC265" s="217"/>
      <c r="BD265" s="217"/>
      <c r="BE265" s="217"/>
      <c r="BF265" s="217"/>
      <c r="BG265" s="217"/>
      <c r="BH265" s="217"/>
      <c r="BI265" s="217"/>
      <c r="BJ265" s="217"/>
      <c r="BK265" s="217"/>
      <c r="BL265" s="217"/>
      <c r="BM265" s="217"/>
      <c r="BN265" s="217"/>
      <c r="BO265" s="217"/>
      <c r="BP265" s="217"/>
      <c r="BQ265" s="217"/>
      <c r="BR265" s="217"/>
      <c r="BS265" s="217"/>
      <c r="BT265" s="217"/>
      <c r="BU265" s="217"/>
      <c r="BV265" s="217"/>
      <c r="BW265" s="217"/>
      <c r="BX265" s="217"/>
      <c r="BY265" s="217"/>
      <c r="BZ265" s="217"/>
      <c r="CA265" s="217"/>
      <c r="CB265" s="217"/>
      <c r="CC265" s="217"/>
      <c r="CD265" s="217"/>
      <c r="CE265" s="217"/>
      <c r="CF265" s="217"/>
      <c r="CG265" s="217"/>
      <c r="CH265" s="217"/>
      <c r="CI265" s="217"/>
      <c r="CJ265" s="217"/>
      <c r="CK265" s="217"/>
      <c r="CL265" s="217"/>
      <c r="CM265" s="217"/>
      <c r="CN265" s="217"/>
      <c r="CO265" s="217"/>
      <c r="CP265" s="217"/>
      <c r="CQ265" s="217"/>
      <c r="CR265" s="217"/>
      <c r="CS265" s="217"/>
      <c r="CT265" s="217"/>
      <c r="CU265" s="217"/>
      <c r="CV265" s="217"/>
      <c r="CW265" s="217"/>
      <c r="CX265" s="217"/>
      <c r="CY265" s="217"/>
      <c r="CZ265" s="217"/>
      <c r="DA265" s="217"/>
      <c r="DB265" s="217"/>
      <c r="DC265" s="217"/>
      <c r="DD265" s="217"/>
      <c r="DE265" s="217"/>
      <c r="DF265" s="217"/>
      <c r="DG265" s="217"/>
      <c r="DH265" s="217"/>
      <c r="DI265" s="217"/>
      <c r="DJ265" s="217"/>
      <c r="DK265" s="217"/>
      <c r="DL265" s="217"/>
      <c r="DM265" s="217"/>
      <c r="DN265" s="217"/>
      <c r="DO265" s="217"/>
      <c r="DP265" s="217"/>
      <c r="DQ265" s="217"/>
      <c r="DR265" s="217"/>
      <c r="DS265" s="217"/>
      <c r="DT265" s="217"/>
    </row>
    <row r="266" spans="1:124" x14ac:dyDescent="0.3">
      <c r="A266" s="217"/>
      <c r="B266" s="342" t="s">
        <v>167</v>
      </c>
      <c r="C266" s="345">
        <f t="shared" ref="C266:C329" si="340">SUM(D266:AQ266)</f>
        <v>0</v>
      </c>
      <c r="D266" s="346" t="str">
        <f>IF(D$260="","",D$262*VLOOKUP(D$260&amp;" (All)",'Default Values'!$B$162:$CD$181,MATCH($B266,'Default Values'!$B$101:$CD$101,0),0))</f>
        <v/>
      </c>
      <c r="E266" s="346" t="str">
        <f>IF(E$260="","",E$262*VLOOKUP(E$260&amp;" (All)",'Default Values'!$B$162:$CD$181,MATCH($B266,'Default Values'!$B$101:$CD$101,0),0))</f>
        <v/>
      </c>
      <c r="F266" s="346" t="str">
        <f>IF(F$260="","",F$262*VLOOKUP(F$260&amp;" (All)",'Default Values'!$B$162:$CD$181,MATCH($B266,'Default Values'!$B$101:$CD$101,0),0))</f>
        <v/>
      </c>
      <c r="G266" s="346" t="str">
        <f>IF(G$260="","",G$262*VLOOKUP(G$260&amp;" (All)",'Default Values'!$B$162:$CD$181,MATCH($B266,'Default Values'!$B$101:$CD$101,0),0))</f>
        <v/>
      </c>
      <c r="H266" s="346" t="str">
        <f>IF(H$260="","",H$262*VLOOKUP(H$260&amp;" (All)",'Default Values'!$B$162:$CD$181,MATCH($B266,'Default Values'!$B$101:$CD$101,0),0))</f>
        <v/>
      </c>
      <c r="I266" s="346" t="str">
        <f>IF(I$260="","",I$262*VLOOKUP(I$260&amp;" (All)",'Default Values'!$B$162:$CD$181,MATCH($B266,'Default Values'!$B$101:$CD$101,0),0))</f>
        <v/>
      </c>
      <c r="J266" s="346" t="str">
        <f>IF(J$260="","",J$262*VLOOKUP(J$260&amp;" (All)",'Default Values'!$B$162:$CD$181,MATCH($B266,'Default Values'!$B$101:$CD$101,0),0))</f>
        <v/>
      </c>
      <c r="K266" s="346" t="str">
        <f>IF(K$260="","",K$262*VLOOKUP(K$260&amp;" (All)",'Default Values'!$B$162:$CD$181,MATCH($B266,'Default Values'!$B$101:$CD$101,0),0))</f>
        <v/>
      </c>
      <c r="L266" s="346" t="str">
        <f>IF(L$260="","",L$262*VLOOKUP(L$260&amp;" (All)",'Default Values'!$B$162:$CD$181,MATCH($B266,'Default Values'!$B$101:$CD$101,0),0))</f>
        <v/>
      </c>
      <c r="M266" s="346" t="str">
        <f>IF(M$260="","",M$262*VLOOKUP(M$260&amp;" (All)",'Default Values'!$B$162:$CD$181,MATCH($B266,'Default Values'!$B$101:$CD$101,0),0))</f>
        <v/>
      </c>
      <c r="N266" s="346" t="str">
        <f>IF(N$260="","",N$262*VLOOKUP(N$260&amp;" (All)",'Default Values'!$B$162:$CD$181,MATCH($B266,'Default Values'!$B$101:$CD$101,0),0))</f>
        <v/>
      </c>
      <c r="O266" s="346" t="str">
        <f>IF(O$260="","",O$262*VLOOKUP(O$260&amp;" (All)",'Default Values'!$B$162:$CD$181,MATCH($B266,'Default Values'!$B$101:$CD$101,0),0))</f>
        <v/>
      </c>
      <c r="P266" s="346" t="str">
        <f>IF(P$260="","",P$262*VLOOKUP(P$260&amp;" (All)",'Default Values'!$B$162:$CD$181,MATCH($B266,'Default Values'!$B$101:$CD$101,0),0))</f>
        <v/>
      </c>
      <c r="Q266" s="346" t="str">
        <f>IF(Q$260="","",Q$262*VLOOKUP(Q$260&amp;" (All)",'Default Values'!$B$162:$CD$181,MATCH($B266,'Default Values'!$B$101:$CD$101,0),0))</f>
        <v/>
      </c>
      <c r="R266" s="346" t="str">
        <f>IF(R$260="","",R$262*VLOOKUP(R$260&amp;" (All)",'Default Values'!$B$162:$CD$181,MATCH($B266,'Default Values'!$B$101:$CD$101,0),0))</f>
        <v/>
      </c>
      <c r="S266" s="346" t="str">
        <f>IF(S$260="","",S$262*VLOOKUP(S$260&amp;" (All)",'Default Values'!$B$162:$CD$181,MATCH($B266,'Default Values'!$B$101:$CD$101,0),0))</f>
        <v/>
      </c>
      <c r="T266" s="346" t="str">
        <f>IF(T$260="","",T$262*VLOOKUP(T$260&amp;" (All)",'Default Values'!$B$162:$CD$181,MATCH($B266,'Default Values'!$B$101:$CD$101,0),0))</f>
        <v/>
      </c>
      <c r="U266" s="346" t="str">
        <f>IF(U$260="","",U$262*VLOOKUP(U$260&amp;" (All)",'Default Values'!$B$162:$CD$181,MATCH($B266,'Default Values'!$B$101:$CD$101,0),0))</f>
        <v/>
      </c>
      <c r="V266" s="346" t="str">
        <f>IF(V$260="","",V$262*VLOOKUP(V$260&amp;" (All)",'Default Values'!$B$162:$CD$181,MATCH($B266,'Default Values'!$B$101:$CD$101,0),0))</f>
        <v/>
      </c>
      <c r="W266" s="346" t="str">
        <f>IF(W$260="","",W$262*VLOOKUP(W$260&amp;" (All)",'Default Values'!$B$162:$CD$181,MATCH($B266,'Default Values'!$B$101:$CD$101,0),0))</f>
        <v/>
      </c>
      <c r="X266" s="346" t="str">
        <f>IF(X$260="","",X$262*VLOOKUP(X$260&amp;" (All)",'Default Values'!$B$162:$CD$181,MATCH($B266,'Default Values'!$B$101:$CD$101,0),0))</f>
        <v/>
      </c>
      <c r="Y266" s="346" t="str">
        <f>IF(Y$260="","",Y$262*VLOOKUP(Y$260&amp;" (All)",'Default Values'!$B$162:$CD$181,MATCH($B266,'Default Values'!$B$101:$CD$101,0),0))</f>
        <v/>
      </c>
      <c r="Z266" s="346" t="str">
        <f>IF(Z$260="","",Z$262*VLOOKUP(Z$260&amp;" (All)",'Default Values'!$B$162:$CD$181,MATCH($B266,'Default Values'!$B$101:$CD$101,0),0))</f>
        <v/>
      </c>
      <c r="AA266" s="346" t="str">
        <f>IF(AA$260="","",AA$262*VLOOKUP(AA$260&amp;" (All)",'Default Values'!$B$162:$CD$181,MATCH($B266,'Default Values'!$B$101:$CD$101,0),0))</f>
        <v/>
      </c>
      <c r="AB266" s="346" t="str">
        <f>IF(AB$260="","",AB$262*VLOOKUP(AB$260&amp;" (All)",'Default Values'!$B$162:$CD$181,MATCH($B266,'Default Values'!$B$101:$CD$101,0),0))</f>
        <v/>
      </c>
      <c r="AC266" s="346" t="str">
        <f>IF(AC$260="","",AC$262*VLOOKUP(AC$260&amp;" (All)",'Default Values'!$B$162:$CD$181,MATCH($B266,'Default Values'!$B$101:$CD$101,0),0))</f>
        <v/>
      </c>
      <c r="AD266" s="346" t="str">
        <f>IF(AD$260="","",AD$262*VLOOKUP(AD$260&amp;" (All)",'Default Values'!$B$162:$CD$181,MATCH($B266,'Default Values'!$B$101:$CD$101,0),0))</f>
        <v/>
      </c>
      <c r="AE266" s="346" t="str">
        <f>IF(AE$260="","",AE$262*VLOOKUP(AE$260&amp;" (All)",'Default Values'!$B$162:$CD$181,MATCH($B266,'Default Values'!$B$101:$CD$101,0),0))</f>
        <v/>
      </c>
      <c r="AF266" s="346" t="str">
        <f>IF(AF$260="","",AF$262*VLOOKUP(AF$260&amp;" (All)",'Default Values'!$B$162:$CD$181,MATCH($B266,'Default Values'!$B$101:$CD$101,0),0))</f>
        <v/>
      </c>
      <c r="AG266" s="346" t="str">
        <f>IF(AG$260="","",AG$262*VLOOKUP(AG$260&amp;" (All)",'Default Values'!$B$162:$CD$181,MATCH($B266,'Default Values'!$B$101:$CD$101,0),0))</f>
        <v/>
      </c>
      <c r="AH266" s="346" t="str">
        <f>IF(AH$260="","",AH$262*VLOOKUP(AH$260&amp;" (All)",'Default Values'!$B$162:$CD$181,MATCH($B266,'Default Values'!$B$101:$CD$101,0),0))</f>
        <v/>
      </c>
      <c r="AI266" s="346" t="str">
        <f>IF(AI$260="","",AI$262*VLOOKUP(AI$260&amp;" (All)",'Default Values'!$B$162:$CD$181,MATCH($B266,'Default Values'!$B$101:$CD$101,0),0))</f>
        <v/>
      </c>
      <c r="AJ266" s="346" t="str">
        <f>IF(AJ$260="","",AJ$262*VLOOKUP(AJ$260&amp;" (All)",'Default Values'!$B$162:$CD$181,MATCH($B266,'Default Values'!$B$101:$CD$101,0),0))</f>
        <v/>
      </c>
      <c r="AK266" s="346" t="str">
        <f>IF(AK$260="","",AK$262*VLOOKUP(AK$260&amp;" (All)",'Default Values'!$B$162:$CD$181,MATCH($B266,'Default Values'!$B$101:$CD$101,0),0))</f>
        <v/>
      </c>
      <c r="AL266" s="346" t="str">
        <f>IF(AL$260="","",AL$262*VLOOKUP(AL$260&amp;" (All)",'Default Values'!$B$162:$CD$181,MATCH($B266,'Default Values'!$B$101:$CD$101,0),0))</f>
        <v/>
      </c>
      <c r="AM266" s="346" t="str">
        <f>IF(AM$260="","",AM$262*VLOOKUP(AM$260&amp;" (All)",'Default Values'!$B$162:$CD$181,MATCH($B266,'Default Values'!$B$101:$CD$101,0),0))</f>
        <v/>
      </c>
      <c r="AN266" s="346" t="str">
        <f>IF(AN$260="","",AN$262*VLOOKUP(AN$260&amp;" (All)",'Default Values'!$B$162:$CD$181,MATCH($B266,'Default Values'!$B$101:$CD$101,0),0))</f>
        <v/>
      </c>
      <c r="AO266" s="346" t="str">
        <f>IF(AO$260="","",AO$262*VLOOKUP(AO$260&amp;" (All)",'Default Values'!$B$162:$CD$181,MATCH($B266,'Default Values'!$B$101:$CD$101,0),0))</f>
        <v/>
      </c>
      <c r="AP266" s="346" t="str">
        <f>IF(AP$260="","",AP$262*VLOOKUP(AP$260&amp;" (All)",'Default Values'!$B$162:$CD$181,MATCH($B266,'Default Values'!$B$101:$CD$101,0),0))</f>
        <v/>
      </c>
      <c r="AQ266" s="346" t="str">
        <f>IF(AQ$260="","",AQ$262*VLOOKUP(AQ$260&amp;" (All)",'Default Values'!$B$162:$CD$181,MATCH($B266,'Default Values'!$B$101:$CD$101,0),0))</f>
        <v/>
      </c>
      <c r="AR266" s="346">
        <f>IF(AR$260="","",AR$262*VLOOKUP(AR$260&amp;" (All)",'Default Values'!$B$162:$CD$181,MATCH($B266,'Default Values'!$B$101:$CD$101,0),0))</f>
        <v>0</v>
      </c>
      <c r="AS266" s="217"/>
      <c r="AT266" s="217"/>
      <c r="AU266" s="217"/>
      <c r="AV266" s="217"/>
      <c r="AW266" s="217"/>
      <c r="AX266" s="217"/>
      <c r="AY266" s="217"/>
      <c r="AZ266" s="217"/>
      <c r="BA266" s="217"/>
      <c r="BB266" s="217"/>
      <c r="BC266" s="217"/>
      <c r="BD266" s="217"/>
      <c r="BE266" s="217"/>
      <c r="BF266" s="217"/>
      <c r="BG266" s="217"/>
      <c r="BH266" s="217"/>
      <c r="BI266" s="217"/>
      <c r="BJ266" s="217"/>
      <c r="BK266" s="217"/>
      <c r="BL266" s="217"/>
      <c r="BM266" s="217"/>
      <c r="BN266" s="217"/>
      <c r="BO266" s="217"/>
      <c r="BP266" s="217"/>
      <c r="BQ266" s="217"/>
      <c r="BR266" s="217"/>
      <c r="BS266" s="217"/>
      <c r="BT266" s="217"/>
      <c r="BU266" s="217"/>
      <c r="BV266" s="217"/>
      <c r="BW266" s="217"/>
      <c r="BX266" s="217"/>
      <c r="BY266" s="217"/>
      <c r="BZ266" s="217"/>
      <c r="CA266" s="217"/>
      <c r="CB266" s="217"/>
      <c r="CC266" s="217"/>
      <c r="CD266" s="217"/>
      <c r="CE266" s="217"/>
      <c r="CF266" s="217"/>
      <c r="CG266" s="217"/>
      <c r="CH266" s="217"/>
      <c r="CI266" s="217"/>
      <c r="CJ266" s="217"/>
      <c r="CK266" s="217"/>
      <c r="CL266" s="217"/>
      <c r="CM266" s="217"/>
      <c r="CN266" s="217"/>
      <c r="CO266" s="217"/>
      <c r="CP266" s="217"/>
      <c r="CQ266" s="217"/>
      <c r="CR266" s="217"/>
      <c r="CS266" s="217"/>
      <c r="CT266" s="217"/>
      <c r="CU266" s="217"/>
      <c r="CV266" s="217"/>
      <c r="CW266" s="217"/>
      <c r="CX266" s="217"/>
      <c r="CY266" s="217"/>
      <c r="CZ266" s="217"/>
      <c r="DA266" s="217"/>
      <c r="DB266" s="217"/>
      <c r="DC266" s="217"/>
      <c r="DD266" s="217"/>
      <c r="DE266" s="217"/>
      <c r="DF266" s="217"/>
      <c r="DG266" s="217"/>
      <c r="DH266" s="217"/>
      <c r="DI266" s="217"/>
      <c r="DJ266" s="217"/>
      <c r="DK266" s="217"/>
      <c r="DL266" s="217"/>
      <c r="DM266" s="217"/>
      <c r="DN266" s="217"/>
      <c r="DO266" s="217"/>
      <c r="DP266" s="217"/>
      <c r="DQ266" s="217"/>
      <c r="DR266" s="217"/>
      <c r="DS266" s="217"/>
      <c r="DT266" s="217"/>
    </row>
    <row r="267" spans="1:124" x14ac:dyDescent="0.3">
      <c r="A267" s="217"/>
      <c r="B267" s="342" t="s">
        <v>168</v>
      </c>
      <c r="C267" s="345">
        <f t="shared" si="340"/>
        <v>0</v>
      </c>
      <c r="D267" s="346" t="str">
        <f>IF(D$260="","",D$262*VLOOKUP(D$260&amp;" (All)",'Default Values'!$B$162:$CD$181,MATCH($B267,'Default Values'!$B$101:$CD$101,0),0))</f>
        <v/>
      </c>
      <c r="E267" s="346" t="str">
        <f>IF(E$260="","",E$262*VLOOKUP(E$260&amp;" (All)",'Default Values'!$B$162:$CD$181,MATCH($B267,'Default Values'!$B$101:$CD$101,0),0))</f>
        <v/>
      </c>
      <c r="F267" s="346" t="str">
        <f>IF(F$260="","",F$262*VLOOKUP(F$260&amp;" (All)",'Default Values'!$B$162:$CD$181,MATCH($B267,'Default Values'!$B$101:$CD$101,0),0))</f>
        <v/>
      </c>
      <c r="G267" s="346" t="str">
        <f>IF(G$260="","",G$262*VLOOKUP(G$260&amp;" (All)",'Default Values'!$B$162:$CD$181,MATCH($B267,'Default Values'!$B$101:$CD$101,0),0))</f>
        <v/>
      </c>
      <c r="H267" s="346" t="str">
        <f>IF(H$260="","",H$262*VLOOKUP(H$260&amp;" (All)",'Default Values'!$B$162:$CD$181,MATCH($B267,'Default Values'!$B$101:$CD$101,0),0))</f>
        <v/>
      </c>
      <c r="I267" s="346" t="str">
        <f>IF(I$260="","",I$262*VLOOKUP(I$260&amp;" (All)",'Default Values'!$B$162:$CD$181,MATCH($B267,'Default Values'!$B$101:$CD$101,0),0))</f>
        <v/>
      </c>
      <c r="J267" s="346" t="str">
        <f>IF(J$260="","",J$262*VLOOKUP(J$260&amp;" (All)",'Default Values'!$B$162:$CD$181,MATCH($B267,'Default Values'!$B$101:$CD$101,0),0))</f>
        <v/>
      </c>
      <c r="K267" s="346" t="str">
        <f>IF(K$260="","",K$262*VLOOKUP(K$260&amp;" (All)",'Default Values'!$B$162:$CD$181,MATCH($B267,'Default Values'!$B$101:$CD$101,0),0))</f>
        <v/>
      </c>
      <c r="L267" s="346" t="str">
        <f>IF(L$260="","",L$262*VLOOKUP(L$260&amp;" (All)",'Default Values'!$B$162:$CD$181,MATCH($B267,'Default Values'!$B$101:$CD$101,0),0))</f>
        <v/>
      </c>
      <c r="M267" s="346" t="str">
        <f>IF(M$260="","",M$262*VLOOKUP(M$260&amp;" (All)",'Default Values'!$B$162:$CD$181,MATCH($B267,'Default Values'!$B$101:$CD$101,0),0))</f>
        <v/>
      </c>
      <c r="N267" s="346" t="str">
        <f>IF(N$260="","",N$262*VLOOKUP(N$260&amp;" (All)",'Default Values'!$B$162:$CD$181,MATCH($B267,'Default Values'!$B$101:$CD$101,0),0))</f>
        <v/>
      </c>
      <c r="O267" s="346" t="str">
        <f>IF(O$260="","",O$262*VLOOKUP(O$260&amp;" (All)",'Default Values'!$B$162:$CD$181,MATCH($B267,'Default Values'!$B$101:$CD$101,0),0))</f>
        <v/>
      </c>
      <c r="P267" s="346" t="str">
        <f>IF(P$260="","",P$262*VLOOKUP(P$260&amp;" (All)",'Default Values'!$B$162:$CD$181,MATCH($B267,'Default Values'!$B$101:$CD$101,0),0))</f>
        <v/>
      </c>
      <c r="Q267" s="346" t="str">
        <f>IF(Q$260="","",Q$262*VLOOKUP(Q$260&amp;" (All)",'Default Values'!$B$162:$CD$181,MATCH($B267,'Default Values'!$B$101:$CD$101,0),0))</f>
        <v/>
      </c>
      <c r="R267" s="346" t="str">
        <f>IF(R$260="","",R$262*VLOOKUP(R$260&amp;" (All)",'Default Values'!$B$162:$CD$181,MATCH($B267,'Default Values'!$B$101:$CD$101,0),0))</f>
        <v/>
      </c>
      <c r="S267" s="346" t="str">
        <f>IF(S$260="","",S$262*VLOOKUP(S$260&amp;" (All)",'Default Values'!$B$162:$CD$181,MATCH($B267,'Default Values'!$B$101:$CD$101,0),0))</f>
        <v/>
      </c>
      <c r="T267" s="346" t="str">
        <f>IF(T$260="","",T$262*VLOOKUP(T$260&amp;" (All)",'Default Values'!$B$162:$CD$181,MATCH($B267,'Default Values'!$B$101:$CD$101,0),0))</f>
        <v/>
      </c>
      <c r="U267" s="346" t="str">
        <f>IF(U$260="","",U$262*VLOOKUP(U$260&amp;" (All)",'Default Values'!$B$162:$CD$181,MATCH($B267,'Default Values'!$B$101:$CD$101,0),0))</f>
        <v/>
      </c>
      <c r="V267" s="346" t="str">
        <f>IF(V$260="","",V$262*VLOOKUP(V$260&amp;" (All)",'Default Values'!$B$162:$CD$181,MATCH($B267,'Default Values'!$B$101:$CD$101,0),0))</f>
        <v/>
      </c>
      <c r="W267" s="346" t="str">
        <f>IF(W$260="","",W$262*VLOOKUP(W$260&amp;" (All)",'Default Values'!$B$162:$CD$181,MATCH($B267,'Default Values'!$B$101:$CD$101,0),0))</f>
        <v/>
      </c>
      <c r="X267" s="346" t="str">
        <f>IF(X$260="","",X$262*VLOOKUP(X$260&amp;" (All)",'Default Values'!$B$162:$CD$181,MATCH($B267,'Default Values'!$B$101:$CD$101,0),0))</f>
        <v/>
      </c>
      <c r="Y267" s="346" t="str">
        <f>IF(Y$260="","",Y$262*VLOOKUP(Y$260&amp;" (All)",'Default Values'!$B$162:$CD$181,MATCH($B267,'Default Values'!$B$101:$CD$101,0),0))</f>
        <v/>
      </c>
      <c r="Z267" s="346" t="str">
        <f>IF(Z$260="","",Z$262*VLOOKUP(Z$260&amp;" (All)",'Default Values'!$B$162:$CD$181,MATCH($B267,'Default Values'!$B$101:$CD$101,0),0))</f>
        <v/>
      </c>
      <c r="AA267" s="346" t="str">
        <f>IF(AA$260="","",AA$262*VLOOKUP(AA$260&amp;" (All)",'Default Values'!$B$162:$CD$181,MATCH($B267,'Default Values'!$B$101:$CD$101,0),0))</f>
        <v/>
      </c>
      <c r="AB267" s="346" t="str">
        <f>IF(AB$260="","",AB$262*VLOOKUP(AB$260&amp;" (All)",'Default Values'!$B$162:$CD$181,MATCH($B267,'Default Values'!$B$101:$CD$101,0),0))</f>
        <v/>
      </c>
      <c r="AC267" s="346" t="str">
        <f>IF(AC$260="","",AC$262*VLOOKUP(AC$260&amp;" (All)",'Default Values'!$B$162:$CD$181,MATCH($B267,'Default Values'!$B$101:$CD$101,0),0))</f>
        <v/>
      </c>
      <c r="AD267" s="346" t="str">
        <f>IF(AD$260="","",AD$262*VLOOKUP(AD$260&amp;" (All)",'Default Values'!$B$162:$CD$181,MATCH($B267,'Default Values'!$B$101:$CD$101,0),0))</f>
        <v/>
      </c>
      <c r="AE267" s="346" t="str">
        <f>IF(AE$260="","",AE$262*VLOOKUP(AE$260&amp;" (All)",'Default Values'!$B$162:$CD$181,MATCH($B267,'Default Values'!$B$101:$CD$101,0),0))</f>
        <v/>
      </c>
      <c r="AF267" s="346" t="str">
        <f>IF(AF$260="","",AF$262*VLOOKUP(AF$260&amp;" (All)",'Default Values'!$B$162:$CD$181,MATCH($B267,'Default Values'!$B$101:$CD$101,0),0))</f>
        <v/>
      </c>
      <c r="AG267" s="346" t="str">
        <f>IF(AG$260="","",AG$262*VLOOKUP(AG$260&amp;" (All)",'Default Values'!$B$162:$CD$181,MATCH($B267,'Default Values'!$B$101:$CD$101,0),0))</f>
        <v/>
      </c>
      <c r="AH267" s="346" t="str">
        <f>IF(AH$260="","",AH$262*VLOOKUP(AH$260&amp;" (All)",'Default Values'!$B$162:$CD$181,MATCH($B267,'Default Values'!$B$101:$CD$101,0),0))</f>
        <v/>
      </c>
      <c r="AI267" s="346" t="str">
        <f>IF(AI$260="","",AI$262*VLOOKUP(AI$260&amp;" (All)",'Default Values'!$B$162:$CD$181,MATCH($B267,'Default Values'!$B$101:$CD$101,0),0))</f>
        <v/>
      </c>
      <c r="AJ267" s="346" t="str">
        <f>IF(AJ$260="","",AJ$262*VLOOKUP(AJ$260&amp;" (All)",'Default Values'!$B$162:$CD$181,MATCH($B267,'Default Values'!$B$101:$CD$101,0),0))</f>
        <v/>
      </c>
      <c r="AK267" s="346" t="str">
        <f>IF(AK$260="","",AK$262*VLOOKUP(AK$260&amp;" (All)",'Default Values'!$B$162:$CD$181,MATCH($B267,'Default Values'!$B$101:$CD$101,0),0))</f>
        <v/>
      </c>
      <c r="AL267" s="346" t="str">
        <f>IF(AL$260="","",AL$262*VLOOKUP(AL$260&amp;" (All)",'Default Values'!$B$162:$CD$181,MATCH($B267,'Default Values'!$B$101:$CD$101,0),0))</f>
        <v/>
      </c>
      <c r="AM267" s="346" t="str">
        <f>IF(AM$260="","",AM$262*VLOOKUP(AM$260&amp;" (All)",'Default Values'!$B$162:$CD$181,MATCH($B267,'Default Values'!$B$101:$CD$101,0),0))</f>
        <v/>
      </c>
      <c r="AN267" s="346" t="str">
        <f>IF(AN$260="","",AN$262*VLOOKUP(AN$260&amp;" (All)",'Default Values'!$B$162:$CD$181,MATCH($B267,'Default Values'!$B$101:$CD$101,0),0))</f>
        <v/>
      </c>
      <c r="AO267" s="346" t="str">
        <f>IF(AO$260="","",AO$262*VLOOKUP(AO$260&amp;" (All)",'Default Values'!$B$162:$CD$181,MATCH($B267,'Default Values'!$B$101:$CD$101,0),0))</f>
        <v/>
      </c>
      <c r="AP267" s="346" t="str">
        <f>IF(AP$260="","",AP$262*VLOOKUP(AP$260&amp;" (All)",'Default Values'!$B$162:$CD$181,MATCH($B267,'Default Values'!$B$101:$CD$101,0),0))</f>
        <v/>
      </c>
      <c r="AQ267" s="346" t="str">
        <f>IF(AQ$260="","",AQ$262*VLOOKUP(AQ$260&amp;" (All)",'Default Values'!$B$162:$CD$181,MATCH($B267,'Default Values'!$B$101:$CD$101,0),0))</f>
        <v/>
      </c>
      <c r="AR267" s="346">
        <f>IF(AR$260="","",AR$262*VLOOKUP(AR$260&amp;" (All)",'Default Values'!$B$162:$CD$181,MATCH($B267,'Default Values'!$B$101:$CD$101,0),0))</f>
        <v>0</v>
      </c>
      <c r="AS267" s="217"/>
      <c r="AT267" s="217"/>
      <c r="AU267" s="217"/>
      <c r="AV267" s="217"/>
      <c r="AW267" s="217"/>
      <c r="AX267" s="217"/>
      <c r="AY267" s="217"/>
      <c r="AZ267" s="217"/>
      <c r="BA267" s="217"/>
      <c r="BB267" s="217"/>
      <c r="BC267" s="217"/>
      <c r="BD267" s="217"/>
      <c r="BE267" s="217"/>
      <c r="BF267" s="217"/>
      <c r="BG267" s="217"/>
      <c r="BH267" s="217"/>
      <c r="BI267" s="217"/>
      <c r="BJ267" s="217"/>
      <c r="BK267" s="217"/>
      <c r="BL267" s="217"/>
      <c r="BM267" s="217"/>
      <c r="BN267" s="217"/>
      <c r="BO267" s="217"/>
      <c r="BP267" s="217"/>
      <c r="BQ267" s="217"/>
      <c r="BR267" s="217"/>
      <c r="BS267" s="217"/>
      <c r="BT267" s="217"/>
      <c r="BU267" s="217"/>
      <c r="BV267" s="217"/>
      <c r="BW267" s="217"/>
      <c r="BX267" s="217"/>
      <c r="BY267" s="217"/>
      <c r="BZ267" s="217"/>
      <c r="CA267" s="217"/>
      <c r="CB267" s="217"/>
      <c r="CC267" s="217"/>
      <c r="CD267" s="217"/>
      <c r="CE267" s="217"/>
      <c r="CF267" s="217"/>
      <c r="CG267" s="217"/>
      <c r="CH267" s="217"/>
      <c r="CI267" s="217"/>
      <c r="CJ267" s="217"/>
      <c r="CK267" s="217"/>
      <c r="CL267" s="217"/>
      <c r="CM267" s="217"/>
      <c r="CN267" s="217"/>
      <c r="CO267" s="217"/>
      <c r="CP267" s="217"/>
      <c r="CQ267" s="217"/>
      <c r="CR267" s="217"/>
      <c r="CS267" s="217"/>
      <c r="CT267" s="217"/>
      <c r="CU267" s="217"/>
      <c r="CV267" s="217"/>
      <c r="CW267" s="217"/>
      <c r="CX267" s="217"/>
      <c r="CY267" s="217"/>
      <c r="CZ267" s="217"/>
      <c r="DA267" s="217"/>
      <c r="DB267" s="217"/>
      <c r="DC267" s="217"/>
      <c r="DD267" s="217"/>
      <c r="DE267" s="217"/>
      <c r="DF267" s="217"/>
      <c r="DG267" s="217"/>
      <c r="DH267" s="217"/>
      <c r="DI267" s="217"/>
      <c r="DJ267" s="217"/>
      <c r="DK267" s="217"/>
      <c r="DL267" s="217"/>
      <c r="DM267" s="217"/>
      <c r="DN267" s="217"/>
      <c r="DO267" s="217"/>
      <c r="DP267" s="217"/>
      <c r="DQ267" s="217"/>
      <c r="DR267" s="217"/>
      <c r="DS267" s="217"/>
      <c r="DT267" s="217"/>
    </row>
    <row r="268" spans="1:124" x14ac:dyDescent="0.3">
      <c r="A268" s="217"/>
      <c r="B268" s="342" t="s">
        <v>169</v>
      </c>
      <c r="C268" s="345">
        <f t="shared" si="340"/>
        <v>0</v>
      </c>
      <c r="D268" s="346" t="str">
        <f>IF(D$260="","",D$262*VLOOKUP(D$260&amp;" (All)",'Default Values'!$B$162:$CD$181,MATCH($B268,'Default Values'!$B$101:$CD$101,0),0))</f>
        <v/>
      </c>
      <c r="E268" s="346" t="str">
        <f>IF(E$260="","",E$262*VLOOKUP(E$260&amp;" (All)",'Default Values'!$B$162:$CD$181,MATCH($B268,'Default Values'!$B$101:$CD$101,0),0))</f>
        <v/>
      </c>
      <c r="F268" s="346" t="str">
        <f>IF(F$260="","",F$262*VLOOKUP(F$260&amp;" (All)",'Default Values'!$B$162:$CD$181,MATCH($B268,'Default Values'!$B$101:$CD$101,0),0))</f>
        <v/>
      </c>
      <c r="G268" s="346" t="str">
        <f>IF(G$260="","",G$262*VLOOKUP(G$260&amp;" (All)",'Default Values'!$B$162:$CD$181,MATCH($B268,'Default Values'!$B$101:$CD$101,0),0))</f>
        <v/>
      </c>
      <c r="H268" s="346" t="str">
        <f>IF(H$260="","",H$262*VLOOKUP(H$260&amp;" (All)",'Default Values'!$B$162:$CD$181,MATCH($B268,'Default Values'!$B$101:$CD$101,0),0))</f>
        <v/>
      </c>
      <c r="I268" s="346" t="str">
        <f>IF(I$260="","",I$262*VLOOKUP(I$260&amp;" (All)",'Default Values'!$B$162:$CD$181,MATCH($B268,'Default Values'!$B$101:$CD$101,0),0))</f>
        <v/>
      </c>
      <c r="J268" s="346" t="str">
        <f>IF(J$260="","",J$262*VLOOKUP(J$260&amp;" (All)",'Default Values'!$B$162:$CD$181,MATCH($B268,'Default Values'!$B$101:$CD$101,0),0))</f>
        <v/>
      </c>
      <c r="K268" s="346" t="str">
        <f>IF(K$260="","",K$262*VLOOKUP(K$260&amp;" (All)",'Default Values'!$B$162:$CD$181,MATCH($B268,'Default Values'!$B$101:$CD$101,0),0))</f>
        <v/>
      </c>
      <c r="L268" s="346" t="str">
        <f>IF(L$260="","",L$262*VLOOKUP(L$260&amp;" (All)",'Default Values'!$B$162:$CD$181,MATCH($B268,'Default Values'!$B$101:$CD$101,0),0))</f>
        <v/>
      </c>
      <c r="M268" s="346" t="str">
        <f>IF(M$260="","",M$262*VLOOKUP(M$260&amp;" (All)",'Default Values'!$B$162:$CD$181,MATCH($B268,'Default Values'!$B$101:$CD$101,0),0))</f>
        <v/>
      </c>
      <c r="N268" s="346" t="str">
        <f>IF(N$260="","",N$262*VLOOKUP(N$260&amp;" (All)",'Default Values'!$B$162:$CD$181,MATCH($B268,'Default Values'!$B$101:$CD$101,0),0))</f>
        <v/>
      </c>
      <c r="O268" s="346" t="str">
        <f>IF(O$260="","",O$262*VLOOKUP(O$260&amp;" (All)",'Default Values'!$B$162:$CD$181,MATCH($B268,'Default Values'!$B$101:$CD$101,0),0))</f>
        <v/>
      </c>
      <c r="P268" s="346" t="str">
        <f>IF(P$260="","",P$262*VLOOKUP(P$260&amp;" (All)",'Default Values'!$B$162:$CD$181,MATCH($B268,'Default Values'!$B$101:$CD$101,0),0))</f>
        <v/>
      </c>
      <c r="Q268" s="346" t="str">
        <f>IF(Q$260="","",Q$262*VLOOKUP(Q$260&amp;" (All)",'Default Values'!$B$162:$CD$181,MATCH($B268,'Default Values'!$B$101:$CD$101,0),0))</f>
        <v/>
      </c>
      <c r="R268" s="346" t="str">
        <f>IF(R$260="","",R$262*VLOOKUP(R$260&amp;" (All)",'Default Values'!$B$162:$CD$181,MATCH($B268,'Default Values'!$B$101:$CD$101,0),0))</f>
        <v/>
      </c>
      <c r="S268" s="346" t="str">
        <f>IF(S$260="","",S$262*VLOOKUP(S$260&amp;" (All)",'Default Values'!$B$162:$CD$181,MATCH($B268,'Default Values'!$B$101:$CD$101,0),0))</f>
        <v/>
      </c>
      <c r="T268" s="346" t="str">
        <f>IF(T$260="","",T$262*VLOOKUP(T$260&amp;" (All)",'Default Values'!$B$162:$CD$181,MATCH($B268,'Default Values'!$B$101:$CD$101,0),0))</f>
        <v/>
      </c>
      <c r="U268" s="346" t="str">
        <f>IF(U$260="","",U$262*VLOOKUP(U$260&amp;" (All)",'Default Values'!$B$162:$CD$181,MATCH($B268,'Default Values'!$B$101:$CD$101,0),0))</f>
        <v/>
      </c>
      <c r="V268" s="346" t="str">
        <f>IF(V$260="","",V$262*VLOOKUP(V$260&amp;" (All)",'Default Values'!$B$162:$CD$181,MATCH($B268,'Default Values'!$B$101:$CD$101,0),0))</f>
        <v/>
      </c>
      <c r="W268" s="346" t="str">
        <f>IF(W$260="","",W$262*VLOOKUP(W$260&amp;" (All)",'Default Values'!$B$162:$CD$181,MATCH($B268,'Default Values'!$B$101:$CD$101,0),0))</f>
        <v/>
      </c>
      <c r="X268" s="346" t="str">
        <f>IF(X$260="","",X$262*VLOOKUP(X$260&amp;" (All)",'Default Values'!$B$162:$CD$181,MATCH($B268,'Default Values'!$B$101:$CD$101,0),0))</f>
        <v/>
      </c>
      <c r="Y268" s="346" t="str">
        <f>IF(Y$260="","",Y$262*VLOOKUP(Y$260&amp;" (All)",'Default Values'!$B$162:$CD$181,MATCH($B268,'Default Values'!$B$101:$CD$101,0),0))</f>
        <v/>
      </c>
      <c r="Z268" s="346" t="str">
        <f>IF(Z$260="","",Z$262*VLOOKUP(Z$260&amp;" (All)",'Default Values'!$B$162:$CD$181,MATCH($B268,'Default Values'!$B$101:$CD$101,0),0))</f>
        <v/>
      </c>
      <c r="AA268" s="346" t="str">
        <f>IF(AA$260="","",AA$262*VLOOKUP(AA$260&amp;" (All)",'Default Values'!$B$162:$CD$181,MATCH($B268,'Default Values'!$B$101:$CD$101,0),0))</f>
        <v/>
      </c>
      <c r="AB268" s="346" t="str">
        <f>IF(AB$260="","",AB$262*VLOOKUP(AB$260&amp;" (All)",'Default Values'!$B$162:$CD$181,MATCH($B268,'Default Values'!$B$101:$CD$101,0),0))</f>
        <v/>
      </c>
      <c r="AC268" s="346" t="str">
        <f>IF(AC$260="","",AC$262*VLOOKUP(AC$260&amp;" (All)",'Default Values'!$B$162:$CD$181,MATCH($B268,'Default Values'!$B$101:$CD$101,0),0))</f>
        <v/>
      </c>
      <c r="AD268" s="346" t="str">
        <f>IF(AD$260="","",AD$262*VLOOKUP(AD$260&amp;" (All)",'Default Values'!$B$162:$CD$181,MATCH($B268,'Default Values'!$B$101:$CD$101,0),0))</f>
        <v/>
      </c>
      <c r="AE268" s="346" t="str">
        <f>IF(AE$260="","",AE$262*VLOOKUP(AE$260&amp;" (All)",'Default Values'!$B$162:$CD$181,MATCH($B268,'Default Values'!$B$101:$CD$101,0),0))</f>
        <v/>
      </c>
      <c r="AF268" s="346" t="str">
        <f>IF(AF$260="","",AF$262*VLOOKUP(AF$260&amp;" (All)",'Default Values'!$B$162:$CD$181,MATCH($B268,'Default Values'!$B$101:$CD$101,0),0))</f>
        <v/>
      </c>
      <c r="AG268" s="346" t="str">
        <f>IF(AG$260="","",AG$262*VLOOKUP(AG$260&amp;" (All)",'Default Values'!$B$162:$CD$181,MATCH($B268,'Default Values'!$B$101:$CD$101,0),0))</f>
        <v/>
      </c>
      <c r="AH268" s="346" t="str">
        <f>IF(AH$260="","",AH$262*VLOOKUP(AH$260&amp;" (All)",'Default Values'!$B$162:$CD$181,MATCH($B268,'Default Values'!$B$101:$CD$101,0),0))</f>
        <v/>
      </c>
      <c r="AI268" s="346" t="str">
        <f>IF(AI$260="","",AI$262*VLOOKUP(AI$260&amp;" (All)",'Default Values'!$B$162:$CD$181,MATCH($B268,'Default Values'!$B$101:$CD$101,0),0))</f>
        <v/>
      </c>
      <c r="AJ268" s="346" t="str">
        <f>IF(AJ$260="","",AJ$262*VLOOKUP(AJ$260&amp;" (All)",'Default Values'!$B$162:$CD$181,MATCH($B268,'Default Values'!$B$101:$CD$101,0),0))</f>
        <v/>
      </c>
      <c r="AK268" s="346" t="str">
        <f>IF(AK$260="","",AK$262*VLOOKUP(AK$260&amp;" (All)",'Default Values'!$B$162:$CD$181,MATCH($B268,'Default Values'!$B$101:$CD$101,0),0))</f>
        <v/>
      </c>
      <c r="AL268" s="346" t="str">
        <f>IF(AL$260="","",AL$262*VLOOKUP(AL$260&amp;" (All)",'Default Values'!$B$162:$CD$181,MATCH($B268,'Default Values'!$B$101:$CD$101,0),0))</f>
        <v/>
      </c>
      <c r="AM268" s="346" t="str">
        <f>IF(AM$260="","",AM$262*VLOOKUP(AM$260&amp;" (All)",'Default Values'!$B$162:$CD$181,MATCH($B268,'Default Values'!$B$101:$CD$101,0),0))</f>
        <v/>
      </c>
      <c r="AN268" s="346" t="str">
        <f>IF(AN$260="","",AN$262*VLOOKUP(AN$260&amp;" (All)",'Default Values'!$B$162:$CD$181,MATCH($B268,'Default Values'!$B$101:$CD$101,0),0))</f>
        <v/>
      </c>
      <c r="AO268" s="346" t="str">
        <f>IF(AO$260="","",AO$262*VLOOKUP(AO$260&amp;" (All)",'Default Values'!$B$162:$CD$181,MATCH($B268,'Default Values'!$B$101:$CD$101,0),0))</f>
        <v/>
      </c>
      <c r="AP268" s="346" t="str">
        <f>IF(AP$260="","",AP$262*VLOOKUP(AP$260&amp;" (All)",'Default Values'!$B$162:$CD$181,MATCH($B268,'Default Values'!$B$101:$CD$101,0),0))</f>
        <v/>
      </c>
      <c r="AQ268" s="346" t="str">
        <f>IF(AQ$260="","",AQ$262*VLOOKUP(AQ$260&amp;" (All)",'Default Values'!$B$162:$CD$181,MATCH($B268,'Default Values'!$B$101:$CD$101,0),0))</f>
        <v/>
      </c>
      <c r="AR268" s="346">
        <f>IF(AR$260="","",AR$262*VLOOKUP(AR$260&amp;" (All)",'Default Values'!$B$162:$CD$181,MATCH($B268,'Default Values'!$B$101:$CD$101,0),0))</f>
        <v>0</v>
      </c>
      <c r="AS268" s="217"/>
      <c r="AT268" s="217"/>
      <c r="AU268" s="217"/>
      <c r="AV268" s="217"/>
      <c r="AW268" s="217"/>
      <c r="AX268" s="217"/>
      <c r="AY268" s="217"/>
      <c r="AZ268" s="217"/>
      <c r="BA268" s="217"/>
      <c r="BB268" s="217"/>
      <c r="BC268" s="217"/>
      <c r="BD268" s="217"/>
      <c r="BE268" s="217"/>
      <c r="BF268" s="217"/>
      <c r="BG268" s="217"/>
      <c r="BH268" s="217"/>
      <c r="BI268" s="217"/>
      <c r="BJ268" s="217"/>
      <c r="BK268" s="217"/>
      <c r="BL268" s="217"/>
      <c r="BM268" s="217"/>
      <c r="BN268" s="217"/>
      <c r="BO268" s="217"/>
      <c r="BP268" s="217"/>
      <c r="BQ268" s="217"/>
      <c r="BR268" s="217"/>
      <c r="BS268" s="217"/>
      <c r="BT268" s="217"/>
      <c r="BU268" s="217"/>
      <c r="BV268" s="217"/>
      <c r="BW268" s="217"/>
      <c r="BX268" s="217"/>
      <c r="BY268" s="217"/>
      <c r="BZ268" s="217"/>
      <c r="CA268" s="217"/>
      <c r="CB268" s="217"/>
      <c r="CC268" s="217"/>
      <c r="CD268" s="217"/>
      <c r="CE268" s="217"/>
      <c r="CF268" s="217"/>
      <c r="CG268" s="217"/>
      <c r="CH268" s="217"/>
      <c r="CI268" s="217"/>
      <c r="CJ268" s="217"/>
      <c r="CK268" s="217"/>
      <c r="CL268" s="217"/>
      <c r="CM268" s="217"/>
      <c r="CN268" s="217"/>
      <c r="CO268" s="217"/>
      <c r="CP268" s="217"/>
      <c r="CQ268" s="217"/>
      <c r="CR268" s="217"/>
      <c r="CS268" s="217"/>
      <c r="CT268" s="217"/>
      <c r="CU268" s="217"/>
      <c r="CV268" s="217"/>
      <c r="CW268" s="217"/>
      <c r="CX268" s="217"/>
      <c r="CY268" s="217"/>
      <c r="CZ268" s="217"/>
      <c r="DA268" s="217"/>
      <c r="DB268" s="217"/>
      <c r="DC268" s="217"/>
      <c r="DD268" s="217"/>
      <c r="DE268" s="217"/>
      <c r="DF268" s="217"/>
      <c r="DG268" s="217"/>
      <c r="DH268" s="217"/>
      <c r="DI268" s="217"/>
      <c r="DJ268" s="217"/>
      <c r="DK268" s="217"/>
      <c r="DL268" s="217"/>
      <c r="DM268" s="217"/>
      <c r="DN268" s="217"/>
      <c r="DO268" s="217"/>
      <c r="DP268" s="217"/>
      <c r="DQ268" s="217"/>
      <c r="DR268" s="217"/>
      <c r="DS268" s="217"/>
      <c r="DT268" s="217"/>
    </row>
    <row r="269" spans="1:124" x14ac:dyDescent="0.3">
      <c r="A269" s="217"/>
      <c r="B269" s="342" t="s">
        <v>178</v>
      </c>
      <c r="C269" s="345">
        <f t="shared" si="340"/>
        <v>0</v>
      </c>
      <c r="D269" s="346" t="str">
        <f>IF(D$260="","",D$262*VLOOKUP(D$260&amp;" (All)",'Default Values'!$B$162:$CD$181,MATCH($B269,'Default Values'!$B$101:$CD$101,0),0))</f>
        <v/>
      </c>
      <c r="E269" s="346" t="str">
        <f>IF(E$260="","",E$262*VLOOKUP(E$260&amp;" (All)",'Default Values'!$B$162:$CD$181,MATCH($B269,'Default Values'!$B$101:$CD$101,0),0))</f>
        <v/>
      </c>
      <c r="F269" s="346" t="str">
        <f>IF(F$260="","",F$262*VLOOKUP(F$260&amp;" (All)",'Default Values'!$B$162:$CD$181,MATCH($B269,'Default Values'!$B$101:$CD$101,0),0))</f>
        <v/>
      </c>
      <c r="G269" s="346" t="str">
        <f>IF(G$260="","",G$262*VLOOKUP(G$260&amp;" (All)",'Default Values'!$B$162:$CD$181,MATCH($B269,'Default Values'!$B$101:$CD$101,0),0))</f>
        <v/>
      </c>
      <c r="H269" s="346" t="str">
        <f>IF(H$260="","",H$262*VLOOKUP(H$260&amp;" (All)",'Default Values'!$B$162:$CD$181,MATCH($B269,'Default Values'!$B$101:$CD$101,0),0))</f>
        <v/>
      </c>
      <c r="I269" s="346" t="str">
        <f>IF(I$260="","",I$262*VLOOKUP(I$260&amp;" (All)",'Default Values'!$B$162:$CD$181,MATCH($B269,'Default Values'!$B$101:$CD$101,0),0))</f>
        <v/>
      </c>
      <c r="J269" s="346" t="str">
        <f>IF(J$260="","",J$262*VLOOKUP(J$260&amp;" (All)",'Default Values'!$B$162:$CD$181,MATCH($B269,'Default Values'!$B$101:$CD$101,0),0))</f>
        <v/>
      </c>
      <c r="K269" s="346" t="str">
        <f>IF(K$260="","",K$262*VLOOKUP(K$260&amp;" (All)",'Default Values'!$B$162:$CD$181,MATCH($B269,'Default Values'!$B$101:$CD$101,0),0))</f>
        <v/>
      </c>
      <c r="L269" s="346" t="str">
        <f>IF(L$260="","",L$262*VLOOKUP(L$260&amp;" (All)",'Default Values'!$B$162:$CD$181,MATCH($B269,'Default Values'!$B$101:$CD$101,0),0))</f>
        <v/>
      </c>
      <c r="M269" s="346" t="str">
        <f>IF(M$260="","",M$262*VLOOKUP(M$260&amp;" (All)",'Default Values'!$B$162:$CD$181,MATCH($B269,'Default Values'!$B$101:$CD$101,0),0))</f>
        <v/>
      </c>
      <c r="N269" s="346" t="str">
        <f>IF(N$260="","",N$262*VLOOKUP(N$260&amp;" (All)",'Default Values'!$B$162:$CD$181,MATCH($B269,'Default Values'!$B$101:$CD$101,0),0))</f>
        <v/>
      </c>
      <c r="O269" s="346" t="str">
        <f>IF(O$260="","",O$262*VLOOKUP(O$260&amp;" (All)",'Default Values'!$B$162:$CD$181,MATCH($B269,'Default Values'!$B$101:$CD$101,0),0))</f>
        <v/>
      </c>
      <c r="P269" s="346" t="str">
        <f>IF(P$260="","",P$262*VLOOKUP(P$260&amp;" (All)",'Default Values'!$B$162:$CD$181,MATCH($B269,'Default Values'!$B$101:$CD$101,0),0))</f>
        <v/>
      </c>
      <c r="Q269" s="346" t="str">
        <f>IF(Q$260="","",Q$262*VLOOKUP(Q$260&amp;" (All)",'Default Values'!$B$162:$CD$181,MATCH($B269,'Default Values'!$B$101:$CD$101,0),0))</f>
        <v/>
      </c>
      <c r="R269" s="346" t="str">
        <f>IF(R$260="","",R$262*VLOOKUP(R$260&amp;" (All)",'Default Values'!$B$162:$CD$181,MATCH($B269,'Default Values'!$B$101:$CD$101,0),0))</f>
        <v/>
      </c>
      <c r="S269" s="346" t="str">
        <f>IF(S$260="","",S$262*VLOOKUP(S$260&amp;" (All)",'Default Values'!$B$162:$CD$181,MATCH($B269,'Default Values'!$B$101:$CD$101,0),0))</f>
        <v/>
      </c>
      <c r="T269" s="346" t="str">
        <f>IF(T$260="","",T$262*VLOOKUP(T$260&amp;" (All)",'Default Values'!$B$162:$CD$181,MATCH($B269,'Default Values'!$B$101:$CD$101,0),0))</f>
        <v/>
      </c>
      <c r="U269" s="346" t="str">
        <f>IF(U$260="","",U$262*VLOOKUP(U$260&amp;" (All)",'Default Values'!$B$162:$CD$181,MATCH($B269,'Default Values'!$B$101:$CD$101,0),0))</f>
        <v/>
      </c>
      <c r="V269" s="346" t="str">
        <f>IF(V$260="","",V$262*VLOOKUP(V$260&amp;" (All)",'Default Values'!$B$162:$CD$181,MATCH($B269,'Default Values'!$B$101:$CD$101,0),0))</f>
        <v/>
      </c>
      <c r="W269" s="346" t="str">
        <f>IF(W$260="","",W$262*VLOOKUP(W$260&amp;" (All)",'Default Values'!$B$162:$CD$181,MATCH($B269,'Default Values'!$B$101:$CD$101,0),0))</f>
        <v/>
      </c>
      <c r="X269" s="346" t="str">
        <f>IF(X$260="","",X$262*VLOOKUP(X$260&amp;" (All)",'Default Values'!$B$162:$CD$181,MATCH($B269,'Default Values'!$B$101:$CD$101,0),0))</f>
        <v/>
      </c>
      <c r="Y269" s="346" t="str">
        <f>IF(Y$260="","",Y$262*VLOOKUP(Y$260&amp;" (All)",'Default Values'!$B$162:$CD$181,MATCH($B269,'Default Values'!$B$101:$CD$101,0),0))</f>
        <v/>
      </c>
      <c r="Z269" s="346" t="str">
        <f>IF(Z$260="","",Z$262*VLOOKUP(Z$260&amp;" (All)",'Default Values'!$B$162:$CD$181,MATCH($B269,'Default Values'!$B$101:$CD$101,0),0))</f>
        <v/>
      </c>
      <c r="AA269" s="346" t="str">
        <f>IF(AA$260="","",AA$262*VLOOKUP(AA$260&amp;" (All)",'Default Values'!$B$162:$CD$181,MATCH($B269,'Default Values'!$B$101:$CD$101,0),0))</f>
        <v/>
      </c>
      <c r="AB269" s="346" t="str">
        <f>IF(AB$260="","",AB$262*VLOOKUP(AB$260&amp;" (All)",'Default Values'!$B$162:$CD$181,MATCH($B269,'Default Values'!$B$101:$CD$101,0),0))</f>
        <v/>
      </c>
      <c r="AC269" s="346" t="str">
        <f>IF(AC$260="","",AC$262*VLOOKUP(AC$260&amp;" (All)",'Default Values'!$B$162:$CD$181,MATCH($B269,'Default Values'!$B$101:$CD$101,0),0))</f>
        <v/>
      </c>
      <c r="AD269" s="346" t="str">
        <f>IF(AD$260="","",AD$262*VLOOKUP(AD$260&amp;" (All)",'Default Values'!$B$162:$CD$181,MATCH($B269,'Default Values'!$B$101:$CD$101,0),0))</f>
        <v/>
      </c>
      <c r="AE269" s="346" t="str">
        <f>IF(AE$260="","",AE$262*VLOOKUP(AE$260&amp;" (All)",'Default Values'!$B$162:$CD$181,MATCH($B269,'Default Values'!$B$101:$CD$101,0),0))</f>
        <v/>
      </c>
      <c r="AF269" s="346" t="str">
        <f>IF(AF$260="","",AF$262*VLOOKUP(AF$260&amp;" (All)",'Default Values'!$B$162:$CD$181,MATCH($B269,'Default Values'!$B$101:$CD$101,0),0))</f>
        <v/>
      </c>
      <c r="AG269" s="346" t="str">
        <f>IF(AG$260="","",AG$262*VLOOKUP(AG$260&amp;" (All)",'Default Values'!$B$162:$CD$181,MATCH($B269,'Default Values'!$B$101:$CD$101,0),0))</f>
        <v/>
      </c>
      <c r="AH269" s="346" t="str">
        <f>IF(AH$260="","",AH$262*VLOOKUP(AH$260&amp;" (All)",'Default Values'!$B$162:$CD$181,MATCH($B269,'Default Values'!$B$101:$CD$101,0),0))</f>
        <v/>
      </c>
      <c r="AI269" s="346" t="str">
        <f>IF(AI$260="","",AI$262*VLOOKUP(AI$260&amp;" (All)",'Default Values'!$B$162:$CD$181,MATCH($B269,'Default Values'!$B$101:$CD$101,0),0))</f>
        <v/>
      </c>
      <c r="AJ269" s="346" t="str">
        <f>IF(AJ$260="","",AJ$262*VLOOKUP(AJ$260&amp;" (All)",'Default Values'!$B$162:$CD$181,MATCH($B269,'Default Values'!$B$101:$CD$101,0),0))</f>
        <v/>
      </c>
      <c r="AK269" s="346" t="str">
        <f>IF(AK$260="","",AK$262*VLOOKUP(AK$260&amp;" (All)",'Default Values'!$B$162:$CD$181,MATCH($B269,'Default Values'!$B$101:$CD$101,0),0))</f>
        <v/>
      </c>
      <c r="AL269" s="346" t="str">
        <f>IF(AL$260="","",AL$262*VLOOKUP(AL$260&amp;" (All)",'Default Values'!$B$162:$CD$181,MATCH($B269,'Default Values'!$B$101:$CD$101,0),0))</f>
        <v/>
      </c>
      <c r="AM269" s="346" t="str">
        <f>IF(AM$260="","",AM$262*VLOOKUP(AM$260&amp;" (All)",'Default Values'!$B$162:$CD$181,MATCH($B269,'Default Values'!$B$101:$CD$101,0),0))</f>
        <v/>
      </c>
      <c r="AN269" s="346" t="str">
        <f>IF(AN$260="","",AN$262*VLOOKUP(AN$260&amp;" (All)",'Default Values'!$B$162:$CD$181,MATCH($B269,'Default Values'!$B$101:$CD$101,0),0))</f>
        <v/>
      </c>
      <c r="AO269" s="346" t="str">
        <f>IF(AO$260="","",AO$262*VLOOKUP(AO$260&amp;" (All)",'Default Values'!$B$162:$CD$181,MATCH($B269,'Default Values'!$B$101:$CD$101,0),0))</f>
        <v/>
      </c>
      <c r="AP269" s="346" t="str">
        <f>IF(AP$260="","",AP$262*VLOOKUP(AP$260&amp;" (All)",'Default Values'!$B$162:$CD$181,MATCH($B269,'Default Values'!$B$101:$CD$101,0),0))</f>
        <v/>
      </c>
      <c r="AQ269" s="346" t="str">
        <f>IF(AQ$260="","",AQ$262*VLOOKUP(AQ$260&amp;" (All)",'Default Values'!$B$162:$CD$181,MATCH($B269,'Default Values'!$B$101:$CD$101,0),0))</f>
        <v/>
      </c>
      <c r="AR269" s="346">
        <f>IF(AR$260="","",AR$262*VLOOKUP(AR$260&amp;" (All)",'Default Values'!$B$162:$CD$181,MATCH($B269,'Default Values'!$B$101:$CD$101,0),0))</f>
        <v>0</v>
      </c>
      <c r="AS269" s="217"/>
      <c r="AT269" s="217"/>
      <c r="AU269" s="217"/>
      <c r="AV269" s="217"/>
      <c r="AW269" s="217"/>
      <c r="AX269" s="217"/>
      <c r="AY269" s="217"/>
      <c r="AZ269" s="217"/>
      <c r="BA269" s="217"/>
      <c r="BB269" s="217"/>
      <c r="BC269" s="217"/>
      <c r="BD269" s="217"/>
      <c r="BE269" s="217"/>
      <c r="BF269" s="217"/>
      <c r="BG269" s="217"/>
      <c r="BH269" s="217"/>
      <c r="BI269" s="217"/>
      <c r="BJ269" s="217"/>
      <c r="BK269" s="217"/>
      <c r="BL269" s="217"/>
      <c r="BM269" s="217"/>
      <c r="BN269" s="217"/>
      <c r="BO269" s="217"/>
      <c r="BP269" s="217"/>
      <c r="BQ269" s="217"/>
      <c r="BR269" s="217"/>
      <c r="BS269" s="217"/>
      <c r="BT269" s="217"/>
      <c r="BU269" s="217"/>
      <c r="BV269" s="217"/>
      <c r="BW269" s="217"/>
      <c r="BX269" s="217"/>
      <c r="BY269" s="217"/>
      <c r="BZ269" s="217"/>
      <c r="CA269" s="217"/>
      <c r="CB269" s="217"/>
      <c r="CC269" s="217"/>
      <c r="CD269" s="217"/>
      <c r="CE269" s="217"/>
      <c r="CF269" s="217"/>
      <c r="CG269" s="217"/>
      <c r="CH269" s="217"/>
      <c r="CI269" s="217"/>
      <c r="CJ269" s="217"/>
      <c r="CK269" s="217"/>
      <c r="CL269" s="217"/>
      <c r="CM269" s="217"/>
      <c r="CN269" s="217"/>
      <c r="CO269" s="217"/>
      <c r="CP269" s="217"/>
      <c r="CQ269" s="217"/>
      <c r="CR269" s="217"/>
      <c r="CS269" s="217"/>
      <c r="CT269" s="217"/>
      <c r="CU269" s="217"/>
      <c r="CV269" s="217"/>
      <c r="CW269" s="217"/>
      <c r="CX269" s="217"/>
      <c r="CY269" s="217"/>
      <c r="CZ269" s="217"/>
      <c r="DA269" s="217"/>
      <c r="DB269" s="217"/>
      <c r="DC269" s="217"/>
      <c r="DD269" s="217"/>
      <c r="DE269" s="217"/>
      <c r="DF269" s="217"/>
      <c r="DG269" s="217"/>
      <c r="DH269" s="217"/>
      <c r="DI269" s="217"/>
      <c r="DJ269" s="217"/>
      <c r="DK269" s="217"/>
      <c r="DL269" s="217"/>
      <c r="DM269" s="217"/>
      <c r="DN269" s="217"/>
      <c r="DO269" s="217"/>
      <c r="DP269" s="217"/>
      <c r="DQ269" s="217"/>
      <c r="DR269" s="217"/>
      <c r="DS269" s="217"/>
      <c r="DT269" s="217"/>
    </row>
    <row r="270" spans="1:124" x14ac:dyDescent="0.3">
      <c r="A270" s="217"/>
      <c r="B270" s="342" t="s">
        <v>170</v>
      </c>
      <c r="C270" s="345">
        <f t="shared" si="340"/>
        <v>0</v>
      </c>
      <c r="D270" s="346" t="str">
        <f>IF(D$260="","",D$262*VLOOKUP(D$260&amp;" (All)",'Default Values'!$B$162:$CD$181,MATCH($B270,'Default Values'!$B$101:$CD$101,0),0))</f>
        <v/>
      </c>
      <c r="E270" s="346" t="str">
        <f>IF(E$260="","",E$262*VLOOKUP(E$260&amp;" (All)",'Default Values'!$B$162:$CD$181,MATCH($B270,'Default Values'!$B$101:$CD$101,0),0))</f>
        <v/>
      </c>
      <c r="F270" s="346" t="str">
        <f>IF(F$260="","",F$262*VLOOKUP(F$260&amp;" (All)",'Default Values'!$B$162:$CD$181,MATCH($B270,'Default Values'!$B$101:$CD$101,0),0))</f>
        <v/>
      </c>
      <c r="G270" s="346" t="str">
        <f>IF(G$260="","",G$262*VLOOKUP(G$260&amp;" (All)",'Default Values'!$B$162:$CD$181,MATCH($B270,'Default Values'!$B$101:$CD$101,0),0))</f>
        <v/>
      </c>
      <c r="H270" s="346" t="str">
        <f>IF(H$260="","",H$262*VLOOKUP(H$260&amp;" (All)",'Default Values'!$B$162:$CD$181,MATCH($B270,'Default Values'!$B$101:$CD$101,0),0))</f>
        <v/>
      </c>
      <c r="I270" s="346" t="str">
        <f>IF(I$260="","",I$262*VLOOKUP(I$260&amp;" (All)",'Default Values'!$B$162:$CD$181,MATCH($B270,'Default Values'!$B$101:$CD$101,0),0))</f>
        <v/>
      </c>
      <c r="J270" s="346" t="str">
        <f>IF(J$260="","",J$262*VLOOKUP(J$260&amp;" (All)",'Default Values'!$B$162:$CD$181,MATCH($B270,'Default Values'!$B$101:$CD$101,0),0))</f>
        <v/>
      </c>
      <c r="K270" s="346" t="str">
        <f>IF(K$260="","",K$262*VLOOKUP(K$260&amp;" (All)",'Default Values'!$B$162:$CD$181,MATCH($B270,'Default Values'!$B$101:$CD$101,0),0))</f>
        <v/>
      </c>
      <c r="L270" s="346" t="str">
        <f>IF(L$260="","",L$262*VLOOKUP(L$260&amp;" (All)",'Default Values'!$B$162:$CD$181,MATCH($B270,'Default Values'!$B$101:$CD$101,0),0))</f>
        <v/>
      </c>
      <c r="M270" s="346" t="str">
        <f>IF(M$260="","",M$262*VLOOKUP(M$260&amp;" (All)",'Default Values'!$B$162:$CD$181,MATCH($B270,'Default Values'!$B$101:$CD$101,0),0))</f>
        <v/>
      </c>
      <c r="N270" s="346" t="str">
        <f>IF(N$260="","",N$262*VLOOKUP(N$260&amp;" (All)",'Default Values'!$B$162:$CD$181,MATCH($B270,'Default Values'!$B$101:$CD$101,0),0))</f>
        <v/>
      </c>
      <c r="O270" s="346" t="str">
        <f>IF(O$260="","",O$262*VLOOKUP(O$260&amp;" (All)",'Default Values'!$B$162:$CD$181,MATCH($B270,'Default Values'!$B$101:$CD$101,0),0))</f>
        <v/>
      </c>
      <c r="P270" s="346" t="str">
        <f>IF(P$260="","",P$262*VLOOKUP(P$260&amp;" (All)",'Default Values'!$B$162:$CD$181,MATCH($B270,'Default Values'!$B$101:$CD$101,0),0))</f>
        <v/>
      </c>
      <c r="Q270" s="346" t="str">
        <f>IF(Q$260="","",Q$262*VLOOKUP(Q$260&amp;" (All)",'Default Values'!$B$162:$CD$181,MATCH($B270,'Default Values'!$B$101:$CD$101,0),0))</f>
        <v/>
      </c>
      <c r="R270" s="346" t="str">
        <f>IF(R$260="","",R$262*VLOOKUP(R$260&amp;" (All)",'Default Values'!$B$162:$CD$181,MATCH($B270,'Default Values'!$B$101:$CD$101,0),0))</f>
        <v/>
      </c>
      <c r="S270" s="346" t="str">
        <f>IF(S$260="","",S$262*VLOOKUP(S$260&amp;" (All)",'Default Values'!$B$162:$CD$181,MATCH($B270,'Default Values'!$B$101:$CD$101,0),0))</f>
        <v/>
      </c>
      <c r="T270" s="346" t="str">
        <f>IF(T$260="","",T$262*VLOOKUP(T$260&amp;" (All)",'Default Values'!$B$162:$CD$181,MATCH($B270,'Default Values'!$B$101:$CD$101,0),0))</f>
        <v/>
      </c>
      <c r="U270" s="346" t="str">
        <f>IF(U$260="","",U$262*VLOOKUP(U$260&amp;" (All)",'Default Values'!$B$162:$CD$181,MATCH($B270,'Default Values'!$B$101:$CD$101,0),0))</f>
        <v/>
      </c>
      <c r="V270" s="346" t="str">
        <f>IF(V$260="","",V$262*VLOOKUP(V$260&amp;" (All)",'Default Values'!$B$162:$CD$181,MATCH($B270,'Default Values'!$B$101:$CD$101,0),0))</f>
        <v/>
      </c>
      <c r="W270" s="346" t="str">
        <f>IF(W$260="","",W$262*VLOOKUP(W$260&amp;" (All)",'Default Values'!$B$162:$CD$181,MATCH($B270,'Default Values'!$B$101:$CD$101,0),0))</f>
        <v/>
      </c>
      <c r="X270" s="346" t="str">
        <f>IF(X$260="","",X$262*VLOOKUP(X$260&amp;" (All)",'Default Values'!$B$162:$CD$181,MATCH($B270,'Default Values'!$B$101:$CD$101,0),0))</f>
        <v/>
      </c>
      <c r="Y270" s="346" t="str">
        <f>IF(Y$260="","",Y$262*VLOOKUP(Y$260&amp;" (All)",'Default Values'!$B$162:$CD$181,MATCH($B270,'Default Values'!$B$101:$CD$101,0),0))</f>
        <v/>
      </c>
      <c r="Z270" s="346" t="str">
        <f>IF(Z$260="","",Z$262*VLOOKUP(Z$260&amp;" (All)",'Default Values'!$B$162:$CD$181,MATCH($B270,'Default Values'!$B$101:$CD$101,0),0))</f>
        <v/>
      </c>
      <c r="AA270" s="346" t="str">
        <f>IF(AA$260="","",AA$262*VLOOKUP(AA$260&amp;" (All)",'Default Values'!$B$162:$CD$181,MATCH($B270,'Default Values'!$B$101:$CD$101,0),0))</f>
        <v/>
      </c>
      <c r="AB270" s="346" t="str">
        <f>IF(AB$260="","",AB$262*VLOOKUP(AB$260&amp;" (All)",'Default Values'!$B$162:$CD$181,MATCH($B270,'Default Values'!$B$101:$CD$101,0),0))</f>
        <v/>
      </c>
      <c r="AC270" s="346" t="str">
        <f>IF(AC$260="","",AC$262*VLOOKUP(AC$260&amp;" (All)",'Default Values'!$B$162:$CD$181,MATCH($B270,'Default Values'!$B$101:$CD$101,0),0))</f>
        <v/>
      </c>
      <c r="AD270" s="346" t="str">
        <f>IF(AD$260="","",AD$262*VLOOKUP(AD$260&amp;" (All)",'Default Values'!$B$162:$CD$181,MATCH($B270,'Default Values'!$B$101:$CD$101,0),0))</f>
        <v/>
      </c>
      <c r="AE270" s="346" t="str">
        <f>IF(AE$260="","",AE$262*VLOOKUP(AE$260&amp;" (All)",'Default Values'!$B$162:$CD$181,MATCH($B270,'Default Values'!$B$101:$CD$101,0),0))</f>
        <v/>
      </c>
      <c r="AF270" s="346" t="str">
        <f>IF(AF$260="","",AF$262*VLOOKUP(AF$260&amp;" (All)",'Default Values'!$B$162:$CD$181,MATCH($B270,'Default Values'!$B$101:$CD$101,0),0))</f>
        <v/>
      </c>
      <c r="AG270" s="346" t="str">
        <f>IF(AG$260="","",AG$262*VLOOKUP(AG$260&amp;" (All)",'Default Values'!$B$162:$CD$181,MATCH($B270,'Default Values'!$B$101:$CD$101,0),0))</f>
        <v/>
      </c>
      <c r="AH270" s="346" t="str">
        <f>IF(AH$260="","",AH$262*VLOOKUP(AH$260&amp;" (All)",'Default Values'!$B$162:$CD$181,MATCH($B270,'Default Values'!$B$101:$CD$101,0),0))</f>
        <v/>
      </c>
      <c r="AI270" s="346" t="str">
        <f>IF(AI$260="","",AI$262*VLOOKUP(AI$260&amp;" (All)",'Default Values'!$B$162:$CD$181,MATCH($B270,'Default Values'!$B$101:$CD$101,0),0))</f>
        <v/>
      </c>
      <c r="AJ270" s="346" t="str">
        <f>IF(AJ$260="","",AJ$262*VLOOKUP(AJ$260&amp;" (All)",'Default Values'!$B$162:$CD$181,MATCH($B270,'Default Values'!$B$101:$CD$101,0),0))</f>
        <v/>
      </c>
      <c r="AK270" s="346" t="str">
        <f>IF(AK$260="","",AK$262*VLOOKUP(AK$260&amp;" (All)",'Default Values'!$B$162:$CD$181,MATCH($B270,'Default Values'!$B$101:$CD$101,0),0))</f>
        <v/>
      </c>
      <c r="AL270" s="346" t="str">
        <f>IF(AL$260="","",AL$262*VLOOKUP(AL$260&amp;" (All)",'Default Values'!$B$162:$CD$181,MATCH($B270,'Default Values'!$B$101:$CD$101,0),0))</f>
        <v/>
      </c>
      <c r="AM270" s="346" t="str">
        <f>IF(AM$260="","",AM$262*VLOOKUP(AM$260&amp;" (All)",'Default Values'!$B$162:$CD$181,MATCH($B270,'Default Values'!$B$101:$CD$101,0),0))</f>
        <v/>
      </c>
      <c r="AN270" s="346" t="str">
        <f>IF(AN$260="","",AN$262*VLOOKUP(AN$260&amp;" (All)",'Default Values'!$B$162:$CD$181,MATCH($B270,'Default Values'!$B$101:$CD$101,0),0))</f>
        <v/>
      </c>
      <c r="AO270" s="346" t="str">
        <f>IF(AO$260="","",AO$262*VLOOKUP(AO$260&amp;" (All)",'Default Values'!$B$162:$CD$181,MATCH($B270,'Default Values'!$B$101:$CD$101,0),0))</f>
        <v/>
      </c>
      <c r="AP270" s="346" t="str">
        <f>IF(AP$260="","",AP$262*VLOOKUP(AP$260&amp;" (All)",'Default Values'!$B$162:$CD$181,MATCH($B270,'Default Values'!$B$101:$CD$101,0),0))</f>
        <v/>
      </c>
      <c r="AQ270" s="346" t="str">
        <f>IF(AQ$260="","",AQ$262*VLOOKUP(AQ$260&amp;" (All)",'Default Values'!$B$162:$CD$181,MATCH($B270,'Default Values'!$B$101:$CD$101,0),0))</f>
        <v/>
      </c>
      <c r="AR270" s="346">
        <f>IF(AR$260="","",AR$262*VLOOKUP(AR$260&amp;" (All)",'Default Values'!$B$162:$CD$181,MATCH($B270,'Default Values'!$B$101:$CD$101,0),0))</f>
        <v>0</v>
      </c>
      <c r="AS270" s="217"/>
      <c r="AT270" s="217"/>
      <c r="AU270" s="217"/>
      <c r="AV270" s="217"/>
      <c r="AW270" s="217"/>
      <c r="AX270" s="217"/>
      <c r="AY270" s="217"/>
      <c r="AZ270" s="217"/>
      <c r="BA270" s="217"/>
      <c r="BB270" s="217"/>
      <c r="BC270" s="217"/>
      <c r="BD270" s="217"/>
      <c r="BE270" s="217"/>
      <c r="BF270" s="217"/>
      <c r="BG270" s="217"/>
      <c r="BH270" s="217"/>
      <c r="BI270" s="217"/>
      <c r="BJ270" s="217"/>
      <c r="BK270" s="217"/>
      <c r="BL270" s="217"/>
      <c r="BM270" s="217"/>
      <c r="BN270" s="217"/>
      <c r="BO270" s="217"/>
      <c r="BP270" s="217"/>
      <c r="BQ270" s="217"/>
      <c r="BR270" s="217"/>
      <c r="BS270" s="217"/>
      <c r="BT270" s="217"/>
      <c r="BU270" s="217"/>
      <c r="BV270" s="217"/>
      <c r="BW270" s="217"/>
      <c r="BX270" s="217"/>
      <c r="BY270" s="217"/>
      <c r="BZ270" s="217"/>
      <c r="CA270" s="217"/>
      <c r="CB270" s="217"/>
      <c r="CC270" s="217"/>
      <c r="CD270" s="217"/>
      <c r="CE270" s="217"/>
      <c r="CF270" s="217"/>
      <c r="CG270" s="217"/>
      <c r="CH270" s="217"/>
      <c r="CI270" s="217"/>
      <c r="CJ270" s="217"/>
      <c r="CK270" s="217"/>
      <c r="CL270" s="217"/>
      <c r="CM270" s="217"/>
      <c r="CN270" s="217"/>
      <c r="CO270" s="217"/>
      <c r="CP270" s="217"/>
      <c r="CQ270" s="217"/>
      <c r="CR270" s="217"/>
      <c r="CS270" s="217"/>
      <c r="CT270" s="217"/>
      <c r="CU270" s="217"/>
      <c r="CV270" s="217"/>
      <c r="CW270" s="217"/>
      <c r="CX270" s="217"/>
      <c r="CY270" s="217"/>
      <c r="CZ270" s="217"/>
      <c r="DA270" s="217"/>
      <c r="DB270" s="217"/>
      <c r="DC270" s="217"/>
      <c r="DD270" s="217"/>
      <c r="DE270" s="217"/>
      <c r="DF270" s="217"/>
      <c r="DG270" s="217"/>
      <c r="DH270" s="217"/>
      <c r="DI270" s="217"/>
      <c r="DJ270" s="217"/>
      <c r="DK270" s="217"/>
      <c r="DL270" s="217"/>
      <c r="DM270" s="217"/>
      <c r="DN270" s="217"/>
      <c r="DO270" s="217"/>
      <c r="DP270" s="217"/>
      <c r="DQ270" s="217"/>
      <c r="DR270" s="217"/>
      <c r="DS270" s="217"/>
      <c r="DT270" s="217"/>
    </row>
    <row r="271" spans="1:124" x14ac:dyDescent="0.3">
      <c r="A271" s="217"/>
      <c r="B271" s="342" t="s">
        <v>171</v>
      </c>
      <c r="C271" s="345">
        <f t="shared" si="340"/>
        <v>0</v>
      </c>
      <c r="D271" s="346" t="str">
        <f>IF(D$260="","",D$262*VLOOKUP(D$260&amp;" (All)",'Default Values'!$B$162:$CD$181,MATCH($B271,'Default Values'!$B$101:$CD$101,0),0))</f>
        <v/>
      </c>
      <c r="E271" s="346" t="str">
        <f>IF(E$260="","",E$262*VLOOKUP(E$260&amp;" (All)",'Default Values'!$B$162:$CD$181,MATCH($B271,'Default Values'!$B$101:$CD$101,0),0))</f>
        <v/>
      </c>
      <c r="F271" s="346" t="str">
        <f>IF(F$260="","",F$262*VLOOKUP(F$260&amp;" (All)",'Default Values'!$B$162:$CD$181,MATCH($B271,'Default Values'!$B$101:$CD$101,0),0))</f>
        <v/>
      </c>
      <c r="G271" s="346" t="str">
        <f>IF(G$260="","",G$262*VLOOKUP(G$260&amp;" (All)",'Default Values'!$B$162:$CD$181,MATCH($B271,'Default Values'!$B$101:$CD$101,0),0))</f>
        <v/>
      </c>
      <c r="H271" s="346" t="str">
        <f>IF(H$260="","",H$262*VLOOKUP(H$260&amp;" (All)",'Default Values'!$B$162:$CD$181,MATCH($B271,'Default Values'!$B$101:$CD$101,0),0))</f>
        <v/>
      </c>
      <c r="I271" s="346" t="str">
        <f>IF(I$260="","",I$262*VLOOKUP(I$260&amp;" (All)",'Default Values'!$B$162:$CD$181,MATCH($B271,'Default Values'!$B$101:$CD$101,0),0))</f>
        <v/>
      </c>
      <c r="J271" s="346" t="str">
        <f>IF(J$260="","",J$262*VLOOKUP(J$260&amp;" (All)",'Default Values'!$B$162:$CD$181,MATCH($B271,'Default Values'!$B$101:$CD$101,0),0))</f>
        <v/>
      </c>
      <c r="K271" s="346" t="str">
        <f>IF(K$260="","",K$262*VLOOKUP(K$260&amp;" (All)",'Default Values'!$B$162:$CD$181,MATCH($B271,'Default Values'!$B$101:$CD$101,0),0))</f>
        <v/>
      </c>
      <c r="L271" s="346" t="str">
        <f>IF(L$260="","",L$262*VLOOKUP(L$260&amp;" (All)",'Default Values'!$B$162:$CD$181,MATCH($B271,'Default Values'!$B$101:$CD$101,0),0))</f>
        <v/>
      </c>
      <c r="M271" s="346" t="str">
        <f>IF(M$260="","",M$262*VLOOKUP(M$260&amp;" (All)",'Default Values'!$B$162:$CD$181,MATCH($B271,'Default Values'!$B$101:$CD$101,0),0))</f>
        <v/>
      </c>
      <c r="N271" s="346" t="str">
        <f>IF(N$260="","",N$262*VLOOKUP(N$260&amp;" (All)",'Default Values'!$B$162:$CD$181,MATCH($B271,'Default Values'!$B$101:$CD$101,0),0))</f>
        <v/>
      </c>
      <c r="O271" s="346" t="str">
        <f>IF(O$260="","",O$262*VLOOKUP(O$260&amp;" (All)",'Default Values'!$B$162:$CD$181,MATCH($B271,'Default Values'!$B$101:$CD$101,0),0))</f>
        <v/>
      </c>
      <c r="P271" s="346" t="str">
        <f>IF(P$260="","",P$262*VLOOKUP(P$260&amp;" (All)",'Default Values'!$B$162:$CD$181,MATCH($B271,'Default Values'!$B$101:$CD$101,0),0))</f>
        <v/>
      </c>
      <c r="Q271" s="346" t="str">
        <f>IF(Q$260="","",Q$262*VLOOKUP(Q$260&amp;" (All)",'Default Values'!$B$162:$CD$181,MATCH($B271,'Default Values'!$B$101:$CD$101,0),0))</f>
        <v/>
      </c>
      <c r="R271" s="346" t="str">
        <f>IF(R$260="","",R$262*VLOOKUP(R$260&amp;" (All)",'Default Values'!$B$162:$CD$181,MATCH($B271,'Default Values'!$B$101:$CD$101,0),0))</f>
        <v/>
      </c>
      <c r="S271" s="346" t="str">
        <f>IF(S$260="","",S$262*VLOOKUP(S$260&amp;" (All)",'Default Values'!$B$162:$CD$181,MATCH($B271,'Default Values'!$B$101:$CD$101,0),0))</f>
        <v/>
      </c>
      <c r="T271" s="346" t="str">
        <f>IF(T$260="","",T$262*VLOOKUP(T$260&amp;" (All)",'Default Values'!$B$162:$CD$181,MATCH($B271,'Default Values'!$B$101:$CD$101,0),0))</f>
        <v/>
      </c>
      <c r="U271" s="346" t="str">
        <f>IF(U$260="","",U$262*VLOOKUP(U$260&amp;" (All)",'Default Values'!$B$162:$CD$181,MATCH($B271,'Default Values'!$B$101:$CD$101,0),0))</f>
        <v/>
      </c>
      <c r="V271" s="346" t="str">
        <f>IF(V$260="","",V$262*VLOOKUP(V$260&amp;" (All)",'Default Values'!$B$162:$CD$181,MATCH($B271,'Default Values'!$B$101:$CD$101,0),0))</f>
        <v/>
      </c>
      <c r="W271" s="346" t="str">
        <f>IF(W$260="","",W$262*VLOOKUP(W$260&amp;" (All)",'Default Values'!$B$162:$CD$181,MATCH($B271,'Default Values'!$B$101:$CD$101,0),0))</f>
        <v/>
      </c>
      <c r="X271" s="346" t="str">
        <f>IF(X$260="","",X$262*VLOOKUP(X$260&amp;" (All)",'Default Values'!$B$162:$CD$181,MATCH($B271,'Default Values'!$B$101:$CD$101,0),0))</f>
        <v/>
      </c>
      <c r="Y271" s="346" t="str">
        <f>IF(Y$260="","",Y$262*VLOOKUP(Y$260&amp;" (All)",'Default Values'!$B$162:$CD$181,MATCH($B271,'Default Values'!$B$101:$CD$101,0),0))</f>
        <v/>
      </c>
      <c r="Z271" s="346" t="str">
        <f>IF(Z$260="","",Z$262*VLOOKUP(Z$260&amp;" (All)",'Default Values'!$B$162:$CD$181,MATCH($B271,'Default Values'!$B$101:$CD$101,0),0))</f>
        <v/>
      </c>
      <c r="AA271" s="346" t="str">
        <f>IF(AA$260="","",AA$262*VLOOKUP(AA$260&amp;" (All)",'Default Values'!$B$162:$CD$181,MATCH($B271,'Default Values'!$B$101:$CD$101,0),0))</f>
        <v/>
      </c>
      <c r="AB271" s="346" t="str">
        <f>IF(AB$260="","",AB$262*VLOOKUP(AB$260&amp;" (All)",'Default Values'!$B$162:$CD$181,MATCH($B271,'Default Values'!$B$101:$CD$101,0),0))</f>
        <v/>
      </c>
      <c r="AC271" s="346" t="str">
        <f>IF(AC$260="","",AC$262*VLOOKUP(AC$260&amp;" (All)",'Default Values'!$B$162:$CD$181,MATCH($B271,'Default Values'!$B$101:$CD$101,0),0))</f>
        <v/>
      </c>
      <c r="AD271" s="346" t="str">
        <f>IF(AD$260="","",AD$262*VLOOKUP(AD$260&amp;" (All)",'Default Values'!$B$162:$CD$181,MATCH($B271,'Default Values'!$B$101:$CD$101,0),0))</f>
        <v/>
      </c>
      <c r="AE271" s="346" t="str">
        <f>IF(AE$260="","",AE$262*VLOOKUP(AE$260&amp;" (All)",'Default Values'!$B$162:$CD$181,MATCH($B271,'Default Values'!$B$101:$CD$101,0),0))</f>
        <v/>
      </c>
      <c r="AF271" s="346" t="str">
        <f>IF(AF$260="","",AF$262*VLOOKUP(AF$260&amp;" (All)",'Default Values'!$B$162:$CD$181,MATCH($B271,'Default Values'!$B$101:$CD$101,0),0))</f>
        <v/>
      </c>
      <c r="AG271" s="346" t="str">
        <f>IF(AG$260="","",AG$262*VLOOKUP(AG$260&amp;" (All)",'Default Values'!$B$162:$CD$181,MATCH($B271,'Default Values'!$B$101:$CD$101,0),0))</f>
        <v/>
      </c>
      <c r="AH271" s="346" t="str">
        <f>IF(AH$260="","",AH$262*VLOOKUP(AH$260&amp;" (All)",'Default Values'!$B$162:$CD$181,MATCH($B271,'Default Values'!$B$101:$CD$101,0),0))</f>
        <v/>
      </c>
      <c r="AI271" s="346" t="str">
        <f>IF(AI$260="","",AI$262*VLOOKUP(AI$260&amp;" (All)",'Default Values'!$B$162:$CD$181,MATCH($B271,'Default Values'!$B$101:$CD$101,0),0))</f>
        <v/>
      </c>
      <c r="AJ271" s="346" t="str">
        <f>IF(AJ$260="","",AJ$262*VLOOKUP(AJ$260&amp;" (All)",'Default Values'!$B$162:$CD$181,MATCH($B271,'Default Values'!$B$101:$CD$101,0),0))</f>
        <v/>
      </c>
      <c r="AK271" s="346" t="str">
        <f>IF(AK$260="","",AK$262*VLOOKUP(AK$260&amp;" (All)",'Default Values'!$B$162:$CD$181,MATCH($B271,'Default Values'!$B$101:$CD$101,0),0))</f>
        <v/>
      </c>
      <c r="AL271" s="346" t="str">
        <f>IF(AL$260="","",AL$262*VLOOKUP(AL$260&amp;" (All)",'Default Values'!$B$162:$CD$181,MATCH($B271,'Default Values'!$B$101:$CD$101,0),0))</f>
        <v/>
      </c>
      <c r="AM271" s="346" t="str">
        <f>IF(AM$260="","",AM$262*VLOOKUP(AM$260&amp;" (All)",'Default Values'!$B$162:$CD$181,MATCH($B271,'Default Values'!$B$101:$CD$101,0),0))</f>
        <v/>
      </c>
      <c r="AN271" s="346" t="str">
        <f>IF(AN$260="","",AN$262*VLOOKUP(AN$260&amp;" (All)",'Default Values'!$B$162:$CD$181,MATCH($B271,'Default Values'!$B$101:$CD$101,0),0))</f>
        <v/>
      </c>
      <c r="AO271" s="346" t="str">
        <f>IF(AO$260="","",AO$262*VLOOKUP(AO$260&amp;" (All)",'Default Values'!$B$162:$CD$181,MATCH($B271,'Default Values'!$B$101:$CD$101,0),0))</f>
        <v/>
      </c>
      <c r="AP271" s="346" t="str">
        <f>IF(AP$260="","",AP$262*VLOOKUP(AP$260&amp;" (All)",'Default Values'!$B$162:$CD$181,MATCH($B271,'Default Values'!$B$101:$CD$101,0),0))</f>
        <v/>
      </c>
      <c r="AQ271" s="346" t="str">
        <f>IF(AQ$260="","",AQ$262*VLOOKUP(AQ$260&amp;" (All)",'Default Values'!$B$162:$CD$181,MATCH($B271,'Default Values'!$B$101:$CD$101,0),0))</f>
        <v/>
      </c>
      <c r="AR271" s="346">
        <f>IF(AR$260="","",AR$262*VLOOKUP(AR$260&amp;" (All)",'Default Values'!$B$162:$CD$181,MATCH($B271,'Default Values'!$B$101:$CD$101,0),0))</f>
        <v>7.0150510184511475E-2</v>
      </c>
      <c r="AS271" s="217"/>
      <c r="AT271" s="217"/>
      <c r="AU271" s="217"/>
      <c r="AV271" s="217"/>
      <c r="AW271" s="217"/>
      <c r="AX271" s="217"/>
      <c r="AY271" s="217"/>
      <c r="AZ271" s="217"/>
      <c r="BA271" s="217"/>
      <c r="BB271" s="217"/>
      <c r="BC271" s="217"/>
      <c r="BD271" s="217"/>
      <c r="BE271" s="217"/>
      <c r="BF271" s="217"/>
      <c r="BG271" s="217"/>
      <c r="BH271" s="217"/>
      <c r="BI271" s="217"/>
      <c r="BJ271" s="217"/>
      <c r="BK271" s="217"/>
      <c r="BL271" s="217"/>
      <c r="BM271" s="217"/>
      <c r="BN271" s="217"/>
      <c r="BO271" s="217"/>
      <c r="BP271" s="217"/>
      <c r="BQ271" s="217"/>
      <c r="BR271" s="217"/>
      <c r="BS271" s="217"/>
      <c r="BT271" s="217"/>
      <c r="BU271" s="217"/>
      <c r="BV271" s="217"/>
      <c r="BW271" s="217"/>
      <c r="BX271" s="217"/>
      <c r="BY271" s="217"/>
      <c r="BZ271" s="217"/>
      <c r="CA271" s="217"/>
      <c r="CB271" s="217"/>
      <c r="CC271" s="217"/>
      <c r="CD271" s="217"/>
      <c r="CE271" s="217"/>
      <c r="CF271" s="217"/>
      <c r="CG271" s="217"/>
      <c r="CH271" s="217"/>
      <c r="CI271" s="217"/>
      <c r="CJ271" s="217"/>
      <c r="CK271" s="217"/>
      <c r="CL271" s="217"/>
      <c r="CM271" s="217"/>
      <c r="CN271" s="217"/>
      <c r="CO271" s="217"/>
      <c r="CP271" s="217"/>
      <c r="CQ271" s="217"/>
      <c r="CR271" s="217"/>
      <c r="CS271" s="217"/>
      <c r="CT271" s="217"/>
      <c r="CU271" s="217"/>
      <c r="CV271" s="217"/>
      <c r="CW271" s="217"/>
      <c r="CX271" s="217"/>
      <c r="CY271" s="217"/>
      <c r="CZ271" s="217"/>
      <c r="DA271" s="217"/>
      <c r="DB271" s="217"/>
      <c r="DC271" s="217"/>
      <c r="DD271" s="217"/>
      <c r="DE271" s="217"/>
      <c r="DF271" s="217"/>
      <c r="DG271" s="217"/>
      <c r="DH271" s="217"/>
      <c r="DI271" s="217"/>
      <c r="DJ271" s="217"/>
      <c r="DK271" s="217"/>
      <c r="DL271" s="217"/>
      <c r="DM271" s="217"/>
      <c r="DN271" s="217"/>
      <c r="DO271" s="217"/>
      <c r="DP271" s="217"/>
      <c r="DQ271" s="217"/>
      <c r="DR271" s="217"/>
      <c r="DS271" s="217"/>
      <c r="DT271" s="217"/>
    </row>
    <row r="272" spans="1:124" x14ac:dyDescent="0.3">
      <c r="A272" s="217"/>
      <c r="B272" s="342" t="s">
        <v>172</v>
      </c>
      <c r="C272" s="345">
        <f t="shared" si="340"/>
        <v>0</v>
      </c>
      <c r="D272" s="346" t="str">
        <f>IF(D$260="","",D$262*VLOOKUP(D$260&amp;" (All)",'Default Values'!$B$162:$CD$181,MATCH($B272,'Default Values'!$B$101:$CD$101,0),0))</f>
        <v/>
      </c>
      <c r="E272" s="346" t="str">
        <f>IF(E$260="","",E$262*VLOOKUP(E$260&amp;" (All)",'Default Values'!$B$162:$CD$181,MATCH($B272,'Default Values'!$B$101:$CD$101,0),0))</f>
        <v/>
      </c>
      <c r="F272" s="346" t="str">
        <f>IF(F$260="","",F$262*VLOOKUP(F$260&amp;" (All)",'Default Values'!$B$162:$CD$181,MATCH($B272,'Default Values'!$B$101:$CD$101,0),0))</f>
        <v/>
      </c>
      <c r="G272" s="346" t="str">
        <f>IF(G$260="","",G$262*VLOOKUP(G$260&amp;" (All)",'Default Values'!$B$162:$CD$181,MATCH($B272,'Default Values'!$B$101:$CD$101,0),0))</f>
        <v/>
      </c>
      <c r="H272" s="346" t="str">
        <f>IF(H$260="","",H$262*VLOOKUP(H$260&amp;" (All)",'Default Values'!$B$162:$CD$181,MATCH($B272,'Default Values'!$B$101:$CD$101,0),0))</f>
        <v/>
      </c>
      <c r="I272" s="346" t="str">
        <f>IF(I$260="","",I$262*VLOOKUP(I$260&amp;" (All)",'Default Values'!$B$162:$CD$181,MATCH($B272,'Default Values'!$B$101:$CD$101,0),0))</f>
        <v/>
      </c>
      <c r="J272" s="346" t="str">
        <f>IF(J$260="","",J$262*VLOOKUP(J$260&amp;" (All)",'Default Values'!$B$162:$CD$181,MATCH($B272,'Default Values'!$B$101:$CD$101,0),0))</f>
        <v/>
      </c>
      <c r="K272" s="346" t="str">
        <f>IF(K$260="","",K$262*VLOOKUP(K$260&amp;" (All)",'Default Values'!$B$162:$CD$181,MATCH($B272,'Default Values'!$B$101:$CD$101,0),0))</f>
        <v/>
      </c>
      <c r="L272" s="346" t="str">
        <f>IF(L$260="","",L$262*VLOOKUP(L$260&amp;" (All)",'Default Values'!$B$162:$CD$181,MATCH($B272,'Default Values'!$B$101:$CD$101,0),0))</f>
        <v/>
      </c>
      <c r="M272" s="346" t="str">
        <f>IF(M$260="","",M$262*VLOOKUP(M$260&amp;" (All)",'Default Values'!$B$162:$CD$181,MATCH($B272,'Default Values'!$B$101:$CD$101,0),0))</f>
        <v/>
      </c>
      <c r="N272" s="346" t="str">
        <f>IF(N$260="","",N$262*VLOOKUP(N$260&amp;" (All)",'Default Values'!$B$162:$CD$181,MATCH($B272,'Default Values'!$B$101:$CD$101,0),0))</f>
        <v/>
      </c>
      <c r="O272" s="346" t="str">
        <f>IF(O$260="","",O$262*VLOOKUP(O$260&amp;" (All)",'Default Values'!$B$162:$CD$181,MATCH($B272,'Default Values'!$B$101:$CD$101,0),0))</f>
        <v/>
      </c>
      <c r="P272" s="346" t="str">
        <f>IF(P$260="","",P$262*VLOOKUP(P$260&amp;" (All)",'Default Values'!$B$162:$CD$181,MATCH($B272,'Default Values'!$B$101:$CD$101,0),0))</f>
        <v/>
      </c>
      <c r="Q272" s="346" t="str">
        <f>IF(Q$260="","",Q$262*VLOOKUP(Q$260&amp;" (All)",'Default Values'!$B$162:$CD$181,MATCH($B272,'Default Values'!$B$101:$CD$101,0),0))</f>
        <v/>
      </c>
      <c r="R272" s="346" t="str">
        <f>IF(R$260="","",R$262*VLOOKUP(R$260&amp;" (All)",'Default Values'!$B$162:$CD$181,MATCH($B272,'Default Values'!$B$101:$CD$101,0),0))</f>
        <v/>
      </c>
      <c r="S272" s="346" t="str">
        <f>IF(S$260="","",S$262*VLOOKUP(S$260&amp;" (All)",'Default Values'!$B$162:$CD$181,MATCH($B272,'Default Values'!$B$101:$CD$101,0),0))</f>
        <v/>
      </c>
      <c r="T272" s="346" t="str">
        <f>IF(T$260="","",T$262*VLOOKUP(T$260&amp;" (All)",'Default Values'!$B$162:$CD$181,MATCH($B272,'Default Values'!$B$101:$CD$101,0),0))</f>
        <v/>
      </c>
      <c r="U272" s="346" t="str">
        <f>IF(U$260="","",U$262*VLOOKUP(U$260&amp;" (All)",'Default Values'!$B$162:$CD$181,MATCH($B272,'Default Values'!$B$101:$CD$101,0),0))</f>
        <v/>
      </c>
      <c r="V272" s="346" t="str">
        <f>IF(V$260="","",V$262*VLOOKUP(V$260&amp;" (All)",'Default Values'!$B$162:$CD$181,MATCH($B272,'Default Values'!$B$101:$CD$101,0),0))</f>
        <v/>
      </c>
      <c r="W272" s="346" t="str">
        <f>IF(W$260="","",W$262*VLOOKUP(W$260&amp;" (All)",'Default Values'!$B$162:$CD$181,MATCH($B272,'Default Values'!$B$101:$CD$101,0),0))</f>
        <v/>
      </c>
      <c r="X272" s="346" t="str">
        <f>IF(X$260="","",X$262*VLOOKUP(X$260&amp;" (All)",'Default Values'!$B$162:$CD$181,MATCH($B272,'Default Values'!$B$101:$CD$101,0),0))</f>
        <v/>
      </c>
      <c r="Y272" s="346" t="str">
        <f>IF(Y$260="","",Y$262*VLOOKUP(Y$260&amp;" (All)",'Default Values'!$B$162:$CD$181,MATCH($B272,'Default Values'!$B$101:$CD$101,0),0))</f>
        <v/>
      </c>
      <c r="Z272" s="346" t="str">
        <f>IF(Z$260="","",Z$262*VLOOKUP(Z$260&amp;" (All)",'Default Values'!$B$162:$CD$181,MATCH($B272,'Default Values'!$B$101:$CD$101,0),0))</f>
        <v/>
      </c>
      <c r="AA272" s="346" t="str">
        <f>IF(AA$260="","",AA$262*VLOOKUP(AA$260&amp;" (All)",'Default Values'!$B$162:$CD$181,MATCH($B272,'Default Values'!$B$101:$CD$101,0),0))</f>
        <v/>
      </c>
      <c r="AB272" s="346" t="str">
        <f>IF(AB$260="","",AB$262*VLOOKUP(AB$260&amp;" (All)",'Default Values'!$B$162:$CD$181,MATCH($B272,'Default Values'!$B$101:$CD$101,0),0))</f>
        <v/>
      </c>
      <c r="AC272" s="346" t="str">
        <f>IF(AC$260="","",AC$262*VLOOKUP(AC$260&amp;" (All)",'Default Values'!$B$162:$CD$181,MATCH($B272,'Default Values'!$B$101:$CD$101,0),0))</f>
        <v/>
      </c>
      <c r="AD272" s="346" t="str">
        <f>IF(AD$260="","",AD$262*VLOOKUP(AD$260&amp;" (All)",'Default Values'!$B$162:$CD$181,MATCH($B272,'Default Values'!$B$101:$CD$101,0),0))</f>
        <v/>
      </c>
      <c r="AE272" s="346" t="str">
        <f>IF(AE$260="","",AE$262*VLOOKUP(AE$260&amp;" (All)",'Default Values'!$B$162:$CD$181,MATCH($B272,'Default Values'!$B$101:$CD$101,0),0))</f>
        <v/>
      </c>
      <c r="AF272" s="346" t="str">
        <f>IF(AF$260="","",AF$262*VLOOKUP(AF$260&amp;" (All)",'Default Values'!$B$162:$CD$181,MATCH($B272,'Default Values'!$B$101:$CD$101,0),0))</f>
        <v/>
      </c>
      <c r="AG272" s="346" t="str">
        <f>IF(AG$260="","",AG$262*VLOOKUP(AG$260&amp;" (All)",'Default Values'!$B$162:$CD$181,MATCH($B272,'Default Values'!$B$101:$CD$101,0),0))</f>
        <v/>
      </c>
      <c r="AH272" s="346" t="str">
        <f>IF(AH$260="","",AH$262*VLOOKUP(AH$260&amp;" (All)",'Default Values'!$B$162:$CD$181,MATCH($B272,'Default Values'!$B$101:$CD$101,0),0))</f>
        <v/>
      </c>
      <c r="AI272" s="346" t="str">
        <f>IF(AI$260="","",AI$262*VLOOKUP(AI$260&amp;" (All)",'Default Values'!$B$162:$CD$181,MATCH($B272,'Default Values'!$B$101:$CD$101,0),0))</f>
        <v/>
      </c>
      <c r="AJ272" s="346" t="str">
        <f>IF(AJ$260="","",AJ$262*VLOOKUP(AJ$260&amp;" (All)",'Default Values'!$B$162:$CD$181,MATCH($B272,'Default Values'!$B$101:$CD$101,0),0))</f>
        <v/>
      </c>
      <c r="AK272" s="346" t="str">
        <f>IF(AK$260="","",AK$262*VLOOKUP(AK$260&amp;" (All)",'Default Values'!$B$162:$CD$181,MATCH($B272,'Default Values'!$B$101:$CD$101,0),0))</f>
        <v/>
      </c>
      <c r="AL272" s="346" t="str">
        <f>IF(AL$260="","",AL$262*VLOOKUP(AL$260&amp;" (All)",'Default Values'!$B$162:$CD$181,MATCH($B272,'Default Values'!$B$101:$CD$101,0),0))</f>
        <v/>
      </c>
      <c r="AM272" s="346" t="str">
        <f>IF(AM$260="","",AM$262*VLOOKUP(AM$260&amp;" (All)",'Default Values'!$B$162:$CD$181,MATCH($B272,'Default Values'!$B$101:$CD$101,0),0))</f>
        <v/>
      </c>
      <c r="AN272" s="346" t="str">
        <f>IF(AN$260="","",AN$262*VLOOKUP(AN$260&amp;" (All)",'Default Values'!$B$162:$CD$181,MATCH($B272,'Default Values'!$B$101:$CD$101,0),0))</f>
        <v/>
      </c>
      <c r="AO272" s="346" t="str">
        <f>IF(AO$260="","",AO$262*VLOOKUP(AO$260&amp;" (All)",'Default Values'!$B$162:$CD$181,MATCH($B272,'Default Values'!$B$101:$CD$101,0),0))</f>
        <v/>
      </c>
      <c r="AP272" s="346" t="str">
        <f>IF(AP$260="","",AP$262*VLOOKUP(AP$260&amp;" (All)",'Default Values'!$B$162:$CD$181,MATCH($B272,'Default Values'!$B$101:$CD$101,0),0))</f>
        <v/>
      </c>
      <c r="AQ272" s="346" t="str">
        <f>IF(AQ$260="","",AQ$262*VLOOKUP(AQ$260&amp;" (All)",'Default Values'!$B$162:$CD$181,MATCH($B272,'Default Values'!$B$101:$CD$101,0),0))</f>
        <v/>
      </c>
      <c r="AR272" s="346">
        <f>IF(AR$260="","",AR$262*VLOOKUP(AR$260&amp;" (All)",'Default Values'!$B$162:$CD$181,MATCH($B272,'Default Values'!$B$101:$CD$101,0),0))</f>
        <v>0</v>
      </c>
      <c r="AS272" s="217"/>
      <c r="AT272" s="217"/>
      <c r="AU272" s="217"/>
      <c r="AV272" s="217"/>
      <c r="AW272" s="217"/>
      <c r="AX272" s="217"/>
      <c r="AY272" s="217"/>
      <c r="AZ272" s="217"/>
      <c r="BA272" s="217"/>
      <c r="BB272" s="217"/>
      <c r="BC272" s="217"/>
      <c r="BD272" s="217"/>
      <c r="BE272" s="217"/>
      <c r="BF272" s="217"/>
      <c r="BG272" s="217"/>
      <c r="BH272" s="217"/>
      <c r="BI272" s="217"/>
      <c r="BJ272" s="217"/>
      <c r="BK272" s="217"/>
      <c r="BL272" s="217"/>
      <c r="BM272" s="217"/>
      <c r="BN272" s="217"/>
      <c r="BO272" s="217"/>
      <c r="BP272" s="217"/>
      <c r="BQ272" s="217"/>
      <c r="BR272" s="217"/>
      <c r="BS272" s="217"/>
      <c r="BT272" s="217"/>
      <c r="BU272" s="217"/>
      <c r="BV272" s="217"/>
      <c r="BW272" s="217"/>
      <c r="BX272" s="217"/>
      <c r="BY272" s="217"/>
      <c r="BZ272" s="217"/>
      <c r="CA272" s="217"/>
      <c r="CB272" s="217"/>
      <c r="CC272" s="217"/>
      <c r="CD272" s="217"/>
      <c r="CE272" s="217"/>
      <c r="CF272" s="217"/>
      <c r="CG272" s="217"/>
      <c r="CH272" s="217"/>
      <c r="CI272" s="217"/>
      <c r="CJ272" s="217"/>
      <c r="CK272" s="217"/>
      <c r="CL272" s="217"/>
      <c r="CM272" s="217"/>
      <c r="CN272" s="217"/>
      <c r="CO272" s="217"/>
      <c r="CP272" s="217"/>
      <c r="CQ272" s="217"/>
      <c r="CR272" s="217"/>
      <c r="CS272" s="217"/>
      <c r="CT272" s="217"/>
      <c r="CU272" s="217"/>
      <c r="CV272" s="217"/>
      <c r="CW272" s="217"/>
      <c r="CX272" s="217"/>
      <c r="CY272" s="217"/>
      <c r="CZ272" s="217"/>
      <c r="DA272" s="217"/>
      <c r="DB272" s="217"/>
      <c r="DC272" s="217"/>
      <c r="DD272" s="217"/>
      <c r="DE272" s="217"/>
      <c r="DF272" s="217"/>
      <c r="DG272" s="217"/>
      <c r="DH272" s="217"/>
      <c r="DI272" s="217"/>
      <c r="DJ272" s="217"/>
      <c r="DK272" s="217"/>
      <c r="DL272" s="217"/>
      <c r="DM272" s="217"/>
      <c r="DN272" s="217"/>
      <c r="DO272" s="217"/>
      <c r="DP272" s="217"/>
      <c r="DQ272" s="217"/>
      <c r="DR272" s="217"/>
      <c r="DS272" s="217"/>
      <c r="DT272" s="217"/>
    </row>
    <row r="273" spans="1:124" x14ac:dyDescent="0.3">
      <c r="A273" s="217"/>
      <c r="B273" s="342" t="s">
        <v>173</v>
      </c>
      <c r="C273" s="345">
        <f t="shared" si="340"/>
        <v>0</v>
      </c>
      <c r="D273" s="346" t="str">
        <f>IF(D$260="","",D$262*VLOOKUP(D$260&amp;" (All)",'Default Values'!$B$162:$CD$181,MATCH($B273,'Default Values'!$B$101:$CD$101,0),0))</f>
        <v/>
      </c>
      <c r="E273" s="346" t="str">
        <f>IF(E$260="","",E$262*VLOOKUP(E$260&amp;" (All)",'Default Values'!$B$162:$CD$181,MATCH($B273,'Default Values'!$B$101:$CD$101,0),0))</f>
        <v/>
      </c>
      <c r="F273" s="346" t="str">
        <f>IF(F$260="","",F$262*VLOOKUP(F$260&amp;" (All)",'Default Values'!$B$162:$CD$181,MATCH($B273,'Default Values'!$B$101:$CD$101,0),0))</f>
        <v/>
      </c>
      <c r="G273" s="346" t="str">
        <f>IF(G$260="","",G$262*VLOOKUP(G$260&amp;" (All)",'Default Values'!$B$162:$CD$181,MATCH($B273,'Default Values'!$B$101:$CD$101,0),0))</f>
        <v/>
      </c>
      <c r="H273" s="346" t="str">
        <f>IF(H$260="","",H$262*VLOOKUP(H$260&amp;" (All)",'Default Values'!$B$162:$CD$181,MATCH($B273,'Default Values'!$B$101:$CD$101,0),0))</f>
        <v/>
      </c>
      <c r="I273" s="346" t="str">
        <f>IF(I$260="","",I$262*VLOOKUP(I$260&amp;" (All)",'Default Values'!$B$162:$CD$181,MATCH($B273,'Default Values'!$B$101:$CD$101,0),0))</f>
        <v/>
      </c>
      <c r="J273" s="346" t="str">
        <f>IF(J$260="","",J$262*VLOOKUP(J$260&amp;" (All)",'Default Values'!$B$162:$CD$181,MATCH($B273,'Default Values'!$B$101:$CD$101,0),0))</f>
        <v/>
      </c>
      <c r="K273" s="346" t="str">
        <f>IF(K$260="","",K$262*VLOOKUP(K$260&amp;" (All)",'Default Values'!$B$162:$CD$181,MATCH($B273,'Default Values'!$B$101:$CD$101,0),0))</f>
        <v/>
      </c>
      <c r="L273" s="346" t="str">
        <f>IF(L$260="","",L$262*VLOOKUP(L$260&amp;" (All)",'Default Values'!$B$162:$CD$181,MATCH($B273,'Default Values'!$B$101:$CD$101,0),0))</f>
        <v/>
      </c>
      <c r="M273" s="346" t="str">
        <f>IF(M$260="","",M$262*VLOOKUP(M$260&amp;" (All)",'Default Values'!$B$162:$CD$181,MATCH($B273,'Default Values'!$B$101:$CD$101,0),0))</f>
        <v/>
      </c>
      <c r="N273" s="346" t="str">
        <f>IF(N$260="","",N$262*VLOOKUP(N$260&amp;" (All)",'Default Values'!$B$162:$CD$181,MATCH($B273,'Default Values'!$B$101:$CD$101,0),0))</f>
        <v/>
      </c>
      <c r="O273" s="346" t="str">
        <f>IF(O$260="","",O$262*VLOOKUP(O$260&amp;" (All)",'Default Values'!$B$162:$CD$181,MATCH($B273,'Default Values'!$B$101:$CD$101,0),0))</f>
        <v/>
      </c>
      <c r="P273" s="346" t="str">
        <f>IF(P$260="","",P$262*VLOOKUP(P$260&amp;" (All)",'Default Values'!$B$162:$CD$181,MATCH($B273,'Default Values'!$B$101:$CD$101,0),0))</f>
        <v/>
      </c>
      <c r="Q273" s="346" t="str">
        <f>IF(Q$260="","",Q$262*VLOOKUP(Q$260&amp;" (All)",'Default Values'!$B$162:$CD$181,MATCH($B273,'Default Values'!$B$101:$CD$101,0),0))</f>
        <v/>
      </c>
      <c r="R273" s="346" t="str">
        <f>IF(R$260="","",R$262*VLOOKUP(R$260&amp;" (All)",'Default Values'!$B$162:$CD$181,MATCH($B273,'Default Values'!$B$101:$CD$101,0),0))</f>
        <v/>
      </c>
      <c r="S273" s="346" t="str">
        <f>IF(S$260="","",S$262*VLOOKUP(S$260&amp;" (All)",'Default Values'!$B$162:$CD$181,MATCH($B273,'Default Values'!$B$101:$CD$101,0),0))</f>
        <v/>
      </c>
      <c r="T273" s="346" t="str">
        <f>IF(T$260="","",T$262*VLOOKUP(T$260&amp;" (All)",'Default Values'!$B$162:$CD$181,MATCH($B273,'Default Values'!$B$101:$CD$101,0),0))</f>
        <v/>
      </c>
      <c r="U273" s="346" t="str">
        <f>IF(U$260="","",U$262*VLOOKUP(U$260&amp;" (All)",'Default Values'!$B$162:$CD$181,MATCH($B273,'Default Values'!$B$101:$CD$101,0),0))</f>
        <v/>
      </c>
      <c r="V273" s="346" t="str">
        <f>IF(V$260="","",V$262*VLOOKUP(V$260&amp;" (All)",'Default Values'!$B$162:$CD$181,MATCH($B273,'Default Values'!$B$101:$CD$101,0),0))</f>
        <v/>
      </c>
      <c r="W273" s="346" t="str">
        <f>IF(W$260="","",W$262*VLOOKUP(W$260&amp;" (All)",'Default Values'!$B$162:$CD$181,MATCH($B273,'Default Values'!$B$101:$CD$101,0),0))</f>
        <v/>
      </c>
      <c r="X273" s="346" t="str">
        <f>IF(X$260="","",X$262*VLOOKUP(X$260&amp;" (All)",'Default Values'!$B$162:$CD$181,MATCH($B273,'Default Values'!$B$101:$CD$101,0),0))</f>
        <v/>
      </c>
      <c r="Y273" s="346" t="str">
        <f>IF(Y$260="","",Y$262*VLOOKUP(Y$260&amp;" (All)",'Default Values'!$B$162:$CD$181,MATCH($B273,'Default Values'!$B$101:$CD$101,0),0))</f>
        <v/>
      </c>
      <c r="Z273" s="346" t="str">
        <f>IF(Z$260="","",Z$262*VLOOKUP(Z$260&amp;" (All)",'Default Values'!$B$162:$CD$181,MATCH($B273,'Default Values'!$B$101:$CD$101,0),0))</f>
        <v/>
      </c>
      <c r="AA273" s="346" t="str">
        <f>IF(AA$260="","",AA$262*VLOOKUP(AA$260&amp;" (All)",'Default Values'!$B$162:$CD$181,MATCH($B273,'Default Values'!$B$101:$CD$101,0),0))</f>
        <v/>
      </c>
      <c r="AB273" s="346" t="str">
        <f>IF(AB$260="","",AB$262*VLOOKUP(AB$260&amp;" (All)",'Default Values'!$B$162:$CD$181,MATCH($B273,'Default Values'!$B$101:$CD$101,0),0))</f>
        <v/>
      </c>
      <c r="AC273" s="346" t="str">
        <f>IF(AC$260="","",AC$262*VLOOKUP(AC$260&amp;" (All)",'Default Values'!$B$162:$CD$181,MATCH($B273,'Default Values'!$B$101:$CD$101,0),0))</f>
        <v/>
      </c>
      <c r="AD273" s="346" t="str">
        <f>IF(AD$260="","",AD$262*VLOOKUP(AD$260&amp;" (All)",'Default Values'!$B$162:$CD$181,MATCH($B273,'Default Values'!$B$101:$CD$101,0),0))</f>
        <v/>
      </c>
      <c r="AE273" s="346" t="str">
        <f>IF(AE$260="","",AE$262*VLOOKUP(AE$260&amp;" (All)",'Default Values'!$B$162:$CD$181,MATCH($B273,'Default Values'!$B$101:$CD$101,0),0))</f>
        <v/>
      </c>
      <c r="AF273" s="346" t="str">
        <f>IF(AF$260="","",AF$262*VLOOKUP(AF$260&amp;" (All)",'Default Values'!$B$162:$CD$181,MATCH($B273,'Default Values'!$B$101:$CD$101,0),0))</f>
        <v/>
      </c>
      <c r="AG273" s="346" t="str">
        <f>IF(AG$260="","",AG$262*VLOOKUP(AG$260&amp;" (All)",'Default Values'!$B$162:$CD$181,MATCH($B273,'Default Values'!$B$101:$CD$101,0),0))</f>
        <v/>
      </c>
      <c r="AH273" s="346" t="str">
        <f>IF(AH$260="","",AH$262*VLOOKUP(AH$260&amp;" (All)",'Default Values'!$B$162:$CD$181,MATCH($B273,'Default Values'!$B$101:$CD$101,0),0))</f>
        <v/>
      </c>
      <c r="AI273" s="346" t="str">
        <f>IF(AI$260="","",AI$262*VLOOKUP(AI$260&amp;" (All)",'Default Values'!$B$162:$CD$181,MATCH($B273,'Default Values'!$B$101:$CD$101,0),0))</f>
        <v/>
      </c>
      <c r="AJ273" s="346" t="str">
        <f>IF(AJ$260="","",AJ$262*VLOOKUP(AJ$260&amp;" (All)",'Default Values'!$B$162:$CD$181,MATCH($B273,'Default Values'!$B$101:$CD$101,0),0))</f>
        <v/>
      </c>
      <c r="AK273" s="346" t="str">
        <f>IF(AK$260="","",AK$262*VLOOKUP(AK$260&amp;" (All)",'Default Values'!$B$162:$CD$181,MATCH($B273,'Default Values'!$B$101:$CD$101,0),0))</f>
        <v/>
      </c>
      <c r="AL273" s="346" t="str">
        <f>IF(AL$260="","",AL$262*VLOOKUP(AL$260&amp;" (All)",'Default Values'!$B$162:$CD$181,MATCH($B273,'Default Values'!$B$101:$CD$101,0),0))</f>
        <v/>
      </c>
      <c r="AM273" s="346" t="str">
        <f>IF(AM$260="","",AM$262*VLOOKUP(AM$260&amp;" (All)",'Default Values'!$B$162:$CD$181,MATCH($B273,'Default Values'!$B$101:$CD$101,0),0))</f>
        <v/>
      </c>
      <c r="AN273" s="346" t="str">
        <f>IF(AN$260="","",AN$262*VLOOKUP(AN$260&amp;" (All)",'Default Values'!$B$162:$CD$181,MATCH($B273,'Default Values'!$B$101:$CD$101,0),0))</f>
        <v/>
      </c>
      <c r="AO273" s="346" t="str">
        <f>IF(AO$260="","",AO$262*VLOOKUP(AO$260&amp;" (All)",'Default Values'!$B$162:$CD$181,MATCH($B273,'Default Values'!$B$101:$CD$101,0),0))</f>
        <v/>
      </c>
      <c r="AP273" s="346" t="str">
        <f>IF(AP$260="","",AP$262*VLOOKUP(AP$260&amp;" (All)",'Default Values'!$B$162:$CD$181,MATCH($B273,'Default Values'!$B$101:$CD$101,0),0))</f>
        <v/>
      </c>
      <c r="AQ273" s="346" t="str">
        <f>IF(AQ$260="","",AQ$262*VLOOKUP(AQ$260&amp;" (All)",'Default Values'!$B$162:$CD$181,MATCH($B273,'Default Values'!$B$101:$CD$101,0),0))</f>
        <v/>
      </c>
      <c r="AR273" s="346">
        <f>IF(AR$260="","",AR$262*VLOOKUP(AR$260&amp;" (All)",'Default Values'!$B$162:$CD$181,MATCH($B273,'Default Values'!$B$101:$CD$101,0),0))</f>
        <v>0</v>
      </c>
      <c r="AS273" s="217"/>
      <c r="AT273" s="217"/>
      <c r="AU273" s="217"/>
      <c r="AV273" s="217"/>
      <c r="AW273" s="217"/>
      <c r="AX273" s="217"/>
      <c r="AY273" s="217"/>
      <c r="AZ273" s="217"/>
      <c r="BA273" s="217"/>
      <c r="BB273" s="217"/>
      <c r="BC273" s="217"/>
      <c r="BD273" s="217"/>
      <c r="BE273" s="217"/>
      <c r="BF273" s="217"/>
      <c r="BG273" s="217"/>
      <c r="BH273" s="217"/>
      <c r="BI273" s="217"/>
      <c r="BJ273" s="217"/>
      <c r="BK273" s="217"/>
      <c r="BL273" s="217"/>
      <c r="BM273" s="217"/>
      <c r="BN273" s="217"/>
      <c r="BO273" s="217"/>
      <c r="BP273" s="217"/>
      <c r="BQ273" s="217"/>
      <c r="BR273" s="217"/>
      <c r="BS273" s="217"/>
      <c r="BT273" s="217"/>
      <c r="BU273" s="217"/>
      <c r="BV273" s="217"/>
      <c r="BW273" s="217"/>
      <c r="BX273" s="217"/>
      <c r="BY273" s="217"/>
      <c r="BZ273" s="217"/>
      <c r="CA273" s="217"/>
      <c r="CB273" s="217"/>
      <c r="CC273" s="217"/>
      <c r="CD273" s="217"/>
      <c r="CE273" s="217"/>
      <c r="CF273" s="217"/>
      <c r="CG273" s="217"/>
      <c r="CH273" s="217"/>
      <c r="CI273" s="217"/>
      <c r="CJ273" s="217"/>
      <c r="CK273" s="217"/>
      <c r="CL273" s="217"/>
      <c r="CM273" s="217"/>
      <c r="CN273" s="217"/>
      <c r="CO273" s="217"/>
      <c r="CP273" s="217"/>
      <c r="CQ273" s="217"/>
      <c r="CR273" s="217"/>
      <c r="CS273" s="217"/>
      <c r="CT273" s="217"/>
      <c r="CU273" s="217"/>
      <c r="CV273" s="217"/>
      <c r="CW273" s="217"/>
      <c r="CX273" s="217"/>
      <c r="CY273" s="217"/>
      <c r="CZ273" s="217"/>
      <c r="DA273" s="217"/>
      <c r="DB273" s="217"/>
      <c r="DC273" s="217"/>
      <c r="DD273" s="217"/>
      <c r="DE273" s="217"/>
      <c r="DF273" s="217"/>
      <c r="DG273" s="217"/>
      <c r="DH273" s="217"/>
      <c r="DI273" s="217"/>
      <c r="DJ273" s="217"/>
      <c r="DK273" s="217"/>
      <c r="DL273" s="217"/>
      <c r="DM273" s="217"/>
      <c r="DN273" s="217"/>
      <c r="DO273" s="217"/>
      <c r="DP273" s="217"/>
      <c r="DQ273" s="217"/>
      <c r="DR273" s="217"/>
      <c r="DS273" s="217"/>
      <c r="DT273" s="217"/>
    </row>
    <row r="274" spans="1:124" x14ac:dyDescent="0.3">
      <c r="A274" s="217"/>
      <c r="B274" s="342" t="s">
        <v>179</v>
      </c>
      <c r="C274" s="345">
        <f t="shared" si="340"/>
        <v>0</v>
      </c>
      <c r="D274" s="346" t="str">
        <f>IF(D$260="","",D$262*VLOOKUP(D$260&amp;" (All)",'Default Values'!$B$162:$CD$181,MATCH($B274,'Default Values'!$B$101:$CD$101,0),0))</f>
        <v/>
      </c>
      <c r="E274" s="346" t="str">
        <f>IF(E$260="","",E$262*VLOOKUP(E$260&amp;" (All)",'Default Values'!$B$162:$CD$181,MATCH($B274,'Default Values'!$B$101:$CD$101,0),0))</f>
        <v/>
      </c>
      <c r="F274" s="346" t="str">
        <f>IF(F$260="","",F$262*VLOOKUP(F$260&amp;" (All)",'Default Values'!$B$162:$CD$181,MATCH($B274,'Default Values'!$B$101:$CD$101,0),0))</f>
        <v/>
      </c>
      <c r="G274" s="346" t="str">
        <f>IF(G$260="","",G$262*VLOOKUP(G$260&amp;" (All)",'Default Values'!$B$162:$CD$181,MATCH($B274,'Default Values'!$B$101:$CD$101,0),0))</f>
        <v/>
      </c>
      <c r="H274" s="346" t="str">
        <f>IF(H$260="","",H$262*VLOOKUP(H$260&amp;" (All)",'Default Values'!$B$162:$CD$181,MATCH($B274,'Default Values'!$B$101:$CD$101,0),0))</f>
        <v/>
      </c>
      <c r="I274" s="346" t="str">
        <f>IF(I$260="","",I$262*VLOOKUP(I$260&amp;" (All)",'Default Values'!$B$162:$CD$181,MATCH($B274,'Default Values'!$B$101:$CD$101,0),0))</f>
        <v/>
      </c>
      <c r="J274" s="346" t="str">
        <f>IF(J$260="","",J$262*VLOOKUP(J$260&amp;" (All)",'Default Values'!$B$162:$CD$181,MATCH($B274,'Default Values'!$B$101:$CD$101,0),0))</f>
        <v/>
      </c>
      <c r="K274" s="346" t="str">
        <f>IF(K$260="","",K$262*VLOOKUP(K$260&amp;" (All)",'Default Values'!$B$162:$CD$181,MATCH($B274,'Default Values'!$B$101:$CD$101,0),0))</f>
        <v/>
      </c>
      <c r="L274" s="346" t="str">
        <f>IF(L$260="","",L$262*VLOOKUP(L$260&amp;" (All)",'Default Values'!$B$162:$CD$181,MATCH($B274,'Default Values'!$B$101:$CD$101,0),0))</f>
        <v/>
      </c>
      <c r="M274" s="346" t="str">
        <f>IF(M$260="","",M$262*VLOOKUP(M$260&amp;" (All)",'Default Values'!$B$162:$CD$181,MATCH($B274,'Default Values'!$B$101:$CD$101,0),0))</f>
        <v/>
      </c>
      <c r="N274" s="346" t="str">
        <f>IF(N$260="","",N$262*VLOOKUP(N$260&amp;" (All)",'Default Values'!$B$162:$CD$181,MATCH($B274,'Default Values'!$B$101:$CD$101,0),0))</f>
        <v/>
      </c>
      <c r="O274" s="346" t="str">
        <f>IF(O$260="","",O$262*VLOOKUP(O$260&amp;" (All)",'Default Values'!$B$162:$CD$181,MATCH($B274,'Default Values'!$B$101:$CD$101,0),0))</f>
        <v/>
      </c>
      <c r="P274" s="346" t="str">
        <f>IF(P$260="","",P$262*VLOOKUP(P$260&amp;" (All)",'Default Values'!$B$162:$CD$181,MATCH($B274,'Default Values'!$B$101:$CD$101,0),0))</f>
        <v/>
      </c>
      <c r="Q274" s="346" t="str">
        <f>IF(Q$260="","",Q$262*VLOOKUP(Q$260&amp;" (All)",'Default Values'!$B$162:$CD$181,MATCH($B274,'Default Values'!$B$101:$CD$101,0),0))</f>
        <v/>
      </c>
      <c r="R274" s="346" t="str">
        <f>IF(R$260="","",R$262*VLOOKUP(R$260&amp;" (All)",'Default Values'!$B$162:$CD$181,MATCH($B274,'Default Values'!$B$101:$CD$101,0),0))</f>
        <v/>
      </c>
      <c r="S274" s="346" t="str">
        <f>IF(S$260="","",S$262*VLOOKUP(S$260&amp;" (All)",'Default Values'!$B$162:$CD$181,MATCH($B274,'Default Values'!$B$101:$CD$101,0),0))</f>
        <v/>
      </c>
      <c r="T274" s="346" t="str">
        <f>IF(T$260="","",T$262*VLOOKUP(T$260&amp;" (All)",'Default Values'!$B$162:$CD$181,MATCH($B274,'Default Values'!$B$101:$CD$101,0),0))</f>
        <v/>
      </c>
      <c r="U274" s="346" t="str">
        <f>IF(U$260="","",U$262*VLOOKUP(U$260&amp;" (All)",'Default Values'!$B$162:$CD$181,MATCH($B274,'Default Values'!$B$101:$CD$101,0),0))</f>
        <v/>
      </c>
      <c r="V274" s="346" t="str">
        <f>IF(V$260="","",V$262*VLOOKUP(V$260&amp;" (All)",'Default Values'!$B$162:$CD$181,MATCH($B274,'Default Values'!$B$101:$CD$101,0),0))</f>
        <v/>
      </c>
      <c r="W274" s="346" t="str">
        <f>IF(W$260="","",W$262*VLOOKUP(W$260&amp;" (All)",'Default Values'!$B$162:$CD$181,MATCH($B274,'Default Values'!$B$101:$CD$101,0),0))</f>
        <v/>
      </c>
      <c r="X274" s="346" t="str">
        <f>IF(X$260="","",X$262*VLOOKUP(X$260&amp;" (All)",'Default Values'!$B$162:$CD$181,MATCH($B274,'Default Values'!$B$101:$CD$101,0),0))</f>
        <v/>
      </c>
      <c r="Y274" s="346" t="str">
        <f>IF(Y$260="","",Y$262*VLOOKUP(Y$260&amp;" (All)",'Default Values'!$B$162:$CD$181,MATCH($B274,'Default Values'!$B$101:$CD$101,0),0))</f>
        <v/>
      </c>
      <c r="Z274" s="346" t="str">
        <f>IF(Z$260="","",Z$262*VLOOKUP(Z$260&amp;" (All)",'Default Values'!$B$162:$CD$181,MATCH($B274,'Default Values'!$B$101:$CD$101,0),0))</f>
        <v/>
      </c>
      <c r="AA274" s="346" t="str">
        <f>IF(AA$260="","",AA$262*VLOOKUP(AA$260&amp;" (All)",'Default Values'!$B$162:$CD$181,MATCH($B274,'Default Values'!$B$101:$CD$101,0),0))</f>
        <v/>
      </c>
      <c r="AB274" s="346" t="str">
        <f>IF(AB$260="","",AB$262*VLOOKUP(AB$260&amp;" (All)",'Default Values'!$B$162:$CD$181,MATCH($B274,'Default Values'!$B$101:$CD$101,0),0))</f>
        <v/>
      </c>
      <c r="AC274" s="346" t="str">
        <f>IF(AC$260="","",AC$262*VLOOKUP(AC$260&amp;" (All)",'Default Values'!$B$162:$CD$181,MATCH($B274,'Default Values'!$B$101:$CD$101,0),0))</f>
        <v/>
      </c>
      <c r="AD274" s="346" t="str">
        <f>IF(AD$260="","",AD$262*VLOOKUP(AD$260&amp;" (All)",'Default Values'!$B$162:$CD$181,MATCH($B274,'Default Values'!$B$101:$CD$101,0),0))</f>
        <v/>
      </c>
      <c r="AE274" s="346" t="str">
        <f>IF(AE$260="","",AE$262*VLOOKUP(AE$260&amp;" (All)",'Default Values'!$B$162:$CD$181,MATCH($B274,'Default Values'!$B$101:$CD$101,0),0))</f>
        <v/>
      </c>
      <c r="AF274" s="346" t="str">
        <f>IF(AF$260="","",AF$262*VLOOKUP(AF$260&amp;" (All)",'Default Values'!$B$162:$CD$181,MATCH($B274,'Default Values'!$B$101:$CD$101,0),0))</f>
        <v/>
      </c>
      <c r="AG274" s="346" t="str">
        <f>IF(AG$260="","",AG$262*VLOOKUP(AG$260&amp;" (All)",'Default Values'!$B$162:$CD$181,MATCH($B274,'Default Values'!$B$101:$CD$101,0),0))</f>
        <v/>
      </c>
      <c r="AH274" s="346" t="str">
        <f>IF(AH$260="","",AH$262*VLOOKUP(AH$260&amp;" (All)",'Default Values'!$B$162:$CD$181,MATCH($B274,'Default Values'!$B$101:$CD$101,0),0))</f>
        <v/>
      </c>
      <c r="AI274" s="346" t="str">
        <f>IF(AI$260="","",AI$262*VLOOKUP(AI$260&amp;" (All)",'Default Values'!$B$162:$CD$181,MATCH($B274,'Default Values'!$B$101:$CD$101,0),0))</f>
        <v/>
      </c>
      <c r="AJ274" s="346" t="str">
        <f>IF(AJ$260="","",AJ$262*VLOOKUP(AJ$260&amp;" (All)",'Default Values'!$B$162:$CD$181,MATCH($B274,'Default Values'!$B$101:$CD$101,0),0))</f>
        <v/>
      </c>
      <c r="AK274" s="346" t="str">
        <f>IF(AK$260="","",AK$262*VLOOKUP(AK$260&amp;" (All)",'Default Values'!$B$162:$CD$181,MATCH($B274,'Default Values'!$B$101:$CD$101,0),0))</f>
        <v/>
      </c>
      <c r="AL274" s="346" t="str">
        <f>IF(AL$260="","",AL$262*VLOOKUP(AL$260&amp;" (All)",'Default Values'!$B$162:$CD$181,MATCH($B274,'Default Values'!$B$101:$CD$101,0),0))</f>
        <v/>
      </c>
      <c r="AM274" s="346" t="str">
        <f>IF(AM$260="","",AM$262*VLOOKUP(AM$260&amp;" (All)",'Default Values'!$B$162:$CD$181,MATCH($B274,'Default Values'!$B$101:$CD$101,0),0))</f>
        <v/>
      </c>
      <c r="AN274" s="346" t="str">
        <f>IF(AN$260="","",AN$262*VLOOKUP(AN$260&amp;" (All)",'Default Values'!$B$162:$CD$181,MATCH($B274,'Default Values'!$B$101:$CD$101,0),0))</f>
        <v/>
      </c>
      <c r="AO274" s="346" t="str">
        <f>IF(AO$260="","",AO$262*VLOOKUP(AO$260&amp;" (All)",'Default Values'!$B$162:$CD$181,MATCH($B274,'Default Values'!$B$101:$CD$101,0),0))</f>
        <v/>
      </c>
      <c r="AP274" s="346" t="str">
        <f>IF(AP$260="","",AP$262*VLOOKUP(AP$260&amp;" (All)",'Default Values'!$B$162:$CD$181,MATCH($B274,'Default Values'!$B$101:$CD$101,0),0))</f>
        <v/>
      </c>
      <c r="AQ274" s="346" t="str">
        <f>IF(AQ$260="","",AQ$262*VLOOKUP(AQ$260&amp;" (All)",'Default Values'!$B$162:$CD$181,MATCH($B274,'Default Values'!$B$101:$CD$101,0),0))</f>
        <v/>
      </c>
      <c r="AR274" s="346">
        <f>IF(AR$260="","",AR$262*VLOOKUP(AR$260&amp;" (All)",'Default Values'!$B$162:$CD$181,MATCH($B274,'Default Values'!$B$101:$CD$101,0),0))</f>
        <v>0</v>
      </c>
      <c r="AS274" s="217"/>
      <c r="AT274" s="217"/>
      <c r="AU274" s="217"/>
      <c r="AV274" s="217"/>
      <c r="AW274" s="217"/>
      <c r="AX274" s="217"/>
      <c r="AY274" s="217"/>
      <c r="AZ274" s="217"/>
      <c r="BA274" s="217"/>
      <c r="BB274" s="217"/>
      <c r="BC274" s="217"/>
      <c r="BD274" s="217"/>
      <c r="BE274" s="217"/>
      <c r="BF274" s="217"/>
      <c r="BG274" s="217"/>
      <c r="BH274" s="217"/>
      <c r="BI274" s="217"/>
      <c r="BJ274" s="217"/>
      <c r="BK274" s="217"/>
      <c r="BL274" s="217"/>
      <c r="BM274" s="217"/>
      <c r="BN274" s="217"/>
      <c r="BO274" s="217"/>
      <c r="BP274" s="217"/>
      <c r="BQ274" s="217"/>
      <c r="BR274" s="217"/>
      <c r="BS274" s="217"/>
      <c r="BT274" s="217"/>
      <c r="BU274" s="217"/>
      <c r="BV274" s="217"/>
      <c r="BW274" s="217"/>
      <c r="BX274" s="217"/>
      <c r="BY274" s="217"/>
      <c r="BZ274" s="217"/>
      <c r="CA274" s="217"/>
      <c r="CB274" s="217"/>
      <c r="CC274" s="217"/>
      <c r="CD274" s="217"/>
      <c r="CE274" s="217"/>
      <c r="CF274" s="217"/>
      <c r="CG274" s="217"/>
      <c r="CH274" s="217"/>
      <c r="CI274" s="217"/>
      <c r="CJ274" s="217"/>
      <c r="CK274" s="217"/>
      <c r="CL274" s="217"/>
      <c r="CM274" s="217"/>
      <c r="CN274" s="217"/>
      <c r="CO274" s="217"/>
      <c r="CP274" s="217"/>
      <c r="CQ274" s="217"/>
      <c r="CR274" s="217"/>
      <c r="CS274" s="217"/>
      <c r="CT274" s="217"/>
      <c r="CU274" s="217"/>
      <c r="CV274" s="217"/>
      <c r="CW274" s="217"/>
      <c r="CX274" s="217"/>
      <c r="CY274" s="217"/>
      <c r="CZ274" s="217"/>
      <c r="DA274" s="217"/>
      <c r="DB274" s="217"/>
      <c r="DC274" s="217"/>
      <c r="DD274" s="217"/>
      <c r="DE274" s="217"/>
      <c r="DF274" s="217"/>
      <c r="DG274" s="217"/>
      <c r="DH274" s="217"/>
      <c r="DI274" s="217"/>
      <c r="DJ274" s="217"/>
      <c r="DK274" s="217"/>
      <c r="DL274" s="217"/>
      <c r="DM274" s="217"/>
      <c r="DN274" s="217"/>
      <c r="DO274" s="217"/>
      <c r="DP274" s="217"/>
      <c r="DQ274" s="217"/>
      <c r="DR274" s="217"/>
      <c r="DS274" s="217"/>
      <c r="DT274" s="217"/>
    </row>
    <row r="275" spans="1:124" x14ac:dyDescent="0.3">
      <c r="A275" s="217"/>
      <c r="B275" s="342" t="s">
        <v>174</v>
      </c>
      <c r="C275" s="345">
        <f t="shared" si="340"/>
        <v>0</v>
      </c>
      <c r="D275" s="346" t="str">
        <f>IF(D$260="","",D$262*VLOOKUP(D$260&amp;" (All)",'Default Values'!$B$162:$CD$181,MATCH($B275,'Default Values'!$B$101:$CD$101,0),0))</f>
        <v/>
      </c>
      <c r="E275" s="346" t="str">
        <f>IF(E$260="","",E$262*VLOOKUP(E$260&amp;" (All)",'Default Values'!$B$162:$CD$181,MATCH($B275,'Default Values'!$B$101:$CD$101,0),0))</f>
        <v/>
      </c>
      <c r="F275" s="346" t="str">
        <f>IF(F$260="","",F$262*VLOOKUP(F$260&amp;" (All)",'Default Values'!$B$162:$CD$181,MATCH($B275,'Default Values'!$B$101:$CD$101,0),0))</f>
        <v/>
      </c>
      <c r="G275" s="346" t="str">
        <f>IF(G$260="","",G$262*VLOOKUP(G$260&amp;" (All)",'Default Values'!$B$162:$CD$181,MATCH($B275,'Default Values'!$B$101:$CD$101,0),0))</f>
        <v/>
      </c>
      <c r="H275" s="346" t="str">
        <f>IF(H$260="","",H$262*VLOOKUP(H$260&amp;" (All)",'Default Values'!$B$162:$CD$181,MATCH($B275,'Default Values'!$B$101:$CD$101,0),0))</f>
        <v/>
      </c>
      <c r="I275" s="346" t="str">
        <f>IF(I$260="","",I$262*VLOOKUP(I$260&amp;" (All)",'Default Values'!$B$162:$CD$181,MATCH($B275,'Default Values'!$B$101:$CD$101,0),0))</f>
        <v/>
      </c>
      <c r="J275" s="346" t="str">
        <f>IF(J$260="","",J$262*VLOOKUP(J$260&amp;" (All)",'Default Values'!$B$162:$CD$181,MATCH($B275,'Default Values'!$B$101:$CD$101,0),0))</f>
        <v/>
      </c>
      <c r="K275" s="346" t="str">
        <f>IF(K$260="","",K$262*VLOOKUP(K$260&amp;" (All)",'Default Values'!$B$162:$CD$181,MATCH($B275,'Default Values'!$B$101:$CD$101,0),0))</f>
        <v/>
      </c>
      <c r="L275" s="346" t="str">
        <f>IF(L$260="","",L$262*VLOOKUP(L$260&amp;" (All)",'Default Values'!$B$162:$CD$181,MATCH($B275,'Default Values'!$B$101:$CD$101,0),0))</f>
        <v/>
      </c>
      <c r="M275" s="346" t="str">
        <f>IF(M$260="","",M$262*VLOOKUP(M$260&amp;" (All)",'Default Values'!$B$162:$CD$181,MATCH($B275,'Default Values'!$B$101:$CD$101,0),0))</f>
        <v/>
      </c>
      <c r="N275" s="346" t="str">
        <f>IF(N$260="","",N$262*VLOOKUP(N$260&amp;" (All)",'Default Values'!$B$162:$CD$181,MATCH($B275,'Default Values'!$B$101:$CD$101,0),0))</f>
        <v/>
      </c>
      <c r="O275" s="346" t="str">
        <f>IF(O$260="","",O$262*VLOOKUP(O$260&amp;" (All)",'Default Values'!$B$162:$CD$181,MATCH($B275,'Default Values'!$B$101:$CD$101,0),0))</f>
        <v/>
      </c>
      <c r="P275" s="346" t="str">
        <f>IF(P$260="","",P$262*VLOOKUP(P$260&amp;" (All)",'Default Values'!$B$162:$CD$181,MATCH($B275,'Default Values'!$B$101:$CD$101,0),0))</f>
        <v/>
      </c>
      <c r="Q275" s="346" t="str">
        <f>IF(Q$260="","",Q$262*VLOOKUP(Q$260&amp;" (All)",'Default Values'!$B$162:$CD$181,MATCH($B275,'Default Values'!$B$101:$CD$101,0),0))</f>
        <v/>
      </c>
      <c r="R275" s="346" t="str">
        <f>IF(R$260="","",R$262*VLOOKUP(R$260&amp;" (All)",'Default Values'!$B$162:$CD$181,MATCH($B275,'Default Values'!$B$101:$CD$101,0),0))</f>
        <v/>
      </c>
      <c r="S275" s="346" t="str">
        <f>IF(S$260="","",S$262*VLOOKUP(S$260&amp;" (All)",'Default Values'!$B$162:$CD$181,MATCH($B275,'Default Values'!$B$101:$CD$101,0),0))</f>
        <v/>
      </c>
      <c r="T275" s="346" t="str">
        <f>IF(T$260="","",T$262*VLOOKUP(T$260&amp;" (All)",'Default Values'!$B$162:$CD$181,MATCH($B275,'Default Values'!$B$101:$CD$101,0),0))</f>
        <v/>
      </c>
      <c r="U275" s="346" t="str">
        <f>IF(U$260="","",U$262*VLOOKUP(U$260&amp;" (All)",'Default Values'!$B$162:$CD$181,MATCH($B275,'Default Values'!$B$101:$CD$101,0),0))</f>
        <v/>
      </c>
      <c r="V275" s="346" t="str">
        <f>IF(V$260="","",V$262*VLOOKUP(V$260&amp;" (All)",'Default Values'!$B$162:$CD$181,MATCH($B275,'Default Values'!$B$101:$CD$101,0),0))</f>
        <v/>
      </c>
      <c r="W275" s="346" t="str">
        <f>IF(W$260="","",W$262*VLOOKUP(W$260&amp;" (All)",'Default Values'!$B$162:$CD$181,MATCH($B275,'Default Values'!$B$101:$CD$101,0),0))</f>
        <v/>
      </c>
      <c r="X275" s="346" t="str">
        <f>IF(X$260="","",X$262*VLOOKUP(X$260&amp;" (All)",'Default Values'!$B$162:$CD$181,MATCH($B275,'Default Values'!$B$101:$CD$101,0),0))</f>
        <v/>
      </c>
      <c r="Y275" s="346" t="str">
        <f>IF(Y$260="","",Y$262*VLOOKUP(Y$260&amp;" (All)",'Default Values'!$B$162:$CD$181,MATCH($B275,'Default Values'!$B$101:$CD$101,0),0))</f>
        <v/>
      </c>
      <c r="Z275" s="346" t="str">
        <f>IF(Z$260="","",Z$262*VLOOKUP(Z$260&amp;" (All)",'Default Values'!$B$162:$CD$181,MATCH($B275,'Default Values'!$B$101:$CD$101,0),0))</f>
        <v/>
      </c>
      <c r="AA275" s="346" t="str">
        <f>IF(AA$260="","",AA$262*VLOOKUP(AA$260&amp;" (All)",'Default Values'!$B$162:$CD$181,MATCH($B275,'Default Values'!$B$101:$CD$101,0),0))</f>
        <v/>
      </c>
      <c r="AB275" s="346" t="str">
        <f>IF(AB$260="","",AB$262*VLOOKUP(AB$260&amp;" (All)",'Default Values'!$B$162:$CD$181,MATCH($B275,'Default Values'!$B$101:$CD$101,0),0))</f>
        <v/>
      </c>
      <c r="AC275" s="346" t="str">
        <f>IF(AC$260="","",AC$262*VLOOKUP(AC$260&amp;" (All)",'Default Values'!$B$162:$CD$181,MATCH($B275,'Default Values'!$B$101:$CD$101,0),0))</f>
        <v/>
      </c>
      <c r="AD275" s="346" t="str">
        <f>IF(AD$260="","",AD$262*VLOOKUP(AD$260&amp;" (All)",'Default Values'!$B$162:$CD$181,MATCH($B275,'Default Values'!$B$101:$CD$101,0),0))</f>
        <v/>
      </c>
      <c r="AE275" s="346" t="str">
        <f>IF(AE$260="","",AE$262*VLOOKUP(AE$260&amp;" (All)",'Default Values'!$B$162:$CD$181,MATCH($B275,'Default Values'!$B$101:$CD$101,0),0))</f>
        <v/>
      </c>
      <c r="AF275" s="346" t="str">
        <f>IF(AF$260="","",AF$262*VLOOKUP(AF$260&amp;" (All)",'Default Values'!$B$162:$CD$181,MATCH($B275,'Default Values'!$B$101:$CD$101,0),0))</f>
        <v/>
      </c>
      <c r="AG275" s="346" t="str">
        <f>IF(AG$260="","",AG$262*VLOOKUP(AG$260&amp;" (All)",'Default Values'!$B$162:$CD$181,MATCH($B275,'Default Values'!$B$101:$CD$101,0),0))</f>
        <v/>
      </c>
      <c r="AH275" s="346" t="str">
        <f>IF(AH$260="","",AH$262*VLOOKUP(AH$260&amp;" (All)",'Default Values'!$B$162:$CD$181,MATCH($B275,'Default Values'!$B$101:$CD$101,0),0))</f>
        <v/>
      </c>
      <c r="AI275" s="346" t="str">
        <f>IF(AI$260="","",AI$262*VLOOKUP(AI$260&amp;" (All)",'Default Values'!$B$162:$CD$181,MATCH($B275,'Default Values'!$B$101:$CD$101,0),0))</f>
        <v/>
      </c>
      <c r="AJ275" s="346" t="str">
        <f>IF(AJ$260="","",AJ$262*VLOOKUP(AJ$260&amp;" (All)",'Default Values'!$B$162:$CD$181,MATCH($B275,'Default Values'!$B$101:$CD$101,0),0))</f>
        <v/>
      </c>
      <c r="AK275" s="346" t="str">
        <f>IF(AK$260="","",AK$262*VLOOKUP(AK$260&amp;" (All)",'Default Values'!$B$162:$CD$181,MATCH($B275,'Default Values'!$B$101:$CD$101,0),0))</f>
        <v/>
      </c>
      <c r="AL275" s="346" t="str">
        <f>IF(AL$260="","",AL$262*VLOOKUP(AL$260&amp;" (All)",'Default Values'!$B$162:$CD$181,MATCH($B275,'Default Values'!$B$101:$CD$101,0),0))</f>
        <v/>
      </c>
      <c r="AM275" s="346" t="str">
        <f>IF(AM$260="","",AM$262*VLOOKUP(AM$260&amp;" (All)",'Default Values'!$B$162:$CD$181,MATCH($B275,'Default Values'!$B$101:$CD$101,0),0))</f>
        <v/>
      </c>
      <c r="AN275" s="346" t="str">
        <f>IF(AN$260="","",AN$262*VLOOKUP(AN$260&amp;" (All)",'Default Values'!$B$162:$CD$181,MATCH($B275,'Default Values'!$B$101:$CD$101,0),0))</f>
        <v/>
      </c>
      <c r="AO275" s="346" t="str">
        <f>IF(AO$260="","",AO$262*VLOOKUP(AO$260&amp;" (All)",'Default Values'!$B$162:$CD$181,MATCH($B275,'Default Values'!$B$101:$CD$101,0),0))</f>
        <v/>
      </c>
      <c r="AP275" s="346" t="str">
        <f>IF(AP$260="","",AP$262*VLOOKUP(AP$260&amp;" (All)",'Default Values'!$B$162:$CD$181,MATCH($B275,'Default Values'!$B$101:$CD$101,0),0))</f>
        <v/>
      </c>
      <c r="AQ275" s="346" t="str">
        <f>IF(AQ$260="","",AQ$262*VLOOKUP(AQ$260&amp;" (All)",'Default Values'!$B$162:$CD$181,MATCH($B275,'Default Values'!$B$101:$CD$101,0),0))</f>
        <v/>
      </c>
      <c r="AR275" s="346">
        <f>IF(AR$260="","",AR$262*VLOOKUP(AR$260&amp;" (All)",'Default Values'!$B$162:$CD$181,MATCH($B275,'Default Values'!$B$101:$CD$101,0),0))</f>
        <v>0</v>
      </c>
      <c r="AS275" s="217"/>
      <c r="AT275" s="217"/>
      <c r="AU275" s="217"/>
      <c r="AV275" s="217"/>
      <c r="AW275" s="217"/>
      <c r="AX275" s="217"/>
      <c r="AY275" s="217"/>
      <c r="AZ275" s="217"/>
      <c r="BA275" s="217"/>
      <c r="BB275" s="217"/>
      <c r="BC275" s="217"/>
      <c r="BD275" s="217"/>
      <c r="BE275" s="217"/>
      <c r="BF275" s="217"/>
      <c r="BG275" s="217"/>
      <c r="BH275" s="217"/>
      <c r="BI275" s="217"/>
      <c r="BJ275" s="217"/>
      <c r="BK275" s="217"/>
      <c r="BL275" s="217"/>
      <c r="BM275" s="217"/>
      <c r="BN275" s="217"/>
      <c r="BO275" s="217"/>
      <c r="BP275" s="217"/>
      <c r="BQ275" s="217"/>
      <c r="BR275" s="217"/>
      <c r="BS275" s="217"/>
      <c r="BT275" s="217"/>
      <c r="BU275" s="217"/>
      <c r="BV275" s="217"/>
      <c r="BW275" s="217"/>
      <c r="BX275" s="217"/>
      <c r="BY275" s="217"/>
      <c r="BZ275" s="217"/>
      <c r="CA275" s="217"/>
      <c r="CB275" s="217"/>
      <c r="CC275" s="217"/>
      <c r="CD275" s="217"/>
      <c r="CE275" s="217"/>
      <c r="CF275" s="217"/>
      <c r="CG275" s="217"/>
      <c r="CH275" s="217"/>
      <c r="CI275" s="217"/>
      <c r="CJ275" s="217"/>
      <c r="CK275" s="217"/>
      <c r="CL275" s="217"/>
      <c r="CM275" s="217"/>
      <c r="CN275" s="217"/>
      <c r="CO275" s="217"/>
      <c r="CP275" s="217"/>
      <c r="CQ275" s="217"/>
      <c r="CR275" s="217"/>
      <c r="CS275" s="217"/>
      <c r="CT275" s="217"/>
      <c r="CU275" s="217"/>
      <c r="CV275" s="217"/>
      <c r="CW275" s="217"/>
      <c r="CX275" s="217"/>
      <c r="CY275" s="217"/>
      <c r="CZ275" s="217"/>
      <c r="DA275" s="217"/>
      <c r="DB275" s="217"/>
      <c r="DC275" s="217"/>
      <c r="DD275" s="217"/>
      <c r="DE275" s="217"/>
      <c r="DF275" s="217"/>
      <c r="DG275" s="217"/>
      <c r="DH275" s="217"/>
      <c r="DI275" s="217"/>
      <c r="DJ275" s="217"/>
      <c r="DK275" s="217"/>
      <c r="DL275" s="217"/>
      <c r="DM275" s="217"/>
      <c r="DN275" s="217"/>
      <c r="DO275" s="217"/>
      <c r="DP275" s="217"/>
      <c r="DQ275" s="217"/>
      <c r="DR275" s="217"/>
      <c r="DS275" s="217"/>
      <c r="DT275" s="217"/>
    </row>
    <row r="276" spans="1:124" x14ac:dyDescent="0.3">
      <c r="A276" s="217"/>
      <c r="B276" s="342" t="s">
        <v>175</v>
      </c>
      <c r="C276" s="345">
        <f t="shared" si="340"/>
        <v>0</v>
      </c>
      <c r="D276" s="346" t="str">
        <f>IF(D$260="","",D$262*VLOOKUP(D$260&amp;" (All)",'Default Values'!$B$162:$CD$181,MATCH($B276,'Default Values'!$B$101:$CD$101,0),0))</f>
        <v/>
      </c>
      <c r="E276" s="346" t="str">
        <f>IF(E$260="","",E$262*VLOOKUP(E$260&amp;" (All)",'Default Values'!$B$162:$CD$181,MATCH($B276,'Default Values'!$B$101:$CD$101,0),0))</f>
        <v/>
      </c>
      <c r="F276" s="346" t="str">
        <f>IF(F$260="","",F$262*VLOOKUP(F$260&amp;" (All)",'Default Values'!$B$162:$CD$181,MATCH($B276,'Default Values'!$B$101:$CD$101,0),0))</f>
        <v/>
      </c>
      <c r="G276" s="346" t="str">
        <f>IF(G$260="","",G$262*VLOOKUP(G$260&amp;" (All)",'Default Values'!$B$162:$CD$181,MATCH($B276,'Default Values'!$B$101:$CD$101,0),0))</f>
        <v/>
      </c>
      <c r="H276" s="346" t="str">
        <f>IF(H$260="","",H$262*VLOOKUP(H$260&amp;" (All)",'Default Values'!$B$162:$CD$181,MATCH($B276,'Default Values'!$B$101:$CD$101,0),0))</f>
        <v/>
      </c>
      <c r="I276" s="346" t="str">
        <f>IF(I$260="","",I$262*VLOOKUP(I$260&amp;" (All)",'Default Values'!$B$162:$CD$181,MATCH($B276,'Default Values'!$B$101:$CD$101,0),0))</f>
        <v/>
      </c>
      <c r="J276" s="346" t="str">
        <f>IF(J$260="","",J$262*VLOOKUP(J$260&amp;" (All)",'Default Values'!$B$162:$CD$181,MATCH($B276,'Default Values'!$B$101:$CD$101,0),0))</f>
        <v/>
      </c>
      <c r="K276" s="346" t="str">
        <f>IF(K$260="","",K$262*VLOOKUP(K$260&amp;" (All)",'Default Values'!$B$162:$CD$181,MATCH($B276,'Default Values'!$B$101:$CD$101,0),0))</f>
        <v/>
      </c>
      <c r="L276" s="346" t="str">
        <f>IF(L$260="","",L$262*VLOOKUP(L$260&amp;" (All)",'Default Values'!$B$162:$CD$181,MATCH($B276,'Default Values'!$B$101:$CD$101,0),0))</f>
        <v/>
      </c>
      <c r="M276" s="346" t="str">
        <f>IF(M$260="","",M$262*VLOOKUP(M$260&amp;" (All)",'Default Values'!$B$162:$CD$181,MATCH($B276,'Default Values'!$B$101:$CD$101,0),0))</f>
        <v/>
      </c>
      <c r="N276" s="346" t="str">
        <f>IF(N$260="","",N$262*VLOOKUP(N$260&amp;" (All)",'Default Values'!$B$162:$CD$181,MATCH($B276,'Default Values'!$B$101:$CD$101,0),0))</f>
        <v/>
      </c>
      <c r="O276" s="346" t="str">
        <f>IF(O$260="","",O$262*VLOOKUP(O$260&amp;" (All)",'Default Values'!$B$162:$CD$181,MATCH($B276,'Default Values'!$B$101:$CD$101,0),0))</f>
        <v/>
      </c>
      <c r="P276" s="346" t="str">
        <f>IF(P$260="","",P$262*VLOOKUP(P$260&amp;" (All)",'Default Values'!$B$162:$CD$181,MATCH($B276,'Default Values'!$B$101:$CD$101,0),0))</f>
        <v/>
      </c>
      <c r="Q276" s="346" t="str">
        <f>IF(Q$260="","",Q$262*VLOOKUP(Q$260&amp;" (All)",'Default Values'!$B$162:$CD$181,MATCH($B276,'Default Values'!$B$101:$CD$101,0),0))</f>
        <v/>
      </c>
      <c r="R276" s="346" t="str">
        <f>IF(R$260="","",R$262*VLOOKUP(R$260&amp;" (All)",'Default Values'!$B$162:$CD$181,MATCH($B276,'Default Values'!$B$101:$CD$101,0),0))</f>
        <v/>
      </c>
      <c r="S276" s="346" t="str">
        <f>IF(S$260="","",S$262*VLOOKUP(S$260&amp;" (All)",'Default Values'!$B$162:$CD$181,MATCH($B276,'Default Values'!$B$101:$CD$101,0),0))</f>
        <v/>
      </c>
      <c r="T276" s="346" t="str">
        <f>IF(T$260="","",T$262*VLOOKUP(T$260&amp;" (All)",'Default Values'!$B$162:$CD$181,MATCH($B276,'Default Values'!$B$101:$CD$101,0),0))</f>
        <v/>
      </c>
      <c r="U276" s="346" t="str">
        <f>IF(U$260="","",U$262*VLOOKUP(U$260&amp;" (All)",'Default Values'!$B$162:$CD$181,MATCH($B276,'Default Values'!$B$101:$CD$101,0),0))</f>
        <v/>
      </c>
      <c r="V276" s="346" t="str">
        <f>IF(V$260="","",V$262*VLOOKUP(V$260&amp;" (All)",'Default Values'!$B$162:$CD$181,MATCH($B276,'Default Values'!$B$101:$CD$101,0),0))</f>
        <v/>
      </c>
      <c r="W276" s="346" t="str">
        <f>IF(W$260="","",W$262*VLOOKUP(W$260&amp;" (All)",'Default Values'!$B$162:$CD$181,MATCH($B276,'Default Values'!$B$101:$CD$101,0),0))</f>
        <v/>
      </c>
      <c r="X276" s="346" t="str">
        <f>IF(X$260="","",X$262*VLOOKUP(X$260&amp;" (All)",'Default Values'!$B$162:$CD$181,MATCH($B276,'Default Values'!$B$101:$CD$101,0),0))</f>
        <v/>
      </c>
      <c r="Y276" s="346" t="str">
        <f>IF(Y$260="","",Y$262*VLOOKUP(Y$260&amp;" (All)",'Default Values'!$B$162:$CD$181,MATCH($B276,'Default Values'!$B$101:$CD$101,0),0))</f>
        <v/>
      </c>
      <c r="Z276" s="346" t="str">
        <f>IF(Z$260="","",Z$262*VLOOKUP(Z$260&amp;" (All)",'Default Values'!$B$162:$CD$181,MATCH($B276,'Default Values'!$B$101:$CD$101,0),0))</f>
        <v/>
      </c>
      <c r="AA276" s="346" t="str">
        <f>IF(AA$260="","",AA$262*VLOOKUP(AA$260&amp;" (All)",'Default Values'!$B$162:$CD$181,MATCH($B276,'Default Values'!$B$101:$CD$101,0),0))</f>
        <v/>
      </c>
      <c r="AB276" s="346" t="str">
        <f>IF(AB$260="","",AB$262*VLOOKUP(AB$260&amp;" (All)",'Default Values'!$B$162:$CD$181,MATCH($B276,'Default Values'!$B$101:$CD$101,0),0))</f>
        <v/>
      </c>
      <c r="AC276" s="346" t="str">
        <f>IF(AC$260="","",AC$262*VLOOKUP(AC$260&amp;" (All)",'Default Values'!$B$162:$CD$181,MATCH($B276,'Default Values'!$B$101:$CD$101,0),0))</f>
        <v/>
      </c>
      <c r="AD276" s="346" t="str">
        <f>IF(AD$260="","",AD$262*VLOOKUP(AD$260&amp;" (All)",'Default Values'!$B$162:$CD$181,MATCH($B276,'Default Values'!$B$101:$CD$101,0),0))</f>
        <v/>
      </c>
      <c r="AE276" s="346" t="str">
        <f>IF(AE$260="","",AE$262*VLOOKUP(AE$260&amp;" (All)",'Default Values'!$B$162:$CD$181,MATCH($B276,'Default Values'!$B$101:$CD$101,0),0))</f>
        <v/>
      </c>
      <c r="AF276" s="346" t="str">
        <f>IF(AF$260="","",AF$262*VLOOKUP(AF$260&amp;" (All)",'Default Values'!$B$162:$CD$181,MATCH($B276,'Default Values'!$B$101:$CD$101,0),0))</f>
        <v/>
      </c>
      <c r="AG276" s="346" t="str">
        <f>IF(AG$260="","",AG$262*VLOOKUP(AG$260&amp;" (All)",'Default Values'!$B$162:$CD$181,MATCH($B276,'Default Values'!$B$101:$CD$101,0),0))</f>
        <v/>
      </c>
      <c r="AH276" s="346" t="str">
        <f>IF(AH$260="","",AH$262*VLOOKUP(AH$260&amp;" (All)",'Default Values'!$B$162:$CD$181,MATCH($B276,'Default Values'!$B$101:$CD$101,0),0))</f>
        <v/>
      </c>
      <c r="AI276" s="346" t="str">
        <f>IF(AI$260="","",AI$262*VLOOKUP(AI$260&amp;" (All)",'Default Values'!$B$162:$CD$181,MATCH($B276,'Default Values'!$B$101:$CD$101,0),0))</f>
        <v/>
      </c>
      <c r="AJ276" s="346" t="str">
        <f>IF(AJ$260="","",AJ$262*VLOOKUP(AJ$260&amp;" (All)",'Default Values'!$B$162:$CD$181,MATCH($B276,'Default Values'!$B$101:$CD$101,0),0))</f>
        <v/>
      </c>
      <c r="AK276" s="346" t="str">
        <f>IF(AK$260="","",AK$262*VLOOKUP(AK$260&amp;" (All)",'Default Values'!$B$162:$CD$181,MATCH($B276,'Default Values'!$B$101:$CD$101,0),0))</f>
        <v/>
      </c>
      <c r="AL276" s="346" t="str">
        <f>IF(AL$260="","",AL$262*VLOOKUP(AL$260&amp;" (All)",'Default Values'!$B$162:$CD$181,MATCH($B276,'Default Values'!$B$101:$CD$101,0),0))</f>
        <v/>
      </c>
      <c r="AM276" s="346" t="str">
        <f>IF(AM$260="","",AM$262*VLOOKUP(AM$260&amp;" (All)",'Default Values'!$B$162:$CD$181,MATCH($B276,'Default Values'!$B$101:$CD$101,0),0))</f>
        <v/>
      </c>
      <c r="AN276" s="346" t="str">
        <f>IF(AN$260="","",AN$262*VLOOKUP(AN$260&amp;" (All)",'Default Values'!$B$162:$CD$181,MATCH($B276,'Default Values'!$B$101:$CD$101,0),0))</f>
        <v/>
      </c>
      <c r="AO276" s="346" t="str">
        <f>IF(AO$260="","",AO$262*VLOOKUP(AO$260&amp;" (All)",'Default Values'!$B$162:$CD$181,MATCH($B276,'Default Values'!$B$101:$CD$101,0),0))</f>
        <v/>
      </c>
      <c r="AP276" s="346" t="str">
        <f>IF(AP$260="","",AP$262*VLOOKUP(AP$260&amp;" (All)",'Default Values'!$B$162:$CD$181,MATCH($B276,'Default Values'!$B$101:$CD$101,0),0))</f>
        <v/>
      </c>
      <c r="AQ276" s="346" t="str">
        <f>IF(AQ$260="","",AQ$262*VLOOKUP(AQ$260&amp;" (All)",'Default Values'!$B$162:$CD$181,MATCH($B276,'Default Values'!$B$101:$CD$101,0),0))</f>
        <v/>
      </c>
      <c r="AR276" s="346">
        <f>IF(AR$260="","",AR$262*VLOOKUP(AR$260&amp;" (All)",'Default Values'!$B$162:$CD$181,MATCH($B276,'Default Values'!$B$101:$CD$101,0),0))</f>
        <v>0</v>
      </c>
      <c r="AS276" s="217"/>
      <c r="AT276" s="217"/>
      <c r="AU276" s="217"/>
      <c r="AV276" s="217"/>
      <c r="AW276" s="217"/>
      <c r="AX276" s="217"/>
      <c r="AY276" s="217"/>
      <c r="AZ276" s="217"/>
      <c r="BA276" s="217"/>
      <c r="BB276" s="217"/>
      <c r="BC276" s="217"/>
      <c r="BD276" s="217"/>
      <c r="BE276" s="217"/>
      <c r="BF276" s="217"/>
      <c r="BG276" s="217"/>
      <c r="BH276" s="217"/>
      <c r="BI276" s="217"/>
      <c r="BJ276" s="217"/>
      <c r="BK276" s="217"/>
      <c r="BL276" s="217"/>
      <c r="BM276" s="217"/>
      <c r="BN276" s="217"/>
      <c r="BO276" s="217"/>
      <c r="BP276" s="217"/>
      <c r="BQ276" s="217"/>
      <c r="BR276" s="217"/>
      <c r="BS276" s="217"/>
      <c r="BT276" s="217"/>
      <c r="BU276" s="217"/>
      <c r="BV276" s="217"/>
      <c r="BW276" s="217"/>
      <c r="BX276" s="217"/>
      <c r="BY276" s="217"/>
      <c r="BZ276" s="217"/>
      <c r="CA276" s="217"/>
      <c r="CB276" s="217"/>
      <c r="CC276" s="217"/>
      <c r="CD276" s="217"/>
      <c r="CE276" s="217"/>
      <c r="CF276" s="217"/>
      <c r="CG276" s="217"/>
      <c r="CH276" s="217"/>
      <c r="CI276" s="217"/>
      <c r="CJ276" s="217"/>
      <c r="CK276" s="217"/>
      <c r="CL276" s="217"/>
      <c r="CM276" s="217"/>
      <c r="CN276" s="217"/>
      <c r="CO276" s="217"/>
      <c r="CP276" s="217"/>
      <c r="CQ276" s="217"/>
      <c r="CR276" s="217"/>
      <c r="CS276" s="217"/>
      <c r="CT276" s="217"/>
      <c r="CU276" s="217"/>
      <c r="CV276" s="217"/>
      <c r="CW276" s="217"/>
      <c r="CX276" s="217"/>
      <c r="CY276" s="217"/>
      <c r="CZ276" s="217"/>
      <c r="DA276" s="217"/>
      <c r="DB276" s="217"/>
      <c r="DC276" s="217"/>
      <c r="DD276" s="217"/>
      <c r="DE276" s="217"/>
      <c r="DF276" s="217"/>
      <c r="DG276" s="217"/>
      <c r="DH276" s="217"/>
      <c r="DI276" s="217"/>
      <c r="DJ276" s="217"/>
      <c r="DK276" s="217"/>
      <c r="DL276" s="217"/>
      <c r="DM276" s="217"/>
      <c r="DN276" s="217"/>
      <c r="DO276" s="217"/>
      <c r="DP276" s="217"/>
      <c r="DQ276" s="217"/>
      <c r="DR276" s="217"/>
      <c r="DS276" s="217"/>
      <c r="DT276" s="217"/>
    </row>
    <row r="277" spans="1:124" x14ac:dyDescent="0.3">
      <c r="A277" s="217"/>
      <c r="B277" s="342" t="s">
        <v>176</v>
      </c>
      <c r="C277" s="345">
        <f t="shared" si="340"/>
        <v>0</v>
      </c>
      <c r="D277" s="346" t="str">
        <f>IF(D$260="","",D$262*VLOOKUP(D$260&amp;" (All)",'Default Values'!$B$162:$CD$181,MATCH($B277,'Default Values'!$B$101:$CD$101,0),0))</f>
        <v/>
      </c>
      <c r="E277" s="346" t="str">
        <f>IF(E$260="","",E$262*VLOOKUP(E$260&amp;" (All)",'Default Values'!$B$162:$CD$181,MATCH($B277,'Default Values'!$B$101:$CD$101,0),0))</f>
        <v/>
      </c>
      <c r="F277" s="346" t="str">
        <f>IF(F$260="","",F$262*VLOOKUP(F$260&amp;" (All)",'Default Values'!$B$162:$CD$181,MATCH($B277,'Default Values'!$B$101:$CD$101,0),0))</f>
        <v/>
      </c>
      <c r="G277" s="346" t="str">
        <f>IF(G$260="","",G$262*VLOOKUP(G$260&amp;" (All)",'Default Values'!$B$162:$CD$181,MATCH($B277,'Default Values'!$B$101:$CD$101,0),0))</f>
        <v/>
      </c>
      <c r="H277" s="346" t="str">
        <f>IF(H$260="","",H$262*VLOOKUP(H$260&amp;" (All)",'Default Values'!$B$162:$CD$181,MATCH($B277,'Default Values'!$B$101:$CD$101,0),0))</f>
        <v/>
      </c>
      <c r="I277" s="346" t="str">
        <f>IF(I$260="","",I$262*VLOOKUP(I$260&amp;" (All)",'Default Values'!$B$162:$CD$181,MATCH($B277,'Default Values'!$B$101:$CD$101,0),0))</f>
        <v/>
      </c>
      <c r="J277" s="346" t="str">
        <f>IF(J$260="","",J$262*VLOOKUP(J$260&amp;" (All)",'Default Values'!$B$162:$CD$181,MATCH($B277,'Default Values'!$B$101:$CD$101,0),0))</f>
        <v/>
      </c>
      <c r="K277" s="346" t="str">
        <f>IF(K$260="","",K$262*VLOOKUP(K$260&amp;" (All)",'Default Values'!$B$162:$CD$181,MATCH($B277,'Default Values'!$B$101:$CD$101,0),0))</f>
        <v/>
      </c>
      <c r="L277" s="346" t="str">
        <f>IF(L$260="","",L$262*VLOOKUP(L$260&amp;" (All)",'Default Values'!$B$162:$CD$181,MATCH($B277,'Default Values'!$B$101:$CD$101,0),0))</f>
        <v/>
      </c>
      <c r="M277" s="346" t="str">
        <f>IF(M$260="","",M$262*VLOOKUP(M$260&amp;" (All)",'Default Values'!$B$162:$CD$181,MATCH($B277,'Default Values'!$B$101:$CD$101,0),0))</f>
        <v/>
      </c>
      <c r="N277" s="346" t="str">
        <f>IF(N$260="","",N$262*VLOOKUP(N$260&amp;" (All)",'Default Values'!$B$162:$CD$181,MATCH($B277,'Default Values'!$B$101:$CD$101,0),0))</f>
        <v/>
      </c>
      <c r="O277" s="346" t="str">
        <f>IF(O$260="","",O$262*VLOOKUP(O$260&amp;" (All)",'Default Values'!$B$162:$CD$181,MATCH($B277,'Default Values'!$B$101:$CD$101,0),0))</f>
        <v/>
      </c>
      <c r="P277" s="346" t="str">
        <f>IF(P$260="","",P$262*VLOOKUP(P$260&amp;" (All)",'Default Values'!$B$162:$CD$181,MATCH($B277,'Default Values'!$B$101:$CD$101,0),0))</f>
        <v/>
      </c>
      <c r="Q277" s="346" t="str">
        <f>IF(Q$260="","",Q$262*VLOOKUP(Q$260&amp;" (All)",'Default Values'!$B$162:$CD$181,MATCH($B277,'Default Values'!$B$101:$CD$101,0),0))</f>
        <v/>
      </c>
      <c r="R277" s="346" t="str">
        <f>IF(R$260="","",R$262*VLOOKUP(R$260&amp;" (All)",'Default Values'!$B$162:$CD$181,MATCH($B277,'Default Values'!$B$101:$CD$101,0),0))</f>
        <v/>
      </c>
      <c r="S277" s="346" t="str">
        <f>IF(S$260="","",S$262*VLOOKUP(S$260&amp;" (All)",'Default Values'!$B$162:$CD$181,MATCH($B277,'Default Values'!$B$101:$CD$101,0),0))</f>
        <v/>
      </c>
      <c r="T277" s="346" t="str">
        <f>IF(T$260="","",T$262*VLOOKUP(T$260&amp;" (All)",'Default Values'!$B$162:$CD$181,MATCH($B277,'Default Values'!$B$101:$CD$101,0),0))</f>
        <v/>
      </c>
      <c r="U277" s="346" t="str">
        <f>IF(U$260="","",U$262*VLOOKUP(U$260&amp;" (All)",'Default Values'!$B$162:$CD$181,MATCH($B277,'Default Values'!$B$101:$CD$101,0),0))</f>
        <v/>
      </c>
      <c r="V277" s="346" t="str">
        <f>IF(V$260="","",V$262*VLOOKUP(V$260&amp;" (All)",'Default Values'!$B$162:$CD$181,MATCH($B277,'Default Values'!$B$101:$CD$101,0),0))</f>
        <v/>
      </c>
      <c r="W277" s="346" t="str">
        <f>IF(W$260="","",W$262*VLOOKUP(W$260&amp;" (All)",'Default Values'!$B$162:$CD$181,MATCH($B277,'Default Values'!$B$101:$CD$101,0),0))</f>
        <v/>
      </c>
      <c r="X277" s="346" t="str">
        <f>IF(X$260="","",X$262*VLOOKUP(X$260&amp;" (All)",'Default Values'!$B$162:$CD$181,MATCH($B277,'Default Values'!$B$101:$CD$101,0),0))</f>
        <v/>
      </c>
      <c r="Y277" s="346" t="str">
        <f>IF(Y$260="","",Y$262*VLOOKUP(Y$260&amp;" (All)",'Default Values'!$B$162:$CD$181,MATCH($B277,'Default Values'!$B$101:$CD$101,0),0))</f>
        <v/>
      </c>
      <c r="Z277" s="346" t="str">
        <f>IF(Z$260="","",Z$262*VLOOKUP(Z$260&amp;" (All)",'Default Values'!$B$162:$CD$181,MATCH($B277,'Default Values'!$B$101:$CD$101,0),0))</f>
        <v/>
      </c>
      <c r="AA277" s="346" t="str">
        <f>IF(AA$260="","",AA$262*VLOOKUP(AA$260&amp;" (All)",'Default Values'!$B$162:$CD$181,MATCH($B277,'Default Values'!$B$101:$CD$101,0),0))</f>
        <v/>
      </c>
      <c r="AB277" s="346" t="str">
        <f>IF(AB$260="","",AB$262*VLOOKUP(AB$260&amp;" (All)",'Default Values'!$B$162:$CD$181,MATCH($B277,'Default Values'!$B$101:$CD$101,0),0))</f>
        <v/>
      </c>
      <c r="AC277" s="346" t="str">
        <f>IF(AC$260="","",AC$262*VLOOKUP(AC$260&amp;" (All)",'Default Values'!$B$162:$CD$181,MATCH($B277,'Default Values'!$B$101:$CD$101,0),0))</f>
        <v/>
      </c>
      <c r="AD277" s="346" t="str">
        <f>IF(AD$260="","",AD$262*VLOOKUP(AD$260&amp;" (All)",'Default Values'!$B$162:$CD$181,MATCH($B277,'Default Values'!$B$101:$CD$101,0),0))</f>
        <v/>
      </c>
      <c r="AE277" s="346" t="str">
        <f>IF(AE$260="","",AE$262*VLOOKUP(AE$260&amp;" (All)",'Default Values'!$B$162:$CD$181,MATCH($B277,'Default Values'!$B$101:$CD$101,0),0))</f>
        <v/>
      </c>
      <c r="AF277" s="346" t="str">
        <f>IF(AF$260="","",AF$262*VLOOKUP(AF$260&amp;" (All)",'Default Values'!$B$162:$CD$181,MATCH($B277,'Default Values'!$B$101:$CD$101,0),0))</f>
        <v/>
      </c>
      <c r="AG277" s="346" t="str">
        <f>IF(AG$260="","",AG$262*VLOOKUP(AG$260&amp;" (All)",'Default Values'!$B$162:$CD$181,MATCH($B277,'Default Values'!$B$101:$CD$101,0),0))</f>
        <v/>
      </c>
      <c r="AH277" s="346" t="str">
        <f>IF(AH$260="","",AH$262*VLOOKUP(AH$260&amp;" (All)",'Default Values'!$B$162:$CD$181,MATCH($B277,'Default Values'!$B$101:$CD$101,0),0))</f>
        <v/>
      </c>
      <c r="AI277" s="346" t="str">
        <f>IF(AI$260="","",AI$262*VLOOKUP(AI$260&amp;" (All)",'Default Values'!$B$162:$CD$181,MATCH($B277,'Default Values'!$B$101:$CD$101,0),0))</f>
        <v/>
      </c>
      <c r="AJ277" s="346" t="str">
        <f>IF(AJ$260="","",AJ$262*VLOOKUP(AJ$260&amp;" (All)",'Default Values'!$B$162:$CD$181,MATCH($B277,'Default Values'!$B$101:$CD$101,0),0))</f>
        <v/>
      </c>
      <c r="AK277" s="346" t="str">
        <f>IF(AK$260="","",AK$262*VLOOKUP(AK$260&amp;" (All)",'Default Values'!$B$162:$CD$181,MATCH($B277,'Default Values'!$B$101:$CD$101,0),0))</f>
        <v/>
      </c>
      <c r="AL277" s="346" t="str">
        <f>IF(AL$260="","",AL$262*VLOOKUP(AL$260&amp;" (All)",'Default Values'!$B$162:$CD$181,MATCH($B277,'Default Values'!$B$101:$CD$101,0),0))</f>
        <v/>
      </c>
      <c r="AM277" s="346" t="str">
        <f>IF(AM$260="","",AM$262*VLOOKUP(AM$260&amp;" (All)",'Default Values'!$B$162:$CD$181,MATCH($B277,'Default Values'!$B$101:$CD$101,0),0))</f>
        <v/>
      </c>
      <c r="AN277" s="346" t="str">
        <f>IF(AN$260="","",AN$262*VLOOKUP(AN$260&amp;" (All)",'Default Values'!$B$162:$CD$181,MATCH($B277,'Default Values'!$B$101:$CD$101,0),0))</f>
        <v/>
      </c>
      <c r="AO277" s="346" t="str">
        <f>IF(AO$260="","",AO$262*VLOOKUP(AO$260&amp;" (All)",'Default Values'!$B$162:$CD$181,MATCH($B277,'Default Values'!$B$101:$CD$101,0),0))</f>
        <v/>
      </c>
      <c r="AP277" s="346" t="str">
        <f>IF(AP$260="","",AP$262*VLOOKUP(AP$260&amp;" (All)",'Default Values'!$B$162:$CD$181,MATCH($B277,'Default Values'!$B$101:$CD$101,0),0))</f>
        <v/>
      </c>
      <c r="AQ277" s="346" t="str">
        <f>IF(AQ$260="","",AQ$262*VLOOKUP(AQ$260&amp;" (All)",'Default Values'!$B$162:$CD$181,MATCH($B277,'Default Values'!$B$101:$CD$101,0),0))</f>
        <v/>
      </c>
      <c r="AR277" s="346">
        <f>IF(AR$260="","",AR$262*VLOOKUP(AR$260&amp;" (All)",'Default Values'!$B$162:$CD$181,MATCH($B277,'Default Values'!$B$101:$CD$101,0),0))</f>
        <v>0</v>
      </c>
      <c r="AS277" s="217"/>
      <c r="AT277" s="217"/>
      <c r="AU277" s="217"/>
      <c r="AV277" s="217"/>
      <c r="AW277" s="217"/>
      <c r="AX277" s="217"/>
      <c r="AY277" s="217"/>
      <c r="AZ277" s="217"/>
      <c r="BA277" s="217"/>
      <c r="BB277" s="217"/>
      <c r="BC277" s="217"/>
      <c r="BD277" s="217"/>
      <c r="BE277" s="217"/>
      <c r="BF277" s="217"/>
      <c r="BG277" s="217"/>
      <c r="BH277" s="217"/>
      <c r="BI277" s="217"/>
      <c r="BJ277" s="217"/>
      <c r="BK277" s="217"/>
      <c r="BL277" s="217"/>
      <c r="BM277" s="217"/>
      <c r="BN277" s="217"/>
      <c r="BO277" s="217"/>
      <c r="BP277" s="217"/>
      <c r="BQ277" s="217"/>
      <c r="BR277" s="217"/>
      <c r="BS277" s="217"/>
      <c r="BT277" s="217"/>
      <c r="BU277" s="217"/>
      <c r="BV277" s="217"/>
      <c r="BW277" s="217"/>
      <c r="BX277" s="217"/>
      <c r="BY277" s="217"/>
      <c r="BZ277" s="217"/>
      <c r="CA277" s="217"/>
      <c r="CB277" s="217"/>
      <c r="CC277" s="217"/>
      <c r="CD277" s="217"/>
      <c r="CE277" s="217"/>
      <c r="CF277" s="217"/>
      <c r="CG277" s="217"/>
      <c r="CH277" s="217"/>
      <c r="CI277" s="217"/>
      <c r="CJ277" s="217"/>
      <c r="CK277" s="217"/>
      <c r="CL277" s="217"/>
      <c r="CM277" s="217"/>
      <c r="CN277" s="217"/>
      <c r="CO277" s="217"/>
      <c r="CP277" s="217"/>
      <c r="CQ277" s="217"/>
      <c r="CR277" s="217"/>
      <c r="CS277" s="217"/>
      <c r="CT277" s="217"/>
      <c r="CU277" s="217"/>
      <c r="CV277" s="217"/>
      <c r="CW277" s="217"/>
      <c r="CX277" s="217"/>
      <c r="CY277" s="217"/>
      <c r="CZ277" s="217"/>
      <c r="DA277" s="217"/>
      <c r="DB277" s="217"/>
      <c r="DC277" s="217"/>
      <c r="DD277" s="217"/>
      <c r="DE277" s="217"/>
      <c r="DF277" s="217"/>
      <c r="DG277" s="217"/>
      <c r="DH277" s="217"/>
      <c r="DI277" s="217"/>
      <c r="DJ277" s="217"/>
      <c r="DK277" s="217"/>
      <c r="DL277" s="217"/>
      <c r="DM277" s="217"/>
      <c r="DN277" s="217"/>
      <c r="DO277" s="217"/>
      <c r="DP277" s="217"/>
      <c r="DQ277" s="217"/>
      <c r="DR277" s="217"/>
      <c r="DS277" s="217"/>
      <c r="DT277" s="217"/>
    </row>
    <row r="278" spans="1:124" x14ac:dyDescent="0.3">
      <c r="A278" s="217"/>
      <c r="B278" s="342" t="s">
        <v>180</v>
      </c>
      <c r="C278" s="345">
        <f t="shared" si="340"/>
        <v>0</v>
      </c>
      <c r="D278" s="346" t="str">
        <f>IF(D$260="","",D$262*VLOOKUP(D$260&amp;" (All)",'Default Values'!$B$162:$CD$181,MATCH($B278,'Default Values'!$B$101:$CD$101,0),0))</f>
        <v/>
      </c>
      <c r="E278" s="346" t="str">
        <f>IF(E$260="","",E$262*VLOOKUP(E$260&amp;" (All)",'Default Values'!$B$162:$CD$181,MATCH($B278,'Default Values'!$B$101:$CD$101,0),0))</f>
        <v/>
      </c>
      <c r="F278" s="346" t="str">
        <f>IF(F$260="","",F$262*VLOOKUP(F$260&amp;" (All)",'Default Values'!$B$162:$CD$181,MATCH($B278,'Default Values'!$B$101:$CD$101,0),0))</f>
        <v/>
      </c>
      <c r="G278" s="346" t="str">
        <f>IF(G$260="","",G$262*VLOOKUP(G$260&amp;" (All)",'Default Values'!$B$162:$CD$181,MATCH($B278,'Default Values'!$B$101:$CD$101,0),0))</f>
        <v/>
      </c>
      <c r="H278" s="346" t="str">
        <f>IF(H$260="","",H$262*VLOOKUP(H$260&amp;" (All)",'Default Values'!$B$162:$CD$181,MATCH($B278,'Default Values'!$B$101:$CD$101,0),0))</f>
        <v/>
      </c>
      <c r="I278" s="346" t="str">
        <f>IF(I$260="","",I$262*VLOOKUP(I$260&amp;" (All)",'Default Values'!$B$162:$CD$181,MATCH($B278,'Default Values'!$B$101:$CD$101,0),0))</f>
        <v/>
      </c>
      <c r="J278" s="346" t="str">
        <f>IF(J$260="","",J$262*VLOOKUP(J$260&amp;" (All)",'Default Values'!$B$162:$CD$181,MATCH($B278,'Default Values'!$B$101:$CD$101,0),0))</f>
        <v/>
      </c>
      <c r="K278" s="346" t="str">
        <f>IF(K$260="","",K$262*VLOOKUP(K$260&amp;" (All)",'Default Values'!$B$162:$CD$181,MATCH($B278,'Default Values'!$B$101:$CD$101,0),0))</f>
        <v/>
      </c>
      <c r="L278" s="346" t="str">
        <f>IF(L$260="","",L$262*VLOOKUP(L$260&amp;" (All)",'Default Values'!$B$162:$CD$181,MATCH($B278,'Default Values'!$B$101:$CD$101,0),0))</f>
        <v/>
      </c>
      <c r="M278" s="346" t="str">
        <f>IF(M$260="","",M$262*VLOOKUP(M$260&amp;" (All)",'Default Values'!$B$162:$CD$181,MATCH($B278,'Default Values'!$B$101:$CD$101,0),0))</f>
        <v/>
      </c>
      <c r="N278" s="346" t="str">
        <f>IF(N$260="","",N$262*VLOOKUP(N$260&amp;" (All)",'Default Values'!$B$162:$CD$181,MATCH($B278,'Default Values'!$B$101:$CD$101,0),0))</f>
        <v/>
      </c>
      <c r="O278" s="346" t="str">
        <f>IF(O$260="","",O$262*VLOOKUP(O$260&amp;" (All)",'Default Values'!$B$162:$CD$181,MATCH($B278,'Default Values'!$B$101:$CD$101,0),0))</f>
        <v/>
      </c>
      <c r="P278" s="346" t="str">
        <f>IF(P$260="","",P$262*VLOOKUP(P$260&amp;" (All)",'Default Values'!$B$162:$CD$181,MATCH($B278,'Default Values'!$B$101:$CD$101,0),0))</f>
        <v/>
      </c>
      <c r="Q278" s="346" t="str">
        <f>IF(Q$260="","",Q$262*VLOOKUP(Q$260&amp;" (All)",'Default Values'!$B$162:$CD$181,MATCH($B278,'Default Values'!$B$101:$CD$101,0),0))</f>
        <v/>
      </c>
      <c r="R278" s="346" t="str">
        <f>IF(R$260="","",R$262*VLOOKUP(R$260&amp;" (All)",'Default Values'!$B$162:$CD$181,MATCH($B278,'Default Values'!$B$101:$CD$101,0),0))</f>
        <v/>
      </c>
      <c r="S278" s="346" t="str">
        <f>IF(S$260="","",S$262*VLOOKUP(S$260&amp;" (All)",'Default Values'!$B$162:$CD$181,MATCH($B278,'Default Values'!$B$101:$CD$101,0),0))</f>
        <v/>
      </c>
      <c r="T278" s="346" t="str">
        <f>IF(T$260="","",T$262*VLOOKUP(T$260&amp;" (All)",'Default Values'!$B$162:$CD$181,MATCH($B278,'Default Values'!$B$101:$CD$101,0),0))</f>
        <v/>
      </c>
      <c r="U278" s="346" t="str">
        <f>IF(U$260="","",U$262*VLOOKUP(U$260&amp;" (All)",'Default Values'!$B$162:$CD$181,MATCH($B278,'Default Values'!$B$101:$CD$101,0),0))</f>
        <v/>
      </c>
      <c r="V278" s="346" t="str">
        <f>IF(V$260="","",V$262*VLOOKUP(V$260&amp;" (All)",'Default Values'!$B$162:$CD$181,MATCH($B278,'Default Values'!$B$101:$CD$101,0),0))</f>
        <v/>
      </c>
      <c r="W278" s="346" t="str">
        <f>IF(W$260="","",W$262*VLOOKUP(W$260&amp;" (All)",'Default Values'!$B$162:$CD$181,MATCH($B278,'Default Values'!$B$101:$CD$101,0),0))</f>
        <v/>
      </c>
      <c r="X278" s="346" t="str">
        <f>IF(X$260="","",X$262*VLOOKUP(X$260&amp;" (All)",'Default Values'!$B$162:$CD$181,MATCH($B278,'Default Values'!$B$101:$CD$101,0),0))</f>
        <v/>
      </c>
      <c r="Y278" s="346" t="str">
        <f>IF(Y$260="","",Y$262*VLOOKUP(Y$260&amp;" (All)",'Default Values'!$B$162:$CD$181,MATCH($B278,'Default Values'!$B$101:$CD$101,0),0))</f>
        <v/>
      </c>
      <c r="Z278" s="346" t="str">
        <f>IF(Z$260="","",Z$262*VLOOKUP(Z$260&amp;" (All)",'Default Values'!$B$162:$CD$181,MATCH($B278,'Default Values'!$B$101:$CD$101,0),0))</f>
        <v/>
      </c>
      <c r="AA278" s="346" t="str">
        <f>IF(AA$260="","",AA$262*VLOOKUP(AA$260&amp;" (All)",'Default Values'!$B$162:$CD$181,MATCH($B278,'Default Values'!$B$101:$CD$101,0),0))</f>
        <v/>
      </c>
      <c r="AB278" s="346" t="str">
        <f>IF(AB$260="","",AB$262*VLOOKUP(AB$260&amp;" (All)",'Default Values'!$B$162:$CD$181,MATCH($B278,'Default Values'!$B$101:$CD$101,0),0))</f>
        <v/>
      </c>
      <c r="AC278" s="346" t="str">
        <f>IF(AC$260="","",AC$262*VLOOKUP(AC$260&amp;" (All)",'Default Values'!$B$162:$CD$181,MATCH($B278,'Default Values'!$B$101:$CD$101,0),0))</f>
        <v/>
      </c>
      <c r="AD278" s="346" t="str">
        <f>IF(AD$260="","",AD$262*VLOOKUP(AD$260&amp;" (All)",'Default Values'!$B$162:$CD$181,MATCH($B278,'Default Values'!$B$101:$CD$101,0),0))</f>
        <v/>
      </c>
      <c r="AE278" s="346" t="str">
        <f>IF(AE$260="","",AE$262*VLOOKUP(AE$260&amp;" (All)",'Default Values'!$B$162:$CD$181,MATCH($B278,'Default Values'!$B$101:$CD$101,0),0))</f>
        <v/>
      </c>
      <c r="AF278" s="346" t="str">
        <f>IF(AF$260="","",AF$262*VLOOKUP(AF$260&amp;" (All)",'Default Values'!$B$162:$CD$181,MATCH($B278,'Default Values'!$B$101:$CD$101,0),0))</f>
        <v/>
      </c>
      <c r="AG278" s="346" t="str">
        <f>IF(AG$260="","",AG$262*VLOOKUP(AG$260&amp;" (All)",'Default Values'!$B$162:$CD$181,MATCH($B278,'Default Values'!$B$101:$CD$101,0),0))</f>
        <v/>
      </c>
      <c r="AH278" s="346" t="str">
        <f>IF(AH$260="","",AH$262*VLOOKUP(AH$260&amp;" (All)",'Default Values'!$B$162:$CD$181,MATCH($B278,'Default Values'!$B$101:$CD$101,0),0))</f>
        <v/>
      </c>
      <c r="AI278" s="346" t="str">
        <f>IF(AI$260="","",AI$262*VLOOKUP(AI$260&amp;" (All)",'Default Values'!$B$162:$CD$181,MATCH($B278,'Default Values'!$B$101:$CD$101,0),0))</f>
        <v/>
      </c>
      <c r="AJ278" s="346" t="str">
        <f>IF(AJ$260="","",AJ$262*VLOOKUP(AJ$260&amp;" (All)",'Default Values'!$B$162:$CD$181,MATCH($B278,'Default Values'!$B$101:$CD$101,0),0))</f>
        <v/>
      </c>
      <c r="AK278" s="346" t="str">
        <f>IF(AK$260="","",AK$262*VLOOKUP(AK$260&amp;" (All)",'Default Values'!$B$162:$CD$181,MATCH($B278,'Default Values'!$B$101:$CD$101,0),0))</f>
        <v/>
      </c>
      <c r="AL278" s="346" t="str">
        <f>IF(AL$260="","",AL$262*VLOOKUP(AL$260&amp;" (All)",'Default Values'!$B$162:$CD$181,MATCH($B278,'Default Values'!$B$101:$CD$101,0),0))</f>
        <v/>
      </c>
      <c r="AM278" s="346" t="str">
        <f>IF(AM$260="","",AM$262*VLOOKUP(AM$260&amp;" (All)",'Default Values'!$B$162:$CD$181,MATCH($B278,'Default Values'!$B$101:$CD$101,0),0))</f>
        <v/>
      </c>
      <c r="AN278" s="346" t="str">
        <f>IF(AN$260="","",AN$262*VLOOKUP(AN$260&amp;" (All)",'Default Values'!$B$162:$CD$181,MATCH($B278,'Default Values'!$B$101:$CD$101,0),0))</f>
        <v/>
      </c>
      <c r="AO278" s="346" t="str">
        <f>IF(AO$260="","",AO$262*VLOOKUP(AO$260&amp;" (All)",'Default Values'!$B$162:$CD$181,MATCH($B278,'Default Values'!$B$101:$CD$101,0),0))</f>
        <v/>
      </c>
      <c r="AP278" s="346" t="str">
        <f>IF(AP$260="","",AP$262*VLOOKUP(AP$260&amp;" (All)",'Default Values'!$B$162:$CD$181,MATCH($B278,'Default Values'!$B$101:$CD$101,0),0))</f>
        <v/>
      </c>
      <c r="AQ278" s="346" t="str">
        <f>IF(AQ$260="","",AQ$262*VLOOKUP(AQ$260&amp;" (All)",'Default Values'!$B$162:$CD$181,MATCH($B278,'Default Values'!$B$101:$CD$101,0),0))</f>
        <v/>
      </c>
      <c r="AR278" s="346">
        <f>IF(AR$260="","",AR$262*VLOOKUP(AR$260&amp;" (All)",'Default Values'!$B$162:$CD$181,MATCH($B278,'Default Values'!$B$101:$CD$101,0),0))</f>
        <v>0</v>
      </c>
      <c r="AS278" s="217"/>
      <c r="AT278" s="217"/>
      <c r="AU278" s="217"/>
      <c r="AV278" s="217"/>
      <c r="AW278" s="217"/>
      <c r="AX278" s="217"/>
      <c r="AY278" s="217"/>
      <c r="AZ278" s="217"/>
      <c r="BA278" s="217"/>
      <c r="BB278" s="217"/>
      <c r="BC278" s="217"/>
      <c r="BD278" s="217"/>
      <c r="BE278" s="217"/>
      <c r="BF278" s="217"/>
      <c r="BG278" s="217"/>
      <c r="BH278" s="217"/>
      <c r="BI278" s="217"/>
      <c r="BJ278" s="217"/>
      <c r="BK278" s="217"/>
      <c r="BL278" s="217"/>
      <c r="BM278" s="217"/>
      <c r="BN278" s="217"/>
      <c r="BO278" s="217"/>
      <c r="BP278" s="217"/>
      <c r="BQ278" s="217"/>
      <c r="BR278" s="217"/>
      <c r="BS278" s="217"/>
      <c r="BT278" s="217"/>
      <c r="BU278" s="217"/>
      <c r="BV278" s="217"/>
      <c r="BW278" s="217"/>
      <c r="BX278" s="217"/>
      <c r="BY278" s="217"/>
      <c r="BZ278" s="217"/>
      <c r="CA278" s="217"/>
      <c r="CB278" s="217"/>
      <c r="CC278" s="217"/>
      <c r="CD278" s="217"/>
      <c r="CE278" s="217"/>
      <c r="CF278" s="217"/>
      <c r="CG278" s="217"/>
      <c r="CH278" s="217"/>
      <c r="CI278" s="217"/>
      <c r="CJ278" s="217"/>
      <c r="CK278" s="217"/>
      <c r="CL278" s="217"/>
      <c r="CM278" s="217"/>
      <c r="CN278" s="217"/>
      <c r="CO278" s="217"/>
      <c r="CP278" s="217"/>
      <c r="CQ278" s="217"/>
      <c r="CR278" s="217"/>
      <c r="CS278" s="217"/>
      <c r="CT278" s="217"/>
      <c r="CU278" s="217"/>
      <c r="CV278" s="217"/>
      <c r="CW278" s="217"/>
      <c r="CX278" s="217"/>
      <c r="CY278" s="217"/>
      <c r="CZ278" s="217"/>
      <c r="DA278" s="217"/>
      <c r="DB278" s="217"/>
      <c r="DC278" s="217"/>
      <c r="DD278" s="217"/>
      <c r="DE278" s="217"/>
      <c r="DF278" s="217"/>
      <c r="DG278" s="217"/>
      <c r="DH278" s="217"/>
      <c r="DI278" s="217"/>
      <c r="DJ278" s="217"/>
      <c r="DK278" s="217"/>
      <c r="DL278" s="217"/>
      <c r="DM278" s="217"/>
      <c r="DN278" s="217"/>
      <c r="DO278" s="217"/>
      <c r="DP278" s="217"/>
      <c r="DQ278" s="217"/>
      <c r="DR278" s="217"/>
      <c r="DS278" s="217"/>
      <c r="DT278" s="217"/>
    </row>
    <row r="279" spans="1:124" x14ac:dyDescent="0.3">
      <c r="A279" s="217"/>
      <c r="B279" s="342" t="s">
        <v>181</v>
      </c>
      <c r="C279" s="345">
        <f t="shared" si="340"/>
        <v>0</v>
      </c>
      <c r="D279" s="346" t="str">
        <f>IF(D$260="","",D$262*VLOOKUP(D$260&amp;" (All)",'Default Values'!$B$162:$CD$181,MATCH($B279,'Default Values'!$B$101:$CD$101,0),0))</f>
        <v/>
      </c>
      <c r="E279" s="346" t="str">
        <f>IF(E$260="","",E$262*VLOOKUP(E$260&amp;" (All)",'Default Values'!$B$162:$CD$181,MATCH($B279,'Default Values'!$B$101:$CD$101,0),0))</f>
        <v/>
      </c>
      <c r="F279" s="346" t="str">
        <f>IF(F$260="","",F$262*VLOOKUP(F$260&amp;" (All)",'Default Values'!$B$162:$CD$181,MATCH($B279,'Default Values'!$B$101:$CD$101,0),0))</f>
        <v/>
      </c>
      <c r="G279" s="346" t="str">
        <f>IF(G$260="","",G$262*VLOOKUP(G$260&amp;" (All)",'Default Values'!$B$162:$CD$181,MATCH($B279,'Default Values'!$B$101:$CD$101,0),0))</f>
        <v/>
      </c>
      <c r="H279" s="346" t="str">
        <f>IF(H$260="","",H$262*VLOOKUP(H$260&amp;" (All)",'Default Values'!$B$162:$CD$181,MATCH($B279,'Default Values'!$B$101:$CD$101,0),0))</f>
        <v/>
      </c>
      <c r="I279" s="346" t="str">
        <f>IF(I$260="","",I$262*VLOOKUP(I$260&amp;" (All)",'Default Values'!$B$162:$CD$181,MATCH($B279,'Default Values'!$B$101:$CD$101,0),0))</f>
        <v/>
      </c>
      <c r="J279" s="346" t="str">
        <f>IF(J$260="","",J$262*VLOOKUP(J$260&amp;" (All)",'Default Values'!$B$162:$CD$181,MATCH($B279,'Default Values'!$B$101:$CD$101,0),0))</f>
        <v/>
      </c>
      <c r="K279" s="346" t="str">
        <f>IF(K$260="","",K$262*VLOOKUP(K$260&amp;" (All)",'Default Values'!$B$162:$CD$181,MATCH($B279,'Default Values'!$B$101:$CD$101,0),0))</f>
        <v/>
      </c>
      <c r="L279" s="346" t="str">
        <f>IF(L$260="","",L$262*VLOOKUP(L$260&amp;" (All)",'Default Values'!$B$162:$CD$181,MATCH($B279,'Default Values'!$B$101:$CD$101,0),0))</f>
        <v/>
      </c>
      <c r="M279" s="346" t="str">
        <f>IF(M$260="","",M$262*VLOOKUP(M$260&amp;" (All)",'Default Values'!$B$162:$CD$181,MATCH($B279,'Default Values'!$B$101:$CD$101,0),0))</f>
        <v/>
      </c>
      <c r="N279" s="346" t="str">
        <f>IF(N$260="","",N$262*VLOOKUP(N$260&amp;" (All)",'Default Values'!$B$162:$CD$181,MATCH($B279,'Default Values'!$B$101:$CD$101,0),0))</f>
        <v/>
      </c>
      <c r="O279" s="346" t="str">
        <f>IF(O$260="","",O$262*VLOOKUP(O$260&amp;" (All)",'Default Values'!$B$162:$CD$181,MATCH($B279,'Default Values'!$B$101:$CD$101,0),0))</f>
        <v/>
      </c>
      <c r="P279" s="346" t="str">
        <f>IF(P$260="","",P$262*VLOOKUP(P$260&amp;" (All)",'Default Values'!$B$162:$CD$181,MATCH($B279,'Default Values'!$B$101:$CD$101,0),0))</f>
        <v/>
      </c>
      <c r="Q279" s="346" t="str">
        <f>IF(Q$260="","",Q$262*VLOOKUP(Q$260&amp;" (All)",'Default Values'!$B$162:$CD$181,MATCH($B279,'Default Values'!$B$101:$CD$101,0),0))</f>
        <v/>
      </c>
      <c r="R279" s="346" t="str">
        <f>IF(R$260="","",R$262*VLOOKUP(R$260&amp;" (All)",'Default Values'!$B$162:$CD$181,MATCH($B279,'Default Values'!$B$101:$CD$101,0),0))</f>
        <v/>
      </c>
      <c r="S279" s="346" t="str">
        <f>IF(S$260="","",S$262*VLOOKUP(S$260&amp;" (All)",'Default Values'!$B$162:$CD$181,MATCH($B279,'Default Values'!$B$101:$CD$101,0),0))</f>
        <v/>
      </c>
      <c r="T279" s="346" t="str">
        <f>IF(T$260="","",T$262*VLOOKUP(T$260&amp;" (All)",'Default Values'!$B$162:$CD$181,MATCH($B279,'Default Values'!$B$101:$CD$101,0),0))</f>
        <v/>
      </c>
      <c r="U279" s="346" t="str">
        <f>IF(U$260="","",U$262*VLOOKUP(U$260&amp;" (All)",'Default Values'!$B$162:$CD$181,MATCH($B279,'Default Values'!$B$101:$CD$101,0),0))</f>
        <v/>
      </c>
      <c r="V279" s="346" t="str">
        <f>IF(V$260="","",V$262*VLOOKUP(V$260&amp;" (All)",'Default Values'!$B$162:$CD$181,MATCH($B279,'Default Values'!$B$101:$CD$101,0),0))</f>
        <v/>
      </c>
      <c r="W279" s="346" t="str">
        <f>IF(W$260="","",W$262*VLOOKUP(W$260&amp;" (All)",'Default Values'!$B$162:$CD$181,MATCH($B279,'Default Values'!$B$101:$CD$101,0),0))</f>
        <v/>
      </c>
      <c r="X279" s="346" t="str">
        <f>IF(X$260="","",X$262*VLOOKUP(X$260&amp;" (All)",'Default Values'!$B$162:$CD$181,MATCH($B279,'Default Values'!$B$101:$CD$101,0),0))</f>
        <v/>
      </c>
      <c r="Y279" s="346" t="str">
        <f>IF(Y$260="","",Y$262*VLOOKUP(Y$260&amp;" (All)",'Default Values'!$B$162:$CD$181,MATCH($B279,'Default Values'!$B$101:$CD$101,0),0))</f>
        <v/>
      </c>
      <c r="Z279" s="346" t="str">
        <f>IF(Z$260="","",Z$262*VLOOKUP(Z$260&amp;" (All)",'Default Values'!$B$162:$CD$181,MATCH($B279,'Default Values'!$B$101:$CD$101,0),0))</f>
        <v/>
      </c>
      <c r="AA279" s="346" t="str">
        <f>IF(AA$260="","",AA$262*VLOOKUP(AA$260&amp;" (All)",'Default Values'!$B$162:$CD$181,MATCH($B279,'Default Values'!$B$101:$CD$101,0),0))</f>
        <v/>
      </c>
      <c r="AB279" s="346" t="str">
        <f>IF(AB$260="","",AB$262*VLOOKUP(AB$260&amp;" (All)",'Default Values'!$B$162:$CD$181,MATCH($B279,'Default Values'!$B$101:$CD$101,0),0))</f>
        <v/>
      </c>
      <c r="AC279" s="346" t="str">
        <f>IF(AC$260="","",AC$262*VLOOKUP(AC$260&amp;" (All)",'Default Values'!$B$162:$CD$181,MATCH($B279,'Default Values'!$B$101:$CD$101,0),0))</f>
        <v/>
      </c>
      <c r="AD279" s="346" t="str">
        <f>IF(AD$260="","",AD$262*VLOOKUP(AD$260&amp;" (All)",'Default Values'!$B$162:$CD$181,MATCH($B279,'Default Values'!$B$101:$CD$101,0),0))</f>
        <v/>
      </c>
      <c r="AE279" s="346" t="str">
        <f>IF(AE$260="","",AE$262*VLOOKUP(AE$260&amp;" (All)",'Default Values'!$B$162:$CD$181,MATCH($B279,'Default Values'!$B$101:$CD$101,0),0))</f>
        <v/>
      </c>
      <c r="AF279" s="346" t="str">
        <f>IF(AF$260="","",AF$262*VLOOKUP(AF$260&amp;" (All)",'Default Values'!$B$162:$CD$181,MATCH($B279,'Default Values'!$B$101:$CD$101,0),0))</f>
        <v/>
      </c>
      <c r="AG279" s="346" t="str">
        <f>IF(AG$260="","",AG$262*VLOOKUP(AG$260&amp;" (All)",'Default Values'!$B$162:$CD$181,MATCH($B279,'Default Values'!$B$101:$CD$101,0),0))</f>
        <v/>
      </c>
      <c r="AH279" s="346" t="str">
        <f>IF(AH$260="","",AH$262*VLOOKUP(AH$260&amp;" (All)",'Default Values'!$B$162:$CD$181,MATCH($B279,'Default Values'!$B$101:$CD$101,0),0))</f>
        <v/>
      </c>
      <c r="AI279" s="346" t="str">
        <f>IF(AI$260="","",AI$262*VLOOKUP(AI$260&amp;" (All)",'Default Values'!$B$162:$CD$181,MATCH($B279,'Default Values'!$B$101:$CD$101,0),0))</f>
        <v/>
      </c>
      <c r="AJ279" s="346" t="str">
        <f>IF(AJ$260="","",AJ$262*VLOOKUP(AJ$260&amp;" (All)",'Default Values'!$B$162:$CD$181,MATCH($B279,'Default Values'!$B$101:$CD$101,0),0))</f>
        <v/>
      </c>
      <c r="AK279" s="346" t="str">
        <f>IF(AK$260="","",AK$262*VLOOKUP(AK$260&amp;" (All)",'Default Values'!$B$162:$CD$181,MATCH($B279,'Default Values'!$B$101:$CD$101,0),0))</f>
        <v/>
      </c>
      <c r="AL279" s="346" t="str">
        <f>IF(AL$260="","",AL$262*VLOOKUP(AL$260&amp;" (All)",'Default Values'!$B$162:$CD$181,MATCH($B279,'Default Values'!$B$101:$CD$101,0),0))</f>
        <v/>
      </c>
      <c r="AM279" s="346" t="str">
        <f>IF(AM$260="","",AM$262*VLOOKUP(AM$260&amp;" (All)",'Default Values'!$B$162:$CD$181,MATCH($B279,'Default Values'!$B$101:$CD$101,0),0))</f>
        <v/>
      </c>
      <c r="AN279" s="346" t="str">
        <f>IF(AN$260="","",AN$262*VLOOKUP(AN$260&amp;" (All)",'Default Values'!$B$162:$CD$181,MATCH($B279,'Default Values'!$B$101:$CD$101,0),0))</f>
        <v/>
      </c>
      <c r="AO279" s="346" t="str">
        <f>IF(AO$260="","",AO$262*VLOOKUP(AO$260&amp;" (All)",'Default Values'!$B$162:$CD$181,MATCH($B279,'Default Values'!$B$101:$CD$101,0),0))</f>
        <v/>
      </c>
      <c r="AP279" s="346" t="str">
        <f>IF(AP$260="","",AP$262*VLOOKUP(AP$260&amp;" (All)",'Default Values'!$B$162:$CD$181,MATCH($B279,'Default Values'!$B$101:$CD$101,0),0))</f>
        <v/>
      </c>
      <c r="AQ279" s="346" t="str">
        <f>IF(AQ$260="","",AQ$262*VLOOKUP(AQ$260&amp;" (All)",'Default Values'!$B$162:$CD$181,MATCH($B279,'Default Values'!$B$101:$CD$101,0),0))</f>
        <v/>
      </c>
      <c r="AR279" s="346">
        <f>IF(AR$260="","",AR$262*VLOOKUP(AR$260&amp;" (All)",'Default Values'!$B$162:$CD$181,MATCH($B279,'Default Values'!$B$101:$CD$101,0),0))</f>
        <v>0</v>
      </c>
      <c r="AS279" s="217"/>
      <c r="AT279" s="217"/>
      <c r="AU279" s="217"/>
      <c r="AV279" s="217"/>
      <c r="AW279" s="217"/>
      <c r="AX279" s="217"/>
      <c r="AY279" s="217"/>
      <c r="AZ279" s="217"/>
      <c r="BA279" s="217"/>
      <c r="BB279" s="217"/>
      <c r="BC279" s="217"/>
      <c r="BD279" s="217"/>
      <c r="BE279" s="217"/>
      <c r="BF279" s="217"/>
      <c r="BG279" s="217"/>
      <c r="BH279" s="217"/>
      <c r="BI279" s="217"/>
      <c r="BJ279" s="217"/>
      <c r="BK279" s="217"/>
      <c r="BL279" s="217"/>
      <c r="BM279" s="217"/>
      <c r="BN279" s="217"/>
      <c r="BO279" s="217"/>
      <c r="BP279" s="217"/>
      <c r="BQ279" s="217"/>
      <c r="BR279" s="217"/>
      <c r="BS279" s="217"/>
      <c r="BT279" s="217"/>
      <c r="BU279" s="217"/>
      <c r="BV279" s="217"/>
      <c r="BW279" s="217"/>
      <c r="BX279" s="217"/>
      <c r="BY279" s="217"/>
      <c r="BZ279" s="217"/>
      <c r="CA279" s="217"/>
      <c r="CB279" s="217"/>
      <c r="CC279" s="217"/>
      <c r="CD279" s="217"/>
      <c r="CE279" s="217"/>
      <c r="CF279" s="217"/>
      <c r="CG279" s="217"/>
      <c r="CH279" s="217"/>
      <c r="CI279" s="217"/>
      <c r="CJ279" s="217"/>
      <c r="CK279" s="217"/>
      <c r="CL279" s="217"/>
      <c r="CM279" s="217"/>
      <c r="CN279" s="217"/>
      <c r="CO279" s="217"/>
      <c r="CP279" s="217"/>
      <c r="CQ279" s="217"/>
      <c r="CR279" s="217"/>
      <c r="CS279" s="217"/>
      <c r="CT279" s="217"/>
      <c r="CU279" s="217"/>
      <c r="CV279" s="217"/>
      <c r="CW279" s="217"/>
      <c r="CX279" s="217"/>
      <c r="CY279" s="217"/>
      <c r="CZ279" s="217"/>
      <c r="DA279" s="217"/>
      <c r="DB279" s="217"/>
      <c r="DC279" s="217"/>
      <c r="DD279" s="217"/>
      <c r="DE279" s="217"/>
      <c r="DF279" s="217"/>
      <c r="DG279" s="217"/>
      <c r="DH279" s="217"/>
      <c r="DI279" s="217"/>
      <c r="DJ279" s="217"/>
      <c r="DK279" s="217"/>
      <c r="DL279" s="217"/>
      <c r="DM279" s="217"/>
      <c r="DN279" s="217"/>
      <c r="DO279" s="217"/>
      <c r="DP279" s="217"/>
      <c r="DQ279" s="217"/>
      <c r="DR279" s="217"/>
      <c r="DS279" s="217"/>
      <c r="DT279" s="217"/>
    </row>
    <row r="280" spans="1:124" x14ac:dyDescent="0.3">
      <c r="A280" s="217"/>
      <c r="B280" s="342" t="s">
        <v>183</v>
      </c>
      <c r="C280" s="345">
        <f t="shared" si="340"/>
        <v>0</v>
      </c>
      <c r="D280" s="346" t="str">
        <f>IF(D$260="","",D$262*VLOOKUP(D$260&amp;" (All)",'Default Values'!$B$162:$CD$181,MATCH($B280,'Default Values'!$B$101:$CD$101,0),0))</f>
        <v/>
      </c>
      <c r="E280" s="346" t="str">
        <f>IF(E$260="","",E$262*VLOOKUP(E$260&amp;" (All)",'Default Values'!$B$162:$CD$181,MATCH($B280,'Default Values'!$B$101:$CD$101,0),0))</f>
        <v/>
      </c>
      <c r="F280" s="346" t="str">
        <f>IF(F$260="","",F$262*VLOOKUP(F$260&amp;" (All)",'Default Values'!$B$162:$CD$181,MATCH($B280,'Default Values'!$B$101:$CD$101,0),0))</f>
        <v/>
      </c>
      <c r="G280" s="346" t="str">
        <f>IF(G$260="","",G$262*VLOOKUP(G$260&amp;" (All)",'Default Values'!$B$162:$CD$181,MATCH($B280,'Default Values'!$B$101:$CD$101,0),0))</f>
        <v/>
      </c>
      <c r="H280" s="346" t="str">
        <f>IF(H$260="","",H$262*VLOOKUP(H$260&amp;" (All)",'Default Values'!$B$162:$CD$181,MATCH($B280,'Default Values'!$B$101:$CD$101,0),0))</f>
        <v/>
      </c>
      <c r="I280" s="346" t="str">
        <f>IF(I$260="","",I$262*VLOOKUP(I$260&amp;" (All)",'Default Values'!$B$162:$CD$181,MATCH($B280,'Default Values'!$B$101:$CD$101,0),0))</f>
        <v/>
      </c>
      <c r="J280" s="346" t="str">
        <f>IF(J$260="","",J$262*VLOOKUP(J$260&amp;" (All)",'Default Values'!$B$162:$CD$181,MATCH($B280,'Default Values'!$B$101:$CD$101,0),0))</f>
        <v/>
      </c>
      <c r="K280" s="346" t="str">
        <f>IF(K$260="","",K$262*VLOOKUP(K$260&amp;" (All)",'Default Values'!$B$162:$CD$181,MATCH($B280,'Default Values'!$B$101:$CD$101,0),0))</f>
        <v/>
      </c>
      <c r="L280" s="346" t="str">
        <f>IF(L$260="","",L$262*VLOOKUP(L$260&amp;" (All)",'Default Values'!$B$162:$CD$181,MATCH($B280,'Default Values'!$B$101:$CD$101,0),0))</f>
        <v/>
      </c>
      <c r="M280" s="346" t="str">
        <f>IF(M$260="","",M$262*VLOOKUP(M$260&amp;" (All)",'Default Values'!$B$162:$CD$181,MATCH($B280,'Default Values'!$B$101:$CD$101,0),0))</f>
        <v/>
      </c>
      <c r="N280" s="346" t="str">
        <f>IF(N$260="","",N$262*VLOOKUP(N$260&amp;" (All)",'Default Values'!$B$162:$CD$181,MATCH($B280,'Default Values'!$B$101:$CD$101,0),0))</f>
        <v/>
      </c>
      <c r="O280" s="346" t="str">
        <f>IF(O$260="","",O$262*VLOOKUP(O$260&amp;" (All)",'Default Values'!$B$162:$CD$181,MATCH($B280,'Default Values'!$B$101:$CD$101,0),0))</f>
        <v/>
      </c>
      <c r="P280" s="346" t="str">
        <f>IF(P$260="","",P$262*VLOOKUP(P$260&amp;" (All)",'Default Values'!$B$162:$CD$181,MATCH($B280,'Default Values'!$B$101:$CD$101,0),0))</f>
        <v/>
      </c>
      <c r="Q280" s="346" t="str">
        <f>IF(Q$260="","",Q$262*VLOOKUP(Q$260&amp;" (All)",'Default Values'!$B$162:$CD$181,MATCH($B280,'Default Values'!$B$101:$CD$101,0),0))</f>
        <v/>
      </c>
      <c r="R280" s="346" t="str">
        <f>IF(R$260="","",R$262*VLOOKUP(R$260&amp;" (All)",'Default Values'!$B$162:$CD$181,MATCH($B280,'Default Values'!$B$101:$CD$101,0),0))</f>
        <v/>
      </c>
      <c r="S280" s="346" t="str">
        <f>IF(S$260="","",S$262*VLOOKUP(S$260&amp;" (All)",'Default Values'!$B$162:$CD$181,MATCH($B280,'Default Values'!$B$101:$CD$101,0),0))</f>
        <v/>
      </c>
      <c r="T280" s="346" t="str">
        <f>IF(T$260="","",T$262*VLOOKUP(T$260&amp;" (All)",'Default Values'!$B$162:$CD$181,MATCH($B280,'Default Values'!$B$101:$CD$101,0),0))</f>
        <v/>
      </c>
      <c r="U280" s="346" t="str">
        <f>IF(U$260="","",U$262*VLOOKUP(U$260&amp;" (All)",'Default Values'!$B$162:$CD$181,MATCH($B280,'Default Values'!$B$101:$CD$101,0),0))</f>
        <v/>
      </c>
      <c r="V280" s="346" t="str">
        <f>IF(V$260="","",V$262*VLOOKUP(V$260&amp;" (All)",'Default Values'!$B$162:$CD$181,MATCH($B280,'Default Values'!$B$101:$CD$101,0),0))</f>
        <v/>
      </c>
      <c r="W280" s="346" t="str">
        <f>IF(W$260="","",W$262*VLOOKUP(W$260&amp;" (All)",'Default Values'!$B$162:$CD$181,MATCH($B280,'Default Values'!$B$101:$CD$101,0),0))</f>
        <v/>
      </c>
      <c r="X280" s="346" t="str">
        <f>IF(X$260="","",X$262*VLOOKUP(X$260&amp;" (All)",'Default Values'!$B$162:$CD$181,MATCH($B280,'Default Values'!$B$101:$CD$101,0),0))</f>
        <v/>
      </c>
      <c r="Y280" s="346" t="str">
        <f>IF(Y$260="","",Y$262*VLOOKUP(Y$260&amp;" (All)",'Default Values'!$B$162:$CD$181,MATCH($B280,'Default Values'!$B$101:$CD$101,0),0))</f>
        <v/>
      </c>
      <c r="Z280" s="346" t="str">
        <f>IF(Z$260="","",Z$262*VLOOKUP(Z$260&amp;" (All)",'Default Values'!$B$162:$CD$181,MATCH($B280,'Default Values'!$B$101:$CD$101,0),0))</f>
        <v/>
      </c>
      <c r="AA280" s="346" t="str">
        <f>IF(AA$260="","",AA$262*VLOOKUP(AA$260&amp;" (All)",'Default Values'!$B$162:$CD$181,MATCH($B280,'Default Values'!$B$101:$CD$101,0),0))</f>
        <v/>
      </c>
      <c r="AB280" s="346" t="str">
        <f>IF(AB$260="","",AB$262*VLOOKUP(AB$260&amp;" (All)",'Default Values'!$B$162:$CD$181,MATCH($B280,'Default Values'!$B$101:$CD$101,0),0))</f>
        <v/>
      </c>
      <c r="AC280" s="346" t="str">
        <f>IF(AC$260="","",AC$262*VLOOKUP(AC$260&amp;" (All)",'Default Values'!$B$162:$CD$181,MATCH($B280,'Default Values'!$B$101:$CD$101,0),0))</f>
        <v/>
      </c>
      <c r="AD280" s="346" t="str">
        <f>IF(AD$260="","",AD$262*VLOOKUP(AD$260&amp;" (All)",'Default Values'!$B$162:$CD$181,MATCH($B280,'Default Values'!$B$101:$CD$101,0),0))</f>
        <v/>
      </c>
      <c r="AE280" s="346" t="str">
        <f>IF(AE$260="","",AE$262*VLOOKUP(AE$260&amp;" (All)",'Default Values'!$B$162:$CD$181,MATCH($B280,'Default Values'!$B$101:$CD$101,0),0))</f>
        <v/>
      </c>
      <c r="AF280" s="346" t="str">
        <f>IF(AF$260="","",AF$262*VLOOKUP(AF$260&amp;" (All)",'Default Values'!$B$162:$CD$181,MATCH($B280,'Default Values'!$B$101:$CD$101,0),0))</f>
        <v/>
      </c>
      <c r="AG280" s="346" t="str">
        <f>IF(AG$260="","",AG$262*VLOOKUP(AG$260&amp;" (All)",'Default Values'!$B$162:$CD$181,MATCH($B280,'Default Values'!$B$101:$CD$101,0),0))</f>
        <v/>
      </c>
      <c r="AH280" s="346" t="str">
        <f>IF(AH$260="","",AH$262*VLOOKUP(AH$260&amp;" (All)",'Default Values'!$B$162:$CD$181,MATCH($B280,'Default Values'!$B$101:$CD$101,0),0))</f>
        <v/>
      </c>
      <c r="AI280" s="346" t="str">
        <f>IF(AI$260="","",AI$262*VLOOKUP(AI$260&amp;" (All)",'Default Values'!$B$162:$CD$181,MATCH($B280,'Default Values'!$B$101:$CD$101,0),0))</f>
        <v/>
      </c>
      <c r="AJ280" s="346" t="str">
        <f>IF(AJ$260="","",AJ$262*VLOOKUP(AJ$260&amp;" (All)",'Default Values'!$B$162:$CD$181,MATCH($B280,'Default Values'!$B$101:$CD$101,0),0))</f>
        <v/>
      </c>
      <c r="AK280" s="346" t="str">
        <f>IF(AK$260="","",AK$262*VLOOKUP(AK$260&amp;" (All)",'Default Values'!$B$162:$CD$181,MATCH($B280,'Default Values'!$B$101:$CD$101,0),0))</f>
        <v/>
      </c>
      <c r="AL280" s="346" t="str">
        <f>IF(AL$260="","",AL$262*VLOOKUP(AL$260&amp;" (All)",'Default Values'!$B$162:$CD$181,MATCH($B280,'Default Values'!$B$101:$CD$101,0),0))</f>
        <v/>
      </c>
      <c r="AM280" s="346" t="str">
        <f>IF(AM$260="","",AM$262*VLOOKUP(AM$260&amp;" (All)",'Default Values'!$B$162:$CD$181,MATCH($B280,'Default Values'!$B$101:$CD$101,0),0))</f>
        <v/>
      </c>
      <c r="AN280" s="346" t="str">
        <f>IF(AN$260="","",AN$262*VLOOKUP(AN$260&amp;" (All)",'Default Values'!$B$162:$CD$181,MATCH($B280,'Default Values'!$B$101:$CD$101,0),0))</f>
        <v/>
      </c>
      <c r="AO280" s="346" t="str">
        <f>IF(AO$260="","",AO$262*VLOOKUP(AO$260&amp;" (All)",'Default Values'!$B$162:$CD$181,MATCH($B280,'Default Values'!$B$101:$CD$101,0),0))</f>
        <v/>
      </c>
      <c r="AP280" s="346" t="str">
        <f>IF(AP$260="","",AP$262*VLOOKUP(AP$260&amp;" (All)",'Default Values'!$B$162:$CD$181,MATCH($B280,'Default Values'!$B$101:$CD$101,0),0))</f>
        <v/>
      </c>
      <c r="AQ280" s="346" t="str">
        <f>IF(AQ$260="","",AQ$262*VLOOKUP(AQ$260&amp;" (All)",'Default Values'!$B$162:$CD$181,MATCH($B280,'Default Values'!$B$101:$CD$101,0),0))</f>
        <v/>
      </c>
      <c r="AR280" s="346">
        <f>IF(AR$260="","",AR$262*VLOOKUP(AR$260&amp;" (All)",'Default Values'!$B$162:$CD$181,MATCH($B280,'Default Values'!$B$101:$CD$101,0),0))</f>
        <v>0</v>
      </c>
      <c r="AS280" s="217"/>
      <c r="AT280" s="217"/>
      <c r="AU280" s="217"/>
      <c r="AV280" s="217"/>
      <c r="AW280" s="217"/>
      <c r="AX280" s="217"/>
      <c r="AY280" s="217"/>
      <c r="AZ280" s="217"/>
      <c r="BA280" s="217"/>
      <c r="BB280" s="217"/>
      <c r="BC280" s="217"/>
      <c r="BD280" s="217"/>
      <c r="BE280" s="217"/>
      <c r="BF280" s="217"/>
      <c r="BG280" s="217"/>
      <c r="BH280" s="217"/>
      <c r="BI280" s="217"/>
      <c r="BJ280" s="217"/>
      <c r="BK280" s="217"/>
      <c r="BL280" s="217"/>
      <c r="BM280" s="217"/>
      <c r="BN280" s="217"/>
      <c r="BO280" s="217"/>
      <c r="BP280" s="217"/>
      <c r="BQ280" s="217"/>
      <c r="BR280" s="217"/>
      <c r="BS280" s="217"/>
      <c r="BT280" s="217"/>
      <c r="BU280" s="217"/>
      <c r="BV280" s="217"/>
      <c r="BW280" s="217"/>
      <c r="BX280" s="217"/>
      <c r="BY280" s="217"/>
      <c r="BZ280" s="217"/>
      <c r="CA280" s="217"/>
      <c r="CB280" s="217"/>
      <c r="CC280" s="217"/>
      <c r="CD280" s="217"/>
      <c r="CE280" s="217"/>
      <c r="CF280" s="217"/>
      <c r="CG280" s="217"/>
      <c r="CH280" s="217"/>
      <c r="CI280" s="217"/>
      <c r="CJ280" s="217"/>
      <c r="CK280" s="217"/>
      <c r="CL280" s="217"/>
      <c r="CM280" s="217"/>
      <c r="CN280" s="217"/>
      <c r="CO280" s="217"/>
      <c r="CP280" s="217"/>
      <c r="CQ280" s="217"/>
      <c r="CR280" s="217"/>
      <c r="CS280" s="217"/>
      <c r="CT280" s="217"/>
      <c r="CU280" s="217"/>
      <c r="CV280" s="217"/>
      <c r="CW280" s="217"/>
      <c r="CX280" s="217"/>
      <c r="CY280" s="217"/>
      <c r="CZ280" s="217"/>
      <c r="DA280" s="217"/>
      <c r="DB280" s="217"/>
      <c r="DC280" s="217"/>
      <c r="DD280" s="217"/>
      <c r="DE280" s="217"/>
      <c r="DF280" s="217"/>
      <c r="DG280" s="217"/>
      <c r="DH280" s="217"/>
      <c r="DI280" s="217"/>
      <c r="DJ280" s="217"/>
      <c r="DK280" s="217"/>
      <c r="DL280" s="217"/>
      <c r="DM280" s="217"/>
      <c r="DN280" s="217"/>
      <c r="DO280" s="217"/>
      <c r="DP280" s="217"/>
      <c r="DQ280" s="217"/>
      <c r="DR280" s="217"/>
      <c r="DS280" s="217"/>
      <c r="DT280" s="217"/>
    </row>
    <row r="281" spans="1:124" x14ac:dyDescent="0.3">
      <c r="A281" s="217"/>
      <c r="B281" s="342" t="s">
        <v>184</v>
      </c>
      <c r="C281" s="345">
        <f t="shared" si="340"/>
        <v>0</v>
      </c>
      <c r="D281" s="346" t="str">
        <f>IF(D$260="","",D$262*VLOOKUP(D$260&amp;" (All)",'Default Values'!$B$162:$CD$181,MATCH($B281,'Default Values'!$B$101:$CD$101,0),0))</f>
        <v/>
      </c>
      <c r="E281" s="346" t="str">
        <f>IF(E$260="","",E$262*VLOOKUP(E$260&amp;" (All)",'Default Values'!$B$162:$CD$181,MATCH($B281,'Default Values'!$B$101:$CD$101,0),0))</f>
        <v/>
      </c>
      <c r="F281" s="346" t="str">
        <f>IF(F$260="","",F$262*VLOOKUP(F$260&amp;" (All)",'Default Values'!$B$162:$CD$181,MATCH($B281,'Default Values'!$B$101:$CD$101,0),0))</f>
        <v/>
      </c>
      <c r="G281" s="346" t="str">
        <f>IF(G$260="","",G$262*VLOOKUP(G$260&amp;" (All)",'Default Values'!$B$162:$CD$181,MATCH($B281,'Default Values'!$B$101:$CD$101,0),0))</f>
        <v/>
      </c>
      <c r="H281" s="346" t="str">
        <f>IF(H$260="","",H$262*VLOOKUP(H$260&amp;" (All)",'Default Values'!$B$162:$CD$181,MATCH($B281,'Default Values'!$B$101:$CD$101,0),0))</f>
        <v/>
      </c>
      <c r="I281" s="346" t="str">
        <f>IF(I$260="","",I$262*VLOOKUP(I$260&amp;" (All)",'Default Values'!$B$162:$CD$181,MATCH($B281,'Default Values'!$B$101:$CD$101,0),0))</f>
        <v/>
      </c>
      <c r="J281" s="346" t="str">
        <f>IF(J$260="","",J$262*VLOOKUP(J$260&amp;" (All)",'Default Values'!$B$162:$CD$181,MATCH($B281,'Default Values'!$B$101:$CD$101,0),0))</f>
        <v/>
      </c>
      <c r="K281" s="346" t="str">
        <f>IF(K$260="","",K$262*VLOOKUP(K$260&amp;" (All)",'Default Values'!$B$162:$CD$181,MATCH($B281,'Default Values'!$B$101:$CD$101,0),0))</f>
        <v/>
      </c>
      <c r="L281" s="346" t="str">
        <f>IF(L$260="","",L$262*VLOOKUP(L$260&amp;" (All)",'Default Values'!$B$162:$CD$181,MATCH($B281,'Default Values'!$B$101:$CD$101,0),0))</f>
        <v/>
      </c>
      <c r="M281" s="346" t="str">
        <f>IF(M$260="","",M$262*VLOOKUP(M$260&amp;" (All)",'Default Values'!$B$162:$CD$181,MATCH($B281,'Default Values'!$B$101:$CD$101,0),0))</f>
        <v/>
      </c>
      <c r="N281" s="346" t="str">
        <f>IF(N$260="","",N$262*VLOOKUP(N$260&amp;" (All)",'Default Values'!$B$162:$CD$181,MATCH($B281,'Default Values'!$B$101:$CD$101,0),0))</f>
        <v/>
      </c>
      <c r="O281" s="346" t="str">
        <f>IF(O$260="","",O$262*VLOOKUP(O$260&amp;" (All)",'Default Values'!$B$162:$CD$181,MATCH($B281,'Default Values'!$B$101:$CD$101,0),0))</f>
        <v/>
      </c>
      <c r="P281" s="346" t="str">
        <f>IF(P$260="","",P$262*VLOOKUP(P$260&amp;" (All)",'Default Values'!$B$162:$CD$181,MATCH($B281,'Default Values'!$B$101:$CD$101,0),0))</f>
        <v/>
      </c>
      <c r="Q281" s="346" t="str">
        <f>IF(Q$260="","",Q$262*VLOOKUP(Q$260&amp;" (All)",'Default Values'!$B$162:$CD$181,MATCH($B281,'Default Values'!$B$101:$CD$101,0),0))</f>
        <v/>
      </c>
      <c r="R281" s="346" t="str">
        <f>IF(R$260="","",R$262*VLOOKUP(R$260&amp;" (All)",'Default Values'!$B$162:$CD$181,MATCH($B281,'Default Values'!$B$101:$CD$101,0),0))</f>
        <v/>
      </c>
      <c r="S281" s="346" t="str">
        <f>IF(S$260="","",S$262*VLOOKUP(S$260&amp;" (All)",'Default Values'!$B$162:$CD$181,MATCH($B281,'Default Values'!$B$101:$CD$101,0),0))</f>
        <v/>
      </c>
      <c r="T281" s="346" t="str">
        <f>IF(T$260="","",T$262*VLOOKUP(T$260&amp;" (All)",'Default Values'!$B$162:$CD$181,MATCH($B281,'Default Values'!$B$101:$CD$101,0),0))</f>
        <v/>
      </c>
      <c r="U281" s="346" t="str">
        <f>IF(U$260="","",U$262*VLOOKUP(U$260&amp;" (All)",'Default Values'!$B$162:$CD$181,MATCH($B281,'Default Values'!$B$101:$CD$101,0),0))</f>
        <v/>
      </c>
      <c r="V281" s="346" t="str">
        <f>IF(V$260="","",V$262*VLOOKUP(V$260&amp;" (All)",'Default Values'!$B$162:$CD$181,MATCH($B281,'Default Values'!$B$101:$CD$101,0),0))</f>
        <v/>
      </c>
      <c r="W281" s="346" t="str">
        <f>IF(W$260="","",W$262*VLOOKUP(W$260&amp;" (All)",'Default Values'!$B$162:$CD$181,MATCH($B281,'Default Values'!$B$101:$CD$101,0),0))</f>
        <v/>
      </c>
      <c r="X281" s="346" t="str">
        <f>IF(X$260="","",X$262*VLOOKUP(X$260&amp;" (All)",'Default Values'!$B$162:$CD$181,MATCH($B281,'Default Values'!$B$101:$CD$101,0),0))</f>
        <v/>
      </c>
      <c r="Y281" s="346" t="str">
        <f>IF(Y$260="","",Y$262*VLOOKUP(Y$260&amp;" (All)",'Default Values'!$B$162:$CD$181,MATCH($B281,'Default Values'!$B$101:$CD$101,0),0))</f>
        <v/>
      </c>
      <c r="Z281" s="346" t="str">
        <f>IF(Z$260="","",Z$262*VLOOKUP(Z$260&amp;" (All)",'Default Values'!$B$162:$CD$181,MATCH($B281,'Default Values'!$B$101:$CD$101,0),0))</f>
        <v/>
      </c>
      <c r="AA281" s="346" t="str">
        <f>IF(AA$260="","",AA$262*VLOOKUP(AA$260&amp;" (All)",'Default Values'!$B$162:$CD$181,MATCH($B281,'Default Values'!$B$101:$CD$101,0),0))</f>
        <v/>
      </c>
      <c r="AB281" s="346" t="str">
        <f>IF(AB$260="","",AB$262*VLOOKUP(AB$260&amp;" (All)",'Default Values'!$B$162:$CD$181,MATCH($B281,'Default Values'!$B$101:$CD$101,0),0))</f>
        <v/>
      </c>
      <c r="AC281" s="346" t="str">
        <f>IF(AC$260="","",AC$262*VLOOKUP(AC$260&amp;" (All)",'Default Values'!$B$162:$CD$181,MATCH($B281,'Default Values'!$B$101:$CD$101,0),0))</f>
        <v/>
      </c>
      <c r="AD281" s="346" t="str">
        <f>IF(AD$260="","",AD$262*VLOOKUP(AD$260&amp;" (All)",'Default Values'!$B$162:$CD$181,MATCH($B281,'Default Values'!$B$101:$CD$101,0),0))</f>
        <v/>
      </c>
      <c r="AE281" s="346" t="str">
        <f>IF(AE$260="","",AE$262*VLOOKUP(AE$260&amp;" (All)",'Default Values'!$B$162:$CD$181,MATCH($B281,'Default Values'!$B$101:$CD$101,0),0))</f>
        <v/>
      </c>
      <c r="AF281" s="346" t="str">
        <f>IF(AF$260="","",AF$262*VLOOKUP(AF$260&amp;" (All)",'Default Values'!$B$162:$CD$181,MATCH($B281,'Default Values'!$B$101:$CD$101,0),0))</f>
        <v/>
      </c>
      <c r="AG281" s="346" t="str">
        <f>IF(AG$260="","",AG$262*VLOOKUP(AG$260&amp;" (All)",'Default Values'!$B$162:$CD$181,MATCH($B281,'Default Values'!$B$101:$CD$101,0),0))</f>
        <v/>
      </c>
      <c r="AH281" s="346" t="str">
        <f>IF(AH$260="","",AH$262*VLOOKUP(AH$260&amp;" (All)",'Default Values'!$B$162:$CD$181,MATCH($B281,'Default Values'!$B$101:$CD$101,0),0))</f>
        <v/>
      </c>
      <c r="AI281" s="346" t="str">
        <f>IF(AI$260="","",AI$262*VLOOKUP(AI$260&amp;" (All)",'Default Values'!$B$162:$CD$181,MATCH($B281,'Default Values'!$B$101:$CD$101,0),0))</f>
        <v/>
      </c>
      <c r="AJ281" s="346" t="str">
        <f>IF(AJ$260="","",AJ$262*VLOOKUP(AJ$260&amp;" (All)",'Default Values'!$B$162:$CD$181,MATCH($B281,'Default Values'!$B$101:$CD$101,0),0))</f>
        <v/>
      </c>
      <c r="AK281" s="346" t="str">
        <f>IF(AK$260="","",AK$262*VLOOKUP(AK$260&amp;" (All)",'Default Values'!$B$162:$CD$181,MATCH($B281,'Default Values'!$B$101:$CD$101,0),0))</f>
        <v/>
      </c>
      <c r="AL281" s="346" t="str">
        <f>IF(AL$260="","",AL$262*VLOOKUP(AL$260&amp;" (All)",'Default Values'!$B$162:$CD$181,MATCH($B281,'Default Values'!$B$101:$CD$101,0),0))</f>
        <v/>
      </c>
      <c r="AM281" s="346" t="str">
        <f>IF(AM$260="","",AM$262*VLOOKUP(AM$260&amp;" (All)",'Default Values'!$B$162:$CD$181,MATCH($B281,'Default Values'!$B$101:$CD$101,0),0))</f>
        <v/>
      </c>
      <c r="AN281" s="346" t="str">
        <f>IF(AN$260="","",AN$262*VLOOKUP(AN$260&amp;" (All)",'Default Values'!$B$162:$CD$181,MATCH($B281,'Default Values'!$B$101:$CD$101,0),0))</f>
        <v/>
      </c>
      <c r="AO281" s="346" t="str">
        <f>IF(AO$260="","",AO$262*VLOOKUP(AO$260&amp;" (All)",'Default Values'!$B$162:$CD$181,MATCH($B281,'Default Values'!$B$101:$CD$101,0),0))</f>
        <v/>
      </c>
      <c r="AP281" s="346" t="str">
        <f>IF(AP$260="","",AP$262*VLOOKUP(AP$260&amp;" (All)",'Default Values'!$B$162:$CD$181,MATCH($B281,'Default Values'!$B$101:$CD$101,0),0))</f>
        <v/>
      </c>
      <c r="AQ281" s="346" t="str">
        <f>IF(AQ$260="","",AQ$262*VLOOKUP(AQ$260&amp;" (All)",'Default Values'!$B$162:$CD$181,MATCH($B281,'Default Values'!$B$101:$CD$101,0),0))</f>
        <v/>
      </c>
      <c r="AR281" s="346">
        <f>IF(AR$260="","",AR$262*VLOOKUP(AR$260&amp;" (All)",'Default Values'!$B$162:$CD$181,MATCH($B281,'Default Values'!$B$101:$CD$101,0),0))</f>
        <v>0</v>
      </c>
      <c r="AS281" s="217"/>
      <c r="AT281" s="217"/>
      <c r="AU281" s="217"/>
      <c r="AV281" s="217"/>
      <c r="AW281" s="217"/>
      <c r="AX281" s="217"/>
      <c r="AY281" s="217"/>
      <c r="AZ281" s="217"/>
      <c r="BA281" s="217"/>
      <c r="BB281" s="217"/>
      <c r="BC281" s="217"/>
      <c r="BD281" s="217"/>
      <c r="BE281" s="217"/>
      <c r="BF281" s="217"/>
      <c r="BG281" s="217"/>
      <c r="BH281" s="217"/>
      <c r="BI281" s="217"/>
      <c r="BJ281" s="217"/>
      <c r="BK281" s="217"/>
      <c r="BL281" s="217"/>
      <c r="BM281" s="217"/>
      <c r="BN281" s="217"/>
      <c r="BO281" s="217"/>
      <c r="BP281" s="217"/>
      <c r="BQ281" s="217"/>
      <c r="BR281" s="217"/>
      <c r="BS281" s="217"/>
      <c r="BT281" s="217"/>
      <c r="BU281" s="217"/>
      <c r="BV281" s="217"/>
      <c r="BW281" s="217"/>
      <c r="BX281" s="217"/>
      <c r="BY281" s="217"/>
      <c r="BZ281" s="217"/>
      <c r="CA281" s="217"/>
      <c r="CB281" s="217"/>
      <c r="CC281" s="217"/>
      <c r="CD281" s="217"/>
      <c r="CE281" s="217"/>
      <c r="CF281" s="217"/>
      <c r="CG281" s="217"/>
      <c r="CH281" s="217"/>
      <c r="CI281" s="217"/>
      <c r="CJ281" s="217"/>
      <c r="CK281" s="217"/>
      <c r="CL281" s="217"/>
      <c r="CM281" s="217"/>
      <c r="CN281" s="217"/>
      <c r="CO281" s="217"/>
      <c r="CP281" s="217"/>
      <c r="CQ281" s="217"/>
      <c r="CR281" s="217"/>
      <c r="CS281" s="217"/>
      <c r="CT281" s="217"/>
      <c r="CU281" s="217"/>
      <c r="CV281" s="217"/>
      <c r="CW281" s="217"/>
      <c r="CX281" s="217"/>
      <c r="CY281" s="217"/>
      <c r="CZ281" s="217"/>
      <c r="DA281" s="217"/>
      <c r="DB281" s="217"/>
      <c r="DC281" s="217"/>
      <c r="DD281" s="217"/>
      <c r="DE281" s="217"/>
      <c r="DF281" s="217"/>
      <c r="DG281" s="217"/>
      <c r="DH281" s="217"/>
      <c r="DI281" s="217"/>
      <c r="DJ281" s="217"/>
      <c r="DK281" s="217"/>
      <c r="DL281" s="217"/>
      <c r="DM281" s="217"/>
      <c r="DN281" s="217"/>
      <c r="DO281" s="217"/>
      <c r="DP281" s="217"/>
      <c r="DQ281" s="217"/>
      <c r="DR281" s="217"/>
      <c r="DS281" s="217"/>
      <c r="DT281" s="217"/>
    </row>
    <row r="282" spans="1:124" x14ac:dyDescent="0.3">
      <c r="A282" s="217"/>
      <c r="B282" s="342" t="s">
        <v>185</v>
      </c>
      <c r="C282" s="345">
        <f t="shared" si="340"/>
        <v>0</v>
      </c>
      <c r="D282" s="346" t="str">
        <f>IF(D$260="","",D$262*VLOOKUP(D$260&amp;" (All)",'Default Values'!$B$162:$CD$181,MATCH($B282,'Default Values'!$B$101:$CD$101,0),0))</f>
        <v/>
      </c>
      <c r="E282" s="346" t="str">
        <f>IF(E$260="","",E$262*VLOOKUP(E$260&amp;" (All)",'Default Values'!$B$162:$CD$181,MATCH($B282,'Default Values'!$B$101:$CD$101,0),0))</f>
        <v/>
      </c>
      <c r="F282" s="346" t="str">
        <f>IF(F$260="","",F$262*VLOOKUP(F$260&amp;" (All)",'Default Values'!$B$162:$CD$181,MATCH($B282,'Default Values'!$B$101:$CD$101,0),0))</f>
        <v/>
      </c>
      <c r="G282" s="346" t="str">
        <f>IF(G$260="","",G$262*VLOOKUP(G$260&amp;" (All)",'Default Values'!$B$162:$CD$181,MATCH($B282,'Default Values'!$B$101:$CD$101,0),0))</f>
        <v/>
      </c>
      <c r="H282" s="346" t="str">
        <f>IF(H$260="","",H$262*VLOOKUP(H$260&amp;" (All)",'Default Values'!$B$162:$CD$181,MATCH($B282,'Default Values'!$B$101:$CD$101,0),0))</f>
        <v/>
      </c>
      <c r="I282" s="346" t="str">
        <f>IF(I$260="","",I$262*VLOOKUP(I$260&amp;" (All)",'Default Values'!$B$162:$CD$181,MATCH($B282,'Default Values'!$B$101:$CD$101,0),0))</f>
        <v/>
      </c>
      <c r="J282" s="346" t="str">
        <f>IF(J$260="","",J$262*VLOOKUP(J$260&amp;" (All)",'Default Values'!$B$162:$CD$181,MATCH($B282,'Default Values'!$B$101:$CD$101,0),0))</f>
        <v/>
      </c>
      <c r="K282" s="346" t="str">
        <f>IF(K$260="","",K$262*VLOOKUP(K$260&amp;" (All)",'Default Values'!$B$162:$CD$181,MATCH($B282,'Default Values'!$B$101:$CD$101,0),0))</f>
        <v/>
      </c>
      <c r="L282" s="346" t="str">
        <f>IF(L$260="","",L$262*VLOOKUP(L$260&amp;" (All)",'Default Values'!$B$162:$CD$181,MATCH($B282,'Default Values'!$B$101:$CD$101,0),0))</f>
        <v/>
      </c>
      <c r="M282" s="346" t="str">
        <f>IF(M$260="","",M$262*VLOOKUP(M$260&amp;" (All)",'Default Values'!$B$162:$CD$181,MATCH($B282,'Default Values'!$B$101:$CD$101,0),0))</f>
        <v/>
      </c>
      <c r="N282" s="346" t="str">
        <f>IF(N$260="","",N$262*VLOOKUP(N$260&amp;" (All)",'Default Values'!$B$162:$CD$181,MATCH($B282,'Default Values'!$B$101:$CD$101,0),0))</f>
        <v/>
      </c>
      <c r="O282" s="346" t="str">
        <f>IF(O$260="","",O$262*VLOOKUP(O$260&amp;" (All)",'Default Values'!$B$162:$CD$181,MATCH($B282,'Default Values'!$B$101:$CD$101,0),0))</f>
        <v/>
      </c>
      <c r="P282" s="346" t="str">
        <f>IF(P$260="","",P$262*VLOOKUP(P$260&amp;" (All)",'Default Values'!$B$162:$CD$181,MATCH($B282,'Default Values'!$B$101:$CD$101,0),0))</f>
        <v/>
      </c>
      <c r="Q282" s="346" t="str">
        <f>IF(Q$260="","",Q$262*VLOOKUP(Q$260&amp;" (All)",'Default Values'!$B$162:$CD$181,MATCH($B282,'Default Values'!$B$101:$CD$101,0),0))</f>
        <v/>
      </c>
      <c r="R282" s="346" t="str">
        <f>IF(R$260="","",R$262*VLOOKUP(R$260&amp;" (All)",'Default Values'!$B$162:$CD$181,MATCH($B282,'Default Values'!$B$101:$CD$101,0),0))</f>
        <v/>
      </c>
      <c r="S282" s="346" t="str">
        <f>IF(S$260="","",S$262*VLOOKUP(S$260&amp;" (All)",'Default Values'!$B$162:$CD$181,MATCH($B282,'Default Values'!$B$101:$CD$101,0),0))</f>
        <v/>
      </c>
      <c r="T282" s="346" t="str">
        <f>IF(T$260="","",T$262*VLOOKUP(T$260&amp;" (All)",'Default Values'!$B$162:$CD$181,MATCH($B282,'Default Values'!$B$101:$CD$101,0),0))</f>
        <v/>
      </c>
      <c r="U282" s="346" t="str">
        <f>IF(U$260="","",U$262*VLOOKUP(U$260&amp;" (All)",'Default Values'!$B$162:$CD$181,MATCH($B282,'Default Values'!$B$101:$CD$101,0),0))</f>
        <v/>
      </c>
      <c r="V282" s="346" t="str">
        <f>IF(V$260="","",V$262*VLOOKUP(V$260&amp;" (All)",'Default Values'!$B$162:$CD$181,MATCH($B282,'Default Values'!$B$101:$CD$101,0),0))</f>
        <v/>
      </c>
      <c r="W282" s="346" t="str">
        <f>IF(W$260="","",W$262*VLOOKUP(W$260&amp;" (All)",'Default Values'!$B$162:$CD$181,MATCH($B282,'Default Values'!$B$101:$CD$101,0),0))</f>
        <v/>
      </c>
      <c r="X282" s="346" t="str">
        <f>IF(X$260="","",X$262*VLOOKUP(X$260&amp;" (All)",'Default Values'!$B$162:$CD$181,MATCH($B282,'Default Values'!$B$101:$CD$101,0),0))</f>
        <v/>
      </c>
      <c r="Y282" s="346" t="str">
        <f>IF(Y$260="","",Y$262*VLOOKUP(Y$260&amp;" (All)",'Default Values'!$B$162:$CD$181,MATCH($B282,'Default Values'!$B$101:$CD$101,0),0))</f>
        <v/>
      </c>
      <c r="Z282" s="346" t="str">
        <f>IF(Z$260="","",Z$262*VLOOKUP(Z$260&amp;" (All)",'Default Values'!$B$162:$CD$181,MATCH($B282,'Default Values'!$B$101:$CD$101,0),0))</f>
        <v/>
      </c>
      <c r="AA282" s="346" t="str">
        <f>IF(AA$260="","",AA$262*VLOOKUP(AA$260&amp;" (All)",'Default Values'!$B$162:$CD$181,MATCH($B282,'Default Values'!$B$101:$CD$101,0),0))</f>
        <v/>
      </c>
      <c r="AB282" s="346" t="str">
        <f>IF(AB$260="","",AB$262*VLOOKUP(AB$260&amp;" (All)",'Default Values'!$B$162:$CD$181,MATCH($B282,'Default Values'!$B$101:$CD$101,0),0))</f>
        <v/>
      </c>
      <c r="AC282" s="346" t="str">
        <f>IF(AC$260="","",AC$262*VLOOKUP(AC$260&amp;" (All)",'Default Values'!$B$162:$CD$181,MATCH($B282,'Default Values'!$B$101:$CD$101,0),0))</f>
        <v/>
      </c>
      <c r="AD282" s="346" t="str">
        <f>IF(AD$260="","",AD$262*VLOOKUP(AD$260&amp;" (All)",'Default Values'!$B$162:$CD$181,MATCH($B282,'Default Values'!$B$101:$CD$101,0),0))</f>
        <v/>
      </c>
      <c r="AE282" s="346" t="str">
        <f>IF(AE$260="","",AE$262*VLOOKUP(AE$260&amp;" (All)",'Default Values'!$B$162:$CD$181,MATCH($B282,'Default Values'!$B$101:$CD$101,0),0))</f>
        <v/>
      </c>
      <c r="AF282" s="346" t="str">
        <f>IF(AF$260="","",AF$262*VLOOKUP(AF$260&amp;" (All)",'Default Values'!$B$162:$CD$181,MATCH($B282,'Default Values'!$B$101:$CD$101,0),0))</f>
        <v/>
      </c>
      <c r="AG282" s="346" t="str">
        <f>IF(AG$260="","",AG$262*VLOOKUP(AG$260&amp;" (All)",'Default Values'!$B$162:$CD$181,MATCH($B282,'Default Values'!$B$101:$CD$101,0),0))</f>
        <v/>
      </c>
      <c r="AH282" s="346" t="str">
        <f>IF(AH$260="","",AH$262*VLOOKUP(AH$260&amp;" (All)",'Default Values'!$B$162:$CD$181,MATCH($B282,'Default Values'!$B$101:$CD$101,0),0))</f>
        <v/>
      </c>
      <c r="AI282" s="346" t="str">
        <f>IF(AI$260="","",AI$262*VLOOKUP(AI$260&amp;" (All)",'Default Values'!$B$162:$CD$181,MATCH($B282,'Default Values'!$B$101:$CD$101,0),0))</f>
        <v/>
      </c>
      <c r="AJ282" s="346" t="str">
        <f>IF(AJ$260="","",AJ$262*VLOOKUP(AJ$260&amp;" (All)",'Default Values'!$B$162:$CD$181,MATCH($B282,'Default Values'!$B$101:$CD$101,0),0))</f>
        <v/>
      </c>
      <c r="AK282" s="346" t="str">
        <f>IF(AK$260="","",AK$262*VLOOKUP(AK$260&amp;" (All)",'Default Values'!$B$162:$CD$181,MATCH($B282,'Default Values'!$B$101:$CD$101,0),0))</f>
        <v/>
      </c>
      <c r="AL282" s="346" t="str">
        <f>IF(AL$260="","",AL$262*VLOOKUP(AL$260&amp;" (All)",'Default Values'!$B$162:$CD$181,MATCH($B282,'Default Values'!$B$101:$CD$101,0),0))</f>
        <v/>
      </c>
      <c r="AM282" s="346" t="str">
        <f>IF(AM$260="","",AM$262*VLOOKUP(AM$260&amp;" (All)",'Default Values'!$B$162:$CD$181,MATCH($B282,'Default Values'!$B$101:$CD$101,0),0))</f>
        <v/>
      </c>
      <c r="AN282" s="346" t="str">
        <f>IF(AN$260="","",AN$262*VLOOKUP(AN$260&amp;" (All)",'Default Values'!$B$162:$CD$181,MATCH($B282,'Default Values'!$B$101:$CD$101,0),0))</f>
        <v/>
      </c>
      <c r="AO282" s="346" t="str">
        <f>IF(AO$260="","",AO$262*VLOOKUP(AO$260&amp;" (All)",'Default Values'!$B$162:$CD$181,MATCH($B282,'Default Values'!$B$101:$CD$101,0),0))</f>
        <v/>
      </c>
      <c r="AP282" s="346" t="str">
        <f>IF(AP$260="","",AP$262*VLOOKUP(AP$260&amp;" (All)",'Default Values'!$B$162:$CD$181,MATCH($B282,'Default Values'!$B$101:$CD$101,0),0))</f>
        <v/>
      </c>
      <c r="AQ282" s="346" t="str">
        <f>IF(AQ$260="","",AQ$262*VLOOKUP(AQ$260&amp;" (All)",'Default Values'!$B$162:$CD$181,MATCH($B282,'Default Values'!$B$101:$CD$101,0),0))</f>
        <v/>
      </c>
      <c r="AR282" s="346">
        <f>IF(AR$260="","",AR$262*VLOOKUP(AR$260&amp;" (All)",'Default Values'!$B$162:$CD$181,MATCH($B282,'Default Values'!$B$101:$CD$101,0),0))</f>
        <v>0</v>
      </c>
      <c r="AS282" s="217"/>
      <c r="AT282" s="217"/>
      <c r="AU282" s="217"/>
      <c r="AV282" s="217"/>
      <c r="AW282" s="217"/>
      <c r="AX282" s="217"/>
      <c r="AY282" s="217"/>
      <c r="AZ282" s="217"/>
      <c r="BA282" s="217"/>
      <c r="BB282" s="217"/>
      <c r="BC282" s="217"/>
      <c r="BD282" s="217"/>
      <c r="BE282" s="217"/>
      <c r="BF282" s="217"/>
      <c r="BG282" s="217"/>
      <c r="BH282" s="217"/>
      <c r="BI282" s="217"/>
      <c r="BJ282" s="217"/>
      <c r="BK282" s="217"/>
      <c r="BL282" s="217"/>
      <c r="BM282" s="217"/>
      <c r="BN282" s="217"/>
      <c r="BO282" s="217"/>
      <c r="BP282" s="217"/>
      <c r="BQ282" s="217"/>
      <c r="BR282" s="217"/>
      <c r="BS282" s="217"/>
      <c r="BT282" s="217"/>
      <c r="BU282" s="217"/>
      <c r="BV282" s="217"/>
      <c r="BW282" s="217"/>
      <c r="BX282" s="217"/>
      <c r="BY282" s="217"/>
      <c r="BZ282" s="217"/>
      <c r="CA282" s="217"/>
      <c r="CB282" s="217"/>
      <c r="CC282" s="217"/>
      <c r="CD282" s="217"/>
      <c r="CE282" s="217"/>
      <c r="CF282" s="217"/>
      <c r="CG282" s="217"/>
      <c r="CH282" s="217"/>
      <c r="CI282" s="217"/>
      <c r="CJ282" s="217"/>
      <c r="CK282" s="217"/>
      <c r="CL282" s="217"/>
      <c r="CM282" s="217"/>
      <c r="CN282" s="217"/>
      <c r="CO282" s="217"/>
      <c r="CP282" s="217"/>
      <c r="CQ282" s="217"/>
      <c r="CR282" s="217"/>
      <c r="CS282" s="217"/>
      <c r="CT282" s="217"/>
      <c r="CU282" s="217"/>
      <c r="CV282" s="217"/>
      <c r="CW282" s="217"/>
      <c r="CX282" s="217"/>
      <c r="CY282" s="217"/>
      <c r="CZ282" s="217"/>
      <c r="DA282" s="217"/>
      <c r="DB282" s="217"/>
      <c r="DC282" s="217"/>
      <c r="DD282" s="217"/>
      <c r="DE282" s="217"/>
      <c r="DF282" s="217"/>
      <c r="DG282" s="217"/>
      <c r="DH282" s="217"/>
      <c r="DI282" s="217"/>
      <c r="DJ282" s="217"/>
      <c r="DK282" s="217"/>
      <c r="DL282" s="217"/>
      <c r="DM282" s="217"/>
      <c r="DN282" s="217"/>
      <c r="DO282" s="217"/>
      <c r="DP282" s="217"/>
      <c r="DQ282" s="217"/>
      <c r="DR282" s="217"/>
      <c r="DS282" s="217"/>
      <c r="DT282" s="217"/>
    </row>
    <row r="283" spans="1:124" x14ac:dyDescent="0.3">
      <c r="A283" s="217"/>
      <c r="B283" s="342" t="s">
        <v>187</v>
      </c>
      <c r="C283" s="345">
        <f t="shared" si="340"/>
        <v>0</v>
      </c>
      <c r="D283" s="346" t="str">
        <f>IF(D$260="","",D$262*VLOOKUP(D$260&amp;" (All)",'Default Values'!$B$162:$CD$181,MATCH($B283,'Default Values'!$B$101:$CD$101,0),0))</f>
        <v/>
      </c>
      <c r="E283" s="346" t="str">
        <f>IF(E$260="","",E$262*VLOOKUP(E$260&amp;" (All)",'Default Values'!$B$162:$CD$181,MATCH($B283,'Default Values'!$B$101:$CD$101,0),0))</f>
        <v/>
      </c>
      <c r="F283" s="346" t="str">
        <f>IF(F$260="","",F$262*VLOOKUP(F$260&amp;" (All)",'Default Values'!$B$162:$CD$181,MATCH($B283,'Default Values'!$B$101:$CD$101,0),0))</f>
        <v/>
      </c>
      <c r="G283" s="346" t="str">
        <f>IF(G$260="","",G$262*VLOOKUP(G$260&amp;" (All)",'Default Values'!$B$162:$CD$181,MATCH($B283,'Default Values'!$B$101:$CD$101,0),0))</f>
        <v/>
      </c>
      <c r="H283" s="346" t="str">
        <f>IF(H$260="","",H$262*VLOOKUP(H$260&amp;" (All)",'Default Values'!$B$162:$CD$181,MATCH($B283,'Default Values'!$B$101:$CD$101,0),0))</f>
        <v/>
      </c>
      <c r="I283" s="346" t="str">
        <f>IF(I$260="","",I$262*VLOOKUP(I$260&amp;" (All)",'Default Values'!$B$162:$CD$181,MATCH($B283,'Default Values'!$B$101:$CD$101,0),0))</f>
        <v/>
      </c>
      <c r="J283" s="346" t="str">
        <f>IF(J$260="","",J$262*VLOOKUP(J$260&amp;" (All)",'Default Values'!$B$162:$CD$181,MATCH($B283,'Default Values'!$B$101:$CD$101,0),0))</f>
        <v/>
      </c>
      <c r="K283" s="346" t="str">
        <f>IF(K$260="","",K$262*VLOOKUP(K$260&amp;" (All)",'Default Values'!$B$162:$CD$181,MATCH($B283,'Default Values'!$B$101:$CD$101,0),0))</f>
        <v/>
      </c>
      <c r="L283" s="346" t="str">
        <f>IF(L$260="","",L$262*VLOOKUP(L$260&amp;" (All)",'Default Values'!$B$162:$CD$181,MATCH($B283,'Default Values'!$B$101:$CD$101,0),0))</f>
        <v/>
      </c>
      <c r="M283" s="346" t="str">
        <f>IF(M$260="","",M$262*VLOOKUP(M$260&amp;" (All)",'Default Values'!$B$162:$CD$181,MATCH($B283,'Default Values'!$B$101:$CD$101,0),0))</f>
        <v/>
      </c>
      <c r="N283" s="346" t="str">
        <f>IF(N$260="","",N$262*VLOOKUP(N$260&amp;" (All)",'Default Values'!$B$162:$CD$181,MATCH($B283,'Default Values'!$B$101:$CD$101,0),0))</f>
        <v/>
      </c>
      <c r="O283" s="346" t="str">
        <f>IF(O$260="","",O$262*VLOOKUP(O$260&amp;" (All)",'Default Values'!$B$162:$CD$181,MATCH($B283,'Default Values'!$B$101:$CD$101,0),0))</f>
        <v/>
      </c>
      <c r="P283" s="346" t="str">
        <f>IF(P$260="","",P$262*VLOOKUP(P$260&amp;" (All)",'Default Values'!$B$162:$CD$181,MATCH($B283,'Default Values'!$B$101:$CD$101,0),0))</f>
        <v/>
      </c>
      <c r="Q283" s="346" t="str">
        <f>IF(Q$260="","",Q$262*VLOOKUP(Q$260&amp;" (All)",'Default Values'!$B$162:$CD$181,MATCH($B283,'Default Values'!$B$101:$CD$101,0),0))</f>
        <v/>
      </c>
      <c r="R283" s="346" t="str">
        <f>IF(R$260="","",R$262*VLOOKUP(R$260&amp;" (All)",'Default Values'!$B$162:$CD$181,MATCH($B283,'Default Values'!$B$101:$CD$101,0),0))</f>
        <v/>
      </c>
      <c r="S283" s="346" t="str">
        <f>IF(S$260="","",S$262*VLOOKUP(S$260&amp;" (All)",'Default Values'!$B$162:$CD$181,MATCH($B283,'Default Values'!$B$101:$CD$101,0),0))</f>
        <v/>
      </c>
      <c r="T283" s="346" t="str">
        <f>IF(T$260="","",T$262*VLOOKUP(T$260&amp;" (All)",'Default Values'!$B$162:$CD$181,MATCH($B283,'Default Values'!$B$101:$CD$101,0),0))</f>
        <v/>
      </c>
      <c r="U283" s="346" t="str">
        <f>IF(U$260="","",U$262*VLOOKUP(U$260&amp;" (All)",'Default Values'!$B$162:$CD$181,MATCH($B283,'Default Values'!$B$101:$CD$101,0),0))</f>
        <v/>
      </c>
      <c r="V283" s="346" t="str">
        <f>IF(V$260="","",V$262*VLOOKUP(V$260&amp;" (All)",'Default Values'!$B$162:$CD$181,MATCH($B283,'Default Values'!$B$101:$CD$101,0),0))</f>
        <v/>
      </c>
      <c r="W283" s="346" t="str">
        <f>IF(W$260="","",W$262*VLOOKUP(W$260&amp;" (All)",'Default Values'!$B$162:$CD$181,MATCH($B283,'Default Values'!$B$101:$CD$101,0),0))</f>
        <v/>
      </c>
      <c r="X283" s="346" t="str">
        <f>IF(X$260="","",X$262*VLOOKUP(X$260&amp;" (All)",'Default Values'!$B$162:$CD$181,MATCH($B283,'Default Values'!$B$101:$CD$101,0),0))</f>
        <v/>
      </c>
      <c r="Y283" s="346" t="str">
        <f>IF(Y$260="","",Y$262*VLOOKUP(Y$260&amp;" (All)",'Default Values'!$B$162:$CD$181,MATCH($B283,'Default Values'!$B$101:$CD$101,0),0))</f>
        <v/>
      </c>
      <c r="Z283" s="346" t="str">
        <f>IF(Z$260="","",Z$262*VLOOKUP(Z$260&amp;" (All)",'Default Values'!$B$162:$CD$181,MATCH($B283,'Default Values'!$B$101:$CD$101,0),0))</f>
        <v/>
      </c>
      <c r="AA283" s="346" t="str">
        <f>IF(AA$260="","",AA$262*VLOOKUP(AA$260&amp;" (All)",'Default Values'!$B$162:$CD$181,MATCH($B283,'Default Values'!$B$101:$CD$101,0),0))</f>
        <v/>
      </c>
      <c r="AB283" s="346" t="str">
        <f>IF(AB$260="","",AB$262*VLOOKUP(AB$260&amp;" (All)",'Default Values'!$B$162:$CD$181,MATCH($B283,'Default Values'!$B$101:$CD$101,0),0))</f>
        <v/>
      </c>
      <c r="AC283" s="346" t="str">
        <f>IF(AC$260="","",AC$262*VLOOKUP(AC$260&amp;" (All)",'Default Values'!$B$162:$CD$181,MATCH($B283,'Default Values'!$B$101:$CD$101,0),0))</f>
        <v/>
      </c>
      <c r="AD283" s="346" t="str">
        <f>IF(AD$260="","",AD$262*VLOOKUP(AD$260&amp;" (All)",'Default Values'!$B$162:$CD$181,MATCH($B283,'Default Values'!$B$101:$CD$101,0),0))</f>
        <v/>
      </c>
      <c r="AE283" s="346" t="str">
        <f>IF(AE$260="","",AE$262*VLOOKUP(AE$260&amp;" (All)",'Default Values'!$B$162:$CD$181,MATCH($B283,'Default Values'!$B$101:$CD$101,0),0))</f>
        <v/>
      </c>
      <c r="AF283" s="346" t="str">
        <f>IF(AF$260="","",AF$262*VLOOKUP(AF$260&amp;" (All)",'Default Values'!$B$162:$CD$181,MATCH($B283,'Default Values'!$B$101:$CD$101,0),0))</f>
        <v/>
      </c>
      <c r="AG283" s="346" t="str">
        <f>IF(AG$260="","",AG$262*VLOOKUP(AG$260&amp;" (All)",'Default Values'!$B$162:$CD$181,MATCH($B283,'Default Values'!$B$101:$CD$101,0),0))</f>
        <v/>
      </c>
      <c r="AH283" s="346" t="str">
        <f>IF(AH$260="","",AH$262*VLOOKUP(AH$260&amp;" (All)",'Default Values'!$B$162:$CD$181,MATCH($B283,'Default Values'!$B$101:$CD$101,0),0))</f>
        <v/>
      </c>
      <c r="AI283" s="346" t="str">
        <f>IF(AI$260="","",AI$262*VLOOKUP(AI$260&amp;" (All)",'Default Values'!$B$162:$CD$181,MATCH($B283,'Default Values'!$B$101:$CD$101,0),0))</f>
        <v/>
      </c>
      <c r="AJ283" s="346" t="str">
        <f>IF(AJ$260="","",AJ$262*VLOOKUP(AJ$260&amp;" (All)",'Default Values'!$B$162:$CD$181,MATCH($B283,'Default Values'!$B$101:$CD$101,0),0))</f>
        <v/>
      </c>
      <c r="AK283" s="346" t="str">
        <f>IF(AK$260="","",AK$262*VLOOKUP(AK$260&amp;" (All)",'Default Values'!$B$162:$CD$181,MATCH($B283,'Default Values'!$B$101:$CD$101,0),0))</f>
        <v/>
      </c>
      <c r="AL283" s="346" t="str">
        <f>IF(AL$260="","",AL$262*VLOOKUP(AL$260&amp;" (All)",'Default Values'!$B$162:$CD$181,MATCH($B283,'Default Values'!$B$101:$CD$101,0),0))</f>
        <v/>
      </c>
      <c r="AM283" s="346" t="str">
        <f>IF(AM$260="","",AM$262*VLOOKUP(AM$260&amp;" (All)",'Default Values'!$B$162:$CD$181,MATCH($B283,'Default Values'!$B$101:$CD$101,0),0))</f>
        <v/>
      </c>
      <c r="AN283" s="346" t="str">
        <f>IF(AN$260="","",AN$262*VLOOKUP(AN$260&amp;" (All)",'Default Values'!$B$162:$CD$181,MATCH($B283,'Default Values'!$B$101:$CD$101,0),0))</f>
        <v/>
      </c>
      <c r="AO283" s="346" t="str">
        <f>IF(AO$260="","",AO$262*VLOOKUP(AO$260&amp;" (All)",'Default Values'!$B$162:$CD$181,MATCH($B283,'Default Values'!$B$101:$CD$101,0),0))</f>
        <v/>
      </c>
      <c r="AP283" s="346" t="str">
        <f>IF(AP$260="","",AP$262*VLOOKUP(AP$260&amp;" (All)",'Default Values'!$B$162:$CD$181,MATCH($B283,'Default Values'!$B$101:$CD$101,0),0))</f>
        <v/>
      </c>
      <c r="AQ283" s="346" t="str">
        <f>IF(AQ$260="","",AQ$262*VLOOKUP(AQ$260&amp;" (All)",'Default Values'!$B$162:$CD$181,MATCH($B283,'Default Values'!$B$101:$CD$101,0),0))</f>
        <v/>
      </c>
      <c r="AR283" s="346">
        <f>IF(AR$260="","",AR$262*VLOOKUP(AR$260&amp;" (All)",'Default Values'!$B$162:$CD$181,MATCH($B283,'Default Values'!$B$101:$CD$101,0),0))</f>
        <v>0</v>
      </c>
      <c r="AS283" s="217"/>
      <c r="AT283" s="217"/>
      <c r="AU283" s="217"/>
      <c r="AV283" s="217"/>
      <c r="AW283" s="217"/>
      <c r="AX283" s="217"/>
      <c r="AY283" s="217"/>
      <c r="AZ283" s="217"/>
      <c r="BA283" s="217"/>
      <c r="BB283" s="217"/>
      <c r="BC283" s="217"/>
      <c r="BD283" s="217"/>
      <c r="BE283" s="217"/>
      <c r="BF283" s="217"/>
      <c r="BG283" s="217"/>
      <c r="BH283" s="217"/>
      <c r="BI283" s="217"/>
      <c r="BJ283" s="217"/>
      <c r="BK283" s="217"/>
      <c r="BL283" s="217"/>
      <c r="BM283" s="217"/>
      <c r="BN283" s="217"/>
      <c r="BO283" s="217"/>
      <c r="BP283" s="217"/>
      <c r="BQ283" s="217"/>
      <c r="BR283" s="217"/>
      <c r="BS283" s="217"/>
      <c r="BT283" s="217"/>
      <c r="BU283" s="217"/>
      <c r="BV283" s="217"/>
      <c r="BW283" s="217"/>
      <c r="BX283" s="217"/>
      <c r="BY283" s="217"/>
      <c r="BZ283" s="217"/>
      <c r="CA283" s="217"/>
      <c r="CB283" s="217"/>
      <c r="CC283" s="217"/>
      <c r="CD283" s="217"/>
      <c r="CE283" s="217"/>
      <c r="CF283" s="217"/>
      <c r="CG283" s="217"/>
      <c r="CH283" s="217"/>
      <c r="CI283" s="217"/>
      <c r="CJ283" s="217"/>
      <c r="CK283" s="217"/>
      <c r="CL283" s="217"/>
      <c r="CM283" s="217"/>
      <c r="CN283" s="217"/>
      <c r="CO283" s="217"/>
      <c r="CP283" s="217"/>
      <c r="CQ283" s="217"/>
      <c r="CR283" s="217"/>
      <c r="CS283" s="217"/>
      <c r="CT283" s="217"/>
      <c r="CU283" s="217"/>
      <c r="CV283" s="217"/>
      <c r="CW283" s="217"/>
      <c r="CX283" s="217"/>
      <c r="CY283" s="217"/>
      <c r="CZ283" s="217"/>
      <c r="DA283" s="217"/>
      <c r="DB283" s="217"/>
      <c r="DC283" s="217"/>
      <c r="DD283" s="217"/>
      <c r="DE283" s="217"/>
      <c r="DF283" s="217"/>
      <c r="DG283" s="217"/>
      <c r="DH283" s="217"/>
      <c r="DI283" s="217"/>
      <c r="DJ283" s="217"/>
      <c r="DK283" s="217"/>
      <c r="DL283" s="217"/>
      <c r="DM283" s="217"/>
      <c r="DN283" s="217"/>
      <c r="DO283" s="217"/>
      <c r="DP283" s="217"/>
      <c r="DQ283" s="217"/>
      <c r="DR283" s="217"/>
      <c r="DS283" s="217"/>
      <c r="DT283" s="217"/>
    </row>
    <row r="284" spans="1:124" x14ac:dyDescent="0.3">
      <c r="A284" s="217"/>
      <c r="B284" s="342" t="s">
        <v>188</v>
      </c>
      <c r="C284" s="345">
        <f t="shared" si="340"/>
        <v>0</v>
      </c>
      <c r="D284" s="346" t="str">
        <f>IF(D$260="","",D$262*VLOOKUP(D$260&amp;" (All)",'Default Values'!$B$162:$CD$181,MATCH($B284,'Default Values'!$B$101:$CD$101,0),0))</f>
        <v/>
      </c>
      <c r="E284" s="346" t="str">
        <f>IF(E$260="","",E$262*VLOOKUP(E$260&amp;" (All)",'Default Values'!$B$162:$CD$181,MATCH($B284,'Default Values'!$B$101:$CD$101,0),0))</f>
        <v/>
      </c>
      <c r="F284" s="346" t="str">
        <f>IF(F$260="","",F$262*VLOOKUP(F$260&amp;" (All)",'Default Values'!$B$162:$CD$181,MATCH($B284,'Default Values'!$B$101:$CD$101,0),0))</f>
        <v/>
      </c>
      <c r="G284" s="346" t="str">
        <f>IF(G$260="","",G$262*VLOOKUP(G$260&amp;" (All)",'Default Values'!$B$162:$CD$181,MATCH($B284,'Default Values'!$B$101:$CD$101,0),0))</f>
        <v/>
      </c>
      <c r="H284" s="346" t="str">
        <f>IF(H$260="","",H$262*VLOOKUP(H$260&amp;" (All)",'Default Values'!$B$162:$CD$181,MATCH($B284,'Default Values'!$B$101:$CD$101,0),0))</f>
        <v/>
      </c>
      <c r="I284" s="346" t="str">
        <f>IF(I$260="","",I$262*VLOOKUP(I$260&amp;" (All)",'Default Values'!$B$162:$CD$181,MATCH($B284,'Default Values'!$B$101:$CD$101,0),0))</f>
        <v/>
      </c>
      <c r="J284" s="346" t="str">
        <f>IF(J$260="","",J$262*VLOOKUP(J$260&amp;" (All)",'Default Values'!$B$162:$CD$181,MATCH($B284,'Default Values'!$B$101:$CD$101,0),0))</f>
        <v/>
      </c>
      <c r="K284" s="346" t="str">
        <f>IF(K$260="","",K$262*VLOOKUP(K$260&amp;" (All)",'Default Values'!$B$162:$CD$181,MATCH($B284,'Default Values'!$B$101:$CD$101,0),0))</f>
        <v/>
      </c>
      <c r="L284" s="346" t="str">
        <f>IF(L$260="","",L$262*VLOOKUP(L$260&amp;" (All)",'Default Values'!$B$162:$CD$181,MATCH($B284,'Default Values'!$B$101:$CD$101,0),0))</f>
        <v/>
      </c>
      <c r="M284" s="346" t="str">
        <f>IF(M$260="","",M$262*VLOOKUP(M$260&amp;" (All)",'Default Values'!$B$162:$CD$181,MATCH($B284,'Default Values'!$B$101:$CD$101,0),0))</f>
        <v/>
      </c>
      <c r="N284" s="346" t="str">
        <f>IF(N$260="","",N$262*VLOOKUP(N$260&amp;" (All)",'Default Values'!$B$162:$CD$181,MATCH($B284,'Default Values'!$B$101:$CD$101,0),0))</f>
        <v/>
      </c>
      <c r="O284" s="346" t="str">
        <f>IF(O$260="","",O$262*VLOOKUP(O$260&amp;" (All)",'Default Values'!$B$162:$CD$181,MATCH($B284,'Default Values'!$B$101:$CD$101,0),0))</f>
        <v/>
      </c>
      <c r="P284" s="346" t="str">
        <f>IF(P$260="","",P$262*VLOOKUP(P$260&amp;" (All)",'Default Values'!$B$162:$CD$181,MATCH($B284,'Default Values'!$B$101:$CD$101,0),0))</f>
        <v/>
      </c>
      <c r="Q284" s="346" t="str">
        <f>IF(Q$260="","",Q$262*VLOOKUP(Q$260&amp;" (All)",'Default Values'!$B$162:$CD$181,MATCH($B284,'Default Values'!$B$101:$CD$101,0),0))</f>
        <v/>
      </c>
      <c r="R284" s="346" t="str">
        <f>IF(R$260="","",R$262*VLOOKUP(R$260&amp;" (All)",'Default Values'!$B$162:$CD$181,MATCH($B284,'Default Values'!$B$101:$CD$101,0),0))</f>
        <v/>
      </c>
      <c r="S284" s="346" t="str">
        <f>IF(S$260="","",S$262*VLOOKUP(S$260&amp;" (All)",'Default Values'!$B$162:$CD$181,MATCH($B284,'Default Values'!$B$101:$CD$101,0),0))</f>
        <v/>
      </c>
      <c r="T284" s="346" t="str">
        <f>IF(T$260="","",T$262*VLOOKUP(T$260&amp;" (All)",'Default Values'!$B$162:$CD$181,MATCH($B284,'Default Values'!$B$101:$CD$101,0),0))</f>
        <v/>
      </c>
      <c r="U284" s="346" t="str">
        <f>IF(U$260="","",U$262*VLOOKUP(U$260&amp;" (All)",'Default Values'!$B$162:$CD$181,MATCH($B284,'Default Values'!$B$101:$CD$101,0),0))</f>
        <v/>
      </c>
      <c r="V284" s="346" t="str">
        <f>IF(V$260="","",V$262*VLOOKUP(V$260&amp;" (All)",'Default Values'!$B$162:$CD$181,MATCH($B284,'Default Values'!$B$101:$CD$101,0),0))</f>
        <v/>
      </c>
      <c r="W284" s="346" t="str">
        <f>IF(W$260="","",W$262*VLOOKUP(W$260&amp;" (All)",'Default Values'!$B$162:$CD$181,MATCH($B284,'Default Values'!$B$101:$CD$101,0),0))</f>
        <v/>
      </c>
      <c r="X284" s="346" t="str">
        <f>IF(X$260="","",X$262*VLOOKUP(X$260&amp;" (All)",'Default Values'!$B$162:$CD$181,MATCH($B284,'Default Values'!$B$101:$CD$101,0),0))</f>
        <v/>
      </c>
      <c r="Y284" s="346" t="str">
        <f>IF(Y$260="","",Y$262*VLOOKUP(Y$260&amp;" (All)",'Default Values'!$B$162:$CD$181,MATCH($B284,'Default Values'!$B$101:$CD$101,0),0))</f>
        <v/>
      </c>
      <c r="Z284" s="346" t="str">
        <f>IF(Z$260="","",Z$262*VLOOKUP(Z$260&amp;" (All)",'Default Values'!$B$162:$CD$181,MATCH($B284,'Default Values'!$B$101:$CD$101,0),0))</f>
        <v/>
      </c>
      <c r="AA284" s="346" t="str">
        <f>IF(AA$260="","",AA$262*VLOOKUP(AA$260&amp;" (All)",'Default Values'!$B$162:$CD$181,MATCH($B284,'Default Values'!$B$101:$CD$101,0),0))</f>
        <v/>
      </c>
      <c r="AB284" s="346" t="str">
        <f>IF(AB$260="","",AB$262*VLOOKUP(AB$260&amp;" (All)",'Default Values'!$B$162:$CD$181,MATCH($B284,'Default Values'!$B$101:$CD$101,0),0))</f>
        <v/>
      </c>
      <c r="AC284" s="346" t="str">
        <f>IF(AC$260="","",AC$262*VLOOKUP(AC$260&amp;" (All)",'Default Values'!$B$162:$CD$181,MATCH($B284,'Default Values'!$B$101:$CD$101,0),0))</f>
        <v/>
      </c>
      <c r="AD284" s="346" t="str">
        <f>IF(AD$260="","",AD$262*VLOOKUP(AD$260&amp;" (All)",'Default Values'!$B$162:$CD$181,MATCH($B284,'Default Values'!$B$101:$CD$101,0),0))</f>
        <v/>
      </c>
      <c r="AE284" s="346" t="str">
        <f>IF(AE$260="","",AE$262*VLOOKUP(AE$260&amp;" (All)",'Default Values'!$B$162:$CD$181,MATCH($B284,'Default Values'!$B$101:$CD$101,0),0))</f>
        <v/>
      </c>
      <c r="AF284" s="346" t="str">
        <f>IF(AF$260="","",AF$262*VLOOKUP(AF$260&amp;" (All)",'Default Values'!$B$162:$CD$181,MATCH($B284,'Default Values'!$B$101:$CD$101,0),0))</f>
        <v/>
      </c>
      <c r="AG284" s="346" t="str">
        <f>IF(AG$260="","",AG$262*VLOOKUP(AG$260&amp;" (All)",'Default Values'!$B$162:$CD$181,MATCH($B284,'Default Values'!$B$101:$CD$101,0),0))</f>
        <v/>
      </c>
      <c r="AH284" s="346" t="str">
        <f>IF(AH$260="","",AH$262*VLOOKUP(AH$260&amp;" (All)",'Default Values'!$B$162:$CD$181,MATCH($B284,'Default Values'!$B$101:$CD$101,0),0))</f>
        <v/>
      </c>
      <c r="AI284" s="346" t="str">
        <f>IF(AI$260="","",AI$262*VLOOKUP(AI$260&amp;" (All)",'Default Values'!$B$162:$CD$181,MATCH($B284,'Default Values'!$B$101:$CD$101,0),0))</f>
        <v/>
      </c>
      <c r="AJ284" s="346" t="str">
        <f>IF(AJ$260="","",AJ$262*VLOOKUP(AJ$260&amp;" (All)",'Default Values'!$B$162:$CD$181,MATCH($B284,'Default Values'!$B$101:$CD$101,0),0))</f>
        <v/>
      </c>
      <c r="AK284" s="346" t="str">
        <f>IF(AK$260="","",AK$262*VLOOKUP(AK$260&amp;" (All)",'Default Values'!$B$162:$CD$181,MATCH($B284,'Default Values'!$B$101:$CD$101,0),0))</f>
        <v/>
      </c>
      <c r="AL284" s="346" t="str">
        <f>IF(AL$260="","",AL$262*VLOOKUP(AL$260&amp;" (All)",'Default Values'!$B$162:$CD$181,MATCH($B284,'Default Values'!$B$101:$CD$101,0),0))</f>
        <v/>
      </c>
      <c r="AM284" s="346" t="str">
        <f>IF(AM$260="","",AM$262*VLOOKUP(AM$260&amp;" (All)",'Default Values'!$B$162:$CD$181,MATCH($B284,'Default Values'!$B$101:$CD$101,0),0))</f>
        <v/>
      </c>
      <c r="AN284" s="346" t="str">
        <f>IF(AN$260="","",AN$262*VLOOKUP(AN$260&amp;" (All)",'Default Values'!$B$162:$CD$181,MATCH($B284,'Default Values'!$B$101:$CD$101,0),0))</f>
        <v/>
      </c>
      <c r="AO284" s="346" t="str">
        <f>IF(AO$260="","",AO$262*VLOOKUP(AO$260&amp;" (All)",'Default Values'!$B$162:$CD$181,MATCH($B284,'Default Values'!$B$101:$CD$101,0),0))</f>
        <v/>
      </c>
      <c r="AP284" s="346" t="str">
        <f>IF(AP$260="","",AP$262*VLOOKUP(AP$260&amp;" (All)",'Default Values'!$B$162:$CD$181,MATCH($B284,'Default Values'!$B$101:$CD$101,0),0))</f>
        <v/>
      </c>
      <c r="AQ284" s="346" t="str">
        <f>IF(AQ$260="","",AQ$262*VLOOKUP(AQ$260&amp;" (All)",'Default Values'!$B$162:$CD$181,MATCH($B284,'Default Values'!$B$101:$CD$101,0),0))</f>
        <v/>
      </c>
      <c r="AR284" s="346">
        <f>IF(AR$260="","",AR$262*VLOOKUP(AR$260&amp;" (All)",'Default Values'!$B$162:$CD$181,MATCH($B284,'Default Values'!$B$101:$CD$101,0),0))</f>
        <v>0</v>
      </c>
      <c r="AS284" s="217"/>
      <c r="AT284" s="217"/>
      <c r="AU284" s="217"/>
      <c r="AV284" s="217"/>
      <c r="AW284" s="217"/>
      <c r="AX284" s="217"/>
      <c r="AY284" s="217"/>
      <c r="AZ284" s="217"/>
      <c r="BA284" s="217"/>
      <c r="BB284" s="217"/>
      <c r="BC284" s="217"/>
      <c r="BD284" s="217"/>
      <c r="BE284" s="217"/>
      <c r="BF284" s="217"/>
      <c r="BG284" s="217"/>
      <c r="BH284" s="217"/>
      <c r="BI284" s="217"/>
      <c r="BJ284" s="217"/>
      <c r="BK284" s="217"/>
      <c r="BL284" s="217"/>
      <c r="BM284" s="217"/>
      <c r="BN284" s="217"/>
      <c r="BO284" s="217"/>
      <c r="BP284" s="217"/>
      <c r="BQ284" s="217"/>
      <c r="BR284" s="217"/>
      <c r="BS284" s="217"/>
      <c r="BT284" s="217"/>
      <c r="BU284" s="217"/>
      <c r="BV284" s="217"/>
      <c r="BW284" s="217"/>
      <c r="BX284" s="217"/>
      <c r="BY284" s="217"/>
      <c r="BZ284" s="217"/>
      <c r="CA284" s="217"/>
      <c r="CB284" s="217"/>
      <c r="CC284" s="217"/>
      <c r="CD284" s="217"/>
      <c r="CE284" s="217"/>
      <c r="CF284" s="217"/>
      <c r="CG284" s="217"/>
      <c r="CH284" s="217"/>
      <c r="CI284" s="217"/>
      <c r="CJ284" s="217"/>
      <c r="CK284" s="217"/>
      <c r="CL284" s="217"/>
      <c r="CM284" s="217"/>
      <c r="CN284" s="217"/>
      <c r="CO284" s="217"/>
      <c r="CP284" s="217"/>
      <c r="CQ284" s="217"/>
      <c r="CR284" s="217"/>
      <c r="CS284" s="217"/>
      <c r="CT284" s="217"/>
      <c r="CU284" s="217"/>
      <c r="CV284" s="217"/>
      <c r="CW284" s="217"/>
      <c r="CX284" s="217"/>
      <c r="CY284" s="217"/>
      <c r="CZ284" s="217"/>
      <c r="DA284" s="217"/>
      <c r="DB284" s="217"/>
      <c r="DC284" s="217"/>
      <c r="DD284" s="217"/>
      <c r="DE284" s="217"/>
      <c r="DF284" s="217"/>
      <c r="DG284" s="217"/>
      <c r="DH284" s="217"/>
      <c r="DI284" s="217"/>
      <c r="DJ284" s="217"/>
      <c r="DK284" s="217"/>
      <c r="DL284" s="217"/>
      <c r="DM284" s="217"/>
      <c r="DN284" s="217"/>
      <c r="DO284" s="217"/>
      <c r="DP284" s="217"/>
      <c r="DQ284" s="217"/>
      <c r="DR284" s="217"/>
      <c r="DS284" s="217"/>
      <c r="DT284" s="217"/>
    </row>
    <row r="285" spans="1:124" x14ac:dyDescent="0.3">
      <c r="A285" s="217"/>
      <c r="B285" s="342" t="s">
        <v>190</v>
      </c>
      <c r="C285" s="345">
        <f t="shared" si="340"/>
        <v>0</v>
      </c>
      <c r="D285" s="346" t="str">
        <f>IF(D$260="","",D$262*VLOOKUP(D$260&amp;" (All)",'Default Values'!$B$162:$CD$181,MATCH($B285,'Default Values'!$B$101:$CD$101,0),0))</f>
        <v/>
      </c>
      <c r="E285" s="346" t="str">
        <f>IF(E$260="","",E$262*VLOOKUP(E$260&amp;" (All)",'Default Values'!$B$162:$CD$181,MATCH($B285,'Default Values'!$B$101:$CD$101,0),0))</f>
        <v/>
      </c>
      <c r="F285" s="346" t="str">
        <f>IF(F$260="","",F$262*VLOOKUP(F$260&amp;" (All)",'Default Values'!$B$162:$CD$181,MATCH($B285,'Default Values'!$B$101:$CD$101,0),0))</f>
        <v/>
      </c>
      <c r="G285" s="346" t="str">
        <f>IF(G$260="","",G$262*VLOOKUP(G$260&amp;" (All)",'Default Values'!$B$162:$CD$181,MATCH($B285,'Default Values'!$B$101:$CD$101,0),0))</f>
        <v/>
      </c>
      <c r="H285" s="346" t="str">
        <f>IF(H$260="","",H$262*VLOOKUP(H$260&amp;" (All)",'Default Values'!$B$162:$CD$181,MATCH($B285,'Default Values'!$B$101:$CD$101,0),0))</f>
        <v/>
      </c>
      <c r="I285" s="346" t="str">
        <f>IF(I$260="","",I$262*VLOOKUP(I$260&amp;" (All)",'Default Values'!$B$162:$CD$181,MATCH($B285,'Default Values'!$B$101:$CD$101,0),0))</f>
        <v/>
      </c>
      <c r="J285" s="346" t="str">
        <f>IF(J$260="","",J$262*VLOOKUP(J$260&amp;" (All)",'Default Values'!$B$162:$CD$181,MATCH($B285,'Default Values'!$B$101:$CD$101,0),0))</f>
        <v/>
      </c>
      <c r="K285" s="346" t="str">
        <f>IF(K$260="","",K$262*VLOOKUP(K$260&amp;" (All)",'Default Values'!$B$162:$CD$181,MATCH($B285,'Default Values'!$B$101:$CD$101,0),0))</f>
        <v/>
      </c>
      <c r="L285" s="346" t="str">
        <f>IF(L$260="","",L$262*VLOOKUP(L$260&amp;" (All)",'Default Values'!$B$162:$CD$181,MATCH($B285,'Default Values'!$B$101:$CD$101,0),0))</f>
        <v/>
      </c>
      <c r="M285" s="346" t="str">
        <f>IF(M$260="","",M$262*VLOOKUP(M$260&amp;" (All)",'Default Values'!$B$162:$CD$181,MATCH($B285,'Default Values'!$B$101:$CD$101,0),0))</f>
        <v/>
      </c>
      <c r="N285" s="346" t="str">
        <f>IF(N$260="","",N$262*VLOOKUP(N$260&amp;" (All)",'Default Values'!$B$162:$CD$181,MATCH($B285,'Default Values'!$B$101:$CD$101,0),0))</f>
        <v/>
      </c>
      <c r="O285" s="346" t="str">
        <f>IF(O$260="","",O$262*VLOOKUP(O$260&amp;" (All)",'Default Values'!$B$162:$CD$181,MATCH($B285,'Default Values'!$B$101:$CD$101,0),0))</f>
        <v/>
      </c>
      <c r="P285" s="346" t="str">
        <f>IF(P$260="","",P$262*VLOOKUP(P$260&amp;" (All)",'Default Values'!$B$162:$CD$181,MATCH($B285,'Default Values'!$B$101:$CD$101,0),0))</f>
        <v/>
      </c>
      <c r="Q285" s="346" t="str">
        <f>IF(Q$260="","",Q$262*VLOOKUP(Q$260&amp;" (All)",'Default Values'!$B$162:$CD$181,MATCH($B285,'Default Values'!$B$101:$CD$101,0),0))</f>
        <v/>
      </c>
      <c r="R285" s="346" t="str">
        <f>IF(R$260="","",R$262*VLOOKUP(R$260&amp;" (All)",'Default Values'!$B$162:$CD$181,MATCH($B285,'Default Values'!$B$101:$CD$101,0),0))</f>
        <v/>
      </c>
      <c r="S285" s="346" t="str">
        <f>IF(S$260="","",S$262*VLOOKUP(S$260&amp;" (All)",'Default Values'!$B$162:$CD$181,MATCH($B285,'Default Values'!$B$101:$CD$101,0),0))</f>
        <v/>
      </c>
      <c r="T285" s="346" t="str">
        <f>IF(T$260="","",T$262*VLOOKUP(T$260&amp;" (All)",'Default Values'!$B$162:$CD$181,MATCH($B285,'Default Values'!$B$101:$CD$101,0),0))</f>
        <v/>
      </c>
      <c r="U285" s="346" t="str">
        <f>IF(U$260="","",U$262*VLOOKUP(U$260&amp;" (All)",'Default Values'!$B$162:$CD$181,MATCH($B285,'Default Values'!$B$101:$CD$101,0),0))</f>
        <v/>
      </c>
      <c r="V285" s="346" t="str">
        <f>IF(V$260="","",V$262*VLOOKUP(V$260&amp;" (All)",'Default Values'!$B$162:$CD$181,MATCH($B285,'Default Values'!$B$101:$CD$101,0),0))</f>
        <v/>
      </c>
      <c r="W285" s="346" t="str">
        <f>IF(W$260="","",W$262*VLOOKUP(W$260&amp;" (All)",'Default Values'!$B$162:$CD$181,MATCH($B285,'Default Values'!$B$101:$CD$101,0),0))</f>
        <v/>
      </c>
      <c r="X285" s="346" t="str">
        <f>IF(X$260="","",X$262*VLOOKUP(X$260&amp;" (All)",'Default Values'!$B$162:$CD$181,MATCH($B285,'Default Values'!$B$101:$CD$101,0),0))</f>
        <v/>
      </c>
      <c r="Y285" s="346" t="str">
        <f>IF(Y$260="","",Y$262*VLOOKUP(Y$260&amp;" (All)",'Default Values'!$B$162:$CD$181,MATCH($B285,'Default Values'!$B$101:$CD$101,0),0))</f>
        <v/>
      </c>
      <c r="Z285" s="346" t="str">
        <f>IF(Z$260="","",Z$262*VLOOKUP(Z$260&amp;" (All)",'Default Values'!$B$162:$CD$181,MATCH($B285,'Default Values'!$B$101:$CD$101,0),0))</f>
        <v/>
      </c>
      <c r="AA285" s="346" t="str">
        <f>IF(AA$260="","",AA$262*VLOOKUP(AA$260&amp;" (All)",'Default Values'!$B$162:$CD$181,MATCH($B285,'Default Values'!$B$101:$CD$101,0),0))</f>
        <v/>
      </c>
      <c r="AB285" s="346" t="str">
        <f>IF(AB$260="","",AB$262*VLOOKUP(AB$260&amp;" (All)",'Default Values'!$B$162:$CD$181,MATCH($B285,'Default Values'!$B$101:$CD$101,0),0))</f>
        <v/>
      </c>
      <c r="AC285" s="346" t="str">
        <f>IF(AC$260="","",AC$262*VLOOKUP(AC$260&amp;" (All)",'Default Values'!$B$162:$CD$181,MATCH($B285,'Default Values'!$B$101:$CD$101,0),0))</f>
        <v/>
      </c>
      <c r="AD285" s="346" t="str">
        <f>IF(AD$260="","",AD$262*VLOOKUP(AD$260&amp;" (All)",'Default Values'!$B$162:$CD$181,MATCH($B285,'Default Values'!$B$101:$CD$101,0),0))</f>
        <v/>
      </c>
      <c r="AE285" s="346" t="str">
        <f>IF(AE$260="","",AE$262*VLOOKUP(AE$260&amp;" (All)",'Default Values'!$B$162:$CD$181,MATCH($B285,'Default Values'!$B$101:$CD$101,0),0))</f>
        <v/>
      </c>
      <c r="AF285" s="346" t="str">
        <f>IF(AF$260="","",AF$262*VLOOKUP(AF$260&amp;" (All)",'Default Values'!$B$162:$CD$181,MATCH($B285,'Default Values'!$B$101:$CD$101,0),0))</f>
        <v/>
      </c>
      <c r="AG285" s="346" t="str">
        <f>IF(AG$260="","",AG$262*VLOOKUP(AG$260&amp;" (All)",'Default Values'!$B$162:$CD$181,MATCH($B285,'Default Values'!$B$101:$CD$101,0),0))</f>
        <v/>
      </c>
      <c r="AH285" s="346" t="str">
        <f>IF(AH$260="","",AH$262*VLOOKUP(AH$260&amp;" (All)",'Default Values'!$B$162:$CD$181,MATCH($B285,'Default Values'!$B$101:$CD$101,0),0))</f>
        <v/>
      </c>
      <c r="AI285" s="346" t="str">
        <f>IF(AI$260="","",AI$262*VLOOKUP(AI$260&amp;" (All)",'Default Values'!$B$162:$CD$181,MATCH($B285,'Default Values'!$B$101:$CD$101,0),0))</f>
        <v/>
      </c>
      <c r="AJ285" s="346" t="str">
        <f>IF(AJ$260="","",AJ$262*VLOOKUP(AJ$260&amp;" (All)",'Default Values'!$B$162:$CD$181,MATCH($B285,'Default Values'!$B$101:$CD$101,0),0))</f>
        <v/>
      </c>
      <c r="AK285" s="346" t="str">
        <f>IF(AK$260="","",AK$262*VLOOKUP(AK$260&amp;" (All)",'Default Values'!$B$162:$CD$181,MATCH($B285,'Default Values'!$B$101:$CD$101,0),0))</f>
        <v/>
      </c>
      <c r="AL285" s="346" t="str">
        <f>IF(AL$260="","",AL$262*VLOOKUP(AL$260&amp;" (All)",'Default Values'!$B$162:$CD$181,MATCH($B285,'Default Values'!$B$101:$CD$101,0),0))</f>
        <v/>
      </c>
      <c r="AM285" s="346" t="str">
        <f>IF(AM$260="","",AM$262*VLOOKUP(AM$260&amp;" (All)",'Default Values'!$B$162:$CD$181,MATCH($B285,'Default Values'!$B$101:$CD$101,0),0))</f>
        <v/>
      </c>
      <c r="AN285" s="346" t="str">
        <f>IF(AN$260="","",AN$262*VLOOKUP(AN$260&amp;" (All)",'Default Values'!$B$162:$CD$181,MATCH($B285,'Default Values'!$B$101:$CD$101,0),0))</f>
        <v/>
      </c>
      <c r="AO285" s="346" t="str">
        <f>IF(AO$260="","",AO$262*VLOOKUP(AO$260&amp;" (All)",'Default Values'!$B$162:$CD$181,MATCH($B285,'Default Values'!$B$101:$CD$101,0),0))</f>
        <v/>
      </c>
      <c r="AP285" s="346" t="str">
        <f>IF(AP$260="","",AP$262*VLOOKUP(AP$260&amp;" (All)",'Default Values'!$B$162:$CD$181,MATCH($B285,'Default Values'!$B$101:$CD$101,0),0))</f>
        <v/>
      </c>
      <c r="AQ285" s="346" t="str">
        <f>IF(AQ$260="","",AQ$262*VLOOKUP(AQ$260&amp;" (All)",'Default Values'!$B$162:$CD$181,MATCH($B285,'Default Values'!$B$101:$CD$101,0),0))</f>
        <v/>
      </c>
      <c r="AR285" s="346">
        <f>IF(AR$260="","",AR$262*VLOOKUP(AR$260&amp;" (All)",'Default Values'!$B$162:$CD$181,MATCH($B285,'Default Values'!$B$101:$CD$101,0),0))</f>
        <v>0</v>
      </c>
      <c r="AS285" s="217"/>
      <c r="AT285" s="217"/>
      <c r="AU285" s="217"/>
      <c r="AV285" s="217"/>
      <c r="AW285" s="217"/>
      <c r="AX285" s="217"/>
      <c r="AY285" s="217"/>
      <c r="AZ285" s="217"/>
      <c r="BA285" s="217"/>
      <c r="BB285" s="217"/>
      <c r="BC285" s="217"/>
      <c r="BD285" s="217"/>
      <c r="BE285" s="217"/>
      <c r="BF285" s="217"/>
      <c r="BG285" s="217"/>
      <c r="BH285" s="217"/>
      <c r="BI285" s="217"/>
      <c r="BJ285" s="217"/>
      <c r="BK285" s="217"/>
      <c r="BL285" s="217"/>
      <c r="BM285" s="217"/>
      <c r="BN285" s="217"/>
      <c r="BO285" s="217"/>
      <c r="BP285" s="217"/>
      <c r="BQ285" s="217"/>
      <c r="BR285" s="217"/>
      <c r="BS285" s="217"/>
      <c r="BT285" s="217"/>
      <c r="BU285" s="217"/>
      <c r="BV285" s="217"/>
      <c r="BW285" s="217"/>
      <c r="BX285" s="217"/>
      <c r="BY285" s="217"/>
      <c r="BZ285" s="217"/>
      <c r="CA285" s="217"/>
      <c r="CB285" s="217"/>
      <c r="CC285" s="217"/>
      <c r="CD285" s="217"/>
      <c r="CE285" s="217"/>
      <c r="CF285" s="217"/>
      <c r="CG285" s="217"/>
      <c r="CH285" s="217"/>
      <c r="CI285" s="217"/>
      <c r="CJ285" s="217"/>
      <c r="CK285" s="217"/>
      <c r="CL285" s="217"/>
      <c r="CM285" s="217"/>
      <c r="CN285" s="217"/>
      <c r="CO285" s="217"/>
      <c r="CP285" s="217"/>
      <c r="CQ285" s="217"/>
      <c r="CR285" s="217"/>
      <c r="CS285" s="217"/>
      <c r="CT285" s="217"/>
      <c r="CU285" s="217"/>
      <c r="CV285" s="217"/>
      <c r="CW285" s="217"/>
      <c r="CX285" s="217"/>
      <c r="CY285" s="217"/>
      <c r="CZ285" s="217"/>
      <c r="DA285" s="217"/>
      <c r="DB285" s="217"/>
      <c r="DC285" s="217"/>
      <c r="DD285" s="217"/>
      <c r="DE285" s="217"/>
      <c r="DF285" s="217"/>
      <c r="DG285" s="217"/>
      <c r="DH285" s="217"/>
      <c r="DI285" s="217"/>
      <c r="DJ285" s="217"/>
      <c r="DK285" s="217"/>
      <c r="DL285" s="217"/>
      <c r="DM285" s="217"/>
      <c r="DN285" s="217"/>
      <c r="DO285" s="217"/>
      <c r="DP285" s="217"/>
      <c r="DQ285" s="217"/>
      <c r="DR285" s="217"/>
      <c r="DS285" s="217"/>
      <c r="DT285" s="217"/>
    </row>
    <row r="286" spans="1:124" x14ac:dyDescent="0.3">
      <c r="A286" s="217"/>
      <c r="B286" s="342" t="s">
        <v>191</v>
      </c>
      <c r="C286" s="345">
        <f t="shared" si="340"/>
        <v>0</v>
      </c>
      <c r="D286" s="346" t="str">
        <f>IF(D$260="","",D$262*VLOOKUP(D$260&amp;" (All)",'Default Values'!$B$162:$CD$181,MATCH($B286,'Default Values'!$B$101:$CD$101,0),0))</f>
        <v/>
      </c>
      <c r="E286" s="346" t="str">
        <f>IF(E$260="","",E$262*VLOOKUP(E$260&amp;" (All)",'Default Values'!$B$162:$CD$181,MATCH($B286,'Default Values'!$B$101:$CD$101,0),0))</f>
        <v/>
      </c>
      <c r="F286" s="346" t="str">
        <f>IF(F$260="","",F$262*VLOOKUP(F$260&amp;" (All)",'Default Values'!$B$162:$CD$181,MATCH($B286,'Default Values'!$B$101:$CD$101,0),0))</f>
        <v/>
      </c>
      <c r="G286" s="346" t="str">
        <f>IF(G$260="","",G$262*VLOOKUP(G$260&amp;" (All)",'Default Values'!$B$162:$CD$181,MATCH($B286,'Default Values'!$B$101:$CD$101,0),0))</f>
        <v/>
      </c>
      <c r="H286" s="346" t="str">
        <f>IF(H$260="","",H$262*VLOOKUP(H$260&amp;" (All)",'Default Values'!$B$162:$CD$181,MATCH($B286,'Default Values'!$B$101:$CD$101,0),0))</f>
        <v/>
      </c>
      <c r="I286" s="346" t="str">
        <f>IF(I$260="","",I$262*VLOOKUP(I$260&amp;" (All)",'Default Values'!$B$162:$CD$181,MATCH($B286,'Default Values'!$B$101:$CD$101,0),0))</f>
        <v/>
      </c>
      <c r="J286" s="346" t="str">
        <f>IF(J$260="","",J$262*VLOOKUP(J$260&amp;" (All)",'Default Values'!$B$162:$CD$181,MATCH($B286,'Default Values'!$B$101:$CD$101,0),0))</f>
        <v/>
      </c>
      <c r="K286" s="346" t="str">
        <f>IF(K$260="","",K$262*VLOOKUP(K$260&amp;" (All)",'Default Values'!$B$162:$CD$181,MATCH($B286,'Default Values'!$B$101:$CD$101,0),0))</f>
        <v/>
      </c>
      <c r="L286" s="346" t="str">
        <f>IF(L$260="","",L$262*VLOOKUP(L$260&amp;" (All)",'Default Values'!$B$162:$CD$181,MATCH($B286,'Default Values'!$B$101:$CD$101,0),0))</f>
        <v/>
      </c>
      <c r="M286" s="346" t="str">
        <f>IF(M$260="","",M$262*VLOOKUP(M$260&amp;" (All)",'Default Values'!$B$162:$CD$181,MATCH($B286,'Default Values'!$B$101:$CD$101,0),0))</f>
        <v/>
      </c>
      <c r="N286" s="346" t="str">
        <f>IF(N$260="","",N$262*VLOOKUP(N$260&amp;" (All)",'Default Values'!$B$162:$CD$181,MATCH($B286,'Default Values'!$B$101:$CD$101,0),0))</f>
        <v/>
      </c>
      <c r="O286" s="346" t="str">
        <f>IF(O$260="","",O$262*VLOOKUP(O$260&amp;" (All)",'Default Values'!$B$162:$CD$181,MATCH($B286,'Default Values'!$B$101:$CD$101,0),0))</f>
        <v/>
      </c>
      <c r="P286" s="346" t="str">
        <f>IF(P$260="","",P$262*VLOOKUP(P$260&amp;" (All)",'Default Values'!$B$162:$CD$181,MATCH($B286,'Default Values'!$B$101:$CD$101,0),0))</f>
        <v/>
      </c>
      <c r="Q286" s="346" t="str">
        <f>IF(Q$260="","",Q$262*VLOOKUP(Q$260&amp;" (All)",'Default Values'!$B$162:$CD$181,MATCH($B286,'Default Values'!$B$101:$CD$101,0),0))</f>
        <v/>
      </c>
      <c r="R286" s="346" t="str">
        <f>IF(R$260="","",R$262*VLOOKUP(R$260&amp;" (All)",'Default Values'!$B$162:$CD$181,MATCH($B286,'Default Values'!$B$101:$CD$101,0),0))</f>
        <v/>
      </c>
      <c r="S286" s="346" t="str">
        <f>IF(S$260="","",S$262*VLOOKUP(S$260&amp;" (All)",'Default Values'!$B$162:$CD$181,MATCH($B286,'Default Values'!$B$101:$CD$101,0),0))</f>
        <v/>
      </c>
      <c r="T286" s="346" t="str">
        <f>IF(T$260="","",T$262*VLOOKUP(T$260&amp;" (All)",'Default Values'!$B$162:$CD$181,MATCH($B286,'Default Values'!$B$101:$CD$101,0),0))</f>
        <v/>
      </c>
      <c r="U286" s="346" t="str">
        <f>IF(U$260="","",U$262*VLOOKUP(U$260&amp;" (All)",'Default Values'!$B$162:$CD$181,MATCH($B286,'Default Values'!$B$101:$CD$101,0),0))</f>
        <v/>
      </c>
      <c r="V286" s="346" t="str">
        <f>IF(V$260="","",V$262*VLOOKUP(V$260&amp;" (All)",'Default Values'!$B$162:$CD$181,MATCH($B286,'Default Values'!$B$101:$CD$101,0),0))</f>
        <v/>
      </c>
      <c r="W286" s="346" t="str">
        <f>IF(W$260="","",W$262*VLOOKUP(W$260&amp;" (All)",'Default Values'!$B$162:$CD$181,MATCH($B286,'Default Values'!$B$101:$CD$101,0),0))</f>
        <v/>
      </c>
      <c r="X286" s="346" t="str">
        <f>IF(X$260="","",X$262*VLOOKUP(X$260&amp;" (All)",'Default Values'!$B$162:$CD$181,MATCH($B286,'Default Values'!$B$101:$CD$101,0),0))</f>
        <v/>
      </c>
      <c r="Y286" s="346" t="str">
        <f>IF(Y$260="","",Y$262*VLOOKUP(Y$260&amp;" (All)",'Default Values'!$B$162:$CD$181,MATCH($B286,'Default Values'!$B$101:$CD$101,0),0))</f>
        <v/>
      </c>
      <c r="Z286" s="346" t="str">
        <f>IF(Z$260="","",Z$262*VLOOKUP(Z$260&amp;" (All)",'Default Values'!$B$162:$CD$181,MATCH($B286,'Default Values'!$B$101:$CD$101,0),0))</f>
        <v/>
      </c>
      <c r="AA286" s="346" t="str">
        <f>IF(AA$260="","",AA$262*VLOOKUP(AA$260&amp;" (All)",'Default Values'!$B$162:$CD$181,MATCH($B286,'Default Values'!$B$101:$CD$101,0),0))</f>
        <v/>
      </c>
      <c r="AB286" s="346" t="str">
        <f>IF(AB$260="","",AB$262*VLOOKUP(AB$260&amp;" (All)",'Default Values'!$B$162:$CD$181,MATCH($B286,'Default Values'!$B$101:$CD$101,0),0))</f>
        <v/>
      </c>
      <c r="AC286" s="346" t="str">
        <f>IF(AC$260="","",AC$262*VLOOKUP(AC$260&amp;" (All)",'Default Values'!$B$162:$CD$181,MATCH($B286,'Default Values'!$B$101:$CD$101,0),0))</f>
        <v/>
      </c>
      <c r="AD286" s="346" t="str">
        <f>IF(AD$260="","",AD$262*VLOOKUP(AD$260&amp;" (All)",'Default Values'!$B$162:$CD$181,MATCH($B286,'Default Values'!$B$101:$CD$101,0),0))</f>
        <v/>
      </c>
      <c r="AE286" s="346" t="str">
        <f>IF(AE$260="","",AE$262*VLOOKUP(AE$260&amp;" (All)",'Default Values'!$B$162:$CD$181,MATCH($B286,'Default Values'!$B$101:$CD$101,0),0))</f>
        <v/>
      </c>
      <c r="AF286" s="346" t="str">
        <f>IF(AF$260="","",AF$262*VLOOKUP(AF$260&amp;" (All)",'Default Values'!$B$162:$CD$181,MATCH($B286,'Default Values'!$B$101:$CD$101,0),0))</f>
        <v/>
      </c>
      <c r="AG286" s="346" t="str">
        <f>IF(AG$260="","",AG$262*VLOOKUP(AG$260&amp;" (All)",'Default Values'!$B$162:$CD$181,MATCH($B286,'Default Values'!$B$101:$CD$101,0),0))</f>
        <v/>
      </c>
      <c r="AH286" s="346" t="str">
        <f>IF(AH$260="","",AH$262*VLOOKUP(AH$260&amp;" (All)",'Default Values'!$B$162:$CD$181,MATCH($B286,'Default Values'!$B$101:$CD$101,0),0))</f>
        <v/>
      </c>
      <c r="AI286" s="346" t="str">
        <f>IF(AI$260="","",AI$262*VLOOKUP(AI$260&amp;" (All)",'Default Values'!$B$162:$CD$181,MATCH($B286,'Default Values'!$B$101:$CD$101,0),0))</f>
        <v/>
      </c>
      <c r="AJ286" s="346" t="str">
        <f>IF(AJ$260="","",AJ$262*VLOOKUP(AJ$260&amp;" (All)",'Default Values'!$B$162:$CD$181,MATCH($B286,'Default Values'!$B$101:$CD$101,0),0))</f>
        <v/>
      </c>
      <c r="AK286" s="346" t="str">
        <f>IF(AK$260="","",AK$262*VLOOKUP(AK$260&amp;" (All)",'Default Values'!$B$162:$CD$181,MATCH($B286,'Default Values'!$B$101:$CD$101,0),0))</f>
        <v/>
      </c>
      <c r="AL286" s="346" t="str">
        <f>IF(AL$260="","",AL$262*VLOOKUP(AL$260&amp;" (All)",'Default Values'!$B$162:$CD$181,MATCH($B286,'Default Values'!$B$101:$CD$101,0),0))</f>
        <v/>
      </c>
      <c r="AM286" s="346" t="str">
        <f>IF(AM$260="","",AM$262*VLOOKUP(AM$260&amp;" (All)",'Default Values'!$B$162:$CD$181,MATCH($B286,'Default Values'!$B$101:$CD$101,0),0))</f>
        <v/>
      </c>
      <c r="AN286" s="346" t="str">
        <f>IF(AN$260="","",AN$262*VLOOKUP(AN$260&amp;" (All)",'Default Values'!$B$162:$CD$181,MATCH($B286,'Default Values'!$B$101:$CD$101,0),0))</f>
        <v/>
      </c>
      <c r="AO286" s="346" t="str">
        <f>IF(AO$260="","",AO$262*VLOOKUP(AO$260&amp;" (All)",'Default Values'!$B$162:$CD$181,MATCH($B286,'Default Values'!$B$101:$CD$101,0),0))</f>
        <v/>
      </c>
      <c r="AP286" s="346" t="str">
        <f>IF(AP$260="","",AP$262*VLOOKUP(AP$260&amp;" (All)",'Default Values'!$B$162:$CD$181,MATCH($B286,'Default Values'!$B$101:$CD$101,0),0))</f>
        <v/>
      </c>
      <c r="AQ286" s="346" t="str">
        <f>IF(AQ$260="","",AQ$262*VLOOKUP(AQ$260&amp;" (All)",'Default Values'!$B$162:$CD$181,MATCH($B286,'Default Values'!$B$101:$CD$101,0),0))</f>
        <v/>
      </c>
      <c r="AR286" s="346">
        <f>IF(AR$260="","",AR$262*VLOOKUP(AR$260&amp;" (All)",'Default Values'!$B$162:$CD$181,MATCH($B286,'Default Values'!$B$101:$CD$101,0),0))</f>
        <v>0.60755934019985658</v>
      </c>
      <c r="AS286" s="217"/>
      <c r="AT286" s="217"/>
      <c r="AU286" s="217"/>
      <c r="AV286" s="217"/>
      <c r="AW286" s="217"/>
      <c r="AX286" s="217"/>
      <c r="AY286" s="217"/>
      <c r="AZ286" s="217"/>
      <c r="BA286" s="217"/>
      <c r="BB286" s="217"/>
      <c r="BC286" s="217"/>
      <c r="BD286" s="217"/>
      <c r="BE286" s="217"/>
      <c r="BF286" s="217"/>
      <c r="BG286" s="217"/>
      <c r="BH286" s="217"/>
      <c r="BI286" s="217"/>
      <c r="BJ286" s="217"/>
      <c r="BK286" s="217"/>
      <c r="BL286" s="217"/>
      <c r="BM286" s="217"/>
      <c r="BN286" s="217"/>
      <c r="BO286" s="217"/>
      <c r="BP286" s="217"/>
      <c r="BQ286" s="217"/>
      <c r="BR286" s="217"/>
      <c r="BS286" s="217"/>
      <c r="BT286" s="217"/>
      <c r="BU286" s="217"/>
      <c r="BV286" s="217"/>
      <c r="BW286" s="217"/>
      <c r="BX286" s="217"/>
      <c r="BY286" s="217"/>
      <c r="BZ286" s="217"/>
      <c r="CA286" s="217"/>
      <c r="CB286" s="217"/>
      <c r="CC286" s="217"/>
      <c r="CD286" s="217"/>
      <c r="CE286" s="217"/>
      <c r="CF286" s="217"/>
      <c r="CG286" s="217"/>
      <c r="CH286" s="217"/>
      <c r="CI286" s="217"/>
      <c r="CJ286" s="217"/>
      <c r="CK286" s="217"/>
      <c r="CL286" s="217"/>
      <c r="CM286" s="217"/>
      <c r="CN286" s="217"/>
      <c r="CO286" s="217"/>
      <c r="CP286" s="217"/>
      <c r="CQ286" s="217"/>
      <c r="CR286" s="217"/>
      <c r="CS286" s="217"/>
      <c r="CT286" s="217"/>
      <c r="CU286" s="217"/>
      <c r="CV286" s="217"/>
      <c r="CW286" s="217"/>
      <c r="CX286" s="217"/>
      <c r="CY286" s="217"/>
      <c r="CZ286" s="217"/>
      <c r="DA286" s="217"/>
      <c r="DB286" s="217"/>
      <c r="DC286" s="217"/>
      <c r="DD286" s="217"/>
      <c r="DE286" s="217"/>
      <c r="DF286" s="217"/>
      <c r="DG286" s="217"/>
      <c r="DH286" s="217"/>
      <c r="DI286" s="217"/>
      <c r="DJ286" s="217"/>
      <c r="DK286" s="217"/>
      <c r="DL286" s="217"/>
      <c r="DM286" s="217"/>
      <c r="DN286" s="217"/>
      <c r="DO286" s="217"/>
      <c r="DP286" s="217"/>
      <c r="DQ286" s="217"/>
      <c r="DR286" s="217"/>
      <c r="DS286" s="217"/>
      <c r="DT286" s="217"/>
    </row>
    <row r="287" spans="1:124" x14ac:dyDescent="0.3">
      <c r="A287" s="217"/>
      <c r="B287" s="342" t="s">
        <v>193</v>
      </c>
      <c r="C287" s="345">
        <f t="shared" si="340"/>
        <v>0</v>
      </c>
      <c r="D287" s="346" t="str">
        <f>IF(D$260="","",D$262*VLOOKUP(D$260&amp;" (All)",'Default Values'!$B$162:$CD$181,MATCH($B287,'Default Values'!$B$101:$CD$101,0),0))</f>
        <v/>
      </c>
      <c r="E287" s="346" t="str">
        <f>IF(E$260="","",E$262*VLOOKUP(E$260&amp;" (All)",'Default Values'!$B$162:$CD$181,MATCH($B287,'Default Values'!$B$101:$CD$101,0),0))</f>
        <v/>
      </c>
      <c r="F287" s="346" t="str">
        <f>IF(F$260="","",F$262*VLOOKUP(F$260&amp;" (All)",'Default Values'!$B$162:$CD$181,MATCH($B287,'Default Values'!$B$101:$CD$101,0),0))</f>
        <v/>
      </c>
      <c r="G287" s="346" t="str">
        <f>IF(G$260="","",G$262*VLOOKUP(G$260&amp;" (All)",'Default Values'!$B$162:$CD$181,MATCH($B287,'Default Values'!$B$101:$CD$101,0),0))</f>
        <v/>
      </c>
      <c r="H287" s="346" t="str">
        <f>IF(H$260="","",H$262*VLOOKUP(H$260&amp;" (All)",'Default Values'!$B$162:$CD$181,MATCH($B287,'Default Values'!$B$101:$CD$101,0),0))</f>
        <v/>
      </c>
      <c r="I287" s="346" t="str">
        <f>IF(I$260="","",I$262*VLOOKUP(I$260&amp;" (All)",'Default Values'!$B$162:$CD$181,MATCH($B287,'Default Values'!$B$101:$CD$101,0),0))</f>
        <v/>
      </c>
      <c r="J287" s="346" t="str">
        <f>IF(J$260="","",J$262*VLOOKUP(J$260&amp;" (All)",'Default Values'!$B$162:$CD$181,MATCH($B287,'Default Values'!$B$101:$CD$101,0),0))</f>
        <v/>
      </c>
      <c r="K287" s="346" t="str">
        <f>IF(K$260="","",K$262*VLOOKUP(K$260&amp;" (All)",'Default Values'!$B$162:$CD$181,MATCH($B287,'Default Values'!$B$101:$CD$101,0),0))</f>
        <v/>
      </c>
      <c r="L287" s="346" t="str">
        <f>IF(L$260="","",L$262*VLOOKUP(L$260&amp;" (All)",'Default Values'!$B$162:$CD$181,MATCH($B287,'Default Values'!$B$101:$CD$101,0),0))</f>
        <v/>
      </c>
      <c r="M287" s="346" t="str">
        <f>IF(M$260="","",M$262*VLOOKUP(M$260&amp;" (All)",'Default Values'!$B$162:$CD$181,MATCH($B287,'Default Values'!$B$101:$CD$101,0),0))</f>
        <v/>
      </c>
      <c r="N287" s="346" t="str">
        <f>IF(N$260="","",N$262*VLOOKUP(N$260&amp;" (All)",'Default Values'!$B$162:$CD$181,MATCH($B287,'Default Values'!$B$101:$CD$101,0),0))</f>
        <v/>
      </c>
      <c r="O287" s="346" t="str">
        <f>IF(O$260="","",O$262*VLOOKUP(O$260&amp;" (All)",'Default Values'!$B$162:$CD$181,MATCH($B287,'Default Values'!$B$101:$CD$101,0),0))</f>
        <v/>
      </c>
      <c r="P287" s="346" t="str">
        <f>IF(P$260="","",P$262*VLOOKUP(P$260&amp;" (All)",'Default Values'!$B$162:$CD$181,MATCH($B287,'Default Values'!$B$101:$CD$101,0),0))</f>
        <v/>
      </c>
      <c r="Q287" s="346" t="str">
        <f>IF(Q$260="","",Q$262*VLOOKUP(Q$260&amp;" (All)",'Default Values'!$B$162:$CD$181,MATCH($B287,'Default Values'!$B$101:$CD$101,0),0))</f>
        <v/>
      </c>
      <c r="R287" s="346" t="str">
        <f>IF(R$260="","",R$262*VLOOKUP(R$260&amp;" (All)",'Default Values'!$B$162:$CD$181,MATCH($B287,'Default Values'!$B$101:$CD$101,0),0))</f>
        <v/>
      </c>
      <c r="S287" s="346" t="str">
        <f>IF(S$260="","",S$262*VLOOKUP(S$260&amp;" (All)",'Default Values'!$B$162:$CD$181,MATCH($B287,'Default Values'!$B$101:$CD$101,0),0))</f>
        <v/>
      </c>
      <c r="T287" s="346" t="str">
        <f>IF(T$260="","",T$262*VLOOKUP(T$260&amp;" (All)",'Default Values'!$B$162:$CD$181,MATCH($B287,'Default Values'!$B$101:$CD$101,0),0))</f>
        <v/>
      </c>
      <c r="U287" s="346" t="str">
        <f>IF(U$260="","",U$262*VLOOKUP(U$260&amp;" (All)",'Default Values'!$B$162:$CD$181,MATCH($B287,'Default Values'!$B$101:$CD$101,0),0))</f>
        <v/>
      </c>
      <c r="V287" s="346" t="str">
        <f>IF(V$260="","",V$262*VLOOKUP(V$260&amp;" (All)",'Default Values'!$B$162:$CD$181,MATCH($B287,'Default Values'!$B$101:$CD$101,0),0))</f>
        <v/>
      </c>
      <c r="W287" s="346" t="str">
        <f>IF(W$260="","",W$262*VLOOKUP(W$260&amp;" (All)",'Default Values'!$B$162:$CD$181,MATCH($B287,'Default Values'!$B$101:$CD$101,0),0))</f>
        <v/>
      </c>
      <c r="X287" s="346" t="str">
        <f>IF(X$260="","",X$262*VLOOKUP(X$260&amp;" (All)",'Default Values'!$B$162:$CD$181,MATCH($B287,'Default Values'!$B$101:$CD$101,0),0))</f>
        <v/>
      </c>
      <c r="Y287" s="346" t="str">
        <f>IF(Y$260="","",Y$262*VLOOKUP(Y$260&amp;" (All)",'Default Values'!$B$162:$CD$181,MATCH($B287,'Default Values'!$B$101:$CD$101,0),0))</f>
        <v/>
      </c>
      <c r="Z287" s="346" t="str">
        <f>IF(Z$260="","",Z$262*VLOOKUP(Z$260&amp;" (All)",'Default Values'!$B$162:$CD$181,MATCH($B287,'Default Values'!$B$101:$CD$101,0),0))</f>
        <v/>
      </c>
      <c r="AA287" s="346" t="str">
        <f>IF(AA$260="","",AA$262*VLOOKUP(AA$260&amp;" (All)",'Default Values'!$B$162:$CD$181,MATCH($B287,'Default Values'!$B$101:$CD$101,0),0))</f>
        <v/>
      </c>
      <c r="AB287" s="346" t="str">
        <f>IF(AB$260="","",AB$262*VLOOKUP(AB$260&amp;" (All)",'Default Values'!$B$162:$CD$181,MATCH($B287,'Default Values'!$B$101:$CD$101,0),0))</f>
        <v/>
      </c>
      <c r="AC287" s="346" t="str">
        <f>IF(AC$260="","",AC$262*VLOOKUP(AC$260&amp;" (All)",'Default Values'!$B$162:$CD$181,MATCH($B287,'Default Values'!$B$101:$CD$101,0),0))</f>
        <v/>
      </c>
      <c r="AD287" s="346" t="str">
        <f>IF(AD$260="","",AD$262*VLOOKUP(AD$260&amp;" (All)",'Default Values'!$B$162:$CD$181,MATCH($B287,'Default Values'!$B$101:$CD$101,0),0))</f>
        <v/>
      </c>
      <c r="AE287" s="346" t="str">
        <f>IF(AE$260="","",AE$262*VLOOKUP(AE$260&amp;" (All)",'Default Values'!$B$162:$CD$181,MATCH($B287,'Default Values'!$B$101:$CD$101,0),0))</f>
        <v/>
      </c>
      <c r="AF287" s="346" t="str">
        <f>IF(AF$260="","",AF$262*VLOOKUP(AF$260&amp;" (All)",'Default Values'!$B$162:$CD$181,MATCH($B287,'Default Values'!$B$101:$CD$101,0),0))</f>
        <v/>
      </c>
      <c r="AG287" s="346" t="str">
        <f>IF(AG$260="","",AG$262*VLOOKUP(AG$260&amp;" (All)",'Default Values'!$B$162:$CD$181,MATCH($B287,'Default Values'!$B$101:$CD$101,0),0))</f>
        <v/>
      </c>
      <c r="AH287" s="346" t="str">
        <f>IF(AH$260="","",AH$262*VLOOKUP(AH$260&amp;" (All)",'Default Values'!$B$162:$CD$181,MATCH($B287,'Default Values'!$B$101:$CD$101,0),0))</f>
        <v/>
      </c>
      <c r="AI287" s="346" t="str">
        <f>IF(AI$260="","",AI$262*VLOOKUP(AI$260&amp;" (All)",'Default Values'!$B$162:$CD$181,MATCH($B287,'Default Values'!$B$101:$CD$101,0),0))</f>
        <v/>
      </c>
      <c r="AJ287" s="346" t="str">
        <f>IF(AJ$260="","",AJ$262*VLOOKUP(AJ$260&amp;" (All)",'Default Values'!$B$162:$CD$181,MATCH($B287,'Default Values'!$B$101:$CD$101,0),0))</f>
        <v/>
      </c>
      <c r="AK287" s="346" t="str">
        <f>IF(AK$260="","",AK$262*VLOOKUP(AK$260&amp;" (All)",'Default Values'!$B$162:$CD$181,MATCH($B287,'Default Values'!$B$101:$CD$101,0),0))</f>
        <v/>
      </c>
      <c r="AL287" s="346" t="str">
        <f>IF(AL$260="","",AL$262*VLOOKUP(AL$260&amp;" (All)",'Default Values'!$B$162:$CD$181,MATCH($B287,'Default Values'!$B$101:$CD$101,0),0))</f>
        <v/>
      </c>
      <c r="AM287" s="346" t="str">
        <f>IF(AM$260="","",AM$262*VLOOKUP(AM$260&amp;" (All)",'Default Values'!$B$162:$CD$181,MATCH($B287,'Default Values'!$B$101:$CD$101,0),0))</f>
        <v/>
      </c>
      <c r="AN287" s="346" t="str">
        <f>IF(AN$260="","",AN$262*VLOOKUP(AN$260&amp;" (All)",'Default Values'!$B$162:$CD$181,MATCH($B287,'Default Values'!$B$101:$CD$101,0),0))</f>
        <v/>
      </c>
      <c r="AO287" s="346" t="str">
        <f>IF(AO$260="","",AO$262*VLOOKUP(AO$260&amp;" (All)",'Default Values'!$B$162:$CD$181,MATCH($B287,'Default Values'!$B$101:$CD$101,0),0))</f>
        <v/>
      </c>
      <c r="AP287" s="346" t="str">
        <f>IF(AP$260="","",AP$262*VLOOKUP(AP$260&amp;" (All)",'Default Values'!$B$162:$CD$181,MATCH($B287,'Default Values'!$B$101:$CD$101,0),0))</f>
        <v/>
      </c>
      <c r="AQ287" s="346" t="str">
        <f>IF(AQ$260="","",AQ$262*VLOOKUP(AQ$260&amp;" (All)",'Default Values'!$B$162:$CD$181,MATCH($B287,'Default Values'!$B$101:$CD$101,0),0))</f>
        <v/>
      </c>
      <c r="AR287" s="346">
        <f>IF(AR$260="","",AR$262*VLOOKUP(AR$260&amp;" (All)",'Default Values'!$B$162:$CD$181,MATCH($B287,'Default Values'!$B$101:$CD$101,0),0))</f>
        <v>0</v>
      </c>
      <c r="AS287" s="217"/>
      <c r="AT287" s="217"/>
      <c r="AU287" s="217"/>
      <c r="AV287" s="217"/>
      <c r="AW287" s="217"/>
      <c r="AX287" s="217"/>
      <c r="AY287" s="217"/>
      <c r="AZ287" s="217"/>
      <c r="BA287" s="217"/>
      <c r="BB287" s="217"/>
      <c r="BC287" s="217"/>
      <c r="BD287" s="217"/>
      <c r="BE287" s="217"/>
      <c r="BF287" s="217"/>
      <c r="BG287" s="217"/>
      <c r="BH287" s="217"/>
      <c r="BI287" s="217"/>
      <c r="BJ287" s="217"/>
      <c r="BK287" s="217"/>
      <c r="BL287" s="217"/>
      <c r="BM287" s="217"/>
      <c r="BN287" s="217"/>
      <c r="BO287" s="217"/>
      <c r="BP287" s="217"/>
      <c r="BQ287" s="217"/>
      <c r="BR287" s="217"/>
      <c r="BS287" s="217"/>
      <c r="BT287" s="217"/>
      <c r="BU287" s="217"/>
      <c r="BV287" s="217"/>
      <c r="BW287" s="217"/>
      <c r="BX287" s="217"/>
      <c r="BY287" s="217"/>
      <c r="BZ287" s="217"/>
      <c r="CA287" s="217"/>
      <c r="CB287" s="217"/>
      <c r="CC287" s="217"/>
      <c r="CD287" s="217"/>
      <c r="CE287" s="217"/>
      <c r="CF287" s="217"/>
      <c r="CG287" s="217"/>
      <c r="CH287" s="217"/>
      <c r="CI287" s="217"/>
      <c r="CJ287" s="217"/>
      <c r="CK287" s="217"/>
      <c r="CL287" s="217"/>
      <c r="CM287" s="217"/>
      <c r="CN287" s="217"/>
      <c r="CO287" s="217"/>
      <c r="CP287" s="217"/>
      <c r="CQ287" s="217"/>
      <c r="CR287" s="217"/>
      <c r="CS287" s="217"/>
      <c r="CT287" s="217"/>
      <c r="CU287" s="217"/>
      <c r="CV287" s="217"/>
      <c r="CW287" s="217"/>
      <c r="CX287" s="217"/>
      <c r="CY287" s="217"/>
      <c r="CZ287" s="217"/>
      <c r="DA287" s="217"/>
      <c r="DB287" s="217"/>
      <c r="DC287" s="217"/>
      <c r="DD287" s="217"/>
      <c r="DE287" s="217"/>
      <c r="DF287" s="217"/>
      <c r="DG287" s="217"/>
      <c r="DH287" s="217"/>
      <c r="DI287" s="217"/>
      <c r="DJ287" s="217"/>
      <c r="DK287" s="217"/>
      <c r="DL287" s="217"/>
      <c r="DM287" s="217"/>
      <c r="DN287" s="217"/>
      <c r="DO287" s="217"/>
      <c r="DP287" s="217"/>
      <c r="DQ287" s="217"/>
      <c r="DR287" s="217"/>
      <c r="DS287" s="217"/>
      <c r="DT287" s="217"/>
    </row>
    <row r="288" spans="1:124" x14ac:dyDescent="0.3">
      <c r="A288" s="217"/>
      <c r="B288" s="342" t="s">
        <v>195</v>
      </c>
      <c r="C288" s="345">
        <f t="shared" si="340"/>
        <v>0</v>
      </c>
      <c r="D288" s="346" t="str">
        <f>IF(D$260="","",D$262*VLOOKUP(D$260&amp;" (All)",'Default Values'!$B$162:$CD$181,MATCH($B288,'Default Values'!$B$101:$CD$101,0),0))</f>
        <v/>
      </c>
      <c r="E288" s="346" t="str">
        <f>IF(E$260="","",E$262*VLOOKUP(E$260&amp;" (All)",'Default Values'!$B$162:$CD$181,MATCH($B288,'Default Values'!$B$101:$CD$101,0),0))</f>
        <v/>
      </c>
      <c r="F288" s="346" t="str">
        <f>IF(F$260="","",F$262*VLOOKUP(F$260&amp;" (All)",'Default Values'!$B$162:$CD$181,MATCH($B288,'Default Values'!$B$101:$CD$101,0),0))</f>
        <v/>
      </c>
      <c r="G288" s="346" t="str">
        <f>IF(G$260="","",G$262*VLOOKUP(G$260&amp;" (All)",'Default Values'!$B$162:$CD$181,MATCH($B288,'Default Values'!$B$101:$CD$101,0),0))</f>
        <v/>
      </c>
      <c r="H288" s="346" t="str">
        <f>IF(H$260="","",H$262*VLOOKUP(H$260&amp;" (All)",'Default Values'!$B$162:$CD$181,MATCH($B288,'Default Values'!$B$101:$CD$101,0),0))</f>
        <v/>
      </c>
      <c r="I288" s="346" t="str">
        <f>IF(I$260="","",I$262*VLOOKUP(I$260&amp;" (All)",'Default Values'!$B$162:$CD$181,MATCH($B288,'Default Values'!$B$101:$CD$101,0),0))</f>
        <v/>
      </c>
      <c r="J288" s="346" t="str">
        <f>IF(J$260="","",J$262*VLOOKUP(J$260&amp;" (All)",'Default Values'!$B$162:$CD$181,MATCH($B288,'Default Values'!$B$101:$CD$101,0),0))</f>
        <v/>
      </c>
      <c r="K288" s="346" t="str">
        <f>IF(K$260="","",K$262*VLOOKUP(K$260&amp;" (All)",'Default Values'!$B$162:$CD$181,MATCH($B288,'Default Values'!$B$101:$CD$101,0),0))</f>
        <v/>
      </c>
      <c r="L288" s="346" t="str">
        <f>IF(L$260="","",L$262*VLOOKUP(L$260&amp;" (All)",'Default Values'!$B$162:$CD$181,MATCH($B288,'Default Values'!$B$101:$CD$101,0),0))</f>
        <v/>
      </c>
      <c r="M288" s="346" t="str">
        <f>IF(M$260="","",M$262*VLOOKUP(M$260&amp;" (All)",'Default Values'!$B$162:$CD$181,MATCH($B288,'Default Values'!$B$101:$CD$101,0),0))</f>
        <v/>
      </c>
      <c r="N288" s="346" t="str">
        <f>IF(N$260="","",N$262*VLOOKUP(N$260&amp;" (All)",'Default Values'!$B$162:$CD$181,MATCH($B288,'Default Values'!$B$101:$CD$101,0),0))</f>
        <v/>
      </c>
      <c r="O288" s="346" t="str">
        <f>IF(O$260="","",O$262*VLOOKUP(O$260&amp;" (All)",'Default Values'!$B$162:$CD$181,MATCH($B288,'Default Values'!$B$101:$CD$101,0),0))</f>
        <v/>
      </c>
      <c r="P288" s="346" t="str">
        <f>IF(P$260="","",P$262*VLOOKUP(P$260&amp;" (All)",'Default Values'!$B$162:$CD$181,MATCH($B288,'Default Values'!$B$101:$CD$101,0),0))</f>
        <v/>
      </c>
      <c r="Q288" s="346" t="str">
        <f>IF(Q$260="","",Q$262*VLOOKUP(Q$260&amp;" (All)",'Default Values'!$B$162:$CD$181,MATCH($B288,'Default Values'!$B$101:$CD$101,0),0))</f>
        <v/>
      </c>
      <c r="R288" s="346" t="str">
        <f>IF(R$260="","",R$262*VLOOKUP(R$260&amp;" (All)",'Default Values'!$B$162:$CD$181,MATCH($B288,'Default Values'!$B$101:$CD$101,0),0))</f>
        <v/>
      </c>
      <c r="S288" s="346" t="str">
        <f>IF(S$260="","",S$262*VLOOKUP(S$260&amp;" (All)",'Default Values'!$B$162:$CD$181,MATCH($B288,'Default Values'!$B$101:$CD$101,0),0))</f>
        <v/>
      </c>
      <c r="T288" s="346" t="str">
        <f>IF(T$260="","",T$262*VLOOKUP(T$260&amp;" (All)",'Default Values'!$B$162:$CD$181,MATCH($B288,'Default Values'!$B$101:$CD$101,0),0))</f>
        <v/>
      </c>
      <c r="U288" s="346" t="str">
        <f>IF(U$260="","",U$262*VLOOKUP(U$260&amp;" (All)",'Default Values'!$B$162:$CD$181,MATCH($B288,'Default Values'!$B$101:$CD$101,0),0))</f>
        <v/>
      </c>
      <c r="V288" s="346" t="str">
        <f>IF(V$260="","",V$262*VLOOKUP(V$260&amp;" (All)",'Default Values'!$B$162:$CD$181,MATCH($B288,'Default Values'!$B$101:$CD$101,0),0))</f>
        <v/>
      </c>
      <c r="W288" s="346" t="str">
        <f>IF(W$260="","",W$262*VLOOKUP(W$260&amp;" (All)",'Default Values'!$B$162:$CD$181,MATCH($B288,'Default Values'!$B$101:$CD$101,0),0))</f>
        <v/>
      </c>
      <c r="X288" s="346" t="str">
        <f>IF(X$260="","",X$262*VLOOKUP(X$260&amp;" (All)",'Default Values'!$B$162:$CD$181,MATCH($B288,'Default Values'!$B$101:$CD$101,0),0))</f>
        <v/>
      </c>
      <c r="Y288" s="346" t="str">
        <f>IF(Y$260="","",Y$262*VLOOKUP(Y$260&amp;" (All)",'Default Values'!$B$162:$CD$181,MATCH($B288,'Default Values'!$B$101:$CD$101,0),0))</f>
        <v/>
      </c>
      <c r="Z288" s="346" t="str">
        <f>IF(Z$260="","",Z$262*VLOOKUP(Z$260&amp;" (All)",'Default Values'!$B$162:$CD$181,MATCH($B288,'Default Values'!$B$101:$CD$101,0),0))</f>
        <v/>
      </c>
      <c r="AA288" s="346" t="str">
        <f>IF(AA$260="","",AA$262*VLOOKUP(AA$260&amp;" (All)",'Default Values'!$B$162:$CD$181,MATCH($B288,'Default Values'!$B$101:$CD$101,0),0))</f>
        <v/>
      </c>
      <c r="AB288" s="346" t="str">
        <f>IF(AB$260="","",AB$262*VLOOKUP(AB$260&amp;" (All)",'Default Values'!$B$162:$CD$181,MATCH($B288,'Default Values'!$B$101:$CD$101,0),0))</f>
        <v/>
      </c>
      <c r="AC288" s="346" t="str">
        <f>IF(AC$260="","",AC$262*VLOOKUP(AC$260&amp;" (All)",'Default Values'!$B$162:$CD$181,MATCH($B288,'Default Values'!$B$101:$CD$101,0),0))</f>
        <v/>
      </c>
      <c r="AD288" s="346" t="str">
        <f>IF(AD$260="","",AD$262*VLOOKUP(AD$260&amp;" (All)",'Default Values'!$B$162:$CD$181,MATCH($B288,'Default Values'!$B$101:$CD$101,0),0))</f>
        <v/>
      </c>
      <c r="AE288" s="346" t="str">
        <f>IF(AE$260="","",AE$262*VLOOKUP(AE$260&amp;" (All)",'Default Values'!$B$162:$CD$181,MATCH($B288,'Default Values'!$B$101:$CD$101,0),0))</f>
        <v/>
      </c>
      <c r="AF288" s="346" t="str">
        <f>IF(AF$260="","",AF$262*VLOOKUP(AF$260&amp;" (All)",'Default Values'!$B$162:$CD$181,MATCH($B288,'Default Values'!$B$101:$CD$101,0),0))</f>
        <v/>
      </c>
      <c r="AG288" s="346" t="str">
        <f>IF(AG$260="","",AG$262*VLOOKUP(AG$260&amp;" (All)",'Default Values'!$B$162:$CD$181,MATCH($B288,'Default Values'!$B$101:$CD$101,0),0))</f>
        <v/>
      </c>
      <c r="AH288" s="346" t="str">
        <f>IF(AH$260="","",AH$262*VLOOKUP(AH$260&amp;" (All)",'Default Values'!$B$162:$CD$181,MATCH($B288,'Default Values'!$B$101:$CD$101,0),0))</f>
        <v/>
      </c>
      <c r="AI288" s="346" t="str">
        <f>IF(AI$260="","",AI$262*VLOOKUP(AI$260&amp;" (All)",'Default Values'!$B$162:$CD$181,MATCH($B288,'Default Values'!$B$101:$CD$101,0),0))</f>
        <v/>
      </c>
      <c r="AJ288" s="346" t="str">
        <f>IF(AJ$260="","",AJ$262*VLOOKUP(AJ$260&amp;" (All)",'Default Values'!$B$162:$CD$181,MATCH($B288,'Default Values'!$B$101:$CD$101,0),0))</f>
        <v/>
      </c>
      <c r="AK288" s="346" t="str">
        <f>IF(AK$260="","",AK$262*VLOOKUP(AK$260&amp;" (All)",'Default Values'!$B$162:$CD$181,MATCH($B288,'Default Values'!$B$101:$CD$101,0),0))</f>
        <v/>
      </c>
      <c r="AL288" s="346" t="str">
        <f>IF(AL$260="","",AL$262*VLOOKUP(AL$260&amp;" (All)",'Default Values'!$B$162:$CD$181,MATCH($B288,'Default Values'!$B$101:$CD$101,0),0))</f>
        <v/>
      </c>
      <c r="AM288" s="346" t="str">
        <f>IF(AM$260="","",AM$262*VLOOKUP(AM$260&amp;" (All)",'Default Values'!$B$162:$CD$181,MATCH($B288,'Default Values'!$B$101:$CD$101,0),0))</f>
        <v/>
      </c>
      <c r="AN288" s="346" t="str">
        <f>IF(AN$260="","",AN$262*VLOOKUP(AN$260&amp;" (All)",'Default Values'!$B$162:$CD$181,MATCH($B288,'Default Values'!$B$101:$CD$101,0),0))</f>
        <v/>
      </c>
      <c r="AO288" s="346" t="str">
        <f>IF(AO$260="","",AO$262*VLOOKUP(AO$260&amp;" (All)",'Default Values'!$B$162:$CD$181,MATCH($B288,'Default Values'!$B$101:$CD$101,0),0))</f>
        <v/>
      </c>
      <c r="AP288" s="346" t="str">
        <f>IF(AP$260="","",AP$262*VLOOKUP(AP$260&amp;" (All)",'Default Values'!$B$162:$CD$181,MATCH($B288,'Default Values'!$B$101:$CD$101,0),0))</f>
        <v/>
      </c>
      <c r="AQ288" s="346" t="str">
        <f>IF(AQ$260="","",AQ$262*VLOOKUP(AQ$260&amp;" (All)",'Default Values'!$B$162:$CD$181,MATCH($B288,'Default Values'!$B$101:$CD$101,0),0))</f>
        <v/>
      </c>
      <c r="AR288" s="346">
        <f>IF(AR$260="","",AR$262*VLOOKUP(AR$260&amp;" (All)",'Default Values'!$B$162:$CD$181,MATCH($B288,'Default Values'!$B$101:$CD$101,0),0))</f>
        <v>0</v>
      </c>
      <c r="AS288" s="217"/>
      <c r="AT288" s="217"/>
      <c r="AU288" s="217"/>
      <c r="AV288" s="217"/>
      <c r="AW288" s="217"/>
      <c r="AX288" s="217"/>
      <c r="AY288" s="217"/>
      <c r="AZ288" s="217"/>
      <c r="BA288" s="217"/>
      <c r="BB288" s="217"/>
      <c r="BC288" s="217"/>
      <c r="BD288" s="217"/>
      <c r="BE288" s="217"/>
      <c r="BF288" s="217"/>
      <c r="BG288" s="217"/>
      <c r="BH288" s="217"/>
      <c r="BI288" s="217"/>
      <c r="BJ288" s="217"/>
      <c r="BK288" s="217"/>
      <c r="BL288" s="217"/>
      <c r="BM288" s="217"/>
      <c r="BN288" s="217"/>
      <c r="BO288" s="217"/>
      <c r="BP288" s="217"/>
      <c r="BQ288" s="217"/>
      <c r="BR288" s="217"/>
      <c r="BS288" s="217"/>
      <c r="BT288" s="217"/>
      <c r="BU288" s="217"/>
      <c r="BV288" s="217"/>
      <c r="BW288" s="217"/>
      <c r="BX288" s="217"/>
      <c r="BY288" s="217"/>
      <c r="BZ288" s="217"/>
      <c r="CA288" s="217"/>
      <c r="CB288" s="217"/>
      <c r="CC288" s="217"/>
      <c r="CD288" s="217"/>
      <c r="CE288" s="217"/>
      <c r="CF288" s="217"/>
      <c r="CG288" s="217"/>
      <c r="CH288" s="217"/>
      <c r="CI288" s="217"/>
      <c r="CJ288" s="217"/>
      <c r="CK288" s="217"/>
      <c r="CL288" s="217"/>
      <c r="CM288" s="217"/>
      <c r="CN288" s="217"/>
      <c r="CO288" s="217"/>
      <c r="CP288" s="217"/>
      <c r="CQ288" s="217"/>
      <c r="CR288" s="217"/>
      <c r="CS288" s="217"/>
      <c r="CT288" s="217"/>
      <c r="CU288" s="217"/>
      <c r="CV288" s="217"/>
      <c r="CW288" s="217"/>
      <c r="CX288" s="217"/>
      <c r="CY288" s="217"/>
      <c r="CZ288" s="217"/>
      <c r="DA288" s="217"/>
      <c r="DB288" s="217"/>
      <c r="DC288" s="217"/>
      <c r="DD288" s="217"/>
      <c r="DE288" s="217"/>
      <c r="DF288" s="217"/>
      <c r="DG288" s="217"/>
      <c r="DH288" s="217"/>
      <c r="DI288" s="217"/>
      <c r="DJ288" s="217"/>
      <c r="DK288" s="217"/>
      <c r="DL288" s="217"/>
      <c r="DM288" s="217"/>
      <c r="DN288" s="217"/>
      <c r="DO288" s="217"/>
      <c r="DP288" s="217"/>
      <c r="DQ288" s="217"/>
      <c r="DR288" s="217"/>
      <c r="DS288" s="217"/>
      <c r="DT288" s="217"/>
    </row>
    <row r="289" spans="1:124" x14ac:dyDescent="0.3">
      <c r="A289" s="217"/>
      <c r="B289" s="342" t="s">
        <v>197</v>
      </c>
      <c r="C289" s="345">
        <f t="shared" si="340"/>
        <v>0</v>
      </c>
      <c r="D289" s="346" t="str">
        <f>IF(D$260="","",D$262*VLOOKUP(D$260&amp;" (All)",'Default Values'!$B$162:$CD$181,MATCH($B289,'Default Values'!$B$101:$CD$101,0),0))</f>
        <v/>
      </c>
      <c r="E289" s="346" t="str">
        <f>IF(E$260="","",E$262*VLOOKUP(E$260&amp;" (All)",'Default Values'!$B$162:$CD$181,MATCH($B289,'Default Values'!$B$101:$CD$101,0),0))</f>
        <v/>
      </c>
      <c r="F289" s="346" t="str">
        <f>IF(F$260="","",F$262*VLOOKUP(F$260&amp;" (All)",'Default Values'!$B$162:$CD$181,MATCH($B289,'Default Values'!$B$101:$CD$101,0),0))</f>
        <v/>
      </c>
      <c r="G289" s="346" t="str">
        <f>IF(G$260="","",G$262*VLOOKUP(G$260&amp;" (All)",'Default Values'!$B$162:$CD$181,MATCH($B289,'Default Values'!$B$101:$CD$101,0),0))</f>
        <v/>
      </c>
      <c r="H289" s="346" t="str">
        <f>IF(H$260="","",H$262*VLOOKUP(H$260&amp;" (All)",'Default Values'!$B$162:$CD$181,MATCH($B289,'Default Values'!$B$101:$CD$101,0),0))</f>
        <v/>
      </c>
      <c r="I289" s="346" t="str">
        <f>IF(I$260="","",I$262*VLOOKUP(I$260&amp;" (All)",'Default Values'!$B$162:$CD$181,MATCH($B289,'Default Values'!$B$101:$CD$101,0),0))</f>
        <v/>
      </c>
      <c r="J289" s="346" t="str">
        <f>IF(J$260="","",J$262*VLOOKUP(J$260&amp;" (All)",'Default Values'!$B$162:$CD$181,MATCH($B289,'Default Values'!$B$101:$CD$101,0),0))</f>
        <v/>
      </c>
      <c r="K289" s="346" t="str">
        <f>IF(K$260="","",K$262*VLOOKUP(K$260&amp;" (All)",'Default Values'!$B$162:$CD$181,MATCH($B289,'Default Values'!$B$101:$CD$101,0),0))</f>
        <v/>
      </c>
      <c r="L289" s="346" t="str">
        <f>IF(L$260="","",L$262*VLOOKUP(L$260&amp;" (All)",'Default Values'!$B$162:$CD$181,MATCH($B289,'Default Values'!$B$101:$CD$101,0),0))</f>
        <v/>
      </c>
      <c r="M289" s="346" t="str">
        <f>IF(M$260="","",M$262*VLOOKUP(M$260&amp;" (All)",'Default Values'!$B$162:$CD$181,MATCH($B289,'Default Values'!$B$101:$CD$101,0),0))</f>
        <v/>
      </c>
      <c r="N289" s="346" t="str">
        <f>IF(N$260="","",N$262*VLOOKUP(N$260&amp;" (All)",'Default Values'!$B$162:$CD$181,MATCH($B289,'Default Values'!$B$101:$CD$101,0),0))</f>
        <v/>
      </c>
      <c r="O289" s="346" t="str">
        <f>IF(O$260="","",O$262*VLOOKUP(O$260&amp;" (All)",'Default Values'!$B$162:$CD$181,MATCH($B289,'Default Values'!$B$101:$CD$101,0),0))</f>
        <v/>
      </c>
      <c r="P289" s="346" t="str">
        <f>IF(P$260="","",P$262*VLOOKUP(P$260&amp;" (All)",'Default Values'!$B$162:$CD$181,MATCH($B289,'Default Values'!$B$101:$CD$101,0),0))</f>
        <v/>
      </c>
      <c r="Q289" s="346" t="str">
        <f>IF(Q$260="","",Q$262*VLOOKUP(Q$260&amp;" (All)",'Default Values'!$B$162:$CD$181,MATCH($B289,'Default Values'!$B$101:$CD$101,0),0))</f>
        <v/>
      </c>
      <c r="R289" s="346" t="str">
        <f>IF(R$260="","",R$262*VLOOKUP(R$260&amp;" (All)",'Default Values'!$B$162:$CD$181,MATCH($B289,'Default Values'!$B$101:$CD$101,0),0))</f>
        <v/>
      </c>
      <c r="S289" s="346" t="str">
        <f>IF(S$260="","",S$262*VLOOKUP(S$260&amp;" (All)",'Default Values'!$B$162:$CD$181,MATCH($B289,'Default Values'!$B$101:$CD$101,0),0))</f>
        <v/>
      </c>
      <c r="T289" s="346" t="str">
        <f>IF(T$260="","",T$262*VLOOKUP(T$260&amp;" (All)",'Default Values'!$B$162:$CD$181,MATCH($B289,'Default Values'!$B$101:$CD$101,0),0))</f>
        <v/>
      </c>
      <c r="U289" s="346" t="str">
        <f>IF(U$260="","",U$262*VLOOKUP(U$260&amp;" (All)",'Default Values'!$B$162:$CD$181,MATCH($B289,'Default Values'!$B$101:$CD$101,0),0))</f>
        <v/>
      </c>
      <c r="V289" s="346" t="str">
        <f>IF(V$260="","",V$262*VLOOKUP(V$260&amp;" (All)",'Default Values'!$B$162:$CD$181,MATCH($B289,'Default Values'!$B$101:$CD$101,0),0))</f>
        <v/>
      </c>
      <c r="W289" s="346" t="str">
        <f>IF(W$260="","",W$262*VLOOKUP(W$260&amp;" (All)",'Default Values'!$B$162:$CD$181,MATCH($B289,'Default Values'!$B$101:$CD$101,0),0))</f>
        <v/>
      </c>
      <c r="X289" s="346" t="str">
        <f>IF(X$260="","",X$262*VLOOKUP(X$260&amp;" (All)",'Default Values'!$B$162:$CD$181,MATCH($B289,'Default Values'!$B$101:$CD$101,0),0))</f>
        <v/>
      </c>
      <c r="Y289" s="346" t="str">
        <f>IF(Y$260="","",Y$262*VLOOKUP(Y$260&amp;" (All)",'Default Values'!$B$162:$CD$181,MATCH($B289,'Default Values'!$B$101:$CD$101,0),0))</f>
        <v/>
      </c>
      <c r="Z289" s="346" t="str">
        <f>IF(Z$260="","",Z$262*VLOOKUP(Z$260&amp;" (All)",'Default Values'!$B$162:$CD$181,MATCH($B289,'Default Values'!$B$101:$CD$101,0),0))</f>
        <v/>
      </c>
      <c r="AA289" s="346" t="str">
        <f>IF(AA$260="","",AA$262*VLOOKUP(AA$260&amp;" (All)",'Default Values'!$B$162:$CD$181,MATCH($B289,'Default Values'!$B$101:$CD$101,0),0))</f>
        <v/>
      </c>
      <c r="AB289" s="346" t="str">
        <f>IF(AB$260="","",AB$262*VLOOKUP(AB$260&amp;" (All)",'Default Values'!$B$162:$CD$181,MATCH($B289,'Default Values'!$B$101:$CD$101,0),0))</f>
        <v/>
      </c>
      <c r="AC289" s="346" t="str">
        <f>IF(AC$260="","",AC$262*VLOOKUP(AC$260&amp;" (All)",'Default Values'!$B$162:$CD$181,MATCH($B289,'Default Values'!$B$101:$CD$101,0),0))</f>
        <v/>
      </c>
      <c r="AD289" s="346" t="str">
        <f>IF(AD$260="","",AD$262*VLOOKUP(AD$260&amp;" (All)",'Default Values'!$B$162:$CD$181,MATCH($B289,'Default Values'!$B$101:$CD$101,0),0))</f>
        <v/>
      </c>
      <c r="AE289" s="346" t="str">
        <f>IF(AE$260="","",AE$262*VLOOKUP(AE$260&amp;" (All)",'Default Values'!$B$162:$CD$181,MATCH($B289,'Default Values'!$B$101:$CD$101,0),0))</f>
        <v/>
      </c>
      <c r="AF289" s="346" t="str">
        <f>IF(AF$260="","",AF$262*VLOOKUP(AF$260&amp;" (All)",'Default Values'!$B$162:$CD$181,MATCH($B289,'Default Values'!$B$101:$CD$101,0),0))</f>
        <v/>
      </c>
      <c r="AG289" s="346" t="str">
        <f>IF(AG$260="","",AG$262*VLOOKUP(AG$260&amp;" (All)",'Default Values'!$B$162:$CD$181,MATCH($B289,'Default Values'!$B$101:$CD$101,0),0))</f>
        <v/>
      </c>
      <c r="AH289" s="346" t="str">
        <f>IF(AH$260="","",AH$262*VLOOKUP(AH$260&amp;" (All)",'Default Values'!$B$162:$CD$181,MATCH($B289,'Default Values'!$B$101:$CD$101,0),0))</f>
        <v/>
      </c>
      <c r="AI289" s="346" t="str">
        <f>IF(AI$260="","",AI$262*VLOOKUP(AI$260&amp;" (All)",'Default Values'!$B$162:$CD$181,MATCH($B289,'Default Values'!$B$101:$CD$101,0),0))</f>
        <v/>
      </c>
      <c r="AJ289" s="346" t="str">
        <f>IF(AJ$260="","",AJ$262*VLOOKUP(AJ$260&amp;" (All)",'Default Values'!$B$162:$CD$181,MATCH($B289,'Default Values'!$B$101:$CD$101,0),0))</f>
        <v/>
      </c>
      <c r="AK289" s="346" t="str">
        <f>IF(AK$260="","",AK$262*VLOOKUP(AK$260&amp;" (All)",'Default Values'!$B$162:$CD$181,MATCH($B289,'Default Values'!$B$101:$CD$101,0),0))</f>
        <v/>
      </c>
      <c r="AL289" s="346" t="str">
        <f>IF(AL$260="","",AL$262*VLOOKUP(AL$260&amp;" (All)",'Default Values'!$B$162:$CD$181,MATCH($B289,'Default Values'!$B$101:$CD$101,0),0))</f>
        <v/>
      </c>
      <c r="AM289" s="346" t="str">
        <f>IF(AM$260="","",AM$262*VLOOKUP(AM$260&amp;" (All)",'Default Values'!$B$162:$CD$181,MATCH($B289,'Default Values'!$B$101:$CD$101,0),0))</f>
        <v/>
      </c>
      <c r="AN289" s="346" t="str">
        <f>IF(AN$260="","",AN$262*VLOOKUP(AN$260&amp;" (All)",'Default Values'!$B$162:$CD$181,MATCH($B289,'Default Values'!$B$101:$CD$101,0),0))</f>
        <v/>
      </c>
      <c r="AO289" s="346" t="str">
        <f>IF(AO$260="","",AO$262*VLOOKUP(AO$260&amp;" (All)",'Default Values'!$B$162:$CD$181,MATCH($B289,'Default Values'!$B$101:$CD$101,0),0))</f>
        <v/>
      </c>
      <c r="AP289" s="346" t="str">
        <f>IF(AP$260="","",AP$262*VLOOKUP(AP$260&amp;" (All)",'Default Values'!$B$162:$CD$181,MATCH($B289,'Default Values'!$B$101:$CD$101,0),0))</f>
        <v/>
      </c>
      <c r="AQ289" s="346" t="str">
        <f>IF(AQ$260="","",AQ$262*VLOOKUP(AQ$260&amp;" (All)",'Default Values'!$B$162:$CD$181,MATCH($B289,'Default Values'!$B$101:$CD$101,0),0))</f>
        <v/>
      </c>
      <c r="AR289" s="346">
        <f>IF(AR$260="","",AR$262*VLOOKUP(AR$260&amp;" (All)",'Default Values'!$B$162:$CD$181,MATCH($B289,'Default Values'!$B$101:$CD$101,0),0))</f>
        <v>0</v>
      </c>
      <c r="AS289" s="217"/>
      <c r="AT289" s="217"/>
      <c r="AU289" s="217"/>
      <c r="AV289" s="217"/>
      <c r="AW289" s="217"/>
      <c r="AX289" s="217"/>
      <c r="AY289" s="217"/>
      <c r="AZ289" s="217"/>
      <c r="BA289" s="217"/>
      <c r="BB289" s="217"/>
      <c r="BC289" s="217"/>
      <c r="BD289" s="217"/>
      <c r="BE289" s="217"/>
      <c r="BF289" s="217"/>
      <c r="BG289" s="217"/>
      <c r="BH289" s="217"/>
      <c r="BI289" s="217"/>
      <c r="BJ289" s="217"/>
      <c r="BK289" s="217"/>
      <c r="BL289" s="217"/>
      <c r="BM289" s="217"/>
      <c r="BN289" s="217"/>
      <c r="BO289" s="217"/>
      <c r="BP289" s="217"/>
      <c r="BQ289" s="217"/>
      <c r="BR289" s="217"/>
      <c r="BS289" s="217"/>
      <c r="BT289" s="217"/>
      <c r="BU289" s="217"/>
      <c r="BV289" s="217"/>
      <c r="BW289" s="217"/>
      <c r="BX289" s="217"/>
      <c r="BY289" s="217"/>
      <c r="BZ289" s="217"/>
      <c r="CA289" s="217"/>
      <c r="CB289" s="217"/>
      <c r="CC289" s="217"/>
      <c r="CD289" s="217"/>
      <c r="CE289" s="217"/>
      <c r="CF289" s="217"/>
      <c r="CG289" s="217"/>
      <c r="CH289" s="217"/>
      <c r="CI289" s="217"/>
      <c r="CJ289" s="217"/>
      <c r="CK289" s="217"/>
      <c r="CL289" s="217"/>
      <c r="CM289" s="217"/>
      <c r="CN289" s="217"/>
      <c r="CO289" s="217"/>
      <c r="CP289" s="217"/>
      <c r="CQ289" s="217"/>
      <c r="CR289" s="217"/>
      <c r="CS289" s="217"/>
      <c r="CT289" s="217"/>
      <c r="CU289" s="217"/>
      <c r="CV289" s="217"/>
      <c r="CW289" s="217"/>
      <c r="CX289" s="217"/>
      <c r="CY289" s="217"/>
      <c r="CZ289" s="217"/>
      <c r="DA289" s="217"/>
      <c r="DB289" s="217"/>
      <c r="DC289" s="217"/>
      <c r="DD289" s="217"/>
      <c r="DE289" s="217"/>
      <c r="DF289" s="217"/>
      <c r="DG289" s="217"/>
      <c r="DH289" s="217"/>
      <c r="DI289" s="217"/>
      <c r="DJ289" s="217"/>
      <c r="DK289" s="217"/>
      <c r="DL289" s="217"/>
      <c r="DM289" s="217"/>
      <c r="DN289" s="217"/>
      <c r="DO289" s="217"/>
      <c r="DP289" s="217"/>
      <c r="DQ289" s="217"/>
      <c r="DR289" s="217"/>
      <c r="DS289" s="217"/>
      <c r="DT289" s="217"/>
    </row>
    <row r="290" spans="1:124" x14ac:dyDescent="0.3">
      <c r="A290" s="217"/>
      <c r="B290" s="342" t="s">
        <v>199</v>
      </c>
      <c r="C290" s="345">
        <f t="shared" si="340"/>
        <v>0</v>
      </c>
      <c r="D290" s="346" t="str">
        <f>IF(D$260="","",D$262*VLOOKUP(D$260&amp;" (All)",'Default Values'!$B$162:$CD$181,MATCH($B290,'Default Values'!$B$101:$CD$101,0),0))</f>
        <v/>
      </c>
      <c r="E290" s="346" t="str">
        <f>IF(E$260="","",E$262*VLOOKUP(E$260&amp;" (All)",'Default Values'!$B$162:$CD$181,MATCH($B290,'Default Values'!$B$101:$CD$101,0),0))</f>
        <v/>
      </c>
      <c r="F290" s="346" t="str">
        <f>IF(F$260="","",F$262*VLOOKUP(F$260&amp;" (All)",'Default Values'!$B$162:$CD$181,MATCH($B290,'Default Values'!$B$101:$CD$101,0),0))</f>
        <v/>
      </c>
      <c r="G290" s="346" t="str">
        <f>IF(G$260="","",G$262*VLOOKUP(G$260&amp;" (All)",'Default Values'!$B$162:$CD$181,MATCH($B290,'Default Values'!$B$101:$CD$101,0),0))</f>
        <v/>
      </c>
      <c r="H290" s="346" t="str">
        <f>IF(H$260="","",H$262*VLOOKUP(H$260&amp;" (All)",'Default Values'!$B$162:$CD$181,MATCH($B290,'Default Values'!$B$101:$CD$101,0),0))</f>
        <v/>
      </c>
      <c r="I290" s="346" t="str">
        <f>IF(I$260="","",I$262*VLOOKUP(I$260&amp;" (All)",'Default Values'!$B$162:$CD$181,MATCH($B290,'Default Values'!$B$101:$CD$101,0),0))</f>
        <v/>
      </c>
      <c r="J290" s="346" t="str">
        <f>IF(J$260="","",J$262*VLOOKUP(J$260&amp;" (All)",'Default Values'!$B$162:$CD$181,MATCH($B290,'Default Values'!$B$101:$CD$101,0),0))</f>
        <v/>
      </c>
      <c r="K290" s="346" t="str">
        <f>IF(K$260="","",K$262*VLOOKUP(K$260&amp;" (All)",'Default Values'!$B$162:$CD$181,MATCH($B290,'Default Values'!$B$101:$CD$101,0),0))</f>
        <v/>
      </c>
      <c r="L290" s="346" t="str">
        <f>IF(L$260="","",L$262*VLOOKUP(L$260&amp;" (All)",'Default Values'!$B$162:$CD$181,MATCH($B290,'Default Values'!$B$101:$CD$101,0),0))</f>
        <v/>
      </c>
      <c r="M290" s="346" t="str">
        <f>IF(M$260="","",M$262*VLOOKUP(M$260&amp;" (All)",'Default Values'!$B$162:$CD$181,MATCH($B290,'Default Values'!$B$101:$CD$101,0),0))</f>
        <v/>
      </c>
      <c r="N290" s="346" t="str">
        <f>IF(N$260="","",N$262*VLOOKUP(N$260&amp;" (All)",'Default Values'!$B$162:$CD$181,MATCH($B290,'Default Values'!$B$101:$CD$101,0),0))</f>
        <v/>
      </c>
      <c r="O290" s="346" t="str">
        <f>IF(O$260="","",O$262*VLOOKUP(O$260&amp;" (All)",'Default Values'!$B$162:$CD$181,MATCH($B290,'Default Values'!$B$101:$CD$101,0),0))</f>
        <v/>
      </c>
      <c r="P290" s="346" t="str">
        <f>IF(P$260="","",P$262*VLOOKUP(P$260&amp;" (All)",'Default Values'!$B$162:$CD$181,MATCH($B290,'Default Values'!$B$101:$CD$101,0),0))</f>
        <v/>
      </c>
      <c r="Q290" s="346" t="str">
        <f>IF(Q$260="","",Q$262*VLOOKUP(Q$260&amp;" (All)",'Default Values'!$B$162:$CD$181,MATCH($B290,'Default Values'!$B$101:$CD$101,0),0))</f>
        <v/>
      </c>
      <c r="R290" s="346" t="str">
        <f>IF(R$260="","",R$262*VLOOKUP(R$260&amp;" (All)",'Default Values'!$B$162:$CD$181,MATCH($B290,'Default Values'!$B$101:$CD$101,0),0))</f>
        <v/>
      </c>
      <c r="S290" s="346" t="str">
        <f>IF(S$260="","",S$262*VLOOKUP(S$260&amp;" (All)",'Default Values'!$B$162:$CD$181,MATCH($B290,'Default Values'!$B$101:$CD$101,0),0))</f>
        <v/>
      </c>
      <c r="T290" s="346" t="str">
        <f>IF(T$260="","",T$262*VLOOKUP(T$260&amp;" (All)",'Default Values'!$B$162:$CD$181,MATCH($B290,'Default Values'!$B$101:$CD$101,0),0))</f>
        <v/>
      </c>
      <c r="U290" s="346" t="str">
        <f>IF(U$260="","",U$262*VLOOKUP(U$260&amp;" (All)",'Default Values'!$B$162:$CD$181,MATCH($B290,'Default Values'!$B$101:$CD$101,0),0))</f>
        <v/>
      </c>
      <c r="V290" s="346" t="str">
        <f>IF(V$260="","",V$262*VLOOKUP(V$260&amp;" (All)",'Default Values'!$B$162:$CD$181,MATCH($B290,'Default Values'!$B$101:$CD$101,0),0))</f>
        <v/>
      </c>
      <c r="W290" s="346" t="str">
        <f>IF(W$260="","",W$262*VLOOKUP(W$260&amp;" (All)",'Default Values'!$B$162:$CD$181,MATCH($B290,'Default Values'!$B$101:$CD$101,0),0))</f>
        <v/>
      </c>
      <c r="X290" s="346" t="str">
        <f>IF(X$260="","",X$262*VLOOKUP(X$260&amp;" (All)",'Default Values'!$B$162:$CD$181,MATCH($B290,'Default Values'!$B$101:$CD$101,0),0))</f>
        <v/>
      </c>
      <c r="Y290" s="346" t="str">
        <f>IF(Y$260="","",Y$262*VLOOKUP(Y$260&amp;" (All)",'Default Values'!$B$162:$CD$181,MATCH($B290,'Default Values'!$B$101:$CD$101,0),0))</f>
        <v/>
      </c>
      <c r="Z290" s="346" t="str">
        <f>IF(Z$260="","",Z$262*VLOOKUP(Z$260&amp;" (All)",'Default Values'!$B$162:$CD$181,MATCH($B290,'Default Values'!$B$101:$CD$101,0),0))</f>
        <v/>
      </c>
      <c r="AA290" s="346" t="str">
        <f>IF(AA$260="","",AA$262*VLOOKUP(AA$260&amp;" (All)",'Default Values'!$B$162:$CD$181,MATCH($B290,'Default Values'!$B$101:$CD$101,0),0))</f>
        <v/>
      </c>
      <c r="AB290" s="346" t="str">
        <f>IF(AB$260="","",AB$262*VLOOKUP(AB$260&amp;" (All)",'Default Values'!$B$162:$CD$181,MATCH($B290,'Default Values'!$B$101:$CD$101,0),0))</f>
        <v/>
      </c>
      <c r="AC290" s="346" t="str">
        <f>IF(AC$260="","",AC$262*VLOOKUP(AC$260&amp;" (All)",'Default Values'!$B$162:$CD$181,MATCH($B290,'Default Values'!$B$101:$CD$101,0),0))</f>
        <v/>
      </c>
      <c r="AD290" s="346" t="str">
        <f>IF(AD$260="","",AD$262*VLOOKUP(AD$260&amp;" (All)",'Default Values'!$B$162:$CD$181,MATCH($B290,'Default Values'!$B$101:$CD$101,0),0))</f>
        <v/>
      </c>
      <c r="AE290" s="346" t="str">
        <f>IF(AE$260="","",AE$262*VLOOKUP(AE$260&amp;" (All)",'Default Values'!$B$162:$CD$181,MATCH($B290,'Default Values'!$B$101:$CD$101,0),0))</f>
        <v/>
      </c>
      <c r="AF290" s="346" t="str">
        <f>IF(AF$260="","",AF$262*VLOOKUP(AF$260&amp;" (All)",'Default Values'!$B$162:$CD$181,MATCH($B290,'Default Values'!$B$101:$CD$101,0),0))</f>
        <v/>
      </c>
      <c r="AG290" s="346" t="str">
        <f>IF(AG$260="","",AG$262*VLOOKUP(AG$260&amp;" (All)",'Default Values'!$B$162:$CD$181,MATCH($B290,'Default Values'!$B$101:$CD$101,0),0))</f>
        <v/>
      </c>
      <c r="AH290" s="346" t="str">
        <f>IF(AH$260="","",AH$262*VLOOKUP(AH$260&amp;" (All)",'Default Values'!$B$162:$CD$181,MATCH($B290,'Default Values'!$B$101:$CD$101,0),0))</f>
        <v/>
      </c>
      <c r="AI290" s="346" t="str">
        <f>IF(AI$260="","",AI$262*VLOOKUP(AI$260&amp;" (All)",'Default Values'!$B$162:$CD$181,MATCH($B290,'Default Values'!$B$101:$CD$101,0),0))</f>
        <v/>
      </c>
      <c r="AJ290" s="346" t="str">
        <f>IF(AJ$260="","",AJ$262*VLOOKUP(AJ$260&amp;" (All)",'Default Values'!$B$162:$CD$181,MATCH($B290,'Default Values'!$B$101:$CD$101,0),0))</f>
        <v/>
      </c>
      <c r="AK290" s="346" t="str">
        <f>IF(AK$260="","",AK$262*VLOOKUP(AK$260&amp;" (All)",'Default Values'!$B$162:$CD$181,MATCH($B290,'Default Values'!$B$101:$CD$101,0),0))</f>
        <v/>
      </c>
      <c r="AL290" s="346" t="str">
        <f>IF(AL$260="","",AL$262*VLOOKUP(AL$260&amp;" (All)",'Default Values'!$B$162:$CD$181,MATCH($B290,'Default Values'!$B$101:$CD$101,0),0))</f>
        <v/>
      </c>
      <c r="AM290" s="346" t="str">
        <f>IF(AM$260="","",AM$262*VLOOKUP(AM$260&amp;" (All)",'Default Values'!$B$162:$CD$181,MATCH($B290,'Default Values'!$B$101:$CD$101,0),0))</f>
        <v/>
      </c>
      <c r="AN290" s="346" t="str">
        <f>IF(AN$260="","",AN$262*VLOOKUP(AN$260&amp;" (All)",'Default Values'!$B$162:$CD$181,MATCH($B290,'Default Values'!$B$101:$CD$101,0),0))</f>
        <v/>
      </c>
      <c r="AO290" s="346" t="str">
        <f>IF(AO$260="","",AO$262*VLOOKUP(AO$260&amp;" (All)",'Default Values'!$B$162:$CD$181,MATCH($B290,'Default Values'!$B$101:$CD$101,0),0))</f>
        <v/>
      </c>
      <c r="AP290" s="346" t="str">
        <f>IF(AP$260="","",AP$262*VLOOKUP(AP$260&amp;" (All)",'Default Values'!$B$162:$CD$181,MATCH($B290,'Default Values'!$B$101:$CD$101,0),0))</f>
        <v/>
      </c>
      <c r="AQ290" s="346" t="str">
        <f>IF(AQ$260="","",AQ$262*VLOOKUP(AQ$260&amp;" (All)",'Default Values'!$B$162:$CD$181,MATCH($B290,'Default Values'!$B$101:$CD$101,0),0))</f>
        <v/>
      </c>
      <c r="AR290" s="346">
        <f>IF(AR$260="","",AR$262*VLOOKUP(AR$260&amp;" (All)",'Default Values'!$B$162:$CD$181,MATCH($B290,'Default Values'!$B$101:$CD$101,0),0))</f>
        <v>0</v>
      </c>
      <c r="AS290" s="217"/>
      <c r="AT290" s="217"/>
      <c r="AU290" s="217"/>
      <c r="AV290" s="217"/>
      <c r="AW290" s="217"/>
      <c r="AX290" s="217"/>
      <c r="AY290" s="217"/>
      <c r="AZ290" s="217"/>
      <c r="BA290" s="217"/>
      <c r="BB290" s="217"/>
      <c r="BC290" s="217"/>
      <c r="BD290" s="217"/>
      <c r="BE290" s="217"/>
      <c r="BF290" s="217"/>
      <c r="BG290" s="217"/>
      <c r="BH290" s="217"/>
      <c r="BI290" s="217"/>
      <c r="BJ290" s="217"/>
      <c r="BK290" s="217"/>
      <c r="BL290" s="217"/>
      <c r="BM290" s="217"/>
      <c r="BN290" s="217"/>
      <c r="BO290" s="217"/>
      <c r="BP290" s="217"/>
      <c r="BQ290" s="217"/>
      <c r="BR290" s="217"/>
      <c r="BS290" s="217"/>
      <c r="BT290" s="217"/>
      <c r="BU290" s="217"/>
      <c r="BV290" s="217"/>
      <c r="BW290" s="217"/>
      <c r="BX290" s="217"/>
      <c r="BY290" s="217"/>
      <c r="BZ290" s="217"/>
      <c r="CA290" s="217"/>
      <c r="CB290" s="217"/>
      <c r="CC290" s="217"/>
      <c r="CD290" s="217"/>
      <c r="CE290" s="217"/>
      <c r="CF290" s="217"/>
      <c r="CG290" s="217"/>
      <c r="CH290" s="217"/>
      <c r="CI290" s="217"/>
      <c r="CJ290" s="217"/>
      <c r="CK290" s="217"/>
      <c r="CL290" s="217"/>
      <c r="CM290" s="217"/>
      <c r="CN290" s="217"/>
      <c r="CO290" s="217"/>
      <c r="CP290" s="217"/>
      <c r="CQ290" s="217"/>
      <c r="CR290" s="217"/>
      <c r="CS290" s="217"/>
      <c r="CT290" s="217"/>
      <c r="CU290" s="217"/>
      <c r="CV290" s="217"/>
      <c r="CW290" s="217"/>
      <c r="CX290" s="217"/>
      <c r="CY290" s="217"/>
      <c r="CZ290" s="217"/>
      <c r="DA290" s="217"/>
      <c r="DB290" s="217"/>
      <c r="DC290" s="217"/>
      <c r="DD290" s="217"/>
      <c r="DE290" s="217"/>
      <c r="DF290" s="217"/>
      <c r="DG290" s="217"/>
      <c r="DH290" s="217"/>
      <c r="DI290" s="217"/>
      <c r="DJ290" s="217"/>
      <c r="DK290" s="217"/>
      <c r="DL290" s="217"/>
      <c r="DM290" s="217"/>
      <c r="DN290" s="217"/>
      <c r="DO290" s="217"/>
      <c r="DP290" s="217"/>
      <c r="DQ290" s="217"/>
      <c r="DR290" s="217"/>
      <c r="DS290" s="217"/>
      <c r="DT290" s="217"/>
    </row>
    <row r="291" spans="1:124" x14ac:dyDescent="0.3">
      <c r="A291" s="217"/>
      <c r="B291" s="342" t="s">
        <v>200</v>
      </c>
      <c r="C291" s="345">
        <f t="shared" si="340"/>
        <v>0</v>
      </c>
      <c r="D291" s="346" t="str">
        <f>IF(D$260="","",D$262*VLOOKUP(D$260&amp;" (All)",'Default Values'!$B$162:$CD$181,MATCH($B291,'Default Values'!$B$101:$CD$101,0),0))</f>
        <v/>
      </c>
      <c r="E291" s="346" t="str">
        <f>IF(E$260="","",E$262*VLOOKUP(E$260&amp;" (All)",'Default Values'!$B$162:$CD$181,MATCH($B291,'Default Values'!$B$101:$CD$101,0),0))</f>
        <v/>
      </c>
      <c r="F291" s="346" t="str">
        <f>IF(F$260="","",F$262*VLOOKUP(F$260&amp;" (All)",'Default Values'!$B$162:$CD$181,MATCH($B291,'Default Values'!$B$101:$CD$101,0),0))</f>
        <v/>
      </c>
      <c r="G291" s="346" t="str">
        <f>IF(G$260="","",G$262*VLOOKUP(G$260&amp;" (All)",'Default Values'!$B$162:$CD$181,MATCH($B291,'Default Values'!$B$101:$CD$101,0),0))</f>
        <v/>
      </c>
      <c r="H291" s="346" t="str">
        <f>IF(H$260="","",H$262*VLOOKUP(H$260&amp;" (All)",'Default Values'!$B$162:$CD$181,MATCH($B291,'Default Values'!$B$101:$CD$101,0),0))</f>
        <v/>
      </c>
      <c r="I291" s="346" t="str">
        <f>IF(I$260="","",I$262*VLOOKUP(I$260&amp;" (All)",'Default Values'!$B$162:$CD$181,MATCH($B291,'Default Values'!$B$101:$CD$101,0),0))</f>
        <v/>
      </c>
      <c r="J291" s="346" t="str">
        <f>IF(J$260="","",J$262*VLOOKUP(J$260&amp;" (All)",'Default Values'!$B$162:$CD$181,MATCH($B291,'Default Values'!$B$101:$CD$101,0),0))</f>
        <v/>
      </c>
      <c r="K291" s="346" t="str">
        <f>IF(K$260="","",K$262*VLOOKUP(K$260&amp;" (All)",'Default Values'!$B$162:$CD$181,MATCH($B291,'Default Values'!$B$101:$CD$101,0),0))</f>
        <v/>
      </c>
      <c r="L291" s="346" t="str">
        <f>IF(L$260="","",L$262*VLOOKUP(L$260&amp;" (All)",'Default Values'!$B$162:$CD$181,MATCH($B291,'Default Values'!$B$101:$CD$101,0),0))</f>
        <v/>
      </c>
      <c r="M291" s="346" t="str">
        <f>IF(M$260="","",M$262*VLOOKUP(M$260&amp;" (All)",'Default Values'!$B$162:$CD$181,MATCH($B291,'Default Values'!$B$101:$CD$101,0),0))</f>
        <v/>
      </c>
      <c r="N291" s="346" t="str">
        <f>IF(N$260="","",N$262*VLOOKUP(N$260&amp;" (All)",'Default Values'!$B$162:$CD$181,MATCH($B291,'Default Values'!$B$101:$CD$101,0),0))</f>
        <v/>
      </c>
      <c r="O291" s="346" t="str">
        <f>IF(O$260="","",O$262*VLOOKUP(O$260&amp;" (All)",'Default Values'!$B$162:$CD$181,MATCH($B291,'Default Values'!$B$101:$CD$101,0),0))</f>
        <v/>
      </c>
      <c r="P291" s="346" t="str">
        <f>IF(P$260="","",P$262*VLOOKUP(P$260&amp;" (All)",'Default Values'!$B$162:$CD$181,MATCH($B291,'Default Values'!$B$101:$CD$101,0),0))</f>
        <v/>
      </c>
      <c r="Q291" s="346" t="str">
        <f>IF(Q$260="","",Q$262*VLOOKUP(Q$260&amp;" (All)",'Default Values'!$B$162:$CD$181,MATCH($B291,'Default Values'!$B$101:$CD$101,0),0))</f>
        <v/>
      </c>
      <c r="R291" s="346" t="str">
        <f>IF(R$260="","",R$262*VLOOKUP(R$260&amp;" (All)",'Default Values'!$B$162:$CD$181,MATCH($B291,'Default Values'!$B$101:$CD$101,0),0))</f>
        <v/>
      </c>
      <c r="S291" s="346" t="str">
        <f>IF(S$260="","",S$262*VLOOKUP(S$260&amp;" (All)",'Default Values'!$B$162:$CD$181,MATCH($B291,'Default Values'!$B$101:$CD$101,0),0))</f>
        <v/>
      </c>
      <c r="T291" s="346" t="str">
        <f>IF(T$260="","",T$262*VLOOKUP(T$260&amp;" (All)",'Default Values'!$B$162:$CD$181,MATCH($B291,'Default Values'!$B$101:$CD$101,0),0))</f>
        <v/>
      </c>
      <c r="U291" s="346" t="str">
        <f>IF(U$260="","",U$262*VLOOKUP(U$260&amp;" (All)",'Default Values'!$B$162:$CD$181,MATCH($B291,'Default Values'!$B$101:$CD$101,0),0))</f>
        <v/>
      </c>
      <c r="V291" s="346" t="str">
        <f>IF(V$260="","",V$262*VLOOKUP(V$260&amp;" (All)",'Default Values'!$B$162:$CD$181,MATCH($B291,'Default Values'!$B$101:$CD$101,0),0))</f>
        <v/>
      </c>
      <c r="W291" s="346" t="str">
        <f>IF(W$260="","",W$262*VLOOKUP(W$260&amp;" (All)",'Default Values'!$B$162:$CD$181,MATCH($B291,'Default Values'!$B$101:$CD$101,0),0))</f>
        <v/>
      </c>
      <c r="X291" s="346" t="str">
        <f>IF(X$260="","",X$262*VLOOKUP(X$260&amp;" (All)",'Default Values'!$B$162:$CD$181,MATCH($B291,'Default Values'!$B$101:$CD$101,0),0))</f>
        <v/>
      </c>
      <c r="Y291" s="346" t="str">
        <f>IF(Y$260="","",Y$262*VLOOKUP(Y$260&amp;" (All)",'Default Values'!$B$162:$CD$181,MATCH($B291,'Default Values'!$B$101:$CD$101,0),0))</f>
        <v/>
      </c>
      <c r="Z291" s="346" t="str">
        <f>IF(Z$260="","",Z$262*VLOOKUP(Z$260&amp;" (All)",'Default Values'!$B$162:$CD$181,MATCH($B291,'Default Values'!$B$101:$CD$101,0),0))</f>
        <v/>
      </c>
      <c r="AA291" s="346" t="str">
        <f>IF(AA$260="","",AA$262*VLOOKUP(AA$260&amp;" (All)",'Default Values'!$B$162:$CD$181,MATCH($B291,'Default Values'!$B$101:$CD$101,0),0))</f>
        <v/>
      </c>
      <c r="AB291" s="346" t="str">
        <f>IF(AB$260="","",AB$262*VLOOKUP(AB$260&amp;" (All)",'Default Values'!$B$162:$CD$181,MATCH($B291,'Default Values'!$B$101:$CD$101,0),0))</f>
        <v/>
      </c>
      <c r="AC291" s="346" t="str">
        <f>IF(AC$260="","",AC$262*VLOOKUP(AC$260&amp;" (All)",'Default Values'!$B$162:$CD$181,MATCH($B291,'Default Values'!$B$101:$CD$101,0),0))</f>
        <v/>
      </c>
      <c r="AD291" s="346" t="str">
        <f>IF(AD$260="","",AD$262*VLOOKUP(AD$260&amp;" (All)",'Default Values'!$B$162:$CD$181,MATCH($B291,'Default Values'!$B$101:$CD$101,0),0))</f>
        <v/>
      </c>
      <c r="AE291" s="346" t="str">
        <f>IF(AE$260="","",AE$262*VLOOKUP(AE$260&amp;" (All)",'Default Values'!$B$162:$CD$181,MATCH($B291,'Default Values'!$B$101:$CD$101,0),0))</f>
        <v/>
      </c>
      <c r="AF291" s="346" t="str">
        <f>IF(AF$260="","",AF$262*VLOOKUP(AF$260&amp;" (All)",'Default Values'!$B$162:$CD$181,MATCH($B291,'Default Values'!$B$101:$CD$101,0),0))</f>
        <v/>
      </c>
      <c r="AG291" s="346" t="str">
        <f>IF(AG$260="","",AG$262*VLOOKUP(AG$260&amp;" (All)",'Default Values'!$B$162:$CD$181,MATCH($B291,'Default Values'!$B$101:$CD$101,0),0))</f>
        <v/>
      </c>
      <c r="AH291" s="346" t="str">
        <f>IF(AH$260="","",AH$262*VLOOKUP(AH$260&amp;" (All)",'Default Values'!$B$162:$CD$181,MATCH($B291,'Default Values'!$B$101:$CD$101,0),0))</f>
        <v/>
      </c>
      <c r="AI291" s="346" t="str">
        <f>IF(AI$260="","",AI$262*VLOOKUP(AI$260&amp;" (All)",'Default Values'!$B$162:$CD$181,MATCH($B291,'Default Values'!$B$101:$CD$101,0),0))</f>
        <v/>
      </c>
      <c r="AJ291" s="346" t="str">
        <f>IF(AJ$260="","",AJ$262*VLOOKUP(AJ$260&amp;" (All)",'Default Values'!$B$162:$CD$181,MATCH($B291,'Default Values'!$B$101:$CD$101,0),0))</f>
        <v/>
      </c>
      <c r="AK291" s="346" t="str">
        <f>IF(AK$260="","",AK$262*VLOOKUP(AK$260&amp;" (All)",'Default Values'!$B$162:$CD$181,MATCH($B291,'Default Values'!$B$101:$CD$101,0),0))</f>
        <v/>
      </c>
      <c r="AL291" s="346" t="str">
        <f>IF(AL$260="","",AL$262*VLOOKUP(AL$260&amp;" (All)",'Default Values'!$B$162:$CD$181,MATCH($B291,'Default Values'!$B$101:$CD$101,0),0))</f>
        <v/>
      </c>
      <c r="AM291" s="346" t="str">
        <f>IF(AM$260="","",AM$262*VLOOKUP(AM$260&amp;" (All)",'Default Values'!$B$162:$CD$181,MATCH($B291,'Default Values'!$B$101:$CD$101,0),0))</f>
        <v/>
      </c>
      <c r="AN291" s="346" t="str">
        <f>IF(AN$260="","",AN$262*VLOOKUP(AN$260&amp;" (All)",'Default Values'!$B$162:$CD$181,MATCH($B291,'Default Values'!$B$101:$CD$101,0),0))</f>
        <v/>
      </c>
      <c r="AO291" s="346" t="str">
        <f>IF(AO$260="","",AO$262*VLOOKUP(AO$260&amp;" (All)",'Default Values'!$B$162:$CD$181,MATCH($B291,'Default Values'!$B$101:$CD$101,0),0))</f>
        <v/>
      </c>
      <c r="AP291" s="346" t="str">
        <f>IF(AP$260="","",AP$262*VLOOKUP(AP$260&amp;" (All)",'Default Values'!$B$162:$CD$181,MATCH($B291,'Default Values'!$B$101:$CD$101,0),0))</f>
        <v/>
      </c>
      <c r="AQ291" s="346" t="str">
        <f>IF(AQ$260="","",AQ$262*VLOOKUP(AQ$260&amp;" (All)",'Default Values'!$B$162:$CD$181,MATCH($B291,'Default Values'!$B$101:$CD$101,0),0))</f>
        <v/>
      </c>
      <c r="AR291" s="346">
        <f>IF(AR$260="","",AR$262*VLOOKUP(AR$260&amp;" (All)",'Default Values'!$B$162:$CD$181,MATCH($B291,'Default Values'!$B$101:$CD$101,0),0))</f>
        <v>0</v>
      </c>
      <c r="AS291" s="217"/>
      <c r="AT291" s="217"/>
      <c r="AU291" s="217"/>
      <c r="AV291" s="217"/>
      <c r="AW291" s="217"/>
      <c r="AX291" s="217"/>
      <c r="AY291" s="217"/>
      <c r="AZ291" s="217"/>
      <c r="BA291" s="217"/>
      <c r="BB291" s="217"/>
      <c r="BC291" s="217"/>
      <c r="BD291" s="217"/>
      <c r="BE291" s="217"/>
      <c r="BF291" s="217"/>
      <c r="BG291" s="217"/>
      <c r="BH291" s="217"/>
      <c r="BI291" s="217"/>
      <c r="BJ291" s="217"/>
      <c r="BK291" s="217"/>
      <c r="BL291" s="217"/>
      <c r="BM291" s="217"/>
      <c r="BN291" s="217"/>
      <c r="BO291" s="217"/>
      <c r="BP291" s="217"/>
      <c r="BQ291" s="217"/>
      <c r="BR291" s="217"/>
      <c r="BS291" s="217"/>
      <c r="BT291" s="217"/>
      <c r="BU291" s="217"/>
      <c r="BV291" s="217"/>
      <c r="BW291" s="217"/>
      <c r="BX291" s="217"/>
      <c r="BY291" s="217"/>
      <c r="BZ291" s="217"/>
      <c r="CA291" s="217"/>
      <c r="CB291" s="217"/>
      <c r="CC291" s="217"/>
      <c r="CD291" s="217"/>
      <c r="CE291" s="217"/>
      <c r="CF291" s="217"/>
      <c r="CG291" s="217"/>
      <c r="CH291" s="217"/>
      <c r="CI291" s="217"/>
      <c r="CJ291" s="217"/>
      <c r="CK291" s="217"/>
      <c r="CL291" s="217"/>
      <c r="CM291" s="217"/>
      <c r="CN291" s="217"/>
      <c r="CO291" s="217"/>
      <c r="CP291" s="217"/>
      <c r="CQ291" s="217"/>
      <c r="CR291" s="217"/>
      <c r="CS291" s="217"/>
      <c r="CT291" s="217"/>
      <c r="CU291" s="217"/>
      <c r="CV291" s="217"/>
      <c r="CW291" s="217"/>
      <c r="CX291" s="217"/>
      <c r="CY291" s="217"/>
      <c r="CZ291" s="217"/>
      <c r="DA291" s="217"/>
      <c r="DB291" s="217"/>
      <c r="DC291" s="217"/>
      <c r="DD291" s="217"/>
      <c r="DE291" s="217"/>
      <c r="DF291" s="217"/>
      <c r="DG291" s="217"/>
      <c r="DH291" s="217"/>
      <c r="DI291" s="217"/>
      <c r="DJ291" s="217"/>
      <c r="DK291" s="217"/>
      <c r="DL291" s="217"/>
      <c r="DM291" s="217"/>
      <c r="DN291" s="217"/>
      <c r="DO291" s="217"/>
      <c r="DP291" s="217"/>
      <c r="DQ291" s="217"/>
      <c r="DR291" s="217"/>
      <c r="DS291" s="217"/>
      <c r="DT291" s="217"/>
    </row>
    <row r="292" spans="1:124" x14ac:dyDescent="0.3">
      <c r="A292" s="217"/>
      <c r="B292" s="342" t="s">
        <v>201</v>
      </c>
      <c r="C292" s="345">
        <f t="shared" si="340"/>
        <v>0</v>
      </c>
      <c r="D292" s="346" t="str">
        <f>IF(D$260="","",D$262*VLOOKUP(D$260&amp;" (All)",'Default Values'!$B$162:$CD$181,MATCH($B292,'Default Values'!$B$101:$CD$101,0),0))</f>
        <v/>
      </c>
      <c r="E292" s="346" t="str">
        <f>IF(E$260="","",E$262*VLOOKUP(E$260&amp;" (All)",'Default Values'!$B$162:$CD$181,MATCH($B292,'Default Values'!$B$101:$CD$101,0),0))</f>
        <v/>
      </c>
      <c r="F292" s="346" t="str">
        <f>IF(F$260="","",F$262*VLOOKUP(F$260&amp;" (All)",'Default Values'!$B$162:$CD$181,MATCH($B292,'Default Values'!$B$101:$CD$101,0),0))</f>
        <v/>
      </c>
      <c r="G292" s="346" t="str">
        <f>IF(G$260="","",G$262*VLOOKUP(G$260&amp;" (All)",'Default Values'!$B$162:$CD$181,MATCH($B292,'Default Values'!$B$101:$CD$101,0),0))</f>
        <v/>
      </c>
      <c r="H292" s="346" t="str">
        <f>IF(H$260="","",H$262*VLOOKUP(H$260&amp;" (All)",'Default Values'!$B$162:$CD$181,MATCH($B292,'Default Values'!$B$101:$CD$101,0),0))</f>
        <v/>
      </c>
      <c r="I292" s="346" t="str">
        <f>IF(I$260="","",I$262*VLOOKUP(I$260&amp;" (All)",'Default Values'!$B$162:$CD$181,MATCH($B292,'Default Values'!$B$101:$CD$101,0),0))</f>
        <v/>
      </c>
      <c r="J292" s="346" t="str">
        <f>IF(J$260="","",J$262*VLOOKUP(J$260&amp;" (All)",'Default Values'!$B$162:$CD$181,MATCH($B292,'Default Values'!$B$101:$CD$101,0),0))</f>
        <v/>
      </c>
      <c r="K292" s="346" t="str">
        <f>IF(K$260="","",K$262*VLOOKUP(K$260&amp;" (All)",'Default Values'!$B$162:$CD$181,MATCH($B292,'Default Values'!$B$101:$CD$101,0),0))</f>
        <v/>
      </c>
      <c r="L292" s="346" t="str">
        <f>IF(L$260="","",L$262*VLOOKUP(L$260&amp;" (All)",'Default Values'!$B$162:$CD$181,MATCH($B292,'Default Values'!$B$101:$CD$101,0),0))</f>
        <v/>
      </c>
      <c r="M292" s="346" t="str">
        <f>IF(M$260="","",M$262*VLOOKUP(M$260&amp;" (All)",'Default Values'!$B$162:$CD$181,MATCH($B292,'Default Values'!$B$101:$CD$101,0),0))</f>
        <v/>
      </c>
      <c r="N292" s="346" t="str">
        <f>IF(N$260="","",N$262*VLOOKUP(N$260&amp;" (All)",'Default Values'!$B$162:$CD$181,MATCH($B292,'Default Values'!$B$101:$CD$101,0),0))</f>
        <v/>
      </c>
      <c r="O292" s="346" t="str">
        <f>IF(O$260="","",O$262*VLOOKUP(O$260&amp;" (All)",'Default Values'!$B$162:$CD$181,MATCH($B292,'Default Values'!$B$101:$CD$101,0),0))</f>
        <v/>
      </c>
      <c r="P292" s="346" t="str">
        <f>IF(P$260="","",P$262*VLOOKUP(P$260&amp;" (All)",'Default Values'!$B$162:$CD$181,MATCH($B292,'Default Values'!$B$101:$CD$101,0),0))</f>
        <v/>
      </c>
      <c r="Q292" s="346" t="str">
        <f>IF(Q$260="","",Q$262*VLOOKUP(Q$260&amp;" (All)",'Default Values'!$B$162:$CD$181,MATCH($B292,'Default Values'!$B$101:$CD$101,0),0))</f>
        <v/>
      </c>
      <c r="R292" s="346" t="str">
        <f>IF(R$260="","",R$262*VLOOKUP(R$260&amp;" (All)",'Default Values'!$B$162:$CD$181,MATCH($B292,'Default Values'!$B$101:$CD$101,0),0))</f>
        <v/>
      </c>
      <c r="S292" s="346" t="str">
        <f>IF(S$260="","",S$262*VLOOKUP(S$260&amp;" (All)",'Default Values'!$B$162:$CD$181,MATCH($B292,'Default Values'!$B$101:$CD$101,0),0))</f>
        <v/>
      </c>
      <c r="T292" s="346" t="str">
        <f>IF(T$260="","",T$262*VLOOKUP(T$260&amp;" (All)",'Default Values'!$B$162:$CD$181,MATCH($B292,'Default Values'!$B$101:$CD$101,0),0))</f>
        <v/>
      </c>
      <c r="U292" s="346" t="str">
        <f>IF(U$260="","",U$262*VLOOKUP(U$260&amp;" (All)",'Default Values'!$B$162:$CD$181,MATCH($B292,'Default Values'!$B$101:$CD$101,0),0))</f>
        <v/>
      </c>
      <c r="V292" s="346" t="str">
        <f>IF(V$260="","",V$262*VLOOKUP(V$260&amp;" (All)",'Default Values'!$B$162:$CD$181,MATCH($B292,'Default Values'!$B$101:$CD$101,0),0))</f>
        <v/>
      </c>
      <c r="W292" s="346" t="str">
        <f>IF(W$260="","",W$262*VLOOKUP(W$260&amp;" (All)",'Default Values'!$B$162:$CD$181,MATCH($B292,'Default Values'!$B$101:$CD$101,0),0))</f>
        <v/>
      </c>
      <c r="X292" s="346" t="str">
        <f>IF(X$260="","",X$262*VLOOKUP(X$260&amp;" (All)",'Default Values'!$B$162:$CD$181,MATCH($B292,'Default Values'!$B$101:$CD$101,0),0))</f>
        <v/>
      </c>
      <c r="Y292" s="346" t="str">
        <f>IF(Y$260="","",Y$262*VLOOKUP(Y$260&amp;" (All)",'Default Values'!$B$162:$CD$181,MATCH($B292,'Default Values'!$B$101:$CD$101,0),0))</f>
        <v/>
      </c>
      <c r="Z292" s="346" t="str">
        <f>IF(Z$260="","",Z$262*VLOOKUP(Z$260&amp;" (All)",'Default Values'!$B$162:$CD$181,MATCH($B292,'Default Values'!$B$101:$CD$101,0),0))</f>
        <v/>
      </c>
      <c r="AA292" s="346" t="str">
        <f>IF(AA$260="","",AA$262*VLOOKUP(AA$260&amp;" (All)",'Default Values'!$B$162:$CD$181,MATCH($B292,'Default Values'!$B$101:$CD$101,0),0))</f>
        <v/>
      </c>
      <c r="AB292" s="346" t="str">
        <f>IF(AB$260="","",AB$262*VLOOKUP(AB$260&amp;" (All)",'Default Values'!$B$162:$CD$181,MATCH($B292,'Default Values'!$B$101:$CD$101,0),0))</f>
        <v/>
      </c>
      <c r="AC292" s="346" t="str">
        <f>IF(AC$260="","",AC$262*VLOOKUP(AC$260&amp;" (All)",'Default Values'!$B$162:$CD$181,MATCH($B292,'Default Values'!$B$101:$CD$101,0),0))</f>
        <v/>
      </c>
      <c r="AD292" s="346" t="str">
        <f>IF(AD$260="","",AD$262*VLOOKUP(AD$260&amp;" (All)",'Default Values'!$B$162:$CD$181,MATCH($B292,'Default Values'!$B$101:$CD$101,0),0))</f>
        <v/>
      </c>
      <c r="AE292" s="346" t="str">
        <f>IF(AE$260="","",AE$262*VLOOKUP(AE$260&amp;" (All)",'Default Values'!$B$162:$CD$181,MATCH($B292,'Default Values'!$B$101:$CD$101,0),0))</f>
        <v/>
      </c>
      <c r="AF292" s="346" t="str">
        <f>IF(AF$260="","",AF$262*VLOOKUP(AF$260&amp;" (All)",'Default Values'!$B$162:$CD$181,MATCH($B292,'Default Values'!$B$101:$CD$101,0),0))</f>
        <v/>
      </c>
      <c r="AG292" s="346" t="str">
        <f>IF(AG$260="","",AG$262*VLOOKUP(AG$260&amp;" (All)",'Default Values'!$B$162:$CD$181,MATCH($B292,'Default Values'!$B$101:$CD$101,0),0))</f>
        <v/>
      </c>
      <c r="AH292" s="346" t="str">
        <f>IF(AH$260="","",AH$262*VLOOKUP(AH$260&amp;" (All)",'Default Values'!$B$162:$CD$181,MATCH($B292,'Default Values'!$B$101:$CD$101,0),0))</f>
        <v/>
      </c>
      <c r="AI292" s="346" t="str">
        <f>IF(AI$260="","",AI$262*VLOOKUP(AI$260&amp;" (All)",'Default Values'!$B$162:$CD$181,MATCH($B292,'Default Values'!$B$101:$CD$101,0),0))</f>
        <v/>
      </c>
      <c r="AJ292" s="346" t="str">
        <f>IF(AJ$260="","",AJ$262*VLOOKUP(AJ$260&amp;" (All)",'Default Values'!$B$162:$CD$181,MATCH($B292,'Default Values'!$B$101:$CD$101,0),0))</f>
        <v/>
      </c>
      <c r="AK292" s="346" t="str">
        <f>IF(AK$260="","",AK$262*VLOOKUP(AK$260&amp;" (All)",'Default Values'!$B$162:$CD$181,MATCH($B292,'Default Values'!$B$101:$CD$101,0),0))</f>
        <v/>
      </c>
      <c r="AL292" s="346" t="str">
        <f>IF(AL$260="","",AL$262*VLOOKUP(AL$260&amp;" (All)",'Default Values'!$B$162:$CD$181,MATCH($B292,'Default Values'!$B$101:$CD$101,0),0))</f>
        <v/>
      </c>
      <c r="AM292" s="346" t="str">
        <f>IF(AM$260="","",AM$262*VLOOKUP(AM$260&amp;" (All)",'Default Values'!$B$162:$CD$181,MATCH($B292,'Default Values'!$B$101:$CD$101,0),0))</f>
        <v/>
      </c>
      <c r="AN292" s="346" t="str">
        <f>IF(AN$260="","",AN$262*VLOOKUP(AN$260&amp;" (All)",'Default Values'!$B$162:$CD$181,MATCH($B292,'Default Values'!$B$101:$CD$101,0),0))</f>
        <v/>
      </c>
      <c r="AO292" s="346" t="str">
        <f>IF(AO$260="","",AO$262*VLOOKUP(AO$260&amp;" (All)",'Default Values'!$B$162:$CD$181,MATCH($B292,'Default Values'!$B$101:$CD$101,0),0))</f>
        <v/>
      </c>
      <c r="AP292" s="346" t="str">
        <f>IF(AP$260="","",AP$262*VLOOKUP(AP$260&amp;" (All)",'Default Values'!$B$162:$CD$181,MATCH($B292,'Default Values'!$B$101:$CD$101,0),0))</f>
        <v/>
      </c>
      <c r="AQ292" s="346" t="str">
        <f>IF(AQ$260="","",AQ$262*VLOOKUP(AQ$260&amp;" (All)",'Default Values'!$B$162:$CD$181,MATCH($B292,'Default Values'!$B$101:$CD$101,0),0))</f>
        <v/>
      </c>
      <c r="AR292" s="346">
        <f>IF(AR$260="","",AR$262*VLOOKUP(AR$260&amp;" (All)",'Default Values'!$B$162:$CD$181,MATCH($B292,'Default Values'!$B$101:$CD$101,0),0))</f>
        <v>0</v>
      </c>
      <c r="AS292" s="217"/>
      <c r="AT292" s="217"/>
      <c r="AU292" s="217"/>
      <c r="AV292" s="217"/>
      <c r="AW292" s="217"/>
      <c r="AX292" s="217"/>
      <c r="AY292" s="217"/>
      <c r="AZ292" s="217"/>
      <c r="BA292" s="217"/>
      <c r="BB292" s="217"/>
      <c r="BC292" s="217"/>
      <c r="BD292" s="217"/>
      <c r="BE292" s="217"/>
      <c r="BF292" s="217"/>
      <c r="BG292" s="217"/>
      <c r="BH292" s="217"/>
      <c r="BI292" s="217"/>
      <c r="BJ292" s="217"/>
      <c r="BK292" s="217"/>
      <c r="BL292" s="217"/>
      <c r="BM292" s="217"/>
      <c r="BN292" s="217"/>
      <c r="BO292" s="217"/>
      <c r="BP292" s="217"/>
      <c r="BQ292" s="217"/>
      <c r="BR292" s="217"/>
      <c r="BS292" s="217"/>
      <c r="BT292" s="217"/>
      <c r="BU292" s="217"/>
      <c r="BV292" s="217"/>
      <c r="BW292" s="217"/>
      <c r="BX292" s="217"/>
      <c r="BY292" s="217"/>
      <c r="BZ292" s="217"/>
      <c r="CA292" s="217"/>
      <c r="CB292" s="217"/>
      <c r="CC292" s="217"/>
      <c r="CD292" s="217"/>
      <c r="CE292" s="217"/>
      <c r="CF292" s="217"/>
      <c r="CG292" s="217"/>
      <c r="CH292" s="217"/>
      <c r="CI292" s="217"/>
      <c r="CJ292" s="217"/>
      <c r="CK292" s="217"/>
      <c r="CL292" s="217"/>
      <c r="CM292" s="217"/>
      <c r="CN292" s="217"/>
      <c r="CO292" s="217"/>
      <c r="CP292" s="217"/>
      <c r="CQ292" s="217"/>
      <c r="CR292" s="217"/>
      <c r="CS292" s="217"/>
      <c r="CT292" s="217"/>
      <c r="CU292" s="217"/>
      <c r="CV292" s="217"/>
      <c r="CW292" s="217"/>
      <c r="CX292" s="217"/>
      <c r="CY292" s="217"/>
      <c r="CZ292" s="217"/>
      <c r="DA292" s="217"/>
      <c r="DB292" s="217"/>
      <c r="DC292" s="217"/>
      <c r="DD292" s="217"/>
      <c r="DE292" s="217"/>
      <c r="DF292" s="217"/>
      <c r="DG292" s="217"/>
      <c r="DH292" s="217"/>
      <c r="DI292" s="217"/>
      <c r="DJ292" s="217"/>
      <c r="DK292" s="217"/>
      <c r="DL292" s="217"/>
      <c r="DM292" s="217"/>
      <c r="DN292" s="217"/>
      <c r="DO292" s="217"/>
      <c r="DP292" s="217"/>
      <c r="DQ292" s="217"/>
      <c r="DR292" s="217"/>
      <c r="DS292" s="217"/>
      <c r="DT292" s="217"/>
    </row>
    <row r="293" spans="1:124" x14ac:dyDescent="0.3">
      <c r="A293" s="217"/>
      <c r="B293" s="342" t="s">
        <v>202</v>
      </c>
      <c r="C293" s="345">
        <f t="shared" si="340"/>
        <v>0</v>
      </c>
      <c r="D293" s="346" t="str">
        <f>IF(D$260="","",D$262*VLOOKUP(D$260&amp;" (All)",'Default Values'!$B$162:$CD$181,MATCH($B293,'Default Values'!$B$101:$CD$101,0),0))</f>
        <v/>
      </c>
      <c r="E293" s="346" t="str">
        <f>IF(E$260="","",E$262*VLOOKUP(E$260&amp;" (All)",'Default Values'!$B$162:$CD$181,MATCH($B293,'Default Values'!$B$101:$CD$101,0),0))</f>
        <v/>
      </c>
      <c r="F293" s="346" t="str">
        <f>IF(F$260="","",F$262*VLOOKUP(F$260&amp;" (All)",'Default Values'!$B$162:$CD$181,MATCH($B293,'Default Values'!$B$101:$CD$101,0),0))</f>
        <v/>
      </c>
      <c r="G293" s="346" t="str">
        <f>IF(G$260="","",G$262*VLOOKUP(G$260&amp;" (All)",'Default Values'!$B$162:$CD$181,MATCH($B293,'Default Values'!$B$101:$CD$101,0),0))</f>
        <v/>
      </c>
      <c r="H293" s="346" t="str">
        <f>IF(H$260="","",H$262*VLOOKUP(H$260&amp;" (All)",'Default Values'!$B$162:$CD$181,MATCH($B293,'Default Values'!$B$101:$CD$101,0),0))</f>
        <v/>
      </c>
      <c r="I293" s="346" t="str">
        <f>IF(I$260="","",I$262*VLOOKUP(I$260&amp;" (All)",'Default Values'!$B$162:$CD$181,MATCH($B293,'Default Values'!$B$101:$CD$101,0),0))</f>
        <v/>
      </c>
      <c r="J293" s="346" t="str">
        <f>IF(J$260="","",J$262*VLOOKUP(J$260&amp;" (All)",'Default Values'!$B$162:$CD$181,MATCH($B293,'Default Values'!$B$101:$CD$101,0),0))</f>
        <v/>
      </c>
      <c r="K293" s="346" t="str">
        <f>IF(K$260="","",K$262*VLOOKUP(K$260&amp;" (All)",'Default Values'!$B$162:$CD$181,MATCH($B293,'Default Values'!$B$101:$CD$101,0),0))</f>
        <v/>
      </c>
      <c r="L293" s="346" t="str">
        <f>IF(L$260="","",L$262*VLOOKUP(L$260&amp;" (All)",'Default Values'!$B$162:$CD$181,MATCH($B293,'Default Values'!$B$101:$CD$101,0),0))</f>
        <v/>
      </c>
      <c r="M293" s="346" t="str">
        <f>IF(M$260="","",M$262*VLOOKUP(M$260&amp;" (All)",'Default Values'!$B$162:$CD$181,MATCH($B293,'Default Values'!$B$101:$CD$101,0),0))</f>
        <v/>
      </c>
      <c r="N293" s="346" t="str">
        <f>IF(N$260="","",N$262*VLOOKUP(N$260&amp;" (All)",'Default Values'!$B$162:$CD$181,MATCH($B293,'Default Values'!$B$101:$CD$101,0),0))</f>
        <v/>
      </c>
      <c r="O293" s="346" t="str">
        <f>IF(O$260="","",O$262*VLOOKUP(O$260&amp;" (All)",'Default Values'!$B$162:$CD$181,MATCH($B293,'Default Values'!$B$101:$CD$101,0),0))</f>
        <v/>
      </c>
      <c r="P293" s="346" t="str">
        <f>IF(P$260="","",P$262*VLOOKUP(P$260&amp;" (All)",'Default Values'!$B$162:$CD$181,MATCH($B293,'Default Values'!$B$101:$CD$101,0),0))</f>
        <v/>
      </c>
      <c r="Q293" s="346" t="str">
        <f>IF(Q$260="","",Q$262*VLOOKUP(Q$260&amp;" (All)",'Default Values'!$B$162:$CD$181,MATCH($B293,'Default Values'!$B$101:$CD$101,0),0))</f>
        <v/>
      </c>
      <c r="R293" s="346" t="str">
        <f>IF(R$260="","",R$262*VLOOKUP(R$260&amp;" (All)",'Default Values'!$B$162:$CD$181,MATCH($B293,'Default Values'!$B$101:$CD$101,0),0))</f>
        <v/>
      </c>
      <c r="S293" s="346" t="str">
        <f>IF(S$260="","",S$262*VLOOKUP(S$260&amp;" (All)",'Default Values'!$B$162:$CD$181,MATCH($B293,'Default Values'!$B$101:$CD$101,0),0))</f>
        <v/>
      </c>
      <c r="T293" s="346" t="str">
        <f>IF(T$260="","",T$262*VLOOKUP(T$260&amp;" (All)",'Default Values'!$B$162:$CD$181,MATCH($B293,'Default Values'!$B$101:$CD$101,0),0))</f>
        <v/>
      </c>
      <c r="U293" s="346" t="str">
        <f>IF(U$260="","",U$262*VLOOKUP(U$260&amp;" (All)",'Default Values'!$B$162:$CD$181,MATCH($B293,'Default Values'!$B$101:$CD$101,0),0))</f>
        <v/>
      </c>
      <c r="V293" s="346" t="str">
        <f>IF(V$260="","",V$262*VLOOKUP(V$260&amp;" (All)",'Default Values'!$B$162:$CD$181,MATCH($B293,'Default Values'!$B$101:$CD$101,0),0))</f>
        <v/>
      </c>
      <c r="W293" s="346" t="str">
        <f>IF(W$260="","",W$262*VLOOKUP(W$260&amp;" (All)",'Default Values'!$B$162:$CD$181,MATCH($B293,'Default Values'!$B$101:$CD$101,0),0))</f>
        <v/>
      </c>
      <c r="X293" s="346" t="str">
        <f>IF(X$260="","",X$262*VLOOKUP(X$260&amp;" (All)",'Default Values'!$B$162:$CD$181,MATCH($B293,'Default Values'!$B$101:$CD$101,0),0))</f>
        <v/>
      </c>
      <c r="Y293" s="346" t="str">
        <f>IF(Y$260="","",Y$262*VLOOKUP(Y$260&amp;" (All)",'Default Values'!$B$162:$CD$181,MATCH($B293,'Default Values'!$B$101:$CD$101,0),0))</f>
        <v/>
      </c>
      <c r="Z293" s="346" t="str">
        <f>IF(Z$260="","",Z$262*VLOOKUP(Z$260&amp;" (All)",'Default Values'!$B$162:$CD$181,MATCH($B293,'Default Values'!$B$101:$CD$101,0),0))</f>
        <v/>
      </c>
      <c r="AA293" s="346" t="str">
        <f>IF(AA$260="","",AA$262*VLOOKUP(AA$260&amp;" (All)",'Default Values'!$B$162:$CD$181,MATCH($B293,'Default Values'!$B$101:$CD$101,0),0))</f>
        <v/>
      </c>
      <c r="AB293" s="346" t="str">
        <f>IF(AB$260="","",AB$262*VLOOKUP(AB$260&amp;" (All)",'Default Values'!$B$162:$CD$181,MATCH($B293,'Default Values'!$B$101:$CD$101,0),0))</f>
        <v/>
      </c>
      <c r="AC293" s="346" t="str">
        <f>IF(AC$260="","",AC$262*VLOOKUP(AC$260&amp;" (All)",'Default Values'!$B$162:$CD$181,MATCH($B293,'Default Values'!$B$101:$CD$101,0),0))</f>
        <v/>
      </c>
      <c r="AD293" s="346" t="str">
        <f>IF(AD$260="","",AD$262*VLOOKUP(AD$260&amp;" (All)",'Default Values'!$B$162:$CD$181,MATCH($B293,'Default Values'!$B$101:$CD$101,0),0))</f>
        <v/>
      </c>
      <c r="AE293" s="346" t="str">
        <f>IF(AE$260="","",AE$262*VLOOKUP(AE$260&amp;" (All)",'Default Values'!$B$162:$CD$181,MATCH($B293,'Default Values'!$B$101:$CD$101,0),0))</f>
        <v/>
      </c>
      <c r="AF293" s="346" t="str">
        <f>IF(AF$260="","",AF$262*VLOOKUP(AF$260&amp;" (All)",'Default Values'!$B$162:$CD$181,MATCH($B293,'Default Values'!$B$101:$CD$101,0),0))</f>
        <v/>
      </c>
      <c r="AG293" s="346" t="str">
        <f>IF(AG$260="","",AG$262*VLOOKUP(AG$260&amp;" (All)",'Default Values'!$B$162:$CD$181,MATCH($B293,'Default Values'!$B$101:$CD$101,0),0))</f>
        <v/>
      </c>
      <c r="AH293" s="346" t="str">
        <f>IF(AH$260="","",AH$262*VLOOKUP(AH$260&amp;" (All)",'Default Values'!$B$162:$CD$181,MATCH($B293,'Default Values'!$B$101:$CD$101,0),0))</f>
        <v/>
      </c>
      <c r="AI293" s="346" t="str">
        <f>IF(AI$260="","",AI$262*VLOOKUP(AI$260&amp;" (All)",'Default Values'!$B$162:$CD$181,MATCH($B293,'Default Values'!$B$101:$CD$101,0),0))</f>
        <v/>
      </c>
      <c r="AJ293" s="346" t="str">
        <f>IF(AJ$260="","",AJ$262*VLOOKUP(AJ$260&amp;" (All)",'Default Values'!$B$162:$CD$181,MATCH($B293,'Default Values'!$B$101:$CD$101,0),0))</f>
        <v/>
      </c>
      <c r="AK293" s="346" t="str">
        <f>IF(AK$260="","",AK$262*VLOOKUP(AK$260&amp;" (All)",'Default Values'!$B$162:$CD$181,MATCH($B293,'Default Values'!$B$101:$CD$101,0),0))</f>
        <v/>
      </c>
      <c r="AL293" s="346" t="str">
        <f>IF(AL$260="","",AL$262*VLOOKUP(AL$260&amp;" (All)",'Default Values'!$B$162:$CD$181,MATCH($B293,'Default Values'!$B$101:$CD$101,0),0))</f>
        <v/>
      </c>
      <c r="AM293" s="346" t="str">
        <f>IF(AM$260="","",AM$262*VLOOKUP(AM$260&amp;" (All)",'Default Values'!$B$162:$CD$181,MATCH($B293,'Default Values'!$B$101:$CD$101,0),0))</f>
        <v/>
      </c>
      <c r="AN293" s="346" t="str">
        <f>IF(AN$260="","",AN$262*VLOOKUP(AN$260&amp;" (All)",'Default Values'!$B$162:$CD$181,MATCH($B293,'Default Values'!$B$101:$CD$101,0),0))</f>
        <v/>
      </c>
      <c r="AO293" s="346" t="str">
        <f>IF(AO$260="","",AO$262*VLOOKUP(AO$260&amp;" (All)",'Default Values'!$B$162:$CD$181,MATCH($B293,'Default Values'!$B$101:$CD$101,0),0))</f>
        <v/>
      </c>
      <c r="AP293" s="346" t="str">
        <f>IF(AP$260="","",AP$262*VLOOKUP(AP$260&amp;" (All)",'Default Values'!$B$162:$CD$181,MATCH($B293,'Default Values'!$B$101:$CD$101,0),0))</f>
        <v/>
      </c>
      <c r="AQ293" s="346" t="str">
        <f>IF(AQ$260="","",AQ$262*VLOOKUP(AQ$260&amp;" (All)",'Default Values'!$B$162:$CD$181,MATCH($B293,'Default Values'!$B$101:$CD$101,0),0))</f>
        <v/>
      </c>
      <c r="AR293" s="346">
        <f>IF(AR$260="","",AR$262*VLOOKUP(AR$260&amp;" (All)",'Default Values'!$B$162:$CD$181,MATCH($B293,'Default Values'!$B$101:$CD$101,0),0))</f>
        <v>0</v>
      </c>
      <c r="AS293" s="217"/>
      <c r="AT293" s="217"/>
      <c r="AU293" s="217"/>
      <c r="AV293" s="217"/>
      <c r="AW293" s="217"/>
      <c r="AX293" s="217"/>
      <c r="AY293" s="217"/>
      <c r="AZ293" s="217"/>
      <c r="BA293" s="217"/>
      <c r="BB293" s="217"/>
      <c r="BC293" s="217"/>
      <c r="BD293" s="217"/>
      <c r="BE293" s="217"/>
      <c r="BF293" s="217"/>
      <c r="BG293" s="217"/>
      <c r="BH293" s="217"/>
      <c r="BI293" s="217"/>
      <c r="BJ293" s="217"/>
      <c r="BK293" s="217"/>
      <c r="BL293" s="217"/>
      <c r="BM293" s="217"/>
      <c r="BN293" s="217"/>
      <c r="BO293" s="217"/>
      <c r="BP293" s="217"/>
      <c r="BQ293" s="217"/>
      <c r="BR293" s="217"/>
      <c r="BS293" s="217"/>
      <c r="BT293" s="217"/>
      <c r="BU293" s="217"/>
      <c r="BV293" s="217"/>
      <c r="BW293" s="217"/>
      <c r="BX293" s="217"/>
      <c r="BY293" s="217"/>
      <c r="BZ293" s="217"/>
      <c r="CA293" s="217"/>
      <c r="CB293" s="217"/>
      <c r="CC293" s="217"/>
      <c r="CD293" s="217"/>
      <c r="CE293" s="217"/>
      <c r="CF293" s="217"/>
      <c r="CG293" s="217"/>
      <c r="CH293" s="217"/>
      <c r="CI293" s="217"/>
      <c r="CJ293" s="217"/>
      <c r="CK293" s="217"/>
      <c r="CL293" s="217"/>
      <c r="CM293" s="217"/>
      <c r="CN293" s="217"/>
      <c r="CO293" s="217"/>
      <c r="CP293" s="217"/>
      <c r="CQ293" s="217"/>
      <c r="CR293" s="217"/>
      <c r="CS293" s="217"/>
      <c r="CT293" s="217"/>
      <c r="CU293" s="217"/>
      <c r="CV293" s="217"/>
      <c r="CW293" s="217"/>
      <c r="CX293" s="217"/>
      <c r="CY293" s="217"/>
      <c r="CZ293" s="217"/>
      <c r="DA293" s="217"/>
      <c r="DB293" s="217"/>
      <c r="DC293" s="217"/>
      <c r="DD293" s="217"/>
      <c r="DE293" s="217"/>
      <c r="DF293" s="217"/>
      <c r="DG293" s="217"/>
      <c r="DH293" s="217"/>
      <c r="DI293" s="217"/>
      <c r="DJ293" s="217"/>
      <c r="DK293" s="217"/>
      <c r="DL293" s="217"/>
      <c r="DM293" s="217"/>
      <c r="DN293" s="217"/>
      <c r="DO293" s="217"/>
      <c r="DP293" s="217"/>
      <c r="DQ293" s="217"/>
      <c r="DR293" s="217"/>
      <c r="DS293" s="217"/>
      <c r="DT293" s="217"/>
    </row>
    <row r="294" spans="1:124" x14ac:dyDescent="0.3">
      <c r="A294" s="217"/>
      <c r="B294" s="347" t="s">
        <v>465</v>
      </c>
      <c r="C294" s="345">
        <f t="shared" si="340"/>
        <v>0</v>
      </c>
      <c r="D294" s="346" t="str">
        <f>IF(D$260="","",D$262*VLOOKUP(D$260&amp;" (All)",'Default Values'!$B$162:$CD$181,MATCH($B294,'Default Values'!$B$101:$CD$101,0),0))</f>
        <v/>
      </c>
      <c r="E294" s="346" t="str">
        <f>IF(E$260="","",E$262*VLOOKUP(E$260&amp;" (All)",'Default Values'!$B$162:$CD$181,MATCH($B294,'Default Values'!$B$101:$CD$101,0),0))</f>
        <v/>
      </c>
      <c r="F294" s="346" t="str">
        <f>IF(F$260="","",F$262*VLOOKUP(F$260&amp;" (All)",'Default Values'!$B$162:$CD$181,MATCH($B294,'Default Values'!$B$101:$CD$101,0),0))</f>
        <v/>
      </c>
      <c r="G294" s="346" t="str">
        <f>IF(G$260="","",G$262*VLOOKUP(G$260&amp;" (All)",'Default Values'!$B$162:$CD$181,MATCH($B294,'Default Values'!$B$101:$CD$101,0),0))</f>
        <v/>
      </c>
      <c r="H294" s="346" t="str">
        <f>IF(H$260="","",H$262*VLOOKUP(H$260&amp;" (All)",'Default Values'!$B$162:$CD$181,MATCH($B294,'Default Values'!$B$101:$CD$101,0),0))</f>
        <v/>
      </c>
      <c r="I294" s="346" t="str">
        <f>IF(I$260="","",I$262*VLOOKUP(I$260&amp;" (All)",'Default Values'!$B$162:$CD$181,MATCH($B294,'Default Values'!$B$101:$CD$101,0),0))</f>
        <v/>
      </c>
      <c r="J294" s="346" t="str">
        <f>IF(J$260="","",J$262*VLOOKUP(J$260&amp;" (All)",'Default Values'!$B$162:$CD$181,MATCH($B294,'Default Values'!$B$101:$CD$101,0),0))</f>
        <v/>
      </c>
      <c r="K294" s="346" t="str">
        <f>IF(K$260="","",K$262*VLOOKUP(K$260&amp;" (All)",'Default Values'!$B$162:$CD$181,MATCH($B294,'Default Values'!$B$101:$CD$101,0),0))</f>
        <v/>
      </c>
      <c r="L294" s="346" t="str">
        <f>IF(L$260="","",L$262*VLOOKUP(L$260&amp;" (All)",'Default Values'!$B$162:$CD$181,MATCH($B294,'Default Values'!$B$101:$CD$101,0),0))</f>
        <v/>
      </c>
      <c r="M294" s="346" t="str">
        <f>IF(M$260="","",M$262*VLOOKUP(M$260&amp;" (All)",'Default Values'!$B$162:$CD$181,MATCH($B294,'Default Values'!$B$101:$CD$101,0),0))</f>
        <v/>
      </c>
      <c r="N294" s="346" t="str">
        <f>IF(N$260="","",N$262*VLOOKUP(N$260&amp;" (All)",'Default Values'!$B$162:$CD$181,MATCH($B294,'Default Values'!$B$101:$CD$101,0),0))</f>
        <v/>
      </c>
      <c r="O294" s="346" t="str">
        <f>IF(O$260="","",O$262*VLOOKUP(O$260&amp;" (All)",'Default Values'!$B$162:$CD$181,MATCH($B294,'Default Values'!$B$101:$CD$101,0),0))</f>
        <v/>
      </c>
      <c r="P294" s="346" t="str">
        <f>IF(P$260="","",P$262*VLOOKUP(P$260&amp;" (All)",'Default Values'!$B$162:$CD$181,MATCH($B294,'Default Values'!$B$101:$CD$101,0),0))</f>
        <v/>
      </c>
      <c r="Q294" s="346" t="str">
        <f>IF(Q$260="","",Q$262*VLOOKUP(Q$260&amp;" (All)",'Default Values'!$B$162:$CD$181,MATCH($B294,'Default Values'!$B$101:$CD$101,0),0))</f>
        <v/>
      </c>
      <c r="R294" s="346" t="str">
        <f>IF(R$260="","",R$262*VLOOKUP(R$260&amp;" (All)",'Default Values'!$B$162:$CD$181,MATCH($B294,'Default Values'!$B$101:$CD$101,0),0))</f>
        <v/>
      </c>
      <c r="S294" s="346" t="str">
        <f>IF(S$260="","",S$262*VLOOKUP(S$260&amp;" (All)",'Default Values'!$B$162:$CD$181,MATCH($B294,'Default Values'!$B$101:$CD$101,0),0))</f>
        <v/>
      </c>
      <c r="T294" s="346" t="str">
        <f>IF(T$260="","",T$262*VLOOKUP(T$260&amp;" (All)",'Default Values'!$B$162:$CD$181,MATCH($B294,'Default Values'!$B$101:$CD$101,0),0))</f>
        <v/>
      </c>
      <c r="U294" s="346" t="str">
        <f>IF(U$260="","",U$262*VLOOKUP(U$260&amp;" (All)",'Default Values'!$B$162:$CD$181,MATCH($B294,'Default Values'!$B$101:$CD$101,0),0))</f>
        <v/>
      </c>
      <c r="V294" s="346" t="str">
        <f>IF(V$260="","",V$262*VLOOKUP(V$260&amp;" (All)",'Default Values'!$B$162:$CD$181,MATCH($B294,'Default Values'!$B$101:$CD$101,0),0))</f>
        <v/>
      </c>
      <c r="W294" s="346" t="str">
        <f>IF(W$260="","",W$262*VLOOKUP(W$260&amp;" (All)",'Default Values'!$B$162:$CD$181,MATCH($B294,'Default Values'!$B$101:$CD$101,0),0))</f>
        <v/>
      </c>
      <c r="X294" s="346" t="str">
        <f>IF(X$260="","",X$262*VLOOKUP(X$260&amp;" (All)",'Default Values'!$B$162:$CD$181,MATCH($B294,'Default Values'!$B$101:$CD$101,0),0))</f>
        <v/>
      </c>
      <c r="Y294" s="346" t="str">
        <f>IF(Y$260="","",Y$262*VLOOKUP(Y$260&amp;" (All)",'Default Values'!$B$162:$CD$181,MATCH($B294,'Default Values'!$B$101:$CD$101,0),0))</f>
        <v/>
      </c>
      <c r="Z294" s="346" t="str">
        <f>IF(Z$260="","",Z$262*VLOOKUP(Z$260&amp;" (All)",'Default Values'!$B$162:$CD$181,MATCH($B294,'Default Values'!$B$101:$CD$101,0),0))</f>
        <v/>
      </c>
      <c r="AA294" s="346" t="str">
        <f>IF(AA$260="","",AA$262*VLOOKUP(AA$260&amp;" (All)",'Default Values'!$B$162:$CD$181,MATCH($B294,'Default Values'!$B$101:$CD$101,0),0))</f>
        <v/>
      </c>
      <c r="AB294" s="346" t="str">
        <f>IF(AB$260="","",AB$262*VLOOKUP(AB$260&amp;" (All)",'Default Values'!$B$162:$CD$181,MATCH($B294,'Default Values'!$B$101:$CD$101,0),0))</f>
        <v/>
      </c>
      <c r="AC294" s="346" t="str">
        <f>IF(AC$260="","",AC$262*VLOOKUP(AC$260&amp;" (All)",'Default Values'!$B$162:$CD$181,MATCH($B294,'Default Values'!$B$101:$CD$101,0),0))</f>
        <v/>
      </c>
      <c r="AD294" s="346" t="str">
        <f>IF(AD$260="","",AD$262*VLOOKUP(AD$260&amp;" (All)",'Default Values'!$B$162:$CD$181,MATCH($B294,'Default Values'!$B$101:$CD$101,0),0))</f>
        <v/>
      </c>
      <c r="AE294" s="346" t="str">
        <f>IF(AE$260="","",AE$262*VLOOKUP(AE$260&amp;" (All)",'Default Values'!$B$162:$CD$181,MATCH($B294,'Default Values'!$B$101:$CD$101,0),0))</f>
        <v/>
      </c>
      <c r="AF294" s="346" t="str">
        <f>IF(AF$260="","",AF$262*VLOOKUP(AF$260&amp;" (All)",'Default Values'!$B$162:$CD$181,MATCH($B294,'Default Values'!$B$101:$CD$101,0),0))</f>
        <v/>
      </c>
      <c r="AG294" s="346" t="str">
        <f>IF(AG$260="","",AG$262*VLOOKUP(AG$260&amp;" (All)",'Default Values'!$B$162:$CD$181,MATCH($B294,'Default Values'!$B$101:$CD$101,0),0))</f>
        <v/>
      </c>
      <c r="AH294" s="346" t="str">
        <f>IF(AH$260="","",AH$262*VLOOKUP(AH$260&amp;" (All)",'Default Values'!$B$162:$CD$181,MATCH($B294,'Default Values'!$B$101:$CD$101,0),0))</f>
        <v/>
      </c>
      <c r="AI294" s="346" t="str">
        <f>IF(AI$260="","",AI$262*VLOOKUP(AI$260&amp;" (All)",'Default Values'!$B$162:$CD$181,MATCH($B294,'Default Values'!$B$101:$CD$101,0),0))</f>
        <v/>
      </c>
      <c r="AJ294" s="346" t="str">
        <f>IF(AJ$260="","",AJ$262*VLOOKUP(AJ$260&amp;" (All)",'Default Values'!$B$162:$CD$181,MATCH($B294,'Default Values'!$B$101:$CD$101,0),0))</f>
        <v/>
      </c>
      <c r="AK294" s="346" t="str">
        <f>IF(AK$260="","",AK$262*VLOOKUP(AK$260&amp;" (All)",'Default Values'!$B$162:$CD$181,MATCH($B294,'Default Values'!$B$101:$CD$101,0),0))</f>
        <v/>
      </c>
      <c r="AL294" s="346" t="str">
        <f>IF(AL$260="","",AL$262*VLOOKUP(AL$260&amp;" (All)",'Default Values'!$B$162:$CD$181,MATCH($B294,'Default Values'!$B$101:$CD$101,0),0))</f>
        <v/>
      </c>
      <c r="AM294" s="346" t="str">
        <f>IF(AM$260="","",AM$262*VLOOKUP(AM$260&amp;" (All)",'Default Values'!$B$162:$CD$181,MATCH($B294,'Default Values'!$B$101:$CD$101,0),0))</f>
        <v/>
      </c>
      <c r="AN294" s="346" t="str">
        <f>IF(AN$260="","",AN$262*VLOOKUP(AN$260&amp;" (All)",'Default Values'!$B$162:$CD$181,MATCH($B294,'Default Values'!$B$101:$CD$101,0),0))</f>
        <v/>
      </c>
      <c r="AO294" s="346" t="str">
        <f>IF(AO$260="","",AO$262*VLOOKUP(AO$260&amp;" (All)",'Default Values'!$B$162:$CD$181,MATCH($B294,'Default Values'!$B$101:$CD$101,0),0))</f>
        <v/>
      </c>
      <c r="AP294" s="346" t="str">
        <f>IF(AP$260="","",AP$262*VLOOKUP(AP$260&amp;" (All)",'Default Values'!$B$162:$CD$181,MATCH($B294,'Default Values'!$B$101:$CD$101,0),0))</f>
        <v/>
      </c>
      <c r="AQ294" s="346" t="str">
        <f>IF(AQ$260="","",AQ$262*VLOOKUP(AQ$260&amp;" (All)",'Default Values'!$B$162:$CD$181,MATCH($B294,'Default Values'!$B$101:$CD$101,0),0))</f>
        <v/>
      </c>
      <c r="AR294" s="346">
        <f>IF(AR$260="","",AR$262*VLOOKUP(AR$260&amp;" (All)",'Default Values'!$B$162:$CD$181,MATCH($B294,'Default Values'!$B$101:$CD$101,0),0))</f>
        <v>0</v>
      </c>
      <c r="AS294" s="217"/>
      <c r="AT294" s="217"/>
      <c r="AU294" s="217"/>
      <c r="AV294" s="217"/>
      <c r="AW294" s="217"/>
      <c r="AX294" s="217"/>
      <c r="AY294" s="217"/>
      <c r="AZ294" s="217"/>
      <c r="BA294" s="217"/>
      <c r="BB294" s="217"/>
      <c r="BC294" s="217"/>
      <c r="BD294" s="217"/>
      <c r="BE294" s="217"/>
      <c r="BF294" s="217"/>
      <c r="BG294" s="217"/>
      <c r="BH294" s="217"/>
      <c r="BI294" s="217"/>
      <c r="BJ294" s="217"/>
      <c r="BK294" s="217"/>
      <c r="BL294" s="217"/>
      <c r="BM294" s="217"/>
      <c r="BN294" s="217"/>
      <c r="BO294" s="217"/>
      <c r="BP294" s="217"/>
      <c r="BQ294" s="217"/>
      <c r="BR294" s="217"/>
      <c r="BS294" s="217"/>
      <c r="BT294" s="217"/>
      <c r="BU294" s="217"/>
      <c r="BV294" s="217"/>
      <c r="BW294" s="217"/>
      <c r="BX294" s="217"/>
      <c r="BY294" s="217"/>
      <c r="BZ294" s="217"/>
      <c r="CA294" s="217"/>
      <c r="CB294" s="217"/>
      <c r="CC294" s="217"/>
      <c r="CD294" s="217"/>
      <c r="CE294" s="217"/>
      <c r="CF294" s="217"/>
      <c r="CG294" s="217"/>
      <c r="CH294" s="217"/>
      <c r="CI294" s="217"/>
      <c r="CJ294" s="217"/>
      <c r="CK294" s="217"/>
      <c r="CL294" s="217"/>
      <c r="CM294" s="217"/>
      <c r="CN294" s="217"/>
      <c r="CO294" s="217"/>
      <c r="CP294" s="217"/>
      <c r="CQ294" s="217"/>
      <c r="CR294" s="217"/>
      <c r="CS294" s="217"/>
      <c r="CT294" s="217"/>
      <c r="CU294" s="217"/>
      <c r="CV294" s="217"/>
      <c r="CW294" s="217"/>
      <c r="CX294" s="217"/>
      <c r="CY294" s="217"/>
      <c r="CZ294" s="217"/>
      <c r="DA294" s="217"/>
      <c r="DB294" s="217"/>
      <c r="DC294" s="217"/>
      <c r="DD294" s="217"/>
      <c r="DE294" s="217"/>
      <c r="DF294" s="217"/>
      <c r="DG294" s="217"/>
      <c r="DH294" s="217"/>
      <c r="DI294" s="217"/>
      <c r="DJ294" s="217"/>
      <c r="DK294" s="217"/>
      <c r="DL294" s="217"/>
      <c r="DM294" s="217"/>
      <c r="DN294" s="217"/>
      <c r="DO294" s="217"/>
      <c r="DP294" s="217"/>
      <c r="DQ294" s="217"/>
      <c r="DR294" s="217"/>
      <c r="DS294" s="217"/>
      <c r="DT294" s="217"/>
    </row>
    <row r="295" spans="1:124" x14ac:dyDescent="0.3">
      <c r="A295" s="217"/>
      <c r="B295" s="342" t="s">
        <v>203</v>
      </c>
      <c r="C295" s="345">
        <f t="shared" si="340"/>
        <v>0</v>
      </c>
      <c r="D295" s="346" t="str">
        <f>IF(D$260="","",D$262*VLOOKUP(D$260&amp;" (All)",'Default Values'!$B$162:$CD$181,MATCH($B295,'Default Values'!$B$101:$CD$101,0),0))</f>
        <v/>
      </c>
      <c r="E295" s="346" t="str">
        <f>IF(E$260="","",E$262*VLOOKUP(E$260&amp;" (All)",'Default Values'!$B$162:$CD$181,MATCH($B295,'Default Values'!$B$101:$CD$101,0),0))</f>
        <v/>
      </c>
      <c r="F295" s="346" t="str">
        <f>IF(F$260="","",F$262*VLOOKUP(F$260&amp;" (All)",'Default Values'!$B$162:$CD$181,MATCH($B295,'Default Values'!$B$101:$CD$101,0),0))</f>
        <v/>
      </c>
      <c r="G295" s="346" t="str">
        <f>IF(G$260="","",G$262*VLOOKUP(G$260&amp;" (All)",'Default Values'!$B$162:$CD$181,MATCH($B295,'Default Values'!$B$101:$CD$101,0),0))</f>
        <v/>
      </c>
      <c r="H295" s="346" t="str">
        <f>IF(H$260="","",H$262*VLOOKUP(H$260&amp;" (All)",'Default Values'!$B$162:$CD$181,MATCH($B295,'Default Values'!$B$101:$CD$101,0),0))</f>
        <v/>
      </c>
      <c r="I295" s="346" t="str">
        <f>IF(I$260="","",I$262*VLOOKUP(I$260&amp;" (All)",'Default Values'!$B$162:$CD$181,MATCH($B295,'Default Values'!$B$101:$CD$101,0),0))</f>
        <v/>
      </c>
      <c r="J295" s="346" t="str">
        <f>IF(J$260="","",J$262*VLOOKUP(J$260&amp;" (All)",'Default Values'!$B$162:$CD$181,MATCH($B295,'Default Values'!$B$101:$CD$101,0),0))</f>
        <v/>
      </c>
      <c r="K295" s="346" t="str">
        <f>IF(K$260="","",K$262*VLOOKUP(K$260&amp;" (All)",'Default Values'!$B$162:$CD$181,MATCH($B295,'Default Values'!$B$101:$CD$101,0),0))</f>
        <v/>
      </c>
      <c r="L295" s="346" t="str">
        <f>IF(L$260="","",L$262*VLOOKUP(L$260&amp;" (All)",'Default Values'!$B$162:$CD$181,MATCH($B295,'Default Values'!$B$101:$CD$101,0),0))</f>
        <v/>
      </c>
      <c r="M295" s="346" t="str">
        <f>IF(M$260="","",M$262*VLOOKUP(M$260&amp;" (All)",'Default Values'!$B$162:$CD$181,MATCH($B295,'Default Values'!$B$101:$CD$101,0),0))</f>
        <v/>
      </c>
      <c r="N295" s="346" t="str">
        <f>IF(N$260="","",N$262*VLOOKUP(N$260&amp;" (All)",'Default Values'!$B$162:$CD$181,MATCH($B295,'Default Values'!$B$101:$CD$101,0),0))</f>
        <v/>
      </c>
      <c r="O295" s="346" t="str">
        <f>IF(O$260="","",O$262*VLOOKUP(O$260&amp;" (All)",'Default Values'!$B$162:$CD$181,MATCH($B295,'Default Values'!$B$101:$CD$101,0),0))</f>
        <v/>
      </c>
      <c r="P295" s="346" t="str">
        <f>IF(P$260="","",P$262*VLOOKUP(P$260&amp;" (All)",'Default Values'!$B$162:$CD$181,MATCH($B295,'Default Values'!$B$101:$CD$101,0),0))</f>
        <v/>
      </c>
      <c r="Q295" s="346" t="str">
        <f>IF(Q$260="","",Q$262*VLOOKUP(Q$260&amp;" (All)",'Default Values'!$B$162:$CD$181,MATCH($B295,'Default Values'!$B$101:$CD$101,0),0))</f>
        <v/>
      </c>
      <c r="R295" s="346" t="str">
        <f>IF(R$260="","",R$262*VLOOKUP(R$260&amp;" (All)",'Default Values'!$B$162:$CD$181,MATCH($B295,'Default Values'!$B$101:$CD$101,0),0))</f>
        <v/>
      </c>
      <c r="S295" s="346" t="str">
        <f>IF(S$260="","",S$262*VLOOKUP(S$260&amp;" (All)",'Default Values'!$B$162:$CD$181,MATCH($B295,'Default Values'!$B$101:$CD$101,0),0))</f>
        <v/>
      </c>
      <c r="T295" s="346" t="str">
        <f>IF(T$260="","",T$262*VLOOKUP(T$260&amp;" (All)",'Default Values'!$B$162:$CD$181,MATCH($B295,'Default Values'!$B$101:$CD$101,0),0))</f>
        <v/>
      </c>
      <c r="U295" s="346" t="str">
        <f>IF(U$260="","",U$262*VLOOKUP(U$260&amp;" (All)",'Default Values'!$B$162:$CD$181,MATCH($B295,'Default Values'!$B$101:$CD$101,0),0))</f>
        <v/>
      </c>
      <c r="V295" s="346" t="str">
        <f>IF(V$260="","",V$262*VLOOKUP(V$260&amp;" (All)",'Default Values'!$B$162:$CD$181,MATCH($B295,'Default Values'!$B$101:$CD$101,0),0))</f>
        <v/>
      </c>
      <c r="W295" s="346" t="str">
        <f>IF(W$260="","",W$262*VLOOKUP(W$260&amp;" (All)",'Default Values'!$B$162:$CD$181,MATCH($B295,'Default Values'!$B$101:$CD$101,0),0))</f>
        <v/>
      </c>
      <c r="X295" s="346" t="str">
        <f>IF(X$260="","",X$262*VLOOKUP(X$260&amp;" (All)",'Default Values'!$B$162:$CD$181,MATCH($B295,'Default Values'!$B$101:$CD$101,0),0))</f>
        <v/>
      </c>
      <c r="Y295" s="346" t="str">
        <f>IF(Y$260="","",Y$262*VLOOKUP(Y$260&amp;" (All)",'Default Values'!$B$162:$CD$181,MATCH($B295,'Default Values'!$B$101:$CD$101,0),0))</f>
        <v/>
      </c>
      <c r="Z295" s="346" t="str">
        <f>IF(Z$260="","",Z$262*VLOOKUP(Z$260&amp;" (All)",'Default Values'!$B$162:$CD$181,MATCH($B295,'Default Values'!$B$101:$CD$101,0),0))</f>
        <v/>
      </c>
      <c r="AA295" s="346" t="str">
        <f>IF(AA$260="","",AA$262*VLOOKUP(AA$260&amp;" (All)",'Default Values'!$B$162:$CD$181,MATCH($B295,'Default Values'!$B$101:$CD$101,0),0))</f>
        <v/>
      </c>
      <c r="AB295" s="346" t="str">
        <f>IF(AB$260="","",AB$262*VLOOKUP(AB$260&amp;" (All)",'Default Values'!$B$162:$CD$181,MATCH($B295,'Default Values'!$B$101:$CD$101,0),0))</f>
        <v/>
      </c>
      <c r="AC295" s="346" t="str">
        <f>IF(AC$260="","",AC$262*VLOOKUP(AC$260&amp;" (All)",'Default Values'!$B$162:$CD$181,MATCH($B295,'Default Values'!$B$101:$CD$101,0),0))</f>
        <v/>
      </c>
      <c r="AD295" s="346" t="str">
        <f>IF(AD$260="","",AD$262*VLOOKUP(AD$260&amp;" (All)",'Default Values'!$B$162:$CD$181,MATCH($B295,'Default Values'!$B$101:$CD$101,0),0))</f>
        <v/>
      </c>
      <c r="AE295" s="346" t="str">
        <f>IF(AE$260="","",AE$262*VLOOKUP(AE$260&amp;" (All)",'Default Values'!$B$162:$CD$181,MATCH($B295,'Default Values'!$B$101:$CD$101,0),0))</f>
        <v/>
      </c>
      <c r="AF295" s="346" t="str">
        <f>IF(AF$260="","",AF$262*VLOOKUP(AF$260&amp;" (All)",'Default Values'!$B$162:$CD$181,MATCH($B295,'Default Values'!$B$101:$CD$101,0),0))</f>
        <v/>
      </c>
      <c r="AG295" s="346" t="str">
        <f>IF(AG$260="","",AG$262*VLOOKUP(AG$260&amp;" (All)",'Default Values'!$B$162:$CD$181,MATCH($B295,'Default Values'!$B$101:$CD$101,0),0))</f>
        <v/>
      </c>
      <c r="AH295" s="346" t="str">
        <f>IF(AH$260="","",AH$262*VLOOKUP(AH$260&amp;" (All)",'Default Values'!$B$162:$CD$181,MATCH($B295,'Default Values'!$B$101:$CD$101,0),0))</f>
        <v/>
      </c>
      <c r="AI295" s="346" t="str">
        <f>IF(AI$260="","",AI$262*VLOOKUP(AI$260&amp;" (All)",'Default Values'!$B$162:$CD$181,MATCH($B295,'Default Values'!$B$101:$CD$101,0),0))</f>
        <v/>
      </c>
      <c r="AJ295" s="346" t="str">
        <f>IF(AJ$260="","",AJ$262*VLOOKUP(AJ$260&amp;" (All)",'Default Values'!$B$162:$CD$181,MATCH($B295,'Default Values'!$B$101:$CD$101,0),0))</f>
        <v/>
      </c>
      <c r="AK295" s="346" t="str">
        <f>IF(AK$260="","",AK$262*VLOOKUP(AK$260&amp;" (All)",'Default Values'!$B$162:$CD$181,MATCH($B295,'Default Values'!$B$101:$CD$101,0),0))</f>
        <v/>
      </c>
      <c r="AL295" s="346" t="str">
        <f>IF(AL$260="","",AL$262*VLOOKUP(AL$260&amp;" (All)",'Default Values'!$B$162:$CD$181,MATCH($B295,'Default Values'!$B$101:$CD$101,0),0))</f>
        <v/>
      </c>
      <c r="AM295" s="346" t="str">
        <f>IF(AM$260="","",AM$262*VLOOKUP(AM$260&amp;" (All)",'Default Values'!$B$162:$CD$181,MATCH($B295,'Default Values'!$B$101:$CD$101,0),0))</f>
        <v/>
      </c>
      <c r="AN295" s="346" t="str">
        <f>IF(AN$260="","",AN$262*VLOOKUP(AN$260&amp;" (All)",'Default Values'!$B$162:$CD$181,MATCH($B295,'Default Values'!$B$101:$CD$101,0),0))</f>
        <v/>
      </c>
      <c r="AO295" s="346" t="str">
        <f>IF(AO$260="","",AO$262*VLOOKUP(AO$260&amp;" (All)",'Default Values'!$B$162:$CD$181,MATCH($B295,'Default Values'!$B$101:$CD$101,0),0))</f>
        <v/>
      </c>
      <c r="AP295" s="346" t="str">
        <f>IF(AP$260="","",AP$262*VLOOKUP(AP$260&amp;" (All)",'Default Values'!$B$162:$CD$181,MATCH($B295,'Default Values'!$B$101:$CD$101,0),0))</f>
        <v/>
      </c>
      <c r="AQ295" s="346" t="str">
        <f>IF(AQ$260="","",AQ$262*VLOOKUP(AQ$260&amp;" (All)",'Default Values'!$B$162:$CD$181,MATCH($B295,'Default Values'!$B$101:$CD$101,0),0))</f>
        <v/>
      </c>
      <c r="AR295" s="346">
        <f>IF(AR$260="","",AR$262*VLOOKUP(AR$260&amp;" (All)",'Default Values'!$B$162:$CD$181,MATCH($B295,'Default Values'!$B$101:$CD$101,0),0))</f>
        <v>0</v>
      </c>
      <c r="AS295" s="217"/>
      <c r="AT295" s="217"/>
      <c r="AU295" s="217"/>
      <c r="AV295" s="217"/>
      <c r="AW295" s="217"/>
      <c r="AX295" s="217"/>
      <c r="AY295" s="217"/>
      <c r="AZ295" s="217"/>
      <c r="BA295" s="217"/>
      <c r="BB295" s="217"/>
      <c r="BC295" s="217"/>
      <c r="BD295" s="217"/>
      <c r="BE295" s="217"/>
      <c r="BF295" s="217"/>
      <c r="BG295" s="217"/>
      <c r="BH295" s="217"/>
      <c r="BI295" s="217"/>
      <c r="BJ295" s="217"/>
      <c r="BK295" s="217"/>
      <c r="BL295" s="217"/>
      <c r="BM295" s="217"/>
      <c r="BN295" s="217"/>
      <c r="BO295" s="217"/>
      <c r="BP295" s="217"/>
      <c r="BQ295" s="217"/>
      <c r="BR295" s="217"/>
      <c r="BS295" s="217"/>
      <c r="BT295" s="217"/>
      <c r="BU295" s="217"/>
      <c r="BV295" s="217"/>
      <c r="BW295" s="217"/>
      <c r="BX295" s="217"/>
      <c r="BY295" s="217"/>
      <c r="BZ295" s="217"/>
      <c r="CA295" s="217"/>
      <c r="CB295" s="217"/>
      <c r="CC295" s="217"/>
      <c r="CD295" s="217"/>
      <c r="CE295" s="217"/>
      <c r="CF295" s="217"/>
      <c r="CG295" s="217"/>
      <c r="CH295" s="217"/>
      <c r="CI295" s="217"/>
      <c r="CJ295" s="217"/>
      <c r="CK295" s="217"/>
      <c r="CL295" s="217"/>
      <c r="CM295" s="217"/>
      <c r="CN295" s="217"/>
      <c r="CO295" s="217"/>
      <c r="CP295" s="217"/>
      <c r="CQ295" s="217"/>
      <c r="CR295" s="217"/>
      <c r="CS295" s="217"/>
      <c r="CT295" s="217"/>
      <c r="CU295" s="217"/>
      <c r="CV295" s="217"/>
      <c r="CW295" s="217"/>
      <c r="CX295" s="217"/>
      <c r="CY295" s="217"/>
      <c r="CZ295" s="217"/>
      <c r="DA295" s="217"/>
      <c r="DB295" s="217"/>
      <c r="DC295" s="217"/>
      <c r="DD295" s="217"/>
      <c r="DE295" s="217"/>
      <c r="DF295" s="217"/>
      <c r="DG295" s="217"/>
      <c r="DH295" s="217"/>
      <c r="DI295" s="217"/>
      <c r="DJ295" s="217"/>
      <c r="DK295" s="217"/>
      <c r="DL295" s="217"/>
      <c r="DM295" s="217"/>
      <c r="DN295" s="217"/>
      <c r="DO295" s="217"/>
      <c r="DP295" s="217"/>
      <c r="DQ295" s="217"/>
      <c r="DR295" s="217"/>
      <c r="DS295" s="217"/>
      <c r="DT295" s="217"/>
    </row>
    <row r="296" spans="1:124" x14ac:dyDescent="0.3">
      <c r="A296" s="217"/>
      <c r="B296" s="342" t="s">
        <v>205</v>
      </c>
      <c r="C296" s="345">
        <f t="shared" si="340"/>
        <v>0</v>
      </c>
      <c r="D296" s="346" t="str">
        <f>IF(D$260="","",D$262*VLOOKUP(D$260&amp;" (All)",'Default Values'!$B$162:$CD$181,MATCH($B296,'Default Values'!$B$101:$CD$101,0),0))</f>
        <v/>
      </c>
      <c r="E296" s="346" t="str">
        <f>IF(E$260="","",E$262*VLOOKUP(E$260&amp;" (All)",'Default Values'!$B$162:$CD$181,MATCH($B296,'Default Values'!$B$101:$CD$101,0),0))</f>
        <v/>
      </c>
      <c r="F296" s="346" t="str">
        <f>IF(F$260="","",F$262*VLOOKUP(F$260&amp;" (All)",'Default Values'!$B$162:$CD$181,MATCH($B296,'Default Values'!$B$101:$CD$101,0),0))</f>
        <v/>
      </c>
      <c r="G296" s="346" t="str">
        <f>IF(G$260="","",G$262*VLOOKUP(G$260&amp;" (All)",'Default Values'!$B$162:$CD$181,MATCH($B296,'Default Values'!$B$101:$CD$101,0),0))</f>
        <v/>
      </c>
      <c r="H296" s="346" t="str">
        <f>IF(H$260="","",H$262*VLOOKUP(H$260&amp;" (All)",'Default Values'!$B$162:$CD$181,MATCH($B296,'Default Values'!$B$101:$CD$101,0),0))</f>
        <v/>
      </c>
      <c r="I296" s="346" t="str">
        <f>IF(I$260="","",I$262*VLOOKUP(I$260&amp;" (All)",'Default Values'!$B$162:$CD$181,MATCH($B296,'Default Values'!$B$101:$CD$101,0),0))</f>
        <v/>
      </c>
      <c r="J296" s="346" t="str">
        <f>IF(J$260="","",J$262*VLOOKUP(J$260&amp;" (All)",'Default Values'!$B$162:$CD$181,MATCH($B296,'Default Values'!$B$101:$CD$101,0),0))</f>
        <v/>
      </c>
      <c r="K296" s="346" t="str">
        <f>IF(K$260="","",K$262*VLOOKUP(K$260&amp;" (All)",'Default Values'!$B$162:$CD$181,MATCH($B296,'Default Values'!$B$101:$CD$101,0),0))</f>
        <v/>
      </c>
      <c r="L296" s="346" t="str">
        <f>IF(L$260="","",L$262*VLOOKUP(L$260&amp;" (All)",'Default Values'!$B$162:$CD$181,MATCH($B296,'Default Values'!$B$101:$CD$101,0),0))</f>
        <v/>
      </c>
      <c r="M296" s="346" t="str">
        <f>IF(M$260="","",M$262*VLOOKUP(M$260&amp;" (All)",'Default Values'!$B$162:$CD$181,MATCH($B296,'Default Values'!$B$101:$CD$101,0),0))</f>
        <v/>
      </c>
      <c r="N296" s="346" t="str">
        <f>IF(N$260="","",N$262*VLOOKUP(N$260&amp;" (All)",'Default Values'!$B$162:$CD$181,MATCH($B296,'Default Values'!$B$101:$CD$101,0),0))</f>
        <v/>
      </c>
      <c r="O296" s="346" t="str">
        <f>IF(O$260="","",O$262*VLOOKUP(O$260&amp;" (All)",'Default Values'!$B$162:$CD$181,MATCH($B296,'Default Values'!$B$101:$CD$101,0),0))</f>
        <v/>
      </c>
      <c r="P296" s="346" t="str">
        <f>IF(P$260="","",P$262*VLOOKUP(P$260&amp;" (All)",'Default Values'!$B$162:$CD$181,MATCH($B296,'Default Values'!$B$101:$CD$101,0),0))</f>
        <v/>
      </c>
      <c r="Q296" s="346" t="str">
        <f>IF(Q$260="","",Q$262*VLOOKUP(Q$260&amp;" (All)",'Default Values'!$B$162:$CD$181,MATCH($B296,'Default Values'!$B$101:$CD$101,0),0))</f>
        <v/>
      </c>
      <c r="R296" s="346" t="str">
        <f>IF(R$260="","",R$262*VLOOKUP(R$260&amp;" (All)",'Default Values'!$B$162:$CD$181,MATCH($B296,'Default Values'!$B$101:$CD$101,0),0))</f>
        <v/>
      </c>
      <c r="S296" s="346" t="str">
        <f>IF(S$260="","",S$262*VLOOKUP(S$260&amp;" (All)",'Default Values'!$B$162:$CD$181,MATCH($B296,'Default Values'!$B$101:$CD$101,0),0))</f>
        <v/>
      </c>
      <c r="T296" s="346" t="str">
        <f>IF(T$260="","",T$262*VLOOKUP(T$260&amp;" (All)",'Default Values'!$B$162:$CD$181,MATCH($B296,'Default Values'!$B$101:$CD$101,0),0))</f>
        <v/>
      </c>
      <c r="U296" s="346" t="str">
        <f>IF(U$260="","",U$262*VLOOKUP(U$260&amp;" (All)",'Default Values'!$B$162:$CD$181,MATCH($B296,'Default Values'!$B$101:$CD$101,0),0))</f>
        <v/>
      </c>
      <c r="V296" s="346" t="str">
        <f>IF(V$260="","",V$262*VLOOKUP(V$260&amp;" (All)",'Default Values'!$B$162:$CD$181,MATCH($B296,'Default Values'!$B$101:$CD$101,0),0))</f>
        <v/>
      </c>
      <c r="W296" s="346" t="str">
        <f>IF(W$260="","",W$262*VLOOKUP(W$260&amp;" (All)",'Default Values'!$B$162:$CD$181,MATCH($B296,'Default Values'!$B$101:$CD$101,0),0))</f>
        <v/>
      </c>
      <c r="X296" s="346" t="str">
        <f>IF(X$260="","",X$262*VLOOKUP(X$260&amp;" (All)",'Default Values'!$B$162:$CD$181,MATCH($B296,'Default Values'!$B$101:$CD$101,0),0))</f>
        <v/>
      </c>
      <c r="Y296" s="346" t="str">
        <f>IF(Y$260="","",Y$262*VLOOKUP(Y$260&amp;" (All)",'Default Values'!$B$162:$CD$181,MATCH($B296,'Default Values'!$B$101:$CD$101,0),0))</f>
        <v/>
      </c>
      <c r="Z296" s="346" t="str">
        <f>IF(Z$260="","",Z$262*VLOOKUP(Z$260&amp;" (All)",'Default Values'!$B$162:$CD$181,MATCH($B296,'Default Values'!$B$101:$CD$101,0),0))</f>
        <v/>
      </c>
      <c r="AA296" s="346" t="str">
        <f>IF(AA$260="","",AA$262*VLOOKUP(AA$260&amp;" (All)",'Default Values'!$B$162:$CD$181,MATCH($B296,'Default Values'!$B$101:$CD$101,0),0))</f>
        <v/>
      </c>
      <c r="AB296" s="346" t="str">
        <f>IF(AB$260="","",AB$262*VLOOKUP(AB$260&amp;" (All)",'Default Values'!$B$162:$CD$181,MATCH($B296,'Default Values'!$B$101:$CD$101,0),0))</f>
        <v/>
      </c>
      <c r="AC296" s="346" t="str">
        <f>IF(AC$260="","",AC$262*VLOOKUP(AC$260&amp;" (All)",'Default Values'!$B$162:$CD$181,MATCH($B296,'Default Values'!$B$101:$CD$101,0),0))</f>
        <v/>
      </c>
      <c r="AD296" s="346" t="str">
        <f>IF(AD$260="","",AD$262*VLOOKUP(AD$260&amp;" (All)",'Default Values'!$B$162:$CD$181,MATCH($B296,'Default Values'!$B$101:$CD$101,0),0))</f>
        <v/>
      </c>
      <c r="AE296" s="346" t="str">
        <f>IF(AE$260="","",AE$262*VLOOKUP(AE$260&amp;" (All)",'Default Values'!$B$162:$CD$181,MATCH($B296,'Default Values'!$B$101:$CD$101,0),0))</f>
        <v/>
      </c>
      <c r="AF296" s="346" t="str">
        <f>IF(AF$260="","",AF$262*VLOOKUP(AF$260&amp;" (All)",'Default Values'!$B$162:$CD$181,MATCH($B296,'Default Values'!$B$101:$CD$101,0),0))</f>
        <v/>
      </c>
      <c r="AG296" s="346" t="str">
        <f>IF(AG$260="","",AG$262*VLOOKUP(AG$260&amp;" (All)",'Default Values'!$B$162:$CD$181,MATCH($B296,'Default Values'!$B$101:$CD$101,0),0))</f>
        <v/>
      </c>
      <c r="AH296" s="346" t="str">
        <f>IF(AH$260="","",AH$262*VLOOKUP(AH$260&amp;" (All)",'Default Values'!$B$162:$CD$181,MATCH($B296,'Default Values'!$B$101:$CD$101,0),0))</f>
        <v/>
      </c>
      <c r="AI296" s="346" t="str">
        <f>IF(AI$260="","",AI$262*VLOOKUP(AI$260&amp;" (All)",'Default Values'!$B$162:$CD$181,MATCH($B296,'Default Values'!$B$101:$CD$101,0),0))</f>
        <v/>
      </c>
      <c r="AJ296" s="346" t="str">
        <f>IF(AJ$260="","",AJ$262*VLOOKUP(AJ$260&amp;" (All)",'Default Values'!$B$162:$CD$181,MATCH($B296,'Default Values'!$B$101:$CD$101,0),0))</f>
        <v/>
      </c>
      <c r="AK296" s="346" t="str">
        <f>IF(AK$260="","",AK$262*VLOOKUP(AK$260&amp;" (All)",'Default Values'!$B$162:$CD$181,MATCH($B296,'Default Values'!$B$101:$CD$101,0),0))</f>
        <v/>
      </c>
      <c r="AL296" s="346" t="str">
        <f>IF(AL$260="","",AL$262*VLOOKUP(AL$260&amp;" (All)",'Default Values'!$B$162:$CD$181,MATCH($B296,'Default Values'!$B$101:$CD$101,0),0))</f>
        <v/>
      </c>
      <c r="AM296" s="346" t="str">
        <f>IF(AM$260="","",AM$262*VLOOKUP(AM$260&amp;" (All)",'Default Values'!$B$162:$CD$181,MATCH($B296,'Default Values'!$B$101:$CD$101,0),0))</f>
        <v/>
      </c>
      <c r="AN296" s="346" t="str">
        <f>IF(AN$260="","",AN$262*VLOOKUP(AN$260&amp;" (All)",'Default Values'!$B$162:$CD$181,MATCH($B296,'Default Values'!$B$101:$CD$101,0),0))</f>
        <v/>
      </c>
      <c r="AO296" s="346" t="str">
        <f>IF(AO$260="","",AO$262*VLOOKUP(AO$260&amp;" (All)",'Default Values'!$B$162:$CD$181,MATCH($B296,'Default Values'!$B$101:$CD$101,0),0))</f>
        <v/>
      </c>
      <c r="AP296" s="346" t="str">
        <f>IF(AP$260="","",AP$262*VLOOKUP(AP$260&amp;" (All)",'Default Values'!$B$162:$CD$181,MATCH($B296,'Default Values'!$B$101:$CD$101,0),0))</f>
        <v/>
      </c>
      <c r="AQ296" s="346" t="str">
        <f>IF(AQ$260="","",AQ$262*VLOOKUP(AQ$260&amp;" (All)",'Default Values'!$B$162:$CD$181,MATCH($B296,'Default Values'!$B$101:$CD$101,0),0))</f>
        <v/>
      </c>
      <c r="AR296" s="346">
        <f>IF(AR$260="","",AR$262*VLOOKUP(AR$260&amp;" (All)",'Default Values'!$B$162:$CD$181,MATCH($B296,'Default Values'!$B$101:$CD$101,0),0))</f>
        <v>0</v>
      </c>
      <c r="AS296" s="217"/>
      <c r="AT296" s="217"/>
      <c r="AU296" s="217"/>
      <c r="AV296" s="217"/>
      <c r="AW296" s="217"/>
      <c r="AX296" s="217"/>
      <c r="AY296" s="217"/>
      <c r="AZ296" s="217"/>
      <c r="BA296" s="217"/>
      <c r="BB296" s="217"/>
      <c r="BC296" s="217"/>
      <c r="BD296" s="217"/>
      <c r="BE296" s="217"/>
      <c r="BF296" s="217"/>
      <c r="BG296" s="217"/>
      <c r="BH296" s="217"/>
      <c r="BI296" s="217"/>
      <c r="BJ296" s="217"/>
      <c r="BK296" s="217"/>
      <c r="BL296" s="217"/>
      <c r="BM296" s="217"/>
      <c r="BN296" s="217"/>
      <c r="BO296" s="217"/>
      <c r="BP296" s="217"/>
      <c r="BQ296" s="217"/>
      <c r="BR296" s="217"/>
      <c r="BS296" s="217"/>
      <c r="BT296" s="217"/>
      <c r="BU296" s="217"/>
      <c r="BV296" s="217"/>
      <c r="BW296" s="217"/>
      <c r="BX296" s="217"/>
      <c r="BY296" s="217"/>
      <c r="BZ296" s="217"/>
      <c r="CA296" s="217"/>
      <c r="CB296" s="217"/>
      <c r="CC296" s="217"/>
      <c r="CD296" s="217"/>
      <c r="CE296" s="217"/>
      <c r="CF296" s="217"/>
      <c r="CG296" s="217"/>
      <c r="CH296" s="217"/>
      <c r="CI296" s="217"/>
      <c r="CJ296" s="217"/>
      <c r="CK296" s="217"/>
      <c r="CL296" s="217"/>
      <c r="CM296" s="217"/>
      <c r="CN296" s="217"/>
      <c r="CO296" s="217"/>
      <c r="CP296" s="217"/>
      <c r="CQ296" s="217"/>
      <c r="CR296" s="217"/>
      <c r="CS296" s="217"/>
      <c r="CT296" s="217"/>
      <c r="CU296" s="217"/>
      <c r="CV296" s="217"/>
      <c r="CW296" s="217"/>
      <c r="CX296" s="217"/>
      <c r="CY296" s="217"/>
      <c r="CZ296" s="217"/>
      <c r="DA296" s="217"/>
      <c r="DB296" s="217"/>
      <c r="DC296" s="217"/>
      <c r="DD296" s="217"/>
      <c r="DE296" s="217"/>
      <c r="DF296" s="217"/>
      <c r="DG296" s="217"/>
      <c r="DH296" s="217"/>
      <c r="DI296" s="217"/>
      <c r="DJ296" s="217"/>
      <c r="DK296" s="217"/>
      <c r="DL296" s="217"/>
      <c r="DM296" s="217"/>
      <c r="DN296" s="217"/>
      <c r="DO296" s="217"/>
      <c r="DP296" s="217"/>
      <c r="DQ296" s="217"/>
      <c r="DR296" s="217"/>
      <c r="DS296" s="217"/>
      <c r="DT296" s="217"/>
    </row>
    <row r="297" spans="1:124" x14ac:dyDescent="0.3">
      <c r="A297" s="217"/>
      <c r="B297" s="342" t="s">
        <v>207</v>
      </c>
      <c r="C297" s="345">
        <f t="shared" si="340"/>
        <v>0</v>
      </c>
      <c r="D297" s="346" t="str">
        <f>IF(D$260="","",D$262*VLOOKUP(D$260&amp;" (All)",'Default Values'!$B$162:$CD$181,MATCH($B297,'Default Values'!$B$101:$CD$101,0),0))</f>
        <v/>
      </c>
      <c r="E297" s="346" t="str">
        <f>IF(E$260="","",E$262*VLOOKUP(E$260&amp;" (All)",'Default Values'!$B$162:$CD$181,MATCH($B297,'Default Values'!$B$101:$CD$101,0),0))</f>
        <v/>
      </c>
      <c r="F297" s="346" t="str">
        <f>IF(F$260="","",F$262*VLOOKUP(F$260&amp;" (All)",'Default Values'!$B$162:$CD$181,MATCH($B297,'Default Values'!$B$101:$CD$101,0),0))</f>
        <v/>
      </c>
      <c r="G297" s="346" t="str">
        <f>IF(G$260="","",G$262*VLOOKUP(G$260&amp;" (All)",'Default Values'!$B$162:$CD$181,MATCH($B297,'Default Values'!$B$101:$CD$101,0),0))</f>
        <v/>
      </c>
      <c r="H297" s="346" t="str">
        <f>IF(H$260="","",H$262*VLOOKUP(H$260&amp;" (All)",'Default Values'!$B$162:$CD$181,MATCH($B297,'Default Values'!$B$101:$CD$101,0),0))</f>
        <v/>
      </c>
      <c r="I297" s="346" t="str">
        <f>IF(I$260="","",I$262*VLOOKUP(I$260&amp;" (All)",'Default Values'!$B$162:$CD$181,MATCH($B297,'Default Values'!$B$101:$CD$101,0),0))</f>
        <v/>
      </c>
      <c r="J297" s="346" t="str">
        <f>IF(J$260="","",J$262*VLOOKUP(J$260&amp;" (All)",'Default Values'!$B$162:$CD$181,MATCH($B297,'Default Values'!$B$101:$CD$101,0),0))</f>
        <v/>
      </c>
      <c r="K297" s="346" t="str">
        <f>IF(K$260="","",K$262*VLOOKUP(K$260&amp;" (All)",'Default Values'!$B$162:$CD$181,MATCH($B297,'Default Values'!$B$101:$CD$101,0),0))</f>
        <v/>
      </c>
      <c r="L297" s="346" t="str">
        <f>IF(L$260="","",L$262*VLOOKUP(L$260&amp;" (All)",'Default Values'!$B$162:$CD$181,MATCH($B297,'Default Values'!$B$101:$CD$101,0),0))</f>
        <v/>
      </c>
      <c r="M297" s="346" t="str">
        <f>IF(M$260="","",M$262*VLOOKUP(M$260&amp;" (All)",'Default Values'!$B$162:$CD$181,MATCH($B297,'Default Values'!$B$101:$CD$101,0),0))</f>
        <v/>
      </c>
      <c r="N297" s="346" t="str">
        <f>IF(N$260="","",N$262*VLOOKUP(N$260&amp;" (All)",'Default Values'!$B$162:$CD$181,MATCH($B297,'Default Values'!$B$101:$CD$101,0),0))</f>
        <v/>
      </c>
      <c r="O297" s="346" t="str">
        <f>IF(O$260="","",O$262*VLOOKUP(O$260&amp;" (All)",'Default Values'!$B$162:$CD$181,MATCH($B297,'Default Values'!$B$101:$CD$101,0),0))</f>
        <v/>
      </c>
      <c r="P297" s="346" t="str">
        <f>IF(P$260="","",P$262*VLOOKUP(P$260&amp;" (All)",'Default Values'!$B$162:$CD$181,MATCH($B297,'Default Values'!$B$101:$CD$101,0),0))</f>
        <v/>
      </c>
      <c r="Q297" s="346" t="str">
        <f>IF(Q$260="","",Q$262*VLOOKUP(Q$260&amp;" (All)",'Default Values'!$B$162:$CD$181,MATCH($B297,'Default Values'!$B$101:$CD$101,0),0))</f>
        <v/>
      </c>
      <c r="R297" s="346" t="str">
        <f>IF(R$260="","",R$262*VLOOKUP(R$260&amp;" (All)",'Default Values'!$B$162:$CD$181,MATCH($B297,'Default Values'!$B$101:$CD$101,0),0))</f>
        <v/>
      </c>
      <c r="S297" s="346" t="str">
        <f>IF(S$260="","",S$262*VLOOKUP(S$260&amp;" (All)",'Default Values'!$B$162:$CD$181,MATCH($B297,'Default Values'!$B$101:$CD$101,0),0))</f>
        <v/>
      </c>
      <c r="T297" s="346" t="str">
        <f>IF(T$260="","",T$262*VLOOKUP(T$260&amp;" (All)",'Default Values'!$B$162:$CD$181,MATCH($B297,'Default Values'!$B$101:$CD$101,0),0))</f>
        <v/>
      </c>
      <c r="U297" s="346" t="str">
        <f>IF(U$260="","",U$262*VLOOKUP(U$260&amp;" (All)",'Default Values'!$B$162:$CD$181,MATCH($B297,'Default Values'!$B$101:$CD$101,0),0))</f>
        <v/>
      </c>
      <c r="V297" s="346" t="str">
        <f>IF(V$260="","",V$262*VLOOKUP(V$260&amp;" (All)",'Default Values'!$B$162:$CD$181,MATCH($B297,'Default Values'!$B$101:$CD$101,0),0))</f>
        <v/>
      </c>
      <c r="W297" s="346" t="str">
        <f>IF(W$260="","",W$262*VLOOKUP(W$260&amp;" (All)",'Default Values'!$B$162:$CD$181,MATCH($B297,'Default Values'!$B$101:$CD$101,0),0))</f>
        <v/>
      </c>
      <c r="X297" s="346" t="str">
        <f>IF(X$260="","",X$262*VLOOKUP(X$260&amp;" (All)",'Default Values'!$B$162:$CD$181,MATCH($B297,'Default Values'!$B$101:$CD$101,0),0))</f>
        <v/>
      </c>
      <c r="Y297" s="346" t="str">
        <f>IF(Y$260="","",Y$262*VLOOKUP(Y$260&amp;" (All)",'Default Values'!$B$162:$CD$181,MATCH($B297,'Default Values'!$B$101:$CD$101,0),0))</f>
        <v/>
      </c>
      <c r="Z297" s="346" t="str">
        <f>IF(Z$260="","",Z$262*VLOOKUP(Z$260&amp;" (All)",'Default Values'!$B$162:$CD$181,MATCH($B297,'Default Values'!$B$101:$CD$101,0),0))</f>
        <v/>
      </c>
      <c r="AA297" s="346" t="str">
        <f>IF(AA$260="","",AA$262*VLOOKUP(AA$260&amp;" (All)",'Default Values'!$B$162:$CD$181,MATCH($B297,'Default Values'!$B$101:$CD$101,0),0))</f>
        <v/>
      </c>
      <c r="AB297" s="346" t="str">
        <f>IF(AB$260="","",AB$262*VLOOKUP(AB$260&amp;" (All)",'Default Values'!$B$162:$CD$181,MATCH($B297,'Default Values'!$B$101:$CD$101,0),0))</f>
        <v/>
      </c>
      <c r="AC297" s="346" t="str">
        <f>IF(AC$260="","",AC$262*VLOOKUP(AC$260&amp;" (All)",'Default Values'!$B$162:$CD$181,MATCH($B297,'Default Values'!$B$101:$CD$101,0),0))</f>
        <v/>
      </c>
      <c r="AD297" s="346" t="str">
        <f>IF(AD$260="","",AD$262*VLOOKUP(AD$260&amp;" (All)",'Default Values'!$B$162:$CD$181,MATCH($B297,'Default Values'!$B$101:$CD$101,0),0))</f>
        <v/>
      </c>
      <c r="AE297" s="346" t="str">
        <f>IF(AE$260="","",AE$262*VLOOKUP(AE$260&amp;" (All)",'Default Values'!$B$162:$CD$181,MATCH($B297,'Default Values'!$B$101:$CD$101,0),0))</f>
        <v/>
      </c>
      <c r="AF297" s="346" t="str">
        <f>IF(AF$260="","",AF$262*VLOOKUP(AF$260&amp;" (All)",'Default Values'!$B$162:$CD$181,MATCH($B297,'Default Values'!$B$101:$CD$101,0),0))</f>
        <v/>
      </c>
      <c r="AG297" s="346" t="str">
        <f>IF(AG$260="","",AG$262*VLOOKUP(AG$260&amp;" (All)",'Default Values'!$B$162:$CD$181,MATCH($B297,'Default Values'!$B$101:$CD$101,0),0))</f>
        <v/>
      </c>
      <c r="AH297" s="346" t="str">
        <f>IF(AH$260="","",AH$262*VLOOKUP(AH$260&amp;" (All)",'Default Values'!$B$162:$CD$181,MATCH($B297,'Default Values'!$B$101:$CD$101,0),0))</f>
        <v/>
      </c>
      <c r="AI297" s="346" t="str">
        <f>IF(AI$260="","",AI$262*VLOOKUP(AI$260&amp;" (All)",'Default Values'!$B$162:$CD$181,MATCH($B297,'Default Values'!$B$101:$CD$101,0),0))</f>
        <v/>
      </c>
      <c r="AJ297" s="346" t="str">
        <f>IF(AJ$260="","",AJ$262*VLOOKUP(AJ$260&amp;" (All)",'Default Values'!$B$162:$CD$181,MATCH($B297,'Default Values'!$B$101:$CD$101,0),0))</f>
        <v/>
      </c>
      <c r="AK297" s="346" t="str">
        <f>IF(AK$260="","",AK$262*VLOOKUP(AK$260&amp;" (All)",'Default Values'!$B$162:$CD$181,MATCH($B297,'Default Values'!$B$101:$CD$101,0),0))</f>
        <v/>
      </c>
      <c r="AL297" s="346" t="str">
        <f>IF(AL$260="","",AL$262*VLOOKUP(AL$260&amp;" (All)",'Default Values'!$B$162:$CD$181,MATCH($B297,'Default Values'!$B$101:$CD$101,0),0))</f>
        <v/>
      </c>
      <c r="AM297" s="346" t="str">
        <f>IF(AM$260="","",AM$262*VLOOKUP(AM$260&amp;" (All)",'Default Values'!$B$162:$CD$181,MATCH($B297,'Default Values'!$B$101:$CD$101,0),0))</f>
        <v/>
      </c>
      <c r="AN297" s="346" t="str">
        <f>IF(AN$260="","",AN$262*VLOOKUP(AN$260&amp;" (All)",'Default Values'!$B$162:$CD$181,MATCH($B297,'Default Values'!$B$101:$CD$101,0),0))</f>
        <v/>
      </c>
      <c r="AO297" s="346" t="str">
        <f>IF(AO$260="","",AO$262*VLOOKUP(AO$260&amp;" (All)",'Default Values'!$B$162:$CD$181,MATCH($B297,'Default Values'!$B$101:$CD$101,0),0))</f>
        <v/>
      </c>
      <c r="AP297" s="346" t="str">
        <f>IF(AP$260="","",AP$262*VLOOKUP(AP$260&amp;" (All)",'Default Values'!$B$162:$CD$181,MATCH($B297,'Default Values'!$B$101:$CD$101,0),0))</f>
        <v/>
      </c>
      <c r="AQ297" s="346" t="str">
        <f>IF(AQ$260="","",AQ$262*VLOOKUP(AQ$260&amp;" (All)",'Default Values'!$B$162:$CD$181,MATCH($B297,'Default Values'!$B$101:$CD$101,0),0))</f>
        <v/>
      </c>
      <c r="AR297" s="346">
        <f>IF(AR$260="","",AR$262*VLOOKUP(AR$260&amp;" (All)",'Default Values'!$B$162:$CD$181,MATCH($B297,'Default Values'!$B$101:$CD$101,0),0))</f>
        <v>0</v>
      </c>
      <c r="AS297" s="217"/>
      <c r="AT297" s="217"/>
      <c r="AU297" s="217"/>
      <c r="AV297" s="217"/>
      <c r="AW297" s="217"/>
      <c r="AX297" s="217"/>
      <c r="AY297" s="217"/>
      <c r="AZ297" s="217"/>
      <c r="BA297" s="217"/>
      <c r="BB297" s="217"/>
      <c r="BC297" s="217"/>
      <c r="BD297" s="217"/>
      <c r="BE297" s="217"/>
      <c r="BF297" s="217"/>
      <c r="BG297" s="217"/>
      <c r="BH297" s="217"/>
      <c r="BI297" s="217"/>
      <c r="BJ297" s="217"/>
      <c r="BK297" s="217"/>
      <c r="BL297" s="217"/>
      <c r="BM297" s="217"/>
      <c r="BN297" s="217"/>
      <c r="BO297" s="217"/>
      <c r="BP297" s="217"/>
      <c r="BQ297" s="217"/>
      <c r="BR297" s="217"/>
      <c r="BS297" s="217"/>
      <c r="BT297" s="217"/>
      <c r="BU297" s="217"/>
      <c r="BV297" s="217"/>
      <c r="BW297" s="217"/>
      <c r="BX297" s="217"/>
      <c r="BY297" s="217"/>
      <c r="BZ297" s="217"/>
      <c r="CA297" s="217"/>
      <c r="CB297" s="217"/>
      <c r="CC297" s="217"/>
      <c r="CD297" s="217"/>
      <c r="CE297" s="217"/>
      <c r="CF297" s="217"/>
      <c r="CG297" s="217"/>
      <c r="CH297" s="217"/>
      <c r="CI297" s="217"/>
      <c r="CJ297" s="217"/>
      <c r="CK297" s="217"/>
      <c r="CL297" s="217"/>
      <c r="CM297" s="217"/>
      <c r="CN297" s="217"/>
      <c r="CO297" s="217"/>
      <c r="CP297" s="217"/>
      <c r="CQ297" s="217"/>
      <c r="CR297" s="217"/>
      <c r="CS297" s="217"/>
      <c r="CT297" s="217"/>
      <c r="CU297" s="217"/>
      <c r="CV297" s="217"/>
      <c r="CW297" s="217"/>
      <c r="CX297" s="217"/>
      <c r="CY297" s="217"/>
      <c r="CZ297" s="217"/>
      <c r="DA297" s="217"/>
      <c r="DB297" s="217"/>
      <c r="DC297" s="217"/>
      <c r="DD297" s="217"/>
      <c r="DE297" s="217"/>
      <c r="DF297" s="217"/>
      <c r="DG297" s="217"/>
      <c r="DH297" s="217"/>
      <c r="DI297" s="217"/>
      <c r="DJ297" s="217"/>
      <c r="DK297" s="217"/>
      <c r="DL297" s="217"/>
      <c r="DM297" s="217"/>
      <c r="DN297" s="217"/>
      <c r="DO297" s="217"/>
      <c r="DP297" s="217"/>
      <c r="DQ297" s="217"/>
      <c r="DR297" s="217"/>
      <c r="DS297" s="217"/>
      <c r="DT297" s="217"/>
    </row>
    <row r="298" spans="1:124" x14ac:dyDescent="0.3">
      <c r="A298" s="217"/>
      <c r="B298" s="342" t="s">
        <v>208</v>
      </c>
      <c r="C298" s="345">
        <f t="shared" si="340"/>
        <v>0</v>
      </c>
      <c r="D298" s="346" t="str">
        <f>IF(D$260="","",D$262*VLOOKUP(D$260&amp;" (All)",'Default Values'!$B$162:$CD$181,MATCH($B298,'Default Values'!$B$101:$CD$101,0),0))</f>
        <v/>
      </c>
      <c r="E298" s="346" t="str">
        <f>IF(E$260="","",E$262*VLOOKUP(E$260&amp;" (All)",'Default Values'!$B$162:$CD$181,MATCH($B298,'Default Values'!$B$101:$CD$101,0),0))</f>
        <v/>
      </c>
      <c r="F298" s="346" t="str">
        <f>IF(F$260="","",F$262*VLOOKUP(F$260&amp;" (All)",'Default Values'!$B$162:$CD$181,MATCH($B298,'Default Values'!$B$101:$CD$101,0),0))</f>
        <v/>
      </c>
      <c r="G298" s="346" t="str">
        <f>IF(G$260="","",G$262*VLOOKUP(G$260&amp;" (All)",'Default Values'!$B$162:$CD$181,MATCH($B298,'Default Values'!$B$101:$CD$101,0),0))</f>
        <v/>
      </c>
      <c r="H298" s="346" t="str">
        <f>IF(H$260="","",H$262*VLOOKUP(H$260&amp;" (All)",'Default Values'!$B$162:$CD$181,MATCH($B298,'Default Values'!$B$101:$CD$101,0),0))</f>
        <v/>
      </c>
      <c r="I298" s="346" t="str">
        <f>IF(I$260="","",I$262*VLOOKUP(I$260&amp;" (All)",'Default Values'!$B$162:$CD$181,MATCH($B298,'Default Values'!$B$101:$CD$101,0),0))</f>
        <v/>
      </c>
      <c r="J298" s="346" t="str">
        <f>IF(J$260="","",J$262*VLOOKUP(J$260&amp;" (All)",'Default Values'!$B$162:$CD$181,MATCH($B298,'Default Values'!$B$101:$CD$101,0),0))</f>
        <v/>
      </c>
      <c r="K298" s="346" t="str">
        <f>IF(K$260="","",K$262*VLOOKUP(K$260&amp;" (All)",'Default Values'!$B$162:$CD$181,MATCH($B298,'Default Values'!$B$101:$CD$101,0),0))</f>
        <v/>
      </c>
      <c r="L298" s="346" t="str">
        <f>IF(L$260="","",L$262*VLOOKUP(L$260&amp;" (All)",'Default Values'!$B$162:$CD$181,MATCH($B298,'Default Values'!$B$101:$CD$101,0),0))</f>
        <v/>
      </c>
      <c r="M298" s="346" t="str">
        <f>IF(M$260="","",M$262*VLOOKUP(M$260&amp;" (All)",'Default Values'!$B$162:$CD$181,MATCH($B298,'Default Values'!$B$101:$CD$101,0),0))</f>
        <v/>
      </c>
      <c r="N298" s="346" t="str">
        <f>IF(N$260="","",N$262*VLOOKUP(N$260&amp;" (All)",'Default Values'!$B$162:$CD$181,MATCH($B298,'Default Values'!$B$101:$CD$101,0),0))</f>
        <v/>
      </c>
      <c r="O298" s="346" t="str">
        <f>IF(O$260="","",O$262*VLOOKUP(O$260&amp;" (All)",'Default Values'!$B$162:$CD$181,MATCH($B298,'Default Values'!$B$101:$CD$101,0),0))</f>
        <v/>
      </c>
      <c r="P298" s="346" t="str">
        <f>IF(P$260="","",P$262*VLOOKUP(P$260&amp;" (All)",'Default Values'!$B$162:$CD$181,MATCH($B298,'Default Values'!$B$101:$CD$101,0),0))</f>
        <v/>
      </c>
      <c r="Q298" s="346" t="str">
        <f>IF(Q$260="","",Q$262*VLOOKUP(Q$260&amp;" (All)",'Default Values'!$B$162:$CD$181,MATCH($B298,'Default Values'!$B$101:$CD$101,0),0))</f>
        <v/>
      </c>
      <c r="R298" s="346" t="str">
        <f>IF(R$260="","",R$262*VLOOKUP(R$260&amp;" (All)",'Default Values'!$B$162:$CD$181,MATCH($B298,'Default Values'!$B$101:$CD$101,0),0))</f>
        <v/>
      </c>
      <c r="S298" s="346" t="str">
        <f>IF(S$260="","",S$262*VLOOKUP(S$260&amp;" (All)",'Default Values'!$B$162:$CD$181,MATCH($B298,'Default Values'!$B$101:$CD$101,0),0))</f>
        <v/>
      </c>
      <c r="T298" s="346" t="str">
        <f>IF(T$260="","",T$262*VLOOKUP(T$260&amp;" (All)",'Default Values'!$B$162:$CD$181,MATCH($B298,'Default Values'!$B$101:$CD$101,0),0))</f>
        <v/>
      </c>
      <c r="U298" s="346" t="str">
        <f>IF(U$260="","",U$262*VLOOKUP(U$260&amp;" (All)",'Default Values'!$B$162:$CD$181,MATCH($B298,'Default Values'!$B$101:$CD$101,0),0))</f>
        <v/>
      </c>
      <c r="V298" s="346" t="str">
        <f>IF(V$260="","",V$262*VLOOKUP(V$260&amp;" (All)",'Default Values'!$B$162:$CD$181,MATCH($B298,'Default Values'!$B$101:$CD$101,0),0))</f>
        <v/>
      </c>
      <c r="W298" s="346" t="str">
        <f>IF(W$260="","",W$262*VLOOKUP(W$260&amp;" (All)",'Default Values'!$B$162:$CD$181,MATCH($B298,'Default Values'!$B$101:$CD$101,0),0))</f>
        <v/>
      </c>
      <c r="X298" s="346" t="str">
        <f>IF(X$260="","",X$262*VLOOKUP(X$260&amp;" (All)",'Default Values'!$B$162:$CD$181,MATCH($B298,'Default Values'!$B$101:$CD$101,0),0))</f>
        <v/>
      </c>
      <c r="Y298" s="346" t="str">
        <f>IF(Y$260="","",Y$262*VLOOKUP(Y$260&amp;" (All)",'Default Values'!$B$162:$CD$181,MATCH($B298,'Default Values'!$B$101:$CD$101,0),0))</f>
        <v/>
      </c>
      <c r="Z298" s="346" t="str">
        <f>IF(Z$260="","",Z$262*VLOOKUP(Z$260&amp;" (All)",'Default Values'!$B$162:$CD$181,MATCH($B298,'Default Values'!$B$101:$CD$101,0),0))</f>
        <v/>
      </c>
      <c r="AA298" s="346" t="str">
        <f>IF(AA$260="","",AA$262*VLOOKUP(AA$260&amp;" (All)",'Default Values'!$B$162:$CD$181,MATCH($B298,'Default Values'!$B$101:$CD$101,0),0))</f>
        <v/>
      </c>
      <c r="AB298" s="346" t="str">
        <f>IF(AB$260="","",AB$262*VLOOKUP(AB$260&amp;" (All)",'Default Values'!$B$162:$CD$181,MATCH($B298,'Default Values'!$B$101:$CD$101,0),0))</f>
        <v/>
      </c>
      <c r="AC298" s="346" t="str">
        <f>IF(AC$260="","",AC$262*VLOOKUP(AC$260&amp;" (All)",'Default Values'!$B$162:$CD$181,MATCH($B298,'Default Values'!$B$101:$CD$101,0),0))</f>
        <v/>
      </c>
      <c r="AD298" s="346" t="str">
        <f>IF(AD$260="","",AD$262*VLOOKUP(AD$260&amp;" (All)",'Default Values'!$B$162:$CD$181,MATCH($B298,'Default Values'!$B$101:$CD$101,0),0))</f>
        <v/>
      </c>
      <c r="AE298" s="346" t="str">
        <f>IF(AE$260="","",AE$262*VLOOKUP(AE$260&amp;" (All)",'Default Values'!$B$162:$CD$181,MATCH($B298,'Default Values'!$B$101:$CD$101,0),0))</f>
        <v/>
      </c>
      <c r="AF298" s="346" t="str">
        <f>IF(AF$260="","",AF$262*VLOOKUP(AF$260&amp;" (All)",'Default Values'!$B$162:$CD$181,MATCH($B298,'Default Values'!$B$101:$CD$101,0),0))</f>
        <v/>
      </c>
      <c r="AG298" s="346" t="str">
        <f>IF(AG$260="","",AG$262*VLOOKUP(AG$260&amp;" (All)",'Default Values'!$B$162:$CD$181,MATCH($B298,'Default Values'!$B$101:$CD$101,0),0))</f>
        <v/>
      </c>
      <c r="AH298" s="346" t="str">
        <f>IF(AH$260="","",AH$262*VLOOKUP(AH$260&amp;" (All)",'Default Values'!$B$162:$CD$181,MATCH($B298,'Default Values'!$B$101:$CD$101,0),0))</f>
        <v/>
      </c>
      <c r="AI298" s="346" t="str">
        <f>IF(AI$260="","",AI$262*VLOOKUP(AI$260&amp;" (All)",'Default Values'!$B$162:$CD$181,MATCH($B298,'Default Values'!$B$101:$CD$101,0),0))</f>
        <v/>
      </c>
      <c r="AJ298" s="346" t="str">
        <f>IF(AJ$260="","",AJ$262*VLOOKUP(AJ$260&amp;" (All)",'Default Values'!$B$162:$CD$181,MATCH($B298,'Default Values'!$B$101:$CD$101,0),0))</f>
        <v/>
      </c>
      <c r="AK298" s="346" t="str">
        <f>IF(AK$260="","",AK$262*VLOOKUP(AK$260&amp;" (All)",'Default Values'!$B$162:$CD$181,MATCH($B298,'Default Values'!$B$101:$CD$101,0),0))</f>
        <v/>
      </c>
      <c r="AL298" s="346" t="str">
        <f>IF(AL$260="","",AL$262*VLOOKUP(AL$260&amp;" (All)",'Default Values'!$B$162:$CD$181,MATCH($B298,'Default Values'!$B$101:$CD$101,0),0))</f>
        <v/>
      </c>
      <c r="AM298" s="346" t="str">
        <f>IF(AM$260="","",AM$262*VLOOKUP(AM$260&amp;" (All)",'Default Values'!$B$162:$CD$181,MATCH($B298,'Default Values'!$B$101:$CD$101,0),0))</f>
        <v/>
      </c>
      <c r="AN298" s="346" t="str">
        <f>IF(AN$260="","",AN$262*VLOOKUP(AN$260&amp;" (All)",'Default Values'!$B$162:$CD$181,MATCH($B298,'Default Values'!$B$101:$CD$101,0),0))</f>
        <v/>
      </c>
      <c r="AO298" s="346" t="str">
        <f>IF(AO$260="","",AO$262*VLOOKUP(AO$260&amp;" (All)",'Default Values'!$B$162:$CD$181,MATCH($B298,'Default Values'!$B$101:$CD$101,0),0))</f>
        <v/>
      </c>
      <c r="AP298" s="346" t="str">
        <f>IF(AP$260="","",AP$262*VLOOKUP(AP$260&amp;" (All)",'Default Values'!$B$162:$CD$181,MATCH($B298,'Default Values'!$B$101:$CD$101,0),0))</f>
        <v/>
      </c>
      <c r="AQ298" s="346" t="str">
        <f>IF(AQ$260="","",AQ$262*VLOOKUP(AQ$260&amp;" (All)",'Default Values'!$B$162:$CD$181,MATCH($B298,'Default Values'!$B$101:$CD$101,0),0))</f>
        <v/>
      </c>
      <c r="AR298" s="346">
        <f>IF(AR$260="","",AR$262*VLOOKUP(AR$260&amp;" (All)",'Default Values'!$B$162:$CD$181,MATCH($B298,'Default Values'!$B$101:$CD$101,0),0))</f>
        <v>1.5111111111111113</v>
      </c>
      <c r="AS298" s="217"/>
      <c r="AT298" s="217"/>
      <c r="AU298" s="217"/>
      <c r="AV298" s="217"/>
      <c r="AW298" s="217"/>
      <c r="AX298" s="217"/>
      <c r="AY298" s="217"/>
      <c r="AZ298" s="217"/>
      <c r="BA298" s="217"/>
      <c r="BB298" s="217"/>
      <c r="BC298" s="217"/>
      <c r="BD298" s="217"/>
      <c r="BE298" s="217"/>
      <c r="BF298" s="217"/>
      <c r="BG298" s="217"/>
      <c r="BH298" s="217"/>
      <c r="BI298" s="217"/>
      <c r="BJ298" s="217"/>
      <c r="BK298" s="217"/>
      <c r="BL298" s="217"/>
      <c r="BM298" s="217"/>
      <c r="BN298" s="217"/>
      <c r="BO298" s="217"/>
      <c r="BP298" s="217"/>
      <c r="BQ298" s="217"/>
      <c r="BR298" s="217"/>
      <c r="BS298" s="217"/>
      <c r="BT298" s="217"/>
      <c r="BU298" s="217"/>
      <c r="BV298" s="217"/>
      <c r="BW298" s="217"/>
      <c r="BX298" s="217"/>
      <c r="BY298" s="217"/>
      <c r="BZ298" s="217"/>
      <c r="CA298" s="217"/>
      <c r="CB298" s="217"/>
      <c r="CC298" s="217"/>
      <c r="CD298" s="217"/>
      <c r="CE298" s="217"/>
      <c r="CF298" s="217"/>
      <c r="CG298" s="217"/>
      <c r="CH298" s="217"/>
      <c r="CI298" s="217"/>
      <c r="CJ298" s="217"/>
      <c r="CK298" s="217"/>
      <c r="CL298" s="217"/>
      <c r="CM298" s="217"/>
      <c r="CN298" s="217"/>
      <c r="CO298" s="217"/>
      <c r="CP298" s="217"/>
      <c r="CQ298" s="217"/>
      <c r="CR298" s="217"/>
      <c r="CS298" s="217"/>
      <c r="CT298" s="217"/>
      <c r="CU298" s="217"/>
      <c r="CV298" s="217"/>
      <c r="CW298" s="217"/>
      <c r="CX298" s="217"/>
      <c r="CY298" s="217"/>
      <c r="CZ298" s="217"/>
      <c r="DA298" s="217"/>
      <c r="DB298" s="217"/>
      <c r="DC298" s="217"/>
      <c r="DD298" s="217"/>
      <c r="DE298" s="217"/>
      <c r="DF298" s="217"/>
      <c r="DG298" s="217"/>
      <c r="DH298" s="217"/>
      <c r="DI298" s="217"/>
      <c r="DJ298" s="217"/>
      <c r="DK298" s="217"/>
      <c r="DL298" s="217"/>
      <c r="DM298" s="217"/>
      <c r="DN298" s="217"/>
      <c r="DO298" s="217"/>
      <c r="DP298" s="217"/>
      <c r="DQ298" s="217"/>
      <c r="DR298" s="217"/>
      <c r="DS298" s="217"/>
      <c r="DT298" s="217"/>
    </row>
    <row r="299" spans="1:124" x14ac:dyDescent="0.3">
      <c r="A299" s="217"/>
      <c r="B299" s="342" t="s">
        <v>210</v>
      </c>
      <c r="C299" s="345">
        <f t="shared" si="340"/>
        <v>0</v>
      </c>
      <c r="D299" s="346" t="str">
        <f>IF(D$260="","",D$262*VLOOKUP(D$260&amp;" (All)",'Default Values'!$B$162:$CD$181,MATCH($B299,'Default Values'!$B$101:$CD$101,0),0))</f>
        <v/>
      </c>
      <c r="E299" s="346" t="str">
        <f>IF(E$260="","",E$262*VLOOKUP(E$260&amp;" (All)",'Default Values'!$B$162:$CD$181,MATCH($B299,'Default Values'!$B$101:$CD$101,0),0))</f>
        <v/>
      </c>
      <c r="F299" s="346" t="str">
        <f>IF(F$260="","",F$262*VLOOKUP(F$260&amp;" (All)",'Default Values'!$B$162:$CD$181,MATCH($B299,'Default Values'!$B$101:$CD$101,0),0))</f>
        <v/>
      </c>
      <c r="G299" s="346" t="str">
        <f>IF(G$260="","",G$262*VLOOKUP(G$260&amp;" (All)",'Default Values'!$B$162:$CD$181,MATCH($B299,'Default Values'!$B$101:$CD$101,0),0))</f>
        <v/>
      </c>
      <c r="H299" s="346" t="str">
        <f>IF(H$260="","",H$262*VLOOKUP(H$260&amp;" (All)",'Default Values'!$B$162:$CD$181,MATCH($B299,'Default Values'!$B$101:$CD$101,0),0))</f>
        <v/>
      </c>
      <c r="I299" s="346" t="str">
        <f>IF(I$260="","",I$262*VLOOKUP(I$260&amp;" (All)",'Default Values'!$B$162:$CD$181,MATCH($B299,'Default Values'!$B$101:$CD$101,0),0))</f>
        <v/>
      </c>
      <c r="J299" s="346" t="str">
        <f>IF(J$260="","",J$262*VLOOKUP(J$260&amp;" (All)",'Default Values'!$B$162:$CD$181,MATCH($B299,'Default Values'!$B$101:$CD$101,0),0))</f>
        <v/>
      </c>
      <c r="K299" s="346" t="str">
        <f>IF(K$260="","",K$262*VLOOKUP(K$260&amp;" (All)",'Default Values'!$B$162:$CD$181,MATCH($B299,'Default Values'!$B$101:$CD$101,0),0))</f>
        <v/>
      </c>
      <c r="L299" s="346" t="str">
        <f>IF(L$260="","",L$262*VLOOKUP(L$260&amp;" (All)",'Default Values'!$B$162:$CD$181,MATCH($B299,'Default Values'!$B$101:$CD$101,0),0))</f>
        <v/>
      </c>
      <c r="M299" s="346" t="str">
        <f>IF(M$260="","",M$262*VLOOKUP(M$260&amp;" (All)",'Default Values'!$B$162:$CD$181,MATCH($B299,'Default Values'!$B$101:$CD$101,0),0))</f>
        <v/>
      </c>
      <c r="N299" s="346" t="str">
        <f>IF(N$260="","",N$262*VLOOKUP(N$260&amp;" (All)",'Default Values'!$B$162:$CD$181,MATCH($B299,'Default Values'!$B$101:$CD$101,0),0))</f>
        <v/>
      </c>
      <c r="O299" s="346" t="str">
        <f>IF(O$260="","",O$262*VLOOKUP(O$260&amp;" (All)",'Default Values'!$B$162:$CD$181,MATCH($B299,'Default Values'!$B$101:$CD$101,0),0))</f>
        <v/>
      </c>
      <c r="P299" s="346" t="str">
        <f>IF(P$260="","",P$262*VLOOKUP(P$260&amp;" (All)",'Default Values'!$B$162:$CD$181,MATCH($B299,'Default Values'!$B$101:$CD$101,0),0))</f>
        <v/>
      </c>
      <c r="Q299" s="346" t="str">
        <f>IF(Q$260="","",Q$262*VLOOKUP(Q$260&amp;" (All)",'Default Values'!$B$162:$CD$181,MATCH($B299,'Default Values'!$B$101:$CD$101,0),0))</f>
        <v/>
      </c>
      <c r="R299" s="346" t="str">
        <f>IF(R$260="","",R$262*VLOOKUP(R$260&amp;" (All)",'Default Values'!$B$162:$CD$181,MATCH($B299,'Default Values'!$B$101:$CD$101,0),0))</f>
        <v/>
      </c>
      <c r="S299" s="346" t="str">
        <f>IF(S$260="","",S$262*VLOOKUP(S$260&amp;" (All)",'Default Values'!$B$162:$CD$181,MATCH($B299,'Default Values'!$B$101:$CD$101,0),0))</f>
        <v/>
      </c>
      <c r="T299" s="346" t="str">
        <f>IF(T$260="","",T$262*VLOOKUP(T$260&amp;" (All)",'Default Values'!$B$162:$CD$181,MATCH($B299,'Default Values'!$B$101:$CD$101,0),0))</f>
        <v/>
      </c>
      <c r="U299" s="346" t="str">
        <f>IF(U$260="","",U$262*VLOOKUP(U$260&amp;" (All)",'Default Values'!$B$162:$CD$181,MATCH($B299,'Default Values'!$B$101:$CD$101,0),0))</f>
        <v/>
      </c>
      <c r="V299" s="346" t="str">
        <f>IF(V$260="","",V$262*VLOOKUP(V$260&amp;" (All)",'Default Values'!$B$162:$CD$181,MATCH($B299,'Default Values'!$B$101:$CD$101,0),0))</f>
        <v/>
      </c>
      <c r="W299" s="346" t="str">
        <f>IF(W$260="","",W$262*VLOOKUP(W$260&amp;" (All)",'Default Values'!$B$162:$CD$181,MATCH($B299,'Default Values'!$B$101:$CD$101,0),0))</f>
        <v/>
      </c>
      <c r="X299" s="346" t="str">
        <f>IF(X$260="","",X$262*VLOOKUP(X$260&amp;" (All)",'Default Values'!$B$162:$CD$181,MATCH($B299,'Default Values'!$B$101:$CD$101,0),0))</f>
        <v/>
      </c>
      <c r="Y299" s="346" t="str">
        <f>IF(Y$260="","",Y$262*VLOOKUP(Y$260&amp;" (All)",'Default Values'!$B$162:$CD$181,MATCH($B299,'Default Values'!$B$101:$CD$101,0),0))</f>
        <v/>
      </c>
      <c r="Z299" s="346" t="str">
        <f>IF(Z$260="","",Z$262*VLOOKUP(Z$260&amp;" (All)",'Default Values'!$B$162:$CD$181,MATCH($B299,'Default Values'!$B$101:$CD$101,0),0))</f>
        <v/>
      </c>
      <c r="AA299" s="346" t="str">
        <f>IF(AA$260="","",AA$262*VLOOKUP(AA$260&amp;" (All)",'Default Values'!$B$162:$CD$181,MATCH($B299,'Default Values'!$B$101:$CD$101,0),0))</f>
        <v/>
      </c>
      <c r="AB299" s="346" t="str">
        <f>IF(AB$260="","",AB$262*VLOOKUP(AB$260&amp;" (All)",'Default Values'!$B$162:$CD$181,MATCH($B299,'Default Values'!$B$101:$CD$101,0),0))</f>
        <v/>
      </c>
      <c r="AC299" s="346" t="str">
        <f>IF(AC$260="","",AC$262*VLOOKUP(AC$260&amp;" (All)",'Default Values'!$B$162:$CD$181,MATCH($B299,'Default Values'!$B$101:$CD$101,0),0))</f>
        <v/>
      </c>
      <c r="AD299" s="346" t="str">
        <f>IF(AD$260="","",AD$262*VLOOKUP(AD$260&amp;" (All)",'Default Values'!$B$162:$CD$181,MATCH($B299,'Default Values'!$B$101:$CD$101,0),0))</f>
        <v/>
      </c>
      <c r="AE299" s="346" t="str">
        <f>IF(AE$260="","",AE$262*VLOOKUP(AE$260&amp;" (All)",'Default Values'!$B$162:$CD$181,MATCH($B299,'Default Values'!$B$101:$CD$101,0),0))</f>
        <v/>
      </c>
      <c r="AF299" s="346" t="str">
        <f>IF(AF$260="","",AF$262*VLOOKUP(AF$260&amp;" (All)",'Default Values'!$B$162:$CD$181,MATCH($B299,'Default Values'!$B$101:$CD$101,0),0))</f>
        <v/>
      </c>
      <c r="AG299" s="346" t="str">
        <f>IF(AG$260="","",AG$262*VLOOKUP(AG$260&amp;" (All)",'Default Values'!$B$162:$CD$181,MATCH($B299,'Default Values'!$B$101:$CD$101,0),0))</f>
        <v/>
      </c>
      <c r="AH299" s="346" t="str">
        <f>IF(AH$260="","",AH$262*VLOOKUP(AH$260&amp;" (All)",'Default Values'!$B$162:$CD$181,MATCH($B299,'Default Values'!$B$101:$CD$101,0),0))</f>
        <v/>
      </c>
      <c r="AI299" s="346" t="str">
        <f>IF(AI$260="","",AI$262*VLOOKUP(AI$260&amp;" (All)",'Default Values'!$B$162:$CD$181,MATCH($B299,'Default Values'!$B$101:$CD$101,0),0))</f>
        <v/>
      </c>
      <c r="AJ299" s="346" t="str">
        <f>IF(AJ$260="","",AJ$262*VLOOKUP(AJ$260&amp;" (All)",'Default Values'!$B$162:$CD$181,MATCH($B299,'Default Values'!$B$101:$CD$101,0),0))</f>
        <v/>
      </c>
      <c r="AK299" s="346" t="str">
        <f>IF(AK$260="","",AK$262*VLOOKUP(AK$260&amp;" (All)",'Default Values'!$B$162:$CD$181,MATCH($B299,'Default Values'!$B$101:$CD$101,0),0))</f>
        <v/>
      </c>
      <c r="AL299" s="346" t="str">
        <f>IF(AL$260="","",AL$262*VLOOKUP(AL$260&amp;" (All)",'Default Values'!$B$162:$CD$181,MATCH($B299,'Default Values'!$B$101:$CD$101,0),0))</f>
        <v/>
      </c>
      <c r="AM299" s="346" t="str">
        <f>IF(AM$260="","",AM$262*VLOOKUP(AM$260&amp;" (All)",'Default Values'!$B$162:$CD$181,MATCH($B299,'Default Values'!$B$101:$CD$101,0),0))</f>
        <v/>
      </c>
      <c r="AN299" s="346" t="str">
        <f>IF(AN$260="","",AN$262*VLOOKUP(AN$260&amp;" (All)",'Default Values'!$B$162:$CD$181,MATCH($B299,'Default Values'!$B$101:$CD$101,0),0))</f>
        <v/>
      </c>
      <c r="AO299" s="346" t="str">
        <f>IF(AO$260="","",AO$262*VLOOKUP(AO$260&amp;" (All)",'Default Values'!$B$162:$CD$181,MATCH($B299,'Default Values'!$B$101:$CD$101,0),0))</f>
        <v/>
      </c>
      <c r="AP299" s="346" t="str">
        <f>IF(AP$260="","",AP$262*VLOOKUP(AP$260&amp;" (All)",'Default Values'!$B$162:$CD$181,MATCH($B299,'Default Values'!$B$101:$CD$101,0),0))</f>
        <v/>
      </c>
      <c r="AQ299" s="346" t="str">
        <f>IF(AQ$260="","",AQ$262*VLOOKUP(AQ$260&amp;" (All)",'Default Values'!$B$162:$CD$181,MATCH($B299,'Default Values'!$B$101:$CD$101,0),0))</f>
        <v/>
      </c>
      <c r="AR299" s="346">
        <f>IF(AR$260="","",AR$262*VLOOKUP(AR$260&amp;" (All)",'Default Values'!$B$162:$CD$181,MATCH($B299,'Default Values'!$B$101:$CD$101,0),0))</f>
        <v>0</v>
      </c>
      <c r="AS299" s="217"/>
      <c r="AT299" s="217"/>
      <c r="AU299" s="217"/>
      <c r="AV299" s="217"/>
      <c r="AW299" s="217"/>
      <c r="AX299" s="217"/>
      <c r="AY299" s="217"/>
      <c r="AZ299" s="217"/>
      <c r="BA299" s="217"/>
      <c r="BB299" s="217"/>
      <c r="BC299" s="217"/>
      <c r="BD299" s="217"/>
      <c r="BE299" s="217"/>
      <c r="BF299" s="217"/>
      <c r="BG299" s="217"/>
      <c r="BH299" s="217"/>
      <c r="BI299" s="217"/>
      <c r="BJ299" s="217"/>
      <c r="BK299" s="217"/>
      <c r="BL299" s="217"/>
      <c r="BM299" s="217"/>
      <c r="BN299" s="217"/>
      <c r="BO299" s="217"/>
      <c r="BP299" s="217"/>
      <c r="BQ299" s="217"/>
      <c r="BR299" s="217"/>
      <c r="BS299" s="217"/>
      <c r="BT299" s="217"/>
      <c r="BU299" s="217"/>
      <c r="BV299" s="217"/>
      <c r="BW299" s="217"/>
      <c r="BX299" s="217"/>
      <c r="BY299" s="217"/>
      <c r="BZ299" s="217"/>
      <c r="CA299" s="217"/>
      <c r="CB299" s="217"/>
      <c r="CC299" s="217"/>
      <c r="CD299" s="217"/>
      <c r="CE299" s="217"/>
      <c r="CF299" s="217"/>
      <c r="CG299" s="217"/>
      <c r="CH299" s="217"/>
      <c r="CI299" s="217"/>
      <c r="CJ299" s="217"/>
      <c r="CK299" s="217"/>
      <c r="CL299" s="217"/>
      <c r="CM299" s="217"/>
      <c r="CN299" s="217"/>
      <c r="CO299" s="217"/>
      <c r="CP299" s="217"/>
      <c r="CQ299" s="217"/>
      <c r="CR299" s="217"/>
      <c r="CS299" s="217"/>
      <c r="CT299" s="217"/>
      <c r="CU299" s="217"/>
      <c r="CV299" s="217"/>
      <c r="CW299" s="217"/>
      <c r="CX299" s="217"/>
      <c r="CY299" s="217"/>
      <c r="CZ299" s="217"/>
      <c r="DA299" s="217"/>
      <c r="DB299" s="217"/>
      <c r="DC299" s="217"/>
      <c r="DD299" s="217"/>
      <c r="DE299" s="217"/>
      <c r="DF299" s="217"/>
      <c r="DG299" s="217"/>
      <c r="DH299" s="217"/>
      <c r="DI299" s="217"/>
      <c r="DJ299" s="217"/>
      <c r="DK299" s="217"/>
      <c r="DL299" s="217"/>
      <c r="DM299" s="217"/>
      <c r="DN299" s="217"/>
      <c r="DO299" s="217"/>
      <c r="DP299" s="217"/>
      <c r="DQ299" s="217"/>
      <c r="DR299" s="217"/>
      <c r="DS299" s="217"/>
      <c r="DT299" s="217"/>
    </row>
    <row r="300" spans="1:124" x14ac:dyDescent="0.3">
      <c r="A300" s="217"/>
      <c r="B300" s="342" t="s">
        <v>211</v>
      </c>
      <c r="C300" s="345">
        <f t="shared" si="340"/>
        <v>0</v>
      </c>
      <c r="D300" s="346" t="str">
        <f>IF(D$260="","",D$262*VLOOKUP(D$260&amp;" (All)",'Default Values'!$B$162:$CD$181,MATCH($B300,'Default Values'!$B$101:$CD$101,0),0))</f>
        <v/>
      </c>
      <c r="E300" s="346" t="str">
        <f>IF(E$260="","",E$262*VLOOKUP(E$260&amp;" (All)",'Default Values'!$B$162:$CD$181,MATCH($B300,'Default Values'!$B$101:$CD$101,0),0))</f>
        <v/>
      </c>
      <c r="F300" s="346" t="str">
        <f>IF(F$260="","",F$262*VLOOKUP(F$260&amp;" (All)",'Default Values'!$B$162:$CD$181,MATCH($B300,'Default Values'!$B$101:$CD$101,0),0))</f>
        <v/>
      </c>
      <c r="G300" s="346" t="str">
        <f>IF(G$260="","",G$262*VLOOKUP(G$260&amp;" (All)",'Default Values'!$B$162:$CD$181,MATCH($B300,'Default Values'!$B$101:$CD$101,0),0))</f>
        <v/>
      </c>
      <c r="H300" s="346" t="str">
        <f>IF(H$260="","",H$262*VLOOKUP(H$260&amp;" (All)",'Default Values'!$B$162:$CD$181,MATCH($B300,'Default Values'!$B$101:$CD$101,0),0))</f>
        <v/>
      </c>
      <c r="I300" s="346" t="str">
        <f>IF(I$260="","",I$262*VLOOKUP(I$260&amp;" (All)",'Default Values'!$B$162:$CD$181,MATCH($B300,'Default Values'!$B$101:$CD$101,0),0))</f>
        <v/>
      </c>
      <c r="J300" s="346" t="str">
        <f>IF(J$260="","",J$262*VLOOKUP(J$260&amp;" (All)",'Default Values'!$B$162:$CD$181,MATCH($B300,'Default Values'!$B$101:$CD$101,0),0))</f>
        <v/>
      </c>
      <c r="K300" s="346" t="str">
        <f>IF(K$260="","",K$262*VLOOKUP(K$260&amp;" (All)",'Default Values'!$B$162:$CD$181,MATCH($B300,'Default Values'!$B$101:$CD$101,0),0))</f>
        <v/>
      </c>
      <c r="L300" s="346" t="str">
        <f>IF(L$260="","",L$262*VLOOKUP(L$260&amp;" (All)",'Default Values'!$B$162:$CD$181,MATCH($B300,'Default Values'!$B$101:$CD$101,0),0))</f>
        <v/>
      </c>
      <c r="M300" s="346" t="str">
        <f>IF(M$260="","",M$262*VLOOKUP(M$260&amp;" (All)",'Default Values'!$B$162:$CD$181,MATCH($B300,'Default Values'!$B$101:$CD$101,0),0))</f>
        <v/>
      </c>
      <c r="N300" s="346" t="str">
        <f>IF(N$260="","",N$262*VLOOKUP(N$260&amp;" (All)",'Default Values'!$B$162:$CD$181,MATCH($B300,'Default Values'!$B$101:$CD$101,0),0))</f>
        <v/>
      </c>
      <c r="O300" s="346" t="str">
        <f>IF(O$260="","",O$262*VLOOKUP(O$260&amp;" (All)",'Default Values'!$B$162:$CD$181,MATCH($B300,'Default Values'!$B$101:$CD$101,0),0))</f>
        <v/>
      </c>
      <c r="P300" s="346" t="str">
        <f>IF(P$260="","",P$262*VLOOKUP(P$260&amp;" (All)",'Default Values'!$B$162:$CD$181,MATCH($B300,'Default Values'!$B$101:$CD$101,0),0))</f>
        <v/>
      </c>
      <c r="Q300" s="346" t="str">
        <f>IF(Q$260="","",Q$262*VLOOKUP(Q$260&amp;" (All)",'Default Values'!$B$162:$CD$181,MATCH($B300,'Default Values'!$B$101:$CD$101,0),0))</f>
        <v/>
      </c>
      <c r="R300" s="346" t="str">
        <f>IF(R$260="","",R$262*VLOOKUP(R$260&amp;" (All)",'Default Values'!$B$162:$CD$181,MATCH($B300,'Default Values'!$B$101:$CD$101,0),0))</f>
        <v/>
      </c>
      <c r="S300" s="346" t="str">
        <f>IF(S$260="","",S$262*VLOOKUP(S$260&amp;" (All)",'Default Values'!$B$162:$CD$181,MATCH($B300,'Default Values'!$B$101:$CD$101,0),0))</f>
        <v/>
      </c>
      <c r="T300" s="346" t="str">
        <f>IF(T$260="","",T$262*VLOOKUP(T$260&amp;" (All)",'Default Values'!$B$162:$CD$181,MATCH($B300,'Default Values'!$B$101:$CD$101,0),0))</f>
        <v/>
      </c>
      <c r="U300" s="346" t="str">
        <f>IF(U$260="","",U$262*VLOOKUP(U$260&amp;" (All)",'Default Values'!$B$162:$CD$181,MATCH($B300,'Default Values'!$B$101:$CD$101,0),0))</f>
        <v/>
      </c>
      <c r="V300" s="346" t="str">
        <f>IF(V$260="","",V$262*VLOOKUP(V$260&amp;" (All)",'Default Values'!$B$162:$CD$181,MATCH($B300,'Default Values'!$B$101:$CD$101,0),0))</f>
        <v/>
      </c>
      <c r="W300" s="346" t="str">
        <f>IF(W$260="","",W$262*VLOOKUP(W$260&amp;" (All)",'Default Values'!$B$162:$CD$181,MATCH($B300,'Default Values'!$B$101:$CD$101,0),0))</f>
        <v/>
      </c>
      <c r="X300" s="346" t="str">
        <f>IF(X$260="","",X$262*VLOOKUP(X$260&amp;" (All)",'Default Values'!$B$162:$CD$181,MATCH($B300,'Default Values'!$B$101:$CD$101,0),0))</f>
        <v/>
      </c>
      <c r="Y300" s="346" t="str">
        <f>IF(Y$260="","",Y$262*VLOOKUP(Y$260&amp;" (All)",'Default Values'!$B$162:$CD$181,MATCH($B300,'Default Values'!$B$101:$CD$101,0),0))</f>
        <v/>
      </c>
      <c r="Z300" s="346" t="str">
        <f>IF(Z$260="","",Z$262*VLOOKUP(Z$260&amp;" (All)",'Default Values'!$B$162:$CD$181,MATCH($B300,'Default Values'!$B$101:$CD$101,0),0))</f>
        <v/>
      </c>
      <c r="AA300" s="346" t="str">
        <f>IF(AA$260="","",AA$262*VLOOKUP(AA$260&amp;" (All)",'Default Values'!$B$162:$CD$181,MATCH($B300,'Default Values'!$B$101:$CD$101,0),0))</f>
        <v/>
      </c>
      <c r="AB300" s="346" t="str">
        <f>IF(AB$260="","",AB$262*VLOOKUP(AB$260&amp;" (All)",'Default Values'!$B$162:$CD$181,MATCH($B300,'Default Values'!$B$101:$CD$101,0),0))</f>
        <v/>
      </c>
      <c r="AC300" s="346" t="str">
        <f>IF(AC$260="","",AC$262*VLOOKUP(AC$260&amp;" (All)",'Default Values'!$B$162:$CD$181,MATCH($B300,'Default Values'!$B$101:$CD$101,0),0))</f>
        <v/>
      </c>
      <c r="AD300" s="346" t="str">
        <f>IF(AD$260="","",AD$262*VLOOKUP(AD$260&amp;" (All)",'Default Values'!$B$162:$CD$181,MATCH($B300,'Default Values'!$B$101:$CD$101,0),0))</f>
        <v/>
      </c>
      <c r="AE300" s="346" t="str">
        <f>IF(AE$260="","",AE$262*VLOOKUP(AE$260&amp;" (All)",'Default Values'!$B$162:$CD$181,MATCH($B300,'Default Values'!$B$101:$CD$101,0),0))</f>
        <v/>
      </c>
      <c r="AF300" s="346" t="str">
        <f>IF(AF$260="","",AF$262*VLOOKUP(AF$260&amp;" (All)",'Default Values'!$B$162:$CD$181,MATCH($B300,'Default Values'!$B$101:$CD$101,0),0))</f>
        <v/>
      </c>
      <c r="AG300" s="346" t="str">
        <f>IF(AG$260="","",AG$262*VLOOKUP(AG$260&amp;" (All)",'Default Values'!$B$162:$CD$181,MATCH($B300,'Default Values'!$B$101:$CD$101,0),0))</f>
        <v/>
      </c>
      <c r="AH300" s="346" t="str">
        <f>IF(AH$260="","",AH$262*VLOOKUP(AH$260&amp;" (All)",'Default Values'!$B$162:$CD$181,MATCH($B300,'Default Values'!$B$101:$CD$101,0),0))</f>
        <v/>
      </c>
      <c r="AI300" s="346" t="str">
        <f>IF(AI$260="","",AI$262*VLOOKUP(AI$260&amp;" (All)",'Default Values'!$B$162:$CD$181,MATCH($B300,'Default Values'!$B$101:$CD$101,0),0))</f>
        <v/>
      </c>
      <c r="AJ300" s="346" t="str">
        <f>IF(AJ$260="","",AJ$262*VLOOKUP(AJ$260&amp;" (All)",'Default Values'!$B$162:$CD$181,MATCH($B300,'Default Values'!$B$101:$CD$101,0),0))</f>
        <v/>
      </c>
      <c r="AK300" s="346" t="str">
        <f>IF(AK$260="","",AK$262*VLOOKUP(AK$260&amp;" (All)",'Default Values'!$B$162:$CD$181,MATCH($B300,'Default Values'!$B$101:$CD$101,0),0))</f>
        <v/>
      </c>
      <c r="AL300" s="346" t="str">
        <f>IF(AL$260="","",AL$262*VLOOKUP(AL$260&amp;" (All)",'Default Values'!$B$162:$CD$181,MATCH($B300,'Default Values'!$B$101:$CD$101,0),0))</f>
        <v/>
      </c>
      <c r="AM300" s="346" t="str">
        <f>IF(AM$260="","",AM$262*VLOOKUP(AM$260&amp;" (All)",'Default Values'!$B$162:$CD$181,MATCH($B300,'Default Values'!$B$101:$CD$101,0),0))</f>
        <v/>
      </c>
      <c r="AN300" s="346" t="str">
        <f>IF(AN$260="","",AN$262*VLOOKUP(AN$260&amp;" (All)",'Default Values'!$B$162:$CD$181,MATCH($B300,'Default Values'!$B$101:$CD$101,0),0))</f>
        <v/>
      </c>
      <c r="AO300" s="346" t="str">
        <f>IF(AO$260="","",AO$262*VLOOKUP(AO$260&amp;" (All)",'Default Values'!$B$162:$CD$181,MATCH($B300,'Default Values'!$B$101:$CD$101,0),0))</f>
        <v/>
      </c>
      <c r="AP300" s="346" t="str">
        <f>IF(AP$260="","",AP$262*VLOOKUP(AP$260&amp;" (All)",'Default Values'!$B$162:$CD$181,MATCH($B300,'Default Values'!$B$101:$CD$101,0),0))</f>
        <v/>
      </c>
      <c r="AQ300" s="346" t="str">
        <f>IF(AQ$260="","",AQ$262*VLOOKUP(AQ$260&amp;" (All)",'Default Values'!$B$162:$CD$181,MATCH($B300,'Default Values'!$B$101:$CD$101,0),0))</f>
        <v/>
      </c>
      <c r="AR300" s="346">
        <f>IF(AR$260="","",AR$262*VLOOKUP(AR$260&amp;" (All)",'Default Values'!$B$162:$CD$181,MATCH($B300,'Default Values'!$B$101:$CD$101,0),0))</f>
        <v>0</v>
      </c>
      <c r="AS300" s="217"/>
      <c r="AT300" s="217"/>
      <c r="AU300" s="217"/>
      <c r="AV300" s="217"/>
      <c r="AW300" s="217"/>
      <c r="AX300" s="217"/>
      <c r="AY300" s="217"/>
      <c r="AZ300" s="217"/>
      <c r="BA300" s="217"/>
      <c r="BB300" s="217"/>
      <c r="BC300" s="217"/>
      <c r="BD300" s="217"/>
      <c r="BE300" s="217"/>
      <c r="BF300" s="217"/>
      <c r="BG300" s="217"/>
      <c r="BH300" s="217"/>
      <c r="BI300" s="217"/>
      <c r="BJ300" s="217"/>
      <c r="BK300" s="217"/>
      <c r="BL300" s="217"/>
      <c r="BM300" s="217"/>
      <c r="BN300" s="217"/>
      <c r="BO300" s="217"/>
      <c r="BP300" s="217"/>
      <c r="BQ300" s="217"/>
      <c r="BR300" s="217"/>
      <c r="BS300" s="217"/>
      <c r="BT300" s="217"/>
      <c r="BU300" s="217"/>
      <c r="BV300" s="217"/>
      <c r="BW300" s="217"/>
      <c r="BX300" s="217"/>
      <c r="BY300" s="217"/>
      <c r="BZ300" s="217"/>
      <c r="CA300" s="217"/>
      <c r="CB300" s="217"/>
      <c r="CC300" s="217"/>
      <c r="CD300" s="217"/>
      <c r="CE300" s="217"/>
      <c r="CF300" s="217"/>
      <c r="CG300" s="217"/>
      <c r="CH300" s="217"/>
      <c r="CI300" s="217"/>
      <c r="CJ300" s="217"/>
      <c r="CK300" s="217"/>
      <c r="CL300" s="217"/>
      <c r="CM300" s="217"/>
      <c r="CN300" s="217"/>
      <c r="CO300" s="217"/>
      <c r="CP300" s="217"/>
      <c r="CQ300" s="217"/>
      <c r="CR300" s="217"/>
      <c r="CS300" s="217"/>
      <c r="CT300" s="217"/>
      <c r="CU300" s="217"/>
      <c r="CV300" s="217"/>
      <c r="CW300" s="217"/>
      <c r="CX300" s="217"/>
      <c r="CY300" s="217"/>
      <c r="CZ300" s="217"/>
      <c r="DA300" s="217"/>
      <c r="DB300" s="217"/>
      <c r="DC300" s="217"/>
      <c r="DD300" s="217"/>
      <c r="DE300" s="217"/>
      <c r="DF300" s="217"/>
      <c r="DG300" s="217"/>
      <c r="DH300" s="217"/>
      <c r="DI300" s="217"/>
      <c r="DJ300" s="217"/>
      <c r="DK300" s="217"/>
      <c r="DL300" s="217"/>
      <c r="DM300" s="217"/>
      <c r="DN300" s="217"/>
      <c r="DO300" s="217"/>
      <c r="DP300" s="217"/>
      <c r="DQ300" s="217"/>
      <c r="DR300" s="217"/>
      <c r="DS300" s="217"/>
      <c r="DT300" s="217"/>
    </row>
    <row r="301" spans="1:124" x14ac:dyDescent="0.3">
      <c r="A301" s="217"/>
      <c r="B301" s="342" t="s">
        <v>213</v>
      </c>
      <c r="C301" s="345">
        <f t="shared" si="340"/>
        <v>0</v>
      </c>
      <c r="D301" s="346" t="str">
        <f>IF(D$260="","",D$262*VLOOKUP(D$260&amp;" (All)",'Default Values'!$B$162:$CD$181,MATCH($B301,'Default Values'!$B$101:$CD$101,0),0))</f>
        <v/>
      </c>
      <c r="E301" s="346" t="str">
        <f>IF(E$260="","",E$262*VLOOKUP(E$260&amp;" (All)",'Default Values'!$B$162:$CD$181,MATCH($B301,'Default Values'!$B$101:$CD$101,0),0))</f>
        <v/>
      </c>
      <c r="F301" s="346" t="str">
        <f>IF(F$260="","",F$262*VLOOKUP(F$260&amp;" (All)",'Default Values'!$B$162:$CD$181,MATCH($B301,'Default Values'!$B$101:$CD$101,0),0))</f>
        <v/>
      </c>
      <c r="G301" s="346" t="str">
        <f>IF(G$260="","",G$262*VLOOKUP(G$260&amp;" (All)",'Default Values'!$B$162:$CD$181,MATCH($B301,'Default Values'!$B$101:$CD$101,0),0))</f>
        <v/>
      </c>
      <c r="H301" s="346" t="str">
        <f>IF(H$260="","",H$262*VLOOKUP(H$260&amp;" (All)",'Default Values'!$B$162:$CD$181,MATCH($B301,'Default Values'!$B$101:$CD$101,0),0))</f>
        <v/>
      </c>
      <c r="I301" s="346" t="str">
        <f>IF(I$260="","",I$262*VLOOKUP(I$260&amp;" (All)",'Default Values'!$B$162:$CD$181,MATCH($B301,'Default Values'!$B$101:$CD$101,0),0))</f>
        <v/>
      </c>
      <c r="J301" s="346" t="str">
        <f>IF(J$260="","",J$262*VLOOKUP(J$260&amp;" (All)",'Default Values'!$B$162:$CD$181,MATCH($B301,'Default Values'!$B$101:$CD$101,0),0))</f>
        <v/>
      </c>
      <c r="K301" s="346" t="str">
        <f>IF(K$260="","",K$262*VLOOKUP(K$260&amp;" (All)",'Default Values'!$B$162:$CD$181,MATCH($B301,'Default Values'!$B$101:$CD$101,0),0))</f>
        <v/>
      </c>
      <c r="L301" s="346" t="str">
        <f>IF(L$260="","",L$262*VLOOKUP(L$260&amp;" (All)",'Default Values'!$B$162:$CD$181,MATCH($B301,'Default Values'!$B$101:$CD$101,0),0))</f>
        <v/>
      </c>
      <c r="M301" s="346" t="str">
        <f>IF(M$260="","",M$262*VLOOKUP(M$260&amp;" (All)",'Default Values'!$B$162:$CD$181,MATCH($B301,'Default Values'!$B$101:$CD$101,0),0))</f>
        <v/>
      </c>
      <c r="N301" s="346" t="str">
        <f>IF(N$260="","",N$262*VLOOKUP(N$260&amp;" (All)",'Default Values'!$B$162:$CD$181,MATCH($B301,'Default Values'!$B$101:$CD$101,0),0))</f>
        <v/>
      </c>
      <c r="O301" s="346" t="str">
        <f>IF(O$260="","",O$262*VLOOKUP(O$260&amp;" (All)",'Default Values'!$B$162:$CD$181,MATCH($B301,'Default Values'!$B$101:$CD$101,0),0))</f>
        <v/>
      </c>
      <c r="P301" s="346" t="str">
        <f>IF(P$260="","",P$262*VLOOKUP(P$260&amp;" (All)",'Default Values'!$B$162:$CD$181,MATCH($B301,'Default Values'!$B$101:$CD$101,0),0))</f>
        <v/>
      </c>
      <c r="Q301" s="346" t="str">
        <f>IF(Q$260="","",Q$262*VLOOKUP(Q$260&amp;" (All)",'Default Values'!$B$162:$CD$181,MATCH($B301,'Default Values'!$B$101:$CD$101,0),0))</f>
        <v/>
      </c>
      <c r="R301" s="346" t="str">
        <f>IF(R$260="","",R$262*VLOOKUP(R$260&amp;" (All)",'Default Values'!$B$162:$CD$181,MATCH($B301,'Default Values'!$B$101:$CD$101,0),0))</f>
        <v/>
      </c>
      <c r="S301" s="346" t="str">
        <f>IF(S$260="","",S$262*VLOOKUP(S$260&amp;" (All)",'Default Values'!$B$162:$CD$181,MATCH($B301,'Default Values'!$B$101:$CD$101,0),0))</f>
        <v/>
      </c>
      <c r="T301" s="346" t="str">
        <f>IF(T$260="","",T$262*VLOOKUP(T$260&amp;" (All)",'Default Values'!$B$162:$CD$181,MATCH($B301,'Default Values'!$B$101:$CD$101,0),0))</f>
        <v/>
      </c>
      <c r="U301" s="346" t="str">
        <f>IF(U$260="","",U$262*VLOOKUP(U$260&amp;" (All)",'Default Values'!$B$162:$CD$181,MATCH($B301,'Default Values'!$B$101:$CD$101,0),0))</f>
        <v/>
      </c>
      <c r="V301" s="346" t="str">
        <f>IF(V$260="","",V$262*VLOOKUP(V$260&amp;" (All)",'Default Values'!$B$162:$CD$181,MATCH($B301,'Default Values'!$B$101:$CD$101,0),0))</f>
        <v/>
      </c>
      <c r="W301" s="346" t="str">
        <f>IF(W$260="","",W$262*VLOOKUP(W$260&amp;" (All)",'Default Values'!$B$162:$CD$181,MATCH($B301,'Default Values'!$B$101:$CD$101,0),0))</f>
        <v/>
      </c>
      <c r="X301" s="346" t="str">
        <f>IF(X$260="","",X$262*VLOOKUP(X$260&amp;" (All)",'Default Values'!$B$162:$CD$181,MATCH($B301,'Default Values'!$B$101:$CD$101,0),0))</f>
        <v/>
      </c>
      <c r="Y301" s="346" t="str">
        <f>IF(Y$260="","",Y$262*VLOOKUP(Y$260&amp;" (All)",'Default Values'!$B$162:$CD$181,MATCH($B301,'Default Values'!$B$101:$CD$101,0),0))</f>
        <v/>
      </c>
      <c r="Z301" s="346" t="str">
        <f>IF(Z$260="","",Z$262*VLOOKUP(Z$260&amp;" (All)",'Default Values'!$B$162:$CD$181,MATCH($B301,'Default Values'!$B$101:$CD$101,0),0))</f>
        <v/>
      </c>
      <c r="AA301" s="346" t="str">
        <f>IF(AA$260="","",AA$262*VLOOKUP(AA$260&amp;" (All)",'Default Values'!$B$162:$CD$181,MATCH($B301,'Default Values'!$B$101:$CD$101,0),0))</f>
        <v/>
      </c>
      <c r="AB301" s="346" t="str">
        <f>IF(AB$260="","",AB$262*VLOOKUP(AB$260&amp;" (All)",'Default Values'!$B$162:$CD$181,MATCH($B301,'Default Values'!$B$101:$CD$101,0),0))</f>
        <v/>
      </c>
      <c r="AC301" s="346" t="str">
        <f>IF(AC$260="","",AC$262*VLOOKUP(AC$260&amp;" (All)",'Default Values'!$B$162:$CD$181,MATCH($B301,'Default Values'!$B$101:$CD$101,0),0))</f>
        <v/>
      </c>
      <c r="AD301" s="346" t="str">
        <f>IF(AD$260="","",AD$262*VLOOKUP(AD$260&amp;" (All)",'Default Values'!$B$162:$CD$181,MATCH($B301,'Default Values'!$B$101:$CD$101,0),0))</f>
        <v/>
      </c>
      <c r="AE301" s="346" t="str">
        <f>IF(AE$260="","",AE$262*VLOOKUP(AE$260&amp;" (All)",'Default Values'!$B$162:$CD$181,MATCH($B301,'Default Values'!$B$101:$CD$101,0),0))</f>
        <v/>
      </c>
      <c r="AF301" s="346" t="str">
        <f>IF(AF$260="","",AF$262*VLOOKUP(AF$260&amp;" (All)",'Default Values'!$B$162:$CD$181,MATCH($B301,'Default Values'!$B$101:$CD$101,0),0))</f>
        <v/>
      </c>
      <c r="AG301" s="346" t="str">
        <f>IF(AG$260="","",AG$262*VLOOKUP(AG$260&amp;" (All)",'Default Values'!$B$162:$CD$181,MATCH($B301,'Default Values'!$B$101:$CD$101,0),0))</f>
        <v/>
      </c>
      <c r="AH301" s="346" t="str">
        <f>IF(AH$260="","",AH$262*VLOOKUP(AH$260&amp;" (All)",'Default Values'!$B$162:$CD$181,MATCH($B301,'Default Values'!$B$101:$CD$101,0),0))</f>
        <v/>
      </c>
      <c r="AI301" s="346" t="str">
        <f>IF(AI$260="","",AI$262*VLOOKUP(AI$260&amp;" (All)",'Default Values'!$B$162:$CD$181,MATCH($B301,'Default Values'!$B$101:$CD$101,0),0))</f>
        <v/>
      </c>
      <c r="AJ301" s="346" t="str">
        <f>IF(AJ$260="","",AJ$262*VLOOKUP(AJ$260&amp;" (All)",'Default Values'!$B$162:$CD$181,MATCH($B301,'Default Values'!$B$101:$CD$101,0),0))</f>
        <v/>
      </c>
      <c r="AK301" s="346" t="str">
        <f>IF(AK$260="","",AK$262*VLOOKUP(AK$260&amp;" (All)",'Default Values'!$B$162:$CD$181,MATCH($B301,'Default Values'!$B$101:$CD$101,0),0))</f>
        <v/>
      </c>
      <c r="AL301" s="346" t="str">
        <f>IF(AL$260="","",AL$262*VLOOKUP(AL$260&amp;" (All)",'Default Values'!$B$162:$CD$181,MATCH($B301,'Default Values'!$B$101:$CD$101,0),0))</f>
        <v/>
      </c>
      <c r="AM301" s="346" t="str">
        <f>IF(AM$260="","",AM$262*VLOOKUP(AM$260&amp;" (All)",'Default Values'!$B$162:$CD$181,MATCH($B301,'Default Values'!$B$101:$CD$101,0),0))</f>
        <v/>
      </c>
      <c r="AN301" s="346" t="str">
        <f>IF(AN$260="","",AN$262*VLOOKUP(AN$260&amp;" (All)",'Default Values'!$B$162:$CD$181,MATCH($B301,'Default Values'!$B$101:$CD$101,0),0))</f>
        <v/>
      </c>
      <c r="AO301" s="346" t="str">
        <f>IF(AO$260="","",AO$262*VLOOKUP(AO$260&amp;" (All)",'Default Values'!$B$162:$CD$181,MATCH($B301,'Default Values'!$B$101:$CD$101,0),0))</f>
        <v/>
      </c>
      <c r="AP301" s="346" t="str">
        <f>IF(AP$260="","",AP$262*VLOOKUP(AP$260&amp;" (All)",'Default Values'!$B$162:$CD$181,MATCH($B301,'Default Values'!$B$101:$CD$101,0),0))</f>
        <v/>
      </c>
      <c r="AQ301" s="346" t="str">
        <f>IF(AQ$260="","",AQ$262*VLOOKUP(AQ$260&amp;" (All)",'Default Values'!$B$162:$CD$181,MATCH($B301,'Default Values'!$B$101:$CD$101,0),0))</f>
        <v/>
      </c>
      <c r="AR301" s="346">
        <f>IF(AR$260="","",AR$262*VLOOKUP(AR$260&amp;" (All)",'Default Values'!$B$162:$CD$181,MATCH($B301,'Default Values'!$B$101:$CD$101,0),0))</f>
        <v>0</v>
      </c>
      <c r="AS301" s="217"/>
      <c r="AT301" s="217"/>
      <c r="AU301" s="217"/>
      <c r="AV301" s="217"/>
      <c r="AW301" s="217"/>
      <c r="AX301" s="217"/>
      <c r="AY301" s="217"/>
      <c r="AZ301" s="217"/>
      <c r="BA301" s="217"/>
      <c r="BB301" s="217"/>
      <c r="BC301" s="217"/>
      <c r="BD301" s="217"/>
      <c r="BE301" s="217"/>
      <c r="BF301" s="217"/>
      <c r="BG301" s="217"/>
      <c r="BH301" s="217"/>
      <c r="BI301" s="217"/>
      <c r="BJ301" s="217"/>
      <c r="BK301" s="217"/>
      <c r="BL301" s="217"/>
      <c r="BM301" s="217"/>
      <c r="BN301" s="217"/>
      <c r="BO301" s="217"/>
      <c r="BP301" s="217"/>
      <c r="BQ301" s="217"/>
      <c r="BR301" s="217"/>
      <c r="BS301" s="217"/>
      <c r="BT301" s="217"/>
      <c r="BU301" s="217"/>
      <c r="BV301" s="217"/>
      <c r="BW301" s="217"/>
      <c r="BX301" s="217"/>
      <c r="BY301" s="217"/>
      <c r="BZ301" s="217"/>
      <c r="CA301" s="217"/>
      <c r="CB301" s="217"/>
      <c r="CC301" s="217"/>
      <c r="CD301" s="217"/>
      <c r="CE301" s="217"/>
      <c r="CF301" s="217"/>
      <c r="CG301" s="217"/>
      <c r="CH301" s="217"/>
      <c r="CI301" s="217"/>
      <c r="CJ301" s="217"/>
      <c r="CK301" s="217"/>
      <c r="CL301" s="217"/>
      <c r="CM301" s="217"/>
      <c r="CN301" s="217"/>
      <c r="CO301" s="217"/>
      <c r="CP301" s="217"/>
      <c r="CQ301" s="217"/>
      <c r="CR301" s="217"/>
      <c r="CS301" s="217"/>
      <c r="CT301" s="217"/>
      <c r="CU301" s="217"/>
      <c r="CV301" s="217"/>
      <c r="CW301" s="217"/>
      <c r="CX301" s="217"/>
      <c r="CY301" s="217"/>
      <c r="CZ301" s="217"/>
      <c r="DA301" s="217"/>
      <c r="DB301" s="217"/>
      <c r="DC301" s="217"/>
      <c r="DD301" s="217"/>
      <c r="DE301" s="217"/>
      <c r="DF301" s="217"/>
      <c r="DG301" s="217"/>
      <c r="DH301" s="217"/>
      <c r="DI301" s="217"/>
      <c r="DJ301" s="217"/>
      <c r="DK301" s="217"/>
      <c r="DL301" s="217"/>
      <c r="DM301" s="217"/>
      <c r="DN301" s="217"/>
      <c r="DO301" s="217"/>
      <c r="DP301" s="217"/>
      <c r="DQ301" s="217"/>
      <c r="DR301" s="217"/>
      <c r="DS301" s="217"/>
      <c r="DT301" s="217"/>
    </row>
    <row r="302" spans="1:124" x14ac:dyDescent="0.3">
      <c r="A302" s="217"/>
      <c r="B302" s="342" t="s">
        <v>214</v>
      </c>
      <c r="C302" s="345">
        <f t="shared" si="340"/>
        <v>0</v>
      </c>
      <c r="D302" s="346" t="str">
        <f>IF(D$260="","",D$262*VLOOKUP(D$260&amp;" (All)",'Default Values'!$B$162:$CD$181,MATCH($B302,'Default Values'!$B$101:$CD$101,0),0))</f>
        <v/>
      </c>
      <c r="E302" s="346" t="str">
        <f>IF(E$260="","",E$262*VLOOKUP(E$260&amp;" (All)",'Default Values'!$B$162:$CD$181,MATCH($B302,'Default Values'!$B$101:$CD$101,0),0))</f>
        <v/>
      </c>
      <c r="F302" s="346" t="str">
        <f>IF(F$260="","",F$262*VLOOKUP(F$260&amp;" (All)",'Default Values'!$B$162:$CD$181,MATCH($B302,'Default Values'!$B$101:$CD$101,0),0))</f>
        <v/>
      </c>
      <c r="G302" s="346" t="str">
        <f>IF(G$260="","",G$262*VLOOKUP(G$260&amp;" (All)",'Default Values'!$B$162:$CD$181,MATCH($B302,'Default Values'!$B$101:$CD$101,0),0))</f>
        <v/>
      </c>
      <c r="H302" s="346" t="str">
        <f>IF(H$260="","",H$262*VLOOKUP(H$260&amp;" (All)",'Default Values'!$B$162:$CD$181,MATCH($B302,'Default Values'!$B$101:$CD$101,0),0))</f>
        <v/>
      </c>
      <c r="I302" s="346" t="str">
        <f>IF(I$260="","",I$262*VLOOKUP(I$260&amp;" (All)",'Default Values'!$B$162:$CD$181,MATCH($B302,'Default Values'!$B$101:$CD$101,0),0))</f>
        <v/>
      </c>
      <c r="J302" s="346" t="str">
        <f>IF(J$260="","",J$262*VLOOKUP(J$260&amp;" (All)",'Default Values'!$B$162:$CD$181,MATCH($B302,'Default Values'!$B$101:$CD$101,0),0))</f>
        <v/>
      </c>
      <c r="K302" s="346" t="str">
        <f>IF(K$260="","",K$262*VLOOKUP(K$260&amp;" (All)",'Default Values'!$B$162:$CD$181,MATCH($B302,'Default Values'!$B$101:$CD$101,0),0))</f>
        <v/>
      </c>
      <c r="L302" s="346" t="str">
        <f>IF(L$260="","",L$262*VLOOKUP(L$260&amp;" (All)",'Default Values'!$B$162:$CD$181,MATCH($B302,'Default Values'!$B$101:$CD$101,0),0))</f>
        <v/>
      </c>
      <c r="M302" s="346" t="str">
        <f>IF(M$260="","",M$262*VLOOKUP(M$260&amp;" (All)",'Default Values'!$B$162:$CD$181,MATCH($B302,'Default Values'!$B$101:$CD$101,0),0))</f>
        <v/>
      </c>
      <c r="N302" s="346" t="str">
        <f>IF(N$260="","",N$262*VLOOKUP(N$260&amp;" (All)",'Default Values'!$B$162:$CD$181,MATCH($B302,'Default Values'!$B$101:$CD$101,0),0))</f>
        <v/>
      </c>
      <c r="O302" s="346" t="str">
        <f>IF(O$260="","",O$262*VLOOKUP(O$260&amp;" (All)",'Default Values'!$B$162:$CD$181,MATCH($B302,'Default Values'!$B$101:$CD$101,0),0))</f>
        <v/>
      </c>
      <c r="P302" s="346" t="str">
        <f>IF(P$260="","",P$262*VLOOKUP(P$260&amp;" (All)",'Default Values'!$B$162:$CD$181,MATCH($B302,'Default Values'!$B$101:$CD$101,0),0))</f>
        <v/>
      </c>
      <c r="Q302" s="346" t="str">
        <f>IF(Q$260="","",Q$262*VLOOKUP(Q$260&amp;" (All)",'Default Values'!$B$162:$CD$181,MATCH($B302,'Default Values'!$B$101:$CD$101,0),0))</f>
        <v/>
      </c>
      <c r="R302" s="346" t="str">
        <f>IF(R$260="","",R$262*VLOOKUP(R$260&amp;" (All)",'Default Values'!$B$162:$CD$181,MATCH($B302,'Default Values'!$B$101:$CD$101,0),0))</f>
        <v/>
      </c>
      <c r="S302" s="346" t="str">
        <f>IF(S$260="","",S$262*VLOOKUP(S$260&amp;" (All)",'Default Values'!$B$162:$CD$181,MATCH($B302,'Default Values'!$B$101:$CD$101,0),0))</f>
        <v/>
      </c>
      <c r="T302" s="346" t="str">
        <f>IF(T$260="","",T$262*VLOOKUP(T$260&amp;" (All)",'Default Values'!$B$162:$CD$181,MATCH($B302,'Default Values'!$B$101:$CD$101,0),0))</f>
        <v/>
      </c>
      <c r="U302" s="346" t="str">
        <f>IF(U$260="","",U$262*VLOOKUP(U$260&amp;" (All)",'Default Values'!$B$162:$CD$181,MATCH($B302,'Default Values'!$B$101:$CD$101,0),0))</f>
        <v/>
      </c>
      <c r="V302" s="346" t="str">
        <f>IF(V$260="","",V$262*VLOOKUP(V$260&amp;" (All)",'Default Values'!$B$162:$CD$181,MATCH($B302,'Default Values'!$B$101:$CD$101,0),0))</f>
        <v/>
      </c>
      <c r="W302" s="346" t="str">
        <f>IF(W$260="","",W$262*VLOOKUP(W$260&amp;" (All)",'Default Values'!$B$162:$CD$181,MATCH($B302,'Default Values'!$B$101:$CD$101,0),0))</f>
        <v/>
      </c>
      <c r="X302" s="346" t="str">
        <f>IF(X$260="","",X$262*VLOOKUP(X$260&amp;" (All)",'Default Values'!$B$162:$CD$181,MATCH($B302,'Default Values'!$B$101:$CD$101,0),0))</f>
        <v/>
      </c>
      <c r="Y302" s="346" t="str">
        <f>IF(Y$260="","",Y$262*VLOOKUP(Y$260&amp;" (All)",'Default Values'!$B$162:$CD$181,MATCH($B302,'Default Values'!$B$101:$CD$101,0),0))</f>
        <v/>
      </c>
      <c r="Z302" s="346" t="str">
        <f>IF(Z$260="","",Z$262*VLOOKUP(Z$260&amp;" (All)",'Default Values'!$B$162:$CD$181,MATCH($B302,'Default Values'!$B$101:$CD$101,0),0))</f>
        <v/>
      </c>
      <c r="AA302" s="346" t="str">
        <f>IF(AA$260="","",AA$262*VLOOKUP(AA$260&amp;" (All)",'Default Values'!$B$162:$CD$181,MATCH($B302,'Default Values'!$B$101:$CD$101,0),0))</f>
        <v/>
      </c>
      <c r="AB302" s="346" t="str">
        <f>IF(AB$260="","",AB$262*VLOOKUP(AB$260&amp;" (All)",'Default Values'!$B$162:$CD$181,MATCH($B302,'Default Values'!$B$101:$CD$101,0),0))</f>
        <v/>
      </c>
      <c r="AC302" s="346" t="str">
        <f>IF(AC$260="","",AC$262*VLOOKUP(AC$260&amp;" (All)",'Default Values'!$B$162:$CD$181,MATCH($B302,'Default Values'!$B$101:$CD$101,0),0))</f>
        <v/>
      </c>
      <c r="AD302" s="346" t="str">
        <f>IF(AD$260="","",AD$262*VLOOKUP(AD$260&amp;" (All)",'Default Values'!$B$162:$CD$181,MATCH($B302,'Default Values'!$B$101:$CD$101,0),0))</f>
        <v/>
      </c>
      <c r="AE302" s="346" t="str">
        <f>IF(AE$260="","",AE$262*VLOOKUP(AE$260&amp;" (All)",'Default Values'!$B$162:$CD$181,MATCH($B302,'Default Values'!$B$101:$CD$101,0),0))</f>
        <v/>
      </c>
      <c r="AF302" s="346" t="str">
        <f>IF(AF$260="","",AF$262*VLOOKUP(AF$260&amp;" (All)",'Default Values'!$B$162:$CD$181,MATCH($B302,'Default Values'!$B$101:$CD$101,0),0))</f>
        <v/>
      </c>
      <c r="AG302" s="346" t="str">
        <f>IF(AG$260="","",AG$262*VLOOKUP(AG$260&amp;" (All)",'Default Values'!$B$162:$CD$181,MATCH($B302,'Default Values'!$B$101:$CD$101,0),0))</f>
        <v/>
      </c>
      <c r="AH302" s="346" t="str">
        <f>IF(AH$260="","",AH$262*VLOOKUP(AH$260&amp;" (All)",'Default Values'!$B$162:$CD$181,MATCH($B302,'Default Values'!$B$101:$CD$101,0),0))</f>
        <v/>
      </c>
      <c r="AI302" s="346" t="str">
        <f>IF(AI$260="","",AI$262*VLOOKUP(AI$260&amp;" (All)",'Default Values'!$B$162:$CD$181,MATCH($B302,'Default Values'!$B$101:$CD$101,0),0))</f>
        <v/>
      </c>
      <c r="AJ302" s="346" t="str">
        <f>IF(AJ$260="","",AJ$262*VLOOKUP(AJ$260&amp;" (All)",'Default Values'!$B$162:$CD$181,MATCH($B302,'Default Values'!$B$101:$CD$101,0),0))</f>
        <v/>
      </c>
      <c r="AK302" s="346" t="str">
        <f>IF(AK$260="","",AK$262*VLOOKUP(AK$260&amp;" (All)",'Default Values'!$B$162:$CD$181,MATCH($B302,'Default Values'!$B$101:$CD$101,0),0))</f>
        <v/>
      </c>
      <c r="AL302" s="346" t="str">
        <f>IF(AL$260="","",AL$262*VLOOKUP(AL$260&amp;" (All)",'Default Values'!$B$162:$CD$181,MATCH($B302,'Default Values'!$B$101:$CD$101,0),0))</f>
        <v/>
      </c>
      <c r="AM302" s="346" t="str">
        <f>IF(AM$260="","",AM$262*VLOOKUP(AM$260&amp;" (All)",'Default Values'!$B$162:$CD$181,MATCH($B302,'Default Values'!$B$101:$CD$101,0),0))</f>
        <v/>
      </c>
      <c r="AN302" s="346" t="str">
        <f>IF(AN$260="","",AN$262*VLOOKUP(AN$260&amp;" (All)",'Default Values'!$B$162:$CD$181,MATCH($B302,'Default Values'!$B$101:$CD$101,0),0))</f>
        <v/>
      </c>
      <c r="AO302" s="346" t="str">
        <f>IF(AO$260="","",AO$262*VLOOKUP(AO$260&amp;" (All)",'Default Values'!$B$162:$CD$181,MATCH($B302,'Default Values'!$B$101:$CD$101,0),0))</f>
        <v/>
      </c>
      <c r="AP302" s="346" t="str">
        <f>IF(AP$260="","",AP$262*VLOOKUP(AP$260&amp;" (All)",'Default Values'!$B$162:$CD$181,MATCH($B302,'Default Values'!$B$101:$CD$101,0),0))</f>
        <v/>
      </c>
      <c r="AQ302" s="346" t="str">
        <f>IF(AQ$260="","",AQ$262*VLOOKUP(AQ$260&amp;" (All)",'Default Values'!$B$162:$CD$181,MATCH($B302,'Default Values'!$B$101:$CD$101,0),0))</f>
        <v/>
      </c>
      <c r="AR302" s="346">
        <f>IF(AR$260="","",AR$262*VLOOKUP(AR$260&amp;" (All)",'Default Values'!$B$162:$CD$181,MATCH($B302,'Default Values'!$B$101:$CD$101,0),0))</f>
        <v>0</v>
      </c>
      <c r="AS302" s="217"/>
      <c r="AT302" s="217"/>
      <c r="AU302" s="217"/>
      <c r="AV302" s="217"/>
      <c r="AW302" s="217"/>
      <c r="AX302" s="217"/>
      <c r="AY302" s="217"/>
      <c r="AZ302" s="217"/>
      <c r="BA302" s="217"/>
      <c r="BB302" s="217"/>
      <c r="BC302" s="217"/>
      <c r="BD302" s="217"/>
      <c r="BE302" s="217"/>
      <c r="BF302" s="217"/>
      <c r="BG302" s="217"/>
      <c r="BH302" s="217"/>
      <c r="BI302" s="217"/>
      <c r="BJ302" s="217"/>
      <c r="BK302" s="217"/>
      <c r="BL302" s="217"/>
      <c r="BM302" s="217"/>
      <c r="BN302" s="217"/>
      <c r="BO302" s="217"/>
      <c r="BP302" s="217"/>
      <c r="BQ302" s="217"/>
      <c r="BR302" s="217"/>
      <c r="BS302" s="217"/>
      <c r="BT302" s="217"/>
      <c r="BU302" s="217"/>
      <c r="BV302" s="217"/>
      <c r="BW302" s="217"/>
      <c r="BX302" s="217"/>
      <c r="BY302" s="217"/>
      <c r="BZ302" s="217"/>
      <c r="CA302" s="217"/>
      <c r="CB302" s="217"/>
      <c r="CC302" s="217"/>
      <c r="CD302" s="217"/>
      <c r="CE302" s="217"/>
      <c r="CF302" s="217"/>
      <c r="CG302" s="217"/>
      <c r="CH302" s="217"/>
      <c r="CI302" s="217"/>
      <c r="CJ302" s="217"/>
      <c r="CK302" s="217"/>
      <c r="CL302" s="217"/>
      <c r="CM302" s="217"/>
      <c r="CN302" s="217"/>
      <c r="CO302" s="217"/>
      <c r="CP302" s="217"/>
      <c r="CQ302" s="217"/>
      <c r="CR302" s="217"/>
      <c r="CS302" s="217"/>
      <c r="CT302" s="217"/>
      <c r="CU302" s="217"/>
      <c r="CV302" s="217"/>
      <c r="CW302" s="217"/>
      <c r="CX302" s="217"/>
      <c r="CY302" s="217"/>
      <c r="CZ302" s="217"/>
      <c r="DA302" s="217"/>
      <c r="DB302" s="217"/>
      <c r="DC302" s="217"/>
      <c r="DD302" s="217"/>
      <c r="DE302" s="217"/>
      <c r="DF302" s="217"/>
      <c r="DG302" s="217"/>
      <c r="DH302" s="217"/>
      <c r="DI302" s="217"/>
      <c r="DJ302" s="217"/>
      <c r="DK302" s="217"/>
      <c r="DL302" s="217"/>
      <c r="DM302" s="217"/>
      <c r="DN302" s="217"/>
      <c r="DO302" s="217"/>
      <c r="DP302" s="217"/>
      <c r="DQ302" s="217"/>
      <c r="DR302" s="217"/>
      <c r="DS302" s="217"/>
      <c r="DT302" s="217"/>
    </row>
    <row r="303" spans="1:124" x14ac:dyDescent="0.3">
      <c r="A303" s="217"/>
      <c r="B303" s="342" t="s">
        <v>216</v>
      </c>
      <c r="C303" s="345">
        <f t="shared" si="340"/>
        <v>0</v>
      </c>
      <c r="D303" s="346" t="str">
        <f>IF(D$260="","",D$262*VLOOKUP(D$260&amp;" (All)",'Default Values'!$B$162:$CD$181,MATCH($B303,'Default Values'!$B$101:$CD$101,0),0))</f>
        <v/>
      </c>
      <c r="E303" s="346" t="str">
        <f>IF(E$260="","",E$262*VLOOKUP(E$260&amp;" (All)",'Default Values'!$B$162:$CD$181,MATCH($B303,'Default Values'!$B$101:$CD$101,0),0))</f>
        <v/>
      </c>
      <c r="F303" s="346" t="str">
        <f>IF(F$260="","",F$262*VLOOKUP(F$260&amp;" (All)",'Default Values'!$B$162:$CD$181,MATCH($B303,'Default Values'!$B$101:$CD$101,0),0))</f>
        <v/>
      </c>
      <c r="G303" s="346" t="str">
        <f>IF(G$260="","",G$262*VLOOKUP(G$260&amp;" (All)",'Default Values'!$B$162:$CD$181,MATCH($B303,'Default Values'!$B$101:$CD$101,0),0))</f>
        <v/>
      </c>
      <c r="H303" s="346" t="str">
        <f>IF(H$260="","",H$262*VLOOKUP(H$260&amp;" (All)",'Default Values'!$B$162:$CD$181,MATCH($B303,'Default Values'!$B$101:$CD$101,0),0))</f>
        <v/>
      </c>
      <c r="I303" s="346" t="str">
        <f>IF(I$260="","",I$262*VLOOKUP(I$260&amp;" (All)",'Default Values'!$B$162:$CD$181,MATCH($B303,'Default Values'!$B$101:$CD$101,0),0))</f>
        <v/>
      </c>
      <c r="J303" s="346" t="str">
        <f>IF(J$260="","",J$262*VLOOKUP(J$260&amp;" (All)",'Default Values'!$B$162:$CD$181,MATCH($B303,'Default Values'!$B$101:$CD$101,0),0))</f>
        <v/>
      </c>
      <c r="K303" s="346" t="str">
        <f>IF(K$260="","",K$262*VLOOKUP(K$260&amp;" (All)",'Default Values'!$B$162:$CD$181,MATCH($B303,'Default Values'!$B$101:$CD$101,0),0))</f>
        <v/>
      </c>
      <c r="L303" s="346" t="str">
        <f>IF(L$260="","",L$262*VLOOKUP(L$260&amp;" (All)",'Default Values'!$B$162:$CD$181,MATCH($B303,'Default Values'!$B$101:$CD$101,0),0))</f>
        <v/>
      </c>
      <c r="M303" s="346" t="str">
        <f>IF(M$260="","",M$262*VLOOKUP(M$260&amp;" (All)",'Default Values'!$B$162:$CD$181,MATCH($B303,'Default Values'!$B$101:$CD$101,0),0))</f>
        <v/>
      </c>
      <c r="N303" s="346" t="str">
        <f>IF(N$260="","",N$262*VLOOKUP(N$260&amp;" (All)",'Default Values'!$B$162:$CD$181,MATCH($B303,'Default Values'!$B$101:$CD$101,0),0))</f>
        <v/>
      </c>
      <c r="O303" s="346" t="str">
        <f>IF(O$260="","",O$262*VLOOKUP(O$260&amp;" (All)",'Default Values'!$B$162:$CD$181,MATCH($B303,'Default Values'!$B$101:$CD$101,0),0))</f>
        <v/>
      </c>
      <c r="P303" s="346" t="str">
        <f>IF(P$260="","",P$262*VLOOKUP(P$260&amp;" (All)",'Default Values'!$B$162:$CD$181,MATCH($B303,'Default Values'!$B$101:$CD$101,0),0))</f>
        <v/>
      </c>
      <c r="Q303" s="346" t="str">
        <f>IF(Q$260="","",Q$262*VLOOKUP(Q$260&amp;" (All)",'Default Values'!$B$162:$CD$181,MATCH($B303,'Default Values'!$B$101:$CD$101,0),0))</f>
        <v/>
      </c>
      <c r="R303" s="346" t="str">
        <f>IF(R$260="","",R$262*VLOOKUP(R$260&amp;" (All)",'Default Values'!$B$162:$CD$181,MATCH($B303,'Default Values'!$B$101:$CD$101,0),0))</f>
        <v/>
      </c>
      <c r="S303" s="346" t="str">
        <f>IF(S$260="","",S$262*VLOOKUP(S$260&amp;" (All)",'Default Values'!$B$162:$CD$181,MATCH($B303,'Default Values'!$B$101:$CD$101,0),0))</f>
        <v/>
      </c>
      <c r="T303" s="346" t="str">
        <f>IF(T$260="","",T$262*VLOOKUP(T$260&amp;" (All)",'Default Values'!$B$162:$CD$181,MATCH($B303,'Default Values'!$B$101:$CD$101,0),0))</f>
        <v/>
      </c>
      <c r="U303" s="346" t="str">
        <f>IF(U$260="","",U$262*VLOOKUP(U$260&amp;" (All)",'Default Values'!$B$162:$CD$181,MATCH($B303,'Default Values'!$B$101:$CD$101,0),0))</f>
        <v/>
      </c>
      <c r="V303" s="346" t="str">
        <f>IF(V$260="","",V$262*VLOOKUP(V$260&amp;" (All)",'Default Values'!$B$162:$CD$181,MATCH($B303,'Default Values'!$B$101:$CD$101,0),0))</f>
        <v/>
      </c>
      <c r="W303" s="346" t="str">
        <f>IF(W$260="","",W$262*VLOOKUP(W$260&amp;" (All)",'Default Values'!$B$162:$CD$181,MATCH($B303,'Default Values'!$B$101:$CD$101,0),0))</f>
        <v/>
      </c>
      <c r="X303" s="346" t="str">
        <f>IF(X$260="","",X$262*VLOOKUP(X$260&amp;" (All)",'Default Values'!$B$162:$CD$181,MATCH($B303,'Default Values'!$B$101:$CD$101,0),0))</f>
        <v/>
      </c>
      <c r="Y303" s="346" t="str">
        <f>IF(Y$260="","",Y$262*VLOOKUP(Y$260&amp;" (All)",'Default Values'!$B$162:$CD$181,MATCH($B303,'Default Values'!$B$101:$CD$101,0),0))</f>
        <v/>
      </c>
      <c r="Z303" s="346" t="str">
        <f>IF(Z$260="","",Z$262*VLOOKUP(Z$260&amp;" (All)",'Default Values'!$B$162:$CD$181,MATCH($B303,'Default Values'!$B$101:$CD$101,0),0))</f>
        <v/>
      </c>
      <c r="AA303" s="346" t="str">
        <f>IF(AA$260="","",AA$262*VLOOKUP(AA$260&amp;" (All)",'Default Values'!$B$162:$CD$181,MATCH($B303,'Default Values'!$B$101:$CD$101,0),0))</f>
        <v/>
      </c>
      <c r="AB303" s="346" t="str">
        <f>IF(AB$260="","",AB$262*VLOOKUP(AB$260&amp;" (All)",'Default Values'!$B$162:$CD$181,MATCH($B303,'Default Values'!$B$101:$CD$101,0),0))</f>
        <v/>
      </c>
      <c r="AC303" s="346" t="str">
        <f>IF(AC$260="","",AC$262*VLOOKUP(AC$260&amp;" (All)",'Default Values'!$B$162:$CD$181,MATCH($B303,'Default Values'!$B$101:$CD$101,0),0))</f>
        <v/>
      </c>
      <c r="AD303" s="346" t="str">
        <f>IF(AD$260="","",AD$262*VLOOKUP(AD$260&amp;" (All)",'Default Values'!$B$162:$CD$181,MATCH($B303,'Default Values'!$B$101:$CD$101,0),0))</f>
        <v/>
      </c>
      <c r="AE303" s="346" t="str">
        <f>IF(AE$260="","",AE$262*VLOOKUP(AE$260&amp;" (All)",'Default Values'!$B$162:$CD$181,MATCH($B303,'Default Values'!$B$101:$CD$101,0),0))</f>
        <v/>
      </c>
      <c r="AF303" s="346" t="str">
        <f>IF(AF$260="","",AF$262*VLOOKUP(AF$260&amp;" (All)",'Default Values'!$B$162:$CD$181,MATCH($B303,'Default Values'!$B$101:$CD$101,0),0))</f>
        <v/>
      </c>
      <c r="AG303" s="346" t="str">
        <f>IF(AG$260="","",AG$262*VLOOKUP(AG$260&amp;" (All)",'Default Values'!$B$162:$CD$181,MATCH($B303,'Default Values'!$B$101:$CD$101,0),0))</f>
        <v/>
      </c>
      <c r="AH303" s="346" t="str">
        <f>IF(AH$260="","",AH$262*VLOOKUP(AH$260&amp;" (All)",'Default Values'!$B$162:$CD$181,MATCH($B303,'Default Values'!$B$101:$CD$101,0),0))</f>
        <v/>
      </c>
      <c r="AI303" s="346" t="str">
        <f>IF(AI$260="","",AI$262*VLOOKUP(AI$260&amp;" (All)",'Default Values'!$B$162:$CD$181,MATCH($B303,'Default Values'!$B$101:$CD$101,0),0))</f>
        <v/>
      </c>
      <c r="AJ303" s="346" t="str">
        <f>IF(AJ$260="","",AJ$262*VLOOKUP(AJ$260&amp;" (All)",'Default Values'!$B$162:$CD$181,MATCH($B303,'Default Values'!$B$101:$CD$101,0),0))</f>
        <v/>
      </c>
      <c r="AK303" s="346" t="str">
        <f>IF(AK$260="","",AK$262*VLOOKUP(AK$260&amp;" (All)",'Default Values'!$B$162:$CD$181,MATCH($B303,'Default Values'!$B$101:$CD$101,0),0))</f>
        <v/>
      </c>
      <c r="AL303" s="346" t="str">
        <f>IF(AL$260="","",AL$262*VLOOKUP(AL$260&amp;" (All)",'Default Values'!$B$162:$CD$181,MATCH($B303,'Default Values'!$B$101:$CD$101,0),0))</f>
        <v/>
      </c>
      <c r="AM303" s="346" t="str">
        <f>IF(AM$260="","",AM$262*VLOOKUP(AM$260&amp;" (All)",'Default Values'!$B$162:$CD$181,MATCH($B303,'Default Values'!$B$101:$CD$101,0),0))</f>
        <v/>
      </c>
      <c r="AN303" s="346" t="str">
        <f>IF(AN$260="","",AN$262*VLOOKUP(AN$260&amp;" (All)",'Default Values'!$B$162:$CD$181,MATCH($B303,'Default Values'!$B$101:$CD$101,0),0))</f>
        <v/>
      </c>
      <c r="AO303" s="346" t="str">
        <f>IF(AO$260="","",AO$262*VLOOKUP(AO$260&amp;" (All)",'Default Values'!$B$162:$CD$181,MATCH($B303,'Default Values'!$B$101:$CD$101,0),0))</f>
        <v/>
      </c>
      <c r="AP303" s="346" t="str">
        <f>IF(AP$260="","",AP$262*VLOOKUP(AP$260&amp;" (All)",'Default Values'!$B$162:$CD$181,MATCH($B303,'Default Values'!$B$101:$CD$101,0),0))</f>
        <v/>
      </c>
      <c r="AQ303" s="346" t="str">
        <f>IF(AQ$260="","",AQ$262*VLOOKUP(AQ$260&amp;" (All)",'Default Values'!$B$162:$CD$181,MATCH($B303,'Default Values'!$B$101:$CD$101,0),0))</f>
        <v/>
      </c>
      <c r="AR303" s="346">
        <f>IF(AR$260="","",AR$262*VLOOKUP(AR$260&amp;" (All)",'Default Values'!$B$162:$CD$181,MATCH($B303,'Default Values'!$B$101:$CD$101,0),0))</f>
        <v>0</v>
      </c>
      <c r="AS303" s="217"/>
      <c r="AT303" s="217"/>
      <c r="AU303" s="217"/>
      <c r="AV303" s="217"/>
      <c r="AW303" s="217"/>
      <c r="AX303" s="217"/>
      <c r="AY303" s="217"/>
      <c r="AZ303" s="217"/>
      <c r="BA303" s="217"/>
      <c r="BB303" s="217"/>
      <c r="BC303" s="217"/>
      <c r="BD303" s="217"/>
      <c r="BE303" s="217"/>
      <c r="BF303" s="217"/>
      <c r="BG303" s="217"/>
      <c r="BH303" s="217"/>
      <c r="BI303" s="217"/>
      <c r="BJ303" s="217"/>
      <c r="BK303" s="217"/>
      <c r="BL303" s="217"/>
      <c r="BM303" s="217"/>
      <c r="BN303" s="217"/>
      <c r="BO303" s="217"/>
      <c r="BP303" s="217"/>
      <c r="BQ303" s="217"/>
      <c r="BR303" s="217"/>
      <c r="BS303" s="217"/>
      <c r="BT303" s="217"/>
      <c r="BU303" s="217"/>
      <c r="BV303" s="217"/>
      <c r="BW303" s="217"/>
      <c r="BX303" s="217"/>
      <c r="BY303" s="217"/>
      <c r="BZ303" s="217"/>
      <c r="CA303" s="217"/>
      <c r="CB303" s="217"/>
      <c r="CC303" s="217"/>
      <c r="CD303" s="217"/>
      <c r="CE303" s="217"/>
      <c r="CF303" s="217"/>
      <c r="CG303" s="217"/>
      <c r="CH303" s="217"/>
      <c r="CI303" s="217"/>
      <c r="CJ303" s="217"/>
      <c r="CK303" s="217"/>
      <c r="CL303" s="217"/>
      <c r="CM303" s="217"/>
      <c r="CN303" s="217"/>
      <c r="CO303" s="217"/>
      <c r="CP303" s="217"/>
      <c r="CQ303" s="217"/>
      <c r="CR303" s="217"/>
      <c r="CS303" s="217"/>
      <c r="CT303" s="217"/>
      <c r="CU303" s="217"/>
      <c r="CV303" s="217"/>
      <c r="CW303" s="217"/>
      <c r="CX303" s="217"/>
      <c r="CY303" s="217"/>
      <c r="CZ303" s="217"/>
      <c r="DA303" s="217"/>
      <c r="DB303" s="217"/>
      <c r="DC303" s="217"/>
      <c r="DD303" s="217"/>
      <c r="DE303" s="217"/>
      <c r="DF303" s="217"/>
      <c r="DG303" s="217"/>
      <c r="DH303" s="217"/>
      <c r="DI303" s="217"/>
      <c r="DJ303" s="217"/>
      <c r="DK303" s="217"/>
      <c r="DL303" s="217"/>
      <c r="DM303" s="217"/>
      <c r="DN303" s="217"/>
      <c r="DO303" s="217"/>
      <c r="DP303" s="217"/>
      <c r="DQ303" s="217"/>
      <c r="DR303" s="217"/>
      <c r="DS303" s="217"/>
      <c r="DT303" s="217"/>
    </row>
    <row r="304" spans="1:124" x14ac:dyDescent="0.3">
      <c r="A304" s="217"/>
      <c r="B304" s="342" t="s">
        <v>218</v>
      </c>
      <c r="C304" s="345">
        <f t="shared" si="340"/>
        <v>0</v>
      </c>
      <c r="D304" s="346" t="str">
        <f>IF(D$260="","",D$262*VLOOKUP(D$260&amp;" (All)",'Default Values'!$B$162:$CD$181,MATCH($B304,'Default Values'!$B$101:$CD$101,0),0))</f>
        <v/>
      </c>
      <c r="E304" s="346" t="str">
        <f>IF(E$260="","",E$262*VLOOKUP(E$260&amp;" (All)",'Default Values'!$B$162:$CD$181,MATCH($B304,'Default Values'!$B$101:$CD$101,0),0))</f>
        <v/>
      </c>
      <c r="F304" s="346" t="str">
        <f>IF(F$260="","",F$262*VLOOKUP(F$260&amp;" (All)",'Default Values'!$B$162:$CD$181,MATCH($B304,'Default Values'!$B$101:$CD$101,0),0))</f>
        <v/>
      </c>
      <c r="G304" s="346" t="str">
        <f>IF(G$260="","",G$262*VLOOKUP(G$260&amp;" (All)",'Default Values'!$B$162:$CD$181,MATCH($B304,'Default Values'!$B$101:$CD$101,0),0))</f>
        <v/>
      </c>
      <c r="H304" s="346" t="str">
        <f>IF(H$260="","",H$262*VLOOKUP(H$260&amp;" (All)",'Default Values'!$B$162:$CD$181,MATCH($B304,'Default Values'!$B$101:$CD$101,0),0))</f>
        <v/>
      </c>
      <c r="I304" s="346" t="str">
        <f>IF(I$260="","",I$262*VLOOKUP(I$260&amp;" (All)",'Default Values'!$B$162:$CD$181,MATCH($B304,'Default Values'!$B$101:$CD$101,0),0))</f>
        <v/>
      </c>
      <c r="J304" s="346" t="str">
        <f>IF(J$260="","",J$262*VLOOKUP(J$260&amp;" (All)",'Default Values'!$B$162:$CD$181,MATCH($B304,'Default Values'!$B$101:$CD$101,0),0))</f>
        <v/>
      </c>
      <c r="K304" s="346" t="str">
        <f>IF(K$260="","",K$262*VLOOKUP(K$260&amp;" (All)",'Default Values'!$B$162:$CD$181,MATCH($B304,'Default Values'!$B$101:$CD$101,0),0))</f>
        <v/>
      </c>
      <c r="L304" s="346" t="str">
        <f>IF(L$260="","",L$262*VLOOKUP(L$260&amp;" (All)",'Default Values'!$B$162:$CD$181,MATCH($B304,'Default Values'!$B$101:$CD$101,0),0))</f>
        <v/>
      </c>
      <c r="M304" s="346" t="str">
        <f>IF(M$260="","",M$262*VLOOKUP(M$260&amp;" (All)",'Default Values'!$B$162:$CD$181,MATCH($B304,'Default Values'!$B$101:$CD$101,0),0))</f>
        <v/>
      </c>
      <c r="N304" s="346" t="str">
        <f>IF(N$260="","",N$262*VLOOKUP(N$260&amp;" (All)",'Default Values'!$B$162:$CD$181,MATCH($B304,'Default Values'!$B$101:$CD$101,0),0))</f>
        <v/>
      </c>
      <c r="O304" s="346" t="str">
        <f>IF(O$260="","",O$262*VLOOKUP(O$260&amp;" (All)",'Default Values'!$B$162:$CD$181,MATCH($B304,'Default Values'!$B$101:$CD$101,0),0))</f>
        <v/>
      </c>
      <c r="P304" s="346" t="str">
        <f>IF(P$260="","",P$262*VLOOKUP(P$260&amp;" (All)",'Default Values'!$B$162:$CD$181,MATCH($B304,'Default Values'!$B$101:$CD$101,0),0))</f>
        <v/>
      </c>
      <c r="Q304" s="346" t="str">
        <f>IF(Q$260="","",Q$262*VLOOKUP(Q$260&amp;" (All)",'Default Values'!$B$162:$CD$181,MATCH($B304,'Default Values'!$B$101:$CD$101,0),0))</f>
        <v/>
      </c>
      <c r="R304" s="346" t="str">
        <f>IF(R$260="","",R$262*VLOOKUP(R$260&amp;" (All)",'Default Values'!$B$162:$CD$181,MATCH($B304,'Default Values'!$B$101:$CD$101,0),0))</f>
        <v/>
      </c>
      <c r="S304" s="346" t="str">
        <f>IF(S$260="","",S$262*VLOOKUP(S$260&amp;" (All)",'Default Values'!$B$162:$CD$181,MATCH($B304,'Default Values'!$B$101:$CD$101,0),0))</f>
        <v/>
      </c>
      <c r="T304" s="346" t="str">
        <f>IF(T$260="","",T$262*VLOOKUP(T$260&amp;" (All)",'Default Values'!$B$162:$CD$181,MATCH($B304,'Default Values'!$B$101:$CD$101,0),0))</f>
        <v/>
      </c>
      <c r="U304" s="346" t="str">
        <f>IF(U$260="","",U$262*VLOOKUP(U$260&amp;" (All)",'Default Values'!$B$162:$CD$181,MATCH($B304,'Default Values'!$B$101:$CD$101,0),0))</f>
        <v/>
      </c>
      <c r="V304" s="346" t="str">
        <f>IF(V$260="","",V$262*VLOOKUP(V$260&amp;" (All)",'Default Values'!$B$162:$CD$181,MATCH($B304,'Default Values'!$B$101:$CD$101,0),0))</f>
        <v/>
      </c>
      <c r="W304" s="346" t="str">
        <f>IF(W$260="","",W$262*VLOOKUP(W$260&amp;" (All)",'Default Values'!$B$162:$CD$181,MATCH($B304,'Default Values'!$B$101:$CD$101,0),0))</f>
        <v/>
      </c>
      <c r="X304" s="346" t="str">
        <f>IF(X$260="","",X$262*VLOOKUP(X$260&amp;" (All)",'Default Values'!$B$162:$CD$181,MATCH($B304,'Default Values'!$B$101:$CD$101,0),0))</f>
        <v/>
      </c>
      <c r="Y304" s="346" t="str">
        <f>IF(Y$260="","",Y$262*VLOOKUP(Y$260&amp;" (All)",'Default Values'!$B$162:$CD$181,MATCH($B304,'Default Values'!$B$101:$CD$101,0),0))</f>
        <v/>
      </c>
      <c r="Z304" s="346" t="str">
        <f>IF(Z$260="","",Z$262*VLOOKUP(Z$260&amp;" (All)",'Default Values'!$B$162:$CD$181,MATCH($B304,'Default Values'!$B$101:$CD$101,0),0))</f>
        <v/>
      </c>
      <c r="AA304" s="346" t="str">
        <f>IF(AA$260="","",AA$262*VLOOKUP(AA$260&amp;" (All)",'Default Values'!$B$162:$CD$181,MATCH($B304,'Default Values'!$B$101:$CD$101,0),0))</f>
        <v/>
      </c>
      <c r="AB304" s="346" t="str">
        <f>IF(AB$260="","",AB$262*VLOOKUP(AB$260&amp;" (All)",'Default Values'!$B$162:$CD$181,MATCH($B304,'Default Values'!$B$101:$CD$101,0),0))</f>
        <v/>
      </c>
      <c r="AC304" s="346" t="str">
        <f>IF(AC$260="","",AC$262*VLOOKUP(AC$260&amp;" (All)",'Default Values'!$B$162:$CD$181,MATCH($B304,'Default Values'!$B$101:$CD$101,0),0))</f>
        <v/>
      </c>
      <c r="AD304" s="346" t="str">
        <f>IF(AD$260="","",AD$262*VLOOKUP(AD$260&amp;" (All)",'Default Values'!$B$162:$CD$181,MATCH($B304,'Default Values'!$B$101:$CD$101,0),0))</f>
        <v/>
      </c>
      <c r="AE304" s="346" t="str">
        <f>IF(AE$260="","",AE$262*VLOOKUP(AE$260&amp;" (All)",'Default Values'!$B$162:$CD$181,MATCH($B304,'Default Values'!$B$101:$CD$101,0),0))</f>
        <v/>
      </c>
      <c r="AF304" s="346" t="str">
        <f>IF(AF$260="","",AF$262*VLOOKUP(AF$260&amp;" (All)",'Default Values'!$B$162:$CD$181,MATCH($B304,'Default Values'!$B$101:$CD$101,0),0))</f>
        <v/>
      </c>
      <c r="AG304" s="346" t="str">
        <f>IF(AG$260="","",AG$262*VLOOKUP(AG$260&amp;" (All)",'Default Values'!$B$162:$CD$181,MATCH($B304,'Default Values'!$B$101:$CD$101,0),0))</f>
        <v/>
      </c>
      <c r="AH304" s="346" t="str">
        <f>IF(AH$260="","",AH$262*VLOOKUP(AH$260&amp;" (All)",'Default Values'!$B$162:$CD$181,MATCH($B304,'Default Values'!$B$101:$CD$101,0),0))</f>
        <v/>
      </c>
      <c r="AI304" s="346" t="str">
        <f>IF(AI$260="","",AI$262*VLOOKUP(AI$260&amp;" (All)",'Default Values'!$B$162:$CD$181,MATCH($B304,'Default Values'!$B$101:$CD$101,0),0))</f>
        <v/>
      </c>
      <c r="AJ304" s="346" t="str">
        <f>IF(AJ$260="","",AJ$262*VLOOKUP(AJ$260&amp;" (All)",'Default Values'!$B$162:$CD$181,MATCH($B304,'Default Values'!$B$101:$CD$101,0),0))</f>
        <v/>
      </c>
      <c r="AK304" s="346" t="str">
        <f>IF(AK$260="","",AK$262*VLOOKUP(AK$260&amp;" (All)",'Default Values'!$B$162:$CD$181,MATCH($B304,'Default Values'!$B$101:$CD$101,0),0))</f>
        <v/>
      </c>
      <c r="AL304" s="346" t="str">
        <f>IF(AL$260="","",AL$262*VLOOKUP(AL$260&amp;" (All)",'Default Values'!$B$162:$CD$181,MATCH($B304,'Default Values'!$B$101:$CD$101,0),0))</f>
        <v/>
      </c>
      <c r="AM304" s="346" t="str">
        <f>IF(AM$260="","",AM$262*VLOOKUP(AM$260&amp;" (All)",'Default Values'!$B$162:$CD$181,MATCH($B304,'Default Values'!$B$101:$CD$101,0),0))</f>
        <v/>
      </c>
      <c r="AN304" s="346" t="str">
        <f>IF(AN$260="","",AN$262*VLOOKUP(AN$260&amp;" (All)",'Default Values'!$B$162:$CD$181,MATCH($B304,'Default Values'!$B$101:$CD$101,0),0))</f>
        <v/>
      </c>
      <c r="AO304" s="346" t="str">
        <f>IF(AO$260="","",AO$262*VLOOKUP(AO$260&amp;" (All)",'Default Values'!$B$162:$CD$181,MATCH($B304,'Default Values'!$B$101:$CD$101,0),0))</f>
        <v/>
      </c>
      <c r="AP304" s="346" t="str">
        <f>IF(AP$260="","",AP$262*VLOOKUP(AP$260&amp;" (All)",'Default Values'!$B$162:$CD$181,MATCH($B304,'Default Values'!$B$101:$CD$101,0),0))</f>
        <v/>
      </c>
      <c r="AQ304" s="346" t="str">
        <f>IF(AQ$260="","",AQ$262*VLOOKUP(AQ$260&amp;" (All)",'Default Values'!$B$162:$CD$181,MATCH($B304,'Default Values'!$B$101:$CD$101,0),0))</f>
        <v/>
      </c>
      <c r="AR304" s="346">
        <f>IF(AR$260="","",AR$262*VLOOKUP(AR$260&amp;" (All)",'Default Values'!$B$162:$CD$181,MATCH($B304,'Default Values'!$B$101:$CD$101,0),0))</f>
        <v>0</v>
      </c>
      <c r="AS304" s="217"/>
      <c r="AT304" s="217"/>
      <c r="AU304" s="217"/>
      <c r="AV304" s="217"/>
      <c r="AW304" s="217"/>
      <c r="AX304" s="217"/>
      <c r="AY304" s="217"/>
      <c r="AZ304" s="217"/>
      <c r="BA304" s="217"/>
      <c r="BB304" s="217"/>
      <c r="BC304" s="217"/>
      <c r="BD304" s="217"/>
      <c r="BE304" s="217"/>
      <c r="BF304" s="217"/>
      <c r="BG304" s="217"/>
      <c r="BH304" s="217"/>
      <c r="BI304" s="217"/>
      <c r="BJ304" s="217"/>
      <c r="BK304" s="217"/>
      <c r="BL304" s="217"/>
      <c r="BM304" s="217"/>
      <c r="BN304" s="217"/>
      <c r="BO304" s="217"/>
      <c r="BP304" s="217"/>
      <c r="BQ304" s="217"/>
      <c r="BR304" s="217"/>
      <c r="BS304" s="217"/>
      <c r="BT304" s="217"/>
      <c r="BU304" s="217"/>
      <c r="BV304" s="217"/>
      <c r="BW304" s="217"/>
      <c r="BX304" s="217"/>
      <c r="BY304" s="217"/>
      <c r="BZ304" s="217"/>
      <c r="CA304" s="217"/>
      <c r="CB304" s="217"/>
      <c r="CC304" s="217"/>
      <c r="CD304" s="217"/>
      <c r="CE304" s="217"/>
      <c r="CF304" s="217"/>
      <c r="CG304" s="217"/>
      <c r="CH304" s="217"/>
      <c r="CI304" s="217"/>
      <c r="CJ304" s="217"/>
      <c r="CK304" s="217"/>
      <c r="CL304" s="217"/>
      <c r="CM304" s="217"/>
      <c r="CN304" s="217"/>
      <c r="CO304" s="217"/>
      <c r="CP304" s="217"/>
      <c r="CQ304" s="217"/>
      <c r="CR304" s="217"/>
      <c r="CS304" s="217"/>
      <c r="CT304" s="217"/>
      <c r="CU304" s="217"/>
      <c r="CV304" s="217"/>
      <c r="CW304" s="217"/>
      <c r="CX304" s="217"/>
      <c r="CY304" s="217"/>
      <c r="CZ304" s="217"/>
      <c r="DA304" s="217"/>
      <c r="DB304" s="217"/>
      <c r="DC304" s="217"/>
      <c r="DD304" s="217"/>
      <c r="DE304" s="217"/>
      <c r="DF304" s="217"/>
      <c r="DG304" s="217"/>
      <c r="DH304" s="217"/>
      <c r="DI304" s="217"/>
      <c r="DJ304" s="217"/>
      <c r="DK304" s="217"/>
      <c r="DL304" s="217"/>
      <c r="DM304" s="217"/>
      <c r="DN304" s="217"/>
      <c r="DO304" s="217"/>
      <c r="DP304" s="217"/>
      <c r="DQ304" s="217"/>
      <c r="DR304" s="217"/>
      <c r="DS304" s="217"/>
      <c r="DT304" s="217"/>
    </row>
    <row r="305" spans="1:124" x14ac:dyDescent="0.3">
      <c r="A305" s="217"/>
      <c r="B305" s="342" t="s">
        <v>220</v>
      </c>
      <c r="C305" s="345">
        <f t="shared" si="340"/>
        <v>0</v>
      </c>
      <c r="D305" s="346" t="str">
        <f>IF(D$260="","",D$262*VLOOKUP(D$260&amp;" (All)",'Default Values'!$B$162:$CD$181,MATCH($B305,'Default Values'!$B$101:$CD$101,0),0))</f>
        <v/>
      </c>
      <c r="E305" s="346" t="str">
        <f>IF(E$260="","",E$262*VLOOKUP(E$260&amp;" (All)",'Default Values'!$B$162:$CD$181,MATCH($B305,'Default Values'!$B$101:$CD$101,0),0))</f>
        <v/>
      </c>
      <c r="F305" s="346" t="str">
        <f>IF(F$260="","",F$262*VLOOKUP(F$260&amp;" (All)",'Default Values'!$B$162:$CD$181,MATCH($B305,'Default Values'!$B$101:$CD$101,0),0))</f>
        <v/>
      </c>
      <c r="G305" s="346" t="str">
        <f>IF(G$260="","",G$262*VLOOKUP(G$260&amp;" (All)",'Default Values'!$B$162:$CD$181,MATCH($B305,'Default Values'!$B$101:$CD$101,0),0))</f>
        <v/>
      </c>
      <c r="H305" s="346" t="str">
        <f>IF(H$260="","",H$262*VLOOKUP(H$260&amp;" (All)",'Default Values'!$B$162:$CD$181,MATCH($B305,'Default Values'!$B$101:$CD$101,0),0))</f>
        <v/>
      </c>
      <c r="I305" s="346" t="str">
        <f>IF(I$260="","",I$262*VLOOKUP(I$260&amp;" (All)",'Default Values'!$B$162:$CD$181,MATCH($B305,'Default Values'!$B$101:$CD$101,0),0))</f>
        <v/>
      </c>
      <c r="J305" s="346" t="str">
        <f>IF(J$260="","",J$262*VLOOKUP(J$260&amp;" (All)",'Default Values'!$B$162:$CD$181,MATCH($B305,'Default Values'!$B$101:$CD$101,0),0))</f>
        <v/>
      </c>
      <c r="K305" s="346" t="str">
        <f>IF(K$260="","",K$262*VLOOKUP(K$260&amp;" (All)",'Default Values'!$B$162:$CD$181,MATCH($B305,'Default Values'!$B$101:$CD$101,0),0))</f>
        <v/>
      </c>
      <c r="L305" s="346" t="str">
        <f>IF(L$260="","",L$262*VLOOKUP(L$260&amp;" (All)",'Default Values'!$B$162:$CD$181,MATCH($B305,'Default Values'!$B$101:$CD$101,0),0))</f>
        <v/>
      </c>
      <c r="M305" s="346" t="str">
        <f>IF(M$260="","",M$262*VLOOKUP(M$260&amp;" (All)",'Default Values'!$B$162:$CD$181,MATCH($B305,'Default Values'!$B$101:$CD$101,0),0))</f>
        <v/>
      </c>
      <c r="N305" s="346" t="str">
        <f>IF(N$260="","",N$262*VLOOKUP(N$260&amp;" (All)",'Default Values'!$B$162:$CD$181,MATCH($B305,'Default Values'!$B$101:$CD$101,0),0))</f>
        <v/>
      </c>
      <c r="O305" s="346" t="str">
        <f>IF(O$260="","",O$262*VLOOKUP(O$260&amp;" (All)",'Default Values'!$B$162:$CD$181,MATCH($B305,'Default Values'!$B$101:$CD$101,0),0))</f>
        <v/>
      </c>
      <c r="P305" s="346" t="str">
        <f>IF(P$260="","",P$262*VLOOKUP(P$260&amp;" (All)",'Default Values'!$B$162:$CD$181,MATCH($B305,'Default Values'!$B$101:$CD$101,0),0))</f>
        <v/>
      </c>
      <c r="Q305" s="346" t="str">
        <f>IF(Q$260="","",Q$262*VLOOKUP(Q$260&amp;" (All)",'Default Values'!$B$162:$CD$181,MATCH($B305,'Default Values'!$B$101:$CD$101,0),0))</f>
        <v/>
      </c>
      <c r="R305" s="346" t="str">
        <f>IF(R$260="","",R$262*VLOOKUP(R$260&amp;" (All)",'Default Values'!$B$162:$CD$181,MATCH($B305,'Default Values'!$B$101:$CD$101,0),0))</f>
        <v/>
      </c>
      <c r="S305" s="346" t="str">
        <f>IF(S$260="","",S$262*VLOOKUP(S$260&amp;" (All)",'Default Values'!$B$162:$CD$181,MATCH($B305,'Default Values'!$B$101:$CD$101,0),0))</f>
        <v/>
      </c>
      <c r="T305" s="346" t="str">
        <f>IF(T$260="","",T$262*VLOOKUP(T$260&amp;" (All)",'Default Values'!$B$162:$CD$181,MATCH($B305,'Default Values'!$B$101:$CD$101,0),0))</f>
        <v/>
      </c>
      <c r="U305" s="346" t="str">
        <f>IF(U$260="","",U$262*VLOOKUP(U$260&amp;" (All)",'Default Values'!$B$162:$CD$181,MATCH($B305,'Default Values'!$B$101:$CD$101,0),0))</f>
        <v/>
      </c>
      <c r="V305" s="346" t="str">
        <f>IF(V$260="","",V$262*VLOOKUP(V$260&amp;" (All)",'Default Values'!$B$162:$CD$181,MATCH($B305,'Default Values'!$B$101:$CD$101,0),0))</f>
        <v/>
      </c>
      <c r="W305" s="346" t="str">
        <f>IF(W$260="","",W$262*VLOOKUP(W$260&amp;" (All)",'Default Values'!$B$162:$CD$181,MATCH($B305,'Default Values'!$B$101:$CD$101,0),0))</f>
        <v/>
      </c>
      <c r="X305" s="346" t="str">
        <f>IF(X$260="","",X$262*VLOOKUP(X$260&amp;" (All)",'Default Values'!$B$162:$CD$181,MATCH($B305,'Default Values'!$B$101:$CD$101,0),0))</f>
        <v/>
      </c>
      <c r="Y305" s="346" t="str">
        <f>IF(Y$260="","",Y$262*VLOOKUP(Y$260&amp;" (All)",'Default Values'!$B$162:$CD$181,MATCH($B305,'Default Values'!$B$101:$CD$101,0),0))</f>
        <v/>
      </c>
      <c r="Z305" s="346" t="str">
        <f>IF(Z$260="","",Z$262*VLOOKUP(Z$260&amp;" (All)",'Default Values'!$B$162:$CD$181,MATCH($B305,'Default Values'!$B$101:$CD$101,0),0))</f>
        <v/>
      </c>
      <c r="AA305" s="346" t="str">
        <f>IF(AA$260="","",AA$262*VLOOKUP(AA$260&amp;" (All)",'Default Values'!$B$162:$CD$181,MATCH($B305,'Default Values'!$B$101:$CD$101,0),0))</f>
        <v/>
      </c>
      <c r="AB305" s="346" t="str">
        <f>IF(AB$260="","",AB$262*VLOOKUP(AB$260&amp;" (All)",'Default Values'!$B$162:$CD$181,MATCH($B305,'Default Values'!$B$101:$CD$101,0),0))</f>
        <v/>
      </c>
      <c r="AC305" s="346" t="str">
        <f>IF(AC$260="","",AC$262*VLOOKUP(AC$260&amp;" (All)",'Default Values'!$B$162:$CD$181,MATCH($B305,'Default Values'!$B$101:$CD$101,0),0))</f>
        <v/>
      </c>
      <c r="AD305" s="346" t="str">
        <f>IF(AD$260="","",AD$262*VLOOKUP(AD$260&amp;" (All)",'Default Values'!$B$162:$CD$181,MATCH($B305,'Default Values'!$B$101:$CD$101,0),0))</f>
        <v/>
      </c>
      <c r="AE305" s="346" t="str">
        <f>IF(AE$260="","",AE$262*VLOOKUP(AE$260&amp;" (All)",'Default Values'!$B$162:$CD$181,MATCH($B305,'Default Values'!$B$101:$CD$101,0),0))</f>
        <v/>
      </c>
      <c r="AF305" s="346" t="str">
        <f>IF(AF$260="","",AF$262*VLOOKUP(AF$260&amp;" (All)",'Default Values'!$B$162:$CD$181,MATCH($B305,'Default Values'!$B$101:$CD$101,0),0))</f>
        <v/>
      </c>
      <c r="AG305" s="346" t="str">
        <f>IF(AG$260="","",AG$262*VLOOKUP(AG$260&amp;" (All)",'Default Values'!$B$162:$CD$181,MATCH($B305,'Default Values'!$B$101:$CD$101,0),0))</f>
        <v/>
      </c>
      <c r="AH305" s="346" t="str">
        <f>IF(AH$260="","",AH$262*VLOOKUP(AH$260&amp;" (All)",'Default Values'!$B$162:$CD$181,MATCH($B305,'Default Values'!$B$101:$CD$101,0),0))</f>
        <v/>
      </c>
      <c r="AI305" s="346" t="str">
        <f>IF(AI$260="","",AI$262*VLOOKUP(AI$260&amp;" (All)",'Default Values'!$B$162:$CD$181,MATCH($B305,'Default Values'!$B$101:$CD$101,0),0))</f>
        <v/>
      </c>
      <c r="AJ305" s="346" t="str">
        <f>IF(AJ$260="","",AJ$262*VLOOKUP(AJ$260&amp;" (All)",'Default Values'!$B$162:$CD$181,MATCH($B305,'Default Values'!$B$101:$CD$101,0),0))</f>
        <v/>
      </c>
      <c r="AK305" s="346" t="str">
        <f>IF(AK$260="","",AK$262*VLOOKUP(AK$260&amp;" (All)",'Default Values'!$B$162:$CD$181,MATCH($B305,'Default Values'!$B$101:$CD$101,0),0))</f>
        <v/>
      </c>
      <c r="AL305" s="346" t="str">
        <f>IF(AL$260="","",AL$262*VLOOKUP(AL$260&amp;" (All)",'Default Values'!$B$162:$CD$181,MATCH($B305,'Default Values'!$B$101:$CD$101,0),0))</f>
        <v/>
      </c>
      <c r="AM305" s="346" t="str">
        <f>IF(AM$260="","",AM$262*VLOOKUP(AM$260&amp;" (All)",'Default Values'!$B$162:$CD$181,MATCH($B305,'Default Values'!$B$101:$CD$101,0),0))</f>
        <v/>
      </c>
      <c r="AN305" s="346" t="str">
        <f>IF(AN$260="","",AN$262*VLOOKUP(AN$260&amp;" (All)",'Default Values'!$B$162:$CD$181,MATCH($B305,'Default Values'!$B$101:$CD$101,0),0))</f>
        <v/>
      </c>
      <c r="AO305" s="346" t="str">
        <f>IF(AO$260="","",AO$262*VLOOKUP(AO$260&amp;" (All)",'Default Values'!$B$162:$CD$181,MATCH($B305,'Default Values'!$B$101:$CD$101,0),0))</f>
        <v/>
      </c>
      <c r="AP305" s="346" t="str">
        <f>IF(AP$260="","",AP$262*VLOOKUP(AP$260&amp;" (All)",'Default Values'!$B$162:$CD$181,MATCH($B305,'Default Values'!$B$101:$CD$101,0),0))</f>
        <v/>
      </c>
      <c r="AQ305" s="346" t="str">
        <f>IF(AQ$260="","",AQ$262*VLOOKUP(AQ$260&amp;" (All)",'Default Values'!$B$162:$CD$181,MATCH($B305,'Default Values'!$B$101:$CD$101,0),0))</f>
        <v/>
      </c>
      <c r="AR305" s="346">
        <f>IF(AR$260="","",AR$262*VLOOKUP(AR$260&amp;" (All)",'Default Values'!$B$162:$CD$181,MATCH($B305,'Default Values'!$B$101:$CD$101,0),0))</f>
        <v>0</v>
      </c>
      <c r="AS305" s="217"/>
      <c r="AT305" s="217"/>
      <c r="AU305" s="217"/>
      <c r="AV305" s="217"/>
      <c r="AW305" s="217"/>
      <c r="AX305" s="217"/>
      <c r="AY305" s="217"/>
      <c r="AZ305" s="217"/>
      <c r="BA305" s="217"/>
      <c r="BB305" s="217"/>
      <c r="BC305" s="217"/>
      <c r="BD305" s="217"/>
      <c r="BE305" s="217"/>
      <c r="BF305" s="217"/>
      <c r="BG305" s="217"/>
      <c r="BH305" s="217"/>
      <c r="BI305" s="217"/>
      <c r="BJ305" s="217"/>
      <c r="BK305" s="217"/>
      <c r="BL305" s="217"/>
      <c r="BM305" s="217"/>
      <c r="BN305" s="217"/>
      <c r="BO305" s="217"/>
      <c r="BP305" s="217"/>
      <c r="BQ305" s="217"/>
      <c r="BR305" s="217"/>
      <c r="BS305" s="217"/>
      <c r="BT305" s="217"/>
      <c r="BU305" s="217"/>
      <c r="BV305" s="217"/>
      <c r="BW305" s="217"/>
      <c r="BX305" s="217"/>
      <c r="BY305" s="217"/>
      <c r="BZ305" s="217"/>
      <c r="CA305" s="217"/>
      <c r="CB305" s="217"/>
      <c r="CC305" s="217"/>
      <c r="CD305" s="217"/>
      <c r="CE305" s="217"/>
      <c r="CF305" s="217"/>
      <c r="CG305" s="217"/>
      <c r="CH305" s="217"/>
      <c r="CI305" s="217"/>
      <c r="CJ305" s="217"/>
      <c r="CK305" s="217"/>
      <c r="CL305" s="217"/>
      <c r="CM305" s="217"/>
      <c r="CN305" s="217"/>
      <c r="CO305" s="217"/>
      <c r="CP305" s="217"/>
      <c r="CQ305" s="217"/>
      <c r="CR305" s="217"/>
      <c r="CS305" s="217"/>
      <c r="CT305" s="217"/>
      <c r="CU305" s="217"/>
      <c r="CV305" s="217"/>
      <c r="CW305" s="217"/>
      <c r="CX305" s="217"/>
      <c r="CY305" s="217"/>
      <c r="CZ305" s="217"/>
      <c r="DA305" s="217"/>
      <c r="DB305" s="217"/>
      <c r="DC305" s="217"/>
      <c r="DD305" s="217"/>
      <c r="DE305" s="217"/>
      <c r="DF305" s="217"/>
      <c r="DG305" s="217"/>
      <c r="DH305" s="217"/>
      <c r="DI305" s="217"/>
      <c r="DJ305" s="217"/>
      <c r="DK305" s="217"/>
      <c r="DL305" s="217"/>
      <c r="DM305" s="217"/>
      <c r="DN305" s="217"/>
      <c r="DO305" s="217"/>
      <c r="DP305" s="217"/>
      <c r="DQ305" s="217"/>
      <c r="DR305" s="217"/>
      <c r="DS305" s="217"/>
      <c r="DT305" s="217"/>
    </row>
    <row r="306" spans="1:124" x14ac:dyDescent="0.3">
      <c r="A306" s="217"/>
      <c r="B306" s="342" t="s">
        <v>221</v>
      </c>
      <c r="C306" s="345">
        <f t="shared" si="340"/>
        <v>0</v>
      </c>
      <c r="D306" s="346" t="str">
        <f>IF(D$260="","",D$262*VLOOKUP(D$260&amp;" (All)",'Default Values'!$B$162:$CD$181,MATCH($B306,'Default Values'!$B$101:$CD$101,0),0))</f>
        <v/>
      </c>
      <c r="E306" s="346" t="str">
        <f>IF(E$260="","",E$262*VLOOKUP(E$260&amp;" (All)",'Default Values'!$B$162:$CD$181,MATCH($B306,'Default Values'!$B$101:$CD$101,0),0))</f>
        <v/>
      </c>
      <c r="F306" s="346" t="str">
        <f>IF(F$260="","",F$262*VLOOKUP(F$260&amp;" (All)",'Default Values'!$B$162:$CD$181,MATCH($B306,'Default Values'!$B$101:$CD$101,0),0))</f>
        <v/>
      </c>
      <c r="G306" s="346" t="str">
        <f>IF(G$260="","",G$262*VLOOKUP(G$260&amp;" (All)",'Default Values'!$B$162:$CD$181,MATCH($B306,'Default Values'!$B$101:$CD$101,0),0))</f>
        <v/>
      </c>
      <c r="H306" s="346" t="str">
        <f>IF(H$260="","",H$262*VLOOKUP(H$260&amp;" (All)",'Default Values'!$B$162:$CD$181,MATCH($B306,'Default Values'!$B$101:$CD$101,0),0))</f>
        <v/>
      </c>
      <c r="I306" s="346" t="str">
        <f>IF(I$260="","",I$262*VLOOKUP(I$260&amp;" (All)",'Default Values'!$B$162:$CD$181,MATCH($B306,'Default Values'!$B$101:$CD$101,0),0))</f>
        <v/>
      </c>
      <c r="J306" s="346" t="str">
        <f>IF(J$260="","",J$262*VLOOKUP(J$260&amp;" (All)",'Default Values'!$B$162:$CD$181,MATCH($B306,'Default Values'!$B$101:$CD$101,0),0))</f>
        <v/>
      </c>
      <c r="K306" s="346" t="str">
        <f>IF(K$260="","",K$262*VLOOKUP(K$260&amp;" (All)",'Default Values'!$B$162:$CD$181,MATCH($B306,'Default Values'!$B$101:$CD$101,0),0))</f>
        <v/>
      </c>
      <c r="L306" s="346" t="str">
        <f>IF(L$260="","",L$262*VLOOKUP(L$260&amp;" (All)",'Default Values'!$B$162:$CD$181,MATCH($B306,'Default Values'!$B$101:$CD$101,0),0))</f>
        <v/>
      </c>
      <c r="M306" s="346" t="str">
        <f>IF(M$260="","",M$262*VLOOKUP(M$260&amp;" (All)",'Default Values'!$B$162:$CD$181,MATCH($B306,'Default Values'!$B$101:$CD$101,0),0))</f>
        <v/>
      </c>
      <c r="N306" s="346" t="str">
        <f>IF(N$260="","",N$262*VLOOKUP(N$260&amp;" (All)",'Default Values'!$B$162:$CD$181,MATCH($B306,'Default Values'!$B$101:$CD$101,0),0))</f>
        <v/>
      </c>
      <c r="O306" s="346" t="str">
        <f>IF(O$260="","",O$262*VLOOKUP(O$260&amp;" (All)",'Default Values'!$B$162:$CD$181,MATCH($B306,'Default Values'!$B$101:$CD$101,0),0))</f>
        <v/>
      </c>
      <c r="P306" s="346" t="str">
        <f>IF(P$260="","",P$262*VLOOKUP(P$260&amp;" (All)",'Default Values'!$B$162:$CD$181,MATCH($B306,'Default Values'!$B$101:$CD$101,0),0))</f>
        <v/>
      </c>
      <c r="Q306" s="346" t="str">
        <f>IF(Q$260="","",Q$262*VLOOKUP(Q$260&amp;" (All)",'Default Values'!$B$162:$CD$181,MATCH($B306,'Default Values'!$B$101:$CD$101,0),0))</f>
        <v/>
      </c>
      <c r="R306" s="346" t="str">
        <f>IF(R$260="","",R$262*VLOOKUP(R$260&amp;" (All)",'Default Values'!$B$162:$CD$181,MATCH($B306,'Default Values'!$B$101:$CD$101,0),0))</f>
        <v/>
      </c>
      <c r="S306" s="346" t="str">
        <f>IF(S$260="","",S$262*VLOOKUP(S$260&amp;" (All)",'Default Values'!$B$162:$CD$181,MATCH($B306,'Default Values'!$B$101:$CD$101,0),0))</f>
        <v/>
      </c>
      <c r="T306" s="346" t="str">
        <f>IF(T$260="","",T$262*VLOOKUP(T$260&amp;" (All)",'Default Values'!$B$162:$CD$181,MATCH($B306,'Default Values'!$B$101:$CD$101,0),0))</f>
        <v/>
      </c>
      <c r="U306" s="346" t="str">
        <f>IF(U$260="","",U$262*VLOOKUP(U$260&amp;" (All)",'Default Values'!$B$162:$CD$181,MATCH($B306,'Default Values'!$B$101:$CD$101,0),0))</f>
        <v/>
      </c>
      <c r="V306" s="346" t="str">
        <f>IF(V$260="","",V$262*VLOOKUP(V$260&amp;" (All)",'Default Values'!$B$162:$CD$181,MATCH($B306,'Default Values'!$B$101:$CD$101,0),0))</f>
        <v/>
      </c>
      <c r="W306" s="346" t="str">
        <f>IF(W$260="","",W$262*VLOOKUP(W$260&amp;" (All)",'Default Values'!$B$162:$CD$181,MATCH($B306,'Default Values'!$B$101:$CD$101,0),0))</f>
        <v/>
      </c>
      <c r="X306" s="346" t="str">
        <f>IF(X$260="","",X$262*VLOOKUP(X$260&amp;" (All)",'Default Values'!$B$162:$CD$181,MATCH($B306,'Default Values'!$B$101:$CD$101,0),0))</f>
        <v/>
      </c>
      <c r="Y306" s="346" t="str">
        <f>IF(Y$260="","",Y$262*VLOOKUP(Y$260&amp;" (All)",'Default Values'!$B$162:$CD$181,MATCH($B306,'Default Values'!$B$101:$CD$101,0),0))</f>
        <v/>
      </c>
      <c r="Z306" s="346" t="str">
        <f>IF(Z$260="","",Z$262*VLOOKUP(Z$260&amp;" (All)",'Default Values'!$B$162:$CD$181,MATCH($B306,'Default Values'!$B$101:$CD$101,0),0))</f>
        <v/>
      </c>
      <c r="AA306" s="346" t="str">
        <f>IF(AA$260="","",AA$262*VLOOKUP(AA$260&amp;" (All)",'Default Values'!$B$162:$CD$181,MATCH($B306,'Default Values'!$B$101:$CD$101,0),0))</f>
        <v/>
      </c>
      <c r="AB306" s="346" t="str">
        <f>IF(AB$260="","",AB$262*VLOOKUP(AB$260&amp;" (All)",'Default Values'!$B$162:$CD$181,MATCH($B306,'Default Values'!$B$101:$CD$101,0),0))</f>
        <v/>
      </c>
      <c r="AC306" s="346" t="str">
        <f>IF(AC$260="","",AC$262*VLOOKUP(AC$260&amp;" (All)",'Default Values'!$B$162:$CD$181,MATCH($B306,'Default Values'!$B$101:$CD$101,0),0))</f>
        <v/>
      </c>
      <c r="AD306" s="346" t="str">
        <f>IF(AD$260="","",AD$262*VLOOKUP(AD$260&amp;" (All)",'Default Values'!$B$162:$CD$181,MATCH($B306,'Default Values'!$B$101:$CD$101,0),0))</f>
        <v/>
      </c>
      <c r="AE306" s="346" t="str">
        <f>IF(AE$260="","",AE$262*VLOOKUP(AE$260&amp;" (All)",'Default Values'!$B$162:$CD$181,MATCH($B306,'Default Values'!$B$101:$CD$101,0),0))</f>
        <v/>
      </c>
      <c r="AF306" s="346" t="str">
        <f>IF(AF$260="","",AF$262*VLOOKUP(AF$260&amp;" (All)",'Default Values'!$B$162:$CD$181,MATCH($B306,'Default Values'!$B$101:$CD$101,0),0))</f>
        <v/>
      </c>
      <c r="AG306" s="346" t="str">
        <f>IF(AG$260="","",AG$262*VLOOKUP(AG$260&amp;" (All)",'Default Values'!$B$162:$CD$181,MATCH($B306,'Default Values'!$B$101:$CD$101,0),0))</f>
        <v/>
      </c>
      <c r="AH306" s="346" t="str">
        <f>IF(AH$260="","",AH$262*VLOOKUP(AH$260&amp;" (All)",'Default Values'!$B$162:$CD$181,MATCH($B306,'Default Values'!$B$101:$CD$101,0),0))</f>
        <v/>
      </c>
      <c r="AI306" s="346" t="str">
        <f>IF(AI$260="","",AI$262*VLOOKUP(AI$260&amp;" (All)",'Default Values'!$B$162:$CD$181,MATCH($B306,'Default Values'!$B$101:$CD$101,0),0))</f>
        <v/>
      </c>
      <c r="AJ306" s="346" t="str">
        <f>IF(AJ$260="","",AJ$262*VLOOKUP(AJ$260&amp;" (All)",'Default Values'!$B$162:$CD$181,MATCH($B306,'Default Values'!$B$101:$CD$101,0),0))</f>
        <v/>
      </c>
      <c r="AK306" s="346" t="str">
        <f>IF(AK$260="","",AK$262*VLOOKUP(AK$260&amp;" (All)",'Default Values'!$B$162:$CD$181,MATCH($B306,'Default Values'!$B$101:$CD$101,0),0))</f>
        <v/>
      </c>
      <c r="AL306" s="346" t="str">
        <f>IF(AL$260="","",AL$262*VLOOKUP(AL$260&amp;" (All)",'Default Values'!$B$162:$CD$181,MATCH($B306,'Default Values'!$B$101:$CD$101,0),0))</f>
        <v/>
      </c>
      <c r="AM306" s="346" t="str">
        <f>IF(AM$260="","",AM$262*VLOOKUP(AM$260&amp;" (All)",'Default Values'!$B$162:$CD$181,MATCH($B306,'Default Values'!$B$101:$CD$101,0),0))</f>
        <v/>
      </c>
      <c r="AN306" s="346" t="str">
        <f>IF(AN$260="","",AN$262*VLOOKUP(AN$260&amp;" (All)",'Default Values'!$B$162:$CD$181,MATCH($B306,'Default Values'!$B$101:$CD$101,0),0))</f>
        <v/>
      </c>
      <c r="AO306" s="346" t="str">
        <f>IF(AO$260="","",AO$262*VLOOKUP(AO$260&amp;" (All)",'Default Values'!$B$162:$CD$181,MATCH($B306,'Default Values'!$B$101:$CD$101,0),0))</f>
        <v/>
      </c>
      <c r="AP306" s="346" t="str">
        <f>IF(AP$260="","",AP$262*VLOOKUP(AP$260&amp;" (All)",'Default Values'!$B$162:$CD$181,MATCH($B306,'Default Values'!$B$101:$CD$101,0),0))</f>
        <v/>
      </c>
      <c r="AQ306" s="346" t="str">
        <f>IF(AQ$260="","",AQ$262*VLOOKUP(AQ$260&amp;" (All)",'Default Values'!$B$162:$CD$181,MATCH($B306,'Default Values'!$B$101:$CD$101,0),0))</f>
        <v/>
      </c>
      <c r="AR306" s="346">
        <f>IF(AR$260="","",AR$262*VLOOKUP(AR$260&amp;" (All)",'Default Values'!$B$162:$CD$181,MATCH($B306,'Default Values'!$B$101:$CD$101,0),0))</f>
        <v>0</v>
      </c>
      <c r="AS306" s="217"/>
      <c r="AT306" s="217"/>
      <c r="AU306" s="217"/>
      <c r="AV306" s="217"/>
      <c r="AW306" s="217"/>
      <c r="AX306" s="217"/>
      <c r="AY306" s="217"/>
      <c r="AZ306" s="217"/>
      <c r="BA306" s="217"/>
      <c r="BB306" s="217"/>
      <c r="BC306" s="217"/>
      <c r="BD306" s="217"/>
      <c r="BE306" s="217"/>
      <c r="BF306" s="217"/>
      <c r="BG306" s="217"/>
      <c r="BH306" s="217"/>
      <c r="BI306" s="217"/>
      <c r="BJ306" s="217"/>
      <c r="BK306" s="217"/>
      <c r="BL306" s="217"/>
      <c r="BM306" s="217"/>
      <c r="BN306" s="217"/>
      <c r="BO306" s="217"/>
      <c r="BP306" s="217"/>
      <c r="BQ306" s="217"/>
      <c r="BR306" s="217"/>
      <c r="BS306" s="217"/>
      <c r="BT306" s="217"/>
      <c r="BU306" s="217"/>
      <c r="BV306" s="217"/>
      <c r="BW306" s="217"/>
      <c r="BX306" s="217"/>
      <c r="BY306" s="217"/>
      <c r="BZ306" s="217"/>
      <c r="CA306" s="217"/>
      <c r="CB306" s="217"/>
      <c r="CC306" s="217"/>
      <c r="CD306" s="217"/>
      <c r="CE306" s="217"/>
      <c r="CF306" s="217"/>
      <c r="CG306" s="217"/>
      <c r="CH306" s="217"/>
      <c r="CI306" s="217"/>
      <c r="CJ306" s="217"/>
      <c r="CK306" s="217"/>
      <c r="CL306" s="217"/>
      <c r="CM306" s="217"/>
      <c r="CN306" s="217"/>
      <c r="CO306" s="217"/>
      <c r="CP306" s="217"/>
      <c r="CQ306" s="217"/>
      <c r="CR306" s="217"/>
      <c r="CS306" s="217"/>
      <c r="CT306" s="217"/>
      <c r="CU306" s="217"/>
      <c r="CV306" s="217"/>
      <c r="CW306" s="217"/>
      <c r="CX306" s="217"/>
      <c r="CY306" s="217"/>
      <c r="CZ306" s="217"/>
      <c r="DA306" s="217"/>
      <c r="DB306" s="217"/>
      <c r="DC306" s="217"/>
      <c r="DD306" s="217"/>
      <c r="DE306" s="217"/>
      <c r="DF306" s="217"/>
      <c r="DG306" s="217"/>
      <c r="DH306" s="217"/>
      <c r="DI306" s="217"/>
      <c r="DJ306" s="217"/>
      <c r="DK306" s="217"/>
      <c r="DL306" s="217"/>
      <c r="DM306" s="217"/>
      <c r="DN306" s="217"/>
      <c r="DO306" s="217"/>
      <c r="DP306" s="217"/>
      <c r="DQ306" s="217"/>
      <c r="DR306" s="217"/>
      <c r="DS306" s="217"/>
      <c r="DT306" s="217"/>
    </row>
    <row r="307" spans="1:124" x14ac:dyDescent="0.3">
      <c r="A307" s="217"/>
      <c r="B307" s="342" t="s">
        <v>223</v>
      </c>
      <c r="C307" s="345">
        <f t="shared" si="340"/>
        <v>0</v>
      </c>
      <c r="D307" s="346" t="str">
        <f>IF(D$260="","",D$262*VLOOKUP(D$260&amp;" (All)",'Default Values'!$B$162:$CD$181,MATCH($B307,'Default Values'!$B$101:$CD$101,0),0))</f>
        <v/>
      </c>
      <c r="E307" s="346" t="str">
        <f>IF(E$260="","",E$262*VLOOKUP(E$260&amp;" (All)",'Default Values'!$B$162:$CD$181,MATCH($B307,'Default Values'!$B$101:$CD$101,0),0))</f>
        <v/>
      </c>
      <c r="F307" s="346" t="str">
        <f>IF(F$260="","",F$262*VLOOKUP(F$260&amp;" (All)",'Default Values'!$B$162:$CD$181,MATCH($B307,'Default Values'!$B$101:$CD$101,0),0))</f>
        <v/>
      </c>
      <c r="G307" s="346" t="str">
        <f>IF(G$260="","",G$262*VLOOKUP(G$260&amp;" (All)",'Default Values'!$B$162:$CD$181,MATCH($B307,'Default Values'!$B$101:$CD$101,0),0))</f>
        <v/>
      </c>
      <c r="H307" s="346" t="str">
        <f>IF(H$260="","",H$262*VLOOKUP(H$260&amp;" (All)",'Default Values'!$B$162:$CD$181,MATCH($B307,'Default Values'!$B$101:$CD$101,0),0))</f>
        <v/>
      </c>
      <c r="I307" s="346" t="str">
        <f>IF(I$260="","",I$262*VLOOKUP(I$260&amp;" (All)",'Default Values'!$B$162:$CD$181,MATCH($B307,'Default Values'!$B$101:$CD$101,0),0))</f>
        <v/>
      </c>
      <c r="J307" s="346" t="str">
        <f>IF(J$260="","",J$262*VLOOKUP(J$260&amp;" (All)",'Default Values'!$B$162:$CD$181,MATCH($B307,'Default Values'!$B$101:$CD$101,0),0))</f>
        <v/>
      </c>
      <c r="K307" s="346" t="str">
        <f>IF(K$260="","",K$262*VLOOKUP(K$260&amp;" (All)",'Default Values'!$B$162:$CD$181,MATCH($B307,'Default Values'!$B$101:$CD$101,0),0))</f>
        <v/>
      </c>
      <c r="L307" s="346" t="str">
        <f>IF(L$260="","",L$262*VLOOKUP(L$260&amp;" (All)",'Default Values'!$B$162:$CD$181,MATCH($B307,'Default Values'!$B$101:$CD$101,0),0))</f>
        <v/>
      </c>
      <c r="M307" s="346" t="str">
        <f>IF(M$260="","",M$262*VLOOKUP(M$260&amp;" (All)",'Default Values'!$B$162:$CD$181,MATCH($B307,'Default Values'!$B$101:$CD$101,0),0))</f>
        <v/>
      </c>
      <c r="N307" s="346" t="str">
        <f>IF(N$260="","",N$262*VLOOKUP(N$260&amp;" (All)",'Default Values'!$B$162:$CD$181,MATCH($B307,'Default Values'!$B$101:$CD$101,0),0))</f>
        <v/>
      </c>
      <c r="O307" s="346" t="str">
        <f>IF(O$260="","",O$262*VLOOKUP(O$260&amp;" (All)",'Default Values'!$B$162:$CD$181,MATCH($B307,'Default Values'!$B$101:$CD$101,0),0))</f>
        <v/>
      </c>
      <c r="P307" s="346" t="str">
        <f>IF(P$260="","",P$262*VLOOKUP(P$260&amp;" (All)",'Default Values'!$B$162:$CD$181,MATCH($B307,'Default Values'!$B$101:$CD$101,0),0))</f>
        <v/>
      </c>
      <c r="Q307" s="346" t="str">
        <f>IF(Q$260="","",Q$262*VLOOKUP(Q$260&amp;" (All)",'Default Values'!$B$162:$CD$181,MATCH($B307,'Default Values'!$B$101:$CD$101,0),0))</f>
        <v/>
      </c>
      <c r="R307" s="346" t="str">
        <f>IF(R$260="","",R$262*VLOOKUP(R$260&amp;" (All)",'Default Values'!$B$162:$CD$181,MATCH($B307,'Default Values'!$B$101:$CD$101,0),0))</f>
        <v/>
      </c>
      <c r="S307" s="346" t="str">
        <f>IF(S$260="","",S$262*VLOOKUP(S$260&amp;" (All)",'Default Values'!$B$162:$CD$181,MATCH($B307,'Default Values'!$B$101:$CD$101,0),0))</f>
        <v/>
      </c>
      <c r="T307" s="346" t="str">
        <f>IF(T$260="","",T$262*VLOOKUP(T$260&amp;" (All)",'Default Values'!$B$162:$CD$181,MATCH($B307,'Default Values'!$B$101:$CD$101,0),0))</f>
        <v/>
      </c>
      <c r="U307" s="346" t="str">
        <f>IF(U$260="","",U$262*VLOOKUP(U$260&amp;" (All)",'Default Values'!$B$162:$CD$181,MATCH($B307,'Default Values'!$B$101:$CD$101,0),0))</f>
        <v/>
      </c>
      <c r="V307" s="346" t="str">
        <f>IF(V$260="","",V$262*VLOOKUP(V$260&amp;" (All)",'Default Values'!$B$162:$CD$181,MATCH($B307,'Default Values'!$B$101:$CD$101,0),0))</f>
        <v/>
      </c>
      <c r="W307" s="346" t="str">
        <f>IF(W$260="","",W$262*VLOOKUP(W$260&amp;" (All)",'Default Values'!$B$162:$CD$181,MATCH($B307,'Default Values'!$B$101:$CD$101,0),0))</f>
        <v/>
      </c>
      <c r="X307" s="346" t="str">
        <f>IF(X$260="","",X$262*VLOOKUP(X$260&amp;" (All)",'Default Values'!$B$162:$CD$181,MATCH($B307,'Default Values'!$B$101:$CD$101,0),0))</f>
        <v/>
      </c>
      <c r="Y307" s="346" t="str">
        <f>IF(Y$260="","",Y$262*VLOOKUP(Y$260&amp;" (All)",'Default Values'!$B$162:$CD$181,MATCH($B307,'Default Values'!$B$101:$CD$101,0),0))</f>
        <v/>
      </c>
      <c r="Z307" s="346" t="str">
        <f>IF(Z$260="","",Z$262*VLOOKUP(Z$260&amp;" (All)",'Default Values'!$B$162:$CD$181,MATCH($B307,'Default Values'!$B$101:$CD$101,0),0))</f>
        <v/>
      </c>
      <c r="AA307" s="346" t="str">
        <f>IF(AA$260="","",AA$262*VLOOKUP(AA$260&amp;" (All)",'Default Values'!$B$162:$CD$181,MATCH($B307,'Default Values'!$B$101:$CD$101,0),0))</f>
        <v/>
      </c>
      <c r="AB307" s="346" t="str">
        <f>IF(AB$260="","",AB$262*VLOOKUP(AB$260&amp;" (All)",'Default Values'!$B$162:$CD$181,MATCH($B307,'Default Values'!$B$101:$CD$101,0),0))</f>
        <v/>
      </c>
      <c r="AC307" s="346" t="str">
        <f>IF(AC$260="","",AC$262*VLOOKUP(AC$260&amp;" (All)",'Default Values'!$B$162:$CD$181,MATCH($B307,'Default Values'!$B$101:$CD$101,0),0))</f>
        <v/>
      </c>
      <c r="AD307" s="346" t="str">
        <f>IF(AD$260="","",AD$262*VLOOKUP(AD$260&amp;" (All)",'Default Values'!$B$162:$CD$181,MATCH($B307,'Default Values'!$B$101:$CD$101,0),0))</f>
        <v/>
      </c>
      <c r="AE307" s="346" t="str">
        <f>IF(AE$260="","",AE$262*VLOOKUP(AE$260&amp;" (All)",'Default Values'!$B$162:$CD$181,MATCH($B307,'Default Values'!$B$101:$CD$101,0),0))</f>
        <v/>
      </c>
      <c r="AF307" s="346" t="str">
        <f>IF(AF$260="","",AF$262*VLOOKUP(AF$260&amp;" (All)",'Default Values'!$B$162:$CD$181,MATCH($B307,'Default Values'!$B$101:$CD$101,0),0))</f>
        <v/>
      </c>
      <c r="AG307" s="346" t="str">
        <f>IF(AG$260="","",AG$262*VLOOKUP(AG$260&amp;" (All)",'Default Values'!$B$162:$CD$181,MATCH($B307,'Default Values'!$B$101:$CD$101,0),0))</f>
        <v/>
      </c>
      <c r="AH307" s="346" t="str">
        <f>IF(AH$260="","",AH$262*VLOOKUP(AH$260&amp;" (All)",'Default Values'!$B$162:$CD$181,MATCH($B307,'Default Values'!$B$101:$CD$101,0),0))</f>
        <v/>
      </c>
      <c r="AI307" s="346" t="str">
        <f>IF(AI$260="","",AI$262*VLOOKUP(AI$260&amp;" (All)",'Default Values'!$B$162:$CD$181,MATCH($B307,'Default Values'!$B$101:$CD$101,0),0))</f>
        <v/>
      </c>
      <c r="AJ307" s="346" t="str">
        <f>IF(AJ$260="","",AJ$262*VLOOKUP(AJ$260&amp;" (All)",'Default Values'!$B$162:$CD$181,MATCH($B307,'Default Values'!$B$101:$CD$101,0),0))</f>
        <v/>
      </c>
      <c r="AK307" s="346" t="str">
        <f>IF(AK$260="","",AK$262*VLOOKUP(AK$260&amp;" (All)",'Default Values'!$B$162:$CD$181,MATCH($B307,'Default Values'!$B$101:$CD$101,0),0))</f>
        <v/>
      </c>
      <c r="AL307" s="346" t="str">
        <f>IF(AL$260="","",AL$262*VLOOKUP(AL$260&amp;" (All)",'Default Values'!$B$162:$CD$181,MATCH($B307,'Default Values'!$B$101:$CD$101,0),0))</f>
        <v/>
      </c>
      <c r="AM307" s="346" t="str">
        <f>IF(AM$260="","",AM$262*VLOOKUP(AM$260&amp;" (All)",'Default Values'!$B$162:$CD$181,MATCH($B307,'Default Values'!$B$101:$CD$101,0),0))</f>
        <v/>
      </c>
      <c r="AN307" s="346" t="str">
        <f>IF(AN$260="","",AN$262*VLOOKUP(AN$260&amp;" (All)",'Default Values'!$B$162:$CD$181,MATCH($B307,'Default Values'!$B$101:$CD$101,0),0))</f>
        <v/>
      </c>
      <c r="AO307" s="346" t="str">
        <f>IF(AO$260="","",AO$262*VLOOKUP(AO$260&amp;" (All)",'Default Values'!$B$162:$CD$181,MATCH($B307,'Default Values'!$B$101:$CD$101,0),0))</f>
        <v/>
      </c>
      <c r="AP307" s="346" t="str">
        <f>IF(AP$260="","",AP$262*VLOOKUP(AP$260&amp;" (All)",'Default Values'!$B$162:$CD$181,MATCH($B307,'Default Values'!$B$101:$CD$101,0),0))</f>
        <v/>
      </c>
      <c r="AQ307" s="346" t="str">
        <f>IF(AQ$260="","",AQ$262*VLOOKUP(AQ$260&amp;" (All)",'Default Values'!$B$162:$CD$181,MATCH($B307,'Default Values'!$B$101:$CD$101,0),0))</f>
        <v/>
      </c>
      <c r="AR307" s="346">
        <f>IF(AR$260="","",AR$262*VLOOKUP(AR$260&amp;" (All)",'Default Values'!$B$162:$CD$181,MATCH($B307,'Default Values'!$B$101:$CD$101,0),0))</f>
        <v>0</v>
      </c>
      <c r="AS307" s="217"/>
      <c r="AT307" s="217"/>
      <c r="AU307" s="217"/>
      <c r="AV307" s="217"/>
      <c r="AW307" s="217"/>
      <c r="AX307" s="217"/>
      <c r="AY307" s="217"/>
      <c r="AZ307" s="217"/>
      <c r="BA307" s="217"/>
      <c r="BB307" s="217"/>
      <c r="BC307" s="217"/>
      <c r="BD307" s="217"/>
      <c r="BE307" s="217"/>
      <c r="BF307" s="217"/>
      <c r="BG307" s="217"/>
      <c r="BH307" s="217"/>
      <c r="BI307" s="217"/>
      <c r="BJ307" s="217"/>
      <c r="BK307" s="217"/>
      <c r="BL307" s="217"/>
      <c r="BM307" s="217"/>
      <c r="BN307" s="217"/>
      <c r="BO307" s="217"/>
      <c r="BP307" s="217"/>
      <c r="BQ307" s="217"/>
      <c r="BR307" s="217"/>
      <c r="BS307" s="217"/>
      <c r="BT307" s="217"/>
      <c r="BU307" s="217"/>
      <c r="BV307" s="217"/>
      <c r="BW307" s="217"/>
      <c r="BX307" s="217"/>
      <c r="BY307" s="217"/>
      <c r="BZ307" s="217"/>
      <c r="CA307" s="217"/>
      <c r="CB307" s="217"/>
      <c r="CC307" s="217"/>
      <c r="CD307" s="217"/>
      <c r="CE307" s="217"/>
      <c r="CF307" s="217"/>
      <c r="CG307" s="217"/>
      <c r="CH307" s="217"/>
      <c r="CI307" s="217"/>
      <c r="CJ307" s="217"/>
      <c r="CK307" s="217"/>
      <c r="CL307" s="217"/>
      <c r="CM307" s="217"/>
      <c r="CN307" s="217"/>
      <c r="CO307" s="217"/>
      <c r="CP307" s="217"/>
      <c r="CQ307" s="217"/>
      <c r="CR307" s="217"/>
      <c r="CS307" s="217"/>
      <c r="CT307" s="217"/>
      <c r="CU307" s="217"/>
      <c r="CV307" s="217"/>
      <c r="CW307" s="217"/>
      <c r="CX307" s="217"/>
      <c r="CY307" s="217"/>
      <c r="CZ307" s="217"/>
      <c r="DA307" s="217"/>
      <c r="DB307" s="217"/>
      <c r="DC307" s="217"/>
      <c r="DD307" s="217"/>
      <c r="DE307" s="217"/>
      <c r="DF307" s="217"/>
      <c r="DG307" s="217"/>
      <c r="DH307" s="217"/>
      <c r="DI307" s="217"/>
      <c r="DJ307" s="217"/>
      <c r="DK307" s="217"/>
      <c r="DL307" s="217"/>
      <c r="DM307" s="217"/>
      <c r="DN307" s="217"/>
      <c r="DO307" s="217"/>
      <c r="DP307" s="217"/>
      <c r="DQ307" s="217"/>
      <c r="DR307" s="217"/>
      <c r="DS307" s="217"/>
      <c r="DT307" s="217"/>
    </row>
    <row r="308" spans="1:124" x14ac:dyDescent="0.3">
      <c r="A308" s="217"/>
      <c r="B308" s="342" t="s">
        <v>224</v>
      </c>
      <c r="C308" s="345">
        <f t="shared" si="340"/>
        <v>0</v>
      </c>
      <c r="D308" s="346" t="str">
        <f>IF(D$260="","",D$262*VLOOKUP(D$260&amp;" (All)",'Default Values'!$B$162:$CD$181,MATCH($B308,'Default Values'!$B$101:$CD$101,0),0))</f>
        <v/>
      </c>
      <c r="E308" s="346" t="str">
        <f>IF(E$260="","",E$262*VLOOKUP(E$260&amp;" (All)",'Default Values'!$B$162:$CD$181,MATCH($B308,'Default Values'!$B$101:$CD$101,0),0))</f>
        <v/>
      </c>
      <c r="F308" s="346" t="str">
        <f>IF(F$260="","",F$262*VLOOKUP(F$260&amp;" (All)",'Default Values'!$B$162:$CD$181,MATCH($B308,'Default Values'!$B$101:$CD$101,0),0))</f>
        <v/>
      </c>
      <c r="G308" s="346" t="str">
        <f>IF(G$260="","",G$262*VLOOKUP(G$260&amp;" (All)",'Default Values'!$B$162:$CD$181,MATCH($B308,'Default Values'!$B$101:$CD$101,0),0))</f>
        <v/>
      </c>
      <c r="H308" s="346" t="str">
        <f>IF(H$260="","",H$262*VLOOKUP(H$260&amp;" (All)",'Default Values'!$B$162:$CD$181,MATCH($B308,'Default Values'!$B$101:$CD$101,0),0))</f>
        <v/>
      </c>
      <c r="I308" s="346" t="str">
        <f>IF(I$260="","",I$262*VLOOKUP(I$260&amp;" (All)",'Default Values'!$B$162:$CD$181,MATCH($B308,'Default Values'!$B$101:$CD$101,0),0))</f>
        <v/>
      </c>
      <c r="J308" s="346" t="str">
        <f>IF(J$260="","",J$262*VLOOKUP(J$260&amp;" (All)",'Default Values'!$B$162:$CD$181,MATCH($B308,'Default Values'!$B$101:$CD$101,0),0))</f>
        <v/>
      </c>
      <c r="K308" s="346" t="str">
        <f>IF(K$260="","",K$262*VLOOKUP(K$260&amp;" (All)",'Default Values'!$B$162:$CD$181,MATCH($B308,'Default Values'!$B$101:$CD$101,0),0))</f>
        <v/>
      </c>
      <c r="L308" s="346" t="str">
        <f>IF(L$260="","",L$262*VLOOKUP(L$260&amp;" (All)",'Default Values'!$B$162:$CD$181,MATCH($B308,'Default Values'!$B$101:$CD$101,0),0))</f>
        <v/>
      </c>
      <c r="M308" s="346" t="str">
        <f>IF(M$260="","",M$262*VLOOKUP(M$260&amp;" (All)",'Default Values'!$B$162:$CD$181,MATCH($B308,'Default Values'!$B$101:$CD$101,0),0))</f>
        <v/>
      </c>
      <c r="N308" s="346" t="str">
        <f>IF(N$260="","",N$262*VLOOKUP(N$260&amp;" (All)",'Default Values'!$B$162:$CD$181,MATCH($B308,'Default Values'!$B$101:$CD$101,0),0))</f>
        <v/>
      </c>
      <c r="O308" s="346" t="str">
        <f>IF(O$260="","",O$262*VLOOKUP(O$260&amp;" (All)",'Default Values'!$B$162:$CD$181,MATCH($B308,'Default Values'!$B$101:$CD$101,0),0))</f>
        <v/>
      </c>
      <c r="P308" s="346" t="str">
        <f>IF(P$260="","",P$262*VLOOKUP(P$260&amp;" (All)",'Default Values'!$B$162:$CD$181,MATCH($B308,'Default Values'!$B$101:$CD$101,0),0))</f>
        <v/>
      </c>
      <c r="Q308" s="346" t="str">
        <f>IF(Q$260="","",Q$262*VLOOKUP(Q$260&amp;" (All)",'Default Values'!$B$162:$CD$181,MATCH($B308,'Default Values'!$B$101:$CD$101,0),0))</f>
        <v/>
      </c>
      <c r="R308" s="346" t="str">
        <f>IF(R$260="","",R$262*VLOOKUP(R$260&amp;" (All)",'Default Values'!$B$162:$CD$181,MATCH($B308,'Default Values'!$B$101:$CD$101,0),0))</f>
        <v/>
      </c>
      <c r="S308" s="346" t="str">
        <f>IF(S$260="","",S$262*VLOOKUP(S$260&amp;" (All)",'Default Values'!$B$162:$CD$181,MATCH($B308,'Default Values'!$B$101:$CD$101,0),0))</f>
        <v/>
      </c>
      <c r="T308" s="346" t="str">
        <f>IF(T$260="","",T$262*VLOOKUP(T$260&amp;" (All)",'Default Values'!$B$162:$CD$181,MATCH($B308,'Default Values'!$B$101:$CD$101,0),0))</f>
        <v/>
      </c>
      <c r="U308" s="346" t="str">
        <f>IF(U$260="","",U$262*VLOOKUP(U$260&amp;" (All)",'Default Values'!$B$162:$CD$181,MATCH($B308,'Default Values'!$B$101:$CD$101,0),0))</f>
        <v/>
      </c>
      <c r="V308" s="346" t="str">
        <f>IF(V$260="","",V$262*VLOOKUP(V$260&amp;" (All)",'Default Values'!$B$162:$CD$181,MATCH($B308,'Default Values'!$B$101:$CD$101,0),0))</f>
        <v/>
      </c>
      <c r="W308" s="346" t="str">
        <f>IF(W$260="","",W$262*VLOOKUP(W$260&amp;" (All)",'Default Values'!$B$162:$CD$181,MATCH($B308,'Default Values'!$B$101:$CD$101,0),0))</f>
        <v/>
      </c>
      <c r="X308" s="346" t="str">
        <f>IF(X$260="","",X$262*VLOOKUP(X$260&amp;" (All)",'Default Values'!$B$162:$CD$181,MATCH($B308,'Default Values'!$B$101:$CD$101,0),0))</f>
        <v/>
      </c>
      <c r="Y308" s="346" t="str">
        <f>IF(Y$260="","",Y$262*VLOOKUP(Y$260&amp;" (All)",'Default Values'!$B$162:$CD$181,MATCH($B308,'Default Values'!$B$101:$CD$101,0),0))</f>
        <v/>
      </c>
      <c r="Z308" s="346" t="str">
        <f>IF(Z$260="","",Z$262*VLOOKUP(Z$260&amp;" (All)",'Default Values'!$B$162:$CD$181,MATCH($B308,'Default Values'!$B$101:$CD$101,0),0))</f>
        <v/>
      </c>
      <c r="AA308" s="346" t="str">
        <f>IF(AA$260="","",AA$262*VLOOKUP(AA$260&amp;" (All)",'Default Values'!$B$162:$CD$181,MATCH($B308,'Default Values'!$B$101:$CD$101,0),0))</f>
        <v/>
      </c>
      <c r="AB308" s="346" t="str">
        <f>IF(AB$260="","",AB$262*VLOOKUP(AB$260&amp;" (All)",'Default Values'!$B$162:$CD$181,MATCH($B308,'Default Values'!$B$101:$CD$101,0),0))</f>
        <v/>
      </c>
      <c r="AC308" s="346" t="str">
        <f>IF(AC$260="","",AC$262*VLOOKUP(AC$260&amp;" (All)",'Default Values'!$B$162:$CD$181,MATCH($B308,'Default Values'!$B$101:$CD$101,0),0))</f>
        <v/>
      </c>
      <c r="AD308" s="346" t="str">
        <f>IF(AD$260="","",AD$262*VLOOKUP(AD$260&amp;" (All)",'Default Values'!$B$162:$CD$181,MATCH($B308,'Default Values'!$B$101:$CD$101,0),0))</f>
        <v/>
      </c>
      <c r="AE308" s="346" t="str">
        <f>IF(AE$260="","",AE$262*VLOOKUP(AE$260&amp;" (All)",'Default Values'!$B$162:$CD$181,MATCH($B308,'Default Values'!$B$101:$CD$101,0),0))</f>
        <v/>
      </c>
      <c r="AF308" s="346" t="str">
        <f>IF(AF$260="","",AF$262*VLOOKUP(AF$260&amp;" (All)",'Default Values'!$B$162:$CD$181,MATCH($B308,'Default Values'!$B$101:$CD$101,0),0))</f>
        <v/>
      </c>
      <c r="AG308" s="346" t="str">
        <f>IF(AG$260="","",AG$262*VLOOKUP(AG$260&amp;" (All)",'Default Values'!$B$162:$CD$181,MATCH($B308,'Default Values'!$B$101:$CD$101,0),0))</f>
        <v/>
      </c>
      <c r="AH308" s="346" t="str">
        <f>IF(AH$260="","",AH$262*VLOOKUP(AH$260&amp;" (All)",'Default Values'!$B$162:$CD$181,MATCH($B308,'Default Values'!$B$101:$CD$101,0),0))</f>
        <v/>
      </c>
      <c r="AI308" s="346" t="str">
        <f>IF(AI$260="","",AI$262*VLOOKUP(AI$260&amp;" (All)",'Default Values'!$B$162:$CD$181,MATCH($B308,'Default Values'!$B$101:$CD$101,0),0))</f>
        <v/>
      </c>
      <c r="AJ308" s="346" t="str">
        <f>IF(AJ$260="","",AJ$262*VLOOKUP(AJ$260&amp;" (All)",'Default Values'!$B$162:$CD$181,MATCH($B308,'Default Values'!$B$101:$CD$101,0),0))</f>
        <v/>
      </c>
      <c r="AK308" s="346" t="str">
        <f>IF(AK$260="","",AK$262*VLOOKUP(AK$260&amp;" (All)",'Default Values'!$B$162:$CD$181,MATCH($B308,'Default Values'!$B$101:$CD$101,0),0))</f>
        <v/>
      </c>
      <c r="AL308" s="346" t="str">
        <f>IF(AL$260="","",AL$262*VLOOKUP(AL$260&amp;" (All)",'Default Values'!$B$162:$CD$181,MATCH($B308,'Default Values'!$B$101:$CD$101,0),0))</f>
        <v/>
      </c>
      <c r="AM308" s="346" t="str">
        <f>IF(AM$260="","",AM$262*VLOOKUP(AM$260&amp;" (All)",'Default Values'!$B$162:$CD$181,MATCH($B308,'Default Values'!$B$101:$CD$101,0),0))</f>
        <v/>
      </c>
      <c r="AN308" s="346" t="str">
        <f>IF(AN$260="","",AN$262*VLOOKUP(AN$260&amp;" (All)",'Default Values'!$B$162:$CD$181,MATCH($B308,'Default Values'!$B$101:$CD$101,0),0))</f>
        <v/>
      </c>
      <c r="AO308" s="346" t="str">
        <f>IF(AO$260="","",AO$262*VLOOKUP(AO$260&amp;" (All)",'Default Values'!$B$162:$CD$181,MATCH($B308,'Default Values'!$B$101:$CD$101,0),0))</f>
        <v/>
      </c>
      <c r="AP308" s="346" t="str">
        <f>IF(AP$260="","",AP$262*VLOOKUP(AP$260&amp;" (All)",'Default Values'!$B$162:$CD$181,MATCH($B308,'Default Values'!$B$101:$CD$101,0),0))</f>
        <v/>
      </c>
      <c r="AQ308" s="346" t="str">
        <f>IF(AQ$260="","",AQ$262*VLOOKUP(AQ$260&amp;" (All)",'Default Values'!$B$162:$CD$181,MATCH($B308,'Default Values'!$B$101:$CD$101,0),0))</f>
        <v/>
      </c>
      <c r="AR308" s="346">
        <f>IF(AR$260="","",AR$262*VLOOKUP(AR$260&amp;" (All)",'Default Values'!$B$162:$CD$181,MATCH($B308,'Default Values'!$B$101:$CD$101,0),0))</f>
        <v>0</v>
      </c>
      <c r="AS308" s="217"/>
      <c r="AT308" s="217"/>
      <c r="AU308" s="217"/>
      <c r="AV308" s="217"/>
      <c r="AW308" s="217"/>
      <c r="AX308" s="217"/>
      <c r="AY308" s="217"/>
      <c r="AZ308" s="217"/>
      <c r="BA308" s="217"/>
      <c r="BB308" s="217"/>
      <c r="BC308" s="217"/>
      <c r="BD308" s="217"/>
      <c r="BE308" s="217"/>
      <c r="BF308" s="217"/>
      <c r="BG308" s="217"/>
      <c r="BH308" s="217"/>
      <c r="BI308" s="217"/>
      <c r="BJ308" s="217"/>
      <c r="BK308" s="217"/>
      <c r="BL308" s="217"/>
      <c r="BM308" s="217"/>
      <c r="BN308" s="217"/>
      <c r="BO308" s="217"/>
      <c r="BP308" s="217"/>
      <c r="BQ308" s="217"/>
      <c r="BR308" s="217"/>
      <c r="BS308" s="217"/>
      <c r="BT308" s="217"/>
      <c r="BU308" s="217"/>
      <c r="BV308" s="217"/>
      <c r="BW308" s="217"/>
      <c r="BX308" s="217"/>
      <c r="BY308" s="217"/>
      <c r="BZ308" s="217"/>
      <c r="CA308" s="217"/>
      <c r="CB308" s="217"/>
      <c r="CC308" s="217"/>
      <c r="CD308" s="217"/>
      <c r="CE308" s="217"/>
      <c r="CF308" s="217"/>
      <c r="CG308" s="217"/>
      <c r="CH308" s="217"/>
      <c r="CI308" s="217"/>
      <c r="CJ308" s="217"/>
      <c r="CK308" s="217"/>
      <c r="CL308" s="217"/>
      <c r="CM308" s="217"/>
      <c r="CN308" s="217"/>
      <c r="CO308" s="217"/>
      <c r="CP308" s="217"/>
      <c r="CQ308" s="217"/>
      <c r="CR308" s="217"/>
      <c r="CS308" s="217"/>
      <c r="CT308" s="217"/>
      <c r="CU308" s="217"/>
      <c r="CV308" s="217"/>
      <c r="CW308" s="217"/>
      <c r="CX308" s="217"/>
      <c r="CY308" s="217"/>
      <c r="CZ308" s="217"/>
      <c r="DA308" s="217"/>
      <c r="DB308" s="217"/>
      <c r="DC308" s="217"/>
      <c r="DD308" s="217"/>
      <c r="DE308" s="217"/>
      <c r="DF308" s="217"/>
      <c r="DG308" s="217"/>
      <c r="DH308" s="217"/>
      <c r="DI308" s="217"/>
      <c r="DJ308" s="217"/>
      <c r="DK308" s="217"/>
      <c r="DL308" s="217"/>
      <c r="DM308" s="217"/>
      <c r="DN308" s="217"/>
      <c r="DO308" s="217"/>
      <c r="DP308" s="217"/>
      <c r="DQ308" s="217"/>
      <c r="DR308" s="217"/>
      <c r="DS308" s="217"/>
      <c r="DT308" s="217"/>
    </row>
    <row r="309" spans="1:124" x14ac:dyDescent="0.3">
      <c r="A309" s="217"/>
      <c r="B309" s="342" t="s">
        <v>226</v>
      </c>
      <c r="C309" s="345">
        <f t="shared" si="340"/>
        <v>0</v>
      </c>
      <c r="D309" s="346" t="str">
        <f>IF(D$260="","",D$262*VLOOKUP(D$260&amp;" (All)",'Default Values'!$B$162:$CD$181,MATCH($B309,'Default Values'!$B$101:$CD$101,0),0))</f>
        <v/>
      </c>
      <c r="E309" s="346" t="str">
        <f>IF(E$260="","",E$262*VLOOKUP(E$260&amp;" (All)",'Default Values'!$B$162:$CD$181,MATCH($B309,'Default Values'!$B$101:$CD$101,0),0))</f>
        <v/>
      </c>
      <c r="F309" s="346" t="str">
        <f>IF(F$260="","",F$262*VLOOKUP(F$260&amp;" (All)",'Default Values'!$B$162:$CD$181,MATCH($B309,'Default Values'!$B$101:$CD$101,0),0))</f>
        <v/>
      </c>
      <c r="G309" s="346" t="str">
        <f>IF(G$260="","",G$262*VLOOKUP(G$260&amp;" (All)",'Default Values'!$B$162:$CD$181,MATCH($B309,'Default Values'!$B$101:$CD$101,0),0))</f>
        <v/>
      </c>
      <c r="H309" s="346" t="str">
        <f>IF(H$260="","",H$262*VLOOKUP(H$260&amp;" (All)",'Default Values'!$B$162:$CD$181,MATCH($B309,'Default Values'!$B$101:$CD$101,0),0))</f>
        <v/>
      </c>
      <c r="I309" s="346" t="str">
        <f>IF(I$260="","",I$262*VLOOKUP(I$260&amp;" (All)",'Default Values'!$B$162:$CD$181,MATCH($B309,'Default Values'!$B$101:$CD$101,0),0))</f>
        <v/>
      </c>
      <c r="J309" s="346" t="str">
        <f>IF(J$260="","",J$262*VLOOKUP(J$260&amp;" (All)",'Default Values'!$B$162:$CD$181,MATCH($B309,'Default Values'!$B$101:$CD$101,0),0))</f>
        <v/>
      </c>
      <c r="K309" s="346" t="str">
        <f>IF(K$260="","",K$262*VLOOKUP(K$260&amp;" (All)",'Default Values'!$B$162:$CD$181,MATCH($B309,'Default Values'!$B$101:$CD$101,0),0))</f>
        <v/>
      </c>
      <c r="L309" s="346" t="str">
        <f>IF(L$260="","",L$262*VLOOKUP(L$260&amp;" (All)",'Default Values'!$B$162:$CD$181,MATCH($B309,'Default Values'!$B$101:$CD$101,0),0))</f>
        <v/>
      </c>
      <c r="M309" s="346" t="str">
        <f>IF(M$260="","",M$262*VLOOKUP(M$260&amp;" (All)",'Default Values'!$B$162:$CD$181,MATCH($B309,'Default Values'!$B$101:$CD$101,0),0))</f>
        <v/>
      </c>
      <c r="N309" s="346" t="str">
        <f>IF(N$260="","",N$262*VLOOKUP(N$260&amp;" (All)",'Default Values'!$B$162:$CD$181,MATCH($B309,'Default Values'!$B$101:$CD$101,0),0))</f>
        <v/>
      </c>
      <c r="O309" s="346" t="str">
        <f>IF(O$260="","",O$262*VLOOKUP(O$260&amp;" (All)",'Default Values'!$B$162:$CD$181,MATCH($B309,'Default Values'!$B$101:$CD$101,0),0))</f>
        <v/>
      </c>
      <c r="P309" s="346" t="str">
        <f>IF(P$260="","",P$262*VLOOKUP(P$260&amp;" (All)",'Default Values'!$B$162:$CD$181,MATCH($B309,'Default Values'!$B$101:$CD$101,0),0))</f>
        <v/>
      </c>
      <c r="Q309" s="346" t="str">
        <f>IF(Q$260="","",Q$262*VLOOKUP(Q$260&amp;" (All)",'Default Values'!$B$162:$CD$181,MATCH($B309,'Default Values'!$B$101:$CD$101,0),0))</f>
        <v/>
      </c>
      <c r="R309" s="346" t="str">
        <f>IF(R$260="","",R$262*VLOOKUP(R$260&amp;" (All)",'Default Values'!$B$162:$CD$181,MATCH($B309,'Default Values'!$B$101:$CD$101,0),0))</f>
        <v/>
      </c>
      <c r="S309" s="346" t="str">
        <f>IF(S$260="","",S$262*VLOOKUP(S$260&amp;" (All)",'Default Values'!$B$162:$CD$181,MATCH($B309,'Default Values'!$B$101:$CD$101,0),0))</f>
        <v/>
      </c>
      <c r="T309" s="346" t="str">
        <f>IF(T$260="","",T$262*VLOOKUP(T$260&amp;" (All)",'Default Values'!$B$162:$CD$181,MATCH($B309,'Default Values'!$B$101:$CD$101,0),0))</f>
        <v/>
      </c>
      <c r="U309" s="346" t="str">
        <f>IF(U$260="","",U$262*VLOOKUP(U$260&amp;" (All)",'Default Values'!$B$162:$CD$181,MATCH($B309,'Default Values'!$B$101:$CD$101,0),0))</f>
        <v/>
      </c>
      <c r="V309" s="346" t="str">
        <f>IF(V$260="","",V$262*VLOOKUP(V$260&amp;" (All)",'Default Values'!$B$162:$CD$181,MATCH($B309,'Default Values'!$B$101:$CD$101,0),0))</f>
        <v/>
      </c>
      <c r="W309" s="346" t="str">
        <f>IF(W$260="","",W$262*VLOOKUP(W$260&amp;" (All)",'Default Values'!$B$162:$CD$181,MATCH($B309,'Default Values'!$B$101:$CD$101,0),0))</f>
        <v/>
      </c>
      <c r="X309" s="346" t="str">
        <f>IF(X$260="","",X$262*VLOOKUP(X$260&amp;" (All)",'Default Values'!$B$162:$CD$181,MATCH($B309,'Default Values'!$B$101:$CD$101,0),0))</f>
        <v/>
      </c>
      <c r="Y309" s="346" t="str">
        <f>IF(Y$260="","",Y$262*VLOOKUP(Y$260&amp;" (All)",'Default Values'!$B$162:$CD$181,MATCH($B309,'Default Values'!$B$101:$CD$101,0),0))</f>
        <v/>
      </c>
      <c r="Z309" s="346" t="str">
        <f>IF(Z$260="","",Z$262*VLOOKUP(Z$260&amp;" (All)",'Default Values'!$B$162:$CD$181,MATCH($B309,'Default Values'!$B$101:$CD$101,0),0))</f>
        <v/>
      </c>
      <c r="AA309" s="346" t="str">
        <f>IF(AA$260="","",AA$262*VLOOKUP(AA$260&amp;" (All)",'Default Values'!$B$162:$CD$181,MATCH($B309,'Default Values'!$B$101:$CD$101,0),0))</f>
        <v/>
      </c>
      <c r="AB309" s="346" t="str">
        <f>IF(AB$260="","",AB$262*VLOOKUP(AB$260&amp;" (All)",'Default Values'!$B$162:$CD$181,MATCH($B309,'Default Values'!$B$101:$CD$101,0),0))</f>
        <v/>
      </c>
      <c r="AC309" s="346" t="str">
        <f>IF(AC$260="","",AC$262*VLOOKUP(AC$260&amp;" (All)",'Default Values'!$B$162:$CD$181,MATCH($B309,'Default Values'!$B$101:$CD$101,0),0))</f>
        <v/>
      </c>
      <c r="AD309" s="346" t="str">
        <f>IF(AD$260="","",AD$262*VLOOKUP(AD$260&amp;" (All)",'Default Values'!$B$162:$CD$181,MATCH($B309,'Default Values'!$B$101:$CD$101,0),0))</f>
        <v/>
      </c>
      <c r="AE309" s="346" t="str">
        <f>IF(AE$260="","",AE$262*VLOOKUP(AE$260&amp;" (All)",'Default Values'!$B$162:$CD$181,MATCH($B309,'Default Values'!$B$101:$CD$101,0),0))</f>
        <v/>
      </c>
      <c r="AF309" s="346" t="str">
        <f>IF(AF$260="","",AF$262*VLOOKUP(AF$260&amp;" (All)",'Default Values'!$B$162:$CD$181,MATCH($B309,'Default Values'!$B$101:$CD$101,0),0))</f>
        <v/>
      </c>
      <c r="AG309" s="346" t="str">
        <f>IF(AG$260="","",AG$262*VLOOKUP(AG$260&amp;" (All)",'Default Values'!$B$162:$CD$181,MATCH($B309,'Default Values'!$B$101:$CD$101,0),0))</f>
        <v/>
      </c>
      <c r="AH309" s="346" t="str">
        <f>IF(AH$260="","",AH$262*VLOOKUP(AH$260&amp;" (All)",'Default Values'!$B$162:$CD$181,MATCH($B309,'Default Values'!$B$101:$CD$101,0),0))</f>
        <v/>
      </c>
      <c r="AI309" s="346" t="str">
        <f>IF(AI$260="","",AI$262*VLOOKUP(AI$260&amp;" (All)",'Default Values'!$B$162:$CD$181,MATCH($B309,'Default Values'!$B$101:$CD$101,0),0))</f>
        <v/>
      </c>
      <c r="AJ309" s="346" t="str">
        <f>IF(AJ$260="","",AJ$262*VLOOKUP(AJ$260&amp;" (All)",'Default Values'!$B$162:$CD$181,MATCH($B309,'Default Values'!$B$101:$CD$101,0),0))</f>
        <v/>
      </c>
      <c r="AK309" s="346" t="str">
        <f>IF(AK$260="","",AK$262*VLOOKUP(AK$260&amp;" (All)",'Default Values'!$B$162:$CD$181,MATCH($B309,'Default Values'!$B$101:$CD$101,0),0))</f>
        <v/>
      </c>
      <c r="AL309" s="346" t="str">
        <f>IF(AL$260="","",AL$262*VLOOKUP(AL$260&amp;" (All)",'Default Values'!$B$162:$CD$181,MATCH($B309,'Default Values'!$B$101:$CD$101,0),0))</f>
        <v/>
      </c>
      <c r="AM309" s="346" t="str">
        <f>IF(AM$260="","",AM$262*VLOOKUP(AM$260&amp;" (All)",'Default Values'!$B$162:$CD$181,MATCH($B309,'Default Values'!$B$101:$CD$101,0),0))</f>
        <v/>
      </c>
      <c r="AN309" s="346" t="str">
        <f>IF(AN$260="","",AN$262*VLOOKUP(AN$260&amp;" (All)",'Default Values'!$B$162:$CD$181,MATCH($B309,'Default Values'!$B$101:$CD$101,0),0))</f>
        <v/>
      </c>
      <c r="AO309" s="346" t="str">
        <f>IF(AO$260="","",AO$262*VLOOKUP(AO$260&amp;" (All)",'Default Values'!$B$162:$CD$181,MATCH($B309,'Default Values'!$B$101:$CD$101,0),0))</f>
        <v/>
      </c>
      <c r="AP309" s="346" t="str">
        <f>IF(AP$260="","",AP$262*VLOOKUP(AP$260&amp;" (All)",'Default Values'!$B$162:$CD$181,MATCH($B309,'Default Values'!$B$101:$CD$101,0),0))</f>
        <v/>
      </c>
      <c r="AQ309" s="346" t="str">
        <f>IF(AQ$260="","",AQ$262*VLOOKUP(AQ$260&amp;" (All)",'Default Values'!$B$162:$CD$181,MATCH($B309,'Default Values'!$B$101:$CD$101,0),0))</f>
        <v/>
      </c>
      <c r="AR309" s="346">
        <f>IF(AR$260="","",AR$262*VLOOKUP(AR$260&amp;" (All)",'Default Values'!$B$162:$CD$181,MATCH($B309,'Default Values'!$B$101:$CD$101,0),0))</f>
        <v>0</v>
      </c>
      <c r="AS309" s="217"/>
      <c r="AT309" s="217"/>
      <c r="AU309" s="217"/>
      <c r="AV309" s="217"/>
      <c r="AW309" s="217"/>
      <c r="AX309" s="217"/>
      <c r="AY309" s="217"/>
      <c r="AZ309" s="217"/>
      <c r="BA309" s="217"/>
      <c r="BB309" s="217"/>
      <c r="BC309" s="217"/>
      <c r="BD309" s="217"/>
      <c r="BE309" s="217"/>
      <c r="BF309" s="217"/>
      <c r="BG309" s="217"/>
      <c r="BH309" s="217"/>
      <c r="BI309" s="217"/>
      <c r="BJ309" s="217"/>
      <c r="BK309" s="217"/>
      <c r="BL309" s="217"/>
      <c r="BM309" s="217"/>
      <c r="BN309" s="217"/>
      <c r="BO309" s="217"/>
      <c r="BP309" s="217"/>
      <c r="BQ309" s="217"/>
      <c r="BR309" s="217"/>
      <c r="BS309" s="217"/>
      <c r="BT309" s="217"/>
      <c r="BU309" s="217"/>
      <c r="BV309" s="217"/>
      <c r="BW309" s="217"/>
      <c r="BX309" s="217"/>
      <c r="BY309" s="217"/>
      <c r="BZ309" s="217"/>
      <c r="CA309" s="217"/>
      <c r="CB309" s="217"/>
      <c r="CC309" s="217"/>
      <c r="CD309" s="217"/>
      <c r="CE309" s="217"/>
      <c r="CF309" s="217"/>
      <c r="CG309" s="217"/>
      <c r="CH309" s="217"/>
      <c r="CI309" s="217"/>
      <c r="CJ309" s="217"/>
      <c r="CK309" s="217"/>
      <c r="CL309" s="217"/>
      <c r="CM309" s="217"/>
      <c r="CN309" s="217"/>
      <c r="CO309" s="217"/>
      <c r="CP309" s="217"/>
      <c r="CQ309" s="217"/>
      <c r="CR309" s="217"/>
      <c r="CS309" s="217"/>
      <c r="CT309" s="217"/>
      <c r="CU309" s="217"/>
      <c r="CV309" s="217"/>
      <c r="CW309" s="217"/>
      <c r="CX309" s="217"/>
      <c r="CY309" s="217"/>
      <c r="CZ309" s="217"/>
      <c r="DA309" s="217"/>
      <c r="DB309" s="217"/>
      <c r="DC309" s="217"/>
      <c r="DD309" s="217"/>
      <c r="DE309" s="217"/>
      <c r="DF309" s="217"/>
      <c r="DG309" s="217"/>
      <c r="DH309" s="217"/>
      <c r="DI309" s="217"/>
      <c r="DJ309" s="217"/>
      <c r="DK309" s="217"/>
      <c r="DL309" s="217"/>
      <c r="DM309" s="217"/>
      <c r="DN309" s="217"/>
      <c r="DO309" s="217"/>
      <c r="DP309" s="217"/>
      <c r="DQ309" s="217"/>
      <c r="DR309" s="217"/>
      <c r="DS309" s="217"/>
      <c r="DT309" s="217"/>
    </row>
    <row r="310" spans="1:124" x14ac:dyDescent="0.3">
      <c r="A310" s="217"/>
      <c r="B310" s="342" t="s">
        <v>228</v>
      </c>
      <c r="C310" s="345">
        <f t="shared" si="340"/>
        <v>0</v>
      </c>
      <c r="D310" s="346" t="str">
        <f>IF(D$260="","",D$262*VLOOKUP(D$260&amp;" (All)",'Default Values'!$B$162:$CD$181,MATCH($B310,'Default Values'!$B$101:$CD$101,0),0))</f>
        <v/>
      </c>
      <c r="E310" s="346" t="str">
        <f>IF(E$260="","",E$262*VLOOKUP(E$260&amp;" (All)",'Default Values'!$B$162:$CD$181,MATCH($B310,'Default Values'!$B$101:$CD$101,0),0))</f>
        <v/>
      </c>
      <c r="F310" s="346" t="str">
        <f>IF(F$260="","",F$262*VLOOKUP(F$260&amp;" (All)",'Default Values'!$B$162:$CD$181,MATCH($B310,'Default Values'!$B$101:$CD$101,0),0))</f>
        <v/>
      </c>
      <c r="G310" s="346" t="str">
        <f>IF(G$260="","",G$262*VLOOKUP(G$260&amp;" (All)",'Default Values'!$B$162:$CD$181,MATCH($B310,'Default Values'!$B$101:$CD$101,0),0))</f>
        <v/>
      </c>
      <c r="H310" s="346" t="str">
        <f>IF(H$260="","",H$262*VLOOKUP(H$260&amp;" (All)",'Default Values'!$B$162:$CD$181,MATCH($B310,'Default Values'!$B$101:$CD$101,0),0))</f>
        <v/>
      </c>
      <c r="I310" s="346" t="str">
        <f>IF(I$260="","",I$262*VLOOKUP(I$260&amp;" (All)",'Default Values'!$B$162:$CD$181,MATCH($B310,'Default Values'!$B$101:$CD$101,0),0))</f>
        <v/>
      </c>
      <c r="J310" s="346" t="str">
        <f>IF(J$260="","",J$262*VLOOKUP(J$260&amp;" (All)",'Default Values'!$B$162:$CD$181,MATCH($B310,'Default Values'!$B$101:$CD$101,0),0))</f>
        <v/>
      </c>
      <c r="K310" s="346" t="str">
        <f>IF(K$260="","",K$262*VLOOKUP(K$260&amp;" (All)",'Default Values'!$B$162:$CD$181,MATCH($B310,'Default Values'!$B$101:$CD$101,0),0))</f>
        <v/>
      </c>
      <c r="L310" s="346" t="str">
        <f>IF(L$260="","",L$262*VLOOKUP(L$260&amp;" (All)",'Default Values'!$B$162:$CD$181,MATCH($B310,'Default Values'!$B$101:$CD$101,0),0))</f>
        <v/>
      </c>
      <c r="M310" s="346" t="str">
        <f>IF(M$260="","",M$262*VLOOKUP(M$260&amp;" (All)",'Default Values'!$B$162:$CD$181,MATCH($B310,'Default Values'!$B$101:$CD$101,0),0))</f>
        <v/>
      </c>
      <c r="N310" s="346" t="str">
        <f>IF(N$260="","",N$262*VLOOKUP(N$260&amp;" (All)",'Default Values'!$B$162:$CD$181,MATCH($B310,'Default Values'!$B$101:$CD$101,0),0))</f>
        <v/>
      </c>
      <c r="O310" s="346" t="str">
        <f>IF(O$260="","",O$262*VLOOKUP(O$260&amp;" (All)",'Default Values'!$B$162:$CD$181,MATCH($B310,'Default Values'!$B$101:$CD$101,0),0))</f>
        <v/>
      </c>
      <c r="P310" s="346" t="str">
        <f>IF(P$260="","",P$262*VLOOKUP(P$260&amp;" (All)",'Default Values'!$B$162:$CD$181,MATCH($B310,'Default Values'!$B$101:$CD$101,0),0))</f>
        <v/>
      </c>
      <c r="Q310" s="346" t="str">
        <f>IF(Q$260="","",Q$262*VLOOKUP(Q$260&amp;" (All)",'Default Values'!$B$162:$CD$181,MATCH($B310,'Default Values'!$B$101:$CD$101,0),0))</f>
        <v/>
      </c>
      <c r="R310" s="346" t="str">
        <f>IF(R$260="","",R$262*VLOOKUP(R$260&amp;" (All)",'Default Values'!$B$162:$CD$181,MATCH($B310,'Default Values'!$B$101:$CD$101,0),0))</f>
        <v/>
      </c>
      <c r="S310" s="346" t="str">
        <f>IF(S$260="","",S$262*VLOOKUP(S$260&amp;" (All)",'Default Values'!$B$162:$CD$181,MATCH($B310,'Default Values'!$B$101:$CD$101,0),0))</f>
        <v/>
      </c>
      <c r="T310" s="346" t="str">
        <f>IF(T$260="","",T$262*VLOOKUP(T$260&amp;" (All)",'Default Values'!$B$162:$CD$181,MATCH($B310,'Default Values'!$B$101:$CD$101,0),0))</f>
        <v/>
      </c>
      <c r="U310" s="346" t="str">
        <f>IF(U$260="","",U$262*VLOOKUP(U$260&amp;" (All)",'Default Values'!$B$162:$CD$181,MATCH($B310,'Default Values'!$B$101:$CD$101,0),0))</f>
        <v/>
      </c>
      <c r="V310" s="346" t="str">
        <f>IF(V$260="","",V$262*VLOOKUP(V$260&amp;" (All)",'Default Values'!$B$162:$CD$181,MATCH($B310,'Default Values'!$B$101:$CD$101,0),0))</f>
        <v/>
      </c>
      <c r="W310" s="346" t="str">
        <f>IF(W$260="","",W$262*VLOOKUP(W$260&amp;" (All)",'Default Values'!$B$162:$CD$181,MATCH($B310,'Default Values'!$B$101:$CD$101,0),0))</f>
        <v/>
      </c>
      <c r="X310" s="346" t="str">
        <f>IF(X$260="","",X$262*VLOOKUP(X$260&amp;" (All)",'Default Values'!$B$162:$CD$181,MATCH($B310,'Default Values'!$B$101:$CD$101,0),0))</f>
        <v/>
      </c>
      <c r="Y310" s="346" t="str">
        <f>IF(Y$260="","",Y$262*VLOOKUP(Y$260&amp;" (All)",'Default Values'!$B$162:$CD$181,MATCH($B310,'Default Values'!$B$101:$CD$101,0),0))</f>
        <v/>
      </c>
      <c r="Z310" s="346" t="str">
        <f>IF(Z$260="","",Z$262*VLOOKUP(Z$260&amp;" (All)",'Default Values'!$B$162:$CD$181,MATCH($B310,'Default Values'!$B$101:$CD$101,0),0))</f>
        <v/>
      </c>
      <c r="AA310" s="346" t="str">
        <f>IF(AA$260="","",AA$262*VLOOKUP(AA$260&amp;" (All)",'Default Values'!$B$162:$CD$181,MATCH($B310,'Default Values'!$B$101:$CD$101,0),0))</f>
        <v/>
      </c>
      <c r="AB310" s="346" t="str">
        <f>IF(AB$260="","",AB$262*VLOOKUP(AB$260&amp;" (All)",'Default Values'!$B$162:$CD$181,MATCH($B310,'Default Values'!$B$101:$CD$101,0),0))</f>
        <v/>
      </c>
      <c r="AC310" s="346" t="str">
        <f>IF(AC$260="","",AC$262*VLOOKUP(AC$260&amp;" (All)",'Default Values'!$B$162:$CD$181,MATCH($B310,'Default Values'!$B$101:$CD$101,0),0))</f>
        <v/>
      </c>
      <c r="AD310" s="346" t="str">
        <f>IF(AD$260="","",AD$262*VLOOKUP(AD$260&amp;" (All)",'Default Values'!$B$162:$CD$181,MATCH($B310,'Default Values'!$B$101:$CD$101,0),0))</f>
        <v/>
      </c>
      <c r="AE310" s="346" t="str">
        <f>IF(AE$260="","",AE$262*VLOOKUP(AE$260&amp;" (All)",'Default Values'!$B$162:$CD$181,MATCH($B310,'Default Values'!$B$101:$CD$101,0),0))</f>
        <v/>
      </c>
      <c r="AF310" s="346" t="str">
        <f>IF(AF$260="","",AF$262*VLOOKUP(AF$260&amp;" (All)",'Default Values'!$B$162:$CD$181,MATCH($B310,'Default Values'!$B$101:$CD$101,0),0))</f>
        <v/>
      </c>
      <c r="AG310" s="346" t="str">
        <f>IF(AG$260="","",AG$262*VLOOKUP(AG$260&amp;" (All)",'Default Values'!$B$162:$CD$181,MATCH($B310,'Default Values'!$B$101:$CD$101,0),0))</f>
        <v/>
      </c>
      <c r="AH310" s="346" t="str">
        <f>IF(AH$260="","",AH$262*VLOOKUP(AH$260&amp;" (All)",'Default Values'!$B$162:$CD$181,MATCH($B310,'Default Values'!$B$101:$CD$101,0),0))</f>
        <v/>
      </c>
      <c r="AI310" s="346" t="str">
        <f>IF(AI$260="","",AI$262*VLOOKUP(AI$260&amp;" (All)",'Default Values'!$B$162:$CD$181,MATCH($B310,'Default Values'!$B$101:$CD$101,0),0))</f>
        <v/>
      </c>
      <c r="AJ310" s="346" t="str">
        <f>IF(AJ$260="","",AJ$262*VLOOKUP(AJ$260&amp;" (All)",'Default Values'!$B$162:$CD$181,MATCH($B310,'Default Values'!$B$101:$CD$101,0),0))</f>
        <v/>
      </c>
      <c r="AK310" s="346" t="str">
        <f>IF(AK$260="","",AK$262*VLOOKUP(AK$260&amp;" (All)",'Default Values'!$B$162:$CD$181,MATCH($B310,'Default Values'!$B$101:$CD$101,0),0))</f>
        <v/>
      </c>
      <c r="AL310" s="346" t="str">
        <f>IF(AL$260="","",AL$262*VLOOKUP(AL$260&amp;" (All)",'Default Values'!$B$162:$CD$181,MATCH($B310,'Default Values'!$B$101:$CD$101,0),0))</f>
        <v/>
      </c>
      <c r="AM310" s="346" t="str">
        <f>IF(AM$260="","",AM$262*VLOOKUP(AM$260&amp;" (All)",'Default Values'!$B$162:$CD$181,MATCH($B310,'Default Values'!$B$101:$CD$101,0),0))</f>
        <v/>
      </c>
      <c r="AN310" s="346" t="str">
        <f>IF(AN$260="","",AN$262*VLOOKUP(AN$260&amp;" (All)",'Default Values'!$B$162:$CD$181,MATCH($B310,'Default Values'!$B$101:$CD$101,0),0))</f>
        <v/>
      </c>
      <c r="AO310" s="346" t="str">
        <f>IF(AO$260="","",AO$262*VLOOKUP(AO$260&amp;" (All)",'Default Values'!$B$162:$CD$181,MATCH($B310,'Default Values'!$B$101:$CD$101,0),0))</f>
        <v/>
      </c>
      <c r="AP310" s="346" t="str">
        <f>IF(AP$260="","",AP$262*VLOOKUP(AP$260&amp;" (All)",'Default Values'!$B$162:$CD$181,MATCH($B310,'Default Values'!$B$101:$CD$101,0),0))</f>
        <v/>
      </c>
      <c r="AQ310" s="346" t="str">
        <f>IF(AQ$260="","",AQ$262*VLOOKUP(AQ$260&amp;" (All)",'Default Values'!$B$162:$CD$181,MATCH($B310,'Default Values'!$B$101:$CD$101,0),0))</f>
        <v/>
      </c>
      <c r="AR310" s="346">
        <f>IF(AR$260="","",AR$262*VLOOKUP(AR$260&amp;" (All)",'Default Values'!$B$162:$CD$181,MATCH($B310,'Default Values'!$B$101:$CD$101,0),0))</f>
        <v>0</v>
      </c>
      <c r="AS310" s="217"/>
      <c r="AT310" s="217"/>
      <c r="AU310" s="217"/>
      <c r="AV310" s="217"/>
      <c r="AW310" s="217"/>
      <c r="AX310" s="217"/>
      <c r="AY310" s="217"/>
      <c r="AZ310" s="217"/>
      <c r="BA310" s="217"/>
      <c r="BB310" s="217"/>
      <c r="BC310" s="217"/>
      <c r="BD310" s="217"/>
      <c r="BE310" s="217"/>
      <c r="BF310" s="217"/>
      <c r="BG310" s="217"/>
      <c r="BH310" s="217"/>
      <c r="BI310" s="217"/>
      <c r="BJ310" s="217"/>
      <c r="BK310" s="217"/>
      <c r="BL310" s="217"/>
      <c r="BM310" s="217"/>
      <c r="BN310" s="217"/>
      <c r="BO310" s="217"/>
      <c r="BP310" s="217"/>
      <c r="BQ310" s="217"/>
      <c r="BR310" s="217"/>
      <c r="BS310" s="217"/>
      <c r="BT310" s="217"/>
      <c r="BU310" s="217"/>
      <c r="BV310" s="217"/>
      <c r="BW310" s="217"/>
      <c r="BX310" s="217"/>
      <c r="BY310" s="217"/>
      <c r="BZ310" s="217"/>
      <c r="CA310" s="217"/>
      <c r="CB310" s="217"/>
      <c r="CC310" s="217"/>
      <c r="CD310" s="217"/>
      <c r="CE310" s="217"/>
      <c r="CF310" s="217"/>
      <c r="CG310" s="217"/>
      <c r="CH310" s="217"/>
      <c r="CI310" s="217"/>
      <c r="CJ310" s="217"/>
      <c r="CK310" s="217"/>
      <c r="CL310" s="217"/>
      <c r="CM310" s="217"/>
      <c r="CN310" s="217"/>
      <c r="CO310" s="217"/>
      <c r="CP310" s="217"/>
      <c r="CQ310" s="217"/>
      <c r="CR310" s="217"/>
      <c r="CS310" s="217"/>
      <c r="CT310" s="217"/>
      <c r="CU310" s="217"/>
      <c r="CV310" s="217"/>
      <c r="CW310" s="217"/>
      <c r="CX310" s="217"/>
      <c r="CY310" s="217"/>
      <c r="CZ310" s="217"/>
      <c r="DA310" s="217"/>
      <c r="DB310" s="217"/>
      <c r="DC310" s="217"/>
      <c r="DD310" s="217"/>
      <c r="DE310" s="217"/>
      <c r="DF310" s="217"/>
      <c r="DG310" s="217"/>
      <c r="DH310" s="217"/>
      <c r="DI310" s="217"/>
      <c r="DJ310" s="217"/>
      <c r="DK310" s="217"/>
      <c r="DL310" s="217"/>
      <c r="DM310" s="217"/>
      <c r="DN310" s="217"/>
      <c r="DO310" s="217"/>
      <c r="DP310" s="217"/>
      <c r="DQ310" s="217"/>
      <c r="DR310" s="217"/>
      <c r="DS310" s="217"/>
      <c r="DT310" s="217"/>
    </row>
    <row r="311" spans="1:124" x14ac:dyDescent="0.3">
      <c r="A311" s="217"/>
      <c r="B311" s="342" t="s">
        <v>230</v>
      </c>
      <c r="C311" s="345">
        <f t="shared" si="340"/>
        <v>0</v>
      </c>
      <c r="D311" s="346" t="str">
        <f>IF(D$260="","",D$262*VLOOKUP(D$260&amp;" (All)",'Default Values'!$B$162:$CD$181,MATCH($B311,'Default Values'!$B$101:$CD$101,0),0))</f>
        <v/>
      </c>
      <c r="E311" s="346" t="str">
        <f>IF(E$260="","",E$262*VLOOKUP(E$260&amp;" (All)",'Default Values'!$B$162:$CD$181,MATCH($B311,'Default Values'!$B$101:$CD$101,0),0))</f>
        <v/>
      </c>
      <c r="F311" s="346" t="str">
        <f>IF(F$260="","",F$262*VLOOKUP(F$260&amp;" (All)",'Default Values'!$B$162:$CD$181,MATCH($B311,'Default Values'!$B$101:$CD$101,0),0))</f>
        <v/>
      </c>
      <c r="G311" s="346" t="str">
        <f>IF(G$260="","",G$262*VLOOKUP(G$260&amp;" (All)",'Default Values'!$B$162:$CD$181,MATCH($B311,'Default Values'!$B$101:$CD$101,0),0))</f>
        <v/>
      </c>
      <c r="H311" s="346" t="str">
        <f>IF(H$260="","",H$262*VLOOKUP(H$260&amp;" (All)",'Default Values'!$B$162:$CD$181,MATCH($B311,'Default Values'!$B$101:$CD$101,0),0))</f>
        <v/>
      </c>
      <c r="I311" s="346" t="str">
        <f>IF(I$260="","",I$262*VLOOKUP(I$260&amp;" (All)",'Default Values'!$B$162:$CD$181,MATCH($B311,'Default Values'!$B$101:$CD$101,0),0))</f>
        <v/>
      </c>
      <c r="J311" s="346" t="str">
        <f>IF(J$260="","",J$262*VLOOKUP(J$260&amp;" (All)",'Default Values'!$B$162:$CD$181,MATCH($B311,'Default Values'!$B$101:$CD$101,0),0))</f>
        <v/>
      </c>
      <c r="K311" s="346" t="str">
        <f>IF(K$260="","",K$262*VLOOKUP(K$260&amp;" (All)",'Default Values'!$B$162:$CD$181,MATCH($B311,'Default Values'!$B$101:$CD$101,0),0))</f>
        <v/>
      </c>
      <c r="L311" s="346" t="str">
        <f>IF(L$260="","",L$262*VLOOKUP(L$260&amp;" (All)",'Default Values'!$B$162:$CD$181,MATCH($B311,'Default Values'!$B$101:$CD$101,0),0))</f>
        <v/>
      </c>
      <c r="M311" s="346" t="str">
        <f>IF(M$260="","",M$262*VLOOKUP(M$260&amp;" (All)",'Default Values'!$B$162:$CD$181,MATCH($B311,'Default Values'!$B$101:$CD$101,0),0))</f>
        <v/>
      </c>
      <c r="N311" s="346" t="str">
        <f>IF(N$260="","",N$262*VLOOKUP(N$260&amp;" (All)",'Default Values'!$B$162:$CD$181,MATCH($B311,'Default Values'!$B$101:$CD$101,0),0))</f>
        <v/>
      </c>
      <c r="O311" s="346" t="str">
        <f>IF(O$260="","",O$262*VLOOKUP(O$260&amp;" (All)",'Default Values'!$B$162:$CD$181,MATCH($B311,'Default Values'!$B$101:$CD$101,0),0))</f>
        <v/>
      </c>
      <c r="P311" s="346" t="str">
        <f>IF(P$260="","",P$262*VLOOKUP(P$260&amp;" (All)",'Default Values'!$B$162:$CD$181,MATCH($B311,'Default Values'!$B$101:$CD$101,0),0))</f>
        <v/>
      </c>
      <c r="Q311" s="346" t="str">
        <f>IF(Q$260="","",Q$262*VLOOKUP(Q$260&amp;" (All)",'Default Values'!$B$162:$CD$181,MATCH($B311,'Default Values'!$B$101:$CD$101,0),0))</f>
        <v/>
      </c>
      <c r="R311" s="346" t="str">
        <f>IF(R$260="","",R$262*VLOOKUP(R$260&amp;" (All)",'Default Values'!$B$162:$CD$181,MATCH($B311,'Default Values'!$B$101:$CD$101,0),0))</f>
        <v/>
      </c>
      <c r="S311" s="346" t="str">
        <f>IF(S$260="","",S$262*VLOOKUP(S$260&amp;" (All)",'Default Values'!$B$162:$CD$181,MATCH($B311,'Default Values'!$B$101:$CD$101,0),0))</f>
        <v/>
      </c>
      <c r="T311" s="346" t="str">
        <f>IF(T$260="","",T$262*VLOOKUP(T$260&amp;" (All)",'Default Values'!$B$162:$CD$181,MATCH($B311,'Default Values'!$B$101:$CD$101,0),0))</f>
        <v/>
      </c>
      <c r="U311" s="346" t="str">
        <f>IF(U$260="","",U$262*VLOOKUP(U$260&amp;" (All)",'Default Values'!$B$162:$CD$181,MATCH($B311,'Default Values'!$B$101:$CD$101,0),0))</f>
        <v/>
      </c>
      <c r="V311" s="346" t="str">
        <f>IF(V$260="","",V$262*VLOOKUP(V$260&amp;" (All)",'Default Values'!$B$162:$CD$181,MATCH($B311,'Default Values'!$B$101:$CD$101,0),0))</f>
        <v/>
      </c>
      <c r="W311" s="346" t="str">
        <f>IF(W$260="","",W$262*VLOOKUP(W$260&amp;" (All)",'Default Values'!$B$162:$CD$181,MATCH($B311,'Default Values'!$B$101:$CD$101,0),0))</f>
        <v/>
      </c>
      <c r="X311" s="346" t="str">
        <f>IF(X$260="","",X$262*VLOOKUP(X$260&amp;" (All)",'Default Values'!$B$162:$CD$181,MATCH($B311,'Default Values'!$B$101:$CD$101,0),0))</f>
        <v/>
      </c>
      <c r="Y311" s="346" t="str">
        <f>IF(Y$260="","",Y$262*VLOOKUP(Y$260&amp;" (All)",'Default Values'!$B$162:$CD$181,MATCH($B311,'Default Values'!$B$101:$CD$101,0),0))</f>
        <v/>
      </c>
      <c r="Z311" s="346" t="str">
        <f>IF(Z$260="","",Z$262*VLOOKUP(Z$260&amp;" (All)",'Default Values'!$B$162:$CD$181,MATCH($B311,'Default Values'!$B$101:$CD$101,0),0))</f>
        <v/>
      </c>
      <c r="AA311" s="346" t="str">
        <f>IF(AA$260="","",AA$262*VLOOKUP(AA$260&amp;" (All)",'Default Values'!$B$162:$CD$181,MATCH($B311,'Default Values'!$B$101:$CD$101,0),0))</f>
        <v/>
      </c>
      <c r="AB311" s="346" t="str">
        <f>IF(AB$260="","",AB$262*VLOOKUP(AB$260&amp;" (All)",'Default Values'!$B$162:$CD$181,MATCH($B311,'Default Values'!$B$101:$CD$101,0),0))</f>
        <v/>
      </c>
      <c r="AC311" s="346" t="str">
        <f>IF(AC$260="","",AC$262*VLOOKUP(AC$260&amp;" (All)",'Default Values'!$B$162:$CD$181,MATCH($B311,'Default Values'!$B$101:$CD$101,0),0))</f>
        <v/>
      </c>
      <c r="AD311" s="346" t="str">
        <f>IF(AD$260="","",AD$262*VLOOKUP(AD$260&amp;" (All)",'Default Values'!$B$162:$CD$181,MATCH($B311,'Default Values'!$B$101:$CD$101,0),0))</f>
        <v/>
      </c>
      <c r="AE311" s="346" t="str">
        <f>IF(AE$260="","",AE$262*VLOOKUP(AE$260&amp;" (All)",'Default Values'!$B$162:$CD$181,MATCH($B311,'Default Values'!$B$101:$CD$101,0),0))</f>
        <v/>
      </c>
      <c r="AF311" s="346" t="str">
        <f>IF(AF$260="","",AF$262*VLOOKUP(AF$260&amp;" (All)",'Default Values'!$B$162:$CD$181,MATCH($B311,'Default Values'!$B$101:$CD$101,0),0))</f>
        <v/>
      </c>
      <c r="AG311" s="346" t="str">
        <f>IF(AG$260="","",AG$262*VLOOKUP(AG$260&amp;" (All)",'Default Values'!$B$162:$CD$181,MATCH($B311,'Default Values'!$B$101:$CD$101,0),0))</f>
        <v/>
      </c>
      <c r="AH311" s="346" t="str">
        <f>IF(AH$260="","",AH$262*VLOOKUP(AH$260&amp;" (All)",'Default Values'!$B$162:$CD$181,MATCH($B311,'Default Values'!$B$101:$CD$101,0),0))</f>
        <v/>
      </c>
      <c r="AI311" s="346" t="str">
        <f>IF(AI$260="","",AI$262*VLOOKUP(AI$260&amp;" (All)",'Default Values'!$B$162:$CD$181,MATCH($B311,'Default Values'!$B$101:$CD$101,0),0))</f>
        <v/>
      </c>
      <c r="AJ311" s="346" t="str">
        <f>IF(AJ$260="","",AJ$262*VLOOKUP(AJ$260&amp;" (All)",'Default Values'!$B$162:$CD$181,MATCH($B311,'Default Values'!$B$101:$CD$101,0),0))</f>
        <v/>
      </c>
      <c r="AK311" s="346" t="str">
        <f>IF(AK$260="","",AK$262*VLOOKUP(AK$260&amp;" (All)",'Default Values'!$B$162:$CD$181,MATCH($B311,'Default Values'!$B$101:$CD$101,0),0))</f>
        <v/>
      </c>
      <c r="AL311" s="346" t="str">
        <f>IF(AL$260="","",AL$262*VLOOKUP(AL$260&amp;" (All)",'Default Values'!$B$162:$CD$181,MATCH($B311,'Default Values'!$B$101:$CD$101,0),0))</f>
        <v/>
      </c>
      <c r="AM311" s="346" t="str">
        <f>IF(AM$260="","",AM$262*VLOOKUP(AM$260&amp;" (All)",'Default Values'!$B$162:$CD$181,MATCH($B311,'Default Values'!$B$101:$CD$101,0),0))</f>
        <v/>
      </c>
      <c r="AN311" s="346" t="str">
        <f>IF(AN$260="","",AN$262*VLOOKUP(AN$260&amp;" (All)",'Default Values'!$B$162:$CD$181,MATCH($B311,'Default Values'!$B$101:$CD$101,0),0))</f>
        <v/>
      </c>
      <c r="AO311" s="346" t="str">
        <f>IF(AO$260="","",AO$262*VLOOKUP(AO$260&amp;" (All)",'Default Values'!$B$162:$CD$181,MATCH($B311,'Default Values'!$B$101:$CD$101,0),0))</f>
        <v/>
      </c>
      <c r="AP311" s="346" t="str">
        <f>IF(AP$260="","",AP$262*VLOOKUP(AP$260&amp;" (All)",'Default Values'!$B$162:$CD$181,MATCH($B311,'Default Values'!$B$101:$CD$101,0),0))</f>
        <v/>
      </c>
      <c r="AQ311" s="346" t="str">
        <f>IF(AQ$260="","",AQ$262*VLOOKUP(AQ$260&amp;" (All)",'Default Values'!$B$162:$CD$181,MATCH($B311,'Default Values'!$B$101:$CD$101,0),0))</f>
        <v/>
      </c>
      <c r="AR311" s="346">
        <f>IF(AR$260="","",AR$262*VLOOKUP(AR$260&amp;" (All)",'Default Values'!$B$162:$CD$181,MATCH($B311,'Default Values'!$B$101:$CD$101,0),0))</f>
        <v>0</v>
      </c>
      <c r="AS311" s="217"/>
      <c r="AT311" s="217"/>
      <c r="AU311" s="217"/>
      <c r="AV311" s="217"/>
      <c r="AW311" s="217"/>
      <c r="AX311" s="217"/>
      <c r="AY311" s="217"/>
      <c r="AZ311" s="217"/>
      <c r="BA311" s="217"/>
      <c r="BB311" s="217"/>
      <c r="BC311" s="217"/>
      <c r="BD311" s="217"/>
      <c r="BE311" s="217"/>
      <c r="BF311" s="217"/>
      <c r="BG311" s="217"/>
      <c r="BH311" s="217"/>
      <c r="BI311" s="217"/>
      <c r="BJ311" s="217"/>
      <c r="BK311" s="217"/>
      <c r="BL311" s="217"/>
      <c r="BM311" s="217"/>
      <c r="BN311" s="217"/>
      <c r="BO311" s="217"/>
      <c r="BP311" s="217"/>
      <c r="BQ311" s="217"/>
      <c r="BR311" s="217"/>
      <c r="BS311" s="217"/>
      <c r="BT311" s="217"/>
      <c r="BU311" s="217"/>
      <c r="BV311" s="217"/>
      <c r="BW311" s="217"/>
      <c r="BX311" s="217"/>
      <c r="BY311" s="217"/>
      <c r="BZ311" s="217"/>
      <c r="CA311" s="217"/>
      <c r="CB311" s="217"/>
      <c r="CC311" s="217"/>
      <c r="CD311" s="217"/>
      <c r="CE311" s="217"/>
      <c r="CF311" s="217"/>
      <c r="CG311" s="217"/>
      <c r="CH311" s="217"/>
      <c r="CI311" s="217"/>
      <c r="CJ311" s="217"/>
      <c r="CK311" s="217"/>
      <c r="CL311" s="217"/>
      <c r="CM311" s="217"/>
      <c r="CN311" s="217"/>
      <c r="CO311" s="217"/>
      <c r="CP311" s="217"/>
      <c r="CQ311" s="217"/>
      <c r="CR311" s="217"/>
      <c r="CS311" s="217"/>
      <c r="CT311" s="217"/>
      <c r="CU311" s="217"/>
      <c r="CV311" s="217"/>
      <c r="CW311" s="217"/>
      <c r="CX311" s="217"/>
      <c r="CY311" s="217"/>
      <c r="CZ311" s="217"/>
      <c r="DA311" s="217"/>
      <c r="DB311" s="217"/>
      <c r="DC311" s="217"/>
      <c r="DD311" s="217"/>
      <c r="DE311" s="217"/>
      <c r="DF311" s="217"/>
      <c r="DG311" s="217"/>
      <c r="DH311" s="217"/>
      <c r="DI311" s="217"/>
      <c r="DJ311" s="217"/>
      <c r="DK311" s="217"/>
      <c r="DL311" s="217"/>
      <c r="DM311" s="217"/>
      <c r="DN311" s="217"/>
      <c r="DO311" s="217"/>
      <c r="DP311" s="217"/>
      <c r="DQ311" s="217"/>
      <c r="DR311" s="217"/>
      <c r="DS311" s="217"/>
      <c r="DT311" s="217"/>
    </row>
    <row r="312" spans="1:124" x14ac:dyDescent="0.3">
      <c r="A312" s="217"/>
      <c r="B312" s="342" t="s">
        <v>232</v>
      </c>
      <c r="C312" s="345">
        <f t="shared" si="340"/>
        <v>0</v>
      </c>
      <c r="D312" s="346" t="str">
        <f>IF(D$260="","",D$262*VLOOKUP(D$260&amp;" (All)",'Default Values'!$B$162:$CD$181,MATCH($B312,'Default Values'!$B$101:$CD$101,0),0))</f>
        <v/>
      </c>
      <c r="E312" s="346" t="str">
        <f>IF(E$260="","",E$262*VLOOKUP(E$260&amp;" (All)",'Default Values'!$B$162:$CD$181,MATCH($B312,'Default Values'!$B$101:$CD$101,0),0))</f>
        <v/>
      </c>
      <c r="F312" s="346" t="str">
        <f>IF(F$260="","",F$262*VLOOKUP(F$260&amp;" (All)",'Default Values'!$B$162:$CD$181,MATCH($B312,'Default Values'!$B$101:$CD$101,0),0))</f>
        <v/>
      </c>
      <c r="G312" s="346" t="str">
        <f>IF(G$260="","",G$262*VLOOKUP(G$260&amp;" (All)",'Default Values'!$B$162:$CD$181,MATCH($B312,'Default Values'!$B$101:$CD$101,0),0))</f>
        <v/>
      </c>
      <c r="H312" s="346" t="str">
        <f>IF(H$260="","",H$262*VLOOKUP(H$260&amp;" (All)",'Default Values'!$B$162:$CD$181,MATCH($B312,'Default Values'!$B$101:$CD$101,0),0))</f>
        <v/>
      </c>
      <c r="I312" s="346" t="str">
        <f>IF(I$260="","",I$262*VLOOKUP(I$260&amp;" (All)",'Default Values'!$B$162:$CD$181,MATCH($B312,'Default Values'!$B$101:$CD$101,0),0))</f>
        <v/>
      </c>
      <c r="J312" s="346" t="str">
        <f>IF(J$260="","",J$262*VLOOKUP(J$260&amp;" (All)",'Default Values'!$B$162:$CD$181,MATCH($B312,'Default Values'!$B$101:$CD$101,0),0))</f>
        <v/>
      </c>
      <c r="K312" s="346" t="str">
        <f>IF(K$260="","",K$262*VLOOKUP(K$260&amp;" (All)",'Default Values'!$B$162:$CD$181,MATCH($B312,'Default Values'!$B$101:$CD$101,0),0))</f>
        <v/>
      </c>
      <c r="L312" s="346" t="str">
        <f>IF(L$260="","",L$262*VLOOKUP(L$260&amp;" (All)",'Default Values'!$B$162:$CD$181,MATCH($B312,'Default Values'!$B$101:$CD$101,0),0))</f>
        <v/>
      </c>
      <c r="M312" s="346" t="str">
        <f>IF(M$260="","",M$262*VLOOKUP(M$260&amp;" (All)",'Default Values'!$B$162:$CD$181,MATCH($B312,'Default Values'!$B$101:$CD$101,0),0))</f>
        <v/>
      </c>
      <c r="N312" s="346" t="str">
        <f>IF(N$260="","",N$262*VLOOKUP(N$260&amp;" (All)",'Default Values'!$B$162:$CD$181,MATCH($B312,'Default Values'!$B$101:$CD$101,0),0))</f>
        <v/>
      </c>
      <c r="O312" s="346" t="str">
        <f>IF(O$260="","",O$262*VLOOKUP(O$260&amp;" (All)",'Default Values'!$B$162:$CD$181,MATCH($B312,'Default Values'!$B$101:$CD$101,0),0))</f>
        <v/>
      </c>
      <c r="P312" s="346" t="str">
        <f>IF(P$260="","",P$262*VLOOKUP(P$260&amp;" (All)",'Default Values'!$B$162:$CD$181,MATCH($B312,'Default Values'!$B$101:$CD$101,0),0))</f>
        <v/>
      </c>
      <c r="Q312" s="346" t="str">
        <f>IF(Q$260="","",Q$262*VLOOKUP(Q$260&amp;" (All)",'Default Values'!$B$162:$CD$181,MATCH($B312,'Default Values'!$B$101:$CD$101,0),0))</f>
        <v/>
      </c>
      <c r="R312" s="346" t="str">
        <f>IF(R$260="","",R$262*VLOOKUP(R$260&amp;" (All)",'Default Values'!$B$162:$CD$181,MATCH($B312,'Default Values'!$B$101:$CD$101,0),0))</f>
        <v/>
      </c>
      <c r="S312" s="346" t="str">
        <f>IF(S$260="","",S$262*VLOOKUP(S$260&amp;" (All)",'Default Values'!$B$162:$CD$181,MATCH($B312,'Default Values'!$B$101:$CD$101,0),0))</f>
        <v/>
      </c>
      <c r="T312" s="346" t="str">
        <f>IF(T$260="","",T$262*VLOOKUP(T$260&amp;" (All)",'Default Values'!$B$162:$CD$181,MATCH($B312,'Default Values'!$B$101:$CD$101,0),0))</f>
        <v/>
      </c>
      <c r="U312" s="346" t="str">
        <f>IF(U$260="","",U$262*VLOOKUP(U$260&amp;" (All)",'Default Values'!$B$162:$CD$181,MATCH($B312,'Default Values'!$B$101:$CD$101,0),0))</f>
        <v/>
      </c>
      <c r="V312" s="346" t="str">
        <f>IF(V$260="","",V$262*VLOOKUP(V$260&amp;" (All)",'Default Values'!$B$162:$CD$181,MATCH($B312,'Default Values'!$B$101:$CD$101,0),0))</f>
        <v/>
      </c>
      <c r="W312" s="346" t="str">
        <f>IF(W$260="","",W$262*VLOOKUP(W$260&amp;" (All)",'Default Values'!$B$162:$CD$181,MATCH($B312,'Default Values'!$B$101:$CD$101,0),0))</f>
        <v/>
      </c>
      <c r="X312" s="346" t="str">
        <f>IF(X$260="","",X$262*VLOOKUP(X$260&amp;" (All)",'Default Values'!$B$162:$CD$181,MATCH($B312,'Default Values'!$B$101:$CD$101,0),0))</f>
        <v/>
      </c>
      <c r="Y312" s="346" t="str">
        <f>IF(Y$260="","",Y$262*VLOOKUP(Y$260&amp;" (All)",'Default Values'!$B$162:$CD$181,MATCH($B312,'Default Values'!$B$101:$CD$101,0),0))</f>
        <v/>
      </c>
      <c r="Z312" s="346" t="str">
        <f>IF(Z$260="","",Z$262*VLOOKUP(Z$260&amp;" (All)",'Default Values'!$B$162:$CD$181,MATCH($B312,'Default Values'!$B$101:$CD$101,0),0))</f>
        <v/>
      </c>
      <c r="AA312" s="346" t="str">
        <f>IF(AA$260="","",AA$262*VLOOKUP(AA$260&amp;" (All)",'Default Values'!$B$162:$CD$181,MATCH($B312,'Default Values'!$B$101:$CD$101,0),0))</f>
        <v/>
      </c>
      <c r="AB312" s="346" t="str">
        <f>IF(AB$260="","",AB$262*VLOOKUP(AB$260&amp;" (All)",'Default Values'!$B$162:$CD$181,MATCH($B312,'Default Values'!$B$101:$CD$101,0),0))</f>
        <v/>
      </c>
      <c r="AC312" s="346" t="str">
        <f>IF(AC$260="","",AC$262*VLOOKUP(AC$260&amp;" (All)",'Default Values'!$B$162:$CD$181,MATCH($B312,'Default Values'!$B$101:$CD$101,0),0))</f>
        <v/>
      </c>
      <c r="AD312" s="346" t="str">
        <f>IF(AD$260="","",AD$262*VLOOKUP(AD$260&amp;" (All)",'Default Values'!$B$162:$CD$181,MATCH($B312,'Default Values'!$B$101:$CD$101,0),0))</f>
        <v/>
      </c>
      <c r="AE312" s="346" t="str">
        <f>IF(AE$260="","",AE$262*VLOOKUP(AE$260&amp;" (All)",'Default Values'!$B$162:$CD$181,MATCH($B312,'Default Values'!$B$101:$CD$101,0),0))</f>
        <v/>
      </c>
      <c r="AF312" s="346" t="str">
        <f>IF(AF$260="","",AF$262*VLOOKUP(AF$260&amp;" (All)",'Default Values'!$B$162:$CD$181,MATCH($B312,'Default Values'!$B$101:$CD$101,0),0))</f>
        <v/>
      </c>
      <c r="AG312" s="346" t="str">
        <f>IF(AG$260="","",AG$262*VLOOKUP(AG$260&amp;" (All)",'Default Values'!$B$162:$CD$181,MATCH($B312,'Default Values'!$B$101:$CD$101,0),0))</f>
        <v/>
      </c>
      <c r="AH312" s="346" t="str">
        <f>IF(AH$260="","",AH$262*VLOOKUP(AH$260&amp;" (All)",'Default Values'!$B$162:$CD$181,MATCH($B312,'Default Values'!$B$101:$CD$101,0),0))</f>
        <v/>
      </c>
      <c r="AI312" s="346" t="str">
        <f>IF(AI$260="","",AI$262*VLOOKUP(AI$260&amp;" (All)",'Default Values'!$B$162:$CD$181,MATCH($B312,'Default Values'!$B$101:$CD$101,0),0))</f>
        <v/>
      </c>
      <c r="AJ312" s="346" t="str">
        <f>IF(AJ$260="","",AJ$262*VLOOKUP(AJ$260&amp;" (All)",'Default Values'!$B$162:$CD$181,MATCH($B312,'Default Values'!$B$101:$CD$101,0),0))</f>
        <v/>
      </c>
      <c r="AK312" s="346" t="str">
        <f>IF(AK$260="","",AK$262*VLOOKUP(AK$260&amp;" (All)",'Default Values'!$B$162:$CD$181,MATCH($B312,'Default Values'!$B$101:$CD$101,0),0))</f>
        <v/>
      </c>
      <c r="AL312" s="346" t="str">
        <f>IF(AL$260="","",AL$262*VLOOKUP(AL$260&amp;" (All)",'Default Values'!$B$162:$CD$181,MATCH($B312,'Default Values'!$B$101:$CD$101,0),0))</f>
        <v/>
      </c>
      <c r="AM312" s="346" t="str">
        <f>IF(AM$260="","",AM$262*VLOOKUP(AM$260&amp;" (All)",'Default Values'!$B$162:$CD$181,MATCH($B312,'Default Values'!$B$101:$CD$101,0),0))</f>
        <v/>
      </c>
      <c r="AN312" s="346" t="str">
        <f>IF(AN$260="","",AN$262*VLOOKUP(AN$260&amp;" (All)",'Default Values'!$B$162:$CD$181,MATCH($B312,'Default Values'!$B$101:$CD$101,0),0))</f>
        <v/>
      </c>
      <c r="AO312" s="346" t="str">
        <f>IF(AO$260="","",AO$262*VLOOKUP(AO$260&amp;" (All)",'Default Values'!$B$162:$CD$181,MATCH($B312,'Default Values'!$B$101:$CD$101,0),0))</f>
        <v/>
      </c>
      <c r="AP312" s="346" t="str">
        <f>IF(AP$260="","",AP$262*VLOOKUP(AP$260&amp;" (All)",'Default Values'!$B$162:$CD$181,MATCH($B312,'Default Values'!$B$101:$CD$101,0),0))</f>
        <v/>
      </c>
      <c r="AQ312" s="346" t="str">
        <f>IF(AQ$260="","",AQ$262*VLOOKUP(AQ$260&amp;" (All)",'Default Values'!$B$162:$CD$181,MATCH($B312,'Default Values'!$B$101:$CD$101,0),0))</f>
        <v/>
      </c>
      <c r="AR312" s="346">
        <f>IF(AR$260="","",AR$262*VLOOKUP(AR$260&amp;" (All)",'Default Values'!$B$162:$CD$181,MATCH($B312,'Default Values'!$B$101:$CD$101,0),0))</f>
        <v>0</v>
      </c>
      <c r="AS312" s="217"/>
      <c r="AT312" s="217"/>
      <c r="AU312" s="217"/>
      <c r="AV312" s="217"/>
      <c r="AW312" s="217"/>
      <c r="AX312" s="217"/>
      <c r="AY312" s="217"/>
      <c r="AZ312" s="217"/>
      <c r="BA312" s="217"/>
      <c r="BB312" s="217"/>
      <c r="BC312" s="217"/>
      <c r="BD312" s="217"/>
      <c r="BE312" s="217"/>
      <c r="BF312" s="217"/>
      <c r="BG312" s="217"/>
      <c r="BH312" s="217"/>
      <c r="BI312" s="217"/>
      <c r="BJ312" s="217"/>
      <c r="BK312" s="217"/>
      <c r="BL312" s="217"/>
      <c r="BM312" s="217"/>
      <c r="BN312" s="217"/>
      <c r="BO312" s="217"/>
      <c r="BP312" s="217"/>
      <c r="BQ312" s="217"/>
      <c r="BR312" s="217"/>
      <c r="BS312" s="217"/>
      <c r="BT312" s="217"/>
      <c r="BU312" s="217"/>
      <c r="BV312" s="217"/>
      <c r="BW312" s="217"/>
      <c r="BX312" s="217"/>
      <c r="BY312" s="217"/>
      <c r="BZ312" s="217"/>
      <c r="CA312" s="217"/>
      <c r="CB312" s="217"/>
      <c r="CC312" s="217"/>
      <c r="CD312" s="217"/>
      <c r="CE312" s="217"/>
      <c r="CF312" s="217"/>
      <c r="CG312" s="217"/>
      <c r="CH312" s="217"/>
      <c r="CI312" s="217"/>
      <c r="CJ312" s="217"/>
      <c r="CK312" s="217"/>
      <c r="CL312" s="217"/>
      <c r="CM312" s="217"/>
      <c r="CN312" s="217"/>
      <c r="CO312" s="217"/>
      <c r="CP312" s="217"/>
      <c r="CQ312" s="217"/>
      <c r="CR312" s="217"/>
      <c r="CS312" s="217"/>
      <c r="CT312" s="217"/>
      <c r="CU312" s="217"/>
      <c r="CV312" s="217"/>
      <c r="CW312" s="217"/>
      <c r="CX312" s="217"/>
      <c r="CY312" s="217"/>
      <c r="CZ312" s="217"/>
      <c r="DA312" s="217"/>
      <c r="DB312" s="217"/>
      <c r="DC312" s="217"/>
      <c r="DD312" s="217"/>
      <c r="DE312" s="217"/>
      <c r="DF312" s="217"/>
      <c r="DG312" s="217"/>
      <c r="DH312" s="217"/>
      <c r="DI312" s="217"/>
      <c r="DJ312" s="217"/>
      <c r="DK312" s="217"/>
      <c r="DL312" s="217"/>
      <c r="DM312" s="217"/>
      <c r="DN312" s="217"/>
      <c r="DO312" s="217"/>
      <c r="DP312" s="217"/>
      <c r="DQ312" s="217"/>
      <c r="DR312" s="217"/>
      <c r="DS312" s="217"/>
      <c r="DT312" s="217"/>
    </row>
    <row r="313" spans="1:124" x14ac:dyDescent="0.3">
      <c r="A313" s="217"/>
      <c r="B313" s="342" t="s">
        <v>234</v>
      </c>
      <c r="C313" s="345">
        <f t="shared" si="340"/>
        <v>0</v>
      </c>
      <c r="D313" s="346" t="str">
        <f>IF(D$260="","",D$262*VLOOKUP(D$260&amp;" (All)",'Default Values'!$B$162:$CD$181,MATCH($B313,'Default Values'!$B$101:$CD$101,0),0))</f>
        <v/>
      </c>
      <c r="E313" s="346" t="str">
        <f>IF(E$260="","",E$262*VLOOKUP(E$260&amp;" (All)",'Default Values'!$B$162:$CD$181,MATCH($B313,'Default Values'!$B$101:$CD$101,0),0))</f>
        <v/>
      </c>
      <c r="F313" s="346" t="str">
        <f>IF(F$260="","",F$262*VLOOKUP(F$260&amp;" (All)",'Default Values'!$B$162:$CD$181,MATCH($B313,'Default Values'!$B$101:$CD$101,0),0))</f>
        <v/>
      </c>
      <c r="G313" s="346" t="str">
        <f>IF(G$260="","",G$262*VLOOKUP(G$260&amp;" (All)",'Default Values'!$B$162:$CD$181,MATCH($B313,'Default Values'!$B$101:$CD$101,0),0))</f>
        <v/>
      </c>
      <c r="H313" s="346" t="str">
        <f>IF(H$260="","",H$262*VLOOKUP(H$260&amp;" (All)",'Default Values'!$B$162:$CD$181,MATCH($B313,'Default Values'!$B$101:$CD$101,0),0))</f>
        <v/>
      </c>
      <c r="I313" s="346" t="str">
        <f>IF(I$260="","",I$262*VLOOKUP(I$260&amp;" (All)",'Default Values'!$B$162:$CD$181,MATCH($B313,'Default Values'!$B$101:$CD$101,0),0))</f>
        <v/>
      </c>
      <c r="J313" s="346" t="str">
        <f>IF(J$260="","",J$262*VLOOKUP(J$260&amp;" (All)",'Default Values'!$B$162:$CD$181,MATCH($B313,'Default Values'!$B$101:$CD$101,0),0))</f>
        <v/>
      </c>
      <c r="K313" s="346" t="str">
        <f>IF(K$260="","",K$262*VLOOKUP(K$260&amp;" (All)",'Default Values'!$B$162:$CD$181,MATCH($B313,'Default Values'!$B$101:$CD$101,0),0))</f>
        <v/>
      </c>
      <c r="L313" s="346" t="str">
        <f>IF(L$260="","",L$262*VLOOKUP(L$260&amp;" (All)",'Default Values'!$B$162:$CD$181,MATCH($B313,'Default Values'!$B$101:$CD$101,0),0))</f>
        <v/>
      </c>
      <c r="M313" s="346" t="str">
        <f>IF(M$260="","",M$262*VLOOKUP(M$260&amp;" (All)",'Default Values'!$B$162:$CD$181,MATCH($B313,'Default Values'!$B$101:$CD$101,0),0))</f>
        <v/>
      </c>
      <c r="N313" s="346" t="str">
        <f>IF(N$260="","",N$262*VLOOKUP(N$260&amp;" (All)",'Default Values'!$B$162:$CD$181,MATCH($B313,'Default Values'!$B$101:$CD$101,0),0))</f>
        <v/>
      </c>
      <c r="O313" s="346" t="str">
        <f>IF(O$260="","",O$262*VLOOKUP(O$260&amp;" (All)",'Default Values'!$B$162:$CD$181,MATCH($B313,'Default Values'!$B$101:$CD$101,0),0))</f>
        <v/>
      </c>
      <c r="P313" s="346" t="str">
        <f>IF(P$260="","",P$262*VLOOKUP(P$260&amp;" (All)",'Default Values'!$B$162:$CD$181,MATCH($B313,'Default Values'!$B$101:$CD$101,0),0))</f>
        <v/>
      </c>
      <c r="Q313" s="346" t="str">
        <f>IF(Q$260="","",Q$262*VLOOKUP(Q$260&amp;" (All)",'Default Values'!$B$162:$CD$181,MATCH($B313,'Default Values'!$B$101:$CD$101,0),0))</f>
        <v/>
      </c>
      <c r="R313" s="346" t="str">
        <f>IF(R$260="","",R$262*VLOOKUP(R$260&amp;" (All)",'Default Values'!$B$162:$CD$181,MATCH($B313,'Default Values'!$B$101:$CD$101,0),0))</f>
        <v/>
      </c>
      <c r="S313" s="346" t="str">
        <f>IF(S$260="","",S$262*VLOOKUP(S$260&amp;" (All)",'Default Values'!$B$162:$CD$181,MATCH($B313,'Default Values'!$B$101:$CD$101,0),0))</f>
        <v/>
      </c>
      <c r="T313" s="346" t="str">
        <f>IF(T$260="","",T$262*VLOOKUP(T$260&amp;" (All)",'Default Values'!$B$162:$CD$181,MATCH($B313,'Default Values'!$B$101:$CD$101,0),0))</f>
        <v/>
      </c>
      <c r="U313" s="346" t="str">
        <f>IF(U$260="","",U$262*VLOOKUP(U$260&amp;" (All)",'Default Values'!$B$162:$CD$181,MATCH($B313,'Default Values'!$B$101:$CD$101,0),0))</f>
        <v/>
      </c>
      <c r="V313" s="346" t="str">
        <f>IF(V$260="","",V$262*VLOOKUP(V$260&amp;" (All)",'Default Values'!$B$162:$CD$181,MATCH($B313,'Default Values'!$B$101:$CD$101,0),0))</f>
        <v/>
      </c>
      <c r="W313" s="346" t="str">
        <f>IF(W$260="","",W$262*VLOOKUP(W$260&amp;" (All)",'Default Values'!$B$162:$CD$181,MATCH($B313,'Default Values'!$B$101:$CD$101,0),0))</f>
        <v/>
      </c>
      <c r="X313" s="346" t="str">
        <f>IF(X$260="","",X$262*VLOOKUP(X$260&amp;" (All)",'Default Values'!$B$162:$CD$181,MATCH($B313,'Default Values'!$B$101:$CD$101,0),0))</f>
        <v/>
      </c>
      <c r="Y313" s="346" t="str">
        <f>IF(Y$260="","",Y$262*VLOOKUP(Y$260&amp;" (All)",'Default Values'!$B$162:$CD$181,MATCH($B313,'Default Values'!$B$101:$CD$101,0),0))</f>
        <v/>
      </c>
      <c r="Z313" s="346" t="str">
        <f>IF(Z$260="","",Z$262*VLOOKUP(Z$260&amp;" (All)",'Default Values'!$B$162:$CD$181,MATCH($B313,'Default Values'!$B$101:$CD$101,0),0))</f>
        <v/>
      </c>
      <c r="AA313" s="346" t="str">
        <f>IF(AA$260="","",AA$262*VLOOKUP(AA$260&amp;" (All)",'Default Values'!$B$162:$CD$181,MATCH($B313,'Default Values'!$B$101:$CD$101,0),0))</f>
        <v/>
      </c>
      <c r="AB313" s="346" t="str">
        <f>IF(AB$260="","",AB$262*VLOOKUP(AB$260&amp;" (All)",'Default Values'!$B$162:$CD$181,MATCH($B313,'Default Values'!$B$101:$CD$101,0),0))</f>
        <v/>
      </c>
      <c r="AC313" s="346" t="str">
        <f>IF(AC$260="","",AC$262*VLOOKUP(AC$260&amp;" (All)",'Default Values'!$B$162:$CD$181,MATCH($B313,'Default Values'!$B$101:$CD$101,0),0))</f>
        <v/>
      </c>
      <c r="AD313" s="346" t="str">
        <f>IF(AD$260="","",AD$262*VLOOKUP(AD$260&amp;" (All)",'Default Values'!$B$162:$CD$181,MATCH($B313,'Default Values'!$B$101:$CD$101,0),0))</f>
        <v/>
      </c>
      <c r="AE313" s="346" t="str">
        <f>IF(AE$260="","",AE$262*VLOOKUP(AE$260&amp;" (All)",'Default Values'!$B$162:$CD$181,MATCH($B313,'Default Values'!$B$101:$CD$101,0),0))</f>
        <v/>
      </c>
      <c r="AF313" s="346" t="str">
        <f>IF(AF$260="","",AF$262*VLOOKUP(AF$260&amp;" (All)",'Default Values'!$B$162:$CD$181,MATCH($B313,'Default Values'!$B$101:$CD$101,0),0))</f>
        <v/>
      </c>
      <c r="AG313" s="346" t="str">
        <f>IF(AG$260="","",AG$262*VLOOKUP(AG$260&amp;" (All)",'Default Values'!$B$162:$CD$181,MATCH($B313,'Default Values'!$B$101:$CD$101,0),0))</f>
        <v/>
      </c>
      <c r="AH313" s="346" t="str">
        <f>IF(AH$260="","",AH$262*VLOOKUP(AH$260&amp;" (All)",'Default Values'!$B$162:$CD$181,MATCH($B313,'Default Values'!$B$101:$CD$101,0),0))</f>
        <v/>
      </c>
      <c r="AI313" s="346" t="str">
        <f>IF(AI$260="","",AI$262*VLOOKUP(AI$260&amp;" (All)",'Default Values'!$B$162:$CD$181,MATCH($B313,'Default Values'!$B$101:$CD$101,0),0))</f>
        <v/>
      </c>
      <c r="AJ313" s="346" t="str">
        <f>IF(AJ$260="","",AJ$262*VLOOKUP(AJ$260&amp;" (All)",'Default Values'!$B$162:$CD$181,MATCH($B313,'Default Values'!$B$101:$CD$101,0),0))</f>
        <v/>
      </c>
      <c r="AK313" s="346" t="str">
        <f>IF(AK$260="","",AK$262*VLOOKUP(AK$260&amp;" (All)",'Default Values'!$B$162:$CD$181,MATCH($B313,'Default Values'!$B$101:$CD$101,0),0))</f>
        <v/>
      </c>
      <c r="AL313" s="346" t="str">
        <f>IF(AL$260="","",AL$262*VLOOKUP(AL$260&amp;" (All)",'Default Values'!$B$162:$CD$181,MATCH($B313,'Default Values'!$B$101:$CD$101,0),0))</f>
        <v/>
      </c>
      <c r="AM313" s="346" t="str">
        <f>IF(AM$260="","",AM$262*VLOOKUP(AM$260&amp;" (All)",'Default Values'!$B$162:$CD$181,MATCH($B313,'Default Values'!$B$101:$CD$101,0),0))</f>
        <v/>
      </c>
      <c r="AN313" s="346" t="str">
        <f>IF(AN$260="","",AN$262*VLOOKUP(AN$260&amp;" (All)",'Default Values'!$B$162:$CD$181,MATCH($B313,'Default Values'!$B$101:$CD$101,0),0))</f>
        <v/>
      </c>
      <c r="AO313" s="346" t="str">
        <f>IF(AO$260="","",AO$262*VLOOKUP(AO$260&amp;" (All)",'Default Values'!$B$162:$CD$181,MATCH($B313,'Default Values'!$B$101:$CD$101,0),0))</f>
        <v/>
      </c>
      <c r="AP313" s="346" t="str">
        <f>IF(AP$260="","",AP$262*VLOOKUP(AP$260&amp;" (All)",'Default Values'!$B$162:$CD$181,MATCH($B313,'Default Values'!$B$101:$CD$101,0),0))</f>
        <v/>
      </c>
      <c r="AQ313" s="346" t="str">
        <f>IF(AQ$260="","",AQ$262*VLOOKUP(AQ$260&amp;" (All)",'Default Values'!$B$162:$CD$181,MATCH($B313,'Default Values'!$B$101:$CD$101,0),0))</f>
        <v/>
      </c>
      <c r="AR313" s="346">
        <f>IF(AR$260="","",AR$262*VLOOKUP(AR$260&amp;" (All)",'Default Values'!$B$162:$CD$181,MATCH($B313,'Default Values'!$B$101:$CD$101,0),0))</f>
        <v>0</v>
      </c>
      <c r="AS313" s="217"/>
      <c r="AT313" s="217"/>
      <c r="AU313" s="217"/>
      <c r="AV313" s="217"/>
      <c r="AW313" s="217"/>
      <c r="AX313" s="217"/>
      <c r="AY313" s="217"/>
      <c r="AZ313" s="217"/>
      <c r="BA313" s="217"/>
      <c r="BB313" s="217"/>
      <c r="BC313" s="217"/>
      <c r="BD313" s="217"/>
      <c r="BE313" s="217"/>
      <c r="BF313" s="217"/>
      <c r="BG313" s="217"/>
      <c r="BH313" s="217"/>
      <c r="BI313" s="217"/>
      <c r="BJ313" s="217"/>
      <c r="BK313" s="217"/>
      <c r="BL313" s="217"/>
      <c r="BM313" s="217"/>
      <c r="BN313" s="217"/>
      <c r="BO313" s="217"/>
      <c r="BP313" s="217"/>
      <c r="BQ313" s="217"/>
      <c r="BR313" s="217"/>
      <c r="BS313" s="217"/>
      <c r="BT313" s="217"/>
      <c r="BU313" s="217"/>
      <c r="BV313" s="217"/>
      <c r="BW313" s="217"/>
      <c r="BX313" s="217"/>
      <c r="BY313" s="217"/>
      <c r="BZ313" s="217"/>
      <c r="CA313" s="217"/>
      <c r="CB313" s="217"/>
      <c r="CC313" s="217"/>
      <c r="CD313" s="217"/>
      <c r="CE313" s="217"/>
      <c r="CF313" s="217"/>
      <c r="CG313" s="217"/>
      <c r="CH313" s="217"/>
      <c r="CI313" s="217"/>
      <c r="CJ313" s="217"/>
      <c r="CK313" s="217"/>
      <c r="CL313" s="217"/>
      <c r="CM313" s="217"/>
      <c r="CN313" s="217"/>
      <c r="CO313" s="217"/>
      <c r="CP313" s="217"/>
      <c r="CQ313" s="217"/>
      <c r="CR313" s="217"/>
      <c r="CS313" s="217"/>
      <c r="CT313" s="217"/>
      <c r="CU313" s="217"/>
      <c r="CV313" s="217"/>
      <c r="CW313" s="217"/>
      <c r="CX313" s="217"/>
      <c r="CY313" s="217"/>
      <c r="CZ313" s="217"/>
      <c r="DA313" s="217"/>
      <c r="DB313" s="217"/>
      <c r="DC313" s="217"/>
      <c r="DD313" s="217"/>
      <c r="DE313" s="217"/>
      <c r="DF313" s="217"/>
      <c r="DG313" s="217"/>
      <c r="DH313" s="217"/>
      <c r="DI313" s="217"/>
      <c r="DJ313" s="217"/>
      <c r="DK313" s="217"/>
      <c r="DL313" s="217"/>
      <c r="DM313" s="217"/>
      <c r="DN313" s="217"/>
      <c r="DO313" s="217"/>
      <c r="DP313" s="217"/>
      <c r="DQ313" s="217"/>
      <c r="DR313" s="217"/>
      <c r="DS313" s="217"/>
      <c r="DT313" s="217"/>
    </row>
    <row r="314" spans="1:124" x14ac:dyDescent="0.3">
      <c r="A314" s="217"/>
      <c r="B314" s="342" t="s">
        <v>236</v>
      </c>
      <c r="C314" s="345">
        <f t="shared" si="340"/>
        <v>0</v>
      </c>
      <c r="D314" s="346" t="str">
        <f>IF(D$260="","",D$262*VLOOKUP(D$260&amp;" (All)",'Default Values'!$B$162:$CD$181,MATCH($B314,'Default Values'!$B$101:$CD$101,0),0))</f>
        <v/>
      </c>
      <c r="E314" s="346" t="str">
        <f>IF(E$260="","",E$262*VLOOKUP(E$260&amp;" (All)",'Default Values'!$B$162:$CD$181,MATCH($B314,'Default Values'!$B$101:$CD$101,0),0))</f>
        <v/>
      </c>
      <c r="F314" s="346" t="str">
        <f>IF(F$260="","",F$262*VLOOKUP(F$260&amp;" (All)",'Default Values'!$B$162:$CD$181,MATCH($B314,'Default Values'!$B$101:$CD$101,0),0))</f>
        <v/>
      </c>
      <c r="G314" s="346" t="str">
        <f>IF(G$260="","",G$262*VLOOKUP(G$260&amp;" (All)",'Default Values'!$B$162:$CD$181,MATCH($B314,'Default Values'!$B$101:$CD$101,0),0))</f>
        <v/>
      </c>
      <c r="H314" s="346" t="str">
        <f>IF(H$260="","",H$262*VLOOKUP(H$260&amp;" (All)",'Default Values'!$B$162:$CD$181,MATCH($B314,'Default Values'!$B$101:$CD$101,0),0))</f>
        <v/>
      </c>
      <c r="I314" s="346" t="str">
        <f>IF(I$260="","",I$262*VLOOKUP(I$260&amp;" (All)",'Default Values'!$B$162:$CD$181,MATCH($B314,'Default Values'!$B$101:$CD$101,0),0))</f>
        <v/>
      </c>
      <c r="J314" s="346" t="str">
        <f>IF(J$260="","",J$262*VLOOKUP(J$260&amp;" (All)",'Default Values'!$B$162:$CD$181,MATCH($B314,'Default Values'!$B$101:$CD$101,0),0))</f>
        <v/>
      </c>
      <c r="K314" s="346" t="str">
        <f>IF(K$260="","",K$262*VLOOKUP(K$260&amp;" (All)",'Default Values'!$B$162:$CD$181,MATCH($B314,'Default Values'!$B$101:$CD$101,0),0))</f>
        <v/>
      </c>
      <c r="L314" s="346" t="str">
        <f>IF(L$260="","",L$262*VLOOKUP(L$260&amp;" (All)",'Default Values'!$B$162:$CD$181,MATCH($B314,'Default Values'!$B$101:$CD$101,0),0))</f>
        <v/>
      </c>
      <c r="M314" s="346" t="str">
        <f>IF(M$260="","",M$262*VLOOKUP(M$260&amp;" (All)",'Default Values'!$B$162:$CD$181,MATCH($B314,'Default Values'!$B$101:$CD$101,0),0))</f>
        <v/>
      </c>
      <c r="N314" s="346" t="str">
        <f>IF(N$260="","",N$262*VLOOKUP(N$260&amp;" (All)",'Default Values'!$B$162:$CD$181,MATCH($B314,'Default Values'!$B$101:$CD$101,0),0))</f>
        <v/>
      </c>
      <c r="O314" s="346" t="str">
        <f>IF(O$260="","",O$262*VLOOKUP(O$260&amp;" (All)",'Default Values'!$B$162:$CD$181,MATCH($B314,'Default Values'!$B$101:$CD$101,0),0))</f>
        <v/>
      </c>
      <c r="P314" s="346" t="str">
        <f>IF(P$260="","",P$262*VLOOKUP(P$260&amp;" (All)",'Default Values'!$B$162:$CD$181,MATCH($B314,'Default Values'!$B$101:$CD$101,0),0))</f>
        <v/>
      </c>
      <c r="Q314" s="346" t="str">
        <f>IF(Q$260="","",Q$262*VLOOKUP(Q$260&amp;" (All)",'Default Values'!$B$162:$CD$181,MATCH($B314,'Default Values'!$B$101:$CD$101,0),0))</f>
        <v/>
      </c>
      <c r="R314" s="346" t="str">
        <f>IF(R$260="","",R$262*VLOOKUP(R$260&amp;" (All)",'Default Values'!$B$162:$CD$181,MATCH($B314,'Default Values'!$B$101:$CD$101,0),0))</f>
        <v/>
      </c>
      <c r="S314" s="346" t="str">
        <f>IF(S$260="","",S$262*VLOOKUP(S$260&amp;" (All)",'Default Values'!$B$162:$CD$181,MATCH($B314,'Default Values'!$B$101:$CD$101,0),0))</f>
        <v/>
      </c>
      <c r="T314" s="346" t="str">
        <f>IF(T$260="","",T$262*VLOOKUP(T$260&amp;" (All)",'Default Values'!$B$162:$CD$181,MATCH($B314,'Default Values'!$B$101:$CD$101,0),0))</f>
        <v/>
      </c>
      <c r="U314" s="346" t="str">
        <f>IF(U$260="","",U$262*VLOOKUP(U$260&amp;" (All)",'Default Values'!$B$162:$CD$181,MATCH($B314,'Default Values'!$B$101:$CD$101,0),0))</f>
        <v/>
      </c>
      <c r="V314" s="346" t="str">
        <f>IF(V$260="","",V$262*VLOOKUP(V$260&amp;" (All)",'Default Values'!$B$162:$CD$181,MATCH($B314,'Default Values'!$B$101:$CD$101,0),0))</f>
        <v/>
      </c>
      <c r="W314" s="346" t="str">
        <f>IF(W$260="","",W$262*VLOOKUP(W$260&amp;" (All)",'Default Values'!$B$162:$CD$181,MATCH($B314,'Default Values'!$B$101:$CD$101,0),0))</f>
        <v/>
      </c>
      <c r="X314" s="346" t="str">
        <f>IF(X$260="","",X$262*VLOOKUP(X$260&amp;" (All)",'Default Values'!$B$162:$CD$181,MATCH($B314,'Default Values'!$B$101:$CD$101,0),0))</f>
        <v/>
      </c>
      <c r="Y314" s="346" t="str">
        <f>IF(Y$260="","",Y$262*VLOOKUP(Y$260&amp;" (All)",'Default Values'!$B$162:$CD$181,MATCH($B314,'Default Values'!$B$101:$CD$101,0),0))</f>
        <v/>
      </c>
      <c r="Z314" s="346" t="str">
        <f>IF(Z$260="","",Z$262*VLOOKUP(Z$260&amp;" (All)",'Default Values'!$B$162:$CD$181,MATCH($B314,'Default Values'!$B$101:$CD$101,0),0))</f>
        <v/>
      </c>
      <c r="AA314" s="346" t="str">
        <f>IF(AA$260="","",AA$262*VLOOKUP(AA$260&amp;" (All)",'Default Values'!$B$162:$CD$181,MATCH($B314,'Default Values'!$B$101:$CD$101,0),0))</f>
        <v/>
      </c>
      <c r="AB314" s="346" t="str">
        <f>IF(AB$260="","",AB$262*VLOOKUP(AB$260&amp;" (All)",'Default Values'!$B$162:$CD$181,MATCH($B314,'Default Values'!$B$101:$CD$101,0),0))</f>
        <v/>
      </c>
      <c r="AC314" s="346" t="str">
        <f>IF(AC$260="","",AC$262*VLOOKUP(AC$260&amp;" (All)",'Default Values'!$B$162:$CD$181,MATCH($B314,'Default Values'!$B$101:$CD$101,0),0))</f>
        <v/>
      </c>
      <c r="AD314" s="346" t="str">
        <f>IF(AD$260="","",AD$262*VLOOKUP(AD$260&amp;" (All)",'Default Values'!$B$162:$CD$181,MATCH($B314,'Default Values'!$B$101:$CD$101,0),0))</f>
        <v/>
      </c>
      <c r="AE314" s="346" t="str">
        <f>IF(AE$260="","",AE$262*VLOOKUP(AE$260&amp;" (All)",'Default Values'!$B$162:$CD$181,MATCH($B314,'Default Values'!$B$101:$CD$101,0),0))</f>
        <v/>
      </c>
      <c r="AF314" s="346" t="str">
        <f>IF(AF$260="","",AF$262*VLOOKUP(AF$260&amp;" (All)",'Default Values'!$B$162:$CD$181,MATCH($B314,'Default Values'!$B$101:$CD$101,0),0))</f>
        <v/>
      </c>
      <c r="AG314" s="346" t="str">
        <f>IF(AG$260="","",AG$262*VLOOKUP(AG$260&amp;" (All)",'Default Values'!$B$162:$CD$181,MATCH($B314,'Default Values'!$B$101:$CD$101,0),0))</f>
        <v/>
      </c>
      <c r="AH314" s="346" t="str">
        <f>IF(AH$260="","",AH$262*VLOOKUP(AH$260&amp;" (All)",'Default Values'!$B$162:$CD$181,MATCH($B314,'Default Values'!$B$101:$CD$101,0),0))</f>
        <v/>
      </c>
      <c r="AI314" s="346" t="str">
        <f>IF(AI$260="","",AI$262*VLOOKUP(AI$260&amp;" (All)",'Default Values'!$B$162:$CD$181,MATCH($B314,'Default Values'!$B$101:$CD$101,0),0))</f>
        <v/>
      </c>
      <c r="AJ314" s="346" t="str">
        <f>IF(AJ$260="","",AJ$262*VLOOKUP(AJ$260&amp;" (All)",'Default Values'!$B$162:$CD$181,MATCH($B314,'Default Values'!$B$101:$CD$101,0),0))</f>
        <v/>
      </c>
      <c r="AK314" s="346" t="str">
        <f>IF(AK$260="","",AK$262*VLOOKUP(AK$260&amp;" (All)",'Default Values'!$B$162:$CD$181,MATCH($B314,'Default Values'!$B$101:$CD$101,0),0))</f>
        <v/>
      </c>
      <c r="AL314" s="346" t="str">
        <f>IF(AL$260="","",AL$262*VLOOKUP(AL$260&amp;" (All)",'Default Values'!$B$162:$CD$181,MATCH($B314,'Default Values'!$B$101:$CD$101,0),0))</f>
        <v/>
      </c>
      <c r="AM314" s="346" t="str">
        <f>IF(AM$260="","",AM$262*VLOOKUP(AM$260&amp;" (All)",'Default Values'!$B$162:$CD$181,MATCH($B314,'Default Values'!$B$101:$CD$101,0),0))</f>
        <v/>
      </c>
      <c r="AN314" s="346" t="str">
        <f>IF(AN$260="","",AN$262*VLOOKUP(AN$260&amp;" (All)",'Default Values'!$B$162:$CD$181,MATCH($B314,'Default Values'!$B$101:$CD$101,0),0))</f>
        <v/>
      </c>
      <c r="AO314" s="346" t="str">
        <f>IF(AO$260="","",AO$262*VLOOKUP(AO$260&amp;" (All)",'Default Values'!$B$162:$CD$181,MATCH($B314,'Default Values'!$B$101:$CD$101,0),0))</f>
        <v/>
      </c>
      <c r="AP314" s="346" t="str">
        <f>IF(AP$260="","",AP$262*VLOOKUP(AP$260&amp;" (All)",'Default Values'!$B$162:$CD$181,MATCH($B314,'Default Values'!$B$101:$CD$101,0),0))</f>
        <v/>
      </c>
      <c r="AQ314" s="346" t="str">
        <f>IF(AQ$260="","",AQ$262*VLOOKUP(AQ$260&amp;" (All)",'Default Values'!$B$162:$CD$181,MATCH($B314,'Default Values'!$B$101:$CD$101,0),0))</f>
        <v/>
      </c>
      <c r="AR314" s="346">
        <f>IF(AR$260="","",AR$262*VLOOKUP(AR$260&amp;" (All)",'Default Values'!$B$162:$CD$181,MATCH($B314,'Default Values'!$B$101:$CD$101,0),0))</f>
        <v>0</v>
      </c>
      <c r="AS314" s="217"/>
      <c r="AT314" s="217"/>
      <c r="AU314" s="217"/>
      <c r="AV314" s="217"/>
      <c r="AW314" s="217"/>
      <c r="AX314" s="217"/>
      <c r="AY314" s="217"/>
      <c r="AZ314" s="217"/>
      <c r="BA314" s="217"/>
      <c r="BB314" s="217"/>
      <c r="BC314" s="217"/>
      <c r="BD314" s="217"/>
      <c r="BE314" s="217"/>
      <c r="BF314" s="217"/>
      <c r="BG314" s="217"/>
      <c r="BH314" s="217"/>
      <c r="BI314" s="217"/>
      <c r="BJ314" s="217"/>
      <c r="BK314" s="217"/>
      <c r="BL314" s="217"/>
      <c r="BM314" s="217"/>
      <c r="BN314" s="217"/>
      <c r="BO314" s="217"/>
      <c r="BP314" s="217"/>
      <c r="BQ314" s="217"/>
      <c r="BR314" s="217"/>
      <c r="BS314" s="217"/>
      <c r="BT314" s="217"/>
      <c r="BU314" s="217"/>
      <c r="BV314" s="217"/>
      <c r="BW314" s="217"/>
      <c r="BX314" s="217"/>
      <c r="BY314" s="217"/>
      <c r="BZ314" s="217"/>
      <c r="CA314" s="217"/>
      <c r="CB314" s="217"/>
      <c r="CC314" s="217"/>
      <c r="CD314" s="217"/>
      <c r="CE314" s="217"/>
      <c r="CF314" s="217"/>
      <c r="CG314" s="217"/>
      <c r="CH314" s="217"/>
      <c r="CI314" s="217"/>
      <c r="CJ314" s="217"/>
      <c r="CK314" s="217"/>
      <c r="CL314" s="217"/>
      <c r="CM314" s="217"/>
      <c r="CN314" s="217"/>
      <c r="CO314" s="217"/>
      <c r="CP314" s="217"/>
      <c r="CQ314" s="217"/>
      <c r="CR314" s="217"/>
      <c r="CS314" s="217"/>
      <c r="CT314" s="217"/>
      <c r="CU314" s="217"/>
      <c r="CV314" s="217"/>
      <c r="CW314" s="217"/>
      <c r="CX314" s="217"/>
      <c r="CY314" s="217"/>
      <c r="CZ314" s="217"/>
      <c r="DA314" s="217"/>
      <c r="DB314" s="217"/>
      <c r="DC314" s="217"/>
      <c r="DD314" s="217"/>
      <c r="DE314" s="217"/>
      <c r="DF314" s="217"/>
      <c r="DG314" s="217"/>
      <c r="DH314" s="217"/>
      <c r="DI314" s="217"/>
      <c r="DJ314" s="217"/>
      <c r="DK314" s="217"/>
      <c r="DL314" s="217"/>
      <c r="DM314" s="217"/>
      <c r="DN314" s="217"/>
      <c r="DO314" s="217"/>
      <c r="DP314" s="217"/>
      <c r="DQ314" s="217"/>
      <c r="DR314" s="217"/>
      <c r="DS314" s="217"/>
      <c r="DT314" s="217"/>
    </row>
    <row r="315" spans="1:124" x14ac:dyDescent="0.3">
      <c r="A315" s="217"/>
      <c r="B315" s="342" t="s">
        <v>237</v>
      </c>
      <c r="C315" s="345">
        <f t="shared" si="340"/>
        <v>0</v>
      </c>
      <c r="D315" s="346" t="str">
        <f>IF(D$260="","",D$262*VLOOKUP(D$260&amp;" (All)",'Default Values'!$B$162:$CD$181,MATCH($B315,'Default Values'!$B$101:$CD$101,0),0))</f>
        <v/>
      </c>
      <c r="E315" s="346" t="str">
        <f>IF(E$260="","",E$262*VLOOKUP(E$260&amp;" (All)",'Default Values'!$B$162:$CD$181,MATCH($B315,'Default Values'!$B$101:$CD$101,0),0))</f>
        <v/>
      </c>
      <c r="F315" s="346" t="str">
        <f>IF(F$260="","",F$262*VLOOKUP(F$260&amp;" (All)",'Default Values'!$B$162:$CD$181,MATCH($B315,'Default Values'!$B$101:$CD$101,0),0))</f>
        <v/>
      </c>
      <c r="G315" s="346" t="str">
        <f>IF(G$260="","",G$262*VLOOKUP(G$260&amp;" (All)",'Default Values'!$B$162:$CD$181,MATCH($B315,'Default Values'!$B$101:$CD$101,0),0))</f>
        <v/>
      </c>
      <c r="H315" s="346" t="str">
        <f>IF(H$260="","",H$262*VLOOKUP(H$260&amp;" (All)",'Default Values'!$B$162:$CD$181,MATCH($B315,'Default Values'!$B$101:$CD$101,0),0))</f>
        <v/>
      </c>
      <c r="I315" s="346" t="str">
        <f>IF(I$260="","",I$262*VLOOKUP(I$260&amp;" (All)",'Default Values'!$B$162:$CD$181,MATCH($B315,'Default Values'!$B$101:$CD$101,0),0))</f>
        <v/>
      </c>
      <c r="J315" s="346" t="str">
        <f>IF(J$260="","",J$262*VLOOKUP(J$260&amp;" (All)",'Default Values'!$B$162:$CD$181,MATCH($B315,'Default Values'!$B$101:$CD$101,0),0))</f>
        <v/>
      </c>
      <c r="K315" s="346" t="str">
        <f>IF(K$260="","",K$262*VLOOKUP(K$260&amp;" (All)",'Default Values'!$B$162:$CD$181,MATCH($B315,'Default Values'!$B$101:$CD$101,0),0))</f>
        <v/>
      </c>
      <c r="L315" s="346" t="str">
        <f>IF(L$260="","",L$262*VLOOKUP(L$260&amp;" (All)",'Default Values'!$B$162:$CD$181,MATCH($B315,'Default Values'!$B$101:$CD$101,0),0))</f>
        <v/>
      </c>
      <c r="M315" s="346" t="str">
        <f>IF(M$260="","",M$262*VLOOKUP(M$260&amp;" (All)",'Default Values'!$B$162:$CD$181,MATCH($B315,'Default Values'!$B$101:$CD$101,0),0))</f>
        <v/>
      </c>
      <c r="N315" s="346" t="str">
        <f>IF(N$260="","",N$262*VLOOKUP(N$260&amp;" (All)",'Default Values'!$B$162:$CD$181,MATCH($B315,'Default Values'!$B$101:$CD$101,0),0))</f>
        <v/>
      </c>
      <c r="O315" s="346" t="str">
        <f>IF(O$260="","",O$262*VLOOKUP(O$260&amp;" (All)",'Default Values'!$B$162:$CD$181,MATCH($B315,'Default Values'!$B$101:$CD$101,0),0))</f>
        <v/>
      </c>
      <c r="P315" s="346" t="str">
        <f>IF(P$260="","",P$262*VLOOKUP(P$260&amp;" (All)",'Default Values'!$B$162:$CD$181,MATCH($B315,'Default Values'!$B$101:$CD$101,0),0))</f>
        <v/>
      </c>
      <c r="Q315" s="346" t="str">
        <f>IF(Q$260="","",Q$262*VLOOKUP(Q$260&amp;" (All)",'Default Values'!$B$162:$CD$181,MATCH($B315,'Default Values'!$B$101:$CD$101,0),0))</f>
        <v/>
      </c>
      <c r="R315" s="346" t="str">
        <f>IF(R$260="","",R$262*VLOOKUP(R$260&amp;" (All)",'Default Values'!$B$162:$CD$181,MATCH($B315,'Default Values'!$B$101:$CD$101,0),0))</f>
        <v/>
      </c>
      <c r="S315" s="346" t="str">
        <f>IF(S$260="","",S$262*VLOOKUP(S$260&amp;" (All)",'Default Values'!$B$162:$CD$181,MATCH($B315,'Default Values'!$B$101:$CD$101,0),0))</f>
        <v/>
      </c>
      <c r="T315" s="346" t="str">
        <f>IF(T$260="","",T$262*VLOOKUP(T$260&amp;" (All)",'Default Values'!$B$162:$CD$181,MATCH($B315,'Default Values'!$B$101:$CD$101,0),0))</f>
        <v/>
      </c>
      <c r="U315" s="346" t="str">
        <f>IF(U$260="","",U$262*VLOOKUP(U$260&amp;" (All)",'Default Values'!$B$162:$CD$181,MATCH($B315,'Default Values'!$B$101:$CD$101,0),0))</f>
        <v/>
      </c>
      <c r="V315" s="346" t="str">
        <f>IF(V$260="","",V$262*VLOOKUP(V$260&amp;" (All)",'Default Values'!$B$162:$CD$181,MATCH($B315,'Default Values'!$B$101:$CD$101,0),0))</f>
        <v/>
      </c>
      <c r="W315" s="346" t="str">
        <f>IF(W$260="","",W$262*VLOOKUP(W$260&amp;" (All)",'Default Values'!$B$162:$CD$181,MATCH($B315,'Default Values'!$B$101:$CD$101,0),0))</f>
        <v/>
      </c>
      <c r="X315" s="346" t="str">
        <f>IF(X$260="","",X$262*VLOOKUP(X$260&amp;" (All)",'Default Values'!$B$162:$CD$181,MATCH($B315,'Default Values'!$B$101:$CD$101,0),0))</f>
        <v/>
      </c>
      <c r="Y315" s="346" t="str">
        <f>IF(Y$260="","",Y$262*VLOOKUP(Y$260&amp;" (All)",'Default Values'!$B$162:$CD$181,MATCH($B315,'Default Values'!$B$101:$CD$101,0),0))</f>
        <v/>
      </c>
      <c r="Z315" s="346" t="str">
        <f>IF(Z$260="","",Z$262*VLOOKUP(Z$260&amp;" (All)",'Default Values'!$B$162:$CD$181,MATCH($B315,'Default Values'!$B$101:$CD$101,0),0))</f>
        <v/>
      </c>
      <c r="AA315" s="346" t="str">
        <f>IF(AA$260="","",AA$262*VLOOKUP(AA$260&amp;" (All)",'Default Values'!$B$162:$CD$181,MATCH($B315,'Default Values'!$B$101:$CD$101,0),0))</f>
        <v/>
      </c>
      <c r="AB315" s="346" t="str">
        <f>IF(AB$260="","",AB$262*VLOOKUP(AB$260&amp;" (All)",'Default Values'!$B$162:$CD$181,MATCH($B315,'Default Values'!$B$101:$CD$101,0),0))</f>
        <v/>
      </c>
      <c r="AC315" s="346" t="str">
        <f>IF(AC$260="","",AC$262*VLOOKUP(AC$260&amp;" (All)",'Default Values'!$B$162:$CD$181,MATCH($B315,'Default Values'!$B$101:$CD$101,0),0))</f>
        <v/>
      </c>
      <c r="AD315" s="346" t="str">
        <f>IF(AD$260="","",AD$262*VLOOKUP(AD$260&amp;" (All)",'Default Values'!$B$162:$CD$181,MATCH($B315,'Default Values'!$B$101:$CD$101,0),0))</f>
        <v/>
      </c>
      <c r="AE315" s="346" t="str">
        <f>IF(AE$260="","",AE$262*VLOOKUP(AE$260&amp;" (All)",'Default Values'!$B$162:$CD$181,MATCH($B315,'Default Values'!$B$101:$CD$101,0),0))</f>
        <v/>
      </c>
      <c r="AF315" s="346" t="str">
        <f>IF(AF$260="","",AF$262*VLOOKUP(AF$260&amp;" (All)",'Default Values'!$B$162:$CD$181,MATCH($B315,'Default Values'!$B$101:$CD$101,0),0))</f>
        <v/>
      </c>
      <c r="AG315" s="346" t="str">
        <f>IF(AG$260="","",AG$262*VLOOKUP(AG$260&amp;" (All)",'Default Values'!$B$162:$CD$181,MATCH($B315,'Default Values'!$B$101:$CD$101,0),0))</f>
        <v/>
      </c>
      <c r="AH315" s="346" t="str">
        <f>IF(AH$260="","",AH$262*VLOOKUP(AH$260&amp;" (All)",'Default Values'!$B$162:$CD$181,MATCH($B315,'Default Values'!$B$101:$CD$101,0),0))</f>
        <v/>
      </c>
      <c r="AI315" s="346" t="str">
        <f>IF(AI$260="","",AI$262*VLOOKUP(AI$260&amp;" (All)",'Default Values'!$B$162:$CD$181,MATCH($B315,'Default Values'!$B$101:$CD$101,0),0))</f>
        <v/>
      </c>
      <c r="AJ315" s="346" t="str">
        <f>IF(AJ$260="","",AJ$262*VLOOKUP(AJ$260&amp;" (All)",'Default Values'!$B$162:$CD$181,MATCH($B315,'Default Values'!$B$101:$CD$101,0),0))</f>
        <v/>
      </c>
      <c r="AK315" s="346" t="str">
        <f>IF(AK$260="","",AK$262*VLOOKUP(AK$260&amp;" (All)",'Default Values'!$B$162:$CD$181,MATCH($B315,'Default Values'!$B$101:$CD$101,0),0))</f>
        <v/>
      </c>
      <c r="AL315" s="346" t="str">
        <f>IF(AL$260="","",AL$262*VLOOKUP(AL$260&amp;" (All)",'Default Values'!$B$162:$CD$181,MATCH($B315,'Default Values'!$B$101:$CD$101,0),0))</f>
        <v/>
      </c>
      <c r="AM315" s="346" t="str">
        <f>IF(AM$260="","",AM$262*VLOOKUP(AM$260&amp;" (All)",'Default Values'!$B$162:$CD$181,MATCH($B315,'Default Values'!$B$101:$CD$101,0),0))</f>
        <v/>
      </c>
      <c r="AN315" s="346" t="str">
        <f>IF(AN$260="","",AN$262*VLOOKUP(AN$260&amp;" (All)",'Default Values'!$B$162:$CD$181,MATCH($B315,'Default Values'!$B$101:$CD$101,0),0))</f>
        <v/>
      </c>
      <c r="AO315" s="346" t="str">
        <f>IF(AO$260="","",AO$262*VLOOKUP(AO$260&amp;" (All)",'Default Values'!$B$162:$CD$181,MATCH($B315,'Default Values'!$B$101:$CD$101,0),0))</f>
        <v/>
      </c>
      <c r="AP315" s="346" t="str">
        <f>IF(AP$260="","",AP$262*VLOOKUP(AP$260&amp;" (All)",'Default Values'!$B$162:$CD$181,MATCH($B315,'Default Values'!$B$101:$CD$101,0),0))</f>
        <v/>
      </c>
      <c r="AQ315" s="346" t="str">
        <f>IF(AQ$260="","",AQ$262*VLOOKUP(AQ$260&amp;" (All)",'Default Values'!$B$162:$CD$181,MATCH($B315,'Default Values'!$B$101:$CD$101,0),0))</f>
        <v/>
      </c>
      <c r="AR315" s="346">
        <f>IF(AR$260="","",AR$262*VLOOKUP(AR$260&amp;" (All)",'Default Values'!$B$162:$CD$181,MATCH($B315,'Default Values'!$B$101:$CD$101,0),0))</f>
        <v>0</v>
      </c>
      <c r="AS315" s="217"/>
      <c r="AT315" s="217"/>
      <c r="AU315" s="217"/>
      <c r="AV315" s="217"/>
      <c r="AW315" s="217"/>
      <c r="AX315" s="217"/>
      <c r="AY315" s="217"/>
      <c r="AZ315" s="217"/>
      <c r="BA315" s="217"/>
      <c r="BB315" s="217"/>
      <c r="BC315" s="217"/>
      <c r="BD315" s="217"/>
      <c r="BE315" s="217"/>
      <c r="BF315" s="217"/>
      <c r="BG315" s="217"/>
      <c r="BH315" s="217"/>
      <c r="BI315" s="217"/>
      <c r="BJ315" s="217"/>
      <c r="BK315" s="217"/>
      <c r="BL315" s="217"/>
      <c r="BM315" s="217"/>
      <c r="BN315" s="217"/>
      <c r="BO315" s="217"/>
      <c r="BP315" s="217"/>
      <c r="BQ315" s="217"/>
      <c r="BR315" s="217"/>
      <c r="BS315" s="217"/>
      <c r="BT315" s="217"/>
      <c r="BU315" s="217"/>
      <c r="BV315" s="217"/>
      <c r="BW315" s="217"/>
      <c r="BX315" s="217"/>
      <c r="BY315" s="217"/>
      <c r="BZ315" s="217"/>
      <c r="CA315" s="217"/>
      <c r="CB315" s="217"/>
      <c r="CC315" s="217"/>
      <c r="CD315" s="217"/>
      <c r="CE315" s="217"/>
      <c r="CF315" s="217"/>
      <c r="CG315" s="217"/>
      <c r="CH315" s="217"/>
      <c r="CI315" s="217"/>
      <c r="CJ315" s="217"/>
      <c r="CK315" s="217"/>
      <c r="CL315" s="217"/>
      <c r="CM315" s="217"/>
      <c r="CN315" s="217"/>
      <c r="CO315" s="217"/>
      <c r="CP315" s="217"/>
      <c r="CQ315" s="217"/>
      <c r="CR315" s="217"/>
      <c r="CS315" s="217"/>
      <c r="CT315" s="217"/>
      <c r="CU315" s="217"/>
      <c r="CV315" s="217"/>
      <c r="CW315" s="217"/>
      <c r="CX315" s="217"/>
      <c r="CY315" s="217"/>
      <c r="CZ315" s="217"/>
      <c r="DA315" s="217"/>
      <c r="DB315" s="217"/>
      <c r="DC315" s="217"/>
      <c r="DD315" s="217"/>
      <c r="DE315" s="217"/>
      <c r="DF315" s="217"/>
      <c r="DG315" s="217"/>
      <c r="DH315" s="217"/>
      <c r="DI315" s="217"/>
      <c r="DJ315" s="217"/>
      <c r="DK315" s="217"/>
      <c r="DL315" s="217"/>
      <c r="DM315" s="217"/>
      <c r="DN315" s="217"/>
      <c r="DO315" s="217"/>
      <c r="DP315" s="217"/>
      <c r="DQ315" s="217"/>
      <c r="DR315" s="217"/>
      <c r="DS315" s="217"/>
      <c r="DT315" s="217"/>
    </row>
    <row r="316" spans="1:124" x14ac:dyDescent="0.3">
      <c r="A316" s="217"/>
      <c r="B316" s="342" t="s">
        <v>239</v>
      </c>
      <c r="C316" s="345">
        <f t="shared" si="340"/>
        <v>0</v>
      </c>
      <c r="D316" s="346" t="str">
        <f>IF(D$260="","",D$262*VLOOKUP(D$260&amp;" (All)",'Default Values'!$B$162:$CD$181,MATCH($B316,'Default Values'!$B$101:$CD$101,0),0))</f>
        <v/>
      </c>
      <c r="E316" s="346" t="str">
        <f>IF(E$260="","",E$262*VLOOKUP(E$260&amp;" (All)",'Default Values'!$B$162:$CD$181,MATCH($B316,'Default Values'!$B$101:$CD$101,0),0))</f>
        <v/>
      </c>
      <c r="F316" s="346" t="str">
        <f>IF(F$260="","",F$262*VLOOKUP(F$260&amp;" (All)",'Default Values'!$B$162:$CD$181,MATCH($B316,'Default Values'!$B$101:$CD$101,0),0))</f>
        <v/>
      </c>
      <c r="G316" s="346" t="str">
        <f>IF(G$260="","",G$262*VLOOKUP(G$260&amp;" (All)",'Default Values'!$B$162:$CD$181,MATCH($B316,'Default Values'!$B$101:$CD$101,0),0))</f>
        <v/>
      </c>
      <c r="H316" s="346" t="str">
        <f>IF(H$260="","",H$262*VLOOKUP(H$260&amp;" (All)",'Default Values'!$B$162:$CD$181,MATCH($B316,'Default Values'!$B$101:$CD$101,0),0))</f>
        <v/>
      </c>
      <c r="I316" s="346" t="str">
        <f>IF(I$260="","",I$262*VLOOKUP(I$260&amp;" (All)",'Default Values'!$B$162:$CD$181,MATCH($B316,'Default Values'!$B$101:$CD$101,0),0))</f>
        <v/>
      </c>
      <c r="J316" s="346" t="str">
        <f>IF(J$260="","",J$262*VLOOKUP(J$260&amp;" (All)",'Default Values'!$B$162:$CD$181,MATCH($B316,'Default Values'!$B$101:$CD$101,0),0))</f>
        <v/>
      </c>
      <c r="K316" s="346" t="str">
        <f>IF(K$260="","",K$262*VLOOKUP(K$260&amp;" (All)",'Default Values'!$B$162:$CD$181,MATCH($B316,'Default Values'!$B$101:$CD$101,0),0))</f>
        <v/>
      </c>
      <c r="L316" s="346" t="str">
        <f>IF(L$260="","",L$262*VLOOKUP(L$260&amp;" (All)",'Default Values'!$B$162:$CD$181,MATCH($B316,'Default Values'!$B$101:$CD$101,0),0))</f>
        <v/>
      </c>
      <c r="M316" s="346" t="str">
        <f>IF(M$260="","",M$262*VLOOKUP(M$260&amp;" (All)",'Default Values'!$B$162:$CD$181,MATCH($B316,'Default Values'!$B$101:$CD$101,0),0))</f>
        <v/>
      </c>
      <c r="N316" s="346" t="str">
        <f>IF(N$260="","",N$262*VLOOKUP(N$260&amp;" (All)",'Default Values'!$B$162:$CD$181,MATCH($B316,'Default Values'!$B$101:$CD$101,0),0))</f>
        <v/>
      </c>
      <c r="O316" s="346" t="str">
        <f>IF(O$260="","",O$262*VLOOKUP(O$260&amp;" (All)",'Default Values'!$B$162:$CD$181,MATCH($B316,'Default Values'!$B$101:$CD$101,0),0))</f>
        <v/>
      </c>
      <c r="P316" s="346" t="str">
        <f>IF(P$260="","",P$262*VLOOKUP(P$260&amp;" (All)",'Default Values'!$B$162:$CD$181,MATCH($B316,'Default Values'!$B$101:$CD$101,0),0))</f>
        <v/>
      </c>
      <c r="Q316" s="346" t="str">
        <f>IF(Q$260="","",Q$262*VLOOKUP(Q$260&amp;" (All)",'Default Values'!$B$162:$CD$181,MATCH($B316,'Default Values'!$B$101:$CD$101,0),0))</f>
        <v/>
      </c>
      <c r="R316" s="346" t="str">
        <f>IF(R$260="","",R$262*VLOOKUP(R$260&amp;" (All)",'Default Values'!$B$162:$CD$181,MATCH($B316,'Default Values'!$B$101:$CD$101,0),0))</f>
        <v/>
      </c>
      <c r="S316" s="346" t="str">
        <f>IF(S$260="","",S$262*VLOOKUP(S$260&amp;" (All)",'Default Values'!$B$162:$CD$181,MATCH($B316,'Default Values'!$B$101:$CD$101,0),0))</f>
        <v/>
      </c>
      <c r="T316" s="346" t="str">
        <f>IF(T$260="","",T$262*VLOOKUP(T$260&amp;" (All)",'Default Values'!$B$162:$CD$181,MATCH($B316,'Default Values'!$B$101:$CD$101,0),0))</f>
        <v/>
      </c>
      <c r="U316" s="346" t="str">
        <f>IF(U$260="","",U$262*VLOOKUP(U$260&amp;" (All)",'Default Values'!$B$162:$CD$181,MATCH($B316,'Default Values'!$B$101:$CD$101,0),0))</f>
        <v/>
      </c>
      <c r="V316" s="346" t="str">
        <f>IF(V$260="","",V$262*VLOOKUP(V$260&amp;" (All)",'Default Values'!$B$162:$CD$181,MATCH($B316,'Default Values'!$B$101:$CD$101,0),0))</f>
        <v/>
      </c>
      <c r="W316" s="346" t="str">
        <f>IF(W$260="","",W$262*VLOOKUP(W$260&amp;" (All)",'Default Values'!$B$162:$CD$181,MATCH($B316,'Default Values'!$B$101:$CD$101,0),0))</f>
        <v/>
      </c>
      <c r="X316" s="346" t="str">
        <f>IF(X$260="","",X$262*VLOOKUP(X$260&amp;" (All)",'Default Values'!$B$162:$CD$181,MATCH($B316,'Default Values'!$B$101:$CD$101,0),0))</f>
        <v/>
      </c>
      <c r="Y316" s="346" t="str">
        <f>IF(Y$260="","",Y$262*VLOOKUP(Y$260&amp;" (All)",'Default Values'!$B$162:$CD$181,MATCH($B316,'Default Values'!$B$101:$CD$101,0),0))</f>
        <v/>
      </c>
      <c r="Z316" s="346" t="str">
        <f>IF(Z$260="","",Z$262*VLOOKUP(Z$260&amp;" (All)",'Default Values'!$B$162:$CD$181,MATCH($B316,'Default Values'!$B$101:$CD$101,0),0))</f>
        <v/>
      </c>
      <c r="AA316" s="346" t="str">
        <f>IF(AA$260="","",AA$262*VLOOKUP(AA$260&amp;" (All)",'Default Values'!$B$162:$CD$181,MATCH($B316,'Default Values'!$B$101:$CD$101,0),0))</f>
        <v/>
      </c>
      <c r="AB316" s="346" t="str">
        <f>IF(AB$260="","",AB$262*VLOOKUP(AB$260&amp;" (All)",'Default Values'!$B$162:$CD$181,MATCH($B316,'Default Values'!$B$101:$CD$101,0),0))</f>
        <v/>
      </c>
      <c r="AC316" s="346" t="str">
        <f>IF(AC$260="","",AC$262*VLOOKUP(AC$260&amp;" (All)",'Default Values'!$B$162:$CD$181,MATCH($B316,'Default Values'!$B$101:$CD$101,0),0))</f>
        <v/>
      </c>
      <c r="AD316" s="346" t="str">
        <f>IF(AD$260="","",AD$262*VLOOKUP(AD$260&amp;" (All)",'Default Values'!$B$162:$CD$181,MATCH($B316,'Default Values'!$B$101:$CD$101,0),0))</f>
        <v/>
      </c>
      <c r="AE316" s="346" t="str">
        <f>IF(AE$260="","",AE$262*VLOOKUP(AE$260&amp;" (All)",'Default Values'!$B$162:$CD$181,MATCH($B316,'Default Values'!$B$101:$CD$101,0),0))</f>
        <v/>
      </c>
      <c r="AF316" s="346" t="str">
        <f>IF(AF$260="","",AF$262*VLOOKUP(AF$260&amp;" (All)",'Default Values'!$B$162:$CD$181,MATCH($B316,'Default Values'!$B$101:$CD$101,0),0))</f>
        <v/>
      </c>
      <c r="AG316" s="346" t="str">
        <f>IF(AG$260="","",AG$262*VLOOKUP(AG$260&amp;" (All)",'Default Values'!$B$162:$CD$181,MATCH($B316,'Default Values'!$B$101:$CD$101,0),0))</f>
        <v/>
      </c>
      <c r="AH316" s="346" t="str">
        <f>IF(AH$260="","",AH$262*VLOOKUP(AH$260&amp;" (All)",'Default Values'!$B$162:$CD$181,MATCH($B316,'Default Values'!$B$101:$CD$101,0),0))</f>
        <v/>
      </c>
      <c r="AI316" s="346" t="str">
        <f>IF(AI$260="","",AI$262*VLOOKUP(AI$260&amp;" (All)",'Default Values'!$B$162:$CD$181,MATCH($B316,'Default Values'!$B$101:$CD$101,0),0))</f>
        <v/>
      </c>
      <c r="AJ316" s="346" t="str">
        <f>IF(AJ$260="","",AJ$262*VLOOKUP(AJ$260&amp;" (All)",'Default Values'!$B$162:$CD$181,MATCH($B316,'Default Values'!$B$101:$CD$101,0),0))</f>
        <v/>
      </c>
      <c r="AK316" s="346" t="str">
        <f>IF(AK$260="","",AK$262*VLOOKUP(AK$260&amp;" (All)",'Default Values'!$B$162:$CD$181,MATCH($B316,'Default Values'!$B$101:$CD$101,0),0))</f>
        <v/>
      </c>
      <c r="AL316" s="346" t="str">
        <f>IF(AL$260="","",AL$262*VLOOKUP(AL$260&amp;" (All)",'Default Values'!$B$162:$CD$181,MATCH($B316,'Default Values'!$B$101:$CD$101,0),0))</f>
        <v/>
      </c>
      <c r="AM316" s="346" t="str">
        <f>IF(AM$260="","",AM$262*VLOOKUP(AM$260&amp;" (All)",'Default Values'!$B$162:$CD$181,MATCH($B316,'Default Values'!$B$101:$CD$101,0),0))</f>
        <v/>
      </c>
      <c r="AN316" s="346" t="str">
        <f>IF(AN$260="","",AN$262*VLOOKUP(AN$260&amp;" (All)",'Default Values'!$B$162:$CD$181,MATCH($B316,'Default Values'!$B$101:$CD$101,0),0))</f>
        <v/>
      </c>
      <c r="AO316" s="346" t="str">
        <f>IF(AO$260="","",AO$262*VLOOKUP(AO$260&amp;" (All)",'Default Values'!$B$162:$CD$181,MATCH($B316,'Default Values'!$B$101:$CD$101,0),0))</f>
        <v/>
      </c>
      <c r="AP316" s="346" t="str">
        <f>IF(AP$260="","",AP$262*VLOOKUP(AP$260&amp;" (All)",'Default Values'!$B$162:$CD$181,MATCH($B316,'Default Values'!$B$101:$CD$101,0),0))</f>
        <v/>
      </c>
      <c r="AQ316" s="346" t="str">
        <f>IF(AQ$260="","",AQ$262*VLOOKUP(AQ$260&amp;" (All)",'Default Values'!$B$162:$CD$181,MATCH($B316,'Default Values'!$B$101:$CD$101,0),0))</f>
        <v/>
      </c>
      <c r="AR316" s="346">
        <f>IF(AR$260="","",AR$262*VLOOKUP(AR$260&amp;" (All)",'Default Values'!$B$162:$CD$181,MATCH($B316,'Default Values'!$B$101:$CD$101,0),0))</f>
        <v>0</v>
      </c>
      <c r="AS316" s="217"/>
      <c r="AT316" s="217"/>
      <c r="AU316" s="217"/>
      <c r="AV316" s="217"/>
      <c r="AW316" s="217"/>
      <c r="AX316" s="217"/>
      <c r="AY316" s="217"/>
      <c r="AZ316" s="217"/>
      <c r="BA316" s="217"/>
      <c r="BB316" s="217"/>
      <c r="BC316" s="217"/>
      <c r="BD316" s="217"/>
      <c r="BE316" s="217"/>
      <c r="BF316" s="217"/>
      <c r="BG316" s="217"/>
      <c r="BH316" s="217"/>
      <c r="BI316" s="217"/>
      <c r="BJ316" s="217"/>
      <c r="BK316" s="217"/>
      <c r="BL316" s="217"/>
      <c r="BM316" s="217"/>
      <c r="BN316" s="217"/>
      <c r="BO316" s="217"/>
      <c r="BP316" s="217"/>
      <c r="BQ316" s="217"/>
      <c r="BR316" s="217"/>
      <c r="BS316" s="217"/>
      <c r="BT316" s="217"/>
      <c r="BU316" s="217"/>
      <c r="BV316" s="217"/>
      <c r="BW316" s="217"/>
      <c r="BX316" s="217"/>
      <c r="BY316" s="217"/>
      <c r="BZ316" s="217"/>
      <c r="CA316" s="217"/>
      <c r="CB316" s="217"/>
      <c r="CC316" s="217"/>
      <c r="CD316" s="217"/>
      <c r="CE316" s="217"/>
      <c r="CF316" s="217"/>
      <c r="CG316" s="217"/>
      <c r="CH316" s="217"/>
      <c r="CI316" s="217"/>
      <c r="CJ316" s="217"/>
      <c r="CK316" s="217"/>
      <c r="CL316" s="217"/>
      <c r="CM316" s="217"/>
      <c r="CN316" s="217"/>
      <c r="CO316" s="217"/>
      <c r="CP316" s="217"/>
      <c r="CQ316" s="217"/>
      <c r="CR316" s="217"/>
      <c r="CS316" s="217"/>
      <c r="CT316" s="217"/>
      <c r="CU316" s="217"/>
      <c r="CV316" s="217"/>
      <c r="CW316" s="217"/>
      <c r="CX316" s="217"/>
      <c r="CY316" s="217"/>
      <c r="CZ316" s="217"/>
      <c r="DA316" s="217"/>
      <c r="DB316" s="217"/>
      <c r="DC316" s="217"/>
      <c r="DD316" s="217"/>
      <c r="DE316" s="217"/>
      <c r="DF316" s="217"/>
      <c r="DG316" s="217"/>
      <c r="DH316" s="217"/>
      <c r="DI316" s="217"/>
      <c r="DJ316" s="217"/>
      <c r="DK316" s="217"/>
      <c r="DL316" s="217"/>
      <c r="DM316" s="217"/>
      <c r="DN316" s="217"/>
      <c r="DO316" s="217"/>
      <c r="DP316" s="217"/>
      <c r="DQ316" s="217"/>
      <c r="DR316" s="217"/>
      <c r="DS316" s="217"/>
      <c r="DT316" s="217"/>
    </row>
    <row r="317" spans="1:124" x14ac:dyDescent="0.3">
      <c r="A317" s="217"/>
      <c r="B317" s="342" t="s">
        <v>240</v>
      </c>
      <c r="C317" s="345">
        <f t="shared" si="340"/>
        <v>0</v>
      </c>
      <c r="D317" s="346" t="str">
        <f>IF(D$260="","",D$262*VLOOKUP(D$260&amp;" (All)",'Default Values'!$B$162:$CD$181,MATCH($B317,'Default Values'!$B$101:$CD$101,0),0))</f>
        <v/>
      </c>
      <c r="E317" s="346" t="str">
        <f>IF(E$260="","",E$262*VLOOKUP(E$260&amp;" (All)",'Default Values'!$B$162:$CD$181,MATCH($B317,'Default Values'!$B$101:$CD$101,0),0))</f>
        <v/>
      </c>
      <c r="F317" s="346" t="str">
        <f>IF(F$260="","",F$262*VLOOKUP(F$260&amp;" (All)",'Default Values'!$B$162:$CD$181,MATCH($B317,'Default Values'!$B$101:$CD$101,0),0))</f>
        <v/>
      </c>
      <c r="G317" s="346" t="str">
        <f>IF(G$260="","",G$262*VLOOKUP(G$260&amp;" (All)",'Default Values'!$B$162:$CD$181,MATCH($B317,'Default Values'!$B$101:$CD$101,0),0))</f>
        <v/>
      </c>
      <c r="H317" s="346" t="str">
        <f>IF(H$260="","",H$262*VLOOKUP(H$260&amp;" (All)",'Default Values'!$B$162:$CD$181,MATCH($B317,'Default Values'!$B$101:$CD$101,0),0))</f>
        <v/>
      </c>
      <c r="I317" s="346" t="str">
        <f>IF(I$260="","",I$262*VLOOKUP(I$260&amp;" (All)",'Default Values'!$B$162:$CD$181,MATCH($B317,'Default Values'!$B$101:$CD$101,0),0))</f>
        <v/>
      </c>
      <c r="J317" s="346" t="str">
        <f>IF(J$260="","",J$262*VLOOKUP(J$260&amp;" (All)",'Default Values'!$B$162:$CD$181,MATCH($B317,'Default Values'!$B$101:$CD$101,0),0))</f>
        <v/>
      </c>
      <c r="K317" s="346" t="str">
        <f>IF(K$260="","",K$262*VLOOKUP(K$260&amp;" (All)",'Default Values'!$B$162:$CD$181,MATCH($B317,'Default Values'!$B$101:$CD$101,0),0))</f>
        <v/>
      </c>
      <c r="L317" s="346" t="str">
        <f>IF(L$260="","",L$262*VLOOKUP(L$260&amp;" (All)",'Default Values'!$B$162:$CD$181,MATCH($B317,'Default Values'!$B$101:$CD$101,0),0))</f>
        <v/>
      </c>
      <c r="M317" s="346" t="str">
        <f>IF(M$260="","",M$262*VLOOKUP(M$260&amp;" (All)",'Default Values'!$B$162:$CD$181,MATCH($B317,'Default Values'!$B$101:$CD$101,0),0))</f>
        <v/>
      </c>
      <c r="N317" s="346" t="str">
        <f>IF(N$260="","",N$262*VLOOKUP(N$260&amp;" (All)",'Default Values'!$B$162:$CD$181,MATCH($B317,'Default Values'!$B$101:$CD$101,0),0))</f>
        <v/>
      </c>
      <c r="O317" s="346" t="str">
        <f>IF(O$260="","",O$262*VLOOKUP(O$260&amp;" (All)",'Default Values'!$B$162:$CD$181,MATCH($B317,'Default Values'!$B$101:$CD$101,0),0))</f>
        <v/>
      </c>
      <c r="P317" s="346" t="str">
        <f>IF(P$260="","",P$262*VLOOKUP(P$260&amp;" (All)",'Default Values'!$B$162:$CD$181,MATCH($B317,'Default Values'!$B$101:$CD$101,0),0))</f>
        <v/>
      </c>
      <c r="Q317" s="346" t="str">
        <f>IF(Q$260="","",Q$262*VLOOKUP(Q$260&amp;" (All)",'Default Values'!$B$162:$CD$181,MATCH($B317,'Default Values'!$B$101:$CD$101,0),0))</f>
        <v/>
      </c>
      <c r="R317" s="346" t="str">
        <f>IF(R$260="","",R$262*VLOOKUP(R$260&amp;" (All)",'Default Values'!$B$162:$CD$181,MATCH($B317,'Default Values'!$B$101:$CD$101,0),0))</f>
        <v/>
      </c>
      <c r="S317" s="346" t="str">
        <f>IF(S$260="","",S$262*VLOOKUP(S$260&amp;" (All)",'Default Values'!$B$162:$CD$181,MATCH($B317,'Default Values'!$B$101:$CD$101,0),0))</f>
        <v/>
      </c>
      <c r="T317" s="346" t="str">
        <f>IF(T$260="","",T$262*VLOOKUP(T$260&amp;" (All)",'Default Values'!$B$162:$CD$181,MATCH($B317,'Default Values'!$B$101:$CD$101,0),0))</f>
        <v/>
      </c>
      <c r="U317" s="346" t="str">
        <f>IF(U$260="","",U$262*VLOOKUP(U$260&amp;" (All)",'Default Values'!$B$162:$CD$181,MATCH($B317,'Default Values'!$B$101:$CD$101,0),0))</f>
        <v/>
      </c>
      <c r="V317" s="346" t="str">
        <f>IF(V$260="","",V$262*VLOOKUP(V$260&amp;" (All)",'Default Values'!$B$162:$CD$181,MATCH($B317,'Default Values'!$B$101:$CD$101,0),0))</f>
        <v/>
      </c>
      <c r="W317" s="346" t="str">
        <f>IF(W$260="","",W$262*VLOOKUP(W$260&amp;" (All)",'Default Values'!$B$162:$CD$181,MATCH($B317,'Default Values'!$B$101:$CD$101,0),0))</f>
        <v/>
      </c>
      <c r="X317" s="346" t="str">
        <f>IF(X$260="","",X$262*VLOOKUP(X$260&amp;" (All)",'Default Values'!$B$162:$CD$181,MATCH($B317,'Default Values'!$B$101:$CD$101,0),0))</f>
        <v/>
      </c>
      <c r="Y317" s="346" t="str">
        <f>IF(Y$260="","",Y$262*VLOOKUP(Y$260&amp;" (All)",'Default Values'!$B$162:$CD$181,MATCH($B317,'Default Values'!$B$101:$CD$101,0),0))</f>
        <v/>
      </c>
      <c r="Z317" s="346" t="str">
        <f>IF(Z$260="","",Z$262*VLOOKUP(Z$260&amp;" (All)",'Default Values'!$B$162:$CD$181,MATCH($B317,'Default Values'!$B$101:$CD$101,0),0))</f>
        <v/>
      </c>
      <c r="AA317" s="346" t="str">
        <f>IF(AA$260="","",AA$262*VLOOKUP(AA$260&amp;" (All)",'Default Values'!$B$162:$CD$181,MATCH($B317,'Default Values'!$B$101:$CD$101,0),0))</f>
        <v/>
      </c>
      <c r="AB317" s="346" t="str">
        <f>IF(AB$260="","",AB$262*VLOOKUP(AB$260&amp;" (All)",'Default Values'!$B$162:$CD$181,MATCH($B317,'Default Values'!$B$101:$CD$101,0),0))</f>
        <v/>
      </c>
      <c r="AC317" s="346" t="str">
        <f>IF(AC$260="","",AC$262*VLOOKUP(AC$260&amp;" (All)",'Default Values'!$B$162:$CD$181,MATCH($B317,'Default Values'!$B$101:$CD$101,0),0))</f>
        <v/>
      </c>
      <c r="AD317" s="346" t="str">
        <f>IF(AD$260="","",AD$262*VLOOKUP(AD$260&amp;" (All)",'Default Values'!$B$162:$CD$181,MATCH($B317,'Default Values'!$B$101:$CD$101,0),0))</f>
        <v/>
      </c>
      <c r="AE317" s="346" t="str">
        <f>IF(AE$260="","",AE$262*VLOOKUP(AE$260&amp;" (All)",'Default Values'!$B$162:$CD$181,MATCH($B317,'Default Values'!$B$101:$CD$101,0),0))</f>
        <v/>
      </c>
      <c r="AF317" s="346" t="str">
        <f>IF(AF$260="","",AF$262*VLOOKUP(AF$260&amp;" (All)",'Default Values'!$B$162:$CD$181,MATCH($B317,'Default Values'!$B$101:$CD$101,0),0))</f>
        <v/>
      </c>
      <c r="AG317" s="346" t="str">
        <f>IF(AG$260="","",AG$262*VLOOKUP(AG$260&amp;" (All)",'Default Values'!$B$162:$CD$181,MATCH($B317,'Default Values'!$B$101:$CD$101,0),0))</f>
        <v/>
      </c>
      <c r="AH317" s="346" t="str">
        <f>IF(AH$260="","",AH$262*VLOOKUP(AH$260&amp;" (All)",'Default Values'!$B$162:$CD$181,MATCH($B317,'Default Values'!$B$101:$CD$101,0),0))</f>
        <v/>
      </c>
      <c r="AI317" s="346" t="str">
        <f>IF(AI$260="","",AI$262*VLOOKUP(AI$260&amp;" (All)",'Default Values'!$B$162:$CD$181,MATCH($B317,'Default Values'!$B$101:$CD$101,0),0))</f>
        <v/>
      </c>
      <c r="AJ317" s="346" t="str">
        <f>IF(AJ$260="","",AJ$262*VLOOKUP(AJ$260&amp;" (All)",'Default Values'!$B$162:$CD$181,MATCH($B317,'Default Values'!$B$101:$CD$101,0),0))</f>
        <v/>
      </c>
      <c r="AK317" s="346" t="str">
        <f>IF(AK$260="","",AK$262*VLOOKUP(AK$260&amp;" (All)",'Default Values'!$B$162:$CD$181,MATCH($B317,'Default Values'!$B$101:$CD$101,0),0))</f>
        <v/>
      </c>
      <c r="AL317" s="346" t="str">
        <f>IF(AL$260="","",AL$262*VLOOKUP(AL$260&amp;" (All)",'Default Values'!$B$162:$CD$181,MATCH($B317,'Default Values'!$B$101:$CD$101,0),0))</f>
        <v/>
      </c>
      <c r="AM317" s="346" t="str">
        <f>IF(AM$260="","",AM$262*VLOOKUP(AM$260&amp;" (All)",'Default Values'!$B$162:$CD$181,MATCH($B317,'Default Values'!$B$101:$CD$101,0),0))</f>
        <v/>
      </c>
      <c r="AN317" s="346" t="str">
        <f>IF(AN$260="","",AN$262*VLOOKUP(AN$260&amp;" (All)",'Default Values'!$B$162:$CD$181,MATCH($B317,'Default Values'!$B$101:$CD$101,0),0))</f>
        <v/>
      </c>
      <c r="AO317" s="346" t="str">
        <f>IF(AO$260="","",AO$262*VLOOKUP(AO$260&amp;" (All)",'Default Values'!$B$162:$CD$181,MATCH($B317,'Default Values'!$B$101:$CD$101,0),0))</f>
        <v/>
      </c>
      <c r="AP317" s="346" t="str">
        <f>IF(AP$260="","",AP$262*VLOOKUP(AP$260&amp;" (All)",'Default Values'!$B$162:$CD$181,MATCH($B317,'Default Values'!$B$101:$CD$101,0),0))</f>
        <v/>
      </c>
      <c r="AQ317" s="346" t="str">
        <f>IF(AQ$260="","",AQ$262*VLOOKUP(AQ$260&amp;" (All)",'Default Values'!$B$162:$CD$181,MATCH($B317,'Default Values'!$B$101:$CD$101,0),0))</f>
        <v/>
      </c>
      <c r="AR317" s="346">
        <f>IF(AR$260="","",AR$262*VLOOKUP(AR$260&amp;" (All)",'Default Values'!$B$162:$CD$181,MATCH($B317,'Default Values'!$B$101:$CD$101,0),0))</f>
        <v>0</v>
      </c>
      <c r="AS317" s="217"/>
      <c r="AT317" s="217"/>
      <c r="AU317" s="217"/>
      <c r="AV317" s="217"/>
      <c r="AW317" s="217"/>
      <c r="AX317" s="217"/>
      <c r="AY317" s="217"/>
      <c r="AZ317" s="217"/>
      <c r="BA317" s="217"/>
      <c r="BB317" s="217"/>
      <c r="BC317" s="217"/>
      <c r="BD317" s="217"/>
      <c r="BE317" s="217"/>
      <c r="BF317" s="217"/>
      <c r="BG317" s="217"/>
      <c r="BH317" s="217"/>
      <c r="BI317" s="217"/>
      <c r="BJ317" s="217"/>
      <c r="BK317" s="217"/>
      <c r="BL317" s="217"/>
      <c r="BM317" s="217"/>
      <c r="BN317" s="217"/>
      <c r="BO317" s="217"/>
      <c r="BP317" s="217"/>
      <c r="BQ317" s="217"/>
      <c r="BR317" s="217"/>
      <c r="BS317" s="217"/>
      <c r="BT317" s="217"/>
      <c r="BU317" s="217"/>
      <c r="BV317" s="217"/>
      <c r="BW317" s="217"/>
      <c r="BX317" s="217"/>
      <c r="BY317" s="217"/>
      <c r="BZ317" s="217"/>
      <c r="CA317" s="217"/>
      <c r="CB317" s="217"/>
      <c r="CC317" s="217"/>
      <c r="CD317" s="217"/>
      <c r="CE317" s="217"/>
      <c r="CF317" s="217"/>
      <c r="CG317" s="217"/>
      <c r="CH317" s="217"/>
      <c r="CI317" s="217"/>
      <c r="CJ317" s="217"/>
      <c r="CK317" s="217"/>
      <c r="CL317" s="217"/>
      <c r="CM317" s="217"/>
      <c r="CN317" s="217"/>
      <c r="CO317" s="217"/>
      <c r="CP317" s="217"/>
      <c r="CQ317" s="217"/>
      <c r="CR317" s="217"/>
      <c r="CS317" s="217"/>
      <c r="CT317" s="217"/>
      <c r="CU317" s="217"/>
      <c r="CV317" s="217"/>
      <c r="CW317" s="217"/>
      <c r="CX317" s="217"/>
      <c r="CY317" s="217"/>
      <c r="CZ317" s="217"/>
      <c r="DA317" s="217"/>
      <c r="DB317" s="217"/>
      <c r="DC317" s="217"/>
      <c r="DD317" s="217"/>
      <c r="DE317" s="217"/>
      <c r="DF317" s="217"/>
      <c r="DG317" s="217"/>
      <c r="DH317" s="217"/>
      <c r="DI317" s="217"/>
      <c r="DJ317" s="217"/>
      <c r="DK317" s="217"/>
      <c r="DL317" s="217"/>
      <c r="DM317" s="217"/>
      <c r="DN317" s="217"/>
      <c r="DO317" s="217"/>
      <c r="DP317" s="217"/>
      <c r="DQ317" s="217"/>
      <c r="DR317" s="217"/>
      <c r="DS317" s="217"/>
      <c r="DT317" s="217"/>
    </row>
    <row r="318" spans="1:124" x14ac:dyDescent="0.3">
      <c r="A318" s="217"/>
      <c r="B318" s="342" t="s">
        <v>241</v>
      </c>
      <c r="C318" s="345">
        <f t="shared" si="340"/>
        <v>0</v>
      </c>
      <c r="D318" s="346" t="str">
        <f>IF(D$260="","",D$262*VLOOKUP(D$260&amp;" (All)",'Default Values'!$B$162:$CD$181,MATCH($B318,'Default Values'!$B$101:$CD$101,0),0))</f>
        <v/>
      </c>
      <c r="E318" s="346" t="str">
        <f>IF(E$260="","",E$262*VLOOKUP(E$260&amp;" (All)",'Default Values'!$B$162:$CD$181,MATCH($B318,'Default Values'!$B$101:$CD$101,0),0))</f>
        <v/>
      </c>
      <c r="F318" s="346" t="str">
        <f>IF(F$260="","",F$262*VLOOKUP(F$260&amp;" (All)",'Default Values'!$B$162:$CD$181,MATCH($B318,'Default Values'!$B$101:$CD$101,0),0))</f>
        <v/>
      </c>
      <c r="G318" s="346" t="str">
        <f>IF(G$260="","",G$262*VLOOKUP(G$260&amp;" (All)",'Default Values'!$B$162:$CD$181,MATCH($B318,'Default Values'!$B$101:$CD$101,0),0))</f>
        <v/>
      </c>
      <c r="H318" s="346" t="str">
        <f>IF(H$260="","",H$262*VLOOKUP(H$260&amp;" (All)",'Default Values'!$B$162:$CD$181,MATCH($B318,'Default Values'!$B$101:$CD$101,0),0))</f>
        <v/>
      </c>
      <c r="I318" s="346" t="str">
        <f>IF(I$260="","",I$262*VLOOKUP(I$260&amp;" (All)",'Default Values'!$B$162:$CD$181,MATCH($B318,'Default Values'!$B$101:$CD$101,0),0))</f>
        <v/>
      </c>
      <c r="J318" s="346" t="str">
        <f>IF(J$260="","",J$262*VLOOKUP(J$260&amp;" (All)",'Default Values'!$B$162:$CD$181,MATCH($B318,'Default Values'!$B$101:$CD$101,0),0))</f>
        <v/>
      </c>
      <c r="K318" s="346" t="str">
        <f>IF(K$260="","",K$262*VLOOKUP(K$260&amp;" (All)",'Default Values'!$B$162:$CD$181,MATCH($B318,'Default Values'!$B$101:$CD$101,0),0))</f>
        <v/>
      </c>
      <c r="L318" s="346" t="str">
        <f>IF(L$260="","",L$262*VLOOKUP(L$260&amp;" (All)",'Default Values'!$B$162:$CD$181,MATCH($B318,'Default Values'!$B$101:$CD$101,0),0))</f>
        <v/>
      </c>
      <c r="M318" s="346" t="str">
        <f>IF(M$260="","",M$262*VLOOKUP(M$260&amp;" (All)",'Default Values'!$B$162:$CD$181,MATCH($B318,'Default Values'!$B$101:$CD$101,0),0))</f>
        <v/>
      </c>
      <c r="N318" s="346" t="str">
        <f>IF(N$260="","",N$262*VLOOKUP(N$260&amp;" (All)",'Default Values'!$B$162:$CD$181,MATCH($B318,'Default Values'!$B$101:$CD$101,0),0))</f>
        <v/>
      </c>
      <c r="O318" s="346" t="str">
        <f>IF(O$260="","",O$262*VLOOKUP(O$260&amp;" (All)",'Default Values'!$B$162:$CD$181,MATCH($B318,'Default Values'!$B$101:$CD$101,0),0))</f>
        <v/>
      </c>
      <c r="P318" s="346" t="str">
        <f>IF(P$260="","",P$262*VLOOKUP(P$260&amp;" (All)",'Default Values'!$B$162:$CD$181,MATCH($B318,'Default Values'!$B$101:$CD$101,0),0))</f>
        <v/>
      </c>
      <c r="Q318" s="346" t="str">
        <f>IF(Q$260="","",Q$262*VLOOKUP(Q$260&amp;" (All)",'Default Values'!$B$162:$CD$181,MATCH($B318,'Default Values'!$B$101:$CD$101,0),0))</f>
        <v/>
      </c>
      <c r="R318" s="346" t="str">
        <f>IF(R$260="","",R$262*VLOOKUP(R$260&amp;" (All)",'Default Values'!$B$162:$CD$181,MATCH($B318,'Default Values'!$B$101:$CD$101,0),0))</f>
        <v/>
      </c>
      <c r="S318" s="346" t="str">
        <f>IF(S$260="","",S$262*VLOOKUP(S$260&amp;" (All)",'Default Values'!$B$162:$CD$181,MATCH($B318,'Default Values'!$B$101:$CD$101,0),0))</f>
        <v/>
      </c>
      <c r="T318" s="346" t="str">
        <f>IF(T$260="","",T$262*VLOOKUP(T$260&amp;" (All)",'Default Values'!$B$162:$CD$181,MATCH($B318,'Default Values'!$B$101:$CD$101,0),0))</f>
        <v/>
      </c>
      <c r="U318" s="346" t="str">
        <f>IF(U$260="","",U$262*VLOOKUP(U$260&amp;" (All)",'Default Values'!$B$162:$CD$181,MATCH($B318,'Default Values'!$B$101:$CD$101,0),0))</f>
        <v/>
      </c>
      <c r="V318" s="346" t="str">
        <f>IF(V$260="","",V$262*VLOOKUP(V$260&amp;" (All)",'Default Values'!$B$162:$CD$181,MATCH($B318,'Default Values'!$B$101:$CD$101,0),0))</f>
        <v/>
      </c>
      <c r="W318" s="346" t="str">
        <f>IF(W$260="","",W$262*VLOOKUP(W$260&amp;" (All)",'Default Values'!$B$162:$CD$181,MATCH($B318,'Default Values'!$B$101:$CD$101,0),0))</f>
        <v/>
      </c>
      <c r="X318" s="346" t="str">
        <f>IF(X$260="","",X$262*VLOOKUP(X$260&amp;" (All)",'Default Values'!$B$162:$CD$181,MATCH($B318,'Default Values'!$B$101:$CD$101,0),0))</f>
        <v/>
      </c>
      <c r="Y318" s="346" t="str">
        <f>IF(Y$260="","",Y$262*VLOOKUP(Y$260&amp;" (All)",'Default Values'!$B$162:$CD$181,MATCH($B318,'Default Values'!$B$101:$CD$101,0),0))</f>
        <v/>
      </c>
      <c r="Z318" s="346" t="str">
        <f>IF(Z$260="","",Z$262*VLOOKUP(Z$260&amp;" (All)",'Default Values'!$B$162:$CD$181,MATCH($B318,'Default Values'!$B$101:$CD$101,0),0))</f>
        <v/>
      </c>
      <c r="AA318" s="346" t="str">
        <f>IF(AA$260="","",AA$262*VLOOKUP(AA$260&amp;" (All)",'Default Values'!$B$162:$CD$181,MATCH($B318,'Default Values'!$B$101:$CD$101,0),0))</f>
        <v/>
      </c>
      <c r="AB318" s="346" t="str">
        <f>IF(AB$260="","",AB$262*VLOOKUP(AB$260&amp;" (All)",'Default Values'!$B$162:$CD$181,MATCH($B318,'Default Values'!$B$101:$CD$101,0),0))</f>
        <v/>
      </c>
      <c r="AC318" s="346" t="str">
        <f>IF(AC$260="","",AC$262*VLOOKUP(AC$260&amp;" (All)",'Default Values'!$B$162:$CD$181,MATCH($B318,'Default Values'!$B$101:$CD$101,0),0))</f>
        <v/>
      </c>
      <c r="AD318" s="346" t="str">
        <f>IF(AD$260="","",AD$262*VLOOKUP(AD$260&amp;" (All)",'Default Values'!$B$162:$CD$181,MATCH($B318,'Default Values'!$B$101:$CD$101,0),0))</f>
        <v/>
      </c>
      <c r="AE318" s="346" t="str">
        <f>IF(AE$260="","",AE$262*VLOOKUP(AE$260&amp;" (All)",'Default Values'!$B$162:$CD$181,MATCH($B318,'Default Values'!$B$101:$CD$101,0),0))</f>
        <v/>
      </c>
      <c r="AF318" s="346" t="str">
        <f>IF(AF$260="","",AF$262*VLOOKUP(AF$260&amp;" (All)",'Default Values'!$B$162:$CD$181,MATCH($B318,'Default Values'!$B$101:$CD$101,0),0))</f>
        <v/>
      </c>
      <c r="AG318" s="346" t="str">
        <f>IF(AG$260="","",AG$262*VLOOKUP(AG$260&amp;" (All)",'Default Values'!$B$162:$CD$181,MATCH($B318,'Default Values'!$B$101:$CD$101,0),0))</f>
        <v/>
      </c>
      <c r="AH318" s="346" t="str">
        <f>IF(AH$260="","",AH$262*VLOOKUP(AH$260&amp;" (All)",'Default Values'!$B$162:$CD$181,MATCH($B318,'Default Values'!$B$101:$CD$101,0),0))</f>
        <v/>
      </c>
      <c r="AI318" s="346" t="str">
        <f>IF(AI$260="","",AI$262*VLOOKUP(AI$260&amp;" (All)",'Default Values'!$B$162:$CD$181,MATCH($B318,'Default Values'!$B$101:$CD$101,0),0))</f>
        <v/>
      </c>
      <c r="AJ318" s="346" t="str">
        <f>IF(AJ$260="","",AJ$262*VLOOKUP(AJ$260&amp;" (All)",'Default Values'!$B$162:$CD$181,MATCH($B318,'Default Values'!$B$101:$CD$101,0),0))</f>
        <v/>
      </c>
      <c r="AK318" s="346" t="str">
        <f>IF(AK$260="","",AK$262*VLOOKUP(AK$260&amp;" (All)",'Default Values'!$B$162:$CD$181,MATCH($B318,'Default Values'!$B$101:$CD$101,0),0))</f>
        <v/>
      </c>
      <c r="AL318" s="346" t="str">
        <f>IF(AL$260="","",AL$262*VLOOKUP(AL$260&amp;" (All)",'Default Values'!$B$162:$CD$181,MATCH($B318,'Default Values'!$B$101:$CD$101,0),0))</f>
        <v/>
      </c>
      <c r="AM318" s="346" t="str">
        <f>IF(AM$260="","",AM$262*VLOOKUP(AM$260&amp;" (All)",'Default Values'!$B$162:$CD$181,MATCH($B318,'Default Values'!$B$101:$CD$101,0),0))</f>
        <v/>
      </c>
      <c r="AN318" s="346" t="str">
        <f>IF(AN$260="","",AN$262*VLOOKUP(AN$260&amp;" (All)",'Default Values'!$B$162:$CD$181,MATCH($B318,'Default Values'!$B$101:$CD$101,0),0))</f>
        <v/>
      </c>
      <c r="AO318" s="346" t="str">
        <f>IF(AO$260="","",AO$262*VLOOKUP(AO$260&amp;" (All)",'Default Values'!$B$162:$CD$181,MATCH($B318,'Default Values'!$B$101:$CD$101,0),0))</f>
        <v/>
      </c>
      <c r="AP318" s="346" t="str">
        <f>IF(AP$260="","",AP$262*VLOOKUP(AP$260&amp;" (All)",'Default Values'!$B$162:$CD$181,MATCH($B318,'Default Values'!$B$101:$CD$101,0),0))</f>
        <v/>
      </c>
      <c r="AQ318" s="346" t="str">
        <f>IF(AQ$260="","",AQ$262*VLOOKUP(AQ$260&amp;" (All)",'Default Values'!$B$162:$CD$181,MATCH($B318,'Default Values'!$B$101:$CD$101,0),0))</f>
        <v/>
      </c>
      <c r="AR318" s="346">
        <f>IF(AR$260="","",AR$262*VLOOKUP(AR$260&amp;" (All)",'Default Values'!$B$162:$CD$181,MATCH($B318,'Default Values'!$B$101:$CD$101,0),0))</f>
        <v>0</v>
      </c>
      <c r="AS318" s="217"/>
      <c r="AT318" s="217"/>
      <c r="AU318" s="217"/>
      <c r="AV318" s="217"/>
      <c r="AW318" s="217"/>
      <c r="AX318" s="217"/>
      <c r="AY318" s="217"/>
      <c r="AZ318" s="217"/>
      <c r="BA318" s="217"/>
      <c r="BB318" s="217"/>
      <c r="BC318" s="217"/>
      <c r="BD318" s="217"/>
      <c r="BE318" s="217"/>
      <c r="BF318" s="217"/>
      <c r="BG318" s="217"/>
      <c r="BH318" s="217"/>
      <c r="BI318" s="217"/>
      <c r="BJ318" s="217"/>
      <c r="BK318" s="217"/>
      <c r="BL318" s="217"/>
      <c r="BM318" s="217"/>
      <c r="BN318" s="217"/>
      <c r="BO318" s="217"/>
      <c r="BP318" s="217"/>
      <c r="BQ318" s="217"/>
      <c r="BR318" s="217"/>
      <c r="BS318" s="217"/>
      <c r="BT318" s="217"/>
      <c r="BU318" s="217"/>
      <c r="BV318" s="217"/>
      <c r="BW318" s="217"/>
      <c r="BX318" s="217"/>
      <c r="BY318" s="217"/>
      <c r="BZ318" s="217"/>
      <c r="CA318" s="217"/>
      <c r="CB318" s="217"/>
      <c r="CC318" s="217"/>
      <c r="CD318" s="217"/>
      <c r="CE318" s="217"/>
      <c r="CF318" s="217"/>
      <c r="CG318" s="217"/>
      <c r="CH318" s="217"/>
      <c r="CI318" s="217"/>
      <c r="CJ318" s="217"/>
      <c r="CK318" s="217"/>
      <c r="CL318" s="217"/>
      <c r="CM318" s="217"/>
      <c r="CN318" s="217"/>
      <c r="CO318" s="217"/>
      <c r="CP318" s="217"/>
      <c r="CQ318" s="217"/>
      <c r="CR318" s="217"/>
      <c r="CS318" s="217"/>
      <c r="CT318" s="217"/>
      <c r="CU318" s="217"/>
      <c r="CV318" s="217"/>
      <c r="CW318" s="217"/>
      <c r="CX318" s="217"/>
      <c r="CY318" s="217"/>
      <c r="CZ318" s="217"/>
      <c r="DA318" s="217"/>
      <c r="DB318" s="217"/>
      <c r="DC318" s="217"/>
      <c r="DD318" s="217"/>
      <c r="DE318" s="217"/>
      <c r="DF318" s="217"/>
      <c r="DG318" s="217"/>
      <c r="DH318" s="217"/>
      <c r="DI318" s="217"/>
      <c r="DJ318" s="217"/>
      <c r="DK318" s="217"/>
      <c r="DL318" s="217"/>
      <c r="DM318" s="217"/>
      <c r="DN318" s="217"/>
      <c r="DO318" s="217"/>
      <c r="DP318" s="217"/>
      <c r="DQ318" s="217"/>
      <c r="DR318" s="217"/>
      <c r="DS318" s="217"/>
      <c r="DT318" s="217"/>
    </row>
    <row r="319" spans="1:124" x14ac:dyDescent="0.3">
      <c r="A319" s="217"/>
      <c r="B319" s="342" t="s">
        <v>242</v>
      </c>
      <c r="C319" s="345">
        <f t="shared" si="340"/>
        <v>0</v>
      </c>
      <c r="D319" s="346" t="str">
        <f>IF(D$260="","",D$262*VLOOKUP(D$260&amp;" (All)",'Default Values'!$B$162:$CD$181,MATCH($B319,'Default Values'!$B$101:$CD$101,0),0))</f>
        <v/>
      </c>
      <c r="E319" s="346" t="str">
        <f>IF(E$260="","",E$262*VLOOKUP(E$260&amp;" (All)",'Default Values'!$B$162:$CD$181,MATCH($B319,'Default Values'!$B$101:$CD$101,0),0))</f>
        <v/>
      </c>
      <c r="F319" s="346" t="str">
        <f>IF(F$260="","",F$262*VLOOKUP(F$260&amp;" (All)",'Default Values'!$B$162:$CD$181,MATCH($B319,'Default Values'!$B$101:$CD$101,0),0))</f>
        <v/>
      </c>
      <c r="G319" s="346" t="str">
        <f>IF(G$260="","",G$262*VLOOKUP(G$260&amp;" (All)",'Default Values'!$B$162:$CD$181,MATCH($B319,'Default Values'!$B$101:$CD$101,0),0))</f>
        <v/>
      </c>
      <c r="H319" s="346" t="str">
        <f>IF(H$260="","",H$262*VLOOKUP(H$260&amp;" (All)",'Default Values'!$B$162:$CD$181,MATCH($B319,'Default Values'!$B$101:$CD$101,0),0))</f>
        <v/>
      </c>
      <c r="I319" s="346" t="str">
        <f>IF(I$260="","",I$262*VLOOKUP(I$260&amp;" (All)",'Default Values'!$B$162:$CD$181,MATCH($B319,'Default Values'!$B$101:$CD$101,0),0))</f>
        <v/>
      </c>
      <c r="J319" s="346" t="str">
        <f>IF(J$260="","",J$262*VLOOKUP(J$260&amp;" (All)",'Default Values'!$B$162:$CD$181,MATCH($B319,'Default Values'!$B$101:$CD$101,0),0))</f>
        <v/>
      </c>
      <c r="K319" s="346" t="str">
        <f>IF(K$260="","",K$262*VLOOKUP(K$260&amp;" (All)",'Default Values'!$B$162:$CD$181,MATCH($B319,'Default Values'!$B$101:$CD$101,0),0))</f>
        <v/>
      </c>
      <c r="L319" s="346" t="str">
        <f>IF(L$260="","",L$262*VLOOKUP(L$260&amp;" (All)",'Default Values'!$B$162:$CD$181,MATCH($B319,'Default Values'!$B$101:$CD$101,0),0))</f>
        <v/>
      </c>
      <c r="M319" s="346" t="str">
        <f>IF(M$260="","",M$262*VLOOKUP(M$260&amp;" (All)",'Default Values'!$B$162:$CD$181,MATCH($B319,'Default Values'!$B$101:$CD$101,0),0))</f>
        <v/>
      </c>
      <c r="N319" s="346" t="str">
        <f>IF(N$260="","",N$262*VLOOKUP(N$260&amp;" (All)",'Default Values'!$B$162:$CD$181,MATCH($B319,'Default Values'!$B$101:$CD$101,0),0))</f>
        <v/>
      </c>
      <c r="O319" s="346" t="str">
        <f>IF(O$260="","",O$262*VLOOKUP(O$260&amp;" (All)",'Default Values'!$B$162:$CD$181,MATCH($B319,'Default Values'!$B$101:$CD$101,0),0))</f>
        <v/>
      </c>
      <c r="P319" s="346" t="str">
        <f>IF(P$260="","",P$262*VLOOKUP(P$260&amp;" (All)",'Default Values'!$B$162:$CD$181,MATCH($B319,'Default Values'!$B$101:$CD$101,0),0))</f>
        <v/>
      </c>
      <c r="Q319" s="346" t="str">
        <f>IF(Q$260="","",Q$262*VLOOKUP(Q$260&amp;" (All)",'Default Values'!$B$162:$CD$181,MATCH($B319,'Default Values'!$B$101:$CD$101,0),0))</f>
        <v/>
      </c>
      <c r="R319" s="346" t="str">
        <f>IF(R$260="","",R$262*VLOOKUP(R$260&amp;" (All)",'Default Values'!$B$162:$CD$181,MATCH($B319,'Default Values'!$B$101:$CD$101,0),0))</f>
        <v/>
      </c>
      <c r="S319" s="346" t="str">
        <f>IF(S$260="","",S$262*VLOOKUP(S$260&amp;" (All)",'Default Values'!$B$162:$CD$181,MATCH($B319,'Default Values'!$B$101:$CD$101,0),0))</f>
        <v/>
      </c>
      <c r="T319" s="346" t="str">
        <f>IF(T$260="","",T$262*VLOOKUP(T$260&amp;" (All)",'Default Values'!$B$162:$CD$181,MATCH($B319,'Default Values'!$B$101:$CD$101,0),0))</f>
        <v/>
      </c>
      <c r="U319" s="346" t="str">
        <f>IF(U$260="","",U$262*VLOOKUP(U$260&amp;" (All)",'Default Values'!$B$162:$CD$181,MATCH($B319,'Default Values'!$B$101:$CD$101,0),0))</f>
        <v/>
      </c>
      <c r="V319" s="346" t="str">
        <f>IF(V$260="","",V$262*VLOOKUP(V$260&amp;" (All)",'Default Values'!$B$162:$CD$181,MATCH($B319,'Default Values'!$B$101:$CD$101,0),0))</f>
        <v/>
      </c>
      <c r="W319" s="346" t="str">
        <f>IF(W$260="","",W$262*VLOOKUP(W$260&amp;" (All)",'Default Values'!$B$162:$CD$181,MATCH($B319,'Default Values'!$B$101:$CD$101,0),0))</f>
        <v/>
      </c>
      <c r="X319" s="346" t="str">
        <f>IF(X$260="","",X$262*VLOOKUP(X$260&amp;" (All)",'Default Values'!$B$162:$CD$181,MATCH($B319,'Default Values'!$B$101:$CD$101,0),0))</f>
        <v/>
      </c>
      <c r="Y319" s="346" t="str">
        <f>IF(Y$260="","",Y$262*VLOOKUP(Y$260&amp;" (All)",'Default Values'!$B$162:$CD$181,MATCH($B319,'Default Values'!$B$101:$CD$101,0),0))</f>
        <v/>
      </c>
      <c r="Z319" s="346" t="str">
        <f>IF(Z$260="","",Z$262*VLOOKUP(Z$260&amp;" (All)",'Default Values'!$B$162:$CD$181,MATCH($B319,'Default Values'!$B$101:$CD$101,0),0))</f>
        <v/>
      </c>
      <c r="AA319" s="346" t="str">
        <f>IF(AA$260="","",AA$262*VLOOKUP(AA$260&amp;" (All)",'Default Values'!$B$162:$CD$181,MATCH($B319,'Default Values'!$B$101:$CD$101,0),0))</f>
        <v/>
      </c>
      <c r="AB319" s="346" t="str">
        <f>IF(AB$260="","",AB$262*VLOOKUP(AB$260&amp;" (All)",'Default Values'!$B$162:$CD$181,MATCH($B319,'Default Values'!$B$101:$CD$101,0),0))</f>
        <v/>
      </c>
      <c r="AC319" s="346" t="str">
        <f>IF(AC$260="","",AC$262*VLOOKUP(AC$260&amp;" (All)",'Default Values'!$B$162:$CD$181,MATCH($B319,'Default Values'!$B$101:$CD$101,0),0))</f>
        <v/>
      </c>
      <c r="AD319" s="346" t="str">
        <f>IF(AD$260="","",AD$262*VLOOKUP(AD$260&amp;" (All)",'Default Values'!$B$162:$CD$181,MATCH($B319,'Default Values'!$B$101:$CD$101,0),0))</f>
        <v/>
      </c>
      <c r="AE319" s="346" t="str">
        <f>IF(AE$260="","",AE$262*VLOOKUP(AE$260&amp;" (All)",'Default Values'!$B$162:$CD$181,MATCH($B319,'Default Values'!$B$101:$CD$101,0),0))</f>
        <v/>
      </c>
      <c r="AF319" s="346" t="str">
        <f>IF(AF$260="","",AF$262*VLOOKUP(AF$260&amp;" (All)",'Default Values'!$B$162:$CD$181,MATCH($B319,'Default Values'!$B$101:$CD$101,0),0))</f>
        <v/>
      </c>
      <c r="AG319" s="346" t="str">
        <f>IF(AG$260="","",AG$262*VLOOKUP(AG$260&amp;" (All)",'Default Values'!$B$162:$CD$181,MATCH($B319,'Default Values'!$B$101:$CD$101,0),0))</f>
        <v/>
      </c>
      <c r="AH319" s="346" t="str">
        <f>IF(AH$260="","",AH$262*VLOOKUP(AH$260&amp;" (All)",'Default Values'!$B$162:$CD$181,MATCH($B319,'Default Values'!$B$101:$CD$101,0),0))</f>
        <v/>
      </c>
      <c r="AI319" s="346" t="str">
        <f>IF(AI$260="","",AI$262*VLOOKUP(AI$260&amp;" (All)",'Default Values'!$B$162:$CD$181,MATCH($B319,'Default Values'!$B$101:$CD$101,0),0))</f>
        <v/>
      </c>
      <c r="AJ319" s="346" t="str">
        <f>IF(AJ$260="","",AJ$262*VLOOKUP(AJ$260&amp;" (All)",'Default Values'!$B$162:$CD$181,MATCH($B319,'Default Values'!$B$101:$CD$101,0),0))</f>
        <v/>
      </c>
      <c r="AK319" s="346" t="str">
        <f>IF(AK$260="","",AK$262*VLOOKUP(AK$260&amp;" (All)",'Default Values'!$B$162:$CD$181,MATCH($B319,'Default Values'!$B$101:$CD$101,0),0))</f>
        <v/>
      </c>
      <c r="AL319" s="346" t="str">
        <f>IF(AL$260="","",AL$262*VLOOKUP(AL$260&amp;" (All)",'Default Values'!$B$162:$CD$181,MATCH($B319,'Default Values'!$B$101:$CD$101,0),0))</f>
        <v/>
      </c>
      <c r="AM319" s="346" t="str">
        <f>IF(AM$260="","",AM$262*VLOOKUP(AM$260&amp;" (All)",'Default Values'!$B$162:$CD$181,MATCH($B319,'Default Values'!$B$101:$CD$101,0),0))</f>
        <v/>
      </c>
      <c r="AN319" s="346" t="str">
        <f>IF(AN$260="","",AN$262*VLOOKUP(AN$260&amp;" (All)",'Default Values'!$B$162:$CD$181,MATCH($B319,'Default Values'!$B$101:$CD$101,0),0))</f>
        <v/>
      </c>
      <c r="AO319" s="346" t="str">
        <f>IF(AO$260="","",AO$262*VLOOKUP(AO$260&amp;" (All)",'Default Values'!$B$162:$CD$181,MATCH($B319,'Default Values'!$B$101:$CD$101,0),0))</f>
        <v/>
      </c>
      <c r="AP319" s="346" t="str">
        <f>IF(AP$260="","",AP$262*VLOOKUP(AP$260&amp;" (All)",'Default Values'!$B$162:$CD$181,MATCH($B319,'Default Values'!$B$101:$CD$101,0),0))</f>
        <v/>
      </c>
      <c r="AQ319" s="346" t="str">
        <f>IF(AQ$260="","",AQ$262*VLOOKUP(AQ$260&amp;" (All)",'Default Values'!$B$162:$CD$181,MATCH($B319,'Default Values'!$B$101:$CD$101,0),0))</f>
        <v/>
      </c>
      <c r="AR319" s="346">
        <f>IF(AR$260="","",AR$262*VLOOKUP(AR$260&amp;" (All)",'Default Values'!$B$162:$CD$181,MATCH($B319,'Default Values'!$B$101:$CD$101,0),0))</f>
        <v>0</v>
      </c>
      <c r="AS319" s="217"/>
      <c r="AT319" s="217"/>
      <c r="AU319" s="217"/>
      <c r="AV319" s="217"/>
      <c r="AW319" s="217"/>
      <c r="AX319" s="217"/>
      <c r="AY319" s="217"/>
      <c r="AZ319" s="217"/>
      <c r="BA319" s="217"/>
      <c r="BB319" s="217"/>
      <c r="BC319" s="217"/>
      <c r="BD319" s="217"/>
      <c r="BE319" s="217"/>
      <c r="BF319" s="217"/>
      <c r="BG319" s="217"/>
      <c r="BH319" s="217"/>
      <c r="BI319" s="217"/>
      <c r="BJ319" s="217"/>
      <c r="BK319" s="217"/>
      <c r="BL319" s="217"/>
      <c r="BM319" s="217"/>
      <c r="BN319" s="217"/>
      <c r="BO319" s="217"/>
      <c r="BP319" s="217"/>
      <c r="BQ319" s="217"/>
      <c r="BR319" s="217"/>
      <c r="BS319" s="217"/>
      <c r="BT319" s="217"/>
      <c r="BU319" s="217"/>
      <c r="BV319" s="217"/>
      <c r="BW319" s="217"/>
      <c r="BX319" s="217"/>
      <c r="BY319" s="217"/>
      <c r="BZ319" s="217"/>
      <c r="CA319" s="217"/>
      <c r="CB319" s="217"/>
      <c r="CC319" s="217"/>
      <c r="CD319" s="217"/>
      <c r="CE319" s="217"/>
      <c r="CF319" s="217"/>
      <c r="CG319" s="217"/>
      <c r="CH319" s="217"/>
      <c r="CI319" s="217"/>
      <c r="CJ319" s="217"/>
      <c r="CK319" s="217"/>
      <c r="CL319" s="217"/>
      <c r="CM319" s="217"/>
      <c r="CN319" s="217"/>
      <c r="CO319" s="217"/>
      <c r="CP319" s="217"/>
      <c r="CQ319" s="217"/>
      <c r="CR319" s="217"/>
      <c r="CS319" s="217"/>
      <c r="CT319" s="217"/>
      <c r="CU319" s="217"/>
      <c r="CV319" s="217"/>
      <c r="CW319" s="217"/>
      <c r="CX319" s="217"/>
      <c r="CY319" s="217"/>
      <c r="CZ319" s="217"/>
      <c r="DA319" s="217"/>
      <c r="DB319" s="217"/>
      <c r="DC319" s="217"/>
      <c r="DD319" s="217"/>
      <c r="DE319" s="217"/>
      <c r="DF319" s="217"/>
      <c r="DG319" s="217"/>
      <c r="DH319" s="217"/>
      <c r="DI319" s="217"/>
      <c r="DJ319" s="217"/>
      <c r="DK319" s="217"/>
      <c r="DL319" s="217"/>
      <c r="DM319" s="217"/>
      <c r="DN319" s="217"/>
      <c r="DO319" s="217"/>
      <c r="DP319" s="217"/>
      <c r="DQ319" s="217"/>
      <c r="DR319" s="217"/>
      <c r="DS319" s="217"/>
      <c r="DT319" s="217"/>
    </row>
    <row r="320" spans="1:124" x14ac:dyDescent="0.3">
      <c r="A320" s="217"/>
      <c r="B320" s="342" t="s">
        <v>244</v>
      </c>
      <c r="C320" s="345">
        <f t="shared" si="340"/>
        <v>0</v>
      </c>
      <c r="D320" s="346" t="str">
        <f>IF(D$260="","",D$262*VLOOKUP(D$260&amp;" (All)",'Default Values'!$B$162:$CD$181,MATCH($B320,'Default Values'!$B$101:$CD$101,0),0))</f>
        <v/>
      </c>
      <c r="E320" s="346" t="str">
        <f>IF(E$260="","",E$262*VLOOKUP(E$260&amp;" (All)",'Default Values'!$B$162:$CD$181,MATCH($B320,'Default Values'!$B$101:$CD$101,0),0))</f>
        <v/>
      </c>
      <c r="F320" s="346" t="str">
        <f>IF(F$260="","",F$262*VLOOKUP(F$260&amp;" (All)",'Default Values'!$B$162:$CD$181,MATCH($B320,'Default Values'!$B$101:$CD$101,0),0))</f>
        <v/>
      </c>
      <c r="G320" s="346" t="str">
        <f>IF(G$260="","",G$262*VLOOKUP(G$260&amp;" (All)",'Default Values'!$B$162:$CD$181,MATCH($B320,'Default Values'!$B$101:$CD$101,0),0))</f>
        <v/>
      </c>
      <c r="H320" s="346" t="str">
        <f>IF(H$260="","",H$262*VLOOKUP(H$260&amp;" (All)",'Default Values'!$B$162:$CD$181,MATCH($B320,'Default Values'!$B$101:$CD$101,0),0))</f>
        <v/>
      </c>
      <c r="I320" s="346" t="str">
        <f>IF(I$260="","",I$262*VLOOKUP(I$260&amp;" (All)",'Default Values'!$B$162:$CD$181,MATCH($B320,'Default Values'!$B$101:$CD$101,0),0))</f>
        <v/>
      </c>
      <c r="J320" s="346" t="str">
        <f>IF(J$260="","",J$262*VLOOKUP(J$260&amp;" (All)",'Default Values'!$B$162:$CD$181,MATCH($B320,'Default Values'!$B$101:$CD$101,0),0))</f>
        <v/>
      </c>
      <c r="K320" s="346" t="str">
        <f>IF(K$260="","",K$262*VLOOKUP(K$260&amp;" (All)",'Default Values'!$B$162:$CD$181,MATCH($B320,'Default Values'!$B$101:$CD$101,0),0))</f>
        <v/>
      </c>
      <c r="L320" s="346" t="str">
        <f>IF(L$260="","",L$262*VLOOKUP(L$260&amp;" (All)",'Default Values'!$B$162:$CD$181,MATCH($B320,'Default Values'!$B$101:$CD$101,0),0))</f>
        <v/>
      </c>
      <c r="M320" s="346" t="str">
        <f>IF(M$260="","",M$262*VLOOKUP(M$260&amp;" (All)",'Default Values'!$B$162:$CD$181,MATCH($B320,'Default Values'!$B$101:$CD$101,0),0))</f>
        <v/>
      </c>
      <c r="N320" s="346" t="str">
        <f>IF(N$260="","",N$262*VLOOKUP(N$260&amp;" (All)",'Default Values'!$B$162:$CD$181,MATCH($B320,'Default Values'!$B$101:$CD$101,0),0))</f>
        <v/>
      </c>
      <c r="O320" s="346" t="str">
        <f>IF(O$260="","",O$262*VLOOKUP(O$260&amp;" (All)",'Default Values'!$B$162:$CD$181,MATCH($B320,'Default Values'!$B$101:$CD$101,0),0))</f>
        <v/>
      </c>
      <c r="P320" s="346" t="str">
        <f>IF(P$260="","",P$262*VLOOKUP(P$260&amp;" (All)",'Default Values'!$B$162:$CD$181,MATCH($B320,'Default Values'!$B$101:$CD$101,0),0))</f>
        <v/>
      </c>
      <c r="Q320" s="346" t="str">
        <f>IF(Q$260="","",Q$262*VLOOKUP(Q$260&amp;" (All)",'Default Values'!$B$162:$CD$181,MATCH($B320,'Default Values'!$B$101:$CD$101,0),0))</f>
        <v/>
      </c>
      <c r="R320" s="346" t="str">
        <f>IF(R$260="","",R$262*VLOOKUP(R$260&amp;" (All)",'Default Values'!$B$162:$CD$181,MATCH($B320,'Default Values'!$B$101:$CD$101,0),0))</f>
        <v/>
      </c>
      <c r="S320" s="346" t="str">
        <f>IF(S$260="","",S$262*VLOOKUP(S$260&amp;" (All)",'Default Values'!$B$162:$CD$181,MATCH($B320,'Default Values'!$B$101:$CD$101,0),0))</f>
        <v/>
      </c>
      <c r="T320" s="346" t="str">
        <f>IF(T$260="","",T$262*VLOOKUP(T$260&amp;" (All)",'Default Values'!$B$162:$CD$181,MATCH($B320,'Default Values'!$B$101:$CD$101,0),0))</f>
        <v/>
      </c>
      <c r="U320" s="346" t="str">
        <f>IF(U$260="","",U$262*VLOOKUP(U$260&amp;" (All)",'Default Values'!$B$162:$CD$181,MATCH($B320,'Default Values'!$B$101:$CD$101,0),0))</f>
        <v/>
      </c>
      <c r="V320" s="346" t="str">
        <f>IF(V$260="","",V$262*VLOOKUP(V$260&amp;" (All)",'Default Values'!$B$162:$CD$181,MATCH($B320,'Default Values'!$B$101:$CD$101,0),0))</f>
        <v/>
      </c>
      <c r="W320" s="346" t="str">
        <f>IF(W$260="","",W$262*VLOOKUP(W$260&amp;" (All)",'Default Values'!$B$162:$CD$181,MATCH($B320,'Default Values'!$B$101:$CD$101,0),0))</f>
        <v/>
      </c>
      <c r="X320" s="346" t="str">
        <f>IF(X$260="","",X$262*VLOOKUP(X$260&amp;" (All)",'Default Values'!$B$162:$CD$181,MATCH($B320,'Default Values'!$B$101:$CD$101,0),0))</f>
        <v/>
      </c>
      <c r="Y320" s="346" t="str">
        <f>IF(Y$260="","",Y$262*VLOOKUP(Y$260&amp;" (All)",'Default Values'!$B$162:$CD$181,MATCH($B320,'Default Values'!$B$101:$CD$101,0),0))</f>
        <v/>
      </c>
      <c r="Z320" s="346" t="str">
        <f>IF(Z$260="","",Z$262*VLOOKUP(Z$260&amp;" (All)",'Default Values'!$B$162:$CD$181,MATCH($B320,'Default Values'!$B$101:$CD$101,0),0))</f>
        <v/>
      </c>
      <c r="AA320" s="346" t="str">
        <f>IF(AA$260="","",AA$262*VLOOKUP(AA$260&amp;" (All)",'Default Values'!$B$162:$CD$181,MATCH($B320,'Default Values'!$B$101:$CD$101,0),0))</f>
        <v/>
      </c>
      <c r="AB320" s="346" t="str">
        <f>IF(AB$260="","",AB$262*VLOOKUP(AB$260&amp;" (All)",'Default Values'!$B$162:$CD$181,MATCH($B320,'Default Values'!$B$101:$CD$101,0),0))</f>
        <v/>
      </c>
      <c r="AC320" s="346" t="str">
        <f>IF(AC$260="","",AC$262*VLOOKUP(AC$260&amp;" (All)",'Default Values'!$B$162:$CD$181,MATCH($B320,'Default Values'!$B$101:$CD$101,0),0))</f>
        <v/>
      </c>
      <c r="AD320" s="346" t="str">
        <f>IF(AD$260="","",AD$262*VLOOKUP(AD$260&amp;" (All)",'Default Values'!$B$162:$CD$181,MATCH($B320,'Default Values'!$B$101:$CD$101,0),0))</f>
        <v/>
      </c>
      <c r="AE320" s="346" t="str">
        <f>IF(AE$260="","",AE$262*VLOOKUP(AE$260&amp;" (All)",'Default Values'!$B$162:$CD$181,MATCH($B320,'Default Values'!$B$101:$CD$101,0),0))</f>
        <v/>
      </c>
      <c r="AF320" s="346" t="str">
        <f>IF(AF$260="","",AF$262*VLOOKUP(AF$260&amp;" (All)",'Default Values'!$B$162:$CD$181,MATCH($B320,'Default Values'!$B$101:$CD$101,0),0))</f>
        <v/>
      </c>
      <c r="AG320" s="346" t="str">
        <f>IF(AG$260="","",AG$262*VLOOKUP(AG$260&amp;" (All)",'Default Values'!$B$162:$CD$181,MATCH($B320,'Default Values'!$B$101:$CD$101,0),0))</f>
        <v/>
      </c>
      <c r="AH320" s="346" t="str">
        <f>IF(AH$260="","",AH$262*VLOOKUP(AH$260&amp;" (All)",'Default Values'!$B$162:$CD$181,MATCH($B320,'Default Values'!$B$101:$CD$101,0),0))</f>
        <v/>
      </c>
      <c r="AI320" s="346" t="str">
        <f>IF(AI$260="","",AI$262*VLOOKUP(AI$260&amp;" (All)",'Default Values'!$B$162:$CD$181,MATCH($B320,'Default Values'!$B$101:$CD$101,0),0))</f>
        <v/>
      </c>
      <c r="AJ320" s="346" t="str">
        <f>IF(AJ$260="","",AJ$262*VLOOKUP(AJ$260&amp;" (All)",'Default Values'!$B$162:$CD$181,MATCH($B320,'Default Values'!$B$101:$CD$101,0),0))</f>
        <v/>
      </c>
      <c r="AK320" s="346" t="str">
        <f>IF(AK$260="","",AK$262*VLOOKUP(AK$260&amp;" (All)",'Default Values'!$B$162:$CD$181,MATCH($B320,'Default Values'!$B$101:$CD$101,0),0))</f>
        <v/>
      </c>
      <c r="AL320" s="346" t="str">
        <f>IF(AL$260="","",AL$262*VLOOKUP(AL$260&amp;" (All)",'Default Values'!$B$162:$CD$181,MATCH($B320,'Default Values'!$B$101:$CD$101,0),0))</f>
        <v/>
      </c>
      <c r="AM320" s="346" t="str">
        <f>IF(AM$260="","",AM$262*VLOOKUP(AM$260&amp;" (All)",'Default Values'!$B$162:$CD$181,MATCH($B320,'Default Values'!$B$101:$CD$101,0),0))</f>
        <v/>
      </c>
      <c r="AN320" s="346" t="str">
        <f>IF(AN$260="","",AN$262*VLOOKUP(AN$260&amp;" (All)",'Default Values'!$B$162:$CD$181,MATCH($B320,'Default Values'!$B$101:$CD$101,0),0))</f>
        <v/>
      </c>
      <c r="AO320" s="346" t="str">
        <f>IF(AO$260="","",AO$262*VLOOKUP(AO$260&amp;" (All)",'Default Values'!$B$162:$CD$181,MATCH($B320,'Default Values'!$B$101:$CD$101,0),0))</f>
        <v/>
      </c>
      <c r="AP320" s="346" t="str">
        <f>IF(AP$260="","",AP$262*VLOOKUP(AP$260&amp;" (All)",'Default Values'!$B$162:$CD$181,MATCH($B320,'Default Values'!$B$101:$CD$101,0),0))</f>
        <v/>
      </c>
      <c r="AQ320" s="346" t="str">
        <f>IF(AQ$260="","",AQ$262*VLOOKUP(AQ$260&amp;" (All)",'Default Values'!$B$162:$CD$181,MATCH($B320,'Default Values'!$B$101:$CD$101,0),0))</f>
        <v/>
      </c>
      <c r="AR320" s="346">
        <f>IF(AR$260="","",AR$262*VLOOKUP(AR$260&amp;" (All)",'Default Values'!$B$162:$CD$181,MATCH($B320,'Default Values'!$B$101:$CD$101,0),0))</f>
        <v>0</v>
      </c>
      <c r="AS320" s="217"/>
      <c r="AT320" s="217"/>
      <c r="AU320" s="217"/>
      <c r="AV320" s="217"/>
      <c r="AW320" s="217"/>
      <c r="AX320" s="217"/>
      <c r="AY320" s="217"/>
      <c r="AZ320" s="217"/>
      <c r="BA320" s="217"/>
      <c r="BB320" s="217"/>
      <c r="BC320" s="217"/>
      <c r="BD320" s="217"/>
      <c r="BE320" s="217"/>
      <c r="BF320" s="217"/>
      <c r="BG320" s="217"/>
      <c r="BH320" s="217"/>
      <c r="BI320" s="217"/>
      <c r="BJ320" s="217"/>
      <c r="BK320" s="217"/>
      <c r="BL320" s="217"/>
      <c r="BM320" s="217"/>
      <c r="BN320" s="217"/>
      <c r="BO320" s="217"/>
      <c r="BP320" s="217"/>
      <c r="BQ320" s="217"/>
      <c r="BR320" s="217"/>
      <c r="BS320" s="217"/>
      <c r="BT320" s="217"/>
      <c r="BU320" s="217"/>
      <c r="BV320" s="217"/>
      <c r="BW320" s="217"/>
      <c r="BX320" s="217"/>
      <c r="BY320" s="217"/>
      <c r="BZ320" s="217"/>
      <c r="CA320" s="217"/>
      <c r="CB320" s="217"/>
      <c r="CC320" s="217"/>
      <c r="CD320" s="217"/>
      <c r="CE320" s="217"/>
      <c r="CF320" s="217"/>
      <c r="CG320" s="217"/>
      <c r="CH320" s="217"/>
      <c r="CI320" s="217"/>
      <c r="CJ320" s="217"/>
      <c r="CK320" s="217"/>
      <c r="CL320" s="217"/>
      <c r="CM320" s="217"/>
      <c r="CN320" s="217"/>
      <c r="CO320" s="217"/>
      <c r="CP320" s="217"/>
      <c r="CQ320" s="217"/>
      <c r="CR320" s="217"/>
      <c r="CS320" s="217"/>
      <c r="CT320" s="217"/>
      <c r="CU320" s="217"/>
      <c r="CV320" s="217"/>
      <c r="CW320" s="217"/>
      <c r="CX320" s="217"/>
      <c r="CY320" s="217"/>
      <c r="CZ320" s="217"/>
      <c r="DA320" s="217"/>
      <c r="DB320" s="217"/>
      <c r="DC320" s="217"/>
      <c r="DD320" s="217"/>
      <c r="DE320" s="217"/>
      <c r="DF320" s="217"/>
      <c r="DG320" s="217"/>
      <c r="DH320" s="217"/>
      <c r="DI320" s="217"/>
      <c r="DJ320" s="217"/>
      <c r="DK320" s="217"/>
      <c r="DL320" s="217"/>
      <c r="DM320" s="217"/>
      <c r="DN320" s="217"/>
      <c r="DO320" s="217"/>
      <c r="DP320" s="217"/>
      <c r="DQ320" s="217"/>
      <c r="DR320" s="217"/>
      <c r="DS320" s="217"/>
      <c r="DT320" s="217"/>
    </row>
    <row r="321" spans="1:124" x14ac:dyDescent="0.3">
      <c r="A321" s="217"/>
      <c r="B321" s="342" t="s">
        <v>246</v>
      </c>
      <c r="C321" s="345">
        <f t="shared" si="340"/>
        <v>0</v>
      </c>
      <c r="D321" s="346" t="str">
        <f>IF(D$260="","",D$262*VLOOKUP(D$260&amp;" (All)",'Default Values'!$B$162:$CD$181,MATCH($B321,'Default Values'!$B$101:$CD$101,0),0))</f>
        <v/>
      </c>
      <c r="E321" s="346" t="str">
        <f>IF(E$260="","",E$262*VLOOKUP(E$260&amp;" (All)",'Default Values'!$B$162:$CD$181,MATCH($B321,'Default Values'!$B$101:$CD$101,0),0))</f>
        <v/>
      </c>
      <c r="F321" s="346" t="str">
        <f>IF(F$260="","",F$262*VLOOKUP(F$260&amp;" (All)",'Default Values'!$B$162:$CD$181,MATCH($B321,'Default Values'!$B$101:$CD$101,0),0))</f>
        <v/>
      </c>
      <c r="G321" s="346" t="str">
        <f>IF(G$260="","",G$262*VLOOKUP(G$260&amp;" (All)",'Default Values'!$B$162:$CD$181,MATCH($B321,'Default Values'!$B$101:$CD$101,0),0))</f>
        <v/>
      </c>
      <c r="H321" s="346" t="str">
        <f>IF(H$260="","",H$262*VLOOKUP(H$260&amp;" (All)",'Default Values'!$B$162:$CD$181,MATCH($B321,'Default Values'!$B$101:$CD$101,0),0))</f>
        <v/>
      </c>
      <c r="I321" s="346" t="str">
        <f>IF(I$260="","",I$262*VLOOKUP(I$260&amp;" (All)",'Default Values'!$B$162:$CD$181,MATCH($B321,'Default Values'!$B$101:$CD$101,0),0))</f>
        <v/>
      </c>
      <c r="J321" s="346" t="str">
        <f>IF(J$260="","",J$262*VLOOKUP(J$260&amp;" (All)",'Default Values'!$B$162:$CD$181,MATCH($B321,'Default Values'!$B$101:$CD$101,0),0))</f>
        <v/>
      </c>
      <c r="K321" s="346" t="str">
        <f>IF(K$260="","",K$262*VLOOKUP(K$260&amp;" (All)",'Default Values'!$B$162:$CD$181,MATCH($B321,'Default Values'!$B$101:$CD$101,0),0))</f>
        <v/>
      </c>
      <c r="L321" s="346" t="str">
        <f>IF(L$260="","",L$262*VLOOKUP(L$260&amp;" (All)",'Default Values'!$B$162:$CD$181,MATCH($B321,'Default Values'!$B$101:$CD$101,0),0))</f>
        <v/>
      </c>
      <c r="M321" s="346" t="str">
        <f>IF(M$260="","",M$262*VLOOKUP(M$260&amp;" (All)",'Default Values'!$B$162:$CD$181,MATCH($B321,'Default Values'!$B$101:$CD$101,0),0))</f>
        <v/>
      </c>
      <c r="N321" s="346" t="str">
        <f>IF(N$260="","",N$262*VLOOKUP(N$260&amp;" (All)",'Default Values'!$B$162:$CD$181,MATCH($B321,'Default Values'!$B$101:$CD$101,0),0))</f>
        <v/>
      </c>
      <c r="O321" s="346" t="str">
        <f>IF(O$260="","",O$262*VLOOKUP(O$260&amp;" (All)",'Default Values'!$B$162:$CD$181,MATCH($B321,'Default Values'!$B$101:$CD$101,0),0))</f>
        <v/>
      </c>
      <c r="P321" s="346" t="str">
        <f>IF(P$260="","",P$262*VLOOKUP(P$260&amp;" (All)",'Default Values'!$B$162:$CD$181,MATCH($B321,'Default Values'!$B$101:$CD$101,0),0))</f>
        <v/>
      </c>
      <c r="Q321" s="346" t="str">
        <f>IF(Q$260="","",Q$262*VLOOKUP(Q$260&amp;" (All)",'Default Values'!$B$162:$CD$181,MATCH($B321,'Default Values'!$B$101:$CD$101,0),0))</f>
        <v/>
      </c>
      <c r="R321" s="346" t="str">
        <f>IF(R$260="","",R$262*VLOOKUP(R$260&amp;" (All)",'Default Values'!$B$162:$CD$181,MATCH($B321,'Default Values'!$B$101:$CD$101,0),0))</f>
        <v/>
      </c>
      <c r="S321" s="346" t="str">
        <f>IF(S$260="","",S$262*VLOOKUP(S$260&amp;" (All)",'Default Values'!$B$162:$CD$181,MATCH($B321,'Default Values'!$B$101:$CD$101,0),0))</f>
        <v/>
      </c>
      <c r="T321" s="346" t="str">
        <f>IF(T$260="","",T$262*VLOOKUP(T$260&amp;" (All)",'Default Values'!$B$162:$CD$181,MATCH($B321,'Default Values'!$B$101:$CD$101,0),0))</f>
        <v/>
      </c>
      <c r="U321" s="346" t="str">
        <f>IF(U$260="","",U$262*VLOOKUP(U$260&amp;" (All)",'Default Values'!$B$162:$CD$181,MATCH($B321,'Default Values'!$B$101:$CD$101,0),0))</f>
        <v/>
      </c>
      <c r="V321" s="346" t="str">
        <f>IF(V$260="","",V$262*VLOOKUP(V$260&amp;" (All)",'Default Values'!$B$162:$CD$181,MATCH($B321,'Default Values'!$B$101:$CD$101,0),0))</f>
        <v/>
      </c>
      <c r="W321" s="346" t="str">
        <f>IF(W$260="","",W$262*VLOOKUP(W$260&amp;" (All)",'Default Values'!$B$162:$CD$181,MATCH($B321,'Default Values'!$B$101:$CD$101,0),0))</f>
        <v/>
      </c>
      <c r="X321" s="346" t="str">
        <f>IF(X$260="","",X$262*VLOOKUP(X$260&amp;" (All)",'Default Values'!$B$162:$CD$181,MATCH($B321,'Default Values'!$B$101:$CD$101,0),0))</f>
        <v/>
      </c>
      <c r="Y321" s="346" t="str">
        <f>IF(Y$260="","",Y$262*VLOOKUP(Y$260&amp;" (All)",'Default Values'!$B$162:$CD$181,MATCH($B321,'Default Values'!$B$101:$CD$101,0),0))</f>
        <v/>
      </c>
      <c r="Z321" s="346" t="str">
        <f>IF(Z$260="","",Z$262*VLOOKUP(Z$260&amp;" (All)",'Default Values'!$B$162:$CD$181,MATCH($B321,'Default Values'!$B$101:$CD$101,0),0))</f>
        <v/>
      </c>
      <c r="AA321" s="346" t="str">
        <f>IF(AA$260="","",AA$262*VLOOKUP(AA$260&amp;" (All)",'Default Values'!$B$162:$CD$181,MATCH($B321,'Default Values'!$B$101:$CD$101,0),0))</f>
        <v/>
      </c>
      <c r="AB321" s="346" t="str">
        <f>IF(AB$260="","",AB$262*VLOOKUP(AB$260&amp;" (All)",'Default Values'!$B$162:$CD$181,MATCH($B321,'Default Values'!$B$101:$CD$101,0),0))</f>
        <v/>
      </c>
      <c r="AC321" s="346" t="str">
        <f>IF(AC$260="","",AC$262*VLOOKUP(AC$260&amp;" (All)",'Default Values'!$B$162:$CD$181,MATCH($B321,'Default Values'!$B$101:$CD$101,0),0))</f>
        <v/>
      </c>
      <c r="AD321" s="346" t="str">
        <f>IF(AD$260="","",AD$262*VLOOKUP(AD$260&amp;" (All)",'Default Values'!$B$162:$CD$181,MATCH($B321,'Default Values'!$B$101:$CD$101,0),0))</f>
        <v/>
      </c>
      <c r="AE321" s="346" t="str">
        <f>IF(AE$260="","",AE$262*VLOOKUP(AE$260&amp;" (All)",'Default Values'!$B$162:$CD$181,MATCH($B321,'Default Values'!$B$101:$CD$101,0),0))</f>
        <v/>
      </c>
      <c r="AF321" s="346" t="str">
        <f>IF(AF$260="","",AF$262*VLOOKUP(AF$260&amp;" (All)",'Default Values'!$B$162:$CD$181,MATCH($B321,'Default Values'!$B$101:$CD$101,0),0))</f>
        <v/>
      </c>
      <c r="AG321" s="346" t="str">
        <f>IF(AG$260="","",AG$262*VLOOKUP(AG$260&amp;" (All)",'Default Values'!$B$162:$CD$181,MATCH($B321,'Default Values'!$B$101:$CD$101,0),0))</f>
        <v/>
      </c>
      <c r="AH321" s="346" t="str">
        <f>IF(AH$260="","",AH$262*VLOOKUP(AH$260&amp;" (All)",'Default Values'!$B$162:$CD$181,MATCH($B321,'Default Values'!$B$101:$CD$101,0),0))</f>
        <v/>
      </c>
      <c r="AI321" s="346" t="str">
        <f>IF(AI$260="","",AI$262*VLOOKUP(AI$260&amp;" (All)",'Default Values'!$B$162:$CD$181,MATCH($B321,'Default Values'!$B$101:$CD$101,0),0))</f>
        <v/>
      </c>
      <c r="AJ321" s="346" t="str">
        <f>IF(AJ$260="","",AJ$262*VLOOKUP(AJ$260&amp;" (All)",'Default Values'!$B$162:$CD$181,MATCH($B321,'Default Values'!$B$101:$CD$101,0),0))</f>
        <v/>
      </c>
      <c r="AK321" s="346" t="str">
        <f>IF(AK$260="","",AK$262*VLOOKUP(AK$260&amp;" (All)",'Default Values'!$B$162:$CD$181,MATCH($B321,'Default Values'!$B$101:$CD$101,0),0))</f>
        <v/>
      </c>
      <c r="AL321" s="346" t="str">
        <f>IF(AL$260="","",AL$262*VLOOKUP(AL$260&amp;" (All)",'Default Values'!$B$162:$CD$181,MATCH($B321,'Default Values'!$B$101:$CD$101,0),0))</f>
        <v/>
      </c>
      <c r="AM321" s="346" t="str">
        <f>IF(AM$260="","",AM$262*VLOOKUP(AM$260&amp;" (All)",'Default Values'!$B$162:$CD$181,MATCH($B321,'Default Values'!$B$101:$CD$101,0),0))</f>
        <v/>
      </c>
      <c r="AN321" s="346" t="str">
        <f>IF(AN$260="","",AN$262*VLOOKUP(AN$260&amp;" (All)",'Default Values'!$B$162:$CD$181,MATCH($B321,'Default Values'!$B$101:$CD$101,0),0))</f>
        <v/>
      </c>
      <c r="AO321" s="346" t="str">
        <f>IF(AO$260="","",AO$262*VLOOKUP(AO$260&amp;" (All)",'Default Values'!$B$162:$CD$181,MATCH($B321,'Default Values'!$B$101:$CD$101,0),0))</f>
        <v/>
      </c>
      <c r="AP321" s="346" t="str">
        <f>IF(AP$260="","",AP$262*VLOOKUP(AP$260&amp;" (All)",'Default Values'!$B$162:$CD$181,MATCH($B321,'Default Values'!$B$101:$CD$101,0),0))</f>
        <v/>
      </c>
      <c r="AQ321" s="346" t="str">
        <f>IF(AQ$260="","",AQ$262*VLOOKUP(AQ$260&amp;" (All)",'Default Values'!$B$162:$CD$181,MATCH($B321,'Default Values'!$B$101:$CD$101,0),0))</f>
        <v/>
      </c>
      <c r="AR321" s="346">
        <f>IF(AR$260="","",AR$262*VLOOKUP(AR$260&amp;" (All)",'Default Values'!$B$162:$CD$181,MATCH($B321,'Default Values'!$B$101:$CD$101,0),0))</f>
        <v>0</v>
      </c>
      <c r="AS321" s="217"/>
      <c r="AT321" s="217"/>
      <c r="AU321" s="217"/>
      <c r="AV321" s="217"/>
      <c r="AW321" s="217"/>
      <c r="AX321" s="217"/>
      <c r="AY321" s="217"/>
      <c r="AZ321" s="217"/>
      <c r="BA321" s="217"/>
      <c r="BB321" s="217"/>
      <c r="BC321" s="217"/>
      <c r="BD321" s="217"/>
      <c r="BE321" s="217"/>
      <c r="BF321" s="217"/>
      <c r="BG321" s="217"/>
      <c r="BH321" s="217"/>
      <c r="BI321" s="217"/>
      <c r="BJ321" s="217"/>
      <c r="BK321" s="217"/>
      <c r="BL321" s="217"/>
      <c r="BM321" s="217"/>
      <c r="BN321" s="217"/>
      <c r="BO321" s="217"/>
      <c r="BP321" s="217"/>
      <c r="BQ321" s="217"/>
      <c r="BR321" s="217"/>
      <c r="BS321" s="217"/>
      <c r="BT321" s="217"/>
      <c r="BU321" s="217"/>
      <c r="BV321" s="217"/>
      <c r="BW321" s="217"/>
      <c r="BX321" s="217"/>
      <c r="BY321" s="217"/>
      <c r="BZ321" s="217"/>
      <c r="CA321" s="217"/>
      <c r="CB321" s="217"/>
      <c r="CC321" s="217"/>
      <c r="CD321" s="217"/>
      <c r="CE321" s="217"/>
      <c r="CF321" s="217"/>
      <c r="CG321" s="217"/>
      <c r="CH321" s="217"/>
      <c r="CI321" s="217"/>
      <c r="CJ321" s="217"/>
      <c r="CK321" s="217"/>
      <c r="CL321" s="217"/>
      <c r="CM321" s="217"/>
      <c r="CN321" s="217"/>
      <c r="CO321" s="217"/>
      <c r="CP321" s="217"/>
      <c r="CQ321" s="217"/>
      <c r="CR321" s="217"/>
      <c r="CS321" s="217"/>
      <c r="CT321" s="217"/>
      <c r="CU321" s="217"/>
      <c r="CV321" s="217"/>
      <c r="CW321" s="217"/>
      <c r="CX321" s="217"/>
      <c r="CY321" s="217"/>
      <c r="CZ321" s="217"/>
      <c r="DA321" s="217"/>
      <c r="DB321" s="217"/>
      <c r="DC321" s="217"/>
      <c r="DD321" s="217"/>
      <c r="DE321" s="217"/>
      <c r="DF321" s="217"/>
      <c r="DG321" s="217"/>
      <c r="DH321" s="217"/>
      <c r="DI321" s="217"/>
      <c r="DJ321" s="217"/>
      <c r="DK321" s="217"/>
      <c r="DL321" s="217"/>
      <c r="DM321" s="217"/>
      <c r="DN321" s="217"/>
      <c r="DO321" s="217"/>
      <c r="DP321" s="217"/>
      <c r="DQ321" s="217"/>
      <c r="DR321" s="217"/>
      <c r="DS321" s="217"/>
      <c r="DT321" s="217"/>
    </row>
    <row r="322" spans="1:124" x14ac:dyDescent="0.3">
      <c r="A322" s="217"/>
      <c r="B322" s="342" t="s">
        <v>248</v>
      </c>
      <c r="C322" s="345">
        <f t="shared" si="340"/>
        <v>0</v>
      </c>
      <c r="D322" s="346" t="str">
        <f>IF(D$260="","",D$262*VLOOKUP(D$260&amp;" (All)",'Default Values'!$B$162:$CD$181,MATCH($B322,'Default Values'!$B$101:$CD$101,0),0))</f>
        <v/>
      </c>
      <c r="E322" s="346" t="str">
        <f>IF(E$260="","",E$262*VLOOKUP(E$260&amp;" (All)",'Default Values'!$B$162:$CD$181,MATCH($B322,'Default Values'!$B$101:$CD$101,0),0))</f>
        <v/>
      </c>
      <c r="F322" s="346" t="str">
        <f>IF(F$260="","",F$262*VLOOKUP(F$260&amp;" (All)",'Default Values'!$B$162:$CD$181,MATCH($B322,'Default Values'!$B$101:$CD$101,0),0))</f>
        <v/>
      </c>
      <c r="G322" s="346" t="str">
        <f>IF(G$260="","",G$262*VLOOKUP(G$260&amp;" (All)",'Default Values'!$B$162:$CD$181,MATCH($B322,'Default Values'!$B$101:$CD$101,0),0))</f>
        <v/>
      </c>
      <c r="H322" s="346" t="str">
        <f>IF(H$260="","",H$262*VLOOKUP(H$260&amp;" (All)",'Default Values'!$B$162:$CD$181,MATCH($B322,'Default Values'!$B$101:$CD$101,0),0))</f>
        <v/>
      </c>
      <c r="I322" s="346" t="str">
        <f>IF(I$260="","",I$262*VLOOKUP(I$260&amp;" (All)",'Default Values'!$B$162:$CD$181,MATCH($B322,'Default Values'!$B$101:$CD$101,0),0))</f>
        <v/>
      </c>
      <c r="J322" s="346" t="str">
        <f>IF(J$260="","",J$262*VLOOKUP(J$260&amp;" (All)",'Default Values'!$B$162:$CD$181,MATCH($B322,'Default Values'!$B$101:$CD$101,0),0))</f>
        <v/>
      </c>
      <c r="K322" s="346" t="str">
        <f>IF(K$260="","",K$262*VLOOKUP(K$260&amp;" (All)",'Default Values'!$B$162:$CD$181,MATCH($B322,'Default Values'!$B$101:$CD$101,0),0))</f>
        <v/>
      </c>
      <c r="L322" s="346" t="str">
        <f>IF(L$260="","",L$262*VLOOKUP(L$260&amp;" (All)",'Default Values'!$B$162:$CD$181,MATCH($B322,'Default Values'!$B$101:$CD$101,0),0))</f>
        <v/>
      </c>
      <c r="M322" s="346" t="str">
        <f>IF(M$260="","",M$262*VLOOKUP(M$260&amp;" (All)",'Default Values'!$B$162:$CD$181,MATCH($B322,'Default Values'!$B$101:$CD$101,0),0))</f>
        <v/>
      </c>
      <c r="N322" s="346" t="str">
        <f>IF(N$260="","",N$262*VLOOKUP(N$260&amp;" (All)",'Default Values'!$B$162:$CD$181,MATCH($B322,'Default Values'!$B$101:$CD$101,0),0))</f>
        <v/>
      </c>
      <c r="O322" s="346" t="str">
        <f>IF(O$260="","",O$262*VLOOKUP(O$260&amp;" (All)",'Default Values'!$B$162:$CD$181,MATCH($B322,'Default Values'!$B$101:$CD$101,0),0))</f>
        <v/>
      </c>
      <c r="P322" s="346" t="str">
        <f>IF(P$260="","",P$262*VLOOKUP(P$260&amp;" (All)",'Default Values'!$B$162:$CD$181,MATCH($B322,'Default Values'!$B$101:$CD$101,0),0))</f>
        <v/>
      </c>
      <c r="Q322" s="346" t="str">
        <f>IF(Q$260="","",Q$262*VLOOKUP(Q$260&amp;" (All)",'Default Values'!$B$162:$CD$181,MATCH($B322,'Default Values'!$B$101:$CD$101,0),0))</f>
        <v/>
      </c>
      <c r="R322" s="346" t="str">
        <f>IF(R$260="","",R$262*VLOOKUP(R$260&amp;" (All)",'Default Values'!$B$162:$CD$181,MATCH($B322,'Default Values'!$B$101:$CD$101,0),0))</f>
        <v/>
      </c>
      <c r="S322" s="346" t="str">
        <f>IF(S$260="","",S$262*VLOOKUP(S$260&amp;" (All)",'Default Values'!$B$162:$CD$181,MATCH($B322,'Default Values'!$B$101:$CD$101,0),0))</f>
        <v/>
      </c>
      <c r="T322" s="346" t="str">
        <f>IF(T$260="","",T$262*VLOOKUP(T$260&amp;" (All)",'Default Values'!$B$162:$CD$181,MATCH($B322,'Default Values'!$B$101:$CD$101,0),0))</f>
        <v/>
      </c>
      <c r="U322" s="346" t="str">
        <f>IF(U$260="","",U$262*VLOOKUP(U$260&amp;" (All)",'Default Values'!$B$162:$CD$181,MATCH($B322,'Default Values'!$B$101:$CD$101,0),0))</f>
        <v/>
      </c>
      <c r="V322" s="346" t="str">
        <f>IF(V$260="","",V$262*VLOOKUP(V$260&amp;" (All)",'Default Values'!$B$162:$CD$181,MATCH($B322,'Default Values'!$B$101:$CD$101,0),0))</f>
        <v/>
      </c>
      <c r="W322" s="346" t="str">
        <f>IF(W$260="","",W$262*VLOOKUP(W$260&amp;" (All)",'Default Values'!$B$162:$CD$181,MATCH($B322,'Default Values'!$B$101:$CD$101,0),0))</f>
        <v/>
      </c>
      <c r="X322" s="346" t="str">
        <f>IF(X$260="","",X$262*VLOOKUP(X$260&amp;" (All)",'Default Values'!$B$162:$CD$181,MATCH($B322,'Default Values'!$B$101:$CD$101,0),0))</f>
        <v/>
      </c>
      <c r="Y322" s="346" t="str">
        <f>IF(Y$260="","",Y$262*VLOOKUP(Y$260&amp;" (All)",'Default Values'!$B$162:$CD$181,MATCH($B322,'Default Values'!$B$101:$CD$101,0),0))</f>
        <v/>
      </c>
      <c r="Z322" s="346" t="str">
        <f>IF(Z$260="","",Z$262*VLOOKUP(Z$260&amp;" (All)",'Default Values'!$B$162:$CD$181,MATCH($B322,'Default Values'!$B$101:$CD$101,0),0))</f>
        <v/>
      </c>
      <c r="AA322" s="346" t="str">
        <f>IF(AA$260="","",AA$262*VLOOKUP(AA$260&amp;" (All)",'Default Values'!$B$162:$CD$181,MATCH($B322,'Default Values'!$B$101:$CD$101,0),0))</f>
        <v/>
      </c>
      <c r="AB322" s="346" t="str">
        <f>IF(AB$260="","",AB$262*VLOOKUP(AB$260&amp;" (All)",'Default Values'!$B$162:$CD$181,MATCH($B322,'Default Values'!$B$101:$CD$101,0),0))</f>
        <v/>
      </c>
      <c r="AC322" s="346" t="str">
        <f>IF(AC$260="","",AC$262*VLOOKUP(AC$260&amp;" (All)",'Default Values'!$B$162:$CD$181,MATCH($B322,'Default Values'!$B$101:$CD$101,0),0))</f>
        <v/>
      </c>
      <c r="AD322" s="346" t="str">
        <f>IF(AD$260="","",AD$262*VLOOKUP(AD$260&amp;" (All)",'Default Values'!$B$162:$CD$181,MATCH($B322,'Default Values'!$B$101:$CD$101,0),0))</f>
        <v/>
      </c>
      <c r="AE322" s="346" t="str">
        <f>IF(AE$260="","",AE$262*VLOOKUP(AE$260&amp;" (All)",'Default Values'!$B$162:$CD$181,MATCH($B322,'Default Values'!$B$101:$CD$101,0),0))</f>
        <v/>
      </c>
      <c r="AF322" s="346" t="str">
        <f>IF(AF$260="","",AF$262*VLOOKUP(AF$260&amp;" (All)",'Default Values'!$B$162:$CD$181,MATCH($B322,'Default Values'!$B$101:$CD$101,0),0))</f>
        <v/>
      </c>
      <c r="AG322" s="346" t="str">
        <f>IF(AG$260="","",AG$262*VLOOKUP(AG$260&amp;" (All)",'Default Values'!$B$162:$CD$181,MATCH($B322,'Default Values'!$B$101:$CD$101,0),0))</f>
        <v/>
      </c>
      <c r="AH322" s="346" t="str">
        <f>IF(AH$260="","",AH$262*VLOOKUP(AH$260&amp;" (All)",'Default Values'!$B$162:$CD$181,MATCH($B322,'Default Values'!$B$101:$CD$101,0),0))</f>
        <v/>
      </c>
      <c r="AI322" s="346" t="str">
        <f>IF(AI$260="","",AI$262*VLOOKUP(AI$260&amp;" (All)",'Default Values'!$B$162:$CD$181,MATCH($B322,'Default Values'!$B$101:$CD$101,0),0))</f>
        <v/>
      </c>
      <c r="AJ322" s="346" t="str">
        <f>IF(AJ$260="","",AJ$262*VLOOKUP(AJ$260&amp;" (All)",'Default Values'!$B$162:$CD$181,MATCH($B322,'Default Values'!$B$101:$CD$101,0),0))</f>
        <v/>
      </c>
      <c r="AK322" s="346" t="str">
        <f>IF(AK$260="","",AK$262*VLOOKUP(AK$260&amp;" (All)",'Default Values'!$B$162:$CD$181,MATCH($B322,'Default Values'!$B$101:$CD$101,0),0))</f>
        <v/>
      </c>
      <c r="AL322" s="346" t="str">
        <f>IF(AL$260="","",AL$262*VLOOKUP(AL$260&amp;" (All)",'Default Values'!$B$162:$CD$181,MATCH($B322,'Default Values'!$B$101:$CD$101,0),0))</f>
        <v/>
      </c>
      <c r="AM322" s="346" t="str">
        <f>IF(AM$260="","",AM$262*VLOOKUP(AM$260&amp;" (All)",'Default Values'!$B$162:$CD$181,MATCH($B322,'Default Values'!$B$101:$CD$101,0),0))</f>
        <v/>
      </c>
      <c r="AN322" s="346" t="str">
        <f>IF(AN$260="","",AN$262*VLOOKUP(AN$260&amp;" (All)",'Default Values'!$B$162:$CD$181,MATCH($B322,'Default Values'!$B$101:$CD$101,0),0))</f>
        <v/>
      </c>
      <c r="AO322" s="346" t="str">
        <f>IF(AO$260="","",AO$262*VLOOKUP(AO$260&amp;" (All)",'Default Values'!$B$162:$CD$181,MATCH($B322,'Default Values'!$B$101:$CD$101,0),0))</f>
        <v/>
      </c>
      <c r="AP322" s="346" t="str">
        <f>IF(AP$260="","",AP$262*VLOOKUP(AP$260&amp;" (All)",'Default Values'!$B$162:$CD$181,MATCH($B322,'Default Values'!$B$101:$CD$101,0),0))</f>
        <v/>
      </c>
      <c r="AQ322" s="346" t="str">
        <f>IF(AQ$260="","",AQ$262*VLOOKUP(AQ$260&amp;" (All)",'Default Values'!$B$162:$CD$181,MATCH($B322,'Default Values'!$B$101:$CD$101,0),0))</f>
        <v/>
      </c>
      <c r="AR322" s="346">
        <f>IF(AR$260="","",AR$262*VLOOKUP(AR$260&amp;" (All)",'Default Values'!$B$162:$CD$181,MATCH($B322,'Default Values'!$B$101:$CD$101,0),0))</f>
        <v>0</v>
      </c>
      <c r="AS322" s="217"/>
      <c r="AT322" s="217"/>
      <c r="AU322" s="217"/>
      <c r="AV322" s="217"/>
      <c r="AW322" s="217"/>
      <c r="AX322" s="217"/>
      <c r="AY322" s="217"/>
      <c r="AZ322" s="217"/>
      <c r="BA322" s="217"/>
      <c r="BB322" s="217"/>
      <c r="BC322" s="217"/>
      <c r="BD322" s="217"/>
      <c r="BE322" s="217"/>
      <c r="BF322" s="217"/>
      <c r="BG322" s="217"/>
      <c r="BH322" s="217"/>
      <c r="BI322" s="217"/>
      <c r="BJ322" s="217"/>
      <c r="BK322" s="217"/>
      <c r="BL322" s="217"/>
      <c r="BM322" s="217"/>
      <c r="BN322" s="217"/>
      <c r="BO322" s="217"/>
      <c r="BP322" s="217"/>
      <c r="BQ322" s="217"/>
      <c r="BR322" s="217"/>
      <c r="BS322" s="217"/>
      <c r="BT322" s="217"/>
      <c r="BU322" s="217"/>
      <c r="BV322" s="217"/>
      <c r="BW322" s="217"/>
      <c r="BX322" s="217"/>
      <c r="BY322" s="217"/>
      <c r="BZ322" s="217"/>
      <c r="CA322" s="217"/>
      <c r="CB322" s="217"/>
      <c r="CC322" s="217"/>
      <c r="CD322" s="217"/>
      <c r="CE322" s="217"/>
      <c r="CF322" s="217"/>
      <c r="CG322" s="217"/>
      <c r="CH322" s="217"/>
      <c r="CI322" s="217"/>
      <c r="CJ322" s="217"/>
      <c r="CK322" s="217"/>
      <c r="CL322" s="217"/>
      <c r="CM322" s="217"/>
      <c r="CN322" s="217"/>
      <c r="CO322" s="217"/>
      <c r="CP322" s="217"/>
      <c r="CQ322" s="217"/>
      <c r="CR322" s="217"/>
      <c r="CS322" s="217"/>
      <c r="CT322" s="217"/>
      <c r="CU322" s="217"/>
      <c r="CV322" s="217"/>
      <c r="CW322" s="217"/>
      <c r="CX322" s="217"/>
      <c r="CY322" s="217"/>
      <c r="CZ322" s="217"/>
      <c r="DA322" s="217"/>
      <c r="DB322" s="217"/>
      <c r="DC322" s="217"/>
      <c r="DD322" s="217"/>
      <c r="DE322" s="217"/>
      <c r="DF322" s="217"/>
      <c r="DG322" s="217"/>
      <c r="DH322" s="217"/>
      <c r="DI322" s="217"/>
      <c r="DJ322" s="217"/>
      <c r="DK322" s="217"/>
      <c r="DL322" s="217"/>
      <c r="DM322" s="217"/>
      <c r="DN322" s="217"/>
      <c r="DO322" s="217"/>
      <c r="DP322" s="217"/>
      <c r="DQ322" s="217"/>
      <c r="DR322" s="217"/>
      <c r="DS322" s="217"/>
      <c r="DT322" s="217"/>
    </row>
    <row r="323" spans="1:124" x14ac:dyDescent="0.3">
      <c r="A323" s="217"/>
      <c r="B323" s="342" t="s">
        <v>250</v>
      </c>
      <c r="C323" s="345">
        <f t="shared" si="340"/>
        <v>0</v>
      </c>
      <c r="D323" s="346" t="str">
        <f>IF(D$260="","",D$262*VLOOKUP(D$260&amp;" (All)",'Default Values'!$B$162:$CD$181,MATCH($B323,'Default Values'!$B$101:$CD$101,0),0))</f>
        <v/>
      </c>
      <c r="E323" s="346" t="str">
        <f>IF(E$260="","",E$262*VLOOKUP(E$260&amp;" (All)",'Default Values'!$B$162:$CD$181,MATCH($B323,'Default Values'!$B$101:$CD$101,0),0))</f>
        <v/>
      </c>
      <c r="F323" s="346" t="str">
        <f>IF(F$260="","",F$262*VLOOKUP(F$260&amp;" (All)",'Default Values'!$B$162:$CD$181,MATCH($B323,'Default Values'!$B$101:$CD$101,0),0))</f>
        <v/>
      </c>
      <c r="G323" s="346" t="str">
        <f>IF(G$260="","",G$262*VLOOKUP(G$260&amp;" (All)",'Default Values'!$B$162:$CD$181,MATCH($B323,'Default Values'!$B$101:$CD$101,0),0))</f>
        <v/>
      </c>
      <c r="H323" s="346" t="str">
        <f>IF(H$260="","",H$262*VLOOKUP(H$260&amp;" (All)",'Default Values'!$B$162:$CD$181,MATCH($B323,'Default Values'!$B$101:$CD$101,0),0))</f>
        <v/>
      </c>
      <c r="I323" s="346" t="str">
        <f>IF(I$260="","",I$262*VLOOKUP(I$260&amp;" (All)",'Default Values'!$B$162:$CD$181,MATCH($B323,'Default Values'!$B$101:$CD$101,0),0))</f>
        <v/>
      </c>
      <c r="J323" s="346" t="str">
        <f>IF(J$260="","",J$262*VLOOKUP(J$260&amp;" (All)",'Default Values'!$B$162:$CD$181,MATCH($B323,'Default Values'!$B$101:$CD$101,0),0))</f>
        <v/>
      </c>
      <c r="K323" s="346" t="str">
        <f>IF(K$260="","",K$262*VLOOKUP(K$260&amp;" (All)",'Default Values'!$B$162:$CD$181,MATCH($B323,'Default Values'!$B$101:$CD$101,0),0))</f>
        <v/>
      </c>
      <c r="L323" s="346" t="str">
        <f>IF(L$260="","",L$262*VLOOKUP(L$260&amp;" (All)",'Default Values'!$B$162:$CD$181,MATCH($B323,'Default Values'!$B$101:$CD$101,0),0))</f>
        <v/>
      </c>
      <c r="M323" s="346" t="str">
        <f>IF(M$260="","",M$262*VLOOKUP(M$260&amp;" (All)",'Default Values'!$B$162:$CD$181,MATCH($B323,'Default Values'!$B$101:$CD$101,0),0))</f>
        <v/>
      </c>
      <c r="N323" s="346" t="str">
        <f>IF(N$260="","",N$262*VLOOKUP(N$260&amp;" (All)",'Default Values'!$B$162:$CD$181,MATCH($B323,'Default Values'!$B$101:$CD$101,0),0))</f>
        <v/>
      </c>
      <c r="O323" s="346" t="str">
        <f>IF(O$260="","",O$262*VLOOKUP(O$260&amp;" (All)",'Default Values'!$B$162:$CD$181,MATCH($B323,'Default Values'!$B$101:$CD$101,0),0))</f>
        <v/>
      </c>
      <c r="P323" s="346" t="str">
        <f>IF(P$260="","",P$262*VLOOKUP(P$260&amp;" (All)",'Default Values'!$B$162:$CD$181,MATCH($B323,'Default Values'!$B$101:$CD$101,0),0))</f>
        <v/>
      </c>
      <c r="Q323" s="346" t="str">
        <f>IF(Q$260="","",Q$262*VLOOKUP(Q$260&amp;" (All)",'Default Values'!$B$162:$CD$181,MATCH($B323,'Default Values'!$B$101:$CD$101,0),0))</f>
        <v/>
      </c>
      <c r="R323" s="346" t="str">
        <f>IF(R$260="","",R$262*VLOOKUP(R$260&amp;" (All)",'Default Values'!$B$162:$CD$181,MATCH($B323,'Default Values'!$B$101:$CD$101,0),0))</f>
        <v/>
      </c>
      <c r="S323" s="346" t="str">
        <f>IF(S$260="","",S$262*VLOOKUP(S$260&amp;" (All)",'Default Values'!$B$162:$CD$181,MATCH($B323,'Default Values'!$B$101:$CD$101,0),0))</f>
        <v/>
      </c>
      <c r="T323" s="346" t="str">
        <f>IF(T$260="","",T$262*VLOOKUP(T$260&amp;" (All)",'Default Values'!$B$162:$CD$181,MATCH($B323,'Default Values'!$B$101:$CD$101,0),0))</f>
        <v/>
      </c>
      <c r="U323" s="346" t="str">
        <f>IF(U$260="","",U$262*VLOOKUP(U$260&amp;" (All)",'Default Values'!$B$162:$CD$181,MATCH($B323,'Default Values'!$B$101:$CD$101,0),0))</f>
        <v/>
      </c>
      <c r="V323" s="346" t="str">
        <f>IF(V$260="","",V$262*VLOOKUP(V$260&amp;" (All)",'Default Values'!$B$162:$CD$181,MATCH($B323,'Default Values'!$B$101:$CD$101,0),0))</f>
        <v/>
      </c>
      <c r="W323" s="346" t="str">
        <f>IF(W$260="","",W$262*VLOOKUP(W$260&amp;" (All)",'Default Values'!$B$162:$CD$181,MATCH($B323,'Default Values'!$B$101:$CD$101,0),0))</f>
        <v/>
      </c>
      <c r="X323" s="346" t="str">
        <f>IF(X$260="","",X$262*VLOOKUP(X$260&amp;" (All)",'Default Values'!$B$162:$CD$181,MATCH($B323,'Default Values'!$B$101:$CD$101,0),0))</f>
        <v/>
      </c>
      <c r="Y323" s="346" t="str">
        <f>IF(Y$260="","",Y$262*VLOOKUP(Y$260&amp;" (All)",'Default Values'!$B$162:$CD$181,MATCH($B323,'Default Values'!$B$101:$CD$101,0),0))</f>
        <v/>
      </c>
      <c r="Z323" s="346" t="str">
        <f>IF(Z$260="","",Z$262*VLOOKUP(Z$260&amp;" (All)",'Default Values'!$B$162:$CD$181,MATCH($B323,'Default Values'!$B$101:$CD$101,0),0))</f>
        <v/>
      </c>
      <c r="AA323" s="346" t="str">
        <f>IF(AA$260="","",AA$262*VLOOKUP(AA$260&amp;" (All)",'Default Values'!$B$162:$CD$181,MATCH($B323,'Default Values'!$B$101:$CD$101,0),0))</f>
        <v/>
      </c>
      <c r="AB323" s="346" t="str">
        <f>IF(AB$260="","",AB$262*VLOOKUP(AB$260&amp;" (All)",'Default Values'!$B$162:$CD$181,MATCH($B323,'Default Values'!$B$101:$CD$101,0),0))</f>
        <v/>
      </c>
      <c r="AC323" s="346" t="str">
        <f>IF(AC$260="","",AC$262*VLOOKUP(AC$260&amp;" (All)",'Default Values'!$B$162:$CD$181,MATCH($B323,'Default Values'!$B$101:$CD$101,0),0))</f>
        <v/>
      </c>
      <c r="AD323" s="346" t="str">
        <f>IF(AD$260="","",AD$262*VLOOKUP(AD$260&amp;" (All)",'Default Values'!$B$162:$CD$181,MATCH($B323,'Default Values'!$B$101:$CD$101,0),0))</f>
        <v/>
      </c>
      <c r="AE323" s="346" t="str">
        <f>IF(AE$260="","",AE$262*VLOOKUP(AE$260&amp;" (All)",'Default Values'!$B$162:$CD$181,MATCH($B323,'Default Values'!$B$101:$CD$101,0),0))</f>
        <v/>
      </c>
      <c r="AF323" s="346" t="str">
        <f>IF(AF$260="","",AF$262*VLOOKUP(AF$260&amp;" (All)",'Default Values'!$B$162:$CD$181,MATCH($B323,'Default Values'!$B$101:$CD$101,0),0))</f>
        <v/>
      </c>
      <c r="AG323" s="346" t="str">
        <f>IF(AG$260="","",AG$262*VLOOKUP(AG$260&amp;" (All)",'Default Values'!$B$162:$CD$181,MATCH($B323,'Default Values'!$B$101:$CD$101,0),0))</f>
        <v/>
      </c>
      <c r="AH323" s="346" t="str">
        <f>IF(AH$260="","",AH$262*VLOOKUP(AH$260&amp;" (All)",'Default Values'!$B$162:$CD$181,MATCH($B323,'Default Values'!$B$101:$CD$101,0),0))</f>
        <v/>
      </c>
      <c r="AI323" s="346" t="str">
        <f>IF(AI$260="","",AI$262*VLOOKUP(AI$260&amp;" (All)",'Default Values'!$B$162:$CD$181,MATCH($B323,'Default Values'!$B$101:$CD$101,0),0))</f>
        <v/>
      </c>
      <c r="AJ323" s="346" t="str">
        <f>IF(AJ$260="","",AJ$262*VLOOKUP(AJ$260&amp;" (All)",'Default Values'!$B$162:$CD$181,MATCH($B323,'Default Values'!$B$101:$CD$101,0),0))</f>
        <v/>
      </c>
      <c r="AK323" s="346" t="str">
        <f>IF(AK$260="","",AK$262*VLOOKUP(AK$260&amp;" (All)",'Default Values'!$B$162:$CD$181,MATCH($B323,'Default Values'!$B$101:$CD$101,0),0))</f>
        <v/>
      </c>
      <c r="AL323" s="346" t="str">
        <f>IF(AL$260="","",AL$262*VLOOKUP(AL$260&amp;" (All)",'Default Values'!$B$162:$CD$181,MATCH($B323,'Default Values'!$B$101:$CD$101,0),0))</f>
        <v/>
      </c>
      <c r="AM323" s="346" t="str">
        <f>IF(AM$260="","",AM$262*VLOOKUP(AM$260&amp;" (All)",'Default Values'!$B$162:$CD$181,MATCH($B323,'Default Values'!$B$101:$CD$101,0),0))</f>
        <v/>
      </c>
      <c r="AN323" s="346" t="str">
        <f>IF(AN$260="","",AN$262*VLOOKUP(AN$260&amp;" (All)",'Default Values'!$B$162:$CD$181,MATCH($B323,'Default Values'!$B$101:$CD$101,0),0))</f>
        <v/>
      </c>
      <c r="AO323" s="346" t="str">
        <f>IF(AO$260="","",AO$262*VLOOKUP(AO$260&amp;" (All)",'Default Values'!$B$162:$CD$181,MATCH($B323,'Default Values'!$B$101:$CD$101,0),0))</f>
        <v/>
      </c>
      <c r="AP323" s="346" t="str">
        <f>IF(AP$260="","",AP$262*VLOOKUP(AP$260&amp;" (All)",'Default Values'!$B$162:$CD$181,MATCH($B323,'Default Values'!$B$101:$CD$101,0),0))</f>
        <v/>
      </c>
      <c r="AQ323" s="346" t="str">
        <f>IF(AQ$260="","",AQ$262*VLOOKUP(AQ$260&amp;" (All)",'Default Values'!$B$162:$CD$181,MATCH($B323,'Default Values'!$B$101:$CD$101,0),0))</f>
        <v/>
      </c>
      <c r="AR323" s="346">
        <f>IF(AR$260="","",AR$262*VLOOKUP(AR$260&amp;" (All)",'Default Values'!$B$162:$CD$181,MATCH($B323,'Default Values'!$B$101:$CD$101,0),0))</f>
        <v>0</v>
      </c>
      <c r="AS323" s="217"/>
      <c r="AT323" s="217"/>
      <c r="AU323" s="217"/>
      <c r="AV323" s="217"/>
      <c r="AW323" s="217"/>
      <c r="AX323" s="217"/>
      <c r="AY323" s="217"/>
      <c r="AZ323" s="217"/>
      <c r="BA323" s="217"/>
      <c r="BB323" s="217"/>
      <c r="BC323" s="217"/>
      <c r="BD323" s="217"/>
      <c r="BE323" s="217"/>
      <c r="BF323" s="217"/>
      <c r="BG323" s="217"/>
      <c r="BH323" s="217"/>
      <c r="BI323" s="217"/>
      <c r="BJ323" s="217"/>
      <c r="BK323" s="217"/>
      <c r="BL323" s="217"/>
      <c r="BM323" s="217"/>
      <c r="BN323" s="217"/>
      <c r="BO323" s="217"/>
      <c r="BP323" s="217"/>
      <c r="BQ323" s="217"/>
      <c r="BR323" s="217"/>
      <c r="BS323" s="217"/>
      <c r="BT323" s="217"/>
      <c r="BU323" s="217"/>
      <c r="BV323" s="217"/>
      <c r="BW323" s="217"/>
      <c r="BX323" s="217"/>
      <c r="BY323" s="217"/>
      <c r="BZ323" s="217"/>
      <c r="CA323" s="217"/>
      <c r="CB323" s="217"/>
      <c r="CC323" s="217"/>
      <c r="CD323" s="217"/>
      <c r="CE323" s="217"/>
      <c r="CF323" s="217"/>
      <c r="CG323" s="217"/>
      <c r="CH323" s="217"/>
      <c r="CI323" s="217"/>
      <c r="CJ323" s="217"/>
      <c r="CK323" s="217"/>
      <c r="CL323" s="217"/>
      <c r="CM323" s="217"/>
      <c r="CN323" s="217"/>
      <c r="CO323" s="217"/>
      <c r="CP323" s="217"/>
      <c r="CQ323" s="217"/>
      <c r="CR323" s="217"/>
      <c r="CS323" s="217"/>
      <c r="CT323" s="217"/>
      <c r="CU323" s="217"/>
      <c r="CV323" s="217"/>
      <c r="CW323" s="217"/>
      <c r="CX323" s="217"/>
      <c r="CY323" s="217"/>
      <c r="CZ323" s="217"/>
      <c r="DA323" s="217"/>
      <c r="DB323" s="217"/>
      <c r="DC323" s="217"/>
      <c r="DD323" s="217"/>
      <c r="DE323" s="217"/>
      <c r="DF323" s="217"/>
      <c r="DG323" s="217"/>
      <c r="DH323" s="217"/>
      <c r="DI323" s="217"/>
      <c r="DJ323" s="217"/>
      <c r="DK323" s="217"/>
      <c r="DL323" s="217"/>
      <c r="DM323" s="217"/>
      <c r="DN323" s="217"/>
      <c r="DO323" s="217"/>
      <c r="DP323" s="217"/>
      <c r="DQ323" s="217"/>
      <c r="DR323" s="217"/>
      <c r="DS323" s="217"/>
      <c r="DT323" s="217"/>
    </row>
    <row r="324" spans="1:124" x14ac:dyDescent="0.3">
      <c r="A324" s="217"/>
      <c r="B324" s="342" t="s">
        <v>252</v>
      </c>
      <c r="C324" s="345">
        <f t="shared" si="340"/>
        <v>0</v>
      </c>
      <c r="D324" s="346" t="str">
        <f>IF(D$260="","",D$262*VLOOKUP(D$260&amp;" (All)",'Default Values'!$B$162:$CD$181,MATCH($B324,'Default Values'!$B$101:$CD$101,0),0))</f>
        <v/>
      </c>
      <c r="E324" s="346" t="str">
        <f>IF(E$260="","",E$262*VLOOKUP(E$260&amp;" (All)",'Default Values'!$B$162:$CD$181,MATCH($B324,'Default Values'!$B$101:$CD$101,0),0))</f>
        <v/>
      </c>
      <c r="F324" s="346" t="str">
        <f>IF(F$260="","",F$262*VLOOKUP(F$260&amp;" (All)",'Default Values'!$B$162:$CD$181,MATCH($B324,'Default Values'!$B$101:$CD$101,0),0))</f>
        <v/>
      </c>
      <c r="G324" s="346" t="str">
        <f>IF(G$260="","",G$262*VLOOKUP(G$260&amp;" (All)",'Default Values'!$B$162:$CD$181,MATCH($B324,'Default Values'!$B$101:$CD$101,0),0))</f>
        <v/>
      </c>
      <c r="H324" s="346" t="str">
        <f>IF(H$260="","",H$262*VLOOKUP(H$260&amp;" (All)",'Default Values'!$B$162:$CD$181,MATCH($B324,'Default Values'!$B$101:$CD$101,0),0))</f>
        <v/>
      </c>
      <c r="I324" s="346" t="str">
        <f>IF(I$260="","",I$262*VLOOKUP(I$260&amp;" (All)",'Default Values'!$B$162:$CD$181,MATCH($B324,'Default Values'!$B$101:$CD$101,0),0))</f>
        <v/>
      </c>
      <c r="J324" s="346" t="str">
        <f>IF(J$260="","",J$262*VLOOKUP(J$260&amp;" (All)",'Default Values'!$B$162:$CD$181,MATCH($B324,'Default Values'!$B$101:$CD$101,0),0))</f>
        <v/>
      </c>
      <c r="K324" s="346" t="str">
        <f>IF(K$260="","",K$262*VLOOKUP(K$260&amp;" (All)",'Default Values'!$B$162:$CD$181,MATCH($B324,'Default Values'!$B$101:$CD$101,0),0))</f>
        <v/>
      </c>
      <c r="L324" s="346" t="str">
        <f>IF(L$260="","",L$262*VLOOKUP(L$260&amp;" (All)",'Default Values'!$B$162:$CD$181,MATCH($B324,'Default Values'!$B$101:$CD$101,0),0))</f>
        <v/>
      </c>
      <c r="M324" s="346" t="str">
        <f>IF(M$260="","",M$262*VLOOKUP(M$260&amp;" (All)",'Default Values'!$B$162:$CD$181,MATCH($B324,'Default Values'!$B$101:$CD$101,0),0))</f>
        <v/>
      </c>
      <c r="N324" s="346" t="str">
        <f>IF(N$260="","",N$262*VLOOKUP(N$260&amp;" (All)",'Default Values'!$B$162:$CD$181,MATCH($B324,'Default Values'!$B$101:$CD$101,0),0))</f>
        <v/>
      </c>
      <c r="O324" s="346" t="str">
        <f>IF(O$260="","",O$262*VLOOKUP(O$260&amp;" (All)",'Default Values'!$B$162:$CD$181,MATCH($B324,'Default Values'!$B$101:$CD$101,0),0))</f>
        <v/>
      </c>
      <c r="P324" s="346" t="str">
        <f>IF(P$260="","",P$262*VLOOKUP(P$260&amp;" (All)",'Default Values'!$B$162:$CD$181,MATCH($B324,'Default Values'!$B$101:$CD$101,0),0))</f>
        <v/>
      </c>
      <c r="Q324" s="346" t="str">
        <f>IF(Q$260="","",Q$262*VLOOKUP(Q$260&amp;" (All)",'Default Values'!$B$162:$CD$181,MATCH($B324,'Default Values'!$B$101:$CD$101,0),0))</f>
        <v/>
      </c>
      <c r="R324" s="346" t="str">
        <f>IF(R$260="","",R$262*VLOOKUP(R$260&amp;" (All)",'Default Values'!$B$162:$CD$181,MATCH($B324,'Default Values'!$B$101:$CD$101,0),0))</f>
        <v/>
      </c>
      <c r="S324" s="346" t="str">
        <f>IF(S$260="","",S$262*VLOOKUP(S$260&amp;" (All)",'Default Values'!$B$162:$CD$181,MATCH($B324,'Default Values'!$B$101:$CD$101,0),0))</f>
        <v/>
      </c>
      <c r="T324" s="346" t="str">
        <f>IF(T$260="","",T$262*VLOOKUP(T$260&amp;" (All)",'Default Values'!$B$162:$CD$181,MATCH($B324,'Default Values'!$B$101:$CD$101,0),0))</f>
        <v/>
      </c>
      <c r="U324" s="346" t="str">
        <f>IF(U$260="","",U$262*VLOOKUP(U$260&amp;" (All)",'Default Values'!$B$162:$CD$181,MATCH($B324,'Default Values'!$B$101:$CD$101,0),0))</f>
        <v/>
      </c>
      <c r="V324" s="346" t="str">
        <f>IF(V$260="","",V$262*VLOOKUP(V$260&amp;" (All)",'Default Values'!$B$162:$CD$181,MATCH($B324,'Default Values'!$B$101:$CD$101,0),0))</f>
        <v/>
      </c>
      <c r="W324" s="346" t="str">
        <f>IF(W$260="","",W$262*VLOOKUP(W$260&amp;" (All)",'Default Values'!$B$162:$CD$181,MATCH($B324,'Default Values'!$B$101:$CD$101,0),0))</f>
        <v/>
      </c>
      <c r="X324" s="346" t="str">
        <f>IF(X$260="","",X$262*VLOOKUP(X$260&amp;" (All)",'Default Values'!$B$162:$CD$181,MATCH($B324,'Default Values'!$B$101:$CD$101,0),0))</f>
        <v/>
      </c>
      <c r="Y324" s="346" t="str">
        <f>IF(Y$260="","",Y$262*VLOOKUP(Y$260&amp;" (All)",'Default Values'!$B$162:$CD$181,MATCH($B324,'Default Values'!$B$101:$CD$101,0),0))</f>
        <v/>
      </c>
      <c r="Z324" s="346" t="str">
        <f>IF(Z$260="","",Z$262*VLOOKUP(Z$260&amp;" (All)",'Default Values'!$B$162:$CD$181,MATCH($B324,'Default Values'!$B$101:$CD$101,0),0))</f>
        <v/>
      </c>
      <c r="AA324" s="346" t="str">
        <f>IF(AA$260="","",AA$262*VLOOKUP(AA$260&amp;" (All)",'Default Values'!$B$162:$CD$181,MATCH($B324,'Default Values'!$B$101:$CD$101,0),0))</f>
        <v/>
      </c>
      <c r="AB324" s="346" t="str">
        <f>IF(AB$260="","",AB$262*VLOOKUP(AB$260&amp;" (All)",'Default Values'!$B$162:$CD$181,MATCH($B324,'Default Values'!$B$101:$CD$101,0),0))</f>
        <v/>
      </c>
      <c r="AC324" s="346" t="str">
        <f>IF(AC$260="","",AC$262*VLOOKUP(AC$260&amp;" (All)",'Default Values'!$B$162:$CD$181,MATCH($B324,'Default Values'!$B$101:$CD$101,0),0))</f>
        <v/>
      </c>
      <c r="AD324" s="346" t="str">
        <f>IF(AD$260="","",AD$262*VLOOKUP(AD$260&amp;" (All)",'Default Values'!$B$162:$CD$181,MATCH($B324,'Default Values'!$B$101:$CD$101,0),0))</f>
        <v/>
      </c>
      <c r="AE324" s="346" t="str">
        <f>IF(AE$260="","",AE$262*VLOOKUP(AE$260&amp;" (All)",'Default Values'!$B$162:$CD$181,MATCH($B324,'Default Values'!$B$101:$CD$101,0),0))</f>
        <v/>
      </c>
      <c r="AF324" s="346" t="str">
        <f>IF(AF$260="","",AF$262*VLOOKUP(AF$260&amp;" (All)",'Default Values'!$B$162:$CD$181,MATCH($B324,'Default Values'!$B$101:$CD$101,0),0))</f>
        <v/>
      </c>
      <c r="AG324" s="346" t="str">
        <f>IF(AG$260="","",AG$262*VLOOKUP(AG$260&amp;" (All)",'Default Values'!$B$162:$CD$181,MATCH($B324,'Default Values'!$B$101:$CD$101,0),0))</f>
        <v/>
      </c>
      <c r="AH324" s="346" t="str">
        <f>IF(AH$260="","",AH$262*VLOOKUP(AH$260&amp;" (All)",'Default Values'!$B$162:$CD$181,MATCH($B324,'Default Values'!$B$101:$CD$101,0),0))</f>
        <v/>
      </c>
      <c r="AI324" s="346" t="str">
        <f>IF(AI$260="","",AI$262*VLOOKUP(AI$260&amp;" (All)",'Default Values'!$B$162:$CD$181,MATCH($B324,'Default Values'!$B$101:$CD$101,0),0))</f>
        <v/>
      </c>
      <c r="AJ324" s="346" t="str">
        <f>IF(AJ$260="","",AJ$262*VLOOKUP(AJ$260&amp;" (All)",'Default Values'!$B$162:$CD$181,MATCH($B324,'Default Values'!$B$101:$CD$101,0),0))</f>
        <v/>
      </c>
      <c r="AK324" s="346" t="str">
        <f>IF(AK$260="","",AK$262*VLOOKUP(AK$260&amp;" (All)",'Default Values'!$B$162:$CD$181,MATCH($B324,'Default Values'!$B$101:$CD$101,0),0))</f>
        <v/>
      </c>
      <c r="AL324" s="346" t="str">
        <f>IF(AL$260="","",AL$262*VLOOKUP(AL$260&amp;" (All)",'Default Values'!$B$162:$CD$181,MATCH($B324,'Default Values'!$B$101:$CD$101,0),0))</f>
        <v/>
      </c>
      <c r="AM324" s="346" t="str">
        <f>IF(AM$260="","",AM$262*VLOOKUP(AM$260&amp;" (All)",'Default Values'!$B$162:$CD$181,MATCH($B324,'Default Values'!$B$101:$CD$101,0),0))</f>
        <v/>
      </c>
      <c r="AN324" s="346" t="str">
        <f>IF(AN$260="","",AN$262*VLOOKUP(AN$260&amp;" (All)",'Default Values'!$B$162:$CD$181,MATCH($B324,'Default Values'!$B$101:$CD$101,0),0))</f>
        <v/>
      </c>
      <c r="AO324" s="346" t="str">
        <f>IF(AO$260="","",AO$262*VLOOKUP(AO$260&amp;" (All)",'Default Values'!$B$162:$CD$181,MATCH($B324,'Default Values'!$B$101:$CD$101,0),0))</f>
        <v/>
      </c>
      <c r="AP324" s="346" t="str">
        <f>IF(AP$260="","",AP$262*VLOOKUP(AP$260&amp;" (All)",'Default Values'!$B$162:$CD$181,MATCH($B324,'Default Values'!$B$101:$CD$101,0),0))</f>
        <v/>
      </c>
      <c r="AQ324" s="346" t="str">
        <f>IF(AQ$260="","",AQ$262*VLOOKUP(AQ$260&amp;" (All)",'Default Values'!$B$162:$CD$181,MATCH($B324,'Default Values'!$B$101:$CD$101,0),0))</f>
        <v/>
      </c>
      <c r="AR324" s="346">
        <f>IF(AR$260="","",AR$262*VLOOKUP(AR$260&amp;" (All)",'Default Values'!$B$162:$CD$181,MATCH($B324,'Default Values'!$B$101:$CD$101,0),0))</f>
        <v>0</v>
      </c>
      <c r="AS324" s="217"/>
      <c r="AT324" s="217"/>
      <c r="AU324" s="217"/>
      <c r="AV324" s="217"/>
      <c r="AW324" s="217"/>
      <c r="AX324" s="217"/>
      <c r="AY324" s="217"/>
      <c r="AZ324" s="217"/>
      <c r="BA324" s="217"/>
      <c r="BB324" s="217"/>
      <c r="BC324" s="217"/>
      <c r="BD324" s="217"/>
      <c r="BE324" s="217"/>
      <c r="BF324" s="217"/>
      <c r="BG324" s="217"/>
      <c r="BH324" s="217"/>
      <c r="BI324" s="217"/>
      <c r="BJ324" s="217"/>
      <c r="BK324" s="217"/>
      <c r="BL324" s="217"/>
      <c r="BM324" s="217"/>
      <c r="BN324" s="217"/>
      <c r="BO324" s="217"/>
      <c r="BP324" s="217"/>
      <c r="BQ324" s="217"/>
      <c r="BR324" s="217"/>
      <c r="BS324" s="217"/>
      <c r="BT324" s="217"/>
      <c r="BU324" s="217"/>
      <c r="BV324" s="217"/>
      <c r="BW324" s="217"/>
      <c r="BX324" s="217"/>
      <c r="BY324" s="217"/>
      <c r="BZ324" s="217"/>
      <c r="CA324" s="217"/>
      <c r="CB324" s="217"/>
      <c r="CC324" s="217"/>
      <c r="CD324" s="217"/>
      <c r="CE324" s="217"/>
      <c r="CF324" s="217"/>
      <c r="CG324" s="217"/>
      <c r="CH324" s="217"/>
      <c r="CI324" s="217"/>
      <c r="CJ324" s="217"/>
      <c r="CK324" s="217"/>
      <c r="CL324" s="217"/>
      <c r="CM324" s="217"/>
      <c r="CN324" s="217"/>
      <c r="CO324" s="217"/>
      <c r="CP324" s="217"/>
      <c r="CQ324" s="217"/>
      <c r="CR324" s="217"/>
      <c r="CS324" s="217"/>
      <c r="CT324" s="217"/>
      <c r="CU324" s="217"/>
      <c r="CV324" s="217"/>
      <c r="CW324" s="217"/>
      <c r="CX324" s="217"/>
      <c r="CY324" s="217"/>
      <c r="CZ324" s="217"/>
      <c r="DA324" s="217"/>
      <c r="DB324" s="217"/>
      <c r="DC324" s="217"/>
      <c r="DD324" s="217"/>
      <c r="DE324" s="217"/>
      <c r="DF324" s="217"/>
      <c r="DG324" s="217"/>
      <c r="DH324" s="217"/>
      <c r="DI324" s="217"/>
      <c r="DJ324" s="217"/>
      <c r="DK324" s="217"/>
      <c r="DL324" s="217"/>
      <c r="DM324" s="217"/>
      <c r="DN324" s="217"/>
      <c r="DO324" s="217"/>
      <c r="DP324" s="217"/>
      <c r="DQ324" s="217"/>
      <c r="DR324" s="217"/>
      <c r="DS324" s="217"/>
      <c r="DT324" s="217"/>
    </row>
    <row r="325" spans="1:124" x14ac:dyDescent="0.3">
      <c r="A325" s="217"/>
      <c r="B325" s="342" t="s">
        <v>254</v>
      </c>
      <c r="C325" s="345">
        <f t="shared" si="340"/>
        <v>0</v>
      </c>
      <c r="D325" s="346" t="str">
        <f>IF(D$260="","",D$262*VLOOKUP(D$260&amp;" (All)",'Default Values'!$B$162:$CD$181,MATCH($B325,'Default Values'!$B$101:$CD$101,0),0))</f>
        <v/>
      </c>
      <c r="E325" s="346" t="str">
        <f>IF(E$260="","",E$262*VLOOKUP(E$260&amp;" (All)",'Default Values'!$B$162:$CD$181,MATCH($B325,'Default Values'!$B$101:$CD$101,0),0))</f>
        <v/>
      </c>
      <c r="F325" s="346" t="str">
        <f>IF(F$260="","",F$262*VLOOKUP(F$260&amp;" (All)",'Default Values'!$B$162:$CD$181,MATCH($B325,'Default Values'!$B$101:$CD$101,0),0))</f>
        <v/>
      </c>
      <c r="G325" s="346" t="str">
        <f>IF(G$260="","",G$262*VLOOKUP(G$260&amp;" (All)",'Default Values'!$B$162:$CD$181,MATCH($B325,'Default Values'!$B$101:$CD$101,0),0))</f>
        <v/>
      </c>
      <c r="H325" s="346" t="str">
        <f>IF(H$260="","",H$262*VLOOKUP(H$260&amp;" (All)",'Default Values'!$B$162:$CD$181,MATCH($B325,'Default Values'!$B$101:$CD$101,0),0))</f>
        <v/>
      </c>
      <c r="I325" s="346" t="str">
        <f>IF(I$260="","",I$262*VLOOKUP(I$260&amp;" (All)",'Default Values'!$B$162:$CD$181,MATCH($B325,'Default Values'!$B$101:$CD$101,0),0))</f>
        <v/>
      </c>
      <c r="J325" s="346" t="str">
        <f>IF(J$260="","",J$262*VLOOKUP(J$260&amp;" (All)",'Default Values'!$B$162:$CD$181,MATCH($B325,'Default Values'!$B$101:$CD$101,0),0))</f>
        <v/>
      </c>
      <c r="K325" s="346" t="str">
        <f>IF(K$260="","",K$262*VLOOKUP(K$260&amp;" (All)",'Default Values'!$B$162:$CD$181,MATCH($B325,'Default Values'!$B$101:$CD$101,0),0))</f>
        <v/>
      </c>
      <c r="L325" s="346" t="str">
        <f>IF(L$260="","",L$262*VLOOKUP(L$260&amp;" (All)",'Default Values'!$B$162:$CD$181,MATCH($B325,'Default Values'!$B$101:$CD$101,0),0))</f>
        <v/>
      </c>
      <c r="M325" s="346" t="str">
        <f>IF(M$260="","",M$262*VLOOKUP(M$260&amp;" (All)",'Default Values'!$B$162:$CD$181,MATCH($B325,'Default Values'!$B$101:$CD$101,0),0))</f>
        <v/>
      </c>
      <c r="N325" s="346" t="str">
        <f>IF(N$260="","",N$262*VLOOKUP(N$260&amp;" (All)",'Default Values'!$B$162:$CD$181,MATCH($B325,'Default Values'!$B$101:$CD$101,0),0))</f>
        <v/>
      </c>
      <c r="O325" s="346" t="str">
        <f>IF(O$260="","",O$262*VLOOKUP(O$260&amp;" (All)",'Default Values'!$B$162:$CD$181,MATCH($B325,'Default Values'!$B$101:$CD$101,0),0))</f>
        <v/>
      </c>
      <c r="P325" s="346" t="str">
        <f>IF(P$260="","",P$262*VLOOKUP(P$260&amp;" (All)",'Default Values'!$B$162:$CD$181,MATCH($B325,'Default Values'!$B$101:$CD$101,0),0))</f>
        <v/>
      </c>
      <c r="Q325" s="346" t="str">
        <f>IF(Q$260="","",Q$262*VLOOKUP(Q$260&amp;" (All)",'Default Values'!$B$162:$CD$181,MATCH($B325,'Default Values'!$B$101:$CD$101,0),0))</f>
        <v/>
      </c>
      <c r="R325" s="346" t="str">
        <f>IF(R$260="","",R$262*VLOOKUP(R$260&amp;" (All)",'Default Values'!$B$162:$CD$181,MATCH($B325,'Default Values'!$B$101:$CD$101,0),0))</f>
        <v/>
      </c>
      <c r="S325" s="346" t="str">
        <f>IF(S$260="","",S$262*VLOOKUP(S$260&amp;" (All)",'Default Values'!$B$162:$CD$181,MATCH($B325,'Default Values'!$B$101:$CD$101,0),0))</f>
        <v/>
      </c>
      <c r="T325" s="346" t="str">
        <f>IF(T$260="","",T$262*VLOOKUP(T$260&amp;" (All)",'Default Values'!$B$162:$CD$181,MATCH($B325,'Default Values'!$B$101:$CD$101,0),0))</f>
        <v/>
      </c>
      <c r="U325" s="346" t="str">
        <f>IF(U$260="","",U$262*VLOOKUP(U$260&amp;" (All)",'Default Values'!$B$162:$CD$181,MATCH($B325,'Default Values'!$B$101:$CD$101,0),0))</f>
        <v/>
      </c>
      <c r="V325" s="346" t="str">
        <f>IF(V$260="","",V$262*VLOOKUP(V$260&amp;" (All)",'Default Values'!$B$162:$CD$181,MATCH($B325,'Default Values'!$B$101:$CD$101,0),0))</f>
        <v/>
      </c>
      <c r="W325" s="346" t="str">
        <f>IF(W$260="","",W$262*VLOOKUP(W$260&amp;" (All)",'Default Values'!$B$162:$CD$181,MATCH($B325,'Default Values'!$B$101:$CD$101,0),0))</f>
        <v/>
      </c>
      <c r="X325" s="346" t="str">
        <f>IF(X$260="","",X$262*VLOOKUP(X$260&amp;" (All)",'Default Values'!$B$162:$CD$181,MATCH($B325,'Default Values'!$B$101:$CD$101,0),0))</f>
        <v/>
      </c>
      <c r="Y325" s="346" t="str">
        <f>IF(Y$260="","",Y$262*VLOOKUP(Y$260&amp;" (All)",'Default Values'!$B$162:$CD$181,MATCH($B325,'Default Values'!$B$101:$CD$101,0),0))</f>
        <v/>
      </c>
      <c r="Z325" s="346" t="str">
        <f>IF(Z$260="","",Z$262*VLOOKUP(Z$260&amp;" (All)",'Default Values'!$B$162:$CD$181,MATCH($B325,'Default Values'!$B$101:$CD$101,0),0))</f>
        <v/>
      </c>
      <c r="AA325" s="346" t="str">
        <f>IF(AA$260="","",AA$262*VLOOKUP(AA$260&amp;" (All)",'Default Values'!$B$162:$CD$181,MATCH($B325,'Default Values'!$B$101:$CD$101,0),0))</f>
        <v/>
      </c>
      <c r="AB325" s="346" t="str">
        <f>IF(AB$260="","",AB$262*VLOOKUP(AB$260&amp;" (All)",'Default Values'!$B$162:$CD$181,MATCH($B325,'Default Values'!$B$101:$CD$101,0),0))</f>
        <v/>
      </c>
      <c r="AC325" s="346" t="str">
        <f>IF(AC$260="","",AC$262*VLOOKUP(AC$260&amp;" (All)",'Default Values'!$B$162:$CD$181,MATCH($B325,'Default Values'!$B$101:$CD$101,0),0))</f>
        <v/>
      </c>
      <c r="AD325" s="346" t="str">
        <f>IF(AD$260="","",AD$262*VLOOKUP(AD$260&amp;" (All)",'Default Values'!$B$162:$CD$181,MATCH($B325,'Default Values'!$B$101:$CD$101,0),0))</f>
        <v/>
      </c>
      <c r="AE325" s="346" t="str">
        <f>IF(AE$260="","",AE$262*VLOOKUP(AE$260&amp;" (All)",'Default Values'!$B$162:$CD$181,MATCH($B325,'Default Values'!$B$101:$CD$101,0),0))</f>
        <v/>
      </c>
      <c r="AF325" s="346" t="str">
        <f>IF(AF$260="","",AF$262*VLOOKUP(AF$260&amp;" (All)",'Default Values'!$B$162:$CD$181,MATCH($B325,'Default Values'!$B$101:$CD$101,0),0))</f>
        <v/>
      </c>
      <c r="AG325" s="346" t="str">
        <f>IF(AG$260="","",AG$262*VLOOKUP(AG$260&amp;" (All)",'Default Values'!$B$162:$CD$181,MATCH($B325,'Default Values'!$B$101:$CD$101,0),0))</f>
        <v/>
      </c>
      <c r="AH325" s="346" t="str">
        <f>IF(AH$260="","",AH$262*VLOOKUP(AH$260&amp;" (All)",'Default Values'!$B$162:$CD$181,MATCH($B325,'Default Values'!$B$101:$CD$101,0),0))</f>
        <v/>
      </c>
      <c r="AI325" s="346" t="str">
        <f>IF(AI$260="","",AI$262*VLOOKUP(AI$260&amp;" (All)",'Default Values'!$B$162:$CD$181,MATCH($B325,'Default Values'!$B$101:$CD$101,0),0))</f>
        <v/>
      </c>
      <c r="AJ325" s="346" t="str">
        <f>IF(AJ$260="","",AJ$262*VLOOKUP(AJ$260&amp;" (All)",'Default Values'!$B$162:$CD$181,MATCH($B325,'Default Values'!$B$101:$CD$101,0),0))</f>
        <v/>
      </c>
      <c r="AK325" s="346" t="str">
        <f>IF(AK$260="","",AK$262*VLOOKUP(AK$260&amp;" (All)",'Default Values'!$B$162:$CD$181,MATCH($B325,'Default Values'!$B$101:$CD$101,0),0))</f>
        <v/>
      </c>
      <c r="AL325" s="346" t="str">
        <f>IF(AL$260="","",AL$262*VLOOKUP(AL$260&amp;" (All)",'Default Values'!$B$162:$CD$181,MATCH($B325,'Default Values'!$B$101:$CD$101,0),0))</f>
        <v/>
      </c>
      <c r="AM325" s="346" t="str">
        <f>IF(AM$260="","",AM$262*VLOOKUP(AM$260&amp;" (All)",'Default Values'!$B$162:$CD$181,MATCH($B325,'Default Values'!$B$101:$CD$101,0),0))</f>
        <v/>
      </c>
      <c r="AN325" s="346" t="str">
        <f>IF(AN$260="","",AN$262*VLOOKUP(AN$260&amp;" (All)",'Default Values'!$B$162:$CD$181,MATCH($B325,'Default Values'!$B$101:$CD$101,0),0))</f>
        <v/>
      </c>
      <c r="AO325" s="346" t="str">
        <f>IF(AO$260="","",AO$262*VLOOKUP(AO$260&amp;" (All)",'Default Values'!$B$162:$CD$181,MATCH($B325,'Default Values'!$B$101:$CD$101,0),0))</f>
        <v/>
      </c>
      <c r="AP325" s="346" t="str">
        <f>IF(AP$260="","",AP$262*VLOOKUP(AP$260&amp;" (All)",'Default Values'!$B$162:$CD$181,MATCH($B325,'Default Values'!$B$101:$CD$101,0),0))</f>
        <v/>
      </c>
      <c r="AQ325" s="346" t="str">
        <f>IF(AQ$260="","",AQ$262*VLOOKUP(AQ$260&amp;" (All)",'Default Values'!$B$162:$CD$181,MATCH($B325,'Default Values'!$B$101:$CD$101,0),0))</f>
        <v/>
      </c>
      <c r="AR325" s="346">
        <f>IF(AR$260="","",AR$262*VLOOKUP(AR$260&amp;" (All)",'Default Values'!$B$162:$CD$181,MATCH($B325,'Default Values'!$B$101:$CD$101,0),0))</f>
        <v>0</v>
      </c>
      <c r="AS325" s="217"/>
      <c r="AT325" s="217"/>
      <c r="AU325" s="217"/>
      <c r="AV325" s="217"/>
      <c r="AW325" s="217"/>
      <c r="AX325" s="217"/>
      <c r="AY325" s="217"/>
      <c r="AZ325" s="217"/>
      <c r="BA325" s="217"/>
      <c r="BB325" s="217"/>
      <c r="BC325" s="217"/>
      <c r="BD325" s="217"/>
      <c r="BE325" s="217"/>
      <c r="BF325" s="217"/>
      <c r="BG325" s="217"/>
      <c r="BH325" s="217"/>
      <c r="BI325" s="217"/>
      <c r="BJ325" s="217"/>
      <c r="BK325" s="217"/>
      <c r="BL325" s="217"/>
      <c r="BM325" s="217"/>
      <c r="BN325" s="217"/>
      <c r="BO325" s="217"/>
      <c r="BP325" s="217"/>
      <c r="BQ325" s="217"/>
      <c r="BR325" s="217"/>
      <c r="BS325" s="217"/>
      <c r="BT325" s="217"/>
      <c r="BU325" s="217"/>
      <c r="BV325" s="217"/>
      <c r="BW325" s="217"/>
      <c r="BX325" s="217"/>
      <c r="BY325" s="217"/>
      <c r="BZ325" s="217"/>
      <c r="CA325" s="217"/>
      <c r="CB325" s="217"/>
      <c r="CC325" s="217"/>
      <c r="CD325" s="217"/>
      <c r="CE325" s="217"/>
      <c r="CF325" s="217"/>
      <c r="CG325" s="217"/>
      <c r="CH325" s="217"/>
      <c r="CI325" s="217"/>
      <c r="CJ325" s="217"/>
      <c r="CK325" s="217"/>
      <c r="CL325" s="217"/>
      <c r="CM325" s="217"/>
      <c r="CN325" s="217"/>
      <c r="CO325" s="217"/>
      <c r="CP325" s="217"/>
      <c r="CQ325" s="217"/>
      <c r="CR325" s="217"/>
      <c r="CS325" s="217"/>
      <c r="CT325" s="217"/>
      <c r="CU325" s="217"/>
      <c r="CV325" s="217"/>
      <c r="CW325" s="217"/>
      <c r="CX325" s="217"/>
      <c r="CY325" s="217"/>
      <c r="CZ325" s="217"/>
      <c r="DA325" s="217"/>
      <c r="DB325" s="217"/>
      <c r="DC325" s="217"/>
      <c r="DD325" s="217"/>
      <c r="DE325" s="217"/>
      <c r="DF325" s="217"/>
      <c r="DG325" s="217"/>
      <c r="DH325" s="217"/>
      <c r="DI325" s="217"/>
      <c r="DJ325" s="217"/>
      <c r="DK325" s="217"/>
      <c r="DL325" s="217"/>
      <c r="DM325" s="217"/>
      <c r="DN325" s="217"/>
      <c r="DO325" s="217"/>
      <c r="DP325" s="217"/>
      <c r="DQ325" s="217"/>
      <c r="DR325" s="217"/>
      <c r="DS325" s="217"/>
      <c r="DT325" s="217"/>
    </row>
    <row r="326" spans="1:124" x14ac:dyDescent="0.3">
      <c r="A326" s="217"/>
      <c r="B326" s="342" t="s">
        <v>256</v>
      </c>
      <c r="C326" s="345">
        <f t="shared" si="340"/>
        <v>0</v>
      </c>
      <c r="D326" s="346" t="str">
        <f>IF(D$260="","",D$262*VLOOKUP(D$260&amp;" (All)",'Default Values'!$B$162:$CD$181,MATCH($B326,'Default Values'!$B$101:$CD$101,0),0))</f>
        <v/>
      </c>
      <c r="E326" s="346" t="str">
        <f>IF(E$260="","",E$262*VLOOKUP(E$260&amp;" (All)",'Default Values'!$B$162:$CD$181,MATCH($B326,'Default Values'!$B$101:$CD$101,0),0))</f>
        <v/>
      </c>
      <c r="F326" s="346" t="str">
        <f>IF(F$260="","",F$262*VLOOKUP(F$260&amp;" (All)",'Default Values'!$B$162:$CD$181,MATCH($B326,'Default Values'!$B$101:$CD$101,0),0))</f>
        <v/>
      </c>
      <c r="G326" s="346" t="str">
        <f>IF(G$260="","",G$262*VLOOKUP(G$260&amp;" (All)",'Default Values'!$B$162:$CD$181,MATCH($B326,'Default Values'!$B$101:$CD$101,0),0))</f>
        <v/>
      </c>
      <c r="H326" s="346" t="str">
        <f>IF(H$260="","",H$262*VLOOKUP(H$260&amp;" (All)",'Default Values'!$B$162:$CD$181,MATCH($B326,'Default Values'!$B$101:$CD$101,0),0))</f>
        <v/>
      </c>
      <c r="I326" s="346" t="str">
        <f>IF(I$260="","",I$262*VLOOKUP(I$260&amp;" (All)",'Default Values'!$B$162:$CD$181,MATCH($B326,'Default Values'!$B$101:$CD$101,0),0))</f>
        <v/>
      </c>
      <c r="J326" s="346" t="str">
        <f>IF(J$260="","",J$262*VLOOKUP(J$260&amp;" (All)",'Default Values'!$B$162:$CD$181,MATCH($B326,'Default Values'!$B$101:$CD$101,0),0))</f>
        <v/>
      </c>
      <c r="K326" s="346" t="str">
        <f>IF(K$260="","",K$262*VLOOKUP(K$260&amp;" (All)",'Default Values'!$B$162:$CD$181,MATCH($B326,'Default Values'!$B$101:$CD$101,0),0))</f>
        <v/>
      </c>
      <c r="L326" s="346" t="str">
        <f>IF(L$260="","",L$262*VLOOKUP(L$260&amp;" (All)",'Default Values'!$B$162:$CD$181,MATCH($B326,'Default Values'!$B$101:$CD$101,0),0))</f>
        <v/>
      </c>
      <c r="M326" s="346" t="str">
        <f>IF(M$260="","",M$262*VLOOKUP(M$260&amp;" (All)",'Default Values'!$B$162:$CD$181,MATCH($B326,'Default Values'!$B$101:$CD$101,0),0))</f>
        <v/>
      </c>
      <c r="N326" s="346" t="str">
        <f>IF(N$260="","",N$262*VLOOKUP(N$260&amp;" (All)",'Default Values'!$B$162:$CD$181,MATCH($B326,'Default Values'!$B$101:$CD$101,0),0))</f>
        <v/>
      </c>
      <c r="O326" s="346" t="str">
        <f>IF(O$260="","",O$262*VLOOKUP(O$260&amp;" (All)",'Default Values'!$B$162:$CD$181,MATCH($B326,'Default Values'!$B$101:$CD$101,0),0))</f>
        <v/>
      </c>
      <c r="P326" s="346" t="str">
        <f>IF(P$260="","",P$262*VLOOKUP(P$260&amp;" (All)",'Default Values'!$B$162:$CD$181,MATCH($B326,'Default Values'!$B$101:$CD$101,0),0))</f>
        <v/>
      </c>
      <c r="Q326" s="346" t="str">
        <f>IF(Q$260="","",Q$262*VLOOKUP(Q$260&amp;" (All)",'Default Values'!$B$162:$CD$181,MATCH($B326,'Default Values'!$B$101:$CD$101,0),0))</f>
        <v/>
      </c>
      <c r="R326" s="346" t="str">
        <f>IF(R$260="","",R$262*VLOOKUP(R$260&amp;" (All)",'Default Values'!$B$162:$CD$181,MATCH($B326,'Default Values'!$B$101:$CD$101,0),0))</f>
        <v/>
      </c>
      <c r="S326" s="346" t="str">
        <f>IF(S$260="","",S$262*VLOOKUP(S$260&amp;" (All)",'Default Values'!$B$162:$CD$181,MATCH($B326,'Default Values'!$B$101:$CD$101,0),0))</f>
        <v/>
      </c>
      <c r="T326" s="346" t="str">
        <f>IF(T$260="","",T$262*VLOOKUP(T$260&amp;" (All)",'Default Values'!$B$162:$CD$181,MATCH($B326,'Default Values'!$B$101:$CD$101,0),0))</f>
        <v/>
      </c>
      <c r="U326" s="346" t="str">
        <f>IF(U$260="","",U$262*VLOOKUP(U$260&amp;" (All)",'Default Values'!$B$162:$CD$181,MATCH($B326,'Default Values'!$B$101:$CD$101,0),0))</f>
        <v/>
      </c>
      <c r="V326" s="346" t="str">
        <f>IF(V$260="","",V$262*VLOOKUP(V$260&amp;" (All)",'Default Values'!$B$162:$CD$181,MATCH($B326,'Default Values'!$B$101:$CD$101,0),0))</f>
        <v/>
      </c>
      <c r="W326" s="346" t="str">
        <f>IF(W$260="","",W$262*VLOOKUP(W$260&amp;" (All)",'Default Values'!$B$162:$CD$181,MATCH($B326,'Default Values'!$B$101:$CD$101,0),0))</f>
        <v/>
      </c>
      <c r="X326" s="346" t="str">
        <f>IF(X$260="","",X$262*VLOOKUP(X$260&amp;" (All)",'Default Values'!$B$162:$CD$181,MATCH($B326,'Default Values'!$B$101:$CD$101,0),0))</f>
        <v/>
      </c>
      <c r="Y326" s="346" t="str">
        <f>IF(Y$260="","",Y$262*VLOOKUP(Y$260&amp;" (All)",'Default Values'!$B$162:$CD$181,MATCH($B326,'Default Values'!$B$101:$CD$101,0),0))</f>
        <v/>
      </c>
      <c r="Z326" s="346" t="str">
        <f>IF(Z$260="","",Z$262*VLOOKUP(Z$260&amp;" (All)",'Default Values'!$B$162:$CD$181,MATCH($B326,'Default Values'!$B$101:$CD$101,0),0))</f>
        <v/>
      </c>
      <c r="AA326" s="346" t="str">
        <f>IF(AA$260="","",AA$262*VLOOKUP(AA$260&amp;" (All)",'Default Values'!$B$162:$CD$181,MATCH($B326,'Default Values'!$B$101:$CD$101,0),0))</f>
        <v/>
      </c>
      <c r="AB326" s="346" t="str">
        <f>IF(AB$260="","",AB$262*VLOOKUP(AB$260&amp;" (All)",'Default Values'!$B$162:$CD$181,MATCH($B326,'Default Values'!$B$101:$CD$101,0),0))</f>
        <v/>
      </c>
      <c r="AC326" s="346" t="str">
        <f>IF(AC$260="","",AC$262*VLOOKUP(AC$260&amp;" (All)",'Default Values'!$B$162:$CD$181,MATCH($B326,'Default Values'!$B$101:$CD$101,0),0))</f>
        <v/>
      </c>
      <c r="AD326" s="346" t="str">
        <f>IF(AD$260="","",AD$262*VLOOKUP(AD$260&amp;" (All)",'Default Values'!$B$162:$CD$181,MATCH($B326,'Default Values'!$B$101:$CD$101,0),0))</f>
        <v/>
      </c>
      <c r="AE326" s="346" t="str">
        <f>IF(AE$260="","",AE$262*VLOOKUP(AE$260&amp;" (All)",'Default Values'!$B$162:$CD$181,MATCH($B326,'Default Values'!$B$101:$CD$101,0),0))</f>
        <v/>
      </c>
      <c r="AF326" s="346" t="str">
        <f>IF(AF$260="","",AF$262*VLOOKUP(AF$260&amp;" (All)",'Default Values'!$B$162:$CD$181,MATCH($B326,'Default Values'!$B$101:$CD$101,0),0))</f>
        <v/>
      </c>
      <c r="AG326" s="346" t="str">
        <f>IF(AG$260="","",AG$262*VLOOKUP(AG$260&amp;" (All)",'Default Values'!$B$162:$CD$181,MATCH($B326,'Default Values'!$B$101:$CD$101,0),0))</f>
        <v/>
      </c>
      <c r="AH326" s="346" t="str">
        <f>IF(AH$260="","",AH$262*VLOOKUP(AH$260&amp;" (All)",'Default Values'!$B$162:$CD$181,MATCH($B326,'Default Values'!$B$101:$CD$101,0),0))</f>
        <v/>
      </c>
      <c r="AI326" s="346" t="str">
        <f>IF(AI$260="","",AI$262*VLOOKUP(AI$260&amp;" (All)",'Default Values'!$B$162:$CD$181,MATCH($B326,'Default Values'!$B$101:$CD$101,0),0))</f>
        <v/>
      </c>
      <c r="AJ326" s="346" t="str">
        <f>IF(AJ$260="","",AJ$262*VLOOKUP(AJ$260&amp;" (All)",'Default Values'!$B$162:$CD$181,MATCH($B326,'Default Values'!$B$101:$CD$101,0),0))</f>
        <v/>
      </c>
      <c r="AK326" s="346" t="str">
        <f>IF(AK$260="","",AK$262*VLOOKUP(AK$260&amp;" (All)",'Default Values'!$B$162:$CD$181,MATCH($B326,'Default Values'!$B$101:$CD$101,0),0))</f>
        <v/>
      </c>
      <c r="AL326" s="346" t="str">
        <f>IF(AL$260="","",AL$262*VLOOKUP(AL$260&amp;" (All)",'Default Values'!$B$162:$CD$181,MATCH($B326,'Default Values'!$B$101:$CD$101,0),0))</f>
        <v/>
      </c>
      <c r="AM326" s="346" t="str">
        <f>IF(AM$260="","",AM$262*VLOOKUP(AM$260&amp;" (All)",'Default Values'!$B$162:$CD$181,MATCH($B326,'Default Values'!$B$101:$CD$101,0),0))</f>
        <v/>
      </c>
      <c r="AN326" s="346" t="str">
        <f>IF(AN$260="","",AN$262*VLOOKUP(AN$260&amp;" (All)",'Default Values'!$B$162:$CD$181,MATCH($B326,'Default Values'!$B$101:$CD$101,0),0))</f>
        <v/>
      </c>
      <c r="AO326" s="346" t="str">
        <f>IF(AO$260="","",AO$262*VLOOKUP(AO$260&amp;" (All)",'Default Values'!$B$162:$CD$181,MATCH($B326,'Default Values'!$B$101:$CD$101,0),0))</f>
        <v/>
      </c>
      <c r="AP326" s="346" t="str">
        <f>IF(AP$260="","",AP$262*VLOOKUP(AP$260&amp;" (All)",'Default Values'!$B$162:$CD$181,MATCH($B326,'Default Values'!$B$101:$CD$101,0),0))</f>
        <v/>
      </c>
      <c r="AQ326" s="346" t="str">
        <f>IF(AQ$260="","",AQ$262*VLOOKUP(AQ$260&amp;" (All)",'Default Values'!$B$162:$CD$181,MATCH($B326,'Default Values'!$B$101:$CD$101,0),0))</f>
        <v/>
      </c>
      <c r="AR326" s="346">
        <f>IF(AR$260="","",AR$262*VLOOKUP(AR$260&amp;" (All)",'Default Values'!$B$162:$CD$181,MATCH($B326,'Default Values'!$B$101:$CD$101,0),0))</f>
        <v>0</v>
      </c>
      <c r="AS326" s="217"/>
      <c r="AT326" s="217"/>
      <c r="AU326" s="217"/>
      <c r="AV326" s="217"/>
      <c r="AW326" s="217"/>
      <c r="AX326" s="217"/>
      <c r="AY326" s="217"/>
      <c r="AZ326" s="217"/>
      <c r="BA326" s="217"/>
      <c r="BB326" s="217"/>
      <c r="BC326" s="217"/>
      <c r="BD326" s="217"/>
      <c r="BE326" s="217"/>
      <c r="BF326" s="217"/>
      <c r="BG326" s="217"/>
      <c r="BH326" s="217"/>
      <c r="BI326" s="217"/>
      <c r="BJ326" s="217"/>
      <c r="BK326" s="217"/>
      <c r="BL326" s="217"/>
      <c r="BM326" s="217"/>
      <c r="BN326" s="217"/>
      <c r="BO326" s="217"/>
      <c r="BP326" s="217"/>
      <c r="BQ326" s="217"/>
      <c r="BR326" s="217"/>
      <c r="BS326" s="217"/>
      <c r="BT326" s="217"/>
      <c r="BU326" s="217"/>
      <c r="BV326" s="217"/>
      <c r="BW326" s="217"/>
      <c r="BX326" s="217"/>
      <c r="BY326" s="217"/>
      <c r="BZ326" s="217"/>
      <c r="CA326" s="217"/>
      <c r="CB326" s="217"/>
      <c r="CC326" s="217"/>
      <c r="CD326" s="217"/>
      <c r="CE326" s="217"/>
      <c r="CF326" s="217"/>
      <c r="CG326" s="217"/>
      <c r="CH326" s="217"/>
      <c r="CI326" s="217"/>
      <c r="CJ326" s="217"/>
      <c r="CK326" s="217"/>
      <c r="CL326" s="217"/>
      <c r="CM326" s="217"/>
      <c r="CN326" s="217"/>
      <c r="CO326" s="217"/>
      <c r="CP326" s="217"/>
      <c r="CQ326" s="217"/>
      <c r="CR326" s="217"/>
      <c r="CS326" s="217"/>
      <c r="CT326" s="217"/>
      <c r="CU326" s="217"/>
      <c r="CV326" s="217"/>
      <c r="CW326" s="217"/>
      <c r="CX326" s="217"/>
      <c r="CY326" s="217"/>
      <c r="CZ326" s="217"/>
      <c r="DA326" s="217"/>
      <c r="DB326" s="217"/>
      <c r="DC326" s="217"/>
      <c r="DD326" s="217"/>
      <c r="DE326" s="217"/>
      <c r="DF326" s="217"/>
      <c r="DG326" s="217"/>
      <c r="DH326" s="217"/>
      <c r="DI326" s="217"/>
      <c r="DJ326" s="217"/>
      <c r="DK326" s="217"/>
      <c r="DL326" s="217"/>
      <c r="DM326" s="217"/>
      <c r="DN326" s="217"/>
      <c r="DO326" s="217"/>
      <c r="DP326" s="217"/>
      <c r="DQ326" s="217"/>
      <c r="DR326" s="217"/>
      <c r="DS326" s="217"/>
      <c r="DT326" s="217"/>
    </row>
    <row r="327" spans="1:124" x14ac:dyDescent="0.3">
      <c r="A327" s="217"/>
      <c r="B327" s="342" t="s">
        <v>258</v>
      </c>
      <c r="C327" s="345">
        <f t="shared" si="340"/>
        <v>0</v>
      </c>
      <c r="D327" s="346" t="str">
        <f>IF(D$260="","",D$262*VLOOKUP(D$260&amp;" (All)",'Default Values'!$B$162:$CD$181,MATCH($B327,'Default Values'!$B$101:$CD$101,0),0))</f>
        <v/>
      </c>
      <c r="E327" s="346" t="str">
        <f>IF(E$260="","",E$262*VLOOKUP(E$260&amp;" (All)",'Default Values'!$B$162:$CD$181,MATCH($B327,'Default Values'!$B$101:$CD$101,0),0))</f>
        <v/>
      </c>
      <c r="F327" s="346" t="str">
        <f>IF(F$260="","",F$262*VLOOKUP(F$260&amp;" (All)",'Default Values'!$B$162:$CD$181,MATCH($B327,'Default Values'!$B$101:$CD$101,0),0))</f>
        <v/>
      </c>
      <c r="G327" s="346" t="str">
        <f>IF(G$260="","",G$262*VLOOKUP(G$260&amp;" (All)",'Default Values'!$B$162:$CD$181,MATCH($B327,'Default Values'!$B$101:$CD$101,0),0))</f>
        <v/>
      </c>
      <c r="H327" s="346" t="str">
        <f>IF(H$260="","",H$262*VLOOKUP(H$260&amp;" (All)",'Default Values'!$B$162:$CD$181,MATCH($B327,'Default Values'!$B$101:$CD$101,0),0))</f>
        <v/>
      </c>
      <c r="I327" s="346" t="str">
        <f>IF(I$260="","",I$262*VLOOKUP(I$260&amp;" (All)",'Default Values'!$B$162:$CD$181,MATCH($B327,'Default Values'!$B$101:$CD$101,0),0))</f>
        <v/>
      </c>
      <c r="J327" s="346" t="str">
        <f>IF(J$260="","",J$262*VLOOKUP(J$260&amp;" (All)",'Default Values'!$B$162:$CD$181,MATCH($B327,'Default Values'!$B$101:$CD$101,0),0))</f>
        <v/>
      </c>
      <c r="K327" s="346" t="str">
        <f>IF(K$260="","",K$262*VLOOKUP(K$260&amp;" (All)",'Default Values'!$B$162:$CD$181,MATCH($B327,'Default Values'!$B$101:$CD$101,0),0))</f>
        <v/>
      </c>
      <c r="L327" s="346" t="str">
        <f>IF(L$260="","",L$262*VLOOKUP(L$260&amp;" (All)",'Default Values'!$B$162:$CD$181,MATCH($B327,'Default Values'!$B$101:$CD$101,0),0))</f>
        <v/>
      </c>
      <c r="M327" s="346" t="str">
        <f>IF(M$260="","",M$262*VLOOKUP(M$260&amp;" (All)",'Default Values'!$B$162:$CD$181,MATCH($B327,'Default Values'!$B$101:$CD$101,0),0))</f>
        <v/>
      </c>
      <c r="N327" s="346" t="str">
        <f>IF(N$260="","",N$262*VLOOKUP(N$260&amp;" (All)",'Default Values'!$B$162:$CD$181,MATCH($B327,'Default Values'!$B$101:$CD$101,0),0))</f>
        <v/>
      </c>
      <c r="O327" s="346" t="str">
        <f>IF(O$260="","",O$262*VLOOKUP(O$260&amp;" (All)",'Default Values'!$B$162:$CD$181,MATCH($B327,'Default Values'!$B$101:$CD$101,0),0))</f>
        <v/>
      </c>
      <c r="P327" s="346" t="str">
        <f>IF(P$260="","",P$262*VLOOKUP(P$260&amp;" (All)",'Default Values'!$B$162:$CD$181,MATCH($B327,'Default Values'!$B$101:$CD$101,0),0))</f>
        <v/>
      </c>
      <c r="Q327" s="346" t="str">
        <f>IF(Q$260="","",Q$262*VLOOKUP(Q$260&amp;" (All)",'Default Values'!$B$162:$CD$181,MATCH($B327,'Default Values'!$B$101:$CD$101,0),0))</f>
        <v/>
      </c>
      <c r="R327" s="346" t="str">
        <f>IF(R$260="","",R$262*VLOOKUP(R$260&amp;" (All)",'Default Values'!$B$162:$CD$181,MATCH($B327,'Default Values'!$B$101:$CD$101,0),0))</f>
        <v/>
      </c>
      <c r="S327" s="346" t="str">
        <f>IF(S$260="","",S$262*VLOOKUP(S$260&amp;" (All)",'Default Values'!$B$162:$CD$181,MATCH($B327,'Default Values'!$B$101:$CD$101,0),0))</f>
        <v/>
      </c>
      <c r="T327" s="346" t="str">
        <f>IF(T$260="","",T$262*VLOOKUP(T$260&amp;" (All)",'Default Values'!$B$162:$CD$181,MATCH($B327,'Default Values'!$B$101:$CD$101,0),0))</f>
        <v/>
      </c>
      <c r="U327" s="346" t="str">
        <f>IF(U$260="","",U$262*VLOOKUP(U$260&amp;" (All)",'Default Values'!$B$162:$CD$181,MATCH($B327,'Default Values'!$B$101:$CD$101,0),0))</f>
        <v/>
      </c>
      <c r="V327" s="346" t="str">
        <f>IF(V$260="","",V$262*VLOOKUP(V$260&amp;" (All)",'Default Values'!$B$162:$CD$181,MATCH($B327,'Default Values'!$B$101:$CD$101,0),0))</f>
        <v/>
      </c>
      <c r="W327" s="346" t="str">
        <f>IF(W$260="","",W$262*VLOOKUP(W$260&amp;" (All)",'Default Values'!$B$162:$CD$181,MATCH($B327,'Default Values'!$B$101:$CD$101,0),0))</f>
        <v/>
      </c>
      <c r="X327" s="346" t="str">
        <f>IF(X$260="","",X$262*VLOOKUP(X$260&amp;" (All)",'Default Values'!$B$162:$CD$181,MATCH($B327,'Default Values'!$B$101:$CD$101,0),0))</f>
        <v/>
      </c>
      <c r="Y327" s="346" t="str">
        <f>IF(Y$260="","",Y$262*VLOOKUP(Y$260&amp;" (All)",'Default Values'!$B$162:$CD$181,MATCH($B327,'Default Values'!$B$101:$CD$101,0),0))</f>
        <v/>
      </c>
      <c r="Z327" s="346" t="str">
        <f>IF(Z$260="","",Z$262*VLOOKUP(Z$260&amp;" (All)",'Default Values'!$B$162:$CD$181,MATCH($B327,'Default Values'!$B$101:$CD$101,0),0))</f>
        <v/>
      </c>
      <c r="AA327" s="346" t="str">
        <f>IF(AA$260="","",AA$262*VLOOKUP(AA$260&amp;" (All)",'Default Values'!$B$162:$CD$181,MATCH($B327,'Default Values'!$B$101:$CD$101,0),0))</f>
        <v/>
      </c>
      <c r="AB327" s="346" t="str">
        <f>IF(AB$260="","",AB$262*VLOOKUP(AB$260&amp;" (All)",'Default Values'!$B$162:$CD$181,MATCH($B327,'Default Values'!$B$101:$CD$101,0),0))</f>
        <v/>
      </c>
      <c r="AC327" s="346" t="str">
        <f>IF(AC$260="","",AC$262*VLOOKUP(AC$260&amp;" (All)",'Default Values'!$B$162:$CD$181,MATCH($B327,'Default Values'!$B$101:$CD$101,0),0))</f>
        <v/>
      </c>
      <c r="AD327" s="346" t="str">
        <f>IF(AD$260="","",AD$262*VLOOKUP(AD$260&amp;" (All)",'Default Values'!$B$162:$CD$181,MATCH($B327,'Default Values'!$B$101:$CD$101,0),0))</f>
        <v/>
      </c>
      <c r="AE327" s="346" t="str">
        <f>IF(AE$260="","",AE$262*VLOOKUP(AE$260&amp;" (All)",'Default Values'!$B$162:$CD$181,MATCH($B327,'Default Values'!$B$101:$CD$101,0),0))</f>
        <v/>
      </c>
      <c r="AF327" s="346" t="str">
        <f>IF(AF$260="","",AF$262*VLOOKUP(AF$260&amp;" (All)",'Default Values'!$B$162:$CD$181,MATCH($B327,'Default Values'!$B$101:$CD$101,0),0))</f>
        <v/>
      </c>
      <c r="AG327" s="346" t="str">
        <f>IF(AG$260="","",AG$262*VLOOKUP(AG$260&amp;" (All)",'Default Values'!$B$162:$CD$181,MATCH($B327,'Default Values'!$B$101:$CD$101,0),0))</f>
        <v/>
      </c>
      <c r="AH327" s="346" t="str">
        <f>IF(AH$260="","",AH$262*VLOOKUP(AH$260&amp;" (All)",'Default Values'!$B$162:$CD$181,MATCH($B327,'Default Values'!$B$101:$CD$101,0),0))</f>
        <v/>
      </c>
      <c r="AI327" s="346" t="str">
        <f>IF(AI$260="","",AI$262*VLOOKUP(AI$260&amp;" (All)",'Default Values'!$B$162:$CD$181,MATCH($B327,'Default Values'!$B$101:$CD$101,0),0))</f>
        <v/>
      </c>
      <c r="AJ327" s="346" t="str">
        <f>IF(AJ$260="","",AJ$262*VLOOKUP(AJ$260&amp;" (All)",'Default Values'!$B$162:$CD$181,MATCH($B327,'Default Values'!$B$101:$CD$101,0),0))</f>
        <v/>
      </c>
      <c r="AK327" s="346" t="str">
        <f>IF(AK$260="","",AK$262*VLOOKUP(AK$260&amp;" (All)",'Default Values'!$B$162:$CD$181,MATCH($B327,'Default Values'!$B$101:$CD$101,0),0))</f>
        <v/>
      </c>
      <c r="AL327" s="346" t="str">
        <f>IF(AL$260="","",AL$262*VLOOKUP(AL$260&amp;" (All)",'Default Values'!$B$162:$CD$181,MATCH($B327,'Default Values'!$B$101:$CD$101,0),0))</f>
        <v/>
      </c>
      <c r="AM327" s="346" t="str">
        <f>IF(AM$260="","",AM$262*VLOOKUP(AM$260&amp;" (All)",'Default Values'!$B$162:$CD$181,MATCH($B327,'Default Values'!$B$101:$CD$101,0),0))</f>
        <v/>
      </c>
      <c r="AN327" s="346" t="str">
        <f>IF(AN$260="","",AN$262*VLOOKUP(AN$260&amp;" (All)",'Default Values'!$B$162:$CD$181,MATCH($B327,'Default Values'!$B$101:$CD$101,0),0))</f>
        <v/>
      </c>
      <c r="AO327" s="346" t="str">
        <f>IF(AO$260="","",AO$262*VLOOKUP(AO$260&amp;" (All)",'Default Values'!$B$162:$CD$181,MATCH($B327,'Default Values'!$B$101:$CD$101,0),0))</f>
        <v/>
      </c>
      <c r="AP327" s="346" t="str">
        <f>IF(AP$260="","",AP$262*VLOOKUP(AP$260&amp;" (All)",'Default Values'!$B$162:$CD$181,MATCH($B327,'Default Values'!$B$101:$CD$101,0),0))</f>
        <v/>
      </c>
      <c r="AQ327" s="346" t="str">
        <f>IF(AQ$260="","",AQ$262*VLOOKUP(AQ$260&amp;" (All)",'Default Values'!$B$162:$CD$181,MATCH($B327,'Default Values'!$B$101:$CD$101,0),0))</f>
        <v/>
      </c>
      <c r="AR327" s="346">
        <f>IF(AR$260="","",AR$262*VLOOKUP(AR$260&amp;" (All)",'Default Values'!$B$162:$CD$181,MATCH($B327,'Default Values'!$B$101:$CD$101,0),0))</f>
        <v>0</v>
      </c>
      <c r="AS327" s="217"/>
      <c r="AT327" s="217"/>
      <c r="AU327" s="217"/>
      <c r="AV327" s="217"/>
      <c r="AW327" s="217"/>
      <c r="AX327" s="217"/>
      <c r="AY327" s="217"/>
      <c r="AZ327" s="217"/>
      <c r="BA327" s="217"/>
      <c r="BB327" s="217"/>
      <c r="BC327" s="217"/>
      <c r="BD327" s="217"/>
      <c r="BE327" s="217"/>
      <c r="BF327" s="217"/>
      <c r="BG327" s="217"/>
      <c r="BH327" s="217"/>
      <c r="BI327" s="217"/>
      <c r="BJ327" s="217"/>
      <c r="BK327" s="217"/>
      <c r="BL327" s="217"/>
      <c r="BM327" s="217"/>
      <c r="BN327" s="217"/>
      <c r="BO327" s="217"/>
      <c r="BP327" s="217"/>
      <c r="BQ327" s="217"/>
      <c r="BR327" s="217"/>
      <c r="BS327" s="217"/>
      <c r="BT327" s="217"/>
      <c r="BU327" s="217"/>
      <c r="BV327" s="217"/>
      <c r="BW327" s="217"/>
      <c r="BX327" s="217"/>
      <c r="BY327" s="217"/>
      <c r="BZ327" s="217"/>
      <c r="CA327" s="217"/>
      <c r="CB327" s="217"/>
      <c r="CC327" s="217"/>
      <c r="CD327" s="217"/>
      <c r="CE327" s="217"/>
      <c r="CF327" s="217"/>
      <c r="CG327" s="217"/>
      <c r="CH327" s="217"/>
      <c r="CI327" s="217"/>
      <c r="CJ327" s="217"/>
      <c r="CK327" s="217"/>
      <c r="CL327" s="217"/>
      <c r="CM327" s="217"/>
      <c r="CN327" s="217"/>
      <c r="CO327" s="217"/>
      <c r="CP327" s="217"/>
      <c r="CQ327" s="217"/>
      <c r="CR327" s="217"/>
      <c r="CS327" s="217"/>
      <c r="CT327" s="217"/>
      <c r="CU327" s="217"/>
      <c r="CV327" s="217"/>
      <c r="CW327" s="217"/>
      <c r="CX327" s="217"/>
      <c r="CY327" s="217"/>
      <c r="CZ327" s="217"/>
      <c r="DA327" s="217"/>
      <c r="DB327" s="217"/>
      <c r="DC327" s="217"/>
      <c r="DD327" s="217"/>
      <c r="DE327" s="217"/>
      <c r="DF327" s="217"/>
      <c r="DG327" s="217"/>
      <c r="DH327" s="217"/>
      <c r="DI327" s="217"/>
      <c r="DJ327" s="217"/>
      <c r="DK327" s="217"/>
      <c r="DL327" s="217"/>
      <c r="DM327" s="217"/>
      <c r="DN327" s="217"/>
      <c r="DO327" s="217"/>
      <c r="DP327" s="217"/>
      <c r="DQ327" s="217"/>
      <c r="DR327" s="217"/>
      <c r="DS327" s="217"/>
      <c r="DT327" s="217"/>
    </row>
    <row r="328" spans="1:124" x14ac:dyDescent="0.3">
      <c r="A328" s="217"/>
      <c r="B328" s="342" t="s">
        <v>260</v>
      </c>
      <c r="C328" s="345">
        <f t="shared" si="340"/>
        <v>0</v>
      </c>
      <c r="D328" s="346" t="str">
        <f>IF(D$260="","",D$262*VLOOKUP(D$260&amp;" (All)",'Default Values'!$B$162:$CD$181,MATCH($B328,'Default Values'!$B$101:$CD$101,0),0))</f>
        <v/>
      </c>
      <c r="E328" s="346" t="str">
        <f>IF(E$260="","",E$262*VLOOKUP(E$260&amp;" (All)",'Default Values'!$B$162:$CD$181,MATCH($B328,'Default Values'!$B$101:$CD$101,0),0))</f>
        <v/>
      </c>
      <c r="F328" s="346" t="str">
        <f>IF(F$260="","",F$262*VLOOKUP(F$260&amp;" (All)",'Default Values'!$B$162:$CD$181,MATCH($B328,'Default Values'!$B$101:$CD$101,0),0))</f>
        <v/>
      </c>
      <c r="G328" s="346" t="str">
        <f>IF(G$260="","",G$262*VLOOKUP(G$260&amp;" (All)",'Default Values'!$B$162:$CD$181,MATCH($B328,'Default Values'!$B$101:$CD$101,0),0))</f>
        <v/>
      </c>
      <c r="H328" s="346" t="str">
        <f>IF(H$260="","",H$262*VLOOKUP(H$260&amp;" (All)",'Default Values'!$B$162:$CD$181,MATCH($B328,'Default Values'!$B$101:$CD$101,0),0))</f>
        <v/>
      </c>
      <c r="I328" s="346" t="str">
        <f>IF(I$260="","",I$262*VLOOKUP(I$260&amp;" (All)",'Default Values'!$B$162:$CD$181,MATCH($B328,'Default Values'!$B$101:$CD$101,0),0))</f>
        <v/>
      </c>
      <c r="J328" s="346" t="str">
        <f>IF(J$260="","",J$262*VLOOKUP(J$260&amp;" (All)",'Default Values'!$B$162:$CD$181,MATCH($B328,'Default Values'!$B$101:$CD$101,0),0))</f>
        <v/>
      </c>
      <c r="K328" s="346" t="str">
        <f>IF(K$260="","",K$262*VLOOKUP(K$260&amp;" (All)",'Default Values'!$B$162:$CD$181,MATCH($B328,'Default Values'!$B$101:$CD$101,0),0))</f>
        <v/>
      </c>
      <c r="L328" s="346" t="str">
        <f>IF(L$260="","",L$262*VLOOKUP(L$260&amp;" (All)",'Default Values'!$B$162:$CD$181,MATCH($B328,'Default Values'!$B$101:$CD$101,0),0))</f>
        <v/>
      </c>
      <c r="M328" s="346" t="str">
        <f>IF(M$260="","",M$262*VLOOKUP(M$260&amp;" (All)",'Default Values'!$B$162:$CD$181,MATCH($B328,'Default Values'!$B$101:$CD$101,0),0))</f>
        <v/>
      </c>
      <c r="N328" s="346" t="str">
        <f>IF(N$260="","",N$262*VLOOKUP(N$260&amp;" (All)",'Default Values'!$B$162:$CD$181,MATCH($B328,'Default Values'!$B$101:$CD$101,0),0))</f>
        <v/>
      </c>
      <c r="O328" s="346" t="str">
        <f>IF(O$260="","",O$262*VLOOKUP(O$260&amp;" (All)",'Default Values'!$B$162:$CD$181,MATCH($B328,'Default Values'!$B$101:$CD$101,0),0))</f>
        <v/>
      </c>
      <c r="P328" s="346" t="str">
        <f>IF(P$260="","",P$262*VLOOKUP(P$260&amp;" (All)",'Default Values'!$B$162:$CD$181,MATCH($B328,'Default Values'!$B$101:$CD$101,0),0))</f>
        <v/>
      </c>
      <c r="Q328" s="346" t="str">
        <f>IF(Q$260="","",Q$262*VLOOKUP(Q$260&amp;" (All)",'Default Values'!$B$162:$CD$181,MATCH($B328,'Default Values'!$B$101:$CD$101,0),0))</f>
        <v/>
      </c>
      <c r="R328" s="346" t="str">
        <f>IF(R$260="","",R$262*VLOOKUP(R$260&amp;" (All)",'Default Values'!$B$162:$CD$181,MATCH($B328,'Default Values'!$B$101:$CD$101,0),0))</f>
        <v/>
      </c>
      <c r="S328" s="346" t="str">
        <f>IF(S$260="","",S$262*VLOOKUP(S$260&amp;" (All)",'Default Values'!$B$162:$CD$181,MATCH($B328,'Default Values'!$B$101:$CD$101,0),0))</f>
        <v/>
      </c>
      <c r="T328" s="346" t="str">
        <f>IF(T$260="","",T$262*VLOOKUP(T$260&amp;" (All)",'Default Values'!$B$162:$CD$181,MATCH($B328,'Default Values'!$B$101:$CD$101,0),0))</f>
        <v/>
      </c>
      <c r="U328" s="346" t="str">
        <f>IF(U$260="","",U$262*VLOOKUP(U$260&amp;" (All)",'Default Values'!$B$162:$CD$181,MATCH($B328,'Default Values'!$B$101:$CD$101,0),0))</f>
        <v/>
      </c>
      <c r="V328" s="346" t="str">
        <f>IF(V$260="","",V$262*VLOOKUP(V$260&amp;" (All)",'Default Values'!$B$162:$CD$181,MATCH($B328,'Default Values'!$B$101:$CD$101,0),0))</f>
        <v/>
      </c>
      <c r="W328" s="346" t="str">
        <f>IF(W$260="","",W$262*VLOOKUP(W$260&amp;" (All)",'Default Values'!$B$162:$CD$181,MATCH($B328,'Default Values'!$B$101:$CD$101,0),0))</f>
        <v/>
      </c>
      <c r="X328" s="346" t="str">
        <f>IF(X$260="","",X$262*VLOOKUP(X$260&amp;" (All)",'Default Values'!$B$162:$CD$181,MATCH($B328,'Default Values'!$B$101:$CD$101,0),0))</f>
        <v/>
      </c>
      <c r="Y328" s="346" t="str">
        <f>IF(Y$260="","",Y$262*VLOOKUP(Y$260&amp;" (All)",'Default Values'!$B$162:$CD$181,MATCH($B328,'Default Values'!$B$101:$CD$101,0),0))</f>
        <v/>
      </c>
      <c r="Z328" s="346" t="str">
        <f>IF(Z$260="","",Z$262*VLOOKUP(Z$260&amp;" (All)",'Default Values'!$B$162:$CD$181,MATCH($B328,'Default Values'!$B$101:$CD$101,0),0))</f>
        <v/>
      </c>
      <c r="AA328" s="346" t="str">
        <f>IF(AA$260="","",AA$262*VLOOKUP(AA$260&amp;" (All)",'Default Values'!$B$162:$CD$181,MATCH($B328,'Default Values'!$B$101:$CD$101,0),0))</f>
        <v/>
      </c>
      <c r="AB328" s="346" t="str">
        <f>IF(AB$260="","",AB$262*VLOOKUP(AB$260&amp;" (All)",'Default Values'!$B$162:$CD$181,MATCH($B328,'Default Values'!$B$101:$CD$101,0),0))</f>
        <v/>
      </c>
      <c r="AC328" s="346" t="str">
        <f>IF(AC$260="","",AC$262*VLOOKUP(AC$260&amp;" (All)",'Default Values'!$B$162:$CD$181,MATCH($B328,'Default Values'!$B$101:$CD$101,0),0))</f>
        <v/>
      </c>
      <c r="AD328" s="346" t="str">
        <f>IF(AD$260="","",AD$262*VLOOKUP(AD$260&amp;" (All)",'Default Values'!$B$162:$CD$181,MATCH($B328,'Default Values'!$B$101:$CD$101,0),0))</f>
        <v/>
      </c>
      <c r="AE328" s="346" t="str">
        <f>IF(AE$260="","",AE$262*VLOOKUP(AE$260&amp;" (All)",'Default Values'!$B$162:$CD$181,MATCH($B328,'Default Values'!$B$101:$CD$101,0),0))</f>
        <v/>
      </c>
      <c r="AF328" s="346" t="str">
        <f>IF(AF$260="","",AF$262*VLOOKUP(AF$260&amp;" (All)",'Default Values'!$B$162:$CD$181,MATCH($B328,'Default Values'!$B$101:$CD$101,0),0))</f>
        <v/>
      </c>
      <c r="AG328" s="346" t="str">
        <f>IF(AG$260="","",AG$262*VLOOKUP(AG$260&amp;" (All)",'Default Values'!$B$162:$CD$181,MATCH($B328,'Default Values'!$B$101:$CD$101,0),0))</f>
        <v/>
      </c>
      <c r="AH328" s="346" t="str">
        <f>IF(AH$260="","",AH$262*VLOOKUP(AH$260&amp;" (All)",'Default Values'!$B$162:$CD$181,MATCH($B328,'Default Values'!$B$101:$CD$101,0),0))</f>
        <v/>
      </c>
      <c r="AI328" s="346" t="str">
        <f>IF(AI$260="","",AI$262*VLOOKUP(AI$260&amp;" (All)",'Default Values'!$B$162:$CD$181,MATCH($B328,'Default Values'!$B$101:$CD$101,0),0))</f>
        <v/>
      </c>
      <c r="AJ328" s="346" t="str">
        <f>IF(AJ$260="","",AJ$262*VLOOKUP(AJ$260&amp;" (All)",'Default Values'!$B$162:$CD$181,MATCH($B328,'Default Values'!$B$101:$CD$101,0),0))</f>
        <v/>
      </c>
      <c r="AK328" s="346" t="str">
        <f>IF(AK$260="","",AK$262*VLOOKUP(AK$260&amp;" (All)",'Default Values'!$B$162:$CD$181,MATCH($B328,'Default Values'!$B$101:$CD$101,0),0))</f>
        <v/>
      </c>
      <c r="AL328" s="346" t="str">
        <f>IF(AL$260="","",AL$262*VLOOKUP(AL$260&amp;" (All)",'Default Values'!$B$162:$CD$181,MATCH($B328,'Default Values'!$B$101:$CD$101,0),0))</f>
        <v/>
      </c>
      <c r="AM328" s="346" t="str">
        <f>IF(AM$260="","",AM$262*VLOOKUP(AM$260&amp;" (All)",'Default Values'!$B$162:$CD$181,MATCH($B328,'Default Values'!$B$101:$CD$101,0),0))</f>
        <v/>
      </c>
      <c r="AN328" s="346" t="str">
        <f>IF(AN$260="","",AN$262*VLOOKUP(AN$260&amp;" (All)",'Default Values'!$B$162:$CD$181,MATCH($B328,'Default Values'!$B$101:$CD$101,0),0))</f>
        <v/>
      </c>
      <c r="AO328" s="346" t="str">
        <f>IF(AO$260="","",AO$262*VLOOKUP(AO$260&amp;" (All)",'Default Values'!$B$162:$CD$181,MATCH($B328,'Default Values'!$B$101:$CD$101,0),0))</f>
        <v/>
      </c>
      <c r="AP328" s="346" t="str">
        <f>IF(AP$260="","",AP$262*VLOOKUP(AP$260&amp;" (All)",'Default Values'!$B$162:$CD$181,MATCH($B328,'Default Values'!$B$101:$CD$101,0),0))</f>
        <v/>
      </c>
      <c r="AQ328" s="346" t="str">
        <f>IF(AQ$260="","",AQ$262*VLOOKUP(AQ$260&amp;" (All)",'Default Values'!$B$162:$CD$181,MATCH($B328,'Default Values'!$B$101:$CD$101,0),0))</f>
        <v/>
      </c>
      <c r="AR328" s="346">
        <f>IF(AR$260="","",AR$262*VLOOKUP(AR$260&amp;" (All)",'Default Values'!$B$162:$CD$181,MATCH($B328,'Default Values'!$B$101:$CD$101,0),0))</f>
        <v>0</v>
      </c>
      <c r="AS328" s="217"/>
      <c r="AT328" s="217"/>
      <c r="AU328" s="217"/>
      <c r="AV328" s="217"/>
      <c r="AW328" s="217"/>
      <c r="AX328" s="217"/>
      <c r="AY328" s="217"/>
      <c r="AZ328" s="217"/>
      <c r="BA328" s="217"/>
      <c r="BB328" s="217"/>
      <c r="BC328" s="217"/>
      <c r="BD328" s="217"/>
      <c r="BE328" s="217"/>
      <c r="BF328" s="217"/>
      <c r="BG328" s="217"/>
      <c r="BH328" s="217"/>
      <c r="BI328" s="217"/>
      <c r="BJ328" s="217"/>
      <c r="BK328" s="217"/>
      <c r="BL328" s="217"/>
      <c r="BM328" s="217"/>
      <c r="BN328" s="217"/>
      <c r="BO328" s="217"/>
      <c r="BP328" s="217"/>
      <c r="BQ328" s="217"/>
      <c r="BR328" s="217"/>
      <c r="BS328" s="217"/>
      <c r="BT328" s="217"/>
      <c r="BU328" s="217"/>
      <c r="BV328" s="217"/>
      <c r="BW328" s="217"/>
      <c r="BX328" s="217"/>
      <c r="BY328" s="217"/>
      <c r="BZ328" s="217"/>
      <c r="CA328" s="217"/>
      <c r="CB328" s="217"/>
      <c r="CC328" s="217"/>
      <c r="CD328" s="217"/>
      <c r="CE328" s="217"/>
      <c r="CF328" s="217"/>
      <c r="CG328" s="217"/>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217"/>
      <c r="DR328" s="217"/>
      <c r="DS328" s="217"/>
      <c r="DT328" s="217"/>
    </row>
    <row r="329" spans="1:124" x14ac:dyDescent="0.3">
      <c r="A329" s="217"/>
      <c r="B329" s="342" t="s">
        <v>262</v>
      </c>
      <c r="C329" s="345">
        <f t="shared" si="340"/>
        <v>0</v>
      </c>
      <c r="D329" s="346" t="str">
        <f>IF(D$260="","",D$262*VLOOKUP(D$260&amp;" (All)",'Default Values'!$B$162:$CD$181,MATCH($B329,'Default Values'!$B$101:$CD$101,0),0))</f>
        <v/>
      </c>
      <c r="E329" s="346" t="str">
        <f>IF(E$260="","",E$262*VLOOKUP(E$260&amp;" (All)",'Default Values'!$B$162:$CD$181,MATCH($B329,'Default Values'!$B$101:$CD$101,0),0))</f>
        <v/>
      </c>
      <c r="F329" s="346" t="str">
        <f>IF(F$260="","",F$262*VLOOKUP(F$260&amp;" (All)",'Default Values'!$B$162:$CD$181,MATCH($B329,'Default Values'!$B$101:$CD$101,0),0))</f>
        <v/>
      </c>
      <c r="G329" s="346" t="str">
        <f>IF(G$260="","",G$262*VLOOKUP(G$260&amp;" (All)",'Default Values'!$B$162:$CD$181,MATCH($B329,'Default Values'!$B$101:$CD$101,0),0))</f>
        <v/>
      </c>
      <c r="H329" s="346" t="str">
        <f>IF(H$260="","",H$262*VLOOKUP(H$260&amp;" (All)",'Default Values'!$B$162:$CD$181,MATCH($B329,'Default Values'!$B$101:$CD$101,0),0))</f>
        <v/>
      </c>
      <c r="I329" s="346" t="str">
        <f>IF(I$260="","",I$262*VLOOKUP(I$260&amp;" (All)",'Default Values'!$B$162:$CD$181,MATCH($B329,'Default Values'!$B$101:$CD$101,0),0))</f>
        <v/>
      </c>
      <c r="J329" s="346" t="str">
        <f>IF(J$260="","",J$262*VLOOKUP(J$260&amp;" (All)",'Default Values'!$B$162:$CD$181,MATCH($B329,'Default Values'!$B$101:$CD$101,0),0))</f>
        <v/>
      </c>
      <c r="K329" s="346" t="str">
        <f>IF(K$260="","",K$262*VLOOKUP(K$260&amp;" (All)",'Default Values'!$B$162:$CD$181,MATCH($B329,'Default Values'!$B$101:$CD$101,0),0))</f>
        <v/>
      </c>
      <c r="L329" s="346" t="str">
        <f>IF(L$260="","",L$262*VLOOKUP(L$260&amp;" (All)",'Default Values'!$B$162:$CD$181,MATCH($B329,'Default Values'!$B$101:$CD$101,0),0))</f>
        <v/>
      </c>
      <c r="M329" s="346" t="str">
        <f>IF(M$260="","",M$262*VLOOKUP(M$260&amp;" (All)",'Default Values'!$B$162:$CD$181,MATCH($B329,'Default Values'!$B$101:$CD$101,0),0))</f>
        <v/>
      </c>
      <c r="N329" s="346" t="str">
        <f>IF(N$260="","",N$262*VLOOKUP(N$260&amp;" (All)",'Default Values'!$B$162:$CD$181,MATCH($B329,'Default Values'!$B$101:$CD$101,0),0))</f>
        <v/>
      </c>
      <c r="O329" s="346" t="str">
        <f>IF(O$260="","",O$262*VLOOKUP(O$260&amp;" (All)",'Default Values'!$B$162:$CD$181,MATCH($B329,'Default Values'!$B$101:$CD$101,0),0))</f>
        <v/>
      </c>
      <c r="P329" s="346" t="str">
        <f>IF(P$260="","",P$262*VLOOKUP(P$260&amp;" (All)",'Default Values'!$B$162:$CD$181,MATCH($B329,'Default Values'!$B$101:$CD$101,0),0))</f>
        <v/>
      </c>
      <c r="Q329" s="346" t="str">
        <f>IF(Q$260="","",Q$262*VLOOKUP(Q$260&amp;" (All)",'Default Values'!$B$162:$CD$181,MATCH($B329,'Default Values'!$B$101:$CD$101,0),0))</f>
        <v/>
      </c>
      <c r="R329" s="346" t="str">
        <f>IF(R$260="","",R$262*VLOOKUP(R$260&amp;" (All)",'Default Values'!$B$162:$CD$181,MATCH($B329,'Default Values'!$B$101:$CD$101,0),0))</f>
        <v/>
      </c>
      <c r="S329" s="346" t="str">
        <f>IF(S$260="","",S$262*VLOOKUP(S$260&amp;" (All)",'Default Values'!$B$162:$CD$181,MATCH($B329,'Default Values'!$B$101:$CD$101,0),0))</f>
        <v/>
      </c>
      <c r="T329" s="346" t="str">
        <f>IF(T$260="","",T$262*VLOOKUP(T$260&amp;" (All)",'Default Values'!$B$162:$CD$181,MATCH($B329,'Default Values'!$B$101:$CD$101,0),0))</f>
        <v/>
      </c>
      <c r="U329" s="346" t="str">
        <f>IF(U$260="","",U$262*VLOOKUP(U$260&amp;" (All)",'Default Values'!$B$162:$CD$181,MATCH($B329,'Default Values'!$B$101:$CD$101,0),0))</f>
        <v/>
      </c>
      <c r="V329" s="346" t="str">
        <f>IF(V$260="","",V$262*VLOOKUP(V$260&amp;" (All)",'Default Values'!$B$162:$CD$181,MATCH($B329,'Default Values'!$B$101:$CD$101,0),0))</f>
        <v/>
      </c>
      <c r="W329" s="346" t="str">
        <f>IF(W$260="","",W$262*VLOOKUP(W$260&amp;" (All)",'Default Values'!$B$162:$CD$181,MATCH($B329,'Default Values'!$B$101:$CD$101,0),0))</f>
        <v/>
      </c>
      <c r="X329" s="346" t="str">
        <f>IF(X$260="","",X$262*VLOOKUP(X$260&amp;" (All)",'Default Values'!$B$162:$CD$181,MATCH($B329,'Default Values'!$B$101:$CD$101,0),0))</f>
        <v/>
      </c>
      <c r="Y329" s="346" t="str">
        <f>IF(Y$260="","",Y$262*VLOOKUP(Y$260&amp;" (All)",'Default Values'!$B$162:$CD$181,MATCH($B329,'Default Values'!$B$101:$CD$101,0),0))</f>
        <v/>
      </c>
      <c r="Z329" s="346" t="str">
        <f>IF(Z$260="","",Z$262*VLOOKUP(Z$260&amp;" (All)",'Default Values'!$B$162:$CD$181,MATCH($B329,'Default Values'!$B$101:$CD$101,0),0))</f>
        <v/>
      </c>
      <c r="AA329" s="346" t="str">
        <f>IF(AA$260="","",AA$262*VLOOKUP(AA$260&amp;" (All)",'Default Values'!$B$162:$CD$181,MATCH($B329,'Default Values'!$B$101:$CD$101,0),0))</f>
        <v/>
      </c>
      <c r="AB329" s="346" t="str">
        <f>IF(AB$260="","",AB$262*VLOOKUP(AB$260&amp;" (All)",'Default Values'!$B$162:$CD$181,MATCH($B329,'Default Values'!$B$101:$CD$101,0),0))</f>
        <v/>
      </c>
      <c r="AC329" s="346" t="str">
        <f>IF(AC$260="","",AC$262*VLOOKUP(AC$260&amp;" (All)",'Default Values'!$B$162:$CD$181,MATCH($B329,'Default Values'!$B$101:$CD$101,0),0))</f>
        <v/>
      </c>
      <c r="AD329" s="346" t="str">
        <f>IF(AD$260="","",AD$262*VLOOKUP(AD$260&amp;" (All)",'Default Values'!$B$162:$CD$181,MATCH($B329,'Default Values'!$B$101:$CD$101,0),0))</f>
        <v/>
      </c>
      <c r="AE329" s="346" t="str">
        <f>IF(AE$260="","",AE$262*VLOOKUP(AE$260&amp;" (All)",'Default Values'!$B$162:$CD$181,MATCH($B329,'Default Values'!$B$101:$CD$101,0),0))</f>
        <v/>
      </c>
      <c r="AF329" s="346" t="str">
        <f>IF(AF$260="","",AF$262*VLOOKUP(AF$260&amp;" (All)",'Default Values'!$B$162:$CD$181,MATCH($B329,'Default Values'!$B$101:$CD$101,0),0))</f>
        <v/>
      </c>
      <c r="AG329" s="346" t="str">
        <f>IF(AG$260="","",AG$262*VLOOKUP(AG$260&amp;" (All)",'Default Values'!$B$162:$CD$181,MATCH($B329,'Default Values'!$B$101:$CD$101,0),0))</f>
        <v/>
      </c>
      <c r="AH329" s="346" t="str">
        <f>IF(AH$260="","",AH$262*VLOOKUP(AH$260&amp;" (All)",'Default Values'!$B$162:$CD$181,MATCH($B329,'Default Values'!$B$101:$CD$101,0),0))</f>
        <v/>
      </c>
      <c r="AI329" s="346" t="str">
        <f>IF(AI$260="","",AI$262*VLOOKUP(AI$260&amp;" (All)",'Default Values'!$B$162:$CD$181,MATCH($B329,'Default Values'!$B$101:$CD$101,0),0))</f>
        <v/>
      </c>
      <c r="AJ329" s="346" t="str">
        <f>IF(AJ$260="","",AJ$262*VLOOKUP(AJ$260&amp;" (All)",'Default Values'!$B$162:$CD$181,MATCH($B329,'Default Values'!$B$101:$CD$101,0),0))</f>
        <v/>
      </c>
      <c r="AK329" s="346" t="str">
        <f>IF(AK$260="","",AK$262*VLOOKUP(AK$260&amp;" (All)",'Default Values'!$B$162:$CD$181,MATCH($B329,'Default Values'!$B$101:$CD$101,0),0))</f>
        <v/>
      </c>
      <c r="AL329" s="346" t="str">
        <f>IF(AL$260="","",AL$262*VLOOKUP(AL$260&amp;" (All)",'Default Values'!$B$162:$CD$181,MATCH($B329,'Default Values'!$B$101:$CD$101,0),0))</f>
        <v/>
      </c>
      <c r="AM329" s="346" t="str">
        <f>IF(AM$260="","",AM$262*VLOOKUP(AM$260&amp;" (All)",'Default Values'!$B$162:$CD$181,MATCH($B329,'Default Values'!$B$101:$CD$101,0),0))</f>
        <v/>
      </c>
      <c r="AN329" s="346" t="str">
        <f>IF(AN$260="","",AN$262*VLOOKUP(AN$260&amp;" (All)",'Default Values'!$B$162:$CD$181,MATCH($B329,'Default Values'!$B$101:$CD$101,0),0))</f>
        <v/>
      </c>
      <c r="AO329" s="346" t="str">
        <f>IF(AO$260="","",AO$262*VLOOKUP(AO$260&amp;" (All)",'Default Values'!$B$162:$CD$181,MATCH($B329,'Default Values'!$B$101:$CD$101,0),0))</f>
        <v/>
      </c>
      <c r="AP329" s="346" t="str">
        <f>IF(AP$260="","",AP$262*VLOOKUP(AP$260&amp;" (All)",'Default Values'!$B$162:$CD$181,MATCH($B329,'Default Values'!$B$101:$CD$101,0),0))</f>
        <v/>
      </c>
      <c r="AQ329" s="346" t="str">
        <f>IF(AQ$260="","",AQ$262*VLOOKUP(AQ$260&amp;" (All)",'Default Values'!$B$162:$CD$181,MATCH($B329,'Default Values'!$B$101:$CD$101,0),0))</f>
        <v/>
      </c>
      <c r="AR329" s="346">
        <f>IF(AR$260="","",AR$262*VLOOKUP(AR$260&amp;" (All)",'Default Values'!$B$162:$CD$181,MATCH($B329,'Default Values'!$B$101:$CD$101,0),0))</f>
        <v>0</v>
      </c>
      <c r="AS329" s="217"/>
      <c r="AT329" s="217"/>
      <c r="AU329" s="217"/>
      <c r="AV329" s="217"/>
      <c r="AW329" s="217"/>
      <c r="AX329" s="217"/>
      <c r="AY329" s="217"/>
      <c r="AZ329" s="217"/>
      <c r="BA329" s="217"/>
      <c r="BB329" s="217"/>
      <c r="BC329" s="217"/>
      <c r="BD329" s="217"/>
      <c r="BE329" s="217"/>
      <c r="BF329" s="217"/>
      <c r="BG329" s="217"/>
      <c r="BH329" s="217"/>
      <c r="BI329" s="217"/>
      <c r="BJ329" s="217"/>
      <c r="BK329" s="217"/>
      <c r="BL329" s="217"/>
      <c r="BM329" s="217"/>
      <c r="BN329" s="217"/>
      <c r="BO329" s="217"/>
      <c r="BP329" s="217"/>
      <c r="BQ329" s="217"/>
      <c r="BR329" s="217"/>
      <c r="BS329" s="217"/>
      <c r="BT329" s="217"/>
      <c r="BU329" s="217"/>
      <c r="BV329" s="217"/>
      <c r="BW329" s="217"/>
      <c r="BX329" s="217"/>
      <c r="BY329" s="217"/>
      <c r="BZ329" s="217"/>
      <c r="CA329" s="217"/>
      <c r="CB329" s="217"/>
      <c r="CC329" s="217"/>
      <c r="CD329" s="217"/>
      <c r="CE329" s="217"/>
      <c r="CF329" s="217"/>
      <c r="CG329" s="217"/>
      <c r="CH329" s="217"/>
      <c r="CI329" s="217"/>
      <c r="CJ329" s="217"/>
      <c r="CK329" s="217"/>
      <c r="CL329" s="217"/>
      <c r="CM329" s="217"/>
      <c r="CN329" s="217"/>
      <c r="CO329" s="217"/>
      <c r="CP329" s="217"/>
      <c r="CQ329" s="217"/>
      <c r="CR329" s="217"/>
      <c r="CS329" s="217"/>
      <c r="CT329" s="217"/>
      <c r="CU329" s="217"/>
      <c r="CV329" s="217"/>
      <c r="CW329" s="217"/>
      <c r="CX329" s="217"/>
      <c r="CY329" s="217"/>
      <c r="CZ329" s="217"/>
      <c r="DA329" s="217"/>
      <c r="DB329" s="217"/>
      <c r="DC329" s="217"/>
      <c r="DD329" s="217"/>
      <c r="DE329" s="217"/>
      <c r="DF329" s="217"/>
      <c r="DG329" s="217"/>
      <c r="DH329" s="217"/>
      <c r="DI329" s="217"/>
      <c r="DJ329" s="217"/>
      <c r="DK329" s="217"/>
      <c r="DL329" s="217"/>
      <c r="DM329" s="217"/>
      <c r="DN329" s="217"/>
      <c r="DO329" s="217"/>
      <c r="DP329" s="217"/>
      <c r="DQ329" s="217"/>
      <c r="DR329" s="217"/>
      <c r="DS329" s="217"/>
      <c r="DT329" s="217"/>
    </row>
    <row r="330" spans="1:124" x14ac:dyDescent="0.3">
      <c r="A330" s="217"/>
      <c r="B330" s="342" t="s">
        <v>264</v>
      </c>
      <c r="C330" s="345">
        <f t="shared" ref="C330:C344" si="341">SUM(D330:AQ330)</f>
        <v>0</v>
      </c>
      <c r="D330" s="346" t="str">
        <f>IF(D$260="","",D$262*VLOOKUP(D$260&amp;" (All)",'Default Values'!$B$162:$CD$181,MATCH($B330,'Default Values'!$B$101:$CD$101,0),0))</f>
        <v/>
      </c>
      <c r="E330" s="346" t="str">
        <f>IF(E$260="","",E$262*VLOOKUP(E$260&amp;" (All)",'Default Values'!$B$162:$CD$181,MATCH($B330,'Default Values'!$B$101:$CD$101,0),0))</f>
        <v/>
      </c>
      <c r="F330" s="346" t="str">
        <f>IF(F$260="","",F$262*VLOOKUP(F$260&amp;" (All)",'Default Values'!$B$162:$CD$181,MATCH($B330,'Default Values'!$B$101:$CD$101,0),0))</f>
        <v/>
      </c>
      <c r="G330" s="346" t="str">
        <f>IF(G$260="","",G$262*VLOOKUP(G$260&amp;" (All)",'Default Values'!$B$162:$CD$181,MATCH($B330,'Default Values'!$B$101:$CD$101,0),0))</f>
        <v/>
      </c>
      <c r="H330" s="346" t="str">
        <f>IF(H$260="","",H$262*VLOOKUP(H$260&amp;" (All)",'Default Values'!$B$162:$CD$181,MATCH($B330,'Default Values'!$B$101:$CD$101,0),0))</f>
        <v/>
      </c>
      <c r="I330" s="346" t="str">
        <f>IF(I$260="","",I$262*VLOOKUP(I$260&amp;" (All)",'Default Values'!$B$162:$CD$181,MATCH($B330,'Default Values'!$B$101:$CD$101,0),0))</f>
        <v/>
      </c>
      <c r="J330" s="346" t="str">
        <f>IF(J$260="","",J$262*VLOOKUP(J$260&amp;" (All)",'Default Values'!$B$162:$CD$181,MATCH($B330,'Default Values'!$B$101:$CD$101,0),0))</f>
        <v/>
      </c>
      <c r="K330" s="346" t="str">
        <f>IF(K$260="","",K$262*VLOOKUP(K$260&amp;" (All)",'Default Values'!$B$162:$CD$181,MATCH($B330,'Default Values'!$B$101:$CD$101,0),0))</f>
        <v/>
      </c>
      <c r="L330" s="346" t="str">
        <f>IF(L$260="","",L$262*VLOOKUP(L$260&amp;" (All)",'Default Values'!$B$162:$CD$181,MATCH($B330,'Default Values'!$B$101:$CD$101,0),0))</f>
        <v/>
      </c>
      <c r="M330" s="346" t="str">
        <f>IF(M$260="","",M$262*VLOOKUP(M$260&amp;" (All)",'Default Values'!$B$162:$CD$181,MATCH($B330,'Default Values'!$B$101:$CD$101,0),0))</f>
        <v/>
      </c>
      <c r="N330" s="346" t="str">
        <f>IF(N$260="","",N$262*VLOOKUP(N$260&amp;" (All)",'Default Values'!$B$162:$CD$181,MATCH($B330,'Default Values'!$B$101:$CD$101,0),0))</f>
        <v/>
      </c>
      <c r="O330" s="346" t="str">
        <f>IF(O$260="","",O$262*VLOOKUP(O$260&amp;" (All)",'Default Values'!$B$162:$CD$181,MATCH($B330,'Default Values'!$B$101:$CD$101,0),0))</f>
        <v/>
      </c>
      <c r="P330" s="346" t="str">
        <f>IF(P$260="","",P$262*VLOOKUP(P$260&amp;" (All)",'Default Values'!$B$162:$CD$181,MATCH($B330,'Default Values'!$B$101:$CD$101,0),0))</f>
        <v/>
      </c>
      <c r="Q330" s="346" t="str">
        <f>IF(Q$260="","",Q$262*VLOOKUP(Q$260&amp;" (All)",'Default Values'!$B$162:$CD$181,MATCH($B330,'Default Values'!$B$101:$CD$101,0),0))</f>
        <v/>
      </c>
      <c r="R330" s="346" t="str">
        <f>IF(R$260="","",R$262*VLOOKUP(R$260&amp;" (All)",'Default Values'!$B$162:$CD$181,MATCH($B330,'Default Values'!$B$101:$CD$101,0),0))</f>
        <v/>
      </c>
      <c r="S330" s="346" t="str">
        <f>IF(S$260="","",S$262*VLOOKUP(S$260&amp;" (All)",'Default Values'!$B$162:$CD$181,MATCH($B330,'Default Values'!$B$101:$CD$101,0),0))</f>
        <v/>
      </c>
      <c r="T330" s="346" t="str">
        <f>IF(T$260="","",T$262*VLOOKUP(T$260&amp;" (All)",'Default Values'!$B$162:$CD$181,MATCH($B330,'Default Values'!$B$101:$CD$101,0),0))</f>
        <v/>
      </c>
      <c r="U330" s="346" t="str">
        <f>IF(U$260="","",U$262*VLOOKUP(U$260&amp;" (All)",'Default Values'!$B$162:$CD$181,MATCH($B330,'Default Values'!$B$101:$CD$101,0),0))</f>
        <v/>
      </c>
      <c r="V330" s="346" t="str">
        <f>IF(V$260="","",V$262*VLOOKUP(V$260&amp;" (All)",'Default Values'!$B$162:$CD$181,MATCH($B330,'Default Values'!$B$101:$CD$101,0),0))</f>
        <v/>
      </c>
      <c r="W330" s="346" t="str">
        <f>IF(W$260="","",W$262*VLOOKUP(W$260&amp;" (All)",'Default Values'!$B$162:$CD$181,MATCH($B330,'Default Values'!$B$101:$CD$101,0),0))</f>
        <v/>
      </c>
      <c r="X330" s="346" t="str">
        <f>IF(X$260="","",X$262*VLOOKUP(X$260&amp;" (All)",'Default Values'!$B$162:$CD$181,MATCH($B330,'Default Values'!$B$101:$CD$101,0),0))</f>
        <v/>
      </c>
      <c r="Y330" s="346" t="str">
        <f>IF(Y$260="","",Y$262*VLOOKUP(Y$260&amp;" (All)",'Default Values'!$B$162:$CD$181,MATCH($B330,'Default Values'!$B$101:$CD$101,0),0))</f>
        <v/>
      </c>
      <c r="Z330" s="346" t="str">
        <f>IF(Z$260="","",Z$262*VLOOKUP(Z$260&amp;" (All)",'Default Values'!$B$162:$CD$181,MATCH($B330,'Default Values'!$B$101:$CD$101,0),0))</f>
        <v/>
      </c>
      <c r="AA330" s="346" t="str">
        <f>IF(AA$260="","",AA$262*VLOOKUP(AA$260&amp;" (All)",'Default Values'!$B$162:$CD$181,MATCH($B330,'Default Values'!$B$101:$CD$101,0),0))</f>
        <v/>
      </c>
      <c r="AB330" s="346" t="str">
        <f>IF(AB$260="","",AB$262*VLOOKUP(AB$260&amp;" (All)",'Default Values'!$B$162:$CD$181,MATCH($B330,'Default Values'!$B$101:$CD$101,0),0))</f>
        <v/>
      </c>
      <c r="AC330" s="346" t="str">
        <f>IF(AC$260="","",AC$262*VLOOKUP(AC$260&amp;" (All)",'Default Values'!$B$162:$CD$181,MATCH($B330,'Default Values'!$B$101:$CD$101,0),0))</f>
        <v/>
      </c>
      <c r="AD330" s="346" t="str">
        <f>IF(AD$260="","",AD$262*VLOOKUP(AD$260&amp;" (All)",'Default Values'!$B$162:$CD$181,MATCH($B330,'Default Values'!$B$101:$CD$101,0),0))</f>
        <v/>
      </c>
      <c r="AE330" s="346" t="str">
        <f>IF(AE$260="","",AE$262*VLOOKUP(AE$260&amp;" (All)",'Default Values'!$B$162:$CD$181,MATCH($B330,'Default Values'!$B$101:$CD$101,0),0))</f>
        <v/>
      </c>
      <c r="AF330" s="346" t="str">
        <f>IF(AF$260="","",AF$262*VLOOKUP(AF$260&amp;" (All)",'Default Values'!$B$162:$CD$181,MATCH($B330,'Default Values'!$B$101:$CD$101,0),0))</f>
        <v/>
      </c>
      <c r="AG330" s="346" t="str">
        <f>IF(AG$260="","",AG$262*VLOOKUP(AG$260&amp;" (All)",'Default Values'!$B$162:$CD$181,MATCH($B330,'Default Values'!$B$101:$CD$101,0),0))</f>
        <v/>
      </c>
      <c r="AH330" s="346" t="str">
        <f>IF(AH$260="","",AH$262*VLOOKUP(AH$260&amp;" (All)",'Default Values'!$B$162:$CD$181,MATCH($B330,'Default Values'!$B$101:$CD$101,0),0))</f>
        <v/>
      </c>
      <c r="AI330" s="346" t="str">
        <f>IF(AI$260="","",AI$262*VLOOKUP(AI$260&amp;" (All)",'Default Values'!$B$162:$CD$181,MATCH($B330,'Default Values'!$B$101:$CD$101,0),0))</f>
        <v/>
      </c>
      <c r="AJ330" s="346" t="str">
        <f>IF(AJ$260="","",AJ$262*VLOOKUP(AJ$260&amp;" (All)",'Default Values'!$B$162:$CD$181,MATCH($B330,'Default Values'!$B$101:$CD$101,0),0))</f>
        <v/>
      </c>
      <c r="AK330" s="346" t="str">
        <f>IF(AK$260="","",AK$262*VLOOKUP(AK$260&amp;" (All)",'Default Values'!$B$162:$CD$181,MATCH($B330,'Default Values'!$B$101:$CD$101,0),0))</f>
        <v/>
      </c>
      <c r="AL330" s="346" t="str">
        <f>IF(AL$260="","",AL$262*VLOOKUP(AL$260&amp;" (All)",'Default Values'!$B$162:$CD$181,MATCH($B330,'Default Values'!$B$101:$CD$101,0),0))</f>
        <v/>
      </c>
      <c r="AM330" s="346" t="str">
        <f>IF(AM$260="","",AM$262*VLOOKUP(AM$260&amp;" (All)",'Default Values'!$B$162:$CD$181,MATCH($B330,'Default Values'!$B$101:$CD$101,0),0))</f>
        <v/>
      </c>
      <c r="AN330" s="346" t="str">
        <f>IF(AN$260="","",AN$262*VLOOKUP(AN$260&amp;" (All)",'Default Values'!$B$162:$CD$181,MATCH($B330,'Default Values'!$B$101:$CD$101,0),0))</f>
        <v/>
      </c>
      <c r="AO330" s="346" t="str">
        <f>IF(AO$260="","",AO$262*VLOOKUP(AO$260&amp;" (All)",'Default Values'!$B$162:$CD$181,MATCH($B330,'Default Values'!$B$101:$CD$101,0),0))</f>
        <v/>
      </c>
      <c r="AP330" s="346" t="str">
        <f>IF(AP$260="","",AP$262*VLOOKUP(AP$260&amp;" (All)",'Default Values'!$B$162:$CD$181,MATCH($B330,'Default Values'!$B$101:$CD$101,0),0))</f>
        <v/>
      </c>
      <c r="AQ330" s="346" t="str">
        <f>IF(AQ$260="","",AQ$262*VLOOKUP(AQ$260&amp;" (All)",'Default Values'!$B$162:$CD$181,MATCH($B330,'Default Values'!$B$101:$CD$101,0),0))</f>
        <v/>
      </c>
      <c r="AR330" s="346">
        <f>IF(AR$260="","",AR$262*VLOOKUP(AR$260&amp;" (All)",'Default Values'!$B$162:$CD$181,MATCH($B330,'Default Values'!$B$101:$CD$101,0),0))</f>
        <v>0</v>
      </c>
      <c r="AS330" s="217"/>
      <c r="AT330" s="217"/>
      <c r="AU330" s="217"/>
      <c r="AV330" s="217"/>
      <c r="AW330" s="217"/>
      <c r="AX330" s="217"/>
      <c r="AY330" s="217"/>
      <c r="AZ330" s="217"/>
      <c r="BA330" s="217"/>
      <c r="BB330" s="217"/>
      <c r="BC330" s="217"/>
      <c r="BD330" s="217"/>
      <c r="BE330" s="217"/>
      <c r="BF330" s="217"/>
      <c r="BG330" s="217"/>
      <c r="BH330" s="217"/>
      <c r="BI330" s="217"/>
      <c r="BJ330" s="217"/>
      <c r="BK330" s="217"/>
      <c r="BL330" s="217"/>
      <c r="BM330" s="217"/>
      <c r="BN330" s="217"/>
      <c r="BO330" s="217"/>
      <c r="BP330" s="217"/>
      <c r="BQ330" s="217"/>
      <c r="BR330" s="217"/>
      <c r="BS330" s="217"/>
      <c r="BT330" s="217"/>
      <c r="BU330" s="217"/>
      <c r="BV330" s="217"/>
      <c r="BW330" s="217"/>
      <c r="BX330" s="217"/>
      <c r="BY330" s="217"/>
      <c r="BZ330" s="217"/>
      <c r="CA330" s="217"/>
      <c r="CB330" s="217"/>
      <c r="CC330" s="217"/>
      <c r="CD330" s="217"/>
      <c r="CE330" s="217"/>
      <c r="CF330" s="217"/>
      <c r="CG330" s="217"/>
      <c r="CH330" s="217"/>
      <c r="CI330" s="217"/>
      <c r="CJ330" s="217"/>
      <c r="CK330" s="217"/>
      <c r="CL330" s="217"/>
      <c r="CM330" s="217"/>
      <c r="CN330" s="217"/>
      <c r="CO330" s="217"/>
      <c r="CP330" s="217"/>
      <c r="CQ330" s="217"/>
      <c r="CR330" s="217"/>
      <c r="CS330" s="217"/>
      <c r="CT330" s="217"/>
      <c r="CU330" s="217"/>
      <c r="CV330" s="217"/>
      <c r="CW330" s="217"/>
      <c r="CX330" s="217"/>
      <c r="CY330" s="217"/>
      <c r="CZ330" s="217"/>
      <c r="DA330" s="217"/>
      <c r="DB330" s="217"/>
      <c r="DC330" s="217"/>
      <c r="DD330" s="217"/>
      <c r="DE330" s="217"/>
      <c r="DF330" s="217"/>
      <c r="DG330" s="217"/>
      <c r="DH330" s="217"/>
      <c r="DI330" s="217"/>
      <c r="DJ330" s="217"/>
      <c r="DK330" s="217"/>
      <c r="DL330" s="217"/>
      <c r="DM330" s="217"/>
      <c r="DN330" s="217"/>
      <c r="DO330" s="217"/>
      <c r="DP330" s="217"/>
      <c r="DQ330" s="217"/>
      <c r="DR330" s="217"/>
      <c r="DS330" s="217"/>
      <c r="DT330" s="217"/>
    </row>
    <row r="331" spans="1:124" x14ac:dyDescent="0.3">
      <c r="A331" s="217"/>
      <c r="B331" s="342" t="s">
        <v>266</v>
      </c>
      <c r="C331" s="345">
        <f t="shared" si="341"/>
        <v>0</v>
      </c>
      <c r="D331" s="346" t="str">
        <f>IF(D$260="","",D$262*VLOOKUP(D$260&amp;" (All)",'Default Values'!$B$162:$CD$181,MATCH($B331,'Default Values'!$B$101:$CD$101,0),0))</f>
        <v/>
      </c>
      <c r="E331" s="346" t="str">
        <f>IF(E$260="","",E$262*VLOOKUP(E$260&amp;" (All)",'Default Values'!$B$162:$CD$181,MATCH($B331,'Default Values'!$B$101:$CD$101,0),0))</f>
        <v/>
      </c>
      <c r="F331" s="346" t="str">
        <f>IF(F$260="","",F$262*VLOOKUP(F$260&amp;" (All)",'Default Values'!$B$162:$CD$181,MATCH($B331,'Default Values'!$B$101:$CD$101,0),0))</f>
        <v/>
      </c>
      <c r="G331" s="346" t="str">
        <f>IF(G$260="","",G$262*VLOOKUP(G$260&amp;" (All)",'Default Values'!$B$162:$CD$181,MATCH($B331,'Default Values'!$B$101:$CD$101,0),0))</f>
        <v/>
      </c>
      <c r="H331" s="346" t="str">
        <f>IF(H$260="","",H$262*VLOOKUP(H$260&amp;" (All)",'Default Values'!$B$162:$CD$181,MATCH($B331,'Default Values'!$B$101:$CD$101,0),0))</f>
        <v/>
      </c>
      <c r="I331" s="346" t="str">
        <f>IF(I$260="","",I$262*VLOOKUP(I$260&amp;" (All)",'Default Values'!$B$162:$CD$181,MATCH($B331,'Default Values'!$B$101:$CD$101,0),0))</f>
        <v/>
      </c>
      <c r="J331" s="346" t="str">
        <f>IF(J$260="","",J$262*VLOOKUP(J$260&amp;" (All)",'Default Values'!$B$162:$CD$181,MATCH($B331,'Default Values'!$B$101:$CD$101,0),0))</f>
        <v/>
      </c>
      <c r="K331" s="346" t="str">
        <f>IF(K$260="","",K$262*VLOOKUP(K$260&amp;" (All)",'Default Values'!$B$162:$CD$181,MATCH($B331,'Default Values'!$B$101:$CD$101,0),0))</f>
        <v/>
      </c>
      <c r="L331" s="346" t="str">
        <f>IF(L$260="","",L$262*VLOOKUP(L$260&amp;" (All)",'Default Values'!$B$162:$CD$181,MATCH($B331,'Default Values'!$B$101:$CD$101,0),0))</f>
        <v/>
      </c>
      <c r="M331" s="346" t="str">
        <f>IF(M$260="","",M$262*VLOOKUP(M$260&amp;" (All)",'Default Values'!$B$162:$CD$181,MATCH($B331,'Default Values'!$B$101:$CD$101,0),0))</f>
        <v/>
      </c>
      <c r="N331" s="346" t="str">
        <f>IF(N$260="","",N$262*VLOOKUP(N$260&amp;" (All)",'Default Values'!$B$162:$CD$181,MATCH($B331,'Default Values'!$B$101:$CD$101,0),0))</f>
        <v/>
      </c>
      <c r="O331" s="346" t="str">
        <f>IF(O$260="","",O$262*VLOOKUP(O$260&amp;" (All)",'Default Values'!$B$162:$CD$181,MATCH($B331,'Default Values'!$B$101:$CD$101,0),0))</f>
        <v/>
      </c>
      <c r="P331" s="346" t="str">
        <f>IF(P$260="","",P$262*VLOOKUP(P$260&amp;" (All)",'Default Values'!$B$162:$CD$181,MATCH($B331,'Default Values'!$B$101:$CD$101,0),0))</f>
        <v/>
      </c>
      <c r="Q331" s="346" t="str">
        <f>IF(Q$260="","",Q$262*VLOOKUP(Q$260&amp;" (All)",'Default Values'!$B$162:$CD$181,MATCH($B331,'Default Values'!$B$101:$CD$101,0),0))</f>
        <v/>
      </c>
      <c r="R331" s="346" t="str">
        <f>IF(R$260="","",R$262*VLOOKUP(R$260&amp;" (All)",'Default Values'!$B$162:$CD$181,MATCH($B331,'Default Values'!$B$101:$CD$101,0),0))</f>
        <v/>
      </c>
      <c r="S331" s="346" t="str">
        <f>IF(S$260="","",S$262*VLOOKUP(S$260&amp;" (All)",'Default Values'!$B$162:$CD$181,MATCH($B331,'Default Values'!$B$101:$CD$101,0),0))</f>
        <v/>
      </c>
      <c r="T331" s="346" t="str">
        <f>IF(T$260="","",T$262*VLOOKUP(T$260&amp;" (All)",'Default Values'!$B$162:$CD$181,MATCH($B331,'Default Values'!$B$101:$CD$101,0),0))</f>
        <v/>
      </c>
      <c r="U331" s="346" t="str">
        <f>IF(U$260="","",U$262*VLOOKUP(U$260&amp;" (All)",'Default Values'!$B$162:$CD$181,MATCH($B331,'Default Values'!$B$101:$CD$101,0),0))</f>
        <v/>
      </c>
      <c r="V331" s="346" t="str">
        <f>IF(V$260="","",V$262*VLOOKUP(V$260&amp;" (All)",'Default Values'!$B$162:$CD$181,MATCH($B331,'Default Values'!$B$101:$CD$101,0),0))</f>
        <v/>
      </c>
      <c r="W331" s="346" t="str">
        <f>IF(W$260="","",W$262*VLOOKUP(W$260&amp;" (All)",'Default Values'!$B$162:$CD$181,MATCH($B331,'Default Values'!$B$101:$CD$101,0),0))</f>
        <v/>
      </c>
      <c r="X331" s="346" t="str">
        <f>IF(X$260="","",X$262*VLOOKUP(X$260&amp;" (All)",'Default Values'!$B$162:$CD$181,MATCH($B331,'Default Values'!$B$101:$CD$101,0),0))</f>
        <v/>
      </c>
      <c r="Y331" s="346" t="str">
        <f>IF(Y$260="","",Y$262*VLOOKUP(Y$260&amp;" (All)",'Default Values'!$B$162:$CD$181,MATCH($B331,'Default Values'!$B$101:$CD$101,0),0))</f>
        <v/>
      </c>
      <c r="Z331" s="346" t="str">
        <f>IF(Z$260="","",Z$262*VLOOKUP(Z$260&amp;" (All)",'Default Values'!$B$162:$CD$181,MATCH($B331,'Default Values'!$B$101:$CD$101,0),0))</f>
        <v/>
      </c>
      <c r="AA331" s="346" t="str">
        <f>IF(AA$260="","",AA$262*VLOOKUP(AA$260&amp;" (All)",'Default Values'!$B$162:$CD$181,MATCH($B331,'Default Values'!$B$101:$CD$101,0),0))</f>
        <v/>
      </c>
      <c r="AB331" s="346" t="str">
        <f>IF(AB$260="","",AB$262*VLOOKUP(AB$260&amp;" (All)",'Default Values'!$B$162:$CD$181,MATCH($B331,'Default Values'!$B$101:$CD$101,0),0))</f>
        <v/>
      </c>
      <c r="AC331" s="346" t="str">
        <f>IF(AC$260="","",AC$262*VLOOKUP(AC$260&amp;" (All)",'Default Values'!$B$162:$CD$181,MATCH($B331,'Default Values'!$B$101:$CD$101,0),0))</f>
        <v/>
      </c>
      <c r="AD331" s="346" t="str">
        <f>IF(AD$260="","",AD$262*VLOOKUP(AD$260&amp;" (All)",'Default Values'!$B$162:$CD$181,MATCH($B331,'Default Values'!$B$101:$CD$101,0),0))</f>
        <v/>
      </c>
      <c r="AE331" s="346" t="str">
        <f>IF(AE$260="","",AE$262*VLOOKUP(AE$260&amp;" (All)",'Default Values'!$B$162:$CD$181,MATCH($B331,'Default Values'!$B$101:$CD$101,0),0))</f>
        <v/>
      </c>
      <c r="AF331" s="346" t="str">
        <f>IF(AF$260="","",AF$262*VLOOKUP(AF$260&amp;" (All)",'Default Values'!$B$162:$CD$181,MATCH($B331,'Default Values'!$B$101:$CD$101,0),0))</f>
        <v/>
      </c>
      <c r="AG331" s="346" t="str">
        <f>IF(AG$260="","",AG$262*VLOOKUP(AG$260&amp;" (All)",'Default Values'!$B$162:$CD$181,MATCH($B331,'Default Values'!$B$101:$CD$101,0),0))</f>
        <v/>
      </c>
      <c r="AH331" s="346" t="str">
        <f>IF(AH$260="","",AH$262*VLOOKUP(AH$260&amp;" (All)",'Default Values'!$B$162:$CD$181,MATCH($B331,'Default Values'!$B$101:$CD$101,0),0))</f>
        <v/>
      </c>
      <c r="AI331" s="346" t="str">
        <f>IF(AI$260="","",AI$262*VLOOKUP(AI$260&amp;" (All)",'Default Values'!$B$162:$CD$181,MATCH($B331,'Default Values'!$B$101:$CD$101,0),0))</f>
        <v/>
      </c>
      <c r="AJ331" s="346" t="str">
        <f>IF(AJ$260="","",AJ$262*VLOOKUP(AJ$260&amp;" (All)",'Default Values'!$B$162:$CD$181,MATCH($B331,'Default Values'!$B$101:$CD$101,0),0))</f>
        <v/>
      </c>
      <c r="AK331" s="346" t="str">
        <f>IF(AK$260="","",AK$262*VLOOKUP(AK$260&amp;" (All)",'Default Values'!$B$162:$CD$181,MATCH($B331,'Default Values'!$B$101:$CD$101,0),0))</f>
        <v/>
      </c>
      <c r="AL331" s="346" t="str">
        <f>IF(AL$260="","",AL$262*VLOOKUP(AL$260&amp;" (All)",'Default Values'!$B$162:$CD$181,MATCH($B331,'Default Values'!$B$101:$CD$101,0),0))</f>
        <v/>
      </c>
      <c r="AM331" s="346" t="str">
        <f>IF(AM$260="","",AM$262*VLOOKUP(AM$260&amp;" (All)",'Default Values'!$B$162:$CD$181,MATCH($B331,'Default Values'!$B$101:$CD$101,0),0))</f>
        <v/>
      </c>
      <c r="AN331" s="346" t="str">
        <f>IF(AN$260="","",AN$262*VLOOKUP(AN$260&amp;" (All)",'Default Values'!$B$162:$CD$181,MATCH($B331,'Default Values'!$B$101:$CD$101,0),0))</f>
        <v/>
      </c>
      <c r="AO331" s="346" t="str">
        <f>IF(AO$260="","",AO$262*VLOOKUP(AO$260&amp;" (All)",'Default Values'!$B$162:$CD$181,MATCH($B331,'Default Values'!$B$101:$CD$101,0),0))</f>
        <v/>
      </c>
      <c r="AP331" s="346" t="str">
        <f>IF(AP$260="","",AP$262*VLOOKUP(AP$260&amp;" (All)",'Default Values'!$B$162:$CD$181,MATCH($B331,'Default Values'!$B$101:$CD$101,0),0))</f>
        <v/>
      </c>
      <c r="AQ331" s="346" t="str">
        <f>IF(AQ$260="","",AQ$262*VLOOKUP(AQ$260&amp;" (All)",'Default Values'!$B$162:$CD$181,MATCH($B331,'Default Values'!$B$101:$CD$101,0),0))</f>
        <v/>
      </c>
      <c r="AR331" s="346">
        <f>IF(AR$260="","",AR$262*VLOOKUP(AR$260&amp;" (All)",'Default Values'!$B$162:$CD$181,MATCH($B331,'Default Values'!$B$101:$CD$101,0),0))</f>
        <v>0</v>
      </c>
      <c r="AS331" s="217"/>
      <c r="AT331" s="217"/>
      <c r="AU331" s="217"/>
      <c r="AV331" s="217"/>
      <c r="AW331" s="217"/>
      <c r="AX331" s="217"/>
      <c r="AY331" s="217"/>
      <c r="AZ331" s="217"/>
      <c r="BA331" s="217"/>
      <c r="BB331" s="217"/>
      <c r="BC331" s="217"/>
      <c r="BD331" s="217"/>
      <c r="BE331" s="217"/>
      <c r="BF331" s="217"/>
      <c r="BG331" s="217"/>
      <c r="BH331" s="217"/>
      <c r="BI331" s="217"/>
      <c r="BJ331" s="217"/>
      <c r="BK331" s="217"/>
      <c r="BL331" s="217"/>
      <c r="BM331" s="217"/>
      <c r="BN331" s="217"/>
      <c r="BO331" s="217"/>
      <c r="BP331" s="217"/>
      <c r="BQ331" s="217"/>
      <c r="BR331" s="217"/>
      <c r="BS331" s="217"/>
      <c r="BT331" s="217"/>
      <c r="BU331" s="217"/>
      <c r="BV331" s="217"/>
      <c r="BW331" s="217"/>
      <c r="BX331" s="217"/>
      <c r="BY331" s="217"/>
      <c r="BZ331" s="217"/>
      <c r="CA331" s="217"/>
      <c r="CB331" s="217"/>
      <c r="CC331" s="217"/>
      <c r="CD331" s="217"/>
      <c r="CE331" s="217"/>
      <c r="CF331" s="217"/>
      <c r="CG331" s="217"/>
      <c r="CH331" s="217"/>
      <c r="CI331" s="217"/>
      <c r="CJ331" s="217"/>
      <c r="CK331" s="217"/>
      <c r="CL331" s="217"/>
      <c r="CM331" s="217"/>
      <c r="CN331" s="217"/>
      <c r="CO331" s="217"/>
      <c r="CP331" s="217"/>
      <c r="CQ331" s="217"/>
      <c r="CR331" s="217"/>
      <c r="CS331" s="217"/>
      <c r="CT331" s="217"/>
      <c r="CU331" s="217"/>
      <c r="CV331" s="217"/>
      <c r="CW331" s="217"/>
      <c r="CX331" s="217"/>
      <c r="CY331" s="217"/>
      <c r="CZ331" s="217"/>
      <c r="DA331" s="217"/>
      <c r="DB331" s="217"/>
      <c r="DC331" s="217"/>
      <c r="DD331" s="217"/>
      <c r="DE331" s="217"/>
      <c r="DF331" s="217"/>
      <c r="DG331" s="217"/>
      <c r="DH331" s="217"/>
      <c r="DI331" s="217"/>
      <c r="DJ331" s="217"/>
      <c r="DK331" s="217"/>
      <c r="DL331" s="217"/>
      <c r="DM331" s="217"/>
      <c r="DN331" s="217"/>
      <c r="DO331" s="217"/>
      <c r="DP331" s="217"/>
      <c r="DQ331" s="217"/>
      <c r="DR331" s="217"/>
      <c r="DS331" s="217"/>
      <c r="DT331" s="217"/>
    </row>
    <row r="332" spans="1:124" x14ac:dyDescent="0.3">
      <c r="A332" s="217"/>
      <c r="B332" s="342" t="s">
        <v>127</v>
      </c>
      <c r="C332" s="345">
        <f t="shared" si="341"/>
        <v>0</v>
      </c>
      <c r="D332" s="346" t="str">
        <f>IF(D$260="","",D$262*VLOOKUP(D$260&amp;" (All)",'Default Values'!$B$162:$CD$181,MATCH($B332,'Default Values'!$B$101:$CD$101,0),0))</f>
        <v/>
      </c>
      <c r="E332" s="346" t="str">
        <f>IF(E$260="","",E$262*VLOOKUP(E$260&amp;" (All)",'Default Values'!$B$162:$CD$181,MATCH($B332,'Default Values'!$B$101:$CD$101,0),0))</f>
        <v/>
      </c>
      <c r="F332" s="346" t="str">
        <f>IF(F$260="","",F$262*VLOOKUP(F$260&amp;" (All)",'Default Values'!$B$162:$CD$181,MATCH($B332,'Default Values'!$B$101:$CD$101,0),0))</f>
        <v/>
      </c>
      <c r="G332" s="346" t="str">
        <f>IF(G$260="","",G$262*VLOOKUP(G$260&amp;" (All)",'Default Values'!$B$162:$CD$181,MATCH($B332,'Default Values'!$B$101:$CD$101,0),0))</f>
        <v/>
      </c>
      <c r="H332" s="346" t="str">
        <f>IF(H$260="","",H$262*VLOOKUP(H$260&amp;" (All)",'Default Values'!$B$162:$CD$181,MATCH($B332,'Default Values'!$B$101:$CD$101,0),0))</f>
        <v/>
      </c>
      <c r="I332" s="346" t="str">
        <f>IF(I$260="","",I$262*VLOOKUP(I$260&amp;" (All)",'Default Values'!$B$162:$CD$181,MATCH($B332,'Default Values'!$B$101:$CD$101,0),0))</f>
        <v/>
      </c>
      <c r="J332" s="346" t="str">
        <f>IF(J$260="","",J$262*VLOOKUP(J$260&amp;" (All)",'Default Values'!$B$162:$CD$181,MATCH($B332,'Default Values'!$B$101:$CD$101,0),0))</f>
        <v/>
      </c>
      <c r="K332" s="346" t="str">
        <f>IF(K$260="","",K$262*VLOOKUP(K$260&amp;" (All)",'Default Values'!$B$162:$CD$181,MATCH($B332,'Default Values'!$B$101:$CD$101,0),0))</f>
        <v/>
      </c>
      <c r="L332" s="346" t="str">
        <f>IF(L$260="","",L$262*VLOOKUP(L$260&amp;" (All)",'Default Values'!$B$162:$CD$181,MATCH($B332,'Default Values'!$B$101:$CD$101,0),0))</f>
        <v/>
      </c>
      <c r="M332" s="346" t="str">
        <f>IF(M$260="","",M$262*VLOOKUP(M$260&amp;" (All)",'Default Values'!$B$162:$CD$181,MATCH($B332,'Default Values'!$B$101:$CD$101,0),0))</f>
        <v/>
      </c>
      <c r="N332" s="346" t="str">
        <f>IF(N$260="","",N$262*VLOOKUP(N$260&amp;" (All)",'Default Values'!$B$162:$CD$181,MATCH($B332,'Default Values'!$B$101:$CD$101,0),0))</f>
        <v/>
      </c>
      <c r="O332" s="346" t="str">
        <f>IF(O$260="","",O$262*VLOOKUP(O$260&amp;" (All)",'Default Values'!$B$162:$CD$181,MATCH($B332,'Default Values'!$B$101:$CD$101,0),0))</f>
        <v/>
      </c>
      <c r="P332" s="346" t="str">
        <f>IF(P$260="","",P$262*VLOOKUP(P$260&amp;" (All)",'Default Values'!$B$162:$CD$181,MATCH($B332,'Default Values'!$B$101:$CD$101,0),0))</f>
        <v/>
      </c>
      <c r="Q332" s="346" t="str">
        <f>IF(Q$260="","",Q$262*VLOOKUP(Q$260&amp;" (All)",'Default Values'!$B$162:$CD$181,MATCH($B332,'Default Values'!$B$101:$CD$101,0),0))</f>
        <v/>
      </c>
      <c r="R332" s="346" t="str">
        <f>IF(R$260="","",R$262*VLOOKUP(R$260&amp;" (All)",'Default Values'!$B$162:$CD$181,MATCH($B332,'Default Values'!$B$101:$CD$101,0),0))</f>
        <v/>
      </c>
      <c r="S332" s="346" t="str">
        <f>IF(S$260="","",S$262*VLOOKUP(S$260&amp;" (All)",'Default Values'!$B$162:$CD$181,MATCH($B332,'Default Values'!$B$101:$CD$101,0),0))</f>
        <v/>
      </c>
      <c r="T332" s="346" t="str">
        <f>IF(T$260="","",T$262*VLOOKUP(T$260&amp;" (All)",'Default Values'!$B$162:$CD$181,MATCH($B332,'Default Values'!$B$101:$CD$101,0),0))</f>
        <v/>
      </c>
      <c r="U332" s="346" t="str">
        <f>IF(U$260="","",U$262*VLOOKUP(U$260&amp;" (All)",'Default Values'!$B$162:$CD$181,MATCH($B332,'Default Values'!$B$101:$CD$101,0),0))</f>
        <v/>
      </c>
      <c r="V332" s="346" t="str">
        <f>IF(V$260="","",V$262*VLOOKUP(V$260&amp;" (All)",'Default Values'!$B$162:$CD$181,MATCH($B332,'Default Values'!$B$101:$CD$101,0),0))</f>
        <v/>
      </c>
      <c r="W332" s="346" t="str">
        <f>IF(W$260="","",W$262*VLOOKUP(W$260&amp;" (All)",'Default Values'!$B$162:$CD$181,MATCH($B332,'Default Values'!$B$101:$CD$101,0),0))</f>
        <v/>
      </c>
      <c r="X332" s="346" t="str">
        <f>IF(X$260="","",X$262*VLOOKUP(X$260&amp;" (All)",'Default Values'!$B$162:$CD$181,MATCH($B332,'Default Values'!$B$101:$CD$101,0),0))</f>
        <v/>
      </c>
      <c r="Y332" s="346" t="str">
        <f>IF(Y$260="","",Y$262*VLOOKUP(Y$260&amp;" (All)",'Default Values'!$B$162:$CD$181,MATCH($B332,'Default Values'!$B$101:$CD$101,0),0))</f>
        <v/>
      </c>
      <c r="Z332" s="346" t="str">
        <f>IF(Z$260="","",Z$262*VLOOKUP(Z$260&amp;" (All)",'Default Values'!$B$162:$CD$181,MATCH($B332,'Default Values'!$B$101:$CD$101,0),0))</f>
        <v/>
      </c>
      <c r="AA332" s="346" t="str">
        <f>IF(AA$260="","",AA$262*VLOOKUP(AA$260&amp;" (All)",'Default Values'!$B$162:$CD$181,MATCH($B332,'Default Values'!$B$101:$CD$101,0),0))</f>
        <v/>
      </c>
      <c r="AB332" s="346" t="str">
        <f>IF(AB$260="","",AB$262*VLOOKUP(AB$260&amp;" (All)",'Default Values'!$B$162:$CD$181,MATCH($B332,'Default Values'!$B$101:$CD$101,0),0))</f>
        <v/>
      </c>
      <c r="AC332" s="346" t="str">
        <f>IF(AC$260="","",AC$262*VLOOKUP(AC$260&amp;" (All)",'Default Values'!$B$162:$CD$181,MATCH($B332,'Default Values'!$B$101:$CD$101,0),0))</f>
        <v/>
      </c>
      <c r="AD332" s="346" t="str">
        <f>IF(AD$260="","",AD$262*VLOOKUP(AD$260&amp;" (All)",'Default Values'!$B$162:$CD$181,MATCH($B332,'Default Values'!$B$101:$CD$101,0),0))</f>
        <v/>
      </c>
      <c r="AE332" s="346" t="str">
        <f>IF(AE$260="","",AE$262*VLOOKUP(AE$260&amp;" (All)",'Default Values'!$B$162:$CD$181,MATCH($B332,'Default Values'!$B$101:$CD$101,0),0))</f>
        <v/>
      </c>
      <c r="AF332" s="346" t="str">
        <f>IF(AF$260="","",AF$262*VLOOKUP(AF$260&amp;" (All)",'Default Values'!$B$162:$CD$181,MATCH($B332,'Default Values'!$B$101:$CD$101,0),0))</f>
        <v/>
      </c>
      <c r="AG332" s="346" t="str">
        <f>IF(AG$260="","",AG$262*VLOOKUP(AG$260&amp;" (All)",'Default Values'!$B$162:$CD$181,MATCH($B332,'Default Values'!$B$101:$CD$101,0),0))</f>
        <v/>
      </c>
      <c r="AH332" s="346" t="str">
        <f>IF(AH$260="","",AH$262*VLOOKUP(AH$260&amp;" (All)",'Default Values'!$B$162:$CD$181,MATCH($B332,'Default Values'!$B$101:$CD$101,0),0))</f>
        <v/>
      </c>
      <c r="AI332" s="346" t="str">
        <f>IF(AI$260="","",AI$262*VLOOKUP(AI$260&amp;" (All)",'Default Values'!$B$162:$CD$181,MATCH($B332,'Default Values'!$B$101:$CD$101,0),0))</f>
        <v/>
      </c>
      <c r="AJ332" s="346" t="str">
        <f>IF(AJ$260="","",AJ$262*VLOOKUP(AJ$260&amp;" (All)",'Default Values'!$B$162:$CD$181,MATCH($B332,'Default Values'!$B$101:$CD$101,0),0))</f>
        <v/>
      </c>
      <c r="AK332" s="346" t="str">
        <f>IF(AK$260="","",AK$262*VLOOKUP(AK$260&amp;" (All)",'Default Values'!$B$162:$CD$181,MATCH($B332,'Default Values'!$B$101:$CD$101,0),0))</f>
        <v/>
      </c>
      <c r="AL332" s="346" t="str">
        <f>IF(AL$260="","",AL$262*VLOOKUP(AL$260&amp;" (All)",'Default Values'!$B$162:$CD$181,MATCH($B332,'Default Values'!$B$101:$CD$101,0),0))</f>
        <v/>
      </c>
      <c r="AM332" s="346" t="str">
        <f>IF(AM$260="","",AM$262*VLOOKUP(AM$260&amp;" (All)",'Default Values'!$B$162:$CD$181,MATCH($B332,'Default Values'!$B$101:$CD$101,0),0))</f>
        <v/>
      </c>
      <c r="AN332" s="346" t="str">
        <f>IF(AN$260="","",AN$262*VLOOKUP(AN$260&amp;" (All)",'Default Values'!$B$162:$CD$181,MATCH($B332,'Default Values'!$B$101:$CD$101,0),0))</f>
        <v/>
      </c>
      <c r="AO332" s="346" t="str">
        <f>IF(AO$260="","",AO$262*VLOOKUP(AO$260&amp;" (All)",'Default Values'!$B$162:$CD$181,MATCH($B332,'Default Values'!$B$101:$CD$101,0),0))</f>
        <v/>
      </c>
      <c r="AP332" s="346" t="str">
        <f>IF(AP$260="","",AP$262*VLOOKUP(AP$260&amp;" (All)",'Default Values'!$B$162:$CD$181,MATCH($B332,'Default Values'!$B$101:$CD$101,0),0))</f>
        <v/>
      </c>
      <c r="AQ332" s="346" t="str">
        <f>IF(AQ$260="","",AQ$262*VLOOKUP(AQ$260&amp;" (All)",'Default Values'!$B$162:$CD$181,MATCH($B332,'Default Values'!$B$101:$CD$101,0),0))</f>
        <v/>
      </c>
      <c r="AR332" s="346">
        <f>IF(AR$260="","",AR$262*VLOOKUP(AR$260&amp;" (All)",'Default Values'!$B$162:$CD$181,MATCH($B332,'Default Values'!$B$101:$CD$101,0),0))</f>
        <v>0</v>
      </c>
      <c r="AS332" s="217"/>
      <c r="AT332" s="217"/>
      <c r="AU332" s="217"/>
      <c r="AV332" s="217"/>
      <c r="AW332" s="217"/>
      <c r="AX332" s="217"/>
      <c r="AY332" s="217"/>
      <c r="AZ332" s="217"/>
      <c r="BA332" s="217"/>
      <c r="BB332" s="217"/>
      <c r="BC332" s="217"/>
      <c r="BD332" s="217"/>
      <c r="BE332" s="217"/>
      <c r="BF332" s="217"/>
      <c r="BG332" s="217"/>
      <c r="BH332" s="217"/>
      <c r="BI332" s="217"/>
      <c r="BJ332" s="217"/>
      <c r="BK332" s="217"/>
      <c r="BL332" s="217"/>
      <c r="BM332" s="217"/>
      <c r="BN332" s="217"/>
      <c r="BO332" s="217"/>
      <c r="BP332" s="217"/>
      <c r="BQ332" s="217"/>
      <c r="BR332" s="217"/>
      <c r="BS332" s="217"/>
      <c r="BT332" s="217"/>
      <c r="BU332" s="217"/>
      <c r="BV332" s="217"/>
      <c r="BW332" s="217"/>
      <c r="BX332" s="217"/>
      <c r="BY332" s="217"/>
      <c r="BZ332" s="217"/>
      <c r="CA332" s="217"/>
      <c r="CB332" s="217"/>
      <c r="CC332" s="217"/>
      <c r="CD332" s="217"/>
      <c r="CE332" s="217"/>
      <c r="CF332" s="217"/>
      <c r="CG332" s="217"/>
      <c r="CH332" s="217"/>
      <c r="CI332" s="217"/>
      <c r="CJ332" s="217"/>
      <c r="CK332" s="217"/>
      <c r="CL332" s="217"/>
      <c r="CM332" s="217"/>
      <c r="CN332" s="217"/>
      <c r="CO332" s="217"/>
      <c r="CP332" s="217"/>
      <c r="CQ332" s="217"/>
      <c r="CR332" s="217"/>
      <c r="CS332" s="217"/>
      <c r="CT332" s="217"/>
      <c r="CU332" s="217"/>
      <c r="CV332" s="217"/>
      <c r="CW332" s="217"/>
      <c r="CX332" s="217"/>
      <c r="CY332" s="217"/>
      <c r="CZ332" s="217"/>
      <c r="DA332" s="217"/>
      <c r="DB332" s="217"/>
      <c r="DC332" s="217"/>
      <c r="DD332" s="217"/>
      <c r="DE332" s="217"/>
      <c r="DF332" s="217"/>
      <c r="DG332" s="217"/>
      <c r="DH332" s="217"/>
      <c r="DI332" s="217"/>
      <c r="DJ332" s="217"/>
      <c r="DK332" s="217"/>
      <c r="DL332" s="217"/>
      <c r="DM332" s="217"/>
      <c r="DN332" s="217"/>
      <c r="DO332" s="217"/>
      <c r="DP332" s="217"/>
      <c r="DQ332" s="217"/>
      <c r="DR332" s="217"/>
      <c r="DS332" s="217"/>
      <c r="DT332" s="217"/>
    </row>
    <row r="333" spans="1:124" x14ac:dyDescent="0.3">
      <c r="A333" s="217"/>
      <c r="B333" s="342" t="s">
        <v>269</v>
      </c>
      <c r="C333" s="345">
        <f t="shared" si="341"/>
        <v>0</v>
      </c>
      <c r="D333" s="346" t="str">
        <f>IF(D$260="","",D$262*VLOOKUP(D$260&amp;" (All)",'Default Values'!$B$162:$CD$181,MATCH($B333,'Default Values'!$B$101:$CD$101,0),0))</f>
        <v/>
      </c>
      <c r="E333" s="346" t="str">
        <f>IF(E$260="","",E$262*VLOOKUP(E$260&amp;" (All)",'Default Values'!$B$162:$CD$181,MATCH($B333,'Default Values'!$B$101:$CD$101,0),0))</f>
        <v/>
      </c>
      <c r="F333" s="346" t="str">
        <f>IF(F$260="","",F$262*VLOOKUP(F$260&amp;" (All)",'Default Values'!$B$162:$CD$181,MATCH($B333,'Default Values'!$B$101:$CD$101,0),0))</f>
        <v/>
      </c>
      <c r="G333" s="346" t="str">
        <f>IF(G$260="","",G$262*VLOOKUP(G$260&amp;" (All)",'Default Values'!$B$162:$CD$181,MATCH($B333,'Default Values'!$B$101:$CD$101,0),0))</f>
        <v/>
      </c>
      <c r="H333" s="346" t="str">
        <f>IF(H$260="","",H$262*VLOOKUP(H$260&amp;" (All)",'Default Values'!$B$162:$CD$181,MATCH($B333,'Default Values'!$B$101:$CD$101,0),0))</f>
        <v/>
      </c>
      <c r="I333" s="346" t="str">
        <f>IF(I$260="","",I$262*VLOOKUP(I$260&amp;" (All)",'Default Values'!$B$162:$CD$181,MATCH($B333,'Default Values'!$B$101:$CD$101,0),0))</f>
        <v/>
      </c>
      <c r="J333" s="346" t="str">
        <f>IF(J$260="","",J$262*VLOOKUP(J$260&amp;" (All)",'Default Values'!$B$162:$CD$181,MATCH($B333,'Default Values'!$B$101:$CD$101,0),0))</f>
        <v/>
      </c>
      <c r="K333" s="346" t="str">
        <f>IF(K$260="","",K$262*VLOOKUP(K$260&amp;" (All)",'Default Values'!$B$162:$CD$181,MATCH($B333,'Default Values'!$B$101:$CD$101,0),0))</f>
        <v/>
      </c>
      <c r="L333" s="346" t="str">
        <f>IF(L$260="","",L$262*VLOOKUP(L$260&amp;" (All)",'Default Values'!$B$162:$CD$181,MATCH($B333,'Default Values'!$B$101:$CD$101,0),0))</f>
        <v/>
      </c>
      <c r="M333" s="346" t="str">
        <f>IF(M$260="","",M$262*VLOOKUP(M$260&amp;" (All)",'Default Values'!$B$162:$CD$181,MATCH($B333,'Default Values'!$B$101:$CD$101,0),0))</f>
        <v/>
      </c>
      <c r="N333" s="346" t="str">
        <f>IF(N$260="","",N$262*VLOOKUP(N$260&amp;" (All)",'Default Values'!$B$162:$CD$181,MATCH($B333,'Default Values'!$B$101:$CD$101,0),0))</f>
        <v/>
      </c>
      <c r="O333" s="346" t="str">
        <f>IF(O$260="","",O$262*VLOOKUP(O$260&amp;" (All)",'Default Values'!$B$162:$CD$181,MATCH($B333,'Default Values'!$B$101:$CD$101,0),0))</f>
        <v/>
      </c>
      <c r="P333" s="346" t="str">
        <f>IF(P$260="","",P$262*VLOOKUP(P$260&amp;" (All)",'Default Values'!$B$162:$CD$181,MATCH($B333,'Default Values'!$B$101:$CD$101,0),0))</f>
        <v/>
      </c>
      <c r="Q333" s="346" t="str">
        <f>IF(Q$260="","",Q$262*VLOOKUP(Q$260&amp;" (All)",'Default Values'!$B$162:$CD$181,MATCH($B333,'Default Values'!$B$101:$CD$101,0),0))</f>
        <v/>
      </c>
      <c r="R333" s="346" t="str">
        <f>IF(R$260="","",R$262*VLOOKUP(R$260&amp;" (All)",'Default Values'!$B$162:$CD$181,MATCH($B333,'Default Values'!$B$101:$CD$101,0),0))</f>
        <v/>
      </c>
      <c r="S333" s="346" t="str">
        <f>IF(S$260="","",S$262*VLOOKUP(S$260&amp;" (All)",'Default Values'!$B$162:$CD$181,MATCH($B333,'Default Values'!$B$101:$CD$101,0),0))</f>
        <v/>
      </c>
      <c r="T333" s="346" t="str">
        <f>IF(T$260="","",T$262*VLOOKUP(T$260&amp;" (All)",'Default Values'!$B$162:$CD$181,MATCH($B333,'Default Values'!$B$101:$CD$101,0),0))</f>
        <v/>
      </c>
      <c r="U333" s="346" t="str">
        <f>IF(U$260="","",U$262*VLOOKUP(U$260&amp;" (All)",'Default Values'!$B$162:$CD$181,MATCH($B333,'Default Values'!$B$101:$CD$101,0),0))</f>
        <v/>
      </c>
      <c r="V333" s="346" t="str">
        <f>IF(V$260="","",V$262*VLOOKUP(V$260&amp;" (All)",'Default Values'!$B$162:$CD$181,MATCH($B333,'Default Values'!$B$101:$CD$101,0),0))</f>
        <v/>
      </c>
      <c r="W333" s="346" t="str">
        <f>IF(W$260="","",W$262*VLOOKUP(W$260&amp;" (All)",'Default Values'!$B$162:$CD$181,MATCH($B333,'Default Values'!$B$101:$CD$101,0),0))</f>
        <v/>
      </c>
      <c r="X333" s="346" t="str">
        <f>IF(X$260="","",X$262*VLOOKUP(X$260&amp;" (All)",'Default Values'!$B$162:$CD$181,MATCH($B333,'Default Values'!$B$101:$CD$101,0),0))</f>
        <v/>
      </c>
      <c r="Y333" s="346" t="str">
        <f>IF(Y$260="","",Y$262*VLOOKUP(Y$260&amp;" (All)",'Default Values'!$B$162:$CD$181,MATCH($B333,'Default Values'!$B$101:$CD$101,0),0))</f>
        <v/>
      </c>
      <c r="Z333" s="346" t="str">
        <f>IF(Z$260="","",Z$262*VLOOKUP(Z$260&amp;" (All)",'Default Values'!$B$162:$CD$181,MATCH($B333,'Default Values'!$B$101:$CD$101,0),0))</f>
        <v/>
      </c>
      <c r="AA333" s="346" t="str">
        <f>IF(AA$260="","",AA$262*VLOOKUP(AA$260&amp;" (All)",'Default Values'!$B$162:$CD$181,MATCH($B333,'Default Values'!$B$101:$CD$101,0),0))</f>
        <v/>
      </c>
      <c r="AB333" s="346" t="str">
        <f>IF(AB$260="","",AB$262*VLOOKUP(AB$260&amp;" (All)",'Default Values'!$B$162:$CD$181,MATCH($B333,'Default Values'!$B$101:$CD$101,0),0))</f>
        <v/>
      </c>
      <c r="AC333" s="346" t="str">
        <f>IF(AC$260="","",AC$262*VLOOKUP(AC$260&amp;" (All)",'Default Values'!$B$162:$CD$181,MATCH($B333,'Default Values'!$B$101:$CD$101,0),0))</f>
        <v/>
      </c>
      <c r="AD333" s="346" t="str">
        <f>IF(AD$260="","",AD$262*VLOOKUP(AD$260&amp;" (All)",'Default Values'!$B$162:$CD$181,MATCH($B333,'Default Values'!$B$101:$CD$101,0),0))</f>
        <v/>
      </c>
      <c r="AE333" s="346" t="str">
        <f>IF(AE$260="","",AE$262*VLOOKUP(AE$260&amp;" (All)",'Default Values'!$B$162:$CD$181,MATCH($B333,'Default Values'!$B$101:$CD$101,0),0))</f>
        <v/>
      </c>
      <c r="AF333" s="346" t="str">
        <f>IF(AF$260="","",AF$262*VLOOKUP(AF$260&amp;" (All)",'Default Values'!$B$162:$CD$181,MATCH($B333,'Default Values'!$B$101:$CD$101,0),0))</f>
        <v/>
      </c>
      <c r="AG333" s="346" t="str">
        <f>IF(AG$260="","",AG$262*VLOOKUP(AG$260&amp;" (All)",'Default Values'!$B$162:$CD$181,MATCH($B333,'Default Values'!$B$101:$CD$101,0),0))</f>
        <v/>
      </c>
      <c r="AH333" s="346" t="str">
        <f>IF(AH$260="","",AH$262*VLOOKUP(AH$260&amp;" (All)",'Default Values'!$B$162:$CD$181,MATCH($B333,'Default Values'!$B$101:$CD$101,0),0))</f>
        <v/>
      </c>
      <c r="AI333" s="346" t="str">
        <f>IF(AI$260="","",AI$262*VLOOKUP(AI$260&amp;" (All)",'Default Values'!$B$162:$CD$181,MATCH($B333,'Default Values'!$B$101:$CD$101,0),0))</f>
        <v/>
      </c>
      <c r="AJ333" s="346" t="str">
        <f>IF(AJ$260="","",AJ$262*VLOOKUP(AJ$260&amp;" (All)",'Default Values'!$B$162:$CD$181,MATCH($B333,'Default Values'!$B$101:$CD$101,0),0))</f>
        <v/>
      </c>
      <c r="AK333" s="346" t="str">
        <f>IF(AK$260="","",AK$262*VLOOKUP(AK$260&amp;" (All)",'Default Values'!$B$162:$CD$181,MATCH($B333,'Default Values'!$B$101:$CD$101,0),0))</f>
        <v/>
      </c>
      <c r="AL333" s="346" t="str">
        <f>IF(AL$260="","",AL$262*VLOOKUP(AL$260&amp;" (All)",'Default Values'!$B$162:$CD$181,MATCH($B333,'Default Values'!$B$101:$CD$101,0),0))</f>
        <v/>
      </c>
      <c r="AM333" s="346" t="str">
        <f>IF(AM$260="","",AM$262*VLOOKUP(AM$260&amp;" (All)",'Default Values'!$B$162:$CD$181,MATCH($B333,'Default Values'!$B$101:$CD$101,0),0))</f>
        <v/>
      </c>
      <c r="AN333" s="346" t="str">
        <f>IF(AN$260="","",AN$262*VLOOKUP(AN$260&amp;" (All)",'Default Values'!$B$162:$CD$181,MATCH($B333,'Default Values'!$B$101:$CD$101,0),0))</f>
        <v/>
      </c>
      <c r="AO333" s="346" t="str">
        <f>IF(AO$260="","",AO$262*VLOOKUP(AO$260&amp;" (All)",'Default Values'!$B$162:$CD$181,MATCH($B333,'Default Values'!$B$101:$CD$101,0),0))</f>
        <v/>
      </c>
      <c r="AP333" s="346" t="str">
        <f>IF(AP$260="","",AP$262*VLOOKUP(AP$260&amp;" (All)",'Default Values'!$B$162:$CD$181,MATCH($B333,'Default Values'!$B$101:$CD$101,0),0))</f>
        <v/>
      </c>
      <c r="AQ333" s="346" t="str">
        <f>IF(AQ$260="","",AQ$262*VLOOKUP(AQ$260&amp;" (All)",'Default Values'!$B$162:$CD$181,MATCH($B333,'Default Values'!$B$101:$CD$101,0),0))</f>
        <v/>
      </c>
      <c r="AR333" s="346">
        <f>IF(AR$260="","",AR$262*VLOOKUP(AR$260&amp;" (All)",'Default Values'!$B$162:$CD$181,MATCH($B333,'Default Values'!$B$101:$CD$101,0),0))</f>
        <v>0</v>
      </c>
      <c r="AS333" s="217"/>
      <c r="AT333" s="217"/>
      <c r="AU333" s="217"/>
      <c r="AV333" s="217"/>
      <c r="AW333" s="217"/>
      <c r="AX333" s="217"/>
      <c r="AY333" s="217"/>
      <c r="AZ333" s="217"/>
      <c r="BA333" s="217"/>
      <c r="BB333" s="217"/>
      <c r="BC333" s="217"/>
      <c r="BD333" s="217"/>
      <c r="BE333" s="217"/>
      <c r="BF333" s="217"/>
      <c r="BG333" s="217"/>
      <c r="BH333" s="217"/>
      <c r="BI333" s="217"/>
      <c r="BJ333" s="217"/>
      <c r="BK333" s="217"/>
      <c r="BL333" s="217"/>
      <c r="BM333" s="217"/>
      <c r="BN333" s="217"/>
      <c r="BO333" s="217"/>
      <c r="BP333" s="217"/>
      <c r="BQ333" s="217"/>
      <c r="BR333" s="217"/>
      <c r="BS333" s="217"/>
      <c r="BT333" s="217"/>
      <c r="BU333" s="217"/>
      <c r="BV333" s="217"/>
      <c r="BW333" s="217"/>
      <c r="BX333" s="217"/>
      <c r="BY333" s="217"/>
      <c r="BZ333" s="217"/>
      <c r="CA333" s="217"/>
      <c r="CB333" s="217"/>
      <c r="CC333" s="217"/>
      <c r="CD333" s="217"/>
      <c r="CE333" s="217"/>
      <c r="CF333" s="217"/>
      <c r="CG333" s="217"/>
      <c r="CH333" s="217"/>
      <c r="CI333" s="217"/>
      <c r="CJ333" s="217"/>
      <c r="CK333" s="217"/>
      <c r="CL333" s="217"/>
      <c r="CM333" s="217"/>
      <c r="CN333" s="217"/>
      <c r="CO333" s="217"/>
      <c r="CP333" s="217"/>
      <c r="CQ333" s="217"/>
      <c r="CR333" s="217"/>
      <c r="CS333" s="217"/>
      <c r="CT333" s="217"/>
      <c r="CU333" s="217"/>
      <c r="CV333" s="217"/>
      <c r="CW333" s="217"/>
      <c r="CX333" s="217"/>
      <c r="CY333" s="217"/>
      <c r="CZ333" s="217"/>
      <c r="DA333" s="217"/>
      <c r="DB333" s="217"/>
      <c r="DC333" s="217"/>
      <c r="DD333" s="217"/>
      <c r="DE333" s="217"/>
      <c r="DF333" s="217"/>
      <c r="DG333" s="217"/>
      <c r="DH333" s="217"/>
      <c r="DI333" s="217"/>
      <c r="DJ333" s="217"/>
      <c r="DK333" s="217"/>
      <c r="DL333" s="217"/>
      <c r="DM333" s="217"/>
      <c r="DN333" s="217"/>
      <c r="DO333" s="217"/>
      <c r="DP333" s="217"/>
      <c r="DQ333" s="217"/>
      <c r="DR333" s="217"/>
      <c r="DS333" s="217"/>
      <c r="DT333" s="217"/>
    </row>
    <row r="334" spans="1:124" x14ac:dyDescent="0.3">
      <c r="A334" s="217"/>
      <c r="B334" s="342" t="s">
        <v>126</v>
      </c>
      <c r="C334" s="345">
        <f t="shared" si="341"/>
        <v>0</v>
      </c>
      <c r="D334" s="346" t="str">
        <f>IF(D$260="","",D$262*VLOOKUP(D$260&amp;" (All)",'Default Values'!$B$162:$CD$181,MATCH($B334,'Default Values'!$B$101:$CD$101,0),0))</f>
        <v/>
      </c>
      <c r="E334" s="346" t="str">
        <f>IF(E$260="","",E$262*VLOOKUP(E$260&amp;" (All)",'Default Values'!$B$162:$CD$181,MATCH($B334,'Default Values'!$B$101:$CD$101,0),0))</f>
        <v/>
      </c>
      <c r="F334" s="346" t="str">
        <f>IF(F$260="","",F$262*VLOOKUP(F$260&amp;" (All)",'Default Values'!$B$162:$CD$181,MATCH($B334,'Default Values'!$B$101:$CD$101,0),0))</f>
        <v/>
      </c>
      <c r="G334" s="346" t="str">
        <f>IF(G$260="","",G$262*VLOOKUP(G$260&amp;" (All)",'Default Values'!$B$162:$CD$181,MATCH($B334,'Default Values'!$B$101:$CD$101,0),0))</f>
        <v/>
      </c>
      <c r="H334" s="346" t="str">
        <f>IF(H$260="","",H$262*VLOOKUP(H$260&amp;" (All)",'Default Values'!$B$162:$CD$181,MATCH($B334,'Default Values'!$B$101:$CD$101,0),0))</f>
        <v/>
      </c>
      <c r="I334" s="346" t="str">
        <f>IF(I$260="","",I$262*VLOOKUP(I$260&amp;" (All)",'Default Values'!$B$162:$CD$181,MATCH($B334,'Default Values'!$B$101:$CD$101,0),0))</f>
        <v/>
      </c>
      <c r="J334" s="346" t="str">
        <f>IF(J$260="","",J$262*VLOOKUP(J$260&amp;" (All)",'Default Values'!$B$162:$CD$181,MATCH($B334,'Default Values'!$B$101:$CD$101,0),0))</f>
        <v/>
      </c>
      <c r="K334" s="346" t="str">
        <f>IF(K$260="","",K$262*VLOOKUP(K$260&amp;" (All)",'Default Values'!$B$162:$CD$181,MATCH($B334,'Default Values'!$B$101:$CD$101,0),0))</f>
        <v/>
      </c>
      <c r="L334" s="346" t="str">
        <f>IF(L$260="","",L$262*VLOOKUP(L$260&amp;" (All)",'Default Values'!$B$162:$CD$181,MATCH($B334,'Default Values'!$B$101:$CD$101,0),0))</f>
        <v/>
      </c>
      <c r="M334" s="346" t="str">
        <f>IF(M$260="","",M$262*VLOOKUP(M$260&amp;" (All)",'Default Values'!$B$162:$CD$181,MATCH($B334,'Default Values'!$B$101:$CD$101,0),0))</f>
        <v/>
      </c>
      <c r="N334" s="346" t="str">
        <f>IF(N$260="","",N$262*VLOOKUP(N$260&amp;" (All)",'Default Values'!$B$162:$CD$181,MATCH($B334,'Default Values'!$B$101:$CD$101,0),0))</f>
        <v/>
      </c>
      <c r="O334" s="346" t="str">
        <f>IF(O$260="","",O$262*VLOOKUP(O$260&amp;" (All)",'Default Values'!$B$162:$CD$181,MATCH($B334,'Default Values'!$B$101:$CD$101,0),0))</f>
        <v/>
      </c>
      <c r="P334" s="346" t="str">
        <f>IF(P$260="","",P$262*VLOOKUP(P$260&amp;" (All)",'Default Values'!$B$162:$CD$181,MATCH($B334,'Default Values'!$B$101:$CD$101,0),0))</f>
        <v/>
      </c>
      <c r="Q334" s="346" t="str">
        <f>IF(Q$260="","",Q$262*VLOOKUP(Q$260&amp;" (All)",'Default Values'!$B$162:$CD$181,MATCH($B334,'Default Values'!$B$101:$CD$101,0),0))</f>
        <v/>
      </c>
      <c r="R334" s="346" t="str">
        <f>IF(R$260="","",R$262*VLOOKUP(R$260&amp;" (All)",'Default Values'!$B$162:$CD$181,MATCH($B334,'Default Values'!$B$101:$CD$101,0),0))</f>
        <v/>
      </c>
      <c r="S334" s="346" t="str">
        <f>IF(S$260="","",S$262*VLOOKUP(S$260&amp;" (All)",'Default Values'!$B$162:$CD$181,MATCH($B334,'Default Values'!$B$101:$CD$101,0),0))</f>
        <v/>
      </c>
      <c r="T334" s="346" t="str">
        <f>IF(T$260="","",T$262*VLOOKUP(T$260&amp;" (All)",'Default Values'!$B$162:$CD$181,MATCH($B334,'Default Values'!$B$101:$CD$101,0),0))</f>
        <v/>
      </c>
      <c r="U334" s="346" t="str">
        <f>IF(U$260="","",U$262*VLOOKUP(U$260&amp;" (All)",'Default Values'!$B$162:$CD$181,MATCH($B334,'Default Values'!$B$101:$CD$101,0),0))</f>
        <v/>
      </c>
      <c r="V334" s="346" t="str">
        <f>IF(V$260="","",V$262*VLOOKUP(V$260&amp;" (All)",'Default Values'!$B$162:$CD$181,MATCH($B334,'Default Values'!$B$101:$CD$101,0),0))</f>
        <v/>
      </c>
      <c r="W334" s="346" t="str">
        <f>IF(W$260="","",W$262*VLOOKUP(W$260&amp;" (All)",'Default Values'!$B$162:$CD$181,MATCH($B334,'Default Values'!$B$101:$CD$101,0),0))</f>
        <v/>
      </c>
      <c r="X334" s="346" t="str">
        <f>IF(X$260="","",X$262*VLOOKUP(X$260&amp;" (All)",'Default Values'!$B$162:$CD$181,MATCH($B334,'Default Values'!$B$101:$CD$101,0),0))</f>
        <v/>
      </c>
      <c r="Y334" s="346" t="str">
        <f>IF(Y$260="","",Y$262*VLOOKUP(Y$260&amp;" (All)",'Default Values'!$B$162:$CD$181,MATCH($B334,'Default Values'!$B$101:$CD$101,0),0))</f>
        <v/>
      </c>
      <c r="Z334" s="346" t="str">
        <f>IF(Z$260="","",Z$262*VLOOKUP(Z$260&amp;" (All)",'Default Values'!$B$162:$CD$181,MATCH($B334,'Default Values'!$B$101:$CD$101,0),0))</f>
        <v/>
      </c>
      <c r="AA334" s="346" t="str">
        <f>IF(AA$260="","",AA$262*VLOOKUP(AA$260&amp;" (All)",'Default Values'!$B$162:$CD$181,MATCH($B334,'Default Values'!$B$101:$CD$101,0),0))</f>
        <v/>
      </c>
      <c r="AB334" s="346" t="str">
        <f>IF(AB$260="","",AB$262*VLOOKUP(AB$260&amp;" (All)",'Default Values'!$B$162:$CD$181,MATCH($B334,'Default Values'!$B$101:$CD$101,0),0))</f>
        <v/>
      </c>
      <c r="AC334" s="346" t="str">
        <f>IF(AC$260="","",AC$262*VLOOKUP(AC$260&amp;" (All)",'Default Values'!$B$162:$CD$181,MATCH($B334,'Default Values'!$B$101:$CD$101,0),0))</f>
        <v/>
      </c>
      <c r="AD334" s="346" t="str">
        <f>IF(AD$260="","",AD$262*VLOOKUP(AD$260&amp;" (All)",'Default Values'!$B$162:$CD$181,MATCH($B334,'Default Values'!$B$101:$CD$101,0),0))</f>
        <v/>
      </c>
      <c r="AE334" s="346" t="str">
        <f>IF(AE$260="","",AE$262*VLOOKUP(AE$260&amp;" (All)",'Default Values'!$B$162:$CD$181,MATCH($B334,'Default Values'!$B$101:$CD$101,0),0))</f>
        <v/>
      </c>
      <c r="AF334" s="346" t="str">
        <f>IF(AF$260="","",AF$262*VLOOKUP(AF$260&amp;" (All)",'Default Values'!$B$162:$CD$181,MATCH($B334,'Default Values'!$B$101:$CD$101,0),0))</f>
        <v/>
      </c>
      <c r="AG334" s="346" t="str">
        <f>IF(AG$260="","",AG$262*VLOOKUP(AG$260&amp;" (All)",'Default Values'!$B$162:$CD$181,MATCH($B334,'Default Values'!$B$101:$CD$101,0),0))</f>
        <v/>
      </c>
      <c r="AH334" s="346" t="str">
        <f>IF(AH$260="","",AH$262*VLOOKUP(AH$260&amp;" (All)",'Default Values'!$B$162:$CD$181,MATCH($B334,'Default Values'!$B$101:$CD$101,0),0))</f>
        <v/>
      </c>
      <c r="AI334" s="346" t="str">
        <f>IF(AI$260="","",AI$262*VLOOKUP(AI$260&amp;" (All)",'Default Values'!$B$162:$CD$181,MATCH($B334,'Default Values'!$B$101:$CD$101,0),0))</f>
        <v/>
      </c>
      <c r="AJ334" s="346" t="str">
        <f>IF(AJ$260="","",AJ$262*VLOOKUP(AJ$260&amp;" (All)",'Default Values'!$B$162:$CD$181,MATCH($B334,'Default Values'!$B$101:$CD$101,0),0))</f>
        <v/>
      </c>
      <c r="AK334" s="346" t="str">
        <f>IF(AK$260="","",AK$262*VLOOKUP(AK$260&amp;" (All)",'Default Values'!$B$162:$CD$181,MATCH($B334,'Default Values'!$B$101:$CD$101,0),0))</f>
        <v/>
      </c>
      <c r="AL334" s="346" t="str">
        <f>IF(AL$260="","",AL$262*VLOOKUP(AL$260&amp;" (All)",'Default Values'!$B$162:$CD$181,MATCH($B334,'Default Values'!$B$101:$CD$101,0),0))</f>
        <v/>
      </c>
      <c r="AM334" s="346" t="str">
        <f>IF(AM$260="","",AM$262*VLOOKUP(AM$260&amp;" (All)",'Default Values'!$B$162:$CD$181,MATCH($B334,'Default Values'!$B$101:$CD$101,0),0))</f>
        <v/>
      </c>
      <c r="AN334" s="346" t="str">
        <f>IF(AN$260="","",AN$262*VLOOKUP(AN$260&amp;" (All)",'Default Values'!$B$162:$CD$181,MATCH($B334,'Default Values'!$B$101:$CD$101,0),0))</f>
        <v/>
      </c>
      <c r="AO334" s="346" t="str">
        <f>IF(AO$260="","",AO$262*VLOOKUP(AO$260&amp;" (All)",'Default Values'!$B$162:$CD$181,MATCH($B334,'Default Values'!$B$101:$CD$101,0),0))</f>
        <v/>
      </c>
      <c r="AP334" s="346" t="str">
        <f>IF(AP$260="","",AP$262*VLOOKUP(AP$260&amp;" (All)",'Default Values'!$B$162:$CD$181,MATCH($B334,'Default Values'!$B$101:$CD$101,0),0))</f>
        <v/>
      </c>
      <c r="AQ334" s="346" t="str">
        <f>IF(AQ$260="","",AQ$262*VLOOKUP(AQ$260&amp;" (All)",'Default Values'!$B$162:$CD$181,MATCH($B334,'Default Values'!$B$101:$CD$101,0),0))</f>
        <v/>
      </c>
      <c r="AR334" s="346">
        <f>IF(AR$260="","",AR$262*VLOOKUP(AR$260&amp;" (All)",'Default Values'!$B$162:$CD$181,MATCH($B334,'Default Values'!$B$101:$CD$101,0),0))</f>
        <v>0</v>
      </c>
      <c r="AS334" s="217"/>
      <c r="AT334" s="217"/>
      <c r="AU334" s="217"/>
      <c r="AV334" s="217"/>
      <c r="AW334" s="217"/>
      <c r="AX334" s="217"/>
      <c r="AY334" s="217"/>
      <c r="AZ334" s="217"/>
      <c r="BA334" s="217"/>
      <c r="BB334" s="217"/>
      <c r="BC334" s="217"/>
      <c r="BD334" s="217"/>
      <c r="BE334" s="217"/>
      <c r="BF334" s="217"/>
      <c r="BG334" s="217"/>
      <c r="BH334" s="217"/>
      <c r="BI334" s="217"/>
      <c r="BJ334" s="217"/>
      <c r="BK334" s="217"/>
      <c r="BL334" s="217"/>
      <c r="BM334" s="217"/>
      <c r="BN334" s="217"/>
      <c r="BO334" s="217"/>
      <c r="BP334" s="217"/>
      <c r="BQ334" s="217"/>
      <c r="BR334" s="217"/>
      <c r="BS334" s="217"/>
      <c r="BT334" s="217"/>
      <c r="BU334" s="217"/>
      <c r="BV334" s="217"/>
      <c r="BW334" s="217"/>
      <c r="BX334" s="217"/>
      <c r="BY334" s="217"/>
      <c r="BZ334" s="217"/>
      <c r="CA334" s="217"/>
      <c r="CB334" s="217"/>
      <c r="CC334" s="217"/>
      <c r="CD334" s="217"/>
      <c r="CE334" s="217"/>
      <c r="CF334" s="217"/>
      <c r="CG334" s="217"/>
      <c r="CH334" s="217"/>
      <c r="CI334" s="217"/>
      <c r="CJ334" s="217"/>
      <c r="CK334" s="217"/>
      <c r="CL334" s="217"/>
      <c r="CM334" s="217"/>
      <c r="CN334" s="217"/>
      <c r="CO334" s="217"/>
      <c r="CP334" s="217"/>
      <c r="CQ334" s="217"/>
      <c r="CR334" s="217"/>
      <c r="CS334" s="217"/>
      <c r="CT334" s="217"/>
      <c r="CU334" s="217"/>
      <c r="CV334" s="217"/>
      <c r="CW334" s="217"/>
      <c r="CX334" s="217"/>
      <c r="CY334" s="217"/>
      <c r="CZ334" s="217"/>
      <c r="DA334" s="217"/>
      <c r="DB334" s="217"/>
      <c r="DC334" s="217"/>
      <c r="DD334" s="217"/>
      <c r="DE334" s="217"/>
      <c r="DF334" s="217"/>
      <c r="DG334" s="217"/>
      <c r="DH334" s="217"/>
      <c r="DI334" s="217"/>
      <c r="DJ334" s="217"/>
      <c r="DK334" s="217"/>
      <c r="DL334" s="217"/>
      <c r="DM334" s="217"/>
      <c r="DN334" s="217"/>
      <c r="DO334" s="217"/>
      <c r="DP334" s="217"/>
      <c r="DQ334" s="217"/>
      <c r="DR334" s="217"/>
      <c r="DS334" s="217"/>
      <c r="DT334" s="217"/>
    </row>
    <row r="335" spans="1:124" x14ac:dyDescent="0.3">
      <c r="A335" s="217"/>
      <c r="B335" s="342" t="s">
        <v>272</v>
      </c>
      <c r="C335" s="345">
        <f t="shared" si="341"/>
        <v>0</v>
      </c>
      <c r="D335" s="346" t="str">
        <f>IF(D$260="","",D$262*VLOOKUP(D$260&amp;" (All)",'Default Values'!$B$162:$CD$181,MATCH($B335,'Default Values'!$B$101:$CD$101,0),0))</f>
        <v/>
      </c>
      <c r="E335" s="346" t="str">
        <f>IF(E$260="","",E$262*VLOOKUP(E$260&amp;" (All)",'Default Values'!$B$162:$CD$181,MATCH($B335,'Default Values'!$B$101:$CD$101,0),0))</f>
        <v/>
      </c>
      <c r="F335" s="346" t="str">
        <f>IF(F$260="","",F$262*VLOOKUP(F$260&amp;" (All)",'Default Values'!$B$162:$CD$181,MATCH($B335,'Default Values'!$B$101:$CD$101,0),0))</f>
        <v/>
      </c>
      <c r="G335" s="346" t="str">
        <f>IF(G$260="","",G$262*VLOOKUP(G$260&amp;" (All)",'Default Values'!$B$162:$CD$181,MATCH($B335,'Default Values'!$B$101:$CD$101,0),0))</f>
        <v/>
      </c>
      <c r="H335" s="346" t="str">
        <f>IF(H$260="","",H$262*VLOOKUP(H$260&amp;" (All)",'Default Values'!$B$162:$CD$181,MATCH($B335,'Default Values'!$B$101:$CD$101,0),0))</f>
        <v/>
      </c>
      <c r="I335" s="346" t="str">
        <f>IF(I$260="","",I$262*VLOOKUP(I$260&amp;" (All)",'Default Values'!$B$162:$CD$181,MATCH($B335,'Default Values'!$B$101:$CD$101,0),0))</f>
        <v/>
      </c>
      <c r="J335" s="346" t="str">
        <f>IF(J$260="","",J$262*VLOOKUP(J$260&amp;" (All)",'Default Values'!$B$162:$CD$181,MATCH($B335,'Default Values'!$B$101:$CD$101,0),0))</f>
        <v/>
      </c>
      <c r="K335" s="346" t="str">
        <f>IF(K$260="","",K$262*VLOOKUP(K$260&amp;" (All)",'Default Values'!$B$162:$CD$181,MATCH($B335,'Default Values'!$B$101:$CD$101,0),0))</f>
        <v/>
      </c>
      <c r="L335" s="346" t="str">
        <f>IF(L$260="","",L$262*VLOOKUP(L$260&amp;" (All)",'Default Values'!$B$162:$CD$181,MATCH($B335,'Default Values'!$B$101:$CD$101,0),0))</f>
        <v/>
      </c>
      <c r="M335" s="346" t="str">
        <f>IF(M$260="","",M$262*VLOOKUP(M$260&amp;" (All)",'Default Values'!$B$162:$CD$181,MATCH($B335,'Default Values'!$B$101:$CD$101,0),0))</f>
        <v/>
      </c>
      <c r="N335" s="346" t="str">
        <f>IF(N$260="","",N$262*VLOOKUP(N$260&amp;" (All)",'Default Values'!$B$162:$CD$181,MATCH($B335,'Default Values'!$B$101:$CD$101,0),0))</f>
        <v/>
      </c>
      <c r="O335" s="346" t="str">
        <f>IF(O$260="","",O$262*VLOOKUP(O$260&amp;" (All)",'Default Values'!$B$162:$CD$181,MATCH($B335,'Default Values'!$B$101:$CD$101,0),0))</f>
        <v/>
      </c>
      <c r="P335" s="346" t="str">
        <f>IF(P$260="","",P$262*VLOOKUP(P$260&amp;" (All)",'Default Values'!$B$162:$CD$181,MATCH($B335,'Default Values'!$B$101:$CD$101,0),0))</f>
        <v/>
      </c>
      <c r="Q335" s="346" t="str">
        <f>IF(Q$260="","",Q$262*VLOOKUP(Q$260&amp;" (All)",'Default Values'!$B$162:$CD$181,MATCH($B335,'Default Values'!$B$101:$CD$101,0),0))</f>
        <v/>
      </c>
      <c r="R335" s="346" t="str">
        <f>IF(R$260="","",R$262*VLOOKUP(R$260&amp;" (All)",'Default Values'!$B$162:$CD$181,MATCH($B335,'Default Values'!$B$101:$CD$101,0),0))</f>
        <v/>
      </c>
      <c r="S335" s="346" t="str">
        <f>IF(S$260="","",S$262*VLOOKUP(S$260&amp;" (All)",'Default Values'!$B$162:$CD$181,MATCH($B335,'Default Values'!$B$101:$CD$101,0),0))</f>
        <v/>
      </c>
      <c r="T335" s="346" t="str">
        <f>IF(T$260="","",T$262*VLOOKUP(T$260&amp;" (All)",'Default Values'!$B$162:$CD$181,MATCH($B335,'Default Values'!$B$101:$CD$101,0),0))</f>
        <v/>
      </c>
      <c r="U335" s="346" t="str">
        <f>IF(U$260="","",U$262*VLOOKUP(U$260&amp;" (All)",'Default Values'!$B$162:$CD$181,MATCH($B335,'Default Values'!$B$101:$CD$101,0),0))</f>
        <v/>
      </c>
      <c r="V335" s="346" t="str">
        <f>IF(V$260="","",V$262*VLOOKUP(V$260&amp;" (All)",'Default Values'!$B$162:$CD$181,MATCH($B335,'Default Values'!$B$101:$CD$101,0),0))</f>
        <v/>
      </c>
      <c r="W335" s="346" t="str">
        <f>IF(W$260="","",W$262*VLOOKUP(W$260&amp;" (All)",'Default Values'!$B$162:$CD$181,MATCH($B335,'Default Values'!$B$101:$CD$101,0),0))</f>
        <v/>
      </c>
      <c r="X335" s="346" t="str">
        <f>IF(X$260="","",X$262*VLOOKUP(X$260&amp;" (All)",'Default Values'!$B$162:$CD$181,MATCH($B335,'Default Values'!$B$101:$CD$101,0),0))</f>
        <v/>
      </c>
      <c r="Y335" s="346" t="str">
        <f>IF(Y$260="","",Y$262*VLOOKUP(Y$260&amp;" (All)",'Default Values'!$B$162:$CD$181,MATCH($B335,'Default Values'!$B$101:$CD$101,0),0))</f>
        <v/>
      </c>
      <c r="Z335" s="346" t="str">
        <f>IF(Z$260="","",Z$262*VLOOKUP(Z$260&amp;" (All)",'Default Values'!$B$162:$CD$181,MATCH($B335,'Default Values'!$B$101:$CD$101,0),0))</f>
        <v/>
      </c>
      <c r="AA335" s="346" t="str">
        <f>IF(AA$260="","",AA$262*VLOOKUP(AA$260&amp;" (All)",'Default Values'!$B$162:$CD$181,MATCH($B335,'Default Values'!$B$101:$CD$101,0),0))</f>
        <v/>
      </c>
      <c r="AB335" s="346" t="str">
        <f>IF(AB$260="","",AB$262*VLOOKUP(AB$260&amp;" (All)",'Default Values'!$B$162:$CD$181,MATCH($B335,'Default Values'!$B$101:$CD$101,0),0))</f>
        <v/>
      </c>
      <c r="AC335" s="346" t="str">
        <f>IF(AC$260="","",AC$262*VLOOKUP(AC$260&amp;" (All)",'Default Values'!$B$162:$CD$181,MATCH($B335,'Default Values'!$B$101:$CD$101,0),0))</f>
        <v/>
      </c>
      <c r="AD335" s="346" t="str">
        <f>IF(AD$260="","",AD$262*VLOOKUP(AD$260&amp;" (All)",'Default Values'!$B$162:$CD$181,MATCH($B335,'Default Values'!$B$101:$CD$101,0),0))</f>
        <v/>
      </c>
      <c r="AE335" s="346" t="str">
        <f>IF(AE$260="","",AE$262*VLOOKUP(AE$260&amp;" (All)",'Default Values'!$B$162:$CD$181,MATCH($B335,'Default Values'!$B$101:$CD$101,0),0))</f>
        <v/>
      </c>
      <c r="AF335" s="346" t="str">
        <f>IF(AF$260="","",AF$262*VLOOKUP(AF$260&amp;" (All)",'Default Values'!$B$162:$CD$181,MATCH($B335,'Default Values'!$B$101:$CD$101,0),0))</f>
        <v/>
      </c>
      <c r="AG335" s="346" t="str">
        <f>IF(AG$260="","",AG$262*VLOOKUP(AG$260&amp;" (All)",'Default Values'!$B$162:$CD$181,MATCH($B335,'Default Values'!$B$101:$CD$101,0),0))</f>
        <v/>
      </c>
      <c r="AH335" s="346" t="str">
        <f>IF(AH$260="","",AH$262*VLOOKUP(AH$260&amp;" (All)",'Default Values'!$B$162:$CD$181,MATCH($B335,'Default Values'!$B$101:$CD$101,0),0))</f>
        <v/>
      </c>
      <c r="AI335" s="346" t="str">
        <f>IF(AI$260="","",AI$262*VLOOKUP(AI$260&amp;" (All)",'Default Values'!$B$162:$CD$181,MATCH($B335,'Default Values'!$B$101:$CD$101,0),0))</f>
        <v/>
      </c>
      <c r="AJ335" s="346" t="str">
        <f>IF(AJ$260="","",AJ$262*VLOOKUP(AJ$260&amp;" (All)",'Default Values'!$B$162:$CD$181,MATCH($B335,'Default Values'!$B$101:$CD$101,0),0))</f>
        <v/>
      </c>
      <c r="AK335" s="346" t="str">
        <f>IF(AK$260="","",AK$262*VLOOKUP(AK$260&amp;" (All)",'Default Values'!$B$162:$CD$181,MATCH($B335,'Default Values'!$B$101:$CD$101,0),0))</f>
        <v/>
      </c>
      <c r="AL335" s="346" t="str">
        <f>IF(AL$260="","",AL$262*VLOOKUP(AL$260&amp;" (All)",'Default Values'!$B$162:$CD$181,MATCH($B335,'Default Values'!$B$101:$CD$101,0),0))</f>
        <v/>
      </c>
      <c r="AM335" s="346" t="str">
        <f>IF(AM$260="","",AM$262*VLOOKUP(AM$260&amp;" (All)",'Default Values'!$B$162:$CD$181,MATCH($B335,'Default Values'!$B$101:$CD$101,0),0))</f>
        <v/>
      </c>
      <c r="AN335" s="346" t="str">
        <f>IF(AN$260="","",AN$262*VLOOKUP(AN$260&amp;" (All)",'Default Values'!$B$162:$CD$181,MATCH($B335,'Default Values'!$B$101:$CD$101,0),0))</f>
        <v/>
      </c>
      <c r="AO335" s="346" t="str">
        <f>IF(AO$260="","",AO$262*VLOOKUP(AO$260&amp;" (All)",'Default Values'!$B$162:$CD$181,MATCH($B335,'Default Values'!$B$101:$CD$101,0),0))</f>
        <v/>
      </c>
      <c r="AP335" s="346" t="str">
        <f>IF(AP$260="","",AP$262*VLOOKUP(AP$260&amp;" (All)",'Default Values'!$B$162:$CD$181,MATCH($B335,'Default Values'!$B$101:$CD$101,0),0))</f>
        <v/>
      </c>
      <c r="AQ335" s="346" t="str">
        <f>IF(AQ$260="","",AQ$262*VLOOKUP(AQ$260&amp;" (All)",'Default Values'!$B$162:$CD$181,MATCH($B335,'Default Values'!$B$101:$CD$101,0),0))</f>
        <v/>
      </c>
      <c r="AR335" s="346">
        <f>IF(AR$260="","",AR$262*VLOOKUP(AR$260&amp;" (All)",'Default Values'!$B$162:$CD$181,MATCH($B335,'Default Values'!$B$101:$CD$101,0),0))</f>
        <v>0</v>
      </c>
      <c r="AS335" s="217"/>
      <c r="AT335" s="217"/>
      <c r="AU335" s="217"/>
      <c r="AV335" s="217"/>
      <c r="AW335" s="217"/>
      <c r="AX335" s="217"/>
      <c r="AY335" s="217"/>
      <c r="AZ335" s="217"/>
      <c r="BA335" s="217"/>
      <c r="BB335" s="217"/>
      <c r="BC335" s="217"/>
      <c r="BD335" s="217"/>
      <c r="BE335" s="217"/>
      <c r="BF335" s="217"/>
      <c r="BG335" s="217"/>
      <c r="BH335" s="217"/>
      <c r="BI335" s="217"/>
      <c r="BJ335" s="217"/>
      <c r="BK335" s="217"/>
      <c r="BL335" s="217"/>
      <c r="BM335" s="217"/>
      <c r="BN335" s="217"/>
      <c r="BO335" s="217"/>
      <c r="BP335" s="217"/>
      <c r="BQ335" s="217"/>
      <c r="BR335" s="217"/>
      <c r="BS335" s="217"/>
      <c r="BT335" s="217"/>
      <c r="BU335" s="217"/>
      <c r="BV335" s="217"/>
      <c r="BW335" s="217"/>
      <c r="BX335" s="217"/>
      <c r="BY335" s="217"/>
      <c r="BZ335" s="217"/>
      <c r="CA335" s="217"/>
      <c r="CB335" s="217"/>
      <c r="CC335" s="217"/>
      <c r="CD335" s="217"/>
      <c r="CE335" s="217"/>
      <c r="CF335" s="217"/>
      <c r="CG335" s="217"/>
      <c r="CH335" s="217"/>
      <c r="CI335" s="217"/>
      <c r="CJ335" s="217"/>
      <c r="CK335" s="217"/>
      <c r="CL335" s="217"/>
      <c r="CM335" s="217"/>
      <c r="CN335" s="217"/>
      <c r="CO335" s="217"/>
      <c r="CP335" s="217"/>
      <c r="CQ335" s="217"/>
      <c r="CR335" s="217"/>
      <c r="CS335" s="217"/>
      <c r="CT335" s="217"/>
      <c r="CU335" s="217"/>
      <c r="CV335" s="217"/>
      <c r="CW335" s="217"/>
      <c r="CX335" s="217"/>
      <c r="CY335" s="217"/>
      <c r="CZ335" s="217"/>
      <c r="DA335" s="217"/>
      <c r="DB335" s="217"/>
      <c r="DC335" s="217"/>
      <c r="DD335" s="217"/>
      <c r="DE335" s="217"/>
      <c r="DF335" s="217"/>
      <c r="DG335" s="217"/>
      <c r="DH335" s="217"/>
      <c r="DI335" s="217"/>
      <c r="DJ335" s="217"/>
      <c r="DK335" s="217"/>
      <c r="DL335" s="217"/>
      <c r="DM335" s="217"/>
      <c r="DN335" s="217"/>
      <c r="DO335" s="217"/>
      <c r="DP335" s="217"/>
      <c r="DQ335" s="217"/>
      <c r="DR335" s="217"/>
      <c r="DS335" s="217"/>
      <c r="DT335" s="217"/>
    </row>
    <row r="336" spans="1:124" x14ac:dyDescent="0.3">
      <c r="A336" s="217"/>
      <c r="B336" s="342" t="s">
        <v>274</v>
      </c>
      <c r="C336" s="345">
        <f t="shared" si="341"/>
        <v>0</v>
      </c>
      <c r="D336" s="346" t="str">
        <f>IF(D$260="","",D$262*VLOOKUP(D$260&amp;" (All)",'Default Values'!$B$162:$CD$181,MATCH($B336,'Default Values'!$B$101:$CD$101,0),0))</f>
        <v/>
      </c>
      <c r="E336" s="346" t="str">
        <f>IF(E$260="","",E$262*VLOOKUP(E$260&amp;" (All)",'Default Values'!$B$162:$CD$181,MATCH($B336,'Default Values'!$B$101:$CD$101,0),0))</f>
        <v/>
      </c>
      <c r="F336" s="346" t="str">
        <f>IF(F$260="","",F$262*VLOOKUP(F$260&amp;" (All)",'Default Values'!$B$162:$CD$181,MATCH($B336,'Default Values'!$B$101:$CD$101,0),0))</f>
        <v/>
      </c>
      <c r="G336" s="346" t="str">
        <f>IF(G$260="","",G$262*VLOOKUP(G$260&amp;" (All)",'Default Values'!$B$162:$CD$181,MATCH($B336,'Default Values'!$B$101:$CD$101,0),0))</f>
        <v/>
      </c>
      <c r="H336" s="346" t="str">
        <f>IF(H$260="","",H$262*VLOOKUP(H$260&amp;" (All)",'Default Values'!$B$162:$CD$181,MATCH($B336,'Default Values'!$B$101:$CD$101,0),0))</f>
        <v/>
      </c>
      <c r="I336" s="346" t="str">
        <f>IF(I$260="","",I$262*VLOOKUP(I$260&amp;" (All)",'Default Values'!$B$162:$CD$181,MATCH($B336,'Default Values'!$B$101:$CD$101,0),0))</f>
        <v/>
      </c>
      <c r="J336" s="346" t="str">
        <f>IF(J$260="","",J$262*VLOOKUP(J$260&amp;" (All)",'Default Values'!$B$162:$CD$181,MATCH($B336,'Default Values'!$B$101:$CD$101,0),0))</f>
        <v/>
      </c>
      <c r="K336" s="346" t="str">
        <f>IF(K$260="","",K$262*VLOOKUP(K$260&amp;" (All)",'Default Values'!$B$162:$CD$181,MATCH($B336,'Default Values'!$B$101:$CD$101,0),0))</f>
        <v/>
      </c>
      <c r="L336" s="346" t="str">
        <f>IF(L$260="","",L$262*VLOOKUP(L$260&amp;" (All)",'Default Values'!$B$162:$CD$181,MATCH($B336,'Default Values'!$B$101:$CD$101,0),0))</f>
        <v/>
      </c>
      <c r="M336" s="346" t="str">
        <f>IF(M$260="","",M$262*VLOOKUP(M$260&amp;" (All)",'Default Values'!$B$162:$CD$181,MATCH($B336,'Default Values'!$B$101:$CD$101,0),0))</f>
        <v/>
      </c>
      <c r="N336" s="346" t="str">
        <f>IF(N$260="","",N$262*VLOOKUP(N$260&amp;" (All)",'Default Values'!$B$162:$CD$181,MATCH($B336,'Default Values'!$B$101:$CD$101,0),0))</f>
        <v/>
      </c>
      <c r="O336" s="346" t="str">
        <f>IF(O$260="","",O$262*VLOOKUP(O$260&amp;" (All)",'Default Values'!$B$162:$CD$181,MATCH($B336,'Default Values'!$B$101:$CD$101,0),0))</f>
        <v/>
      </c>
      <c r="P336" s="346" t="str">
        <f>IF(P$260="","",P$262*VLOOKUP(P$260&amp;" (All)",'Default Values'!$B$162:$CD$181,MATCH($B336,'Default Values'!$B$101:$CD$101,0),0))</f>
        <v/>
      </c>
      <c r="Q336" s="346" t="str">
        <f>IF(Q$260="","",Q$262*VLOOKUP(Q$260&amp;" (All)",'Default Values'!$B$162:$CD$181,MATCH($B336,'Default Values'!$B$101:$CD$101,0),0))</f>
        <v/>
      </c>
      <c r="R336" s="346" t="str">
        <f>IF(R$260="","",R$262*VLOOKUP(R$260&amp;" (All)",'Default Values'!$B$162:$CD$181,MATCH($B336,'Default Values'!$B$101:$CD$101,0),0))</f>
        <v/>
      </c>
      <c r="S336" s="346" t="str">
        <f>IF(S$260="","",S$262*VLOOKUP(S$260&amp;" (All)",'Default Values'!$B$162:$CD$181,MATCH($B336,'Default Values'!$B$101:$CD$101,0),0))</f>
        <v/>
      </c>
      <c r="T336" s="346" t="str">
        <f>IF(T$260="","",T$262*VLOOKUP(T$260&amp;" (All)",'Default Values'!$B$162:$CD$181,MATCH($B336,'Default Values'!$B$101:$CD$101,0),0))</f>
        <v/>
      </c>
      <c r="U336" s="346" t="str">
        <f>IF(U$260="","",U$262*VLOOKUP(U$260&amp;" (All)",'Default Values'!$B$162:$CD$181,MATCH($B336,'Default Values'!$B$101:$CD$101,0),0))</f>
        <v/>
      </c>
      <c r="V336" s="346" t="str">
        <f>IF(V$260="","",V$262*VLOOKUP(V$260&amp;" (All)",'Default Values'!$B$162:$CD$181,MATCH($B336,'Default Values'!$B$101:$CD$101,0),0))</f>
        <v/>
      </c>
      <c r="W336" s="346" t="str">
        <f>IF(W$260="","",W$262*VLOOKUP(W$260&amp;" (All)",'Default Values'!$B$162:$CD$181,MATCH($B336,'Default Values'!$B$101:$CD$101,0),0))</f>
        <v/>
      </c>
      <c r="X336" s="346" t="str">
        <f>IF(X$260="","",X$262*VLOOKUP(X$260&amp;" (All)",'Default Values'!$B$162:$CD$181,MATCH($B336,'Default Values'!$B$101:$CD$101,0),0))</f>
        <v/>
      </c>
      <c r="Y336" s="346" t="str">
        <f>IF(Y$260="","",Y$262*VLOOKUP(Y$260&amp;" (All)",'Default Values'!$B$162:$CD$181,MATCH($B336,'Default Values'!$B$101:$CD$101,0),0))</f>
        <v/>
      </c>
      <c r="Z336" s="346" t="str">
        <f>IF(Z$260="","",Z$262*VLOOKUP(Z$260&amp;" (All)",'Default Values'!$B$162:$CD$181,MATCH($B336,'Default Values'!$B$101:$CD$101,0),0))</f>
        <v/>
      </c>
      <c r="AA336" s="346" t="str">
        <f>IF(AA$260="","",AA$262*VLOOKUP(AA$260&amp;" (All)",'Default Values'!$B$162:$CD$181,MATCH($B336,'Default Values'!$B$101:$CD$101,0),0))</f>
        <v/>
      </c>
      <c r="AB336" s="346" t="str">
        <f>IF(AB$260="","",AB$262*VLOOKUP(AB$260&amp;" (All)",'Default Values'!$B$162:$CD$181,MATCH($B336,'Default Values'!$B$101:$CD$101,0),0))</f>
        <v/>
      </c>
      <c r="AC336" s="346" t="str">
        <f>IF(AC$260="","",AC$262*VLOOKUP(AC$260&amp;" (All)",'Default Values'!$B$162:$CD$181,MATCH($B336,'Default Values'!$B$101:$CD$101,0),0))</f>
        <v/>
      </c>
      <c r="AD336" s="346" t="str">
        <f>IF(AD$260="","",AD$262*VLOOKUP(AD$260&amp;" (All)",'Default Values'!$B$162:$CD$181,MATCH($B336,'Default Values'!$B$101:$CD$101,0),0))</f>
        <v/>
      </c>
      <c r="AE336" s="346" t="str">
        <f>IF(AE$260="","",AE$262*VLOOKUP(AE$260&amp;" (All)",'Default Values'!$B$162:$CD$181,MATCH($B336,'Default Values'!$B$101:$CD$101,0),0))</f>
        <v/>
      </c>
      <c r="AF336" s="346" t="str">
        <f>IF(AF$260="","",AF$262*VLOOKUP(AF$260&amp;" (All)",'Default Values'!$B$162:$CD$181,MATCH($B336,'Default Values'!$B$101:$CD$101,0),0))</f>
        <v/>
      </c>
      <c r="AG336" s="346" t="str">
        <f>IF(AG$260="","",AG$262*VLOOKUP(AG$260&amp;" (All)",'Default Values'!$B$162:$CD$181,MATCH($B336,'Default Values'!$B$101:$CD$101,0),0))</f>
        <v/>
      </c>
      <c r="AH336" s="346" t="str">
        <f>IF(AH$260="","",AH$262*VLOOKUP(AH$260&amp;" (All)",'Default Values'!$B$162:$CD$181,MATCH($B336,'Default Values'!$B$101:$CD$101,0),0))</f>
        <v/>
      </c>
      <c r="AI336" s="346" t="str">
        <f>IF(AI$260="","",AI$262*VLOOKUP(AI$260&amp;" (All)",'Default Values'!$B$162:$CD$181,MATCH($B336,'Default Values'!$B$101:$CD$101,0),0))</f>
        <v/>
      </c>
      <c r="AJ336" s="346" t="str">
        <f>IF(AJ$260="","",AJ$262*VLOOKUP(AJ$260&amp;" (All)",'Default Values'!$B$162:$CD$181,MATCH($B336,'Default Values'!$B$101:$CD$101,0),0))</f>
        <v/>
      </c>
      <c r="AK336" s="346" t="str">
        <f>IF(AK$260="","",AK$262*VLOOKUP(AK$260&amp;" (All)",'Default Values'!$B$162:$CD$181,MATCH($B336,'Default Values'!$B$101:$CD$101,0),0))</f>
        <v/>
      </c>
      <c r="AL336" s="346" t="str">
        <f>IF(AL$260="","",AL$262*VLOOKUP(AL$260&amp;" (All)",'Default Values'!$B$162:$CD$181,MATCH($B336,'Default Values'!$B$101:$CD$101,0),0))</f>
        <v/>
      </c>
      <c r="AM336" s="346" t="str">
        <f>IF(AM$260="","",AM$262*VLOOKUP(AM$260&amp;" (All)",'Default Values'!$B$162:$CD$181,MATCH($B336,'Default Values'!$B$101:$CD$101,0),0))</f>
        <v/>
      </c>
      <c r="AN336" s="346" t="str">
        <f>IF(AN$260="","",AN$262*VLOOKUP(AN$260&amp;" (All)",'Default Values'!$B$162:$CD$181,MATCH($B336,'Default Values'!$B$101:$CD$101,0),0))</f>
        <v/>
      </c>
      <c r="AO336" s="346" t="str">
        <f>IF(AO$260="","",AO$262*VLOOKUP(AO$260&amp;" (All)",'Default Values'!$B$162:$CD$181,MATCH($B336,'Default Values'!$B$101:$CD$101,0),0))</f>
        <v/>
      </c>
      <c r="AP336" s="346" t="str">
        <f>IF(AP$260="","",AP$262*VLOOKUP(AP$260&amp;" (All)",'Default Values'!$B$162:$CD$181,MATCH($B336,'Default Values'!$B$101:$CD$101,0),0))</f>
        <v/>
      </c>
      <c r="AQ336" s="346" t="str">
        <f>IF(AQ$260="","",AQ$262*VLOOKUP(AQ$260&amp;" (All)",'Default Values'!$B$162:$CD$181,MATCH($B336,'Default Values'!$B$101:$CD$101,0),0))</f>
        <v/>
      </c>
      <c r="AR336" s="346">
        <f>IF(AR$260="","",AR$262*VLOOKUP(AR$260&amp;" (All)",'Default Values'!$B$162:$CD$181,MATCH($B336,'Default Values'!$B$101:$CD$101,0),0))</f>
        <v>0</v>
      </c>
      <c r="AS336" s="217"/>
      <c r="AT336" s="217"/>
      <c r="AU336" s="217"/>
      <c r="AV336" s="217"/>
      <c r="AW336" s="217"/>
      <c r="AX336" s="217"/>
      <c r="AY336" s="217"/>
      <c r="AZ336" s="217"/>
      <c r="BA336" s="217"/>
      <c r="BB336" s="217"/>
      <c r="BC336" s="217"/>
      <c r="BD336" s="217"/>
      <c r="BE336" s="217"/>
      <c r="BF336" s="217"/>
      <c r="BG336" s="217"/>
      <c r="BH336" s="217"/>
      <c r="BI336" s="217"/>
      <c r="BJ336" s="217"/>
      <c r="BK336" s="217"/>
      <c r="BL336" s="217"/>
      <c r="BM336" s="217"/>
      <c r="BN336" s="217"/>
      <c r="BO336" s="217"/>
      <c r="BP336" s="217"/>
      <c r="BQ336" s="217"/>
      <c r="BR336" s="217"/>
      <c r="BS336" s="217"/>
      <c r="BT336" s="217"/>
      <c r="BU336" s="217"/>
      <c r="BV336" s="217"/>
      <c r="BW336" s="217"/>
      <c r="BX336" s="217"/>
      <c r="BY336" s="217"/>
      <c r="BZ336" s="217"/>
      <c r="CA336" s="217"/>
      <c r="CB336" s="217"/>
      <c r="CC336" s="217"/>
      <c r="CD336" s="217"/>
      <c r="CE336" s="217"/>
      <c r="CF336" s="217"/>
      <c r="CG336" s="217"/>
      <c r="CH336" s="217"/>
      <c r="CI336" s="217"/>
      <c r="CJ336" s="217"/>
      <c r="CK336" s="217"/>
      <c r="CL336" s="217"/>
      <c r="CM336" s="217"/>
      <c r="CN336" s="217"/>
      <c r="CO336" s="217"/>
      <c r="CP336" s="217"/>
      <c r="CQ336" s="217"/>
      <c r="CR336" s="217"/>
      <c r="CS336" s="217"/>
      <c r="CT336" s="217"/>
      <c r="CU336" s="217"/>
      <c r="CV336" s="217"/>
      <c r="CW336" s="217"/>
      <c r="CX336" s="217"/>
      <c r="CY336" s="217"/>
      <c r="CZ336" s="217"/>
      <c r="DA336" s="217"/>
      <c r="DB336" s="217"/>
      <c r="DC336" s="217"/>
      <c r="DD336" s="217"/>
      <c r="DE336" s="217"/>
      <c r="DF336" s="217"/>
      <c r="DG336" s="217"/>
      <c r="DH336" s="217"/>
      <c r="DI336" s="217"/>
      <c r="DJ336" s="217"/>
      <c r="DK336" s="217"/>
      <c r="DL336" s="217"/>
      <c r="DM336" s="217"/>
      <c r="DN336" s="217"/>
      <c r="DO336" s="217"/>
      <c r="DP336" s="217"/>
      <c r="DQ336" s="217"/>
      <c r="DR336" s="217"/>
      <c r="DS336" s="217"/>
      <c r="DT336" s="217"/>
    </row>
    <row r="337" spans="1:124" x14ac:dyDescent="0.3">
      <c r="A337" s="217"/>
      <c r="B337" s="342" t="s">
        <v>276</v>
      </c>
      <c r="C337" s="345">
        <f t="shared" si="341"/>
        <v>0</v>
      </c>
      <c r="D337" s="346" t="str">
        <f>IF(D$260="","",D$262*VLOOKUP(D$260&amp;" (All)",'Default Values'!$B$162:$CD$181,MATCH($B337,'Default Values'!$B$101:$CD$101,0),0))</f>
        <v/>
      </c>
      <c r="E337" s="346" t="str">
        <f>IF(E$260="","",E$262*VLOOKUP(E$260&amp;" (All)",'Default Values'!$B$162:$CD$181,MATCH($B337,'Default Values'!$B$101:$CD$101,0),0))</f>
        <v/>
      </c>
      <c r="F337" s="346" t="str">
        <f>IF(F$260="","",F$262*VLOOKUP(F$260&amp;" (All)",'Default Values'!$B$162:$CD$181,MATCH($B337,'Default Values'!$B$101:$CD$101,0),0))</f>
        <v/>
      </c>
      <c r="G337" s="346" t="str">
        <f>IF(G$260="","",G$262*VLOOKUP(G$260&amp;" (All)",'Default Values'!$B$162:$CD$181,MATCH($B337,'Default Values'!$B$101:$CD$101,0),0))</f>
        <v/>
      </c>
      <c r="H337" s="346" t="str">
        <f>IF(H$260="","",H$262*VLOOKUP(H$260&amp;" (All)",'Default Values'!$B$162:$CD$181,MATCH($B337,'Default Values'!$B$101:$CD$101,0),0))</f>
        <v/>
      </c>
      <c r="I337" s="346" t="str">
        <f>IF(I$260="","",I$262*VLOOKUP(I$260&amp;" (All)",'Default Values'!$B$162:$CD$181,MATCH($B337,'Default Values'!$B$101:$CD$101,0),0))</f>
        <v/>
      </c>
      <c r="J337" s="346" t="str">
        <f>IF(J$260="","",J$262*VLOOKUP(J$260&amp;" (All)",'Default Values'!$B$162:$CD$181,MATCH($B337,'Default Values'!$B$101:$CD$101,0),0))</f>
        <v/>
      </c>
      <c r="K337" s="346" t="str">
        <f>IF(K$260="","",K$262*VLOOKUP(K$260&amp;" (All)",'Default Values'!$B$162:$CD$181,MATCH($B337,'Default Values'!$B$101:$CD$101,0),0))</f>
        <v/>
      </c>
      <c r="L337" s="346" t="str">
        <f>IF(L$260="","",L$262*VLOOKUP(L$260&amp;" (All)",'Default Values'!$B$162:$CD$181,MATCH($B337,'Default Values'!$B$101:$CD$101,0),0))</f>
        <v/>
      </c>
      <c r="M337" s="346" t="str">
        <f>IF(M$260="","",M$262*VLOOKUP(M$260&amp;" (All)",'Default Values'!$B$162:$CD$181,MATCH($B337,'Default Values'!$B$101:$CD$101,0),0))</f>
        <v/>
      </c>
      <c r="N337" s="346" t="str">
        <f>IF(N$260="","",N$262*VLOOKUP(N$260&amp;" (All)",'Default Values'!$B$162:$CD$181,MATCH($B337,'Default Values'!$B$101:$CD$101,0),0))</f>
        <v/>
      </c>
      <c r="O337" s="346" t="str">
        <f>IF(O$260="","",O$262*VLOOKUP(O$260&amp;" (All)",'Default Values'!$B$162:$CD$181,MATCH($B337,'Default Values'!$B$101:$CD$101,0),0))</f>
        <v/>
      </c>
      <c r="P337" s="346" t="str">
        <f>IF(P$260="","",P$262*VLOOKUP(P$260&amp;" (All)",'Default Values'!$B$162:$CD$181,MATCH($B337,'Default Values'!$B$101:$CD$101,0),0))</f>
        <v/>
      </c>
      <c r="Q337" s="346" t="str">
        <f>IF(Q$260="","",Q$262*VLOOKUP(Q$260&amp;" (All)",'Default Values'!$B$162:$CD$181,MATCH($B337,'Default Values'!$B$101:$CD$101,0),0))</f>
        <v/>
      </c>
      <c r="R337" s="346" t="str">
        <f>IF(R$260="","",R$262*VLOOKUP(R$260&amp;" (All)",'Default Values'!$B$162:$CD$181,MATCH($B337,'Default Values'!$B$101:$CD$101,0),0))</f>
        <v/>
      </c>
      <c r="S337" s="346" t="str">
        <f>IF(S$260="","",S$262*VLOOKUP(S$260&amp;" (All)",'Default Values'!$B$162:$CD$181,MATCH($B337,'Default Values'!$B$101:$CD$101,0),0))</f>
        <v/>
      </c>
      <c r="T337" s="346" t="str">
        <f>IF(T$260="","",T$262*VLOOKUP(T$260&amp;" (All)",'Default Values'!$B$162:$CD$181,MATCH($B337,'Default Values'!$B$101:$CD$101,0),0))</f>
        <v/>
      </c>
      <c r="U337" s="346" t="str">
        <f>IF(U$260="","",U$262*VLOOKUP(U$260&amp;" (All)",'Default Values'!$B$162:$CD$181,MATCH($B337,'Default Values'!$B$101:$CD$101,0),0))</f>
        <v/>
      </c>
      <c r="V337" s="346" t="str">
        <f>IF(V$260="","",V$262*VLOOKUP(V$260&amp;" (All)",'Default Values'!$B$162:$CD$181,MATCH($B337,'Default Values'!$B$101:$CD$101,0),0))</f>
        <v/>
      </c>
      <c r="W337" s="346" t="str">
        <f>IF(W$260="","",W$262*VLOOKUP(W$260&amp;" (All)",'Default Values'!$B$162:$CD$181,MATCH($B337,'Default Values'!$B$101:$CD$101,0),0))</f>
        <v/>
      </c>
      <c r="X337" s="346" t="str">
        <f>IF(X$260="","",X$262*VLOOKUP(X$260&amp;" (All)",'Default Values'!$B$162:$CD$181,MATCH($B337,'Default Values'!$B$101:$CD$101,0),0))</f>
        <v/>
      </c>
      <c r="Y337" s="346" t="str">
        <f>IF(Y$260="","",Y$262*VLOOKUP(Y$260&amp;" (All)",'Default Values'!$B$162:$CD$181,MATCH($B337,'Default Values'!$B$101:$CD$101,0),0))</f>
        <v/>
      </c>
      <c r="Z337" s="346" t="str">
        <f>IF(Z$260="","",Z$262*VLOOKUP(Z$260&amp;" (All)",'Default Values'!$B$162:$CD$181,MATCH($B337,'Default Values'!$B$101:$CD$101,0),0))</f>
        <v/>
      </c>
      <c r="AA337" s="346" t="str">
        <f>IF(AA$260="","",AA$262*VLOOKUP(AA$260&amp;" (All)",'Default Values'!$B$162:$CD$181,MATCH($B337,'Default Values'!$B$101:$CD$101,0),0))</f>
        <v/>
      </c>
      <c r="AB337" s="346" t="str">
        <f>IF(AB$260="","",AB$262*VLOOKUP(AB$260&amp;" (All)",'Default Values'!$B$162:$CD$181,MATCH($B337,'Default Values'!$B$101:$CD$101,0),0))</f>
        <v/>
      </c>
      <c r="AC337" s="346" t="str">
        <f>IF(AC$260="","",AC$262*VLOOKUP(AC$260&amp;" (All)",'Default Values'!$B$162:$CD$181,MATCH($B337,'Default Values'!$B$101:$CD$101,0),0))</f>
        <v/>
      </c>
      <c r="AD337" s="346" t="str">
        <f>IF(AD$260="","",AD$262*VLOOKUP(AD$260&amp;" (All)",'Default Values'!$B$162:$CD$181,MATCH($B337,'Default Values'!$B$101:$CD$101,0),0))</f>
        <v/>
      </c>
      <c r="AE337" s="346" t="str">
        <f>IF(AE$260="","",AE$262*VLOOKUP(AE$260&amp;" (All)",'Default Values'!$B$162:$CD$181,MATCH($B337,'Default Values'!$B$101:$CD$101,0),0))</f>
        <v/>
      </c>
      <c r="AF337" s="346" t="str">
        <f>IF(AF$260="","",AF$262*VLOOKUP(AF$260&amp;" (All)",'Default Values'!$B$162:$CD$181,MATCH($B337,'Default Values'!$B$101:$CD$101,0),0))</f>
        <v/>
      </c>
      <c r="AG337" s="346" t="str">
        <f>IF(AG$260="","",AG$262*VLOOKUP(AG$260&amp;" (All)",'Default Values'!$B$162:$CD$181,MATCH($B337,'Default Values'!$B$101:$CD$101,0),0))</f>
        <v/>
      </c>
      <c r="AH337" s="346" t="str">
        <f>IF(AH$260="","",AH$262*VLOOKUP(AH$260&amp;" (All)",'Default Values'!$B$162:$CD$181,MATCH($B337,'Default Values'!$B$101:$CD$101,0),0))</f>
        <v/>
      </c>
      <c r="AI337" s="346" t="str">
        <f>IF(AI$260="","",AI$262*VLOOKUP(AI$260&amp;" (All)",'Default Values'!$B$162:$CD$181,MATCH($B337,'Default Values'!$B$101:$CD$101,0),0))</f>
        <v/>
      </c>
      <c r="AJ337" s="346" t="str">
        <f>IF(AJ$260="","",AJ$262*VLOOKUP(AJ$260&amp;" (All)",'Default Values'!$B$162:$CD$181,MATCH($B337,'Default Values'!$B$101:$CD$101,0),0))</f>
        <v/>
      </c>
      <c r="AK337" s="346" t="str">
        <f>IF(AK$260="","",AK$262*VLOOKUP(AK$260&amp;" (All)",'Default Values'!$B$162:$CD$181,MATCH($B337,'Default Values'!$B$101:$CD$101,0),0))</f>
        <v/>
      </c>
      <c r="AL337" s="346" t="str">
        <f>IF(AL$260="","",AL$262*VLOOKUP(AL$260&amp;" (All)",'Default Values'!$B$162:$CD$181,MATCH($B337,'Default Values'!$B$101:$CD$101,0),0))</f>
        <v/>
      </c>
      <c r="AM337" s="346" t="str">
        <f>IF(AM$260="","",AM$262*VLOOKUP(AM$260&amp;" (All)",'Default Values'!$B$162:$CD$181,MATCH($B337,'Default Values'!$B$101:$CD$101,0),0))</f>
        <v/>
      </c>
      <c r="AN337" s="346" t="str">
        <f>IF(AN$260="","",AN$262*VLOOKUP(AN$260&amp;" (All)",'Default Values'!$B$162:$CD$181,MATCH($B337,'Default Values'!$B$101:$CD$101,0),0))</f>
        <v/>
      </c>
      <c r="AO337" s="346" t="str">
        <f>IF(AO$260="","",AO$262*VLOOKUP(AO$260&amp;" (All)",'Default Values'!$B$162:$CD$181,MATCH($B337,'Default Values'!$B$101:$CD$101,0),0))</f>
        <v/>
      </c>
      <c r="AP337" s="346" t="str">
        <f>IF(AP$260="","",AP$262*VLOOKUP(AP$260&amp;" (All)",'Default Values'!$B$162:$CD$181,MATCH($B337,'Default Values'!$B$101:$CD$101,0),0))</f>
        <v/>
      </c>
      <c r="AQ337" s="346" t="str">
        <f>IF(AQ$260="","",AQ$262*VLOOKUP(AQ$260&amp;" (All)",'Default Values'!$B$162:$CD$181,MATCH($B337,'Default Values'!$B$101:$CD$101,0),0))</f>
        <v/>
      </c>
      <c r="AR337" s="346">
        <f>IF(AR$260="","",AR$262*VLOOKUP(AR$260&amp;" (All)",'Default Values'!$B$162:$CD$181,MATCH($B337,'Default Values'!$B$101:$CD$101,0),0))</f>
        <v>0</v>
      </c>
      <c r="AS337" s="217"/>
      <c r="AT337" s="217"/>
      <c r="AU337" s="217"/>
      <c r="AV337" s="217"/>
      <c r="AW337" s="217"/>
      <c r="AX337" s="217"/>
      <c r="AY337" s="217"/>
      <c r="AZ337" s="217"/>
      <c r="BA337" s="217"/>
      <c r="BB337" s="217"/>
      <c r="BC337" s="217"/>
      <c r="BD337" s="217"/>
      <c r="BE337" s="217"/>
      <c r="BF337" s="217"/>
      <c r="BG337" s="217"/>
      <c r="BH337" s="217"/>
      <c r="BI337" s="217"/>
      <c r="BJ337" s="217"/>
      <c r="BK337" s="217"/>
      <c r="BL337" s="217"/>
      <c r="BM337" s="217"/>
      <c r="BN337" s="217"/>
      <c r="BO337" s="217"/>
      <c r="BP337" s="217"/>
      <c r="BQ337" s="217"/>
      <c r="BR337" s="217"/>
      <c r="BS337" s="217"/>
      <c r="BT337" s="217"/>
      <c r="BU337" s="217"/>
      <c r="BV337" s="217"/>
      <c r="BW337" s="217"/>
      <c r="BX337" s="217"/>
      <c r="BY337" s="217"/>
      <c r="BZ337" s="217"/>
      <c r="CA337" s="217"/>
      <c r="CB337" s="217"/>
      <c r="CC337" s="217"/>
      <c r="CD337" s="217"/>
      <c r="CE337" s="217"/>
      <c r="CF337" s="217"/>
      <c r="CG337" s="217"/>
      <c r="CH337" s="217"/>
      <c r="CI337" s="217"/>
      <c r="CJ337" s="217"/>
      <c r="CK337" s="217"/>
      <c r="CL337" s="217"/>
      <c r="CM337" s="217"/>
      <c r="CN337" s="217"/>
      <c r="CO337" s="217"/>
      <c r="CP337" s="217"/>
      <c r="CQ337" s="217"/>
      <c r="CR337" s="217"/>
      <c r="CS337" s="217"/>
      <c r="CT337" s="217"/>
      <c r="CU337" s="217"/>
      <c r="CV337" s="217"/>
      <c r="CW337" s="217"/>
      <c r="CX337" s="217"/>
      <c r="CY337" s="217"/>
      <c r="CZ337" s="217"/>
      <c r="DA337" s="217"/>
      <c r="DB337" s="217"/>
      <c r="DC337" s="217"/>
      <c r="DD337" s="217"/>
      <c r="DE337" s="217"/>
      <c r="DF337" s="217"/>
      <c r="DG337" s="217"/>
      <c r="DH337" s="217"/>
      <c r="DI337" s="217"/>
      <c r="DJ337" s="217"/>
      <c r="DK337" s="217"/>
      <c r="DL337" s="217"/>
      <c r="DM337" s="217"/>
      <c r="DN337" s="217"/>
      <c r="DO337" s="217"/>
      <c r="DP337" s="217"/>
      <c r="DQ337" s="217"/>
      <c r="DR337" s="217"/>
      <c r="DS337" s="217"/>
      <c r="DT337" s="217"/>
    </row>
    <row r="338" spans="1:124" x14ac:dyDescent="0.3">
      <c r="A338" s="217"/>
      <c r="B338" s="342" t="s">
        <v>278</v>
      </c>
      <c r="C338" s="345">
        <f t="shared" si="341"/>
        <v>0</v>
      </c>
      <c r="D338" s="346" t="str">
        <f>IF(D$260="","",D$262*VLOOKUP(D$260&amp;" (All)",'Default Values'!$B$162:$CD$181,MATCH($B338,'Default Values'!$B$101:$CD$101,0),0))</f>
        <v/>
      </c>
      <c r="E338" s="346" t="str">
        <f>IF(E$260="","",E$262*VLOOKUP(E$260&amp;" (All)",'Default Values'!$B$162:$CD$181,MATCH($B338,'Default Values'!$B$101:$CD$101,0),0))</f>
        <v/>
      </c>
      <c r="F338" s="346" t="str">
        <f>IF(F$260="","",F$262*VLOOKUP(F$260&amp;" (All)",'Default Values'!$B$162:$CD$181,MATCH($B338,'Default Values'!$B$101:$CD$101,0),0))</f>
        <v/>
      </c>
      <c r="G338" s="346" t="str">
        <f>IF(G$260="","",G$262*VLOOKUP(G$260&amp;" (All)",'Default Values'!$B$162:$CD$181,MATCH($B338,'Default Values'!$B$101:$CD$101,0),0))</f>
        <v/>
      </c>
      <c r="H338" s="346" t="str">
        <f>IF(H$260="","",H$262*VLOOKUP(H$260&amp;" (All)",'Default Values'!$B$162:$CD$181,MATCH($B338,'Default Values'!$B$101:$CD$101,0),0))</f>
        <v/>
      </c>
      <c r="I338" s="346" t="str">
        <f>IF(I$260="","",I$262*VLOOKUP(I$260&amp;" (All)",'Default Values'!$B$162:$CD$181,MATCH($B338,'Default Values'!$B$101:$CD$101,0),0))</f>
        <v/>
      </c>
      <c r="J338" s="346" t="str">
        <f>IF(J$260="","",J$262*VLOOKUP(J$260&amp;" (All)",'Default Values'!$B$162:$CD$181,MATCH($B338,'Default Values'!$B$101:$CD$101,0),0))</f>
        <v/>
      </c>
      <c r="K338" s="346" t="str">
        <f>IF(K$260="","",K$262*VLOOKUP(K$260&amp;" (All)",'Default Values'!$B$162:$CD$181,MATCH($B338,'Default Values'!$B$101:$CD$101,0),0))</f>
        <v/>
      </c>
      <c r="L338" s="346" t="str">
        <f>IF(L$260="","",L$262*VLOOKUP(L$260&amp;" (All)",'Default Values'!$B$162:$CD$181,MATCH($B338,'Default Values'!$B$101:$CD$101,0),0))</f>
        <v/>
      </c>
      <c r="M338" s="346" t="str">
        <f>IF(M$260="","",M$262*VLOOKUP(M$260&amp;" (All)",'Default Values'!$B$162:$CD$181,MATCH($B338,'Default Values'!$B$101:$CD$101,0),0))</f>
        <v/>
      </c>
      <c r="N338" s="346" t="str">
        <f>IF(N$260="","",N$262*VLOOKUP(N$260&amp;" (All)",'Default Values'!$B$162:$CD$181,MATCH($B338,'Default Values'!$B$101:$CD$101,0),0))</f>
        <v/>
      </c>
      <c r="O338" s="346" t="str">
        <f>IF(O$260="","",O$262*VLOOKUP(O$260&amp;" (All)",'Default Values'!$B$162:$CD$181,MATCH($B338,'Default Values'!$B$101:$CD$101,0),0))</f>
        <v/>
      </c>
      <c r="P338" s="346" t="str">
        <f>IF(P$260="","",P$262*VLOOKUP(P$260&amp;" (All)",'Default Values'!$B$162:$CD$181,MATCH($B338,'Default Values'!$B$101:$CD$101,0),0))</f>
        <v/>
      </c>
      <c r="Q338" s="346" t="str">
        <f>IF(Q$260="","",Q$262*VLOOKUP(Q$260&amp;" (All)",'Default Values'!$B$162:$CD$181,MATCH($B338,'Default Values'!$B$101:$CD$101,0),0))</f>
        <v/>
      </c>
      <c r="R338" s="346" t="str">
        <f>IF(R$260="","",R$262*VLOOKUP(R$260&amp;" (All)",'Default Values'!$B$162:$CD$181,MATCH($B338,'Default Values'!$B$101:$CD$101,0),0))</f>
        <v/>
      </c>
      <c r="S338" s="346" t="str">
        <f>IF(S$260="","",S$262*VLOOKUP(S$260&amp;" (All)",'Default Values'!$B$162:$CD$181,MATCH($B338,'Default Values'!$B$101:$CD$101,0),0))</f>
        <v/>
      </c>
      <c r="T338" s="346" t="str">
        <f>IF(T$260="","",T$262*VLOOKUP(T$260&amp;" (All)",'Default Values'!$B$162:$CD$181,MATCH($B338,'Default Values'!$B$101:$CD$101,0),0))</f>
        <v/>
      </c>
      <c r="U338" s="346" t="str">
        <f>IF(U$260="","",U$262*VLOOKUP(U$260&amp;" (All)",'Default Values'!$B$162:$CD$181,MATCH($B338,'Default Values'!$B$101:$CD$101,0),0))</f>
        <v/>
      </c>
      <c r="V338" s="346" t="str">
        <f>IF(V$260="","",V$262*VLOOKUP(V$260&amp;" (All)",'Default Values'!$B$162:$CD$181,MATCH($B338,'Default Values'!$B$101:$CD$101,0),0))</f>
        <v/>
      </c>
      <c r="W338" s="346" t="str">
        <f>IF(W$260="","",W$262*VLOOKUP(W$260&amp;" (All)",'Default Values'!$B$162:$CD$181,MATCH($B338,'Default Values'!$B$101:$CD$101,0),0))</f>
        <v/>
      </c>
      <c r="X338" s="346" t="str">
        <f>IF(X$260="","",X$262*VLOOKUP(X$260&amp;" (All)",'Default Values'!$B$162:$CD$181,MATCH($B338,'Default Values'!$B$101:$CD$101,0),0))</f>
        <v/>
      </c>
      <c r="Y338" s="346" t="str">
        <f>IF(Y$260="","",Y$262*VLOOKUP(Y$260&amp;" (All)",'Default Values'!$B$162:$CD$181,MATCH($B338,'Default Values'!$B$101:$CD$101,0),0))</f>
        <v/>
      </c>
      <c r="Z338" s="346" t="str">
        <f>IF(Z$260="","",Z$262*VLOOKUP(Z$260&amp;" (All)",'Default Values'!$B$162:$CD$181,MATCH($B338,'Default Values'!$B$101:$CD$101,0),0))</f>
        <v/>
      </c>
      <c r="AA338" s="346" t="str">
        <f>IF(AA$260="","",AA$262*VLOOKUP(AA$260&amp;" (All)",'Default Values'!$B$162:$CD$181,MATCH($B338,'Default Values'!$B$101:$CD$101,0),0))</f>
        <v/>
      </c>
      <c r="AB338" s="346" t="str">
        <f>IF(AB$260="","",AB$262*VLOOKUP(AB$260&amp;" (All)",'Default Values'!$B$162:$CD$181,MATCH($B338,'Default Values'!$B$101:$CD$101,0),0))</f>
        <v/>
      </c>
      <c r="AC338" s="346" t="str">
        <f>IF(AC$260="","",AC$262*VLOOKUP(AC$260&amp;" (All)",'Default Values'!$B$162:$CD$181,MATCH($B338,'Default Values'!$B$101:$CD$101,0),0))</f>
        <v/>
      </c>
      <c r="AD338" s="346" t="str">
        <f>IF(AD$260="","",AD$262*VLOOKUP(AD$260&amp;" (All)",'Default Values'!$B$162:$CD$181,MATCH($B338,'Default Values'!$B$101:$CD$101,0),0))</f>
        <v/>
      </c>
      <c r="AE338" s="346" t="str">
        <f>IF(AE$260="","",AE$262*VLOOKUP(AE$260&amp;" (All)",'Default Values'!$B$162:$CD$181,MATCH($B338,'Default Values'!$B$101:$CD$101,0),0))</f>
        <v/>
      </c>
      <c r="AF338" s="346" t="str">
        <f>IF(AF$260="","",AF$262*VLOOKUP(AF$260&amp;" (All)",'Default Values'!$B$162:$CD$181,MATCH($B338,'Default Values'!$B$101:$CD$101,0),0))</f>
        <v/>
      </c>
      <c r="AG338" s="346" t="str">
        <f>IF(AG$260="","",AG$262*VLOOKUP(AG$260&amp;" (All)",'Default Values'!$B$162:$CD$181,MATCH($B338,'Default Values'!$B$101:$CD$101,0),0))</f>
        <v/>
      </c>
      <c r="AH338" s="346" t="str">
        <f>IF(AH$260="","",AH$262*VLOOKUP(AH$260&amp;" (All)",'Default Values'!$B$162:$CD$181,MATCH($B338,'Default Values'!$B$101:$CD$101,0),0))</f>
        <v/>
      </c>
      <c r="AI338" s="346" t="str">
        <f>IF(AI$260="","",AI$262*VLOOKUP(AI$260&amp;" (All)",'Default Values'!$B$162:$CD$181,MATCH($B338,'Default Values'!$B$101:$CD$101,0),0))</f>
        <v/>
      </c>
      <c r="AJ338" s="346" t="str">
        <f>IF(AJ$260="","",AJ$262*VLOOKUP(AJ$260&amp;" (All)",'Default Values'!$B$162:$CD$181,MATCH($B338,'Default Values'!$B$101:$CD$101,0),0))</f>
        <v/>
      </c>
      <c r="AK338" s="346" t="str">
        <f>IF(AK$260="","",AK$262*VLOOKUP(AK$260&amp;" (All)",'Default Values'!$B$162:$CD$181,MATCH($B338,'Default Values'!$B$101:$CD$101,0),0))</f>
        <v/>
      </c>
      <c r="AL338" s="346" t="str">
        <f>IF(AL$260="","",AL$262*VLOOKUP(AL$260&amp;" (All)",'Default Values'!$B$162:$CD$181,MATCH($B338,'Default Values'!$B$101:$CD$101,0),0))</f>
        <v/>
      </c>
      <c r="AM338" s="346" t="str">
        <f>IF(AM$260="","",AM$262*VLOOKUP(AM$260&amp;" (All)",'Default Values'!$B$162:$CD$181,MATCH($B338,'Default Values'!$B$101:$CD$101,0),0))</f>
        <v/>
      </c>
      <c r="AN338" s="346" t="str">
        <f>IF(AN$260="","",AN$262*VLOOKUP(AN$260&amp;" (All)",'Default Values'!$B$162:$CD$181,MATCH($B338,'Default Values'!$B$101:$CD$101,0),0))</f>
        <v/>
      </c>
      <c r="AO338" s="346" t="str">
        <f>IF(AO$260="","",AO$262*VLOOKUP(AO$260&amp;" (All)",'Default Values'!$B$162:$CD$181,MATCH($B338,'Default Values'!$B$101:$CD$101,0),0))</f>
        <v/>
      </c>
      <c r="AP338" s="346" t="str">
        <f>IF(AP$260="","",AP$262*VLOOKUP(AP$260&amp;" (All)",'Default Values'!$B$162:$CD$181,MATCH($B338,'Default Values'!$B$101:$CD$101,0),0))</f>
        <v/>
      </c>
      <c r="AQ338" s="346" t="str">
        <f>IF(AQ$260="","",AQ$262*VLOOKUP(AQ$260&amp;" (All)",'Default Values'!$B$162:$CD$181,MATCH($B338,'Default Values'!$B$101:$CD$101,0),0))</f>
        <v/>
      </c>
      <c r="AR338" s="346">
        <f>IF(AR$260="","",AR$262*VLOOKUP(AR$260&amp;" (All)",'Default Values'!$B$162:$CD$181,MATCH($B338,'Default Values'!$B$101:$CD$101,0),0))</f>
        <v>0</v>
      </c>
      <c r="AS338" s="217"/>
      <c r="AT338" s="217"/>
      <c r="AU338" s="217"/>
      <c r="AV338" s="217"/>
      <c r="AW338" s="217"/>
      <c r="AX338" s="217"/>
      <c r="AY338" s="217"/>
      <c r="AZ338" s="217"/>
      <c r="BA338" s="217"/>
      <c r="BB338" s="217"/>
      <c r="BC338" s="217"/>
      <c r="BD338" s="217"/>
      <c r="BE338" s="217"/>
      <c r="BF338" s="217"/>
      <c r="BG338" s="217"/>
      <c r="BH338" s="217"/>
      <c r="BI338" s="217"/>
      <c r="BJ338" s="217"/>
      <c r="BK338" s="217"/>
      <c r="BL338" s="217"/>
      <c r="BM338" s="217"/>
      <c r="BN338" s="217"/>
      <c r="BO338" s="217"/>
      <c r="BP338" s="217"/>
      <c r="BQ338" s="217"/>
      <c r="BR338" s="217"/>
      <c r="BS338" s="217"/>
      <c r="BT338" s="217"/>
      <c r="BU338" s="217"/>
      <c r="BV338" s="217"/>
      <c r="BW338" s="217"/>
      <c r="BX338" s="217"/>
      <c r="BY338" s="217"/>
      <c r="BZ338" s="217"/>
      <c r="CA338" s="217"/>
      <c r="CB338" s="217"/>
      <c r="CC338" s="217"/>
      <c r="CD338" s="217"/>
      <c r="CE338" s="217"/>
      <c r="CF338" s="217"/>
      <c r="CG338" s="217"/>
      <c r="CH338" s="217"/>
      <c r="CI338" s="217"/>
      <c r="CJ338" s="217"/>
      <c r="CK338" s="217"/>
      <c r="CL338" s="217"/>
      <c r="CM338" s="217"/>
      <c r="CN338" s="217"/>
      <c r="CO338" s="217"/>
      <c r="CP338" s="217"/>
      <c r="CQ338" s="217"/>
      <c r="CR338" s="217"/>
      <c r="CS338" s="217"/>
      <c r="CT338" s="217"/>
      <c r="CU338" s="217"/>
      <c r="CV338" s="217"/>
      <c r="CW338" s="217"/>
      <c r="CX338" s="217"/>
      <c r="CY338" s="217"/>
      <c r="CZ338" s="217"/>
      <c r="DA338" s="217"/>
      <c r="DB338" s="217"/>
      <c r="DC338" s="217"/>
      <c r="DD338" s="217"/>
      <c r="DE338" s="217"/>
      <c r="DF338" s="217"/>
      <c r="DG338" s="217"/>
      <c r="DH338" s="217"/>
      <c r="DI338" s="217"/>
      <c r="DJ338" s="217"/>
      <c r="DK338" s="217"/>
      <c r="DL338" s="217"/>
      <c r="DM338" s="217"/>
      <c r="DN338" s="217"/>
      <c r="DO338" s="217"/>
      <c r="DP338" s="217"/>
      <c r="DQ338" s="217"/>
      <c r="DR338" s="217"/>
      <c r="DS338" s="217"/>
      <c r="DT338" s="217"/>
    </row>
    <row r="339" spans="1:124" x14ac:dyDescent="0.3">
      <c r="A339" s="217"/>
      <c r="B339" s="342" t="s">
        <v>280</v>
      </c>
      <c r="C339" s="345">
        <f t="shared" si="341"/>
        <v>0</v>
      </c>
      <c r="D339" s="346" t="str">
        <f>IF(D$260="","",D$262*VLOOKUP(D$260&amp;" (All)",'Default Values'!$B$162:$CD$181,MATCH($B339,'Default Values'!$B$101:$CD$101,0),0))</f>
        <v/>
      </c>
      <c r="E339" s="346" t="str">
        <f>IF(E$260="","",E$262*VLOOKUP(E$260&amp;" (All)",'Default Values'!$B$162:$CD$181,MATCH($B339,'Default Values'!$B$101:$CD$101,0),0))</f>
        <v/>
      </c>
      <c r="F339" s="346" t="str">
        <f>IF(F$260="","",F$262*VLOOKUP(F$260&amp;" (All)",'Default Values'!$B$162:$CD$181,MATCH($B339,'Default Values'!$B$101:$CD$101,0),0))</f>
        <v/>
      </c>
      <c r="G339" s="346" t="str">
        <f>IF(G$260="","",G$262*VLOOKUP(G$260&amp;" (All)",'Default Values'!$B$162:$CD$181,MATCH($B339,'Default Values'!$B$101:$CD$101,0),0))</f>
        <v/>
      </c>
      <c r="H339" s="346" t="str">
        <f>IF(H$260="","",H$262*VLOOKUP(H$260&amp;" (All)",'Default Values'!$B$162:$CD$181,MATCH($B339,'Default Values'!$B$101:$CD$101,0),0))</f>
        <v/>
      </c>
      <c r="I339" s="346" t="str">
        <f>IF(I$260="","",I$262*VLOOKUP(I$260&amp;" (All)",'Default Values'!$B$162:$CD$181,MATCH($B339,'Default Values'!$B$101:$CD$101,0),0))</f>
        <v/>
      </c>
      <c r="J339" s="346" t="str">
        <f>IF(J$260="","",J$262*VLOOKUP(J$260&amp;" (All)",'Default Values'!$B$162:$CD$181,MATCH($B339,'Default Values'!$B$101:$CD$101,0),0))</f>
        <v/>
      </c>
      <c r="K339" s="346" t="str">
        <f>IF(K$260="","",K$262*VLOOKUP(K$260&amp;" (All)",'Default Values'!$B$162:$CD$181,MATCH($B339,'Default Values'!$B$101:$CD$101,0),0))</f>
        <v/>
      </c>
      <c r="L339" s="346" t="str">
        <f>IF(L$260="","",L$262*VLOOKUP(L$260&amp;" (All)",'Default Values'!$B$162:$CD$181,MATCH($B339,'Default Values'!$B$101:$CD$101,0),0))</f>
        <v/>
      </c>
      <c r="M339" s="346" t="str">
        <f>IF(M$260="","",M$262*VLOOKUP(M$260&amp;" (All)",'Default Values'!$B$162:$CD$181,MATCH($B339,'Default Values'!$B$101:$CD$101,0),0))</f>
        <v/>
      </c>
      <c r="N339" s="346" t="str">
        <f>IF(N$260="","",N$262*VLOOKUP(N$260&amp;" (All)",'Default Values'!$B$162:$CD$181,MATCH($B339,'Default Values'!$B$101:$CD$101,0),0))</f>
        <v/>
      </c>
      <c r="O339" s="346" t="str">
        <f>IF(O$260="","",O$262*VLOOKUP(O$260&amp;" (All)",'Default Values'!$B$162:$CD$181,MATCH($B339,'Default Values'!$B$101:$CD$101,0),0))</f>
        <v/>
      </c>
      <c r="P339" s="346" t="str">
        <f>IF(P$260="","",P$262*VLOOKUP(P$260&amp;" (All)",'Default Values'!$B$162:$CD$181,MATCH($B339,'Default Values'!$B$101:$CD$101,0),0))</f>
        <v/>
      </c>
      <c r="Q339" s="346" t="str">
        <f>IF(Q$260="","",Q$262*VLOOKUP(Q$260&amp;" (All)",'Default Values'!$B$162:$CD$181,MATCH($B339,'Default Values'!$B$101:$CD$101,0),0))</f>
        <v/>
      </c>
      <c r="R339" s="346" t="str">
        <f>IF(R$260="","",R$262*VLOOKUP(R$260&amp;" (All)",'Default Values'!$B$162:$CD$181,MATCH($B339,'Default Values'!$B$101:$CD$101,0),0))</f>
        <v/>
      </c>
      <c r="S339" s="346" t="str">
        <f>IF(S$260="","",S$262*VLOOKUP(S$260&amp;" (All)",'Default Values'!$B$162:$CD$181,MATCH($B339,'Default Values'!$B$101:$CD$101,0),0))</f>
        <v/>
      </c>
      <c r="T339" s="346" t="str">
        <f>IF(T$260="","",T$262*VLOOKUP(T$260&amp;" (All)",'Default Values'!$B$162:$CD$181,MATCH($B339,'Default Values'!$B$101:$CD$101,0),0))</f>
        <v/>
      </c>
      <c r="U339" s="346" t="str">
        <f>IF(U$260="","",U$262*VLOOKUP(U$260&amp;" (All)",'Default Values'!$B$162:$CD$181,MATCH($B339,'Default Values'!$B$101:$CD$101,0),0))</f>
        <v/>
      </c>
      <c r="V339" s="346" t="str">
        <f>IF(V$260="","",V$262*VLOOKUP(V$260&amp;" (All)",'Default Values'!$B$162:$CD$181,MATCH($B339,'Default Values'!$B$101:$CD$101,0),0))</f>
        <v/>
      </c>
      <c r="W339" s="346" t="str">
        <f>IF(W$260="","",W$262*VLOOKUP(W$260&amp;" (All)",'Default Values'!$B$162:$CD$181,MATCH($B339,'Default Values'!$B$101:$CD$101,0),0))</f>
        <v/>
      </c>
      <c r="X339" s="346" t="str">
        <f>IF(X$260="","",X$262*VLOOKUP(X$260&amp;" (All)",'Default Values'!$B$162:$CD$181,MATCH($B339,'Default Values'!$B$101:$CD$101,0),0))</f>
        <v/>
      </c>
      <c r="Y339" s="346" t="str">
        <f>IF(Y$260="","",Y$262*VLOOKUP(Y$260&amp;" (All)",'Default Values'!$B$162:$CD$181,MATCH($B339,'Default Values'!$B$101:$CD$101,0),0))</f>
        <v/>
      </c>
      <c r="Z339" s="346" t="str">
        <f>IF(Z$260="","",Z$262*VLOOKUP(Z$260&amp;" (All)",'Default Values'!$B$162:$CD$181,MATCH($B339,'Default Values'!$B$101:$CD$101,0),0))</f>
        <v/>
      </c>
      <c r="AA339" s="346" t="str">
        <f>IF(AA$260="","",AA$262*VLOOKUP(AA$260&amp;" (All)",'Default Values'!$B$162:$CD$181,MATCH($B339,'Default Values'!$B$101:$CD$101,0),0))</f>
        <v/>
      </c>
      <c r="AB339" s="346" t="str">
        <f>IF(AB$260="","",AB$262*VLOOKUP(AB$260&amp;" (All)",'Default Values'!$B$162:$CD$181,MATCH($B339,'Default Values'!$B$101:$CD$101,0),0))</f>
        <v/>
      </c>
      <c r="AC339" s="346" t="str">
        <f>IF(AC$260="","",AC$262*VLOOKUP(AC$260&amp;" (All)",'Default Values'!$B$162:$CD$181,MATCH($B339,'Default Values'!$B$101:$CD$101,0),0))</f>
        <v/>
      </c>
      <c r="AD339" s="346" t="str">
        <f>IF(AD$260="","",AD$262*VLOOKUP(AD$260&amp;" (All)",'Default Values'!$B$162:$CD$181,MATCH($B339,'Default Values'!$B$101:$CD$101,0),0))</f>
        <v/>
      </c>
      <c r="AE339" s="346" t="str">
        <f>IF(AE$260="","",AE$262*VLOOKUP(AE$260&amp;" (All)",'Default Values'!$B$162:$CD$181,MATCH($B339,'Default Values'!$B$101:$CD$101,0),0))</f>
        <v/>
      </c>
      <c r="AF339" s="346" t="str">
        <f>IF(AF$260="","",AF$262*VLOOKUP(AF$260&amp;" (All)",'Default Values'!$B$162:$CD$181,MATCH($B339,'Default Values'!$B$101:$CD$101,0),0))</f>
        <v/>
      </c>
      <c r="AG339" s="346" t="str">
        <f>IF(AG$260="","",AG$262*VLOOKUP(AG$260&amp;" (All)",'Default Values'!$B$162:$CD$181,MATCH($B339,'Default Values'!$B$101:$CD$101,0),0))</f>
        <v/>
      </c>
      <c r="AH339" s="346" t="str">
        <f>IF(AH$260="","",AH$262*VLOOKUP(AH$260&amp;" (All)",'Default Values'!$B$162:$CD$181,MATCH($B339,'Default Values'!$B$101:$CD$101,0),0))</f>
        <v/>
      </c>
      <c r="AI339" s="346" t="str">
        <f>IF(AI$260="","",AI$262*VLOOKUP(AI$260&amp;" (All)",'Default Values'!$B$162:$CD$181,MATCH($B339,'Default Values'!$B$101:$CD$101,0),0))</f>
        <v/>
      </c>
      <c r="AJ339" s="346" t="str">
        <f>IF(AJ$260="","",AJ$262*VLOOKUP(AJ$260&amp;" (All)",'Default Values'!$B$162:$CD$181,MATCH($B339,'Default Values'!$B$101:$CD$101,0),0))</f>
        <v/>
      </c>
      <c r="AK339" s="346" t="str">
        <f>IF(AK$260="","",AK$262*VLOOKUP(AK$260&amp;" (All)",'Default Values'!$B$162:$CD$181,MATCH($B339,'Default Values'!$B$101:$CD$101,0),0))</f>
        <v/>
      </c>
      <c r="AL339" s="346" t="str">
        <f>IF(AL$260="","",AL$262*VLOOKUP(AL$260&amp;" (All)",'Default Values'!$B$162:$CD$181,MATCH($B339,'Default Values'!$B$101:$CD$101,0),0))</f>
        <v/>
      </c>
      <c r="AM339" s="346" t="str">
        <f>IF(AM$260="","",AM$262*VLOOKUP(AM$260&amp;" (All)",'Default Values'!$B$162:$CD$181,MATCH($B339,'Default Values'!$B$101:$CD$101,0),0))</f>
        <v/>
      </c>
      <c r="AN339" s="346" t="str">
        <f>IF(AN$260="","",AN$262*VLOOKUP(AN$260&amp;" (All)",'Default Values'!$B$162:$CD$181,MATCH($B339,'Default Values'!$B$101:$CD$101,0),0))</f>
        <v/>
      </c>
      <c r="AO339" s="346" t="str">
        <f>IF(AO$260="","",AO$262*VLOOKUP(AO$260&amp;" (All)",'Default Values'!$B$162:$CD$181,MATCH($B339,'Default Values'!$B$101:$CD$101,0),0))</f>
        <v/>
      </c>
      <c r="AP339" s="346" t="str">
        <f>IF(AP$260="","",AP$262*VLOOKUP(AP$260&amp;" (All)",'Default Values'!$B$162:$CD$181,MATCH($B339,'Default Values'!$B$101:$CD$101,0),0))</f>
        <v/>
      </c>
      <c r="AQ339" s="346" t="str">
        <f>IF(AQ$260="","",AQ$262*VLOOKUP(AQ$260&amp;" (All)",'Default Values'!$B$162:$CD$181,MATCH($B339,'Default Values'!$B$101:$CD$101,0),0))</f>
        <v/>
      </c>
      <c r="AR339" s="346">
        <f>IF(AR$260="","",AR$262*VLOOKUP(AR$260&amp;" (All)",'Default Values'!$B$162:$CD$181,MATCH($B339,'Default Values'!$B$101:$CD$101,0),0))</f>
        <v>0</v>
      </c>
      <c r="AS339" s="217"/>
      <c r="AT339" s="217"/>
      <c r="AU339" s="217"/>
      <c r="AV339" s="217"/>
      <c r="AW339" s="217"/>
      <c r="AX339" s="217"/>
      <c r="AY339" s="217"/>
      <c r="AZ339" s="217"/>
      <c r="BA339" s="217"/>
      <c r="BB339" s="217"/>
      <c r="BC339" s="217"/>
      <c r="BD339" s="217"/>
      <c r="BE339" s="217"/>
      <c r="BF339" s="217"/>
      <c r="BG339" s="217"/>
      <c r="BH339" s="217"/>
      <c r="BI339" s="217"/>
      <c r="BJ339" s="217"/>
      <c r="BK339" s="217"/>
      <c r="BL339" s="217"/>
      <c r="BM339" s="217"/>
      <c r="BN339" s="217"/>
      <c r="BO339" s="217"/>
      <c r="BP339" s="217"/>
      <c r="BQ339" s="217"/>
      <c r="BR339" s="217"/>
      <c r="BS339" s="217"/>
      <c r="BT339" s="217"/>
      <c r="BU339" s="217"/>
      <c r="BV339" s="217"/>
      <c r="BW339" s="217"/>
      <c r="BX339" s="217"/>
      <c r="BY339" s="217"/>
      <c r="BZ339" s="217"/>
      <c r="CA339" s="217"/>
      <c r="CB339" s="217"/>
      <c r="CC339" s="217"/>
      <c r="CD339" s="217"/>
      <c r="CE339" s="217"/>
      <c r="CF339" s="217"/>
      <c r="CG339" s="217"/>
      <c r="CH339" s="217"/>
      <c r="CI339" s="217"/>
      <c r="CJ339" s="217"/>
      <c r="CK339" s="217"/>
      <c r="CL339" s="217"/>
      <c r="CM339" s="217"/>
      <c r="CN339" s="217"/>
      <c r="CO339" s="217"/>
      <c r="CP339" s="217"/>
      <c r="CQ339" s="217"/>
      <c r="CR339" s="217"/>
      <c r="CS339" s="217"/>
      <c r="CT339" s="217"/>
      <c r="CU339" s="217"/>
      <c r="CV339" s="217"/>
      <c r="CW339" s="217"/>
      <c r="CX339" s="217"/>
      <c r="CY339" s="217"/>
      <c r="CZ339" s="217"/>
      <c r="DA339" s="217"/>
      <c r="DB339" s="217"/>
      <c r="DC339" s="217"/>
      <c r="DD339" s="217"/>
      <c r="DE339" s="217"/>
      <c r="DF339" s="217"/>
      <c r="DG339" s="217"/>
      <c r="DH339" s="217"/>
      <c r="DI339" s="217"/>
      <c r="DJ339" s="217"/>
      <c r="DK339" s="217"/>
      <c r="DL339" s="217"/>
      <c r="DM339" s="217"/>
      <c r="DN339" s="217"/>
      <c r="DO339" s="217"/>
      <c r="DP339" s="217"/>
      <c r="DQ339" s="217"/>
      <c r="DR339" s="217"/>
      <c r="DS339" s="217"/>
      <c r="DT339" s="217"/>
    </row>
    <row r="340" spans="1:124" x14ac:dyDescent="0.3">
      <c r="A340" s="217"/>
      <c r="B340" s="342" t="s">
        <v>282</v>
      </c>
      <c r="C340" s="345">
        <f t="shared" si="341"/>
        <v>0</v>
      </c>
      <c r="D340" s="346" t="str">
        <f>IF(D$260="","",D$262*VLOOKUP(D$260&amp;" (All)",'Default Values'!$B$162:$CD$181,MATCH($B340,'Default Values'!$B$101:$CD$101,0),0))</f>
        <v/>
      </c>
      <c r="E340" s="346" t="str">
        <f>IF(E$260="","",E$262*VLOOKUP(E$260&amp;" (All)",'Default Values'!$B$162:$CD$181,MATCH($B340,'Default Values'!$B$101:$CD$101,0),0))</f>
        <v/>
      </c>
      <c r="F340" s="346" t="str">
        <f>IF(F$260="","",F$262*VLOOKUP(F$260&amp;" (All)",'Default Values'!$B$162:$CD$181,MATCH($B340,'Default Values'!$B$101:$CD$101,0),0))</f>
        <v/>
      </c>
      <c r="G340" s="346" t="str">
        <f>IF(G$260="","",G$262*VLOOKUP(G$260&amp;" (All)",'Default Values'!$B$162:$CD$181,MATCH($B340,'Default Values'!$B$101:$CD$101,0),0))</f>
        <v/>
      </c>
      <c r="H340" s="346" t="str">
        <f>IF(H$260="","",H$262*VLOOKUP(H$260&amp;" (All)",'Default Values'!$B$162:$CD$181,MATCH($B340,'Default Values'!$B$101:$CD$101,0),0))</f>
        <v/>
      </c>
      <c r="I340" s="346" t="str">
        <f>IF(I$260="","",I$262*VLOOKUP(I$260&amp;" (All)",'Default Values'!$B$162:$CD$181,MATCH($B340,'Default Values'!$B$101:$CD$101,0),0))</f>
        <v/>
      </c>
      <c r="J340" s="346" t="str">
        <f>IF(J$260="","",J$262*VLOOKUP(J$260&amp;" (All)",'Default Values'!$B$162:$CD$181,MATCH($B340,'Default Values'!$B$101:$CD$101,0),0))</f>
        <v/>
      </c>
      <c r="K340" s="346" t="str">
        <f>IF(K$260="","",K$262*VLOOKUP(K$260&amp;" (All)",'Default Values'!$B$162:$CD$181,MATCH($B340,'Default Values'!$B$101:$CD$101,0),0))</f>
        <v/>
      </c>
      <c r="L340" s="346" t="str">
        <f>IF(L$260="","",L$262*VLOOKUP(L$260&amp;" (All)",'Default Values'!$B$162:$CD$181,MATCH($B340,'Default Values'!$B$101:$CD$101,0),0))</f>
        <v/>
      </c>
      <c r="M340" s="346" t="str">
        <f>IF(M$260="","",M$262*VLOOKUP(M$260&amp;" (All)",'Default Values'!$B$162:$CD$181,MATCH($B340,'Default Values'!$B$101:$CD$101,0),0))</f>
        <v/>
      </c>
      <c r="N340" s="346" t="str">
        <f>IF(N$260="","",N$262*VLOOKUP(N$260&amp;" (All)",'Default Values'!$B$162:$CD$181,MATCH($B340,'Default Values'!$B$101:$CD$101,0),0))</f>
        <v/>
      </c>
      <c r="O340" s="346" t="str">
        <f>IF(O$260="","",O$262*VLOOKUP(O$260&amp;" (All)",'Default Values'!$B$162:$CD$181,MATCH($B340,'Default Values'!$B$101:$CD$101,0),0))</f>
        <v/>
      </c>
      <c r="P340" s="346" t="str">
        <f>IF(P$260="","",P$262*VLOOKUP(P$260&amp;" (All)",'Default Values'!$B$162:$CD$181,MATCH($B340,'Default Values'!$B$101:$CD$101,0),0))</f>
        <v/>
      </c>
      <c r="Q340" s="346" t="str">
        <f>IF(Q$260="","",Q$262*VLOOKUP(Q$260&amp;" (All)",'Default Values'!$B$162:$CD$181,MATCH($B340,'Default Values'!$B$101:$CD$101,0),0))</f>
        <v/>
      </c>
      <c r="R340" s="346" t="str">
        <f>IF(R$260="","",R$262*VLOOKUP(R$260&amp;" (All)",'Default Values'!$B$162:$CD$181,MATCH($B340,'Default Values'!$B$101:$CD$101,0),0))</f>
        <v/>
      </c>
      <c r="S340" s="346" t="str">
        <f>IF(S$260="","",S$262*VLOOKUP(S$260&amp;" (All)",'Default Values'!$B$162:$CD$181,MATCH($B340,'Default Values'!$B$101:$CD$101,0),0))</f>
        <v/>
      </c>
      <c r="T340" s="346" t="str">
        <f>IF(T$260="","",T$262*VLOOKUP(T$260&amp;" (All)",'Default Values'!$B$162:$CD$181,MATCH($B340,'Default Values'!$B$101:$CD$101,0),0))</f>
        <v/>
      </c>
      <c r="U340" s="346" t="str">
        <f>IF(U$260="","",U$262*VLOOKUP(U$260&amp;" (All)",'Default Values'!$B$162:$CD$181,MATCH($B340,'Default Values'!$B$101:$CD$101,0),0))</f>
        <v/>
      </c>
      <c r="V340" s="346" t="str">
        <f>IF(V$260="","",V$262*VLOOKUP(V$260&amp;" (All)",'Default Values'!$B$162:$CD$181,MATCH($B340,'Default Values'!$B$101:$CD$101,0),0))</f>
        <v/>
      </c>
      <c r="W340" s="346" t="str">
        <f>IF(W$260="","",W$262*VLOOKUP(W$260&amp;" (All)",'Default Values'!$B$162:$CD$181,MATCH($B340,'Default Values'!$B$101:$CD$101,0),0))</f>
        <v/>
      </c>
      <c r="X340" s="346" t="str">
        <f>IF(X$260="","",X$262*VLOOKUP(X$260&amp;" (All)",'Default Values'!$B$162:$CD$181,MATCH($B340,'Default Values'!$B$101:$CD$101,0),0))</f>
        <v/>
      </c>
      <c r="Y340" s="346" t="str">
        <f>IF(Y$260="","",Y$262*VLOOKUP(Y$260&amp;" (All)",'Default Values'!$B$162:$CD$181,MATCH($B340,'Default Values'!$B$101:$CD$101,0),0))</f>
        <v/>
      </c>
      <c r="Z340" s="346" t="str">
        <f>IF(Z$260="","",Z$262*VLOOKUP(Z$260&amp;" (All)",'Default Values'!$B$162:$CD$181,MATCH($B340,'Default Values'!$B$101:$CD$101,0),0))</f>
        <v/>
      </c>
      <c r="AA340" s="346" t="str">
        <f>IF(AA$260="","",AA$262*VLOOKUP(AA$260&amp;" (All)",'Default Values'!$B$162:$CD$181,MATCH($B340,'Default Values'!$B$101:$CD$101,0),0))</f>
        <v/>
      </c>
      <c r="AB340" s="346" t="str">
        <f>IF(AB$260="","",AB$262*VLOOKUP(AB$260&amp;" (All)",'Default Values'!$B$162:$CD$181,MATCH($B340,'Default Values'!$B$101:$CD$101,0),0))</f>
        <v/>
      </c>
      <c r="AC340" s="346" t="str">
        <f>IF(AC$260="","",AC$262*VLOOKUP(AC$260&amp;" (All)",'Default Values'!$B$162:$CD$181,MATCH($B340,'Default Values'!$B$101:$CD$101,0),0))</f>
        <v/>
      </c>
      <c r="AD340" s="346" t="str">
        <f>IF(AD$260="","",AD$262*VLOOKUP(AD$260&amp;" (All)",'Default Values'!$B$162:$CD$181,MATCH($B340,'Default Values'!$B$101:$CD$101,0),0))</f>
        <v/>
      </c>
      <c r="AE340" s="346" t="str">
        <f>IF(AE$260="","",AE$262*VLOOKUP(AE$260&amp;" (All)",'Default Values'!$B$162:$CD$181,MATCH($B340,'Default Values'!$B$101:$CD$101,0),0))</f>
        <v/>
      </c>
      <c r="AF340" s="346" t="str">
        <f>IF(AF$260="","",AF$262*VLOOKUP(AF$260&amp;" (All)",'Default Values'!$B$162:$CD$181,MATCH($B340,'Default Values'!$B$101:$CD$101,0),0))</f>
        <v/>
      </c>
      <c r="AG340" s="346" t="str">
        <f>IF(AG$260="","",AG$262*VLOOKUP(AG$260&amp;" (All)",'Default Values'!$B$162:$CD$181,MATCH($B340,'Default Values'!$B$101:$CD$101,0),0))</f>
        <v/>
      </c>
      <c r="AH340" s="346" t="str">
        <f>IF(AH$260="","",AH$262*VLOOKUP(AH$260&amp;" (All)",'Default Values'!$B$162:$CD$181,MATCH($B340,'Default Values'!$B$101:$CD$101,0),0))</f>
        <v/>
      </c>
      <c r="AI340" s="346" t="str">
        <f>IF(AI$260="","",AI$262*VLOOKUP(AI$260&amp;" (All)",'Default Values'!$B$162:$CD$181,MATCH($B340,'Default Values'!$B$101:$CD$101,0),0))</f>
        <v/>
      </c>
      <c r="AJ340" s="346" t="str">
        <f>IF(AJ$260="","",AJ$262*VLOOKUP(AJ$260&amp;" (All)",'Default Values'!$B$162:$CD$181,MATCH($B340,'Default Values'!$B$101:$CD$101,0),0))</f>
        <v/>
      </c>
      <c r="AK340" s="346" t="str">
        <f>IF(AK$260="","",AK$262*VLOOKUP(AK$260&amp;" (All)",'Default Values'!$B$162:$CD$181,MATCH($B340,'Default Values'!$B$101:$CD$101,0),0))</f>
        <v/>
      </c>
      <c r="AL340" s="346" t="str">
        <f>IF(AL$260="","",AL$262*VLOOKUP(AL$260&amp;" (All)",'Default Values'!$B$162:$CD$181,MATCH($B340,'Default Values'!$B$101:$CD$101,0),0))</f>
        <v/>
      </c>
      <c r="AM340" s="346" t="str">
        <f>IF(AM$260="","",AM$262*VLOOKUP(AM$260&amp;" (All)",'Default Values'!$B$162:$CD$181,MATCH($B340,'Default Values'!$B$101:$CD$101,0),0))</f>
        <v/>
      </c>
      <c r="AN340" s="346" t="str">
        <f>IF(AN$260="","",AN$262*VLOOKUP(AN$260&amp;" (All)",'Default Values'!$B$162:$CD$181,MATCH($B340,'Default Values'!$B$101:$CD$101,0),0))</f>
        <v/>
      </c>
      <c r="AO340" s="346" t="str">
        <f>IF(AO$260="","",AO$262*VLOOKUP(AO$260&amp;" (All)",'Default Values'!$B$162:$CD$181,MATCH($B340,'Default Values'!$B$101:$CD$101,0),0))</f>
        <v/>
      </c>
      <c r="AP340" s="346" t="str">
        <f>IF(AP$260="","",AP$262*VLOOKUP(AP$260&amp;" (All)",'Default Values'!$B$162:$CD$181,MATCH($B340,'Default Values'!$B$101:$CD$101,0),0))</f>
        <v/>
      </c>
      <c r="AQ340" s="346" t="str">
        <f>IF(AQ$260="","",AQ$262*VLOOKUP(AQ$260&amp;" (All)",'Default Values'!$B$162:$CD$181,MATCH($B340,'Default Values'!$B$101:$CD$101,0),0))</f>
        <v/>
      </c>
      <c r="AR340" s="346">
        <f>IF(AR$260="","",AR$262*VLOOKUP(AR$260&amp;" (All)",'Default Values'!$B$162:$CD$181,MATCH($B340,'Default Values'!$B$101:$CD$101,0),0))</f>
        <v>0</v>
      </c>
      <c r="AS340" s="217"/>
      <c r="AT340" s="217"/>
      <c r="AU340" s="217"/>
      <c r="AV340" s="217"/>
      <c r="AW340" s="217"/>
      <c r="AX340" s="217"/>
      <c r="AY340" s="217"/>
      <c r="AZ340" s="217"/>
      <c r="BA340" s="217"/>
      <c r="BB340" s="217"/>
      <c r="BC340" s="217"/>
      <c r="BD340" s="217"/>
      <c r="BE340" s="217"/>
      <c r="BF340" s="217"/>
      <c r="BG340" s="217"/>
      <c r="BH340" s="217"/>
      <c r="BI340" s="217"/>
      <c r="BJ340" s="217"/>
      <c r="BK340" s="217"/>
      <c r="BL340" s="217"/>
      <c r="BM340" s="217"/>
      <c r="BN340" s="217"/>
      <c r="BO340" s="217"/>
      <c r="BP340" s="217"/>
      <c r="BQ340" s="217"/>
      <c r="BR340" s="217"/>
      <c r="BS340" s="217"/>
      <c r="BT340" s="217"/>
      <c r="BU340" s="217"/>
      <c r="BV340" s="217"/>
      <c r="BW340" s="217"/>
      <c r="BX340" s="217"/>
      <c r="BY340" s="217"/>
      <c r="BZ340" s="217"/>
      <c r="CA340" s="217"/>
      <c r="CB340" s="217"/>
      <c r="CC340" s="217"/>
      <c r="CD340" s="217"/>
      <c r="CE340" s="217"/>
      <c r="CF340" s="217"/>
      <c r="CG340" s="217"/>
      <c r="CH340" s="217"/>
      <c r="CI340" s="217"/>
      <c r="CJ340" s="217"/>
      <c r="CK340" s="217"/>
      <c r="CL340" s="217"/>
      <c r="CM340" s="217"/>
      <c r="CN340" s="217"/>
      <c r="CO340" s="217"/>
      <c r="CP340" s="217"/>
      <c r="CQ340" s="217"/>
      <c r="CR340" s="217"/>
      <c r="CS340" s="217"/>
      <c r="CT340" s="217"/>
      <c r="CU340" s="217"/>
      <c r="CV340" s="217"/>
      <c r="CW340" s="217"/>
      <c r="CX340" s="217"/>
      <c r="CY340" s="217"/>
      <c r="CZ340" s="217"/>
      <c r="DA340" s="217"/>
      <c r="DB340" s="217"/>
      <c r="DC340" s="217"/>
      <c r="DD340" s="217"/>
      <c r="DE340" s="217"/>
      <c r="DF340" s="217"/>
      <c r="DG340" s="217"/>
      <c r="DH340" s="217"/>
      <c r="DI340" s="217"/>
      <c r="DJ340" s="217"/>
      <c r="DK340" s="217"/>
      <c r="DL340" s="217"/>
      <c r="DM340" s="217"/>
      <c r="DN340" s="217"/>
      <c r="DO340" s="217"/>
      <c r="DP340" s="217"/>
      <c r="DQ340" s="217"/>
      <c r="DR340" s="217"/>
      <c r="DS340" s="217"/>
      <c r="DT340" s="217"/>
    </row>
    <row r="341" spans="1:124" x14ac:dyDescent="0.3">
      <c r="A341" s="217"/>
      <c r="B341" s="342" t="s">
        <v>283</v>
      </c>
      <c r="C341" s="345">
        <f t="shared" si="341"/>
        <v>0</v>
      </c>
      <c r="D341" s="346" t="str">
        <f>IF(D$260="","",D$262*VLOOKUP(D$260&amp;" (All)",'Default Values'!$B$162:$CD$181,MATCH($B341,'Default Values'!$B$101:$CD$101,0),0))</f>
        <v/>
      </c>
      <c r="E341" s="346" t="str">
        <f>IF(E$260="","",E$262*VLOOKUP(E$260&amp;" (All)",'Default Values'!$B$162:$CD$181,MATCH($B341,'Default Values'!$B$101:$CD$101,0),0))</f>
        <v/>
      </c>
      <c r="F341" s="346" t="str">
        <f>IF(F$260="","",F$262*VLOOKUP(F$260&amp;" (All)",'Default Values'!$B$162:$CD$181,MATCH($B341,'Default Values'!$B$101:$CD$101,0),0))</f>
        <v/>
      </c>
      <c r="G341" s="346" t="str">
        <f>IF(G$260="","",G$262*VLOOKUP(G$260&amp;" (All)",'Default Values'!$B$162:$CD$181,MATCH($B341,'Default Values'!$B$101:$CD$101,0),0))</f>
        <v/>
      </c>
      <c r="H341" s="346" t="str">
        <f>IF(H$260="","",H$262*VLOOKUP(H$260&amp;" (All)",'Default Values'!$B$162:$CD$181,MATCH($B341,'Default Values'!$B$101:$CD$101,0),0))</f>
        <v/>
      </c>
      <c r="I341" s="346" t="str">
        <f>IF(I$260="","",I$262*VLOOKUP(I$260&amp;" (All)",'Default Values'!$B$162:$CD$181,MATCH($B341,'Default Values'!$B$101:$CD$101,0),0))</f>
        <v/>
      </c>
      <c r="J341" s="346" t="str">
        <f>IF(J$260="","",J$262*VLOOKUP(J$260&amp;" (All)",'Default Values'!$B$162:$CD$181,MATCH($B341,'Default Values'!$B$101:$CD$101,0),0))</f>
        <v/>
      </c>
      <c r="K341" s="346" t="str">
        <f>IF(K$260="","",K$262*VLOOKUP(K$260&amp;" (All)",'Default Values'!$B$162:$CD$181,MATCH($B341,'Default Values'!$B$101:$CD$101,0),0))</f>
        <v/>
      </c>
      <c r="L341" s="346" t="str">
        <f>IF(L$260="","",L$262*VLOOKUP(L$260&amp;" (All)",'Default Values'!$B$162:$CD$181,MATCH($B341,'Default Values'!$B$101:$CD$101,0),0))</f>
        <v/>
      </c>
      <c r="M341" s="346" t="str">
        <f>IF(M$260="","",M$262*VLOOKUP(M$260&amp;" (All)",'Default Values'!$B$162:$CD$181,MATCH($B341,'Default Values'!$B$101:$CD$101,0),0))</f>
        <v/>
      </c>
      <c r="N341" s="346" t="str">
        <f>IF(N$260="","",N$262*VLOOKUP(N$260&amp;" (All)",'Default Values'!$B$162:$CD$181,MATCH($B341,'Default Values'!$B$101:$CD$101,0),0))</f>
        <v/>
      </c>
      <c r="O341" s="346" t="str">
        <f>IF(O$260="","",O$262*VLOOKUP(O$260&amp;" (All)",'Default Values'!$B$162:$CD$181,MATCH($B341,'Default Values'!$B$101:$CD$101,0),0))</f>
        <v/>
      </c>
      <c r="P341" s="346" t="str">
        <f>IF(P$260="","",P$262*VLOOKUP(P$260&amp;" (All)",'Default Values'!$B$162:$CD$181,MATCH($B341,'Default Values'!$B$101:$CD$101,0),0))</f>
        <v/>
      </c>
      <c r="Q341" s="346" t="str">
        <f>IF(Q$260="","",Q$262*VLOOKUP(Q$260&amp;" (All)",'Default Values'!$B$162:$CD$181,MATCH($B341,'Default Values'!$B$101:$CD$101,0),0))</f>
        <v/>
      </c>
      <c r="R341" s="346" t="str">
        <f>IF(R$260="","",R$262*VLOOKUP(R$260&amp;" (All)",'Default Values'!$B$162:$CD$181,MATCH($B341,'Default Values'!$B$101:$CD$101,0),0))</f>
        <v/>
      </c>
      <c r="S341" s="346" t="str">
        <f>IF(S$260="","",S$262*VLOOKUP(S$260&amp;" (All)",'Default Values'!$B$162:$CD$181,MATCH($B341,'Default Values'!$B$101:$CD$101,0),0))</f>
        <v/>
      </c>
      <c r="T341" s="346" t="str">
        <f>IF(T$260="","",T$262*VLOOKUP(T$260&amp;" (All)",'Default Values'!$B$162:$CD$181,MATCH($B341,'Default Values'!$B$101:$CD$101,0),0))</f>
        <v/>
      </c>
      <c r="U341" s="346" t="str">
        <f>IF(U$260="","",U$262*VLOOKUP(U$260&amp;" (All)",'Default Values'!$B$162:$CD$181,MATCH($B341,'Default Values'!$B$101:$CD$101,0),0))</f>
        <v/>
      </c>
      <c r="V341" s="346" t="str">
        <f>IF(V$260="","",V$262*VLOOKUP(V$260&amp;" (All)",'Default Values'!$B$162:$CD$181,MATCH($B341,'Default Values'!$B$101:$CD$101,0),0))</f>
        <v/>
      </c>
      <c r="W341" s="346" t="str">
        <f>IF(W$260="","",W$262*VLOOKUP(W$260&amp;" (All)",'Default Values'!$B$162:$CD$181,MATCH($B341,'Default Values'!$B$101:$CD$101,0),0))</f>
        <v/>
      </c>
      <c r="X341" s="346" t="str">
        <f>IF(X$260="","",X$262*VLOOKUP(X$260&amp;" (All)",'Default Values'!$B$162:$CD$181,MATCH($B341,'Default Values'!$B$101:$CD$101,0),0))</f>
        <v/>
      </c>
      <c r="Y341" s="346" t="str">
        <f>IF(Y$260="","",Y$262*VLOOKUP(Y$260&amp;" (All)",'Default Values'!$B$162:$CD$181,MATCH($B341,'Default Values'!$B$101:$CD$101,0),0))</f>
        <v/>
      </c>
      <c r="Z341" s="346" t="str">
        <f>IF(Z$260="","",Z$262*VLOOKUP(Z$260&amp;" (All)",'Default Values'!$B$162:$CD$181,MATCH($B341,'Default Values'!$B$101:$CD$101,0),0))</f>
        <v/>
      </c>
      <c r="AA341" s="346" t="str">
        <f>IF(AA$260="","",AA$262*VLOOKUP(AA$260&amp;" (All)",'Default Values'!$B$162:$CD$181,MATCH($B341,'Default Values'!$B$101:$CD$101,0),0))</f>
        <v/>
      </c>
      <c r="AB341" s="346" t="str">
        <f>IF(AB$260="","",AB$262*VLOOKUP(AB$260&amp;" (All)",'Default Values'!$B$162:$CD$181,MATCH($B341,'Default Values'!$B$101:$CD$101,0),0))</f>
        <v/>
      </c>
      <c r="AC341" s="346" t="str">
        <f>IF(AC$260="","",AC$262*VLOOKUP(AC$260&amp;" (All)",'Default Values'!$B$162:$CD$181,MATCH($B341,'Default Values'!$B$101:$CD$101,0),0))</f>
        <v/>
      </c>
      <c r="AD341" s="346" t="str">
        <f>IF(AD$260="","",AD$262*VLOOKUP(AD$260&amp;" (All)",'Default Values'!$B$162:$CD$181,MATCH($B341,'Default Values'!$B$101:$CD$101,0),0))</f>
        <v/>
      </c>
      <c r="AE341" s="346" t="str">
        <f>IF(AE$260="","",AE$262*VLOOKUP(AE$260&amp;" (All)",'Default Values'!$B$162:$CD$181,MATCH($B341,'Default Values'!$B$101:$CD$101,0),0))</f>
        <v/>
      </c>
      <c r="AF341" s="346" t="str">
        <f>IF(AF$260="","",AF$262*VLOOKUP(AF$260&amp;" (All)",'Default Values'!$B$162:$CD$181,MATCH($B341,'Default Values'!$B$101:$CD$101,0),0))</f>
        <v/>
      </c>
      <c r="AG341" s="346" t="str">
        <f>IF(AG$260="","",AG$262*VLOOKUP(AG$260&amp;" (All)",'Default Values'!$B$162:$CD$181,MATCH($B341,'Default Values'!$B$101:$CD$101,0),0))</f>
        <v/>
      </c>
      <c r="AH341" s="346" t="str">
        <f>IF(AH$260="","",AH$262*VLOOKUP(AH$260&amp;" (All)",'Default Values'!$B$162:$CD$181,MATCH($B341,'Default Values'!$B$101:$CD$101,0),0))</f>
        <v/>
      </c>
      <c r="AI341" s="346" t="str">
        <f>IF(AI$260="","",AI$262*VLOOKUP(AI$260&amp;" (All)",'Default Values'!$B$162:$CD$181,MATCH($B341,'Default Values'!$B$101:$CD$101,0),0))</f>
        <v/>
      </c>
      <c r="AJ341" s="346" t="str">
        <f>IF(AJ$260="","",AJ$262*VLOOKUP(AJ$260&amp;" (All)",'Default Values'!$B$162:$CD$181,MATCH($B341,'Default Values'!$B$101:$CD$101,0),0))</f>
        <v/>
      </c>
      <c r="AK341" s="346" t="str">
        <f>IF(AK$260="","",AK$262*VLOOKUP(AK$260&amp;" (All)",'Default Values'!$B$162:$CD$181,MATCH($B341,'Default Values'!$B$101:$CD$101,0),0))</f>
        <v/>
      </c>
      <c r="AL341" s="346" t="str">
        <f>IF(AL$260="","",AL$262*VLOOKUP(AL$260&amp;" (All)",'Default Values'!$B$162:$CD$181,MATCH($B341,'Default Values'!$B$101:$CD$101,0),0))</f>
        <v/>
      </c>
      <c r="AM341" s="346" t="str">
        <f>IF(AM$260="","",AM$262*VLOOKUP(AM$260&amp;" (All)",'Default Values'!$B$162:$CD$181,MATCH($B341,'Default Values'!$B$101:$CD$101,0),0))</f>
        <v/>
      </c>
      <c r="AN341" s="346" t="str">
        <f>IF(AN$260="","",AN$262*VLOOKUP(AN$260&amp;" (All)",'Default Values'!$B$162:$CD$181,MATCH($B341,'Default Values'!$B$101:$CD$101,0),0))</f>
        <v/>
      </c>
      <c r="AO341" s="346" t="str">
        <f>IF(AO$260="","",AO$262*VLOOKUP(AO$260&amp;" (All)",'Default Values'!$B$162:$CD$181,MATCH($B341,'Default Values'!$B$101:$CD$101,0),0))</f>
        <v/>
      </c>
      <c r="AP341" s="346" t="str">
        <f>IF(AP$260="","",AP$262*VLOOKUP(AP$260&amp;" (All)",'Default Values'!$B$162:$CD$181,MATCH($B341,'Default Values'!$B$101:$CD$101,0),0))</f>
        <v/>
      </c>
      <c r="AQ341" s="346" t="str">
        <f>IF(AQ$260="","",AQ$262*VLOOKUP(AQ$260&amp;" (All)",'Default Values'!$B$162:$CD$181,MATCH($B341,'Default Values'!$B$101:$CD$101,0),0))</f>
        <v/>
      </c>
      <c r="AR341" s="346">
        <f>IF(AR$260="","",AR$262*VLOOKUP(AR$260&amp;" (All)",'Default Values'!$B$162:$CD$181,MATCH($B341,'Default Values'!$B$101:$CD$101,0),0))</f>
        <v>0</v>
      </c>
      <c r="AS341" s="217"/>
      <c r="AT341" s="217"/>
      <c r="AU341" s="217"/>
      <c r="AV341" s="217"/>
      <c r="AW341" s="217"/>
      <c r="AX341" s="217"/>
      <c r="AY341" s="217"/>
      <c r="AZ341" s="217"/>
      <c r="BA341" s="217"/>
      <c r="BB341" s="217"/>
      <c r="BC341" s="217"/>
      <c r="BD341" s="217"/>
      <c r="BE341" s="217"/>
      <c r="BF341" s="217"/>
      <c r="BG341" s="217"/>
      <c r="BH341" s="217"/>
      <c r="BI341" s="217"/>
      <c r="BJ341" s="217"/>
      <c r="BK341" s="217"/>
      <c r="BL341" s="217"/>
      <c r="BM341" s="217"/>
      <c r="BN341" s="217"/>
      <c r="BO341" s="217"/>
      <c r="BP341" s="217"/>
      <c r="BQ341" s="217"/>
      <c r="BR341" s="217"/>
      <c r="BS341" s="217"/>
      <c r="BT341" s="217"/>
      <c r="BU341" s="217"/>
      <c r="BV341" s="217"/>
      <c r="BW341" s="217"/>
      <c r="BX341" s="217"/>
      <c r="BY341" s="217"/>
      <c r="BZ341" s="217"/>
      <c r="CA341" s="217"/>
      <c r="CB341" s="217"/>
      <c r="CC341" s="217"/>
      <c r="CD341" s="217"/>
      <c r="CE341" s="217"/>
      <c r="CF341" s="217"/>
      <c r="CG341" s="217"/>
      <c r="CH341" s="217"/>
      <c r="CI341" s="217"/>
      <c r="CJ341" s="217"/>
      <c r="CK341" s="217"/>
      <c r="CL341" s="217"/>
      <c r="CM341" s="217"/>
      <c r="CN341" s="217"/>
      <c r="CO341" s="217"/>
      <c r="CP341" s="217"/>
      <c r="CQ341" s="217"/>
      <c r="CR341" s="217"/>
      <c r="CS341" s="217"/>
      <c r="CT341" s="217"/>
      <c r="CU341" s="217"/>
      <c r="CV341" s="217"/>
      <c r="CW341" s="217"/>
      <c r="CX341" s="217"/>
      <c r="CY341" s="217"/>
      <c r="CZ341" s="217"/>
      <c r="DA341" s="217"/>
      <c r="DB341" s="217"/>
      <c r="DC341" s="217"/>
      <c r="DD341" s="217"/>
      <c r="DE341" s="217"/>
      <c r="DF341" s="217"/>
      <c r="DG341" s="217"/>
      <c r="DH341" s="217"/>
      <c r="DI341" s="217"/>
      <c r="DJ341" s="217"/>
      <c r="DK341" s="217"/>
      <c r="DL341" s="217"/>
      <c r="DM341" s="217"/>
      <c r="DN341" s="217"/>
      <c r="DO341" s="217"/>
      <c r="DP341" s="217"/>
      <c r="DQ341" s="217"/>
      <c r="DR341" s="217"/>
      <c r="DS341" s="217"/>
      <c r="DT341" s="217"/>
    </row>
    <row r="342" spans="1:124" x14ac:dyDescent="0.3">
      <c r="A342" s="217"/>
      <c r="B342" s="342" t="s">
        <v>285</v>
      </c>
      <c r="C342" s="345">
        <f t="shared" si="341"/>
        <v>0</v>
      </c>
      <c r="D342" s="346" t="str">
        <f>IF(D$260="","",D$262*VLOOKUP(D$260&amp;" (All)",'Default Values'!$B$162:$CD$181,MATCH($B342,'Default Values'!$B$101:$CD$101,0),0))</f>
        <v/>
      </c>
      <c r="E342" s="346" t="str">
        <f>IF(E$260="","",E$262*VLOOKUP(E$260&amp;" (All)",'Default Values'!$B$162:$CD$181,MATCH($B342,'Default Values'!$B$101:$CD$101,0),0))</f>
        <v/>
      </c>
      <c r="F342" s="346" t="str">
        <f>IF(F$260="","",F$262*VLOOKUP(F$260&amp;" (All)",'Default Values'!$B$162:$CD$181,MATCH($B342,'Default Values'!$B$101:$CD$101,0),0))</f>
        <v/>
      </c>
      <c r="G342" s="346" t="str">
        <f>IF(G$260="","",G$262*VLOOKUP(G$260&amp;" (All)",'Default Values'!$B$162:$CD$181,MATCH($B342,'Default Values'!$B$101:$CD$101,0),0))</f>
        <v/>
      </c>
      <c r="H342" s="346" t="str">
        <f>IF(H$260="","",H$262*VLOOKUP(H$260&amp;" (All)",'Default Values'!$B$162:$CD$181,MATCH($B342,'Default Values'!$B$101:$CD$101,0),0))</f>
        <v/>
      </c>
      <c r="I342" s="346" t="str">
        <f>IF(I$260="","",I$262*VLOOKUP(I$260&amp;" (All)",'Default Values'!$B$162:$CD$181,MATCH($B342,'Default Values'!$B$101:$CD$101,0),0))</f>
        <v/>
      </c>
      <c r="J342" s="346" t="str">
        <f>IF(J$260="","",J$262*VLOOKUP(J$260&amp;" (All)",'Default Values'!$B$162:$CD$181,MATCH($B342,'Default Values'!$B$101:$CD$101,0),0))</f>
        <v/>
      </c>
      <c r="K342" s="346" t="str">
        <f>IF(K$260="","",K$262*VLOOKUP(K$260&amp;" (All)",'Default Values'!$B$162:$CD$181,MATCH($B342,'Default Values'!$B$101:$CD$101,0),0))</f>
        <v/>
      </c>
      <c r="L342" s="346" t="str">
        <f>IF(L$260="","",L$262*VLOOKUP(L$260&amp;" (All)",'Default Values'!$B$162:$CD$181,MATCH($B342,'Default Values'!$B$101:$CD$101,0),0))</f>
        <v/>
      </c>
      <c r="M342" s="346" t="str">
        <f>IF(M$260="","",M$262*VLOOKUP(M$260&amp;" (All)",'Default Values'!$B$162:$CD$181,MATCH($B342,'Default Values'!$B$101:$CD$101,0),0))</f>
        <v/>
      </c>
      <c r="N342" s="346" t="str">
        <f>IF(N$260="","",N$262*VLOOKUP(N$260&amp;" (All)",'Default Values'!$B$162:$CD$181,MATCH($B342,'Default Values'!$B$101:$CD$101,0),0))</f>
        <v/>
      </c>
      <c r="O342" s="346" t="str">
        <f>IF(O$260="","",O$262*VLOOKUP(O$260&amp;" (All)",'Default Values'!$B$162:$CD$181,MATCH($B342,'Default Values'!$B$101:$CD$101,0),0))</f>
        <v/>
      </c>
      <c r="P342" s="346" t="str">
        <f>IF(P$260="","",P$262*VLOOKUP(P$260&amp;" (All)",'Default Values'!$B$162:$CD$181,MATCH($B342,'Default Values'!$B$101:$CD$101,0),0))</f>
        <v/>
      </c>
      <c r="Q342" s="346" t="str">
        <f>IF(Q$260="","",Q$262*VLOOKUP(Q$260&amp;" (All)",'Default Values'!$B$162:$CD$181,MATCH($B342,'Default Values'!$B$101:$CD$101,0),0))</f>
        <v/>
      </c>
      <c r="R342" s="346" t="str">
        <f>IF(R$260="","",R$262*VLOOKUP(R$260&amp;" (All)",'Default Values'!$B$162:$CD$181,MATCH($B342,'Default Values'!$B$101:$CD$101,0),0))</f>
        <v/>
      </c>
      <c r="S342" s="346" t="str">
        <f>IF(S$260="","",S$262*VLOOKUP(S$260&amp;" (All)",'Default Values'!$B$162:$CD$181,MATCH($B342,'Default Values'!$B$101:$CD$101,0),0))</f>
        <v/>
      </c>
      <c r="T342" s="346" t="str">
        <f>IF(T$260="","",T$262*VLOOKUP(T$260&amp;" (All)",'Default Values'!$B$162:$CD$181,MATCH($B342,'Default Values'!$B$101:$CD$101,0),0))</f>
        <v/>
      </c>
      <c r="U342" s="346" t="str">
        <f>IF(U$260="","",U$262*VLOOKUP(U$260&amp;" (All)",'Default Values'!$B$162:$CD$181,MATCH($B342,'Default Values'!$B$101:$CD$101,0),0))</f>
        <v/>
      </c>
      <c r="V342" s="346" t="str">
        <f>IF(V$260="","",V$262*VLOOKUP(V$260&amp;" (All)",'Default Values'!$B$162:$CD$181,MATCH($B342,'Default Values'!$B$101:$CD$101,0),0))</f>
        <v/>
      </c>
      <c r="W342" s="346" t="str">
        <f>IF(W$260="","",W$262*VLOOKUP(W$260&amp;" (All)",'Default Values'!$B$162:$CD$181,MATCH($B342,'Default Values'!$B$101:$CD$101,0),0))</f>
        <v/>
      </c>
      <c r="X342" s="346" t="str">
        <f>IF(X$260="","",X$262*VLOOKUP(X$260&amp;" (All)",'Default Values'!$B$162:$CD$181,MATCH($B342,'Default Values'!$B$101:$CD$101,0),0))</f>
        <v/>
      </c>
      <c r="Y342" s="346" t="str">
        <f>IF(Y$260="","",Y$262*VLOOKUP(Y$260&amp;" (All)",'Default Values'!$B$162:$CD$181,MATCH($B342,'Default Values'!$B$101:$CD$101,0),0))</f>
        <v/>
      </c>
      <c r="Z342" s="346" t="str">
        <f>IF(Z$260="","",Z$262*VLOOKUP(Z$260&amp;" (All)",'Default Values'!$B$162:$CD$181,MATCH($B342,'Default Values'!$B$101:$CD$101,0),0))</f>
        <v/>
      </c>
      <c r="AA342" s="346" t="str">
        <f>IF(AA$260="","",AA$262*VLOOKUP(AA$260&amp;" (All)",'Default Values'!$B$162:$CD$181,MATCH($B342,'Default Values'!$B$101:$CD$101,0),0))</f>
        <v/>
      </c>
      <c r="AB342" s="346" t="str">
        <f>IF(AB$260="","",AB$262*VLOOKUP(AB$260&amp;" (All)",'Default Values'!$B$162:$CD$181,MATCH($B342,'Default Values'!$B$101:$CD$101,0),0))</f>
        <v/>
      </c>
      <c r="AC342" s="346" t="str">
        <f>IF(AC$260="","",AC$262*VLOOKUP(AC$260&amp;" (All)",'Default Values'!$B$162:$CD$181,MATCH($B342,'Default Values'!$B$101:$CD$101,0),0))</f>
        <v/>
      </c>
      <c r="AD342" s="346" t="str">
        <f>IF(AD$260="","",AD$262*VLOOKUP(AD$260&amp;" (All)",'Default Values'!$B$162:$CD$181,MATCH($B342,'Default Values'!$B$101:$CD$101,0),0))</f>
        <v/>
      </c>
      <c r="AE342" s="346" t="str">
        <f>IF(AE$260="","",AE$262*VLOOKUP(AE$260&amp;" (All)",'Default Values'!$B$162:$CD$181,MATCH($B342,'Default Values'!$B$101:$CD$101,0),0))</f>
        <v/>
      </c>
      <c r="AF342" s="346" t="str">
        <f>IF(AF$260="","",AF$262*VLOOKUP(AF$260&amp;" (All)",'Default Values'!$B$162:$CD$181,MATCH($B342,'Default Values'!$B$101:$CD$101,0),0))</f>
        <v/>
      </c>
      <c r="AG342" s="346" t="str">
        <f>IF(AG$260="","",AG$262*VLOOKUP(AG$260&amp;" (All)",'Default Values'!$B$162:$CD$181,MATCH($B342,'Default Values'!$B$101:$CD$101,0),0))</f>
        <v/>
      </c>
      <c r="AH342" s="346" t="str">
        <f>IF(AH$260="","",AH$262*VLOOKUP(AH$260&amp;" (All)",'Default Values'!$B$162:$CD$181,MATCH($B342,'Default Values'!$B$101:$CD$101,0),0))</f>
        <v/>
      </c>
      <c r="AI342" s="346" t="str">
        <f>IF(AI$260="","",AI$262*VLOOKUP(AI$260&amp;" (All)",'Default Values'!$B$162:$CD$181,MATCH($B342,'Default Values'!$B$101:$CD$101,0),0))</f>
        <v/>
      </c>
      <c r="AJ342" s="346" t="str">
        <f>IF(AJ$260="","",AJ$262*VLOOKUP(AJ$260&amp;" (All)",'Default Values'!$B$162:$CD$181,MATCH($B342,'Default Values'!$B$101:$CD$101,0),0))</f>
        <v/>
      </c>
      <c r="AK342" s="346" t="str">
        <f>IF(AK$260="","",AK$262*VLOOKUP(AK$260&amp;" (All)",'Default Values'!$B$162:$CD$181,MATCH($B342,'Default Values'!$B$101:$CD$101,0),0))</f>
        <v/>
      </c>
      <c r="AL342" s="346" t="str">
        <f>IF(AL$260="","",AL$262*VLOOKUP(AL$260&amp;" (All)",'Default Values'!$B$162:$CD$181,MATCH($B342,'Default Values'!$B$101:$CD$101,0),0))</f>
        <v/>
      </c>
      <c r="AM342" s="346" t="str">
        <f>IF(AM$260="","",AM$262*VLOOKUP(AM$260&amp;" (All)",'Default Values'!$B$162:$CD$181,MATCH($B342,'Default Values'!$B$101:$CD$101,0),0))</f>
        <v/>
      </c>
      <c r="AN342" s="346" t="str">
        <f>IF(AN$260="","",AN$262*VLOOKUP(AN$260&amp;" (All)",'Default Values'!$B$162:$CD$181,MATCH($B342,'Default Values'!$B$101:$CD$101,0),0))</f>
        <v/>
      </c>
      <c r="AO342" s="346" t="str">
        <f>IF(AO$260="","",AO$262*VLOOKUP(AO$260&amp;" (All)",'Default Values'!$B$162:$CD$181,MATCH($B342,'Default Values'!$B$101:$CD$101,0),0))</f>
        <v/>
      </c>
      <c r="AP342" s="346" t="str">
        <f>IF(AP$260="","",AP$262*VLOOKUP(AP$260&amp;" (All)",'Default Values'!$B$162:$CD$181,MATCH($B342,'Default Values'!$B$101:$CD$101,0),0))</f>
        <v/>
      </c>
      <c r="AQ342" s="346" t="str">
        <f>IF(AQ$260="","",AQ$262*VLOOKUP(AQ$260&amp;" (All)",'Default Values'!$B$162:$CD$181,MATCH($B342,'Default Values'!$B$101:$CD$101,0),0))</f>
        <v/>
      </c>
      <c r="AR342" s="346">
        <f>IF(AR$260="","",AR$262*VLOOKUP(AR$260&amp;" (All)",'Default Values'!$B$162:$CD$181,MATCH($B342,'Default Values'!$B$101:$CD$101,0),0))</f>
        <v>0</v>
      </c>
      <c r="AS342" s="217"/>
      <c r="AT342" s="217"/>
      <c r="AU342" s="217"/>
      <c r="AV342" s="217"/>
      <c r="AW342" s="217"/>
      <c r="AX342" s="217"/>
      <c r="AY342" s="217"/>
      <c r="AZ342" s="217"/>
      <c r="BA342" s="217"/>
      <c r="BB342" s="217"/>
      <c r="BC342" s="217"/>
      <c r="BD342" s="217"/>
      <c r="BE342" s="217"/>
      <c r="BF342" s="217"/>
      <c r="BG342" s="217"/>
      <c r="BH342" s="217"/>
      <c r="BI342" s="217"/>
      <c r="BJ342" s="217"/>
      <c r="BK342" s="217"/>
      <c r="BL342" s="217"/>
      <c r="BM342" s="217"/>
      <c r="BN342" s="217"/>
      <c r="BO342" s="217"/>
      <c r="BP342" s="217"/>
      <c r="BQ342" s="217"/>
      <c r="BR342" s="217"/>
      <c r="BS342" s="217"/>
      <c r="BT342" s="217"/>
      <c r="BU342" s="217"/>
      <c r="BV342" s="217"/>
      <c r="BW342" s="217"/>
      <c r="BX342" s="217"/>
      <c r="BY342" s="217"/>
      <c r="BZ342" s="217"/>
      <c r="CA342" s="217"/>
      <c r="CB342" s="217"/>
      <c r="CC342" s="217"/>
      <c r="CD342" s="217"/>
      <c r="CE342" s="217"/>
      <c r="CF342" s="217"/>
      <c r="CG342" s="217"/>
      <c r="CH342" s="217"/>
      <c r="CI342" s="217"/>
      <c r="CJ342" s="217"/>
      <c r="CK342" s="217"/>
      <c r="CL342" s="217"/>
      <c r="CM342" s="217"/>
      <c r="CN342" s="217"/>
      <c r="CO342" s="217"/>
      <c r="CP342" s="217"/>
      <c r="CQ342" s="217"/>
      <c r="CR342" s="217"/>
      <c r="CS342" s="217"/>
      <c r="CT342" s="217"/>
      <c r="CU342" s="217"/>
      <c r="CV342" s="217"/>
      <c r="CW342" s="217"/>
      <c r="CX342" s="217"/>
      <c r="CY342" s="217"/>
      <c r="CZ342" s="217"/>
      <c r="DA342" s="217"/>
      <c r="DB342" s="217"/>
      <c r="DC342" s="217"/>
      <c r="DD342" s="217"/>
      <c r="DE342" s="217"/>
      <c r="DF342" s="217"/>
      <c r="DG342" s="217"/>
      <c r="DH342" s="217"/>
      <c r="DI342" s="217"/>
      <c r="DJ342" s="217"/>
      <c r="DK342" s="217"/>
      <c r="DL342" s="217"/>
      <c r="DM342" s="217"/>
      <c r="DN342" s="217"/>
      <c r="DO342" s="217"/>
      <c r="DP342" s="217"/>
      <c r="DQ342" s="217"/>
      <c r="DR342" s="217"/>
      <c r="DS342" s="217"/>
      <c r="DT342" s="217"/>
    </row>
    <row r="343" spans="1:124" x14ac:dyDescent="0.3">
      <c r="A343" s="217"/>
      <c r="B343" s="342" t="s">
        <v>286</v>
      </c>
      <c r="C343" s="345">
        <f t="shared" si="341"/>
        <v>0</v>
      </c>
      <c r="D343" s="346" t="str">
        <f>IF(D$260="","",D$262*VLOOKUP(D$260&amp;" (All)",'Default Values'!$B$162:$CD$181,MATCH($B343,'Default Values'!$B$101:$CD$101,0),0))</f>
        <v/>
      </c>
      <c r="E343" s="346" t="str">
        <f>IF(E$260="","",E$262*VLOOKUP(E$260&amp;" (All)",'Default Values'!$B$162:$CD$181,MATCH($B343,'Default Values'!$B$101:$CD$101,0),0))</f>
        <v/>
      </c>
      <c r="F343" s="346" t="str">
        <f>IF(F$260="","",F$262*VLOOKUP(F$260&amp;" (All)",'Default Values'!$B$162:$CD$181,MATCH($B343,'Default Values'!$B$101:$CD$101,0),0))</f>
        <v/>
      </c>
      <c r="G343" s="346" t="str">
        <f>IF(G$260="","",G$262*VLOOKUP(G$260&amp;" (All)",'Default Values'!$B$162:$CD$181,MATCH($B343,'Default Values'!$B$101:$CD$101,0),0))</f>
        <v/>
      </c>
      <c r="H343" s="346" t="str">
        <f>IF(H$260="","",H$262*VLOOKUP(H$260&amp;" (All)",'Default Values'!$B$162:$CD$181,MATCH($B343,'Default Values'!$B$101:$CD$101,0),0))</f>
        <v/>
      </c>
      <c r="I343" s="346" t="str">
        <f>IF(I$260="","",I$262*VLOOKUP(I$260&amp;" (All)",'Default Values'!$B$162:$CD$181,MATCH($B343,'Default Values'!$B$101:$CD$101,0),0))</f>
        <v/>
      </c>
      <c r="J343" s="346" t="str">
        <f>IF(J$260="","",J$262*VLOOKUP(J$260&amp;" (All)",'Default Values'!$B$162:$CD$181,MATCH($B343,'Default Values'!$B$101:$CD$101,0),0))</f>
        <v/>
      </c>
      <c r="K343" s="346" t="str">
        <f>IF(K$260="","",K$262*VLOOKUP(K$260&amp;" (All)",'Default Values'!$B$162:$CD$181,MATCH($B343,'Default Values'!$B$101:$CD$101,0),0))</f>
        <v/>
      </c>
      <c r="L343" s="346" t="str">
        <f>IF(L$260="","",L$262*VLOOKUP(L$260&amp;" (All)",'Default Values'!$B$162:$CD$181,MATCH($B343,'Default Values'!$B$101:$CD$101,0),0))</f>
        <v/>
      </c>
      <c r="M343" s="346" t="str">
        <f>IF(M$260="","",M$262*VLOOKUP(M$260&amp;" (All)",'Default Values'!$B$162:$CD$181,MATCH($B343,'Default Values'!$B$101:$CD$101,0),0))</f>
        <v/>
      </c>
      <c r="N343" s="346" t="str">
        <f>IF(N$260="","",N$262*VLOOKUP(N$260&amp;" (All)",'Default Values'!$B$162:$CD$181,MATCH($B343,'Default Values'!$B$101:$CD$101,0),0))</f>
        <v/>
      </c>
      <c r="O343" s="346" t="str">
        <f>IF(O$260="","",O$262*VLOOKUP(O$260&amp;" (All)",'Default Values'!$B$162:$CD$181,MATCH($B343,'Default Values'!$B$101:$CD$101,0),0))</f>
        <v/>
      </c>
      <c r="P343" s="346" t="str">
        <f>IF(P$260="","",P$262*VLOOKUP(P$260&amp;" (All)",'Default Values'!$B$162:$CD$181,MATCH($B343,'Default Values'!$B$101:$CD$101,0),0))</f>
        <v/>
      </c>
      <c r="Q343" s="346" t="str">
        <f>IF(Q$260="","",Q$262*VLOOKUP(Q$260&amp;" (All)",'Default Values'!$B$162:$CD$181,MATCH($B343,'Default Values'!$B$101:$CD$101,0),0))</f>
        <v/>
      </c>
      <c r="R343" s="346" t="str">
        <f>IF(R$260="","",R$262*VLOOKUP(R$260&amp;" (All)",'Default Values'!$B$162:$CD$181,MATCH($B343,'Default Values'!$B$101:$CD$101,0),0))</f>
        <v/>
      </c>
      <c r="S343" s="346" t="str">
        <f>IF(S$260="","",S$262*VLOOKUP(S$260&amp;" (All)",'Default Values'!$B$162:$CD$181,MATCH($B343,'Default Values'!$B$101:$CD$101,0),0))</f>
        <v/>
      </c>
      <c r="T343" s="346" t="str">
        <f>IF(T$260="","",T$262*VLOOKUP(T$260&amp;" (All)",'Default Values'!$B$162:$CD$181,MATCH($B343,'Default Values'!$B$101:$CD$101,0),0))</f>
        <v/>
      </c>
      <c r="U343" s="346" t="str">
        <f>IF(U$260="","",U$262*VLOOKUP(U$260&amp;" (All)",'Default Values'!$B$162:$CD$181,MATCH($B343,'Default Values'!$B$101:$CD$101,0),0))</f>
        <v/>
      </c>
      <c r="V343" s="346" t="str">
        <f>IF(V$260="","",V$262*VLOOKUP(V$260&amp;" (All)",'Default Values'!$B$162:$CD$181,MATCH($B343,'Default Values'!$B$101:$CD$101,0),0))</f>
        <v/>
      </c>
      <c r="W343" s="346" t="str">
        <f>IF(W$260="","",W$262*VLOOKUP(W$260&amp;" (All)",'Default Values'!$B$162:$CD$181,MATCH($B343,'Default Values'!$B$101:$CD$101,0),0))</f>
        <v/>
      </c>
      <c r="X343" s="346" t="str">
        <f>IF(X$260="","",X$262*VLOOKUP(X$260&amp;" (All)",'Default Values'!$B$162:$CD$181,MATCH($B343,'Default Values'!$B$101:$CD$101,0),0))</f>
        <v/>
      </c>
      <c r="Y343" s="346" t="str">
        <f>IF(Y$260="","",Y$262*VLOOKUP(Y$260&amp;" (All)",'Default Values'!$B$162:$CD$181,MATCH($B343,'Default Values'!$B$101:$CD$101,0),0))</f>
        <v/>
      </c>
      <c r="Z343" s="346" t="str">
        <f>IF(Z$260="","",Z$262*VLOOKUP(Z$260&amp;" (All)",'Default Values'!$B$162:$CD$181,MATCH($B343,'Default Values'!$B$101:$CD$101,0),0))</f>
        <v/>
      </c>
      <c r="AA343" s="346" t="str">
        <f>IF(AA$260="","",AA$262*VLOOKUP(AA$260&amp;" (All)",'Default Values'!$B$162:$CD$181,MATCH($B343,'Default Values'!$B$101:$CD$101,0),0))</f>
        <v/>
      </c>
      <c r="AB343" s="346" t="str">
        <f>IF(AB$260="","",AB$262*VLOOKUP(AB$260&amp;" (All)",'Default Values'!$B$162:$CD$181,MATCH($B343,'Default Values'!$B$101:$CD$101,0),0))</f>
        <v/>
      </c>
      <c r="AC343" s="346" t="str">
        <f>IF(AC$260="","",AC$262*VLOOKUP(AC$260&amp;" (All)",'Default Values'!$B$162:$CD$181,MATCH($B343,'Default Values'!$B$101:$CD$101,0),0))</f>
        <v/>
      </c>
      <c r="AD343" s="346" t="str">
        <f>IF(AD$260="","",AD$262*VLOOKUP(AD$260&amp;" (All)",'Default Values'!$B$162:$CD$181,MATCH($B343,'Default Values'!$B$101:$CD$101,0),0))</f>
        <v/>
      </c>
      <c r="AE343" s="346" t="str">
        <f>IF(AE$260="","",AE$262*VLOOKUP(AE$260&amp;" (All)",'Default Values'!$B$162:$CD$181,MATCH($B343,'Default Values'!$B$101:$CD$101,0),0))</f>
        <v/>
      </c>
      <c r="AF343" s="346" t="str">
        <f>IF(AF$260="","",AF$262*VLOOKUP(AF$260&amp;" (All)",'Default Values'!$B$162:$CD$181,MATCH($B343,'Default Values'!$B$101:$CD$101,0),0))</f>
        <v/>
      </c>
      <c r="AG343" s="346" t="str">
        <f>IF(AG$260="","",AG$262*VLOOKUP(AG$260&amp;" (All)",'Default Values'!$B$162:$CD$181,MATCH($B343,'Default Values'!$B$101:$CD$101,0),0))</f>
        <v/>
      </c>
      <c r="AH343" s="346" t="str">
        <f>IF(AH$260="","",AH$262*VLOOKUP(AH$260&amp;" (All)",'Default Values'!$B$162:$CD$181,MATCH($B343,'Default Values'!$B$101:$CD$101,0),0))</f>
        <v/>
      </c>
      <c r="AI343" s="346" t="str">
        <f>IF(AI$260="","",AI$262*VLOOKUP(AI$260&amp;" (All)",'Default Values'!$B$162:$CD$181,MATCH($B343,'Default Values'!$B$101:$CD$101,0),0))</f>
        <v/>
      </c>
      <c r="AJ343" s="346" t="str">
        <f>IF(AJ$260="","",AJ$262*VLOOKUP(AJ$260&amp;" (All)",'Default Values'!$B$162:$CD$181,MATCH($B343,'Default Values'!$B$101:$CD$101,0),0))</f>
        <v/>
      </c>
      <c r="AK343" s="346" t="str">
        <f>IF(AK$260="","",AK$262*VLOOKUP(AK$260&amp;" (All)",'Default Values'!$B$162:$CD$181,MATCH($B343,'Default Values'!$B$101:$CD$101,0),0))</f>
        <v/>
      </c>
      <c r="AL343" s="346" t="str">
        <f>IF(AL$260="","",AL$262*VLOOKUP(AL$260&amp;" (All)",'Default Values'!$B$162:$CD$181,MATCH($B343,'Default Values'!$B$101:$CD$101,0),0))</f>
        <v/>
      </c>
      <c r="AM343" s="346" t="str">
        <f>IF(AM$260="","",AM$262*VLOOKUP(AM$260&amp;" (All)",'Default Values'!$B$162:$CD$181,MATCH($B343,'Default Values'!$B$101:$CD$101,0),0))</f>
        <v/>
      </c>
      <c r="AN343" s="346" t="str">
        <f>IF(AN$260="","",AN$262*VLOOKUP(AN$260&amp;" (All)",'Default Values'!$B$162:$CD$181,MATCH($B343,'Default Values'!$B$101:$CD$101,0),0))</f>
        <v/>
      </c>
      <c r="AO343" s="346" t="str">
        <f>IF(AO$260="","",AO$262*VLOOKUP(AO$260&amp;" (All)",'Default Values'!$B$162:$CD$181,MATCH($B343,'Default Values'!$B$101:$CD$101,0),0))</f>
        <v/>
      </c>
      <c r="AP343" s="346" t="str">
        <f>IF(AP$260="","",AP$262*VLOOKUP(AP$260&amp;" (All)",'Default Values'!$B$162:$CD$181,MATCH($B343,'Default Values'!$B$101:$CD$101,0),0))</f>
        <v/>
      </c>
      <c r="AQ343" s="346" t="str">
        <f>IF(AQ$260="","",AQ$262*VLOOKUP(AQ$260&amp;" (All)",'Default Values'!$B$162:$CD$181,MATCH($B343,'Default Values'!$B$101:$CD$101,0),0))</f>
        <v/>
      </c>
      <c r="AR343" s="346">
        <f>IF(AR$260="","",AR$262*VLOOKUP(AR$260&amp;" (All)",'Default Values'!$B$162:$CD$181,MATCH($B343,'Default Values'!$B$101:$CD$101,0),0))</f>
        <v>0</v>
      </c>
      <c r="AS343" s="217"/>
      <c r="AT343" s="217"/>
      <c r="AU343" s="217"/>
      <c r="AV343" s="217"/>
      <c r="AW343" s="217"/>
      <c r="AX343" s="217"/>
      <c r="AY343" s="217"/>
      <c r="AZ343" s="217"/>
      <c r="BA343" s="217"/>
      <c r="BB343" s="217"/>
      <c r="BC343" s="217"/>
      <c r="BD343" s="217"/>
      <c r="BE343" s="217"/>
      <c r="BF343" s="217"/>
      <c r="BG343" s="217"/>
      <c r="BH343" s="217"/>
      <c r="BI343" s="217"/>
      <c r="BJ343" s="217"/>
      <c r="BK343" s="217"/>
      <c r="BL343" s="217"/>
      <c r="BM343" s="217"/>
      <c r="BN343" s="217"/>
      <c r="BO343" s="217"/>
      <c r="BP343" s="217"/>
      <c r="BQ343" s="217"/>
      <c r="BR343" s="217"/>
      <c r="BS343" s="217"/>
      <c r="BT343" s="217"/>
      <c r="BU343" s="217"/>
      <c r="BV343" s="217"/>
      <c r="BW343" s="217"/>
      <c r="BX343" s="217"/>
      <c r="BY343" s="217"/>
      <c r="BZ343" s="217"/>
      <c r="CA343" s="217"/>
      <c r="CB343" s="217"/>
      <c r="CC343" s="217"/>
      <c r="CD343" s="217"/>
      <c r="CE343" s="217"/>
      <c r="CF343" s="217"/>
      <c r="CG343" s="217"/>
      <c r="CH343" s="217"/>
      <c r="CI343" s="217"/>
      <c r="CJ343" s="217"/>
      <c r="CK343" s="217"/>
      <c r="CL343" s="217"/>
      <c r="CM343" s="217"/>
      <c r="CN343" s="217"/>
      <c r="CO343" s="217"/>
      <c r="CP343" s="217"/>
      <c r="CQ343" s="217"/>
      <c r="CR343" s="217"/>
      <c r="CS343" s="217"/>
      <c r="CT343" s="217"/>
      <c r="CU343" s="217"/>
      <c r="CV343" s="217"/>
      <c r="CW343" s="217"/>
      <c r="CX343" s="217"/>
      <c r="CY343" s="217"/>
      <c r="CZ343" s="217"/>
      <c r="DA343" s="217"/>
      <c r="DB343" s="217"/>
      <c r="DC343" s="217"/>
      <c r="DD343" s="217"/>
      <c r="DE343" s="217"/>
      <c r="DF343" s="217"/>
      <c r="DG343" s="217"/>
      <c r="DH343" s="217"/>
      <c r="DI343" s="217"/>
      <c r="DJ343" s="217"/>
      <c r="DK343" s="217"/>
      <c r="DL343" s="217"/>
      <c r="DM343" s="217"/>
      <c r="DN343" s="217"/>
      <c r="DO343" s="217"/>
      <c r="DP343" s="217"/>
      <c r="DQ343" s="217"/>
      <c r="DR343" s="217"/>
      <c r="DS343" s="217"/>
      <c r="DT343" s="217"/>
    </row>
    <row r="344" spans="1:124" x14ac:dyDescent="0.3">
      <c r="A344" s="217"/>
      <c r="B344" s="342" t="s">
        <v>288</v>
      </c>
      <c r="C344" s="345">
        <f t="shared" si="341"/>
        <v>0</v>
      </c>
      <c r="D344" s="346" t="str">
        <f>IF(D$260="","",D$262*VLOOKUP(D$260&amp;" (All)",'Default Values'!$B$162:$CD$181,MATCH($B344,'Default Values'!$B$101:$CD$101,0),0))</f>
        <v/>
      </c>
      <c r="E344" s="346" t="str">
        <f>IF(E$260="","",E$262*VLOOKUP(E$260&amp;" (All)",'Default Values'!$B$162:$CD$181,MATCH($B344,'Default Values'!$B$101:$CD$101,0),0))</f>
        <v/>
      </c>
      <c r="F344" s="346" t="str">
        <f>IF(F$260="","",F$262*VLOOKUP(F$260&amp;" (All)",'Default Values'!$B$162:$CD$181,MATCH($B344,'Default Values'!$B$101:$CD$101,0),0))</f>
        <v/>
      </c>
      <c r="G344" s="346" t="str">
        <f>IF(G$260="","",G$262*VLOOKUP(G$260&amp;" (All)",'Default Values'!$B$162:$CD$181,MATCH($B344,'Default Values'!$B$101:$CD$101,0),0))</f>
        <v/>
      </c>
      <c r="H344" s="346" t="str">
        <f>IF(H$260="","",H$262*VLOOKUP(H$260&amp;" (All)",'Default Values'!$B$162:$CD$181,MATCH($B344,'Default Values'!$B$101:$CD$101,0),0))</f>
        <v/>
      </c>
      <c r="I344" s="346" t="str">
        <f>IF(I$260="","",I$262*VLOOKUP(I$260&amp;" (All)",'Default Values'!$B$162:$CD$181,MATCH($B344,'Default Values'!$B$101:$CD$101,0),0))</f>
        <v/>
      </c>
      <c r="J344" s="346" t="str">
        <f>IF(J$260="","",J$262*VLOOKUP(J$260&amp;" (All)",'Default Values'!$B$162:$CD$181,MATCH($B344,'Default Values'!$B$101:$CD$101,0),0))</f>
        <v/>
      </c>
      <c r="K344" s="346" t="str">
        <f>IF(K$260="","",K$262*VLOOKUP(K$260&amp;" (All)",'Default Values'!$B$162:$CD$181,MATCH($B344,'Default Values'!$B$101:$CD$101,0),0))</f>
        <v/>
      </c>
      <c r="L344" s="346" t="str">
        <f>IF(L$260="","",L$262*VLOOKUP(L$260&amp;" (All)",'Default Values'!$B$162:$CD$181,MATCH($B344,'Default Values'!$B$101:$CD$101,0),0))</f>
        <v/>
      </c>
      <c r="M344" s="346" t="str">
        <f>IF(M$260="","",M$262*VLOOKUP(M$260&amp;" (All)",'Default Values'!$B$162:$CD$181,MATCH($B344,'Default Values'!$B$101:$CD$101,0),0))</f>
        <v/>
      </c>
      <c r="N344" s="346" t="str">
        <f>IF(N$260="","",N$262*VLOOKUP(N$260&amp;" (All)",'Default Values'!$B$162:$CD$181,MATCH($B344,'Default Values'!$B$101:$CD$101,0),0))</f>
        <v/>
      </c>
      <c r="O344" s="346" t="str">
        <f>IF(O$260="","",O$262*VLOOKUP(O$260&amp;" (All)",'Default Values'!$B$162:$CD$181,MATCH($B344,'Default Values'!$B$101:$CD$101,0),0))</f>
        <v/>
      </c>
      <c r="P344" s="346" t="str">
        <f>IF(P$260="","",P$262*VLOOKUP(P$260&amp;" (All)",'Default Values'!$B$162:$CD$181,MATCH($B344,'Default Values'!$B$101:$CD$101,0),0))</f>
        <v/>
      </c>
      <c r="Q344" s="346" t="str">
        <f>IF(Q$260="","",Q$262*VLOOKUP(Q$260&amp;" (All)",'Default Values'!$B$162:$CD$181,MATCH($B344,'Default Values'!$B$101:$CD$101,0),0))</f>
        <v/>
      </c>
      <c r="R344" s="346" t="str">
        <f>IF(R$260="","",R$262*VLOOKUP(R$260&amp;" (All)",'Default Values'!$B$162:$CD$181,MATCH($B344,'Default Values'!$B$101:$CD$101,0),0))</f>
        <v/>
      </c>
      <c r="S344" s="346" t="str">
        <f>IF(S$260="","",S$262*VLOOKUP(S$260&amp;" (All)",'Default Values'!$B$162:$CD$181,MATCH($B344,'Default Values'!$B$101:$CD$101,0),0))</f>
        <v/>
      </c>
      <c r="T344" s="346" t="str">
        <f>IF(T$260="","",T$262*VLOOKUP(T$260&amp;" (All)",'Default Values'!$B$162:$CD$181,MATCH($B344,'Default Values'!$B$101:$CD$101,0),0))</f>
        <v/>
      </c>
      <c r="U344" s="346" t="str">
        <f>IF(U$260="","",U$262*VLOOKUP(U$260&amp;" (All)",'Default Values'!$B$162:$CD$181,MATCH($B344,'Default Values'!$B$101:$CD$101,0),0))</f>
        <v/>
      </c>
      <c r="V344" s="346" t="str">
        <f>IF(V$260="","",V$262*VLOOKUP(V$260&amp;" (All)",'Default Values'!$B$162:$CD$181,MATCH($B344,'Default Values'!$B$101:$CD$101,0),0))</f>
        <v/>
      </c>
      <c r="W344" s="346" t="str">
        <f>IF(W$260="","",W$262*VLOOKUP(W$260&amp;" (All)",'Default Values'!$B$162:$CD$181,MATCH($B344,'Default Values'!$B$101:$CD$101,0),0))</f>
        <v/>
      </c>
      <c r="X344" s="346" t="str">
        <f>IF(X$260="","",X$262*VLOOKUP(X$260&amp;" (All)",'Default Values'!$B$162:$CD$181,MATCH($B344,'Default Values'!$B$101:$CD$101,0),0))</f>
        <v/>
      </c>
      <c r="Y344" s="346" t="str">
        <f>IF(Y$260="","",Y$262*VLOOKUP(Y$260&amp;" (All)",'Default Values'!$B$162:$CD$181,MATCH($B344,'Default Values'!$B$101:$CD$101,0),0))</f>
        <v/>
      </c>
      <c r="Z344" s="346" t="str">
        <f>IF(Z$260="","",Z$262*VLOOKUP(Z$260&amp;" (All)",'Default Values'!$B$162:$CD$181,MATCH($B344,'Default Values'!$B$101:$CD$101,0),0))</f>
        <v/>
      </c>
      <c r="AA344" s="346" t="str">
        <f>IF(AA$260="","",AA$262*VLOOKUP(AA$260&amp;" (All)",'Default Values'!$B$162:$CD$181,MATCH($B344,'Default Values'!$B$101:$CD$101,0),0))</f>
        <v/>
      </c>
      <c r="AB344" s="346" t="str">
        <f>IF(AB$260="","",AB$262*VLOOKUP(AB$260&amp;" (All)",'Default Values'!$B$162:$CD$181,MATCH($B344,'Default Values'!$B$101:$CD$101,0),0))</f>
        <v/>
      </c>
      <c r="AC344" s="346" t="str">
        <f>IF(AC$260="","",AC$262*VLOOKUP(AC$260&amp;" (All)",'Default Values'!$B$162:$CD$181,MATCH($B344,'Default Values'!$B$101:$CD$101,0),0))</f>
        <v/>
      </c>
      <c r="AD344" s="346" t="str">
        <f>IF(AD$260="","",AD$262*VLOOKUP(AD$260&amp;" (All)",'Default Values'!$B$162:$CD$181,MATCH($B344,'Default Values'!$B$101:$CD$101,0),0))</f>
        <v/>
      </c>
      <c r="AE344" s="346" t="str">
        <f>IF(AE$260="","",AE$262*VLOOKUP(AE$260&amp;" (All)",'Default Values'!$B$162:$CD$181,MATCH($B344,'Default Values'!$B$101:$CD$101,0),0))</f>
        <v/>
      </c>
      <c r="AF344" s="346" t="str">
        <f>IF(AF$260="","",AF$262*VLOOKUP(AF$260&amp;" (All)",'Default Values'!$B$162:$CD$181,MATCH($B344,'Default Values'!$B$101:$CD$101,0),0))</f>
        <v/>
      </c>
      <c r="AG344" s="346" t="str">
        <f>IF(AG$260="","",AG$262*VLOOKUP(AG$260&amp;" (All)",'Default Values'!$B$162:$CD$181,MATCH($B344,'Default Values'!$B$101:$CD$101,0),0))</f>
        <v/>
      </c>
      <c r="AH344" s="346" t="str">
        <f>IF(AH$260="","",AH$262*VLOOKUP(AH$260&amp;" (All)",'Default Values'!$B$162:$CD$181,MATCH($B344,'Default Values'!$B$101:$CD$101,0),0))</f>
        <v/>
      </c>
      <c r="AI344" s="346" t="str">
        <f>IF(AI$260="","",AI$262*VLOOKUP(AI$260&amp;" (All)",'Default Values'!$B$162:$CD$181,MATCH($B344,'Default Values'!$B$101:$CD$101,0),0))</f>
        <v/>
      </c>
      <c r="AJ344" s="346" t="str">
        <f>IF(AJ$260="","",AJ$262*VLOOKUP(AJ$260&amp;" (All)",'Default Values'!$B$162:$CD$181,MATCH($B344,'Default Values'!$B$101:$CD$101,0),0))</f>
        <v/>
      </c>
      <c r="AK344" s="346" t="str">
        <f>IF(AK$260="","",AK$262*VLOOKUP(AK$260&amp;" (All)",'Default Values'!$B$162:$CD$181,MATCH($B344,'Default Values'!$B$101:$CD$101,0),0))</f>
        <v/>
      </c>
      <c r="AL344" s="346" t="str">
        <f>IF(AL$260="","",AL$262*VLOOKUP(AL$260&amp;" (All)",'Default Values'!$B$162:$CD$181,MATCH($B344,'Default Values'!$B$101:$CD$101,0),0))</f>
        <v/>
      </c>
      <c r="AM344" s="346" t="str">
        <f>IF(AM$260="","",AM$262*VLOOKUP(AM$260&amp;" (All)",'Default Values'!$B$162:$CD$181,MATCH($B344,'Default Values'!$B$101:$CD$101,0),0))</f>
        <v/>
      </c>
      <c r="AN344" s="346" t="str">
        <f>IF(AN$260="","",AN$262*VLOOKUP(AN$260&amp;" (All)",'Default Values'!$B$162:$CD$181,MATCH($B344,'Default Values'!$B$101:$CD$101,0),0))</f>
        <v/>
      </c>
      <c r="AO344" s="346" t="str">
        <f>IF(AO$260="","",AO$262*VLOOKUP(AO$260&amp;" (All)",'Default Values'!$B$162:$CD$181,MATCH($B344,'Default Values'!$B$101:$CD$101,0),0))</f>
        <v/>
      </c>
      <c r="AP344" s="346" t="str">
        <f>IF(AP$260="","",AP$262*VLOOKUP(AP$260&amp;" (All)",'Default Values'!$B$162:$CD$181,MATCH($B344,'Default Values'!$B$101:$CD$101,0),0))</f>
        <v/>
      </c>
      <c r="AQ344" s="346" t="str">
        <f>IF(AQ$260="","",AQ$262*VLOOKUP(AQ$260&amp;" (All)",'Default Values'!$B$162:$CD$181,MATCH($B344,'Default Values'!$B$101:$CD$101,0),0))</f>
        <v/>
      </c>
      <c r="AR344" s="346">
        <f>IF(AR$260="","",AR$262*VLOOKUP(AR$260&amp;" (All)",'Default Values'!$B$162:$CD$181,MATCH($B344,'Default Values'!$B$101:$CD$101,0),0))</f>
        <v>0</v>
      </c>
      <c r="AS344" s="217"/>
      <c r="AT344" s="217"/>
      <c r="AU344" s="217"/>
      <c r="AV344" s="217"/>
      <c r="AW344" s="217"/>
      <c r="AX344" s="217"/>
      <c r="AY344" s="217"/>
      <c r="AZ344" s="217"/>
      <c r="BA344" s="217"/>
      <c r="BB344" s="217"/>
      <c r="BC344" s="217"/>
      <c r="BD344" s="217"/>
      <c r="BE344" s="217"/>
      <c r="BF344" s="217"/>
      <c r="BG344" s="217"/>
      <c r="BH344" s="217"/>
      <c r="BI344" s="217"/>
      <c r="BJ344" s="217"/>
      <c r="BK344" s="217"/>
      <c r="BL344" s="217"/>
      <c r="BM344" s="217"/>
      <c r="BN344" s="217"/>
      <c r="BO344" s="217"/>
      <c r="BP344" s="217"/>
      <c r="BQ344" s="217"/>
      <c r="BR344" s="217"/>
      <c r="BS344" s="217"/>
      <c r="BT344" s="217"/>
      <c r="BU344" s="217"/>
      <c r="BV344" s="217"/>
      <c r="BW344" s="217"/>
      <c r="BX344" s="217"/>
      <c r="BY344" s="217"/>
      <c r="BZ344" s="217"/>
      <c r="CA344" s="217"/>
      <c r="CB344" s="217"/>
      <c r="CC344" s="217"/>
      <c r="CD344" s="217"/>
      <c r="CE344" s="217"/>
      <c r="CF344" s="217"/>
      <c r="CG344" s="217"/>
      <c r="CH344" s="217"/>
      <c r="CI344" s="217"/>
      <c r="CJ344" s="217"/>
      <c r="CK344" s="217"/>
      <c r="CL344" s="217"/>
      <c r="CM344" s="217"/>
      <c r="CN344" s="217"/>
      <c r="CO344" s="217"/>
      <c r="CP344" s="217"/>
      <c r="CQ344" s="217"/>
      <c r="CR344" s="217"/>
      <c r="CS344" s="217"/>
      <c r="CT344" s="217"/>
      <c r="CU344" s="217"/>
      <c r="CV344" s="217"/>
      <c r="CW344" s="217"/>
      <c r="CX344" s="217"/>
      <c r="CY344" s="217"/>
      <c r="CZ344" s="217"/>
      <c r="DA344" s="217"/>
      <c r="DB344" s="217"/>
      <c r="DC344" s="217"/>
      <c r="DD344" s="217"/>
      <c r="DE344" s="217"/>
      <c r="DF344" s="217"/>
      <c r="DG344" s="217"/>
      <c r="DH344" s="217"/>
      <c r="DI344" s="217"/>
      <c r="DJ344" s="217"/>
      <c r="DK344" s="217"/>
      <c r="DL344" s="217"/>
      <c r="DM344" s="217"/>
      <c r="DN344" s="217"/>
      <c r="DO344" s="217"/>
      <c r="DP344" s="217"/>
      <c r="DQ344" s="217"/>
      <c r="DR344" s="217"/>
      <c r="DS344" s="217"/>
      <c r="DT344" s="217"/>
    </row>
    <row r="345" spans="1:124" x14ac:dyDescent="0.3">
      <c r="A345" s="217"/>
      <c r="B345" s="467" t="s">
        <v>749</v>
      </c>
      <c r="C345" s="468">
        <f>SUM(D345:AQ345)</f>
        <v>0</v>
      </c>
      <c r="D345" s="468">
        <f>IF(D260="",0,D262*(1-VLOOKUP(D260&amp;" (All)",'Default Values'!$B$162:$CF$181,COLUMNS('Default Values'!$B$162:$CF$162),0)))</f>
        <v>0</v>
      </c>
      <c r="E345" s="468">
        <f>IF(E260="",0,E262*(1-VLOOKUP(E260&amp;" (All)",'Default Values'!$B$162:$CF$181,COLUMNS('Default Values'!$B$162:$CF$162),0)))</f>
        <v>0</v>
      </c>
      <c r="F345" s="468">
        <f>IF(F260="",0,F262*(1-VLOOKUP(F260&amp;" (All)",'Default Values'!$B$162:$CF$181,COLUMNS('Default Values'!$B$162:$CF$162),0)))</f>
        <v>0</v>
      </c>
      <c r="G345" s="468">
        <f>IF(G260="",0,G262*(1-VLOOKUP(G260&amp;" (All)",'Default Values'!$B$162:$CF$181,COLUMNS('Default Values'!$B$162:$CF$162),0)))</f>
        <v>0</v>
      </c>
      <c r="H345" s="468">
        <f>IF(H260="",0,H262*(1-VLOOKUP(H260&amp;" (All)",'Default Values'!$B$162:$CF$181,COLUMNS('Default Values'!$B$162:$CF$162),0)))</f>
        <v>0</v>
      </c>
      <c r="I345" s="468">
        <f>IF(I260="",0,I262*(1-VLOOKUP(I260&amp;" (All)",'Default Values'!$B$162:$CF$181,COLUMNS('Default Values'!$B$162:$CF$162),0)))</f>
        <v>0</v>
      </c>
      <c r="J345" s="468">
        <f>IF(J260="",0,J262*(1-VLOOKUP(J260&amp;" (All)",'Default Values'!$B$162:$CF$181,COLUMNS('Default Values'!$B$162:$CF$162),0)))</f>
        <v>0</v>
      </c>
      <c r="K345" s="468">
        <f>IF(K260="",0,K262*(1-VLOOKUP(K260&amp;" (All)",'Default Values'!$B$162:$CF$181,COLUMNS('Default Values'!$B$162:$CF$162),0)))</f>
        <v>0</v>
      </c>
      <c r="L345" s="468">
        <f>IF(L260="",0,L262*(1-VLOOKUP(L260&amp;" (All)",'Default Values'!$B$162:$CF$181,COLUMNS('Default Values'!$B$162:$CF$162),0)))</f>
        <v>0</v>
      </c>
      <c r="M345" s="468">
        <f>IF(M260="",0,M262*(1-VLOOKUP(M260&amp;" (All)",'Default Values'!$B$162:$CF$181,COLUMNS('Default Values'!$B$162:$CF$162),0)))</f>
        <v>0</v>
      </c>
      <c r="N345" s="468">
        <f>IF(N260="",0,N262*(1-VLOOKUP(N260&amp;" (All)",'Default Values'!$B$162:$CF$181,COLUMNS('Default Values'!$B$162:$CF$162),0)))</f>
        <v>0</v>
      </c>
      <c r="O345" s="468">
        <f>IF(O260="",0,O262*(1-VLOOKUP(O260&amp;" (All)",'Default Values'!$B$162:$CF$181,COLUMNS('Default Values'!$B$162:$CF$162),0)))</f>
        <v>0</v>
      </c>
      <c r="P345" s="468">
        <f>IF(P260="",0,P262*(1-VLOOKUP(P260&amp;" (All)",'Default Values'!$B$162:$CF$181,COLUMNS('Default Values'!$B$162:$CF$162),0)))</f>
        <v>0</v>
      </c>
      <c r="Q345" s="468">
        <f>IF(Q260="",0,Q262*(1-VLOOKUP(Q260&amp;" (All)",'Default Values'!$B$162:$CF$181,COLUMNS('Default Values'!$B$162:$CF$162),0)))</f>
        <v>0</v>
      </c>
      <c r="R345" s="468">
        <f>IF(R260="",0,R262*(1-VLOOKUP(R260&amp;" (All)",'Default Values'!$B$162:$CF$181,COLUMNS('Default Values'!$B$162:$CF$162),0)))</f>
        <v>0</v>
      </c>
      <c r="S345" s="468">
        <f>IF(S260="",0,S262*(1-VLOOKUP(S260&amp;" (All)",'Default Values'!$B$162:$CF$181,COLUMNS('Default Values'!$B$162:$CF$162),0)))</f>
        <v>0</v>
      </c>
      <c r="T345" s="468">
        <f>IF(T260="",0,T262*(1-VLOOKUP(T260&amp;" (All)",'Default Values'!$B$162:$CF$181,COLUMNS('Default Values'!$B$162:$CF$162),0)))</f>
        <v>0</v>
      </c>
      <c r="U345" s="468">
        <f>IF(U260="",0,U262*(1-VLOOKUP(U260&amp;" (All)",'Default Values'!$B$162:$CF$181,COLUMNS('Default Values'!$B$162:$CF$162),0)))</f>
        <v>0</v>
      </c>
      <c r="V345" s="468">
        <f>IF(V260="",0,V262*(1-VLOOKUP(V260&amp;" (All)",'Default Values'!$B$162:$CF$181,COLUMNS('Default Values'!$B$162:$CF$162),0)))</f>
        <v>0</v>
      </c>
      <c r="W345" s="468">
        <f>IF(W260="",0,W262*(1-VLOOKUP(W260&amp;" (All)",'Default Values'!$B$162:$CF$181,COLUMNS('Default Values'!$B$162:$CF$162),0)))</f>
        <v>0</v>
      </c>
      <c r="X345" s="468">
        <f>IF(X260="",0,X262*(1-VLOOKUP(X260&amp;" (All)",'Default Values'!$B$162:$CF$181,COLUMNS('Default Values'!$B$162:$CF$162),0)))</f>
        <v>0</v>
      </c>
      <c r="Y345" s="468">
        <f>IF(Y260="",0,Y262*(1-VLOOKUP(Y260&amp;" (All)",'Default Values'!$B$162:$CF$181,COLUMNS('Default Values'!$B$162:$CF$162),0)))</f>
        <v>0</v>
      </c>
      <c r="Z345" s="468">
        <f>IF(Z260="",0,Z262*(1-VLOOKUP(Z260&amp;" (All)",'Default Values'!$B$162:$CF$181,COLUMNS('Default Values'!$B$162:$CF$162),0)))</f>
        <v>0</v>
      </c>
      <c r="AA345" s="468">
        <f>IF(AA260="",0,AA262*(1-VLOOKUP(AA260&amp;" (All)",'Default Values'!$B$162:$CF$181,COLUMNS('Default Values'!$B$162:$CF$162),0)))</f>
        <v>0</v>
      </c>
      <c r="AB345" s="468">
        <f>IF(AB260="",0,AB262*(1-VLOOKUP(AB260&amp;" (All)",'Default Values'!$B$162:$CF$181,COLUMNS('Default Values'!$B$162:$CF$162),0)))</f>
        <v>0</v>
      </c>
      <c r="AC345" s="468">
        <f>IF(AC260="",0,AC262*(1-VLOOKUP(AC260&amp;" (All)",'Default Values'!$B$162:$CF$181,COLUMNS('Default Values'!$B$162:$CF$162),0)))</f>
        <v>0</v>
      </c>
      <c r="AD345" s="468">
        <f>IF(AD260="",0,AD262*(1-VLOOKUP(AD260&amp;" (All)",'Default Values'!$B$162:$CF$181,COLUMNS('Default Values'!$B$162:$CF$162),0)))</f>
        <v>0</v>
      </c>
      <c r="AE345" s="468">
        <f>IF(AE260="",0,AE262*(1-VLOOKUP(AE260&amp;" (All)",'Default Values'!$B$162:$CF$181,COLUMNS('Default Values'!$B$162:$CF$162),0)))</f>
        <v>0</v>
      </c>
      <c r="AF345" s="468">
        <f>IF(AF260="",0,AF262*(1-VLOOKUP(AF260&amp;" (All)",'Default Values'!$B$162:$CF$181,COLUMNS('Default Values'!$B$162:$CF$162),0)))</f>
        <v>0</v>
      </c>
      <c r="AG345" s="468">
        <f>IF(AG260="",0,AG262*(1-VLOOKUP(AG260&amp;" (All)",'Default Values'!$B$162:$CF$181,COLUMNS('Default Values'!$B$162:$CF$162),0)))</f>
        <v>0</v>
      </c>
      <c r="AH345" s="468">
        <f>IF(AH260="",0,AH262*(1-VLOOKUP(AH260&amp;" (All)",'Default Values'!$B$162:$CF$181,COLUMNS('Default Values'!$B$162:$CF$162),0)))</f>
        <v>0</v>
      </c>
      <c r="AI345" s="468">
        <f>IF(AI260="",0,AI262*(1-VLOOKUP(AI260&amp;" (All)",'Default Values'!$B$162:$CF$181,COLUMNS('Default Values'!$B$162:$CF$162),0)))</f>
        <v>0</v>
      </c>
      <c r="AJ345" s="468">
        <f>IF(AJ260="",0,AJ262*(1-VLOOKUP(AJ260&amp;" (All)",'Default Values'!$B$162:$CF$181,COLUMNS('Default Values'!$B$162:$CF$162),0)))</f>
        <v>0</v>
      </c>
      <c r="AK345" s="468">
        <f>IF(AK260="",0,AK262*(1-VLOOKUP(AK260&amp;" (All)",'Default Values'!$B$162:$CF$181,COLUMNS('Default Values'!$B$162:$CF$162),0)))</f>
        <v>0</v>
      </c>
      <c r="AL345" s="468">
        <f>IF(AL260="",0,AL262*(1-VLOOKUP(AL260&amp;" (All)",'Default Values'!$B$162:$CF$181,COLUMNS('Default Values'!$B$162:$CF$162),0)))</f>
        <v>0</v>
      </c>
      <c r="AM345" s="468">
        <f>IF(AM260="",0,AM262*(1-VLOOKUP(AM260&amp;" (All)",'Default Values'!$B$162:$CF$181,COLUMNS('Default Values'!$B$162:$CF$162),0)))</f>
        <v>0</v>
      </c>
      <c r="AN345" s="468">
        <f>IF(AN260="",0,AN262*(1-VLOOKUP(AN260&amp;" (All)",'Default Values'!$B$162:$CF$181,COLUMNS('Default Values'!$B$162:$CF$162),0)))</f>
        <v>0</v>
      </c>
      <c r="AO345" s="468">
        <f>IF(AO260="",0,AO262*(1-VLOOKUP(AO260&amp;" (All)",'Default Values'!$B$162:$CF$181,COLUMNS('Default Values'!$B$162:$CF$162),0)))</f>
        <v>0</v>
      </c>
      <c r="AP345" s="468">
        <f>IF(AP260="",0,AP262*(1-VLOOKUP(AP260&amp;" (All)",'Default Values'!$B$162:$CF$181,COLUMNS('Default Values'!$B$162:$CF$162),0)))</f>
        <v>0</v>
      </c>
      <c r="AQ345" s="468">
        <f>IF(AQ260="",0,AQ262*(1-VLOOKUP(AQ260&amp;" (All)",'Default Values'!$B$162:$CF$181,COLUMNS('Default Values'!$B$162:$CF$162),0)))</f>
        <v>0</v>
      </c>
      <c r="AR345" s="468">
        <f>IF(AR260="",0,AR262*(1-VLOOKUP(AR260&amp;" (All)",'Default Values'!$B$162:$CF$181,COLUMNS('Default Values'!$B$162:$CF$162),0)))</f>
        <v>1.9161506712443495</v>
      </c>
      <c r="AS345" s="217"/>
      <c r="AT345" s="217"/>
      <c r="AU345" s="217"/>
      <c r="AV345" s="217"/>
      <c r="AW345" s="217"/>
      <c r="AX345" s="217"/>
      <c r="AY345" s="217"/>
      <c r="AZ345" s="217"/>
      <c r="BA345" s="217"/>
      <c r="BB345" s="217"/>
      <c r="BC345" s="217"/>
      <c r="BD345" s="217"/>
      <c r="BE345" s="217"/>
      <c r="BF345" s="217"/>
      <c r="BG345" s="217"/>
      <c r="BH345" s="217"/>
      <c r="BI345" s="217"/>
      <c r="BJ345" s="217"/>
      <c r="BK345" s="217"/>
      <c r="BL345" s="217"/>
      <c r="BM345" s="217"/>
      <c r="BN345" s="217"/>
      <c r="BO345" s="217"/>
      <c r="BP345" s="217"/>
      <c r="BQ345" s="217"/>
      <c r="BR345" s="217"/>
      <c r="BS345" s="217"/>
      <c r="BT345" s="217"/>
      <c r="BU345" s="217"/>
      <c r="BV345" s="217"/>
      <c r="BW345" s="217"/>
      <c r="BX345" s="217"/>
      <c r="BY345" s="217"/>
      <c r="BZ345" s="217"/>
      <c r="CA345" s="217"/>
      <c r="CB345" s="217"/>
      <c r="CC345" s="217"/>
      <c r="CD345" s="217"/>
      <c r="CE345" s="217"/>
      <c r="CF345" s="217"/>
      <c r="CG345" s="217"/>
      <c r="CH345" s="217"/>
      <c r="CI345" s="217"/>
      <c r="CJ345" s="217"/>
      <c r="CK345" s="217"/>
      <c r="CL345" s="217"/>
      <c r="CM345" s="217"/>
      <c r="CN345" s="217"/>
      <c r="CO345" s="217"/>
      <c r="CP345" s="217"/>
      <c r="CQ345" s="217"/>
      <c r="CR345" s="217"/>
      <c r="CS345" s="217"/>
      <c r="CT345" s="217"/>
      <c r="CU345" s="217"/>
      <c r="CV345" s="217"/>
      <c r="CW345" s="217"/>
      <c r="CX345" s="217"/>
      <c r="CY345" s="217"/>
      <c r="CZ345" s="217"/>
      <c r="DA345" s="217"/>
      <c r="DB345" s="217"/>
      <c r="DC345" s="217"/>
      <c r="DD345" s="217"/>
      <c r="DE345" s="217"/>
      <c r="DF345" s="217"/>
      <c r="DG345" s="217"/>
      <c r="DH345" s="217"/>
      <c r="DI345" s="217"/>
      <c r="DJ345" s="217"/>
      <c r="DK345" s="217"/>
      <c r="DL345" s="217"/>
      <c r="DM345" s="217"/>
      <c r="DN345" s="217"/>
      <c r="DO345" s="217"/>
      <c r="DP345" s="217"/>
      <c r="DQ345" s="217"/>
      <c r="DR345" s="217"/>
      <c r="DS345" s="217"/>
      <c r="DT345" s="217"/>
    </row>
    <row r="346" spans="1:124" x14ac:dyDescent="0.3">
      <c r="A346" s="217"/>
      <c r="B346" s="217" t="s">
        <v>639</v>
      </c>
      <c r="C346" s="400">
        <f>C262-SUM(C265:C344)-C345</f>
        <v>0</v>
      </c>
      <c r="D346" s="400">
        <f>D262-SUM(D265:D344)-D345</f>
        <v>0</v>
      </c>
      <c r="E346" s="400">
        <f>E262-SUM(E265:E344)-E345</f>
        <v>0</v>
      </c>
      <c r="F346" s="400">
        <f t="shared" ref="F346:W346" si="342">F262-SUM(F265:F344)-F345</f>
        <v>0</v>
      </c>
      <c r="G346" s="400">
        <f t="shared" si="342"/>
        <v>0</v>
      </c>
      <c r="H346" s="400">
        <f t="shared" si="342"/>
        <v>0</v>
      </c>
      <c r="I346" s="400">
        <f t="shared" si="342"/>
        <v>0</v>
      </c>
      <c r="J346" s="400">
        <f t="shared" si="342"/>
        <v>0</v>
      </c>
      <c r="K346" s="400">
        <f t="shared" si="342"/>
        <v>0</v>
      </c>
      <c r="L346" s="400">
        <f t="shared" si="342"/>
        <v>0</v>
      </c>
      <c r="M346" s="400">
        <f t="shared" si="342"/>
        <v>0</v>
      </c>
      <c r="N346" s="400">
        <f t="shared" si="342"/>
        <v>0</v>
      </c>
      <c r="O346" s="400">
        <f t="shared" si="342"/>
        <v>0</v>
      </c>
      <c r="P346" s="400">
        <f t="shared" si="342"/>
        <v>0</v>
      </c>
      <c r="Q346" s="400">
        <f t="shared" si="342"/>
        <v>0</v>
      </c>
      <c r="R346" s="400">
        <f t="shared" si="342"/>
        <v>0</v>
      </c>
      <c r="S346" s="400">
        <f t="shared" si="342"/>
        <v>0</v>
      </c>
      <c r="T346" s="400">
        <f t="shared" si="342"/>
        <v>0</v>
      </c>
      <c r="U346" s="400">
        <f t="shared" si="342"/>
        <v>0</v>
      </c>
      <c r="V346" s="400">
        <f t="shared" si="342"/>
        <v>0</v>
      </c>
      <c r="W346" s="400">
        <f t="shared" si="342"/>
        <v>0</v>
      </c>
      <c r="X346" s="217"/>
      <c r="Y346" s="217"/>
      <c r="Z346" s="217"/>
      <c r="AA346" s="217"/>
      <c r="AB346" s="217"/>
      <c r="AC346" s="217"/>
      <c r="AD346" s="217"/>
      <c r="AE346" s="217"/>
      <c r="AF346" s="217"/>
      <c r="AG346" s="217"/>
      <c r="AH346" s="217"/>
      <c r="AI346" s="217"/>
      <c r="AJ346" s="217"/>
      <c r="AK346" s="217"/>
      <c r="AL346" s="217"/>
      <c r="AM346" s="217"/>
      <c r="AN346" s="217"/>
      <c r="AO346" s="217"/>
      <c r="AP346" s="217"/>
      <c r="AQ346" s="217"/>
      <c r="AR346" s="217"/>
      <c r="AS346" s="217"/>
      <c r="AT346" s="217"/>
      <c r="AU346" s="217"/>
      <c r="AV346" s="217"/>
      <c r="AW346" s="217"/>
      <c r="AX346" s="217"/>
      <c r="AY346" s="217"/>
      <c r="AZ346" s="217"/>
      <c r="BA346" s="217"/>
      <c r="BB346" s="217"/>
      <c r="BC346" s="217"/>
      <c r="BD346" s="217"/>
      <c r="BE346" s="217"/>
      <c r="BF346" s="217"/>
      <c r="BG346" s="217"/>
      <c r="BH346" s="217"/>
      <c r="BI346" s="217"/>
      <c r="BJ346" s="217"/>
      <c r="BK346" s="217"/>
      <c r="BL346" s="217"/>
      <c r="BM346" s="217"/>
      <c r="BN346" s="217"/>
      <c r="BO346" s="217"/>
      <c r="BP346" s="217"/>
      <c r="BQ346" s="217"/>
      <c r="BR346" s="217"/>
      <c r="BS346" s="217"/>
      <c r="BT346" s="217"/>
      <c r="BU346" s="217"/>
      <c r="BV346" s="217"/>
      <c r="BW346" s="217"/>
      <c r="BX346" s="217"/>
      <c r="BY346" s="217"/>
      <c r="BZ346" s="217"/>
      <c r="CA346" s="217"/>
      <c r="CB346" s="217"/>
      <c r="CC346" s="217"/>
      <c r="CD346" s="217"/>
      <c r="CE346" s="217"/>
      <c r="CF346" s="217"/>
      <c r="CG346" s="217"/>
      <c r="CH346" s="217"/>
      <c r="CI346" s="217"/>
      <c r="CJ346" s="217"/>
      <c r="CK346" s="217"/>
      <c r="CL346" s="217"/>
      <c r="CM346" s="217"/>
      <c r="CN346" s="217"/>
      <c r="CO346" s="217"/>
      <c r="CP346" s="217"/>
      <c r="CQ346" s="217"/>
      <c r="CR346" s="217"/>
      <c r="CS346" s="217"/>
      <c r="CT346" s="217"/>
      <c r="CU346" s="217"/>
      <c r="CV346" s="217"/>
      <c r="CW346" s="217"/>
      <c r="CX346" s="217"/>
      <c r="CY346" s="217"/>
      <c r="CZ346" s="217"/>
      <c r="DA346" s="217"/>
      <c r="DB346" s="217"/>
      <c r="DC346" s="217"/>
      <c r="DD346" s="217"/>
      <c r="DE346" s="217"/>
      <c r="DF346" s="217"/>
      <c r="DG346" s="217"/>
      <c r="DH346" s="217"/>
      <c r="DI346" s="217"/>
      <c r="DJ346" s="217"/>
      <c r="DK346" s="217"/>
      <c r="DL346" s="217"/>
      <c r="DM346" s="217"/>
      <c r="DN346" s="217"/>
      <c r="DO346" s="217"/>
      <c r="DP346" s="217"/>
      <c r="DQ346" s="217"/>
      <c r="DR346" s="217"/>
      <c r="DS346" s="217"/>
      <c r="DT346" s="217"/>
    </row>
    <row r="347" spans="1:124" x14ac:dyDescent="0.3">
      <c r="A347" s="217"/>
      <c r="B347" s="217" t="s">
        <v>635</v>
      </c>
      <c r="C347" s="400">
        <f>C261-SUM(J164:J203)</f>
        <v>0</v>
      </c>
      <c r="D347" s="217"/>
      <c r="E347" s="217"/>
      <c r="F347" s="217"/>
      <c r="G347" s="217"/>
      <c r="H347" s="217"/>
      <c r="I347" s="217"/>
      <c r="J347" s="217"/>
      <c r="K347" s="217"/>
      <c r="L347" s="217"/>
      <c r="M347" s="217"/>
      <c r="N347" s="217"/>
      <c r="O347" s="217"/>
      <c r="P347" s="217"/>
      <c r="Q347" s="217"/>
      <c r="R347" s="217"/>
      <c r="S347" s="217"/>
      <c r="T347" s="217"/>
      <c r="U347" s="217"/>
      <c r="V347" s="217"/>
      <c r="W347" s="217"/>
      <c r="X347" s="217"/>
      <c r="Y347" s="217"/>
      <c r="Z347" s="217"/>
      <c r="AA347" s="217"/>
      <c r="AB347" s="217"/>
      <c r="AC347" s="217"/>
      <c r="AD347" s="217"/>
      <c r="AE347" s="217"/>
      <c r="AF347" s="217"/>
      <c r="AG347" s="217"/>
      <c r="AH347" s="217"/>
      <c r="AI347" s="217"/>
      <c r="AJ347" s="217"/>
      <c r="AK347" s="217"/>
      <c r="AL347" s="217"/>
      <c r="AM347" s="217"/>
      <c r="AN347" s="217"/>
      <c r="AO347" s="217"/>
      <c r="AP347" s="217"/>
      <c r="AQ347" s="217"/>
      <c r="AR347" s="217"/>
      <c r="AS347" s="217"/>
      <c r="AT347" s="217"/>
      <c r="AU347" s="217"/>
      <c r="AV347" s="217"/>
      <c r="AW347" s="217"/>
      <c r="AX347" s="217"/>
      <c r="AY347" s="217"/>
      <c r="AZ347" s="217"/>
      <c r="BA347" s="217"/>
      <c r="BB347" s="217"/>
      <c r="BC347" s="217"/>
      <c r="BD347" s="217"/>
      <c r="BE347" s="217"/>
      <c r="BF347" s="217"/>
      <c r="BG347" s="217"/>
      <c r="BH347" s="217"/>
      <c r="BI347" s="217"/>
      <c r="BJ347" s="217"/>
      <c r="BK347" s="217"/>
      <c r="BL347" s="217"/>
      <c r="BM347" s="217"/>
      <c r="BN347" s="217"/>
      <c r="BO347" s="217"/>
      <c r="BP347" s="217"/>
      <c r="BQ347" s="217"/>
      <c r="BR347" s="217"/>
      <c r="BS347" s="217"/>
      <c r="BT347" s="217"/>
      <c r="BU347" s="217"/>
      <c r="BV347" s="217"/>
      <c r="BW347" s="217"/>
      <c r="BX347" s="217"/>
      <c r="BY347" s="217"/>
      <c r="BZ347" s="217"/>
      <c r="CA347" s="217"/>
      <c r="CB347" s="217"/>
      <c r="CC347" s="217"/>
      <c r="CD347" s="217"/>
      <c r="CE347" s="217"/>
      <c r="CF347" s="217"/>
      <c r="CG347" s="217"/>
      <c r="CH347" s="217"/>
      <c r="CI347" s="217"/>
      <c r="CJ347" s="217"/>
      <c r="CK347" s="217"/>
      <c r="CL347" s="217"/>
      <c r="CM347" s="217"/>
      <c r="CN347" s="217"/>
      <c r="CO347" s="217"/>
      <c r="CP347" s="217"/>
      <c r="CQ347" s="217"/>
      <c r="CR347" s="217"/>
      <c r="CS347" s="217"/>
      <c r="CT347" s="217"/>
      <c r="CU347" s="217"/>
      <c r="CV347" s="217"/>
      <c r="CW347" s="217"/>
      <c r="CX347" s="217"/>
      <c r="CY347" s="217"/>
      <c r="CZ347" s="217"/>
      <c r="DA347" s="217"/>
      <c r="DB347" s="217"/>
      <c r="DC347" s="217"/>
      <c r="DD347" s="217"/>
      <c r="DE347" s="217"/>
      <c r="DF347" s="217"/>
      <c r="DG347" s="217"/>
      <c r="DH347" s="217"/>
      <c r="DI347" s="217"/>
      <c r="DJ347" s="217"/>
      <c r="DK347" s="217"/>
      <c r="DL347" s="217"/>
      <c r="DM347" s="217"/>
      <c r="DN347" s="217"/>
      <c r="DO347" s="217"/>
      <c r="DP347" s="217"/>
      <c r="DQ347" s="217"/>
      <c r="DR347" s="217"/>
      <c r="DS347" s="217"/>
      <c r="DT347" s="217"/>
    </row>
    <row r="348" spans="1:124" x14ac:dyDescent="0.3">
      <c r="A348" s="217"/>
      <c r="B348" s="217"/>
      <c r="C348" s="217"/>
      <c r="D348" s="217"/>
      <c r="E348" s="217"/>
      <c r="F348" s="217"/>
      <c r="G348" s="217"/>
      <c r="H348" s="217"/>
      <c r="I348" s="217"/>
      <c r="J348" s="217"/>
      <c r="K348" s="217"/>
      <c r="L348" s="217"/>
      <c r="M348" s="217"/>
      <c r="N348" s="217"/>
      <c r="O348" s="217"/>
      <c r="P348" s="217"/>
      <c r="Q348" s="217"/>
      <c r="R348" s="217"/>
      <c r="S348" s="217"/>
      <c r="T348" s="217"/>
      <c r="U348" s="217"/>
      <c r="V348" s="217"/>
      <c r="W348" s="217"/>
      <c r="X348" s="217"/>
      <c r="Y348" s="217"/>
      <c r="Z348" s="217"/>
      <c r="AA348" s="217"/>
      <c r="AB348" s="217"/>
      <c r="AC348" s="217"/>
      <c r="AD348" s="217"/>
      <c r="AE348" s="217"/>
      <c r="AF348" s="217"/>
      <c r="AG348" s="217"/>
      <c r="AH348" s="217"/>
      <c r="AI348" s="217"/>
      <c r="AJ348" s="217"/>
      <c r="AK348" s="217"/>
      <c r="AL348" s="217"/>
      <c r="AM348" s="217"/>
      <c r="AN348" s="217"/>
      <c r="AO348" s="217"/>
      <c r="AP348" s="217"/>
      <c r="AQ348" s="217"/>
      <c r="AR348" s="217"/>
      <c r="AS348" s="217"/>
      <c r="AT348" s="217"/>
      <c r="AU348" s="217"/>
      <c r="AV348" s="217"/>
      <c r="AW348" s="217"/>
      <c r="AX348" s="217"/>
      <c r="AY348" s="217"/>
      <c r="AZ348" s="217"/>
      <c r="BA348" s="217"/>
      <c r="BB348" s="217"/>
      <c r="BC348" s="217"/>
      <c r="BD348" s="217"/>
      <c r="BE348" s="217"/>
      <c r="BF348" s="217"/>
      <c r="BG348" s="217"/>
      <c r="BH348" s="217"/>
      <c r="BI348" s="217"/>
      <c r="BJ348" s="217"/>
      <c r="BK348" s="217"/>
      <c r="BL348" s="217"/>
      <c r="BM348" s="217"/>
      <c r="BN348" s="217"/>
      <c r="BO348" s="217"/>
      <c r="BP348" s="217"/>
      <c r="BQ348" s="217"/>
      <c r="BR348" s="217"/>
      <c r="BS348" s="217"/>
      <c r="BT348" s="217"/>
      <c r="BU348" s="217"/>
      <c r="BV348" s="217"/>
      <c r="BW348" s="217"/>
      <c r="BX348" s="217"/>
      <c r="BY348" s="217"/>
      <c r="BZ348" s="217"/>
      <c r="CA348" s="217"/>
      <c r="CB348" s="217"/>
      <c r="CC348" s="217"/>
      <c r="CD348" s="217"/>
      <c r="CE348" s="217"/>
      <c r="CF348" s="217"/>
      <c r="CG348" s="217"/>
      <c r="CH348" s="217"/>
      <c r="CI348" s="217"/>
      <c r="CJ348" s="217"/>
      <c r="CK348" s="217"/>
      <c r="CL348" s="217"/>
      <c r="CM348" s="217"/>
      <c r="CN348" s="217"/>
      <c r="CO348" s="217"/>
      <c r="CP348" s="217"/>
      <c r="CQ348" s="217"/>
      <c r="CR348" s="217"/>
      <c r="CS348" s="217"/>
      <c r="CT348" s="217"/>
      <c r="CU348" s="217"/>
      <c r="CV348" s="217"/>
      <c r="CW348" s="217"/>
      <c r="CX348" s="217"/>
      <c r="CY348" s="217"/>
      <c r="CZ348" s="217"/>
      <c r="DA348" s="217"/>
      <c r="DB348" s="217"/>
      <c r="DC348" s="217"/>
      <c r="DD348" s="217"/>
      <c r="DE348" s="217"/>
      <c r="DF348" s="217"/>
      <c r="DG348" s="217"/>
      <c r="DH348" s="217"/>
      <c r="DI348" s="217"/>
      <c r="DJ348" s="217"/>
      <c r="DK348" s="217"/>
      <c r="DL348" s="217"/>
      <c r="DM348" s="217"/>
      <c r="DN348" s="217"/>
      <c r="DO348" s="217"/>
      <c r="DP348" s="217"/>
      <c r="DQ348" s="217"/>
      <c r="DR348" s="217"/>
      <c r="DS348" s="217"/>
      <c r="DT348" s="217"/>
    </row>
    <row r="349" spans="1:124" x14ac:dyDescent="0.3">
      <c r="A349" s="217"/>
      <c r="B349" s="217"/>
      <c r="C349" s="217"/>
      <c r="D349" s="217"/>
      <c r="E349" s="217"/>
      <c r="F349" s="217"/>
      <c r="G349" s="217"/>
      <c r="H349" s="217"/>
      <c r="I349" s="217"/>
      <c r="J349" s="217"/>
      <c r="K349" s="217"/>
      <c r="L349" s="217"/>
      <c r="M349" s="217"/>
      <c r="N349" s="217"/>
      <c r="O349" s="217"/>
      <c r="P349" s="217"/>
      <c r="Q349" s="217"/>
      <c r="R349" s="217"/>
      <c r="S349" s="217"/>
      <c r="T349" s="217"/>
      <c r="U349" s="217"/>
      <c r="V349" s="217"/>
      <c r="W349" s="217"/>
      <c r="X349" s="217"/>
      <c r="Y349" s="217"/>
      <c r="Z349" s="217"/>
      <c r="AA349" s="217"/>
      <c r="AB349" s="217"/>
      <c r="AC349" s="217"/>
      <c r="AD349" s="217"/>
      <c r="AE349" s="217"/>
      <c r="AF349" s="217"/>
      <c r="AG349" s="217"/>
      <c r="AH349" s="217"/>
      <c r="AI349" s="217"/>
      <c r="AJ349" s="217"/>
      <c r="AK349" s="217"/>
      <c r="AL349" s="217"/>
      <c r="AM349" s="217"/>
      <c r="AN349" s="217"/>
      <c r="AO349" s="217"/>
      <c r="AP349" s="217"/>
      <c r="AQ349" s="217"/>
      <c r="AR349" s="217"/>
      <c r="AS349" s="217"/>
      <c r="AT349" s="217"/>
      <c r="AU349" s="217"/>
      <c r="AV349" s="217"/>
      <c r="AW349" s="217"/>
      <c r="AX349" s="217"/>
      <c r="AY349" s="217"/>
      <c r="AZ349" s="217"/>
      <c r="BA349" s="217"/>
      <c r="BB349" s="217"/>
      <c r="BC349" s="217"/>
      <c r="BD349" s="217"/>
      <c r="BE349" s="217"/>
      <c r="BF349" s="217"/>
      <c r="BG349" s="217"/>
      <c r="BH349" s="217"/>
      <c r="BI349" s="217"/>
      <c r="BJ349" s="217"/>
      <c r="BK349" s="217"/>
      <c r="BL349" s="217"/>
      <c r="BM349" s="217"/>
      <c r="BN349" s="217"/>
      <c r="BO349" s="217"/>
      <c r="BP349" s="217"/>
      <c r="BQ349" s="217"/>
      <c r="BR349" s="217"/>
      <c r="BS349" s="217"/>
      <c r="BT349" s="217"/>
      <c r="BU349" s="217"/>
      <c r="BV349" s="217"/>
      <c r="BW349" s="217"/>
      <c r="BX349" s="217"/>
      <c r="BY349" s="217"/>
      <c r="BZ349" s="217"/>
      <c r="CA349" s="217"/>
      <c r="CB349" s="217"/>
      <c r="CC349" s="217"/>
      <c r="CD349" s="217"/>
      <c r="CE349" s="217"/>
      <c r="CF349" s="217"/>
      <c r="CG349" s="217"/>
      <c r="CH349" s="217"/>
      <c r="CI349" s="217"/>
      <c r="CJ349" s="217"/>
      <c r="CK349" s="217"/>
      <c r="CL349" s="217"/>
      <c r="CM349" s="217"/>
      <c r="CN349" s="217"/>
      <c r="CO349" s="217"/>
      <c r="CP349" s="217"/>
      <c r="CQ349" s="217"/>
      <c r="CR349" s="217"/>
      <c r="CS349" s="217"/>
      <c r="CT349" s="217"/>
      <c r="CU349" s="217"/>
      <c r="CV349" s="217"/>
      <c r="CW349" s="217"/>
      <c r="CX349" s="217"/>
      <c r="CY349" s="217"/>
      <c r="CZ349" s="217"/>
      <c r="DA349" s="217"/>
      <c r="DB349" s="217"/>
      <c r="DC349" s="217"/>
      <c r="DD349" s="217"/>
      <c r="DE349" s="217"/>
      <c r="DF349" s="217"/>
      <c r="DG349" s="217"/>
      <c r="DH349" s="217"/>
      <c r="DI349" s="217"/>
      <c r="DJ349" s="217"/>
      <c r="DK349" s="217"/>
      <c r="DL349" s="217"/>
      <c r="DM349" s="217"/>
      <c r="DN349" s="217"/>
      <c r="DO349" s="217"/>
      <c r="DP349" s="217"/>
      <c r="DQ349" s="217"/>
      <c r="DR349" s="217"/>
      <c r="DS349" s="217"/>
      <c r="DT349" s="217"/>
    </row>
    <row r="351" spans="1:124" x14ac:dyDescent="0.3">
      <c r="C351" s="520"/>
    </row>
  </sheetData>
  <sheetProtection algorithmName="SHA-512" hashValue="ismd8+YtxnbkoxxInvLrwqQv+AfIIxxtHOKOwzlC8gitISr3mIm355YQbnFdVsELq0+lOQi6UvCutl7CFii2ZA==" saltValue="lW8avDWjCk3i9xXt5J2QEw==" spinCount="100000" sheet="1" objects="1" scenarios="1" formatCells="0" formatColumns="0" formatRows="0"/>
  <mergeCells count="7">
    <mergeCell ref="CU2:DP2"/>
    <mergeCell ref="CK2:CT2"/>
    <mergeCell ref="BE2:BS2"/>
    <mergeCell ref="L2:Z2"/>
    <mergeCell ref="AA2:AO2"/>
    <mergeCell ref="AP2:BD2"/>
    <mergeCell ref="BT2:CJ2"/>
  </mergeCells>
  <conditionalFormatting sqref="BE204:BR204">
    <cfRule type="cellIs" dxfId="30" priority="11" operator="greaterThan">
      <formula>0</formula>
    </cfRule>
  </conditionalFormatting>
  <conditionalFormatting sqref="C347">
    <cfRule type="cellIs" dxfId="29" priority="4" operator="equal">
      <formula>0</formula>
    </cfRule>
    <cfRule type="cellIs" dxfId="28" priority="5" operator="lessThan">
      <formula>0</formula>
    </cfRule>
    <cfRule type="cellIs" dxfId="27" priority="6" operator="greaterThan">
      <formula>0</formula>
    </cfRule>
  </conditionalFormatting>
  <conditionalFormatting sqref="C346:W346">
    <cfRule type="cellIs" dxfId="26" priority="1" operator="equal">
      <formula>0</formula>
    </cfRule>
    <cfRule type="cellIs" dxfId="25" priority="2" operator="lessThan">
      <formula>0</formula>
    </cfRule>
    <cfRule type="cellIs" dxfId="24" priority="3" operator="greaterThan">
      <formula>0</formula>
    </cfRule>
  </conditionalFormatting>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0" tint="-0.34998626667073579"/>
  </sheetPr>
  <dimension ref="A2:AA235"/>
  <sheetViews>
    <sheetView zoomScale="90" zoomScaleNormal="90" workbookViewId="0">
      <selection activeCell="C126" sqref="C126"/>
    </sheetView>
  </sheetViews>
  <sheetFormatPr defaultRowHeight="14.4" x14ac:dyDescent="0.3"/>
  <cols>
    <col min="2" max="2" width="12.6640625" customWidth="1"/>
    <col min="3" max="3" width="45" bestFit="1" customWidth="1"/>
    <col min="4" max="4" width="25" customWidth="1"/>
    <col min="5" max="5" width="34.109375" bestFit="1" customWidth="1"/>
    <col min="6" max="6" width="24.109375" bestFit="1" customWidth="1"/>
    <col min="7" max="7" width="14.33203125" customWidth="1"/>
    <col min="8" max="8" width="12.5546875" customWidth="1"/>
    <col min="9" max="9" width="14.88671875" customWidth="1"/>
    <col min="10" max="10" width="13.6640625" customWidth="1"/>
    <col min="14" max="14" width="12" customWidth="1"/>
    <col min="19" max="19" width="11.5546875" customWidth="1"/>
  </cols>
  <sheetData>
    <row r="2" spans="1:27" ht="43.2" x14ac:dyDescent="0.3">
      <c r="B2" s="217"/>
      <c r="C2" s="218" t="s">
        <v>98</v>
      </c>
      <c r="D2" s="219" t="s">
        <v>325</v>
      </c>
      <c r="E2" s="219" t="s">
        <v>326</v>
      </c>
      <c r="F2" s="219" t="s">
        <v>327</v>
      </c>
      <c r="G2" s="219" t="s">
        <v>328</v>
      </c>
      <c r="H2" s="219" t="s">
        <v>329</v>
      </c>
      <c r="I2" s="219" t="s">
        <v>330</v>
      </c>
      <c r="J2" s="219" t="s">
        <v>147</v>
      </c>
      <c r="K2" s="217"/>
      <c r="L2" s="217"/>
      <c r="M2" s="220" t="s">
        <v>448</v>
      </c>
      <c r="N2" s="220" t="s">
        <v>447</v>
      </c>
      <c r="O2" s="217"/>
      <c r="P2" s="217"/>
      <c r="Q2" s="217"/>
      <c r="R2" s="217"/>
      <c r="S2" s="217"/>
      <c r="T2" s="217"/>
      <c r="U2" s="217"/>
      <c r="V2" s="217"/>
      <c r="W2" s="217"/>
      <c r="X2" s="217"/>
      <c r="Y2" s="217"/>
      <c r="Z2" s="217"/>
      <c r="AA2" s="217"/>
    </row>
    <row r="3" spans="1:27" x14ac:dyDescent="0.3">
      <c r="A3" s="506"/>
      <c r="B3" s="217">
        <f>IF(COUNTIF('Emissions Database'!$D$4:$D$203,C3)&gt;0,1,0)</f>
        <v>0</v>
      </c>
      <c r="C3" s="222" t="s">
        <v>785</v>
      </c>
      <c r="D3" s="393"/>
      <c r="E3" s="393"/>
      <c r="F3" s="393"/>
      <c r="G3" s="393"/>
      <c r="H3" s="393"/>
      <c r="I3" s="393"/>
      <c r="J3" s="393"/>
      <c r="K3" s="217"/>
      <c r="L3" s="217"/>
      <c r="M3" s="221">
        <v>0</v>
      </c>
      <c r="N3" s="221" t="s">
        <v>293</v>
      </c>
      <c r="O3" s="217"/>
      <c r="P3" s="217"/>
      <c r="Q3" s="217"/>
      <c r="R3" s="217"/>
      <c r="S3" s="217"/>
      <c r="T3" s="217"/>
      <c r="U3" s="217"/>
      <c r="V3" s="217"/>
      <c r="W3" s="217"/>
      <c r="X3" s="217"/>
      <c r="Y3" s="217"/>
      <c r="Z3" s="217"/>
      <c r="AA3" s="217"/>
    </row>
    <row r="4" spans="1:27" x14ac:dyDescent="0.3">
      <c r="A4" s="506"/>
      <c r="B4" s="217">
        <f>IF(COUNTIF('Emissions Database'!$D$4:$D$203,C4)&gt;0,MAX($B$3:B3)+1,0)</f>
        <v>0</v>
      </c>
      <c r="C4" s="222" t="s">
        <v>526</v>
      </c>
      <c r="D4" s="393" t="s">
        <v>125</v>
      </c>
      <c r="E4" s="393" t="s">
        <v>144</v>
      </c>
      <c r="F4" s="393"/>
      <c r="G4" s="393"/>
      <c r="H4" s="393"/>
      <c r="I4" s="393"/>
      <c r="J4" s="393" t="s">
        <v>148</v>
      </c>
      <c r="K4" s="217"/>
      <c r="L4" s="217"/>
      <c r="M4" s="221">
        <v>1</v>
      </c>
      <c r="N4" s="221" t="str">
        <f>IF(COUNTIF($A$72:$A$152,M4)=0,"",VLOOKUP(M4,$A$72:$C$152,COLUMNS($A$72:$C$72),0))</f>
        <v>R-23</v>
      </c>
      <c r="O4" s="217"/>
      <c r="P4" s="217"/>
      <c r="Q4" s="217"/>
      <c r="R4" s="217"/>
      <c r="S4" s="217"/>
      <c r="T4" s="217"/>
      <c r="U4" s="217"/>
      <c r="V4" s="217"/>
      <c r="W4" s="217"/>
      <c r="X4" s="217"/>
      <c r="Y4" s="217"/>
      <c r="Z4" s="217"/>
      <c r="AA4" s="217"/>
    </row>
    <row r="5" spans="1:27" x14ac:dyDescent="0.3">
      <c r="A5" s="506"/>
      <c r="B5" s="217">
        <f>IF(COUNTIF('Emissions Database'!$D$4:$D$203,C5)&gt;0,MAX($B$3:B4)+1,0)</f>
        <v>0</v>
      </c>
      <c r="C5" s="222" t="s">
        <v>523</v>
      </c>
      <c r="D5" s="393" t="s">
        <v>125</v>
      </c>
      <c r="E5" s="393" t="s">
        <v>144</v>
      </c>
      <c r="F5" s="393" t="s">
        <v>519</v>
      </c>
      <c r="G5" s="393" t="s">
        <v>114</v>
      </c>
      <c r="H5" s="393"/>
      <c r="I5" s="393"/>
      <c r="J5" s="393" t="s">
        <v>149</v>
      </c>
      <c r="K5" s="217"/>
      <c r="L5" s="217"/>
      <c r="M5" s="221">
        <v>2</v>
      </c>
      <c r="N5" s="221" t="str">
        <f t="shared" ref="N5:N27" si="0">IF(COUNTIF($A$72:$A$152,M5)=0,"",VLOOKUP(M5,$A$72:$C$152,COLUMNS($A$72:$C$72),0))</f>
        <v>R-32</v>
      </c>
      <c r="O5" s="217"/>
      <c r="P5" s="217"/>
      <c r="Q5" s="217"/>
      <c r="R5" s="217"/>
      <c r="S5" s="217"/>
      <c r="T5" s="217"/>
      <c r="U5" s="217"/>
      <c r="V5" s="217"/>
      <c r="W5" s="217"/>
      <c r="X5" s="217"/>
      <c r="Y5" s="217"/>
      <c r="Z5" s="217"/>
      <c r="AA5" s="217"/>
    </row>
    <row r="6" spans="1:27" x14ac:dyDescent="0.3">
      <c r="A6" s="506"/>
      <c r="B6" s="217">
        <f>IF(COUNTIF('Emissions Database'!$D$4:$D$203,C6)&gt;0,MAX($B$3:B5)+1,0)</f>
        <v>0</v>
      </c>
      <c r="C6" s="222" t="s">
        <v>496</v>
      </c>
      <c r="D6" s="393" t="s">
        <v>125</v>
      </c>
      <c r="E6" s="393" t="s">
        <v>144</v>
      </c>
      <c r="F6" s="393"/>
      <c r="G6" s="393"/>
      <c r="H6" s="393"/>
      <c r="I6" s="393"/>
      <c r="J6" s="393" t="s">
        <v>150</v>
      </c>
      <c r="K6" s="217"/>
      <c r="L6" s="217"/>
      <c r="M6" s="221">
        <v>3</v>
      </c>
      <c r="N6" s="221" t="str">
        <f t="shared" si="0"/>
        <v>R-125</v>
      </c>
      <c r="O6" s="217"/>
      <c r="P6" s="217"/>
      <c r="Q6" s="217"/>
      <c r="R6" s="217"/>
      <c r="S6" s="217"/>
      <c r="T6" s="217"/>
      <c r="U6" s="217"/>
      <c r="V6" s="217"/>
      <c r="W6" s="217"/>
      <c r="X6" s="217"/>
      <c r="Y6" s="217"/>
      <c r="Z6" s="217"/>
      <c r="AA6" s="217"/>
    </row>
    <row r="7" spans="1:27" x14ac:dyDescent="0.3">
      <c r="A7" s="506"/>
      <c r="B7" s="217">
        <f>IF(COUNTIF('Emissions Database'!$D$4:$D$203,C7)&gt;0,MAX($B$3:B6)+1,0)</f>
        <v>0</v>
      </c>
      <c r="C7" s="222" t="s">
        <v>113</v>
      </c>
      <c r="D7" s="393" t="s">
        <v>125</v>
      </c>
      <c r="E7" s="393" t="s">
        <v>144</v>
      </c>
      <c r="F7" s="393"/>
      <c r="G7" s="393"/>
      <c r="H7" s="393"/>
      <c r="I7" s="393"/>
      <c r="J7" s="393" t="s">
        <v>151</v>
      </c>
      <c r="K7" s="217"/>
      <c r="L7" s="217"/>
      <c r="M7" s="221">
        <v>4</v>
      </c>
      <c r="N7" s="221" t="str">
        <f t="shared" si="0"/>
        <v>R-134a</v>
      </c>
      <c r="O7" s="217"/>
      <c r="P7" s="217"/>
      <c r="Q7" s="217"/>
      <c r="R7" s="217"/>
      <c r="S7" s="217"/>
      <c r="T7" s="217"/>
      <c r="U7" s="217"/>
      <c r="V7" s="217"/>
      <c r="W7" s="217"/>
      <c r="X7" s="217"/>
      <c r="Y7" s="217"/>
      <c r="Z7" s="217"/>
      <c r="AA7" s="217"/>
    </row>
    <row r="8" spans="1:27" x14ac:dyDescent="0.3">
      <c r="A8" s="506"/>
      <c r="B8" s="217">
        <f>IF(COUNTIF('Emissions Database'!$D$4:$D$203,C8)&gt;0,MAX($B$3:B7)+1,0)</f>
        <v>0</v>
      </c>
      <c r="C8" s="222" t="s">
        <v>117</v>
      </c>
      <c r="D8" s="393" t="s">
        <v>125</v>
      </c>
      <c r="E8" s="393" t="s">
        <v>144</v>
      </c>
      <c r="F8" s="393"/>
      <c r="G8" s="393"/>
      <c r="H8" s="393"/>
      <c r="I8" s="393"/>
      <c r="J8" s="393" t="s">
        <v>438</v>
      </c>
      <c r="K8" s="217"/>
      <c r="L8" s="217"/>
      <c r="M8" s="221">
        <v>5</v>
      </c>
      <c r="N8" s="221" t="str">
        <f t="shared" si="0"/>
        <v>R-143a</v>
      </c>
      <c r="O8" s="217"/>
      <c r="P8" s="217"/>
      <c r="Q8" s="217"/>
      <c r="R8" s="217"/>
      <c r="S8" s="217"/>
      <c r="T8" s="217"/>
      <c r="U8" s="217"/>
      <c r="V8" s="217"/>
      <c r="W8" s="217"/>
      <c r="X8" s="217"/>
      <c r="Y8" s="217"/>
      <c r="Z8" s="217"/>
      <c r="AA8" s="217"/>
    </row>
    <row r="9" spans="1:27" x14ac:dyDescent="0.3">
      <c r="A9" s="506"/>
      <c r="B9" s="217">
        <f>IF(COUNTIF('Emissions Database'!$D$4:$D$203,C9)&gt;0,MAX($B$3:B8)+1,0)</f>
        <v>0</v>
      </c>
      <c r="C9" s="222" t="s">
        <v>786</v>
      </c>
      <c r="D9" s="393"/>
      <c r="E9" s="393"/>
      <c r="F9" s="393"/>
      <c r="G9" s="393"/>
      <c r="H9" s="393"/>
      <c r="I9" s="393"/>
      <c r="J9" s="393"/>
      <c r="K9" s="217"/>
      <c r="L9" s="217"/>
      <c r="M9" s="221">
        <v>6</v>
      </c>
      <c r="N9" s="221" t="str">
        <f t="shared" si="0"/>
        <v>R-152a</v>
      </c>
      <c r="O9" s="217"/>
      <c r="P9" s="217"/>
      <c r="Q9" s="217"/>
      <c r="R9" s="217"/>
      <c r="S9" s="217"/>
      <c r="T9" s="217"/>
      <c r="U9" s="217"/>
      <c r="V9" s="217"/>
      <c r="W9" s="217"/>
      <c r="X9" s="217"/>
      <c r="Y9" s="217"/>
      <c r="Z9" s="217"/>
      <c r="AA9" s="217"/>
    </row>
    <row r="10" spans="1:27" x14ac:dyDescent="0.3">
      <c r="A10" s="506"/>
      <c r="B10" s="217">
        <f>IF(COUNTIF('Emissions Database'!$D$4:$D$203,C10)&gt;0,MAX($B$3:B9)+1,0)</f>
        <v>0</v>
      </c>
      <c r="C10" s="222" t="s">
        <v>429</v>
      </c>
      <c r="D10" s="393" t="s">
        <v>125</v>
      </c>
      <c r="E10" s="393" t="s">
        <v>144</v>
      </c>
      <c r="F10" s="393" t="s">
        <v>519</v>
      </c>
      <c r="G10" s="393" t="s">
        <v>114</v>
      </c>
      <c r="H10" s="393"/>
      <c r="I10" s="393"/>
      <c r="J10" s="393" t="s">
        <v>439</v>
      </c>
      <c r="K10" s="217"/>
      <c r="L10" s="217"/>
      <c r="M10" s="221">
        <v>7</v>
      </c>
      <c r="N10" s="221" t="str">
        <f t="shared" si="0"/>
        <v>R-236fa</v>
      </c>
      <c r="O10" s="217"/>
      <c r="P10" s="217"/>
      <c r="Q10" s="217"/>
      <c r="R10" s="217"/>
      <c r="S10" s="217"/>
      <c r="T10" s="217"/>
      <c r="U10" s="217"/>
      <c r="V10" s="217"/>
      <c r="W10" s="217"/>
      <c r="X10" s="217"/>
      <c r="Y10" s="217"/>
      <c r="Z10" s="217"/>
      <c r="AA10" s="217"/>
    </row>
    <row r="11" spans="1:27" x14ac:dyDescent="0.3">
      <c r="A11" s="506"/>
      <c r="B11" s="217">
        <f>IF(COUNTIF('Emissions Database'!$D$4:$D$203,C11)&gt;0,MAX($B$3:B10)+1,0)</f>
        <v>0</v>
      </c>
      <c r="C11" s="222" t="s">
        <v>527</v>
      </c>
      <c r="D11" s="393" t="s">
        <v>144</v>
      </c>
      <c r="E11" s="393"/>
      <c r="F11" s="393"/>
      <c r="G11" s="393"/>
      <c r="H11" s="393"/>
      <c r="I11" s="393"/>
      <c r="J11" s="393" t="s">
        <v>440</v>
      </c>
      <c r="K11" s="217"/>
      <c r="L11" s="217"/>
      <c r="M11" s="221">
        <v>8</v>
      </c>
      <c r="N11" s="221" t="str">
        <f t="shared" si="0"/>
        <v>R-401A</v>
      </c>
      <c r="O11" s="217"/>
      <c r="P11" s="217"/>
      <c r="Q11" s="217"/>
      <c r="R11" s="217"/>
      <c r="S11" s="217"/>
      <c r="T11" s="217"/>
      <c r="U11" s="217"/>
      <c r="V11" s="217"/>
      <c r="W11" s="217"/>
      <c r="X11" s="217"/>
      <c r="Y11" s="217"/>
      <c r="Z11" s="217"/>
      <c r="AA11" s="217"/>
    </row>
    <row r="12" spans="1:27" x14ac:dyDescent="0.3">
      <c r="A12" s="506"/>
      <c r="B12" s="217">
        <f>IF(COUNTIF('Emissions Database'!$D$4:$D$203,C12)&gt;0,MAX($B$3:B11)+1,0)</f>
        <v>0</v>
      </c>
      <c r="C12" s="222" t="s">
        <v>104</v>
      </c>
      <c r="D12" s="393" t="s">
        <v>125</v>
      </c>
      <c r="E12" s="393" t="s">
        <v>144</v>
      </c>
      <c r="F12" s="393"/>
      <c r="G12" s="393"/>
      <c r="H12" s="393"/>
      <c r="I12" s="393"/>
      <c r="J12" s="393" t="s">
        <v>152</v>
      </c>
      <c r="K12" s="217"/>
      <c r="L12" s="217"/>
      <c r="M12" s="221">
        <v>9</v>
      </c>
      <c r="N12" s="221" t="str">
        <f t="shared" si="0"/>
        <v>R-402A</v>
      </c>
      <c r="O12" s="217"/>
      <c r="P12" s="217"/>
      <c r="Q12" s="217"/>
      <c r="R12" s="217"/>
      <c r="S12" s="217"/>
      <c r="T12" s="217"/>
      <c r="U12" s="217"/>
      <c r="V12" s="217"/>
      <c r="W12" s="217"/>
      <c r="X12" s="217"/>
      <c r="Y12" s="217"/>
      <c r="Z12" s="217"/>
      <c r="AA12" s="217"/>
    </row>
    <row r="13" spans="1:27" x14ac:dyDescent="0.3">
      <c r="A13" s="506"/>
      <c r="B13" s="217">
        <f>IF(COUNTIF('Emissions Database'!$D$4:$D$203,C13)&gt;0,MAX($B$3:B12)+1,0)</f>
        <v>0</v>
      </c>
      <c r="C13" s="222" t="s">
        <v>107</v>
      </c>
      <c r="D13" s="393"/>
      <c r="E13" s="393"/>
      <c r="F13" s="393"/>
      <c r="G13" s="393"/>
      <c r="H13" s="393"/>
      <c r="I13" s="393"/>
      <c r="J13" s="393"/>
      <c r="K13" s="217"/>
      <c r="L13" s="217"/>
      <c r="M13" s="221">
        <v>10</v>
      </c>
      <c r="N13" s="221" t="str">
        <f t="shared" si="0"/>
        <v>R-404A</v>
      </c>
      <c r="O13" s="217"/>
      <c r="P13" s="217"/>
      <c r="Q13" s="217"/>
      <c r="R13" s="217"/>
      <c r="S13" s="217"/>
      <c r="T13" s="217"/>
      <c r="U13" s="217"/>
      <c r="V13" s="217"/>
      <c r="W13" s="217"/>
      <c r="X13" s="217"/>
      <c r="Y13" s="217"/>
      <c r="Z13" s="217"/>
      <c r="AA13" s="217"/>
    </row>
    <row r="14" spans="1:27" x14ac:dyDescent="0.3">
      <c r="A14" s="506"/>
      <c r="B14" s="217">
        <f>IF(COUNTIF('Emissions Database'!$D$4:$D$203,C14)&gt;0,MAX($B$3:B13)+1,0)</f>
        <v>0</v>
      </c>
      <c r="C14" s="222" t="s">
        <v>528</v>
      </c>
      <c r="D14" s="393" t="s">
        <v>125</v>
      </c>
      <c r="E14" s="393" t="s">
        <v>112</v>
      </c>
      <c r="F14" s="393" t="s">
        <v>144</v>
      </c>
      <c r="G14" s="393"/>
      <c r="H14" s="393"/>
      <c r="I14" s="393"/>
      <c r="J14" s="393" t="s">
        <v>153</v>
      </c>
      <c r="K14" s="217"/>
      <c r="L14" s="217"/>
      <c r="M14" s="221">
        <v>11</v>
      </c>
      <c r="N14" s="221" t="str">
        <f t="shared" si="0"/>
        <v>R-405A</v>
      </c>
      <c r="O14" s="217"/>
      <c r="P14" s="217"/>
      <c r="Q14" s="217"/>
      <c r="R14" s="217"/>
      <c r="S14" s="217"/>
      <c r="T14" s="217"/>
      <c r="U14" s="217"/>
      <c r="V14" s="217"/>
      <c r="W14" s="217"/>
      <c r="X14" s="217"/>
      <c r="Y14" s="217"/>
      <c r="Z14" s="217"/>
      <c r="AA14" s="217"/>
    </row>
    <row r="15" spans="1:27" x14ac:dyDescent="0.3">
      <c r="A15" s="506"/>
      <c r="B15" s="217">
        <f>IF(COUNTIF('Emissions Database'!$D$4:$D$203,C15)&gt;0,MAX($B$3:B14)+1,0)</f>
        <v>0</v>
      </c>
      <c r="C15" s="222" t="s">
        <v>521</v>
      </c>
      <c r="D15" s="393" t="s">
        <v>518</v>
      </c>
      <c r="E15" s="393"/>
      <c r="F15" s="393"/>
      <c r="G15" s="393"/>
      <c r="H15" s="393"/>
      <c r="I15" s="393"/>
      <c r="J15" s="393" t="s">
        <v>479</v>
      </c>
      <c r="K15" s="217"/>
      <c r="L15" s="217"/>
      <c r="M15" s="221">
        <v>12</v>
      </c>
      <c r="N15" s="221" t="str">
        <f t="shared" si="0"/>
        <v>R-406A</v>
      </c>
      <c r="O15" s="217"/>
      <c r="P15" s="217"/>
      <c r="Q15" s="217"/>
      <c r="R15" s="217"/>
      <c r="S15" s="217"/>
      <c r="T15" s="217"/>
      <c r="U15" s="217"/>
      <c r="V15" s="217"/>
      <c r="W15" s="217"/>
      <c r="X15" s="217"/>
      <c r="Y15" s="217"/>
      <c r="Z15" s="217"/>
      <c r="AA15" s="217"/>
    </row>
    <row r="16" spans="1:27" x14ac:dyDescent="0.3">
      <c r="A16" s="506"/>
      <c r="B16" s="217">
        <f>IF(COUNTIF('Emissions Database'!$D$4:$D$203,C16)&gt;0,MAX($B$3:B15)+1,0)</f>
        <v>0</v>
      </c>
      <c r="C16" s="222" t="s">
        <v>522</v>
      </c>
      <c r="D16" s="393" t="s">
        <v>144</v>
      </c>
      <c r="E16" s="393"/>
      <c r="F16" s="393"/>
      <c r="G16" s="393"/>
      <c r="H16" s="393"/>
      <c r="I16" s="393"/>
      <c r="J16" s="393" t="s">
        <v>441</v>
      </c>
      <c r="K16" s="217"/>
      <c r="L16" s="217"/>
      <c r="M16" s="221">
        <v>13</v>
      </c>
      <c r="N16" s="221" t="str">
        <f t="shared" si="0"/>
        <v>R-407A</v>
      </c>
      <c r="O16" s="217"/>
      <c r="P16" s="217"/>
      <c r="Q16" s="217"/>
      <c r="R16" s="217"/>
      <c r="S16" s="217"/>
      <c r="T16" s="217"/>
      <c r="U16" s="217"/>
      <c r="V16" s="217"/>
      <c r="W16" s="217"/>
      <c r="X16" s="217"/>
      <c r="Y16" s="217"/>
      <c r="Z16" s="217"/>
      <c r="AA16" s="217"/>
    </row>
    <row r="17" spans="1:27" ht="15" customHeight="1" x14ac:dyDescent="0.3">
      <c r="A17" s="506"/>
      <c r="B17" s="217">
        <f>IF(COUNTIF('Emissions Database'!$D$4:$D$203,C17)&gt;0,MAX($B$3:B16)+1,0)</f>
        <v>0</v>
      </c>
      <c r="C17" s="222" t="s">
        <v>616</v>
      </c>
      <c r="D17" s="393" t="s">
        <v>144</v>
      </c>
      <c r="E17" s="393"/>
      <c r="F17" s="393"/>
      <c r="G17" s="393"/>
      <c r="H17" s="393"/>
      <c r="I17" s="393"/>
      <c r="J17" s="393" t="s">
        <v>442</v>
      </c>
      <c r="K17" s="217"/>
      <c r="L17" s="217"/>
      <c r="M17" s="221">
        <v>14</v>
      </c>
      <c r="N17" s="221" t="str">
        <f t="shared" si="0"/>
        <v>R-407C</v>
      </c>
      <c r="O17" s="217"/>
      <c r="P17" s="217"/>
      <c r="Q17" s="217"/>
      <c r="R17" s="217"/>
      <c r="S17" s="217"/>
      <c r="T17" s="217"/>
      <c r="U17" s="217"/>
      <c r="V17" s="217"/>
      <c r="W17" s="217"/>
      <c r="X17" s="217"/>
      <c r="Y17" s="217"/>
      <c r="Z17" s="217"/>
      <c r="AA17" s="217"/>
    </row>
    <row r="18" spans="1:27" x14ac:dyDescent="0.3">
      <c r="A18" s="506"/>
      <c r="B18" s="217">
        <f>IF(COUNTIF('Emissions Database'!$D$4:$D$203,C18)&gt;0,MAX($B$3:B17)+1,0)</f>
        <v>0</v>
      </c>
      <c r="C18" s="222" t="s">
        <v>618</v>
      </c>
      <c r="D18" s="393"/>
      <c r="E18" s="393"/>
      <c r="F18" s="393"/>
      <c r="G18" s="393"/>
      <c r="H18" s="393"/>
      <c r="I18" s="393"/>
      <c r="J18" s="393"/>
      <c r="K18" s="217"/>
      <c r="L18" s="217"/>
      <c r="M18" s="221">
        <v>15</v>
      </c>
      <c r="N18" s="221" t="str">
        <f t="shared" si="0"/>
        <v>R-408A</v>
      </c>
      <c r="O18" s="217"/>
      <c r="P18" s="217"/>
      <c r="Q18" s="217"/>
      <c r="R18" s="217"/>
      <c r="S18" s="217"/>
      <c r="T18" s="217"/>
      <c r="U18" s="217"/>
      <c r="V18" s="217"/>
      <c r="W18" s="217"/>
      <c r="X18" s="217"/>
      <c r="Y18" s="217"/>
      <c r="Z18" s="217"/>
      <c r="AA18" s="217"/>
    </row>
    <row r="19" spans="1:27" x14ac:dyDescent="0.3">
      <c r="A19" s="506"/>
      <c r="B19" s="217">
        <f>IF(COUNTIF('Emissions Database'!$D$4:$D$203,C19)&gt;0,MAX($B$3:B18)+1,0)</f>
        <v>0</v>
      </c>
      <c r="C19" s="222" t="s">
        <v>525</v>
      </c>
      <c r="D19" s="393" t="s">
        <v>125</v>
      </c>
      <c r="E19" s="393" t="s">
        <v>114</v>
      </c>
      <c r="F19" s="393" t="s">
        <v>519</v>
      </c>
      <c r="G19" s="393" t="s">
        <v>144</v>
      </c>
      <c r="H19" s="393" t="s">
        <v>112</v>
      </c>
      <c r="I19" s="393"/>
      <c r="J19" s="393" t="s">
        <v>154</v>
      </c>
      <c r="K19" s="217"/>
      <c r="L19" s="217"/>
      <c r="M19" s="221">
        <v>16</v>
      </c>
      <c r="N19" s="221" t="str">
        <f t="shared" si="0"/>
        <v>R-409A</v>
      </c>
      <c r="O19" s="217"/>
      <c r="P19" s="217"/>
      <c r="Q19" s="217"/>
      <c r="R19" s="217"/>
      <c r="S19" s="217"/>
      <c r="T19" s="217"/>
      <c r="U19" s="217"/>
      <c r="V19" s="217"/>
      <c r="W19" s="217"/>
      <c r="X19" s="217"/>
      <c r="Y19" s="217"/>
      <c r="Z19" s="217"/>
      <c r="AA19" s="217"/>
    </row>
    <row r="20" spans="1:27" ht="15" customHeight="1" x14ac:dyDescent="0.3">
      <c r="B20" s="217">
        <f>IF(COUNTIF('Emissions Database'!$D$4:$D$203,C20)&gt;0,MAX($B$3:B19)+1,0)</f>
        <v>0</v>
      </c>
      <c r="C20" s="222" t="s">
        <v>106</v>
      </c>
      <c r="D20" s="393" t="s">
        <v>125</v>
      </c>
      <c r="E20" s="393" t="s">
        <v>114</v>
      </c>
      <c r="F20" s="393" t="s">
        <v>519</v>
      </c>
      <c r="G20" s="393" t="s">
        <v>144</v>
      </c>
      <c r="H20" s="393"/>
      <c r="I20" s="393"/>
      <c r="J20" s="393" t="s">
        <v>155</v>
      </c>
      <c r="K20" s="217"/>
      <c r="L20" s="217"/>
      <c r="M20" s="221">
        <v>17</v>
      </c>
      <c r="N20" s="221" t="str">
        <f t="shared" si="0"/>
        <v>R-410A</v>
      </c>
      <c r="O20" s="217"/>
      <c r="P20" s="217"/>
      <c r="Q20" s="217"/>
      <c r="R20" s="217"/>
      <c r="S20" s="217"/>
      <c r="T20" s="217"/>
      <c r="U20" s="217"/>
      <c r="V20" s="217"/>
      <c r="W20" s="217"/>
      <c r="X20" s="217"/>
      <c r="Y20" s="217"/>
      <c r="Z20" s="217"/>
      <c r="AA20" s="217"/>
    </row>
    <row r="21" spans="1:27" x14ac:dyDescent="0.3">
      <c r="B21" s="217">
        <f>IF(COUNTIF('Emissions Database'!$D$4:$D$203,C21)&gt;0,MAX($B$3:B20)+1,0)</f>
        <v>0</v>
      </c>
      <c r="C21" s="221" t="s">
        <v>565</v>
      </c>
      <c r="D21" s="393" t="s">
        <v>128</v>
      </c>
      <c r="E21" s="393"/>
      <c r="F21" s="393"/>
      <c r="G21" s="393"/>
      <c r="H21" s="393"/>
      <c r="I21" s="393"/>
      <c r="J21" s="393" t="s">
        <v>443</v>
      </c>
      <c r="K21" s="217"/>
      <c r="L21" s="217"/>
      <c r="M21" s="221">
        <v>18</v>
      </c>
      <c r="N21" s="221" t="str">
        <f t="shared" si="0"/>
        <v>R-421A</v>
      </c>
      <c r="O21" s="217"/>
      <c r="P21" s="217"/>
      <c r="Q21" s="217"/>
      <c r="R21" s="217"/>
      <c r="S21" s="217"/>
      <c r="T21" s="217"/>
      <c r="U21" s="217"/>
      <c r="V21" s="217"/>
      <c r="W21" s="217"/>
      <c r="X21" s="217"/>
      <c r="Y21" s="217"/>
      <c r="Z21" s="217"/>
      <c r="AA21" s="217"/>
    </row>
    <row r="22" spans="1:27" ht="15" customHeight="1" x14ac:dyDescent="0.3">
      <c r="B22" s="217">
        <f>IF(COUNTIF('Emissions Database'!$D$4:$D$203,C22)&gt;0,MAX($B$3:B21)+1,0)</f>
        <v>0</v>
      </c>
      <c r="C22" s="221" t="s">
        <v>524</v>
      </c>
      <c r="D22" s="393" t="s">
        <v>520</v>
      </c>
      <c r="E22" s="393"/>
      <c r="F22" s="393"/>
      <c r="G22" s="393"/>
      <c r="H22" s="393"/>
      <c r="I22" s="393"/>
      <c r="J22" s="393" t="s">
        <v>444</v>
      </c>
      <c r="K22" s="217"/>
      <c r="L22" s="217"/>
      <c r="M22" s="221">
        <v>19</v>
      </c>
      <c r="N22" s="221" t="str">
        <f t="shared" si="0"/>
        <v>R-421B</v>
      </c>
      <c r="O22" s="217"/>
      <c r="P22" s="217"/>
      <c r="Q22" s="217"/>
      <c r="R22" s="217"/>
      <c r="S22" s="217"/>
      <c r="T22" s="217"/>
      <c r="U22" s="217"/>
      <c r="V22" s="217"/>
      <c r="W22" s="217"/>
      <c r="X22" s="217"/>
      <c r="Y22" s="217"/>
      <c r="Z22" s="217"/>
      <c r="AA22" s="217"/>
    </row>
    <row r="23" spans="1:27" x14ac:dyDescent="0.3">
      <c r="B23" s="217"/>
      <c r="C23" s="217" t="s">
        <v>571</v>
      </c>
      <c r="D23" s="217" t="s">
        <v>573</v>
      </c>
      <c r="E23" s="217"/>
      <c r="F23" s="217"/>
      <c r="G23" s="217"/>
      <c r="H23" s="217"/>
      <c r="I23" s="217"/>
      <c r="J23" s="217"/>
      <c r="K23" s="217"/>
      <c r="L23" s="217"/>
      <c r="M23" s="221">
        <v>20</v>
      </c>
      <c r="N23" s="221" t="str">
        <f t="shared" si="0"/>
        <v>R-423A</v>
      </c>
      <c r="O23" s="217"/>
      <c r="P23" s="217"/>
      <c r="Q23" s="217"/>
      <c r="R23" s="217"/>
      <c r="S23" s="217"/>
      <c r="T23" s="217"/>
      <c r="U23" s="217"/>
      <c r="V23" s="217"/>
      <c r="W23" s="217"/>
      <c r="X23" s="217"/>
      <c r="Y23" s="217"/>
      <c r="Z23" s="217"/>
      <c r="AA23" s="217"/>
    </row>
    <row r="24" spans="1:27" x14ac:dyDescent="0.3">
      <c r="H24" s="217"/>
      <c r="I24" s="217"/>
      <c r="J24" s="217"/>
      <c r="K24" s="217"/>
      <c r="L24" s="217"/>
      <c r="M24" s="221">
        <v>21</v>
      </c>
      <c r="N24" s="221" t="str">
        <f t="shared" si="0"/>
        <v>R-500</v>
      </c>
      <c r="O24" s="217"/>
      <c r="P24" s="217"/>
      <c r="Q24" s="217"/>
      <c r="R24" s="217"/>
      <c r="S24" s="217"/>
      <c r="T24" s="217"/>
      <c r="U24" s="217"/>
      <c r="V24" s="217"/>
      <c r="W24" s="217"/>
      <c r="X24" s="217"/>
      <c r="Y24" s="217"/>
      <c r="Z24" s="217"/>
      <c r="AA24" s="217"/>
    </row>
    <row r="25" spans="1:27" x14ac:dyDescent="0.3">
      <c r="H25" s="217"/>
      <c r="I25" s="217"/>
      <c r="J25" s="217"/>
      <c r="K25" s="217"/>
      <c r="L25" s="217"/>
      <c r="M25" s="221">
        <v>22</v>
      </c>
      <c r="N25" s="221" t="str">
        <f t="shared" si="0"/>
        <v>R-502</v>
      </c>
      <c r="O25" s="217"/>
      <c r="P25" s="217"/>
      <c r="Q25" s="217"/>
      <c r="R25" s="217"/>
      <c r="S25" s="217"/>
      <c r="T25" s="217"/>
      <c r="U25" s="217"/>
      <c r="V25" s="217"/>
      <c r="W25" s="217"/>
      <c r="X25" s="217"/>
      <c r="Y25" s="217"/>
      <c r="Z25" s="217"/>
      <c r="AA25" s="217"/>
    </row>
    <row r="26" spans="1:27" ht="15" customHeight="1" x14ac:dyDescent="0.3">
      <c r="H26" s="217"/>
      <c r="I26" s="217"/>
      <c r="J26" s="217"/>
      <c r="K26" s="217"/>
      <c r="L26" s="217"/>
      <c r="M26" s="221">
        <v>23</v>
      </c>
      <c r="N26" s="221" t="str">
        <f t="shared" si="0"/>
        <v>R-507A</v>
      </c>
      <c r="O26" s="217"/>
      <c r="P26" s="217"/>
      <c r="Q26" s="217"/>
      <c r="R26" s="217"/>
      <c r="S26" s="217"/>
      <c r="T26" s="217"/>
      <c r="U26" s="217"/>
      <c r="V26" s="217"/>
      <c r="W26" s="217"/>
      <c r="X26" s="217"/>
      <c r="Y26" s="217"/>
      <c r="Z26" s="217"/>
      <c r="AA26" s="217"/>
    </row>
    <row r="27" spans="1:27" x14ac:dyDescent="0.3">
      <c r="B27" s="217"/>
      <c r="C27" s="224" t="s">
        <v>302</v>
      </c>
      <c r="D27" s="225" t="s">
        <v>301</v>
      </c>
      <c r="E27" s="225" t="s">
        <v>301</v>
      </c>
      <c r="F27" s="225" t="s">
        <v>301</v>
      </c>
      <c r="G27" s="265" t="s">
        <v>147</v>
      </c>
      <c r="H27" s="217"/>
      <c r="I27" s="217"/>
      <c r="J27" s="217"/>
      <c r="K27" s="217"/>
      <c r="L27" s="217"/>
      <c r="M27" s="221">
        <v>24</v>
      </c>
      <c r="N27" s="221" t="str">
        <f t="shared" si="0"/>
        <v>Non-HFC</v>
      </c>
      <c r="O27" s="217"/>
      <c r="P27" s="217"/>
      <c r="Q27" s="217"/>
      <c r="R27" s="217"/>
      <c r="S27" s="217"/>
      <c r="T27" s="217"/>
      <c r="U27" s="217"/>
      <c r="V27" s="217"/>
      <c r="W27" s="217"/>
      <c r="X27" s="217"/>
      <c r="Y27" s="217"/>
      <c r="Z27" s="217"/>
      <c r="AA27" s="217"/>
    </row>
    <row r="28" spans="1:27" x14ac:dyDescent="0.3">
      <c r="B28" s="217">
        <f>IF(COUNTIF('Emissions Database'!$CK$205:$CS$205,C28)&gt;0,1,0)</f>
        <v>0</v>
      </c>
      <c r="C28" s="221" t="s">
        <v>125</v>
      </c>
      <c r="D28" s="393" t="s">
        <v>125</v>
      </c>
      <c r="E28" s="393"/>
      <c r="F28" s="393"/>
      <c r="G28" s="393" t="s">
        <v>156</v>
      </c>
      <c r="H28" s="217"/>
      <c r="I28" s="217"/>
      <c r="J28" s="217"/>
      <c r="K28" s="217"/>
      <c r="L28" s="217"/>
      <c r="M28" s="217"/>
      <c r="N28" s="217"/>
      <c r="O28" s="217"/>
      <c r="P28" s="217"/>
      <c r="Q28" s="217"/>
      <c r="R28" s="217"/>
      <c r="S28" s="217"/>
      <c r="T28" s="217"/>
      <c r="U28" s="217"/>
      <c r="V28" s="217"/>
      <c r="W28" s="217"/>
      <c r="X28" s="217"/>
      <c r="Y28" s="217"/>
      <c r="Z28" s="217"/>
      <c r="AA28" s="217"/>
    </row>
    <row r="29" spans="1:27" x14ac:dyDescent="0.3">
      <c r="B29" s="217">
        <f>IF(COUNTIF('Emissions Database'!$CK$205:$CS$205,C29)&gt;0,MAX($B$28:B28)+1,0)</f>
        <v>0</v>
      </c>
      <c r="C29" s="221" t="s">
        <v>144</v>
      </c>
      <c r="D29" s="393" t="s">
        <v>515</v>
      </c>
      <c r="E29" s="393" t="s">
        <v>514</v>
      </c>
      <c r="F29" s="393" t="s">
        <v>516</v>
      </c>
      <c r="G29" s="393" t="s">
        <v>157</v>
      </c>
      <c r="H29" s="217"/>
      <c r="I29" s="217"/>
      <c r="J29" s="217"/>
      <c r="K29" s="217"/>
      <c r="L29" s="217"/>
      <c r="M29" s="217"/>
      <c r="N29" s="217"/>
      <c r="O29" s="217"/>
      <c r="P29" s="217"/>
      <c r="Q29" s="217"/>
      <c r="R29" s="217"/>
      <c r="S29" s="217"/>
      <c r="T29" s="217"/>
      <c r="U29" s="217"/>
      <c r="V29" s="217"/>
      <c r="W29" s="217"/>
      <c r="X29" s="217"/>
      <c r="Y29" s="217"/>
      <c r="Z29" s="217"/>
      <c r="AA29" s="217"/>
    </row>
    <row r="30" spans="1:27" x14ac:dyDescent="0.3">
      <c r="B30" s="217">
        <f>IF(COUNTIF('Emissions Database'!$CK$205:$CS$205,C30)&gt;0,MAX($B$28:B29)+1,0)</f>
        <v>0</v>
      </c>
      <c r="C30" s="221" t="s">
        <v>518</v>
      </c>
      <c r="D30" s="393" t="s">
        <v>110</v>
      </c>
      <c r="E30" s="393" t="s">
        <v>111</v>
      </c>
      <c r="F30" s="393"/>
      <c r="G30" s="393" t="s">
        <v>158</v>
      </c>
      <c r="H30" s="217"/>
      <c r="I30" s="217"/>
      <c r="J30" s="217"/>
      <c r="K30" s="217"/>
      <c r="L30" s="217"/>
      <c r="M30" s="217"/>
      <c r="N30" s="217"/>
      <c r="O30" s="217"/>
      <c r="P30" s="217"/>
      <c r="Q30" s="217"/>
      <c r="R30" s="217"/>
      <c r="S30" s="217"/>
      <c r="T30" s="217"/>
      <c r="U30" s="217"/>
      <c r="V30" s="217"/>
      <c r="W30" s="217"/>
      <c r="X30" s="217"/>
      <c r="Y30" s="217"/>
      <c r="Z30" s="217"/>
      <c r="AA30" s="217"/>
    </row>
    <row r="31" spans="1:27" ht="15" customHeight="1" x14ac:dyDescent="0.3">
      <c r="B31" s="217">
        <f>IF(COUNTIF('Emissions Database'!$CK$205:$CS$205,C31)&gt;0,MAX($B$28:B30)+1,0)</f>
        <v>0</v>
      </c>
      <c r="C31" s="221" t="s">
        <v>112</v>
      </c>
      <c r="D31" s="393" t="s">
        <v>112</v>
      </c>
      <c r="E31" s="393"/>
      <c r="F31" s="393"/>
      <c r="G31" s="393" t="s">
        <v>160</v>
      </c>
      <c r="H31" s="217"/>
      <c r="I31" s="217"/>
      <c r="J31" s="217"/>
      <c r="K31" s="217"/>
      <c r="L31" s="217"/>
      <c r="M31" s="217"/>
      <c r="N31" s="217"/>
      <c r="O31" s="217"/>
      <c r="P31" s="217"/>
      <c r="Q31" s="217"/>
      <c r="R31" s="217"/>
      <c r="S31" s="217"/>
      <c r="T31" s="217"/>
      <c r="U31" s="217"/>
      <c r="V31" s="217"/>
      <c r="W31" s="217"/>
      <c r="X31" s="217"/>
      <c r="Y31" s="217"/>
      <c r="Z31" s="217"/>
      <c r="AA31" s="217"/>
    </row>
    <row r="32" spans="1:27" x14ac:dyDescent="0.3">
      <c r="B32" s="217">
        <f>IF(COUNTIF('Emissions Database'!$CK$205:$CS$205,C32)&gt;0,MAX($B$28:B31)+1,0)</f>
        <v>0</v>
      </c>
      <c r="C32" s="221" t="s">
        <v>610</v>
      </c>
      <c r="D32" s="393" t="s">
        <v>115</v>
      </c>
      <c r="E32" s="393"/>
      <c r="F32" s="393"/>
      <c r="G32" s="393" t="s">
        <v>159</v>
      </c>
      <c r="H32" s="217"/>
      <c r="I32" s="217"/>
      <c r="J32" s="217"/>
      <c r="K32" s="217"/>
      <c r="L32" s="217"/>
      <c r="M32" s="217"/>
      <c r="N32" s="217"/>
      <c r="O32" s="217"/>
      <c r="P32" s="217"/>
      <c r="Q32" s="217"/>
      <c r="R32" s="217"/>
      <c r="S32" s="217"/>
      <c r="T32" s="217"/>
      <c r="U32" s="217"/>
      <c r="V32" s="217"/>
      <c r="W32" s="217"/>
      <c r="X32" s="217"/>
      <c r="Y32" s="217"/>
      <c r="Z32" s="217"/>
      <c r="AA32" s="217"/>
    </row>
    <row r="33" spans="2:27" x14ac:dyDescent="0.3">
      <c r="B33" s="217">
        <f>IF(COUNTIF('Emissions Database'!$CK$205:$CS$205,C33)&gt;0,MAX($B$28:B32)+1,0)</f>
        <v>0</v>
      </c>
      <c r="C33" s="221" t="s">
        <v>519</v>
      </c>
      <c r="D33" s="393" t="s">
        <v>116</v>
      </c>
      <c r="E33" s="393"/>
      <c r="F33" s="393"/>
      <c r="G33" s="393" t="s">
        <v>161</v>
      </c>
      <c r="H33" s="217"/>
      <c r="I33" s="217"/>
      <c r="J33" s="217"/>
      <c r="K33" s="217"/>
      <c r="L33" s="217"/>
      <c r="M33" s="217"/>
      <c r="N33" s="217"/>
      <c r="O33" s="217"/>
      <c r="P33" s="217"/>
      <c r="Q33" s="217"/>
      <c r="R33" s="217"/>
      <c r="S33" s="217"/>
      <c r="T33" s="217"/>
      <c r="U33" s="217"/>
      <c r="V33" s="217"/>
      <c r="W33" s="217"/>
      <c r="X33" s="217"/>
      <c r="Y33" s="217"/>
      <c r="Z33" s="217"/>
      <c r="AA33" s="217"/>
    </row>
    <row r="34" spans="2:27" x14ac:dyDescent="0.3">
      <c r="B34" s="217">
        <f>IF(COUNTIF('Emissions Database'!$CK$205:$CS$205,C34)&gt;0,MAX($B$28:B33)+1,0)</f>
        <v>0</v>
      </c>
      <c r="C34" s="221" t="s">
        <v>520</v>
      </c>
      <c r="D34" s="393" t="s">
        <v>119</v>
      </c>
      <c r="E34" s="393" t="s">
        <v>120</v>
      </c>
      <c r="F34" s="393"/>
      <c r="G34" s="393" t="s">
        <v>162</v>
      </c>
      <c r="H34" s="217"/>
      <c r="I34" s="217"/>
      <c r="J34" s="217"/>
      <c r="K34" s="217"/>
      <c r="L34" s="217"/>
      <c r="M34" s="217"/>
      <c r="N34" s="217"/>
      <c r="O34" s="217"/>
      <c r="P34" s="217"/>
      <c r="Q34" s="217"/>
      <c r="R34" s="217"/>
      <c r="S34" s="217"/>
      <c r="T34" s="217"/>
      <c r="U34" s="217"/>
      <c r="V34" s="217"/>
      <c r="W34" s="217"/>
      <c r="X34" s="217"/>
      <c r="Y34" s="217"/>
      <c r="Z34" s="217"/>
      <c r="AA34" s="217"/>
    </row>
    <row r="35" spans="2:27" x14ac:dyDescent="0.3">
      <c r="B35" s="217">
        <f>IF(COUNTIF('Emissions Database'!$CK$205:$CS$205,C35)&gt;0,MAX($B$28:B34)+1,0)</f>
        <v>0</v>
      </c>
      <c r="C35" s="221" t="s">
        <v>128</v>
      </c>
      <c r="D35" s="393" t="s">
        <v>122</v>
      </c>
      <c r="E35" s="393" t="s">
        <v>123</v>
      </c>
      <c r="F35" s="393" t="s">
        <v>124</v>
      </c>
      <c r="G35" s="393" t="s">
        <v>163</v>
      </c>
      <c r="H35" s="217"/>
      <c r="I35" s="217"/>
      <c r="J35" s="217"/>
      <c r="K35" s="217"/>
      <c r="L35" s="217"/>
      <c r="M35" s="217"/>
      <c r="N35" s="217"/>
      <c r="O35" s="217"/>
      <c r="P35" s="217"/>
      <c r="Q35" s="217"/>
      <c r="R35" s="217"/>
      <c r="S35" s="217"/>
      <c r="T35" s="217"/>
      <c r="U35" s="217"/>
      <c r="V35" s="217"/>
      <c r="W35" s="217"/>
      <c r="X35" s="217"/>
      <c r="Y35" s="217"/>
      <c r="Z35" s="217"/>
      <c r="AA35" s="217"/>
    </row>
    <row r="36" spans="2:27" x14ac:dyDescent="0.3">
      <c r="B36" s="217"/>
      <c r="C36" s="217"/>
      <c r="D36" s="217" t="s">
        <v>572</v>
      </c>
      <c r="E36" s="217"/>
      <c r="F36" s="217"/>
      <c r="G36" s="217"/>
      <c r="H36" s="217"/>
      <c r="I36" s="217"/>
      <c r="J36" s="217"/>
      <c r="K36" s="217"/>
      <c r="L36" s="217"/>
      <c r="M36" s="217"/>
      <c r="N36" s="217"/>
      <c r="O36" s="217"/>
      <c r="P36" s="217"/>
      <c r="Q36" s="217"/>
      <c r="R36" s="217"/>
      <c r="S36" s="217"/>
      <c r="T36" s="217"/>
      <c r="U36" s="217"/>
      <c r="V36" s="217"/>
      <c r="W36" s="217"/>
      <c r="X36" s="217"/>
      <c r="Y36" s="217"/>
      <c r="Z36" s="217"/>
      <c r="AA36" s="217"/>
    </row>
    <row r="37" spans="2:27" x14ac:dyDescent="0.3">
      <c r="H37" s="217"/>
      <c r="I37" s="217"/>
      <c r="J37" s="217"/>
      <c r="K37" s="217"/>
      <c r="L37" s="217"/>
      <c r="M37" s="217"/>
      <c r="N37" s="217"/>
      <c r="O37" s="217"/>
      <c r="P37" s="217"/>
      <c r="Q37" s="217"/>
      <c r="R37" s="217"/>
      <c r="S37" s="217"/>
      <c r="T37" s="217"/>
      <c r="U37" s="217"/>
      <c r="V37" s="217"/>
      <c r="W37" s="217"/>
      <c r="X37" s="217"/>
      <c r="Y37" s="217"/>
      <c r="Z37" s="217"/>
      <c r="AA37" s="217"/>
    </row>
    <row r="38" spans="2:27" x14ac:dyDescent="0.3">
      <c r="B38" s="217" t="s">
        <v>803</v>
      </c>
      <c r="C38" s="225" t="s">
        <v>301</v>
      </c>
      <c r="D38" s="217"/>
      <c r="E38" s="225" t="s">
        <v>420</v>
      </c>
      <c r="F38" s="217"/>
      <c r="G38" s="219" t="s">
        <v>731</v>
      </c>
      <c r="H38" s="217"/>
      <c r="I38" s="217"/>
      <c r="J38" s="217"/>
      <c r="K38" s="217"/>
      <c r="L38" s="217"/>
      <c r="M38" s="217"/>
      <c r="N38" s="217"/>
      <c r="O38" s="217"/>
      <c r="P38" s="217"/>
      <c r="Q38" s="217"/>
      <c r="R38" s="217"/>
      <c r="S38" s="217"/>
      <c r="T38" s="217"/>
      <c r="U38" s="217"/>
      <c r="V38" s="217"/>
      <c r="W38" s="217"/>
      <c r="X38" s="217"/>
      <c r="Y38" s="217"/>
      <c r="Z38" s="217"/>
      <c r="AA38" s="217"/>
    </row>
    <row r="39" spans="2:27" x14ac:dyDescent="0.3">
      <c r="B39" s="217">
        <f>COUNTIF('Simplified Screening 1'!$E$15:$E$54,C39)</f>
        <v>0</v>
      </c>
      <c r="C39" s="221" t="s">
        <v>622</v>
      </c>
      <c r="D39" s="217"/>
      <c r="E39" s="221" t="s">
        <v>421</v>
      </c>
      <c r="F39" s="217"/>
      <c r="G39" s="432">
        <v>2010</v>
      </c>
      <c r="H39" s="217"/>
      <c r="I39" s="217"/>
      <c r="J39" s="217"/>
      <c r="K39" s="217"/>
      <c r="L39" s="217"/>
      <c r="M39" s="217"/>
      <c r="N39" s="217"/>
      <c r="O39" s="217"/>
      <c r="P39" s="217"/>
      <c r="Q39" s="217"/>
      <c r="R39" s="217"/>
      <c r="S39" s="217"/>
      <c r="T39" s="217"/>
      <c r="U39" s="217"/>
      <c r="V39" s="217"/>
      <c r="W39" s="217"/>
      <c r="X39" s="217"/>
      <c r="Y39" s="217"/>
      <c r="Z39" s="217"/>
      <c r="AA39" s="217"/>
    </row>
    <row r="40" spans="2:27" x14ac:dyDescent="0.3">
      <c r="B40" s="217"/>
      <c r="C40" s="221" t="s">
        <v>112</v>
      </c>
      <c r="D40" s="217"/>
      <c r="E40" s="221" t="s">
        <v>422</v>
      </c>
      <c r="F40" s="217"/>
      <c r="G40" s="432">
        <v>2011</v>
      </c>
      <c r="H40" s="217"/>
      <c r="I40" s="217"/>
      <c r="J40" s="217"/>
      <c r="K40" s="217"/>
      <c r="L40" s="217"/>
      <c r="M40" s="217"/>
      <c r="N40" s="217"/>
      <c r="O40" s="217"/>
      <c r="P40" s="217"/>
      <c r="Q40" s="217"/>
      <c r="R40" s="217"/>
      <c r="S40" s="217"/>
      <c r="T40" s="217"/>
      <c r="U40" s="217"/>
      <c r="V40" s="217"/>
      <c r="W40" s="217"/>
      <c r="X40" s="217"/>
      <c r="Y40" s="217"/>
      <c r="Z40" s="217"/>
      <c r="AA40" s="217"/>
    </row>
    <row r="41" spans="2:27" x14ac:dyDescent="0.3">
      <c r="C41" s="221" t="s">
        <v>608</v>
      </c>
      <c r="D41" s="217"/>
      <c r="E41" s="217"/>
      <c r="F41" s="217"/>
      <c r="G41" s="432">
        <v>2012</v>
      </c>
      <c r="H41" s="217"/>
      <c r="I41" s="217"/>
      <c r="J41" s="217"/>
      <c r="K41" s="217"/>
      <c r="L41" s="217"/>
      <c r="M41" s="217"/>
      <c r="N41" s="217"/>
      <c r="O41" s="217"/>
      <c r="P41" s="217"/>
      <c r="Q41" s="217"/>
      <c r="R41" s="217"/>
      <c r="S41" s="217"/>
      <c r="T41" s="217"/>
      <c r="U41" s="217"/>
      <c r="V41" s="217"/>
      <c r="W41" s="217"/>
      <c r="X41" s="217"/>
      <c r="Y41" s="217"/>
      <c r="Z41" s="217"/>
      <c r="AA41" s="217"/>
    </row>
    <row r="42" spans="2:27" x14ac:dyDescent="0.3">
      <c r="B42" s="217"/>
      <c r="C42" s="221" t="s">
        <v>111</v>
      </c>
      <c r="D42" s="217"/>
      <c r="E42" s="217"/>
      <c r="F42" s="217"/>
      <c r="G42" s="432">
        <v>2013</v>
      </c>
      <c r="H42" s="217"/>
      <c r="I42" s="217"/>
      <c r="J42" s="217"/>
      <c r="K42" s="217"/>
      <c r="L42" s="217"/>
      <c r="M42" s="217"/>
      <c r="N42" s="217"/>
      <c r="O42" s="217"/>
      <c r="P42" s="217"/>
      <c r="Q42" s="217"/>
      <c r="R42" s="217"/>
      <c r="S42" s="217"/>
      <c r="T42" s="217"/>
      <c r="U42" s="217"/>
      <c r="V42" s="217"/>
      <c r="W42" s="217"/>
      <c r="X42" s="217"/>
      <c r="Y42" s="217"/>
      <c r="Z42" s="217"/>
      <c r="AA42" s="217"/>
    </row>
    <row r="43" spans="2:27" x14ac:dyDescent="0.3">
      <c r="B43" s="217">
        <f>COUNTIF('Simplified Screening 1'!$E$15:$E$54,C43)</f>
        <v>0</v>
      </c>
      <c r="C43" s="221" t="s">
        <v>621</v>
      </c>
      <c r="D43" s="217"/>
      <c r="E43" s="217"/>
      <c r="F43" s="217"/>
      <c r="G43" s="432">
        <v>2014</v>
      </c>
      <c r="H43" s="217"/>
      <c r="I43" s="217"/>
      <c r="J43" s="217"/>
      <c r="K43" s="217"/>
      <c r="L43" s="217"/>
      <c r="M43" s="217"/>
      <c r="N43" s="217"/>
      <c r="O43" s="217"/>
      <c r="P43" s="217"/>
      <c r="Q43" s="217"/>
      <c r="R43" s="217"/>
      <c r="S43" s="217"/>
      <c r="T43" s="217"/>
      <c r="U43" s="217"/>
      <c r="V43" s="217"/>
      <c r="W43" s="217"/>
      <c r="X43" s="217"/>
      <c r="Y43" s="217"/>
      <c r="Z43" s="217"/>
      <c r="AA43" s="217"/>
    </row>
    <row r="44" spans="2:27" x14ac:dyDescent="0.3">
      <c r="B44" s="217"/>
      <c r="C44" s="221" t="s">
        <v>110</v>
      </c>
      <c r="D44" s="217"/>
      <c r="E44" s="217"/>
      <c r="F44" s="217"/>
      <c r="G44" s="432">
        <v>2015</v>
      </c>
      <c r="H44" s="217"/>
      <c r="I44" s="217"/>
      <c r="J44" s="217"/>
      <c r="K44" s="217"/>
      <c r="L44" s="217"/>
      <c r="M44" s="217"/>
      <c r="N44" s="217"/>
      <c r="O44" s="217"/>
      <c r="P44" s="217"/>
      <c r="Q44" s="217"/>
      <c r="R44" s="217"/>
      <c r="S44" s="217"/>
      <c r="T44" s="217"/>
      <c r="U44" s="217"/>
      <c r="V44" s="217"/>
      <c r="W44" s="217"/>
      <c r="X44" s="217"/>
      <c r="Y44" s="217"/>
      <c r="Z44" s="217"/>
      <c r="AA44" s="217"/>
    </row>
    <row r="45" spans="2:27" x14ac:dyDescent="0.3">
      <c r="B45" s="217"/>
      <c r="C45" s="221" t="s">
        <v>723</v>
      </c>
      <c r="D45" s="217"/>
      <c r="E45" s="217"/>
      <c r="F45" s="217"/>
      <c r="G45" s="432">
        <v>2016</v>
      </c>
      <c r="H45" s="217"/>
      <c r="I45" s="217"/>
      <c r="J45" s="217"/>
      <c r="K45" s="217"/>
      <c r="L45" s="217"/>
      <c r="M45" s="217"/>
      <c r="N45" s="217"/>
      <c r="O45" s="217"/>
      <c r="P45" s="217"/>
      <c r="Q45" s="217"/>
      <c r="R45" s="217"/>
      <c r="S45" s="217"/>
      <c r="T45" s="217"/>
      <c r="U45" s="217"/>
      <c r="V45" s="217"/>
      <c r="W45" s="217"/>
      <c r="X45" s="217"/>
      <c r="Y45" s="217"/>
      <c r="Z45" s="217"/>
      <c r="AA45" s="217"/>
    </row>
    <row r="46" spans="2:27" x14ac:dyDescent="0.3">
      <c r="B46" s="217"/>
      <c r="C46" s="221" t="s">
        <v>722</v>
      </c>
      <c r="D46" s="217"/>
      <c r="E46" s="217"/>
      <c r="F46" s="217"/>
      <c r="G46" s="432">
        <v>2017</v>
      </c>
      <c r="H46" s="217"/>
      <c r="I46" s="217"/>
      <c r="J46" s="217"/>
      <c r="K46" s="217"/>
      <c r="L46" s="217"/>
      <c r="M46" s="217"/>
      <c r="N46" s="217"/>
      <c r="O46" s="217"/>
      <c r="P46" s="217"/>
      <c r="Q46" s="217"/>
      <c r="R46" s="217"/>
      <c r="S46" s="217"/>
      <c r="T46" s="217"/>
      <c r="U46" s="217"/>
      <c r="V46" s="217"/>
      <c r="W46" s="217"/>
      <c r="X46" s="217"/>
      <c r="Y46" s="217"/>
      <c r="Z46" s="217"/>
      <c r="AA46" s="217"/>
    </row>
    <row r="47" spans="2:27" x14ac:dyDescent="0.3">
      <c r="B47" s="217">
        <f>COUNTIF('Simplified Screening 1'!$E$15:$E$54,C47)</f>
        <v>0</v>
      </c>
      <c r="C47" s="221" t="s">
        <v>620</v>
      </c>
      <c r="D47" s="217"/>
      <c r="E47" s="217"/>
      <c r="F47" s="217"/>
      <c r="G47" s="432">
        <v>2018</v>
      </c>
      <c r="H47" s="217"/>
      <c r="I47" s="217"/>
      <c r="J47" s="217"/>
      <c r="K47" s="217"/>
      <c r="L47" s="217"/>
      <c r="M47" s="217"/>
      <c r="N47" s="217"/>
      <c r="O47" s="217"/>
      <c r="P47" s="217"/>
      <c r="Q47" s="217"/>
      <c r="R47" s="217"/>
      <c r="S47" s="217"/>
      <c r="T47" s="217"/>
      <c r="U47" s="217"/>
      <c r="V47" s="217"/>
      <c r="W47" s="217"/>
      <c r="X47" s="217"/>
      <c r="Y47" s="217"/>
      <c r="Z47" s="217"/>
      <c r="AA47" s="217"/>
    </row>
    <row r="48" spans="2:27" x14ac:dyDescent="0.3">
      <c r="B48" s="217">
        <f>COUNTIF('Simplified Screening 1'!$E$15:$E$54,C48)</f>
        <v>0</v>
      </c>
      <c r="C48" s="221" t="s">
        <v>616</v>
      </c>
      <c r="D48" s="217"/>
      <c r="E48" s="217"/>
      <c r="F48" s="217"/>
      <c r="G48" s="432">
        <v>2019</v>
      </c>
      <c r="H48" s="217"/>
      <c r="I48" s="217"/>
      <c r="J48" s="217"/>
      <c r="K48" s="217"/>
      <c r="L48" s="217"/>
      <c r="M48" s="217"/>
      <c r="N48" s="217"/>
      <c r="O48" s="217"/>
      <c r="P48" s="217"/>
      <c r="Q48" s="217"/>
      <c r="R48" s="217"/>
      <c r="S48" s="217"/>
      <c r="T48" s="217"/>
      <c r="U48" s="217"/>
      <c r="V48" s="217"/>
      <c r="W48" s="217"/>
      <c r="X48" s="217"/>
      <c r="Y48" s="217"/>
      <c r="Z48" s="217"/>
      <c r="AA48" s="217"/>
    </row>
    <row r="49" spans="2:27" x14ac:dyDescent="0.3">
      <c r="B49" s="217">
        <f>COUNTIF('Simplified Screening 1'!$E$15:$E$54,C49)</f>
        <v>0</v>
      </c>
      <c r="C49" s="221" t="s">
        <v>618</v>
      </c>
      <c r="D49" s="217"/>
      <c r="E49" s="217"/>
      <c r="F49" s="217"/>
      <c r="G49" s="432">
        <v>2020</v>
      </c>
      <c r="H49" s="217"/>
      <c r="I49" s="217"/>
      <c r="J49" s="217"/>
      <c r="K49" s="217"/>
      <c r="L49" s="217"/>
      <c r="M49" s="217"/>
      <c r="N49" s="217"/>
      <c r="O49" s="217"/>
      <c r="P49" s="217"/>
      <c r="Q49" s="217"/>
      <c r="R49" s="217"/>
      <c r="S49" s="217"/>
      <c r="T49" s="217"/>
      <c r="U49" s="217"/>
      <c r="V49" s="217"/>
      <c r="W49" s="217"/>
      <c r="X49" s="217"/>
      <c r="Y49" s="217"/>
      <c r="Z49" s="217"/>
      <c r="AA49" s="217"/>
    </row>
    <row r="50" spans="2:27" x14ac:dyDescent="0.3">
      <c r="B50" s="217"/>
      <c r="C50" s="221" t="s">
        <v>721</v>
      </c>
      <c r="D50" s="217"/>
      <c r="E50" s="217"/>
      <c r="F50" s="217"/>
      <c r="G50" s="432">
        <v>2021</v>
      </c>
      <c r="H50" s="217"/>
      <c r="I50" s="217"/>
      <c r="J50" s="217"/>
      <c r="K50" s="217"/>
      <c r="L50" s="217"/>
      <c r="M50" s="217"/>
      <c r="N50" s="217"/>
      <c r="O50" s="217"/>
      <c r="P50" s="217"/>
      <c r="Q50" s="217"/>
      <c r="R50" s="217"/>
      <c r="S50" s="217"/>
      <c r="T50" s="217"/>
      <c r="U50" s="217"/>
      <c r="V50" s="217"/>
      <c r="W50" s="217"/>
      <c r="X50" s="217"/>
      <c r="Y50" s="217"/>
      <c r="Z50" s="217"/>
      <c r="AA50" s="217"/>
    </row>
    <row r="51" spans="2:27" x14ac:dyDescent="0.3">
      <c r="B51" s="217"/>
      <c r="C51" s="221" t="s">
        <v>610</v>
      </c>
      <c r="D51" s="217"/>
      <c r="E51" s="217"/>
      <c r="F51" s="217"/>
      <c r="G51" s="432">
        <v>2022</v>
      </c>
      <c r="H51" s="217"/>
      <c r="I51" s="217"/>
      <c r="J51" s="217"/>
      <c r="K51" s="217"/>
      <c r="L51" s="217"/>
      <c r="M51" s="217"/>
      <c r="N51" s="217"/>
      <c r="O51" s="217"/>
      <c r="P51" s="217"/>
      <c r="Q51" s="217"/>
      <c r="R51" s="217"/>
      <c r="S51" s="217"/>
      <c r="T51" s="217"/>
      <c r="U51" s="217"/>
      <c r="V51" s="217"/>
      <c r="W51" s="217"/>
      <c r="X51" s="217"/>
      <c r="Y51" s="217"/>
      <c r="Z51" s="217"/>
      <c r="AA51" s="217"/>
    </row>
    <row r="52" spans="2:27" x14ac:dyDescent="0.3">
      <c r="B52" s="217"/>
      <c r="C52" s="221" t="s">
        <v>614</v>
      </c>
      <c r="D52" s="217"/>
      <c r="E52" s="217"/>
      <c r="F52" s="217"/>
      <c r="G52" s="432">
        <v>2023</v>
      </c>
      <c r="H52" s="217"/>
      <c r="I52" s="217"/>
      <c r="J52" s="217"/>
      <c r="K52" s="217"/>
      <c r="L52" s="217"/>
      <c r="M52" s="217"/>
      <c r="N52" s="217"/>
      <c r="O52" s="217"/>
      <c r="P52" s="217"/>
      <c r="Q52" s="217"/>
      <c r="R52" s="217"/>
      <c r="S52" s="217"/>
      <c r="T52" s="217"/>
      <c r="U52" s="217"/>
      <c r="V52" s="217"/>
      <c r="W52" s="217"/>
      <c r="X52" s="217"/>
      <c r="Y52" s="217"/>
      <c r="Z52" s="217"/>
      <c r="AA52" s="217"/>
    </row>
    <row r="53" spans="2:27" x14ac:dyDescent="0.3">
      <c r="B53" s="217"/>
      <c r="C53" s="221" t="s">
        <v>612</v>
      </c>
      <c r="D53" s="217"/>
      <c r="E53" s="217"/>
      <c r="F53" s="217"/>
      <c r="G53" s="432">
        <v>2024</v>
      </c>
      <c r="H53" s="217"/>
      <c r="I53" s="217"/>
      <c r="J53" s="217"/>
      <c r="K53" s="217"/>
      <c r="L53" s="217"/>
      <c r="M53" s="217"/>
      <c r="N53" s="217"/>
      <c r="O53" s="217"/>
      <c r="P53" s="217"/>
      <c r="Q53" s="217"/>
      <c r="R53" s="217"/>
      <c r="S53" s="217"/>
      <c r="T53" s="217"/>
      <c r="U53" s="217"/>
      <c r="V53" s="217"/>
      <c r="W53" s="217"/>
      <c r="X53" s="217"/>
      <c r="Y53" s="217"/>
      <c r="Z53" s="217"/>
      <c r="AA53" s="217"/>
    </row>
    <row r="54" spans="2:27" x14ac:dyDescent="0.3">
      <c r="B54" s="217"/>
      <c r="C54" s="217" t="s">
        <v>570</v>
      </c>
      <c r="D54" s="217"/>
      <c r="F54" s="217"/>
      <c r="G54" s="432">
        <v>2025</v>
      </c>
      <c r="H54" s="217"/>
      <c r="I54" s="217"/>
      <c r="J54" s="217"/>
      <c r="K54" s="217"/>
      <c r="L54" s="217"/>
      <c r="M54" s="217"/>
      <c r="N54" s="217"/>
      <c r="O54" s="217"/>
      <c r="P54" s="217"/>
      <c r="Q54" s="217"/>
      <c r="R54" s="217"/>
      <c r="S54" s="217"/>
      <c r="T54" s="217"/>
      <c r="U54" s="217"/>
      <c r="V54" s="217"/>
      <c r="W54" s="217"/>
      <c r="X54" s="217"/>
      <c r="Y54" s="217"/>
      <c r="Z54" s="217"/>
      <c r="AA54" s="217"/>
    </row>
    <row r="55" spans="2:27" x14ac:dyDescent="0.3">
      <c r="D55" s="217"/>
      <c r="F55" s="217"/>
      <c r="G55" s="432">
        <v>2026</v>
      </c>
      <c r="H55" s="217"/>
      <c r="I55" s="217"/>
      <c r="J55" s="217"/>
      <c r="K55" s="217"/>
      <c r="L55" s="217"/>
      <c r="M55" s="217"/>
      <c r="N55" s="217"/>
      <c r="O55" s="217"/>
      <c r="P55" s="217"/>
      <c r="Q55" s="217"/>
      <c r="R55" s="217"/>
      <c r="S55" s="217"/>
      <c r="T55" s="217"/>
      <c r="U55" s="217"/>
      <c r="V55" s="217"/>
      <c r="W55" s="217"/>
      <c r="X55" s="217"/>
      <c r="Y55" s="217"/>
      <c r="Z55" s="217"/>
      <c r="AA55" s="217"/>
    </row>
    <row r="56" spans="2:27" x14ac:dyDescent="0.3">
      <c r="D56" s="217"/>
      <c r="F56" s="217"/>
      <c r="G56" s="432">
        <v>2027</v>
      </c>
      <c r="H56" s="217"/>
      <c r="I56" s="217"/>
      <c r="J56" s="217"/>
      <c r="K56" s="217"/>
      <c r="L56" s="217"/>
      <c r="M56" s="217"/>
      <c r="N56" s="217"/>
      <c r="O56" s="217"/>
      <c r="P56" s="217"/>
      <c r="Q56" s="217"/>
      <c r="R56" s="217"/>
      <c r="S56" s="217"/>
      <c r="T56" s="217"/>
      <c r="U56" s="217"/>
      <c r="V56" s="217"/>
      <c r="W56" s="217"/>
      <c r="X56" s="217"/>
      <c r="Y56" s="217"/>
      <c r="Z56" s="217"/>
      <c r="AA56" s="217"/>
    </row>
    <row r="57" spans="2:27" x14ac:dyDescent="0.3">
      <c r="B57" s="217"/>
      <c r="C57" s="225" t="s">
        <v>395</v>
      </c>
      <c r="D57" s="217"/>
      <c r="E57" s="217"/>
      <c r="F57" s="217"/>
      <c r="G57" s="432">
        <v>2028</v>
      </c>
      <c r="H57" s="217"/>
      <c r="I57" s="217"/>
      <c r="J57" s="217"/>
      <c r="K57" s="217"/>
      <c r="L57" s="217"/>
      <c r="M57" s="217"/>
      <c r="N57" s="217"/>
      <c r="O57" s="217"/>
      <c r="P57" s="217"/>
      <c r="Q57" s="217"/>
      <c r="R57" s="217"/>
      <c r="S57" s="217"/>
      <c r="T57" s="217"/>
      <c r="U57" s="217"/>
      <c r="V57" s="217"/>
      <c r="W57" s="217"/>
      <c r="X57" s="217"/>
      <c r="Y57" s="217"/>
      <c r="Z57" s="217"/>
      <c r="AA57" s="217"/>
    </row>
    <row r="58" spans="2:27" x14ac:dyDescent="0.3">
      <c r="B58" s="217">
        <v>1</v>
      </c>
      <c r="C58" s="221" t="s">
        <v>396</v>
      </c>
      <c r="D58" s="217"/>
      <c r="E58" s="217"/>
      <c r="F58" s="217"/>
      <c r="G58" s="432">
        <v>2029</v>
      </c>
      <c r="H58" s="217"/>
      <c r="I58" s="217"/>
      <c r="J58" s="217"/>
      <c r="K58" s="217"/>
      <c r="L58" s="217"/>
      <c r="M58" s="217"/>
      <c r="N58" s="217"/>
      <c r="O58" s="217"/>
      <c r="P58" s="217"/>
      <c r="Q58" s="217"/>
      <c r="R58" s="217"/>
      <c r="S58" s="217"/>
      <c r="T58" s="217"/>
      <c r="U58" s="217"/>
      <c r="V58" s="217"/>
      <c r="W58" s="217"/>
      <c r="X58" s="217"/>
      <c r="Y58" s="217"/>
      <c r="Z58" s="217"/>
      <c r="AA58" s="217"/>
    </row>
    <row r="59" spans="2:27" x14ac:dyDescent="0.3">
      <c r="B59" s="217">
        <v>2</v>
      </c>
      <c r="C59" s="221" t="s">
        <v>164</v>
      </c>
      <c r="D59" s="217"/>
      <c r="E59" s="217"/>
      <c r="F59" s="217"/>
      <c r="G59" s="432">
        <v>2030</v>
      </c>
      <c r="H59" s="217"/>
      <c r="I59" s="217"/>
      <c r="J59" s="217"/>
      <c r="K59" s="217"/>
      <c r="L59" s="217"/>
      <c r="M59" s="217"/>
      <c r="N59" s="217"/>
      <c r="O59" s="217"/>
      <c r="P59" s="217"/>
      <c r="Q59" s="217"/>
      <c r="R59" s="217"/>
      <c r="S59" s="217"/>
      <c r="T59" s="217"/>
      <c r="U59" s="217"/>
      <c r="V59" s="217"/>
      <c r="W59" s="217"/>
      <c r="X59" s="217"/>
      <c r="Y59" s="217"/>
      <c r="Z59" s="217"/>
      <c r="AA59" s="217"/>
    </row>
    <row r="60" spans="2:27" x14ac:dyDescent="0.3">
      <c r="B60" s="217">
        <v>3</v>
      </c>
      <c r="C60" s="221" t="s">
        <v>385</v>
      </c>
      <c r="D60" s="217"/>
      <c r="E60" s="217"/>
      <c r="F60" s="217"/>
      <c r="G60" s="217"/>
      <c r="H60" s="217"/>
      <c r="I60" s="217"/>
      <c r="J60" s="217"/>
      <c r="K60" s="217"/>
      <c r="L60" s="217"/>
      <c r="M60" s="217"/>
      <c r="N60" s="217"/>
      <c r="O60" s="217"/>
      <c r="P60" s="217"/>
      <c r="Q60" s="217"/>
      <c r="R60" s="217"/>
      <c r="S60" s="217"/>
      <c r="T60" s="217"/>
      <c r="U60" s="217"/>
      <c r="V60" s="217"/>
      <c r="W60" s="217"/>
      <c r="X60" s="217"/>
      <c r="Y60" s="217"/>
      <c r="Z60" s="217"/>
      <c r="AA60" s="217"/>
    </row>
    <row r="61" spans="2:27" x14ac:dyDescent="0.3">
      <c r="B61" s="217">
        <v>4</v>
      </c>
      <c r="C61" s="221" t="s">
        <v>397</v>
      </c>
      <c r="D61" s="217"/>
      <c r="E61" s="217"/>
      <c r="F61" s="217"/>
      <c r="G61" s="217"/>
      <c r="H61" s="217"/>
      <c r="I61" s="217"/>
      <c r="J61" s="217"/>
      <c r="K61" s="217"/>
      <c r="L61" s="217"/>
      <c r="M61" s="217"/>
      <c r="N61" s="217"/>
      <c r="O61" s="217"/>
      <c r="P61" s="217"/>
      <c r="Q61" s="217"/>
      <c r="R61" s="217"/>
      <c r="S61" s="217"/>
      <c r="T61" s="217"/>
      <c r="U61" s="217"/>
      <c r="V61" s="217"/>
      <c r="W61" s="217"/>
      <c r="X61" s="217"/>
      <c r="Y61" s="217"/>
      <c r="Z61" s="217"/>
      <c r="AA61" s="217"/>
    </row>
    <row r="62" spans="2:27" x14ac:dyDescent="0.3">
      <c r="B62" s="217">
        <v>5</v>
      </c>
      <c r="C62" s="221" t="s">
        <v>399</v>
      </c>
      <c r="D62" s="217"/>
      <c r="E62" s="217"/>
      <c r="F62" s="217"/>
      <c r="G62" s="217"/>
      <c r="H62" s="217"/>
      <c r="I62" s="217"/>
      <c r="J62" s="217"/>
      <c r="K62" s="217"/>
      <c r="L62" s="217"/>
      <c r="M62" s="217"/>
      <c r="N62" s="217"/>
      <c r="O62" s="217"/>
      <c r="P62" s="217"/>
      <c r="Q62" s="217"/>
      <c r="R62" s="217"/>
      <c r="S62" s="217"/>
      <c r="T62" s="217"/>
      <c r="U62" s="217"/>
      <c r="V62" s="217"/>
      <c r="W62" s="217"/>
      <c r="X62" s="217"/>
      <c r="Y62" s="217"/>
      <c r="Z62" s="217"/>
      <c r="AA62" s="217"/>
    </row>
    <row r="63" spans="2:27" s="506" customFormat="1" x14ac:dyDescent="0.3">
      <c r="B63" s="217">
        <v>6</v>
      </c>
      <c r="C63" s="221" t="s">
        <v>398</v>
      </c>
      <c r="D63" s="217"/>
      <c r="E63" s="217"/>
      <c r="F63" s="217"/>
      <c r="G63" s="217"/>
      <c r="H63" s="217"/>
      <c r="I63" s="217"/>
      <c r="J63" s="217"/>
      <c r="K63" s="217"/>
      <c r="L63" s="217"/>
      <c r="M63" s="217"/>
      <c r="N63" s="217"/>
      <c r="O63" s="217"/>
      <c r="P63" s="217"/>
      <c r="Q63" s="217"/>
      <c r="R63" s="217"/>
      <c r="S63" s="217"/>
      <c r="T63" s="217"/>
      <c r="U63" s="217"/>
      <c r="V63" s="217"/>
      <c r="W63" s="217"/>
      <c r="X63" s="217"/>
      <c r="Y63" s="217"/>
      <c r="Z63" s="217"/>
      <c r="AA63" s="217"/>
    </row>
    <row r="64" spans="2:27" s="506" customFormat="1" x14ac:dyDescent="0.3">
      <c r="B64" s="217">
        <v>7</v>
      </c>
      <c r="C64" s="221" t="s">
        <v>463</v>
      </c>
      <c r="D64" s="217"/>
      <c r="E64" s="217"/>
      <c r="F64" s="217"/>
      <c r="G64" s="217"/>
      <c r="H64" s="217"/>
      <c r="I64" s="217"/>
      <c r="J64" s="217"/>
      <c r="K64" s="217"/>
      <c r="L64" s="217"/>
      <c r="M64" s="217"/>
      <c r="N64" s="217"/>
      <c r="O64" s="217"/>
      <c r="P64" s="217"/>
      <c r="Q64" s="217"/>
      <c r="R64" s="217"/>
      <c r="S64" s="217"/>
      <c r="T64" s="217"/>
      <c r="U64" s="217"/>
      <c r="V64" s="217"/>
      <c r="W64" s="217"/>
      <c r="X64" s="217"/>
      <c r="Y64" s="217"/>
      <c r="Z64" s="217"/>
      <c r="AA64" s="217"/>
    </row>
    <row r="65" spans="1:27" s="506" customFormat="1" x14ac:dyDescent="0.3">
      <c r="B65" s="217"/>
      <c r="C65" s="377"/>
      <c r="D65" s="217"/>
      <c r="E65" s="217"/>
      <c r="F65" s="217"/>
      <c r="G65" s="217"/>
      <c r="H65" s="217"/>
      <c r="I65" s="217"/>
      <c r="J65" s="217"/>
      <c r="K65" s="217"/>
      <c r="L65" s="217"/>
      <c r="M65" s="217"/>
      <c r="N65" s="217"/>
      <c r="O65" s="217"/>
      <c r="P65" s="217"/>
      <c r="Q65" s="217"/>
      <c r="R65" s="217"/>
      <c r="S65" s="217"/>
      <c r="T65" s="217"/>
      <c r="U65" s="217"/>
      <c r="V65" s="217"/>
      <c r="W65" s="217"/>
      <c r="X65" s="217"/>
      <c r="Y65" s="217"/>
      <c r="Z65" s="217"/>
      <c r="AA65" s="217"/>
    </row>
    <row r="66" spans="1:27" s="506" customFormat="1" x14ac:dyDescent="0.3">
      <c r="B66" s="217"/>
      <c r="C66" s="377"/>
      <c r="D66" s="217"/>
      <c r="E66" s="217"/>
      <c r="F66" s="217"/>
      <c r="G66" s="217"/>
      <c r="H66" s="217"/>
      <c r="I66" s="217"/>
      <c r="J66" s="217"/>
      <c r="K66" s="217"/>
      <c r="L66" s="217"/>
      <c r="M66" s="217"/>
      <c r="N66" s="217"/>
      <c r="O66" s="217"/>
      <c r="P66" s="217"/>
      <c r="Q66" s="217"/>
      <c r="R66" s="217"/>
      <c r="S66" s="217"/>
      <c r="T66" s="217"/>
      <c r="U66" s="217"/>
      <c r="V66" s="217"/>
      <c r="W66" s="217"/>
      <c r="X66" s="217"/>
      <c r="Y66" s="217"/>
      <c r="Z66" s="217"/>
      <c r="AA66" s="217"/>
    </row>
    <row r="67" spans="1:27" ht="15" thickBot="1" x14ac:dyDescent="0.35">
      <c r="B67" s="217"/>
      <c r="C67" s="217"/>
      <c r="D67" s="217"/>
      <c r="E67" s="217">
        <f>IF(COUNTIF('Emissions Database'!$BE$205:$BR$205,E69)&gt;0,1,0)</f>
        <v>0</v>
      </c>
      <c r="F67" s="217">
        <f>IF(COUNTIF('Emissions Database'!$BE$205:$BR$205,F69)&gt;0,MAX($E$67:E67)+1,0)</f>
        <v>0</v>
      </c>
      <c r="G67" s="217">
        <f>IF(COUNTIF('Emissions Database'!$BE$205:$BR$205,G69)&gt;0,MAX($E$67:F67)+1,0)</f>
        <v>0</v>
      </c>
      <c r="H67" s="217">
        <f>IF(COUNTIF('Emissions Database'!$BE$205:$BR$205,H69)&gt;0,MAX($E$67:G67)+1,0)</f>
        <v>0</v>
      </c>
      <c r="I67" s="217">
        <f>IF(COUNTIF('Emissions Database'!$BE$205:$BR$205,I69)&gt;0,MAX($E$67:H67)+1,0)</f>
        <v>0</v>
      </c>
      <c r="J67" s="217">
        <f>IF(COUNTIF('Emissions Database'!$BE$205:$BR$205,J69)&gt;0,MAX($E$67:I67)+1,0)</f>
        <v>0</v>
      </c>
      <c r="K67" s="217">
        <f>IF(COUNTIF('Emissions Database'!$BE$205:$BR$205,K69)&gt;0,MAX($E$67:J67)+1,0)</f>
        <v>0</v>
      </c>
      <c r="L67" s="217">
        <f>IF(COUNTIF('Emissions Database'!$BE$205:$BR$205,L69)&gt;0,MAX($E$67:K67)+1,0)</f>
        <v>0</v>
      </c>
      <c r="M67" s="217">
        <f>IF(COUNTIF('Emissions Database'!$BE$205:$BR$205,M69)&gt;0,MAX($E$67:L67)+1,0)</f>
        <v>0</v>
      </c>
      <c r="N67" s="217">
        <f>IF(COUNTIF('Emissions Database'!$BE$205:$BR$205,N69)&gt;0,MAX($E$67:M67)+1,0)</f>
        <v>0</v>
      </c>
      <c r="O67" s="217">
        <f>IF(COUNTIF('Emissions Database'!$BE$205:$BR$205,O69)&gt;0,MAX($E$67:N67)+1,0)</f>
        <v>0</v>
      </c>
      <c r="P67" s="217">
        <f>IF(COUNTIF('Emissions Database'!$BE$205:$BR$205,P69)&gt;0,MAX($E$67:O67)+1,0)</f>
        <v>0</v>
      </c>
      <c r="Q67" s="217">
        <f>IF(COUNTIF('Emissions Database'!$BE$205:$BR$205,Q69)&gt;0,MAX($E$67:P67)+1,0)</f>
        <v>0</v>
      </c>
      <c r="R67" s="217">
        <f>IF(COUNTIF('Emissions Database'!$BE$205:$BR$205,R69)&gt;0,MAX($E$67:Q67)+1,0)</f>
        <v>0</v>
      </c>
      <c r="S67" s="217"/>
      <c r="T67" s="217"/>
      <c r="U67" s="217"/>
      <c r="V67" s="217"/>
      <c r="W67" s="217"/>
      <c r="X67" s="217"/>
      <c r="Y67" s="217"/>
      <c r="Z67" s="217"/>
      <c r="AA67" s="217"/>
    </row>
    <row r="68" spans="1:27" ht="15" thickBot="1" x14ac:dyDescent="0.35">
      <c r="B68" s="217"/>
      <c r="C68" s="217"/>
      <c r="D68" s="217"/>
      <c r="E68" s="226" t="s">
        <v>313</v>
      </c>
      <c r="F68" s="227"/>
      <c r="G68" s="227"/>
      <c r="H68" s="227"/>
      <c r="I68" s="227"/>
      <c r="J68" s="227"/>
      <c r="K68" s="227"/>
      <c r="L68" s="227"/>
      <c r="M68" s="227"/>
      <c r="N68" s="227"/>
      <c r="O68" s="227"/>
      <c r="P68" s="227"/>
      <c r="Q68" s="227"/>
      <c r="R68" s="228"/>
      <c r="S68" s="217"/>
      <c r="T68" s="217"/>
      <c r="U68" s="217"/>
      <c r="V68" s="217"/>
      <c r="W68" s="217"/>
      <c r="X68" s="217"/>
      <c r="Y68" s="217"/>
      <c r="Z68" s="217"/>
      <c r="AA68" s="217"/>
    </row>
    <row r="69" spans="1:27" ht="37.5" customHeight="1" thickBot="1" x14ac:dyDescent="0.35">
      <c r="B69" s="229" t="s">
        <v>445</v>
      </c>
      <c r="C69" s="229" t="s">
        <v>165</v>
      </c>
      <c r="D69" s="230" t="s">
        <v>166</v>
      </c>
      <c r="E69" s="231" t="s">
        <v>309</v>
      </c>
      <c r="F69" s="232" t="s">
        <v>36</v>
      </c>
      <c r="G69" s="231" t="s">
        <v>41</v>
      </c>
      <c r="H69" s="231" t="s">
        <v>44</v>
      </c>
      <c r="I69" s="231" t="s">
        <v>310</v>
      </c>
      <c r="J69" s="231" t="s">
        <v>47</v>
      </c>
      <c r="K69" s="231" t="s">
        <v>53</v>
      </c>
      <c r="L69" s="231" t="s">
        <v>59</v>
      </c>
      <c r="M69" s="231" t="s">
        <v>64</v>
      </c>
      <c r="N69" s="231" t="s">
        <v>311</v>
      </c>
      <c r="O69" s="231" t="s">
        <v>70</v>
      </c>
      <c r="P69" s="231" t="s">
        <v>79</v>
      </c>
      <c r="Q69" s="231" t="s">
        <v>85</v>
      </c>
      <c r="R69" s="233" t="s">
        <v>312</v>
      </c>
      <c r="S69" s="234" t="s">
        <v>375</v>
      </c>
      <c r="T69" s="217"/>
      <c r="U69" s="217"/>
      <c r="V69" s="217"/>
      <c r="W69" s="217"/>
      <c r="X69" s="217"/>
      <c r="Y69" s="217"/>
      <c r="Z69" s="217"/>
      <c r="AA69" s="217"/>
    </row>
    <row r="70" spans="1:27" x14ac:dyDescent="0.3">
      <c r="B70" s="221"/>
      <c r="C70" s="235"/>
      <c r="D70" s="236" t="s">
        <v>374</v>
      </c>
      <c r="E70" s="237">
        <f>VLOOKUP(E69,Conversions!$B$12:$E$34,4,0)</f>
        <v>7390</v>
      </c>
      <c r="F70" s="237">
        <f>VLOOKUP(F69,Conversions!$B$12:$E$34,4,0)</f>
        <v>14800</v>
      </c>
      <c r="G70" s="237">
        <f>VLOOKUP(G69,Conversions!$B$12:$E$34,4,0)</f>
        <v>675</v>
      </c>
      <c r="H70" s="237">
        <f>VLOOKUP(H69,Conversions!$B$12:$E$34,4,0)</f>
        <v>92</v>
      </c>
      <c r="I70" s="237">
        <f>VLOOKUP(I69,Conversions!$B$12:$E$34,4,0)</f>
        <v>12200</v>
      </c>
      <c r="J70" s="237">
        <f>VLOOKUP(J69,Conversions!$B$12:$E$34,4,0)</f>
        <v>3500</v>
      </c>
      <c r="K70" s="237">
        <f>VLOOKUP(K69,Conversions!$B$12:$E$34,4,0)</f>
        <v>1430</v>
      </c>
      <c r="L70" s="237">
        <f>VLOOKUP(L69,Conversions!$B$12:$E$34,4,0)</f>
        <v>4470</v>
      </c>
      <c r="M70" s="237">
        <f>VLOOKUP(M69,Conversions!$B$12:$E$34,4,0)</f>
        <v>124</v>
      </c>
      <c r="N70" s="237">
        <f>VLOOKUP(N69,Conversions!$B$12:$E$34,4,0)</f>
        <v>8830</v>
      </c>
      <c r="O70" s="237">
        <f>VLOOKUP(O69,Conversions!$B$12:$E$34,4,0)</f>
        <v>3220</v>
      </c>
      <c r="P70" s="237">
        <f>VLOOKUP(P69,Conversions!$B$12:$E$34,4,0)</f>
        <v>9810</v>
      </c>
      <c r="Q70" s="237">
        <f>VLOOKUP(Q69,Conversions!$B$12:$E$34,4,0)</f>
        <v>1030</v>
      </c>
      <c r="R70" s="237">
        <f>VLOOKUP(R69,Conversions!$B$12:$E$34,4,0)</f>
        <v>10300</v>
      </c>
      <c r="S70" s="217"/>
      <c r="T70" s="217"/>
      <c r="U70" s="217"/>
      <c r="V70" s="217"/>
      <c r="W70" s="217"/>
      <c r="X70" s="217"/>
      <c r="Y70" s="217"/>
      <c r="Z70" s="217"/>
      <c r="AA70" s="217"/>
    </row>
    <row r="71" spans="1:27" x14ac:dyDescent="0.3">
      <c r="B71" s="221"/>
      <c r="C71" s="238" t="s">
        <v>293</v>
      </c>
      <c r="D71" s="239"/>
      <c r="E71" s="240"/>
      <c r="F71" s="241"/>
      <c r="G71" s="241"/>
      <c r="H71" s="241"/>
      <c r="I71" s="241"/>
      <c r="J71" s="241"/>
      <c r="K71" s="241"/>
      <c r="L71" s="241"/>
      <c r="M71" s="241"/>
      <c r="N71" s="241"/>
      <c r="O71" s="241"/>
      <c r="P71" s="241"/>
      <c r="Q71" s="241"/>
      <c r="R71" s="241"/>
      <c r="S71" s="242"/>
      <c r="T71" s="217"/>
      <c r="U71" s="217"/>
      <c r="V71" s="217"/>
      <c r="W71" s="217"/>
      <c r="X71" s="217"/>
      <c r="Y71" s="217"/>
      <c r="Z71" s="217"/>
      <c r="AA71" s="217"/>
    </row>
    <row r="72" spans="1:27" x14ac:dyDescent="0.3">
      <c r="A72">
        <f>IF(B72="Y",1,0)</f>
        <v>0</v>
      </c>
      <c r="B72" s="221"/>
      <c r="C72" s="243" t="s">
        <v>177</v>
      </c>
      <c r="D72" s="244" t="s">
        <v>177</v>
      </c>
      <c r="E72" s="245">
        <v>1</v>
      </c>
      <c r="F72" s="241"/>
      <c r="G72" s="241"/>
      <c r="H72" s="241"/>
      <c r="I72" s="241"/>
      <c r="J72" s="241"/>
      <c r="K72" s="241"/>
      <c r="L72" s="241"/>
      <c r="M72" s="241"/>
      <c r="N72" s="241"/>
      <c r="O72" s="241"/>
      <c r="P72" s="241"/>
      <c r="Q72" s="241"/>
      <c r="R72" s="241"/>
      <c r="S72" s="246">
        <f>SUMPRODUCT(E72:R72,$E$70:$R$70)</f>
        <v>7390</v>
      </c>
      <c r="T72" s="247"/>
      <c r="U72" s="248"/>
      <c r="V72" s="217"/>
      <c r="W72" s="217"/>
      <c r="X72" s="217"/>
      <c r="Y72" s="217"/>
      <c r="Z72" s="217"/>
      <c r="AA72" s="217"/>
    </row>
    <row r="73" spans="1:27" x14ac:dyDescent="0.3">
      <c r="A73">
        <f>IF(B73="Y",MAX($A$72:A72)+1,0)</f>
        <v>1</v>
      </c>
      <c r="B73" s="221" t="s">
        <v>446</v>
      </c>
      <c r="C73" s="249" t="s">
        <v>167</v>
      </c>
      <c r="D73" s="250" t="s">
        <v>167</v>
      </c>
      <c r="E73" s="241"/>
      <c r="F73" s="245">
        <v>1</v>
      </c>
      <c r="G73" s="241"/>
      <c r="H73" s="241"/>
      <c r="I73" s="241"/>
      <c r="J73" s="241"/>
      <c r="K73" s="241"/>
      <c r="L73" s="241"/>
      <c r="M73" s="241"/>
      <c r="N73" s="241"/>
      <c r="O73" s="241"/>
      <c r="P73" s="241"/>
      <c r="Q73" s="241"/>
      <c r="R73" s="241"/>
      <c r="S73" s="246">
        <f t="shared" ref="S73:S137" si="1">SUMPRODUCT(E73:R73,$E$70:$R$70)</f>
        <v>14800</v>
      </c>
      <c r="T73" s="247"/>
      <c r="U73" s="248"/>
      <c r="V73" s="217"/>
      <c r="W73" s="217"/>
      <c r="X73" s="217"/>
      <c r="Y73" s="217"/>
      <c r="Z73" s="217"/>
      <c r="AA73" s="217"/>
    </row>
    <row r="74" spans="1:27" x14ac:dyDescent="0.3">
      <c r="A74">
        <f>IF(B74="Y",MAX($A$72:A73)+1,0)</f>
        <v>2</v>
      </c>
      <c r="B74" s="221" t="s">
        <v>446</v>
      </c>
      <c r="C74" s="243" t="s">
        <v>168</v>
      </c>
      <c r="D74" s="244" t="s">
        <v>168</v>
      </c>
      <c r="E74" s="241"/>
      <c r="F74" s="241"/>
      <c r="G74" s="245">
        <v>1</v>
      </c>
      <c r="H74" s="241"/>
      <c r="I74" s="241"/>
      <c r="J74" s="241"/>
      <c r="K74" s="241"/>
      <c r="L74" s="241"/>
      <c r="M74" s="241"/>
      <c r="N74" s="241"/>
      <c r="O74" s="241"/>
      <c r="P74" s="241"/>
      <c r="Q74" s="241"/>
      <c r="R74" s="241"/>
      <c r="S74" s="246">
        <f t="shared" si="1"/>
        <v>675</v>
      </c>
      <c r="T74" s="247"/>
      <c r="U74" s="248"/>
      <c r="V74" s="217"/>
      <c r="W74" s="217"/>
      <c r="X74" s="217"/>
      <c r="Y74" s="217"/>
      <c r="Z74" s="217"/>
      <c r="AA74" s="217"/>
    </row>
    <row r="75" spans="1:27" x14ac:dyDescent="0.3">
      <c r="A75">
        <f>IF(B75="Y",MAX($A$72:A74)+1,0)</f>
        <v>0</v>
      </c>
      <c r="B75" s="221"/>
      <c r="C75" s="243" t="s">
        <v>169</v>
      </c>
      <c r="D75" s="244" t="s">
        <v>169</v>
      </c>
      <c r="E75" s="241"/>
      <c r="F75" s="241"/>
      <c r="G75" s="241"/>
      <c r="H75" s="245">
        <v>1</v>
      </c>
      <c r="I75" s="241"/>
      <c r="J75" s="241"/>
      <c r="K75" s="241"/>
      <c r="L75" s="241"/>
      <c r="M75" s="241"/>
      <c r="N75" s="241"/>
      <c r="O75" s="241"/>
      <c r="P75" s="241"/>
      <c r="Q75" s="241"/>
      <c r="R75" s="241"/>
      <c r="S75" s="246">
        <f t="shared" si="1"/>
        <v>92</v>
      </c>
      <c r="T75" s="247"/>
      <c r="U75" s="248"/>
      <c r="V75" s="217"/>
      <c r="W75" s="217"/>
      <c r="X75" s="217"/>
      <c r="Y75" s="217"/>
      <c r="Z75" s="217"/>
      <c r="AA75" s="217"/>
    </row>
    <row r="76" spans="1:27" x14ac:dyDescent="0.3">
      <c r="A76">
        <f>IF(B76="Y",MAX($A$72:A75)+1,0)</f>
        <v>0</v>
      </c>
      <c r="B76" s="221"/>
      <c r="C76" s="243" t="s">
        <v>178</v>
      </c>
      <c r="D76" s="244" t="s">
        <v>178</v>
      </c>
      <c r="E76" s="241"/>
      <c r="F76" s="241"/>
      <c r="G76" s="241"/>
      <c r="H76" s="241"/>
      <c r="I76" s="245">
        <v>1</v>
      </c>
      <c r="J76" s="241"/>
      <c r="K76" s="241"/>
      <c r="L76" s="241"/>
      <c r="M76" s="241"/>
      <c r="N76" s="241"/>
      <c r="O76" s="241"/>
      <c r="P76" s="241"/>
      <c r="Q76" s="241"/>
      <c r="R76" s="241"/>
      <c r="S76" s="246">
        <f t="shared" si="1"/>
        <v>12200</v>
      </c>
      <c r="T76" s="247"/>
      <c r="U76" s="248"/>
      <c r="V76" s="217"/>
      <c r="W76" s="217"/>
      <c r="X76" s="217"/>
      <c r="Y76" s="217"/>
      <c r="Z76" s="217"/>
      <c r="AA76" s="217"/>
    </row>
    <row r="77" spans="1:27" x14ac:dyDescent="0.3">
      <c r="A77">
        <f>IF(B77="Y",MAX($A$72:A76)+1,0)</f>
        <v>3</v>
      </c>
      <c r="B77" s="221" t="s">
        <v>446</v>
      </c>
      <c r="C77" s="243" t="s">
        <v>170</v>
      </c>
      <c r="D77" s="244" t="s">
        <v>170</v>
      </c>
      <c r="E77" s="241"/>
      <c r="F77" s="241"/>
      <c r="G77" s="241"/>
      <c r="H77" s="241"/>
      <c r="I77" s="241"/>
      <c r="J77" s="245">
        <v>1</v>
      </c>
      <c r="K77" s="241"/>
      <c r="L77" s="241"/>
      <c r="M77" s="241"/>
      <c r="N77" s="241"/>
      <c r="O77" s="241"/>
      <c r="P77" s="241"/>
      <c r="Q77" s="241"/>
      <c r="R77" s="241"/>
      <c r="S77" s="246">
        <f t="shared" si="1"/>
        <v>3500</v>
      </c>
      <c r="T77" s="247"/>
      <c r="U77" s="248"/>
      <c r="V77" s="217"/>
      <c r="W77" s="217"/>
      <c r="X77" s="217"/>
      <c r="Y77" s="217"/>
      <c r="Z77" s="217"/>
      <c r="AA77" s="217"/>
    </row>
    <row r="78" spans="1:27" x14ac:dyDescent="0.3">
      <c r="A78">
        <f>IF(B78="Y",MAX($A$72:A77)+1,0)</f>
        <v>4</v>
      </c>
      <c r="B78" s="221" t="s">
        <v>446</v>
      </c>
      <c r="C78" s="243" t="s">
        <v>171</v>
      </c>
      <c r="D78" s="244" t="s">
        <v>171</v>
      </c>
      <c r="E78" s="241"/>
      <c r="F78" s="241"/>
      <c r="G78" s="241"/>
      <c r="H78" s="241"/>
      <c r="I78" s="241"/>
      <c r="J78" s="241"/>
      <c r="K78" s="245">
        <v>1</v>
      </c>
      <c r="L78" s="241"/>
      <c r="M78" s="241"/>
      <c r="N78" s="241"/>
      <c r="O78" s="241"/>
      <c r="P78" s="241"/>
      <c r="Q78" s="241"/>
      <c r="R78" s="241"/>
      <c r="S78" s="246">
        <f t="shared" si="1"/>
        <v>1430</v>
      </c>
      <c r="T78" s="247"/>
      <c r="U78" s="248"/>
      <c r="V78" s="217"/>
      <c r="W78" s="217"/>
      <c r="X78" s="217"/>
      <c r="Y78" s="217"/>
      <c r="Z78" s="217"/>
      <c r="AA78" s="217"/>
    </row>
    <row r="79" spans="1:27" x14ac:dyDescent="0.3">
      <c r="A79">
        <f>IF(B79="Y",MAX($A$72:A78)+1,0)</f>
        <v>5</v>
      </c>
      <c r="B79" s="221" t="s">
        <v>446</v>
      </c>
      <c r="C79" s="243" t="s">
        <v>172</v>
      </c>
      <c r="D79" s="244" t="s">
        <v>172</v>
      </c>
      <c r="E79" s="241"/>
      <c r="F79" s="241"/>
      <c r="G79" s="241"/>
      <c r="H79" s="241"/>
      <c r="I79" s="241"/>
      <c r="J79" s="241"/>
      <c r="K79" s="241"/>
      <c r="L79" s="245">
        <v>1</v>
      </c>
      <c r="M79" s="241"/>
      <c r="N79" s="241"/>
      <c r="O79" s="241"/>
      <c r="P79" s="241"/>
      <c r="Q79" s="241"/>
      <c r="R79" s="241"/>
      <c r="S79" s="246">
        <f t="shared" si="1"/>
        <v>4470</v>
      </c>
      <c r="T79" s="247"/>
      <c r="U79" s="248"/>
      <c r="V79" s="217"/>
      <c r="W79" s="217"/>
      <c r="X79" s="217"/>
      <c r="Y79" s="217"/>
      <c r="Z79" s="217"/>
      <c r="AA79" s="217"/>
    </row>
    <row r="80" spans="1:27" x14ac:dyDescent="0.3">
      <c r="A80">
        <f>IF(B80="Y",MAX($A$72:A79)+1,0)</f>
        <v>6</v>
      </c>
      <c r="B80" s="221" t="s">
        <v>446</v>
      </c>
      <c r="C80" s="243" t="s">
        <v>173</v>
      </c>
      <c r="D80" s="244" t="s">
        <v>173</v>
      </c>
      <c r="E80" s="241"/>
      <c r="F80" s="241"/>
      <c r="G80" s="241"/>
      <c r="H80" s="241"/>
      <c r="I80" s="241"/>
      <c r="J80" s="241"/>
      <c r="K80" s="241"/>
      <c r="L80" s="241"/>
      <c r="M80" s="245">
        <v>1</v>
      </c>
      <c r="N80" s="241"/>
      <c r="O80" s="241"/>
      <c r="P80" s="241"/>
      <c r="Q80" s="241"/>
      <c r="R80" s="241"/>
      <c r="S80" s="246">
        <f t="shared" si="1"/>
        <v>124</v>
      </c>
      <c r="T80" s="247"/>
      <c r="U80" s="248"/>
      <c r="V80" s="217"/>
      <c r="W80" s="217"/>
      <c r="X80" s="217"/>
      <c r="Y80" s="217"/>
      <c r="Z80" s="217"/>
      <c r="AA80" s="217"/>
    </row>
    <row r="81" spans="1:27" x14ac:dyDescent="0.3">
      <c r="A81">
        <f>IF(B81="Y",MAX($A$72:A80)+1,0)</f>
        <v>0</v>
      </c>
      <c r="B81" s="221"/>
      <c r="C81" s="243" t="s">
        <v>179</v>
      </c>
      <c r="D81" s="244" t="s">
        <v>179</v>
      </c>
      <c r="E81" s="241"/>
      <c r="F81" s="241"/>
      <c r="G81" s="241"/>
      <c r="H81" s="241"/>
      <c r="I81" s="241"/>
      <c r="J81" s="241"/>
      <c r="K81" s="241"/>
      <c r="L81" s="241"/>
      <c r="M81" s="241"/>
      <c r="N81" s="245">
        <v>1</v>
      </c>
      <c r="O81" s="241"/>
      <c r="P81" s="241"/>
      <c r="Q81" s="241"/>
      <c r="R81" s="241"/>
      <c r="S81" s="246">
        <f t="shared" si="1"/>
        <v>8830</v>
      </c>
      <c r="T81" s="247"/>
      <c r="U81" s="248"/>
      <c r="V81" s="217"/>
      <c r="W81" s="217"/>
      <c r="X81" s="217"/>
      <c r="Y81" s="217"/>
      <c r="Z81" s="217"/>
      <c r="AA81" s="217"/>
    </row>
    <row r="82" spans="1:27" x14ac:dyDescent="0.3">
      <c r="A82">
        <f>IF(B82="Y",MAX($A$72:A81)+1,0)</f>
        <v>0</v>
      </c>
      <c r="B82" s="221"/>
      <c r="C82" s="243" t="s">
        <v>174</v>
      </c>
      <c r="D82" s="244" t="s">
        <v>174</v>
      </c>
      <c r="E82" s="241"/>
      <c r="F82" s="241"/>
      <c r="G82" s="241"/>
      <c r="H82" s="241"/>
      <c r="I82" s="241"/>
      <c r="J82" s="241"/>
      <c r="K82" s="241"/>
      <c r="L82" s="241"/>
      <c r="M82" s="241"/>
      <c r="N82" s="241"/>
      <c r="O82" s="245">
        <v>1</v>
      </c>
      <c r="P82" s="241"/>
      <c r="Q82" s="241"/>
      <c r="R82" s="241"/>
      <c r="S82" s="246">
        <f t="shared" si="1"/>
        <v>3220</v>
      </c>
      <c r="T82" s="247"/>
      <c r="U82" s="248"/>
      <c r="V82" s="217"/>
      <c r="W82" s="217"/>
      <c r="X82" s="217"/>
      <c r="Y82" s="217"/>
      <c r="Z82" s="217"/>
      <c r="AA82" s="217"/>
    </row>
    <row r="83" spans="1:27" x14ac:dyDescent="0.3">
      <c r="A83">
        <f>IF(B83="Y",MAX($A$72:A82)+1,0)</f>
        <v>7</v>
      </c>
      <c r="B83" s="221" t="s">
        <v>446</v>
      </c>
      <c r="C83" s="243" t="s">
        <v>175</v>
      </c>
      <c r="D83" s="244" t="s">
        <v>175</v>
      </c>
      <c r="E83" s="241"/>
      <c r="F83" s="241"/>
      <c r="G83" s="241"/>
      <c r="H83" s="241"/>
      <c r="I83" s="241"/>
      <c r="J83" s="241"/>
      <c r="K83" s="241"/>
      <c r="L83" s="241"/>
      <c r="M83" s="241"/>
      <c r="N83" s="241"/>
      <c r="O83" s="241"/>
      <c r="P83" s="245">
        <v>1</v>
      </c>
      <c r="Q83" s="241"/>
      <c r="R83" s="241"/>
      <c r="S83" s="246">
        <f t="shared" si="1"/>
        <v>9810</v>
      </c>
      <c r="T83" s="247"/>
      <c r="U83" s="248"/>
      <c r="V83" s="217"/>
      <c r="W83" s="217"/>
      <c r="X83" s="217"/>
      <c r="Y83" s="217"/>
      <c r="Z83" s="217"/>
      <c r="AA83" s="217"/>
    </row>
    <row r="84" spans="1:27" x14ac:dyDescent="0.3">
      <c r="A84">
        <f>IF(B84="Y",MAX($A$72:A83)+1,0)</f>
        <v>0</v>
      </c>
      <c r="B84" s="221"/>
      <c r="C84" s="243" t="s">
        <v>176</v>
      </c>
      <c r="D84" s="244" t="s">
        <v>176</v>
      </c>
      <c r="E84" s="241"/>
      <c r="F84" s="241"/>
      <c r="G84" s="241"/>
      <c r="H84" s="241"/>
      <c r="I84" s="241"/>
      <c r="J84" s="241"/>
      <c r="K84" s="241"/>
      <c r="L84" s="241"/>
      <c r="M84" s="241"/>
      <c r="N84" s="241"/>
      <c r="O84" s="241"/>
      <c r="P84" s="241"/>
      <c r="Q84" s="245">
        <v>1</v>
      </c>
      <c r="R84" s="241"/>
      <c r="S84" s="246">
        <f t="shared" si="1"/>
        <v>1030</v>
      </c>
      <c r="T84" s="247"/>
      <c r="U84" s="248"/>
      <c r="V84" s="217"/>
      <c r="W84" s="217"/>
      <c r="X84" s="217"/>
      <c r="Y84" s="217"/>
      <c r="Z84" s="217"/>
      <c r="AA84" s="217"/>
    </row>
    <row r="85" spans="1:27" x14ac:dyDescent="0.3">
      <c r="A85">
        <f>IF(B85="Y",MAX($A$72:A84)+1,0)</f>
        <v>0</v>
      </c>
      <c r="B85" s="221"/>
      <c r="C85" s="243" t="s">
        <v>180</v>
      </c>
      <c r="D85" s="244" t="s">
        <v>180</v>
      </c>
      <c r="E85" s="241"/>
      <c r="F85" s="241"/>
      <c r="G85" s="241"/>
      <c r="H85" s="241"/>
      <c r="I85" s="241"/>
      <c r="J85" s="241"/>
      <c r="K85" s="241"/>
      <c r="L85" s="241"/>
      <c r="M85" s="241"/>
      <c r="N85" s="241"/>
      <c r="O85" s="241"/>
      <c r="P85" s="241"/>
      <c r="Q85" s="241"/>
      <c r="R85" s="251">
        <v>1</v>
      </c>
      <c r="S85" s="246">
        <f t="shared" si="1"/>
        <v>10300</v>
      </c>
      <c r="T85" s="247"/>
      <c r="U85" s="248"/>
      <c r="V85" s="217"/>
      <c r="W85" s="217"/>
      <c r="X85" s="217"/>
      <c r="Y85" s="217"/>
      <c r="Z85" s="217"/>
      <c r="AA85" s="217"/>
    </row>
    <row r="86" spans="1:27" x14ac:dyDescent="0.3">
      <c r="A86">
        <f>IF(B86="Y",MAX($A$72:A85)+1,0)</f>
        <v>8</v>
      </c>
      <c r="B86" s="221" t="s">
        <v>446</v>
      </c>
      <c r="C86" s="243" t="s">
        <v>181</v>
      </c>
      <c r="D86" s="252" t="s">
        <v>182</v>
      </c>
      <c r="E86" s="241"/>
      <c r="F86" s="241"/>
      <c r="G86" s="241"/>
      <c r="H86" s="241"/>
      <c r="I86" s="241"/>
      <c r="J86" s="241"/>
      <c r="K86" s="241"/>
      <c r="L86" s="241"/>
      <c r="M86" s="251">
        <v>0.13</v>
      </c>
      <c r="N86" s="241"/>
      <c r="O86" s="241"/>
      <c r="P86" s="241"/>
      <c r="Q86" s="241"/>
      <c r="R86" s="241"/>
      <c r="S86" s="246">
        <f t="shared" si="1"/>
        <v>16.12</v>
      </c>
      <c r="T86" s="247"/>
      <c r="U86" s="248"/>
      <c r="V86" s="217"/>
      <c r="W86" s="217"/>
      <c r="X86" s="217"/>
      <c r="Y86" s="217"/>
      <c r="Z86" s="217"/>
      <c r="AA86" s="217"/>
    </row>
    <row r="87" spans="1:27" x14ac:dyDescent="0.3">
      <c r="A87">
        <f>IF(B87="Y",MAX($A$72:A86)+1,0)</f>
        <v>0</v>
      </c>
      <c r="B87" s="221"/>
      <c r="C87" s="243" t="s">
        <v>183</v>
      </c>
      <c r="D87" s="252" t="s">
        <v>182</v>
      </c>
      <c r="E87" s="241"/>
      <c r="F87" s="241"/>
      <c r="G87" s="241"/>
      <c r="H87" s="241"/>
      <c r="I87" s="241"/>
      <c r="J87" s="241"/>
      <c r="K87" s="241"/>
      <c r="L87" s="241"/>
      <c r="M87" s="251">
        <v>0.11</v>
      </c>
      <c r="N87" s="241"/>
      <c r="O87" s="241"/>
      <c r="P87" s="241"/>
      <c r="Q87" s="241"/>
      <c r="R87" s="241"/>
      <c r="S87" s="246">
        <f t="shared" si="1"/>
        <v>13.64</v>
      </c>
      <c r="T87" s="247"/>
      <c r="U87" s="248"/>
      <c r="V87" s="217"/>
      <c r="W87" s="217"/>
      <c r="X87" s="217"/>
      <c r="Y87" s="217"/>
      <c r="Z87" s="217"/>
      <c r="AA87" s="217"/>
    </row>
    <row r="88" spans="1:27" x14ac:dyDescent="0.3">
      <c r="A88">
        <f>IF(B88="Y",MAX($A$72:A87)+1,0)</f>
        <v>0</v>
      </c>
      <c r="B88" s="221"/>
      <c r="C88" s="243" t="s">
        <v>184</v>
      </c>
      <c r="D88" s="252" t="s">
        <v>182</v>
      </c>
      <c r="E88" s="241"/>
      <c r="F88" s="241"/>
      <c r="G88" s="241"/>
      <c r="H88" s="241"/>
      <c r="I88" s="241"/>
      <c r="J88" s="241"/>
      <c r="K88" s="241"/>
      <c r="L88" s="241"/>
      <c r="M88" s="251">
        <v>0.15</v>
      </c>
      <c r="N88" s="241"/>
      <c r="O88" s="241"/>
      <c r="P88" s="241"/>
      <c r="Q88" s="241"/>
      <c r="R88" s="241"/>
      <c r="S88" s="246">
        <f t="shared" si="1"/>
        <v>18.599999999999998</v>
      </c>
      <c r="T88" s="247"/>
      <c r="U88" s="248"/>
      <c r="V88" s="217"/>
      <c r="W88" s="217"/>
      <c r="X88" s="217"/>
      <c r="Y88" s="217"/>
      <c r="Z88" s="217"/>
      <c r="AA88" s="217"/>
    </row>
    <row r="89" spans="1:27" x14ac:dyDescent="0.3">
      <c r="A89">
        <f>IF(B89="Y",MAX($A$72:A88)+1,0)</f>
        <v>9</v>
      </c>
      <c r="B89" s="221" t="s">
        <v>446</v>
      </c>
      <c r="C89" s="243" t="s">
        <v>185</v>
      </c>
      <c r="D89" s="252" t="s">
        <v>186</v>
      </c>
      <c r="E89" s="241"/>
      <c r="F89" s="241"/>
      <c r="G89" s="241"/>
      <c r="H89" s="241"/>
      <c r="I89" s="241"/>
      <c r="J89" s="251">
        <v>0.6</v>
      </c>
      <c r="K89" s="241"/>
      <c r="L89" s="241"/>
      <c r="M89" s="241"/>
      <c r="N89" s="241"/>
      <c r="O89" s="241"/>
      <c r="P89" s="241"/>
      <c r="Q89" s="241"/>
      <c r="R89" s="241"/>
      <c r="S89" s="246">
        <f t="shared" si="1"/>
        <v>2100</v>
      </c>
      <c r="T89" s="247"/>
      <c r="U89" s="248"/>
      <c r="V89" s="217"/>
      <c r="W89" s="217"/>
      <c r="X89" s="217"/>
      <c r="Y89" s="217"/>
      <c r="Z89" s="217"/>
      <c r="AA89" s="217"/>
    </row>
    <row r="90" spans="1:27" x14ac:dyDescent="0.3">
      <c r="A90">
        <f>IF(B90="Y",MAX($A$72:A89)+1,0)</f>
        <v>0</v>
      </c>
      <c r="B90" s="221"/>
      <c r="C90" s="243" t="s">
        <v>187</v>
      </c>
      <c r="D90" s="252" t="s">
        <v>186</v>
      </c>
      <c r="E90" s="241"/>
      <c r="F90" s="241"/>
      <c r="G90" s="241"/>
      <c r="H90" s="241"/>
      <c r="I90" s="241"/>
      <c r="J90" s="251">
        <v>0.38</v>
      </c>
      <c r="K90" s="241"/>
      <c r="L90" s="241"/>
      <c r="M90" s="241"/>
      <c r="N90" s="241"/>
      <c r="O90" s="241"/>
      <c r="P90" s="241"/>
      <c r="Q90" s="241"/>
      <c r="R90" s="241"/>
      <c r="S90" s="246">
        <f t="shared" si="1"/>
        <v>1330</v>
      </c>
      <c r="T90" s="247"/>
      <c r="U90" s="248"/>
      <c r="V90" s="217"/>
      <c r="W90" s="217"/>
      <c r="X90" s="217"/>
      <c r="Y90" s="217"/>
      <c r="Z90" s="217"/>
      <c r="AA90" s="217"/>
    </row>
    <row r="91" spans="1:27" x14ac:dyDescent="0.3">
      <c r="A91">
        <f>IF(B91="Y",MAX($A$72:A90)+1,0)</f>
        <v>0</v>
      </c>
      <c r="B91" s="221"/>
      <c r="C91" s="243" t="s">
        <v>188</v>
      </c>
      <c r="D91" s="252" t="s">
        <v>189</v>
      </c>
      <c r="E91" s="241"/>
      <c r="F91" s="241"/>
      <c r="G91" s="241"/>
      <c r="H91" s="241"/>
      <c r="I91" s="241"/>
      <c r="J91" s="241"/>
      <c r="K91" s="241"/>
      <c r="L91" s="241"/>
      <c r="M91" s="241"/>
      <c r="N91" s="251">
        <v>0.2</v>
      </c>
      <c r="O91" s="241"/>
      <c r="P91" s="241"/>
      <c r="Q91" s="241"/>
      <c r="R91" s="241"/>
      <c r="S91" s="246">
        <f t="shared" si="1"/>
        <v>1766</v>
      </c>
      <c r="T91" s="247"/>
      <c r="U91" s="248"/>
      <c r="V91" s="217"/>
      <c r="W91" s="217"/>
      <c r="X91" s="217"/>
      <c r="Y91" s="217"/>
      <c r="Z91" s="217"/>
      <c r="AA91" s="217"/>
    </row>
    <row r="92" spans="1:27" x14ac:dyDescent="0.3">
      <c r="A92">
        <f>IF(B92="Y",MAX($A$72:A91)+1,0)</f>
        <v>0</v>
      </c>
      <c r="B92" s="221"/>
      <c r="C92" s="243" t="s">
        <v>190</v>
      </c>
      <c r="D92" s="252" t="s">
        <v>189</v>
      </c>
      <c r="E92" s="241"/>
      <c r="F92" s="241"/>
      <c r="G92" s="241"/>
      <c r="H92" s="241"/>
      <c r="I92" s="241"/>
      <c r="J92" s="241"/>
      <c r="K92" s="241"/>
      <c r="L92" s="241"/>
      <c r="M92" s="241"/>
      <c r="N92" s="251">
        <v>0.39</v>
      </c>
      <c r="O92" s="241"/>
      <c r="P92" s="241"/>
      <c r="Q92" s="241"/>
      <c r="R92" s="241"/>
      <c r="S92" s="246">
        <f t="shared" si="1"/>
        <v>3443.7000000000003</v>
      </c>
      <c r="T92" s="247"/>
      <c r="U92" s="248"/>
      <c r="V92" s="217"/>
      <c r="W92" s="217"/>
      <c r="X92" s="217"/>
      <c r="Y92" s="217"/>
      <c r="Z92" s="217"/>
      <c r="AA92" s="217"/>
    </row>
    <row r="93" spans="1:27" x14ac:dyDescent="0.3">
      <c r="A93">
        <f>IF(B93="Y",MAX($A$72:A92)+1,0)</f>
        <v>10</v>
      </c>
      <c r="B93" s="221" t="s">
        <v>446</v>
      </c>
      <c r="C93" s="243" t="s">
        <v>191</v>
      </c>
      <c r="D93" s="252" t="s">
        <v>192</v>
      </c>
      <c r="E93" s="241"/>
      <c r="F93" s="241"/>
      <c r="G93" s="241"/>
      <c r="H93" s="241"/>
      <c r="I93" s="241"/>
      <c r="J93" s="251">
        <v>0.44</v>
      </c>
      <c r="K93" s="251">
        <v>0.04</v>
      </c>
      <c r="L93" s="251">
        <v>0.52</v>
      </c>
      <c r="M93" s="241"/>
      <c r="N93" s="241"/>
      <c r="O93" s="241"/>
      <c r="P93" s="241"/>
      <c r="Q93" s="241"/>
      <c r="R93" s="241"/>
      <c r="S93" s="246">
        <f t="shared" si="1"/>
        <v>3921.6000000000004</v>
      </c>
      <c r="T93" s="247"/>
      <c r="U93" s="248"/>
      <c r="V93" s="217"/>
      <c r="W93" s="217"/>
      <c r="X93" s="217"/>
      <c r="Y93" s="217"/>
      <c r="Z93" s="217"/>
      <c r="AA93" s="217"/>
    </row>
    <row r="94" spans="1:27" x14ac:dyDescent="0.3">
      <c r="A94">
        <f>IF(B94="Y",MAX($A$72:A93)+1,0)</f>
        <v>11</v>
      </c>
      <c r="B94" s="221" t="s">
        <v>446</v>
      </c>
      <c r="C94" s="243" t="s">
        <v>193</v>
      </c>
      <c r="D94" s="252" t="s">
        <v>194</v>
      </c>
      <c r="E94" s="241"/>
      <c r="F94" s="241"/>
      <c r="G94" s="241"/>
      <c r="H94" s="241"/>
      <c r="I94" s="241"/>
      <c r="J94" s="241"/>
      <c r="K94" s="241"/>
      <c r="L94" s="241"/>
      <c r="M94" s="251">
        <v>7.0000000000000007E-2</v>
      </c>
      <c r="N94" s="241"/>
      <c r="O94" s="241"/>
      <c r="P94" s="241"/>
      <c r="Q94" s="241"/>
      <c r="R94" s="253">
        <v>0.42499999999999999</v>
      </c>
      <c r="S94" s="246">
        <f t="shared" si="1"/>
        <v>4386.18</v>
      </c>
      <c r="T94" s="247"/>
      <c r="U94" s="248"/>
      <c r="V94" s="217"/>
      <c r="W94" s="217"/>
      <c r="X94" s="217"/>
      <c r="Y94" s="217"/>
      <c r="Z94" s="217"/>
      <c r="AA94" s="217"/>
    </row>
    <row r="95" spans="1:27" x14ac:dyDescent="0.3">
      <c r="A95">
        <f>IF(B95="Y",MAX($A$72:A94)+1,0)</f>
        <v>12</v>
      </c>
      <c r="B95" s="221" t="s">
        <v>446</v>
      </c>
      <c r="C95" s="243" t="s">
        <v>195</v>
      </c>
      <c r="D95" s="252" t="s">
        <v>196</v>
      </c>
      <c r="E95" s="241"/>
      <c r="F95" s="241"/>
      <c r="G95" s="241"/>
      <c r="H95" s="241"/>
      <c r="I95" s="241"/>
      <c r="J95" s="241"/>
      <c r="K95" s="241"/>
      <c r="L95" s="241"/>
      <c r="M95" s="241"/>
      <c r="N95" s="241"/>
      <c r="O95" s="241"/>
      <c r="P95" s="241"/>
      <c r="Q95" s="241"/>
      <c r="R95" s="241"/>
      <c r="S95" s="246">
        <f t="shared" si="1"/>
        <v>0</v>
      </c>
      <c r="T95" s="247"/>
      <c r="U95" s="248"/>
      <c r="V95" s="217"/>
      <c r="W95" s="217"/>
      <c r="X95" s="217"/>
      <c r="Y95" s="217"/>
      <c r="Z95" s="217"/>
      <c r="AA95" s="217"/>
    </row>
    <row r="96" spans="1:27" x14ac:dyDescent="0.3">
      <c r="A96">
        <f>IF(B96="Y",MAX($A$72:A95)+1,0)</f>
        <v>13</v>
      </c>
      <c r="B96" s="221" t="s">
        <v>446</v>
      </c>
      <c r="C96" s="243" t="s">
        <v>197</v>
      </c>
      <c r="D96" s="252" t="s">
        <v>198</v>
      </c>
      <c r="E96" s="241"/>
      <c r="F96" s="241"/>
      <c r="G96" s="251">
        <v>0.2</v>
      </c>
      <c r="H96" s="241"/>
      <c r="I96" s="241"/>
      <c r="J96" s="251">
        <v>0.4</v>
      </c>
      <c r="K96" s="251">
        <v>0.4</v>
      </c>
      <c r="L96" s="241"/>
      <c r="M96" s="241"/>
      <c r="N96" s="241"/>
      <c r="O96" s="241"/>
      <c r="P96" s="241"/>
      <c r="Q96" s="241"/>
      <c r="R96" s="241"/>
      <c r="S96" s="246">
        <f t="shared" si="1"/>
        <v>2107</v>
      </c>
      <c r="T96" s="247"/>
      <c r="U96" s="248"/>
      <c r="V96" s="217"/>
      <c r="W96" s="217"/>
      <c r="X96" s="217"/>
      <c r="Y96" s="217"/>
      <c r="Z96" s="217"/>
      <c r="AA96" s="217"/>
    </row>
    <row r="97" spans="1:27" x14ac:dyDescent="0.3">
      <c r="A97">
        <f>IF(B97="Y",MAX($A$72:A96)+1,0)</f>
        <v>0</v>
      </c>
      <c r="B97" s="221"/>
      <c r="C97" s="243" t="s">
        <v>199</v>
      </c>
      <c r="D97" s="252" t="s">
        <v>198</v>
      </c>
      <c r="E97" s="241"/>
      <c r="F97" s="241"/>
      <c r="G97" s="251">
        <v>0.1</v>
      </c>
      <c r="H97" s="241"/>
      <c r="I97" s="241"/>
      <c r="J97" s="251">
        <v>0.7</v>
      </c>
      <c r="K97" s="251">
        <v>0.2</v>
      </c>
      <c r="L97" s="241"/>
      <c r="M97" s="241"/>
      <c r="N97" s="241"/>
      <c r="O97" s="241"/>
      <c r="P97" s="241"/>
      <c r="Q97" s="241"/>
      <c r="R97" s="241"/>
      <c r="S97" s="246">
        <f t="shared" si="1"/>
        <v>2803.5</v>
      </c>
      <c r="T97" s="247"/>
      <c r="U97" s="248"/>
      <c r="V97" s="217"/>
      <c r="W97" s="217"/>
      <c r="X97" s="217"/>
      <c r="Y97" s="217"/>
      <c r="Z97" s="217"/>
      <c r="AA97" s="217"/>
    </row>
    <row r="98" spans="1:27" x14ac:dyDescent="0.3">
      <c r="A98">
        <f>IF(B98="Y",MAX($A$72:A97)+1,0)</f>
        <v>14</v>
      </c>
      <c r="B98" s="221" t="s">
        <v>446</v>
      </c>
      <c r="C98" s="243" t="s">
        <v>200</v>
      </c>
      <c r="D98" s="252" t="s">
        <v>198</v>
      </c>
      <c r="E98" s="241"/>
      <c r="F98" s="241"/>
      <c r="G98" s="251">
        <v>0.23</v>
      </c>
      <c r="H98" s="241"/>
      <c r="I98" s="241"/>
      <c r="J98" s="251">
        <v>0.25</v>
      </c>
      <c r="K98" s="251">
        <v>0.52</v>
      </c>
      <c r="L98" s="241"/>
      <c r="M98" s="241"/>
      <c r="N98" s="241"/>
      <c r="O98" s="241"/>
      <c r="P98" s="241"/>
      <c r="Q98" s="241"/>
      <c r="R98" s="241"/>
      <c r="S98" s="246">
        <f t="shared" si="1"/>
        <v>1773.85</v>
      </c>
      <c r="T98" s="247"/>
      <c r="U98" s="248"/>
      <c r="V98" s="217"/>
      <c r="W98" s="217"/>
      <c r="X98" s="217"/>
      <c r="Y98" s="217"/>
      <c r="Z98" s="217"/>
      <c r="AA98" s="217"/>
    </row>
    <row r="99" spans="1:27" x14ac:dyDescent="0.3">
      <c r="A99">
        <f>IF(B99="Y",MAX($A$72:A98)+1,0)</f>
        <v>0</v>
      </c>
      <c r="B99" s="221"/>
      <c r="C99" s="243" t="s">
        <v>201</v>
      </c>
      <c r="D99" s="252" t="s">
        <v>198</v>
      </c>
      <c r="E99" s="241"/>
      <c r="F99" s="241"/>
      <c r="G99" s="251">
        <v>0.15</v>
      </c>
      <c r="H99" s="241"/>
      <c r="I99" s="241"/>
      <c r="J99" s="251">
        <v>0.15</v>
      </c>
      <c r="K99" s="251">
        <v>0.7</v>
      </c>
      <c r="L99" s="241"/>
      <c r="M99" s="241"/>
      <c r="N99" s="241"/>
      <c r="O99" s="241"/>
      <c r="P99" s="241"/>
      <c r="Q99" s="241"/>
      <c r="R99" s="241"/>
      <c r="S99" s="246">
        <f t="shared" si="1"/>
        <v>1627.25</v>
      </c>
      <c r="T99" s="247"/>
      <c r="U99" s="248"/>
      <c r="V99" s="217"/>
      <c r="W99" s="217"/>
      <c r="X99" s="217"/>
      <c r="Y99" s="217"/>
      <c r="Z99" s="217"/>
      <c r="AA99" s="217"/>
    </row>
    <row r="100" spans="1:27" x14ac:dyDescent="0.3">
      <c r="A100">
        <f>IF(B100="Y",MAX($A$72:A99)+1,0)</f>
        <v>0</v>
      </c>
      <c r="B100" s="221"/>
      <c r="C100" s="243" t="s">
        <v>202</v>
      </c>
      <c r="D100" s="252" t="s">
        <v>198</v>
      </c>
      <c r="E100" s="241"/>
      <c r="F100" s="241"/>
      <c r="G100" s="251">
        <v>0.25</v>
      </c>
      <c r="H100" s="241"/>
      <c r="I100" s="241"/>
      <c r="J100" s="251">
        <v>0.15</v>
      </c>
      <c r="K100" s="251">
        <v>0.6</v>
      </c>
      <c r="L100" s="241"/>
      <c r="M100" s="241"/>
      <c r="N100" s="241"/>
      <c r="O100" s="241"/>
      <c r="P100" s="241"/>
      <c r="Q100" s="241"/>
      <c r="R100" s="241"/>
      <c r="S100" s="246">
        <f t="shared" si="1"/>
        <v>1551.75</v>
      </c>
      <c r="T100" s="247"/>
      <c r="U100" s="248"/>
      <c r="V100" s="217"/>
      <c r="W100" s="217"/>
      <c r="X100" s="217"/>
      <c r="Y100" s="217"/>
      <c r="Z100" s="217"/>
      <c r="AA100" s="217"/>
    </row>
    <row r="101" spans="1:27" x14ac:dyDescent="0.3">
      <c r="A101">
        <f>IF(B101="Y",MAX($A$72:A100)+1,0)</f>
        <v>0</v>
      </c>
      <c r="B101" s="221"/>
      <c r="C101" s="254" t="s">
        <v>465</v>
      </c>
      <c r="D101" s="255" t="s">
        <v>198</v>
      </c>
      <c r="E101" s="241"/>
      <c r="F101" s="241"/>
      <c r="G101" s="256">
        <v>0.3</v>
      </c>
      <c r="H101" s="241"/>
      <c r="I101" s="241"/>
      <c r="J101" s="256">
        <v>0.3</v>
      </c>
      <c r="K101" s="256">
        <v>0.4</v>
      </c>
      <c r="L101" s="241"/>
      <c r="M101" s="241"/>
      <c r="N101" s="241"/>
      <c r="O101" s="241"/>
      <c r="P101" s="241"/>
      <c r="Q101" s="241"/>
      <c r="R101" s="241"/>
      <c r="S101" s="246">
        <f t="shared" si="1"/>
        <v>1824.5</v>
      </c>
      <c r="T101" s="247"/>
      <c r="U101" s="248"/>
      <c r="V101" s="217"/>
      <c r="W101" s="217"/>
      <c r="X101" s="217"/>
      <c r="Y101" s="217"/>
      <c r="Z101" s="217"/>
      <c r="AA101" s="217"/>
    </row>
    <row r="102" spans="1:27" x14ac:dyDescent="0.3">
      <c r="A102">
        <f>IF(B102="Y",MAX($A$72:A101)+1,0)</f>
        <v>15</v>
      </c>
      <c r="B102" s="221" t="s">
        <v>446</v>
      </c>
      <c r="C102" s="243" t="s">
        <v>203</v>
      </c>
      <c r="D102" s="252" t="s">
        <v>204</v>
      </c>
      <c r="E102" s="241"/>
      <c r="F102" s="241"/>
      <c r="G102" s="241"/>
      <c r="H102" s="241"/>
      <c r="I102" s="241"/>
      <c r="J102" s="251">
        <v>7.0000000000000007E-2</v>
      </c>
      <c r="K102" s="241"/>
      <c r="L102" s="251">
        <v>0.46</v>
      </c>
      <c r="M102" s="241"/>
      <c r="N102" s="241"/>
      <c r="O102" s="241"/>
      <c r="P102" s="241"/>
      <c r="Q102" s="241"/>
      <c r="R102" s="241"/>
      <c r="S102" s="246">
        <f t="shared" si="1"/>
        <v>2301.2000000000003</v>
      </c>
      <c r="T102" s="247"/>
      <c r="U102" s="248"/>
      <c r="V102" s="217"/>
      <c r="W102" s="217"/>
      <c r="X102" s="217"/>
      <c r="Y102" s="217"/>
      <c r="Z102" s="217"/>
      <c r="AA102" s="217"/>
    </row>
    <row r="103" spans="1:27" x14ac:dyDescent="0.3">
      <c r="A103">
        <f>IF(B103="Y",MAX($A$72:A102)+1,0)</f>
        <v>16</v>
      </c>
      <c r="B103" s="221" t="s">
        <v>446</v>
      </c>
      <c r="C103" s="243" t="s">
        <v>205</v>
      </c>
      <c r="D103" s="252" t="s">
        <v>206</v>
      </c>
      <c r="E103" s="241"/>
      <c r="F103" s="241"/>
      <c r="G103" s="241"/>
      <c r="H103" s="241"/>
      <c r="I103" s="241"/>
      <c r="J103" s="241"/>
      <c r="K103" s="241"/>
      <c r="L103" s="241"/>
      <c r="M103" s="241"/>
      <c r="N103" s="241"/>
      <c r="O103" s="241"/>
      <c r="P103" s="241"/>
      <c r="Q103" s="241"/>
      <c r="R103" s="241"/>
      <c r="S103" s="246">
        <f t="shared" si="1"/>
        <v>0</v>
      </c>
      <c r="T103" s="247"/>
      <c r="U103" s="248"/>
      <c r="V103" s="217"/>
      <c r="W103" s="217"/>
      <c r="X103" s="217"/>
      <c r="Y103" s="217"/>
      <c r="Z103" s="217"/>
      <c r="AA103" s="217"/>
    </row>
    <row r="104" spans="1:27" x14ac:dyDescent="0.3">
      <c r="A104">
        <f>IF(B104="Y",MAX($A$72:A103)+1,0)</f>
        <v>0</v>
      </c>
      <c r="B104" s="221"/>
      <c r="C104" s="243" t="s">
        <v>207</v>
      </c>
      <c r="D104" s="252" t="s">
        <v>206</v>
      </c>
      <c r="E104" s="241"/>
      <c r="F104" s="241"/>
      <c r="G104" s="241"/>
      <c r="H104" s="241"/>
      <c r="I104" s="241"/>
      <c r="J104" s="241"/>
      <c r="K104" s="241"/>
      <c r="L104" s="241"/>
      <c r="M104" s="241"/>
      <c r="N104" s="241"/>
      <c r="O104" s="241"/>
      <c r="P104" s="241"/>
      <c r="Q104" s="241"/>
      <c r="R104" s="241"/>
      <c r="S104" s="246">
        <f t="shared" si="1"/>
        <v>0</v>
      </c>
      <c r="T104" s="247"/>
      <c r="U104" s="248"/>
      <c r="V104" s="217"/>
      <c r="W104" s="217"/>
      <c r="X104" s="217"/>
      <c r="Y104" s="217"/>
      <c r="Z104" s="217"/>
      <c r="AA104" s="217"/>
    </row>
    <row r="105" spans="1:27" x14ac:dyDescent="0.3">
      <c r="A105">
        <f>IF(B105="Y",MAX($A$72:A104)+1,0)</f>
        <v>17</v>
      </c>
      <c r="B105" s="221" t="s">
        <v>446</v>
      </c>
      <c r="C105" s="243" t="s">
        <v>208</v>
      </c>
      <c r="D105" s="252" t="s">
        <v>209</v>
      </c>
      <c r="E105" s="241"/>
      <c r="F105" s="241"/>
      <c r="G105" s="251">
        <v>0.5</v>
      </c>
      <c r="H105" s="241"/>
      <c r="I105" s="241"/>
      <c r="J105" s="251">
        <v>0.5</v>
      </c>
      <c r="K105" s="241"/>
      <c r="L105" s="241"/>
      <c r="M105" s="241"/>
      <c r="N105" s="241"/>
      <c r="O105" s="241"/>
      <c r="P105" s="241"/>
      <c r="Q105" s="241"/>
      <c r="R105" s="241"/>
      <c r="S105" s="246">
        <f t="shared" si="1"/>
        <v>2087.5</v>
      </c>
      <c r="T105" s="247"/>
      <c r="U105" s="248"/>
      <c r="V105" s="217"/>
      <c r="W105" s="217"/>
      <c r="X105" s="217"/>
      <c r="Y105" s="217"/>
      <c r="Z105" s="217"/>
      <c r="AA105" s="217"/>
    </row>
    <row r="106" spans="1:27" x14ac:dyDescent="0.3">
      <c r="A106">
        <f>IF(B106="Y",MAX($A$72:A105)+1,0)</f>
        <v>0</v>
      </c>
      <c r="B106" s="221"/>
      <c r="C106" s="243" t="s">
        <v>210</v>
      </c>
      <c r="D106" s="252" t="s">
        <v>209</v>
      </c>
      <c r="E106" s="241"/>
      <c r="F106" s="241"/>
      <c r="G106" s="251">
        <v>0.45</v>
      </c>
      <c r="H106" s="241"/>
      <c r="I106" s="241"/>
      <c r="J106" s="251">
        <v>0.55000000000000004</v>
      </c>
      <c r="K106" s="241"/>
      <c r="L106" s="241"/>
      <c r="M106" s="241"/>
      <c r="N106" s="241"/>
      <c r="O106" s="241"/>
      <c r="P106" s="241"/>
      <c r="Q106" s="241"/>
      <c r="R106" s="241"/>
      <c r="S106" s="246">
        <f t="shared" si="1"/>
        <v>2228.75</v>
      </c>
      <c r="T106" s="247"/>
      <c r="U106" s="248"/>
      <c r="V106" s="217"/>
      <c r="W106" s="217"/>
      <c r="X106" s="217"/>
      <c r="Y106" s="217"/>
      <c r="Z106" s="217"/>
      <c r="AA106" s="217"/>
    </row>
    <row r="107" spans="1:27" x14ac:dyDescent="0.3">
      <c r="A107">
        <f>IF(B107="Y",MAX($A$72:A106)+1,0)</f>
        <v>0</v>
      </c>
      <c r="B107" s="221"/>
      <c r="C107" s="243" t="s">
        <v>211</v>
      </c>
      <c r="D107" s="252" t="s">
        <v>212</v>
      </c>
      <c r="E107" s="241"/>
      <c r="F107" s="241"/>
      <c r="G107" s="241"/>
      <c r="H107" s="241"/>
      <c r="I107" s="241"/>
      <c r="J107" s="241"/>
      <c r="K107" s="241"/>
      <c r="L107" s="241"/>
      <c r="M107" s="251">
        <v>0.11</v>
      </c>
      <c r="N107" s="241"/>
      <c r="O107" s="241"/>
      <c r="P107" s="241"/>
      <c r="Q107" s="241"/>
      <c r="R107" s="241"/>
      <c r="S107" s="246">
        <f t="shared" si="1"/>
        <v>13.64</v>
      </c>
      <c r="T107" s="247"/>
      <c r="U107" s="248"/>
      <c r="V107" s="217"/>
      <c r="W107" s="217"/>
      <c r="X107" s="217"/>
      <c r="Y107" s="217"/>
      <c r="Z107" s="217"/>
      <c r="AA107" s="217"/>
    </row>
    <row r="108" spans="1:27" x14ac:dyDescent="0.3">
      <c r="A108">
        <f>IF(B108="Y",MAX($A$72:A107)+1,0)</f>
        <v>0</v>
      </c>
      <c r="B108" s="221"/>
      <c r="C108" s="243" t="s">
        <v>213</v>
      </c>
      <c r="D108" s="252" t="s">
        <v>212</v>
      </c>
      <c r="E108" s="241"/>
      <c r="F108" s="241"/>
      <c r="G108" s="241"/>
      <c r="H108" s="241"/>
      <c r="I108" s="241"/>
      <c r="J108" s="241"/>
      <c r="K108" s="241"/>
      <c r="L108" s="241"/>
      <c r="M108" s="251">
        <v>0.03</v>
      </c>
      <c r="N108" s="241"/>
      <c r="O108" s="241"/>
      <c r="P108" s="241"/>
      <c r="Q108" s="241"/>
      <c r="R108" s="241"/>
      <c r="S108" s="246">
        <f t="shared" si="1"/>
        <v>3.7199999999999998</v>
      </c>
      <c r="T108" s="247"/>
      <c r="U108" s="248"/>
      <c r="V108" s="217"/>
      <c r="W108" s="217"/>
      <c r="X108" s="217"/>
      <c r="Y108" s="217"/>
      <c r="Z108" s="217"/>
      <c r="AA108" s="217"/>
    </row>
    <row r="109" spans="1:27" x14ac:dyDescent="0.3">
      <c r="A109">
        <f>IF(B109="Y",MAX($A$72:A108)+1,0)</f>
        <v>0</v>
      </c>
      <c r="B109" s="221"/>
      <c r="C109" s="243" t="s">
        <v>214</v>
      </c>
      <c r="D109" s="252" t="s">
        <v>215</v>
      </c>
      <c r="E109" s="241"/>
      <c r="F109" s="241"/>
      <c r="G109" s="241"/>
      <c r="H109" s="241"/>
      <c r="I109" s="241"/>
      <c r="J109" s="241"/>
      <c r="K109" s="241"/>
      <c r="L109" s="251">
        <v>0.25</v>
      </c>
      <c r="M109" s="241"/>
      <c r="N109" s="251">
        <v>0.05</v>
      </c>
      <c r="O109" s="241"/>
      <c r="P109" s="241"/>
      <c r="Q109" s="241"/>
      <c r="R109" s="241"/>
      <c r="S109" s="246">
        <f t="shared" si="1"/>
        <v>1559</v>
      </c>
      <c r="T109" s="247"/>
      <c r="U109" s="248"/>
      <c r="V109" s="217"/>
      <c r="W109" s="217"/>
      <c r="X109" s="217"/>
      <c r="Y109" s="217"/>
      <c r="Z109" s="217"/>
      <c r="AA109" s="217"/>
    </row>
    <row r="110" spans="1:27" x14ac:dyDescent="0.3">
      <c r="A110">
        <f>IF(B110="Y",MAX($A$72:A109)+1,0)</f>
        <v>0</v>
      </c>
      <c r="B110" s="221"/>
      <c r="C110" s="243" t="s">
        <v>216</v>
      </c>
      <c r="D110" s="252" t="s">
        <v>217</v>
      </c>
      <c r="E110" s="241"/>
      <c r="F110" s="241"/>
      <c r="G110" s="241"/>
      <c r="H110" s="241"/>
      <c r="I110" s="241"/>
      <c r="J110" s="241"/>
      <c r="K110" s="251">
        <v>0.88</v>
      </c>
      <c r="L110" s="241"/>
      <c r="M110" s="241"/>
      <c r="N110" s="251">
        <v>0.09</v>
      </c>
      <c r="O110" s="241"/>
      <c r="P110" s="241"/>
      <c r="Q110" s="241"/>
      <c r="R110" s="241"/>
      <c r="S110" s="246">
        <f t="shared" si="1"/>
        <v>2053.1</v>
      </c>
      <c r="T110" s="247"/>
      <c r="U110" s="248"/>
      <c r="V110" s="217"/>
      <c r="W110" s="217"/>
      <c r="X110" s="217"/>
      <c r="Y110" s="217"/>
      <c r="Z110" s="217"/>
      <c r="AA110" s="217"/>
    </row>
    <row r="111" spans="1:27" x14ac:dyDescent="0.3">
      <c r="A111">
        <f>IF(B111="Y",MAX($A$72:A110)+1,0)</f>
        <v>0</v>
      </c>
      <c r="B111" s="221"/>
      <c r="C111" s="243" t="s">
        <v>218</v>
      </c>
      <c r="D111" s="252" t="s">
        <v>219</v>
      </c>
      <c r="E111" s="241"/>
      <c r="F111" s="241"/>
      <c r="G111" s="241"/>
      <c r="H111" s="241"/>
      <c r="I111" s="241"/>
      <c r="J111" s="241"/>
      <c r="K111" s="241"/>
      <c r="L111" s="241"/>
      <c r="M111" s="241"/>
      <c r="N111" s="241"/>
      <c r="O111" s="241"/>
      <c r="P111" s="241"/>
      <c r="Q111" s="241"/>
      <c r="R111" s="241"/>
      <c r="S111" s="246">
        <f t="shared" si="1"/>
        <v>0</v>
      </c>
      <c r="T111" s="247"/>
      <c r="U111" s="248"/>
      <c r="V111" s="217"/>
      <c r="W111" s="217"/>
      <c r="X111" s="217"/>
      <c r="Y111" s="217"/>
      <c r="Z111" s="217"/>
      <c r="AA111" s="217"/>
    </row>
    <row r="112" spans="1:27" x14ac:dyDescent="0.3">
      <c r="A112">
        <f>IF(B112="Y",MAX($A$72:A111)+1,0)</f>
        <v>0</v>
      </c>
      <c r="B112" s="221"/>
      <c r="C112" s="243" t="s">
        <v>220</v>
      </c>
      <c r="D112" s="252" t="s">
        <v>219</v>
      </c>
      <c r="E112" s="241"/>
      <c r="F112" s="241"/>
      <c r="G112" s="241"/>
      <c r="H112" s="241"/>
      <c r="I112" s="241"/>
      <c r="J112" s="241"/>
      <c r="K112" s="241"/>
      <c r="L112" s="241"/>
      <c r="M112" s="241"/>
      <c r="N112" s="241"/>
      <c r="O112" s="241"/>
      <c r="P112" s="241"/>
      <c r="Q112" s="241"/>
      <c r="R112" s="241"/>
      <c r="S112" s="246">
        <f t="shared" si="1"/>
        <v>0</v>
      </c>
      <c r="T112" s="247"/>
      <c r="U112" s="248"/>
      <c r="V112" s="217"/>
      <c r="W112" s="217"/>
      <c r="X112" s="217"/>
      <c r="Y112" s="217"/>
      <c r="Z112" s="217"/>
      <c r="AA112" s="217"/>
    </row>
    <row r="113" spans="1:27" x14ac:dyDescent="0.3">
      <c r="A113">
        <f>IF(B113="Y",MAX($A$72:A112)+1,0)</f>
        <v>0</v>
      </c>
      <c r="B113" s="221"/>
      <c r="C113" s="243" t="s">
        <v>221</v>
      </c>
      <c r="D113" s="252" t="s">
        <v>222</v>
      </c>
      <c r="E113" s="241"/>
      <c r="F113" s="241"/>
      <c r="G113" s="241"/>
      <c r="H113" s="241"/>
      <c r="I113" s="241"/>
      <c r="J113" s="241"/>
      <c r="K113" s="241"/>
      <c r="L113" s="241"/>
      <c r="M113" s="251">
        <v>0.18</v>
      </c>
      <c r="N113" s="241"/>
      <c r="O113" s="241"/>
      <c r="P113" s="241"/>
      <c r="Q113" s="241"/>
      <c r="R113" s="241"/>
      <c r="S113" s="246">
        <f t="shared" si="1"/>
        <v>22.32</v>
      </c>
      <c r="T113" s="247"/>
      <c r="U113" s="248"/>
      <c r="V113" s="217"/>
      <c r="W113" s="217"/>
      <c r="X113" s="217"/>
      <c r="Y113" s="217"/>
      <c r="Z113" s="217"/>
      <c r="AA113" s="217"/>
    </row>
    <row r="114" spans="1:27" x14ac:dyDescent="0.3">
      <c r="A114">
        <f>IF(B114="Y",MAX($A$72:A113)+1,0)</f>
        <v>0</v>
      </c>
      <c r="B114" s="221"/>
      <c r="C114" s="243" t="s">
        <v>223</v>
      </c>
      <c r="D114" s="252" t="s">
        <v>222</v>
      </c>
      <c r="E114" s="241"/>
      <c r="F114" s="241"/>
      <c r="G114" s="241"/>
      <c r="H114" s="241"/>
      <c r="I114" s="241"/>
      <c r="J114" s="241"/>
      <c r="K114" s="241"/>
      <c r="L114" s="241"/>
      <c r="M114" s="251">
        <v>0.75</v>
      </c>
      <c r="N114" s="241"/>
      <c r="O114" s="241"/>
      <c r="P114" s="241"/>
      <c r="Q114" s="241"/>
      <c r="R114" s="241"/>
      <c r="S114" s="246">
        <f t="shared" si="1"/>
        <v>93</v>
      </c>
      <c r="T114" s="247"/>
      <c r="U114" s="248"/>
      <c r="V114" s="217"/>
      <c r="W114" s="217"/>
      <c r="X114" s="217"/>
      <c r="Y114" s="217"/>
      <c r="Z114" s="217"/>
      <c r="AA114" s="217"/>
    </row>
    <row r="115" spans="1:27" x14ac:dyDescent="0.3">
      <c r="A115">
        <f>IF(B115="Y",MAX($A$72:A114)+1,0)</f>
        <v>0</v>
      </c>
      <c r="B115" s="221"/>
      <c r="C115" s="243" t="s">
        <v>224</v>
      </c>
      <c r="D115" s="252" t="s">
        <v>225</v>
      </c>
      <c r="E115" s="241"/>
      <c r="F115" s="241"/>
      <c r="G115" s="241"/>
      <c r="H115" s="241"/>
      <c r="I115" s="241"/>
      <c r="J115" s="241"/>
      <c r="K115" s="251">
        <v>0.59</v>
      </c>
      <c r="L115" s="241"/>
      <c r="M115" s="241"/>
      <c r="N115" s="241"/>
      <c r="O115" s="241"/>
      <c r="P115" s="241"/>
      <c r="Q115" s="241"/>
      <c r="R115" s="241"/>
      <c r="S115" s="246">
        <f t="shared" si="1"/>
        <v>843.69999999999993</v>
      </c>
      <c r="T115" s="247"/>
      <c r="U115" s="248"/>
      <c r="V115" s="217"/>
      <c r="W115" s="217"/>
      <c r="X115" s="217"/>
      <c r="Y115" s="217"/>
      <c r="Z115" s="217"/>
      <c r="AA115" s="217"/>
    </row>
    <row r="116" spans="1:27" x14ac:dyDescent="0.3">
      <c r="A116">
        <f>IF(B116="Y",MAX($A$72:A115)+1,0)</f>
        <v>0</v>
      </c>
      <c r="B116" s="221"/>
      <c r="C116" s="243" t="s">
        <v>226</v>
      </c>
      <c r="D116" s="252" t="s">
        <v>227</v>
      </c>
      <c r="E116" s="241"/>
      <c r="F116" s="241"/>
      <c r="G116" s="241"/>
      <c r="H116" s="241"/>
      <c r="I116" s="241"/>
      <c r="J116" s="253">
        <v>0.46600000000000003</v>
      </c>
      <c r="K116" s="251">
        <v>0.5</v>
      </c>
      <c r="L116" s="241"/>
      <c r="M116" s="241"/>
      <c r="N116" s="241"/>
      <c r="O116" s="241"/>
      <c r="P116" s="241"/>
      <c r="Q116" s="241"/>
      <c r="R116" s="241"/>
      <c r="S116" s="246">
        <f t="shared" si="1"/>
        <v>2346</v>
      </c>
      <c r="T116" s="247"/>
      <c r="U116" s="248"/>
      <c r="V116" s="217"/>
      <c r="W116" s="217"/>
      <c r="X116" s="217"/>
      <c r="Y116" s="217"/>
      <c r="Z116" s="217"/>
      <c r="AA116" s="217"/>
    </row>
    <row r="117" spans="1:27" x14ac:dyDescent="0.3">
      <c r="A117">
        <f>IF(B117="Y",MAX($A$72:A116)+1,0)</f>
        <v>0</v>
      </c>
      <c r="B117" s="221"/>
      <c r="C117" s="243" t="s">
        <v>228</v>
      </c>
      <c r="D117" s="252" t="s">
        <v>229</v>
      </c>
      <c r="E117" s="241"/>
      <c r="F117" s="241"/>
      <c r="G117" s="241"/>
      <c r="H117" s="241"/>
      <c r="I117" s="241"/>
      <c r="J117" s="241"/>
      <c r="K117" s="241"/>
      <c r="L117" s="241"/>
      <c r="M117" s="253">
        <v>2.5000000000000001E-2</v>
      </c>
      <c r="N117" s="241"/>
      <c r="O117" s="241"/>
      <c r="P117" s="241"/>
      <c r="Q117" s="241"/>
      <c r="R117" s="241"/>
      <c r="S117" s="246">
        <f t="shared" si="1"/>
        <v>3.1</v>
      </c>
      <c r="T117" s="247"/>
      <c r="U117" s="248"/>
      <c r="V117" s="217"/>
      <c r="W117" s="217"/>
      <c r="X117" s="217"/>
      <c r="Y117" s="217"/>
      <c r="Z117" s="217"/>
      <c r="AA117" s="217"/>
    </row>
    <row r="118" spans="1:27" x14ac:dyDescent="0.3">
      <c r="A118">
        <f>IF(B118="Y",MAX($A$72:A117)+1,0)</f>
        <v>0</v>
      </c>
      <c r="B118" s="221"/>
      <c r="C118" s="243" t="s">
        <v>230</v>
      </c>
      <c r="D118" s="252" t="s">
        <v>231</v>
      </c>
      <c r="E118" s="241"/>
      <c r="F118" s="241"/>
      <c r="G118" s="241"/>
      <c r="H118" s="241"/>
      <c r="I118" s="241"/>
      <c r="J118" s="251">
        <v>0.77</v>
      </c>
      <c r="K118" s="251">
        <v>0.19</v>
      </c>
      <c r="L118" s="241"/>
      <c r="M118" s="241"/>
      <c r="N118" s="241"/>
      <c r="O118" s="241"/>
      <c r="P118" s="241"/>
      <c r="Q118" s="241"/>
      <c r="R118" s="241"/>
      <c r="S118" s="246">
        <f t="shared" si="1"/>
        <v>2966.7</v>
      </c>
      <c r="T118" s="247"/>
      <c r="U118" s="248"/>
      <c r="V118" s="217"/>
      <c r="W118" s="217"/>
      <c r="X118" s="217"/>
      <c r="Y118" s="217"/>
      <c r="Z118" s="217"/>
      <c r="AA118" s="217"/>
    </row>
    <row r="119" spans="1:27" x14ac:dyDescent="0.3">
      <c r="A119">
        <f>IF(B119="Y",MAX($A$72:A118)+1,0)</f>
        <v>0</v>
      </c>
      <c r="B119" s="221"/>
      <c r="C119" s="243" t="s">
        <v>232</v>
      </c>
      <c r="D119" s="252" t="s">
        <v>233</v>
      </c>
      <c r="E119" s="241"/>
      <c r="F119" s="241"/>
      <c r="G119" s="241"/>
      <c r="H119" s="241"/>
      <c r="I119" s="241"/>
      <c r="J119" s="241"/>
      <c r="K119" s="251">
        <v>0.88</v>
      </c>
      <c r="L119" s="241"/>
      <c r="M119" s="241"/>
      <c r="N119" s="241"/>
      <c r="O119" s="241"/>
      <c r="P119" s="241"/>
      <c r="Q119" s="241"/>
      <c r="R119" s="241"/>
      <c r="S119" s="246">
        <f t="shared" si="1"/>
        <v>1258.4000000000001</v>
      </c>
      <c r="T119" s="247"/>
      <c r="U119" s="248"/>
      <c r="V119" s="217"/>
      <c r="W119" s="217"/>
      <c r="X119" s="217"/>
      <c r="Y119" s="217"/>
      <c r="Z119" s="217"/>
      <c r="AA119" s="217"/>
    </row>
    <row r="120" spans="1:27" x14ac:dyDescent="0.3">
      <c r="A120">
        <f>IF(B120="Y",MAX($A$72:A119)+1,0)</f>
        <v>18</v>
      </c>
      <c r="B120" s="221" t="s">
        <v>446</v>
      </c>
      <c r="C120" s="243" t="s">
        <v>234</v>
      </c>
      <c r="D120" s="252" t="s">
        <v>235</v>
      </c>
      <c r="E120" s="241"/>
      <c r="F120" s="241"/>
      <c r="G120" s="241"/>
      <c r="H120" s="241"/>
      <c r="I120" s="241"/>
      <c r="J120" s="251">
        <v>0.57999999999999996</v>
      </c>
      <c r="K120" s="251">
        <v>0.42</v>
      </c>
      <c r="L120" s="241"/>
      <c r="M120" s="241"/>
      <c r="N120" s="241"/>
      <c r="O120" s="241"/>
      <c r="P120" s="241"/>
      <c r="Q120" s="241"/>
      <c r="R120" s="241"/>
      <c r="S120" s="246">
        <f t="shared" si="1"/>
        <v>2630.6</v>
      </c>
      <c r="T120" s="247"/>
      <c r="U120" s="248"/>
      <c r="V120" s="217"/>
      <c r="W120" s="217"/>
      <c r="X120" s="217"/>
      <c r="Y120" s="217"/>
      <c r="Z120" s="217"/>
      <c r="AA120" s="217"/>
    </row>
    <row r="121" spans="1:27" x14ac:dyDescent="0.3">
      <c r="A121">
        <f>IF(B121="Y",MAX($A$72:A120)+1,0)</f>
        <v>19</v>
      </c>
      <c r="B121" s="221" t="s">
        <v>446</v>
      </c>
      <c r="C121" s="243" t="s">
        <v>236</v>
      </c>
      <c r="D121" s="252" t="s">
        <v>235</v>
      </c>
      <c r="E121" s="241"/>
      <c r="F121" s="241"/>
      <c r="G121" s="241"/>
      <c r="H121" s="241"/>
      <c r="I121" s="241"/>
      <c r="J121" s="251">
        <v>0.85</v>
      </c>
      <c r="K121" s="251">
        <v>0.15</v>
      </c>
      <c r="L121" s="241"/>
      <c r="M121" s="241"/>
      <c r="N121" s="241"/>
      <c r="O121" s="241"/>
      <c r="P121" s="241"/>
      <c r="Q121" s="241"/>
      <c r="R121" s="241"/>
      <c r="S121" s="246">
        <f t="shared" si="1"/>
        <v>3189.5</v>
      </c>
      <c r="T121" s="247"/>
      <c r="U121" s="248"/>
      <c r="V121" s="217"/>
      <c r="W121" s="217"/>
      <c r="X121" s="217"/>
      <c r="Y121" s="217"/>
      <c r="Z121" s="217"/>
      <c r="AA121" s="217"/>
    </row>
    <row r="122" spans="1:27" x14ac:dyDescent="0.3">
      <c r="A122">
        <f>IF(B122="Y",MAX($A$72:A121)+1,0)</f>
        <v>0</v>
      </c>
      <c r="B122" s="221"/>
      <c r="C122" s="243" t="s">
        <v>237</v>
      </c>
      <c r="D122" s="252" t="s">
        <v>238</v>
      </c>
      <c r="E122" s="241"/>
      <c r="F122" s="241"/>
      <c r="G122" s="241"/>
      <c r="H122" s="241"/>
      <c r="I122" s="241"/>
      <c r="J122" s="253">
        <v>0.85099999999999998</v>
      </c>
      <c r="K122" s="253">
        <v>0.115</v>
      </c>
      <c r="L122" s="241"/>
      <c r="M122" s="241"/>
      <c r="N122" s="241"/>
      <c r="O122" s="241"/>
      <c r="P122" s="241"/>
      <c r="Q122" s="241"/>
      <c r="R122" s="241"/>
      <c r="S122" s="246">
        <f t="shared" si="1"/>
        <v>3142.95</v>
      </c>
      <c r="T122" s="247"/>
      <c r="U122" s="248"/>
      <c r="V122" s="217"/>
      <c r="W122" s="217"/>
      <c r="X122" s="217"/>
      <c r="Y122" s="217"/>
      <c r="Z122" s="217"/>
      <c r="AA122" s="217"/>
    </row>
    <row r="123" spans="1:27" x14ac:dyDescent="0.3">
      <c r="A123">
        <f>IF(B123="Y",MAX($A$72:A122)+1,0)</f>
        <v>0</v>
      </c>
      <c r="B123" s="221"/>
      <c r="C123" s="243" t="s">
        <v>239</v>
      </c>
      <c r="D123" s="252" t="s">
        <v>238</v>
      </c>
      <c r="E123" s="241"/>
      <c r="F123" s="241"/>
      <c r="G123" s="241"/>
      <c r="H123" s="241"/>
      <c r="I123" s="241"/>
      <c r="J123" s="251">
        <v>0.55000000000000004</v>
      </c>
      <c r="K123" s="251">
        <v>0.42</v>
      </c>
      <c r="L123" s="241"/>
      <c r="M123" s="241"/>
      <c r="N123" s="241"/>
      <c r="O123" s="241"/>
      <c r="P123" s="241"/>
      <c r="Q123" s="241"/>
      <c r="R123" s="241"/>
      <c r="S123" s="246">
        <f t="shared" si="1"/>
        <v>2525.6000000000004</v>
      </c>
      <c r="T123" s="247"/>
      <c r="U123" s="248"/>
      <c r="V123" s="217"/>
      <c r="W123" s="217"/>
      <c r="X123" s="217"/>
      <c r="Y123" s="217"/>
      <c r="Z123" s="217"/>
      <c r="AA123" s="217"/>
    </row>
    <row r="124" spans="1:27" x14ac:dyDescent="0.3">
      <c r="A124">
        <f>IF(B124="Y",MAX($A$72:A123)+1,0)</f>
        <v>0</v>
      </c>
      <c r="B124" s="221"/>
      <c r="C124" s="243" t="s">
        <v>240</v>
      </c>
      <c r="D124" s="252" t="s">
        <v>238</v>
      </c>
      <c r="E124" s="241"/>
      <c r="F124" s="241"/>
      <c r="G124" s="241"/>
      <c r="H124" s="241"/>
      <c r="I124" s="241"/>
      <c r="J124" s="251">
        <v>0.82</v>
      </c>
      <c r="K124" s="251">
        <v>0.15</v>
      </c>
      <c r="L124" s="241"/>
      <c r="M124" s="241"/>
      <c r="N124" s="241"/>
      <c r="O124" s="241"/>
      <c r="P124" s="241"/>
      <c r="Q124" s="241"/>
      <c r="R124" s="241"/>
      <c r="S124" s="246">
        <f t="shared" si="1"/>
        <v>3084.5</v>
      </c>
      <c r="T124" s="247"/>
      <c r="U124" s="248"/>
      <c r="V124" s="217"/>
      <c r="W124" s="217"/>
      <c r="X124" s="217"/>
      <c r="Y124" s="217"/>
      <c r="Z124" s="217"/>
      <c r="AA124" s="217"/>
    </row>
    <row r="125" spans="1:27" x14ac:dyDescent="0.3">
      <c r="A125">
        <f>IF(B125="Y",MAX($A$72:A124)+1,0)</f>
        <v>0</v>
      </c>
      <c r="B125" s="221"/>
      <c r="C125" s="243" t="s">
        <v>241</v>
      </c>
      <c r="D125" s="252" t="s">
        <v>238</v>
      </c>
      <c r="E125" s="241"/>
      <c r="F125" s="241"/>
      <c r="G125" s="241"/>
      <c r="H125" s="241"/>
      <c r="I125" s="241"/>
      <c r="J125" s="253">
        <v>0.65100000000000002</v>
      </c>
      <c r="K125" s="253">
        <v>0.315</v>
      </c>
      <c r="L125" s="241"/>
      <c r="M125" s="241"/>
      <c r="N125" s="241"/>
      <c r="O125" s="241"/>
      <c r="P125" s="241"/>
      <c r="Q125" s="241"/>
      <c r="R125" s="241"/>
      <c r="S125" s="246">
        <f t="shared" si="1"/>
        <v>2728.95</v>
      </c>
      <c r="T125" s="247"/>
      <c r="U125" s="248"/>
      <c r="V125" s="217"/>
      <c r="W125" s="217"/>
      <c r="X125" s="217"/>
      <c r="Y125" s="217"/>
      <c r="Z125" s="217"/>
      <c r="AA125" s="217"/>
    </row>
    <row r="126" spans="1:27" x14ac:dyDescent="0.3">
      <c r="A126">
        <f>IF(B126="Y",MAX($A$72:A125)+1,0)</f>
        <v>20</v>
      </c>
      <c r="B126" s="221" t="s">
        <v>446</v>
      </c>
      <c r="C126" s="243" t="s">
        <v>242</v>
      </c>
      <c r="D126" s="252" t="s">
        <v>243</v>
      </c>
      <c r="E126" s="241"/>
      <c r="F126" s="241"/>
      <c r="G126" s="241"/>
      <c r="H126" s="241"/>
      <c r="I126" s="241"/>
      <c r="J126" s="241"/>
      <c r="K126" s="253">
        <v>0.52500000000000002</v>
      </c>
      <c r="L126" s="241"/>
      <c r="M126" s="241"/>
      <c r="N126" s="241"/>
      <c r="O126" s="253">
        <v>0.47499999999999998</v>
      </c>
      <c r="P126" s="241"/>
      <c r="Q126" s="241"/>
      <c r="R126" s="241"/>
      <c r="S126" s="246">
        <f t="shared" si="1"/>
        <v>2280.25</v>
      </c>
      <c r="T126" s="247"/>
      <c r="U126" s="248"/>
      <c r="V126" s="217"/>
      <c r="W126" s="217"/>
      <c r="X126" s="217"/>
      <c r="Y126" s="217"/>
      <c r="Z126" s="217"/>
      <c r="AA126" s="217"/>
    </row>
    <row r="127" spans="1:27" x14ac:dyDescent="0.3">
      <c r="A127">
        <f>IF(B127="Y",MAX($A$72:A126)+1,0)</f>
        <v>0</v>
      </c>
      <c r="B127" s="221"/>
      <c r="C127" s="243" t="s">
        <v>244</v>
      </c>
      <c r="D127" s="252" t="s">
        <v>245</v>
      </c>
      <c r="E127" s="241"/>
      <c r="F127" s="241"/>
      <c r="G127" s="241"/>
      <c r="H127" s="241"/>
      <c r="I127" s="241"/>
      <c r="J127" s="253">
        <v>0.505</v>
      </c>
      <c r="K127" s="251">
        <v>0.47</v>
      </c>
      <c r="L127" s="241"/>
      <c r="M127" s="241"/>
      <c r="N127" s="241"/>
      <c r="O127" s="241"/>
      <c r="P127" s="241"/>
      <c r="Q127" s="241"/>
      <c r="R127" s="241"/>
      <c r="S127" s="246">
        <f t="shared" si="1"/>
        <v>2439.6</v>
      </c>
      <c r="T127" s="247"/>
      <c r="U127" s="248"/>
      <c r="V127" s="217"/>
      <c r="W127" s="217"/>
      <c r="X127" s="217"/>
      <c r="Y127" s="217"/>
      <c r="Z127" s="217"/>
      <c r="AA127" s="217"/>
    </row>
    <row r="128" spans="1:27" x14ac:dyDescent="0.3">
      <c r="A128">
        <f>IF(B128="Y",MAX($A$72:A127)+1,0)</f>
        <v>0</v>
      </c>
      <c r="B128" s="221"/>
      <c r="C128" s="243" t="s">
        <v>246</v>
      </c>
      <c r="D128" s="252" t="s">
        <v>247</v>
      </c>
      <c r="E128" s="241"/>
      <c r="F128" s="241"/>
      <c r="G128" s="253">
        <v>0.185</v>
      </c>
      <c r="H128" s="241"/>
      <c r="I128" s="241"/>
      <c r="J128" s="241"/>
      <c r="K128" s="253">
        <v>0.69499999999999995</v>
      </c>
      <c r="L128" s="241"/>
      <c r="M128" s="241"/>
      <c r="N128" s="241"/>
      <c r="O128" s="251">
        <v>0.12</v>
      </c>
      <c r="P128" s="241"/>
      <c r="Q128" s="241"/>
      <c r="R128" s="241"/>
      <c r="S128" s="246">
        <f t="shared" si="1"/>
        <v>1505.125</v>
      </c>
      <c r="T128" s="247"/>
      <c r="U128" s="248"/>
      <c r="V128" s="217"/>
      <c r="W128" s="217"/>
      <c r="X128" s="217"/>
      <c r="Y128" s="217"/>
      <c r="Z128" s="217"/>
      <c r="AA128" s="217"/>
    </row>
    <row r="129" spans="1:27" x14ac:dyDescent="0.3">
      <c r="A129">
        <f>IF(B129="Y",MAX($A$72:A128)+1,0)</f>
        <v>0</v>
      </c>
      <c r="B129" s="221"/>
      <c r="C129" s="243" t="s">
        <v>248</v>
      </c>
      <c r="D129" s="252" t="s">
        <v>249</v>
      </c>
      <c r="E129" s="241"/>
      <c r="F129" s="241"/>
      <c r="G129" s="241"/>
      <c r="H129" s="241"/>
      <c r="I129" s="241"/>
      <c r="J129" s="253">
        <v>5.0999999999999997E-2</v>
      </c>
      <c r="K129" s="251">
        <v>0.93</v>
      </c>
      <c r="L129" s="241"/>
      <c r="M129" s="241"/>
      <c r="N129" s="241"/>
      <c r="O129" s="241"/>
      <c r="P129" s="241"/>
      <c r="Q129" s="241"/>
      <c r="R129" s="241"/>
      <c r="S129" s="246">
        <f t="shared" si="1"/>
        <v>1508.4</v>
      </c>
      <c r="T129" s="247"/>
      <c r="U129" s="248"/>
      <c r="V129" s="217"/>
      <c r="W129" s="217"/>
      <c r="X129" s="217"/>
      <c r="Y129" s="217"/>
      <c r="Z129" s="217"/>
      <c r="AA129" s="217"/>
    </row>
    <row r="130" spans="1:27" x14ac:dyDescent="0.3">
      <c r="A130">
        <f>IF(B130="Y",MAX($A$72:A129)+1,0)</f>
        <v>0</v>
      </c>
      <c r="B130" s="221"/>
      <c r="C130" s="243" t="s">
        <v>250</v>
      </c>
      <c r="D130" s="252" t="s">
        <v>251</v>
      </c>
      <c r="E130" s="241"/>
      <c r="F130" s="241"/>
      <c r="G130" s="251">
        <v>0.15</v>
      </c>
      <c r="H130" s="241"/>
      <c r="I130" s="241"/>
      <c r="J130" s="251">
        <v>0.25</v>
      </c>
      <c r="K130" s="251">
        <v>0.5</v>
      </c>
      <c r="L130" s="251">
        <v>0.1</v>
      </c>
      <c r="M130" s="241"/>
      <c r="N130" s="241"/>
      <c r="O130" s="241"/>
      <c r="P130" s="241"/>
      <c r="Q130" s="241"/>
      <c r="R130" s="241"/>
      <c r="S130" s="246">
        <f t="shared" si="1"/>
        <v>2138.25</v>
      </c>
      <c r="T130" s="247"/>
      <c r="U130" s="248"/>
      <c r="V130" s="217"/>
      <c r="W130" s="217"/>
      <c r="X130" s="217"/>
      <c r="Y130" s="217"/>
      <c r="Z130" s="217"/>
      <c r="AA130" s="217"/>
    </row>
    <row r="131" spans="1:27" x14ac:dyDescent="0.3">
      <c r="A131">
        <f>IF(B131="Y",MAX($A$72:A130)+1,0)</f>
        <v>0</v>
      </c>
      <c r="B131" s="221"/>
      <c r="C131" s="243" t="s">
        <v>252</v>
      </c>
      <c r="D131" s="252" t="s">
        <v>253</v>
      </c>
      <c r="E131" s="241"/>
      <c r="F131" s="241"/>
      <c r="G131" s="241"/>
      <c r="H131" s="241"/>
      <c r="I131" s="241"/>
      <c r="J131" s="253">
        <v>0.77500000000000002</v>
      </c>
      <c r="K131" s="241"/>
      <c r="L131" s="251">
        <v>0.2</v>
      </c>
      <c r="M131" s="241"/>
      <c r="N131" s="241"/>
      <c r="O131" s="241"/>
      <c r="P131" s="241"/>
      <c r="Q131" s="241"/>
      <c r="R131" s="241"/>
      <c r="S131" s="246">
        <f t="shared" si="1"/>
        <v>3606.5</v>
      </c>
      <c r="T131" s="247"/>
      <c r="U131" s="248"/>
      <c r="V131" s="217"/>
      <c r="W131" s="217"/>
      <c r="X131" s="217"/>
      <c r="Y131" s="217"/>
      <c r="Z131" s="217"/>
      <c r="AA131" s="217"/>
    </row>
    <row r="132" spans="1:27" x14ac:dyDescent="0.3">
      <c r="A132">
        <f>IF(B132="Y",MAX($A$72:A131)+1,0)</f>
        <v>0</v>
      </c>
      <c r="B132" s="221"/>
      <c r="C132" s="243" t="s">
        <v>254</v>
      </c>
      <c r="D132" s="252" t="s">
        <v>255</v>
      </c>
      <c r="E132" s="241"/>
      <c r="F132" s="241"/>
      <c r="G132" s="241"/>
      <c r="H132" s="241"/>
      <c r="I132" s="241"/>
      <c r="J132" s="241"/>
      <c r="K132" s="241"/>
      <c r="L132" s="241"/>
      <c r="M132" s="251">
        <v>0.1</v>
      </c>
      <c r="N132" s="241"/>
      <c r="O132" s="241"/>
      <c r="P132" s="241"/>
      <c r="Q132" s="241"/>
      <c r="R132" s="241"/>
      <c r="S132" s="246">
        <f t="shared" si="1"/>
        <v>12.4</v>
      </c>
      <c r="T132" s="247"/>
      <c r="U132" s="248"/>
      <c r="V132" s="217"/>
      <c r="W132" s="217"/>
      <c r="X132" s="217"/>
      <c r="Y132" s="217"/>
      <c r="Z132" s="217"/>
      <c r="AA132" s="217"/>
    </row>
    <row r="133" spans="1:27" x14ac:dyDescent="0.3">
      <c r="A133">
        <f>IF(B133="Y",MAX($A$72:A132)+1,0)</f>
        <v>0</v>
      </c>
      <c r="B133" s="221"/>
      <c r="C133" s="243" t="s">
        <v>256</v>
      </c>
      <c r="D133" s="252" t="s">
        <v>257</v>
      </c>
      <c r="E133" s="241"/>
      <c r="F133" s="241"/>
      <c r="G133" s="241"/>
      <c r="H133" s="241"/>
      <c r="I133" s="241"/>
      <c r="J133" s="241"/>
      <c r="K133" s="241"/>
      <c r="L133" s="241"/>
      <c r="M133" s="251">
        <v>0.76</v>
      </c>
      <c r="N133" s="241"/>
      <c r="O133" s="241"/>
      <c r="P133" s="241"/>
      <c r="Q133" s="241"/>
      <c r="R133" s="241"/>
      <c r="S133" s="246">
        <f t="shared" si="1"/>
        <v>94.24</v>
      </c>
      <c r="T133" s="247"/>
      <c r="U133" s="248"/>
      <c r="V133" s="217"/>
      <c r="W133" s="217"/>
      <c r="X133" s="217"/>
      <c r="Y133" s="217"/>
      <c r="Z133" s="217"/>
      <c r="AA133" s="217"/>
    </row>
    <row r="134" spans="1:27" x14ac:dyDescent="0.3">
      <c r="A134">
        <f>IF(B134="Y",MAX($A$72:A133)+1,0)</f>
        <v>0</v>
      </c>
      <c r="B134" s="221"/>
      <c r="C134" s="243" t="s">
        <v>258</v>
      </c>
      <c r="D134" s="252" t="s">
        <v>259</v>
      </c>
      <c r="E134" s="241"/>
      <c r="F134" s="241"/>
      <c r="G134" s="241"/>
      <c r="H134" s="241"/>
      <c r="I134" s="241"/>
      <c r="J134" s="241"/>
      <c r="K134" s="241"/>
      <c r="L134" s="241"/>
      <c r="M134" s="251">
        <v>0.28999999999999998</v>
      </c>
      <c r="N134" s="241"/>
      <c r="O134" s="241"/>
      <c r="P134" s="241"/>
      <c r="Q134" s="241"/>
      <c r="R134" s="241"/>
      <c r="S134" s="246">
        <f t="shared" si="1"/>
        <v>35.96</v>
      </c>
      <c r="T134" s="247"/>
      <c r="U134" s="248"/>
      <c r="V134" s="217"/>
      <c r="W134" s="217"/>
      <c r="X134" s="217"/>
      <c r="Y134" s="217"/>
      <c r="Z134" s="217"/>
      <c r="AA134" s="217"/>
    </row>
    <row r="135" spans="1:27" x14ac:dyDescent="0.3">
      <c r="A135">
        <f>IF(B135="Y",MAX($A$72:A134)+1,0)</f>
        <v>0</v>
      </c>
      <c r="B135" s="221"/>
      <c r="C135" s="243" t="s">
        <v>260</v>
      </c>
      <c r="D135" s="252" t="s">
        <v>261</v>
      </c>
      <c r="E135" s="241"/>
      <c r="F135" s="241"/>
      <c r="G135" s="241"/>
      <c r="H135" s="241"/>
      <c r="I135" s="241"/>
      <c r="J135" s="253">
        <v>0.63200000000000001</v>
      </c>
      <c r="K135" s="251">
        <v>0.16</v>
      </c>
      <c r="L135" s="251">
        <v>0.18</v>
      </c>
      <c r="M135" s="241"/>
      <c r="N135" s="241"/>
      <c r="O135" s="241"/>
      <c r="P135" s="241"/>
      <c r="Q135" s="241"/>
      <c r="R135" s="241"/>
      <c r="S135" s="246">
        <f t="shared" si="1"/>
        <v>3245.4</v>
      </c>
      <c r="T135" s="247"/>
      <c r="U135" s="248"/>
      <c r="V135" s="217"/>
      <c r="W135" s="217"/>
      <c r="X135" s="217"/>
      <c r="Y135" s="217"/>
      <c r="Z135" s="217"/>
      <c r="AA135" s="217"/>
    </row>
    <row r="136" spans="1:27" x14ac:dyDescent="0.3">
      <c r="A136">
        <f>IF(B136="Y",MAX($A$72:A135)+1,0)</f>
        <v>0</v>
      </c>
      <c r="B136" s="221"/>
      <c r="C136" s="243" t="s">
        <v>262</v>
      </c>
      <c r="D136" s="252" t="s">
        <v>263</v>
      </c>
      <c r="E136" s="241"/>
      <c r="F136" s="241"/>
      <c r="G136" s="241"/>
      <c r="H136" s="241"/>
      <c r="I136" s="241"/>
      <c r="J136" s="241"/>
      <c r="K136" s="241"/>
      <c r="L136" s="241"/>
      <c r="M136" s="251">
        <v>0.2</v>
      </c>
      <c r="N136" s="241"/>
      <c r="O136" s="241"/>
      <c r="P136" s="241"/>
      <c r="Q136" s="241"/>
      <c r="R136" s="241"/>
      <c r="S136" s="246">
        <f t="shared" si="1"/>
        <v>24.8</v>
      </c>
      <c r="T136" s="247"/>
      <c r="U136" s="248"/>
      <c r="V136" s="217"/>
      <c r="W136" s="217"/>
      <c r="X136" s="217"/>
      <c r="Y136" s="217"/>
      <c r="Z136" s="217"/>
      <c r="AA136" s="217"/>
    </row>
    <row r="137" spans="1:27" x14ac:dyDescent="0.3">
      <c r="A137">
        <f>IF(B137="Y",MAX($A$72:A136)+1,0)</f>
        <v>0</v>
      </c>
      <c r="B137" s="221"/>
      <c r="C137" s="243" t="s">
        <v>264</v>
      </c>
      <c r="D137" s="252" t="s">
        <v>265</v>
      </c>
      <c r="E137" s="241"/>
      <c r="F137" s="241"/>
      <c r="G137" s="241"/>
      <c r="H137" s="241"/>
      <c r="I137" s="241"/>
      <c r="J137" s="253">
        <v>0.19500000000000001</v>
      </c>
      <c r="K137" s="253">
        <v>0.78500000000000003</v>
      </c>
      <c r="L137" s="241"/>
      <c r="M137" s="241"/>
      <c r="N137" s="241"/>
      <c r="O137" s="241"/>
      <c r="P137" s="241"/>
      <c r="Q137" s="241"/>
      <c r="R137" s="241"/>
      <c r="S137" s="246">
        <f t="shared" si="1"/>
        <v>1805.05</v>
      </c>
      <c r="T137" s="247"/>
      <c r="U137" s="248"/>
      <c r="V137" s="217"/>
      <c r="W137" s="217"/>
      <c r="X137" s="217"/>
      <c r="Y137" s="217"/>
      <c r="Z137" s="217"/>
      <c r="AA137" s="217"/>
    </row>
    <row r="138" spans="1:27" x14ac:dyDescent="0.3">
      <c r="A138">
        <f>IF(B138="Y",MAX($A$72:A137)+1,0)</f>
        <v>0</v>
      </c>
      <c r="B138" s="221"/>
      <c r="C138" s="243" t="s">
        <v>266</v>
      </c>
      <c r="D138" s="252" t="s">
        <v>267</v>
      </c>
      <c r="E138" s="241"/>
      <c r="F138" s="241"/>
      <c r="G138" s="253">
        <v>8.5000000000000006E-2</v>
      </c>
      <c r="H138" s="241"/>
      <c r="I138" s="241"/>
      <c r="J138" s="251">
        <v>0.45</v>
      </c>
      <c r="K138" s="253">
        <v>0.442</v>
      </c>
      <c r="L138" s="241"/>
      <c r="M138" s="241"/>
      <c r="N138" s="241"/>
      <c r="O138" s="241"/>
      <c r="P138" s="241"/>
      <c r="Q138" s="241"/>
      <c r="R138" s="241"/>
      <c r="S138" s="246">
        <f t="shared" ref="S138:S232" si="2">SUMPRODUCT(E138:R138,$E$70:$R$70)</f>
        <v>2264.4349999999999</v>
      </c>
      <c r="T138" s="247"/>
      <c r="U138" s="248"/>
      <c r="V138" s="217"/>
      <c r="W138" s="217"/>
      <c r="X138" s="217"/>
      <c r="Y138" s="217"/>
      <c r="Z138" s="217"/>
      <c r="AA138" s="217"/>
    </row>
    <row r="139" spans="1:27" x14ac:dyDescent="0.3">
      <c r="A139">
        <f>IF(B139="Y",MAX($A$72:A138)+1,0)</f>
        <v>21</v>
      </c>
      <c r="B139" s="221" t="s">
        <v>446</v>
      </c>
      <c r="C139" s="243" t="s">
        <v>127</v>
      </c>
      <c r="D139" s="252" t="s">
        <v>268</v>
      </c>
      <c r="E139" s="241"/>
      <c r="F139" s="241"/>
      <c r="G139" s="241"/>
      <c r="H139" s="241"/>
      <c r="I139" s="241"/>
      <c r="J139" s="241"/>
      <c r="K139" s="241"/>
      <c r="L139" s="241"/>
      <c r="M139" s="253">
        <v>0.26200000000000001</v>
      </c>
      <c r="N139" s="241"/>
      <c r="O139" s="241"/>
      <c r="P139" s="241"/>
      <c r="Q139" s="241"/>
      <c r="R139" s="241"/>
      <c r="S139" s="246">
        <f t="shared" si="2"/>
        <v>32.488</v>
      </c>
      <c r="T139" s="247"/>
      <c r="U139" s="248"/>
      <c r="V139" s="217"/>
      <c r="W139" s="217"/>
      <c r="X139" s="217"/>
      <c r="Y139" s="217"/>
      <c r="Z139" s="217"/>
      <c r="AA139" s="217"/>
    </row>
    <row r="140" spans="1:27" x14ac:dyDescent="0.3">
      <c r="A140">
        <f>IF(B140="Y",MAX($A$72:A139)+1,0)</f>
        <v>0</v>
      </c>
      <c r="B140" s="221"/>
      <c r="C140" s="243" t="s">
        <v>269</v>
      </c>
      <c r="D140" s="252" t="s">
        <v>270</v>
      </c>
      <c r="E140" s="241"/>
      <c r="F140" s="241"/>
      <c r="G140" s="241"/>
      <c r="H140" s="241"/>
      <c r="I140" s="241"/>
      <c r="J140" s="241"/>
      <c r="K140" s="241"/>
      <c r="L140" s="241"/>
      <c r="M140" s="241"/>
      <c r="N140" s="241"/>
      <c r="O140" s="241"/>
      <c r="P140" s="241"/>
      <c r="Q140" s="241"/>
      <c r="R140" s="241"/>
      <c r="S140" s="246">
        <f t="shared" si="2"/>
        <v>0</v>
      </c>
      <c r="T140" s="247"/>
      <c r="U140" s="248"/>
      <c r="V140" s="217"/>
      <c r="W140" s="217"/>
      <c r="X140" s="217"/>
      <c r="Y140" s="217"/>
      <c r="Z140" s="217"/>
      <c r="AA140" s="217"/>
    </row>
    <row r="141" spans="1:27" x14ac:dyDescent="0.3">
      <c r="A141">
        <f>IF(B141="Y",MAX($A$72:A140)+1,0)</f>
        <v>22</v>
      </c>
      <c r="B141" s="221" t="s">
        <v>446</v>
      </c>
      <c r="C141" s="243" t="s">
        <v>126</v>
      </c>
      <c r="D141" s="252" t="s">
        <v>271</v>
      </c>
      <c r="E141" s="241"/>
      <c r="F141" s="241"/>
      <c r="G141" s="241"/>
      <c r="H141" s="241"/>
      <c r="I141" s="241"/>
      <c r="J141" s="241"/>
      <c r="K141" s="241"/>
      <c r="L141" s="241"/>
      <c r="M141" s="241"/>
      <c r="N141" s="241"/>
      <c r="O141" s="241"/>
      <c r="P141" s="241"/>
      <c r="Q141" s="241"/>
      <c r="R141" s="241"/>
      <c r="S141" s="246">
        <f t="shared" si="2"/>
        <v>0</v>
      </c>
      <c r="T141" s="247"/>
      <c r="U141" s="248"/>
      <c r="V141" s="217"/>
      <c r="W141" s="217"/>
      <c r="X141" s="217"/>
      <c r="Y141" s="217"/>
      <c r="Z141" s="217"/>
      <c r="AA141" s="217"/>
    </row>
    <row r="142" spans="1:27" x14ac:dyDescent="0.3">
      <c r="A142">
        <f>IF(B142="Y",MAX($A$72:A141)+1,0)</f>
        <v>0</v>
      </c>
      <c r="B142" s="221"/>
      <c r="C142" s="243" t="s">
        <v>272</v>
      </c>
      <c r="D142" s="252" t="s">
        <v>273</v>
      </c>
      <c r="E142" s="241"/>
      <c r="F142" s="253">
        <v>0.40100000000000002</v>
      </c>
      <c r="G142" s="241"/>
      <c r="H142" s="241"/>
      <c r="I142" s="241"/>
      <c r="J142" s="241"/>
      <c r="K142" s="241"/>
      <c r="L142" s="241"/>
      <c r="M142" s="241"/>
      <c r="N142" s="241"/>
      <c r="O142" s="241"/>
      <c r="P142" s="241"/>
      <c r="Q142" s="241"/>
      <c r="R142" s="241"/>
      <c r="S142" s="246">
        <f t="shared" si="2"/>
        <v>5934.8</v>
      </c>
      <c r="T142" s="247"/>
      <c r="U142" s="248"/>
      <c r="V142" s="217"/>
      <c r="W142" s="217"/>
      <c r="X142" s="217"/>
      <c r="Y142" s="217"/>
      <c r="Z142" s="217"/>
      <c r="AA142" s="217"/>
    </row>
    <row r="143" spans="1:27" x14ac:dyDescent="0.3">
      <c r="A143">
        <f>IF(B143="Y",MAX($A$72:A142)+1,0)</f>
        <v>0</v>
      </c>
      <c r="B143" s="221"/>
      <c r="C143" s="243" t="s">
        <v>274</v>
      </c>
      <c r="D143" s="252" t="s">
        <v>275</v>
      </c>
      <c r="E143" s="241"/>
      <c r="F143" s="241"/>
      <c r="G143" s="253">
        <v>0.48199999999999998</v>
      </c>
      <c r="H143" s="241"/>
      <c r="I143" s="241"/>
      <c r="J143" s="241"/>
      <c r="K143" s="241"/>
      <c r="L143" s="241"/>
      <c r="M143" s="241"/>
      <c r="N143" s="241"/>
      <c r="O143" s="241"/>
      <c r="P143" s="241"/>
      <c r="Q143" s="241"/>
      <c r="R143" s="241"/>
      <c r="S143" s="246">
        <f t="shared" si="2"/>
        <v>325.34999999999997</v>
      </c>
      <c r="T143" s="247"/>
      <c r="U143" s="248"/>
      <c r="V143" s="217"/>
      <c r="W143" s="217"/>
      <c r="X143" s="217"/>
      <c r="Y143" s="217"/>
      <c r="Z143" s="217"/>
      <c r="AA143" s="217"/>
    </row>
    <row r="144" spans="1:27" x14ac:dyDescent="0.3">
      <c r="A144">
        <f>IF(B144="Y",MAX($A$72:A143)+1,0)</f>
        <v>0</v>
      </c>
      <c r="B144" s="221"/>
      <c r="C144" s="243" t="s">
        <v>276</v>
      </c>
      <c r="D144" s="252" t="s">
        <v>277</v>
      </c>
      <c r="E144" s="241"/>
      <c r="F144" s="241"/>
      <c r="G144" s="241"/>
      <c r="H144" s="241"/>
      <c r="I144" s="241"/>
      <c r="J144" s="241"/>
      <c r="K144" s="241"/>
      <c r="L144" s="241"/>
      <c r="M144" s="241"/>
      <c r="N144" s="241"/>
      <c r="O144" s="241"/>
      <c r="P144" s="241"/>
      <c r="Q144" s="241"/>
      <c r="R144" s="241"/>
      <c r="S144" s="246">
        <f t="shared" si="2"/>
        <v>0</v>
      </c>
      <c r="T144" s="247"/>
      <c r="U144" s="248"/>
      <c r="V144" s="217"/>
      <c r="W144" s="217"/>
      <c r="X144" s="217"/>
      <c r="Y144" s="217"/>
      <c r="Z144" s="217"/>
      <c r="AA144" s="217"/>
    </row>
    <row r="145" spans="1:27" x14ac:dyDescent="0.3">
      <c r="A145">
        <f>IF(B145="Y",MAX($A$72:A144)+1,0)</f>
        <v>0</v>
      </c>
      <c r="B145" s="221"/>
      <c r="C145" s="243" t="s">
        <v>278</v>
      </c>
      <c r="D145" s="252" t="s">
        <v>279</v>
      </c>
      <c r="E145" s="241"/>
      <c r="F145" s="241"/>
      <c r="G145" s="241"/>
      <c r="H145" s="241"/>
      <c r="I145" s="241"/>
      <c r="J145" s="241"/>
      <c r="K145" s="241"/>
      <c r="L145" s="241"/>
      <c r="M145" s="241"/>
      <c r="N145" s="241"/>
      <c r="O145" s="241"/>
      <c r="P145" s="241"/>
      <c r="Q145" s="241"/>
      <c r="R145" s="241"/>
      <c r="S145" s="246">
        <f t="shared" si="2"/>
        <v>0</v>
      </c>
      <c r="T145" s="247"/>
      <c r="U145" s="248"/>
      <c r="V145" s="217"/>
      <c r="W145" s="217"/>
      <c r="X145" s="217"/>
      <c r="Y145" s="217"/>
      <c r="Z145" s="217"/>
      <c r="AA145" s="217"/>
    </row>
    <row r="146" spans="1:27" x14ac:dyDescent="0.3">
      <c r="A146">
        <f>IF(B146="Y",MAX($A$72:A145)+1,0)</f>
        <v>0</v>
      </c>
      <c r="B146" s="221"/>
      <c r="C146" s="243" t="s">
        <v>280</v>
      </c>
      <c r="D146" s="252" t="s">
        <v>281</v>
      </c>
      <c r="E146" s="241"/>
      <c r="F146" s="241"/>
      <c r="G146" s="241"/>
      <c r="H146" s="241"/>
      <c r="I146" s="241"/>
      <c r="J146" s="251">
        <v>0.5</v>
      </c>
      <c r="K146" s="241"/>
      <c r="L146" s="251">
        <v>0.5</v>
      </c>
      <c r="M146" s="241"/>
      <c r="N146" s="241"/>
      <c r="O146" s="241"/>
      <c r="P146" s="241"/>
      <c r="Q146" s="241"/>
      <c r="R146" s="241"/>
      <c r="S146" s="246">
        <f t="shared" si="2"/>
        <v>3985</v>
      </c>
      <c r="T146" s="247"/>
      <c r="U146" s="248"/>
      <c r="V146" s="217"/>
      <c r="W146" s="217"/>
      <c r="X146" s="217"/>
      <c r="Y146" s="217"/>
      <c r="Z146" s="217"/>
      <c r="AA146" s="217"/>
    </row>
    <row r="147" spans="1:27" x14ac:dyDescent="0.3">
      <c r="A147">
        <f>IF(B147="Y",MAX($A$72:A146)+1,0)</f>
        <v>23</v>
      </c>
      <c r="B147" s="221" t="s">
        <v>446</v>
      </c>
      <c r="C147" s="243" t="s">
        <v>282</v>
      </c>
      <c r="D147" s="252" t="s">
        <v>281</v>
      </c>
      <c r="E147" s="241"/>
      <c r="F147" s="241"/>
      <c r="G147" s="241"/>
      <c r="H147" s="241"/>
      <c r="I147" s="241"/>
      <c r="J147" s="251">
        <v>0.5</v>
      </c>
      <c r="K147" s="241"/>
      <c r="L147" s="251">
        <v>0.5</v>
      </c>
      <c r="M147" s="241"/>
      <c r="N147" s="241"/>
      <c r="O147" s="241"/>
      <c r="P147" s="241"/>
      <c r="Q147" s="241"/>
      <c r="R147" s="241"/>
      <c r="S147" s="246">
        <f t="shared" si="2"/>
        <v>3985</v>
      </c>
      <c r="T147" s="247"/>
      <c r="U147" s="248"/>
      <c r="V147" s="217"/>
      <c r="W147" s="217"/>
      <c r="X147" s="217"/>
      <c r="Y147" s="217"/>
      <c r="Z147" s="217"/>
      <c r="AA147" s="217"/>
    </row>
    <row r="148" spans="1:27" x14ac:dyDescent="0.3">
      <c r="A148">
        <f>IF(B148="Y",MAX($A$72:A147)+1,0)</f>
        <v>0</v>
      </c>
      <c r="B148" s="221"/>
      <c r="C148" s="243" t="s">
        <v>283</v>
      </c>
      <c r="D148" s="252" t="s">
        <v>284</v>
      </c>
      <c r="E148" s="241"/>
      <c r="F148" s="251">
        <v>0.39</v>
      </c>
      <c r="G148" s="241"/>
      <c r="H148" s="241"/>
      <c r="I148" s="251">
        <v>0.61</v>
      </c>
      <c r="J148" s="241"/>
      <c r="K148" s="241"/>
      <c r="L148" s="241"/>
      <c r="M148" s="241"/>
      <c r="N148" s="241"/>
      <c r="O148" s="241"/>
      <c r="P148" s="241"/>
      <c r="Q148" s="241"/>
      <c r="R148" s="241"/>
      <c r="S148" s="246">
        <f t="shared" si="2"/>
        <v>13214</v>
      </c>
      <c r="T148" s="247"/>
      <c r="U148" s="248"/>
      <c r="V148" s="217"/>
      <c r="W148" s="217"/>
      <c r="X148" s="217"/>
      <c r="Y148" s="217"/>
      <c r="Z148" s="217"/>
      <c r="AA148" s="217"/>
    </row>
    <row r="149" spans="1:27" x14ac:dyDescent="0.3">
      <c r="A149">
        <f>IF(B149="Y",MAX($A$72:A148)+1,0)</f>
        <v>0</v>
      </c>
      <c r="B149" s="221"/>
      <c r="C149" s="243" t="s">
        <v>285</v>
      </c>
      <c r="D149" s="252" t="s">
        <v>284</v>
      </c>
      <c r="E149" s="241"/>
      <c r="F149" s="251">
        <v>0.46</v>
      </c>
      <c r="G149" s="241"/>
      <c r="H149" s="241"/>
      <c r="I149" s="251">
        <v>0.54</v>
      </c>
      <c r="J149" s="241"/>
      <c r="K149" s="241"/>
      <c r="L149" s="241"/>
      <c r="M149" s="241"/>
      <c r="N149" s="241"/>
      <c r="O149" s="241"/>
      <c r="P149" s="241"/>
      <c r="Q149" s="241"/>
      <c r="R149" s="241"/>
      <c r="S149" s="246">
        <f t="shared" si="2"/>
        <v>13396</v>
      </c>
      <c r="T149" s="247"/>
      <c r="U149" s="248"/>
      <c r="V149" s="217"/>
      <c r="W149" s="217"/>
      <c r="X149" s="217"/>
      <c r="Y149" s="217"/>
      <c r="Z149" s="217"/>
      <c r="AA149" s="217"/>
    </row>
    <row r="150" spans="1:27" x14ac:dyDescent="0.3">
      <c r="A150">
        <f>IF(B150="Y",MAX($A$72:A149)+1,0)</f>
        <v>0</v>
      </c>
      <c r="B150" s="221"/>
      <c r="C150" s="243" t="s">
        <v>286</v>
      </c>
      <c r="D150" s="252" t="s">
        <v>287</v>
      </c>
      <c r="E150" s="241"/>
      <c r="F150" s="241"/>
      <c r="G150" s="241"/>
      <c r="H150" s="241"/>
      <c r="I150" s="241"/>
      <c r="J150" s="241"/>
      <c r="K150" s="241"/>
      <c r="L150" s="241"/>
      <c r="M150" s="241"/>
      <c r="N150" s="251">
        <v>0.56000000000000005</v>
      </c>
      <c r="O150" s="241"/>
      <c r="P150" s="241"/>
      <c r="Q150" s="241"/>
      <c r="R150" s="241"/>
      <c r="S150" s="246">
        <f t="shared" si="2"/>
        <v>4944.8</v>
      </c>
      <c r="T150" s="247"/>
      <c r="U150" s="248"/>
      <c r="V150" s="217"/>
      <c r="W150" s="217"/>
      <c r="X150" s="217"/>
      <c r="Y150" s="217"/>
      <c r="Z150" s="217"/>
      <c r="AA150" s="217"/>
    </row>
    <row r="151" spans="1:27" x14ac:dyDescent="0.3">
      <c r="A151">
        <f>IF(B151="Y",MAX($A$72:A150)+1,0)</f>
        <v>0</v>
      </c>
      <c r="B151" s="221"/>
      <c r="C151" s="342" t="s">
        <v>288</v>
      </c>
      <c r="D151" s="257" t="s">
        <v>287</v>
      </c>
      <c r="E151" s="258"/>
      <c r="F151" s="258"/>
      <c r="G151" s="258"/>
      <c r="H151" s="258"/>
      <c r="I151" s="258"/>
      <c r="J151" s="258"/>
      <c r="K151" s="258"/>
      <c r="L151" s="258"/>
      <c r="M151" s="258"/>
      <c r="N151" s="259">
        <v>0.56000000000000005</v>
      </c>
      <c r="O151" s="258"/>
      <c r="P151" s="258"/>
      <c r="Q151" s="258"/>
      <c r="R151" s="258"/>
      <c r="S151" s="246">
        <f t="shared" si="2"/>
        <v>4944.8</v>
      </c>
      <c r="T151" s="247"/>
      <c r="U151" s="248"/>
      <c r="V151" s="217"/>
      <c r="W151" s="217"/>
      <c r="X151" s="217"/>
      <c r="Y151" s="217"/>
      <c r="Z151" s="217"/>
      <c r="AA151" s="217"/>
    </row>
    <row r="152" spans="1:27" x14ac:dyDescent="0.3">
      <c r="A152">
        <f>IF(B152="Y",MAX($A$72:A151)+1,0)</f>
        <v>24</v>
      </c>
      <c r="B152" s="221" t="s">
        <v>446</v>
      </c>
      <c r="C152" s="431" t="s">
        <v>725</v>
      </c>
      <c r="D152" s="430" t="s">
        <v>405</v>
      </c>
      <c r="E152" s="258"/>
      <c r="F152" s="258"/>
      <c r="G152" s="258"/>
      <c r="H152" s="258"/>
      <c r="I152" s="258"/>
      <c r="J152" s="258"/>
      <c r="K152" s="258"/>
      <c r="L152" s="258"/>
      <c r="M152" s="258"/>
      <c r="N152" s="258"/>
      <c r="O152" s="258"/>
      <c r="P152" s="258"/>
      <c r="Q152" s="258"/>
      <c r="R152" s="258"/>
      <c r="S152" s="246">
        <f t="shared" si="2"/>
        <v>0</v>
      </c>
      <c r="T152" s="247"/>
      <c r="U152" s="248"/>
      <c r="V152" s="217"/>
      <c r="W152" s="217"/>
      <c r="X152" s="217"/>
      <c r="Y152" s="217"/>
      <c r="Z152" s="217"/>
      <c r="AA152" s="217"/>
    </row>
    <row r="153" spans="1:27" x14ac:dyDescent="0.3">
      <c r="B153" s="217"/>
      <c r="C153" s="260" t="s">
        <v>336</v>
      </c>
      <c r="D153" s="221" t="s">
        <v>363</v>
      </c>
      <c r="E153" s="261">
        <f t="array" ref="E153">SUMPRODUCT(E$72:E$152,TRANSPOSE('Default Values'!$C102:$CE102))</f>
        <v>0</v>
      </c>
      <c r="F153" s="261">
        <f t="array" ref="F153">SUMPRODUCT(F$72:F$152,TRANSPOSE('Default Values'!$C102:$CE102))</f>
        <v>0</v>
      </c>
      <c r="G153" s="261">
        <f t="array" ref="G153">SUMPRODUCT(G$72:G$152,TRANSPOSE('Default Values'!$C102:$CE102))</f>
        <v>0</v>
      </c>
      <c r="H153" s="261">
        <f t="array" ref="H153">SUMPRODUCT(H$72:H$152,TRANSPOSE('Default Values'!$C102:$CE102))</f>
        <v>0</v>
      </c>
      <c r="I153" s="261">
        <f t="array" ref="I153">SUMPRODUCT(I$72:I$152,TRANSPOSE('Default Values'!$C102:$CE102))</f>
        <v>0</v>
      </c>
      <c r="J153" s="261">
        <f t="array" ref="J153">SUMPRODUCT(J$72:J$152,TRANSPOSE('Default Values'!$C102:$CE102))</f>
        <v>0</v>
      </c>
      <c r="K153" s="261">
        <f t="array" ref="K153">SUMPRODUCT(K$72:K$152,TRANSPOSE('Default Values'!$C102:$CE102))</f>
        <v>0</v>
      </c>
      <c r="L153" s="261">
        <f t="array" ref="L153">SUMPRODUCT(L$72:L$152,TRANSPOSE('Default Values'!$C102:$CE102))</f>
        <v>0</v>
      </c>
      <c r="M153" s="261">
        <f t="array" ref="M153">SUMPRODUCT(M$72:M$152,TRANSPOSE('Default Values'!$C102:$CE102))</f>
        <v>0</v>
      </c>
      <c r="N153" s="261">
        <f t="array" ref="N153">SUMPRODUCT(N$72:N$152,TRANSPOSE('Default Values'!$C102:$CE102))</f>
        <v>0</v>
      </c>
      <c r="O153" s="261">
        <f t="array" ref="O153">SUMPRODUCT(O$72:O$152,TRANSPOSE('Default Values'!$C102:$CE102))</f>
        <v>0</v>
      </c>
      <c r="P153" s="261">
        <f t="array" ref="P153">SUMPRODUCT(P$72:P$152,TRANSPOSE('Default Values'!$C102:$CE102))</f>
        <v>0</v>
      </c>
      <c r="Q153" s="261">
        <f t="array" ref="Q153">SUMPRODUCT(Q$72:Q$152,TRANSPOSE('Default Values'!$C102:$CE102))</f>
        <v>0</v>
      </c>
      <c r="R153" s="261">
        <f t="array" ref="R153">SUMPRODUCT(R$72:R$152,TRANSPOSE('Default Values'!$C102:$CE102))</f>
        <v>0</v>
      </c>
      <c r="S153" s="246">
        <f t="shared" si="2"/>
        <v>0</v>
      </c>
      <c r="T153" s="217"/>
      <c r="U153" s="217"/>
      <c r="V153" s="217"/>
      <c r="W153" s="217"/>
      <c r="X153" s="217"/>
      <c r="Y153" s="217"/>
      <c r="Z153" s="217"/>
      <c r="AA153" s="217"/>
    </row>
    <row r="154" spans="1:27" x14ac:dyDescent="0.3">
      <c r="B154" s="217"/>
      <c r="C154" s="260" t="s">
        <v>337</v>
      </c>
      <c r="D154" s="221" t="s">
        <v>363</v>
      </c>
      <c r="E154" s="261">
        <f t="array" ref="E154">SUMPRODUCT(E$72:E$152,TRANSPOSE('Default Values'!$C103:$CE103))</f>
        <v>0</v>
      </c>
      <c r="F154" s="261">
        <f t="array" ref="F154">SUMPRODUCT(F$72:F$152,TRANSPOSE('Default Values'!$C103:$CE103))</f>
        <v>0</v>
      </c>
      <c r="G154" s="261">
        <f t="array" ref="G154">SUMPRODUCT(G$72:G$152,TRANSPOSE('Default Values'!$C103:$CE103))</f>
        <v>0</v>
      </c>
      <c r="H154" s="261">
        <f t="array" ref="H154">SUMPRODUCT(H$72:H$152,TRANSPOSE('Default Values'!$C103:$CE103))</f>
        <v>0</v>
      </c>
      <c r="I154" s="261">
        <f t="array" ref="I154">SUMPRODUCT(I$72:I$152,TRANSPOSE('Default Values'!$C103:$CE103))</f>
        <v>0</v>
      </c>
      <c r="J154" s="261">
        <f t="array" ref="J154">SUMPRODUCT(J$72:J$152,TRANSPOSE('Default Values'!$C103:$CE103))</f>
        <v>0.26400000000000001</v>
      </c>
      <c r="K154" s="261">
        <f t="array" ref="K154">SUMPRODUCT(K$72:K$152,TRANSPOSE('Default Values'!$C103:$CE103))</f>
        <v>2.4E-2</v>
      </c>
      <c r="L154" s="261">
        <f t="array" ref="L154">SUMPRODUCT(L$72:L$152,TRANSPOSE('Default Values'!$C103:$CE103))</f>
        <v>0.312</v>
      </c>
      <c r="M154" s="261">
        <f t="array" ref="M154">SUMPRODUCT(M$72:M$152,TRANSPOSE('Default Values'!$C103:$CE103))</f>
        <v>0</v>
      </c>
      <c r="N154" s="261">
        <f t="array" ref="N154">SUMPRODUCT(N$72:N$152,TRANSPOSE('Default Values'!$C103:$CE103))</f>
        <v>0</v>
      </c>
      <c r="O154" s="261">
        <f t="array" ref="O154">SUMPRODUCT(O$72:O$152,TRANSPOSE('Default Values'!$C103:$CE103))</f>
        <v>0</v>
      </c>
      <c r="P154" s="261">
        <f t="array" ref="P154">SUMPRODUCT(P$72:P$152,TRANSPOSE('Default Values'!$C103:$CE103))</f>
        <v>0</v>
      </c>
      <c r="Q154" s="261">
        <f t="array" ref="Q154">SUMPRODUCT(Q$72:Q$152,TRANSPOSE('Default Values'!$C103:$CE103))</f>
        <v>0</v>
      </c>
      <c r="R154" s="261">
        <f t="array" ref="R154">SUMPRODUCT(R$72:R$152,TRANSPOSE('Default Values'!$C103:$CE103))</f>
        <v>0</v>
      </c>
      <c r="S154" s="246">
        <f t="shared" si="2"/>
        <v>2352.96</v>
      </c>
      <c r="T154" s="217"/>
      <c r="U154" s="217"/>
      <c r="V154" s="217"/>
      <c r="W154" s="217"/>
      <c r="X154" s="217"/>
      <c r="Y154" s="217"/>
      <c r="Z154" s="217"/>
      <c r="AA154" s="217"/>
    </row>
    <row r="155" spans="1:27" x14ac:dyDescent="0.3">
      <c r="B155" s="217"/>
      <c r="C155" s="260" t="s">
        <v>529</v>
      </c>
      <c r="D155" s="221" t="s">
        <v>363</v>
      </c>
      <c r="E155" s="261">
        <f t="array" ref="E155">SUMPRODUCT(E$72:E$152,TRANSPOSE('Default Values'!$C104:$CE104))</f>
        <v>0</v>
      </c>
      <c r="F155" s="261">
        <f t="array" ref="F155">SUMPRODUCT(F$72:F$152,TRANSPOSE('Default Values'!$C104:$CE104))</f>
        <v>0</v>
      </c>
      <c r="G155" s="261">
        <f t="array" ref="G155">SUMPRODUCT(G$72:G$152,TRANSPOSE('Default Values'!$C104:$CE104))</f>
        <v>0</v>
      </c>
      <c r="H155" s="261">
        <f t="array" ref="H155">SUMPRODUCT(H$72:H$152,TRANSPOSE('Default Values'!$C104:$CE104))</f>
        <v>0</v>
      </c>
      <c r="I155" s="261">
        <f t="array" ref="I155">SUMPRODUCT(I$72:I$152,TRANSPOSE('Default Values'!$C104:$CE104))</f>
        <v>0</v>
      </c>
      <c r="J155" s="261">
        <f t="array" ref="J155">SUMPRODUCT(J$72:J$152,TRANSPOSE('Default Values'!$C104:$CE104))</f>
        <v>0</v>
      </c>
      <c r="K155" s="261">
        <f t="array" ref="K155">SUMPRODUCT(K$72:K$152,TRANSPOSE('Default Values'!$C104:$CE104))</f>
        <v>0</v>
      </c>
      <c r="L155" s="261">
        <f t="array" ref="L155">SUMPRODUCT(L$72:L$152,TRANSPOSE('Default Values'!$C104:$CE104))</f>
        <v>0</v>
      </c>
      <c r="M155" s="261">
        <f t="array" ref="M155">SUMPRODUCT(M$72:M$152,TRANSPOSE('Default Values'!$C104:$CE104))</f>
        <v>0</v>
      </c>
      <c r="N155" s="261">
        <f t="array" ref="N155">SUMPRODUCT(N$72:N$152,TRANSPOSE('Default Values'!$C104:$CE104))</f>
        <v>0</v>
      </c>
      <c r="O155" s="261">
        <f t="array" ref="O155">SUMPRODUCT(O$72:O$152,TRANSPOSE('Default Values'!$C104:$CE104))</f>
        <v>0</v>
      </c>
      <c r="P155" s="261">
        <f t="array" ref="P155">SUMPRODUCT(P$72:P$152,TRANSPOSE('Default Values'!$C104:$CE104))</f>
        <v>0</v>
      </c>
      <c r="Q155" s="261">
        <f t="array" ref="Q155">SUMPRODUCT(Q$72:Q$152,TRANSPOSE('Default Values'!$C104:$CE104))</f>
        <v>0</v>
      </c>
      <c r="R155" s="261">
        <f t="array" ref="R155">SUMPRODUCT(R$72:R$152,TRANSPOSE('Default Values'!$C104:$CE104))</f>
        <v>0</v>
      </c>
      <c r="S155" s="246">
        <f t="shared" si="2"/>
        <v>0</v>
      </c>
      <c r="T155" s="217"/>
      <c r="U155" s="217"/>
      <c r="V155" s="217"/>
      <c r="W155" s="217"/>
      <c r="X155" s="217"/>
      <c r="Y155" s="217"/>
      <c r="Z155" s="217"/>
      <c r="AA155" s="217"/>
    </row>
    <row r="156" spans="1:27" x14ac:dyDescent="0.3">
      <c r="B156" s="217"/>
      <c r="C156" s="260" t="s">
        <v>530</v>
      </c>
      <c r="D156" s="221" t="s">
        <v>363</v>
      </c>
      <c r="E156" s="261">
        <f t="array" ref="E156">SUMPRODUCT(E$72:E$152,TRANSPOSE('Default Values'!$C105:$CE105))</f>
        <v>0</v>
      </c>
      <c r="F156" s="261">
        <f t="array" ref="F156">SUMPRODUCT(F$72:F$152,TRANSPOSE('Default Values'!$C105:$CE105))</f>
        <v>0</v>
      </c>
      <c r="G156" s="261">
        <f t="array" ref="G156">SUMPRODUCT(G$72:G$152,TRANSPOSE('Default Values'!$C105:$CE105))</f>
        <v>0</v>
      </c>
      <c r="H156" s="261">
        <f t="array" ref="H156">SUMPRODUCT(H$72:H$152,TRANSPOSE('Default Values'!$C105:$CE105))</f>
        <v>0</v>
      </c>
      <c r="I156" s="261">
        <f t="array" ref="I156">SUMPRODUCT(I$72:I$152,TRANSPOSE('Default Values'!$C105:$CE105))</f>
        <v>0</v>
      </c>
      <c r="J156" s="261">
        <f t="array" ref="J156">SUMPRODUCT(J$72:J$152,TRANSPOSE('Default Values'!$C105:$CE105))</f>
        <v>0</v>
      </c>
      <c r="K156" s="261">
        <f t="array" ref="K156">SUMPRODUCT(K$72:K$152,TRANSPOSE('Default Values'!$C105:$CE105))</f>
        <v>0</v>
      </c>
      <c r="L156" s="261">
        <f t="array" ref="L156">SUMPRODUCT(L$72:L$152,TRANSPOSE('Default Values'!$C105:$CE105))</f>
        <v>0</v>
      </c>
      <c r="M156" s="261">
        <f t="array" ref="M156">SUMPRODUCT(M$72:M$152,TRANSPOSE('Default Values'!$C105:$CE105))</f>
        <v>0</v>
      </c>
      <c r="N156" s="261">
        <f t="array" ref="N156">SUMPRODUCT(N$72:N$152,TRANSPOSE('Default Values'!$C105:$CE105))</f>
        <v>0</v>
      </c>
      <c r="O156" s="261">
        <f t="array" ref="O156">SUMPRODUCT(O$72:O$152,TRANSPOSE('Default Values'!$C105:$CE105))</f>
        <v>0</v>
      </c>
      <c r="P156" s="261">
        <f t="array" ref="P156">SUMPRODUCT(P$72:P$152,TRANSPOSE('Default Values'!$C105:$CE105))</f>
        <v>0</v>
      </c>
      <c r="Q156" s="261">
        <f t="array" ref="Q156">SUMPRODUCT(Q$72:Q$152,TRANSPOSE('Default Values'!$C105:$CE105))</f>
        <v>0</v>
      </c>
      <c r="R156" s="261">
        <f t="array" ref="R156">SUMPRODUCT(R$72:R$152,TRANSPOSE('Default Values'!$C105:$CE105))</f>
        <v>0</v>
      </c>
      <c r="S156" s="246">
        <f t="shared" si="2"/>
        <v>0</v>
      </c>
      <c r="T156" s="217"/>
      <c r="U156" s="217"/>
      <c r="V156" s="217"/>
      <c r="W156" s="217"/>
      <c r="X156" s="217"/>
      <c r="Y156" s="217"/>
      <c r="Z156" s="217"/>
      <c r="AA156" s="217"/>
    </row>
    <row r="157" spans="1:27" x14ac:dyDescent="0.3">
      <c r="B157" s="217"/>
      <c r="C157" s="260" t="s">
        <v>531</v>
      </c>
      <c r="D157" s="221" t="s">
        <v>363</v>
      </c>
      <c r="E157" s="261">
        <f t="array" ref="E157">SUMPRODUCT(E$72:E$152,TRANSPOSE('Default Values'!$C106:$CE106))</f>
        <v>0</v>
      </c>
      <c r="F157" s="261">
        <f t="array" ref="F157">SUMPRODUCT(F$72:F$152,TRANSPOSE('Default Values'!$C106:$CE106))</f>
        <v>0</v>
      </c>
      <c r="G157" s="261">
        <f t="array" ref="G157">SUMPRODUCT(G$72:G$152,TRANSPOSE('Default Values'!$C106:$CE106))</f>
        <v>0</v>
      </c>
      <c r="H157" s="261">
        <f t="array" ref="H157">SUMPRODUCT(H$72:H$152,TRANSPOSE('Default Values'!$C106:$CE106))</f>
        <v>0</v>
      </c>
      <c r="I157" s="261">
        <f t="array" ref="I157">SUMPRODUCT(I$72:I$152,TRANSPOSE('Default Values'!$C106:$CE106))</f>
        <v>0</v>
      </c>
      <c r="J157" s="261">
        <f t="array" ref="J157">SUMPRODUCT(J$72:J$152,TRANSPOSE('Default Values'!$C106:$CE106))</f>
        <v>0</v>
      </c>
      <c r="K157" s="261">
        <f t="array" ref="K157">SUMPRODUCT(K$72:K$152,TRANSPOSE('Default Values'!$C106:$CE106))</f>
        <v>0</v>
      </c>
      <c r="L157" s="261">
        <f t="array" ref="L157">SUMPRODUCT(L$72:L$152,TRANSPOSE('Default Values'!$C106:$CE106))</f>
        <v>0</v>
      </c>
      <c r="M157" s="261">
        <f t="array" ref="M157">SUMPRODUCT(M$72:M$152,TRANSPOSE('Default Values'!$C106:$CE106))</f>
        <v>0</v>
      </c>
      <c r="N157" s="261">
        <f t="array" ref="N157">SUMPRODUCT(N$72:N$152,TRANSPOSE('Default Values'!$C106:$CE106))</f>
        <v>0</v>
      </c>
      <c r="O157" s="261">
        <f t="array" ref="O157">SUMPRODUCT(O$72:O$152,TRANSPOSE('Default Values'!$C106:$CE106))</f>
        <v>0</v>
      </c>
      <c r="P157" s="261">
        <f t="array" ref="P157">SUMPRODUCT(P$72:P$152,TRANSPOSE('Default Values'!$C106:$CE106))</f>
        <v>0</v>
      </c>
      <c r="Q157" s="261">
        <f t="array" ref="Q157">SUMPRODUCT(Q$72:Q$152,TRANSPOSE('Default Values'!$C106:$CE106))</f>
        <v>0</v>
      </c>
      <c r="R157" s="261">
        <f t="array" ref="R157">SUMPRODUCT(R$72:R$152,TRANSPOSE('Default Values'!$C106:$CE106))</f>
        <v>0</v>
      </c>
      <c r="S157" s="246">
        <f t="shared" si="2"/>
        <v>0</v>
      </c>
      <c r="T157" s="217"/>
      <c r="U157" s="217"/>
      <c r="V157" s="217"/>
      <c r="W157" s="217"/>
      <c r="X157" s="217"/>
      <c r="Y157" s="217"/>
      <c r="Z157" s="217"/>
      <c r="AA157" s="217"/>
    </row>
    <row r="158" spans="1:27" x14ac:dyDescent="0.3">
      <c r="B158" s="217"/>
      <c r="C158" s="260" t="s">
        <v>532</v>
      </c>
      <c r="D158" s="221" t="s">
        <v>363</v>
      </c>
      <c r="E158" s="261">
        <f t="array" ref="E158">SUMPRODUCT(E$72:E$152,TRANSPOSE('Default Values'!$C107:$CE107))</f>
        <v>0</v>
      </c>
      <c r="F158" s="261">
        <f t="array" ref="F158">SUMPRODUCT(F$72:F$152,TRANSPOSE('Default Values'!$C107:$CE107))</f>
        <v>0</v>
      </c>
      <c r="G158" s="261">
        <f t="array" ref="G158">SUMPRODUCT(G$72:G$152,TRANSPOSE('Default Values'!$C107:$CE107))</f>
        <v>0</v>
      </c>
      <c r="H158" s="261">
        <f t="array" ref="H158">SUMPRODUCT(H$72:H$152,TRANSPOSE('Default Values'!$C107:$CE107))</f>
        <v>0</v>
      </c>
      <c r="I158" s="261">
        <f t="array" ref="I158">SUMPRODUCT(I$72:I$152,TRANSPOSE('Default Values'!$C107:$CE107))</f>
        <v>0</v>
      </c>
      <c r="J158" s="261">
        <f t="array" ref="J158">SUMPRODUCT(J$72:J$152,TRANSPOSE('Default Values'!$C107:$CE107))</f>
        <v>0.26400000000000001</v>
      </c>
      <c r="K158" s="261">
        <f t="array" ref="K158">SUMPRODUCT(K$72:K$152,TRANSPOSE('Default Values'!$C107:$CE107))</f>
        <v>2.4E-2</v>
      </c>
      <c r="L158" s="261">
        <f t="array" ref="L158">SUMPRODUCT(L$72:L$152,TRANSPOSE('Default Values'!$C107:$CE107))</f>
        <v>0.312</v>
      </c>
      <c r="M158" s="261">
        <f t="array" ref="M158">SUMPRODUCT(M$72:M$152,TRANSPOSE('Default Values'!$C107:$CE107))</f>
        <v>0</v>
      </c>
      <c r="N158" s="261">
        <f t="array" ref="N158">SUMPRODUCT(N$72:N$152,TRANSPOSE('Default Values'!$C107:$CE107))</f>
        <v>0</v>
      </c>
      <c r="O158" s="261">
        <f t="array" ref="O158">SUMPRODUCT(O$72:O$152,TRANSPOSE('Default Values'!$C107:$CE107))</f>
        <v>0</v>
      </c>
      <c r="P158" s="261">
        <f t="array" ref="P158">SUMPRODUCT(P$72:P$152,TRANSPOSE('Default Values'!$C107:$CE107))</f>
        <v>0</v>
      </c>
      <c r="Q158" s="261">
        <f t="array" ref="Q158">SUMPRODUCT(Q$72:Q$152,TRANSPOSE('Default Values'!$C107:$CE107))</f>
        <v>0</v>
      </c>
      <c r="R158" s="261">
        <f t="array" ref="R158">SUMPRODUCT(R$72:R$152,TRANSPOSE('Default Values'!$C107:$CE107))</f>
        <v>0</v>
      </c>
      <c r="S158" s="246">
        <f t="shared" si="2"/>
        <v>2352.96</v>
      </c>
      <c r="T158" s="217"/>
      <c r="U158" s="217"/>
      <c r="V158" s="217"/>
      <c r="W158" s="217"/>
      <c r="X158" s="217"/>
      <c r="Y158" s="217"/>
      <c r="Z158" s="217"/>
      <c r="AA158" s="217"/>
    </row>
    <row r="159" spans="1:27" x14ac:dyDescent="0.3">
      <c r="B159" s="217"/>
      <c r="C159" s="260" t="s">
        <v>430</v>
      </c>
      <c r="D159" s="221" t="s">
        <v>363</v>
      </c>
      <c r="E159" s="261">
        <f t="array" ref="E159">SUMPRODUCT(E$72:E$152,TRANSPOSE('Default Values'!$C108:$CE108))</f>
        <v>0</v>
      </c>
      <c r="F159" s="261">
        <f t="array" ref="F159">SUMPRODUCT(F$72:F$152,TRANSPOSE('Default Values'!$C108:$CE108))</f>
        <v>0</v>
      </c>
      <c r="G159" s="261">
        <f t="array" ref="G159">SUMPRODUCT(G$72:G$152,TRANSPOSE('Default Values'!$C108:$CE108))</f>
        <v>0</v>
      </c>
      <c r="H159" s="261">
        <f t="array" ref="H159">SUMPRODUCT(H$72:H$152,TRANSPOSE('Default Values'!$C108:$CE108))</f>
        <v>0</v>
      </c>
      <c r="I159" s="261">
        <f t="array" ref="I159">SUMPRODUCT(I$72:I$152,TRANSPOSE('Default Values'!$C108:$CE108))</f>
        <v>0</v>
      </c>
      <c r="J159" s="261">
        <f t="array" ref="J159">SUMPRODUCT(J$72:J$152,TRANSPOSE('Default Values'!$C108:$CE108))</f>
        <v>0</v>
      </c>
      <c r="K159" s="261">
        <f t="array" ref="K159">SUMPRODUCT(K$72:K$152,TRANSPOSE('Default Values'!$C108:$CE108))</f>
        <v>0</v>
      </c>
      <c r="L159" s="261">
        <f t="array" ref="L159">SUMPRODUCT(L$72:L$152,TRANSPOSE('Default Values'!$C108:$CE108))</f>
        <v>0</v>
      </c>
      <c r="M159" s="261">
        <f t="array" ref="M159">SUMPRODUCT(M$72:M$152,TRANSPOSE('Default Values'!$C108:$CE108))</f>
        <v>0</v>
      </c>
      <c r="N159" s="261">
        <f t="array" ref="N159">SUMPRODUCT(N$72:N$152,TRANSPOSE('Default Values'!$C108:$CE108))</f>
        <v>0</v>
      </c>
      <c r="O159" s="261">
        <f t="array" ref="O159">SUMPRODUCT(O$72:O$152,TRANSPOSE('Default Values'!$C108:$CE108))</f>
        <v>0</v>
      </c>
      <c r="P159" s="261">
        <f t="array" ref="P159">SUMPRODUCT(P$72:P$152,TRANSPOSE('Default Values'!$C108:$CE108))</f>
        <v>0</v>
      </c>
      <c r="Q159" s="261">
        <f t="array" ref="Q159">SUMPRODUCT(Q$72:Q$152,TRANSPOSE('Default Values'!$C108:$CE108))</f>
        <v>0</v>
      </c>
      <c r="R159" s="261">
        <f t="array" ref="R159">SUMPRODUCT(R$72:R$152,TRANSPOSE('Default Values'!$C108:$CE108))</f>
        <v>0</v>
      </c>
      <c r="S159" s="246">
        <f t="shared" si="2"/>
        <v>0</v>
      </c>
      <c r="T159" s="217"/>
      <c r="U159" s="217"/>
      <c r="V159" s="217"/>
      <c r="W159" s="217"/>
      <c r="X159" s="217"/>
      <c r="Y159" s="217"/>
      <c r="Z159" s="217"/>
      <c r="AA159" s="217"/>
    </row>
    <row r="160" spans="1:27" x14ac:dyDescent="0.3">
      <c r="B160" s="217"/>
      <c r="C160" s="260" t="s">
        <v>338</v>
      </c>
      <c r="D160" s="221" t="s">
        <v>363</v>
      </c>
      <c r="E160" s="261">
        <f t="array" ref="E160">SUMPRODUCT(E$72:E$152,TRANSPOSE('Default Values'!$C109:$CE109))</f>
        <v>0</v>
      </c>
      <c r="F160" s="261">
        <f t="array" ref="F160">SUMPRODUCT(F$72:F$152,TRANSPOSE('Default Values'!$C109:$CE109))</f>
        <v>0</v>
      </c>
      <c r="G160" s="261">
        <f t="array" ref="G160">SUMPRODUCT(G$72:G$152,TRANSPOSE('Default Values'!$C109:$CE109))</f>
        <v>0</v>
      </c>
      <c r="H160" s="261">
        <f t="array" ref="H160">SUMPRODUCT(H$72:H$152,TRANSPOSE('Default Values'!$C109:$CE109))</f>
        <v>0</v>
      </c>
      <c r="I160" s="261">
        <f t="array" ref="I160">SUMPRODUCT(I$72:I$152,TRANSPOSE('Default Values'!$C109:$CE109))</f>
        <v>0</v>
      </c>
      <c r="J160" s="261">
        <f t="array" ref="J160">SUMPRODUCT(J$72:J$152,TRANSPOSE('Default Values'!$C109:$CE109))</f>
        <v>0.26400000000000001</v>
      </c>
      <c r="K160" s="261">
        <f t="array" ref="K160">SUMPRODUCT(K$72:K$152,TRANSPOSE('Default Values'!$C109:$CE109))</f>
        <v>2.4E-2</v>
      </c>
      <c r="L160" s="261">
        <f t="array" ref="L160">SUMPRODUCT(L$72:L$152,TRANSPOSE('Default Values'!$C109:$CE109))</f>
        <v>0.312</v>
      </c>
      <c r="M160" s="261">
        <f t="array" ref="M160">SUMPRODUCT(M$72:M$152,TRANSPOSE('Default Values'!$C109:$CE109))</f>
        <v>0</v>
      </c>
      <c r="N160" s="261">
        <f t="array" ref="N160">SUMPRODUCT(N$72:N$152,TRANSPOSE('Default Values'!$C109:$CE109))</f>
        <v>0</v>
      </c>
      <c r="O160" s="261">
        <f t="array" ref="O160">SUMPRODUCT(O$72:O$152,TRANSPOSE('Default Values'!$C109:$CE109))</f>
        <v>0</v>
      </c>
      <c r="P160" s="261">
        <f t="array" ref="P160">SUMPRODUCT(P$72:P$152,TRANSPOSE('Default Values'!$C109:$CE109))</f>
        <v>0</v>
      </c>
      <c r="Q160" s="261">
        <f t="array" ref="Q160">SUMPRODUCT(Q$72:Q$152,TRANSPOSE('Default Values'!$C109:$CE109))</f>
        <v>0</v>
      </c>
      <c r="R160" s="261">
        <f t="array" ref="R160">SUMPRODUCT(R$72:R$152,TRANSPOSE('Default Values'!$C109:$CE109))</f>
        <v>0</v>
      </c>
      <c r="S160" s="246">
        <f t="shared" si="2"/>
        <v>2352.96</v>
      </c>
      <c r="T160" s="217"/>
      <c r="U160" s="217"/>
      <c r="V160" s="217"/>
      <c r="W160" s="217"/>
      <c r="X160" s="217"/>
      <c r="Y160" s="217"/>
      <c r="Z160" s="217"/>
      <c r="AA160" s="217"/>
    </row>
    <row r="161" spans="2:27" x14ac:dyDescent="0.3">
      <c r="B161" s="217"/>
      <c r="C161" s="260" t="s">
        <v>566</v>
      </c>
      <c r="D161" s="221" t="s">
        <v>363</v>
      </c>
      <c r="E161" s="261">
        <f t="array" ref="E161">SUMPRODUCT(E$72:E$152,TRANSPOSE('Default Values'!$C110:$CE110))</f>
        <v>0</v>
      </c>
      <c r="F161" s="261">
        <f t="array" ref="F161">SUMPRODUCT(F$72:F$152,TRANSPOSE('Default Values'!$C110:$CE110))</f>
        <v>0</v>
      </c>
      <c r="G161" s="261">
        <f t="array" ref="G161">SUMPRODUCT(G$72:G$152,TRANSPOSE('Default Values'!$C110:$CE110))</f>
        <v>0</v>
      </c>
      <c r="H161" s="261">
        <f t="array" ref="H161">SUMPRODUCT(H$72:H$152,TRANSPOSE('Default Values'!$C110:$CE110))</f>
        <v>0</v>
      </c>
      <c r="I161" s="261">
        <f t="array" ref="I161">SUMPRODUCT(I$72:I$152,TRANSPOSE('Default Values'!$C110:$CE110))</f>
        <v>0</v>
      </c>
      <c r="J161" s="261">
        <f t="array" ref="J161">SUMPRODUCT(J$72:J$152,TRANSPOSE('Default Values'!$C110:$CE110))</f>
        <v>0.26400000000000001</v>
      </c>
      <c r="K161" s="261">
        <f t="array" ref="K161">SUMPRODUCT(K$72:K$152,TRANSPOSE('Default Values'!$C110:$CE110))</f>
        <v>2.4E-2</v>
      </c>
      <c r="L161" s="261">
        <f t="array" ref="L161">SUMPRODUCT(L$72:L$152,TRANSPOSE('Default Values'!$C110:$CE110))</f>
        <v>0.312</v>
      </c>
      <c r="M161" s="261">
        <f t="array" ref="M161">SUMPRODUCT(M$72:M$152,TRANSPOSE('Default Values'!$C110:$CE110))</f>
        <v>0</v>
      </c>
      <c r="N161" s="261">
        <f t="array" ref="N161">SUMPRODUCT(N$72:N$152,TRANSPOSE('Default Values'!$C110:$CE110))</f>
        <v>0</v>
      </c>
      <c r="O161" s="261">
        <f t="array" ref="O161">SUMPRODUCT(O$72:O$152,TRANSPOSE('Default Values'!$C110:$CE110))</f>
        <v>0</v>
      </c>
      <c r="P161" s="261">
        <f t="array" ref="P161">SUMPRODUCT(P$72:P$152,TRANSPOSE('Default Values'!$C110:$CE110))</f>
        <v>0</v>
      </c>
      <c r="Q161" s="261">
        <f t="array" ref="Q161">SUMPRODUCT(Q$72:Q$152,TRANSPOSE('Default Values'!$C110:$CE110))</f>
        <v>0</v>
      </c>
      <c r="R161" s="261">
        <f t="array" ref="R161">SUMPRODUCT(R$72:R$152,TRANSPOSE('Default Values'!$C110:$CE110))</f>
        <v>0</v>
      </c>
      <c r="S161" s="246">
        <f t="shared" ref="S161" si="3">SUMPRODUCT(E161:R161,$E$70:$R$70)</f>
        <v>2352.96</v>
      </c>
      <c r="T161" s="217"/>
      <c r="U161" s="217"/>
      <c r="V161" s="217"/>
      <c r="W161" s="217"/>
      <c r="X161" s="217"/>
      <c r="Y161" s="217"/>
      <c r="Z161" s="217"/>
      <c r="AA161" s="217"/>
    </row>
    <row r="162" spans="2:27" x14ac:dyDescent="0.3">
      <c r="B162" s="217"/>
      <c r="C162" s="260" t="s">
        <v>533</v>
      </c>
      <c r="D162" s="221" t="s">
        <v>363</v>
      </c>
      <c r="E162" s="261">
        <f t="array" ref="E162">SUMPRODUCT(E$72:E$152,TRANSPOSE('Default Values'!$C111:$CE111))</f>
        <v>0</v>
      </c>
      <c r="F162" s="261">
        <f t="array" ref="F162">SUMPRODUCT(F$72:F$152,TRANSPOSE('Default Values'!$C111:$CE111))</f>
        <v>0</v>
      </c>
      <c r="G162" s="261">
        <f t="array" ref="G162">SUMPRODUCT(G$72:G$152,TRANSPOSE('Default Values'!$C111:$CE111))</f>
        <v>0</v>
      </c>
      <c r="H162" s="261">
        <f t="array" ref="H162">SUMPRODUCT(H$72:H$152,TRANSPOSE('Default Values'!$C111:$CE111))</f>
        <v>0</v>
      </c>
      <c r="I162" s="261">
        <f t="array" ref="I162">SUMPRODUCT(I$72:I$152,TRANSPOSE('Default Values'!$C111:$CE111))</f>
        <v>0</v>
      </c>
      <c r="J162" s="261">
        <f t="array" ref="J162">SUMPRODUCT(J$72:J$152,TRANSPOSE('Default Values'!$C111:$CE111))</f>
        <v>0</v>
      </c>
      <c r="K162" s="261">
        <f t="array" ref="K162">SUMPRODUCT(K$72:K$152,TRANSPOSE('Default Values'!$C111:$CE111))</f>
        <v>0</v>
      </c>
      <c r="L162" s="261">
        <f t="array" ref="L162">SUMPRODUCT(L$72:L$152,TRANSPOSE('Default Values'!$C111:$CE111))</f>
        <v>0</v>
      </c>
      <c r="M162" s="261">
        <f t="array" ref="M162">SUMPRODUCT(M$72:M$152,TRANSPOSE('Default Values'!$C111:$CE111))</f>
        <v>0</v>
      </c>
      <c r="N162" s="261">
        <f t="array" ref="N162">SUMPRODUCT(N$72:N$152,TRANSPOSE('Default Values'!$C111:$CE111))</f>
        <v>0</v>
      </c>
      <c r="O162" s="261">
        <f t="array" ref="O162">SUMPRODUCT(O$72:O$152,TRANSPOSE('Default Values'!$C111:$CE111))</f>
        <v>0</v>
      </c>
      <c r="P162" s="261">
        <f t="array" ref="P162">SUMPRODUCT(P$72:P$152,TRANSPOSE('Default Values'!$C111:$CE111))</f>
        <v>0</v>
      </c>
      <c r="Q162" s="261">
        <f t="array" ref="Q162">SUMPRODUCT(Q$72:Q$152,TRANSPOSE('Default Values'!$C111:$CE111))</f>
        <v>0</v>
      </c>
      <c r="R162" s="261">
        <f t="array" ref="R162">SUMPRODUCT(R$72:R$152,TRANSPOSE('Default Values'!$C111:$CE111))</f>
        <v>0</v>
      </c>
      <c r="S162" s="246">
        <f t="shared" si="2"/>
        <v>0</v>
      </c>
      <c r="T162" s="217"/>
      <c r="U162" s="217"/>
      <c r="V162" s="217"/>
      <c r="W162" s="217"/>
      <c r="X162" s="217"/>
      <c r="Y162" s="217"/>
      <c r="Z162" s="217"/>
      <c r="AA162" s="217"/>
    </row>
    <row r="163" spans="2:27" x14ac:dyDescent="0.3">
      <c r="B163" s="217"/>
      <c r="C163" s="260" t="s">
        <v>534</v>
      </c>
      <c r="D163" s="221" t="s">
        <v>363</v>
      </c>
      <c r="E163" s="261">
        <f t="array" ref="E163">SUMPRODUCT(E$72:E$152,TRANSPOSE('Default Values'!$C112:$CE112))</f>
        <v>0</v>
      </c>
      <c r="F163" s="261">
        <f t="array" ref="F163">SUMPRODUCT(F$72:F$152,TRANSPOSE('Default Values'!$C112:$CE112))</f>
        <v>0</v>
      </c>
      <c r="G163" s="261">
        <f t="array" ref="G163">SUMPRODUCT(G$72:G$152,TRANSPOSE('Default Values'!$C112:$CE112))</f>
        <v>0</v>
      </c>
      <c r="H163" s="261">
        <f t="array" ref="H163">SUMPRODUCT(H$72:H$152,TRANSPOSE('Default Values'!$C112:$CE112))</f>
        <v>0</v>
      </c>
      <c r="I163" s="261">
        <f t="array" ref="I163">SUMPRODUCT(I$72:I$152,TRANSPOSE('Default Values'!$C112:$CE112))</f>
        <v>0</v>
      </c>
      <c r="J163" s="261">
        <f t="array" ref="J163">SUMPRODUCT(J$72:J$152,TRANSPOSE('Default Values'!$C112:$CE112))</f>
        <v>0.26400000000000001</v>
      </c>
      <c r="K163" s="261">
        <f t="array" ref="K163">SUMPRODUCT(K$72:K$152,TRANSPOSE('Default Values'!$C112:$CE112))</f>
        <v>2.4E-2</v>
      </c>
      <c r="L163" s="261">
        <f t="array" ref="L163">SUMPRODUCT(L$72:L$152,TRANSPOSE('Default Values'!$C112:$CE112))</f>
        <v>0.312</v>
      </c>
      <c r="M163" s="261">
        <f t="array" ref="M163">SUMPRODUCT(M$72:M$152,TRANSPOSE('Default Values'!$C112:$CE112))</f>
        <v>0</v>
      </c>
      <c r="N163" s="261">
        <f t="array" ref="N163">SUMPRODUCT(N$72:N$152,TRANSPOSE('Default Values'!$C112:$CE112))</f>
        <v>0</v>
      </c>
      <c r="O163" s="261">
        <f t="array" ref="O163">SUMPRODUCT(O$72:O$152,TRANSPOSE('Default Values'!$C112:$CE112))</f>
        <v>0</v>
      </c>
      <c r="P163" s="261">
        <f t="array" ref="P163">SUMPRODUCT(P$72:P$152,TRANSPOSE('Default Values'!$C112:$CE112))</f>
        <v>0</v>
      </c>
      <c r="Q163" s="261">
        <f t="array" ref="Q163">SUMPRODUCT(Q$72:Q$152,TRANSPOSE('Default Values'!$C112:$CE112))</f>
        <v>0</v>
      </c>
      <c r="R163" s="261">
        <f t="array" ref="R163">SUMPRODUCT(R$72:R$152,TRANSPOSE('Default Values'!$C112:$CE112))</f>
        <v>0</v>
      </c>
      <c r="S163" s="246">
        <f>SUMPRODUCT(E163:R163,$E$70:$R$70)</f>
        <v>2352.96</v>
      </c>
      <c r="T163" s="217"/>
      <c r="U163" s="217"/>
      <c r="V163" s="217"/>
      <c r="W163" s="217"/>
      <c r="X163" s="217"/>
      <c r="Y163" s="217"/>
      <c r="Z163" s="217"/>
      <c r="AA163" s="217"/>
    </row>
    <row r="164" spans="2:27" x14ac:dyDescent="0.3">
      <c r="B164" s="217"/>
      <c r="C164" s="260" t="s">
        <v>535</v>
      </c>
      <c r="D164" s="221" t="s">
        <v>363</v>
      </c>
      <c r="E164" s="261">
        <f t="array" ref="E164">SUMPRODUCT(E$72:E$152,TRANSPOSE('Default Values'!$C113:$CE113))</f>
        <v>0</v>
      </c>
      <c r="F164" s="261">
        <f t="array" ref="F164">SUMPRODUCT(F$72:F$152,TRANSPOSE('Default Values'!$C113:$CE113))</f>
        <v>0</v>
      </c>
      <c r="G164" s="261">
        <f t="array" ref="G164">SUMPRODUCT(G$72:G$152,TRANSPOSE('Default Values'!$C113:$CE113))</f>
        <v>0</v>
      </c>
      <c r="H164" s="261">
        <f t="array" ref="H164">SUMPRODUCT(H$72:H$152,TRANSPOSE('Default Values'!$C113:$CE113))</f>
        <v>0</v>
      </c>
      <c r="I164" s="261">
        <f t="array" ref="I164">SUMPRODUCT(I$72:I$152,TRANSPOSE('Default Values'!$C113:$CE113))</f>
        <v>0</v>
      </c>
      <c r="J164" s="261">
        <f t="array" ref="J164">SUMPRODUCT(J$72:J$152,TRANSPOSE('Default Values'!$C113:$CE113))</f>
        <v>0</v>
      </c>
      <c r="K164" s="261">
        <f t="array" ref="K164">SUMPRODUCT(K$72:K$152,TRANSPOSE('Default Values'!$C113:$CE113))</f>
        <v>0</v>
      </c>
      <c r="L164" s="261">
        <f t="array" ref="L164">SUMPRODUCT(L$72:L$152,TRANSPOSE('Default Values'!$C113:$CE113))</f>
        <v>0</v>
      </c>
      <c r="M164" s="261">
        <f t="array" ref="M164">SUMPRODUCT(M$72:M$152,TRANSPOSE('Default Values'!$C113:$CE113))</f>
        <v>0</v>
      </c>
      <c r="N164" s="261">
        <f t="array" ref="N164">SUMPRODUCT(N$72:N$152,TRANSPOSE('Default Values'!$C113:$CE113))</f>
        <v>0</v>
      </c>
      <c r="O164" s="261">
        <f t="array" ref="O164">SUMPRODUCT(O$72:O$152,TRANSPOSE('Default Values'!$C113:$CE113))</f>
        <v>0</v>
      </c>
      <c r="P164" s="261">
        <f t="array" ref="P164">SUMPRODUCT(P$72:P$152,TRANSPOSE('Default Values'!$C113:$CE113))</f>
        <v>0</v>
      </c>
      <c r="Q164" s="261">
        <f t="array" ref="Q164">SUMPRODUCT(Q$72:Q$152,TRANSPOSE('Default Values'!$C113:$CE113))</f>
        <v>0</v>
      </c>
      <c r="R164" s="261">
        <f t="array" ref="R164">SUMPRODUCT(R$72:R$152,TRANSPOSE('Default Values'!$C113:$CE113))</f>
        <v>0</v>
      </c>
      <c r="S164" s="246">
        <f t="shared" si="2"/>
        <v>0</v>
      </c>
      <c r="T164" s="217"/>
      <c r="U164" s="217"/>
      <c r="V164" s="217"/>
      <c r="W164" s="217"/>
      <c r="X164" s="217"/>
      <c r="Y164" s="217"/>
      <c r="Z164" s="217"/>
      <c r="AA164" s="217"/>
    </row>
    <row r="165" spans="2:27" x14ac:dyDescent="0.3">
      <c r="B165" s="217"/>
      <c r="C165" s="260" t="s">
        <v>536</v>
      </c>
      <c r="D165" s="221" t="s">
        <v>363</v>
      </c>
      <c r="E165" s="261">
        <f t="array" ref="E165">SUMPRODUCT(E$72:E$152,TRANSPOSE('Default Values'!$C114:$CE114))</f>
        <v>0</v>
      </c>
      <c r="F165" s="261">
        <f t="array" ref="F165">SUMPRODUCT(F$72:F$152,TRANSPOSE('Default Values'!$C114:$CE114))</f>
        <v>0</v>
      </c>
      <c r="G165" s="261">
        <f t="array" ref="G165">SUMPRODUCT(G$72:G$152,TRANSPOSE('Default Values'!$C114:$CE114))</f>
        <v>0</v>
      </c>
      <c r="H165" s="261">
        <f t="array" ref="H165">SUMPRODUCT(H$72:H$152,TRANSPOSE('Default Values'!$C114:$CE114))</f>
        <v>0</v>
      </c>
      <c r="I165" s="261">
        <f t="array" ref="I165">SUMPRODUCT(I$72:I$152,TRANSPOSE('Default Values'!$C114:$CE114))</f>
        <v>0</v>
      </c>
      <c r="J165" s="261">
        <f t="array" ref="J165">SUMPRODUCT(J$72:J$152,TRANSPOSE('Default Values'!$C114:$CE114))</f>
        <v>0</v>
      </c>
      <c r="K165" s="261">
        <f t="array" ref="K165">SUMPRODUCT(K$72:K$152,TRANSPOSE('Default Values'!$C114:$CE114))</f>
        <v>0</v>
      </c>
      <c r="L165" s="261">
        <f t="array" ref="L165">SUMPRODUCT(L$72:L$152,TRANSPOSE('Default Values'!$C114:$CE114))</f>
        <v>0</v>
      </c>
      <c r="M165" s="261">
        <f t="array" ref="M165">SUMPRODUCT(M$72:M$152,TRANSPOSE('Default Values'!$C114:$CE114))</f>
        <v>0</v>
      </c>
      <c r="N165" s="261">
        <f t="array" ref="N165">SUMPRODUCT(N$72:N$152,TRANSPOSE('Default Values'!$C114:$CE114))</f>
        <v>0</v>
      </c>
      <c r="O165" s="261">
        <f t="array" ref="O165">SUMPRODUCT(O$72:O$152,TRANSPOSE('Default Values'!$C114:$CE114))</f>
        <v>0</v>
      </c>
      <c r="P165" s="261">
        <f t="array" ref="P165">SUMPRODUCT(P$72:P$152,TRANSPOSE('Default Values'!$C114:$CE114))</f>
        <v>0</v>
      </c>
      <c r="Q165" s="261">
        <f t="array" ref="Q165">SUMPRODUCT(Q$72:Q$152,TRANSPOSE('Default Values'!$C114:$CE114))</f>
        <v>0</v>
      </c>
      <c r="R165" s="261">
        <f t="array" ref="R165">SUMPRODUCT(R$72:R$152,TRANSPOSE('Default Values'!$C114:$CE114))</f>
        <v>0</v>
      </c>
      <c r="S165" s="246">
        <f t="shared" si="2"/>
        <v>0</v>
      </c>
      <c r="T165" s="217"/>
      <c r="U165" s="217"/>
      <c r="V165" s="217"/>
      <c r="W165" s="217"/>
      <c r="X165" s="217"/>
      <c r="Y165" s="217"/>
      <c r="Z165" s="217"/>
      <c r="AA165" s="217"/>
    </row>
    <row r="166" spans="2:27" x14ac:dyDescent="0.3">
      <c r="B166" s="217"/>
      <c r="C166" s="262" t="s">
        <v>431</v>
      </c>
      <c r="D166" s="221" t="s">
        <v>363</v>
      </c>
      <c r="E166" s="261">
        <f t="array" ref="E166">SUMPRODUCT(E$72:E$152,TRANSPOSE('Default Values'!$C115:$CE115))</f>
        <v>0</v>
      </c>
      <c r="F166" s="261">
        <f t="array" ref="F166">SUMPRODUCT(F$72:F$152,TRANSPOSE('Default Values'!$C115:$CE115))</f>
        <v>0</v>
      </c>
      <c r="G166" s="261">
        <f t="array" ref="G166">SUMPRODUCT(G$72:G$152,TRANSPOSE('Default Values'!$C115:$CE115))</f>
        <v>0</v>
      </c>
      <c r="H166" s="261">
        <f t="array" ref="H166">SUMPRODUCT(H$72:H$152,TRANSPOSE('Default Values'!$C115:$CE115))</f>
        <v>0</v>
      </c>
      <c r="I166" s="261">
        <f t="array" ref="I166">SUMPRODUCT(I$72:I$152,TRANSPOSE('Default Values'!$C115:$CE115))</f>
        <v>0</v>
      </c>
      <c r="J166" s="261">
        <f t="array" ref="J166">SUMPRODUCT(J$72:J$152,TRANSPOSE('Default Values'!$C115:$CE115))</f>
        <v>0.18400000000000002</v>
      </c>
      <c r="K166" s="261">
        <f t="array" ref="K166">SUMPRODUCT(K$72:K$152,TRANSPOSE('Default Values'!$C115:$CE115))</f>
        <v>0.13793939393939392</v>
      </c>
      <c r="L166" s="261">
        <f t="array" ref="L166">SUMPRODUCT(L$72:L$152,TRANSPOSE('Default Values'!$C115:$CE115))</f>
        <v>0.21745454545454548</v>
      </c>
      <c r="M166" s="261">
        <f t="array" ref="M166">SUMPRODUCT(M$72:M$152,TRANSPOSE('Default Values'!$C115:$CE115))</f>
        <v>0</v>
      </c>
      <c r="N166" s="261">
        <f t="array" ref="N166">SUMPRODUCT(N$72:N$152,TRANSPOSE('Default Values'!$C115:$CE115))</f>
        <v>0</v>
      </c>
      <c r="O166" s="261">
        <f t="array" ref="O166">SUMPRODUCT(O$72:O$152,TRANSPOSE('Default Values'!$C115:$CE115))</f>
        <v>0</v>
      </c>
      <c r="P166" s="261">
        <f t="array" ref="P166">SUMPRODUCT(P$72:P$152,TRANSPOSE('Default Values'!$C115:$CE115))</f>
        <v>0</v>
      </c>
      <c r="Q166" s="261">
        <f t="array" ref="Q166">SUMPRODUCT(Q$72:Q$152,TRANSPOSE('Default Values'!$C115:$CE115))</f>
        <v>0</v>
      </c>
      <c r="R166" s="261">
        <f t="array" ref="R166">SUMPRODUCT(R$72:R$152,TRANSPOSE('Default Values'!$C115:$CE115))</f>
        <v>0</v>
      </c>
      <c r="S166" s="246">
        <f t="shared" si="2"/>
        <v>1813.2751515151517</v>
      </c>
      <c r="T166" s="217"/>
      <c r="U166" s="217"/>
      <c r="V166" s="217"/>
      <c r="W166" s="217"/>
      <c r="X166" s="217"/>
      <c r="Y166" s="217"/>
      <c r="Z166" s="217"/>
      <c r="AA166" s="217"/>
    </row>
    <row r="167" spans="2:27" x14ac:dyDescent="0.3">
      <c r="B167" s="217"/>
      <c r="C167" s="260" t="s">
        <v>339</v>
      </c>
      <c r="D167" s="221" t="s">
        <v>363</v>
      </c>
      <c r="E167" s="261">
        <f t="array" ref="E167">SUMPRODUCT(E$72:E$152,TRANSPOSE('Default Values'!$C116:$CE116))</f>
        <v>0</v>
      </c>
      <c r="F167" s="261">
        <f t="array" ref="F167">SUMPRODUCT(F$72:F$152,TRANSPOSE('Default Values'!$C116:$CE116))</f>
        <v>0</v>
      </c>
      <c r="G167" s="261">
        <f t="array" ref="G167">SUMPRODUCT(G$72:G$152,TRANSPOSE('Default Values'!$C116:$CE116))</f>
        <v>0</v>
      </c>
      <c r="H167" s="261">
        <f t="array" ref="H167">SUMPRODUCT(H$72:H$152,TRANSPOSE('Default Values'!$C116:$CE116))</f>
        <v>0</v>
      </c>
      <c r="I167" s="261">
        <f t="array" ref="I167">SUMPRODUCT(I$72:I$152,TRANSPOSE('Default Values'!$C116:$CE116))</f>
        <v>0</v>
      </c>
      <c r="J167" s="261">
        <f t="array" ref="J167">SUMPRODUCT(J$72:J$152,TRANSPOSE('Default Values'!$C116:$CE116))</f>
        <v>0</v>
      </c>
      <c r="K167" s="261">
        <f t="array" ref="K167">SUMPRODUCT(K$72:K$152,TRANSPOSE('Default Values'!$C116:$CE116))</f>
        <v>0</v>
      </c>
      <c r="L167" s="261">
        <f t="array" ref="L167">SUMPRODUCT(L$72:L$152,TRANSPOSE('Default Values'!$C116:$CE116))</f>
        <v>0</v>
      </c>
      <c r="M167" s="261">
        <f t="array" ref="M167">SUMPRODUCT(M$72:M$152,TRANSPOSE('Default Values'!$C116:$CE116))</f>
        <v>0</v>
      </c>
      <c r="N167" s="261">
        <f t="array" ref="N167">SUMPRODUCT(N$72:N$152,TRANSPOSE('Default Values'!$C116:$CE116))</f>
        <v>0</v>
      </c>
      <c r="O167" s="261">
        <f t="array" ref="O167">SUMPRODUCT(O$72:O$152,TRANSPOSE('Default Values'!$C116:$CE116))</f>
        <v>0</v>
      </c>
      <c r="P167" s="261">
        <f t="array" ref="P167">SUMPRODUCT(P$72:P$152,TRANSPOSE('Default Values'!$C116:$CE116))</f>
        <v>0</v>
      </c>
      <c r="Q167" s="261">
        <f t="array" ref="Q167">SUMPRODUCT(Q$72:Q$152,TRANSPOSE('Default Values'!$C116:$CE116))</f>
        <v>0</v>
      </c>
      <c r="R167" s="261">
        <f t="array" ref="R167">SUMPRODUCT(R$72:R$152,TRANSPOSE('Default Values'!$C116:$CE116))</f>
        <v>0</v>
      </c>
      <c r="S167" s="246">
        <f t="shared" si="2"/>
        <v>0</v>
      </c>
      <c r="T167" s="217"/>
      <c r="U167" s="217"/>
      <c r="V167" s="217"/>
      <c r="W167" s="217"/>
      <c r="X167" s="217"/>
      <c r="Y167" s="217"/>
      <c r="Z167" s="217"/>
      <c r="AA167" s="217"/>
    </row>
    <row r="168" spans="2:27" x14ac:dyDescent="0.3">
      <c r="B168" s="217"/>
      <c r="C168" s="260" t="s">
        <v>787</v>
      </c>
      <c r="D168" s="221" t="s">
        <v>363</v>
      </c>
      <c r="E168" s="261">
        <f t="array" ref="E168">SUMPRODUCT(E$72:E$152,TRANSPOSE('Default Values'!$C117:$CE117))</f>
        <v>0</v>
      </c>
      <c r="F168" s="261">
        <f t="array" ref="F168">SUMPRODUCT(F$72:F$152,TRANSPOSE('Default Values'!$C117:$CE117))</f>
        <v>0</v>
      </c>
      <c r="G168" s="261">
        <f t="array" ref="G168">SUMPRODUCT(G$72:G$152,TRANSPOSE('Default Values'!$C117:$CE117))</f>
        <v>0</v>
      </c>
      <c r="H168" s="261">
        <f t="array" ref="H168">SUMPRODUCT(H$72:H$152,TRANSPOSE('Default Values'!$C117:$CE117))</f>
        <v>0</v>
      </c>
      <c r="I168" s="261">
        <f t="array" ref="I168">SUMPRODUCT(I$72:I$152,TRANSPOSE('Default Values'!$C117:$CE117))</f>
        <v>0</v>
      </c>
      <c r="J168" s="261">
        <f t="array" ref="J168">SUMPRODUCT(J$72:J$152,TRANSPOSE('Default Values'!$C117:$CE117))</f>
        <v>0</v>
      </c>
      <c r="K168" s="261">
        <f t="array" ref="K168">SUMPRODUCT(K$72:K$152,TRANSPOSE('Default Values'!$C117:$CE117))</f>
        <v>0</v>
      </c>
      <c r="L168" s="261">
        <f t="array" ref="L168">SUMPRODUCT(L$72:L$152,TRANSPOSE('Default Values'!$C117:$CE117))</f>
        <v>0</v>
      </c>
      <c r="M168" s="261">
        <f t="array" ref="M168">SUMPRODUCT(M$72:M$152,TRANSPOSE('Default Values'!$C117:$CE117))</f>
        <v>0</v>
      </c>
      <c r="N168" s="261">
        <f t="array" ref="N168">SUMPRODUCT(N$72:N$152,TRANSPOSE('Default Values'!$C117:$CE117))</f>
        <v>0</v>
      </c>
      <c r="O168" s="261">
        <f t="array" ref="O168">SUMPRODUCT(O$72:O$152,TRANSPOSE('Default Values'!$C117:$CE117))</f>
        <v>0</v>
      </c>
      <c r="P168" s="261">
        <f t="array" ref="P168">SUMPRODUCT(P$72:P$152,TRANSPOSE('Default Values'!$C117:$CE117))</f>
        <v>0</v>
      </c>
      <c r="Q168" s="261">
        <f t="array" ref="Q168">SUMPRODUCT(Q$72:Q$152,TRANSPOSE('Default Values'!$C117:$CE117))</f>
        <v>0</v>
      </c>
      <c r="R168" s="261">
        <f t="array" ref="R168">SUMPRODUCT(R$72:R$152,TRANSPOSE('Default Values'!$C117:$CE117))</f>
        <v>0</v>
      </c>
      <c r="S168" s="246">
        <f t="shared" si="2"/>
        <v>0</v>
      </c>
      <c r="T168" s="217"/>
      <c r="U168" s="217"/>
      <c r="V168" s="217"/>
      <c r="W168" s="217"/>
      <c r="X168" s="217"/>
      <c r="Y168" s="217"/>
      <c r="Z168" s="217"/>
      <c r="AA168" s="217"/>
    </row>
    <row r="169" spans="2:27" s="506" customFormat="1" x14ac:dyDescent="0.3">
      <c r="B169" s="217"/>
      <c r="C169" s="260" t="s">
        <v>788</v>
      </c>
      <c r="D169" s="221" t="s">
        <v>363</v>
      </c>
      <c r="E169" s="261">
        <f t="array" ref="E169">SUMPRODUCT(E$72:E$152,TRANSPOSE('Default Values'!$C118:$CE118))</f>
        <v>0</v>
      </c>
      <c r="F169" s="261">
        <f t="array" ref="F169">SUMPRODUCT(F$72:F$152,TRANSPOSE('Default Values'!$C118:$CE118))</f>
        <v>0</v>
      </c>
      <c r="G169" s="261">
        <f t="array" ref="G169">SUMPRODUCT(G$72:G$152,TRANSPOSE('Default Values'!$C118:$CE118))</f>
        <v>0</v>
      </c>
      <c r="H169" s="261">
        <f t="array" ref="H169">SUMPRODUCT(H$72:H$152,TRANSPOSE('Default Values'!$C118:$CE118))</f>
        <v>0</v>
      </c>
      <c r="I169" s="261">
        <f t="array" ref="I169">SUMPRODUCT(I$72:I$152,TRANSPOSE('Default Values'!$C118:$CE118))</f>
        <v>0</v>
      </c>
      <c r="J169" s="261">
        <f t="array" ref="J169">SUMPRODUCT(J$72:J$152,TRANSPOSE('Default Values'!$C118:$CE118))</f>
        <v>0</v>
      </c>
      <c r="K169" s="261">
        <f t="array" ref="K169">SUMPRODUCT(K$72:K$152,TRANSPOSE('Default Values'!$C118:$CE118))</f>
        <v>0</v>
      </c>
      <c r="L169" s="261">
        <f t="array" ref="L169">SUMPRODUCT(L$72:L$152,TRANSPOSE('Default Values'!$C118:$CE118))</f>
        <v>0</v>
      </c>
      <c r="M169" s="261">
        <f t="array" ref="M169">SUMPRODUCT(M$72:M$152,TRANSPOSE('Default Values'!$C118:$CE118))</f>
        <v>0</v>
      </c>
      <c r="N169" s="261">
        <f t="array" ref="N169">SUMPRODUCT(N$72:N$152,TRANSPOSE('Default Values'!$C118:$CE118))</f>
        <v>0</v>
      </c>
      <c r="O169" s="261">
        <f t="array" ref="O169">SUMPRODUCT(O$72:O$152,TRANSPOSE('Default Values'!$C118:$CE118))</f>
        <v>0</v>
      </c>
      <c r="P169" s="261">
        <f t="array" ref="P169">SUMPRODUCT(P$72:P$152,TRANSPOSE('Default Values'!$C118:$CE118))</f>
        <v>0</v>
      </c>
      <c r="Q169" s="261">
        <f t="array" ref="Q169">SUMPRODUCT(Q$72:Q$152,TRANSPOSE('Default Values'!$C118:$CE118))</f>
        <v>0</v>
      </c>
      <c r="R169" s="261">
        <f t="array" ref="R169">SUMPRODUCT(R$72:R$152,TRANSPOSE('Default Values'!$C118:$CE118))</f>
        <v>0</v>
      </c>
      <c r="S169" s="246">
        <f t="shared" si="2"/>
        <v>0</v>
      </c>
      <c r="T169" s="217"/>
      <c r="U169" s="217"/>
      <c r="V169" s="217"/>
      <c r="W169" s="217"/>
      <c r="X169" s="217"/>
      <c r="Y169" s="217"/>
      <c r="Z169" s="217"/>
      <c r="AA169" s="217"/>
    </row>
    <row r="170" spans="2:27" s="506" customFormat="1" x14ac:dyDescent="0.3">
      <c r="B170" s="217"/>
      <c r="C170" s="260" t="s">
        <v>537</v>
      </c>
      <c r="D170" s="221" t="s">
        <v>363</v>
      </c>
      <c r="E170" s="261">
        <f t="array" ref="E170">SUMPRODUCT(E$72:E$152,TRANSPOSE('Default Values'!$C119:$CE119))</f>
        <v>0</v>
      </c>
      <c r="F170" s="261">
        <f t="array" ref="F170">SUMPRODUCT(F$72:F$152,TRANSPOSE('Default Values'!$C119:$CE119))</f>
        <v>0</v>
      </c>
      <c r="G170" s="261">
        <f t="array" ref="G170">SUMPRODUCT(G$72:G$152,TRANSPOSE('Default Values'!$C119:$CE119))</f>
        <v>0</v>
      </c>
      <c r="H170" s="261">
        <f t="array" ref="H170">SUMPRODUCT(H$72:H$152,TRANSPOSE('Default Values'!$C119:$CE119))</f>
        <v>0</v>
      </c>
      <c r="I170" s="261">
        <f t="array" ref="I170">SUMPRODUCT(I$72:I$152,TRANSPOSE('Default Values'!$C119:$CE119))</f>
        <v>0</v>
      </c>
      <c r="J170" s="261">
        <f t="array" ref="J170">SUMPRODUCT(J$72:J$152,TRANSPOSE('Default Values'!$C119:$CE119))</f>
        <v>0</v>
      </c>
      <c r="K170" s="261">
        <f t="array" ref="K170">SUMPRODUCT(K$72:K$152,TRANSPOSE('Default Values'!$C119:$CE119))</f>
        <v>0</v>
      </c>
      <c r="L170" s="261">
        <f t="array" ref="L170">SUMPRODUCT(L$72:L$152,TRANSPOSE('Default Values'!$C119:$CE119))</f>
        <v>0</v>
      </c>
      <c r="M170" s="261">
        <f t="array" ref="M170">SUMPRODUCT(M$72:M$152,TRANSPOSE('Default Values'!$C119:$CE119))</f>
        <v>0</v>
      </c>
      <c r="N170" s="261">
        <f t="array" ref="N170">SUMPRODUCT(N$72:N$152,TRANSPOSE('Default Values'!$C119:$CE119))</f>
        <v>0</v>
      </c>
      <c r="O170" s="261">
        <f t="array" ref="O170">SUMPRODUCT(O$72:O$152,TRANSPOSE('Default Values'!$C119:$CE119))</f>
        <v>0</v>
      </c>
      <c r="P170" s="261">
        <f t="array" ref="P170">SUMPRODUCT(P$72:P$152,TRANSPOSE('Default Values'!$C119:$CE119))</f>
        <v>0</v>
      </c>
      <c r="Q170" s="261">
        <f t="array" ref="Q170">SUMPRODUCT(Q$72:Q$152,TRANSPOSE('Default Values'!$C119:$CE119))</f>
        <v>0</v>
      </c>
      <c r="R170" s="261">
        <f t="array" ref="R170">SUMPRODUCT(R$72:R$152,TRANSPOSE('Default Values'!$C119:$CE119))</f>
        <v>0</v>
      </c>
      <c r="S170" s="246">
        <f t="shared" si="2"/>
        <v>0</v>
      </c>
      <c r="T170" s="217"/>
      <c r="U170" s="217"/>
      <c r="V170" s="217"/>
      <c r="W170" s="217"/>
      <c r="X170" s="217"/>
      <c r="Y170" s="217"/>
      <c r="Z170" s="217"/>
      <c r="AA170" s="217"/>
    </row>
    <row r="171" spans="2:27" s="506" customFormat="1" x14ac:dyDescent="0.3">
      <c r="B171" s="217"/>
      <c r="C171" s="260" t="s">
        <v>789</v>
      </c>
      <c r="D171" s="221" t="s">
        <v>363</v>
      </c>
      <c r="E171" s="261">
        <f t="array" ref="E171">SUMPRODUCT(E$72:E$152,TRANSPOSE('Default Values'!$C120:$CE120))</f>
        <v>0</v>
      </c>
      <c r="F171" s="261">
        <f t="array" ref="F171">SUMPRODUCT(F$72:F$152,TRANSPOSE('Default Values'!$C120:$CE120))</f>
        <v>0</v>
      </c>
      <c r="G171" s="261">
        <f t="array" ref="G171">SUMPRODUCT(G$72:G$152,TRANSPOSE('Default Values'!$C120:$CE120))</f>
        <v>0</v>
      </c>
      <c r="H171" s="261">
        <f t="array" ref="H171">SUMPRODUCT(H$72:H$152,TRANSPOSE('Default Values'!$C120:$CE120))</f>
        <v>0</v>
      </c>
      <c r="I171" s="261">
        <f t="array" ref="I171">SUMPRODUCT(I$72:I$152,TRANSPOSE('Default Values'!$C120:$CE120))</f>
        <v>0</v>
      </c>
      <c r="J171" s="261">
        <f t="array" ref="J171">SUMPRODUCT(J$72:J$152,TRANSPOSE('Default Values'!$C120:$CE120))</f>
        <v>0</v>
      </c>
      <c r="K171" s="261">
        <f t="array" ref="K171">SUMPRODUCT(K$72:K$152,TRANSPOSE('Default Values'!$C120:$CE120))</f>
        <v>0</v>
      </c>
      <c r="L171" s="261">
        <f t="array" ref="L171">SUMPRODUCT(L$72:L$152,TRANSPOSE('Default Values'!$C120:$CE120))</f>
        <v>0</v>
      </c>
      <c r="M171" s="261">
        <f t="array" ref="M171">SUMPRODUCT(M$72:M$152,TRANSPOSE('Default Values'!$C120:$CE120))</f>
        <v>0</v>
      </c>
      <c r="N171" s="261">
        <f t="array" ref="N171">SUMPRODUCT(N$72:N$152,TRANSPOSE('Default Values'!$C120:$CE120))</f>
        <v>0</v>
      </c>
      <c r="O171" s="261">
        <f t="array" ref="O171">SUMPRODUCT(O$72:O$152,TRANSPOSE('Default Values'!$C120:$CE120))</f>
        <v>0</v>
      </c>
      <c r="P171" s="261">
        <f t="array" ref="P171">SUMPRODUCT(P$72:P$152,TRANSPOSE('Default Values'!$C120:$CE120))</f>
        <v>0</v>
      </c>
      <c r="Q171" s="261">
        <f t="array" ref="Q171">SUMPRODUCT(Q$72:Q$152,TRANSPOSE('Default Values'!$C120:$CE120))</f>
        <v>0</v>
      </c>
      <c r="R171" s="261">
        <f t="array" ref="R171">SUMPRODUCT(R$72:R$152,TRANSPOSE('Default Values'!$C120:$CE120))</f>
        <v>0</v>
      </c>
      <c r="S171" s="246">
        <f t="shared" si="2"/>
        <v>0</v>
      </c>
      <c r="T171" s="217"/>
      <c r="U171" s="217"/>
      <c r="V171" s="217"/>
      <c r="W171" s="217"/>
      <c r="X171" s="217"/>
      <c r="Y171" s="217"/>
      <c r="Z171" s="217"/>
      <c r="AA171" s="217"/>
    </row>
    <row r="172" spans="2:27" x14ac:dyDescent="0.3">
      <c r="B172" s="217"/>
      <c r="C172" s="263" t="s">
        <v>790</v>
      </c>
      <c r="D172" s="221" t="s">
        <v>363</v>
      </c>
      <c r="E172" s="261">
        <f t="array" ref="E172">SUMPRODUCT(E$72:E$152,TRANSPOSE('Default Values'!$C121:$CE121))</f>
        <v>0</v>
      </c>
      <c r="F172" s="261">
        <f t="array" ref="F172">SUMPRODUCT(F$72:F$152,TRANSPOSE('Default Values'!$C121:$CE121))</f>
        <v>0</v>
      </c>
      <c r="G172" s="261">
        <f t="array" ref="G172">SUMPRODUCT(G$72:G$152,TRANSPOSE('Default Values'!$C121:$CE121))</f>
        <v>0</v>
      </c>
      <c r="H172" s="261">
        <f t="array" ref="H172">SUMPRODUCT(H$72:H$152,TRANSPOSE('Default Values'!$C121:$CE121))</f>
        <v>0</v>
      </c>
      <c r="I172" s="261">
        <f t="array" ref="I172">SUMPRODUCT(I$72:I$152,TRANSPOSE('Default Values'!$C121:$CE121))</f>
        <v>0</v>
      </c>
      <c r="J172" s="261">
        <f t="array" ref="J172">SUMPRODUCT(J$72:J$152,TRANSPOSE('Default Values'!$C121:$CE121))</f>
        <v>0</v>
      </c>
      <c r="K172" s="261">
        <f t="array" ref="K172">SUMPRODUCT(K$72:K$152,TRANSPOSE('Default Values'!$C121:$CE121))</f>
        <v>0</v>
      </c>
      <c r="L172" s="261">
        <f t="array" ref="L172">SUMPRODUCT(L$72:L$152,TRANSPOSE('Default Values'!$C121:$CE121))</f>
        <v>0</v>
      </c>
      <c r="M172" s="261">
        <f t="array" ref="M172">SUMPRODUCT(M$72:M$152,TRANSPOSE('Default Values'!$C121:$CE121))</f>
        <v>0</v>
      </c>
      <c r="N172" s="261">
        <f t="array" ref="N172">SUMPRODUCT(N$72:N$152,TRANSPOSE('Default Values'!$C121:$CE121))</f>
        <v>0</v>
      </c>
      <c r="O172" s="261">
        <f t="array" ref="O172">SUMPRODUCT(O$72:O$152,TRANSPOSE('Default Values'!$C121:$CE121))</f>
        <v>0</v>
      </c>
      <c r="P172" s="261">
        <f t="array" ref="P172">SUMPRODUCT(P$72:P$152,TRANSPOSE('Default Values'!$C121:$CE121))</f>
        <v>0</v>
      </c>
      <c r="Q172" s="261">
        <f t="array" ref="Q172">SUMPRODUCT(Q$72:Q$152,TRANSPOSE('Default Values'!$C121:$CE121))</f>
        <v>0</v>
      </c>
      <c r="R172" s="261">
        <f t="array" ref="R172">SUMPRODUCT(R$72:R$152,TRANSPOSE('Default Values'!$C121:$CE121))</f>
        <v>0</v>
      </c>
      <c r="S172" s="246">
        <f t="shared" si="2"/>
        <v>0</v>
      </c>
      <c r="T172" s="217"/>
      <c r="U172" s="217"/>
      <c r="V172" s="217"/>
      <c r="W172" s="217"/>
      <c r="X172" s="217"/>
      <c r="Y172" s="217"/>
      <c r="Z172" s="217"/>
      <c r="AA172" s="217"/>
    </row>
    <row r="173" spans="2:27" x14ac:dyDescent="0.3">
      <c r="B173" s="217"/>
      <c r="C173" s="260" t="s">
        <v>340</v>
      </c>
      <c r="D173" s="221" t="s">
        <v>363</v>
      </c>
      <c r="E173" s="261">
        <f t="array" ref="E173">SUMPRODUCT(E$72:E$152,TRANSPOSE('Default Values'!$C122:$CE122))</f>
        <v>0</v>
      </c>
      <c r="F173" s="261">
        <f t="array" ref="F173">SUMPRODUCT(F$72:F$152,TRANSPOSE('Default Values'!$C122:$CE122))</f>
        <v>0</v>
      </c>
      <c r="G173" s="261">
        <f t="array" ref="G173">SUMPRODUCT(G$72:G$152,TRANSPOSE('Default Values'!$C122:$CE122))</f>
        <v>0.2498542516865162</v>
      </c>
      <c r="H173" s="261">
        <f t="array" ref="H173">SUMPRODUCT(H$72:H$152,TRANSPOSE('Default Values'!$C122:$CE122))</f>
        <v>0</v>
      </c>
      <c r="I173" s="261">
        <f t="array" ref="I173">SUMPRODUCT(I$72:I$152,TRANSPOSE('Default Values'!$C122:$CE122))</f>
        <v>0</v>
      </c>
      <c r="J173" s="261">
        <f t="array" ref="J173">SUMPRODUCT(J$72:J$152,TRANSPOSE('Default Values'!$C122:$CE122))</f>
        <v>0.2498542516865162</v>
      </c>
      <c r="K173" s="261">
        <f t="array" ref="K173">SUMPRODUCT(K$72:K$152,TRANSPOSE('Default Values'!$C122:$CE122))</f>
        <v>5.8299325393520454E-4</v>
      </c>
      <c r="L173" s="261">
        <f t="array" ref="L173">SUMPRODUCT(L$72:L$152,TRANSPOSE('Default Values'!$C122:$CE122))</f>
        <v>0</v>
      </c>
      <c r="M173" s="261">
        <f t="array" ref="M173">SUMPRODUCT(M$72:M$152,TRANSPOSE('Default Values'!$C122:$CE122))</f>
        <v>0</v>
      </c>
      <c r="N173" s="261">
        <f t="array" ref="N173">SUMPRODUCT(N$72:N$152,TRANSPOSE('Default Values'!$C122:$CE122))</f>
        <v>0</v>
      </c>
      <c r="O173" s="261">
        <f t="array" ref="O173">SUMPRODUCT(O$72:O$152,TRANSPOSE('Default Values'!$C122:$CE122))</f>
        <v>0</v>
      </c>
      <c r="P173" s="261">
        <f t="array" ref="P173">SUMPRODUCT(P$72:P$152,TRANSPOSE('Default Values'!$C122:$CE122))</f>
        <v>0</v>
      </c>
      <c r="Q173" s="261">
        <f t="array" ref="Q173">SUMPRODUCT(Q$72:Q$152,TRANSPOSE('Default Values'!$C122:$CE122))</f>
        <v>0</v>
      </c>
      <c r="R173" s="261">
        <f t="array" ref="R173">SUMPRODUCT(R$72:R$152,TRANSPOSE('Default Values'!$C122:$CE122))</f>
        <v>0</v>
      </c>
      <c r="S173" s="246">
        <f t="shared" si="2"/>
        <v>1043.9751811443325</v>
      </c>
      <c r="T173" s="217"/>
      <c r="U173" s="217"/>
      <c r="V173" s="217"/>
      <c r="W173" s="217"/>
      <c r="X173" s="217"/>
      <c r="Y173" s="217"/>
      <c r="Z173" s="217"/>
      <c r="AA173" s="217"/>
    </row>
    <row r="174" spans="2:27" x14ac:dyDescent="0.3">
      <c r="B174" s="217"/>
      <c r="C174" s="260" t="s">
        <v>341</v>
      </c>
      <c r="D174" s="221" t="s">
        <v>363</v>
      </c>
      <c r="E174" s="261">
        <f t="array" ref="E174">SUMPRODUCT(E$72:E$152,TRANSPOSE('Default Values'!$C123:$CE123))</f>
        <v>0</v>
      </c>
      <c r="F174" s="261">
        <f t="array" ref="F174">SUMPRODUCT(F$72:F$152,TRANSPOSE('Default Values'!$C123:$CE123))</f>
        <v>0</v>
      </c>
      <c r="G174" s="261">
        <f t="array" ref="G174">SUMPRODUCT(G$72:G$152,TRANSPOSE('Default Values'!$C123:$CE123))</f>
        <v>0.18684752652604844</v>
      </c>
      <c r="H174" s="261">
        <f t="array" ref="H174">SUMPRODUCT(H$72:H$152,TRANSPOSE('Default Values'!$C123:$CE123))</f>
        <v>0</v>
      </c>
      <c r="I174" s="261">
        <f t="array" ref="I174">SUMPRODUCT(I$72:I$152,TRANSPOSE('Default Values'!$C123:$CE123))</f>
        <v>0</v>
      </c>
      <c r="J174" s="261">
        <f t="array" ref="J174">SUMPRODUCT(J$72:J$152,TRANSPOSE('Default Values'!$C123:$CE123))</f>
        <v>0.2529076395590556</v>
      </c>
      <c r="K174" s="261">
        <f t="array" ref="K174">SUMPRODUCT(K$72:K$152,TRANSPOSE('Default Values'!$C123:$CE123))</f>
        <v>8.3876578343857165E-3</v>
      </c>
      <c r="L174" s="261">
        <f t="array" ref="L174">SUMPRODUCT(L$72:L$152,TRANSPOSE('Default Values'!$C123:$CE123))</f>
        <v>7.8071042675372113E-2</v>
      </c>
      <c r="M174" s="261">
        <f t="array" ref="M174">SUMPRODUCT(M$72:M$152,TRANSPOSE('Default Values'!$C123:$CE123))</f>
        <v>0</v>
      </c>
      <c r="N174" s="261">
        <f t="array" ref="N174">SUMPRODUCT(N$72:N$152,TRANSPOSE('Default Values'!$C123:$CE123))</f>
        <v>0</v>
      </c>
      <c r="O174" s="261">
        <f t="array" ref="O174">SUMPRODUCT(O$72:O$152,TRANSPOSE('Default Values'!$C123:$CE123))</f>
        <v>0</v>
      </c>
      <c r="P174" s="261">
        <f t="array" ref="P174">SUMPRODUCT(P$72:P$152,TRANSPOSE('Default Values'!$C123:$CE123))</f>
        <v>0</v>
      </c>
      <c r="Q174" s="261">
        <f t="array" ref="Q174">SUMPRODUCT(Q$72:Q$152,TRANSPOSE('Default Values'!$C123:$CE123))</f>
        <v>0</v>
      </c>
      <c r="R174" s="261">
        <f t="array" ref="R174">SUMPRODUCT(R$72:R$152,TRANSPOSE('Default Values'!$C123:$CE123))</f>
        <v>0</v>
      </c>
      <c r="S174" s="246">
        <f t="shared" si="2"/>
        <v>1372.2707303238622</v>
      </c>
      <c r="T174" s="217"/>
      <c r="U174" s="217"/>
      <c r="V174" s="217"/>
      <c r="W174" s="217"/>
      <c r="X174" s="217"/>
      <c r="Y174" s="217"/>
      <c r="Z174" s="217"/>
      <c r="AA174" s="217"/>
    </row>
    <row r="175" spans="2:27" x14ac:dyDescent="0.3">
      <c r="B175" s="217"/>
      <c r="C175" s="260" t="s">
        <v>538</v>
      </c>
      <c r="D175" s="221" t="s">
        <v>363</v>
      </c>
      <c r="E175" s="261">
        <f t="array" ref="E175">SUMPRODUCT(E$72:E$152,TRANSPOSE('Default Values'!$C124:$CE124))</f>
        <v>0</v>
      </c>
      <c r="F175" s="261">
        <f t="array" ref="F175">SUMPRODUCT(F$72:F$152,TRANSPOSE('Default Values'!$C124:$CE124))</f>
        <v>0</v>
      </c>
      <c r="G175" s="261">
        <f t="array" ref="G175">SUMPRODUCT(G$72:G$152,TRANSPOSE('Default Values'!$C124:$CE124))</f>
        <v>0.25223534251682533</v>
      </c>
      <c r="H175" s="261">
        <f t="array" ref="H175">SUMPRODUCT(H$72:H$152,TRANSPOSE('Default Values'!$C124:$CE124))</f>
        <v>0</v>
      </c>
      <c r="I175" s="261">
        <f t="array" ref="I175">SUMPRODUCT(I$72:I$152,TRANSPOSE('Default Values'!$C124:$CE124))</f>
        <v>0</v>
      </c>
      <c r="J175" s="261">
        <f t="array" ref="J175">SUMPRODUCT(J$72:J$152,TRANSPOSE('Default Values'!$C124:$CE124))</f>
        <v>0.25223534251682533</v>
      </c>
      <c r="K175" s="261">
        <f t="array" ref="K175">SUMPRODUCT(K$72:K$152,TRANSPOSE('Default Values'!$C124:$CE124))</f>
        <v>4.9431441996798846E-3</v>
      </c>
      <c r="L175" s="261">
        <f t="array" ref="L175">SUMPRODUCT(L$72:L$152,TRANSPOSE('Default Values'!$C124:$CE124))</f>
        <v>0</v>
      </c>
      <c r="M175" s="261">
        <f t="array" ref="M175">SUMPRODUCT(M$72:M$152,TRANSPOSE('Default Values'!$C124:$CE124))</f>
        <v>0</v>
      </c>
      <c r="N175" s="261">
        <f t="array" ref="N175">SUMPRODUCT(N$72:N$152,TRANSPOSE('Default Values'!$C124:$CE124))</f>
        <v>0</v>
      </c>
      <c r="O175" s="261">
        <f t="array" ref="O175">SUMPRODUCT(O$72:O$152,TRANSPOSE('Default Values'!$C124:$CE124))</f>
        <v>0</v>
      </c>
      <c r="P175" s="261">
        <f t="array" ref="P175">SUMPRODUCT(P$72:P$152,TRANSPOSE('Default Values'!$C124:$CE124))</f>
        <v>0</v>
      </c>
      <c r="Q175" s="261">
        <f t="array" ref="Q175">SUMPRODUCT(Q$72:Q$152,TRANSPOSE('Default Values'!$C124:$CE124))</f>
        <v>0</v>
      </c>
      <c r="R175" s="261">
        <f t="array" ref="R175">SUMPRODUCT(R$72:R$152,TRANSPOSE('Default Values'!$C124:$CE124))</f>
        <v>0</v>
      </c>
      <c r="S175" s="246">
        <f t="shared" si="2"/>
        <v>1060.1512512132881</v>
      </c>
      <c r="T175" s="217"/>
      <c r="U175" s="217"/>
      <c r="V175" s="217"/>
      <c r="W175" s="217"/>
      <c r="X175" s="217"/>
      <c r="Y175" s="217"/>
      <c r="Z175" s="217"/>
      <c r="AA175" s="217"/>
    </row>
    <row r="176" spans="2:27" x14ac:dyDescent="0.3">
      <c r="B176" s="217"/>
      <c r="C176" s="260" t="s">
        <v>539</v>
      </c>
      <c r="D176" s="221" t="s">
        <v>363</v>
      </c>
      <c r="E176" s="261">
        <f t="array" ref="E176">SUMPRODUCT(E$72:E$152,TRANSPOSE('Default Values'!$C125:$CE125))</f>
        <v>0</v>
      </c>
      <c r="F176" s="261">
        <f t="array" ref="F176">SUMPRODUCT(F$72:F$152,TRANSPOSE('Default Values'!$C125:$CE125))</f>
        <v>0</v>
      </c>
      <c r="G176" s="261">
        <f t="array" ref="G176">SUMPRODUCT(G$72:G$152,TRANSPOSE('Default Values'!$C125:$CE125))</f>
        <v>0.25108350680817665</v>
      </c>
      <c r="H176" s="261">
        <f t="array" ref="H176">SUMPRODUCT(H$72:H$152,TRANSPOSE('Default Values'!$C125:$CE125))</f>
        <v>0</v>
      </c>
      <c r="I176" s="261">
        <f t="array" ref="I176">SUMPRODUCT(I$72:I$152,TRANSPOSE('Default Values'!$C125:$CE125))</f>
        <v>0</v>
      </c>
      <c r="J176" s="261">
        <f t="array" ref="J176">SUMPRODUCT(J$72:J$152,TRANSPOSE('Default Values'!$C125:$CE125))</f>
        <v>0.25108350680817665</v>
      </c>
      <c r="K176" s="261">
        <f t="array" ref="K176">SUMPRODUCT(K$72:K$152,TRANSPOSE('Default Values'!$C125:$CE125))</f>
        <v>9.487083233798585E-3</v>
      </c>
      <c r="L176" s="261">
        <f t="array" ref="L176">SUMPRODUCT(L$72:L$152,TRANSPOSE('Default Values'!$C125:$CE125))</f>
        <v>0</v>
      </c>
      <c r="M176" s="261">
        <f t="array" ref="M176">SUMPRODUCT(M$72:M$152,TRANSPOSE('Default Values'!$C125:$CE125))</f>
        <v>0</v>
      </c>
      <c r="N176" s="261">
        <f t="array" ref="N176">SUMPRODUCT(N$72:N$152,TRANSPOSE('Default Values'!$C125:$CE125))</f>
        <v>0</v>
      </c>
      <c r="O176" s="261">
        <f t="array" ref="O176">SUMPRODUCT(O$72:O$152,TRANSPOSE('Default Values'!$C125:$CE125))</f>
        <v>0</v>
      </c>
      <c r="P176" s="261">
        <f t="array" ref="P176">SUMPRODUCT(P$72:P$152,TRANSPOSE('Default Values'!$C125:$CE125))</f>
        <v>0</v>
      </c>
      <c r="Q176" s="261">
        <f t="array" ref="Q176">SUMPRODUCT(Q$72:Q$152,TRANSPOSE('Default Values'!$C125:$CE125))</f>
        <v>0</v>
      </c>
      <c r="R176" s="261">
        <f t="array" ref="R176">SUMPRODUCT(R$72:R$152,TRANSPOSE('Default Values'!$C125:$CE125))</f>
        <v>0</v>
      </c>
      <c r="S176" s="246">
        <f t="shared" si="2"/>
        <v>1061.8401699484693</v>
      </c>
      <c r="T176" s="217"/>
      <c r="U176" s="217"/>
      <c r="V176" s="217"/>
      <c r="W176" s="217"/>
      <c r="X176" s="217"/>
      <c r="Y176" s="217"/>
      <c r="Z176" s="217"/>
      <c r="AA176" s="217"/>
    </row>
    <row r="177" spans="2:27" x14ac:dyDescent="0.3">
      <c r="B177" s="217"/>
      <c r="C177" s="260" t="s">
        <v>540</v>
      </c>
      <c r="D177" s="221" t="s">
        <v>363</v>
      </c>
      <c r="E177" s="261">
        <f t="array" ref="E177">SUMPRODUCT(E$72:E$152,TRANSPOSE('Default Values'!$C126:$CE126))</f>
        <v>0</v>
      </c>
      <c r="F177" s="261">
        <f t="array" ref="F177">SUMPRODUCT(F$72:F$152,TRANSPOSE('Default Values'!$C126:$CE126))</f>
        <v>0</v>
      </c>
      <c r="G177" s="261">
        <f t="array" ref="G177">SUMPRODUCT(G$72:G$152,TRANSPOSE('Default Values'!$C126:$CE126))</f>
        <v>0.25</v>
      </c>
      <c r="H177" s="261">
        <f t="array" ref="H177">SUMPRODUCT(H$72:H$152,TRANSPOSE('Default Values'!$C126:$CE126))</f>
        <v>0</v>
      </c>
      <c r="I177" s="261">
        <f t="array" ref="I177">SUMPRODUCT(I$72:I$152,TRANSPOSE('Default Values'!$C126:$CE126))</f>
        <v>0</v>
      </c>
      <c r="J177" s="261">
        <f t="array" ref="J177">SUMPRODUCT(J$72:J$152,TRANSPOSE('Default Values'!$C126:$CE126))</f>
        <v>0.25</v>
      </c>
      <c r="K177" s="261">
        <f t="array" ref="K177">SUMPRODUCT(K$72:K$152,TRANSPOSE('Default Values'!$C126:$CE126))</f>
        <v>0</v>
      </c>
      <c r="L177" s="261">
        <f t="array" ref="L177">SUMPRODUCT(L$72:L$152,TRANSPOSE('Default Values'!$C126:$CE126))</f>
        <v>0</v>
      </c>
      <c r="M177" s="261">
        <f t="array" ref="M177">SUMPRODUCT(M$72:M$152,TRANSPOSE('Default Values'!$C126:$CE126))</f>
        <v>0</v>
      </c>
      <c r="N177" s="261">
        <f t="array" ref="N177">SUMPRODUCT(N$72:N$152,TRANSPOSE('Default Values'!$C126:$CE126))</f>
        <v>0</v>
      </c>
      <c r="O177" s="261">
        <f t="array" ref="O177">SUMPRODUCT(O$72:O$152,TRANSPOSE('Default Values'!$C126:$CE126))</f>
        <v>0</v>
      </c>
      <c r="P177" s="261">
        <f t="array" ref="P177">SUMPRODUCT(P$72:P$152,TRANSPOSE('Default Values'!$C126:$CE126))</f>
        <v>0</v>
      </c>
      <c r="Q177" s="261">
        <f t="array" ref="Q177">SUMPRODUCT(Q$72:Q$152,TRANSPOSE('Default Values'!$C126:$CE126))</f>
        <v>0</v>
      </c>
      <c r="R177" s="261">
        <f t="array" ref="R177">SUMPRODUCT(R$72:R$152,TRANSPOSE('Default Values'!$C126:$CE126))</f>
        <v>0</v>
      </c>
      <c r="S177" s="246">
        <f t="shared" si="2"/>
        <v>1043.75</v>
      </c>
      <c r="T177" s="217"/>
      <c r="U177" s="217"/>
      <c r="V177" s="217"/>
      <c r="W177" s="217"/>
      <c r="X177" s="217"/>
      <c r="Y177" s="217"/>
      <c r="Z177" s="217"/>
      <c r="AA177" s="217"/>
    </row>
    <row r="178" spans="2:27" x14ac:dyDescent="0.3">
      <c r="B178" s="217"/>
      <c r="C178" s="260" t="s">
        <v>541</v>
      </c>
      <c r="D178" s="221" t="s">
        <v>363</v>
      </c>
      <c r="E178" s="261">
        <f t="array" ref="E178">SUMPRODUCT(E$72:E$152,TRANSPOSE('Default Values'!$C127:$CE127))</f>
        <v>0</v>
      </c>
      <c r="F178" s="261">
        <f t="array" ref="F178">SUMPRODUCT(F$72:F$152,TRANSPOSE('Default Values'!$C127:$CE127))</f>
        <v>0</v>
      </c>
      <c r="G178" s="261">
        <f t="array" ref="G178">SUMPRODUCT(G$72:G$152,TRANSPOSE('Default Values'!$C127:$CE127))</f>
        <v>0.18684752652604844</v>
      </c>
      <c r="H178" s="261">
        <f t="array" ref="H178">SUMPRODUCT(H$72:H$152,TRANSPOSE('Default Values'!$C127:$CE127))</f>
        <v>0</v>
      </c>
      <c r="I178" s="261">
        <f t="array" ref="I178">SUMPRODUCT(I$72:I$152,TRANSPOSE('Default Values'!$C127:$CE127))</f>
        <v>0</v>
      </c>
      <c r="J178" s="261">
        <f t="array" ref="J178">SUMPRODUCT(J$72:J$152,TRANSPOSE('Default Values'!$C127:$CE127))</f>
        <v>0.2529076395590556</v>
      </c>
      <c r="K178" s="261">
        <f t="array" ref="K178">SUMPRODUCT(K$72:K$152,TRANSPOSE('Default Values'!$C127:$CE127))</f>
        <v>8.3876578343857165E-3</v>
      </c>
      <c r="L178" s="261">
        <f t="array" ref="L178">SUMPRODUCT(L$72:L$152,TRANSPOSE('Default Values'!$C127:$CE127))</f>
        <v>7.8071042675372113E-2</v>
      </c>
      <c r="M178" s="261">
        <f t="array" ref="M178">SUMPRODUCT(M$72:M$152,TRANSPOSE('Default Values'!$C127:$CE127))</f>
        <v>0</v>
      </c>
      <c r="N178" s="261">
        <f t="array" ref="N178">SUMPRODUCT(N$72:N$152,TRANSPOSE('Default Values'!$C127:$CE127))</f>
        <v>0</v>
      </c>
      <c r="O178" s="261">
        <f t="array" ref="O178">SUMPRODUCT(O$72:O$152,TRANSPOSE('Default Values'!$C127:$CE127))</f>
        <v>0</v>
      </c>
      <c r="P178" s="261">
        <f t="array" ref="P178">SUMPRODUCT(P$72:P$152,TRANSPOSE('Default Values'!$C127:$CE127))</f>
        <v>0</v>
      </c>
      <c r="Q178" s="261">
        <f t="array" ref="Q178">SUMPRODUCT(Q$72:Q$152,TRANSPOSE('Default Values'!$C127:$CE127))</f>
        <v>0</v>
      </c>
      <c r="R178" s="261">
        <f t="array" ref="R178">SUMPRODUCT(R$72:R$152,TRANSPOSE('Default Values'!$C127:$CE127))</f>
        <v>0</v>
      </c>
      <c r="S178" s="246">
        <f t="shared" si="2"/>
        <v>1372.2707303238622</v>
      </c>
      <c r="T178" s="217"/>
      <c r="U178" s="217"/>
      <c r="V178" s="217"/>
      <c r="W178" s="217"/>
      <c r="X178" s="217"/>
      <c r="Y178" s="217"/>
      <c r="Z178" s="217"/>
      <c r="AA178" s="217"/>
    </row>
    <row r="179" spans="2:27" x14ac:dyDescent="0.3">
      <c r="B179" s="217"/>
      <c r="C179" s="260" t="s">
        <v>433</v>
      </c>
      <c r="D179" s="221" t="s">
        <v>363</v>
      </c>
      <c r="E179" s="261">
        <f t="array" ref="E179">SUMPRODUCT(E$72:E$152,TRANSPOSE('Default Values'!$C128:$CE128))</f>
        <v>0</v>
      </c>
      <c r="F179" s="261">
        <f t="array" ref="F179">SUMPRODUCT(F$72:F$152,TRANSPOSE('Default Values'!$C128:$CE128))</f>
        <v>0</v>
      </c>
      <c r="G179" s="261">
        <f t="array" ref="G179">SUMPRODUCT(G$72:G$152,TRANSPOSE('Default Values'!$C128:$CE128))</f>
        <v>0.25</v>
      </c>
      <c r="H179" s="261">
        <f t="array" ref="H179">SUMPRODUCT(H$72:H$152,TRANSPOSE('Default Values'!$C128:$CE128))</f>
        <v>0</v>
      </c>
      <c r="I179" s="261">
        <f t="array" ref="I179">SUMPRODUCT(I$72:I$152,TRANSPOSE('Default Values'!$C128:$CE128))</f>
        <v>0</v>
      </c>
      <c r="J179" s="261">
        <f t="array" ref="J179">SUMPRODUCT(J$72:J$152,TRANSPOSE('Default Values'!$C128:$CE128))</f>
        <v>0.25</v>
      </c>
      <c r="K179" s="261">
        <f t="array" ref="K179">SUMPRODUCT(K$72:K$152,TRANSPOSE('Default Values'!$C128:$CE128))</f>
        <v>0</v>
      </c>
      <c r="L179" s="261">
        <f t="array" ref="L179">SUMPRODUCT(L$72:L$152,TRANSPOSE('Default Values'!$C128:$CE128))</f>
        <v>0</v>
      </c>
      <c r="M179" s="261">
        <f t="array" ref="M179">SUMPRODUCT(M$72:M$152,TRANSPOSE('Default Values'!$C128:$CE128))</f>
        <v>0</v>
      </c>
      <c r="N179" s="261">
        <f t="array" ref="N179">SUMPRODUCT(N$72:N$152,TRANSPOSE('Default Values'!$C128:$CE128))</f>
        <v>0</v>
      </c>
      <c r="O179" s="261">
        <f t="array" ref="O179">SUMPRODUCT(O$72:O$152,TRANSPOSE('Default Values'!$C128:$CE128))</f>
        <v>0</v>
      </c>
      <c r="P179" s="261">
        <f t="array" ref="P179">SUMPRODUCT(P$72:P$152,TRANSPOSE('Default Values'!$C128:$CE128))</f>
        <v>0</v>
      </c>
      <c r="Q179" s="261">
        <f t="array" ref="Q179">SUMPRODUCT(Q$72:Q$152,TRANSPOSE('Default Values'!$C128:$CE128))</f>
        <v>0</v>
      </c>
      <c r="R179" s="261">
        <f t="array" ref="R179">SUMPRODUCT(R$72:R$152,TRANSPOSE('Default Values'!$C128:$CE128))</f>
        <v>0</v>
      </c>
      <c r="S179" s="246">
        <f t="shared" si="2"/>
        <v>1043.75</v>
      </c>
      <c r="T179" s="217"/>
      <c r="U179" s="217"/>
      <c r="V179" s="217"/>
      <c r="W179" s="217"/>
      <c r="X179" s="217"/>
      <c r="Y179" s="217"/>
      <c r="Z179" s="217"/>
      <c r="AA179" s="217"/>
    </row>
    <row r="180" spans="2:27" x14ac:dyDescent="0.3">
      <c r="B180" s="217"/>
      <c r="C180" s="260" t="s">
        <v>342</v>
      </c>
      <c r="D180" s="221" t="s">
        <v>363</v>
      </c>
      <c r="E180" s="261">
        <f t="array" ref="E180">SUMPRODUCT(E$72:E$152,TRANSPOSE('Default Values'!$C129:$CE129))</f>
        <v>0</v>
      </c>
      <c r="F180" s="261">
        <f t="array" ref="F180">SUMPRODUCT(F$72:F$152,TRANSPOSE('Default Values'!$C129:$CE129))</f>
        <v>0</v>
      </c>
      <c r="G180" s="261">
        <f t="array" ref="G180">SUMPRODUCT(G$72:G$152,TRANSPOSE('Default Values'!$C129:$CE129))</f>
        <v>0.1869290233859115</v>
      </c>
      <c r="H180" s="261">
        <f t="array" ref="H180">SUMPRODUCT(H$72:H$152,TRANSPOSE('Default Values'!$C129:$CE129))</f>
        <v>0</v>
      </c>
      <c r="I180" s="261">
        <f t="array" ref="I180">SUMPRODUCT(I$72:I$152,TRANSPOSE('Default Values'!$C129:$CE129))</f>
        <v>0</v>
      </c>
      <c r="J180" s="261">
        <f t="array" ref="J180">SUMPRODUCT(J$72:J$152,TRANSPOSE('Default Values'!$C129:$CE129))</f>
        <v>0.25301794970788472</v>
      </c>
      <c r="K180" s="261">
        <f t="array" ref="K180">SUMPRODUCT(K$72:K$152,TRANSPOSE('Default Values'!$C129:$CE129))</f>
        <v>7.955148538756035E-3</v>
      </c>
      <c r="L180" s="261">
        <f t="array" ref="L180">SUMPRODUCT(L$72:L$152,TRANSPOSE('Default Values'!$C129:$CE129))</f>
        <v>7.8105094744150158E-2</v>
      </c>
      <c r="M180" s="261">
        <f t="array" ref="M180">SUMPRODUCT(M$72:M$152,TRANSPOSE('Default Values'!$C129:$CE129))</f>
        <v>0</v>
      </c>
      <c r="N180" s="261">
        <f t="array" ref="N180">SUMPRODUCT(N$72:N$152,TRANSPOSE('Default Values'!$C129:$CE129))</f>
        <v>0</v>
      </c>
      <c r="O180" s="261">
        <f t="array" ref="O180">SUMPRODUCT(O$72:O$152,TRANSPOSE('Default Values'!$C129:$CE129))</f>
        <v>0</v>
      </c>
      <c r="P180" s="261">
        <f t="array" ref="P180">SUMPRODUCT(P$72:P$152,TRANSPOSE('Default Values'!$C129:$CE129))</f>
        <v>0</v>
      </c>
      <c r="Q180" s="261">
        <f t="array" ref="Q180">SUMPRODUCT(Q$72:Q$152,TRANSPOSE('Default Values'!$C129:$CE129))</f>
        <v>0</v>
      </c>
      <c r="R180" s="261">
        <f t="array" ref="R180">SUMPRODUCT(R$72:R$152,TRANSPOSE('Default Values'!$C129:$CE129))</f>
        <v>0</v>
      </c>
      <c r="S180" s="246">
        <f t="shared" si="2"/>
        <v>1372.2455506798592</v>
      </c>
      <c r="T180" s="217"/>
      <c r="U180" s="217"/>
      <c r="V180" s="217"/>
      <c r="W180" s="217"/>
      <c r="X180" s="217"/>
      <c r="Y180" s="217"/>
      <c r="Z180" s="217"/>
      <c r="AA180" s="217"/>
    </row>
    <row r="181" spans="2:27" x14ac:dyDescent="0.3">
      <c r="B181" s="217"/>
      <c r="C181" s="260" t="s">
        <v>567</v>
      </c>
      <c r="D181" s="221" t="s">
        <v>363</v>
      </c>
      <c r="E181" s="261">
        <f t="array" ref="E181">SUMPRODUCT(E$72:E$152,TRANSPOSE('Default Values'!$C130:$CE130))</f>
        <v>0</v>
      </c>
      <c r="F181" s="261">
        <f t="array" ref="F181">SUMPRODUCT(F$72:F$152,TRANSPOSE('Default Values'!$C130:$CE130))</f>
        <v>0</v>
      </c>
      <c r="G181" s="261">
        <f t="array" ref="G181">SUMPRODUCT(G$72:G$152,TRANSPOSE('Default Values'!$C130:$CE130))</f>
        <v>4.7095761381475663E-3</v>
      </c>
      <c r="H181" s="261">
        <f t="array" ref="H181">SUMPRODUCT(H$72:H$152,TRANSPOSE('Default Values'!$C130:$CE130))</f>
        <v>0</v>
      </c>
      <c r="I181" s="261">
        <f t="array" ref="I181">SUMPRODUCT(I$72:I$152,TRANSPOSE('Default Values'!$C130:$CE130))</f>
        <v>0</v>
      </c>
      <c r="J181" s="261">
        <f t="array" ref="J181">SUMPRODUCT(J$72:J$152,TRANSPOSE('Default Values'!$C130:$CE130))</f>
        <v>0.26373626373626369</v>
      </c>
      <c r="K181" s="261">
        <f t="array" ref="K181">SUMPRODUCT(K$72:K$152,TRANSPOSE('Default Values'!$C130:$CE130))</f>
        <v>2.3547880690737832E-2</v>
      </c>
      <c r="L181" s="261">
        <f t="array" ref="L181">SUMPRODUCT(L$72:L$152,TRANSPOSE('Default Values'!$C130:$CE130))</f>
        <v>0.30612244897959184</v>
      </c>
      <c r="M181" s="261">
        <f t="array" ref="M181">SUMPRODUCT(M$72:M$152,TRANSPOSE('Default Values'!$C130:$CE130))</f>
        <v>0</v>
      </c>
      <c r="N181" s="261">
        <f t="array" ref="N181">SUMPRODUCT(N$72:N$152,TRANSPOSE('Default Values'!$C130:$CE130))</f>
        <v>0</v>
      </c>
      <c r="O181" s="261">
        <f t="array" ref="O181">SUMPRODUCT(O$72:O$152,TRANSPOSE('Default Values'!$C130:$CE130))</f>
        <v>0</v>
      </c>
      <c r="P181" s="261">
        <f t="array" ref="P181">SUMPRODUCT(P$72:P$152,TRANSPOSE('Default Values'!$C130:$CE130))</f>
        <v>0</v>
      </c>
      <c r="Q181" s="261">
        <f t="array" ref="Q181">SUMPRODUCT(Q$72:Q$152,TRANSPOSE('Default Values'!$C130:$CE130))</f>
        <v>0</v>
      </c>
      <c r="R181" s="261">
        <f t="array" ref="R181">SUMPRODUCT(R$72:R$152,TRANSPOSE('Default Values'!$C130:$CE130))</f>
        <v>0</v>
      </c>
      <c r="S181" s="246">
        <f t="shared" ref="S181" si="4">SUMPRODUCT(E181:R181,$E$70:$R$70)</f>
        <v>2328.2967032967031</v>
      </c>
      <c r="T181" s="217"/>
      <c r="U181" s="217"/>
      <c r="V181" s="217"/>
      <c r="W181" s="217"/>
      <c r="X181" s="217"/>
      <c r="Y181" s="217"/>
      <c r="Z181" s="217"/>
      <c r="AA181" s="217"/>
    </row>
    <row r="182" spans="2:27" x14ac:dyDescent="0.3">
      <c r="B182" s="217"/>
      <c r="C182" s="260" t="s">
        <v>542</v>
      </c>
      <c r="D182" s="221" t="s">
        <v>363</v>
      </c>
      <c r="E182" s="261">
        <f t="array" ref="E182">SUMPRODUCT(E$72:E$152,TRANSPOSE('Default Values'!$C131:$CE131))</f>
        <v>0</v>
      </c>
      <c r="F182" s="261">
        <f t="array" ref="F182">SUMPRODUCT(F$72:F$152,TRANSPOSE('Default Values'!$C131:$CE131))</f>
        <v>0</v>
      </c>
      <c r="G182" s="261">
        <f t="array" ref="G182">SUMPRODUCT(G$72:G$152,TRANSPOSE('Default Values'!$C131:$CE131))</f>
        <v>0.25</v>
      </c>
      <c r="H182" s="261">
        <f t="array" ref="H182">SUMPRODUCT(H$72:H$152,TRANSPOSE('Default Values'!$C131:$CE131))</f>
        <v>0</v>
      </c>
      <c r="I182" s="261">
        <f t="array" ref="I182">SUMPRODUCT(I$72:I$152,TRANSPOSE('Default Values'!$C131:$CE131))</f>
        <v>0</v>
      </c>
      <c r="J182" s="261">
        <f t="array" ref="J182">SUMPRODUCT(J$72:J$152,TRANSPOSE('Default Values'!$C131:$CE131))</f>
        <v>0.25</v>
      </c>
      <c r="K182" s="261">
        <f t="array" ref="K182">SUMPRODUCT(K$72:K$152,TRANSPOSE('Default Values'!$C131:$CE131))</f>
        <v>0</v>
      </c>
      <c r="L182" s="261">
        <f t="array" ref="L182">SUMPRODUCT(L$72:L$152,TRANSPOSE('Default Values'!$C131:$CE131))</f>
        <v>0</v>
      </c>
      <c r="M182" s="261">
        <f t="array" ref="M182">SUMPRODUCT(M$72:M$152,TRANSPOSE('Default Values'!$C131:$CE131))</f>
        <v>0</v>
      </c>
      <c r="N182" s="261">
        <f t="array" ref="N182">SUMPRODUCT(N$72:N$152,TRANSPOSE('Default Values'!$C131:$CE131))</f>
        <v>0</v>
      </c>
      <c r="O182" s="261">
        <f t="array" ref="O182">SUMPRODUCT(O$72:O$152,TRANSPOSE('Default Values'!$C131:$CE131))</f>
        <v>0</v>
      </c>
      <c r="P182" s="261">
        <f t="array" ref="P182">SUMPRODUCT(P$72:P$152,TRANSPOSE('Default Values'!$C131:$CE131))</f>
        <v>0</v>
      </c>
      <c r="Q182" s="261">
        <f t="array" ref="Q182">SUMPRODUCT(Q$72:Q$152,TRANSPOSE('Default Values'!$C131:$CE131))</f>
        <v>0</v>
      </c>
      <c r="R182" s="261">
        <f t="array" ref="R182">SUMPRODUCT(R$72:R$152,TRANSPOSE('Default Values'!$C131:$CE131))</f>
        <v>0</v>
      </c>
      <c r="S182" s="246">
        <f t="shared" si="2"/>
        <v>1043.75</v>
      </c>
      <c r="T182" s="217"/>
      <c r="U182" s="217"/>
      <c r="V182" s="217"/>
      <c r="W182" s="217"/>
      <c r="X182" s="217"/>
      <c r="Y182" s="217"/>
      <c r="Z182" s="217"/>
      <c r="AA182" s="217"/>
    </row>
    <row r="183" spans="2:27" x14ac:dyDescent="0.3">
      <c r="B183" s="217"/>
      <c r="C183" s="260" t="s">
        <v>543</v>
      </c>
      <c r="D183" s="221" t="s">
        <v>363</v>
      </c>
      <c r="E183" s="261">
        <f t="array" ref="E183">SUMPRODUCT(E$72:E$152,TRANSPOSE('Default Values'!$C132:$CE132))</f>
        <v>0</v>
      </c>
      <c r="F183" s="261">
        <f t="array" ref="F183">SUMPRODUCT(F$72:F$152,TRANSPOSE('Default Values'!$C132:$CE132))</f>
        <v>0</v>
      </c>
      <c r="G183" s="261">
        <f t="array" ref="G183">SUMPRODUCT(G$72:G$152,TRANSPOSE('Default Values'!$C132:$CE132))</f>
        <v>0</v>
      </c>
      <c r="H183" s="261">
        <f t="array" ref="H183">SUMPRODUCT(H$72:H$152,TRANSPOSE('Default Values'!$C132:$CE132))</f>
        <v>0</v>
      </c>
      <c r="I183" s="261">
        <f t="array" ref="I183">SUMPRODUCT(I$72:I$152,TRANSPOSE('Default Values'!$C132:$CE132))</f>
        <v>0</v>
      </c>
      <c r="J183" s="261">
        <f t="array" ref="J183">SUMPRODUCT(J$72:J$152,TRANSPOSE('Default Values'!$C132:$CE132))</f>
        <v>0.26400000000000001</v>
      </c>
      <c r="K183" s="261">
        <f t="array" ref="K183">SUMPRODUCT(K$72:K$152,TRANSPOSE('Default Values'!$C132:$CE132))</f>
        <v>2.4E-2</v>
      </c>
      <c r="L183" s="261">
        <f t="array" ref="L183">SUMPRODUCT(L$72:L$152,TRANSPOSE('Default Values'!$C132:$CE132))</f>
        <v>0.312</v>
      </c>
      <c r="M183" s="261">
        <f t="array" ref="M183">SUMPRODUCT(M$72:M$152,TRANSPOSE('Default Values'!$C132:$CE132))</f>
        <v>0</v>
      </c>
      <c r="N183" s="261">
        <f t="array" ref="N183">SUMPRODUCT(N$72:N$152,TRANSPOSE('Default Values'!$C132:$CE132))</f>
        <v>0</v>
      </c>
      <c r="O183" s="261">
        <f t="array" ref="O183">SUMPRODUCT(O$72:O$152,TRANSPOSE('Default Values'!$C132:$CE132))</f>
        <v>0</v>
      </c>
      <c r="P183" s="261">
        <f t="array" ref="P183">SUMPRODUCT(P$72:P$152,TRANSPOSE('Default Values'!$C132:$CE132))</f>
        <v>0</v>
      </c>
      <c r="Q183" s="261">
        <f t="array" ref="Q183">SUMPRODUCT(Q$72:Q$152,TRANSPOSE('Default Values'!$C132:$CE132))</f>
        <v>0</v>
      </c>
      <c r="R183" s="261">
        <f t="array" ref="R183">SUMPRODUCT(R$72:R$152,TRANSPOSE('Default Values'!$C132:$CE132))</f>
        <v>0</v>
      </c>
      <c r="S183" s="246">
        <f>SUMPRODUCT(E183:R183,$E$70:$R$70)</f>
        <v>2352.96</v>
      </c>
      <c r="T183" s="217"/>
      <c r="U183" s="217"/>
      <c r="V183" s="217"/>
      <c r="W183" s="217"/>
      <c r="X183" s="217"/>
      <c r="Y183" s="217"/>
      <c r="Z183" s="217"/>
      <c r="AA183" s="217"/>
    </row>
    <row r="184" spans="2:27" x14ac:dyDescent="0.3">
      <c r="B184" s="217"/>
      <c r="C184" s="260" t="s">
        <v>544</v>
      </c>
      <c r="D184" s="221" t="s">
        <v>363</v>
      </c>
      <c r="E184" s="261">
        <f t="array" ref="E184">SUMPRODUCT(E$72:E$152,TRANSPOSE('Default Values'!$C133:$CE133))</f>
        <v>0</v>
      </c>
      <c r="F184" s="261">
        <f t="array" ref="F184">SUMPRODUCT(F$72:F$152,TRANSPOSE('Default Values'!$C133:$CE133))</f>
        <v>0</v>
      </c>
      <c r="G184" s="261">
        <f t="array" ref="G184">SUMPRODUCT(G$72:G$152,TRANSPOSE('Default Values'!$C133:$CE133))</f>
        <v>0.25</v>
      </c>
      <c r="H184" s="261">
        <f t="array" ref="H184">SUMPRODUCT(H$72:H$152,TRANSPOSE('Default Values'!$C133:$CE133))</f>
        <v>0</v>
      </c>
      <c r="I184" s="261">
        <f t="array" ref="I184">SUMPRODUCT(I$72:I$152,TRANSPOSE('Default Values'!$C133:$CE133))</f>
        <v>0</v>
      </c>
      <c r="J184" s="261">
        <f t="array" ref="J184">SUMPRODUCT(J$72:J$152,TRANSPOSE('Default Values'!$C133:$CE133))</f>
        <v>0.25</v>
      </c>
      <c r="K184" s="261">
        <f t="array" ref="K184">SUMPRODUCT(K$72:K$152,TRANSPOSE('Default Values'!$C133:$CE133))</f>
        <v>0</v>
      </c>
      <c r="L184" s="261">
        <f t="array" ref="L184">SUMPRODUCT(L$72:L$152,TRANSPOSE('Default Values'!$C133:$CE133))</f>
        <v>0</v>
      </c>
      <c r="M184" s="261">
        <f t="array" ref="M184">SUMPRODUCT(M$72:M$152,TRANSPOSE('Default Values'!$C133:$CE133))</f>
        <v>0</v>
      </c>
      <c r="N184" s="261">
        <f t="array" ref="N184">SUMPRODUCT(N$72:N$152,TRANSPOSE('Default Values'!$C133:$CE133))</f>
        <v>0</v>
      </c>
      <c r="O184" s="261">
        <f t="array" ref="O184">SUMPRODUCT(O$72:O$152,TRANSPOSE('Default Values'!$C133:$CE133))</f>
        <v>0</v>
      </c>
      <c r="P184" s="261">
        <f t="array" ref="P184">SUMPRODUCT(P$72:P$152,TRANSPOSE('Default Values'!$C133:$CE133))</f>
        <v>0</v>
      </c>
      <c r="Q184" s="261">
        <f t="array" ref="Q184">SUMPRODUCT(Q$72:Q$152,TRANSPOSE('Default Values'!$C133:$CE133))</f>
        <v>0</v>
      </c>
      <c r="R184" s="261">
        <f t="array" ref="R184">SUMPRODUCT(R$72:R$152,TRANSPOSE('Default Values'!$C133:$CE133))</f>
        <v>0</v>
      </c>
      <c r="S184" s="246">
        <f t="shared" si="2"/>
        <v>1043.75</v>
      </c>
      <c r="T184" s="217"/>
      <c r="U184" s="217"/>
      <c r="V184" s="217"/>
      <c r="W184" s="217"/>
      <c r="X184" s="217"/>
      <c r="Y184" s="217"/>
      <c r="Z184" s="217"/>
      <c r="AA184" s="217"/>
    </row>
    <row r="185" spans="2:27" x14ac:dyDescent="0.3">
      <c r="B185" s="217"/>
      <c r="C185" s="260" t="s">
        <v>545</v>
      </c>
      <c r="D185" s="221" t="s">
        <v>363</v>
      </c>
      <c r="E185" s="261">
        <f t="array" ref="E185">SUMPRODUCT(E$72:E$152,TRANSPOSE('Default Values'!$C134:$CE134))</f>
        <v>0</v>
      </c>
      <c r="F185" s="261">
        <f t="array" ref="F185">SUMPRODUCT(F$72:F$152,TRANSPOSE('Default Values'!$C134:$CE134))</f>
        <v>0</v>
      </c>
      <c r="G185" s="261">
        <f t="array" ref="G185">SUMPRODUCT(G$72:G$152,TRANSPOSE('Default Values'!$C134:$CE134))</f>
        <v>0.25</v>
      </c>
      <c r="H185" s="261">
        <f t="array" ref="H185">SUMPRODUCT(H$72:H$152,TRANSPOSE('Default Values'!$C134:$CE134))</f>
        <v>0</v>
      </c>
      <c r="I185" s="261">
        <f t="array" ref="I185">SUMPRODUCT(I$72:I$152,TRANSPOSE('Default Values'!$C134:$CE134))</f>
        <v>0</v>
      </c>
      <c r="J185" s="261">
        <f t="array" ref="J185">SUMPRODUCT(J$72:J$152,TRANSPOSE('Default Values'!$C134:$CE134))</f>
        <v>0.25</v>
      </c>
      <c r="K185" s="261">
        <f t="array" ref="K185">SUMPRODUCT(K$72:K$152,TRANSPOSE('Default Values'!$C134:$CE134))</f>
        <v>0</v>
      </c>
      <c r="L185" s="261">
        <f t="array" ref="L185">SUMPRODUCT(L$72:L$152,TRANSPOSE('Default Values'!$C134:$CE134))</f>
        <v>0</v>
      </c>
      <c r="M185" s="261">
        <f t="array" ref="M185">SUMPRODUCT(M$72:M$152,TRANSPOSE('Default Values'!$C134:$CE134))</f>
        <v>0</v>
      </c>
      <c r="N185" s="261">
        <f t="array" ref="N185">SUMPRODUCT(N$72:N$152,TRANSPOSE('Default Values'!$C134:$CE134))</f>
        <v>0</v>
      </c>
      <c r="O185" s="261">
        <f t="array" ref="O185">SUMPRODUCT(O$72:O$152,TRANSPOSE('Default Values'!$C134:$CE134))</f>
        <v>0</v>
      </c>
      <c r="P185" s="261">
        <f t="array" ref="P185">SUMPRODUCT(P$72:P$152,TRANSPOSE('Default Values'!$C134:$CE134))</f>
        <v>0</v>
      </c>
      <c r="Q185" s="261">
        <f t="array" ref="Q185">SUMPRODUCT(Q$72:Q$152,TRANSPOSE('Default Values'!$C134:$CE134))</f>
        <v>0</v>
      </c>
      <c r="R185" s="261">
        <f t="array" ref="R185">SUMPRODUCT(R$72:R$152,TRANSPOSE('Default Values'!$C134:$CE134))</f>
        <v>0</v>
      </c>
      <c r="S185" s="246">
        <f t="shared" si="2"/>
        <v>1043.75</v>
      </c>
      <c r="T185" s="217"/>
      <c r="U185" s="217"/>
      <c r="V185" s="217"/>
      <c r="W185" s="217"/>
      <c r="X185" s="217"/>
      <c r="Y185" s="217"/>
      <c r="Z185" s="217"/>
      <c r="AA185" s="217"/>
    </row>
    <row r="186" spans="2:27" x14ac:dyDescent="0.3">
      <c r="B186" s="217"/>
      <c r="C186" s="260" t="s">
        <v>432</v>
      </c>
      <c r="D186" s="221" t="s">
        <v>363</v>
      </c>
      <c r="E186" s="261">
        <f t="array" ref="E186">SUMPRODUCT(E$72:E$152,TRANSPOSE('Default Values'!$C135:$CE135))</f>
        <v>0</v>
      </c>
      <c r="F186" s="261">
        <f t="array" ref="F186">SUMPRODUCT(F$72:F$152,TRANSPOSE('Default Values'!$C135:$CE135))</f>
        <v>0</v>
      </c>
      <c r="G186" s="261">
        <f t="array" ref="G186">SUMPRODUCT(G$72:G$152,TRANSPOSE('Default Values'!$C135:$CE135))</f>
        <v>0</v>
      </c>
      <c r="H186" s="261">
        <f t="array" ref="H186">SUMPRODUCT(H$72:H$152,TRANSPOSE('Default Values'!$C135:$CE135))</f>
        <v>0</v>
      </c>
      <c r="I186" s="261">
        <f t="array" ref="I186">SUMPRODUCT(I$72:I$152,TRANSPOSE('Default Values'!$C135:$CE135))</f>
        <v>0</v>
      </c>
      <c r="J186" s="261">
        <f t="array" ref="J186">SUMPRODUCT(J$72:J$152,TRANSPOSE('Default Values'!$C135:$CE135))</f>
        <v>0.19666228673709044</v>
      </c>
      <c r="K186" s="261">
        <f t="array" ref="K186">SUMPRODUCT(K$72:K$152,TRANSPOSE('Default Values'!$C135:$CE135))</f>
        <v>0.12395890453477904</v>
      </c>
      <c r="L186" s="261">
        <f t="array" ref="L186">SUMPRODUCT(L$72:L$152,TRANSPOSE('Default Values'!$C135:$CE135))</f>
        <v>0.23241906614383415</v>
      </c>
      <c r="M186" s="261">
        <f t="array" ref="M186">SUMPRODUCT(M$72:M$152,TRANSPOSE('Default Values'!$C135:$CE135))</f>
        <v>0</v>
      </c>
      <c r="N186" s="261">
        <f t="array" ref="N186">SUMPRODUCT(N$72:N$152,TRANSPOSE('Default Values'!$C135:$CE135))</f>
        <v>0</v>
      </c>
      <c r="O186" s="261">
        <f t="array" ref="O186">SUMPRODUCT(O$72:O$152,TRANSPOSE('Default Values'!$C135:$CE135))</f>
        <v>0</v>
      </c>
      <c r="P186" s="261">
        <f t="array" ref="P186">SUMPRODUCT(P$72:P$152,TRANSPOSE('Default Values'!$C135:$CE135))</f>
        <v>0</v>
      </c>
      <c r="Q186" s="261">
        <f t="array" ref="Q186">SUMPRODUCT(Q$72:Q$152,TRANSPOSE('Default Values'!$C135:$CE135))</f>
        <v>0</v>
      </c>
      <c r="R186" s="261">
        <f t="array" ref="R186">SUMPRODUCT(R$72:R$152,TRANSPOSE('Default Values'!$C135:$CE135))</f>
        <v>0</v>
      </c>
      <c r="S186" s="246">
        <f t="shared" si="2"/>
        <v>1904.4924627274891</v>
      </c>
      <c r="T186" s="217"/>
      <c r="U186" s="217"/>
      <c r="V186" s="217"/>
      <c r="W186" s="217"/>
      <c r="X186" s="217"/>
      <c r="Y186" s="217"/>
      <c r="Z186" s="217"/>
      <c r="AA186" s="217"/>
    </row>
    <row r="187" spans="2:27" x14ac:dyDescent="0.3">
      <c r="B187" s="217"/>
      <c r="C187" s="260" t="s">
        <v>343</v>
      </c>
      <c r="D187" s="221" t="s">
        <v>363</v>
      </c>
      <c r="E187" s="261">
        <f t="array" ref="E187">SUMPRODUCT(E$72:E$152,TRANSPOSE('Default Values'!$C136:$CE136))</f>
        <v>0</v>
      </c>
      <c r="F187" s="261">
        <f t="array" ref="F187">SUMPRODUCT(F$72:F$152,TRANSPOSE('Default Values'!$C136:$CE136))</f>
        <v>0</v>
      </c>
      <c r="G187" s="261">
        <f t="array" ref="G187">SUMPRODUCT(G$72:G$152,TRANSPOSE('Default Values'!$C136:$CE136))</f>
        <v>0.22857142857142859</v>
      </c>
      <c r="H187" s="261">
        <f t="array" ref="H187">SUMPRODUCT(H$72:H$152,TRANSPOSE('Default Values'!$C136:$CE136))</f>
        <v>0</v>
      </c>
      <c r="I187" s="261">
        <f t="array" ref="I187">SUMPRODUCT(I$72:I$152,TRANSPOSE('Default Values'!$C136:$CE136))</f>
        <v>0</v>
      </c>
      <c r="J187" s="261">
        <f t="array" ref="J187">SUMPRODUCT(J$72:J$152,TRANSPOSE('Default Values'!$C136:$CE136))</f>
        <v>0.22857142857142859</v>
      </c>
      <c r="K187" s="261">
        <f t="array" ref="K187">SUMPRODUCT(K$72:K$152,TRANSPOSE('Default Values'!$C136:$CE136))</f>
        <v>8.5714285714285743E-2</v>
      </c>
      <c r="L187" s="261">
        <f t="array" ref="L187">SUMPRODUCT(L$72:L$152,TRANSPOSE('Default Values'!$C136:$CE136))</f>
        <v>0</v>
      </c>
      <c r="M187" s="261">
        <f t="array" ref="M187">SUMPRODUCT(M$72:M$152,TRANSPOSE('Default Values'!$C136:$CE136))</f>
        <v>0</v>
      </c>
      <c r="N187" s="261">
        <f t="array" ref="N187">SUMPRODUCT(N$72:N$152,TRANSPOSE('Default Values'!$C136:$CE136))</f>
        <v>0</v>
      </c>
      <c r="O187" s="261">
        <f t="array" ref="O187">SUMPRODUCT(O$72:O$152,TRANSPOSE('Default Values'!$C136:$CE136))</f>
        <v>0</v>
      </c>
      <c r="P187" s="261">
        <f t="array" ref="P187">SUMPRODUCT(P$72:P$152,TRANSPOSE('Default Values'!$C136:$CE136))</f>
        <v>0</v>
      </c>
      <c r="Q187" s="261">
        <f t="array" ref="Q187">SUMPRODUCT(Q$72:Q$152,TRANSPOSE('Default Values'!$C136:$CE136))</f>
        <v>0</v>
      </c>
      <c r="R187" s="261">
        <f t="array" ref="R187">SUMPRODUCT(R$72:R$152,TRANSPOSE('Default Values'!$C136:$CE136))</f>
        <v>0</v>
      </c>
      <c r="S187" s="246">
        <f t="shared" si="2"/>
        <v>1076.8571428571431</v>
      </c>
      <c r="T187" s="217"/>
      <c r="U187" s="217"/>
      <c r="V187" s="217"/>
      <c r="W187" s="217"/>
      <c r="X187" s="217"/>
      <c r="Y187" s="217"/>
      <c r="Z187" s="217"/>
      <c r="AA187" s="217"/>
    </row>
    <row r="188" spans="2:27" x14ac:dyDescent="0.3">
      <c r="B188" s="217"/>
      <c r="C188" s="260" t="s">
        <v>791</v>
      </c>
      <c r="D188" s="221" t="s">
        <v>363</v>
      </c>
      <c r="E188" s="261">
        <f t="array" ref="E188">SUMPRODUCT(E$72:E$152,TRANSPOSE('Default Values'!$C137:$CE137))</f>
        <v>0</v>
      </c>
      <c r="F188" s="261">
        <f t="array" ref="F188">SUMPRODUCT(F$72:F$152,TRANSPOSE('Default Values'!$C137:$CE137))</f>
        <v>0</v>
      </c>
      <c r="G188" s="261">
        <f t="array" ref="G188">SUMPRODUCT(G$72:G$152,TRANSPOSE('Default Values'!$C137:$CE137))</f>
        <v>0</v>
      </c>
      <c r="H188" s="261">
        <f t="array" ref="H188">SUMPRODUCT(H$72:H$152,TRANSPOSE('Default Values'!$C137:$CE137))</f>
        <v>0</v>
      </c>
      <c r="I188" s="261">
        <f t="array" ref="I188">SUMPRODUCT(I$72:I$152,TRANSPOSE('Default Values'!$C137:$CE137))</f>
        <v>0</v>
      </c>
      <c r="J188" s="261">
        <f t="array" ref="J188">SUMPRODUCT(J$72:J$152,TRANSPOSE('Default Values'!$C137:$CE137))</f>
        <v>0</v>
      </c>
      <c r="K188" s="261">
        <f t="array" ref="K188">SUMPRODUCT(K$72:K$152,TRANSPOSE('Default Values'!$C137:$CE137))</f>
        <v>1</v>
      </c>
      <c r="L188" s="261">
        <f t="array" ref="L188">SUMPRODUCT(L$72:L$152,TRANSPOSE('Default Values'!$C137:$CE137))</f>
        <v>0</v>
      </c>
      <c r="M188" s="261">
        <f t="array" ref="M188">SUMPRODUCT(M$72:M$152,TRANSPOSE('Default Values'!$C137:$CE137))</f>
        <v>0</v>
      </c>
      <c r="N188" s="261">
        <f t="array" ref="N188">SUMPRODUCT(N$72:N$152,TRANSPOSE('Default Values'!$C137:$CE137))</f>
        <v>0</v>
      </c>
      <c r="O188" s="261">
        <f t="array" ref="O188">SUMPRODUCT(O$72:O$152,TRANSPOSE('Default Values'!$C137:$CE137))</f>
        <v>0</v>
      </c>
      <c r="P188" s="261">
        <f t="array" ref="P188">SUMPRODUCT(P$72:P$152,TRANSPOSE('Default Values'!$C137:$CE137))</f>
        <v>0</v>
      </c>
      <c r="Q188" s="261">
        <f t="array" ref="Q188">SUMPRODUCT(Q$72:Q$152,TRANSPOSE('Default Values'!$C137:$CE137))</f>
        <v>0</v>
      </c>
      <c r="R188" s="261">
        <f t="array" ref="R188">SUMPRODUCT(R$72:R$152,TRANSPOSE('Default Values'!$C137:$CE137))</f>
        <v>0</v>
      </c>
      <c r="S188" s="246">
        <f t="shared" si="2"/>
        <v>1430</v>
      </c>
      <c r="T188" s="217"/>
      <c r="U188" s="217"/>
      <c r="V188" s="217"/>
      <c r="W188" s="217"/>
      <c r="X188" s="217"/>
      <c r="Y188" s="217"/>
      <c r="Z188" s="217"/>
      <c r="AA188" s="217"/>
    </row>
    <row r="189" spans="2:27" s="506" customFormat="1" x14ac:dyDescent="0.3">
      <c r="B189" s="217"/>
      <c r="C189" s="260" t="s">
        <v>792</v>
      </c>
      <c r="D189" s="221" t="s">
        <v>363</v>
      </c>
      <c r="E189" s="261">
        <f t="array" ref="E189">SUMPRODUCT(E$72:E$152,TRANSPOSE('Default Values'!$C138:$CE138))</f>
        <v>0</v>
      </c>
      <c r="F189" s="261">
        <f t="array" ref="F189">SUMPRODUCT(F$72:F$152,TRANSPOSE('Default Values'!$C138:$CE138))</f>
        <v>0</v>
      </c>
      <c r="G189" s="261">
        <f t="array" ref="G189">SUMPRODUCT(G$72:G$152,TRANSPOSE('Default Values'!$C138:$CE138))</f>
        <v>0</v>
      </c>
      <c r="H189" s="261">
        <f t="array" ref="H189">SUMPRODUCT(H$72:H$152,TRANSPOSE('Default Values'!$C138:$CE138))</f>
        <v>0</v>
      </c>
      <c r="I189" s="261">
        <f t="array" ref="I189">SUMPRODUCT(I$72:I$152,TRANSPOSE('Default Values'!$C138:$CE138))</f>
        <v>0</v>
      </c>
      <c r="J189" s="261">
        <f t="array" ref="J189">SUMPRODUCT(J$72:J$152,TRANSPOSE('Default Values'!$C138:$CE138))</f>
        <v>0</v>
      </c>
      <c r="K189" s="261">
        <f t="array" ref="K189">SUMPRODUCT(K$72:K$152,TRANSPOSE('Default Values'!$C138:$CE138))</f>
        <v>1</v>
      </c>
      <c r="L189" s="261">
        <f t="array" ref="L189">SUMPRODUCT(L$72:L$152,TRANSPOSE('Default Values'!$C138:$CE138))</f>
        <v>0</v>
      </c>
      <c r="M189" s="261">
        <f t="array" ref="M189">SUMPRODUCT(M$72:M$152,TRANSPOSE('Default Values'!$C138:$CE138))</f>
        <v>0</v>
      </c>
      <c r="N189" s="261">
        <f t="array" ref="N189">SUMPRODUCT(N$72:N$152,TRANSPOSE('Default Values'!$C138:$CE138))</f>
        <v>0</v>
      </c>
      <c r="O189" s="261">
        <f t="array" ref="O189">SUMPRODUCT(O$72:O$152,TRANSPOSE('Default Values'!$C138:$CE138))</f>
        <v>0</v>
      </c>
      <c r="P189" s="261">
        <f t="array" ref="P189">SUMPRODUCT(P$72:P$152,TRANSPOSE('Default Values'!$C138:$CE138))</f>
        <v>0</v>
      </c>
      <c r="Q189" s="261">
        <f t="array" ref="Q189">SUMPRODUCT(Q$72:Q$152,TRANSPOSE('Default Values'!$C138:$CE138))</f>
        <v>0</v>
      </c>
      <c r="R189" s="261">
        <f t="array" ref="R189">SUMPRODUCT(R$72:R$152,TRANSPOSE('Default Values'!$C138:$CE138))</f>
        <v>0</v>
      </c>
      <c r="S189" s="246">
        <f t="shared" ref="S189:S191" si="5">SUMPRODUCT(E189:R189,$E$70:$R$70)</f>
        <v>1430</v>
      </c>
      <c r="T189" s="217"/>
      <c r="U189" s="217"/>
      <c r="V189" s="217"/>
      <c r="W189" s="217"/>
      <c r="X189" s="217"/>
      <c r="Y189" s="217"/>
      <c r="Z189" s="217"/>
      <c r="AA189" s="217"/>
    </row>
    <row r="190" spans="2:27" s="506" customFormat="1" x14ac:dyDescent="0.3">
      <c r="B190" s="217"/>
      <c r="C190" s="260" t="s">
        <v>546</v>
      </c>
      <c r="D190" s="221" t="s">
        <v>363</v>
      </c>
      <c r="E190" s="261">
        <f t="array" ref="E190">SUMPRODUCT(E$72:E$152,TRANSPOSE('Default Values'!$C139:$CE139))</f>
        <v>0</v>
      </c>
      <c r="F190" s="261">
        <f t="array" ref="F190">SUMPRODUCT(F$72:F$152,TRANSPOSE('Default Values'!$C139:$CE139))</f>
        <v>0</v>
      </c>
      <c r="G190" s="261">
        <f t="array" ref="G190">SUMPRODUCT(G$72:G$152,TRANSPOSE('Default Values'!$C139:$CE139))</f>
        <v>0</v>
      </c>
      <c r="H190" s="261">
        <f t="array" ref="H190">SUMPRODUCT(H$72:H$152,TRANSPOSE('Default Values'!$C139:$CE139))</f>
        <v>0</v>
      </c>
      <c r="I190" s="261">
        <f t="array" ref="I190">SUMPRODUCT(I$72:I$152,TRANSPOSE('Default Values'!$C139:$CE139))</f>
        <v>0</v>
      </c>
      <c r="J190" s="261">
        <f t="array" ref="J190">SUMPRODUCT(J$72:J$152,TRANSPOSE('Default Values'!$C139:$CE139))</f>
        <v>0</v>
      </c>
      <c r="K190" s="261">
        <f t="array" ref="K190">SUMPRODUCT(K$72:K$152,TRANSPOSE('Default Values'!$C139:$CE139))</f>
        <v>1</v>
      </c>
      <c r="L190" s="261">
        <f t="array" ref="L190">SUMPRODUCT(L$72:L$152,TRANSPOSE('Default Values'!$C139:$CE139))</f>
        <v>0</v>
      </c>
      <c r="M190" s="261">
        <f t="array" ref="M190">SUMPRODUCT(M$72:M$152,TRANSPOSE('Default Values'!$C139:$CE139))</f>
        <v>0</v>
      </c>
      <c r="N190" s="261">
        <f t="array" ref="N190">SUMPRODUCT(N$72:N$152,TRANSPOSE('Default Values'!$C139:$CE139))</f>
        <v>0</v>
      </c>
      <c r="O190" s="261">
        <f t="array" ref="O190">SUMPRODUCT(O$72:O$152,TRANSPOSE('Default Values'!$C139:$CE139))</f>
        <v>0</v>
      </c>
      <c r="P190" s="261">
        <f t="array" ref="P190">SUMPRODUCT(P$72:P$152,TRANSPOSE('Default Values'!$C139:$CE139))</f>
        <v>0</v>
      </c>
      <c r="Q190" s="261">
        <f t="array" ref="Q190">SUMPRODUCT(Q$72:Q$152,TRANSPOSE('Default Values'!$C139:$CE139))</f>
        <v>0</v>
      </c>
      <c r="R190" s="261">
        <f t="array" ref="R190">SUMPRODUCT(R$72:R$152,TRANSPOSE('Default Values'!$C139:$CE139))</f>
        <v>0</v>
      </c>
      <c r="S190" s="246">
        <f t="shared" si="5"/>
        <v>1430</v>
      </c>
      <c r="T190" s="217"/>
      <c r="U190" s="217"/>
      <c r="V190" s="217"/>
      <c r="W190" s="217"/>
      <c r="X190" s="217"/>
      <c r="Y190" s="217"/>
      <c r="Z190" s="217"/>
      <c r="AA190" s="217"/>
    </row>
    <row r="191" spans="2:27" s="506" customFormat="1" x14ac:dyDescent="0.3">
      <c r="B191" s="217"/>
      <c r="C191" s="260" t="s">
        <v>793</v>
      </c>
      <c r="D191" s="221" t="s">
        <v>363</v>
      </c>
      <c r="E191" s="261">
        <f t="array" ref="E191">SUMPRODUCT(E$72:E$152,TRANSPOSE('Default Values'!$C140:$CE140))</f>
        <v>0</v>
      </c>
      <c r="F191" s="261">
        <f t="array" ref="F191">SUMPRODUCT(F$72:F$152,TRANSPOSE('Default Values'!$C140:$CE140))</f>
        <v>0</v>
      </c>
      <c r="G191" s="261">
        <f t="array" ref="G191">SUMPRODUCT(G$72:G$152,TRANSPOSE('Default Values'!$C140:$CE140))</f>
        <v>0</v>
      </c>
      <c r="H191" s="261">
        <f t="array" ref="H191">SUMPRODUCT(H$72:H$152,TRANSPOSE('Default Values'!$C140:$CE140))</f>
        <v>0</v>
      </c>
      <c r="I191" s="261">
        <f t="array" ref="I191">SUMPRODUCT(I$72:I$152,TRANSPOSE('Default Values'!$C140:$CE140))</f>
        <v>0</v>
      </c>
      <c r="J191" s="261">
        <f t="array" ref="J191">SUMPRODUCT(J$72:J$152,TRANSPOSE('Default Values'!$C140:$CE140))</f>
        <v>0</v>
      </c>
      <c r="K191" s="261">
        <f t="array" ref="K191">SUMPRODUCT(K$72:K$152,TRANSPOSE('Default Values'!$C140:$CE140))</f>
        <v>1</v>
      </c>
      <c r="L191" s="261">
        <f t="array" ref="L191">SUMPRODUCT(L$72:L$152,TRANSPOSE('Default Values'!$C140:$CE140))</f>
        <v>0</v>
      </c>
      <c r="M191" s="261">
        <f t="array" ref="M191">SUMPRODUCT(M$72:M$152,TRANSPOSE('Default Values'!$C140:$CE140))</f>
        <v>0</v>
      </c>
      <c r="N191" s="261">
        <f t="array" ref="N191">SUMPRODUCT(N$72:N$152,TRANSPOSE('Default Values'!$C140:$CE140))</f>
        <v>0</v>
      </c>
      <c r="O191" s="261">
        <f t="array" ref="O191">SUMPRODUCT(O$72:O$152,TRANSPOSE('Default Values'!$C140:$CE140))</f>
        <v>0</v>
      </c>
      <c r="P191" s="261">
        <f t="array" ref="P191">SUMPRODUCT(P$72:P$152,TRANSPOSE('Default Values'!$C140:$CE140))</f>
        <v>0</v>
      </c>
      <c r="Q191" s="261">
        <f t="array" ref="Q191">SUMPRODUCT(Q$72:Q$152,TRANSPOSE('Default Values'!$C140:$CE140))</f>
        <v>0</v>
      </c>
      <c r="R191" s="261">
        <f t="array" ref="R191">SUMPRODUCT(R$72:R$152,TRANSPOSE('Default Values'!$C140:$CE140))</f>
        <v>0</v>
      </c>
      <c r="S191" s="246">
        <f t="shared" si="5"/>
        <v>1430</v>
      </c>
      <c r="T191" s="217"/>
      <c r="U191" s="217"/>
      <c r="V191" s="217"/>
      <c r="W191" s="217"/>
      <c r="X191" s="217"/>
      <c r="Y191" s="217"/>
      <c r="Z191" s="217"/>
      <c r="AA191" s="217"/>
    </row>
    <row r="192" spans="2:27" x14ac:dyDescent="0.3">
      <c r="B192" s="217"/>
      <c r="C192" s="263" t="s">
        <v>794</v>
      </c>
      <c r="D192" s="221" t="s">
        <v>363</v>
      </c>
      <c r="E192" s="261">
        <f t="array" ref="E192">SUMPRODUCT(E$72:E$152,TRANSPOSE('Default Values'!$C141:$CE141))</f>
        <v>0</v>
      </c>
      <c r="F192" s="261">
        <f t="array" ref="F192">SUMPRODUCT(F$72:F$152,TRANSPOSE('Default Values'!$C141:$CE141))</f>
        <v>0</v>
      </c>
      <c r="G192" s="261">
        <f t="array" ref="G192">SUMPRODUCT(G$72:G$152,TRANSPOSE('Default Values'!$C141:$CE141))</f>
        <v>0</v>
      </c>
      <c r="H192" s="261">
        <f t="array" ref="H192">SUMPRODUCT(H$72:H$152,TRANSPOSE('Default Values'!$C141:$CE141))</f>
        <v>0</v>
      </c>
      <c r="I192" s="261">
        <f t="array" ref="I192">SUMPRODUCT(I$72:I$152,TRANSPOSE('Default Values'!$C141:$CE141))</f>
        <v>0</v>
      </c>
      <c r="J192" s="261">
        <f t="array" ref="J192">SUMPRODUCT(J$72:J$152,TRANSPOSE('Default Values'!$C141:$CE141))</f>
        <v>0</v>
      </c>
      <c r="K192" s="261">
        <f t="array" ref="K192">SUMPRODUCT(K$72:K$152,TRANSPOSE('Default Values'!$C141:$CE141))</f>
        <v>0.9</v>
      </c>
      <c r="L192" s="261">
        <f t="array" ref="L192">SUMPRODUCT(L$72:L$152,TRANSPOSE('Default Values'!$C141:$CE141))</f>
        <v>0</v>
      </c>
      <c r="M192" s="261">
        <f t="array" ref="M192">SUMPRODUCT(M$72:M$152,TRANSPOSE('Default Values'!$C141:$CE141))</f>
        <v>0</v>
      </c>
      <c r="N192" s="261">
        <f t="array" ref="N192">SUMPRODUCT(N$72:N$152,TRANSPOSE('Default Values'!$C141:$CE141))</f>
        <v>0</v>
      </c>
      <c r="O192" s="261">
        <f t="array" ref="O192">SUMPRODUCT(O$72:O$152,TRANSPOSE('Default Values'!$C141:$CE141))</f>
        <v>0</v>
      </c>
      <c r="P192" s="261">
        <f t="array" ref="P192">SUMPRODUCT(P$72:P$152,TRANSPOSE('Default Values'!$C141:$CE141))</f>
        <v>0</v>
      </c>
      <c r="Q192" s="261">
        <f t="array" ref="Q192">SUMPRODUCT(Q$72:Q$152,TRANSPOSE('Default Values'!$C141:$CE141))</f>
        <v>0</v>
      </c>
      <c r="R192" s="261">
        <f t="array" ref="R192">SUMPRODUCT(R$72:R$152,TRANSPOSE('Default Values'!$C141:$CE141))</f>
        <v>0</v>
      </c>
      <c r="S192" s="246">
        <f t="shared" si="2"/>
        <v>1287</v>
      </c>
      <c r="T192" s="217"/>
      <c r="U192" s="217"/>
      <c r="V192" s="217"/>
      <c r="W192" s="217"/>
      <c r="X192" s="217"/>
      <c r="Y192" s="217"/>
      <c r="Z192" s="217"/>
      <c r="AA192" s="217"/>
    </row>
    <row r="193" spans="2:27" x14ac:dyDescent="0.3">
      <c r="B193" s="217"/>
      <c r="C193" s="260" t="s">
        <v>344</v>
      </c>
      <c r="D193" s="221" t="s">
        <v>363</v>
      </c>
      <c r="E193" s="261">
        <f t="array" ref="E193">SUMPRODUCT(E$72:E$152,TRANSPOSE('Default Values'!$C142:$CE142))</f>
        <v>0</v>
      </c>
      <c r="F193" s="261">
        <f t="array" ref="F193">SUMPRODUCT(F$72:F$152,TRANSPOSE('Default Values'!$C142:$CE142))</f>
        <v>0</v>
      </c>
      <c r="G193" s="261">
        <f t="array" ref="G193">SUMPRODUCT(G$72:G$152,TRANSPOSE('Default Values'!$C142:$CE142))</f>
        <v>0.23955442876250174</v>
      </c>
      <c r="H193" s="261">
        <f t="array" ref="H193">SUMPRODUCT(H$72:H$152,TRANSPOSE('Default Values'!$C142:$CE142))</f>
        <v>0</v>
      </c>
      <c r="I193" s="261">
        <f t="array" ref="I193">SUMPRODUCT(I$72:I$152,TRANSPOSE('Default Values'!$C142:$CE142))</f>
        <v>0</v>
      </c>
      <c r="J193" s="261">
        <f t="array" ref="J193">SUMPRODUCT(J$72:J$152,TRANSPOSE('Default Values'!$C142:$CE142))</f>
        <v>0.23955442876250174</v>
      </c>
      <c r="K193" s="261">
        <f t="array" ref="K193">SUMPRODUCT(K$72:K$152,TRANSPOSE('Default Values'!$C142:$CE142))</f>
        <v>4.1782284949992997E-2</v>
      </c>
      <c r="L193" s="261">
        <f t="array" ref="L193">SUMPRODUCT(L$72:L$152,TRANSPOSE('Default Values'!$C142:$CE142))</f>
        <v>0</v>
      </c>
      <c r="M193" s="261">
        <f t="array" ref="M193">SUMPRODUCT(M$72:M$152,TRANSPOSE('Default Values'!$C142:$CE142))</f>
        <v>0</v>
      </c>
      <c r="N193" s="261">
        <f t="array" ref="N193">SUMPRODUCT(N$72:N$152,TRANSPOSE('Default Values'!$C142:$CE142))</f>
        <v>0</v>
      </c>
      <c r="O193" s="261">
        <f t="array" ref="O193">SUMPRODUCT(O$72:O$152,TRANSPOSE('Default Values'!$C142:$CE142))</f>
        <v>0</v>
      </c>
      <c r="P193" s="261">
        <f t="array" ref="P193">SUMPRODUCT(P$72:P$152,TRANSPOSE('Default Values'!$C142:$CE142))</f>
        <v>0</v>
      </c>
      <c r="Q193" s="261">
        <f t="array" ref="Q193">SUMPRODUCT(Q$72:Q$152,TRANSPOSE('Default Values'!$C142:$CE142))</f>
        <v>0</v>
      </c>
      <c r="R193" s="261">
        <f t="array" ref="R193">SUMPRODUCT(R$72:R$152,TRANSPOSE('Default Values'!$C142:$CE142))</f>
        <v>0</v>
      </c>
      <c r="S193" s="246">
        <f t="shared" si="2"/>
        <v>1059.8884075619346</v>
      </c>
      <c r="T193" s="217"/>
      <c r="U193" s="217"/>
      <c r="V193" s="217"/>
      <c r="W193" s="217"/>
      <c r="X193" s="217"/>
      <c r="Y193" s="217"/>
      <c r="Z193" s="217"/>
      <c r="AA193" s="217"/>
    </row>
    <row r="194" spans="2:27" x14ac:dyDescent="0.3">
      <c r="B194" s="217"/>
      <c r="C194" s="260" t="s">
        <v>345</v>
      </c>
      <c r="D194" s="221" t="s">
        <v>363</v>
      </c>
      <c r="E194" s="261">
        <f t="array" ref="E194">SUMPRODUCT(E$72:E$152,TRANSPOSE('Default Values'!$C143:$CE143))</f>
        <v>0</v>
      </c>
      <c r="F194" s="261">
        <f t="array" ref="F194">SUMPRODUCT(F$72:F$152,TRANSPOSE('Default Values'!$C143:$CE143))</f>
        <v>0</v>
      </c>
      <c r="G194" s="261">
        <f t="array" ref="G194">SUMPRODUCT(G$72:G$152,TRANSPOSE('Default Values'!$C143:$CE143))</f>
        <v>0.16622816628866463</v>
      </c>
      <c r="H194" s="261">
        <f t="array" ref="H194">SUMPRODUCT(H$72:H$152,TRANSPOSE('Default Values'!$C143:$CE143))</f>
        <v>0</v>
      </c>
      <c r="I194" s="261">
        <f t="array" ref="I194">SUMPRODUCT(I$72:I$152,TRANSPOSE('Default Values'!$C143:$CE143))</f>
        <v>0</v>
      </c>
      <c r="J194" s="261">
        <f t="array" ref="J194">SUMPRODUCT(J$72:J$152,TRANSPOSE('Default Values'!$C143:$CE143))</f>
        <v>0.22132515328019348</v>
      </c>
      <c r="K194" s="261">
        <f t="array" ref="K194">SUMPRODUCT(K$72:K$152,TRANSPOSE('Default Values'!$C143:$CE143))</f>
        <v>0.13139544354332572</v>
      </c>
      <c r="L194" s="261">
        <f t="array" ref="L194">SUMPRODUCT(L$72:L$152,TRANSPOSE('Default Values'!$C143:$CE143))</f>
        <v>6.5114620989988617E-2</v>
      </c>
      <c r="M194" s="261">
        <f t="array" ref="M194">SUMPRODUCT(M$72:M$152,TRANSPOSE('Default Values'!$C143:$CE143))</f>
        <v>0</v>
      </c>
      <c r="N194" s="261">
        <f t="array" ref="N194">SUMPRODUCT(N$72:N$152,TRANSPOSE('Default Values'!$C143:$CE143))</f>
        <v>0</v>
      </c>
      <c r="O194" s="261">
        <f t="array" ref="O194">SUMPRODUCT(O$72:O$152,TRANSPOSE('Default Values'!$C143:$CE143))</f>
        <v>0</v>
      </c>
      <c r="P194" s="261">
        <f t="array" ref="P194">SUMPRODUCT(P$72:P$152,TRANSPOSE('Default Values'!$C143:$CE143))</f>
        <v>0</v>
      </c>
      <c r="Q194" s="261">
        <f t="array" ref="Q194">SUMPRODUCT(Q$72:Q$152,TRANSPOSE('Default Values'!$C143:$CE143))</f>
        <v>0</v>
      </c>
      <c r="R194" s="261">
        <f t="array" ref="R194">SUMPRODUCT(R$72:R$152,TRANSPOSE('Default Values'!$C143:$CE143))</f>
        <v>0</v>
      </c>
      <c r="S194" s="246">
        <f t="shared" si="2"/>
        <v>1365.7998888177308</v>
      </c>
      <c r="T194" s="217"/>
      <c r="U194" s="217"/>
      <c r="V194" s="217"/>
      <c r="W194" s="217"/>
      <c r="X194" s="217"/>
      <c r="Y194" s="217"/>
      <c r="Z194" s="217"/>
      <c r="AA194" s="217"/>
    </row>
    <row r="195" spans="2:27" x14ac:dyDescent="0.3">
      <c r="B195" s="217"/>
      <c r="C195" s="260" t="s">
        <v>547</v>
      </c>
      <c r="D195" s="221" t="s">
        <v>363</v>
      </c>
      <c r="E195" s="261">
        <f t="array" ref="E195">SUMPRODUCT(E$72:E$152,TRANSPOSE('Default Values'!$C144:$CE144))</f>
        <v>0</v>
      </c>
      <c r="F195" s="261">
        <f t="array" ref="F195">SUMPRODUCT(F$72:F$152,TRANSPOSE('Default Values'!$C144:$CE144))</f>
        <v>0</v>
      </c>
      <c r="G195" s="261">
        <f t="array" ref="G195">SUMPRODUCT(G$72:G$152,TRANSPOSE('Default Values'!$C144:$CE144))</f>
        <v>0.265396015560175</v>
      </c>
      <c r="H195" s="261">
        <f t="array" ref="H195">SUMPRODUCT(H$72:H$152,TRANSPOSE('Default Values'!$C144:$CE144))</f>
        <v>0</v>
      </c>
      <c r="I195" s="261">
        <f t="array" ref="I195">SUMPRODUCT(I$72:I$152,TRANSPOSE('Default Values'!$C144:$CE144))</f>
        <v>0</v>
      </c>
      <c r="J195" s="261">
        <f t="array" ref="J195">SUMPRODUCT(J$72:J$152,TRANSPOSE('Default Values'!$C144:$CE144))</f>
        <v>0.265396015560175</v>
      </c>
      <c r="K195" s="261">
        <f t="array" ref="K195">SUMPRODUCT(K$72:K$152,TRANSPOSE('Default Values'!$C144:$CE144))</f>
        <v>5.3406941408862763E-2</v>
      </c>
      <c r="L195" s="261">
        <f t="array" ref="L195">SUMPRODUCT(L$72:L$152,TRANSPOSE('Default Values'!$C144:$CE144))</f>
        <v>0</v>
      </c>
      <c r="M195" s="261">
        <f t="array" ref="M195">SUMPRODUCT(M$72:M$152,TRANSPOSE('Default Values'!$C144:$CE144))</f>
        <v>0</v>
      </c>
      <c r="N195" s="261">
        <f t="array" ref="N195">SUMPRODUCT(N$72:N$152,TRANSPOSE('Default Values'!$C144:$CE144))</f>
        <v>0</v>
      </c>
      <c r="O195" s="261">
        <f t="array" ref="O195">SUMPRODUCT(O$72:O$152,TRANSPOSE('Default Values'!$C144:$CE144))</f>
        <v>0</v>
      </c>
      <c r="P195" s="261">
        <f t="array" ref="P195">SUMPRODUCT(P$72:P$152,TRANSPOSE('Default Values'!$C144:$CE144))</f>
        <v>0</v>
      </c>
      <c r="Q195" s="261">
        <f t="array" ref="Q195">SUMPRODUCT(Q$72:Q$152,TRANSPOSE('Default Values'!$C144:$CE144))</f>
        <v>0</v>
      </c>
      <c r="R195" s="261">
        <f t="array" ref="R195">SUMPRODUCT(R$72:R$152,TRANSPOSE('Default Values'!$C144:$CE144))</f>
        <v>0</v>
      </c>
      <c r="S195" s="246">
        <f t="shared" si="2"/>
        <v>1184.4002911784044</v>
      </c>
      <c r="T195" s="217"/>
      <c r="U195" s="217"/>
      <c r="V195" s="217"/>
      <c r="W195" s="217"/>
      <c r="X195" s="217"/>
      <c r="Y195" s="217"/>
      <c r="Z195" s="217"/>
      <c r="AA195" s="217"/>
    </row>
    <row r="196" spans="2:27" x14ac:dyDescent="0.3">
      <c r="B196" s="217"/>
      <c r="C196" s="260" t="s">
        <v>548</v>
      </c>
      <c r="D196" s="221" t="s">
        <v>363</v>
      </c>
      <c r="E196" s="261">
        <f t="array" ref="E196">SUMPRODUCT(E$72:E$152,TRANSPOSE('Default Values'!$C145:$CE145))</f>
        <v>0</v>
      </c>
      <c r="F196" s="261">
        <f t="array" ref="F196">SUMPRODUCT(F$72:F$152,TRANSPOSE('Default Values'!$C145:$CE145))</f>
        <v>0</v>
      </c>
      <c r="G196" s="261">
        <f t="array" ref="G196">SUMPRODUCT(G$72:G$152,TRANSPOSE('Default Values'!$C145:$CE145))</f>
        <v>0.25286309659402745</v>
      </c>
      <c r="H196" s="261">
        <f t="array" ref="H196">SUMPRODUCT(H$72:H$152,TRANSPOSE('Default Values'!$C145:$CE145))</f>
        <v>0</v>
      </c>
      <c r="I196" s="261">
        <f t="array" ref="I196">SUMPRODUCT(I$72:I$152,TRANSPOSE('Default Values'!$C145:$CE145))</f>
        <v>0</v>
      </c>
      <c r="J196" s="261">
        <f t="array" ref="J196">SUMPRODUCT(J$72:J$152,TRANSPOSE('Default Values'!$C145:$CE145))</f>
        <v>0.25286309659402745</v>
      </c>
      <c r="K196" s="261">
        <f t="array" ref="K196">SUMPRODUCT(K$72:K$152,TRANSPOSE('Default Values'!$C145:$CE145))</f>
        <v>9.8108343847779889E-2</v>
      </c>
      <c r="L196" s="261">
        <f t="array" ref="L196">SUMPRODUCT(L$72:L$152,TRANSPOSE('Default Values'!$C145:$CE145))</f>
        <v>0</v>
      </c>
      <c r="M196" s="261">
        <f t="array" ref="M196">SUMPRODUCT(M$72:M$152,TRANSPOSE('Default Values'!$C145:$CE145))</f>
        <v>0</v>
      </c>
      <c r="N196" s="261">
        <f t="array" ref="N196">SUMPRODUCT(N$72:N$152,TRANSPOSE('Default Values'!$C145:$CE145))</f>
        <v>0</v>
      </c>
      <c r="O196" s="261">
        <f t="array" ref="O196">SUMPRODUCT(O$72:O$152,TRANSPOSE('Default Values'!$C145:$CE145))</f>
        <v>0</v>
      </c>
      <c r="P196" s="261">
        <f t="array" ref="P196">SUMPRODUCT(P$72:P$152,TRANSPOSE('Default Values'!$C145:$CE145))</f>
        <v>0</v>
      </c>
      <c r="Q196" s="261">
        <f t="array" ref="Q196">SUMPRODUCT(Q$72:Q$152,TRANSPOSE('Default Values'!$C145:$CE145))</f>
        <v>0</v>
      </c>
      <c r="R196" s="261">
        <f t="array" ref="R196">SUMPRODUCT(R$72:R$152,TRANSPOSE('Default Values'!$C145:$CE145))</f>
        <v>0</v>
      </c>
      <c r="S196" s="246">
        <f t="shared" si="2"/>
        <v>1195.99835998239</v>
      </c>
      <c r="T196" s="217"/>
      <c r="U196" s="217"/>
      <c r="V196" s="217"/>
      <c r="W196" s="217"/>
      <c r="X196" s="217"/>
      <c r="Y196" s="217"/>
      <c r="Z196" s="217"/>
      <c r="AA196" s="217"/>
    </row>
    <row r="197" spans="2:27" x14ac:dyDescent="0.3">
      <c r="B197" s="217"/>
      <c r="C197" s="260" t="s">
        <v>549</v>
      </c>
      <c r="D197" s="221" t="s">
        <v>363</v>
      </c>
      <c r="E197" s="261">
        <f t="array" ref="E197">SUMPRODUCT(E$72:E$152,TRANSPOSE('Default Values'!$C146:$CE146))</f>
        <v>0</v>
      </c>
      <c r="F197" s="261">
        <f t="array" ref="F197">SUMPRODUCT(F$72:F$152,TRANSPOSE('Default Values'!$C146:$CE146))</f>
        <v>0</v>
      </c>
      <c r="G197" s="261">
        <f t="array" ref="G197">SUMPRODUCT(G$72:G$152,TRANSPOSE('Default Values'!$C146:$CE146))</f>
        <v>0.25</v>
      </c>
      <c r="H197" s="261">
        <f t="array" ref="H197">SUMPRODUCT(H$72:H$152,TRANSPOSE('Default Values'!$C146:$CE146))</f>
        <v>0</v>
      </c>
      <c r="I197" s="261">
        <f t="array" ref="I197">SUMPRODUCT(I$72:I$152,TRANSPOSE('Default Values'!$C146:$CE146))</f>
        <v>0</v>
      </c>
      <c r="J197" s="261">
        <f t="array" ref="J197">SUMPRODUCT(J$72:J$152,TRANSPOSE('Default Values'!$C146:$CE146))</f>
        <v>0.25</v>
      </c>
      <c r="K197" s="261">
        <f t="array" ref="K197">SUMPRODUCT(K$72:K$152,TRANSPOSE('Default Values'!$C146:$CE146))</f>
        <v>0</v>
      </c>
      <c r="L197" s="261">
        <f t="array" ref="L197">SUMPRODUCT(L$72:L$152,TRANSPOSE('Default Values'!$C146:$CE146))</f>
        <v>0</v>
      </c>
      <c r="M197" s="261">
        <f t="array" ref="M197">SUMPRODUCT(M$72:M$152,TRANSPOSE('Default Values'!$C146:$CE146))</f>
        <v>0</v>
      </c>
      <c r="N197" s="261">
        <f t="array" ref="N197">SUMPRODUCT(N$72:N$152,TRANSPOSE('Default Values'!$C146:$CE146))</f>
        <v>0</v>
      </c>
      <c r="O197" s="261">
        <f t="array" ref="O197">SUMPRODUCT(O$72:O$152,TRANSPOSE('Default Values'!$C146:$CE146))</f>
        <v>0</v>
      </c>
      <c r="P197" s="261">
        <f t="array" ref="P197">SUMPRODUCT(P$72:P$152,TRANSPOSE('Default Values'!$C146:$CE146))</f>
        <v>0</v>
      </c>
      <c r="Q197" s="261">
        <f t="array" ref="Q197">SUMPRODUCT(Q$72:Q$152,TRANSPOSE('Default Values'!$C146:$CE146))</f>
        <v>0</v>
      </c>
      <c r="R197" s="261">
        <f t="array" ref="R197">SUMPRODUCT(R$72:R$152,TRANSPOSE('Default Values'!$C146:$CE146))</f>
        <v>0</v>
      </c>
      <c r="S197" s="246">
        <f t="shared" si="2"/>
        <v>1043.75</v>
      </c>
      <c r="T197" s="217"/>
      <c r="U197" s="217"/>
      <c r="V197" s="217"/>
      <c r="W197" s="217"/>
      <c r="X197" s="217"/>
      <c r="Y197" s="217"/>
      <c r="Z197" s="217"/>
      <c r="AA197" s="217"/>
    </row>
    <row r="198" spans="2:27" x14ac:dyDescent="0.3">
      <c r="B198" s="217"/>
      <c r="C198" s="260" t="s">
        <v>550</v>
      </c>
      <c r="D198" s="221" t="s">
        <v>363</v>
      </c>
      <c r="E198" s="261">
        <f t="array" ref="E198">SUMPRODUCT(E$72:E$152,TRANSPOSE('Default Values'!$C147:$CE147))</f>
        <v>0</v>
      </c>
      <c r="F198" s="261">
        <f t="array" ref="F198">SUMPRODUCT(F$72:F$152,TRANSPOSE('Default Values'!$C147:$CE147))</f>
        <v>0</v>
      </c>
      <c r="G198" s="261">
        <f t="array" ref="G198">SUMPRODUCT(G$72:G$152,TRANSPOSE('Default Values'!$C147:$CE147))</f>
        <v>0.16622816628866463</v>
      </c>
      <c r="H198" s="261">
        <f t="array" ref="H198">SUMPRODUCT(H$72:H$152,TRANSPOSE('Default Values'!$C147:$CE147))</f>
        <v>0</v>
      </c>
      <c r="I198" s="261">
        <f t="array" ref="I198">SUMPRODUCT(I$72:I$152,TRANSPOSE('Default Values'!$C147:$CE147))</f>
        <v>0</v>
      </c>
      <c r="J198" s="261">
        <f t="array" ref="J198">SUMPRODUCT(J$72:J$152,TRANSPOSE('Default Values'!$C147:$CE147))</f>
        <v>0.22132515328019348</v>
      </c>
      <c r="K198" s="261">
        <f t="array" ref="K198">SUMPRODUCT(K$72:K$152,TRANSPOSE('Default Values'!$C147:$CE147))</f>
        <v>0.13139544354332572</v>
      </c>
      <c r="L198" s="261">
        <f t="array" ref="L198">SUMPRODUCT(L$72:L$152,TRANSPOSE('Default Values'!$C147:$CE147))</f>
        <v>6.5114620989988617E-2</v>
      </c>
      <c r="M198" s="261">
        <f t="array" ref="M198">SUMPRODUCT(M$72:M$152,TRANSPOSE('Default Values'!$C147:$CE147))</f>
        <v>0</v>
      </c>
      <c r="N198" s="261">
        <f t="array" ref="N198">SUMPRODUCT(N$72:N$152,TRANSPOSE('Default Values'!$C147:$CE147))</f>
        <v>0</v>
      </c>
      <c r="O198" s="261">
        <f t="array" ref="O198">SUMPRODUCT(O$72:O$152,TRANSPOSE('Default Values'!$C147:$CE147))</f>
        <v>0</v>
      </c>
      <c r="P198" s="261">
        <f t="array" ref="P198">SUMPRODUCT(P$72:P$152,TRANSPOSE('Default Values'!$C147:$CE147))</f>
        <v>0</v>
      </c>
      <c r="Q198" s="261">
        <f t="array" ref="Q198">SUMPRODUCT(Q$72:Q$152,TRANSPOSE('Default Values'!$C147:$CE147))</f>
        <v>0</v>
      </c>
      <c r="R198" s="261">
        <f t="array" ref="R198">SUMPRODUCT(R$72:R$152,TRANSPOSE('Default Values'!$C147:$CE147))</f>
        <v>0</v>
      </c>
      <c r="S198" s="246">
        <f t="shared" si="2"/>
        <v>1365.7998888177308</v>
      </c>
      <c r="T198" s="217"/>
      <c r="U198" s="217"/>
      <c r="V198" s="217"/>
      <c r="W198" s="217"/>
      <c r="X198" s="217"/>
      <c r="Y198" s="217"/>
      <c r="Z198" s="217"/>
      <c r="AA198" s="217"/>
    </row>
    <row r="199" spans="2:27" x14ac:dyDescent="0.3">
      <c r="B199" s="217"/>
      <c r="C199" s="260" t="s">
        <v>434</v>
      </c>
      <c r="D199" s="221" t="s">
        <v>363</v>
      </c>
      <c r="E199" s="261">
        <f t="array" ref="E199">SUMPRODUCT(E$72:E$152,TRANSPOSE('Default Values'!$C148:$CE148))</f>
        <v>0</v>
      </c>
      <c r="F199" s="261">
        <f t="array" ref="F199">SUMPRODUCT(F$72:F$152,TRANSPOSE('Default Values'!$C148:$CE148))</f>
        <v>0</v>
      </c>
      <c r="G199" s="261">
        <f t="array" ref="G199">SUMPRODUCT(G$72:G$152,TRANSPOSE('Default Values'!$C148:$CE148))</f>
        <v>0.25</v>
      </c>
      <c r="H199" s="261">
        <f t="array" ref="H199">SUMPRODUCT(H$72:H$152,TRANSPOSE('Default Values'!$C148:$CE148))</f>
        <v>0</v>
      </c>
      <c r="I199" s="261">
        <f t="array" ref="I199">SUMPRODUCT(I$72:I$152,TRANSPOSE('Default Values'!$C148:$CE148))</f>
        <v>0</v>
      </c>
      <c r="J199" s="261">
        <f t="array" ref="J199">SUMPRODUCT(J$72:J$152,TRANSPOSE('Default Values'!$C148:$CE148))</f>
        <v>0.25</v>
      </c>
      <c r="K199" s="261">
        <f t="array" ref="K199">SUMPRODUCT(K$72:K$152,TRANSPOSE('Default Values'!$C148:$CE148))</f>
        <v>0</v>
      </c>
      <c r="L199" s="261">
        <f t="array" ref="L199">SUMPRODUCT(L$72:L$152,TRANSPOSE('Default Values'!$C148:$CE148))</f>
        <v>0</v>
      </c>
      <c r="M199" s="261">
        <f t="array" ref="M199">SUMPRODUCT(M$72:M$152,TRANSPOSE('Default Values'!$C148:$CE148))</f>
        <v>0</v>
      </c>
      <c r="N199" s="261">
        <f t="array" ref="N199">SUMPRODUCT(N$72:N$152,TRANSPOSE('Default Values'!$C148:$CE148))</f>
        <v>0</v>
      </c>
      <c r="O199" s="261">
        <f t="array" ref="O199">SUMPRODUCT(O$72:O$152,TRANSPOSE('Default Values'!$C148:$CE148))</f>
        <v>0</v>
      </c>
      <c r="P199" s="261">
        <f t="array" ref="P199">SUMPRODUCT(P$72:P$152,TRANSPOSE('Default Values'!$C148:$CE148))</f>
        <v>0</v>
      </c>
      <c r="Q199" s="261">
        <f t="array" ref="Q199">SUMPRODUCT(Q$72:Q$152,TRANSPOSE('Default Values'!$C148:$CE148))</f>
        <v>0</v>
      </c>
      <c r="R199" s="261">
        <f t="array" ref="R199">SUMPRODUCT(R$72:R$152,TRANSPOSE('Default Values'!$C148:$CE148))</f>
        <v>0</v>
      </c>
      <c r="S199" s="246">
        <f t="shared" si="2"/>
        <v>1043.75</v>
      </c>
      <c r="T199" s="217"/>
      <c r="U199" s="217"/>
      <c r="V199" s="217"/>
      <c r="W199" s="217"/>
      <c r="X199" s="217"/>
      <c r="Y199" s="217"/>
      <c r="Z199" s="217"/>
      <c r="AA199" s="217"/>
    </row>
    <row r="200" spans="2:27" x14ac:dyDescent="0.3">
      <c r="B200" s="217"/>
      <c r="C200" s="260" t="s">
        <v>346</v>
      </c>
      <c r="D200" s="221" t="s">
        <v>363</v>
      </c>
      <c r="E200" s="261">
        <f t="array" ref="E200">SUMPRODUCT(E$72:E$152,TRANSPOSE('Default Values'!$C149:$CE149))</f>
        <v>0</v>
      </c>
      <c r="F200" s="261">
        <f t="array" ref="F200">SUMPRODUCT(F$72:F$152,TRANSPOSE('Default Values'!$C149:$CE149))</f>
        <v>0</v>
      </c>
      <c r="G200" s="261">
        <f t="array" ref="G200">SUMPRODUCT(G$72:G$152,TRANSPOSE('Default Values'!$C149:$CE149))</f>
        <v>0.17119151550721717</v>
      </c>
      <c r="H200" s="261">
        <f t="array" ref="H200">SUMPRODUCT(H$72:H$152,TRANSPOSE('Default Values'!$C149:$CE149))</f>
        <v>0</v>
      </c>
      <c r="I200" s="261">
        <f t="array" ref="I200">SUMPRODUCT(I$72:I$152,TRANSPOSE('Default Values'!$C149:$CE149))</f>
        <v>0</v>
      </c>
      <c r="J200" s="261">
        <f t="array" ref="J200">SUMPRODUCT(J$72:J$152,TRANSPOSE('Default Values'!$C149:$CE149))</f>
        <v>0.22793362434202083</v>
      </c>
      <c r="K200" s="261">
        <f t="array" ref="K200">SUMPRODUCT(K$72:K$152,TRANSPOSE('Default Values'!$C149:$CE149))</f>
        <v>0.10546008106670579</v>
      </c>
      <c r="L200" s="261">
        <f t="array" ref="L200">SUMPRODUCT(L$72:L$152,TRANSPOSE('Default Values'!$C149:$CE149))</f>
        <v>6.7058855895677047E-2</v>
      </c>
      <c r="M200" s="261">
        <f t="array" ref="M200">SUMPRODUCT(M$72:M$152,TRANSPOSE('Default Values'!$C149:$CE149))</f>
        <v>0</v>
      </c>
      <c r="N200" s="261">
        <f t="array" ref="N200">SUMPRODUCT(N$72:N$152,TRANSPOSE('Default Values'!$C149:$CE149))</f>
        <v>0</v>
      </c>
      <c r="O200" s="261">
        <f t="array" ref="O200">SUMPRODUCT(O$72:O$152,TRANSPOSE('Default Values'!$C149:$CE149))</f>
        <v>0</v>
      </c>
      <c r="P200" s="261">
        <f t="array" ref="P200">SUMPRODUCT(P$72:P$152,TRANSPOSE('Default Values'!$C149:$CE149))</f>
        <v>0</v>
      </c>
      <c r="Q200" s="261">
        <f t="array" ref="Q200">SUMPRODUCT(Q$72:Q$152,TRANSPOSE('Default Values'!$C149:$CE149))</f>
        <v>0</v>
      </c>
      <c r="R200" s="261">
        <f t="array" ref="R200">SUMPRODUCT(R$72:R$152,TRANSPOSE('Default Values'!$C149:$CE149))</f>
        <v>0</v>
      </c>
      <c r="S200" s="246">
        <f t="shared" si="2"/>
        <v>1363.8829599435101</v>
      </c>
      <c r="T200" s="217"/>
      <c r="U200" s="217"/>
      <c r="V200" s="217"/>
      <c r="W200" s="217"/>
      <c r="X200" s="217"/>
      <c r="Y200" s="217"/>
      <c r="Z200" s="217"/>
      <c r="AA200" s="217"/>
    </row>
    <row r="201" spans="2:27" x14ac:dyDescent="0.3">
      <c r="B201" s="217"/>
      <c r="C201" s="260" t="s">
        <v>568</v>
      </c>
      <c r="D201" s="221" t="s">
        <v>363</v>
      </c>
      <c r="E201" s="261">
        <f t="array" ref="E201">SUMPRODUCT(E$72:E$152,TRANSPOSE('Default Values'!$C150:$CE150))</f>
        <v>0</v>
      </c>
      <c r="F201" s="261">
        <f t="array" ref="F201">SUMPRODUCT(F$72:F$152,TRANSPOSE('Default Values'!$C150:$CE150))</f>
        <v>0</v>
      </c>
      <c r="G201" s="261">
        <f t="array" ref="G201">SUMPRODUCT(G$72:G$152,TRANSPOSE('Default Values'!$C150:$CE150))</f>
        <v>1.7830609212481429E-2</v>
      </c>
      <c r="H201" s="261">
        <f t="array" ref="H201">SUMPRODUCT(H$72:H$152,TRANSPOSE('Default Values'!$C150:$CE150))</f>
        <v>0</v>
      </c>
      <c r="I201" s="261">
        <f t="array" ref="I201">SUMPRODUCT(I$72:I$152,TRANSPOSE('Default Values'!$C150:$CE150))</f>
        <v>0</v>
      </c>
      <c r="J201" s="261">
        <f t="array" ref="J201">SUMPRODUCT(J$72:J$152,TRANSPOSE('Default Values'!$C150:$CE150))</f>
        <v>0.26300148588410099</v>
      </c>
      <c r="K201" s="261">
        <f t="array" ref="K201">SUMPRODUCT(K$72:K$152,TRANSPOSE('Default Values'!$C150:$CE150))</f>
        <v>2.228826151560178E-2</v>
      </c>
      <c r="L201" s="261">
        <f t="array" ref="L201">SUMPRODUCT(L$72:L$152,TRANSPOSE('Default Values'!$C150:$CE150))</f>
        <v>0.28974739970282315</v>
      </c>
      <c r="M201" s="261">
        <f t="array" ref="M201">SUMPRODUCT(M$72:M$152,TRANSPOSE('Default Values'!$C150:$CE150))</f>
        <v>0</v>
      </c>
      <c r="N201" s="261">
        <f t="array" ref="N201">SUMPRODUCT(N$72:N$152,TRANSPOSE('Default Values'!$C150:$CE150))</f>
        <v>0</v>
      </c>
      <c r="O201" s="261">
        <f t="array" ref="O201">SUMPRODUCT(O$72:O$152,TRANSPOSE('Default Values'!$C150:$CE150))</f>
        <v>0</v>
      </c>
      <c r="P201" s="261">
        <f t="array" ref="P201">SUMPRODUCT(P$72:P$152,TRANSPOSE('Default Values'!$C150:$CE150))</f>
        <v>0</v>
      </c>
      <c r="Q201" s="261">
        <f t="array" ref="Q201">SUMPRODUCT(Q$72:Q$152,TRANSPOSE('Default Values'!$C150:$CE150))</f>
        <v>0</v>
      </c>
      <c r="R201" s="261">
        <f t="array" ref="R201">SUMPRODUCT(R$72:R$152,TRANSPOSE('Default Values'!$C150:$CE150))</f>
        <v>0</v>
      </c>
      <c r="S201" s="246">
        <f t="shared" ref="S201" si="6">SUMPRODUCT(E201:R201,$E$70:$R$70)</f>
        <v>2259.5839524517087</v>
      </c>
      <c r="T201" s="217"/>
      <c r="U201" s="217"/>
      <c r="V201" s="217"/>
      <c r="W201" s="217"/>
      <c r="X201" s="217"/>
      <c r="Y201" s="217"/>
      <c r="Z201" s="217"/>
      <c r="AA201" s="217"/>
    </row>
    <row r="202" spans="2:27" x14ac:dyDescent="0.3">
      <c r="B202" s="217"/>
      <c r="C202" s="260" t="s">
        <v>551</v>
      </c>
      <c r="D202" s="221" t="s">
        <v>363</v>
      </c>
      <c r="E202" s="261">
        <f t="array" ref="E202">SUMPRODUCT(E$72:E$152,TRANSPOSE('Default Values'!$C151:$CE151))</f>
        <v>0</v>
      </c>
      <c r="F202" s="261">
        <f t="array" ref="F202">SUMPRODUCT(F$72:F$152,TRANSPOSE('Default Values'!$C151:$CE151))</f>
        <v>0</v>
      </c>
      <c r="G202" s="261">
        <f t="array" ref="G202">SUMPRODUCT(G$72:G$152,TRANSPOSE('Default Values'!$C151:$CE151))</f>
        <v>0.25</v>
      </c>
      <c r="H202" s="261">
        <f t="array" ref="H202">SUMPRODUCT(H$72:H$152,TRANSPOSE('Default Values'!$C151:$CE151))</f>
        <v>0</v>
      </c>
      <c r="I202" s="261">
        <f t="array" ref="I202">SUMPRODUCT(I$72:I$152,TRANSPOSE('Default Values'!$C151:$CE151))</f>
        <v>0</v>
      </c>
      <c r="J202" s="261">
        <f t="array" ref="J202">SUMPRODUCT(J$72:J$152,TRANSPOSE('Default Values'!$C151:$CE151))</f>
        <v>0.25</v>
      </c>
      <c r="K202" s="261">
        <f t="array" ref="K202">SUMPRODUCT(K$72:K$152,TRANSPOSE('Default Values'!$C151:$CE151))</f>
        <v>0</v>
      </c>
      <c r="L202" s="261">
        <f t="array" ref="L202">SUMPRODUCT(L$72:L$152,TRANSPOSE('Default Values'!$C151:$CE151))</f>
        <v>0</v>
      </c>
      <c r="M202" s="261">
        <f t="array" ref="M202">SUMPRODUCT(M$72:M$152,TRANSPOSE('Default Values'!$C151:$CE151))</f>
        <v>0</v>
      </c>
      <c r="N202" s="261">
        <f t="array" ref="N202">SUMPRODUCT(N$72:N$152,TRANSPOSE('Default Values'!$C151:$CE151))</f>
        <v>0</v>
      </c>
      <c r="O202" s="261">
        <f t="array" ref="O202">SUMPRODUCT(O$72:O$152,TRANSPOSE('Default Values'!$C151:$CE151))</f>
        <v>0</v>
      </c>
      <c r="P202" s="261">
        <f t="array" ref="P202">SUMPRODUCT(P$72:P$152,TRANSPOSE('Default Values'!$C151:$CE151))</f>
        <v>0</v>
      </c>
      <c r="Q202" s="261">
        <f t="array" ref="Q202">SUMPRODUCT(Q$72:Q$152,TRANSPOSE('Default Values'!$C151:$CE151))</f>
        <v>0</v>
      </c>
      <c r="R202" s="261">
        <f t="array" ref="R202">SUMPRODUCT(R$72:R$152,TRANSPOSE('Default Values'!$C151:$CE151))</f>
        <v>0</v>
      </c>
      <c r="S202" s="246">
        <f t="shared" si="2"/>
        <v>1043.75</v>
      </c>
      <c r="T202" s="217"/>
      <c r="U202" s="217"/>
      <c r="V202" s="217"/>
      <c r="W202" s="217"/>
      <c r="X202" s="217"/>
      <c r="Y202" s="217"/>
      <c r="Z202" s="217"/>
      <c r="AA202" s="217"/>
    </row>
    <row r="203" spans="2:27" x14ac:dyDescent="0.3">
      <c r="B203" s="217"/>
      <c r="C203" s="260" t="s">
        <v>552</v>
      </c>
      <c r="D203" s="221" t="s">
        <v>363</v>
      </c>
      <c r="E203" s="261">
        <f t="array" ref="E203">SUMPRODUCT(E$72:E$152,TRANSPOSE('Default Values'!$C152:$CE152))</f>
        <v>0</v>
      </c>
      <c r="F203" s="261">
        <f t="array" ref="F203">SUMPRODUCT(F$72:F$152,TRANSPOSE('Default Values'!$C152:$CE152))</f>
        <v>0</v>
      </c>
      <c r="G203" s="261">
        <f t="array" ref="G203">SUMPRODUCT(G$72:G$152,TRANSPOSE('Default Values'!$C152:$CE152))</f>
        <v>0</v>
      </c>
      <c r="H203" s="261">
        <f t="array" ref="H203">SUMPRODUCT(H$72:H$152,TRANSPOSE('Default Values'!$C152:$CE152))</f>
        <v>0</v>
      </c>
      <c r="I203" s="261">
        <f t="array" ref="I203">SUMPRODUCT(I$72:I$152,TRANSPOSE('Default Values'!$C152:$CE152))</f>
        <v>0</v>
      </c>
      <c r="J203" s="261">
        <f t="array" ref="J203">SUMPRODUCT(J$72:J$152,TRANSPOSE('Default Values'!$C152:$CE152))</f>
        <v>0.26400000000000001</v>
      </c>
      <c r="K203" s="261">
        <f t="array" ref="K203">SUMPRODUCT(K$72:K$152,TRANSPOSE('Default Values'!$C152:$CE152))</f>
        <v>2.4E-2</v>
      </c>
      <c r="L203" s="261">
        <f t="array" ref="L203">SUMPRODUCT(L$72:L$152,TRANSPOSE('Default Values'!$C152:$CE152))</f>
        <v>0.312</v>
      </c>
      <c r="M203" s="261">
        <f t="array" ref="M203">SUMPRODUCT(M$72:M$152,TRANSPOSE('Default Values'!$C152:$CE152))</f>
        <v>0</v>
      </c>
      <c r="N203" s="261">
        <f t="array" ref="N203">SUMPRODUCT(N$72:N$152,TRANSPOSE('Default Values'!$C152:$CE152))</f>
        <v>0</v>
      </c>
      <c r="O203" s="261">
        <f t="array" ref="O203">SUMPRODUCT(O$72:O$152,TRANSPOSE('Default Values'!$C152:$CE152))</f>
        <v>0</v>
      </c>
      <c r="P203" s="261">
        <f t="array" ref="P203">SUMPRODUCT(P$72:P$152,TRANSPOSE('Default Values'!$C152:$CE152))</f>
        <v>0</v>
      </c>
      <c r="Q203" s="261">
        <f t="array" ref="Q203">SUMPRODUCT(Q$72:Q$152,TRANSPOSE('Default Values'!$C152:$CE152))</f>
        <v>0</v>
      </c>
      <c r="R203" s="261">
        <f t="array" ref="R203">SUMPRODUCT(R$72:R$152,TRANSPOSE('Default Values'!$C152:$CE152))</f>
        <v>0</v>
      </c>
      <c r="S203" s="246">
        <f>SUMPRODUCT(E203:R203,$E$70:$R$70)</f>
        <v>2352.96</v>
      </c>
      <c r="T203" s="217"/>
      <c r="U203" s="217"/>
      <c r="V203" s="217"/>
      <c r="W203" s="217"/>
      <c r="X203" s="217"/>
      <c r="Y203" s="217"/>
      <c r="Z203" s="217"/>
      <c r="AA203" s="217"/>
    </row>
    <row r="204" spans="2:27" x14ac:dyDescent="0.3">
      <c r="B204" s="217"/>
      <c r="C204" s="260" t="s">
        <v>553</v>
      </c>
      <c r="D204" s="221" t="s">
        <v>363</v>
      </c>
      <c r="E204" s="261">
        <f t="array" ref="E204">SUMPRODUCT(E$72:E$152,TRANSPOSE('Default Values'!$C153:$CE153))</f>
        <v>0</v>
      </c>
      <c r="F204" s="261">
        <f t="array" ref="F204">SUMPRODUCT(F$72:F$152,TRANSPOSE('Default Values'!$C153:$CE153))</f>
        <v>0</v>
      </c>
      <c r="G204" s="261">
        <f t="array" ref="G204">SUMPRODUCT(G$72:G$152,TRANSPOSE('Default Values'!$C153:$CE153))</f>
        <v>0.25</v>
      </c>
      <c r="H204" s="261">
        <f t="array" ref="H204">SUMPRODUCT(H$72:H$152,TRANSPOSE('Default Values'!$C153:$CE153))</f>
        <v>0</v>
      </c>
      <c r="I204" s="261">
        <f t="array" ref="I204">SUMPRODUCT(I$72:I$152,TRANSPOSE('Default Values'!$C153:$CE153))</f>
        <v>0</v>
      </c>
      <c r="J204" s="261">
        <f t="array" ref="J204">SUMPRODUCT(J$72:J$152,TRANSPOSE('Default Values'!$C153:$CE153))</f>
        <v>0.25</v>
      </c>
      <c r="K204" s="261">
        <f t="array" ref="K204">SUMPRODUCT(K$72:K$152,TRANSPOSE('Default Values'!$C153:$CE153))</f>
        <v>0</v>
      </c>
      <c r="L204" s="261">
        <f t="array" ref="L204">SUMPRODUCT(L$72:L$152,TRANSPOSE('Default Values'!$C153:$CE153))</f>
        <v>0</v>
      </c>
      <c r="M204" s="261">
        <f t="array" ref="M204">SUMPRODUCT(M$72:M$152,TRANSPOSE('Default Values'!$C153:$CE153))</f>
        <v>0</v>
      </c>
      <c r="N204" s="261">
        <f t="array" ref="N204">SUMPRODUCT(N$72:N$152,TRANSPOSE('Default Values'!$C153:$CE153))</f>
        <v>0</v>
      </c>
      <c r="O204" s="261">
        <f t="array" ref="O204">SUMPRODUCT(O$72:O$152,TRANSPOSE('Default Values'!$C153:$CE153))</f>
        <v>0</v>
      </c>
      <c r="P204" s="261">
        <f t="array" ref="P204">SUMPRODUCT(P$72:P$152,TRANSPOSE('Default Values'!$C153:$CE153))</f>
        <v>0</v>
      </c>
      <c r="Q204" s="261">
        <f t="array" ref="Q204">SUMPRODUCT(Q$72:Q$152,TRANSPOSE('Default Values'!$C153:$CE153))</f>
        <v>0</v>
      </c>
      <c r="R204" s="261">
        <f t="array" ref="R204">SUMPRODUCT(R$72:R$152,TRANSPOSE('Default Values'!$C153:$CE153))</f>
        <v>0</v>
      </c>
      <c r="S204" s="246">
        <f t="shared" si="2"/>
        <v>1043.75</v>
      </c>
      <c r="T204" s="217"/>
      <c r="U204" s="217"/>
      <c r="V204" s="217"/>
      <c r="W204" s="217"/>
      <c r="X204" s="217"/>
      <c r="Y204" s="217"/>
      <c r="Z204" s="217"/>
      <c r="AA204" s="217"/>
    </row>
    <row r="205" spans="2:27" x14ac:dyDescent="0.3">
      <c r="B205" s="217"/>
      <c r="C205" s="260" t="s">
        <v>554</v>
      </c>
      <c r="D205" s="221" t="s">
        <v>363</v>
      </c>
      <c r="E205" s="261">
        <f t="array" ref="E205">SUMPRODUCT(E$72:E$152,TRANSPOSE('Default Values'!$C154:$CE154))</f>
        <v>0</v>
      </c>
      <c r="F205" s="261">
        <f t="array" ref="F205">SUMPRODUCT(F$72:F$152,TRANSPOSE('Default Values'!$C154:$CE154))</f>
        <v>0</v>
      </c>
      <c r="G205" s="261">
        <f t="array" ref="G205">SUMPRODUCT(G$72:G$152,TRANSPOSE('Default Values'!$C154:$CE154))</f>
        <v>0.25</v>
      </c>
      <c r="H205" s="261">
        <f t="array" ref="H205">SUMPRODUCT(H$72:H$152,TRANSPOSE('Default Values'!$C154:$CE154))</f>
        <v>0</v>
      </c>
      <c r="I205" s="261">
        <f t="array" ref="I205">SUMPRODUCT(I$72:I$152,TRANSPOSE('Default Values'!$C154:$CE154))</f>
        <v>0</v>
      </c>
      <c r="J205" s="261">
        <f t="array" ref="J205">SUMPRODUCT(J$72:J$152,TRANSPOSE('Default Values'!$C154:$CE154))</f>
        <v>0.25</v>
      </c>
      <c r="K205" s="261">
        <f t="array" ref="K205">SUMPRODUCT(K$72:K$152,TRANSPOSE('Default Values'!$C154:$CE154))</f>
        <v>0</v>
      </c>
      <c r="L205" s="261">
        <f t="array" ref="L205">SUMPRODUCT(L$72:L$152,TRANSPOSE('Default Values'!$C154:$CE154))</f>
        <v>0</v>
      </c>
      <c r="M205" s="261">
        <f t="array" ref="M205">SUMPRODUCT(M$72:M$152,TRANSPOSE('Default Values'!$C154:$CE154))</f>
        <v>0</v>
      </c>
      <c r="N205" s="261">
        <f t="array" ref="N205">SUMPRODUCT(N$72:N$152,TRANSPOSE('Default Values'!$C154:$CE154))</f>
        <v>0</v>
      </c>
      <c r="O205" s="261">
        <f t="array" ref="O205">SUMPRODUCT(O$72:O$152,TRANSPOSE('Default Values'!$C154:$CE154))</f>
        <v>0</v>
      </c>
      <c r="P205" s="261">
        <f t="array" ref="P205">SUMPRODUCT(P$72:P$152,TRANSPOSE('Default Values'!$C154:$CE154))</f>
        <v>0</v>
      </c>
      <c r="Q205" s="261">
        <f t="array" ref="Q205">SUMPRODUCT(Q$72:Q$152,TRANSPOSE('Default Values'!$C154:$CE154))</f>
        <v>0</v>
      </c>
      <c r="R205" s="261">
        <f t="array" ref="R205">SUMPRODUCT(R$72:R$152,TRANSPOSE('Default Values'!$C154:$CE154))</f>
        <v>0</v>
      </c>
      <c r="S205" s="246">
        <f t="shared" si="2"/>
        <v>1043.75</v>
      </c>
      <c r="T205" s="217"/>
      <c r="U205" s="217"/>
      <c r="V205" s="217"/>
      <c r="W205" s="217"/>
      <c r="X205" s="217"/>
      <c r="Y205" s="217"/>
      <c r="Z205" s="217"/>
      <c r="AA205" s="217"/>
    </row>
    <row r="206" spans="2:27" x14ac:dyDescent="0.3">
      <c r="B206" s="217"/>
      <c r="C206" s="260" t="s">
        <v>435</v>
      </c>
      <c r="D206" s="221" t="s">
        <v>363</v>
      </c>
      <c r="E206" s="261">
        <f t="array" ref="E206">SUMPRODUCT(E$72:E$152,TRANSPOSE('Default Values'!$C155:$CE155))</f>
        <v>0</v>
      </c>
      <c r="F206" s="261">
        <f t="array" ref="F206">SUMPRODUCT(F$72:F$152,TRANSPOSE('Default Values'!$C155:$CE155))</f>
        <v>0</v>
      </c>
      <c r="G206" s="261">
        <f t="array" ref="G206">SUMPRODUCT(G$72:G$152,TRANSPOSE('Default Values'!$C155:$CE155))</f>
        <v>0</v>
      </c>
      <c r="H206" s="261">
        <f t="array" ref="H206">SUMPRODUCT(H$72:H$152,TRANSPOSE('Default Values'!$C155:$CE155))</f>
        <v>0</v>
      </c>
      <c r="I206" s="261">
        <f t="array" ref="I206">SUMPRODUCT(I$72:I$152,TRANSPOSE('Default Values'!$C155:$CE155))</f>
        <v>0</v>
      </c>
      <c r="J206" s="261">
        <f t="array" ref="J206">SUMPRODUCT(J$72:J$152,TRANSPOSE('Default Values'!$C155:$CE155))</f>
        <v>0.10612937537518061</v>
      </c>
      <c r="K206" s="261">
        <f t="array" ref="K206">SUMPRODUCT(K$72:K$152,TRANSPOSE('Default Values'!$C155:$CE155))</f>
        <v>0.38624874179166541</v>
      </c>
      <c r="L206" s="261">
        <f t="array" ref="L206">SUMPRODUCT(L$72:L$152,TRANSPOSE('Default Values'!$C155:$CE155))</f>
        <v>0.12542562544339528</v>
      </c>
      <c r="M206" s="261">
        <f t="array" ref="M206">SUMPRODUCT(M$72:M$152,TRANSPOSE('Default Values'!$C155:$CE155))</f>
        <v>0</v>
      </c>
      <c r="N206" s="261">
        <f t="array" ref="N206">SUMPRODUCT(N$72:N$152,TRANSPOSE('Default Values'!$C155:$CE155))</f>
        <v>0</v>
      </c>
      <c r="O206" s="261">
        <f t="array" ref="O206">SUMPRODUCT(O$72:O$152,TRANSPOSE('Default Values'!$C155:$CE155))</f>
        <v>0</v>
      </c>
      <c r="P206" s="261">
        <f t="array" ref="P206">SUMPRODUCT(P$72:P$152,TRANSPOSE('Default Values'!$C155:$CE155))</f>
        <v>0</v>
      </c>
      <c r="Q206" s="261">
        <f t="array" ref="Q206">SUMPRODUCT(Q$72:Q$152,TRANSPOSE('Default Values'!$C155:$CE155))</f>
        <v>0</v>
      </c>
      <c r="R206" s="261">
        <f t="array" ref="R206">SUMPRODUCT(R$72:R$152,TRANSPOSE('Default Values'!$C155:$CE155))</f>
        <v>0</v>
      </c>
      <c r="S206" s="246">
        <f t="shared" si="2"/>
        <v>1484.4410603071906</v>
      </c>
      <c r="T206" s="217"/>
      <c r="U206" s="217"/>
      <c r="V206" s="217"/>
      <c r="W206" s="217"/>
      <c r="X206" s="217"/>
      <c r="Y206" s="217"/>
      <c r="Z206" s="217"/>
      <c r="AA206" s="217"/>
    </row>
    <row r="207" spans="2:27" x14ac:dyDescent="0.3">
      <c r="B207" s="217"/>
      <c r="C207" s="260" t="s">
        <v>347</v>
      </c>
      <c r="D207" s="221" t="s">
        <v>363</v>
      </c>
      <c r="E207" s="261">
        <f t="array" ref="E207">SUMPRODUCT(E$72:E$152,TRANSPOSE('Default Values'!$C156:$CE156))</f>
        <v>0</v>
      </c>
      <c r="F207" s="261">
        <f t="array" ref="F207">SUMPRODUCT(F$72:F$152,TRANSPOSE('Default Values'!$C156:$CE156))</f>
        <v>0</v>
      </c>
      <c r="G207" s="261">
        <f t="array" ref="G207">SUMPRODUCT(G$72:G$152,TRANSPOSE('Default Values'!$C156:$CE156))</f>
        <v>3.1219512195121962E-2</v>
      </c>
      <c r="H207" s="261">
        <f t="array" ref="H207">SUMPRODUCT(H$72:H$152,TRANSPOSE('Default Values'!$C156:$CE156))</f>
        <v>0</v>
      </c>
      <c r="I207" s="261">
        <f t="array" ref="I207">SUMPRODUCT(I$72:I$152,TRANSPOSE('Default Values'!$C156:$CE156))</f>
        <v>0</v>
      </c>
      <c r="J207" s="261">
        <f t="array" ref="J207">SUMPRODUCT(J$72:J$152,TRANSPOSE('Default Values'!$C156:$CE156))</f>
        <v>3.1219512195121962E-2</v>
      </c>
      <c r="K207" s="261">
        <f t="array" ref="K207">SUMPRODUCT(K$72:K$152,TRANSPOSE('Default Values'!$C156:$CE156))</f>
        <v>0.8751219512195122</v>
      </c>
      <c r="L207" s="261">
        <f t="array" ref="L207">SUMPRODUCT(L$72:L$152,TRANSPOSE('Default Values'!$C156:$CE156))</f>
        <v>0</v>
      </c>
      <c r="M207" s="261">
        <f t="array" ref="M207">SUMPRODUCT(M$72:M$152,TRANSPOSE('Default Values'!$C156:$CE156))</f>
        <v>0</v>
      </c>
      <c r="N207" s="261">
        <f t="array" ref="N207">SUMPRODUCT(N$72:N$152,TRANSPOSE('Default Values'!$C156:$CE156))</f>
        <v>0</v>
      </c>
      <c r="O207" s="261">
        <f t="array" ref="O207">SUMPRODUCT(O$72:O$152,TRANSPOSE('Default Values'!$C156:$CE156))</f>
        <v>0</v>
      </c>
      <c r="P207" s="261">
        <f t="array" ref="P207">SUMPRODUCT(P$72:P$152,TRANSPOSE('Default Values'!$C156:$CE156))</f>
        <v>0</v>
      </c>
      <c r="Q207" s="261">
        <f t="array" ref="Q207">SUMPRODUCT(Q$72:Q$152,TRANSPOSE('Default Values'!$C156:$CE156))</f>
        <v>0</v>
      </c>
      <c r="R207" s="261">
        <f t="array" ref="R207">SUMPRODUCT(R$72:R$152,TRANSPOSE('Default Values'!$C156:$CE156))</f>
        <v>0</v>
      </c>
      <c r="S207" s="246">
        <f t="shared" si="2"/>
        <v>1381.7658536585368</v>
      </c>
      <c r="T207" s="217"/>
      <c r="U207" s="217"/>
      <c r="V207" s="217"/>
      <c r="W207" s="217"/>
      <c r="X207" s="217"/>
      <c r="Y207" s="217"/>
      <c r="Z207" s="217"/>
      <c r="AA207" s="217"/>
    </row>
    <row r="208" spans="2:27" x14ac:dyDescent="0.3">
      <c r="B208" s="217"/>
      <c r="C208" s="260" t="s">
        <v>795</v>
      </c>
      <c r="D208" s="221" t="s">
        <v>363</v>
      </c>
      <c r="E208" s="261">
        <f t="array" ref="E208">SUMPRODUCT(E$72:E$152,TRANSPOSE('Default Values'!$C157:$CE157))</f>
        <v>0</v>
      </c>
      <c r="F208" s="261">
        <f t="array" ref="F208">SUMPRODUCT(F$72:F$152,TRANSPOSE('Default Values'!$C157:$CE157))</f>
        <v>0</v>
      </c>
      <c r="G208" s="261">
        <f t="array" ref="G208">SUMPRODUCT(G$72:G$152,TRANSPOSE('Default Values'!$C157:$CE157))</f>
        <v>0</v>
      </c>
      <c r="H208" s="261">
        <f t="array" ref="H208">SUMPRODUCT(H$72:H$152,TRANSPOSE('Default Values'!$C157:$CE157))</f>
        <v>0</v>
      </c>
      <c r="I208" s="261">
        <f t="array" ref="I208">SUMPRODUCT(I$72:I$152,TRANSPOSE('Default Values'!$C157:$CE157))</f>
        <v>0</v>
      </c>
      <c r="J208" s="261">
        <f t="array" ref="J208">SUMPRODUCT(J$72:J$152,TRANSPOSE('Default Values'!$C157:$CE157))</f>
        <v>0</v>
      </c>
      <c r="K208" s="261">
        <f t="array" ref="K208">SUMPRODUCT(K$72:K$152,TRANSPOSE('Default Values'!$C157:$CE157))</f>
        <v>1</v>
      </c>
      <c r="L208" s="261">
        <f t="array" ref="L208">SUMPRODUCT(L$72:L$152,TRANSPOSE('Default Values'!$C157:$CE157))</f>
        <v>0</v>
      </c>
      <c r="M208" s="261">
        <f t="array" ref="M208">SUMPRODUCT(M$72:M$152,TRANSPOSE('Default Values'!$C157:$CE157))</f>
        <v>0</v>
      </c>
      <c r="N208" s="261">
        <f t="array" ref="N208">SUMPRODUCT(N$72:N$152,TRANSPOSE('Default Values'!$C157:$CE157))</f>
        <v>0</v>
      </c>
      <c r="O208" s="261">
        <f t="array" ref="O208">SUMPRODUCT(O$72:O$152,TRANSPOSE('Default Values'!$C157:$CE157))</f>
        <v>0</v>
      </c>
      <c r="P208" s="261">
        <f t="array" ref="P208">SUMPRODUCT(P$72:P$152,TRANSPOSE('Default Values'!$C157:$CE157))</f>
        <v>0</v>
      </c>
      <c r="Q208" s="261">
        <f t="array" ref="Q208">SUMPRODUCT(Q$72:Q$152,TRANSPOSE('Default Values'!$C157:$CE157))</f>
        <v>0</v>
      </c>
      <c r="R208" s="261">
        <f t="array" ref="R208">SUMPRODUCT(R$72:R$152,TRANSPOSE('Default Values'!$C157:$CE157))</f>
        <v>0</v>
      </c>
      <c r="S208" s="246">
        <f t="shared" si="2"/>
        <v>1430</v>
      </c>
      <c r="T208" s="217"/>
      <c r="U208" s="217"/>
      <c r="V208" s="217"/>
      <c r="W208" s="217"/>
      <c r="X208" s="217"/>
      <c r="Y208" s="217"/>
      <c r="Z208" s="217"/>
      <c r="AA208" s="217"/>
    </row>
    <row r="209" spans="2:27" s="506" customFormat="1" x14ac:dyDescent="0.3">
      <c r="B209" s="217"/>
      <c r="C209" s="260" t="s">
        <v>796</v>
      </c>
      <c r="D209" s="221" t="s">
        <v>363</v>
      </c>
      <c r="E209" s="261">
        <f t="array" ref="E209">SUMPRODUCT(E$72:E$152,TRANSPOSE('Default Values'!$C158:$CE158))</f>
        <v>0</v>
      </c>
      <c r="F209" s="261">
        <f t="array" ref="F209">SUMPRODUCT(F$72:F$152,TRANSPOSE('Default Values'!$C158:$CE158))</f>
        <v>0</v>
      </c>
      <c r="G209" s="261">
        <f t="array" ref="G209">SUMPRODUCT(G$72:G$152,TRANSPOSE('Default Values'!$C158:$CE158))</f>
        <v>0</v>
      </c>
      <c r="H209" s="261">
        <f t="array" ref="H209">SUMPRODUCT(H$72:H$152,TRANSPOSE('Default Values'!$C158:$CE158))</f>
        <v>0</v>
      </c>
      <c r="I209" s="261">
        <f t="array" ref="I209">SUMPRODUCT(I$72:I$152,TRANSPOSE('Default Values'!$C158:$CE158))</f>
        <v>0</v>
      </c>
      <c r="J209" s="261">
        <f t="array" ref="J209">SUMPRODUCT(J$72:J$152,TRANSPOSE('Default Values'!$C158:$CE158))</f>
        <v>0</v>
      </c>
      <c r="K209" s="261">
        <f t="array" ref="K209">SUMPRODUCT(K$72:K$152,TRANSPOSE('Default Values'!$C158:$CE158))</f>
        <v>1</v>
      </c>
      <c r="L209" s="261">
        <f t="array" ref="L209">SUMPRODUCT(L$72:L$152,TRANSPOSE('Default Values'!$C158:$CE158))</f>
        <v>0</v>
      </c>
      <c r="M209" s="261">
        <f t="array" ref="M209">SUMPRODUCT(M$72:M$152,TRANSPOSE('Default Values'!$C158:$CE158))</f>
        <v>0</v>
      </c>
      <c r="N209" s="261">
        <f t="array" ref="N209">SUMPRODUCT(N$72:N$152,TRANSPOSE('Default Values'!$C158:$CE158))</f>
        <v>0</v>
      </c>
      <c r="O209" s="261">
        <f t="array" ref="O209">SUMPRODUCT(O$72:O$152,TRANSPOSE('Default Values'!$C158:$CE158))</f>
        <v>0</v>
      </c>
      <c r="P209" s="261">
        <f t="array" ref="P209">SUMPRODUCT(P$72:P$152,TRANSPOSE('Default Values'!$C158:$CE158))</f>
        <v>0</v>
      </c>
      <c r="Q209" s="261">
        <f t="array" ref="Q209">SUMPRODUCT(Q$72:Q$152,TRANSPOSE('Default Values'!$C158:$CE158))</f>
        <v>0</v>
      </c>
      <c r="R209" s="261">
        <f t="array" ref="R209">SUMPRODUCT(R$72:R$152,TRANSPOSE('Default Values'!$C158:$CE158))</f>
        <v>0</v>
      </c>
      <c r="S209" s="246">
        <f t="shared" ref="S209:S211" si="7">SUMPRODUCT(E209:R209,$E$70:$R$70)</f>
        <v>1430</v>
      </c>
      <c r="T209" s="217"/>
      <c r="U209" s="217"/>
      <c r="V209" s="217"/>
      <c r="W209" s="217"/>
      <c r="X209" s="217"/>
      <c r="Y209" s="217"/>
      <c r="Z209" s="217"/>
      <c r="AA209" s="217"/>
    </row>
    <row r="210" spans="2:27" s="506" customFormat="1" x14ac:dyDescent="0.3">
      <c r="B210" s="217"/>
      <c r="C210" s="260" t="s">
        <v>555</v>
      </c>
      <c r="D210" s="221" t="s">
        <v>363</v>
      </c>
      <c r="E210" s="261">
        <f t="array" ref="E210">SUMPRODUCT(E$72:E$152,TRANSPOSE('Default Values'!$C159:$CE159))</f>
        <v>0</v>
      </c>
      <c r="F210" s="261">
        <f t="array" ref="F210">SUMPRODUCT(F$72:F$152,TRANSPOSE('Default Values'!$C159:$CE159))</f>
        <v>0</v>
      </c>
      <c r="G210" s="261">
        <f t="array" ref="G210">SUMPRODUCT(G$72:G$152,TRANSPOSE('Default Values'!$C159:$CE159))</f>
        <v>0</v>
      </c>
      <c r="H210" s="261">
        <f t="array" ref="H210">SUMPRODUCT(H$72:H$152,TRANSPOSE('Default Values'!$C159:$CE159))</f>
        <v>0</v>
      </c>
      <c r="I210" s="261">
        <f t="array" ref="I210">SUMPRODUCT(I$72:I$152,TRANSPOSE('Default Values'!$C159:$CE159))</f>
        <v>0</v>
      </c>
      <c r="J210" s="261">
        <f t="array" ref="J210">SUMPRODUCT(J$72:J$152,TRANSPOSE('Default Values'!$C159:$CE159))</f>
        <v>0</v>
      </c>
      <c r="K210" s="261">
        <f t="array" ref="K210">SUMPRODUCT(K$72:K$152,TRANSPOSE('Default Values'!$C159:$CE159))</f>
        <v>1</v>
      </c>
      <c r="L210" s="261">
        <f t="array" ref="L210">SUMPRODUCT(L$72:L$152,TRANSPOSE('Default Values'!$C159:$CE159))</f>
        <v>0</v>
      </c>
      <c r="M210" s="261">
        <f t="array" ref="M210">SUMPRODUCT(M$72:M$152,TRANSPOSE('Default Values'!$C159:$CE159))</f>
        <v>0</v>
      </c>
      <c r="N210" s="261">
        <f t="array" ref="N210">SUMPRODUCT(N$72:N$152,TRANSPOSE('Default Values'!$C159:$CE159))</f>
        <v>0</v>
      </c>
      <c r="O210" s="261">
        <f t="array" ref="O210">SUMPRODUCT(O$72:O$152,TRANSPOSE('Default Values'!$C159:$CE159))</f>
        <v>0</v>
      </c>
      <c r="P210" s="261">
        <f t="array" ref="P210">SUMPRODUCT(P$72:P$152,TRANSPOSE('Default Values'!$C159:$CE159))</f>
        <v>0</v>
      </c>
      <c r="Q210" s="261">
        <f t="array" ref="Q210">SUMPRODUCT(Q$72:Q$152,TRANSPOSE('Default Values'!$C159:$CE159))</f>
        <v>0</v>
      </c>
      <c r="R210" s="261">
        <f t="array" ref="R210">SUMPRODUCT(R$72:R$152,TRANSPOSE('Default Values'!$C159:$CE159))</f>
        <v>0</v>
      </c>
      <c r="S210" s="246">
        <f t="shared" si="7"/>
        <v>1430</v>
      </c>
      <c r="T210" s="217"/>
      <c r="U210" s="217"/>
      <c r="V210" s="217"/>
      <c r="W210" s="217"/>
      <c r="X210" s="217"/>
      <c r="Y210" s="217"/>
      <c r="Z210" s="217"/>
      <c r="AA210" s="217"/>
    </row>
    <row r="211" spans="2:27" s="506" customFormat="1" x14ac:dyDescent="0.3">
      <c r="B211" s="217"/>
      <c r="C211" s="260" t="s">
        <v>797</v>
      </c>
      <c r="D211" s="221" t="s">
        <v>363</v>
      </c>
      <c r="E211" s="261">
        <f t="array" ref="E211">SUMPRODUCT(E$72:E$152,TRANSPOSE('Default Values'!$C160:$CE160))</f>
        <v>0</v>
      </c>
      <c r="F211" s="261">
        <f t="array" ref="F211">SUMPRODUCT(F$72:F$152,TRANSPOSE('Default Values'!$C160:$CE160))</f>
        <v>0</v>
      </c>
      <c r="G211" s="261">
        <f t="array" ref="G211">SUMPRODUCT(G$72:G$152,TRANSPOSE('Default Values'!$C160:$CE160))</f>
        <v>0</v>
      </c>
      <c r="H211" s="261">
        <f t="array" ref="H211">SUMPRODUCT(H$72:H$152,TRANSPOSE('Default Values'!$C160:$CE160))</f>
        <v>0</v>
      </c>
      <c r="I211" s="261">
        <f t="array" ref="I211">SUMPRODUCT(I$72:I$152,TRANSPOSE('Default Values'!$C160:$CE160))</f>
        <v>0</v>
      </c>
      <c r="J211" s="261">
        <f t="array" ref="J211">SUMPRODUCT(J$72:J$152,TRANSPOSE('Default Values'!$C160:$CE160))</f>
        <v>0</v>
      </c>
      <c r="K211" s="261">
        <f t="array" ref="K211">SUMPRODUCT(K$72:K$152,TRANSPOSE('Default Values'!$C160:$CE160))</f>
        <v>1</v>
      </c>
      <c r="L211" s="261">
        <f t="array" ref="L211">SUMPRODUCT(L$72:L$152,TRANSPOSE('Default Values'!$C160:$CE160))</f>
        <v>0</v>
      </c>
      <c r="M211" s="261">
        <f t="array" ref="M211">SUMPRODUCT(M$72:M$152,TRANSPOSE('Default Values'!$C160:$CE160))</f>
        <v>0</v>
      </c>
      <c r="N211" s="261">
        <f t="array" ref="N211">SUMPRODUCT(N$72:N$152,TRANSPOSE('Default Values'!$C160:$CE160))</f>
        <v>0</v>
      </c>
      <c r="O211" s="261">
        <f t="array" ref="O211">SUMPRODUCT(O$72:O$152,TRANSPOSE('Default Values'!$C160:$CE160))</f>
        <v>0</v>
      </c>
      <c r="P211" s="261">
        <f t="array" ref="P211">SUMPRODUCT(P$72:P$152,TRANSPOSE('Default Values'!$C160:$CE160))</f>
        <v>0</v>
      </c>
      <c r="Q211" s="261">
        <f t="array" ref="Q211">SUMPRODUCT(Q$72:Q$152,TRANSPOSE('Default Values'!$C160:$CE160))</f>
        <v>0</v>
      </c>
      <c r="R211" s="261">
        <f t="array" ref="R211">SUMPRODUCT(R$72:R$152,TRANSPOSE('Default Values'!$C160:$CE160))</f>
        <v>0</v>
      </c>
      <c r="S211" s="246">
        <f t="shared" si="7"/>
        <v>1430</v>
      </c>
      <c r="T211" s="217"/>
      <c r="U211" s="217"/>
      <c r="V211" s="217"/>
      <c r="W211" s="217"/>
      <c r="X211" s="217"/>
      <c r="Y211" s="217"/>
      <c r="Z211" s="217"/>
      <c r="AA211" s="217"/>
    </row>
    <row r="212" spans="2:27" x14ac:dyDescent="0.3">
      <c r="B212" s="217"/>
      <c r="C212" s="263" t="s">
        <v>798</v>
      </c>
      <c r="D212" s="221" t="s">
        <v>363</v>
      </c>
      <c r="E212" s="261">
        <f t="array" ref="E212">SUMPRODUCT(E$72:E$152,TRANSPOSE('Default Values'!$C161:$CE161))</f>
        <v>0</v>
      </c>
      <c r="F212" s="261">
        <f t="array" ref="F212">SUMPRODUCT(F$72:F$152,TRANSPOSE('Default Values'!$C161:$CE161))</f>
        <v>0</v>
      </c>
      <c r="G212" s="261">
        <f t="array" ref="G212">SUMPRODUCT(G$72:G$152,TRANSPOSE('Default Values'!$C161:$CE161))</f>
        <v>0</v>
      </c>
      <c r="H212" s="261">
        <f t="array" ref="H212">SUMPRODUCT(H$72:H$152,TRANSPOSE('Default Values'!$C161:$CE161))</f>
        <v>0</v>
      </c>
      <c r="I212" s="261">
        <f t="array" ref="I212">SUMPRODUCT(I$72:I$152,TRANSPOSE('Default Values'!$C161:$CE161))</f>
        <v>0</v>
      </c>
      <c r="J212" s="261">
        <f t="array" ref="J212">SUMPRODUCT(J$72:J$152,TRANSPOSE('Default Values'!$C161:$CE161))</f>
        <v>0</v>
      </c>
      <c r="K212" s="261">
        <f t="array" ref="K212">SUMPRODUCT(K$72:K$152,TRANSPOSE('Default Values'!$C161:$CE161))</f>
        <v>0.9</v>
      </c>
      <c r="L212" s="261">
        <f t="array" ref="L212">SUMPRODUCT(L$72:L$152,TRANSPOSE('Default Values'!$C161:$CE161))</f>
        <v>0</v>
      </c>
      <c r="M212" s="261">
        <f t="array" ref="M212">SUMPRODUCT(M$72:M$152,TRANSPOSE('Default Values'!$C161:$CE161))</f>
        <v>0</v>
      </c>
      <c r="N212" s="261">
        <f t="array" ref="N212">SUMPRODUCT(N$72:N$152,TRANSPOSE('Default Values'!$C161:$CE161))</f>
        <v>0</v>
      </c>
      <c r="O212" s="261">
        <f t="array" ref="O212">SUMPRODUCT(O$72:O$152,TRANSPOSE('Default Values'!$C161:$CE161))</f>
        <v>0</v>
      </c>
      <c r="P212" s="261">
        <f t="array" ref="P212">SUMPRODUCT(P$72:P$152,TRANSPOSE('Default Values'!$C161:$CE161))</f>
        <v>0</v>
      </c>
      <c r="Q212" s="261">
        <f t="array" ref="Q212">SUMPRODUCT(Q$72:Q$152,TRANSPOSE('Default Values'!$C161:$CE161))</f>
        <v>0</v>
      </c>
      <c r="R212" s="261">
        <f t="array" ref="R212">SUMPRODUCT(R$72:R$152,TRANSPOSE('Default Values'!$C161:$CE161))</f>
        <v>0</v>
      </c>
      <c r="S212" s="246">
        <f t="shared" si="2"/>
        <v>1287</v>
      </c>
      <c r="T212" s="217"/>
      <c r="U212" s="217"/>
      <c r="V212" s="217"/>
      <c r="W212" s="217"/>
      <c r="X212" s="217"/>
      <c r="Y212" s="217"/>
      <c r="Z212" s="217"/>
      <c r="AA212" s="217"/>
    </row>
    <row r="213" spans="2:27" x14ac:dyDescent="0.3">
      <c r="B213" s="217"/>
      <c r="C213" s="260" t="s">
        <v>348</v>
      </c>
      <c r="D213" s="221" t="s">
        <v>363</v>
      </c>
      <c r="E213" s="261">
        <f t="array" ref="E213">SUMPRODUCT(E$72:E$152,TRANSPOSE('Default Values'!$C162:$CE162))</f>
        <v>0</v>
      </c>
      <c r="F213" s="261">
        <f t="array" ref="F213">SUMPRODUCT(F$72:F$152,TRANSPOSE('Default Values'!$C162:$CE162))</f>
        <v>0</v>
      </c>
      <c r="G213" s="261">
        <f t="array" ref="G213">SUMPRODUCT(G$72:G$152,TRANSPOSE('Default Values'!$C162:$CE162))</f>
        <v>0.24870852914812147</v>
      </c>
      <c r="H213" s="261">
        <f t="array" ref="H213">SUMPRODUCT(H$72:H$152,TRANSPOSE('Default Values'!$C162:$CE162))</f>
        <v>0</v>
      </c>
      <c r="I213" s="261">
        <f t="array" ref="I213">SUMPRODUCT(I$72:I$152,TRANSPOSE('Default Values'!$C162:$CE162))</f>
        <v>0</v>
      </c>
      <c r="J213" s="261">
        <f t="array" ref="J213">SUMPRODUCT(J$72:J$152,TRANSPOSE('Default Values'!$C162:$CE162))</f>
        <v>0.24870852914812147</v>
      </c>
      <c r="K213" s="261">
        <f t="array" ref="K213">SUMPRODUCT(K$72:K$152,TRANSPOSE('Default Values'!$C162:$CE162))</f>
        <v>5.1658834075141062E-3</v>
      </c>
      <c r="L213" s="261">
        <f t="array" ref="L213">SUMPRODUCT(L$72:L$152,TRANSPOSE('Default Values'!$C162:$CE162))</f>
        <v>0</v>
      </c>
      <c r="M213" s="261">
        <f t="array" ref="M213">SUMPRODUCT(M$72:M$152,TRANSPOSE('Default Values'!$C162:$CE162))</f>
        <v>0</v>
      </c>
      <c r="N213" s="261">
        <f t="array" ref="N213">SUMPRODUCT(N$72:N$152,TRANSPOSE('Default Values'!$C162:$CE162))</f>
        <v>0</v>
      </c>
      <c r="O213" s="261">
        <f t="array" ref="O213">SUMPRODUCT(O$72:O$152,TRANSPOSE('Default Values'!$C162:$CE162))</f>
        <v>0</v>
      </c>
      <c r="P213" s="261">
        <f t="array" ref="P213">SUMPRODUCT(P$72:P$152,TRANSPOSE('Default Values'!$C162:$CE162))</f>
        <v>0</v>
      </c>
      <c r="Q213" s="261">
        <f t="array" ref="Q213">SUMPRODUCT(Q$72:Q$152,TRANSPOSE('Default Values'!$C162:$CE162))</f>
        <v>0</v>
      </c>
      <c r="R213" s="261">
        <f t="array" ref="R213">SUMPRODUCT(R$72:R$152,TRANSPOSE('Default Values'!$C162:$CE162))</f>
        <v>0</v>
      </c>
      <c r="S213" s="246">
        <f t="shared" si="2"/>
        <v>1045.7453224661524</v>
      </c>
      <c r="T213" s="217"/>
      <c r="U213" s="217"/>
      <c r="V213" s="217"/>
      <c r="W213" s="217"/>
      <c r="X213" s="217"/>
      <c r="Y213" s="217"/>
      <c r="Z213" s="217"/>
      <c r="AA213" s="217"/>
    </row>
    <row r="214" spans="2:27" x14ac:dyDescent="0.3">
      <c r="B214" s="217"/>
      <c r="C214" s="260" t="s">
        <v>349</v>
      </c>
      <c r="D214" s="221" t="s">
        <v>363</v>
      </c>
      <c r="E214" s="261">
        <f t="array" ref="E214">SUMPRODUCT(E$72:E$152,TRANSPOSE('Default Values'!$C163:$CE163))</f>
        <v>0</v>
      </c>
      <c r="F214" s="261">
        <f t="array" ref="F214">SUMPRODUCT(F$72:F$152,TRANSPOSE('Default Values'!$C163:$CE163))</f>
        <v>0</v>
      </c>
      <c r="G214" s="261">
        <f t="array" ref="G214">SUMPRODUCT(G$72:G$152,TRANSPOSE('Default Values'!$C163:$CE163))</f>
        <v>0.18405865451773329</v>
      </c>
      <c r="H214" s="261">
        <f t="array" ref="H214">SUMPRODUCT(H$72:H$152,TRANSPOSE('Default Values'!$C163:$CE163))</f>
        <v>0</v>
      </c>
      <c r="I214" s="261">
        <f t="array" ref="I214">SUMPRODUCT(I$72:I$152,TRANSPOSE('Default Values'!$C163:$CE163))</f>
        <v>0</v>
      </c>
      <c r="J214" s="261">
        <f t="array" ref="J214">SUMPRODUCT(J$72:J$152,TRANSPOSE('Default Values'!$C163:$CE163))</f>
        <v>0.24918117754708546</v>
      </c>
      <c r="K214" s="261">
        <f t="array" ref="K214">SUMPRODUCT(K$72:K$152,TRANSPOSE('Default Values'!$C163:$CE163))</f>
        <v>2.3009387699340557E-2</v>
      </c>
      <c r="L214" s="261">
        <f t="array" ref="L214">SUMPRODUCT(L$72:L$152,TRANSPOSE('Default Values'!$C163:$CE163))</f>
        <v>7.696298176196166E-2</v>
      </c>
      <c r="M214" s="261">
        <f t="array" ref="M214">SUMPRODUCT(M$72:M$152,TRANSPOSE('Default Values'!$C163:$CE163))</f>
        <v>0</v>
      </c>
      <c r="N214" s="261">
        <f t="array" ref="N214">SUMPRODUCT(N$72:N$152,TRANSPOSE('Default Values'!$C163:$CE163))</f>
        <v>0</v>
      </c>
      <c r="O214" s="261">
        <f t="array" ref="O214">SUMPRODUCT(O$72:O$152,TRANSPOSE('Default Values'!$C163:$CE163))</f>
        <v>0</v>
      </c>
      <c r="P214" s="261">
        <f t="array" ref="P214">SUMPRODUCT(P$72:P$152,TRANSPOSE('Default Values'!$C163:$CE163))</f>
        <v>0</v>
      </c>
      <c r="Q214" s="261">
        <f t="array" ref="Q214">SUMPRODUCT(Q$72:Q$152,TRANSPOSE('Default Values'!$C163:$CE163))</f>
        <v>0</v>
      </c>
      <c r="R214" s="261">
        <f t="array" ref="R214">SUMPRODUCT(R$72:R$152,TRANSPOSE('Default Values'!$C163:$CE163))</f>
        <v>0</v>
      </c>
      <c r="S214" s="246">
        <f t="shared" si="2"/>
        <v>1373.3016661002948</v>
      </c>
      <c r="T214" s="217"/>
      <c r="U214" s="217"/>
      <c r="V214" s="217"/>
      <c r="W214" s="217"/>
      <c r="X214" s="217"/>
      <c r="Y214" s="217"/>
      <c r="Z214" s="217"/>
      <c r="AA214" s="217"/>
    </row>
    <row r="215" spans="2:27" x14ac:dyDescent="0.3">
      <c r="B215" s="217"/>
      <c r="C215" s="260" t="s">
        <v>556</v>
      </c>
      <c r="D215" s="221" t="s">
        <v>363</v>
      </c>
      <c r="E215" s="261">
        <f t="array" ref="E215">SUMPRODUCT(E$72:E$152,TRANSPOSE('Default Values'!$C164:$CE164))</f>
        <v>0</v>
      </c>
      <c r="F215" s="261">
        <f t="array" ref="F215">SUMPRODUCT(F$72:F$152,TRANSPOSE('Default Values'!$C164:$CE164))</f>
        <v>0</v>
      </c>
      <c r="G215" s="261">
        <f t="array" ref="G215">SUMPRODUCT(G$72:G$152,TRANSPOSE('Default Values'!$C164:$CE164))</f>
        <v>0.25820529164557776</v>
      </c>
      <c r="H215" s="261">
        <f t="array" ref="H215">SUMPRODUCT(H$72:H$152,TRANSPOSE('Default Values'!$C164:$CE164))</f>
        <v>0</v>
      </c>
      <c r="I215" s="261">
        <f t="array" ref="I215">SUMPRODUCT(I$72:I$152,TRANSPOSE('Default Values'!$C164:$CE164))</f>
        <v>0</v>
      </c>
      <c r="J215" s="261">
        <f t="array" ref="J215">SUMPRODUCT(J$72:J$152,TRANSPOSE('Default Values'!$C164:$CE164))</f>
        <v>0.25820529164557776</v>
      </c>
      <c r="K215" s="261">
        <f t="array" ref="K215">SUMPRODUCT(K$72:K$152,TRANSPOSE('Default Values'!$C164:$CE164))</f>
        <v>2.6927308913140033E-2</v>
      </c>
      <c r="L215" s="261">
        <f t="array" ref="L215">SUMPRODUCT(L$72:L$152,TRANSPOSE('Default Values'!$C164:$CE164))</f>
        <v>0</v>
      </c>
      <c r="M215" s="261">
        <f t="array" ref="M215">SUMPRODUCT(M$72:M$152,TRANSPOSE('Default Values'!$C164:$CE164))</f>
        <v>0</v>
      </c>
      <c r="N215" s="261">
        <f t="array" ref="N215">SUMPRODUCT(N$72:N$152,TRANSPOSE('Default Values'!$C164:$CE164))</f>
        <v>0</v>
      </c>
      <c r="O215" s="261">
        <f t="array" ref="O215">SUMPRODUCT(O$72:O$152,TRANSPOSE('Default Values'!$C164:$CE164))</f>
        <v>0</v>
      </c>
      <c r="P215" s="261">
        <f t="array" ref="P215">SUMPRODUCT(P$72:P$152,TRANSPOSE('Default Values'!$C164:$CE164))</f>
        <v>0</v>
      </c>
      <c r="Q215" s="261">
        <f t="array" ref="Q215">SUMPRODUCT(Q$72:Q$152,TRANSPOSE('Default Values'!$C164:$CE164))</f>
        <v>0</v>
      </c>
      <c r="R215" s="261">
        <f t="array" ref="R215">SUMPRODUCT(R$72:R$152,TRANSPOSE('Default Values'!$C164:$CE164))</f>
        <v>0</v>
      </c>
      <c r="S215" s="246">
        <f t="shared" si="2"/>
        <v>1116.5131443660775</v>
      </c>
      <c r="T215" s="217"/>
      <c r="U215" s="217"/>
      <c r="V215" s="217"/>
      <c r="W215" s="217"/>
      <c r="X215" s="217"/>
      <c r="Y215" s="217"/>
      <c r="Z215" s="217"/>
      <c r="AA215" s="217"/>
    </row>
    <row r="216" spans="2:27" x14ac:dyDescent="0.3">
      <c r="B216" s="217"/>
      <c r="C216" s="260" t="s">
        <v>557</v>
      </c>
      <c r="D216" s="221" t="s">
        <v>363</v>
      </c>
      <c r="E216" s="261">
        <f t="array" ref="E216">SUMPRODUCT(E$72:E$152,TRANSPOSE('Default Values'!$C165:$CE165))</f>
        <v>0</v>
      </c>
      <c r="F216" s="261">
        <f t="array" ref="F216">SUMPRODUCT(F$72:F$152,TRANSPOSE('Default Values'!$C165:$CE165))</f>
        <v>0</v>
      </c>
      <c r="G216" s="261">
        <f t="array" ref="G216">SUMPRODUCT(G$72:G$152,TRANSPOSE('Default Values'!$C165:$CE165))</f>
        <v>0.25191011909450239</v>
      </c>
      <c r="H216" s="261">
        <f t="array" ref="H216">SUMPRODUCT(H$72:H$152,TRANSPOSE('Default Values'!$C165:$CE165))</f>
        <v>0</v>
      </c>
      <c r="I216" s="261">
        <f t="array" ref="I216">SUMPRODUCT(I$72:I$152,TRANSPOSE('Default Values'!$C165:$CE165))</f>
        <v>0</v>
      </c>
      <c r="J216" s="261">
        <f t="array" ref="J216">SUMPRODUCT(J$72:J$152,TRANSPOSE('Default Values'!$C165:$CE165))</f>
        <v>0.25191011909450239</v>
      </c>
      <c r="K216" s="261">
        <f t="array" ref="K216">SUMPRODUCT(K$72:K$152,TRANSPOSE('Default Values'!$C165:$CE165))</f>
        <v>5.0651301772044452E-2</v>
      </c>
      <c r="L216" s="261">
        <f t="array" ref="L216">SUMPRODUCT(L$72:L$152,TRANSPOSE('Default Values'!$C165:$CE165))</f>
        <v>0</v>
      </c>
      <c r="M216" s="261">
        <f t="array" ref="M216">SUMPRODUCT(M$72:M$152,TRANSPOSE('Default Values'!$C165:$CE165))</f>
        <v>0</v>
      </c>
      <c r="N216" s="261">
        <f t="array" ref="N216">SUMPRODUCT(N$72:N$152,TRANSPOSE('Default Values'!$C165:$CE165))</f>
        <v>0</v>
      </c>
      <c r="O216" s="261">
        <f t="array" ref="O216">SUMPRODUCT(O$72:O$152,TRANSPOSE('Default Values'!$C165:$CE165))</f>
        <v>0</v>
      </c>
      <c r="P216" s="261">
        <f t="array" ref="P216">SUMPRODUCT(P$72:P$152,TRANSPOSE('Default Values'!$C165:$CE165))</f>
        <v>0</v>
      </c>
      <c r="Q216" s="261">
        <f t="array" ref="Q216">SUMPRODUCT(Q$72:Q$152,TRANSPOSE('Default Values'!$C165:$CE165))</f>
        <v>0</v>
      </c>
      <c r="R216" s="261">
        <f t="array" ref="R216">SUMPRODUCT(R$72:R$152,TRANSPOSE('Default Values'!$C165:$CE165))</f>
        <v>0</v>
      </c>
      <c r="S216" s="246">
        <f t="shared" si="2"/>
        <v>1124.1561087535711</v>
      </c>
      <c r="T216" s="217"/>
      <c r="U216" s="217"/>
      <c r="V216" s="217"/>
      <c r="W216" s="217"/>
      <c r="X216" s="217"/>
      <c r="Y216" s="217"/>
      <c r="Z216" s="217"/>
      <c r="AA216" s="217"/>
    </row>
    <row r="217" spans="2:27" x14ac:dyDescent="0.3">
      <c r="B217" s="217"/>
      <c r="C217" s="260" t="s">
        <v>558</v>
      </c>
      <c r="D217" s="221" t="s">
        <v>363</v>
      </c>
      <c r="E217" s="261">
        <f t="array" ref="E217">SUMPRODUCT(E$72:E$152,TRANSPOSE('Default Values'!$C166:$CE166))</f>
        <v>0</v>
      </c>
      <c r="F217" s="261">
        <f t="array" ref="F217">SUMPRODUCT(F$72:F$152,TRANSPOSE('Default Values'!$C166:$CE166))</f>
        <v>0</v>
      </c>
      <c r="G217" s="261">
        <f t="array" ref="G217">SUMPRODUCT(G$72:G$152,TRANSPOSE('Default Values'!$C166:$CE166))</f>
        <v>0.25</v>
      </c>
      <c r="H217" s="261">
        <f t="array" ref="H217">SUMPRODUCT(H$72:H$152,TRANSPOSE('Default Values'!$C166:$CE166))</f>
        <v>0</v>
      </c>
      <c r="I217" s="261">
        <f t="array" ref="I217">SUMPRODUCT(I$72:I$152,TRANSPOSE('Default Values'!$C166:$CE166))</f>
        <v>0</v>
      </c>
      <c r="J217" s="261">
        <f t="array" ref="J217">SUMPRODUCT(J$72:J$152,TRANSPOSE('Default Values'!$C166:$CE166))</f>
        <v>0.25</v>
      </c>
      <c r="K217" s="261">
        <f t="array" ref="K217">SUMPRODUCT(K$72:K$152,TRANSPOSE('Default Values'!$C166:$CE166))</f>
        <v>0</v>
      </c>
      <c r="L217" s="261">
        <f t="array" ref="L217">SUMPRODUCT(L$72:L$152,TRANSPOSE('Default Values'!$C166:$CE166))</f>
        <v>0</v>
      </c>
      <c r="M217" s="261">
        <f t="array" ref="M217">SUMPRODUCT(M$72:M$152,TRANSPOSE('Default Values'!$C166:$CE166))</f>
        <v>0</v>
      </c>
      <c r="N217" s="261">
        <f t="array" ref="N217">SUMPRODUCT(N$72:N$152,TRANSPOSE('Default Values'!$C166:$CE166))</f>
        <v>0</v>
      </c>
      <c r="O217" s="261">
        <f t="array" ref="O217">SUMPRODUCT(O$72:O$152,TRANSPOSE('Default Values'!$C166:$CE166))</f>
        <v>0</v>
      </c>
      <c r="P217" s="261">
        <f t="array" ref="P217">SUMPRODUCT(P$72:P$152,TRANSPOSE('Default Values'!$C166:$CE166))</f>
        <v>0</v>
      </c>
      <c r="Q217" s="261">
        <f t="array" ref="Q217">SUMPRODUCT(Q$72:Q$152,TRANSPOSE('Default Values'!$C166:$CE166))</f>
        <v>0</v>
      </c>
      <c r="R217" s="261">
        <f t="array" ref="R217">SUMPRODUCT(R$72:R$152,TRANSPOSE('Default Values'!$C166:$CE166))</f>
        <v>0</v>
      </c>
      <c r="S217" s="246">
        <f t="shared" si="2"/>
        <v>1043.75</v>
      </c>
      <c r="T217" s="217"/>
      <c r="U217" s="217"/>
      <c r="V217" s="217"/>
      <c r="W217" s="217"/>
      <c r="X217" s="217"/>
      <c r="Y217" s="217"/>
      <c r="Z217" s="217"/>
      <c r="AA217" s="217"/>
    </row>
    <row r="218" spans="2:27" x14ac:dyDescent="0.3">
      <c r="B218" s="217"/>
      <c r="C218" s="260" t="s">
        <v>559</v>
      </c>
      <c r="D218" s="221" t="s">
        <v>363</v>
      </c>
      <c r="E218" s="261">
        <f t="array" ref="E218">SUMPRODUCT(E$72:E$152,TRANSPOSE('Default Values'!$C167:$CE167))</f>
        <v>0</v>
      </c>
      <c r="F218" s="261">
        <f t="array" ref="F218">SUMPRODUCT(F$72:F$152,TRANSPOSE('Default Values'!$C167:$CE167))</f>
        <v>0</v>
      </c>
      <c r="G218" s="261">
        <f t="array" ref="G218">SUMPRODUCT(G$72:G$152,TRANSPOSE('Default Values'!$C167:$CE167))</f>
        <v>0.18405865451773329</v>
      </c>
      <c r="H218" s="261">
        <f t="array" ref="H218">SUMPRODUCT(H$72:H$152,TRANSPOSE('Default Values'!$C167:$CE167))</f>
        <v>0</v>
      </c>
      <c r="I218" s="261">
        <f t="array" ref="I218">SUMPRODUCT(I$72:I$152,TRANSPOSE('Default Values'!$C167:$CE167))</f>
        <v>0</v>
      </c>
      <c r="J218" s="261">
        <f t="array" ref="J218">SUMPRODUCT(J$72:J$152,TRANSPOSE('Default Values'!$C167:$CE167))</f>
        <v>0.24918117754708546</v>
      </c>
      <c r="K218" s="261">
        <f t="array" ref="K218">SUMPRODUCT(K$72:K$152,TRANSPOSE('Default Values'!$C167:$CE167))</f>
        <v>2.3009387699340557E-2</v>
      </c>
      <c r="L218" s="261">
        <f t="array" ref="L218">SUMPRODUCT(L$72:L$152,TRANSPOSE('Default Values'!$C167:$CE167))</f>
        <v>7.696298176196166E-2</v>
      </c>
      <c r="M218" s="261">
        <f t="array" ref="M218">SUMPRODUCT(M$72:M$152,TRANSPOSE('Default Values'!$C167:$CE167))</f>
        <v>0</v>
      </c>
      <c r="N218" s="261">
        <f t="array" ref="N218">SUMPRODUCT(N$72:N$152,TRANSPOSE('Default Values'!$C167:$CE167))</f>
        <v>0</v>
      </c>
      <c r="O218" s="261">
        <f t="array" ref="O218">SUMPRODUCT(O$72:O$152,TRANSPOSE('Default Values'!$C167:$CE167))</f>
        <v>0</v>
      </c>
      <c r="P218" s="261">
        <f t="array" ref="P218">SUMPRODUCT(P$72:P$152,TRANSPOSE('Default Values'!$C167:$CE167))</f>
        <v>0</v>
      </c>
      <c r="Q218" s="261">
        <f t="array" ref="Q218">SUMPRODUCT(Q$72:Q$152,TRANSPOSE('Default Values'!$C167:$CE167))</f>
        <v>0</v>
      </c>
      <c r="R218" s="261">
        <f t="array" ref="R218">SUMPRODUCT(R$72:R$152,TRANSPOSE('Default Values'!$C167:$CE167))</f>
        <v>0</v>
      </c>
      <c r="S218" s="246">
        <f t="shared" si="2"/>
        <v>1373.3016661002948</v>
      </c>
      <c r="T218" s="217"/>
      <c r="U218" s="217"/>
      <c r="V218" s="217"/>
      <c r="W218" s="217"/>
      <c r="X218" s="217"/>
      <c r="Y218" s="217"/>
      <c r="Z218" s="217"/>
      <c r="AA218" s="217"/>
    </row>
    <row r="219" spans="2:27" x14ac:dyDescent="0.3">
      <c r="B219" s="217"/>
      <c r="C219" s="260" t="s">
        <v>436</v>
      </c>
      <c r="D219" s="221" t="s">
        <v>363</v>
      </c>
      <c r="E219" s="261">
        <f t="array" ref="E219">SUMPRODUCT(E$72:E$152,TRANSPOSE('Default Values'!$C168:$CE168))</f>
        <v>0</v>
      </c>
      <c r="F219" s="261">
        <f t="array" ref="F219">SUMPRODUCT(F$72:F$152,TRANSPOSE('Default Values'!$C168:$CE168))</f>
        <v>0</v>
      </c>
      <c r="G219" s="261">
        <f t="array" ref="G219">SUMPRODUCT(G$72:G$152,TRANSPOSE('Default Values'!$C168:$CE168))</f>
        <v>0.25</v>
      </c>
      <c r="H219" s="261">
        <f t="array" ref="H219">SUMPRODUCT(H$72:H$152,TRANSPOSE('Default Values'!$C168:$CE168))</f>
        <v>0</v>
      </c>
      <c r="I219" s="261">
        <f t="array" ref="I219">SUMPRODUCT(I$72:I$152,TRANSPOSE('Default Values'!$C168:$CE168))</f>
        <v>0</v>
      </c>
      <c r="J219" s="261">
        <f t="array" ref="J219">SUMPRODUCT(J$72:J$152,TRANSPOSE('Default Values'!$C168:$CE168))</f>
        <v>0.25</v>
      </c>
      <c r="K219" s="261">
        <f t="array" ref="K219">SUMPRODUCT(K$72:K$152,TRANSPOSE('Default Values'!$C168:$CE168))</f>
        <v>0</v>
      </c>
      <c r="L219" s="261">
        <f t="array" ref="L219">SUMPRODUCT(L$72:L$152,TRANSPOSE('Default Values'!$C168:$CE168))</f>
        <v>0</v>
      </c>
      <c r="M219" s="261">
        <f t="array" ref="M219">SUMPRODUCT(M$72:M$152,TRANSPOSE('Default Values'!$C168:$CE168))</f>
        <v>0</v>
      </c>
      <c r="N219" s="261">
        <f t="array" ref="N219">SUMPRODUCT(N$72:N$152,TRANSPOSE('Default Values'!$C168:$CE168))</f>
        <v>0</v>
      </c>
      <c r="O219" s="261">
        <f t="array" ref="O219">SUMPRODUCT(O$72:O$152,TRANSPOSE('Default Values'!$C168:$CE168))</f>
        <v>0</v>
      </c>
      <c r="P219" s="261">
        <f t="array" ref="P219">SUMPRODUCT(P$72:P$152,TRANSPOSE('Default Values'!$C168:$CE168))</f>
        <v>0</v>
      </c>
      <c r="Q219" s="261">
        <f t="array" ref="Q219">SUMPRODUCT(Q$72:Q$152,TRANSPOSE('Default Values'!$C168:$CE168))</f>
        <v>0</v>
      </c>
      <c r="R219" s="261">
        <f t="array" ref="R219">SUMPRODUCT(R$72:R$152,TRANSPOSE('Default Values'!$C168:$CE168))</f>
        <v>0</v>
      </c>
      <c r="S219" s="246">
        <f t="shared" si="2"/>
        <v>1043.75</v>
      </c>
      <c r="T219" s="217"/>
      <c r="U219" s="217"/>
      <c r="V219" s="217"/>
      <c r="W219" s="217"/>
      <c r="X219" s="217"/>
      <c r="Y219" s="217"/>
      <c r="Z219" s="217"/>
      <c r="AA219" s="217"/>
    </row>
    <row r="220" spans="2:27" x14ac:dyDescent="0.3">
      <c r="B220" s="217"/>
      <c r="C220" s="260" t="s">
        <v>350</v>
      </c>
      <c r="D220" s="221" t="s">
        <v>363</v>
      </c>
      <c r="E220" s="261">
        <f t="array" ref="E220">SUMPRODUCT(E$72:E$152,TRANSPOSE('Default Values'!$C169:$CE169))</f>
        <v>0</v>
      </c>
      <c r="F220" s="261">
        <f t="array" ref="F220">SUMPRODUCT(F$72:F$152,TRANSPOSE('Default Values'!$C169:$CE169))</f>
        <v>0</v>
      </c>
      <c r="G220" s="261">
        <f t="array" ref="G220">SUMPRODUCT(G$72:G$152,TRANSPOSE('Default Values'!$C169:$CE169))</f>
        <v>0.18476502073262149</v>
      </c>
      <c r="H220" s="261">
        <f t="array" ref="H220">SUMPRODUCT(H$72:H$152,TRANSPOSE('Default Values'!$C169:$CE169))</f>
        <v>0</v>
      </c>
      <c r="I220" s="261">
        <f t="array" ref="I220">SUMPRODUCT(I$72:I$152,TRANSPOSE('Default Values'!$C169:$CE169))</f>
        <v>0</v>
      </c>
      <c r="J220" s="261">
        <f t="array" ref="J220">SUMPRODUCT(J$72:J$152,TRANSPOSE('Default Values'!$C169:$CE169))</f>
        <v>0.25013746599582209</v>
      </c>
      <c r="K220" s="261">
        <f t="array" ref="K220">SUMPRODUCT(K$72:K$152,TRANSPOSE('Default Values'!$C169:$CE169))</f>
        <v>1.9259967914651056E-2</v>
      </c>
      <c r="L220" s="261">
        <f t="array" ref="L220">SUMPRODUCT(L$72:L$152,TRANSPOSE('Default Values'!$C169:$CE169))</f>
        <v>7.7258344401964385E-2</v>
      </c>
      <c r="M220" s="261">
        <f t="array" ref="M220">SUMPRODUCT(M$72:M$152,TRANSPOSE('Default Values'!$C169:$CE169))</f>
        <v>0</v>
      </c>
      <c r="N220" s="261">
        <f t="array" ref="N220">SUMPRODUCT(N$72:N$152,TRANSPOSE('Default Values'!$C169:$CE169))</f>
        <v>0</v>
      </c>
      <c r="O220" s="261">
        <f t="array" ref="O220">SUMPRODUCT(O$72:O$152,TRANSPOSE('Default Values'!$C169:$CE169))</f>
        <v>0</v>
      </c>
      <c r="P220" s="261">
        <f t="array" ref="P220">SUMPRODUCT(P$72:P$152,TRANSPOSE('Default Values'!$C169:$CE169))</f>
        <v>0</v>
      </c>
      <c r="Q220" s="261">
        <f t="array" ref="Q220">SUMPRODUCT(Q$72:Q$152,TRANSPOSE('Default Values'!$C169:$CE169))</f>
        <v>0</v>
      </c>
      <c r="R220" s="261">
        <f t="array" ref="R220">SUMPRODUCT(R$72:R$152,TRANSPOSE('Default Values'!$C169:$CE169))</f>
        <v>0</v>
      </c>
      <c r="S220" s="246">
        <f t="shared" si="2"/>
        <v>1373.0840735746287</v>
      </c>
      <c r="T220" s="217"/>
      <c r="U220" s="217"/>
      <c r="V220" s="217"/>
      <c r="W220" s="217"/>
      <c r="X220" s="217"/>
      <c r="Y220" s="217"/>
      <c r="Z220" s="217"/>
      <c r="AA220" s="217"/>
    </row>
    <row r="221" spans="2:27" x14ac:dyDescent="0.3">
      <c r="B221" s="217"/>
      <c r="C221" s="260" t="s">
        <v>569</v>
      </c>
      <c r="D221" s="221" t="s">
        <v>363</v>
      </c>
      <c r="E221" s="261">
        <f t="array" ref="E221">SUMPRODUCT(E$72:E$152,TRANSPOSE('Default Values'!$C170:$CE170))</f>
        <v>0</v>
      </c>
      <c r="F221" s="261">
        <f t="array" ref="F221">SUMPRODUCT(F$72:F$152,TRANSPOSE('Default Values'!$C170:$CE170))</f>
        <v>0</v>
      </c>
      <c r="G221" s="261">
        <f t="array" ref="G221">SUMPRODUCT(G$72:G$152,TRANSPOSE('Default Values'!$C170:$CE170))</f>
        <v>5.0911576491108161E-3</v>
      </c>
      <c r="H221" s="261">
        <f t="array" ref="H221">SUMPRODUCT(H$72:H$152,TRANSPOSE('Default Values'!$C170:$CE170))</f>
        <v>0</v>
      </c>
      <c r="I221" s="261">
        <f t="array" ref="I221">SUMPRODUCT(I$72:I$152,TRANSPOSE('Default Values'!$C170:$CE170))</f>
        <v>0</v>
      </c>
      <c r="J221" s="261">
        <f t="array" ref="J221">SUMPRODUCT(J$72:J$152,TRANSPOSE('Default Values'!$C170:$CE170))</f>
        <v>0.26371489517164981</v>
      </c>
      <c r="K221" s="261">
        <f t="array" ref="K221">SUMPRODUCT(K$72:K$152,TRANSPOSE('Default Values'!$C170:$CE170))</f>
        <v>2.3511248865685366E-2</v>
      </c>
      <c r="L221" s="261">
        <f t="array" ref="L221">SUMPRODUCT(L$72:L$152,TRANSPOSE('Default Values'!$C170:$CE170))</f>
        <v>0.30564623525390971</v>
      </c>
      <c r="M221" s="261">
        <f t="array" ref="M221">SUMPRODUCT(M$72:M$152,TRANSPOSE('Default Values'!$C170:$CE170))</f>
        <v>0</v>
      </c>
      <c r="N221" s="261">
        <f t="array" ref="N221">SUMPRODUCT(N$72:N$152,TRANSPOSE('Default Values'!$C170:$CE170))</f>
        <v>0</v>
      </c>
      <c r="O221" s="261">
        <f t="array" ref="O221">SUMPRODUCT(O$72:O$152,TRANSPOSE('Default Values'!$C170:$CE170))</f>
        <v>0</v>
      </c>
      <c r="P221" s="261">
        <f t="array" ref="P221">SUMPRODUCT(P$72:P$152,TRANSPOSE('Default Values'!$C170:$CE170))</f>
        <v>0</v>
      </c>
      <c r="Q221" s="261">
        <f t="array" ref="Q221">SUMPRODUCT(Q$72:Q$152,TRANSPOSE('Default Values'!$C170:$CE170))</f>
        <v>0</v>
      </c>
      <c r="R221" s="261">
        <f t="array" ref="R221">SUMPRODUCT(R$72:R$152,TRANSPOSE('Default Values'!$C170:$CE170))</f>
        <v>0</v>
      </c>
      <c r="S221" s="246">
        <f t="shared" ref="S221" si="8">SUMPRODUCT(E221:R221,$E$70:$R$70)</f>
        <v>2326.2984219768305</v>
      </c>
      <c r="T221" s="217"/>
      <c r="U221" s="217"/>
      <c r="V221" s="217"/>
      <c r="W221" s="217"/>
      <c r="X221" s="217"/>
      <c r="Y221" s="217"/>
      <c r="Z221" s="217"/>
      <c r="AA221" s="217"/>
    </row>
    <row r="222" spans="2:27" x14ac:dyDescent="0.3">
      <c r="B222" s="217"/>
      <c r="C222" s="260" t="s">
        <v>560</v>
      </c>
      <c r="D222" s="221" t="s">
        <v>363</v>
      </c>
      <c r="E222" s="261">
        <f t="array" ref="E222">SUMPRODUCT(E$72:E$152,TRANSPOSE('Default Values'!$C171:$CE171))</f>
        <v>0</v>
      </c>
      <c r="F222" s="261">
        <f t="array" ref="F222">SUMPRODUCT(F$72:F$152,TRANSPOSE('Default Values'!$C171:$CE171))</f>
        <v>0</v>
      </c>
      <c r="G222" s="261">
        <f t="array" ref="G222">SUMPRODUCT(G$72:G$152,TRANSPOSE('Default Values'!$C171:$CE171))</f>
        <v>0.25</v>
      </c>
      <c r="H222" s="261">
        <f t="array" ref="H222">SUMPRODUCT(H$72:H$152,TRANSPOSE('Default Values'!$C171:$CE171))</f>
        <v>0</v>
      </c>
      <c r="I222" s="261">
        <f t="array" ref="I222">SUMPRODUCT(I$72:I$152,TRANSPOSE('Default Values'!$C171:$CE171))</f>
        <v>0</v>
      </c>
      <c r="J222" s="261">
        <f t="array" ref="J222">SUMPRODUCT(J$72:J$152,TRANSPOSE('Default Values'!$C171:$CE171))</f>
        <v>0.25</v>
      </c>
      <c r="K222" s="261">
        <f t="array" ref="K222">SUMPRODUCT(K$72:K$152,TRANSPOSE('Default Values'!$C171:$CE171))</f>
        <v>0</v>
      </c>
      <c r="L222" s="261">
        <f t="array" ref="L222">SUMPRODUCT(L$72:L$152,TRANSPOSE('Default Values'!$C171:$CE171))</f>
        <v>0</v>
      </c>
      <c r="M222" s="261">
        <f t="array" ref="M222">SUMPRODUCT(M$72:M$152,TRANSPOSE('Default Values'!$C171:$CE171))</f>
        <v>0</v>
      </c>
      <c r="N222" s="261">
        <f t="array" ref="N222">SUMPRODUCT(N$72:N$152,TRANSPOSE('Default Values'!$C171:$CE171))</f>
        <v>0</v>
      </c>
      <c r="O222" s="261">
        <f t="array" ref="O222">SUMPRODUCT(O$72:O$152,TRANSPOSE('Default Values'!$C171:$CE171))</f>
        <v>0</v>
      </c>
      <c r="P222" s="261">
        <f t="array" ref="P222">SUMPRODUCT(P$72:P$152,TRANSPOSE('Default Values'!$C171:$CE171))</f>
        <v>0</v>
      </c>
      <c r="Q222" s="261">
        <f t="array" ref="Q222">SUMPRODUCT(Q$72:Q$152,TRANSPOSE('Default Values'!$C171:$CE171))</f>
        <v>0</v>
      </c>
      <c r="R222" s="261">
        <f t="array" ref="R222">SUMPRODUCT(R$72:R$152,TRANSPOSE('Default Values'!$C171:$CE171))</f>
        <v>0</v>
      </c>
      <c r="S222" s="246">
        <f t="shared" si="2"/>
        <v>1043.75</v>
      </c>
      <c r="T222" s="217"/>
      <c r="U222" s="217"/>
      <c r="V222" s="217"/>
      <c r="W222" s="217"/>
      <c r="X222" s="217"/>
      <c r="Y222" s="217"/>
      <c r="Z222" s="217"/>
      <c r="AA222" s="217"/>
    </row>
    <row r="223" spans="2:27" x14ac:dyDescent="0.3">
      <c r="B223" s="217"/>
      <c r="C223" s="260" t="s">
        <v>561</v>
      </c>
      <c r="D223" s="221" t="s">
        <v>363</v>
      </c>
      <c r="E223" s="261">
        <f t="array" ref="E223">SUMPRODUCT(E$72:E$152,TRANSPOSE('Default Values'!$C172:$CE172))</f>
        <v>0</v>
      </c>
      <c r="F223" s="261">
        <f t="array" ref="F223">SUMPRODUCT(F$72:F$152,TRANSPOSE('Default Values'!$C172:$CE172))</f>
        <v>0</v>
      </c>
      <c r="G223" s="261">
        <f t="array" ref="G223">SUMPRODUCT(G$72:G$152,TRANSPOSE('Default Values'!$C172:$CE172))</f>
        <v>0</v>
      </c>
      <c r="H223" s="261">
        <f t="array" ref="H223">SUMPRODUCT(H$72:H$152,TRANSPOSE('Default Values'!$C172:$CE172))</f>
        <v>0</v>
      </c>
      <c r="I223" s="261">
        <f t="array" ref="I223">SUMPRODUCT(I$72:I$152,TRANSPOSE('Default Values'!$C172:$CE172))</f>
        <v>0</v>
      </c>
      <c r="J223" s="261">
        <f t="array" ref="J223">SUMPRODUCT(J$72:J$152,TRANSPOSE('Default Values'!$C172:$CE172))</f>
        <v>0.26400000000000001</v>
      </c>
      <c r="K223" s="261">
        <f t="array" ref="K223">SUMPRODUCT(K$72:K$152,TRANSPOSE('Default Values'!$C172:$CE172))</f>
        <v>2.4E-2</v>
      </c>
      <c r="L223" s="261">
        <f t="array" ref="L223">SUMPRODUCT(L$72:L$152,TRANSPOSE('Default Values'!$C172:$CE172))</f>
        <v>0.312</v>
      </c>
      <c r="M223" s="261">
        <f t="array" ref="M223">SUMPRODUCT(M$72:M$152,TRANSPOSE('Default Values'!$C172:$CE172))</f>
        <v>0</v>
      </c>
      <c r="N223" s="261">
        <f t="array" ref="N223">SUMPRODUCT(N$72:N$152,TRANSPOSE('Default Values'!$C172:$CE172))</f>
        <v>0</v>
      </c>
      <c r="O223" s="261">
        <f t="array" ref="O223">SUMPRODUCT(O$72:O$152,TRANSPOSE('Default Values'!$C172:$CE172))</f>
        <v>0</v>
      </c>
      <c r="P223" s="261">
        <f t="array" ref="P223">SUMPRODUCT(P$72:P$152,TRANSPOSE('Default Values'!$C172:$CE172))</f>
        <v>0</v>
      </c>
      <c r="Q223" s="261">
        <f t="array" ref="Q223">SUMPRODUCT(Q$72:Q$152,TRANSPOSE('Default Values'!$C172:$CE172))</f>
        <v>0</v>
      </c>
      <c r="R223" s="261">
        <f t="array" ref="R223">SUMPRODUCT(R$72:R$152,TRANSPOSE('Default Values'!$C172:$CE172))</f>
        <v>0</v>
      </c>
      <c r="S223" s="246">
        <f>SUMPRODUCT(E223:R223,$E$70:$R$70)</f>
        <v>2352.96</v>
      </c>
      <c r="T223" s="217"/>
      <c r="U223" s="217"/>
      <c r="V223" s="217"/>
      <c r="W223" s="217"/>
      <c r="X223" s="217"/>
      <c r="Y223" s="217"/>
      <c r="Z223" s="217"/>
      <c r="AA223" s="217"/>
    </row>
    <row r="224" spans="2:27" x14ac:dyDescent="0.3">
      <c r="B224" s="217"/>
      <c r="C224" s="260" t="s">
        <v>562</v>
      </c>
      <c r="D224" s="221" t="s">
        <v>363</v>
      </c>
      <c r="E224" s="261">
        <f t="array" ref="E224">SUMPRODUCT(E$72:E$152,TRANSPOSE('Default Values'!$C173:$CE173))</f>
        <v>0</v>
      </c>
      <c r="F224" s="261">
        <f t="array" ref="F224">SUMPRODUCT(F$72:F$152,TRANSPOSE('Default Values'!$C173:$CE173))</f>
        <v>0</v>
      </c>
      <c r="G224" s="261">
        <f t="array" ref="G224">SUMPRODUCT(G$72:G$152,TRANSPOSE('Default Values'!$C173:$CE173))</f>
        <v>0.25</v>
      </c>
      <c r="H224" s="261">
        <f t="array" ref="H224">SUMPRODUCT(H$72:H$152,TRANSPOSE('Default Values'!$C173:$CE173))</f>
        <v>0</v>
      </c>
      <c r="I224" s="261">
        <f t="array" ref="I224">SUMPRODUCT(I$72:I$152,TRANSPOSE('Default Values'!$C173:$CE173))</f>
        <v>0</v>
      </c>
      <c r="J224" s="261">
        <f t="array" ref="J224">SUMPRODUCT(J$72:J$152,TRANSPOSE('Default Values'!$C173:$CE173))</f>
        <v>0.25</v>
      </c>
      <c r="K224" s="261">
        <f t="array" ref="K224">SUMPRODUCT(K$72:K$152,TRANSPOSE('Default Values'!$C173:$CE173))</f>
        <v>0</v>
      </c>
      <c r="L224" s="261">
        <f t="array" ref="L224">SUMPRODUCT(L$72:L$152,TRANSPOSE('Default Values'!$C173:$CE173))</f>
        <v>0</v>
      </c>
      <c r="M224" s="261">
        <f t="array" ref="M224">SUMPRODUCT(M$72:M$152,TRANSPOSE('Default Values'!$C173:$CE173))</f>
        <v>0</v>
      </c>
      <c r="N224" s="261">
        <f t="array" ref="N224">SUMPRODUCT(N$72:N$152,TRANSPOSE('Default Values'!$C173:$CE173))</f>
        <v>0</v>
      </c>
      <c r="O224" s="261">
        <f t="array" ref="O224">SUMPRODUCT(O$72:O$152,TRANSPOSE('Default Values'!$C173:$CE173))</f>
        <v>0</v>
      </c>
      <c r="P224" s="261">
        <f t="array" ref="P224">SUMPRODUCT(P$72:P$152,TRANSPOSE('Default Values'!$C173:$CE173))</f>
        <v>0</v>
      </c>
      <c r="Q224" s="261">
        <f t="array" ref="Q224">SUMPRODUCT(Q$72:Q$152,TRANSPOSE('Default Values'!$C173:$CE173))</f>
        <v>0</v>
      </c>
      <c r="R224" s="261">
        <f t="array" ref="R224">SUMPRODUCT(R$72:R$152,TRANSPOSE('Default Values'!$C173:$CE173))</f>
        <v>0</v>
      </c>
      <c r="S224" s="246">
        <f t="shared" si="2"/>
        <v>1043.75</v>
      </c>
      <c r="T224" s="217"/>
      <c r="U224" s="217"/>
      <c r="V224" s="217"/>
      <c r="W224" s="217"/>
      <c r="X224" s="217"/>
      <c r="Y224" s="217"/>
      <c r="Z224" s="217"/>
      <c r="AA224" s="217"/>
    </row>
    <row r="225" spans="2:27" x14ac:dyDescent="0.3">
      <c r="B225" s="217"/>
      <c r="C225" s="260" t="s">
        <v>563</v>
      </c>
      <c r="D225" s="221" t="s">
        <v>363</v>
      </c>
      <c r="E225" s="261">
        <f t="array" ref="E225">SUMPRODUCT(E$72:E$152,TRANSPOSE('Default Values'!$C174:$CE174))</f>
        <v>0</v>
      </c>
      <c r="F225" s="261">
        <f t="array" ref="F225">SUMPRODUCT(F$72:F$152,TRANSPOSE('Default Values'!$C174:$CE174))</f>
        <v>0</v>
      </c>
      <c r="G225" s="261">
        <f t="array" ref="G225">SUMPRODUCT(G$72:G$152,TRANSPOSE('Default Values'!$C174:$CE174))</f>
        <v>0.25</v>
      </c>
      <c r="H225" s="261">
        <f t="array" ref="H225">SUMPRODUCT(H$72:H$152,TRANSPOSE('Default Values'!$C174:$CE174))</f>
        <v>0</v>
      </c>
      <c r="I225" s="261">
        <f t="array" ref="I225">SUMPRODUCT(I$72:I$152,TRANSPOSE('Default Values'!$C174:$CE174))</f>
        <v>0</v>
      </c>
      <c r="J225" s="261">
        <f t="array" ref="J225">SUMPRODUCT(J$72:J$152,TRANSPOSE('Default Values'!$C174:$CE174))</f>
        <v>0.25</v>
      </c>
      <c r="K225" s="261">
        <f t="array" ref="K225">SUMPRODUCT(K$72:K$152,TRANSPOSE('Default Values'!$C174:$CE174))</f>
        <v>0</v>
      </c>
      <c r="L225" s="261">
        <f t="array" ref="L225">SUMPRODUCT(L$72:L$152,TRANSPOSE('Default Values'!$C174:$CE174))</f>
        <v>0</v>
      </c>
      <c r="M225" s="261">
        <f t="array" ref="M225">SUMPRODUCT(M$72:M$152,TRANSPOSE('Default Values'!$C174:$CE174))</f>
        <v>0</v>
      </c>
      <c r="N225" s="261">
        <f t="array" ref="N225">SUMPRODUCT(N$72:N$152,TRANSPOSE('Default Values'!$C174:$CE174))</f>
        <v>0</v>
      </c>
      <c r="O225" s="261">
        <f t="array" ref="O225">SUMPRODUCT(O$72:O$152,TRANSPOSE('Default Values'!$C174:$CE174))</f>
        <v>0</v>
      </c>
      <c r="P225" s="261">
        <f t="array" ref="P225">SUMPRODUCT(P$72:P$152,TRANSPOSE('Default Values'!$C174:$CE174))</f>
        <v>0</v>
      </c>
      <c r="Q225" s="261">
        <f t="array" ref="Q225">SUMPRODUCT(Q$72:Q$152,TRANSPOSE('Default Values'!$C174:$CE174))</f>
        <v>0</v>
      </c>
      <c r="R225" s="261">
        <f t="array" ref="R225">SUMPRODUCT(R$72:R$152,TRANSPOSE('Default Values'!$C174:$CE174))</f>
        <v>0</v>
      </c>
      <c r="S225" s="246">
        <f t="shared" si="2"/>
        <v>1043.75</v>
      </c>
      <c r="T225" s="217"/>
      <c r="U225" s="217"/>
      <c r="V225" s="217"/>
      <c r="W225" s="217"/>
      <c r="X225" s="217"/>
      <c r="Y225" s="217"/>
      <c r="Z225" s="217"/>
      <c r="AA225" s="217"/>
    </row>
    <row r="226" spans="2:27" x14ac:dyDescent="0.3">
      <c r="B226" s="217"/>
      <c r="C226" s="260" t="s">
        <v>437</v>
      </c>
      <c r="D226" s="221" t="s">
        <v>363</v>
      </c>
      <c r="E226" s="261">
        <f t="array" ref="E226">SUMPRODUCT(E$72:E$152,TRANSPOSE('Default Values'!$C175:$CE175))</f>
        <v>0</v>
      </c>
      <c r="F226" s="261">
        <f t="array" ref="F226">SUMPRODUCT(F$72:F$152,TRANSPOSE('Default Values'!$C175:$CE175))</f>
        <v>0</v>
      </c>
      <c r="G226" s="261">
        <f t="array" ref="G226">SUMPRODUCT(G$72:G$152,TRANSPOSE('Default Values'!$C175:$CE175))</f>
        <v>0</v>
      </c>
      <c r="H226" s="261">
        <f t="array" ref="H226">SUMPRODUCT(H$72:H$152,TRANSPOSE('Default Values'!$C175:$CE175))</f>
        <v>0</v>
      </c>
      <c r="I226" s="261">
        <f t="array" ref="I226">SUMPRODUCT(I$72:I$152,TRANSPOSE('Default Values'!$C175:$CE175))</f>
        <v>0</v>
      </c>
      <c r="J226" s="261">
        <f t="array" ref="J226">SUMPRODUCT(J$72:J$152,TRANSPOSE('Default Values'!$C175:$CE175))</f>
        <v>0.18106647761559788</v>
      </c>
      <c r="K226" s="261">
        <f t="array" ref="K226">SUMPRODUCT(K$72:K$152,TRANSPOSE('Default Values'!$C175:$CE175))</f>
        <v>0.1689766040212245</v>
      </c>
      <c r="L226" s="261">
        <f t="array" ref="L226">SUMPRODUCT(L$72:L$152,TRANSPOSE('Default Values'!$C175:$CE175))</f>
        <v>0.21398765536388839</v>
      </c>
      <c r="M226" s="261">
        <f t="array" ref="M226">SUMPRODUCT(M$72:M$152,TRANSPOSE('Default Values'!$C175:$CE175))</f>
        <v>0</v>
      </c>
      <c r="N226" s="261">
        <f t="array" ref="N226">SUMPRODUCT(N$72:N$152,TRANSPOSE('Default Values'!$C175:$CE175))</f>
        <v>0</v>
      </c>
      <c r="O226" s="261">
        <f t="array" ref="O226">SUMPRODUCT(O$72:O$152,TRANSPOSE('Default Values'!$C175:$CE175))</f>
        <v>0</v>
      </c>
      <c r="P226" s="261">
        <f t="array" ref="P226">SUMPRODUCT(P$72:P$152,TRANSPOSE('Default Values'!$C175:$CE175))</f>
        <v>0</v>
      </c>
      <c r="Q226" s="261">
        <f t="array" ref="Q226">SUMPRODUCT(Q$72:Q$152,TRANSPOSE('Default Values'!$C175:$CE175))</f>
        <v>0</v>
      </c>
      <c r="R226" s="261">
        <f t="array" ref="R226">SUMPRODUCT(R$72:R$152,TRANSPOSE('Default Values'!$C175:$CE175))</f>
        <v>0</v>
      </c>
      <c r="S226" s="246">
        <f t="shared" si="2"/>
        <v>1831.8940348815247</v>
      </c>
      <c r="T226" s="217"/>
      <c r="U226" s="217"/>
      <c r="V226" s="217"/>
      <c r="W226" s="217"/>
      <c r="X226" s="217"/>
      <c r="Y226" s="217"/>
      <c r="Z226" s="217"/>
      <c r="AA226" s="217"/>
    </row>
    <row r="227" spans="2:27" x14ac:dyDescent="0.3">
      <c r="B227" s="217"/>
      <c r="C227" s="260" t="s">
        <v>351</v>
      </c>
      <c r="D227" s="221" t="s">
        <v>363</v>
      </c>
      <c r="E227" s="261">
        <f t="array" ref="E227">SUMPRODUCT(E$72:E$152,TRANSPOSE('Default Values'!$C176:$CE176))</f>
        <v>0</v>
      </c>
      <c r="F227" s="261">
        <f t="array" ref="F227">SUMPRODUCT(F$72:F$152,TRANSPOSE('Default Values'!$C176:$CE176))</f>
        <v>0</v>
      </c>
      <c r="G227" s="261">
        <f t="array" ref="G227">SUMPRODUCT(G$72:G$152,TRANSPOSE('Default Values'!$C176:$CE176))</f>
        <v>0.13627376425855514</v>
      </c>
      <c r="H227" s="261">
        <f t="array" ref="H227">SUMPRODUCT(H$72:H$152,TRANSPOSE('Default Values'!$C176:$CE176))</f>
        <v>0</v>
      </c>
      <c r="I227" s="261">
        <f t="array" ref="I227">SUMPRODUCT(I$72:I$152,TRANSPOSE('Default Values'!$C176:$CE176))</f>
        <v>0</v>
      </c>
      <c r="J227" s="261">
        <f t="array" ref="J227">SUMPRODUCT(J$72:J$152,TRANSPOSE('Default Values'!$C176:$CE176))</f>
        <v>0.13627376425855514</v>
      </c>
      <c r="K227" s="261">
        <f t="array" ref="K227">SUMPRODUCT(K$72:K$152,TRANSPOSE('Default Values'!$C176:$CE176))</f>
        <v>0.45490494296577938</v>
      </c>
      <c r="L227" s="261">
        <f t="array" ref="L227">SUMPRODUCT(L$72:L$152,TRANSPOSE('Default Values'!$C176:$CE176))</f>
        <v>0</v>
      </c>
      <c r="M227" s="261">
        <f t="array" ref="M227">SUMPRODUCT(M$72:M$152,TRANSPOSE('Default Values'!$C176:$CE176))</f>
        <v>0</v>
      </c>
      <c r="N227" s="261">
        <f t="array" ref="N227">SUMPRODUCT(N$72:N$152,TRANSPOSE('Default Values'!$C176:$CE176))</f>
        <v>0</v>
      </c>
      <c r="O227" s="261">
        <f t="array" ref="O227">SUMPRODUCT(O$72:O$152,TRANSPOSE('Default Values'!$C176:$CE176))</f>
        <v>0</v>
      </c>
      <c r="P227" s="261">
        <f t="array" ref="P227">SUMPRODUCT(P$72:P$152,TRANSPOSE('Default Values'!$C176:$CE176))</f>
        <v>0</v>
      </c>
      <c r="Q227" s="261">
        <f t="array" ref="Q227">SUMPRODUCT(Q$72:Q$152,TRANSPOSE('Default Values'!$C176:$CE176))</f>
        <v>0</v>
      </c>
      <c r="R227" s="261">
        <f t="array" ref="R227">SUMPRODUCT(R$72:R$152,TRANSPOSE('Default Values'!$C176:$CE176))</f>
        <v>0</v>
      </c>
      <c r="S227" s="246">
        <f t="shared" si="2"/>
        <v>1219.4570342205323</v>
      </c>
      <c r="T227" s="217"/>
      <c r="U227" s="217"/>
      <c r="V227" s="217"/>
      <c r="W227" s="217"/>
      <c r="X227" s="217"/>
      <c r="Y227" s="217"/>
      <c r="Z227" s="217"/>
      <c r="AA227" s="217"/>
    </row>
    <row r="228" spans="2:27" x14ac:dyDescent="0.3">
      <c r="B228" s="217"/>
      <c r="C228" s="260" t="s">
        <v>799</v>
      </c>
      <c r="D228" s="221" t="s">
        <v>363</v>
      </c>
      <c r="E228" s="261">
        <f t="array" ref="E228">SUMPRODUCT(E$72:E$152,TRANSPOSE('Default Values'!$C177:$CE177))</f>
        <v>0</v>
      </c>
      <c r="F228" s="261">
        <f t="array" ref="F228">SUMPRODUCT(F$72:F$152,TRANSPOSE('Default Values'!$C177:$CE177))</f>
        <v>0</v>
      </c>
      <c r="G228" s="261">
        <f t="array" ref="G228">SUMPRODUCT(G$72:G$152,TRANSPOSE('Default Values'!$C177:$CE177))</f>
        <v>0</v>
      </c>
      <c r="H228" s="261">
        <f t="array" ref="H228">SUMPRODUCT(H$72:H$152,TRANSPOSE('Default Values'!$C177:$CE177))</f>
        <v>0</v>
      </c>
      <c r="I228" s="261">
        <f t="array" ref="I228">SUMPRODUCT(I$72:I$152,TRANSPOSE('Default Values'!$C177:$CE177))</f>
        <v>0</v>
      </c>
      <c r="J228" s="261">
        <f t="array" ref="J228">SUMPRODUCT(J$72:J$152,TRANSPOSE('Default Values'!$C177:$CE177))</f>
        <v>0</v>
      </c>
      <c r="K228" s="261">
        <f t="array" ref="K228">SUMPRODUCT(K$72:K$152,TRANSPOSE('Default Values'!$C177:$CE177))</f>
        <v>1</v>
      </c>
      <c r="L228" s="261">
        <f t="array" ref="L228">SUMPRODUCT(L$72:L$152,TRANSPOSE('Default Values'!$C177:$CE177))</f>
        <v>0</v>
      </c>
      <c r="M228" s="261">
        <f t="array" ref="M228">SUMPRODUCT(M$72:M$152,TRANSPOSE('Default Values'!$C177:$CE177))</f>
        <v>0</v>
      </c>
      <c r="N228" s="261">
        <f t="array" ref="N228">SUMPRODUCT(N$72:N$152,TRANSPOSE('Default Values'!$C177:$CE177))</f>
        <v>0</v>
      </c>
      <c r="O228" s="261">
        <f t="array" ref="O228">SUMPRODUCT(O$72:O$152,TRANSPOSE('Default Values'!$C177:$CE177))</f>
        <v>0</v>
      </c>
      <c r="P228" s="261">
        <f t="array" ref="P228">SUMPRODUCT(P$72:P$152,TRANSPOSE('Default Values'!$C177:$CE177))</f>
        <v>0</v>
      </c>
      <c r="Q228" s="261">
        <f t="array" ref="Q228">SUMPRODUCT(Q$72:Q$152,TRANSPOSE('Default Values'!$C177:$CE177))</f>
        <v>0</v>
      </c>
      <c r="R228" s="261">
        <f t="array" ref="R228">SUMPRODUCT(R$72:R$152,TRANSPOSE('Default Values'!$C177:$CE177))</f>
        <v>0</v>
      </c>
      <c r="S228" s="246">
        <f t="shared" si="2"/>
        <v>1430</v>
      </c>
      <c r="T228" s="217"/>
      <c r="U228" s="217"/>
      <c r="V228" s="217"/>
      <c r="W228" s="217"/>
      <c r="X228" s="217"/>
      <c r="Y228" s="217"/>
      <c r="Z228" s="217"/>
      <c r="AA228" s="217"/>
    </row>
    <row r="229" spans="2:27" s="506" customFormat="1" x14ac:dyDescent="0.3">
      <c r="B229" s="217"/>
      <c r="C229" s="260" t="s">
        <v>800</v>
      </c>
      <c r="D229" s="221" t="s">
        <v>363</v>
      </c>
      <c r="E229" s="261">
        <f t="array" ref="E229">SUMPRODUCT(E$72:E$152,TRANSPOSE('Default Values'!$C178:$CE178))</f>
        <v>0</v>
      </c>
      <c r="F229" s="261">
        <f t="array" ref="F229">SUMPRODUCT(F$72:F$152,TRANSPOSE('Default Values'!$C178:$CE178))</f>
        <v>0</v>
      </c>
      <c r="G229" s="261">
        <f t="array" ref="G229">SUMPRODUCT(G$72:G$152,TRANSPOSE('Default Values'!$C178:$CE178))</f>
        <v>0</v>
      </c>
      <c r="H229" s="261">
        <f t="array" ref="H229">SUMPRODUCT(H$72:H$152,TRANSPOSE('Default Values'!$C178:$CE178))</f>
        <v>0</v>
      </c>
      <c r="I229" s="261">
        <f t="array" ref="I229">SUMPRODUCT(I$72:I$152,TRANSPOSE('Default Values'!$C178:$CE178))</f>
        <v>0</v>
      </c>
      <c r="J229" s="261">
        <f t="array" ref="J229">SUMPRODUCT(J$72:J$152,TRANSPOSE('Default Values'!$C178:$CE178))</f>
        <v>0</v>
      </c>
      <c r="K229" s="261">
        <f t="array" ref="K229">SUMPRODUCT(K$72:K$152,TRANSPOSE('Default Values'!$C178:$CE178))</f>
        <v>1</v>
      </c>
      <c r="L229" s="261">
        <f t="array" ref="L229">SUMPRODUCT(L$72:L$152,TRANSPOSE('Default Values'!$C178:$CE178))</f>
        <v>0</v>
      </c>
      <c r="M229" s="261">
        <f t="array" ref="M229">SUMPRODUCT(M$72:M$152,TRANSPOSE('Default Values'!$C178:$CE178))</f>
        <v>0</v>
      </c>
      <c r="N229" s="261">
        <f t="array" ref="N229">SUMPRODUCT(N$72:N$152,TRANSPOSE('Default Values'!$C178:$CE178))</f>
        <v>0</v>
      </c>
      <c r="O229" s="261">
        <f t="array" ref="O229">SUMPRODUCT(O$72:O$152,TRANSPOSE('Default Values'!$C178:$CE178))</f>
        <v>0</v>
      </c>
      <c r="P229" s="261">
        <f t="array" ref="P229">SUMPRODUCT(P$72:P$152,TRANSPOSE('Default Values'!$C178:$CE178))</f>
        <v>0</v>
      </c>
      <c r="Q229" s="261">
        <f t="array" ref="Q229">SUMPRODUCT(Q$72:Q$152,TRANSPOSE('Default Values'!$C178:$CE178))</f>
        <v>0</v>
      </c>
      <c r="R229" s="261">
        <f t="array" ref="R229">SUMPRODUCT(R$72:R$152,TRANSPOSE('Default Values'!$C178:$CE178))</f>
        <v>0</v>
      </c>
      <c r="S229" s="246">
        <f t="shared" ref="S229:S231" si="9">SUMPRODUCT(E229:R229,$E$70:$R$70)</f>
        <v>1430</v>
      </c>
      <c r="T229" s="217"/>
      <c r="U229" s="217"/>
      <c r="V229" s="217"/>
      <c r="W229" s="217"/>
      <c r="X229" s="217"/>
      <c r="Y229" s="217"/>
      <c r="Z229" s="217"/>
      <c r="AA229" s="217"/>
    </row>
    <row r="230" spans="2:27" s="506" customFormat="1" x14ac:dyDescent="0.3">
      <c r="B230" s="217"/>
      <c r="C230" s="260" t="s">
        <v>564</v>
      </c>
      <c r="D230" s="221" t="s">
        <v>363</v>
      </c>
      <c r="E230" s="261">
        <f t="array" ref="E230">SUMPRODUCT(E$72:E$152,TRANSPOSE('Default Values'!$C179:$CE179))</f>
        <v>0</v>
      </c>
      <c r="F230" s="261">
        <f t="array" ref="F230">SUMPRODUCT(F$72:F$152,TRANSPOSE('Default Values'!$C179:$CE179))</f>
        <v>0</v>
      </c>
      <c r="G230" s="261">
        <f t="array" ref="G230">SUMPRODUCT(G$72:G$152,TRANSPOSE('Default Values'!$C179:$CE179))</f>
        <v>0</v>
      </c>
      <c r="H230" s="261">
        <f t="array" ref="H230">SUMPRODUCT(H$72:H$152,TRANSPOSE('Default Values'!$C179:$CE179))</f>
        <v>0</v>
      </c>
      <c r="I230" s="261">
        <f t="array" ref="I230">SUMPRODUCT(I$72:I$152,TRANSPOSE('Default Values'!$C179:$CE179))</f>
        <v>0</v>
      </c>
      <c r="J230" s="261">
        <f t="array" ref="J230">SUMPRODUCT(J$72:J$152,TRANSPOSE('Default Values'!$C179:$CE179))</f>
        <v>0</v>
      </c>
      <c r="K230" s="261">
        <f t="array" ref="K230">SUMPRODUCT(K$72:K$152,TRANSPOSE('Default Values'!$C179:$CE179))</f>
        <v>1</v>
      </c>
      <c r="L230" s="261">
        <f t="array" ref="L230">SUMPRODUCT(L$72:L$152,TRANSPOSE('Default Values'!$C179:$CE179))</f>
        <v>0</v>
      </c>
      <c r="M230" s="261">
        <f t="array" ref="M230">SUMPRODUCT(M$72:M$152,TRANSPOSE('Default Values'!$C179:$CE179))</f>
        <v>0</v>
      </c>
      <c r="N230" s="261">
        <f t="array" ref="N230">SUMPRODUCT(N$72:N$152,TRANSPOSE('Default Values'!$C179:$CE179))</f>
        <v>0</v>
      </c>
      <c r="O230" s="261">
        <f t="array" ref="O230">SUMPRODUCT(O$72:O$152,TRANSPOSE('Default Values'!$C179:$CE179))</f>
        <v>0</v>
      </c>
      <c r="P230" s="261">
        <f t="array" ref="P230">SUMPRODUCT(P$72:P$152,TRANSPOSE('Default Values'!$C179:$CE179))</f>
        <v>0</v>
      </c>
      <c r="Q230" s="261">
        <f t="array" ref="Q230">SUMPRODUCT(Q$72:Q$152,TRANSPOSE('Default Values'!$C179:$CE179))</f>
        <v>0</v>
      </c>
      <c r="R230" s="261">
        <f t="array" ref="R230">SUMPRODUCT(R$72:R$152,TRANSPOSE('Default Values'!$C179:$CE179))</f>
        <v>0</v>
      </c>
      <c r="S230" s="246">
        <f t="shared" si="9"/>
        <v>1430</v>
      </c>
      <c r="T230" s="217"/>
      <c r="U230" s="217"/>
      <c r="V230" s="217"/>
      <c r="W230" s="217"/>
      <c r="X230" s="217"/>
      <c r="Y230" s="217"/>
      <c r="Z230" s="217"/>
      <c r="AA230" s="217"/>
    </row>
    <row r="231" spans="2:27" s="506" customFormat="1" x14ac:dyDescent="0.3">
      <c r="B231" s="217"/>
      <c r="C231" s="260" t="s">
        <v>801</v>
      </c>
      <c r="D231" s="221" t="s">
        <v>363</v>
      </c>
      <c r="E231" s="261">
        <f t="array" ref="E231">SUMPRODUCT(E$72:E$152,TRANSPOSE('Default Values'!$C180:$CE180))</f>
        <v>0</v>
      </c>
      <c r="F231" s="261">
        <f t="array" ref="F231">SUMPRODUCT(F$72:F$152,TRANSPOSE('Default Values'!$C180:$CE180))</f>
        <v>0</v>
      </c>
      <c r="G231" s="261">
        <f t="array" ref="G231">SUMPRODUCT(G$72:G$152,TRANSPOSE('Default Values'!$C180:$CE180))</f>
        <v>0</v>
      </c>
      <c r="H231" s="261">
        <f t="array" ref="H231">SUMPRODUCT(H$72:H$152,TRANSPOSE('Default Values'!$C180:$CE180))</f>
        <v>0</v>
      </c>
      <c r="I231" s="261">
        <f t="array" ref="I231">SUMPRODUCT(I$72:I$152,TRANSPOSE('Default Values'!$C180:$CE180))</f>
        <v>0</v>
      </c>
      <c r="J231" s="261">
        <f t="array" ref="J231">SUMPRODUCT(J$72:J$152,TRANSPOSE('Default Values'!$C180:$CE180))</f>
        <v>0</v>
      </c>
      <c r="K231" s="261">
        <f t="array" ref="K231">SUMPRODUCT(K$72:K$152,TRANSPOSE('Default Values'!$C180:$CE180))</f>
        <v>1</v>
      </c>
      <c r="L231" s="261">
        <f t="array" ref="L231">SUMPRODUCT(L$72:L$152,TRANSPOSE('Default Values'!$C180:$CE180))</f>
        <v>0</v>
      </c>
      <c r="M231" s="261">
        <f t="array" ref="M231">SUMPRODUCT(M$72:M$152,TRANSPOSE('Default Values'!$C180:$CE180))</f>
        <v>0</v>
      </c>
      <c r="N231" s="261">
        <f t="array" ref="N231">SUMPRODUCT(N$72:N$152,TRANSPOSE('Default Values'!$C180:$CE180))</f>
        <v>0</v>
      </c>
      <c r="O231" s="261">
        <f t="array" ref="O231">SUMPRODUCT(O$72:O$152,TRANSPOSE('Default Values'!$C180:$CE180))</f>
        <v>0</v>
      </c>
      <c r="P231" s="261">
        <f t="array" ref="P231">SUMPRODUCT(P$72:P$152,TRANSPOSE('Default Values'!$C180:$CE180))</f>
        <v>0</v>
      </c>
      <c r="Q231" s="261">
        <f t="array" ref="Q231">SUMPRODUCT(Q$72:Q$152,TRANSPOSE('Default Values'!$C180:$CE180))</f>
        <v>0</v>
      </c>
      <c r="R231" s="261">
        <f t="array" ref="R231">SUMPRODUCT(R$72:R$152,TRANSPOSE('Default Values'!$C180:$CE180))</f>
        <v>0</v>
      </c>
      <c r="S231" s="246">
        <f t="shared" si="9"/>
        <v>1430</v>
      </c>
      <c r="T231" s="217"/>
      <c r="U231" s="217"/>
      <c r="V231" s="217"/>
      <c r="W231" s="217"/>
      <c r="X231" s="217"/>
      <c r="Y231" s="217"/>
      <c r="Z231" s="217"/>
      <c r="AA231" s="217"/>
    </row>
    <row r="232" spans="2:27" x14ac:dyDescent="0.3">
      <c r="B232" s="217"/>
      <c r="C232" s="263" t="s">
        <v>802</v>
      </c>
      <c r="D232" s="221" t="s">
        <v>363</v>
      </c>
      <c r="E232" s="261">
        <f t="array" ref="E232">SUMPRODUCT(E$72:E$152,TRANSPOSE('Default Values'!$C181:$CE181))</f>
        <v>0</v>
      </c>
      <c r="F232" s="261">
        <f t="array" ref="F232">SUMPRODUCT(F$72:F$152,TRANSPOSE('Default Values'!$C181:$CE181))</f>
        <v>0</v>
      </c>
      <c r="G232" s="261">
        <f t="array" ref="G232">SUMPRODUCT(G$72:G$152,TRANSPOSE('Default Values'!$C181:$CE181))</f>
        <v>0</v>
      </c>
      <c r="H232" s="261">
        <f t="array" ref="H232">SUMPRODUCT(H$72:H$152,TRANSPOSE('Default Values'!$C181:$CE181))</f>
        <v>0</v>
      </c>
      <c r="I232" s="261">
        <f t="array" ref="I232">SUMPRODUCT(I$72:I$152,TRANSPOSE('Default Values'!$C181:$CE181))</f>
        <v>0</v>
      </c>
      <c r="J232" s="261">
        <f t="array" ref="J232">SUMPRODUCT(J$72:J$152,TRANSPOSE('Default Values'!$C181:$CE181))</f>
        <v>0</v>
      </c>
      <c r="K232" s="261">
        <f t="array" ref="K232">SUMPRODUCT(K$72:K$152,TRANSPOSE('Default Values'!$C181:$CE181))</f>
        <v>0.9</v>
      </c>
      <c r="L232" s="261">
        <f t="array" ref="L232">SUMPRODUCT(L$72:L$152,TRANSPOSE('Default Values'!$C181:$CE181))</f>
        <v>0</v>
      </c>
      <c r="M232" s="261">
        <f t="array" ref="M232">SUMPRODUCT(M$72:M$152,TRANSPOSE('Default Values'!$C181:$CE181))</f>
        <v>0</v>
      </c>
      <c r="N232" s="261">
        <f t="array" ref="N232">SUMPRODUCT(N$72:N$152,TRANSPOSE('Default Values'!$C181:$CE181))</f>
        <v>0</v>
      </c>
      <c r="O232" s="261">
        <f t="array" ref="O232">SUMPRODUCT(O$72:O$152,TRANSPOSE('Default Values'!$C181:$CE181))</f>
        <v>0</v>
      </c>
      <c r="P232" s="261">
        <f t="array" ref="P232">SUMPRODUCT(P$72:P$152,TRANSPOSE('Default Values'!$C181:$CE181))</f>
        <v>0</v>
      </c>
      <c r="Q232" s="261">
        <f t="array" ref="Q232">SUMPRODUCT(Q$72:Q$152,TRANSPOSE('Default Values'!$C181:$CE181))</f>
        <v>0</v>
      </c>
      <c r="R232" s="261">
        <f t="array" ref="R232">SUMPRODUCT(R$72:R$152,TRANSPOSE('Default Values'!$C181:$CE181))</f>
        <v>0</v>
      </c>
      <c r="S232" s="246">
        <f t="shared" si="2"/>
        <v>1287</v>
      </c>
      <c r="T232" s="217"/>
      <c r="U232" s="217"/>
      <c r="V232" s="217"/>
      <c r="W232" s="217"/>
      <c r="X232" s="217"/>
      <c r="Y232" s="217"/>
      <c r="Z232" s="217"/>
      <c r="AA232" s="217"/>
    </row>
    <row r="233" spans="2:27" x14ac:dyDescent="0.3">
      <c r="B233" s="217"/>
      <c r="C233" s="217"/>
      <c r="D233" s="217"/>
      <c r="E233" s="217"/>
      <c r="F233" s="217"/>
      <c r="G233" s="217"/>
      <c r="H233" s="217"/>
      <c r="I233" s="217"/>
      <c r="J233" s="217"/>
      <c r="K233" s="217"/>
      <c r="L233" s="217"/>
      <c r="M233" s="217"/>
      <c r="N233" s="217"/>
      <c r="O233" s="217"/>
      <c r="P233" s="217"/>
      <c r="Q233" s="217"/>
      <c r="R233" s="217"/>
      <c r="S233" s="217"/>
      <c r="T233" s="217"/>
      <c r="U233" s="217"/>
      <c r="V233" s="217"/>
      <c r="W233" s="217"/>
      <c r="X233" s="217"/>
      <c r="Y233" s="217"/>
      <c r="Z233" s="217"/>
      <c r="AA233" s="217"/>
    </row>
    <row r="235" spans="2:27" x14ac:dyDescent="0.3">
      <c r="C235" t="s">
        <v>334</v>
      </c>
    </row>
  </sheetData>
  <sheetProtection algorithmName="SHA-512" hashValue="q5Xi4bJ5B6K2lLXioYl20QMxTFMgP/MUeogKsgCJ3R/2PFYGap50Co2/vxnm9KhbLZCTtOXfFing87hPSIylkg==" saltValue="Ex6ydOu+qIyCjJsho4iA8g==" spinCount="100000" sheet="1" objects="1" scenarios="1" formatCells="0" formatColumns="0" formatRows="0"/>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CK184"/>
  <sheetViews>
    <sheetView workbookViewId="0">
      <selection activeCell="F12" sqref="F12"/>
    </sheetView>
  </sheetViews>
  <sheetFormatPr defaultRowHeight="14.4" x14ac:dyDescent="0.3"/>
  <cols>
    <col min="2" max="2" width="43.44140625" customWidth="1"/>
    <col min="3" max="3" width="15" customWidth="1"/>
    <col min="4" max="4" width="24.109375" customWidth="1"/>
    <col min="5" max="5" width="16.88671875" customWidth="1"/>
    <col min="6" max="6" width="12.109375" bestFit="1" customWidth="1"/>
    <col min="7" max="7" width="15.6640625" customWidth="1"/>
    <col min="8" max="8" width="14.109375" customWidth="1"/>
    <col min="9" max="9" width="11.44140625" customWidth="1"/>
    <col min="10" max="10" width="11.6640625" customWidth="1"/>
    <col min="11" max="12" width="15.109375" customWidth="1"/>
    <col min="13" max="13" width="13.44140625" customWidth="1"/>
    <col min="14" max="14" width="12.6640625" customWidth="1"/>
    <col min="15" max="15" width="12.5546875" customWidth="1"/>
    <col min="16" max="16" width="12.33203125" customWidth="1"/>
    <col min="17" max="17" width="11.88671875" customWidth="1"/>
    <col min="18" max="18" width="13.6640625" customWidth="1"/>
    <col min="19" max="19" width="13.5546875" bestFit="1" customWidth="1"/>
    <col min="20" max="20" width="12.88671875" customWidth="1"/>
    <col min="21" max="21" width="12.33203125" customWidth="1"/>
    <col min="22" max="22" width="12.5546875" customWidth="1"/>
    <col min="23" max="23" width="10.88671875" customWidth="1"/>
    <col min="25" max="25" width="14.5546875" customWidth="1"/>
    <col min="26" max="26" width="9.88671875" customWidth="1"/>
    <col min="31" max="31" width="10.109375" customWidth="1"/>
    <col min="32" max="32" width="10" customWidth="1"/>
    <col min="33" max="33" width="11.5546875" customWidth="1"/>
    <col min="34" max="35" width="10" customWidth="1"/>
  </cols>
  <sheetData>
    <row r="1" spans="1:89" x14ac:dyDescent="0.3">
      <c r="B1" s="285" t="s">
        <v>295</v>
      </c>
    </row>
    <row r="3" spans="1:89" ht="18" x14ac:dyDescent="0.35">
      <c r="A3" s="217"/>
      <c r="B3" s="264" t="s">
        <v>146</v>
      </c>
      <c r="C3" s="217"/>
      <c r="D3" s="217"/>
      <c r="E3" s="217"/>
      <c r="F3" s="217"/>
      <c r="G3" s="217"/>
      <c r="H3" s="217"/>
      <c r="I3" s="217"/>
      <c r="J3" s="217"/>
      <c r="K3" s="217"/>
      <c r="L3" s="217"/>
      <c r="M3" s="217"/>
      <c r="N3" s="217"/>
      <c r="O3" s="217"/>
      <c r="P3" s="217"/>
      <c r="Q3" s="217"/>
      <c r="R3" s="217"/>
      <c r="S3" s="217"/>
      <c r="T3" s="217"/>
      <c r="U3" s="217"/>
      <c r="V3" s="217"/>
      <c r="W3" s="217"/>
      <c r="X3" s="217"/>
      <c r="Y3" s="217"/>
      <c r="Z3" s="217"/>
      <c r="AA3" s="217"/>
      <c r="AB3" s="217"/>
      <c r="AC3" s="217"/>
      <c r="AD3" s="217"/>
      <c r="AE3" s="217"/>
      <c r="AF3" s="217"/>
      <c r="AG3" s="217"/>
      <c r="AH3" s="217"/>
      <c r="AI3" s="217"/>
      <c r="AJ3" s="217"/>
      <c r="AK3" s="217"/>
      <c r="AL3" s="217"/>
      <c r="AM3" s="217"/>
      <c r="AN3" s="217"/>
      <c r="AO3" s="217"/>
      <c r="AP3" s="217"/>
      <c r="AQ3" s="217"/>
      <c r="AR3" s="217"/>
      <c r="AS3" s="217"/>
      <c r="AT3" s="217"/>
      <c r="AU3" s="217"/>
      <c r="AV3" s="217"/>
      <c r="AW3" s="217"/>
      <c r="AX3" s="217"/>
      <c r="AY3" s="217"/>
      <c r="AZ3" s="217"/>
      <c r="BA3" s="217"/>
      <c r="BB3" s="217"/>
      <c r="BC3" s="217"/>
      <c r="BD3" s="217"/>
      <c r="BE3" s="217"/>
      <c r="BF3" s="217"/>
      <c r="BG3" s="217"/>
      <c r="BH3" s="217"/>
      <c r="BI3" s="217"/>
      <c r="BJ3" s="217"/>
      <c r="BK3" s="217"/>
      <c r="BL3" s="217"/>
      <c r="BM3" s="217"/>
      <c r="BN3" s="217"/>
      <c r="BO3" s="217"/>
      <c r="BP3" s="217"/>
      <c r="BQ3" s="217"/>
      <c r="BR3" s="217"/>
      <c r="BS3" s="217"/>
      <c r="BT3" s="217"/>
      <c r="BU3" s="217"/>
      <c r="BV3" s="217"/>
      <c r="BW3" s="217"/>
      <c r="BX3" s="217"/>
      <c r="BY3" s="217"/>
      <c r="BZ3" s="217"/>
      <c r="CA3" s="217"/>
      <c r="CB3" s="217"/>
      <c r="CC3" s="217"/>
      <c r="CD3" s="217"/>
      <c r="CE3" s="217"/>
      <c r="CF3" s="217"/>
      <c r="CG3" s="217"/>
      <c r="CH3" s="217"/>
      <c r="CI3" s="217"/>
      <c r="CJ3" s="217"/>
      <c r="CK3" s="217"/>
    </row>
    <row r="4" spans="1:89" ht="64.5" customHeight="1" x14ac:dyDescent="0.3">
      <c r="A4" s="217"/>
      <c r="B4" s="265" t="s">
        <v>301</v>
      </c>
      <c r="C4" s="266" t="s">
        <v>290</v>
      </c>
      <c r="D4" s="266" t="s">
        <v>100</v>
      </c>
      <c r="E4" s="266" t="s">
        <v>101</v>
      </c>
      <c r="F4" s="266" t="s">
        <v>102</v>
      </c>
      <c r="G4" s="266" t="s">
        <v>103</v>
      </c>
      <c r="H4" s="266" t="s">
        <v>291</v>
      </c>
      <c r="I4" s="267" t="s">
        <v>292</v>
      </c>
      <c r="J4" s="266" t="s">
        <v>314</v>
      </c>
      <c r="K4" s="267" t="s">
        <v>331</v>
      </c>
      <c r="L4" s="267" t="s">
        <v>332</v>
      </c>
      <c r="M4" s="267" t="s">
        <v>333</v>
      </c>
      <c r="N4" s="217"/>
      <c r="O4" s="217"/>
      <c r="P4" s="217"/>
      <c r="Q4" s="266" t="s">
        <v>726</v>
      </c>
      <c r="R4" s="266" t="s">
        <v>727</v>
      </c>
      <c r="S4" s="217"/>
      <c r="T4" s="217"/>
      <c r="U4" s="217"/>
      <c r="V4" s="217"/>
      <c r="W4" s="217"/>
      <c r="X4" s="217"/>
      <c r="Y4" s="217"/>
      <c r="Z4" s="217"/>
      <c r="AA4" s="217"/>
      <c r="AB4" s="217"/>
      <c r="AC4" s="217"/>
      <c r="AD4" s="217"/>
      <c r="AE4" s="217"/>
      <c r="AF4" s="217"/>
      <c r="AG4" s="217"/>
      <c r="AH4" s="217"/>
      <c r="AI4" s="217"/>
      <c r="AJ4" s="217"/>
      <c r="AK4" s="217"/>
      <c r="AL4" s="217"/>
      <c r="AM4" s="217"/>
      <c r="AN4" s="217"/>
      <c r="AO4" s="217"/>
      <c r="AP4" s="217"/>
      <c r="AQ4" s="217"/>
      <c r="AR4" s="217"/>
      <c r="AS4" s="217"/>
      <c r="AT4" s="217"/>
      <c r="AU4" s="217"/>
      <c r="AV4" s="217"/>
      <c r="AW4" s="217"/>
      <c r="AX4" s="217"/>
      <c r="AY4" s="217"/>
      <c r="AZ4" s="217"/>
      <c r="BA4" s="217"/>
      <c r="BB4" s="217"/>
      <c r="BC4" s="217"/>
      <c r="BD4" s="217"/>
      <c r="BE4" s="217"/>
      <c r="BF4" s="217"/>
      <c r="BG4" s="217"/>
      <c r="BH4" s="217"/>
      <c r="BI4" s="217"/>
      <c r="BJ4" s="217"/>
      <c r="BK4" s="217"/>
      <c r="BL4" s="217"/>
      <c r="BM4" s="217"/>
      <c r="BN4" s="217"/>
      <c r="BO4" s="217"/>
      <c r="BP4" s="217"/>
      <c r="BQ4" s="217"/>
      <c r="BR4" s="217"/>
      <c r="BS4" s="217"/>
      <c r="BT4" s="217"/>
      <c r="BU4" s="217"/>
      <c r="BV4" s="217"/>
      <c r="BW4" s="217"/>
      <c r="BX4" s="217"/>
      <c r="BY4" s="217"/>
      <c r="BZ4" s="217"/>
      <c r="CA4" s="217"/>
      <c r="CB4" s="217"/>
      <c r="CC4" s="217"/>
      <c r="CD4" s="217"/>
      <c r="CE4" s="217"/>
      <c r="CF4" s="217"/>
      <c r="CG4" s="217"/>
      <c r="CH4" s="217"/>
      <c r="CI4" s="217"/>
      <c r="CJ4" s="217"/>
      <c r="CK4" s="217"/>
    </row>
    <row r="5" spans="1:89" x14ac:dyDescent="0.3">
      <c r="A5" s="217"/>
      <c r="B5" s="221" t="s">
        <v>608</v>
      </c>
      <c r="C5" s="221">
        <v>0.15</v>
      </c>
      <c r="D5" s="268">
        <v>0</v>
      </c>
      <c r="E5" s="261">
        <v>5.0000000000000001E-3</v>
      </c>
      <c r="F5" s="269">
        <v>0.91</v>
      </c>
      <c r="G5" s="269">
        <v>0.31</v>
      </c>
      <c r="H5" s="270">
        <v>14</v>
      </c>
      <c r="I5" s="271">
        <f>1/H5</f>
        <v>7.1428571428571425E-2</v>
      </c>
      <c r="J5" s="222" t="s">
        <v>171</v>
      </c>
      <c r="K5" s="272">
        <f>C5*I5*D5</f>
        <v>0</v>
      </c>
      <c r="L5" s="272">
        <f>C5*E5</f>
        <v>7.5000000000000002E-4</v>
      </c>
      <c r="M5" s="273">
        <f>C5*I5*F5*(1-G5)</f>
        <v>6.7274999999999982E-3</v>
      </c>
      <c r="N5" s="217"/>
      <c r="O5" s="217"/>
      <c r="P5" s="217"/>
      <c r="Q5" s="432">
        <v>0.04</v>
      </c>
      <c r="R5" s="334">
        <f>Q5/C5</f>
        <v>0.26666666666666666</v>
      </c>
      <c r="S5" s="217"/>
      <c r="T5" s="217"/>
      <c r="U5" s="217"/>
      <c r="V5" s="217"/>
      <c r="W5" s="217"/>
      <c r="X5" s="217"/>
      <c r="Y5" s="217"/>
      <c r="Z5" s="217"/>
      <c r="AA5" s="217"/>
      <c r="AB5" s="217"/>
      <c r="AC5" s="217"/>
      <c r="AD5" s="217"/>
      <c r="AE5" s="217"/>
      <c r="AF5" s="217"/>
      <c r="AG5" s="217"/>
      <c r="AH5" s="217"/>
      <c r="AI5" s="217"/>
      <c r="AJ5" s="217"/>
      <c r="AK5" s="217"/>
      <c r="AL5" s="217"/>
      <c r="AM5" s="217"/>
      <c r="AN5" s="217"/>
      <c r="AO5" s="217"/>
      <c r="AP5" s="217"/>
      <c r="AQ5" s="217"/>
      <c r="AR5" s="217"/>
      <c r="AS5" s="217"/>
      <c r="AT5" s="217"/>
      <c r="AU5" s="217"/>
      <c r="AV5" s="217"/>
      <c r="AW5" s="217"/>
      <c r="AX5" s="217"/>
      <c r="AY5" s="217"/>
      <c r="AZ5" s="217"/>
      <c r="BA5" s="217"/>
      <c r="BB5" s="217"/>
      <c r="BC5" s="217"/>
      <c r="BD5" s="217"/>
      <c r="BE5" s="217"/>
      <c r="BF5" s="217"/>
      <c r="BG5" s="217"/>
      <c r="BH5" s="217"/>
      <c r="BI5" s="217"/>
      <c r="BJ5" s="217"/>
      <c r="BK5" s="217"/>
      <c r="BL5" s="217"/>
      <c r="BM5" s="217"/>
      <c r="BN5" s="217"/>
      <c r="BO5" s="217"/>
      <c r="BP5" s="217"/>
      <c r="BQ5" s="217"/>
      <c r="BR5" s="217"/>
      <c r="BS5" s="217"/>
      <c r="BT5" s="217"/>
      <c r="BU5" s="217"/>
      <c r="BV5" s="217"/>
      <c r="BW5" s="217"/>
      <c r="BX5" s="217"/>
      <c r="BY5" s="217"/>
      <c r="BZ5" s="217"/>
      <c r="CA5" s="217"/>
      <c r="CB5" s="217"/>
      <c r="CC5" s="217"/>
      <c r="CD5" s="217"/>
      <c r="CE5" s="217"/>
      <c r="CF5" s="217"/>
      <c r="CG5" s="217"/>
      <c r="CH5" s="217"/>
      <c r="CI5" s="217"/>
      <c r="CJ5" s="217"/>
      <c r="CK5" s="217"/>
    </row>
    <row r="6" spans="1:89" x14ac:dyDescent="0.3">
      <c r="A6" s="217"/>
      <c r="B6" s="221" t="s">
        <v>721</v>
      </c>
      <c r="C6" s="221">
        <v>0.5</v>
      </c>
      <c r="D6" s="268">
        <v>0</v>
      </c>
      <c r="E6" s="261">
        <v>8.9999999999999993E-3</v>
      </c>
      <c r="F6" s="269">
        <v>0.94</v>
      </c>
      <c r="G6" s="269">
        <v>0.21</v>
      </c>
      <c r="H6" s="270">
        <v>12</v>
      </c>
      <c r="I6" s="271">
        <f t="shared" ref="I6:I20" si="0">1/H6</f>
        <v>8.3333333333333329E-2</v>
      </c>
      <c r="J6" s="274" t="s">
        <v>208</v>
      </c>
      <c r="K6" s="272">
        <f t="shared" ref="K6:K20" si="1">C6*I6*D6</f>
        <v>0</v>
      </c>
      <c r="L6" s="221">
        <f t="shared" ref="L6:L20" si="2">C6*E6</f>
        <v>4.4999999999999997E-3</v>
      </c>
      <c r="M6" s="272">
        <f t="shared" ref="M6:M20" si="3">C6*I6*F6*(1-G6)</f>
        <v>3.0941666666666666E-2</v>
      </c>
      <c r="N6" s="217"/>
      <c r="O6" s="217"/>
      <c r="P6" s="217"/>
      <c r="Q6" s="217"/>
      <c r="R6" s="217"/>
      <c r="S6" s="217"/>
      <c r="T6" s="217"/>
      <c r="U6" s="217"/>
      <c r="V6" s="217"/>
      <c r="W6" s="217"/>
      <c r="X6" s="217"/>
      <c r="Y6" s="217"/>
      <c r="Z6" s="217"/>
      <c r="AA6" s="217"/>
      <c r="AB6" s="217"/>
      <c r="AC6" s="217"/>
      <c r="AD6" s="217"/>
      <c r="AE6" s="217"/>
      <c r="AF6" s="217"/>
      <c r="AG6" s="217"/>
      <c r="AH6" s="217"/>
      <c r="AI6" s="217"/>
      <c r="AJ6" s="217"/>
      <c r="AK6" s="217"/>
      <c r="AL6" s="217"/>
      <c r="AM6" s="217"/>
      <c r="AN6" s="217"/>
      <c r="AO6" s="217"/>
      <c r="AP6" s="217"/>
      <c r="AQ6" s="217"/>
      <c r="AR6" s="217"/>
      <c r="AS6" s="217"/>
      <c r="AT6" s="217"/>
      <c r="AU6" s="217"/>
      <c r="AV6" s="217"/>
      <c r="AW6" s="217"/>
      <c r="AX6" s="217"/>
      <c r="AY6" s="217"/>
      <c r="AZ6" s="217"/>
      <c r="BA6" s="217"/>
      <c r="BB6" s="217"/>
      <c r="BC6" s="217"/>
      <c r="BD6" s="217"/>
      <c r="BE6" s="217"/>
      <c r="BF6" s="217"/>
      <c r="BG6" s="217"/>
      <c r="BH6" s="217"/>
      <c r="BI6" s="217"/>
      <c r="BJ6" s="217"/>
      <c r="BK6" s="217"/>
      <c r="BL6" s="217"/>
      <c r="BM6" s="217"/>
      <c r="BN6" s="217"/>
      <c r="BO6" s="217"/>
      <c r="BP6" s="217"/>
      <c r="BQ6" s="217"/>
      <c r="BR6" s="217"/>
      <c r="BS6" s="217"/>
      <c r="BT6" s="217"/>
      <c r="BU6" s="217"/>
      <c r="BV6" s="217"/>
      <c r="BW6" s="217"/>
      <c r="BX6" s="217"/>
      <c r="BY6" s="217"/>
      <c r="BZ6" s="217"/>
      <c r="CA6" s="217"/>
      <c r="CB6" s="217"/>
      <c r="CC6" s="217"/>
      <c r="CD6" s="217"/>
      <c r="CE6" s="217"/>
      <c r="CF6" s="217"/>
      <c r="CG6" s="217"/>
      <c r="CH6" s="217"/>
      <c r="CI6" s="217"/>
      <c r="CJ6" s="217"/>
      <c r="CK6" s="217"/>
    </row>
    <row r="7" spans="1:89" x14ac:dyDescent="0.3">
      <c r="A7" s="217"/>
      <c r="B7" s="221" t="s">
        <v>723</v>
      </c>
      <c r="C7" s="221">
        <v>13</v>
      </c>
      <c r="D7" s="268">
        <v>0</v>
      </c>
      <c r="E7" s="271">
        <v>0.08</v>
      </c>
      <c r="F7" s="269">
        <v>0.8</v>
      </c>
      <c r="G7" s="269">
        <v>0.7</v>
      </c>
      <c r="H7" s="270">
        <v>25</v>
      </c>
      <c r="I7" s="271">
        <f t="shared" si="0"/>
        <v>0.04</v>
      </c>
      <c r="J7" s="222" t="s">
        <v>208</v>
      </c>
      <c r="K7" s="272">
        <f t="shared" si="1"/>
        <v>0</v>
      </c>
      <c r="L7" s="221">
        <f t="shared" si="2"/>
        <v>1.04</v>
      </c>
      <c r="M7" s="275">
        <f t="shared" si="3"/>
        <v>0.12480000000000004</v>
      </c>
      <c r="N7" s="217"/>
      <c r="O7" s="217"/>
      <c r="P7" s="217"/>
      <c r="Q7" s="217"/>
      <c r="R7" s="217"/>
      <c r="S7" s="217"/>
      <c r="T7" s="217"/>
      <c r="U7" s="217"/>
      <c r="V7" s="217"/>
      <c r="W7" s="217"/>
      <c r="X7" s="217"/>
      <c r="Y7" s="217"/>
      <c r="Z7" s="217"/>
      <c r="AA7" s="217"/>
      <c r="AB7" s="217"/>
      <c r="AC7" s="217"/>
      <c r="AD7" s="217"/>
      <c r="AE7" s="217"/>
      <c r="AF7" s="217"/>
      <c r="AG7" s="217"/>
      <c r="AH7" s="217"/>
      <c r="AI7" s="217"/>
      <c r="AJ7" s="217"/>
      <c r="AK7" s="217"/>
      <c r="AL7" s="217"/>
      <c r="AM7" s="217"/>
      <c r="AN7" s="217"/>
      <c r="AO7" s="217"/>
      <c r="AP7" s="217"/>
      <c r="AQ7" s="217"/>
      <c r="AR7" s="217"/>
      <c r="AS7" s="217"/>
      <c r="AT7" s="217"/>
      <c r="AU7" s="217"/>
      <c r="AV7" s="217"/>
      <c r="AW7" s="217"/>
      <c r="AX7" s="217"/>
      <c r="AY7" s="217"/>
      <c r="AZ7" s="217"/>
      <c r="BA7" s="217"/>
      <c r="BB7" s="217"/>
      <c r="BC7" s="217"/>
      <c r="BD7" s="217"/>
      <c r="BE7" s="217"/>
      <c r="BF7" s="217"/>
      <c r="BG7" s="217"/>
      <c r="BH7" s="217"/>
      <c r="BI7" s="217"/>
      <c r="BJ7" s="217"/>
      <c r="BK7" s="217"/>
      <c r="BL7" s="217"/>
      <c r="BM7" s="217"/>
      <c r="BN7" s="217"/>
      <c r="BO7" s="217"/>
      <c r="BP7" s="217"/>
      <c r="BQ7" s="217"/>
      <c r="BR7" s="217"/>
      <c r="BS7" s="217"/>
      <c r="BT7" s="217"/>
      <c r="BU7" s="217"/>
      <c r="BV7" s="217"/>
      <c r="BW7" s="217"/>
      <c r="BX7" s="217"/>
      <c r="BY7" s="217"/>
      <c r="BZ7" s="217"/>
      <c r="CA7" s="217"/>
      <c r="CB7" s="217"/>
      <c r="CC7" s="217"/>
      <c r="CD7" s="217"/>
      <c r="CE7" s="217"/>
      <c r="CF7" s="217"/>
      <c r="CG7" s="217"/>
      <c r="CH7" s="217"/>
      <c r="CI7" s="217"/>
      <c r="CJ7" s="217"/>
      <c r="CK7" s="217"/>
    </row>
    <row r="8" spans="1:89" x14ac:dyDescent="0.3">
      <c r="A8" s="217"/>
      <c r="B8" s="221" t="s">
        <v>722</v>
      </c>
      <c r="C8" s="222">
        <v>5</v>
      </c>
      <c r="D8" s="268">
        <v>0</v>
      </c>
      <c r="E8" s="271">
        <v>0.08</v>
      </c>
      <c r="F8" s="271">
        <v>0.8</v>
      </c>
      <c r="G8" s="271">
        <v>0.5</v>
      </c>
      <c r="H8" s="270">
        <v>15</v>
      </c>
      <c r="I8" s="271">
        <f t="shared" si="0"/>
        <v>6.6666666666666666E-2</v>
      </c>
      <c r="J8" s="222" t="s">
        <v>208</v>
      </c>
      <c r="K8" s="272">
        <f t="shared" si="1"/>
        <v>0</v>
      </c>
      <c r="L8" s="221">
        <f t="shared" si="2"/>
        <v>0.4</v>
      </c>
      <c r="M8" s="275">
        <f t="shared" si="3"/>
        <v>0.13333333333333333</v>
      </c>
      <c r="N8" s="217"/>
      <c r="O8" s="217"/>
      <c r="P8" s="217"/>
      <c r="Q8" s="217"/>
      <c r="R8" s="217"/>
      <c r="S8" s="217"/>
      <c r="T8" s="217"/>
      <c r="U8" s="217"/>
      <c r="V8" s="217"/>
      <c r="W8" s="217"/>
      <c r="X8" s="217"/>
      <c r="Y8" s="217"/>
      <c r="Z8" s="217"/>
      <c r="AA8" s="217"/>
      <c r="AB8" s="217"/>
      <c r="AC8" s="217"/>
      <c r="AD8" s="217"/>
      <c r="AE8" s="217"/>
      <c r="AF8" s="217"/>
      <c r="AG8" s="217"/>
      <c r="AH8" s="217"/>
      <c r="AI8" s="217"/>
      <c r="AJ8" s="217"/>
      <c r="AK8" s="217"/>
      <c r="AL8" s="217"/>
      <c r="AM8" s="217"/>
      <c r="AN8" s="217"/>
      <c r="AO8" s="217"/>
      <c r="AP8" s="217"/>
      <c r="AQ8" s="217"/>
      <c r="AR8" s="217"/>
      <c r="AS8" s="217"/>
      <c r="AT8" s="217"/>
      <c r="AU8" s="217"/>
      <c r="AV8" s="217"/>
      <c r="AW8" s="217"/>
      <c r="AX8" s="217"/>
      <c r="AY8" s="217"/>
      <c r="AZ8" s="217"/>
      <c r="BA8" s="217"/>
      <c r="BB8" s="217"/>
      <c r="BC8" s="217"/>
      <c r="BD8" s="217"/>
      <c r="BE8" s="217"/>
      <c r="BF8" s="217"/>
      <c r="BG8" s="217"/>
      <c r="BH8" s="217"/>
      <c r="BI8" s="217"/>
      <c r="BJ8" s="217"/>
      <c r="BK8" s="217"/>
      <c r="BL8" s="217"/>
      <c r="BM8" s="217"/>
      <c r="BN8" s="217"/>
      <c r="BO8" s="217"/>
      <c r="BP8" s="217"/>
      <c r="BQ8" s="217"/>
      <c r="BR8" s="217"/>
      <c r="BS8" s="217"/>
      <c r="BT8" s="217"/>
      <c r="BU8" s="217"/>
      <c r="BV8" s="217"/>
      <c r="BW8" s="217"/>
      <c r="BX8" s="217"/>
      <c r="BY8" s="217"/>
      <c r="BZ8" s="217"/>
      <c r="CA8" s="217"/>
      <c r="CB8" s="217"/>
      <c r="CC8" s="217"/>
      <c r="CD8" s="217"/>
      <c r="CE8" s="217"/>
      <c r="CF8" s="217"/>
      <c r="CG8" s="217"/>
      <c r="CH8" s="217"/>
      <c r="CI8" s="217"/>
      <c r="CJ8" s="217"/>
      <c r="CK8" s="217"/>
    </row>
    <row r="9" spans="1:89" ht="15" customHeight="1" x14ac:dyDescent="0.3">
      <c r="A9" s="217"/>
      <c r="B9" s="276" t="s">
        <v>109</v>
      </c>
      <c r="C9" s="277">
        <v>3640</v>
      </c>
      <c r="D9" s="278">
        <v>0.03</v>
      </c>
      <c r="E9" s="278">
        <v>0.25</v>
      </c>
      <c r="F9" s="278">
        <v>0.8</v>
      </c>
      <c r="G9" s="278">
        <v>0.8</v>
      </c>
      <c r="H9" s="279">
        <v>25</v>
      </c>
      <c r="I9" s="278">
        <f t="shared" si="0"/>
        <v>0.04</v>
      </c>
      <c r="J9" s="276" t="s">
        <v>171</v>
      </c>
      <c r="K9" s="276">
        <f t="shared" si="1"/>
        <v>4.3679999999999994</v>
      </c>
      <c r="L9" s="276">
        <f t="shared" si="2"/>
        <v>910</v>
      </c>
      <c r="M9" s="280">
        <f t="shared" si="3"/>
        <v>23.295999999999996</v>
      </c>
      <c r="N9" s="217"/>
      <c r="O9" s="217"/>
      <c r="P9" s="217"/>
      <c r="Q9" s="217"/>
      <c r="R9" s="217"/>
      <c r="S9" s="217"/>
      <c r="T9" s="217"/>
      <c r="U9" s="217"/>
      <c r="V9" s="217"/>
      <c r="W9" s="217"/>
      <c r="X9" s="217"/>
      <c r="Y9" s="217"/>
      <c r="Z9" s="217"/>
      <c r="AA9" s="217"/>
      <c r="AB9" s="217"/>
      <c r="AC9" s="217"/>
      <c r="AD9" s="217"/>
      <c r="AE9" s="217"/>
      <c r="AF9" s="217"/>
      <c r="AG9" s="217"/>
      <c r="AH9" s="217"/>
      <c r="AI9" s="217"/>
      <c r="AJ9" s="217"/>
      <c r="AK9" s="217"/>
      <c r="AL9" s="217"/>
      <c r="AM9" s="217"/>
      <c r="AN9" s="217"/>
      <c r="AO9" s="217"/>
      <c r="AP9" s="217"/>
      <c r="AQ9" s="217"/>
      <c r="AR9" s="217"/>
      <c r="AS9" s="217"/>
      <c r="AT9" s="217"/>
      <c r="AU9" s="217"/>
      <c r="AV9" s="217"/>
      <c r="AW9" s="217"/>
      <c r="AX9" s="217"/>
      <c r="AY9" s="217"/>
      <c r="AZ9" s="217"/>
      <c r="BA9" s="217"/>
      <c r="BB9" s="217"/>
      <c r="BC9" s="217"/>
      <c r="BD9" s="217"/>
      <c r="BE9" s="217"/>
      <c r="BF9" s="217"/>
      <c r="BG9" s="217"/>
      <c r="BH9" s="217"/>
      <c r="BI9" s="217"/>
      <c r="BJ9" s="217"/>
      <c r="BK9" s="217"/>
      <c r="BL9" s="217"/>
      <c r="BM9" s="217"/>
      <c r="BN9" s="217"/>
      <c r="BO9" s="217"/>
      <c r="BP9" s="217"/>
      <c r="BQ9" s="217"/>
      <c r="BR9" s="217"/>
      <c r="BS9" s="217"/>
      <c r="BT9" s="217"/>
      <c r="BU9" s="217"/>
      <c r="BV9" s="217"/>
      <c r="BW9" s="217"/>
      <c r="BX9" s="217"/>
      <c r="BY9" s="217"/>
      <c r="BZ9" s="217"/>
      <c r="CA9" s="217"/>
      <c r="CB9" s="217"/>
      <c r="CC9" s="217"/>
      <c r="CD9" s="217"/>
      <c r="CE9" s="217"/>
      <c r="CF9" s="217"/>
      <c r="CG9" s="217"/>
      <c r="CH9" s="217"/>
      <c r="CI9" s="217"/>
      <c r="CJ9" s="217"/>
      <c r="CK9" s="217"/>
    </row>
    <row r="10" spans="1:89" x14ac:dyDescent="0.3">
      <c r="A10" s="217"/>
      <c r="B10" s="221" t="s">
        <v>110</v>
      </c>
      <c r="C10" s="222">
        <v>565</v>
      </c>
      <c r="D10" s="271">
        <v>0.01</v>
      </c>
      <c r="E10" s="271">
        <v>0.25</v>
      </c>
      <c r="F10" s="271">
        <v>0.8</v>
      </c>
      <c r="G10" s="271">
        <v>0.8</v>
      </c>
      <c r="H10" s="270">
        <v>25</v>
      </c>
      <c r="I10" s="271">
        <f t="shared" si="0"/>
        <v>0.04</v>
      </c>
      <c r="J10" s="222" t="s">
        <v>191</v>
      </c>
      <c r="K10" s="221">
        <f t="shared" si="1"/>
        <v>0.22600000000000001</v>
      </c>
      <c r="L10" s="221">
        <f t="shared" si="2"/>
        <v>141.25</v>
      </c>
      <c r="M10" s="275">
        <f t="shared" si="3"/>
        <v>3.6159999999999997</v>
      </c>
      <c r="N10" s="217"/>
      <c r="O10" s="217"/>
      <c r="P10" s="217"/>
      <c r="Q10" s="217"/>
      <c r="R10" s="217"/>
      <c r="S10" s="217"/>
      <c r="T10" s="217"/>
      <c r="U10" s="217"/>
      <c r="V10" s="217"/>
      <c r="W10" s="217"/>
      <c r="X10" s="217"/>
      <c r="Y10" s="217"/>
      <c r="Z10" s="217"/>
      <c r="AA10" s="217"/>
      <c r="AB10" s="217"/>
      <c r="AC10" s="217"/>
      <c r="AD10" s="217"/>
      <c r="AE10" s="217"/>
      <c r="AF10" s="217"/>
      <c r="AG10" s="217"/>
      <c r="AH10" s="217"/>
      <c r="AI10" s="217"/>
      <c r="AJ10" s="217"/>
      <c r="AK10" s="217"/>
      <c r="AL10" s="217"/>
      <c r="AM10" s="217"/>
      <c r="AN10" s="217"/>
      <c r="AO10" s="217"/>
      <c r="AP10" s="217"/>
      <c r="AQ10" s="217"/>
      <c r="AR10" s="217"/>
      <c r="AS10" s="217"/>
      <c r="AT10" s="217"/>
      <c r="AU10" s="217"/>
      <c r="AV10" s="217"/>
      <c r="AW10" s="217"/>
      <c r="AX10" s="217"/>
      <c r="AY10" s="217"/>
      <c r="AZ10" s="217"/>
      <c r="BA10" s="217"/>
      <c r="BB10" s="217"/>
      <c r="BC10" s="217"/>
      <c r="BD10" s="217"/>
      <c r="BE10" s="217"/>
      <c r="BF10" s="217"/>
      <c r="BG10" s="217"/>
      <c r="BH10" s="217"/>
      <c r="BI10" s="217"/>
      <c r="BJ10" s="217"/>
      <c r="BK10" s="217"/>
      <c r="BL10" s="217"/>
      <c r="BM10" s="217"/>
      <c r="BN10" s="217"/>
      <c r="BO10" s="217"/>
      <c r="BP10" s="217"/>
      <c r="BQ10" s="217"/>
      <c r="BR10" s="217"/>
      <c r="BS10" s="217"/>
      <c r="BT10" s="217"/>
      <c r="BU10" s="217"/>
      <c r="BV10" s="217"/>
      <c r="BW10" s="217"/>
      <c r="BX10" s="217"/>
      <c r="BY10" s="217"/>
      <c r="BZ10" s="217"/>
      <c r="CA10" s="217"/>
      <c r="CB10" s="217"/>
      <c r="CC10" s="217"/>
      <c r="CD10" s="217"/>
      <c r="CE10" s="217"/>
      <c r="CF10" s="217"/>
      <c r="CG10" s="217"/>
      <c r="CH10" s="217"/>
      <c r="CI10" s="217"/>
      <c r="CJ10" s="217"/>
      <c r="CK10" s="217"/>
    </row>
    <row r="11" spans="1:89" x14ac:dyDescent="0.3">
      <c r="A11" s="217"/>
      <c r="B11" s="222" t="s">
        <v>111</v>
      </c>
      <c r="C11" s="281">
        <v>7546</v>
      </c>
      <c r="D11" s="271">
        <v>0.01</v>
      </c>
      <c r="E11" s="271">
        <v>0.25</v>
      </c>
      <c r="F11" s="271">
        <v>0.8</v>
      </c>
      <c r="G11" s="271">
        <v>0.8</v>
      </c>
      <c r="H11" s="270">
        <v>25</v>
      </c>
      <c r="I11" s="271">
        <f t="shared" si="0"/>
        <v>0.04</v>
      </c>
      <c r="J11" s="222" t="s">
        <v>191</v>
      </c>
      <c r="K11" s="222">
        <f t="shared" si="1"/>
        <v>3.0184000000000002</v>
      </c>
      <c r="L11" s="222">
        <f t="shared" si="2"/>
        <v>1886.5</v>
      </c>
      <c r="M11" s="282">
        <f t="shared" si="3"/>
        <v>48.294399999999996</v>
      </c>
      <c r="N11" s="217"/>
      <c r="O11" s="217"/>
      <c r="P11" s="217"/>
      <c r="Q11" s="217"/>
      <c r="R11" s="217"/>
      <c r="S11" s="217"/>
      <c r="T11" s="217"/>
      <c r="U11" s="217"/>
      <c r="V11" s="217"/>
      <c r="W11" s="217"/>
      <c r="X11" s="217"/>
      <c r="Y11" s="217"/>
      <c r="Z11" s="217"/>
      <c r="AA11" s="217"/>
      <c r="AB11" s="217"/>
      <c r="AC11" s="217"/>
      <c r="AD11" s="217"/>
      <c r="AE11" s="217"/>
      <c r="AF11" s="217"/>
      <c r="AG11" s="217"/>
      <c r="AH11" s="217"/>
      <c r="AI11" s="217"/>
      <c r="AJ11" s="217"/>
      <c r="AK11" s="217"/>
      <c r="AL11" s="217"/>
      <c r="AM11" s="217"/>
      <c r="AN11" s="217"/>
      <c r="AO11" s="217"/>
      <c r="AP11" s="217"/>
      <c r="AQ11" s="217"/>
      <c r="AR11" s="217"/>
      <c r="AS11" s="217"/>
      <c r="AT11" s="217"/>
      <c r="AU11" s="217"/>
      <c r="AV11" s="217"/>
      <c r="AW11" s="217"/>
      <c r="AX11" s="217"/>
      <c r="AY11" s="217"/>
      <c r="AZ11" s="217"/>
      <c r="BA11" s="217"/>
      <c r="BB11" s="217"/>
      <c r="BC11" s="217"/>
      <c r="BD11" s="217"/>
      <c r="BE11" s="217"/>
      <c r="BF11" s="217"/>
      <c r="BG11" s="217"/>
      <c r="BH11" s="217"/>
      <c r="BI11" s="217"/>
      <c r="BJ11" s="217"/>
      <c r="BK11" s="217"/>
      <c r="BL11" s="217"/>
      <c r="BM11" s="217"/>
      <c r="BN11" s="217"/>
      <c r="BO11" s="217"/>
      <c r="BP11" s="217"/>
      <c r="BQ11" s="217"/>
      <c r="BR11" s="217"/>
      <c r="BS11" s="217"/>
      <c r="BT11" s="217"/>
      <c r="BU11" s="217"/>
      <c r="BV11" s="217"/>
      <c r="BW11" s="217"/>
      <c r="BX11" s="217"/>
      <c r="BY11" s="217"/>
      <c r="BZ11" s="217"/>
      <c r="CA11" s="217"/>
      <c r="CB11" s="217"/>
      <c r="CC11" s="217"/>
      <c r="CD11" s="217"/>
      <c r="CE11" s="217"/>
      <c r="CF11" s="217"/>
      <c r="CG11" s="217"/>
      <c r="CH11" s="217"/>
      <c r="CI11" s="217"/>
      <c r="CJ11" s="217"/>
      <c r="CK11" s="217"/>
    </row>
    <row r="12" spans="1:89" x14ac:dyDescent="0.3">
      <c r="A12" s="217"/>
      <c r="B12" s="221" t="s">
        <v>112</v>
      </c>
      <c r="C12" s="222">
        <v>500</v>
      </c>
      <c r="D12" s="283">
        <v>5.0000000000000001E-3</v>
      </c>
      <c r="E12" s="271">
        <v>0.02</v>
      </c>
      <c r="F12" s="271">
        <v>0.95</v>
      </c>
      <c r="G12" s="271">
        <v>0.85</v>
      </c>
      <c r="H12" s="270">
        <v>23</v>
      </c>
      <c r="I12" s="271">
        <f t="shared" si="0"/>
        <v>4.3478260869565216E-2</v>
      </c>
      <c r="J12" s="222" t="s">
        <v>171</v>
      </c>
      <c r="K12" s="275">
        <f t="shared" si="1"/>
        <v>0.10869565217391305</v>
      </c>
      <c r="L12" s="221">
        <f t="shared" si="2"/>
        <v>10</v>
      </c>
      <c r="M12" s="284">
        <f t="shared" si="3"/>
        <v>3.097826086956522</v>
      </c>
      <c r="N12" s="217"/>
      <c r="O12" s="217"/>
      <c r="P12" s="217"/>
      <c r="Q12" s="217"/>
      <c r="R12" s="217"/>
      <c r="S12" s="217"/>
      <c r="T12" s="217"/>
      <c r="U12" s="217"/>
      <c r="V12" s="217"/>
      <c r="W12" s="217"/>
      <c r="X12" s="217"/>
      <c r="Y12" s="217"/>
      <c r="Z12" s="217"/>
      <c r="AA12" s="217"/>
      <c r="AB12" s="217"/>
      <c r="AC12" s="217"/>
      <c r="AD12" s="217"/>
      <c r="AE12" s="217"/>
      <c r="AF12" s="217"/>
      <c r="AG12" s="217"/>
      <c r="AH12" s="217"/>
      <c r="AI12" s="217"/>
      <c r="AJ12" s="217"/>
      <c r="AK12" s="217"/>
      <c r="AL12" s="217"/>
      <c r="AM12" s="217"/>
      <c r="AN12" s="217"/>
      <c r="AO12" s="217"/>
      <c r="AP12" s="217"/>
      <c r="AQ12" s="217"/>
      <c r="AR12" s="217"/>
      <c r="AS12" s="217"/>
      <c r="AT12" s="217"/>
      <c r="AU12" s="217"/>
      <c r="AV12" s="217"/>
      <c r="AW12" s="217"/>
      <c r="AX12" s="217"/>
      <c r="AY12" s="217"/>
      <c r="AZ12" s="217"/>
      <c r="BA12" s="217"/>
      <c r="BB12" s="217"/>
      <c r="BC12" s="217"/>
      <c r="BD12" s="217"/>
      <c r="BE12" s="217"/>
      <c r="BF12" s="217"/>
      <c r="BG12" s="217"/>
      <c r="BH12" s="217"/>
      <c r="BI12" s="217"/>
      <c r="BJ12" s="217"/>
      <c r="BK12" s="217"/>
      <c r="BL12" s="217"/>
      <c r="BM12" s="217"/>
      <c r="BN12" s="217"/>
      <c r="BO12" s="217"/>
      <c r="BP12" s="217"/>
      <c r="BQ12" s="217"/>
      <c r="BR12" s="217"/>
      <c r="BS12" s="217"/>
      <c r="BT12" s="217"/>
      <c r="BU12" s="217"/>
      <c r="BV12" s="217"/>
      <c r="BW12" s="217"/>
      <c r="BX12" s="217"/>
      <c r="BY12" s="217"/>
      <c r="BZ12" s="217"/>
      <c r="CA12" s="217"/>
      <c r="CB12" s="217"/>
      <c r="CC12" s="217"/>
      <c r="CD12" s="217"/>
      <c r="CE12" s="217"/>
      <c r="CF12" s="217"/>
      <c r="CG12" s="217"/>
      <c r="CH12" s="217"/>
      <c r="CI12" s="217"/>
      <c r="CJ12" s="217"/>
      <c r="CK12" s="217"/>
    </row>
    <row r="13" spans="1:89" ht="15" customHeight="1" x14ac:dyDescent="0.3">
      <c r="A13" s="217"/>
      <c r="B13" s="221" t="s">
        <v>610</v>
      </c>
      <c r="C13" s="222">
        <v>0.4</v>
      </c>
      <c r="D13" s="268">
        <v>0</v>
      </c>
      <c r="E13" s="271">
        <v>0.01</v>
      </c>
      <c r="F13" s="271">
        <v>0.9</v>
      </c>
      <c r="G13" s="271">
        <v>0.25</v>
      </c>
      <c r="H13" s="270">
        <v>10</v>
      </c>
      <c r="I13" s="271">
        <f t="shared" si="0"/>
        <v>0.1</v>
      </c>
      <c r="J13" s="222" t="s">
        <v>171</v>
      </c>
      <c r="K13" s="221">
        <f t="shared" si="1"/>
        <v>0</v>
      </c>
      <c r="L13" s="221">
        <f t="shared" si="2"/>
        <v>4.0000000000000001E-3</v>
      </c>
      <c r="M13" s="221">
        <f t="shared" si="3"/>
        <v>2.700000000000001E-2</v>
      </c>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7"/>
      <c r="BI13" s="217"/>
      <c r="BJ13" s="217"/>
      <c r="BK13" s="217"/>
      <c r="BL13" s="217"/>
      <c r="BM13" s="217"/>
      <c r="BN13" s="217"/>
      <c r="BO13" s="217"/>
      <c r="BP13" s="217"/>
      <c r="BQ13" s="217"/>
      <c r="BR13" s="217"/>
      <c r="BS13" s="217"/>
      <c r="BT13" s="217"/>
      <c r="BU13" s="217"/>
      <c r="BV13" s="217"/>
      <c r="BW13" s="217"/>
      <c r="BX13" s="217"/>
      <c r="BY13" s="217"/>
      <c r="BZ13" s="217"/>
      <c r="CA13" s="217"/>
      <c r="CB13" s="217"/>
      <c r="CC13" s="217"/>
      <c r="CD13" s="217"/>
      <c r="CE13" s="217"/>
      <c r="CF13" s="217"/>
      <c r="CG13" s="217"/>
      <c r="CH13" s="217"/>
      <c r="CI13" s="217"/>
      <c r="CJ13" s="217"/>
      <c r="CK13" s="217"/>
    </row>
    <row r="14" spans="1:89" x14ac:dyDescent="0.3">
      <c r="A14" s="217"/>
      <c r="B14" s="221" t="s">
        <v>612</v>
      </c>
      <c r="C14" s="222">
        <v>10</v>
      </c>
      <c r="D14" s="283">
        <v>0.02</v>
      </c>
      <c r="E14" s="271">
        <v>0.12</v>
      </c>
      <c r="F14" s="271">
        <v>0.9</v>
      </c>
      <c r="G14" s="271">
        <v>0.7</v>
      </c>
      <c r="H14" s="270">
        <v>20</v>
      </c>
      <c r="I14" s="271">
        <f t="shared" si="0"/>
        <v>0.05</v>
      </c>
      <c r="J14" s="222" t="s">
        <v>191</v>
      </c>
      <c r="K14" s="221">
        <f t="shared" si="1"/>
        <v>0.01</v>
      </c>
      <c r="L14" s="221">
        <f t="shared" si="2"/>
        <v>1.2</v>
      </c>
      <c r="M14" s="221">
        <f t="shared" si="3"/>
        <v>0.13500000000000004</v>
      </c>
      <c r="N14" s="217"/>
      <c r="O14" s="217"/>
      <c r="P14" s="217"/>
      <c r="Q14" s="217"/>
      <c r="R14" s="217"/>
      <c r="S14" s="217"/>
      <c r="T14" s="217"/>
      <c r="U14" s="217"/>
      <c r="V14" s="217"/>
      <c r="W14" s="217"/>
      <c r="X14" s="217"/>
      <c r="Y14" s="217"/>
      <c r="Z14" s="217"/>
      <c r="AA14" s="217"/>
      <c r="AB14" s="217"/>
      <c r="AC14" s="217"/>
      <c r="AD14" s="217"/>
      <c r="AE14" s="217"/>
      <c r="AF14" s="217"/>
      <c r="AG14" s="217"/>
      <c r="AH14" s="217"/>
      <c r="AI14" s="217"/>
      <c r="AJ14" s="217"/>
      <c r="AK14" s="217"/>
      <c r="AL14" s="217"/>
      <c r="AM14" s="217"/>
      <c r="AN14" s="217"/>
      <c r="AO14" s="217"/>
      <c r="AP14" s="217"/>
      <c r="AQ14" s="217"/>
      <c r="AR14" s="217"/>
      <c r="AS14" s="217"/>
      <c r="AT14" s="217"/>
      <c r="AU14" s="217"/>
      <c r="AV14" s="217"/>
      <c r="AW14" s="217"/>
      <c r="AX14" s="217"/>
      <c r="AY14" s="217"/>
      <c r="AZ14" s="217"/>
      <c r="BA14" s="217"/>
      <c r="BB14" s="217"/>
      <c r="BC14" s="217"/>
      <c r="BD14" s="217"/>
      <c r="BE14" s="217"/>
      <c r="BF14" s="217"/>
      <c r="BG14" s="217"/>
      <c r="BH14" s="217"/>
      <c r="BI14" s="217"/>
      <c r="BJ14" s="217"/>
      <c r="BK14" s="217"/>
      <c r="BL14" s="217"/>
      <c r="BM14" s="217"/>
      <c r="BN14" s="217"/>
      <c r="BO14" s="217"/>
      <c r="BP14" s="217"/>
      <c r="BQ14" s="217"/>
      <c r="BR14" s="217"/>
      <c r="BS14" s="217"/>
      <c r="BT14" s="217"/>
      <c r="BU14" s="217"/>
      <c r="BV14" s="217"/>
      <c r="BW14" s="217"/>
      <c r="BX14" s="217"/>
      <c r="BY14" s="217"/>
      <c r="BZ14" s="217"/>
      <c r="CA14" s="217"/>
      <c r="CB14" s="217"/>
      <c r="CC14" s="217"/>
      <c r="CD14" s="217"/>
      <c r="CE14" s="217"/>
      <c r="CF14" s="217"/>
      <c r="CG14" s="217"/>
      <c r="CH14" s="217"/>
      <c r="CI14" s="217"/>
      <c r="CJ14" s="217"/>
      <c r="CK14" s="217"/>
    </row>
    <row r="15" spans="1:89" x14ac:dyDescent="0.3">
      <c r="A15" s="217"/>
      <c r="B15" s="221" t="s">
        <v>614</v>
      </c>
      <c r="C15" s="281">
        <v>1360</v>
      </c>
      <c r="D15" s="283">
        <v>0.02</v>
      </c>
      <c r="E15" s="271">
        <v>0.25</v>
      </c>
      <c r="F15" s="271">
        <v>0.9</v>
      </c>
      <c r="G15" s="271">
        <v>0.85</v>
      </c>
      <c r="H15" s="270">
        <v>18</v>
      </c>
      <c r="I15" s="271">
        <f t="shared" si="0"/>
        <v>5.5555555555555552E-2</v>
      </c>
      <c r="J15" s="222" t="s">
        <v>191</v>
      </c>
      <c r="K15" s="275">
        <f t="shared" ref="K15" si="4">C15*I15*D15</f>
        <v>1.5111111111111111</v>
      </c>
      <c r="L15" s="221">
        <f t="shared" ref="L15" si="5">C15*E15</f>
        <v>340</v>
      </c>
      <c r="M15" s="275">
        <f t="shared" ref="M15" si="6">C15*I15*F15*(1-G15)</f>
        <v>10.200000000000001</v>
      </c>
      <c r="N15" s="217"/>
      <c r="O15" s="217"/>
      <c r="P15" s="217"/>
      <c r="Q15" s="217"/>
      <c r="R15" s="217"/>
      <c r="S15" s="217"/>
      <c r="T15" s="217"/>
      <c r="U15" s="217"/>
      <c r="V15" s="217"/>
      <c r="W15" s="217"/>
      <c r="X15" s="217"/>
      <c r="Y15" s="217"/>
      <c r="Z15" s="217"/>
      <c r="AA15" s="217"/>
      <c r="AB15" s="217"/>
      <c r="AC15" s="217"/>
      <c r="AD15" s="217"/>
      <c r="AE15" s="217"/>
      <c r="AF15" s="217"/>
      <c r="AG15" s="217"/>
      <c r="AH15" s="217"/>
      <c r="AI15" s="217"/>
      <c r="AJ15" s="217"/>
      <c r="AK15" s="217"/>
      <c r="AL15" s="217"/>
      <c r="AM15" s="217"/>
      <c r="AN15" s="217"/>
      <c r="AO15" s="217"/>
      <c r="AP15" s="217"/>
      <c r="AQ15" s="217"/>
      <c r="AR15" s="217"/>
      <c r="AS15" s="217"/>
      <c r="AT15" s="217"/>
      <c r="AU15" s="217"/>
      <c r="AV15" s="217"/>
      <c r="AW15" s="217"/>
      <c r="AX15" s="217"/>
      <c r="AY15" s="217"/>
      <c r="AZ15" s="217"/>
      <c r="BA15" s="217"/>
      <c r="BB15" s="217"/>
      <c r="BC15" s="217"/>
      <c r="BD15" s="217"/>
      <c r="BE15" s="217"/>
      <c r="BF15" s="217"/>
      <c r="BG15" s="217"/>
      <c r="BH15" s="217"/>
      <c r="BI15" s="217"/>
      <c r="BJ15" s="217"/>
      <c r="BK15" s="217"/>
      <c r="BL15" s="217"/>
      <c r="BM15" s="217"/>
      <c r="BN15" s="217"/>
      <c r="BO15" s="217"/>
      <c r="BP15" s="217"/>
      <c r="BQ15" s="217"/>
      <c r="BR15" s="217"/>
      <c r="BS15" s="217"/>
      <c r="BT15" s="217"/>
      <c r="BU15" s="217"/>
      <c r="BV15" s="217"/>
      <c r="BW15" s="217"/>
      <c r="BX15" s="217"/>
      <c r="BY15" s="217"/>
      <c r="BZ15" s="217"/>
      <c r="CA15" s="217"/>
      <c r="CB15" s="217"/>
      <c r="CC15" s="217"/>
      <c r="CD15" s="217"/>
      <c r="CE15" s="217"/>
      <c r="CF15" s="217"/>
      <c r="CG15" s="217"/>
      <c r="CH15" s="217"/>
      <c r="CI15" s="217"/>
      <c r="CJ15" s="217"/>
      <c r="CK15" s="217"/>
    </row>
    <row r="16" spans="1:89" ht="15" customHeight="1" x14ac:dyDescent="0.3">
      <c r="A16" s="217"/>
      <c r="B16" s="221" t="s">
        <v>616</v>
      </c>
      <c r="C16" s="222">
        <v>6</v>
      </c>
      <c r="D16" s="268">
        <v>0</v>
      </c>
      <c r="E16" s="271">
        <v>0.2</v>
      </c>
      <c r="F16" s="271">
        <v>0.5</v>
      </c>
      <c r="G16" s="271">
        <v>0.6</v>
      </c>
      <c r="H16" s="270">
        <v>12</v>
      </c>
      <c r="I16" s="271">
        <f t="shared" si="0"/>
        <v>8.3333333333333329E-2</v>
      </c>
      <c r="J16" s="222" t="s">
        <v>171</v>
      </c>
      <c r="K16" s="221">
        <f t="shared" si="1"/>
        <v>0</v>
      </c>
      <c r="L16" s="221">
        <f t="shared" si="2"/>
        <v>1.2000000000000002</v>
      </c>
      <c r="M16" s="221">
        <f t="shared" si="3"/>
        <v>0.1</v>
      </c>
      <c r="N16" s="217"/>
      <c r="O16" s="217"/>
      <c r="P16" s="217"/>
      <c r="Q16" s="217"/>
      <c r="R16" s="217"/>
      <c r="S16" s="217"/>
      <c r="T16" s="217"/>
      <c r="U16" s="217"/>
      <c r="V16" s="217"/>
      <c r="W16" s="217"/>
      <c r="X16" s="217"/>
      <c r="Y16" s="217"/>
      <c r="Z16" s="217"/>
      <c r="AA16" s="217"/>
      <c r="AB16" s="217"/>
      <c r="AC16" s="217"/>
      <c r="AD16" s="217"/>
      <c r="AE16" s="217"/>
      <c r="AF16" s="217"/>
      <c r="AG16" s="217"/>
      <c r="AH16" s="217"/>
      <c r="AI16" s="217"/>
      <c r="AJ16" s="217"/>
      <c r="AK16" s="217"/>
      <c r="AL16" s="217"/>
      <c r="AM16" s="217"/>
      <c r="AN16" s="217"/>
      <c r="AO16" s="217"/>
      <c r="AP16" s="217"/>
      <c r="AQ16" s="217"/>
      <c r="AR16" s="217"/>
      <c r="AS16" s="217"/>
      <c r="AT16" s="217"/>
      <c r="AU16" s="217"/>
      <c r="AV16" s="217"/>
      <c r="AW16" s="217"/>
      <c r="AX16" s="217"/>
      <c r="AY16" s="217"/>
      <c r="AZ16" s="217"/>
      <c r="BA16" s="217"/>
      <c r="BB16" s="217"/>
      <c r="BC16" s="217"/>
      <c r="BD16" s="217"/>
      <c r="BE16" s="217"/>
      <c r="BF16" s="217"/>
      <c r="BG16" s="217"/>
      <c r="BH16" s="217"/>
      <c r="BI16" s="217"/>
      <c r="BJ16" s="217"/>
      <c r="BK16" s="217"/>
      <c r="BL16" s="217"/>
      <c r="BM16" s="217"/>
      <c r="BN16" s="217"/>
      <c r="BO16" s="217"/>
      <c r="BP16" s="217"/>
      <c r="BQ16" s="217"/>
      <c r="BR16" s="217"/>
      <c r="BS16" s="217"/>
      <c r="BT16" s="217"/>
      <c r="BU16" s="217"/>
      <c r="BV16" s="217"/>
      <c r="BW16" s="217"/>
      <c r="BX16" s="217"/>
      <c r="BY16" s="217"/>
      <c r="BZ16" s="217"/>
      <c r="CA16" s="217"/>
      <c r="CB16" s="217"/>
      <c r="CC16" s="217"/>
      <c r="CD16" s="217"/>
      <c r="CE16" s="217"/>
      <c r="CF16" s="217"/>
      <c r="CG16" s="217"/>
      <c r="CH16" s="217"/>
      <c r="CI16" s="217"/>
      <c r="CJ16" s="217"/>
      <c r="CK16" s="217"/>
    </row>
    <row r="17" spans="1:89" x14ac:dyDescent="0.3">
      <c r="A17" s="217"/>
      <c r="B17" s="221" t="s">
        <v>618</v>
      </c>
      <c r="C17" s="222">
        <v>6</v>
      </c>
      <c r="D17" s="268">
        <v>0</v>
      </c>
      <c r="E17" s="271">
        <v>0.2</v>
      </c>
      <c r="F17" s="271">
        <v>0.5</v>
      </c>
      <c r="G17" s="271">
        <v>0.6</v>
      </c>
      <c r="H17" s="270">
        <v>12</v>
      </c>
      <c r="I17" s="271">
        <f t="shared" si="0"/>
        <v>8.3333333333333329E-2</v>
      </c>
      <c r="J17" s="222" t="s">
        <v>171</v>
      </c>
      <c r="K17" s="221">
        <f t="shared" si="1"/>
        <v>0</v>
      </c>
      <c r="L17" s="221">
        <f t="shared" si="2"/>
        <v>1.2000000000000002</v>
      </c>
      <c r="M17" s="221">
        <f t="shared" si="3"/>
        <v>0.1</v>
      </c>
      <c r="N17" s="217"/>
      <c r="O17" s="217"/>
      <c r="P17" s="217"/>
      <c r="Q17" s="217"/>
      <c r="R17" s="217"/>
      <c r="S17" s="217"/>
      <c r="T17" s="217"/>
      <c r="U17" s="217"/>
      <c r="V17" s="217"/>
      <c r="W17" s="217"/>
      <c r="X17" s="217"/>
      <c r="Y17" s="217"/>
      <c r="Z17" s="217"/>
      <c r="AA17" s="217"/>
      <c r="AB17" s="217"/>
      <c r="AC17" s="217"/>
      <c r="AD17" s="217"/>
      <c r="AE17" s="217"/>
      <c r="AF17" s="217"/>
      <c r="AG17" s="217"/>
      <c r="AH17" s="217"/>
      <c r="AI17" s="217"/>
      <c r="AJ17" s="217"/>
      <c r="AK17" s="217"/>
      <c r="AL17" s="217"/>
      <c r="AM17" s="217"/>
      <c r="AN17" s="217"/>
      <c r="AO17" s="217"/>
      <c r="AP17" s="217"/>
      <c r="AQ17" s="217"/>
      <c r="AR17" s="217"/>
      <c r="AS17" s="217"/>
      <c r="AT17" s="217"/>
      <c r="AU17" s="217"/>
      <c r="AV17" s="217"/>
      <c r="AW17" s="217"/>
      <c r="AX17" s="217"/>
      <c r="AY17" s="217"/>
      <c r="AZ17" s="217"/>
      <c r="BA17" s="217"/>
      <c r="BB17" s="217"/>
      <c r="BC17" s="217"/>
      <c r="BD17" s="217"/>
      <c r="BE17" s="217"/>
      <c r="BF17" s="217"/>
      <c r="BG17" s="217"/>
      <c r="BH17" s="217"/>
      <c r="BI17" s="217"/>
      <c r="BJ17" s="217"/>
      <c r="BK17" s="217"/>
      <c r="BL17" s="217"/>
      <c r="BM17" s="217"/>
      <c r="BN17" s="217"/>
      <c r="BO17" s="217"/>
      <c r="BP17" s="217"/>
      <c r="BQ17" s="217"/>
      <c r="BR17" s="217"/>
      <c r="BS17" s="217"/>
      <c r="BT17" s="217"/>
      <c r="BU17" s="217"/>
      <c r="BV17" s="217"/>
      <c r="BW17" s="217"/>
      <c r="BX17" s="217"/>
      <c r="BY17" s="217"/>
      <c r="BZ17" s="217"/>
      <c r="CA17" s="217"/>
      <c r="CB17" s="217"/>
      <c r="CC17" s="217"/>
      <c r="CD17" s="217"/>
      <c r="CE17" s="217"/>
      <c r="CF17" s="217"/>
      <c r="CG17" s="217"/>
      <c r="CH17" s="217"/>
      <c r="CI17" s="217"/>
      <c r="CJ17" s="217"/>
      <c r="CK17" s="217"/>
    </row>
    <row r="18" spans="1:89" x14ac:dyDescent="0.3">
      <c r="A18" s="217"/>
      <c r="B18" s="221" t="s">
        <v>620</v>
      </c>
      <c r="C18" s="222">
        <v>0.6</v>
      </c>
      <c r="D18" s="268">
        <v>0</v>
      </c>
      <c r="E18" s="283">
        <f>6.6%+2.3%</f>
        <v>8.8999999999999996E-2</v>
      </c>
      <c r="F18" s="271">
        <v>0.5</v>
      </c>
      <c r="G18" s="271">
        <v>0.2</v>
      </c>
      <c r="H18" s="270">
        <v>12</v>
      </c>
      <c r="I18" s="271">
        <f t="shared" si="0"/>
        <v>8.3333333333333329E-2</v>
      </c>
      <c r="J18" s="222" t="s">
        <v>171</v>
      </c>
      <c r="K18" s="272">
        <f t="shared" si="1"/>
        <v>0</v>
      </c>
      <c r="L18" s="221">
        <f t="shared" si="2"/>
        <v>5.3399999999999996E-2</v>
      </c>
      <c r="M18" s="221">
        <f t="shared" si="3"/>
        <v>0.02</v>
      </c>
      <c r="N18" s="217"/>
      <c r="O18" s="217"/>
      <c r="P18" s="217"/>
      <c r="Q18" s="217"/>
      <c r="R18" s="217"/>
      <c r="S18" s="217"/>
      <c r="T18" s="217"/>
      <c r="U18" s="217"/>
      <c r="V18" s="217"/>
      <c r="W18" s="217"/>
      <c r="X18" s="217"/>
      <c r="Y18" s="217"/>
      <c r="Z18" s="217"/>
      <c r="AA18" s="217"/>
      <c r="AB18" s="217"/>
      <c r="AC18" s="217"/>
      <c r="AD18" s="217"/>
      <c r="AE18" s="217"/>
      <c r="AF18" s="217"/>
      <c r="AG18" s="217"/>
      <c r="AH18" s="217"/>
      <c r="AI18" s="217"/>
      <c r="AJ18" s="217"/>
      <c r="AK18" s="217"/>
      <c r="AL18" s="217"/>
      <c r="AM18" s="217"/>
      <c r="AN18" s="217"/>
      <c r="AO18" s="217"/>
      <c r="AP18" s="217"/>
      <c r="AQ18" s="217"/>
      <c r="AR18" s="217"/>
      <c r="AS18" s="217"/>
      <c r="AT18" s="217"/>
      <c r="AU18" s="217"/>
      <c r="AV18" s="217"/>
      <c r="AW18" s="217"/>
      <c r="AX18" s="217"/>
      <c r="AY18" s="217"/>
      <c r="AZ18" s="217"/>
      <c r="BA18" s="217"/>
      <c r="BB18" s="217"/>
      <c r="BC18" s="217"/>
      <c r="BD18" s="217"/>
      <c r="BE18" s="217"/>
      <c r="BF18" s="217"/>
      <c r="BG18" s="217"/>
      <c r="BH18" s="217"/>
      <c r="BI18" s="217"/>
      <c r="BJ18" s="217"/>
      <c r="BK18" s="217"/>
      <c r="BL18" s="217"/>
      <c r="BM18" s="217"/>
      <c r="BN18" s="217"/>
      <c r="BO18" s="217"/>
      <c r="BP18" s="217"/>
      <c r="BQ18" s="217"/>
      <c r="BR18" s="217"/>
      <c r="BS18" s="217"/>
      <c r="BT18" s="217"/>
      <c r="BU18" s="217"/>
      <c r="BV18" s="217"/>
      <c r="BW18" s="217"/>
      <c r="BX18" s="217"/>
      <c r="BY18" s="217"/>
      <c r="BZ18" s="217"/>
      <c r="CA18" s="217"/>
      <c r="CB18" s="217"/>
      <c r="CC18" s="217"/>
      <c r="CD18" s="217"/>
      <c r="CE18" s="217"/>
      <c r="CF18" s="217"/>
      <c r="CG18" s="217"/>
      <c r="CH18" s="217"/>
      <c r="CI18" s="217"/>
      <c r="CJ18" s="217"/>
      <c r="CK18" s="217"/>
    </row>
    <row r="19" spans="1:89" x14ac:dyDescent="0.3">
      <c r="A19" s="217"/>
      <c r="B19" s="221" t="s">
        <v>621</v>
      </c>
      <c r="C19" s="222">
        <v>0.8</v>
      </c>
      <c r="D19" s="268">
        <v>0</v>
      </c>
      <c r="E19" s="283">
        <f>6.6%+2.3%</f>
        <v>8.8999999999999996E-2</v>
      </c>
      <c r="F19" s="271">
        <v>0.5</v>
      </c>
      <c r="G19" s="271">
        <v>0.2</v>
      </c>
      <c r="H19" s="270">
        <v>12</v>
      </c>
      <c r="I19" s="271">
        <f t="shared" si="0"/>
        <v>8.3333333333333329E-2</v>
      </c>
      <c r="J19" s="222" t="s">
        <v>171</v>
      </c>
      <c r="K19" s="272">
        <f t="shared" si="1"/>
        <v>0</v>
      </c>
      <c r="L19" s="221">
        <f t="shared" si="2"/>
        <v>7.1199999999999999E-2</v>
      </c>
      <c r="M19" s="272">
        <f t="shared" si="3"/>
        <v>2.6666666666666668E-2</v>
      </c>
      <c r="N19" s="217"/>
      <c r="O19" s="217"/>
      <c r="P19" s="217"/>
      <c r="Q19" s="217"/>
      <c r="R19" s="217"/>
      <c r="S19" s="217"/>
      <c r="T19" s="217"/>
      <c r="U19" s="217"/>
      <c r="V19" s="217"/>
      <c r="W19" s="217"/>
      <c r="X19" s="217"/>
      <c r="Y19" s="217"/>
      <c r="Z19" s="217"/>
      <c r="AA19" s="217"/>
      <c r="AB19" s="217"/>
      <c r="AC19" s="217"/>
      <c r="AD19" s="217"/>
      <c r="AE19" s="217"/>
      <c r="AF19" s="217"/>
      <c r="AG19" s="217"/>
      <c r="AH19" s="217"/>
      <c r="AI19" s="217"/>
      <c r="AJ19" s="217"/>
      <c r="AK19" s="217"/>
      <c r="AL19" s="217"/>
      <c r="AM19" s="217"/>
      <c r="AN19" s="217"/>
      <c r="AO19" s="217"/>
      <c r="AP19" s="217"/>
      <c r="AQ19" s="217"/>
      <c r="AR19" s="217"/>
      <c r="AS19" s="217"/>
      <c r="AT19" s="217"/>
      <c r="AU19" s="217"/>
      <c r="AV19" s="217"/>
      <c r="AW19" s="217"/>
      <c r="AX19" s="217"/>
      <c r="AY19" s="217"/>
      <c r="AZ19" s="217"/>
      <c r="BA19" s="217"/>
      <c r="BB19" s="217"/>
      <c r="BC19" s="217"/>
      <c r="BD19" s="217"/>
      <c r="BE19" s="217"/>
      <c r="BF19" s="217"/>
      <c r="BG19" s="217"/>
      <c r="BH19" s="217"/>
      <c r="BI19" s="217"/>
      <c r="BJ19" s="217"/>
      <c r="BK19" s="217"/>
      <c r="BL19" s="217"/>
      <c r="BM19" s="217"/>
      <c r="BN19" s="217"/>
      <c r="BO19" s="217"/>
      <c r="BP19" s="217"/>
      <c r="BQ19" s="217"/>
      <c r="BR19" s="217"/>
      <c r="BS19" s="217"/>
      <c r="BT19" s="217"/>
      <c r="BU19" s="217"/>
      <c r="BV19" s="217"/>
      <c r="BW19" s="217"/>
      <c r="BX19" s="217"/>
      <c r="BY19" s="217"/>
      <c r="BZ19" s="217"/>
      <c r="CA19" s="217"/>
      <c r="CB19" s="217"/>
      <c r="CC19" s="217"/>
      <c r="CD19" s="217"/>
      <c r="CE19" s="217"/>
      <c r="CF19" s="217"/>
      <c r="CG19" s="217"/>
      <c r="CH19" s="217"/>
      <c r="CI19" s="217"/>
      <c r="CJ19" s="217"/>
      <c r="CK19" s="217"/>
    </row>
    <row r="20" spans="1:89" x14ac:dyDescent="0.3">
      <c r="A20" s="217"/>
      <c r="B20" s="221" t="s">
        <v>622</v>
      </c>
      <c r="C20" s="222">
        <v>5</v>
      </c>
      <c r="D20" s="268">
        <v>0</v>
      </c>
      <c r="E20" s="271">
        <v>0.1</v>
      </c>
      <c r="F20" s="271">
        <v>0.5</v>
      </c>
      <c r="G20" s="271">
        <v>0.4</v>
      </c>
      <c r="H20" s="270">
        <v>12</v>
      </c>
      <c r="I20" s="271">
        <f t="shared" si="0"/>
        <v>8.3333333333333329E-2</v>
      </c>
      <c r="J20" s="222" t="s">
        <v>171</v>
      </c>
      <c r="K20" s="272">
        <f t="shared" si="1"/>
        <v>0</v>
      </c>
      <c r="L20" s="221">
        <f t="shared" si="2"/>
        <v>0.5</v>
      </c>
      <c r="M20" s="275">
        <f t="shared" si="3"/>
        <v>0.12499999999999999</v>
      </c>
      <c r="N20" s="217"/>
      <c r="O20" s="217"/>
      <c r="P20" s="217"/>
      <c r="Q20" s="217"/>
      <c r="R20" s="217"/>
      <c r="S20" s="217"/>
      <c r="T20" s="217"/>
      <c r="U20" s="217"/>
      <c r="V20" s="217"/>
      <c r="W20" s="217"/>
      <c r="X20" s="217"/>
      <c r="Y20" s="217"/>
      <c r="Z20" s="217"/>
      <c r="AA20" s="217"/>
      <c r="AB20" s="217"/>
      <c r="AC20" s="217"/>
      <c r="AD20" s="217"/>
      <c r="AE20" s="217"/>
      <c r="AF20" s="217"/>
      <c r="AG20" s="217"/>
      <c r="AH20" s="217"/>
      <c r="AI20" s="217"/>
      <c r="AJ20" s="217"/>
      <c r="AK20" s="217"/>
      <c r="AL20" s="217"/>
      <c r="AM20" s="217"/>
      <c r="AN20" s="217"/>
      <c r="AO20" s="217"/>
      <c r="AP20" s="217"/>
      <c r="AQ20" s="217"/>
      <c r="AR20" s="217"/>
      <c r="AS20" s="217"/>
      <c r="AT20" s="217"/>
      <c r="AU20" s="217"/>
      <c r="AV20" s="217"/>
      <c r="AW20" s="217"/>
      <c r="AX20" s="217"/>
      <c r="AY20" s="217"/>
      <c r="AZ20" s="217"/>
      <c r="BA20" s="217"/>
      <c r="BB20" s="217"/>
      <c r="BC20" s="217"/>
      <c r="BD20" s="217"/>
      <c r="BE20" s="217"/>
      <c r="BF20" s="217"/>
      <c r="BG20" s="217"/>
      <c r="BH20" s="217"/>
      <c r="BI20" s="217"/>
      <c r="BJ20" s="217"/>
      <c r="BK20" s="217"/>
      <c r="BL20" s="217"/>
      <c r="BM20" s="217"/>
      <c r="BN20" s="217"/>
      <c r="BO20" s="217"/>
      <c r="BP20" s="217"/>
      <c r="BQ20" s="217"/>
      <c r="BR20" s="217"/>
      <c r="BS20" s="217"/>
      <c r="BT20" s="217"/>
      <c r="BU20" s="217"/>
      <c r="BV20" s="217"/>
      <c r="BW20" s="217"/>
      <c r="BX20" s="217"/>
      <c r="BY20" s="217"/>
      <c r="BZ20" s="217"/>
      <c r="CA20" s="217"/>
      <c r="CB20" s="217"/>
      <c r="CC20" s="217"/>
      <c r="CD20" s="217"/>
      <c r="CE20" s="217"/>
      <c r="CF20" s="217"/>
      <c r="CG20" s="217"/>
      <c r="CH20" s="217"/>
      <c r="CI20" s="217"/>
      <c r="CJ20" s="217"/>
      <c r="CK20" s="217"/>
    </row>
    <row r="21" spans="1:89" x14ac:dyDescent="0.3">
      <c r="A21" s="217"/>
      <c r="B21" s="217"/>
      <c r="C21" s="217"/>
      <c r="D21" s="217"/>
      <c r="E21" s="217"/>
      <c r="F21" s="217"/>
      <c r="G21" s="217"/>
      <c r="H21" s="217"/>
      <c r="I21" s="217"/>
      <c r="J21" s="217"/>
      <c r="K21" s="217"/>
      <c r="L21" s="217"/>
      <c r="M21" s="217"/>
      <c r="N21" s="217"/>
      <c r="O21" s="217"/>
      <c r="P21" s="217"/>
      <c r="Q21" s="217"/>
      <c r="R21" s="217"/>
      <c r="S21" s="217"/>
      <c r="T21" s="217"/>
      <c r="U21" s="217"/>
      <c r="V21" s="217"/>
      <c r="W21" s="217"/>
      <c r="X21" s="217"/>
      <c r="Y21" s="217"/>
      <c r="Z21" s="217"/>
      <c r="AA21" s="217"/>
      <c r="AB21" s="217"/>
      <c r="AC21" s="217"/>
      <c r="AD21" s="217"/>
      <c r="AE21" s="217"/>
      <c r="AF21" s="217"/>
      <c r="AG21" s="217"/>
      <c r="AH21" s="217"/>
      <c r="AI21" s="217"/>
      <c r="AJ21" s="217"/>
      <c r="AK21" s="217"/>
      <c r="AL21" s="217"/>
      <c r="AM21" s="217"/>
      <c r="AN21" s="217"/>
      <c r="AO21" s="217"/>
      <c r="AP21" s="217"/>
      <c r="AQ21" s="217"/>
      <c r="AR21" s="217"/>
      <c r="AS21" s="217"/>
      <c r="AT21" s="217"/>
      <c r="AU21" s="217"/>
      <c r="AV21" s="217"/>
      <c r="AW21" s="217"/>
      <c r="AX21" s="217"/>
      <c r="AY21" s="217"/>
      <c r="AZ21" s="217"/>
      <c r="BA21" s="217"/>
      <c r="BB21" s="217"/>
      <c r="BC21" s="217"/>
      <c r="BD21" s="217"/>
      <c r="BE21" s="217"/>
      <c r="BF21" s="217"/>
      <c r="BG21" s="217"/>
      <c r="BH21" s="217"/>
      <c r="BI21" s="217"/>
      <c r="BJ21" s="217"/>
      <c r="BK21" s="217"/>
      <c r="BL21" s="217"/>
      <c r="BM21" s="217"/>
      <c r="BN21" s="217"/>
      <c r="BO21" s="217"/>
      <c r="BP21" s="217"/>
      <c r="BQ21" s="217"/>
      <c r="BR21" s="217"/>
      <c r="BS21" s="217"/>
      <c r="BT21" s="217"/>
      <c r="BU21" s="217"/>
      <c r="BV21" s="217"/>
      <c r="BW21" s="217"/>
      <c r="BX21" s="217"/>
      <c r="BY21" s="217"/>
      <c r="BZ21" s="217"/>
      <c r="CA21" s="217"/>
      <c r="CB21" s="217"/>
      <c r="CC21" s="217"/>
      <c r="CD21" s="217"/>
      <c r="CE21" s="217"/>
      <c r="CF21" s="217"/>
      <c r="CG21" s="217"/>
      <c r="CH21" s="217"/>
      <c r="CI21" s="217"/>
      <c r="CJ21" s="217"/>
      <c r="CK21" s="217"/>
    </row>
    <row r="22" spans="1:89" x14ac:dyDescent="0.3">
      <c r="A22" s="217"/>
      <c r="B22" s="217"/>
      <c r="C22" s="217"/>
      <c r="D22" s="428" t="s">
        <v>752</v>
      </c>
      <c r="E22" s="427"/>
      <c r="H22" s="217"/>
      <c r="I22" s="217"/>
      <c r="J22" s="217"/>
      <c r="K22" s="217"/>
      <c r="L22" s="217"/>
      <c r="M22" s="217" t="s">
        <v>742</v>
      </c>
      <c r="N22" s="217"/>
      <c r="O22" s="217"/>
      <c r="P22" s="217"/>
      <c r="Q22" s="217"/>
      <c r="R22" s="217"/>
      <c r="S22" s="217"/>
      <c r="T22" s="217"/>
      <c r="U22" s="217"/>
      <c r="V22" s="217"/>
      <c r="W22" s="217"/>
      <c r="X22" s="217"/>
      <c r="Y22" s="217"/>
      <c r="Z22" s="217"/>
      <c r="AA22" s="217"/>
      <c r="AB22" s="217"/>
      <c r="AC22" s="217"/>
      <c r="AD22" s="217"/>
      <c r="AE22" s="217"/>
      <c r="AF22" s="217"/>
      <c r="AG22" s="217"/>
      <c r="AH22" s="217"/>
      <c r="AI22" s="217"/>
      <c r="AJ22" s="217"/>
      <c r="AK22" s="217"/>
      <c r="AL22" s="217"/>
      <c r="AM22" s="217"/>
      <c r="AN22" s="217"/>
      <c r="AO22" s="217"/>
      <c r="AP22" s="217"/>
      <c r="AQ22" s="217"/>
      <c r="AR22" s="217"/>
      <c r="AS22" s="217"/>
      <c r="AT22" s="217"/>
      <c r="AU22" s="217"/>
      <c r="AV22" s="217"/>
      <c r="AW22" s="217"/>
      <c r="AX22" s="217"/>
      <c r="AY22" s="217"/>
      <c r="AZ22" s="217"/>
      <c r="BA22" s="217"/>
      <c r="BB22" s="217"/>
      <c r="BC22" s="217"/>
      <c r="BD22" s="217"/>
      <c r="BE22" s="217"/>
      <c r="BF22" s="217"/>
      <c r="BG22" s="217"/>
      <c r="BH22" s="217"/>
      <c r="BI22" s="217"/>
      <c r="BJ22" s="217"/>
      <c r="BK22" s="217"/>
      <c r="BL22" s="217"/>
      <c r="BM22" s="217"/>
      <c r="BN22" s="217"/>
      <c r="BO22" s="217"/>
      <c r="BP22" s="217"/>
      <c r="BQ22" s="217"/>
      <c r="BR22" s="217"/>
      <c r="BS22" s="217"/>
      <c r="BT22" s="217"/>
      <c r="BU22" s="217"/>
      <c r="BV22" s="217"/>
      <c r="BW22" s="217"/>
      <c r="BX22" s="217"/>
      <c r="BY22" s="217"/>
      <c r="BZ22" s="217"/>
      <c r="CA22" s="217"/>
      <c r="CB22" s="217"/>
      <c r="CC22" s="217"/>
      <c r="CD22" s="217"/>
      <c r="CE22" s="217"/>
      <c r="CF22" s="217"/>
      <c r="CG22" s="217"/>
      <c r="CH22" s="217"/>
      <c r="CI22" s="217"/>
      <c r="CJ22" s="217"/>
      <c r="CK22" s="217"/>
    </row>
    <row r="23" spans="1:89" x14ac:dyDescent="0.3">
      <c r="A23" s="217"/>
      <c r="B23" s="223" t="s">
        <v>294</v>
      </c>
      <c r="C23" s="217"/>
      <c r="D23" s="217"/>
      <c r="E23" s="217"/>
      <c r="F23" s="217"/>
      <c r="G23" s="217"/>
      <c r="H23" s="217"/>
      <c r="I23" s="563" t="s">
        <v>356</v>
      </c>
      <c r="J23" s="563"/>
      <c r="K23" s="563"/>
      <c r="L23" s="217"/>
      <c r="M23" s="459" t="s">
        <v>739</v>
      </c>
      <c r="N23" s="459" t="s">
        <v>739</v>
      </c>
      <c r="O23" s="459" t="s">
        <v>739</v>
      </c>
      <c r="P23" s="459" t="s">
        <v>739</v>
      </c>
      <c r="Q23" s="458" t="s">
        <v>740</v>
      </c>
      <c r="R23" s="458" t="s">
        <v>740</v>
      </c>
      <c r="S23" s="458" t="s">
        <v>740</v>
      </c>
      <c r="T23" s="458" t="s">
        <v>740</v>
      </c>
      <c r="U23" s="459" t="s">
        <v>739</v>
      </c>
      <c r="V23" s="459" t="s">
        <v>739</v>
      </c>
      <c r="W23" s="458" t="s">
        <v>740</v>
      </c>
      <c r="X23" s="217"/>
      <c r="Y23" s="217"/>
      <c r="Z23" s="217"/>
      <c r="AA23" s="217"/>
      <c r="AB23" s="217"/>
      <c r="AC23" s="217"/>
      <c r="AD23" s="217"/>
      <c r="AE23" s="217"/>
      <c r="AF23" s="217"/>
      <c r="AG23" s="217"/>
      <c r="AH23" s="217"/>
      <c r="AI23" s="217"/>
      <c r="AJ23" s="217"/>
      <c r="AK23" s="217"/>
      <c r="AL23" s="217"/>
      <c r="AM23" s="217"/>
      <c r="AN23" s="217"/>
      <c r="AO23" s="217"/>
      <c r="AP23" s="217"/>
      <c r="AQ23" s="217"/>
      <c r="AR23" s="217"/>
      <c r="AS23" s="217"/>
      <c r="AT23" s="217"/>
      <c r="AU23" s="217"/>
      <c r="AV23" s="217"/>
      <c r="AW23" s="217"/>
      <c r="AX23" s="217"/>
      <c r="AY23" s="217"/>
      <c r="AZ23" s="217"/>
      <c r="BA23" s="217"/>
      <c r="BB23" s="217"/>
      <c r="BC23" s="217"/>
      <c r="BD23" s="217"/>
      <c r="BE23" s="217"/>
      <c r="BF23" s="217"/>
      <c r="BG23" s="217"/>
      <c r="BH23" s="217"/>
      <c r="BI23" s="217"/>
      <c r="BJ23" s="217"/>
      <c r="BK23" s="217"/>
      <c r="BL23" s="217"/>
      <c r="BM23" s="217"/>
      <c r="BN23" s="217"/>
      <c r="BO23" s="217"/>
      <c r="BP23" s="217"/>
      <c r="BQ23" s="217"/>
      <c r="BR23" s="217"/>
      <c r="BS23" s="217"/>
      <c r="BT23" s="217"/>
      <c r="BU23" s="217"/>
      <c r="BV23" s="217"/>
      <c r="BW23" s="217"/>
      <c r="BX23" s="217"/>
      <c r="BY23" s="217"/>
      <c r="BZ23" s="217"/>
      <c r="CA23" s="217"/>
      <c r="CB23" s="217"/>
      <c r="CC23" s="217"/>
      <c r="CD23" s="217"/>
      <c r="CE23" s="217"/>
      <c r="CF23" s="217"/>
      <c r="CG23" s="217"/>
      <c r="CH23" s="217"/>
      <c r="CI23" s="217"/>
      <c r="CJ23" s="217"/>
      <c r="CK23" s="217"/>
    </row>
    <row r="24" spans="1:89" ht="69" x14ac:dyDescent="0.3">
      <c r="A24" s="223"/>
      <c r="B24" s="286" t="s">
        <v>97</v>
      </c>
      <c r="C24" s="286" t="s">
        <v>98</v>
      </c>
      <c r="D24" s="287" t="s">
        <v>99</v>
      </c>
      <c r="E24" s="287" t="s">
        <v>301</v>
      </c>
      <c r="F24" s="287" t="s">
        <v>314</v>
      </c>
      <c r="G24" s="286" t="s">
        <v>486</v>
      </c>
      <c r="H24" s="286" t="s">
        <v>487</v>
      </c>
      <c r="I24" s="286" t="s">
        <v>353</v>
      </c>
      <c r="J24" s="286" t="s">
        <v>354</v>
      </c>
      <c r="K24" s="286" t="s">
        <v>355</v>
      </c>
      <c r="L24" s="286" t="s">
        <v>357</v>
      </c>
      <c r="M24" s="286" t="s">
        <v>358</v>
      </c>
      <c r="N24" s="286" t="s">
        <v>359</v>
      </c>
      <c r="O24" s="286" t="s">
        <v>360</v>
      </c>
      <c r="P24" s="286" t="s">
        <v>361</v>
      </c>
      <c r="Q24" s="286" t="s">
        <v>358</v>
      </c>
      <c r="R24" s="286" t="s">
        <v>359</v>
      </c>
      <c r="S24" s="286" t="s">
        <v>360</v>
      </c>
      <c r="T24" s="286" t="s">
        <v>361</v>
      </c>
      <c r="U24" s="286" t="s">
        <v>377</v>
      </c>
      <c r="V24" s="286" t="s">
        <v>376</v>
      </c>
      <c r="W24" s="286" t="s">
        <v>376</v>
      </c>
      <c r="X24" s="217"/>
      <c r="Y24" s="217"/>
      <c r="Z24" s="217"/>
      <c r="AA24" s="217"/>
      <c r="AB24" s="217"/>
      <c r="AC24" s="217"/>
      <c r="AD24" s="217"/>
      <c r="AE24" s="217"/>
      <c r="AF24" s="217"/>
      <c r="AG24" s="217"/>
      <c r="AH24" s="217"/>
      <c r="AI24" s="217"/>
      <c r="AJ24" s="217"/>
      <c r="AK24" s="217"/>
      <c r="AL24" s="217"/>
      <c r="AM24" s="217"/>
      <c r="AN24" s="217"/>
      <c r="AO24" s="217"/>
      <c r="AP24" s="217"/>
      <c r="AQ24" s="217"/>
      <c r="AR24" s="217"/>
      <c r="AS24" s="217"/>
      <c r="AT24" s="217"/>
      <c r="AU24" s="217"/>
      <c r="AV24" s="217"/>
      <c r="AW24" s="217"/>
      <c r="AX24" s="217"/>
      <c r="AY24" s="217"/>
      <c r="AZ24" s="217"/>
      <c r="BA24" s="217"/>
      <c r="BB24" s="217"/>
      <c r="BC24" s="217"/>
      <c r="BD24" s="217"/>
      <c r="BE24" s="217"/>
      <c r="BF24" s="217"/>
      <c r="BG24" s="217"/>
      <c r="BH24" s="217"/>
      <c r="BI24" s="217"/>
      <c r="BJ24" s="217"/>
      <c r="BK24" s="217"/>
      <c r="BL24" s="217"/>
      <c r="BM24" s="217"/>
      <c r="BN24" s="217"/>
      <c r="BO24" s="217"/>
      <c r="BP24" s="217"/>
      <c r="BQ24" s="217"/>
      <c r="BR24" s="217"/>
      <c r="BS24" s="217"/>
      <c r="BT24" s="217"/>
      <c r="BU24" s="217"/>
      <c r="BV24" s="217"/>
      <c r="BW24" s="217"/>
      <c r="BX24" s="217"/>
      <c r="BY24" s="217"/>
      <c r="BZ24" s="217"/>
      <c r="CA24" s="217"/>
      <c r="CB24" s="217"/>
      <c r="CC24" s="217"/>
      <c r="CD24" s="217"/>
      <c r="CE24" s="217"/>
      <c r="CF24" s="217"/>
      <c r="CG24" s="217"/>
      <c r="CH24" s="217"/>
      <c r="CI24" s="217"/>
      <c r="CJ24" s="217"/>
      <c r="CK24" s="217"/>
    </row>
    <row r="25" spans="1:89" x14ac:dyDescent="0.3">
      <c r="A25" s="217"/>
      <c r="B25" s="565" t="s">
        <v>104</v>
      </c>
      <c r="C25" s="288" t="s">
        <v>104</v>
      </c>
      <c r="D25" s="289" t="s">
        <v>125</v>
      </c>
      <c r="E25" s="290" t="s">
        <v>608</v>
      </c>
      <c r="F25" s="291" t="str">
        <f t="shared" ref="F25:F72" si="7">VLOOKUP(E25,$B$5:$J$20,9,0)</f>
        <v>R-134a</v>
      </c>
      <c r="G25" s="292">
        <v>0.112</v>
      </c>
      <c r="H25" s="293">
        <f>G25</f>
        <v>0.112</v>
      </c>
      <c r="I25" s="221">
        <f t="shared" ref="I25:I72" si="8">$H25*VLOOKUP($E25,$B$5:$M$20,10,0)</f>
        <v>0</v>
      </c>
      <c r="J25" s="221">
        <f t="shared" ref="J25:J72" si="9">$H25*VLOOKUP($E25,$B$5:$M$20,11,0)</f>
        <v>8.4000000000000009E-5</v>
      </c>
      <c r="K25" s="221">
        <f t="shared" ref="K25:K72" si="10">$H25*VLOOKUP($E25,$B$5:$M$20,12,0)</f>
        <v>7.5347999999999984E-4</v>
      </c>
      <c r="L25" s="221">
        <f>SUM(I25:K25)</f>
        <v>8.3747999999999982E-4</v>
      </c>
      <c r="M25" s="261">
        <f>IF(SUM($I$25:$I$27)=0,0,I25/SUM(I$25:I$27))</f>
        <v>0</v>
      </c>
      <c r="N25" s="261">
        <f>J25/SUM(J$25:J$27)</f>
        <v>5.8299325393520454E-4</v>
      </c>
      <c r="O25" s="261">
        <f t="shared" ref="O25:O27" si="11">K25/SUM(K$25:K$27)</f>
        <v>4.1782284949992997E-2</v>
      </c>
      <c r="P25" s="261">
        <f t="shared" ref="P25:P27" si="12">L25/SUM(L$25:L$27)</f>
        <v>5.1658834075141062E-3</v>
      </c>
      <c r="Q25" s="261">
        <f>M25*HLOOKUP($E25,'Equipment Assumptions'!$C$30:$Q$31,2,0)</f>
        <v>0</v>
      </c>
      <c r="R25" s="261">
        <f>N25*HLOOKUP($E25,'Equipment Assumptions'!$C$30:$Q$31,2,0)</f>
        <v>5.8299325393520454E-4</v>
      </c>
      <c r="S25" s="261">
        <f>O25*HLOOKUP($E25,'Equipment Assumptions'!$C$30:$Q$31,2,0)</f>
        <v>4.1782284949992997E-2</v>
      </c>
      <c r="T25" s="261">
        <f>P25*HLOOKUP($E25,'Equipment Assumptions'!$C$30:$Q$31,2,0)</f>
        <v>5.1658834075141062E-3</v>
      </c>
      <c r="U25" s="294">
        <f>IF(F25=0,"",L25*VLOOKUP(F25,Lists!$C$72:$S$232,COLUMNS(Lists!$C$69:S$69),0))</f>
        <v>1.1975963999999997</v>
      </c>
      <c r="V25" s="261">
        <f>U25/SUM(U$25:U$27)</f>
        <v>3.54455213715702E-3</v>
      </c>
      <c r="W25" s="261">
        <f>V25*HLOOKUP($E25,'Equipment Assumptions'!$C$30:$Q$31,2,0)</f>
        <v>3.54455213715702E-3</v>
      </c>
      <c r="X25" s="217"/>
      <c r="Y25" s="217"/>
      <c r="Z25" s="217"/>
      <c r="AA25" s="217"/>
      <c r="AB25" s="217"/>
      <c r="AC25" s="217"/>
      <c r="AD25" s="217"/>
      <c r="AE25" s="217"/>
      <c r="AF25" s="217"/>
      <c r="AG25" s="217"/>
      <c r="AH25" s="217"/>
      <c r="AI25" s="217"/>
      <c r="AJ25" s="217"/>
      <c r="AK25" s="217"/>
      <c r="AL25" s="217"/>
      <c r="AM25" s="217"/>
      <c r="AN25" s="217"/>
      <c r="AO25" s="217"/>
      <c r="AP25" s="217"/>
      <c r="AQ25" s="217"/>
      <c r="AR25" s="217"/>
      <c r="AS25" s="217"/>
      <c r="AT25" s="217"/>
      <c r="AU25" s="217"/>
      <c r="AV25" s="217"/>
      <c r="AW25" s="217"/>
      <c r="AX25" s="217"/>
      <c r="AY25" s="217"/>
      <c r="AZ25" s="217"/>
      <c r="BA25" s="217"/>
      <c r="BB25" s="217"/>
      <c r="BC25" s="217"/>
      <c r="BD25" s="217"/>
      <c r="BE25" s="217"/>
      <c r="BF25" s="217"/>
      <c r="BG25" s="217"/>
      <c r="BH25" s="217"/>
      <c r="BI25" s="217"/>
      <c r="BJ25" s="217"/>
      <c r="BK25" s="217"/>
      <c r="BL25" s="217"/>
      <c r="BM25" s="217"/>
      <c r="BN25" s="217"/>
      <c r="BO25" s="217"/>
      <c r="BP25" s="217"/>
      <c r="BQ25" s="217"/>
      <c r="BR25" s="217"/>
      <c r="BS25" s="217"/>
      <c r="BT25" s="217"/>
      <c r="BU25" s="217"/>
      <c r="BV25" s="217"/>
      <c r="BW25" s="217"/>
      <c r="BX25" s="217"/>
      <c r="BY25" s="217"/>
      <c r="BZ25" s="217"/>
      <c r="CA25" s="217"/>
      <c r="CB25" s="217"/>
      <c r="CC25" s="217"/>
      <c r="CD25" s="217"/>
      <c r="CE25" s="217"/>
      <c r="CF25" s="217"/>
      <c r="CG25" s="217"/>
      <c r="CH25" s="217"/>
      <c r="CI25" s="217"/>
      <c r="CJ25" s="217"/>
      <c r="CK25" s="217"/>
    </row>
    <row r="26" spans="1:89" ht="15" customHeight="1" x14ac:dyDescent="0.3">
      <c r="A26" s="217"/>
      <c r="B26" s="566"/>
      <c r="C26" s="288" t="s">
        <v>104</v>
      </c>
      <c r="D26" s="288" t="s">
        <v>144</v>
      </c>
      <c r="E26" s="290" t="s">
        <v>721</v>
      </c>
      <c r="F26" s="291" t="str">
        <f t="shared" si="7"/>
        <v>R-410A</v>
      </c>
      <c r="G26" s="293">
        <v>3.6</v>
      </c>
      <c r="H26" s="293"/>
      <c r="I26" s="221">
        <f t="shared" si="8"/>
        <v>0</v>
      </c>
      <c r="J26" s="221">
        <f t="shared" si="9"/>
        <v>0</v>
      </c>
      <c r="K26" s="221">
        <f t="shared" si="10"/>
        <v>0</v>
      </c>
      <c r="L26" s="221">
        <f t="shared" ref="L26:L70" si="13">SUM(I26:K26)</f>
        <v>0</v>
      </c>
      <c r="M26" s="261">
        <f>IF(SUM($I$25:$I$27)=0,0,I26/SUM(I$25:I$27))</f>
        <v>0</v>
      </c>
      <c r="N26" s="261">
        <f t="shared" ref="N26:N27" si="14">J26/SUM(J$25:J$27)</f>
        <v>0</v>
      </c>
      <c r="O26" s="261">
        <f t="shared" si="11"/>
        <v>0</v>
      </c>
      <c r="P26" s="261">
        <f t="shared" si="12"/>
        <v>0</v>
      </c>
      <c r="Q26" s="261">
        <f>M26*HLOOKUP($E26,'Equipment Assumptions'!$C$30:$Q$31,2,0)</f>
        <v>0</v>
      </c>
      <c r="R26" s="261">
        <f>N26*HLOOKUP($E26,'Equipment Assumptions'!$C$30:$Q$31,2,0)</f>
        <v>0</v>
      </c>
      <c r="S26" s="261">
        <f>O26*HLOOKUP($E26,'Equipment Assumptions'!$C$30:$Q$31,2,0)</f>
        <v>0</v>
      </c>
      <c r="T26" s="261">
        <f>P26*HLOOKUP($E26,'Equipment Assumptions'!$C$30:$Q$31,2,0)</f>
        <v>0</v>
      </c>
      <c r="U26" s="294">
        <f>IF(F26=0,"",L26*VLOOKUP(F26,Lists!$C$72:$S$232,COLUMNS(Lists!$C$69:S$69),0))</f>
        <v>0</v>
      </c>
      <c r="V26" s="261">
        <f>U26/SUM(U$25:U$27)</f>
        <v>0</v>
      </c>
      <c r="W26" s="261">
        <f>V26*HLOOKUP($E26,'Equipment Assumptions'!$C$30:$Q$31,2,0)</f>
        <v>0</v>
      </c>
      <c r="X26" s="217"/>
      <c r="Y26" s="217"/>
      <c r="Z26" s="217"/>
      <c r="AA26" s="217"/>
      <c r="AB26" s="217"/>
      <c r="AC26" s="217"/>
      <c r="AD26" s="217"/>
      <c r="AE26" s="217"/>
      <c r="AF26" s="217"/>
      <c r="AG26" s="217"/>
      <c r="AH26" s="217"/>
      <c r="AI26" s="217"/>
      <c r="AJ26" s="217"/>
      <c r="AK26" s="217"/>
      <c r="AL26" s="217"/>
      <c r="AM26" s="217"/>
      <c r="AN26" s="217"/>
      <c r="AO26" s="217"/>
      <c r="AP26" s="217"/>
      <c r="AQ26" s="217"/>
      <c r="AR26" s="217"/>
      <c r="AS26" s="217"/>
      <c r="AT26" s="217"/>
      <c r="AU26" s="217"/>
      <c r="AV26" s="217"/>
      <c r="AW26" s="217"/>
      <c r="AX26" s="217"/>
      <c r="AY26" s="217"/>
      <c r="AZ26" s="217"/>
      <c r="BA26" s="217"/>
      <c r="BB26" s="217"/>
      <c r="BC26" s="217"/>
      <c r="BD26" s="217"/>
      <c r="BE26" s="217"/>
      <c r="BF26" s="217"/>
      <c r="BG26" s="217"/>
      <c r="BH26" s="217"/>
      <c r="BI26" s="217"/>
      <c r="BJ26" s="217"/>
      <c r="BK26" s="217"/>
      <c r="BL26" s="217"/>
      <c r="BM26" s="217"/>
      <c r="BN26" s="217"/>
      <c r="BO26" s="217"/>
      <c r="BP26" s="217"/>
      <c r="BQ26" s="217"/>
      <c r="BR26" s="217"/>
      <c r="BS26" s="217"/>
      <c r="BT26" s="217"/>
      <c r="BU26" s="217"/>
      <c r="BV26" s="217"/>
      <c r="BW26" s="217"/>
      <c r="BX26" s="217"/>
      <c r="BY26" s="217"/>
      <c r="BZ26" s="217"/>
      <c r="CA26" s="217"/>
      <c r="CB26" s="217"/>
      <c r="CC26" s="217"/>
      <c r="CD26" s="217"/>
      <c r="CE26" s="217"/>
      <c r="CF26" s="217"/>
      <c r="CG26" s="217"/>
      <c r="CH26" s="217"/>
      <c r="CI26" s="217"/>
      <c r="CJ26" s="217"/>
      <c r="CK26" s="217"/>
    </row>
    <row r="27" spans="1:89" x14ac:dyDescent="0.3">
      <c r="A27" s="217"/>
      <c r="B27" s="566"/>
      <c r="C27" s="288" t="s">
        <v>104</v>
      </c>
      <c r="D27" s="288" t="s">
        <v>144</v>
      </c>
      <c r="E27" s="290" t="s">
        <v>723</v>
      </c>
      <c r="F27" s="291" t="str">
        <f t="shared" si="7"/>
        <v>R-410A</v>
      </c>
      <c r="G27" s="295">
        <v>0.13846153846153844</v>
      </c>
      <c r="H27" s="426">
        <f>G27*VLOOKUP(C27,'Building Customization'!$B$10:$C$28,2,0)</f>
        <v>0.13846153846153844</v>
      </c>
      <c r="I27" s="221">
        <f t="shared" si="8"/>
        <v>0</v>
      </c>
      <c r="J27" s="221">
        <f t="shared" si="9"/>
        <v>0.14399999999999999</v>
      </c>
      <c r="K27" s="221">
        <f t="shared" si="10"/>
        <v>1.7280000000000004E-2</v>
      </c>
      <c r="L27" s="221">
        <f t="shared" si="13"/>
        <v>0.16127999999999998</v>
      </c>
      <c r="M27" s="261">
        <f>IF(SUM($I$25:$I$27)=0,0,I27/SUM(I$25:I$27))</f>
        <v>0</v>
      </c>
      <c r="N27" s="261">
        <f t="shared" si="14"/>
        <v>0.99941700674606482</v>
      </c>
      <c r="O27" s="261">
        <f t="shared" si="11"/>
        <v>0.95821771505000697</v>
      </c>
      <c r="P27" s="261">
        <f t="shared" si="12"/>
        <v>0.99483411659248588</v>
      </c>
      <c r="Q27" s="261">
        <f>M27*HLOOKUP($E27,'Equipment Assumptions'!$C$30:$Q$31,2,0)</f>
        <v>0</v>
      </c>
      <c r="R27" s="261">
        <f>N27*HLOOKUP($E27,'Equipment Assumptions'!$C$30:$Q$31,2,0)</f>
        <v>0.49970850337303241</v>
      </c>
      <c r="S27" s="261">
        <f>O27*HLOOKUP($E27,'Equipment Assumptions'!$C$30:$Q$31,2,0)</f>
        <v>0.47910885752500348</v>
      </c>
      <c r="T27" s="261">
        <f>P27*HLOOKUP($E27,'Equipment Assumptions'!$C$30:$Q$31,2,0)</f>
        <v>0.49741705829624294</v>
      </c>
      <c r="U27" s="294">
        <f>IF(F27=0,"",L27*VLOOKUP(F27,Lists!$C$72:$S$232,COLUMNS(Lists!$C$69:S$69),0))</f>
        <v>336.67199999999997</v>
      </c>
      <c r="V27" s="261">
        <f>U27/SUM(U$25:U$27)</f>
        <v>0.9964554478628429</v>
      </c>
      <c r="W27" s="261">
        <f>V27*HLOOKUP($E27,'Equipment Assumptions'!$C$30:$Q$31,2,0)</f>
        <v>0.49822772393142145</v>
      </c>
      <c r="X27" s="217"/>
      <c r="Y27" s="217"/>
      <c r="Z27" s="217"/>
      <c r="AA27" s="217"/>
      <c r="AB27" s="217"/>
      <c r="AC27" s="217"/>
      <c r="AD27" s="217"/>
      <c r="AE27" s="217"/>
      <c r="AF27" s="217"/>
      <c r="AG27" s="217"/>
      <c r="AH27" s="217"/>
      <c r="AI27" s="217"/>
      <c r="AJ27" s="217"/>
      <c r="AK27" s="217"/>
      <c r="AL27" s="217"/>
      <c r="AM27" s="217"/>
      <c r="AN27" s="217"/>
      <c r="AO27" s="217"/>
      <c r="AP27" s="217"/>
      <c r="AQ27" s="217"/>
      <c r="AR27" s="217"/>
      <c r="AS27" s="217"/>
      <c r="AT27" s="217"/>
      <c r="AU27" s="217"/>
      <c r="AV27" s="217"/>
      <c r="AW27" s="217"/>
      <c r="AX27" s="217"/>
      <c r="AY27" s="217"/>
      <c r="AZ27" s="217"/>
      <c r="BA27" s="217"/>
      <c r="BB27" s="217"/>
      <c r="BC27" s="217"/>
      <c r="BD27" s="217"/>
      <c r="BE27" s="217"/>
      <c r="BF27" s="217"/>
      <c r="BG27" s="217"/>
      <c r="BH27" s="217"/>
      <c r="BI27" s="217"/>
      <c r="BJ27" s="217"/>
      <c r="BK27" s="217"/>
      <c r="BL27" s="217"/>
      <c r="BM27" s="217"/>
      <c r="BN27" s="217"/>
      <c r="BO27" s="217"/>
      <c r="BP27" s="217"/>
      <c r="BQ27" s="217"/>
      <c r="BR27" s="217"/>
      <c r="BS27" s="217"/>
      <c r="BT27" s="217"/>
      <c r="BU27" s="217"/>
      <c r="BV27" s="217"/>
      <c r="BW27" s="217"/>
      <c r="BX27" s="217"/>
      <c r="BY27" s="217"/>
      <c r="BZ27" s="217"/>
      <c r="CA27" s="217"/>
      <c r="CB27" s="217"/>
      <c r="CC27" s="217"/>
      <c r="CD27" s="217"/>
      <c r="CE27" s="217"/>
      <c r="CF27" s="217"/>
      <c r="CG27" s="217"/>
      <c r="CH27" s="217"/>
      <c r="CI27" s="217"/>
      <c r="CJ27" s="217"/>
      <c r="CK27" s="217"/>
    </row>
    <row r="28" spans="1:89" x14ac:dyDescent="0.3">
      <c r="A28" s="217"/>
      <c r="B28" s="566"/>
      <c r="C28" s="288" t="s">
        <v>106</v>
      </c>
      <c r="D28" s="289" t="s">
        <v>125</v>
      </c>
      <c r="E28" s="290" t="s">
        <v>608</v>
      </c>
      <c r="F28" s="291" t="str">
        <f t="shared" si="7"/>
        <v>R-134a</v>
      </c>
      <c r="G28" s="293">
        <v>0.112</v>
      </c>
      <c r="H28" s="293">
        <f>G28</f>
        <v>0.112</v>
      </c>
      <c r="I28" s="221">
        <f t="shared" si="8"/>
        <v>0</v>
      </c>
      <c r="J28" s="221">
        <f t="shared" si="9"/>
        <v>8.4000000000000009E-5</v>
      </c>
      <c r="K28" s="221">
        <f t="shared" si="10"/>
        <v>7.5347999999999984E-4</v>
      </c>
      <c r="L28" s="221">
        <f t="shared" si="13"/>
        <v>8.3747999999999982E-4</v>
      </c>
      <c r="M28" s="261">
        <f>IF(SUM($I$28:$I$32)=0,0,I28/SUM(I$28:I$32))</f>
        <v>0</v>
      </c>
      <c r="N28" s="261">
        <f>J28/SUM(J$28:J$32)</f>
        <v>4.359775618941131E-4</v>
      </c>
      <c r="O28" s="261">
        <f t="shared" ref="O28:O32" si="15">K28/SUM(K$28:K$32)</f>
        <v>2.8992962670181241E-2</v>
      </c>
      <c r="P28" s="261">
        <f t="shared" ref="P28:P32" si="16">L28/SUM(L$28:L$32)</f>
        <v>3.823051636545418E-3</v>
      </c>
      <c r="Q28" s="261">
        <f>M28*HLOOKUP($E28,'Equipment Assumptions'!$C$30:$Q$31,2,0)</f>
        <v>0</v>
      </c>
      <c r="R28" s="261">
        <f>N28*HLOOKUP($E28,'Equipment Assumptions'!$C$30:$Q$31,2,0)</f>
        <v>4.359775618941131E-4</v>
      </c>
      <c r="S28" s="261">
        <f>O28*HLOOKUP($E28,'Equipment Assumptions'!$C$30:$Q$31,2,0)</f>
        <v>2.8992962670181241E-2</v>
      </c>
      <c r="T28" s="261">
        <f>P28*HLOOKUP($E28,'Equipment Assumptions'!$C$30:$Q$31,2,0)</f>
        <v>3.823051636545418E-3</v>
      </c>
      <c r="U28" s="294">
        <f>IF(F28=0,"",L28*VLOOKUP(F28,Lists!$C$72:$S$232,COLUMNS(Lists!$C$69:S$69),0))</f>
        <v>1.1975963999999997</v>
      </c>
      <c r="V28" s="261">
        <f>U28/SUM(U$28:U$32)</f>
        <v>2.1619723715653101E-3</v>
      </c>
      <c r="W28" s="261">
        <f>V28*HLOOKUP($E28,'Equipment Assumptions'!$C$30:$Q$31,2,0)</f>
        <v>2.1619723715653101E-3</v>
      </c>
      <c r="X28" s="217"/>
      <c r="Y28" s="217"/>
      <c r="Z28" s="217"/>
      <c r="AA28" s="217"/>
      <c r="AB28" s="217"/>
      <c r="AC28" s="217"/>
      <c r="AD28" s="217"/>
      <c r="AE28" s="217"/>
      <c r="AF28" s="217"/>
      <c r="AG28" s="217"/>
      <c r="AH28" s="217"/>
      <c r="AI28" s="217"/>
      <c r="AJ28" s="217"/>
      <c r="AK28" s="217"/>
      <c r="AL28" s="217"/>
      <c r="AM28" s="217"/>
      <c r="AN28" s="217"/>
      <c r="AO28" s="217"/>
      <c r="AP28" s="217"/>
      <c r="AQ28" s="217"/>
      <c r="AR28" s="217"/>
      <c r="AS28" s="217"/>
      <c r="AT28" s="217"/>
      <c r="AU28" s="217"/>
      <c r="AV28" s="217"/>
      <c r="AW28" s="217"/>
      <c r="AX28" s="217"/>
      <c r="AY28" s="217"/>
      <c r="AZ28" s="217"/>
      <c r="BA28" s="217"/>
      <c r="BB28" s="217"/>
      <c r="BC28" s="217"/>
      <c r="BD28" s="217"/>
      <c r="BE28" s="217"/>
      <c r="BF28" s="217"/>
      <c r="BG28" s="217"/>
      <c r="BH28" s="217"/>
      <c r="BI28" s="217"/>
      <c r="BJ28" s="217"/>
      <c r="BK28" s="217"/>
      <c r="BL28" s="217"/>
      <c r="BM28" s="217"/>
      <c r="BN28" s="217"/>
      <c r="BO28" s="217"/>
      <c r="BP28" s="217"/>
      <c r="BQ28" s="217"/>
      <c r="BR28" s="217"/>
      <c r="BS28" s="217"/>
      <c r="BT28" s="217"/>
      <c r="BU28" s="217"/>
      <c r="BV28" s="217"/>
      <c r="BW28" s="217"/>
      <c r="BX28" s="217"/>
      <c r="BY28" s="217"/>
      <c r="BZ28" s="217"/>
      <c r="CA28" s="217"/>
      <c r="CB28" s="217"/>
      <c r="CC28" s="217"/>
      <c r="CD28" s="217"/>
      <c r="CE28" s="217"/>
      <c r="CF28" s="217"/>
      <c r="CG28" s="217"/>
      <c r="CH28" s="217"/>
      <c r="CI28" s="217"/>
      <c r="CJ28" s="217"/>
      <c r="CK28" s="217"/>
    </row>
    <row r="29" spans="1:89" ht="27.6" x14ac:dyDescent="0.3">
      <c r="A29" s="217"/>
      <c r="B29" s="566"/>
      <c r="C29" s="288" t="s">
        <v>106</v>
      </c>
      <c r="D29" s="289" t="s">
        <v>114</v>
      </c>
      <c r="E29" s="290" t="s">
        <v>610</v>
      </c>
      <c r="F29" s="291" t="str">
        <f t="shared" si="7"/>
        <v>R-134a</v>
      </c>
      <c r="G29" s="295">
        <f>(7/74671)*1000</f>
        <v>9.3744559467530894E-2</v>
      </c>
      <c r="H29" s="426">
        <f>G29*'Building Customization'!$D$11</f>
        <v>9.3744559467530894E-2</v>
      </c>
      <c r="I29" s="221">
        <f t="shared" si="8"/>
        <v>0</v>
      </c>
      <c r="J29" s="221">
        <f t="shared" si="9"/>
        <v>3.749782378701236E-4</v>
      </c>
      <c r="K29" s="221">
        <f t="shared" si="10"/>
        <v>2.531103105623335E-3</v>
      </c>
      <c r="L29" s="221">
        <f>SUM(I29:K29)</f>
        <v>2.9060813434934585E-3</v>
      </c>
      <c r="M29" s="261">
        <f t="shared" ref="M29:M32" si="17">IF(SUM($I$28:$I$32)=0,0,I29/SUM(I$28:I$32))</f>
        <v>0</v>
      </c>
      <c r="N29" s="261">
        <f t="shared" ref="N29:N32" si="18">J29/SUM(J$28:J$32)</f>
        <v>1.946215451309134E-3</v>
      </c>
      <c r="O29" s="261">
        <f t="shared" si="15"/>
        <v>9.7393663873914599E-2</v>
      </c>
      <c r="P29" s="261">
        <f t="shared" si="16"/>
        <v>1.3266106696490396E-2</v>
      </c>
      <c r="Q29" s="261">
        <f>M29*HLOOKUP($E29,'Equipment Assumptions'!$C$30:$Q$31,2,0)</f>
        <v>0</v>
      </c>
      <c r="R29" s="261">
        <f>N29*HLOOKUP($E29,'Equipment Assumptions'!$C$30:$Q$31,2,0)</f>
        <v>1.946215451309134E-3</v>
      </c>
      <c r="S29" s="261">
        <f>O29*HLOOKUP($E29,'Equipment Assumptions'!$C$30:$Q$31,2,0)</f>
        <v>9.7393663873914599E-2</v>
      </c>
      <c r="T29" s="261">
        <f>P29*HLOOKUP($E29,'Equipment Assumptions'!$C$30:$Q$31,2,0)</f>
        <v>1.3266106696490396E-2</v>
      </c>
      <c r="U29" s="294">
        <f>IF(F29=0,"",L29*VLOOKUP(F29,Lists!$C$72:$S$232,COLUMNS(Lists!$C$69:S$69),0))</f>
        <v>4.1556963211956459</v>
      </c>
      <c r="V29" s="261">
        <f>U29/SUM(U$28:U$32)</f>
        <v>7.5021105867056617E-3</v>
      </c>
      <c r="W29" s="261">
        <f>V29*HLOOKUP($E29,'Equipment Assumptions'!$C$30:$Q$31,2,0)</f>
        <v>7.5021105867056617E-3</v>
      </c>
      <c r="X29" s="217"/>
      <c r="Y29" s="217"/>
      <c r="Z29" s="217"/>
      <c r="AA29" s="217"/>
      <c r="AB29" s="217"/>
      <c r="AC29" s="217"/>
      <c r="AD29" s="217"/>
      <c r="AE29" s="217"/>
      <c r="AF29" s="217"/>
      <c r="AG29" s="217"/>
      <c r="AH29" s="217"/>
      <c r="AI29" s="217"/>
      <c r="AJ29" s="217"/>
      <c r="AK29" s="217"/>
      <c r="AL29" s="217"/>
      <c r="AM29" s="217"/>
      <c r="AN29" s="217"/>
      <c r="AO29" s="217"/>
      <c r="AP29" s="217"/>
      <c r="AQ29" s="217"/>
      <c r="AR29" s="217"/>
      <c r="AS29" s="217"/>
      <c r="AT29" s="217"/>
      <c r="AU29" s="217"/>
      <c r="AV29" s="217"/>
      <c r="AW29" s="217"/>
      <c r="AX29" s="217"/>
      <c r="AY29" s="217"/>
      <c r="AZ29" s="217"/>
      <c r="BA29" s="217"/>
      <c r="BB29" s="217"/>
      <c r="BC29" s="217"/>
      <c r="BD29" s="217"/>
      <c r="BE29" s="217"/>
      <c r="BF29" s="217"/>
      <c r="BG29" s="217"/>
      <c r="BH29" s="217"/>
      <c r="BI29" s="217"/>
      <c r="BJ29" s="217"/>
      <c r="BK29" s="217"/>
      <c r="BL29" s="217"/>
      <c r="BM29" s="217"/>
      <c r="BN29" s="217"/>
      <c r="BO29" s="217"/>
      <c r="BP29" s="217"/>
      <c r="BQ29" s="217"/>
      <c r="BR29" s="217"/>
      <c r="BS29" s="217"/>
      <c r="BT29" s="217"/>
      <c r="BU29" s="217"/>
      <c r="BV29" s="217"/>
      <c r="BW29" s="217"/>
      <c r="BX29" s="217"/>
      <c r="BY29" s="217"/>
      <c r="BZ29" s="217"/>
      <c r="CA29" s="217"/>
      <c r="CB29" s="217"/>
      <c r="CC29" s="217"/>
      <c r="CD29" s="217"/>
      <c r="CE29" s="217"/>
      <c r="CF29" s="217"/>
      <c r="CG29" s="217"/>
      <c r="CH29" s="217"/>
      <c r="CI29" s="217"/>
      <c r="CJ29" s="217"/>
      <c r="CK29" s="217"/>
    </row>
    <row r="30" spans="1:89" ht="27.6" x14ac:dyDescent="0.3">
      <c r="A30" s="217"/>
      <c r="B30" s="566"/>
      <c r="C30" s="288" t="s">
        <v>106</v>
      </c>
      <c r="D30" s="289" t="s">
        <v>519</v>
      </c>
      <c r="E30" s="289" t="s">
        <v>612</v>
      </c>
      <c r="F30" s="291" t="str">
        <f t="shared" si="7"/>
        <v>R-404A</v>
      </c>
      <c r="G30" s="296">
        <f>(3/74671)*1000</f>
        <v>4.0176239771798954E-2</v>
      </c>
      <c r="H30" s="426">
        <f>G30*'Building Customization'!$D$11</f>
        <v>4.0176239771798954E-2</v>
      </c>
      <c r="I30" s="221">
        <f t="shared" si="8"/>
        <v>4.0176239771798957E-4</v>
      </c>
      <c r="J30" s="221">
        <f t="shared" si="9"/>
        <v>4.8211487726158742E-2</v>
      </c>
      <c r="K30" s="221">
        <f t="shared" si="10"/>
        <v>5.4237923691928605E-3</v>
      </c>
      <c r="L30" s="221">
        <f>SUM(I30:K30)</f>
        <v>5.4037042493069593E-2</v>
      </c>
      <c r="M30" s="261">
        <f t="shared" si="17"/>
        <v>1</v>
      </c>
      <c r="N30" s="261">
        <f t="shared" si="18"/>
        <v>0.25022770088260293</v>
      </c>
      <c r="O30" s="261">
        <f t="shared" si="15"/>
        <v>0.20870070830124557</v>
      </c>
      <c r="P30" s="261">
        <f t="shared" si="16"/>
        <v>0.246676223596031</v>
      </c>
      <c r="Q30" s="261">
        <f>M30*HLOOKUP($E30,'Equipment Assumptions'!$C$30:$Q$31,2,0)</f>
        <v>0.6</v>
      </c>
      <c r="R30" s="261">
        <f>N30*HLOOKUP($E30,'Equipment Assumptions'!$C$30:$Q$31,2,0)</f>
        <v>0.15013662052956175</v>
      </c>
      <c r="S30" s="261">
        <f>O30*HLOOKUP($E30,'Equipment Assumptions'!$C$30:$Q$31,2,0)</f>
        <v>0.12522042498074734</v>
      </c>
      <c r="T30" s="261">
        <f>P30*HLOOKUP($E30,'Equipment Assumptions'!$C$30:$Q$31,2,0)</f>
        <v>0.14800573415761858</v>
      </c>
      <c r="U30" s="294">
        <f>IF(F30=0,"",L30*VLOOKUP(F30,Lists!$C$72:$S$232,COLUMNS(Lists!$C$69:S$69),0))</f>
        <v>211.91166584082174</v>
      </c>
      <c r="V30" s="261">
        <f>U30/SUM(U$28:U$32)</f>
        <v>0.38255556442908234</v>
      </c>
      <c r="W30" s="261">
        <f>V30*HLOOKUP($E30,'Equipment Assumptions'!$C$30:$Q$31,2,0)</f>
        <v>0.2295333386574494</v>
      </c>
      <c r="X30" s="217"/>
      <c r="Y30" s="217"/>
      <c r="Z30" s="217"/>
      <c r="AA30" s="217"/>
      <c r="AB30" s="217"/>
      <c r="AC30" s="217"/>
      <c r="AD30" s="217"/>
      <c r="AE30" s="217"/>
      <c r="AF30" s="217"/>
      <c r="AG30" s="217"/>
      <c r="AH30" s="217"/>
      <c r="AI30" s="217"/>
      <c r="AJ30" s="217"/>
      <c r="AK30" s="217"/>
      <c r="AL30" s="217"/>
      <c r="AM30" s="217"/>
      <c r="AN30" s="217"/>
      <c r="AO30" s="217"/>
      <c r="AP30" s="217"/>
      <c r="AQ30" s="217"/>
      <c r="AR30" s="217"/>
      <c r="AS30" s="217"/>
      <c r="AT30" s="217"/>
      <c r="AU30" s="217"/>
      <c r="AV30" s="217"/>
      <c r="AW30" s="217"/>
      <c r="AX30" s="217"/>
      <c r="AY30" s="217"/>
      <c r="AZ30" s="217"/>
      <c r="BA30" s="217"/>
      <c r="BB30" s="217"/>
      <c r="BC30" s="217"/>
      <c r="BD30" s="217"/>
      <c r="BE30" s="217"/>
      <c r="BF30" s="217"/>
      <c r="BG30" s="217"/>
      <c r="BH30" s="217"/>
      <c r="BI30" s="217"/>
      <c r="BJ30" s="217"/>
      <c r="BK30" s="217"/>
      <c r="BL30" s="217"/>
      <c r="BM30" s="217"/>
      <c r="BN30" s="217"/>
      <c r="BO30" s="217"/>
      <c r="BP30" s="217"/>
      <c r="BQ30" s="217"/>
      <c r="BR30" s="217"/>
      <c r="BS30" s="217"/>
      <c r="BT30" s="217"/>
      <c r="BU30" s="217"/>
      <c r="BV30" s="217"/>
      <c r="BW30" s="217"/>
      <c r="BX30" s="217"/>
      <c r="BY30" s="217"/>
      <c r="BZ30" s="217"/>
      <c r="CA30" s="217"/>
      <c r="CB30" s="217"/>
      <c r="CC30" s="217"/>
      <c r="CD30" s="217"/>
      <c r="CE30" s="217"/>
      <c r="CF30" s="217"/>
      <c r="CG30" s="217"/>
      <c r="CH30" s="217"/>
      <c r="CI30" s="217"/>
      <c r="CJ30" s="217"/>
      <c r="CK30" s="217"/>
    </row>
    <row r="31" spans="1:89" x14ac:dyDescent="0.3">
      <c r="A31" s="217"/>
      <c r="B31" s="566"/>
      <c r="C31" s="288" t="s">
        <v>106</v>
      </c>
      <c r="D31" s="288" t="s">
        <v>144</v>
      </c>
      <c r="E31" s="290" t="s">
        <v>721</v>
      </c>
      <c r="F31" s="291" t="str">
        <f t="shared" si="7"/>
        <v>R-410A</v>
      </c>
      <c r="G31" s="293">
        <v>3.6</v>
      </c>
      <c r="H31" s="293"/>
      <c r="I31" s="221">
        <f t="shared" si="8"/>
        <v>0</v>
      </c>
      <c r="J31" s="221">
        <f t="shared" si="9"/>
        <v>0</v>
      </c>
      <c r="K31" s="221">
        <f t="shared" si="10"/>
        <v>0</v>
      </c>
      <c r="L31" s="221">
        <f t="shared" si="13"/>
        <v>0</v>
      </c>
      <c r="M31" s="261">
        <f t="shared" si="17"/>
        <v>0</v>
      </c>
      <c r="N31" s="261">
        <f t="shared" si="18"/>
        <v>0</v>
      </c>
      <c r="O31" s="261">
        <f t="shared" si="15"/>
        <v>0</v>
      </c>
      <c r="P31" s="261">
        <f t="shared" si="16"/>
        <v>0</v>
      </c>
      <c r="Q31" s="261">
        <f>M31*HLOOKUP($E31,'Equipment Assumptions'!$C$30:$Q$31,2,0)</f>
        <v>0</v>
      </c>
      <c r="R31" s="261">
        <f>N31*HLOOKUP($E31,'Equipment Assumptions'!$C$30:$Q$31,2,0)</f>
        <v>0</v>
      </c>
      <c r="S31" s="261">
        <f>O31*HLOOKUP($E31,'Equipment Assumptions'!$C$30:$Q$31,2,0)</f>
        <v>0</v>
      </c>
      <c r="T31" s="261">
        <f>P31*HLOOKUP($E31,'Equipment Assumptions'!$C$30:$Q$31,2,0)</f>
        <v>0</v>
      </c>
      <c r="U31" s="294">
        <f>IF(F31=0,"",L31*VLOOKUP(F31,Lists!$C$72:$S$232,COLUMNS(Lists!$C$69:S$69),0))</f>
        <v>0</v>
      </c>
      <c r="V31" s="261">
        <f>U31/SUM(U$28:U$32)</f>
        <v>0</v>
      </c>
      <c r="W31" s="261">
        <f>V31*HLOOKUP($E31,'Equipment Assumptions'!$C$30:$Q$31,2,0)</f>
        <v>0</v>
      </c>
      <c r="X31" s="217"/>
      <c r="Y31" s="217"/>
      <c r="Z31" s="217"/>
      <c r="AA31" s="217"/>
      <c r="AB31" s="217"/>
      <c r="AC31" s="217"/>
      <c r="AD31" s="217"/>
      <c r="AE31" s="217"/>
      <c r="AF31" s="217"/>
      <c r="AG31" s="217"/>
      <c r="AH31" s="217"/>
      <c r="AI31" s="217"/>
      <c r="AJ31" s="217"/>
      <c r="AK31" s="217"/>
      <c r="AL31" s="217"/>
      <c r="AM31" s="217"/>
      <c r="AN31" s="217"/>
      <c r="AO31" s="217"/>
      <c r="AP31" s="217"/>
      <c r="AQ31" s="217"/>
      <c r="AR31" s="217"/>
      <c r="AS31" s="217"/>
      <c r="AT31" s="217"/>
      <c r="AU31" s="217"/>
      <c r="AV31" s="217"/>
      <c r="AW31" s="217"/>
      <c r="AX31" s="217"/>
      <c r="AY31" s="217"/>
      <c r="AZ31" s="217"/>
      <c r="BA31" s="217"/>
      <c r="BB31" s="217"/>
      <c r="BC31" s="217"/>
      <c r="BD31" s="217"/>
      <c r="BE31" s="217"/>
      <c r="BF31" s="217"/>
      <c r="BG31" s="217"/>
      <c r="BH31" s="217"/>
      <c r="BI31" s="217"/>
      <c r="BJ31" s="217"/>
      <c r="BK31" s="217"/>
      <c r="BL31" s="217"/>
      <c r="BM31" s="217"/>
      <c r="BN31" s="217"/>
      <c r="BO31" s="217"/>
      <c r="BP31" s="217"/>
      <c r="BQ31" s="217"/>
      <c r="BR31" s="217"/>
      <c r="BS31" s="217"/>
      <c r="BT31" s="217"/>
      <c r="BU31" s="217"/>
      <c r="BV31" s="217"/>
      <c r="BW31" s="217"/>
      <c r="BX31" s="217"/>
      <c r="BY31" s="217"/>
      <c r="BZ31" s="217"/>
      <c r="CA31" s="217"/>
      <c r="CB31" s="217"/>
      <c r="CC31" s="217"/>
      <c r="CD31" s="217"/>
      <c r="CE31" s="217"/>
      <c r="CF31" s="217"/>
      <c r="CG31" s="217"/>
      <c r="CH31" s="217"/>
      <c r="CI31" s="217"/>
      <c r="CJ31" s="217"/>
      <c r="CK31" s="217"/>
    </row>
    <row r="32" spans="1:89" x14ac:dyDescent="0.3">
      <c r="A32" s="217"/>
      <c r="B32" s="566"/>
      <c r="C32" s="288" t="s">
        <v>106</v>
      </c>
      <c r="D32" s="288" t="s">
        <v>144</v>
      </c>
      <c r="E32" s="290" t="s">
        <v>723</v>
      </c>
      <c r="F32" s="291" t="str">
        <f t="shared" si="7"/>
        <v>R-410A</v>
      </c>
      <c r="G32" s="295">
        <v>0.13846153846153844</v>
      </c>
      <c r="H32" s="426">
        <f>G32*VLOOKUP(C32,'Building Customization'!$B$10:$C$28,2,0)</f>
        <v>0.13846153846153844</v>
      </c>
      <c r="I32" s="221">
        <f t="shared" si="8"/>
        <v>0</v>
      </c>
      <c r="J32" s="221">
        <f t="shared" si="9"/>
        <v>0.14399999999999999</v>
      </c>
      <c r="K32" s="221">
        <f t="shared" si="10"/>
        <v>1.7280000000000004E-2</v>
      </c>
      <c r="L32" s="221">
        <f t="shared" si="13"/>
        <v>0.16127999999999998</v>
      </c>
      <c r="M32" s="261">
        <f t="shared" si="17"/>
        <v>0</v>
      </c>
      <c r="N32" s="261">
        <f t="shared" si="18"/>
        <v>0.74739010610419376</v>
      </c>
      <c r="O32" s="261">
        <f t="shared" si="15"/>
        <v>0.66491266515465852</v>
      </c>
      <c r="P32" s="261">
        <f t="shared" si="16"/>
        <v>0.73623461807093316</v>
      </c>
      <c r="Q32" s="261">
        <f>M32*HLOOKUP($E32,'Equipment Assumptions'!$C$30:$Q$31,2,0)</f>
        <v>0</v>
      </c>
      <c r="R32" s="261">
        <f>N32*HLOOKUP($E32,'Equipment Assumptions'!$C$30:$Q$31,2,0)</f>
        <v>0.37369505305209688</v>
      </c>
      <c r="S32" s="261">
        <f>O32*HLOOKUP($E32,'Equipment Assumptions'!$C$30:$Q$31,2,0)</f>
        <v>0.33245633257732926</v>
      </c>
      <c r="T32" s="261">
        <f>P32*HLOOKUP($E32,'Equipment Assumptions'!$C$30:$Q$31,2,0)</f>
        <v>0.36811730903546658</v>
      </c>
      <c r="U32" s="294">
        <f>IF(F32=0,"",L32*VLOOKUP(F32,Lists!$C$72:$S$232,COLUMNS(Lists!$C$69:S$69),0))</f>
        <v>336.67199999999997</v>
      </c>
      <c r="V32" s="261">
        <f>U32/SUM(U$28:U$32)</f>
        <v>0.60778035261264673</v>
      </c>
      <c r="W32" s="261">
        <f>V32*HLOOKUP($E32,'Equipment Assumptions'!$C$30:$Q$31,2,0)</f>
        <v>0.30389017630632337</v>
      </c>
      <c r="X32" s="217"/>
      <c r="Y32" s="217"/>
      <c r="Z32" s="217"/>
      <c r="AA32" s="217"/>
      <c r="AB32" s="217"/>
      <c r="AC32" s="217"/>
      <c r="AD32" s="217"/>
      <c r="AE32" s="217"/>
      <c r="AF32" s="217"/>
      <c r="AG32" s="217"/>
      <c r="AH32" s="217"/>
      <c r="AI32" s="217"/>
      <c r="AJ32" s="217"/>
      <c r="AK32" s="217"/>
      <c r="AL32" s="217"/>
      <c r="AM32" s="217"/>
      <c r="AN32" s="217"/>
      <c r="AO32" s="217"/>
      <c r="AP32" s="217"/>
      <c r="AQ32" s="217"/>
      <c r="AR32" s="217"/>
      <c r="AS32" s="217"/>
      <c r="AT32" s="217"/>
      <c r="AU32" s="217"/>
      <c r="AV32" s="217"/>
      <c r="AW32" s="217"/>
      <c r="AX32" s="217"/>
      <c r="AY32" s="217"/>
      <c r="AZ32" s="217"/>
      <c r="BA32" s="217"/>
      <c r="BB32" s="217"/>
      <c r="BC32" s="217"/>
      <c r="BD32" s="217"/>
      <c r="BE32" s="217"/>
      <c r="BF32" s="217"/>
      <c r="BG32" s="217"/>
      <c r="BH32" s="217"/>
      <c r="BI32" s="217"/>
      <c r="BJ32" s="217"/>
      <c r="BK32" s="217"/>
      <c r="BL32" s="217"/>
      <c r="BM32" s="217"/>
      <c r="BN32" s="217"/>
      <c r="BO32" s="217"/>
      <c r="BP32" s="217"/>
      <c r="BQ32" s="217"/>
      <c r="BR32" s="217"/>
      <c r="BS32" s="217"/>
      <c r="BT32" s="217"/>
      <c r="BU32" s="217"/>
      <c r="BV32" s="217"/>
      <c r="BW32" s="217"/>
      <c r="BX32" s="217"/>
      <c r="BY32" s="217"/>
      <c r="BZ32" s="217"/>
      <c r="CA32" s="217"/>
      <c r="CB32" s="217"/>
      <c r="CC32" s="217"/>
      <c r="CD32" s="217"/>
      <c r="CE32" s="217"/>
      <c r="CF32" s="217"/>
      <c r="CG32" s="217"/>
      <c r="CH32" s="217"/>
      <c r="CI32" s="217"/>
      <c r="CJ32" s="217"/>
      <c r="CK32" s="217"/>
    </row>
    <row r="33" spans="1:89" ht="15" customHeight="1" x14ac:dyDescent="0.3">
      <c r="A33" s="217"/>
      <c r="B33" s="566"/>
      <c r="C33" s="288" t="s">
        <v>496</v>
      </c>
      <c r="D33" s="289" t="s">
        <v>125</v>
      </c>
      <c r="E33" s="290" t="s">
        <v>608</v>
      </c>
      <c r="F33" s="291" t="str">
        <f t="shared" si="7"/>
        <v>R-134a</v>
      </c>
      <c r="G33" s="293">
        <v>0.76900000000000002</v>
      </c>
      <c r="H33" s="293">
        <f>G33</f>
        <v>0.76900000000000002</v>
      </c>
      <c r="I33" s="221">
        <f t="shared" si="8"/>
        <v>0</v>
      </c>
      <c r="J33" s="221">
        <f t="shared" si="9"/>
        <v>5.7675000000000001E-4</v>
      </c>
      <c r="K33" s="221">
        <f t="shared" si="10"/>
        <v>5.1734474999999992E-3</v>
      </c>
      <c r="L33" s="221">
        <f t="shared" si="13"/>
        <v>5.7501974999999992E-3</v>
      </c>
      <c r="M33" s="261">
        <f>IF(SUM($I$33:$I$35)=0,0,I33/SUM(I$33:I$35))</f>
        <v>0</v>
      </c>
      <c r="N33" s="261">
        <f>J33/SUM(J$33:J$35)</f>
        <v>4.9431441996798846E-3</v>
      </c>
      <c r="O33" s="261">
        <f t="shared" ref="O33:O35" si="19">K33/SUM(K$33:K$35)</f>
        <v>5.3406941408862763E-2</v>
      </c>
      <c r="P33" s="261">
        <f t="shared" ref="P33:P35" si="20">L33/SUM(L$33:L$35)</f>
        <v>2.6927308913140033E-2</v>
      </c>
      <c r="Q33" s="261">
        <f>M33*HLOOKUP($E33,'Equipment Assumptions'!$C$30:$Q$31,2,0)</f>
        <v>0</v>
      </c>
      <c r="R33" s="261">
        <f>N33*HLOOKUP($E33,'Equipment Assumptions'!$C$30:$Q$31,2,0)</f>
        <v>4.9431441996798846E-3</v>
      </c>
      <c r="S33" s="261">
        <f>O33*HLOOKUP($E33,'Equipment Assumptions'!$C$30:$Q$31,2,0)</f>
        <v>5.3406941408862763E-2</v>
      </c>
      <c r="T33" s="261">
        <f>P33*HLOOKUP($E33,'Equipment Assumptions'!$C$30:$Q$31,2,0)</f>
        <v>2.6927308913140033E-2</v>
      </c>
      <c r="U33" s="294">
        <f>IF(F33=0,"",L33*VLOOKUP(F33,Lists!$C$72:$S$232,COLUMNS(Lists!$C$69:S$69),0))</f>
        <v>8.2227824249999983</v>
      </c>
      <c r="V33" s="261">
        <f>U33/SUM(U$33:U$35)</f>
        <v>1.8603797124365291E-2</v>
      </c>
      <c r="W33" s="261">
        <f>V33*HLOOKUP($E33,'Equipment Assumptions'!$C$30:$Q$31,2,0)</f>
        <v>1.8603797124365291E-2</v>
      </c>
      <c r="X33" s="217"/>
      <c r="Y33" s="217"/>
      <c r="Z33" s="217"/>
      <c r="AA33" s="217"/>
      <c r="AB33" s="217"/>
      <c r="AC33" s="217"/>
      <c r="AD33" s="217"/>
      <c r="AE33" s="217"/>
      <c r="AF33" s="217"/>
      <c r="AG33" s="217"/>
      <c r="AH33" s="217"/>
      <c r="AI33" s="217"/>
      <c r="AJ33" s="217"/>
      <c r="AK33" s="217"/>
      <c r="AL33" s="217"/>
      <c r="AM33" s="217"/>
      <c r="AN33" s="217"/>
      <c r="AO33" s="217"/>
      <c r="AP33" s="217"/>
      <c r="AQ33" s="217"/>
      <c r="AR33" s="217"/>
      <c r="AS33" s="217"/>
      <c r="AT33" s="217"/>
      <c r="AU33" s="217"/>
      <c r="AV33" s="217"/>
      <c r="AW33" s="217"/>
      <c r="AX33" s="217"/>
      <c r="AY33" s="217"/>
      <c r="AZ33" s="217"/>
      <c r="BA33" s="217"/>
      <c r="BB33" s="217"/>
      <c r="BC33" s="217"/>
      <c r="BD33" s="217"/>
      <c r="BE33" s="217"/>
      <c r="BF33" s="217"/>
      <c r="BG33" s="217"/>
      <c r="BH33" s="217"/>
      <c r="BI33" s="217"/>
      <c r="BJ33" s="217"/>
      <c r="BK33" s="217"/>
      <c r="BL33" s="217"/>
      <c r="BM33" s="217"/>
      <c r="BN33" s="217"/>
      <c r="BO33" s="217"/>
      <c r="BP33" s="217"/>
      <c r="BQ33" s="217"/>
      <c r="BR33" s="217"/>
      <c r="BS33" s="217"/>
      <c r="BT33" s="217"/>
      <c r="BU33" s="217"/>
      <c r="BV33" s="217"/>
      <c r="BW33" s="217"/>
      <c r="BX33" s="217"/>
      <c r="BY33" s="217"/>
      <c r="BZ33" s="217"/>
      <c r="CA33" s="217"/>
      <c r="CB33" s="217"/>
      <c r="CC33" s="217"/>
      <c r="CD33" s="217"/>
      <c r="CE33" s="217"/>
      <c r="CF33" s="217"/>
      <c r="CG33" s="217"/>
      <c r="CH33" s="217"/>
      <c r="CI33" s="217"/>
      <c r="CJ33" s="217"/>
      <c r="CK33" s="217"/>
    </row>
    <row r="34" spans="1:89" x14ac:dyDescent="0.3">
      <c r="A34" s="217"/>
      <c r="B34" s="566"/>
      <c r="C34" s="288" t="s">
        <v>496</v>
      </c>
      <c r="D34" s="288" t="s">
        <v>144</v>
      </c>
      <c r="E34" s="290" t="s">
        <v>721</v>
      </c>
      <c r="F34" s="291" t="str">
        <f t="shared" si="7"/>
        <v>R-410A</v>
      </c>
      <c r="G34" s="293">
        <v>3.6</v>
      </c>
      <c r="H34" s="426">
        <f>G34/2*VLOOKUP(C34,'Building Customization'!$B$10:$C$28,2,0)</f>
        <v>1.8</v>
      </c>
      <c r="I34" s="221">
        <f t="shared" si="8"/>
        <v>0</v>
      </c>
      <c r="J34" s="221">
        <f t="shared" si="9"/>
        <v>8.0999999999999996E-3</v>
      </c>
      <c r="K34" s="221">
        <f t="shared" si="10"/>
        <v>5.5695000000000001E-2</v>
      </c>
      <c r="L34" s="221">
        <f t="shared" si="13"/>
        <v>6.3795000000000004E-2</v>
      </c>
      <c r="M34" s="261">
        <f t="shared" ref="M34:M35" si="21">IF(SUM($I$33:$I$35)=0,0,I34/SUM(I$33:I$35))</f>
        <v>0</v>
      </c>
      <c r="N34" s="261">
        <f t="shared" ref="N34:N35" si="22">J34/SUM(J$33:J$35)</f>
        <v>6.942257133490605E-2</v>
      </c>
      <c r="O34" s="261">
        <f t="shared" si="19"/>
        <v>0.57495501824781481</v>
      </c>
      <c r="P34" s="261">
        <f t="shared" si="20"/>
        <v>0.29874237747725513</v>
      </c>
      <c r="Q34" s="261">
        <f>M34*HLOOKUP($E34,'Equipment Assumptions'!$C$30:$Q$31,2,0)</f>
        <v>0</v>
      </c>
      <c r="R34" s="261">
        <f>N34*HLOOKUP($E34,'Equipment Assumptions'!$C$30:$Q$31,2,0)</f>
        <v>4.1653542800943626E-2</v>
      </c>
      <c r="S34" s="261">
        <f>O34*HLOOKUP($E34,'Equipment Assumptions'!$C$30:$Q$31,2,0)</f>
        <v>0.34497301094868887</v>
      </c>
      <c r="T34" s="261">
        <f>P34*HLOOKUP($E34,'Equipment Assumptions'!$C$30:$Q$31,2,0)</f>
        <v>0.17924542648635308</v>
      </c>
      <c r="U34" s="294">
        <f>IF(F34=0,"",L34*VLOOKUP(F34,Lists!$C$72:$S$232,COLUMNS(Lists!$C$69:S$69),0))</f>
        <v>133.17206250000001</v>
      </c>
      <c r="V34" s="261">
        <f t="shared" ref="V34:V35" si="23">U34/SUM(U$33:U$35)</f>
        <v>0.3012977731054699</v>
      </c>
      <c r="W34" s="261">
        <f>V34*HLOOKUP($E34,'Equipment Assumptions'!$C$30:$Q$31,2,0)</f>
        <v>0.18077866386328192</v>
      </c>
      <c r="X34" s="217"/>
      <c r="Y34" s="217"/>
      <c r="Z34" s="217"/>
      <c r="AA34" s="217"/>
      <c r="AB34" s="217"/>
      <c r="AC34" s="217"/>
      <c r="AD34" s="217"/>
      <c r="AE34" s="217"/>
      <c r="AF34" s="217"/>
      <c r="AG34" s="217"/>
      <c r="AH34" s="217"/>
      <c r="AI34" s="217"/>
      <c r="AJ34" s="217"/>
      <c r="AK34" s="217"/>
      <c r="AL34" s="217"/>
      <c r="AM34" s="217"/>
      <c r="AN34" s="217"/>
      <c r="AO34" s="217"/>
      <c r="AP34" s="217"/>
      <c r="AQ34" s="217"/>
      <c r="AR34" s="217"/>
      <c r="AS34" s="217"/>
      <c r="AT34" s="217"/>
      <c r="AU34" s="217"/>
      <c r="AV34" s="217"/>
      <c r="AW34" s="217"/>
      <c r="AX34" s="217"/>
      <c r="AY34" s="217"/>
      <c r="AZ34" s="217"/>
      <c r="BA34" s="217"/>
      <c r="BB34" s="217"/>
      <c r="BC34" s="217"/>
      <c r="BD34" s="217"/>
      <c r="BE34" s="217"/>
      <c r="BF34" s="217"/>
      <c r="BG34" s="217"/>
      <c r="BH34" s="217"/>
      <c r="BI34" s="217"/>
      <c r="BJ34" s="217"/>
      <c r="BK34" s="217"/>
      <c r="BL34" s="217"/>
      <c r="BM34" s="217"/>
      <c r="BN34" s="217"/>
      <c r="BO34" s="217"/>
      <c r="BP34" s="217"/>
      <c r="BQ34" s="217"/>
      <c r="BR34" s="217"/>
      <c r="BS34" s="217"/>
      <c r="BT34" s="217"/>
      <c r="BU34" s="217"/>
      <c r="BV34" s="217"/>
      <c r="BW34" s="217"/>
      <c r="BX34" s="217"/>
      <c r="BY34" s="217"/>
      <c r="BZ34" s="217"/>
      <c r="CA34" s="217"/>
      <c r="CB34" s="217"/>
      <c r="CC34" s="217"/>
      <c r="CD34" s="217"/>
      <c r="CE34" s="217"/>
      <c r="CF34" s="217"/>
      <c r="CG34" s="217"/>
      <c r="CH34" s="217"/>
      <c r="CI34" s="217"/>
      <c r="CJ34" s="217"/>
      <c r="CK34" s="217"/>
    </row>
    <row r="35" spans="1:89" ht="15" customHeight="1" x14ac:dyDescent="0.3">
      <c r="A35" s="217"/>
      <c r="B35" s="566"/>
      <c r="C35" s="288" t="s">
        <v>496</v>
      </c>
      <c r="D35" s="288" t="s">
        <v>144</v>
      </c>
      <c r="E35" s="290" t="s">
        <v>722</v>
      </c>
      <c r="F35" s="291" t="str">
        <f t="shared" si="7"/>
        <v>R-410A</v>
      </c>
      <c r="G35" s="293">
        <v>0.54</v>
      </c>
      <c r="H35" s="426">
        <f>G35/2*VLOOKUP(C35,'Building Customization'!$B$10:$C$28,2,0)</f>
        <v>0.27</v>
      </c>
      <c r="I35" s="221">
        <f t="shared" si="8"/>
        <v>0</v>
      </c>
      <c r="J35" s="221">
        <f t="shared" si="9"/>
        <v>0.10800000000000001</v>
      </c>
      <c r="K35" s="221">
        <f t="shared" si="10"/>
        <v>3.6000000000000004E-2</v>
      </c>
      <c r="L35" s="221">
        <f t="shared" si="13"/>
        <v>0.14400000000000002</v>
      </c>
      <c r="M35" s="261">
        <f t="shared" si="21"/>
        <v>0</v>
      </c>
      <c r="N35" s="261">
        <f t="shared" si="22"/>
        <v>0.92563428446541407</v>
      </c>
      <c r="O35" s="261">
        <f t="shared" si="19"/>
        <v>0.37163804034332232</v>
      </c>
      <c r="P35" s="261">
        <f t="shared" si="20"/>
        <v>0.67433031360960494</v>
      </c>
      <c r="Q35" s="261">
        <f>M35*HLOOKUP($E35,'Equipment Assumptions'!$C$30:$Q$31,2,0)</f>
        <v>0</v>
      </c>
      <c r="R35" s="261">
        <f>N35*HLOOKUP($E35,'Equipment Assumptions'!$C$30:$Q$31,2,0)</f>
        <v>0.46281714223270704</v>
      </c>
      <c r="S35" s="261">
        <f>O35*HLOOKUP($E35,'Equipment Assumptions'!$C$30:$Q$31,2,0)</f>
        <v>0.18581902017166116</v>
      </c>
      <c r="T35" s="261">
        <f>P35*HLOOKUP($E35,'Equipment Assumptions'!$C$30:$Q$31,2,0)</f>
        <v>0.33716515680480247</v>
      </c>
      <c r="U35" s="294">
        <f>IF(F35=0,"",L35*VLOOKUP(F35,Lists!$C$72:$S$232,COLUMNS(Lists!$C$69:S$69),0))</f>
        <v>300.60000000000002</v>
      </c>
      <c r="V35" s="261">
        <f t="shared" si="23"/>
        <v>0.68009842977016477</v>
      </c>
      <c r="W35" s="261">
        <f>V35*HLOOKUP($E35,'Equipment Assumptions'!$C$30:$Q$31,2,0)</f>
        <v>0.34004921488508238</v>
      </c>
      <c r="X35" s="217"/>
      <c r="Y35" s="217"/>
      <c r="Z35" s="217"/>
      <c r="AA35" s="217"/>
      <c r="AB35" s="217"/>
      <c r="AC35" s="217"/>
      <c r="AD35" s="217"/>
      <c r="AE35" s="217"/>
      <c r="AF35" s="217"/>
      <c r="AG35" s="217"/>
      <c r="AH35" s="217"/>
      <c r="AI35" s="217"/>
      <c r="AJ35" s="217"/>
      <c r="AK35" s="217"/>
      <c r="AL35" s="217"/>
      <c r="AM35" s="217"/>
      <c r="AN35" s="217"/>
      <c r="AO35" s="217"/>
      <c r="AP35" s="217"/>
      <c r="AQ35" s="217"/>
      <c r="AR35" s="217"/>
      <c r="AS35" s="217"/>
      <c r="AT35" s="217"/>
      <c r="AU35" s="217"/>
      <c r="AV35" s="217"/>
      <c r="AW35" s="217"/>
      <c r="AX35" s="217"/>
      <c r="AY35" s="217"/>
      <c r="AZ35" s="217"/>
      <c r="BA35" s="217"/>
      <c r="BB35" s="217"/>
      <c r="BC35" s="217"/>
      <c r="BD35" s="217"/>
      <c r="BE35" s="217"/>
      <c r="BF35" s="217"/>
      <c r="BG35" s="217"/>
      <c r="BH35" s="217"/>
      <c r="BI35" s="217"/>
      <c r="BJ35" s="217"/>
      <c r="BK35" s="217"/>
      <c r="BL35" s="217"/>
      <c r="BM35" s="217"/>
      <c r="BN35" s="217"/>
      <c r="BO35" s="217"/>
      <c r="BP35" s="217"/>
      <c r="BQ35" s="217"/>
      <c r="BR35" s="217"/>
      <c r="BS35" s="217"/>
      <c r="BT35" s="217"/>
      <c r="BU35" s="217"/>
      <c r="BV35" s="217"/>
      <c r="BW35" s="217"/>
      <c r="BX35" s="217"/>
      <c r="BY35" s="217"/>
      <c r="BZ35" s="217"/>
      <c r="CA35" s="217"/>
      <c r="CB35" s="217"/>
      <c r="CC35" s="217"/>
      <c r="CD35" s="217"/>
      <c r="CE35" s="217"/>
      <c r="CF35" s="217"/>
      <c r="CG35" s="217"/>
      <c r="CH35" s="217"/>
      <c r="CI35" s="217"/>
      <c r="CJ35" s="217"/>
      <c r="CK35" s="217"/>
    </row>
    <row r="36" spans="1:89" ht="27.6" x14ac:dyDescent="0.3">
      <c r="A36" s="217"/>
      <c r="B36" s="566"/>
      <c r="C36" s="288" t="s">
        <v>523</v>
      </c>
      <c r="D36" s="289" t="s">
        <v>125</v>
      </c>
      <c r="E36" s="290" t="s">
        <v>608</v>
      </c>
      <c r="F36" s="291" t="str">
        <f t="shared" si="7"/>
        <v>R-134a</v>
      </c>
      <c r="G36" s="433">
        <f>5.56*$R$5</f>
        <v>1.4826666666666666</v>
      </c>
      <c r="H36" s="293">
        <f>G36</f>
        <v>1.4826666666666666</v>
      </c>
      <c r="I36" s="221">
        <f t="shared" si="8"/>
        <v>0</v>
      </c>
      <c r="J36" s="221">
        <f t="shared" si="9"/>
        <v>1.1119999999999999E-3</v>
      </c>
      <c r="K36" s="221">
        <f t="shared" si="10"/>
        <v>9.9746399999999964E-3</v>
      </c>
      <c r="L36" s="221">
        <f t="shared" si="13"/>
        <v>1.1086639999999997E-2</v>
      </c>
      <c r="M36" s="261">
        <f>IF(SUM($I$36:$I$38)=0,0,I36/SUM(I$36:I$38))</f>
        <v>0</v>
      </c>
      <c r="N36" s="261">
        <f>J36/SUM(J$36:J$38)</f>
        <v>9.487083233798585E-3</v>
      </c>
      <c r="O36" s="261">
        <f t="shared" ref="O36:O38" si="24">K36/SUM(K$36:K$38)</f>
        <v>9.8108343847779889E-2</v>
      </c>
      <c r="P36" s="261">
        <f t="shared" ref="P36:P38" si="25">L36/SUM(L$36:L$38)</f>
        <v>5.0651301772044452E-2</v>
      </c>
      <c r="Q36" s="261">
        <f>M36*HLOOKUP($E36,'Equipment Assumptions'!$C$30:$Q$31,2,0)</f>
        <v>0</v>
      </c>
      <c r="R36" s="261">
        <f>N36*HLOOKUP($E36,'Equipment Assumptions'!$C$30:$Q$31,2,0)</f>
        <v>9.487083233798585E-3</v>
      </c>
      <c r="S36" s="261">
        <f>O36*HLOOKUP($E36,'Equipment Assumptions'!$C$30:$Q$31,2,0)</f>
        <v>9.8108343847779889E-2</v>
      </c>
      <c r="T36" s="261">
        <f>P36*HLOOKUP($E36,'Equipment Assumptions'!$C$30:$Q$31,2,0)</f>
        <v>5.0651301772044452E-2</v>
      </c>
      <c r="U36" s="294">
        <f>IF(F36=0,"",L36*VLOOKUP(F36,Lists!$C$72:$S$232,COLUMNS(Lists!$C$69:S$69),0))</f>
        <v>15.853895199999995</v>
      </c>
      <c r="V36" s="261">
        <f>U36/SUM(U$36:U$38)</f>
        <v>3.5260186669600714E-2</v>
      </c>
      <c r="W36" s="261">
        <f>V36*HLOOKUP($E36,'Equipment Assumptions'!$C$30:$Q$31,2,0)</f>
        <v>3.5260186669600714E-2</v>
      </c>
      <c r="X36" s="217"/>
      <c r="Y36" s="217"/>
      <c r="Z36" s="217"/>
      <c r="AA36" s="217"/>
      <c r="AB36" s="217"/>
      <c r="AC36" s="217"/>
      <c r="AD36" s="217"/>
      <c r="AE36" s="217"/>
      <c r="AF36" s="217"/>
      <c r="AG36" s="217"/>
      <c r="AH36" s="217"/>
      <c r="AI36" s="217"/>
      <c r="AJ36" s="217"/>
      <c r="AK36" s="217"/>
      <c r="AL36" s="217"/>
      <c r="AM36" s="217"/>
      <c r="AN36" s="217"/>
      <c r="AO36" s="217"/>
      <c r="AP36" s="217"/>
      <c r="AQ36" s="217"/>
      <c r="AR36" s="217"/>
      <c r="AS36" s="217"/>
      <c r="AT36" s="217"/>
      <c r="AU36" s="217"/>
      <c r="AV36" s="217"/>
      <c r="AW36" s="217"/>
      <c r="AX36" s="217"/>
      <c r="AY36" s="217"/>
      <c r="AZ36" s="217"/>
      <c r="BA36" s="217"/>
      <c r="BB36" s="217"/>
      <c r="BC36" s="217"/>
      <c r="BD36" s="217"/>
      <c r="BE36" s="217"/>
      <c r="BF36" s="217"/>
      <c r="BG36" s="217"/>
      <c r="BH36" s="217"/>
      <c r="BI36" s="217"/>
      <c r="BJ36" s="217"/>
      <c r="BK36" s="217"/>
      <c r="BL36" s="217"/>
      <c r="BM36" s="217"/>
      <c r="BN36" s="217"/>
      <c r="BO36" s="217"/>
      <c r="BP36" s="217"/>
      <c r="BQ36" s="217"/>
      <c r="BR36" s="217"/>
      <c r="BS36" s="217"/>
      <c r="BT36" s="217"/>
      <c r="BU36" s="217"/>
      <c r="BV36" s="217"/>
      <c r="BW36" s="217"/>
      <c r="BX36" s="217"/>
      <c r="BY36" s="217"/>
      <c r="BZ36" s="217"/>
      <c r="CA36" s="217"/>
      <c r="CB36" s="217"/>
      <c r="CC36" s="217"/>
      <c r="CD36" s="217"/>
      <c r="CE36" s="217"/>
      <c r="CF36" s="217"/>
      <c r="CG36" s="217"/>
      <c r="CH36" s="217"/>
      <c r="CI36" s="217"/>
      <c r="CJ36" s="217"/>
      <c r="CK36" s="217"/>
    </row>
    <row r="37" spans="1:89" ht="27.6" x14ac:dyDescent="0.3">
      <c r="A37" s="217"/>
      <c r="B37" s="566"/>
      <c r="C37" s="288" t="s">
        <v>523</v>
      </c>
      <c r="D37" s="288" t="s">
        <v>144</v>
      </c>
      <c r="E37" s="290" t="s">
        <v>721</v>
      </c>
      <c r="F37" s="291" t="str">
        <f t="shared" si="7"/>
        <v>R-410A</v>
      </c>
      <c r="G37" s="293">
        <v>3.6</v>
      </c>
      <c r="H37" s="426">
        <f>G37/2*VLOOKUP(C37,'Building Customization'!$B$10:$C$28,2,0)</f>
        <v>1.8</v>
      </c>
      <c r="I37" s="221">
        <f t="shared" si="8"/>
        <v>0</v>
      </c>
      <c r="J37" s="221">
        <f t="shared" si="9"/>
        <v>8.0999999999999996E-3</v>
      </c>
      <c r="K37" s="221">
        <f t="shared" si="10"/>
        <v>5.5695000000000001E-2</v>
      </c>
      <c r="L37" s="221">
        <f t="shared" si="13"/>
        <v>6.3795000000000004E-2</v>
      </c>
      <c r="M37" s="261">
        <f>IF(SUM($I$36:$I$38)=0,0,I37/SUM(I$36:I$38))</f>
        <v>0</v>
      </c>
      <c r="N37" s="261">
        <f t="shared" ref="N37:N38" si="26">J37/SUM(J$36:J$38)</f>
        <v>6.9105552332525674E-2</v>
      </c>
      <c r="O37" s="261">
        <f t="shared" si="24"/>
        <v>0.54780365111944918</v>
      </c>
      <c r="P37" s="261">
        <f t="shared" si="25"/>
        <v>0.29145889075027032</v>
      </c>
      <c r="Q37" s="261">
        <f>M37*HLOOKUP($E37,'Equipment Assumptions'!$C$30:$Q$31,2,0)</f>
        <v>0</v>
      </c>
      <c r="R37" s="261">
        <f>N37*HLOOKUP($E37,'Equipment Assumptions'!$C$30:$Q$31,2,0)</f>
        <v>4.1463331399515406E-2</v>
      </c>
      <c r="S37" s="261">
        <f>O37*HLOOKUP($E37,'Equipment Assumptions'!$C$30:$Q$31,2,0)</f>
        <v>0.32868219067166948</v>
      </c>
      <c r="T37" s="261">
        <f>P37*HLOOKUP($E37,'Equipment Assumptions'!$C$30:$Q$31,2,0)</f>
        <v>0.17487533445016218</v>
      </c>
      <c r="U37" s="294">
        <f>IF(F37=0,"",L37*VLOOKUP(F37,Lists!$C$72:$S$232,COLUMNS(Lists!$C$69:S$69),0))</f>
        <v>133.17206250000001</v>
      </c>
      <c r="V37" s="261">
        <f t="shared" ref="V37:V38" si="27">U37/SUM(U$36:U$38)</f>
        <v>0.29618410640974435</v>
      </c>
      <c r="W37" s="261">
        <f>V37*HLOOKUP($E37,'Equipment Assumptions'!$C$30:$Q$31,2,0)</f>
        <v>0.1777104638458466</v>
      </c>
      <c r="X37" s="217"/>
      <c r="Y37" s="217"/>
      <c r="Z37" s="217"/>
      <c r="AA37" s="217"/>
      <c r="AB37" s="217"/>
      <c r="AC37" s="217"/>
      <c r="AD37" s="217"/>
      <c r="AE37" s="217"/>
      <c r="AF37" s="217"/>
      <c r="AG37" s="217"/>
      <c r="AH37" s="217"/>
      <c r="AI37" s="217"/>
      <c r="AJ37" s="217"/>
      <c r="AK37" s="217"/>
      <c r="AL37" s="217"/>
      <c r="AM37" s="217"/>
      <c r="AN37" s="217"/>
      <c r="AO37" s="217"/>
      <c r="AP37" s="217"/>
      <c r="AQ37" s="217"/>
      <c r="AR37" s="217"/>
      <c r="AS37" s="217"/>
      <c r="AT37" s="217"/>
      <c r="AU37" s="217"/>
      <c r="AV37" s="217"/>
      <c r="AW37" s="217"/>
      <c r="AX37" s="217"/>
      <c r="AY37" s="217"/>
      <c r="AZ37" s="217"/>
      <c r="BA37" s="217"/>
      <c r="BB37" s="217"/>
      <c r="BC37" s="217"/>
      <c r="BD37" s="217"/>
      <c r="BE37" s="217"/>
      <c r="BF37" s="217"/>
      <c r="BG37" s="217"/>
      <c r="BH37" s="217"/>
      <c r="BI37" s="217"/>
      <c r="BJ37" s="217"/>
      <c r="BK37" s="217"/>
      <c r="BL37" s="217"/>
      <c r="BM37" s="217"/>
      <c r="BN37" s="217"/>
      <c r="BO37" s="217"/>
      <c r="BP37" s="217"/>
      <c r="BQ37" s="217"/>
      <c r="BR37" s="217"/>
      <c r="BS37" s="217"/>
      <c r="BT37" s="217"/>
      <c r="BU37" s="217"/>
      <c r="BV37" s="217"/>
      <c r="BW37" s="217"/>
      <c r="BX37" s="217"/>
      <c r="BY37" s="217"/>
      <c r="BZ37" s="217"/>
      <c r="CA37" s="217"/>
      <c r="CB37" s="217"/>
      <c r="CC37" s="217"/>
      <c r="CD37" s="217"/>
      <c r="CE37" s="217"/>
      <c r="CF37" s="217"/>
      <c r="CG37" s="217"/>
      <c r="CH37" s="217"/>
      <c r="CI37" s="217"/>
      <c r="CJ37" s="217"/>
      <c r="CK37" s="217"/>
    </row>
    <row r="38" spans="1:89" ht="27.6" x14ac:dyDescent="0.3">
      <c r="A38" s="217"/>
      <c r="B38" s="566"/>
      <c r="C38" s="288" t="s">
        <v>523</v>
      </c>
      <c r="D38" s="288" t="s">
        <v>144</v>
      </c>
      <c r="E38" s="290" t="s">
        <v>722</v>
      </c>
      <c r="F38" s="291" t="str">
        <f t="shared" si="7"/>
        <v>R-410A</v>
      </c>
      <c r="G38" s="293">
        <v>0.54</v>
      </c>
      <c r="H38" s="426">
        <f>G38/2*VLOOKUP(C38,'Building Customization'!$B$10:$C$28,2,0)</f>
        <v>0.27</v>
      </c>
      <c r="I38" s="221">
        <f t="shared" si="8"/>
        <v>0</v>
      </c>
      <c r="J38" s="221">
        <f t="shared" si="9"/>
        <v>0.10800000000000001</v>
      </c>
      <c r="K38" s="221">
        <f t="shared" si="10"/>
        <v>3.6000000000000004E-2</v>
      </c>
      <c r="L38" s="221">
        <f t="shared" si="13"/>
        <v>0.14400000000000002</v>
      </c>
      <c r="M38" s="261">
        <f>IF(SUM($I$36:$I$38)=0,0,I38/SUM(I$36:I$38))</f>
        <v>0</v>
      </c>
      <c r="N38" s="261">
        <f t="shared" si="26"/>
        <v>0.92140736443367577</v>
      </c>
      <c r="O38" s="261">
        <f t="shared" si="24"/>
        <v>0.35408800503277088</v>
      </c>
      <c r="P38" s="261">
        <f t="shared" si="25"/>
        <v>0.65788980747768522</v>
      </c>
      <c r="Q38" s="261">
        <f>M38*HLOOKUP($E38,'Equipment Assumptions'!$C$30:$Q$31,2,0)</f>
        <v>0</v>
      </c>
      <c r="R38" s="261">
        <f>N38*HLOOKUP($E38,'Equipment Assumptions'!$C$30:$Q$31,2,0)</f>
        <v>0.46070368221683788</v>
      </c>
      <c r="S38" s="261">
        <f>O38*HLOOKUP($E38,'Equipment Assumptions'!$C$30:$Q$31,2,0)</f>
        <v>0.17704400251638544</v>
      </c>
      <c r="T38" s="261">
        <f>P38*HLOOKUP($E38,'Equipment Assumptions'!$C$30:$Q$31,2,0)</f>
        <v>0.32894490373884261</v>
      </c>
      <c r="U38" s="294">
        <f>IF(F38=0,"",L38*VLOOKUP(F38,Lists!$C$72:$S$232,COLUMNS(Lists!$C$69:S$69),0))</f>
        <v>300.60000000000002</v>
      </c>
      <c r="V38" s="261">
        <f t="shared" si="27"/>
        <v>0.66855570692065502</v>
      </c>
      <c r="W38" s="261">
        <f>V38*HLOOKUP($E38,'Equipment Assumptions'!$C$30:$Q$31,2,0)</f>
        <v>0.33427785346032751</v>
      </c>
      <c r="X38" s="217"/>
      <c r="Y38" s="217"/>
      <c r="Z38" s="217"/>
      <c r="AA38" s="217"/>
      <c r="AB38" s="217"/>
      <c r="AC38" s="217"/>
      <c r="AD38" s="217"/>
      <c r="AE38" s="217"/>
      <c r="AF38" s="217"/>
      <c r="AG38" s="217"/>
      <c r="AH38" s="217"/>
      <c r="AI38" s="217"/>
      <c r="AJ38" s="217"/>
      <c r="AK38" s="217"/>
      <c r="AL38" s="217"/>
      <c r="AM38" s="217"/>
      <c r="AN38" s="217"/>
      <c r="AO38" s="217"/>
      <c r="AP38" s="217"/>
      <c r="AQ38" s="217"/>
      <c r="AR38" s="217"/>
      <c r="AS38" s="217"/>
      <c r="AT38" s="217"/>
      <c r="AU38" s="217"/>
      <c r="AV38" s="217"/>
      <c r="AW38" s="217"/>
      <c r="AX38" s="217"/>
      <c r="AY38" s="217"/>
      <c r="AZ38" s="217"/>
      <c r="BA38" s="217"/>
      <c r="BB38" s="217"/>
      <c r="BC38" s="217"/>
      <c r="BD38" s="217"/>
      <c r="BE38" s="217"/>
      <c r="BF38" s="217"/>
      <c r="BG38" s="217"/>
      <c r="BH38" s="217"/>
      <c r="BI38" s="217"/>
      <c r="BJ38" s="217"/>
      <c r="BK38" s="217"/>
      <c r="BL38" s="217"/>
      <c r="BM38" s="217"/>
      <c r="BN38" s="217"/>
      <c r="BO38" s="217"/>
      <c r="BP38" s="217"/>
      <c r="BQ38" s="217"/>
      <c r="BR38" s="217"/>
      <c r="BS38" s="217"/>
      <c r="BT38" s="217"/>
      <c r="BU38" s="217"/>
      <c r="BV38" s="217"/>
      <c r="BW38" s="217"/>
      <c r="BX38" s="217"/>
      <c r="BY38" s="217"/>
      <c r="BZ38" s="217"/>
      <c r="CA38" s="217"/>
      <c r="CB38" s="217"/>
      <c r="CC38" s="217"/>
      <c r="CD38" s="217"/>
      <c r="CE38" s="217"/>
      <c r="CF38" s="217"/>
      <c r="CG38" s="217"/>
      <c r="CH38" s="217"/>
      <c r="CI38" s="217"/>
      <c r="CJ38" s="217"/>
      <c r="CK38" s="217"/>
    </row>
    <row r="39" spans="1:89" x14ac:dyDescent="0.3">
      <c r="A39" s="217"/>
      <c r="B39" s="566"/>
      <c r="C39" s="289" t="s">
        <v>521</v>
      </c>
      <c r="D39" s="289" t="s">
        <v>125</v>
      </c>
      <c r="E39" s="290" t="s">
        <v>608</v>
      </c>
      <c r="F39" s="291" t="str">
        <f t="shared" si="7"/>
        <v>R-134a</v>
      </c>
      <c r="G39" s="293">
        <f t="shared" ref="G39:G40" si="28">G25</f>
        <v>0.112</v>
      </c>
      <c r="H39" s="293"/>
      <c r="I39" s="297">
        <f t="shared" si="8"/>
        <v>0</v>
      </c>
      <c r="J39" s="297">
        <f t="shared" si="9"/>
        <v>0</v>
      </c>
      <c r="K39" s="297">
        <f t="shared" si="10"/>
        <v>0</v>
      </c>
      <c r="L39" s="297">
        <f t="shared" ref="L39:L47" si="29">SUM(I39:K39)</f>
        <v>0</v>
      </c>
      <c r="M39" s="261">
        <f>IF(SUM($I$39:$I$41)=0,0,I39/SUM(I$39:I$41))</f>
        <v>0</v>
      </c>
      <c r="N39" s="261">
        <f>J39/SUM(J$39:J$41)</f>
        <v>0</v>
      </c>
      <c r="O39" s="261">
        <f t="shared" ref="O39:O41" si="30">K39/SUM(K$39:K$41)</f>
        <v>0</v>
      </c>
      <c r="P39" s="261">
        <f t="shared" ref="P39:P41" si="31">L39/SUM(L$39:L$41)</f>
        <v>0</v>
      </c>
      <c r="Q39" s="261">
        <f>M39*HLOOKUP($E39,'Equipment Assumptions'!$C$30:$Q$31,2,0)</f>
        <v>0</v>
      </c>
      <c r="R39" s="261">
        <f>N39*HLOOKUP($E39,'Equipment Assumptions'!$C$30:$Q$31,2,0)</f>
        <v>0</v>
      </c>
      <c r="S39" s="261">
        <f>O39*HLOOKUP($E39,'Equipment Assumptions'!$C$30:$Q$31,2,0)</f>
        <v>0</v>
      </c>
      <c r="T39" s="261">
        <f>P39*HLOOKUP($E39,'Equipment Assumptions'!$C$30:$Q$31,2,0)</f>
        <v>0</v>
      </c>
      <c r="U39" s="294">
        <f>IF(F39=0,"",L39*VLOOKUP(F39,Lists!$C$72:$S$232,COLUMNS(Lists!$C$69:S$69),0))</f>
        <v>0</v>
      </c>
      <c r="V39" s="261">
        <f>U39/SUM(U$39:U$41)</f>
        <v>0</v>
      </c>
      <c r="W39" s="261">
        <f>V39*HLOOKUP($E39,'Equipment Assumptions'!$C$30:$Q$31,2,0)</f>
        <v>0</v>
      </c>
      <c r="X39" s="217"/>
      <c r="Y39" s="217"/>
      <c r="Z39" s="217"/>
      <c r="AA39" s="217"/>
      <c r="AB39" s="217"/>
      <c r="AC39" s="217"/>
      <c r="AD39" s="217"/>
      <c r="AE39" s="217"/>
      <c r="AF39" s="217"/>
      <c r="AG39" s="217"/>
      <c r="AH39" s="217"/>
      <c r="AI39" s="217"/>
      <c r="AJ39" s="217"/>
      <c r="AK39" s="217"/>
      <c r="AL39" s="217"/>
      <c r="AM39" s="217"/>
      <c r="AN39" s="217"/>
      <c r="AO39" s="217"/>
      <c r="AP39" s="217"/>
      <c r="AQ39" s="217"/>
      <c r="AR39" s="217"/>
      <c r="AS39" s="217"/>
      <c r="AT39" s="217"/>
      <c r="AU39" s="217"/>
      <c r="AV39" s="217"/>
      <c r="AW39" s="217"/>
      <c r="AX39" s="217"/>
      <c r="AY39" s="217"/>
      <c r="AZ39" s="217"/>
      <c r="BA39" s="217"/>
      <c r="BB39" s="217"/>
      <c r="BC39" s="217"/>
      <c r="BD39" s="217"/>
      <c r="BE39" s="217"/>
      <c r="BF39" s="217"/>
      <c r="BG39" s="217"/>
      <c r="BH39" s="217"/>
      <c r="BI39" s="217"/>
      <c r="BJ39" s="217"/>
      <c r="BK39" s="217"/>
      <c r="BL39" s="217"/>
      <c r="BM39" s="217"/>
      <c r="BN39" s="217"/>
      <c r="BO39" s="217"/>
      <c r="BP39" s="217"/>
      <c r="BQ39" s="217"/>
      <c r="BR39" s="217"/>
      <c r="BS39" s="217"/>
      <c r="BT39" s="217"/>
      <c r="BU39" s="217"/>
      <c r="BV39" s="217"/>
      <c r="BW39" s="217"/>
      <c r="BX39" s="217"/>
      <c r="BY39" s="217"/>
      <c r="BZ39" s="217"/>
      <c r="CA39" s="217"/>
      <c r="CB39" s="217"/>
      <c r="CC39" s="217"/>
      <c r="CD39" s="217"/>
      <c r="CE39" s="217"/>
      <c r="CF39" s="217"/>
      <c r="CG39" s="217"/>
      <c r="CH39" s="217"/>
      <c r="CI39" s="217"/>
      <c r="CJ39" s="217"/>
      <c r="CK39" s="217"/>
    </row>
    <row r="40" spans="1:89" x14ac:dyDescent="0.3">
      <c r="A40" s="217"/>
      <c r="B40" s="566"/>
      <c r="C40" s="289" t="s">
        <v>521</v>
      </c>
      <c r="D40" s="288" t="s">
        <v>144</v>
      </c>
      <c r="E40" s="290" t="s">
        <v>721</v>
      </c>
      <c r="F40" s="291" t="str">
        <f t="shared" si="7"/>
        <v>R-410A</v>
      </c>
      <c r="G40" s="293">
        <f t="shared" si="28"/>
        <v>3.6</v>
      </c>
      <c r="H40" s="293"/>
      <c r="I40" s="297">
        <f t="shared" si="8"/>
        <v>0</v>
      </c>
      <c r="J40" s="297">
        <f t="shared" si="9"/>
        <v>0</v>
      </c>
      <c r="K40" s="297">
        <f t="shared" si="10"/>
        <v>0</v>
      </c>
      <c r="L40" s="297">
        <f t="shared" si="29"/>
        <v>0</v>
      </c>
      <c r="M40" s="261">
        <f>IF(SUM($I$39:$I$41)=0,0,I40/SUM(I$39:I$41))</f>
        <v>0</v>
      </c>
      <c r="N40" s="261">
        <f t="shared" ref="N40:N41" si="32">J40/SUM(J$39:J$41)</f>
        <v>0</v>
      </c>
      <c r="O40" s="261">
        <f t="shared" si="30"/>
        <v>0</v>
      </c>
      <c r="P40" s="261">
        <f t="shared" si="31"/>
        <v>0</v>
      </c>
      <c r="Q40" s="261">
        <f>M40*HLOOKUP($E40,'Equipment Assumptions'!$C$30:$Q$31,2,0)</f>
        <v>0</v>
      </c>
      <c r="R40" s="261">
        <f>N40*HLOOKUP($E40,'Equipment Assumptions'!$C$30:$Q$31,2,0)</f>
        <v>0</v>
      </c>
      <c r="S40" s="261">
        <f>O40*HLOOKUP($E40,'Equipment Assumptions'!$C$30:$Q$31,2,0)</f>
        <v>0</v>
      </c>
      <c r="T40" s="261">
        <f>P40*HLOOKUP($E40,'Equipment Assumptions'!$C$30:$Q$31,2,0)</f>
        <v>0</v>
      </c>
      <c r="U40" s="294">
        <f>IF(F40=0,"",L40*VLOOKUP(F40,Lists!$C$72:$S$232,COLUMNS(Lists!$C$69:S$69),0))</f>
        <v>0</v>
      </c>
      <c r="V40" s="261">
        <f t="shared" ref="V40:V41" si="33">U40/SUM(U$39:U$41)</f>
        <v>0</v>
      </c>
      <c r="W40" s="261">
        <f>V40*HLOOKUP($E40,'Equipment Assumptions'!$C$30:$Q$31,2,0)</f>
        <v>0</v>
      </c>
      <c r="X40" s="217"/>
      <c r="Y40" s="217"/>
      <c r="Z40" s="217"/>
      <c r="AA40" s="217"/>
      <c r="AB40" s="217"/>
      <c r="AC40" s="217"/>
      <c r="AD40" s="217"/>
      <c r="AE40" s="217"/>
      <c r="AF40" s="217"/>
      <c r="AG40" s="217"/>
      <c r="AH40" s="217"/>
      <c r="AI40" s="217"/>
      <c r="AJ40" s="217"/>
      <c r="AK40" s="217"/>
      <c r="AL40" s="217"/>
      <c r="AM40" s="217"/>
      <c r="AN40" s="217"/>
      <c r="AO40" s="217"/>
      <c r="AP40" s="217"/>
      <c r="AQ40" s="217"/>
      <c r="AR40" s="217"/>
      <c r="AS40" s="217"/>
      <c r="AT40" s="217"/>
      <c r="AU40" s="217"/>
      <c r="AV40" s="217"/>
      <c r="AW40" s="217"/>
      <c r="AX40" s="217"/>
      <c r="AY40" s="217"/>
      <c r="AZ40" s="217"/>
      <c r="BA40" s="217"/>
      <c r="BB40" s="217"/>
      <c r="BC40" s="217"/>
      <c r="BD40" s="217"/>
      <c r="BE40" s="217"/>
      <c r="BF40" s="217"/>
      <c r="BG40" s="217"/>
      <c r="BH40" s="217"/>
      <c r="BI40" s="217"/>
      <c r="BJ40" s="217"/>
      <c r="BK40" s="217"/>
      <c r="BL40" s="217"/>
      <c r="BM40" s="217"/>
      <c r="BN40" s="217"/>
      <c r="BO40" s="217"/>
      <c r="BP40" s="217"/>
      <c r="BQ40" s="217"/>
      <c r="BR40" s="217"/>
      <c r="BS40" s="217"/>
      <c r="BT40" s="217"/>
      <c r="BU40" s="217"/>
      <c r="BV40" s="217"/>
      <c r="BW40" s="217"/>
      <c r="BX40" s="217"/>
      <c r="BY40" s="217"/>
      <c r="BZ40" s="217"/>
      <c r="CA40" s="217"/>
      <c r="CB40" s="217"/>
      <c r="CC40" s="217"/>
      <c r="CD40" s="217"/>
      <c r="CE40" s="217"/>
      <c r="CF40" s="217"/>
      <c r="CG40" s="217"/>
      <c r="CH40" s="217"/>
      <c r="CI40" s="217"/>
      <c r="CJ40" s="217"/>
      <c r="CK40" s="217"/>
    </row>
    <row r="41" spans="1:89" x14ac:dyDescent="0.3">
      <c r="A41" s="217"/>
      <c r="B41" s="566"/>
      <c r="C41" s="289" t="s">
        <v>521</v>
      </c>
      <c r="D41" s="288" t="s">
        <v>144</v>
      </c>
      <c r="E41" s="290" t="s">
        <v>723</v>
      </c>
      <c r="F41" s="291" t="str">
        <f t="shared" si="7"/>
        <v>R-410A</v>
      </c>
      <c r="G41" s="295">
        <v>0.13846153846153844</v>
      </c>
      <c r="H41" s="426">
        <f>G41*VLOOKUP(C41,'Building Customization'!$B$10:$C$28,2,0)</f>
        <v>0.13846153846153844</v>
      </c>
      <c r="I41" s="297">
        <f t="shared" si="8"/>
        <v>0</v>
      </c>
      <c r="J41" s="297">
        <f t="shared" si="9"/>
        <v>0.14399999999999999</v>
      </c>
      <c r="K41" s="297">
        <f t="shared" si="10"/>
        <v>1.7280000000000004E-2</v>
      </c>
      <c r="L41" s="297">
        <f t="shared" si="29"/>
        <v>0.16127999999999998</v>
      </c>
      <c r="M41" s="261">
        <f>IF(SUM($I$39:$I$41)=0,0,I41/SUM(I$39:I$41))</f>
        <v>0</v>
      </c>
      <c r="N41" s="261">
        <f t="shared" si="32"/>
        <v>1</v>
      </c>
      <c r="O41" s="261">
        <f t="shared" si="30"/>
        <v>1</v>
      </c>
      <c r="P41" s="261">
        <f t="shared" si="31"/>
        <v>1</v>
      </c>
      <c r="Q41" s="261">
        <f>M41*HLOOKUP($E41,'Equipment Assumptions'!$C$30:$Q$31,2,0)</f>
        <v>0</v>
      </c>
      <c r="R41" s="261">
        <f>N41*HLOOKUP($E41,'Equipment Assumptions'!$C$30:$Q$31,2,0)</f>
        <v>0.5</v>
      </c>
      <c r="S41" s="261">
        <f>O41*HLOOKUP($E41,'Equipment Assumptions'!$C$30:$Q$31,2,0)</f>
        <v>0.5</v>
      </c>
      <c r="T41" s="261">
        <f>P41*HLOOKUP($E41,'Equipment Assumptions'!$C$30:$Q$31,2,0)</f>
        <v>0.5</v>
      </c>
      <c r="U41" s="294">
        <f>IF(F41=0,"",L41*VLOOKUP(F41,Lists!$C$72:$S$232,COLUMNS(Lists!$C$69:S$69),0))</f>
        <v>336.67199999999997</v>
      </c>
      <c r="V41" s="261">
        <f t="shared" si="33"/>
        <v>1</v>
      </c>
      <c r="W41" s="261">
        <f>V41*HLOOKUP($E41,'Equipment Assumptions'!$C$30:$Q$31,2,0)</f>
        <v>0.5</v>
      </c>
      <c r="X41" s="217"/>
      <c r="Y41" s="217"/>
      <c r="Z41" s="217"/>
      <c r="AA41" s="217"/>
      <c r="AB41" s="217"/>
      <c r="AC41" s="217"/>
      <c r="AD41" s="217"/>
      <c r="AE41" s="217"/>
      <c r="AF41" s="217"/>
      <c r="AG41" s="217"/>
      <c r="AH41" s="217"/>
      <c r="AI41" s="217"/>
      <c r="AJ41" s="217"/>
      <c r="AK41" s="217"/>
      <c r="AL41" s="217"/>
      <c r="AM41" s="217"/>
      <c r="AN41" s="217"/>
      <c r="AO41" s="217"/>
      <c r="AP41" s="217"/>
      <c r="AQ41" s="217"/>
      <c r="AR41" s="217"/>
      <c r="AS41" s="217"/>
      <c r="AT41" s="217"/>
      <c r="AU41" s="217"/>
      <c r="AV41" s="217"/>
      <c r="AW41" s="217"/>
      <c r="AX41" s="217"/>
      <c r="AY41" s="217"/>
      <c r="AZ41" s="217"/>
      <c r="BA41" s="217"/>
      <c r="BB41" s="217"/>
      <c r="BC41" s="217"/>
      <c r="BD41" s="217"/>
      <c r="BE41" s="217"/>
      <c r="BF41" s="217"/>
      <c r="BG41" s="217"/>
      <c r="BH41" s="217"/>
      <c r="BI41" s="217"/>
      <c r="BJ41" s="217"/>
      <c r="BK41" s="217"/>
      <c r="BL41" s="217"/>
      <c r="BM41" s="217"/>
      <c r="BN41" s="217"/>
      <c r="BO41" s="217"/>
      <c r="BP41" s="217"/>
      <c r="BQ41" s="217"/>
      <c r="BR41" s="217"/>
      <c r="BS41" s="217"/>
      <c r="BT41" s="217"/>
      <c r="BU41" s="217"/>
      <c r="BV41" s="217"/>
      <c r="BW41" s="217"/>
      <c r="BX41" s="217"/>
      <c r="BY41" s="217"/>
      <c r="BZ41" s="217"/>
      <c r="CA41" s="217"/>
      <c r="CB41" s="217"/>
      <c r="CC41" s="217"/>
      <c r="CD41" s="217"/>
      <c r="CE41" s="217"/>
      <c r="CF41" s="217"/>
      <c r="CG41" s="217"/>
      <c r="CH41" s="217"/>
      <c r="CI41" s="217"/>
      <c r="CJ41" s="217"/>
      <c r="CK41" s="217"/>
    </row>
    <row r="42" spans="1:89" ht="27.6" x14ac:dyDescent="0.3">
      <c r="A42" s="217"/>
      <c r="B42" s="566"/>
      <c r="C42" s="289" t="s">
        <v>522</v>
      </c>
      <c r="D42" s="289" t="s">
        <v>125</v>
      </c>
      <c r="E42" s="290" t="s">
        <v>608</v>
      </c>
      <c r="F42" s="291" t="str">
        <f t="shared" si="7"/>
        <v>R-134a</v>
      </c>
      <c r="G42" s="292">
        <v>0.112</v>
      </c>
      <c r="H42" s="293">
        <f>G42</f>
        <v>0.112</v>
      </c>
      <c r="I42" s="297">
        <f t="shared" si="8"/>
        <v>0</v>
      </c>
      <c r="J42" s="297">
        <f t="shared" si="9"/>
        <v>8.4000000000000009E-5</v>
      </c>
      <c r="K42" s="297">
        <f t="shared" si="10"/>
        <v>7.5347999999999984E-4</v>
      </c>
      <c r="L42" s="297">
        <f t="shared" si="29"/>
        <v>8.3747999999999982E-4</v>
      </c>
      <c r="M42" s="261">
        <f>IF(SUM($I$42:$I$46)=0,0,I42/SUM(I$42:I$46))</f>
        <v>0</v>
      </c>
      <c r="N42" s="261">
        <f>J42/SUM(J$42:J$46)</f>
        <v>4.359775618941131E-4</v>
      </c>
      <c r="O42" s="261">
        <f t="shared" ref="O42:O46" si="34">K42/SUM(K$42:K$46)</f>
        <v>2.8992962670181241E-2</v>
      </c>
      <c r="P42" s="261">
        <f t="shared" ref="P42:P46" si="35">L42/SUM(L$42:L$46)</f>
        <v>3.823051636545418E-3</v>
      </c>
      <c r="Q42" s="261">
        <f>M42*HLOOKUP($E42,'Equipment Assumptions'!$C$30:$Q$31,2,0)</f>
        <v>0</v>
      </c>
      <c r="R42" s="261">
        <f>N42*HLOOKUP($E42,'Equipment Assumptions'!$C$30:$Q$31,2,0)</f>
        <v>4.359775618941131E-4</v>
      </c>
      <c r="S42" s="261">
        <f>O42*HLOOKUP($E42,'Equipment Assumptions'!$C$30:$Q$31,2,0)</f>
        <v>2.8992962670181241E-2</v>
      </c>
      <c r="T42" s="261">
        <f>P42*HLOOKUP($E42,'Equipment Assumptions'!$C$30:$Q$31,2,0)</f>
        <v>3.823051636545418E-3</v>
      </c>
      <c r="U42" s="294">
        <f>IF(F42=0,"",L42*VLOOKUP(F42,Lists!$C$72:$S$232,COLUMNS(Lists!$C$69:S$69),0))</f>
        <v>1.1975963999999997</v>
      </c>
      <c r="V42" s="261">
        <f>U42/SUM(U$42:U$46)</f>
        <v>2.1619723715653101E-3</v>
      </c>
      <c r="W42" s="261">
        <f>V42*HLOOKUP($E42,'Equipment Assumptions'!$C$30:$Q$31,2,0)</f>
        <v>2.1619723715653101E-3</v>
      </c>
      <c r="X42" s="217"/>
      <c r="Y42" s="217"/>
      <c r="Z42" s="217"/>
      <c r="AA42" s="217"/>
      <c r="AB42" s="217"/>
      <c r="AC42" s="217"/>
      <c r="AD42" s="217"/>
      <c r="AE42" s="217"/>
      <c r="AF42" s="217"/>
      <c r="AG42" s="217"/>
      <c r="AH42" s="217"/>
      <c r="AI42" s="217"/>
      <c r="AJ42" s="217"/>
      <c r="AK42" s="217"/>
      <c r="AL42" s="217"/>
      <c r="AM42" s="217"/>
      <c r="AN42" s="217"/>
      <c r="AO42" s="217"/>
      <c r="AP42" s="217"/>
      <c r="AQ42" s="217"/>
      <c r="AR42" s="217"/>
      <c r="AS42" s="217"/>
      <c r="AT42" s="217"/>
      <c r="AU42" s="217"/>
      <c r="AV42" s="217"/>
      <c r="AW42" s="217"/>
      <c r="AX42" s="217"/>
      <c r="AY42" s="217"/>
      <c r="AZ42" s="217"/>
      <c r="BA42" s="217"/>
      <c r="BB42" s="217"/>
      <c r="BC42" s="217"/>
      <c r="BD42" s="217"/>
      <c r="BE42" s="217"/>
      <c r="BF42" s="217"/>
      <c r="BG42" s="217"/>
      <c r="BH42" s="217"/>
      <c r="BI42" s="217"/>
      <c r="BJ42" s="217"/>
      <c r="BK42" s="217"/>
      <c r="BL42" s="217"/>
      <c r="BM42" s="217"/>
      <c r="BN42" s="217"/>
      <c r="BO42" s="217"/>
      <c r="BP42" s="217"/>
      <c r="BQ42" s="217"/>
      <c r="BR42" s="217"/>
      <c r="BS42" s="217"/>
      <c r="BT42" s="217"/>
      <c r="BU42" s="217"/>
      <c r="BV42" s="217"/>
      <c r="BW42" s="217"/>
      <c r="BX42" s="217"/>
      <c r="BY42" s="217"/>
      <c r="BZ42" s="217"/>
      <c r="CA42" s="217"/>
      <c r="CB42" s="217"/>
      <c r="CC42" s="217"/>
      <c r="CD42" s="217"/>
      <c r="CE42" s="217"/>
      <c r="CF42" s="217"/>
      <c r="CG42" s="217"/>
      <c r="CH42" s="217"/>
      <c r="CI42" s="217"/>
      <c r="CJ42" s="217"/>
      <c r="CK42" s="217"/>
    </row>
    <row r="43" spans="1:89" ht="27.6" x14ac:dyDescent="0.3">
      <c r="A43" s="217"/>
      <c r="B43" s="566"/>
      <c r="C43" s="289" t="s">
        <v>522</v>
      </c>
      <c r="D43" s="289" t="s">
        <v>114</v>
      </c>
      <c r="E43" s="290" t="s">
        <v>610</v>
      </c>
      <c r="F43" s="291" t="str">
        <f t="shared" si="7"/>
        <v>R-134a</v>
      </c>
      <c r="G43" s="295">
        <f>(7/74671)*1000</f>
        <v>9.3744559467530894E-2</v>
      </c>
      <c r="H43" s="293">
        <f>G43</f>
        <v>9.3744559467530894E-2</v>
      </c>
      <c r="I43" s="297">
        <f t="shared" si="8"/>
        <v>0</v>
      </c>
      <c r="J43" s="297">
        <f t="shared" si="9"/>
        <v>3.749782378701236E-4</v>
      </c>
      <c r="K43" s="297">
        <f t="shared" si="10"/>
        <v>2.531103105623335E-3</v>
      </c>
      <c r="L43" s="297">
        <f t="shared" si="29"/>
        <v>2.9060813434934585E-3</v>
      </c>
      <c r="M43" s="261">
        <f t="shared" ref="M43:M46" si="36">IF(SUM($I$42:$I$46)=0,0,I43/SUM(I$42:I$46))</f>
        <v>0</v>
      </c>
      <c r="N43" s="261">
        <f t="shared" ref="N43:N46" si="37">J43/SUM(J$42:J$46)</f>
        <v>1.946215451309134E-3</v>
      </c>
      <c r="O43" s="261">
        <f t="shared" si="34"/>
        <v>9.7393663873914599E-2</v>
      </c>
      <c r="P43" s="261">
        <f t="shared" si="35"/>
        <v>1.3266106696490396E-2</v>
      </c>
      <c r="Q43" s="261">
        <f>M43*HLOOKUP($E43,'Equipment Assumptions'!$C$30:$Q$31,2,0)</f>
        <v>0</v>
      </c>
      <c r="R43" s="261">
        <f>N43*HLOOKUP($E43,'Equipment Assumptions'!$C$30:$Q$31,2,0)</f>
        <v>1.946215451309134E-3</v>
      </c>
      <c r="S43" s="261">
        <f>O43*HLOOKUP($E43,'Equipment Assumptions'!$C$30:$Q$31,2,0)</f>
        <v>9.7393663873914599E-2</v>
      </c>
      <c r="T43" s="261">
        <f>P43*HLOOKUP($E43,'Equipment Assumptions'!$C$30:$Q$31,2,0)</f>
        <v>1.3266106696490396E-2</v>
      </c>
      <c r="U43" s="294">
        <f>IF(F43=0,"",L43*VLOOKUP(F43,Lists!$C$72:$S$232,COLUMNS(Lists!$C$69:S$69),0))</f>
        <v>4.1556963211956459</v>
      </c>
      <c r="V43" s="261">
        <f t="shared" ref="V43:V46" si="38">U43/SUM(U$42:U$46)</f>
        <v>7.5021105867056617E-3</v>
      </c>
      <c r="W43" s="261">
        <f>V43*HLOOKUP($E43,'Equipment Assumptions'!$C$30:$Q$31,2,0)</f>
        <v>7.5021105867056617E-3</v>
      </c>
      <c r="X43" s="217"/>
      <c r="Y43" s="217"/>
      <c r="Z43" s="217"/>
      <c r="AA43" s="217"/>
      <c r="AB43" s="217"/>
      <c r="AC43" s="217"/>
      <c r="AD43" s="217"/>
      <c r="AE43" s="217"/>
      <c r="AF43" s="217"/>
      <c r="AG43" s="217"/>
      <c r="AH43" s="217"/>
      <c r="AI43" s="217"/>
      <c r="AJ43" s="217"/>
      <c r="AK43" s="217"/>
      <c r="AL43" s="217"/>
      <c r="AM43" s="217"/>
      <c r="AN43" s="217"/>
      <c r="AO43" s="217"/>
      <c r="AP43" s="217"/>
      <c r="AQ43" s="217"/>
      <c r="AR43" s="217"/>
      <c r="AS43" s="217"/>
      <c r="AT43" s="217"/>
      <c r="AU43" s="217"/>
      <c r="AV43" s="217"/>
      <c r="AW43" s="217"/>
      <c r="AX43" s="217"/>
      <c r="AY43" s="217"/>
      <c r="AZ43" s="217"/>
      <c r="BA43" s="217"/>
      <c r="BB43" s="217"/>
      <c r="BC43" s="217"/>
      <c r="BD43" s="217"/>
      <c r="BE43" s="217"/>
      <c r="BF43" s="217"/>
      <c r="BG43" s="217"/>
      <c r="BH43" s="217"/>
      <c r="BI43" s="217"/>
      <c r="BJ43" s="217"/>
      <c r="BK43" s="217"/>
      <c r="BL43" s="217"/>
      <c r="BM43" s="217"/>
      <c r="BN43" s="217"/>
      <c r="BO43" s="217"/>
      <c r="BP43" s="217"/>
      <c r="BQ43" s="217"/>
      <c r="BR43" s="217"/>
      <c r="BS43" s="217"/>
      <c r="BT43" s="217"/>
      <c r="BU43" s="217"/>
      <c r="BV43" s="217"/>
      <c r="BW43" s="217"/>
      <c r="BX43" s="217"/>
      <c r="BY43" s="217"/>
      <c r="BZ43" s="217"/>
      <c r="CA43" s="217"/>
      <c r="CB43" s="217"/>
      <c r="CC43" s="217"/>
      <c r="CD43" s="217"/>
      <c r="CE43" s="217"/>
      <c r="CF43" s="217"/>
      <c r="CG43" s="217"/>
      <c r="CH43" s="217"/>
      <c r="CI43" s="217"/>
      <c r="CJ43" s="217"/>
      <c r="CK43" s="217"/>
    </row>
    <row r="44" spans="1:89" ht="27.6" x14ac:dyDescent="0.3">
      <c r="A44" s="217"/>
      <c r="B44" s="566"/>
      <c r="C44" s="289" t="s">
        <v>522</v>
      </c>
      <c r="D44" s="289" t="s">
        <v>519</v>
      </c>
      <c r="E44" s="289" t="s">
        <v>612</v>
      </c>
      <c r="F44" s="291" t="str">
        <f t="shared" si="7"/>
        <v>R-404A</v>
      </c>
      <c r="G44" s="295">
        <f>(3/74671)*1000</f>
        <v>4.0176239771798954E-2</v>
      </c>
      <c r="H44" s="293">
        <f>G44</f>
        <v>4.0176239771798954E-2</v>
      </c>
      <c r="I44" s="297">
        <f t="shared" si="8"/>
        <v>4.0176239771798957E-4</v>
      </c>
      <c r="J44" s="297">
        <f t="shared" si="9"/>
        <v>4.8211487726158742E-2</v>
      </c>
      <c r="K44" s="297">
        <f t="shared" si="10"/>
        <v>5.4237923691928605E-3</v>
      </c>
      <c r="L44" s="297">
        <f t="shared" si="29"/>
        <v>5.4037042493069593E-2</v>
      </c>
      <c r="M44" s="261">
        <f t="shared" si="36"/>
        <v>1</v>
      </c>
      <c r="N44" s="261">
        <f t="shared" si="37"/>
        <v>0.25022770088260293</v>
      </c>
      <c r="O44" s="261">
        <f t="shared" si="34"/>
        <v>0.20870070830124557</v>
      </c>
      <c r="P44" s="261">
        <f t="shared" si="35"/>
        <v>0.246676223596031</v>
      </c>
      <c r="Q44" s="261">
        <f>M44*HLOOKUP($E44,'Equipment Assumptions'!$C$30:$Q$31,2,0)</f>
        <v>0.6</v>
      </c>
      <c r="R44" s="261">
        <f>N44*HLOOKUP($E44,'Equipment Assumptions'!$C$30:$Q$31,2,0)</f>
        <v>0.15013662052956175</v>
      </c>
      <c r="S44" s="261">
        <f>O44*HLOOKUP($E44,'Equipment Assumptions'!$C$30:$Q$31,2,0)</f>
        <v>0.12522042498074734</v>
      </c>
      <c r="T44" s="261">
        <f>P44*HLOOKUP($E44,'Equipment Assumptions'!$C$30:$Q$31,2,0)</f>
        <v>0.14800573415761858</v>
      </c>
      <c r="U44" s="294">
        <f>IF(F44=0,"",L44*VLOOKUP(F44,Lists!$C$72:$S$232,COLUMNS(Lists!$C$69:S$69),0))</f>
        <v>211.91166584082174</v>
      </c>
      <c r="V44" s="261">
        <f t="shared" si="38"/>
        <v>0.38255556442908234</v>
      </c>
      <c r="W44" s="261">
        <f>V44*HLOOKUP($E44,'Equipment Assumptions'!$C$30:$Q$31,2,0)</f>
        <v>0.2295333386574494</v>
      </c>
      <c r="X44" s="217"/>
      <c r="Y44" s="217"/>
      <c r="Z44" s="217"/>
      <c r="AA44" s="217"/>
      <c r="AB44" s="217"/>
      <c r="AC44" s="217"/>
      <c r="AD44" s="217"/>
      <c r="AE44" s="217"/>
      <c r="AF44" s="217"/>
      <c r="AG44" s="217"/>
      <c r="AH44" s="217"/>
      <c r="AI44" s="217"/>
      <c r="AJ44" s="217"/>
      <c r="AK44" s="217"/>
      <c r="AL44" s="217"/>
      <c r="AM44" s="217"/>
      <c r="AN44" s="217"/>
      <c r="AO44" s="217"/>
      <c r="AP44" s="217"/>
      <c r="AQ44" s="217"/>
      <c r="AR44" s="217"/>
      <c r="AS44" s="217"/>
      <c r="AT44" s="217"/>
      <c r="AU44" s="217"/>
      <c r="AV44" s="217"/>
      <c r="AW44" s="217"/>
      <c r="AX44" s="217"/>
      <c r="AY44" s="217"/>
      <c r="AZ44" s="217"/>
      <c r="BA44" s="217"/>
      <c r="BB44" s="217"/>
      <c r="BC44" s="217"/>
      <c r="BD44" s="217"/>
      <c r="BE44" s="217"/>
      <c r="BF44" s="217"/>
      <c r="BG44" s="217"/>
      <c r="BH44" s="217"/>
      <c r="BI44" s="217"/>
      <c r="BJ44" s="217"/>
      <c r="BK44" s="217"/>
      <c r="BL44" s="217"/>
      <c r="BM44" s="217"/>
      <c r="BN44" s="217"/>
      <c r="BO44" s="217"/>
      <c r="BP44" s="217"/>
      <c r="BQ44" s="217"/>
      <c r="BR44" s="217"/>
      <c r="BS44" s="217"/>
      <c r="BT44" s="217"/>
      <c r="BU44" s="217"/>
      <c r="BV44" s="217"/>
      <c r="BW44" s="217"/>
      <c r="BX44" s="217"/>
      <c r="BY44" s="217"/>
      <c r="BZ44" s="217"/>
      <c r="CA44" s="217"/>
      <c r="CB44" s="217"/>
      <c r="CC44" s="217"/>
      <c r="CD44" s="217"/>
      <c r="CE44" s="217"/>
      <c r="CF44" s="217"/>
      <c r="CG44" s="217"/>
      <c r="CH44" s="217"/>
      <c r="CI44" s="217"/>
      <c r="CJ44" s="217"/>
      <c r="CK44" s="217"/>
    </row>
    <row r="45" spans="1:89" ht="27.6" x14ac:dyDescent="0.3">
      <c r="A45" s="217"/>
      <c r="B45" s="566"/>
      <c r="C45" s="289" t="s">
        <v>522</v>
      </c>
      <c r="D45" s="288" t="s">
        <v>144</v>
      </c>
      <c r="E45" s="290" t="s">
        <v>721</v>
      </c>
      <c r="F45" s="291" t="str">
        <f t="shared" si="7"/>
        <v>R-410A</v>
      </c>
      <c r="G45" s="293">
        <f>G31</f>
        <v>3.6</v>
      </c>
      <c r="H45" s="293"/>
      <c r="I45" s="297">
        <f t="shared" si="8"/>
        <v>0</v>
      </c>
      <c r="J45" s="297">
        <f t="shared" si="9"/>
        <v>0</v>
      </c>
      <c r="K45" s="297">
        <f t="shared" si="10"/>
        <v>0</v>
      </c>
      <c r="L45" s="297">
        <f t="shared" si="29"/>
        <v>0</v>
      </c>
      <c r="M45" s="261">
        <f t="shared" si="36"/>
        <v>0</v>
      </c>
      <c r="N45" s="261">
        <f t="shared" si="37"/>
        <v>0</v>
      </c>
      <c r="O45" s="261">
        <f t="shared" si="34"/>
        <v>0</v>
      </c>
      <c r="P45" s="261">
        <f t="shared" si="35"/>
        <v>0</v>
      </c>
      <c r="Q45" s="261">
        <f>M45*HLOOKUP($E45,'Equipment Assumptions'!$C$30:$Q$31,2,0)</f>
        <v>0</v>
      </c>
      <c r="R45" s="261">
        <f>N45*HLOOKUP($E45,'Equipment Assumptions'!$C$30:$Q$31,2,0)</f>
        <v>0</v>
      </c>
      <c r="S45" s="261">
        <f>O45*HLOOKUP($E45,'Equipment Assumptions'!$C$30:$Q$31,2,0)</f>
        <v>0</v>
      </c>
      <c r="T45" s="261">
        <f>P45*HLOOKUP($E45,'Equipment Assumptions'!$C$30:$Q$31,2,0)</f>
        <v>0</v>
      </c>
      <c r="U45" s="294">
        <f>IF(F45=0,"",L45*VLOOKUP(F45,Lists!$C$72:$S$232,COLUMNS(Lists!$C$69:S$69),0))</f>
        <v>0</v>
      </c>
      <c r="V45" s="261">
        <f t="shared" si="38"/>
        <v>0</v>
      </c>
      <c r="W45" s="261">
        <f>V45*HLOOKUP($E45,'Equipment Assumptions'!$C$30:$Q$31,2,0)</f>
        <v>0</v>
      </c>
      <c r="X45" s="217"/>
      <c r="Y45" s="217"/>
      <c r="Z45" s="217"/>
      <c r="AA45" s="217"/>
      <c r="AB45" s="217"/>
      <c r="AC45" s="217"/>
      <c r="AD45" s="217"/>
      <c r="AE45" s="217"/>
      <c r="AF45" s="217"/>
      <c r="AG45" s="217"/>
      <c r="AH45" s="217"/>
      <c r="AI45" s="217"/>
      <c r="AJ45" s="217"/>
      <c r="AK45" s="217"/>
      <c r="AL45" s="217"/>
      <c r="AM45" s="217"/>
      <c r="AN45" s="217"/>
      <c r="AO45" s="217"/>
      <c r="AP45" s="217"/>
      <c r="AQ45" s="217"/>
      <c r="AR45" s="217"/>
      <c r="AS45" s="217"/>
      <c r="AT45" s="217"/>
      <c r="AU45" s="217"/>
      <c r="AV45" s="217"/>
      <c r="AW45" s="217"/>
      <c r="AX45" s="217"/>
      <c r="AY45" s="217"/>
      <c r="AZ45" s="217"/>
      <c r="BA45" s="217"/>
      <c r="BB45" s="217"/>
      <c r="BC45" s="217"/>
      <c r="BD45" s="217"/>
      <c r="BE45" s="217"/>
      <c r="BF45" s="217"/>
      <c r="BG45" s="217"/>
      <c r="BH45" s="217"/>
      <c r="BI45" s="217"/>
      <c r="BJ45" s="217"/>
      <c r="BK45" s="217"/>
      <c r="BL45" s="217"/>
      <c r="BM45" s="217"/>
      <c r="BN45" s="217"/>
      <c r="BO45" s="217"/>
      <c r="BP45" s="217"/>
      <c r="BQ45" s="217"/>
      <c r="BR45" s="217"/>
      <c r="BS45" s="217"/>
      <c r="BT45" s="217"/>
      <c r="BU45" s="217"/>
      <c r="BV45" s="217"/>
      <c r="BW45" s="217"/>
      <c r="BX45" s="217"/>
      <c r="BY45" s="217"/>
      <c r="BZ45" s="217"/>
      <c r="CA45" s="217"/>
      <c r="CB45" s="217"/>
      <c r="CC45" s="217"/>
      <c r="CD45" s="217"/>
      <c r="CE45" s="217"/>
      <c r="CF45" s="217"/>
      <c r="CG45" s="217"/>
      <c r="CH45" s="217"/>
      <c r="CI45" s="217"/>
      <c r="CJ45" s="217"/>
      <c r="CK45" s="217"/>
    </row>
    <row r="46" spans="1:89" ht="27.6" x14ac:dyDescent="0.3">
      <c r="A46" s="217"/>
      <c r="B46" s="566"/>
      <c r="C46" s="289" t="s">
        <v>522</v>
      </c>
      <c r="D46" s="288" t="s">
        <v>144</v>
      </c>
      <c r="E46" s="290" t="s">
        <v>723</v>
      </c>
      <c r="F46" s="291" t="str">
        <f t="shared" si="7"/>
        <v>R-410A</v>
      </c>
      <c r="G46" s="295">
        <f>G32</f>
        <v>0.13846153846153844</v>
      </c>
      <c r="H46" s="426">
        <f>G46*VLOOKUP(C46,'Building Customization'!$B$10:$C$28,2,0)</f>
        <v>0.13846153846153844</v>
      </c>
      <c r="I46" s="297">
        <f t="shared" si="8"/>
        <v>0</v>
      </c>
      <c r="J46" s="297">
        <f t="shared" si="9"/>
        <v>0.14399999999999999</v>
      </c>
      <c r="K46" s="297">
        <f t="shared" si="10"/>
        <v>1.7280000000000004E-2</v>
      </c>
      <c r="L46" s="297">
        <f t="shared" si="29"/>
        <v>0.16127999999999998</v>
      </c>
      <c r="M46" s="261">
        <f t="shared" si="36"/>
        <v>0</v>
      </c>
      <c r="N46" s="261">
        <f t="shared" si="37"/>
        <v>0.74739010610419376</v>
      </c>
      <c r="O46" s="261">
        <f t="shared" si="34"/>
        <v>0.66491266515465852</v>
      </c>
      <c r="P46" s="261">
        <f t="shared" si="35"/>
        <v>0.73623461807093316</v>
      </c>
      <c r="Q46" s="261">
        <f>M46*HLOOKUP($E46,'Equipment Assumptions'!$C$30:$Q$31,2,0)</f>
        <v>0</v>
      </c>
      <c r="R46" s="261">
        <f>N46*HLOOKUP($E46,'Equipment Assumptions'!$C$30:$Q$31,2,0)</f>
        <v>0.37369505305209688</v>
      </c>
      <c r="S46" s="261">
        <f>O46*HLOOKUP($E46,'Equipment Assumptions'!$C$30:$Q$31,2,0)</f>
        <v>0.33245633257732926</v>
      </c>
      <c r="T46" s="261">
        <f>P46*HLOOKUP($E46,'Equipment Assumptions'!$C$30:$Q$31,2,0)</f>
        <v>0.36811730903546658</v>
      </c>
      <c r="U46" s="294">
        <f>IF(F46=0,"",L46*VLOOKUP(F46,Lists!$C$72:$S$232,COLUMNS(Lists!$C$69:S$69),0))</f>
        <v>336.67199999999997</v>
      </c>
      <c r="V46" s="261">
        <f t="shared" si="38"/>
        <v>0.60778035261264673</v>
      </c>
      <c r="W46" s="261">
        <f>V46*HLOOKUP($E46,'Equipment Assumptions'!$C$30:$Q$31,2,0)</f>
        <v>0.30389017630632337</v>
      </c>
      <c r="X46" s="217"/>
      <c r="Y46" s="217"/>
      <c r="Z46" s="217"/>
      <c r="AA46" s="217"/>
      <c r="AB46" s="217"/>
      <c r="AC46" s="217"/>
      <c r="AD46" s="217"/>
      <c r="AE46" s="217"/>
      <c r="AF46" s="217"/>
      <c r="AG46" s="217"/>
      <c r="AH46" s="217"/>
      <c r="AI46" s="217"/>
      <c r="AJ46" s="217"/>
      <c r="AK46" s="217"/>
      <c r="AL46" s="217"/>
      <c r="AM46" s="217"/>
      <c r="AN46" s="217"/>
      <c r="AO46" s="217"/>
      <c r="AP46" s="217"/>
      <c r="AQ46" s="217"/>
      <c r="AR46" s="217"/>
      <c r="AS46" s="217"/>
      <c r="AT46" s="217"/>
      <c r="AU46" s="217"/>
      <c r="AV46" s="217"/>
      <c r="AW46" s="217"/>
      <c r="AX46" s="217"/>
      <c r="AY46" s="217"/>
      <c r="AZ46" s="217"/>
      <c r="BA46" s="217"/>
      <c r="BB46" s="217"/>
      <c r="BC46" s="217"/>
      <c r="BD46" s="217"/>
      <c r="BE46" s="217"/>
      <c r="BF46" s="217"/>
      <c r="BG46" s="217"/>
      <c r="BH46" s="217"/>
      <c r="BI46" s="217"/>
      <c r="BJ46" s="217"/>
      <c r="BK46" s="217"/>
      <c r="BL46" s="217"/>
      <c r="BM46" s="217"/>
      <c r="BN46" s="217"/>
      <c r="BO46" s="217"/>
      <c r="BP46" s="217"/>
      <c r="BQ46" s="217"/>
      <c r="BR46" s="217"/>
      <c r="BS46" s="217"/>
      <c r="BT46" s="217"/>
      <c r="BU46" s="217"/>
      <c r="BV46" s="217"/>
      <c r="BW46" s="217"/>
      <c r="BX46" s="217"/>
      <c r="BY46" s="217"/>
      <c r="BZ46" s="217"/>
      <c r="CA46" s="217"/>
      <c r="CB46" s="217"/>
      <c r="CC46" s="217"/>
      <c r="CD46" s="217"/>
      <c r="CE46" s="217"/>
      <c r="CF46" s="217"/>
      <c r="CG46" s="217"/>
      <c r="CH46" s="217"/>
      <c r="CI46" s="217"/>
      <c r="CJ46" s="217"/>
      <c r="CK46" s="217"/>
    </row>
    <row r="47" spans="1:89" x14ac:dyDescent="0.3">
      <c r="A47" s="217"/>
      <c r="B47" s="566"/>
      <c r="C47" s="289" t="s">
        <v>429</v>
      </c>
      <c r="D47" s="288" t="s">
        <v>144</v>
      </c>
      <c r="E47" s="290" t="s">
        <v>723</v>
      </c>
      <c r="F47" s="291" t="str">
        <f t="shared" si="7"/>
        <v>R-410A</v>
      </c>
      <c r="G47" s="295">
        <v>0.13846153846153844</v>
      </c>
      <c r="H47" s="426">
        <f>G47*VLOOKUP(C47,'Building Customization'!$B$10:$C$28,2,0)</f>
        <v>0.13846153846153844</v>
      </c>
      <c r="I47" s="297">
        <f t="shared" si="8"/>
        <v>0</v>
      </c>
      <c r="J47" s="297">
        <f t="shared" si="9"/>
        <v>0.14399999999999999</v>
      </c>
      <c r="K47" s="297">
        <f t="shared" si="10"/>
        <v>1.7280000000000004E-2</v>
      </c>
      <c r="L47" s="297">
        <f t="shared" si="29"/>
        <v>0.16127999999999998</v>
      </c>
      <c r="M47" s="261">
        <f>IF(SUM($I$47)=0,0,I47/SUM(I$47))</f>
        <v>0</v>
      </c>
      <c r="N47" s="261">
        <f>J47/SUM(J$47)</f>
        <v>1</v>
      </c>
      <c r="O47" s="261">
        <f>K47/SUM(K$47)</f>
        <v>1</v>
      </c>
      <c r="P47" s="261">
        <f>L47/SUM(L$47)</f>
        <v>1</v>
      </c>
      <c r="Q47" s="261">
        <f>M47*HLOOKUP($E47,'Equipment Assumptions'!$C$30:$Q$31,2,0)</f>
        <v>0</v>
      </c>
      <c r="R47" s="261">
        <f>N47*HLOOKUP($E47,'Equipment Assumptions'!$C$30:$Q$31,2,0)</f>
        <v>0.5</v>
      </c>
      <c r="S47" s="261">
        <f>O47*HLOOKUP($E47,'Equipment Assumptions'!$C$30:$Q$31,2,0)</f>
        <v>0.5</v>
      </c>
      <c r="T47" s="261">
        <f>P47*HLOOKUP($E47,'Equipment Assumptions'!$C$30:$Q$31,2,0)</f>
        <v>0.5</v>
      </c>
      <c r="U47" s="294">
        <f>IF(F47=0,"",L47*VLOOKUP(F47,Lists!$C$72:$S$232,COLUMNS(Lists!$C$69:S$69),0))</f>
        <v>336.67199999999997</v>
      </c>
      <c r="V47" s="261">
        <f>U47/SUM(U$47)</f>
        <v>1</v>
      </c>
      <c r="W47" s="261">
        <f>V47*HLOOKUP($E47,'Equipment Assumptions'!$C$30:$Q$31,2,0)</f>
        <v>0.5</v>
      </c>
      <c r="X47" s="217"/>
      <c r="Y47" s="217"/>
      <c r="Z47" s="217"/>
      <c r="AA47" s="217"/>
      <c r="AB47" s="217"/>
      <c r="AC47" s="217"/>
      <c r="AD47" s="217"/>
      <c r="AE47" s="217"/>
      <c r="AF47" s="217"/>
      <c r="AG47" s="217"/>
      <c r="AH47" s="217"/>
      <c r="AI47" s="217"/>
      <c r="AJ47" s="217"/>
      <c r="AK47" s="217"/>
      <c r="AL47" s="217"/>
      <c r="AM47" s="217"/>
      <c r="AN47" s="217"/>
      <c r="AO47" s="217"/>
      <c r="AP47" s="217"/>
      <c r="AQ47" s="217"/>
      <c r="AR47" s="217"/>
      <c r="AS47" s="217"/>
      <c r="AT47" s="217"/>
      <c r="AU47" s="217"/>
      <c r="AV47" s="217"/>
      <c r="AW47" s="217"/>
      <c r="AX47" s="217"/>
      <c r="AY47" s="217"/>
      <c r="AZ47" s="217"/>
      <c r="BA47" s="217"/>
      <c r="BB47" s="217"/>
      <c r="BC47" s="217"/>
      <c r="BD47" s="217"/>
      <c r="BE47" s="217"/>
      <c r="BF47" s="217"/>
      <c r="BG47" s="217"/>
      <c r="BH47" s="217"/>
      <c r="BI47" s="217"/>
      <c r="BJ47" s="217"/>
      <c r="BK47" s="217"/>
      <c r="BL47" s="217"/>
      <c r="BM47" s="217"/>
      <c r="BN47" s="217"/>
      <c r="BO47" s="217"/>
      <c r="BP47" s="217"/>
      <c r="BQ47" s="217"/>
      <c r="BR47" s="217"/>
      <c r="BS47" s="217"/>
      <c r="BT47" s="217"/>
      <c r="BU47" s="217"/>
      <c r="BV47" s="217"/>
      <c r="BW47" s="217"/>
      <c r="BX47" s="217"/>
      <c r="BY47" s="217"/>
      <c r="BZ47" s="217"/>
      <c r="CA47" s="217"/>
      <c r="CB47" s="217"/>
      <c r="CC47" s="217"/>
      <c r="CD47" s="217"/>
      <c r="CE47" s="217"/>
      <c r="CF47" s="217"/>
      <c r="CG47" s="217"/>
      <c r="CH47" s="217"/>
      <c r="CI47" s="217"/>
      <c r="CJ47" s="217"/>
      <c r="CK47" s="217"/>
    </row>
    <row r="48" spans="1:89" ht="27.6" x14ac:dyDescent="0.3">
      <c r="A48" s="217"/>
      <c r="B48" s="566"/>
      <c r="C48" s="288" t="s">
        <v>107</v>
      </c>
      <c r="D48" s="298" t="s">
        <v>114</v>
      </c>
      <c r="E48" s="290" t="s">
        <v>610</v>
      </c>
      <c r="F48" s="291" t="str">
        <f t="shared" si="7"/>
        <v>R-134a</v>
      </c>
      <c r="G48" s="295">
        <f>(7/74671)*1000</f>
        <v>9.3744559467530894E-2</v>
      </c>
      <c r="H48" s="293">
        <f t="shared" ref="H48:H51" si="39">G48</f>
        <v>9.3744559467530894E-2</v>
      </c>
      <c r="I48" s="221">
        <f t="shared" si="8"/>
        <v>0</v>
      </c>
      <c r="J48" s="221">
        <f t="shared" si="9"/>
        <v>3.749782378701236E-4</v>
      </c>
      <c r="K48" s="221">
        <f t="shared" si="10"/>
        <v>2.531103105623335E-3</v>
      </c>
      <c r="L48" s="221">
        <f t="shared" si="13"/>
        <v>2.9060813434934585E-3</v>
      </c>
      <c r="M48" s="261">
        <f>IF(SUM($I$48:$I$50)=0,0,I48/SUM(I$48:I$50))</f>
        <v>0</v>
      </c>
      <c r="N48" s="261">
        <f>J48/SUM(J$48:J$50)</f>
        <v>1.9470643276675614E-3</v>
      </c>
      <c r="O48" s="261">
        <f t="shared" ref="O48:O50" si="40">K48/SUM(K$48:K$50)</f>
        <v>0.10030170753626909</v>
      </c>
      <c r="P48" s="261">
        <f t="shared" ref="P48:P50" si="41">L48/SUM(L$48:L$50)</f>
        <v>1.3317018345269179E-2</v>
      </c>
      <c r="Q48" s="261">
        <f>M48*HLOOKUP($E48,'Equipment Assumptions'!$C$30:$Q$31,2,0)</f>
        <v>0</v>
      </c>
      <c r="R48" s="261">
        <f>N48*HLOOKUP($E48,'Equipment Assumptions'!$C$30:$Q$31,2,0)</f>
        <v>1.9470643276675614E-3</v>
      </c>
      <c r="S48" s="261">
        <f>O48*HLOOKUP($E48,'Equipment Assumptions'!$C$30:$Q$31,2,0)</f>
        <v>0.10030170753626909</v>
      </c>
      <c r="T48" s="261">
        <f>P48*HLOOKUP($E48,'Equipment Assumptions'!$C$30:$Q$31,2,0)</f>
        <v>1.3317018345269179E-2</v>
      </c>
      <c r="U48" s="294">
        <f>IF(F48=0,"",L48*VLOOKUP(F48,Lists!$C$72:$S$232,COLUMNS(Lists!$C$69:S$69),0))</f>
        <v>4.1556963211956459</v>
      </c>
      <c r="V48" s="261">
        <f>U48/SUM(U$48:U$50)</f>
        <v>7.5183650842972531E-3</v>
      </c>
      <c r="W48" s="261">
        <f>V48*HLOOKUP($E48,'Equipment Assumptions'!$C$30:$Q$31,2,0)</f>
        <v>7.5183650842972531E-3</v>
      </c>
      <c r="X48" s="217"/>
      <c r="Y48" s="217"/>
      <c r="Z48" s="217"/>
      <c r="AA48" s="217"/>
      <c r="AB48" s="217"/>
      <c r="AC48" s="217"/>
      <c r="AD48" s="217"/>
      <c r="AE48" s="217"/>
      <c r="AF48" s="217"/>
      <c r="AG48" s="217"/>
      <c r="AH48" s="217"/>
      <c r="AI48" s="217"/>
      <c r="AJ48" s="217"/>
      <c r="AK48" s="217"/>
      <c r="AL48" s="217"/>
      <c r="AM48" s="217"/>
      <c r="AN48" s="217"/>
      <c r="AO48" s="217"/>
      <c r="AP48" s="217"/>
      <c r="AQ48" s="217"/>
      <c r="AR48" s="217"/>
      <c r="AS48" s="217"/>
      <c r="AT48" s="217"/>
      <c r="AU48" s="217"/>
      <c r="AV48" s="217"/>
      <c r="AW48" s="217"/>
      <c r="AX48" s="217"/>
      <c r="AY48" s="217"/>
      <c r="AZ48" s="217"/>
      <c r="BA48" s="217"/>
      <c r="BB48" s="217"/>
      <c r="BC48" s="217"/>
      <c r="BD48" s="217"/>
      <c r="BE48" s="217"/>
      <c r="BF48" s="217"/>
      <c r="BG48" s="217"/>
      <c r="BH48" s="217"/>
      <c r="BI48" s="217"/>
      <c r="BJ48" s="217"/>
      <c r="BK48" s="217"/>
      <c r="BL48" s="217"/>
      <c r="BM48" s="217"/>
      <c r="BN48" s="217"/>
      <c r="BO48" s="217"/>
      <c r="BP48" s="217"/>
      <c r="BQ48" s="217"/>
      <c r="BR48" s="217"/>
      <c r="BS48" s="217"/>
      <c r="BT48" s="217"/>
      <c r="BU48" s="217"/>
      <c r="BV48" s="217"/>
      <c r="BW48" s="217"/>
      <c r="BX48" s="217"/>
      <c r="BY48" s="217"/>
      <c r="BZ48" s="217"/>
      <c r="CA48" s="217"/>
      <c r="CB48" s="217"/>
      <c r="CC48" s="217"/>
      <c r="CD48" s="217"/>
      <c r="CE48" s="217"/>
      <c r="CF48" s="217"/>
      <c r="CG48" s="217"/>
      <c r="CH48" s="217"/>
      <c r="CI48" s="217"/>
      <c r="CJ48" s="217"/>
      <c r="CK48" s="217"/>
    </row>
    <row r="49" spans="1:89" ht="27.6" x14ac:dyDescent="0.3">
      <c r="A49" s="217"/>
      <c r="B49" s="566"/>
      <c r="C49" s="288" t="s">
        <v>107</v>
      </c>
      <c r="D49" s="289" t="s">
        <v>519</v>
      </c>
      <c r="E49" s="289" t="s">
        <v>612</v>
      </c>
      <c r="F49" s="291" t="str">
        <f t="shared" si="7"/>
        <v>R-404A</v>
      </c>
      <c r="G49" s="296">
        <f>(3/74671)*1000</f>
        <v>4.0176239771798954E-2</v>
      </c>
      <c r="H49" s="299">
        <f t="shared" si="39"/>
        <v>4.0176239771798954E-2</v>
      </c>
      <c r="I49" s="297">
        <f t="shared" si="8"/>
        <v>4.0176239771798957E-4</v>
      </c>
      <c r="J49" s="297">
        <f t="shared" si="9"/>
        <v>4.8211487726158742E-2</v>
      </c>
      <c r="K49" s="297">
        <f t="shared" si="10"/>
        <v>5.4237923691928605E-3</v>
      </c>
      <c r="L49" s="297">
        <f>SUM(I49:K49)</f>
        <v>5.4037042493069593E-2</v>
      </c>
      <c r="M49" s="261">
        <f t="shared" ref="M49:M50" si="42">IF(SUM($I$48:$I$50)=0,0,I49/SUM(I$48:I$50))</f>
        <v>1</v>
      </c>
      <c r="N49" s="261">
        <f t="shared" ref="N49:N50" si="43">J49/SUM(J$48:J$50)</f>
        <v>0.2503368421286864</v>
      </c>
      <c r="O49" s="261">
        <f t="shared" si="40"/>
        <v>0.21493223043486234</v>
      </c>
      <c r="P49" s="261">
        <f t="shared" si="41"/>
        <v>0.24762289872424481</v>
      </c>
      <c r="Q49" s="261">
        <f>M49*HLOOKUP($E49,'Equipment Assumptions'!$C$30:$Q$31,2,0)</f>
        <v>0.6</v>
      </c>
      <c r="R49" s="261">
        <f>N49*HLOOKUP($E49,'Equipment Assumptions'!$C$30:$Q$31,2,0)</f>
        <v>0.15020210527721184</v>
      </c>
      <c r="S49" s="261">
        <f>O49*HLOOKUP($E49,'Equipment Assumptions'!$C$30:$Q$31,2,0)</f>
        <v>0.12895933826091741</v>
      </c>
      <c r="T49" s="261">
        <f>P49*HLOOKUP($E49,'Equipment Assumptions'!$C$30:$Q$31,2,0)</f>
        <v>0.14857373923454689</v>
      </c>
      <c r="U49" s="294">
        <f>IF(F49=0,"",L49*VLOOKUP(F49,Lists!$C$72:$S$232,COLUMNS(Lists!$C$69:S$69),0))</f>
        <v>211.91166584082174</v>
      </c>
      <c r="V49" s="261">
        <f t="shared" ref="V49:V50" si="44">U49/SUM(U$48:U$50)</f>
        <v>0.38338443097654185</v>
      </c>
      <c r="W49" s="261">
        <f>V49*HLOOKUP($E49,'Equipment Assumptions'!$C$30:$Q$31,2,0)</f>
        <v>0.23003065858592509</v>
      </c>
      <c r="X49" s="217"/>
      <c r="Y49" s="217"/>
      <c r="Z49" s="217"/>
      <c r="AA49" s="217"/>
      <c r="AB49" s="217"/>
      <c r="AC49" s="217"/>
      <c r="AD49" s="217"/>
      <c r="AE49" s="217"/>
      <c r="AF49" s="217"/>
      <c r="AG49" s="217"/>
      <c r="AH49" s="217"/>
      <c r="AI49" s="217"/>
      <c r="AJ49" s="217"/>
      <c r="AK49" s="217"/>
      <c r="AL49" s="217"/>
      <c r="AM49" s="217"/>
      <c r="AN49" s="217"/>
      <c r="AO49" s="217"/>
      <c r="AP49" s="217"/>
      <c r="AQ49" s="217"/>
      <c r="AR49" s="217"/>
      <c r="AS49" s="217"/>
      <c r="AT49" s="217"/>
      <c r="AU49" s="217"/>
      <c r="AV49" s="217"/>
      <c r="AW49" s="217"/>
      <c r="AX49" s="217"/>
      <c r="AY49" s="217"/>
      <c r="AZ49" s="217"/>
      <c r="BA49" s="217"/>
      <c r="BB49" s="217"/>
      <c r="BC49" s="217"/>
      <c r="BD49" s="217"/>
      <c r="BE49" s="217"/>
      <c r="BF49" s="217"/>
      <c r="BG49" s="217"/>
      <c r="BH49" s="217"/>
      <c r="BI49" s="217"/>
      <c r="BJ49" s="217"/>
      <c r="BK49" s="217"/>
      <c r="BL49" s="217"/>
      <c r="BM49" s="217"/>
      <c r="BN49" s="217"/>
      <c r="BO49" s="217"/>
      <c r="BP49" s="217"/>
      <c r="BQ49" s="217"/>
      <c r="BR49" s="217"/>
      <c r="BS49" s="217"/>
      <c r="BT49" s="217"/>
      <c r="BU49" s="217"/>
      <c r="BV49" s="217"/>
      <c r="BW49" s="217"/>
      <c r="BX49" s="217"/>
      <c r="BY49" s="217"/>
      <c r="BZ49" s="217"/>
      <c r="CA49" s="217"/>
      <c r="CB49" s="217"/>
      <c r="CC49" s="217"/>
      <c r="CD49" s="217"/>
      <c r="CE49" s="217"/>
      <c r="CF49" s="217"/>
      <c r="CG49" s="217"/>
      <c r="CH49" s="217"/>
      <c r="CI49" s="217"/>
      <c r="CJ49" s="217"/>
      <c r="CK49" s="217"/>
    </row>
    <row r="50" spans="1:89" s="82" customFormat="1" ht="27.6" x14ac:dyDescent="0.3">
      <c r="A50" s="300"/>
      <c r="B50" s="566"/>
      <c r="C50" s="301" t="s">
        <v>107</v>
      </c>
      <c r="D50" s="302" t="s">
        <v>105</v>
      </c>
      <c r="E50" s="290" t="s">
        <v>723</v>
      </c>
      <c r="F50" s="291" t="str">
        <f t="shared" si="7"/>
        <v>R-410A</v>
      </c>
      <c r="G50" s="303">
        <v>0.13846153846153847</v>
      </c>
      <c r="H50" s="426">
        <f>G50*VLOOKUP(C50,'Building Customization'!$B$10:$C$28,2,0)</f>
        <v>0.13846153846153847</v>
      </c>
      <c r="I50" s="297">
        <f t="shared" si="8"/>
        <v>0</v>
      </c>
      <c r="J50" s="297">
        <f t="shared" si="9"/>
        <v>0.14400000000000002</v>
      </c>
      <c r="K50" s="297">
        <f t="shared" si="10"/>
        <v>1.7280000000000007E-2</v>
      </c>
      <c r="L50" s="297">
        <f t="shared" si="13"/>
        <v>0.16128000000000003</v>
      </c>
      <c r="M50" s="261">
        <f t="shared" si="42"/>
        <v>0</v>
      </c>
      <c r="N50" s="261">
        <f t="shared" si="43"/>
        <v>0.74771609354364599</v>
      </c>
      <c r="O50" s="261">
        <f t="shared" si="40"/>
        <v>0.68476606202886869</v>
      </c>
      <c r="P50" s="261">
        <f t="shared" si="41"/>
        <v>0.73906008293048597</v>
      </c>
      <c r="Q50" s="261">
        <f>M50*HLOOKUP($E50,'Equipment Assumptions'!$C$30:$Q$31,2,0)</f>
        <v>0</v>
      </c>
      <c r="R50" s="261">
        <f>N50*HLOOKUP($E50,'Equipment Assumptions'!$C$30:$Q$31,2,0)</f>
        <v>0.37385804677182299</v>
      </c>
      <c r="S50" s="261">
        <f>O50*HLOOKUP($E50,'Equipment Assumptions'!$C$30:$Q$31,2,0)</f>
        <v>0.34238303101443435</v>
      </c>
      <c r="T50" s="261">
        <f>P50*HLOOKUP($E50,'Equipment Assumptions'!$C$30:$Q$31,2,0)</f>
        <v>0.36953004146524299</v>
      </c>
      <c r="U50" s="294">
        <f>IF(F50=0,"",L50*VLOOKUP(F50,Lists!$C$72:$S$232,COLUMNS(Lists!$C$69:S$69),0))</f>
        <v>336.67200000000008</v>
      </c>
      <c r="V50" s="261">
        <f t="shared" si="44"/>
        <v>0.609097203939161</v>
      </c>
      <c r="W50" s="261">
        <f>V50*HLOOKUP($E50,'Equipment Assumptions'!$C$30:$Q$31,2,0)</f>
        <v>0.3045486019695805</v>
      </c>
      <c r="X50" s="300"/>
      <c r="Y50" s="300"/>
      <c r="Z50" s="300"/>
      <c r="AA50" s="300"/>
      <c r="AB50" s="300"/>
      <c r="AC50" s="300"/>
      <c r="AD50" s="300"/>
      <c r="AE50" s="300"/>
      <c r="AF50" s="300"/>
      <c r="AG50" s="300"/>
      <c r="AH50" s="300"/>
      <c r="AI50" s="300"/>
      <c r="AJ50" s="300"/>
      <c r="AK50" s="300"/>
      <c r="AL50" s="300"/>
      <c r="AM50" s="300"/>
      <c r="AN50" s="300"/>
      <c r="AO50" s="300"/>
      <c r="AP50" s="300"/>
      <c r="AQ50" s="300"/>
      <c r="AR50" s="300"/>
      <c r="AS50" s="300"/>
      <c r="AT50" s="300"/>
      <c r="AU50" s="300"/>
      <c r="AV50" s="300"/>
      <c r="AW50" s="300"/>
      <c r="AX50" s="300"/>
      <c r="AY50" s="300"/>
      <c r="AZ50" s="300"/>
      <c r="BA50" s="300"/>
      <c r="BB50" s="300"/>
      <c r="BC50" s="300"/>
      <c r="BD50" s="300"/>
      <c r="BE50" s="300"/>
      <c r="BF50" s="300"/>
      <c r="BG50" s="300"/>
      <c r="BH50" s="300"/>
      <c r="BI50" s="300"/>
      <c r="BJ50" s="300"/>
      <c r="BK50" s="300"/>
      <c r="BL50" s="300"/>
      <c r="BM50" s="300"/>
      <c r="BN50" s="300"/>
      <c r="BO50" s="300"/>
      <c r="BP50" s="300"/>
      <c r="BQ50" s="300"/>
      <c r="BR50" s="300"/>
      <c r="BS50" s="300"/>
      <c r="BT50" s="300"/>
      <c r="BU50" s="300"/>
      <c r="BV50" s="300"/>
      <c r="BW50" s="300"/>
      <c r="BX50" s="300"/>
      <c r="BY50" s="300"/>
      <c r="BZ50" s="300"/>
      <c r="CA50" s="300"/>
      <c r="CB50" s="300"/>
      <c r="CC50" s="300"/>
      <c r="CD50" s="300"/>
      <c r="CE50" s="300"/>
      <c r="CF50" s="300"/>
      <c r="CG50" s="300"/>
      <c r="CH50" s="300"/>
      <c r="CI50" s="300"/>
      <c r="CJ50" s="300"/>
      <c r="CK50" s="300"/>
    </row>
    <row r="51" spans="1:89" s="82" customFormat="1" ht="27.6" x14ac:dyDescent="0.3">
      <c r="A51" s="300"/>
      <c r="B51" s="566"/>
      <c r="C51" s="301" t="s">
        <v>565</v>
      </c>
      <c r="D51" s="289" t="s">
        <v>519</v>
      </c>
      <c r="E51" s="290" t="s">
        <v>614</v>
      </c>
      <c r="F51" s="291" t="str">
        <f t="shared" si="7"/>
        <v>R-404A</v>
      </c>
      <c r="G51" s="303">
        <v>2.2058823529411766E-2</v>
      </c>
      <c r="H51" s="304">
        <f t="shared" si="39"/>
        <v>2.2058823529411766E-2</v>
      </c>
      <c r="I51" s="297">
        <f t="shared" si="8"/>
        <v>3.3333333333333333E-2</v>
      </c>
      <c r="J51" s="297">
        <f t="shared" si="9"/>
        <v>7.5000000000000009</v>
      </c>
      <c r="K51" s="297">
        <f t="shared" si="10"/>
        <v>0.22500000000000003</v>
      </c>
      <c r="L51" s="297">
        <f t="shared" ref="L51:L52" si="45">SUM(I51:K51)</f>
        <v>7.7583333333333337</v>
      </c>
      <c r="M51" s="261">
        <f>IF(SUM($I$51:$I$52)=0,0,I51/SUM(I$51:I$52))</f>
        <v>1</v>
      </c>
      <c r="N51" s="261">
        <f>J51/SUM(J$51:J$52)</f>
        <v>0.98116169544740972</v>
      </c>
      <c r="O51" s="261">
        <f t="shared" ref="O51:O52" si="46">K51/SUM(K$51:K$52)</f>
        <v>0.92867756315007421</v>
      </c>
      <c r="P51" s="261">
        <f t="shared" ref="P51:P52" si="47">L51/SUM(L$51:L$52)</f>
        <v>0.97963536940355678</v>
      </c>
      <c r="Q51" s="261">
        <f>M51*HLOOKUP($E51,'Equipment Assumptions'!$C$30:$Q$31,2,0)</f>
        <v>0.6</v>
      </c>
      <c r="R51" s="261">
        <f>N51*HLOOKUP($E51,'Equipment Assumptions'!$C$30:$Q$31,2,0)</f>
        <v>0.58869701726844581</v>
      </c>
      <c r="S51" s="261">
        <f>O51*HLOOKUP($E51,'Equipment Assumptions'!$C$30:$Q$31,2,0)</f>
        <v>0.55720653789004448</v>
      </c>
      <c r="T51" s="261">
        <f>P51*HLOOKUP($E51,'Equipment Assumptions'!$C$30:$Q$31,2,0)</f>
        <v>0.58778122164213409</v>
      </c>
      <c r="U51" s="294">
        <f>IF(F51=0,"",L51*VLOOKUP(F51,Lists!$C$72:$S$232,COLUMNS(Lists!$C$69:S$69),0))</f>
        <v>30425.080000000005</v>
      </c>
      <c r="V51" s="261">
        <f>U51/SUM(U$51:U$52)</f>
        <v>0.98905549982978869</v>
      </c>
      <c r="W51" s="261">
        <f>V51*HLOOKUP($E51,'Equipment Assumptions'!$C$30:$Q$31,2,0)</f>
        <v>0.59343329989787319</v>
      </c>
      <c r="X51" s="300"/>
      <c r="Y51" s="300"/>
      <c r="Z51" s="300"/>
      <c r="AA51" s="300"/>
      <c r="AB51" s="300"/>
      <c r="AC51" s="300"/>
      <c r="AD51" s="300"/>
      <c r="AE51" s="300"/>
      <c r="AF51" s="300"/>
      <c r="AG51" s="300"/>
      <c r="AH51" s="300"/>
      <c r="AI51" s="300"/>
      <c r="AJ51" s="300"/>
      <c r="AK51" s="300"/>
      <c r="AL51" s="300"/>
      <c r="AM51" s="300"/>
      <c r="AN51" s="300"/>
      <c r="AO51" s="300"/>
      <c r="AP51" s="300"/>
      <c r="AQ51" s="300"/>
      <c r="AR51" s="300"/>
      <c r="AS51" s="300"/>
      <c r="AT51" s="300"/>
      <c r="AU51" s="300"/>
      <c r="AV51" s="300"/>
      <c r="AW51" s="300"/>
      <c r="AX51" s="300"/>
      <c r="AY51" s="300"/>
      <c r="AZ51" s="300"/>
      <c r="BA51" s="300"/>
      <c r="BB51" s="300"/>
      <c r="BC51" s="300"/>
      <c r="BD51" s="300"/>
      <c r="BE51" s="300"/>
      <c r="BF51" s="300"/>
      <c r="BG51" s="300"/>
      <c r="BH51" s="300"/>
      <c r="BI51" s="300"/>
      <c r="BJ51" s="300"/>
      <c r="BK51" s="300"/>
      <c r="BL51" s="300"/>
      <c r="BM51" s="300"/>
      <c r="BN51" s="300"/>
      <c r="BO51" s="300"/>
      <c r="BP51" s="300"/>
      <c r="BQ51" s="300"/>
      <c r="BR51" s="300"/>
      <c r="BS51" s="300"/>
      <c r="BT51" s="300"/>
      <c r="BU51" s="300"/>
      <c r="BV51" s="300"/>
      <c r="BW51" s="300"/>
      <c r="BX51" s="300"/>
      <c r="BY51" s="300"/>
      <c r="BZ51" s="300"/>
      <c r="CA51" s="300"/>
      <c r="CB51" s="300"/>
      <c r="CC51" s="300"/>
      <c r="CD51" s="300"/>
      <c r="CE51" s="300"/>
      <c r="CF51" s="300"/>
      <c r="CG51" s="300"/>
      <c r="CH51" s="300"/>
      <c r="CI51" s="300"/>
      <c r="CJ51" s="300"/>
      <c r="CK51" s="300"/>
    </row>
    <row r="52" spans="1:89" s="82" customFormat="1" ht="27.6" x14ac:dyDescent="0.3">
      <c r="A52" s="300"/>
      <c r="B52" s="567"/>
      <c r="C52" s="301" t="s">
        <v>565</v>
      </c>
      <c r="D52" s="288" t="s">
        <v>144</v>
      </c>
      <c r="E52" s="290" t="s">
        <v>723</v>
      </c>
      <c r="F52" s="291" t="str">
        <f t="shared" si="7"/>
        <v>R-410A</v>
      </c>
      <c r="G52" s="303">
        <v>0.13846153846153847</v>
      </c>
      <c r="H52" s="426">
        <f>G52*VLOOKUP(C52,'Building Customization'!$B$10:$C$28,2,0)</f>
        <v>0.13846153846153847</v>
      </c>
      <c r="I52" s="297">
        <f t="shared" si="8"/>
        <v>0</v>
      </c>
      <c r="J52" s="297">
        <f t="shared" si="9"/>
        <v>0.14400000000000002</v>
      </c>
      <c r="K52" s="297">
        <f t="shared" si="10"/>
        <v>1.7280000000000007E-2</v>
      </c>
      <c r="L52" s="297">
        <f t="shared" si="45"/>
        <v>0.16128000000000003</v>
      </c>
      <c r="M52" s="261">
        <f>IF(SUM($I$51:$I$52)=0,0,I52/SUM(I$51:I$52))</f>
        <v>0</v>
      </c>
      <c r="N52" s="261">
        <f t="shared" ref="N52" si="48">J52/SUM(J$51:J$52)</f>
        <v>1.8838304552590265E-2</v>
      </c>
      <c r="O52" s="261">
        <f t="shared" si="46"/>
        <v>7.1322436849925716E-2</v>
      </c>
      <c r="P52" s="261">
        <f t="shared" si="47"/>
        <v>2.0364630596443264E-2</v>
      </c>
      <c r="Q52" s="261">
        <f>M52*HLOOKUP($E52,'Equipment Assumptions'!$C$30:$Q$31,2,0)</f>
        <v>0</v>
      </c>
      <c r="R52" s="261">
        <f>N52*HLOOKUP($E52,'Equipment Assumptions'!$C$30:$Q$31,2,0)</f>
        <v>9.4191522762951327E-3</v>
      </c>
      <c r="S52" s="261">
        <f>O52*HLOOKUP($E52,'Equipment Assumptions'!$C$30:$Q$31,2,0)</f>
        <v>3.5661218424962858E-2</v>
      </c>
      <c r="T52" s="261">
        <f>P52*HLOOKUP($E52,'Equipment Assumptions'!$C$30:$Q$31,2,0)</f>
        <v>1.0182315298221632E-2</v>
      </c>
      <c r="U52" s="294">
        <f>IF(F52=0,"",L52*VLOOKUP(F52,Lists!$C$72:$S$232,COLUMNS(Lists!$C$69:S$69),0))</f>
        <v>336.67200000000008</v>
      </c>
      <c r="V52" s="261">
        <f>U52/SUM(U$51:U$52)</f>
        <v>1.0944500170211372E-2</v>
      </c>
      <c r="W52" s="261">
        <f>V52*HLOOKUP($E52,'Equipment Assumptions'!$C$30:$Q$31,2,0)</f>
        <v>5.4722500851056861E-3</v>
      </c>
      <c r="X52" s="300"/>
      <c r="Y52" s="300"/>
      <c r="Z52" s="300"/>
      <c r="AA52" s="300"/>
      <c r="AB52" s="300"/>
      <c r="AC52" s="300"/>
      <c r="AD52" s="300"/>
      <c r="AE52" s="300"/>
      <c r="AF52" s="300"/>
      <c r="AG52" s="300"/>
      <c r="AH52" s="300"/>
      <c r="AI52" s="300"/>
      <c r="AJ52" s="300"/>
      <c r="AK52" s="300"/>
      <c r="AL52" s="300"/>
      <c r="AM52" s="300"/>
      <c r="AN52" s="300"/>
      <c r="AO52" s="300"/>
      <c r="AP52" s="300"/>
      <c r="AQ52" s="300"/>
      <c r="AR52" s="300"/>
      <c r="AS52" s="300"/>
      <c r="AT52" s="300"/>
      <c r="AU52" s="300"/>
      <c r="AV52" s="300"/>
      <c r="AW52" s="300"/>
      <c r="AX52" s="300"/>
      <c r="AY52" s="300"/>
      <c r="AZ52" s="300"/>
      <c r="BA52" s="300"/>
      <c r="BB52" s="300"/>
      <c r="BC52" s="300"/>
      <c r="BD52" s="300"/>
      <c r="BE52" s="300"/>
      <c r="BF52" s="300"/>
      <c r="BG52" s="300"/>
      <c r="BH52" s="300"/>
      <c r="BI52" s="300"/>
      <c r="BJ52" s="300"/>
      <c r="BK52" s="300"/>
      <c r="BL52" s="300"/>
      <c r="BM52" s="300"/>
      <c r="BN52" s="300"/>
      <c r="BO52" s="300"/>
      <c r="BP52" s="300"/>
      <c r="BQ52" s="300"/>
      <c r="BR52" s="300"/>
      <c r="BS52" s="300"/>
      <c r="BT52" s="300"/>
      <c r="BU52" s="300"/>
      <c r="BV52" s="300"/>
      <c r="BW52" s="300"/>
      <c r="BX52" s="300"/>
      <c r="BY52" s="300"/>
      <c r="BZ52" s="300"/>
      <c r="CA52" s="300"/>
      <c r="CB52" s="300"/>
      <c r="CC52" s="300"/>
      <c r="CD52" s="300"/>
      <c r="CE52" s="300"/>
      <c r="CF52" s="300"/>
      <c r="CG52" s="300"/>
      <c r="CH52" s="300"/>
      <c r="CI52" s="300"/>
      <c r="CJ52" s="300"/>
      <c r="CK52" s="300"/>
    </row>
    <row r="53" spans="1:89" ht="27.75" customHeight="1" x14ac:dyDescent="0.3">
      <c r="A53" s="217"/>
      <c r="B53" s="565" t="s">
        <v>108</v>
      </c>
      <c r="C53" s="288" t="s">
        <v>524</v>
      </c>
      <c r="D53" s="289" t="s">
        <v>125</v>
      </c>
      <c r="E53" s="290" t="s">
        <v>608</v>
      </c>
      <c r="F53" s="291" t="str">
        <f t="shared" si="7"/>
        <v>R-134a</v>
      </c>
      <c r="G53" s="295">
        <v>1.2500000000000001E-2</v>
      </c>
      <c r="H53" s="293"/>
      <c r="I53" s="221">
        <f t="shared" si="8"/>
        <v>0</v>
      </c>
      <c r="J53" s="221">
        <f t="shared" si="9"/>
        <v>0</v>
      </c>
      <c r="K53" s="221">
        <f t="shared" si="10"/>
        <v>0</v>
      </c>
      <c r="L53" s="307">
        <f t="shared" si="13"/>
        <v>0</v>
      </c>
      <c r="M53" s="261">
        <f>IF(SUM($I$53:$I$55)=0,0,I53/SUM(I$53:I$55))</f>
        <v>0</v>
      </c>
      <c r="N53" s="261">
        <f>J53/SUM(J$53:J$55)</f>
        <v>0</v>
      </c>
      <c r="O53" s="261">
        <f t="shared" ref="O53:O55" si="49">K53/SUM(K$53:K$55)</f>
        <v>0</v>
      </c>
      <c r="P53" s="261">
        <f t="shared" ref="P53:P55" si="50">L53/SUM(L$53:L$55)</f>
        <v>0</v>
      </c>
      <c r="Q53" s="261">
        <f>M53*HLOOKUP($E53,'Equipment Assumptions'!$C$30:$Q$31,2,0)</f>
        <v>0</v>
      </c>
      <c r="R53" s="261">
        <f>N53*HLOOKUP($E53,'Equipment Assumptions'!$C$30:$Q$31,2,0)</f>
        <v>0</v>
      </c>
      <c r="S53" s="261">
        <f>O53*HLOOKUP($E53,'Equipment Assumptions'!$C$30:$Q$31,2,0)</f>
        <v>0</v>
      </c>
      <c r="T53" s="261">
        <f>P53*HLOOKUP($E53,'Equipment Assumptions'!$C$30:$Q$31,2,0)</f>
        <v>0</v>
      </c>
      <c r="U53" s="294">
        <f>IF(F53=0,"",L53*VLOOKUP(F53,Lists!$C$72:$S$232,COLUMNS(Lists!$C$69:S$69),0))</f>
        <v>0</v>
      </c>
      <c r="V53" s="261">
        <f>U53/SUM(U$53:U$55)</f>
        <v>0</v>
      </c>
      <c r="W53" s="261">
        <f>V53*HLOOKUP($E53,'Equipment Assumptions'!$C$30:$Q$31,2,0)</f>
        <v>0</v>
      </c>
      <c r="X53" s="217"/>
      <c r="Y53" s="217"/>
      <c r="Z53" s="217"/>
      <c r="AA53" s="217"/>
      <c r="AB53" s="217"/>
      <c r="AC53" s="217"/>
      <c r="AD53" s="217"/>
      <c r="AE53" s="217"/>
      <c r="AF53" s="217"/>
      <c r="AG53" s="217"/>
      <c r="AH53" s="217"/>
      <c r="AI53" s="217"/>
      <c r="AJ53" s="217"/>
      <c r="AK53" s="217"/>
      <c r="AL53" s="217"/>
      <c r="AM53" s="217"/>
      <c r="AN53" s="217"/>
      <c r="AO53" s="217"/>
      <c r="AP53" s="217"/>
      <c r="AQ53" s="217"/>
      <c r="AR53" s="217"/>
      <c r="AS53" s="217"/>
      <c r="AT53" s="217"/>
      <c r="AU53" s="217"/>
      <c r="AV53" s="217"/>
      <c r="AW53" s="217"/>
      <c r="AX53" s="217"/>
      <c r="AY53" s="217"/>
      <c r="AZ53" s="217"/>
      <c r="BA53" s="217"/>
      <c r="BB53" s="217"/>
      <c r="BC53" s="217"/>
      <c r="BD53" s="217"/>
      <c r="BE53" s="217"/>
      <c r="BF53" s="217"/>
      <c r="BG53" s="217"/>
      <c r="BH53" s="217"/>
      <c r="BI53" s="217"/>
      <c r="BJ53" s="217"/>
      <c r="BK53" s="217"/>
      <c r="BL53" s="217"/>
      <c r="BM53" s="217"/>
      <c r="BN53" s="217"/>
      <c r="BO53" s="217"/>
      <c r="BP53" s="217"/>
      <c r="BQ53" s="217"/>
      <c r="BR53" s="217"/>
      <c r="BS53" s="217"/>
      <c r="BT53" s="217"/>
      <c r="BU53" s="217"/>
      <c r="BV53" s="217"/>
      <c r="BW53" s="217"/>
      <c r="BX53" s="217"/>
      <c r="BY53" s="217"/>
      <c r="BZ53" s="217"/>
      <c r="CA53" s="217"/>
      <c r="CB53" s="217"/>
      <c r="CC53" s="217"/>
      <c r="CD53" s="217"/>
      <c r="CE53" s="217"/>
      <c r="CF53" s="217"/>
      <c r="CG53" s="217"/>
      <c r="CH53" s="217"/>
      <c r="CI53" s="217"/>
      <c r="CJ53" s="217"/>
      <c r="CK53" s="217"/>
    </row>
    <row r="54" spans="1:89" ht="27.75" customHeight="1" x14ac:dyDescent="0.3">
      <c r="A54" s="217"/>
      <c r="B54" s="566"/>
      <c r="C54" s="288" t="s">
        <v>524</v>
      </c>
      <c r="D54" s="305" t="s">
        <v>105</v>
      </c>
      <c r="E54" s="290" t="s">
        <v>723</v>
      </c>
      <c r="F54" s="291" t="str">
        <f t="shared" si="7"/>
        <v>R-410A</v>
      </c>
      <c r="G54" s="295">
        <v>2.3076923076923075E-2</v>
      </c>
      <c r="H54" s="426">
        <f>G54*VLOOKUP(C54,'Building Customization'!$B$10:$C$28,2,0)</f>
        <v>2.3076923076923075E-2</v>
      </c>
      <c r="I54" s="221">
        <f t="shared" si="8"/>
        <v>0</v>
      </c>
      <c r="J54" s="221">
        <f t="shared" si="9"/>
        <v>2.3999999999999997E-2</v>
      </c>
      <c r="K54" s="221">
        <f t="shared" si="10"/>
        <v>2.8800000000000006E-3</v>
      </c>
      <c r="L54" s="221">
        <f>SUM(I54:K54)</f>
        <v>2.6879999999999998E-2</v>
      </c>
      <c r="M54" s="261">
        <f>IF(SUM($I$53:$I$55)=0,0,I54/SUM(I$53:I$55))</f>
        <v>0</v>
      </c>
      <c r="N54" s="261">
        <f t="shared" ref="N54:N55" si="51">J54/SUM(J$53:J$55)</f>
        <v>1</v>
      </c>
      <c r="O54" s="261">
        <f t="shared" si="49"/>
        <v>1</v>
      </c>
      <c r="P54" s="261">
        <f t="shared" si="50"/>
        <v>1</v>
      </c>
      <c r="Q54" s="261">
        <f>M54*HLOOKUP($E54,'Equipment Assumptions'!$C$30:$Q$31,2,0)</f>
        <v>0</v>
      </c>
      <c r="R54" s="261">
        <f>N54*HLOOKUP($E54,'Equipment Assumptions'!$C$30:$Q$31,2,0)</f>
        <v>0.5</v>
      </c>
      <c r="S54" s="261">
        <f>O54*HLOOKUP($E54,'Equipment Assumptions'!$C$30:$Q$31,2,0)</f>
        <v>0.5</v>
      </c>
      <c r="T54" s="261">
        <f>P54*HLOOKUP($E54,'Equipment Assumptions'!$C$30:$Q$31,2,0)</f>
        <v>0.5</v>
      </c>
      <c r="U54" s="294">
        <f>IF(F54=0,"",L54*VLOOKUP(F54,Lists!$C$72:$S$232,COLUMNS(Lists!$C$69:S$69),0))</f>
        <v>56.111999999999995</v>
      </c>
      <c r="V54" s="261">
        <f t="shared" ref="V54:V55" si="52">U54/SUM(U$53:U$55)</f>
        <v>1</v>
      </c>
      <c r="W54" s="261">
        <f>V54*HLOOKUP($E54,'Equipment Assumptions'!$C$30:$Q$31,2,0)</f>
        <v>0.5</v>
      </c>
      <c r="X54" s="217"/>
      <c r="Y54" s="217"/>
      <c r="Z54" s="217"/>
      <c r="AA54" s="217"/>
      <c r="AB54" s="217"/>
      <c r="AC54" s="217"/>
      <c r="AD54" s="217"/>
      <c r="AE54" s="217"/>
      <c r="AF54" s="217"/>
      <c r="AG54" s="217"/>
      <c r="AH54" s="217"/>
      <c r="AI54" s="217"/>
      <c r="AJ54" s="217"/>
      <c r="AK54" s="217"/>
      <c r="AL54" s="217"/>
      <c r="AM54" s="217"/>
      <c r="AN54" s="217"/>
      <c r="AO54" s="217"/>
      <c r="AP54" s="217"/>
      <c r="AQ54" s="217"/>
      <c r="AR54" s="217"/>
      <c r="AS54" s="217"/>
      <c r="AT54" s="217"/>
      <c r="AU54" s="217"/>
      <c r="AV54" s="217"/>
      <c r="AW54" s="217"/>
      <c r="AX54" s="217"/>
      <c r="AY54" s="217"/>
      <c r="AZ54" s="217"/>
      <c r="BA54" s="217"/>
      <c r="BB54" s="217"/>
      <c r="BC54" s="217"/>
      <c r="BD54" s="217"/>
      <c r="BE54" s="217"/>
      <c r="BF54" s="217"/>
      <c r="BG54" s="217"/>
      <c r="BH54" s="217"/>
      <c r="BI54" s="217"/>
      <c r="BJ54" s="217"/>
      <c r="BK54" s="217"/>
      <c r="BL54" s="217"/>
      <c r="BM54" s="217"/>
      <c r="BN54" s="217"/>
      <c r="BO54" s="217"/>
      <c r="BP54" s="217"/>
      <c r="BQ54" s="217"/>
      <c r="BR54" s="217"/>
      <c r="BS54" s="217"/>
      <c r="BT54" s="217"/>
      <c r="BU54" s="217"/>
      <c r="BV54" s="217"/>
      <c r="BW54" s="217"/>
      <c r="BX54" s="217"/>
      <c r="BY54" s="217"/>
      <c r="BZ54" s="217"/>
      <c r="CA54" s="217"/>
      <c r="CB54" s="217"/>
      <c r="CC54" s="217"/>
      <c r="CD54" s="217"/>
      <c r="CE54" s="217"/>
      <c r="CF54" s="217"/>
      <c r="CG54" s="217"/>
      <c r="CH54" s="217"/>
      <c r="CI54" s="217"/>
      <c r="CJ54" s="217"/>
      <c r="CK54" s="217"/>
    </row>
    <row r="55" spans="1:89" ht="27.6" x14ac:dyDescent="0.3">
      <c r="A55" s="217"/>
      <c r="B55" s="566"/>
      <c r="C55" s="288" t="s">
        <v>524</v>
      </c>
      <c r="D55" s="305" t="s">
        <v>112</v>
      </c>
      <c r="E55" s="306" t="s">
        <v>112</v>
      </c>
      <c r="F55" s="291" t="str">
        <f t="shared" si="7"/>
        <v>R-134a</v>
      </c>
      <c r="G55" s="293">
        <v>5.9999999999999995E-4</v>
      </c>
      <c r="H55" s="293"/>
      <c r="I55" s="221">
        <f t="shared" si="8"/>
        <v>0</v>
      </c>
      <c r="J55" s="221">
        <f t="shared" si="9"/>
        <v>0</v>
      </c>
      <c r="K55" s="221">
        <f t="shared" si="10"/>
        <v>0</v>
      </c>
      <c r="L55" s="221">
        <f t="shared" si="13"/>
        <v>0</v>
      </c>
      <c r="M55" s="261">
        <f>IF(SUM($I$53:$I$55)=0,0,I55/SUM(I$53:I$55))</f>
        <v>0</v>
      </c>
      <c r="N55" s="261">
        <f t="shared" si="51"/>
        <v>0</v>
      </c>
      <c r="O55" s="261">
        <f t="shared" si="49"/>
        <v>0</v>
      </c>
      <c r="P55" s="261">
        <f t="shared" si="50"/>
        <v>0</v>
      </c>
      <c r="Q55" s="261">
        <f>M55*HLOOKUP($E55,'Equipment Assumptions'!$C$30:$Q$31,2,0)</f>
        <v>0</v>
      </c>
      <c r="R55" s="261">
        <f>N55*HLOOKUP($E55,'Equipment Assumptions'!$C$30:$Q$31,2,0)</f>
        <v>0</v>
      </c>
      <c r="S55" s="261">
        <f>O55*HLOOKUP($E55,'Equipment Assumptions'!$C$30:$Q$31,2,0)</f>
        <v>0</v>
      </c>
      <c r="T55" s="261">
        <f>P55*HLOOKUP($E55,'Equipment Assumptions'!$C$30:$Q$31,2,0)</f>
        <v>0</v>
      </c>
      <c r="U55" s="294">
        <f>IF(F55=0,"",L55*VLOOKUP(F55,Lists!$C$72:$S$232,COLUMNS(Lists!$C$69:S$69),0))</f>
        <v>0</v>
      </c>
      <c r="V55" s="261">
        <f t="shared" si="52"/>
        <v>0</v>
      </c>
      <c r="W55" s="261">
        <f>V55*HLOOKUP($E55,'Equipment Assumptions'!$C$30:$Q$31,2,0)</f>
        <v>0</v>
      </c>
      <c r="X55" s="217"/>
      <c r="Y55" s="217"/>
      <c r="Z55" s="217"/>
      <c r="AA55" s="217"/>
      <c r="AB55" s="217"/>
      <c r="AC55" s="217"/>
      <c r="AD55" s="217"/>
      <c r="AE55" s="217"/>
      <c r="AF55" s="217"/>
      <c r="AG55" s="217"/>
      <c r="AH55" s="217"/>
      <c r="AI55" s="217"/>
      <c r="AJ55" s="217"/>
      <c r="AK55" s="217"/>
      <c r="AL55" s="217"/>
      <c r="AM55" s="217"/>
      <c r="AN55" s="217"/>
      <c r="AO55" s="217"/>
      <c r="AP55" s="217"/>
      <c r="AQ55" s="217"/>
      <c r="AR55" s="217"/>
      <c r="AS55" s="217"/>
      <c r="AT55" s="217"/>
      <c r="AU55" s="217"/>
      <c r="AV55" s="217"/>
      <c r="AW55" s="217"/>
      <c r="AX55" s="217"/>
      <c r="AY55" s="217"/>
      <c r="AZ55" s="217"/>
      <c r="BA55" s="217"/>
      <c r="BB55" s="217"/>
      <c r="BC55" s="217"/>
      <c r="BD55" s="217"/>
      <c r="BE55" s="217"/>
      <c r="BF55" s="217"/>
      <c r="BG55" s="217"/>
      <c r="BH55" s="217"/>
      <c r="BI55" s="217"/>
      <c r="BJ55" s="217"/>
      <c r="BK55" s="217"/>
      <c r="BL55" s="217"/>
      <c r="BM55" s="217"/>
      <c r="BN55" s="217"/>
      <c r="BO55" s="217"/>
      <c r="BP55" s="217"/>
      <c r="BQ55" s="217"/>
      <c r="BR55" s="217"/>
      <c r="BS55" s="217"/>
      <c r="BT55" s="217"/>
      <c r="BU55" s="217"/>
      <c r="BV55" s="217"/>
      <c r="BW55" s="217"/>
      <c r="BX55" s="217"/>
      <c r="BY55" s="217"/>
      <c r="BZ55" s="217"/>
      <c r="CA55" s="217"/>
      <c r="CB55" s="217"/>
      <c r="CC55" s="217"/>
      <c r="CD55" s="217"/>
      <c r="CE55" s="217"/>
      <c r="CF55" s="217"/>
      <c r="CG55" s="217"/>
      <c r="CH55" s="217"/>
      <c r="CI55" s="217"/>
      <c r="CJ55" s="217"/>
      <c r="CK55" s="217"/>
    </row>
    <row r="56" spans="1:89" ht="27.6" x14ac:dyDescent="0.3">
      <c r="A56" s="217"/>
      <c r="B56" s="566"/>
      <c r="C56" s="288" t="s">
        <v>525</v>
      </c>
      <c r="D56" s="288" t="s">
        <v>518</v>
      </c>
      <c r="E56" s="306" t="s">
        <v>110</v>
      </c>
      <c r="F56" s="291" t="str">
        <f t="shared" si="7"/>
        <v>R-404A</v>
      </c>
      <c r="G56" s="295">
        <v>1.3274336283185841E-2</v>
      </c>
      <c r="H56" s="295">
        <f t="shared" ref="H56:H61" si="53">G56</f>
        <v>1.3274336283185841E-2</v>
      </c>
      <c r="I56" s="221">
        <f t="shared" si="8"/>
        <v>3.0000000000000001E-3</v>
      </c>
      <c r="J56" s="221">
        <f t="shared" si="9"/>
        <v>1.875</v>
      </c>
      <c r="K56" s="221">
        <f t="shared" si="10"/>
        <v>4.7999999999999994E-2</v>
      </c>
      <c r="L56" s="221">
        <f>SUM(I56:K56)</f>
        <v>1.9259999999999999</v>
      </c>
      <c r="M56" s="261">
        <f>IF(SUM($I$56)=0,0,I56/SUM(I$56))</f>
        <v>1</v>
      </c>
      <c r="N56" s="261">
        <f>J56/SUM(J$56)</f>
        <v>1</v>
      </c>
      <c r="O56" s="261">
        <f>K56/SUM(K$56)</f>
        <v>1</v>
      </c>
      <c r="P56" s="261">
        <f>L56/SUM(L$56)</f>
        <v>1</v>
      </c>
      <c r="Q56" s="261">
        <f>M56*HLOOKUP($E56,'Equipment Assumptions'!$C$30:$Q$31,2,0)</f>
        <v>0.6</v>
      </c>
      <c r="R56" s="261">
        <f>N56*HLOOKUP($E56,'Equipment Assumptions'!$C$30:$Q$31,2,0)</f>
        <v>0.6</v>
      </c>
      <c r="S56" s="261">
        <f>O56*HLOOKUP($E56,'Equipment Assumptions'!$C$30:$Q$31,2,0)</f>
        <v>0.6</v>
      </c>
      <c r="T56" s="261">
        <f>P56*HLOOKUP($E56,'Equipment Assumptions'!$C$30:$Q$31,2,0)</f>
        <v>0.6</v>
      </c>
      <c r="U56" s="294">
        <f>IF(F56=0,"",L56*VLOOKUP(F56,Lists!$C$72:$S$232,COLUMNS(Lists!$C$69:S$69),0))</f>
        <v>7553.0016000000005</v>
      </c>
      <c r="V56" s="261">
        <f>U56/SUM(U$56)</f>
        <v>1</v>
      </c>
      <c r="W56" s="261">
        <f>V56*HLOOKUP($E56,'Equipment Assumptions'!$C$30:$Q$31,2,0)</f>
        <v>0.6</v>
      </c>
      <c r="X56" s="217"/>
      <c r="Y56" s="217"/>
      <c r="Z56" s="217"/>
      <c r="AA56" s="217"/>
      <c r="AB56" s="217"/>
      <c r="AC56" s="217"/>
      <c r="AD56" s="217"/>
      <c r="AE56" s="217"/>
      <c r="AF56" s="217"/>
      <c r="AG56" s="217"/>
      <c r="AH56" s="217"/>
      <c r="AI56" s="217"/>
      <c r="AJ56" s="217"/>
      <c r="AK56" s="217"/>
      <c r="AL56" s="217"/>
      <c r="AM56" s="217"/>
      <c r="AN56" s="217"/>
      <c r="AO56" s="217"/>
      <c r="AP56" s="217"/>
      <c r="AQ56" s="217"/>
      <c r="AR56" s="217"/>
      <c r="AS56" s="217"/>
      <c r="AT56" s="217"/>
      <c r="AU56" s="217"/>
      <c r="AV56" s="217"/>
      <c r="AW56" s="217"/>
      <c r="AX56" s="217"/>
      <c r="AY56" s="217"/>
      <c r="AZ56" s="217"/>
      <c r="BA56" s="217"/>
      <c r="BB56" s="217"/>
      <c r="BC56" s="217"/>
      <c r="BD56" s="217"/>
      <c r="BE56" s="217"/>
      <c r="BF56" s="217"/>
      <c r="BG56" s="217"/>
      <c r="BH56" s="217"/>
      <c r="BI56" s="217"/>
      <c r="BJ56" s="217"/>
      <c r="BK56" s="217"/>
      <c r="BL56" s="217"/>
      <c r="BM56" s="217"/>
      <c r="BN56" s="217"/>
      <c r="BO56" s="217"/>
      <c r="BP56" s="217"/>
      <c r="BQ56" s="217"/>
      <c r="BR56" s="217"/>
      <c r="BS56" s="217"/>
      <c r="BT56" s="217"/>
      <c r="BU56" s="217"/>
      <c r="BV56" s="217"/>
      <c r="BW56" s="217"/>
      <c r="BX56" s="217"/>
      <c r="BY56" s="217"/>
      <c r="BZ56" s="217"/>
      <c r="CA56" s="217"/>
      <c r="CB56" s="217"/>
      <c r="CC56" s="217"/>
      <c r="CD56" s="217"/>
      <c r="CE56" s="217"/>
      <c r="CF56" s="217"/>
      <c r="CG56" s="217"/>
      <c r="CH56" s="217"/>
      <c r="CI56" s="217"/>
      <c r="CJ56" s="217"/>
      <c r="CK56" s="217"/>
    </row>
    <row r="57" spans="1:89" ht="27.6" x14ac:dyDescent="0.3">
      <c r="A57" s="217"/>
      <c r="B57" s="566"/>
      <c r="C57" s="289" t="s">
        <v>526</v>
      </c>
      <c r="D57" s="302" t="s">
        <v>105</v>
      </c>
      <c r="E57" s="290" t="s">
        <v>723</v>
      </c>
      <c r="F57" s="291" t="str">
        <f t="shared" si="7"/>
        <v>R-410A</v>
      </c>
      <c r="G57" s="295">
        <v>2.3076923076923075E-2</v>
      </c>
      <c r="H57" s="426">
        <f>G57*VLOOKUP(C57,'Building Customization'!$B$10:$C$28,2,0)</f>
        <v>2.3076923076923075E-2</v>
      </c>
      <c r="I57" s="221">
        <f t="shared" si="8"/>
        <v>0</v>
      </c>
      <c r="J57" s="221">
        <f t="shared" si="9"/>
        <v>2.3999999999999997E-2</v>
      </c>
      <c r="K57" s="221">
        <f t="shared" si="10"/>
        <v>2.8800000000000006E-3</v>
      </c>
      <c r="L57" s="221">
        <f>SUM(I57:K57)</f>
        <v>2.6879999999999998E-2</v>
      </c>
      <c r="M57" s="261">
        <f>IF(SUM($I$57)=0,0,I57/SUM(I$57))</f>
        <v>0</v>
      </c>
      <c r="N57" s="261">
        <f>J57/SUM(J$57)</f>
        <v>1</v>
      </c>
      <c r="O57" s="261">
        <f>K57/SUM(K$57)</f>
        <v>1</v>
      </c>
      <c r="P57" s="261">
        <f>L57/SUM(L$57)</f>
        <v>1</v>
      </c>
      <c r="Q57" s="261">
        <f>M57*HLOOKUP($E57,'Equipment Assumptions'!$C$30:$Q$31,2,0)</f>
        <v>0</v>
      </c>
      <c r="R57" s="261">
        <f>N57*HLOOKUP($E57,'Equipment Assumptions'!$C$30:$Q$31,2,0)</f>
        <v>0.5</v>
      </c>
      <c r="S57" s="261">
        <f>O57*HLOOKUP($E57,'Equipment Assumptions'!$C$30:$Q$31,2,0)</f>
        <v>0.5</v>
      </c>
      <c r="T57" s="261">
        <f>P57*HLOOKUP($E57,'Equipment Assumptions'!$C$30:$Q$31,2,0)</f>
        <v>0.5</v>
      </c>
      <c r="U57" s="294">
        <f>IF(F57=0,"",L57*VLOOKUP(F57,Lists!$C$72:$S$232,COLUMNS(Lists!$C$69:S$69),0))</f>
        <v>56.111999999999995</v>
      </c>
      <c r="V57" s="261">
        <f>U57/SUM(U$57)</f>
        <v>1</v>
      </c>
      <c r="W57" s="261">
        <f>V57*HLOOKUP($E57,'Equipment Assumptions'!$C$30:$Q$31,2,0)</f>
        <v>0.5</v>
      </c>
      <c r="X57" s="217"/>
      <c r="Y57" s="217"/>
      <c r="Z57" s="217"/>
      <c r="AA57" s="217"/>
      <c r="AB57" s="217"/>
      <c r="AC57" s="217"/>
      <c r="AD57" s="217"/>
      <c r="AE57" s="217"/>
      <c r="AF57" s="217"/>
      <c r="AG57" s="217"/>
      <c r="AH57" s="217"/>
      <c r="AI57" s="217"/>
      <c r="AJ57" s="217"/>
      <c r="AK57" s="217"/>
      <c r="AL57" s="217"/>
      <c r="AM57" s="217"/>
      <c r="AN57" s="217"/>
      <c r="AO57" s="217"/>
      <c r="AP57" s="217"/>
      <c r="AQ57" s="217"/>
      <c r="AR57" s="217"/>
      <c r="AS57" s="217"/>
      <c r="AT57" s="217"/>
      <c r="AU57" s="217"/>
      <c r="AV57" s="217"/>
      <c r="AW57" s="217"/>
      <c r="AX57" s="217"/>
      <c r="AY57" s="217"/>
      <c r="AZ57" s="217"/>
      <c r="BA57" s="217"/>
      <c r="BB57" s="217"/>
      <c r="BC57" s="217"/>
      <c r="BD57" s="217"/>
      <c r="BE57" s="217"/>
      <c r="BF57" s="217"/>
      <c r="BG57" s="217"/>
      <c r="BH57" s="217"/>
      <c r="BI57" s="217"/>
      <c r="BJ57" s="217"/>
      <c r="BK57" s="217"/>
      <c r="BL57" s="217"/>
      <c r="BM57" s="217"/>
      <c r="BN57" s="217"/>
      <c r="BO57" s="217"/>
      <c r="BP57" s="217"/>
      <c r="BQ57" s="217"/>
      <c r="BR57" s="217"/>
      <c r="BS57" s="217"/>
      <c r="BT57" s="217"/>
      <c r="BU57" s="217"/>
      <c r="BV57" s="217"/>
      <c r="BW57" s="217"/>
      <c r="BX57" s="217"/>
      <c r="BY57" s="217"/>
      <c r="BZ57" s="217"/>
      <c r="CA57" s="217"/>
      <c r="CB57" s="217"/>
      <c r="CC57" s="217"/>
      <c r="CD57" s="217"/>
      <c r="CE57" s="217"/>
      <c r="CF57" s="217"/>
      <c r="CG57" s="217"/>
      <c r="CH57" s="217"/>
      <c r="CI57" s="217"/>
      <c r="CJ57" s="217"/>
      <c r="CK57" s="217"/>
    </row>
    <row r="58" spans="1:89" ht="27.6" x14ac:dyDescent="0.3">
      <c r="A58" s="217"/>
      <c r="B58" s="567"/>
      <c r="C58" s="289" t="s">
        <v>527</v>
      </c>
      <c r="D58" s="302" t="s">
        <v>105</v>
      </c>
      <c r="E58" s="290" t="s">
        <v>723</v>
      </c>
      <c r="F58" s="291" t="str">
        <f t="shared" si="7"/>
        <v>R-410A</v>
      </c>
      <c r="G58" s="295">
        <v>2.3076923076923075E-2</v>
      </c>
      <c r="H58" s="426">
        <f>G58*VLOOKUP(C58,'Building Customization'!$B$10:$C$28,2,0)</f>
        <v>2.3076923076923075E-2</v>
      </c>
      <c r="I58" s="221">
        <f t="shared" si="8"/>
        <v>0</v>
      </c>
      <c r="J58" s="221">
        <f t="shared" si="9"/>
        <v>2.3999999999999997E-2</v>
      </c>
      <c r="K58" s="221">
        <f t="shared" si="10"/>
        <v>2.8800000000000006E-3</v>
      </c>
      <c r="L58" s="221">
        <f>SUM(I58:K58)</f>
        <v>2.6879999999999998E-2</v>
      </c>
      <c r="M58" s="261">
        <f>IF(SUM($I$58)=0,0,I58/SUM(I$58))</f>
        <v>0</v>
      </c>
      <c r="N58" s="261">
        <f>J58/SUM(J$58)</f>
        <v>1</v>
      </c>
      <c r="O58" s="261">
        <f>K58/SUM(K$58)</f>
        <v>1</v>
      </c>
      <c r="P58" s="261">
        <f>L58/SUM(L$58)</f>
        <v>1</v>
      </c>
      <c r="Q58" s="261">
        <f>M58*HLOOKUP($E58,'Equipment Assumptions'!$C$30:$Q$31,2,0)</f>
        <v>0</v>
      </c>
      <c r="R58" s="261">
        <f>N58*HLOOKUP($E58,'Equipment Assumptions'!$C$30:$Q$31,2,0)</f>
        <v>0.5</v>
      </c>
      <c r="S58" s="261">
        <f>O58*HLOOKUP($E58,'Equipment Assumptions'!$C$30:$Q$31,2,0)</f>
        <v>0.5</v>
      </c>
      <c r="T58" s="261">
        <f>P58*HLOOKUP($E58,'Equipment Assumptions'!$C$30:$Q$31,2,0)</f>
        <v>0.5</v>
      </c>
      <c r="U58" s="294">
        <f>IF(F58=0,"",L58*VLOOKUP(F58,Lists!$C$72:$S$232,COLUMNS(Lists!$C$69:S$69),0))</f>
        <v>56.111999999999995</v>
      </c>
      <c r="V58" s="261">
        <f>U58/SUM(U$58)</f>
        <v>1</v>
      </c>
      <c r="W58" s="261">
        <f>V58*HLOOKUP($E58,'Equipment Assumptions'!$C$30:$Q$31,2,0)</f>
        <v>0.5</v>
      </c>
      <c r="X58" s="217"/>
      <c r="Y58" s="217"/>
      <c r="Z58" s="217"/>
      <c r="AA58" s="217"/>
      <c r="AB58" s="217"/>
      <c r="AC58" s="217"/>
      <c r="AD58" s="217"/>
      <c r="AE58" s="217"/>
      <c r="AF58" s="217"/>
      <c r="AG58" s="217"/>
      <c r="AH58" s="217"/>
      <c r="AI58" s="217"/>
      <c r="AJ58" s="217"/>
      <c r="AK58" s="217"/>
      <c r="AL58" s="217"/>
      <c r="AM58" s="217"/>
      <c r="AN58" s="217"/>
      <c r="AO58" s="217"/>
      <c r="AP58" s="217"/>
      <c r="AQ58" s="217"/>
      <c r="AR58" s="217"/>
      <c r="AS58" s="217"/>
      <c r="AT58" s="217"/>
      <c r="AU58" s="217"/>
      <c r="AV58" s="217"/>
      <c r="AW58" s="217"/>
      <c r="AX58" s="217"/>
      <c r="AY58" s="217"/>
      <c r="AZ58" s="217"/>
      <c r="BA58" s="217"/>
      <c r="BB58" s="217"/>
      <c r="BC58" s="217"/>
      <c r="BD58" s="217"/>
      <c r="BE58" s="217"/>
      <c r="BF58" s="217"/>
      <c r="BG58" s="217"/>
      <c r="BH58" s="217"/>
      <c r="BI58" s="217"/>
      <c r="BJ58" s="217"/>
      <c r="BK58" s="217"/>
      <c r="BL58" s="217"/>
      <c r="BM58" s="217"/>
      <c r="BN58" s="217"/>
      <c r="BO58" s="217"/>
      <c r="BP58" s="217"/>
      <c r="BQ58" s="217"/>
      <c r="BR58" s="217"/>
      <c r="BS58" s="217"/>
      <c r="BT58" s="217"/>
      <c r="BU58" s="217"/>
      <c r="BV58" s="217"/>
      <c r="BW58" s="217"/>
      <c r="BX58" s="217"/>
      <c r="BY58" s="217"/>
      <c r="BZ58" s="217"/>
      <c r="CA58" s="217"/>
      <c r="CB58" s="217"/>
      <c r="CC58" s="217"/>
      <c r="CD58" s="217"/>
      <c r="CE58" s="217"/>
      <c r="CF58" s="217"/>
      <c r="CG58" s="217"/>
      <c r="CH58" s="217"/>
      <c r="CI58" s="217"/>
      <c r="CJ58" s="217"/>
      <c r="CK58" s="217"/>
    </row>
    <row r="59" spans="1:89" x14ac:dyDescent="0.3">
      <c r="A59" s="217"/>
      <c r="B59" s="564" t="s">
        <v>113</v>
      </c>
      <c r="C59" s="288" t="s">
        <v>113</v>
      </c>
      <c r="D59" s="289" t="s">
        <v>125</v>
      </c>
      <c r="E59" s="290" t="s">
        <v>608</v>
      </c>
      <c r="F59" s="291" t="str">
        <f t="shared" si="7"/>
        <v>R-134a</v>
      </c>
      <c r="G59" s="292">
        <v>3.1E-2</v>
      </c>
      <c r="H59" s="293">
        <f t="shared" si="53"/>
        <v>3.1E-2</v>
      </c>
      <c r="I59" s="221">
        <f t="shared" si="8"/>
        <v>0</v>
      </c>
      <c r="J59" s="221">
        <f t="shared" si="9"/>
        <v>2.3249999999999999E-5</v>
      </c>
      <c r="K59" s="221">
        <f t="shared" si="10"/>
        <v>2.0855249999999993E-4</v>
      </c>
      <c r="L59" s="221">
        <f t="shared" si="13"/>
        <v>2.3180249999999993E-4</v>
      </c>
      <c r="M59" s="261">
        <f>IF(SUM($I$59:$I$63)=0,0,I59/SUM(I$59:I$63))</f>
        <v>0</v>
      </c>
      <c r="N59" s="261">
        <f>J59/SUM(J$59:J$63)</f>
        <v>9.6220500139674919E-4</v>
      </c>
      <c r="O59" s="261">
        <f t="shared" ref="O59:O63" si="54">K59/SUM(K$59:K$63)</f>
        <v>4.1402069880157766E-2</v>
      </c>
      <c r="P59" s="261">
        <f t="shared" ref="P59:P63" si="55">L59/SUM(L$59:L$63)</f>
        <v>7.8802264611711158E-3</v>
      </c>
      <c r="Q59" s="261">
        <f>M59*HLOOKUP($E59,'Equipment Assumptions'!$C$30:$Q$31,2,0)</f>
        <v>0</v>
      </c>
      <c r="R59" s="261">
        <f>N59*HLOOKUP($E59,'Equipment Assumptions'!$C$30:$Q$31,2,0)</f>
        <v>9.6220500139674919E-4</v>
      </c>
      <c r="S59" s="261">
        <f>O59*HLOOKUP($E59,'Equipment Assumptions'!$C$30:$Q$31,2,0)</f>
        <v>4.1402069880157766E-2</v>
      </c>
      <c r="T59" s="261">
        <f>P59*HLOOKUP($E59,'Equipment Assumptions'!$C$30:$Q$31,2,0)</f>
        <v>7.8802264611711158E-3</v>
      </c>
      <c r="U59" s="294">
        <f>IF(F59=0,"",L59*VLOOKUP(F59,Lists!$C$72:$S$232,COLUMNS(Lists!$C$69:S$69),0))</f>
        <v>0.33147757499999991</v>
      </c>
      <c r="V59" s="261">
        <f>U59/SUM(U$59:U$63)</f>
        <v>3.5900421131704391E-3</v>
      </c>
      <c r="W59" s="261">
        <f>V59*HLOOKUP($E59,'Equipment Assumptions'!$C$30:$Q$31,2,0)</f>
        <v>3.5900421131704391E-3</v>
      </c>
      <c r="X59" s="217"/>
      <c r="Y59" s="217"/>
      <c r="Z59" s="217"/>
      <c r="AA59" s="217"/>
      <c r="AB59" s="217"/>
      <c r="AC59" s="217"/>
      <c r="AD59" s="217"/>
      <c r="AE59" s="217"/>
      <c r="AF59" s="217"/>
      <c r="AG59" s="217"/>
      <c r="AH59" s="217"/>
      <c r="AI59" s="217"/>
      <c r="AJ59" s="217"/>
      <c r="AK59" s="217"/>
      <c r="AL59" s="217"/>
      <c r="AM59" s="217"/>
      <c r="AN59" s="217"/>
      <c r="AO59" s="217"/>
      <c r="AP59" s="217"/>
      <c r="AQ59" s="217"/>
      <c r="AR59" s="217"/>
      <c r="AS59" s="217"/>
      <c r="AT59" s="217"/>
      <c r="AU59" s="217"/>
      <c r="AV59" s="217"/>
      <c r="AW59" s="217"/>
      <c r="AX59" s="217"/>
      <c r="AY59" s="217"/>
      <c r="AZ59" s="217"/>
      <c r="BA59" s="217"/>
      <c r="BB59" s="217"/>
      <c r="BC59" s="217"/>
      <c r="BD59" s="217"/>
      <c r="BE59" s="217"/>
      <c r="BF59" s="217"/>
      <c r="BG59" s="217"/>
      <c r="BH59" s="217"/>
      <c r="BI59" s="217"/>
      <c r="BJ59" s="217"/>
      <c r="BK59" s="217"/>
      <c r="BL59" s="217"/>
      <c r="BM59" s="217"/>
      <c r="BN59" s="217"/>
      <c r="BO59" s="217"/>
      <c r="BP59" s="217"/>
      <c r="BQ59" s="217"/>
      <c r="BR59" s="217"/>
      <c r="BS59" s="217"/>
      <c r="BT59" s="217"/>
      <c r="BU59" s="217"/>
      <c r="BV59" s="217"/>
      <c r="BW59" s="217"/>
      <c r="BX59" s="217"/>
      <c r="BY59" s="217"/>
      <c r="BZ59" s="217"/>
      <c r="CA59" s="217"/>
      <c r="CB59" s="217"/>
      <c r="CC59" s="217"/>
      <c r="CD59" s="217"/>
      <c r="CE59" s="217"/>
      <c r="CF59" s="217"/>
      <c r="CG59" s="217"/>
      <c r="CH59" s="217"/>
      <c r="CI59" s="217"/>
      <c r="CJ59" s="217"/>
      <c r="CK59" s="217"/>
    </row>
    <row r="60" spans="1:89" ht="27.6" x14ac:dyDescent="0.3">
      <c r="A60" s="217"/>
      <c r="B60" s="564"/>
      <c r="C60" s="288" t="s">
        <v>113</v>
      </c>
      <c r="D60" s="308" t="s">
        <v>114</v>
      </c>
      <c r="E60" s="290" t="s">
        <v>610</v>
      </c>
      <c r="F60" s="291" t="str">
        <f t="shared" si="7"/>
        <v>R-134a</v>
      </c>
      <c r="G60" s="293">
        <f>(7/200000)*1000</f>
        <v>3.4999999999999996E-2</v>
      </c>
      <c r="H60" s="293">
        <f t="shared" si="53"/>
        <v>3.4999999999999996E-2</v>
      </c>
      <c r="I60" s="221">
        <f t="shared" si="8"/>
        <v>0</v>
      </c>
      <c r="J60" s="221">
        <f t="shared" si="9"/>
        <v>1.3999999999999999E-4</v>
      </c>
      <c r="K60" s="221">
        <f t="shared" si="10"/>
        <v>9.4500000000000031E-4</v>
      </c>
      <c r="L60" s="221">
        <f t="shared" si="13"/>
        <v>1.0850000000000002E-3</v>
      </c>
      <c r="M60" s="261">
        <f t="shared" ref="M60:M63" si="56">IF(SUM($I$59:$I$63)=0,0,I60/SUM(I$59:I$63))</f>
        <v>0</v>
      </c>
      <c r="N60" s="261">
        <f t="shared" ref="N60:N63" si="57">J60/SUM(J$59:J$63)</f>
        <v>5.7939225890556931E-3</v>
      </c>
      <c r="O60" s="261">
        <f t="shared" si="54"/>
        <v>0.18760243121875361</v>
      </c>
      <c r="P60" s="261">
        <f t="shared" si="55"/>
        <v>3.6885045287995882E-2</v>
      </c>
      <c r="Q60" s="261">
        <f>M60*HLOOKUP($E60,'Equipment Assumptions'!$C$30:$Q$31,2,0)</f>
        <v>0</v>
      </c>
      <c r="R60" s="261">
        <f>N60*HLOOKUP($E60,'Equipment Assumptions'!$C$30:$Q$31,2,0)</f>
        <v>5.7939225890556931E-3</v>
      </c>
      <c r="S60" s="261">
        <f>O60*HLOOKUP($E60,'Equipment Assumptions'!$C$30:$Q$31,2,0)</f>
        <v>0.18760243121875361</v>
      </c>
      <c r="T60" s="261">
        <f>P60*HLOOKUP($E60,'Equipment Assumptions'!$C$30:$Q$31,2,0)</f>
        <v>3.6885045287995882E-2</v>
      </c>
      <c r="U60" s="294">
        <f>IF(F60=0,"",L60*VLOOKUP(F60,Lists!$C$72:$S$232,COLUMNS(Lists!$C$69:S$69),0))</f>
        <v>1.5515500000000004</v>
      </c>
      <c r="V60" s="261">
        <f t="shared" ref="V60:V63" si="58">U60/SUM(U$59:U$63)</f>
        <v>1.6803941686521624E-2</v>
      </c>
      <c r="W60" s="261">
        <f>V60*HLOOKUP($E60,'Equipment Assumptions'!$C$30:$Q$31,2,0)</f>
        <v>1.6803941686521624E-2</v>
      </c>
      <c r="X60" s="217"/>
      <c r="Y60" s="217"/>
      <c r="Z60" s="217"/>
      <c r="AA60" s="217"/>
      <c r="AB60" s="217"/>
      <c r="AC60" s="217"/>
      <c r="AD60" s="217"/>
      <c r="AE60" s="217"/>
      <c r="AF60" s="217"/>
      <c r="AG60" s="217"/>
      <c r="AH60" s="217"/>
      <c r="AI60" s="217"/>
      <c r="AJ60" s="217"/>
      <c r="AK60" s="217"/>
      <c r="AL60" s="217"/>
      <c r="AM60" s="217"/>
      <c r="AN60" s="217"/>
      <c r="AO60" s="217"/>
      <c r="AP60" s="217"/>
      <c r="AQ60" s="217"/>
      <c r="AR60" s="217"/>
      <c r="AS60" s="217"/>
      <c r="AT60" s="217"/>
      <c r="AU60" s="217"/>
      <c r="AV60" s="217"/>
      <c r="AW60" s="217"/>
      <c r="AX60" s="217"/>
      <c r="AY60" s="217"/>
      <c r="AZ60" s="217"/>
      <c r="BA60" s="217"/>
      <c r="BB60" s="217"/>
      <c r="BC60" s="217"/>
      <c r="BD60" s="217"/>
      <c r="BE60" s="217"/>
      <c r="BF60" s="217"/>
      <c r="BG60" s="217"/>
      <c r="BH60" s="217"/>
      <c r="BI60" s="217"/>
      <c r="BJ60" s="217"/>
      <c r="BK60" s="217"/>
      <c r="BL60" s="217"/>
      <c r="BM60" s="217"/>
      <c r="BN60" s="217"/>
      <c r="BO60" s="217"/>
      <c r="BP60" s="217"/>
      <c r="BQ60" s="217"/>
      <c r="BR60" s="217"/>
      <c r="BS60" s="217"/>
      <c r="BT60" s="217"/>
      <c r="BU60" s="217"/>
      <c r="BV60" s="217"/>
      <c r="BW60" s="217"/>
      <c r="BX60" s="217"/>
      <c r="BY60" s="217"/>
      <c r="BZ60" s="217"/>
      <c r="CA60" s="217"/>
      <c r="CB60" s="217"/>
      <c r="CC60" s="217"/>
      <c r="CD60" s="217"/>
      <c r="CE60" s="217"/>
      <c r="CF60" s="217"/>
      <c r="CG60" s="217"/>
      <c r="CH60" s="217"/>
      <c r="CI60" s="217"/>
      <c r="CJ60" s="217"/>
      <c r="CK60" s="217"/>
    </row>
    <row r="61" spans="1:89" ht="27.6" x14ac:dyDescent="0.3">
      <c r="A61" s="217"/>
      <c r="B61" s="564"/>
      <c r="C61" s="288" t="s">
        <v>113</v>
      </c>
      <c r="D61" s="305" t="s">
        <v>519</v>
      </c>
      <c r="E61" s="289" t="s">
        <v>612</v>
      </c>
      <c r="F61" s="291" t="str">
        <f t="shared" si="7"/>
        <v>R-404A</v>
      </c>
      <c r="G61" s="309">
        <f>(3/200000)*1000</f>
        <v>1.5000000000000001E-2</v>
      </c>
      <c r="H61" s="293">
        <f t="shared" si="53"/>
        <v>1.5000000000000001E-2</v>
      </c>
      <c r="I61" s="221">
        <f t="shared" si="8"/>
        <v>1.5000000000000001E-4</v>
      </c>
      <c r="J61" s="221">
        <f t="shared" si="9"/>
        <v>1.8000000000000002E-2</v>
      </c>
      <c r="K61" s="221">
        <f t="shared" si="10"/>
        <v>2.0250000000000008E-3</v>
      </c>
      <c r="L61" s="221">
        <f t="shared" si="13"/>
        <v>2.0175000000000005E-2</v>
      </c>
      <c r="M61" s="261">
        <f t="shared" si="56"/>
        <v>0.69696969696969702</v>
      </c>
      <c r="N61" s="261">
        <f t="shared" si="57"/>
        <v>0.74493290430716075</v>
      </c>
      <c r="O61" s="261">
        <f t="shared" si="54"/>
        <v>0.40200520975447201</v>
      </c>
      <c r="P61" s="261">
        <f t="shared" si="55"/>
        <v>0.68585786975605256</v>
      </c>
      <c r="Q61" s="261">
        <f>M61*HLOOKUP($E61,'Equipment Assumptions'!$C$30:$Q$31,2,0)</f>
        <v>0.41818181818181821</v>
      </c>
      <c r="R61" s="261">
        <f>N61*HLOOKUP($E61,'Equipment Assumptions'!$C$30:$Q$31,2,0)</f>
        <v>0.44695974258429644</v>
      </c>
      <c r="S61" s="261">
        <f>O61*HLOOKUP($E61,'Equipment Assumptions'!$C$30:$Q$31,2,0)</f>
        <v>0.24120312585268319</v>
      </c>
      <c r="T61" s="261">
        <f>P61*HLOOKUP($E61,'Equipment Assumptions'!$C$30:$Q$31,2,0)</f>
        <v>0.41151472185363153</v>
      </c>
      <c r="U61" s="294">
        <f>IF(F61=0,"",L61*VLOOKUP(F61,Lists!$C$72:$S$232,COLUMNS(Lists!$C$69:S$69),0))</f>
        <v>79.118280000000027</v>
      </c>
      <c r="V61" s="261">
        <f t="shared" si="58"/>
        <v>0.85688438236466113</v>
      </c>
      <c r="W61" s="261">
        <f>V61*HLOOKUP($E61,'Equipment Assumptions'!$C$30:$Q$31,2,0)</f>
        <v>0.51413062941879661</v>
      </c>
      <c r="X61" s="217"/>
      <c r="Y61" s="217"/>
      <c r="Z61" s="217"/>
      <c r="AA61" s="217"/>
      <c r="AB61" s="217"/>
      <c r="AC61" s="217"/>
      <c r="AD61" s="217"/>
      <c r="AE61" s="217"/>
      <c r="AF61" s="217"/>
      <c r="AG61" s="217"/>
      <c r="AH61" s="217"/>
      <c r="AI61" s="217"/>
      <c r="AJ61" s="217"/>
      <c r="AK61" s="217"/>
      <c r="AL61" s="217"/>
      <c r="AM61" s="217"/>
      <c r="AN61" s="217"/>
      <c r="AO61" s="217"/>
      <c r="AP61" s="217"/>
      <c r="AQ61" s="217"/>
      <c r="AR61" s="217"/>
      <c r="AS61" s="217"/>
      <c r="AT61" s="217"/>
      <c r="AU61" s="217"/>
      <c r="AV61" s="217"/>
      <c r="AW61" s="217"/>
      <c r="AX61" s="217"/>
      <c r="AY61" s="217"/>
      <c r="AZ61" s="217"/>
      <c r="BA61" s="217"/>
      <c r="BB61" s="217"/>
      <c r="BC61" s="217"/>
      <c r="BD61" s="217"/>
      <c r="BE61" s="217"/>
      <c r="BF61" s="217"/>
      <c r="BG61" s="217"/>
      <c r="BH61" s="217"/>
      <c r="BI61" s="217"/>
      <c r="BJ61" s="217"/>
      <c r="BK61" s="217"/>
      <c r="BL61" s="217"/>
      <c r="BM61" s="217"/>
      <c r="BN61" s="217"/>
      <c r="BO61" s="217"/>
      <c r="BP61" s="217"/>
      <c r="BQ61" s="217"/>
      <c r="BR61" s="217"/>
      <c r="BS61" s="217"/>
      <c r="BT61" s="217"/>
      <c r="BU61" s="217"/>
      <c r="BV61" s="217"/>
      <c r="BW61" s="217"/>
      <c r="BX61" s="217"/>
      <c r="BY61" s="217"/>
      <c r="BZ61" s="217"/>
      <c r="CA61" s="217"/>
      <c r="CB61" s="217"/>
      <c r="CC61" s="217"/>
      <c r="CD61" s="217"/>
      <c r="CE61" s="217"/>
      <c r="CF61" s="217"/>
      <c r="CG61" s="217"/>
      <c r="CH61" s="217"/>
      <c r="CI61" s="217"/>
      <c r="CJ61" s="217"/>
      <c r="CK61" s="217"/>
    </row>
    <row r="62" spans="1:89" x14ac:dyDescent="0.3">
      <c r="A62" s="217"/>
      <c r="B62" s="564"/>
      <c r="C62" s="288" t="s">
        <v>113</v>
      </c>
      <c r="D62" s="288" t="s">
        <v>144</v>
      </c>
      <c r="E62" s="290" t="s">
        <v>723</v>
      </c>
      <c r="F62" s="291" t="str">
        <f t="shared" si="7"/>
        <v>R-410A</v>
      </c>
      <c r="G62" s="295">
        <v>0.17692307692307691</v>
      </c>
      <c r="H62" s="293"/>
      <c r="I62" s="221">
        <f t="shared" si="8"/>
        <v>0</v>
      </c>
      <c r="J62" s="221">
        <f t="shared" si="9"/>
        <v>0</v>
      </c>
      <c r="K62" s="221">
        <f t="shared" si="10"/>
        <v>0</v>
      </c>
      <c r="L62" s="221">
        <f t="shared" si="13"/>
        <v>0</v>
      </c>
      <c r="M62" s="261">
        <f t="shared" si="56"/>
        <v>0</v>
      </c>
      <c r="N62" s="261">
        <f t="shared" si="57"/>
        <v>0</v>
      </c>
      <c r="O62" s="261">
        <f t="shared" si="54"/>
        <v>0</v>
      </c>
      <c r="P62" s="261">
        <f t="shared" si="55"/>
        <v>0</v>
      </c>
      <c r="Q62" s="261">
        <f>M62*HLOOKUP($E62,'Equipment Assumptions'!$C$30:$Q$31,2,0)</f>
        <v>0</v>
      </c>
      <c r="R62" s="261">
        <f>N62*HLOOKUP($E62,'Equipment Assumptions'!$C$30:$Q$31,2,0)</f>
        <v>0</v>
      </c>
      <c r="S62" s="261">
        <f>O62*HLOOKUP($E62,'Equipment Assumptions'!$C$30:$Q$31,2,0)</f>
        <v>0</v>
      </c>
      <c r="T62" s="261">
        <f>P62*HLOOKUP($E62,'Equipment Assumptions'!$C$30:$Q$31,2,0)</f>
        <v>0</v>
      </c>
      <c r="U62" s="294">
        <f>IF(F62=0,"",L62*VLOOKUP(F62,Lists!$C$72:$S$232,COLUMNS(Lists!$C$69:S$69),0))</f>
        <v>0</v>
      </c>
      <c r="V62" s="261">
        <f t="shared" si="58"/>
        <v>0</v>
      </c>
      <c r="W62" s="261">
        <f>V62*HLOOKUP($E62,'Equipment Assumptions'!$C$30:$Q$31,2,0)</f>
        <v>0</v>
      </c>
      <c r="X62" s="217"/>
      <c r="Y62" s="217"/>
      <c r="Z62" s="217"/>
      <c r="AA62" s="217"/>
      <c r="AB62" s="217"/>
      <c r="AC62" s="217"/>
      <c r="AD62" s="217"/>
      <c r="AE62" s="217"/>
      <c r="AF62" s="217"/>
      <c r="AG62" s="217"/>
      <c r="AH62" s="217"/>
      <c r="AI62" s="217"/>
      <c r="AJ62" s="217"/>
      <c r="AK62" s="217"/>
      <c r="AL62" s="217"/>
      <c r="AM62" s="217"/>
      <c r="AN62" s="217"/>
      <c r="AO62" s="217"/>
      <c r="AP62" s="217"/>
      <c r="AQ62" s="217"/>
      <c r="AR62" s="217"/>
      <c r="AS62" s="217"/>
      <c r="AT62" s="217"/>
      <c r="AU62" s="217"/>
      <c r="AV62" s="217"/>
      <c r="AW62" s="217"/>
      <c r="AX62" s="217"/>
      <c r="AY62" s="217"/>
      <c r="AZ62" s="217"/>
      <c r="BA62" s="217"/>
      <c r="BB62" s="217"/>
      <c r="BC62" s="217"/>
      <c r="BD62" s="217"/>
      <c r="BE62" s="217"/>
      <c r="BF62" s="217"/>
      <c r="BG62" s="217"/>
      <c r="BH62" s="217"/>
      <c r="BI62" s="217"/>
      <c r="BJ62" s="217"/>
      <c r="BK62" s="217"/>
      <c r="BL62" s="217"/>
      <c r="BM62" s="217"/>
      <c r="BN62" s="217"/>
      <c r="BO62" s="217"/>
      <c r="BP62" s="217"/>
      <c r="BQ62" s="217"/>
      <c r="BR62" s="217"/>
      <c r="BS62" s="217"/>
      <c r="BT62" s="217"/>
      <c r="BU62" s="217"/>
      <c r="BV62" s="217"/>
      <c r="BW62" s="217"/>
      <c r="BX62" s="217"/>
      <c r="BY62" s="217"/>
      <c r="BZ62" s="217"/>
      <c r="CA62" s="217"/>
      <c r="CB62" s="217"/>
      <c r="CC62" s="217"/>
      <c r="CD62" s="217"/>
      <c r="CE62" s="217"/>
      <c r="CF62" s="217"/>
      <c r="CG62" s="217"/>
      <c r="CH62" s="217"/>
      <c r="CI62" s="217"/>
      <c r="CJ62" s="217"/>
      <c r="CK62" s="217"/>
    </row>
    <row r="63" spans="1:89" x14ac:dyDescent="0.3">
      <c r="A63" s="217"/>
      <c r="B63" s="564"/>
      <c r="C63" s="288" t="s">
        <v>113</v>
      </c>
      <c r="D63" s="305" t="s">
        <v>112</v>
      </c>
      <c r="E63" s="306" t="s">
        <v>112</v>
      </c>
      <c r="F63" s="291" t="str">
        <f t="shared" si="7"/>
        <v>R-134a</v>
      </c>
      <c r="G63" s="295">
        <v>5.9999999999999995E-4</v>
      </c>
      <c r="H63" s="426">
        <f>G63*VLOOKUP(C63,'Building Customization'!$B$10:$C$28,2,0)</f>
        <v>5.9999999999999995E-4</v>
      </c>
      <c r="I63" s="221">
        <f t="shared" si="8"/>
        <v>6.521739130434782E-5</v>
      </c>
      <c r="J63" s="221">
        <f t="shared" si="9"/>
        <v>5.9999999999999993E-3</v>
      </c>
      <c r="K63" s="221">
        <f t="shared" si="10"/>
        <v>1.858695652173913E-3</v>
      </c>
      <c r="L63" s="221">
        <f t="shared" si="13"/>
        <v>7.9239130434782604E-3</v>
      </c>
      <c r="M63" s="261">
        <f t="shared" si="56"/>
        <v>0.30303030303030298</v>
      </c>
      <c r="N63" s="261">
        <f t="shared" si="57"/>
        <v>0.24831096810238684</v>
      </c>
      <c r="O63" s="261">
        <f t="shared" si="54"/>
        <v>0.36899028914661669</v>
      </c>
      <c r="P63" s="261">
        <f t="shared" si="55"/>
        <v>0.26937685849478055</v>
      </c>
      <c r="Q63" s="261">
        <f>M63*HLOOKUP($E63,'Equipment Assumptions'!$C$30:$Q$31,2,0)</f>
        <v>0.1212121212121212</v>
      </c>
      <c r="R63" s="261">
        <f>N63*HLOOKUP($E63,'Equipment Assumptions'!$C$30:$Q$31,2,0)</f>
        <v>9.9324387240954742E-2</v>
      </c>
      <c r="S63" s="261">
        <f>O63*HLOOKUP($E63,'Equipment Assumptions'!$C$30:$Q$31,2,0)</f>
        <v>0.14759611565864669</v>
      </c>
      <c r="T63" s="261">
        <f>P63*HLOOKUP($E63,'Equipment Assumptions'!$C$30:$Q$31,2,0)</f>
        <v>0.10775074339791223</v>
      </c>
      <c r="U63" s="294">
        <f>IF(F63=0,"",L63*VLOOKUP(F63,Lists!$C$72:$S$232,COLUMNS(Lists!$C$69:S$69),0))</f>
        <v>11.331195652173912</v>
      </c>
      <c r="V63" s="261">
        <f t="shared" si="58"/>
        <v>0.12272163383564674</v>
      </c>
      <c r="W63" s="261">
        <f>V63*HLOOKUP($E63,'Equipment Assumptions'!$C$30:$Q$31,2,0)</f>
        <v>4.9088653534258703E-2</v>
      </c>
      <c r="X63" s="217"/>
      <c r="Y63" s="217"/>
      <c r="Z63" s="217"/>
      <c r="AA63" s="217"/>
      <c r="AB63" s="217"/>
      <c r="AC63" s="217"/>
      <c r="AD63" s="217"/>
      <c r="AE63" s="217"/>
      <c r="AF63" s="217"/>
      <c r="AG63" s="217"/>
      <c r="AH63" s="217"/>
      <c r="AI63" s="217"/>
      <c r="AJ63" s="217"/>
      <c r="AK63" s="217"/>
      <c r="AL63" s="217"/>
      <c r="AM63" s="217"/>
      <c r="AN63" s="217"/>
      <c r="AO63" s="217"/>
      <c r="AP63" s="217"/>
      <c r="AQ63" s="217"/>
      <c r="AR63" s="217"/>
      <c r="AS63" s="217"/>
      <c r="AT63" s="217"/>
      <c r="AU63" s="217"/>
      <c r="AV63" s="217"/>
      <c r="AW63" s="217"/>
      <c r="AX63" s="217"/>
      <c r="AY63" s="217"/>
      <c r="AZ63" s="217"/>
      <c r="BA63" s="217"/>
      <c r="BB63" s="217"/>
      <c r="BC63" s="217"/>
      <c r="BD63" s="217"/>
      <c r="BE63" s="217"/>
      <c r="BF63" s="217"/>
      <c r="BG63" s="217"/>
      <c r="BH63" s="217"/>
      <c r="BI63" s="217"/>
      <c r="BJ63" s="217"/>
      <c r="BK63" s="217"/>
      <c r="BL63" s="217"/>
      <c r="BM63" s="217"/>
      <c r="BN63" s="217"/>
      <c r="BO63" s="217"/>
      <c r="BP63" s="217"/>
      <c r="BQ63" s="217"/>
      <c r="BR63" s="217"/>
      <c r="BS63" s="217"/>
      <c r="BT63" s="217"/>
      <c r="BU63" s="217"/>
      <c r="BV63" s="217"/>
      <c r="BW63" s="217"/>
      <c r="BX63" s="217"/>
      <c r="BY63" s="217"/>
      <c r="BZ63" s="217"/>
      <c r="CA63" s="217"/>
      <c r="CB63" s="217"/>
      <c r="CC63" s="217"/>
      <c r="CD63" s="217"/>
      <c r="CE63" s="217"/>
      <c r="CF63" s="217"/>
      <c r="CG63" s="217"/>
      <c r="CH63" s="217"/>
      <c r="CI63" s="217"/>
      <c r="CJ63" s="217"/>
      <c r="CK63" s="217"/>
    </row>
    <row r="64" spans="1:89" x14ac:dyDescent="0.3">
      <c r="A64" s="217"/>
      <c r="B64" s="564"/>
      <c r="C64" s="288" t="s">
        <v>117</v>
      </c>
      <c r="D64" s="289" t="s">
        <v>125</v>
      </c>
      <c r="E64" s="290" t="s">
        <v>608</v>
      </c>
      <c r="F64" s="291" t="str">
        <f t="shared" si="7"/>
        <v>R-134a</v>
      </c>
      <c r="G64" s="292">
        <v>3</v>
      </c>
      <c r="H64" s="293">
        <f>G64</f>
        <v>3</v>
      </c>
      <c r="I64" s="221">
        <f t="shared" si="8"/>
        <v>0</v>
      </c>
      <c r="J64" s="221">
        <f t="shared" si="9"/>
        <v>2.2500000000000003E-3</v>
      </c>
      <c r="K64" s="221">
        <f t="shared" si="10"/>
        <v>2.0182499999999996E-2</v>
      </c>
      <c r="L64" s="221">
        <f t="shared" si="13"/>
        <v>2.2432499999999994E-2</v>
      </c>
      <c r="M64" s="261">
        <f>IF(SUM($I$64:$I$67)=0,0,I64/SUM(I$64:I$67))</f>
        <v>0</v>
      </c>
      <c r="N64" s="261">
        <f>J64/SUM(J$64:J$67)</f>
        <v>8.5714285714285743E-2</v>
      </c>
      <c r="O64" s="261">
        <f t="shared" ref="O64:O67" si="59">K64/SUM(K$64:K$67)</f>
        <v>0.8751219512195122</v>
      </c>
      <c r="P64" s="261">
        <f t="shared" ref="P64:P67" si="60">L64/SUM(L$64:L$67)</f>
        <v>0.45490494296577938</v>
      </c>
      <c r="Q64" s="261">
        <f>M64*HLOOKUP($E64,'Equipment Assumptions'!$C$30:$Q$31,2,0)</f>
        <v>0</v>
      </c>
      <c r="R64" s="261">
        <f>N64*HLOOKUP($E64,'Equipment Assumptions'!$C$30:$Q$31,2,0)</f>
        <v>8.5714285714285743E-2</v>
      </c>
      <c r="S64" s="261">
        <f>O64*HLOOKUP($E64,'Equipment Assumptions'!$C$30:$Q$31,2,0)</f>
        <v>0.8751219512195122</v>
      </c>
      <c r="T64" s="261">
        <f>P64*HLOOKUP($E64,'Equipment Assumptions'!$C$30:$Q$31,2,0)</f>
        <v>0.45490494296577938</v>
      </c>
      <c r="U64" s="294">
        <f>IF(F64=0,"",L64*VLOOKUP(F64,Lists!$C$72:$S$232,COLUMNS(Lists!$C$69:S$69),0))</f>
        <v>32.07847499999999</v>
      </c>
      <c r="V64" s="261">
        <f>U64/SUM(U$64:U$67)</f>
        <v>0.36374081214552922</v>
      </c>
      <c r="W64" s="261">
        <f>V64*HLOOKUP($E64,'Equipment Assumptions'!$C$30:$Q$31,2,0)</f>
        <v>0.36374081214552922</v>
      </c>
      <c r="X64" s="217"/>
      <c r="Y64" s="217"/>
      <c r="Z64" s="217"/>
      <c r="AA64" s="217"/>
      <c r="AB64" s="217"/>
      <c r="AC64" s="217"/>
      <c r="AD64" s="217"/>
      <c r="AE64" s="217"/>
      <c r="AF64" s="217"/>
      <c r="AG64" s="217"/>
      <c r="AH64" s="217"/>
      <c r="AI64" s="217"/>
      <c r="AJ64" s="217"/>
      <c r="AK64" s="217"/>
      <c r="AL64" s="217"/>
      <c r="AM64" s="217"/>
      <c r="AN64" s="217"/>
      <c r="AO64" s="217"/>
      <c r="AP64" s="217"/>
      <c r="AQ64" s="217"/>
      <c r="AR64" s="217"/>
      <c r="AS64" s="217"/>
      <c r="AT64" s="217"/>
      <c r="AU64" s="217"/>
      <c r="AV64" s="217"/>
      <c r="AW64" s="217"/>
      <c r="AX64" s="217"/>
      <c r="AY64" s="217"/>
      <c r="AZ64" s="217"/>
      <c r="BA64" s="217"/>
      <c r="BB64" s="217"/>
      <c r="BC64" s="217"/>
      <c r="BD64" s="217"/>
      <c r="BE64" s="217"/>
      <c r="BF64" s="217"/>
      <c r="BG64" s="217"/>
      <c r="BH64" s="217"/>
      <c r="BI64" s="217"/>
      <c r="BJ64" s="217"/>
      <c r="BK64" s="217"/>
      <c r="BL64" s="217"/>
      <c r="BM64" s="217"/>
      <c r="BN64" s="217"/>
      <c r="BO64" s="217"/>
      <c r="BP64" s="217"/>
      <c r="BQ64" s="217"/>
      <c r="BR64" s="217"/>
      <c r="BS64" s="217"/>
      <c r="BT64" s="217"/>
      <c r="BU64" s="217"/>
      <c r="BV64" s="217"/>
      <c r="BW64" s="217"/>
      <c r="BX64" s="217"/>
      <c r="BY64" s="217"/>
      <c r="BZ64" s="217"/>
      <c r="CA64" s="217"/>
      <c r="CB64" s="217"/>
      <c r="CC64" s="217"/>
      <c r="CD64" s="217"/>
      <c r="CE64" s="217"/>
      <c r="CF64" s="217"/>
      <c r="CG64" s="217"/>
      <c r="CH64" s="217"/>
      <c r="CI64" s="217"/>
      <c r="CJ64" s="217"/>
      <c r="CK64" s="217"/>
    </row>
    <row r="65" spans="1:89" ht="27.6" x14ac:dyDescent="0.3">
      <c r="A65" s="217"/>
      <c r="B65" s="564"/>
      <c r="C65" s="288" t="s">
        <v>117</v>
      </c>
      <c r="D65" s="308" t="s">
        <v>114</v>
      </c>
      <c r="E65" s="290" t="s">
        <v>610</v>
      </c>
      <c r="F65" s="291" t="str">
        <f t="shared" si="7"/>
        <v>R-134a</v>
      </c>
      <c r="G65" s="310">
        <f>(7/74671)*1000</f>
        <v>9.3744559467530894E-2</v>
      </c>
      <c r="H65" s="293"/>
      <c r="I65" s="221">
        <f t="shared" si="8"/>
        <v>0</v>
      </c>
      <c r="J65" s="221">
        <f t="shared" si="9"/>
        <v>0</v>
      </c>
      <c r="K65" s="221">
        <f t="shared" si="10"/>
        <v>0</v>
      </c>
      <c r="L65" s="221">
        <f t="shared" si="13"/>
        <v>0</v>
      </c>
      <c r="M65" s="261">
        <f t="shared" ref="M65:M67" si="61">IF(SUM($I$64:$I$67)=0,0,I65/SUM(I$64:I$67))</f>
        <v>0</v>
      </c>
      <c r="N65" s="261">
        <f t="shared" ref="N65:N67" si="62">J65/SUM(J$64:J$67)</f>
        <v>0</v>
      </c>
      <c r="O65" s="261">
        <f t="shared" si="59"/>
        <v>0</v>
      </c>
      <c r="P65" s="261">
        <f t="shared" si="60"/>
        <v>0</v>
      </c>
      <c r="Q65" s="261">
        <f>M65*HLOOKUP($E65,'Equipment Assumptions'!$C$30:$Q$31,2,0)</f>
        <v>0</v>
      </c>
      <c r="R65" s="261">
        <f>N65*HLOOKUP($E65,'Equipment Assumptions'!$C$30:$Q$31,2,0)</f>
        <v>0</v>
      </c>
      <c r="S65" s="261">
        <f>O65*HLOOKUP($E65,'Equipment Assumptions'!$C$30:$Q$31,2,0)</f>
        <v>0</v>
      </c>
      <c r="T65" s="261">
        <f>P65*HLOOKUP($E65,'Equipment Assumptions'!$C$30:$Q$31,2,0)</f>
        <v>0</v>
      </c>
      <c r="U65" s="294">
        <f>IF(F65=0,"",L65*VLOOKUP(F65,Lists!$C$72:$S$232,COLUMNS(Lists!$C$69:S$69),0))</f>
        <v>0</v>
      </c>
      <c r="V65" s="261">
        <f t="shared" ref="V65:V67" si="63">U65/SUM(U$64:U$67)</f>
        <v>0</v>
      </c>
      <c r="W65" s="261">
        <f>V65*HLOOKUP($E65,'Equipment Assumptions'!$C$30:$Q$31,2,0)</f>
        <v>0</v>
      </c>
      <c r="X65" s="217"/>
      <c r="Y65" s="217"/>
      <c r="Z65" s="217"/>
      <c r="AA65" s="217"/>
      <c r="AB65" s="217"/>
      <c r="AC65" s="217"/>
      <c r="AD65" s="217"/>
      <c r="AE65" s="217"/>
      <c r="AF65" s="217"/>
      <c r="AG65" s="217"/>
      <c r="AH65" s="217"/>
      <c r="AI65" s="217"/>
      <c r="AJ65" s="217"/>
      <c r="AK65" s="217"/>
      <c r="AL65" s="217"/>
      <c r="AM65" s="217"/>
      <c r="AN65" s="217"/>
      <c r="AO65" s="217"/>
      <c r="AP65" s="217"/>
      <c r="AQ65" s="217"/>
      <c r="AR65" s="217"/>
      <c r="AS65" s="217"/>
      <c r="AT65" s="217"/>
      <c r="AU65" s="217"/>
      <c r="AV65" s="217"/>
      <c r="AW65" s="217"/>
      <c r="AX65" s="217"/>
      <c r="AY65" s="217"/>
      <c r="AZ65" s="217"/>
      <c r="BA65" s="217"/>
      <c r="BB65" s="217"/>
      <c r="BC65" s="217"/>
      <c r="BD65" s="217"/>
      <c r="BE65" s="217"/>
      <c r="BF65" s="217"/>
      <c r="BG65" s="217"/>
      <c r="BH65" s="217"/>
      <c r="BI65" s="217"/>
      <c r="BJ65" s="217"/>
      <c r="BK65" s="217"/>
      <c r="BL65" s="217"/>
      <c r="BM65" s="217"/>
      <c r="BN65" s="217"/>
      <c r="BO65" s="217"/>
      <c r="BP65" s="217"/>
      <c r="BQ65" s="217"/>
      <c r="BR65" s="217"/>
      <c r="BS65" s="217"/>
      <c r="BT65" s="217"/>
      <c r="BU65" s="217"/>
      <c r="BV65" s="217"/>
      <c r="BW65" s="217"/>
      <c r="BX65" s="217"/>
      <c r="BY65" s="217"/>
      <c r="BZ65" s="217"/>
      <c r="CA65" s="217"/>
      <c r="CB65" s="217"/>
      <c r="CC65" s="217"/>
      <c r="CD65" s="217"/>
      <c r="CE65" s="217"/>
      <c r="CF65" s="217"/>
      <c r="CG65" s="217"/>
      <c r="CH65" s="217"/>
      <c r="CI65" s="217"/>
      <c r="CJ65" s="217"/>
      <c r="CK65" s="217"/>
    </row>
    <row r="66" spans="1:89" ht="27.6" x14ac:dyDescent="0.3">
      <c r="A66" s="217"/>
      <c r="B66" s="564"/>
      <c r="C66" s="288" t="s">
        <v>117</v>
      </c>
      <c r="D66" s="289" t="s">
        <v>519</v>
      </c>
      <c r="E66" s="289" t="s">
        <v>612</v>
      </c>
      <c r="F66" s="291" t="str">
        <f t="shared" si="7"/>
        <v>R-404A</v>
      </c>
      <c r="G66" s="311">
        <f>(3/74671)*1000</f>
        <v>4.0176239771798954E-2</v>
      </c>
      <c r="H66" s="293"/>
      <c r="I66" s="221">
        <f t="shared" si="8"/>
        <v>0</v>
      </c>
      <c r="J66" s="221">
        <f t="shared" si="9"/>
        <v>0</v>
      </c>
      <c r="K66" s="221">
        <f t="shared" si="10"/>
        <v>0</v>
      </c>
      <c r="L66" s="221">
        <f>SUM(I66:K66)</f>
        <v>0</v>
      </c>
      <c r="M66" s="261">
        <f t="shared" si="61"/>
        <v>0</v>
      </c>
      <c r="N66" s="261">
        <f t="shared" si="62"/>
        <v>0</v>
      </c>
      <c r="O66" s="261">
        <f t="shared" si="59"/>
        <v>0</v>
      </c>
      <c r="P66" s="261">
        <f t="shared" si="60"/>
        <v>0</v>
      </c>
      <c r="Q66" s="261">
        <f>M66*HLOOKUP($E66,'Equipment Assumptions'!$C$30:$Q$31,2,0)</f>
        <v>0</v>
      </c>
      <c r="R66" s="261">
        <f>N66*HLOOKUP($E66,'Equipment Assumptions'!$C$30:$Q$31,2,0)</f>
        <v>0</v>
      </c>
      <c r="S66" s="261">
        <f>O66*HLOOKUP($E66,'Equipment Assumptions'!$C$30:$Q$31,2,0)</f>
        <v>0</v>
      </c>
      <c r="T66" s="261">
        <f>P66*HLOOKUP($E66,'Equipment Assumptions'!$C$30:$Q$31,2,0)</f>
        <v>0</v>
      </c>
      <c r="U66" s="294">
        <f>IF(F66=0,"",L66*VLOOKUP(F66,Lists!$C$72:$S$232,COLUMNS(Lists!$C$69:S$69),0))</f>
        <v>0</v>
      </c>
      <c r="V66" s="261">
        <f t="shared" si="63"/>
        <v>0</v>
      </c>
      <c r="W66" s="261">
        <f>V66*HLOOKUP($E66,'Equipment Assumptions'!$C$30:$Q$31,2,0)</f>
        <v>0</v>
      </c>
      <c r="X66" s="217"/>
      <c r="Y66" s="217"/>
      <c r="Z66" s="217"/>
      <c r="AA66" s="217"/>
      <c r="AB66" s="217"/>
      <c r="AC66" s="217"/>
      <c r="AD66" s="217"/>
      <c r="AE66" s="217"/>
      <c r="AF66" s="217"/>
      <c r="AG66" s="217"/>
      <c r="AH66" s="217"/>
      <c r="AI66" s="217"/>
      <c r="AJ66" s="217"/>
      <c r="AK66" s="217"/>
      <c r="AL66" s="217"/>
      <c r="AM66" s="217"/>
      <c r="AN66" s="217"/>
      <c r="AO66" s="217"/>
      <c r="AP66" s="217"/>
      <c r="AQ66" s="217"/>
      <c r="AR66" s="217"/>
      <c r="AS66" s="217"/>
      <c r="AT66" s="217"/>
      <c r="AU66" s="217"/>
      <c r="AV66" s="217"/>
      <c r="AW66" s="217"/>
      <c r="AX66" s="217"/>
      <c r="AY66" s="217"/>
      <c r="AZ66" s="217"/>
      <c r="BA66" s="217"/>
      <c r="BB66" s="217"/>
      <c r="BC66" s="217"/>
      <c r="BD66" s="217"/>
      <c r="BE66" s="217"/>
      <c r="BF66" s="217"/>
      <c r="BG66" s="217"/>
      <c r="BH66" s="217"/>
      <c r="BI66" s="217"/>
      <c r="BJ66" s="217"/>
      <c r="BK66" s="217"/>
      <c r="BL66" s="217"/>
      <c r="BM66" s="217"/>
      <c r="BN66" s="217"/>
      <c r="BO66" s="217"/>
      <c r="BP66" s="217"/>
      <c r="BQ66" s="217"/>
      <c r="BR66" s="217"/>
      <c r="BS66" s="217"/>
      <c r="BT66" s="217"/>
      <c r="BU66" s="217"/>
      <c r="BV66" s="217"/>
      <c r="BW66" s="217"/>
      <c r="BX66" s="217"/>
      <c r="BY66" s="217"/>
      <c r="BZ66" s="217"/>
      <c r="CA66" s="217"/>
      <c r="CB66" s="217"/>
      <c r="CC66" s="217"/>
      <c r="CD66" s="217"/>
      <c r="CE66" s="217"/>
      <c r="CF66" s="217"/>
      <c r="CG66" s="217"/>
      <c r="CH66" s="217"/>
      <c r="CI66" s="217"/>
      <c r="CJ66" s="217"/>
      <c r="CK66" s="217"/>
    </row>
    <row r="67" spans="1:89" ht="27.6" x14ac:dyDescent="0.3">
      <c r="A67" s="217"/>
      <c r="B67" s="564"/>
      <c r="C67" s="288" t="s">
        <v>117</v>
      </c>
      <c r="D67" s="305" t="s">
        <v>105</v>
      </c>
      <c r="E67" s="290" t="s">
        <v>723</v>
      </c>
      <c r="F67" s="291" t="str">
        <f t="shared" si="7"/>
        <v>R-410A</v>
      </c>
      <c r="G67" s="295">
        <v>2.3076923076923075E-2</v>
      </c>
      <c r="H67" s="426">
        <f>G67*VLOOKUP(C67,'Building Customization'!$B$10:$C$28,2,0)</f>
        <v>2.3076923076923075E-2</v>
      </c>
      <c r="I67" s="221">
        <f t="shared" si="8"/>
        <v>0</v>
      </c>
      <c r="J67" s="221">
        <f t="shared" si="9"/>
        <v>2.3999999999999997E-2</v>
      </c>
      <c r="K67" s="221">
        <f t="shared" si="10"/>
        <v>2.8800000000000006E-3</v>
      </c>
      <c r="L67" s="221">
        <f t="shared" si="13"/>
        <v>2.6879999999999998E-2</v>
      </c>
      <c r="M67" s="261">
        <f t="shared" si="61"/>
        <v>0</v>
      </c>
      <c r="N67" s="261">
        <f t="shared" si="62"/>
        <v>0.91428571428571437</v>
      </c>
      <c r="O67" s="261">
        <f t="shared" si="59"/>
        <v>0.12487804878048785</v>
      </c>
      <c r="P67" s="261">
        <f t="shared" si="60"/>
        <v>0.54509505703422056</v>
      </c>
      <c r="Q67" s="261">
        <f>M67*HLOOKUP($E67,'Equipment Assumptions'!$C$30:$Q$31,2,0)</f>
        <v>0</v>
      </c>
      <c r="R67" s="261">
        <f>N67*HLOOKUP($E67,'Equipment Assumptions'!$C$30:$Q$31,2,0)</f>
        <v>0.45714285714285718</v>
      </c>
      <c r="S67" s="261">
        <f>O67*HLOOKUP($E67,'Equipment Assumptions'!$C$30:$Q$31,2,0)</f>
        <v>6.2439024390243923E-2</v>
      </c>
      <c r="T67" s="261">
        <f>P67*HLOOKUP($E67,'Equipment Assumptions'!$C$30:$Q$31,2,0)</f>
        <v>0.27254752851711028</v>
      </c>
      <c r="U67" s="294">
        <f>IF(F67=0,"",L67*VLOOKUP(F67,Lists!$C$72:$S$232,COLUMNS(Lists!$C$69:S$69),0))</f>
        <v>56.111999999999995</v>
      </c>
      <c r="V67" s="261">
        <f t="shared" si="63"/>
        <v>0.63625918785447066</v>
      </c>
      <c r="W67" s="261">
        <f>V67*HLOOKUP($E67,'Equipment Assumptions'!$C$30:$Q$31,2,0)</f>
        <v>0.31812959392723533</v>
      </c>
      <c r="X67" s="217"/>
      <c r="Y67" s="217"/>
      <c r="Z67" s="217"/>
      <c r="AA67" s="217"/>
      <c r="AB67" s="217"/>
      <c r="AC67" s="217"/>
      <c r="AD67" s="217"/>
      <c r="AE67" s="217"/>
      <c r="AF67" s="217"/>
      <c r="AG67" s="217"/>
      <c r="AH67" s="217"/>
      <c r="AI67" s="217"/>
      <c r="AJ67" s="217"/>
      <c r="AK67" s="217"/>
      <c r="AL67" s="217"/>
      <c r="AM67" s="217"/>
      <c r="AN67" s="217"/>
      <c r="AO67" s="217"/>
      <c r="AP67" s="217"/>
      <c r="AQ67" s="217"/>
      <c r="AR67" s="217"/>
      <c r="AS67" s="217"/>
      <c r="AT67" s="217"/>
      <c r="AU67" s="217"/>
      <c r="AV67" s="217"/>
      <c r="AW67" s="217"/>
      <c r="AX67" s="217"/>
      <c r="AY67" s="217"/>
      <c r="AZ67" s="217"/>
      <c r="BA67" s="217"/>
      <c r="BB67" s="217"/>
      <c r="BC67" s="217"/>
      <c r="BD67" s="217"/>
      <c r="BE67" s="217"/>
      <c r="BF67" s="217"/>
      <c r="BG67" s="217"/>
      <c r="BH67" s="217"/>
      <c r="BI67" s="217"/>
      <c r="BJ67" s="217"/>
      <c r="BK67" s="217"/>
      <c r="BL67" s="217"/>
      <c r="BM67" s="217"/>
      <c r="BN67" s="217"/>
      <c r="BO67" s="217"/>
      <c r="BP67" s="217"/>
      <c r="BQ67" s="217"/>
      <c r="BR67" s="217"/>
      <c r="BS67" s="217"/>
      <c r="BT67" s="217"/>
      <c r="BU67" s="217"/>
      <c r="BV67" s="217"/>
      <c r="BW67" s="217"/>
      <c r="BX67" s="217"/>
      <c r="BY67" s="217"/>
      <c r="BZ67" s="217"/>
      <c r="CA67" s="217"/>
      <c r="CB67" s="217"/>
      <c r="CC67" s="217"/>
      <c r="CD67" s="217"/>
      <c r="CE67" s="217"/>
      <c r="CF67" s="217"/>
      <c r="CG67" s="217"/>
      <c r="CH67" s="217"/>
      <c r="CI67" s="217"/>
      <c r="CJ67" s="217"/>
      <c r="CK67" s="217"/>
    </row>
    <row r="68" spans="1:89" ht="27.6" x14ac:dyDescent="0.3">
      <c r="A68" s="217"/>
      <c r="B68" s="564" t="s">
        <v>118</v>
      </c>
      <c r="C68" s="298" t="s">
        <v>616</v>
      </c>
      <c r="D68" s="298" t="s">
        <v>616</v>
      </c>
      <c r="E68" s="306" t="s">
        <v>616</v>
      </c>
      <c r="F68" s="291" t="str">
        <f t="shared" si="7"/>
        <v>R-134a</v>
      </c>
      <c r="G68" s="293">
        <v>1000</v>
      </c>
      <c r="H68" s="293">
        <f>G68</f>
        <v>1000</v>
      </c>
      <c r="I68" s="221">
        <f t="shared" si="8"/>
        <v>0</v>
      </c>
      <c r="J68" s="221">
        <f t="shared" si="9"/>
        <v>1200.0000000000002</v>
      </c>
      <c r="K68" s="221">
        <f t="shared" si="10"/>
        <v>100</v>
      </c>
      <c r="L68" s="221">
        <f t="shared" si="13"/>
        <v>1300.0000000000002</v>
      </c>
      <c r="M68" s="261">
        <f>IF(SUM($I$68)=0,0,I68/SUM(I$68))</f>
        <v>0</v>
      </c>
      <c r="N68" s="261">
        <f>J68/SUM(J$68)</f>
        <v>1</v>
      </c>
      <c r="O68" s="261">
        <f>K68/SUM(K$68)</f>
        <v>1</v>
      </c>
      <c r="P68" s="261">
        <f>L68/SUM(L$68)</f>
        <v>1</v>
      </c>
      <c r="Q68" s="261">
        <f>M68*HLOOKUP($E68,'Equipment Assumptions'!$C$30:$Q$31,2,0)</f>
        <v>0</v>
      </c>
      <c r="R68" s="261">
        <f>N68*HLOOKUP($E68,'Equipment Assumptions'!$C$30:$Q$31,2,0)</f>
        <v>1</v>
      </c>
      <c r="S68" s="261">
        <f>O68*HLOOKUP($E68,'Equipment Assumptions'!$C$30:$Q$31,2,0)</f>
        <v>1</v>
      </c>
      <c r="T68" s="261">
        <f>P68*HLOOKUP($E68,'Equipment Assumptions'!$C$30:$Q$31,2,0)</f>
        <v>1</v>
      </c>
      <c r="U68" s="294">
        <f>IF(F68=0,"",L68*VLOOKUP(F68,Lists!$C$72:$S$232,COLUMNS(Lists!$C$69:S$69),0))</f>
        <v>1859000.0000000002</v>
      </c>
      <c r="V68" s="261">
        <f>U68/SUM(U$68)</f>
        <v>1</v>
      </c>
      <c r="W68" s="261">
        <f>V68*HLOOKUP($E68,'Equipment Assumptions'!$C$30:$Q$31,2,0)</f>
        <v>1</v>
      </c>
      <c r="X68" s="217"/>
      <c r="Y68" s="217"/>
      <c r="Z68" s="217"/>
      <c r="AA68" s="217"/>
      <c r="AB68" s="217"/>
      <c r="AC68" s="217"/>
      <c r="AD68" s="217"/>
      <c r="AE68" s="217"/>
      <c r="AF68" s="217"/>
      <c r="AG68" s="217"/>
      <c r="AH68" s="217"/>
      <c r="AI68" s="217"/>
      <c r="AJ68" s="217"/>
      <c r="AK68" s="217"/>
      <c r="AL68" s="217"/>
      <c r="AM68" s="217"/>
      <c r="AN68" s="217"/>
      <c r="AO68" s="217"/>
      <c r="AP68" s="217"/>
      <c r="AQ68" s="217"/>
      <c r="AR68" s="217"/>
      <c r="AS68" s="217"/>
      <c r="AT68" s="217"/>
      <c r="AU68" s="217"/>
      <c r="AV68" s="217"/>
      <c r="AW68" s="217"/>
      <c r="AX68" s="217"/>
      <c r="AY68" s="217"/>
      <c r="AZ68" s="217"/>
      <c r="BA68" s="217"/>
      <c r="BB68" s="217"/>
      <c r="BC68" s="217"/>
      <c r="BD68" s="217"/>
      <c r="BE68" s="217"/>
      <c r="BF68" s="217"/>
      <c r="BG68" s="217"/>
      <c r="BH68" s="217"/>
      <c r="BI68" s="217"/>
      <c r="BJ68" s="217"/>
      <c r="BK68" s="217"/>
      <c r="BL68" s="217"/>
      <c r="BM68" s="217"/>
      <c r="BN68" s="217"/>
      <c r="BO68" s="217"/>
      <c r="BP68" s="217"/>
      <c r="BQ68" s="217"/>
      <c r="BR68" s="217"/>
      <c r="BS68" s="217"/>
      <c r="BT68" s="217"/>
      <c r="BU68" s="217"/>
      <c r="BV68" s="217"/>
      <c r="BW68" s="217"/>
      <c r="BX68" s="217"/>
      <c r="BY68" s="217"/>
      <c r="BZ68" s="217"/>
      <c r="CA68" s="217"/>
      <c r="CB68" s="217"/>
      <c r="CC68" s="217"/>
      <c r="CD68" s="217"/>
      <c r="CE68" s="217"/>
      <c r="CF68" s="217"/>
      <c r="CG68" s="217"/>
      <c r="CH68" s="217"/>
      <c r="CI68" s="217"/>
      <c r="CJ68" s="217"/>
      <c r="CK68" s="217"/>
    </row>
    <row r="69" spans="1:89" ht="27.6" x14ac:dyDescent="0.3">
      <c r="A69" s="217"/>
      <c r="B69" s="564"/>
      <c r="C69" s="298" t="s">
        <v>618</v>
      </c>
      <c r="D69" s="298" t="s">
        <v>618</v>
      </c>
      <c r="E69" s="306" t="s">
        <v>618</v>
      </c>
      <c r="F69" s="291" t="str">
        <f t="shared" si="7"/>
        <v>R-134a</v>
      </c>
      <c r="G69" s="293">
        <v>1000</v>
      </c>
      <c r="H69" s="293">
        <f>G69</f>
        <v>1000</v>
      </c>
      <c r="I69" s="221">
        <f t="shared" si="8"/>
        <v>0</v>
      </c>
      <c r="J69" s="221">
        <f t="shared" si="9"/>
        <v>1200.0000000000002</v>
      </c>
      <c r="K69" s="221">
        <f t="shared" si="10"/>
        <v>100</v>
      </c>
      <c r="L69" s="221">
        <f>SUM(I69:K69)</f>
        <v>1300.0000000000002</v>
      </c>
      <c r="M69" s="261">
        <f>IF(SUM($I$69)=0,0,I69/SUM(I$69))</f>
        <v>0</v>
      </c>
      <c r="N69" s="261">
        <f>J69/SUM(J$69)</f>
        <v>1</v>
      </c>
      <c r="O69" s="261">
        <f>K69/SUM(K$69)</f>
        <v>1</v>
      </c>
      <c r="P69" s="261">
        <f>L69/SUM(L$69)</f>
        <v>1</v>
      </c>
      <c r="Q69" s="261">
        <f>M69*HLOOKUP($E69,'Equipment Assumptions'!$C$30:$Q$31,2,0)</f>
        <v>0</v>
      </c>
      <c r="R69" s="261">
        <f>N69*HLOOKUP($E69,'Equipment Assumptions'!$C$30:$Q$31,2,0)</f>
        <v>1</v>
      </c>
      <c r="S69" s="261">
        <f>O69*HLOOKUP($E69,'Equipment Assumptions'!$C$30:$Q$31,2,0)</f>
        <v>1</v>
      </c>
      <c r="T69" s="261">
        <f>P69*HLOOKUP($E69,'Equipment Assumptions'!$C$30:$Q$31,2,0)</f>
        <v>1</v>
      </c>
      <c r="U69" s="294">
        <f>IF(F69=0,"",L69*VLOOKUP(F69,Lists!$C$72:$S$232,COLUMNS(Lists!$C$69:S$69),0))</f>
        <v>1859000.0000000002</v>
      </c>
      <c r="V69" s="261">
        <f>U69/SUM(U$69)</f>
        <v>1</v>
      </c>
      <c r="W69" s="261">
        <f>V69*HLOOKUP($E69,'Equipment Assumptions'!$C$30:$Q$31,2,0)</f>
        <v>1</v>
      </c>
      <c r="X69" s="217"/>
      <c r="Y69" s="217"/>
      <c r="Z69" s="217"/>
      <c r="AA69" s="217"/>
      <c r="AB69" s="217"/>
      <c r="AC69" s="217"/>
      <c r="AD69" s="217"/>
      <c r="AE69" s="217"/>
      <c r="AF69" s="217"/>
      <c r="AG69" s="217"/>
      <c r="AH69" s="217"/>
      <c r="AI69" s="217"/>
      <c r="AJ69" s="217"/>
      <c r="AK69" s="217"/>
      <c r="AL69" s="217"/>
      <c r="AM69" s="217"/>
      <c r="AN69" s="217"/>
      <c r="AO69" s="217"/>
      <c r="AP69" s="217"/>
      <c r="AQ69" s="217"/>
      <c r="AR69" s="217"/>
      <c r="AS69" s="217"/>
      <c r="AT69" s="217"/>
      <c r="AU69" s="217"/>
      <c r="AV69" s="217"/>
      <c r="AW69" s="217"/>
      <c r="AX69" s="217"/>
      <c r="AY69" s="217"/>
      <c r="AZ69" s="217"/>
      <c r="BA69" s="217"/>
      <c r="BB69" s="217"/>
      <c r="BC69" s="217"/>
      <c r="BD69" s="217"/>
      <c r="BE69" s="217"/>
      <c r="BF69" s="217"/>
      <c r="BG69" s="217"/>
      <c r="BH69" s="217"/>
      <c r="BI69" s="217"/>
      <c r="BJ69" s="217"/>
      <c r="BK69" s="217"/>
      <c r="BL69" s="217"/>
      <c r="BM69" s="217"/>
      <c r="BN69" s="217"/>
      <c r="BO69" s="217"/>
      <c r="BP69" s="217"/>
      <c r="BQ69" s="217"/>
      <c r="BR69" s="217"/>
      <c r="BS69" s="217"/>
      <c r="BT69" s="217"/>
      <c r="BU69" s="217"/>
      <c r="BV69" s="217"/>
      <c r="BW69" s="217"/>
      <c r="BX69" s="217"/>
      <c r="BY69" s="217"/>
      <c r="BZ69" s="217"/>
      <c r="CA69" s="217"/>
      <c r="CB69" s="217"/>
      <c r="CC69" s="217"/>
      <c r="CD69" s="217"/>
      <c r="CE69" s="217"/>
      <c r="CF69" s="217"/>
      <c r="CG69" s="217"/>
      <c r="CH69" s="217"/>
      <c r="CI69" s="217"/>
      <c r="CJ69" s="217"/>
      <c r="CK69" s="217"/>
    </row>
    <row r="70" spans="1:89" x14ac:dyDescent="0.3">
      <c r="A70" s="217"/>
      <c r="B70" s="564" t="s">
        <v>121</v>
      </c>
      <c r="C70" s="298" t="s">
        <v>528</v>
      </c>
      <c r="D70" s="288" t="s">
        <v>128</v>
      </c>
      <c r="E70" s="312" t="s">
        <v>620</v>
      </c>
      <c r="F70" s="291" t="str">
        <f t="shared" si="7"/>
        <v>R-134a</v>
      </c>
      <c r="G70" s="293">
        <v>1000</v>
      </c>
      <c r="H70" s="426">
        <f>G70*VLOOKUP(C70,'Building Customization'!$B$10:$C$28,2,0)</f>
        <v>1000</v>
      </c>
      <c r="I70" s="221">
        <f t="shared" si="8"/>
        <v>0</v>
      </c>
      <c r="J70" s="221">
        <f t="shared" si="9"/>
        <v>53.4</v>
      </c>
      <c r="K70" s="221">
        <f t="shared" si="10"/>
        <v>20</v>
      </c>
      <c r="L70" s="221">
        <f t="shared" si="13"/>
        <v>73.400000000000006</v>
      </c>
      <c r="M70" s="261">
        <f>IF(SUM($I$70)=0,0,I70/SUM(I$70))</f>
        <v>0</v>
      </c>
      <c r="N70" s="261">
        <f>J70/SUM(J$70)</f>
        <v>1</v>
      </c>
      <c r="O70" s="261">
        <f>K70/SUM(K$70)</f>
        <v>1</v>
      </c>
      <c r="P70" s="261">
        <f>L70/SUM(L$70)</f>
        <v>1</v>
      </c>
      <c r="Q70" s="261">
        <f>M70*HLOOKUP($E70,'Equipment Assumptions'!$C$30:$Q$31,2,0)</f>
        <v>0</v>
      </c>
      <c r="R70" s="261">
        <f>N70*HLOOKUP($E70,'Equipment Assumptions'!$C$30:$Q$31,2,0)</f>
        <v>1</v>
      </c>
      <c r="S70" s="261">
        <f>O70*HLOOKUP($E70,'Equipment Assumptions'!$C$30:$Q$31,2,0)</f>
        <v>1</v>
      </c>
      <c r="T70" s="261">
        <f>P70*HLOOKUP($E70,'Equipment Assumptions'!$C$30:$Q$31,2,0)</f>
        <v>1</v>
      </c>
      <c r="U70" s="294">
        <f>IF(F70=0,"",L70*VLOOKUP(F70,Lists!$C$72:$S$232,COLUMNS(Lists!$C$69:S$69),0))</f>
        <v>104962.00000000001</v>
      </c>
      <c r="V70" s="261">
        <f>U70/SUM(U$70)</f>
        <v>1</v>
      </c>
      <c r="W70" s="261">
        <f>V70*HLOOKUP($E70,'Equipment Assumptions'!$C$30:$Q$31,2,0)</f>
        <v>1</v>
      </c>
      <c r="X70" s="217"/>
      <c r="Y70" s="217"/>
      <c r="Z70" s="217"/>
      <c r="AA70" s="217"/>
      <c r="AB70" s="217"/>
      <c r="AC70" s="217"/>
      <c r="AD70" s="217"/>
      <c r="AE70" s="217"/>
      <c r="AF70" s="217"/>
      <c r="AG70" s="217"/>
      <c r="AH70" s="217"/>
      <c r="AI70" s="217"/>
      <c r="AJ70" s="217"/>
      <c r="AK70" s="217"/>
      <c r="AL70" s="217"/>
      <c r="AM70" s="217"/>
      <c r="AN70" s="217"/>
      <c r="AO70" s="217"/>
      <c r="AP70" s="217"/>
      <c r="AQ70" s="217"/>
      <c r="AR70" s="217"/>
      <c r="AS70" s="217"/>
      <c r="AT70" s="217"/>
      <c r="AU70" s="217"/>
      <c r="AV70" s="217"/>
      <c r="AW70" s="217"/>
      <c r="AX70" s="217"/>
      <c r="AY70" s="217"/>
      <c r="AZ70" s="217"/>
      <c r="BA70" s="217"/>
      <c r="BB70" s="217"/>
      <c r="BC70" s="217"/>
      <c r="BD70" s="217"/>
      <c r="BE70" s="217"/>
      <c r="BF70" s="217"/>
      <c r="BG70" s="217"/>
      <c r="BH70" s="217"/>
      <c r="BI70" s="217"/>
      <c r="BJ70" s="217"/>
      <c r="BK70" s="217"/>
      <c r="BL70" s="217"/>
      <c r="BM70" s="217"/>
      <c r="BN70" s="217"/>
      <c r="BO70" s="217"/>
      <c r="BP70" s="217"/>
      <c r="BQ70" s="217"/>
      <c r="BR70" s="217"/>
      <c r="BS70" s="217"/>
      <c r="BT70" s="217"/>
      <c r="BU70" s="217"/>
      <c r="BV70" s="217"/>
      <c r="BW70" s="217"/>
      <c r="BX70" s="217"/>
      <c r="BY70" s="217"/>
      <c r="BZ70" s="217"/>
      <c r="CA70" s="217"/>
      <c r="CB70" s="217"/>
      <c r="CC70" s="217"/>
      <c r="CD70" s="217"/>
      <c r="CE70" s="217"/>
      <c r="CF70" s="217"/>
      <c r="CG70" s="217"/>
      <c r="CH70" s="217"/>
      <c r="CI70" s="217"/>
      <c r="CJ70" s="217"/>
      <c r="CK70" s="217"/>
    </row>
    <row r="71" spans="1:89" ht="27.6" x14ac:dyDescent="0.3">
      <c r="A71" s="217"/>
      <c r="B71" s="564"/>
      <c r="C71" s="298" t="s">
        <v>786</v>
      </c>
      <c r="D71" s="288" t="s">
        <v>128</v>
      </c>
      <c r="E71" s="312" t="s">
        <v>621</v>
      </c>
      <c r="F71" s="291" t="str">
        <f t="shared" si="7"/>
        <v>R-134a</v>
      </c>
      <c r="G71" s="293">
        <v>1000</v>
      </c>
      <c r="H71" s="426">
        <f>G71*VLOOKUP(C71,'Building Customization'!$B$10:$C$28,2,0)</f>
        <v>1000</v>
      </c>
      <c r="I71" s="221">
        <f t="shared" si="8"/>
        <v>0</v>
      </c>
      <c r="J71" s="221">
        <f t="shared" si="9"/>
        <v>71.2</v>
      </c>
      <c r="K71" s="221">
        <f t="shared" si="10"/>
        <v>26.666666666666668</v>
      </c>
      <c r="L71" s="221">
        <f>SUM(I71:K71)</f>
        <v>97.866666666666674</v>
      </c>
      <c r="M71" s="261">
        <f>IF(SUM($I$71)=0,0,I71/SUM(I$71))</f>
        <v>0</v>
      </c>
      <c r="N71" s="261">
        <f>J71/SUM(J$71)</f>
        <v>1</v>
      </c>
      <c r="O71" s="261">
        <f>K71/SUM(K$71)</f>
        <v>1</v>
      </c>
      <c r="P71" s="261">
        <f>L71/SUM(L$71)</f>
        <v>1</v>
      </c>
      <c r="Q71" s="261">
        <f>M71*HLOOKUP($E71,'Equipment Assumptions'!$C$30:$Q$31,2,0)</f>
        <v>0</v>
      </c>
      <c r="R71" s="261">
        <f>N71*HLOOKUP($E71,'Equipment Assumptions'!$C$30:$Q$31,2,0)</f>
        <v>1</v>
      </c>
      <c r="S71" s="261">
        <f>O71*HLOOKUP($E71,'Equipment Assumptions'!$C$30:$Q$31,2,0)</f>
        <v>1</v>
      </c>
      <c r="T71" s="261">
        <f>P71*HLOOKUP($E71,'Equipment Assumptions'!$C$30:$Q$31,2,0)</f>
        <v>1</v>
      </c>
      <c r="U71" s="294">
        <f>IF(F71=0,"",L71*VLOOKUP(F71,Lists!$C$72:$S$232,COLUMNS(Lists!$C$69:S$69),0))</f>
        <v>139949.33333333334</v>
      </c>
      <c r="V71" s="261">
        <f>U71/SUM(U$71)</f>
        <v>1</v>
      </c>
      <c r="W71" s="261">
        <f>V71*HLOOKUP($E71,'Equipment Assumptions'!$C$30:$Q$31,2,0)</f>
        <v>1</v>
      </c>
      <c r="X71" s="217"/>
      <c r="Y71" s="217"/>
      <c r="Z71" s="217"/>
      <c r="AA71" s="217"/>
      <c r="AB71" s="217"/>
      <c r="AC71" s="217"/>
      <c r="AD71" s="217"/>
      <c r="AE71" s="217"/>
      <c r="AF71" s="217"/>
      <c r="AG71" s="217"/>
      <c r="AH71" s="217"/>
      <c r="AI71" s="217"/>
      <c r="AJ71" s="217"/>
      <c r="AK71" s="217"/>
      <c r="AL71" s="217"/>
      <c r="AM71" s="217"/>
      <c r="AN71" s="217"/>
      <c r="AO71" s="217"/>
      <c r="AP71" s="217"/>
      <c r="AQ71" s="217"/>
      <c r="AR71" s="217"/>
      <c r="AS71" s="217"/>
      <c r="AT71" s="217"/>
      <c r="AU71" s="217"/>
      <c r="AV71" s="217"/>
      <c r="AW71" s="217"/>
      <c r="AX71" s="217"/>
      <c r="AY71" s="217"/>
      <c r="AZ71" s="217"/>
      <c r="BA71" s="217"/>
      <c r="BB71" s="217"/>
      <c r="BC71" s="217"/>
      <c r="BD71" s="217"/>
      <c r="BE71" s="217"/>
      <c r="BF71" s="217"/>
      <c r="BG71" s="217"/>
      <c r="BH71" s="217"/>
      <c r="BI71" s="217"/>
      <c r="BJ71" s="217"/>
      <c r="BK71" s="217"/>
      <c r="BL71" s="217"/>
      <c r="BM71" s="217"/>
      <c r="BN71" s="217"/>
      <c r="BO71" s="217"/>
      <c r="BP71" s="217"/>
      <c r="BQ71" s="217"/>
      <c r="BR71" s="217"/>
      <c r="BS71" s="217"/>
      <c r="BT71" s="217"/>
      <c r="BU71" s="217"/>
      <c r="BV71" s="217"/>
      <c r="BW71" s="217"/>
      <c r="BX71" s="217"/>
      <c r="BY71" s="217"/>
      <c r="BZ71" s="217"/>
      <c r="CA71" s="217"/>
      <c r="CB71" s="217"/>
      <c r="CC71" s="217"/>
      <c r="CD71" s="217"/>
      <c r="CE71" s="217"/>
      <c r="CF71" s="217"/>
      <c r="CG71" s="217"/>
      <c r="CH71" s="217"/>
      <c r="CI71" s="217"/>
      <c r="CJ71" s="217"/>
      <c r="CK71" s="217"/>
    </row>
    <row r="72" spans="1:89" x14ac:dyDescent="0.3">
      <c r="A72" s="217"/>
      <c r="B72" s="564"/>
      <c r="C72" s="298" t="s">
        <v>785</v>
      </c>
      <c r="D72" s="288" t="s">
        <v>128</v>
      </c>
      <c r="E72" s="312" t="s">
        <v>622</v>
      </c>
      <c r="F72" s="291" t="str">
        <f t="shared" si="7"/>
        <v>R-134a</v>
      </c>
      <c r="G72" s="293">
        <v>1000</v>
      </c>
      <c r="H72" s="426">
        <f>G72*VLOOKUP(C72,'Building Customization'!$B$10:$C$28,2,0)</f>
        <v>1000</v>
      </c>
      <c r="I72" s="221">
        <f t="shared" si="8"/>
        <v>0</v>
      </c>
      <c r="J72" s="221">
        <f t="shared" si="9"/>
        <v>500</v>
      </c>
      <c r="K72" s="221">
        <f t="shared" si="10"/>
        <v>124.99999999999999</v>
      </c>
      <c r="L72" s="221">
        <f>SUM(I72:K72)</f>
        <v>625</v>
      </c>
      <c r="M72" s="261">
        <f>IF(SUM($I$72)=0,0,I72/SUM(I$72))</f>
        <v>0</v>
      </c>
      <c r="N72" s="261">
        <f>J72/SUM(J$72)</f>
        <v>1</v>
      </c>
      <c r="O72" s="261">
        <f>K72/SUM(K$72)</f>
        <v>1</v>
      </c>
      <c r="P72" s="261">
        <f>L72/SUM(L$72)</f>
        <v>1</v>
      </c>
      <c r="Q72" s="261">
        <f>M72*HLOOKUP($E72,'Equipment Assumptions'!$C$30:$Q$31,2,0)</f>
        <v>0</v>
      </c>
      <c r="R72" s="261">
        <f>N72*HLOOKUP($E72,'Equipment Assumptions'!$C$30:$Q$31,2,0)</f>
        <v>0.9</v>
      </c>
      <c r="S72" s="261">
        <f>O72*HLOOKUP($E72,'Equipment Assumptions'!$C$30:$Q$31,2,0)</f>
        <v>0.9</v>
      </c>
      <c r="T72" s="261">
        <f>P72*HLOOKUP($E72,'Equipment Assumptions'!$C$30:$Q$31,2,0)</f>
        <v>0.9</v>
      </c>
      <c r="U72" s="294">
        <f>IF(F72=0,"",L72*VLOOKUP(F72,Lists!$C$72:$S$232,COLUMNS(Lists!$C$69:S$69),0))</f>
        <v>893750</v>
      </c>
      <c r="V72" s="261">
        <f>U72/SUM(U$72)</f>
        <v>1</v>
      </c>
      <c r="W72" s="261">
        <f>V72*HLOOKUP($E72,'Equipment Assumptions'!$C$30:$Q$31,2,0)</f>
        <v>0.9</v>
      </c>
      <c r="X72" s="217"/>
      <c r="Y72" s="217"/>
      <c r="Z72" s="217"/>
      <c r="AA72" s="217"/>
      <c r="AB72" s="217"/>
      <c r="AC72" s="217"/>
      <c r="AD72" s="217"/>
      <c r="AE72" s="217"/>
      <c r="AF72" s="217"/>
      <c r="AG72" s="217"/>
      <c r="AH72" s="217"/>
      <c r="AI72" s="217"/>
      <c r="AJ72" s="217"/>
      <c r="AK72" s="217"/>
      <c r="AL72" s="217"/>
      <c r="AM72" s="217"/>
      <c r="AN72" s="217"/>
      <c r="AO72" s="217"/>
      <c r="AP72" s="217"/>
      <c r="AQ72" s="217"/>
      <c r="AR72" s="217"/>
      <c r="AS72" s="217"/>
      <c r="AT72" s="217"/>
      <c r="AU72" s="217"/>
      <c r="AV72" s="217"/>
      <c r="AW72" s="217"/>
      <c r="AX72" s="217"/>
      <c r="AY72" s="217"/>
      <c r="AZ72" s="217"/>
      <c r="BA72" s="217"/>
      <c r="BB72" s="217"/>
      <c r="BC72" s="217"/>
      <c r="BD72" s="217"/>
      <c r="BE72" s="217"/>
      <c r="BF72" s="217"/>
      <c r="BG72" s="217"/>
      <c r="BH72" s="217"/>
      <c r="BI72" s="217"/>
      <c r="BJ72" s="217"/>
      <c r="BK72" s="217"/>
      <c r="BL72" s="217"/>
      <c r="BM72" s="217"/>
      <c r="BN72" s="217"/>
      <c r="BO72" s="217"/>
      <c r="BP72" s="217"/>
      <c r="BQ72" s="217"/>
      <c r="BR72" s="217"/>
      <c r="BS72" s="217"/>
      <c r="BT72" s="217"/>
      <c r="BU72" s="217"/>
      <c r="BV72" s="217"/>
      <c r="BW72" s="217"/>
      <c r="BX72" s="217"/>
      <c r="BY72" s="217"/>
      <c r="BZ72" s="217"/>
      <c r="CA72" s="217"/>
      <c r="CB72" s="217"/>
      <c r="CC72" s="217"/>
      <c r="CD72" s="217"/>
      <c r="CE72" s="217"/>
      <c r="CF72" s="217"/>
      <c r="CG72" s="217"/>
      <c r="CH72" s="217"/>
      <c r="CI72" s="217"/>
      <c r="CJ72" s="217"/>
      <c r="CK72" s="217"/>
    </row>
    <row r="73" spans="1:89" x14ac:dyDescent="0.3">
      <c r="A73" s="217"/>
      <c r="B73" s="217"/>
      <c r="C73" s="217"/>
      <c r="D73" s="217"/>
      <c r="E73" s="217"/>
      <c r="F73" s="217"/>
      <c r="G73" s="217" t="s">
        <v>720</v>
      </c>
      <c r="H73" s="217"/>
      <c r="I73" s="217"/>
      <c r="J73" s="217"/>
      <c r="K73" s="217"/>
      <c r="L73" s="217"/>
      <c r="M73" s="217"/>
      <c r="N73" s="217"/>
      <c r="O73" s="217"/>
      <c r="P73" s="217"/>
      <c r="Q73" s="217"/>
      <c r="R73" s="217"/>
      <c r="S73" s="217"/>
      <c r="T73" s="217"/>
      <c r="U73" s="217"/>
      <c r="V73" s="217"/>
      <c r="W73" s="217"/>
      <c r="X73" s="217"/>
      <c r="Y73" s="217"/>
      <c r="Z73" s="217"/>
      <c r="AA73" s="217"/>
      <c r="AB73" s="217"/>
      <c r="AC73" s="217"/>
      <c r="AD73" s="217"/>
      <c r="AE73" s="217"/>
      <c r="AF73" s="217"/>
      <c r="AG73" s="217"/>
      <c r="AH73" s="217"/>
      <c r="AI73" s="217"/>
      <c r="AJ73" s="217"/>
      <c r="AK73" s="217"/>
      <c r="AL73" s="217"/>
      <c r="AM73" s="217"/>
      <c r="AN73" s="217"/>
      <c r="AO73" s="217"/>
      <c r="AP73" s="217"/>
      <c r="AQ73" s="217"/>
      <c r="AR73" s="217"/>
      <c r="AS73" s="217"/>
      <c r="AT73" s="217"/>
      <c r="AU73" s="217"/>
      <c r="AV73" s="217"/>
      <c r="AW73" s="217"/>
      <c r="AX73" s="217"/>
      <c r="AY73" s="217"/>
      <c r="AZ73" s="217"/>
      <c r="BA73" s="217"/>
      <c r="BB73" s="217"/>
      <c r="BC73" s="217"/>
      <c r="BD73" s="217"/>
      <c r="BE73" s="217"/>
      <c r="BF73" s="217"/>
      <c r="BG73" s="217"/>
      <c r="BH73" s="217"/>
      <c r="BI73" s="217"/>
      <c r="BJ73" s="217"/>
      <c r="BK73" s="217"/>
      <c r="BL73" s="217"/>
      <c r="BM73" s="217"/>
      <c r="BN73" s="217"/>
      <c r="BO73" s="217"/>
      <c r="BP73" s="217"/>
      <c r="BQ73" s="217"/>
      <c r="BR73" s="217"/>
      <c r="BS73" s="217"/>
      <c r="BT73" s="217"/>
      <c r="BU73" s="217"/>
      <c r="BV73" s="217"/>
      <c r="BW73" s="217"/>
      <c r="BX73" s="217"/>
      <c r="BY73" s="217"/>
      <c r="BZ73" s="217"/>
      <c r="CA73" s="217"/>
      <c r="CB73" s="217"/>
      <c r="CC73" s="217"/>
      <c r="CD73" s="217"/>
      <c r="CE73" s="217"/>
      <c r="CF73" s="217"/>
      <c r="CG73" s="217"/>
      <c r="CH73" s="217"/>
      <c r="CI73" s="217"/>
      <c r="CJ73" s="217"/>
      <c r="CK73" s="217"/>
    </row>
    <row r="74" spans="1:89" x14ac:dyDescent="0.3">
      <c r="A74" s="217"/>
      <c r="B74" s="217"/>
      <c r="C74" s="217"/>
      <c r="D74" s="217"/>
      <c r="E74" s="217"/>
      <c r="F74" s="217"/>
      <c r="G74" s="217"/>
      <c r="H74" s="217"/>
      <c r="I74" s="217"/>
      <c r="J74" s="217"/>
      <c r="K74" s="217"/>
      <c r="L74" s="217"/>
      <c r="M74" s="217"/>
      <c r="N74" s="217"/>
      <c r="O74" s="217"/>
      <c r="P74" s="217"/>
      <c r="Q74" s="217"/>
      <c r="R74" s="217"/>
      <c r="S74" s="217"/>
      <c r="T74" s="217"/>
      <c r="U74" s="217"/>
      <c r="V74" s="217"/>
      <c r="W74" s="217"/>
      <c r="X74" s="217"/>
      <c r="Y74" s="217"/>
      <c r="Z74" s="217"/>
      <c r="AA74" s="217"/>
      <c r="AB74" s="217"/>
      <c r="AC74" s="217"/>
      <c r="AD74" s="217"/>
      <c r="AE74" s="217"/>
      <c r="AF74" s="217"/>
      <c r="AG74" s="217"/>
      <c r="AH74" s="217"/>
      <c r="AI74" s="217"/>
      <c r="AJ74" s="217"/>
      <c r="AK74" s="217"/>
      <c r="AL74" s="217"/>
      <c r="AM74" s="217"/>
      <c r="AN74" s="217"/>
      <c r="AO74" s="217"/>
      <c r="AP74" s="217"/>
      <c r="AQ74" s="217"/>
      <c r="AR74" s="217"/>
      <c r="AS74" s="217"/>
      <c r="AT74" s="217"/>
      <c r="AU74" s="217"/>
      <c r="AV74" s="217"/>
      <c r="AW74" s="217"/>
      <c r="AX74" s="217"/>
      <c r="AY74" s="217"/>
      <c r="AZ74" s="217"/>
      <c r="BA74" s="217"/>
      <c r="BB74" s="217"/>
      <c r="BC74" s="217"/>
      <c r="BD74" s="217"/>
      <c r="BE74" s="217"/>
      <c r="BF74" s="217"/>
      <c r="BG74" s="217"/>
      <c r="BH74" s="217"/>
      <c r="BI74" s="217"/>
      <c r="BJ74" s="217"/>
      <c r="BK74" s="217"/>
      <c r="BL74" s="217"/>
      <c r="BM74" s="217"/>
      <c r="BN74" s="217"/>
      <c r="BO74" s="217"/>
      <c r="BP74" s="217"/>
      <c r="BQ74" s="217"/>
      <c r="BR74" s="217"/>
      <c r="BS74" s="217"/>
      <c r="BT74" s="217"/>
      <c r="BU74" s="217"/>
      <c r="BV74" s="217"/>
      <c r="BW74" s="217"/>
      <c r="BX74" s="217"/>
      <c r="BY74" s="217"/>
      <c r="BZ74" s="217"/>
      <c r="CA74" s="217"/>
      <c r="CB74" s="217"/>
      <c r="CC74" s="217"/>
      <c r="CD74" s="217"/>
      <c r="CE74" s="217"/>
      <c r="CF74" s="217"/>
      <c r="CG74" s="217"/>
      <c r="CH74" s="217"/>
      <c r="CI74" s="217"/>
      <c r="CJ74" s="217"/>
      <c r="CK74" s="217"/>
    </row>
    <row r="75" spans="1:89" x14ac:dyDescent="0.3">
      <c r="A75" s="217"/>
      <c r="B75" s="217"/>
      <c r="C75" s="217"/>
      <c r="D75" s="217"/>
      <c r="E75" s="217"/>
      <c r="F75" s="217"/>
      <c r="G75" s="460" t="s">
        <v>743</v>
      </c>
      <c r="H75" s="217"/>
      <c r="I75" s="217"/>
      <c r="J75" s="217"/>
      <c r="K75" s="217"/>
      <c r="L75" s="217"/>
      <c r="M75" s="217"/>
      <c r="N75" s="217"/>
      <c r="O75" s="217"/>
      <c r="P75" s="217"/>
      <c r="Q75" s="217"/>
      <c r="R75" s="217"/>
      <c r="S75" s="217"/>
      <c r="T75" s="217"/>
      <c r="U75" s="217"/>
      <c r="W75" s="217"/>
      <c r="X75" s="217"/>
      <c r="Y75" s="217"/>
      <c r="Z75" s="217"/>
      <c r="AA75" s="217"/>
      <c r="AB75" s="217"/>
      <c r="AC75" s="217"/>
      <c r="AD75" s="217"/>
      <c r="AE75" s="217"/>
      <c r="AF75" s="217"/>
      <c r="AG75" s="217"/>
      <c r="AH75" s="217"/>
      <c r="AI75" s="217"/>
      <c r="AJ75" s="217"/>
      <c r="AK75" s="217"/>
      <c r="AL75" s="217"/>
      <c r="AM75" s="217"/>
      <c r="AN75" s="217"/>
      <c r="AO75" s="217"/>
      <c r="AP75" s="217"/>
      <c r="AQ75" s="217"/>
      <c r="AR75" s="217"/>
      <c r="AS75" s="217"/>
      <c r="AT75" s="217"/>
      <c r="AU75" s="217"/>
      <c r="AV75" s="217"/>
      <c r="AW75" s="217"/>
      <c r="AX75" s="217"/>
      <c r="AY75" s="217"/>
      <c r="AZ75" s="217"/>
      <c r="BA75" s="217"/>
      <c r="BB75" s="217"/>
      <c r="BC75" s="217"/>
      <c r="BD75" s="217"/>
      <c r="BE75" s="217"/>
      <c r="BF75" s="217"/>
      <c r="BG75" s="217"/>
      <c r="BH75" s="217"/>
      <c r="BI75" s="217"/>
      <c r="BJ75" s="217"/>
      <c r="BK75" s="217"/>
      <c r="BL75" s="217"/>
      <c r="BM75" s="217"/>
      <c r="BN75" s="217"/>
      <c r="BO75" s="217"/>
      <c r="BP75" s="217"/>
      <c r="BQ75" s="217"/>
      <c r="BR75" s="217"/>
      <c r="BS75" s="217"/>
      <c r="BT75" s="217"/>
      <c r="BU75" s="217"/>
      <c r="BV75" s="217"/>
      <c r="BW75" s="217"/>
      <c r="BX75" s="217"/>
      <c r="BY75" s="217"/>
      <c r="BZ75" s="217"/>
      <c r="CA75" s="217"/>
      <c r="CB75" s="217"/>
      <c r="CC75" s="217"/>
      <c r="CD75" s="217"/>
      <c r="CE75" s="217"/>
      <c r="CF75" s="217"/>
      <c r="CG75" s="217"/>
      <c r="CH75" s="217"/>
      <c r="CI75" s="217"/>
      <c r="CJ75" s="217"/>
      <c r="CK75" s="217"/>
    </row>
    <row r="76" spans="1:89" x14ac:dyDescent="0.3">
      <c r="A76" s="217"/>
      <c r="B76" s="217" t="s">
        <v>296</v>
      </c>
      <c r="C76" s="217"/>
      <c r="D76" s="217"/>
      <c r="E76" s="217" t="s">
        <v>371</v>
      </c>
      <c r="F76" s="313">
        <f>SUM(L25:L72)-SUM(C78:C97)</f>
        <v>0</v>
      </c>
      <c r="G76" s="562" t="s">
        <v>378</v>
      </c>
      <c r="H76" s="562"/>
      <c r="I76" s="562"/>
      <c r="J76" s="562"/>
      <c r="K76" s="562"/>
      <c r="L76" s="562"/>
      <c r="M76" s="562"/>
      <c r="N76" s="562"/>
      <c r="O76" s="562"/>
      <c r="P76" s="562"/>
      <c r="Q76" s="562"/>
      <c r="R76" s="562"/>
      <c r="S76" s="562"/>
      <c r="T76" s="562"/>
      <c r="U76" s="562"/>
      <c r="V76" s="562"/>
      <c r="W76" s="561" t="s">
        <v>380</v>
      </c>
      <c r="X76" s="561"/>
      <c r="Y76" s="561"/>
      <c r="Z76" s="561"/>
      <c r="AA76" s="561"/>
      <c r="AB76" s="561"/>
      <c r="AC76" s="561"/>
      <c r="AD76" s="561"/>
      <c r="AE76" s="561"/>
      <c r="AF76" s="561"/>
      <c r="AG76" s="561"/>
      <c r="AH76" s="561"/>
      <c r="AI76" s="561"/>
      <c r="AJ76" s="561"/>
      <c r="AK76" s="561"/>
      <c r="AL76" s="561"/>
      <c r="AM76" s="217"/>
      <c r="AN76" s="217"/>
      <c r="AO76" s="217"/>
      <c r="AP76" s="217"/>
      <c r="AQ76" s="217"/>
      <c r="AR76" s="217"/>
      <c r="AS76" s="217"/>
      <c r="AT76" s="217"/>
      <c r="AU76" s="217"/>
      <c r="AV76" s="217"/>
      <c r="AW76" s="217"/>
      <c r="AX76" s="217"/>
      <c r="AY76" s="217"/>
      <c r="AZ76" s="217"/>
      <c r="BA76" s="217"/>
      <c r="BB76" s="217"/>
      <c r="BC76" s="217"/>
      <c r="BD76" s="217"/>
      <c r="BE76" s="217"/>
      <c r="BF76" s="217"/>
      <c r="BG76" s="217"/>
      <c r="BH76" s="217"/>
      <c r="BI76" s="217"/>
      <c r="BJ76" s="217"/>
      <c r="BK76" s="217"/>
      <c r="BL76" s="217"/>
      <c r="BM76" s="217"/>
      <c r="BN76" s="217"/>
      <c r="BO76" s="217"/>
      <c r="BP76" s="217"/>
      <c r="BQ76" s="217"/>
      <c r="BR76" s="217"/>
      <c r="BS76" s="217"/>
      <c r="BT76" s="217"/>
      <c r="BU76" s="217"/>
      <c r="BV76" s="217"/>
      <c r="BW76" s="217"/>
      <c r="BX76" s="217"/>
      <c r="BY76" s="217"/>
      <c r="BZ76" s="217"/>
      <c r="CA76" s="217"/>
      <c r="CB76" s="217"/>
      <c r="CC76" s="217"/>
      <c r="CD76" s="217"/>
      <c r="CE76" s="217"/>
      <c r="CF76" s="217"/>
      <c r="CG76" s="217"/>
      <c r="CH76" s="217"/>
      <c r="CI76" s="217"/>
      <c r="CJ76" s="217"/>
      <c r="CK76" s="217"/>
    </row>
    <row r="77" spans="1:89" ht="69" x14ac:dyDescent="0.3">
      <c r="A77" s="217"/>
      <c r="B77" s="314" t="s">
        <v>98</v>
      </c>
      <c r="C77" s="286" t="s">
        <v>357</v>
      </c>
      <c r="D77" s="286" t="s">
        <v>353</v>
      </c>
      <c r="E77" s="286" t="s">
        <v>354</v>
      </c>
      <c r="F77" s="286" t="s">
        <v>355</v>
      </c>
      <c r="G77" s="286" t="s">
        <v>608</v>
      </c>
      <c r="H77" s="286" t="s">
        <v>721</v>
      </c>
      <c r="I77" s="286" t="s">
        <v>723</v>
      </c>
      <c r="J77" s="286" t="s">
        <v>722</v>
      </c>
      <c r="K77" s="286" t="s">
        <v>109</v>
      </c>
      <c r="L77" s="286" t="s">
        <v>110</v>
      </c>
      <c r="M77" s="286" t="s">
        <v>111</v>
      </c>
      <c r="N77" s="286" t="s">
        <v>112</v>
      </c>
      <c r="O77" s="286" t="s">
        <v>610</v>
      </c>
      <c r="P77" s="286" t="s">
        <v>612</v>
      </c>
      <c r="Q77" s="286" t="s">
        <v>614</v>
      </c>
      <c r="R77" s="286" t="s">
        <v>616</v>
      </c>
      <c r="S77" s="286" t="s">
        <v>618</v>
      </c>
      <c r="T77" s="286" t="s">
        <v>620</v>
      </c>
      <c r="U77" s="286" t="s">
        <v>621</v>
      </c>
      <c r="V77" s="286" t="s">
        <v>622</v>
      </c>
      <c r="W77" s="286" t="s">
        <v>608</v>
      </c>
      <c r="X77" s="286" t="s">
        <v>721</v>
      </c>
      <c r="Y77" s="286" t="s">
        <v>723</v>
      </c>
      <c r="Z77" s="286" t="s">
        <v>722</v>
      </c>
      <c r="AA77" s="286" t="s">
        <v>109</v>
      </c>
      <c r="AB77" s="286" t="s">
        <v>110</v>
      </c>
      <c r="AC77" s="286" t="s">
        <v>111</v>
      </c>
      <c r="AD77" s="286" t="s">
        <v>112</v>
      </c>
      <c r="AE77" s="286" t="s">
        <v>610</v>
      </c>
      <c r="AF77" s="286" t="s">
        <v>612</v>
      </c>
      <c r="AG77" s="286" t="s">
        <v>614</v>
      </c>
      <c r="AH77" s="286" t="s">
        <v>616</v>
      </c>
      <c r="AI77" s="286" t="s">
        <v>618</v>
      </c>
      <c r="AJ77" s="286" t="s">
        <v>620</v>
      </c>
      <c r="AK77" s="286" t="s">
        <v>621</v>
      </c>
      <c r="AL77" s="286" t="s">
        <v>622</v>
      </c>
      <c r="AM77" s="217"/>
      <c r="AN77" s="217"/>
      <c r="AO77" s="217"/>
      <c r="AP77" s="217"/>
      <c r="AQ77" s="217"/>
      <c r="AR77" s="217"/>
      <c r="AS77" s="217"/>
      <c r="AT77" s="217"/>
      <c r="AU77" s="217"/>
      <c r="AV77" s="217"/>
      <c r="AW77" s="217"/>
      <c r="AX77" s="217"/>
      <c r="AY77" s="217"/>
      <c r="AZ77" s="217"/>
      <c r="BA77" s="217"/>
      <c r="BB77" s="217"/>
      <c r="BC77" s="217"/>
      <c r="BD77" s="217"/>
      <c r="BE77" s="217"/>
      <c r="BF77" s="217"/>
      <c r="BG77" s="217"/>
      <c r="BH77" s="217"/>
      <c r="BI77" s="217"/>
      <c r="BJ77" s="217"/>
      <c r="BK77" s="217"/>
      <c r="BL77" s="217"/>
      <c r="BM77" s="217"/>
      <c r="BN77" s="217"/>
      <c r="BO77" s="217"/>
      <c r="BP77" s="217"/>
      <c r="BQ77" s="217"/>
      <c r="BR77" s="217"/>
      <c r="BS77" s="217"/>
      <c r="BT77" s="217"/>
      <c r="BU77" s="217"/>
      <c r="BV77" s="217"/>
      <c r="BW77" s="217"/>
      <c r="BX77" s="217"/>
      <c r="BY77" s="217"/>
      <c r="BZ77" s="217"/>
      <c r="CA77" s="217"/>
      <c r="CB77" s="217"/>
      <c r="CC77" s="217"/>
      <c r="CD77" s="217"/>
      <c r="CE77" s="217"/>
      <c r="CF77" s="217"/>
      <c r="CG77" s="217"/>
      <c r="CH77" s="217"/>
      <c r="CI77" s="217"/>
      <c r="CJ77" s="217"/>
      <c r="CK77" s="217"/>
    </row>
    <row r="78" spans="1:89" x14ac:dyDescent="0.3">
      <c r="A78" s="217"/>
      <c r="B78" s="260" t="s">
        <v>104</v>
      </c>
      <c r="C78" s="315">
        <f t="shared" ref="C78:C97" si="64">SUM(D78:F78)</f>
        <v>0.16211747999999998</v>
      </c>
      <c r="D78" s="273">
        <f>SUM(I25:I27)</f>
        <v>0</v>
      </c>
      <c r="E78" s="273">
        <f>SUM(J25:J27)</f>
        <v>0.14408399999999999</v>
      </c>
      <c r="F78" s="273">
        <f>SUM(K25:K27)</f>
        <v>1.8033480000000005E-2</v>
      </c>
      <c r="G78" s="316">
        <f>SUMIFS($V$25:$V$72,$C$25:$C$72,$B78,$E$25:$E$72,G$77)</f>
        <v>3.54455213715702E-3</v>
      </c>
      <c r="H78" s="316">
        <f t="shared" ref="H78:V94" si="65">SUMIFS($V$25:$V$72,$C$25:$C$72,$B78,$E$25:$E$72,H$77)</f>
        <v>0</v>
      </c>
      <c r="I78" s="316">
        <f t="shared" si="65"/>
        <v>0.9964554478628429</v>
      </c>
      <c r="J78" s="316">
        <f t="shared" si="65"/>
        <v>0</v>
      </c>
      <c r="K78" s="316">
        <f t="shared" si="65"/>
        <v>0</v>
      </c>
      <c r="L78" s="316">
        <f t="shared" si="65"/>
        <v>0</v>
      </c>
      <c r="M78" s="316">
        <f t="shared" si="65"/>
        <v>0</v>
      </c>
      <c r="N78" s="316">
        <f t="shared" si="65"/>
        <v>0</v>
      </c>
      <c r="O78" s="316">
        <f t="shared" si="65"/>
        <v>0</v>
      </c>
      <c r="P78" s="316">
        <f t="shared" si="65"/>
        <v>0</v>
      </c>
      <c r="Q78" s="316">
        <f t="shared" si="65"/>
        <v>0</v>
      </c>
      <c r="R78" s="316">
        <f t="shared" si="65"/>
        <v>0</v>
      </c>
      <c r="S78" s="316">
        <f t="shared" si="65"/>
        <v>0</v>
      </c>
      <c r="T78" s="316">
        <f t="shared" si="65"/>
        <v>0</v>
      </c>
      <c r="U78" s="316">
        <f t="shared" si="65"/>
        <v>0</v>
      </c>
      <c r="V78" s="316">
        <f t="shared" si="65"/>
        <v>0</v>
      </c>
      <c r="W78" s="457">
        <f t="shared" ref="W78:AL78" si="66">SUMIF($E$25:$E$27,W$77,$T$25:$T$27)</f>
        <v>5.1658834075141062E-3</v>
      </c>
      <c r="X78" s="457">
        <f t="shared" si="66"/>
        <v>0</v>
      </c>
      <c r="Y78" s="457">
        <f t="shared" si="66"/>
        <v>0.49741705829624294</v>
      </c>
      <c r="Z78" s="457">
        <f t="shared" si="66"/>
        <v>0</v>
      </c>
      <c r="AA78" s="457">
        <f t="shared" si="66"/>
        <v>0</v>
      </c>
      <c r="AB78" s="457">
        <f t="shared" si="66"/>
        <v>0</v>
      </c>
      <c r="AC78" s="457">
        <f t="shared" si="66"/>
        <v>0</v>
      </c>
      <c r="AD78" s="457">
        <f t="shared" si="66"/>
        <v>0</v>
      </c>
      <c r="AE78" s="457">
        <f t="shared" si="66"/>
        <v>0</v>
      </c>
      <c r="AF78" s="457">
        <f t="shared" si="66"/>
        <v>0</v>
      </c>
      <c r="AG78" s="457">
        <f t="shared" si="66"/>
        <v>0</v>
      </c>
      <c r="AH78" s="457">
        <f t="shared" si="66"/>
        <v>0</v>
      </c>
      <c r="AI78" s="457">
        <f t="shared" si="66"/>
        <v>0</v>
      </c>
      <c r="AJ78" s="457">
        <f t="shared" si="66"/>
        <v>0</v>
      </c>
      <c r="AK78" s="457">
        <f t="shared" si="66"/>
        <v>0</v>
      </c>
      <c r="AL78" s="457">
        <f t="shared" si="66"/>
        <v>0</v>
      </c>
      <c r="AM78" s="317"/>
      <c r="AN78" s="217"/>
      <c r="AO78" s="217"/>
      <c r="AP78" s="217"/>
      <c r="AQ78" s="217"/>
      <c r="AR78" s="217"/>
      <c r="AS78" s="217"/>
      <c r="AT78" s="217"/>
      <c r="AU78" s="217"/>
      <c r="AV78" s="217"/>
      <c r="AW78" s="217"/>
      <c r="AX78" s="217"/>
      <c r="AY78" s="217"/>
      <c r="AZ78" s="217"/>
      <c r="BA78" s="217"/>
      <c r="BB78" s="217"/>
      <c r="BC78" s="217"/>
      <c r="BD78" s="217"/>
      <c r="BE78" s="217"/>
      <c r="BF78" s="217"/>
      <c r="BG78" s="217"/>
      <c r="BH78" s="217"/>
      <c r="BI78" s="217"/>
      <c r="BJ78" s="217"/>
      <c r="BK78" s="217"/>
      <c r="BL78" s="217"/>
      <c r="BM78" s="217"/>
      <c r="BN78" s="217"/>
      <c r="BO78" s="217"/>
      <c r="BP78" s="217"/>
      <c r="BQ78" s="217"/>
      <c r="BR78" s="217"/>
      <c r="BS78" s="217"/>
      <c r="BT78" s="217"/>
      <c r="BU78" s="217"/>
      <c r="BV78" s="217"/>
      <c r="BW78" s="217"/>
      <c r="BX78" s="217"/>
      <c r="BY78" s="217"/>
      <c r="BZ78" s="217"/>
      <c r="CA78" s="217"/>
      <c r="CB78" s="217"/>
      <c r="CC78" s="217"/>
      <c r="CD78" s="217"/>
      <c r="CE78" s="217"/>
      <c r="CF78" s="217"/>
      <c r="CG78" s="217"/>
      <c r="CH78" s="217"/>
      <c r="CI78" s="217"/>
      <c r="CJ78" s="217"/>
      <c r="CK78" s="217"/>
    </row>
    <row r="79" spans="1:89" x14ac:dyDescent="0.3">
      <c r="A79" s="217"/>
      <c r="B79" s="260" t="s">
        <v>106</v>
      </c>
      <c r="C79" s="315">
        <f t="shared" si="64"/>
        <v>0.21906060383656306</v>
      </c>
      <c r="D79" s="273">
        <f>SUM(I28:I32)</f>
        <v>4.0176239771798957E-4</v>
      </c>
      <c r="E79" s="273">
        <f>SUM(J28:J32)</f>
        <v>0.19267046596402887</v>
      </c>
      <c r="F79" s="273">
        <f>SUM(K28:K32)</f>
        <v>2.5988375474816201E-2</v>
      </c>
      <c r="G79" s="316">
        <f t="shared" ref="G79:V97" si="67">SUMIFS($V$25:$V$72,$C$25:$C$72,$B79,$E$25:$E$72,G$77)</f>
        <v>2.1619723715653101E-3</v>
      </c>
      <c r="H79" s="316">
        <f t="shared" si="65"/>
        <v>0</v>
      </c>
      <c r="I79" s="316">
        <f t="shared" si="65"/>
        <v>0.60778035261264673</v>
      </c>
      <c r="J79" s="316">
        <f t="shared" si="65"/>
        <v>0</v>
      </c>
      <c r="K79" s="316">
        <f t="shared" si="65"/>
        <v>0</v>
      </c>
      <c r="L79" s="316">
        <f t="shared" si="65"/>
        <v>0</v>
      </c>
      <c r="M79" s="316">
        <f t="shared" si="65"/>
        <v>0</v>
      </c>
      <c r="N79" s="316">
        <f t="shared" si="65"/>
        <v>0</v>
      </c>
      <c r="O79" s="316">
        <f t="shared" si="65"/>
        <v>7.5021105867056617E-3</v>
      </c>
      <c r="P79" s="316">
        <f t="shared" si="65"/>
        <v>0.38255556442908234</v>
      </c>
      <c r="Q79" s="316">
        <f t="shared" si="65"/>
        <v>0</v>
      </c>
      <c r="R79" s="316">
        <f t="shared" si="65"/>
        <v>0</v>
      </c>
      <c r="S79" s="316">
        <f t="shared" si="65"/>
        <v>0</v>
      </c>
      <c r="T79" s="316">
        <f t="shared" si="65"/>
        <v>0</v>
      </c>
      <c r="U79" s="316">
        <f t="shared" si="65"/>
        <v>0</v>
      </c>
      <c r="V79" s="316">
        <f t="shared" si="65"/>
        <v>0</v>
      </c>
      <c r="W79" s="457">
        <f t="shared" ref="W79:AL79" si="68">SUMIF($E$28:$E$32,W$77,$T$28:$T$32)</f>
        <v>3.823051636545418E-3</v>
      </c>
      <c r="X79" s="457">
        <f t="shared" si="68"/>
        <v>0</v>
      </c>
      <c r="Y79" s="457">
        <f t="shared" si="68"/>
        <v>0.36811730903546658</v>
      </c>
      <c r="Z79" s="457">
        <f t="shared" si="68"/>
        <v>0</v>
      </c>
      <c r="AA79" s="457">
        <f t="shared" si="68"/>
        <v>0</v>
      </c>
      <c r="AB79" s="457">
        <f t="shared" si="68"/>
        <v>0</v>
      </c>
      <c r="AC79" s="457">
        <f t="shared" si="68"/>
        <v>0</v>
      </c>
      <c r="AD79" s="457">
        <f t="shared" si="68"/>
        <v>0</v>
      </c>
      <c r="AE79" s="457">
        <f t="shared" si="68"/>
        <v>1.3266106696490396E-2</v>
      </c>
      <c r="AF79" s="457">
        <f t="shared" si="68"/>
        <v>0.14800573415761858</v>
      </c>
      <c r="AG79" s="457">
        <f t="shared" si="68"/>
        <v>0</v>
      </c>
      <c r="AH79" s="457">
        <f t="shared" si="68"/>
        <v>0</v>
      </c>
      <c r="AI79" s="457">
        <f t="shared" si="68"/>
        <v>0</v>
      </c>
      <c r="AJ79" s="457">
        <f t="shared" si="68"/>
        <v>0</v>
      </c>
      <c r="AK79" s="457">
        <f t="shared" si="68"/>
        <v>0</v>
      </c>
      <c r="AL79" s="457">
        <f t="shared" si="68"/>
        <v>0</v>
      </c>
      <c r="AM79" s="317"/>
      <c r="AN79" s="217"/>
      <c r="AO79" s="217"/>
      <c r="AP79" s="217"/>
      <c r="AQ79" s="217"/>
      <c r="AR79" s="217"/>
      <c r="AS79" s="217"/>
      <c r="AT79" s="217"/>
      <c r="AU79" s="217"/>
      <c r="AV79" s="217"/>
      <c r="AW79" s="217"/>
      <c r="AX79" s="217"/>
      <c r="AY79" s="217"/>
      <c r="AZ79" s="217"/>
      <c r="BA79" s="217"/>
      <c r="BB79" s="217"/>
      <c r="BC79" s="217"/>
      <c r="BD79" s="217"/>
      <c r="BE79" s="217"/>
      <c r="BF79" s="217"/>
      <c r="BG79" s="217"/>
      <c r="BH79" s="217"/>
      <c r="BI79" s="217"/>
      <c r="BJ79" s="217"/>
      <c r="BK79" s="217"/>
      <c r="BL79" s="217"/>
      <c r="BM79" s="217"/>
      <c r="BN79" s="217"/>
      <c r="BO79" s="217"/>
      <c r="BP79" s="217"/>
      <c r="BQ79" s="217"/>
      <c r="BR79" s="217"/>
      <c r="BS79" s="217"/>
      <c r="BT79" s="217"/>
      <c r="BU79" s="217"/>
      <c r="BV79" s="217"/>
      <c r="BW79" s="217"/>
      <c r="BX79" s="217"/>
      <c r="BY79" s="217"/>
      <c r="BZ79" s="217"/>
      <c r="CA79" s="217"/>
      <c r="CB79" s="217"/>
      <c r="CC79" s="217"/>
      <c r="CD79" s="217"/>
      <c r="CE79" s="217"/>
      <c r="CF79" s="217"/>
      <c r="CG79" s="217"/>
      <c r="CH79" s="217"/>
      <c r="CI79" s="217"/>
      <c r="CJ79" s="217"/>
      <c r="CK79" s="217"/>
    </row>
    <row r="80" spans="1:89" x14ac:dyDescent="0.3">
      <c r="A80" s="217"/>
      <c r="B80" s="260" t="s">
        <v>496</v>
      </c>
      <c r="C80" s="315">
        <f t="shared" si="64"/>
        <v>0.21354519750000001</v>
      </c>
      <c r="D80" s="273">
        <f>SUM(I33:I35)</f>
        <v>0</v>
      </c>
      <c r="E80" s="273">
        <f>SUM(J33:J35)</f>
        <v>0.11667675000000001</v>
      </c>
      <c r="F80" s="273">
        <f>SUM(K33:K35)</f>
        <v>9.686844750000001E-2</v>
      </c>
      <c r="G80" s="316">
        <f t="shared" si="67"/>
        <v>1.8603797124365291E-2</v>
      </c>
      <c r="H80" s="316">
        <f t="shared" si="65"/>
        <v>0.3012977731054699</v>
      </c>
      <c r="I80" s="316">
        <f t="shared" si="65"/>
        <v>0</v>
      </c>
      <c r="J80" s="316">
        <f t="shared" si="65"/>
        <v>0.68009842977016477</v>
      </c>
      <c r="K80" s="316">
        <f t="shared" si="65"/>
        <v>0</v>
      </c>
      <c r="L80" s="316">
        <f t="shared" si="65"/>
        <v>0</v>
      </c>
      <c r="M80" s="316">
        <f t="shared" si="65"/>
        <v>0</v>
      </c>
      <c r="N80" s="316">
        <f t="shared" si="65"/>
        <v>0</v>
      </c>
      <c r="O80" s="316">
        <f t="shared" si="65"/>
        <v>0</v>
      </c>
      <c r="P80" s="316">
        <f t="shared" si="65"/>
        <v>0</v>
      </c>
      <c r="Q80" s="316">
        <f t="shared" si="65"/>
        <v>0</v>
      </c>
      <c r="R80" s="316">
        <f t="shared" si="65"/>
        <v>0</v>
      </c>
      <c r="S80" s="316">
        <f t="shared" si="65"/>
        <v>0</v>
      </c>
      <c r="T80" s="316">
        <f t="shared" si="65"/>
        <v>0</v>
      </c>
      <c r="U80" s="316">
        <f t="shared" si="65"/>
        <v>0</v>
      </c>
      <c r="V80" s="316">
        <f t="shared" si="65"/>
        <v>0</v>
      </c>
      <c r="W80" s="457">
        <f t="shared" ref="W80:AL80" si="69">SUMIF($E$33:$E$35,W$77,$T$33:$T$35)</f>
        <v>2.6927308913140033E-2</v>
      </c>
      <c r="X80" s="457">
        <f t="shared" si="69"/>
        <v>0.17924542648635308</v>
      </c>
      <c r="Y80" s="457">
        <f t="shared" si="69"/>
        <v>0</v>
      </c>
      <c r="Z80" s="457">
        <f t="shared" si="69"/>
        <v>0.33716515680480247</v>
      </c>
      <c r="AA80" s="457">
        <f t="shared" si="69"/>
        <v>0</v>
      </c>
      <c r="AB80" s="457">
        <f t="shared" si="69"/>
        <v>0</v>
      </c>
      <c r="AC80" s="457">
        <f t="shared" si="69"/>
        <v>0</v>
      </c>
      <c r="AD80" s="457">
        <f t="shared" si="69"/>
        <v>0</v>
      </c>
      <c r="AE80" s="457">
        <f t="shared" si="69"/>
        <v>0</v>
      </c>
      <c r="AF80" s="457">
        <f t="shared" si="69"/>
        <v>0</v>
      </c>
      <c r="AG80" s="457">
        <f t="shared" si="69"/>
        <v>0</v>
      </c>
      <c r="AH80" s="457">
        <f t="shared" si="69"/>
        <v>0</v>
      </c>
      <c r="AI80" s="457">
        <f t="shared" si="69"/>
        <v>0</v>
      </c>
      <c r="AJ80" s="457">
        <f t="shared" si="69"/>
        <v>0</v>
      </c>
      <c r="AK80" s="457">
        <f t="shared" si="69"/>
        <v>0</v>
      </c>
      <c r="AL80" s="457">
        <f t="shared" si="69"/>
        <v>0</v>
      </c>
      <c r="AM80" s="317"/>
      <c r="AN80" s="217"/>
      <c r="AO80" s="217"/>
      <c r="AP80" s="217"/>
      <c r="AQ80" s="217"/>
      <c r="AR80" s="217"/>
      <c r="AS80" s="217"/>
      <c r="AT80" s="217"/>
      <c r="AU80" s="217"/>
      <c r="AV80" s="217"/>
      <c r="AW80" s="217"/>
      <c r="AX80" s="217"/>
      <c r="AY80" s="217"/>
      <c r="AZ80" s="217"/>
      <c r="BA80" s="217"/>
      <c r="BB80" s="217"/>
      <c r="BC80" s="217"/>
      <c r="BD80" s="217"/>
      <c r="BE80" s="217"/>
      <c r="BF80" s="217"/>
      <c r="BG80" s="217"/>
      <c r="BH80" s="217"/>
      <c r="BI80" s="217"/>
      <c r="BJ80" s="217"/>
      <c r="BK80" s="217"/>
      <c r="BL80" s="217"/>
      <c r="BM80" s="217"/>
      <c r="BN80" s="217"/>
      <c r="BO80" s="217"/>
      <c r="BP80" s="217"/>
      <c r="BQ80" s="217"/>
      <c r="BR80" s="217"/>
      <c r="BS80" s="217"/>
      <c r="BT80" s="217"/>
      <c r="BU80" s="217"/>
      <c r="BV80" s="217"/>
      <c r="BW80" s="217"/>
      <c r="BX80" s="217"/>
      <c r="BY80" s="217"/>
      <c r="BZ80" s="217"/>
      <c r="CA80" s="217"/>
      <c r="CB80" s="217"/>
      <c r="CC80" s="217"/>
      <c r="CD80" s="217"/>
      <c r="CE80" s="217"/>
      <c r="CF80" s="217"/>
      <c r="CG80" s="217"/>
      <c r="CH80" s="217"/>
      <c r="CI80" s="217"/>
      <c r="CJ80" s="217"/>
      <c r="CK80" s="217"/>
    </row>
    <row r="81" spans="1:89" x14ac:dyDescent="0.3">
      <c r="A81" s="217"/>
      <c r="B81" s="260" t="s">
        <v>523</v>
      </c>
      <c r="C81" s="315">
        <f t="shared" si="64"/>
        <v>0.21888164000000002</v>
      </c>
      <c r="D81" s="273">
        <f>SUM(I36:I38)</f>
        <v>0</v>
      </c>
      <c r="E81" s="273">
        <f>SUM(J36:J38)</f>
        <v>0.11721200000000001</v>
      </c>
      <c r="F81" s="273">
        <f>SUM(K36:K38)</f>
        <v>0.10166964000000001</v>
      </c>
      <c r="G81" s="316">
        <f t="shared" si="67"/>
        <v>3.5260186669600714E-2</v>
      </c>
      <c r="H81" s="316">
        <f t="shared" si="65"/>
        <v>0.29618410640974435</v>
      </c>
      <c r="I81" s="316">
        <f t="shared" si="65"/>
        <v>0</v>
      </c>
      <c r="J81" s="316">
        <f t="shared" si="65"/>
        <v>0.66855570692065502</v>
      </c>
      <c r="K81" s="316">
        <f t="shared" si="65"/>
        <v>0</v>
      </c>
      <c r="L81" s="316">
        <f t="shared" si="65"/>
        <v>0</v>
      </c>
      <c r="M81" s="316">
        <f t="shared" si="65"/>
        <v>0</v>
      </c>
      <c r="N81" s="316">
        <f t="shared" si="65"/>
        <v>0</v>
      </c>
      <c r="O81" s="316">
        <f t="shared" si="65"/>
        <v>0</v>
      </c>
      <c r="P81" s="316">
        <f t="shared" si="65"/>
        <v>0</v>
      </c>
      <c r="Q81" s="316">
        <f t="shared" si="65"/>
        <v>0</v>
      </c>
      <c r="R81" s="316">
        <f t="shared" si="65"/>
        <v>0</v>
      </c>
      <c r="S81" s="316">
        <f t="shared" si="65"/>
        <v>0</v>
      </c>
      <c r="T81" s="316">
        <f t="shared" si="65"/>
        <v>0</v>
      </c>
      <c r="U81" s="316">
        <f t="shared" si="65"/>
        <v>0</v>
      </c>
      <c r="V81" s="316">
        <f t="shared" si="65"/>
        <v>0</v>
      </c>
      <c r="W81" s="457">
        <f t="shared" ref="W81:AL81" si="70">SUMIF($E$36:$E$38,W$77,$T$36:$T$38)</f>
        <v>5.0651301772044452E-2</v>
      </c>
      <c r="X81" s="457">
        <f t="shared" si="70"/>
        <v>0.17487533445016218</v>
      </c>
      <c r="Y81" s="457">
        <f t="shared" si="70"/>
        <v>0</v>
      </c>
      <c r="Z81" s="457">
        <f t="shared" si="70"/>
        <v>0.32894490373884261</v>
      </c>
      <c r="AA81" s="457">
        <f t="shared" si="70"/>
        <v>0</v>
      </c>
      <c r="AB81" s="457">
        <f t="shared" si="70"/>
        <v>0</v>
      </c>
      <c r="AC81" s="457">
        <f t="shared" si="70"/>
        <v>0</v>
      </c>
      <c r="AD81" s="457">
        <f t="shared" si="70"/>
        <v>0</v>
      </c>
      <c r="AE81" s="457">
        <f t="shared" si="70"/>
        <v>0</v>
      </c>
      <c r="AF81" s="457">
        <f t="shared" si="70"/>
        <v>0</v>
      </c>
      <c r="AG81" s="457">
        <f t="shared" si="70"/>
        <v>0</v>
      </c>
      <c r="AH81" s="457">
        <f t="shared" si="70"/>
        <v>0</v>
      </c>
      <c r="AI81" s="457">
        <f t="shared" si="70"/>
        <v>0</v>
      </c>
      <c r="AJ81" s="457">
        <f t="shared" si="70"/>
        <v>0</v>
      </c>
      <c r="AK81" s="457">
        <f t="shared" si="70"/>
        <v>0</v>
      </c>
      <c r="AL81" s="457">
        <f t="shared" si="70"/>
        <v>0</v>
      </c>
      <c r="AM81" s="317"/>
      <c r="AN81" s="217"/>
      <c r="AO81" s="217"/>
      <c r="AP81" s="217"/>
      <c r="AQ81" s="217"/>
      <c r="AR81" s="217"/>
      <c r="AS81" s="217"/>
      <c r="AT81" s="217"/>
      <c r="AU81" s="217"/>
      <c r="AV81" s="217"/>
      <c r="AW81" s="217"/>
      <c r="AX81" s="217"/>
      <c r="AY81" s="217"/>
      <c r="AZ81" s="217"/>
      <c r="BA81" s="217"/>
      <c r="BB81" s="217"/>
      <c r="BC81" s="217"/>
      <c r="BD81" s="217"/>
      <c r="BE81" s="217"/>
      <c r="BF81" s="217"/>
      <c r="BG81" s="217"/>
      <c r="BH81" s="217"/>
      <c r="BI81" s="217"/>
      <c r="BJ81" s="217"/>
      <c r="BK81" s="217"/>
      <c r="BL81" s="217"/>
      <c r="BM81" s="217"/>
      <c r="BN81" s="217"/>
      <c r="BO81" s="217"/>
      <c r="BP81" s="217"/>
      <c r="BQ81" s="217"/>
      <c r="BR81" s="217"/>
      <c r="BS81" s="217"/>
      <c r="BT81" s="217"/>
      <c r="BU81" s="217"/>
      <c r="BV81" s="217"/>
      <c r="BW81" s="217"/>
      <c r="BX81" s="217"/>
      <c r="BY81" s="217"/>
      <c r="BZ81" s="217"/>
      <c r="CA81" s="217"/>
      <c r="CB81" s="217"/>
      <c r="CC81" s="217"/>
      <c r="CD81" s="217"/>
      <c r="CE81" s="217"/>
      <c r="CF81" s="217"/>
      <c r="CG81" s="217"/>
      <c r="CH81" s="217"/>
      <c r="CI81" s="217"/>
      <c r="CJ81" s="217"/>
      <c r="CK81" s="217"/>
    </row>
    <row r="82" spans="1:89" x14ac:dyDescent="0.3">
      <c r="A82" s="217"/>
      <c r="B82" s="260" t="s">
        <v>521</v>
      </c>
      <c r="C82" s="315">
        <f t="shared" si="64"/>
        <v>0.16127999999999998</v>
      </c>
      <c r="D82" s="273">
        <f>SUM(I39:I41)</f>
        <v>0</v>
      </c>
      <c r="E82" s="273">
        <f>SUM(J39:J41)</f>
        <v>0.14399999999999999</v>
      </c>
      <c r="F82" s="273">
        <f>SUM(K39:K41)</f>
        <v>1.7280000000000004E-2</v>
      </c>
      <c r="G82" s="316">
        <f t="shared" si="67"/>
        <v>0</v>
      </c>
      <c r="H82" s="316">
        <f t="shared" si="65"/>
        <v>0</v>
      </c>
      <c r="I82" s="316">
        <f t="shared" si="65"/>
        <v>1</v>
      </c>
      <c r="J82" s="316">
        <f t="shared" si="65"/>
        <v>0</v>
      </c>
      <c r="K82" s="316">
        <f t="shared" si="65"/>
        <v>0</v>
      </c>
      <c r="L82" s="316">
        <f t="shared" si="65"/>
        <v>0</v>
      </c>
      <c r="M82" s="316">
        <f t="shared" si="65"/>
        <v>0</v>
      </c>
      <c r="N82" s="316">
        <f t="shared" si="65"/>
        <v>0</v>
      </c>
      <c r="O82" s="316">
        <f t="shared" si="65"/>
        <v>0</v>
      </c>
      <c r="P82" s="316">
        <f t="shared" si="65"/>
        <v>0</v>
      </c>
      <c r="Q82" s="316">
        <f t="shared" si="65"/>
        <v>0</v>
      </c>
      <c r="R82" s="316">
        <f t="shared" si="65"/>
        <v>0</v>
      </c>
      <c r="S82" s="316">
        <f t="shared" si="65"/>
        <v>0</v>
      </c>
      <c r="T82" s="316">
        <f t="shared" si="65"/>
        <v>0</v>
      </c>
      <c r="U82" s="316">
        <f t="shared" si="65"/>
        <v>0</v>
      </c>
      <c r="V82" s="316">
        <f t="shared" si="65"/>
        <v>0</v>
      </c>
      <c r="W82" s="457">
        <f t="shared" ref="W82:AL82" si="71">SUMIF($E$39:$E$41,W$77,$T$39:$T$41)</f>
        <v>0</v>
      </c>
      <c r="X82" s="457">
        <f t="shared" si="71"/>
        <v>0</v>
      </c>
      <c r="Y82" s="457">
        <f t="shared" si="71"/>
        <v>0.5</v>
      </c>
      <c r="Z82" s="457">
        <f t="shared" si="71"/>
        <v>0</v>
      </c>
      <c r="AA82" s="457">
        <f t="shared" si="71"/>
        <v>0</v>
      </c>
      <c r="AB82" s="457">
        <f t="shared" si="71"/>
        <v>0</v>
      </c>
      <c r="AC82" s="457">
        <f t="shared" si="71"/>
        <v>0</v>
      </c>
      <c r="AD82" s="457">
        <f t="shared" si="71"/>
        <v>0</v>
      </c>
      <c r="AE82" s="457">
        <f t="shared" si="71"/>
        <v>0</v>
      </c>
      <c r="AF82" s="457">
        <f t="shared" si="71"/>
        <v>0</v>
      </c>
      <c r="AG82" s="457">
        <f t="shared" si="71"/>
        <v>0</v>
      </c>
      <c r="AH82" s="457">
        <f t="shared" si="71"/>
        <v>0</v>
      </c>
      <c r="AI82" s="457">
        <f t="shared" si="71"/>
        <v>0</v>
      </c>
      <c r="AJ82" s="457">
        <f t="shared" si="71"/>
        <v>0</v>
      </c>
      <c r="AK82" s="457">
        <f t="shared" si="71"/>
        <v>0</v>
      </c>
      <c r="AL82" s="457">
        <f t="shared" si="71"/>
        <v>0</v>
      </c>
      <c r="AM82" s="317"/>
      <c r="AN82" s="217"/>
      <c r="AO82" s="217"/>
      <c r="AP82" s="217"/>
      <c r="AQ82" s="217"/>
      <c r="AR82" s="217"/>
      <c r="AS82" s="217"/>
      <c r="AT82" s="217"/>
      <c r="AU82" s="217"/>
      <c r="AV82" s="217"/>
      <c r="AW82" s="217"/>
      <c r="AX82" s="217"/>
      <c r="AY82" s="217"/>
      <c r="AZ82" s="217"/>
      <c r="BA82" s="217"/>
      <c r="BB82" s="217"/>
      <c r="BC82" s="217"/>
      <c r="BD82" s="217"/>
      <c r="BE82" s="217"/>
      <c r="BF82" s="217"/>
      <c r="BG82" s="217"/>
      <c r="BH82" s="217"/>
      <c r="BI82" s="217"/>
      <c r="BJ82" s="217"/>
      <c r="BK82" s="217"/>
      <c r="BL82" s="217"/>
      <c r="BM82" s="217"/>
      <c r="BN82" s="217"/>
      <c r="BO82" s="217"/>
      <c r="BP82" s="217"/>
      <c r="BQ82" s="217"/>
      <c r="BR82" s="217"/>
      <c r="BS82" s="217"/>
      <c r="BT82" s="217"/>
      <c r="BU82" s="217"/>
      <c r="BV82" s="217"/>
      <c r="BW82" s="217"/>
      <c r="BX82" s="217"/>
      <c r="BY82" s="217"/>
      <c r="BZ82" s="217"/>
      <c r="CA82" s="217"/>
      <c r="CB82" s="217"/>
      <c r="CC82" s="217"/>
      <c r="CD82" s="217"/>
      <c r="CE82" s="217"/>
      <c r="CF82" s="217"/>
      <c r="CG82" s="217"/>
      <c r="CH82" s="217"/>
      <c r="CI82" s="217"/>
      <c r="CJ82" s="217"/>
      <c r="CK82" s="217"/>
    </row>
    <row r="83" spans="1:89" x14ac:dyDescent="0.3">
      <c r="A83" s="217"/>
      <c r="B83" s="260" t="s">
        <v>522</v>
      </c>
      <c r="C83" s="315">
        <f t="shared" si="64"/>
        <v>0.21906060383656306</v>
      </c>
      <c r="D83" s="273">
        <f>SUM(I42:I46)</f>
        <v>4.0176239771798957E-4</v>
      </c>
      <c r="E83" s="273">
        <f>SUM(J42:J46)</f>
        <v>0.19267046596402887</v>
      </c>
      <c r="F83" s="273">
        <f>SUM(K42:K46)</f>
        <v>2.5988375474816201E-2</v>
      </c>
      <c r="G83" s="316">
        <f t="shared" si="67"/>
        <v>2.1619723715653101E-3</v>
      </c>
      <c r="H83" s="316">
        <f t="shared" si="65"/>
        <v>0</v>
      </c>
      <c r="I83" s="316">
        <f t="shared" si="65"/>
        <v>0.60778035261264673</v>
      </c>
      <c r="J83" s="316">
        <f t="shared" si="65"/>
        <v>0</v>
      </c>
      <c r="K83" s="316">
        <f t="shared" si="65"/>
        <v>0</v>
      </c>
      <c r="L83" s="316">
        <f t="shared" si="65"/>
        <v>0</v>
      </c>
      <c r="M83" s="316">
        <f t="shared" si="65"/>
        <v>0</v>
      </c>
      <c r="N83" s="316">
        <f t="shared" si="65"/>
        <v>0</v>
      </c>
      <c r="O83" s="316">
        <f t="shared" si="65"/>
        <v>7.5021105867056617E-3</v>
      </c>
      <c r="P83" s="316">
        <f t="shared" si="65"/>
        <v>0.38255556442908234</v>
      </c>
      <c r="Q83" s="316">
        <f t="shared" si="65"/>
        <v>0</v>
      </c>
      <c r="R83" s="316">
        <f t="shared" si="65"/>
        <v>0</v>
      </c>
      <c r="S83" s="316">
        <f t="shared" si="65"/>
        <v>0</v>
      </c>
      <c r="T83" s="316">
        <f t="shared" si="65"/>
        <v>0</v>
      </c>
      <c r="U83" s="316">
        <f t="shared" si="65"/>
        <v>0</v>
      </c>
      <c r="V83" s="316">
        <f t="shared" si="65"/>
        <v>0</v>
      </c>
      <c r="W83" s="457">
        <f t="shared" ref="W83:AL83" si="72">SUMIF($E$42:$E$46,W$77,$T$42:$T$46)</f>
        <v>3.823051636545418E-3</v>
      </c>
      <c r="X83" s="457">
        <f t="shared" si="72"/>
        <v>0</v>
      </c>
      <c r="Y83" s="457">
        <f t="shared" si="72"/>
        <v>0.36811730903546658</v>
      </c>
      <c r="Z83" s="457">
        <f t="shared" si="72"/>
        <v>0</v>
      </c>
      <c r="AA83" s="457">
        <f t="shared" si="72"/>
        <v>0</v>
      </c>
      <c r="AB83" s="457">
        <f t="shared" si="72"/>
        <v>0</v>
      </c>
      <c r="AC83" s="457">
        <f t="shared" si="72"/>
        <v>0</v>
      </c>
      <c r="AD83" s="457">
        <f t="shared" si="72"/>
        <v>0</v>
      </c>
      <c r="AE83" s="457">
        <f t="shared" si="72"/>
        <v>1.3266106696490396E-2</v>
      </c>
      <c r="AF83" s="457">
        <f t="shared" si="72"/>
        <v>0.14800573415761858</v>
      </c>
      <c r="AG83" s="457">
        <f t="shared" si="72"/>
        <v>0</v>
      </c>
      <c r="AH83" s="457">
        <f t="shared" si="72"/>
        <v>0</v>
      </c>
      <c r="AI83" s="457">
        <f t="shared" si="72"/>
        <v>0</v>
      </c>
      <c r="AJ83" s="457">
        <f t="shared" si="72"/>
        <v>0</v>
      </c>
      <c r="AK83" s="457">
        <f t="shared" si="72"/>
        <v>0</v>
      </c>
      <c r="AL83" s="457">
        <f t="shared" si="72"/>
        <v>0</v>
      </c>
      <c r="AM83" s="317"/>
      <c r="AN83" s="217"/>
      <c r="AO83" s="217"/>
      <c r="AP83" s="217"/>
      <c r="AQ83" s="217"/>
      <c r="AR83" s="217"/>
      <c r="AS83" s="217"/>
      <c r="AT83" s="217"/>
      <c r="AU83" s="217"/>
      <c r="AV83" s="217"/>
      <c r="AW83" s="217"/>
      <c r="AX83" s="217"/>
      <c r="AY83" s="217"/>
      <c r="AZ83" s="217"/>
      <c r="BA83" s="217"/>
      <c r="BB83" s="217"/>
      <c r="BC83" s="217"/>
      <c r="BD83" s="217"/>
      <c r="BE83" s="217"/>
      <c r="BF83" s="217"/>
      <c r="BG83" s="217"/>
      <c r="BH83" s="217"/>
      <c r="BI83" s="217"/>
      <c r="BJ83" s="217"/>
      <c r="BK83" s="217"/>
      <c r="BL83" s="217"/>
      <c r="BM83" s="217"/>
      <c r="BN83" s="217"/>
      <c r="BO83" s="217"/>
      <c r="BP83" s="217"/>
      <c r="BQ83" s="217"/>
      <c r="BR83" s="217"/>
      <c r="BS83" s="217"/>
      <c r="BT83" s="217"/>
      <c r="BU83" s="217"/>
      <c r="BV83" s="217"/>
      <c r="BW83" s="217"/>
      <c r="BX83" s="217"/>
      <c r="BY83" s="217"/>
      <c r="BZ83" s="217"/>
      <c r="CA83" s="217"/>
      <c r="CB83" s="217"/>
      <c r="CC83" s="217"/>
      <c r="CD83" s="217"/>
      <c r="CE83" s="217"/>
      <c r="CF83" s="217"/>
      <c r="CG83" s="217"/>
      <c r="CH83" s="217"/>
      <c r="CI83" s="217"/>
      <c r="CJ83" s="217"/>
      <c r="CK83" s="217"/>
    </row>
    <row r="84" spans="1:89" x14ac:dyDescent="0.3">
      <c r="A84" s="217"/>
      <c r="B84" s="260" t="s">
        <v>429</v>
      </c>
      <c r="C84" s="315">
        <f t="shared" si="64"/>
        <v>0.16127999999999998</v>
      </c>
      <c r="D84" s="273">
        <f>SUM(I47)</f>
        <v>0</v>
      </c>
      <c r="E84" s="273">
        <f>SUM(J47)</f>
        <v>0.14399999999999999</v>
      </c>
      <c r="F84" s="273">
        <f>SUM(K47)</f>
        <v>1.7280000000000004E-2</v>
      </c>
      <c r="G84" s="316">
        <f t="shared" si="67"/>
        <v>0</v>
      </c>
      <c r="H84" s="316">
        <f t="shared" si="65"/>
        <v>0</v>
      </c>
      <c r="I84" s="316">
        <f t="shared" si="65"/>
        <v>1</v>
      </c>
      <c r="J84" s="316">
        <f t="shared" si="65"/>
        <v>0</v>
      </c>
      <c r="K84" s="316">
        <f t="shared" si="65"/>
        <v>0</v>
      </c>
      <c r="L84" s="316">
        <f t="shared" si="65"/>
        <v>0</v>
      </c>
      <c r="M84" s="316">
        <f t="shared" si="65"/>
        <v>0</v>
      </c>
      <c r="N84" s="316">
        <f t="shared" si="65"/>
        <v>0</v>
      </c>
      <c r="O84" s="316">
        <f t="shared" si="65"/>
        <v>0</v>
      </c>
      <c r="P84" s="316">
        <f t="shared" si="65"/>
        <v>0</v>
      </c>
      <c r="Q84" s="316">
        <f t="shared" si="65"/>
        <v>0</v>
      </c>
      <c r="R84" s="316">
        <f t="shared" si="65"/>
        <v>0</v>
      </c>
      <c r="S84" s="316">
        <f t="shared" si="65"/>
        <v>0</v>
      </c>
      <c r="T84" s="316">
        <f t="shared" si="65"/>
        <v>0</v>
      </c>
      <c r="U84" s="316">
        <f t="shared" si="65"/>
        <v>0</v>
      </c>
      <c r="V84" s="316">
        <f t="shared" si="65"/>
        <v>0</v>
      </c>
      <c r="W84" s="457">
        <f t="shared" ref="W84:AL84" si="73">SUMIF($E$47,W$77,$T$47)</f>
        <v>0</v>
      </c>
      <c r="X84" s="457">
        <f t="shared" si="73"/>
        <v>0</v>
      </c>
      <c r="Y84" s="457">
        <f t="shared" si="73"/>
        <v>0.5</v>
      </c>
      <c r="Z84" s="457">
        <f t="shared" si="73"/>
        <v>0</v>
      </c>
      <c r="AA84" s="457">
        <f t="shared" si="73"/>
        <v>0</v>
      </c>
      <c r="AB84" s="457">
        <f t="shared" si="73"/>
        <v>0</v>
      </c>
      <c r="AC84" s="457">
        <f t="shared" si="73"/>
        <v>0</v>
      </c>
      <c r="AD84" s="457">
        <f t="shared" si="73"/>
        <v>0</v>
      </c>
      <c r="AE84" s="457">
        <f t="shared" si="73"/>
        <v>0</v>
      </c>
      <c r="AF84" s="457">
        <f t="shared" si="73"/>
        <v>0</v>
      </c>
      <c r="AG84" s="457">
        <f t="shared" si="73"/>
        <v>0</v>
      </c>
      <c r="AH84" s="457">
        <f t="shared" si="73"/>
        <v>0</v>
      </c>
      <c r="AI84" s="457">
        <f t="shared" si="73"/>
        <v>0</v>
      </c>
      <c r="AJ84" s="457">
        <f t="shared" si="73"/>
        <v>0</v>
      </c>
      <c r="AK84" s="457">
        <f t="shared" si="73"/>
        <v>0</v>
      </c>
      <c r="AL84" s="457">
        <f t="shared" si="73"/>
        <v>0</v>
      </c>
      <c r="AM84" s="317"/>
      <c r="AN84" s="217"/>
      <c r="AO84" s="217"/>
      <c r="AP84" s="217"/>
      <c r="AQ84" s="217"/>
      <c r="AR84" s="217"/>
      <c r="AS84" s="217"/>
      <c r="AT84" s="217"/>
      <c r="AU84" s="217"/>
      <c r="AV84" s="217"/>
      <c r="AW84" s="217"/>
      <c r="AX84" s="217"/>
      <c r="AY84" s="217"/>
      <c r="AZ84" s="217"/>
      <c r="BA84" s="217"/>
      <c r="BB84" s="217"/>
      <c r="BC84" s="217"/>
      <c r="BD84" s="217"/>
      <c r="BE84" s="217"/>
      <c r="BF84" s="217"/>
      <c r="BG84" s="217"/>
      <c r="BH84" s="217"/>
      <c r="BI84" s="217"/>
      <c r="BJ84" s="217"/>
      <c r="BK84" s="217"/>
      <c r="BL84" s="217"/>
      <c r="BM84" s="217"/>
      <c r="BN84" s="217"/>
      <c r="BO84" s="217"/>
      <c r="BP84" s="217"/>
      <c r="BQ84" s="217"/>
      <c r="BR84" s="217"/>
      <c r="BS84" s="217"/>
      <c r="BT84" s="217"/>
      <c r="BU84" s="217"/>
      <c r="BV84" s="217"/>
      <c r="BW84" s="217"/>
      <c r="BX84" s="217"/>
      <c r="BY84" s="217"/>
      <c r="BZ84" s="217"/>
      <c r="CA84" s="217"/>
      <c r="CB84" s="217"/>
      <c r="CC84" s="217"/>
      <c r="CD84" s="217"/>
      <c r="CE84" s="217"/>
      <c r="CF84" s="217"/>
      <c r="CG84" s="217"/>
      <c r="CH84" s="217"/>
      <c r="CI84" s="217"/>
      <c r="CJ84" s="217"/>
      <c r="CK84" s="217"/>
    </row>
    <row r="85" spans="1:89" x14ac:dyDescent="0.3">
      <c r="A85" s="217"/>
      <c r="B85" s="260" t="s">
        <v>107</v>
      </c>
      <c r="C85" s="315">
        <f t="shared" si="64"/>
        <v>0.21822312383656309</v>
      </c>
      <c r="D85" s="273">
        <f>SUM(I48:I50)</f>
        <v>4.0176239771798957E-4</v>
      </c>
      <c r="E85" s="273">
        <f>SUM(J48:J50)</f>
        <v>0.1925864659640289</v>
      </c>
      <c r="F85" s="273">
        <f>SUM(K48:K50)</f>
        <v>2.52348954748162E-2</v>
      </c>
      <c r="G85" s="316">
        <f t="shared" si="67"/>
        <v>0</v>
      </c>
      <c r="H85" s="316">
        <f t="shared" si="65"/>
        <v>0</v>
      </c>
      <c r="I85" s="316">
        <f t="shared" si="65"/>
        <v>0.609097203939161</v>
      </c>
      <c r="J85" s="316">
        <f t="shared" si="65"/>
        <v>0</v>
      </c>
      <c r="K85" s="316">
        <f t="shared" si="65"/>
        <v>0</v>
      </c>
      <c r="L85" s="316">
        <f t="shared" si="65"/>
        <v>0</v>
      </c>
      <c r="M85" s="316">
        <f t="shared" si="65"/>
        <v>0</v>
      </c>
      <c r="N85" s="316">
        <f t="shared" si="65"/>
        <v>0</v>
      </c>
      <c r="O85" s="316">
        <f t="shared" si="65"/>
        <v>7.5183650842972531E-3</v>
      </c>
      <c r="P85" s="316">
        <f t="shared" si="65"/>
        <v>0.38338443097654185</v>
      </c>
      <c r="Q85" s="316">
        <f t="shared" si="65"/>
        <v>0</v>
      </c>
      <c r="R85" s="316">
        <f t="shared" si="65"/>
        <v>0</v>
      </c>
      <c r="S85" s="316">
        <f t="shared" si="65"/>
        <v>0</v>
      </c>
      <c r="T85" s="316">
        <f t="shared" si="65"/>
        <v>0</v>
      </c>
      <c r="U85" s="316">
        <f t="shared" si="65"/>
        <v>0</v>
      </c>
      <c r="V85" s="316">
        <f t="shared" si="65"/>
        <v>0</v>
      </c>
      <c r="W85" s="457">
        <f t="shared" ref="W85:AL85" si="74">SUMIF($E$48:$E$50,W$77,$T$48:$T$50)</f>
        <v>0</v>
      </c>
      <c r="X85" s="457">
        <f t="shared" si="74"/>
        <v>0</v>
      </c>
      <c r="Y85" s="457">
        <f t="shared" si="74"/>
        <v>0.36953004146524299</v>
      </c>
      <c r="Z85" s="457">
        <f t="shared" si="74"/>
        <v>0</v>
      </c>
      <c r="AA85" s="457">
        <f t="shared" si="74"/>
        <v>0</v>
      </c>
      <c r="AB85" s="457">
        <f t="shared" si="74"/>
        <v>0</v>
      </c>
      <c r="AC85" s="457">
        <f t="shared" si="74"/>
        <v>0</v>
      </c>
      <c r="AD85" s="457">
        <f t="shared" si="74"/>
        <v>0</v>
      </c>
      <c r="AE85" s="457">
        <f t="shared" si="74"/>
        <v>1.3317018345269179E-2</v>
      </c>
      <c r="AF85" s="457">
        <f t="shared" si="74"/>
        <v>0.14857373923454689</v>
      </c>
      <c r="AG85" s="457">
        <f t="shared" si="74"/>
        <v>0</v>
      </c>
      <c r="AH85" s="457">
        <f t="shared" si="74"/>
        <v>0</v>
      </c>
      <c r="AI85" s="457">
        <f t="shared" si="74"/>
        <v>0</v>
      </c>
      <c r="AJ85" s="457">
        <f t="shared" si="74"/>
        <v>0</v>
      </c>
      <c r="AK85" s="457">
        <f t="shared" si="74"/>
        <v>0</v>
      </c>
      <c r="AL85" s="457">
        <f t="shared" si="74"/>
        <v>0</v>
      </c>
      <c r="AM85" s="317"/>
      <c r="AN85" s="217"/>
      <c r="AO85" s="217"/>
      <c r="AP85" s="217"/>
      <c r="AQ85" s="217"/>
      <c r="AR85" s="217"/>
      <c r="AS85" s="217"/>
      <c r="AT85" s="217"/>
      <c r="AU85" s="217"/>
      <c r="AV85" s="217"/>
      <c r="AW85" s="217"/>
      <c r="AX85" s="217"/>
      <c r="AY85" s="217"/>
      <c r="AZ85" s="217"/>
      <c r="BA85" s="217"/>
      <c r="BB85" s="217"/>
      <c r="BC85" s="217"/>
      <c r="BD85" s="217"/>
      <c r="BE85" s="217"/>
      <c r="BF85" s="217"/>
      <c r="BG85" s="217"/>
      <c r="BH85" s="217"/>
      <c r="BI85" s="217"/>
      <c r="BJ85" s="217"/>
      <c r="BK85" s="217"/>
      <c r="BL85" s="217"/>
      <c r="BM85" s="217"/>
      <c r="BN85" s="217"/>
      <c r="BO85" s="217"/>
      <c r="BP85" s="217"/>
      <c r="BQ85" s="217"/>
      <c r="BR85" s="217"/>
      <c r="BS85" s="217"/>
      <c r="BT85" s="217"/>
      <c r="BU85" s="217"/>
      <c r="BV85" s="217"/>
      <c r="BW85" s="217"/>
      <c r="BX85" s="217"/>
      <c r="BY85" s="217"/>
      <c r="BZ85" s="217"/>
      <c r="CA85" s="217"/>
      <c r="CB85" s="217"/>
      <c r="CC85" s="217"/>
      <c r="CD85" s="217"/>
      <c r="CE85" s="217"/>
      <c r="CF85" s="217"/>
      <c r="CG85" s="217"/>
      <c r="CH85" s="217"/>
      <c r="CI85" s="217"/>
      <c r="CJ85" s="217"/>
      <c r="CK85" s="217"/>
    </row>
    <row r="86" spans="1:89" x14ac:dyDescent="0.3">
      <c r="A86" s="217"/>
      <c r="B86" s="260" t="s">
        <v>565</v>
      </c>
      <c r="C86" s="315">
        <f t="shared" si="64"/>
        <v>7.9196133333333343</v>
      </c>
      <c r="D86" s="273">
        <f>SUM(I51:I52)</f>
        <v>3.3333333333333333E-2</v>
      </c>
      <c r="E86" s="273">
        <f>SUM(J51:J52)</f>
        <v>7.644000000000001</v>
      </c>
      <c r="F86" s="273">
        <f>SUM(K51:K52)</f>
        <v>0.24228000000000005</v>
      </c>
      <c r="G86" s="316">
        <f t="shared" si="67"/>
        <v>0</v>
      </c>
      <c r="H86" s="316">
        <f t="shared" si="65"/>
        <v>0</v>
      </c>
      <c r="I86" s="316">
        <f t="shared" si="65"/>
        <v>1.0944500170211372E-2</v>
      </c>
      <c r="J86" s="316">
        <f t="shared" si="65"/>
        <v>0</v>
      </c>
      <c r="K86" s="316">
        <f t="shared" si="65"/>
        <v>0</v>
      </c>
      <c r="L86" s="316">
        <f t="shared" si="65"/>
        <v>0</v>
      </c>
      <c r="M86" s="316">
        <f t="shared" si="65"/>
        <v>0</v>
      </c>
      <c r="N86" s="316">
        <f t="shared" si="65"/>
        <v>0</v>
      </c>
      <c r="O86" s="316">
        <f t="shared" si="65"/>
        <v>0</v>
      </c>
      <c r="P86" s="316">
        <f t="shared" si="65"/>
        <v>0</v>
      </c>
      <c r="Q86" s="316">
        <f t="shared" si="65"/>
        <v>0.98905549982978869</v>
      </c>
      <c r="R86" s="316">
        <f t="shared" si="65"/>
        <v>0</v>
      </c>
      <c r="S86" s="316">
        <f t="shared" si="65"/>
        <v>0</v>
      </c>
      <c r="T86" s="316">
        <f t="shared" si="65"/>
        <v>0</v>
      </c>
      <c r="U86" s="316">
        <f t="shared" si="65"/>
        <v>0</v>
      </c>
      <c r="V86" s="316">
        <f t="shared" si="65"/>
        <v>0</v>
      </c>
      <c r="W86" s="457">
        <f t="shared" ref="W86:AL86" si="75">SUMIF($E$51:$E$52,W$77,$T$51:$T$52)</f>
        <v>0</v>
      </c>
      <c r="X86" s="457">
        <f t="shared" si="75"/>
        <v>0</v>
      </c>
      <c r="Y86" s="457">
        <f t="shared" si="75"/>
        <v>1.0182315298221632E-2</v>
      </c>
      <c r="Z86" s="457">
        <f t="shared" si="75"/>
        <v>0</v>
      </c>
      <c r="AA86" s="457">
        <f t="shared" si="75"/>
        <v>0</v>
      </c>
      <c r="AB86" s="457">
        <f t="shared" si="75"/>
        <v>0</v>
      </c>
      <c r="AC86" s="457">
        <f t="shared" si="75"/>
        <v>0</v>
      </c>
      <c r="AD86" s="457">
        <f t="shared" si="75"/>
        <v>0</v>
      </c>
      <c r="AE86" s="457">
        <f t="shared" si="75"/>
        <v>0</v>
      </c>
      <c r="AF86" s="457">
        <f t="shared" si="75"/>
        <v>0</v>
      </c>
      <c r="AG86" s="457">
        <f t="shared" si="75"/>
        <v>0.58778122164213409</v>
      </c>
      <c r="AH86" s="457">
        <f t="shared" si="75"/>
        <v>0</v>
      </c>
      <c r="AI86" s="457">
        <f t="shared" si="75"/>
        <v>0</v>
      </c>
      <c r="AJ86" s="457">
        <f t="shared" si="75"/>
        <v>0</v>
      </c>
      <c r="AK86" s="457">
        <f t="shared" si="75"/>
        <v>0</v>
      </c>
      <c r="AL86" s="457">
        <f t="shared" si="75"/>
        <v>0</v>
      </c>
      <c r="AM86" s="317"/>
      <c r="AN86" s="217"/>
      <c r="AO86" s="217"/>
      <c r="AP86" s="217"/>
      <c r="AQ86" s="217"/>
      <c r="AR86" s="217"/>
      <c r="AS86" s="217"/>
      <c r="AT86" s="217"/>
      <c r="AU86" s="217"/>
      <c r="AV86" s="217"/>
      <c r="AW86" s="217"/>
      <c r="AX86" s="217"/>
      <c r="AY86" s="217"/>
      <c r="AZ86" s="217"/>
      <c r="BA86" s="217"/>
      <c r="BB86" s="217"/>
      <c r="BC86" s="217"/>
      <c r="BD86" s="217"/>
      <c r="BE86" s="217"/>
      <c r="BF86" s="217"/>
      <c r="BG86" s="217"/>
      <c r="BH86" s="217"/>
      <c r="BI86" s="217"/>
      <c r="BJ86" s="217"/>
      <c r="BK86" s="217"/>
      <c r="BL86" s="217"/>
      <c r="BM86" s="217"/>
      <c r="BN86" s="217"/>
      <c r="BO86" s="217"/>
      <c r="BP86" s="217"/>
      <c r="BQ86" s="217"/>
      <c r="BR86" s="217"/>
      <c r="BS86" s="217"/>
      <c r="BT86" s="217"/>
      <c r="BU86" s="217"/>
      <c r="BV86" s="217"/>
      <c r="BW86" s="217"/>
      <c r="BX86" s="217"/>
      <c r="BY86" s="217"/>
      <c r="BZ86" s="217"/>
      <c r="CA86" s="217"/>
      <c r="CB86" s="217"/>
      <c r="CC86" s="217"/>
      <c r="CD86" s="217"/>
      <c r="CE86" s="217"/>
      <c r="CF86" s="217"/>
      <c r="CG86" s="217"/>
      <c r="CH86" s="217"/>
      <c r="CI86" s="217"/>
      <c r="CJ86" s="217"/>
      <c r="CK86" s="217"/>
    </row>
    <row r="87" spans="1:89" x14ac:dyDescent="0.3">
      <c r="A87" s="217"/>
      <c r="B87" s="260" t="s">
        <v>524</v>
      </c>
      <c r="C87" s="315">
        <f t="shared" si="64"/>
        <v>2.6879999999999998E-2</v>
      </c>
      <c r="D87" s="273">
        <f>SUM(I53:I55)</f>
        <v>0</v>
      </c>
      <c r="E87" s="273">
        <f>SUM(J53:J55)</f>
        <v>2.3999999999999997E-2</v>
      </c>
      <c r="F87" s="273">
        <f>SUM(K53:K55)</f>
        <v>2.8800000000000006E-3</v>
      </c>
      <c r="G87" s="316">
        <f t="shared" si="67"/>
        <v>0</v>
      </c>
      <c r="H87" s="316">
        <f t="shared" si="65"/>
        <v>0</v>
      </c>
      <c r="I87" s="316">
        <f t="shared" si="65"/>
        <v>1</v>
      </c>
      <c r="J87" s="316">
        <f t="shared" si="65"/>
        <v>0</v>
      </c>
      <c r="K87" s="316">
        <f t="shared" si="65"/>
        <v>0</v>
      </c>
      <c r="L87" s="316">
        <f t="shared" si="65"/>
        <v>0</v>
      </c>
      <c r="M87" s="316">
        <f t="shared" si="65"/>
        <v>0</v>
      </c>
      <c r="N87" s="316">
        <f t="shared" si="65"/>
        <v>0</v>
      </c>
      <c r="O87" s="316">
        <f t="shared" si="65"/>
        <v>0</v>
      </c>
      <c r="P87" s="316">
        <f t="shared" si="65"/>
        <v>0</v>
      </c>
      <c r="Q87" s="316">
        <f t="shared" si="65"/>
        <v>0</v>
      </c>
      <c r="R87" s="316">
        <f t="shared" si="65"/>
        <v>0</v>
      </c>
      <c r="S87" s="316">
        <f t="shared" si="65"/>
        <v>0</v>
      </c>
      <c r="T87" s="316">
        <f t="shared" si="65"/>
        <v>0</v>
      </c>
      <c r="U87" s="316">
        <f t="shared" si="65"/>
        <v>0</v>
      </c>
      <c r="V87" s="316">
        <f t="shared" si="65"/>
        <v>0</v>
      </c>
      <c r="W87" s="457">
        <f t="shared" ref="W87:AL87" si="76">SUMIF($E$53:$E$55,W$77,$T$53:$T$55)</f>
        <v>0</v>
      </c>
      <c r="X87" s="457">
        <f t="shared" si="76"/>
        <v>0</v>
      </c>
      <c r="Y87" s="457">
        <f t="shared" si="76"/>
        <v>0.5</v>
      </c>
      <c r="Z87" s="457">
        <f t="shared" si="76"/>
        <v>0</v>
      </c>
      <c r="AA87" s="457">
        <f t="shared" si="76"/>
        <v>0</v>
      </c>
      <c r="AB87" s="457">
        <f t="shared" si="76"/>
        <v>0</v>
      </c>
      <c r="AC87" s="457">
        <f t="shared" si="76"/>
        <v>0</v>
      </c>
      <c r="AD87" s="457">
        <f t="shared" si="76"/>
        <v>0</v>
      </c>
      <c r="AE87" s="457">
        <f t="shared" si="76"/>
        <v>0</v>
      </c>
      <c r="AF87" s="457">
        <f t="shared" si="76"/>
        <v>0</v>
      </c>
      <c r="AG87" s="457">
        <f t="shared" si="76"/>
        <v>0</v>
      </c>
      <c r="AH87" s="457">
        <f t="shared" si="76"/>
        <v>0</v>
      </c>
      <c r="AI87" s="457">
        <f t="shared" si="76"/>
        <v>0</v>
      </c>
      <c r="AJ87" s="457">
        <f t="shared" si="76"/>
        <v>0</v>
      </c>
      <c r="AK87" s="457">
        <f t="shared" si="76"/>
        <v>0</v>
      </c>
      <c r="AL87" s="457">
        <f t="shared" si="76"/>
        <v>0</v>
      </c>
      <c r="AM87" s="317"/>
      <c r="AN87" s="217"/>
      <c r="AO87" s="217"/>
      <c r="AP87" s="217"/>
      <c r="AQ87" s="217"/>
      <c r="AR87" s="217"/>
      <c r="AS87" s="217"/>
      <c r="AT87" s="217"/>
      <c r="AU87" s="217"/>
      <c r="AV87" s="217"/>
      <c r="AW87" s="217"/>
      <c r="AX87" s="217"/>
      <c r="AY87" s="217"/>
      <c r="AZ87" s="217"/>
      <c r="BA87" s="217"/>
      <c r="BB87" s="217"/>
      <c r="BC87" s="217"/>
      <c r="BD87" s="217"/>
      <c r="BE87" s="217"/>
      <c r="BF87" s="217"/>
      <c r="BG87" s="217"/>
      <c r="BH87" s="217"/>
      <c r="BI87" s="217"/>
      <c r="BJ87" s="217"/>
      <c r="BK87" s="217"/>
      <c r="BL87" s="217"/>
      <c r="BM87" s="217"/>
      <c r="BN87" s="217"/>
      <c r="BO87" s="217"/>
      <c r="BP87" s="217"/>
      <c r="BQ87" s="217"/>
      <c r="BR87" s="217"/>
      <c r="BS87" s="217"/>
      <c r="BT87" s="217"/>
      <c r="BU87" s="217"/>
      <c r="BV87" s="217"/>
      <c r="BW87" s="217"/>
      <c r="BX87" s="217"/>
      <c r="BY87" s="217"/>
      <c r="BZ87" s="217"/>
      <c r="CA87" s="217"/>
      <c r="CB87" s="217"/>
      <c r="CC87" s="217"/>
      <c r="CD87" s="217"/>
      <c r="CE87" s="217"/>
      <c r="CF87" s="217"/>
      <c r="CG87" s="217"/>
      <c r="CH87" s="217"/>
      <c r="CI87" s="217"/>
      <c r="CJ87" s="217"/>
      <c r="CK87" s="217"/>
    </row>
    <row r="88" spans="1:89" x14ac:dyDescent="0.3">
      <c r="A88" s="217"/>
      <c r="B88" s="260" t="s">
        <v>525</v>
      </c>
      <c r="C88" s="315">
        <f t="shared" si="64"/>
        <v>1.9259999999999999</v>
      </c>
      <c r="D88" s="273">
        <f t="shared" ref="D88:F90" si="77">SUM(I56)</f>
        <v>3.0000000000000001E-3</v>
      </c>
      <c r="E88" s="273">
        <f t="shared" si="77"/>
        <v>1.875</v>
      </c>
      <c r="F88" s="273">
        <f t="shared" si="77"/>
        <v>4.7999999999999994E-2</v>
      </c>
      <c r="G88" s="316">
        <f t="shared" si="67"/>
        <v>0</v>
      </c>
      <c r="H88" s="316">
        <f t="shared" si="65"/>
        <v>0</v>
      </c>
      <c r="I88" s="316">
        <f t="shared" si="65"/>
        <v>0</v>
      </c>
      <c r="J88" s="316">
        <f t="shared" si="65"/>
        <v>0</v>
      </c>
      <c r="K88" s="316">
        <f t="shared" si="65"/>
        <v>0</v>
      </c>
      <c r="L88" s="316">
        <f t="shared" si="65"/>
        <v>1</v>
      </c>
      <c r="M88" s="316">
        <f t="shared" si="65"/>
        <v>0</v>
      </c>
      <c r="N88" s="316">
        <f t="shared" si="65"/>
        <v>0</v>
      </c>
      <c r="O88" s="316">
        <f t="shared" si="65"/>
        <v>0</v>
      </c>
      <c r="P88" s="316">
        <f t="shared" si="65"/>
        <v>0</v>
      </c>
      <c r="Q88" s="316">
        <f t="shared" si="65"/>
        <v>0</v>
      </c>
      <c r="R88" s="316">
        <f t="shared" si="65"/>
        <v>0</v>
      </c>
      <c r="S88" s="316">
        <f t="shared" si="65"/>
        <v>0</v>
      </c>
      <c r="T88" s="316">
        <f t="shared" si="65"/>
        <v>0</v>
      </c>
      <c r="U88" s="316">
        <f t="shared" si="65"/>
        <v>0</v>
      </c>
      <c r="V88" s="316">
        <f t="shared" si="65"/>
        <v>0</v>
      </c>
      <c r="W88" s="457">
        <f t="shared" ref="W88:AL88" si="78">SUMIF($E$56,W$77,$W$56)</f>
        <v>0</v>
      </c>
      <c r="X88" s="457">
        <f t="shared" si="78"/>
        <v>0</v>
      </c>
      <c r="Y88" s="457">
        <f t="shared" si="78"/>
        <v>0</v>
      </c>
      <c r="Z88" s="457">
        <f t="shared" si="78"/>
        <v>0</v>
      </c>
      <c r="AA88" s="457">
        <f t="shared" si="78"/>
        <v>0</v>
      </c>
      <c r="AB88" s="457">
        <f t="shared" si="78"/>
        <v>0.6</v>
      </c>
      <c r="AC88" s="457">
        <f t="shared" si="78"/>
        <v>0</v>
      </c>
      <c r="AD88" s="457">
        <f t="shared" si="78"/>
        <v>0</v>
      </c>
      <c r="AE88" s="457">
        <f t="shared" si="78"/>
        <v>0</v>
      </c>
      <c r="AF88" s="457">
        <f t="shared" si="78"/>
        <v>0</v>
      </c>
      <c r="AG88" s="457">
        <f t="shared" si="78"/>
        <v>0</v>
      </c>
      <c r="AH88" s="457">
        <f t="shared" si="78"/>
        <v>0</v>
      </c>
      <c r="AI88" s="457">
        <f t="shared" si="78"/>
        <v>0</v>
      </c>
      <c r="AJ88" s="457">
        <f t="shared" si="78"/>
        <v>0</v>
      </c>
      <c r="AK88" s="457">
        <f t="shared" si="78"/>
        <v>0</v>
      </c>
      <c r="AL88" s="457">
        <f t="shared" si="78"/>
        <v>0</v>
      </c>
      <c r="AM88" s="317"/>
      <c r="AN88" s="217"/>
      <c r="AO88" s="217"/>
      <c r="AP88" s="217"/>
      <c r="AQ88" s="217"/>
      <c r="AR88" s="217"/>
      <c r="AS88" s="217"/>
      <c r="AT88" s="217"/>
      <c r="AU88" s="217"/>
      <c r="AV88" s="217"/>
      <c r="AW88" s="217"/>
      <c r="AX88" s="217"/>
      <c r="AY88" s="217"/>
      <c r="AZ88" s="217"/>
      <c r="BA88" s="217"/>
      <c r="BB88" s="217"/>
      <c r="BC88" s="217"/>
      <c r="BD88" s="217"/>
      <c r="BE88" s="217"/>
      <c r="BF88" s="217"/>
      <c r="BG88" s="217"/>
      <c r="BH88" s="217"/>
      <c r="BI88" s="217"/>
      <c r="BJ88" s="217"/>
      <c r="BK88" s="217"/>
      <c r="BL88" s="217"/>
      <c r="BM88" s="217"/>
      <c r="BN88" s="217"/>
      <c r="BO88" s="217"/>
      <c r="BP88" s="217"/>
      <c r="BQ88" s="217"/>
      <c r="BR88" s="217"/>
      <c r="BS88" s="217"/>
      <c r="BT88" s="217"/>
      <c r="BU88" s="217"/>
      <c r="BV88" s="217"/>
      <c r="BW88" s="217"/>
      <c r="BX88" s="217"/>
      <c r="BY88" s="217"/>
      <c r="BZ88" s="217"/>
      <c r="CA88" s="217"/>
      <c r="CB88" s="217"/>
      <c r="CC88" s="217"/>
      <c r="CD88" s="217"/>
      <c r="CE88" s="217"/>
      <c r="CF88" s="217"/>
      <c r="CG88" s="217"/>
      <c r="CH88" s="217"/>
      <c r="CI88" s="217"/>
      <c r="CJ88" s="217"/>
      <c r="CK88" s="217"/>
    </row>
    <row r="89" spans="1:89" x14ac:dyDescent="0.3">
      <c r="A89" s="217"/>
      <c r="B89" s="260" t="s">
        <v>526</v>
      </c>
      <c r="C89" s="315">
        <f t="shared" si="64"/>
        <v>2.6879999999999998E-2</v>
      </c>
      <c r="D89" s="273">
        <f t="shared" si="77"/>
        <v>0</v>
      </c>
      <c r="E89" s="273">
        <f t="shared" si="77"/>
        <v>2.3999999999999997E-2</v>
      </c>
      <c r="F89" s="273">
        <f t="shared" si="77"/>
        <v>2.8800000000000006E-3</v>
      </c>
      <c r="G89" s="316">
        <f t="shared" si="67"/>
        <v>0</v>
      </c>
      <c r="H89" s="316">
        <f t="shared" si="65"/>
        <v>0</v>
      </c>
      <c r="I89" s="316">
        <f t="shared" si="65"/>
        <v>1</v>
      </c>
      <c r="J89" s="316">
        <f t="shared" si="65"/>
        <v>0</v>
      </c>
      <c r="K89" s="316">
        <f t="shared" si="65"/>
        <v>0</v>
      </c>
      <c r="L89" s="316">
        <f t="shared" si="65"/>
        <v>0</v>
      </c>
      <c r="M89" s="316">
        <f t="shared" si="65"/>
        <v>0</v>
      </c>
      <c r="N89" s="316">
        <f t="shared" si="65"/>
        <v>0</v>
      </c>
      <c r="O89" s="316">
        <f t="shared" si="65"/>
        <v>0</v>
      </c>
      <c r="P89" s="316">
        <f t="shared" si="65"/>
        <v>0</v>
      </c>
      <c r="Q89" s="316">
        <f t="shared" si="65"/>
        <v>0</v>
      </c>
      <c r="R89" s="316">
        <f t="shared" si="65"/>
        <v>0</v>
      </c>
      <c r="S89" s="316">
        <f t="shared" si="65"/>
        <v>0</v>
      </c>
      <c r="T89" s="316">
        <f t="shared" si="65"/>
        <v>0</v>
      </c>
      <c r="U89" s="316">
        <f t="shared" si="65"/>
        <v>0</v>
      </c>
      <c r="V89" s="316">
        <f t="shared" si="65"/>
        <v>0</v>
      </c>
      <c r="W89" s="457">
        <f t="shared" ref="W89:AL89" si="79">SUMIF($E$57,W$77,$T$57)</f>
        <v>0</v>
      </c>
      <c r="X89" s="457">
        <f t="shared" si="79"/>
        <v>0</v>
      </c>
      <c r="Y89" s="457">
        <f t="shared" si="79"/>
        <v>0.5</v>
      </c>
      <c r="Z89" s="457">
        <f t="shared" si="79"/>
        <v>0</v>
      </c>
      <c r="AA89" s="457">
        <f t="shared" si="79"/>
        <v>0</v>
      </c>
      <c r="AB89" s="457">
        <f t="shared" si="79"/>
        <v>0</v>
      </c>
      <c r="AC89" s="457">
        <f t="shared" si="79"/>
        <v>0</v>
      </c>
      <c r="AD89" s="457">
        <f t="shared" si="79"/>
        <v>0</v>
      </c>
      <c r="AE89" s="457">
        <f t="shared" si="79"/>
        <v>0</v>
      </c>
      <c r="AF89" s="457">
        <f t="shared" si="79"/>
        <v>0</v>
      </c>
      <c r="AG89" s="457">
        <f t="shared" si="79"/>
        <v>0</v>
      </c>
      <c r="AH89" s="457">
        <f t="shared" si="79"/>
        <v>0</v>
      </c>
      <c r="AI89" s="457">
        <f t="shared" si="79"/>
        <v>0</v>
      </c>
      <c r="AJ89" s="457">
        <f t="shared" si="79"/>
        <v>0</v>
      </c>
      <c r="AK89" s="457">
        <f t="shared" si="79"/>
        <v>0</v>
      </c>
      <c r="AL89" s="457">
        <f t="shared" si="79"/>
        <v>0</v>
      </c>
      <c r="AM89" s="317"/>
      <c r="AN89" s="217"/>
      <c r="AO89" s="217"/>
      <c r="AP89" s="217"/>
      <c r="AQ89" s="217"/>
      <c r="AR89" s="217"/>
      <c r="AS89" s="217"/>
      <c r="AT89" s="217"/>
      <c r="AU89" s="217"/>
      <c r="AV89" s="217"/>
      <c r="AW89" s="217"/>
      <c r="AX89" s="217"/>
      <c r="AY89" s="217"/>
      <c r="AZ89" s="217"/>
      <c r="BA89" s="217"/>
      <c r="BB89" s="217"/>
      <c r="BC89" s="217"/>
      <c r="BD89" s="217"/>
      <c r="BE89" s="217"/>
      <c r="BF89" s="217"/>
      <c r="BG89" s="217"/>
      <c r="BH89" s="217"/>
      <c r="BI89" s="217"/>
      <c r="BJ89" s="217"/>
      <c r="BK89" s="217"/>
      <c r="BL89" s="217"/>
      <c r="BM89" s="217"/>
      <c r="BN89" s="217"/>
      <c r="BO89" s="217"/>
      <c r="BP89" s="217"/>
      <c r="BQ89" s="217"/>
      <c r="BR89" s="217"/>
      <c r="BS89" s="217"/>
      <c r="BT89" s="217"/>
      <c r="BU89" s="217"/>
      <c r="BV89" s="217"/>
      <c r="BW89" s="217"/>
      <c r="BX89" s="217"/>
      <c r="BY89" s="217"/>
      <c r="BZ89" s="217"/>
      <c r="CA89" s="217"/>
      <c r="CB89" s="217"/>
      <c r="CC89" s="217"/>
      <c r="CD89" s="217"/>
      <c r="CE89" s="217"/>
      <c r="CF89" s="217"/>
      <c r="CG89" s="217"/>
      <c r="CH89" s="217"/>
      <c r="CI89" s="217"/>
      <c r="CJ89" s="217"/>
      <c r="CK89" s="217"/>
    </row>
    <row r="90" spans="1:89" x14ac:dyDescent="0.3">
      <c r="A90" s="217"/>
      <c r="B90" s="260" t="s">
        <v>527</v>
      </c>
      <c r="C90" s="315">
        <f t="shared" si="64"/>
        <v>2.6879999999999998E-2</v>
      </c>
      <c r="D90" s="273">
        <f t="shared" si="77"/>
        <v>0</v>
      </c>
      <c r="E90" s="273">
        <f t="shared" si="77"/>
        <v>2.3999999999999997E-2</v>
      </c>
      <c r="F90" s="273">
        <f t="shared" si="77"/>
        <v>2.8800000000000006E-3</v>
      </c>
      <c r="G90" s="316">
        <f t="shared" si="67"/>
        <v>0</v>
      </c>
      <c r="H90" s="316">
        <f t="shared" si="65"/>
        <v>0</v>
      </c>
      <c r="I90" s="316">
        <f t="shared" si="65"/>
        <v>1</v>
      </c>
      <c r="J90" s="316">
        <f t="shared" si="65"/>
        <v>0</v>
      </c>
      <c r="K90" s="316">
        <f t="shared" si="65"/>
        <v>0</v>
      </c>
      <c r="L90" s="316">
        <f t="shared" si="65"/>
        <v>0</v>
      </c>
      <c r="M90" s="316">
        <f t="shared" si="65"/>
        <v>0</v>
      </c>
      <c r="N90" s="316">
        <f t="shared" si="65"/>
        <v>0</v>
      </c>
      <c r="O90" s="316">
        <f t="shared" si="65"/>
        <v>0</v>
      </c>
      <c r="P90" s="316">
        <f t="shared" si="65"/>
        <v>0</v>
      </c>
      <c r="Q90" s="316">
        <f t="shared" si="65"/>
        <v>0</v>
      </c>
      <c r="R90" s="316">
        <f t="shared" si="65"/>
        <v>0</v>
      </c>
      <c r="S90" s="316">
        <f t="shared" si="65"/>
        <v>0</v>
      </c>
      <c r="T90" s="316">
        <f t="shared" si="65"/>
        <v>0</v>
      </c>
      <c r="U90" s="316">
        <f t="shared" si="65"/>
        <v>0</v>
      </c>
      <c r="V90" s="316">
        <f t="shared" si="65"/>
        <v>0</v>
      </c>
      <c r="W90" s="457">
        <f t="shared" ref="W90:AL90" si="80">SUMIF($E$58,W$77,$T$58)</f>
        <v>0</v>
      </c>
      <c r="X90" s="457">
        <f t="shared" si="80"/>
        <v>0</v>
      </c>
      <c r="Y90" s="457">
        <f t="shared" si="80"/>
        <v>0.5</v>
      </c>
      <c r="Z90" s="457">
        <f t="shared" si="80"/>
        <v>0</v>
      </c>
      <c r="AA90" s="457">
        <f t="shared" si="80"/>
        <v>0</v>
      </c>
      <c r="AB90" s="457">
        <f t="shared" si="80"/>
        <v>0</v>
      </c>
      <c r="AC90" s="457">
        <f t="shared" si="80"/>
        <v>0</v>
      </c>
      <c r="AD90" s="457">
        <f t="shared" si="80"/>
        <v>0</v>
      </c>
      <c r="AE90" s="457">
        <f t="shared" si="80"/>
        <v>0</v>
      </c>
      <c r="AF90" s="457">
        <f t="shared" si="80"/>
        <v>0</v>
      </c>
      <c r="AG90" s="457">
        <f t="shared" si="80"/>
        <v>0</v>
      </c>
      <c r="AH90" s="457">
        <f t="shared" si="80"/>
        <v>0</v>
      </c>
      <c r="AI90" s="457">
        <f t="shared" si="80"/>
        <v>0</v>
      </c>
      <c r="AJ90" s="457">
        <f t="shared" si="80"/>
        <v>0</v>
      </c>
      <c r="AK90" s="457">
        <f t="shared" si="80"/>
        <v>0</v>
      </c>
      <c r="AL90" s="457">
        <f t="shared" si="80"/>
        <v>0</v>
      </c>
      <c r="AM90" s="317"/>
      <c r="AN90" s="217"/>
      <c r="AO90" s="217"/>
      <c r="AP90" s="217"/>
      <c r="AQ90" s="217"/>
      <c r="AR90" s="217"/>
      <c r="AS90" s="217"/>
      <c r="AT90" s="217"/>
      <c r="AU90" s="217"/>
      <c r="AV90" s="217"/>
      <c r="AW90" s="217"/>
      <c r="AX90" s="217"/>
      <c r="AY90" s="217"/>
      <c r="AZ90" s="217"/>
      <c r="BA90" s="217"/>
      <c r="BB90" s="217"/>
      <c r="BC90" s="217"/>
      <c r="BD90" s="217"/>
      <c r="BE90" s="217"/>
      <c r="BF90" s="217"/>
      <c r="BG90" s="217"/>
      <c r="BH90" s="217"/>
      <c r="BI90" s="217"/>
      <c r="BJ90" s="217"/>
      <c r="BK90" s="217"/>
      <c r="BL90" s="217"/>
      <c r="BM90" s="217"/>
      <c r="BN90" s="217"/>
      <c r="BO90" s="217"/>
      <c r="BP90" s="217"/>
      <c r="BQ90" s="217"/>
      <c r="BR90" s="217"/>
      <c r="BS90" s="217"/>
      <c r="BT90" s="217"/>
      <c r="BU90" s="217"/>
      <c r="BV90" s="217"/>
      <c r="BW90" s="217"/>
      <c r="BX90" s="217"/>
      <c r="BY90" s="217"/>
      <c r="BZ90" s="217"/>
      <c r="CA90" s="217"/>
      <c r="CB90" s="217"/>
      <c r="CC90" s="217"/>
      <c r="CD90" s="217"/>
      <c r="CE90" s="217"/>
      <c r="CF90" s="217"/>
      <c r="CG90" s="217"/>
      <c r="CH90" s="217"/>
      <c r="CI90" s="217"/>
      <c r="CJ90" s="217"/>
      <c r="CK90" s="217"/>
    </row>
    <row r="91" spans="1:89" x14ac:dyDescent="0.3">
      <c r="A91" s="217"/>
      <c r="B91" s="260" t="s">
        <v>113</v>
      </c>
      <c r="C91" s="315">
        <f t="shared" si="64"/>
        <v>2.9415715543478261E-2</v>
      </c>
      <c r="D91" s="273">
        <f>SUM(I59:I63)</f>
        <v>2.1521739130434783E-4</v>
      </c>
      <c r="E91" s="273">
        <f>SUM(J59:J63)</f>
        <v>2.4163250000000001E-2</v>
      </c>
      <c r="F91" s="273">
        <f>SUM(K59:K63)</f>
        <v>5.0372481521739135E-3</v>
      </c>
      <c r="G91" s="316">
        <f t="shared" si="67"/>
        <v>3.5900421131704391E-3</v>
      </c>
      <c r="H91" s="316">
        <f t="shared" si="65"/>
        <v>0</v>
      </c>
      <c r="I91" s="316">
        <f t="shared" si="65"/>
        <v>0</v>
      </c>
      <c r="J91" s="316">
        <f t="shared" si="65"/>
        <v>0</v>
      </c>
      <c r="K91" s="316">
        <f t="shared" si="65"/>
        <v>0</v>
      </c>
      <c r="L91" s="316">
        <f t="shared" si="65"/>
        <v>0</v>
      </c>
      <c r="M91" s="316">
        <f t="shared" si="65"/>
        <v>0</v>
      </c>
      <c r="N91" s="316">
        <f t="shared" si="65"/>
        <v>0.12272163383564674</v>
      </c>
      <c r="O91" s="316">
        <f t="shared" si="65"/>
        <v>1.6803941686521624E-2</v>
      </c>
      <c r="P91" s="316">
        <f t="shared" si="65"/>
        <v>0.85688438236466113</v>
      </c>
      <c r="Q91" s="316">
        <f t="shared" si="65"/>
        <v>0</v>
      </c>
      <c r="R91" s="316">
        <f t="shared" si="65"/>
        <v>0</v>
      </c>
      <c r="S91" s="316">
        <f t="shared" si="65"/>
        <v>0</v>
      </c>
      <c r="T91" s="316">
        <f t="shared" si="65"/>
        <v>0</v>
      </c>
      <c r="U91" s="316">
        <f t="shared" si="65"/>
        <v>0</v>
      </c>
      <c r="V91" s="316">
        <f t="shared" si="65"/>
        <v>0</v>
      </c>
      <c r="W91" s="457">
        <f t="shared" ref="W91:AL91" si="81">SUMIF($E$59:$E$63,W$77,$T$59:$T$63)</f>
        <v>7.8802264611711158E-3</v>
      </c>
      <c r="X91" s="457">
        <f t="shared" si="81"/>
        <v>0</v>
      </c>
      <c r="Y91" s="457">
        <f t="shared" si="81"/>
        <v>0</v>
      </c>
      <c r="Z91" s="457">
        <f t="shared" si="81"/>
        <v>0</v>
      </c>
      <c r="AA91" s="457">
        <f t="shared" si="81"/>
        <v>0</v>
      </c>
      <c r="AB91" s="457">
        <f t="shared" si="81"/>
        <v>0</v>
      </c>
      <c r="AC91" s="457">
        <f t="shared" si="81"/>
        <v>0</v>
      </c>
      <c r="AD91" s="457">
        <f t="shared" si="81"/>
        <v>0.10775074339791223</v>
      </c>
      <c r="AE91" s="457">
        <f t="shared" si="81"/>
        <v>3.6885045287995882E-2</v>
      </c>
      <c r="AF91" s="457">
        <f t="shared" si="81"/>
        <v>0.41151472185363153</v>
      </c>
      <c r="AG91" s="457">
        <f t="shared" si="81"/>
        <v>0</v>
      </c>
      <c r="AH91" s="457">
        <f t="shared" si="81"/>
        <v>0</v>
      </c>
      <c r="AI91" s="457">
        <f t="shared" si="81"/>
        <v>0</v>
      </c>
      <c r="AJ91" s="457">
        <f t="shared" si="81"/>
        <v>0</v>
      </c>
      <c r="AK91" s="457">
        <f t="shared" si="81"/>
        <v>0</v>
      </c>
      <c r="AL91" s="457">
        <f t="shared" si="81"/>
        <v>0</v>
      </c>
      <c r="AM91" s="317"/>
      <c r="AN91" s="217"/>
      <c r="AO91" s="217"/>
      <c r="AP91" s="217"/>
      <c r="AQ91" s="217"/>
      <c r="AR91" s="217"/>
      <c r="AS91" s="217"/>
      <c r="AT91" s="217"/>
      <c r="AU91" s="217"/>
      <c r="AV91" s="217"/>
      <c r="AW91" s="217"/>
      <c r="AX91" s="217"/>
      <c r="AY91" s="217"/>
      <c r="AZ91" s="217"/>
      <c r="BA91" s="217"/>
      <c r="BB91" s="217"/>
      <c r="BC91" s="217"/>
      <c r="BD91" s="217"/>
      <c r="BE91" s="217"/>
      <c r="BF91" s="217"/>
      <c r="BG91" s="217"/>
      <c r="BH91" s="217"/>
      <c r="BI91" s="217"/>
      <c r="BJ91" s="217"/>
      <c r="BK91" s="217"/>
      <c r="BL91" s="217"/>
      <c r="BM91" s="217"/>
      <c r="BN91" s="217"/>
      <c r="BO91" s="217"/>
      <c r="BP91" s="217"/>
      <c r="BQ91" s="217"/>
      <c r="BR91" s="217"/>
      <c r="BS91" s="217"/>
      <c r="BT91" s="217"/>
      <c r="BU91" s="217"/>
      <c r="BV91" s="217"/>
      <c r="BW91" s="217"/>
      <c r="BX91" s="217"/>
      <c r="BY91" s="217"/>
      <c r="BZ91" s="217"/>
      <c r="CA91" s="217"/>
      <c r="CB91" s="217"/>
      <c r="CC91" s="217"/>
      <c r="CD91" s="217"/>
      <c r="CE91" s="217"/>
      <c r="CF91" s="217"/>
      <c r="CG91" s="217"/>
      <c r="CH91" s="217"/>
      <c r="CI91" s="217"/>
      <c r="CJ91" s="217"/>
      <c r="CK91" s="217"/>
    </row>
    <row r="92" spans="1:89" x14ac:dyDescent="0.3">
      <c r="A92" s="217"/>
      <c r="B92" s="260" t="s">
        <v>117</v>
      </c>
      <c r="C92" s="315">
        <f t="shared" si="64"/>
        <v>4.9312499999999995E-2</v>
      </c>
      <c r="D92" s="273">
        <f>SUM(I64:I67)</f>
        <v>0</v>
      </c>
      <c r="E92" s="273">
        <f>SUM(J64:J67)</f>
        <v>2.6249999999999996E-2</v>
      </c>
      <c r="F92" s="273">
        <f>SUM(K64:K67)</f>
        <v>2.3062499999999996E-2</v>
      </c>
      <c r="G92" s="316">
        <f t="shared" si="67"/>
        <v>0.36374081214552922</v>
      </c>
      <c r="H92" s="316">
        <f t="shared" si="65"/>
        <v>0</v>
      </c>
      <c r="I92" s="316">
        <f t="shared" si="65"/>
        <v>0.63625918785447066</v>
      </c>
      <c r="J92" s="316">
        <f t="shared" si="65"/>
        <v>0</v>
      </c>
      <c r="K92" s="316">
        <f t="shared" si="65"/>
        <v>0</v>
      </c>
      <c r="L92" s="316">
        <f t="shared" si="65"/>
        <v>0</v>
      </c>
      <c r="M92" s="316">
        <f t="shared" si="65"/>
        <v>0</v>
      </c>
      <c r="N92" s="316">
        <f t="shared" si="65"/>
        <v>0</v>
      </c>
      <c r="O92" s="316">
        <f t="shared" si="65"/>
        <v>0</v>
      </c>
      <c r="P92" s="316">
        <f t="shared" si="65"/>
        <v>0</v>
      </c>
      <c r="Q92" s="316">
        <f t="shared" si="65"/>
        <v>0</v>
      </c>
      <c r="R92" s="316">
        <f t="shared" si="65"/>
        <v>0</v>
      </c>
      <c r="S92" s="316">
        <f t="shared" si="65"/>
        <v>0</v>
      </c>
      <c r="T92" s="316">
        <f t="shared" si="65"/>
        <v>0</v>
      </c>
      <c r="U92" s="316">
        <f t="shared" si="65"/>
        <v>0</v>
      </c>
      <c r="V92" s="316">
        <f t="shared" si="65"/>
        <v>0</v>
      </c>
      <c r="W92" s="457">
        <f t="shared" ref="W92:AL92" si="82">SUMIF($E$64:$E$67,W$77,$T$64:$T$67)</f>
        <v>0.45490494296577938</v>
      </c>
      <c r="X92" s="457">
        <f t="shared" si="82"/>
        <v>0</v>
      </c>
      <c r="Y92" s="457">
        <f t="shared" si="82"/>
        <v>0.27254752851711028</v>
      </c>
      <c r="Z92" s="457">
        <f t="shared" si="82"/>
        <v>0</v>
      </c>
      <c r="AA92" s="457">
        <f t="shared" si="82"/>
        <v>0</v>
      </c>
      <c r="AB92" s="457">
        <f t="shared" si="82"/>
        <v>0</v>
      </c>
      <c r="AC92" s="457">
        <f t="shared" si="82"/>
        <v>0</v>
      </c>
      <c r="AD92" s="457">
        <f t="shared" si="82"/>
        <v>0</v>
      </c>
      <c r="AE92" s="457">
        <f t="shared" si="82"/>
        <v>0</v>
      </c>
      <c r="AF92" s="457">
        <f t="shared" si="82"/>
        <v>0</v>
      </c>
      <c r="AG92" s="457">
        <f t="shared" si="82"/>
        <v>0</v>
      </c>
      <c r="AH92" s="457">
        <f t="shared" si="82"/>
        <v>0</v>
      </c>
      <c r="AI92" s="457">
        <f t="shared" si="82"/>
        <v>0</v>
      </c>
      <c r="AJ92" s="457">
        <f t="shared" si="82"/>
        <v>0</v>
      </c>
      <c r="AK92" s="457">
        <f t="shared" si="82"/>
        <v>0</v>
      </c>
      <c r="AL92" s="457">
        <f t="shared" si="82"/>
        <v>0</v>
      </c>
      <c r="AM92" s="317"/>
      <c r="AN92" s="217"/>
      <c r="AO92" s="217"/>
      <c r="AP92" s="217"/>
      <c r="AQ92" s="217"/>
      <c r="AR92" s="217"/>
      <c r="AS92" s="217"/>
      <c r="AT92" s="217"/>
      <c r="AU92" s="217"/>
      <c r="AV92" s="217"/>
      <c r="AW92" s="217"/>
      <c r="AX92" s="217"/>
      <c r="AY92" s="217"/>
      <c r="AZ92" s="217"/>
      <c r="BA92" s="217"/>
      <c r="BB92" s="217"/>
      <c r="BC92" s="217"/>
      <c r="BD92" s="217"/>
      <c r="BE92" s="217"/>
      <c r="BF92" s="217"/>
      <c r="BG92" s="217"/>
      <c r="BH92" s="217"/>
      <c r="BI92" s="217"/>
      <c r="BJ92" s="217"/>
      <c r="BK92" s="217"/>
      <c r="BL92" s="217"/>
      <c r="BM92" s="217"/>
      <c r="BN92" s="217"/>
      <c r="BO92" s="217"/>
      <c r="BP92" s="217"/>
      <c r="BQ92" s="217"/>
      <c r="BR92" s="217"/>
      <c r="BS92" s="217"/>
      <c r="BT92" s="217"/>
      <c r="BU92" s="217"/>
      <c r="BV92" s="217"/>
      <c r="BW92" s="217"/>
      <c r="BX92" s="217"/>
      <c r="BY92" s="217"/>
      <c r="BZ92" s="217"/>
      <c r="CA92" s="217"/>
      <c r="CB92" s="217"/>
      <c r="CC92" s="217"/>
      <c r="CD92" s="217"/>
      <c r="CE92" s="217"/>
      <c r="CF92" s="217"/>
      <c r="CG92" s="217"/>
      <c r="CH92" s="217"/>
      <c r="CI92" s="217"/>
      <c r="CJ92" s="217"/>
      <c r="CK92" s="217"/>
    </row>
    <row r="93" spans="1:89" x14ac:dyDescent="0.3">
      <c r="A93" s="217"/>
      <c r="B93" s="260" t="s">
        <v>616</v>
      </c>
      <c r="C93" s="374">
        <f t="shared" si="64"/>
        <v>1300.0000000000002</v>
      </c>
      <c r="D93" s="375">
        <f>I68</f>
        <v>0</v>
      </c>
      <c r="E93" s="375">
        <f>J68</f>
        <v>1200.0000000000002</v>
      </c>
      <c r="F93" s="375">
        <f>K68</f>
        <v>100</v>
      </c>
      <c r="G93" s="316">
        <f t="shared" si="67"/>
        <v>0</v>
      </c>
      <c r="H93" s="316">
        <f t="shared" si="65"/>
        <v>0</v>
      </c>
      <c r="I93" s="316">
        <f t="shared" si="65"/>
        <v>0</v>
      </c>
      <c r="J93" s="316">
        <f t="shared" si="65"/>
        <v>0</v>
      </c>
      <c r="K93" s="316">
        <f t="shared" si="65"/>
        <v>0</v>
      </c>
      <c r="L93" s="316">
        <f t="shared" si="65"/>
        <v>0</v>
      </c>
      <c r="M93" s="316">
        <f t="shared" si="65"/>
        <v>0</v>
      </c>
      <c r="N93" s="316">
        <f t="shared" si="65"/>
        <v>0</v>
      </c>
      <c r="O93" s="316">
        <f t="shared" si="65"/>
        <v>0</v>
      </c>
      <c r="P93" s="316">
        <f t="shared" si="65"/>
        <v>0</v>
      </c>
      <c r="Q93" s="316">
        <f t="shared" si="65"/>
        <v>0</v>
      </c>
      <c r="R93" s="316">
        <f t="shared" si="65"/>
        <v>1</v>
      </c>
      <c r="S93" s="316">
        <f t="shared" si="65"/>
        <v>0</v>
      </c>
      <c r="T93" s="316">
        <f t="shared" si="65"/>
        <v>0</v>
      </c>
      <c r="U93" s="316">
        <f t="shared" si="65"/>
        <v>0</v>
      </c>
      <c r="V93" s="316">
        <f t="shared" si="65"/>
        <v>0</v>
      </c>
      <c r="W93" s="457">
        <f t="shared" ref="W93:AL93" si="83">SUMIF($E$68:$E$69,W$77,$T$68:$T$69)</f>
        <v>0</v>
      </c>
      <c r="X93" s="457">
        <f t="shared" si="83"/>
        <v>0</v>
      </c>
      <c r="Y93" s="457">
        <f t="shared" si="83"/>
        <v>0</v>
      </c>
      <c r="Z93" s="457">
        <f t="shared" si="83"/>
        <v>0</v>
      </c>
      <c r="AA93" s="457">
        <f t="shared" si="83"/>
        <v>0</v>
      </c>
      <c r="AB93" s="457">
        <f t="shared" si="83"/>
        <v>0</v>
      </c>
      <c r="AC93" s="457">
        <f t="shared" si="83"/>
        <v>0</v>
      </c>
      <c r="AD93" s="457">
        <f t="shared" si="83"/>
        <v>0</v>
      </c>
      <c r="AE93" s="457">
        <f t="shared" si="83"/>
        <v>0</v>
      </c>
      <c r="AF93" s="457">
        <f t="shared" si="83"/>
        <v>0</v>
      </c>
      <c r="AG93" s="457">
        <f t="shared" si="83"/>
        <v>0</v>
      </c>
      <c r="AH93" s="457">
        <f t="shared" si="83"/>
        <v>1</v>
      </c>
      <c r="AI93" s="457">
        <f t="shared" si="83"/>
        <v>1</v>
      </c>
      <c r="AJ93" s="457">
        <f t="shared" si="83"/>
        <v>0</v>
      </c>
      <c r="AK93" s="457">
        <f t="shared" si="83"/>
        <v>0</v>
      </c>
      <c r="AL93" s="457">
        <f t="shared" si="83"/>
        <v>0</v>
      </c>
      <c r="AM93" s="317"/>
      <c r="AN93" s="217"/>
      <c r="AO93" s="217"/>
      <c r="AP93" s="217"/>
      <c r="AQ93" s="217"/>
      <c r="AR93" s="217"/>
      <c r="AS93" s="217"/>
      <c r="AT93" s="217"/>
      <c r="AU93" s="217"/>
      <c r="AV93" s="217"/>
      <c r="AW93" s="217"/>
      <c r="AX93" s="217"/>
      <c r="AY93" s="217"/>
      <c r="AZ93" s="217"/>
      <c r="BA93" s="217"/>
      <c r="BB93" s="217"/>
      <c r="BC93" s="217"/>
      <c r="BD93" s="217"/>
      <c r="BE93" s="217"/>
      <c r="BF93" s="217"/>
      <c r="BG93" s="217"/>
      <c r="BH93" s="217"/>
      <c r="BI93" s="217"/>
      <c r="BJ93" s="217"/>
      <c r="BK93" s="217"/>
      <c r="BL93" s="217"/>
      <c r="BM93" s="217"/>
      <c r="BN93" s="217"/>
      <c r="BO93" s="217"/>
      <c r="BP93" s="217"/>
      <c r="BQ93" s="217"/>
      <c r="BR93" s="217"/>
      <c r="BS93" s="217"/>
      <c r="BT93" s="217"/>
      <c r="BU93" s="217"/>
      <c r="BV93" s="217"/>
      <c r="BW93" s="217"/>
      <c r="BX93" s="217"/>
      <c r="BY93" s="217"/>
      <c r="BZ93" s="217"/>
      <c r="CA93" s="217"/>
      <c r="CB93" s="217"/>
      <c r="CC93" s="217"/>
      <c r="CD93" s="217"/>
      <c r="CE93" s="217"/>
      <c r="CF93" s="217"/>
      <c r="CG93" s="217"/>
      <c r="CH93" s="217"/>
      <c r="CI93" s="217"/>
      <c r="CJ93" s="217"/>
      <c r="CK93" s="217"/>
    </row>
    <row r="94" spans="1:89" s="506" customFormat="1" x14ac:dyDescent="0.3">
      <c r="A94" s="217"/>
      <c r="B94" s="260" t="s">
        <v>618</v>
      </c>
      <c r="C94" s="374">
        <f t="shared" si="64"/>
        <v>1300.0000000000002</v>
      </c>
      <c r="D94" s="375">
        <f t="shared" ref="D94:F94" si="84">I69</f>
        <v>0</v>
      </c>
      <c r="E94" s="375">
        <f t="shared" si="84"/>
        <v>1200.0000000000002</v>
      </c>
      <c r="F94" s="375">
        <f t="shared" si="84"/>
        <v>100</v>
      </c>
      <c r="G94" s="316">
        <f t="shared" si="67"/>
        <v>0</v>
      </c>
      <c r="H94" s="316">
        <f t="shared" si="65"/>
        <v>0</v>
      </c>
      <c r="I94" s="316">
        <f t="shared" si="65"/>
        <v>0</v>
      </c>
      <c r="J94" s="316">
        <f t="shared" si="65"/>
        <v>0</v>
      </c>
      <c r="K94" s="316">
        <f t="shared" si="65"/>
        <v>0</v>
      </c>
      <c r="L94" s="316">
        <f t="shared" si="65"/>
        <v>0</v>
      </c>
      <c r="M94" s="316">
        <f t="shared" si="65"/>
        <v>0</v>
      </c>
      <c r="N94" s="316">
        <f t="shared" si="65"/>
        <v>0</v>
      </c>
      <c r="O94" s="316">
        <f t="shared" si="65"/>
        <v>0</v>
      </c>
      <c r="P94" s="316">
        <f t="shared" si="65"/>
        <v>0</v>
      </c>
      <c r="Q94" s="316">
        <f t="shared" si="65"/>
        <v>0</v>
      </c>
      <c r="R94" s="316">
        <f t="shared" si="65"/>
        <v>0</v>
      </c>
      <c r="S94" s="316">
        <f t="shared" si="65"/>
        <v>1</v>
      </c>
      <c r="T94" s="316">
        <f t="shared" si="65"/>
        <v>0</v>
      </c>
      <c r="U94" s="316">
        <f t="shared" si="65"/>
        <v>0</v>
      </c>
      <c r="V94" s="316">
        <f t="shared" si="65"/>
        <v>0</v>
      </c>
      <c r="W94" s="457"/>
      <c r="X94" s="457"/>
      <c r="Y94" s="457"/>
      <c r="Z94" s="457"/>
      <c r="AA94" s="457"/>
      <c r="AB94" s="457"/>
      <c r="AC94" s="457"/>
      <c r="AD94" s="457"/>
      <c r="AE94" s="457"/>
      <c r="AF94" s="457"/>
      <c r="AG94" s="457"/>
      <c r="AH94" s="457"/>
      <c r="AI94" s="457"/>
      <c r="AJ94" s="457"/>
      <c r="AK94" s="457"/>
      <c r="AL94" s="457"/>
      <c r="AM94" s="317"/>
      <c r="AN94" s="217"/>
      <c r="AO94" s="217"/>
      <c r="AP94" s="217"/>
      <c r="AQ94" s="217"/>
      <c r="AR94" s="217"/>
      <c r="AS94" s="217"/>
      <c r="AT94" s="217"/>
      <c r="AU94" s="217"/>
      <c r="AV94" s="217"/>
      <c r="AW94" s="217"/>
      <c r="AX94" s="217"/>
      <c r="AY94" s="217"/>
      <c r="AZ94" s="217"/>
      <c r="BA94" s="217"/>
      <c r="BB94" s="217"/>
      <c r="BC94" s="217"/>
      <c r="BD94" s="217"/>
      <c r="BE94" s="217"/>
      <c r="BF94" s="217"/>
      <c r="BG94" s="217"/>
      <c r="BH94" s="217"/>
      <c r="BI94" s="217"/>
      <c r="BJ94" s="217"/>
      <c r="BK94" s="217"/>
      <c r="BL94" s="217"/>
      <c r="BM94" s="217"/>
      <c r="BN94" s="217"/>
      <c r="BO94" s="217"/>
      <c r="BP94" s="217"/>
      <c r="BQ94" s="217"/>
      <c r="BR94" s="217"/>
      <c r="BS94" s="217"/>
      <c r="BT94" s="217"/>
      <c r="BU94" s="217"/>
      <c r="BV94" s="217"/>
      <c r="BW94" s="217"/>
      <c r="BX94" s="217"/>
      <c r="BY94" s="217"/>
      <c r="BZ94" s="217"/>
      <c r="CA94" s="217"/>
      <c r="CB94" s="217"/>
      <c r="CC94" s="217"/>
      <c r="CD94" s="217"/>
      <c r="CE94" s="217"/>
      <c r="CF94" s="217"/>
      <c r="CG94" s="217"/>
      <c r="CH94" s="217"/>
      <c r="CI94" s="217"/>
      <c r="CJ94" s="217"/>
      <c r="CK94" s="217"/>
    </row>
    <row r="95" spans="1:89" s="506" customFormat="1" x14ac:dyDescent="0.3">
      <c r="A95" s="217"/>
      <c r="B95" s="263" t="s">
        <v>528</v>
      </c>
      <c r="C95" s="374">
        <f t="shared" si="64"/>
        <v>73.400000000000006</v>
      </c>
      <c r="D95" s="375">
        <f t="shared" ref="D95:F95" si="85">I70</f>
        <v>0</v>
      </c>
      <c r="E95" s="375">
        <f t="shared" si="85"/>
        <v>53.4</v>
      </c>
      <c r="F95" s="375">
        <f t="shared" si="85"/>
        <v>20</v>
      </c>
      <c r="G95" s="316">
        <f t="shared" si="67"/>
        <v>0</v>
      </c>
      <c r="H95" s="316">
        <f t="shared" si="67"/>
        <v>0</v>
      </c>
      <c r="I95" s="316">
        <f t="shared" si="67"/>
        <v>0</v>
      </c>
      <c r="J95" s="316">
        <f t="shared" si="67"/>
        <v>0</v>
      </c>
      <c r="K95" s="316">
        <f t="shared" si="67"/>
        <v>0</v>
      </c>
      <c r="L95" s="316">
        <f t="shared" si="67"/>
        <v>0</v>
      </c>
      <c r="M95" s="316">
        <f t="shared" si="67"/>
        <v>0</v>
      </c>
      <c r="N95" s="316">
        <f t="shared" si="67"/>
        <v>0</v>
      </c>
      <c r="O95" s="316">
        <f t="shared" si="67"/>
        <v>0</v>
      </c>
      <c r="P95" s="316">
        <f t="shared" si="67"/>
        <v>0</v>
      </c>
      <c r="Q95" s="316">
        <f t="shared" si="67"/>
        <v>0</v>
      </c>
      <c r="R95" s="316">
        <f t="shared" si="67"/>
        <v>0</v>
      </c>
      <c r="S95" s="316">
        <f t="shared" si="67"/>
        <v>0</v>
      </c>
      <c r="T95" s="316">
        <f t="shared" si="67"/>
        <v>1</v>
      </c>
      <c r="U95" s="316">
        <f t="shared" si="67"/>
        <v>0</v>
      </c>
      <c r="V95" s="316">
        <f t="shared" si="67"/>
        <v>0</v>
      </c>
      <c r="W95" s="457"/>
      <c r="X95" s="457"/>
      <c r="Y95" s="457"/>
      <c r="Z95" s="457"/>
      <c r="AA95" s="457"/>
      <c r="AB95" s="457"/>
      <c r="AC95" s="457"/>
      <c r="AD95" s="457"/>
      <c r="AE95" s="457"/>
      <c r="AF95" s="457"/>
      <c r="AG95" s="457"/>
      <c r="AH95" s="457"/>
      <c r="AI95" s="457"/>
      <c r="AJ95" s="457"/>
      <c r="AK95" s="457"/>
      <c r="AL95" s="457"/>
      <c r="AM95" s="317"/>
      <c r="AN95" s="217"/>
      <c r="AO95" s="217"/>
      <c r="AP95" s="217"/>
      <c r="AQ95" s="217"/>
      <c r="AR95" s="217"/>
      <c r="AS95" s="217"/>
      <c r="AT95" s="217"/>
      <c r="AU95" s="217"/>
      <c r="AV95" s="217"/>
      <c r="AW95" s="217"/>
      <c r="AX95" s="217"/>
      <c r="AY95" s="217"/>
      <c r="AZ95" s="217"/>
      <c r="BA95" s="217"/>
      <c r="BB95" s="217"/>
      <c r="BC95" s="217"/>
      <c r="BD95" s="217"/>
      <c r="BE95" s="217"/>
      <c r="BF95" s="217"/>
      <c r="BG95" s="217"/>
      <c r="BH95" s="217"/>
      <c r="BI95" s="217"/>
      <c r="BJ95" s="217"/>
      <c r="BK95" s="217"/>
      <c r="BL95" s="217"/>
      <c r="BM95" s="217"/>
      <c r="BN95" s="217"/>
      <c r="BO95" s="217"/>
      <c r="BP95" s="217"/>
      <c r="BQ95" s="217"/>
      <c r="BR95" s="217"/>
      <c r="BS95" s="217"/>
      <c r="BT95" s="217"/>
      <c r="BU95" s="217"/>
      <c r="BV95" s="217"/>
      <c r="BW95" s="217"/>
      <c r="BX95" s="217"/>
      <c r="BY95" s="217"/>
      <c r="BZ95" s="217"/>
      <c r="CA95" s="217"/>
      <c r="CB95" s="217"/>
      <c r="CC95" s="217"/>
      <c r="CD95" s="217"/>
      <c r="CE95" s="217"/>
      <c r="CF95" s="217"/>
      <c r="CG95" s="217"/>
      <c r="CH95" s="217"/>
      <c r="CI95" s="217"/>
      <c r="CJ95" s="217"/>
      <c r="CK95" s="217"/>
    </row>
    <row r="96" spans="1:89" s="506" customFormat="1" x14ac:dyDescent="0.3">
      <c r="A96" s="217"/>
      <c r="B96" s="263" t="s">
        <v>786</v>
      </c>
      <c r="C96" s="374">
        <f t="shared" si="64"/>
        <v>97.866666666666674</v>
      </c>
      <c r="D96" s="375">
        <f t="shared" ref="D96:F96" si="86">I71</f>
        <v>0</v>
      </c>
      <c r="E96" s="375">
        <f t="shared" si="86"/>
        <v>71.2</v>
      </c>
      <c r="F96" s="375">
        <f t="shared" si="86"/>
        <v>26.666666666666668</v>
      </c>
      <c r="G96" s="316">
        <f t="shared" si="67"/>
        <v>0</v>
      </c>
      <c r="H96" s="316">
        <f t="shared" si="67"/>
        <v>0</v>
      </c>
      <c r="I96" s="316">
        <f t="shared" si="67"/>
        <v>0</v>
      </c>
      <c r="J96" s="316">
        <f t="shared" si="67"/>
        <v>0</v>
      </c>
      <c r="K96" s="316">
        <f t="shared" si="67"/>
        <v>0</v>
      </c>
      <c r="L96" s="316">
        <f t="shared" si="67"/>
        <v>0</v>
      </c>
      <c r="M96" s="316">
        <f t="shared" si="67"/>
        <v>0</v>
      </c>
      <c r="N96" s="316">
        <f t="shared" si="67"/>
        <v>0</v>
      </c>
      <c r="O96" s="316">
        <f t="shared" si="67"/>
        <v>0</v>
      </c>
      <c r="P96" s="316">
        <f t="shared" si="67"/>
        <v>0</v>
      </c>
      <c r="Q96" s="316">
        <f t="shared" si="67"/>
        <v>0</v>
      </c>
      <c r="R96" s="316">
        <f t="shared" si="67"/>
        <v>0</v>
      </c>
      <c r="S96" s="316">
        <f t="shared" si="67"/>
        <v>0</v>
      </c>
      <c r="T96" s="316">
        <f t="shared" si="67"/>
        <v>0</v>
      </c>
      <c r="U96" s="316">
        <f t="shared" si="67"/>
        <v>1</v>
      </c>
      <c r="V96" s="316">
        <f t="shared" si="67"/>
        <v>0</v>
      </c>
      <c r="W96" s="457"/>
      <c r="X96" s="457"/>
      <c r="Y96" s="457"/>
      <c r="Z96" s="457"/>
      <c r="AA96" s="457"/>
      <c r="AB96" s="457"/>
      <c r="AC96" s="457"/>
      <c r="AD96" s="457"/>
      <c r="AE96" s="457"/>
      <c r="AF96" s="457"/>
      <c r="AG96" s="457"/>
      <c r="AH96" s="457"/>
      <c r="AI96" s="457"/>
      <c r="AJ96" s="457"/>
      <c r="AK96" s="457"/>
      <c r="AL96" s="457"/>
      <c r="AM96" s="317"/>
      <c r="AN96" s="217"/>
      <c r="AO96" s="217"/>
      <c r="AP96" s="217"/>
      <c r="AQ96" s="217"/>
      <c r="AR96" s="217"/>
      <c r="AS96" s="217"/>
      <c r="AT96" s="217"/>
      <c r="AU96" s="217"/>
      <c r="AV96" s="217"/>
      <c r="AW96" s="217"/>
      <c r="AX96" s="217"/>
      <c r="AY96" s="217"/>
      <c r="AZ96" s="217"/>
      <c r="BA96" s="217"/>
      <c r="BB96" s="217"/>
      <c r="BC96" s="217"/>
      <c r="BD96" s="217"/>
      <c r="BE96" s="217"/>
      <c r="BF96" s="217"/>
      <c r="BG96" s="217"/>
      <c r="BH96" s="217"/>
      <c r="BI96" s="217"/>
      <c r="BJ96" s="217"/>
      <c r="BK96" s="217"/>
      <c r="BL96" s="217"/>
      <c r="BM96" s="217"/>
      <c r="BN96" s="217"/>
      <c r="BO96" s="217"/>
      <c r="BP96" s="217"/>
      <c r="BQ96" s="217"/>
      <c r="BR96" s="217"/>
      <c r="BS96" s="217"/>
      <c r="BT96" s="217"/>
      <c r="BU96" s="217"/>
      <c r="BV96" s="217"/>
      <c r="BW96" s="217"/>
      <c r="BX96" s="217"/>
      <c r="BY96" s="217"/>
      <c r="BZ96" s="217"/>
      <c r="CA96" s="217"/>
      <c r="CB96" s="217"/>
      <c r="CC96" s="217"/>
      <c r="CD96" s="217"/>
      <c r="CE96" s="217"/>
      <c r="CF96" s="217"/>
      <c r="CG96" s="217"/>
      <c r="CH96" s="217"/>
      <c r="CI96" s="217"/>
      <c r="CJ96" s="217"/>
      <c r="CK96" s="217"/>
    </row>
    <row r="97" spans="1:89" x14ac:dyDescent="0.3">
      <c r="A97" s="217"/>
      <c r="B97" s="263" t="s">
        <v>785</v>
      </c>
      <c r="C97" s="374">
        <f t="shared" si="64"/>
        <v>625</v>
      </c>
      <c r="D97" s="375">
        <f t="shared" ref="D97:F97" si="87">I72</f>
        <v>0</v>
      </c>
      <c r="E97" s="375">
        <f t="shared" si="87"/>
        <v>500</v>
      </c>
      <c r="F97" s="375">
        <f t="shared" si="87"/>
        <v>124.99999999999999</v>
      </c>
      <c r="G97" s="316">
        <f t="shared" si="67"/>
        <v>0</v>
      </c>
      <c r="H97" s="316">
        <f t="shared" si="67"/>
        <v>0</v>
      </c>
      <c r="I97" s="316">
        <f t="shared" si="67"/>
        <v>0</v>
      </c>
      <c r="J97" s="316">
        <f t="shared" si="67"/>
        <v>0</v>
      </c>
      <c r="K97" s="316">
        <f t="shared" si="67"/>
        <v>0</v>
      </c>
      <c r="L97" s="316">
        <f t="shared" si="67"/>
        <v>0</v>
      </c>
      <c r="M97" s="316">
        <f t="shared" si="67"/>
        <v>0</v>
      </c>
      <c r="N97" s="316">
        <f t="shared" si="67"/>
        <v>0</v>
      </c>
      <c r="O97" s="316">
        <f t="shared" si="67"/>
        <v>0</v>
      </c>
      <c r="P97" s="316">
        <f t="shared" si="67"/>
        <v>0</v>
      </c>
      <c r="Q97" s="316">
        <f t="shared" si="67"/>
        <v>0</v>
      </c>
      <c r="R97" s="316">
        <f t="shared" si="67"/>
        <v>0</v>
      </c>
      <c r="S97" s="316">
        <f t="shared" si="67"/>
        <v>0</v>
      </c>
      <c r="T97" s="316">
        <f t="shared" si="67"/>
        <v>0</v>
      </c>
      <c r="U97" s="316">
        <f t="shared" si="67"/>
        <v>0</v>
      </c>
      <c r="V97" s="316">
        <f t="shared" si="67"/>
        <v>1</v>
      </c>
      <c r="W97" s="457">
        <f t="shared" ref="W97:AL97" si="88">SUMIF($E$70:$E$72,W$77,$T$70:$T$72)</f>
        <v>0</v>
      </c>
      <c r="X97" s="457">
        <f t="shared" si="88"/>
        <v>0</v>
      </c>
      <c r="Y97" s="457">
        <f t="shared" si="88"/>
        <v>0</v>
      </c>
      <c r="Z97" s="457">
        <f t="shared" si="88"/>
        <v>0</v>
      </c>
      <c r="AA97" s="457">
        <f t="shared" si="88"/>
        <v>0</v>
      </c>
      <c r="AB97" s="457">
        <f t="shared" si="88"/>
        <v>0</v>
      </c>
      <c r="AC97" s="457">
        <f t="shared" si="88"/>
        <v>0</v>
      </c>
      <c r="AD97" s="457">
        <f t="shared" si="88"/>
        <v>0</v>
      </c>
      <c r="AE97" s="457">
        <f t="shared" si="88"/>
        <v>0</v>
      </c>
      <c r="AF97" s="457">
        <f t="shared" si="88"/>
        <v>0</v>
      </c>
      <c r="AG97" s="457">
        <f t="shared" si="88"/>
        <v>0</v>
      </c>
      <c r="AH97" s="457">
        <f t="shared" si="88"/>
        <v>0</v>
      </c>
      <c r="AI97" s="457">
        <f t="shared" si="88"/>
        <v>0</v>
      </c>
      <c r="AJ97" s="457">
        <f t="shared" si="88"/>
        <v>1</v>
      </c>
      <c r="AK97" s="457">
        <f t="shared" si="88"/>
        <v>1</v>
      </c>
      <c r="AL97" s="457">
        <f t="shared" si="88"/>
        <v>0.9</v>
      </c>
      <c r="AM97" s="317"/>
      <c r="AN97" s="217"/>
      <c r="AO97" s="217"/>
      <c r="AP97" s="217"/>
      <c r="AQ97" s="217"/>
      <c r="AR97" s="217"/>
      <c r="AS97" s="217"/>
      <c r="AT97" s="217"/>
      <c r="AU97" s="217"/>
      <c r="AV97" s="217"/>
      <c r="AW97" s="217"/>
      <c r="AX97" s="217"/>
      <c r="AY97" s="217"/>
      <c r="AZ97" s="217"/>
      <c r="BA97" s="217"/>
      <c r="BB97" s="217"/>
      <c r="BC97" s="217"/>
      <c r="BD97" s="217"/>
      <c r="BE97" s="217"/>
      <c r="BF97" s="217"/>
      <c r="BG97" s="217"/>
      <c r="BH97" s="217"/>
      <c r="BI97" s="217"/>
      <c r="BJ97" s="217"/>
      <c r="BK97" s="217"/>
      <c r="BL97" s="217"/>
      <c r="BM97" s="217"/>
      <c r="BN97" s="217"/>
      <c r="BO97" s="217"/>
      <c r="BP97" s="217"/>
      <c r="BQ97" s="217"/>
      <c r="BR97" s="217"/>
      <c r="BS97" s="217"/>
      <c r="BT97" s="217"/>
      <c r="BU97" s="217"/>
      <c r="BV97" s="217"/>
      <c r="BW97" s="217"/>
      <c r="BX97" s="217"/>
      <c r="BY97" s="217"/>
      <c r="BZ97" s="217"/>
      <c r="CA97" s="217"/>
      <c r="CB97" s="217"/>
      <c r="CC97" s="217"/>
      <c r="CD97" s="217"/>
      <c r="CE97" s="217"/>
      <c r="CF97" s="217"/>
      <c r="CG97" s="217"/>
      <c r="CH97" s="217"/>
      <c r="CI97" s="217"/>
      <c r="CJ97" s="217"/>
      <c r="CK97" s="217"/>
    </row>
    <row r="98" spans="1:89" x14ac:dyDescent="0.3">
      <c r="A98" s="217"/>
      <c r="B98" s="217"/>
      <c r="C98" s="217"/>
      <c r="D98" s="217"/>
      <c r="E98" s="217"/>
      <c r="F98" s="217"/>
      <c r="G98" s="217"/>
      <c r="H98" s="217"/>
      <c r="I98" s="217"/>
      <c r="J98" s="217"/>
      <c r="K98" s="217"/>
      <c r="L98" s="217"/>
      <c r="M98" s="217"/>
      <c r="N98" s="217"/>
      <c r="O98" s="217"/>
      <c r="P98" s="217"/>
      <c r="Q98" s="217"/>
      <c r="R98" s="217"/>
      <c r="S98" s="217"/>
      <c r="T98" s="217"/>
      <c r="U98" s="217"/>
      <c r="V98" s="217"/>
      <c r="W98" s="217" t="s">
        <v>737</v>
      </c>
      <c r="X98" s="217"/>
      <c r="Y98" s="217"/>
      <c r="Z98" s="217"/>
      <c r="AA98" s="217"/>
      <c r="AB98" s="217"/>
      <c r="AC98" s="217"/>
      <c r="AD98" s="217"/>
      <c r="AE98" s="217"/>
      <c r="AF98" s="217"/>
      <c r="AG98" s="217"/>
      <c r="AH98" s="217"/>
      <c r="AI98" s="217"/>
      <c r="AJ98" s="217"/>
      <c r="AK98" s="217"/>
      <c r="AL98" s="217"/>
      <c r="AM98" s="217"/>
      <c r="AN98" s="217"/>
      <c r="AO98" s="217"/>
      <c r="AP98" s="217"/>
      <c r="AQ98" s="217"/>
      <c r="AR98" s="217"/>
      <c r="AS98" s="217"/>
      <c r="AT98" s="217"/>
      <c r="AU98" s="217"/>
      <c r="AV98" s="217"/>
      <c r="AW98" s="217"/>
      <c r="AX98" s="217"/>
      <c r="AY98" s="217"/>
      <c r="AZ98" s="217"/>
      <c r="BA98" s="217"/>
      <c r="BB98" s="217"/>
      <c r="BC98" s="217"/>
      <c r="BD98" s="217"/>
      <c r="BE98" s="217"/>
      <c r="BF98" s="217"/>
      <c r="BG98" s="217"/>
      <c r="BH98" s="217"/>
      <c r="BI98" s="217"/>
      <c r="BJ98" s="217"/>
      <c r="BK98" s="217"/>
      <c r="BL98" s="217"/>
      <c r="BM98" s="217"/>
      <c r="BN98" s="217"/>
      <c r="BO98" s="217"/>
      <c r="BP98" s="217"/>
      <c r="BQ98" s="217"/>
      <c r="BR98" s="217"/>
      <c r="BS98" s="217"/>
      <c r="BT98" s="217"/>
      <c r="BU98" s="217"/>
      <c r="BV98" s="217"/>
      <c r="BW98" s="217"/>
      <c r="BX98" s="217"/>
      <c r="BY98" s="217"/>
      <c r="BZ98" s="217"/>
      <c r="CA98" s="217"/>
      <c r="CB98" s="217"/>
      <c r="CC98" s="217"/>
      <c r="CD98" s="217"/>
      <c r="CE98" s="217"/>
      <c r="CF98" s="217"/>
      <c r="CG98" s="217"/>
      <c r="CH98" s="217"/>
      <c r="CI98" s="217"/>
      <c r="CJ98" s="217"/>
      <c r="CK98" s="217"/>
    </row>
    <row r="99" spans="1:89" x14ac:dyDescent="0.3">
      <c r="A99" s="217"/>
      <c r="B99" s="217"/>
      <c r="C99" s="217"/>
      <c r="D99" s="217"/>
      <c r="E99" s="217"/>
      <c r="F99" s="217"/>
      <c r="G99" s="217"/>
      <c r="H99" s="217"/>
      <c r="I99" s="217"/>
      <c r="J99" s="217"/>
      <c r="K99" s="217"/>
      <c r="L99" s="217"/>
      <c r="M99" s="217"/>
      <c r="N99" s="217"/>
      <c r="O99" s="217"/>
      <c r="P99" s="217"/>
      <c r="Q99" s="217"/>
      <c r="R99" s="217"/>
      <c r="S99" s="217"/>
      <c r="T99" s="217"/>
      <c r="U99" s="217"/>
      <c r="V99" s="217"/>
      <c r="W99" s="217"/>
      <c r="X99" s="217"/>
      <c r="Y99" s="217"/>
      <c r="Z99" s="217"/>
      <c r="AA99" s="217"/>
      <c r="AB99" s="217"/>
      <c r="AC99" s="217"/>
      <c r="AD99" s="217"/>
      <c r="AE99" s="217"/>
      <c r="AF99" s="217"/>
      <c r="AG99" s="217"/>
      <c r="AH99" s="217"/>
      <c r="AI99" s="217"/>
      <c r="AJ99" s="217"/>
      <c r="AK99" s="217"/>
      <c r="AL99" s="217"/>
      <c r="AM99" s="217"/>
      <c r="AN99" s="217"/>
      <c r="AO99" s="217"/>
      <c r="AP99" s="217"/>
      <c r="AQ99" s="217"/>
      <c r="AR99" s="217"/>
      <c r="AS99" s="217"/>
      <c r="AT99" s="217"/>
      <c r="AU99" s="217"/>
      <c r="AV99" s="217"/>
      <c r="AW99" s="217"/>
      <c r="AX99" s="217"/>
      <c r="AY99" s="217"/>
      <c r="AZ99" s="217"/>
      <c r="BA99" s="217"/>
      <c r="BB99" s="217"/>
      <c r="BC99" s="217"/>
      <c r="BD99" s="217"/>
      <c r="BE99" s="217"/>
      <c r="BF99" s="217"/>
      <c r="BG99" s="217"/>
      <c r="BH99" s="217"/>
      <c r="BI99" s="217"/>
      <c r="BJ99" s="217"/>
      <c r="BK99" s="217"/>
      <c r="BL99" s="217"/>
      <c r="BM99" s="217"/>
      <c r="BN99" s="217"/>
      <c r="BO99" s="217"/>
      <c r="BP99" s="217"/>
      <c r="BQ99" s="217"/>
      <c r="BR99" s="217"/>
      <c r="BS99" s="217"/>
      <c r="BT99" s="217"/>
      <c r="BU99" s="217"/>
      <c r="BV99" s="217"/>
      <c r="BW99" s="217"/>
      <c r="BX99" s="217"/>
      <c r="BY99" s="217"/>
      <c r="BZ99" s="217"/>
      <c r="CA99" s="217"/>
      <c r="CB99" s="217"/>
      <c r="CC99" s="217"/>
      <c r="CD99" s="217"/>
      <c r="CE99" s="217"/>
      <c r="CF99" s="217"/>
      <c r="CG99" s="217"/>
      <c r="CH99" s="217"/>
      <c r="CI99" s="217"/>
      <c r="CJ99" s="217"/>
      <c r="CK99" s="217"/>
    </row>
    <row r="100" spans="1:89" x14ac:dyDescent="0.3">
      <c r="A100" s="217"/>
      <c r="B100" s="217" t="s">
        <v>352</v>
      </c>
      <c r="C100" s="217"/>
      <c r="D100" s="217"/>
      <c r="E100" s="223" t="s">
        <v>751</v>
      </c>
      <c r="F100" s="217"/>
      <c r="G100" s="217"/>
      <c r="H100" s="217"/>
      <c r="I100" s="217"/>
      <c r="J100" s="217"/>
      <c r="K100" s="217"/>
      <c r="L100" s="217"/>
      <c r="M100" s="217"/>
      <c r="N100" s="217"/>
      <c r="O100" s="217"/>
      <c r="P100" s="217"/>
      <c r="Q100" s="217"/>
      <c r="R100" s="217"/>
      <c r="S100" s="217"/>
      <c r="T100" s="217"/>
      <c r="U100" s="217"/>
      <c r="V100" s="217"/>
      <c r="W100" s="217"/>
      <c r="X100" s="217"/>
      <c r="Y100" s="217"/>
      <c r="Z100" s="217"/>
      <c r="AA100" s="217"/>
      <c r="AB100" s="217"/>
      <c r="AC100" s="217"/>
      <c r="AD100" s="217"/>
      <c r="AE100" s="217"/>
      <c r="AF100" s="217"/>
      <c r="AG100" s="217"/>
      <c r="AH100" s="217"/>
      <c r="AI100" s="217"/>
      <c r="AJ100" s="217"/>
      <c r="AK100" s="217"/>
      <c r="AL100" s="217"/>
      <c r="AM100" s="217"/>
      <c r="AN100" s="217"/>
      <c r="AO100" s="217"/>
      <c r="AP100" s="217"/>
      <c r="AQ100" s="217"/>
      <c r="AR100" s="217"/>
      <c r="AS100" s="217"/>
      <c r="AT100" s="217"/>
      <c r="AU100" s="217"/>
      <c r="AV100" s="217"/>
      <c r="AW100" s="217"/>
      <c r="AX100" s="217"/>
      <c r="AY100" s="217"/>
      <c r="AZ100" s="217"/>
      <c r="BA100" s="217"/>
      <c r="BB100" s="217"/>
      <c r="BC100" s="217"/>
      <c r="BD100" s="217"/>
      <c r="BE100" s="217"/>
      <c r="BF100" s="217"/>
      <c r="BG100" s="217"/>
      <c r="BH100" s="217"/>
      <c r="BI100" s="217"/>
      <c r="BJ100" s="217"/>
      <c r="BK100" s="217"/>
      <c r="BL100" s="217"/>
      <c r="BM100" s="217"/>
      <c r="BN100" s="217"/>
      <c r="BO100" s="217"/>
      <c r="BP100" s="217"/>
      <c r="BQ100" s="217"/>
      <c r="BR100" s="217"/>
      <c r="BS100" s="217"/>
      <c r="BT100" s="217"/>
      <c r="BU100" s="217"/>
      <c r="BV100" s="217"/>
      <c r="BW100" s="217"/>
      <c r="BX100" s="217"/>
      <c r="BY100" s="217"/>
      <c r="BZ100" s="217"/>
      <c r="CA100" s="217"/>
      <c r="CB100" s="217"/>
      <c r="CC100" s="217"/>
      <c r="CD100" s="217"/>
      <c r="CE100" s="217" t="s">
        <v>741</v>
      </c>
      <c r="CF100" s="217"/>
      <c r="CG100" s="217"/>
      <c r="CH100" s="217"/>
      <c r="CI100" s="217"/>
      <c r="CJ100" s="217"/>
      <c r="CK100" s="217"/>
    </row>
    <row r="101" spans="1:89" x14ac:dyDescent="0.3">
      <c r="A101" s="217"/>
      <c r="B101" s="318" t="s">
        <v>314</v>
      </c>
      <c r="C101" s="319" t="s">
        <v>177</v>
      </c>
      <c r="D101" s="319" t="s">
        <v>167</v>
      </c>
      <c r="E101" s="319" t="s">
        <v>168</v>
      </c>
      <c r="F101" s="319" t="s">
        <v>169</v>
      </c>
      <c r="G101" s="319" t="s">
        <v>178</v>
      </c>
      <c r="H101" s="319" t="s">
        <v>170</v>
      </c>
      <c r="I101" s="319" t="s">
        <v>171</v>
      </c>
      <c r="J101" s="319" t="s">
        <v>172</v>
      </c>
      <c r="K101" s="319" t="s">
        <v>173</v>
      </c>
      <c r="L101" s="319" t="s">
        <v>179</v>
      </c>
      <c r="M101" s="319" t="s">
        <v>174</v>
      </c>
      <c r="N101" s="319" t="s">
        <v>175</v>
      </c>
      <c r="O101" s="319" t="s">
        <v>176</v>
      </c>
      <c r="P101" s="319" t="s">
        <v>180</v>
      </c>
      <c r="Q101" s="319" t="s">
        <v>181</v>
      </c>
      <c r="R101" s="319" t="s">
        <v>183</v>
      </c>
      <c r="S101" s="319" t="s">
        <v>184</v>
      </c>
      <c r="T101" s="319" t="s">
        <v>185</v>
      </c>
      <c r="U101" s="319" t="s">
        <v>187</v>
      </c>
      <c r="V101" s="319" t="s">
        <v>188</v>
      </c>
      <c r="W101" s="319" t="s">
        <v>190</v>
      </c>
      <c r="X101" s="319" t="s">
        <v>191</v>
      </c>
      <c r="Y101" s="319" t="s">
        <v>193</v>
      </c>
      <c r="Z101" s="319" t="s">
        <v>195</v>
      </c>
      <c r="AA101" s="319" t="s">
        <v>197</v>
      </c>
      <c r="AB101" s="319" t="s">
        <v>199</v>
      </c>
      <c r="AC101" s="319" t="s">
        <v>200</v>
      </c>
      <c r="AD101" s="319" t="s">
        <v>201</v>
      </c>
      <c r="AE101" s="319" t="s">
        <v>202</v>
      </c>
      <c r="AF101" s="319" t="s">
        <v>465</v>
      </c>
      <c r="AG101" s="319" t="s">
        <v>203</v>
      </c>
      <c r="AH101" s="319" t="s">
        <v>205</v>
      </c>
      <c r="AI101" s="319" t="s">
        <v>207</v>
      </c>
      <c r="AJ101" s="319" t="s">
        <v>208</v>
      </c>
      <c r="AK101" s="319" t="s">
        <v>210</v>
      </c>
      <c r="AL101" s="319" t="s">
        <v>211</v>
      </c>
      <c r="AM101" s="319" t="s">
        <v>213</v>
      </c>
      <c r="AN101" s="319" t="s">
        <v>214</v>
      </c>
      <c r="AO101" s="319" t="s">
        <v>216</v>
      </c>
      <c r="AP101" s="319" t="s">
        <v>218</v>
      </c>
      <c r="AQ101" s="319" t="s">
        <v>220</v>
      </c>
      <c r="AR101" s="319" t="s">
        <v>221</v>
      </c>
      <c r="AS101" s="319" t="s">
        <v>223</v>
      </c>
      <c r="AT101" s="319" t="s">
        <v>224</v>
      </c>
      <c r="AU101" s="319" t="s">
        <v>226</v>
      </c>
      <c r="AV101" s="319" t="s">
        <v>228</v>
      </c>
      <c r="AW101" s="319" t="s">
        <v>230</v>
      </c>
      <c r="AX101" s="319" t="s">
        <v>232</v>
      </c>
      <c r="AY101" s="319" t="s">
        <v>234</v>
      </c>
      <c r="AZ101" s="319" t="s">
        <v>236</v>
      </c>
      <c r="BA101" s="319" t="s">
        <v>237</v>
      </c>
      <c r="BB101" s="319" t="s">
        <v>239</v>
      </c>
      <c r="BC101" s="319" t="s">
        <v>240</v>
      </c>
      <c r="BD101" s="319" t="s">
        <v>241</v>
      </c>
      <c r="BE101" s="319" t="s">
        <v>242</v>
      </c>
      <c r="BF101" s="319" t="s">
        <v>244</v>
      </c>
      <c r="BG101" s="319" t="s">
        <v>246</v>
      </c>
      <c r="BH101" s="319" t="s">
        <v>248</v>
      </c>
      <c r="BI101" s="319" t="s">
        <v>250</v>
      </c>
      <c r="BJ101" s="319" t="s">
        <v>252</v>
      </c>
      <c r="BK101" s="319" t="s">
        <v>254</v>
      </c>
      <c r="BL101" s="319" t="s">
        <v>256</v>
      </c>
      <c r="BM101" s="319" t="s">
        <v>258</v>
      </c>
      <c r="BN101" s="319" t="s">
        <v>260</v>
      </c>
      <c r="BO101" s="319" t="s">
        <v>262</v>
      </c>
      <c r="BP101" s="319" t="s">
        <v>264</v>
      </c>
      <c r="BQ101" s="319" t="s">
        <v>266</v>
      </c>
      <c r="BR101" s="319" t="s">
        <v>127</v>
      </c>
      <c r="BS101" s="319" t="s">
        <v>269</v>
      </c>
      <c r="BT101" s="319" t="s">
        <v>126</v>
      </c>
      <c r="BU101" s="319" t="s">
        <v>272</v>
      </c>
      <c r="BV101" s="319" t="s">
        <v>274</v>
      </c>
      <c r="BW101" s="319" t="s">
        <v>276</v>
      </c>
      <c r="BX101" s="319" t="s">
        <v>278</v>
      </c>
      <c r="BY101" s="319" t="s">
        <v>280</v>
      </c>
      <c r="BZ101" s="319" t="s">
        <v>282</v>
      </c>
      <c r="CA101" s="319" t="s">
        <v>283</v>
      </c>
      <c r="CB101" s="319" t="s">
        <v>285</v>
      </c>
      <c r="CC101" s="319" t="s">
        <v>286</v>
      </c>
      <c r="CD101" s="319" t="s">
        <v>288</v>
      </c>
      <c r="CE101" s="319" t="s">
        <v>725</v>
      </c>
      <c r="CF101" s="320" t="s">
        <v>362</v>
      </c>
      <c r="CG101" s="217"/>
      <c r="CH101" s="217"/>
      <c r="CI101" s="217"/>
      <c r="CJ101" s="217"/>
      <c r="CK101" s="217"/>
    </row>
    <row r="102" spans="1:89" x14ac:dyDescent="0.3">
      <c r="A102" s="217"/>
      <c r="B102" s="260" t="s">
        <v>336</v>
      </c>
      <c r="C102" s="321">
        <f t="shared" ref="C102:AH102" si="89">SUMIF($F$25:$F$27,C$101,$Q$25:$Q$27)</f>
        <v>0</v>
      </c>
      <c r="D102" s="321">
        <f t="shared" si="89"/>
        <v>0</v>
      </c>
      <c r="E102" s="321">
        <f t="shared" si="89"/>
        <v>0</v>
      </c>
      <c r="F102" s="321">
        <f t="shared" si="89"/>
        <v>0</v>
      </c>
      <c r="G102" s="321">
        <f t="shared" si="89"/>
        <v>0</v>
      </c>
      <c r="H102" s="321">
        <f t="shared" si="89"/>
        <v>0</v>
      </c>
      <c r="I102" s="321">
        <f t="shared" si="89"/>
        <v>0</v>
      </c>
      <c r="J102" s="321">
        <f t="shared" si="89"/>
        <v>0</v>
      </c>
      <c r="K102" s="321">
        <f t="shared" si="89"/>
        <v>0</v>
      </c>
      <c r="L102" s="321">
        <f t="shared" si="89"/>
        <v>0</v>
      </c>
      <c r="M102" s="321">
        <f t="shared" si="89"/>
        <v>0</v>
      </c>
      <c r="N102" s="321">
        <f t="shared" si="89"/>
        <v>0</v>
      </c>
      <c r="O102" s="321">
        <f t="shared" si="89"/>
        <v>0</v>
      </c>
      <c r="P102" s="321">
        <f t="shared" si="89"/>
        <v>0</v>
      </c>
      <c r="Q102" s="321">
        <f t="shared" si="89"/>
        <v>0</v>
      </c>
      <c r="R102" s="321">
        <f t="shared" si="89"/>
        <v>0</v>
      </c>
      <c r="S102" s="321">
        <f t="shared" si="89"/>
        <v>0</v>
      </c>
      <c r="T102" s="321">
        <f t="shared" si="89"/>
        <v>0</v>
      </c>
      <c r="U102" s="321">
        <f t="shared" si="89"/>
        <v>0</v>
      </c>
      <c r="V102" s="321">
        <f t="shared" si="89"/>
        <v>0</v>
      </c>
      <c r="W102" s="321">
        <f t="shared" si="89"/>
        <v>0</v>
      </c>
      <c r="X102" s="321">
        <f t="shared" si="89"/>
        <v>0</v>
      </c>
      <c r="Y102" s="321">
        <f t="shared" si="89"/>
        <v>0</v>
      </c>
      <c r="Z102" s="321">
        <f t="shared" si="89"/>
        <v>0</v>
      </c>
      <c r="AA102" s="321">
        <f t="shared" si="89"/>
        <v>0</v>
      </c>
      <c r="AB102" s="321">
        <f t="shared" si="89"/>
        <v>0</v>
      </c>
      <c r="AC102" s="321">
        <f t="shared" si="89"/>
        <v>0</v>
      </c>
      <c r="AD102" s="321">
        <f t="shared" si="89"/>
        <v>0</v>
      </c>
      <c r="AE102" s="321">
        <f t="shared" si="89"/>
        <v>0</v>
      </c>
      <c r="AF102" s="321">
        <f t="shared" si="89"/>
        <v>0</v>
      </c>
      <c r="AG102" s="321">
        <f t="shared" si="89"/>
        <v>0</v>
      </c>
      <c r="AH102" s="321">
        <f t="shared" si="89"/>
        <v>0</v>
      </c>
      <c r="AI102" s="321">
        <f t="shared" ref="AI102:BN102" si="90">SUMIF($F$25:$F$27,AI$101,$Q$25:$Q$27)</f>
        <v>0</v>
      </c>
      <c r="AJ102" s="321">
        <f t="shared" si="90"/>
        <v>0</v>
      </c>
      <c r="AK102" s="321">
        <f t="shared" si="90"/>
        <v>0</v>
      </c>
      <c r="AL102" s="321">
        <f t="shared" si="90"/>
        <v>0</v>
      </c>
      <c r="AM102" s="321">
        <f t="shared" si="90"/>
        <v>0</v>
      </c>
      <c r="AN102" s="321">
        <f t="shared" si="90"/>
        <v>0</v>
      </c>
      <c r="AO102" s="321">
        <f t="shared" si="90"/>
        <v>0</v>
      </c>
      <c r="AP102" s="321">
        <f t="shared" si="90"/>
        <v>0</v>
      </c>
      <c r="AQ102" s="321">
        <f t="shared" si="90"/>
        <v>0</v>
      </c>
      <c r="AR102" s="321">
        <f t="shared" si="90"/>
        <v>0</v>
      </c>
      <c r="AS102" s="321">
        <f t="shared" si="90"/>
        <v>0</v>
      </c>
      <c r="AT102" s="321">
        <f t="shared" si="90"/>
        <v>0</v>
      </c>
      <c r="AU102" s="321">
        <f t="shared" si="90"/>
        <v>0</v>
      </c>
      <c r="AV102" s="321">
        <f t="shared" si="90"/>
        <v>0</v>
      </c>
      <c r="AW102" s="321">
        <f t="shared" si="90"/>
        <v>0</v>
      </c>
      <c r="AX102" s="321">
        <f t="shared" si="90"/>
        <v>0</v>
      </c>
      <c r="AY102" s="321">
        <f t="shared" si="90"/>
        <v>0</v>
      </c>
      <c r="AZ102" s="321">
        <f t="shared" si="90"/>
        <v>0</v>
      </c>
      <c r="BA102" s="321">
        <f t="shared" si="90"/>
        <v>0</v>
      </c>
      <c r="BB102" s="321">
        <f t="shared" si="90"/>
        <v>0</v>
      </c>
      <c r="BC102" s="321">
        <f t="shared" si="90"/>
        <v>0</v>
      </c>
      <c r="BD102" s="321">
        <f t="shared" si="90"/>
        <v>0</v>
      </c>
      <c r="BE102" s="321">
        <f t="shared" si="90"/>
        <v>0</v>
      </c>
      <c r="BF102" s="321">
        <f t="shared" si="90"/>
        <v>0</v>
      </c>
      <c r="BG102" s="321">
        <f t="shared" si="90"/>
        <v>0</v>
      </c>
      <c r="BH102" s="321">
        <f t="shared" si="90"/>
        <v>0</v>
      </c>
      <c r="BI102" s="321">
        <f t="shared" si="90"/>
        <v>0</v>
      </c>
      <c r="BJ102" s="321">
        <f t="shared" si="90"/>
        <v>0</v>
      </c>
      <c r="BK102" s="321">
        <f t="shared" si="90"/>
        <v>0</v>
      </c>
      <c r="BL102" s="321">
        <f t="shared" si="90"/>
        <v>0</v>
      </c>
      <c r="BM102" s="321">
        <f t="shared" si="90"/>
        <v>0</v>
      </c>
      <c r="BN102" s="321">
        <f t="shared" si="90"/>
        <v>0</v>
      </c>
      <c r="BO102" s="321">
        <f t="shared" ref="BO102:CE102" si="91">SUMIF($F$25:$F$27,BO$101,$Q$25:$Q$27)</f>
        <v>0</v>
      </c>
      <c r="BP102" s="321">
        <f t="shared" si="91"/>
        <v>0</v>
      </c>
      <c r="BQ102" s="321">
        <f t="shared" si="91"/>
        <v>0</v>
      </c>
      <c r="BR102" s="321">
        <f t="shared" si="91"/>
        <v>0</v>
      </c>
      <c r="BS102" s="321">
        <f t="shared" si="91"/>
        <v>0</v>
      </c>
      <c r="BT102" s="321">
        <f t="shared" si="91"/>
        <v>0</v>
      </c>
      <c r="BU102" s="321">
        <f t="shared" si="91"/>
        <v>0</v>
      </c>
      <c r="BV102" s="321">
        <f t="shared" si="91"/>
        <v>0</v>
      </c>
      <c r="BW102" s="321">
        <f t="shared" si="91"/>
        <v>0</v>
      </c>
      <c r="BX102" s="321">
        <f t="shared" si="91"/>
        <v>0</v>
      </c>
      <c r="BY102" s="321">
        <f t="shared" si="91"/>
        <v>0</v>
      </c>
      <c r="BZ102" s="321">
        <f t="shared" si="91"/>
        <v>0</v>
      </c>
      <c r="CA102" s="321">
        <f t="shared" si="91"/>
        <v>0</v>
      </c>
      <c r="CB102" s="321">
        <f t="shared" si="91"/>
        <v>0</v>
      </c>
      <c r="CC102" s="321">
        <f t="shared" si="91"/>
        <v>0</v>
      </c>
      <c r="CD102" s="321">
        <f t="shared" si="91"/>
        <v>0</v>
      </c>
      <c r="CE102" s="321">
        <f t="shared" si="91"/>
        <v>0</v>
      </c>
      <c r="CF102" s="322">
        <f t="shared" ref="CF102:CF136" si="92">SUM(C102:CD102)</f>
        <v>0</v>
      </c>
      <c r="CG102" s="323" t="s">
        <v>464</v>
      </c>
      <c r="CH102" s="217"/>
      <c r="CI102" s="217"/>
      <c r="CJ102" s="217"/>
      <c r="CK102" s="217"/>
    </row>
    <row r="103" spans="1:89" x14ac:dyDescent="0.3">
      <c r="A103" s="217"/>
      <c r="B103" s="260" t="s">
        <v>337</v>
      </c>
      <c r="C103" s="321">
        <f t="shared" ref="C103:AH103" si="93">SUMIF($F$28:$F$32,C$101,$Q$28:$Q$32)</f>
        <v>0</v>
      </c>
      <c r="D103" s="321">
        <f t="shared" si="93"/>
        <v>0</v>
      </c>
      <c r="E103" s="321">
        <f t="shared" si="93"/>
        <v>0</v>
      </c>
      <c r="F103" s="321">
        <f t="shared" si="93"/>
        <v>0</v>
      </c>
      <c r="G103" s="321">
        <f t="shared" si="93"/>
        <v>0</v>
      </c>
      <c r="H103" s="321">
        <f t="shared" si="93"/>
        <v>0</v>
      </c>
      <c r="I103" s="321">
        <f t="shared" si="93"/>
        <v>0</v>
      </c>
      <c r="J103" s="321">
        <f t="shared" si="93"/>
        <v>0</v>
      </c>
      <c r="K103" s="321">
        <f t="shared" si="93"/>
        <v>0</v>
      </c>
      <c r="L103" s="321">
        <f t="shared" si="93"/>
        <v>0</v>
      </c>
      <c r="M103" s="321">
        <f t="shared" si="93"/>
        <v>0</v>
      </c>
      <c r="N103" s="321">
        <f t="shared" si="93"/>
        <v>0</v>
      </c>
      <c r="O103" s="321">
        <f t="shared" si="93"/>
        <v>0</v>
      </c>
      <c r="P103" s="321">
        <f t="shared" si="93"/>
        <v>0</v>
      </c>
      <c r="Q103" s="321">
        <f t="shared" si="93"/>
        <v>0</v>
      </c>
      <c r="R103" s="321">
        <f t="shared" si="93"/>
        <v>0</v>
      </c>
      <c r="S103" s="321">
        <f t="shared" si="93"/>
        <v>0</v>
      </c>
      <c r="T103" s="321">
        <f t="shared" si="93"/>
        <v>0</v>
      </c>
      <c r="U103" s="321">
        <f t="shared" si="93"/>
        <v>0</v>
      </c>
      <c r="V103" s="321">
        <f t="shared" si="93"/>
        <v>0</v>
      </c>
      <c r="W103" s="321">
        <f t="shared" si="93"/>
        <v>0</v>
      </c>
      <c r="X103" s="321">
        <f t="shared" si="93"/>
        <v>0.6</v>
      </c>
      <c r="Y103" s="321">
        <f t="shared" si="93"/>
        <v>0</v>
      </c>
      <c r="Z103" s="321">
        <f t="shared" si="93"/>
        <v>0</v>
      </c>
      <c r="AA103" s="321">
        <f t="shared" si="93"/>
        <v>0</v>
      </c>
      <c r="AB103" s="321">
        <f t="shared" si="93"/>
        <v>0</v>
      </c>
      <c r="AC103" s="321">
        <f t="shared" si="93"/>
        <v>0</v>
      </c>
      <c r="AD103" s="321">
        <f t="shared" si="93"/>
        <v>0</v>
      </c>
      <c r="AE103" s="321">
        <f t="shared" si="93"/>
        <v>0</v>
      </c>
      <c r="AF103" s="321">
        <f t="shared" si="93"/>
        <v>0</v>
      </c>
      <c r="AG103" s="321">
        <f t="shared" si="93"/>
        <v>0</v>
      </c>
      <c r="AH103" s="321">
        <f t="shared" si="93"/>
        <v>0</v>
      </c>
      <c r="AI103" s="321">
        <f t="shared" ref="AI103:BN103" si="94">SUMIF($F$28:$F$32,AI$101,$Q$28:$Q$32)</f>
        <v>0</v>
      </c>
      <c r="AJ103" s="321">
        <f t="shared" si="94"/>
        <v>0</v>
      </c>
      <c r="AK103" s="321">
        <f t="shared" si="94"/>
        <v>0</v>
      </c>
      <c r="AL103" s="321">
        <f t="shared" si="94"/>
        <v>0</v>
      </c>
      <c r="AM103" s="321">
        <f t="shared" si="94"/>
        <v>0</v>
      </c>
      <c r="AN103" s="321">
        <f t="shared" si="94"/>
        <v>0</v>
      </c>
      <c r="AO103" s="321">
        <f t="shared" si="94"/>
        <v>0</v>
      </c>
      <c r="AP103" s="321">
        <f t="shared" si="94"/>
        <v>0</v>
      </c>
      <c r="AQ103" s="321">
        <f t="shared" si="94"/>
        <v>0</v>
      </c>
      <c r="AR103" s="321">
        <f t="shared" si="94"/>
        <v>0</v>
      </c>
      <c r="AS103" s="321">
        <f t="shared" si="94"/>
        <v>0</v>
      </c>
      <c r="AT103" s="321">
        <f t="shared" si="94"/>
        <v>0</v>
      </c>
      <c r="AU103" s="321">
        <f t="shared" si="94"/>
        <v>0</v>
      </c>
      <c r="AV103" s="321">
        <f t="shared" si="94"/>
        <v>0</v>
      </c>
      <c r="AW103" s="321">
        <f t="shared" si="94"/>
        <v>0</v>
      </c>
      <c r="AX103" s="321">
        <f t="shared" si="94"/>
        <v>0</v>
      </c>
      <c r="AY103" s="321">
        <f t="shared" si="94"/>
        <v>0</v>
      </c>
      <c r="AZ103" s="321">
        <f t="shared" si="94"/>
        <v>0</v>
      </c>
      <c r="BA103" s="321">
        <f t="shared" si="94"/>
        <v>0</v>
      </c>
      <c r="BB103" s="321">
        <f t="shared" si="94"/>
        <v>0</v>
      </c>
      <c r="BC103" s="321">
        <f t="shared" si="94"/>
        <v>0</v>
      </c>
      <c r="BD103" s="321">
        <f t="shared" si="94"/>
        <v>0</v>
      </c>
      <c r="BE103" s="321">
        <f t="shared" si="94"/>
        <v>0</v>
      </c>
      <c r="BF103" s="321">
        <f t="shared" si="94"/>
        <v>0</v>
      </c>
      <c r="BG103" s="321">
        <f t="shared" si="94"/>
        <v>0</v>
      </c>
      <c r="BH103" s="321">
        <f t="shared" si="94"/>
        <v>0</v>
      </c>
      <c r="BI103" s="321">
        <f t="shared" si="94"/>
        <v>0</v>
      </c>
      <c r="BJ103" s="321">
        <f t="shared" si="94"/>
        <v>0</v>
      </c>
      <c r="BK103" s="321">
        <f t="shared" si="94"/>
        <v>0</v>
      </c>
      <c r="BL103" s="321">
        <f t="shared" si="94"/>
        <v>0</v>
      </c>
      <c r="BM103" s="321">
        <f t="shared" si="94"/>
        <v>0</v>
      </c>
      <c r="BN103" s="321">
        <f t="shared" si="94"/>
        <v>0</v>
      </c>
      <c r="BO103" s="321">
        <f t="shared" ref="BO103:CE103" si="95">SUMIF($F$28:$F$32,BO$101,$Q$28:$Q$32)</f>
        <v>0</v>
      </c>
      <c r="BP103" s="321">
        <f t="shared" si="95"/>
        <v>0</v>
      </c>
      <c r="BQ103" s="321">
        <f t="shared" si="95"/>
        <v>0</v>
      </c>
      <c r="BR103" s="321">
        <f t="shared" si="95"/>
        <v>0</v>
      </c>
      <c r="BS103" s="321">
        <f t="shared" si="95"/>
        <v>0</v>
      </c>
      <c r="BT103" s="321">
        <f t="shared" si="95"/>
        <v>0</v>
      </c>
      <c r="BU103" s="321">
        <f t="shared" si="95"/>
        <v>0</v>
      </c>
      <c r="BV103" s="321">
        <f t="shared" si="95"/>
        <v>0</v>
      </c>
      <c r="BW103" s="321">
        <f t="shared" si="95"/>
        <v>0</v>
      </c>
      <c r="BX103" s="321">
        <f t="shared" si="95"/>
        <v>0</v>
      </c>
      <c r="BY103" s="321">
        <f t="shared" si="95"/>
        <v>0</v>
      </c>
      <c r="BZ103" s="321">
        <f t="shared" si="95"/>
        <v>0</v>
      </c>
      <c r="CA103" s="321">
        <f t="shared" si="95"/>
        <v>0</v>
      </c>
      <c r="CB103" s="321">
        <f t="shared" si="95"/>
        <v>0</v>
      </c>
      <c r="CC103" s="321">
        <f t="shared" si="95"/>
        <v>0</v>
      </c>
      <c r="CD103" s="321">
        <f t="shared" si="95"/>
        <v>0</v>
      </c>
      <c r="CE103" s="321">
        <f t="shared" si="95"/>
        <v>0</v>
      </c>
      <c r="CF103" s="322">
        <f t="shared" si="92"/>
        <v>0.6</v>
      </c>
      <c r="CG103" s="323"/>
      <c r="CH103" s="217"/>
      <c r="CI103" s="217"/>
      <c r="CJ103" s="217"/>
      <c r="CK103" s="217"/>
    </row>
    <row r="104" spans="1:89" x14ac:dyDescent="0.3">
      <c r="A104" s="217"/>
      <c r="B104" s="260" t="s">
        <v>529</v>
      </c>
      <c r="C104" s="321">
        <f t="shared" ref="C104:AH104" si="96">SUMIF($F$33:$F$35,C$101,$Q$33:$Q$35)</f>
        <v>0</v>
      </c>
      <c r="D104" s="321">
        <f t="shared" si="96"/>
        <v>0</v>
      </c>
      <c r="E104" s="321">
        <f t="shared" si="96"/>
        <v>0</v>
      </c>
      <c r="F104" s="321">
        <f t="shared" si="96"/>
        <v>0</v>
      </c>
      <c r="G104" s="321">
        <f t="shared" si="96"/>
        <v>0</v>
      </c>
      <c r="H104" s="321">
        <f t="shared" si="96"/>
        <v>0</v>
      </c>
      <c r="I104" s="321">
        <f t="shared" si="96"/>
        <v>0</v>
      </c>
      <c r="J104" s="321">
        <f t="shared" si="96"/>
        <v>0</v>
      </c>
      <c r="K104" s="321">
        <f t="shared" si="96"/>
        <v>0</v>
      </c>
      <c r="L104" s="321">
        <f t="shared" si="96"/>
        <v>0</v>
      </c>
      <c r="M104" s="321">
        <f t="shared" si="96"/>
        <v>0</v>
      </c>
      <c r="N104" s="321">
        <f t="shared" si="96"/>
        <v>0</v>
      </c>
      <c r="O104" s="321">
        <f t="shared" si="96"/>
        <v>0</v>
      </c>
      <c r="P104" s="321">
        <f t="shared" si="96"/>
        <v>0</v>
      </c>
      <c r="Q104" s="321">
        <f t="shared" si="96"/>
        <v>0</v>
      </c>
      <c r="R104" s="321">
        <f t="shared" si="96"/>
        <v>0</v>
      </c>
      <c r="S104" s="321">
        <f t="shared" si="96"/>
        <v>0</v>
      </c>
      <c r="T104" s="321">
        <f t="shared" si="96"/>
        <v>0</v>
      </c>
      <c r="U104" s="321">
        <f t="shared" si="96"/>
        <v>0</v>
      </c>
      <c r="V104" s="321">
        <f t="shared" si="96"/>
        <v>0</v>
      </c>
      <c r="W104" s="321">
        <f t="shared" si="96"/>
        <v>0</v>
      </c>
      <c r="X104" s="321">
        <f t="shared" si="96"/>
        <v>0</v>
      </c>
      <c r="Y104" s="321">
        <f t="shared" si="96"/>
        <v>0</v>
      </c>
      <c r="Z104" s="321">
        <f t="shared" si="96"/>
        <v>0</v>
      </c>
      <c r="AA104" s="321">
        <f t="shared" si="96"/>
        <v>0</v>
      </c>
      <c r="AB104" s="321">
        <f t="shared" si="96"/>
        <v>0</v>
      </c>
      <c r="AC104" s="321">
        <f t="shared" si="96"/>
        <v>0</v>
      </c>
      <c r="AD104" s="321">
        <f t="shared" si="96"/>
        <v>0</v>
      </c>
      <c r="AE104" s="321">
        <f t="shared" si="96"/>
        <v>0</v>
      </c>
      <c r="AF104" s="321">
        <f t="shared" si="96"/>
        <v>0</v>
      </c>
      <c r="AG104" s="321">
        <f t="shared" si="96"/>
        <v>0</v>
      </c>
      <c r="AH104" s="321">
        <f t="shared" si="96"/>
        <v>0</v>
      </c>
      <c r="AI104" s="321">
        <f t="shared" ref="AI104:BN104" si="97">SUMIF($F$33:$F$35,AI$101,$Q$33:$Q$35)</f>
        <v>0</v>
      </c>
      <c r="AJ104" s="321">
        <f t="shared" si="97"/>
        <v>0</v>
      </c>
      <c r="AK104" s="321">
        <f t="shared" si="97"/>
        <v>0</v>
      </c>
      <c r="AL104" s="321">
        <f t="shared" si="97"/>
        <v>0</v>
      </c>
      <c r="AM104" s="321">
        <f t="shared" si="97"/>
        <v>0</v>
      </c>
      <c r="AN104" s="321">
        <f t="shared" si="97"/>
        <v>0</v>
      </c>
      <c r="AO104" s="321">
        <f t="shared" si="97"/>
        <v>0</v>
      </c>
      <c r="AP104" s="321">
        <f t="shared" si="97"/>
        <v>0</v>
      </c>
      <c r="AQ104" s="321">
        <f t="shared" si="97"/>
        <v>0</v>
      </c>
      <c r="AR104" s="321">
        <f t="shared" si="97"/>
        <v>0</v>
      </c>
      <c r="AS104" s="321">
        <f t="shared" si="97"/>
        <v>0</v>
      </c>
      <c r="AT104" s="321">
        <f t="shared" si="97"/>
        <v>0</v>
      </c>
      <c r="AU104" s="321">
        <f t="shared" si="97"/>
        <v>0</v>
      </c>
      <c r="AV104" s="321">
        <f t="shared" si="97"/>
        <v>0</v>
      </c>
      <c r="AW104" s="321">
        <f t="shared" si="97"/>
        <v>0</v>
      </c>
      <c r="AX104" s="321">
        <f t="shared" si="97"/>
        <v>0</v>
      </c>
      <c r="AY104" s="321">
        <f t="shared" si="97"/>
        <v>0</v>
      </c>
      <c r="AZ104" s="321">
        <f t="shared" si="97"/>
        <v>0</v>
      </c>
      <c r="BA104" s="321">
        <f t="shared" si="97"/>
        <v>0</v>
      </c>
      <c r="BB104" s="321">
        <f t="shared" si="97"/>
        <v>0</v>
      </c>
      <c r="BC104" s="321">
        <f t="shared" si="97"/>
        <v>0</v>
      </c>
      <c r="BD104" s="321">
        <f t="shared" si="97"/>
        <v>0</v>
      </c>
      <c r="BE104" s="321">
        <f t="shared" si="97"/>
        <v>0</v>
      </c>
      <c r="BF104" s="321">
        <f t="shared" si="97"/>
        <v>0</v>
      </c>
      <c r="BG104" s="321">
        <f t="shared" si="97"/>
        <v>0</v>
      </c>
      <c r="BH104" s="321">
        <f t="shared" si="97"/>
        <v>0</v>
      </c>
      <c r="BI104" s="321">
        <f t="shared" si="97"/>
        <v>0</v>
      </c>
      <c r="BJ104" s="321">
        <f t="shared" si="97"/>
        <v>0</v>
      </c>
      <c r="BK104" s="321">
        <f t="shared" si="97"/>
        <v>0</v>
      </c>
      <c r="BL104" s="321">
        <f t="shared" si="97"/>
        <v>0</v>
      </c>
      <c r="BM104" s="321">
        <f t="shared" si="97"/>
        <v>0</v>
      </c>
      <c r="BN104" s="321">
        <f t="shared" si="97"/>
        <v>0</v>
      </c>
      <c r="BO104" s="321">
        <f t="shared" ref="BO104:CE104" si="98">SUMIF($F$33:$F$35,BO$101,$Q$33:$Q$35)</f>
        <v>0</v>
      </c>
      <c r="BP104" s="321">
        <f t="shared" si="98"/>
        <v>0</v>
      </c>
      <c r="BQ104" s="321">
        <f t="shared" si="98"/>
        <v>0</v>
      </c>
      <c r="BR104" s="321">
        <f t="shared" si="98"/>
        <v>0</v>
      </c>
      <c r="BS104" s="321">
        <f t="shared" si="98"/>
        <v>0</v>
      </c>
      <c r="BT104" s="321">
        <f t="shared" si="98"/>
        <v>0</v>
      </c>
      <c r="BU104" s="321">
        <f t="shared" si="98"/>
        <v>0</v>
      </c>
      <c r="BV104" s="321">
        <f t="shared" si="98"/>
        <v>0</v>
      </c>
      <c r="BW104" s="321">
        <f t="shared" si="98"/>
        <v>0</v>
      </c>
      <c r="BX104" s="321">
        <f t="shared" si="98"/>
        <v>0</v>
      </c>
      <c r="BY104" s="321">
        <f t="shared" si="98"/>
        <v>0</v>
      </c>
      <c r="BZ104" s="321">
        <f t="shared" si="98"/>
        <v>0</v>
      </c>
      <c r="CA104" s="321">
        <f t="shared" si="98"/>
        <v>0</v>
      </c>
      <c r="CB104" s="321">
        <f t="shared" si="98"/>
        <v>0</v>
      </c>
      <c r="CC104" s="321">
        <f t="shared" si="98"/>
        <v>0</v>
      </c>
      <c r="CD104" s="321">
        <f t="shared" si="98"/>
        <v>0</v>
      </c>
      <c r="CE104" s="321">
        <f t="shared" si="98"/>
        <v>0</v>
      </c>
      <c r="CF104" s="322">
        <f t="shared" si="92"/>
        <v>0</v>
      </c>
      <c r="CG104" s="323" t="s">
        <v>464</v>
      </c>
      <c r="CH104" s="217"/>
      <c r="CI104" s="217"/>
      <c r="CJ104" s="217"/>
      <c r="CK104" s="217"/>
    </row>
    <row r="105" spans="1:89" x14ac:dyDescent="0.3">
      <c r="A105" s="217"/>
      <c r="B105" s="260" t="s">
        <v>530</v>
      </c>
      <c r="C105" s="321">
        <f t="shared" ref="C105:AH105" si="99">SUMIF($F$36:$F$38,C$101,$Q$36:$Q$38)</f>
        <v>0</v>
      </c>
      <c r="D105" s="321">
        <f t="shared" si="99"/>
        <v>0</v>
      </c>
      <c r="E105" s="321">
        <f t="shared" si="99"/>
        <v>0</v>
      </c>
      <c r="F105" s="321">
        <f t="shared" si="99"/>
        <v>0</v>
      </c>
      <c r="G105" s="321">
        <f t="shared" si="99"/>
        <v>0</v>
      </c>
      <c r="H105" s="321">
        <f t="shared" si="99"/>
        <v>0</v>
      </c>
      <c r="I105" s="321">
        <f t="shared" si="99"/>
        <v>0</v>
      </c>
      <c r="J105" s="321">
        <f t="shared" si="99"/>
        <v>0</v>
      </c>
      <c r="K105" s="321">
        <f t="shared" si="99"/>
        <v>0</v>
      </c>
      <c r="L105" s="321">
        <f t="shared" si="99"/>
        <v>0</v>
      </c>
      <c r="M105" s="321">
        <f t="shared" si="99"/>
        <v>0</v>
      </c>
      <c r="N105" s="321">
        <f t="shared" si="99"/>
        <v>0</v>
      </c>
      <c r="O105" s="321">
        <f t="shared" si="99"/>
        <v>0</v>
      </c>
      <c r="P105" s="321">
        <f t="shared" si="99"/>
        <v>0</v>
      </c>
      <c r="Q105" s="321">
        <f t="shared" si="99"/>
        <v>0</v>
      </c>
      <c r="R105" s="321">
        <f t="shared" si="99"/>
        <v>0</v>
      </c>
      <c r="S105" s="321">
        <f t="shared" si="99"/>
        <v>0</v>
      </c>
      <c r="T105" s="321">
        <f t="shared" si="99"/>
        <v>0</v>
      </c>
      <c r="U105" s="321">
        <f t="shared" si="99"/>
        <v>0</v>
      </c>
      <c r="V105" s="321">
        <f t="shared" si="99"/>
        <v>0</v>
      </c>
      <c r="W105" s="321">
        <f t="shared" si="99"/>
        <v>0</v>
      </c>
      <c r="X105" s="321">
        <f t="shared" si="99"/>
        <v>0</v>
      </c>
      <c r="Y105" s="321">
        <f t="shared" si="99"/>
        <v>0</v>
      </c>
      <c r="Z105" s="321">
        <f t="shared" si="99"/>
        <v>0</v>
      </c>
      <c r="AA105" s="321">
        <f t="shared" si="99"/>
        <v>0</v>
      </c>
      <c r="AB105" s="321">
        <f t="shared" si="99"/>
        <v>0</v>
      </c>
      <c r="AC105" s="321">
        <f t="shared" si="99"/>
        <v>0</v>
      </c>
      <c r="AD105" s="321">
        <f t="shared" si="99"/>
        <v>0</v>
      </c>
      <c r="AE105" s="321">
        <f t="shared" si="99"/>
        <v>0</v>
      </c>
      <c r="AF105" s="321">
        <f t="shared" si="99"/>
        <v>0</v>
      </c>
      <c r="AG105" s="321">
        <f t="shared" si="99"/>
        <v>0</v>
      </c>
      <c r="AH105" s="321">
        <f t="shared" si="99"/>
        <v>0</v>
      </c>
      <c r="AI105" s="321">
        <f t="shared" ref="AI105:BN105" si="100">SUMIF($F$36:$F$38,AI$101,$Q$36:$Q$38)</f>
        <v>0</v>
      </c>
      <c r="AJ105" s="321">
        <f t="shared" si="100"/>
        <v>0</v>
      </c>
      <c r="AK105" s="321">
        <f t="shared" si="100"/>
        <v>0</v>
      </c>
      <c r="AL105" s="321">
        <f t="shared" si="100"/>
        <v>0</v>
      </c>
      <c r="AM105" s="321">
        <f t="shared" si="100"/>
        <v>0</v>
      </c>
      <c r="AN105" s="321">
        <f t="shared" si="100"/>
        <v>0</v>
      </c>
      <c r="AO105" s="321">
        <f t="shared" si="100"/>
        <v>0</v>
      </c>
      <c r="AP105" s="321">
        <f t="shared" si="100"/>
        <v>0</v>
      </c>
      <c r="AQ105" s="321">
        <f t="shared" si="100"/>
        <v>0</v>
      </c>
      <c r="AR105" s="321">
        <f t="shared" si="100"/>
        <v>0</v>
      </c>
      <c r="AS105" s="321">
        <f t="shared" si="100"/>
        <v>0</v>
      </c>
      <c r="AT105" s="321">
        <f t="shared" si="100"/>
        <v>0</v>
      </c>
      <c r="AU105" s="321">
        <f t="shared" si="100"/>
        <v>0</v>
      </c>
      <c r="AV105" s="321">
        <f t="shared" si="100"/>
        <v>0</v>
      </c>
      <c r="AW105" s="321">
        <f t="shared" si="100"/>
        <v>0</v>
      </c>
      <c r="AX105" s="321">
        <f t="shared" si="100"/>
        <v>0</v>
      </c>
      <c r="AY105" s="321">
        <f t="shared" si="100"/>
        <v>0</v>
      </c>
      <c r="AZ105" s="321">
        <f t="shared" si="100"/>
        <v>0</v>
      </c>
      <c r="BA105" s="321">
        <f t="shared" si="100"/>
        <v>0</v>
      </c>
      <c r="BB105" s="321">
        <f t="shared" si="100"/>
        <v>0</v>
      </c>
      <c r="BC105" s="321">
        <f t="shared" si="100"/>
        <v>0</v>
      </c>
      <c r="BD105" s="321">
        <f t="shared" si="100"/>
        <v>0</v>
      </c>
      <c r="BE105" s="321">
        <f t="shared" si="100"/>
        <v>0</v>
      </c>
      <c r="BF105" s="321">
        <f t="shared" si="100"/>
        <v>0</v>
      </c>
      <c r="BG105" s="321">
        <f t="shared" si="100"/>
        <v>0</v>
      </c>
      <c r="BH105" s="321">
        <f t="shared" si="100"/>
        <v>0</v>
      </c>
      <c r="BI105" s="321">
        <f t="shared" si="100"/>
        <v>0</v>
      </c>
      <c r="BJ105" s="321">
        <f t="shared" si="100"/>
        <v>0</v>
      </c>
      <c r="BK105" s="321">
        <f t="shared" si="100"/>
        <v>0</v>
      </c>
      <c r="BL105" s="321">
        <f t="shared" si="100"/>
        <v>0</v>
      </c>
      <c r="BM105" s="321">
        <f t="shared" si="100"/>
        <v>0</v>
      </c>
      <c r="BN105" s="321">
        <f t="shared" si="100"/>
        <v>0</v>
      </c>
      <c r="BO105" s="321">
        <f t="shared" ref="BO105:CE105" si="101">SUMIF($F$36:$F$38,BO$101,$Q$36:$Q$38)</f>
        <v>0</v>
      </c>
      <c r="BP105" s="321">
        <f t="shared" si="101"/>
        <v>0</v>
      </c>
      <c r="BQ105" s="321">
        <f t="shared" si="101"/>
        <v>0</v>
      </c>
      <c r="BR105" s="321">
        <f t="shared" si="101"/>
        <v>0</v>
      </c>
      <c r="BS105" s="321">
        <f t="shared" si="101"/>
        <v>0</v>
      </c>
      <c r="BT105" s="321">
        <f t="shared" si="101"/>
        <v>0</v>
      </c>
      <c r="BU105" s="321">
        <f t="shared" si="101"/>
        <v>0</v>
      </c>
      <c r="BV105" s="321">
        <f t="shared" si="101"/>
        <v>0</v>
      </c>
      <c r="BW105" s="321">
        <f t="shared" si="101"/>
        <v>0</v>
      </c>
      <c r="BX105" s="321">
        <f t="shared" si="101"/>
        <v>0</v>
      </c>
      <c r="BY105" s="321">
        <f t="shared" si="101"/>
        <v>0</v>
      </c>
      <c r="BZ105" s="321">
        <f t="shared" si="101"/>
        <v>0</v>
      </c>
      <c r="CA105" s="321">
        <f t="shared" si="101"/>
        <v>0</v>
      </c>
      <c r="CB105" s="321">
        <f t="shared" si="101"/>
        <v>0</v>
      </c>
      <c r="CC105" s="321">
        <f t="shared" si="101"/>
        <v>0</v>
      </c>
      <c r="CD105" s="321">
        <f t="shared" si="101"/>
        <v>0</v>
      </c>
      <c r="CE105" s="321">
        <f t="shared" si="101"/>
        <v>0</v>
      </c>
      <c r="CF105" s="322">
        <f t="shared" si="92"/>
        <v>0</v>
      </c>
      <c r="CG105" s="323" t="s">
        <v>464</v>
      </c>
      <c r="CH105" s="217"/>
      <c r="CI105" s="217"/>
      <c r="CJ105" s="217"/>
      <c r="CK105" s="217"/>
    </row>
    <row r="106" spans="1:89" x14ac:dyDescent="0.3">
      <c r="A106" s="217"/>
      <c r="B106" s="260" t="s">
        <v>531</v>
      </c>
      <c r="C106" s="321">
        <f t="shared" ref="C106:AH106" si="102">SUMIF($F$39:$F$41,C$101,$Q$39:$Q$41)</f>
        <v>0</v>
      </c>
      <c r="D106" s="321">
        <f t="shared" si="102"/>
        <v>0</v>
      </c>
      <c r="E106" s="321">
        <f t="shared" si="102"/>
        <v>0</v>
      </c>
      <c r="F106" s="321">
        <f t="shared" si="102"/>
        <v>0</v>
      </c>
      <c r="G106" s="321">
        <f t="shared" si="102"/>
        <v>0</v>
      </c>
      <c r="H106" s="321">
        <f t="shared" si="102"/>
        <v>0</v>
      </c>
      <c r="I106" s="321">
        <f t="shared" si="102"/>
        <v>0</v>
      </c>
      <c r="J106" s="321">
        <f t="shared" si="102"/>
        <v>0</v>
      </c>
      <c r="K106" s="321">
        <f t="shared" si="102"/>
        <v>0</v>
      </c>
      <c r="L106" s="321">
        <f t="shared" si="102"/>
        <v>0</v>
      </c>
      <c r="M106" s="321">
        <f t="shared" si="102"/>
        <v>0</v>
      </c>
      <c r="N106" s="321">
        <f t="shared" si="102"/>
        <v>0</v>
      </c>
      <c r="O106" s="321">
        <f t="shared" si="102"/>
        <v>0</v>
      </c>
      <c r="P106" s="321">
        <f t="shared" si="102"/>
        <v>0</v>
      </c>
      <c r="Q106" s="321">
        <f t="shared" si="102"/>
        <v>0</v>
      </c>
      <c r="R106" s="321">
        <f t="shared" si="102"/>
        <v>0</v>
      </c>
      <c r="S106" s="321">
        <f t="shared" si="102"/>
        <v>0</v>
      </c>
      <c r="T106" s="321">
        <f t="shared" si="102"/>
        <v>0</v>
      </c>
      <c r="U106" s="321">
        <f t="shared" si="102"/>
        <v>0</v>
      </c>
      <c r="V106" s="321">
        <f t="shared" si="102"/>
        <v>0</v>
      </c>
      <c r="W106" s="321">
        <f t="shared" si="102"/>
        <v>0</v>
      </c>
      <c r="X106" s="321">
        <f t="shared" si="102"/>
        <v>0</v>
      </c>
      <c r="Y106" s="321">
        <f t="shared" si="102"/>
        <v>0</v>
      </c>
      <c r="Z106" s="321">
        <f t="shared" si="102"/>
        <v>0</v>
      </c>
      <c r="AA106" s="321">
        <f t="shared" si="102"/>
        <v>0</v>
      </c>
      <c r="AB106" s="321">
        <f t="shared" si="102"/>
        <v>0</v>
      </c>
      <c r="AC106" s="321">
        <f t="shared" si="102"/>
        <v>0</v>
      </c>
      <c r="AD106" s="321">
        <f t="shared" si="102"/>
        <v>0</v>
      </c>
      <c r="AE106" s="321">
        <f t="shared" si="102"/>
        <v>0</v>
      </c>
      <c r="AF106" s="321">
        <f t="shared" si="102"/>
        <v>0</v>
      </c>
      <c r="AG106" s="321">
        <f t="shared" si="102"/>
        <v>0</v>
      </c>
      <c r="AH106" s="321">
        <f t="shared" si="102"/>
        <v>0</v>
      </c>
      <c r="AI106" s="321">
        <f t="shared" ref="AI106:BN106" si="103">SUMIF($F$39:$F$41,AI$101,$Q$39:$Q$41)</f>
        <v>0</v>
      </c>
      <c r="AJ106" s="321">
        <f t="shared" si="103"/>
        <v>0</v>
      </c>
      <c r="AK106" s="321">
        <f t="shared" si="103"/>
        <v>0</v>
      </c>
      <c r="AL106" s="321">
        <f t="shared" si="103"/>
        <v>0</v>
      </c>
      <c r="AM106" s="321">
        <f t="shared" si="103"/>
        <v>0</v>
      </c>
      <c r="AN106" s="321">
        <f t="shared" si="103"/>
        <v>0</v>
      </c>
      <c r="AO106" s="321">
        <f t="shared" si="103"/>
        <v>0</v>
      </c>
      <c r="AP106" s="321">
        <f t="shared" si="103"/>
        <v>0</v>
      </c>
      <c r="AQ106" s="321">
        <f t="shared" si="103"/>
        <v>0</v>
      </c>
      <c r="AR106" s="321">
        <f t="shared" si="103"/>
        <v>0</v>
      </c>
      <c r="AS106" s="321">
        <f t="shared" si="103"/>
        <v>0</v>
      </c>
      <c r="AT106" s="321">
        <f t="shared" si="103"/>
        <v>0</v>
      </c>
      <c r="AU106" s="321">
        <f t="shared" si="103"/>
        <v>0</v>
      </c>
      <c r="AV106" s="321">
        <f t="shared" si="103"/>
        <v>0</v>
      </c>
      <c r="AW106" s="321">
        <f t="shared" si="103"/>
        <v>0</v>
      </c>
      <c r="AX106" s="321">
        <f t="shared" si="103"/>
        <v>0</v>
      </c>
      <c r="AY106" s="321">
        <f t="shared" si="103"/>
        <v>0</v>
      </c>
      <c r="AZ106" s="321">
        <f t="shared" si="103"/>
        <v>0</v>
      </c>
      <c r="BA106" s="321">
        <f t="shared" si="103"/>
        <v>0</v>
      </c>
      <c r="BB106" s="321">
        <f t="shared" si="103"/>
        <v>0</v>
      </c>
      <c r="BC106" s="321">
        <f t="shared" si="103"/>
        <v>0</v>
      </c>
      <c r="BD106" s="321">
        <f t="shared" si="103"/>
        <v>0</v>
      </c>
      <c r="BE106" s="321">
        <f t="shared" si="103"/>
        <v>0</v>
      </c>
      <c r="BF106" s="321">
        <f t="shared" si="103"/>
        <v>0</v>
      </c>
      <c r="BG106" s="321">
        <f t="shared" si="103"/>
        <v>0</v>
      </c>
      <c r="BH106" s="321">
        <f t="shared" si="103"/>
        <v>0</v>
      </c>
      <c r="BI106" s="321">
        <f t="shared" si="103"/>
        <v>0</v>
      </c>
      <c r="BJ106" s="321">
        <f t="shared" si="103"/>
        <v>0</v>
      </c>
      <c r="BK106" s="321">
        <f t="shared" si="103"/>
        <v>0</v>
      </c>
      <c r="BL106" s="321">
        <f t="shared" si="103"/>
        <v>0</v>
      </c>
      <c r="BM106" s="321">
        <f t="shared" si="103"/>
        <v>0</v>
      </c>
      <c r="BN106" s="321">
        <f t="shared" si="103"/>
        <v>0</v>
      </c>
      <c r="BO106" s="321">
        <f t="shared" ref="BO106:CE106" si="104">SUMIF($F$39:$F$41,BO$101,$Q$39:$Q$41)</f>
        <v>0</v>
      </c>
      <c r="BP106" s="321">
        <f t="shared" si="104"/>
        <v>0</v>
      </c>
      <c r="BQ106" s="321">
        <f t="shared" si="104"/>
        <v>0</v>
      </c>
      <c r="BR106" s="321">
        <f t="shared" si="104"/>
        <v>0</v>
      </c>
      <c r="BS106" s="321">
        <f t="shared" si="104"/>
        <v>0</v>
      </c>
      <c r="BT106" s="321">
        <f t="shared" si="104"/>
        <v>0</v>
      </c>
      <c r="BU106" s="321">
        <f t="shared" si="104"/>
        <v>0</v>
      </c>
      <c r="BV106" s="321">
        <f t="shared" si="104"/>
        <v>0</v>
      </c>
      <c r="BW106" s="321">
        <f t="shared" si="104"/>
        <v>0</v>
      </c>
      <c r="BX106" s="321">
        <f t="shared" si="104"/>
        <v>0</v>
      </c>
      <c r="BY106" s="321">
        <f t="shared" si="104"/>
        <v>0</v>
      </c>
      <c r="BZ106" s="321">
        <f t="shared" si="104"/>
        <v>0</v>
      </c>
      <c r="CA106" s="321">
        <f t="shared" si="104"/>
        <v>0</v>
      </c>
      <c r="CB106" s="321">
        <f t="shared" si="104"/>
        <v>0</v>
      </c>
      <c r="CC106" s="321">
        <f t="shared" si="104"/>
        <v>0</v>
      </c>
      <c r="CD106" s="321">
        <f t="shared" si="104"/>
        <v>0</v>
      </c>
      <c r="CE106" s="321">
        <f t="shared" si="104"/>
        <v>0</v>
      </c>
      <c r="CF106" s="322">
        <f t="shared" si="92"/>
        <v>0</v>
      </c>
      <c r="CG106" s="323" t="s">
        <v>464</v>
      </c>
      <c r="CH106" s="217"/>
      <c r="CI106" s="217"/>
      <c r="CJ106" s="217"/>
      <c r="CK106" s="217"/>
    </row>
    <row r="107" spans="1:89" x14ac:dyDescent="0.3">
      <c r="A107" s="217"/>
      <c r="B107" s="260" t="s">
        <v>532</v>
      </c>
      <c r="C107" s="321">
        <f t="shared" ref="C107:AH107" si="105">SUMIF($F$42:$F$46,C$101,$Q$42:$Q$46)</f>
        <v>0</v>
      </c>
      <c r="D107" s="321">
        <f t="shared" si="105"/>
        <v>0</v>
      </c>
      <c r="E107" s="321">
        <f t="shared" si="105"/>
        <v>0</v>
      </c>
      <c r="F107" s="321">
        <f t="shared" si="105"/>
        <v>0</v>
      </c>
      <c r="G107" s="321">
        <f t="shared" si="105"/>
        <v>0</v>
      </c>
      <c r="H107" s="321">
        <f t="shared" si="105"/>
        <v>0</v>
      </c>
      <c r="I107" s="321">
        <f t="shared" si="105"/>
        <v>0</v>
      </c>
      <c r="J107" s="321">
        <f t="shared" si="105"/>
        <v>0</v>
      </c>
      <c r="K107" s="321">
        <f t="shared" si="105"/>
        <v>0</v>
      </c>
      <c r="L107" s="321">
        <f t="shared" si="105"/>
        <v>0</v>
      </c>
      <c r="M107" s="321">
        <f t="shared" si="105"/>
        <v>0</v>
      </c>
      <c r="N107" s="321">
        <f t="shared" si="105"/>
        <v>0</v>
      </c>
      <c r="O107" s="321">
        <f t="shared" si="105"/>
        <v>0</v>
      </c>
      <c r="P107" s="321">
        <f t="shared" si="105"/>
        <v>0</v>
      </c>
      <c r="Q107" s="321">
        <f t="shared" si="105"/>
        <v>0</v>
      </c>
      <c r="R107" s="321">
        <f t="shared" si="105"/>
        <v>0</v>
      </c>
      <c r="S107" s="321">
        <f t="shared" si="105"/>
        <v>0</v>
      </c>
      <c r="T107" s="321">
        <f t="shared" si="105"/>
        <v>0</v>
      </c>
      <c r="U107" s="321">
        <f t="shared" si="105"/>
        <v>0</v>
      </c>
      <c r="V107" s="321">
        <f t="shared" si="105"/>
        <v>0</v>
      </c>
      <c r="W107" s="321">
        <f t="shared" si="105"/>
        <v>0</v>
      </c>
      <c r="X107" s="321">
        <f t="shared" si="105"/>
        <v>0.6</v>
      </c>
      <c r="Y107" s="321">
        <f t="shared" si="105"/>
        <v>0</v>
      </c>
      <c r="Z107" s="321">
        <f t="shared" si="105"/>
        <v>0</v>
      </c>
      <c r="AA107" s="321">
        <f t="shared" si="105"/>
        <v>0</v>
      </c>
      <c r="AB107" s="321">
        <f t="shared" si="105"/>
        <v>0</v>
      </c>
      <c r="AC107" s="321">
        <f t="shared" si="105"/>
        <v>0</v>
      </c>
      <c r="AD107" s="321">
        <f t="shared" si="105"/>
        <v>0</v>
      </c>
      <c r="AE107" s="321">
        <f t="shared" si="105"/>
        <v>0</v>
      </c>
      <c r="AF107" s="321">
        <f t="shared" si="105"/>
        <v>0</v>
      </c>
      <c r="AG107" s="321">
        <f t="shared" si="105"/>
        <v>0</v>
      </c>
      <c r="AH107" s="321">
        <f t="shared" si="105"/>
        <v>0</v>
      </c>
      <c r="AI107" s="321">
        <f t="shared" ref="AI107:BN107" si="106">SUMIF($F$42:$F$46,AI$101,$Q$42:$Q$46)</f>
        <v>0</v>
      </c>
      <c r="AJ107" s="321">
        <f t="shared" si="106"/>
        <v>0</v>
      </c>
      <c r="AK107" s="321">
        <f t="shared" si="106"/>
        <v>0</v>
      </c>
      <c r="AL107" s="321">
        <f t="shared" si="106"/>
        <v>0</v>
      </c>
      <c r="AM107" s="321">
        <f t="shared" si="106"/>
        <v>0</v>
      </c>
      <c r="AN107" s="321">
        <f t="shared" si="106"/>
        <v>0</v>
      </c>
      <c r="AO107" s="321">
        <f t="shared" si="106"/>
        <v>0</v>
      </c>
      <c r="AP107" s="321">
        <f t="shared" si="106"/>
        <v>0</v>
      </c>
      <c r="AQ107" s="321">
        <f t="shared" si="106"/>
        <v>0</v>
      </c>
      <c r="AR107" s="321">
        <f t="shared" si="106"/>
        <v>0</v>
      </c>
      <c r="AS107" s="321">
        <f t="shared" si="106"/>
        <v>0</v>
      </c>
      <c r="AT107" s="321">
        <f t="shared" si="106"/>
        <v>0</v>
      </c>
      <c r="AU107" s="321">
        <f t="shared" si="106"/>
        <v>0</v>
      </c>
      <c r="AV107" s="321">
        <f t="shared" si="106"/>
        <v>0</v>
      </c>
      <c r="AW107" s="321">
        <f t="shared" si="106"/>
        <v>0</v>
      </c>
      <c r="AX107" s="321">
        <f t="shared" si="106"/>
        <v>0</v>
      </c>
      <c r="AY107" s="321">
        <f t="shared" si="106"/>
        <v>0</v>
      </c>
      <c r="AZ107" s="321">
        <f t="shared" si="106"/>
        <v>0</v>
      </c>
      <c r="BA107" s="321">
        <f t="shared" si="106"/>
        <v>0</v>
      </c>
      <c r="BB107" s="321">
        <f t="shared" si="106"/>
        <v>0</v>
      </c>
      <c r="BC107" s="321">
        <f t="shared" si="106"/>
        <v>0</v>
      </c>
      <c r="BD107" s="321">
        <f t="shared" si="106"/>
        <v>0</v>
      </c>
      <c r="BE107" s="321">
        <f t="shared" si="106"/>
        <v>0</v>
      </c>
      <c r="BF107" s="321">
        <f t="shared" si="106"/>
        <v>0</v>
      </c>
      <c r="BG107" s="321">
        <f t="shared" si="106"/>
        <v>0</v>
      </c>
      <c r="BH107" s="321">
        <f t="shared" si="106"/>
        <v>0</v>
      </c>
      <c r="BI107" s="321">
        <f t="shared" si="106"/>
        <v>0</v>
      </c>
      <c r="BJ107" s="321">
        <f t="shared" si="106"/>
        <v>0</v>
      </c>
      <c r="BK107" s="321">
        <f t="shared" si="106"/>
        <v>0</v>
      </c>
      <c r="BL107" s="321">
        <f t="shared" si="106"/>
        <v>0</v>
      </c>
      <c r="BM107" s="321">
        <f t="shared" si="106"/>
        <v>0</v>
      </c>
      <c r="BN107" s="321">
        <f t="shared" si="106"/>
        <v>0</v>
      </c>
      <c r="BO107" s="321">
        <f t="shared" ref="BO107:CE107" si="107">SUMIF($F$42:$F$46,BO$101,$Q$42:$Q$46)</f>
        <v>0</v>
      </c>
      <c r="BP107" s="321">
        <f t="shared" si="107"/>
        <v>0</v>
      </c>
      <c r="BQ107" s="321">
        <f t="shared" si="107"/>
        <v>0</v>
      </c>
      <c r="BR107" s="321">
        <f t="shared" si="107"/>
        <v>0</v>
      </c>
      <c r="BS107" s="321">
        <f t="shared" si="107"/>
        <v>0</v>
      </c>
      <c r="BT107" s="321">
        <f t="shared" si="107"/>
        <v>0</v>
      </c>
      <c r="BU107" s="321">
        <f t="shared" si="107"/>
        <v>0</v>
      </c>
      <c r="BV107" s="321">
        <f t="shared" si="107"/>
        <v>0</v>
      </c>
      <c r="BW107" s="321">
        <f t="shared" si="107"/>
        <v>0</v>
      </c>
      <c r="BX107" s="321">
        <f t="shared" si="107"/>
        <v>0</v>
      </c>
      <c r="BY107" s="321">
        <f t="shared" si="107"/>
        <v>0</v>
      </c>
      <c r="BZ107" s="321">
        <f t="shared" si="107"/>
        <v>0</v>
      </c>
      <c r="CA107" s="321">
        <f t="shared" si="107"/>
        <v>0</v>
      </c>
      <c r="CB107" s="321">
        <f t="shared" si="107"/>
        <v>0</v>
      </c>
      <c r="CC107" s="321">
        <f t="shared" si="107"/>
        <v>0</v>
      </c>
      <c r="CD107" s="321">
        <f t="shared" si="107"/>
        <v>0</v>
      </c>
      <c r="CE107" s="321">
        <f t="shared" si="107"/>
        <v>0</v>
      </c>
      <c r="CF107" s="322">
        <f t="shared" si="92"/>
        <v>0.6</v>
      </c>
      <c r="CG107" s="323"/>
      <c r="CH107" s="217"/>
      <c r="CI107" s="217"/>
      <c r="CJ107" s="217"/>
      <c r="CK107" s="217"/>
    </row>
    <row r="108" spans="1:89" x14ac:dyDescent="0.3">
      <c r="A108" s="217"/>
      <c r="B108" s="260" t="s">
        <v>430</v>
      </c>
      <c r="C108" s="321">
        <f t="shared" ref="C108:AH108" si="108">SUMIF($F$47,C$101,$Q$47)</f>
        <v>0</v>
      </c>
      <c r="D108" s="321">
        <f t="shared" si="108"/>
        <v>0</v>
      </c>
      <c r="E108" s="321">
        <f t="shared" si="108"/>
        <v>0</v>
      </c>
      <c r="F108" s="321">
        <f t="shared" si="108"/>
        <v>0</v>
      </c>
      <c r="G108" s="321">
        <f t="shared" si="108"/>
        <v>0</v>
      </c>
      <c r="H108" s="321">
        <f t="shared" si="108"/>
        <v>0</v>
      </c>
      <c r="I108" s="321">
        <f t="shared" si="108"/>
        <v>0</v>
      </c>
      <c r="J108" s="321">
        <f t="shared" si="108"/>
        <v>0</v>
      </c>
      <c r="K108" s="321">
        <f t="shared" si="108"/>
        <v>0</v>
      </c>
      <c r="L108" s="321">
        <f t="shared" si="108"/>
        <v>0</v>
      </c>
      <c r="M108" s="321">
        <f t="shared" si="108"/>
        <v>0</v>
      </c>
      <c r="N108" s="321">
        <f t="shared" si="108"/>
        <v>0</v>
      </c>
      <c r="O108" s="321">
        <f t="shared" si="108"/>
        <v>0</v>
      </c>
      <c r="P108" s="321">
        <f t="shared" si="108"/>
        <v>0</v>
      </c>
      <c r="Q108" s="321">
        <f t="shared" si="108"/>
        <v>0</v>
      </c>
      <c r="R108" s="321">
        <f t="shared" si="108"/>
        <v>0</v>
      </c>
      <c r="S108" s="321">
        <f t="shared" si="108"/>
        <v>0</v>
      </c>
      <c r="T108" s="321">
        <f t="shared" si="108"/>
        <v>0</v>
      </c>
      <c r="U108" s="321">
        <f t="shared" si="108"/>
        <v>0</v>
      </c>
      <c r="V108" s="321">
        <f t="shared" si="108"/>
        <v>0</v>
      </c>
      <c r="W108" s="321">
        <f t="shared" si="108"/>
        <v>0</v>
      </c>
      <c r="X108" s="321">
        <f t="shared" si="108"/>
        <v>0</v>
      </c>
      <c r="Y108" s="321">
        <f t="shared" si="108"/>
        <v>0</v>
      </c>
      <c r="Z108" s="321">
        <f t="shared" si="108"/>
        <v>0</v>
      </c>
      <c r="AA108" s="321">
        <f t="shared" si="108"/>
        <v>0</v>
      </c>
      <c r="AB108" s="321">
        <f t="shared" si="108"/>
        <v>0</v>
      </c>
      <c r="AC108" s="321">
        <f t="shared" si="108"/>
        <v>0</v>
      </c>
      <c r="AD108" s="321">
        <f t="shared" si="108"/>
        <v>0</v>
      </c>
      <c r="AE108" s="321">
        <f t="shared" si="108"/>
        <v>0</v>
      </c>
      <c r="AF108" s="321">
        <f t="shared" si="108"/>
        <v>0</v>
      </c>
      <c r="AG108" s="321">
        <f t="shared" si="108"/>
        <v>0</v>
      </c>
      <c r="AH108" s="321">
        <f t="shared" si="108"/>
        <v>0</v>
      </c>
      <c r="AI108" s="321">
        <f t="shared" ref="AI108:BN108" si="109">SUMIF($F$47,AI$101,$Q$47)</f>
        <v>0</v>
      </c>
      <c r="AJ108" s="321">
        <f t="shared" si="109"/>
        <v>0</v>
      </c>
      <c r="AK108" s="321">
        <f t="shared" si="109"/>
        <v>0</v>
      </c>
      <c r="AL108" s="321">
        <f t="shared" si="109"/>
        <v>0</v>
      </c>
      <c r="AM108" s="321">
        <f t="shared" si="109"/>
        <v>0</v>
      </c>
      <c r="AN108" s="321">
        <f t="shared" si="109"/>
        <v>0</v>
      </c>
      <c r="AO108" s="321">
        <f t="shared" si="109"/>
        <v>0</v>
      </c>
      <c r="AP108" s="321">
        <f t="shared" si="109"/>
        <v>0</v>
      </c>
      <c r="AQ108" s="321">
        <f t="shared" si="109"/>
        <v>0</v>
      </c>
      <c r="AR108" s="321">
        <f t="shared" si="109"/>
        <v>0</v>
      </c>
      <c r="AS108" s="321">
        <f t="shared" si="109"/>
        <v>0</v>
      </c>
      <c r="AT108" s="321">
        <f t="shared" si="109"/>
        <v>0</v>
      </c>
      <c r="AU108" s="321">
        <f t="shared" si="109"/>
        <v>0</v>
      </c>
      <c r="AV108" s="321">
        <f t="shared" si="109"/>
        <v>0</v>
      </c>
      <c r="AW108" s="321">
        <f t="shared" si="109"/>
        <v>0</v>
      </c>
      <c r="AX108" s="321">
        <f t="shared" si="109"/>
        <v>0</v>
      </c>
      <c r="AY108" s="321">
        <f t="shared" si="109"/>
        <v>0</v>
      </c>
      <c r="AZ108" s="321">
        <f t="shared" si="109"/>
        <v>0</v>
      </c>
      <c r="BA108" s="321">
        <f t="shared" si="109"/>
        <v>0</v>
      </c>
      <c r="BB108" s="321">
        <f t="shared" si="109"/>
        <v>0</v>
      </c>
      <c r="BC108" s="321">
        <f t="shared" si="109"/>
        <v>0</v>
      </c>
      <c r="BD108" s="321">
        <f t="shared" si="109"/>
        <v>0</v>
      </c>
      <c r="BE108" s="321">
        <f t="shared" si="109"/>
        <v>0</v>
      </c>
      <c r="BF108" s="321">
        <f t="shared" si="109"/>
        <v>0</v>
      </c>
      <c r="BG108" s="321">
        <f t="shared" si="109"/>
        <v>0</v>
      </c>
      <c r="BH108" s="321">
        <f t="shared" si="109"/>
        <v>0</v>
      </c>
      <c r="BI108" s="321">
        <f t="shared" si="109"/>
        <v>0</v>
      </c>
      <c r="BJ108" s="321">
        <f t="shared" si="109"/>
        <v>0</v>
      </c>
      <c r="BK108" s="321">
        <f t="shared" si="109"/>
        <v>0</v>
      </c>
      <c r="BL108" s="321">
        <f t="shared" si="109"/>
        <v>0</v>
      </c>
      <c r="BM108" s="321">
        <f t="shared" si="109"/>
        <v>0</v>
      </c>
      <c r="BN108" s="321">
        <f t="shared" si="109"/>
        <v>0</v>
      </c>
      <c r="BO108" s="321">
        <f t="shared" ref="BO108:CE108" si="110">SUMIF($F$47,BO$101,$Q$47)</f>
        <v>0</v>
      </c>
      <c r="BP108" s="321">
        <f t="shared" si="110"/>
        <v>0</v>
      </c>
      <c r="BQ108" s="321">
        <f t="shared" si="110"/>
        <v>0</v>
      </c>
      <c r="BR108" s="321">
        <f t="shared" si="110"/>
        <v>0</v>
      </c>
      <c r="BS108" s="321">
        <f t="shared" si="110"/>
        <v>0</v>
      </c>
      <c r="BT108" s="321">
        <f t="shared" si="110"/>
        <v>0</v>
      </c>
      <c r="BU108" s="321">
        <f t="shared" si="110"/>
        <v>0</v>
      </c>
      <c r="BV108" s="321">
        <f t="shared" si="110"/>
        <v>0</v>
      </c>
      <c r="BW108" s="321">
        <f t="shared" si="110"/>
        <v>0</v>
      </c>
      <c r="BX108" s="321">
        <f t="shared" si="110"/>
        <v>0</v>
      </c>
      <c r="BY108" s="321">
        <f t="shared" si="110"/>
        <v>0</v>
      </c>
      <c r="BZ108" s="321">
        <f t="shared" si="110"/>
        <v>0</v>
      </c>
      <c r="CA108" s="321">
        <f t="shared" si="110"/>
        <v>0</v>
      </c>
      <c r="CB108" s="321">
        <f t="shared" si="110"/>
        <v>0</v>
      </c>
      <c r="CC108" s="321">
        <f t="shared" si="110"/>
        <v>0</v>
      </c>
      <c r="CD108" s="321">
        <f t="shared" si="110"/>
        <v>0</v>
      </c>
      <c r="CE108" s="321">
        <f t="shared" si="110"/>
        <v>0</v>
      </c>
      <c r="CF108" s="322">
        <f t="shared" si="92"/>
        <v>0</v>
      </c>
      <c r="CG108" s="323" t="s">
        <v>464</v>
      </c>
      <c r="CH108" s="217"/>
      <c r="CI108" s="217"/>
      <c r="CJ108" s="217"/>
      <c r="CK108" s="217"/>
    </row>
    <row r="109" spans="1:89" x14ac:dyDescent="0.3">
      <c r="A109" s="217"/>
      <c r="B109" s="260" t="s">
        <v>338</v>
      </c>
      <c r="C109" s="321">
        <f t="shared" ref="C109:AH109" si="111">SUMIF($F$48:$F$50,C$101,$Q$48:$Q$50)</f>
        <v>0</v>
      </c>
      <c r="D109" s="321">
        <f t="shared" si="111"/>
        <v>0</v>
      </c>
      <c r="E109" s="321">
        <f t="shared" si="111"/>
        <v>0</v>
      </c>
      <c r="F109" s="321">
        <f t="shared" si="111"/>
        <v>0</v>
      </c>
      <c r="G109" s="321">
        <f t="shared" si="111"/>
        <v>0</v>
      </c>
      <c r="H109" s="321">
        <f t="shared" si="111"/>
        <v>0</v>
      </c>
      <c r="I109" s="321">
        <f t="shared" si="111"/>
        <v>0</v>
      </c>
      <c r="J109" s="321">
        <f t="shared" si="111"/>
        <v>0</v>
      </c>
      <c r="K109" s="321">
        <f t="shared" si="111"/>
        <v>0</v>
      </c>
      <c r="L109" s="321">
        <f t="shared" si="111"/>
        <v>0</v>
      </c>
      <c r="M109" s="321">
        <f t="shared" si="111"/>
        <v>0</v>
      </c>
      <c r="N109" s="321">
        <f t="shared" si="111"/>
        <v>0</v>
      </c>
      <c r="O109" s="321">
        <f t="shared" si="111"/>
        <v>0</v>
      </c>
      <c r="P109" s="321">
        <f t="shared" si="111"/>
        <v>0</v>
      </c>
      <c r="Q109" s="321">
        <f t="shared" si="111"/>
        <v>0</v>
      </c>
      <c r="R109" s="321">
        <f t="shared" si="111"/>
        <v>0</v>
      </c>
      <c r="S109" s="321">
        <f t="shared" si="111"/>
        <v>0</v>
      </c>
      <c r="T109" s="321">
        <f t="shared" si="111"/>
        <v>0</v>
      </c>
      <c r="U109" s="321">
        <f t="shared" si="111"/>
        <v>0</v>
      </c>
      <c r="V109" s="321">
        <f t="shared" si="111"/>
        <v>0</v>
      </c>
      <c r="W109" s="321">
        <f t="shared" si="111"/>
        <v>0</v>
      </c>
      <c r="X109" s="321">
        <f t="shared" si="111"/>
        <v>0.6</v>
      </c>
      <c r="Y109" s="321">
        <f t="shared" si="111"/>
        <v>0</v>
      </c>
      <c r="Z109" s="321">
        <f t="shared" si="111"/>
        <v>0</v>
      </c>
      <c r="AA109" s="321">
        <f t="shared" si="111"/>
        <v>0</v>
      </c>
      <c r="AB109" s="321">
        <f t="shared" si="111"/>
        <v>0</v>
      </c>
      <c r="AC109" s="321">
        <f t="shared" si="111"/>
        <v>0</v>
      </c>
      <c r="AD109" s="321">
        <f t="shared" si="111"/>
        <v>0</v>
      </c>
      <c r="AE109" s="321">
        <f t="shared" si="111"/>
        <v>0</v>
      </c>
      <c r="AF109" s="321">
        <f t="shared" si="111"/>
        <v>0</v>
      </c>
      <c r="AG109" s="321">
        <f t="shared" si="111"/>
        <v>0</v>
      </c>
      <c r="AH109" s="321">
        <f t="shared" si="111"/>
        <v>0</v>
      </c>
      <c r="AI109" s="321">
        <f t="shared" ref="AI109:BN109" si="112">SUMIF($F$48:$F$50,AI$101,$Q$48:$Q$50)</f>
        <v>0</v>
      </c>
      <c r="AJ109" s="321">
        <f t="shared" si="112"/>
        <v>0</v>
      </c>
      <c r="AK109" s="321">
        <f t="shared" si="112"/>
        <v>0</v>
      </c>
      <c r="AL109" s="321">
        <f t="shared" si="112"/>
        <v>0</v>
      </c>
      <c r="AM109" s="321">
        <f t="shared" si="112"/>
        <v>0</v>
      </c>
      <c r="AN109" s="321">
        <f t="shared" si="112"/>
        <v>0</v>
      </c>
      <c r="AO109" s="321">
        <f t="shared" si="112"/>
        <v>0</v>
      </c>
      <c r="AP109" s="321">
        <f t="shared" si="112"/>
        <v>0</v>
      </c>
      <c r="AQ109" s="321">
        <f t="shared" si="112"/>
        <v>0</v>
      </c>
      <c r="AR109" s="321">
        <f t="shared" si="112"/>
        <v>0</v>
      </c>
      <c r="AS109" s="321">
        <f t="shared" si="112"/>
        <v>0</v>
      </c>
      <c r="AT109" s="321">
        <f t="shared" si="112"/>
        <v>0</v>
      </c>
      <c r="AU109" s="321">
        <f t="shared" si="112"/>
        <v>0</v>
      </c>
      <c r="AV109" s="321">
        <f t="shared" si="112"/>
        <v>0</v>
      </c>
      <c r="AW109" s="321">
        <f t="shared" si="112"/>
        <v>0</v>
      </c>
      <c r="AX109" s="321">
        <f t="shared" si="112"/>
        <v>0</v>
      </c>
      <c r="AY109" s="321">
        <f t="shared" si="112"/>
        <v>0</v>
      </c>
      <c r="AZ109" s="321">
        <f t="shared" si="112"/>
        <v>0</v>
      </c>
      <c r="BA109" s="321">
        <f t="shared" si="112"/>
        <v>0</v>
      </c>
      <c r="BB109" s="321">
        <f t="shared" si="112"/>
        <v>0</v>
      </c>
      <c r="BC109" s="321">
        <f t="shared" si="112"/>
        <v>0</v>
      </c>
      <c r="BD109" s="321">
        <f t="shared" si="112"/>
        <v>0</v>
      </c>
      <c r="BE109" s="321">
        <f t="shared" si="112"/>
        <v>0</v>
      </c>
      <c r="BF109" s="321">
        <f t="shared" si="112"/>
        <v>0</v>
      </c>
      <c r="BG109" s="321">
        <f t="shared" si="112"/>
        <v>0</v>
      </c>
      <c r="BH109" s="321">
        <f t="shared" si="112"/>
        <v>0</v>
      </c>
      <c r="BI109" s="321">
        <f t="shared" si="112"/>
        <v>0</v>
      </c>
      <c r="BJ109" s="321">
        <f t="shared" si="112"/>
        <v>0</v>
      </c>
      <c r="BK109" s="321">
        <f t="shared" si="112"/>
        <v>0</v>
      </c>
      <c r="BL109" s="321">
        <f t="shared" si="112"/>
        <v>0</v>
      </c>
      <c r="BM109" s="321">
        <f t="shared" si="112"/>
        <v>0</v>
      </c>
      <c r="BN109" s="321">
        <f t="shared" si="112"/>
        <v>0</v>
      </c>
      <c r="BO109" s="321">
        <f t="shared" ref="BO109:CE109" si="113">SUMIF($F$48:$F$50,BO$101,$Q$48:$Q$50)</f>
        <v>0</v>
      </c>
      <c r="BP109" s="321">
        <f t="shared" si="113"/>
        <v>0</v>
      </c>
      <c r="BQ109" s="321">
        <f t="shared" si="113"/>
        <v>0</v>
      </c>
      <c r="BR109" s="321">
        <f t="shared" si="113"/>
        <v>0</v>
      </c>
      <c r="BS109" s="321">
        <f t="shared" si="113"/>
        <v>0</v>
      </c>
      <c r="BT109" s="321">
        <f t="shared" si="113"/>
        <v>0</v>
      </c>
      <c r="BU109" s="321">
        <f t="shared" si="113"/>
        <v>0</v>
      </c>
      <c r="BV109" s="321">
        <f t="shared" si="113"/>
        <v>0</v>
      </c>
      <c r="BW109" s="321">
        <f t="shared" si="113"/>
        <v>0</v>
      </c>
      <c r="BX109" s="321">
        <f t="shared" si="113"/>
        <v>0</v>
      </c>
      <c r="BY109" s="321">
        <f t="shared" si="113"/>
        <v>0</v>
      </c>
      <c r="BZ109" s="321">
        <f t="shared" si="113"/>
        <v>0</v>
      </c>
      <c r="CA109" s="321">
        <f t="shared" si="113"/>
        <v>0</v>
      </c>
      <c r="CB109" s="321">
        <f t="shared" si="113"/>
        <v>0</v>
      </c>
      <c r="CC109" s="321">
        <f t="shared" si="113"/>
        <v>0</v>
      </c>
      <c r="CD109" s="321">
        <f t="shared" si="113"/>
        <v>0</v>
      </c>
      <c r="CE109" s="321">
        <f t="shared" si="113"/>
        <v>0</v>
      </c>
      <c r="CF109" s="322">
        <f t="shared" si="92"/>
        <v>0.6</v>
      </c>
      <c r="CG109" s="323"/>
      <c r="CH109" s="217"/>
      <c r="CI109" s="217"/>
      <c r="CJ109" s="217"/>
      <c r="CK109" s="217"/>
    </row>
    <row r="110" spans="1:89" x14ac:dyDescent="0.3">
      <c r="A110" s="217"/>
      <c r="B110" s="260" t="s">
        <v>566</v>
      </c>
      <c r="C110" s="321">
        <f t="shared" ref="C110:AH110" si="114">SUMIF($F$51:$F$52,C$101,$Q$51:$Q$52)</f>
        <v>0</v>
      </c>
      <c r="D110" s="321">
        <f t="shared" si="114"/>
        <v>0</v>
      </c>
      <c r="E110" s="321">
        <f t="shared" si="114"/>
        <v>0</v>
      </c>
      <c r="F110" s="321">
        <f t="shared" si="114"/>
        <v>0</v>
      </c>
      <c r="G110" s="321">
        <f t="shared" si="114"/>
        <v>0</v>
      </c>
      <c r="H110" s="321">
        <f t="shared" si="114"/>
        <v>0</v>
      </c>
      <c r="I110" s="321">
        <f t="shared" si="114"/>
        <v>0</v>
      </c>
      <c r="J110" s="321">
        <f t="shared" si="114"/>
        <v>0</v>
      </c>
      <c r="K110" s="321">
        <f t="shared" si="114"/>
        <v>0</v>
      </c>
      <c r="L110" s="321">
        <f t="shared" si="114"/>
        <v>0</v>
      </c>
      <c r="M110" s="321">
        <f t="shared" si="114"/>
        <v>0</v>
      </c>
      <c r="N110" s="321">
        <f t="shared" si="114"/>
        <v>0</v>
      </c>
      <c r="O110" s="321">
        <f t="shared" si="114"/>
        <v>0</v>
      </c>
      <c r="P110" s="321">
        <f t="shared" si="114"/>
        <v>0</v>
      </c>
      <c r="Q110" s="321">
        <f t="shared" si="114"/>
        <v>0</v>
      </c>
      <c r="R110" s="321">
        <f t="shared" si="114"/>
        <v>0</v>
      </c>
      <c r="S110" s="321">
        <f t="shared" si="114"/>
        <v>0</v>
      </c>
      <c r="T110" s="321">
        <f t="shared" si="114"/>
        <v>0</v>
      </c>
      <c r="U110" s="321">
        <f t="shared" si="114"/>
        <v>0</v>
      </c>
      <c r="V110" s="321">
        <f t="shared" si="114"/>
        <v>0</v>
      </c>
      <c r="W110" s="321">
        <f t="shared" si="114"/>
        <v>0</v>
      </c>
      <c r="X110" s="321">
        <f t="shared" si="114"/>
        <v>0.6</v>
      </c>
      <c r="Y110" s="321">
        <f t="shared" si="114"/>
        <v>0</v>
      </c>
      <c r="Z110" s="321">
        <f t="shared" si="114"/>
        <v>0</v>
      </c>
      <c r="AA110" s="321">
        <f t="shared" si="114"/>
        <v>0</v>
      </c>
      <c r="AB110" s="321">
        <f t="shared" si="114"/>
        <v>0</v>
      </c>
      <c r="AC110" s="321">
        <f t="shared" si="114"/>
        <v>0</v>
      </c>
      <c r="AD110" s="321">
        <f t="shared" si="114"/>
        <v>0</v>
      </c>
      <c r="AE110" s="321">
        <f t="shared" si="114"/>
        <v>0</v>
      </c>
      <c r="AF110" s="321">
        <f t="shared" si="114"/>
        <v>0</v>
      </c>
      <c r="AG110" s="321">
        <f t="shared" si="114"/>
        <v>0</v>
      </c>
      <c r="AH110" s="321">
        <f t="shared" si="114"/>
        <v>0</v>
      </c>
      <c r="AI110" s="321">
        <f t="shared" ref="AI110:BN110" si="115">SUMIF($F$51:$F$52,AI$101,$Q$51:$Q$52)</f>
        <v>0</v>
      </c>
      <c r="AJ110" s="321">
        <f t="shared" si="115"/>
        <v>0</v>
      </c>
      <c r="AK110" s="321">
        <f t="shared" si="115"/>
        <v>0</v>
      </c>
      <c r="AL110" s="321">
        <f t="shared" si="115"/>
        <v>0</v>
      </c>
      <c r="AM110" s="321">
        <f t="shared" si="115"/>
        <v>0</v>
      </c>
      <c r="AN110" s="321">
        <f t="shared" si="115"/>
        <v>0</v>
      </c>
      <c r="AO110" s="321">
        <f t="shared" si="115"/>
        <v>0</v>
      </c>
      <c r="AP110" s="321">
        <f t="shared" si="115"/>
        <v>0</v>
      </c>
      <c r="AQ110" s="321">
        <f t="shared" si="115"/>
        <v>0</v>
      </c>
      <c r="AR110" s="321">
        <f t="shared" si="115"/>
        <v>0</v>
      </c>
      <c r="AS110" s="321">
        <f t="shared" si="115"/>
        <v>0</v>
      </c>
      <c r="AT110" s="321">
        <f t="shared" si="115"/>
        <v>0</v>
      </c>
      <c r="AU110" s="321">
        <f t="shared" si="115"/>
        <v>0</v>
      </c>
      <c r="AV110" s="321">
        <f t="shared" si="115"/>
        <v>0</v>
      </c>
      <c r="AW110" s="321">
        <f t="shared" si="115"/>
        <v>0</v>
      </c>
      <c r="AX110" s="321">
        <f t="shared" si="115"/>
        <v>0</v>
      </c>
      <c r="AY110" s="321">
        <f t="shared" si="115"/>
        <v>0</v>
      </c>
      <c r="AZ110" s="321">
        <f t="shared" si="115"/>
        <v>0</v>
      </c>
      <c r="BA110" s="321">
        <f t="shared" si="115"/>
        <v>0</v>
      </c>
      <c r="BB110" s="321">
        <f t="shared" si="115"/>
        <v>0</v>
      </c>
      <c r="BC110" s="321">
        <f t="shared" si="115"/>
        <v>0</v>
      </c>
      <c r="BD110" s="321">
        <f t="shared" si="115"/>
        <v>0</v>
      </c>
      <c r="BE110" s="321">
        <f t="shared" si="115"/>
        <v>0</v>
      </c>
      <c r="BF110" s="321">
        <f t="shared" si="115"/>
        <v>0</v>
      </c>
      <c r="BG110" s="321">
        <f t="shared" si="115"/>
        <v>0</v>
      </c>
      <c r="BH110" s="321">
        <f t="shared" si="115"/>
        <v>0</v>
      </c>
      <c r="BI110" s="321">
        <f t="shared" si="115"/>
        <v>0</v>
      </c>
      <c r="BJ110" s="321">
        <f t="shared" si="115"/>
        <v>0</v>
      </c>
      <c r="BK110" s="321">
        <f t="shared" si="115"/>
        <v>0</v>
      </c>
      <c r="BL110" s="321">
        <f t="shared" si="115"/>
        <v>0</v>
      </c>
      <c r="BM110" s="321">
        <f t="shared" si="115"/>
        <v>0</v>
      </c>
      <c r="BN110" s="321">
        <f t="shared" si="115"/>
        <v>0</v>
      </c>
      <c r="BO110" s="321">
        <f t="shared" ref="BO110:CE110" si="116">SUMIF($F$51:$F$52,BO$101,$Q$51:$Q$52)</f>
        <v>0</v>
      </c>
      <c r="BP110" s="321">
        <f t="shared" si="116"/>
        <v>0</v>
      </c>
      <c r="BQ110" s="321">
        <f t="shared" si="116"/>
        <v>0</v>
      </c>
      <c r="BR110" s="321">
        <f t="shared" si="116"/>
        <v>0</v>
      </c>
      <c r="BS110" s="321">
        <f t="shared" si="116"/>
        <v>0</v>
      </c>
      <c r="BT110" s="321">
        <f t="shared" si="116"/>
        <v>0</v>
      </c>
      <c r="BU110" s="321">
        <f t="shared" si="116"/>
        <v>0</v>
      </c>
      <c r="BV110" s="321">
        <f t="shared" si="116"/>
        <v>0</v>
      </c>
      <c r="BW110" s="321">
        <f t="shared" si="116"/>
        <v>0</v>
      </c>
      <c r="BX110" s="321">
        <f t="shared" si="116"/>
        <v>0</v>
      </c>
      <c r="BY110" s="321">
        <f t="shared" si="116"/>
        <v>0</v>
      </c>
      <c r="BZ110" s="321">
        <f t="shared" si="116"/>
        <v>0</v>
      </c>
      <c r="CA110" s="321">
        <f t="shared" si="116"/>
        <v>0</v>
      </c>
      <c r="CB110" s="321">
        <f t="shared" si="116"/>
        <v>0</v>
      </c>
      <c r="CC110" s="321">
        <f t="shared" si="116"/>
        <v>0</v>
      </c>
      <c r="CD110" s="321">
        <f t="shared" si="116"/>
        <v>0</v>
      </c>
      <c r="CE110" s="321">
        <f t="shared" si="116"/>
        <v>0</v>
      </c>
      <c r="CF110" s="322">
        <f t="shared" si="92"/>
        <v>0.6</v>
      </c>
      <c r="CG110" s="323"/>
      <c r="CH110" s="217"/>
      <c r="CI110" s="217"/>
      <c r="CJ110" s="217"/>
      <c r="CK110" s="217"/>
    </row>
    <row r="111" spans="1:89" x14ac:dyDescent="0.3">
      <c r="A111" s="217"/>
      <c r="B111" s="260" t="s">
        <v>533</v>
      </c>
      <c r="C111" s="321">
        <f t="shared" ref="C111:AH111" si="117">SUMIF($F$53:$F$55,C$101,$Q$53:$Q$55)</f>
        <v>0</v>
      </c>
      <c r="D111" s="321">
        <f t="shared" si="117"/>
        <v>0</v>
      </c>
      <c r="E111" s="321">
        <f t="shared" si="117"/>
        <v>0</v>
      </c>
      <c r="F111" s="321">
        <f t="shared" si="117"/>
        <v>0</v>
      </c>
      <c r="G111" s="321">
        <f t="shared" si="117"/>
        <v>0</v>
      </c>
      <c r="H111" s="321">
        <f t="shared" si="117"/>
        <v>0</v>
      </c>
      <c r="I111" s="321">
        <f t="shared" si="117"/>
        <v>0</v>
      </c>
      <c r="J111" s="321">
        <f t="shared" si="117"/>
        <v>0</v>
      </c>
      <c r="K111" s="321">
        <f t="shared" si="117"/>
        <v>0</v>
      </c>
      <c r="L111" s="321">
        <f t="shared" si="117"/>
        <v>0</v>
      </c>
      <c r="M111" s="321">
        <f t="shared" si="117"/>
        <v>0</v>
      </c>
      <c r="N111" s="321">
        <f t="shared" si="117"/>
        <v>0</v>
      </c>
      <c r="O111" s="321">
        <f t="shared" si="117"/>
        <v>0</v>
      </c>
      <c r="P111" s="321">
        <f t="shared" si="117"/>
        <v>0</v>
      </c>
      <c r="Q111" s="321">
        <f t="shared" si="117"/>
        <v>0</v>
      </c>
      <c r="R111" s="321">
        <f t="shared" si="117"/>
        <v>0</v>
      </c>
      <c r="S111" s="321">
        <f t="shared" si="117"/>
        <v>0</v>
      </c>
      <c r="T111" s="321">
        <f t="shared" si="117"/>
        <v>0</v>
      </c>
      <c r="U111" s="321">
        <f t="shared" si="117"/>
        <v>0</v>
      </c>
      <c r="V111" s="321">
        <f t="shared" si="117"/>
        <v>0</v>
      </c>
      <c r="W111" s="321">
        <f t="shared" si="117"/>
        <v>0</v>
      </c>
      <c r="X111" s="321">
        <f t="shared" si="117"/>
        <v>0</v>
      </c>
      <c r="Y111" s="321">
        <f t="shared" si="117"/>
        <v>0</v>
      </c>
      <c r="Z111" s="321">
        <f t="shared" si="117"/>
        <v>0</v>
      </c>
      <c r="AA111" s="321">
        <f t="shared" si="117"/>
        <v>0</v>
      </c>
      <c r="AB111" s="321">
        <f t="shared" si="117"/>
        <v>0</v>
      </c>
      <c r="AC111" s="321">
        <f t="shared" si="117"/>
        <v>0</v>
      </c>
      <c r="AD111" s="321">
        <f t="shared" si="117"/>
        <v>0</v>
      </c>
      <c r="AE111" s="321">
        <f t="shared" si="117"/>
        <v>0</v>
      </c>
      <c r="AF111" s="321">
        <f t="shared" si="117"/>
        <v>0</v>
      </c>
      <c r="AG111" s="321">
        <f t="shared" si="117"/>
        <v>0</v>
      </c>
      <c r="AH111" s="321">
        <f t="shared" si="117"/>
        <v>0</v>
      </c>
      <c r="AI111" s="321">
        <f t="shared" ref="AI111:BN111" si="118">SUMIF($F$53:$F$55,AI$101,$Q$53:$Q$55)</f>
        <v>0</v>
      </c>
      <c r="AJ111" s="321">
        <f t="shared" si="118"/>
        <v>0</v>
      </c>
      <c r="AK111" s="321">
        <f t="shared" si="118"/>
        <v>0</v>
      </c>
      <c r="AL111" s="321">
        <f t="shared" si="118"/>
        <v>0</v>
      </c>
      <c r="AM111" s="321">
        <f t="shared" si="118"/>
        <v>0</v>
      </c>
      <c r="AN111" s="321">
        <f t="shared" si="118"/>
        <v>0</v>
      </c>
      <c r="AO111" s="321">
        <f t="shared" si="118"/>
        <v>0</v>
      </c>
      <c r="AP111" s="321">
        <f t="shared" si="118"/>
        <v>0</v>
      </c>
      <c r="AQ111" s="321">
        <f t="shared" si="118"/>
        <v>0</v>
      </c>
      <c r="AR111" s="321">
        <f t="shared" si="118"/>
        <v>0</v>
      </c>
      <c r="AS111" s="321">
        <f t="shared" si="118"/>
        <v>0</v>
      </c>
      <c r="AT111" s="321">
        <f t="shared" si="118"/>
        <v>0</v>
      </c>
      <c r="AU111" s="321">
        <f t="shared" si="118"/>
        <v>0</v>
      </c>
      <c r="AV111" s="321">
        <f t="shared" si="118"/>
        <v>0</v>
      </c>
      <c r="AW111" s="321">
        <f t="shared" si="118"/>
        <v>0</v>
      </c>
      <c r="AX111" s="321">
        <f t="shared" si="118"/>
        <v>0</v>
      </c>
      <c r="AY111" s="321">
        <f t="shared" si="118"/>
        <v>0</v>
      </c>
      <c r="AZ111" s="321">
        <f t="shared" si="118"/>
        <v>0</v>
      </c>
      <c r="BA111" s="321">
        <f t="shared" si="118"/>
        <v>0</v>
      </c>
      <c r="BB111" s="321">
        <f t="shared" si="118"/>
        <v>0</v>
      </c>
      <c r="BC111" s="321">
        <f t="shared" si="118"/>
        <v>0</v>
      </c>
      <c r="BD111" s="321">
        <f t="shared" si="118"/>
        <v>0</v>
      </c>
      <c r="BE111" s="321">
        <f t="shared" si="118"/>
        <v>0</v>
      </c>
      <c r="BF111" s="321">
        <f t="shared" si="118"/>
        <v>0</v>
      </c>
      <c r="BG111" s="321">
        <f t="shared" si="118"/>
        <v>0</v>
      </c>
      <c r="BH111" s="321">
        <f t="shared" si="118"/>
        <v>0</v>
      </c>
      <c r="BI111" s="321">
        <f t="shared" si="118"/>
        <v>0</v>
      </c>
      <c r="BJ111" s="321">
        <f t="shared" si="118"/>
        <v>0</v>
      </c>
      <c r="BK111" s="321">
        <f t="shared" si="118"/>
        <v>0</v>
      </c>
      <c r="BL111" s="321">
        <f t="shared" si="118"/>
        <v>0</v>
      </c>
      <c r="BM111" s="321">
        <f t="shared" si="118"/>
        <v>0</v>
      </c>
      <c r="BN111" s="321">
        <f t="shared" si="118"/>
        <v>0</v>
      </c>
      <c r="BO111" s="321">
        <f t="shared" ref="BO111:CE111" si="119">SUMIF($F$53:$F$55,BO$101,$Q$53:$Q$55)</f>
        <v>0</v>
      </c>
      <c r="BP111" s="321">
        <f t="shared" si="119"/>
        <v>0</v>
      </c>
      <c r="BQ111" s="321">
        <f t="shared" si="119"/>
        <v>0</v>
      </c>
      <c r="BR111" s="321">
        <f t="shared" si="119"/>
        <v>0</v>
      </c>
      <c r="BS111" s="321">
        <f t="shared" si="119"/>
        <v>0</v>
      </c>
      <c r="BT111" s="321">
        <f t="shared" si="119"/>
        <v>0</v>
      </c>
      <c r="BU111" s="321">
        <f t="shared" si="119"/>
        <v>0</v>
      </c>
      <c r="BV111" s="321">
        <f t="shared" si="119"/>
        <v>0</v>
      </c>
      <c r="BW111" s="321">
        <f t="shared" si="119"/>
        <v>0</v>
      </c>
      <c r="BX111" s="321">
        <f t="shared" si="119"/>
        <v>0</v>
      </c>
      <c r="BY111" s="321">
        <f t="shared" si="119"/>
        <v>0</v>
      </c>
      <c r="BZ111" s="321">
        <f t="shared" si="119"/>
        <v>0</v>
      </c>
      <c r="CA111" s="321">
        <f t="shared" si="119"/>
        <v>0</v>
      </c>
      <c r="CB111" s="321">
        <f t="shared" si="119"/>
        <v>0</v>
      </c>
      <c r="CC111" s="321">
        <f t="shared" si="119"/>
        <v>0</v>
      </c>
      <c r="CD111" s="321">
        <f t="shared" si="119"/>
        <v>0</v>
      </c>
      <c r="CE111" s="321">
        <f t="shared" si="119"/>
        <v>0</v>
      </c>
      <c r="CF111" s="322">
        <f t="shared" si="92"/>
        <v>0</v>
      </c>
      <c r="CG111" s="323" t="s">
        <v>464</v>
      </c>
      <c r="CH111" s="217"/>
      <c r="CI111" s="217"/>
      <c r="CJ111" s="217"/>
      <c r="CK111" s="217"/>
    </row>
    <row r="112" spans="1:89" x14ac:dyDescent="0.3">
      <c r="A112" s="217"/>
      <c r="B112" s="260" t="s">
        <v>534</v>
      </c>
      <c r="C112" s="321">
        <f t="shared" ref="C112:AH112" si="120">SUMIF($F$56,C$101,$Q$56)</f>
        <v>0</v>
      </c>
      <c r="D112" s="321">
        <f t="shared" si="120"/>
        <v>0</v>
      </c>
      <c r="E112" s="321">
        <f t="shared" si="120"/>
        <v>0</v>
      </c>
      <c r="F112" s="321">
        <f t="shared" si="120"/>
        <v>0</v>
      </c>
      <c r="G112" s="321">
        <f t="shared" si="120"/>
        <v>0</v>
      </c>
      <c r="H112" s="321">
        <f t="shared" si="120"/>
        <v>0</v>
      </c>
      <c r="I112" s="321">
        <f t="shared" si="120"/>
        <v>0</v>
      </c>
      <c r="J112" s="321">
        <f t="shared" si="120"/>
        <v>0</v>
      </c>
      <c r="K112" s="321">
        <f t="shared" si="120"/>
        <v>0</v>
      </c>
      <c r="L112" s="321">
        <f t="shared" si="120"/>
        <v>0</v>
      </c>
      <c r="M112" s="321">
        <f t="shared" si="120"/>
        <v>0</v>
      </c>
      <c r="N112" s="321">
        <f t="shared" si="120"/>
        <v>0</v>
      </c>
      <c r="O112" s="321">
        <f t="shared" si="120"/>
        <v>0</v>
      </c>
      <c r="P112" s="321">
        <f t="shared" si="120"/>
        <v>0</v>
      </c>
      <c r="Q112" s="321">
        <f t="shared" si="120"/>
        <v>0</v>
      </c>
      <c r="R112" s="321">
        <f t="shared" si="120"/>
        <v>0</v>
      </c>
      <c r="S112" s="321">
        <f t="shared" si="120"/>
        <v>0</v>
      </c>
      <c r="T112" s="321">
        <f t="shared" si="120"/>
        <v>0</v>
      </c>
      <c r="U112" s="321">
        <f t="shared" si="120"/>
        <v>0</v>
      </c>
      <c r="V112" s="321">
        <f t="shared" si="120"/>
        <v>0</v>
      </c>
      <c r="W112" s="321">
        <f t="shared" si="120"/>
        <v>0</v>
      </c>
      <c r="X112" s="321">
        <f t="shared" si="120"/>
        <v>0.6</v>
      </c>
      <c r="Y112" s="321">
        <f t="shared" si="120"/>
        <v>0</v>
      </c>
      <c r="Z112" s="321">
        <f t="shared" si="120"/>
        <v>0</v>
      </c>
      <c r="AA112" s="321">
        <f t="shared" si="120"/>
        <v>0</v>
      </c>
      <c r="AB112" s="321">
        <f t="shared" si="120"/>
        <v>0</v>
      </c>
      <c r="AC112" s="321">
        <f t="shared" si="120"/>
        <v>0</v>
      </c>
      <c r="AD112" s="321">
        <f t="shared" si="120"/>
        <v>0</v>
      </c>
      <c r="AE112" s="321">
        <f t="shared" si="120"/>
        <v>0</v>
      </c>
      <c r="AF112" s="321">
        <f t="shared" si="120"/>
        <v>0</v>
      </c>
      <c r="AG112" s="321">
        <f t="shared" si="120"/>
        <v>0</v>
      </c>
      <c r="AH112" s="321">
        <f t="shared" si="120"/>
        <v>0</v>
      </c>
      <c r="AI112" s="321">
        <f t="shared" ref="AI112:BN112" si="121">SUMIF($F$56,AI$101,$Q$56)</f>
        <v>0</v>
      </c>
      <c r="AJ112" s="321">
        <f t="shared" si="121"/>
        <v>0</v>
      </c>
      <c r="AK112" s="321">
        <f t="shared" si="121"/>
        <v>0</v>
      </c>
      <c r="AL112" s="321">
        <f t="shared" si="121"/>
        <v>0</v>
      </c>
      <c r="AM112" s="321">
        <f t="shared" si="121"/>
        <v>0</v>
      </c>
      <c r="AN112" s="321">
        <f t="shared" si="121"/>
        <v>0</v>
      </c>
      <c r="AO112" s="321">
        <f t="shared" si="121"/>
        <v>0</v>
      </c>
      <c r="AP112" s="321">
        <f t="shared" si="121"/>
        <v>0</v>
      </c>
      <c r="AQ112" s="321">
        <f t="shared" si="121"/>
        <v>0</v>
      </c>
      <c r="AR112" s="321">
        <f t="shared" si="121"/>
        <v>0</v>
      </c>
      <c r="AS112" s="321">
        <f t="shared" si="121"/>
        <v>0</v>
      </c>
      <c r="AT112" s="321">
        <f t="shared" si="121"/>
        <v>0</v>
      </c>
      <c r="AU112" s="321">
        <f t="shared" si="121"/>
        <v>0</v>
      </c>
      <c r="AV112" s="321">
        <f t="shared" si="121"/>
        <v>0</v>
      </c>
      <c r="AW112" s="321">
        <f t="shared" si="121"/>
        <v>0</v>
      </c>
      <c r="AX112" s="321">
        <f t="shared" si="121"/>
        <v>0</v>
      </c>
      <c r="AY112" s="321">
        <f t="shared" si="121"/>
        <v>0</v>
      </c>
      <c r="AZ112" s="321">
        <f t="shared" si="121"/>
        <v>0</v>
      </c>
      <c r="BA112" s="321">
        <f t="shared" si="121"/>
        <v>0</v>
      </c>
      <c r="BB112" s="321">
        <f t="shared" si="121"/>
        <v>0</v>
      </c>
      <c r="BC112" s="321">
        <f t="shared" si="121"/>
        <v>0</v>
      </c>
      <c r="BD112" s="321">
        <f t="shared" si="121"/>
        <v>0</v>
      </c>
      <c r="BE112" s="321">
        <f t="shared" si="121"/>
        <v>0</v>
      </c>
      <c r="BF112" s="321">
        <f t="shared" si="121"/>
        <v>0</v>
      </c>
      <c r="BG112" s="321">
        <f t="shared" si="121"/>
        <v>0</v>
      </c>
      <c r="BH112" s="321">
        <f t="shared" si="121"/>
        <v>0</v>
      </c>
      <c r="BI112" s="321">
        <f t="shared" si="121"/>
        <v>0</v>
      </c>
      <c r="BJ112" s="321">
        <f t="shared" si="121"/>
        <v>0</v>
      </c>
      <c r="BK112" s="321">
        <f t="shared" si="121"/>
        <v>0</v>
      </c>
      <c r="BL112" s="321">
        <f t="shared" si="121"/>
        <v>0</v>
      </c>
      <c r="BM112" s="321">
        <f t="shared" si="121"/>
        <v>0</v>
      </c>
      <c r="BN112" s="321">
        <f t="shared" si="121"/>
        <v>0</v>
      </c>
      <c r="BO112" s="321">
        <f t="shared" ref="BO112:CE112" si="122">SUMIF($F$56,BO$101,$Q$56)</f>
        <v>0</v>
      </c>
      <c r="BP112" s="321">
        <f t="shared" si="122"/>
        <v>0</v>
      </c>
      <c r="BQ112" s="321">
        <f t="shared" si="122"/>
        <v>0</v>
      </c>
      <c r="BR112" s="321">
        <f t="shared" si="122"/>
        <v>0</v>
      </c>
      <c r="BS112" s="321">
        <f t="shared" si="122"/>
        <v>0</v>
      </c>
      <c r="BT112" s="321">
        <f t="shared" si="122"/>
        <v>0</v>
      </c>
      <c r="BU112" s="321">
        <f t="shared" si="122"/>
        <v>0</v>
      </c>
      <c r="BV112" s="321">
        <f t="shared" si="122"/>
        <v>0</v>
      </c>
      <c r="BW112" s="321">
        <f t="shared" si="122"/>
        <v>0</v>
      </c>
      <c r="BX112" s="321">
        <f t="shared" si="122"/>
        <v>0</v>
      </c>
      <c r="BY112" s="321">
        <f t="shared" si="122"/>
        <v>0</v>
      </c>
      <c r="BZ112" s="321">
        <f t="shared" si="122"/>
        <v>0</v>
      </c>
      <c r="CA112" s="321">
        <f t="shared" si="122"/>
        <v>0</v>
      </c>
      <c r="CB112" s="321">
        <f t="shared" si="122"/>
        <v>0</v>
      </c>
      <c r="CC112" s="321">
        <f t="shared" si="122"/>
        <v>0</v>
      </c>
      <c r="CD112" s="321">
        <f t="shared" si="122"/>
        <v>0</v>
      </c>
      <c r="CE112" s="321">
        <f t="shared" si="122"/>
        <v>0</v>
      </c>
      <c r="CF112" s="322">
        <f t="shared" si="92"/>
        <v>0.6</v>
      </c>
      <c r="CG112" s="323"/>
      <c r="CH112" s="217"/>
      <c r="CI112" s="217"/>
      <c r="CJ112" s="217"/>
      <c r="CK112" s="217"/>
    </row>
    <row r="113" spans="1:89" x14ac:dyDescent="0.3">
      <c r="A113" s="217"/>
      <c r="B113" s="260" t="s">
        <v>535</v>
      </c>
      <c r="C113" s="321">
        <f t="shared" ref="C113:AH113" si="123">SUMIF($F$57,C$101,$Q$57)</f>
        <v>0</v>
      </c>
      <c r="D113" s="321">
        <f t="shared" si="123"/>
        <v>0</v>
      </c>
      <c r="E113" s="321">
        <f t="shared" si="123"/>
        <v>0</v>
      </c>
      <c r="F113" s="321">
        <f t="shared" si="123"/>
        <v>0</v>
      </c>
      <c r="G113" s="321">
        <f t="shared" si="123"/>
        <v>0</v>
      </c>
      <c r="H113" s="321">
        <f t="shared" si="123"/>
        <v>0</v>
      </c>
      <c r="I113" s="321">
        <f t="shared" si="123"/>
        <v>0</v>
      </c>
      <c r="J113" s="321">
        <f t="shared" si="123"/>
        <v>0</v>
      </c>
      <c r="K113" s="321">
        <f t="shared" si="123"/>
        <v>0</v>
      </c>
      <c r="L113" s="321">
        <f t="shared" si="123"/>
        <v>0</v>
      </c>
      <c r="M113" s="321">
        <f t="shared" si="123"/>
        <v>0</v>
      </c>
      <c r="N113" s="321">
        <f t="shared" si="123"/>
        <v>0</v>
      </c>
      <c r="O113" s="321">
        <f t="shared" si="123"/>
        <v>0</v>
      </c>
      <c r="P113" s="321">
        <f t="shared" si="123"/>
        <v>0</v>
      </c>
      <c r="Q113" s="321">
        <f t="shared" si="123"/>
        <v>0</v>
      </c>
      <c r="R113" s="321">
        <f t="shared" si="123"/>
        <v>0</v>
      </c>
      <c r="S113" s="321">
        <f t="shared" si="123"/>
        <v>0</v>
      </c>
      <c r="T113" s="321">
        <f t="shared" si="123"/>
        <v>0</v>
      </c>
      <c r="U113" s="321">
        <f t="shared" si="123"/>
        <v>0</v>
      </c>
      <c r="V113" s="321">
        <f t="shared" si="123"/>
        <v>0</v>
      </c>
      <c r="W113" s="321">
        <f t="shared" si="123"/>
        <v>0</v>
      </c>
      <c r="X113" s="321">
        <f t="shared" si="123"/>
        <v>0</v>
      </c>
      <c r="Y113" s="321">
        <f t="shared" si="123"/>
        <v>0</v>
      </c>
      <c r="Z113" s="321">
        <f t="shared" si="123"/>
        <v>0</v>
      </c>
      <c r="AA113" s="321">
        <f t="shared" si="123"/>
        <v>0</v>
      </c>
      <c r="AB113" s="321">
        <f t="shared" si="123"/>
        <v>0</v>
      </c>
      <c r="AC113" s="321">
        <f t="shared" si="123"/>
        <v>0</v>
      </c>
      <c r="AD113" s="321">
        <f t="shared" si="123"/>
        <v>0</v>
      </c>
      <c r="AE113" s="321">
        <f t="shared" si="123"/>
        <v>0</v>
      </c>
      <c r="AF113" s="321">
        <f t="shared" si="123"/>
        <v>0</v>
      </c>
      <c r="AG113" s="321">
        <f t="shared" si="123"/>
        <v>0</v>
      </c>
      <c r="AH113" s="321">
        <f t="shared" si="123"/>
        <v>0</v>
      </c>
      <c r="AI113" s="321">
        <f t="shared" ref="AI113:BN113" si="124">SUMIF($F$57,AI$101,$Q$57)</f>
        <v>0</v>
      </c>
      <c r="AJ113" s="321">
        <f t="shared" si="124"/>
        <v>0</v>
      </c>
      <c r="AK113" s="321">
        <f t="shared" si="124"/>
        <v>0</v>
      </c>
      <c r="AL113" s="321">
        <f t="shared" si="124"/>
        <v>0</v>
      </c>
      <c r="AM113" s="321">
        <f t="shared" si="124"/>
        <v>0</v>
      </c>
      <c r="AN113" s="321">
        <f t="shared" si="124"/>
        <v>0</v>
      </c>
      <c r="AO113" s="321">
        <f t="shared" si="124"/>
        <v>0</v>
      </c>
      <c r="AP113" s="321">
        <f t="shared" si="124"/>
        <v>0</v>
      </c>
      <c r="AQ113" s="321">
        <f t="shared" si="124"/>
        <v>0</v>
      </c>
      <c r="AR113" s="321">
        <f t="shared" si="124"/>
        <v>0</v>
      </c>
      <c r="AS113" s="321">
        <f t="shared" si="124"/>
        <v>0</v>
      </c>
      <c r="AT113" s="321">
        <f t="shared" si="124"/>
        <v>0</v>
      </c>
      <c r="AU113" s="321">
        <f t="shared" si="124"/>
        <v>0</v>
      </c>
      <c r="AV113" s="321">
        <f t="shared" si="124"/>
        <v>0</v>
      </c>
      <c r="AW113" s="321">
        <f t="shared" si="124"/>
        <v>0</v>
      </c>
      <c r="AX113" s="321">
        <f t="shared" si="124"/>
        <v>0</v>
      </c>
      <c r="AY113" s="321">
        <f t="shared" si="124"/>
        <v>0</v>
      </c>
      <c r="AZ113" s="321">
        <f t="shared" si="124"/>
        <v>0</v>
      </c>
      <c r="BA113" s="321">
        <f t="shared" si="124"/>
        <v>0</v>
      </c>
      <c r="BB113" s="321">
        <f t="shared" si="124"/>
        <v>0</v>
      </c>
      <c r="BC113" s="321">
        <f t="shared" si="124"/>
        <v>0</v>
      </c>
      <c r="BD113" s="321">
        <f t="shared" si="124"/>
        <v>0</v>
      </c>
      <c r="BE113" s="321">
        <f t="shared" si="124"/>
        <v>0</v>
      </c>
      <c r="BF113" s="321">
        <f t="shared" si="124"/>
        <v>0</v>
      </c>
      <c r="BG113" s="321">
        <f t="shared" si="124"/>
        <v>0</v>
      </c>
      <c r="BH113" s="321">
        <f t="shared" si="124"/>
        <v>0</v>
      </c>
      <c r="BI113" s="321">
        <f t="shared" si="124"/>
        <v>0</v>
      </c>
      <c r="BJ113" s="321">
        <f t="shared" si="124"/>
        <v>0</v>
      </c>
      <c r="BK113" s="321">
        <f t="shared" si="124"/>
        <v>0</v>
      </c>
      <c r="BL113" s="321">
        <f t="shared" si="124"/>
        <v>0</v>
      </c>
      <c r="BM113" s="321">
        <f t="shared" si="124"/>
        <v>0</v>
      </c>
      <c r="BN113" s="321">
        <f t="shared" si="124"/>
        <v>0</v>
      </c>
      <c r="BO113" s="321">
        <f t="shared" ref="BO113:CE113" si="125">SUMIF($F$57,BO$101,$Q$57)</f>
        <v>0</v>
      </c>
      <c r="BP113" s="321">
        <f t="shared" si="125"/>
        <v>0</v>
      </c>
      <c r="BQ113" s="321">
        <f t="shared" si="125"/>
        <v>0</v>
      </c>
      <c r="BR113" s="321">
        <f t="shared" si="125"/>
        <v>0</v>
      </c>
      <c r="BS113" s="321">
        <f t="shared" si="125"/>
        <v>0</v>
      </c>
      <c r="BT113" s="321">
        <f t="shared" si="125"/>
        <v>0</v>
      </c>
      <c r="BU113" s="321">
        <f t="shared" si="125"/>
        <v>0</v>
      </c>
      <c r="BV113" s="321">
        <f t="shared" si="125"/>
        <v>0</v>
      </c>
      <c r="BW113" s="321">
        <f t="shared" si="125"/>
        <v>0</v>
      </c>
      <c r="BX113" s="321">
        <f t="shared" si="125"/>
        <v>0</v>
      </c>
      <c r="BY113" s="321">
        <f t="shared" si="125"/>
        <v>0</v>
      </c>
      <c r="BZ113" s="321">
        <f t="shared" si="125"/>
        <v>0</v>
      </c>
      <c r="CA113" s="321">
        <f t="shared" si="125"/>
        <v>0</v>
      </c>
      <c r="CB113" s="321">
        <f t="shared" si="125"/>
        <v>0</v>
      </c>
      <c r="CC113" s="321">
        <f t="shared" si="125"/>
        <v>0</v>
      </c>
      <c r="CD113" s="321">
        <f t="shared" si="125"/>
        <v>0</v>
      </c>
      <c r="CE113" s="321">
        <f t="shared" si="125"/>
        <v>0</v>
      </c>
      <c r="CF113" s="322">
        <f t="shared" si="92"/>
        <v>0</v>
      </c>
      <c r="CG113" s="323" t="s">
        <v>464</v>
      </c>
      <c r="CH113" s="217"/>
      <c r="CI113" s="217"/>
      <c r="CJ113" s="217"/>
      <c r="CK113" s="217"/>
    </row>
    <row r="114" spans="1:89" x14ac:dyDescent="0.3">
      <c r="A114" s="217"/>
      <c r="B114" s="260" t="s">
        <v>536</v>
      </c>
      <c r="C114" s="321">
        <f t="shared" ref="C114:AH114" si="126">SUMIF($F$58,C$101,$Q$58)</f>
        <v>0</v>
      </c>
      <c r="D114" s="321">
        <f t="shared" si="126"/>
        <v>0</v>
      </c>
      <c r="E114" s="321">
        <f t="shared" si="126"/>
        <v>0</v>
      </c>
      <c r="F114" s="321">
        <f t="shared" si="126"/>
        <v>0</v>
      </c>
      <c r="G114" s="321">
        <f t="shared" si="126"/>
        <v>0</v>
      </c>
      <c r="H114" s="321">
        <f t="shared" si="126"/>
        <v>0</v>
      </c>
      <c r="I114" s="321">
        <f t="shared" si="126"/>
        <v>0</v>
      </c>
      <c r="J114" s="321">
        <f t="shared" si="126"/>
        <v>0</v>
      </c>
      <c r="K114" s="321">
        <f t="shared" si="126"/>
        <v>0</v>
      </c>
      <c r="L114" s="321">
        <f t="shared" si="126"/>
        <v>0</v>
      </c>
      <c r="M114" s="321">
        <f t="shared" si="126"/>
        <v>0</v>
      </c>
      <c r="N114" s="321">
        <f t="shared" si="126"/>
        <v>0</v>
      </c>
      <c r="O114" s="321">
        <f t="shared" si="126"/>
        <v>0</v>
      </c>
      <c r="P114" s="321">
        <f t="shared" si="126"/>
        <v>0</v>
      </c>
      <c r="Q114" s="321">
        <f t="shared" si="126"/>
        <v>0</v>
      </c>
      <c r="R114" s="321">
        <f t="shared" si="126"/>
        <v>0</v>
      </c>
      <c r="S114" s="321">
        <f t="shared" si="126"/>
        <v>0</v>
      </c>
      <c r="T114" s="321">
        <f t="shared" si="126"/>
        <v>0</v>
      </c>
      <c r="U114" s="321">
        <f t="shared" si="126"/>
        <v>0</v>
      </c>
      <c r="V114" s="321">
        <f t="shared" si="126"/>
        <v>0</v>
      </c>
      <c r="W114" s="321">
        <f t="shared" si="126"/>
        <v>0</v>
      </c>
      <c r="X114" s="321">
        <f t="shared" si="126"/>
        <v>0</v>
      </c>
      <c r="Y114" s="321">
        <f t="shared" si="126"/>
        <v>0</v>
      </c>
      <c r="Z114" s="321">
        <f t="shared" si="126"/>
        <v>0</v>
      </c>
      <c r="AA114" s="321">
        <f t="shared" si="126"/>
        <v>0</v>
      </c>
      <c r="AB114" s="321">
        <f t="shared" si="126"/>
        <v>0</v>
      </c>
      <c r="AC114" s="321">
        <f t="shared" si="126"/>
        <v>0</v>
      </c>
      <c r="AD114" s="321">
        <f t="shared" si="126"/>
        <v>0</v>
      </c>
      <c r="AE114" s="321">
        <f t="shared" si="126"/>
        <v>0</v>
      </c>
      <c r="AF114" s="321">
        <f t="shared" si="126"/>
        <v>0</v>
      </c>
      <c r="AG114" s="321">
        <f t="shared" si="126"/>
        <v>0</v>
      </c>
      <c r="AH114" s="321">
        <f t="shared" si="126"/>
        <v>0</v>
      </c>
      <c r="AI114" s="321">
        <f t="shared" ref="AI114:BN114" si="127">SUMIF($F$58,AI$101,$Q$58)</f>
        <v>0</v>
      </c>
      <c r="AJ114" s="321">
        <f t="shared" si="127"/>
        <v>0</v>
      </c>
      <c r="AK114" s="321">
        <f t="shared" si="127"/>
        <v>0</v>
      </c>
      <c r="AL114" s="321">
        <f t="shared" si="127"/>
        <v>0</v>
      </c>
      <c r="AM114" s="321">
        <f t="shared" si="127"/>
        <v>0</v>
      </c>
      <c r="AN114" s="321">
        <f t="shared" si="127"/>
        <v>0</v>
      </c>
      <c r="AO114" s="321">
        <f t="shared" si="127"/>
        <v>0</v>
      </c>
      <c r="AP114" s="321">
        <f t="shared" si="127"/>
        <v>0</v>
      </c>
      <c r="AQ114" s="321">
        <f t="shared" si="127"/>
        <v>0</v>
      </c>
      <c r="AR114" s="321">
        <f t="shared" si="127"/>
        <v>0</v>
      </c>
      <c r="AS114" s="321">
        <f t="shared" si="127"/>
        <v>0</v>
      </c>
      <c r="AT114" s="321">
        <f t="shared" si="127"/>
        <v>0</v>
      </c>
      <c r="AU114" s="321">
        <f t="shared" si="127"/>
        <v>0</v>
      </c>
      <c r="AV114" s="321">
        <f t="shared" si="127"/>
        <v>0</v>
      </c>
      <c r="AW114" s="321">
        <f t="shared" si="127"/>
        <v>0</v>
      </c>
      <c r="AX114" s="321">
        <f t="shared" si="127"/>
        <v>0</v>
      </c>
      <c r="AY114" s="321">
        <f t="shared" si="127"/>
        <v>0</v>
      </c>
      <c r="AZ114" s="321">
        <f t="shared" si="127"/>
        <v>0</v>
      </c>
      <c r="BA114" s="321">
        <f t="shared" si="127"/>
        <v>0</v>
      </c>
      <c r="BB114" s="321">
        <f t="shared" si="127"/>
        <v>0</v>
      </c>
      <c r="BC114" s="321">
        <f t="shared" si="127"/>
        <v>0</v>
      </c>
      <c r="BD114" s="321">
        <f t="shared" si="127"/>
        <v>0</v>
      </c>
      <c r="BE114" s="321">
        <f t="shared" si="127"/>
        <v>0</v>
      </c>
      <c r="BF114" s="321">
        <f t="shared" si="127"/>
        <v>0</v>
      </c>
      <c r="BG114" s="321">
        <f t="shared" si="127"/>
        <v>0</v>
      </c>
      <c r="BH114" s="321">
        <f t="shared" si="127"/>
        <v>0</v>
      </c>
      <c r="BI114" s="321">
        <f t="shared" si="127"/>
        <v>0</v>
      </c>
      <c r="BJ114" s="321">
        <f t="shared" si="127"/>
        <v>0</v>
      </c>
      <c r="BK114" s="321">
        <f t="shared" si="127"/>
        <v>0</v>
      </c>
      <c r="BL114" s="321">
        <f t="shared" si="127"/>
        <v>0</v>
      </c>
      <c r="BM114" s="321">
        <f t="shared" si="127"/>
        <v>0</v>
      </c>
      <c r="BN114" s="321">
        <f t="shared" si="127"/>
        <v>0</v>
      </c>
      <c r="BO114" s="321">
        <f t="shared" ref="BO114:CE114" si="128">SUMIF($F$58,BO$101,$Q$58)</f>
        <v>0</v>
      </c>
      <c r="BP114" s="321">
        <f t="shared" si="128"/>
        <v>0</v>
      </c>
      <c r="BQ114" s="321">
        <f t="shared" si="128"/>
        <v>0</v>
      </c>
      <c r="BR114" s="321">
        <f t="shared" si="128"/>
        <v>0</v>
      </c>
      <c r="BS114" s="321">
        <f t="shared" si="128"/>
        <v>0</v>
      </c>
      <c r="BT114" s="321">
        <f t="shared" si="128"/>
        <v>0</v>
      </c>
      <c r="BU114" s="321">
        <f t="shared" si="128"/>
        <v>0</v>
      </c>
      <c r="BV114" s="321">
        <f t="shared" si="128"/>
        <v>0</v>
      </c>
      <c r="BW114" s="321">
        <f t="shared" si="128"/>
        <v>0</v>
      </c>
      <c r="BX114" s="321">
        <f t="shared" si="128"/>
        <v>0</v>
      </c>
      <c r="BY114" s="321">
        <f t="shared" si="128"/>
        <v>0</v>
      </c>
      <c r="BZ114" s="321">
        <f t="shared" si="128"/>
        <v>0</v>
      </c>
      <c r="CA114" s="321">
        <f t="shared" si="128"/>
        <v>0</v>
      </c>
      <c r="CB114" s="321">
        <f t="shared" si="128"/>
        <v>0</v>
      </c>
      <c r="CC114" s="321">
        <f t="shared" si="128"/>
        <v>0</v>
      </c>
      <c r="CD114" s="321">
        <f t="shared" si="128"/>
        <v>0</v>
      </c>
      <c r="CE114" s="321">
        <f t="shared" si="128"/>
        <v>0</v>
      </c>
      <c r="CF114" s="322">
        <f t="shared" si="92"/>
        <v>0</v>
      </c>
      <c r="CG114" s="323" t="s">
        <v>464</v>
      </c>
      <c r="CH114" s="217"/>
      <c r="CI114" s="217"/>
      <c r="CJ114" s="217"/>
      <c r="CK114" s="217"/>
    </row>
    <row r="115" spans="1:89" x14ac:dyDescent="0.3">
      <c r="A115" s="217"/>
      <c r="B115" s="262" t="s">
        <v>431</v>
      </c>
      <c r="C115" s="321">
        <f t="shared" ref="C115:AH115" si="129">SUMIF($F$59:$F$63,C$101,$Q$59:$Q$63)</f>
        <v>0</v>
      </c>
      <c r="D115" s="321">
        <f t="shared" si="129"/>
        <v>0</v>
      </c>
      <c r="E115" s="321">
        <f t="shared" si="129"/>
        <v>0</v>
      </c>
      <c r="F115" s="321">
        <f t="shared" si="129"/>
        <v>0</v>
      </c>
      <c r="G115" s="321">
        <f t="shared" si="129"/>
        <v>0</v>
      </c>
      <c r="H115" s="321">
        <f t="shared" si="129"/>
        <v>0</v>
      </c>
      <c r="I115" s="321">
        <f t="shared" si="129"/>
        <v>0.1212121212121212</v>
      </c>
      <c r="J115" s="321">
        <f t="shared" si="129"/>
        <v>0</v>
      </c>
      <c r="K115" s="321">
        <f t="shared" si="129"/>
        <v>0</v>
      </c>
      <c r="L115" s="321">
        <f t="shared" si="129"/>
        <v>0</v>
      </c>
      <c r="M115" s="321">
        <f t="shared" si="129"/>
        <v>0</v>
      </c>
      <c r="N115" s="321">
        <f t="shared" si="129"/>
        <v>0</v>
      </c>
      <c r="O115" s="321">
        <f t="shared" si="129"/>
        <v>0</v>
      </c>
      <c r="P115" s="321">
        <f t="shared" si="129"/>
        <v>0</v>
      </c>
      <c r="Q115" s="321">
        <f t="shared" si="129"/>
        <v>0</v>
      </c>
      <c r="R115" s="321">
        <f t="shared" si="129"/>
        <v>0</v>
      </c>
      <c r="S115" s="321">
        <f t="shared" si="129"/>
        <v>0</v>
      </c>
      <c r="T115" s="321">
        <f t="shared" si="129"/>
        <v>0</v>
      </c>
      <c r="U115" s="321">
        <f t="shared" si="129"/>
        <v>0</v>
      </c>
      <c r="V115" s="321">
        <f t="shared" si="129"/>
        <v>0</v>
      </c>
      <c r="W115" s="321">
        <f t="shared" si="129"/>
        <v>0</v>
      </c>
      <c r="X115" s="321">
        <f t="shared" si="129"/>
        <v>0.41818181818181821</v>
      </c>
      <c r="Y115" s="321">
        <f t="shared" si="129"/>
        <v>0</v>
      </c>
      <c r="Z115" s="321">
        <f t="shared" si="129"/>
        <v>0</v>
      </c>
      <c r="AA115" s="321">
        <f t="shared" si="129"/>
        <v>0</v>
      </c>
      <c r="AB115" s="321">
        <f t="shared" si="129"/>
        <v>0</v>
      </c>
      <c r="AC115" s="321">
        <f t="shared" si="129"/>
        <v>0</v>
      </c>
      <c r="AD115" s="321">
        <f t="shared" si="129"/>
        <v>0</v>
      </c>
      <c r="AE115" s="321">
        <f t="shared" si="129"/>
        <v>0</v>
      </c>
      <c r="AF115" s="321">
        <f t="shared" si="129"/>
        <v>0</v>
      </c>
      <c r="AG115" s="321">
        <f t="shared" si="129"/>
        <v>0</v>
      </c>
      <c r="AH115" s="321">
        <f t="shared" si="129"/>
        <v>0</v>
      </c>
      <c r="AI115" s="321">
        <f t="shared" ref="AI115:BN115" si="130">SUMIF($F$59:$F$63,AI$101,$Q$59:$Q$63)</f>
        <v>0</v>
      </c>
      <c r="AJ115" s="321">
        <f t="shared" si="130"/>
        <v>0</v>
      </c>
      <c r="AK115" s="321">
        <f t="shared" si="130"/>
        <v>0</v>
      </c>
      <c r="AL115" s="321">
        <f t="shared" si="130"/>
        <v>0</v>
      </c>
      <c r="AM115" s="321">
        <f t="shared" si="130"/>
        <v>0</v>
      </c>
      <c r="AN115" s="321">
        <f t="shared" si="130"/>
        <v>0</v>
      </c>
      <c r="AO115" s="321">
        <f t="shared" si="130"/>
        <v>0</v>
      </c>
      <c r="AP115" s="321">
        <f t="shared" si="130"/>
        <v>0</v>
      </c>
      <c r="AQ115" s="321">
        <f t="shared" si="130"/>
        <v>0</v>
      </c>
      <c r="AR115" s="321">
        <f t="shared" si="130"/>
        <v>0</v>
      </c>
      <c r="AS115" s="321">
        <f t="shared" si="130"/>
        <v>0</v>
      </c>
      <c r="AT115" s="321">
        <f t="shared" si="130"/>
        <v>0</v>
      </c>
      <c r="AU115" s="321">
        <f t="shared" si="130"/>
        <v>0</v>
      </c>
      <c r="AV115" s="321">
        <f t="shared" si="130"/>
        <v>0</v>
      </c>
      <c r="AW115" s="321">
        <f t="shared" si="130"/>
        <v>0</v>
      </c>
      <c r="AX115" s="321">
        <f t="shared" si="130"/>
        <v>0</v>
      </c>
      <c r="AY115" s="321">
        <f t="shared" si="130"/>
        <v>0</v>
      </c>
      <c r="AZ115" s="321">
        <f t="shared" si="130"/>
        <v>0</v>
      </c>
      <c r="BA115" s="321">
        <f t="shared" si="130"/>
        <v>0</v>
      </c>
      <c r="BB115" s="321">
        <f t="shared" si="130"/>
        <v>0</v>
      </c>
      <c r="BC115" s="321">
        <f t="shared" si="130"/>
        <v>0</v>
      </c>
      <c r="BD115" s="321">
        <f t="shared" si="130"/>
        <v>0</v>
      </c>
      <c r="BE115" s="321">
        <f t="shared" si="130"/>
        <v>0</v>
      </c>
      <c r="BF115" s="321">
        <f t="shared" si="130"/>
        <v>0</v>
      </c>
      <c r="BG115" s="321">
        <f t="shared" si="130"/>
        <v>0</v>
      </c>
      <c r="BH115" s="321">
        <f t="shared" si="130"/>
        <v>0</v>
      </c>
      <c r="BI115" s="321">
        <f t="shared" si="130"/>
        <v>0</v>
      </c>
      <c r="BJ115" s="321">
        <f t="shared" si="130"/>
        <v>0</v>
      </c>
      <c r="BK115" s="321">
        <f t="shared" si="130"/>
        <v>0</v>
      </c>
      <c r="BL115" s="321">
        <f t="shared" si="130"/>
        <v>0</v>
      </c>
      <c r="BM115" s="321">
        <f t="shared" si="130"/>
        <v>0</v>
      </c>
      <c r="BN115" s="321">
        <f t="shared" si="130"/>
        <v>0</v>
      </c>
      <c r="BO115" s="321">
        <f t="shared" ref="BO115:CE115" si="131">SUMIF($F$59:$F$63,BO$101,$Q$59:$Q$63)</f>
        <v>0</v>
      </c>
      <c r="BP115" s="321">
        <f t="shared" si="131"/>
        <v>0</v>
      </c>
      <c r="BQ115" s="321">
        <f t="shared" si="131"/>
        <v>0</v>
      </c>
      <c r="BR115" s="321">
        <f t="shared" si="131"/>
        <v>0</v>
      </c>
      <c r="BS115" s="321">
        <f t="shared" si="131"/>
        <v>0</v>
      </c>
      <c r="BT115" s="321">
        <f t="shared" si="131"/>
        <v>0</v>
      </c>
      <c r="BU115" s="321">
        <f t="shared" si="131"/>
        <v>0</v>
      </c>
      <c r="BV115" s="321">
        <f t="shared" si="131"/>
        <v>0</v>
      </c>
      <c r="BW115" s="321">
        <f t="shared" si="131"/>
        <v>0</v>
      </c>
      <c r="BX115" s="321">
        <f t="shared" si="131"/>
        <v>0</v>
      </c>
      <c r="BY115" s="321">
        <f t="shared" si="131"/>
        <v>0</v>
      </c>
      <c r="BZ115" s="321">
        <f t="shared" si="131"/>
        <v>0</v>
      </c>
      <c r="CA115" s="321">
        <f t="shared" si="131"/>
        <v>0</v>
      </c>
      <c r="CB115" s="321">
        <f t="shared" si="131"/>
        <v>0</v>
      </c>
      <c r="CC115" s="321">
        <f t="shared" si="131"/>
        <v>0</v>
      </c>
      <c r="CD115" s="321">
        <f t="shared" si="131"/>
        <v>0</v>
      </c>
      <c r="CE115" s="321">
        <f t="shared" si="131"/>
        <v>0</v>
      </c>
      <c r="CF115" s="322">
        <f t="shared" si="92"/>
        <v>0.53939393939393943</v>
      </c>
      <c r="CG115" s="323"/>
      <c r="CH115" s="217"/>
      <c r="CI115" s="217"/>
      <c r="CJ115" s="217"/>
      <c r="CK115" s="217"/>
    </row>
    <row r="116" spans="1:89" x14ac:dyDescent="0.3">
      <c r="A116" s="217"/>
      <c r="B116" s="262" t="s">
        <v>339</v>
      </c>
      <c r="C116" s="321">
        <f t="shared" ref="C116:AH116" si="132">SUMIF($F$64:$F$67,C$101,$Q$64:$Q$67)</f>
        <v>0</v>
      </c>
      <c r="D116" s="321">
        <f t="shared" si="132"/>
        <v>0</v>
      </c>
      <c r="E116" s="321">
        <f t="shared" si="132"/>
        <v>0</v>
      </c>
      <c r="F116" s="321">
        <f t="shared" si="132"/>
        <v>0</v>
      </c>
      <c r="G116" s="321">
        <f t="shared" si="132"/>
        <v>0</v>
      </c>
      <c r="H116" s="321">
        <f t="shared" si="132"/>
        <v>0</v>
      </c>
      <c r="I116" s="321">
        <f t="shared" si="132"/>
        <v>0</v>
      </c>
      <c r="J116" s="321">
        <f t="shared" si="132"/>
        <v>0</v>
      </c>
      <c r="K116" s="321">
        <f t="shared" si="132"/>
        <v>0</v>
      </c>
      <c r="L116" s="321">
        <f t="shared" si="132"/>
        <v>0</v>
      </c>
      <c r="M116" s="321">
        <f t="shared" si="132"/>
        <v>0</v>
      </c>
      <c r="N116" s="321">
        <f t="shared" si="132"/>
        <v>0</v>
      </c>
      <c r="O116" s="321">
        <f t="shared" si="132"/>
        <v>0</v>
      </c>
      <c r="P116" s="321">
        <f t="shared" si="132"/>
        <v>0</v>
      </c>
      <c r="Q116" s="321">
        <f t="shared" si="132"/>
        <v>0</v>
      </c>
      <c r="R116" s="321">
        <f t="shared" si="132"/>
        <v>0</v>
      </c>
      <c r="S116" s="321">
        <f t="shared" si="132"/>
        <v>0</v>
      </c>
      <c r="T116" s="321">
        <f t="shared" si="132"/>
        <v>0</v>
      </c>
      <c r="U116" s="321">
        <f t="shared" si="132"/>
        <v>0</v>
      </c>
      <c r="V116" s="321">
        <f t="shared" si="132"/>
        <v>0</v>
      </c>
      <c r="W116" s="321">
        <f t="shared" si="132"/>
        <v>0</v>
      </c>
      <c r="X116" s="321">
        <f t="shared" si="132"/>
        <v>0</v>
      </c>
      <c r="Y116" s="321">
        <f t="shared" si="132"/>
        <v>0</v>
      </c>
      <c r="Z116" s="321">
        <f t="shared" si="132"/>
        <v>0</v>
      </c>
      <c r="AA116" s="321">
        <f t="shared" si="132"/>
        <v>0</v>
      </c>
      <c r="AB116" s="321">
        <f t="shared" si="132"/>
        <v>0</v>
      </c>
      <c r="AC116" s="321">
        <f t="shared" si="132"/>
        <v>0</v>
      </c>
      <c r="AD116" s="321">
        <f t="shared" si="132"/>
        <v>0</v>
      </c>
      <c r="AE116" s="321">
        <f t="shared" si="132"/>
        <v>0</v>
      </c>
      <c r="AF116" s="321">
        <f t="shared" si="132"/>
        <v>0</v>
      </c>
      <c r="AG116" s="321">
        <f t="shared" si="132"/>
        <v>0</v>
      </c>
      <c r="AH116" s="321">
        <f t="shared" si="132"/>
        <v>0</v>
      </c>
      <c r="AI116" s="321">
        <f t="shared" ref="AI116:BN116" si="133">SUMIF($F$64:$F$67,AI$101,$Q$64:$Q$67)</f>
        <v>0</v>
      </c>
      <c r="AJ116" s="321">
        <f t="shared" si="133"/>
        <v>0</v>
      </c>
      <c r="AK116" s="321">
        <f t="shared" si="133"/>
        <v>0</v>
      </c>
      <c r="AL116" s="321">
        <f t="shared" si="133"/>
        <v>0</v>
      </c>
      <c r="AM116" s="321">
        <f t="shared" si="133"/>
        <v>0</v>
      </c>
      <c r="AN116" s="321">
        <f t="shared" si="133"/>
        <v>0</v>
      </c>
      <c r="AO116" s="321">
        <f t="shared" si="133"/>
        <v>0</v>
      </c>
      <c r="AP116" s="321">
        <f t="shared" si="133"/>
        <v>0</v>
      </c>
      <c r="AQ116" s="321">
        <f t="shared" si="133"/>
        <v>0</v>
      </c>
      <c r="AR116" s="321">
        <f t="shared" si="133"/>
        <v>0</v>
      </c>
      <c r="AS116" s="321">
        <f t="shared" si="133"/>
        <v>0</v>
      </c>
      <c r="AT116" s="321">
        <f t="shared" si="133"/>
        <v>0</v>
      </c>
      <c r="AU116" s="321">
        <f t="shared" si="133"/>
        <v>0</v>
      </c>
      <c r="AV116" s="321">
        <f t="shared" si="133"/>
        <v>0</v>
      </c>
      <c r="AW116" s="321">
        <f t="shared" si="133"/>
        <v>0</v>
      </c>
      <c r="AX116" s="321">
        <f t="shared" si="133"/>
        <v>0</v>
      </c>
      <c r="AY116" s="321">
        <f t="shared" si="133"/>
        <v>0</v>
      </c>
      <c r="AZ116" s="321">
        <f t="shared" si="133"/>
        <v>0</v>
      </c>
      <c r="BA116" s="321">
        <f t="shared" si="133"/>
        <v>0</v>
      </c>
      <c r="BB116" s="321">
        <f t="shared" si="133"/>
        <v>0</v>
      </c>
      <c r="BC116" s="321">
        <f t="shared" si="133"/>
        <v>0</v>
      </c>
      <c r="BD116" s="321">
        <f t="shared" si="133"/>
        <v>0</v>
      </c>
      <c r="BE116" s="321">
        <f t="shared" si="133"/>
        <v>0</v>
      </c>
      <c r="BF116" s="321">
        <f t="shared" si="133"/>
        <v>0</v>
      </c>
      <c r="BG116" s="321">
        <f t="shared" si="133"/>
        <v>0</v>
      </c>
      <c r="BH116" s="321">
        <f t="shared" si="133"/>
        <v>0</v>
      </c>
      <c r="BI116" s="321">
        <f t="shared" si="133"/>
        <v>0</v>
      </c>
      <c r="BJ116" s="321">
        <f t="shared" si="133"/>
        <v>0</v>
      </c>
      <c r="BK116" s="321">
        <f t="shared" si="133"/>
        <v>0</v>
      </c>
      <c r="BL116" s="321">
        <f t="shared" si="133"/>
        <v>0</v>
      </c>
      <c r="BM116" s="321">
        <f t="shared" si="133"/>
        <v>0</v>
      </c>
      <c r="BN116" s="321">
        <f t="shared" si="133"/>
        <v>0</v>
      </c>
      <c r="BO116" s="321">
        <f t="shared" ref="BO116:CE116" si="134">SUMIF($F$64:$F$67,BO$101,$Q$64:$Q$67)</f>
        <v>0</v>
      </c>
      <c r="BP116" s="321">
        <f t="shared" si="134"/>
        <v>0</v>
      </c>
      <c r="BQ116" s="321">
        <f t="shared" si="134"/>
        <v>0</v>
      </c>
      <c r="BR116" s="321">
        <f t="shared" si="134"/>
        <v>0</v>
      </c>
      <c r="BS116" s="321">
        <f t="shared" si="134"/>
        <v>0</v>
      </c>
      <c r="BT116" s="321">
        <f t="shared" si="134"/>
        <v>0</v>
      </c>
      <c r="BU116" s="321">
        <f t="shared" si="134"/>
        <v>0</v>
      </c>
      <c r="BV116" s="321">
        <f t="shared" si="134"/>
        <v>0</v>
      </c>
      <c r="BW116" s="321">
        <f t="shared" si="134"/>
        <v>0</v>
      </c>
      <c r="BX116" s="321">
        <f t="shared" si="134"/>
        <v>0</v>
      </c>
      <c r="BY116" s="321">
        <f t="shared" si="134"/>
        <v>0</v>
      </c>
      <c r="BZ116" s="321">
        <f t="shared" si="134"/>
        <v>0</v>
      </c>
      <c r="CA116" s="321">
        <f t="shared" si="134"/>
        <v>0</v>
      </c>
      <c r="CB116" s="321">
        <f t="shared" si="134"/>
        <v>0</v>
      </c>
      <c r="CC116" s="321">
        <f t="shared" si="134"/>
        <v>0</v>
      </c>
      <c r="CD116" s="321">
        <f t="shared" si="134"/>
        <v>0</v>
      </c>
      <c r="CE116" s="321">
        <f t="shared" si="134"/>
        <v>0</v>
      </c>
      <c r="CF116" s="322">
        <f t="shared" si="92"/>
        <v>0</v>
      </c>
      <c r="CG116" s="323" t="s">
        <v>464</v>
      </c>
      <c r="CH116" s="217"/>
      <c r="CI116" s="217"/>
      <c r="CJ116" s="217"/>
      <c r="CK116" s="217"/>
    </row>
    <row r="117" spans="1:89" x14ac:dyDescent="0.3">
      <c r="A117" s="217"/>
      <c r="B117" s="262" t="s">
        <v>787</v>
      </c>
      <c r="C117" s="321">
        <f>SUMIF($F$68,C$101,$Q$68)</f>
        <v>0</v>
      </c>
      <c r="D117" s="321">
        <f t="shared" ref="D117:BO117" si="135">SUMIF($F$68,D$101,$Q$68)</f>
        <v>0</v>
      </c>
      <c r="E117" s="321">
        <f t="shared" si="135"/>
        <v>0</v>
      </c>
      <c r="F117" s="321">
        <f t="shared" si="135"/>
        <v>0</v>
      </c>
      <c r="G117" s="321">
        <f t="shared" si="135"/>
        <v>0</v>
      </c>
      <c r="H117" s="321">
        <f t="shared" si="135"/>
        <v>0</v>
      </c>
      <c r="I117" s="321">
        <f t="shared" si="135"/>
        <v>0</v>
      </c>
      <c r="J117" s="321">
        <f t="shared" si="135"/>
        <v>0</v>
      </c>
      <c r="K117" s="321">
        <f t="shared" si="135"/>
        <v>0</v>
      </c>
      <c r="L117" s="321">
        <f t="shared" si="135"/>
        <v>0</v>
      </c>
      <c r="M117" s="321">
        <f t="shared" si="135"/>
        <v>0</v>
      </c>
      <c r="N117" s="321">
        <f t="shared" si="135"/>
        <v>0</v>
      </c>
      <c r="O117" s="321">
        <f t="shared" si="135"/>
        <v>0</v>
      </c>
      <c r="P117" s="321">
        <f t="shared" si="135"/>
        <v>0</v>
      </c>
      <c r="Q117" s="321">
        <f t="shared" si="135"/>
        <v>0</v>
      </c>
      <c r="R117" s="321">
        <f t="shared" si="135"/>
        <v>0</v>
      </c>
      <c r="S117" s="321">
        <f t="shared" si="135"/>
        <v>0</v>
      </c>
      <c r="T117" s="321">
        <f t="shared" si="135"/>
        <v>0</v>
      </c>
      <c r="U117" s="321">
        <f t="shared" si="135"/>
        <v>0</v>
      </c>
      <c r="V117" s="321">
        <f t="shared" si="135"/>
        <v>0</v>
      </c>
      <c r="W117" s="321">
        <f t="shared" si="135"/>
        <v>0</v>
      </c>
      <c r="X117" s="321">
        <f t="shared" si="135"/>
        <v>0</v>
      </c>
      <c r="Y117" s="321">
        <f t="shared" si="135"/>
        <v>0</v>
      </c>
      <c r="Z117" s="321">
        <f t="shared" si="135"/>
        <v>0</v>
      </c>
      <c r="AA117" s="321">
        <f t="shared" si="135"/>
        <v>0</v>
      </c>
      <c r="AB117" s="321">
        <f t="shared" si="135"/>
        <v>0</v>
      </c>
      <c r="AC117" s="321">
        <f t="shared" si="135"/>
        <v>0</v>
      </c>
      <c r="AD117" s="321">
        <f t="shared" si="135"/>
        <v>0</v>
      </c>
      <c r="AE117" s="321">
        <f t="shared" si="135"/>
        <v>0</v>
      </c>
      <c r="AF117" s="321">
        <f t="shared" si="135"/>
        <v>0</v>
      </c>
      <c r="AG117" s="321">
        <f t="shared" si="135"/>
        <v>0</v>
      </c>
      <c r="AH117" s="321">
        <f t="shared" si="135"/>
        <v>0</v>
      </c>
      <c r="AI117" s="321">
        <f t="shared" si="135"/>
        <v>0</v>
      </c>
      <c r="AJ117" s="321">
        <f t="shared" si="135"/>
        <v>0</v>
      </c>
      <c r="AK117" s="321">
        <f t="shared" si="135"/>
        <v>0</v>
      </c>
      <c r="AL117" s="321">
        <f t="shared" si="135"/>
        <v>0</v>
      </c>
      <c r="AM117" s="321">
        <f t="shared" si="135"/>
        <v>0</v>
      </c>
      <c r="AN117" s="321">
        <f t="shared" si="135"/>
        <v>0</v>
      </c>
      <c r="AO117" s="321">
        <f t="shared" si="135"/>
        <v>0</v>
      </c>
      <c r="AP117" s="321">
        <f t="shared" si="135"/>
        <v>0</v>
      </c>
      <c r="AQ117" s="321">
        <f t="shared" si="135"/>
        <v>0</v>
      </c>
      <c r="AR117" s="321">
        <f t="shared" si="135"/>
        <v>0</v>
      </c>
      <c r="AS117" s="321">
        <f t="shared" si="135"/>
        <v>0</v>
      </c>
      <c r="AT117" s="321">
        <f t="shared" si="135"/>
        <v>0</v>
      </c>
      <c r="AU117" s="321">
        <f t="shared" si="135"/>
        <v>0</v>
      </c>
      <c r="AV117" s="321">
        <f t="shared" si="135"/>
        <v>0</v>
      </c>
      <c r="AW117" s="321">
        <f t="shared" si="135"/>
        <v>0</v>
      </c>
      <c r="AX117" s="321">
        <f t="shared" si="135"/>
        <v>0</v>
      </c>
      <c r="AY117" s="321">
        <f t="shared" si="135"/>
        <v>0</v>
      </c>
      <c r="AZ117" s="321">
        <f t="shared" si="135"/>
        <v>0</v>
      </c>
      <c r="BA117" s="321">
        <f t="shared" si="135"/>
        <v>0</v>
      </c>
      <c r="BB117" s="321">
        <f t="shared" si="135"/>
        <v>0</v>
      </c>
      <c r="BC117" s="321">
        <f t="shared" si="135"/>
        <v>0</v>
      </c>
      <c r="BD117" s="321">
        <f t="shared" si="135"/>
        <v>0</v>
      </c>
      <c r="BE117" s="321">
        <f t="shared" si="135"/>
        <v>0</v>
      </c>
      <c r="BF117" s="321">
        <f t="shared" si="135"/>
        <v>0</v>
      </c>
      <c r="BG117" s="321">
        <f t="shared" si="135"/>
        <v>0</v>
      </c>
      <c r="BH117" s="321">
        <f t="shared" si="135"/>
        <v>0</v>
      </c>
      <c r="BI117" s="321">
        <f t="shared" si="135"/>
        <v>0</v>
      </c>
      <c r="BJ117" s="321">
        <f t="shared" si="135"/>
        <v>0</v>
      </c>
      <c r="BK117" s="321">
        <f t="shared" si="135"/>
        <v>0</v>
      </c>
      <c r="BL117" s="321">
        <f t="shared" si="135"/>
        <v>0</v>
      </c>
      <c r="BM117" s="321">
        <f t="shared" si="135"/>
        <v>0</v>
      </c>
      <c r="BN117" s="321">
        <f t="shared" si="135"/>
        <v>0</v>
      </c>
      <c r="BO117" s="321">
        <f t="shared" si="135"/>
        <v>0</v>
      </c>
      <c r="BP117" s="321">
        <f t="shared" ref="BP117:CE117" si="136">SUMIF($F$68,BP$101,$Q$68)</f>
        <v>0</v>
      </c>
      <c r="BQ117" s="321">
        <f t="shared" si="136"/>
        <v>0</v>
      </c>
      <c r="BR117" s="321">
        <f t="shared" si="136"/>
        <v>0</v>
      </c>
      <c r="BS117" s="321">
        <f t="shared" si="136"/>
        <v>0</v>
      </c>
      <c r="BT117" s="321">
        <f t="shared" si="136"/>
        <v>0</v>
      </c>
      <c r="BU117" s="321">
        <f t="shared" si="136"/>
        <v>0</v>
      </c>
      <c r="BV117" s="321">
        <f t="shared" si="136"/>
        <v>0</v>
      </c>
      <c r="BW117" s="321">
        <f t="shared" si="136"/>
        <v>0</v>
      </c>
      <c r="BX117" s="321">
        <f t="shared" si="136"/>
        <v>0</v>
      </c>
      <c r="BY117" s="321">
        <f t="shared" si="136"/>
        <v>0</v>
      </c>
      <c r="BZ117" s="321">
        <f t="shared" si="136"/>
        <v>0</v>
      </c>
      <c r="CA117" s="321">
        <f t="shared" si="136"/>
        <v>0</v>
      </c>
      <c r="CB117" s="321">
        <f t="shared" si="136"/>
        <v>0</v>
      </c>
      <c r="CC117" s="321">
        <f t="shared" si="136"/>
        <v>0</v>
      </c>
      <c r="CD117" s="321">
        <f t="shared" si="136"/>
        <v>0</v>
      </c>
      <c r="CE117" s="321">
        <f t="shared" si="136"/>
        <v>0</v>
      </c>
      <c r="CF117" s="322">
        <f t="shared" si="92"/>
        <v>0</v>
      </c>
      <c r="CG117" s="323" t="s">
        <v>464</v>
      </c>
      <c r="CH117" s="217"/>
      <c r="CI117" s="217"/>
      <c r="CJ117" s="217"/>
      <c r="CK117" s="217"/>
    </row>
    <row r="118" spans="1:89" s="506" customFormat="1" x14ac:dyDescent="0.3">
      <c r="A118" s="217"/>
      <c r="B118" s="262" t="s">
        <v>788</v>
      </c>
      <c r="C118" s="321">
        <f>SUMIF($F$69,C$101,$Q$69)</f>
        <v>0</v>
      </c>
      <c r="D118" s="321">
        <f t="shared" ref="D118:BO118" si="137">SUMIF($F$69,D$101,$Q$69)</f>
        <v>0</v>
      </c>
      <c r="E118" s="321">
        <f t="shared" si="137"/>
        <v>0</v>
      </c>
      <c r="F118" s="321">
        <f t="shared" si="137"/>
        <v>0</v>
      </c>
      <c r="G118" s="321">
        <f t="shared" si="137"/>
        <v>0</v>
      </c>
      <c r="H118" s="321">
        <f t="shared" si="137"/>
        <v>0</v>
      </c>
      <c r="I118" s="321">
        <f t="shared" si="137"/>
        <v>0</v>
      </c>
      <c r="J118" s="321">
        <f t="shared" si="137"/>
        <v>0</v>
      </c>
      <c r="K118" s="321">
        <f t="shared" si="137"/>
        <v>0</v>
      </c>
      <c r="L118" s="321">
        <f t="shared" si="137"/>
        <v>0</v>
      </c>
      <c r="M118" s="321">
        <f t="shared" si="137"/>
        <v>0</v>
      </c>
      <c r="N118" s="321">
        <f t="shared" si="137"/>
        <v>0</v>
      </c>
      <c r="O118" s="321">
        <f t="shared" si="137"/>
        <v>0</v>
      </c>
      <c r="P118" s="321">
        <f t="shared" si="137"/>
        <v>0</v>
      </c>
      <c r="Q118" s="321">
        <f t="shared" si="137"/>
        <v>0</v>
      </c>
      <c r="R118" s="321">
        <f t="shared" si="137"/>
        <v>0</v>
      </c>
      <c r="S118" s="321">
        <f t="shared" si="137"/>
        <v>0</v>
      </c>
      <c r="T118" s="321">
        <f t="shared" si="137"/>
        <v>0</v>
      </c>
      <c r="U118" s="321">
        <f t="shared" si="137"/>
        <v>0</v>
      </c>
      <c r="V118" s="321">
        <f t="shared" si="137"/>
        <v>0</v>
      </c>
      <c r="W118" s="321">
        <f t="shared" si="137"/>
        <v>0</v>
      </c>
      <c r="X118" s="321">
        <f t="shared" si="137"/>
        <v>0</v>
      </c>
      <c r="Y118" s="321">
        <f t="shared" si="137"/>
        <v>0</v>
      </c>
      <c r="Z118" s="321">
        <f t="shared" si="137"/>
        <v>0</v>
      </c>
      <c r="AA118" s="321">
        <f t="shared" si="137"/>
        <v>0</v>
      </c>
      <c r="AB118" s="321">
        <f t="shared" si="137"/>
        <v>0</v>
      </c>
      <c r="AC118" s="321">
        <f t="shared" si="137"/>
        <v>0</v>
      </c>
      <c r="AD118" s="321">
        <f t="shared" si="137"/>
        <v>0</v>
      </c>
      <c r="AE118" s="321">
        <f t="shared" si="137"/>
        <v>0</v>
      </c>
      <c r="AF118" s="321">
        <f t="shared" si="137"/>
        <v>0</v>
      </c>
      <c r="AG118" s="321">
        <f t="shared" si="137"/>
        <v>0</v>
      </c>
      <c r="AH118" s="321">
        <f t="shared" si="137"/>
        <v>0</v>
      </c>
      <c r="AI118" s="321">
        <f t="shared" si="137"/>
        <v>0</v>
      </c>
      <c r="AJ118" s="321">
        <f t="shared" si="137"/>
        <v>0</v>
      </c>
      <c r="AK118" s="321">
        <f t="shared" si="137"/>
        <v>0</v>
      </c>
      <c r="AL118" s="321">
        <f t="shared" si="137"/>
        <v>0</v>
      </c>
      <c r="AM118" s="321">
        <f t="shared" si="137"/>
        <v>0</v>
      </c>
      <c r="AN118" s="321">
        <f t="shared" si="137"/>
        <v>0</v>
      </c>
      <c r="AO118" s="321">
        <f t="shared" si="137"/>
        <v>0</v>
      </c>
      <c r="AP118" s="321">
        <f t="shared" si="137"/>
        <v>0</v>
      </c>
      <c r="AQ118" s="321">
        <f t="shared" si="137"/>
        <v>0</v>
      </c>
      <c r="AR118" s="321">
        <f t="shared" si="137"/>
        <v>0</v>
      </c>
      <c r="AS118" s="321">
        <f t="shared" si="137"/>
        <v>0</v>
      </c>
      <c r="AT118" s="321">
        <f t="shared" si="137"/>
        <v>0</v>
      </c>
      <c r="AU118" s="321">
        <f t="shared" si="137"/>
        <v>0</v>
      </c>
      <c r="AV118" s="321">
        <f t="shared" si="137"/>
        <v>0</v>
      </c>
      <c r="AW118" s="321">
        <f t="shared" si="137"/>
        <v>0</v>
      </c>
      <c r="AX118" s="321">
        <f t="shared" si="137"/>
        <v>0</v>
      </c>
      <c r="AY118" s="321">
        <f t="shared" si="137"/>
        <v>0</v>
      </c>
      <c r="AZ118" s="321">
        <f t="shared" si="137"/>
        <v>0</v>
      </c>
      <c r="BA118" s="321">
        <f t="shared" si="137"/>
        <v>0</v>
      </c>
      <c r="BB118" s="321">
        <f t="shared" si="137"/>
        <v>0</v>
      </c>
      <c r="BC118" s="321">
        <f t="shared" si="137"/>
        <v>0</v>
      </c>
      <c r="BD118" s="321">
        <f t="shared" si="137"/>
        <v>0</v>
      </c>
      <c r="BE118" s="321">
        <f t="shared" si="137"/>
        <v>0</v>
      </c>
      <c r="BF118" s="321">
        <f t="shared" si="137"/>
        <v>0</v>
      </c>
      <c r="BG118" s="321">
        <f t="shared" si="137"/>
        <v>0</v>
      </c>
      <c r="BH118" s="321">
        <f t="shared" si="137"/>
        <v>0</v>
      </c>
      <c r="BI118" s="321">
        <f t="shared" si="137"/>
        <v>0</v>
      </c>
      <c r="BJ118" s="321">
        <f t="shared" si="137"/>
        <v>0</v>
      </c>
      <c r="BK118" s="321">
        <f t="shared" si="137"/>
        <v>0</v>
      </c>
      <c r="BL118" s="321">
        <f t="shared" si="137"/>
        <v>0</v>
      </c>
      <c r="BM118" s="321">
        <f t="shared" si="137"/>
        <v>0</v>
      </c>
      <c r="BN118" s="321">
        <f t="shared" si="137"/>
        <v>0</v>
      </c>
      <c r="BO118" s="321">
        <f t="shared" si="137"/>
        <v>0</v>
      </c>
      <c r="BP118" s="321">
        <f t="shared" ref="BP118:CE118" si="138">SUMIF($F$69,BP$101,$Q$69)</f>
        <v>0</v>
      </c>
      <c r="BQ118" s="321">
        <f t="shared" si="138"/>
        <v>0</v>
      </c>
      <c r="BR118" s="321">
        <f t="shared" si="138"/>
        <v>0</v>
      </c>
      <c r="BS118" s="321">
        <f t="shared" si="138"/>
        <v>0</v>
      </c>
      <c r="BT118" s="321">
        <f t="shared" si="138"/>
        <v>0</v>
      </c>
      <c r="BU118" s="321">
        <f t="shared" si="138"/>
        <v>0</v>
      </c>
      <c r="BV118" s="321">
        <f t="shared" si="138"/>
        <v>0</v>
      </c>
      <c r="BW118" s="321">
        <f t="shared" si="138"/>
        <v>0</v>
      </c>
      <c r="BX118" s="321">
        <f t="shared" si="138"/>
        <v>0</v>
      </c>
      <c r="BY118" s="321">
        <f t="shared" si="138"/>
        <v>0</v>
      </c>
      <c r="BZ118" s="321">
        <f t="shared" si="138"/>
        <v>0</v>
      </c>
      <c r="CA118" s="321">
        <f t="shared" si="138"/>
        <v>0</v>
      </c>
      <c r="CB118" s="321">
        <f t="shared" si="138"/>
        <v>0</v>
      </c>
      <c r="CC118" s="321">
        <f t="shared" si="138"/>
        <v>0</v>
      </c>
      <c r="CD118" s="321">
        <f t="shared" si="138"/>
        <v>0</v>
      </c>
      <c r="CE118" s="321">
        <f t="shared" si="138"/>
        <v>0</v>
      </c>
      <c r="CF118" s="322">
        <f t="shared" ref="CF118:CF120" si="139">SUM(C118:CD118)</f>
        <v>0</v>
      </c>
      <c r="CG118" s="323" t="s">
        <v>464</v>
      </c>
      <c r="CH118" s="217"/>
      <c r="CI118" s="217"/>
      <c r="CJ118" s="217"/>
      <c r="CK118" s="217"/>
    </row>
    <row r="119" spans="1:89" s="506" customFormat="1" x14ac:dyDescent="0.3">
      <c r="A119" s="217"/>
      <c r="B119" s="262" t="s">
        <v>537</v>
      </c>
      <c r="C119" s="321">
        <f>SUMIF($F$70,C$101,$Q$70)</f>
        <v>0</v>
      </c>
      <c r="D119" s="321">
        <f t="shared" ref="D119:BO119" si="140">SUMIF($F$70,D$101,$Q$70)</f>
        <v>0</v>
      </c>
      <c r="E119" s="321">
        <f t="shared" si="140"/>
        <v>0</v>
      </c>
      <c r="F119" s="321">
        <f t="shared" si="140"/>
        <v>0</v>
      </c>
      <c r="G119" s="321">
        <f t="shared" si="140"/>
        <v>0</v>
      </c>
      <c r="H119" s="321">
        <f t="shared" si="140"/>
        <v>0</v>
      </c>
      <c r="I119" s="321">
        <f t="shared" si="140"/>
        <v>0</v>
      </c>
      <c r="J119" s="321">
        <f t="shared" si="140"/>
        <v>0</v>
      </c>
      <c r="K119" s="321">
        <f t="shared" si="140"/>
        <v>0</v>
      </c>
      <c r="L119" s="321">
        <f t="shared" si="140"/>
        <v>0</v>
      </c>
      <c r="M119" s="321">
        <f t="shared" si="140"/>
        <v>0</v>
      </c>
      <c r="N119" s="321">
        <f t="shared" si="140"/>
        <v>0</v>
      </c>
      <c r="O119" s="321">
        <f t="shared" si="140"/>
        <v>0</v>
      </c>
      <c r="P119" s="321">
        <f t="shared" si="140"/>
        <v>0</v>
      </c>
      <c r="Q119" s="321">
        <f t="shared" si="140"/>
        <v>0</v>
      </c>
      <c r="R119" s="321">
        <f t="shared" si="140"/>
        <v>0</v>
      </c>
      <c r="S119" s="321">
        <f t="shared" si="140"/>
        <v>0</v>
      </c>
      <c r="T119" s="321">
        <f t="shared" si="140"/>
        <v>0</v>
      </c>
      <c r="U119" s="321">
        <f t="shared" si="140"/>
        <v>0</v>
      </c>
      <c r="V119" s="321">
        <f t="shared" si="140"/>
        <v>0</v>
      </c>
      <c r="W119" s="321">
        <f t="shared" si="140"/>
        <v>0</v>
      </c>
      <c r="X119" s="321">
        <f t="shared" si="140"/>
        <v>0</v>
      </c>
      <c r="Y119" s="321">
        <f t="shared" si="140"/>
        <v>0</v>
      </c>
      <c r="Z119" s="321">
        <f t="shared" si="140"/>
        <v>0</v>
      </c>
      <c r="AA119" s="321">
        <f t="shared" si="140"/>
        <v>0</v>
      </c>
      <c r="AB119" s="321">
        <f t="shared" si="140"/>
        <v>0</v>
      </c>
      <c r="AC119" s="321">
        <f t="shared" si="140"/>
        <v>0</v>
      </c>
      <c r="AD119" s="321">
        <f t="shared" si="140"/>
        <v>0</v>
      </c>
      <c r="AE119" s="321">
        <f t="shared" si="140"/>
        <v>0</v>
      </c>
      <c r="AF119" s="321">
        <f t="shared" si="140"/>
        <v>0</v>
      </c>
      <c r="AG119" s="321">
        <f t="shared" si="140"/>
        <v>0</v>
      </c>
      <c r="AH119" s="321">
        <f t="shared" si="140"/>
        <v>0</v>
      </c>
      <c r="AI119" s="321">
        <f t="shared" si="140"/>
        <v>0</v>
      </c>
      <c r="AJ119" s="321">
        <f t="shared" si="140"/>
        <v>0</v>
      </c>
      <c r="AK119" s="321">
        <f t="shared" si="140"/>
        <v>0</v>
      </c>
      <c r="AL119" s="321">
        <f t="shared" si="140"/>
        <v>0</v>
      </c>
      <c r="AM119" s="321">
        <f t="shared" si="140"/>
        <v>0</v>
      </c>
      <c r="AN119" s="321">
        <f t="shared" si="140"/>
        <v>0</v>
      </c>
      <c r="AO119" s="321">
        <f t="shared" si="140"/>
        <v>0</v>
      </c>
      <c r="AP119" s="321">
        <f t="shared" si="140"/>
        <v>0</v>
      </c>
      <c r="AQ119" s="321">
        <f t="shared" si="140"/>
        <v>0</v>
      </c>
      <c r="AR119" s="321">
        <f t="shared" si="140"/>
        <v>0</v>
      </c>
      <c r="AS119" s="321">
        <f t="shared" si="140"/>
        <v>0</v>
      </c>
      <c r="AT119" s="321">
        <f t="shared" si="140"/>
        <v>0</v>
      </c>
      <c r="AU119" s="321">
        <f t="shared" si="140"/>
        <v>0</v>
      </c>
      <c r="AV119" s="321">
        <f t="shared" si="140"/>
        <v>0</v>
      </c>
      <c r="AW119" s="321">
        <f t="shared" si="140"/>
        <v>0</v>
      </c>
      <c r="AX119" s="321">
        <f t="shared" si="140"/>
        <v>0</v>
      </c>
      <c r="AY119" s="321">
        <f t="shared" si="140"/>
        <v>0</v>
      </c>
      <c r="AZ119" s="321">
        <f t="shared" si="140"/>
        <v>0</v>
      </c>
      <c r="BA119" s="321">
        <f t="shared" si="140"/>
        <v>0</v>
      </c>
      <c r="BB119" s="321">
        <f t="shared" si="140"/>
        <v>0</v>
      </c>
      <c r="BC119" s="321">
        <f t="shared" si="140"/>
        <v>0</v>
      </c>
      <c r="BD119" s="321">
        <f t="shared" si="140"/>
        <v>0</v>
      </c>
      <c r="BE119" s="321">
        <f t="shared" si="140"/>
        <v>0</v>
      </c>
      <c r="BF119" s="321">
        <f t="shared" si="140"/>
        <v>0</v>
      </c>
      <c r="BG119" s="321">
        <f t="shared" si="140"/>
        <v>0</v>
      </c>
      <c r="BH119" s="321">
        <f t="shared" si="140"/>
        <v>0</v>
      </c>
      <c r="BI119" s="321">
        <f t="shared" si="140"/>
        <v>0</v>
      </c>
      <c r="BJ119" s="321">
        <f t="shared" si="140"/>
        <v>0</v>
      </c>
      <c r="BK119" s="321">
        <f t="shared" si="140"/>
        <v>0</v>
      </c>
      <c r="BL119" s="321">
        <f t="shared" si="140"/>
        <v>0</v>
      </c>
      <c r="BM119" s="321">
        <f t="shared" si="140"/>
        <v>0</v>
      </c>
      <c r="BN119" s="321">
        <f t="shared" si="140"/>
        <v>0</v>
      </c>
      <c r="BO119" s="321">
        <f t="shared" si="140"/>
        <v>0</v>
      </c>
      <c r="BP119" s="321">
        <f t="shared" ref="BP119:CE119" si="141">SUMIF($F$70,BP$101,$Q$70)</f>
        <v>0</v>
      </c>
      <c r="BQ119" s="321">
        <f t="shared" si="141"/>
        <v>0</v>
      </c>
      <c r="BR119" s="321">
        <f t="shared" si="141"/>
        <v>0</v>
      </c>
      <c r="BS119" s="321">
        <f t="shared" si="141"/>
        <v>0</v>
      </c>
      <c r="BT119" s="321">
        <f t="shared" si="141"/>
        <v>0</v>
      </c>
      <c r="BU119" s="321">
        <f t="shared" si="141"/>
        <v>0</v>
      </c>
      <c r="BV119" s="321">
        <f t="shared" si="141"/>
        <v>0</v>
      </c>
      <c r="BW119" s="321">
        <f t="shared" si="141"/>
        <v>0</v>
      </c>
      <c r="BX119" s="321">
        <f t="shared" si="141"/>
        <v>0</v>
      </c>
      <c r="BY119" s="321">
        <f t="shared" si="141"/>
        <v>0</v>
      </c>
      <c r="BZ119" s="321">
        <f t="shared" si="141"/>
        <v>0</v>
      </c>
      <c r="CA119" s="321">
        <f t="shared" si="141"/>
        <v>0</v>
      </c>
      <c r="CB119" s="321">
        <f t="shared" si="141"/>
        <v>0</v>
      </c>
      <c r="CC119" s="321">
        <f t="shared" si="141"/>
        <v>0</v>
      </c>
      <c r="CD119" s="321">
        <f t="shared" si="141"/>
        <v>0</v>
      </c>
      <c r="CE119" s="321">
        <f t="shared" si="141"/>
        <v>0</v>
      </c>
      <c r="CF119" s="322">
        <f t="shared" si="139"/>
        <v>0</v>
      </c>
      <c r="CG119" s="323" t="s">
        <v>464</v>
      </c>
      <c r="CH119" s="217"/>
      <c r="CI119" s="217"/>
      <c r="CJ119" s="217"/>
      <c r="CK119" s="217"/>
    </row>
    <row r="120" spans="1:89" s="506" customFormat="1" x14ac:dyDescent="0.3">
      <c r="A120" s="217"/>
      <c r="B120" s="262" t="s">
        <v>789</v>
      </c>
      <c r="C120" s="321">
        <f>SUMIF($F$71,C$101,$Q$71)</f>
        <v>0</v>
      </c>
      <c r="D120" s="321">
        <f t="shared" ref="D120:BO120" si="142">SUMIF($F$71,D$101,$Q$71)</f>
        <v>0</v>
      </c>
      <c r="E120" s="321">
        <f t="shared" si="142"/>
        <v>0</v>
      </c>
      <c r="F120" s="321">
        <f t="shared" si="142"/>
        <v>0</v>
      </c>
      <c r="G120" s="321">
        <f t="shared" si="142"/>
        <v>0</v>
      </c>
      <c r="H120" s="321">
        <f t="shared" si="142"/>
        <v>0</v>
      </c>
      <c r="I120" s="321">
        <f t="shared" si="142"/>
        <v>0</v>
      </c>
      <c r="J120" s="321">
        <f t="shared" si="142"/>
        <v>0</v>
      </c>
      <c r="K120" s="321">
        <f t="shared" si="142"/>
        <v>0</v>
      </c>
      <c r="L120" s="321">
        <f t="shared" si="142"/>
        <v>0</v>
      </c>
      <c r="M120" s="321">
        <f t="shared" si="142"/>
        <v>0</v>
      </c>
      <c r="N120" s="321">
        <f t="shared" si="142"/>
        <v>0</v>
      </c>
      <c r="O120" s="321">
        <f t="shared" si="142"/>
        <v>0</v>
      </c>
      <c r="P120" s="321">
        <f t="shared" si="142"/>
        <v>0</v>
      </c>
      <c r="Q120" s="321">
        <f t="shared" si="142"/>
        <v>0</v>
      </c>
      <c r="R120" s="321">
        <f t="shared" si="142"/>
        <v>0</v>
      </c>
      <c r="S120" s="321">
        <f t="shared" si="142"/>
        <v>0</v>
      </c>
      <c r="T120" s="321">
        <f t="shared" si="142"/>
        <v>0</v>
      </c>
      <c r="U120" s="321">
        <f t="shared" si="142"/>
        <v>0</v>
      </c>
      <c r="V120" s="321">
        <f t="shared" si="142"/>
        <v>0</v>
      </c>
      <c r="W120" s="321">
        <f t="shared" si="142"/>
        <v>0</v>
      </c>
      <c r="X120" s="321">
        <f t="shared" si="142"/>
        <v>0</v>
      </c>
      <c r="Y120" s="321">
        <f t="shared" si="142"/>
        <v>0</v>
      </c>
      <c r="Z120" s="321">
        <f t="shared" si="142"/>
        <v>0</v>
      </c>
      <c r="AA120" s="321">
        <f t="shared" si="142"/>
        <v>0</v>
      </c>
      <c r="AB120" s="321">
        <f t="shared" si="142"/>
        <v>0</v>
      </c>
      <c r="AC120" s="321">
        <f t="shared" si="142"/>
        <v>0</v>
      </c>
      <c r="AD120" s="321">
        <f t="shared" si="142"/>
        <v>0</v>
      </c>
      <c r="AE120" s="321">
        <f t="shared" si="142"/>
        <v>0</v>
      </c>
      <c r="AF120" s="321">
        <f t="shared" si="142"/>
        <v>0</v>
      </c>
      <c r="AG120" s="321">
        <f t="shared" si="142"/>
        <v>0</v>
      </c>
      <c r="AH120" s="321">
        <f t="shared" si="142"/>
        <v>0</v>
      </c>
      <c r="AI120" s="321">
        <f t="shared" si="142"/>
        <v>0</v>
      </c>
      <c r="AJ120" s="321">
        <f t="shared" si="142"/>
        <v>0</v>
      </c>
      <c r="AK120" s="321">
        <f t="shared" si="142"/>
        <v>0</v>
      </c>
      <c r="AL120" s="321">
        <f t="shared" si="142"/>
        <v>0</v>
      </c>
      <c r="AM120" s="321">
        <f t="shared" si="142"/>
        <v>0</v>
      </c>
      <c r="AN120" s="321">
        <f t="shared" si="142"/>
        <v>0</v>
      </c>
      <c r="AO120" s="321">
        <f t="shared" si="142"/>
        <v>0</v>
      </c>
      <c r="AP120" s="321">
        <f t="shared" si="142"/>
        <v>0</v>
      </c>
      <c r="AQ120" s="321">
        <f t="shared" si="142"/>
        <v>0</v>
      </c>
      <c r="AR120" s="321">
        <f t="shared" si="142"/>
        <v>0</v>
      </c>
      <c r="AS120" s="321">
        <f t="shared" si="142"/>
        <v>0</v>
      </c>
      <c r="AT120" s="321">
        <f t="shared" si="142"/>
        <v>0</v>
      </c>
      <c r="AU120" s="321">
        <f t="shared" si="142"/>
        <v>0</v>
      </c>
      <c r="AV120" s="321">
        <f t="shared" si="142"/>
        <v>0</v>
      </c>
      <c r="AW120" s="321">
        <f t="shared" si="142"/>
        <v>0</v>
      </c>
      <c r="AX120" s="321">
        <f t="shared" si="142"/>
        <v>0</v>
      </c>
      <c r="AY120" s="321">
        <f t="shared" si="142"/>
        <v>0</v>
      </c>
      <c r="AZ120" s="321">
        <f t="shared" si="142"/>
        <v>0</v>
      </c>
      <c r="BA120" s="321">
        <f t="shared" si="142"/>
        <v>0</v>
      </c>
      <c r="BB120" s="321">
        <f t="shared" si="142"/>
        <v>0</v>
      </c>
      <c r="BC120" s="321">
        <f t="shared" si="142"/>
        <v>0</v>
      </c>
      <c r="BD120" s="321">
        <f t="shared" si="142"/>
        <v>0</v>
      </c>
      <c r="BE120" s="321">
        <f t="shared" si="142"/>
        <v>0</v>
      </c>
      <c r="BF120" s="321">
        <f t="shared" si="142"/>
        <v>0</v>
      </c>
      <c r="BG120" s="321">
        <f t="shared" si="142"/>
        <v>0</v>
      </c>
      <c r="BH120" s="321">
        <f t="shared" si="142"/>
        <v>0</v>
      </c>
      <c r="BI120" s="321">
        <f t="shared" si="142"/>
        <v>0</v>
      </c>
      <c r="BJ120" s="321">
        <f t="shared" si="142"/>
        <v>0</v>
      </c>
      <c r="BK120" s="321">
        <f t="shared" si="142"/>
        <v>0</v>
      </c>
      <c r="BL120" s="321">
        <f t="shared" si="142"/>
        <v>0</v>
      </c>
      <c r="BM120" s="321">
        <f t="shared" si="142"/>
        <v>0</v>
      </c>
      <c r="BN120" s="321">
        <f t="shared" si="142"/>
        <v>0</v>
      </c>
      <c r="BO120" s="321">
        <f t="shared" si="142"/>
        <v>0</v>
      </c>
      <c r="BP120" s="321">
        <f t="shared" ref="BP120:CE120" si="143">SUMIF($F$71,BP$101,$Q$71)</f>
        <v>0</v>
      </c>
      <c r="BQ120" s="321">
        <f t="shared" si="143"/>
        <v>0</v>
      </c>
      <c r="BR120" s="321">
        <f t="shared" si="143"/>
        <v>0</v>
      </c>
      <c r="BS120" s="321">
        <f t="shared" si="143"/>
        <v>0</v>
      </c>
      <c r="BT120" s="321">
        <f t="shared" si="143"/>
        <v>0</v>
      </c>
      <c r="BU120" s="321">
        <f t="shared" si="143"/>
        <v>0</v>
      </c>
      <c r="BV120" s="321">
        <f t="shared" si="143"/>
        <v>0</v>
      </c>
      <c r="BW120" s="321">
        <f t="shared" si="143"/>
        <v>0</v>
      </c>
      <c r="BX120" s="321">
        <f t="shared" si="143"/>
        <v>0</v>
      </c>
      <c r="BY120" s="321">
        <f t="shared" si="143"/>
        <v>0</v>
      </c>
      <c r="BZ120" s="321">
        <f t="shared" si="143"/>
        <v>0</v>
      </c>
      <c r="CA120" s="321">
        <f t="shared" si="143"/>
        <v>0</v>
      </c>
      <c r="CB120" s="321">
        <f t="shared" si="143"/>
        <v>0</v>
      </c>
      <c r="CC120" s="321">
        <f t="shared" si="143"/>
        <v>0</v>
      </c>
      <c r="CD120" s="321">
        <f t="shared" si="143"/>
        <v>0</v>
      </c>
      <c r="CE120" s="321">
        <f t="shared" si="143"/>
        <v>0</v>
      </c>
      <c r="CF120" s="322">
        <f t="shared" si="139"/>
        <v>0</v>
      </c>
      <c r="CG120" s="323" t="s">
        <v>464</v>
      </c>
      <c r="CH120" s="217"/>
      <c r="CI120" s="217"/>
      <c r="CJ120" s="217"/>
      <c r="CK120" s="217"/>
    </row>
    <row r="121" spans="1:89" x14ac:dyDescent="0.3">
      <c r="A121" s="217"/>
      <c r="B121" s="263" t="s">
        <v>790</v>
      </c>
      <c r="C121" s="321">
        <f>SUMIF($F$72,C$101,$Q$72)</f>
        <v>0</v>
      </c>
      <c r="D121" s="321">
        <f t="shared" ref="D121:BO121" si="144">SUMIF($F$72,D$101,$Q$72)</f>
        <v>0</v>
      </c>
      <c r="E121" s="321">
        <f t="shared" si="144"/>
        <v>0</v>
      </c>
      <c r="F121" s="321">
        <f t="shared" si="144"/>
        <v>0</v>
      </c>
      <c r="G121" s="321">
        <f t="shared" si="144"/>
        <v>0</v>
      </c>
      <c r="H121" s="321">
        <f t="shared" si="144"/>
        <v>0</v>
      </c>
      <c r="I121" s="321">
        <f t="shared" si="144"/>
        <v>0</v>
      </c>
      <c r="J121" s="321">
        <f t="shared" si="144"/>
        <v>0</v>
      </c>
      <c r="K121" s="321">
        <f t="shared" si="144"/>
        <v>0</v>
      </c>
      <c r="L121" s="321">
        <f t="shared" si="144"/>
        <v>0</v>
      </c>
      <c r="M121" s="321">
        <f t="shared" si="144"/>
        <v>0</v>
      </c>
      <c r="N121" s="321">
        <f t="shared" si="144"/>
        <v>0</v>
      </c>
      <c r="O121" s="321">
        <f t="shared" si="144"/>
        <v>0</v>
      </c>
      <c r="P121" s="321">
        <f t="shared" si="144"/>
        <v>0</v>
      </c>
      <c r="Q121" s="321">
        <f t="shared" si="144"/>
        <v>0</v>
      </c>
      <c r="R121" s="321">
        <f t="shared" si="144"/>
        <v>0</v>
      </c>
      <c r="S121" s="321">
        <f t="shared" si="144"/>
        <v>0</v>
      </c>
      <c r="T121" s="321">
        <f t="shared" si="144"/>
        <v>0</v>
      </c>
      <c r="U121" s="321">
        <f t="shared" si="144"/>
        <v>0</v>
      </c>
      <c r="V121" s="321">
        <f t="shared" si="144"/>
        <v>0</v>
      </c>
      <c r="W121" s="321">
        <f t="shared" si="144"/>
        <v>0</v>
      </c>
      <c r="X121" s="321">
        <f t="shared" si="144"/>
        <v>0</v>
      </c>
      <c r="Y121" s="321">
        <f t="shared" si="144"/>
        <v>0</v>
      </c>
      <c r="Z121" s="321">
        <f t="shared" si="144"/>
        <v>0</v>
      </c>
      <c r="AA121" s="321">
        <f t="shared" si="144"/>
        <v>0</v>
      </c>
      <c r="AB121" s="321">
        <f t="shared" si="144"/>
        <v>0</v>
      </c>
      <c r="AC121" s="321">
        <f t="shared" si="144"/>
        <v>0</v>
      </c>
      <c r="AD121" s="321">
        <f t="shared" si="144"/>
        <v>0</v>
      </c>
      <c r="AE121" s="321">
        <f t="shared" si="144"/>
        <v>0</v>
      </c>
      <c r="AF121" s="321">
        <f t="shared" si="144"/>
        <v>0</v>
      </c>
      <c r="AG121" s="321">
        <f t="shared" si="144"/>
        <v>0</v>
      </c>
      <c r="AH121" s="321">
        <f t="shared" si="144"/>
        <v>0</v>
      </c>
      <c r="AI121" s="321">
        <f t="shared" si="144"/>
        <v>0</v>
      </c>
      <c r="AJ121" s="321">
        <f t="shared" si="144"/>
        <v>0</v>
      </c>
      <c r="AK121" s="321">
        <f t="shared" si="144"/>
        <v>0</v>
      </c>
      <c r="AL121" s="321">
        <f t="shared" si="144"/>
        <v>0</v>
      </c>
      <c r="AM121" s="321">
        <f t="shared" si="144"/>
        <v>0</v>
      </c>
      <c r="AN121" s="321">
        <f t="shared" si="144"/>
        <v>0</v>
      </c>
      <c r="AO121" s="321">
        <f t="shared" si="144"/>
        <v>0</v>
      </c>
      <c r="AP121" s="321">
        <f t="shared" si="144"/>
        <v>0</v>
      </c>
      <c r="AQ121" s="321">
        <f t="shared" si="144"/>
        <v>0</v>
      </c>
      <c r="AR121" s="321">
        <f t="shared" si="144"/>
        <v>0</v>
      </c>
      <c r="AS121" s="321">
        <f t="shared" si="144"/>
        <v>0</v>
      </c>
      <c r="AT121" s="321">
        <f t="shared" si="144"/>
        <v>0</v>
      </c>
      <c r="AU121" s="321">
        <f t="shared" si="144"/>
        <v>0</v>
      </c>
      <c r="AV121" s="321">
        <f t="shared" si="144"/>
        <v>0</v>
      </c>
      <c r="AW121" s="321">
        <f t="shared" si="144"/>
        <v>0</v>
      </c>
      <c r="AX121" s="321">
        <f t="shared" si="144"/>
        <v>0</v>
      </c>
      <c r="AY121" s="321">
        <f t="shared" si="144"/>
        <v>0</v>
      </c>
      <c r="AZ121" s="321">
        <f t="shared" si="144"/>
        <v>0</v>
      </c>
      <c r="BA121" s="321">
        <f t="shared" si="144"/>
        <v>0</v>
      </c>
      <c r="BB121" s="321">
        <f t="shared" si="144"/>
        <v>0</v>
      </c>
      <c r="BC121" s="321">
        <f t="shared" si="144"/>
        <v>0</v>
      </c>
      <c r="BD121" s="321">
        <f t="shared" si="144"/>
        <v>0</v>
      </c>
      <c r="BE121" s="321">
        <f t="shared" si="144"/>
        <v>0</v>
      </c>
      <c r="BF121" s="321">
        <f t="shared" si="144"/>
        <v>0</v>
      </c>
      <c r="BG121" s="321">
        <f t="shared" si="144"/>
        <v>0</v>
      </c>
      <c r="BH121" s="321">
        <f t="shared" si="144"/>
        <v>0</v>
      </c>
      <c r="BI121" s="321">
        <f t="shared" si="144"/>
        <v>0</v>
      </c>
      <c r="BJ121" s="321">
        <f t="shared" si="144"/>
        <v>0</v>
      </c>
      <c r="BK121" s="321">
        <f t="shared" si="144"/>
        <v>0</v>
      </c>
      <c r="BL121" s="321">
        <f t="shared" si="144"/>
        <v>0</v>
      </c>
      <c r="BM121" s="321">
        <f t="shared" si="144"/>
        <v>0</v>
      </c>
      <c r="BN121" s="321">
        <f t="shared" si="144"/>
        <v>0</v>
      </c>
      <c r="BO121" s="321">
        <f t="shared" si="144"/>
        <v>0</v>
      </c>
      <c r="BP121" s="321">
        <f t="shared" ref="BP121:CE121" si="145">SUMIF($F$72,BP$101,$Q$72)</f>
        <v>0</v>
      </c>
      <c r="BQ121" s="321">
        <f t="shared" si="145"/>
        <v>0</v>
      </c>
      <c r="BR121" s="321">
        <f t="shared" si="145"/>
        <v>0</v>
      </c>
      <c r="BS121" s="321">
        <f t="shared" si="145"/>
        <v>0</v>
      </c>
      <c r="BT121" s="321">
        <f t="shared" si="145"/>
        <v>0</v>
      </c>
      <c r="BU121" s="321">
        <f t="shared" si="145"/>
        <v>0</v>
      </c>
      <c r="BV121" s="321">
        <f t="shared" si="145"/>
        <v>0</v>
      </c>
      <c r="BW121" s="321">
        <f t="shared" si="145"/>
        <v>0</v>
      </c>
      <c r="BX121" s="321">
        <f t="shared" si="145"/>
        <v>0</v>
      </c>
      <c r="BY121" s="321">
        <f t="shared" si="145"/>
        <v>0</v>
      </c>
      <c r="BZ121" s="321">
        <f t="shared" si="145"/>
        <v>0</v>
      </c>
      <c r="CA121" s="321">
        <f t="shared" si="145"/>
        <v>0</v>
      </c>
      <c r="CB121" s="321">
        <f t="shared" si="145"/>
        <v>0</v>
      </c>
      <c r="CC121" s="321">
        <f t="shared" si="145"/>
        <v>0</v>
      </c>
      <c r="CD121" s="321">
        <f t="shared" si="145"/>
        <v>0</v>
      </c>
      <c r="CE121" s="321">
        <f t="shared" si="145"/>
        <v>0</v>
      </c>
      <c r="CF121" s="322">
        <f t="shared" si="92"/>
        <v>0</v>
      </c>
      <c r="CG121" s="323" t="s">
        <v>464</v>
      </c>
      <c r="CH121" s="217"/>
      <c r="CI121" s="217"/>
      <c r="CJ121" s="217"/>
      <c r="CK121" s="217"/>
    </row>
    <row r="122" spans="1:89" x14ac:dyDescent="0.3">
      <c r="A122" s="217"/>
      <c r="B122" s="260" t="s">
        <v>340</v>
      </c>
      <c r="C122" s="321">
        <f t="shared" ref="C122:AH122" si="146">SUMIF($F$25:$F$27,C$101,$R$25:$R$27)</f>
        <v>0</v>
      </c>
      <c r="D122" s="321">
        <f t="shared" si="146"/>
        <v>0</v>
      </c>
      <c r="E122" s="321">
        <f t="shared" si="146"/>
        <v>0</v>
      </c>
      <c r="F122" s="321">
        <f t="shared" si="146"/>
        <v>0</v>
      </c>
      <c r="G122" s="321">
        <f t="shared" si="146"/>
        <v>0</v>
      </c>
      <c r="H122" s="321">
        <f t="shared" si="146"/>
        <v>0</v>
      </c>
      <c r="I122" s="321">
        <f t="shared" si="146"/>
        <v>5.8299325393520454E-4</v>
      </c>
      <c r="J122" s="321">
        <f t="shared" si="146"/>
        <v>0</v>
      </c>
      <c r="K122" s="321">
        <f t="shared" si="146"/>
        <v>0</v>
      </c>
      <c r="L122" s="321">
        <f t="shared" si="146"/>
        <v>0</v>
      </c>
      <c r="M122" s="321">
        <f t="shared" si="146"/>
        <v>0</v>
      </c>
      <c r="N122" s="321">
        <f t="shared" si="146"/>
        <v>0</v>
      </c>
      <c r="O122" s="321">
        <f t="shared" si="146"/>
        <v>0</v>
      </c>
      <c r="P122" s="321">
        <f t="shared" si="146"/>
        <v>0</v>
      </c>
      <c r="Q122" s="321">
        <f t="shared" si="146"/>
        <v>0</v>
      </c>
      <c r="R122" s="321">
        <f t="shared" si="146"/>
        <v>0</v>
      </c>
      <c r="S122" s="321">
        <f t="shared" si="146"/>
        <v>0</v>
      </c>
      <c r="T122" s="321">
        <f t="shared" si="146"/>
        <v>0</v>
      </c>
      <c r="U122" s="321">
        <f t="shared" si="146"/>
        <v>0</v>
      </c>
      <c r="V122" s="321">
        <f t="shared" si="146"/>
        <v>0</v>
      </c>
      <c r="W122" s="321">
        <f t="shared" si="146"/>
        <v>0</v>
      </c>
      <c r="X122" s="321">
        <f t="shared" si="146"/>
        <v>0</v>
      </c>
      <c r="Y122" s="321">
        <f t="shared" si="146"/>
        <v>0</v>
      </c>
      <c r="Z122" s="321">
        <f t="shared" si="146"/>
        <v>0</v>
      </c>
      <c r="AA122" s="321">
        <f t="shared" si="146"/>
        <v>0</v>
      </c>
      <c r="AB122" s="321">
        <f t="shared" si="146"/>
        <v>0</v>
      </c>
      <c r="AC122" s="321">
        <f t="shared" si="146"/>
        <v>0</v>
      </c>
      <c r="AD122" s="321">
        <f t="shared" si="146"/>
        <v>0</v>
      </c>
      <c r="AE122" s="321">
        <f t="shared" si="146"/>
        <v>0</v>
      </c>
      <c r="AF122" s="321">
        <f t="shared" si="146"/>
        <v>0</v>
      </c>
      <c r="AG122" s="321">
        <f t="shared" si="146"/>
        <v>0</v>
      </c>
      <c r="AH122" s="321">
        <f t="shared" si="146"/>
        <v>0</v>
      </c>
      <c r="AI122" s="321">
        <f t="shared" ref="AI122:BN122" si="147">SUMIF($F$25:$F$27,AI$101,$R$25:$R$27)</f>
        <v>0</v>
      </c>
      <c r="AJ122" s="321">
        <f t="shared" si="147"/>
        <v>0.49970850337303241</v>
      </c>
      <c r="AK122" s="321">
        <f t="shared" si="147"/>
        <v>0</v>
      </c>
      <c r="AL122" s="321">
        <f t="shared" si="147"/>
        <v>0</v>
      </c>
      <c r="AM122" s="321">
        <f t="shared" si="147"/>
        <v>0</v>
      </c>
      <c r="AN122" s="321">
        <f t="shared" si="147"/>
        <v>0</v>
      </c>
      <c r="AO122" s="321">
        <f t="shared" si="147"/>
        <v>0</v>
      </c>
      <c r="AP122" s="321">
        <f t="shared" si="147"/>
        <v>0</v>
      </c>
      <c r="AQ122" s="321">
        <f t="shared" si="147"/>
        <v>0</v>
      </c>
      <c r="AR122" s="321">
        <f t="shared" si="147"/>
        <v>0</v>
      </c>
      <c r="AS122" s="321">
        <f t="shared" si="147"/>
        <v>0</v>
      </c>
      <c r="AT122" s="321">
        <f t="shared" si="147"/>
        <v>0</v>
      </c>
      <c r="AU122" s="321">
        <f t="shared" si="147"/>
        <v>0</v>
      </c>
      <c r="AV122" s="321">
        <f t="shared" si="147"/>
        <v>0</v>
      </c>
      <c r="AW122" s="321">
        <f t="shared" si="147"/>
        <v>0</v>
      </c>
      <c r="AX122" s="321">
        <f t="shared" si="147"/>
        <v>0</v>
      </c>
      <c r="AY122" s="321">
        <f t="shared" si="147"/>
        <v>0</v>
      </c>
      <c r="AZ122" s="321">
        <f t="shared" si="147"/>
        <v>0</v>
      </c>
      <c r="BA122" s="321">
        <f t="shared" si="147"/>
        <v>0</v>
      </c>
      <c r="BB122" s="321">
        <f t="shared" si="147"/>
        <v>0</v>
      </c>
      <c r="BC122" s="321">
        <f t="shared" si="147"/>
        <v>0</v>
      </c>
      <c r="BD122" s="321">
        <f t="shared" si="147"/>
        <v>0</v>
      </c>
      <c r="BE122" s="321">
        <f t="shared" si="147"/>
        <v>0</v>
      </c>
      <c r="BF122" s="321">
        <f t="shared" si="147"/>
        <v>0</v>
      </c>
      <c r="BG122" s="321">
        <f t="shared" si="147"/>
        <v>0</v>
      </c>
      <c r="BH122" s="321">
        <f t="shared" si="147"/>
        <v>0</v>
      </c>
      <c r="BI122" s="321">
        <f t="shared" si="147"/>
        <v>0</v>
      </c>
      <c r="BJ122" s="321">
        <f t="shared" si="147"/>
        <v>0</v>
      </c>
      <c r="BK122" s="321">
        <f t="shared" si="147"/>
        <v>0</v>
      </c>
      <c r="BL122" s="321">
        <f t="shared" si="147"/>
        <v>0</v>
      </c>
      <c r="BM122" s="321">
        <f t="shared" si="147"/>
        <v>0</v>
      </c>
      <c r="BN122" s="321">
        <f t="shared" si="147"/>
        <v>0</v>
      </c>
      <c r="BO122" s="321">
        <f t="shared" ref="BO122:CE122" si="148">SUMIF($F$25:$F$27,BO$101,$R$25:$R$27)</f>
        <v>0</v>
      </c>
      <c r="BP122" s="321">
        <f t="shared" si="148"/>
        <v>0</v>
      </c>
      <c r="BQ122" s="321">
        <f t="shared" si="148"/>
        <v>0</v>
      </c>
      <c r="BR122" s="321">
        <f t="shared" si="148"/>
        <v>0</v>
      </c>
      <c r="BS122" s="321">
        <f t="shared" si="148"/>
        <v>0</v>
      </c>
      <c r="BT122" s="321">
        <f t="shared" si="148"/>
        <v>0</v>
      </c>
      <c r="BU122" s="321">
        <f t="shared" si="148"/>
        <v>0</v>
      </c>
      <c r="BV122" s="321">
        <f t="shared" si="148"/>
        <v>0</v>
      </c>
      <c r="BW122" s="321">
        <f t="shared" si="148"/>
        <v>0</v>
      </c>
      <c r="BX122" s="321">
        <f t="shared" si="148"/>
        <v>0</v>
      </c>
      <c r="BY122" s="321">
        <f t="shared" si="148"/>
        <v>0</v>
      </c>
      <c r="BZ122" s="321">
        <f t="shared" si="148"/>
        <v>0</v>
      </c>
      <c r="CA122" s="321">
        <f t="shared" si="148"/>
        <v>0</v>
      </c>
      <c r="CB122" s="321">
        <f t="shared" si="148"/>
        <v>0</v>
      </c>
      <c r="CC122" s="321">
        <f t="shared" si="148"/>
        <v>0</v>
      </c>
      <c r="CD122" s="321">
        <f t="shared" si="148"/>
        <v>0</v>
      </c>
      <c r="CE122" s="321">
        <f t="shared" si="148"/>
        <v>0</v>
      </c>
      <c r="CF122" s="322">
        <f t="shared" si="92"/>
        <v>0.50029149662696759</v>
      </c>
      <c r="CG122" s="217"/>
      <c r="CH122" s="217"/>
      <c r="CI122" s="217"/>
      <c r="CJ122" s="217"/>
      <c r="CK122" s="217"/>
    </row>
    <row r="123" spans="1:89" x14ac:dyDescent="0.3">
      <c r="A123" s="217"/>
      <c r="B123" s="260" t="s">
        <v>341</v>
      </c>
      <c r="C123" s="321">
        <f t="shared" ref="C123:AH123" si="149">SUMIF($F$28:$F$32,C$101,$R$28:$R$32)</f>
        <v>0</v>
      </c>
      <c r="D123" s="321">
        <f t="shared" si="149"/>
        <v>0</v>
      </c>
      <c r="E123" s="321">
        <f t="shared" si="149"/>
        <v>0</v>
      </c>
      <c r="F123" s="321">
        <f t="shared" si="149"/>
        <v>0</v>
      </c>
      <c r="G123" s="321">
        <f t="shared" si="149"/>
        <v>0</v>
      </c>
      <c r="H123" s="321">
        <f t="shared" si="149"/>
        <v>0</v>
      </c>
      <c r="I123" s="321">
        <f t="shared" si="149"/>
        <v>2.382193013203247E-3</v>
      </c>
      <c r="J123" s="321">
        <f t="shared" si="149"/>
        <v>0</v>
      </c>
      <c r="K123" s="321">
        <f t="shared" si="149"/>
        <v>0</v>
      </c>
      <c r="L123" s="321">
        <f t="shared" si="149"/>
        <v>0</v>
      </c>
      <c r="M123" s="321">
        <f t="shared" si="149"/>
        <v>0</v>
      </c>
      <c r="N123" s="321">
        <f t="shared" si="149"/>
        <v>0</v>
      </c>
      <c r="O123" s="321">
        <f t="shared" si="149"/>
        <v>0</v>
      </c>
      <c r="P123" s="321">
        <f t="shared" si="149"/>
        <v>0</v>
      </c>
      <c r="Q123" s="321">
        <f t="shared" si="149"/>
        <v>0</v>
      </c>
      <c r="R123" s="321">
        <f t="shared" si="149"/>
        <v>0</v>
      </c>
      <c r="S123" s="321">
        <f t="shared" si="149"/>
        <v>0</v>
      </c>
      <c r="T123" s="321">
        <f t="shared" si="149"/>
        <v>0</v>
      </c>
      <c r="U123" s="321">
        <f t="shared" si="149"/>
        <v>0</v>
      </c>
      <c r="V123" s="321">
        <f t="shared" si="149"/>
        <v>0</v>
      </c>
      <c r="W123" s="321">
        <f t="shared" si="149"/>
        <v>0</v>
      </c>
      <c r="X123" s="321">
        <f t="shared" si="149"/>
        <v>0.15013662052956175</v>
      </c>
      <c r="Y123" s="321">
        <f t="shared" si="149"/>
        <v>0</v>
      </c>
      <c r="Z123" s="321">
        <f t="shared" si="149"/>
        <v>0</v>
      </c>
      <c r="AA123" s="321">
        <f t="shared" si="149"/>
        <v>0</v>
      </c>
      <c r="AB123" s="321">
        <f t="shared" si="149"/>
        <v>0</v>
      </c>
      <c r="AC123" s="321">
        <f t="shared" si="149"/>
        <v>0</v>
      </c>
      <c r="AD123" s="321">
        <f t="shared" si="149"/>
        <v>0</v>
      </c>
      <c r="AE123" s="321">
        <f t="shared" si="149"/>
        <v>0</v>
      </c>
      <c r="AF123" s="321">
        <f t="shared" si="149"/>
        <v>0</v>
      </c>
      <c r="AG123" s="321">
        <f t="shared" si="149"/>
        <v>0</v>
      </c>
      <c r="AH123" s="321">
        <f t="shared" si="149"/>
        <v>0</v>
      </c>
      <c r="AI123" s="321">
        <f t="shared" ref="AI123:BN123" si="150">SUMIF($F$28:$F$32,AI$101,$R$28:$R$32)</f>
        <v>0</v>
      </c>
      <c r="AJ123" s="321">
        <f t="shared" si="150"/>
        <v>0.37369505305209688</v>
      </c>
      <c r="AK123" s="321">
        <f t="shared" si="150"/>
        <v>0</v>
      </c>
      <c r="AL123" s="321">
        <f t="shared" si="150"/>
        <v>0</v>
      </c>
      <c r="AM123" s="321">
        <f t="shared" si="150"/>
        <v>0</v>
      </c>
      <c r="AN123" s="321">
        <f t="shared" si="150"/>
        <v>0</v>
      </c>
      <c r="AO123" s="321">
        <f t="shared" si="150"/>
        <v>0</v>
      </c>
      <c r="AP123" s="321">
        <f t="shared" si="150"/>
        <v>0</v>
      </c>
      <c r="AQ123" s="321">
        <f t="shared" si="150"/>
        <v>0</v>
      </c>
      <c r="AR123" s="321">
        <f t="shared" si="150"/>
        <v>0</v>
      </c>
      <c r="AS123" s="321">
        <f t="shared" si="150"/>
        <v>0</v>
      </c>
      <c r="AT123" s="321">
        <f t="shared" si="150"/>
        <v>0</v>
      </c>
      <c r="AU123" s="321">
        <f t="shared" si="150"/>
        <v>0</v>
      </c>
      <c r="AV123" s="321">
        <f t="shared" si="150"/>
        <v>0</v>
      </c>
      <c r="AW123" s="321">
        <f t="shared" si="150"/>
        <v>0</v>
      </c>
      <c r="AX123" s="321">
        <f t="shared" si="150"/>
        <v>0</v>
      </c>
      <c r="AY123" s="321">
        <f t="shared" si="150"/>
        <v>0</v>
      </c>
      <c r="AZ123" s="321">
        <f t="shared" si="150"/>
        <v>0</v>
      </c>
      <c r="BA123" s="321">
        <f t="shared" si="150"/>
        <v>0</v>
      </c>
      <c r="BB123" s="321">
        <f t="shared" si="150"/>
        <v>0</v>
      </c>
      <c r="BC123" s="321">
        <f t="shared" si="150"/>
        <v>0</v>
      </c>
      <c r="BD123" s="321">
        <f t="shared" si="150"/>
        <v>0</v>
      </c>
      <c r="BE123" s="321">
        <f t="shared" si="150"/>
        <v>0</v>
      </c>
      <c r="BF123" s="321">
        <f t="shared" si="150"/>
        <v>0</v>
      </c>
      <c r="BG123" s="321">
        <f t="shared" si="150"/>
        <v>0</v>
      </c>
      <c r="BH123" s="321">
        <f t="shared" si="150"/>
        <v>0</v>
      </c>
      <c r="BI123" s="321">
        <f t="shared" si="150"/>
        <v>0</v>
      </c>
      <c r="BJ123" s="321">
        <f t="shared" si="150"/>
        <v>0</v>
      </c>
      <c r="BK123" s="321">
        <f t="shared" si="150"/>
        <v>0</v>
      </c>
      <c r="BL123" s="321">
        <f t="shared" si="150"/>
        <v>0</v>
      </c>
      <c r="BM123" s="321">
        <f t="shared" si="150"/>
        <v>0</v>
      </c>
      <c r="BN123" s="321">
        <f t="shared" si="150"/>
        <v>0</v>
      </c>
      <c r="BO123" s="321">
        <f t="shared" ref="BO123:CE123" si="151">SUMIF($F$28:$F$32,BO$101,$R$28:$R$32)</f>
        <v>0</v>
      </c>
      <c r="BP123" s="321">
        <f t="shared" si="151"/>
        <v>0</v>
      </c>
      <c r="BQ123" s="321">
        <f t="shared" si="151"/>
        <v>0</v>
      </c>
      <c r="BR123" s="321">
        <f t="shared" si="151"/>
        <v>0</v>
      </c>
      <c r="BS123" s="321">
        <f t="shared" si="151"/>
        <v>0</v>
      </c>
      <c r="BT123" s="321">
        <f t="shared" si="151"/>
        <v>0</v>
      </c>
      <c r="BU123" s="321">
        <f t="shared" si="151"/>
        <v>0</v>
      </c>
      <c r="BV123" s="321">
        <f t="shared" si="151"/>
        <v>0</v>
      </c>
      <c r="BW123" s="321">
        <f t="shared" si="151"/>
        <v>0</v>
      </c>
      <c r="BX123" s="321">
        <f t="shared" si="151"/>
        <v>0</v>
      </c>
      <c r="BY123" s="321">
        <f t="shared" si="151"/>
        <v>0</v>
      </c>
      <c r="BZ123" s="321">
        <f t="shared" si="151"/>
        <v>0</v>
      </c>
      <c r="CA123" s="321">
        <f t="shared" si="151"/>
        <v>0</v>
      </c>
      <c r="CB123" s="321">
        <f t="shared" si="151"/>
        <v>0</v>
      </c>
      <c r="CC123" s="321">
        <f t="shared" si="151"/>
        <v>0</v>
      </c>
      <c r="CD123" s="321">
        <f t="shared" si="151"/>
        <v>0</v>
      </c>
      <c r="CE123" s="321">
        <f t="shared" si="151"/>
        <v>0</v>
      </c>
      <c r="CF123" s="322">
        <f t="shared" si="92"/>
        <v>0.52621386659486191</v>
      </c>
      <c r="CG123" s="217"/>
      <c r="CH123" s="217"/>
      <c r="CI123" s="217"/>
      <c r="CJ123" s="217"/>
      <c r="CK123" s="217"/>
    </row>
    <row r="124" spans="1:89" x14ac:dyDescent="0.3">
      <c r="A124" s="217"/>
      <c r="B124" s="260" t="s">
        <v>538</v>
      </c>
      <c r="C124" s="321">
        <f t="shared" ref="C124:AH124" si="152">SUMIF($F$33:$F$35,C$101,$R$33:$R$35)</f>
        <v>0</v>
      </c>
      <c r="D124" s="321">
        <f t="shared" si="152"/>
        <v>0</v>
      </c>
      <c r="E124" s="321">
        <f t="shared" si="152"/>
        <v>0</v>
      </c>
      <c r="F124" s="321">
        <f t="shared" si="152"/>
        <v>0</v>
      </c>
      <c r="G124" s="321">
        <f t="shared" si="152"/>
        <v>0</v>
      </c>
      <c r="H124" s="321">
        <f t="shared" si="152"/>
        <v>0</v>
      </c>
      <c r="I124" s="321">
        <f t="shared" si="152"/>
        <v>4.9431441996798846E-3</v>
      </c>
      <c r="J124" s="321">
        <f t="shared" si="152"/>
        <v>0</v>
      </c>
      <c r="K124" s="321">
        <f t="shared" si="152"/>
        <v>0</v>
      </c>
      <c r="L124" s="321">
        <f t="shared" si="152"/>
        <v>0</v>
      </c>
      <c r="M124" s="321">
        <f t="shared" si="152"/>
        <v>0</v>
      </c>
      <c r="N124" s="321">
        <f t="shared" si="152"/>
        <v>0</v>
      </c>
      <c r="O124" s="321">
        <f t="shared" si="152"/>
        <v>0</v>
      </c>
      <c r="P124" s="321">
        <f t="shared" si="152"/>
        <v>0</v>
      </c>
      <c r="Q124" s="321">
        <f t="shared" si="152"/>
        <v>0</v>
      </c>
      <c r="R124" s="321">
        <f t="shared" si="152"/>
        <v>0</v>
      </c>
      <c r="S124" s="321">
        <f t="shared" si="152"/>
        <v>0</v>
      </c>
      <c r="T124" s="321">
        <f t="shared" si="152"/>
        <v>0</v>
      </c>
      <c r="U124" s="321">
        <f t="shared" si="152"/>
        <v>0</v>
      </c>
      <c r="V124" s="321">
        <f t="shared" si="152"/>
        <v>0</v>
      </c>
      <c r="W124" s="321">
        <f t="shared" si="152"/>
        <v>0</v>
      </c>
      <c r="X124" s="321">
        <f t="shared" si="152"/>
        <v>0</v>
      </c>
      <c r="Y124" s="321">
        <f t="shared" si="152"/>
        <v>0</v>
      </c>
      <c r="Z124" s="321">
        <f t="shared" si="152"/>
        <v>0</v>
      </c>
      <c r="AA124" s="321">
        <f t="shared" si="152"/>
        <v>0</v>
      </c>
      <c r="AB124" s="321">
        <f t="shared" si="152"/>
        <v>0</v>
      </c>
      <c r="AC124" s="321">
        <f t="shared" si="152"/>
        <v>0</v>
      </c>
      <c r="AD124" s="321">
        <f t="shared" si="152"/>
        <v>0</v>
      </c>
      <c r="AE124" s="321">
        <f t="shared" si="152"/>
        <v>0</v>
      </c>
      <c r="AF124" s="321">
        <f t="shared" si="152"/>
        <v>0</v>
      </c>
      <c r="AG124" s="321">
        <f t="shared" si="152"/>
        <v>0</v>
      </c>
      <c r="AH124" s="321">
        <f t="shared" si="152"/>
        <v>0</v>
      </c>
      <c r="AI124" s="321">
        <f t="shared" ref="AI124:BN124" si="153">SUMIF($F$33:$F$35,AI$101,$R$33:$R$35)</f>
        <v>0</v>
      </c>
      <c r="AJ124" s="321">
        <f t="shared" si="153"/>
        <v>0.50447068503365067</v>
      </c>
      <c r="AK124" s="321">
        <f t="shared" si="153"/>
        <v>0</v>
      </c>
      <c r="AL124" s="321">
        <f t="shared" si="153"/>
        <v>0</v>
      </c>
      <c r="AM124" s="321">
        <f t="shared" si="153"/>
        <v>0</v>
      </c>
      <c r="AN124" s="321">
        <f t="shared" si="153"/>
        <v>0</v>
      </c>
      <c r="AO124" s="321">
        <f t="shared" si="153"/>
        <v>0</v>
      </c>
      <c r="AP124" s="321">
        <f t="shared" si="153"/>
        <v>0</v>
      </c>
      <c r="AQ124" s="321">
        <f t="shared" si="153"/>
        <v>0</v>
      </c>
      <c r="AR124" s="321">
        <f t="shared" si="153"/>
        <v>0</v>
      </c>
      <c r="AS124" s="321">
        <f t="shared" si="153"/>
        <v>0</v>
      </c>
      <c r="AT124" s="321">
        <f t="shared" si="153"/>
        <v>0</v>
      </c>
      <c r="AU124" s="321">
        <f t="shared" si="153"/>
        <v>0</v>
      </c>
      <c r="AV124" s="321">
        <f t="shared" si="153"/>
        <v>0</v>
      </c>
      <c r="AW124" s="321">
        <f t="shared" si="153"/>
        <v>0</v>
      </c>
      <c r="AX124" s="321">
        <f t="shared" si="153"/>
        <v>0</v>
      </c>
      <c r="AY124" s="321">
        <f t="shared" si="153"/>
        <v>0</v>
      </c>
      <c r="AZ124" s="321">
        <f t="shared" si="153"/>
        <v>0</v>
      </c>
      <c r="BA124" s="321">
        <f t="shared" si="153"/>
        <v>0</v>
      </c>
      <c r="BB124" s="321">
        <f t="shared" si="153"/>
        <v>0</v>
      </c>
      <c r="BC124" s="321">
        <f t="shared" si="153"/>
        <v>0</v>
      </c>
      <c r="BD124" s="321">
        <f t="shared" si="153"/>
        <v>0</v>
      </c>
      <c r="BE124" s="321">
        <f t="shared" si="153"/>
        <v>0</v>
      </c>
      <c r="BF124" s="321">
        <f t="shared" si="153"/>
        <v>0</v>
      </c>
      <c r="BG124" s="321">
        <f t="shared" si="153"/>
        <v>0</v>
      </c>
      <c r="BH124" s="321">
        <f t="shared" si="153"/>
        <v>0</v>
      </c>
      <c r="BI124" s="321">
        <f t="shared" si="153"/>
        <v>0</v>
      </c>
      <c r="BJ124" s="321">
        <f t="shared" si="153"/>
        <v>0</v>
      </c>
      <c r="BK124" s="321">
        <f t="shared" si="153"/>
        <v>0</v>
      </c>
      <c r="BL124" s="321">
        <f t="shared" si="153"/>
        <v>0</v>
      </c>
      <c r="BM124" s="321">
        <f t="shared" si="153"/>
        <v>0</v>
      </c>
      <c r="BN124" s="321">
        <f t="shared" si="153"/>
        <v>0</v>
      </c>
      <c r="BO124" s="321">
        <f t="shared" ref="BO124:CE124" si="154">SUMIF($F$33:$F$35,BO$101,$R$33:$R$35)</f>
        <v>0</v>
      </c>
      <c r="BP124" s="321">
        <f t="shared" si="154"/>
        <v>0</v>
      </c>
      <c r="BQ124" s="321">
        <f t="shared" si="154"/>
        <v>0</v>
      </c>
      <c r="BR124" s="321">
        <f t="shared" si="154"/>
        <v>0</v>
      </c>
      <c r="BS124" s="321">
        <f t="shared" si="154"/>
        <v>0</v>
      </c>
      <c r="BT124" s="321">
        <f t="shared" si="154"/>
        <v>0</v>
      </c>
      <c r="BU124" s="321">
        <f t="shared" si="154"/>
        <v>0</v>
      </c>
      <c r="BV124" s="321">
        <f t="shared" si="154"/>
        <v>0</v>
      </c>
      <c r="BW124" s="321">
        <f t="shared" si="154"/>
        <v>0</v>
      </c>
      <c r="BX124" s="321">
        <f t="shared" si="154"/>
        <v>0</v>
      </c>
      <c r="BY124" s="321">
        <f t="shared" si="154"/>
        <v>0</v>
      </c>
      <c r="BZ124" s="321">
        <f t="shared" si="154"/>
        <v>0</v>
      </c>
      <c r="CA124" s="321">
        <f t="shared" si="154"/>
        <v>0</v>
      </c>
      <c r="CB124" s="321">
        <f t="shared" si="154"/>
        <v>0</v>
      </c>
      <c r="CC124" s="321">
        <f t="shared" si="154"/>
        <v>0</v>
      </c>
      <c r="CD124" s="321">
        <f t="shared" si="154"/>
        <v>0</v>
      </c>
      <c r="CE124" s="321">
        <f t="shared" si="154"/>
        <v>0</v>
      </c>
      <c r="CF124" s="322">
        <f t="shared" si="92"/>
        <v>0.50941382923333056</v>
      </c>
      <c r="CG124" s="217"/>
      <c r="CH124" s="217"/>
      <c r="CI124" s="217"/>
      <c r="CJ124" s="217"/>
      <c r="CK124" s="217"/>
    </row>
    <row r="125" spans="1:89" x14ac:dyDescent="0.3">
      <c r="A125" s="217"/>
      <c r="B125" s="260" t="s">
        <v>539</v>
      </c>
      <c r="C125" s="321">
        <f t="shared" ref="C125:AH125" si="155">SUMIF($F$36:$F$38,C$101,$R$36:$R$38)</f>
        <v>0</v>
      </c>
      <c r="D125" s="321">
        <f t="shared" si="155"/>
        <v>0</v>
      </c>
      <c r="E125" s="321">
        <f t="shared" si="155"/>
        <v>0</v>
      </c>
      <c r="F125" s="321">
        <f t="shared" si="155"/>
        <v>0</v>
      </c>
      <c r="G125" s="321">
        <f t="shared" si="155"/>
        <v>0</v>
      </c>
      <c r="H125" s="321">
        <f t="shared" si="155"/>
        <v>0</v>
      </c>
      <c r="I125" s="321">
        <f t="shared" si="155"/>
        <v>9.487083233798585E-3</v>
      </c>
      <c r="J125" s="321">
        <f t="shared" si="155"/>
        <v>0</v>
      </c>
      <c r="K125" s="321">
        <f t="shared" si="155"/>
        <v>0</v>
      </c>
      <c r="L125" s="321">
        <f t="shared" si="155"/>
        <v>0</v>
      </c>
      <c r="M125" s="321">
        <f t="shared" si="155"/>
        <v>0</v>
      </c>
      <c r="N125" s="321">
        <f t="shared" si="155"/>
        <v>0</v>
      </c>
      <c r="O125" s="321">
        <f t="shared" si="155"/>
        <v>0</v>
      </c>
      <c r="P125" s="321">
        <f t="shared" si="155"/>
        <v>0</v>
      </c>
      <c r="Q125" s="321">
        <f t="shared" si="155"/>
        <v>0</v>
      </c>
      <c r="R125" s="321">
        <f t="shared" si="155"/>
        <v>0</v>
      </c>
      <c r="S125" s="321">
        <f t="shared" si="155"/>
        <v>0</v>
      </c>
      <c r="T125" s="321">
        <f t="shared" si="155"/>
        <v>0</v>
      </c>
      <c r="U125" s="321">
        <f t="shared" si="155"/>
        <v>0</v>
      </c>
      <c r="V125" s="321">
        <f t="shared" si="155"/>
        <v>0</v>
      </c>
      <c r="W125" s="321">
        <f t="shared" si="155"/>
        <v>0</v>
      </c>
      <c r="X125" s="321">
        <f t="shared" si="155"/>
        <v>0</v>
      </c>
      <c r="Y125" s="321">
        <f t="shared" si="155"/>
        <v>0</v>
      </c>
      <c r="Z125" s="321">
        <f t="shared" si="155"/>
        <v>0</v>
      </c>
      <c r="AA125" s="321">
        <f t="shared" si="155"/>
        <v>0</v>
      </c>
      <c r="AB125" s="321">
        <f t="shared" si="155"/>
        <v>0</v>
      </c>
      <c r="AC125" s="321">
        <f t="shared" si="155"/>
        <v>0</v>
      </c>
      <c r="AD125" s="321">
        <f t="shared" si="155"/>
        <v>0</v>
      </c>
      <c r="AE125" s="321">
        <f t="shared" si="155"/>
        <v>0</v>
      </c>
      <c r="AF125" s="321">
        <f t="shared" si="155"/>
        <v>0</v>
      </c>
      <c r="AG125" s="321">
        <f t="shared" si="155"/>
        <v>0</v>
      </c>
      <c r="AH125" s="321">
        <f t="shared" si="155"/>
        <v>0</v>
      </c>
      <c r="AI125" s="321">
        <f t="shared" ref="AI125:BN125" si="156">SUMIF($F$36:$F$38,AI$101,$R$36:$R$38)</f>
        <v>0</v>
      </c>
      <c r="AJ125" s="321">
        <f t="shared" si="156"/>
        <v>0.5021670136163533</v>
      </c>
      <c r="AK125" s="321">
        <f t="shared" si="156"/>
        <v>0</v>
      </c>
      <c r="AL125" s="321">
        <f t="shared" si="156"/>
        <v>0</v>
      </c>
      <c r="AM125" s="321">
        <f t="shared" si="156"/>
        <v>0</v>
      </c>
      <c r="AN125" s="321">
        <f t="shared" si="156"/>
        <v>0</v>
      </c>
      <c r="AO125" s="321">
        <f t="shared" si="156"/>
        <v>0</v>
      </c>
      <c r="AP125" s="321">
        <f t="shared" si="156"/>
        <v>0</v>
      </c>
      <c r="AQ125" s="321">
        <f t="shared" si="156"/>
        <v>0</v>
      </c>
      <c r="AR125" s="321">
        <f t="shared" si="156"/>
        <v>0</v>
      </c>
      <c r="AS125" s="321">
        <f t="shared" si="156"/>
        <v>0</v>
      </c>
      <c r="AT125" s="321">
        <f t="shared" si="156"/>
        <v>0</v>
      </c>
      <c r="AU125" s="321">
        <f t="shared" si="156"/>
        <v>0</v>
      </c>
      <c r="AV125" s="321">
        <f t="shared" si="156"/>
        <v>0</v>
      </c>
      <c r="AW125" s="321">
        <f t="shared" si="156"/>
        <v>0</v>
      </c>
      <c r="AX125" s="321">
        <f t="shared" si="156"/>
        <v>0</v>
      </c>
      <c r="AY125" s="321">
        <f t="shared" si="156"/>
        <v>0</v>
      </c>
      <c r="AZ125" s="321">
        <f t="shared" si="156"/>
        <v>0</v>
      </c>
      <c r="BA125" s="321">
        <f t="shared" si="156"/>
        <v>0</v>
      </c>
      <c r="BB125" s="321">
        <f t="shared" si="156"/>
        <v>0</v>
      </c>
      <c r="BC125" s="321">
        <f t="shared" si="156"/>
        <v>0</v>
      </c>
      <c r="BD125" s="321">
        <f t="shared" si="156"/>
        <v>0</v>
      </c>
      <c r="BE125" s="321">
        <f t="shared" si="156"/>
        <v>0</v>
      </c>
      <c r="BF125" s="321">
        <f t="shared" si="156"/>
        <v>0</v>
      </c>
      <c r="BG125" s="321">
        <f t="shared" si="156"/>
        <v>0</v>
      </c>
      <c r="BH125" s="321">
        <f t="shared" si="156"/>
        <v>0</v>
      </c>
      <c r="BI125" s="321">
        <f t="shared" si="156"/>
        <v>0</v>
      </c>
      <c r="BJ125" s="321">
        <f t="shared" si="156"/>
        <v>0</v>
      </c>
      <c r="BK125" s="321">
        <f t="shared" si="156"/>
        <v>0</v>
      </c>
      <c r="BL125" s="321">
        <f t="shared" si="156"/>
        <v>0</v>
      </c>
      <c r="BM125" s="321">
        <f t="shared" si="156"/>
        <v>0</v>
      </c>
      <c r="BN125" s="321">
        <f t="shared" si="156"/>
        <v>0</v>
      </c>
      <c r="BO125" s="321">
        <f t="shared" ref="BO125:CE125" si="157">SUMIF($F$36:$F$38,BO$101,$R$36:$R$38)</f>
        <v>0</v>
      </c>
      <c r="BP125" s="321">
        <f t="shared" si="157"/>
        <v>0</v>
      </c>
      <c r="BQ125" s="321">
        <f t="shared" si="157"/>
        <v>0</v>
      </c>
      <c r="BR125" s="321">
        <f t="shared" si="157"/>
        <v>0</v>
      </c>
      <c r="BS125" s="321">
        <f t="shared" si="157"/>
        <v>0</v>
      </c>
      <c r="BT125" s="321">
        <f t="shared" si="157"/>
        <v>0</v>
      </c>
      <c r="BU125" s="321">
        <f t="shared" si="157"/>
        <v>0</v>
      </c>
      <c r="BV125" s="321">
        <f t="shared" si="157"/>
        <v>0</v>
      </c>
      <c r="BW125" s="321">
        <f t="shared" si="157"/>
        <v>0</v>
      </c>
      <c r="BX125" s="321">
        <f t="shared" si="157"/>
        <v>0</v>
      </c>
      <c r="BY125" s="321">
        <f t="shared" si="157"/>
        <v>0</v>
      </c>
      <c r="BZ125" s="321">
        <f t="shared" si="157"/>
        <v>0</v>
      </c>
      <c r="CA125" s="321">
        <f t="shared" si="157"/>
        <v>0</v>
      </c>
      <c r="CB125" s="321">
        <f t="shared" si="157"/>
        <v>0</v>
      </c>
      <c r="CC125" s="321">
        <f t="shared" si="157"/>
        <v>0</v>
      </c>
      <c r="CD125" s="321">
        <f t="shared" si="157"/>
        <v>0</v>
      </c>
      <c r="CE125" s="321">
        <f t="shared" si="157"/>
        <v>0</v>
      </c>
      <c r="CF125" s="322">
        <f t="shared" si="92"/>
        <v>0.51165409685015184</v>
      </c>
      <c r="CG125" s="217"/>
      <c r="CH125" s="217"/>
      <c r="CI125" s="217"/>
      <c r="CJ125" s="217"/>
      <c r="CK125" s="217"/>
    </row>
    <row r="126" spans="1:89" x14ac:dyDescent="0.3">
      <c r="A126" s="217"/>
      <c r="B126" s="260" t="s">
        <v>540</v>
      </c>
      <c r="C126" s="321">
        <f t="shared" ref="C126:AH126" si="158">SUMIF($F$39:$F$41,C$101,$R$39:$R$41)</f>
        <v>0</v>
      </c>
      <c r="D126" s="321">
        <f t="shared" si="158"/>
        <v>0</v>
      </c>
      <c r="E126" s="321">
        <f t="shared" si="158"/>
        <v>0</v>
      </c>
      <c r="F126" s="321">
        <f t="shared" si="158"/>
        <v>0</v>
      </c>
      <c r="G126" s="321">
        <f t="shared" si="158"/>
        <v>0</v>
      </c>
      <c r="H126" s="321">
        <f t="shared" si="158"/>
        <v>0</v>
      </c>
      <c r="I126" s="321">
        <f t="shared" si="158"/>
        <v>0</v>
      </c>
      <c r="J126" s="321">
        <f t="shared" si="158"/>
        <v>0</v>
      </c>
      <c r="K126" s="321">
        <f t="shared" si="158"/>
        <v>0</v>
      </c>
      <c r="L126" s="321">
        <f t="shared" si="158"/>
        <v>0</v>
      </c>
      <c r="M126" s="321">
        <f t="shared" si="158"/>
        <v>0</v>
      </c>
      <c r="N126" s="321">
        <f t="shared" si="158"/>
        <v>0</v>
      </c>
      <c r="O126" s="321">
        <f t="shared" si="158"/>
        <v>0</v>
      </c>
      <c r="P126" s="321">
        <f t="shared" si="158"/>
        <v>0</v>
      </c>
      <c r="Q126" s="321">
        <f t="shared" si="158"/>
        <v>0</v>
      </c>
      <c r="R126" s="321">
        <f t="shared" si="158"/>
        <v>0</v>
      </c>
      <c r="S126" s="321">
        <f t="shared" si="158"/>
        <v>0</v>
      </c>
      <c r="T126" s="321">
        <f t="shared" si="158"/>
        <v>0</v>
      </c>
      <c r="U126" s="321">
        <f t="shared" si="158"/>
        <v>0</v>
      </c>
      <c r="V126" s="321">
        <f t="shared" si="158"/>
        <v>0</v>
      </c>
      <c r="W126" s="321">
        <f t="shared" si="158"/>
        <v>0</v>
      </c>
      <c r="X126" s="321">
        <f t="shared" si="158"/>
        <v>0</v>
      </c>
      <c r="Y126" s="321">
        <f t="shared" si="158"/>
        <v>0</v>
      </c>
      <c r="Z126" s="321">
        <f t="shared" si="158"/>
        <v>0</v>
      </c>
      <c r="AA126" s="321">
        <f t="shared" si="158"/>
        <v>0</v>
      </c>
      <c r="AB126" s="321">
        <f t="shared" si="158"/>
        <v>0</v>
      </c>
      <c r="AC126" s="321">
        <f t="shared" si="158"/>
        <v>0</v>
      </c>
      <c r="AD126" s="321">
        <f t="shared" si="158"/>
        <v>0</v>
      </c>
      <c r="AE126" s="321">
        <f t="shared" si="158"/>
        <v>0</v>
      </c>
      <c r="AF126" s="321">
        <f t="shared" si="158"/>
        <v>0</v>
      </c>
      <c r="AG126" s="321">
        <f t="shared" si="158"/>
        <v>0</v>
      </c>
      <c r="AH126" s="321">
        <f t="shared" si="158"/>
        <v>0</v>
      </c>
      <c r="AI126" s="321">
        <f t="shared" ref="AI126:BN126" si="159">SUMIF($F$39:$F$41,AI$101,$R$39:$R$41)</f>
        <v>0</v>
      </c>
      <c r="AJ126" s="321">
        <f t="shared" si="159"/>
        <v>0.5</v>
      </c>
      <c r="AK126" s="321">
        <f t="shared" si="159"/>
        <v>0</v>
      </c>
      <c r="AL126" s="321">
        <f t="shared" si="159"/>
        <v>0</v>
      </c>
      <c r="AM126" s="321">
        <f t="shared" si="159"/>
        <v>0</v>
      </c>
      <c r="AN126" s="321">
        <f t="shared" si="159"/>
        <v>0</v>
      </c>
      <c r="AO126" s="321">
        <f t="shared" si="159"/>
        <v>0</v>
      </c>
      <c r="AP126" s="321">
        <f t="shared" si="159"/>
        <v>0</v>
      </c>
      <c r="AQ126" s="321">
        <f t="shared" si="159"/>
        <v>0</v>
      </c>
      <c r="AR126" s="321">
        <f t="shared" si="159"/>
        <v>0</v>
      </c>
      <c r="AS126" s="321">
        <f t="shared" si="159"/>
        <v>0</v>
      </c>
      <c r="AT126" s="321">
        <f t="shared" si="159"/>
        <v>0</v>
      </c>
      <c r="AU126" s="321">
        <f t="shared" si="159"/>
        <v>0</v>
      </c>
      <c r="AV126" s="321">
        <f t="shared" si="159"/>
        <v>0</v>
      </c>
      <c r="AW126" s="321">
        <f t="shared" si="159"/>
        <v>0</v>
      </c>
      <c r="AX126" s="321">
        <f t="shared" si="159"/>
        <v>0</v>
      </c>
      <c r="AY126" s="321">
        <f t="shared" si="159"/>
        <v>0</v>
      </c>
      <c r="AZ126" s="321">
        <f t="shared" si="159"/>
        <v>0</v>
      </c>
      <c r="BA126" s="321">
        <f t="shared" si="159"/>
        <v>0</v>
      </c>
      <c r="BB126" s="321">
        <f t="shared" si="159"/>
        <v>0</v>
      </c>
      <c r="BC126" s="321">
        <f t="shared" si="159"/>
        <v>0</v>
      </c>
      <c r="BD126" s="321">
        <f t="shared" si="159"/>
        <v>0</v>
      </c>
      <c r="BE126" s="321">
        <f t="shared" si="159"/>
        <v>0</v>
      </c>
      <c r="BF126" s="321">
        <f t="shared" si="159"/>
        <v>0</v>
      </c>
      <c r="BG126" s="321">
        <f t="shared" si="159"/>
        <v>0</v>
      </c>
      <c r="BH126" s="321">
        <f t="shared" si="159"/>
        <v>0</v>
      </c>
      <c r="BI126" s="321">
        <f t="shared" si="159"/>
        <v>0</v>
      </c>
      <c r="BJ126" s="321">
        <f t="shared" si="159"/>
        <v>0</v>
      </c>
      <c r="BK126" s="321">
        <f t="shared" si="159"/>
        <v>0</v>
      </c>
      <c r="BL126" s="321">
        <f t="shared" si="159"/>
        <v>0</v>
      </c>
      <c r="BM126" s="321">
        <f t="shared" si="159"/>
        <v>0</v>
      </c>
      <c r="BN126" s="321">
        <f t="shared" si="159"/>
        <v>0</v>
      </c>
      <c r="BO126" s="321">
        <f t="shared" ref="BO126:CE126" si="160">SUMIF($F$39:$F$41,BO$101,$R$39:$R$41)</f>
        <v>0</v>
      </c>
      <c r="BP126" s="321">
        <f t="shared" si="160"/>
        <v>0</v>
      </c>
      <c r="BQ126" s="321">
        <f t="shared" si="160"/>
        <v>0</v>
      </c>
      <c r="BR126" s="321">
        <f t="shared" si="160"/>
        <v>0</v>
      </c>
      <c r="BS126" s="321">
        <f t="shared" si="160"/>
        <v>0</v>
      </c>
      <c r="BT126" s="321">
        <f t="shared" si="160"/>
        <v>0</v>
      </c>
      <c r="BU126" s="321">
        <f t="shared" si="160"/>
        <v>0</v>
      </c>
      <c r="BV126" s="321">
        <f t="shared" si="160"/>
        <v>0</v>
      </c>
      <c r="BW126" s="321">
        <f t="shared" si="160"/>
        <v>0</v>
      </c>
      <c r="BX126" s="321">
        <f t="shared" si="160"/>
        <v>0</v>
      </c>
      <c r="BY126" s="321">
        <f t="shared" si="160"/>
        <v>0</v>
      </c>
      <c r="BZ126" s="321">
        <f t="shared" si="160"/>
        <v>0</v>
      </c>
      <c r="CA126" s="321">
        <f t="shared" si="160"/>
        <v>0</v>
      </c>
      <c r="CB126" s="321">
        <f t="shared" si="160"/>
        <v>0</v>
      </c>
      <c r="CC126" s="321">
        <f t="shared" si="160"/>
        <v>0</v>
      </c>
      <c r="CD126" s="321">
        <f t="shared" si="160"/>
        <v>0</v>
      </c>
      <c r="CE126" s="321">
        <f t="shared" si="160"/>
        <v>0</v>
      </c>
      <c r="CF126" s="322">
        <f t="shared" si="92"/>
        <v>0.5</v>
      </c>
      <c r="CG126" s="217"/>
      <c r="CH126" s="217"/>
      <c r="CI126" s="217"/>
      <c r="CJ126" s="217"/>
      <c r="CK126" s="217"/>
    </row>
    <row r="127" spans="1:89" x14ac:dyDescent="0.3">
      <c r="A127" s="217"/>
      <c r="B127" s="260" t="s">
        <v>541</v>
      </c>
      <c r="C127" s="321">
        <f t="shared" ref="C127:AH127" si="161">SUMIF($F$42:$F$46,C$101,$R$42:$R$46)</f>
        <v>0</v>
      </c>
      <c r="D127" s="321">
        <f t="shared" si="161"/>
        <v>0</v>
      </c>
      <c r="E127" s="321">
        <f t="shared" si="161"/>
        <v>0</v>
      </c>
      <c r="F127" s="321">
        <f t="shared" si="161"/>
        <v>0</v>
      </c>
      <c r="G127" s="321">
        <f t="shared" si="161"/>
        <v>0</v>
      </c>
      <c r="H127" s="321">
        <f t="shared" si="161"/>
        <v>0</v>
      </c>
      <c r="I127" s="321">
        <f t="shared" si="161"/>
        <v>2.382193013203247E-3</v>
      </c>
      <c r="J127" s="321">
        <f t="shared" si="161"/>
        <v>0</v>
      </c>
      <c r="K127" s="321">
        <f t="shared" si="161"/>
        <v>0</v>
      </c>
      <c r="L127" s="321">
        <f t="shared" si="161"/>
        <v>0</v>
      </c>
      <c r="M127" s="321">
        <f t="shared" si="161"/>
        <v>0</v>
      </c>
      <c r="N127" s="321">
        <f t="shared" si="161"/>
        <v>0</v>
      </c>
      <c r="O127" s="321">
        <f t="shared" si="161"/>
        <v>0</v>
      </c>
      <c r="P127" s="321">
        <f t="shared" si="161"/>
        <v>0</v>
      </c>
      <c r="Q127" s="321">
        <f t="shared" si="161"/>
        <v>0</v>
      </c>
      <c r="R127" s="321">
        <f t="shared" si="161"/>
        <v>0</v>
      </c>
      <c r="S127" s="321">
        <f t="shared" si="161"/>
        <v>0</v>
      </c>
      <c r="T127" s="321">
        <f t="shared" si="161"/>
        <v>0</v>
      </c>
      <c r="U127" s="321">
        <f t="shared" si="161"/>
        <v>0</v>
      </c>
      <c r="V127" s="321">
        <f t="shared" si="161"/>
        <v>0</v>
      </c>
      <c r="W127" s="321">
        <f t="shared" si="161"/>
        <v>0</v>
      </c>
      <c r="X127" s="321">
        <f t="shared" si="161"/>
        <v>0.15013662052956175</v>
      </c>
      <c r="Y127" s="321">
        <f t="shared" si="161"/>
        <v>0</v>
      </c>
      <c r="Z127" s="321">
        <f t="shared" si="161"/>
        <v>0</v>
      </c>
      <c r="AA127" s="321">
        <f t="shared" si="161"/>
        <v>0</v>
      </c>
      <c r="AB127" s="321">
        <f t="shared" si="161"/>
        <v>0</v>
      </c>
      <c r="AC127" s="321">
        <f t="shared" si="161"/>
        <v>0</v>
      </c>
      <c r="AD127" s="321">
        <f t="shared" si="161"/>
        <v>0</v>
      </c>
      <c r="AE127" s="321">
        <f t="shared" si="161"/>
        <v>0</v>
      </c>
      <c r="AF127" s="321">
        <f t="shared" si="161"/>
        <v>0</v>
      </c>
      <c r="AG127" s="321">
        <f t="shared" si="161"/>
        <v>0</v>
      </c>
      <c r="AH127" s="321">
        <f t="shared" si="161"/>
        <v>0</v>
      </c>
      <c r="AI127" s="321">
        <f t="shared" ref="AI127:BN127" si="162">SUMIF($F$42:$F$46,AI$101,$R$42:$R$46)</f>
        <v>0</v>
      </c>
      <c r="AJ127" s="321">
        <f t="shared" si="162"/>
        <v>0.37369505305209688</v>
      </c>
      <c r="AK127" s="321">
        <f t="shared" si="162"/>
        <v>0</v>
      </c>
      <c r="AL127" s="321">
        <f t="shared" si="162"/>
        <v>0</v>
      </c>
      <c r="AM127" s="321">
        <f t="shared" si="162"/>
        <v>0</v>
      </c>
      <c r="AN127" s="321">
        <f t="shared" si="162"/>
        <v>0</v>
      </c>
      <c r="AO127" s="321">
        <f t="shared" si="162"/>
        <v>0</v>
      </c>
      <c r="AP127" s="321">
        <f t="shared" si="162"/>
        <v>0</v>
      </c>
      <c r="AQ127" s="321">
        <f t="shared" si="162"/>
        <v>0</v>
      </c>
      <c r="AR127" s="321">
        <f t="shared" si="162"/>
        <v>0</v>
      </c>
      <c r="AS127" s="321">
        <f t="shared" si="162"/>
        <v>0</v>
      </c>
      <c r="AT127" s="321">
        <f t="shared" si="162"/>
        <v>0</v>
      </c>
      <c r="AU127" s="321">
        <f t="shared" si="162"/>
        <v>0</v>
      </c>
      <c r="AV127" s="321">
        <f t="shared" si="162"/>
        <v>0</v>
      </c>
      <c r="AW127" s="321">
        <f t="shared" si="162"/>
        <v>0</v>
      </c>
      <c r="AX127" s="321">
        <f t="shared" si="162"/>
        <v>0</v>
      </c>
      <c r="AY127" s="321">
        <f t="shared" si="162"/>
        <v>0</v>
      </c>
      <c r="AZ127" s="321">
        <f t="shared" si="162"/>
        <v>0</v>
      </c>
      <c r="BA127" s="321">
        <f t="shared" si="162"/>
        <v>0</v>
      </c>
      <c r="BB127" s="321">
        <f t="shared" si="162"/>
        <v>0</v>
      </c>
      <c r="BC127" s="321">
        <f t="shared" si="162"/>
        <v>0</v>
      </c>
      <c r="BD127" s="321">
        <f t="shared" si="162"/>
        <v>0</v>
      </c>
      <c r="BE127" s="321">
        <f t="shared" si="162"/>
        <v>0</v>
      </c>
      <c r="BF127" s="321">
        <f t="shared" si="162"/>
        <v>0</v>
      </c>
      <c r="BG127" s="321">
        <f t="shared" si="162"/>
        <v>0</v>
      </c>
      <c r="BH127" s="321">
        <f t="shared" si="162"/>
        <v>0</v>
      </c>
      <c r="BI127" s="321">
        <f t="shared" si="162"/>
        <v>0</v>
      </c>
      <c r="BJ127" s="321">
        <f t="shared" si="162"/>
        <v>0</v>
      </c>
      <c r="BK127" s="321">
        <f t="shared" si="162"/>
        <v>0</v>
      </c>
      <c r="BL127" s="321">
        <f t="shared" si="162"/>
        <v>0</v>
      </c>
      <c r="BM127" s="321">
        <f t="shared" si="162"/>
        <v>0</v>
      </c>
      <c r="BN127" s="321">
        <f t="shared" si="162"/>
        <v>0</v>
      </c>
      <c r="BO127" s="321">
        <f t="shared" ref="BO127:CE127" si="163">SUMIF($F$42:$F$46,BO$101,$R$42:$R$46)</f>
        <v>0</v>
      </c>
      <c r="BP127" s="321">
        <f t="shared" si="163"/>
        <v>0</v>
      </c>
      <c r="BQ127" s="321">
        <f t="shared" si="163"/>
        <v>0</v>
      </c>
      <c r="BR127" s="321">
        <f t="shared" si="163"/>
        <v>0</v>
      </c>
      <c r="BS127" s="321">
        <f t="shared" si="163"/>
        <v>0</v>
      </c>
      <c r="BT127" s="321">
        <f t="shared" si="163"/>
        <v>0</v>
      </c>
      <c r="BU127" s="321">
        <f t="shared" si="163"/>
        <v>0</v>
      </c>
      <c r="BV127" s="321">
        <f t="shared" si="163"/>
        <v>0</v>
      </c>
      <c r="BW127" s="321">
        <f t="shared" si="163"/>
        <v>0</v>
      </c>
      <c r="BX127" s="321">
        <f t="shared" si="163"/>
        <v>0</v>
      </c>
      <c r="BY127" s="321">
        <f t="shared" si="163"/>
        <v>0</v>
      </c>
      <c r="BZ127" s="321">
        <f t="shared" si="163"/>
        <v>0</v>
      </c>
      <c r="CA127" s="321">
        <f t="shared" si="163"/>
        <v>0</v>
      </c>
      <c r="CB127" s="321">
        <f t="shared" si="163"/>
        <v>0</v>
      </c>
      <c r="CC127" s="321">
        <f t="shared" si="163"/>
        <v>0</v>
      </c>
      <c r="CD127" s="321">
        <f t="shared" si="163"/>
        <v>0</v>
      </c>
      <c r="CE127" s="321">
        <f t="shared" si="163"/>
        <v>0</v>
      </c>
      <c r="CF127" s="322">
        <f t="shared" si="92"/>
        <v>0.52621386659486191</v>
      </c>
      <c r="CG127" s="217"/>
      <c r="CH127" s="217"/>
      <c r="CI127" s="217"/>
      <c r="CJ127" s="217"/>
      <c r="CK127" s="217"/>
    </row>
    <row r="128" spans="1:89" x14ac:dyDescent="0.3">
      <c r="A128" s="217"/>
      <c r="B128" s="260" t="s">
        <v>433</v>
      </c>
      <c r="C128" s="321">
        <f t="shared" ref="C128:AH128" si="164">SUMIF($F$47,C$101,$R$47)</f>
        <v>0</v>
      </c>
      <c r="D128" s="321">
        <f t="shared" si="164"/>
        <v>0</v>
      </c>
      <c r="E128" s="321">
        <f t="shared" si="164"/>
        <v>0</v>
      </c>
      <c r="F128" s="321">
        <f t="shared" si="164"/>
        <v>0</v>
      </c>
      <c r="G128" s="321">
        <f t="shared" si="164"/>
        <v>0</v>
      </c>
      <c r="H128" s="321">
        <f t="shared" si="164"/>
        <v>0</v>
      </c>
      <c r="I128" s="321">
        <f t="shared" si="164"/>
        <v>0</v>
      </c>
      <c r="J128" s="321">
        <f t="shared" si="164"/>
        <v>0</v>
      </c>
      <c r="K128" s="321">
        <f t="shared" si="164"/>
        <v>0</v>
      </c>
      <c r="L128" s="321">
        <f t="shared" si="164"/>
        <v>0</v>
      </c>
      <c r="M128" s="321">
        <f t="shared" si="164"/>
        <v>0</v>
      </c>
      <c r="N128" s="321">
        <f t="shared" si="164"/>
        <v>0</v>
      </c>
      <c r="O128" s="321">
        <f t="shared" si="164"/>
        <v>0</v>
      </c>
      <c r="P128" s="321">
        <f t="shared" si="164"/>
        <v>0</v>
      </c>
      <c r="Q128" s="321">
        <f t="shared" si="164"/>
        <v>0</v>
      </c>
      <c r="R128" s="321">
        <f t="shared" si="164"/>
        <v>0</v>
      </c>
      <c r="S128" s="321">
        <f t="shared" si="164"/>
        <v>0</v>
      </c>
      <c r="T128" s="321">
        <f t="shared" si="164"/>
        <v>0</v>
      </c>
      <c r="U128" s="321">
        <f t="shared" si="164"/>
        <v>0</v>
      </c>
      <c r="V128" s="321">
        <f t="shared" si="164"/>
        <v>0</v>
      </c>
      <c r="W128" s="321">
        <f t="shared" si="164"/>
        <v>0</v>
      </c>
      <c r="X128" s="321">
        <f t="shared" si="164"/>
        <v>0</v>
      </c>
      <c r="Y128" s="321">
        <f t="shared" si="164"/>
        <v>0</v>
      </c>
      <c r="Z128" s="321">
        <f t="shared" si="164"/>
        <v>0</v>
      </c>
      <c r="AA128" s="321">
        <f t="shared" si="164"/>
        <v>0</v>
      </c>
      <c r="AB128" s="321">
        <f t="shared" si="164"/>
        <v>0</v>
      </c>
      <c r="AC128" s="321">
        <f t="shared" si="164"/>
        <v>0</v>
      </c>
      <c r="AD128" s="321">
        <f t="shared" si="164"/>
        <v>0</v>
      </c>
      <c r="AE128" s="321">
        <f t="shared" si="164"/>
        <v>0</v>
      </c>
      <c r="AF128" s="321">
        <f t="shared" si="164"/>
        <v>0</v>
      </c>
      <c r="AG128" s="321">
        <f t="shared" si="164"/>
        <v>0</v>
      </c>
      <c r="AH128" s="321">
        <f t="shared" si="164"/>
        <v>0</v>
      </c>
      <c r="AI128" s="321">
        <f t="shared" ref="AI128:BN128" si="165">SUMIF($F$47,AI$101,$R$47)</f>
        <v>0</v>
      </c>
      <c r="AJ128" s="321">
        <f t="shared" si="165"/>
        <v>0.5</v>
      </c>
      <c r="AK128" s="321">
        <f t="shared" si="165"/>
        <v>0</v>
      </c>
      <c r="AL128" s="321">
        <f t="shared" si="165"/>
        <v>0</v>
      </c>
      <c r="AM128" s="321">
        <f t="shared" si="165"/>
        <v>0</v>
      </c>
      <c r="AN128" s="321">
        <f t="shared" si="165"/>
        <v>0</v>
      </c>
      <c r="AO128" s="321">
        <f t="shared" si="165"/>
        <v>0</v>
      </c>
      <c r="AP128" s="321">
        <f t="shared" si="165"/>
        <v>0</v>
      </c>
      <c r="AQ128" s="321">
        <f t="shared" si="165"/>
        <v>0</v>
      </c>
      <c r="AR128" s="321">
        <f t="shared" si="165"/>
        <v>0</v>
      </c>
      <c r="AS128" s="321">
        <f t="shared" si="165"/>
        <v>0</v>
      </c>
      <c r="AT128" s="321">
        <f t="shared" si="165"/>
        <v>0</v>
      </c>
      <c r="AU128" s="321">
        <f t="shared" si="165"/>
        <v>0</v>
      </c>
      <c r="AV128" s="321">
        <f t="shared" si="165"/>
        <v>0</v>
      </c>
      <c r="AW128" s="321">
        <f t="shared" si="165"/>
        <v>0</v>
      </c>
      <c r="AX128" s="321">
        <f t="shared" si="165"/>
        <v>0</v>
      </c>
      <c r="AY128" s="321">
        <f t="shared" si="165"/>
        <v>0</v>
      </c>
      <c r="AZ128" s="321">
        <f t="shared" si="165"/>
        <v>0</v>
      </c>
      <c r="BA128" s="321">
        <f t="shared" si="165"/>
        <v>0</v>
      </c>
      <c r="BB128" s="321">
        <f t="shared" si="165"/>
        <v>0</v>
      </c>
      <c r="BC128" s="321">
        <f t="shared" si="165"/>
        <v>0</v>
      </c>
      <c r="BD128" s="321">
        <f t="shared" si="165"/>
        <v>0</v>
      </c>
      <c r="BE128" s="321">
        <f t="shared" si="165"/>
        <v>0</v>
      </c>
      <c r="BF128" s="321">
        <f t="shared" si="165"/>
        <v>0</v>
      </c>
      <c r="BG128" s="321">
        <f t="shared" si="165"/>
        <v>0</v>
      </c>
      <c r="BH128" s="321">
        <f t="shared" si="165"/>
        <v>0</v>
      </c>
      <c r="BI128" s="321">
        <f t="shared" si="165"/>
        <v>0</v>
      </c>
      <c r="BJ128" s="321">
        <f t="shared" si="165"/>
        <v>0</v>
      </c>
      <c r="BK128" s="321">
        <f t="shared" si="165"/>
        <v>0</v>
      </c>
      <c r="BL128" s="321">
        <f t="shared" si="165"/>
        <v>0</v>
      </c>
      <c r="BM128" s="321">
        <f t="shared" si="165"/>
        <v>0</v>
      </c>
      <c r="BN128" s="321">
        <f t="shared" si="165"/>
        <v>0</v>
      </c>
      <c r="BO128" s="321">
        <f t="shared" ref="BO128:CE128" si="166">SUMIF($F$47,BO$101,$R$47)</f>
        <v>0</v>
      </c>
      <c r="BP128" s="321">
        <f t="shared" si="166"/>
        <v>0</v>
      </c>
      <c r="BQ128" s="321">
        <f t="shared" si="166"/>
        <v>0</v>
      </c>
      <c r="BR128" s="321">
        <f t="shared" si="166"/>
        <v>0</v>
      </c>
      <c r="BS128" s="321">
        <f t="shared" si="166"/>
        <v>0</v>
      </c>
      <c r="BT128" s="321">
        <f t="shared" si="166"/>
        <v>0</v>
      </c>
      <c r="BU128" s="321">
        <f t="shared" si="166"/>
        <v>0</v>
      </c>
      <c r="BV128" s="321">
        <f t="shared" si="166"/>
        <v>0</v>
      </c>
      <c r="BW128" s="321">
        <f t="shared" si="166"/>
        <v>0</v>
      </c>
      <c r="BX128" s="321">
        <f t="shared" si="166"/>
        <v>0</v>
      </c>
      <c r="BY128" s="321">
        <f t="shared" si="166"/>
        <v>0</v>
      </c>
      <c r="BZ128" s="321">
        <f t="shared" si="166"/>
        <v>0</v>
      </c>
      <c r="CA128" s="321">
        <f t="shared" si="166"/>
        <v>0</v>
      </c>
      <c r="CB128" s="321">
        <f t="shared" si="166"/>
        <v>0</v>
      </c>
      <c r="CC128" s="321">
        <f t="shared" si="166"/>
        <v>0</v>
      </c>
      <c r="CD128" s="321">
        <f t="shared" si="166"/>
        <v>0</v>
      </c>
      <c r="CE128" s="321">
        <f t="shared" si="166"/>
        <v>0</v>
      </c>
      <c r="CF128" s="322">
        <f t="shared" si="92"/>
        <v>0.5</v>
      </c>
      <c r="CG128" s="217"/>
      <c r="CH128" s="217"/>
      <c r="CI128" s="217"/>
      <c r="CJ128" s="217"/>
      <c r="CK128" s="217"/>
    </row>
    <row r="129" spans="1:89" x14ac:dyDescent="0.3">
      <c r="A129" s="217"/>
      <c r="B129" s="260" t="s">
        <v>342</v>
      </c>
      <c r="C129" s="321">
        <f t="shared" ref="C129:AH129" si="167">SUMIF($F$48:$F$50,C$101,$R$48:$R$50)</f>
        <v>0</v>
      </c>
      <c r="D129" s="321">
        <f t="shared" si="167"/>
        <v>0</v>
      </c>
      <c r="E129" s="321">
        <f t="shared" si="167"/>
        <v>0</v>
      </c>
      <c r="F129" s="321">
        <f t="shared" si="167"/>
        <v>0</v>
      </c>
      <c r="G129" s="321">
        <f t="shared" si="167"/>
        <v>0</v>
      </c>
      <c r="H129" s="321">
        <f t="shared" si="167"/>
        <v>0</v>
      </c>
      <c r="I129" s="321">
        <f t="shared" si="167"/>
        <v>1.9470643276675614E-3</v>
      </c>
      <c r="J129" s="321">
        <f t="shared" si="167"/>
        <v>0</v>
      </c>
      <c r="K129" s="321">
        <f t="shared" si="167"/>
        <v>0</v>
      </c>
      <c r="L129" s="321">
        <f t="shared" si="167"/>
        <v>0</v>
      </c>
      <c r="M129" s="321">
        <f t="shared" si="167"/>
        <v>0</v>
      </c>
      <c r="N129" s="321">
        <f t="shared" si="167"/>
        <v>0</v>
      </c>
      <c r="O129" s="321">
        <f t="shared" si="167"/>
        <v>0</v>
      </c>
      <c r="P129" s="321">
        <f t="shared" si="167"/>
        <v>0</v>
      </c>
      <c r="Q129" s="321">
        <f t="shared" si="167"/>
        <v>0</v>
      </c>
      <c r="R129" s="321">
        <f t="shared" si="167"/>
        <v>0</v>
      </c>
      <c r="S129" s="321">
        <f t="shared" si="167"/>
        <v>0</v>
      </c>
      <c r="T129" s="321">
        <f t="shared" si="167"/>
        <v>0</v>
      </c>
      <c r="U129" s="321">
        <f t="shared" si="167"/>
        <v>0</v>
      </c>
      <c r="V129" s="321">
        <f t="shared" si="167"/>
        <v>0</v>
      </c>
      <c r="W129" s="321">
        <f t="shared" si="167"/>
        <v>0</v>
      </c>
      <c r="X129" s="321">
        <f t="shared" si="167"/>
        <v>0.15020210527721184</v>
      </c>
      <c r="Y129" s="321">
        <f t="shared" si="167"/>
        <v>0</v>
      </c>
      <c r="Z129" s="321">
        <f t="shared" si="167"/>
        <v>0</v>
      </c>
      <c r="AA129" s="321">
        <f t="shared" si="167"/>
        <v>0</v>
      </c>
      <c r="AB129" s="321">
        <f t="shared" si="167"/>
        <v>0</v>
      </c>
      <c r="AC129" s="321">
        <f t="shared" si="167"/>
        <v>0</v>
      </c>
      <c r="AD129" s="321">
        <f t="shared" si="167"/>
        <v>0</v>
      </c>
      <c r="AE129" s="321">
        <f t="shared" si="167"/>
        <v>0</v>
      </c>
      <c r="AF129" s="321">
        <f t="shared" si="167"/>
        <v>0</v>
      </c>
      <c r="AG129" s="321">
        <f t="shared" si="167"/>
        <v>0</v>
      </c>
      <c r="AH129" s="321">
        <f t="shared" si="167"/>
        <v>0</v>
      </c>
      <c r="AI129" s="321">
        <f t="shared" ref="AI129:BN129" si="168">SUMIF($F$48:$F$50,AI$101,$R$48:$R$50)</f>
        <v>0</v>
      </c>
      <c r="AJ129" s="321">
        <f t="shared" si="168"/>
        <v>0.37385804677182299</v>
      </c>
      <c r="AK129" s="321">
        <f t="shared" si="168"/>
        <v>0</v>
      </c>
      <c r="AL129" s="321">
        <f t="shared" si="168"/>
        <v>0</v>
      </c>
      <c r="AM129" s="321">
        <f t="shared" si="168"/>
        <v>0</v>
      </c>
      <c r="AN129" s="321">
        <f t="shared" si="168"/>
        <v>0</v>
      </c>
      <c r="AO129" s="321">
        <f t="shared" si="168"/>
        <v>0</v>
      </c>
      <c r="AP129" s="321">
        <f t="shared" si="168"/>
        <v>0</v>
      </c>
      <c r="AQ129" s="321">
        <f t="shared" si="168"/>
        <v>0</v>
      </c>
      <c r="AR129" s="321">
        <f t="shared" si="168"/>
        <v>0</v>
      </c>
      <c r="AS129" s="321">
        <f t="shared" si="168"/>
        <v>0</v>
      </c>
      <c r="AT129" s="321">
        <f t="shared" si="168"/>
        <v>0</v>
      </c>
      <c r="AU129" s="321">
        <f t="shared" si="168"/>
        <v>0</v>
      </c>
      <c r="AV129" s="321">
        <f t="shared" si="168"/>
        <v>0</v>
      </c>
      <c r="AW129" s="321">
        <f t="shared" si="168"/>
        <v>0</v>
      </c>
      <c r="AX129" s="321">
        <f t="shared" si="168"/>
        <v>0</v>
      </c>
      <c r="AY129" s="321">
        <f t="shared" si="168"/>
        <v>0</v>
      </c>
      <c r="AZ129" s="321">
        <f t="shared" si="168"/>
        <v>0</v>
      </c>
      <c r="BA129" s="321">
        <f t="shared" si="168"/>
        <v>0</v>
      </c>
      <c r="BB129" s="321">
        <f t="shared" si="168"/>
        <v>0</v>
      </c>
      <c r="BC129" s="321">
        <f t="shared" si="168"/>
        <v>0</v>
      </c>
      <c r="BD129" s="321">
        <f t="shared" si="168"/>
        <v>0</v>
      </c>
      <c r="BE129" s="321">
        <f t="shared" si="168"/>
        <v>0</v>
      </c>
      <c r="BF129" s="321">
        <f t="shared" si="168"/>
        <v>0</v>
      </c>
      <c r="BG129" s="321">
        <f t="shared" si="168"/>
        <v>0</v>
      </c>
      <c r="BH129" s="321">
        <f t="shared" si="168"/>
        <v>0</v>
      </c>
      <c r="BI129" s="321">
        <f t="shared" si="168"/>
        <v>0</v>
      </c>
      <c r="BJ129" s="321">
        <f t="shared" si="168"/>
        <v>0</v>
      </c>
      <c r="BK129" s="321">
        <f t="shared" si="168"/>
        <v>0</v>
      </c>
      <c r="BL129" s="321">
        <f t="shared" si="168"/>
        <v>0</v>
      </c>
      <c r="BM129" s="321">
        <f t="shared" si="168"/>
        <v>0</v>
      </c>
      <c r="BN129" s="321">
        <f t="shared" si="168"/>
        <v>0</v>
      </c>
      <c r="BO129" s="321">
        <f t="shared" ref="BO129:CE129" si="169">SUMIF($F$48:$F$50,BO$101,$R$48:$R$50)</f>
        <v>0</v>
      </c>
      <c r="BP129" s="321">
        <f t="shared" si="169"/>
        <v>0</v>
      </c>
      <c r="BQ129" s="321">
        <f t="shared" si="169"/>
        <v>0</v>
      </c>
      <c r="BR129" s="321">
        <f t="shared" si="169"/>
        <v>0</v>
      </c>
      <c r="BS129" s="321">
        <f t="shared" si="169"/>
        <v>0</v>
      </c>
      <c r="BT129" s="321">
        <f t="shared" si="169"/>
        <v>0</v>
      </c>
      <c r="BU129" s="321">
        <f t="shared" si="169"/>
        <v>0</v>
      </c>
      <c r="BV129" s="321">
        <f t="shared" si="169"/>
        <v>0</v>
      </c>
      <c r="BW129" s="321">
        <f t="shared" si="169"/>
        <v>0</v>
      </c>
      <c r="BX129" s="321">
        <f t="shared" si="169"/>
        <v>0</v>
      </c>
      <c r="BY129" s="321">
        <f t="shared" si="169"/>
        <v>0</v>
      </c>
      <c r="BZ129" s="321">
        <f t="shared" si="169"/>
        <v>0</v>
      </c>
      <c r="CA129" s="321">
        <f t="shared" si="169"/>
        <v>0</v>
      </c>
      <c r="CB129" s="321">
        <f t="shared" si="169"/>
        <v>0</v>
      </c>
      <c r="CC129" s="321">
        <f t="shared" si="169"/>
        <v>0</v>
      </c>
      <c r="CD129" s="321">
        <f t="shared" si="169"/>
        <v>0</v>
      </c>
      <c r="CE129" s="321">
        <f t="shared" si="169"/>
        <v>0</v>
      </c>
      <c r="CF129" s="322">
        <f t="shared" si="92"/>
        <v>0.52600721637670245</v>
      </c>
      <c r="CG129" s="217"/>
      <c r="CH129" s="217"/>
      <c r="CI129" s="217"/>
      <c r="CJ129" s="217"/>
      <c r="CK129" s="217"/>
    </row>
    <row r="130" spans="1:89" x14ac:dyDescent="0.3">
      <c r="A130" s="217"/>
      <c r="B130" s="260" t="s">
        <v>567</v>
      </c>
      <c r="C130" s="321">
        <f t="shared" ref="C130:AH130" si="170">SUMIF($F$51:$F$52,C$101,$R$51:$R$52)</f>
        <v>0</v>
      </c>
      <c r="D130" s="321">
        <f t="shared" si="170"/>
        <v>0</v>
      </c>
      <c r="E130" s="321">
        <f t="shared" si="170"/>
        <v>0</v>
      </c>
      <c r="F130" s="321">
        <f t="shared" si="170"/>
        <v>0</v>
      </c>
      <c r="G130" s="321">
        <f t="shared" si="170"/>
        <v>0</v>
      </c>
      <c r="H130" s="321">
        <f t="shared" si="170"/>
        <v>0</v>
      </c>
      <c r="I130" s="321">
        <f t="shared" si="170"/>
        <v>0</v>
      </c>
      <c r="J130" s="321">
        <f t="shared" si="170"/>
        <v>0</v>
      </c>
      <c r="K130" s="321">
        <f t="shared" si="170"/>
        <v>0</v>
      </c>
      <c r="L130" s="321">
        <f t="shared" si="170"/>
        <v>0</v>
      </c>
      <c r="M130" s="321">
        <f t="shared" si="170"/>
        <v>0</v>
      </c>
      <c r="N130" s="321">
        <f t="shared" si="170"/>
        <v>0</v>
      </c>
      <c r="O130" s="321">
        <f t="shared" si="170"/>
        <v>0</v>
      </c>
      <c r="P130" s="321">
        <f t="shared" si="170"/>
        <v>0</v>
      </c>
      <c r="Q130" s="321">
        <f t="shared" si="170"/>
        <v>0</v>
      </c>
      <c r="R130" s="321">
        <f t="shared" si="170"/>
        <v>0</v>
      </c>
      <c r="S130" s="321">
        <f t="shared" si="170"/>
        <v>0</v>
      </c>
      <c r="T130" s="321">
        <f t="shared" si="170"/>
        <v>0</v>
      </c>
      <c r="U130" s="321">
        <f t="shared" si="170"/>
        <v>0</v>
      </c>
      <c r="V130" s="321">
        <f t="shared" si="170"/>
        <v>0</v>
      </c>
      <c r="W130" s="321">
        <f t="shared" si="170"/>
        <v>0</v>
      </c>
      <c r="X130" s="321">
        <f t="shared" si="170"/>
        <v>0.58869701726844581</v>
      </c>
      <c r="Y130" s="321">
        <f t="shared" si="170"/>
        <v>0</v>
      </c>
      <c r="Z130" s="321">
        <f t="shared" si="170"/>
        <v>0</v>
      </c>
      <c r="AA130" s="321">
        <f t="shared" si="170"/>
        <v>0</v>
      </c>
      <c r="AB130" s="321">
        <f t="shared" si="170"/>
        <v>0</v>
      </c>
      <c r="AC130" s="321">
        <f t="shared" si="170"/>
        <v>0</v>
      </c>
      <c r="AD130" s="321">
        <f t="shared" si="170"/>
        <v>0</v>
      </c>
      <c r="AE130" s="321">
        <f t="shared" si="170"/>
        <v>0</v>
      </c>
      <c r="AF130" s="321">
        <f t="shared" si="170"/>
        <v>0</v>
      </c>
      <c r="AG130" s="321">
        <f t="shared" si="170"/>
        <v>0</v>
      </c>
      <c r="AH130" s="321">
        <f t="shared" si="170"/>
        <v>0</v>
      </c>
      <c r="AI130" s="321">
        <f t="shared" ref="AI130:BN130" si="171">SUMIF($F$51:$F$52,AI$101,$R$51:$R$52)</f>
        <v>0</v>
      </c>
      <c r="AJ130" s="321">
        <f t="shared" si="171"/>
        <v>9.4191522762951327E-3</v>
      </c>
      <c r="AK130" s="321">
        <f t="shared" si="171"/>
        <v>0</v>
      </c>
      <c r="AL130" s="321">
        <f t="shared" si="171"/>
        <v>0</v>
      </c>
      <c r="AM130" s="321">
        <f t="shared" si="171"/>
        <v>0</v>
      </c>
      <c r="AN130" s="321">
        <f t="shared" si="171"/>
        <v>0</v>
      </c>
      <c r="AO130" s="321">
        <f t="shared" si="171"/>
        <v>0</v>
      </c>
      <c r="AP130" s="321">
        <f t="shared" si="171"/>
        <v>0</v>
      </c>
      <c r="AQ130" s="321">
        <f t="shared" si="171"/>
        <v>0</v>
      </c>
      <c r="AR130" s="321">
        <f t="shared" si="171"/>
        <v>0</v>
      </c>
      <c r="AS130" s="321">
        <f t="shared" si="171"/>
        <v>0</v>
      </c>
      <c r="AT130" s="321">
        <f t="shared" si="171"/>
        <v>0</v>
      </c>
      <c r="AU130" s="321">
        <f t="shared" si="171"/>
        <v>0</v>
      </c>
      <c r="AV130" s="321">
        <f t="shared" si="171"/>
        <v>0</v>
      </c>
      <c r="AW130" s="321">
        <f t="shared" si="171"/>
        <v>0</v>
      </c>
      <c r="AX130" s="321">
        <f t="shared" si="171"/>
        <v>0</v>
      </c>
      <c r="AY130" s="321">
        <f t="shared" si="171"/>
        <v>0</v>
      </c>
      <c r="AZ130" s="321">
        <f t="shared" si="171"/>
        <v>0</v>
      </c>
      <c r="BA130" s="321">
        <f t="shared" si="171"/>
        <v>0</v>
      </c>
      <c r="BB130" s="321">
        <f t="shared" si="171"/>
        <v>0</v>
      </c>
      <c r="BC130" s="321">
        <f t="shared" si="171"/>
        <v>0</v>
      </c>
      <c r="BD130" s="321">
        <f t="shared" si="171"/>
        <v>0</v>
      </c>
      <c r="BE130" s="321">
        <f t="shared" si="171"/>
        <v>0</v>
      </c>
      <c r="BF130" s="321">
        <f t="shared" si="171"/>
        <v>0</v>
      </c>
      <c r="BG130" s="321">
        <f t="shared" si="171"/>
        <v>0</v>
      </c>
      <c r="BH130" s="321">
        <f t="shared" si="171"/>
        <v>0</v>
      </c>
      <c r="BI130" s="321">
        <f t="shared" si="171"/>
        <v>0</v>
      </c>
      <c r="BJ130" s="321">
        <f t="shared" si="171"/>
        <v>0</v>
      </c>
      <c r="BK130" s="321">
        <f t="shared" si="171"/>
        <v>0</v>
      </c>
      <c r="BL130" s="321">
        <f t="shared" si="171"/>
        <v>0</v>
      </c>
      <c r="BM130" s="321">
        <f t="shared" si="171"/>
        <v>0</v>
      </c>
      <c r="BN130" s="321">
        <f t="shared" si="171"/>
        <v>0</v>
      </c>
      <c r="BO130" s="321">
        <f t="shared" ref="BO130:CE130" si="172">SUMIF($F$51:$F$52,BO$101,$R$51:$R$52)</f>
        <v>0</v>
      </c>
      <c r="BP130" s="321">
        <f t="shared" si="172"/>
        <v>0</v>
      </c>
      <c r="BQ130" s="321">
        <f t="shared" si="172"/>
        <v>0</v>
      </c>
      <c r="BR130" s="321">
        <f t="shared" si="172"/>
        <v>0</v>
      </c>
      <c r="BS130" s="321">
        <f t="shared" si="172"/>
        <v>0</v>
      </c>
      <c r="BT130" s="321">
        <f t="shared" si="172"/>
        <v>0</v>
      </c>
      <c r="BU130" s="321">
        <f t="shared" si="172"/>
        <v>0</v>
      </c>
      <c r="BV130" s="321">
        <f t="shared" si="172"/>
        <v>0</v>
      </c>
      <c r="BW130" s="321">
        <f t="shared" si="172"/>
        <v>0</v>
      </c>
      <c r="BX130" s="321">
        <f t="shared" si="172"/>
        <v>0</v>
      </c>
      <c r="BY130" s="321">
        <f t="shared" si="172"/>
        <v>0</v>
      </c>
      <c r="BZ130" s="321">
        <f t="shared" si="172"/>
        <v>0</v>
      </c>
      <c r="CA130" s="321">
        <f t="shared" si="172"/>
        <v>0</v>
      </c>
      <c r="CB130" s="321">
        <f t="shared" si="172"/>
        <v>0</v>
      </c>
      <c r="CC130" s="321">
        <f t="shared" si="172"/>
        <v>0</v>
      </c>
      <c r="CD130" s="321">
        <f t="shared" si="172"/>
        <v>0</v>
      </c>
      <c r="CE130" s="321">
        <f t="shared" si="172"/>
        <v>0</v>
      </c>
      <c r="CF130" s="322">
        <f t="shared" si="92"/>
        <v>0.59811616954474089</v>
      </c>
      <c r="CG130" s="217"/>
      <c r="CH130" s="217"/>
      <c r="CI130" s="217"/>
      <c r="CJ130" s="217"/>
      <c r="CK130" s="217"/>
    </row>
    <row r="131" spans="1:89" x14ac:dyDescent="0.3">
      <c r="A131" s="217"/>
      <c r="B131" s="260" t="s">
        <v>542</v>
      </c>
      <c r="C131" s="321">
        <f t="shared" ref="C131:AH131" si="173">SUMIF($F$53:$F$55,C$101,$R$53:$R$55)</f>
        <v>0</v>
      </c>
      <c r="D131" s="321">
        <f t="shared" si="173"/>
        <v>0</v>
      </c>
      <c r="E131" s="321">
        <f t="shared" si="173"/>
        <v>0</v>
      </c>
      <c r="F131" s="321">
        <f t="shared" si="173"/>
        <v>0</v>
      </c>
      <c r="G131" s="321">
        <f t="shared" si="173"/>
        <v>0</v>
      </c>
      <c r="H131" s="321">
        <f t="shared" si="173"/>
        <v>0</v>
      </c>
      <c r="I131" s="321">
        <f t="shared" si="173"/>
        <v>0</v>
      </c>
      <c r="J131" s="321">
        <f t="shared" si="173"/>
        <v>0</v>
      </c>
      <c r="K131" s="321">
        <f t="shared" si="173"/>
        <v>0</v>
      </c>
      <c r="L131" s="321">
        <f t="shared" si="173"/>
        <v>0</v>
      </c>
      <c r="M131" s="321">
        <f t="shared" si="173"/>
        <v>0</v>
      </c>
      <c r="N131" s="321">
        <f t="shared" si="173"/>
        <v>0</v>
      </c>
      <c r="O131" s="321">
        <f t="shared" si="173"/>
        <v>0</v>
      </c>
      <c r="P131" s="321">
        <f t="shared" si="173"/>
        <v>0</v>
      </c>
      <c r="Q131" s="321">
        <f t="shared" si="173"/>
        <v>0</v>
      </c>
      <c r="R131" s="321">
        <f t="shared" si="173"/>
        <v>0</v>
      </c>
      <c r="S131" s="321">
        <f t="shared" si="173"/>
        <v>0</v>
      </c>
      <c r="T131" s="321">
        <f t="shared" si="173"/>
        <v>0</v>
      </c>
      <c r="U131" s="321">
        <f t="shared" si="173"/>
        <v>0</v>
      </c>
      <c r="V131" s="321">
        <f t="shared" si="173"/>
        <v>0</v>
      </c>
      <c r="W131" s="321">
        <f t="shared" si="173"/>
        <v>0</v>
      </c>
      <c r="X131" s="321">
        <f t="shared" si="173"/>
        <v>0</v>
      </c>
      <c r="Y131" s="321">
        <f t="shared" si="173"/>
        <v>0</v>
      </c>
      <c r="Z131" s="321">
        <f t="shared" si="173"/>
        <v>0</v>
      </c>
      <c r="AA131" s="321">
        <f t="shared" si="173"/>
        <v>0</v>
      </c>
      <c r="AB131" s="321">
        <f t="shared" si="173"/>
        <v>0</v>
      </c>
      <c r="AC131" s="321">
        <f t="shared" si="173"/>
        <v>0</v>
      </c>
      <c r="AD131" s="321">
        <f t="shared" si="173"/>
        <v>0</v>
      </c>
      <c r="AE131" s="321">
        <f t="shared" si="173"/>
        <v>0</v>
      </c>
      <c r="AF131" s="321">
        <f t="shared" si="173"/>
        <v>0</v>
      </c>
      <c r="AG131" s="321">
        <f t="shared" si="173"/>
        <v>0</v>
      </c>
      <c r="AH131" s="321">
        <f t="shared" si="173"/>
        <v>0</v>
      </c>
      <c r="AI131" s="321">
        <f t="shared" ref="AI131:BN131" si="174">SUMIF($F$53:$F$55,AI$101,$R$53:$R$55)</f>
        <v>0</v>
      </c>
      <c r="AJ131" s="321">
        <f t="shared" si="174"/>
        <v>0.5</v>
      </c>
      <c r="AK131" s="321">
        <f t="shared" si="174"/>
        <v>0</v>
      </c>
      <c r="AL131" s="321">
        <f t="shared" si="174"/>
        <v>0</v>
      </c>
      <c r="AM131" s="321">
        <f t="shared" si="174"/>
        <v>0</v>
      </c>
      <c r="AN131" s="321">
        <f t="shared" si="174"/>
        <v>0</v>
      </c>
      <c r="AO131" s="321">
        <f t="shared" si="174"/>
        <v>0</v>
      </c>
      <c r="AP131" s="321">
        <f t="shared" si="174"/>
        <v>0</v>
      </c>
      <c r="AQ131" s="321">
        <f t="shared" si="174"/>
        <v>0</v>
      </c>
      <c r="AR131" s="321">
        <f t="shared" si="174"/>
        <v>0</v>
      </c>
      <c r="AS131" s="321">
        <f t="shared" si="174"/>
        <v>0</v>
      </c>
      <c r="AT131" s="321">
        <f t="shared" si="174"/>
        <v>0</v>
      </c>
      <c r="AU131" s="321">
        <f t="shared" si="174"/>
        <v>0</v>
      </c>
      <c r="AV131" s="321">
        <f t="shared" si="174"/>
        <v>0</v>
      </c>
      <c r="AW131" s="321">
        <f t="shared" si="174"/>
        <v>0</v>
      </c>
      <c r="AX131" s="321">
        <f t="shared" si="174"/>
        <v>0</v>
      </c>
      <c r="AY131" s="321">
        <f t="shared" si="174"/>
        <v>0</v>
      </c>
      <c r="AZ131" s="321">
        <f t="shared" si="174"/>
        <v>0</v>
      </c>
      <c r="BA131" s="321">
        <f t="shared" si="174"/>
        <v>0</v>
      </c>
      <c r="BB131" s="321">
        <f t="shared" si="174"/>
        <v>0</v>
      </c>
      <c r="BC131" s="321">
        <f t="shared" si="174"/>
        <v>0</v>
      </c>
      <c r="BD131" s="321">
        <f t="shared" si="174"/>
        <v>0</v>
      </c>
      <c r="BE131" s="321">
        <f t="shared" si="174"/>
        <v>0</v>
      </c>
      <c r="BF131" s="321">
        <f t="shared" si="174"/>
        <v>0</v>
      </c>
      <c r="BG131" s="321">
        <f t="shared" si="174"/>
        <v>0</v>
      </c>
      <c r="BH131" s="321">
        <f t="shared" si="174"/>
        <v>0</v>
      </c>
      <c r="BI131" s="321">
        <f t="shared" si="174"/>
        <v>0</v>
      </c>
      <c r="BJ131" s="321">
        <f t="shared" si="174"/>
        <v>0</v>
      </c>
      <c r="BK131" s="321">
        <f t="shared" si="174"/>
        <v>0</v>
      </c>
      <c r="BL131" s="321">
        <f t="shared" si="174"/>
        <v>0</v>
      </c>
      <c r="BM131" s="321">
        <f t="shared" si="174"/>
        <v>0</v>
      </c>
      <c r="BN131" s="321">
        <f t="shared" si="174"/>
        <v>0</v>
      </c>
      <c r="BO131" s="321">
        <f t="shared" ref="BO131:CE131" si="175">SUMIF($F$53:$F$55,BO$101,$R$53:$R$55)</f>
        <v>0</v>
      </c>
      <c r="BP131" s="321">
        <f t="shared" si="175"/>
        <v>0</v>
      </c>
      <c r="BQ131" s="321">
        <f t="shared" si="175"/>
        <v>0</v>
      </c>
      <c r="BR131" s="321">
        <f t="shared" si="175"/>
        <v>0</v>
      </c>
      <c r="BS131" s="321">
        <f t="shared" si="175"/>
        <v>0</v>
      </c>
      <c r="BT131" s="321">
        <f t="shared" si="175"/>
        <v>0</v>
      </c>
      <c r="BU131" s="321">
        <f t="shared" si="175"/>
        <v>0</v>
      </c>
      <c r="BV131" s="321">
        <f t="shared" si="175"/>
        <v>0</v>
      </c>
      <c r="BW131" s="321">
        <f t="shared" si="175"/>
        <v>0</v>
      </c>
      <c r="BX131" s="321">
        <f t="shared" si="175"/>
        <v>0</v>
      </c>
      <c r="BY131" s="321">
        <f t="shared" si="175"/>
        <v>0</v>
      </c>
      <c r="BZ131" s="321">
        <f t="shared" si="175"/>
        <v>0</v>
      </c>
      <c r="CA131" s="321">
        <f t="shared" si="175"/>
        <v>0</v>
      </c>
      <c r="CB131" s="321">
        <f t="shared" si="175"/>
        <v>0</v>
      </c>
      <c r="CC131" s="321">
        <f t="shared" si="175"/>
        <v>0</v>
      </c>
      <c r="CD131" s="321">
        <f t="shared" si="175"/>
        <v>0</v>
      </c>
      <c r="CE131" s="321">
        <f t="shared" si="175"/>
        <v>0</v>
      </c>
      <c r="CF131" s="322">
        <f t="shared" si="92"/>
        <v>0.5</v>
      </c>
      <c r="CG131" s="217"/>
      <c r="CH131" s="217"/>
      <c r="CI131" s="217"/>
      <c r="CJ131" s="217"/>
      <c r="CK131" s="217"/>
    </row>
    <row r="132" spans="1:89" x14ac:dyDescent="0.3">
      <c r="A132" s="217"/>
      <c r="B132" s="260" t="s">
        <v>543</v>
      </c>
      <c r="C132" s="321">
        <f t="shared" ref="C132:AH132" si="176">SUMIF($F$56,C$101,$R$56)</f>
        <v>0</v>
      </c>
      <c r="D132" s="321">
        <f t="shared" si="176"/>
        <v>0</v>
      </c>
      <c r="E132" s="321">
        <f t="shared" si="176"/>
        <v>0</v>
      </c>
      <c r="F132" s="321">
        <f t="shared" si="176"/>
        <v>0</v>
      </c>
      <c r="G132" s="321">
        <f t="shared" si="176"/>
        <v>0</v>
      </c>
      <c r="H132" s="321">
        <f t="shared" si="176"/>
        <v>0</v>
      </c>
      <c r="I132" s="321">
        <f t="shared" si="176"/>
        <v>0</v>
      </c>
      <c r="J132" s="321">
        <f t="shared" si="176"/>
        <v>0</v>
      </c>
      <c r="K132" s="321">
        <f t="shared" si="176"/>
        <v>0</v>
      </c>
      <c r="L132" s="321">
        <f t="shared" si="176"/>
        <v>0</v>
      </c>
      <c r="M132" s="321">
        <f t="shared" si="176"/>
        <v>0</v>
      </c>
      <c r="N132" s="321">
        <f t="shared" si="176"/>
        <v>0</v>
      </c>
      <c r="O132" s="321">
        <f t="shared" si="176"/>
        <v>0</v>
      </c>
      <c r="P132" s="321">
        <f t="shared" si="176"/>
        <v>0</v>
      </c>
      <c r="Q132" s="321">
        <f t="shared" si="176"/>
        <v>0</v>
      </c>
      <c r="R132" s="321">
        <f t="shared" si="176"/>
        <v>0</v>
      </c>
      <c r="S132" s="321">
        <f t="shared" si="176"/>
        <v>0</v>
      </c>
      <c r="T132" s="321">
        <f t="shared" si="176"/>
        <v>0</v>
      </c>
      <c r="U132" s="321">
        <f t="shared" si="176"/>
        <v>0</v>
      </c>
      <c r="V132" s="321">
        <f t="shared" si="176"/>
        <v>0</v>
      </c>
      <c r="W132" s="321">
        <f t="shared" si="176"/>
        <v>0</v>
      </c>
      <c r="X132" s="321">
        <f t="shared" si="176"/>
        <v>0.6</v>
      </c>
      <c r="Y132" s="321">
        <f t="shared" si="176"/>
        <v>0</v>
      </c>
      <c r="Z132" s="321">
        <f t="shared" si="176"/>
        <v>0</v>
      </c>
      <c r="AA132" s="321">
        <f t="shared" si="176"/>
        <v>0</v>
      </c>
      <c r="AB132" s="321">
        <f t="shared" si="176"/>
        <v>0</v>
      </c>
      <c r="AC132" s="321">
        <f t="shared" si="176"/>
        <v>0</v>
      </c>
      <c r="AD132" s="321">
        <f t="shared" si="176"/>
        <v>0</v>
      </c>
      <c r="AE132" s="321">
        <f t="shared" si="176"/>
        <v>0</v>
      </c>
      <c r="AF132" s="321">
        <f t="shared" si="176"/>
        <v>0</v>
      </c>
      <c r="AG132" s="321">
        <f t="shared" si="176"/>
        <v>0</v>
      </c>
      <c r="AH132" s="321">
        <f t="shared" si="176"/>
        <v>0</v>
      </c>
      <c r="AI132" s="321">
        <f t="shared" ref="AI132:BN132" si="177">SUMIF($F$56,AI$101,$R$56)</f>
        <v>0</v>
      </c>
      <c r="AJ132" s="321">
        <f t="shared" si="177"/>
        <v>0</v>
      </c>
      <c r="AK132" s="321">
        <f t="shared" si="177"/>
        <v>0</v>
      </c>
      <c r="AL132" s="321">
        <f t="shared" si="177"/>
        <v>0</v>
      </c>
      <c r="AM132" s="321">
        <f t="shared" si="177"/>
        <v>0</v>
      </c>
      <c r="AN132" s="321">
        <f t="shared" si="177"/>
        <v>0</v>
      </c>
      <c r="AO132" s="321">
        <f t="shared" si="177"/>
        <v>0</v>
      </c>
      <c r="AP132" s="321">
        <f t="shared" si="177"/>
        <v>0</v>
      </c>
      <c r="AQ132" s="321">
        <f t="shared" si="177"/>
        <v>0</v>
      </c>
      <c r="AR132" s="321">
        <f t="shared" si="177"/>
        <v>0</v>
      </c>
      <c r="AS132" s="321">
        <f t="shared" si="177"/>
        <v>0</v>
      </c>
      <c r="AT132" s="321">
        <f t="shared" si="177"/>
        <v>0</v>
      </c>
      <c r="AU132" s="321">
        <f t="shared" si="177"/>
        <v>0</v>
      </c>
      <c r="AV132" s="321">
        <f t="shared" si="177"/>
        <v>0</v>
      </c>
      <c r="AW132" s="321">
        <f t="shared" si="177"/>
        <v>0</v>
      </c>
      <c r="AX132" s="321">
        <f t="shared" si="177"/>
        <v>0</v>
      </c>
      <c r="AY132" s="321">
        <f t="shared" si="177"/>
        <v>0</v>
      </c>
      <c r="AZ132" s="321">
        <f t="shared" si="177"/>
        <v>0</v>
      </c>
      <c r="BA132" s="321">
        <f t="shared" si="177"/>
        <v>0</v>
      </c>
      <c r="BB132" s="321">
        <f t="shared" si="177"/>
        <v>0</v>
      </c>
      <c r="BC132" s="321">
        <f t="shared" si="177"/>
        <v>0</v>
      </c>
      <c r="BD132" s="321">
        <f t="shared" si="177"/>
        <v>0</v>
      </c>
      <c r="BE132" s="321">
        <f t="shared" si="177"/>
        <v>0</v>
      </c>
      <c r="BF132" s="321">
        <f t="shared" si="177"/>
        <v>0</v>
      </c>
      <c r="BG132" s="321">
        <f t="shared" si="177"/>
        <v>0</v>
      </c>
      <c r="BH132" s="321">
        <f t="shared" si="177"/>
        <v>0</v>
      </c>
      <c r="BI132" s="321">
        <f t="shared" si="177"/>
        <v>0</v>
      </c>
      <c r="BJ132" s="321">
        <f t="shared" si="177"/>
        <v>0</v>
      </c>
      <c r="BK132" s="321">
        <f t="shared" si="177"/>
        <v>0</v>
      </c>
      <c r="BL132" s="321">
        <f t="shared" si="177"/>
        <v>0</v>
      </c>
      <c r="BM132" s="321">
        <f t="shared" si="177"/>
        <v>0</v>
      </c>
      <c r="BN132" s="321">
        <f t="shared" si="177"/>
        <v>0</v>
      </c>
      <c r="BO132" s="321">
        <f t="shared" ref="BO132:CE132" si="178">SUMIF($F$56,BO$101,$R$56)</f>
        <v>0</v>
      </c>
      <c r="BP132" s="321">
        <f t="shared" si="178"/>
        <v>0</v>
      </c>
      <c r="BQ132" s="321">
        <f t="shared" si="178"/>
        <v>0</v>
      </c>
      <c r="BR132" s="321">
        <f t="shared" si="178"/>
        <v>0</v>
      </c>
      <c r="BS132" s="321">
        <f t="shared" si="178"/>
        <v>0</v>
      </c>
      <c r="BT132" s="321">
        <f t="shared" si="178"/>
        <v>0</v>
      </c>
      <c r="BU132" s="321">
        <f t="shared" si="178"/>
        <v>0</v>
      </c>
      <c r="BV132" s="321">
        <f t="shared" si="178"/>
        <v>0</v>
      </c>
      <c r="BW132" s="321">
        <f t="shared" si="178"/>
        <v>0</v>
      </c>
      <c r="BX132" s="321">
        <f t="shared" si="178"/>
        <v>0</v>
      </c>
      <c r="BY132" s="321">
        <f t="shared" si="178"/>
        <v>0</v>
      </c>
      <c r="BZ132" s="321">
        <f t="shared" si="178"/>
        <v>0</v>
      </c>
      <c r="CA132" s="321">
        <f t="shared" si="178"/>
        <v>0</v>
      </c>
      <c r="CB132" s="321">
        <f t="shared" si="178"/>
        <v>0</v>
      </c>
      <c r="CC132" s="321">
        <f t="shared" si="178"/>
        <v>0</v>
      </c>
      <c r="CD132" s="321">
        <f t="shared" si="178"/>
        <v>0</v>
      </c>
      <c r="CE132" s="321">
        <f t="shared" si="178"/>
        <v>0</v>
      </c>
      <c r="CF132" s="322">
        <f t="shared" si="92"/>
        <v>0.6</v>
      </c>
      <c r="CG132" s="217"/>
      <c r="CH132" s="217"/>
      <c r="CI132" s="217"/>
      <c r="CJ132" s="217"/>
      <c r="CK132" s="217"/>
    </row>
    <row r="133" spans="1:89" x14ac:dyDescent="0.3">
      <c r="A133" s="217"/>
      <c r="B133" s="260" t="s">
        <v>544</v>
      </c>
      <c r="C133" s="321">
        <f t="shared" ref="C133:AH133" si="179">SUMIF($F$57,C$101,$R$57)</f>
        <v>0</v>
      </c>
      <c r="D133" s="321">
        <f t="shared" si="179"/>
        <v>0</v>
      </c>
      <c r="E133" s="321">
        <f t="shared" si="179"/>
        <v>0</v>
      </c>
      <c r="F133" s="321">
        <f t="shared" si="179"/>
        <v>0</v>
      </c>
      <c r="G133" s="321">
        <f t="shared" si="179"/>
        <v>0</v>
      </c>
      <c r="H133" s="321">
        <f t="shared" si="179"/>
        <v>0</v>
      </c>
      <c r="I133" s="321">
        <f t="shared" si="179"/>
        <v>0</v>
      </c>
      <c r="J133" s="321">
        <f t="shared" si="179"/>
        <v>0</v>
      </c>
      <c r="K133" s="321">
        <f t="shared" si="179"/>
        <v>0</v>
      </c>
      <c r="L133" s="321">
        <f t="shared" si="179"/>
        <v>0</v>
      </c>
      <c r="M133" s="321">
        <f t="shared" si="179"/>
        <v>0</v>
      </c>
      <c r="N133" s="321">
        <f t="shared" si="179"/>
        <v>0</v>
      </c>
      <c r="O133" s="321">
        <f t="shared" si="179"/>
        <v>0</v>
      </c>
      <c r="P133" s="321">
        <f t="shared" si="179"/>
        <v>0</v>
      </c>
      <c r="Q133" s="321">
        <f t="shared" si="179"/>
        <v>0</v>
      </c>
      <c r="R133" s="321">
        <f t="shared" si="179"/>
        <v>0</v>
      </c>
      <c r="S133" s="321">
        <f t="shared" si="179"/>
        <v>0</v>
      </c>
      <c r="T133" s="321">
        <f t="shared" si="179"/>
        <v>0</v>
      </c>
      <c r="U133" s="321">
        <f t="shared" si="179"/>
        <v>0</v>
      </c>
      <c r="V133" s="321">
        <f t="shared" si="179"/>
        <v>0</v>
      </c>
      <c r="W133" s="321">
        <f t="shared" si="179"/>
        <v>0</v>
      </c>
      <c r="X133" s="321">
        <f t="shared" si="179"/>
        <v>0</v>
      </c>
      <c r="Y133" s="321">
        <f t="shared" si="179"/>
        <v>0</v>
      </c>
      <c r="Z133" s="321">
        <f t="shared" si="179"/>
        <v>0</v>
      </c>
      <c r="AA133" s="321">
        <f t="shared" si="179"/>
        <v>0</v>
      </c>
      <c r="AB133" s="321">
        <f t="shared" si="179"/>
        <v>0</v>
      </c>
      <c r="AC133" s="321">
        <f t="shared" si="179"/>
        <v>0</v>
      </c>
      <c r="AD133" s="321">
        <f t="shared" si="179"/>
        <v>0</v>
      </c>
      <c r="AE133" s="321">
        <f t="shared" si="179"/>
        <v>0</v>
      </c>
      <c r="AF133" s="321">
        <f t="shared" si="179"/>
        <v>0</v>
      </c>
      <c r="AG133" s="321">
        <f t="shared" si="179"/>
        <v>0</v>
      </c>
      <c r="AH133" s="321">
        <f t="shared" si="179"/>
        <v>0</v>
      </c>
      <c r="AI133" s="321">
        <f t="shared" ref="AI133:BN133" si="180">SUMIF($F$57,AI$101,$R$57)</f>
        <v>0</v>
      </c>
      <c r="AJ133" s="321">
        <f t="shared" si="180"/>
        <v>0.5</v>
      </c>
      <c r="AK133" s="321">
        <f t="shared" si="180"/>
        <v>0</v>
      </c>
      <c r="AL133" s="321">
        <f t="shared" si="180"/>
        <v>0</v>
      </c>
      <c r="AM133" s="321">
        <f t="shared" si="180"/>
        <v>0</v>
      </c>
      <c r="AN133" s="321">
        <f t="shared" si="180"/>
        <v>0</v>
      </c>
      <c r="AO133" s="321">
        <f t="shared" si="180"/>
        <v>0</v>
      </c>
      <c r="AP133" s="321">
        <f t="shared" si="180"/>
        <v>0</v>
      </c>
      <c r="AQ133" s="321">
        <f t="shared" si="180"/>
        <v>0</v>
      </c>
      <c r="AR133" s="321">
        <f t="shared" si="180"/>
        <v>0</v>
      </c>
      <c r="AS133" s="321">
        <f t="shared" si="180"/>
        <v>0</v>
      </c>
      <c r="AT133" s="321">
        <f t="shared" si="180"/>
        <v>0</v>
      </c>
      <c r="AU133" s="321">
        <f t="shared" si="180"/>
        <v>0</v>
      </c>
      <c r="AV133" s="321">
        <f t="shared" si="180"/>
        <v>0</v>
      </c>
      <c r="AW133" s="321">
        <f t="shared" si="180"/>
        <v>0</v>
      </c>
      <c r="AX133" s="321">
        <f t="shared" si="180"/>
        <v>0</v>
      </c>
      <c r="AY133" s="321">
        <f t="shared" si="180"/>
        <v>0</v>
      </c>
      <c r="AZ133" s="321">
        <f t="shared" si="180"/>
        <v>0</v>
      </c>
      <c r="BA133" s="321">
        <f t="shared" si="180"/>
        <v>0</v>
      </c>
      <c r="BB133" s="321">
        <f t="shared" si="180"/>
        <v>0</v>
      </c>
      <c r="BC133" s="321">
        <f t="shared" si="180"/>
        <v>0</v>
      </c>
      <c r="BD133" s="321">
        <f t="shared" si="180"/>
        <v>0</v>
      </c>
      <c r="BE133" s="321">
        <f t="shared" si="180"/>
        <v>0</v>
      </c>
      <c r="BF133" s="321">
        <f t="shared" si="180"/>
        <v>0</v>
      </c>
      <c r="BG133" s="321">
        <f t="shared" si="180"/>
        <v>0</v>
      </c>
      <c r="BH133" s="321">
        <f t="shared" si="180"/>
        <v>0</v>
      </c>
      <c r="BI133" s="321">
        <f t="shared" si="180"/>
        <v>0</v>
      </c>
      <c r="BJ133" s="321">
        <f t="shared" si="180"/>
        <v>0</v>
      </c>
      <c r="BK133" s="321">
        <f t="shared" si="180"/>
        <v>0</v>
      </c>
      <c r="BL133" s="321">
        <f t="shared" si="180"/>
        <v>0</v>
      </c>
      <c r="BM133" s="321">
        <f t="shared" si="180"/>
        <v>0</v>
      </c>
      <c r="BN133" s="321">
        <f t="shared" si="180"/>
        <v>0</v>
      </c>
      <c r="BO133" s="321">
        <f t="shared" ref="BO133:CE133" si="181">SUMIF($F$57,BO$101,$R$57)</f>
        <v>0</v>
      </c>
      <c r="BP133" s="321">
        <f t="shared" si="181"/>
        <v>0</v>
      </c>
      <c r="BQ133" s="321">
        <f t="shared" si="181"/>
        <v>0</v>
      </c>
      <c r="BR133" s="321">
        <f t="shared" si="181"/>
        <v>0</v>
      </c>
      <c r="BS133" s="321">
        <f t="shared" si="181"/>
        <v>0</v>
      </c>
      <c r="BT133" s="321">
        <f t="shared" si="181"/>
        <v>0</v>
      </c>
      <c r="BU133" s="321">
        <f t="shared" si="181"/>
        <v>0</v>
      </c>
      <c r="BV133" s="321">
        <f t="shared" si="181"/>
        <v>0</v>
      </c>
      <c r="BW133" s="321">
        <f t="shared" si="181"/>
        <v>0</v>
      </c>
      <c r="BX133" s="321">
        <f t="shared" si="181"/>
        <v>0</v>
      </c>
      <c r="BY133" s="321">
        <f t="shared" si="181"/>
        <v>0</v>
      </c>
      <c r="BZ133" s="321">
        <f t="shared" si="181"/>
        <v>0</v>
      </c>
      <c r="CA133" s="321">
        <f t="shared" si="181"/>
        <v>0</v>
      </c>
      <c r="CB133" s="321">
        <f t="shared" si="181"/>
        <v>0</v>
      </c>
      <c r="CC133" s="321">
        <f t="shared" si="181"/>
        <v>0</v>
      </c>
      <c r="CD133" s="321">
        <f t="shared" si="181"/>
        <v>0</v>
      </c>
      <c r="CE133" s="321">
        <f t="shared" si="181"/>
        <v>0</v>
      </c>
      <c r="CF133" s="322">
        <f t="shared" si="92"/>
        <v>0.5</v>
      </c>
      <c r="CG133" s="217"/>
      <c r="CH133" s="217"/>
      <c r="CI133" s="217"/>
      <c r="CJ133" s="217"/>
      <c r="CK133" s="217"/>
    </row>
    <row r="134" spans="1:89" x14ac:dyDescent="0.3">
      <c r="A134" s="217"/>
      <c r="B134" s="260" t="s">
        <v>545</v>
      </c>
      <c r="C134" s="321">
        <f t="shared" ref="C134:AH134" si="182">SUMIF($F$58,C$101,$R$58)</f>
        <v>0</v>
      </c>
      <c r="D134" s="321">
        <f t="shared" si="182"/>
        <v>0</v>
      </c>
      <c r="E134" s="321">
        <f t="shared" si="182"/>
        <v>0</v>
      </c>
      <c r="F134" s="321">
        <f t="shared" si="182"/>
        <v>0</v>
      </c>
      <c r="G134" s="321">
        <f t="shared" si="182"/>
        <v>0</v>
      </c>
      <c r="H134" s="321">
        <f t="shared" si="182"/>
        <v>0</v>
      </c>
      <c r="I134" s="321">
        <f t="shared" si="182"/>
        <v>0</v>
      </c>
      <c r="J134" s="321">
        <f t="shared" si="182"/>
        <v>0</v>
      </c>
      <c r="K134" s="321">
        <f t="shared" si="182"/>
        <v>0</v>
      </c>
      <c r="L134" s="321">
        <f t="shared" si="182"/>
        <v>0</v>
      </c>
      <c r="M134" s="321">
        <f t="shared" si="182"/>
        <v>0</v>
      </c>
      <c r="N134" s="321">
        <f t="shared" si="182"/>
        <v>0</v>
      </c>
      <c r="O134" s="321">
        <f t="shared" si="182"/>
        <v>0</v>
      </c>
      <c r="P134" s="321">
        <f t="shared" si="182"/>
        <v>0</v>
      </c>
      <c r="Q134" s="321">
        <f t="shared" si="182"/>
        <v>0</v>
      </c>
      <c r="R134" s="321">
        <f t="shared" si="182"/>
        <v>0</v>
      </c>
      <c r="S134" s="321">
        <f t="shared" si="182"/>
        <v>0</v>
      </c>
      <c r="T134" s="321">
        <f t="shared" si="182"/>
        <v>0</v>
      </c>
      <c r="U134" s="321">
        <f t="shared" si="182"/>
        <v>0</v>
      </c>
      <c r="V134" s="321">
        <f t="shared" si="182"/>
        <v>0</v>
      </c>
      <c r="W134" s="321">
        <f t="shared" si="182"/>
        <v>0</v>
      </c>
      <c r="X134" s="321">
        <f t="shared" si="182"/>
        <v>0</v>
      </c>
      <c r="Y134" s="321">
        <f t="shared" si="182"/>
        <v>0</v>
      </c>
      <c r="Z134" s="321">
        <f t="shared" si="182"/>
        <v>0</v>
      </c>
      <c r="AA134" s="321">
        <f t="shared" si="182"/>
        <v>0</v>
      </c>
      <c r="AB134" s="321">
        <f t="shared" si="182"/>
        <v>0</v>
      </c>
      <c r="AC134" s="321">
        <f t="shared" si="182"/>
        <v>0</v>
      </c>
      <c r="AD134" s="321">
        <f t="shared" si="182"/>
        <v>0</v>
      </c>
      <c r="AE134" s="321">
        <f t="shared" si="182"/>
        <v>0</v>
      </c>
      <c r="AF134" s="321">
        <f t="shared" si="182"/>
        <v>0</v>
      </c>
      <c r="AG134" s="321">
        <f t="shared" si="182"/>
        <v>0</v>
      </c>
      <c r="AH134" s="321">
        <f t="shared" si="182"/>
        <v>0</v>
      </c>
      <c r="AI134" s="321">
        <f t="shared" ref="AI134:BN134" si="183">SUMIF($F$58,AI$101,$R$58)</f>
        <v>0</v>
      </c>
      <c r="AJ134" s="321">
        <f t="shared" si="183"/>
        <v>0.5</v>
      </c>
      <c r="AK134" s="321">
        <f t="shared" si="183"/>
        <v>0</v>
      </c>
      <c r="AL134" s="321">
        <f t="shared" si="183"/>
        <v>0</v>
      </c>
      <c r="AM134" s="321">
        <f t="shared" si="183"/>
        <v>0</v>
      </c>
      <c r="AN134" s="321">
        <f t="shared" si="183"/>
        <v>0</v>
      </c>
      <c r="AO134" s="321">
        <f t="shared" si="183"/>
        <v>0</v>
      </c>
      <c r="AP134" s="321">
        <f t="shared" si="183"/>
        <v>0</v>
      </c>
      <c r="AQ134" s="321">
        <f t="shared" si="183"/>
        <v>0</v>
      </c>
      <c r="AR134" s="321">
        <f t="shared" si="183"/>
        <v>0</v>
      </c>
      <c r="AS134" s="321">
        <f t="shared" si="183"/>
        <v>0</v>
      </c>
      <c r="AT134" s="321">
        <f t="shared" si="183"/>
        <v>0</v>
      </c>
      <c r="AU134" s="321">
        <f t="shared" si="183"/>
        <v>0</v>
      </c>
      <c r="AV134" s="321">
        <f t="shared" si="183"/>
        <v>0</v>
      </c>
      <c r="AW134" s="321">
        <f t="shared" si="183"/>
        <v>0</v>
      </c>
      <c r="AX134" s="321">
        <f t="shared" si="183"/>
        <v>0</v>
      </c>
      <c r="AY134" s="321">
        <f t="shared" si="183"/>
        <v>0</v>
      </c>
      <c r="AZ134" s="321">
        <f t="shared" si="183"/>
        <v>0</v>
      </c>
      <c r="BA134" s="321">
        <f t="shared" si="183"/>
        <v>0</v>
      </c>
      <c r="BB134" s="321">
        <f t="shared" si="183"/>
        <v>0</v>
      </c>
      <c r="BC134" s="321">
        <f t="shared" si="183"/>
        <v>0</v>
      </c>
      <c r="BD134" s="321">
        <f t="shared" si="183"/>
        <v>0</v>
      </c>
      <c r="BE134" s="321">
        <f t="shared" si="183"/>
        <v>0</v>
      </c>
      <c r="BF134" s="321">
        <f t="shared" si="183"/>
        <v>0</v>
      </c>
      <c r="BG134" s="321">
        <f t="shared" si="183"/>
        <v>0</v>
      </c>
      <c r="BH134" s="321">
        <f t="shared" si="183"/>
        <v>0</v>
      </c>
      <c r="BI134" s="321">
        <f t="shared" si="183"/>
        <v>0</v>
      </c>
      <c r="BJ134" s="321">
        <f t="shared" si="183"/>
        <v>0</v>
      </c>
      <c r="BK134" s="321">
        <f t="shared" si="183"/>
        <v>0</v>
      </c>
      <c r="BL134" s="321">
        <f t="shared" si="183"/>
        <v>0</v>
      </c>
      <c r="BM134" s="321">
        <f t="shared" si="183"/>
        <v>0</v>
      </c>
      <c r="BN134" s="321">
        <f t="shared" si="183"/>
        <v>0</v>
      </c>
      <c r="BO134" s="321">
        <f t="shared" ref="BO134:CE134" si="184">SUMIF($F$58,BO$101,$R$58)</f>
        <v>0</v>
      </c>
      <c r="BP134" s="321">
        <f t="shared" si="184"/>
        <v>0</v>
      </c>
      <c r="BQ134" s="321">
        <f t="shared" si="184"/>
        <v>0</v>
      </c>
      <c r="BR134" s="321">
        <f t="shared" si="184"/>
        <v>0</v>
      </c>
      <c r="BS134" s="321">
        <f t="shared" si="184"/>
        <v>0</v>
      </c>
      <c r="BT134" s="321">
        <f t="shared" si="184"/>
        <v>0</v>
      </c>
      <c r="BU134" s="321">
        <f t="shared" si="184"/>
        <v>0</v>
      </c>
      <c r="BV134" s="321">
        <f t="shared" si="184"/>
        <v>0</v>
      </c>
      <c r="BW134" s="321">
        <f t="shared" si="184"/>
        <v>0</v>
      </c>
      <c r="BX134" s="321">
        <f t="shared" si="184"/>
        <v>0</v>
      </c>
      <c r="BY134" s="321">
        <f t="shared" si="184"/>
        <v>0</v>
      </c>
      <c r="BZ134" s="321">
        <f t="shared" si="184"/>
        <v>0</v>
      </c>
      <c r="CA134" s="321">
        <f t="shared" si="184"/>
        <v>0</v>
      </c>
      <c r="CB134" s="321">
        <f t="shared" si="184"/>
        <v>0</v>
      </c>
      <c r="CC134" s="321">
        <f t="shared" si="184"/>
        <v>0</v>
      </c>
      <c r="CD134" s="321">
        <f t="shared" si="184"/>
        <v>0</v>
      </c>
      <c r="CE134" s="321">
        <f t="shared" si="184"/>
        <v>0</v>
      </c>
      <c r="CF134" s="322">
        <f t="shared" si="92"/>
        <v>0.5</v>
      </c>
      <c r="CG134" s="217"/>
      <c r="CH134" s="217"/>
      <c r="CI134" s="217"/>
      <c r="CJ134" s="217"/>
      <c r="CK134" s="217"/>
    </row>
    <row r="135" spans="1:89" x14ac:dyDescent="0.3">
      <c r="A135" s="217"/>
      <c r="B135" s="262" t="s">
        <v>432</v>
      </c>
      <c r="C135" s="321">
        <f t="shared" ref="C135:AH135" si="185">SUMIF($F$59:$F$63,C$101,$R$59:$R$63)</f>
        <v>0</v>
      </c>
      <c r="D135" s="321">
        <f t="shared" si="185"/>
        <v>0</v>
      </c>
      <c r="E135" s="321">
        <f t="shared" si="185"/>
        <v>0</v>
      </c>
      <c r="F135" s="321">
        <f t="shared" si="185"/>
        <v>0</v>
      </c>
      <c r="G135" s="321">
        <f t="shared" si="185"/>
        <v>0</v>
      </c>
      <c r="H135" s="321">
        <f t="shared" si="185"/>
        <v>0</v>
      </c>
      <c r="I135" s="321">
        <f t="shared" si="185"/>
        <v>0.10608051483140718</v>
      </c>
      <c r="J135" s="321">
        <f t="shared" si="185"/>
        <v>0</v>
      </c>
      <c r="K135" s="321">
        <f t="shared" si="185"/>
        <v>0</v>
      </c>
      <c r="L135" s="321">
        <f t="shared" si="185"/>
        <v>0</v>
      </c>
      <c r="M135" s="321">
        <f t="shared" si="185"/>
        <v>0</v>
      </c>
      <c r="N135" s="321">
        <f t="shared" si="185"/>
        <v>0</v>
      </c>
      <c r="O135" s="321">
        <f t="shared" si="185"/>
        <v>0</v>
      </c>
      <c r="P135" s="321">
        <f t="shared" si="185"/>
        <v>0</v>
      </c>
      <c r="Q135" s="321">
        <f t="shared" si="185"/>
        <v>0</v>
      </c>
      <c r="R135" s="321">
        <f t="shared" si="185"/>
        <v>0</v>
      </c>
      <c r="S135" s="321">
        <f t="shared" si="185"/>
        <v>0</v>
      </c>
      <c r="T135" s="321">
        <f t="shared" si="185"/>
        <v>0</v>
      </c>
      <c r="U135" s="321">
        <f t="shared" si="185"/>
        <v>0</v>
      </c>
      <c r="V135" s="321">
        <f t="shared" si="185"/>
        <v>0</v>
      </c>
      <c r="W135" s="321">
        <f t="shared" si="185"/>
        <v>0</v>
      </c>
      <c r="X135" s="321">
        <f t="shared" si="185"/>
        <v>0.44695974258429644</v>
      </c>
      <c r="Y135" s="321">
        <f t="shared" si="185"/>
        <v>0</v>
      </c>
      <c r="Z135" s="321">
        <f t="shared" si="185"/>
        <v>0</v>
      </c>
      <c r="AA135" s="321">
        <f t="shared" si="185"/>
        <v>0</v>
      </c>
      <c r="AB135" s="321">
        <f t="shared" si="185"/>
        <v>0</v>
      </c>
      <c r="AC135" s="321">
        <f t="shared" si="185"/>
        <v>0</v>
      </c>
      <c r="AD135" s="321">
        <f t="shared" si="185"/>
        <v>0</v>
      </c>
      <c r="AE135" s="321">
        <f t="shared" si="185"/>
        <v>0</v>
      </c>
      <c r="AF135" s="321">
        <f t="shared" si="185"/>
        <v>0</v>
      </c>
      <c r="AG135" s="321">
        <f t="shared" si="185"/>
        <v>0</v>
      </c>
      <c r="AH135" s="321">
        <f t="shared" si="185"/>
        <v>0</v>
      </c>
      <c r="AI135" s="321">
        <f t="shared" ref="AI135:BN135" si="186">SUMIF($F$59:$F$63,AI$101,$R$59:$R$63)</f>
        <v>0</v>
      </c>
      <c r="AJ135" s="321">
        <f t="shared" si="186"/>
        <v>0</v>
      </c>
      <c r="AK135" s="321">
        <f t="shared" si="186"/>
        <v>0</v>
      </c>
      <c r="AL135" s="321">
        <f t="shared" si="186"/>
        <v>0</v>
      </c>
      <c r="AM135" s="321">
        <f t="shared" si="186"/>
        <v>0</v>
      </c>
      <c r="AN135" s="321">
        <f t="shared" si="186"/>
        <v>0</v>
      </c>
      <c r="AO135" s="321">
        <f t="shared" si="186"/>
        <v>0</v>
      </c>
      <c r="AP135" s="321">
        <f t="shared" si="186"/>
        <v>0</v>
      </c>
      <c r="AQ135" s="321">
        <f t="shared" si="186"/>
        <v>0</v>
      </c>
      <c r="AR135" s="321">
        <f t="shared" si="186"/>
        <v>0</v>
      </c>
      <c r="AS135" s="321">
        <f t="shared" si="186"/>
        <v>0</v>
      </c>
      <c r="AT135" s="321">
        <f t="shared" si="186"/>
        <v>0</v>
      </c>
      <c r="AU135" s="321">
        <f t="shared" si="186"/>
        <v>0</v>
      </c>
      <c r="AV135" s="321">
        <f t="shared" si="186"/>
        <v>0</v>
      </c>
      <c r="AW135" s="321">
        <f t="shared" si="186"/>
        <v>0</v>
      </c>
      <c r="AX135" s="321">
        <f t="shared" si="186"/>
        <v>0</v>
      </c>
      <c r="AY135" s="321">
        <f t="shared" si="186"/>
        <v>0</v>
      </c>
      <c r="AZ135" s="321">
        <f t="shared" si="186"/>
        <v>0</v>
      </c>
      <c r="BA135" s="321">
        <f t="shared" si="186"/>
        <v>0</v>
      </c>
      <c r="BB135" s="321">
        <f t="shared" si="186"/>
        <v>0</v>
      </c>
      <c r="BC135" s="321">
        <f t="shared" si="186"/>
        <v>0</v>
      </c>
      <c r="BD135" s="321">
        <f t="shared" si="186"/>
        <v>0</v>
      </c>
      <c r="BE135" s="321">
        <f t="shared" si="186"/>
        <v>0</v>
      </c>
      <c r="BF135" s="321">
        <f t="shared" si="186"/>
        <v>0</v>
      </c>
      <c r="BG135" s="321">
        <f t="shared" si="186"/>
        <v>0</v>
      </c>
      <c r="BH135" s="321">
        <f t="shared" si="186"/>
        <v>0</v>
      </c>
      <c r="BI135" s="321">
        <f t="shared" si="186"/>
        <v>0</v>
      </c>
      <c r="BJ135" s="321">
        <f t="shared" si="186"/>
        <v>0</v>
      </c>
      <c r="BK135" s="321">
        <f t="shared" si="186"/>
        <v>0</v>
      </c>
      <c r="BL135" s="321">
        <f t="shared" si="186"/>
        <v>0</v>
      </c>
      <c r="BM135" s="321">
        <f t="shared" si="186"/>
        <v>0</v>
      </c>
      <c r="BN135" s="321">
        <f t="shared" si="186"/>
        <v>0</v>
      </c>
      <c r="BO135" s="321">
        <f t="shared" ref="BO135:CE135" si="187">SUMIF($F$59:$F$63,BO$101,$R$59:$R$63)</f>
        <v>0</v>
      </c>
      <c r="BP135" s="321">
        <f t="shared" si="187"/>
        <v>0</v>
      </c>
      <c r="BQ135" s="321">
        <f t="shared" si="187"/>
        <v>0</v>
      </c>
      <c r="BR135" s="321">
        <f t="shared" si="187"/>
        <v>0</v>
      </c>
      <c r="BS135" s="321">
        <f t="shared" si="187"/>
        <v>0</v>
      </c>
      <c r="BT135" s="321">
        <f t="shared" si="187"/>
        <v>0</v>
      </c>
      <c r="BU135" s="321">
        <f t="shared" si="187"/>
        <v>0</v>
      </c>
      <c r="BV135" s="321">
        <f t="shared" si="187"/>
        <v>0</v>
      </c>
      <c r="BW135" s="321">
        <f t="shared" si="187"/>
        <v>0</v>
      </c>
      <c r="BX135" s="321">
        <f t="shared" si="187"/>
        <v>0</v>
      </c>
      <c r="BY135" s="321">
        <f t="shared" si="187"/>
        <v>0</v>
      </c>
      <c r="BZ135" s="321">
        <f t="shared" si="187"/>
        <v>0</v>
      </c>
      <c r="CA135" s="321">
        <f t="shared" si="187"/>
        <v>0</v>
      </c>
      <c r="CB135" s="321">
        <f t="shared" si="187"/>
        <v>0</v>
      </c>
      <c r="CC135" s="321">
        <f t="shared" si="187"/>
        <v>0</v>
      </c>
      <c r="CD135" s="321">
        <f t="shared" si="187"/>
        <v>0</v>
      </c>
      <c r="CE135" s="321">
        <f t="shared" si="187"/>
        <v>0</v>
      </c>
      <c r="CF135" s="322">
        <f t="shared" si="92"/>
        <v>0.55304025741570362</v>
      </c>
      <c r="CG135" s="217"/>
      <c r="CH135" s="217"/>
      <c r="CI135" s="217"/>
      <c r="CJ135" s="217"/>
      <c r="CK135" s="217"/>
    </row>
    <row r="136" spans="1:89" x14ac:dyDescent="0.3">
      <c r="A136" s="217"/>
      <c r="B136" s="260" t="s">
        <v>343</v>
      </c>
      <c r="C136" s="321">
        <f t="shared" ref="C136:AH136" si="188">SUMIF($F$64:$F$67,C$101,$R$64:$R$67)</f>
        <v>0</v>
      </c>
      <c r="D136" s="321">
        <f t="shared" si="188"/>
        <v>0</v>
      </c>
      <c r="E136" s="321">
        <f t="shared" si="188"/>
        <v>0</v>
      </c>
      <c r="F136" s="321">
        <f t="shared" si="188"/>
        <v>0</v>
      </c>
      <c r="G136" s="321">
        <f t="shared" si="188"/>
        <v>0</v>
      </c>
      <c r="H136" s="321">
        <f t="shared" si="188"/>
        <v>0</v>
      </c>
      <c r="I136" s="321">
        <f t="shared" si="188"/>
        <v>8.5714285714285743E-2</v>
      </c>
      <c r="J136" s="321">
        <f t="shared" si="188"/>
        <v>0</v>
      </c>
      <c r="K136" s="321">
        <f t="shared" si="188"/>
        <v>0</v>
      </c>
      <c r="L136" s="321">
        <f t="shared" si="188"/>
        <v>0</v>
      </c>
      <c r="M136" s="321">
        <f t="shared" si="188"/>
        <v>0</v>
      </c>
      <c r="N136" s="321">
        <f t="shared" si="188"/>
        <v>0</v>
      </c>
      <c r="O136" s="321">
        <f t="shared" si="188"/>
        <v>0</v>
      </c>
      <c r="P136" s="321">
        <f t="shared" si="188"/>
        <v>0</v>
      </c>
      <c r="Q136" s="321">
        <f t="shared" si="188"/>
        <v>0</v>
      </c>
      <c r="R136" s="321">
        <f t="shared" si="188"/>
        <v>0</v>
      </c>
      <c r="S136" s="321">
        <f t="shared" si="188"/>
        <v>0</v>
      </c>
      <c r="T136" s="321">
        <f t="shared" si="188"/>
        <v>0</v>
      </c>
      <c r="U136" s="321">
        <f t="shared" si="188"/>
        <v>0</v>
      </c>
      <c r="V136" s="321">
        <f t="shared" si="188"/>
        <v>0</v>
      </c>
      <c r="W136" s="321">
        <f t="shared" si="188"/>
        <v>0</v>
      </c>
      <c r="X136" s="321">
        <f t="shared" si="188"/>
        <v>0</v>
      </c>
      <c r="Y136" s="321">
        <f t="shared" si="188"/>
        <v>0</v>
      </c>
      <c r="Z136" s="321">
        <f t="shared" si="188"/>
        <v>0</v>
      </c>
      <c r="AA136" s="321">
        <f t="shared" si="188"/>
        <v>0</v>
      </c>
      <c r="AB136" s="321">
        <f t="shared" si="188"/>
        <v>0</v>
      </c>
      <c r="AC136" s="321">
        <f t="shared" si="188"/>
        <v>0</v>
      </c>
      <c r="AD136" s="321">
        <f t="shared" si="188"/>
        <v>0</v>
      </c>
      <c r="AE136" s="321">
        <f t="shared" si="188"/>
        <v>0</v>
      </c>
      <c r="AF136" s="321">
        <f t="shared" si="188"/>
        <v>0</v>
      </c>
      <c r="AG136" s="321">
        <f t="shared" si="188"/>
        <v>0</v>
      </c>
      <c r="AH136" s="321">
        <f t="shared" si="188"/>
        <v>0</v>
      </c>
      <c r="AI136" s="321">
        <f t="shared" ref="AI136:BN136" si="189">SUMIF($F$64:$F$67,AI$101,$R$64:$R$67)</f>
        <v>0</v>
      </c>
      <c r="AJ136" s="321">
        <f t="shared" si="189"/>
        <v>0.45714285714285718</v>
      </c>
      <c r="AK136" s="321">
        <f t="shared" si="189"/>
        <v>0</v>
      </c>
      <c r="AL136" s="321">
        <f t="shared" si="189"/>
        <v>0</v>
      </c>
      <c r="AM136" s="321">
        <f t="shared" si="189"/>
        <v>0</v>
      </c>
      <c r="AN136" s="321">
        <f t="shared" si="189"/>
        <v>0</v>
      </c>
      <c r="AO136" s="321">
        <f t="shared" si="189"/>
        <v>0</v>
      </c>
      <c r="AP136" s="321">
        <f t="shared" si="189"/>
        <v>0</v>
      </c>
      <c r="AQ136" s="321">
        <f t="shared" si="189"/>
        <v>0</v>
      </c>
      <c r="AR136" s="321">
        <f t="shared" si="189"/>
        <v>0</v>
      </c>
      <c r="AS136" s="321">
        <f t="shared" si="189"/>
        <v>0</v>
      </c>
      <c r="AT136" s="321">
        <f t="shared" si="189"/>
        <v>0</v>
      </c>
      <c r="AU136" s="321">
        <f t="shared" si="189"/>
        <v>0</v>
      </c>
      <c r="AV136" s="321">
        <f t="shared" si="189"/>
        <v>0</v>
      </c>
      <c r="AW136" s="321">
        <f t="shared" si="189"/>
        <v>0</v>
      </c>
      <c r="AX136" s="321">
        <f t="shared" si="189"/>
        <v>0</v>
      </c>
      <c r="AY136" s="321">
        <f t="shared" si="189"/>
        <v>0</v>
      </c>
      <c r="AZ136" s="321">
        <f t="shared" si="189"/>
        <v>0</v>
      </c>
      <c r="BA136" s="321">
        <f t="shared" si="189"/>
        <v>0</v>
      </c>
      <c r="BB136" s="321">
        <f t="shared" si="189"/>
        <v>0</v>
      </c>
      <c r="BC136" s="321">
        <f t="shared" si="189"/>
        <v>0</v>
      </c>
      <c r="BD136" s="321">
        <f t="shared" si="189"/>
        <v>0</v>
      </c>
      <c r="BE136" s="321">
        <f t="shared" si="189"/>
        <v>0</v>
      </c>
      <c r="BF136" s="321">
        <f t="shared" si="189"/>
        <v>0</v>
      </c>
      <c r="BG136" s="321">
        <f t="shared" si="189"/>
        <v>0</v>
      </c>
      <c r="BH136" s="321">
        <f t="shared" si="189"/>
        <v>0</v>
      </c>
      <c r="BI136" s="321">
        <f t="shared" si="189"/>
        <v>0</v>
      </c>
      <c r="BJ136" s="321">
        <f t="shared" si="189"/>
        <v>0</v>
      </c>
      <c r="BK136" s="321">
        <f t="shared" si="189"/>
        <v>0</v>
      </c>
      <c r="BL136" s="321">
        <f t="shared" si="189"/>
        <v>0</v>
      </c>
      <c r="BM136" s="321">
        <f t="shared" si="189"/>
        <v>0</v>
      </c>
      <c r="BN136" s="321">
        <f t="shared" si="189"/>
        <v>0</v>
      </c>
      <c r="BO136" s="321">
        <f t="shared" ref="BO136:CE136" si="190">SUMIF($F$64:$F$67,BO$101,$R$64:$R$67)</f>
        <v>0</v>
      </c>
      <c r="BP136" s="321">
        <f t="shared" si="190"/>
        <v>0</v>
      </c>
      <c r="BQ136" s="321">
        <f t="shared" si="190"/>
        <v>0</v>
      </c>
      <c r="BR136" s="321">
        <f t="shared" si="190"/>
        <v>0</v>
      </c>
      <c r="BS136" s="321">
        <f t="shared" si="190"/>
        <v>0</v>
      </c>
      <c r="BT136" s="321">
        <f t="shared" si="190"/>
        <v>0</v>
      </c>
      <c r="BU136" s="321">
        <f t="shared" si="190"/>
        <v>0</v>
      </c>
      <c r="BV136" s="321">
        <f t="shared" si="190"/>
        <v>0</v>
      </c>
      <c r="BW136" s="321">
        <f t="shared" si="190"/>
        <v>0</v>
      </c>
      <c r="BX136" s="321">
        <f t="shared" si="190"/>
        <v>0</v>
      </c>
      <c r="BY136" s="321">
        <f t="shared" si="190"/>
        <v>0</v>
      </c>
      <c r="BZ136" s="321">
        <f t="shared" si="190"/>
        <v>0</v>
      </c>
      <c r="CA136" s="321">
        <f t="shared" si="190"/>
        <v>0</v>
      </c>
      <c r="CB136" s="321">
        <f t="shared" si="190"/>
        <v>0</v>
      </c>
      <c r="CC136" s="321">
        <f t="shared" si="190"/>
        <v>0</v>
      </c>
      <c r="CD136" s="321">
        <f t="shared" si="190"/>
        <v>0</v>
      </c>
      <c r="CE136" s="321">
        <f t="shared" si="190"/>
        <v>0</v>
      </c>
      <c r="CF136" s="322">
        <f t="shared" si="92"/>
        <v>0.54285714285714293</v>
      </c>
      <c r="CG136" s="217"/>
      <c r="CH136" s="217"/>
      <c r="CI136" s="217"/>
      <c r="CJ136" s="217"/>
      <c r="CK136" s="217"/>
    </row>
    <row r="137" spans="1:89" x14ac:dyDescent="0.3">
      <c r="A137" s="217"/>
      <c r="B137" s="260" t="s">
        <v>791</v>
      </c>
      <c r="C137" s="321">
        <f>SUMIF($F$68,C$101,$R$68)</f>
        <v>0</v>
      </c>
      <c r="D137" s="321">
        <f t="shared" ref="D137:BO137" si="191">SUMIF($F$68,D$101,$R$68)</f>
        <v>0</v>
      </c>
      <c r="E137" s="321">
        <f t="shared" si="191"/>
        <v>0</v>
      </c>
      <c r="F137" s="321">
        <f t="shared" si="191"/>
        <v>0</v>
      </c>
      <c r="G137" s="321">
        <f t="shared" si="191"/>
        <v>0</v>
      </c>
      <c r="H137" s="321">
        <f t="shared" si="191"/>
        <v>0</v>
      </c>
      <c r="I137" s="321">
        <f t="shared" si="191"/>
        <v>1</v>
      </c>
      <c r="J137" s="321">
        <f t="shared" si="191"/>
        <v>0</v>
      </c>
      <c r="K137" s="321">
        <f t="shared" si="191"/>
        <v>0</v>
      </c>
      <c r="L137" s="321">
        <f t="shared" si="191"/>
        <v>0</v>
      </c>
      <c r="M137" s="321">
        <f t="shared" si="191"/>
        <v>0</v>
      </c>
      <c r="N137" s="321">
        <f t="shared" si="191"/>
        <v>0</v>
      </c>
      <c r="O137" s="321">
        <f t="shared" si="191"/>
        <v>0</v>
      </c>
      <c r="P137" s="321">
        <f t="shared" si="191"/>
        <v>0</v>
      </c>
      <c r="Q137" s="321">
        <f t="shared" si="191"/>
        <v>0</v>
      </c>
      <c r="R137" s="321">
        <f t="shared" si="191"/>
        <v>0</v>
      </c>
      <c r="S137" s="321">
        <f t="shared" si="191"/>
        <v>0</v>
      </c>
      <c r="T137" s="321">
        <f t="shared" si="191"/>
        <v>0</v>
      </c>
      <c r="U137" s="321">
        <f t="shared" si="191"/>
        <v>0</v>
      </c>
      <c r="V137" s="321">
        <f t="shared" si="191"/>
        <v>0</v>
      </c>
      <c r="W137" s="321">
        <f t="shared" si="191"/>
        <v>0</v>
      </c>
      <c r="X137" s="321">
        <f t="shared" si="191"/>
        <v>0</v>
      </c>
      <c r="Y137" s="321">
        <f t="shared" si="191"/>
        <v>0</v>
      </c>
      <c r="Z137" s="321">
        <f t="shared" si="191"/>
        <v>0</v>
      </c>
      <c r="AA137" s="321">
        <f t="shared" si="191"/>
        <v>0</v>
      </c>
      <c r="AB137" s="321">
        <f t="shared" si="191"/>
        <v>0</v>
      </c>
      <c r="AC137" s="321">
        <f t="shared" si="191"/>
        <v>0</v>
      </c>
      <c r="AD137" s="321">
        <f t="shared" si="191"/>
        <v>0</v>
      </c>
      <c r="AE137" s="321">
        <f t="shared" si="191"/>
        <v>0</v>
      </c>
      <c r="AF137" s="321">
        <f t="shared" si="191"/>
        <v>0</v>
      </c>
      <c r="AG137" s="321">
        <f t="shared" si="191"/>
        <v>0</v>
      </c>
      <c r="AH137" s="321">
        <f t="shared" si="191"/>
        <v>0</v>
      </c>
      <c r="AI137" s="321">
        <f t="shared" si="191"/>
        <v>0</v>
      </c>
      <c r="AJ137" s="321">
        <f t="shared" si="191"/>
        <v>0</v>
      </c>
      <c r="AK137" s="321">
        <f t="shared" si="191"/>
        <v>0</v>
      </c>
      <c r="AL137" s="321">
        <f t="shared" si="191"/>
        <v>0</v>
      </c>
      <c r="AM137" s="321">
        <f t="shared" si="191"/>
        <v>0</v>
      </c>
      <c r="AN137" s="321">
        <f t="shared" si="191"/>
        <v>0</v>
      </c>
      <c r="AO137" s="321">
        <f t="shared" si="191"/>
        <v>0</v>
      </c>
      <c r="AP137" s="321">
        <f t="shared" si="191"/>
        <v>0</v>
      </c>
      <c r="AQ137" s="321">
        <f t="shared" si="191"/>
        <v>0</v>
      </c>
      <c r="AR137" s="321">
        <f t="shared" si="191"/>
        <v>0</v>
      </c>
      <c r="AS137" s="321">
        <f t="shared" si="191"/>
        <v>0</v>
      </c>
      <c r="AT137" s="321">
        <f t="shared" si="191"/>
        <v>0</v>
      </c>
      <c r="AU137" s="321">
        <f t="shared" si="191"/>
        <v>0</v>
      </c>
      <c r="AV137" s="321">
        <f t="shared" si="191"/>
        <v>0</v>
      </c>
      <c r="AW137" s="321">
        <f t="shared" si="191"/>
        <v>0</v>
      </c>
      <c r="AX137" s="321">
        <f t="shared" si="191"/>
        <v>0</v>
      </c>
      <c r="AY137" s="321">
        <f t="shared" si="191"/>
        <v>0</v>
      </c>
      <c r="AZ137" s="321">
        <f t="shared" si="191"/>
        <v>0</v>
      </c>
      <c r="BA137" s="321">
        <f t="shared" si="191"/>
        <v>0</v>
      </c>
      <c r="BB137" s="321">
        <f t="shared" si="191"/>
        <v>0</v>
      </c>
      <c r="BC137" s="321">
        <f t="shared" si="191"/>
        <v>0</v>
      </c>
      <c r="BD137" s="321">
        <f t="shared" si="191"/>
        <v>0</v>
      </c>
      <c r="BE137" s="321">
        <f t="shared" si="191"/>
        <v>0</v>
      </c>
      <c r="BF137" s="321">
        <f t="shared" si="191"/>
        <v>0</v>
      </c>
      <c r="BG137" s="321">
        <f t="shared" si="191"/>
        <v>0</v>
      </c>
      <c r="BH137" s="321">
        <f t="shared" si="191"/>
        <v>0</v>
      </c>
      <c r="BI137" s="321">
        <f t="shared" si="191"/>
        <v>0</v>
      </c>
      <c r="BJ137" s="321">
        <f t="shared" si="191"/>
        <v>0</v>
      </c>
      <c r="BK137" s="321">
        <f t="shared" si="191"/>
        <v>0</v>
      </c>
      <c r="BL137" s="321">
        <f t="shared" si="191"/>
        <v>0</v>
      </c>
      <c r="BM137" s="321">
        <f t="shared" si="191"/>
        <v>0</v>
      </c>
      <c r="BN137" s="321">
        <f t="shared" si="191"/>
        <v>0</v>
      </c>
      <c r="BO137" s="321">
        <f t="shared" si="191"/>
        <v>0</v>
      </c>
      <c r="BP137" s="321">
        <f t="shared" ref="BP137:CE137" si="192">SUMIF($F$68,BP$101,$R$68)</f>
        <v>0</v>
      </c>
      <c r="BQ137" s="321">
        <f t="shared" si="192"/>
        <v>0</v>
      </c>
      <c r="BR137" s="321">
        <f t="shared" si="192"/>
        <v>0</v>
      </c>
      <c r="BS137" s="321">
        <f t="shared" si="192"/>
        <v>0</v>
      </c>
      <c r="BT137" s="321">
        <f t="shared" si="192"/>
        <v>0</v>
      </c>
      <c r="BU137" s="321">
        <f t="shared" si="192"/>
        <v>0</v>
      </c>
      <c r="BV137" s="321">
        <f t="shared" si="192"/>
        <v>0</v>
      </c>
      <c r="BW137" s="321">
        <f t="shared" si="192"/>
        <v>0</v>
      </c>
      <c r="BX137" s="321">
        <f t="shared" si="192"/>
        <v>0</v>
      </c>
      <c r="BY137" s="321">
        <f t="shared" si="192"/>
        <v>0</v>
      </c>
      <c r="BZ137" s="321">
        <f t="shared" si="192"/>
        <v>0</v>
      </c>
      <c r="CA137" s="321">
        <f t="shared" si="192"/>
        <v>0</v>
      </c>
      <c r="CB137" s="321">
        <f t="shared" si="192"/>
        <v>0</v>
      </c>
      <c r="CC137" s="321">
        <f t="shared" si="192"/>
        <v>0</v>
      </c>
      <c r="CD137" s="321">
        <f t="shared" si="192"/>
        <v>0</v>
      </c>
      <c r="CE137" s="321">
        <f t="shared" si="192"/>
        <v>0</v>
      </c>
      <c r="CF137" s="322">
        <f t="shared" ref="CF137:CF181" si="193">SUM(C137:CD137)</f>
        <v>1</v>
      </c>
      <c r="CG137" s="217"/>
      <c r="CH137" s="217"/>
      <c r="CI137" s="217"/>
      <c r="CJ137" s="217"/>
      <c r="CK137" s="217"/>
    </row>
    <row r="138" spans="1:89" s="506" customFormat="1" x14ac:dyDescent="0.3">
      <c r="A138" s="217"/>
      <c r="B138" s="260" t="s">
        <v>792</v>
      </c>
      <c r="C138" s="321">
        <f>SUMIF($F$69,C$101,$R$69)</f>
        <v>0</v>
      </c>
      <c r="D138" s="321">
        <f t="shared" ref="D138:BO138" si="194">SUMIF($F$69,D$101,$R$69)</f>
        <v>0</v>
      </c>
      <c r="E138" s="321">
        <f t="shared" si="194"/>
        <v>0</v>
      </c>
      <c r="F138" s="321">
        <f t="shared" si="194"/>
        <v>0</v>
      </c>
      <c r="G138" s="321">
        <f t="shared" si="194"/>
        <v>0</v>
      </c>
      <c r="H138" s="321">
        <f t="shared" si="194"/>
        <v>0</v>
      </c>
      <c r="I138" s="321">
        <f t="shared" si="194"/>
        <v>1</v>
      </c>
      <c r="J138" s="321">
        <f t="shared" si="194"/>
        <v>0</v>
      </c>
      <c r="K138" s="321">
        <f t="shared" si="194"/>
        <v>0</v>
      </c>
      <c r="L138" s="321">
        <f t="shared" si="194"/>
        <v>0</v>
      </c>
      <c r="M138" s="321">
        <f t="shared" si="194"/>
        <v>0</v>
      </c>
      <c r="N138" s="321">
        <f t="shared" si="194"/>
        <v>0</v>
      </c>
      <c r="O138" s="321">
        <f t="shared" si="194"/>
        <v>0</v>
      </c>
      <c r="P138" s="321">
        <f t="shared" si="194"/>
        <v>0</v>
      </c>
      <c r="Q138" s="321">
        <f t="shared" si="194"/>
        <v>0</v>
      </c>
      <c r="R138" s="321">
        <f t="shared" si="194"/>
        <v>0</v>
      </c>
      <c r="S138" s="321">
        <f t="shared" si="194"/>
        <v>0</v>
      </c>
      <c r="T138" s="321">
        <f t="shared" si="194"/>
        <v>0</v>
      </c>
      <c r="U138" s="321">
        <f t="shared" si="194"/>
        <v>0</v>
      </c>
      <c r="V138" s="321">
        <f t="shared" si="194"/>
        <v>0</v>
      </c>
      <c r="W138" s="321">
        <f t="shared" si="194"/>
        <v>0</v>
      </c>
      <c r="X138" s="321">
        <f t="shared" si="194"/>
        <v>0</v>
      </c>
      <c r="Y138" s="321">
        <f t="shared" si="194"/>
        <v>0</v>
      </c>
      <c r="Z138" s="321">
        <f t="shared" si="194"/>
        <v>0</v>
      </c>
      <c r="AA138" s="321">
        <f t="shared" si="194"/>
        <v>0</v>
      </c>
      <c r="AB138" s="321">
        <f t="shared" si="194"/>
        <v>0</v>
      </c>
      <c r="AC138" s="321">
        <f t="shared" si="194"/>
        <v>0</v>
      </c>
      <c r="AD138" s="321">
        <f t="shared" si="194"/>
        <v>0</v>
      </c>
      <c r="AE138" s="321">
        <f t="shared" si="194"/>
        <v>0</v>
      </c>
      <c r="AF138" s="321">
        <f t="shared" si="194"/>
        <v>0</v>
      </c>
      <c r="AG138" s="321">
        <f t="shared" si="194"/>
        <v>0</v>
      </c>
      <c r="AH138" s="321">
        <f t="shared" si="194"/>
        <v>0</v>
      </c>
      <c r="AI138" s="321">
        <f t="shared" si="194"/>
        <v>0</v>
      </c>
      <c r="AJ138" s="321">
        <f t="shared" si="194"/>
        <v>0</v>
      </c>
      <c r="AK138" s="321">
        <f t="shared" si="194"/>
        <v>0</v>
      </c>
      <c r="AL138" s="321">
        <f t="shared" si="194"/>
        <v>0</v>
      </c>
      <c r="AM138" s="321">
        <f t="shared" si="194"/>
        <v>0</v>
      </c>
      <c r="AN138" s="321">
        <f t="shared" si="194"/>
        <v>0</v>
      </c>
      <c r="AO138" s="321">
        <f t="shared" si="194"/>
        <v>0</v>
      </c>
      <c r="AP138" s="321">
        <f t="shared" si="194"/>
        <v>0</v>
      </c>
      <c r="AQ138" s="321">
        <f t="shared" si="194"/>
        <v>0</v>
      </c>
      <c r="AR138" s="321">
        <f t="shared" si="194"/>
        <v>0</v>
      </c>
      <c r="AS138" s="321">
        <f t="shared" si="194"/>
        <v>0</v>
      </c>
      <c r="AT138" s="321">
        <f t="shared" si="194"/>
        <v>0</v>
      </c>
      <c r="AU138" s="321">
        <f t="shared" si="194"/>
        <v>0</v>
      </c>
      <c r="AV138" s="321">
        <f t="shared" si="194"/>
        <v>0</v>
      </c>
      <c r="AW138" s="321">
        <f t="shared" si="194"/>
        <v>0</v>
      </c>
      <c r="AX138" s="321">
        <f t="shared" si="194"/>
        <v>0</v>
      </c>
      <c r="AY138" s="321">
        <f t="shared" si="194"/>
        <v>0</v>
      </c>
      <c r="AZ138" s="321">
        <f t="shared" si="194"/>
        <v>0</v>
      </c>
      <c r="BA138" s="321">
        <f t="shared" si="194"/>
        <v>0</v>
      </c>
      <c r="BB138" s="321">
        <f t="shared" si="194"/>
        <v>0</v>
      </c>
      <c r="BC138" s="321">
        <f t="shared" si="194"/>
        <v>0</v>
      </c>
      <c r="BD138" s="321">
        <f t="shared" si="194"/>
        <v>0</v>
      </c>
      <c r="BE138" s="321">
        <f t="shared" si="194"/>
        <v>0</v>
      </c>
      <c r="BF138" s="321">
        <f t="shared" si="194"/>
        <v>0</v>
      </c>
      <c r="BG138" s="321">
        <f t="shared" si="194"/>
        <v>0</v>
      </c>
      <c r="BH138" s="321">
        <f t="shared" si="194"/>
        <v>0</v>
      </c>
      <c r="BI138" s="321">
        <f t="shared" si="194"/>
        <v>0</v>
      </c>
      <c r="BJ138" s="321">
        <f t="shared" si="194"/>
        <v>0</v>
      </c>
      <c r="BK138" s="321">
        <f t="shared" si="194"/>
        <v>0</v>
      </c>
      <c r="BL138" s="321">
        <f t="shared" si="194"/>
        <v>0</v>
      </c>
      <c r="BM138" s="321">
        <f t="shared" si="194"/>
        <v>0</v>
      </c>
      <c r="BN138" s="321">
        <f t="shared" si="194"/>
        <v>0</v>
      </c>
      <c r="BO138" s="321">
        <f t="shared" si="194"/>
        <v>0</v>
      </c>
      <c r="BP138" s="321">
        <f t="shared" ref="BP138:CE138" si="195">SUMIF($F$69,BP$101,$R$69)</f>
        <v>0</v>
      </c>
      <c r="BQ138" s="321">
        <f t="shared" si="195"/>
        <v>0</v>
      </c>
      <c r="BR138" s="321">
        <f t="shared" si="195"/>
        <v>0</v>
      </c>
      <c r="BS138" s="321">
        <f t="shared" si="195"/>
        <v>0</v>
      </c>
      <c r="BT138" s="321">
        <f t="shared" si="195"/>
        <v>0</v>
      </c>
      <c r="BU138" s="321">
        <f t="shared" si="195"/>
        <v>0</v>
      </c>
      <c r="BV138" s="321">
        <f t="shared" si="195"/>
        <v>0</v>
      </c>
      <c r="BW138" s="321">
        <f t="shared" si="195"/>
        <v>0</v>
      </c>
      <c r="BX138" s="321">
        <f t="shared" si="195"/>
        <v>0</v>
      </c>
      <c r="BY138" s="321">
        <f t="shared" si="195"/>
        <v>0</v>
      </c>
      <c r="BZ138" s="321">
        <f t="shared" si="195"/>
        <v>0</v>
      </c>
      <c r="CA138" s="321">
        <f t="shared" si="195"/>
        <v>0</v>
      </c>
      <c r="CB138" s="321">
        <f t="shared" si="195"/>
        <v>0</v>
      </c>
      <c r="CC138" s="321">
        <f t="shared" si="195"/>
        <v>0</v>
      </c>
      <c r="CD138" s="321">
        <f t="shared" si="195"/>
        <v>0</v>
      </c>
      <c r="CE138" s="321">
        <f t="shared" si="195"/>
        <v>0</v>
      </c>
      <c r="CF138" s="322">
        <f t="shared" si="193"/>
        <v>1</v>
      </c>
      <c r="CG138" s="217"/>
      <c r="CH138" s="217"/>
      <c r="CI138" s="217"/>
      <c r="CJ138" s="217"/>
      <c r="CK138" s="217"/>
    </row>
    <row r="139" spans="1:89" s="506" customFormat="1" x14ac:dyDescent="0.3">
      <c r="A139" s="217"/>
      <c r="B139" s="260" t="s">
        <v>546</v>
      </c>
      <c r="C139" s="321">
        <f>SUMIF($F$70,C$101,$R$70)</f>
        <v>0</v>
      </c>
      <c r="D139" s="321">
        <f t="shared" ref="D139:BO139" si="196">SUMIF($F$70,D$101,$R$70)</f>
        <v>0</v>
      </c>
      <c r="E139" s="321">
        <f t="shared" si="196"/>
        <v>0</v>
      </c>
      <c r="F139" s="321">
        <f t="shared" si="196"/>
        <v>0</v>
      </c>
      <c r="G139" s="321">
        <f t="shared" si="196"/>
        <v>0</v>
      </c>
      <c r="H139" s="321">
        <f t="shared" si="196"/>
        <v>0</v>
      </c>
      <c r="I139" s="321">
        <f t="shared" si="196"/>
        <v>1</v>
      </c>
      <c r="J139" s="321">
        <f t="shared" si="196"/>
        <v>0</v>
      </c>
      <c r="K139" s="321">
        <f t="shared" si="196"/>
        <v>0</v>
      </c>
      <c r="L139" s="321">
        <f t="shared" si="196"/>
        <v>0</v>
      </c>
      <c r="M139" s="321">
        <f t="shared" si="196"/>
        <v>0</v>
      </c>
      <c r="N139" s="321">
        <f t="shared" si="196"/>
        <v>0</v>
      </c>
      <c r="O139" s="321">
        <f t="shared" si="196"/>
        <v>0</v>
      </c>
      <c r="P139" s="321">
        <f t="shared" si="196"/>
        <v>0</v>
      </c>
      <c r="Q139" s="321">
        <f t="shared" si="196"/>
        <v>0</v>
      </c>
      <c r="R139" s="321">
        <f t="shared" si="196"/>
        <v>0</v>
      </c>
      <c r="S139" s="321">
        <f t="shared" si="196"/>
        <v>0</v>
      </c>
      <c r="T139" s="321">
        <f t="shared" si="196"/>
        <v>0</v>
      </c>
      <c r="U139" s="321">
        <f t="shared" si="196"/>
        <v>0</v>
      </c>
      <c r="V139" s="321">
        <f t="shared" si="196"/>
        <v>0</v>
      </c>
      <c r="W139" s="321">
        <f t="shared" si="196"/>
        <v>0</v>
      </c>
      <c r="X139" s="321">
        <f t="shared" si="196"/>
        <v>0</v>
      </c>
      <c r="Y139" s="321">
        <f t="shared" si="196"/>
        <v>0</v>
      </c>
      <c r="Z139" s="321">
        <f t="shared" si="196"/>
        <v>0</v>
      </c>
      <c r="AA139" s="321">
        <f t="shared" si="196"/>
        <v>0</v>
      </c>
      <c r="AB139" s="321">
        <f t="shared" si="196"/>
        <v>0</v>
      </c>
      <c r="AC139" s="321">
        <f t="shared" si="196"/>
        <v>0</v>
      </c>
      <c r="AD139" s="321">
        <f t="shared" si="196"/>
        <v>0</v>
      </c>
      <c r="AE139" s="321">
        <f t="shared" si="196"/>
        <v>0</v>
      </c>
      <c r="AF139" s="321">
        <f t="shared" si="196"/>
        <v>0</v>
      </c>
      <c r="AG139" s="321">
        <f t="shared" si="196"/>
        <v>0</v>
      </c>
      <c r="AH139" s="321">
        <f t="shared" si="196"/>
        <v>0</v>
      </c>
      <c r="AI139" s="321">
        <f t="shared" si="196"/>
        <v>0</v>
      </c>
      <c r="AJ139" s="321">
        <f t="shared" si="196"/>
        <v>0</v>
      </c>
      <c r="AK139" s="321">
        <f t="shared" si="196"/>
        <v>0</v>
      </c>
      <c r="AL139" s="321">
        <f t="shared" si="196"/>
        <v>0</v>
      </c>
      <c r="AM139" s="321">
        <f t="shared" si="196"/>
        <v>0</v>
      </c>
      <c r="AN139" s="321">
        <f t="shared" si="196"/>
        <v>0</v>
      </c>
      <c r="AO139" s="321">
        <f t="shared" si="196"/>
        <v>0</v>
      </c>
      <c r="AP139" s="321">
        <f t="shared" si="196"/>
        <v>0</v>
      </c>
      <c r="AQ139" s="321">
        <f t="shared" si="196"/>
        <v>0</v>
      </c>
      <c r="AR139" s="321">
        <f t="shared" si="196"/>
        <v>0</v>
      </c>
      <c r="AS139" s="321">
        <f t="shared" si="196"/>
        <v>0</v>
      </c>
      <c r="AT139" s="321">
        <f t="shared" si="196"/>
        <v>0</v>
      </c>
      <c r="AU139" s="321">
        <f t="shared" si="196"/>
        <v>0</v>
      </c>
      <c r="AV139" s="321">
        <f t="shared" si="196"/>
        <v>0</v>
      </c>
      <c r="AW139" s="321">
        <f t="shared" si="196"/>
        <v>0</v>
      </c>
      <c r="AX139" s="321">
        <f t="shared" si="196"/>
        <v>0</v>
      </c>
      <c r="AY139" s="321">
        <f t="shared" si="196"/>
        <v>0</v>
      </c>
      <c r="AZ139" s="321">
        <f t="shared" si="196"/>
        <v>0</v>
      </c>
      <c r="BA139" s="321">
        <f t="shared" si="196"/>
        <v>0</v>
      </c>
      <c r="BB139" s="321">
        <f t="shared" si="196"/>
        <v>0</v>
      </c>
      <c r="BC139" s="321">
        <f t="shared" si="196"/>
        <v>0</v>
      </c>
      <c r="BD139" s="321">
        <f t="shared" si="196"/>
        <v>0</v>
      </c>
      <c r="BE139" s="321">
        <f t="shared" si="196"/>
        <v>0</v>
      </c>
      <c r="BF139" s="321">
        <f t="shared" si="196"/>
        <v>0</v>
      </c>
      <c r="BG139" s="321">
        <f t="shared" si="196"/>
        <v>0</v>
      </c>
      <c r="BH139" s="321">
        <f t="shared" si="196"/>
        <v>0</v>
      </c>
      <c r="BI139" s="321">
        <f t="shared" si="196"/>
        <v>0</v>
      </c>
      <c r="BJ139" s="321">
        <f t="shared" si="196"/>
        <v>0</v>
      </c>
      <c r="BK139" s="321">
        <f t="shared" si="196"/>
        <v>0</v>
      </c>
      <c r="BL139" s="321">
        <f t="shared" si="196"/>
        <v>0</v>
      </c>
      <c r="BM139" s="321">
        <f t="shared" si="196"/>
        <v>0</v>
      </c>
      <c r="BN139" s="321">
        <f t="shared" si="196"/>
        <v>0</v>
      </c>
      <c r="BO139" s="321">
        <f t="shared" si="196"/>
        <v>0</v>
      </c>
      <c r="BP139" s="321">
        <f t="shared" ref="BP139:CE139" si="197">SUMIF($F$70,BP$101,$R$70)</f>
        <v>0</v>
      </c>
      <c r="BQ139" s="321">
        <f t="shared" si="197"/>
        <v>0</v>
      </c>
      <c r="BR139" s="321">
        <f t="shared" si="197"/>
        <v>0</v>
      </c>
      <c r="BS139" s="321">
        <f t="shared" si="197"/>
        <v>0</v>
      </c>
      <c r="BT139" s="321">
        <f t="shared" si="197"/>
        <v>0</v>
      </c>
      <c r="BU139" s="321">
        <f t="shared" si="197"/>
        <v>0</v>
      </c>
      <c r="BV139" s="321">
        <f t="shared" si="197"/>
        <v>0</v>
      </c>
      <c r="BW139" s="321">
        <f t="shared" si="197"/>
        <v>0</v>
      </c>
      <c r="BX139" s="321">
        <f t="shared" si="197"/>
        <v>0</v>
      </c>
      <c r="BY139" s="321">
        <f t="shared" si="197"/>
        <v>0</v>
      </c>
      <c r="BZ139" s="321">
        <f t="shared" si="197"/>
        <v>0</v>
      </c>
      <c r="CA139" s="321">
        <f t="shared" si="197"/>
        <v>0</v>
      </c>
      <c r="CB139" s="321">
        <f t="shared" si="197"/>
        <v>0</v>
      </c>
      <c r="CC139" s="321">
        <f t="shared" si="197"/>
        <v>0</v>
      </c>
      <c r="CD139" s="321">
        <f t="shared" si="197"/>
        <v>0</v>
      </c>
      <c r="CE139" s="321">
        <f t="shared" si="197"/>
        <v>0</v>
      </c>
      <c r="CF139" s="322">
        <f t="shared" si="193"/>
        <v>1</v>
      </c>
      <c r="CG139" s="217"/>
      <c r="CH139" s="217"/>
      <c r="CI139" s="217"/>
      <c r="CJ139" s="217"/>
      <c r="CK139" s="217"/>
    </row>
    <row r="140" spans="1:89" s="506" customFormat="1" x14ac:dyDescent="0.3">
      <c r="A140" s="217"/>
      <c r="B140" s="260" t="s">
        <v>793</v>
      </c>
      <c r="C140" s="321">
        <f>SUMIF($F$71,C$101,$R$71)</f>
        <v>0</v>
      </c>
      <c r="D140" s="321">
        <f t="shared" ref="D140:BO140" si="198">SUMIF($F$71,D$101,$R$71)</f>
        <v>0</v>
      </c>
      <c r="E140" s="321">
        <f t="shared" si="198"/>
        <v>0</v>
      </c>
      <c r="F140" s="321">
        <f t="shared" si="198"/>
        <v>0</v>
      </c>
      <c r="G140" s="321">
        <f t="shared" si="198"/>
        <v>0</v>
      </c>
      <c r="H140" s="321">
        <f t="shared" si="198"/>
        <v>0</v>
      </c>
      <c r="I140" s="321">
        <f t="shared" si="198"/>
        <v>1</v>
      </c>
      <c r="J140" s="321">
        <f t="shared" si="198"/>
        <v>0</v>
      </c>
      <c r="K140" s="321">
        <f t="shared" si="198"/>
        <v>0</v>
      </c>
      <c r="L140" s="321">
        <f t="shared" si="198"/>
        <v>0</v>
      </c>
      <c r="M140" s="321">
        <f t="shared" si="198"/>
        <v>0</v>
      </c>
      <c r="N140" s="321">
        <f t="shared" si="198"/>
        <v>0</v>
      </c>
      <c r="O140" s="321">
        <f t="shared" si="198"/>
        <v>0</v>
      </c>
      <c r="P140" s="321">
        <f t="shared" si="198"/>
        <v>0</v>
      </c>
      <c r="Q140" s="321">
        <f t="shared" si="198"/>
        <v>0</v>
      </c>
      <c r="R140" s="321">
        <f t="shared" si="198"/>
        <v>0</v>
      </c>
      <c r="S140" s="321">
        <f t="shared" si="198"/>
        <v>0</v>
      </c>
      <c r="T140" s="321">
        <f t="shared" si="198"/>
        <v>0</v>
      </c>
      <c r="U140" s="321">
        <f t="shared" si="198"/>
        <v>0</v>
      </c>
      <c r="V140" s="321">
        <f t="shared" si="198"/>
        <v>0</v>
      </c>
      <c r="W140" s="321">
        <f t="shared" si="198"/>
        <v>0</v>
      </c>
      <c r="X140" s="321">
        <f t="shared" si="198"/>
        <v>0</v>
      </c>
      <c r="Y140" s="321">
        <f t="shared" si="198"/>
        <v>0</v>
      </c>
      <c r="Z140" s="321">
        <f t="shared" si="198"/>
        <v>0</v>
      </c>
      <c r="AA140" s="321">
        <f t="shared" si="198"/>
        <v>0</v>
      </c>
      <c r="AB140" s="321">
        <f t="shared" si="198"/>
        <v>0</v>
      </c>
      <c r="AC140" s="321">
        <f t="shared" si="198"/>
        <v>0</v>
      </c>
      <c r="AD140" s="321">
        <f t="shared" si="198"/>
        <v>0</v>
      </c>
      <c r="AE140" s="321">
        <f t="shared" si="198"/>
        <v>0</v>
      </c>
      <c r="AF140" s="321">
        <f t="shared" si="198"/>
        <v>0</v>
      </c>
      <c r="AG140" s="321">
        <f t="shared" si="198"/>
        <v>0</v>
      </c>
      <c r="AH140" s="321">
        <f t="shared" si="198"/>
        <v>0</v>
      </c>
      <c r="AI140" s="321">
        <f t="shared" si="198"/>
        <v>0</v>
      </c>
      <c r="AJ140" s="321">
        <f t="shared" si="198"/>
        <v>0</v>
      </c>
      <c r="AK140" s="321">
        <f t="shared" si="198"/>
        <v>0</v>
      </c>
      <c r="AL140" s="321">
        <f t="shared" si="198"/>
        <v>0</v>
      </c>
      <c r="AM140" s="321">
        <f t="shared" si="198"/>
        <v>0</v>
      </c>
      <c r="AN140" s="321">
        <f t="shared" si="198"/>
        <v>0</v>
      </c>
      <c r="AO140" s="321">
        <f t="shared" si="198"/>
        <v>0</v>
      </c>
      <c r="AP140" s="321">
        <f t="shared" si="198"/>
        <v>0</v>
      </c>
      <c r="AQ140" s="321">
        <f t="shared" si="198"/>
        <v>0</v>
      </c>
      <c r="AR140" s="321">
        <f t="shared" si="198"/>
        <v>0</v>
      </c>
      <c r="AS140" s="321">
        <f t="shared" si="198"/>
        <v>0</v>
      </c>
      <c r="AT140" s="321">
        <f t="shared" si="198"/>
        <v>0</v>
      </c>
      <c r="AU140" s="321">
        <f t="shared" si="198"/>
        <v>0</v>
      </c>
      <c r="AV140" s="321">
        <f t="shared" si="198"/>
        <v>0</v>
      </c>
      <c r="AW140" s="321">
        <f t="shared" si="198"/>
        <v>0</v>
      </c>
      <c r="AX140" s="321">
        <f t="shared" si="198"/>
        <v>0</v>
      </c>
      <c r="AY140" s="321">
        <f t="shared" si="198"/>
        <v>0</v>
      </c>
      <c r="AZ140" s="321">
        <f t="shared" si="198"/>
        <v>0</v>
      </c>
      <c r="BA140" s="321">
        <f t="shared" si="198"/>
        <v>0</v>
      </c>
      <c r="BB140" s="321">
        <f t="shared" si="198"/>
        <v>0</v>
      </c>
      <c r="BC140" s="321">
        <f t="shared" si="198"/>
        <v>0</v>
      </c>
      <c r="BD140" s="321">
        <f t="shared" si="198"/>
        <v>0</v>
      </c>
      <c r="BE140" s="321">
        <f t="shared" si="198"/>
        <v>0</v>
      </c>
      <c r="BF140" s="321">
        <f t="shared" si="198"/>
        <v>0</v>
      </c>
      <c r="BG140" s="321">
        <f t="shared" si="198"/>
        <v>0</v>
      </c>
      <c r="BH140" s="321">
        <f t="shared" si="198"/>
        <v>0</v>
      </c>
      <c r="BI140" s="321">
        <f t="shared" si="198"/>
        <v>0</v>
      </c>
      <c r="BJ140" s="321">
        <f t="shared" si="198"/>
        <v>0</v>
      </c>
      <c r="BK140" s="321">
        <f t="shared" si="198"/>
        <v>0</v>
      </c>
      <c r="BL140" s="321">
        <f t="shared" si="198"/>
        <v>0</v>
      </c>
      <c r="BM140" s="321">
        <f t="shared" si="198"/>
        <v>0</v>
      </c>
      <c r="BN140" s="321">
        <f t="shared" si="198"/>
        <v>0</v>
      </c>
      <c r="BO140" s="321">
        <f t="shared" si="198"/>
        <v>0</v>
      </c>
      <c r="BP140" s="321">
        <f t="shared" ref="BP140:CE140" si="199">SUMIF($F$71,BP$101,$R$71)</f>
        <v>0</v>
      </c>
      <c r="BQ140" s="321">
        <f t="shared" si="199"/>
        <v>0</v>
      </c>
      <c r="BR140" s="321">
        <f t="shared" si="199"/>
        <v>0</v>
      </c>
      <c r="BS140" s="321">
        <f t="shared" si="199"/>
        <v>0</v>
      </c>
      <c r="BT140" s="321">
        <f t="shared" si="199"/>
        <v>0</v>
      </c>
      <c r="BU140" s="321">
        <f t="shared" si="199"/>
        <v>0</v>
      </c>
      <c r="BV140" s="321">
        <f t="shared" si="199"/>
        <v>0</v>
      </c>
      <c r="BW140" s="321">
        <f t="shared" si="199"/>
        <v>0</v>
      </c>
      <c r="BX140" s="321">
        <f t="shared" si="199"/>
        <v>0</v>
      </c>
      <c r="BY140" s="321">
        <f t="shared" si="199"/>
        <v>0</v>
      </c>
      <c r="BZ140" s="321">
        <f t="shared" si="199"/>
        <v>0</v>
      </c>
      <c r="CA140" s="321">
        <f t="shared" si="199"/>
        <v>0</v>
      </c>
      <c r="CB140" s="321">
        <f t="shared" si="199"/>
        <v>0</v>
      </c>
      <c r="CC140" s="321">
        <f t="shared" si="199"/>
        <v>0</v>
      </c>
      <c r="CD140" s="321">
        <f t="shared" si="199"/>
        <v>0</v>
      </c>
      <c r="CE140" s="321">
        <f t="shared" si="199"/>
        <v>0</v>
      </c>
      <c r="CF140" s="322">
        <f t="shared" si="193"/>
        <v>1</v>
      </c>
      <c r="CG140" s="217"/>
      <c r="CH140" s="217"/>
      <c r="CI140" s="217"/>
      <c r="CJ140" s="217"/>
      <c r="CK140" s="217"/>
    </row>
    <row r="141" spans="1:89" x14ac:dyDescent="0.3">
      <c r="A141" s="217"/>
      <c r="B141" s="263" t="s">
        <v>794</v>
      </c>
      <c r="C141" s="321">
        <f>SUMIF($F$72,C$101,$R$72)</f>
        <v>0</v>
      </c>
      <c r="D141" s="321">
        <f t="shared" ref="D141:BO141" si="200">SUMIF($F$72,D$101,$R$72)</f>
        <v>0</v>
      </c>
      <c r="E141" s="321">
        <f t="shared" si="200"/>
        <v>0</v>
      </c>
      <c r="F141" s="321">
        <f t="shared" si="200"/>
        <v>0</v>
      </c>
      <c r="G141" s="321">
        <f t="shared" si="200"/>
        <v>0</v>
      </c>
      <c r="H141" s="321">
        <f t="shared" si="200"/>
        <v>0</v>
      </c>
      <c r="I141" s="321">
        <f t="shared" si="200"/>
        <v>0.9</v>
      </c>
      <c r="J141" s="321">
        <f t="shared" si="200"/>
        <v>0</v>
      </c>
      <c r="K141" s="321">
        <f t="shared" si="200"/>
        <v>0</v>
      </c>
      <c r="L141" s="321">
        <f t="shared" si="200"/>
        <v>0</v>
      </c>
      <c r="M141" s="321">
        <f t="shared" si="200"/>
        <v>0</v>
      </c>
      <c r="N141" s="321">
        <f t="shared" si="200"/>
        <v>0</v>
      </c>
      <c r="O141" s="321">
        <f t="shared" si="200"/>
        <v>0</v>
      </c>
      <c r="P141" s="321">
        <f t="shared" si="200"/>
        <v>0</v>
      </c>
      <c r="Q141" s="321">
        <f t="shared" si="200"/>
        <v>0</v>
      </c>
      <c r="R141" s="321">
        <f t="shared" si="200"/>
        <v>0</v>
      </c>
      <c r="S141" s="321">
        <f t="shared" si="200"/>
        <v>0</v>
      </c>
      <c r="T141" s="321">
        <f t="shared" si="200"/>
        <v>0</v>
      </c>
      <c r="U141" s="321">
        <f t="shared" si="200"/>
        <v>0</v>
      </c>
      <c r="V141" s="321">
        <f t="shared" si="200"/>
        <v>0</v>
      </c>
      <c r="W141" s="321">
        <f t="shared" si="200"/>
        <v>0</v>
      </c>
      <c r="X141" s="321">
        <f t="shared" si="200"/>
        <v>0</v>
      </c>
      <c r="Y141" s="321">
        <f t="shared" si="200"/>
        <v>0</v>
      </c>
      <c r="Z141" s="321">
        <f t="shared" si="200"/>
        <v>0</v>
      </c>
      <c r="AA141" s="321">
        <f t="shared" si="200"/>
        <v>0</v>
      </c>
      <c r="AB141" s="321">
        <f t="shared" si="200"/>
        <v>0</v>
      </c>
      <c r="AC141" s="321">
        <f t="shared" si="200"/>
        <v>0</v>
      </c>
      <c r="AD141" s="321">
        <f t="shared" si="200"/>
        <v>0</v>
      </c>
      <c r="AE141" s="321">
        <f t="shared" si="200"/>
        <v>0</v>
      </c>
      <c r="AF141" s="321">
        <f t="shared" si="200"/>
        <v>0</v>
      </c>
      <c r="AG141" s="321">
        <f t="shared" si="200"/>
        <v>0</v>
      </c>
      <c r="AH141" s="321">
        <f t="shared" si="200"/>
        <v>0</v>
      </c>
      <c r="AI141" s="321">
        <f t="shared" si="200"/>
        <v>0</v>
      </c>
      <c r="AJ141" s="321">
        <f t="shared" si="200"/>
        <v>0</v>
      </c>
      <c r="AK141" s="321">
        <f t="shared" si="200"/>
        <v>0</v>
      </c>
      <c r="AL141" s="321">
        <f t="shared" si="200"/>
        <v>0</v>
      </c>
      <c r="AM141" s="321">
        <f t="shared" si="200"/>
        <v>0</v>
      </c>
      <c r="AN141" s="321">
        <f t="shared" si="200"/>
        <v>0</v>
      </c>
      <c r="AO141" s="321">
        <f t="shared" si="200"/>
        <v>0</v>
      </c>
      <c r="AP141" s="321">
        <f t="shared" si="200"/>
        <v>0</v>
      </c>
      <c r="AQ141" s="321">
        <f t="shared" si="200"/>
        <v>0</v>
      </c>
      <c r="AR141" s="321">
        <f t="shared" si="200"/>
        <v>0</v>
      </c>
      <c r="AS141" s="321">
        <f t="shared" si="200"/>
        <v>0</v>
      </c>
      <c r="AT141" s="321">
        <f t="shared" si="200"/>
        <v>0</v>
      </c>
      <c r="AU141" s="321">
        <f t="shared" si="200"/>
        <v>0</v>
      </c>
      <c r="AV141" s="321">
        <f t="shared" si="200"/>
        <v>0</v>
      </c>
      <c r="AW141" s="321">
        <f t="shared" si="200"/>
        <v>0</v>
      </c>
      <c r="AX141" s="321">
        <f t="shared" si="200"/>
        <v>0</v>
      </c>
      <c r="AY141" s="321">
        <f t="shared" si="200"/>
        <v>0</v>
      </c>
      <c r="AZ141" s="321">
        <f t="shared" si="200"/>
        <v>0</v>
      </c>
      <c r="BA141" s="321">
        <f t="shared" si="200"/>
        <v>0</v>
      </c>
      <c r="BB141" s="321">
        <f t="shared" si="200"/>
        <v>0</v>
      </c>
      <c r="BC141" s="321">
        <f t="shared" si="200"/>
        <v>0</v>
      </c>
      <c r="BD141" s="321">
        <f t="shared" si="200"/>
        <v>0</v>
      </c>
      <c r="BE141" s="321">
        <f t="shared" si="200"/>
        <v>0</v>
      </c>
      <c r="BF141" s="321">
        <f t="shared" si="200"/>
        <v>0</v>
      </c>
      <c r="BG141" s="321">
        <f t="shared" si="200"/>
        <v>0</v>
      </c>
      <c r="BH141" s="321">
        <f t="shared" si="200"/>
        <v>0</v>
      </c>
      <c r="BI141" s="321">
        <f t="shared" si="200"/>
        <v>0</v>
      </c>
      <c r="BJ141" s="321">
        <f t="shared" si="200"/>
        <v>0</v>
      </c>
      <c r="BK141" s="321">
        <f t="shared" si="200"/>
        <v>0</v>
      </c>
      <c r="BL141" s="321">
        <f t="shared" si="200"/>
        <v>0</v>
      </c>
      <c r="BM141" s="321">
        <f t="shared" si="200"/>
        <v>0</v>
      </c>
      <c r="BN141" s="321">
        <f t="shared" si="200"/>
        <v>0</v>
      </c>
      <c r="BO141" s="321">
        <f t="shared" si="200"/>
        <v>0</v>
      </c>
      <c r="BP141" s="321">
        <f t="shared" ref="BP141:CE141" si="201">SUMIF($F$72,BP$101,$R$72)</f>
        <v>0</v>
      </c>
      <c r="BQ141" s="321">
        <f t="shared" si="201"/>
        <v>0</v>
      </c>
      <c r="BR141" s="321">
        <f t="shared" si="201"/>
        <v>0</v>
      </c>
      <c r="BS141" s="321">
        <f t="shared" si="201"/>
        <v>0</v>
      </c>
      <c r="BT141" s="321">
        <f t="shared" si="201"/>
        <v>0</v>
      </c>
      <c r="BU141" s="321">
        <f t="shared" si="201"/>
        <v>0</v>
      </c>
      <c r="BV141" s="321">
        <f t="shared" si="201"/>
        <v>0</v>
      </c>
      <c r="BW141" s="321">
        <f t="shared" si="201"/>
        <v>0</v>
      </c>
      <c r="BX141" s="321">
        <f t="shared" si="201"/>
        <v>0</v>
      </c>
      <c r="BY141" s="321">
        <f t="shared" si="201"/>
        <v>0</v>
      </c>
      <c r="BZ141" s="321">
        <f t="shared" si="201"/>
        <v>0</v>
      </c>
      <c r="CA141" s="321">
        <f t="shared" si="201"/>
        <v>0</v>
      </c>
      <c r="CB141" s="321">
        <f t="shared" si="201"/>
        <v>0</v>
      </c>
      <c r="CC141" s="321">
        <f t="shared" si="201"/>
        <v>0</v>
      </c>
      <c r="CD141" s="321">
        <f t="shared" si="201"/>
        <v>0</v>
      </c>
      <c r="CE141" s="321">
        <f t="shared" si="201"/>
        <v>0</v>
      </c>
      <c r="CF141" s="322">
        <f t="shared" si="193"/>
        <v>0.9</v>
      </c>
      <c r="CG141" s="217"/>
      <c r="CH141" s="217"/>
      <c r="CI141" s="217"/>
      <c r="CJ141" s="217"/>
      <c r="CK141" s="217"/>
    </row>
    <row r="142" spans="1:89" x14ac:dyDescent="0.3">
      <c r="A142" s="217"/>
      <c r="B142" s="260" t="s">
        <v>344</v>
      </c>
      <c r="C142" s="321">
        <f t="shared" ref="C142:AH142" si="202">SUMIF($F$25:$F$27,C$101,$S$25:$S$27)</f>
        <v>0</v>
      </c>
      <c r="D142" s="321">
        <f t="shared" si="202"/>
        <v>0</v>
      </c>
      <c r="E142" s="321">
        <f t="shared" si="202"/>
        <v>0</v>
      </c>
      <c r="F142" s="321">
        <f t="shared" si="202"/>
        <v>0</v>
      </c>
      <c r="G142" s="321">
        <f t="shared" si="202"/>
        <v>0</v>
      </c>
      <c r="H142" s="321">
        <f t="shared" si="202"/>
        <v>0</v>
      </c>
      <c r="I142" s="321">
        <f t="shared" si="202"/>
        <v>4.1782284949992997E-2</v>
      </c>
      <c r="J142" s="321">
        <f t="shared" si="202"/>
        <v>0</v>
      </c>
      <c r="K142" s="321">
        <f t="shared" si="202"/>
        <v>0</v>
      </c>
      <c r="L142" s="321">
        <f t="shared" si="202"/>
        <v>0</v>
      </c>
      <c r="M142" s="321">
        <f t="shared" si="202"/>
        <v>0</v>
      </c>
      <c r="N142" s="321">
        <f t="shared" si="202"/>
        <v>0</v>
      </c>
      <c r="O142" s="321">
        <f t="shared" si="202"/>
        <v>0</v>
      </c>
      <c r="P142" s="321">
        <f t="shared" si="202"/>
        <v>0</v>
      </c>
      <c r="Q142" s="321">
        <f t="shared" si="202"/>
        <v>0</v>
      </c>
      <c r="R142" s="321">
        <f t="shared" si="202"/>
        <v>0</v>
      </c>
      <c r="S142" s="321">
        <f t="shared" si="202"/>
        <v>0</v>
      </c>
      <c r="T142" s="321">
        <f t="shared" si="202"/>
        <v>0</v>
      </c>
      <c r="U142" s="321">
        <f t="shared" si="202"/>
        <v>0</v>
      </c>
      <c r="V142" s="321">
        <f t="shared" si="202"/>
        <v>0</v>
      </c>
      <c r="W142" s="321">
        <f t="shared" si="202"/>
        <v>0</v>
      </c>
      <c r="X142" s="321">
        <f t="shared" si="202"/>
        <v>0</v>
      </c>
      <c r="Y142" s="321">
        <f t="shared" si="202"/>
        <v>0</v>
      </c>
      <c r="Z142" s="321">
        <f t="shared" si="202"/>
        <v>0</v>
      </c>
      <c r="AA142" s="321">
        <f t="shared" si="202"/>
        <v>0</v>
      </c>
      <c r="AB142" s="321">
        <f t="shared" si="202"/>
        <v>0</v>
      </c>
      <c r="AC142" s="321">
        <f t="shared" si="202"/>
        <v>0</v>
      </c>
      <c r="AD142" s="321">
        <f t="shared" si="202"/>
        <v>0</v>
      </c>
      <c r="AE142" s="321">
        <f t="shared" si="202"/>
        <v>0</v>
      </c>
      <c r="AF142" s="321">
        <f t="shared" si="202"/>
        <v>0</v>
      </c>
      <c r="AG142" s="321">
        <f t="shared" si="202"/>
        <v>0</v>
      </c>
      <c r="AH142" s="321">
        <f t="shared" si="202"/>
        <v>0</v>
      </c>
      <c r="AI142" s="321">
        <f t="shared" ref="AI142:BN142" si="203">SUMIF($F$25:$F$27,AI$101,$S$25:$S$27)</f>
        <v>0</v>
      </c>
      <c r="AJ142" s="321">
        <f t="shared" si="203"/>
        <v>0.47910885752500348</v>
      </c>
      <c r="AK142" s="321">
        <f t="shared" si="203"/>
        <v>0</v>
      </c>
      <c r="AL142" s="321">
        <f t="shared" si="203"/>
        <v>0</v>
      </c>
      <c r="AM142" s="321">
        <f t="shared" si="203"/>
        <v>0</v>
      </c>
      <c r="AN142" s="321">
        <f t="shared" si="203"/>
        <v>0</v>
      </c>
      <c r="AO142" s="321">
        <f t="shared" si="203"/>
        <v>0</v>
      </c>
      <c r="AP142" s="321">
        <f t="shared" si="203"/>
        <v>0</v>
      </c>
      <c r="AQ142" s="321">
        <f t="shared" si="203"/>
        <v>0</v>
      </c>
      <c r="AR142" s="321">
        <f t="shared" si="203"/>
        <v>0</v>
      </c>
      <c r="AS142" s="321">
        <f t="shared" si="203"/>
        <v>0</v>
      </c>
      <c r="AT142" s="321">
        <f t="shared" si="203"/>
        <v>0</v>
      </c>
      <c r="AU142" s="321">
        <f t="shared" si="203"/>
        <v>0</v>
      </c>
      <c r="AV142" s="321">
        <f t="shared" si="203"/>
        <v>0</v>
      </c>
      <c r="AW142" s="321">
        <f t="shared" si="203"/>
        <v>0</v>
      </c>
      <c r="AX142" s="321">
        <f t="shared" si="203"/>
        <v>0</v>
      </c>
      <c r="AY142" s="321">
        <f t="shared" si="203"/>
        <v>0</v>
      </c>
      <c r="AZ142" s="321">
        <f t="shared" si="203"/>
        <v>0</v>
      </c>
      <c r="BA142" s="321">
        <f t="shared" si="203"/>
        <v>0</v>
      </c>
      <c r="BB142" s="321">
        <f t="shared" si="203"/>
        <v>0</v>
      </c>
      <c r="BC142" s="321">
        <f t="shared" si="203"/>
        <v>0</v>
      </c>
      <c r="BD142" s="321">
        <f t="shared" si="203"/>
        <v>0</v>
      </c>
      <c r="BE142" s="321">
        <f t="shared" si="203"/>
        <v>0</v>
      </c>
      <c r="BF142" s="321">
        <f t="shared" si="203"/>
        <v>0</v>
      </c>
      <c r="BG142" s="321">
        <f t="shared" si="203"/>
        <v>0</v>
      </c>
      <c r="BH142" s="321">
        <f t="shared" si="203"/>
        <v>0</v>
      </c>
      <c r="BI142" s="321">
        <f t="shared" si="203"/>
        <v>0</v>
      </c>
      <c r="BJ142" s="321">
        <f t="shared" si="203"/>
        <v>0</v>
      </c>
      <c r="BK142" s="321">
        <f t="shared" si="203"/>
        <v>0</v>
      </c>
      <c r="BL142" s="321">
        <f t="shared" si="203"/>
        <v>0</v>
      </c>
      <c r="BM142" s="321">
        <f t="shared" si="203"/>
        <v>0</v>
      </c>
      <c r="BN142" s="321">
        <f t="shared" si="203"/>
        <v>0</v>
      </c>
      <c r="BO142" s="321">
        <f t="shared" ref="BO142:CE142" si="204">SUMIF($F$25:$F$27,BO$101,$S$25:$S$27)</f>
        <v>0</v>
      </c>
      <c r="BP142" s="321">
        <f t="shared" si="204"/>
        <v>0</v>
      </c>
      <c r="BQ142" s="321">
        <f t="shared" si="204"/>
        <v>0</v>
      </c>
      <c r="BR142" s="321">
        <f t="shared" si="204"/>
        <v>0</v>
      </c>
      <c r="BS142" s="321">
        <f t="shared" si="204"/>
        <v>0</v>
      </c>
      <c r="BT142" s="321">
        <f t="shared" si="204"/>
        <v>0</v>
      </c>
      <c r="BU142" s="321">
        <f t="shared" si="204"/>
        <v>0</v>
      </c>
      <c r="BV142" s="321">
        <f t="shared" si="204"/>
        <v>0</v>
      </c>
      <c r="BW142" s="321">
        <f t="shared" si="204"/>
        <v>0</v>
      </c>
      <c r="BX142" s="321">
        <f t="shared" si="204"/>
        <v>0</v>
      </c>
      <c r="BY142" s="321">
        <f t="shared" si="204"/>
        <v>0</v>
      </c>
      <c r="BZ142" s="321">
        <f t="shared" si="204"/>
        <v>0</v>
      </c>
      <c r="CA142" s="321">
        <f t="shared" si="204"/>
        <v>0</v>
      </c>
      <c r="CB142" s="321">
        <f t="shared" si="204"/>
        <v>0</v>
      </c>
      <c r="CC142" s="321">
        <f t="shared" si="204"/>
        <v>0</v>
      </c>
      <c r="CD142" s="321">
        <f t="shared" si="204"/>
        <v>0</v>
      </c>
      <c r="CE142" s="321">
        <f t="shared" si="204"/>
        <v>0</v>
      </c>
      <c r="CF142" s="322">
        <f t="shared" si="193"/>
        <v>0.52089114247499646</v>
      </c>
      <c r="CG142" s="217"/>
      <c r="CH142" s="217"/>
      <c r="CI142" s="217"/>
      <c r="CJ142" s="217"/>
      <c r="CK142" s="217"/>
    </row>
    <row r="143" spans="1:89" x14ac:dyDescent="0.3">
      <c r="A143" s="217"/>
      <c r="B143" s="260" t="s">
        <v>345</v>
      </c>
      <c r="C143" s="321">
        <f t="shared" ref="C143:AH143" si="205">SUMIF($F$28:$F$32,C$101,$S$28:$S$32)</f>
        <v>0</v>
      </c>
      <c r="D143" s="321">
        <f t="shared" si="205"/>
        <v>0</v>
      </c>
      <c r="E143" s="321">
        <f t="shared" si="205"/>
        <v>0</v>
      </c>
      <c r="F143" s="321">
        <f t="shared" si="205"/>
        <v>0</v>
      </c>
      <c r="G143" s="321">
        <f t="shared" si="205"/>
        <v>0</v>
      </c>
      <c r="H143" s="321">
        <f t="shared" si="205"/>
        <v>0</v>
      </c>
      <c r="I143" s="321">
        <f t="shared" si="205"/>
        <v>0.12638662654409583</v>
      </c>
      <c r="J143" s="321">
        <f t="shared" si="205"/>
        <v>0</v>
      </c>
      <c r="K143" s="321">
        <f t="shared" si="205"/>
        <v>0</v>
      </c>
      <c r="L143" s="321">
        <f t="shared" si="205"/>
        <v>0</v>
      </c>
      <c r="M143" s="321">
        <f t="shared" si="205"/>
        <v>0</v>
      </c>
      <c r="N143" s="321">
        <f t="shared" si="205"/>
        <v>0</v>
      </c>
      <c r="O143" s="321">
        <f t="shared" si="205"/>
        <v>0</v>
      </c>
      <c r="P143" s="321">
        <f t="shared" si="205"/>
        <v>0</v>
      </c>
      <c r="Q143" s="321">
        <f t="shared" si="205"/>
        <v>0</v>
      </c>
      <c r="R143" s="321">
        <f t="shared" si="205"/>
        <v>0</v>
      </c>
      <c r="S143" s="321">
        <f t="shared" si="205"/>
        <v>0</v>
      </c>
      <c r="T143" s="321">
        <f t="shared" si="205"/>
        <v>0</v>
      </c>
      <c r="U143" s="321">
        <f t="shared" si="205"/>
        <v>0</v>
      </c>
      <c r="V143" s="321">
        <f t="shared" si="205"/>
        <v>0</v>
      </c>
      <c r="W143" s="321">
        <f t="shared" si="205"/>
        <v>0</v>
      </c>
      <c r="X143" s="321">
        <f t="shared" si="205"/>
        <v>0.12522042498074734</v>
      </c>
      <c r="Y143" s="321">
        <f t="shared" si="205"/>
        <v>0</v>
      </c>
      <c r="Z143" s="321">
        <f t="shared" si="205"/>
        <v>0</v>
      </c>
      <c r="AA143" s="321">
        <f t="shared" si="205"/>
        <v>0</v>
      </c>
      <c r="AB143" s="321">
        <f t="shared" si="205"/>
        <v>0</v>
      </c>
      <c r="AC143" s="321">
        <f t="shared" si="205"/>
        <v>0</v>
      </c>
      <c r="AD143" s="321">
        <f t="shared" si="205"/>
        <v>0</v>
      </c>
      <c r="AE143" s="321">
        <f t="shared" si="205"/>
        <v>0</v>
      </c>
      <c r="AF143" s="321">
        <f t="shared" si="205"/>
        <v>0</v>
      </c>
      <c r="AG143" s="321">
        <f t="shared" si="205"/>
        <v>0</v>
      </c>
      <c r="AH143" s="321">
        <f t="shared" si="205"/>
        <v>0</v>
      </c>
      <c r="AI143" s="321">
        <f t="shared" ref="AI143:BN143" si="206">SUMIF($F$28:$F$32,AI$101,$S$28:$S$32)</f>
        <v>0</v>
      </c>
      <c r="AJ143" s="321">
        <f t="shared" si="206"/>
        <v>0.33245633257732926</v>
      </c>
      <c r="AK143" s="321">
        <f t="shared" si="206"/>
        <v>0</v>
      </c>
      <c r="AL143" s="321">
        <f t="shared" si="206"/>
        <v>0</v>
      </c>
      <c r="AM143" s="321">
        <f t="shared" si="206"/>
        <v>0</v>
      </c>
      <c r="AN143" s="321">
        <f t="shared" si="206"/>
        <v>0</v>
      </c>
      <c r="AO143" s="321">
        <f t="shared" si="206"/>
        <v>0</v>
      </c>
      <c r="AP143" s="321">
        <f t="shared" si="206"/>
        <v>0</v>
      </c>
      <c r="AQ143" s="321">
        <f t="shared" si="206"/>
        <v>0</v>
      </c>
      <c r="AR143" s="321">
        <f t="shared" si="206"/>
        <v>0</v>
      </c>
      <c r="AS143" s="321">
        <f t="shared" si="206"/>
        <v>0</v>
      </c>
      <c r="AT143" s="321">
        <f t="shared" si="206"/>
        <v>0</v>
      </c>
      <c r="AU143" s="321">
        <f t="shared" si="206"/>
        <v>0</v>
      </c>
      <c r="AV143" s="321">
        <f t="shared" si="206"/>
        <v>0</v>
      </c>
      <c r="AW143" s="321">
        <f t="shared" si="206"/>
        <v>0</v>
      </c>
      <c r="AX143" s="321">
        <f t="shared" si="206"/>
        <v>0</v>
      </c>
      <c r="AY143" s="321">
        <f t="shared" si="206"/>
        <v>0</v>
      </c>
      <c r="AZ143" s="321">
        <f t="shared" si="206"/>
        <v>0</v>
      </c>
      <c r="BA143" s="321">
        <f t="shared" si="206"/>
        <v>0</v>
      </c>
      <c r="BB143" s="321">
        <f t="shared" si="206"/>
        <v>0</v>
      </c>
      <c r="BC143" s="321">
        <f t="shared" si="206"/>
        <v>0</v>
      </c>
      <c r="BD143" s="321">
        <f t="shared" si="206"/>
        <v>0</v>
      </c>
      <c r="BE143" s="321">
        <f t="shared" si="206"/>
        <v>0</v>
      </c>
      <c r="BF143" s="321">
        <f t="shared" si="206"/>
        <v>0</v>
      </c>
      <c r="BG143" s="321">
        <f t="shared" si="206"/>
        <v>0</v>
      </c>
      <c r="BH143" s="321">
        <f t="shared" si="206"/>
        <v>0</v>
      </c>
      <c r="BI143" s="321">
        <f t="shared" si="206"/>
        <v>0</v>
      </c>
      <c r="BJ143" s="321">
        <f t="shared" si="206"/>
        <v>0</v>
      </c>
      <c r="BK143" s="321">
        <f t="shared" si="206"/>
        <v>0</v>
      </c>
      <c r="BL143" s="321">
        <f t="shared" si="206"/>
        <v>0</v>
      </c>
      <c r="BM143" s="321">
        <f t="shared" si="206"/>
        <v>0</v>
      </c>
      <c r="BN143" s="321">
        <f t="shared" si="206"/>
        <v>0</v>
      </c>
      <c r="BO143" s="321">
        <f t="shared" ref="BO143:CE143" si="207">SUMIF($F$28:$F$32,BO$101,$S$28:$S$32)</f>
        <v>0</v>
      </c>
      <c r="BP143" s="321">
        <f t="shared" si="207"/>
        <v>0</v>
      </c>
      <c r="BQ143" s="321">
        <f t="shared" si="207"/>
        <v>0</v>
      </c>
      <c r="BR143" s="321">
        <f t="shared" si="207"/>
        <v>0</v>
      </c>
      <c r="BS143" s="321">
        <f t="shared" si="207"/>
        <v>0</v>
      </c>
      <c r="BT143" s="321">
        <f t="shared" si="207"/>
        <v>0</v>
      </c>
      <c r="BU143" s="321">
        <f t="shared" si="207"/>
        <v>0</v>
      </c>
      <c r="BV143" s="321">
        <f t="shared" si="207"/>
        <v>0</v>
      </c>
      <c r="BW143" s="321">
        <f t="shared" si="207"/>
        <v>0</v>
      </c>
      <c r="BX143" s="321">
        <f t="shared" si="207"/>
        <v>0</v>
      </c>
      <c r="BY143" s="321">
        <f t="shared" si="207"/>
        <v>0</v>
      </c>
      <c r="BZ143" s="321">
        <f t="shared" si="207"/>
        <v>0</v>
      </c>
      <c r="CA143" s="321">
        <f t="shared" si="207"/>
        <v>0</v>
      </c>
      <c r="CB143" s="321">
        <f t="shared" si="207"/>
        <v>0</v>
      </c>
      <c r="CC143" s="321">
        <f t="shared" si="207"/>
        <v>0</v>
      </c>
      <c r="CD143" s="321">
        <f t="shared" si="207"/>
        <v>0</v>
      </c>
      <c r="CE143" s="321">
        <f t="shared" si="207"/>
        <v>0</v>
      </c>
      <c r="CF143" s="322">
        <f t="shared" si="193"/>
        <v>0.58406338410217251</v>
      </c>
      <c r="CG143" s="217"/>
      <c r="CH143" s="217"/>
      <c r="CI143" s="217"/>
      <c r="CJ143" s="217"/>
      <c r="CK143" s="217"/>
    </row>
    <row r="144" spans="1:89" x14ac:dyDescent="0.3">
      <c r="A144" s="217"/>
      <c r="B144" s="260" t="s">
        <v>547</v>
      </c>
      <c r="C144" s="321">
        <f t="shared" ref="C144:AH144" si="208">SUMIF($F$33:$F$35,C$101,$S$33:$S$35)</f>
        <v>0</v>
      </c>
      <c r="D144" s="321">
        <f t="shared" si="208"/>
        <v>0</v>
      </c>
      <c r="E144" s="321">
        <f t="shared" si="208"/>
        <v>0</v>
      </c>
      <c r="F144" s="321">
        <f t="shared" si="208"/>
        <v>0</v>
      </c>
      <c r="G144" s="321">
        <f t="shared" si="208"/>
        <v>0</v>
      </c>
      <c r="H144" s="321">
        <f t="shared" si="208"/>
        <v>0</v>
      </c>
      <c r="I144" s="321">
        <f t="shared" si="208"/>
        <v>5.3406941408862763E-2</v>
      </c>
      <c r="J144" s="321">
        <f t="shared" si="208"/>
        <v>0</v>
      </c>
      <c r="K144" s="321">
        <f t="shared" si="208"/>
        <v>0</v>
      </c>
      <c r="L144" s="321">
        <f t="shared" si="208"/>
        <v>0</v>
      </c>
      <c r="M144" s="321">
        <f t="shared" si="208"/>
        <v>0</v>
      </c>
      <c r="N144" s="321">
        <f t="shared" si="208"/>
        <v>0</v>
      </c>
      <c r="O144" s="321">
        <f t="shared" si="208"/>
        <v>0</v>
      </c>
      <c r="P144" s="321">
        <f t="shared" si="208"/>
        <v>0</v>
      </c>
      <c r="Q144" s="321">
        <f t="shared" si="208"/>
        <v>0</v>
      </c>
      <c r="R144" s="321">
        <f t="shared" si="208"/>
        <v>0</v>
      </c>
      <c r="S144" s="321">
        <f t="shared" si="208"/>
        <v>0</v>
      </c>
      <c r="T144" s="321">
        <f t="shared" si="208"/>
        <v>0</v>
      </c>
      <c r="U144" s="321">
        <f t="shared" si="208"/>
        <v>0</v>
      </c>
      <c r="V144" s="321">
        <f t="shared" si="208"/>
        <v>0</v>
      </c>
      <c r="W144" s="321">
        <f t="shared" si="208"/>
        <v>0</v>
      </c>
      <c r="X144" s="321">
        <f t="shared" si="208"/>
        <v>0</v>
      </c>
      <c r="Y144" s="321">
        <f t="shared" si="208"/>
        <v>0</v>
      </c>
      <c r="Z144" s="321">
        <f t="shared" si="208"/>
        <v>0</v>
      </c>
      <c r="AA144" s="321">
        <f t="shared" si="208"/>
        <v>0</v>
      </c>
      <c r="AB144" s="321">
        <f t="shared" si="208"/>
        <v>0</v>
      </c>
      <c r="AC144" s="321">
        <f t="shared" si="208"/>
        <v>0</v>
      </c>
      <c r="AD144" s="321">
        <f t="shared" si="208"/>
        <v>0</v>
      </c>
      <c r="AE144" s="321">
        <f t="shared" si="208"/>
        <v>0</v>
      </c>
      <c r="AF144" s="321">
        <f t="shared" si="208"/>
        <v>0</v>
      </c>
      <c r="AG144" s="321">
        <f t="shared" si="208"/>
        <v>0</v>
      </c>
      <c r="AH144" s="321">
        <f t="shared" si="208"/>
        <v>0</v>
      </c>
      <c r="AI144" s="321">
        <f t="shared" ref="AI144:BN144" si="209">SUMIF($F$33:$F$35,AI$101,$S$33:$S$35)</f>
        <v>0</v>
      </c>
      <c r="AJ144" s="321">
        <f t="shared" si="209"/>
        <v>0.53079203112035001</v>
      </c>
      <c r="AK144" s="321">
        <f t="shared" si="209"/>
        <v>0</v>
      </c>
      <c r="AL144" s="321">
        <f t="shared" si="209"/>
        <v>0</v>
      </c>
      <c r="AM144" s="321">
        <f t="shared" si="209"/>
        <v>0</v>
      </c>
      <c r="AN144" s="321">
        <f t="shared" si="209"/>
        <v>0</v>
      </c>
      <c r="AO144" s="321">
        <f t="shared" si="209"/>
        <v>0</v>
      </c>
      <c r="AP144" s="321">
        <f t="shared" si="209"/>
        <v>0</v>
      </c>
      <c r="AQ144" s="321">
        <f t="shared" si="209"/>
        <v>0</v>
      </c>
      <c r="AR144" s="321">
        <f t="shared" si="209"/>
        <v>0</v>
      </c>
      <c r="AS144" s="321">
        <f t="shared" si="209"/>
        <v>0</v>
      </c>
      <c r="AT144" s="321">
        <f t="shared" si="209"/>
        <v>0</v>
      </c>
      <c r="AU144" s="321">
        <f t="shared" si="209"/>
        <v>0</v>
      </c>
      <c r="AV144" s="321">
        <f t="shared" si="209"/>
        <v>0</v>
      </c>
      <c r="AW144" s="321">
        <f t="shared" si="209"/>
        <v>0</v>
      </c>
      <c r="AX144" s="321">
        <f t="shared" si="209"/>
        <v>0</v>
      </c>
      <c r="AY144" s="321">
        <f t="shared" si="209"/>
        <v>0</v>
      </c>
      <c r="AZ144" s="321">
        <f t="shared" si="209"/>
        <v>0</v>
      </c>
      <c r="BA144" s="321">
        <f t="shared" si="209"/>
        <v>0</v>
      </c>
      <c r="BB144" s="321">
        <f t="shared" si="209"/>
        <v>0</v>
      </c>
      <c r="BC144" s="321">
        <f t="shared" si="209"/>
        <v>0</v>
      </c>
      <c r="BD144" s="321">
        <f t="shared" si="209"/>
        <v>0</v>
      </c>
      <c r="BE144" s="321">
        <f t="shared" si="209"/>
        <v>0</v>
      </c>
      <c r="BF144" s="321">
        <f t="shared" si="209"/>
        <v>0</v>
      </c>
      <c r="BG144" s="321">
        <f t="shared" si="209"/>
        <v>0</v>
      </c>
      <c r="BH144" s="321">
        <f t="shared" si="209"/>
        <v>0</v>
      </c>
      <c r="BI144" s="321">
        <f t="shared" si="209"/>
        <v>0</v>
      </c>
      <c r="BJ144" s="321">
        <f t="shared" si="209"/>
        <v>0</v>
      </c>
      <c r="BK144" s="321">
        <f t="shared" si="209"/>
        <v>0</v>
      </c>
      <c r="BL144" s="321">
        <f t="shared" si="209"/>
        <v>0</v>
      </c>
      <c r="BM144" s="321">
        <f t="shared" si="209"/>
        <v>0</v>
      </c>
      <c r="BN144" s="321">
        <f t="shared" si="209"/>
        <v>0</v>
      </c>
      <c r="BO144" s="321">
        <f t="shared" ref="BO144:CE144" si="210">SUMIF($F$33:$F$35,BO$101,$S$33:$S$35)</f>
        <v>0</v>
      </c>
      <c r="BP144" s="321">
        <f t="shared" si="210"/>
        <v>0</v>
      </c>
      <c r="BQ144" s="321">
        <f t="shared" si="210"/>
        <v>0</v>
      </c>
      <c r="BR144" s="321">
        <f t="shared" si="210"/>
        <v>0</v>
      </c>
      <c r="BS144" s="321">
        <f t="shared" si="210"/>
        <v>0</v>
      </c>
      <c r="BT144" s="321">
        <f t="shared" si="210"/>
        <v>0</v>
      </c>
      <c r="BU144" s="321">
        <f t="shared" si="210"/>
        <v>0</v>
      </c>
      <c r="BV144" s="321">
        <f t="shared" si="210"/>
        <v>0</v>
      </c>
      <c r="BW144" s="321">
        <f t="shared" si="210"/>
        <v>0</v>
      </c>
      <c r="BX144" s="321">
        <f t="shared" si="210"/>
        <v>0</v>
      </c>
      <c r="BY144" s="321">
        <f t="shared" si="210"/>
        <v>0</v>
      </c>
      <c r="BZ144" s="321">
        <f t="shared" si="210"/>
        <v>0</v>
      </c>
      <c r="CA144" s="321">
        <f t="shared" si="210"/>
        <v>0</v>
      </c>
      <c r="CB144" s="321">
        <f t="shared" si="210"/>
        <v>0</v>
      </c>
      <c r="CC144" s="321">
        <f t="shared" si="210"/>
        <v>0</v>
      </c>
      <c r="CD144" s="321">
        <f t="shared" si="210"/>
        <v>0</v>
      </c>
      <c r="CE144" s="321">
        <f t="shared" si="210"/>
        <v>0</v>
      </c>
      <c r="CF144" s="322">
        <f t="shared" si="193"/>
        <v>0.58419897252921271</v>
      </c>
      <c r="CG144" s="217"/>
      <c r="CH144" s="217"/>
      <c r="CI144" s="217"/>
      <c r="CJ144" s="217"/>
      <c r="CK144" s="217"/>
    </row>
    <row r="145" spans="1:89" x14ac:dyDescent="0.3">
      <c r="A145" s="217"/>
      <c r="B145" s="260" t="s">
        <v>548</v>
      </c>
      <c r="C145" s="321">
        <f t="shared" ref="C145:AH145" si="211">SUMIF($F$36:$F$38,C$101,$S$36:$S$38)</f>
        <v>0</v>
      </c>
      <c r="D145" s="321">
        <f t="shared" si="211"/>
        <v>0</v>
      </c>
      <c r="E145" s="321">
        <f t="shared" si="211"/>
        <v>0</v>
      </c>
      <c r="F145" s="321">
        <f t="shared" si="211"/>
        <v>0</v>
      </c>
      <c r="G145" s="321">
        <f t="shared" si="211"/>
        <v>0</v>
      </c>
      <c r="H145" s="321">
        <f t="shared" si="211"/>
        <v>0</v>
      </c>
      <c r="I145" s="321">
        <f t="shared" si="211"/>
        <v>9.8108343847779889E-2</v>
      </c>
      <c r="J145" s="321">
        <f t="shared" si="211"/>
        <v>0</v>
      </c>
      <c r="K145" s="321">
        <f t="shared" si="211"/>
        <v>0</v>
      </c>
      <c r="L145" s="321">
        <f t="shared" si="211"/>
        <v>0</v>
      </c>
      <c r="M145" s="321">
        <f t="shared" si="211"/>
        <v>0</v>
      </c>
      <c r="N145" s="321">
        <f t="shared" si="211"/>
        <v>0</v>
      </c>
      <c r="O145" s="321">
        <f t="shared" si="211"/>
        <v>0</v>
      </c>
      <c r="P145" s="321">
        <f t="shared" si="211"/>
        <v>0</v>
      </c>
      <c r="Q145" s="321">
        <f t="shared" si="211"/>
        <v>0</v>
      </c>
      <c r="R145" s="321">
        <f t="shared" si="211"/>
        <v>0</v>
      </c>
      <c r="S145" s="321">
        <f t="shared" si="211"/>
        <v>0</v>
      </c>
      <c r="T145" s="321">
        <f t="shared" si="211"/>
        <v>0</v>
      </c>
      <c r="U145" s="321">
        <f t="shared" si="211"/>
        <v>0</v>
      </c>
      <c r="V145" s="321">
        <f t="shared" si="211"/>
        <v>0</v>
      </c>
      <c r="W145" s="321">
        <f t="shared" si="211"/>
        <v>0</v>
      </c>
      <c r="X145" s="321">
        <f t="shared" si="211"/>
        <v>0</v>
      </c>
      <c r="Y145" s="321">
        <f t="shared" si="211"/>
        <v>0</v>
      </c>
      <c r="Z145" s="321">
        <f t="shared" si="211"/>
        <v>0</v>
      </c>
      <c r="AA145" s="321">
        <f t="shared" si="211"/>
        <v>0</v>
      </c>
      <c r="AB145" s="321">
        <f t="shared" si="211"/>
        <v>0</v>
      </c>
      <c r="AC145" s="321">
        <f t="shared" si="211"/>
        <v>0</v>
      </c>
      <c r="AD145" s="321">
        <f t="shared" si="211"/>
        <v>0</v>
      </c>
      <c r="AE145" s="321">
        <f t="shared" si="211"/>
        <v>0</v>
      </c>
      <c r="AF145" s="321">
        <f t="shared" si="211"/>
        <v>0</v>
      </c>
      <c r="AG145" s="321">
        <f t="shared" si="211"/>
        <v>0</v>
      </c>
      <c r="AH145" s="321">
        <f t="shared" si="211"/>
        <v>0</v>
      </c>
      <c r="AI145" s="321">
        <f t="shared" ref="AI145:BN145" si="212">SUMIF($F$36:$F$38,AI$101,$S$36:$S$38)</f>
        <v>0</v>
      </c>
      <c r="AJ145" s="321">
        <f t="shared" si="212"/>
        <v>0.5057261931880549</v>
      </c>
      <c r="AK145" s="321">
        <f t="shared" si="212"/>
        <v>0</v>
      </c>
      <c r="AL145" s="321">
        <f t="shared" si="212"/>
        <v>0</v>
      </c>
      <c r="AM145" s="321">
        <f t="shared" si="212"/>
        <v>0</v>
      </c>
      <c r="AN145" s="321">
        <f t="shared" si="212"/>
        <v>0</v>
      </c>
      <c r="AO145" s="321">
        <f t="shared" si="212"/>
        <v>0</v>
      </c>
      <c r="AP145" s="321">
        <f t="shared" si="212"/>
        <v>0</v>
      </c>
      <c r="AQ145" s="321">
        <f t="shared" si="212"/>
        <v>0</v>
      </c>
      <c r="AR145" s="321">
        <f t="shared" si="212"/>
        <v>0</v>
      </c>
      <c r="AS145" s="321">
        <f t="shared" si="212"/>
        <v>0</v>
      </c>
      <c r="AT145" s="321">
        <f t="shared" si="212"/>
        <v>0</v>
      </c>
      <c r="AU145" s="321">
        <f t="shared" si="212"/>
        <v>0</v>
      </c>
      <c r="AV145" s="321">
        <f t="shared" si="212"/>
        <v>0</v>
      </c>
      <c r="AW145" s="321">
        <f t="shared" si="212"/>
        <v>0</v>
      </c>
      <c r="AX145" s="321">
        <f t="shared" si="212"/>
        <v>0</v>
      </c>
      <c r="AY145" s="321">
        <f t="shared" si="212"/>
        <v>0</v>
      </c>
      <c r="AZ145" s="321">
        <f t="shared" si="212"/>
        <v>0</v>
      </c>
      <c r="BA145" s="321">
        <f t="shared" si="212"/>
        <v>0</v>
      </c>
      <c r="BB145" s="321">
        <f t="shared" si="212"/>
        <v>0</v>
      </c>
      <c r="BC145" s="321">
        <f t="shared" si="212"/>
        <v>0</v>
      </c>
      <c r="BD145" s="321">
        <f t="shared" si="212"/>
        <v>0</v>
      </c>
      <c r="BE145" s="321">
        <f t="shared" si="212"/>
        <v>0</v>
      </c>
      <c r="BF145" s="321">
        <f t="shared" si="212"/>
        <v>0</v>
      </c>
      <c r="BG145" s="321">
        <f t="shared" si="212"/>
        <v>0</v>
      </c>
      <c r="BH145" s="321">
        <f t="shared" si="212"/>
        <v>0</v>
      </c>
      <c r="BI145" s="321">
        <f t="shared" si="212"/>
        <v>0</v>
      </c>
      <c r="BJ145" s="321">
        <f t="shared" si="212"/>
        <v>0</v>
      </c>
      <c r="BK145" s="321">
        <f t="shared" si="212"/>
        <v>0</v>
      </c>
      <c r="BL145" s="321">
        <f t="shared" si="212"/>
        <v>0</v>
      </c>
      <c r="BM145" s="321">
        <f t="shared" si="212"/>
        <v>0</v>
      </c>
      <c r="BN145" s="321">
        <f t="shared" si="212"/>
        <v>0</v>
      </c>
      <c r="BO145" s="321">
        <f t="shared" ref="BO145:CE145" si="213">SUMIF($F$36:$F$38,BO$101,$S$36:$S$38)</f>
        <v>0</v>
      </c>
      <c r="BP145" s="321">
        <f t="shared" si="213"/>
        <v>0</v>
      </c>
      <c r="BQ145" s="321">
        <f t="shared" si="213"/>
        <v>0</v>
      </c>
      <c r="BR145" s="321">
        <f t="shared" si="213"/>
        <v>0</v>
      </c>
      <c r="BS145" s="321">
        <f t="shared" si="213"/>
        <v>0</v>
      </c>
      <c r="BT145" s="321">
        <f t="shared" si="213"/>
        <v>0</v>
      </c>
      <c r="BU145" s="321">
        <f t="shared" si="213"/>
        <v>0</v>
      </c>
      <c r="BV145" s="321">
        <f t="shared" si="213"/>
        <v>0</v>
      </c>
      <c r="BW145" s="321">
        <f t="shared" si="213"/>
        <v>0</v>
      </c>
      <c r="BX145" s="321">
        <f t="shared" si="213"/>
        <v>0</v>
      </c>
      <c r="BY145" s="321">
        <f t="shared" si="213"/>
        <v>0</v>
      </c>
      <c r="BZ145" s="321">
        <f t="shared" si="213"/>
        <v>0</v>
      </c>
      <c r="CA145" s="321">
        <f t="shared" si="213"/>
        <v>0</v>
      </c>
      <c r="CB145" s="321">
        <f t="shared" si="213"/>
        <v>0</v>
      </c>
      <c r="CC145" s="321">
        <f t="shared" si="213"/>
        <v>0</v>
      </c>
      <c r="CD145" s="321">
        <f t="shared" si="213"/>
        <v>0</v>
      </c>
      <c r="CE145" s="321">
        <f t="shared" si="213"/>
        <v>0</v>
      </c>
      <c r="CF145" s="322">
        <f t="shared" si="193"/>
        <v>0.60383453703583478</v>
      </c>
      <c r="CG145" s="217"/>
      <c r="CH145" s="217"/>
      <c r="CI145" s="217"/>
      <c r="CJ145" s="217"/>
      <c r="CK145" s="217"/>
    </row>
    <row r="146" spans="1:89" x14ac:dyDescent="0.3">
      <c r="A146" s="217"/>
      <c r="B146" s="260" t="s">
        <v>549</v>
      </c>
      <c r="C146" s="321">
        <f t="shared" ref="C146:AH146" si="214">SUMIF($F$39:$F$41,C$101,$S$39:$S$41)</f>
        <v>0</v>
      </c>
      <c r="D146" s="321">
        <f t="shared" si="214"/>
        <v>0</v>
      </c>
      <c r="E146" s="321">
        <f t="shared" si="214"/>
        <v>0</v>
      </c>
      <c r="F146" s="321">
        <f t="shared" si="214"/>
        <v>0</v>
      </c>
      <c r="G146" s="321">
        <f t="shared" si="214"/>
        <v>0</v>
      </c>
      <c r="H146" s="321">
        <f t="shared" si="214"/>
        <v>0</v>
      </c>
      <c r="I146" s="321">
        <f t="shared" si="214"/>
        <v>0</v>
      </c>
      <c r="J146" s="321">
        <f t="shared" si="214"/>
        <v>0</v>
      </c>
      <c r="K146" s="321">
        <f t="shared" si="214"/>
        <v>0</v>
      </c>
      <c r="L146" s="321">
        <f t="shared" si="214"/>
        <v>0</v>
      </c>
      <c r="M146" s="321">
        <f t="shared" si="214"/>
        <v>0</v>
      </c>
      <c r="N146" s="321">
        <f t="shared" si="214"/>
        <v>0</v>
      </c>
      <c r="O146" s="321">
        <f t="shared" si="214"/>
        <v>0</v>
      </c>
      <c r="P146" s="321">
        <f t="shared" si="214"/>
        <v>0</v>
      </c>
      <c r="Q146" s="321">
        <f t="shared" si="214"/>
        <v>0</v>
      </c>
      <c r="R146" s="321">
        <f t="shared" si="214"/>
        <v>0</v>
      </c>
      <c r="S146" s="321">
        <f t="shared" si="214"/>
        <v>0</v>
      </c>
      <c r="T146" s="321">
        <f t="shared" si="214"/>
        <v>0</v>
      </c>
      <c r="U146" s="321">
        <f t="shared" si="214"/>
        <v>0</v>
      </c>
      <c r="V146" s="321">
        <f t="shared" si="214"/>
        <v>0</v>
      </c>
      <c r="W146" s="321">
        <f t="shared" si="214"/>
        <v>0</v>
      </c>
      <c r="X146" s="321">
        <f t="shared" si="214"/>
        <v>0</v>
      </c>
      <c r="Y146" s="321">
        <f t="shared" si="214"/>
        <v>0</v>
      </c>
      <c r="Z146" s="321">
        <f t="shared" si="214"/>
        <v>0</v>
      </c>
      <c r="AA146" s="321">
        <f t="shared" si="214"/>
        <v>0</v>
      </c>
      <c r="AB146" s="321">
        <f t="shared" si="214"/>
        <v>0</v>
      </c>
      <c r="AC146" s="321">
        <f t="shared" si="214"/>
        <v>0</v>
      </c>
      <c r="AD146" s="321">
        <f t="shared" si="214"/>
        <v>0</v>
      </c>
      <c r="AE146" s="321">
        <f t="shared" si="214"/>
        <v>0</v>
      </c>
      <c r="AF146" s="321">
        <f t="shared" si="214"/>
        <v>0</v>
      </c>
      <c r="AG146" s="321">
        <f t="shared" si="214"/>
        <v>0</v>
      </c>
      <c r="AH146" s="321">
        <f t="shared" si="214"/>
        <v>0</v>
      </c>
      <c r="AI146" s="321">
        <f t="shared" ref="AI146:BN146" si="215">SUMIF($F$39:$F$41,AI$101,$S$39:$S$41)</f>
        <v>0</v>
      </c>
      <c r="AJ146" s="321">
        <f t="shared" si="215"/>
        <v>0.5</v>
      </c>
      <c r="AK146" s="321">
        <f t="shared" si="215"/>
        <v>0</v>
      </c>
      <c r="AL146" s="321">
        <f t="shared" si="215"/>
        <v>0</v>
      </c>
      <c r="AM146" s="321">
        <f t="shared" si="215"/>
        <v>0</v>
      </c>
      <c r="AN146" s="321">
        <f t="shared" si="215"/>
        <v>0</v>
      </c>
      <c r="AO146" s="321">
        <f t="shared" si="215"/>
        <v>0</v>
      </c>
      <c r="AP146" s="321">
        <f t="shared" si="215"/>
        <v>0</v>
      </c>
      <c r="AQ146" s="321">
        <f t="shared" si="215"/>
        <v>0</v>
      </c>
      <c r="AR146" s="321">
        <f t="shared" si="215"/>
        <v>0</v>
      </c>
      <c r="AS146" s="321">
        <f t="shared" si="215"/>
        <v>0</v>
      </c>
      <c r="AT146" s="321">
        <f t="shared" si="215"/>
        <v>0</v>
      </c>
      <c r="AU146" s="321">
        <f t="shared" si="215"/>
        <v>0</v>
      </c>
      <c r="AV146" s="321">
        <f t="shared" si="215"/>
        <v>0</v>
      </c>
      <c r="AW146" s="321">
        <f t="shared" si="215"/>
        <v>0</v>
      </c>
      <c r="AX146" s="321">
        <f t="shared" si="215"/>
        <v>0</v>
      </c>
      <c r="AY146" s="321">
        <f t="shared" si="215"/>
        <v>0</v>
      </c>
      <c r="AZ146" s="321">
        <f t="shared" si="215"/>
        <v>0</v>
      </c>
      <c r="BA146" s="321">
        <f t="shared" si="215"/>
        <v>0</v>
      </c>
      <c r="BB146" s="321">
        <f t="shared" si="215"/>
        <v>0</v>
      </c>
      <c r="BC146" s="321">
        <f t="shared" si="215"/>
        <v>0</v>
      </c>
      <c r="BD146" s="321">
        <f t="shared" si="215"/>
        <v>0</v>
      </c>
      <c r="BE146" s="321">
        <f t="shared" si="215"/>
        <v>0</v>
      </c>
      <c r="BF146" s="321">
        <f t="shared" si="215"/>
        <v>0</v>
      </c>
      <c r="BG146" s="321">
        <f t="shared" si="215"/>
        <v>0</v>
      </c>
      <c r="BH146" s="321">
        <f t="shared" si="215"/>
        <v>0</v>
      </c>
      <c r="BI146" s="321">
        <f t="shared" si="215"/>
        <v>0</v>
      </c>
      <c r="BJ146" s="321">
        <f t="shared" si="215"/>
        <v>0</v>
      </c>
      <c r="BK146" s="321">
        <f t="shared" si="215"/>
        <v>0</v>
      </c>
      <c r="BL146" s="321">
        <f t="shared" si="215"/>
        <v>0</v>
      </c>
      <c r="BM146" s="321">
        <f t="shared" si="215"/>
        <v>0</v>
      </c>
      <c r="BN146" s="321">
        <f t="shared" si="215"/>
        <v>0</v>
      </c>
      <c r="BO146" s="321">
        <f t="shared" ref="BO146:CE146" si="216">SUMIF($F$39:$F$41,BO$101,$S$39:$S$41)</f>
        <v>0</v>
      </c>
      <c r="BP146" s="321">
        <f t="shared" si="216"/>
        <v>0</v>
      </c>
      <c r="BQ146" s="321">
        <f t="shared" si="216"/>
        <v>0</v>
      </c>
      <c r="BR146" s="321">
        <f t="shared" si="216"/>
        <v>0</v>
      </c>
      <c r="BS146" s="321">
        <f t="shared" si="216"/>
        <v>0</v>
      </c>
      <c r="BT146" s="321">
        <f t="shared" si="216"/>
        <v>0</v>
      </c>
      <c r="BU146" s="321">
        <f t="shared" si="216"/>
        <v>0</v>
      </c>
      <c r="BV146" s="321">
        <f t="shared" si="216"/>
        <v>0</v>
      </c>
      <c r="BW146" s="321">
        <f t="shared" si="216"/>
        <v>0</v>
      </c>
      <c r="BX146" s="321">
        <f t="shared" si="216"/>
        <v>0</v>
      </c>
      <c r="BY146" s="321">
        <f t="shared" si="216"/>
        <v>0</v>
      </c>
      <c r="BZ146" s="321">
        <f t="shared" si="216"/>
        <v>0</v>
      </c>
      <c r="CA146" s="321">
        <f t="shared" si="216"/>
        <v>0</v>
      </c>
      <c r="CB146" s="321">
        <f t="shared" si="216"/>
        <v>0</v>
      </c>
      <c r="CC146" s="321">
        <f t="shared" si="216"/>
        <v>0</v>
      </c>
      <c r="CD146" s="321">
        <f t="shared" si="216"/>
        <v>0</v>
      </c>
      <c r="CE146" s="321">
        <f t="shared" si="216"/>
        <v>0</v>
      </c>
      <c r="CF146" s="322">
        <f t="shared" si="193"/>
        <v>0.5</v>
      </c>
      <c r="CG146" s="217"/>
      <c r="CH146" s="217"/>
      <c r="CI146" s="217"/>
      <c r="CJ146" s="217"/>
      <c r="CK146" s="217"/>
    </row>
    <row r="147" spans="1:89" x14ac:dyDescent="0.3">
      <c r="A147" s="217"/>
      <c r="B147" s="260" t="s">
        <v>550</v>
      </c>
      <c r="C147" s="321">
        <f t="shared" ref="C147:AH147" si="217">SUMIF($F$42:$F$46,C$101,$S$42:$S$46)</f>
        <v>0</v>
      </c>
      <c r="D147" s="321">
        <f t="shared" si="217"/>
        <v>0</v>
      </c>
      <c r="E147" s="321">
        <f t="shared" si="217"/>
        <v>0</v>
      </c>
      <c r="F147" s="321">
        <f t="shared" si="217"/>
        <v>0</v>
      </c>
      <c r="G147" s="321">
        <f t="shared" si="217"/>
        <v>0</v>
      </c>
      <c r="H147" s="321">
        <f t="shared" si="217"/>
        <v>0</v>
      </c>
      <c r="I147" s="321">
        <f t="shared" si="217"/>
        <v>0.12638662654409583</v>
      </c>
      <c r="J147" s="321">
        <f t="shared" si="217"/>
        <v>0</v>
      </c>
      <c r="K147" s="321">
        <f t="shared" si="217"/>
        <v>0</v>
      </c>
      <c r="L147" s="321">
        <f t="shared" si="217"/>
        <v>0</v>
      </c>
      <c r="M147" s="321">
        <f t="shared" si="217"/>
        <v>0</v>
      </c>
      <c r="N147" s="321">
        <f t="shared" si="217"/>
        <v>0</v>
      </c>
      <c r="O147" s="321">
        <f t="shared" si="217"/>
        <v>0</v>
      </c>
      <c r="P147" s="321">
        <f t="shared" si="217"/>
        <v>0</v>
      </c>
      <c r="Q147" s="321">
        <f t="shared" si="217"/>
        <v>0</v>
      </c>
      <c r="R147" s="321">
        <f t="shared" si="217"/>
        <v>0</v>
      </c>
      <c r="S147" s="321">
        <f t="shared" si="217"/>
        <v>0</v>
      </c>
      <c r="T147" s="321">
        <f t="shared" si="217"/>
        <v>0</v>
      </c>
      <c r="U147" s="321">
        <f t="shared" si="217"/>
        <v>0</v>
      </c>
      <c r="V147" s="321">
        <f t="shared" si="217"/>
        <v>0</v>
      </c>
      <c r="W147" s="321">
        <f t="shared" si="217"/>
        <v>0</v>
      </c>
      <c r="X147" s="321">
        <f t="shared" si="217"/>
        <v>0.12522042498074734</v>
      </c>
      <c r="Y147" s="321">
        <f t="shared" si="217"/>
        <v>0</v>
      </c>
      <c r="Z147" s="321">
        <f t="shared" si="217"/>
        <v>0</v>
      </c>
      <c r="AA147" s="321">
        <f t="shared" si="217"/>
        <v>0</v>
      </c>
      <c r="AB147" s="321">
        <f t="shared" si="217"/>
        <v>0</v>
      </c>
      <c r="AC147" s="321">
        <f t="shared" si="217"/>
        <v>0</v>
      </c>
      <c r="AD147" s="321">
        <f t="shared" si="217"/>
        <v>0</v>
      </c>
      <c r="AE147" s="321">
        <f t="shared" si="217"/>
        <v>0</v>
      </c>
      <c r="AF147" s="321">
        <f t="shared" si="217"/>
        <v>0</v>
      </c>
      <c r="AG147" s="321">
        <f t="shared" si="217"/>
        <v>0</v>
      </c>
      <c r="AH147" s="321">
        <f t="shared" si="217"/>
        <v>0</v>
      </c>
      <c r="AI147" s="321">
        <f t="shared" ref="AI147:BN147" si="218">SUMIF($F$42:$F$46,AI$101,$S$42:$S$46)</f>
        <v>0</v>
      </c>
      <c r="AJ147" s="321">
        <f t="shared" si="218"/>
        <v>0.33245633257732926</v>
      </c>
      <c r="AK147" s="321">
        <f t="shared" si="218"/>
        <v>0</v>
      </c>
      <c r="AL147" s="321">
        <f t="shared" si="218"/>
        <v>0</v>
      </c>
      <c r="AM147" s="321">
        <f t="shared" si="218"/>
        <v>0</v>
      </c>
      <c r="AN147" s="321">
        <f t="shared" si="218"/>
        <v>0</v>
      </c>
      <c r="AO147" s="321">
        <f t="shared" si="218"/>
        <v>0</v>
      </c>
      <c r="AP147" s="321">
        <f t="shared" si="218"/>
        <v>0</v>
      </c>
      <c r="AQ147" s="321">
        <f t="shared" si="218"/>
        <v>0</v>
      </c>
      <c r="AR147" s="321">
        <f t="shared" si="218"/>
        <v>0</v>
      </c>
      <c r="AS147" s="321">
        <f t="shared" si="218"/>
        <v>0</v>
      </c>
      <c r="AT147" s="321">
        <f t="shared" si="218"/>
        <v>0</v>
      </c>
      <c r="AU147" s="321">
        <f t="shared" si="218"/>
        <v>0</v>
      </c>
      <c r="AV147" s="321">
        <f t="shared" si="218"/>
        <v>0</v>
      </c>
      <c r="AW147" s="321">
        <f t="shared" si="218"/>
        <v>0</v>
      </c>
      <c r="AX147" s="321">
        <f t="shared" si="218"/>
        <v>0</v>
      </c>
      <c r="AY147" s="321">
        <f t="shared" si="218"/>
        <v>0</v>
      </c>
      <c r="AZ147" s="321">
        <f t="shared" si="218"/>
        <v>0</v>
      </c>
      <c r="BA147" s="321">
        <f t="shared" si="218"/>
        <v>0</v>
      </c>
      <c r="BB147" s="321">
        <f t="shared" si="218"/>
        <v>0</v>
      </c>
      <c r="BC147" s="321">
        <f t="shared" si="218"/>
        <v>0</v>
      </c>
      <c r="BD147" s="321">
        <f t="shared" si="218"/>
        <v>0</v>
      </c>
      <c r="BE147" s="321">
        <f t="shared" si="218"/>
        <v>0</v>
      </c>
      <c r="BF147" s="321">
        <f t="shared" si="218"/>
        <v>0</v>
      </c>
      <c r="BG147" s="321">
        <f t="shared" si="218"/>
        <v>0</v>
      </c>
      <c r="BH147" s="321">
        <f t="shared" si="218"/>
        <v>0</v>
      </c>
      <c r="BI147" s="321">
        <f t="shared" si="218"/>
        <v>0</v>
      </c>
      <c r="BJ147" s="321">
        <f t="shared" si="218"/>
        <v>0</v>
      </c>
      <c r="BK147" s="321">
        <f t="shared" si="218"/>
        <v>0</v>
      </c>
      <c r="BL147" s="321">
        <f t="shared" si="218"/>
        <v>0</v>
      </c>
      <c r="BM147" s="321">
        <f t="shared" si="218"/>
        <v>0</v>
      </c>
      <c r="BN147" s="321">
        <f t="shared" si="218"/>
        <v>0</v>
      </c>
      <c r="BO147" s="321">
        <f t="shared" ref="BO147:CE147" si="219">SUMIF($F$42:$F$46,BO$101,$S$42:$S$46)</f>
        <v>0</v>
      </c>
      <c r="BP147" s="321">
        <f t="shared" si="219"/>
        <v>0</v>
      </c>
      <c r="BQ147" s="321">
        <f t="shared" si="219"/>
        <v>0</v>
      </c>
      <c r="BR147" s="321">
        <f t="shared" si="219"/>
        <v>0</v>
      </c>
      <c r="BS147" s="321">
        <f t="shared" si="219"/>
        <v>0</v>
      </c>
      <c r="BT147" s="321">
        <f t="shared" si="219"/>
        <v>0</v>
      </c>
      <c r="BU147" s="321">
        <f t="shared" si="219"/>
        <v>0</v>
      </c>
      <c r="BV147" s="321">
        <f t="shared" si="219"/>
        <v>0</v>
      </c>
      <c r="BW147" s="321">
        <f t="shared" si="219"/>
        <v>0</v>
      </c>
      <c r="BX147" s="321">
        <f t="shared" si="219"/>
        <v>0</v>
      </c>
      <c r="BY147" s="321">
        <f t="shared" si="219"/>
        <v>0</v>
      </c>
      <c r="BZ147" s="321">
        <f t="shared" si="219"/>
        <v>0</v>
      </c>
      <c r="CA147" s="321">
        <f t="shared" si="219"/>
        <v>0</v>
      </c>
      <c r="CB147" s="321">
        <f t="shared" si="219"/>
        <v>0</v>
      </c>
      <c r="CC147" s="321">
        <f t="shared" si="219"/>
        <v>0</v>
      </c>
      <c r="CD147" s="321">
        <f t="shared" si="219"/>
        <v>0</v>
      </c>
      <c r="CE147" s="321">
        <f t="shared" si="219"/>
        <v>0</v>
      </c>
      <c r="CF147" s="322">
        <f t="shared" si="193"/>
        <v>0.58406338410217251</v>
      </c>
      <c r="CG147" s="217"/>
      <c r="CH147" s="217"/>
      <c r="CI147" s="217"/>
      <c r="CJ147" s="217"/>
      <c r="CK147" s="217"/>
    </row>
    <row r="148" spans="1:89" x14ac:dyDescent="0.3">
      <c r="A148" s="217"/>
      <c r="B148" s="260" t="s">
        <v>434</v>
      </c>
      <c r="C148" s="321">
        <f t="shared" ref="C148:AH148" si="220">SUMIF($F$47,C$101,$S$47)</f>
        <v>0</v>
      </c>
      <c r="D148" s="321">
        <f t="shared" si="220"/>
        <v>0</v>
      </c>
      <c r="E148" s="321">
        <f t="shared" si="220"/>
        <v>0</v>
      </c>
      <c r="F148" s="321">
        <f t="shared" si="220"/>
        <v>0</v>
      </c>
      <c r="G148" s="321">
        <f t="shared" si="220"/>
        <v>0</v>
      </c>
      <c r="H148" s="321">
        <f t="shared" si="220"/>
        <v>0</v>
      </c>
      <c r="I148" s="321">
        <f t="shared" si="220"/>
        <v>0</v>
      </c>
      <c r="J148" s="321">
        <f t="shared" si="220"/>
        <v>0</v>
      </c>
      <c r="K148" s="321">
        <f t="shared" si="220"/>
        <v>0</v>
      </c>
      <c r="L148" s="321">
        <f t="shared" si="220"/>
        <v>0</v>
      </c>
      <c r="M148" s="321">
        <f t="shared" si="220"/>
        <v>0</v>
      </c>
      <c r="N148" s="321">
        <f t="shared" si="220"/>
        <v>0</v>
      </c>
      <c r="O148" s="321">
        <f t="shared" si="220"/>
        <v>0</v>
      </c>
      <c r="P148" s="321">
        <f t="shared" si="220"/>
        <v>0</v>
      </c>
      <c r="Q148" s="321">
        <f t="shared" si="220"/>
        <v>0</v>
      </c>
      <c r="R148" s="321">
        <f t="shared" si="220"/>
        <v>0</v>
      </c>
      <c r="S148" s="321">
        <f t="shared" si="220"/>
        <v>0</v>
      </c>
      <c r="T148" s="321">
        <f t="shared" si="220"/>
        <v>0</v>
      </c>
      <c r="U148" s="321">
        <f t="shared" si="220"/>
        <v>0</v>
      </c>
      <c r="V148" s="321">
        <f t="shared" si="220"/>
        <v>0</v>
      </c>
      <c r="W148" s="321">
        <f t="shared" si="220"/>
        <v>0</v>
      </c>
      <c r="X148" s="321">
        <f t="shared" si="220"/>
        <v>0</v>
      </c>
      <c r="Y148" s="321">
        <f t="shared" si="220"/>
        <v>0</v>
      </c>
      <c r="Z148" s="321">
        <f t="shared" si="220"/>
        <v>0</v>
      </c>
      <c r="AA148" s="321">
        <f t="shared" si="220"/>
        <v>0</v>
      </c>
      <c r="AB148" s="321">
        <f t="shared" si="220"/>
        <v>0</v>
      </c>
      <c r="AC148" s="321">
        <f t="shared" si="220"/>
        <v>0</v>
      </c>
      <c r="AD148" s="321">
        <f t="shared" si="220"/>
        <v>0</v>
      </c>
      <c r="AE148" s="321">
        <f t="shared" si="220"/>
        <v>0</v>
      </c>
      <c r="AF148" s="321">
        <f t="shared" si="220"/>
        <v>0</v>
      </c>
      <c r="AG148" s="321">
        <f t="shared" si="220"/>
        <v>0</v>
      </c>
      <c r="AH148" s="321">
        <f t="shared" si="220"/>
        <v>0</v>
      </c>
      <c r="AI148" s="321">
        <f t="shared" ref="AI148:BN148" si="221">SUMIF($F$47,AI$101,$S$47)</f>
        <v>0</v>
      </c>
      <c r="AJ148" s="321">
        <f t="shared" si="221"/>
        <v>0.5</v>
      </c>
      <c r="AK148" s="321">
        <f t="shared" si="221"/>
        <v>0</v>
      </c>
      <c r="AL148" s="321">
        <f t="shared" si="221"/>
        <v>0</v>
      </c>
      <c r="AM148" s="321">
        <f t="shared" si="221"/>
        <v>0</v>
      </c>
      <c r="AN148" s="321">
        <f t="shared" si="221"/>
        <v>0</v>
      </c>
      <c r="AO148" s="321">
        <f t="shared" si="221"/>
        <v>0</v>
      </c>
      <c r="AP148" s="321">
        <f t="shared" si="221"/>
        <v>0</v>
      </c>
      <c r="AQ148" s="321">
        <f t="shared" si="221"/>
        <v>0</v>
      </c>
      <c r="AR148" s="321">
        <f t="shared" si="221"/>
        <v>0</v>
      </c>
      <c r="AS148" s="321">
        <f t="shared" si="221"/>
        <v>0</v>
      </c>
      <c r="AT148" s="321">
        <f t="shared" si="221"/>
        <v>0</v>
      </c>
      <c r="AU148" s="321">
        <f t="shared" si="221"/>
        <v>0</v>
      </c>
      <c r="AV148" s="321">
        <f t="shared" si="221"/>
        <v>0</v>
      </c>
      <c r="AW148" s="321">
        <f t="shared" si="221"/>
        <v>0</v>
      </c>
      <c r="AX148" s="321">
        <f t="shared" si="221"/>
        <v>0</v>
      </c>
      <c r="AY148" s="321">
        <f t="shared" si="221"/>
        <v>0</v>
      </c>
      <c r="AZ148" s="321">
        <f t="shared" si="221"/>
        <v>0</v>
      </c>
      <c r="BA148" s="321">
        <f t="shared" si="221"/>
        <v>0</v>
      </c>
      <c r="BB148" s="321">
        <f t="shared" si="221"/>
        <v>0</v>
      </c>
      <c r="BC148" s="321">
        <f t="shared" si="221"/>
        <v>0</v>
      </c>
      <c r="BD148" s="321">
        <f t="shared" si="221"/>
        <v>0</v>
      </c>
      <c r="BE148" s="321">
        <f t="shared" si="221"/>
        <v>0</v>
      </c>
      <c r="BF148" s="321">
        <f t="shared" si="221"/>
        <v>0</v>
      </c>
      <c r="BG148" s="321">
        <f t="shared" si="221"/>
        <v>0</v>
      </c>
      <c r="BH148" s="321">
        <f t="shared" si="221"/>
        <v>0</v>
      </c>
      <c r="BI148" s="321">
        <f t="shared" si="221"/>
        <v>0</v>
      </c>
      <c r="BJ148" s="321">
        <f t="shared" si="221"/>
        <v>0</v>
      </c>
      <c r="BK148" s="321">
        <f t="shared" si="221"/>
        <v>0</v>
      </c>
      <c r="BL148" s="321">
        <f t="shared" si="221"/>
        <v>0</v>
      </c>
      <c r="BM148" s="321">
        <f t="shared" si="221"/>
        <v>0</v>
      </c>
      <c r="BN148" s="321">
        <f t="shared" si="221"/>
        <v>0</v>
      </c>
      <c r="BO148" s="321">
        <f t="shared" ref="BO148:CE148" si="222">SUMIF($F$47,BO$101,$S$47)</f>
        <v>0</v>
      </c>
      <c r="BP148" s="321">
        <f t="shared" si="222"/>
        <v>0</v>
      </c>
      <c r="BQ148" s="321">
        <f t="shared" si="222"/>
        <v>0</v>
      </c>
      <c r="BR148" s="321">
        <f t="shared" si="222"/>
        <v>0</v>
      </c>
      <c r="BS148" s="321">
        <f t="shared" si="222"/>
        <v>0</v>
      </c>
      <c r="BT148" s="321">
        <f t="shared" si="222"/>
        <v>0</v>
      </c>
      <c r="BU148" s="321">
        <f t="shared" si="222"/>
        <v>0</v>
      </c>
      <c r="BV148" s="321">
        <f t="shared" si="222"/>
        <v>0</v>
      </c>
      <c r="BW148" s="321">
        <f t="shared" si="222"/>
        <v>0</v>
      </c>
      <c r="BX148" s="321">
        <f t="shared" si="222"/>
        <v>0</v>
      </c>
      <c r="BY148" s="321">
        <f t="shared" si="222"/>
        <v>0</v>
      </c>
      <c r="BZ148" s="321">
        <f t="shared" si="222"/>
        <v>0</v>
      </c>
      <c r="CA148" s="321">
        <f t="shared" si="222"/>
        <v>0</v>
      </c>
      <c r="CB148" s="321">
        <f t="shared" si="222"/>
        <v>0</v>
      </c>
      <c r="CC148" s="321">
        <f t="shared" si="222"/>
        <v>0</v>
      </c>
      <c r="CD148" s="321">
        <f t="shared" si="222"/>
        <v>0</v>
      </c>
      <c r="CE148" s="321">
        <f t="shared" si="222"/>
        <v>0</v>
      </c>
      <c r="CF148" s="322">
        <f t="shared" si="193"/>
        <v>0.5</v>
      </c>
      <c r="CG148" s="217"/>
      <c r="CH148" s="217"/>
      <c r="CI148" s="217"/>
      <c r="CJ148" s="217"/>
      <c r="CK148" s="217"/>
    </row>
    <row r="149" spans="1:89" x14ac:dyDescent="0.3">
      <c r="A149" s="217"/>
      <c r="B149" s="260" t="s">
        <v>346</v>
      </c>
      <c r="C149" s="321">
        <f t="shared" ref="C149:AH149" si="223">SUMIF($F$48:$F$50,C$101,$S$48:$S$50)</f>
        <v>0</v>
      </c>
      <c r="D149" s="321">
        <f t="shared" si="223"/>
        <v>0</v>
      </c>
      <c r="E149" s="321">
        <f t="shared" si="223"/>
        <v>0</v>
      </c>
      <c r="F149" s="321">
        <f t="shared" si="223"/>
        <v>0</v>
      </c>
      <c r="G149" s="321">
        <f t="shared" si="223"/>
        <v>0</v>
      </c>
      <c r="H149" s="321">
        <f t="shared" si="223"/>
        <v>0</v>
      </c>
      <c r="I149" s="321">
        <f t="shared" si="223"/>
        <v>0.10030170753626909</v>
      </c>
      <c r="J149" s="321">
        <f t="shared" si="223"/>
        <v>0</v>
      </c>
      <c r="K149" s="321">
        <f t="shared" si="223"/>
        <v>0</v>
      </c>
      <c r="L149" s="321">
        <f t="shared" si="223"/>
        <v>0</v>
      </c>
      <c r="M149" s="321">
        <f t="shared" si="223"/>
        <v>0</v>
      </c>
      <c r="N149" s="321">
        <f t="shared" si="223"/>
        <v>0</v>
      </c>
      <c r="O149" s="321">
        <f t="shared" si="223"/>
        <v>0</v>
      </c>
      <c r="P149" s="321">
        <f t="shared" si="223"/>
        <v>0</v>
      </c>
      <c r="Q149" s="321">
        <f t="shared" si="223"/>
        <v>0</v>
      </c>
      <c r="R149" s="321">
        <f t="shared" si="223"/>
        <v>0</v>
      </c>
      <c r="S149" s="321">
        <f t="shared" si="223"/>
        <v>0</v>
      </c>
      <c r="T149" s="321">
        <f t="shared" si="223"/>
        <v>0</v>
      </c>
      <c r="U149" s="321">
        <f t="shared" si="223"/>
        <v>0</v>
      </c>
      <c r="V149" s="321">
        <f t="shared" si="223"/>
        <v>0</v>
      </c>
      <c r="W149" s="321">
        <f t="shared" si="223"/>
        <v>0</v>
      </c>
      <c r="X149" s="321">
        <f t="shared" si="223"/>
        <v>0.12895933826091741</v>
      </c>
      <c r="Y149" s="321">
        <f t="shared" si="223"/>
        <v>0</v>
      </c>
      <c r="Z149" s="321">
        <f t="shared" si="223"/>
        <v>0</v>
      </c>
      <c r="AA149" s="321">
        <f t="shared" si="223"/>
        <v>0</v>
      </c>
      <c r="AB149" s="321">
        <f t="shared" si="223"/>
        <v>0</v>
      </c>
      <c r="AC149" s="321">
        <f t="shared" si="223"/>
        <v>0</v>
      </c>
      <c r="AD149" s="321">
        <f t="shared" si="223"/>
        <v>0</v>
      </c>
      <c r="AE149" s="321">
        <f t="shared" si="223"/>
        <v>0</v>
      </c>
      <c r="AF149" s="321">
        <f t="shared" si="223"/>
        <v>0</v>
      </c>
      <c r="AG149" s="321">
        <f t="shared" si="223"/>
        <v>0</v>
      </c>
      <c r="AH149" s="321">
        <f t="shared" si="223"/>
        <v>0</v>
      </c>
      <c r="AI149" s="321">
        <f t="shared" ref="AI149:BN149" si="224">SUMIF($F$48:$F$50,AI$101,$S$48:$S$50)</f>
        <v>0</v>
      </c>
      <c r="AJ149" s="321">
        <f t="shared" si="224"/>
        <v>0.34238303101443435</v>
      </c>
      <c r="AK149" s="321">
        <f t="shared" si="224"/>
        <v>0</v>
      </c>
      <c r="AL149" s="321">
        <f t="shared" si="224"/>
        <v>0</v>
      </c>
      <c r="AM149" s="321">
        <f t="shared" si="224"/>
        <v>0</v>
      </c>
      <c r="AN149" s="321">
        <f t="shared" si="224"/>
        <v>0</v>
      </c>
      <c r="AO149" s="321">
        <f t="shared" si="224"/>
        <v>0</v>
      </c>
      <c r="AP149" s="321">
        <f t="shared" si="224"/>
        <v>0</v>
      </c>
      <c r="AQ149" s="321">
        <f t="shared" si="224"/>
        <v>0</v>
      </c>
      <c r="AR149" s="321">
        <f t="shared" si="224"/>
        <v>0</v>
      </c>
      <c r="AS149" s="321">
        <f t="shared" si="224"/>
        <v>0</v>
      </c>
      <c r="AT149" s="321">
        <f t="shared" si="224"/>
        <v>0</v>
      </c>
      <c r="AU149" s="321">
        <f t="shared" si="224"/>
        <v>0</v>
      </c>
      <c r="AV149" s="321">
        <f t="shared" si="224"/>
        <v>0</v>
      </c>
      <c r="AW149" s="321">
        <f t="shared" si="224"/>
        <v>0</v>
      </c>
      <c r="AX149" s="321">
        <f t="shared" si="224"/>
        <v>0</v>
      </c>
      <c r="AY149" s="321">
        <f t="shared" si="224"/>
        <v>0</v>
      </c>
      <c r="AZ149" s="321">
        <f t="shared" si="224"/>
        <v>0</v>
      </c>
      <c r="BA149" s="321">
        <f t="shared" si="224"/>
        <v>0</v>
      </c>
      <c r="BB149" s="321">
        <f t="shared" si="224"/>
        <v>0</v>
      </c>
      <c r="BC149" s="321">
        <f t="shared" si="224"/>
        <v>0</v>
      </c>
      <c r="BD149" s="321">
        <f t="shared" si="224"/>
        <v>0</v>
      </c>
      <c r="BE149" s="321">
        <f t="shared" si="224"/>
        <v>0</v>
      </c>
      <c r="BF149" s="321">
        <f t="shared" si="224"/>
        <v>0</v>
      </c>
      <c r="BG149" s="321">
        <f t="shared" si="224"/>
        <v>0</v>
      </c>
      <c r="BH149" s="321">
        <f t="shared" si="224"/>
        <v>0</v>
      </c>
      <c r="BI149" s="321">
        <f t="shared" si="224"/>
        <v>0</v>
      </c>
      <c r="BJ149" s="321">
        <f t="shared" si="224"/>
        <v>0</v>
      </c>
      <c r="BK149" s="321">
        <f t="shared" si="224"/>
        <v>0</v>
      </c>
      <c r="BL149" s="321">
        <f t="shared" si="224"/>
        <v>0</v>
      </c>
      <c r="BM149" s="321">
        <f t="shared" si="224"/>
        <v>0</v>
      </c>
      <c r="BN149" s="321">
        <f t="shared" si="224"/>
        <v>0</v>
      </c>
      <c r="BO149" s="321">
        <f t="shared" ref="BO149:CE149" si="225">SUMIF($F$48:$F$50,BO$101,$S$48:$S$50)</f>
        <v>0</v>
      </c>
      <c r="BP149" s="321">
        <f t="shared" si="225"/>
        <v>0</v>
      </c>
      <c r="BQ149" s="321">
        <f t="shared" si="225"/>
        <v>0</v>
      </c>
      <c r="BR149" s="321">
        <f t="shared" si="225"/>
        <v>0</v>
      </c>
      <c r="BS149" s="321">
        <f t="shared" si="225"/>
        <v>0</v>
      </c>
      <c r="BT149" s="321">
        <f t="shared" si="225"/>
        <v>0</v>
      </c>
      <c r="BU149" s="321">
        <f t="shared" si="225"/>
        <v>0</v>
      </c>
      <c r="BV149" s="321">
        <f t="shared" si="225"/>
        <v>0</v>
      </c>
      <c r="BW149" s="321">
        <f t="shared" si="225"/>
        <v>0</v>
      </c>
      <c r="BX149" s="321">
        <f t="shared" si="225"/>
        <v>0</v>
      </c>
      <c r="BY149" s="321">
        <f t="shared" si="225"/>
        <v>0</v>
      </c>
      <c r="BZ149" s="321">
        <f t="shared" si="225"/>
        <v>0</v>
      </c>
      <c r="CA149" s="321">
        <f t="shared" si="225"/>
        <v>0</v>
      </c>
      <c r="CB149" s="321">
        <f t="shared" si="225"/>
        <v>0</v>
      </c>
      <c r="CC149" s="321">
        <f t="shared" si="225"/>
        <v>0</v>
      </c>
      <c r="CD149" s="321">
        <f t="shared" si="225"/>
        <v>0</v>
      </c>
      <c r="CE149" s="321">
        <f t="shared" si="225"/>
        <v>0</v>
      </c>
      <c r="CF149" s="322">
        <f t="shared" si="193"/>
        <v>0.57164407681162088</v>
      </c>
      <c r="CG149" s="217"/>
      <c r="CH149" s="217"/>
      <c r="CI149" s="217"/>
      <c r="CJ149" s="217"/>
      <c r="CK149" s="217"/>
    </row>
    <row r="150" spans="1:89" x14ac:dyDescent="0.3">
      <c r="A150" s="217"/>
      <c r="B150" s="260" t="s">
        <v>568</v>
      </c>
      <c r="C150" s="321">
        <f t="shared" ref="C150:AH150" si="226">SUMIF($F$51:$F$52,C$101,$S$51:$S$52)</f>
        <v>0</v>
      </c>
      <c r="D150" s="321">
        <f t="shared" si="226"/>
        <v>0</v>
      </c>
      <c r="E150" s="321">
        <f t="shared" si="226"/>
        <v>0</v>
      </c>
      <c r="F150" s="321">
        <f t="shared" si="226"/>
        <v>0</v>
      </c>
      <c r="G150" s="321">
        <f t="shared" si="226"/>
        <v>0</v>
      </c>
      <c r="H150" s="321">
        <f t="shared" si="226"/>
        <v>0</v>
      </c>
      <c r="I150" s="321">
        <f t="shared" si="226"/>
        <v>0</v>
      </c>
      <c r="J150" s="321">
        <f t="shared" si="226"/>
        <v>0</v>
      </c>
      <c r="K150" s="321">
        <f t="shared" si="226"/>
        <v>0</v>
      </c>
      <c r="L150" s="321">
        <f t="shared" si="226"/>
        <v>0</v>
      </c>
      <c r="M150" s="321">
        <f t="shared" si="226"/>
        <v>0</v>
      </c>
      <c r="N150" s="321">
        <f t="shared" si="226"/>
        <v>0</v>
      </c>
      <c r="O150" s="321">
        <f t="shared" si="226"/>
        <v>0</v>
      </c>
      <c r="P150" s="321">
        <f t="shared" si="226"/>
        <v>0</v>
      </c>
      <c r="Q150" s="321">
        <f t="shared" si="226"/>
        <v>0</v>
      </c>
      <c r="R150" s="321">
        <f t="shared" si="226"/>
        <v>0</v>
      </c>
      <c r="S150" s="321">
        <f t="shared" si="226"/>
        <v>0</v>
      </c>
      <c r="T150" s="321">
        <f t="shared" si="226"/>
        <v>0</v>
      </c>
      <c r="U150" s="321">
        <f t="shared" si="226"/>
        <v>0</v>
      </c>
      <c r="V150" s="321">
        <f t="shared" si="226"/>
        <v>0</v>
      </c>
      <c r="W150" s="321">
        <f t="shared" si="226"/>
        <v>0</v>
      </c>
      <c r="X150" s="321">
        <f t="shared" si="226"/>
        <v>0.55720653789004448</v>
      </c>
      <c r="Y150" s="321">
        <f t="shared" si="226"/>
        <v>0</v>
      </c>
      <c r="Z150" s="321">
        <f t="shared" si="226"/>
        <v>0</v>
      </c>
      <c r="AA150" s="321">
        <f t="shared" si="226"/>
        <v>0</v>
      </c>
      <c r="AB150" s="321">
        <f t="shared" si="226"/>
        <v>0</v>
      </c>
      <c r="AC150" s="321">
        <f t="shared" si="226"/>
        <v>0</v>
      </c>
      <c r="AD150" s="321">
        <f t="shared" si="226"/>
        <v>0</v>
      </c>
      <c r="AE150" s="321">
        <f t="shared" si="226"/>
        <v>0</v>
      </c>
      <c r="AF150" s="321">
        <f t="shared" si="226"/>
        <v>0</v>
      </c>
      <c r="AG150" s="321">
        <f t="shared" si="226"/>
        <v>0</v>
      </c>
      <c r="AH150" s="321">
        <f t="shared" si="226"/>
        <v>0</v>
      </c>
      <c r="AI150" s="321">
        <f t="shared" ref="AI150:BN150" si="227">SUMIF($F$51:$F$52,AI$101,$S$51:$S$52)</f>
        <v>0</v>
      </c>
      <c r="AJ150" s="321">
        <f t="shared" si="227"/>
        <v>3.5661218424962858E-2</v>
      </c>
      <c r="AK150" s="321">
        <f t="shared" si="227"/>
        <v>0</v>
      </c>
      <c r="AL150" s="321">
        <f t="shared" si="227"/>
        <v>0</v>
      </c>
      <c r="AM150" s="321">
        <f t="shared" si="227"/>
        <v>0</v>
      </c>
      <c r="AN150" s="321">
        <f t="shared" si="227"/>
        <v>0</v>
      </c>
      <c r="AO150" s="321">
        <f t="shared" si="227"/>
        <v>0</v>
      </c>
      <c r="AP150" s="321">
        <f t="shared" si="227"/>
        <v>0</v>
      </c>
      <c r="AQ150" s="321">
        <f t="shared" si="227"/>
        <v>0</v>
      </c>
      <c r="AR150" s="321">
        <f t="shared" si="227"/>
        <v>0</v>
      </c>
      <c r="AS150" s="321">
        <f t="shared" si="227"/>
        <v>0</v>
      </c>
      <c r="AT150" s="321">
        <f t="shared" si="227"/>
        <v>0</v>
      </c>
      <c r="AU150" s="321">
        <f t="shared" si="227"/>
        <v>0</v>
      </c>
      <c r="AV150" s="321">
        <f t="shared" si="227"/>
        <v>0</v>
      </c>
      <c r="AW150" s="321">
        <f t="shared" si="227"/>
        <v>0</v>
      </c>
      <c r="AX150" s="321">
        <f t="shared" si="227"/>
        <v>0</v>
      </c>
      <c r="AY150" s="321">
        <f t="shared" si="227"/>
        <v>0</v>
      </c>
      <c r="AZ150" s="321">
        <f t="shared" si="227"/>
        <v>0</v>
      </c>
      <c r="BA150" s="321">
        <f t="shared" si="227"/>
        <v>0</v>
      </c>
      <c r="BB150" s="321">
        <f t="shared" si="227"/>
        <v>0</v>
      </c>
      <c r="BC150" s="321">
        <f t="shared" si="227"/>
        <v>0</v>
      </c>
      <c r="BD150" s="321">
        <f t="shared" si="227"/>
        <v>0</v>
      </c>
      <c r="BE150" s="321">
        <f t="shared" si="227"/>
        <v>0</v>
      </c>
      <c r="BF150" s="321">
        <f t="shared" si="227"/>
        <v>0</v>
      </c>
      <c r="BG150" s="321">
        <f t="shared" si="227"/>
        <v>0</v>
      </c>
      <c r="BH150" s="321">
        <f t="shared" si="227"/>
        <v>0</v>
      </c>
      <c r="BI150" s="321">
        <f t="shared" si="227"/>
        <v>0</v>
      </c>
      <c r="BJ150" s="321">
        <f t="shared" si="227"/>
        <v>0</v>
      </c>
      <c r="BK150" s="321">
        <f t="shared" si="227"/>
        <v>0</v>
      </c>
      <c r="BL150" s="321">
        <f t="shared" si="227"/>
        <v>0</v>
      </c>
      <c r="BM150" s="321">
        <f t="shared" si="227"/>
        <v>0</v>
      </c>
      <c r="BN150" s="321">
        <f t="shared" si="227"/>
        <v>0</v>
      </c>
      <c r="BO150" s="321">
        <f t="shared" ref="BO150:CE150" si="228">SUMIF($F$51:$F$52,BO$101,$S$51:$S$52)</f>
        <v>0</v>
      </c>
      <c r="BP150" s="321">
        <f t="shared" si="228"/>
        <v>0</v>
      </c>
      <c r="BQ150" s="321">
        <f t="shared" si="228"/>
        <v>0</v>
      </c>
      <c r="BR150" s="321">
        <f t="shared" si="228"/>
        <v>0</v>
      </c>
      <c r="BS150" s="321">
        <f t="shared" si="228"/>
        <v>0</v>
      </c>
      <c r="BT150" s="321">
        <f t="shared" si="228"/>
        <v>0</v>
      </c>
      <c r="BU150" s="321">
        <f t="shared" si="228"/>
        <v>0</v>
      </c>
      <c r="BV150" s="321">
        <f t="shared" si="228"/>
        <v>0</v>
      </c>
      <c r="BW150" s="321">
        <f t="shared" si="228"/>
        <v>0</v>
      </c>
      <c r="BX150" s="321">
        <f t="shared" si="228"/>
        <v>0</v>
      </c>
      <c r="BY150" s="321">
        <f t="shared" si="228"/>
        <v>0</v>
      </c>
      <c r="BZ150" s="321">
        <f t="shared" si="228"/>
        <v>0</v>
      </c>
      <c r="CA150" s="321">
        <f t="shared" si="228"/>
        <v>0</v>
      </c>
      <c r="CB150" s="321">
        <f t="shared" si="228"/>
        <v>0</v>
      </c>
      <c r="CC150" s="321">
        <f t="shared" si="228"/>
        <v>0</v>
      </c>
      <c r="CD150" s="321">
        <f t="shared" si="228"/>
        <v>0</v>
      </c>
      <c r="CE150" s="321">
        <f t="shared" si="228"/>
        <v>0</v>
      </c>
      <c r="CF150" s="322">
        <f t="shared" si="193"/>
        <v>0.59286775631500732</v>
      </c>
      <c r="CG150" s="217"/>
      <c r="CH150" s="217"/>
      <c r="CI150" s="217"/>
      <c r="CJ150" s="217"/>
      <c r="CK150" s="217"/>
    </row>
    <row r="151" spans="1:89" x14ac:dyDescent="0.3">
      <c r="A151" s="217"/>
      <c r="B151" s="260" t="s">
        <v>551</v>
      </c>
      <c r="C151" s="321">
        <f t="shared" ref="C151:AH151" si="229">SUMIF($F$53:$F$55,C$101,$S$53:$S$55)</f>
        <v>0</v>
      </c>
      <c r="D151" s="321">
        <f t="shared" si="229"/>
        <v>0</v>
      </c>
      <c r="E151" s="321">
        <f t="shared" si="229"/>
        <v>0</v>
      </c>
      <c r="F151" s="321">
        <f t="shared" si="229"/>
        <v>0</v>
      </c>
      <c r="G151" s="321">
        <f t="shared" si="229"/>
        <v>0</v>
      </c>
      <c r="H151" s="321">
        <f t="shared" si="229"/>
        <v>0</v>
      </c>
      <c r="I151" s="321">
        <f t="shared" si="229"/>
        <v>0</v>
      </c>
      <c r="J151" s="321">
        <f t="shared" si="229"/>
        <v>0</v>
      </c>
      <c r="K151" s="321">
        <f t="shared" si="229"/>
        <v>0</v>
      </c>
      <c r="L151" s="321">
        <f t="shared" si="229"/>
        <v>0</v>
      </c>
      <c r="M151" s="321">
        <f t="shared" si="229"/>
        <v>0</v>
      </c>
      <c r="N151" s="321">
        <f t="shared" si="229"/>
        <v>0</v>
      </c>
      <c r="O151" s="321">
        <f t="shared" si="229"/>
        <v>0</v>
      </c>
      <c r="P151" s="321">
        <f t="shared" si="229"/>
        <v>0</v>
      </c>
      <c r="Q151" s="321">
        <f t="shared" si="229"/>
        <v>0</v>
      </c>
      <c r="R151" s="321">
        <f t="shared" si="229"/>
        <v>0</v>
      </c>
      <c r="S151" s="321">
        <f t="shared" si="229"/>
        <v>0</v>
      </c>
      <c r="T151" s="321">
        <f t="shared" si="229"/>
        <v>0</v>
      </c>
      <c r="U151" s="321">
        <f t="shared" si="229"/>
        <v>0</v>
      </c>
      <c r="V151" s="321">
        <f t="shared" si="229"/>
        <v>0</v>
      </c>
      <c r="W151" s="321">
        <f t="shared" si="229"/>
        <v>0</v>
      </c>
      <c r="X151" s="321">
        <f t="shared" si="229"/>
        <v>0</v>
      </c>
      <c r="Y151" s="321">
        <f t="shared" si="229"/>
        <v>0</v>
      </c>
      <c r="Z151" s="321">
        <f t="shared" si="229"/>
        <v>0</v>
      </c>
      <c r="AA151" s="321">
        <f t="shared" si="229"/>
        <v>0</v>
      </c>
      <c r="AB151" s="321">
        <f t="shared" si="229"/>
        <v>0</v>
      </c>
      <c r="AC151" s="321">
        <f t="shared" si="229"/>
        <v>0</v>
      </c>
      <c r="AD151" s="321">
        <f t="shared" si="229"/>
        <v>0</v>
      </c>
      <c r="AE151" s="321">
        <f t="shared" si="229"/>
        <v>0</v>
      </c>
      <c r="AF151" s="321">
        <f t="shared" si="229"/>
        <v>0</v>
      </c>
      <c r="AG151" s="321">
        <f t="shared" si="229"/>
        <v>0</v>
      </c>
      <c r="AH151" s="321">
        <f t="shared" si="229"/>
        <v>0</v>
      </c>
      <c r="AI151" s="321">
        <f t="shared" ref="AI151:BN151" si="230">SUMIF($F$53:$F$55,AI$101,$S$53:$S$55)</f>
        <v>0</v>
      </c>
      <c r="AJ151" s="321">
        <f t="shared" si="230"/>
        <v>0.5</v>
      </c>
      <c r="AK151" s="321">
        <f t="shared" si="230"/>
        <v>0</v>
      </c>
      <c r="AL151" s="321">
        <f t="shared" si="230"/>
        <v>0</v>
      </c>
      <c r="AM151" s="321">
        <f t="shared" si="230"/>
        <v>0</v>
      </c>
      <c r="AN151" s="321">
        <f t="shared" si="230"/>
        <v>0</v>
      </c>
      <c r="AO151" s="321">
        <f t="shared" si="230"/>
        <v>0</v>
      </c>
      <c r="AP151" s="321">
        <f t="shared" si="230"/>
        <v>0</v>
      </c>
      <c r="AQ151" s="321">
        <f t="shared" si="230"/>
        <v>0</v>
      </c>
      <c r="AR151" s="321">
        <f t="shared" si="230"/>
        <v>0</v>
      </c>
      <c r="AS151" s="321">
        <f t="shared" si="230"/>
        <v>0</v>
      </c>
      <c r="AT151" s="321">
        <f t="shared" si="230"/>
        <v>0</v>
      </c>
      <c r="AU151" s="321">
        <f t="shared" si="230"/>
        <v>0</v>
      </c>
      <c r="AV151" s="321">
        <f t="shared" si="230"/>
        <v>0</v>
      </c>
      <c r="AW151" s="321">
        <f t="shared" si="230"/>
        <v>0</v>
      </c>
      <c r="AX151" s="321">
        <f t="shared" si="230"/>
        <v>0</v>
      </c>
      <c r="AY151" s="321">
        <f t="shared" si="230"/>
        <v>0</v>
      </c>
      <c r="AZ151" s="321">
        <f t="shared" si="230"/>
        <v>0</v>
      </c>
      <c r="BA151" s="321">
        <f t="shared" si="230"/>
        <v>0</v>
      </c>
      <c r="BB151" s="321">
        <f t="shared" si="230"/>
        <v>0</v>
      </c>
      <c r="BC151" s="321">
        <f t="shared" si="230"/>
        <v>0</v>
      </c>
      <c r="BD151" s="321">
        <f t="shared" si="230"/>
        <v>0</v>
      </c>
      <c r="BE151" s="321">
        <f t="shared" si="230"/>
        <v>0</v>
      </c>
      <c r="BF151" s="321">
        <f t="shared" si="230"/>
        <v>0</v>
      </c>
      <c r="BG151" s="321">
        <f t="shared" si="230"/>
        <v>0</v>
      </c>
      <c r="BH151" s="321">
        <f t="shared" si="230"/>
        <v>0</v>
      </c>
      <c r="BI151" s="321">
        <f t="shared" si="230"/>
        <v>0</v>
      </c>
      <c r="BJ151" s="321">
        <f t="shared" si="230"/>
        <v>0</v>
      </c>
      <c r="BK151" s="321">
        <f t="shared" si="230"/>
        <v>0</v>
      </c>
      <c r="BL151" s="321">
        <f t="shared" si="230"/>
        <v>0</v>
      </c>
      <c r="BM151" s="321">
        <f t="shared" si="230"/>
        <v>0</v>
      </c>
      <c r="BN151" s="321">
        <f t="shared" si="230"/>
        <v>0</v>
      </c>
      <c r="BO151" s="321">
        <f t="shared" ref="BO151:CE151" si="231">SUMIF($F$53:$F$55,BO$101,$S$53:$S$55)</f>
        <v>0</v>
      </c>
      <c r="BP151" s="321">
        <f t="shared" si="231"/>
        <v>0</v>
      </c>
      <c r="BQ151" s="321">
        <f t="shared" si="231"/>
        <v>0</v>
      </c>
      <c r="BR151" s="321">
        <f t="shared" si="231"/>
        <v>0</v>
      </c>
      <c r="BS151" s="321">
        <f t="shared" si="231"/>
        <v>0</v>
      </c>
      <c r="BT151" s="321">
        <f t="shared" si="231"/>
        <v>0</v>
      </c>
      <c r="BU151" s="321">
        <f t="shared" si="231"/>
        <v>0</v>
      </c>
      <c r="BV151" s="321">
        <f t="shared" si="231"/>
        <v>0</v>
      </c>
      <c r="BW151" s="321">
        <f t="shared" si="231"/>
        <v>0</v>
      </c>
      <c r="BX151" s="321">
        <f t="shared" si="231"/>
        <v>0</v>
      </c>
      <c r="BY151" s="321">
        <f t="shared" si="231"/>
        <v>0</v>
      </c>
      <c r="BZ151" s="321">
        <f t="shared" si="231"/>
        <v>0</v>
      </c>
      <c r="CA151" s="321">
        <f t="shared" si="231"/>
        <v>0</v>
      </c>
      <c r="CB151" s="321">
        <f t="shared" si="231"/>
        <v>0</v>
      </c>
      <c r="CC151" s="321">
        <f t="shared" si="231"/>
        <v>0</v>
      </c>
      <c r="CD151" s="321">
        <f t="shared" si="231"/>
        <v>0</v>
      </c>
      <c r="CE151" s="321">
        <f t="shared" si="231"/>
        <v>0</v>
      </c>
      <c r="CF151" s="322">
        <f t="shared" si="193"/>
        <v>0.5</v>
      </c>
      <c r="CG151" s="217"/>
      <c r="CH151" s="217"/>
      <c r="CI151" s="217"/>
      <c r="CJ151" s="217"/>
      <c r="CK151" s="217"/>
    </row>
    <row r="152" spans="1:89" x14ac:dyDescent="0.3">
      <c r="A152" s="217"/>
      <c r="B152" s="260" t="s">
        <v>552</v>
      </c>
      <c r="C152" s="321">
        <f t="shared" ref="C152:AH152" si="232">SUMIF($F$56,C$101,$S$56)</f>
        <v>0</v>
      </c>
      <c r="D152" s="321">
        <f t="shared" si="232"/>
        <v>0</v>
      </c>
      <c r="E152" s="321">
        <f t="shared" si="232"/>
        <v>0</v>
      </c>
      <c r="F152" s="321">
        <f t="shared" si="232"/>
        <v>0</v>
      </c>
      <c r="G152" s="321">
        <f t="shared" si="232"/>
        <v>0</v>
      </c>
      <c r="H152" s="321">
        <f t="shared" si="232"/>
        <v>0</v>
      </c>
      <c r="I152" s="321">
        <f t="shared" si="232"/>
        <v>0</v>
      </c>
      <c r="J152" s="321">
        <f t="shared" si="232"/>
        <v>0</v>
      </c>
      <c r="K152" s="321">
        <f t="shared" si="232"/>
        <v>0</v>
      </c>
      <c r="L152" s="321">
        <f t="shared" si="232"/>
        <v>0</v>
      </c>
      <c r="M152" s="321">
        <f t="shared" si="232"/>
        <v>0</v>
      </c>
      <c r="N152" s="321">
        <f t="shared" si="232"/>
        <v>0</v>
      </c>
      <c r="O152" s="321">
        <f t="shared" si="232"/>
        <v>0</v>
      </c>
      <c r="P152" s="321">
        <f t="shared" si="232"/>
        <v>0</v>
      </c>
      <c r="Q152" s="321">
        <f t="shared" si="232"/>
        <v>0</v>
      </c>
      <c r="R152" s="321">
        <f t="shared" si="232"/>
        <v>0</v>
      </c>
      <c r="S152" s="321">
        <f t="shared" si="232"/>
        <v>0</v>
      </c>
      <c r="T152" s="321">
        <f t="shared" si="232"/>
        <v>0</v>
      </c>
      <c r="U152" s="321">
        <f t="shared" si="232"/>
        <v>0</v>
      </c>
      <c r="V152" s="321">
        <f t="shared" si="232"/>
        <v>0</v>
      </c>
      <c r="W152" s="321">
        <f t="shared" si="232"/>
        <v>0</v>
      </c>
      <c r="X152" s="321">
        <f t="shared" si="232"/>
        <v>0.6</v>
      </c>
      <c r="Y152" s="321">
        <f t="shared" si="232"/>
        <v>0</v>
      </c>
      <c r="Z152" s="321">
        <f t="shared" si="232"/>
        <v>0</v>
      </c>
      <c r="AA152" s="321">
        <f t="shared" si="232"/>
        <v>0</v>
      </c>
      <c r="AB152" s="321">
        <f t="shared" si="232"/>
        <v>0</v>
      </c>
      <c r="AC152" s="321">
        <f t="shared" si="232"/>
        <v>0</v>
      </c>
      <c r="AD152" s="321">
        <f t="shared" si="232"/>
        <v>0</v>
      </c>
      <c r="AE152" s="321">
        <f t="shared" si="232"/>
        <v>0</v>
      </c>
      <c r="AF152" s="321">
        <f t="shared" si="232"/>
        <v>0</v>
      </c>
      <c r="AG152" s="321">
        <f t="shared" si="232"/>
        <v>0</v>
      </c>
      <c r="AH152" s="321">
        <f t="shared" si="232"/>
        <v>0</v>
      </c>
      <c r="AI152" s="321">
        <f t="shared" ref="AI152:BN152" si="233">SUMIF($F$56,AI$101,$S$56)</f>
        <v>0</v>
      </c>
      <c r="AJ152" s="321">
        <f t="shared" si="233"/>
        <v>0</v>
      </c>
      <c r="AK152" s="321">
        <f t="shared" si="233"/>
        <v>0</v>
      </c>
      <c r="AL152" s="321">
        <f t="shared" si="233"/>
        <v>0</v>
      </c>
      <c r="AM152" s="321">
        <f t="shared" si="233"/>
        <v>0</v>
      </c>
      <c r="AN152" s="321">
        <f t="shared" si="233"/>
        <v>0</v>
      </c>
      <c r="AO152" s="321">
        <f t="shared" si="233"/>
        <v>0</v>
      </c>
      <c r="AP152" s="321">
        <f t="shared" si="233"/>
        <v>0</v>
      </c>
      <c r="AQ152" s="321">
        <f t="shared" si="233"/>
        <v>0</v>
      </c>
      <c r="AR152" s="321">
        <f t="shared" si="233"/>
        <v>0</v>
      </c>
      <c r="AS152" s="321">
        <f t="shared" si="233"/>
        <v>0</v>
      </c>
      <c r="AT152" s="321">
        <f t="shared" si="233"/>
        <v>0</v>
      </c>
      <c r="AU152" s="321">
        <f t="shared" si="233"/>
        <v>0</v>
      </c>
      <c r="AV152" s="321">
        <f t="shared" si="233"/>
        <v>0</v>
      </c>
      <c r="AW152" s="321">
        <f t="shared" si="233"/>
        <v>0</v>
      </c>
      <c r="AX152" s="321">
        <f t="shared" si="233"/>
        <v>0</v>
      </c>
      <c r="AY152" s="321">
        <f t="shared" si="233"/>
        <v>0</v>
      </c>
      <c r="AZ152" s="321">
        <f t="shared" si="233"/>
        <v>0</v>
      </c>
      <c r="BA152" s="321">
        <f t="shared" si="233"/>
        <v>0</v>
      </c>
      <c r="BB152" s="321">
        <f t="shared" si="233"/>
        <v>0</v>
      </c>
      <c r="BC152" s="321">
        <f t="shared" si="233"/>
        <v>0</v>
      </c>
      <c r="BD152" s="321">
        <f t="shared" si="233"/>
        <v>0</v>
      </c>
      <c r="BE152" s="321">
        <f t="shared" si="233"/>
        <v>0</v>
      </c>
      <c r="BF152" s="321">
        <f t="shared" si="233"/>
        <v>0</v>
      </c>
      <c r="BG152" s="321">
        <f t="shared" si="233"/>
        <v>0</v>
      </c>
      <c r="BH152" s="321">
        <f t="shared" si="233"/>
        <v>0</v>
      </c>
      <c r="BI152" s="321">
        <f t="shared" si="233"/>
        <v>0</v>
      </c>
      <c r="BJ152" s="321">
        <f t="shared" si="233"/>
        <v>0</v>
      </c>
      <c r="BK152" s="321">
        <f t="shared" si="233"/>
        <v>0</v>
      </c>
      <c r="BL152" s="321">
        <f t="shared" si="233"/>
        <v>0</v>
      </c>
      <c r="BM152" s="321">
        <f t="shared" si="233"/>
        <v>0</v>
      </c>
      <c r="BN152" s="321">
        <f t="shared" si="233"/>
        <v>0</v>
      </c>
      <c r="BO152" s="321">
        <f t="shared" ref="BO152:CE152" si="234">SUMIF($F$56,BO$101,$S$56)</f>
        <v>0</v>
      </c>
      <c r="BP152" s="321">
        <f t="shared" si="234"/>
        <v>0</v>
      </c>
      <c r="BQ152" s="321">
        <f t="shared" si="234"/>
        <v>0</v>
      </c>
      <c r="BR152" s="321">
        <f t="shared" si="234"/>
        <v>0</v>
      </c>
      <c r="BS152" s="321">
        <f t="shared" si="234"/>
        <v>0</v>
      </c>
      <c r="BT152" s="321">
        <f t="shared" si="234"/>
        <v>0</v>
      </c>
      <c r="BU152" s="321">
        <f t="shared" si="234"/>
        <v>0</v>
      </c>
      <c r="BV152" s="321">
        <f t="shared" si="234"/>
        <v>0</v>
      </c>
      <c r="BW152" s="321">
        <f t="shared" si="234"/>
        <v>0</v>
      </c>
      <c r="BX152" s="321">
        <f t="shared" si="234"/>
        <v>0</v>
      </c>
      <c r="BY152" s="321">
        <f t="shared" si="234"/>
        <v>0</v>
      </c>
      <c r="BZ152" s="321">
        <f t="shared" si="234"/>
        <v>0</v>
      </c>
      <c r="CA152" s="321">
        <f t="shared" si="234"/>
        <v>0</v>
      </c>
      <c r="CB152" s="321">
        <f t="shared" si="234"/>
        <v>0</v>
      </c>
      <c r="CC152" s="321">
        <f t="shared" si="234"/>
        <v>0</v>
      </c>
      <c r="CD152" s="321">
        <f t="shared" si="234"/>
        <v>0</v>
      </c>
      <c r="CE152" s="321">
        <f t="shared" si="234"/>
        <v>0</v>
      </c>
      <c r="CF152" s="322">
        <f t="shared" si="193"/>
        <v>0.6</v>
      </c>
      <c r="CG152" s="217"/>
      <c r="CH152" s="217"/>
      <c r="CI152" s="217"/>
      <c r="CJ152" s="217"/>
      <c r="CK152" s="217"/>
    </row>
    <row r="153" spans="1:89" x14ac:dyDescent="0.3">
      <c r="A153" s="217"/>
      <c r="B153" s="260" t="s">
        <v>553</v>
      </c>
      <c r="C153" s="321">
        <f t="shared" ref="C153:AH153" si="235">SUMIF($F$57,C$101,$S$57)</f>
        <v>0</v>
      </c>
      <c r="D153" s="321">
        <f t="shared" si="235"/>
        <v>0</v>
      </c>
      <c r="E153" s="321">
        <f t="shared" si="235"/>
        <v>0</v>
      </c>
      <c r="F153" s="321">
        <f t="shared" si="235"/>
        <v>0</v>
      </c>
      <c r="G153" s="321">
        <f t="shared" si="235"/>
        <v>0</v>
      </c>
      <c r="H153" s="321">
        <f t="shared" si="235"/>
        <v>0</v>
      </c>
      <c r="I153" s="321">
        <f t="shared" si="235"/>
        <v>0</v>
      </c>
      <c r="J153" s="321">
        <f t="shared" si="235"/>
        <v>0</v>
      </c>
      <c r="K153" s="321">
        <f t="shared" si="235"/>
        <v>0</v>
      </c>
      <c r="L153" s="321">
        <f t="shared" si="235"/>
        <v>0</v>
      </c>
      <c r="M153" s="321">
        <f t="shared" si="235"/>
        <v>0</v>
      </c>
      <c r="N153" s="321">
        <f t="shared" si="235"/>
        <v>0</v>
      </c>
      <c r="O153" s="321">
        <f t="shared" si="235"/>
        <v>0</v>
      </c>
      <c r="P153" s="321">
        <f t="shared" si="235"/>
        <v>0</v>
      </c>
      <c r="Q153" s="321">
        <f t="shared" si="235"/>
        <v>0</v>
      </c>
      <c r="R153" s="321">
        <f t="shared" si="235"/>
        <v>0</v>
      </c>
      <c r="S153" s="321">
        <f t="shared" si="235"/>
        <v>0</v>
      </c>
      <c r="T153" s="321">
        <f t="shared" si="235"/>
        <v>0</v>
      </c>
      <c r="U153" s="321">
        <f t="shared" si="235"/>
        <v>0</v>
      </c>
      <c r="V153" s="321">
        <f t="shared" si="235"/>
        <v>0</v>
      </c>
      <c r="W153" s="321">
        <f t="shared" si="235"/>
        <v>0</v>
      </c>
      <c r="X153" s="321">
        <f t="shared" si="235"/>
        <v>0</v>
      </c>
      <c r="Y153" s="321">
        <f t="shared" si="235"/>
        <v>0</v>
      </c>
      <c r="Z153" s="321">
        <f t="shared" si="235"/>
        <v>0</v>
      </c>
      <c r="AA153" s="321">
        <f t="shared" si="235"/>
        <v>0</v>
      </c>
      <c r="AB153" s="321">
        <f t="shared" si="235"/>
        <v>0</v>
      </c>
      <c r="AC153" s="321">
        <f t="shared" si="235"/>
        <v>0</v>
      </c>
      <c r="AD153" s="321">
        <f t="shared" si="235"/>
        <v>0</v>
      </c>
      <c r="AE153" s="321">
        <f t="shared" si="235"/>
        <v>0</v>
      </c>
      <c r="AF153" s="321">
        <f t="shared" si="235"/>
        <v>0</v>
      </c>
      <c r="AG153" s="321">
        <f t="shared" si="235"/>
        <v>0</v>
      </c>
      <c r="AH153" s="321">
        <f t="shared" si="235"/>
        <v>0</v>
      </c>
      <c r="AI153" s="321">
        <f t="shared" ref="AI153:BN153" si="236">SUMIF($F$57,AI$101,$S$57)</f>
        <v>0</v>
      </c>
      <c r="AJ153" s="321">
        <f t="shared" si="236"/>
        <v>0.5</v>
      </c>
      <c r="AK153" s="321">
        <f t="shared" si="236"/>
        <v>0</v>
      </c>
      <c r="AL153" s="321">
        <f t="shared" si="236"/>
        <v>0</v>
      </c>
      <c r="AM153" s="321">
        <f t="shared" si="236"/>
        <v>0</v>
      </c>
      <c r="AN153" s="321">
        <f t="shared" si="236"/>
        <v>0</v>
      </c>
      <c r="AO153" s="321">
        <f t="shared" si="236"/>
        <v>0</v>
      </c>
      <c r="AP153" s="321">
        <f t="shared" si="236"/>
        <v>0</v>
      </c>
      <c r="AQ153" s="321">
        <f t="shared" si="236"/>
        <v>0</v>
      </c>
      <c r="AR153" s="321">
        <f t="shared" si="236"/>
        <v>0</v>
      </c>
      <c r="AS153" s="321">
        <f t="shared" si="236"/>
        <v>0</v>
      </c>
      <c r="AT153" s="321">
        <f t="shared" si="236"/>
        <v>0</v>
      </c>
      <c r="AU153" s="321">
        <f t="shared" si="236"/>
        <v>0</v>
      </c>
      <c r="AV153" s="321">
        <f t="shared" si="236"/>
        <v>0</v>
      </c>
      <c r="AW153" s="321">
        <f t="shared" si="236"/>
        <v>0</v>
      </c>
      <c r="AX153" s="321">
        <f t="shared" si="236"/>
        <v>0</v>
      </c>
      <c r="AY153" s="321">
        <f t="shared" si="236"/>
        <v>0</v>
      </c>
      <c r="AZ153" s="321">
        <f t="shared" si="236"/>
        <v>0</v>
      </c>
      <c r="BA153" s="321">
        <f t="shared" si="236"/>
        <v>0</v>
      </c>
      <c r="BB153" s="321">
        <f t="shared" si="236"/>
        <v>0</v>
      </c>
      <c r="BC153" s="321">
        <f t="shared" si="236"/>
        <v>0</v>
      </c>
      <c r="BD153" s="321">
        <f t="shared" si="236"/>
        <v>0</v>
      </c>
      <c r="BE153" s="321">
        <f t="shared" si="236"/>
        <v>0</v>
      </c>
      <c r="BF153" s="321">
        <f t="shared" si="236"/>
        <v>0</v>
      </c>
      <c r="BG153" s="321">
        <f t="shared" si="236"/>
        <v>0</v>
      </c>
      <c r="BH153" s="321">
        <f t="shared" si="236"/>
        <v>0</v>
      </c>
      <c r="BI153" s="321">
        <f t="shared" si="236"/>
        <v>0</v>
      </c>
      <c r="BJ153" s="321">
        <f t="shared" si="236"/>
        <v>0</v>
      </c>
      <c r="BK153" s="321">
        <f t="shared" si="236"/>
        <v>0</v>
      </c>
      <c r="BL153" s="321">
        <f t="shared" si="236"/>
        <v>0</v>
      </c>
      <c r="BM153" s="321">
        <f t="shared" si="236"/>
        <v>0</v>
      </c>
      <c r="BN153" s="321">
        <f t="shared" si="236"/>
        <v>0</v>
      </c>
      <c r="BO153" s="321">
        <f t="shared" ref="BO153:CE153" si="237">SUMIF($F$57,BO$101,$S$57)</f>
        <v>0</v>
      </c>
      <c r="BP153" s="321">
        <f t="shared" si="237"/>
        <v>0</v>
      </c>
      <c r="BQ153" s="321">
        <f t="shared" si="237"/>
        <v>0</v>
      </c>
      <c r="BR153" s="321">
        <f t="shared" si="237"/>
        <v>0</v>
      </c>
      <c r="BS153" s="321">
        <f t="shared" si="237"/>
        <v>0</v>
      </c>
      <c r="BT153" s="321">
        <f t="shared" si="237"/>
        <v>0</v>
      </c>
      <c r="BU153" s="321">
        <f t="shared" si="237"/>
        <v>0</v>
      </c>
      <c r="BV153" s="321">
        <f t="shared" si="237"/>
        <v>0</v>
      </c>
      <c r="BW153" s="321">
        <f t="shared" si="237"/>
        <v>0</v>
      </c>
      <c r="BX153" s="321">
        <f t="shared" si="237"/>
        <v>0</v>
      </c>
      <c r="BY153" s="321">
        <f t="shared" si="237"/>
        <v>0</v>
      </c>
      <c r="BZ153" s="321">
        <f t="shared" si="237"/>
        <v>0</v>
      </c>
      <c r="CA153" s="321">
        <f t="shared" si="237"/>
        <v>0</v>
      </c>
      <c r="CB153" s="321">
        <f t="shared" si="237"/>
        <v>0</v>
      </c>
      <c r="CC153" s="321">
        <f t="shared" si="237"/>
        <v>0</v>
      </c>
      <c r="CD153" s="321">
        <f t="shared" si="237"/>
        <v>0</v>
      </c>
      <c r="CE153" s="321">
        <f t="shared" si="237"/>
        <v>0</v>
      </c>
      <c r="CF153" s="322">
        <f t="shared" si="193"/>
        <v>0.5</v>
      </c>
      <c r="CG153" s="217"/>
      <c r="CH153" s="217"/>
      <c r="CI153" s="217"/>
      <c r="CJ153" s="217"/>
      <c r="CK153" s="217"/>
    </row>
    <row r="154" spans="1:89" x14ac:dyDescent="0.3">
      <c r="A154" s="217"/>
      <c r="B154" s="260" t="s">
        <v>554</v>
      </c>
      <c r="C154" s="321">
        <f t="shared" ref="C154:AH154" si="238">SUMIF($F$58,C$101,$S$58)</f>
        <v>0</v>
      </c>
      <c r="D154" s="321">
        <f t="shared" si="238"/>
        <v>0</v>
      </c>
      <c r="E154" s="321">
        <f t="shared" si="238"/>
        <v>0</v>
      </c>
      <c r="F154" s="321">
        <f t="shared" si="238"/>
        <v>0</v>
      </c>
      <c r="G154" s="321">
        <f t="shared" si="238"/>
        <v>0</v>
      </c>
      <c r="H154" s="321">
        <f t="shared" si="238"/>
        <v>0</v>
      </c>
      <c r="I154" s="321">
        <f t="shared" si="238"/>
        <v>0</v>
      </c>
      <c r="J154" s="321">
        <f t="shared" si="238"/>
        <v>0</v>
      </c>
      <c r="K154" s="321">
        <f t="shared" si="238"/>
        <v>0</v>
      </c>
      <c r="L154" s="321">
        <f t="shared" si="238"/>
        <v>0</v>
      </c>
      <c r="M154" s="321">
        <f t="shared" si="238"/>
        <v>0</v>
      </c>
      <c r="N154" s="321">
        <f t="shared" si="238"/>
        <v>0</v>
      </c>
      <c r="O154" s="321">
        <f t="shared" si="238"/>
        <v>0</v>
      </c>
      <c r="P154" s="321">
        <f t="shared" si="238"/>
        <v>0</v>
      </c>
      <c r="Q154" s="321">
        <f t="shared" si="238"/>
        <v>0</v>
      </c>
      <c r="R154" s="321">
        <f t="shared" si="238"/>
        <v>0</v>
      </c>
      <c r="S154" s="321">
        <f t="shared" si="238"/>
        <v>0</v>
      </c>
      <c r="T154" s="321">
        <f t="shared" si="238"/>
        <v>0</v>
      </c>
      <c r="U154" s="321">
        <f t="shared" si="238"/>
        <v>0</v>
      </c>
      <c r="V154" s="321">
        <f t="shared" si="238"/>
        <v>0</v>
      </c>
      <c r="W154" s="321">
        <f t="shared" si="238"/>
        <v>0</v>
      </c>
      <c r="X154" s="321">
        <f t="shared" si="238"/>
        <v>0</v>
      </c>
      <c r="Y154" s="321">
        <f t="shared" si="238"/>
        <v>0</v>
      </c>
      <c r="Z154" s="321">
        <f t="shared" si="238"/>
        <v>0</v>
      </c>
      <c r="AA154" s="321">
        <f t="shared" si="238"/>
        <v>0</v>
      </c>
      <c r="AB154" s="321">
        <f t="shared" si="238"/>
        <v>0</v>
      </c>
      <c r="AC154" s="321">
        <f t="shared" si="238"/>
        <v>0</v>
      </c>
      <c r="AD154" s="321">
        <f t="shared" si="238"/>
        <v>0</v>
      </c>
      <c r="AE154" s="321">
        <f t="shared" si="238"/>
        <v>0</v>
      </c>
      <c r="AF154" s="321">
        <f t="shared" si="238"/>
        <v>0</v>
      </c>
      <c r="AG154" s="321">
        <f t="shared" si="238"/>
        <v>0</v>
      </c>
      <c r="AH154" s="321">
        <f t="shared" si="238"/>
        <v>0</v>
      </c>
      <c r="AI154" s="321">
        <f t="shared" ref="AI154:BN154" si="239">SUMIF($F$58,AI$101,$S$58)</f>
        <v>0</v>
      </c>
      <c r="AJ154" s="321">
        <f t="shared" si="239"/>
        <v>0.5</v>
      </c>
      <c r="AK154" s="321">
        <f t="shared" si="239"/>
        <v>0</v>
      </c>
      <c r="AL154" s="321">
        <f t="shared" si="239"/>
        <v>0</v>
      </c>
      <c r="AM154" s="321">
        <f t="shared" si="239"/>
        <v>0</v>
      </c>
      <c r="AN154" s="321">
        <f t="shared" si="239"/>
        <v>0</v>
      </c>
      <c r="AO154" s="321">
        <f t="shared" si="239"/>
        <v>0</v>
      </c>
      <c r="AP154" s="321">
        <f t="shared" si="239"/>
        <v>0</v>
      </c>
      <c r="AQ154" s="321">
        <f t="shared" si="239"/>
        <v>0</v>
      </c>
      <c r="AR154" s="321">
        <f t="shared" si="239"/>
        <v>0</v>
      </c>
      <c r="AS154" s="321">
        <f t="shared" si="239"/>
        <v>0</v>
      </c>
      <c r="AT154" s="321">
        <f t="shared" si="239"/>
        <v>0</v>
      </c>
      <c r="AU154" s="321">
        <f t="shared" si="239"/>
        <v>0</v>
      </c>
      <c r="AV154" s="321">
        <f t="shared" si="239"/>
        <v>0</v>
      </c>
      <c r="AW154" s="321">
        <f t="shared" si="239"/>
        <v>0</v>
      </c>
      <c r="AX154" s="321">
        <f t="shared" si="239"/>
        <v>0</v>
      </c>
      <c r="AY154" s="321">
        <f t="shared" si="239"/>
        <v>0</v>
      </c>
      <c r="AZ154" s="321">
        <f t="shared" si="239"/>
        <v>0</v>
      </c>
      <c r="BA154" s="321">
        <f t="shared" si="239"/>
        <v>0</v>
      </c>
      <c r="BB154" s="321">
        <f t="shared" si="239"/>
        <v>0</v>
      </c>
      <c r="BC154" s="321">
        <f t="shared" si="239"/>
        <v>0</v>
      </c>
      <c r="BD154" s="321">
        <f t="shared" si="239"/>
        <v>0</v>
      </c>
      <c r="BE154" s="321">
        <f t="shared" si="239"/>
        <v>0</v>
      </c>
      <c r="BF154" s="321">
        <f t="shared" si="239"/>
        <v>0</v>
      </c>
      <c r="BG154" s="321">
        <f t="shared" si="239"/>
        <v>0</v>
      </c>
      <c r="BH154" s="321">
        <f t="shared" si="239"/>
        <v>0</v>
      </c>
      <c r="BI154" s="321">
        <f t="shared" si="239"/>
        <v>0</v>
      </c>
      <c r="BJ154" s="321">
        <f t="shared" si="239"/>
        <v>0</v>
      </c>
      <c r="BK154" s="321">
        <f t="shared" si="239"/>
        <v>0</v>
      </c>
      <c r="BL154" s="321">
        <f t="shared" si="239"/>
        <v>0</v>
      </c>
      <c r="BM154" s="321">
        <f t="shared" si="239"/>
        <v>0</v>
      </c>
      <c r="BN154" s="321">
        <f t="shared" si="239"/>
        <v>0</v>
      </c>
      <c r="BO154" s="321">
        <f t="shared" ref="BO154:CE154" si="240">SUMIF($F$58,BO$101,$S$58)</f>
        <v>0</v>
      </c>
      <c r="BP154" s="321">
        <f t="shared" si="240"/>
        <v>0</v>
      </c>
      <c r="BQ154" s="321">
        <f t="shared" si="240"/>
        <v>0</v>
      </c>
      <c r="BR154" s="321">
        <f t="shared" si="240"/>
        <v>0</v>
      </c>
      <c r="BS154" s="321">
        <f t="shared" si="240"/>
        <v>0</v>
      </c>
      <c r="BT154" s="321">
        <f t="shared" si="240"/>
        <v>0</v>
      </c>
      <c r="BU154" s="321">
        <f t="shared" si="240"/>
        <v>0</v>
      </c>
      <c r="BV154" s="321">
        <f t="shared" si="240"/>
        <v>0</v>
      </c>
      <c r="BW154" s="321">
        <f t="shared" si="240"/>
        <v>0</v>
      </c>
      <c r="BX154" s="321">
        <f t="shared" si="240"/>
        <v>0</v>
      </c>
      <c r="BY154" s="321">
        <f t="shared" si="240"/>
        <v>0</v>
      </c>
      <c r="BZ154" s="321">
        <f t="shared" si="240"/>
        <v>0</v>
      </c>
      <c r="CA154" s="321">
        <f t="shared" si="240"/>
        <v>0</v>
      </c>
      <c r="CB154" s="321">
        <f t="shared" si="240"/>
        <v>0</v>
      </c>
      <c r="CC154" s="321">
        <f t="shared" si="240"/>
        <v>0</v>
      </c>
      <c r="CD154" s="321">
        <f t="shared" si="240"/>
        <v>0</v>
      </c>
      <c r="CE154" s="321">
        <f t="shared" si="240"/>
        <v>0</v>
      </c>
      <c r="CF154" s="322">
        <f t="shared" si="193"/>
        <v>0.5</v>
      </c>
      <c r="CG154" s="217"/>
      <c r="CH154" s="217"/>
      <c r="CI154" s="217"/>
      <c r="CJ154" s="217"/>
      <c r="CK154" s="217"/>
    </row>
    <row r="155" spans="1:89" x14ac:dyDescent="0.3">
      <c r="A155" s="217"/>
      <c r="B155" s="262" t="s">
        <v>435</v>
      </c>
      <c r="C155" s="321">
        <f t="shared" ref="C155:AH155" si="241">SUMIF($F$59:$F$63,C$101,$S$59:$S$63)</f>
        <v>0</v>
      </c>
      <c r="D155" s="321">
        <f t="shared" si="241"/>
        <v>0</v>
      </c>
      <c r="E155" s="321">
        <f t="shared" si="241"/>
        <v>0</v>
      </c>
      <c r="F155" s="321">
        <f t="shared" si="241"/>
        <v>0</v>
      </c>
      <c r="G155" s="321">
        <f t="shared" si="241"/>
        <v>0</v>
      </c>
      <c r="H155" s="321">
        <f t="shared" si="241"/>
        <v>0</v>
      </c>
      <c r="I155" s="321">
        <f t="shared" si="241"/>
        <v>0.37660061675755807</v>
      </c>
      <c r="J155" s="321">
        <f t="shared" si="241"/>
        <v>0</v>
      </c>
      <c r="K155" s="321">
        <f t="shared" si="241"/>
        <v>0</v>
      </c>
      <c r="L155" s="321">
        <f t="shared" si="241"/>
        <v>0</v>
      </c>
      <c r="M155" s="321">
        <f t="shared" si="241"/>
        <v>0</v>
      </c>
      <c r="N155" s="321">
        <f t="shared" si="241"/>
        <v>0</v>
      </c>
      <c r="O155" s="321">
        <f t="shared" si="241"/>
        <v>0</v>
      </c>
      <c r="P155" s="321">
        <f t="shared" si="241"/>
        <v>0</v>
      </c>
      <c r="Q155" s="321">
        <f t="shared" si="241"/>
        <v>0</v>
      </c>
      <c r="R155" s="321">
        <f t="shared" si="241"/>
        <v>0</v>
      </c>
      <c r="S155" s="321">
        <f t="shared" si="241"/>
        <v>0</v>
      </c>
      <c r="T155" s="321">
        <f t="shared" si="241"/>
        <v>0</v>
      </c>
      <c r="U155" s="321">
        <f t="shared" si="241"/>
        <v>0</v>
      </c>
      <c r="V155" s="321">
        <f t="shared" si="241"/>
        <v>0</v>
      </c>
      <c r="W155" s="321">
        <f t="shared" si="241"/>
        <v>0</v>
      </c>
      <c r="X155" s="321">
        <f t="shared" si="241"/>
        <v>0.24120312585268319</v>
      </c>
      <c r="Y155" s="321">
        <f t="shared" si="241"/>
        <v>0</v>
      </c>
      <c r="Z155" s="321">
        <f t="shared" si="241"/>
        <v>0</v>
      </c>
      <c r="AA155" s="321">
        <f t="shared" si="241"/>
        <v>0</v>
      </c>
      <c r="AB155" s="321">
        <f t="shared" si="241"/>
        <v>0</v>
      </c>
      <c r="AC155" s="321">
        <f t="shared" si="241"/>
        <v>0</v>
      </c>
      <c r="AD155" s="321">
        <f t="shared" si="241"/>
        <v>0</v>
      </c>
      <c r="AE155" s="321">
        <f t="shared" si="241"/>
        <v>0</v>
      </c>
      <c r="AF155" s="321">
        <f t="shared" si="241"/>
        <v>0</v>
      </c>
      <c r="AG155" s="321">
        <f t="shared" si="241"/>
        <v>0</v>
      </c>
      <c r="AH155" s="321">
        <f t="shared" si="241"/>
        <v>0</v>
      </c>
      <c r="AI155" s="321">
        <f t="shared" ref="AI155:BN155" si="242">SUMIF($F$59:$F$63,AI$101,$S$59:$S$63)</f>
        <v>0</v>
      </c>
      <c r="AJ155" s="321">
        <f t="shared" si="242"/>
        <v>0</v>
      </c>
      <c r="AK155" s="321">
        <f t="shared" si="242"/>
        <v>0</v>
      </c>
      <c r="AL155" s="321">
        <f t="shared" si="242"/>
        <v>0</v>
      </c>
      <c r="AM155" s="321">
        <f t="shared" si="242"/>
        <v>0</v>
      </c>
      <c r="AN155" s="321">
        <f t="shared" si="242"/>
        <v>0</v>
      </c>
      <c r="AO155" s="321">
        <f t="shared" si="242"/>
        <v>0</v>
      </c>
      <c r="AP155" s="321">
        <f t="shared" si="242"/>
        <v>0</v>
      </c>
      <c r="AQ155" s="321">
        <f t="shared" si="242"/>
        <v>0</v>
      </c>
      <c r="AR155" s="321">
        <f t="shared" si="242"/>
        <v>0</v>
      </c>
      <c r="AS155" s="321">
        <f t="shared" si="242"/>
        <v>0</v>
      </c>
      <c r="AT155" s="321">
        <f t="shared" si="242"/>
        <v>0</v>
      </c>
      <c r="AU155" s="321">
        <f t="shared" si="242"/>
        <v>0</v>
      </c>
      <c r="AV155" s="321">
        <f t="shared" si="242"/>
        <v>0</v>
      </c>
      <c r="AW155" s="321">
        <f t="shared" si="242"/>
        <v>0</v>
      </c>
      <c r="AX155" s="321">
        <f t="shared" si="242"/>
        <v>0</v>
      </c>
      <c r="AY155" s="321">
        <f t="shared" si="242"/>
        <v>0</v>
      </c>
      <c r="AZ155" s="321">
        <f t="shared" si="242"/>
        <v>0</v>
      </c>
      <c r="BA155" s="321">
        <f t="shared" si="242"/>
        <v>0</v>
      </c>
      <c r="BB155" s="321">
        <f t="shared" si="242"/>
        <v>0</v>
      </c>
      <c r="BC155" s="321">
        <f t="shared" si="242"/>
        <v>0</v>
      </c>
      <c r="BD155" s="321">
        <f t="shared" si="242"/>
        <v>0</v>
      </c>
      <c r="BE155" s="321">
        <f t="shared" si="242"/>
        <v>0</v>
      </c>
      <c r="BF155" s="321">
        <f t="shared" si="242"/>
        <v>0</v>
      </c>
      <c r="BG155" s="321">
        <f t="shared" si="242"/>
        <v>0</v>
      </c>
      <c r="BH155" s="321">
        <f t="shared" si="242"/>
        <v>0</v>
      </c>
      <c r="BI155" s="321">
        <f t="shared" si="242"/>
        <v>0</v>
      </c>
      <c r="BJ155" s="321">
        <f t="shared" si="242"/>
        <v>0</v>
      </c>
      <c r="BK155" s="321">
        <f t="shared" si="242"/>
        <v>0</v>
      </c>
      <c r="BL155" s="321">
        <f t="shared" si="242"/>
        <v>0</v>
      </c>
      <c r="BM155" s="321">
        <f t="shared" si="242"/>
        <v>0</v>
      </c>
      <c r="BN155" s="321">
        <f t="shared" si="242"/>
        <v>0</v>
      </c>
      <c r="BO155" s="321">
        <f t="shared" ref="BO155:CE155" si="243">SUMIF($F$59:$F$63,BO$101,$S$59:$S$63)</f>
        <v>0</v>
      </c>
      <c r="BP155" s="321">
        <f t="shared" si="243"/>
        <v>0</v>
      </c>
      <c r="BQ155" s="321">
        <f t="shared" si="243"/>
        <v>0</v>
      </c>
      <c r="BR155" s="321">
        <f t="shared" si="243"/>
        <v>0</v>
      </c>
      <c r="BS155" s="321">
        <f t="shared" si="243"/>
        <v>0</v>
      </c>
      <c r="BT155" s="321">
        <f t="shared" si="243"/>
        <v>0</v>
      </c>
      <c r="BU155" s="321">
        <f t="shared" si="243"/>
        <v>0</v>
      </c>
      <c r="BV155" s="321">
        <f t="shared" si="243"/>
        <v>0</v>
      </c>
      <c r="BW155" s="321">
        <f t="shared" si="243"/>
        <v>0</v>
      </c>
      <c r="BX155" s="321">
        <f t="shared" si="243"/>
        <v>0</v>
      </c>
      <c r="BY155" s="321">
        <f t="shared" si="243"/>
        <v>0</v>
      </c>
      <c r="BZ155" s="321">
        <f t="shared" si="243"/>
        <v>0</v>
      </c>
      <c r="CA155" s="321">
        <f t="shared" si="243"/>
        <v>0</v>
      </c>
      <c r="CB155" s="321">
        <f t="shared" si="243"/>
        <v>0</v>
      </c>
      <c r="CC155" s="321">
        <f t="shared" si="243"/>
        <v>0</v>
      </c>
      <c r="CD155" s="321">
        <f t="shared" si="243"/>
        <v>0</v>
      </c>
      <c r="CE155" s="321">
        <f t="shared" si="243"/>
        <v>0</v>
      </c>
      <c r="CF155" s="322">
        <f t="shared" si="193"/>
        <v>0.61780374261024129</v>
      </c>
      <c r="CG155" s="217"/>
      <c r="CH155" s="217"/>
      <c r="CI155" s="217"/>
      <c r="CJ155" s="217"/>
      <c r="CK155" s="217"/>
    </row>
    <row r="156" spans="1:89" x14ac:dyDescent="0.3">
      <c r="A156" s="217"/>
      <c r="B156" s="260" t="s">
        <v>347</v>
      </c>
      <c r="C156" s="321">
        <f t="shared" ref="C156:AH156" si="244">SUMIF($F$64:$F$67,C$101,$S$64:$S$67)</f>
        <v>0</v>
      </c>
      <c r="D156" s="321">
        <f t="shared" si="244"/>
        <v>0</v>
      </c>
      <c r="E156" s="321">
        <f t="shared" si="244"/>
        <v>0</v>
      </c>
      <c r="F156" s="321">
        <f t="shared" si="244"/>
        <v>0</v>
      </c>
      <c r="G156" s="321">
        <f t="shared" si="244"/>
        <v>0</v>
      </c>
      <c r="H156" s="321">
        <f t="shared" si="244"/>
        <v>0</v>
      </c>
      <c r="I156" s="321">
        <f t="shared" si="244"/>
        <v>0.8751219512195122</v>
      </c>
      <c r="J156" s="321">
        <f t="shared" si="244"/>
        <v>0</v>
      </c>
      <c r="K156" s="321">
        <f t="shared" si="244"/>
        <v>0</v>
      </c>
      <c r="L156" s="321">
        <f t="shared" si="244"/>
        <v>0</v>
      </c>
      <c r="M156" s="321">
        <f t="shared" si="244"/>
        <v>0</v>
      </c>
      <c r="N156" s="321">
        <f t="shared" si="244"/>
        <v>0</v>
      </c>
      <c r="O156" s="321">
        <f t="shared" si="244"/>
        <v>0</v>
      </c>
      <c r="P156" s="321">
        <f t="shared" si="244"/>
        <v>0</v>
      </c>
      <c r="Q156" s="321">
        <f t="shared" si="244"/>
        <v>0</v>
      </c>
      <c r="R156" s="321">
        <f t="shared" si="244"/>
        <v>0</v>
      </c>
      <c r="S156" s="321">
        <f t="shared" si="244"/>
        <v>0</v>
      </c>
      <c r="T156" s="321">
        <f t="shared" si="244"/>
        <v>0</v>
      </c>
      <c r="U156" s="321">
        <f t="shared" si="244"/>
        <v>0</v>
      </c>
      <c r="V156" s="321">
        <f t="shared" si="244"/>
        <v>0</v>
      </c>
      <c r="W156" s="321">
        <f t="shared" si="244"/>
        <v>0</v>
      </c>
      <c r="X156" s="321">
        <f t="shared" si="244"/>
        <v>0</v>
      </c>
      <c r="Y156" s="321">
        <f t="shared" si="244"/>
        <v>0</v>
      </c>
      <c r="Z156" s="321">
        <f t="shared" si="244"/>
        <v>0</v>
      </c>
      <c r="AA156" s="321">
        <f t="shared" si="244"/>
        <v>0</v>
      </c>
      <c r="AB156" s="321">
        <f t="shared" si="244"/>
        <v>0</v>
      </c>
      <c r="AC156" s="321">
        <f t="shared" si="244"/>
        <v>0</v>
      </c>
      <c r="AD156" s="321">
        <f t="shared" si="244"/>
        <v>0</v>
      </c>
      <c r="AE156" s="321">
        <f t="shared" si="244"/>
        <v>0</v>
      </c>
      <c r="AF156" s="321">
        <f t="shared" si="244"/>
        <v>0</v>
      </c>
      <c r="AG156" s="321">
        <f t="shared" si="244"/>
        <v>0</v>
      </c>
      <c r="AH156" s="321">
        <f t="shared" si="244"/>
        <v>0</v>
      </c>
      <c r="AI156" s="321">
        <f t="shared" ref="AI156:BN156" si="245">SUMIF($F$64:$F$67,AI$101,$S$64:$S$67)</f>
        <v>0</v>
      </c>
      <c r="AJ156" s="321">
        <f t="shared" si="245"/>
        <v>6.2439024390243923E-2</v>
      </c>
      <c r="AK156" s="321">
        <f t="shared" si="245"/>
        <v>0</v>
      </c>
      <c r="AL156" s="321">
        <f t="shared" si="245"/>
        <v>0</v>
      </c>
      <c r="AM156" s="321">
        <f t="shared" si="245"/>
        <v>0</v>
      </c>
      <c r="AN156" s="321">
        <f t="shared" si="245"/>
        <v>0</v>
      </c>
      <c r="AO156" s="321">
        <f t="shared" si="245"/>
        <v>0</v>
      </c>
      <c r="AP156" s="321">
        <f t="shared" si="245"/>
        <v>0</v>
      </c>
      <c r="AQ156" s="321">
        <f t="shared" si="245"/>
        <v>0</v>
      </c>
      <c r="AR156" s="321">
        <f t="shared" si="245"/>
        <v>0</v>
      </c>
      <c r="AS156" s="321">
        <f t="shared" si="245"/>
        <v>0</v>
      </c>
      <c r="AT156" s="321">
        <f t="shared" si="245"/>
        <v>0</v>
      </c>
      <c r="AU156" s="321">
        <f t="shared" si="245"/>
        <v>0</v>
      </c>
      <c r="AV156" s="321">
        <f t="shared" si="245"/>
        <v>0</v>
      </c>
      <c r="AW156" s="321">
        <f t="shared" si="245"/>
        <v>0</v>
      </c>
      <c r="AX156" s="321">
        <f t="shared" si="245"/>
        <v>0</v>
      </c>
      <c r="AY156" s="321">
        <f t="shared" si="245"/>
        <v>0</v>
      </c>
      <c r="AZ156" s="321">
        <f t="shared" si="245"/>
        <v>0</v>
      </c>
      <c r="BA156" s="321">
        <f t="shared" si="245"/>
        <v>0</v>
      </c>
      <c r="BB156" s="321">
        <f t="shared" si="245"/>
        <v>0</v>
      </c>
      <c r="BC156" s="321">
        <f t="shared" si="245"/>
        <v>0</v>
      </c>
      <c r="BD156" s="321">
        <f t="shared" si="245"/>
        <v>0</v>
      </c>
      <c r="BE156" s="321">
        <f t="shared" si="245"/>
        <v>0</v>
      </c>
      <c r="BF156" s="321">
        <f t="shared" si="245"/>
        <v>0</v>
      </c>
      <c r="BG156" s="321">
        <f t="shared" si="245"/>
        <v>0</v>
      </c>
      <c r="BH156" s="321">
        <f t="shared" si="245"/>
        <v>0</v>
      </c>
      <c r="BI156" s="321">
        <f t="shared" si="245"/>
        <v>0</v>
      </c>
      <c r="BJ156" s="321">
        <f t="shared" si="245"/>
        <v>0</v>
      </c>
      <c r="BK156" s="321">
        <f t="shared" si="245"/>
        <v>0</v>
      </c>
      <c r="BL156" s="321">
        <f t="shared" si="245"/>
        <v>0</v>
      </c>
      <c r="BM156" s="321">
        <f t="shared" si="245"/>
        <v>0</v>
      </c>
      <c r="BN156" s="321">
        <f t="shared" si="245"/>
        <v>0</v>
      </c>
      <c r="BO156" s="321">
        <f t="shared" ref="BO156:CE156" si="246">SUMIF($F$64:$F$67,BO$101,$S$64:$S$67)</f>
        <v>0</v>
      </c>
      <c r="BP156" s="321">
        <f t="shared" si="246"/>
        <v>0</v>
      </c>
      <c r="BQ156" s="321">
        <f t="shared" si="246"/>
        <v>0</v>
      </c>
      <c r="BR156" s="321">
        <f t="shared" si="246"/>
        <v>0</v>
      </c>
      <c r="BS156" s="321">
        <f t="shared" si="246"/>
        <v>0</v>
      </c>
      <c r="BT156" s="321">
        <f t="shared" si="246"/>
        <v>0</v>
      </c>
      <c r="BU156" s="321">
        <f t="shared" si="246"/>
        <v>0</v>
      </c>
      <c r="BV156" s="321">
        <f t="shared" si="246"/>
        <v>0</v>
      </c>
      <c r="BW156" s="321">
        <f t="shared" si="246"/>
        <v>0</v>
      </c>
      <c r="BX156" s="321">
        <f t="shared" si="246"/>
        <v>0</v>
      </c>
      <c r="BY156" s="321">
        <f t="shared" si="246"/>
        <v>0</v>
      </c>
      <c r="BZ156" s="321">
        <f t="shared" si="246"/>
        <v>0</v>
      </c>
      <c r="CA156" s="321">
        <f t="shared" si="246"/>
        <v>0</v>
      </c>
      <c r="CB156" s="321">
        <f t="shared" si="246"/>
        <v>0</v>
      </c>
      <c r="CC156" s="321">
        <f t="shared" si="246"/>
        <v>0</v>
      </c>
      <c r="CD156" s="321">
        <f t="shared" si="246"/>
        <v>0</v>
      </c>
      <c r="CE156" s="321">
        <f t="shared" si="246"/>
        <v>0</v>
      </c>
      <c r="CF156" s="322">
        <f t="shared" si="193"/>
        <v>0.93756097560975615</v>
      </c>
      <c r="CG156" s="217"/>
      <c r="CH156" s="217"/>
      <c r="CI156" s="217"/>
      <c r="CJ156" s="217"/>
      <c r="CK156" s="217"/>
    </row>
    <row r="157" spans="1:89" x14ac:dyDescent="0.3">
      <c r="A157" s="217"/>
      <c r="B157" s="260" t="s">
        <v>795</v>
      </c>
      <c r="C157" s="321">
        <f>SUMIF($F$68,C$101,$S$68)</f>
        <v>0</v>
      </c>
      <c r="D157" s="321">
        <f t="shared" ref="D157:BO157" si="247">SUMIF($F$68,D$101,$S$68)</f>
        <v>0</v>
      </c>
      <c r="E157" s="321">
        <f t="shared" si="247"/>
        <v>0</v>
      </c>
      <c r="F157" s="321">
        <f t="shared" si="247"/>
        <v>0</v>
      </c>
      <c r="G157" s="321">
        <f t="shared" si="247"/>
        <v>0</v>
      </c>
      <c r="H157" s="321">
        <f t="shared" si="247"/>
        <v>0</v>
      </c>
      <c r="I157" s="321">
        <f t="shared" si="247"/>
        <v>1</v>
      </c>
      <c r="J157" s="321">
        <f t="shared" si="247"/>
        <v>0</v>
      </c>
      <c r="K157" s="321">
        <f t="shared" si="247"/>
        <v>0</v>
      </c>
      <c r="L157" s="321">
        <f t="shared" si="247"/>
        <v>0</v>
      </c>
      <c r="M157" s="321">
        <f t="shared" si="247"/>
        <v>0</v>
      </c>
      <c r="N157" s="321">
        <f t="shared" si="247"/>
        <v>0</v>
      </c>
      <c r="O157" s="321">
        <f t="shared" si="247"/>
        <v>0</v>
      </c>
      <c r="P157" s="321">
        <f t="shared" si="247"/>
        <v>0</v>
      </c>
      <c r="Q157" s="321">
        <f t="shared" si="247"/>
        <v>0</v>
      </c>
      <c r="R157" s="321">
        <f t="shared" si="247"/>
        <v>0</v>
      </c>
      <c r="S157" s="321">
        <f t="shared" si="247"/>
        <v>0</v>
      </c>
      <c r="T157" s="321">
        <f t="shared" si="247"/>
        <v>0</v>
      </c>
      <c r="U157" s="321">
        <f t="shared" si="247"/>
        <v>0</v>
      </c>
      <c r="V157" s="321">
        <f t="shared" si="247"/>
        <v>0</v>
      </c>
      <c r="W157" s="321">
        <f t="shared" si="247"/>
        <v>0</v>
      </c>
      <c r="X157" s="321">
        <f t="shared" si="247"/>
        <v>0</v>
      </c>
      <c r="Y157" s="321">
        <f t="shared" si="247"/>
        <v>0</v>
      </c>
      <c r="Z157" s="321">
        <f t="shared" si="247"/>
        <v>0</v>
      </c>
      <c r="AA157" s="321">
        <f t="shared" si="247"/>
        <v>0</v>
      </c>
      <c r="AB157" s="321">
        <f t="shared" si="247"/>
        <v>0</v>
      </c>
      <c r="AC157" s="321">
        <f t="shared" si="247"/>
        <v>0</v>
      </c>
      <c r="AD157" s="321">
        <f t="shared" si="247"/>
        <v>0</v>
      </c>
      <c r="AE157" s="321">
        <f t="shared" si="247"/>
        <v>0</v>
      </c>
      <c r="AF157" s="321">
        <f t="shared" si="247"/>
        <v>0</v>
      </c>
      <c r="AG157" s="321">
        <f t="shared" si="247"/>
        <v>0</v>
      </c>
      <c r="AH157" s="321">
        <f t="shared" si="247"/>
        <v>0</v>
      </c>
      <c r="AI157" s="321">
        <f t="shared" si="247"/>
        <v>0</v>
      </c>
      <c r="AJ157" s="321">
        <f t="shared" si="247"/>
        <v>0</v>
      </c>
      <c r="AK157" s="321">
        <f t="shared" si="247"/>
        <v>0</v>
      </c>
      <c r="AL157" s="321">
        <f t="shared" si="247"/>
        <v>0</v>
      </c>
      <c r="AM157" s="321">
        <f t="shared" si="247"/>
        <v>0</v>
      </c>
      <c r="AN157" s="321">
        <f t="shared" si="247"/>
        <v>0</v>
      </c>
      <c r="AO157" s="321">
        <f t="shared" si="247"/>
        <v>0</v>
      </c>
      <c r="AP157" s="321">
        <f t="shared" si="247"/>
        <v>0</v>
      </c>
      <c r="AQ157" s="321">
        <f t="shared" si="247"/>
        <v>0</v>
      </c>
      <c r="AR157" s="321">
        <f t="shared" si="247"/>
        <v>0</v>
      </c>
      <c r="AS157" s="321">
        <f t="shared" si="247"/>
        <v>0</v>
      </c>
      <c r="AT157" s="321">
        <f t="shared" si="247"/>
        <v>0</v>
      </c>
      <c r="AU157" s="321">
        <f t="shared" si="247"/>
        <v>0</v>
      </c>
      <c r="AV157" s="321">
        <f t="shared" si="247"/>
        <v>0</v>
      </c>
      <c r="AW157" s="321">
        <f t="shared" si="247"/>
        <v>0</v>
      </c>
      <c r="AX157" s="321">
        <f t="shared" si="247"/>
        <v>0</v>
      </c>
      <c r="AY157" s="321">
        <f t="shared" si="247"/>
        <v>0</v>
      </c>
      <c r="AZ157" s="321">
        <f t="shared" si="247"/>
        <v>0</v>
      </c>
      <c r="BA157" s="321">
        <f t="shared" si="247"/>
        <v>0</v>
      </c>
      <c r="BB157" s="321">
        <f t="shared" si="247"/>
        <v>0</v>
      </c>
      <c r="BC157" s="321">
        <f t="shared" si="247"/>
        <v>0</v>
      </c>
      <c r="BD157" s="321">
        <f t="shared" si="247"/>
        <v>0</v>
      </c>
      <c r="BE157" s="321">
        <f t="shared" si="247"/>
        <v>0</v>
      </c>
      <c r="BF157" s="321">
        <f t="shared" si="247"/>
        <v>0</v>
      </c>
      <c r="BG157" s="321">
        <f t="shared" si="247"/>
        <v>0</v>
      </c>
      <c r="BH157" s="321">
        <f t="shared" si="247"/>
        <v>0</v>
      </c>
      <c r="BI157" s="321">
        <f t="shared" si="247"/>
        <v>0</v>
      </c>
      <c r="BJ157" s="321">
        <f t="shared" si="247"/>
        <v>0</v>
      </c>
      <c r="BK157" s="321">
        <f t="shared" si="247"/>
        <v>0</v>
      </c>
      <c r="BL157" s="321">
        <f t="shared" si="247"/>
        <v>0</v>
      </c>
      <c r="BM157" s="321">
        <f t="shared" si="247"/>
        <v>0</v>
      </c>
      <c r="BN157" s="321">
        <f t="shared" si="247"/>
        <v>0</v>
      </c>
      <c r="BO157" s="321">
        <f t="shared" si="247"/>
        <v>0</v>
      </c>
      <c r="BP157" s="321">
        <f t="shared" ref="BP157:CE157" si="248">SUMIF($F$68,BP$101,$S$68)</f>
        <v>0</v>
      </c>
      <c r="BQ157" s="321">
        <f t="shared" si="248"/>
        <v>0</v>
      </c>
      <c r="BR157" s="321">
        <f t="shared" si="248"/>
        <v>0</v>
      </c>
      <c r="BS157" s="321">
        <f t="shared" si="248"/>
        <v>0</v>
      </c>
      <c r="BT157" s="321">
        <f t="shared" si="248"/>
        <v>0</v>
      </c>
      <c r="BU157" s="321">
        <f t="shared" si="248"/>
        <v>0</v>
      </c>
      <c r="BV157" s="321">
        <f t="shared" si="248"/>
        <v>0</v>
      </c>
      <c r="BW157" s="321">
        <f t="shared" si="248"/>
        <v>0</v>
      </c>
      <c r="BX157" s="321">
        <f t="shared" si="248"/>
        <v>0</v>
      </c>
      <c r="BY157" s="321">
        <f t="shared" si="248"/>
        <v>0</v>
      </c>
      <c r="BZ157" s="321">
        <f t="shared" si="248"/>
        <v>0</v>
      </c>
      <c r="CA157" s="321">
        <f t="shared" si="248"/>
        <v>0</v>
      </c>
      <c r="CB157" s="321">
        <f t="shared" si="248"/>
        <v>0</v>
      </c>
      <c r="CC157" s="321">
        <f t="shared" si="248"/>
        <v>0</v>
      </c>
      <c r="CD157" s="321">
        <f t="shared" si="248"/>
        <v>0</v>
      </c>
      <c r="CE157" s="321">
        <f t="shared" si="248"/>
        <v>0</v>
      </c>
      <c r="CF157" s="322">
        <f t="shared" si="193"/>
        <v>1</v>
      </c>
      <c r="CG157" s="217"/>
      <c r="CH157" s="217"/>
      <c r="CI157" s="217"/>
      <c r="CJ157" s="217"/>
      <c r="CK157" s="217"/>
    </row>
    <row r="158" spans="1:89" s="506" customFormat="1" x14ac:dyDescent="0.3">
      <c r="A158" s="217"/>
      <c r="B158" s="260" t="s">
        <v>796</v>
      </c>
      <c r="C158" s="321">
        <f>SUMIF($F$69,C$101,$S$69)</f>
        <v>0</v>
      </c>
      <c r="D158" s="321">
        <f t="shared" ref="D158:BO158" si="249">SUMIF($F$69,D$101,$S$69)</f>
        <v>0</v>
      </c>
      <c r="E158" s="321">
        <f t="shared" si="249"/>
        <v>0</v>
      </c>
      <c r="F158" s="321">
        <f t="shared" si="249"/>
        <v>0</v>
      </c>
      <c r="G158" s="321">
        <f t="shared" si="249"/>
        <v>0</v>
      </c>
      <c r="H158" s="321">
        <f t="shared" si="249"/>
        <v>0</v>
      </c>
      <c r="I158" s="321">
        <f t="shared" si="249"/>
        <v>1</v>
      </c>
      <c r="J158" s="321">
        <f t="shared" si="249"/>
        <v>0</v>
      </c>
      <c r="K158" s="321">
        <f t="shared" si="249"/>
        <v>0</v>
      </c>
      <c r="L158" s="321">
        <f t="shared" si="249"/>
        <v>0</v>
      </c>
      <c r="M158" s="321">
        <f t="shared" si="249"/>
        <v>0</v>
      </c>
      <c r="N158" s="321">
        <f t="shared" si="249"/>
        <v>0</v>
      </c>
      <c r="O158" s="321">
        <f t="shared" si="249"/>
        <v>0</v>
      </c>
      <c r="P158" s="321">
        <f t="shared" si="249"/>
        <v>0</v>
      </c>
      <c r="Q158" s="321">
        <f t="shared" si="249"/>
        <v>0</v>
      </c>
      <c r="R158" s="321">
        <f t="shared" si="249"/>
        <v>0</v>
      </c>
      <c r="S158" s="321">
        <f t="shared" si="249"/>
        <v>0</v>
      </c>
      <c r="T158" s="321">
        <f t="shared" si="249"/>
        <v>0</v>
      </c>
      <c r="U158" s="321">
        <f t="shared" si="249"/>
        <v>0</v>
      </c>
      <c r="V158" s="321">
        <f t="shared" si="249"/>
        <v>0</v>
      </c>
      <c r="W158" s="321">
        <f t="shared" si="249"/>
        <v>0</v>
      </c>
      <c r="X158" s="321">
        <f t="shared" si="249"/>
        <v>0</v>
      </c>
      <c r="Y158" s="321">
        <f t="shared" si="249"/>
        <v>0</v>
      </c>
      <c r="Z158" s="321">
        <f t="shared" si="249"/>
        <v>0</v>
      </c>
      <c r="AA158" s="321">
        <f t="shared" si="249"/>
        <v>0</v>
      </c>
      <c r="AB158" s="321">
        <f t="shared" si="249"/>
        <v>0</v>
      </c>
      <c r="AC158" s="321">
        <f t="shared" si="249"/>
        <v>0</v>
      </c>
      <c r="AD158" s="321">
        <f t="shared" si="249"/>
        <v>0</v>
      </c>
      <c r="AE158" s="321">
        <f t="shared" si="249"/>
        <v>0</v>
      </c>
      <c r="AF158" s="321">
        <f t="shared" si="249"/>
        <v>0</v>
      </c>
      <c r="AG158" s="321">
        <f t="shared" si="249"/>
        <v>0</v>
      </c>
      <c r="AH158" s="321">
        <f t="shared" si="249"/>
        <v>0</v>
      </c>
      <c r="AI158" s="321">
        <f t="shared" si="249"/>
        <v>0</v>
      </c>
      <c r="AJ158" s="321">
        <f t="shared" si="249"/>
        <v>0</v>
      </c>
      <c r="AK158" s="321">
        <f t="shared" si="249"/>
        <v>0</v>
      </c>
      <c r="AL158" s="321">
        <f t="shared" si="249"/>
        <v>0</v>
      </c>
      <c r="AM158" s="321">
        <f t="shared" si="249"/>
        <v>0</v>
      </c>
      <c r="AN158" s="321">
        <f t="shared" si="249"/>
        <v>0</v>
      </c>
      <c r="AO158" s="321">
        <f t="shared" si="249"/>
        <v>0</v>
      </c>
      <c r="AP158" s="321">
        <f t="shared" si="249"/>
        <v>0</v>
      </c>
      <c r="AQ158" s="321">
        <f t="shared" si="249"/>
        <v>0</v>
      </c>
      <c r="AR158" s="321">
        <f t="shared" si="249"/>
        <v>0</v>
      </c>
      <c r="AS158" s="321">
        <f t="shared" si="249"/>
        <v>0</v>
      </c>
      <c r="AT158" s="321">
        <f t="shared" si="249"/>
        <v>0</v>
      </c>
      <c r="AU158" s="321">
        <f t="shared" si="249"/>
        <v>0</v>
      </c>
      <c r="AV158" s="321">
        <f t="shared" si="249"/>
        <v>0</v>
      </c>
      <c r="AW158" s="321">
        <f t="shared" si="249"/>
        <v>0</v>
      </c>
      <c r="AX158" s="321">
        <f t="shared" si="249"/>
        <v>0</v>
      </c>
      <c r="AY158" s="321">
        <f t="shared" si="249"/>
        <v>0</v>
      </c>
      <c r="AZ158" s="321">
        <f t="shared" si="249"/>
        <v>0</v>
      </c>
      <c r="BA158" s="321">
        <f t="shared" si="249"/>
        <v>0</v>
      </c>
      <c r="BB158" s="321">
        <f t="shared" si="249"/>
        <v>0</v>
      </c>
      <c r="BC158" s="321">
        <f t="shared" si="249"/>
        <v>0</v>
      </c>
      <c r="BD158" s="321">
        <f t="shared" si="249"/>
        <v>0</v>
      </c>
      <c r="BE158" s="321">
        <f t="shared" si="249"/>
        <v>0</v>
      </c>
      <c r="BF158" s="321">
        <f t="shared" si="249"/>
        <v>0</v>
      </c>
      <c r="BG158" s="321">
        <f t="shared" si="249"/>
        <v>0</v>
      </c>
      <c r="BH158" s="321">
        <f t="shared" si="249"/>
        <v>0</v>
      </c>
      <c r="BI158" s="321">
        <f t="shared" si="249"/>
        <v>0</v>
      </c>
      <c r="BJ158" s="321">
        <f t="shared" si="249"/>
        <v>0</v>
      </c>
      <c r="BK158" s="321">
        <f t="shared" si="249"/>
        <v>0</v>
      </c>
      <c r="BL158" s="321">
        <f t="shared" si="249"/>
        <v>0</v>
      </c>
      <c r="BM158" s="321">
        <f t="shared" si="249"/>
        <v>0</v>
      </c>
      <c r="BN158" s="321">
        <f t="shared" si="249"/>
        <v>0</v>
      </c>
      <c r="BO158" s="321">
        <f t="shared" si="249"/>
        <v>0</v>
      </c>
      <c r="BP158" s="321">
        <f t="shared" ref="BP158:CE158" si="250">SUMIF($F$69,BP$101,$S$69)</f>
        <v>0</v>
      </c>
      <c r="BQ158" s="321">
        <f t="shared" si="250"/>
        <v>0</v>
      </c>
      <c r="BR158" s="321">
        <f t="shared" si="250"/>
        <v>0</v>
      </c>
      <c r="BS158" s="321">
        <f t="shared" si="250"/>
        <v>0</v>
      </c>
      <c r="BT158" s="321">
        <f t="shared" si="250"/>
        <v>0</v>
      </c>
      <c r="BU158" s="321">
        <f t="shared" si="250"/>
        <v>0</v>
      </c>
      <c r="BV158" s="321">
        <f t="shared" si="250"/>
        <v>0</v>
      </c>
      <c r="BW158" s="321">
        <f t="shared" si="250"/>
        <v>0</v>
      </c>
      <c r="BX158" s="321">
        <f t="shared" si="250"/>
        <v>0</v>
      </c>
      <c r="BY158" s="321">
        <f t="shared" si="250"/>
        <v>0</v>
      </c>
      <c r="BZ158" s="321">
        <f t="shared" si="250"/>
        <v>0</v>
      </c>
      <c r="CA158" s="321">
        <f t="shared" si="250"/>
        <v>0</v>
      </c>
      <c r="CB158" s="321">
        <f t="shared" si="250"/>
        <v>0</v>
      </c>
      <c r="CC158" s="321">
        <f t="shared" si="250"/>
        <v>0</v>
      </c>
      <c r="CD158" s="321">
        <f t="shared" si="250"/>
        <v>0</v>
      </c>
      <c r="CE158" s="321">
        <f t="shared" si="250"/>
        <v>0</v>
      </c>
      <c r="CF158" s="322">
        <f t="shared" si="193"/>
        <v>1</v>
      </c>
      <c r="CG158" s="217"/>
      <c r="CH158" s="217"/>
      <c r="CI158" s="217"/>
      <c r="CJ158" s="217"/>
      <c r="CK158" s="217"/>
    </row>
    <row r="159" spans="1:89" s="506" customFormat="1" x14ac:dyDescent="0.3">
      <c r="A159" s="217"/>
      <c r="B159" s="260" t="s">
        <v>555</v>
      </c>
      <c r="C159" s="321">
        <f>SUMIF($F$70,C$101,$S$70)</f>
        <v>0</v>
      </c>
      <c r="D159" s="321">
        <f t="shared" ref="D159:BO159" si="251">SUMIF($F$70,D$101,$S$70)</f>
        <v>0</v>
      </c>
      <c r="E159" s="321">
        <f t="shared" si="251"/>
        <v>0</v>
      </c>
      <c r="F159" s="321">
        <f t="shared" si="251"/>
        <v>0</v>
      </c>
      <c r="G159" s="321">
        <f t="shared" si="251"/>
        <v>0</v>
      </c>
      <c r="H159" s="321">
        <f t="shared" si="251"/>
        <v>0</v>
      </c>
      <c r="I159" s="321">
        <f t="shared" si="251"/>
        <v>1</v>
      </c>
      <c r="J159" s="321">
        <f t="shared" si="251"/>
        <v>0</v>
      </c>
      <c r="K159" s="321">
        <f t="shared" si="251"/>
        <v>0</v>
      </c>
      <c r="L159" s="321">
        <f t="shared" si="251"/>
        <v>0</v>
      </c>
      <c r="M159" s="321">
        <f t="shared" si="251"/>
        <v>0</v>
      </c>
      <c r="N159" s="321">
        <f t="shared" si="251"/>
        <v>0</v>
      </c>
      <c r="O159" s="321">
        <f t="shared" si="251"/>
        <v>0</v>
      </c>
      <c r="P159" s="321">
        <f t="shared" si="251"/>
        <v>0</v>
      </c>
      <c r="Q159" s="321">
        <f t="shared" si="251"/>
        <v>0</v>
      </c>
      <c r="R159" s="321">
        <f t="shared" si="251"/>
        <v>0</v>
      </c>
      <c r="S159" s="321">
        <f t="shared" si="251"/>
        <v>0</v>
      </c>
      <c r="T159" s="321">
        <f t="shared" si="251"/>
        <v>0</v>
      </c>
      <c r="U159" s="321">
        <f t="shared" si="251"/>
        <v>0</v>
      </c>
      <c r="V159" s="321">
        <f t="shared" si="251"/>
        <v>0</v>
      </c>
      <c r="W159" s="321">
        <f t="shared" si="251"/>
        <v>0</v>
      </c>
      <c r="X159" s="321">
        <f t="shared" si="251"/>
        <v>0</v>
      </c>
      <c r="Y159" s="321">
        <f t="shared" si="251"/>
        <v>0</v>
      </c>
      <c r="Z159" s="321">
        <f t="shared" si="251"/>
        <v>0</v>
      </c>
      <c r="AA159" s="321">
        <f t="shared" si="251"/>
        <v>0</v>
      </c>
      <c r="AB159" s="321">
        <f t="shared" si="251"/>
        <v>0</v>
      </c>
      <c r="AC159" s="321">
        <f t="shared" si="251"/>
        <v>0</v>
      </c>
      <c r="AD159" s="321">
        <f t="shared" si="251"/>
        <v>0</v>
      </c>
      <c r="AE159" s="321">
        <f t="shared" si="251"/>
        <v>0</v>
      </c>
      <c r="AF159" s="321">
        <f t="shared" si="251"/>
        <v>0</v>
      </c>
      <c r="AG159" s="321">
        <f t="shared" si="251"/>
        <v>0</v>
      </c>
      <c r="AH159" s="321">
        <f t="shared" si="251"/>
        <v>0</v>
      </c>
      <c r="AI159" s="321">
        <f t="shared" si="251"/>
        <v>0</v>
      </c>
      <c r="AJ159" s="321">
        <f t="shared" si="251"/>
        <v>0</v>
      </c>
      <c r="AK159" s="321">
        <f t="shared" si="251"/>
        <v>0</v>
      </c>
      <c r="AL159" s="321">
        <f t="shared" si="251"/>
        <v>0</v>
      </c>
      <c r="AM159" s="321">
        <f t="shared" si="251"/>
        <v>0</v>
      </c>
      <c r="AN159" s="321">
        <f t="shared" si="251"/>
        <v>0</v>
      </c>
      <c r="AO159" s="321">
        <f t="shared" si="251"/>
        <v>0</v>
      </c>
      <c r="AP159" s="321">
        <f t="shared" si="251"/>
        <v>0</v>
      </c>
      <c r="AQ159" s="321">
        <f t="shared" si="251"/>
        <v>0</v>
      </c>
      <c r="AR159" s="321">
        <f t="shared" si="251"/>
        <v>0</v>
      </c>
      <c r="AS159" s="321">
        <f t="shared" si="251"/>
        <v>0</v>
      </c>
      <c r="AT159" s="321">
        <f t="shared" si="251"/>
        <v>0</v>
      </c>
      <c r="AU159" s="321">
        <f t="shared" si="251"/>
        <v>0</v>
      </c>
      <c r="AV159" s="321">
        <f t="shared" si="251"/>
        <v>0</v>
      </c>
      <c r="AW159" s="321">
        <f t="shared" si="251"/>
        <v>0</v>
      </c>
      <c r="AX159" s="321">
        <f t="shared" si="251"/>
        <v>0</v>
      </c>
      <c r="AY159" s="321">
        <f t="shared" si="251"/>
        <v>0</v>
      </c>
      <c r="AZ159" s="321">
        <f t="shared" si="251"/>
        <v>0</v>
      </c>
      <c r="BA159" s="321">
        <f t="shared" si="251"/>
        <v>0</v>
      </c>
      <c r="BB159" s="321">
        <f t="shared" si="251"/>
        <v>0</v>
      </c>
      <c r="BC159" s="321">
        <f t="shared" si="251"/>
        <v>0</v>
      </c>
      <c r="BD159" s="321">
        <f t="shared" si="251"/>
        <v>0</v>
      </c>
      <c r="BE159" s="321">
        <f t="shared" si="251"/>
        <v>0</v>
      </c>
      <c r="BF159" s="321">
        <f t="shared" si="251"/>
        <v>0</v>
      </c>
      <c r="BG159" s="321">
        <f t="shared" si="251"/>
        <v>0</v>
      </c>
      <c r="BH159" s="321">
        <f t="shared" si="251"/>
        <v>0</v>
      </c>
      <c r="BI159" s="321">
        <f t="shared" si="251"/>
        <v>0</v>
      </c>
      <c r="BJ159" s="321">
        <f t="shared" si="251"/>
        <v>0</v>
      </c>
      <c r="BK159" s="321">
        <f t="shared" si="251"/>
        <v>0</v>
      </c>
      <c r="BL159" s="321">
        <f t="shared" si="251"/>
        <v>0</v>
      </c>
      <c r="BM159" s="321">
        <f t="shared" si="251"/>
        <v>0</v>
      </c>
      <c r="BN159" s="321">
        <f t="shared" si="251"/>
        <v>0</v>
      </c>
      <c r="BO159" s="321">
        <f t="shared" si="251"/>
        <v>0</v>
      </c>
      <c r="BP159" s="321">
        <f t="shared" ref="BP159:CE159" si="252">SUMIF($F$70,BP$101,$S$70)</f>
        <v>0</v>
      </c>
      <c r="BQ159" s="321">
        <f t="shared" si="252"/>
        <v>0</v>
      </c>
      <c r="BR159" s="321">
        <f t="shared" si="252"/>
        <v>0</v>
      </c>
      <c r="BS159" s="321">
        <f t="shared" si="252"/>
        <v>0</v>
      </c>
      <c r="BT159" s="321">
        <f t="shared" si="252"/>
        <v>0</v>
      </c>
      <c r="BU159" s="321">
        <f t="shared" si="252"/>
        <v>0</v>
      </c>
      <c r="BV159" s="321">
        <f t="shared" si="252"/>
        <v>0</v>
      </c>
      <c r="BW159" s="321">
        <f t="shared" si="252"/>
        <v>0</v>
      </c>
      <c r="BX159" s="321">
        <f t="shared" si="252"/>
        <v>0</v>
      </c>
      <c r="BY159" s="321">
        <f t="shared" si="252"/>
        <v>0</v>
      </c>
      <c r="BZ159" s="321">
        <f t="shared" si="252"/>
        <v>0</v>
      </c>
      <c r="CA159" s="321">
        <f t="shared" si="252"/>
        <v>0</v>
      </c>
      <c r="CB159" s="321">
        <f t="shared" si="252"/>
        <v>0</v>
      </c>
      <c r="CC159" s="321">
        <f t="shared" si="252"/>
        <v>0</v>
      </c>
      <c r="CD159" s="321">
        <f t="shared" si="252"/>
        <v>0</v>
      </c>
      <c r="CE159" s="321">
        <f t="shared" si="252"/>
        <v>0</v>
      </c>
      <c r="CF159" s="322">
        <f t="shared" si="193"/>
        <v>1</v>
      </c>
      <c r="CG159" s="217"/>
      <c r="CH159" s="217"/>
      <c r="CI159" s="217"/>
      <c r="CJ159" s="217"/>
      <c r="CK159" s="217"/>
    </row>
    <row r="160" spans="1:89" s="506" customFormat="1" x14ac:dyDescent="0.3">
      <c r="A160" s="217"/>
      <c r="B160" s="260" t="s">
        <v>797</v>
      </c>
      <c r="C160" s="321">
        <f>SUMIF($F$71,C$101,$S$71)</f>
        <v>0</v>
      </c>
      <c r="D160" s="321">
        <f t="shared" ref="D160:BO160" si="253">SUMIF($F$71,D$101,$S$71)</f>
        <v>0</v>
      </c>
      <c r="E160" s="321">
        <f t="shared" si="253"/>
        <v>0</v>
      </c>
      <c r="F160" s="321">
        <f t="shared" si="253"/>
        <v>0</v>
      </c>
      <c r="G160" s="321">
        <f t="shared" si="253"/>
        <v>0</v>
      </c>
      <c r="H160" s="321">
        <f t="shared" si="253"/>
        <v>0</v>
      </c>
      <c r="I160" s="321">
        <f t="shared" si="253"/>
        <v>1</v>
      </c>
      <c r="J160" s="321">
        <f t="shared" si="253"/>
        <v>0</v>
      </c>
      <c r="K160" s="321">
        <f t="shared" si="253"/>
        <v>0</v>
      </c>
      <c r="L160" s="321">
        <f t="shared" si="253"/>
        <v>0</v>
      </c>
      <c r="M160" s="321">
        <f t="shared" si="253"/>
        <v>0</v>
      </c>
      <c r="N160" s="321">
        <f t="shared" si="253"/>
        <v>0</v>
      </c>
      <c r="O160" s="321">
        <f t="shared" si="253"/>
        <v>0</v>
      </c>
      <c r="P160" s="321">
        <f t="shared" si="253"/>
        <v>0</v>
      </c>
      <c r="Q160" s="321">
        <f t="shared" si="253"/>
        <v>0</v>
      </c>
      <c r="R160" s="321">
        <f t="shared" si="253"/>
        <v>0</v>
      </c>
      <c r="S160" s="321">
        <f t="shared" si="253"/>
        <v>0</v>
      </c>
      <c r="T160" s="321">
        <f t="shared" si="253"/>
        <v>0</v>
      </c>
      <c r="U160" s="321">
        <f t="shared" si="253"/>
        <v>0</v>
      </c>
      <c r="V160" s="321">
        <f t="shared" si="253"/>
        <v>0</v>
      </c>
      <c r="W160" s="321">
        <f t="shared" si="253"/>
        <v>0</v>
      </c>
      <c r="X160" s="321">
        <f t="shared" si="253"/>
        <v>0</v>
      </c>
      <c r="Y160" s="321">
        <f t="shared" si="253"/>
        <v>0</v>
      </c>
      <c r="Z160" s="321">
        <f t="shared" si="253"/>
        <v>0</v>
      </c>
      <c r="AA160" s="321">
        <f t="shared" si="253"/>
        <v>0</v>
      </c>
      <c r="AB160" s="321">
        <f t="shared" si="253"/>
        <v>0</v>
      </c>
      <c r="AC160" s="321">
        <f t="shared" si="253"/>
        <v>0</v>
      </c>
      <c r="AD160" s="321">
        <f t="shared" si="253"/>
        <v>0</v>
      </c>
      <c r="AE160" s="321">
        <f t="shared" si="253"/>
        <v>0</v>
      </c>
      <c r="AF160" s="321">
        <f t="shared" si="253"/>
        <v>0</v>
      </c>
      <c r="AG160" s="321">
        <f t="shared" si="253"/>
        <v>0</v>
      </c>
      <c r="AH160" s="321">
        <f t="shared" si="253"/>
        <v>0</v>
      </c>
      <c r="AI160" s="321">
        <f t="shared" si="253"/>
        <v>0</v>
      </c>
      <c r="AJ160" s="321">
        <f t="shared" si="253"/>
        <v>0</v>
      </c>
      <c r="AK160" s="321">
        <f t="shared" si="253"/>
        <v>0</v>
      </c>
      <c r="AL160" s="321">
        <f t="shared" si="253"/>
        <v>0</v>
      </c>
      <c r="AM160" s="321">
        <f t="shared" si="253"/>
        <v>0</v>
      </c>
      <c r="AN160" s="321">
        <f t="shared" si="253"/>
        <v>0</v>
      </c>
      <c r="AO160" s="321">
        <f t="shared" si="253"/>
        <v>0</v>
      </c>
      <c r="AP160" s="321">
        <f t="shared" si="253"/>
        <v>0</v>
      </c>
      <c r="AQ160" s="321">
        <f t="shared" si="253"/>
        <v>0</v>
      </c>
      <c r="AR160" s="321">
        <f t="shared" si="253"/>
        <v>0</v>
      </c>
      <c r="AS160" s="321">
        <f t="shared" si="253"/>
        <v>0</v>
      </c>
      <c r="AT160" s="321">
        <f t="shared" si="253"/>
        <v>0</v>
      </c>
      <c r="AU160" s="321">
        <f t="shared" si="253"/>
        <v>0</v>
      </c>
      <c r="AV160" s="321">
        <f t="shared" si="253"/>
        <v>0</v>
      </c>
      <c r="AW160" s="321">
        <f t="shared" si="253"/>
        <v>0</v>
      </c>
      <c r="AX160" s="321">
        <f t="shared" si="253"/>
        <v>0</v>
      </c>
      <c r="AY160" s="321">
        <f t="shared" si="253"/>
        <v>0</v>
      </c>
      <c r="AZ160" s="321">
        <f t="shared" si="253"/>
        <v>0</v>
      </c>
      <c r="BA160" s="321">
        <f t="shared" si="253"/>
        <v>0</v>
      </c>
      <c r="BB160" s="321">
        <f t="shared" si="253"/>
        <v>0</v>
      </c>
      <c r="BC160" s="321">
        <f t="shared" si="253"/>
        <v>0</v>
      </c>
      <c r="BD160" s="321">
        <f t="shared" si="253"/>
        <v>0</v>
      </c>
      <c r="BE160" s="321">
        <f t="shared" si="253"/>
        <v>0</v>
      </c>
      <c r="BF160" s="321">
        <f t="shared" si="253"/>
        <v>0</v>
      </c>
      <c r="BG160" s="321">
        <f t="shared" si="253"/>
        <v>0</v>
      </c>
      <c r="BH160" s="321">
        <f t="shared" si="253"/>
        <v>0</v>
      </c>
      <c r="BI160" s="321">
        <f t="shared" si="253"/>
        <v>0</v>
      </c>
      <c r="BJ160" s="321">
        <f t="shared" si="253"/>
        <v>0</v>
      </c>
      <c r="BK160" s="321">
        <f t="shared" si="253"/>
        <v>0</v>
      </c>
      <c r="BL160" s="321">
        <f t="shared" si="253"/>
        <v>0</v>
      </c>
      <c r="BM160" s="321">
        <f t="shared" si="253"/>
        <v>0</v>
      </c>
      <c r="BN160" s="321">
        <f t="shared" si="253"/>
        <v>0</v>
      </c>
      <c r="BO160" s="321">
        <f t="shared" si="253"/>
        <v>0</v>
      </c>
      <c r="BP160" s="321">
        <f t="shared" ref="BP160:CE160" si="254">SUMIF($F$71,BP$101,$S$71)</f>
        <v>0</v>
      </c>
      <c r="BQ160" s="321">
        <f t="shared" si="254"/>
        <v>0</v>
      </c>
      <c r="BR160" s="321">
        <f t="shared" si="254"/>
        <v>0</v>
      </c>
      <c r="BS160" s="321">
        <f t="shared" si="254"/>
        <v>0</v>
      </c>
      <c r="BT160" s="321">
        <f t="shared" si="254"/>
        <v>0</v>
      </c>
      <c r="BU160" s="321">
        <f t="shared" si="254"/>
        <v>0</v>
      </c>
      <c r="BV160" s="321">
        <f t="shared" si="254"/>
        <v>0</v>
      </c>
      <c r="BW160" s="321">
        <f t="shared" si="254"/>
        <v>0</v>
      </c>
      <c r="BX160" s="321">
        <f t="shared" si="254"/>
        <v>0</v>
      </c>
      <c r="BY160" s="321">
        <f t="shared" si="254"/>
        <v>0</v>
      </c>
      <c r="BZ160" s="321">
        <f t="shared" si="254"/>
        <v>0</v>
      </c>
      <c r="CA160" s="321">
        <f t="shared" si="254"/>
        <v>0</v>
      </c>
      <c r="CB160" s="321">
        <f t="shared" si="254"/>
        <v>0</v>
      </c>
      <c r="CC160" s="321">
        <f t="shared" si="254"/>
        <v>0</v>
      </c>
      <c r="CD160" s="321">
        <f t="shared" si="254"/>
        <v>0</v>
      </c>
      <c r="CE160" s="321">
        <f t="shared" si="254"/>
        <v>0</v>
      </c>
      <c r="CF160" s="322">
        <f t="shared" si="193"/>
        <v>1</v>
      </c>
      <c r="CG160" s="217"/>
      <c r="CH160" s="217"/>
      <c r="CI160" s="217"/>
      <c r="CJ160" s="217"/>
      <c r="CK160" s="217"/>
    </row>
    <row r="161" spans="1:89" x14ac:dyDescent="0.3">
      <c r="A161" s="217"/>
      <c r="B161" s="263" t="s">
        <v>798</v>
      </c>
      <c r="C161" s="321">
        <f>SUMIF($F$72,C$101,$S$72)</f>
        <v>0</v>
      </c>
      <c r="D161" s="321">
        <f t="shared" ref="D161:BO161" si="255">SUMIF($F$72,D$101,$S$72)</f>
        <v>0</v>
      </c>
      <c r="E161" s="321">
        <f t="shared" si="255"/>
        <v>0</v>
      </c>
      <c r="F161" s="321">
        <f t="shared" si="255"/>
        <v>0</v>
      </c>
      <c r="G161" s="321">
        <f t="shared" si="255"/>
        <v>0</v>
      </c>
      <c r="H161" s="321">
        <f t="shared" si="255"/>
        <v>0</v>
      </c>
      <c r="I161" s="321">
        <f t="shared" si="255"/>
        <v>0.9</v>
      </c>
      <c r="J161" s="321">
        <f t="shared" si="255"/>
        <v>0</v>
      </c>
      <c r="K161" s="321">
        <f t="shared" si="255"/>
        <v>0</v>
      </c>
      <c r="L161" s="321">
        <f t="shared" si="255"/>
        <v>0</v>
      </c>
      <c r="M161" s="321">
        <f t="shared" si="255"/>
        <v>0</v>
      </c>
      <c r="N161" s="321">
        <f t="shared" si="255"/>
        <v>0</v>
      </c>
      <c r="O161" s="321">
        <f t="shared" si="255"/>
        <v>0</v>
      </c>
      <c r="P161" s="321">
        <f t="shared" si="255"/>
        <v>0</v>
      </c>
      <c r="Q161" s="321">
        <f t="shared" si="255"/>
        <v>0</v>
      </c>
      <c r="R161" s="321">
        <f t="shared" si="255"/>
        <v>0</v>
      </c>
      <c r="S161" s="321">
        <f t="shared" si="255"/>
        <v>0</v>
      </c>
      <c r="T161" s="321">
        <f t="shared" si="255"/>
        <v>0</v>
      </c>
      <c r="U161" s="321">
        <f t="shared" si="255"/>
        <v>0</v>
      </c>
      <c r="V161" s="321">
        <f t="shared" si="255"/>
        <v>0</v>
      </c>
      <c r="W161" s="321">
        <f t="shared" si="255"/>
        <v>0</v>
      </c>
      <c r="X161" s="321">
        <f t="shared" si="255"/>
        <v>0</v>
      </c>
      <c r="Y161" s="321">
        <f t="shared" si="255"/>
        <v>0</v>
      </c>
      <c r="Z161" s="321">
        <f t="shared" si="255"/>
        <v>0</v>
      </c>
      <c r="AA161" s="321">
        <f t="shared" si="255"/>
        <v>0</v>
      </c>
      <c r="AB161" s="321">
        <f t="shared" si="255"/>
        <v>0</v>
      </c>
      <c r="AC161" s="321">
        <f t="shared" si="255"/>
        <v>0</v>
      </c>
      <c r="AD161" s="321">
        <f t="shared" si="255"/>
        <v>0</v>
      </c>
      <c r="AE161" s="321">
        <f t="shared" si="255"/>
        <v>0</v>
      </c>
      <c r="AF161" s="321">
        <f t="shared" si="255"/>
        <v>0</v>
      </c>
      <c r="AG161" s="321">
        <f t="shared" si="255"/>
        <v>0</v>
      </c>
      <c r="AH161" s="321">
        <f t="shared" si="255"/>
        <v>0</v>
      </c>
      <c r="AI161" s="321">
        <f t="shared" si="255"/>
        <v>0</v>
      </c>
      <c r="AJ161" s="321">
        <f t="shared" si="255"/>
        <v>0</v>
      </c>
      <c r="AK161" s="321">
        <f t="shared" si="255"/>
        <v>0</v>
      </c>
      <c r="AL161" s="321">
        <f t="shared" si="255"/>
        <v>0</v>
      </c>
      <c r="AM161" s="321">
        <f t="shared" si="255"/>
        <v>0</v>
      </c>
      <c r="AN161" s="321">
        <f t="shared" si="255"/>
        <v>0</v>
      </c>
      <c r="AO161" s="321">
        <f t="shared" si="255"/>
        <v>0</v>
      </c>
      <c r="AP161" s="321">
        <f t="shared" si="255"/>
        <v>0</v>
      </c>
      <c r="AQ161" s="321">
        <f t="shared" si="255"/>
        <v>0</v>
      </c>
      <c r="AR161" s="321">
        <f t="shared" si="255"/>
        <v>0</v>
      </c>
      <c r="AS161" s="321">
        <f t="shared" si="255"/>
        <v>0</v>
      </c>
      <c r="AT161" s="321">
        <f t="shared" si="255"/>
        <v>0</v>
      </c>
      <c r="AU161" s="321">
        <f t="shared" si="255"/>
        <v>0</v>
      </c>
      <c r="AV161" s="321">
        <f t="shared" si="255"/>
        <v>0</v>
      </c>
      <c r="AW161" s="321">
        <f t="shared" si="255"/>
        <v>0</v>
      </c>
      <c r="AX161" s="321">
        <f t="shared" si="255"/>
        <v>0</v>
      </c>
      <c r="AY161" s="321">
        <f t="shared" si="255"/>
        <v>0</v>
      </c>
      <c r="AZ161" s="321">
        <f t="shared" si="255"/>
        <v>0</v>
      </c>
      <c r="BA161" s="321">
        <f t="shared" si="255"/>
        <v>0</v>
      </c>
      <c r="BB161" s="321">
        <f t="shared" si="255"/>
        <v>0</v>
      </c>
      <c r="BC161" s="321">
        <f t="shared" si="255"/>
        <v>0</v>
      </c>
      <c r="BD161" s="321">
        <f t="shared" si="255"/>
        <v>0</v>
      </c>
      <c r="BE161" s="321">
        <f t="shared" si="255"/>
        <v>0</v>
      </c>
      <c r="BF161" s="321">
        <f t="shared" si="255"/>
        <v>0</v>
      </c>
      <c r="BG161" s="321">
        <f t="shared" si="255"/>
        <v>0</v>
      </c>
      <c r="BH161" s="321">
        <f t="shared" si="255"/>
        <v>0</v>
      </c>
      <c r="BI161" s="321">
        <f t="shared" si="255"/>
        <v>0</v>
      </c>
      <c r="BJ161" s="321">
        <f t="shared" si="255"/>
        <v>0</v>
      </c>
      <c r="BK161" s="321">
        <f t="shared" si="255"/>
        <v>0</v>
      </c>
      <c r="BL161" s="321">
        <f t="shared" si="255"/>
        <v>0</v>
      </c>
      <c r="BM161" s="321">
        <f t="shared" si="255"/>
        <v>0</v>
      </c>
      <c r="BN161" s="321">
        <f t="shared" si="255"/>
        <v>0</v>
      </c>
      <c r="BO161" s="321">
        <f t="shared" si="255"/>
        <v>0</v>
      </c>
      <c r="BP161" s="321">
        <f t="shared" ref="BP161:CE161" si="256">SUMIF($F$72,BP$101,$S$72)</f>
        <v>0</v>
      </c>
      <c r="BQ161" s="321">
        <f t="shared" si="256"/>
        <v>0</v>
      </c>
      <c r="BR161" s="321">
        <f t="shared" si="256"/>
        <v>0</v>
      </c>
      <c r="BS161" s="321">
        <f t="shared" si="256"/>
        <v>0</v>
      </c>
      <c r="BT161" s="321">
        <f t="shared" si="256"/>
        <v>0</v>
      </c>
      <c r="BU161" s="321">
        <f t="shared" si="256"/>
        <v>0</v>
      </c>
      <c r="BV161" s="321">
        <f t="shared" si="256"/>
        <v>0</v>
      </c>
      <c r="BW161" s="321">
        <f t="shared" si="256"/>
        <v>0</v>
      </c>
      <c r="BX161" s="321">
        <f t="shared" si="256"/>
        <v>0</v>
      </c>
      <c r="BY161" s="321">
        <f t="shared" si="256"/>
        <v>0</v>
      </c>
      <c r="BZ161" s="321">
        <f t="shared" si="256"/>
        <v>0</v>
      </c>
      <c r="CA161" s="321">
        <f t="shared" si="256"/>
        <v>0</v>
      </c>
      <c r="CB161" s="321">
        <f t="shared" si="256"/>
        <v>0</v>
      </c>
      <c r="CC161" s="321">
        <f t="shared" si="256"/>
        <v>0</v>
      </c>
      <c r="CD161" s="321">
        <f t="shared" si="256"/>
        <v>0</v>
      </c>
      <c r="CE161" s="321">
        <f t="shared" si="256"/>
        <v>0</v>
      </c>
      <c r="CF161" s="322">
        <f t="shared" si="193"/>
        <v>0.9</v>
      </c>
      <c r="CG161" s="217"/>
      <c r="CH161" s="217"/>
      <c r="CI161" s="217"/>
      <c r="CJ161" s="217"/>
      <c r="CK161" s="217"/>
    </row>
    <row r="162" spans="1:89" x14ac:dyDescent="0.3">
      <c r="A162" s="217"/>
      <c r="B162" s="260" t="s">
        <v>348</v>
      </c>
      <c r="C162" s="321">
        <f t="shared" ref="C162:AH162" si="257">SUMIF($F$25:$F$27,C$101,$T$25:$T$27)</f>
        <v>0</v>
      </c>
      <c r="D162" s="321">
        <f t="shared" si="257"/>
        <v>0</v>
      </c>
      <c r="E162" s="321">
        <f t="shared" si="257"/>
        <v>0</v>
      </c>
      <c r="F162" s="321">
        <f t="shared" si="257"/>
        <v>0</v>
      </c>
      <c r="G162" s="321">
        <f t="shared" si="257"/>
        <v>0</v>
      </c>
      <c r="H162" s="321">
        <f t="shared" si="257"/>
        <v>0</v>
      </c>
      <c r="I162" s="321">
        <f t="shared" si="257"/>
        <v>5.1658834075141062E-3</v>
      </c>
      <c r="J162" s="321">
        <f t="shared" si="257"/>
        <v>0</v>
      </c>
      <c r="K162" s="321">
        <f t="shared" si="257"/>
        <v>0</v>
      </c>
      <c r="L162" s="321">
        <f t="shared" si="257"/>
        <v>0</v>
      </c>
      <c r="M162" s="321">
        <f t="shared" si="257"/>
        <v>0</v>
      </c>
      <c r="N162" s="321">
        <f t="shared" si="257"/>
        <v>0</v>
      </c>
      <c r="O162" s="321">
        <f t="shared" si="257"/>
        <v>0</v>
      </c>
      <c r="P162" s="321">
        <f t="shared" si="257"/>
        <v>0</v>
      </c>
      <c r="Q162" s="321">
        <f t="shared" si="257"/>
        <v>0</v>
      </c>
      <c r="R162" s="321">
        <f t="shared" si="257"/>
        <v>0</v>
      </c>
      <c r="S162" s="321">
        <f t="shared" si="257"/>
        <v>0</v>
      </c>
      <c r="T162" s="321">
        <f t="shared" si="257"/>
        <v>0</v>
      </c>
      <c r="U162" s="321">
        <f t="shared" si="257"/>
        <v>0</v>
      </c>
      <c r="V162" s="321">
        <f t="shared" si="257"/>
        <v>0</v>
      </c>
      <c r="W162" s="321">
        <f t="shared" si="257"/>
        <v>0</v>
      </c>
      <c r="X162" s="321">
        <f t="shared" si="257"/>
        <v>0</v>
      </c>
      <c r="Y162" s="321">
        <f t="shared" si="257"/>
        <v>0</v>
      </c>
      <c r="Z162" s="321">
        <f t="shared" si="257"/>
        <v>0</v>
      </c>
      <c r="AA162" s="321">
        <f t="shared" si="257"/>
        <v>0</v>
      </c>
      <c r="AB162" s="321">
        <f t="shared" si="257"/>
        <v>0</v>
      </c>
      <c r="AC162" s="321">
        <f t="shared" si="257"/>
        <v>0</v>
      </c>
      <c r="AD162" s="321">
        <f t="shared" si="257"/>
        <v>0</v>
      </c>
      <c r="AE162" s="321">
        <f t="shared" si="257"/>
        <v>0</v>
      </c>
      <c r="AF162" s="321">
        <f t="shared" si="257"/>
        <v>0</v>
      </c>
      <c r="AG162" s="321">
        <f t="shared" si="257"/>
        <v>0</v>
      </c>
      <c r="AH162" s="321">
        <f t="shared" si="257"/>
        <v>0</v>
      </c>
      <c r="AI162" s="321">
        <f t="shared" ref="AI162:BN162" si="258">SUMIF($F$25:$F$27,AI$101,$T$25:$T$27)</f>
        <v>0</v>
      </c>
      <c r="AJ162" s="321">
        <f t="shared" si="258"/>
        <v>0.49741705829624294</v>
      </c>
      <c r="AK162" s="321">
        <f t="shared" si="258"/>
        <v>0</v>
      </c>
      <c r="AL162" s="321">
        <f t="shared" si="258"/>
        <v>0</v>
      </c>
      <c r="AM162" s="321">
        <f t="shared" si="258"/>
        <v>0</v>
      </c>
      <c r="AN162" s="321">
        <f t="shared" si="258"/>
        <v>0</v>
      </c>
      <c r="AO162" s="321">
        <f t="shared" si="258"/>
        <v>0</v>
      </c>
      <c r="AP162" s="321">
        <f t="shared" si="258"/>
        <v>0</v>
      </c>
      <c r="AQ162" s="321">
        <f t="shared" si="258"/>
        <v>0</v>
      </c>
      <c r="AR162" s="321">
        <f t="shared" si="258"/>
        <v>0</v>
      </c>
      <c r="AS162" s="321">
        <f t="shared" si="258"/>
        <v>0</v>
      </c>
      <c r="AT162" s="321">
        <f t="shared" si="258"/>
        <v>0</v>
      </c>
      <c r="AU162" s="321">
        <f t="shared" si="258"/>
        <v>0</v>
      </c>
      <c r="AV162" s="321">
        <f t="shared" si="258"/>
        <v>0</v>
      </c>
      <c r="AW162" s="321">
        <f t="shared" si="258"/>
        <v>0</v>
      </c>
      <c r="AX162" s="321">
        <f t="shared" si="258"/>
        <v>0</v>
      </c>
      <c r="AY162" s="321">
        <f t="shared" si="258"/>
        <v>0</v>
      </c>
      <c r="AZ162" s="321">
        <f t="shared" si="258"/>
        <v>0</v>
      </c>
      <c r="BA162" s="321">
        <f t="shared" si="258"/>
        <v>0</v>
      </c>
      <c r="BB162" s="321">
        <f t="shared" si="258"/>
        <v>0</v>
      </c>
      <c r="BC162" s="321">
        <f t="shared" si="258"/>
        <v>0</v>
      </c>
      <c r="BD162" s="321">
        <f t="shared" si="258"/>
        <v>0</v>
      </c>
      <c r="BE162" s="321">
        <f t="shared" si="258"/>
        <v>0</v>
      </c>
      <c r="BF162" s="321">
        <f t="shared" si="258"/>
        <v>0</v>
      </c>
      <c r="BG162" s="321">
        <f t="shared" si="258"/>
        <v>0</v>
      </c>
      <c r="BH162" s="321">
        <f t="shared" si="258"/>
        <v>0</v>
      </c>
      <c r="BI162" s="321">
        <f t="shared" si="258"/>
        <v>0</v>
      </c>
      <c r="BJ162" s="321">
        <f t="shared" si="258"/>
        <v>0</v>
      </c>
      <c r="BK162" s="321">
        <f t="shared" si="258"/>
        <v>0</v>
      </c>
      <c r="BL162" s="321">
        <f t="shared" si="258"/>
        <v>0</v>
      </c>
      <c r="BM162" s="321">
        <f t="shared" si="258"/>
        <v>0</v>
      </c>
      <c r="BN162" s="321">
        <f t="shared" si="258"/>
        <v>0</v>
      </c>
      <c r="BO162" s="321">
        <f t="shared" ref="BO162:CE162" si="259">SUMIF($F$25:$F$27,BO$101,$T$25:$T$27)</f>
        <v>0</v>
      </c>
      <c r="BP162" s="321">
        <f t="shared" si="259"/>
        <v>0</v>
      </c>
      <c r="BQ162" s="321">
        <f t="shared" si="259"/>
        <v>0</v>
      </c>
      <c r="BR162" s="321">
        <f t="shared" si="259"/>
        <v>0</v>
      </c>
      <c r="BS162" s="321">
        <f t="shared" si="259"/>
        <v>0</v>
      </c>
      <c r="BT162" s="321">
        <f t="shared" si="259"/>
        <v>0</v>
      </c>
      <c r="BU162" s="321">
        <f t="shared" si="259"/>
        <v>0</v>
      </c>
      <c r="BV162" s="321">
        <f t="shared" si="259"/>
        <v>0</v>
      </c>
      <c r="BW162" s="321">
        <f t="shared" si="259"/>
        <v>0</v>
      </c>
      <c r="BX162" s="321">
        <f t="shared" si="259"/>
        <v>0</v>
      </c>
      <c r="BY162" s="321">
        <f t="shared" si="259"/>
        <v>0</v>
      </c>
      <c r="BZ162" s="321">
        <f t="shared" si="259"/>
        <v>0</v>
      </c>
      <c r="CA162" s="321">
        <f t="shared" si="259"/>
        <v>0</v>
      </c>
      <c r="CB162" s="321">
        <f t="shared" si="259"/>
        <v>0</v>
      </c>
      <c r="CC162" s="321">
        <f t="shared" si="259"/>
        <v>0</v>
      </c>
      <c r="CD162" s="321">
        <f t="shared" si="259"/>
        <v>0</v>
      </c>
      <c r="CE162" s="321">
        <f t="shared" si="259"/>
        <v>0</v>
      </c>
      <c r="CF162" s="322">
        <f t="shared" si="193"/>
        <v>0.50258294170375706</v>
      </c>
      <c r="CG162" s="217"/>
      <c r="CH162" s="217"/>
      <c r="CI162" s="217"/>
      <c r="CJ162" s="217"/>
      <c r="CK162" s="217"/>
    </row>
    <row r="163" spans="1:89" x14ac:dyDescent="0.3">
      <c r="A163" s="217"/>
      <c r="B163" s="260" t="s">
        <v>349</v>
      </c>
      <c r="C163" s="321">
        <f t="shared" ref="C163:AH163" si="260">SUMIF($F$28:$F$32,C$101,$T$28:$T$32)</f>
        <v>0</v>
      </c>
      <c r="D163" s="321">
        <f t="shared" si="260"/>
        <v>0</v>
      </c>
      <c r="E163" s="321">
        <f t="shared" si="260"/>
        <v>0</v>
      </c>
      <c r="F163" s="321">
        <f t="shared" si="260"/>
        <v>0</v>
      </c>
      <c r="G163" s="321">
        <f t="shared" si="260"/>
        <v>0</v>
      </c>
      <c r="H163" s="321">
        <f t="shared" si="260"/>
        <v>0</v>
      </c>
      <c r="I163" s="321">
        <f t="shared" si="260"/>
        <v>1.7089158333035814E-2</v>
      </c>
      <c r="J163" s="321">
        <f t="shared" si="260"/>
        <v>0</v>
      </c>
      <c r="K163" s="321">
        <f t="shared" si="260"/>
        <v>0</v>
      </c>
      <c r="L163" s="321">
        <f t="shared" si="260"/>
        <v>0</v>
      </c>
      <c r="M163" s="321">
        <f t="shared" si="260"/>
        <v>0</v>
      </c>
      <c r="N163" s="321">
        <f t="shared" si="260"/>
        <v>0</v>
      </c>
      <c r="O163" s="321">
        <f t="shared" si="260"/>
        <v>0</v>
      </c>
      <c r="P163" s="321">
        <f t="shared" si="260"/>
        <v>0</v>
      </c>
      <c r="Q163" s="321">
        <f t="shared" si="260"/>
        <v>0</v>
      </c>
      <c r="R163" s="321">
        <f t="shared" si="260"/>
        <v>0</v>
      </c>
      <c r="S163" s="321">
        <f t="shared" si="260"/>
        <v>0</v>
      </c>
      <c r="T163" s="321">
        <f t="shared" si="260"/>
        <v>0</v>
      </c>
      <c r="U163" s="321">
        <f t="shared" si="260"/>
        <v>0</v>
      </c>
      <c r="V163" s="321">
        <f t="shared" si="260"/>
        <v>0</v>
      </c>
      <c r="W163" s="321">
        <f t="shared" si="260"/>
        <v>0</v>
      </c>
      <c r="X163" s="321">
        <f t="shared" si="260"/>
        <v>0.14800573415761858</v>
      </c>
      <c r="Y163" s="321">
        <f t="shared" si="260"/>
        <v>0</v>
      </c>
      <c r="Z163" s="321">
        <f t="shared" si="260"/>
        <v>0</v>
      </c>
      <c r="AA163" s="321">
        <f t="shared" si="260"/>
        <v>0</v>
      </c>
      <c r="AB163" s="321">
        <f t="shared" si="260"/>
        <v>0</v>
      </c>
      <c r="AC163" s="321">
        <f t="shared" si="260"/>
        <v>0</v>
      </c>
      <c r="AD163" s="321">
        <f t="shared" si="260"/>
        <v>0</v>
      </c>
      <c r="AE163" s="321">
        <f t="shared" si="260"/>
        <v>0</v>
      </c>
      <c r="AF163" s="321">
        <f t="shared" si="260"/>
        <v>0</v>
      </c>
      <c r="AG163" s="321">
        <f t="shared" si="260"/>
        <v>0</v>
      </c>
      <c r="AH163" s="321">
        <f t="shared" si="260"/>
        <v>0</v>
      </c>
      <c r="AI163" s="321">
        <f t="shared" ref="AI163:BN163" si="261">SUMIF($F$28:$F$32,AI$101,$T$28:$T$32)</f>
        <v>0</v>
      </c>
      <c r="AJ163" s="321">
        <f t="shared" si="261"/>
        <v>0.36811730903546658</v>
      </c>
      <c r="AK163" s="321">
        <f t="shared" si="261"/>
        <v>0</v>
      </c>
      <c r="AL163" s="321">
        <f t="shared" si="261"/>
        <v>0</v>
      </c>
      <c r="AM163" s="321">
        <f t="shared" si="261"/>
        <v>0</v>
      </c>
      <c r="AN163" s="321">
        <f t="shared" si="261"/>
        <v>0</v>
      </c>
      <c r="AO163" s="321">
        <f t="shared" si="261"/>
        <v>0</v>
      </c>
      <c r="AP163" s="321">
        <f t="shared" si="261"/>
        <v>0</v>
      </c>
      <c r="AQ163" s="321">
        <f t="shared" si="261"/>
        <v>0</v>
      </c>
      <c r="AR163" s="321">
        <f t="shared" si="261"/>
        <v>0</v>
      </c>
      <c r="AS163" s="321">
        <f t="shared" si="261"/>
        <v>0</v>
      </c>
      <c r="AT163" s="321">
        <f t="shared" si="261"/>
        <v>0</v>
      </c>
      <c r="AU163" s="321">
        <f t="shared" si="261"/>
        <v>0</v>
      </c>
      <c r="AV163" s="321">
        <f t="shared" si="261"/>
        <v>0</v>
      </c>
      <c r="AW163" s="321">
        <f t="shared" si="261"/>
        <v>0</v>
      </c>
      <c r="AX163" s="321">
        <f t="shared" si="261"/>
        <v>0</v>
      </c>
      <c r="AY163" s="321">
        <f t="shared" si="261"/>
        <v>0</v>
      </c>
      <c r="AZ163" s="321">
        <f t="shared" si="261"/>
        <v>0</v>
      </c>
      <c r="BA163" s="321">
        <f t="shared" si="261"/>
        <v>0</v>
      </c>
      <c r="BB163" s="321">
        <f t="shared" si="261"/>
        <v>0</v>
      </c>
      <c r="BC163" s="321">
        <f t="shared" si="261"/>
        <v>0</v>
      </c>
      <c r="BD163" s="321">
        <f t="shared" si="261"/>
        <v>0</v>
      </c>
      <c r="BE163" s="321">
        <f t="shared" si="261"/>
        <v>0</v>
      </c>
      <c r="BF163" s="321">
        <f t="shared" si="261"/>
        <v>0</v>
      </c>
      <c r="BG163" s="321">
        <f t="shared" si="261"/>
        <v>0</v>
      </c>
      <c r="BH163" s="321">
        <f t="shared" si="261"/>
        <v>0</v>
      </c>
      <c r="BI163" s="321">
        <f t="shared" si="261"/>
        <v>0</v>
      </c>
      <c r="BJ163" s="321">
        <f t="shared" si="261"/>
        <v>0</v>
      </c>
      <c r="BK163" s="321">
        <f t="shared" si="261"/>
        <v>0</v>
      </c>
      <c r="BL163" s="321">
        <f t="shared" si="261"/>
        <v>0</v>
      </c>
      <c r="BM163" s="321">
        <f t="shared" si="261"/>
        <v>0</v>
      </c>
      <c r="BN163" s="321">
        <f t="shared" si="261"/>
        <v>0</v>
      </c>
      <c r="BO163" s="321">
        <f t="shared" ref="BO163:CE163" si="262">SUMIF($F$28:$F$32,BO$101,$T$28:$T$32)</f>
        <v>0</v>
      </c>
      <c r="BP163" s="321">
        <f t="shared" si="262"/>
        <v>0</v>
      </c>
      <c r="BQ163" s="321">
        <f t="shared" si="262"/>
        <v>0</v>
      </c>
      <c r="BR163" s="321">
        <f t="shared" si="262"/>
        <v>0</v>
      </c>
      <c r="BS163" s="321">
        <f t="shared" si="262"/>
        <v>0</v>
      </c>
      <c r="BT163" s="321">
        <f t="shared" si="262"/>
        <v>0</v>
      </c>
      <c r="BU163" s="321">
        <f t="shared" si="262"/>
        <v>0</v>
      </c>
      <c r="BV163" s="321">
        <f t="shared" si="262"/>
        <v>0</v>
      </c>
      <c r="BW163" s="321">
        <f t="shared" si="262"/>
        <v>0</v>
      </c>
      <c r="BX163" s="321">
        <f t="shared" si="262"/>
        <v>0</v>
      </c>
      <c r="BY163" s="321">
        <f t="shared" si="262"/>
        <v>0</v>
      </c>
      <c r="BZ163" s="321">
        <f t="shared" si="262"/>
        <v>0</v>
      </c>
      <c r="CA163" s="321">
        <f t="shared" si="262"/>
        <v>0</v>
      </c>
      <c r="CB163" s="321">
        <f t="shared" si="262"/>
        <v>0</v>
      </c>
      <c r="CC163" s="321">
        <f t="shared" si="262"/>
        <v>0</v>
      </c>
      <c r="CD163" s="321">
        <f t="shared" si="262"/>
        <v>0</v>
      </c>
      <c r="CE163" s="321">
        <f t="shared" si="262"/>
        <v>0</v>
      </c>
      <c r="CF163" s="322">
        <f t="shared" si="193"/>
        <v>0.53321220152612092</v>
      </c>
      <c r="CG163" s="217"/>
      <c r="CH163" s="217"/>
      <c r="CI163" s="217"/>
      <c r="CJ163" s="217"/>
      <c r="CK163" s="217"/>
    </row>
    <row r="164" spans="1:89" x14ac:dyDescent="0.3">
      <c r="A164" s="217"/>
      <c r="B164" s="260" t="s">
        <v>556</v>
      </c>
      <c r="C164" s="321">
        <f t="shared" ref="C164:AH164" si="263">SUMIF($F$33:$F$35,C$101,$T$33:$T$35)</f>
        <v>0</v>
      </c>
      <c r="D164" s="321">
        <f t="shared" si="263"/>
        <v>0</v>
      </c>
      <c r="E164" s="321">
        <f t="shared" si="263"/>
        <v>0</v>
      </c>
      <c r="F164" s="321">
        <f t="shared" si="263"/>
        <v>0</v>
      </c>
      <c r="G164" s="321">
        <f t="shared" si="263"/>
        <v>0</v>
      </c>
      <c r="H164" s="321">
        <f t="shared" si="263"/>
        <v>0</v>
      </c>
      <c r="I164" s="321">
        <f t="shared" si="263"/>
        <v>2.6927308913140033E-2</v>
      </c>
      <c r="J164" s="321">
        <f t="shared" si="263"/>
        <v>0</v>
      </c>
      <c r="K164" s="321">
        <f t="shared" si="263"/>
        <v>0</v>
      </c>
      <c r="L164" s="321">
        <f t="shared" si="263"/>
        <v>0</v>
      </c>
      <c r="M164" s="321">
        <f t="shared" si="263"/>
        <v>0</v>
      </c>
      <c r="N164" s="321">
        <f t="shared" si="263"/>
        <v>0</v>
      </c>
      <c r="O164" s="321">
        <f t="shared" si="263"/>
        <v>0</v>
      </c>
      <c r="P164" s="321">
        <f t="shared" si="263"/>
        <v>0</v>
      </c>
      <c r="Q164" s="321">
        <f t="shared" si="263"/>
        <v>0</v>
      </c>
      <c r="R164" s="321">
        <f t="shared" si="263"/>
        <v>0</v>
      </c>
      <c r="S164" s="321">
        <f t="shared" si="263"/>
        <v>0</v>
      </c>
      <c r="T164" s="321">
        <f t="shared" si="263"/>
        <v>0</v>
      </c>
      <c r="U164" s="321">
        <f t="shared" si="263"/>
        <v>0</v>
      </c>
      <c r="V164" s="321">
        <f t="shared" si="263"/>
        <v>0</v>
      </c>
      <c r="W164" s="321">
        <f t="shared" si="263"/>
        <v>0</v>
      </c>
      <c r="X164" s="321">
        <f t="shared" si="263"/>
        <v>0</v>
      </c>
      <c r="Y164" s="321">
        <f t="shared" si="263"/>
        <v>0</v>
      </c>
      <c r="Z164" s="321">
        <f t="shared" si="263"/>
        <v>0</v>
      </c>
      <c r="AA164" s="321">
        <f t="shared" si="263"/>
        <v>0</v>
      </c>
      <c r="AB164" s="321">
        <f t="shared" si="263"/>
        <v>0</v>
      </c>
      <c r="AC164" s="321">
        <f t="shared" si="263"/>
        <v>0</v>
      </c>
      <c r="AD164" s="321">
        <f t="shared" si="263"/>
        <v>0</v>
      </c>
      <c r="AE164" s="321">
        <f t="shared" si="263"/>
        <v>0</v>
      </c>
      <c r="AF164" s="321">
        <f t="shared" si="263"/>
        <v>0</v>
      </c>
      <c r="AG164" s="321">
        <f t="shared" si="263"/>
        <v>0</v>
      </c>
      <c r="AH164" s="321">
        <f t="shared" si="263"/>
        <v>0</v>
      </c>
      <c r="AI164" s="321">
        <f t="shared" ref="AI164:BN164" si="264">SUMIF($F$33:$F$35,AI$101,$T$33:$T$35)</f>
        <v>0</v>
      </c>
      <c r="AJ164" s="321">
        <f t="shared" si="264"/>
        <v>0.51641058329115552</v>
      </c>
      <c r="AK164" s="321">
        <f t="shared" si="264"/>
        <v>0</v>
      </c>
      <c r="AL164" s="321">
        <f t="shared" si="264"/>
        <v>0</v>
      </c>
      <c r="AM164" s="321">
        <f t="shared" si="264"/>
        <v>0</v>
      </c>
      <c r="AN164" s="321">
        <f t="shared" si="264"/>
        <v>0</v>
      </c>
      <c r="AO164" s="321">
        <f t="shared" si="264"/>
        <v>0</v>
      </c>
      <c r="AP164" s="321">
        <f t="shared" si="264"/>
        <v>0</v>
      </c>
      <c r="AQ164" s="321">
        <f t="shared" si="264"/>
        <v>0</v>
      </c>
      <c r="AR164" s="321">
        <f t="shared" si="264"/>
        <v>0</v>
      </c>
      <c r="AS164" s="321">
        <f t="shared" si="264"/>
        <v>0</v>
      </c>
      <c r="AT164" s="321">
        <f t="shared" si="264"/>
        <v>0</v>
      </c>
      <c r="AU164" s="321">
        <f t="shared" si="264"/>
        <v>0</v>
      </c>
      <c r="AV164" s="321">
        <f t="shared" si="264"/>
        <v>0</v>
      </c>
      <c r="AW164" s="321">
        <f t="shared" si="264"/>
        <v>0</v>
      </c>
      <c r="AX164" s="321">
        <f t="shared" si="264"/>
        <v>0</v>
      </c>
      <c r="AY164" s="321">
        <f t="shared" si="264"/>
        <v>0</v>
      </c>
      <c r="AZ164" s="321">
        <f t="shared" si="264"/>
        <v>0</v>
      </c>
      <c r="BA164" s="321">
        <f t="shared" si="264"/>
        <v>0</v>
      </c>
      <c r="BB164" s="321">
        <f t="shared" si="264"/>
        <v>0</v>
      </c>
      <c r="BC164" s="321">
        <f t="shared" si="264"/>
        <v>0</v>
      </c>
      <c r="BD164" s="321">
        <f t="shared" si="264"/>
        <v>0</v>
      </c>
      <c r="BE164" s="321">
        <f t="shared" si="264"/>
        <v>0</v>
      </c>
      <c r="BF164" s="321">
        <f t="shared" si="264"/>
        <v>0</v>
      </c>
      <c r="BG164" s="321">
        <f t="shared" si="264"/>
        <v>0</v>
      </c>
      <c r="BH164" s="321">
        <f t="shared" si="264"/>
        <v>0</v>
      </c>
      <c r="BI164" s="321">
        <f t="shared" si="264"/>
        <v>0</v>
      </c>
      <c r="BJ164" s="321">
        <f t="shared" si="264"/>
        <v>0</v>
      </c>
      <c r="BK164" s="321">
        <f t="shared" si="264"/>
        <v>0</v>
      </c>
      <c r="BL164" s="321">
        <f t="shared" si="264"/>
        <v>0</v>
      </c>
      <c r="BM164" s="321">
        <f t="shared" si="264"/>
        <v>0</v>
      </c>
      <c r="BN164" s="321">
        <f t="shared" si="264"/>
        <v>0</v>
      </c>
      <c r="BO164" s="321">
        <f t="shared" ref="BO164:CE164" si="265">SUMIF($F$33:$F$35,BO$101,$T$33:$T$35)</f>
        <v>0</v>
      </c>
      <c r="BP164" s="321">
        <f t="shared" si="265"/>
        <v>0</v>
      </c>
      <c r="BQ164" s="321">
        <f t="shared" si="265"/>
        <v>0</v>
      </c>
      <c r="BR164" s="321">
        <f t="shared" si="265"/>
        <v>0</v>
      </c>
      <c r="BS164" s="321">
        <f t="shared" si="265"/>
        <v>0</v>
      </c>
      <c r="BT164" s="321">
        <f t="shared" si="265"/>
        <v>0</v>
      </c>
      <c r="BU164" s="321">
        <f t="shared" si="265"/>
        <v>0</v>
      </c>
      <c r="BV164" s="321">
        <f t="shared" si="265"/>
        <v>0</v>
      </c>
      <c r="BW164" s="321">
        <f t="shared" si="265"/>
        <v>0</v>
      </c>
      <c r="BX164" s="321">
        <f t="shared" si="265"/>
        <v>0</v>
      </c>
      <c r="BY164" s="321">
        <f t="shared" si="265"/>
        <v>0</v>
      </c>
      <c r="BZ164" s="321">
        <f t="shared" si="265"/>
        <v>0</v>
      </c>
      <c r="CA164" s="321">
        <f t="shared" si="265"/>
        <v>0</v>
      </c>
      <c r="CB164" s="321">
        <f t="shared" si="265"/>
        <v>0</v>
      </c>
      <c r="CC164" s="321">
        <f t="shared" si="265"/>
        <v>0</v>
      </c>
      <c r="CD164" s="321">
        <f t="shared" si="265"/>
        <v>0</v>
      </c>
      <c r="CE164" s="321">
        <f t="shared" si="265"/>
        <v>0</v>
      </c>
      <c r="CF164" s="322">
        <f t="shared" si="193"/>
        <v>0.54333789220429551</v>
      </c>
      <c r="CG164" s="217"/>
      <c r="CH164" s="217"/>
      <c r="CI164" s="217"/>
      <c r="CJ164" s="217"/>
      <c r="CK164" s="217"/>
    </row>
    <row r="165" spans="1:89" x14ac:dyDescent="0.3">
      <c r="A165" s="217"/>
      <c r="B165" s="260" t="s">
        <v>557</v>
      </c>
      <c r="C165" s="321">
        <f t="shared" ref="C165:AH165" si="266">SUMIF($F$36:$F$38,C$101,$T$36:$T$38)</f>
        <v>0</v>
      </c>
      <c r="D165" s="321">
        <f t="shared" si="266"/>
        <v>0</v>
      </c>
      <c r="E165" s="321">
        <f t="shared" si="266"/>
        <v>0</v>
      </c>
      <c r="F165" s="321">
        <f t="shared" si="266"/>
        <v>0</v>
      </c>
      <c r="G165" s="321">
        <f t="shared" si="266"/>
        <v>0</v>
      </c>
      <c r="H165" s="321">
        <f t="shared" si="266"/>
        <v>0</v>
      </c>
      <c r="I165" s="321">
        <f t="shared" si="266"/>
        <v>5.0651301772044452E-2</v>
      </c>
      <c r="J165" s="321">
        <f t="shared" si="266"/>
        <v>0</v>
      </c>
      <c r="K165" s="321">
        <f t="shared" si="266"/>
        <v>0</v>
      </c>
      <c r="L165" s="321">
        <f t="shared" si="266"/>
        <v>0</v>
      </c>
      <c r="M165" s="321">
        <f t="shared" si="266"/>
        <v>0</v>
      </c>
      <c r="N165" s="321">
        <f t="shared" si="266"/>
        <v>0</v>
      </c>
      <c r="O165" s="321">
        <f t="shared" si="266"/>
        <v>0</v>
      </c>
      <c r="P165" s="321">
        <f t="shared" si="266"/>
        <v>0</v>
      </c>
      <c r="Q165" s="321">
        <f t="shared" si="266"/>
        <v>0</v>
      </c>
      <c r="R165" s="321">
        <f t="shared" si="266"/>
        <v>0</v>
      </c>
      <c r="S165" s="321">
        <f t="shared" si="266"/>
        <v>0</v>
      </c>
      <c r="T165" s="321">
        <f t="shared" si="266"/>
        <v>0</v>
      </c>
      <c r="U165" s="321">
        <f t="shared" si="266"/>
        <v>0</v>
      </c>
      <c r="V165" s="321">
        <f t="shared" si="266"/>
        <v>0</v>
      </c>
      <c r="W165" s="321">
        <f t="shared" si="266"/>
        <v>0</v>
      </c>
      <c r="X165" s="321">
        <f t="shared" si="266"/>
        <v>0</v>
      </c>
      <c r="Y165" s="321">
        <f t="shared" si="266"/>
        <v>0</v>
      </c>
      <c r="Z165" s="321">
        <f t="shared" si="266"/>
        <v>0</v>
      </c>
      <c r="AA165" s="321">
        <f t="shared" si="266"/>
        <v>0</v>
      </c>
      <c r="AB165" s="321">
        <f t="shared" si="266"/>
        <v>0</v>
      </c>
      <c r="AC165" s="321">
        <f t="shared" si="266"/>
        <v>0</v>
      </c>
      <c r="AD165" s="321">
        <f t="shared" si="266"/>
        <v>0</v>
      </c>
      <c r="AE165" s="321">
        <f t="shared" si="266"/>
        <v>0</v>
      </c>
      <c r="AF165" s="321">
        <f t="shared" si="266"/>
        <v>0</v>
      </c>
      <c r="AG165" s="321">
        <f t="shared" si="266"/>
        <v>0</v>
      </c>
      <c r="AH165" s="321">
        <f t="shared" si="266"/>
        <v>0</v>
      </c>
      <c r="AI165" s="321">
        <f t="shared" ref="AI165:BN165" si="267">SUMIF($F$36:$F$38,AI$101,$T$36:$T$38)</f>
        <v>0</v>
      </c>
      <c r="AJ165" s="321">
        <f t="shared" si="267"/>
        <v>0.50382023818900479</v>
      </c>
      <c r="AK165" s="321">
        <f t="shared" si="267"/>
        <v>0</v>
      </c>
      <c r="AL165" s="321">
        <f t="shared" si="267"/>
        <v>0</v>
      </c>
      <c r="AM165" s="321">
        <f t="shared" si="267"/>
        <v>0</v>
      </c>
      <c r="AN165" s="321">
        <f t="shared" si="267"/>
        <v>0</v>
      </c>
      <c r="AO165" s="321">
        <f t="shared" si="267"/>
        <v>0</v>
      </c>
      <c r="AP165" s="321">
        <f t="shared" si="267"/>
        <v>0</v>
      </c>
      <c r="AQ165" s="321">
        <f t="shared" si="267"/>
        <v>0</v>
      </c>
      <c r="AR165" s="321">
        <f t="shared" si="267"/>
        <v>0</v>
      </c>
      <c r="AS165" s="321">
        <f t="shared" si="267"/>
        <v>0</v>
      </c>
      <c r="AT165" s="321">
        <f t="shared" si="267"/>
        <v>0</v>
      </c>
      <c r="AU165" s="321">
        <f t="shared" si="267"/>
        <v>0</v>
      </c>
      <c r="AV165" s="321">
        <f t="shared" si="267"/>
        <v>0</v>
      </c>
      <c r="AW165" s="321">
        <f t="shared" si="267"/>
        <v>0</v>
      </c>
      <c r="AX165" s="321">
        <f t="shared" si="267"/>
        <v>0</v>
      </c>
      <c r="AY165" s="321">
        <f t="shared" si="267"/>
        <v>0</v>
      </c>
      <c r="AZ165" s="321">
        <f t="shared" si="267"/>
        <v>0</v>
      </c>
      <c r="BA165" s="321">
        <f t="shared" si="267"/>
        <v>0</v>
      </c>
      <c r="BB165" s="321">
        <f t="shared" si="267"/>
        <v>0</v>
      </c>
      <c r="BC165" s="321">
        <f t="shared" si="267"/>
        <v>0</v>
      </c>
      <c r="BD165" s="321">
        <f t="shared" si="267"/>
        <v>0</v>
      </c>
      <c r="BE165" s="321">
        <f t="shared" si="267"/>
        <v>0</v>
      </c>
      <c r="BF165" s="321">
        <f t="shared" si="267"/>
        <v>0</v>
      </c>
      <c r="BG165" s="321">
        <f t="shared" si="267"/>
        <v>0</v>
      </c>
      <c r="BH165" s="321">
        <f t="shared" si="267"/>
        <v>0</v>
      </c>
      <c r="BI165" s="321">
        <f t="shared" si="267"/>
        <v>0</v>
      </c>
      <c r="BJ165" s="321">
        <f t="shared" si="267"/>
        <v>0</v>
      </c>
      <c r="BK165" s="321">
        <f t="shared" si="267"/>
        <v>0</v>
      </c>
      <c r="BL165" s="321">
        <f t="shared" si="267"/>
        <v>0</v>
      </c>
      <c r="BM165" s="321">
        <f t="shared" si="267"/>
        <v>0</v>
      </c>
      <c r="BN165" s="321">
        <f t="shared" si="267"/>
        <v>0</v>
      </c>
      <c r="BO165" s="321">
        <f t="shared" ref="BO165:CE165" si="268">SUMIF($F$36:$F$38,BO$101,$T$36:$T$38)</f>
        <v>0</v>
      </c>
      <c r="BP165" s="321">
        <f t="shared" si="268"/>
        <v>0</v>
      </c>
      <c r="BQ165" s="321">
        <f t="shared" si="268"/>
        <v>0</v>
      </c>
      <c r="BR165" s="321">
        <f t="shared" si="268"/>
        <v>0</v>
      </c>
      <c r="BS165" s="321">
        <f t="shared" si="268"/>
        <v>0</v>
      </c>
      <c r="BT165" s="321">
        <f t="shared" si="268"/>
        <v>0</v>
      </c>
      <c r="BU165" s="321">
        <f t="shared" si="268"/>
        <v>0</v>
      </c>
      <c r="BV165" s="321">
        <f t="shared" si="268"/>
        <v>0</v>
      </c>
      <c r="BW165" s="321">
        <f t="shared" si="268"/>
        <v>0</v>
      </c>
      <c r="BX165" s="321">
        <f t="shared" si="268"/>
        <v>0</v>
      </c>
      <c r="BY165" s="321">
        <f t="shared" si="268"/>
        <v>0</v>
      </c>
      <c r="BZ165" s="321">
        <f t="shared" si="268"/>
        <v>0</v>
      </c>
      <c r="CA165" s="321">
        <f t="shared" si="268"/>
        <v>0</v>
      </c>
      <c r="CB165" s="321">
        <f t="shared" si="268"/>
        <v>0</v>
      </c>
      <c r="CC165" s="321">
        <f t="shared" si="268"/>
        <v>0</v>
      </c>
      <c r="CD165" s="321">
        <f t="shared" si="268"/>
        <v>0</v>
      </c>
      <c r="CE165" s="321">
        <f t="shared" si="268"/>
        <v>0</v>
      </c>
      <c r="CF165" s="322">
        <f t="shared" si="193"/>
        <v>0.55447153996104925</v>
      </c>
      <c r="CG165" s="217"/>
      <c r="CH165" s="217"/>
      <c r="CI165" s="217"/>
      <c r="CJ165" s="217"/>
      <c r="CK165" s="217"/>
    </row>
    <row r="166" spans="1:89" x14ac:dyDescent="0.3">
      <c r="A166" s="217"/>
      <c r="B166" s="260" t="s">
        <v>558</v>
      </c>
      <c r="C166" s="321">
        <f t="shared" ref="C166:AH166" si="269">SUMIF($F$39:$F$41,C$101,$T$39:$T$41)</f>
        <v>0</v>
      </c>
      <c r="D166" s="321">
        <f t="shared" si="269"/>
        <v>0</v>
      </c>
      <c r="E166" s="321">
        <f t="shared" si="269"/>
        <v>0</v>
      </c>
      <c r="F166" s="321">
        <f t="shared" si="269"/>
        <v>0</v>
      </c>
      <c r="G166" s="321">
        <f t="shared" si="269"/>
        <v>0</v>
      </c>
      <c r="H166" s="321">
        <f t="shared" si="269"/>
        <v>0</v>
      </c>
      <c r="I166" s="321">
        <f t="shared" si="269"/>
        <v>0</v>
      </c>
      <c r="J166" s="321">
        <f t="shared" si="269"/>
        <v>0</v>
      </c>
      <c r="K166" s="321">
        <f t="shared" si="269"/>
        <v>0</v>
      </c>
      <c r="L166" s="321">
        <f t="shared" si="269"/>
        <v>0</v>
      </c>
      <c r="M166" s="321">
        <f t="shared" si="269"/>
        <v>0</v>
      </c>
      <c r="N166" s="321">
        <f t="shared" si="269"/>
        <v>0</v>
      </c>
      <c r="O166" s="321">
        <f t="shared" si="269"/>
        <v>0</v>
      </c>
      <c r="P166" s="321">
        <f t="shared" si="269"/>
        <v>0</v>
      </c>
      <c r="Q166" s="321">
        <f t="shared" si="269"/>
        <v>0</v>
      </c>
      <c r="R166" s="321">
        <f t="shared" si="269"/>
        <v>0</v>
      </c>
      <c r="S166" s="321">
        <f t="shared" si="269"/>
        <v>0</v>
      </c>
      <c r="T166" s="321">
        <f t="shared" si="269"/>
        <v>0</v>
      </c>
      <c r="U166" s="321">
        <f t="shared" si="269"/>
        <v>0</v>
      </c>
      <c r="V166" s="321">
        <f t="shared" si="269"/>
        <v>0</v>
      </c>
      <c r="W166" s="321">
        <f t="shared" si="269"/>
        <v>0</v>
      </c>
      <c r="X166" s="321">
        <f t="shared" si="269"/>
        <v>0</v>
      </c>
      <c r="Y166" s="321">
        <f t="shared" si="269"/>
        <v>0</v>
      </c>
      <c r="Z166" s="321">
        <f t="shared" si="269"/>
        <v>0</v>
      </c>
      <c r="AA166" s="321">
        <f t="shared" si="269"/>
        <v>0</v>
      </c>
      <c r="AB166" s="321">
        <f t="shared" si="269"/>
        <v>0</v>
      </c>
      <c r="AC166" s="321">
        <f t="shared" si="269"/>
        <v>0</v>
      </c>
      <c r="AD166" s="321">
        <f t="shared" si="269"/>
        <v>0</v>
      </c>
      <c r="AE166" s="321">
        <f t="shared" si="269"/>
        <v>0</v>
      </c>
      <c r="AF166" s="321">
        <f t="shared" si="269"/>
        <v>0</v>
      </c>
      <c r="AG166" s="321">
        <f t="shared" si="269"/>
        <v>0</v>
      </c>
      <c r="AH166" s="321">
        <f t="shared" si="269"/>
        <v>0</v>
      </c>
      <c r="AI166" s="321">
        <f t="shared" ref="AI166:BN166" si="270">SUMIF($F$39:$F$41,AI$101,$T$39:$T$41)</f>
        <v>0</v>
      </c>
      <c r="AJ166" s="321">
        <f t="shared" si="270"/>
        <v>0.5</v>
      </c>
      <c r="AK166" s="321">
        <f t="shared" si="270"/>
        <v>0</v>
      </c>
      <c r="AL166" s="321">
        <f t="shared" si="270"/>
        <v>0</v>
      </c>
      <c r="AM166" s="321">
        <f t="shared" si="270"/>
        <v>0</v>
      </c>
      <c r="AN166" s="321">
        <f t="shared" si="270"/>
        <v>0</v>
      </c>
      <c r="AO166" s="321">
        <f t="shared" si="270"/>
        <v>0</v>
      </c>
      <c r="AP166" s="321">
        <f t="shared" si="270"/>
        <v>0</v>
      </c>
      <c r="AQ166" s="321">
        <f t="shared" si="270"/>
        <v>0</v>
      </c>
      <c r="AR166" s="321">
        <f t="shared" si="270"/>
        <v>0</v>
      </c>
      <c r="AS166" s="321">
        <f t="shared" si="270"/>
        <v>0</v>
      </c>
      <c r="AT166" s="321">
        <f t="shared" si="270"/>
        <v>0</v>
      </c>
      <c r="AU166" s="321">
        <f t="shared" si="270"/>
        <v>0</v>
      </c>
      <c r="AV166" s="321">
        <f t="shared" si="270"/>
        <v>0</v>
      </c>
      <c r="AW166" s="321">
        <f t="shared" si="270"/>
        <v>0</v>
      </c>
      <c r="AX166" s="321">
        <f t="shared" si="270"/>
        <v>0</v>
      </c>
      <c r="AY166" s="321">
        <f t="shared" si="270"/>
        <v>0</v>
      </c>
      <c r="AZ166" s="321">
        <f t="shared" si="270"/>
        <v>0</v>
      </c>
      <c r="BA166" s="321">
        <f t="shared" si="270"/>
        <v>0</v>
      </c>
      <c r="BB166" s="321">
        <f t="shared" si="270"/>
        <v>0</v>
      </c>
      <c r="BC166" s="321">
        <f t="shared" si="270"/>
        <v>0</v>
      </c>
      <c r="BD166" s="321">
        <f t="shared" si="270"/>
        <v>0</v>
      </c>
      <c r="BE166" s="321">
        <f t="shared" si="270"/>
        <v>0</v>
      </c>
      <c r="BF166" s="321">
        <f t="shared" si="270"/>
        <v>0</v>
      </c>
      <c r="BG166" s="321">
        <f t="shared" si="270"/>
        <v>0</v>
      </c>
      <c r="BH166" s="321">
        <f t="shared" si="270"/>
        <v>0</v>
      </c>
      <c r="BI166" s="321">
        <f t="shared" si="270"/>
        <v>0</v>
      </c>
      <c r="BJ166" s="321">
        <f t="shared" si="270"/>
        <v>0</v>
      </c>
      <c r="BK166" s="321">
        <f t="shared" si="270"/>
        <v>0</v>
      </c>
      <c r="BL166" s="321">
        <f t="shared" si="270"/>
        <v>0</v>
      </c>
      <c r="BM166" s="321">
        <f t="shared" si="270"/>
        <v>0</v>
      </c>
      <c r="BN166" s="321">
        <f t="shared" si="270"/>
        <v>0</v>
      </c>
      <c r="BO166" s="321">
        <f t="shared" ref="BO166:CE166" si="271">SUMIF($F$39:$F$41,BO$101,$T$39:$T$41)</f>
        <v>0</v>
      </c>
      <c r="BP166" s="321">
        <f t="shared" si="271"/>
        <v>0</v>
      </c>
      <c r="BQ166" s="321">
        <f t="shared" si="271"/>
        <v>0</v>
      </c>
      <c r="BR166" s="321">
        <f t="shared" si="271"/>
        <v>0</v>
      </c>
      <c r="BS166" s="321">
        <f t="shared" si="271"/>
        <v>0</v>
      </c>
      <c r="BT166" s="321">
        <f t="shared" si="271"/>
        <v>0</v>
      </c>
      <c r="BU166" s="321">
        <f t="shared" si="271"/>
        <v>0</v>
      </c>
      <c r="BV166" s="321">
        <f t="shared" si="271"/>
        <v>0</v>
      </c>
      <c r="BW166" s="321">
        <f t="shared" si="271"/>
        <v>0</v>
      </c>
      <c r="BX166" s="321">
        <f t="shared" si="271"/>
        <v>0</v>
      </c>
      <c r="BY166" s="321">
        <f t="shared" si="271"/>
        <v>0</v>
      </c>
      <c r="BZ166" s="321">
        <f t="shared" si="271"/>
        <v>0</v>
      </c>
      <c r="CA166" s="321">
        <f t="shared" si="271"/>
        <v>0</v>
      </c>
      <c r="CB166" s="321">
        <f t="shared" si="271"/>
        <v>0</v>
      </c>
      <c r="CC166" s="321">
        <f t="shared" si="271"/>
        <v>0</v>
      </c>
      <c r="CD166" s="321">
        <f t="shared" si="271"/>
        <v>0</v>
      </c>
      <c r="CE166" s="321">
        <f t="shared" si="271"/>
        <v>0</v>
      </c>
      <c r="CF166" s="322">
        <f t="shared" si="193"/>
        <v>0.5</v>
      </c>
      <c r="CG166" s="217"/>
      <c r="CH166" s="217"/>
      <c r="CI166" s="217"/>
      <c r="CJ166" s="217"/>
      <c r="CK166" s="217"/>
    </row>
    <row r="167" spans="1:89" x14ac:dyDescent="0.3">
      <c r="A167" s="217"/>
      <c r="B167" s="260" t="s">
        <v>559</v>
      </c>
      <c r="C167" s="321">
        <f t="shared" ref="C167:AH167" si="272">SUMIF($F$42:$F$46,C$101,$T$42:$T$46)</f>
        <v>0</v>
      </c>
      <c r="D167" s="321">
        <f t="shared" si="272"/>
        <v>0</v>
      </c>
      <c r="E167" s="321">
        <f t="shared" si="272"/>
        <v>0</v>
      </c>
      <c r="F167" s="321">
        <f t="shared" si="272"/>
        <v>0</v>
      </c>
      <c r="G167" s="321">
        <f t="shared" si="272"/>
        <v>0</v>
      </c>
      <c r="H167" s="321">
        <f t="shared" si="272"/>
        <v>0</v>
      </c>
      <c r="I167" s="321">
        <f t="shared" si="272"/>
        <v>1.7089158333035814E-2</v>
      </c>
      <c r="J167" s="321">
        <f t="shared" si="272"/>
        <v>0</v>
      </c>
      <c r="K167" s="321">
        <f t="shared" si="272"/>
        <v>0</v>
      </c>
      <c r="L167" s="321">
        <f t="shared" si="272"/>
        <v>0</v>
      </c>
      <c r="M167" s="321">
        <f t="shared" si="272"/>
        <v>0</v>
      </c>
      <c r="N167" s="321">
        <f t="shared" si="272"/>
        <v>0</v>
      </c>
      <c r="O167" s="321">
        <f t="shared" si="272"/>
        <v>0</v>
      </c>
      <c r="P167" s="321">
        <f t="shared" si="272"/>
        <v>0</v>
      </c>
      <c r="Q167" s="321">
        <f t="shared" si="272"/>
        <v>0</v>
      </c>
      <c r="R167" s="321">
        <f t="shared" si="272"/>
        <v>0</v>
      </c>
      <c r="S167" s="321">
        <f t="shared" si="272"/>
        <v>0</v>
      </c>
      <c r="T167" s="321">
        <f t="shared" si="272"/>
        <v>0</v>
      </c>
      <c r="U167" s="321">
        <f t="shared" si="272"/>
        <v>0</v>
      </c>
      <c r="V167" s="321">
        <f t="shared" si="272"/>
        <v>0</v>
      </c>
      <c r="W167" s="321">
        <f t="shared" si="272"/>
        <v>0</v>
      </c>
      <c r="X167" s="321">
        <f t="shared" si="272"/>
        <v>0.14800573415761858</v>
      </c>
      <c r="Y167" s="321">
        <f t="shared" si="272"/>
        <v>0</v>
      </c>
      <c r="Z167" s="321">
        <f t="shared" si="272"/>
        <v>0</v>
      </c>
      <c r="AA167" s="321">
        <f t="shared" si="272"/>
        <v>0</v>
      </c>
      <c r="AB167" s="321">
        <f t="shared" si="272"/>
        <v>0</v>
      </c>
      <c r="AC167" s="321">
        <f t="shared" si="272"/>
        <v>0</v>
      </c>
      <c r="AD167" s="321">
        <f t="shared" si="272"/>
        <v>0</v>
      </c>
      <c r="AE167" s="321">
        <f t="shared" si="272"/>
        <v>0</v>
      </c>
      <c r="AF167" s="321">
        <f t="shared" si="272"/>
        <v>0</v>
      </c>
      <c r="AG167" s="321">
        <f t="shared" si="272"/>
        <v>0</v>
      </c>
      <c r="AH167" s="321">
        <f t="shared" si="272"/>
        <v>0</v>
      </c>
      <c r="AI167" s="321">
        <f t="shared" ref="AI167:BN167" si="273">SUMIF($F$42:$F$46,AI$101,$T$42:$T$46)</f>
        <v>0</v>
      </c>
      <c r="AJ167" s="321">
        <f t="shared" si="273"/>
        <v>0.36811730903546658</v>
      </c>
      <c r="AK167" s="321">
        <f t="shared" si="273"/>
        <v>0</v>
      </c>
      <c r="AL167" s="321">
        <f t="shared" si="273"/>
        <v>0</v>
      </c>
      <c r="AM167" s="321">
        <f t="shared" si="273"/>
        <v>0</v>
      </c>
      <c r="AN167" s="321">
        <f t="shared" si="273"/>
        <v>0</v>
      </c>
      <c r="AO167" s="321">
        <f t="shared" si="273"/>
        <v>0</v>
      </c>
      <c r="AP167" s="321">
        <f t="shared" si="273"/>
        <v>0</v>
      </c>
      <c r="AQ167" s="321">
        <f t="shared" si="273"/>
        <v>0</v>
      </c>
      <c r="AR167" s="321">
        <f t="shared" si="273"/>
        <v>0</v>
      </c>
      <c r="AS167" s="321">
        <f t="shared" si="273"/>
        <v>0</v>
      </c>
      <c r="AT167" s="321">
        <f t="shared" si="273"/>
        <v>0</v>
      </c>
      <c r="AU167" s="321">
        <f t="shared" si="273"/>
        <v>0</v>
      </c>
      <c r="AV167" s="321">
        <f t="shared" si="273"/>
        <v>0</v>
      </c>
      <c r="AW167" s="321">
        <f t="shared" si="273"/>
        <v>0</v>
      </c>
      <c r="AX167" s="321">
        <f t="shared" si="273"/>
        <v>0</v>
      </c>
      <c r="AY167" s="321">
        <f t="shared" si="273"/>
        <v>0</v>
      </c>
      <c r="AZ167" s="321">
        <f t="shared" si="273"/>
        <v>0</v>
      </c>
      <c r="BA167" s="321">
        <f t="shared" si="273"/>
        <v>0</v>
      </c>
      <c r="BB167" s="321">
        <f t="shared" si="273"/>
        <v>0</v>
      </c>
      <c r="BC167" s="321">
        <f t="shared" si="273"/>
        <v>0</v>
      </c>
      <c r="BD167" s="321">
        <f t="shared" si="273"/>
        <v>0</v>
      </c>
      <c r="BE167" s="321">
        <f t="shared" si="273"/>
        <v>0</v>
      </c>
      <c r="BF167" s="321">
        <f t="shared" si="273"/>
        <v>0</v>
      </c>
      <c r="BG167" s="321">
        <f t="shared" si="273"/>
        <v>0</v>
      </c>
      <c r="BH167" s="321">
        <f t="shared" si="273"/>
        <v>0</v>
      </c>
      <c r="BI167" s="321">
        <f t="shared" si="273"/>
        <v>0</v>
      </c>
      <c r="BJ167" s="321">
        <f t="shared" si="273"/>
        <v>0</v>
      </c>
      <c r="BK167" s="321">
        <f t="shared" si="273"/>
        <v>0</v>
      </c>
      <c r="BL167" s="321">
        <f t="shared" si="273"/>
        <v>0</v>
      </c>
      <c r="BM167" s="321">
        <f t="shared" si="273"/>
        <v>0</v>
      </c>
      <c r="BN167" s="321">
        <f t="shared" si="273"/>
        <v>0</v>
      </c>
      <c r="BO167" s="321">
        <f t="shared" ref="BO167:CE167" si="274">SUMIF($F$42:$F$46,BO$101,$T$42:$T$46)</f>
        <v>0</v>
      </c>
      <c r="BP167" s="321">
        <f t="shared" si="274"/>
        <v>0</v>
      </c>
      <c r="BQ167" s="321">
        <f t="shared" si="274"/>
        <v>0</v>
      </c>
      <c r="BR167" s="321">
        <f t="shared" si="274"/>
        <v>0</v>
      </c>
      <c r="BS167" s="321">
        <f t="shared" si="274"/>
        <v>0</v>
      </c>
      <c r="BT167" s="321">
        <f t="shared" si="274"/>
        <v>0</v>
      </c>
      <c r="BU167" s="321">
        <f t="shared" si="274"/>
        <v>0</v>
      </c>
      <c r="BV167" s="321">
        <f t="shared" si="274"/>
        <v>0</v>
      </c>
      <c r="BW167" s="321">
        <f t="shared" si="274"/>
        <v>0</v>
      </c>
      <c r="BX167" s="321">
        <f t="shared" si="274"/>
        <v>0</v>
      </c>
      <c r="BY167" s="321">
        <f t="shared" si="274"/>
        <v>0</v>
      </c>
      <c r="BZ167" s="321">
        <f t="shared" si="274"/>
        <v>0</v>
      </c>
      <c r="CA167" s="321">
        <f t="shared" si="274"/>
        <v>0</v>
      </c>
      <c r="CB167" s="321">
        <f t="shared" si="274"/>
        <v>0</v>
      </c>
      <c r="CC167" s="321">
        <f t="shared" si="274"/>
        <v>0</v>
      </c>
      <c r="CD167" s="321">
        <f t="shared" si="274"/>
        <v>0</v>
      </c>
      <c r="CE167" s="321">
        <f t="shared" si="274"/>
        <v>0</v>
      </c>
      <c r="CF167" s="322">
        <f t="shared" si="193"/>
        <v>0.53321220152612092</v>
      </c>
      <c r="CG167" s="217"/>
      <c r="CH167" s="217"/>
      <c r="CI167" s="217"/>
      <c r="CJ167" s="217"/>
      <c r="CK167" s="217"/>
    </row>
    <row r="168" spans="1:89" x14ac:dyDescent="0.3">
      <c r="A168" s="217"/>
      <c r="B168" s="260" t="s">
        <v>436</v>
      </c>
      <c r="C168" s="321">
        <f t="shared" ref="C168:AH168" si="275">SUMIF($F$47,C$101,$T$47)</f>
        <v>0</v>
      </c>
      <c r="D168" s="321">
        <f t="shared" si="275"/>
        <v>0</v>
      </c>
      <c r="E168" s="321">
        <f t="shared" si="275"/>
        <v>0</v>
      </c>
      <c r="F168" s="321">
        <f t="shared" si="275"/>
        <v>0</v>
      </c>
      <c r="G168" s="321">
        <f t="shared" si="275"/>
        <v>0</v>
      </c>
      <c r="H168" s="321">
        <f t="shared" si="275"/>
        <v>0</v>
      </c>
      <c r="I168" s="321">
        <f t="shared" si="275"/>
        <v>0</v>
      </c>
      <c r="J168" s="321">
        <f t="shared" si="275"/>
        <v>0</v>
      </c>
      <c r="K168" s="321">
        <f t="shared" si="275"/>
        <v>0</v>
      </c>
      <c r="L168" s="321">
        <f t="shared" si="275"/>
        <v>0</v>
      </c>
      <c r="M168" s="321">
        <f t="shared" si="275"/>
        <v>0</v>
      </c>
      <c r="N168" s="321">
        <f t="shared" si="275"/>
        <v>0</v>
      </c>
      <c r="O168" s="321">
        <f t="shared" si="275"/>
        <v>0</v>
      </c>
      <c r="P168" s="321">
        <f t="shared" si="275"/>
        <v>0</v>
      </c>
      <c r="Q168" s="321">
        <f t="shared" si="275"/>
        <v>0</v>
      </c>
      <c r="R168" s="321">
        <f t="shared" si="275"/>
        <v>0</v>
      </c>
      <c r="S168" s="321">
        <f t="shared" si="275"/>
        <v>0</v>
      </c>
      <c r="T168" s="321">
        <f t="shared" si="275"/>
        <v>0</v>
      </c>
      <c r="U168" s="321">
        <f t="shared" si="275"/>
        <v>0</v>
      </c>
      <c r="V168" s="321">
        <f t="shared" si="275"/>
        <v>0</v>
      </c>
      <c r="W168" s="321">
        <f t="shared" si="275"/>
        <v>0</v>
      </c>
      <c r="X168" s="321">
        <f t="shared" si="275"/>
        <v>0</v>
      </c>
      <c r="Y168" s="321">
        <f t="shared" si="275"/>
        <v>0</v>
      </c>
      <c r="Z168" s="321">
        <f t="shared" si="275"/>
        <v>0</v>
      </c>
      <c r="AA168" s="321">
        <f t="shared" si="275"/>
        <v>0</v>
      </c>
      <c r="AB168" s="321">
        <f t="shared" si="275"/>
        <v>0</v>
      </c>
      <c r="AC168" s="321">
        <f t="shared" si="275"/>
        <v>0</v>
      </c>
      <c r="AD168" s="321">
        <f t="shared" si="275"/>
        <v>0</v>
      </c>
      <c r="AE168" s="321">
        <f t="shared" si="275"/>
        <v>0</v>
      </c>
      <c r="AF168" s="321">
        <f t="shared" si="275"/>
        <v>0</v>
      </c>
      <c r="AG168" s="321">
        <f t="shared" si="275"/>
        <v>0</v>
      </c>
      <c r="AH168" s="321">
        <f t="shared" si="275"/>
        <v>0</v>
      </c>
      <c r="AI168" s="321">
        <f t="shared" ref="AI168:BN168" si="276">SUMIF($F$47,AI$101,$T$47)</f>
        <v>0</v>
      </c>
      <c r="AJ168" s="321">
        <f t="shared" si="276"/>
        <v>0.5</v>
      </c>
      <c r="AK168" s="321">
        <f t="shared" si="276"/>
        <v>0</v>
      </c>
      <c r="AL168" s="321">
        <f t="shared" si="276"/>
        <v>0</v>
      </c>
      <c r="AM168" s="321">
        <f t="shared" si="276"/>
        <v>0</v>
      </c>
      <c r="AN168" s="321">
        <f t="shared" si="276"/>
        <v>0</v>
      </c>
      <c r="AO168" s="321">
        <f t="shared" si="276"/>
        <v>0</v>
      </c>
      <c r="AP168" s="321">
        <f t="shared" si="276"/>
        <v>0</v>
      </c>
      <c r="AQ168" s="321">
        <f t="shared" si="276"/>
        <v>0</v>
      </c>
      <c r="AR168" s="321">
        <f t="shared" si="276"/>
        <v>0</v>
      </c>
      <c r="AS168" s="321">
        <f t="shared" si="276"/>
        <v>0</v>
      </c>
      <c r="AT168" s="321">
        <f t="shared" si="276"/>
        <v>0</v>
      </c>
      <c r="AU168" s="321">
        <f t="shared" si="276"/>
        <v>0</v>
      </c>
      <c r="AV168" s="321">
        <f t="shared" si="276"/>
        <v>0</v>
      </c>
      <c r="AW168" s="321">
        <f t="shared" si="276"/>
        <v>0</v>
      </c>
      <c r="AX168" s="321">
        <f t="shared" si="276"/>
        <v>0</v>
      </c>
      <c r="AY168" s="321">
        <f t="shared" si="276"/>
        <v>0</v>
      </c>
      <c r="AZ168" s="321">
        <f t="shared" si="276"/>
        <v>0</v>
      </c>
      <c r="BA168" s="321">
        <f t="shared" si="276"/>
        <v>0</v>
      </c>
      <c r="BB168" s="321">
        <f t="shared" si="276"/>
        <v>0</v>
      </c>
      <c r="BC168" s="321">
        <f t="shared" si="276"/>
        <v>0</v>
      </c>
      <c r="BD168" s="321">
        <f t="shared" si="276"/>
        <v>0</v>
      </c>
      <c r="BE168" s="321">
        <f t="shared" si="276"/>
        <v>0</v>
      </c>
      <c r="BF168" s="321">
        <f t="shared" si="276"/>
        <v>0</v>
      </c>
      <c r="BG168" s="321">
        <f t="shared" si="276"/>
        <v>0</v>
      </c>
      <c r="BH168" s="321">
        <f t="shared" si="276"/>
        <v>0</v>
      </c>
      <c r="BI168" s="321">
        <f t="shared" si="276"/>
        <v>0</v>
      </c>
      <c r="BJ168" s="321">
        <f t="shared" si="276"/>
        <v>0</v>
      </c>
      <c r="BK168" s="321">
        <f t="shared" si="276"/>
        <v>0</v>
      </c>
      <c r="BL168" s="321">
        <f t="shared" si="276"/>
        <v>0</v>
      </c>
      <c r="BM168" s="321">
        <f t="shared" si="276"/>
        <v>0</v>
      </c>
      <c r="BN168" s="321">
        <f t="shared" si="276"/>
        <v>0</v>
      </c>
      <c r="BO168" s="321">
        <f t="shared" ref="BO168:CE168" si="277">SUMIF($F$47,BO$101,$T$47)</f>
        <v>0</v>
      </c>
      <c r="BP168" s="321">
        <f t="shared" si="277"/>
        <v>0</v>
      </c>
      <c r="BQ168" s="321">
        <f t="shared" si="277"/>
        <v>0</v>
      </c>
      <c r="BR168" s="321">
        <f t="shared" si="277"/>
        <v>0</v>
      </c>
      <c r="BS168" s="321">
        <f t="shared" si="277"/>
        <v>0</v>
      </c>
      <c r="BT168" s="321">
        <f t="shared" si="277"/>
        <v>0</v>
      </c>
      <c r="BU168" s="321">
        <f t="shared" si="277"/>
        <v>0</v>
      </c>
      <c r="BV168" s="321">
        <f t="shared" si="277"/>
        <v>0</v>
      </c>
      <c r="BW168" s="321">
        <f t="shared" si="277"/>
        <v>0</v>
      </c>
      <c r="BX168" s="321">
        <f t="shared" si="277"/>
        <v>0</v>
      </c>
      <c r="BY168" s="321">
        <f t="shared" si="277"/>
        <v>0</v>
      </c>
      <c r="BZ168" s="321">
        <f t="shared" si="277"/>
        <v>0</v>
      </c>
      <c r="CA168" s="321">
        <f t="shared" si="277"/>
        <v>0</v>
      </c>
      <c r="CB168" s="321">
        <f t="shared" si="277"/>
        <v>0</v>
      </c>
      <c r="CC168" s="321">
        <f t="shared" si="277"/>
        <v>0</v>
      </c>
      <c r="CD168" s="321">
        <f t="shared" si="277"/>
        <v>0</v>
      </c>
      <c r="CE168" s="321">
        <f t="shared" si="277"/>
        <v>0</v>
      </c>
      <c r="CF168" s="322">
        <f t="shared" si="193"/>
        <v>0.5</v>
      </c>
      <c r="CG168" s="217"/>
      <c r="CH168" s="217"/>
      <c r="CI168" s="217"/>
      <c r="CJ168" s="217"/>
      <c r="CK168" s="217"/>
    </row>
    <row r="169" spans="1:89" x14ac:dyDescent="0.3">
      <c r="A169" s="217"/>
      <c r="B169" s="260" t="s">
        <v>350</v>
      </c>
      <c r="C169" s="321">
        <f t="shared" ref="C169:AH169" si="278">SUMIF($F$48:$F$50,C$101,$T$48:$T$50)</f>
        <v>0</v>
      </c>
      <c r="D169" s="321">
        <f t="shared" si="278"/>
        <v>0</v>
      </c>
      <c r="E169" s="321">
        <f t="shared" si="278"/>
        <v>0</v>
      </c>
      <c r="F169" s="321">
        <f t="shared" si="278"/>
        <v>0</v>
      </c>
      <c r="G169" s="321">
        <f t="shared" si="278"/>
        <v>0</v>
      </c>
      <c r="H169" s="321">
        <f t="shared" si="278"/>
        <v>0</v>
      </c>
      <c r="I169" s="321">
        <f t="shared" si="278"/>
        <v>1.3317018345269179E-2</v>
      </c>
      <c r="J169" s="321">
        <f t="shared" si="278"/>
        <v>0</v>
      </c>
      <c r="K169" s="321">
        <f t="shared" si="278"/>
        <v>0</v>
      </c>
      <c r="L169" s="321">
        <f t="shared" si="278"/>
        <v>0</v>
      </c>
      <c r="M169" s="321">
        <f t="shared" si="278"/>
        <v>0</v>
      </c>
      <c r="N169" s="321">
        <f t="shared" si="278"/>
        <v>0</v>
      </c>
      <c r="O169" s="321">
        <f t="shared" si="278"/>
        <v>0</v>
      </c>
      <c r="P169" s="321">
        <f t="shared" si="278"/>
        <v>0</v>
      </c>
      <c r="Q169" s="321">
        <f t="shared" si="278"/>
        <v>0</v>
      </c>
      <c r="R169" s="321">
        <f t="shared" si="278"/>
        <v>0</v>
      </c>
      <c r="S169" s="321">
        <f t="shared" si="278"/>
        <v>0</v>
      </c>
      <c r="T169" s="321">
        <f t="shared" si="278"/>
        <v>0</v>
      </c>
      <c r="U169" s="321">
        <f t="shared" si="278"/>
        <v>0</v>
      </c>
      <c r="V169" s="321">
        <f t="shared" si="278"/>
        <v>0</v>
      </c>
      <c r="W169" s="321">
        <f t="shared" si="278"/>
        <v>0</v>
      </c>
      <c r="X169" s="321">
        <f t="shared" si="278"/>
        <v>0.14857373923454689</v>
      </c>
      <c r="Y169" s="321">
        <f t="shared" si="278"/>
        <v>0</v>
      </c>
      <c r="Z169" s="321">
        <f t="shared" si="278"/>
        <v>0</v>
      </c>
      <c r="AA169" s="321">
        <f t="shared" si="278"/>
        <v>0</v>
      </c>
      <c r="AB169" s="321">
        <f t="shared" si="278"/>
        <v>0</v>
      </c>
      <c r="AC169" s="321">
        <f t="shared" si="278"/>
        <v>0</v>
      </c>
      <c r="AD169" s="321">
        <f t="shared" si="278"/>
        <v>0</v>
      </c>
      <c r="AE169" s="321">
        <f t="shared" si="278"/>
        <v>0</v>
      </c>
      <c r="AF169" s="321">
        <f t="shared" si="278"/>
        <v>0</v>
      </c>
      <c r="AG169" s="321">
        <f t="shared" si="278"/>
        <v>0</v>
      </c>
      <c r="AH169" s="321">
        <f t="shared" si="278"/>
        <v>0</v>
      </c>
      <c r="AI169" s="321">
        <f t="shared" ref="AI169:BN169" si="279">SUMIF($F$48:$F$50,AI$101,$T$48:$T$50)</f>
        <v>0</v>
      </c>
      <c r="AJ169" s="321">
        <f t="shared" si="279"/>
        <v>0.36953004146524299</v>
      </c>
      <c r="AK169" s="321">
        <f t="shared" si="279"/>
        <v>0</v>
      </c>
      <c r="AL169" s="321">
        <f t="shared" si="279"/>
        <v>0</v>
      </c>
      <c r="AM169" s="321">
        <f t="shared" si="279"/>
        <v>0</v>
      </c>
      <c r="AN169" s="321">
        <f t="shared" si="279"/>
        <v>0</v>
      </c>
      <c r="AO169" s="321">
        <f t="shared" si="279"/>
        <v>0</v>
      </c>
      <c r="AP169" s="321">
        <f t="shared" si="279"/>
        <v>0</v>
      </c>
      <c r="AQ169" s="321">
        <f t="shared" si="279"/>
        <v>0</v>
      </c>
      <c r="AR169" s="321">
        <f t="shared" si="279"/>
        <v>0</v>
      </c>
      <c r="AS169" s="321">
        <f t="shared" si="279"/>
        <v>0</v>
      </c>
      <c r="AT169" s="321">
        <f t="shared" si="279"/>
        <v>0</v>
      </c>
      <c r="AU169" s="321">
        <f t="shared" si="279"/>
        <v>0</v>
      </c>
      <c r="AV169" s="321">
        <f t="shared" si="279"/>
        <v>0</v>
      </c>
      <c r="AW169" s="321">
        <f t="shared" si="279"/>
        <v>0</v>
      </c>
      <c r="AX169" s="321">
        <f t="shared" si="279"/>
        <v>0</v>
      </c>
      <c r="AY169" s="321">
        <f t="shared" si="279"/>
        <v>0</v>
      </c>
      <c r="AZ169" s="321">
        <f t="shared" si="279"/>
        <v>0</v>
      </c>
      <c r="BA169" s="321">
        <f t="shared" si="279"/>
        <v>0</v>
      </c>
      <c r="BB169" s="321">
        <f t="shared" si="279"/>
        <v>0</v>
      </c>
      <c r="BC169" s="321">
        <f t="shared" si="279"/>
        <v>0</v>
      </c>
      <c r="BD169" s="321">
        <f t="shared" si="279"/>
        <v>0</v>
      </c>
      <c r="BE169" s="321">
        <f t="shared" si="279"/>
        <v>0</v>
      </c>
      <c r="BF169" s="321">
        <f t="shared" si="279"/>
        <v>0</v>
      </c>
      <c r="BG169" s="321">
        <f t="shared" si="279"/>
        <v>0</v>
      </c>
      <c r="BH169" s="321">
        <f t="shared" si="279"/>
        <v>0</v>
      </c>
      <c r="BI169" s="321">
        <f t="shared" si="279"/>
        <v>0</v>
      </c>
      <c r="BJ169" s="321">
        <f t="shared" si="279"/>
        <v>0</v>
      </c>
      <c r="BK169" s="321">
        <f t="shared" si="279"/>
        <v>0</v>
      </c>
      <c r="BL169" s="321">
        <f t="shared" si="279"/>
        <v>0</v>
      </c>
      <c r="BM169" s="321">
        <f t="shared" si="279"/>
        <v>0</v>
      </c>
      <c r="BN169" s="321">
        <f t="shared" si="279"/>
        <v>0</v>
      </c>
      <c r="BO169" s="321">
        <f t="shared" ref="BO169:CE169" si="280">SUMIF($F$48:$F$50,BO$101,$T$48:$T$50)</f>
        <v>0</v>
      </c>
      <c r="BP169" s="321">
        <f t="shared" si="280"/>
        <v>0</v>
      </c>
      <c r="BQ169" s="321">
        <f t="shared" si="280"/>
        <v>0</v>
      </c>
      <c r="BR169" s="321">
        <f t="shared" si="280"/>
        <v>0</v>
      </c>
      <c r="BS169" s="321">
        <f t="shared" si="280"/>
        <v>0</v>
      </c>
      <c r="BT169" s="321">
        <f t="shared" si="280"/>
        <v>0</v>
      </c>
      <c r="BU169" s="321">
        <f t="shared" si="280"/>
        <v>0</v>
      </c>
      <c r="BV169" s="321">
        <f t="shared" si="280"/>
        <v>0</v>
      </c>
      <c r="BW169" s="321">
        <f t="shared" si="280"/>
        <v>0</v>
      </c>
      <c r="BX169" s="321">
        <f t="shared" si="280"/>
        <v>0</v>
      </c>
      <c r="BY169" s="321">
        <f t="shared" si="280"/>
        <v>0</v>
      </c>
      <c r="BZ169" s="321">
        <f t="shared" si="280"/>
        <v>0</v>
      </c>
      <c r="CA169" s="321">
        <f t="shared" si="280"/>
        <v>0</v>
      </c>
      <c r="CB169" s="321">
        <f t="shared" si="280"/>
        <v>0</v>
      </c>
      <c r="CC169" s="321">
        <f t="shared" si="280"/>
        <v>0</v>
      </c>
      <c r="CD169" s="321">
        <f t="shared" si="280"/>
        <v>0</v>
      </c>
      <c r="CE169" s="321">
        <f t="shared" si="280"/>
        <v>0</v>
      </c>
      <c r="CF169" s="322">
        <f t="shared" si="193"/>
        <v>0.53142079904505901</v>
      </c>
      <c r="CG169" s="217"/>
      <c r="CH169" s="217"/>
      <c r="CI169" s="217"/>
      <c r="CJ169" s="217"/>
      <c r="CK169" s="217"/>
    </row>
    <row r="170" spans="1:89" x14ac:dyDescent="0.3">
      <c r="A170" s="217"/>
      <c r="B170" s="260" t="s">
        <v>569</v>
      </c>
      <c r="C170" s="321">
        <f t="shared" ref="C170:AH170" si="281">SUMIF($F$51:$F$52,C$101,$T$51:$T$52)</f>
        <v>0</v>
      </c>
      <c r="D170" s="321">
        <f t="shared" si="281"/>
        <v>0</v>
      </c>
      <c r="E170" s="321">
        <f t="shared" si="281"/>
        <v>0</v>
      </c>
      <c r="F170" s="321">
        <f t="shared" si="281"/>
        <v>0</v>
      </c>
      <c r="G170" s="321">
        <f t="shared" si="281"/>
        <v>0</v>
      </c>
      <c r="H170" s="321">
        <f t="shared" si="281"/>
        <v>0</v>
      </c>
      <c r="I170" s="321">
        <f t="shared" si="281"/>
        <v>0</v>
      </c>
      <c r="J170" s="321">
        <f t="shared" si="281"/>
        <v>0</v>
      </c>
      <c r="K170" s="321">
        <f t="shared" si="281"/>
        <v>0</v>
      </c>
      <c r="L170" s="321">
        <f t="shared" si="281"/>
        <v>0</v>
      </c>
      <c r="M170" s="321">
        <f t="shared" si="281"/>
        <v>0</v>
      </c>
      <c r="N170" s="321">
        <f t="shared" si="281"/>
        <v>0</v>
      </c>
      <c r="O170" s="321">
        <f t="shared" si="281"/>
        <v>0</v>
      </c>
      <c r="P170" s="321">
        <f t="shared" si="281"/>
        <v>0</v>
      </c>
      <c r="Q170" s="321">
        <f t="shared" si="281"/>
        <v>0</v>
      </c>
      <c r="R170" s="321">
        <f t="shared" si="281"/>
        <v>0</v>
      </c>
      <c r="S170" s="321">
        <f t="shared" si="281"/>
        <v>0</v>
      </c>
      <c r="T170" s="321">
        <f t="shared" si="281"/>
        <v>0</v>
      </c>
      <c r="U170" s="321">
        <f t="shared" si="281"/>
        <v>0</v>
      </c>
      <c r="V170" s="321">
        <f t="shared" si="281"/>
        <v>0</v>
      </c>
      <c r="W170" s="321">
        <f t="shared" si="281"/>
        <v>0</v>
      </c>
      <c r="X170" s="321">
        <f t="shared" si="281"/>
        <v>0.58778122164213409</v>
      </c>
      <c r="Y170" s="321">
        <f t="shared" si="281"/>
        <v>0</v>
      </c>
      <c r="Z170" s="321">
        <f t="shared" si="281"/>
        <v>0</v>
      </c>
      <c r="AA170" s="321">
        <f t="shared" si="281"/>
        <v>0</v>
      </c>
      <c r="AB170" s="321">
        <f t="shared" si="281"/>
        <v>0</v>
      </c>
      <c r="AC170" s="321">
        <f t="shared" si="281"/>
        <v>0</v>
      </c>
      <c r="AD170" s="321">
        <f t="shared" si="281"/>
        <v>0</v>
      </c>
      <c r="AE170" s="321">
        <f t="shared" si="281"/>
        <v>0</v>
      </c>
      <c r="AF170" s="321">
        <f t="shared" si="281"/>
        <v>0</v>
      </c>
      <c r="AG170" s="321">
        <f t="shared" si="281"/>
        <v>0</v>
      </c>
      <c r="AH170" s="321">
        <f t="shared" si="281"/>
        <v>0</v>
      </c>
      <c r="AI170" s="321">
        <f t="shared" ref="AI170:BN170" si="282">SUMIF($F$51:$F$52,AI$101,$T$51:$T$52)</f>
        <v>0</v>
      </c>
      <c r="AJ170" s="321">
        <f t="shared" si="282"/>
        <v>1.0182315298221632E-2</v>
      </c>
      <c r="AK170" s="321">
        <f t="shared" si="282"/>
        <v>0</v>
      </c>
      <c r="AL170" s="321">
        <f t="shared" si="282"/>
        <v>0</v>
      </c>
      <c r="AM170" s="321">
        <f t="shared" si="282"/>
        <v>0</v>
      </c>
      <c r="AN170" s="321">
        <f t="shared" si="282"/>
        <v>0</v>
      </c>
      <c r="AO170" s="321">
        <f t="shared" si="282"/>
        <v>0</v>
      </c>
      <c r="AP170" s="321">
        <f t="shared" si="282"/>
        <v>0</v>
      </c>
      <c r="AQ170" s="321">
        <f t="shared" si="282"/>
        <v>0</v>
      </c>
      <c r="AR170" s="321">
        <f t="shared" si="282"/>
        <v>0</v>
      </c>
      <c r="AS170" s="321">
        <f t="shared" si="282"/>
        <v>0</v>
      </c>
      <c r="AT170" s="321">
        <f t="shared" si="282"/>
        <v>0</v>
      </c>
      <c r="AU170" s="321">
        <f t="shared" si="282"/>
        <v>0</v>
      </c>
      <c r="AV170" s="321">
        <f t="shared" si="282"/>
        <v>0</v>
      </c>
      <c r="AW170" s="321">
        <f t="shared" si="282"/>
        <v>0</v>
      </c>
      <c r="AX170" s="321">
        <f t="shared" si="282"/>
        <v>0</v>
      </c>
      <c r="AY170" s="321">
        <f t="shared" si="282"/>
        <v>0</v>
      </c>
      <c r="AZ170" s="321">
        <f t="shared" si="282"/>
        <v>0</v>
      </c>
      <c r="BA170" s="321">
        <f t="shared" si="282"/>
        <v>0</v>
      </c>
      <c r="BB170" s="321">
        <f t="shared" si="282"/>
        <v>0</v>
      </c>
      <c r="BC170" s="321">
        <f t="shared" si="282"/>
        <v>0</v>
      </c>
      <c r="BD170" s="321">
        <f t="shared" si="282"/>
        <v>0</v>
      </c>
      <c r="BE170" s="321">
        <f t="shared" si="282"/>
        <v>0</v>
      </c>
      <c r="BF170" s="321">
        <f t="shared" si="282"/>
        <v>0</v>
      </c>
      <c r="BG170" s="321">
        <f t="shared" si="282"/>
        <v>0</v>
      </c>
      <c r="BH170" s="321">
        <f t="shared" si="282"/>
        <v>0</v>
      </c>
      <c r="BI170" s="321">
        <f t="shared" si="282"/>
        <v>0</v>
      </c>
      <c r="BJ170" s="321">
        <f t="shared" si="282"/>
        <v>0</v>
      </c>
      <c r="BK170" s="321">
        <f t="shared" si="282"/>
        <v>0</v>
      </c>
      <c r="BL170" s="321">
        <f t="shared" si="282"/>
        <v>0</v>
      </c>
      <c r="BM170" s="321">
        <f t="shared" si="282"/>
        <v>0</v>
      </c>
      <c r="BN170" s="321">
        <f t="shared" si="282"/>
        <v>0</v>
      </c>
      <c r="BO170" s="321">
        <f t="shared" ref="BO170:CE170" si="283">SUMIF($F$51:$F$52,BO$101,$T$51:$T$52)</f>
        <v>0</v>
      </c>
      <c r="BP170" s="321">
        <f t="shared" si="283"/>
        <v>0</v>
      </c>
      <c r="BQ170" s="321">
        <f t="shared" si="283"/>
        <v>0</v>
      </c>
      <c r="BR170" s="321">
        <f t="shared" si="283"/>
        <v>0</v>
      </c>
      <c r="BS170" s="321">
        <f t="shared" si="283"/>
        <v>0</v>
      </c>
      <c r="BT170" s="321">
        <f t="shared" si="283"/>
        <v>0</v>
      </c>
      <c r="BU170" s="321">
        <f t="shared" si="283"/>
        <v>0</v>
      </c>
      <c r="BV170" s="321">
        <f t="shared" si="283"/>
        <v>0</v>
      </c>
      <c r="BW170" s="321">
        <f t="shared" si="283"/>
        <v>0</v>
      </c>
      <c r="BX170" s="321">
        <f t="shared" si="283"/>
        <v>0</v>
      </c>
      <c r="BY170" s="321">
        <f t="shared" si="283"/>
        <v>0</v>
      </c>
      <c r="BZ170" s="321">
        <f t="shared" si="283"/>
        <v>0</v>
      </c>
      <c r="CA170" s="321">
        <f t="shared" si="283"/>
        <v>0</v>
      </c>
      <c r="CB170" s="321">
        <f t="shared" si="283"/>
        <v>0</v>
      </c>
      <c r="CC170" s="321">
        <f t="shared" si="283"/>
        <v>0</v>
      </c>
      <c r="CD170" s="321">
        <f t="shared" si="283"/>
        <v>0</v>
      </c>
      <c r="CE170" s="321">
        <f t="shared" si="283"/>
        <v>0</v>
      </c>
      <c r="CF170" s="322">
        <f t="shared" si="193"/>
        <v>0.59796353694035576</v>
      </c>
      <c r="CG170" s="217"/>
      <c r="CH170" s="217"/>
      <c r="CI170" s="217"/>
      <c r="CJ170" s="217"/>
      <c r="CK170" s="217"/>
    </row>
    <row r="171" spans="1:89" x14ac:dyDescent="0.3">
      <c r="A171" s="217"/>
      <c r="B171" s="260" t="s">
        <v>560</v>
      </c>
      <c r="C171" s="321">
        <f t="shared" ref="C171:AH171" si="284">SUMIF($F$53:$F$55,C$101,$T$53:$T$55)</f>
        <v>0</v>
      </c>
      <c r="D171" s="321">
        <f t="shared" si="284"/>
        <v>0</v>
      </c>
      <c r="E171" s="321">
        <f t="shared" si="284"/>
        <v>0</v>
      </c>
      <c r="F171" s="321">
        <f t="shared" si="284"/>
        <v>0</v>
      </c>
      <c r="G171" s="321">
        <f t="shared" si="284"/>
        <v>0</v>
      </c>
      <c r="H171" s="321">
        <f t="shared" si="284"/>
        <v>0</v>
      </c>
      <c r="I171" s="321">
        <f t="shared" si="284"/>
        <v>0</v>
      </c>
      <c r="J171" s="321">
        <f t="shared" si="284"/>
        <v>0</v>
      </c>
      <c r="K171" s="321">
        <f t="shared" si="284"/>
        <v>0</v>
      </c>
      <c r="L171" s="321">
        <f t="shared" si="284"/>
        <v>0</v>
      </c>
      <c r="M171" s="321">
        <f t="shared" si="284"/>
        <v>0</v>
      </c>
      <c r="N171" s="321">
        <f t="shared" si="284"/>
        <v>0</v>
      </c>
      <c r="O171" s="321">
        <f t="shared" si="284"/>
        <v>0</v>
      </c>
      <c r="P171" s="321">
        <f t="shared" si="284"/>
        <v>0</v>
      </c>
      <c r="Q171" s="321">
        <f t="shared" si="284"/>
        <v>0</v>
      </c>
      <c r="R171" s="321">
        <f t="shared" si="284"/>
        <v>0</v>
      </c>
      <c r="S171" s="321">
        <f t="shared" si="284"/>
        <v>0</v>
      </c>
      <c r="T171" s="321">
        <f t="shared" si="284"/>
        <v>0</v>
      </c>
      <c r="U171" s="321">
        <f t="shared" si="284"/>
        <v>0</v>
      </c>
      <c r="V171" s="321">
        <f t="shared" si="284"/>
        <v>0</v>
      </c>
      <c r="W171" s="321">
        <f t="shared" si="284"/>
        <v>0</v>
      </c>
      <c r="X171" s="321">
        <f t="shared" si="284"/>
        <v>0</v>
      </c>
      <c r="Y171" s="321">
        <f t="shared" si="284"/>
        <v>0</v>
      </c>
      <c r="Z171" s="321">
        <f t="shared" si="284"/>
        <v>0</v>
      </c>
      <c r="AA171" s="321">
        <f t="shared" si="284"/>
        <v>0</v>
      </c>
      <c r="AB171" s="321">
        <f t="shared" si="284"/>
        <v>0</v>
      </c>
      <c r="AC171" s="321">
        <f t="shared" si="284"/>
        <v>0</v>
      </c>
      <c r="AD171" s="321">
        <f t="shared" si="284"/>
        <v>0</v>
      </c>
      <c r="AE171" s="321">
        <f t="shared" si="284"/>
        <v>0</v>
      </c>
      <c r="AF171" s="321">
        <f t="shared" si="284"/>
        <v>0</v>
      </c>
      <c r="AG171" s="321">
        <f t="shared" si="284"/>
        <v>0</v>
      </c>
      <c r="AH171" s="321">
        <f t="shared" si="284"/>
        <v>0</v>
      </c>
      <c r="AI171" s="321">
        <f t="shared" ref="AI171:BN171" si="285">SUMIF($F$53:$F$55,AI$101,$T$53:$T$55)</f>
        <v>0</v>
      </c>
      <c r="AJ171" s="321">
        <f t="shared" si="285"/>
        <v>0.5</v>
      </c>
      <c r="AK171" s="321">
        <f t="shared" si="285"/>
        <v>0</v>
      </c>
      <c r="AL171" s="321">
        <f t="shared" si="285"/>
        <v>0</v>
      </c>
      <c r="AM171" s="321">
        <f t="shared" si="285"/>
        <v>0</v>
      </c>
      <c r="AN171" s="321">
        <f t="shared" si="285"/>
        <v>0</v>
      </c>
      <c r="AO171" s="321">
        <f t="shared" si="285"/>
        <v>0</v>
      </c>
      <c r="AP171" s="321">
        <f t="shared" si="285"/>
        <v>0</v>
      </c>
      <c r="AQ171" s="321">
        <f t="shared" si="285"/>
        <v>0</v>
      </c>
      <c r="AR171" s="321">
        <f t="shared" si="285"/>
        <v>0</v>
      </c>
      <c r="AS171" s="321">
        <f t="shared" si="285"/>
        <v>0</v>
      </c>
      <c r="AT171" s="321">
        <f t="shared" si="285"/>
        <v>0</v>
      </c>
      <c r="AU171" s="321">
        <f t="shared" si="285"/>
        <v>0</v>
      </c>
      <c r="AV171" s="321">
        <f t="shared" si="285"/>
        <v>0</v>
      </c>
      <c r="AW171" s="321">
        <f t="shared" si="285"/>
        <v>0</v>
      </c>
      <c r="AX171" s="321">
        <f t="shared" si="285"/>
        <v>0</v>
      </c>
      <c r="AY171" s="321">
        <f t="shared" si="285"/>
        <v>0</v>
      </c>
      <c r="AZ171" s="321">
        <f t="shared" si="285"/>
        <v>0</v>
      </c>
      <c r="BA171" s="321">
        <f t="shared" si="285"/>
        <v>0</v>
      </c>
      <c r="BB171" s="321">
        <f t="shared" si="285"/>
        <v>0</v>
      </c>
      <c r="BC171" s="321">
        <f t="shared" si="285"/>
        <v>0</v>
      </c>
      <c r="BD171" s="321">
        <f t="shared" si="285"/>
        <v>0</v>
      </c>
      <c r="BE171" s="321">
        <f t="shared" si="285"/>
        <v>0</v>
      </c>
      <c r="BF171" s="321">
        <f t="shared" si="285"/>
        <v>0</v>
      </c>
      <c r="BG171" s="321">
        <f t="shared" si="285"/>
        <v>0</v>
      </c>
      <c r="BH171" s="321">
        <f t="shared" si="285"/>
        <v>0</v>
      </c>
      <c r="BI171" s="321">
        <f t="shared" si="285"/>
        <v>0</v>
      </c>
      <c r="BJ171" s="321">
        <f t="shared" si="285"/>
        <v>0</v>
      </c>
      <c r="BK171" s="321">
        <f t="shared" si="285"/>
        <v>0</v>
      </c>
      <c r="BL171" s="321">
        <f t="shared" si="285"/>
        <v>0</v>
      </c>
      <c r="BM171" s="321">
        <f t="shared" si="285"/>
        <v>0</v>
      </c>
      <c r="BN171" s="321">
        <f t="shared" si="285"/>
        <v>0</v>
      </c>
      <c r="BO171" s="321">
        <f t="shared" ref="BO171:CE171" si="286">SUMIF($F$53:$F$55,BO$101,$T$53:$T$55)</f>
        <v>0</v>
      </c>
      <c r="BP171" s="321">
        <f t="shared" si="286"/>
        <v>0</v>
      </c>
      <c r="BQ171" s="321">
        <f t="shared" si="286"/>
        <v>0</v>
      </c>
      <c r="BR171" s="321">
        <f t="shared" si="286"/>
        <v>0</v>
      </c>
      <c r="BS171" s="321">
        <f t="shared" si="286"/>
        <v>0</v>
      </c>
      <c r="BT171" s="321">
        <f t="shared" si="286"/>
        <v>0</v>
      </c>
      <c r="BU171" s="321">
        <f t="shared" si="286"/>
        <v>0</v>
      </c>
      <c r="BV171" s="321">
        <f t="shared" si="286"/>
        <v>0</v>
      </c>
      <c r="BW171" s="321">
        <f t="shared" si="286"/>
        <v>0</v>
      </c>
      <c r="BX171" s="321">
        <f t="shared" si="286"/>
        <v>0</v>
      </c>
      <c r="BY171" s="321">
        <f t="shared" si="286"/>
        <v>0</v>
      </c>
      <c r="BZ171" s="321">
        <f t="shared" si="286"/>
        <v>0</v>
      </c>
      <c r="CA171" s="321">
        <f t="shared" si="286"/>
        <v>0</v>
      </c>
      <c r="CB171" s="321">
        <f t="shared" si="286"/>
        <v>0</v>
      </c>
      <c r="CC171" s="321">
        <f t="shared" si="286"/>
        <v>0</v>
      </c>
      <c r="CD171" s="321">
        <f t="shared" si="286"/>
        <v>0</v>
      </c>
      <c r="CE171" s="321">
        <f t="shared" si="286"/>
        <v>0</v>
      </c>
      <c r="CF171" s="322">
        <f t="shared" si="193"/>
        <v>0.5</v>
      </c>
      <c r="CG171" s="217"/>
      <c r="CH171" s="217"/>
      <c r="CI171" s="217"/>
      <c r="CJ171" s="217"/>
      <c r="CK171" s="217"/>
    </row>
    <row r="172" spans="1:89" x14ac:dyDescent="0.3">
      <c r="A172" s="217"/>
      <c r="B172" s="260" t="s">
        <v>561</v>
      </c>
      <c r="C172" s="321">
        <f t="shared" ref="C172:AH172" si="287">SUMIF($F$56,C$101,$T$56)</f>
        <v>0</v>
      </c>
      <c r="D172" s="321">
        <f t="shared" si="287"/>
        <v>0</v>
      </c>
      <c r="E172" s="321">
        <f t="shared" si="287"/>
        <v>0</v>
      </c>
      <c r="F172" s="321">
        <f t="shared" si="287"/>
        <v>0</v>
      </c>
      <c r="G172" s="321">
        <f t="shared" si="287"/>
        <v>0</v>
      </c>
      <c r="H172" s="321">
        <f t="shared" si="287"/>
        <v>0</v>
      </c>
      <c r="I172" s="321">
        <f t="shared" si="287"/>
        <v>0</v>
      </c>
      <c r="J172" s="321">
        <f t="shared" si="287"/>
        <v>0</v>
      </c>
      <c r="K172" s="321">
        <f t="shared" si="287"/>
        <v>0</v>
      </c>
      <c r="L172" s="321">
        <f t="shared" si="287"/>
        <v>0</v>
      </c>
      <c r="M172" s="321">
        <f t="shared" si="287"/>
        <v>0</v>
      </c>
      <c r="N172" s="321">
        <f t="shared" si="287"/>
        <v>0</v>
      </c>
      <c r="O172" s="321">
        <f t="shared" si="287"/>
        <v>0</v>
      </c>
      <c r="P172" s="321">
        <f t="shared" si="287"/>
        <v>0</v>
      </c>
      <c r="Q172" s="321">
        <f t="shared" si="287"/>
        <v>0</v>
      </c>
      <c r="R172" s="321">
        <f t="shared" si="287"/>
        <v>0</v>
      </c>
      <c r="S172" s="321">
        <f t="shared" si="287"/>
        <v>0</v>
      </c>
      <c r="T172" s="321">
        <f t="shared" si="287"/>
        <v>0</v>
      </c>
      <c r="U172" s="321">
        <f t="shared" si="287"/>
        <v>0</v>
      </c>
      <c r="V172" s="321">
        <f t="shared" si="287"/>
        <v>0</v>
      </c>
      <c r="W172" s="321">
        <f t="shared" si="287"/>
        <v>0</v>
      </c>
      <c r="X172" s="321">
        <f t="shared" si="287"/>
        <v>0.6</v>
      </c>
      <c r="Y172" s="321">
        <f t="shared" si="287"/>
        <v>0</v>
      </c>
      <c r="Z172" s="321">
        <f t="shared" si="287"/>
        <v>0</v>
      </c>
      <c r="AA172" s="321">
        <f t="shared" si="287"/>
        <v>0</v>
      </c>
      <c r="AB172" s="321">
        <f t="shared" si="287"/>
        <v>0</v>
      </c>
      <c r="AC172" s="321">
        <f t="shared" si="287"/>
        <v>0</v>
      </c>
      <c r="AD172" s="321">
        <f t="shared" si="287"/>
        <v>0</v>
      </c>
      <c r="AE172" s="321">
        <f t="shared" si="287"/>
        <v>0</v>
      </c>
      <c r="AF172" s="321">
        <f t="shared" si="287"/>
        <v>0</v>
      </c>
      <c r="AG172" s="321">
        <f t="shared" si="287"/>
        <v>0</v>
      </c>
      <c r="AH172" s="321">
        <f t="shared" si="287"/>
        <v>0</v>
      </c>
      <c r="AI172" s="321">
        <f t="shared" ref="AI172:BN172" si="288">SUMIF($F$56,AI$101,$T$56)</f>
        <v>0</v>
      </c>
      <c r="AJ172" s="321">
        <f t="shared" si="288"/>
        <v>0</v>
      </c>
      <c r="AK172" s="321">
        <f t="shared" si="288"/>
        <v>0</v>
      </c>
      <c r="AL172" s="321">
        <f t="shared" si="288"/>
        <v>0</v>
      </c>
      <c r="AM172" s="321">
        <f t="shared" si="288"/>
        <v>0</v>
      </c>
      <c r="AN172" s="321">
        <f t="shared" si="288"/>
        <v>0</v>
      </c>
      <c r="AO172" s="321">
        <f t="shared" si="288"/>
        <v>0</v>
      </c>
      <c r="AP172" s="321">
        <f t="shared" si="288"/>
        <v>0</v>
      </c>
      <c r="AQ172" s="321">
        <f t="shared" si="288"/>
        <v>0</v>
      </c>
      <c r="AR172" s="321">
        <f t="shared" si="288"/>
        <v>0</v>
      </c>
      <c r="AS172" s="321">
        <f t="shared" si="288"/>
        <v>0</v>
      </c>
      <c r="AT172" s="321">
        <f t="shared" si="288"/>
        <v>0</v>
      </c>
      <c r="AU172" s="321">
        <f t="shared" si="288"/>
        <v>0</v>
      </c>
      <c r="AV172" s="321">
        <f t="shared" si="288"/>
        <v>0</v>
      </c>
      <c r="AW172" s="321">
        <f t="shared" si="288"/>
        <v>0</v>
      </c>
      <c r="AX172" s="321">
        <f t="shared" si="288"/>
        <v>0</v>
      </c>
      <c r="AY172" s="321">
        <f t="shared" si="288"/>
        <v>0</v>
      </c>
      <c r="AZ172" s="321">
        <f t="shared" si="288"/>
        <v>0</v>
      </c>
      <c r="BA172" s="321">
        <f t="shared" si="288"/>
        <v>0</v>
      </c>
      <c r="BB172" s="321">
        <f t="shared" si="288"/>
        <v>0</v>
      </c>
      <c r="BC172" s="321">
        <f t="shared" si="288"/>
        <v>0</v>
      </c>
      <c r="BD172" s="321">
        <f t="shared" si="288"/>
        <v>0</v>
      </c>
      <c r="BE172" s="321">
        <f t="shared" si="288"/>
        <v>0</v>
      </c>
      <c r="BF172" s="321">
        <f t="shared" si="288"/>
        <v>0</v>
      </c>
      <c r="BG172" s="321">
        <f t="shared" si="288"/>
        <v>0</v>
      </c>
      <c r="BH172" s="321">
        <f t="shared" si="288"/>
        <v>0</v>
      </c>
      <c r="BI172" s="321">
        <f t="shared" si="288"/>
        <v>0</v>
      </c>
      <c r="BJ172" s="321">
        <f t="shared" si="288"/>
        <v>0</v>
      </c>
      <c r="BK172" s="321">
        <f t="shared" si="288"/>
        <v>0</v>
      </c>
      <c r="BL172" s="321">
        <f t="shared" si="288"/>
        <v>0</v>
      </c>
      <c r="BM172" s="321">
        <f t="shared" si="288"/>
        <v>0</v>
      </c>
      <c r="BN172" s="321">
        <f t="shared" si="288"/>
        <v>0</v>
      </c>
      <c r="BO172" s="321">
        <f t="shared" ref="BO172:CE172" si="289">SUMIF($F$56,BO$101,$T$56)</f>
        <v>0</v>
      </c>
      <c r="BP172" s="321">
        <f t="shared" si="289"/>
        <v>0</v>
      </c>
      <c r="BQ172" s="321">
        <f t="shared" si="289"/>
        <v>0</v>
      </c>
      <c r="BR172" s="321">
        <f t="shared" si="289"/>
        <v>0</v>
      </c>
      <c r="BS172" s="321">
        <f t="shared" si="289"/>
        <v>0</v>
      </c>
      <c r="BT172" s="321">
        <f t="shared" si="289"/>
        <v>0</v>
      </c>
      <c r="BU172" s="321">
        <f t="shared" si="289"/>
        <v>0</v>
      </c>
      <c r="BV172" s="321">
        <f t="shared" si="289"/>
        <v>0</v>
      </c>
      <c r="BW172" s="321">
        <f t="shared" si="289"/>
        <v>0</v>
      </c>
      <c r="BX172" s="321">
        <f t="shared" si="289"/>
        <v>0</v>
      </c>
      <c r="BY172" s="321">
        <f t="shared" si="289"/>
        <v>0</v>
      </c>
      <c r="BZ172" s="321">
        <f t="shared" si="289"/>
        <v>0</v>
      </c>
      <c r="CA172" s="321">
        <f t="shared" si="289"/>
        <v>0</v>
      </c>
      <c r="CB172" s="321">
        <f t="shared" si="289"/>
        <v>0</v>
      </c>
      <c r="CC172" s="321">
        <f t="shared" si="289"/>
        <v>0</v>
      </c>
      <c r="CD172" s="321">
        <f t="shared" si="289"/>
        <v>0</v>
      </c>
      <c r="CE172" s="321">
        <f t="shared" si="289"/>
        <v>0</v>
      </c>
      <c r="CF172" s="322">
        <f t="shared" si="193"/>
        <v>0.6</v>
      </c>
      <c r="CG172" s="217"/>
      <c r="CH172" s="217"/>
      <c r="CI172" s="217"/>
      <c r="CJ172" s="217"/>
      <c r="CK172" s="217"/>
    </row>
    <row r="173" spans="1:89" x14ac:dyDescent="0.3">
      <c r="A173" s="217"/>
      <c r="B173" s="260" t="s">
        <v>562</v>
      </c>
      <c r="C173" s="321">
        <f t="shared" ref="C173:AH173" si="290">SUMIF($F$57,C$101,$T$57)</f>
        <v>0</v>
      </c>
      <c r="D173" s="321">
        <f t="shared" si="290"/>
        <v>0</v>
      </c>
      <c r="E173" s="321">
        <f t="shared" si="290"/>
        <v>0</v>
      </c>
      <c r="F173" s="321">
        <f t="shared" si="290"/>
        <v>0</v>
      </c>
      <c r="G173" s="321">
        <f t="shared" si="290"/>
        <v>0</v>
      </c>
      <c r="H173" s="321">
        <f t="shared" si="290"/>
        <v>0</v>
      </c>
      <c r="I173" s="321">
        <f t="shared" si="290"/>
        <v>0</v>
      </c>
      <c r="J173" s="321">
        <f t="shared" si="290"/>
        <v>0</v>
      </c>
      <c r="K173" s="321">
        <f t="shared" si="290"/>
        <v>0</v>
      </c>
      <c r="L173" s="321">
        <f t="shared" si="290"/>
        <v>0</v>
      </c>
      <c r="M173" s="321">
        <f t="shared" si="290"/>
        <v>0</v>
      </c>
      <c r="N173" s="321">
        <f t="shared" si="290"/>
        <v>0</v>
      </c>
      <c r="O173" s="321">
        <f t="shared" si="290"/>
        <v>0</v>
      </c>
      <c r="P173" s="321">
        <f t="shared" si="290"/>
        <v>0</v>
      </c>
      <c r="Q173" s="321">
        <f t="shared" si="290"/>
        <v>0</v>
      </c>
      <c r="R173" s="321">
        <f t="shared" si="290"/>
        <v>0</v>
      </c>
      <c r="S173" s="321">
        <f t="shared" si="290"/>
        <v>0</v>
      </c>
      <c r="T173" s="321">
        <f t="shared" si="290"/>
        <v>0</v>
      </c>
      <c r="U173" s="321">
        <f t="shared" si="290"/>
        <v>0</v>
      </c>
      <c r="V173" s="321">
        <f t="shared" si="290"/>
        <v>0</v>
      </c>
      <c r="W173" s="321">
        <f t="shared" si="290"/>
        <v>0</v>
      </c>
      <c r="X173" s="321">
        <f t="shared" si="290"/>
        <v>0</v>
      </c>
      <c r="Y173" s="321">
        <f t="shared" si="290"/>
        <v>0</v>
      </c>
      <c r="Z173" s="321">
        <f t="shared" si="290"/>
        <v>0</v>
      </c>
      <c r="AA173" s="321">
        <f t="shared" si="290"/>
        <v>0</v>
      </c>
      <c r="AB173" s="321">
        <f t="shared" si="290"/>
        <v>0</v>
      </c>
      <c r="AC173" s="321">
        <f t="shared" si="290"/>
        <v>0</v>
      </c>
      <c r="AD173" s="321">
        <f t="shared" si="290"/>
        <v>0</v>
      </c>
      <c r="AE173" s="321">
        <f t="shared" si="290"/>
        <v>0</v>
      </c>
      <c r="AF173" s="321">
        <f t="shared" si="290"/>
        <v>0</v>
      </c>
      <c r="AG173" s="321">
        <f t="shared" si="290"/>
        <v>0</v>
      </c>
      <c r="AH173" s="321">
        <f t="shared" si="290"/>
        <v>0</v>
      </c>
      <c r="AI173" s="321">
        <f t="shared" ref="AI173:BN173" si="291">SUMIF($F$57,AI$101,$T$57)</f>
        <v>0</v>
      </c>
      <c r="AJ173" s="321">
        <f t="shared" si="291"/>
        <v>0.5</v>
      </c>
      <c r="AK173" s="321">
        <f t="shared" si="291"/>
        <v>0</v>
      </c>
      <c r="AL173" s="321">
        <f t="shared" si="291"/>
        <v>0</v>
      </c>
      <c r="AM173" s="321">
        <f t="shared" si="291"/>
        <v>0</v>
      </c>
      <c r="AN173" s="321">
        <f t="shared" si="291"/>
        <v>0</v>
      </c>
      <c r="AO173" s="321">
        <f t="shared" si="291"/>
        <v>0</v>
      </c>
      <c r="AP173" s="321">
        <f t="shared" si="291"/>
        <v>0</v>
      </c>
      <c r="AQ173" s="321">
        <f t="shared" si="291"/>
        <v>0</v>
      </c>
      <c r="AR173" s="321">
        <f t="shared" si="291"/>
        <v>0</v>
      </c>
      <c r="AS173" s="321">
        <f t="shared" si="291"/>
        <v>0</v>
      </c>
      <c r="AT173" s="321">
        <f t="shared" si="291"/>
        <v>0</v>
      </c>
      <c r="AU173" s="321">
        <f t="shared" si="291"/>
        <v>0</v>
      </c>
      <c r="AV173" s="321">
        <f t="shared" si="291"/>
        <v>0</v>
      </c>
      <c r="AW173" s="321">
        <f t="shared" si="291"/>
        <v>0</v>
      </c>
      <c r="AX173" s="321">
        <f t="shared" si="291"/>
        <v>0</v>
      </c>
      <c r="AY173" s="321">
        <f t="shared" si="291"/>
        <v>0</v>
      </c>
      <c r="AZ173" s="321">
        <f t="shared" si="291"/>
        <v>0</v>
      </c>
      <c r="BA173" s="321">
        <f t="shared" si="291"/>
        <v>0</v>
      </c>
      <c r="BB173" s="321">
        <f t="shared" si="291"/>
        <v>0</v>
      </c>
      <c r="BC173" s="321">
        <f t="shared" si="291"/>
        <v>0</v>
      </c>
      <c r="BD173" s="321">
        <f t="shared" si="291"/>
        <v>0</v>
      </c>
      <c r="BE173" s="321">
        <f t="shared" si="291"/>
        <v>0</v>
      </c>
      <c r="BF173" s="321">
        <f t="shared" si="291"/>
        <v>0</v>
      </c>
      <c r="BG173" s="321">
        <f t="shared" si="291"/>
        <v>0</v>
      </c>
      <c r="BH173" s="321">
        <f t="shared" si="291"/>
        <v>0</v>
      </c>
      <c r="BI173" s="321">
        <f t="shared" si="291"/>
        <v>0</v>
      </c>
      <c r="BJ173" s="321">
        <f t="shared" si="291"/>
        <v>0</v>
      </c>
      <c r="BK173" s="321">
        <f t="shared" si="291"/>
        <v>0</v>
      </c>
      <c r="BL173" s="321">
        <f t="shared" si="291"/>
        <v>0</v>
      </c>
      <c r="BM173" s="321">
        <f t="shared" si="291"/>
        <v>0</v>
      </c>
      <c r="BN173" s="321">
        <f t="shared" si="291"/>
        <v>0</v>
      </c>
      <c r="BO173" s="321">
        <f t="shared" ref="BO173:CE173" si="292">SUMIF($F$57,BO$101,$T$57)</f>
        <v>0</v>
      </c>
      <c r="BP173" s="321">
        <f t="shared" si="292"/>
        <v>0</v>
      </c>
      <c r="BQ173" s="321">
        <f t="shared" si="292"/>
        <v>0</v>
      </c>
      <c r="BR173" s="321">
        <f t="shared" si="292"/>
        <v>0</v>
      </c>
      <c r="BS173" s="321">
        <f t="shared" si="292"/>
        <v>0</v>
      </c>
      <c r="BT173" s="321">
        <f t="shared" si="292"/>
        <v>0</v>
      </c>
      <c r="BU173" s="321">
        <f t="shared" si="292"/>
        <v>0</v>
      </c>
      <c r="BV173" s="321">
        <f t="shared" si="292"/>
        <v>0</v>
      </c>
      <c r="BW173" s="321">
        <f t="shared" si="292"/>
        <v>0</v>
      </c>
      <c r="BX173" s="321">
        <f t="shared" si="292"/>
        <v>0</v>
      </c>
      <c r="BY173" s="321">
        <f t="shared" si="292"/>
        <v>0</v>
      </c>
      <c r="BZ173" s="321">
        <f t="shared" si="292"/>
        <v>0</v>
      </c>
      <c r="CA173" s="321">
        <f t="shared" si="292"/>
        <v>0</v>
      </c>
      <c r="CB173" s="321">
        <f t="shared" si="292"/>
        <v>0</v>
      </c>
      <c r="CC173" s="321">
        <f t="shared" si="292"/>
        <v>0</v>
      </c>
      <c r="CD173" s="321">
        <f t="shared" si="292"/>
        <v>0</v>
      </c>
      <c r="CE173" s="321">
        <f t="shared" si="292"/>
        <v>0</v>
      </c>
      <c r="CF173" s="322">
        <f t="shared" si="193"/>
        <v>0.5</v>
      </c>
      <c r="CG173" s="217"/>
      <c r="CH173" s="217"/>
      <c r="CI173" s="217"/>
      <c r="CJ173" s="217"/>
      <c r="CK173" s="217"/>
    </row>
    <row r="174" spans="1:89" x14ac:dyDescent="0.3">
      <c r="A174" s="217"/>
      <c r="B174" s="260" t="s">
        <v>563</v>
      </c>
      <c r="C174" s="321">
        <f t="shared" ref="C174:AH174" si="293">SUMIF($F$58,C$101,$T$58)</f>
        <v>0</v>
      </c>
      <c r="D174" s="321">
        <f t="shared" si="293"/>
        <v>0</v>
      </c>
      <c r="E174" s="321">
        <f t="shared" si="293"/>
        <v>0</v>
      </c>
      <c r="F174" s="321">
        <f t="shared" si="293"/>
        <v>0</v>
      </c>
      <c r="G174" s="321">
        <f t="shared" si="293"/>
        <v>0</v>
      </c>
      <c r="H174" s="321">
        <f t="shared" si="293"/>
        <v>0</v>
      </c>
      <c r="I174" s="321">
        <f t="shared" si="293"/>
        <v>0</v>
      </c>
      <c r="J174" s="321">
        <f t="shared" si="293"/>
        <v>0</v>
      </c>
      <c r="K174" s="321">
        <f t="shared" si="293"/>
        <v>0</v>
      </c>
      <c r="L174" s="321">
        <f t="shared" si="293"/>
        <v>0</v>
      </c>
      <c r="M174" s="321">
        <f t="shared" si="293"/>
        <v>0</v>
      </c>
      <c r="N174" s="321">
        <f t="shared" si="293"/>
        <v>0</v>
      </c>
      <c r="O174" s="321">
        <f t="shared" si="293"/>
        <v>0</v>
      </c>
      <c r="P174" s="321">
        <f t="shared" si="293"/>
        <v>0</v>
      </c>
      <c r="Q174" s="321">
        <f t="shared" si="293"/>
        <v>0</v>
      </c>
      <c r="R174" s="321">
        <f t="shared" si="293"/>
        <v>0</v>
      </c>
      <c r="S174" s="321">
        <f t="shared" si="293"/>
        <v>0</v>
      </c>
      <c r="T174" s="321">
        <f t="shared" si="293"/>
        <v>0</v>
      </c>
      <c r="U174" s="321">
        <f t="shared" si="293"/>
        <v>0</v>
      </c>
      <c r="V174" s="321">
        <f t="shared" si="293"/>
        <v>0</v>
      </c>
      <c r="W174" s="321">
        <f t="shared" si="293"/>
        <v>0</v>
      </c>
      <c r="X174" s="321">
        <f t="shared" si="293"/>
        <v>0</v>
      </c>
      <c r="Y174" s="321">
        <f t="shared" si="293"/>
        <v>0</v>
      </c>
      <c r="Z174" s="321">
        <f t="shared" si="293"/>
        <v>0</v>
      </c>
      <c r="AA174" s="321">
        <f t="shared" si="293"/>
        <v>0</v>
      </c>
      <c r="AB174" s="321">
        <f t="shared" si="293"/>
        <v>0</v>
      </c>
      <c r="AC174" s="321">
        <f t="shared" si="293"/>
        <v>0</v>
      </c>
      <c r="AD174" s="321">
        <f t="shared" si="293"/>
        <v>0</v>
      </c>
      <c r="AE174" s="321">
        <f t="shared" si="293"/>
        <v>0</v>
      </c>
      <c r="AF174" s="321">
        <f t="shared" si="293"/>
        <v>0</v>
      </c>
      <c r="AG174" s="321">
        <f t="shared" si="293"/>
        <v>0</v>
      </c>
      <c r="AH174" s="321">
        <f t="shared" si="293"/>
        <v>0</v>
      </c>
      <c r="AI174" s="321">
        <f t="shared" ref="AI174:BN174" si="294">SUMIF($F$58,AI$101,$T$58)</f>
        <v>0</v>
      </c>
      <c r="AJ174" s="321">
        <f t="shared" si="294"/>
        <v>0.5</v>
      </c>
      <c r="AK174" s="321">
        <f t="shared" si="294"/>
        <v>0</v>
      </c>
      <c r="AL174" s="321">
        <f t="shared" si="294"/>
        <v>0</v>
      </c>
      <c r="AM174" s="321">
        <f t="shared" si="294"/>
        <v>0</v>
      </c>
      <c r="AN174" s="321">
        <f t="shared" si="294"/>
        <v>0</v>
      </c>
      <c r="AO174" s="321">
        <f t="shared" si="294"/>
        <v>0</v>
      </c>
      <c r="AP174" s="321">
        <f t="shared" si="294"/>
        <v>0</v>
      </c>
      <c r="AQ174" s="321">
        <f t="shared" si="294"/>
        <v>0</v>
      </c>
      <c r="AR174" s="321">
        <f t="shared" si="294"/>
        <v>0</v>
      </c>
      <c r="AS174" s="321">
        <f t="shared" si="294"/>
        <v>0</v>
      </c>
      <c r="AT174" s="321">
        <f t="shared" si="294"/>
        <v>0</v>
      </c>
      <c r="AU174" s="321">
        <f t="shared" si="294"/>
        <v>0</v>
      </c>
      <c r="AV174" s="321">
        <f t="shared" si="294"/>
        <v>0</v>
      </c>
      <c r="AW174" s="321">
        <f t="shared" si="294"/>
        <v>0</v>
      </c>
      <c r="AX174" s="321">
        <f t="shared" si="294"/>
        <v>0</v>
      </c>
      <c r="AY174" s="321">
        <f t="shared" si="294"/>
        <v>0</v>
      </c>
      <c r="AZ174" s="321">
        <f t="shared" si="294"/>
        <v>0</v>
      </c>
      <c r="BA174" s="321">
        <f t="shared" si="294"/>
        <v>0</v>
      </c>
      <c r="BB174" s="321">
        <f t="shared" si="294"/>
        <v>0</v>
      </c>
      <c r="BC174" s="321">
        <f t="shared" si="294"/>
        <v>0</v>
      </c>
      <c r="BD174" s="321">
        <f t="shared" si="294"/>
        <v>0</v>
      </c>
      <c r="BE174" s="321">
        <f t="shared" si="294"/>
        <v>0</v>
      </c>
      <c r="BF174" s="321">
        <f t="shared" si="294"/>
        <v>0</v>
      </c>
      <c r="BG174" s="321">
        <f t="shared" si="294"/>
        <v>0</v>
      </c>
      <c r="BH174" s="321">
        <f t="shared" si="294"/>
        <v>0</v>
      </c>
      <c r="BI174" s="321">
        <f t="shared" si="294"/>
        <v>0</v>
      </c>
      <c r="BJ174" s="321">
        <f t="shared" si="294"/>
        <v>0</v>
      </c>
      <c r="BK174" s="321">
        <f t="shared" si="294"/>
        <v>0</v>
      </c>
      <c r="BL174" s="321">
        <f t="shared" si="294"/>
        <v>0</v>
      </c>
      <c r="BM174" s="321">
        <f t="shared" si="294"/>
        <v>0</v>
      </c>
      <c r="BN174" s="321">
        <f t="shared" si="294"/>
        <v>0</v>
      </c>
      <c r="BO174" s="321">
        <f t="shared" ref="BO174:CE174" si="295">SUMIF($F$58,BO$101,$T$58)</f>
        <v>0</v>
      </c>
      <c r="BP174" s="321">
        <f t="shared" si="295"/>
        <v>0</v>
      </c>
      <c r="BQ174" s="321">
        <f t="shared" si="295"/>
        <v>0</v>
      </c>
      <c r="BR174" s="321">
        <f t="shared" si="295"/>
        <v>0</v>
      </c>
      <c r="BS174" s="321">
        <f t="shared" si="295"/>
        <v>0</v>
      </c>
      <c r="BT174" s="321">
        <f t="shared" si="295"/>
        <v>0</v>
      </c>
      <c r="BU174" s="321">
        <f t="shared" si="295"/>
        <v>0</v>
      </c>
      <c r="BV174" s="321">
        <f t="shared" si="295"/>
        <v>0</v>
      </c>
      <c r="BW174" s="321">
        <f t="shared" si="295"/>
        <v>0</v>
      </c>
      <c r="BX174" s="321">
        <f t="shared" si="295"/>
        <v>0</v>
      </c>
      <c r="BY174" s="321">
        <f t="shared" si="295"/>
        <v>0</v>
      </c>
      <c r="BZ174" s="321">
        <f t="shared" si="295"/>
        <v>0</v>
      </c>
      <c r="CA174" s="321">
        <f t="shared" si="295"/>
        <v>0</v>
      </c>
      <c r="CB174" s="321">
        <f t="shared" si="295"/>
        <v>0</v>
      </c>
      <c r="CC174" s="321">
        <f t="shared" si="295"/>
        <v>0</v>
      </c>
      <c r="CD174" s="321">
        <f t="shared" si="295"/>
        <v>0</v>
      </c>
      <c r="CE174" s="321">
        <f t="shared" si="295"/>
        <v>0</v>
      </c>
      <c r="CF174" s="322">
        <f t="shared" si="193"/>
        <v>0.5</v>
      </c>
      <c r="CG174" s="217"/>
      <c r="CH174" s="217"/>
      <c r="CI174" s="217"/>
      <c r="CJ174" s="217"/>
      <c r="CK174" s="217"/>
    </row>
    <row r="175" spans="1:89" x14ac:dyDescent="0.3">
      <c r="A175" s="217"/>
      <c r="B175" s="262" t="s">
        <v>437</v>
      </c>
      <c r="C175" s="321">
        <f t="shared" ref="C175:AH175" si="296">SUMIF($F$59:$F$63,C$101,$T$59:$T$63)</f>
        <v>0</v>
      </c>
      <c r="D175" s="321">
        <f t="shared" si="296"/>
        <v>0</v>
      </c>
      <c r="E175" s="321">
        <f t="shared" si="296"/>
        <v>0</v>
      </c>
      <c r="F175" s="321">
        <f t="shared" si="296"/>
        <v>0</v>
      </c>
      <c r="G175" s="321">
        <f t="shared" si="296"/>
        <v>0</v>
      </c>
      <c r="H175" s="321">
        <f t="shared" si="296"/>
        <v>0</v>
      </c>
      <c r="I175" s="321">
        <f t="shared" si="296"/>
        <v>0.15251601514707924</v>
      </c>
      <c r="J175" s="321">
        <f t="shared" si="296"/>
        <v>0</v>
      </c>
      <c r="K175" s="321">
        <f t="shared" si="296"/>
        <v>0</v>
      </c>
      <c r="L175" s="321">
        <f t="shared" si="296"/>
        <v>0</v>
      </c>
      <c r="M175" s="321">
        <f t="shared" si="296"/>
        <v>0</v>
      </c>
      <c r="N175" s="321">
        <f t="shared" si="296"/>
        <v>0</v>
      </c>
      <c r="O175" s="321">
        <f t="shared" si="296"/>
        <v>0</v>
      </c>
      <c r="P175" s="321">
        <f t="shared" si="296"/>
        <v>0</v>
      </c>
      <c r="Q175" s="321">
        <f t="shared" si="296"/>
        <v>0</v>
      </c>
      <c r="R175" s="321">
        <f t="shared" si="296"/>
        <v>0</v>
      </c>
      <c r="S175" s="321">
        <f t="shared" si="296"/>
        <v>0</v>
      </c>
      <c r="T175" s="321">
        <f t="shared" si="296"/>
        <v>0</v>
      </c>
      <c r="U175" s="321">
        <f t="shared" si="296"/>
        <v>0</v>
      </c>
      <c r="V175" s="321">
        <f t="shared" si="296"/>
        <v>0</v>
      </c>
      <c r="W175" s="321">
        <f t="shared" si="296"/>
        <v>0</v>
      </c>
      <c r="X175" s="321">
        <f t="shared" si="296"/>
        <v>0.41151472185363153</v>
      </c>
      <c r="Y175" s="321">
        <f t="shared" si="296"/>
        <v>0</v>
      </c>
      <c r="Z175" s="321">
        <f t="shared" si="296"/>
        <v>0</v>
      </c>
      <c r="AA175" s="321">
        <f t="shared" si="296"/>
        <v>0</v>
      </c>
      <c r="AB175" s="321">
        <f t="shared" si="296"/>
        <v>0</v>
      </c>
      <c r="AC175" s="321">
        <f t="shared" si="296"/>
        <v>0</v>
      </c>
      <c r="AD175" s="321">
        <f t="shared" si="296"/>
        <v>0</v>
      </c>
      <c r="AE175" s="321">
        <f t="shared" si="296"/>
        <v>0</v>
      </c>
      <c r="AF175" s="321">
        <f t="shared" si="296"/>
        <v>0</v>
      </c>
      <c r="AG175" s="321">
        <f t="shared" si="296"/>
        <v>0</v>
      </c>
      <c r="AH175" s="321">
        <f t="shared" si="296"/>
        <v>0</v>
      </c>
      <c r="AI175" s="321">
        <f t="shared" ref="AI175:BN175" si="297">SUMIF($F$59:$F$63,AI$101,$T$59:$T$63)</f>
        <v>0</v>
      </c>
      <c r="AJ175" s="321">
        <f t="shared" si="297"/>
        <v>0</v>
      </c>
      <c r="AK175" s="321">
        <f t="shared" si="297"/>
        <v>0</v>
      </c>
      <c r="AL175" s="321">
        <f t="shared" si="297"/>
        <v>0</v>
      </c>
      <c r="AM175" s="321">
        <f t="shared" si="297"/>
        <v>0</v>
      </c>
      <c r="AN175" s="321">
        <f t="shared" si="297"/>
        <v>0</v>
      </c>
      <c r="AO175" s="321">
        <f t="shared" si="297"/>
        <v>0</v>
      </c>
      <c r="AP175" s="321">
        <f t="shared" si="297"/>
        <v>0</v>
      </c>
      <c r="AQ175" s="321">
        <f t="shared" si="297"/>
        <v>0</v>
      </c>
      <c r="AR175" s="321">
        <f t="shared" si="297"/>
        <v>0</v>
      </c>
      <c r="AS175" s="321">
        <f t="shared" si="297"/>
        <v>0</v>
      </c>
      <c r="AT175" s="321">
        <f t="shared" si="297"/>
        <v>0</v>
      </c>
      <c r="AU175" s="321">
        <f t="shared" si="297"/>
        <v>0</v>
      </c>
      <c r="AV175" s="321">
        <f t="shared" si="297"/>
        <v>0</v>
      </c>
      <c r="AW175" s="321">
        <f t="shared" si="297"/>
        <v>0</v>
      </c>
      <c r="AX175" s="321">
        <f t="shared" si="297"/>
        <v>0</v>
      </c>
      <c r="AY175" s="321">
        <f t="shared" si="297"/>
        <v>0</v>
      </c>
      <c r="AZ175" s="321">
        <f t="shared" si="297"/>
        <v>0</v>
      </c>
      <c r="BA175" s="321">
        <f t="shared" si="297"/>
        <v>0</v>
      </c>
      <c r="BB175" s="321">
        <f t="shared" si="297"/>
        <v>0</v>
      </c>
      <c r="BC175" s="321">
        <f t="shared" si="297"/>
        <v>0</v>
      </c>
      <c r="BD175" s="321">
        <f t="shared" si="297"/>
        <v>0</v>
      </c>
      <c r="BE175" s="321">
        <f t="shared" si="297"/>
        <v>0</v>
      </c>
      <c r="BF175" s="321">
        <f t="shared" si="297"/>
        <v>0</v>
      </c>
      <c r="BG175" s="321">
        <f t="shared" si="297"/>
        <v>0</v>
      </c>
      <c r="BH175" s="321">
        <f t="shared" si="297"/>
        <v>0</v>
      </c>
      <c r="BI175" s="321">
        <f t="shared" si="297"/>
        <v>0</v>
      </c>
      <c r="BJ175" s="321">
        <f t="shared" si="297"/>
        <v>0</v>
      </c>
      <c r="BK175" s="321">
        <f t="shared" si="297"/>
        <v>0</v>
      </c>
      <c r="BL175" s="321">
        <f t="shared" si="297"/>
        <v>0</v>
      </c>
      <c r="BM175" s="321">
        <f t="shared" si="297"/>
        <v>0</v>
      </c>
      <c r="BN175" s="321">
        <f t="shared" si="297"/>
        <v>0</v>
      </c>
      <c r="BO175" s="321">
        <f t="shared" ref="BO175:CE175" si="298">SUMIF($F$59:$F$63,BO$101,$T$59:$T$63)</f>
        <v>0</v>
      </c>
      <c r="BP175" s="321">
        <f t="shared" si="298"/>
        <v>0</v>
      </c>
      <c r="BQ175" s="321">
        <f t="shared" si="298"/>
        <v>0</v>
      </c>
      <c r="BR175" s="321">
        <f t="shared" si="298"/>
        <v>0</v>
      </c>
      <c r="BS175" s="321">
        <f t="shared" si="298"/>
        <v>0</v>
      </c>
      <c r="BT175" s="321">
        <f t="shared" si="298"/>
        <v>0</v>
      </c>
      <c r="BU175" s="321">
        <f t="shared" si="298"/>
        <v>0</v>
      </c>
      <c r="BV175" s="321">
        <f t="shared" si="298"/>
        <v>0</v>
      </c>
      <c r="BW175" s="321">
        <f t="shared" si="298"/>
        <v>0</v>
      </c>
      <c r="BX175" s="321">
        <f t="shared" si="298"/>
        <v>0</v>
      </c>
      <c r="BY175" s="321">
        <f t="shared" si="298"/>
        <v>0</v>
      </c>
      <c r="BZ175" s="321">
        <f t="shared" si="298"/>
        <v>0</v>
      </c>
      <c r="CA175" s="321">
        <f t="shared" si="298"/>
        <v>0</v>
      </c>
      <c r="CB175" s="321">
        <f t="shared" si="298"/>
        <v>0</v>
      </c>
      <c r="CC175" s="321">
        <f t="shared" si="298"/>
        <v>0</v>
      </c>
      <c r="CD175" s="321">
        <f t="shared" si="298"/>
        <v>0</v>
      </c>
      <c r="CE175" s="321">
        <f t="shared" si="298"/>
        <v>0</v>
      </c>
      <c r="CF175" s="322">
        <f t="shared" si="193"/>
        <v>0.56403073700071071</v>
      </c>
      <c r="CG175" s="217"/>
      <c r="CH175" s="217"/>
      <c r="CI175" s="217"/>
      <c r="CJ175" s="217"/>
      <c r="CK175" s="217"/>
    </row>
    <row r="176" spans="1:89" x14ac:dyDescent="0.3">
      <c r="A176" s="217"/>
      <c r="B176" s="260" t="s">
        <v>351</v>
      </c>
      <c r="C176" s="321">
        <f t="shared" ref="C176:AH176" si="299">SUMIF($F$64:$F$67,C$101,$T$64:$T$67)</f>
        <v>0</v>
      </c>
      <c r="D176" s="321">
        <f t="shared" si="299"/>
        <v>0</v>
      </c>
      <c r="E176" s="321">
        <f t="shared" si="299"/>
        <v>0</v>
      </c>
      <c r="F176" s="321">
        <f t="shared" si="299"/>
        <v>0</v>
      </c>
      <c r="G176" s="321">
        <f t="shared" si="299"/>
        <v>0</v>
      </c>
      <c r="H176" s="321">
        <f t="shared" si="299"/>
        <v>0</v>
      </c>
      <c r="I176" s="321">
        <f t="shared" si="299"/>
        <v>0.45490494296577938</v>
      </c>
      <c r="J176" s="321">
        <f t="shared" si="299"/>
        <v>0</v>
      </c>
      <c r="K176" s="321">
        <f t="shared" si="299"/>
        <v>0</v>
      </c>
      <c r="L176" s="321">
        <f t="shared" si="299"/>
        <v>0</v>
      </c>
      <c r="M176" s="321">
        <f t="shared" si="299"/>
        <v>0</v>
      </c>
      <c r="N176" s="321">
        <f t="shared" si="299"/>
        <v>0</v>
      </c>
      <c r="O176" s="321">
        <f t="shared" si="299"/>
        <v>0</v>
      </c>
      <c r="P176" s="321">
        <f t="shared" si="299"/>
        <v>0</v>
      </c>
      <c r="Q176" s="321">
        <f t="shared" si="299"/>
        <v>0</v>
      </c>
      <c r="R176" s="321">
        <f t="shared" si="299"/>
        <v>0</v>
      </c>
      <c r="S176" s="321">
        <f t="shared" si="299"/>
        <v>0</v>
      </c>
      <c r="T176" s="321">
        <f t="shared" si="299"/>
        <v>0</v>
      </c>
      <c r="U176" s="321">
        <f t="shared" si="299"/>
        <v>0</v>
      </c>
      <c r="V176" s="321">
        <f t="shared" si="299"/>
        <v>0</v>
      </c>
      <c r="W176" s="321">
        <f t="shared" si="299"/>
        <v>0</v>
      </c>
      <c r="X176" s="321">
        <f t="shared" si="299"/>
        <v>0</v>
      </c>
      <c r="Y176" s="321">
        <f t="shared" si="299"/>
        <v>0</v>
      </c>
      <c r="Z176" s="321">
        <f t="shared" si="299"/>
        <v>0</v>
      </c>
      <c r="AA176" s="321">
        <f t="shared" si="299"/>
        <v>0</v>
      </c>
      <c r="AB176" s="321">
        <f t="shared" si="299"/>
        <v>0</v>
      </c>
      <c r="AC176" s="321">
        <f t="shared" si="299"/>
        <v>0</v>
      </c>
      <c r="AD176" s="321">
        <f t="shared" si="299"/>
        <v>0</v>
      </c>
      <c r="AE176" s="321">
        <f t="shared" si="299"/>
        <v>0</v>
      </c>
      <c r="AF176" s="321">
        <f t="shared" si="299"/>
        <v>0</v>
      </c>
      <c r="AG176" s="321">
        <f t="shared" si="299"/>
        <v>0</v>
      </c>
      <c r="AH176" s="321">
        <f t="shared" si="299"/>
        <v>0</v>
      </c>
      <c r="AI176" s="321">
        <f t="shared" ref="AI176:BN176" si="300">SUMIF($F$64:$F$67,AI$101,$T$64:$T$67)</f>
        <v>0</v>
      </c>
      <c r="AJ176" s="321">
        <f t="shared" si="300"/>
        <v>0.27254752851711028</v>
      </c>
      <c r="AK176" s="321">
        <f t="shared" si="300"/>
        <v>0</v>
      </c>
      <c r="AL176" s="321">
        <f t="shared" si="300"/>
        <v>0</v>
      </c>
      <c r="AM176" s="321">
        <f t="shared" si="300"/>
        <v>0</v>
      </c>
      <c r="AN176" s="321">
        <f t="shared" si="300"/>
        <v>0</v>
      </c>
      <c r="AO176" s="321">
        <f t="shared" si="300"/>
        <v>0</v>
      </c>
      <c r="AP176" s="321">
        <f t="shared" si="300"/>
        <v>0</v>
      </c>
      <c r="AQ176" s="321">
        <f t="shared" si="300"/>
        <v>0</v>
      </c>
      <c r="AR176" s="321">
        <f t="shared" si="300"/>
        <v>0</v>
      </c>
      <c r="AS176" s="321">
        <f t="shared" si="300"/>
        <v>0</v>
      </c>
      <c r="AT176" s="321">
        <f t="shared" si="300"/>
        <v>0</v>
      </c>
      <c r="AU176" s="321">
        <f t="shared" si="300"/>
        <v>0</v>
      </c>
      <c r="AV176" s="321">
        <f t="shared" si="300"/>
        <v>0</v>
      </c>
      <c r="AW176" s="321">
        <f t="shared" si="300"/>
        <v>0</v>
      </c>
      <c r="AX176" s="321">
        <f t="shared" si="300"/>
        <v>0</v>
      </c>
      <c r="AY176" s="321">
        <f t="shared" si="300"/>
        <v>0</v>
      </c>
      <c r="AZ176" s="321">
        <f t="shared" si="300"/>
        <v>0</v>
      </c>
      <c r="BA176" s="321">
        <f t="shared" si="300"/>
        <v>0</v>
      </c>
      <c r="BB176" s="321">
        <f t="shared" si="300"/>
        <v>0</v>
      </c>
      <c r="BC176" s="321">
        <f t="shared" si="300"/>
        <v>0</v>
      </c>
      <c r="BD176" s="321">
        <f t="shared" si="300"/>
        <v>0</v>
      </c>
      <c r="BE176" s="321">
        <f t="shared" si="300"/>
        <v>0</v>
      </c>
      <c r="BF176" s="321">
        <f t="shared" si="300"/>
        <v>0</v>
      </c>
      <c r="BG176" s="321">
        <f t="shared" si="300"/>
        <v>0</v>
      </c>
      <c r="BH176" s="321">
        <f t="shared" si="300"/>
        <v>0</v>
      </c>
      <c r="BI176" s="321">
        <f t="shared" si="300"/>
        <v>0</v>
      </c>
      <c r="BJ176" s="321">
        <f t="shared" si="300"/>
        <v>0</v>
      </c>
      <c r="BK176" s="321">
        <f t="shared" si="300"/>
        <v>0</v>
      </c>
      <c r="BL176" s="321">
        <f t="shared" si="300"/>
        <v>0</v>
      </c>
      <c r="BM176" s="321">
        <f t="shared" si="300"/>
        <v>0</v>
      </c>
      <c r="BN176" s="321">
        <f t="shared" si="300"/>
        <v>0</v>
      </c>
      <c r="BO176" s="321">
        <f t="shared" ref="BO176:CE176" si="301">SUMIF($F$64:$F$67,BO$101,$T$64:$T$67)</f>
        <v>0</v>
      </c>
      <c r="BP176" s="321">
        <f t="shared" si="301"/>
        <v>0</v>
      </c>
      <c r="BQ176" s="321">
        <f t="shared" si="301"/>
        <v>0</v>
      </c>
      <c r="BR176" s="321">
        <f t="shared" si="301"/>
        <v>0</v>
      </c>
      <c r="BS176" s="321">
        <f t="shared" si="301"/>
        <v>0</v>
      </c>
      <c r="BT176" s="321">
        <f t="shared" si="301"/>
        <v>0</v>
      </c>
      <c r="BU176" s="321">
        <f t="shared" si="301"/>
        <v>0</v>
      </c>
      <c r="BV176" s="321">
        <f t="shared" si="301"/>
        <v>0</v>
      </c>
      <c r="BW176" s="321">
        <f t="shared" si="301"/>
        <v>0</v>
      </c>
      <c r="BX176" s="321">
        <f t="shared" si="301"/>
        <v>0</v>
      </c>
      <c r="BY176" s="321">
        <f t="shared" si="301"/>
        <v>0</v>
      </c>
      <c r="BZ176" s="321">
        <f t="shared" si="301"/>
        <v>0</v>
      </c>
      <c r="CA176" s="321">
        <f t="shared" si="301"/>
        <v>0</v>
      </c>
      <c r="CB176" s="321">
        <f t="shared" si="301"/>
        <v>0</v>
      </c>
      <c r="CC176" s="321">
        <f t="shared" si="301"/>
        <v>0</v>
      </c>
      <c r="CD176" s="321">
        <f t="shared" si="301"/>
        <v>0</v>
      </c>
      <c r="CE176" s="321">
        <f t="shared" si="301"/>
        <v>0</v>
      </c>
      <c r="CF176" s="322">
        <f t="shared" si="193"/>
        <v>0.72745247148288961</v>
      </c>
      <c r="CG176" s="217"/>
      <c r="CH176" s="217"/>
      <c r="CI176" s="217"/>
      <c r="CJ176" s="217"/>
      <c r="CK176" s="217"/>
    </row>
    <row r="177" spans="1:89" x14ac:dyDescent="0.3">
      <c r="A177" s="217"/>
      <c r="B177" s="260" t="s">
        <v>799</v>
      </c>
      <c r="C177" s="321">
        <f>SUMIF($F$68,C$101,$T$68)</f>
        <v>0</v>
      </c>
      <c r="D177" s="321">
        <f t="shared" ref="D177:BO177" si="302">SUMIF($F$68,D$101,$T$68)</f>
        <v>0</v>
      </c>
      <c r="E177" s="321">
        <f t="shared" si="302"/>
        <v>0</v>
      </c>
      <c r="F177" s="321">
        <f t="shared" si="302"/>
        <v>0</v>
      </c>
      <c r="G177" s="321">
        <f t="shared" si="302"/>
        <v>0</v>
      </c>
      <c r="H177" s="321">
        <f t="shared" si="302"/>
        <v>0</v>
      </c>
      <c r="I177" s="321">
        <f t="shared" si="302"/>
        <v>1</v>
      </c>
      <c r="J177" s="321">
        <f t="shared" si="302"/>
        <v>0</v>
      </c>
      <c r="K177" s="321">
        <f t="shared" si="302"/>
        <v>0</v>
      </c>
      <c r="L177" s="321">
        <f t="shared" si="302"/>
        <v>0</v>
      </c>
      <c r="M177" s="321">
        <f t="shared" si="302"/>
        <v>0</v>
      </c>
      <c r="N177" s="321">
        <f t="shared" si="302"/>
        <v>0</v>
      </c>
      <c r="O177" s="321">
        <f t="shared" si="302"/>
        <v>0</v>
      </c>
      <c r="P177" s="321">
        <f t="shared" si="302"/>
        <v>0</v>
      </c>
      <c r="Q177" s="321">
        <f t="shared" si="302"/>
        <v>0</v>
      </c>
      <c r="R177" s="321">
        <f t="shared" si="302"/>
        <v>0</v>
      </c>
      <c r="S177" s="321">
        <f t="shared" si="302"/>
        <v>0</v>
      </c>
      <c r="T177" s="321">
        <f t="shared" si="302"/>
        <v>0</v>
      </c>
      <c r="U177" s="321">
        <f t="shared" si="302"/>
        <v>0</v>
      </c>
      <c r="V177" s="321">
        <f t="shared" si="302"/>
        <v>0</v>
      </c>
      <c r="W177" s="321">
        <f t="shared" si="302"/>
        <v>0</v>
      </c>
      <c r="X177" s="321">
        <f t="shared" si="302"/>
        <v>0</v>
      </c>
      <c r="Y177" s="321">
        <f t="shared" si="302"/>
        <v>0</v>
      </c>
      <c r="Z177" s="321">
        <f t="shared" si="302"/>
        <v>0</v>
      </c>
      <c r="AA177" s="321">
        <f t="shared" si="302"/>
        <v>0</v>
      </c>
      <c r="AB177" s="321">
        <f t="shared" si="302"/>
        <v>0</v>
      </c>
      <c r="AC177" s="321">
        <f t="shared" si="302"/>
        <v>0</v>
      </c>
      <c r="AD177" s="321">
        <f t="shared" si="302"/>
        <v>0</v>
      </c>
      <c r="AE177" s="321">
        <f t="shared" si="302"/>
        <v>0</v>
      </c>
      <c r="AF177" s="321">
        <f t="shared" si="302"/>
        <v>0</v>
      </c>
      <c r="AG177" s="321">
        <f t="shared" si="302"/>
        <v>0</v>
      </c>
      <c r="AH177" s="321">
        <f t="shared" si="302"/>
        <v>0</v>
      </c>
      <c r="AI177" s="321">
        <f t="shared" si="302"/>
        <v>0</v>
      </c>
      <c r="AJ177" s="321">
        <f t="shared" si="302"/>
        <v>0</v>
      </c>
      <c r="AK177" s="321">
        <f t="shared" si="302"/>
        <v>0</v>
      </c>
      <c r="AL177" s="321">
        <f t="shared" si="302"/>
        <v>0</v>
      </c>
      <c r="AM177" s="321">
        <f t="shared" si="302"/>
        <v>0</v>
      </c>
      <c r="AN177" s="321">
        <f t="shared" si="302"/>
        <v>0</v>
      </c>
      <c r="AO177" s="321">
        <f t="shared" si="302"/>
        <v>0</v>
      </c>
      <c r="AP177" s="321">
        <f t="shared" si="302"/>
        <v>0</v>
      </c>
      <c r="AQ177" s="321">
        <f t="shared" si="302"/>
        <v>0</v>
      </c>
      <c r="AR177" s="321">
        <f t="shared" si="302"/>
        <v>0</v>
      </c>
      <c r="AS177" s="321">
        <f t="shared" si="302"/>
        <v>0</v>
      </c>
      <c r="AT177" s="321">
        <f t="shared" si="302"/>
        <v>0</v>
      </c>
      <c r="AU177" s="321">
        <f t="shared" si="302"/>
        <v>0</v>
      </c>
      <c r="AV177" s="321">
        <f t="shared" si="302"/>
        <v>0</v>
      </c>
      <c r="AW177" s="321">
        <f t="shared" si="302"/>
        <v>0</v>
      </c>
      <c r="AX177" s="321">
        <f t="shared" si="302"/>
        <v>0</v>
      </c>
      <c r="AY177" s="321">
        <f t="shared" si="302"/>
        <v>0</v>
      </c>
      <c r="AZ177" s="321">
        <f t="shared" si="302"/>
        <v>0</v>
      </c>
      <c r="BA177" s="321">
        <f t="shared" si="302"/>
        <v>0</v>
      </c>
      <c r="BB177" s="321">
        <f t="shared" si="302"/>
        <v>0</v>
      </c>
      <c r="BC177" s="321">
        <f t="shared" si="302"/>
        <v>0</v>
      </c>
      <c r="BD177" s="321">
        <f t="shared" si="302"/>
        <v>0</v>
      </c>
      <c r="BE177" s="321">
        <f t="shared" si="302"/>
        <v>0</v>
      </c>
      <c r="BF177" s="321">
        <f t="shared" si="302"/>
        <v>0</v>
      </c>
      <c r="BG177" s="321">
        <f t="shared" si="302"/>
        <v>0</v>
      </c>
      <c r="BH177" s="321">
        <f t="shared" si="302"/>
        <v>0</v>
      </c>
      <c r="BI177" s="321">
        <f t="shared" si="302"/>
        <v>0</v>
      </c>
      <c r="BJ177" s="321">
        <f t="shared" si="302"/>
        <v>0</v>
      </c>
      <c r="BK177" s="321">
        <f t="shared" si="302"/>
        <v>0</v>
      </c>
      <c r="BL177" s="321">
        <f t="shared" si="302"/>
        <v>0</v>
      </c>
      <c r="BM177" s="321">
        <f t="shared" si="302"/>
        <v>0</v>
      </c>
      <c r="BN177" s="321">
        <f t="shared" si="302"/>
        <v>0</v>
      </c>
      <c r="BO177" s="321">
        <f t="shared" si="302"/>
        <v>0</v>
      </c>
      <c r="BP177" s="321">
        <f t="shared" ref="BP177:CE177" si="303">SUMIF($F$68,BP$101,$T$68)</f>
        <v>0</v>
      </c>
      <c r="BQ177" s="321">
        <f t="shared" si="303"/>
        <v>0</v>
      </c>
      <c r="BR177" s="321">
        <f t="shared" si="303"/>
        <v>0</v>
      </c>
      <c r="BS177" s="321">
        <f t="shared" si="303"/>
        <v>0</v>
      </c>
      <c r="BT177" s="321">
        <f t="shared" si="303"/>
        <v>0</v>
      </c>
      <c r="BU177" s="321">
        <f t="shared" si="303"/>
        <v>0</v>
      </c>
      <c r="BV177" s="321">
        <f t="shared" si="303"/>
        <v>0</v>
      </c>
      <c r="BW177" s="321">
        <f t="shared" si="303"/>
        <v>0</v>
      </c>
      <c r="BX177" s="321">
        <f t="shared" si="303"/>
        <v>0</v>
      </c>
      <c r="BY177" s="321">
        <f t="shared" si="303"/>
        <v>0</v>
      </c>
      <c r="BZ177" s="321">
        <f t="shared" si="303"/>
        <v>0</v>
      </c>
      <c r="CA177" s="321">
        <f t="shared" si="303"/>
        <v>0</v>
      </c>
      <c r="CB177" s="321">
        <f t="shared" si="303"/>
        <v>0</v>
      </c>
      <c r="CC177" s="321">
        <f t="shared" si="303"/>
        <v>0</v>
      </c>
      <c r="CD177" s="321">
        <f t="shared" si="303"/>
        <v>0</v>
      </c>
      <c r="CE177" s="321">
        <f t="shared" si="303"/>
        <v>0</v>
      </c>
      <c r="CF177" s="322">
        <f t="shared" si="193"/>
        <v>1</v>
      </c>
      <c r="CG177" s="217"/>
      <c r="CH177" s="217"/>
      <c r="CI177" s="217"/>
      <c r="CJ177" s="217"/>
      <c r="CK177" s="217"/>
    </row>
    <row r="178" spans="1:89" s="506" customFormat="1" x14ac:dyDescent="0.3">
      <c r="A178" s="217"/>
      <c r="B178" s="260" t="s">
        <v>800</v>
      </c>
      <c r="C178" s="321">
        <f>SUMIF($F$69,C$101,$T$69)</f>
        <v>0</v>
      </c>
      <c r="D178" s="321">
        <f t="shared" ref="D178:BO178" si="304">SUMIF($F$69,D$101,$T$69)</f>
        <v>0</v>
      </c>
      <c r="E178" s="321">
        <f t="shared" si="304"/>
        <v>0</v>
      </c>
      <c r="F178" s="321">
        <f t="shared" si="304"/>
        <v>0</v>
      </c>
      <c r="G178" s="321">
        <f t="shared" si="304"/>
        <v>0</v>
      </c>
      <c r="H178" s="321">
        <f t="shared" si="304"/>
        <v>0</v>
      </c>
      <c r="I178" s="321">
        <f t="shared" si="304"/>
        <v>1</v>
      </c>
      <c r="J178" s="321">
        <f t="shared" si="304"/>
        <v>0</v>
      </c>
      <c r="K178" s="321">
        <f t="shared" si="304"/>
        <v>0</v>
      </c>
      <c r="L178" s="321">
        <f t="shared" si="304"/>
        <v>0</v>
      </c>
      <c r="M178" s="321">
        <f t="shared" si="304"/>
        <v>0</v>
      </c>
      <c r="N178" s="321">
        <f t="shared" si="304"/>
        <v>0</v>
      </c>
      <c r="O178" s="321">
        <f t="shared" si="304"/>
        <v>0</v>
      </c>
      <c r="P178" s="321">
        <f t="shared" si="304"/>
        <v>0</v>
      </c>
      <c r="Q178" s="321">
        <f t="shared" si="304"/>
        <v>0</v>
      </c>
      <c r="R178" s="321">
        <f t="shared" si="304"/>
        <v>0</v>
      </c>
      <c r="S178" s="321">
        <f t="shared" si="304"/>
        <v>0</v>
      </c>
      <c r="T178" s="321">
        <f t="shared" si="304"/>
        <v>0</v>
      </c>
      <c r="U178" s="321">
        <f t="shared" si="304"/>
        <v>0</v>
      </c>
      <c r="V178" s="321">
        <f t="shared" si="304"/>
        <v>0</v>
      </c>
      <c r="W178" s="321">
        <f t="shared" si="304"/>
        <v>0</v>
      </c>
      <c r="X178" s="321">
        <f t="shared" si="304"/>
        <v>0</v>
      </c>
      <c r="Y178" s="321">
        <f t="shared" si="304"/>
        <v>0</v>
      </c>
      <c r="Z178" s="321">
        <f t="shared" si="304"/>
        <v>0</v>
      </c>
      <c r="AA178" s="321">
        <f t="shared" si="304"/>
        <v>0</v>
      </c>
      <c r="AB178" s="321">
        <f t="shared" si="304"/>
        <v>0</v>
      </c>
      <c r="AC178" s="321">
        <f t="shared" si="304"/>
        <v>0</v>
      </c>
      <c r="AD178" s="321">
        <f t="shared" si="304"/>
        <v>0</v>
      </c>
      <c r="AE178" s="321">
        <f t="shared" si="304"/>
        <v>0</v>
      </c>
      <c r="AF178" s="321">
        <f t="shared" si="304"/>
        <v>0</v>
      </c>
      <c r="AG178" s="321">
        <f t="shared" si="304"/>
        <v>0</v>
      </c>
      <c r="AH178" s="321">
        <f t="shared" si="304"/>
        <v>0</v>
      </c>
      <c r="AI178" s="321">
        <f t="shared" si="304"/>
        <v>0</v>
      </c>
      <c r="AJ178" s="321">
        <f t="shared" si="304"/>
        <v>0</v>
      </c>
      <c r="AK178" s="321">
        <f t="shared" si="304"/>
        <v>0</v>
      </c>
      <c r="AL178" s="321">
        <f t="shared" si="304"/>
        <v>0</v>
      </c>
      <c r="AM178" s="321">
        <f t="shared" si="304"/>
        <v>0</v>
      </c>
      <c r="AN178" s="321">
        <f t="shared" si="304"/>
        <v>0</v>
      </c>
      <c r="AO178" s="321">
        <f t="shared" si="304"/>
        <v>0</v>
      </c>
      <c r="AP178" s="321">
        <f t="shared" si="304"/>
        <v>0</v>
      </c>
      <c r="AQ178" s="321">
        <f t="shared" si="304"/>
        <v>0</v>
      </c>
      <c r="AR178" s="321">
        <f t="shared" si="304"/>
        <v>0</v>
      </c>
      <c r="AS178" s="321">
        <f t="shared" si="304"/>
        <v>0</v>
      </c>
      <c r="AT178" s="321">
        <f t="shared" si="304"/>
        <v>0</v>
      </c>
      <c r="AU178" s="321">
        <f t="shared" si="304"/>
        <v>0</v>
      </c>
      <c r="AV178" s="321">
        <f t="shared" si="304"/>
        <v>0</v>
      </c>
      <c r="AW178" s="321">
        <f t="shared" si="304"/>
        <v>0</v>
      </c>
      <c r="AX178" s="321">
        <f t="shared" si="304"/>
        <v>0</v>
      </c>
      <c r="AY178" s="321">
        <f t="shared" si="304"/>
        <v>0</v>
      </c>
      <c r="AZ178" s="321">
        <f t="shared" si="304"/>
        <v>0</v>
      </c>
      <c r="BA178" s="321">
        <f t="shared" si="304"/>
        <v>0</v>
      </c>
      <c r="BB178" s="321">
        <f t="shared" si="304"/>
        <v>0</v>
      </c>
      <c r="BC178" s="321">
        <f t="shared" si="304"/>
        <v>0</v>
      </c>
      <c r="BD178" s="321">
        <f t="shared" si="304"/>
        <v>0</v>
      </c>
      <c r="BE178" s="321">
        <f t="shared" si="304"/>
        <v>0</v>
      </c>
      <c r="BF178" s="321">
        <f t="shared" si="304"/>
        <v>0</v>
      </c>
      <c r="BG178" s="321">
        <f t="shared" si="304"/>
        <v>0</v>
      </c>
      <c r="BH178" s="321">
        <f t="shared" si="304"/>
        <v>0</v>
      </c>
      <c r="BI178" s="321">
        <f t="shared" si="304"/>
        <v>0</v>
      </c>
      <c r="BJ178" s="321">
        <f t="shared" si="304"/>
        <v>0</v>
      </c>
      <c r="BK178" s="321">
        <f t="shared" si="304"/>
        <v>0</v>
      </c>
      <c r="BL178" s="321">
        <f t="shared" si="304"/>
        <v>0</v>
      </c>
      <c r="BM178" s="321">
        <f t="shared" si="304"/>
        <v>0</v>
      </c>
      <c r="BN178" s="321">
        <f t="shared" si="304"/>
        <v>0</v>
      </c>
      <c r="BO178" s="321">
        <f t="shared" si="304"/>
        <v>0</v>
      </c>
      <c r="BP178" s="321">
        <f t="shared" ref="BP178:CE178" si="305">SUMIF($F$69,BP$101,$T$69)</f>
        <v>0</v>
      </c>
      <c r="BQ178" s="321">
        <f t="shared" si="305"/>
        <v>0</v>
      </c>
      <c r="BR178" s="321">
        <f t="shared" si="305"/>
        <v>0</v>
      </c>
      <c r="BS178" s="321">
        <f t="shared" si="305"/>
        <v>0</v>
      </c>
      <c r="BT178" s="321">
        <f t="shared" si="305"/>
        <v>0</v>
      </c>
      <c r="BU178" s="321">
        <f t="shared" si="305"/>
        <v>0</v>
      </c>
      <c r="BV178" s="321">
        <f t="shared" si="305"/>
        <v>0</v>
      </c>
      <c r="BW178" s="321">
        <f t="shared" si="305"/>
        <v>0</v>
      </c>
      <c r="BX178" s="321">
        <f t="shared" si="305"/>
        <v>0</v>
      </c>
      <c r="BY178" s="321">
        <f t="shared" si="305"/>
        <v>0</v>
      </c>
      <c r="BZ178" s="321">
        <f t="shared" si="305"/>
        <v>0</v>
      </c>
      <c r="CA178" s="321">
        <f t="shared" si="305"/>
        <v>0</v>
      </c>
      <c r="CB178" s="321">
        <f t="shared" si="305"/>
        <v>0</v>
      </c>
      <c r="CC178" s="321">
        <f t="shared" si="305"/>
        <v>0</v>
      </c>
      <c r="CD178" s="321">
        <f t="shared" si="305"/>
        <v>0</v>
      </c>
      <c r="CE178" s="321">
        <f t="shared" si="305"/>
        <v>0</v>
      </c>
      <c r="CF178" s="322">
        <f t="shared" si="193"/>
        <v>1</v>
      </c>
      <c r="CG178" s="217"/>
      <c r="CH178" s="217"/>
      <c r="CI178" s="217"/>
      <c r="CJ178" s="217"/>
      <c r="CK178" s="217"/>
    </row>
    <row r="179" spans="1:89" s="506" customFormat="1" x14ac:dyDescent="0.3">
      <c r="A179" s="217"/>
      <c r="B179" s="260" t="s">
        <v>564</v>
      </c>
      <c r="C179" s="321">
        <f>SUMIF($F$70,C$101,$T$70)</f>
        <v>0</v>
      </c>
      <c r="D179" s="321">
        <f t="shared" ref="D179:BO179" si="306">SUMIF($F$70,D$101,$T$70)</f>
        <v>0</v>
      </c>
      <c r="E179" s="321">
        <f t="shared" si="306"/>
        <v>0</v>
      </c>
      <c r="F179" s="321">
        <f t="shared" si="306"/>
        <v>0</v>
      </c>
      <c r="G179" s="321">
        <f t="shared" si="306"/>
        <v>0</v>
      </c>
      <c r="H179" s="321">
        <f t="shared" si="306"/>
        <v>0</v>
      </c>
      <c r="I179" s="321">
        <f t="shared" si="306"/>
        <v>1</v>
      </c>
      <c r="J179" s="321">
        <f t="shared" si="306"/>
        <v>0</v>
      </c>
      <c r="K179" s="321">
        <f t="shared" si="306"/>
        <v>0</v>
      </c>
      <c r="L179" s="321">
        <f t="shared" si="306"/>
        <v>0</v>
      </c>
      <c r="M179" s="321">
        <f t="shared" si="306"/>
        <v>0</v>
      </c>
      <c r="N179" s="321">
        <f t="shared" si="306"/>
        <v>0</v>
      </c>
      <c r="O179" s="321">
        <f t="shared" si="306"/>
        <v>0</v>
      </c>
      <c r="P179" s="321">
        <f t="shared" si="306"/>
        <v>0</v>
      </c>
      <c r="Q179" s="321">
        <f t="shared" si="306"/>
        <v>0</v>
      </c>
      <c r="R179" s="321">
        <f t="shared" si="306"/>
        <v>0</v>
      </c>
      <c r="S179" s="321">
        <f t="shared" si="306"/>
        <v>0</v>
      </c>
      <c r="T179" s="321">
        <f t="shared" si="306"/>
        <v>0</v>
      </c>
      <c r="U179" s="321">
        <f t="shared" si="306"/>
        <v>0</v>
      </c>
      <c r="V179" s="321">
        <f t="shared" si="306"/>
        <v>0</v>
      </c>
      <c r="W179" s="321">
        <f t="shared" si="306"/>
        <v>0</v>
      </c>
      <c r="X179" s="321">
        <f t="shared" si="306"/>
        <v>0</v>
      </c>
      <c r="Y179" s="321">
        <f t="shared" si="306"/>
        <v>0</v>
      </c>
      <c r="Z179" s="321">
        <f t="shared" si="306"/>
        <v>0</v>
      </c>
      <c r="AA179" s="321">
        <f t="shared" si="306"/>
        <v>0</v>
      </c>
      <c r="AB179" s="321">
        <f t="shared" si="306"/>
        <v>0</v>
      </c>
      <c r="AC179" s="321">
        <f t="shared" si="306"/>
        <v>0</v>
      </c>
      <c r="AD179" s="321">
        <f t="shared" si="306"/>
        <v>0</v>
      </c>
      <c r="AE179" s="321">
        <f t="shared" si="306"/>
        <v>0</v>
      </c>
      <c r="AF179" s="321">
        <f t="shared" si="306"/>
        <v>0</v>
      </c>
      <c r="AG179" s="321">
        <f t="shared" si="306"/>
        <v>0</v>
      </c>
      <c r="AH179" s="321">
        <f t="shared" si="306"/>
        <v>0</v>
      </c>
      <c r="AI179" s="321">
        <f t="shared" si="306"/>
        <v>0</v>
      </c>
      <c r="AJ179" s="321">
        <f t="shared" si="306"/>
        <v>0</v>
      </c>
      <c r="AK179" s="321">
        <f t="shared" si="306"/>
        <v>0</v>
      </c>
      <c r="AL179" s="321">
        <f t="shared" si="306"/>
        <v>0</v>
      </c>
      <c r="AM179" s="321">
        <f t="shared" si="306"/>
        <v>0</v>
      </c>
      <c r="AN179" s="321">
        <f t="shared" si="306"/>
        <v>0</v>
      </c>
      <c r="AO179" s="321">
        <f t="shared" si="306"/>
        <v>0</v>
      </c>
      <c r="AP179" s="321">
        <f t="shared" si="306"/>
        <v>0</v>
      </c>
      <c r="AQ179" s="321">
        <f t="shared" si="306"/>
        <v>0</v>
      </c>
      <c r="AR179" s="321">
        <f t="shared" si="306"/>
        <v>0</v>
      </c>
      <c r="AS179" s="321">
        <f t="shared" si="306"/>
        <v>0</v>
      </c>
      <c r="AT179" s="321">
        <f t="shared" si="306"/>
        <v>0</v>
      </c>
      <c r="AU179" s="321">
        <f t="shared" si="306"/>
        <v>0</v>
      </c>
      <c r="AV179" s="321">
        <f t="shared" si="306"/>
        <v>0</v>
      </c>
      <c r="AW179" s="321">
        <f t="shared" si="306"/>
        <v>0</v>
      </c>
      <c r="AX179" s="321">
        <f t="shared" si="306"/>
        <v>0</v>
      </c>
      <c r="AY179" s="321">
        <f t="shared" si="306"/>
        <v>0</v>
      </c>
      <c r="AZ179" s="321">
        <f t="shared" si="306"/>
        <v>0</v>
      </c>
      <c r="BA179" s="321">
        <f t="shared" si="306"/>
        <v>0</v>
      </c>
      <c r="BB179" s="321">
        <f t="shared" si="306"/>
        <v>0</v>
      </c>
      <c r="BC179" s="321">
        <f t="shared" si="306"/>
        <v>0</v>
      </c>
      <c r="BD179" s="321">
        <f t="shared" si="306"/>
        <v>0</v>
      </c>
      <c r="BE179" s="321">
        <f t="shared" si="306"/>
        <v>0</v>
      </c>
      <c r="BF179" s="321">
        <f t="shared" si="306"/>
        <v>0</v>
      </c>
      <c r="BG179" s="321">
        <f t="shared" si="306"/>
        <v>0</v>
      </c>
      <c r="BH179" s="321">
        <f t="shared" si="306"/>
        <v>0</v>
      </c>
      <c r="BI179" s="321">
        <f t="shared" si="306"/>
        <v>0</v>
      </c>
      <c r="BJ179" s="321">
        <f t="shared" si="306"/>
        <v>0</v>
      </c>
      <c r="BK179" s="321">
        <f t="shared" si="306"/>
        <v>0</v>
      </c>
      <c r="BL179" s="321">
        <f t="shared" si="306"/>
        <v>0</v>
      </c>
      <c r="BM179" s="321">
        <f t="shared" si="306"/>
        <v>0</v>
      </c>
      <c r="BN179" s="321">
        <f t="shared" si="306"/>
        <v>0</v>
      </c>
      <c r="BO179" s="321">
        <f t="shared" si="306"/>
        <v>0</v>
      </c>
      <c r="BP179" s="321">
        <f t="shared" ref="BP179:CE179" si="307">SUMIF($F$70,BP$101,$T$70)</f>
        <v>0</v>
      </c>
      <c r="BQ179" s="321">
        <f t="shared" si="307"/>
        <v>0</v>
      </c>
      <c r="BR179" s="321">
        <f t="shared" si="307"/>
        <v>0</v>
      </c>
      <c r="BS179" s="321">
        <f t="shared" si="307"/>
        <v>0</v>
      </c>
      <c r="BT179" s="321">
        <f t="shared" si="307"/>
        <v>0</v>
      </c>
      <c r="BU179" s="321">
        <f t="shared" si="307"/>
        <v>0</v>
      </c>
      <c r="BV179" s="321">
        <f t="shared" si="307"/>
        <v>0</v>
      </c>
      <c r="BW179" s="321">
        <f t="shared" si="307"/>
        <v>0</v>
      </c>
      <c r="BX179" s="321">
        <f t="shared" si="307"/>
        <v>0</v>
      </c>
      <c r="BY179" s="321">
        <f t="shared" si="307"/>
        <v>0</v>
      </c>
      <c r="BZ179" s="321">
        <f t="shared" si="307"/>
        <v>0</v>
      </c>
      <c r="CA179" s="321">
        <f t="shared" si="307"/>
        <v>0</v>
      </c>
      <c r="CB179" s="321">
        <f t="shared" si="307"/>
        <v>0</v>
      </c>
      <c r="CC179" s="321">
        <f t="shared" si="307"/>
        <v>0</v>
      </c>
      <c r="CD179" s="321">
        <f t="shared" si="307"/>
        <v>0</v>
      </c>
      <c r="CE179" s="321">
        <f t="shared" si="307"/>
        <v>0</v>
      </c>
      <c r="CF179" s="322">
        <f t="shared" si="193"/>
        <v>1</v>
      </c>
      <c r="CG179" s="217"/>
      <c r="CH179" s="217"/>
      <c r="CI179" s="217"/>
      <c r="CJ179" s="217"/>
      <c r="CK179" s="217"/>
    </row>
    <row r="180" spans="1:89" s="506" customFormat="1" x14ac:dyDescent="0.3">
      <c r="A180" s="217"/>
      <c r="B180" s="260" t="s">
        <v>801</v>
      </c>
      <c r="C180" s="321">
        <f>SUMIF($F$71,C$101,$T$71)</f>
        <v>0</v>
      </c>
      <c r="D180" s="321">
        <f t="shared" ref="D180:BO180" si="308">SUMIF($F$71,D$101,$T$71)</f>
        <v>0</v>
      </c>
      <c r="E180" s="321">
        <f t="shared" si="308"/>
        <v>0</v>
      </c>
      <c r="F180" s="321">
        <f t="shared" si="308"/>
        <v>0</v>
      </c>
      <c r="G180" s="321">
        <f t="shared" si="308"/>
        <v>0</v>
      </c>
      <c r="H180" s="321">
        <f t="shared" si="308"/>
        <v>0</v>
      </c>
      <c r="I180" s="321">
        <f t="shared" si="308"/>
        <v>1</v>
      </c>
      <c r="J180" s="321">
        <f t="shared" si="308"/>
        <v>0</v>
      </c>
      <c r="K180" s="321">
        <f t="shared" si="308"/>
        <v>0</v>
      </c>
      <c r="L180" s="321">
        <f t="shared" si="308"/>
        <v>0</v>
      </c>
      <c r="M180" s="321">
        <f t="shared" si="308"/>
        <v>0</v>
      </c>
      <c r="N180" s="321">
        <f t="shared" si="308"/>
        <v>0</v>
      </c>
      <c r="O180" s="321">
        <f t="shared" si="308"/>
        <v>0</v>
      </c>
      <c r="P180" s="321">
        <f t="shared" si="308"/>
        <v>0</v>
      </c>
      <c r="Q180" s="321">
        <f t="shared" si="308"/>
        <v>0</v>
      </c>
      <c r="R180" s="321">
        <f t="shared" si="308"/>
        <v>0</v>
      </c>
      <c r="S180" s="321">
        <f t="shared" si="308"/>
        <v>0</v>
      </c>
      <c r="T180" s="321">
        <f t="shared" si="308"/>
        <v>0</v>
      </c>
      <c r="U180" s="321">
        <f t="shared" si="308"/>
        <v>0</v>
      </c>
      <c r="V180" s="321">
        <f t="shared" si="308"/>
        <v>0</v>
      </c>
      <c r="W180" s="321">
        <f t="shared" si="308"/>
        <v>0</v>
      </c>
      <c r="X180" s="321">
        <f t="shared" si="308"/>
        <v>0</v>
      </c>
      <c r="Y180" s="321">
        <f t="shared" si="308"/>
        <v>0</v>
      </c>
      <c r="Z180" s="321">
        <f t="shared" si="308"/>
        <v>0</v>
      </c>
      <c r="AA180" s="321">
        <f t="shared" si="308"/>
        <v>0</v>
      </c>
      <c r="AB180" s="321">
        <f t="shared" si="308"/>
        <v>0</v>
      </c>
      <c r="AC180" s="321">
        <f t="shared" si="308"/>
        <v>0</v>
      </c>
      <c r="AD180" s="321">
        <f t="shared" si="308"/>
        <v>0</v>
      </c>
      <c r="AE180" s="321">
        <f t="shared" si="308"/>
        <v>0</v>
      </c>
      <c r="AF180" s="321">
        <f t="shared" si="308"/>
        <v>0</v>
      </c>
      <c r="AG180" s="321">
        <f t="shared" si="308"/>
        <v>0</v>
      </c>
      <c r="AH180" s="321">
        <f t="shared" si="308"/>
        <v>0</v>
      </c>
      <c r="AI180" s="321">
        <f t="shared" si="308"/>
        <v>0</v>
      </c>
      <c r="AJ180" s="321">
        <f t="shared" si="308"/>
        <v>0</v>
      </c>
      <c r="AK180" s="321">
        <f t="shared" si="308"/>
        <v>0</v>
      </c>
      <c r="AL180" s="321">
        <f t="shared" si="308"/>
        <v>0</v>
      </c>
      <c r="AM180" s="321">
        <f t="shared" si="308"/>
        <v>0</v>
      </c>
      <c r="AN180" s="321">
        <f t="shared" si="308"/>
        <v>0</v>
      </c>
      <c r="AO180" s="321">
        <f t="shared" si="308"/>
        <v>0</v>
      </c>
      <c r="AP180" s="321">
        <f t="shared" si="308"/>
        <v>0</v>
      </c>
      <c r="AQ180" s="321">
        <f t="shared" si="308"/>
        <v>0</v>
      </c>
      <c r="AR180" s="321">
        <f t="shared" si="308"/>
        <v>0</v>
      </c>
      <c r="AS180" s="321">
        <f t="shared" si="308"/>
        <v>0</v>
      </c>
      <c r="AT180" s="321">
        <f t="shared" si="308"/>
        <v>0</v>
      </c>
      <c r="AU180" s="321">
        <f t="shared" si="308"/>
        <v>0</v>
      </c>
      <c r="AV180" s="321">
        <f t="shared" si="308"/>
        <v>0</v>
      </c>
      <c r="AW180" s="321">
        <f t="shared" si="308"/>
        <v>0</v>
      </c>
      <c r="AX180" s="321">
        <f t="shared" si="308"/>
        <v>0</v>
      </c>
      <c r="AY180" s="321">
        <f t="shared" si="308"/>
        <v>0</v>
      </c>
      <c r="AZ180" s="321">
        <f t="shared" si="308"/>
        <v>0</v>
      </c>
      <c r="BA180" s="321">
        <f t="shared" si="308"/>
        <v>0</v>
      </c>
      <c r="BB180" s="321">
        <f t="shared" si="308"/>
        <v>0</v>
      </c>
      <c r="BC180" s="321">
        <f t="shared" si="308"/>
        <v>0</v>
      </c>
      <c r="BD180" s="321">
        <f t="shared" si="308"/>
        <v>0</v>
      </c>
      <c r="BE180" s="321">
        <f t="shared" si="308"/>
        <v>0</v>
      </c>
      <c r="BF180" s="321">
        <f t="shared" si="308"/>
        <v>0</v>
      </c>
      <c r="BG180" s="321">
        <f t="shared" si="308"/>
        <v>0</v>
      </c>
      <c r="BH180" s="321">
        <f t="shared" si="308"/>
        <v>0</v>
      </c>
      <c r="BI180" s="321">
        <f t="shared" si="308"/>
        <v>0</v>
      </c>
      <c r="BJ180" s="321">
        <f t="shared" si="308"/>
        <v>0</v>
      </c>
      <c r="BK180" s="321">
        <f t="shared" si="308"/>
        <v>0</v>
      </c>
      <c r="BL180" s="321">
        <f t="shared" si="308"/>
        <v>0</v>
      </c>
      <c r="BM180" s="321">
        <f t="shared" si="308"/>
        <v>0</v>
      </c>
      <c r="BN180" s="321">
        <f t="shared" si="308"/>
        <v>0</v>
      </c>
      <c r="BO180" s="321">
        <f t="shared" si="308"/>
        <v>0</v>
      </c>
      <c r="BP180" s="321">
        <f t="shared" ref="BP180:CE180" si="309">SUMIF($F$71,BP$101,$T$71)</f>
        <v>0</v>
      </c>
      <c r="BQ180" s="321">
        <f t="shared" si="309"/>
        <v>0</v>
      </c>
      <c r="BR180" s="321">
        <f t="shared" si="309"/>
        <v>0</v>
      </c>
      <c r="BS180" s="321">
        <f t="shared" si="309"/>
        <v>0</v>
      </c>
      <c r="BT180" s="321">
        <f t="shared" si="309"/>
        <v>0</v>
      </c>
      <c r="BU180" s="321">
        <f t="shared" si="309"/>
        <v>0</v>
      </c>
      <c r="BV180" s="321">
        <f t="shared" si="309"/>
        <v>0</v>
      </c>
      <c r="BW180" s="321">
        <f t="shared" si="309"/>
        <v>0</v>
      </c>
      <c r="BX180" s="321">
        <f t="shared" si="309"/>
        <v>0</v>
      </c>
      <c r="BY180" s="321">
        <f t="shared" si="309"/>
        <v>0</v>
      </c>
      <c r="BZ180" s="321">
        <f t="shared" si="309"/>
        <v>0</v>
      </c>
      <c r="CA180" s="321">
        <f t="shared" si="309"/>
        <v>0</v>
      </c>
      <c r="CB180" s="321">
        <f t="shared" si="309"/>
        <v>0</v>
      </c>
      <c r="CC180" s="321">
        <f t="shared" si="309"/>
        <v>0</v>
      </c>
      <c r="CD180" s="321">
        <f t="shared" si="309"/>
        <v>0</v>
      </c>
      <c r="CE180" s="321">
        <f t="shared" si="309"/>
        <v>0</v>
      </c>
      <c r="CF180" s="322">
        <f t="shared" si="193"/>
        <v>1</v>
      </c>
      <c r="CG180" s="217"/>
      <c r="CH180" s="217"/>
      <c r="CI180" s="217"/>
      <c r="CJ180" s="217"/>
      <c r="CK180" s="217"/>
    </row>
    <row r="181" spans="1:89" x14ac:dyDescent="0.3">
      <c r="A181" s="217"/>
      <c r="B181" s="263" t="s">
        <v>802</v>
      </c>
      <c r="C181" s="321">
        <f>SUMIF($F$72,C$101,$T$72)</f>
        <v>0</v>
      </c>
      <c r="D181" s="321">
        <f t="shared" ref="D181:BO181" si="310">SUMIF($F$72,D$101,$T$72)</f>
        <v>0</v>
      </c>
      <c r="E181" s="321">
        <f t="shared" si="310"/>
        <v>0</v>
      </c>
      <c r="F181" s="321">
        <f t="shared" si="310"/>
        <v>0</v>
      </c>
      <c r="G181" s="321">
        <f t="shared" si="310"/>
        <v>0</v>
      </c>
      <c r="H181" s="321">
        <f t="shared" si="310"/>
        <v>0</v>
      </c>
      <c r="I181" s="321">
        <f t="shared" si="310"/>
        <v>0.9</v>
      </c>
      <c r="J181" s="321">
        <f t="shared" si="310"/>
        <v>0</v>
      </c>
      <c r="K181" s="321">
        <f t="shared" si="310"/>
        <v>0</v>
      </c>
      <c r="L181" s="321">
        <f t="shared" si="310"/>
        <v>0</v>
      </c>
      <c r="M181" s="321">
        <f t="shared" si="310"/>
        <v>0</v>
      </c>
      <c r="N181" s="321">
        <f t="shared" si="310"/>
        <v>0</v>
      </c>
      <c r="O181" s="321">
        <f t="shared" si="310"/>
        <v>0</v>
      </c>
      <c r="P181" s="321">
        <f t="shared" si="310"/>
        <v>0</v>
      </c>
      <c r="Q181" s="321">
        <f t="shared" si="310"/>
        <v>0</v>
      </c>
      <c r="R181" s="321">
        <f t="shared" si="310"/>
        <v>0</v>
      </c>
      <c r="S181" s="321">
        <f t="shared" si="310"/>
        <v>0</v>
      </c>
      <c r="T181" s="321">
        <f t="shared" si="310"/>
        <v>0</v>
      </c>
      <c r="U181" s="321">
        <f t="shared" si="310"/>
        <v>0</v>
      </c>
      <c r="V181" s="321">
        <f t="shared" si="310"/>
        <v>0</v>
      </c>
      <c r="W181" s="321">
        <f t="shared" si="310"/>
        <v>0</v>
      </c>
      <c r="X181" s="321">
        <f t="shared" si="310"/>
        <v>0</v>
      </c>
      <c r="Y181" s="321">
        <f t="shared" si="310"/>
        <v>0</v>
      </c>
      <c r="Z181" s="321">
        <f t="shared" si="310"/>
        <v>0</v>
      </c>
      <c r="AA181" s="321">
        <f t="shared" si="310"/>
        <v>0</v>
      </c>
      <c r="AB181" s="321">
        <f t="shared" si="310"/>
        <v>0</v>
      </c>
      <c r="AC181" s="321">
        <f t="shared" si="310"/>
        <v>0</v>
      </c>
      <c r="AD181" s="321">
        <f t="shared" si="310"/>
        <v>0</v>
      </c>
      <c r="AE181" s="321">
        <f t="shared" si="310"/>
        <v>0</v>
      </c>
      <c r="AF181" s="321">
        <f t="shared" si="310"/>
        <v>0</v>
      </c>
      <c r="AG181" s="321">
        <f t="shared" si="310"/>
        <v>0</v>
      </c>
      <c r="AH181" s="321">
        <f t="shared" si="310"/>
        <v>0</v>
      </c>
      <c r="AI181" s="321">
        <f t="shared" si="310"/>
        <v>0</v>
      </c>
      <c r="AJ181" s="321">
        <f t="shared" si="310"/>
        <v>0</v>
      </c>
      <c r="AK181" s="321">
        <f t="shared" si="310"/>
        <v>0</v>
      </c>
      <c r="AL181" s="321">
        <f t="shared" si="310"/>
        <v>0</v>
      </c>
      <c r="AM181" s="321">
        <f t="shared" si="310"/>
        <v>0</v>
      </c>
      <c r="AN181" s="321">
        <f t="shared" si="310"/>
        <v>0</v>
      </c>
      <c r="AO181" s="321">
        <f t="shared" si="310"/>
        <v>0</v>
      </c>
      <c r="AP181" s="321">
        <f t="shared" si="310"/>
        <v>0</v>
      </c>
      <c r="AQ181" s="321">
        <f t="shared" si="310"/>
        <v>0</v>
      </c>
      <c r="AR181" s="321">
        <f t="shared" si="310"/>
        <v>0</v>
      </c>
      <c r="AS181" s="321">
        <f t="shared" si="310"/>
        <v>0</v>
      </c>
      <c r="AT181" s="321">
        <f t="shared" si="310"/>
        <v>0</v>
      </c>
      <c r="AU181" s="321">
        <f t="shared" si="310"/>
        <v>0</v>
      </c>
      <c r="AV181" s="321">
        <f t="shared" si="310"/>
        <v>0</v>
      </c>
      <c r="AW181" s="321">
        <f t="shared" si="310"/>
        <v>0</v>
      </c>
      <c r="AX181" s="321">
        <f t="shared" si="310"/>
        <v>0</v>
      </c>
      <c r="AY181" s="321">
        <f t="shared" si="310"/>
        <v>0</v>
      </c>
      <c r="AZ181" s="321">
        <f t="shared" si="310"/>
        <v>0</v>
      </c>
      <c r="BA181" s="321">
        <f t="shared" si="310"/>
        <v>0</v>
      </c>
      <c r="BB181" s="321">
        <f t="shared" si="310"/>
        <v>0</v>
      </c>
      <c r="BC181" s="321">
        <f t="shared" si="310"/>
        <v>0</v>
      </c>
      <c r="BD181" s="321">
        <f t="shared" si="310"/>
        <v>0</v>
      </c>
      <c r="BE181" s="321">
        <f t="shared" si="310"/>
        <v>0</v>
      </c>
      <c r="BF181" s="321">
        <f t="shared" si="310"/>
        <v>0</v>
      </c>
      <c r="BG181" s="321">
        <f t="shared" si="310"/>
        <v>0</v>
      </c>
      <c r="BH181" s="321">
        <f t="shared" si="310"/>
        <v>0</v>
      </c>
      <c r="BI181" s="321">
        <f t="shared" si="310"/>
        <v>0</v>
      </c>
      <c r="BJ181" s="321">
        <f t="shared" si="310"/>
        <v>0</v>
      </c>
      <c r="BK181" s="321">
        <f t="shared" si="310"/>
        <v>0</v>
      </c>
      <c r="BL181" s="321">
        <f t="shared" si="310"/>
        <v>0</v>
      </c>
      <c r="BM181" s="321">
        <f t="shared" si="310"/>
        <v>0</v>
      </c>
      <c r="BN181" s="321">
        <f t="shared" si="310"/>
        <v>0</v>
      </c>
      <c r="BO181" s="321">
        <f t="shared" si="310"/>
        <v>0</v>
      </c>
      <c r="BP181" s="321">
        <f t="shared" ref="BP181:CE181" si="311">SUMIF($F$72,BP$101,$T$72)</f>
        <v>0</v>
      </c>
      <c r="BQ181" s="321">
        <f t="shared" si="311"/>
        <v>0</v>
      </c>
      <c r="BR181" s="321">
        <f t="shared" si="311"/>
        <v>0</v>
      </c>
      <c r="BS181" s="321">
        <f t="shared" si="311"/>
        <v>0</v>
      </c>
      <c r="BT181" s="321">
        <f t="shared" si="311"/>
        <v>0</v>
      </c>
      <c r="BU181" s="321">
        <f t="shared" si="311"/>
        <v>0</v>
      </c>
      <c r="BV181" s="321">
        <f t="shared" si="311"/>
        <v>0</v>
      </c>
      <c r="BW181" s="321">
        <f t="shared" si="311"/>
        <v>0</v>
      </c>
      <c r="BX181" s="321">
        <f t="shared" si="311"/>
        <v>0</v>
      </c>
      <c r="BY181" s="321">
        <f t="shared" si="311"/>
        <v>0</v>
      </c>
      <c r="BZ181" s="321">
        <f t="shared" si="311"/>
        <v>0</v>
      </c>
      <c r="CA181" s="321">
        <f t="shared" si="311"/>
        <v>0</v>
      </c>
      <c r="CB181" s="321">
        <f t="shared" si="311"/>
        <v>0</v>
      </c>
      <c r="CC181" s="321">
        <f t="shared" si="311"/>
        <v>0</v>
      </c>
      <c r="CD181" s="321">
        <f t="shared" si="311"/>
        <v>0</v>
      </c>
      <c r="CE181" s="321">
        <f t="shared" si="311"/>
        <v>0</v>
      </c>
      <c r="CF181" s="322">
        <f t="shared" si="193"/>
        <v>0.9</v>
      </c>
      <c r="CG181" s="217"/>
      <c r="CH181" s="217"/>
      <c r="CI181" s="217"/>
      <c r="CJ181" s="217"/>
      <c r="CK181" s="217"/>
    </row>
    <row r="182" spans="1:89" x14ac:dyDescent="0.3">
      <c r="A182" s="217"/>
      <c r="B182" s="217"/>
      <c r="C182" s="217"/>
      <c r="D182" s="217"/>
      <c r="E182" s="217"/>
      <c r="F182" s="217"/>
      <c r="G182" s="217"/>
      <c r="H182" s="217"/>
      <c r="I182" s="217"/>
      <c r="J182" s="217"/>
      <c r="K182" s="217"/>
      <c r="L182" s="217"/>
      <c r="M182" s="217"/>
      <c r="N182" s="217"/>
      <c r="O182" s="217"/>
      <c r="P182" s="217"/>
      <c r="Q182" s="217"/>
      <c r="R182" s="217"/>
      <c r="S182" s="217"/>
      <c r="T182" s="217"/>
      <c r="U182" s="217"/>
      <c r="V182" s="217"/>
      <c r="W182" s="217"/>
      <c r="X182" s="217"/>
      <c r="Y182" s="217"/>
      <c r="Z182" s="217"/>
      <c r="AA182" s="217"/>
      <c r="AB182" s="217"/>
      <c r="AC182" s="217"/>
      <c r="AD182" s="217"/>
      <c r="AE182" s="217"/>
      <c r="AF182" s="217"/>
      <c r="AG182" s="217"/>
      <c r="AH182" s="217"/>
      <c r="AI182" s="217"/>
      <c r="AJ182" s="217"/>
      <c r="AK182" s="217"/>
      <c r="AL182" s="217"/>
      <c r="AM182" s="217"/>
      <c r="AN182" s="217"/>
      <c r="AO182" s="217"/>
      <c r="AP182" s="217"/>
      <c r="AQ182" s="217"/>
      <c r="AR182" s="217"/>
      <c r="AS182" s="217"/>
      <c r="AT182" s="217"/>
      <c r="AU182" s="217"/>
      <c r="AV182" s="217"/>
      <c r="AW182" s="217"/>
      <c r="AX182" s="217"/>
      <c r="AY182" s="217"/>
      <c r="AZ182" s="217"/>
      <c r="BA182" s="217"/>
      <c r="BB182" s="217"/>
      <c r="BC182" s="217"/>
      <c r="BD182" s="217"/>
      <c r="BE182" s="217"/>
      <c r="BF182" s="217"/>
      <c r="BG182" s="217"/>
      <c r="BH182" s="217"/>
      <c r="BI182" s="217"/>
      <c r="BJ182" s="217"/>
      <c r="BK182" s="217"/>
      <c r="BL182" s="217"/>
      <c r="BM182" s="217"/>
      <c r="BN182" s="217"/>
      <c r="BO182" s="217"/>
      <c r="BP182" s="217"/>
      <c r="BQ182" s="217"/>
      <c r="BR182" s="217"/>
      <c r="BS182" s="217"/>
      <c r="BT182" s="217"/>
      <c r="BU182" s="217"/>
      <c r="BV182" s="217"/>
      <c r="BW182" s="217"/>
      <c r="BX182" s="217"/>
      <c r="BY182" s="217"/>
      <c r="BZ182" s="217"/>
      <c r="CA182" s="217"/>
      <c r="CB182" s="217"/>
      <c r="CC182" s="217"/>
      <c r="CD182" s="217"/>
      <c r="CE182" s="217"/>
      <c r="CF182" s="217"/>
      <c r="CG182" s="217"/>
      <c r="CH182" s="217"/>
      <c r="CI182" s="217"/>
      <c r="CJ182" s="217"/>
      <c r="CK182" s="217"/>
    </row>
    <row r="183" spans="1:89" x14ac:dyDescent="0.3">
      <c r="A183" s="217"/>
      <c r="B183" s="217"/>
      <c r="C183" s="217"/>
      <c r="D183" s="217"/>
      <c r="E183" s="217"/>
      <c r="F183" s="217"/>
      <c r="G183" s="217"/>
      <c r="H183" s="217"/>
      <c r="I183" s="217"/>
      <c r="J183" s="217"/>
      <c r="K183" s="217"/>
      <c r="L183" s="217"/>
      <c r="M183" s="217"/>
      <c r="N183" s="217"/>
      <c r="O183" s="217"/>
      <c r="P183" s="217"/>
      <c r="Q183" s="217"/>
      <c r="R183" s="217"/>
      <c r="S183" s="217"/>
      <c r="T183" s="217"/>
      <c r="U183" s="217"/>
      <c r="V183" s="217"/>
      <c r="W183" s="217"/>
      <c r="X183" s="217"/>
      <c r="Y183" s="217"/>
      <c r="Z183" s="217"/>
      <c r="AA183" s="217"/>
      <c r="AB183" s="217"/>
      <c r="AC183" s="217"/>
      <c r="AD183" s="217"/>
      <c r="AE183" s="217"/>
      <c r="AF183" s="217"/>
      <c r="AG183" s="217"/>
      <c r="AH183" s="217"/>
      <c r="AI183" s="217"/>
      <c r="AJ183" s="217"/>
      <c r="AK183" s="217"/>
      <c r="AL183" s="217"/>
      <c r="AM183" s="217"/>
      <c r="AN183" s="217"/>
      <c r="AO183" s="217"/>
      <c r="AP183" s="217"/>
      <c r="AQ183" s="217"/>
      <c r="AR183" s="217"/>
      <c r="AS183" s="217"/>
      <c r="AT183" s="217"/>
      <c r="AU183" s="217"/>
      <c r="AV183" s="217"/>
      <c r="AW183" s="217"/>
      <c r="AX183" s="217"/>
      <c r="AY183" s="217"/>
      <c r="AZ183" s="217"/>
      <c r="BA183" s="217"/>
      <c r="BB183" s="217"/>
      <c r="BC183" s="217"/>
      <c r="BD183" s="217"/>
      <c r="BE183" s="217"/>
      <c r="BF183" s="217"/>
      <c r="BG183" s="217"/>
      <c r="BH183" s="217"/>
      <c r="BI183" s="217"/>
      <c r="BJ183" s="217"/>
      <c r="BK183" s="217"/>
      <c r="BL183" s="217"/>
      <c r="BM183" s="217"/>
      <c r="BN183" s="217"/>
      <c r="BO183" s="217"/>
      <c r="BP183" s="217"/>
      <c r="BQ183" s="217"/>
      <c r="BR183" s="217"/>
      <c r="BS183" s="217"/>
      <c r="BT183" s="217"/>
      <c r="BU183" s="217"/>
      <c r="BV183" s="217"/>
      <c r="BW183" s="217"/>
      <c r="BX183" s="217"/>
      <c r="BY183" s="217"/>
      <c r="BZ183" s="217"/>
      <c r="CA183" s="217"/>
      <c r="CB183" s="217"/>
      <c r="CC183" s="217"/>
      <c r="CD183" s="217"/>
      <c r="CE183" s="217"/>
      <c r="CF183" s="217"/>
      <c r="CG183" s="217"/>
      <c r="CH183" s="217"/>
      <c r="CI183" s="217"/>
      <c r="CJ183" s="217"/>
      <c r="CK183" s="217"/>
    </row>
    <row r="184" spans="1:89" x14ac:dyDescent="0.3">
      <c r="A184" s="217"/>
      <c r="B184" s="217"/>
      <c r="C184" s="217"/>
      <c r="D184" s="217"/>
      <c r="E184" s="217"/>
      <c r="F184" s="217"/>
      <c r="G184" s="217"/>
      <c r="H184" s="217"/>
      <c r="I184" s="217"/>
      <c r="J184" s="217"/>
      <c r="K184" s="217"/>
      <c r="L184" s="217"/>
      <c r="M184" s="217"/>
      <c r="N184" s="217"/>
      <c r="O184" s="217"/>
      <c r="P184" s="217"/>
      <c r="Q184" s="217"/>
      <c r="R184" s="217"/>
      <c r="S184" s="217"/>
      <c r="T184" s="217"/>
      <c r="U184" s="217"/>
      <c r="V184" s="217"/>
      <c r="W184" s="217"/>
      <c r="X184" s="217"/>
      <c r="Y184" s="217"/>
      <c r="Z184" s="217"/>
      <c r="AA184" s="217"/>
      <c r="AB184" s="217"/>
      <c r="AC184" s="217"/>
      <c r="AD184" s="217"/>
      <c r="AE184" s="217"/>
      <c r="AF184" s="217"/>
      <c r="AG184" s="217"/>
      <c r="AH184" s="217"/>
      <c r="AI184" s="217"/>
      <c r="AJ184" s="217"/>
      <c r="AK184" s="217"/>
      <c r="AL184" s="217"/>
      <c r="AM184" s="217"/>
      <c r="AN184" s="217"/>
      <c r="AO184" s="217"/>
      <c r="AP184" s="217"/>
      <c r="AQ184" s="217"/>
      <c r="AR184" s="217"/>
      <c r="AS184" s="217"/>
      <c r="AT184" s="217"/>
      <c r="AU184" s="217"/>
      <c r="AV184" s="217"/>
      <c r="AW184" s="217"/>
      <c r="AX184" s="217"/>
      <c r="AY184" s="217"/>
      <c r="AZ184" s="217"/>
      <c r="BA184" s="217"/>
      <c r="BB184" s="217"/>
      <c r="BC184" s="217"/>
      <c r="BD184" s="217"/>
      <c r="BE184" s="217"/>
      <c r="BF184" s="217"/>
      <c r="BG184" s="217"/>
      <c r="BH184" s="217"/>
      <c r="BI184" s="217"/>
      <c r="BJ184" s="217"/>
      <c r="BK184" s="217"/>
      <c r="BL184" s="217"/>
      <c r="BM184" s="217"/>
      <c r="BN184" s="217"/>
      <c r="BO184" s="217"/>
      <c r="BP184" s="217"/>
      <c r="BQ184" s="217"/>
      <c r="BR184" s="217"/>
      <c r="BS184" s="217"/>
      <c r="BT184" s="217"/>
      <c r="BU184" s="217"/>
      <c r="BV184" s="217"/>
      <c r="BW184" s="217"/>
      <c r="BX184" s="217"/>
      <c r="BY184" s="217"/>
      <c r="BZ184" s="217"/>
      <c r="CA184" s="217"/>
      <c r="CB184" s="217"/>
      <c r="CC184" s="217"/>
      <c r="CD184" s="217"/>
      <c r="CE184" s="217"/>
      <c r="CF184" s="217"/>
      <c r="CG184" s="217"/>
      <c r="CH184" s="217"/>
      <c r="CI184" s="217"/>
      <c r="CJ184" s="217"/>
      <c r="CK184" s="217"/>
    </row>
  </sheetData>
  <sheetProtection algorithmName="SHA-512" hashValue="cYH3UKxQ5RJBoxoJFhMxkpBz7+vKBpkYSC4ZuNTtJnRTIiKu7Djlzh7qrffolt6+A053R7xtDPCMiVsdiHEcGQ==" saltValue="CBgHRmjAgALl/hLyr0d7kg==" spinCount="100000" sheet="1" objects="1" scenarios="1" formatCells="0" formatColumns="0" formatRows="0"/>
  <autoFilter ref="A24:R72"/>
  <mergeCells count="8">
    <mergeCell ref="W76:AL76"/>
    <mergeCell ref="G76:V76"/>
    <mergeCell ref="I23:K23"/>
    <mergeCell ref="B70:B72"/>
    <mergeCell ref="B59:B67"/>
    <mergeCell ref="B68:B69"/>
    <mergeCell ref="B53:B58"/>
    <mergeCell ref="B25:B52"/>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B3:K37"/>
  <sheetViews>
    <sheetView workbookViewId="0">
      <selection activeCell="C126" sqref="C126"/>
    </sheetView>
  </sheetViews>
  <sheetFormatPr defaultRowHeight="14.4" x14ac:dyDescent="0.3"/>
  <cols>
    <col min="1" max="1" width="11.109375" customWidth="1"/>
    <col min="2" max="2" width="23.33203125" bestFit="1" customWidth="1"/>
    <col min="4" max="4" width="18" bestFit="1" customWidth="1"/>
    <col min="5" max="6" width="16.109375" customWidth="1"/>
    <col min="7" max="7" width="14.5546875" customWidth="1"/>
    <col min="8" max="8" width="10.44140625" customWidth="1"/>
    <col min="9" max="9" width="16.6640625" customWidth="1"/>
    <col min="10" max="10" width="13.33203125" customWidth="1"/>
    <col min="11" max="11" width="10.6640625" customWidth="1"/>
  </cols>
  <sheetData>
    <row r="3" spans="2:11" x14ac:dyDescent="0.3">
      <c r="B3" t="s">
        <v>139</v>
      </c>
      <c r="D3" t="s">
        <v>140</v>
      </c>
    </row>
    <row r="4" spans="2:11" x14ac:dyDescent="0.3">
      <c r="B4" t="s">
        <v>138</v>
      </c>
      <c r="C4">
        <v>4.5360000000000002E-4</v>
      </c>
      <c r="D4" t="s">
        <v>141</v>
      </c>
    </row>
    <row r="5" spans="2:11" x14ac:dyDescent="0.3">
      <c r="B5" t="s">
        <v>289</v>
      </c>
      <c r="C5" s="38">
        <f>1/C4/1000</f>
        <v>2.204585537918871</v>
      </c>
    </row>
    <row r="10" spans="2:11" x14ac:dyDescent="0.3">
      <c r="B10" s="33" t="s">
        <v>142</v>
      </c>
    </row>
    <row r="11" spans="2:11" ht="40.200000000000003" x14ac:dyDescent="0.3">
      <c r="B11" s="28" t="s">
        <v>94</v>
      </c>
      <c r="C11" s="28" t="s">
        <v>95</v>
      </c>
      <c r="D11" s="28" t="s">
        <v>96</v>
      </c>
      <c r="E11" s="29" t="s">
        <v>417</v>
      </c>
      <c r="F11" s="29" t="s">
        <v>416</v>
      </c>
      <c r="G11" s="95" t="s">
        <v>413</v>
      </c>
      <c r="H11" s="95" t="s">
        <v>414</v>
      </c>
      <c r="I11" s="29" t="s">
        <v>415</v>
      </c>
      <c r="J11" s="95" t="s">
        <v>411</v>
      </c>
      <c r="K11" s="95" t="s">
        <v>412</v>
      </c>
    </row>
    <row r="12" spans="2:11" x14ac:dyDescent="0.3">
      <c r="B12" s="24" t="s">
        <v>36</v>
      </c>
      <c r="C12" s="30" t="s">
        <v>37</v>
      </c>
      <c r="D12" s="30" t="s">
        <v>38</v>
      </c>
      <c r="E12" s="470">
        <f>IF(Inputs!$G$9=Lists!$E$39,I12,IF(Inputs!$G$9=Lists!$E$40,F12,I12))</f>
        <v>14800</v>
      </c>
      <c r="F12" s="31">
        <v>14800</v>
      </c>
      <c r="G12" s="34" t="s">
        <v>317</v>
      </c>
      <c r="H12" s="57" t="s">
        <v>316</v>
      </c>
      <c r="I12" s="31">
        <v>11700</v>
      </c>
      <c r="J12" s="30" t="s">
        <v>39</v>
      </c>
      <c r="K12" s="32" t="s">
        <v>40</v>
      </c>
    </row>
    <row r="13" spans="2:11" x14ac:dyDescent="0.3">
      <c r="B13" s="24" t="s">
        <v>41</v>
      </c>
      <c r="C13" s="30" t="s">
        <v>42</v>
      </c>
      <c r="D13" s="30" t="s">
        <v>43</v>
      </c>
      <c r="E13" s="470">
        <f>IF(Inputs!$G$9=Lists!$E$39,I13,IF(Inputs!$G$9=Lists!$E$40,F13,I13))</f>
        <v>675</v>
      </c>
      <c r="F13" s="30">
        <v>675</v>
      </c>
      <c r="G13" s="34" t="s">
        <v>317</v>
      </c>
      <c r="H13" s="57" t="s">
        <v>316</v>
      </c>
      <c r="I13" s="30">
        <v>650</v>
      </c>
      <c r="J13" s="30" t="s">
        <v>39</v>
      </c>
      <c r="K13" s="32" t="s">
        <v>40</v>
      </c>
    </row>
    <row r="14" spans="2:11" x14ac:dyDescent="0.3">
      <c r="B14" s="24" t="s">
        <v>44</v>
      </c>
      <c r="C14" s="30" t="s">
        <v>45</v>
      </c>
      <c r="D14" s="30" t="s">
        <v>46</v>
      </c>
      <c r="E14" s="470">
        <f>IF(Inputs!$G$9=Lists!$E$39,I14,IF(Inputs!$G$9=Lists!$E$40,F14,I14))</f>
        <v>92</v>
      </c>
      <c r="F14" s="30">
        <v>92</v>
      </c>
      <c r="G14" s="34" t="s">
        <v>418</v>
      </c>
      <c r="H14" s="57" t="s">
        <v>419</v>
      </c>
      <c r="I14" s="30">
        <v>150</v>
      </c>
      <c r="J14" s="30" t="s">
        <v>39</v>
      </c>
      <c r="K14" s="32" t="s">
        <v>40</v>
      </c>
    </row>
    <row r="15" spans="2:11" x14ac:dyDescent="0.3">
      <c r="B15" s="24" t="s">
        <v>47</v>
      </c>
      <c r="C15" s="30" t="s">
        <v>48</v>
      </c>
      <c r="D15" s="30" t="s">
        <v>49</v>
      </c>
      <c r="E15" s="470">
        <f>IF(Inputs!$G$9=Lists!$E$39,I15,IF(Inputs!$G$9=Lists!$E$40,F15,I15))</f>
        <v>3500</v>
      </c>
      <c r="F15" s="31">
        <v>3500</v>
      </c>
      <c r="G15" s="34" t="s">
        <v>317</v>
      </c>
      <c r="H15" s="57" t="s">
        <v>316</v>
      </c>
      <c r="I15" s="31">
        <v>2800</v>
      </c>
      <c r="J15" s="30" t="s">
        <v>39</v>
      </c>
      <c r="K15" s="32" t="s">
        <v>40</v>
      </c>
    </row>
    <row r="16" spans="2:11" x14ac:dyDescent="0.3">
      <c r="B16" s="54" t="s">
        <v>50</v>
      </c>
      <c r="C16" s="55" t="s">
        <v>51</v>
      </c>
      <c r="D16" s="55" t="s">
        <v>52</v>
      </c>
      <c r="E16" s="471">
        <f>IF(Inputs!$G$9=Lists!$E$39,I16,IF(Inputs!$G$9=Lists!$E$40,F16,I16))</f>
        <v>0</v>
      </c>
      <c r="F16" s="56"/>
      <c r="G16" s="55"/>
      <c r="H16" s="32"/>
      <c r="I16" s="56">
        <v>1000</v>
      </c>
      <c r="J16" s="55" t="s">
        <v>39</v>
      </c>
      <c r="K16" s="32" t="s">
        <v>40</v>
      </c>
    </row>
    <row r="17" spans="2:11" ht="15.75" customHeight="1" x14ac:dyDescent="0.3">
      <c r="B17" s="24" t="s">
        <v>53</v>
      </c>
      <c r="C17" s="30" t="s">
        <v>54</v>
      </c>
      <c r="D17" s="30" t="s">
        <v>55</v>
      </c>
      <c r="E17" s="470">
        <f>IF(Inputs!$G$9=Lists!$E$39,I17,IF(Inputs!$G$9=Lists!$E$40,F17,I17))</f>
        <v>1430</v>
      </c>
      <c r="F17" s="31">
        <v>1430</v>
      </c>
      <c r="G17" s="34" t="s">
        <v>317</v>
      </c>
      <c r="H17" s="57" t="s">
        <v>316</v>
      </c>
      <c r="I17" s="31">
        <v>1300</v>
      </c>
      <c r="J17" s="30" t="s">
        <v>39</v>
      </c>
      <c r="K17" s="32" t="s">
        <v>40</v>
      </c>
    </row>
    <row r="18" spans="2:11" ht="15.75" customHeight="1" x14ac:dyDescent="0.3">
      <c r="B18" s="54" t="s">
        <v>56</v>
      </c>
      <c r="C18" s="55" t="s">
        <v>57</v>
      </c>
      <c r="D18" s="55" t="s">
        <v>58</v>
      </c>
      <c r="E18" s="471">
        <f>IF(Inputs!$G$9=Lists!$E$39,I18,IF(Inputs!$G$9=Lists!$E$40,F18,I18))</f>
        <v>0</v>
      </c>
      <c r="F18" s="55"/>
      <c r="G18" s="55"/>
      <c r="H18" s="32"/>
      <c r="I18" s="55">
        <v>300</v>
      </c>
      <c r="J18" s="55" t="s">
        <v>39</v>
      </c>
      <c r="K18" s="32" t="s">
        <v>40</v>
      </c>
    </row>
    <row r="19" spans="2:11" ht="15.75" customHeight="1" x14ac:dyDescent="0.3">
      <c r="B19" s="24" t="s">
        <v>59</v>
      </c>
      <c r="C19" s="30" t="s">
        <v>60</v>
      </c>
      <c r="D19" s="30" t="s">
        <v>58</v>
      </c>
      <c r="E19" s="470">
        <f>IF(Inputs!$G$9=Lists!$E$39,I19,IF(Inputs!$G$9=Lists!$E$40,F19,I19))</f>
        <v>4470</v>
      </c>
      <c r="F19" s="31">
        <v>4470</v>
      </c>
      <c r="G19" s="34" t="s">
        <v>317</v>
      </c>
      <c r="H19" s="57" t="s">
        <v>316</v>
      </c>
      <c r="I19" s="31">
        <v>3800</v>
      </c>
      <c r="J19" s="30" t="s">
        <v>39</v>
      </c>
      <c r="K19" s="32" t="s">
        <v>40</v>
      </c>
    </row>
    <row r="20" spans="2:11" ht="15.75" customHeight="1" x14ac:dyDescent="0.3">
      <c r="B20" s="54" t="s">
        <v>61</v>
      </c>
      <c r="C20" s="55" t="s">
        <v>62</v>
      </c>
      <c r="D20" s="55" t="s">
        <v>63</v>
      </c>
      <c r="E20" s="471">
        <f>IF(Inputs!$G$9=Lists!$E$39,I20,IF(Inputs!$G$9=Lists!$E$40,F20,I20))</f>
        <v>0</v>
      </c>
      <c r="F20" s="55"/>
      <c r="G20" s="55"/>
      <c r="H20" s="32"/>
      <c r="I20" s="55">
        <v>53</v>
      </c>
      <c r="J20" s="55" t="s">
        <v>39</v>
      </c>
      <c r="K20" s="32" t="s">
        <v>40</v>
      </c>
    </row>
    <row r="21" spans="2:11" ht="15.75" customHeight="1" x14ac:dyDescent="0.3">
      <c r="B21" s="24" t="s">
        <v>64</v>
      </c>
      <c r="C21" s="30" t="s">
        <v>65</v>
      </c>
      <c r="D21" s="30" t="s">
        <v>66</v>
      </c>
      <c r="E21" s="470">
        <f>IF(Inputs!$G$9=Lists!$E$39,I21,IF(Inputs!$G$9=Lists!$E$40,F21,I21))</f>
        <v>124</v>
      </c>
      <c r="F21" s="30">
        <v>124</v>
      </c>
      <c r="G21" s="34" t="s">
        <v>317</v>
      </c>
      <c r="H21" s="57" t="s">
        <v>316</v>
      </c>
      <c r="I21" s="30">
        <v>140</v>
      </c>
      <c r="J21" s="30" t="s">
        <v>39</v>
      </c>
      <c r="K21" s="32" t="s">
        <v>40</v>
      </c>
    </row>
    <row r="22" spans="2:11" ht="15.75" customHeight="1" x14ac:dyDescent="0.3">
      <c r="B22" s="54" t="s">
        <v>67</v>
      </c>
      <c r="C22" s="55" t="s">
        <v>68</v>
      </c>
      <c r="D22" s="55" t="s">
        <v>69</v>
      </c>
      <c r="E22" s="471">
        <f>IF(Inputs!$G$9=Lists!$E$39,I22,IF(Inputs!$G$9=Lists!$E$40,F22,I22))</f>
        <v>0</v>
      </c>
      <c r="F22" s="55"/>
      <c r="G22" s="55"/>
      <c r="H22" s="32"/>
      <c r="I22" s="55">
        <v>12</v>
      </c>
      <c r="J22" s="55" t="s">
        <v>39</v>
      </c>
      <c r="K22" s="32" t="s">
        <v>40</v>
      </c>
    </row>
    <row r="23" spans="2:11" ht="15.75" customHeight="1" x14ac:dyDescent="0.3">
      <c r="B23" s="24" t="s">
        <v>70</v>
      </c>
      <c r="C23" s="30" t="s">
        <v>71</v>
      </c>
      <c r="D23" s="30" t="s">
        <v>72</v>
      </c>
      <c r="E23" s="470">
        <f>IF(Inputs!$G$9=Lists!$E$39,I23,IF(Inputs!$G$9=Lists!$E$40,F23,I23))</f>
        <v>3220</v>
      </c>
      <c r="F23" s="31">
        <v>3220</v>
      </c>
      <c r="G23" s="34" t="s">
        <v>317</v>
      </c>
      <c r="H23" s="57" t="s">
        <v>316</v>
      </c>
      <c r="I23" s="31">
        <v>2900</v>
      </c>
      <c r="J23" s="30" t="s">
        <v>39</v>
      </c>
      <c r="K23" s="32" t="s">
        <v>40</v>
      </c>
    </row>
    <row r="24" spans="2:11" ht="15.75" customHeight="1" x14ac:dyDescent="0.3">
      <c r="B24" s="54" t="s">
        <v>73</v>
      </c>
      <c r="C24" s="55" t="s">
        <v>74</v>
      </c>
      <c r="D24" s="55" t="s">
        <v>75</v>
      </c>
      <c r="E24" s="471">
        <f>IF(Inputs!$G$9=Lists!$E$39,I24,IF(Inputs!$G$9=Lists!$E$40,F24,I24))</f>
        <v>0</v>
      </c>
      <c r="F24" s="56"/>
      <c r="G24" s="55"/>
      <c r="H24" s="32"/>
      <c r="I24" s="56">
        <v>1340</v>
      </c>
      <c r="J24" s="55" t="s">
        <v>39</v>
      </c>
      <c r="K24" s="32" t="s">
        <v>40</v>
      </c>
    </row>
    <row r="25" spans="2:11" ht="15.75" customHeight="1" x14ac:dyDescent="0.3">
      <c r="B25" s="54" t="s">
        <v>76</v>
      </c>
      <c r="C25" s="55" t="s">
        <v>77</v>
      </c>
      <c r="D25" s="55" t="s">
        <v>78</v>
      </c>
      <c r="E25" s="471">
        <f>IF(Inputs!$G$9=Lists!$E$39,I25,IF(Inputs!$G$9=Lists!$E$40,F25,I25))</f>
        <v>0</v>
      </c>
      <c r="F25" s="56"/>
      <c r="G25" s="55"/>
      <c r="H25" s="32"/>
      <c r="I25" s="56">
        <v>1370</v>
      </c>
      <c r="J25" s="55" t="s">
        <v>39</v>
      </c>
      <c r="K25" s="32" t="s">
        <v>40</v>
      </c>
    </row>
    <row r="26" spans="2:11" ht="15.75" customHeight="1" x14ac:dyDescent="0.3">
      <c r="B26" s="24" t="s">
        <v>79</v>
      </c>
      <c r="C26" s="30" t="s">
        <v>80</v>
      </c>
      <c r="D26" s="30" t="s">
        <v>81</v>
      </c>
      <c r="E26" s="470">
        <f>IF(Inputs!$G$9=Lists!$E$39,I26,IF(Inputs!$G$9=Lists!$E$40,F26,I26))</f>
        <v>9810</v>
      </c>
      <c r="F26" s="31">
        <v>9810</v>
      </c>
      <c r="G26" s="34" t="s">
        <v>317</v>
      </c>
      <c r="H26" s="57" t="s">
        <v>316</v>
      </c>
      <c r="I26" s="31">
        <v>6300</v>
      </c>
      <c r="J26" s="30" t="s">
        <v>39</v>
      </c>
      <c r="K26" s="32" t="s">
        <v>40</v>
      </c>
    </row>
    <row r="27" spans="2:11" ht="15.75" customHeight="1" x14ac:dyDescent="0.3">
      <c r="B27" s="54" t="s">
        <v>82</v>
      </c>
      <c r="C27" s="55" t="s">
        <v>83</v>
      </c>
      <c r="D27" s="55" t="s">
        <v>84</v>
      </c>
      <c r="E27" s="471">
        <f>IF(Inputs!$G$9=Lists!$E$39,I27,IF(Inputs!$G$9=Lists!$E$40,F27,I27))</f>
        <v>0</v>
      </c>
      <c r="F27" s="55"/>
      <c r="G27" s="55"/>
      <c r="H27" s="32"/>
      <c r="I27" s="55">
        <v>560</v>
      </c>
      <c r="J27" s="55" t="s">
        <v>39</v>
      </c>
      <c r="K27" s="32" t="s">
        <v>40</v>
      </c>
    </row>
    <row r="28" spans="2:11" ht="15.75" customHeight="1" x14ac:dyDescent="0.3">
      <c r="B28" s="24" t="s">
        <v>85</v>
      </c>
      <c r="C28" s="30" t="s">
        <v>86</v>
      </c>
      <c r="D28" s="30" t="s">
        <v>87</v>
      </c>
      <c r="E28" s="470">
        <f>IF(Inputs!$G$9=Lists!$E$39,I28,IF(Inputs!$G$9=Lists!$E$40,F28,I28))</f>
        <v>1030</v>
      </c>
      <c r="F28" s="31">
        <v>1030</v>
      </c>
      <c r="G28" s="34" t="s">
        <v>317</v>
      </c>
      <c r="H28" s="57" t="s">
        <v>316</v>
      </c>
      <c r="I28" s="31">
        <v>1030</v>
      </c>
      <c r="J28" s="30" t="s">
        <v>39</v>
      </c>
      <c r="K28" s="32" t="s">
        <v>40</v>
      </c>
    </row>
    <row r="29" spans="2:11" x14ac:dyDescent="0.3">
      <c r="B29" s="54" t="s">
        <v>88</v>
      </c>
      <c r="C29" s="55" t="s">
        <v>89</v>
      </c>
      <c r="D29" s="55" t="s">
        <v>90</v>
      </c>
      <c r="E29" s="471">
        <f>IF(Inputs!$G$9=Lists!$E$39,I29,IF(Inputs!$G$9=Lists!$E$40,F29,I29))</f>
        <v>0</v>
      </c>
      <c r="F29" s="55"/>
      <c r="G29" s="55"/>
      <c r="H29" s="32"/>
      <c r="I29" s="55">
        <v>794</v>
      </c>
      <c r="J29" s="55" t="s">
        <v>39</v>
      </c>
      <c r="K29" s="32" t="s">
        <v>40</v>
      </c>
    </row>
    <row r="30" spans="2:11" x14ac:dyDescent="0.3">
      <c r="B30" s="54" t="s">
        <v>91</v>
      </c>
      <c r="C30" s="55" t="s">
        <v>92</v>
      </c>
      <c r="D30" s="55" t="s">
        <v>93</v>
      </c>
      <c r="E30" s="471">
        <f>IF(Inputs!$G$9=Lists!$E$39,I30,IF(Inputs!$G$9=Lists!$E$40,F30,I30))</f>
        <v>0</v>
      </c>
      <c r="F30" s="56"/>
      <c r="G30" s="55"/>
      <c r="H30" s="32"/>
      <c r="I30" s="56">
        <v>1300</v>
      </c>
      <c r="J30" s="55" t="s">
        <v>39</v>
      </c>
      <c r="K30" s="32" t="s">
        <v>40</v>
      </c>
    </row>
    <row r="31" spans="2:11" x14ac:dyDescent="0.3">
      <c r="B31" s="24" t="s">
        <v>309</v>
      </c>
      <c r="C31" s="94"/>
      <c r="D31" s="94"/>
      <c r="E31" s="470">
        <f>IF(Inputs!$G$9=Lists!$E$39,I31,IF(Inputs!$G$9=Lists!$E$40,F31,I31))</f>
        <v>7390</v>
      </c>
      <c r="F31" s="94">
        <v>7390</v>
      </c>
      <c r="G31" s="34" t="s">
        <v>317</v>
      </c>
      <c r="H31" s="96" t="s">
        <v>316</v>
      </c>
      <c r="I31" s="94">
        <v>6500</v>
      </c>
      <c r="J31" s="34" t="s">
        <v>317</v>
      </c>
      <c r="K31" s="57" t="s">
        <v>316</v>
      </c>
    </row>
    <row r="32" spans="2:11" x14ac:dyDescent="0.3">
      <c r="B32" s="24" t="s">
        <v>310</v>
      </c>
      <c r="C32" s="94"/>
      <c r="D32" s="94"/>
      <c r="E32" s="470">
        <f>IF(Inputs!$G$9=Lists!$E$39,I32,IF(Inputs!$G$9=Lists!$E$40,F32,I32))</f>
        <v>12200</v>
      </c>
      <c r="F32" s="94">
        <v>12200</v>
      </c>
      <c r="G32" s="34" t="s">
        <v>317</v>
      </c>
      <c r="H32" s="96" t="s">
        <v>316</v>
      </c>
      <c r="I32" s="94">
        <v>9200</v>
      </c>
      <c r="J32" s="34" t="s">
        <v>317</v>
      </c>
      <c r="K32" s="57" t="s">
        <v>316</v>
      </c>
    </row>
    <row r="33" spans="2:11" x14ac:dyDescent="0.3">
      <c r="B33" s="24" t="s">
        <v>311</v>
      </c>
      <c r="C33" s="94"/>
      <c r="D33" s="94"/>
      <c r="E33" s="470">
        <f>IF(Inputs!$G$9=Lists!$E$39,I33,IF(Inputs!$G$9=Lists!$E$40,F33,I33))</f>
        <v>8830</v>
      </c>
      <c r="F33" s="94">
        <v>8830</v>
      </c>
      <c r="G33" s="34" t="s">
        <v>317</v>
      </c>
      <c r="H33" s="96" t="s">
        <v>316</v>
      </c>
      <c r="I33" s="94">
        <v>7000</v>
      </c>
      <c r="J33" s="34" t="s">
        <v>317</v>
      </c>
      <c r="K33" s="57" t="s">
        <v>316</v>
      </c>
    </row>
    <row r="34" spans="2:11" x14ac:dyDescent="0.3">
      <c r="B34" s="24" t="s">
        <v>312</v>
      </c>
      <c r="C34" s="94"/>
      <c r="D34" s="94"/>
      <c r="E34" s="470">
        <f>IF(Inputs!$G$9=Lists!$E$39,I34,IF(Inputs!$G$9=Lists!$E$40,F34,I34))</f>
        <v>10300</v>
      </c>
      <c r="F34" s="94">
        <v>10300</v>
      </c>
      <c r="G34" s="34" t="s">
        <v>317</v>
      </c>
      <c r="H34" s="96" t="s">
        <v>316</v>
      </c>
      <c r="I34" s="94">
        <v>8700</v>
      </c>
      <c r="J34" s="34" t="s">
        <v>317</v>
      </c>
      <c r="K34" s="57" t="s">
        <v>316</v>
      </c>
    </row>
    <row r="35" spans="2:11" x14ac:dyDescent="0.3">
      <c r="B35" t="s">
        <v>315</v>
      </c>
    </row>
    <row r="37" spans="2:11" x14ac:dyDescent="0.3">
      <c r="B37" s="68" t="s">
        <v>335</v>
      </c>
      <c r="C37" s="68"/>
    </row>
  </sheetData>
  <sheetProtection password="B18C" sheet="1" objects="1" scenarios="1"/>
  <hyperlinks>
    <hyperlink ref="K12" r:id="rId1" display="http://www.epa.gov/climatechange/emissions/downloads09/GHG-MRR-Full%20Version.pdf"/>
    <hyperlink ref="K13" r:id="rId2" display="http://www.epa.gov/climatechange/emissions/downloads09/GHG-MRR-Full%20Version.pdf"/>
    <hyperlink ref="K14" r:id="rId3" display="http://www.epa.gov/climatechange/emissions/downloads09/GHG-MRR-Full%20Version.pdf"/>
    <hyperlink ref="K15" r:id="rId4" display="http://www.epa.gov/climatechange/emissions/downloads09/GHG-MRR-Full%20Version.pdf"/>
    <hyperlink ref="K16" r:id="rId5" display="http://www.epa.gov/climatechange/emissions/downloads09/GHG-MRR-Full%20Version.pdf"/>
    <hyperlink ref="K17" r:id="rId6" display="http://www.epa.gov/climatechange/emissions/downloads09/GHG-MRR-Full%20Version.pdf"/>
    <hyperlink ref="K18" r:id="rId7" display="http://www.epa.gov/climatechange/emissions/downloads09/GHG-MRR-Full%20Version.pdf"/>
    <hyperlink ref="K19" r:id="rId8" display="http://www.epa.gov/climatechange/emissions/downloads09/GHG-MRR-Full%20Version.pdf"/>
    <hyperlink ref="K20" r:id="rId9" display="http://www.epa.gov/climatechange/emissions/downloads09/GHG-MRR-Full%20Version.pdf"/>
    <hyperlink ref="K21" r:id="rId10" display="http://www.epa.gov/climatechange/emissions/downloads09/GHG-MRR-Full%20Version.pdf"/>
    <hyperlink ref="K22" r:id="rId11" display="http://www.epa.gov/climatechange/emissions/downloads09/GHG-MRR-Full%20Version.pdf"/>
    <hyperlink ref="K23" r:id="rId12" display="http://www.epa.gov/climatechange/emissions/downloads09/GHG-MRR-Full%20Version.pdf"/>
    <hyperlink ref="K24" r:id="rId13" display="http://www.epa.gov/climatechange/emissions/downloads09/GHG-MRR-Full%20Version.pdf"/>
    <hyperlink ref="K25" r:id="rId14" display="http://www.epa.gov/climatechange/emissions/downloads09/GHG-MRR-Full%20Version.pdf"/>
    <hyperlink ref="K26" r:id="rId15" display="http://www.epa.gov/climatechange/emissions/downloads09/GHG-MRR-Full%20Version.pdf"/>
    <hyperlink ref="K27" r:id="rId16" display="http://www.epa.gov/climatechange/emissions/downloads09/GHG-MRR-Full%20Version.pdf"/>
    <hyperlink ref="K28" r:id="rId17" display="http://www.epa.gov/climatechange/emissions/downloads09/GHG-MRR-Full%20Version.pdf"/>
    <hyperlink ref="K29" r:id="rId18" display="http://www.epa.gov/climatechange/emissions/downloads09/GHG-MRR-Full%20Version.pdf"/>
    <hyperlink ref="K30" r:id="rId19" display="http://www.epa.gov/climatechange/emissions/downloads09/GHG-MRR-Full%20Version.pdf"/>
    <hyperlink ref="K31" r:id="rId20"/>
    <hyperlink ref="K32" r:id="rId21"/>
    <hyperlink ref="K33" r:id="rId22"/>
    <hyperlink ref="K34" r:id="rId23"/>
    <hyperlink ref="H12" r:id="rId24"/>
    <hyperlink ref="H13" r:id="rId25"/>
    <hyperlink ref="H15" r:id="rId26"/>
    <hyperlink ref="H17" r:id="rId27"/>
    <hyperlink ref="H19" r:id="rId28"/>
    <hyperlink ref="H21" r:id="rId29"/>
    <hyperlink ref="H23" r:id="rId30"/>
    <hyperlink ref="H26" r:id="rId31"/>
    <hyperlink ref="H28" r:id="rId32"/>
    <hyperlink ref="H31" r:id="rId33"/>
    <hyperlink ref="H32" r:id="rId34"/>
    <hyperlink ref="H33" r:id="rId35"/>
    <hyperlink ref="H34" r:id="rId36"/>
    <hyperlink ref="H14" r:id="rId37"/>
  </hyperlinks>
  <pageMargins left="0.7" right="0.7" top="0.75" bottom="0.75" header="0.3" footer="0.3"/>
  <pageSetup orientation="portrait" r:id="rId38"/>
  <legacyDrawing r:id="rId39"/>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B6:G38"/>
  <sheetViews>
    <sheetView workbookViewId="0">
      <selection activeCell="C126" sqref="C126"/>
    </sheetView>
  </sheetViews>
  <sheetFormatPr defaultRowHeight="14.4" x14ac:dyDescent="0.3"/>
  <cols>
    <col min="2" max="2" width="37.109375" bestFit="1" customWidth="1"/>
    <col min="3" max="3" width="12" bestFit="1" customWidth="1"/>
    <col min="4" max="4" width="9.5546875" bestFit="1" customWidth="1"/>
    <col min="7" max="7" width="11.5546875" bestFit="1" customWidth="1"/>
  </cols>
  <sheetData>
    <row r="6" spans="2:7" ht="28.8" x14ac:dyDescent="0.3">
      <c r="B6" s="34"/>
      <c r="C6" s="350" t="s">
        <v>640</v>
      </c>
      <c r="D6" s="350" t="s">
        <v>453</v>
      </c>
    </row>
    <row r="7" spans="2:7" x14ac:dyDescent="0.3">
      <c r="B7" s="34" t="s">
        <v>450</v>
      </c>
      <c r="C7" s="92">
        <f>'Emissions Database'!J206+'Emissions Database'!J207+'Emissions Database'!J208+'Emissions Database'!J209+'Emissions Database'!J210</f>
        <v>0</v>
      </c>
      <c r="D7" s="92">
        <f>'Emissions Database'!BS204</f>
        <v>0</v>
      </c>
    </row>
    <row r="8" spans="2:7" x14ac:dyDescent="0.3">
      <c r="B8" s="34" t="s">
        <v>451</v>
      </c>
      <c r="C8" s="92">
        <f>'Simplified Screening 2'!H55+'Simplified Screening 1'!P55+Screening!S54+'Simplified Material Balance'!L54+'Default - Material Balance'!M54</f>
        <v>0</v>
      </c>
      <c r="D8" s="349">
        <f>'Default - Material Balance'!N54+'Simplified Material Balance'!N54+Screening!U54+'Simplified Screening 1'!S55+'Simplified Screening 2'!K55</f>
        <v>0</v>
      </c>
    </row>
    <row r="9" spans="2:7" x14ac:dyDescent="0.3">
      <c r="B9" s="34" t="s">
        <v>452</v>
      </c>
      <c r="C9" s="35">
        <f>C7-C8</f>
        <v>0</v>
      </c>
      <c r="D9" s="35">
        <f>D7-D8</f>
        <v>0</v>
      </c>
    </row>
    <row r="13" spans="2:7" x14ac:dyDescent="0.3">
      <c r="B13" s="34"/>
      <c r="C13" s="92" t="s">
        <v>489</v>
      </c>
      <c r="D13" s="92" t="s">
        <v>490</v>
      </c>
      <c r="E13" s="92" t="s">
        <v>491</v>
      </c>
      <c r="F13" s="92" t="s">
        <v>322</v>
      </c>
      <c r="G13" s="92" t="s">
        <v>362</v>
      </c>
    </row>
    <row r="14" spans="2:7" x14ac:dyDescent="0.3">
      <c r="B14" s="34" t="s">
        <v>304</v>
      </c>
      <c r="C14" s="349">
        <f>SUM('Emissions Database'!G44:G83)</f>
        <v>0</v>
      </c>
      <c r="D14" s="349">
        <f>SUM('Emissions Database'!H44:H83)</f>
        <v>0</v>
      </c>
      <c r="E14" s="349">
        <f>SUM('Emissions Database'!I44:I83)</f>
        <v>0</v>
      </c>
      <c r="F14" s="349">
        <f>SUM('Emissions Database'!J44:J83)</f>
        <v>0</v>
      </c>
      <c r="G14" s="35">
        <f>F14-SUM(C14:E14)</f>
        <v>0</v>
      </c>
    </row>
    <row r="15" spans="2:7" x14ac:dyDescent="0.3">
      <c r="B15" s="34" t="s">
        <v>305</v>
      </c>
      <c r="C15" s="349">
        <f>SUM('Emissions Database'!G84:G123)</f>
        <v>0</v>
      </c>
      <c r="D15" s="349">
        <f>SUM('Emissions Database'!H84:H123)</f>
        <v>0</v>
      </c>
      <c r="E15" s="349">
        <f>SUM('Emissions Database'!I84:I123)</f>
        <v>0</v>
      </c>
      <c r="F15" s="349">
        <f>SUM('Emissions Database'!J84:J123)</f>
        <v>0</v>
      </c>
      <c r="G15" s="35">
        <f>F15-SUM(C15:E15)</f>
        <v>0</v>
      </c>
    </row>
    <row r="16" spans="2:7" x14ac:dyDescent="0.3">
      <c r="B16" s="34" t="s">
        <v>306</v>
      </c>
      <c r="C16" s="349">
        <f>SUM('Emissions Database'!G124:G163)</f>
        <v>0</v>
      </c>
      <c r="D16" s="349">
        <f>SUM('Emissions Database'!H124:H163)</f>
        <v>0</v>
      </c>
      <c r="E16" s="349">
        <f>SUM('Emissions Database'!I124:I163)</f>
        <v>0</v>
      </c>
      <c r="F16" s="349">
        <f>SUM('Emissions Database'!J124:J163)</f>
        <v>0</v>
      </c>
      <c r="G16" s="35">
        <f>F16-SUM(C16:E16)</f>
        <v>0</v>
      </c>
    </row>
    <row r="17" spans="2:7" x14ac:dyDescent="0.3">
      <c r="B17" s="34" t="s">
        <v>307</v>
      </c>
      <c r="C17" s="349">
        <f>SUM('Emissions Database'!G164:G203)</f>
        <v>0</v>
      </c>
      <c r="D17" s="349">
        <f>SUM('Emissions Database'!H164:H203)</f>
        <v>0</v>
      </c>
      <c r="E17" s="349">
        <f>SUM('Emissions Database'!I164:I203)</f>
        <v>0</v>
      </c>
      <c r="F17" s="349">
        <f>SUM('Emissions Database'!J164:J203)</f>
        <v>0</v>
      </c>
      <c r="G17" s="35">
        <f>F17-SUM(C17:E17)</f>
        <v>0</v>
      </c>
    </row>
    <row r="21" spans="2:7" x14ac:dyDescent="0.3">
      <c r="B21" s="34" t="s">
        <v>630</v>
      </c>
      <c r="C21" s="35">
        <f>'Default Values'!F76</f>
        <v>0</v>
      </c>
    </row>
    <row r="25" spans="2:7" ht="15" thickBot="1" x14ac:dyDescent="0.35">
      <c r="B25" t="s">
        <v>631</v>
      </c>
    </row>
    <row r="26" spans="2:7" ht="15" thickBot="1" x14ac:dyDescent="0.35">
      <c r="B26" s="397" t="s">
        <v>632</v>
      </c>
      <c r="C26" s="394">
        <f>SUM('FEMP Report'!D9:D87)</f>
        <v>0</v>
      </c>
    </row>
    <row r="27" spans="2:7" x14ac:dyDescent="0.3">
      <c r="B27" s="398" t="s">
        <v>633</v>
      </c>
      <c r="C27" s="395">
        <f>SUM('FEMP Report'!F9:F87)</f>
        <v>0</v>
      </c>
    </row>
    <row r="28" spans="2:7" x14ac:dyDescent="0.3">
      <c r="B28" s="34" t="s">
        <v>634</v>
      </c>
      <c r="C28" s="394">
        <f>SUM('Emissions Database'!C265:C344)+(SUM('Emissions Database'!K124:K163)+SUM('Emissions Database'!J4:J123))/Conversions!C4</f>
        <v>0</v>
      </c>
    </row>
    <row r="29" spans="2:7" x14ac:dyDescent="0.3">
      <c r="B29" s="347" t="s">
        <v>465</v>
      </c>
      <c r="C29" s="404">
        <f>'Emissions Database'!C294+SUMIF('Emissions Database'!$F$4:$F$163,B29,'Emissions Database'!$J$4:$J$163)/Conversions!C4</f>
        <v>0</v>
      </c>
    </row>
    <row r="30" spans="2:7" x14ac:dyDescent="0.3">
      <c r="B30" s="347" t="s">
        <v>725</v>
      </c>
      <c r="C30" s="404">
        <f>SUMIF('Emissions Database'!$F$4:$F$123,B30,'Emissions Database'!$J$4:$J$123)/Conversions!C4</f>
        <v>0</v>
      </c>
    </row>
    <row r="31" spans="2:7" x14ac:dyDescent="0.3">
      <c r="B31" s="34" t="s">
        <v>362</v>
      </c>
      <c r="C31" s="396">
        <f>C28-(C26-C27+C29+C30)</f>
        <v>0</v>
      </c>
    </row>
    <row r="33" spans="2:3" x14ac:dyDescent="0.3">
      <c r="B33" t="s">
        <v>636</v>
      </c>
    </row>
    <row r="34" spans="2:3" x14ac:dyDescent="0.3">
      <c r="B34" s="34" t="s">
        <v>637</v>
      </c>
      <c r="C34" s="35">
        <f>'Emissions Database'!C346</f>
        <v>0</v>
      </c>
    </row>
    <row r="35" spans="2:3" x14ac:dyDescent="0.3">
      <c r="B35" s="34" t="s">
        <v>638</v>
      </c>
      <c r="C35" s="401">
        <f>'Emissions Database'!C347</f>
        <v>0</v>
      </c>
    </row>
    <row r="37" spans="2:3" x14ac:dyDescent="0.3">
      <c r="B37" t="s">
        <v>750</v>
      </c>
    </row>
    <row r="38" spans="2:3" x14ac:dyDescent="0.3">
      <c r="B38" s="34" t="s">
        <v>637</v>
      </c>
      <c r="C38" s="401">
        <f>'Default Values'!F76</f>
        <v>0</v>
      </c>
    </row>
  </sheetData>
  <sheetProtection password="B18C" sheet="1" objects="1" scenarios="1"/>
  <conditionalFormatting sqref="C9">
    <cfRule type="cellIs" dxfId="23" priority="22" operator="equal">
      <formula>0</formula>
    </cfRule>
    <cfRule type="cellIs" dxfId="22" priority="23" operator="lessThan">
      <formula>0</formula>
    </cfRule>
    <cfRule type="cellIs" dxfId="21" priority="24" operator="greaterThan">
      <formula>0</formula>
    </cfRule>
  </conditionalFormatting>
  <conditionalFormatting sqref="D9">
    <cfRule type="cellIs" dxfId="20" priority="19" operator="equal">
      <formula>0</formula>
    </cfRule>
    <cfRule type="cellIs" dxfId="19" priority="20" operator="lessThan">
      <formula>0</formula>
    </cfRule>
    <cfRule type="cellIs" dxfId="18" priority="21" operator="greaterThan">
      <formula>0</formula>
    </cfRule>
  </conditionalFormatting>
  <conditionalFormatting sqref="G14:G17">
    <cfRule type="cellIs" dxfId="17" priority="16" operator="equal">
      <formula>0</formula>
    </cfRule>
    <cfRule type="cellIs" dxfId="16" priority="17" operator="lessThan">
      <formula>0</formula>
    </cfRule>
    <cfRule type="cellIs" dxfId="15" priority="18" operator="greaterThan">
      <formula>0</formula>
    </cfRule>
  </conditionalFormatting>
  <conditionalFormatting sqref="C21">
    <cfRule type="cellIs" dxfId="14" priority="13" operator="equal">
      <formula>0</formula>
    </cfRule>
    <cfRule type="cellIs" dxfId="13" priority="14" operator="lessThan">
      <formula>0</formula>
    </cfRule>
    <cfRule type="cellIs" dxfId="12" priority="15" operator="greaterThan">
      <formula>0</formula>
    </cfRule>
  </conditionalFormatting>
  <conditionalFormatting sqref="C31">
    <cfRule type="cellIs" dxfId="11" priority="10" operator="equal">
      <formula>0</formula>
    </cfRule>
    <cfRule type="cellIs" dxfId="10" priority="11" operator="lessThan">
      <formula>0</formula>
    </cfRule>
    <cfRule type="cellIs" dxfId="9" priority="12" operator="greaterThan">
      <formula>0</formula>
    </cfRule>
  </conditionalFormatting>
  <conditionalFormatting sqref="C35">
    <cfRule type="cellIs" dxfId="8" priority="7" operator="equal">
      <formula>0</formula>
    </cfRule>
    <cfRule type="cellIs" dxfId="7" priority="8" operator="lessThan">
      <formula>0</formula>
    </cfRule>
    <cfRule type="cellIs" dxfId="6" priority="9" operator="greaterThan">
      <formula>0</formula>
    </cfRule>
  </conditionalFormatting>
  <conditionalFormatting sqref="C34">
    <cfRule type="cellIs" dxfId="5" priority="4" operator="equal">
      <formula>0</formula>
    </cfRule>
    <cfRule type="cellIs" dxfId="4" priority="5" operator="lessThan">
      <formula>0</formula>
    </cfRule>
    <cfRule type="cellIs" dxfId="3" priority="6" operator="greaterThan">
      <formula>0</formula>
    </cfRule>
  </conditionalFormatting>
  <conditionalFormatting sqref="C38">
    <cfRule type="cellIs" dxfId="2" priority="1" operator="equal">
      <formula>0</formula>
    </cfRule>
    <cfRule type="cellIs" dxfId="1" priority="2" operator="lessThan">
      <formula>0</formula>
    </cfRule>
    <cfRule type="cellIs" dxfId="0" priority="3" operator="greaterThan">
      <formula>0</formula>
    </cfRule>
  </conditionalFormatting>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36</vt:i4>
      </vt:variant>
    </vt:vector>
  </HeadingPairs>
  <TitlesOfParts>
    <vt:vector size="55" baseType="lpstr">
      <vt:lpstr>Welcome</vt:lpstr>
      <vt:lpstr>Inputs</vt:lpstr>
      <vt:lpstr>Method Selection</vt:lpstr>
      <vt:lpstr>Definitions</vt:lpstr>
      <vt:lpstr>Simplified Screening 2</vt:lpstr>
      <vt:lpstr>Simplified Screening 1</vt:lpstr>
      <vt:lpstr>Screening</vt:lpstr>
      <vt:lpstr>Simplified Material Balance</vt:lpstr>
      <vt:lpstr>Default - Material Balance</vt:lpstr>
      <vt:lpstr>Equipment Assumptions</vt:lpstr>
      <vt:lpstr>Building Customization</vt:lpstr>
      <vt:lpstr>GHG_Emissions</vt:lpstr>
      <vt:lpstr>FacilityBreakdown</vt:lpstr>
      <vt:lpstr>FEMP Report</vt:lpstr>
      <vt:lpstr>Emissions Database</vt:lpstr>
      <vt:lpstr>Lists</vt:lpstr>
      <vt:lpstr>Default Values</vt:lpstr>
      <vt:lpstr>Conversions</vt:lpstr>
      <vt:lpstr>Checkers</vt:lpstr>
      <vt:lpstr>ChillerSA</vt:lpstr>
      <vt:lpstr>ColdStorageSA</vt:lpstr>
      <vt:lpstr>ComApplicationSA</vt:lpstr>
      <vt:lpstr>CommEU</vt:lpstr>
      <vt:lpstr>ComRefSA</vt:lpstr>
      <vt:lpstr>DomRefSA</vt:lpstr>
      <vt:lpstr>DormEU</vt:lpstr>
      <vt:lpstr>EndUse</vt:lpstr>
      <vt:lpstr>EquipType</vt:lpstr>
      <vt:lpstr>EquipType2</vt:lpstr>
      <vt:lpstr>FamilyEU</vt:lpstr>
      <vt:lpstr>FedBuildingType</vt:lpstr>
      <vt:lpstr>FedBuildingType2</vt:lpstr>
      <vt:lpstr>GHGChartList</vt:lpstr>
      <vt:lpstr>GWPSource</vt:lpstr>
      <vt:lpstr>LabEU</vt:lpstr>
      <vt:lpstr>LgHospEU</vt:lpstr>
      <vt:lpstr>MobACEU</vt:lpstr>
      <vt:lpstr>MobileACSA</vt:lpstr>
      <vt:lpstr>MuseumEU</vt:lpstr>
      <vt:lpstr>NavEU</vt:lpstr>
      <vt:lpstr>OfficeEU</vt:lpstr>
      <vt:lpstr>OtherEU</vt:lpstr>
      <vt:lpstr>PostEU</vt:lpstr>
      <vt:lpstr>PrisonEU</vt:lpstr>
      <vt:lpstr>Refrigerants</vt:lpstr>
      <vt:lpstr>Refrigerants2</vt:lpstr>
      <vt:lpstr>Refrigerants3</vt:lpstr>
      <vt:lpstr>Refrigerants4</vt:lpstr>
      <vt:lpstr>RefWareEU</vt:lpstr>
      <vt:lpstr>ReportingYear</vt:lpstr>
      <vt:lpstr>ResComACSA</vt:lpstr>
      <vt:lpstr>SchoolEU</vt:lpstr>
      <vt:lpstr>TransportRefSA</vt:lpstr>
      <vt:lpstr>TransRefEU</vt:lpstr>
      <vt:lpstr>WarehouseEU</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Jemison, Cory</dc:creator>
  <cp:lastModifiedBy>Jemison, Cory</cp:lastModifiedBy>
  <dcterms:created xsi:type="dcterms:W3CDTF">2006-09-16T00:00:00Z</dcterms:created>
  <dcterms:modified xsi:type="dcterms:W3CDTF">2016-10-20T16:31:38Z</dcterms:modified>
</cp:coreProperties>
</file>